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yboy\OneDrive\Documents\Nasa project\outputs\manual-20260607-parameter-model\spreadsheets\parabolic-radar-model\output\"/>
    </mc:Choice>
  </mc:AlternateContent>
  <xr:revisionPtr revIDLastSave="0" documentId="13_ncr:1_{6CB1417E-26A7-46A2-98D6-1AE1B0F2A943}" xr6:coauthVersionLast="47" xr6:coauthVersionMax="47" xr10:uidLastSave="{00000000-0000-0000-0000-000000000000}"/>
  <bookViews>
    <workbookView xWindow="-108" yWindow="-108" windowWidth="23256" windowHeight="13176" xr2:uid="{00000000-000D-0000-FFFF-FFFF00000000}"/>
  </bookViews>
  <sheets>
    <sheet name="Dashboard" sheetId="1" r:id="rId1"/>
    <sheet name="Inputs" sheetId="2" r:id="rId2"/>
    <sheet name="Model_Data" sheetId="3" r:id="rId3"/>
    <sheet name="Chart_Data" sheetId="4" r:id="rId4"/>
    <sheet name="Scenario_Data" sheetId="5" r:id="rId5"/>
    <sheet name="PRF_Results" sheetId="6" r:id="rId6"/>
    <sheet name="Formula_Guide" sheetId="7" r:id="rId7"/>
    <sheet name="Topography_Formulas" sheetId="8" r:id="rId8"/>
    <sheet name="Check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9" l="1"/>
  <c r="B14" i="9"/>
  <c r="B13" i="9"/>
  <c r="B12" i="9"/>
  <c r="B11" i="9"/>
  <c r="B10" i="9"/>
  <c r="B9" i="9"/>
  <c r="B8" i="9"/>
  <c r="B7" i="9"/>
  <c r="B6" i="9"/>
  <c r="B5" i="9"/>
  <c r="B4" i="9"/>
  <c r="A6" i="6"/>
  <c r="A5" i="6"/>
  <c r="A4" i="6"/>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D200" i="5"/>
  <c r="A200" i="5"/>
  <c r="A199" i="5"/>
  <c r="AO198" i="5"/>
  <c r="AN198" i="5"/>
  <c r="AM198" i="5"/>
  <c r="AL198" i="5"/>
  <c r="AK198" i="5"/>
  <c r="AI198" i="5"/>
  <c r="AH198" i="5"/>
  <c r="AG198" i="5"/>
  <c r="AF198" i="5"/>
  <c r="AE198" i="5"/>
  <c r="AC198" i="5"/>
  <c r="AB198" i="5"/>
  <c r="AA198"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C171" i="5"/>
  <c r="B171" i="5"/>
  <c r="A171" i="5"/>
  <c r="B170" i="5"/>
  <c r="A170" i="5"/>
  <c r="E169" i="5"/>
  <c r="D169" i="5"/>
  <c r="C169" i="5"/>
  <c r="B169" i="5"/>
  <c r="A169" i="5"/>
  <c r="E168" i="5"/>
  <c r="C168" i="5"/>
  <c r="B168" i="5"/>
  <c r="A168" i="5"/>
  <c r="E167" i="5"/>
  <c r="D167" i="5"/>
  <c r="C167" i="5"/>
  <c r="B167" i="5"/>
  <c r="A167" i="5"/>
  <c r="C166" i="5"/>
  <c r="B166" i="5"/>
  <c r="A166" i="5"/>
  <c r="A165" i="5"/>
  <c r="E164" i="5"/>
  <c r="D164" i="5"/>
  <c r="C164" i="5"/>
  <c r="B164" i="5"/>
  <c r="A164" i="5"/>
  <c r="D163" i="5"/>
  <c r="C163" i="5"/>
  <c r="B163" i="5"/>
  <c r="A163" i="5"/>
  <c r="C162" i="5"/>
  <c r="B162" i="5"/>
  <c r="A162" i="5"/>
  <c r="E161" i="5"/>
  <c r="D161" i="5"/>
  <c r="C161" i="5"/>
  <c r="B161" i="5"/>
  <c r="A161" i="5"/>
  <c r="E160" i="5"/>
  <c r="D160" i="5"/>
  <c r="C160" i="5"/>
  <c r="B160" i="5"/>
  <c r="A160" i="5"/>
  <c r="C159" i="5"/>
  <c r="B159" i="5"/>
  <c r="A159" i="5"/>
  <c r="B158" i="5"/>
  <c r="A158" i="5"/>
  <c r="A157" i="5"/>
  <c r="C156" i="5"/>
  <c r="B156" i="5"/>
  <c r="A156" i="5"/>
  <c r="C155" i="5"/>
  <c r="B155" i="5"/>
  <c r="A155" i="5"/>
  <c r="AC154" i="5"/>
  <c r="D154" i="5"/>
  <c r="C154" i="5"/>
  <c r="B154" i="5"/>
  <c r="A154" i="5"/>
  <c r="AO153" i="5"/>
  <c r="AN153" i="5"/>
  <c r="AM153" i="5"/>
  <c r="AL153" i="5"/>
  <c r="AK153" i="5"/>
  <c r="AI153" i="5"/>
  <c r="AH153" i="5"/>
  <c r="AG153" i="5"/>
  <c r="AF153" i="5"/>
  <c r="AE153" i="5"/>
  <c r="AC153" i="5"/>
  <c r="AB153" i="5"/>
  <c r="AA153" i="5"/>
  <c r="Z153" i="5"/>
  <c r="Y153" i="5"/>
  <c r="W153" i="5"/>
  <c r="V153" i="5"/>
  <c r="U153" i="5"/>
  <c r="T153" i="5"/>
  <c r="S153" i="5"/>
  <c r="Q153" i="5"/>
  <c r="P153" i="5"/>
  <c r="O153" i="5"/>
  <c r="N153" i="5"/>
  <c r="M153" i="5"/>
  <c r="K153"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O107" i="5"/>
  <c r="AN107" i="5"/>
  <c r="AM107" i="5"/>
  <c r="AL107"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B67" i="5"/>
  <c r="A67" i="5"/>
  <c r="A66" i="5"/>
  <c r="A65" i="5"/>
  <c r="B64" i="5"/>
  <c r="A64" i="5"/>
  <c r="B63" i="5"/>
  <c r="A63" i="5"/>
  <c r="AO62" i="5"/>
  <c r="AN62" i="5"/>
  <c r="AM62" i="5"/>
  <c r="AL62" i="5"/>
  <c r="AK62" i="5"/>
  <c r="AI62" i="5"/>
  <c r="AH62" i="5"/>
  <c r="AG62" i="5"/>
  <c r="AF62" i="5"/>
  <c r="AE62" i="5"/>
  <c r="AC62" i="5"/>
  <c r="AB62" i="5"/>
  <c r="AA62" i="5"/>
  <c r="Z62" i="5"/>
  <c r="Y62" i="5"/>
  <c r="W62" i="5"/>
  <c r="V62"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O17" i="5"/>
  <c r="AN17" i="5"/>
  <c r="AM17" i="5"/>
  <c r="AL17" i="5"/>
  <c r="AK17" i="5"/>
  <c r="AI17" i="5"/>
  <c r="AH17" i="5"/>
  <c r="AG17" i="5"/>
  <c r="AF17" i="5"/>
  <c r="AE17" i="5"/>
  <c r="AC17" i="5"/>
  <c r="AB17" i="5"/>
  <c r="AA17" i="5"/>
  <c r="Z17" i="5"/>
  <c r="Y17" i="5"/>
  <c r="W17" i="5"/>
  <c r="V17" i="5"/>
  <c r="U17" i="5"/>
  <c r="T17" i="5"/>
  <c r="S17" i="5"/>
  <c r="Q17" i="5"/>
  <c r="P17" i="5"/>
  <c r="O17" i="5"/>
  <c r="N17" i="5"/>
  <c r="M17" i="5"/>
  <c r="K17" i="5"/>
  <c r="J17" i="5"/>
  <c r="I17" i="5"/>
  <c r="H17" i="5"/>
  <c r="G17" i="5"/>
  <c r="A17" i="5"/>
  <c r="A16" i="5"/>
  <c r="A15" i="5"/>
  <c r="A14" i="5"/>
  <c r="A13" i="5"/>
  <c r="A12" i="5"/>
  <c r="A11" i="5"/>
  <c r="A10" i="5"/>
  <c r="A9" i="5"/>
  <c r="A8" i="5"/>
  <c r="A7" i="5"/>
  <c r="A6" i="5"/>
  <c r="A5" i="5"/>
  <c r="A4" i="5"/>
  <c r="A3" i="5"/>
  <c r="A2" i="5"/>
  <c r="Z242" i="4"/>
  <c r="W242" i="4"/>
  <c r="V242" i="4"/>
  <c r="S242" i="4"/>
  <c r="M242" i="4"/>
  <c r="J242" i="4"/>
  <c r="I242" i="4"/>
  <c r="G242" i="4"/>
  <c r="F242" i="4"/>
  <c r="E242" i="4"/>
  <c r="B242" i="4"/>
  <c r="A242" i="4"/>
  <c r="Z241" i="4"/>
  <c r="W241" i="4"/>
  <c r="V241" i="4"/>
  <c r="S241" i="4"/>
  <c r="M241" i="4"/>
  <c r="J241" i="4"/>
  <c r="I241" i="4"/>
  <c r="G241" i="4"/>
  <c r="F241" i="4"/>
  <c r="E241" i="4"/>
  <c r="B241" i="4"/>
  <c r="A241" i="4"/>
  <c r="Z240" i="4"/>
  <c r="W240" i="4"/>
  <c r="V240" i="4"/>
  <c r="S240" i="4"/>
  <c r="M240" i="4"/>
  <c r="J240" i="4"/>
  <c r="I240" i="4"/>
  <c r="G240" i="4"/>
  <c r="F240" i="4"/>
  <c r="E240" i="4"/>
  <c r="B240" i="4"/>
  <c r="A240" i="4"/>
  <c r="Z239" i="4"/>
  <c r="W239" i="4"/>
  <c r="V239" i="4"/>
  <c r="S239" i="4"/>
  <c r="M239" i="4"/>
  <c r="J239" i="4"/>
  <c r="I239" i="4"/>
  <c r="G239" i="4"/>
  <c r="F239" i="4"/>
  <c r="E239" i="4"/>
  <c r="B239" i="4"/>
  <c r="A239" i="4"/>
  <c r="Z238" i="4"/>
  <c r="W238" i="4"/>
  <c r="V238" i="4"/>
  <c r="S238" i="4"/>
  <c r="M238" i="4"/>
  <c r="J238" i="4"/>
  <c r="I238" i="4"/>
  <c r="G238" i="4"/>
  <c r="F238" i="4"/>
  <c r="E238" i="4"/>
  <c r="B238" i="4"/>
  <c r="A238" i="4"/>
  <c r="Z237" i="4"/>
  <c r="W237" i="4"/>
  <c r="V237" i="4"/>
  <c r="S237" i="4"/>
  <c r="M237" i="4"/>
  <c r="J237" i="4"/>
  <c r="I237" i="4"/>
  <c r="G237" i="4"/>
  <c r="F237" i="4"/>
  <c r="E237" i="4"/>
  <c r="B237" i="4"/>
  <c r="A237" i="4"/>
  <c r="Z236" i="4"/>
  <c r="W236" i="4"/>
  <c r="V236" i="4"/>
  <c r="S236" i="4"/>
  <c r="M236" i="4"/>
  <c r="J236" i="4"/>
  <c r="I236" i="4"/>
  <c r="G236" i="4"/>
  <c r="F236" i="4"/>
  <c r="E236" i="4"/>
  <c r="B236" i="4"/>
  <c r="A236" i="4"/>
  <c r="Z235" i="4"/>
  <c r="W235" i="4"/>
  <c r="V235" i="4"/>
  <c r="S235" i="4"/>
  <c r="M235" i="4"/>
  <c r="J235" i="4"/>
  <c r="I235" i="4"/>
  <c r="G235" i="4"/>
  <c r="F235" i="4"/>
  <c r="E235" i="4"/>
  <c r="B235" i="4"/>
  <c r="A235" i="4"/>
  <c r="Z234" i="4"/>
  <c r="W234" i="4"/>
  <c r="V234" i="4"/>
  <c r="S234" i="4"/>
  <c r="M234" i="4"/>
  <c r="J234" i="4"/>
  <c r="I234" i="4"/>
  <c r="G234" i="4"/>
  <c r="F234" i="4"/>
  <c r="E234" i="4"/>
  <c r="B234" i="4"/>
  <c r="A234" i="4"/>
  <c r="Z233" i="4"/>
  <c r="W233" i="4"/>
  <c r="V233" i="4"/>
  <c r="S233" i="4"/>
  <c r="M233" i="4"/>
  <c r="J233" i="4"/>
  <c r="I233" i="4"/>
  <c r="G233" i="4"/>
  <c r="F233" i="4"/>
  <c r="E233" i="4"/>
  <c r="B233" i="4"/>
  <c r="A233" i="4"/>
  <c r="Z232" i="4"/>
  <c r="W232" i="4"/>
  <c r="V232" i="4"/>
  <c r="S232" i="4"/>
  <c r="M232" i="4"/>
  <c r="J232" i="4"/>
  <c r="I232" i="4"/>
  <c r="G232" i="4"/>
  <c r="F232" i="4"/>
  <c r="E232" i="4"/>
  <c r="B232" i="4"/>
  <c r="A232" i="4"/>
  <c r="Z231" i="4"/>
  <c r="W231" i="4"/>
  <c r="V231" i="4"/>
  <c r="S231" i="4"/>
  <c r="M231" i="4"/>
  <c r="J231" i="4"/>
  <c r="I231" i="4"/>
  <c r="G231" i="4"/>
  <c r="F231" i="4"/>
  <c r="E231" i="4"/>
  <c r="B231" i="4"/>
  <c r="A231" i="4"/>
  <c r="Z230" i="4"/>
  <c r="W230" i="4"/>
  <c r="V230" i="4"/>
  <c r="S230" i="4"/>
  <c r="M230" i="4"/>
  <c r="J230" i="4"/>
  <c r="I230" i="4"/>
  <c r="G230" i="4"/>
  <c r="F230" i="4"/>
  <c r="E230" i="4"/>
  <c r="B230" i="4"/>
  <c r="A230" i="4"/>
  <c r="Z229" i="4"/>
  <c r="W229" i="4"/>
  <c r="V229" i="4"/>
  <c r="S229" i="4"/>
  <c r="M229" i="4"/>
  <c r="J229" i="4"/>
  <c r="I229" i="4"/>
  <c r="G229" i="4"/>
  <c r="F229" i="4"/>
  <c r="E229" i="4"/>
  <c r="B229" i="4"/>
  <c r="A229" i="4"/>
  <c r="Z228" i="4"/>
  <c r="W228" i="4"/>
  <c r="V228" i="4"/>
  <c r="S228" i="4"/>
  <c r="M228" i="4"/>
  <c r="J228" i="4"/>
  <c r="I228" i="4"/>
  <c r="G228" i="4"/>
  <c r="F228" i="4"/>
  <c r="E228" i="4"/>
  <c r="B228" i="4"/>
  <c r="A228" i="4"/>
  <c r="Z227" i="4"/>
  <c r="W227" i="4"/>
  <c r="V227" i="4"/>
  <c r="S227" i="4"/>
  <c r="M227" i="4"/>
  <c r="J227" i="4"/>
  <c r="I227" i="4"/>
  <c r="G227" i="4"/>
  <c r="F227" i="4"/>
  <c r="E227" i="4"/>
  <c r="B227" i="4"/>
  <c r="A227" i="4"/>
  <c r="Z226" i="4"/>
  <c r="W226" i="4"/>
  <c r="V226" i="4"/>
  <c r="S226" i="4"/>
  <c r="M226" i="4"/>
  <c r="J226" i="4"/>
  <c r="I226" i="4"/>
  <c r="G226" i="4"/>
  <c r="F226" i="4"/>
  <c r="E226" i="4"/>
  <c r="B226" i="4"/>
  <c r="A226" i="4"/>
  <c r="Z225" i="4"/>
  <c r="W225" i="4"/>
  <c r="V225" i="4"/>
  <c r="S225" i="4"/>
  <c r="M225" i="4"/>
  <c r="J225" i="4"/>
  <c r="I225" i="4"/>
  <c r="G225" i="4"/>
  <c r="F225" i="4"/>
  <c r="E225" i="4"/>
  <c r="B225" i="4"/>
  <c r="A225" i="4"/>
  <c r="Z224" i="4"/>
  <c r="W224" i="4"/>
  <c r="V224" i="4"/>
  <c r="S224" i="4"/>
  <c r="M224" i="4"/>
  <c r="J224" i="4"/>
  <c r="I224" i="4"/>
  <c r="G224" i="4"/>
  <c r="F224" i="4"/>
  <c r="E224" i="4"/>
  <c r="B224" i="4"/>
  <c r="A224" i="4"/>
  <c r="Z223" i="4"/>
  <c r="W223" i="4"/>
  <c r="V223" i="4"/>
  <c r="S223" i="4"/>
  <c r="M223" i="4"/>
  <c r="J223" i="4"/>
  <c r="I223" i="4"/>
  <c r="G223" i="4"/>
  <c r="F223" i="4"/>
  <c r="E223" i="4"/>
  <c r="B223" i="4"/>
  <c r="A223" i="4"/>
  <c r="Z222" i="4"/>
  <c r="W222" i="4"/>
  <c r="V222" i="4"/>
  <c r="S222" i="4"/>
  <c r="M222" i="4"/>
  <c r="J222" i="4"/>
  <c r="I222" i="4"/>
  <c r="G222" i="4"/>
  <c r="F222" i="4"/>
  <c r="E222" i="4"/>
  <c r="B222" i="4"/>
  <c r="A222" i="4"/>
  <c r="Z221" i="4"/>
  <c r="W221" i="4"/>
  <c r="V221" i="4"/>
  <c r="S221" i="4"/>
  <c r="M221" i="4"/>
  <c r="J221" i="4"/>
  <c r="I221" i="4"/>
  <c r="G221" i="4"/>
  <c r="F221" i="4"/>
  <c r="E221" i="4"/>
  <c r="B221" i="4"/>
  <c r="A221" i="4"/>
  <c r="Z220" i="4"/>
  <c r="W220" i="4"/>
  <c r="V220" i="4"/>
  <c r="S220" i="4"/>
  <c r="M220" i="4"/>
  <c r="J220" i="4"/>
  <c r="I220" i="4"/>
  <c r="G220" i="4"/>
  <c r="F220" i="4"/>
  <c r="E220" i="4"/>
  <c r="B220" i="4"/>
  <c r="A220" i="4"/>
  <c r="Z219" i="4"/>
  <c r="W219" i="4"/>
  <c r="V219" i="4"/>
  <c r="S219" i="4"/>
  <c r="M219" i="4"/>
  <c r="J219" i="4"/>
  <c r="I219" i="4"/>
  <c r="G219" i="4"/>
  <c r="F219" i="4"/>
  <c r="E219" i="4"/>
  <c r="B219" i="4"/>
  <c r="A219" i="4"/>
  <c r="Z218" i="4"/>
  <c r="W218" i="4"/>
  <c r="V218" i="4"/>
  <c r="S218" i="4"/>
  <c r="M218" i="4"/>
  <c r="J218" i="4"/>
  <c r="I218" i="4"/>
  <c r="G218" i="4"/>
  <c r="F218" i="4"/>
  <c r="E218" i="4"/>
  <c r="B218" i="4"/>
  <c r="A218" i="4"/>
  <c r="Z217" i="4"/>
  <c r="W217" i="4"/>
  <c r="V217" i="4"/>
  <c r="S217" i="4"/>
  <c r="M217" i="4"/>
  <c r="J217" i="4"/>
  <c r="I217" i="4"/>
  <c r="G217" i="4"/>
  <c r="F217" i="4"/>
  <c r="E217" i="4"/>
  <c r="B217" i="4"/>
  <c r="A217" i="4"/>
  <c r="Z216" i="4"/>
  <c r="W216" i="4"/>
  <c r="V216" i="4"/>
  <c r="S216" i="4"/>
  <c r="M216" i="4"/>
  <c r="J216" i="4"/>
  <c r="I216" i="4"/>
  <c r="G216" i="4"/>
  <c r="F216" i="4"/>
  <c r="E216" i="4"/>
  <c r="B216" i="4"/>
  <c r="A216" i="4"/>
  <c r="Z215" i="4"/>
  <c r="W215" i="4"/>
  <c r="V215" i="4"/>
  <c r="S215" i="4"/>
  <c r="M215" i="4"/>
  <c r="J215" i="4"/>
  <c r="I215" i="4"/>
  <c r="G215" i="4"/>
  <c r="F215" i="4"/>
  <c r="E215" i="4"/>
  <c r="B215" i="4"/>
  <c r="A215" i="4"/>
  <c r="Z214" i="4"/>
  <c r="W214" i="4"/>
  <c r="V214" i="4"/>
  <c r="S214" i="4"/>
  <c r="M214" i="4"/>
  <c r="J214" i="4"/>
  <c r="I214" i="4"/>
  <c r="G214" i="4"/>
  <c r="F214" i="4"/>
  <c r="E214" i="4"/>
  <c r="B214" i="4"/>
  <c r="A214" i="4"/>
  <c r="Z213" i="4"/>
  <c r="W213" i="4"/>
  <c r="V213" i="4"/>
  <c r="S213" i="4"/>
  <c r="M213" i="4"/>
  <c r="J213" i="4"/>
  <c r="I213" i="4"/>
  <c r="G213" i="4"/>
  <c r="F213" i="4"/>
  <c r="E213" i="4"/>
  <c r="B213" i="4"/>
  <c r="A213" i="4"/>
  <c r="Z212" i="4"/>
  <c r="W212" i="4"/>
  <c r="V212" i="4"/>
  <c r="S212" i="4"/>
  <c r="M212" i="4"/>
  <c r="J212" i="4"/>
  <c r="I212" i="4"/>
  <c r="G212" i="4"/>
  <c r="F212" i="4"/>
  <c r="E212" i="4"/>
  <c r="B212" i="4"/>
  <c r="A212" i="4"/>
  <c r="Z211" i="4"/>
  <c r="W211" i="4"/>
  <c r="V211" i="4"/>
  <c r="S211" i="4"/>
  <c r="M211" i="4"/>
  <c r="J211" i="4"/>
  <c r="I211" i="4"/>
  <c r="G211" i="4"/>
  <c r="F211" i="4"/>
  <c r="E211" i="4"/>
  <c r="B211" i="4"/>
  <c r="A211" i="4"/>
  <c r="Z210" i="4"/>
  <c r="W210" i="4"/>
  <c r="V210" i="4"/>
  <c r="S210" i="4"/>
  <c r="M210" i="4"/>
  <c r="J210" i="4"/>
  <c r="I210" i="4"/>
  <c r="G210" i="4"/>
  <c r="F210" i="4"/>
  <c r="E210" i="4"/>
  <c r="B210" i="4"/>
  <c r="A210" i="4"/>
  <c r="Z209" i="4"/>
  <c r="W209" i="4"/>
  <c r="V209" i="4"/>
  <c r="S209" i="4"/>
  <c r="M209" i="4"/>
  <c r="J209" i="4"/>
  <c r="I209" i="4"/>
  <c r="G209" i="4"/>
  <c r="F209" i="4"/>
  <c r="E209" i="4"/>
  <c r="B209" i="4"/>
  <c r="A209" i="4"/>
  <c r="Z208" i="4"/>
  <c r="W208" i="4"/>
  <c r="V208" i="4"/>
  <c r="S208" i="4"/>
  <c r="M208" i="4"/>
  <c r="J208" i="4"/>
  <c r="I208" i="4"/>
  <c r="G208" i="4"/>
  <c r="F208" i="4"/>
  <c r="E208" i="4"/>
  <c r="B208" i="4"/>
  <c r="A208" i="4"/>
  <c r="Z207" i="4"/>
  <c r="W207" i="4"/>
  <c r="V207" i="4"/>
  <c r="S207" i="4"/>
  <c r="M207" i="4"/>
  <c r="J207" i="4"/>
  <c r="I207" i="4"/>
  <c r="G207" i="4"/>
  <c r="F207" i="4"/>
  <c r="E207" i="4"/>
  <c r="B207" i="4"/>
  <c r="A207" i="4"/>
  <c r="Z206" i="4"/>
  <c r="W206" i="4"/>
  <c r="V206" i="4"/>
  <c r="S206" i="4"/>
  <c r="M206" i="4"/>
  <c r="J206" i="4"/>
  <c r="I206" i="4"/>
  <c r="G206" i="4"/>
  <c r="F206" i="4"/>
  <c r="E206" i="4"/>
  <c r="B206" i="4"/>
  <c r="A206" i="4"/>
  <c r="Z205" i="4"/>
  <c r="W205" i="4"/>
  <c r="V205" i="4"/>
  <c r="S205" i="4"/>
  <c r="M205" i="4"/>
  <c r="J205" i="4"/>
  <c r="I205" i="4"/>
  <c r="G205" i="4"/>
  <c r="F205" i="4"/>
  <c r="E205" i="4"/>
  <c r="B205" i="4"/>
  <c r="A205" i="4"/>
  <c r="Z204" i="4"/>
  <c r="W204" i="4"/>
  <c r="V204" i="4"/>
  <c r="S204" i="4"/>
  <c r="M204" i="4"/>
  <c r="J204" i="4"/>
  <c r="I204" i="4"/>
  <c r="G204" i="4"/>
  <c r="F204" i="4"/>
  <c r="E204" i="4"/>
  <c r="B204" i="4"/>
  <c r="A204" i="4"/>
  <c r="Z203" i="4"/>
  <c r="W203" i="4"/>
  <c r="V203" i="4"/>
  <c r="S203" i="4"/>
  <c r="M203" i="4"/>
  <c r="J203" i="4"/>
  <c r="I203" i="4"/>
  <c r="G203" i="4"/>
  <c r="F203" i="4"/>
  <c r="E203" i="4"/>
  <c r="B203" i="4"/>
  <c r="A203" i="4"/>
  <c r="Z202" i="4"/>
  <c r="W202" i="4"/>
  <c r="V202" i="4"/>
  <c r="S202" i="4"/>
  <c r="M202" i="4"/>
  <c r="J202" i="4"/>
  <c r="I202" i="4"/>
  <c r="G202" i="4"/>
  <c r="F202" i="4"/>
  <c r="E202" i="4"/>
  <c r="B202" i="4"/>
  <c r="A202" i="4"/>
  <c r="Z201" i="4"/>
  <c r="W201" i="4"/>
  <c r="V201" i="4"/>
  <c r="S201" i="4"/>
  <c r="M201" i="4"/>
  <c r="J201" i="4"/>
  <c r="I201" i="4"/>
  <c r="G201" i="4"/>
  <c r="F201" i="4"/>
  <c r="E201" i="4"/>
  <c r="B201" i="4"/>
  <c r="A201" i="4"/>
  <c r="Z200" i="4"/>
  <c r="W200" i="4"/>
  <c r="V200" i="4"/>
  <c r="Z176" i="4"/>
  <c r="W176" i="4"/>
  <c r="V176" i="4"/>
  <c r="S176" i="4"/>
  <c r="M176" i="4"/>
  <c r="J176" i="4"/>
  <c r="I176" i="4"/>
  <c r="G176" i="4"/>
  <c r="F176" i="4"/>
  <c r="E176" i="4"/>
  <c r="B176" i="4"/>
  <c r="A176" i="4"/>
  <c r="Z175" i="4"/>
  <c r="W175" i="4"/>
  <c r="V175" i="4"/>
  <c r="S175" i="4"/>
  <c r="M175" i="4"/>
  <c r="J175" i="4"/>
  <c r="I175" i="4"/>
  <c r="G175" i="4"/>
  <c r="F175" i="4"/>
  <c r="E175" i="4"/>
  <c r="B175" i="4"/>
  <c r="A175" i="4"/>
  <c r="Z174" i="4"/>
  <c r="W174" i="4"/>
  <c r="V174" i="4"/>
  <c r="S174" i="4"/>
  <c r="M174" i="4"/>
  <c r="J174" i="4"/>
  <c r="I174" i="4"/>
  <c r="G174" i="4"/>
  <c r="F174" i="4"/>
  <c r="E174" i="4"/>
  <c r="B174" i="4"/>
  <c r="A174" i="4"/>
  <c r="Z173" i="4"/>
  <c r="W173" i="4"/>
  <c r="V173" i="4"/>
  <c r="S173" i="4"/>
  <c r="M173" i="4"/>
  <c r="J173" i="4"/>
  <c r="I173" i="4"/>
  <c r="G173" i="4"/>
  <c r="F173" i="4"/>
  <c r="E173" i="4"/>
  <c r="B173" i="4"/>
  <c r="A173" i="4"/>
  <c r="Z172" i="4"/>
  <c r="W172" i="4"/>
  <c r="V172" i="4"/>
  <c r="S172" i="4"/>
  <c r="M172" i="4"/>
  <c r="J172" i="4"/>
  <c r="I172" i="4"/>
  <c r="G172" i="4"/>
  <c r="F172" i="4"/>
  <c r="E172" i="4"/>
  <c r="B172" i="4"/>
  <c r="A172" i="4"/>
  <c r="Z171" i="4"/>
  <c r="W171" i="4"/>
  <c r="V171" i="4"/>
  <c r="S171" i="4"/>
  <c r="M171" i="4"/>
  <c r="J171" i="4"/>
  <c r="I171" i="4"/>
  <c r="G171" i="4"/>
  <c r="F171" i="4"/>
  <c r="E171" i="4"/>
  <c r="B171" i="4"/>
  <c r="A171" i="4"/>
  <c r="Z170" i="4"/>
  <c r="W170" i="4"/>
  <c r="V170" i="4"/>
  <c r="S170" i="4"/>
  <c r="M170" i="4"/>
  <c r="J170" i="4"/>
  <c r="I170" i="4"/>
  <c r="G170" i="4"/>
  <c r="F170" i="4"/>
  <c r="E170" i="4"/>
  <c r="B170" i="4"/>
  <c r="A170" i="4"/>
  <c r="Z169" i="4"/>
  <c r="W169" i="4"/>
  <c r="V169" i="4"/>
  <c r="S169" i="4"/>
  <c r="M169" i="4"/>
  <c r="J169" i="4"/>
  <c r="I169" i="4"/>
  <c r="G169" i="4"/>
  <c r="F169" i="4"/>
  <c r="E169" i="4"/>
  <c r="B169" i="4"/>
  <c r="A169" i="4"/>
  <c r="Z168" i="4"/>
  <c r="W168" i="4"/>
  <c r="V168" i="4"/>
  <c r="S168" i="4"/>
  <c r="M168" i="4"/>
  <c r="J168" i="4"/>
  <c r="I168" i="4"/>
  <c r="G168" i="4"/>
  <c r="F168" i="4"/>
  <c r="E168" i="4"/>
  <c r="B168" i="4"/>
  <c r="A168" i="4"/>
  <c r="Z167" i="4"/>
  <c r="W167" i="4"/>
  <c r="V167" i="4"/>
  <c r="S167" i="4"/>
  <c r="M167" i="4"/>
  <c r="J167" i="4"/>
  <c r="I167" i="4"/>
  <c r="G167" i="4"/>
  <c r="F167" i="4"/>
  <c r="E167" i="4"/>
  <c r="B167" i="4"/>
  <c r="A167" i="4"/>
  <c r="Z166" i="4"/>
  <c r="W166" i="4"/>
  <c r="V166" i="4"/>
  <c r="S166" i="4"/>
  <c r="M166" i="4"/>
  <c r="J166" i="4"/>
  <c r="I166" i="4"/>
  <c r="G166" i="4"/>
  <c r="F166" i="4"/>
  <c r="E166" i="4"/>
  <c r="B166" i="4"/>
  <c r="A166" i="4"/>
  <c r="Z165" i="4"/>
  <c r="W165" i="4"/>
  <c r="V165" i="4"/>
  <c r="S165" i="4"/>
  <c r="M165" i="4"/>
  <c r="J165" i="4"/>
  <c r="I165" i="4"/>
  <c r="G165" i="4"/>
  <c r="F165" i="4"/>
  <c r="E165" i="4"/>
  <c r="B165" i="4"/>
  <c r="A165" i="4"/>
  <c r="Z164" i="4"/>
  <c r="W164" i="4"/>
  <c r="V164" i="4"/>
  <c r="S164" i="4"/>
  <c r="M164" i="4"/>
  <c r="J164" i="4"/>
  <c r="I164" i="4"/>
  <c r="G164" i="4"/>
  <c r="F164" i="4"/>
  <c r="E164" i="4"/>
  <c r="B164" i="4"/>
  <c r="A164" i="4"/>
  <c r="Z163" i="4"/>
  <c r="W163" i="4"/>
  <c r="V163" i="4"/>
  <c r="S163" i="4"/>
  <c r="M163" i="4"/>
  <c r="J163" i="4"/>
  <c r="I163" i="4"/>
  <c r="G163" i="4"/>
  <c r="F163" i="4"/>
  <c r="E163" i="4"/>
  <c r="B163" i="4"/>
  <c r="A163" i="4"/>
  <c r="Z162" i="4"/>
  <c r="W162" i="4"/>
  <c r="V162" i="4"/>
  <c r="S162" i="4"/>
  <c r="M162" i="4"/>
  <c r="J162" i="4"/>
  <c r="I162" i="4"/>
  <c r="G162" i="4"/>
  <c r="F162" i="4"/>
  <c r="E162" i="4"/>
  <c r="B162" i="4"/>
  <c r="A162" i="4"/>
  <c r="Z161" i="4"/>
  <c r="W161" i="4"/>
  <c r="V161" i="4"/>
  <c r="S161" i="4"/>
  <c r="M161" i="4"/>
  <c r="J161" i="4"/>
  <c r="I161" i="4"/>
  <c r="G161" i="4"/>
  <c r="F161" i="4"/>
  <c r="E161" i="4"/>
  <c r="B161" i="4"/>
  <c r="A161" i="4"/>
  <c r="Z160" i="4"/>
  <c r="W160" i="4"/>
  <c r="V160" i="4"/>
  <c r="S160" i="4"/>
  <c r="M160" i="4"/>
  <c r="J160" i="4"/>
  <c r="I160" i="4"/>
  <c r="G160" i="4"/>
  <c r="F160" i="4"/>
  <c r="E160" i="4"/>
  <c r="B160" i="4"/>
  <c r="A160" i="4"/>
  <c r="Z159" i="4"/>
  <c r="W159" i="4"/>
  <c r="V159" i="4"/>
  <c r="S159" i="4"/>
  <c r="M159" i="4"/>
  <c r="J159" i="4"/>
  <c r="I159" i="4"/>
  <c r="G159" i="4"/>
  <c r="F159" i="4"/>
  <c r="E159" i="4"/>
  <c r="B159" i="4"/>
  <c r="A159" i="4"/>
  <c r="Z158" i="4"/>
  <c r="W158" i="4"/>
  <c r="V158" i="4"/>
  <c r="S158" i="4"/>
  <c r="M158" i="4"/>
  <c r="J158" i="4"/>
  <c r="I158" i="4"/>
  <c r="G158" i="4"/>
  <c r="F158" i="4"/>
  <c r="E158" i="4"/>
  <c r="B158" i="4"/>
  <c r="A158" i="4"/>
  <c r="Z157" i="4"/>
  <c r="W157" i="4"/>
  <c r="V157" i="4"/>
  <c r="S157" i="4"/>
  <c r="M157" i="4"/>
  <c r="J157" i="4"/>
  <c r="I157" i="4"/>
  <c r="G157" i="4"/>
  <c r="F157" i="4"/>
  <c r="E157" i="4"/>
  <c r="B157" i="4"/>
  <c r="A157" i="4"/>
  <c r="Z156" i="4"/>
  <c r="W156" i="4"/>
  <c r="V156" i="4"/>
  <c r="S156" i="4"/>
  <c r="M156" i="4"/>
  <c r="J156" i="4"/>
  <c r="I156" i="4"/>
  <c r="G156" i="4"/>
  <c r="F156" i="4"/>
  <c r="E156" i="4"/>
  <c r="B156" i="4"/>
  <c r="A156" i="4"/>
  <c r="Z155" i="4"/>
  <c r="W155" i="4"/>
  <c r="V155" i="4"/>
  <c r="S155" i="4"/>
  <c r="M155" i="4"/>
  <c r="J155" i="4"/>
  <c r="I155" i="4"/>
  <c r="G155" i="4"/>
  <c r="F155" i="4"/>
  <c r="E155" i="4"/>
  <c r="B155" i="4"/>
  <c r="A155" i="4"/>
  <c r="Z154" i="4"/>
  <c r="W154" i="4"/>
  <c r="V154" i="4"/>
  <c r="S154" i="4"/>
  <c r="M154" i="4"/>
  <c r="J154" i="4"/>
  <c r="I154" i="4"/>
  <c r="G154" i="4"/>
  <c r="F154" i="4"/>
  <c r="E154" i="4"/>
  <c r="B154" i="4"/>
  <c r="A154" i="4"/>
  <c r="Z153" i="4"/>
  <c r="W153" i="4"/>
  <c r="V153" i="4"/>
  <c r="S153" i="4"/>
  <c r="M153" i="4"/>
  <c r="J153" i="4"/>
  <c r="I153" i="4"/>
  <c r="G153" i="4"/>
  <c r="F153" i="4"/>
  <c r="E153" i="4"/>
  <c r="B153" i="4"/>
  <c r="A153" i="4"/>
  <c r="Z152" i="4"/>
  <c r="W152" i="4"/>
  <c r="V152" i="4"/>
  <c r="S152" i="4"/>
  <c r="M152" i="4"/>
  <c r="J152" i="4"/>
  <c r="I152" i="4"/>
  <c r="G152" i="4"/>
  <c r="F152" i="4"/>
  <c r="E152" i="4"/>
  <c r="B152" i="4"/>
  <c r="A152" i="4"/>
  <c r="Z151" i="4"/>
  <c r="W151" i="4"/>
  <c r="V151" i="4"/>
  <c r="S151" i="4"/>
  <c r="M151" i="4"/>
  <c r="J151" i="4"/>
  <c r="I151" i="4"/>
  <c r="G151" i="4"/>
  <c r="F151" i="4"/>
  <c r="E151" i="4"/>
  <c r="B151" i="4"/>
  <c r="A151" i="4"/>
  <c r="Z150" i="4"/>
  <c r="W150" i="4"/>
  <c r="V150" i="4"/>
  <c r="S150" i="4"/>
  <c r="M150" i="4"/>
  <c r="J150" i="4"/>
  <c r="I150" i="4"/>
  <c r="G150" i="4"/>
  <c r="F150" i="4"/>
  <c r="E150" i="4"/>
  <c r="B150" i="4"/>
  <c r="A150" i="4"/>
  <c r="Z149" i="4"/>
  <c r="W149" i="4"/>
  <c r="V149" i="4"/>
  <c r="S149" i="4"/>
  <c r="M149" i="4"/>
  <c r="J149" i="4"/>
  <c r="I149" i="4"/>
  <c r="G149" i="4"/>
  <c r="F149" i="4"/>
  <c r="E149" i="4"/>
  <c r="B149" i="4"/>
  <c r="A149" i="4"/>
  <c r="Z148" i="4"/>
  <c r="W148" i="4"/>
  <c r="V148" i="4"/>
  <c r="S148" i="4"/>
  <c r="M148" i="4"/>
  <c r="J148" i="4"/>
  <c r="I148" i="4"/>
  <c r="G148" i="4"/>
  <c r="F148" i="4"/>
  <c r="E148" i="4"/>
  <c r="B148" i="4"/>
  <c r="A148" i="4"/>
  <c r="Z147" i="4"/>
  <c r="W147" i="4"/>
  <c r="V147" i="4"/>
  <c r="S147" i="4"/>
  <c r="M147" i="4"/>
  <c r="J147" i="4"/>
  <c r="I147" i="4"/>
  <c r="G147" i="4"/>
  <c r="F147" i="4"/>
  <c r="E147" i="4"/>
  <c r="B147" i="4"/>
  <c r="A147" i="4"/>
  <c r="Z146" i="4"/>
  <c r="W146" i="4"/>
  <c r="V146" i="4"/>
  <c r="S146" i="4"/>
  <c r="M146" i="4"/>
  <c r="J146" i="4"/>
  <c r="I146" i="4"/>
  <c r="G146" i="4"/>
  <c r="F146" i="4"/>
  <c r="E146" i="4"/>
  <c r="B146" i="4"/>
  <c r="A146" i="4"/>
  <c r="Z145" i="4"/>
  <c r="W145" i="4"/>
  <c r="V145" i="4"/>
  <c r="S145" i="4"/>
  <c r="M145" i="4"/>
  <c r="J145" i="4"/>
  <c r="I145" i="4"/>
  <c r="G145" i="4"/>
  <c r="F145" i="4"/>
  <c r="E145" i="4"/>
  <c r="B145" i="4"/>
  <c r="A145" i="4"/>
  <c r="Z144" i="4"/>
  <c r="W144" i="4"/>
  <c r="V144" i="4"/>
  <c r="S144" i="4"/>
  <c r="M144" i="4"/>
  <c r="J144" i="4"/>
  <c r="I144" i="4"/>
  <c r="G144" i="4"/>
  <c r="F144" i="4"/>
  <c r="E144" i="4"/>
  <c r="B144" i="4"/>
  <c r="A144" i="4"/>
  <c r="Z143" i="4"/>
  <c r="W143" i="4"/>
  <c r="V143" i="4"/>
  <c r="S143" i="4"/>
  <c r="M143" i="4"/>
  <c r="J143" i="4"/>
  <c r="I143" i="4"/>
  <c r="G143" i="4"/>
  <c r="F143" i="4"/>
  <c r="E143" i="4"/>
  <c r="B143" i="4"/>
  <c r="A143" i="4"/>
  <c r="Z142" i="4"/>
  <c r="W142" i="4"/>
  <c r="V142" i="4"/>
  <c r="S142" i="4"/>
  <c r="M142" i="4"/>
  <c r="J142" i="4"/>
  <c r="I142" i="4"/>
  <c r="G142" i="4"/>
  <c r="F142" i="4"/>
  <c r="E142" i="4"/>
  <c r="B142" i="4"/>
  <c r="A142" i="4"/>
  <c r="Z141" i="4"/>
  <c r="W141" i="4"/>
  <c r="V141" i="4"/>
  <c r="S141" i="4"/>
  <c r="M141" i="4"/>
  <c r="J141" i="4"/>
  <c r="I141" i="4"/>
  <c r="G141" i="4"/>
  <c r="F141" i="4"/>
  <c r="E141" i="4"/>
  <c r="B141" i="4"/>
  <c r="A141" i="4"/>
  <c r="Z140" i="4"/>
  <c r="W140" i="4"/>
  <c r="V140" i="4"/>
  <c r="S140" i="4"/>
  <c r="M140" i="4"/>
  <c r="J140" i="4"/>
  <c r="I140" i="4"/>
  <c r="G140" i="4"/>
  <c r="F140" i="4"/>
  <c r="E140" i="4"/>
  <c r="B140" i="4"/>
  <c r="A140" i="4"/>
  <c r="Z139" i="4"/>
  <c r="W139" i="4"/>
  <c r="V139" i="4"/>
  <c r="S139" i="4"/>
  <c r="M139" i="4"/>
  <c r="J139" i="4"/>
  <c r="I139" i="4"/>
  <c r="G139" i="4"/>
  <c r="F139" i="4"/>
  <c r="E139" i="4"/>
  <c r="B139" i="4"/>
  <c r="A139" i="4"/>
  <c r="Z138" i="4"/>
  <c r="W138" i="4"/>
  <c r="V138" i="4"/>
  <c r="S138" i="4"/>
  <c r="M138" i="4"/>
  <c r="J138" i="4"/>
  <c r="I138" i="4"/>
  <c r="G138" i="4"/>
  <c r="F138" i="4"/>
  <c r="E138" i="4"/>
  <c r="B138" i="4"/>
  <c r="A138" i="4"/>
  <c r="Z137" i="4"/>
  <c r="W137" i="4"/>
  <c r="V137" i="4"/>
  <c r="S137" i="4"/>
  <c r="M137" i="4"/>
  <c r="J137" i="4"/>
  <c r="I137" i="4"/>
  <c r="G137" i="4"/>
  <c r="F137" i="4"/>
  <c r="E137" i="4"/>
  <c r="Z71" i="4"/>
  <c r="W71" i="4"/>
  <c r="V71" i="4"/>
  <c r="S71" i="4"/>
  <c r="M71" i="4"/>
  <c r="J71" i="4"/>
  <c r="I71" i="4"/>
  <c r="G71" i="4"/>
  <c r="F71" i="4"/>
  <c r="E71" i="4"/>
  <c r="B71" i="4"/>
  <c r="A71" i="4"/>
  <c r="Z70" i="4"/>
  <c r="W70" i="4"/>
  <c r="V70" i="4"/>
  <c r="S70" i="4"/>
  <c r="M70" i="4"/>
  <c r="J70" i="4"/>
  <c r="I70" i="4"/>
  <c r="G70" i="4"/>
  <c r="F70" i="4"/>
  <c r="E70" i="4"/>
  <c r="B70" i="4"/>
  <c r="A70" i="4"/>
  <c r="Z69" i="4"/>
  <c r="W69" i="4"/>
  <c r="V69" i="4"/>
  <c r="S69" i="4"/>
  <c r="M69" i="4"/>
  <c r="J69" i="4"/>
  <c r="I69" i="4"/>
  <c r="G69" i="4"/>
  <c r="F69" i="4"/>
  <c r="E69" i="4"/>
  <c r="B69" i="4"/>
  <c r="A69" i="4"/>
  <c r="Z68" i="4"/>
  <c r="W68" i="4"/>
  <c r="V68" i="4"/>
  <c r="S68" i="4"/>
  <c r="M68" i="4"/>
  <c r="J68" i="4"/>
  <c r="I68" i="4"/>
  <c r="G68" i="4"/>
  <c r="F68" i="4"/>
  <c r="E68" i="4"/>
  <c r="B68" i="4"/>
  <c r="A68" i="4"/>
  <c r="Z35" i="4"/>
  <c r="W35" i="4"/>
  <c r="V35" i="4"/>
  <c r="S35" i="4"/>
  <c r="M35" i="4"/>
  <c r="J35" i="4"/>
  <c r="I35" i="4"/>
  <c r="G35" i="4"/>
  <c r="F35" i="4"/>
  <c r="E35" i="4"/>
  <c r="B35" i="4"/>
  <c r="A35" i="4"/>
  <c r="Z34" i="4"/>
  <c r="W34" i="4"/>
  <c r="V34" i="4"/>
  <c r="S34" i="4"/>
  <c r="M34" i="4"/>
  <c r="J34" i="4"/>
  <c r="I34" i="4"/>
  <c r="G34" i="4"/>
  <c r="F34" i="4"/>
  <c r="E34" i="4"/>
  <c r="B34" i="4"/>
  <c r="A34" i="4"/>
  <c r="Z33" i="4"/>
  <c r="W33" i="4"/>
  <c r="V33" i="4"/>
  <c r="S33" i="4"/>
  <c r="M33" i="4"/>
  <c r="J33" i="4"/>
  <c r="I33" i="4"/>
  <c r="G33" i="4"/>
  <c r="F33" i="4"/>
  <c r="E33" i="4"/>
  <c r="B33" i="4"/>
  <c r="A33" i="4"/>
  <c r="Z32" i="4"/>
  <c r="W32" i="4"/>
  <c r="V32" i="4"/>
  <c r="S32" i="4"/>
  <c r="M32" i="4"/>
  <c r="J32" i="4"/>
  <c r="I32" i="4"/>
  <c r="G32" i="4"/>
  <c r="F32" i="4"/>
  <c r="E32" i="4"/>
  <c r="B32" i="4"/>
  <c r="A32" i="4"/>
  <c r="Z31" i="4"/>
  <c r="W31" i="4"/>
  <c r="V31" i="4"/>
  <c r="S31" i="4"/>
  <c r="M31" i="4"/>
  <c r="J31" i="4"/>
  <c r="I31" i="4"/>
  <c r="G31" i="4"/>
  <c r="F31" i="4"/>
  <c r="E31" i="4"/>
  <c r="B31" i="4"/>
  <c r="A31" i="4"/>
  <c r="Z30" i="4"/>
  <c r="W30" i="4"/>
  <c r="V30" i="4"/>
  <c r="S30" i="4"/>
  <c r="M30" i="4"/>
  <c r="J30" i="4"/>
  <c r="I30" i="4"/>
  <c r="G30" i="4"/>
  <c r="F30" i="4"/>
  <c r="E30" i="4"/>
  <c r="B30" i="4"/>
  <c r="A30" i="4"/>
  <c r="Z29" i="4"/>
  <c r="W29" i="4"/>
  <c r="V29" i="4"/>
  <c r="S29" i="4"/>
  <c r="M29" i="4"/>
  <c r="J29" i="4"/>
  <c r="I29" i="4"/>
  <c r="G29" i="4"/>
  <c r="F29" i="4"/>
  <c r="E29" i="4"/>
  <c r="B29" i="4"/>
  <c r="A29" i="4"/>
  <c r="Z28" i="4"/>
  <c r="W28" i="4"/>
  <c r="V28" i="4"/>
  <c r="S28" i="4"/>
  <c r="M28" i="4"/>
  <c r="J28" i="4"/>
  <c r="I28" i="4"/>
  <c r="G28" i="4"/>
  <c r="F28" i="4"/>
  <c r="E28" i="4"/>
  <c r="B28" i="4"/>
  <c r="A28" i="4"/>
  <c r="Z27" i="4"/>
  <c r="W27" i="4"/>
  <c r="V27" i="4"/>
  <c r="S27" i="4"/>
  <c r="M27" i="4"/>
  <c r="J27" i="4"/>
  <c r="I27" i="4"/>
  <c r="G27" i="4"/>
  <c r="F27" i="4"/>
  <c r="E27" i="4"/>
  <c r="B27" i="4"/>
  <c r="A27" i="4"/>
  <c r="Z26" i="4"/>
  <c r="W26" i="4"/>
  <c r="V26" i="4"/>
  <c r="S26" i="4"/>
  <c r="M26" i="4"/>
  <c r="J26" i="4"/>
  <c r="I26" i="4"/>
  <c r="G26" i="4"/>
  <c r="F26" i="4"/>
  <c r="E26" i="4"/>
  <c r="B26" i="4"/>
  <c r="A26" i="4"/>
  <c r="Z25" i="4"/>
  <c r="W25" i="4"/>
  <c r="V25" i="4"/>
  <c r="S25" i="4"/>
  <c r="M25" i="4"/>
  <c r="J25" i="4"/>
  <c r="I25" i="4"/>
  <c r="G25" i="4"/>
  <c r="F25" i="4"/>
  <c r="E25" i="4"/>
  <c r="B25" i="4"/>
  <c r="A25" i="4"/>
  <c r="Z24" i="4"/>
  <c r="W24" i="4"/>
  <c r="V24" i="4"/>
  <c r="S24" i="4"/>
  <c r="M24" i="4"/>
  <c r="J24" i="4"/>
  <c r="I24" i="4"/>
  <c r="G24" i="4"/>
  <c r="F24" i="4"/>
  <c r="E24" i="4"/>
  <c r="B24" i="4"/>
  <c r="A24" i="4"/>
  <c r="Z23" i="4"/>
  <c r="W23" i="4"/>
  <c r="V23" i="4"/>
  <c r="S23" i="4"/>
  <c r="M23" i="4"/>
  <c r="J23" i="4"/>
  <c r="I23" i="4"/>
  <c r="G23" i="4"/>
  <c r="F23" i="4"/>
  <c r="E23" i="4"/>
  <c r="B23" i="4"/>
  <c r="A23" i="4"/>
  <c r="Z22" i="4"/>
  <c r="W22" i="4"/>
  <c r="V22" i="4"/>
  <c r="S22" i="4"/>
  <c r="M22" i="4"/>
  <c r="J22" i="4"/>
  <c r="I22" i="4"/>
  <c r="G22" i="4"/>
  <c r="F22" i="4"/>
  <c r="E22" i="4"/>
  <c r="B22" i="4"/>
  <c r="A22" i="4"/>
  <c r="Z21" i="4"/>
  <c r="W21" i="4"/>
  <c r="V21" i="4"/>
  <c r="S21" i="4"/>
  <c r="M21" i="4"/>
  <c r="J21" i="4"/>
  <c r="I21" i="4"/>
  <c r="G21" i="4"/>
  <c r="F21" i="4"/>
  <c r="E21" i="4"/>
  <c r="B21" i="4"/>
  <c r="A21" i="4"/>
  <c r="Z20" i="4"/>
  <c r="W20" i="4"/>
  <c r="V20" i="4"/>
  <c r="S20" i="4"/>
  <c r="M20" i="4"/>
  <c r="J20" i="4"/>
  <c r="I20" i="4"/>
  <c r="G20" i="4"/>
  <c r="F20" i="4"/>
  <c r="E20" i="4"/>
  <c r="B20" i="4"/>
  <c r="A20" i="4"/>
  <c r="Z19" i="4"/>
  <c r="W19" i="4"/>
  <c r="V19" i="4"/>
  <c r="S19" i="4"/>
  <c r="M19" i="4"/>
  <c r="J19" i="4"/>
  <c r="I19" i="4"/>
  <c r="G19" i="4"/>
  <c r="F19" i="4"/>
  <c r="E19" i="4"/>
  <c r="B19" i="4"/>
  <c r="A19" i="4"/>
  <c r="Z18" i="4"/>
  <c r="W18" i="4"/>
  <c r="V18" i="4"/>
  <c r="S18" i="4"/>
  <c r="M18" i="4"/>
  <c r="J18" i="4"/>
  <c r="I18" i="4"/>
  <c r="G18" i="4"/>
  <c r="F18" i="4"/>
  <c r="E18" i="4"/>
  <c r="B18" i="4"/>
  <c r="A18" i="4"/>
  <c r="Z17" i="4"/>
  <c r="W17" i="4"/>
  <c r="V17" i="4"/>
  <c r="S17" i="4"/>
  <c r="M17" i="4"/>
  <c r="J17" i="4"/>
  <c r="I17" i="4"/>
  <c r="G17" i="4"/>
  <c r="F17" i="4"/>
  <c r="E17" i="4"/>
  <c r="B17" i="4"/>
  <c r="A17" i="4"/>
  <c r="Z16" i="4"/>
  <c r="W16" i="4"/>
  <c r="V16" i="4"/>
  <c r="S16" i="4"/>
  <c r="M16" i="4"/>
  <c r="J16" i="4"/>
  <c r="I16" i="4"/>
  <c r="G16" i="4"/>
  <c r="F16" i="4"/>
  <c r="E16" i="4"/>
  <c r="B16" i="4"/>
  <c r="A16" i="4"/>
  <c r="Z15" i="4"/>
  <c r="W15" i="4"/>
  <c r="V15" i="4"/>
  <c r="S15" i="4"/>
  <c r="M15" i="4"/>
  <c r="J15" i="4"/>
  <c r="I15" i="4"/>
  <c r="G15" i="4"/>
  <c r="F15" i="4"/>
  <c r="E15" i="4"/>
  <c r="B15" i="4"/>
  <c r="A15" i="4"/>
  <c r="Z14" i="4"/>
  <c r="W14" i="4"/>
  <c r="V14" i="4"/>
  <c r="S14" i="4"/>
  <c r="M14" i="4"/>
  <c r="J14" i="4"/>
  <c r="I14" i="4"/>
  <c r="G14" i="4"/>
  <c r="F14" i="4"/>
  <c r="E14" i="4"/>
  <c r="B14" i="4"/>
  <c r="A14" i="4"/>
  <c r="Z13" i="4"/>
  <c r="W13" i="4"/>
  <c r="V13" i="4"/>
  <c r="S13" i="4"/>
  <c r="M13" i="4"/>
  <c r="J13" i="4"/>
  <c r="I13" i="4"/>
  <c r="G13" i="4"/>
  <c r="F13" i="4"/>
  <c r="E13" i="4"/>
  <c r="B13" i="4"/>
  <c r="A13" i="4"/>
  <c r="Z12" i="4"/>
  <c r="W12" i="4"/>
  <c r="V12" i="4"/>
  <c r="S12" i="4"/>
  <c r="M12" i="4"/>
  <c r="J12" i="4"/>
  <c r="I12" i="4"/>
  <c r="G12" i="4"/>
  <c r="F12" i="4"/>
  <c r="E12" i="4"/>
  <c r="B12" i="4"/>
  <c r="A12" i="4"/>
  <c r="Z11" i="4"/>
  <c r="W11" i="4"/>
  <c r="V11" i="4"/>
  <c r="S11" i="4"/>
  <c r="M11" i="4"/>
  <c r="J11" i="4"/>
  <c r="I11" i="4"/>
  <c r="G11" i="4"/>
  <c r="F11" i="4"/>
  <c r="E11" i="4"/>
  <c r="B11" i="4"/>
  <c r="A11" i="4"/>
  <c r="Z10" i="4"/>
  <c r="W10" i="4"/>
  <c r="V10" i="4"/>
  <c r="S10" i="4"/>
  <c r="M10" i="4"/>
  <c r="J10" i="4"/>
  <c r="I10" i="4"/>
  <c r="G10" i="4"/>
  <c r="F10" i="4"/>
  <c r="E10" i="4"/>
  <c r="AQ242" i="3"/>
  <c r="A242" i="3"/>
  <c r="AQ241" i="3"/>
  <c r="A241" i="3"/>
  <c r="AQ240" i="3"/>
  <c r="A240" i="3"/>
  <c r="AQ239" i="3"/>
  <c r="A239" i="3"/>
  <c r="AQ238" i="3"/>
  <c r="A238" i="3"/>
  <c r="AQ237" i="3"/>
  <c r="A237" i="3"/>
  <c r="AQ236" i="3"/>
  <c r="A236" i="3"/>
  <c r="AQ235" i="3"/>
  <c r="A235" i="3"/>
  <c r="AQ234" i="3"/>
  <c r="A234" i="3"/>
  <c r="AQ233" i="3"/>
  <c r="A233" i="3"/>
  <c r="AQ232" i="3"/>
  <c r="A232" i="3"/>
  <c r="AQ231" i="3"/>
  <c r="A231" i="3"/>
  <c r="AQ230" i="3"/>
  <c r="A230" i="3"/>
  <c r="AQ229" i="3"/>
  <c r="A229" i="3"/>
  <c r="AQ228" i="3"/>
  <c r="A228" i="3"/>
  <c r="AQ227" i="3"/>
  <c r="A227" i="3"/>
  <c r="AQ226" i="3"/>
  <c r="A226" i="3"/>
  <c r="AQ225" i="3"/>
  <c r="A225" i="3"/>
  <c r="AQ224" i="3"/>
  <c r="A224" i="3"/>
  <c r="AQ223" i="3"/>
  <c r="A223" i="3"/>
  <c r="AQ222" i="3"/>
  <c r="A222" i="3"/>
  <c r="AQ221" i="3"/>
  <c r="A221" i="3"/>
  <c r="AQ220" i="3"/>
  <c r="A220" i="3"/>
  <c r="AQ219" i="3"/>
  <c r="A219" i="3"/>
  <c r="AQ218" i="3"/>
  <c r="A218" i="3"/>
  <c r="AQ217" i="3"/>
  <c r="A217" i="3"/>
  <c r="AQ216" i="3"/>
  <c r="A216" i="3"/>
  <c r="AQ215" i="3"/>
  <c r="A215" i="3"/>
  <c r="AQ214" i="3"/>
  <c r="A214" i="3"/>
  <c r="AQ213" i="3"/>
  <c r="A213" i="3"/>
  <c r="AQ212" i="3"/>
  <c r="Y212" i="3"/>
  <c r="X212" i="3"/>
  <c r="M212" i="3"/>
  <c r="A212" i="3"/>
  <c r="AQ211" i="3"/>
  <c r="A211" i="3"/>
  <c r="AQ210" i="3"/>
  <c r="A210" i="3"/>
  <c r="AQ209" i="3"/>
  <c r="A209" i="3"/>
  <c r="AQ208" i="3"/>
  <c r="A208" i="3"/>
  <c r="AQ207" i="3"/>
  <c r="A207" i="3"/>
  <c r="AQ206" i="3"/>
  <c r="A206" i="3"/>
  <c r="AQ205" i="3"/>
  <c r="A205" i="3"/>
  <c r="AQ204" i="3"/>
  <c r="A204" i="3"/>
  <c r="AQ203" i="3"/>
  <c r="A203" i="3"/>
  <c r="AQ202" i="3"/>
  <c r="A202" i="3"/>
  <c r="AQ201" i="3"/>
  <c r="A201" i="3"/>
  <c r="AQ200" i="3"/>
  <c r="A200" i="3"/>
  <c r="AQ199" i="3"/>
  <c r="A199" i="3"/>
  <c r="AQ198" i="3"/>
  <c r="A198" i="3"/>
  <c r="AQ197" i="3"/>
  <c r="A197" i="3"/>
  <c r="AQ196" i="3"/>
  <c r="A196" i="3"/>
  <c r="AQ195" i="3"/>
  <c r="A195" i="3"/>
  <c r="AQ194" i="3"/>
  <c r="A194" i="3"/>
  <c r="AQ193" i="3"/>
  <c r="B193" i="3"/>
  <c r="A193" i="3"/>
  <c r="AQ192" i="3"/>
  <c r="A192" i="3"/>
  <c r="AQ191" i="3"/>
  <c r="A191" i="3"/>
  <c r="AQ190" i="3"/>
  <c r="A190" i="3"/>
  <c r="AQ189" i="3"/>
  <c r="A189" i="3"/>
  <c r="AQ188" i="3"/>
  <c r="A188" i="3"/>
  <c r="AQ187" i="3"/>
  <c r="A187" i="3"/>
  <c r="AQ186" i="3"/>
  <c r="A186" i="3"/>
  <c r="AQ185" i="3"/>
  <c r="A185" i="3"/>
  <c r="AQ184" i="3"/>
  <c r="A184" i="3"/>
  <c r="AQ183" i="3"/>
  <c r="A183" i="3"/>
  <c r="AQ182" i="3"/>
  <c r="A182" i="3"/>
  <c r="AQ181" i="3"/>
  <c r="A181" i="3"/>
  <c r="AQ180" i="3"/>
  <c r="A180" i="3"/>
  <c r="AQ179" i="3"/>
  <c r="A179" i="3"/>
  <c r="AQ178" i="3"/>
  <c r="A178" i="3"/>
  <c r="AQ177" i="3"/>
  <c r="A177" i="3"/>
  <c r="AQ176" i="3"/>
  <c r="A176" i="3"/>
  <c r="AQ175" i="3"/>
  <c r="A175" i="3"/>
  <c r="AQ174" i="3"/>
  <c r="A174" i="3"/>
  <c r="AQ173" i="3"/>
  <c r="A173" i="3"/>
  <c r="AQ172" i="3"/>
  <c r="A172" i="3"/>
  <c r="AQ171" i="3"/>
  <c r="A171" i="3"/>
  <c r="AQ170" i="3"/>
  <c r="A170" i="3"/>
  <c r="AQ169" i="3"/>
  <c r="A169" i="3"/>
  <c r="AQ168" i="3"/>
  <c r="A168" i="3"/>
  <c r="AQ167" i="3"/>
  <c r="A167" i="3"/>
  <c r="AQ166" i="3"/>
  <c r="A166" i="3"/>
  <c r="AQ165" i="3"/>
  <c r="A165" i="3"/>
  <c r="AQ164" i="3"/>
  <c r="A164" i="3"/>
  <c r="AQ163" i="3"/>
  <c r="A163" i="3"/>
  <c r="AQ162" i="3"/>
  <c r="A162" i="3"/>
  <c r="AQ161" i="3"/>
  <c r="A161" i="3"/>
  <c r="AQ160" i="3"/>
  <c r="A160" i="3"/>
  <c r="AQ159" i="3"/>
  <c r="A159" i="3"/>
  <c r="AQ158" i="3"/>
  <c r="A158" i="3"/>
  <c r="AQ157" i="3"/>
  <c r="A157" i="3"/>
  <c r="AQ156" i="3"/>
  <c r="A156" i="3"/>
  <c r="AQ155" i="3"/>
  <c r="A155" i="3"/>
  <c r="AQ154" i="3"/>
  <c r="A154" i="3"/>
  <c r="AQ153" i="3"/>
  <c r="A153" i="3"/>
  <c r="AQ152" i="3"/>
  <c r="A152" i="3"/>
  <c r="AQ151" i="3"/>
  <c r="A151" i="3"/>
  <c r="AQ150" i="3"/>
  <c r="A150" i="3"/>
  <c r="AQ149" i="3"/>
  <c r="A149" i="3"/>
  <c r="AQ148" i="3"/>
  <c r="A148" i="3"/>
  <c r="AQ147" i="3"/>
  <c r="A147" i="3"/>
  <c r="AQ146" i="3"/>
  <c r="A146" i="3"/>
  <c r="AQ145" i="3"/>
  <c r="A145" i="3"/>
  <c r="AQ144" i="3"/>
  <c r="A144" i="3"/>
  <c r="AQ143" i="3"/>
  <c r="A143" i="3"/>
  <c r="AQ142" i="3"/>
  <c r="A142" i="3"/>
  <c r="AQ141" i="3"/>
  <c r="A141" i="3"/>
  <c r="AQ140" i="3"/>
  <c r="A140" i="3"/>
  <c r="AQ139" i="3"/>
  <c r="A139" i="3"/>
  <c r="AQ138" i="3"/>
  <c r="A138" i="3"/>
  <c r="AQ137" i="3"/>
  <c r="A137" i="3"/>
  <c r="AQ136" i="3"/>
  <c r="A136" i="3"/>
  <c r="AQ135" i="3"/>
  <c r="A135" i="3"/>
  <c r="AQ134" i="3"/>
  <c r="A134" i="3"/>
  <c r="AQ133" i="3"/>
  <c r="A133" i="3"/>
  <c r="AQ132" i="3"/>
  <c r="A132" i="3"/>
  <c r="AQ131" i="3"/>
  <c r="A131" i="3"/>
  <c r="AQ130" i="3"/>
  <c r="A130" i="3"/>
  <c r="AQ129" i="3"/>
  <c r="A129" i="3"/>
  <c r="AQ128" i="3"/>
  <c r="A128" i="3"/>
  <c r="AQ127" i="3"/>
  <c r="A127" i="3"/>
  <c r="AQ126" i="3"/>
  <c r="A126" i="3"/>
  <c r="AQ125" i="3"/>
  <c r="A125" i="3"/>
  <c r="AQ124" i="3"/>
  <c r="A124" i="3"/>
  <c r="AQ123" i="3"/>
  <c r="A123" i="3"/>
  <c r="AQ122" i="3"/>
  <c r="A122" i="3"/>
  <c r="AQ121" i="3"/>
  <c r="A121" i="3"/>
  <c r="AQ120" i="3"/>
  <c r="A120" i="3"/>
  <c r="AQ119" i="3"/>
  <c r="A119" i="3"/>
  <c r="AQ118" i="3"/>
  <c r="A118" i="3"/>
  <c r="AQ117" i="3"/>
  <c r="A117" i="3"/>
  <c r="AQ116" i="3"/>
  <c r="A116" i="3"/>
  <c r="AQ115" i="3"/>
  <c r="A115" i="3"/>
  <c r="AQ114" i="3"/>
  <c r="A114" i="3"/>
  <c r="AQ113" i="3"/>
  <c r="A113" i="3"/>
  <c r="AQ112" i="3"/>
  <c r="A112" i="3"/>
  <c r="AQ111" i="3"/>
  <c r="A111" i="3"/>
  <c r="AQ110" i="3"/>
  <c r="A110" i="3"/>
  <c r="AQ109" i="3"/>
  <c r="A109" i="3"/>
  <c r="AQ108" i="3"/>
  <c r="A108" i="3"/>
  <c r="AQ107" i="3"/>
  <c r="A107" i="3"/>
  <c r="AQ106" i="3"/>
  <c r="Y106" i="3"/>
  <c r="X106" i="3"/>
  <c r="A106" i="3"/>
  <c r="AQ105" i="3"/>
  <c r="A105" i="3"/>
  <c r="AQ104" i="3"/>
  <c r="A104" i="3"/>
  <c r="AQ103" i="3"/>
  <c r="A103" i="3"/>
  <c r="AQ102" i="3"/>
  <c r="A102" i="3"/>
  <c r="AQ101" i="3"/>
  <c r="A101" i="3"/>
  <c r="AQ100" i="3"/>
  <c r="H100" i="3"/>
  <c r="A100" i="3"/>
  <c r="AQ99" i="3"/>
  <c r="A99" i="3"/>
  <c r="AQ98" i="3"/>
  <c r="A98" i="3"/>
  <c r="AQ97" i="3"/>
  <c r="A97" i="3"/>
  <c r="AQ96" i="3"/>
  <c r="A96" i="3"/>
  <c r="AQ95" i="3"/>
  <c r="A95" i="3"/>
  <c r="AQ94" i="3"/>
  <c r="A94" i="3"/>
  <c r="AQ93" i="3"/>
  <c r="A93" i="3"/>
  <c r="AQ92" i="3"/>
  <c r="A92" i="3"/>
  <c r="AQ91" i="3"/>
  <c r="A91" i="3"/>
  <c r="AQ90" i="3"/>
  <c r="A90" i="3"/>
  <c r="AQ89" i="3"/>
  <c r="A89" i="3"/>
  <c r="AQ88" i="3"/>
  <c r="A88" i="3"/>
  <c r="AQ87" i="3"/>
  <c r="A87" i="3"/>
  <c r="AQ86" i="3"/>
  <c r="A86" i="3"/>
  <c r="AQ85" i="3"/>
  <c r="A85" i="3"/>
  <c r="AQ84" i="3"/>
  <c r="A84" i="3"/>
  <c r="AQ83" i="3"/>
  <c r="A83" i="3"/>
  <c r="AQ82" i="3"/>
  <c r="A82" i="3"/>
  <c r="AQ81" i="3"/>
  <c r="A81" i="3"/>
  <c r="AQ80" i="3"/>
  <c r="A80" i="3"/>
  <c r="AQ79" i="3"/>
  <c r="A79" i="3"/>
  <c r="AQ78" i="3"/>
  <c r="A78" i="3"/>
  <c r="AQ77" i="3"/>
  <c r="A77" i="3"/>
  <c r="AQ76" i="3"/>
  <c r="A76" i="3"/>
  <c r="AQ75" i="3"/>
  <c r="A75" i="3"/>
  <c r="AQ74" i="3"/>
  <c r="A74" i="3"/>
  <c r="AQ73" i="3"/>
  <c r="A73" i="3"/>
  <c r="AQ72" i="3"/>
  <c r="A72" i="3"/>
  <c r="AQ71" i="3"/>
  <c r="Y71" i="3"/>
  <c r="X71" i="3"/>
  <c r="M71" i="3"/>
  <c r="H71" i="3"/>
  <c r="A71" i="3"/>
  <c r="AQ70" i="3"/>
  <c r="A70" i="3"/>
  <c r="AQ69" i="3"/>
  <c r="A69" i="3"/>
  <c r="AQ68" i="3"/>
  <c r="A68" i="3"/>
  <c r="AQ67" i="3"/>
  <c r="A67" i="3"/>
  <c r="AQ66" i="3"/>
  <c r="A66" i="3"/>
  <c r="AQ65" i="3"/>
  <c r="A65" i="3"/>
  <c r="AQ64" i="3"/>
  <c r="A64" i="3"/>
  <c r="AQ63" i="3"/>
  <c r="A63" i="3"/>
  <c r="AQ62" i="3"/>
  <c r="A62" i="3"/>
  <c r="AQ61" i="3"/>
  <c r="A61" i="3"/>
  <c r="AQ60" i="3"/>
  <c r="A60" i="3"/>
  <c r="AQ59" i="3"/>
  <c r="A59" i="3"/>
  <c r="AQ58" i="3"/>
  <c r="A58" i="3"/>
  <c r="AQ57" i="3"/>
  <c r="A57" i="3"/>
  <c r="AQ56" i="3"/>
  <c r="A56" i="3"/>
  <c r="AQ55" i="3"/>
  <c r="A55" i="3"/>
  <c r="AQ54" i="3"/>
  <c r="A54" i="3"/>
  <c r="AQ53" i="3"/>
  <c r="A53" i="3"/>
  <c r="AQ52" i="3"/>
  <c r="A52" i="3"/>
  <c r="AQ51" i="3"/>
  <c r="A51" i="3"/>
  <c r="AQ50" i="3"/>
  <c r="A50" i="3"/>
  <c r="AQ49" i="3"/>
  <c r="A49" i="3"/>
  <c r="AQ48" i="3"/>
  <c r="A48" i="3"/>
  <c r="AQ47" i="3"/>
  <c r="A47" i="3"/>
  <c r="AQ46" i="3"/>
  <c r="A46" i="3"/>
  <c r="AQ45" i="3"/>
  <c r="A45" i="3"/>
  <c r="AQ44" i="3"/>
  <c r="A44" i="3"/>
  <c r="AQ43" i="3"/>
  <c r="A43" i="3"/>
  <c r="AQ42" i="3"/>
  <c r="A42" i="3"/>
  <c r="AQ41" i="3"/>
  <c r="A41" i="3"/>
  <c r="AQ40" i="3"/>
  <c r="A40" i="3"/>
  <c r="AQ39" i="3"/>
  <c r="A39" i="3"/>
  <c r="AQ38" i="3"/>
  <c r="A38" i="3"/>
  <c r="AQ37" i="3"/>
  <c r="A37" i="3"/>
  <c r="AQ36" i="3"/>
  <c r="A36" i="3"/>
  <c r="AQ35" i="3"/>
  <c r="A35" i="3"/>
  <c r="AQ34" i="3"/>
  <c r="A34" i="3"/>
  <c r="AQ33" i="3"/>
  <c r="A33" i="3"/>
  <c r="AQ32" i="3"/>
  <c r="A32" i="3"/>
  <c r="AQ31" i="3"/>
  <c r="A31" i="3"/>
  <c r="AQ30" i="3"/>
  <c r="A30" i="3"/>
  <c r="AQ29" i="3"/>
  <c r="A29" i="3"/>
  <c r="AQ28" i="3"/>
  <c r="A28" i="3"/>
  <c r="AQ27" i="3"/>
  <c r="A27" i="3"/>
  <c r="AQ26" i="3"/>
  <c r="A26" i="3"/>
  <c r="AQ25" i="3"/>
  <c r="A25" i="3"/>
  <c r="AQ24" i="3"/>
  <c r="A24" i="3"/>
  <c r="AQ23" i="3"/>
  <c r="A23" i="3"/>
  <c r="AQ22" i="3"/>
  <c r="A22" i="3"/>
  <c r="AQ21" i="3"/>
  <c r="A21" i="3"/>
  <c r="AQ20" i="3"/>
  <c r="A20" i="3"/>
  <c r="AQ19" i="3"/>
  <c r="A19" i="3"/>
  <c r="AQ18" i="3"/>
  <c r="A18" i="3"/>
  <c r="AQ17" i="3"/>
  <c r="A17" i="3"/>
  <c r="AQ16" i="3"/>
  <c r="A16" i="3"/>
  <c r="AQ15" i="3"/>
  <c r="A15" i="3"/>
  <c r="AQ14" i="3"/>
  <c r="A14" i="3"/>
  <c r="AQ13" i="3"/>
  <c r="A13" i="3"/>
  <c r="AQ12" i="3"/>
  <c r="A12" i="3"/>
  <c r="AQ11" i="3"/>
  <c r="A11" i="3"/>
  <c r="AQ10" i="3"/>
  <c r="A10" i="3"/>
  <c r="AQ9" i="3"/>
  <c r="A9" i="3"/>
  <c r="AQ8" i="3"/>
  <c r="A8" i="3"/>
  <c r="AQ7" i="3"/>
  <c r="A7" i="3"/>
  <c r="AQ6" i="3"/>
  <c r="A6" i="3"/>
  <c r="AQ5" i="3"/>
  <c r="A5" i="3"/>
  <c r="AQ4" i="3"/>
  <c r="A4" i="3"/>
  <c r="AQ3" i="3"/>
  <c r="A3" i="3"/>
  <c r="AQ2" i="3"/>
  <c r="A2" i="3"/>
  <c r="F9" i="2"/>
  <c r="F8" i="2"/>
  <c r="F7" i="2"/>
  <c r="M6" i="2"/>
  <c r="L6" i="2"/>
  <c r="K6" i="2"/>
  <c r="J6" i="2"/>
  <c r="I6" i="2"/>
  <c r="H6" i="2"/>
  <c r="F6" i="2"/>
  <c r="E62" i="1"/>
  <c r="D62" i="1"/>
  <c r="C62" i="1"/>
  <c r="A62" i="1"/>
  <c r="E61" i="1"/>
  <c r="D61" i="1"/>
  <c r="C61" i="1"/>
  <c r="A61" i="1"/>
  <c r="E60" i="1"/>
  <c r="D60" i="1"/>
  <c r="C60" i="1"/>
  <c r="A60" i="1"/>
  <c r="E59" i="1"/>
  <c r="D59" i="1"/>
  <c r="C59" i="1"/>
  <c r="A59" i="1"/>
  <c r="A23" i="1"/>
  <c r="A22" i="1"/>
  <c r="A21" i="1"/>
  <c r="B17" i="1"/>
  <c r="B6" i="1"/>
  <c r="B19" i="9" l="1"/>
  <c r="B17" i="9"/>
  <c r="B16" i="9"/>
  <c r="E6" i="6"/>
  <c r="E23" i="1" s="1"/>
  <c r="D6" i="6"/>
  <c r="D23" i="1" s="1"/>
  <c r="C6" i="6"/>
  <c r="C23" i="1" s="1"/>
  <c r="B6" i="6"/>
  <c r="B23" i="1" s="1"/>
  <c r="E5" i="6"/>
  <c r="E22" i="1" s="1"/>
  <c r="D5" i="6"/>
  <c r="D22" i="1" s="1"/>
  <c r="C5" i="6"/>
  <c r="C22" i="1" s="1"/>
  <c r="B5" i="6"/>
  <c r="B22" i="1" s="1"/>
  <c r="E4" i="6"/>
  <c r="E21" i="1" s="1"/>
  <c r="D4" i="6"/>
  <c r="D21" i="1" s="1"/>
  <c r="C4" i="6"/>
  <c r="C21" i="1" s="1"/>
  <c r="B4" i="6"/>
  <c r="B21" i="1" s="1"/>
  <c r="AO242" i="5"/>
  <c r="AN242" i="5"/>
  <c r="AM242" i="5"/>
  <c r="AL242" i="5"/>
  <c r="AK242" i="5"/>
  <c r="AI242" i="5"/>
  <c r="AH242" i="5"/>
  <c r="AG242" i="5"/>
  <c r="AF242" i="5"/>
  <c r="AE242" i="5"/>
  <c r="AC242" i="5"/>
  <c r="AB242" i="5"/>
  <c r="AA242" i="5"/>
  <c r="Z242" i="5"/>
  <c r="Y242" i="5"/>
  <c r="W242" i="5"/>
  <c r="V242" i="5"/>
  <c r="U242" i="5"/>
  <c r="T242" i="5"/>
  <c r="S242" i="5"/>
  <c r="Q242" i="5"/>
  <c r="P242" i="5"/>
  <c r="O242" i="5"/>
  <c r="N242" i="5"/>
  <c r="M242" i="5"/>
  <c r="K242" i="5"/>
  <c r="J242" i="5"/>
  <c r="I242" i="5"/>
  <c r="H242" i="5"/>
  <c r="G242" i="5"/>
  <c r="E242" i="5"/>
  <c r="D242" i="5"/>
  <c r="C242" i="5"/>
  <c r="B242" i="5"/>
  <c r="AO241" i="5"/>
  <c r="AN241" i="5"/>
  <c r="AM241" i="5"/>
  <c r="AL241" i="5"/>
  <c r="AK241" i="5"/>
  <c r="AI241" i="5"/>
  <c r="AH241" i="5"/>
  <c r="AG241" i="5"/>
  <c r="AF241" i="5"/>
  <c r="AE241" i="5"/>
  <c r="AC241" i="5"/>
  <c r="AB241" i="5"/>
  <c r="AA241" i="5"/>
  <c r="Z241" i="5"/>
  <c r="Y241" i="5"/>
  <c r="W241" i="5"/>
  <c r="V241" i="5"/>
  <c r="U241" i="5"/>
  <c r="T241" i="5"/>
  <c r="S241" i="5"/>
  <c r="Q241" i="5"/>
  <c r="P241" i="5"/>
  <c r="O241" i="5"/>
  <c r="N241" i="5"/>
  <c r="M241" i="5"/>
  <c r="K241" i="5"/>
  <c r="J241" i="5"/>
  <c r="I241" i="5"/>
  <c r="H241" i="5"/>
  <c r="G241" i="5"/>
  <c r="E241" i="5"/>
  <c r="D241" i="5"/>
  <c r="C241" i="5"/>
  <c r="B241" i="5"/>
  <c r="AO240" i="5"/>
  <c r="AN240" i="5"/>
  <c r="AM240" i="5"/>
  <c r="AL240" i="5"/>
  <c r="AK240" i="5"/>
  <c r="AI240" i="5"/>
  <c r="AH240" i="5"/>
  <c r="AG240" i="5"/>
  <c r="AF240" i="5"/>
  <c r="AE240" i="5"/>
  <c r="AC240" i="5"/>
  <c r="AB240" i="5"/>
  <c r="AA240" i="5"/>
  <c r="Z240" i="5"/>
  <c r="Y240" i="5"/>
  <c r="W240" i="5"/>
  <c r="V240" i="5"/>
  <c r="U240" i="5"/>
  <c r="T240" i="5"/>
  <c r="S240" i="5"/>
  <c r="Q240" i="5"/>
  <c r="P240" i="5"/>
  <c r="O240" i="5"/>
  <c r="N240" i="5"/>
  <c r="M240" i="5"/>
  <c r="K240" i="5"/>
  <c r="J240" i="5"/>
  <c r="I240" i="5"/>
  <c r="H240" i="5"/>
  <c r="G240" i="5"/>
  <c r="E240" i="5"/>
  <c r="D240" i="5"/>
  <c r="C240" i="5"/>
  <c r="B240" i="5"/>
  <c r="AO239" i="5"/>
  <c r="AN239" i="5"/>
  <c r="AM239" i="5"/>
  <c r="AL239" i="5"/>
  <c r="AK239" i="5"/>
  <c r="AI239" i="5"/>
  <c r="AH239" i="5"/>
  <c r="AG239" i="5"/>
  <c r="AF239" i="5"/>
  <c r="AE239" i="5"/>
  <c r="AC239" i="5"/>
  <c r="AB239" i="5"/>
  <c r="AA239" i="5"/>
  <c r="Z239" i="5"/>
  <c r="Y239" i="5"/>
  <c r="W239" i="5"/>
  <c r="V239" i="5"/>
  <c r="U239" i="5"/>
  <c r="T239" i="5"/>
  <c r="S239" i="5"/>
  <c r="Q239" i="5"/>
  <c r="P239" i="5"/>
  <c r="O239" i="5"/>
  <c r="N239" i="5"/>
  <c r="M239" i="5"/>
  <c r="K239" i="5"/>
  <c r="J239" i="5"/>
  <c r="I239" i="5"/>
  <c r="H239" i="5"/>
  <c r="G239" i="5"/>
  <c r="E239" i="5"/>
  <c r="D239" i="5"/>
  <c r="C239" i="5"/>
  <c r="B239" i="5"/>
  <c r="AO238" i="5"/>
  <c r="AN238" i="5"/>
  <c r="AM238" i="5"/>
  <c r="AL238" i="5"/>
  <c r="AK238" i="5"/>
  <c r="AI238" i="5"/>
  <c r="AH238" i="5"/>
  <c r="AG238" i="5"/>
  <c r="AF238" i="5"/>
  <c r="AE238" i="5"/>
  <c r="AC238" i="5"/>
  <c r="AB238" i="5"/>
  <c r="AA238" i="5"/>
  <c r="Z238" i="5"/>
  <c r="Y238" i="5"/>
  <c r="W238" i="5"/>
  <c r="V238" i="5"/>
  <c r="U238" i="5"/>
  <c r="T238" i="5"/>
  <c r="S238" i="5"/>
  <c r="Q238" i="5"/>
  <c r="P238" i="5"/>
  <c r="O238" i="5"/>
  <c r="N238" i="5"/>
  <c r="M238" i="5"/>
  <c r="K238" i="5"/>
  <c r="J238" i="5"/>
  <c r="I238" i="5"/>
  <c r="H238" i="5"/>
  <c r="G238" i="5"/>
  <c r="E238" i="5"/>
  <c r="D238" i="5"/>
  <c r="C238" i="5"/>
  <c r="B238" i="5"/>
  <c r="AO237" i="5"/>
  <c r="AN237" i="5"/>
  <c r="AM237" i="5"/>
  <c r="AL237" i="5"/>
  <c r="AK237" i="5"/>
  <c r="AI237" i="5"/>
  <c r="AH237" i="5"/>
  <c r="AG237" i="5"/>
  <c r="AF237" i="5"/>
  <c r="AE237" i="5"/>
  <c r="AC237" i="5"/>
  <c r="AB237" i="5"/>
  <c r="AA237" i="5"/>
  <c r="Z237" i="5"/>
  <c r="Y237" i="5"/>
  <c r="W237" i="5"/>
  <c r="V237" i="5"/>
  <c r="U237" i="5"/>
  <c r="T237" i="5"/>
  <c r="S237" i="5"/>
  <c r="Q237" i="5"/>
  <c r="P237" i="5"/>
  <c r="O237" i="5"/>
  <c r="N237" i="5"/>
  <c r="M237" i="5"/>
  <c r="K237" i="5"/>
  <c r="J237" i="5"/>
  <c r="I237" i="5"/>
  <c r="H237" i="5"/>
  <c r="G237" i="5"/>
  <c r="E237" i="5"/>
  <c r="D237" i="5"/>
  <c r="C237" i="5"/>
  <c r="B237" i="5"/>
  <c r="AO236" i="5"/>
  <c r="AN236" i="5"/>
  <c r="AM236" i="5"/>
  <c r="AL236" i="5"/>
  <c r="AK236" i="5"/>
  <c r="AI236" i="5"/>
  <c r="AH236" i="5"/>
  <c r="AG236" i="5"/>
  <c r="AF236" i="5"/>
  <c r="AE236" i="5"/>
  <c r="AC236" i="5"/>
  <c r="AB236" i="5"/>
  <c r="AA236" i="5"/>
  <c r="Z236" i="5"/>
  <c r="Y236" i="5"/>
  <c r="W236" i="5"/>
  <c r="V236" i="5"/>
  <c r="U236" i="5"/>
  <c r="T236" i="5"/>
  <c r="S236" i="5"/>
  <c r="Q236" i="5"/>
  <c r="P236" i="5"/>
  <c r="O236" i="5"/>
  <c r="N236" i="5"/>
  <c r="M236" i="5"/>
  <c r="K236" i="5"/>
  <c r="J236" i="5"/>
  <c r="I236" i="5"/>
  <c r="H236" i="5"/>
  <c r="G236" i="5"/>
  <c r="E236" i="5"/>
  <c r="D236" i="5"/>
  <c r="C236" i="5"/>
  <c r="B236" i="5"/>
  <c r="AO235" i="5"/>
  <c r="AN235" i="5"/>
  <c r="AM235" i="5"/>
  <c r="AL235" i="5"/>
  <c r="AK235" i="5"/>
  <c r="AI235" i="5"/>
  <c r="AH235" i="5"/>
  <c r="AG235" i="5"/>
  <c r="AF235" i="5"/>
  <c r="AE235" i="5"/>
  <c r="AC235" i="5"/>
  <c r="AB235" i="5"/>
  <c r="AA235" i="5"/>
  <c r="Z235" i="5"/>
  <c r="Y235" i="5"/>
  <c r="W235" i="5"/>
  <c r="V235" i="5"/>
  <c r="U235" i="5"/>
  <c r="T235" i="5"/>
  <c r="S235" i="5"/>
  <c r="Q235" i="5"/>
  <c r="P235" i="5"/>
  <c r="O235" i="5"/>
  <c r="N235" i="5"/>
  <c r="M235" i="5"/>
  <c r="K235" i="5"/>
  <c r="J235" i="5"/>
  <c r="I235" i="5"/>
  <c r="H235" i="5"/>
  <c r="G235" i="5"/>
  <c r="E235" i="5"/>
  <c r="D235" i="5"/>
  <c r="C235" i="5"/>
  <c r="B235" i="5"/>
  <c r="AO234" i="5"/>
  <c r="AN234" i="5"/>
  <c r="AM234" i="5"/>
  <c r="AL234" i="5"/>
  <c r="AK234" i="5"/>
  <c r="AI234" i="5"/>
  <c r="AH234" i="5"/>
  <c r="AG234" i="5"/>
  <c r="AF234" i="5"/>
  <c r="AE234" i="5"/>
  <c r="AC234" i="5"/>
  <c r="AB234" i="5"/>
  <c r="AA234" i="5"/>
  <c r="Z234" i="5"/>
  <c r="Y234" i="5"/>
  <c r="W234" i="5"/>
  <c r="V234" i="5"/>
  <c r="U234" i="5"/>
  <c r="T234" i="5"/>
  <c r="S234" i="5"/>
  <c r="Q234" i="5"/>
  <c r="P234" i="5"/>
  <c r="O234" i="5"/>
  <c r="N234" i="5"/>
  <c r="M234" i="5"/>
  <c r="K234" i="5"/>
  <c r="J234" i="5"/>
  <c r="I234" i="5"/>
  <c r="H234" i="5"/>
  <c r="G234" i="5"/>
  <c r="E234" i="5"/>
  <c r="D234" i="5"/>
  <c r="C234" i="5"/>
  <c r="B234" i="5"/>
  <c r="AO233" i="5"/>
  <c r="AN233" i="5"/>
  <c r="AM233" i="5"/>
  <c r="AL233" i="5"/>
  <c r="AK233" i="5"/>
  <c r="AI233" i="5"/>
  <c r="AH233" i="5"/>
  <c r="AG233" i="5"/>
  <c r="AF233" i="5"/>
  <c r="AE233" i="5"/>
  <c r="AC233" i="5"/>
  <c r="AB233" i="5"/>
  <c r="AA233" i="5"/>
  <c r="Z233" i="5"/>
  <c r="Y233" i="5"/>
  <c r="W233" i="5"/>
  <c r="V233" i="5"/>
  <c r="U233" i="5"/>
  <c r="T233" i="5"/>
  <c r="S233" i="5"/>
  <c r="Q233" i="5"/>
  <c r="P233" i="5"/>
  <c r="O233" i="5"/>
  <c r="N233" i="5"/>
  <c r="M233" i="5"/>
  <c r="K233" i="5"/>
  <c r="J233" i="5"/>
  <c r="I233" i="5"/>
  <c r="H233" i="5"/>
  <c r="G233" i="5"/>
  <c r="E233" i="5"/>
  <c r="D233" i="5"/>
  <c r="C233" i="5"/>
  <c r="B233" i="5"/>
  <c r="AO232" i="5"/>
  <c r="AN232" i="5"/>
  <c r="AM232" i="5"/>
  <c r="AL232" i="5"/>
  <c r="AK232" i="5"/>
  <c r="AI232" i="5"/>
  <c r="AH232" i="5"/>
  <c r="AG232" i="5"/>
  <c r="AF232" i="5"/>
  <c r="AE232" i="5"/>
  <c r="AC232" i="5"/>
  <c r="AB232" i="5"/>
  <c r="AA232" i="5"/>
  <c r="Z232" i="5"/>
  <c r="Y232" i="5"/>
  <c r="W232" i="5"/>
  <c r="V232" i="5"/>
  <c r="U232" i="5"/>
  <c r="T232" i="5"/>
  <c r="S232" i="5"/>
  <c r="Q232" i="5"/>
  <c r="P232" i="5"/>
  <c r="O232" i="5"/>
  <c r="N232" i="5"/>
  <c r="M232" i="5"/>
  <c r="K232" i="5"/>
  <c r="J232" i="5"/>
  <c r="I232" i="5"/>
  <c r="H232" i="5"/>
  <c r="G232" i="5"/>
  <c r="E232" i="5"/>
  <c r="D232" i="5"/>
  <c r="C232" i="5"/>
  <c r="B232" i="5"/>
  <c r="AO231" i="5"/>
  <c r="AN231" i="5"/>
  <c r="AM231" i="5"/>
  <c r="AL231" i="5"/>
  <c r="AK231" i="5"/>
  <c r="AI231" i="5"/>
  <c r="AH231" i="5"/>
  <c r="AG231" i="5"/>
  <c r="AF231" i="5"/>
  <c r="AE231" i="5"/>
  <c r="AC231" i="5"/>
  <c r="AB231" i="5"/>
  <c r="AA231" i="5"/>
  <c r="Z231" i="5"/>
  <c r="Y231" i="5"/>
  <c r="W231" i="5"/>
  <c r="V231" i="5"/>
  <c r="U231" i="5"/>
  <c r="T231" i="5"/>
  <c r="S231" i="5"/>
  <c r="Q231" i="5"/>
  <c r="P231" i="5"/>
  <c r="O231" i="5"/>
  <c r="N231" i="5"/>
  <c r="M231" i="5"/>
  <c r="K231" i="5"/>
  <c r="J231" i="5"/>
  <c r="I231" i="5"/>
  <c r="H231" i="5"/>
  <c r="G231" i="5"/>
  <c r="E231" i="5"/>
  <c r="D231" i="5"/>
  <c r="C231" i="5"/>
  <c r="B231" i="5"/>
  <c r="AO230" i="5"/>
  <c r="AN230" i="5"/>
  <c r="AM230" i="5"/>
  <c r="AL230" i="5"/>
  <c r="AK230" i="5"/>
  <c r="AI230" i="5"/>
  <c r="AH230" i="5"/>
  <c r="AG230" i="5"/>
  <c r="AF230" i="5"/>
  <c r="AE230" i="5"/>
  <c r="AC230" i="5"/>
  <c r="AB230" i="5"/>
  <c r="AA230" i="5"/>
  <c r="Z230" i="5"/>
  <c r="Y230" i="5"/>
  <c r="W230" i="5"/>
  <c r="V230" i="5"/>
  <c r="U230" i="5"/>
  <c r="T230" i="5"/>
  <c r="S230" i="5"/>
  <c r="Q230" i="5"/>
  <c r="P230" i="5"/>
  <c r="O230" i="5"/>
  <c r="N230" i="5"/>
  <c r="M230" i="5"/>
  <c r="K230" i="5"/>
  <c r="J230" i="5"/>
  <c r="I230" i="5"/>
  <c r="H230" i="5"/>
  <c r="G230" i="5"/>
  <c r="E230" i="5"/>
  <c r="D230" i="5"/>
  <c r="C230" i="5"/>
  <c r="B230" i="5"/>
  <c r="AO229" i="5"/>
  <c r="AN229" i="5"/>
  <c r="AM229" i="5"/>
  <c r="AL229" i="5"/>
  <c r="AK229" i="5"/>
  <c r="AI229" i="5"/>
  <c r="AH229" i="5"/>
  <c r="AG229" i="5"/>
  <c r="AF229" i="5"/>
  <c r="AE229" i="5"/>
  <c r="AC229" i="5"/>
  <c r="AB229" i="5"/>
  <c r="AA229" i="5"/>
  <c r="Z229" i="5"/>
  <c r="Y229" i="5"/>
  <c r="W229" i="5"/>
  <c r="V229" i="5"/>
  <c r="U229" i="5"/>
  <c r="T229" i="5"/>
  <c r="S229" i="5"/>
  <c r="Q229" i="5"/>
  <c r="P229" i="5"/>
  <c r="O229" i="5"/>
  <c r="N229" i="5"/>
  <c r="M229" i="5"/>
  <c r="K229" i="5"/>
  <c r="J229" i="5"/>
  <c r="I229" i="5"/>
  <c r="H229" i="5"/>
  <c r="G229" i="5"/>
  <c r="E229" i="5"/>
  <c r="D229" i="5"/>
  <c r="C229" i="5"/>
  <c r="B229" i="5"/>
  <c r="AO228" i="5"/>
  <c r="AN228" i="5"/>
  <c r="AM228" i="5"/>
  <c r="AL228" i="5"/>
  <c r="AK228" i="5"/>
  <c r="AI228" i="5"/>
  <c r="AH228" i="5"/>
  <c r="AG228" i="5"/>
  <c r="AF228" i="5"/>
  <c r="AE228" i="5"/>
  <c r="AC228" i="5"/>
  <c r="AB228" i="5"/>
  <c r="AA228" i="5"/>
  <c r="Z228" i="5"/>
  <c r="Y228" i="5"/>
  <c r="W228" i="5"/>
  <c r="V228" i="5"/>
  <c r="U228" i="5"/>
  <c r="T228" i="5"/>
  <c r="S228" i="5"/>
  <c r="Q228" i="5"/>
  <c r="P228" i="5"/>
  <c r="O228" i="5"/>
  <c r="N228" i="5"/>
  <c r="M228" i="5"/>
  <c r="K228" i="5"/>
  <c r="J228" i="5"/>
  <c r="I228" i="5"/>
  <c r="H228" i="5"/>
  <c r="G228" i="5"/>
  <c r="E228" i="5"/>
  <c r="D228" i="5"/>
  <c r="C228" i="5"/>
  <c r="B228" i="5"/>
  <c r="AO227" i="5"/>
  <c r="AN227" i="5"/>
  <c r="AM227" i="5"/>
  <c r="AL227" i="5"/>
  <c r="AK227" i="5"/>
  <c r="AI227" i="5"/>
  <c r="AH227" i="5"/>
  <c r="AG227" i="5"/>
  <c r="AF227" i="5"/>
  <c r="AE227" i="5"/>
  <c r="AC227" i="5"/>
  <c r="AB227" i="5"/>
  <c r="AA227" i="5"/>
  <c r="Z227" i="5"/>
  <c r="Y227" i="5"/>
  <c r="W227" i="5"/>
  <c r="V227" i="5"/>
  <c r="U227" i="5"/>
  <c r="T227" i="5"/>
  <c r="S227" i="5"/>
  <c r="Q227" i="5"/>
  <c r="P227" i="5"/>
  <c r="O227" i="5"/>
  <c r="N227" i="5"/>
  <c r="M227" i="5"/>
  <c r="K227" i="5"/>
  <c r="J227" i="5"/>
  <c r="I227" i="5"/>
  <c r="H227" i="5"/>
  <c r="G227" i="5"/>
  <c r="E227" i="5"/>
  <c r="D227" i="5"/>
  <c r="C227" i="5"/>
  <c r="B227" i="5"/>
  <c r="AO226" i="5"/>
  <c r="AN226" i="5"/>
  <c r="AM226" i="5"/>
  <c r="AL226" i="5"/>
  <c r="AK226" i="5"/>
  <c r="AI226" i="5"/>
  <c r="AH226" i="5"/>
  <c r="AG226" i="5"/>
  <c r="AF226" i="5"/>
  <c r="AE226" i="5"/>
  <c r="AC226" i="5"/>
  <c r="AB226" i="5"/>
  <c r="AA226" i="5"/>
  <c r="Z226" i="5"/>
  <c r="Y226" i="5"/>
  <c r="W226" i="5"/>
  <c r="V226" i="5"/>
  <c r="U226" i="5"/>
  <c r="T226" i="5"/>
  <c r="S226" i="5"/>
  <c r="Q226" i="5"/>
  <c r="P226" i="5"/>
  <c r="O226" i="5"/>
  <c r="N226" i="5"/>
  <c r="M226" i="5"/>
  <c r="K226" i="5"/>
  <c r="J226" i="5"/>
  <c r="I226" i="5"/>
  <c r="H226" i="5"/>
  <c r="G226" i="5"/>
  <c r="E226" i="5"/>
  <c r="D226" i="5"/>
  <c r="C226" i="5"/>
  <c r="B226" i="5"/>
  <c r="AO225" i="5"/>
  <c r="AN225" i="5"/>
  <c r="AM225" i="5"/>
  <c r="AL225" i="5"/>
  <c r="AK225" i="5"/>
  <c r="AI225" i="5"/>
  <c r="AH225" i="5"/>
  <c r="AG225" i="5"/>
  <c r="AF225" i="5"/>
  <c r="AE225" i="5"/>
  <c r="AC225" i="5"/>
  <c r="AB225" i="5"/>
  <c r="AA225" i="5"/>
  <c r="Z225" i="5"/>
  <c r="Y225" i="5"/>
  <c r="W225" i="5"/>
  <c r="V225" i="5"/>
  <c r="U225" i="5"/>
  <c r="T225" i="5"/>
  <c r="S225" i="5"/>
  <c r="Q225" i="5"/>
  <c r="P225" i="5"/>
  <c r="O225" i="5"/>
  <c r="N225" i="5"/>
  <c r="M225" i="5"/>
  <c r="K225" i="5"/>
  <c r="J225" i="5"/>
  <c r="I225" i="5"/>
  <c r="H225" i="5"/>
  <c r="G225" i="5"/>
  <c r="E225" i="5"/>
  <c r="D225" i="5"/>
  <c r="C225" i="5"/>
  <c r="B225" i="5"/>
  <c r="AO224" i="5"/>
  <c r="AN224" i="5"/>
  <c r="AM224" i="5"/>
  <c r="AL224" i="5"/>
  <c r="AK224" i="5"/>
  <c r="AI224" i="5"/>
  <c r="AH224" i="5"/>
  <c r="AG224" i="5"/>
  <c r="AF224" i="5"/>
  <c r="AE224" i="5"/>
  <c r="AC224" i="5"/>
  <c r="AB224" i="5"/>
  <c r="AA224" i="5"/>
  <c r="Z224" i="5"/>
  <c r="Y224" i="5"/>
  <c r="W224" i="5"/>
  <c r="V224" i="5"/>
  <c r="U224" i="5"/>
  <c r="T224" i="5"/>
  <c r="S224" i="5"/>
  <c r="Q224" i="5"/>
  <c r="P224" i="5"/>
  <c r="O224" i="5"/>
  <c r="N224" i="5"/>
  <c r="M224" i="5"/>
  <c r="K224" i="5"/>
  <c r="J224" i="5"/>
  <c r="I224" i="5"/>
  <c r="H224" i="5"/>
  <c r="G224" i="5"/>
  <c r="E224" i="5"/>
  <c r="D224" i="5"/>
  <c r="C224" i="5"/>
  <c r="B224" i="5"/>
  <c r="AO223" i="5"/>
  <c r="AN223" i="5"/>
  <c r="AM223" i="5"/>
  <c r="AL223" i="5"/>
  <c r="AK223" i="5"/>
  <c r="AI223" i="5"/>
  <c r="AH223" i="5"/>
  <c r="AG223" i="5"/>
  <c r="AF223" i="5"/>
  <c r="AE223" i="5"/>
  <c r="AC223" i="5"/>
  <c r="AB223" i="5"/>
  <c r="AA223" i="5"/>
  <c r="Z223" i="5"/>
  <c r="Y223" i="5"/>
  <c r="W223" i="5"/>
  <c r="V223" i="5"/>
  <c r="U223" i="5"/>
  <c r="T223" i="5"/>
  <c r="S223" i="5"/>
  <c r="Q223" i="5"/>
  <c r="P223" i="5"/>
  <c r="O223" i="5"/>
  <c r="N223" i="5"/>
  <c r="M223" i="5"/>
  <c r="K223" i="5"/>
  <c r="J223" i="5"/>
  <c r="I223" i="5"/>
  <c r="H223" i="5"/>
  <c r="G223" i="5"/>
  <c r="E223" i="5"/>
  <c r="D223" i="5"/>
  <c r="C223" i="5"/>
  <c r="B223" i="5"/>
  <c r="AO222" i="5"/>
  <c r="AN222" i="5"/>
  <c r="AM222" i="5"/>
  <c r="AL222" i="5"/>
  <c r="AK222" i="5"/>
  <c r="AI222" i="5"/>
  <c r="AH222" i="5"/>
  <c r="AG222" i="5"/>
  <c r="AF222" i="5"/>
  <c r="AE222" i="5"/>
  <c r="AC222" i="5"/>
  <c r="AB222" i="5"/>
  <c r="AA222" i="5"/>
  <c r="Z222" i="5"/>
  <c r="Y222" i="5"/>
  <c r="W222" i="5"/>
  <c r="V222" i="5"/>
  <c r="U222" i="5"/>
  <c r="T222" i="5"/>
  <c r="S222" i="5"/>
  <c r="Q222" i="5"/>
  <c r="P222" i="5"/>
  <c r="O222" i="5"/>
  <c r="N222" i="5"/>
  <c r="M222" i="5"/>
  <c r="K222" i="5"/>
  <c r="J222" i="5"/>
  <c r="I222" i="5"/>
  <c r="H222" i="5"/>
  <c r="G222" i="5"/>
  <c r="E222" i="5"/>
  <c r="D222" i="5"/>
  <c r="C222" i="5"/>
  <c r="B222" i="5"/>
  <c r="AO221" i="5"/>
  <c r="AN221" i="5"/>
  <c r="AM221" i="5"/>
  <c r="AL221" i="5"/>
  <c r="AK221" i="5"/>
  <c r="AI221" i="5"/>
  <c r="AH221" i="5"/>
  <c r="AG221" i="5"/>
  <c r="AF221" i="5"/>
  <c r="AE221" i="5"/>
  <c r="AC221" i="5"/>
  <c r="AB221" i="5"/>
  <c r="AA221" i="5"/>
  <c r="Z221" i="5"/>
  <c r="Y221" i="5"/>
  <c r="W221" i="5"/>
  <c r="V221" i="5"/>
  <c r="U221" i="5"/>
  <c r="T221" i="5"/>
  <c r="S221" i="5"/>
  <c r="Q221" i="5"/>
  <c r="P221" i="5"/>
  <c r="O221" i="5"/>
  <c r="N221" i="5"/>
  <c r="M221" i="5"/>
  <c r="K221" i="5"/>
  <c r="J221" i="5"/>
  <c r="I221" i="5"/>
  <c r="H221" i="5"/>
  <c r="G221" i="5"/>
  <c r="E221" i="5"/>
  <c r="D221" i="5"/>
  <c r="C221" i="5"/>
  <c r="B221" i="5"/>
  <c r="AO220" i="5"/>
  <c r="AN220" i="5"/>
  <c r="AM220" i="5"/>
  <c r="AL220" i="5"/>
  <c r="AK220" i="5"/>
  <c r="AI220" i="5"/>
  <c r="AH220" i="5"/>
  <c r="AG220" i="5"/>
  <c r="AF220" i="5"/>
  <c r="AE220" i="5"/>
  <c r="AC220" i="5"/>
  <c r="AB220" i="5"/>
  <c r="AA220" i="5"/>
  <c r="Z220" i="5"/>
  <c r="Y220" i="5"/>
  <c r="W220" i="5"/>
  <c r="V220" i="5"/>
  <c r="U220" i="5"/>
  <c r="T220" i="5"/>
  <c r="S220" i="5"/>
  <c r="Q220" i="5"/>
  <c r="P220" i="5"/>
  <c r="O220" i="5"/>
  <c r="N220" i="5"/>
  <c r="M220" i="5"/>
  <c r="K220" i="5"/>
  <c r="J220" i="5"/>
  <c r="I220" i="5"/>
  <c r="H220" i="5"/>
  <c r="G220" i="5"/>
  <c r="E220" i="5"/>
  <c r="D220" i="5"/>
  <c r="C220" i="5"/>
  <c r="B220" i="5"/>
  <c r="AO219" i="5"/>
  <c r="AN219" i="5"/>
  <c r="AM219" i="5"/>
  <c r="AL219" i="5"/>
  <c r="AK219" i="5"/>
  <c r="AI219" i="5"/>
  <c r="AH219" i="5"/>
  <c r="AG219" i="5"/>
  <c r="AF219" i="5"/>
  <c r="AE219" i="5"/>
  <c r="AC219" i="5"/>
  <c r="AB219" i="5"/>
  <c r="AA219" i="5"/>
  <c r="Z219" i="5"/>
  <c r="Y219" i="5"/>
  <c r="W219" i="5"/>
  <c r="V219" i="5"/>
  <c r="U219" i="5"/>
  <c r="T219" i="5"/>
  <c r="S219" i="5"/>
  <c r="Q219" i="5"/>
  <c r="P219" i="5"/>
  <c r="O219" i="5"/>
  <c r="N219" i="5"/>
  <c r="M219" i="5"/>
  <c r="K219" i="5"/>
  <c r="J219" i="5"/>
  <c r="I219" i="5"/>
  <c r="H219" i="5"/>
  <c r="G219" i="5"/>
  <c r="E219" i="5"/>
  <c r="D219" i="5"/>
  <c r="C219" i="5"/>
  <c r="B219" i="5"/>
  <c r="AO218" i="5"/>
  <c r="AN218" i="5"/>
  <c r="AM218" i="5"/>
  <c r="AL218" i="5"/>
  <c r="AK218" i="5"/>
  <c r="AI218" i="5"/>
  <c r="AH218" i="5"/>
  <c r="AG218" i="5"/>
  <c r="AF218" i="5"/>
  <c r="AE218" i="5"/>
  <c r="AC218" i="5"/>
  <c r="AB218" i="5"/>
  <c r="AA218" i="5"/>
  <c r="Z218" i="5"/>
  <c r="Y218" i="5"/>
  <c r="W218" i="5"/>
  <c r="V218" i="5"/>
  <c r="U218" i="5"/>
  <c r="T218" i="5"/>
  <c r="S218" i="5"/>
  <c r="Q218" i="5"/>
  <c r="P218" i="5"/>
  <c r="O218" i="5"/>
  <c r="N218" i="5"/>
  <c r="M218" i="5"/>
  <c r="K218" i="5"/>
  <c r="J218" i="5"/>
  <c r="I218" i="5"/>
  <c r="H218" i="5"/>
  <c r="G218" i="5"/>
  <c r="E218" i="5"/>
  <c r="D218" i="5"/>
  <c r="C218" i="5"/>
  <c r="B218" i="5"/>
  <c r="AO217" i="5"/>
  <c r="AN217" i="5"/>
  <c r="AM217" i="5"/>
  <c r="AL217" i="5"/>
  <c r="AK217" i="5"/>
  <c r="AI217" i="5"/>
  <c r="AH217" i="5"/>
  <c r="AG217" i="5"/>
  <c r="AF217" i="5"/>
  <c r="AE217" i="5"/>
  <c r="AC217" i="5"/>
  <c r="AB217" i="5"/>
  <c r="AA217" i="5"/>
  <c r="Z217" i="5"/>
  <c r="Y217" i="5"/>
  <c r="W217" i="5"/>
  <c r="V217" i="5"/>
  <c r="U217" i="5"/>
  <c r="T217" i="5"/>
  <c r="S217" i="5"/>
  <c r="Q217" i="5"/>
  <c r="P217" i="5"/>
  <c r="O217" i="5"/>
  <c r="N217" i="5"/>
  <c r="M217" i="5"/>
  <c r="K217" i="5"/>
  <c r="J217" i="5"/>
  <c r="I217" i="5"/>
  <c r="H217" i="5"/>
  <c r="G217" i="5"/>
  <c r="E217" i="5"/>
  <c r="D217" i="5"/>
  <c r="C217" i="5"/>
  <c r="B217" i="5"/>
  <c r="AO216" i="5"/>
  <c r="AN216" i="5"/>
  <c r="AM216" i="5"/>
  <c r="AL216" i="5"/>
  <c r="AK216" i="5"/>
  <c r="AI216" i="5"/>
  <c r="AH216" i="5"/>
  <c r="AG216" i="5"/>
  <c r="AF216" i="5"/>
  <c r="AE216" i="5"/>
  <c r="AC216" i="5"/>
  <c r="AB216" i="5"/>
  <c r="AA216" i="5"/>
  <c r="Z216" i="5"/>
  <c r="Y216" i="5"/>
  <c r="W216" i="5"/>
  <c r="V216" i="5"/>
  <c r="U216" i="5"/>
  <c r="T216" i="5"/>
  <c r="S216" i="5"/>
  <c r="Q216" i="5"/>
  <c r="P216" i="5"/>
  <c r="O216" i="5"/>
  <c r="N216" i="5"/>
  <c r="M216" i="5"/>
  <c r="K216" i="5"/>
  <c r="J216" i="5"/>
  <c r="I216" i="5"/>
  <c r="H216" i="5"/>
  <c r="G216" i="5"/>
  <c r="E216" i="5"/>
  <c r="D216" i="5"/>
  <c r="C216" i="5"/>
  <c r="B216" i="5"/>
  <c r="AO215" i="5"/>
  <c r="AN215" i="5"/>
  <c r="AM215" i="5"/>
  <c r="AL215" i="5"/>
  <c r="AK215" i="5"/>
  <c r="AI215" i="5"/>
  <c r="AH215" i="5"/>
  <c r="AG215" i="5"/>
  <c r="AF215" i="5"/>
  <c r="AE215" i="5"/>
  <c r="AC215" i="5"/>
  <c r="AB215" i="5"/>
  <c r="AA215" i="5"/>
  <c r="Z215" i="5"/>
  <c r="Y215" i="5"/>
  <c r="W215" i="5"/>
  <c r="V215" i="5"/>
  <c r="U215" i="5"/>
  <c r="T215" i="5"/>
  <c r="S215" i="5"/>
  <c r="Q215" i="5"/>
  <c r="P215" i="5"/>
  <c r="O215" i="5"/>
  <c r="N215" i="5"/>
  <c r="M215" i="5"/>
  <c r="K215" i="5"/>
  <c r="J215" i="5"/>
  <c r="I215" i="5"/>
  <c r="H215" i="5"/>
  <c r="G215" i="5"/>
  <c r="E215" i="5"/>
  <c r="D215" i="5"/>
  <c r="C215" i="5"/>
  <c r="B215" i="5"/>
  <c r="AO214" i="5"/>
  <c r="AN214" i="5"/>
  <c r="AM214" i="5"/>
  <c r="AL214" i="5"/>
  <c r="AK214" i="5"/>
  <c r="AI214" i="5"/>
  <c r="AH214" i="5"/>
  <c r="AG214" i="5"/>
  <c r="AF214" i="5"/>
  <c r="AE214" i="5"/>
  <c r="AC214" i="5"/>
  <c r="AB214" i="5"/>
  <c r="AA214" i="5"/>
  <c r="Z214" i="5"/>
  <c r="Y214" i="5"/>
  <c r="W214" i="5"/>
  <c r="V214" i="5"/>
  <c r="U214" i="5"/>
  <c r="T214" i="5"/>
  <c r="S214" i="5"/>
  <c r="Q214" i="5"/>
  <c r="P214" i="5"/>
  <c r="O214" i="5"/>
  <c r="N214" i="5"/>
  <c r="M214" i="5"/>
  <c r="K214" i="5"/>
  <c r="J214" i="5"/>
  <c r="I214" i="5"/>
  <c r="H214" i="5"/>
  <c r="G214" i="5"/>
  <c r="E214" i="5"/>
  <c r="D214" i="5"/>
  <c r="C214" i="5"/>
  <c r="B214" i="5"/>
  <c r="AO213" i="5"/>
  <c r="AN213" i="5"/>
  <c r="AM213" i="5"/>
  <c r="AL213" i="5"/>
  <c r="AK213" i="5"/>
  <c r="AI213" i="5"/>
  <c r="AH213" i="5"/>
  <c r="AG213" i="5"/>
  <c r="AF213" i="5"/>
  <c r="AE213" i="5"/>
  <c r="AC213" i="5"/>
  <c r="AB213" i="5"/>
  <c r="AA213" i="5"/>
  <c r="Z213" i="5"/>
  <c r="Y213" i="5"/>
  <c r="W213" i="5"/>
  <c r="V213" i="5"/>
  <c r="U213" i="5"/>
  <c r="T213" i="5"/>
  <c r="S213" i="5"/>
  <c r="Q213" i="5"/>
  <c r="P213" i="5"/>
  <c r="O213" i="5"/>
  <c r="N213" i="5"/>
  <c r="M213" i="5"/>
  <c r="K213" i="5"/>
  <c r="J213" i="5"/>
  <c r="I213" i="5"/>
  <c r="H213" i="5"/>
  <c r="G213" i="5"/>
  <c r="E213" i="5"/>
  <c r="D213" i="5"/>
  <c r="C213" i="5"/>
  <c r="B213" i="5"/>
  <c r="AO212" i="5"/>
  <c r="AN212" i="5"/>
  <c r="AM212" i="5"/>
  <c r="AL212" i="5"/>
  <c r="AK212" i="5"/>
  <c r="AI212" i="5"/>
  <c r="AH212" i="5"/>
  <c r="AG212" i="5"/>
  <c r="AF212" i="5"/>
  <c r="AE212" i="5"/>
  <c r="AC212" i="5"/>
  <c r="AB212" i="5"/>
  <c r="AA212" i="5"/>
  <c r="Z212" i="5"/>
  <c r="Y212" i="5"/>
  <c r="W212" i="5"/>
  <c r="V212" i="5"/>
  <c r="U212" i="5"/>
  <c r="T212" i="5"/>
  <c r="S212" i="5"/>
  <c r="Q212" i="5"/>
  <c r="P212" i="5"/>
  <c r="O212" i="5"/>
  <c r="N212" i="5"/>
  <c r="M212" i="5"/>
  <c r="K212" i="5"/>
  <c r="J212" i="5"/>
  <c r="I212" i="5"/>
  <c r="H212" i="5"/>
  <c r="G212" i="5"/>
  <c r="E212" i="5"/>
  <c r="D212" i="5"/>
  <c r="C212" i="5"/>
  <c r="B212" i="5"/>
  <c r="AO211" i="5"/>
  <c r="AN211" i="5"/>
  <c r="AM211" i="5"/>
  <c r="AL211" i="5"/>
  <c r="AK211" i="5"/>
  <c r="AI211" i="5"/>
  <c r="AH211" i="5"/>
  <c r="AG211" i="5"/>
  <c r="AF211" i="5"/>
  <c r="AE211" i="5"/>
  <c r="AC211" i="5"/>
  <c r="AB211" i="5"/>
  <c r="AA211" i="5"/>
  <c r="Z211" i="5"/>
  <c r="Y211" i="5"/>
  <c r="W211" i="5"/>
  <c r="V211" i="5"/>
  <c r="U211" i="5"/>
  <c r="T211" i="5"/>
  <c r="S211" i="5"/>
  <c r="Q211" i="5"/>
  <c r="P211" i="5"/>
  <c r="O211" i="5"/>
  <c r="N211" i="5"/>
  <c r="M211" i="5"/>
  <c r="K211" i="5"/>
  <c r="J211" i="5"/>
  <c r="I211" i="5"/>
  <c r="H211" i="5"/>
  <c r="G211" i="5"/>
  <c r="E211" i="5"/>
  <c r="D211" i="5"/>
  <c r="C211" i="5"/>
  <c r="B211" i="5"/>
  <c r="AO210" i="5"/>
  <c r="AN210" i="5"/>
  <c r="AM210" i="5"/>
  <c r="AL210" i="5"/>
  <c r="AK210" i="5"/>
  <c r="AI210" i="5"/>
  <c r="AH210" i="5"/>
  <c r="AG210" i="5"/>
  <c r="AF210" i="5"/>
  <c r="AE210" i="5"/>
  <c r="AC210" i="5"/>
  <c r="AB210" i="5"/>
  <c r="AA210" i="5"/>
  <c r="Z210" i="5"/>
  <c r="Y210" i="5"/>
  <c r="W210" i="5"/>
  <c r="V210" i="5"/>
  <c r="U210" i="5"/>
  <c r="T210" i="5"/>
  <c r="S210" i="5"/>
  <c r="Q210" i="5"/>
  <c r="P210" i="5"/>
  <c r="O210" i="5"/>
  <c r="N210" i="5"/>
  <c r="M210" i="5"/>
  <c r="K210" i="5"/>
  <c r="J210" i="5"/>
  <c r="I210" i="5"/>
  <c r="H210" i="5"/>
  <c r="G210" i="5"/>
  <c r="E210" i="5"/>
  <c r="D210" i="5"/>
  <c r="C210" i="5"/>
  <c r="B210" i="5"/>
  <c r="AO209" i="5"/>
  <c r="AN209" i="5"/>
  <c r="AM209" i="5"/>
  <c r="AL209" i="5"/>
  <c r="AK209" i="5"/>
  <c r="AI209" i="5"/>
  <c r="AH209" i="5"/>
  <c r="AG209" i="5"/>
  <c r="AF209" i="5"/>
  <c r="AE209" i="5"/>
  <c r="AC209" i="5"/>
  <c r="AB209" i="5"/>
  <c r="AA209" i="5"/>
  <c r="Z209" i="5"/>
  <c r="Y209" i="5"/>
  <c r="W209" i="5"/>
  <c r="V209" i="5"/>
  <c r="U209" i="5"/>
  <c r="T209" i="5"/>
  <c r="S209" i="5"/>
  <c r="Q209" i="5"/>
  <c r="P209" i="5"/>
  <c r="O209" i="5"/>
  <c r="N209" i="5"/>
  <c r="M209" i="5"/>
  <c r="K209" i="5"/>
  <c r="J209" i="5"/>
  <c r="I209" i="5"/>
  <c r="H209" i="5"/>
  <c r="G209" i="5"/>
  <c r="E209" i="5"/>
  <c r="D209" i="5"/>
  <c r="C209" i="5"/>
  <c r="B209" i="5"/>
  <c r="AO208" i="5"/>
  <c r="AN208" i="5"/>
  <c r="AM208" i="5"/>
  <c r="AL208" i="5"/>
  <c r="AK208" i="5"/>
  <c r="AI208" i="5"/>
  <c r="AH208" i="5"/>
  <c r="AG208" i="5"/>
  <c r="AF208" i="5"/>
  <c r="AE208" i="5"/>
  <c r="AC208" i="5"/>
  <c r="AB208" i="5"/>
  <c r="AA208" i="5"/>
  <c r="Z208" i="5"/>
  <c r="Y208" i="5"/>
  <c r="W208" i="5"/>
  <c r="V208" i="5"/>
  <c r="U208" i="5"/>
  <c r="T208" i="5"/>
  <c r="S208" i="5"/>
  <c r="Q208" i="5"/>
  <c r="P208" i="5"/>
  <c r="O208" i="5"/>
  <c r="N208" i="5"/>
  <c r="M208" i="5"/>
  <c r="K208" i="5"/>
  <c r="J208" i="5"/>
  <c r="I208" i="5"/>
  <c r="H208" i="5"/>
  <c r="G208" i="5"/>
  <c r="E208" i="5"/>
  <c r="D208" i="5"/>
  <c r="C208" i="5"/>
  <c r="B208" i="5"/>
  <c r="AO207" i="5"/>
  <c r="AN207" i="5"/>
  <c r="AM207" i="5"/>
  <c r="AL207" i="5"/>
  <c r="AK207" i="5"/>
  <c r="AI207" i="5"/>
  <c r="AH207" i="5"/>
  <c r="AG207" i="5"/>
  <c r="AF207" i="5"/>
  <c r="AE207" i="5"/>
  <c r="AC207" i="5"/>
  <c r="AB207" i="5"/>
  <c r="AA207" i="5"/>
  <c r="Z207" i="5"/>
  <c r="Y207" i="5"/>
  <c r="W207" i="5"/>
  <c r="V207" i="5"/>
  <c r="U207" i="5"/>
  <c r="T207" i="5"/>
  <c r="S207" i="5"/>
  <c r="Q207" i="5"/>
  <c r="P207" i="5"/>
  <c r="O207" i="5"/>
  <c r="N207" i="5"/>
  <c r="M207" i="5"/>
  <c r="K207" i="5"/>
  <c r="J207" i="5"/>
  <c r="I207" i="5"/>
  <c r="H207" i="5"/>
  <c r="G207" i="5"/>
  <c r="E207" i="5"/>
  <c r="D207" i="5"/>
  <c r="C207" i="5"/>
  <c r="B207" i="5"/>
  <c r="AO206" i="5"/>
  <c r="AN206" i="5"/>
  <c r="AM206" i="5"/>
  <c r="AL206" i="5"/>
  <c r="AK206" i="5"/>
  <c r="AI206" i="5"/>
  <c r="AH206" i="5"/>
  <c r="AG206" i="5"/>
  <c r="AF206" i="5"/>
  <c r="AE206" i="5"/>
  <c r="AC206" i="5"/>
  <c r="AB206" i="5"/>
  <c r="AA206" i="5"/>
  <c r="Z206" i="5"/>
  <c r="Y206" i="5"/>
  <c r="W206" i="5"/>
  <c r="V206" i="5"/>
  <c r="U206" i="5"/>
  <c r="T206" i="5"/>
  <c r="S206" i="5"/>
  <c r="Q206" i="5"/>
  <c r="P206" i="5"/>
  <c r="O206" i="5"/>
  <c r="N206" i="5"/>
  <c r="M206" i="5"/>
  <c r="K206" i="5"/>
  <c r="J206" i="5"/>
  <c r="I206" i="5"/>
  <c r="H206" i="5"/>
  <c r="G206" i="5"/>
  <c r="E206" i="5"/>
  <c r="D206" i="5"/>
  <c r="C206" i="5"/>
  <c r="B206" i="5"/>
  <c r="AO205" i="5"/>
  <c r="AN205" i="5"/>
  <c r="AM205" i="5"/>
  <c r="AL205" i="5"/>
  <c r="AK205" i="5"/>
  <c r="AI205" i="5"/>
  <c r="AH205" i="5"/>
  <c r="AG205" i="5"/>
  <c r="AF205" i="5"/>
  <c r="AE205" i="5"/>
  <c r="AC205" i="5"/>
  <c r="AB205" i="5"/>
  <c r="AA205" i="5"/>
  <c r="Z205" i="5"/>
  <c r="Y205" i="5"/>
  <c r="W205" i="5"/>
  <c r="V205" i="5"/>
  <c r="U205" i="5"/>
  <c r="T205" i="5"/>
  <c r="S205" i="5"/>
  <c r="Q205" i="5"/>
  <c r="P205" i="5"/>
  <c r="O205" i="5"/>
  <c r="N205" i="5"/>
  <c r="M205" i="5"/>
  <c r="K205" i="5"/>
  <c r="J205" i="5"/>
  <c r="I205" i="5"/>
  <c r="H205" i="5"/>
  <c r="G205" i="5"/>
  <c r="E205" i="5"/>
  <c r="D205" i="5"/>
  <c r="C205" i="5"/>
  <c r="B205" i="5"/>
  <c r="AO204" i="5"/>
  <c r="AN204" i="5"/>
  <c r="AM204" i="5"/>
  <c r="AL204" i="5"/>
  <c r="AK204" i="5"/>
  <c r="AI204" i="5"/>
  <c r="AH204" i="5"/>
  <c r="AG204" i="5"/>
  <c r="AF204" i="5"/>
  <c r="AE204" i="5"/>
  <c r="AC204" i="5"/>
  <c r="AB204" i="5"/>
  <c r="AA204" i="5"/>
  <c r="Z204" i="5"/>
  <c r="Y204" i="5"/>
  <c r="W204" i="5"/>
  <c r="V204" i="5"/>
  <c r="U204" i="5"/>
  <c r="T204" i="5"/>
  <c r="S204" i="5"/>
  <c r="Q204" i="5"/>
  <c r="P204" i="5"/>
  <c r="O204" i="5"/>
  <c r="N204" i="5"/>
  <c r="M204" i="5"/>
  <c r="K204" i="5"/>
  <c r="J204" i="5"/>
  <c r="I204" i="5"/>
  <c r="H204" i="5"/>
  <c r="G204" i="5"/>
  <c r="E204" i="5"/>
  <c r="D204" i="5"/>
  <c r="C204" i="5"/>
  <c r="B204" i="5"/>
  <c r="AO203" i="5"/>
  <c r="AN203" i="5"/>
  <c r="AM203" i="5"/>
  <c r="AL203" i="5"/>
  <c r="AK203" i="5"/>
  <c r="AI203" i="5"/>
  <c r="AH203" i="5"/>
  <c r="AG203" i="5"/>
  <c r="AF203" i="5"/>
  <c r="AE203" i="5"/>
  <c r="AC203" i="5"/>
  <c r="AB203" i="5"/>
  <c r="AA203" i="5"/>
  <c r="Z203" i="5"/>
  <c r="Y203" i="5"/>
  <c r="W203" i="5"/>
  <c r="V203" i="5"/>
  <c r="U203" i="5"/>
  <c r="T203" i="5"/>
  <c r="S203" i="5"/>
  <c r="Q203" i="5"/>
  <c r="P203" i="5"/>
  <c r="O203" i="5"/>
  <c r="N203" i="5"/>
  <c r="M203" i="5"/>
  <c r="K203" i="5"/>
  <c r="J203" i="5"/>
  <c r="I203" i="5"/>
  <c r="H203" i="5"/>
  <c r="G203" i="5"/>
  <c r="E203" i="5"/>
  <c r="D203" i="5"/>
  <c r="C203" i="5"/>
  <c r="B203" i="5"/>
  <c r="AO202" i="5"/>
  <c r="AN202" i="5"/>
  <c r="AM202" i="5"/>
  <c r="AL202" i="5"/>
  <c r="AK202" i="5"/>
  <c r="AI202" i="5"/>
  <c r="AH202" i="5"/>
  <c r="AG202" i="5"/>
  <c r="AF202" i="5"/>
  <c r="AE202" i="5"/>
  <c r="AC202" i="5"/>
  <c r="AB202" i="5"/>
  <c r="AA202" i="5"/>
  <c r="Z202" i="5"/>
  <c r="Y202" i="5"/>
  <c r="W202" i="5"/>
  <c r="V202" i="5"/>
  <c r="T202" i="5"/>
  <c r="S202" i="5"/>
  <c r="P202" i="5"/>
  <c r="O202" i="5"/>
  <c r="M202" i="5"/>
  <c r="J202" i="5"/>
  <c r="H202" i="5"/>
  <c r="D202" i="5"/>
  <c r="B202" i="5"/>
  <c r="AO201" i="5"/>
  <c r="AM201" i="5"/>
  <c r="AK201" i="5"/>
  <c r="AH201" i="5"/>
  <c r="AF201" i="5"/>
  <c r="AB201" i="5"/>
  <c r="AA201" i="5"/>
  <c r="Y201" i="5"/>
  <c r="V201" i="5"/>
  <c r="S201" i="5"/>
  <c r="P201" i="5"/>
  <c r="N201" i="5"/>
  <c r="M201" i="5"/>
  <c r="K201" i="5"/>
  <c r="I201" i="5"/>
  <c r="G201" i="5"/>
  <c r="D201" i="5"/>
  <c r="B201" i="5"/>
  <c r="AO200" i="5"/>
  <c r="AM200" i="5"/>
  <c r="AK200" i="5"/>
  <c r="AI200" i="5"/>
  <c r="AF200" i="5"/>
  <c r="Z200" i="5"/>
  <c r="S200" i="5"/>
  <c r="N200" i="5"/>
  <c r="Q199" i="5"/>
  <c r="E199" i="5"/>
  <c r="AE170" i="5"/>
  <c r="W170" i="5"/>
  <c r="J170" i="5"/>
  <c r="AM169" i="5"/>
  <c r="V169" i="5"/>
  <c r="J169" i="5"/>
  <c r="AN168" i="5"/>
  <c r="AK168" i="5"/>
  <c r="AG168" i="5"/>
  <c r="U168" i="5"/>
  <c r="I168" i="5"/>
  <c r="AM167" i="5"/>
  <c r="AF167" i="5"/>
  <c r="S167" i="5"/>
  <c r="O167" i="5"/>
  <c r="AN166" i="5"/>
  <c r="AI166" i="5"/>
  <c r="AE166" i="5"/>
  <c r="T166" i="5"/>
  <c r="N166" i="5"/>
  <c r="AO165" i="5"/>
  <c r="AK165" i="5"/>
  <c r="AC165" i="5"/>
  <c r="N165" i="5"/>
  <c r="AE164" i="5"/>
  <c r="V164" i="5"/>
  <c r="J164" i="5"/>
  <c r="AN163" i="5"/>
  <c r="AL163" i="5"/>
  <c r="AF163" i="5"/>
  <c r="Y163" i="5"/>
  <c r="Q163" i="5"/>
  <c r="N162" i="5"/>
  <c r="AO161" i="5"/>
  <c r="AH161" i="5"/>
  <c r="Y161" i="5"/>
  <c r="U161" i="5"/>
  <c r="J161" i="5"/>
  <c r="AN160" i="5"/>
  <c r="AI160" i="5"/>
  <c r="V160" i="5"/>
  <c r="Q160" i="5"/>
  <c r="I159" i="5"/>
  <c r="AL158" i="5"/>
  <c r="AF158" i="5"/>
  <c r="V158" i="5"/>
  <c r="K158" i="5"/>
  <c r="AN157" i="5"/>
  <c r="AC157" i="5"/>
  <c r="U157" i="5"/>
  <c r="K157" i="5"/>
  <c r="AN156" i="5"/>
  <c r="Z156" i="5"/>
  <c r="K156" i="5"/>
  <c r="AL155" i="5"/>
  <c r="AC155" i="5"/>
  <c r="U155" i="5"/>
  <c r="H155" i="5"/>
  <c r="AN154" i="5"/>
  <c r="AF154" i="5"/>
  <c r="S154" i="5"/>
  <c r="K154" i="5"/>
  <c r="Z198" i="5"/>
  <c r="Y198" i="5"/>
  <c r="W198" i="5"/>
  <c r="V198" i="5"/>
  <c r="U198" i="5"/>
  <c r="T198" i="5"/>
  <c r="S198" i="5"/>
  <c r="Q198" i="5"/>
  <c r="P198" i="5"/>
  <c r="O198" i="5"/>
  <c r="N198" i="5"/>
  <c r="M198" i="5"/>
  <c r="K198" i="5"/>
  <c r="J198" i="5"/>
  <c r="I198" i="5"/>
  <c r="H198" i="5"/>
  <c r="G198" i="5"/>
  <c r="E198" i="5"/>
  <c r="D198" i="5"/>
  <c r="C198" i="5"/>
  <c r="B198" i="5"/>
  <c r="AO197" i="5"/>
  <c r="AN197" i="5"/>
  <c r="AM197" i="5"/>
  <c r="AL197" i="5"/>
  <c r="AK197" i="5"/>
  <c r="AI197" i="5"/>
  <c r="AH197" i="5"/>
  <c r="AG197" i="5"/>
  <c r="AF197" i="5"/>
  <c r="AE197" i="5"/>
  <c r="AC197" i="5"/>
  <c r="AB197" i="5"/>
  <c r="AA197" i="5"/>
  <c r="Z197" i="5"/>
  <c r="Y197" i="5"/>
  <c r="W197" i="5"/>
  <c r="V197" i="5"/>
  <c r="U197" i="5"/>
  <c r="T197" i="5"/>
  <c r="S197" i="5"/>
  <c r="Q197" i="5"/>
  <c r="P197" i="5"/>
  <c r="O197" i="5"/>
  <c r="N197" i="5"/>
  <c r="M197" i="5"/>
  <c r="K197" i="5"/>
  <c r="J197" i="5"/>
  <c r="I197" i="5"/>
  <c r="H197" i="5"/>
  <c r="G197" i="5"/>
  <c r="E197" i="5"/>
  <c r="D197" i="5"/>
  <c r="C197" i="5"/>
  <c r="B197" i="5"/>
  <c r="AO196" i="5"/>
  <c r="AN196" i="5"/>
  <c r="AM196" i="5"/>
  <c r="AL196" i="5"/>
  <c r="AK196" i="5"/>
  <c r="AI196" i="5"/>
  <c r="AH196" i="5"/>
  <c r="AG196" i="5"/>
  <c r="AF196" i="5"/>
  <c r="AE196" i="5"/>
  <c r="AC196" i="5"/>
  <c r="AB196" i="5"/>
  <c r="AA196" i="5"/>
  <c r="Z196" i="5"/>
  <c r="Y196" i="5"/>
  <c r="W196" i="5"/>
  <c r="V196" i="5"/>
  <c r="U196" i="5"/>
  <c r="T196" i="5"/>
  <c r="S196" i="5"/>
  <c r="Q196" i="5"/>
  <c r="P196" i="5"/>
  <c r="O196" i="5"/>
  <c r="N196" i="5"/>
  <c r="M196" i="5"/>
  <c r="K196" i="5"/>
  <c r="J196" i="5"/>
  <c r="I196" i="5"/>
  <c r="H196" i="5"/>
  <c r="G196" i="5"/>
  <c r="E196" i="5"/>
  <c r="D196" i="5"/>
  <c r="C196" i="5"/>
  <c r="B196" i="5"/>
  <c r="AO195" i="5"/>
  <c r="AN195" i="5"/>
  <c r="AM195" i="5"/>
  <c r="AL195" i="5"/>
  <c r="AK195" i="5"/>
  <c r="AI195" i="5"/>
  <c r="AH195" i="5"/>
  <c r="AG195" i="5"/>
  <c r="AF195" i="5"/>
  <c r="AE195" i="5"/>
  <c r="AC195" i="5"/>
  <c r="AB195" i="5"/>
  <c r="AA195" i="5"/>
  <c r="Z195" i="5"/>
  <c r="Y195" i="5"/>
  <c r="W195" i="5"/>
  <c r="V195" i="5"/>
  <c r="U195" i="5"/>
  <c r="T195" i="5"/>
  <c r="S195" i="5"/>
  <c r="Q195" i="5"/>
  <c r="P195" i="5"/>
  <c r="O195" i="5"/>
  <c r="N195" i="5"/>
  <c r="M195" i="5"/>
  <c r="K195" i="5"/>
  <c r="J195" i="5"/>
  <c r="I195" i="5"/>
  <c r="H195" i="5"/>
  <c r="G195" i="5"/>
  <c r="E195" i="5"/>
  <c r="D195" i="5"/>
  <c r="C195" i="5"/>
  <c r="B195" i="5"/>
  <c r="AO194" i="5"/>
  <c r="AN194" i="5"/>
  <c r="AM194" i="5"/>
  <c r="AL194" i="5"/>
  <c r="AK194" i="5"/>
  <c r="AI194" i="5"/>
  <c r="AH194" i="5"/>
  <c r="AG194" i="5"/>
  <c r="AF194" i="5"/>
  <c r="AE194" i="5"/>
  <c r="AC194" i="5"/>
  <c r="AB194" i="5"/>
  <c r="AA194" i="5"/>
  <c r="Z194" i="5"/>
  <c r="Y194" i="5"/>
  <c r="W194" i="5"/>
  <c r="V194" i="5"/>
  <c r="U194" i="5"/>
  <c r="T194" i="5"/>
  <c r="S194" i="5"/>
  <c r="Q194" i="5"/>
  <c r="P194" i="5"/>
  <c r="O194" i="5"/>
  <c r="N194" i="5"/>
  <c r="M194" i="5"/>
  <c r="K194" i="5"/>
  <c r="J194" i="5"/>
  <c r="I194" i="5"/>
  <c r="H194" i="5"/>
  <c r="G194" i="5"/>
  <c r="E194" i="5"/>
  <c r="D194" i="5"/>
  <c r="C194" i="5"/>
  <c r="B194" i="5"/>
  <c r="AO193" i="5"/>
  <c r="AN193" i="5"/>
  <c r="AM193" i="5"/>
  <c r="AL193" i="5"/>
  <c r="AK193" i="5"/>
  <c r="AI193" i="5"/>
  <c r="AH193" i="5"/>
  <c r="AG193" i="5"/>
  <c r="AF193" i="5"/>
  <c r="AE193" i="5"/>
  <c r="AC193" i="5"/>
  <c r="AB193" i="5"/>
  <c r="AA193" i="5"/>
  <c r="Z193" i="5"/>
  <c r="Y193" i="5"/>
  <c r="W193" i="5"/>
  <c r="V193" i="5"/>
  <c r="U193" i="5"/>
  <c r="T193" i="5"/>
  <c r="S193" i="5"/>
  <c r="Q193" i="5"/>
  <c r="P193" i="5"/>
  <c r="O193" i="5"/>
  <c r="N193" i="5"/>
  <c r="M193" i="5"/>
  <c r="K193" i="5"/>
  <c r="J193" i="5"/>
  <c r="I193" i="5"/>
  <c r="H193" i="5"/>
  <c r="G193" i="5"/>
  <c r="E193" i="5"/>
  <c r="D193" i="5"/>
  <c r="C193" i="5"/>
  <c r="B193" i="5"/>
  <c r="AO192" i="5"/>
  <c r="AN192" i="5"/>
  <c r="AM192" i="5"/>
  <c r="AL192" i="5"/>
  <c r="AK192" i="5"/>
  <c r="AI192" i="5"/>
  <c r="AH192" i="5"/>
  <c r="AG192" i="5"/>
  <c r="AF192" i="5"/>
  <c r="AE192" i="5"/>
  <c r="AC192" i="5"/>
  <c r="AB192" i="5"/>
  <c r="AA192" i="5"/>
  <c r="Z192" i="5"/>
  <c r="Y192" i="5"/>
  <c r="W192" i="5"/>
  <c r="V192" i="5"/>
  <c r="U192" i="5"/>
  <c r="T192" i="5"/>
  <c r="S192" i="5"/>
  <c r="Q192" i="5"/>
  <c r="P192" i="5"/>
  <c r="O192" i="5"/>
  <c r="N192" i="5"/>
  <c r="M192" i="5"/>
  <c r="K192" i="5"/>
  <c r="J192" i="5"/>
  <c r="I192" i="5"/>
  <c r="H192" i="5"/>
  <c r="G192" i="5"/>
  <c r="E192" i="5"/>
  <c r="D192" i="5"/>
  <c r="C192" i="5"/>
  <c r="B192" i="5"/>
  <c r="AO191" i="5"/>
  <c r="AN191" i="5"/>
  <c r="AM191" i="5"/>
  <c r="AL191" i="5"/>
  <c r="AK191" i="5"/>
  <c r="AI191" i="5"/>
  <c r="AH191" i="5"/>
  <c r="AG191" i="5"/>
  <c r="AF191" i="5"/>
  <c r="AE191" i="5"/>
  <c r="AC191" i="5"/>
  <c r="AB191" i="5"/>
  <c r="AA191" i="5"/>
  <c r="Z191" i="5"/>
  <c r="Y191" i="5"/>
  <c r="W191" i="5"/>
  <c r="V191" i="5"/>
  <c r="U191" i="5"/>
  <c r="T191" i="5"/>
  <c r="S191" i="5"/>
  <c r="Q191" i="5"/>
  <c r="P191" i="5"/>
  <c r="O191" i="5"/>
  <c r="N191" i="5"/>
  <c r="M191" i="5"/>
  <c r="K191" i="5"/>
  <c r="J191" i="5"/>
  <c r="I191" i="5"/>
  <c r="H191" i="5"/>
  <c r="G191" i="5"/>
  <c r="E191" i="5"/>
  <c r="D191" i="5"/>
  <c r="C191" i="5"/>
  <c r="B191" i="5"/>
  <c r="AO190" i="5"/>
  <c r="AN190" i="5"/>
  <c r="AM190" i="5"/>
  <c r="AL190" i="5"/>
  <c r="AK190" i="5"/>
  <c r="AI190" i="5"/>
  <c r="AH190" i="5"/>
  <c r="AG190" i="5"/>
  <c r="AF190" i="5"/>
  <c r="AE190" i="5"/>
  <c r="AC190" i="5"/>
  <c r="AB190" i="5"/>
  <c r="AA190" i="5"/>
  <c r="Z190" i="5"/>
  <c r="Y190" i="5"/>
  <c r="W190" i="5"/>
  <c r="V190" i="5"/>
  <c r="U190" i="5"/>
  <c r="T190" i="5"/>
  <c r="S190" i="5"/>
  <c r="Q190" i="5"/>
  <c r="P190" i="5"/>
  <c r="O190" i="5"/>
  <c r="N190" i="5"/>
  <c r="M190" i="5"/>
  <c r="K190" i="5"/>
  <c r="J190" i="5"/>
  <c r="I190" i="5"/>
  <c r="H190" i="5"/>
  <c r="G190" i="5"/>
  <c r="E190" i="5"/>
  <c r="D190" i="5"/>
  <c r="C190" i="5"/>
  <c r="B190" i="5"/>
  <c r="AO189" i="5"/>
  <c r="AN189" i="5"/>
  <c r="AM189" i="5"/>
  <c r="AL189" i="5"/>
  <c r="AK189" i="5"/>
  <c r="AI189" i="5"/>
  <c r="AH189" i="5"/>
  <c r="AG189" i="5"/>
  <c r="AF189" i="5"/>
  <c r="AE189" i="5"/>
  <c r="AC189" i="5"/>
  <c r="AB189" i="5"/>
  <c r="AA189" i="5"/>
  <c r="Z189" i="5"/>
  <c r="Y189" i="5"/>
  <c r="W189" i="5"/>
  <c r="V189" i="5"/>
  <c r="U189" i="5"/>
  <c r="T189" i="5"/>
  <c r="S189" i="5"/>
  <c r="Q189" i="5"/>
  <c r="P189" i="5"/>
  <c r="O189" i="5"/>
  <c r="N189" i="5"/>
  <c r="M189" i="5"/>
  <c r="K189" i="5"/>
  <c r="J189" i="5"/>
  <c r="I189" i="5"/>
  <c r="H189" i="5"/>
  <c r="G189" i="5"/>
  <c r="E189" i="5"/>
  <c r="D189" i="5"/>
  <c r="C189" i="5"/>
  <c r="B189" i="5"/>
  <c r="AO188" i="5"/>
  <c r="AN188" i="5"/>
  <c r="AM188" i="5"/>
  <c r="AL188" i="5"/>
  <c r="AK188" i="5"/>
  <c r="AI188" i="5"/>
  <c r="AH188" i="5"/>
  <c r="AG188" i="5"/>
  <c r="AF188" i="5"/>
  <c r="AE188" i="5"/>
  <c r="AC188" i="5"/>
  <c r="AB188" i="5"/>
  <c r="AA188" i="5"/>
  <c r="Z188" i="5"/>
  <c r="Y188" i="5"/>
  <c r="W188" i="5"/>
  <c r="V188" i="5"/>
  <c r="U188" i="5"/>
  <c r="T188" i="5"/>
  <c r="S188" i="5"/>
  <c r="Q188" i="5"/>
  <c r="P188" i="5"/>
  <c r="O188" i="5"/>
  <c r="N188" i="5"/>
  <c r="M188" i="5"/>
  <c r="K188" i="5"/>
  <c r="J188" i="5"/>
  <c r="I188" i="5"/>
  <c r="H188" i="5"/>
  <c r="G188" i="5"/>
  <c r="E188" i="5"/>
  <c r="D188" i="5"/>
  <c r="C188" i="5"/>
  <c r="B188" i="5"/>
  <c r="AO187" i="5"/>
  <c r="AN187" i="5"/>
  <c r="AM187" i="5"/>
  <c r="AL187" i="5"/>
  <c r="AK187" i="5"/>
  <c r="AI187" i="5"/>
  <c r="AH187" i="5"/>
  <c r="AG187" i="5"/>
  <c r="AF187" i="5"/>
  <c r="AE187" i="5"/>
  <c r="AC187" i="5"/>
  <c r="AB187" i="5"/>
  <c r="AA187" i="5"/>
  <c r="Z187" i="5"/>
  <c r="Y187" i="5"/>
  <c r="W187" i="5"/>
  <c r="V187" i="5"/>
  <c r="U187" i="5"/>
  <c r="T187" i="5"/>
  <c r="S187" i="5"/>
  <c r="Q187" i="5"/>
  <c r="P187" i="5"/>
  <c r="O187" i="5"/>
  <c r="N187" i="5"/>
  <c r="M187" i="5"/>
  <c r="K187" i="5"/>
  <c r="J187" i="5"/>
  <c r="I187" i="5"/>
  <c r="H187" i="5"/>
  <c r="G187" i="5"/>
  <c r="E187" i="5"/>
  <c r="D187" i="5"/>
  <c r="C187" i="5"/>
  <c r="B187" i="5"/>
  <c r="AO186" i="5"/>
  <c r="AN186" i="5"/>
  <c r="AM186" i="5"/>
  <c r="AL186" i="5"/>
  <c r="AK186" i="5"/>
  <c r="AI186" i="5"/>
  <c r="AH186" i="5"/>
  <c r="AG186" i="5"/>
  <c r="AF186" i="5"/>
  <c r="AE186" i="5"/>
  <c r="AC186" i="5"/>
  <c r="AB186" i="5"/>
  <c r="AA186" i="5"/>
  <c r="Z186" i="5"/>
  <c r="Y186" i="5"/>
  <c r="W186" i="5"/>
  <c r="V186" i="5"/>
  <c r="U186" i="5"/>
  <c r="T186" i="5"/>
  <c r="S186" i="5"/>
  <c r="Q186" i="5"/>
  <c r="P186" i="5"/>
  <c r="O186" i="5"/>
  <c r="N186" i="5"/>
  <c r="M186" i="5"/>
  <c r="K186" i="5"/>
  <c r="J186" i="5"/>
  <c r="I186" i="5"/>
  <c r="H186" i="5"/>
  <c r="G186" i="5"/>
  <c r="E186" i="5"/>
  <c r="D186" i="5"/>
  <c r="C186" i="5"/>
  <c r="B186" i="5"/>
  <c r="AO185" i="5"/>
  <c r="AN185" i="5"/>
  <c r="AM185" i="5"/>
  <c r="AL185" i="5"/>
  <c r="AK185" i="5"/>
  <c r="AI185" i="5"/>
  <c r="AH185" i="5"/>
  <c r="AG185" i="5"/>
  <c r="AF185" i="5"/>
  <c r="AE185" i="5"/>
  <c r="AC185" i="5"/>
  <c r="AB185" i="5"/>
  <c r="AA185" i="5"/>
  <c r="Z185" i="5"/>
  <c r="Y185" i="5"/>
  <c r="W185" i="5"/>
  <c r="V185" i="5"/>
  <c r="U185" i="5"/>
  <c r="T185" i="5"/>
  <c r="S185" i="5"/>
  <c r="Q185" i="5"/>
  <c r="P185" i="5"/>
  <c r="O185" i="5"/>
  <c r="N185" i="5"/>
  <c r="M185" i="5"/>
  <c r="K185" i="5"/>
  <c r="J185" i="5"/>
  <c r="I185" i="5"/>
  <c r="H185" i="5"/>
  <c r="G185" i="5"/>
  <c r="E185" i="5"/>
  <c r="D185" i="5"/>
  <c r="C185" i="5"/>
  <c r="B185" i="5"/>
  <c r="AO184" i="5"/>
  <c r="AN184" i="5"/>
  <c r="AM184" i="5"/>
  <c r="AL184" i="5"/>
  <c r="AK184" i="5"/>
  <c r="AI184" i="5"/>
  <c r="AH184" i="5"/>
  <c r="AG184" i="5"/>
  <c r="AF184" i="5"/>
  <c r="AE184" i="5"/>
  <c r="AC184" i="5"/>
  <c r="AB184" i="5"/>
  <c r="AA184" i="5"/>
  <c r="Z184" i="5"/>
  <c r="Y184" i="5"/>
  <c r="W184" i="5"/>
  <c r="V184" i="5"/>
  <c r="U184" i="5"/>
  <c r="T184" i="5"/>
  <c r="S184" i="5"/>
  <c r="Q184" i="5"/>
  <c r="P184" i="5"/>
  <c r="O184" i="5"/>
  <c r="N184" i="5"/>
  <c r="M184" i="5"/>
  <c r="K184" i="5"/>
  <c r="J184" i="5"/>
  <c r="I184" i="5"/>
  <c r="H184" i="5"/>
  <c r="G184" i="5"/>
  <c r="E184" i="5"/>
  <c r="D184" i="5"/>
  <c r="C184" i="5"/>
  <c r="B184" i="5"/>
  <c r="AO183" i="5"/>
  <c r="AN183" i="5"/>
  <c r="AM183" i="5"/>
  <c r="AL183" i="5"/>
  <c r="AK183" i="5"/>
  <c r="AI183" i="5"/>
  <c r="AH183" i="5"/>
  <c r="AG183" i="5"/>
  <c r="AF183" i="5"/>
  <c r="AE183" i="5"/>
  <c r="AC183" i="5"/>
  <c r="AB183" i="5"/>
  <c r="AA183" i="5"/>
  <c r="Z183" i="5"/>
  <c r="Y183" i="5"/>
  <c r="W183" i="5"/>
  <c r="V183" i="5"/>
  <c r="U183" i="5"/>
  <c r="T183" i="5"/>
  <c r="S183" i="5"/>
  <c r="Q183" i="5"/>
  <c r="P183" i="5"/>
  <c r="O183" i="5"/>
  <c r="N183" i="5"/>
  <c r="M183" i="5"/>
  <c r="K183" i="5"/>
  <c r="J183" i="5"/>
  <c r="I183" i="5"/>
  <c r="H183" i="5"/>
  <c r="G183" i="5"/>
  <c r="E183" i="5"/>
  <c r="D183" i="5"/>
  <c r="C183" i="5"/>
  <c r="B183" i="5"/>
  <c r="AO182" i="5"/>
  <c r="AN182" i="5"/>
  <c r="AM182" i="5"/>
  <c r="AL182" i="5"/>
  <c r="AK182" i="5"/>
  <c r="AI182" i="5"/>
  <c r="AH182" i="5"/>
  <c r="AG182" i="5"/>
  <c r="AF182" i="5"/>
  <c r="AE182" i="5"/>
  <c r="AC182" i="5"/>
  <c r="AB182" i="5"/>
  <c r="AA182" i="5"/>
  <c r="Z182" i="5"/>
  <c r="Y182" i="5"/>
  <c r="W182" i="5"/>
  <c r="V182" i="5"/>
  <c r="U182" i="5"/>
  <c r="T182" i="5"/>
  <c r="S182" i="5"/>
  <c r="Q182" i="5"/>
  <c r="P182" i="5"/>
  <c r="O182" i="5"/>
  <c r="N182" i="5"/>
  <c r="M182" i="5"/>
  <c r="K182" i="5"/>
  <c r="J182" i="5"/>
  <c r="I182" i="5"/>
  <c r="H182" i="5"/>
  <c r="G182" i="5"/>
  <c r="E182" i="5"/>
  <c r="D182" i="5"/>
  <c r="C182" i="5"/>
  <c r="B182" i="5"/>
  <c r="AO181" i="5"/>
  <c r="AN181" i="5"/>
  <c r="AM181" i="5"/>
  <c r="AL181" i="5"/>
  <c r="AK181" i="5"/>
  <c r="AI181" i="5"/>
  <c r="AH181" i="5"/>
  <c r="AG181" i="5"/>
  <c r="AF181" i="5"/>
  <c r="AE181" i="5"/>
  <c r="AC181" i="5"/>
  <c r="AB181" i="5"/>
  <c r="AA181" i="5"/>
  <c r="Z181" i="5"/>
  <c r="Y181" i="5"/>
  <c r="W181" i="5"/>
  <c r="V181" i="5"/>
  <c r="U181" i="5"/>
  <c r="T181" i="5"/>
  <c r="S181" i="5"/>
  <c r="Q181" i="5"/>
  <c r="P181" i="5"/>
  <c r="O181" i="5"/>
  <c r="N181" i="5"/>
  <c r="M181" i="5"/>
  <c r="K181" i="5"/>
  <c r="J181" i="5"/>
  <c r="I181" i="5"/>
  <c r="H181" i="5"/>
  <c r="G181" i="5"/>
  <c r="E181" i="5"/>
  <c r="D181" i="5"/>
  <c r="C181" i="5"/>
  <c r="B181" i="5"/>
  <c r="AO180" i="5"/>
  <c r="AN180" i="5"/>
  <c r="AM180" i="5"/>
  <c r="AL180" i="5"/>
  <c r="AK180" i="5"/>
  <c r="AI180" i="5"/>
  <c r="AH180" i="5"/>
  <c r="AG180" i="5"/>
  <c r="AF180" i="5"/>
  <c r="AE180" i="5"/>
  <c r="AC180" i="5"/>
  <c r="AB180" i="5"/>
  <c r="AA180" i="5"/>
  <c r="Z180" i="5"/>
  <c r="Y180" i="5"/>
  <c r="W180" i="5"/>
  <c r="V180" i="5"/>
  <c r="U180" i="5"/>
  <c r="T180" i="5"/>
  <c r="S180" i="5"/>
  <c r="Q180" i="5"/>
  <c r="P180" i="5"/>
  <c r="O180" i="5"/>
  <c r="N180" i="5"/>
  <c r="M180" i="5"/>
  <c r="K180" i="5"/>
  <c r="J180" i="5"/>
  <c r="I180" i="5"/>
  <c r="H180" i="5"/>
  <c r="G180" i="5"/>
  <c r="E180" i="5"/>
  <c r="D180" i="5"/>
  <c r="C180" i="5"/>
  <c r="B180" i="5"/>
  <c r="AO179" i="5"/>
  <c r="AN179" i="5"/>
  <c r="AM179" i="5"/>
  <c r="AL179" i="5"/>
  <c r="AK179" i="5"/>
  <c r="AI179" i="5"/>
  <c r="AH179" i="5"/>
  <c r="AG179" i="5"/>
  <c r="AF179" i="5"/>
  <c r="AE179" i="5"/>
  <c r="AC179" i="5"/>
  <c r="AB179" i="5"/>
  <c r="AA179" i="5"/>
  <c r="Z179" i="5"/>
  <c r="Y179" i="5"/>
  <c r="W179" i="5"/>
  <c r="V179" i="5"/>
  <c r="U179" i="5"/>
  <c r="T179" i="5"/>
  <c r="S179" i="5"/>
  <c r="Q179" i="5"/>
  <c r="P179" i="5"/>
  <c r="O179" i="5"/>
  <c r="N179" i="5"/>
  <c r="M179" i="5"/>
  <c r="K179" i="5"/>
  <c r="J179" i="5"/>
  <c r="I179" i="5"/>
  <c r="H179" i="5"/>
  <c r="G179" i="5"/>
  <c r="E179" i="5"/>
  <c r="D179" i="5"/>
  <c r="C179" i="5"/>
  <c r="B179" i="5"/>
  <c r="AO178" i="5"/>
  <c r="AN178" i="5"/>
  <c r="AM178" i="5"/>
  <c r="AL178" i="5"/>
  <c r="AK178" i="5"/>
  <c r="AI178" i="5"/>
  <c r="AH178" i="5"/>
  <c r="AG178" i="5"/>
  <c r="AF178" i="5"/>
  <c r="AE178" i="5"/>
  <c r="AC178" i="5"/>
  <c r="AB178" i="5"/>
  <c r="AA178" i="5"/>
  <c r="Z178" i="5"/>
  <c r="Y178" i="5"/>
  <c r="W178" i="5"/>
  <c r="V178" i="5"/>
  <c r="U178" i="5"/>
  <c r="T178" i="5"/>
  <c r="S178" i="5"/>
  <c r="Q178" i="5"/>
  <c r="P178" i="5"/>
  <c r="O178" i="5"/>
  <c r="N178" i="5"/>
  <c r="M178" i="5"/>
  <c r="K178" i="5"/>
  <c r="J178" i="5"/>
  <c r="I178" i="5"/>
  <c r="H178" i="5"/>
  <c r="G178" i="5"/>
  <c r="E178" i="5"/>
  <c r="D178" i="5"/>
  <c r="C178" i="5"/>
  <c r="B178" i="5"/>
  <c r="AO177" i="5"/>
  <c r="AN177" i="5"/>
  <c r="AM177" i="5"/>
  <c r="AL177" i="5"/>
  <c r="AK177" i="5"/>
  <c r="AI177" i="5"/>
  <c r="AH177" i="5"/>
  <c r="AG177" i="5"/>
  <c r="AF177" i="5"/>
  <c r="AE177" i="5"/>
  <c r="AC177" i="5"/>
  <c r="AB177" i="5"/>
  <c r="AA177" i="5"/>
  <c r="Z177" i="5"/>
  <c r="Y177" i="5"/>
  <c r="W177" i="5"/>
  <c r="V177" i="5"/>
  <c r="U177" i="5"/>
  <c r="T177" i="5"/>
  <c r="S177" i="5"/>
  <c r="Q177" i="5"/>
  <c r="P177" i="5"/>
  <c r="O177" i="5"/>
  <c r="N177" i="5"/>
  <c r="M177" i="5"/>
  <c r="K177" i="5"/>
  <c r="J177" i="5"/>
  <c r="I177" i="5"/>
  <c r="H177" i="5"/>
  <c r="G177" i="5"/>
  <c r="E177" i="5"/>
  <c r="D177" i="5"/>
  <c r="C177" i="5"/>
  <c r="B177" i="5"/>
  <c r="AO176" i="5"/>
  <c r="AN176" i="5"/>
  <c r="AM176" i="5"/>
  <c r="AL176" i="5"/>
  <c r="AK176" i="5"/>
  <c r="AI176" i="5"/>
  <c r="AH176" i="5"/>
  <c r="AG176" i="5"/>
  <c r="AF176" i="5"/>
  <c r="AE176" i="5"/>
  <c r="AC176" i="5"/>
  <c r="AB176" i="5"/>
  <c r="AA176" i="5"/>
  <c r="Z176" i="5"/>
  <c r="Y176" i="5"/>
  <c r="W176" i="5"/>
  <c r="V176" i="5"/>
  <c r="U176" i="5"/>
  <c r="T176" i="5"/>
  <c r="S176" i="5"/>
  <c r="Q176" i="5"/>
  <c r="P176" i="5"/>
  <c r="O176" i="5"/>
  <c r="N176" i="5"/>
  <c r="M176" i="5"/>
  <c r="K176" i="5"/>
  <c r="J176" i="5"/>
  <c r="I176" i="5"/>
  <c r="H176" i="5"/>
  <c r="G176" i="5"/>
  <c r="E176" i="5"/>
  <c r="D176" i="5"/>
  <c r="C176" i="5"/>
  <c r="B176" i="5"/>
  <c r="AO175" i="5"/>
  <c r="AN175" i="5"/>
  <c r="AM175" i="5"/>
  <c r="AL175" i="5"/>
  <c r="AK175" i="5"/>
  <c r="AI175" i="5"/>
  <c r="AH175" i="5"/>
  <c r="AG175" i="5"/>
  <c r="AF175" i="5"/>
  <c r="AE175" i="5"/>
  <c r="AC175" i="5"/>
  <c r="AB175" i="5"/>
  <c r="AA175" i="5"/>
  <c r="Z175" i="5"/>
  <c r="Y175" i="5"/>
  <c r="W175" i="5"/>
  <c r="V175" i="5"/>
  <c r="U175" i="5"/>
  <c r="T175" i="5"/>
  <c r="S175" i="5"/>
  <c r="Q175" i="5"/>
  <c r="P175" i="5"/>
  <c r="O175" i="5"/>
  <c r="N175" i="5"/>
  <c r="M175" i="5"/>
  <c r="K175" i="5"/>
  <c r="J175" i="5"/>
  <c r="I175" i="5"/>
  <c r="H175" i="5"/>
  <c r="G175" i="5"/>
  <c r="E175" i="5"/>
  <c r="D175" i="5"/>
  <c r="C175" i="5"/>
  <c r="B175" i="5"/>
  <c r="AO174" i="5"/>
  <c r="AN174" i="5"/>
  <c r="AM174" i="5"/>
  <c r="AL174" i="5"/>
  <c r="AK174" i="5"/>
  <c r="AI174" i="5"/>
  <c r="AH174" i="5"/>
  <c r="AG174" i="5"/>
  <c r="AF174" i="5"/>
  <c r="AE174" i="5"/>
  <c r="AC174" i="5"/>
  <c r="AB174" i="5"/>
  <c r="AA174" i="5"/>
  <c r="Z174" i="5"/>
  <c r="Y174" i="5"/>
  <c r="W174" i="5"/>
  <c r="V174" i="5"/>
  <c r="U174" i="5"/>
  <c r="T174" i="5"/>
  <c r="S174" i="5"/>
  <c r="Q174" i="5"/>
  <c r="P174" i="5"/>
  <c r="O174" i="5"/>
  <c r="N174" i="5"/>
  <c r="M174" i="5"/>
  <c r="K174" i="5"/>
  <c r="J174" i="5"/>
  <c r="I174" i="5"/>
  <c r="H174" i="5"/>
  <c r="G174" i="5"/>
  <c r="E174" i="5"/>
  <c r="D174" i="5"/>
  <c r="C174" i="5"/>
  <c r="B174" i="5"/>
  <c r="AO173" i="5"/>
  <c r="AN173" i="5"/>
  <c r="AM173" i="5"/>
  <c r="AL173" i="5"/>
  <c r="AK173" i="5"/>
  <c r="AI173" i="5"/>
  <c r="AH173" i="5"/>
  <c r="AG173" i="5"/>
  <c r="AF173" i="5"/>
  <c r="AE173" i="5"/>
  <c r="AC173" i="5"/>
  <c r="AB173" i="5"/>
  <c r="AA173" i="5"/>
  <c r="Z173" i="5"/>
  <c r="Y173" i="5"/>
  <c r="W173" i="5"/>
  <c r="V173" i="5"/>
  <c r="U173" i="5"/>
  <c r="T173" i="5"/>
  <c r="S173" i="5"/>
  <c r="Q173" i="5"/>
  <c r="P173" i="5"/>
  <c r="O173" i="5"/>
  <c r="N173" i="5"/>
  <c r="M173" i="5"/>
  <c r="K173" i="5"/>
  <c r="J173" i="5"/>
  <c r="I173" i="5"/>
  <c r="H173" i="5"/>
  <c r="G173" i="5"/>
  <c r="E173" i="5"/>
  <c r="D173" i="5"/>
  <c r="C173" i="5"/>
  <c r="B173" i="5"/>
  <c r="AO172" i="5"/>
  <c r="AN172" i="5"/>
  <c r="AM172" i="5"/>
  <c r="AL172" i="5"/>
  <c r="AK172" i="5"/>
  <c r="AI172" i="5"/>
  <c r="AH172" i="5"/>
  <c r="AG172" i="5"/>
  <c r="AF172" i="5"/>
  <c r="AE172" i="5"/>
  <c r="AC172" i="5"/>
  <c r="AB172" i="5"/>
  <c r="AA172" i="5"/>
  <c r="Z172" i="5"/>
  <c r="Y172" i="5"/>
  <c r="W172" i="5"/>
  <c r="V172" i="5"/>
  <c r="U172" i="5"/>
  <c r="T172" i="5"/>
  <c r="S172" i="5"/>
  <c r="Q172" i="5"/>
  <c r="P172" i="5"/>
  <c r="O172" i="5"/>
  <c r="N172" i="5"/>
  <c r="M172" i="5"/>
  <c r="K172" i="5"/>
  <c r="J172" i="5"/>
  <c r="I172" i="5"/>
  <c r="H172" i="5"/>
  <c r="G172" i="5"/>
  <c r="E172" i="5"/>
  <c r="D172" i="5"/>
  <c r="C172" i="5"/>
  <c r="B172" i="5"/>
  <c r="AO171" i="5"/>
  <c r="AN171" i="5"/>
  <c r="AM171" i="5"/>
  <c r="AL171" i="5"/>
  <c r="AK171" i="5"/>
  <c r="AI171" i="5"/>
  <c r="AH171" i="5"/>
  <c r="AG171" i="5"/>
  <c r="AF171" i="5"/>
  <c r="AE171" i="5"/>
  <c r="AC171" i="5"/>
  <c r="AB171" i="5"/>
  <c r="AA171" i="5"/>
  <c r="Z171" i="5"/>
  <c r="Y171" i="5"/>
  <c r="W171" i="5"/>
  <c r="V171" i="5"/>
  <c r="U171" i="5"/>
  <c r="T171" i="5"/>
  <c r="S171" i="5"/>
  <c r="Q171" i="5"/>
  <c r="P171" i="5"/>
  <c r="O171" i="5"/>
  <c r="K171" i="5"/>
  <c r="AO170" i="5"/>
  <c r="AI170" i="5"/>
  <c r="Z170" i="5"/>
  <c r="M170" i="5"/>
  <c r="H170" i="5"/>
  <c r="AN169" i="5"/>
  <c r="AF169" i="5"/>
  <c r="Y169" i="5"/>
  <c r="P169" i="5"/>
  <c r="AO168" i="5"/>
  <c r="AF168" i="5"/>
  <c r="P168" i="5"/>
  <c r="AO167" i="5"/>
  <c r="AH167" i="5"/>
  <c r="AA167" i="5"/>
  <c r="P167" i="5"/>
  <c r="AH166" i="5"/>
  <c r="Y166" i="5"/>
  <c r="O166" i="5"/>
  <c r="AE165" i="5"/>
  <c r="S165" i="5"/>
  <c r="I165" i="5"/>
  <c r="AN164" i="5"/>
  <c r="AH164" i="5"/>
  <c r="Y164" i="5"/>
  <c r="U164" i="5"/>
  <c r="M164" i="5"/>
  <c r="H164" i="5"/>
  <c r="AM163" i="5"/>
  <c r="AH163" i="5"/>
  <c r="AA163" i="5"/>
  <c r="P163" i="5"/>
  <c r="AM162" i="5"/>
  <c r="AE162" i="5"/>
  <c r="Y162" i="5"/>
  <c r="J162" i="5"/>
  <c r="AN161" i="5"/>
  <c r="AC161" i="5"/>
  <c r="I161" i="5"/>
  <c r="AL160" i="5"/>
  <c r="AE160" i="5"/>
  <c r="U160" i="5"/>
  <c r="O160" i="5"/>
  <c r="AO159" i="5"/>
  <c r="AK159" i="5"/>
  <c r="AG159" i="5"/>
  <c r="Z159" i="5"/>
  <c r="S159" i="5"/>
  <c r="O159" i="5"/>
  <c r="AO158" i="5"/>
  <c r="AH158" i="5"/>
  <c r="Z158" i="5"/>
  <c r="N158" i="5"/>
  <c r="AO157" i="5"/>
  <c r="AH157" i="5"/>
  <c r="Z157" i="5"/>
  <c r="J157" i="5"/>
  <c r="AM156" i="5"/>
  <c r="AF156" i="5"/>
  <c r="V156" i="5"/>
  <c r="O156" i="5"/>
  <c r="AO155" i="5"/>
  <c r="AH155" i="5"/>
  <c r="AA155" i="5"/>
  <c r="M155" i="5"/>
  <c r="I155" i="5"/>
  <c r="AI154" i="5"/>
  <c r="W154" i="5"/>
  <c r="O154" i="5"/>
  <c r="J153" i="5"/>
  <c r="I153" i="5"/>
  <c r="H153" i="5"/>
  <c r="G153" i="5"/>
  <c r="E153" i="5"/>
  <c r="D153" i="5"/>
  <c r="C153" i="5"/>
  <c r="B153" i="5"/>
  <c r="AO152" i="5"/>
  <c r="AN152" i="5"/>
  <c r="AM152" i="5"/>
  <c r="AL152" i="5"/>
  <c r="AK152" i="5"/>
  <c r="AI152" i="5"/>
  <c r="AH152" i="5"/>
  <c r="AG152" i="5"/>
  <c r="AF152" i="5"/>
  <c r="AE152" i="5"/>
  <c r="AC152" i="5"/>
  <c r="AB152" i="5"/>
  <c r="AA152" i="5"/>
  <c r="Z152" i="5"/>
  <c r="Y152" i="5"/>
  <c r="W152" i="5"/>
  <c r="V152" i="5"/>
  <c r="U152" i="5"/>
  <c r="T152" i="5"/>
  <c r="S152" i="5"/>
  <c r="Q152" i="5"/>
  <c r="P152" i="5"/>
  <c r="O152" i="5"/>
  <c r="N152" i="5"/>
  <c r="M152" i="5"/>
  <c r="K152" i="5"/>
  <c r="J152" i="5"/>
  <c r="I152" i="5"/>
  <c r="H152" i="5"/>
  <c r="G152" i="5"/>
  <c r="E152" i="5"/>
  <c r="D152" i="5"/>
  <c r="C152" i="5"/>
  <c r="B152" i="5"/>
  <c r="AO151" i="5"/>
  <c r="AN151" i="5"/>
  <c r="AM151" i="5"/>
  <c r="AL151" i="5"/>
  <c r="AK151" i="5"/>
  <c r="AI151" i="5"/>
  <c r="AH151" i="5"/>
  <c r="AG151" i="5"/>
  <c r="AF151" i="5"/>
  <c r="AE151" i="5"/>
  <c r="AC151" i="5"/>
  <c r="AB151" i="5"/>
  <c r="AA151" i="5"/>
  <c r="Z151" i="5"/>
  <c r="Y151" i="5"/>
  <c r="W151" i="5"/>
  <c r="V151" i="5"/>
  <c r="U151" i="5"/>
  <c r="T151" i="5"/>
  <c r="S151" i="5"/>
  <c r="Q151" i="5"/>
  <c r="P151" i="5"/>
  <c r="O151" i="5"/>
  <c r="N151" i="5"/>
  <c r="M151" i="5"/>
  <c r="K151" i="5"/>
  <c r="J151" i="5"/>
  <c r="I151" i="5"/>
  <c r="H151" i="5"/>
  <c r="G151" i="5"/>
  <c r="E151" i="5"/>
  <c r="D151" i="5"/>
  <c r="C151" i="5"/>
  <c r="B151" i="5"/>
  <c r="AO150" i="5"/>
  <c r="AN150" i="5"/>
  <c r="AM150" i="5"/>
  <c r="AL150" i="5"/>
  <c r="AK150" i="5"/>
  <c r="AI150" i="5"/>
  <c r="AH150" i="5"/>
  <c r="AG150" i="5"/>
  <c r="AF150" i="5"/>
  <c r="AE150" i="5"/>
  <c r="AC150" i="5"/>
  <c r="AB150" i="5"/>
  <c r="AA150" i="5"/>
  <c r="Z150" i="5"/>
  <c r="Y150" i="5"/>
  <c r="W150" i="5"/>
  <c r="V150" i="5"/>
  <c r="U150" i="5"/>
  <c r="T150" i="5"/>
  <c r="S150" i="5"/>
  <c r="Q150" i="5"/>
  <c r="P150" i="5"/>
  <c r="O150" i="5"/>
  <c r="N150" i="5"/>
  <c r="M150" i="5"/>
  <c r="K150" i="5"/>
  <c r="J150" i="5"/>
  <c r="I150" i="5"/>
  <c r="H150" i="5"/>
  <c r="G150" i="5"/>
  <c r="E150" i="5"/>
  <c r="D150" i="5"/>
  <c r="C150" i="5"/>
  <c r="B150" i="5"/>
  <c r="AO149" i="5"/>
  <c r="AN149" i="5"/>
  <c r="AM149" i="5"/>
  <c r="AL149" i="5"/>
  <c r="AK149" i="5"/>
  <c r="AI149" i="5"/>
  <c r="AH149" i="5"/>
  <c r="AG149" i="5"/>
  <c r="AF149" i="5"/>
  <c r="AE149" i="5"/>
  <c r="AC149" i="5"/>
  <c r="AB149" i="5"/>
  <c r="AA149" i="5"/>
  <c r="Z149" i="5"/>
  <c r="Y149" i="5"/>
  <c r="W149" i="5"/>
  <c r="V149" i="5"/>
  <c r="U149" i="5"/>
  <c r="T149" i="5"/>
  <c r="S149" i="5"/>
  <c r="Q149" i="5"/>
  <c r="P149" i="5"/>
  <c r="O149" i="5"/>
  <c r="N149" i="5"/>
  <c r="M149" i="5"/>
  <c r="K149" i="5"/>
  <c r="J149" i="5"/>
  <c r="I149" i="5"/>
  <c r="H149" i="5"/>
  <c r="G149" i="5"/>
  <c r="E149" i="5"/>
  <c r="D149" i="5"/>
  <c r="C149" i="5"/>
  <c r="B149" i="5"/>
  <c r="AO148" i="5"/>
  <c r="AN148" i="5"/>
  <c r="AM148" i="5"/>
  <c r="AL148" i="5"/>
  <c r="AK148" i="5"/>
  <c r="AI148" i="5"/>
  <c r="AH148" i="5"/>
  <c r="AG148" i="5"/>
  <c r="AF148" i="5"/>
  <c r="AE148" i="5"/>
  <c r="AC148" i="5"/>
  <c r="AB148" i="5"/>
  <c r="AA148" i="5"/>
  <c r="Z148" i="5"/>
  <c r="Y148" i="5"/>
  <c r="W148" i="5"/>
  <c r="V148" i="5"/>
  <c r="U148" i="5"/>
  <c r="T148" i="5"/>
  <c r="S148" i="5"/>
  <c r="Q148" i="5"/>
  <c r="P148" i="5"/>
  <c r="O148" i="5"/>
  <c r="N148" i="5"/>
  <c r="M148" i="5"/>
  <c r="K148" i="5"/>
  <c r="J148" i="5"/>
  <c r="I148" i="5"/>
  <c r="H148" i="5"/>
  <c r="G148" i="5"/>
  <c r="E148" i="5"/>
  <c r="D148" i="5"/>
  <c r="C148" i="5"/>
  <c r="B148" i="5"/>
  <c r="AO147" i="5"/>
  <c r="AN147" i="5"/>
  <c r="AM147" i="5"/>
  <c r="AL147" i="5"/>
  <c r="AK147" i="5"/>
  <c r="AI147" i="5"/>
  <c r="AH147" i="5"/>
  <c r="AG147" i="5"/>
  <c r="AF147" i="5"/>
  <c r="AE147" i="5"/>
  <c r="AC147" i="5"/>
  <c r="AB147" i="5"/>
  <c r="AA147" i="5"/>
  <c r="Z147" i="5"/>
  <c r="Y147" i="5"/>
  <c r="W147" i="5"/>
  <c r="V147" i="5"/>
  <c r="U147" i="5"/>
  <c r="T147" i="5"/>
  <c r="S147" i="5"/>
  <c r="Q147" i="5"/>
  <c r="P147" i="5"/>
  <c r="O147" i="5"/>
  <c r="N147" i="5"/>
  <c r="M147" i="5"/>
  <c r="K147" i="5"/>
  <c r="J147" i="5"/>
  <c r="I147" i="5"/>
  <c r="H147" i="5"/>
  <c r="G147" i="5"/>
  <c r="E147" i="5"/>
  <c r="D147" i="5"/>
  <c r="C147" i="5"/>
  <c r="B147" i="5"/>
  <c r="AO146" i="5"/>
  <c r="AN146" i="5"/>
  <c r="AM146" i="5"/>
  <c r="AL146" i="5"/>
  <c r="AK146" i="5"/>
  <c r="AI146" i="5"/>
  <c r="AH146" i="5"/>
  <c r="AG146" i="5"/>
  <c r="AF146" i="5"/>
  <c r="AE146" i="5"/>
  <c r="AC146" i="5"/>
  <c r="AB146" i="5"/>
  <c r="AA146" i="5"/>
  <c r="Z146" i="5"/>
  <c r="Y146" i="5"/>
  <c r="W146" i="5"/>
  <c r="V146" i="5"/>
  <c r="U146" i="5"/>
  <c r="T146" i="5"/>
  <c r="S146" i="5"/>
  <c r="Q146" i="5"/>
  <c r="P146" i="5"/>
  <c r="O146" i="5"/>
  <c r="N146" i="5"/>
  <c r="M146" i="5"/>
  <c r="K146" i="5"/>
  <c r="J146" i="5"/>
  <c r="I146" i="5"/>
  <c r="H146" i="5"/>
  <c r="G146" i="5"/>
  <c r="E146" i="5"/>
  <c r="D146" i="5"/>
  <c r="C146" i="5"/>
  <c r="B146" i="5"/>
  <c r="AO145" i="5"/>
  <c r="AN145" i="5"/>
  <c r="AM145" i="5"/>
  <c r="AL145" i="5"/>
  <c r="AK145" i="5"/>
  <c r="AI145" i="5"/>
  <c r="AH145" i="5"/>
  <c r="AG145" i="5"/>
  <c r="AF145" i="5"/>
  <c r="AE145" i="5"/>
  <c r="AC145" i="5"/>
  <c r="AB145" i="5"/>
  <c r="AA145" i="5"/>
  <c r="Z145" i="5"/>
  <c r="Y145" i="5"/>
  <c r="W145" i="5"/>
  <c r="V145" i="5"/>
  <c r="U145" i="5"/>
  <c r="T145" i="5"/>
  <c r="S145" i="5"/>
  <c r="Q145" i="5"/>
  <c r="P145" i="5"/>
  <c r="O145" i="5"/>
  <c r="N145" i="5"/>
  <c r="M145" i="5"/>
  <c r="K145" i="5"/>
  <c r="J145" i="5"/>
  <c r="I145" i="5"/>
  <c r="H145" i="5"/>
  <c r="G145" i="5"/>
  <c r="E145" i="5"/>
  <c r="D145" i="5"/>
  <c r="C145" i="5"/>
  <c r="B145" i="5"/>
  <c r="AO144" i="5"/>
  <c r="AN144" i="5"/>
  <c r="AM144" i="5"/>
  <c r="AL144" i="5"/>
  <c r="AK144" i="5"/>
  <c r="AI144" i="5"/>
  <c r="AH144" i="5"/>
  <c r="AG144" i="5"/>
  <c r="AF144" i="5"/>
  <c r="AE144" i="5"/>
  <c r="AC144" i="5"/>
  <c r="AB144" i="5"/>
  <c r="AA144" i="5"/>
  <c r="Z144" i="5"/>
  <c r="Y144" i="5"/>
  <c r="W144" i="5"/>
  <c r="V144" i="5"/>
  <c r="U144" i="5"/>
  <c r="T144" i="5"/>
  <c r="S144" i="5"/>
  <c r="Q144" i="5"/>
  <c r="P144" i="5"/>
  <c r="O144" i="5"/>
  <c r="N144" i="5"/>
  <c r="M144" i="5"/>
  <c r="K144" i="5"/>
  <c r="J144" i="5"/>
  <c r="I144" i="5"/>
  <c r="H144" i="5"/>
  <c r="G144" i="5"/>
  <c r="E144" i="5"/>
  <c r="D144" i="5"/>
  <c r="C144" i="5"/>
  <c r="B144" i="5"/>
  <c r="AO143" i="5"/>
  <c r="AN143" i="5"/>
  <c r="AM143" i="5"/>
  <c r="AL143" i="5"/>
  <c r="AK143" i="5"/>
  <c r="AI143" i="5"/>
  <c r="AH143" i="5"/>
  <c r="AG143" i="5"/>
  <c r="AF143" i="5"/>
  <c r="AE143" i="5"/>
  <c r="AC143" i="5"/>
  <c r="AB143" i="5"/>
  <c r="AA143" i="5"/>
  <c r="Z143" i="5"/>
  <c r="Y143" i="5"/>
  <c r="W143" i="5"/>
  <c r="V143" i="5"/>
  <c r="U143" i="5"/>
  <c r="T143" i="5"/>
  <c r="S143" i="5"/>
  <c r="Q143" i="5"/>
  <c r="P143" i="5"/>
  <c r="O143" i="5"/>
  <c r="N143" i="5"/>
  <c r="M143" i="5"/>
  <c r="K143" i="5"/>
  <c r="J143" i="5"/>
  <c r="I143" i="5"/>
  <c r="H143" i="5"/>
  <c r="G143" i="5"/>
  <c r="E143" i="5"/>
  <c r="D143" i="5"/>
  <c r="C143" i="5"/>
  <c r="B143" i="5"/>
  <c r="AO142" i="5"/>
  <c r="AN142" i="5"/>
  <c r="AM142" i="5"/>
  <c r="AL142" i="5"/>
  <c r="AK142" i="5"/>
  <c r="AI142" i="5"/>
  <c r="AH142" i="5"/>
  <c r="AG142" i="5"/>
  <c r="AF142" i="5"/>
  <c r="AE142" i="5"/>
  <c r="AC142" i="5"/>
  <c r="AB142" i="5"/>
  <c r="AA142" i="5"/>
  <c r="Z142" i="5"/>
  <c r="Y142" i="5"/>
  <c r="W142" i="5"/>
  <c r="V142" i="5"/>
  <c r="U142" i="5"/>
  <c r="T142" i="5"/>
  <c r="S142" i="5"/>
  <c r="Q142" i="5"/>
  <c r="P142" i="5"/>
  <c r="O142" i="5"/>
  <c r="N142" i="5"/>
  <c r="M142" i="5"/>
  <c r="K142" i="5"/>
  <c r="J142" i="5"/>
  <c r="I142" i="5"/>
  <c r="H142" i="5"/>
  <c r="G142" i="5"/>
  <c r="E142" i="5"/>
  <c r="D142" i="5"/>
  <c r="C142" i="5"/>
  <c r="B142" i="5"/>
  <c r="AO141" i="5"/>
  <c r="AN141" i="5"/>
  <c r="AM141" i="5"/>
  <c r="AL141" i="5"/>
  <c r="AK141" i="5"/>
  <c r="AI141" i="5"/>
  <c r="AH141" i="5"/>
  <c r="AG141" i="5"/>
  <c r="AF141" i="5"/>
  <c r="AE141" i="5"/>
  <c r="AC141" i="5"/>
  <c r="AB141" i="5"/>
  <c r="AA141" i="5"/>
  <c r="Z141" i="5"/>
  <c r="Y141" i="5"/>
  <c r="W141" i="5"/>
  <c r="V141" i="5"/>
  <c r="U141" i="5"/>
  <c r="T141" i="5"/>
  <c r="S141" i="5"/>
  <c r="Q141" i="5"/>
  <c r="P141" i="5"/>
  <c r="O141" i="5"/>
  <c r="N141" i="5"/>
  <c r="M141" i="5"/>
  <c r="K141" i="5"/>
  <c r="J141" i="5"/>
  <c r="I141" i="5"/>
  <c r="H141" i="5"/>
  <c r="G141" i="5"/>
  <c r="E141" i="5"/>
  <c r="D141" i="5"/>
  <c r="C141" i="5"/>
  <c r="B141" i="5"/>
  <c r="AO140" i="5"/>
  <c r="AN140" i="5"/>
  <c r="AM140" i="5"/>
  <c r="AL140" i="5"/>
  <c r="AK140" i="5"/>
  <c r="AI140" i="5"/>
  <c r="AH140" i="5"/>
  <c r="AG140" i="5"/>
  <c r="AF140" i="5"/>
  <c r="AE140" i="5"/>
  <c r="AC140" i="5"/>
  <c r="AB140" i="5"/>
  <c r="AA140" i="5"/>
  <c r="Z140" i="5"/>
  <c r="Y140" i="5"/>
  <c r="W140" i="5"/>
  <c r="V140" i="5"/>
  <c r="U140" i="5"/>
  <c r="T140" i="5"/>
  <c r="S140" i="5"/>
  <c r="Q140" i="5"/>
  <c r="P140" i="5"/>
  <c r="O140" i="5"/>
  <c r="N140" i="5"/>
  <c r="M140" i="5"/>
  <c r="K140" i="5"/>
  <c r="J140" i="5"/>
  <c r="I140" i="5"/>
  <c r="H140" i="5"/>
  <c r="G140" i="5"/>
  <c r="E140" i="5"/>
  <c r="D140" i="5"/>
  <c r="C140" i="5"/>
  <c r="B140" i="5"/>
  <c r="AO139" i="5"/>
  <c r="AN139" i="5"/>
  <c r="AM139" i="5"/>
  <c r="AL139" i="5"/>
  <c r="AK139" i="5"/>
  <c r="AI139" i="5"/>
  <c r="AH139" i="5"/>
  <c r="AG139" i="5"/>
  <c r="AF139" i="5"/>
  <c r="AE139" i="5"/>
  <c r="AC139" i="5"/>
  <c r="AB139" i="5"/>
  <c r="AA139" i="5"/>
  <c r="Z139" i="5"/>
  <c r="Y139" i="5"/>
  <c r="W139" i="5"/>
  <c r="V139" i="5"/>
  <c r="U139" i="5"/>
  <c r="T139" i="5"/>
  <c r="S139" i="5"/>
  <c r="Q139" i="5"/>
  <c r="P139" i="5"/>
  <c r="O139" i="5"/>
  <c r="N139" i="5"/>
  <c r="M139" i="5"/>
  <c r="K139" i="5"/>
  <c r="J139" i="5"/>
  <c r="I139" i="5"/>
  <c r="H139" i="5"/>
  <c r="G139" i="5"/>
  <c r="E139" i="5"/>
  <c r="D139" i="5"/>
  <c r="C139" i="5"/>
  <c r="B139" i="5"/>
  <c r="AO138" i="5"/>
  <c r="AN138" i="5"/>
  <c r="AM138" i="5"/>
  <c r="AL138" i="5"/>
  <c r="AK138" i="5"/>
  <c r="AI138" i="5"/>
  <c r="AH138" i="5"/>
  <c r="AG138" i="5"/>
  <c r="AF138" i="5"/>
  <c r="AE138" i="5"/>
  <c r="AC138" i="5"/>
  <c r="AB138" i="5"/>
  <c r="AA138" i="5"/>
  <c r="Z138" i="5"/>
  <c r="Y138" i="5"/>
  <c r="W138" i="5"/>
  <c r="V138" i="5"/>
  <c r="U138" i="5"/>
  <c r="T138" i="5"/>
  <c r="S138" i="5"/>
  <c r="Q138" i="5"/>
  <c r="P138" i="5"/>
  <c r="O138" i="5"/>
  <c r="N138" i="5"/>
  <c r="M138" i="5"/>
  <c r="K138" i="5"/>
  <c r="J138" i="5"/>
  <c r="I138" i="5"/>
  <c r="H138" i="5"/>
  <c r="G138" i="5"/>
  <c r="E138" i="5"/>
  <c r="D138" i="5"/>
  <c r="C138" i="5"/>
  <c r="B138" i="5"/>
  <c r="AO137" i="5"/>
  <c r="AN137" i="5"/>
  <c r="AM137" i="5"/>
  <c r="AL137" i="5"/>
  <c r="AK137" i="5"/>
  <c r="AI137" i="5"/>
  <c r="AH137" i="5"/>
  <c r="AG137" i="5"/>
  <c r="AF137" i="5"/>
  <c r="AE137" i="5"/>
  <c r="AC137" i="5"/>
  <c r="AB137" i="5"/>
  <c r="AA137" i="5"/>
  <c r="Z137" i="5"/>
  <c r="Y137" i="5"/>
  <c r="W137" i="5"/>
  <c r="V137" i="5"/>
  <c r="U137" i="5"/>
  <c r="T137" i="5"/>
  <c r="S137" i="5"/>
  <c r="Q137" i="5"/>
  <c r="P137" i="5"/>
  <c r="O137" i="5"/>
  <c r="N137" i="5"/>
  <c r="M137" i="5"/>
  <c r="K137" i="5"/>
  <c r="J137" i="5"/>
  <c r="I137" i="5"/>
  <c r="H137" i="5"/>
  <c r="G137" i="5"/>
  <c r="E137" i="5"/>
  <c r="D137" i="5"/>
  <c r="C137" i="5"/>
  <c r="B137" i="5"/>
  <c r="AO136" i="5"/>
  <c r="AN136" i="5"/>
  <c r="AM136" i="5"/>
  <c r="AL136" i="5"/>
  <c r="AK136" i="5"/>
  <c r="AI136" i="5"/>
  <c r="AH136" i="5"/>
  <c r="AG136" i="5"/>
  <c r="AF136" i="5"/>
  <c r="AE136" i="5"/>
  <c r="AC136" i="5"/>
  <c r="AB136" i="5"/>
  <c r="AA136" i="5"/>
  <c r="Z136" i="5"/>
  <c r="Y136" i="5"/>
  <c r="W136" i="5"/>
  <c r="V136" i="5"/>
  <c r="U136" i="5"/>
  <c r="T136" i="5"/>
  <c r="S136" i="5"/>
  <c r="Q136" i="5"/>
  <c r="P136" i="5"/>
  <c r="O136" i="5"/>
  <c r="N136" i="5"/>
  <c r="M136" i="5"/>
  <c r="K136" i="5"/>
  <c r="J136" i="5"/>
  <c r="I136" i="5"/>
  <c r="H136" i="5"/>
  <c r="G136" i="5"/>
  <c r="E136" i="5"/>
  <c r="D136" i="5"/>
  <c r="C136" i="5"/>
  <c r="B136" i="5"/>
  <c r="AO135" i="5"/>
  <c r="AN135" i="5"/>
  <c r="AM135" i="5"/>
  <c r="AL135" i="5"/>
  <c r="AK135" i="5"/>
  <c r="AI135" i="5"/>
  <c r="AH135" i="5"/>
  <c r="AG135" i="5"/>
  <c r="AF135" i="5"/>
  <c r="AE135" i="5"/>
  <c r="AC135" i="5"/>
  <c r="AB135" i="5"/>
  <c r="AA135" i="5"/>
  <c r="Z135" i="5"/>
  <c r="Y135" i="5"/>
  <c r="W135" i="5"/>
  <c r="V135" i="5"/>
  <c r="U135" i="5"/>
  <c r="T135" i="5"/>
  <c r="S135" i="5"/>
  <c r="Q135" i="5"/>
  <c r="P135" i="5"/>
  <c r="O135" i="5"/>
  <c r="N135" i="5"/>
  <c r="M135" i="5"/>
  <c r="K135" i="5"/>
  <c r="J135" i="5"/>
  <c r="I135" i="5"/>
  <c r="H135" i="5"/>
  <c r="G135" i="5"/>
  <c r="E135" i="5"/>
  <c r="D135" i="5"/>
  <c r="C135" i="5"/>
  <c r="B135" i="5"/>
  <c r="AO134" i="5"/>
  <c r="AN134" i="5"/>
  <c r="AM134" i="5"/>
  <c r="AL134" i="5"/>
  <c r="AK134" i="5"/>
  <c r="AI134" i="5"/>
  <c r="AH134" i="5"/>
  <c r="AG134" i="5"/>
  <c r="AF134" i="5"/>
  <c r="AE134" i="5"/>
  <c r="AC134" i="5"/>
  <c r="AB134" i="5"/>
  <c r="AA134" i="5"/>
  <c r="Z134" i="5"/>
  <c r="Y134" i="5"/>
  <c r="W134" i="5"/>
  <c r="V134" i="5"/>
  <c r="U134" i="5"/>
  <c r="T134" i="5"/>
  <c r="S134" i="5"/>
  <c r="Q134" i="5"/>
  <c r="P134" i="5"/>
  <c r="O134" i="5"/>
  <c r="N134" i="5"/>
  <c r="M134" i="5"/>
  <c r="K134" i="5"/>
  <c r="J134" i="5"/>
  <c r="I134" i="5"/>
  <c r="H134" i="5"/>
  <c r="G134" i="5"/>
  <c r="E134" i="5"/>
  <c r="D134" i="5"/>
  <c r="C134" i="5"/>
  <c r="B134" i="5"/>
  <c r="AO133" i="5"/>
  <c r="AN133" i="5"/>
  <c r="AM133" i="5"/>
  <c r="AL133" i="5"/>
  <c r="AK133" i="5"/>
  <c r="AI133" i="5"/>
  <c r="AH133" i="5"/>
  <c r="AG133" i="5"/>
  <c r="AF133" i="5"/>
  <c r="AE133" i="5"/>
  <c r="AC133" i="5"/>
  <c r="AB133" i="5"/>
  <c r="AA133" i="5"/>
  <c r="Z133" i="5"/>
  <c r="Y133" i="5"/>
  <c r="W133" i="5"/>
  <c r="V133" i="5"/>
  <c r="U133" i="5"/>
  <c r="T133" i="5"/>
  <c r="S133" i="5"/>
  <c r="Q133" i="5"/>
  <c r="P133" i="5"/>
  <c r="O133" i="5"/>
  <c r="N133" i="5"/>
  <c r="M133" i="5"/>
  <c r="K133" i="5"/>
  <c r="J133" i="5"/>
  <c r="I133" i="5"/>
  <c r="H133" i="5"/>
  <c r="G133" i="5"/>
  <c r="E133" i="5"/>
  <c r="D133" i="5"/>
  <c r="C133" i="5"/>
  <c r="B133" i="5"/>
  <c r="AO132" i="5"/>
  <c r="AN132" i="5"/>
  <c r="AM132" i="5"/>
  <c r="AL132" i="5"/>
  <c r="AK132" i="5"/>
  <c r="AI132" i="5"/>
  <c r="AH132" i="5"/>
  <c r="AG132" i="5"/>
  <c r="AF132" i="5"/>
  <c r="AE132" i="5"/>
  <c r="AC132" i="5"/>
  <c r="AB132" i="5"/>
  <c r="AA132" i="5"/>
  <c r="Z132" i="5"/>
  <c r="Y132" i="5"/>
  <c r="W132" i="5"/>
  <c r="V132" i="5"/>
  <c r="U132" i="5"/>
  <c r="T132" i="5"/>
  <c r="S132" i="5"/>
  <c r="Q132" i="5"/>
  <c r="P132" i="5"/>
  <c r="O132" i="5"/>
  <c r="N132" i="5"/>
  <c r="M132" i="5"/>
  <c r="K132" i="5"/>
  <c r="J132" i="5"/>
  <c r="I132" i="5"/>
  <c r="H132" i="5"/>
  <c r="G132" i="5"/>
  <c r="E132" i="5"/>
  <c r="D132" i="5"/>
  <c r="C132" i="5"/>
  <c r="B132" i="5"/>
  <c r="AO131" i="5"/>
  <c r="AN131" i="5"/>
  <c r="AM131" i="5"/>
  <c r="AL131" i="5"/>
  <c r="AK131" i="5"/>
  <c r="AI131" i="5"/>
  <c r="AH131" i="5"/>
  <c r="AG131" i="5"/>
  <c r="AF131" i="5"/>
  <c r="AE131" i="5"/>
  <c r="AC131" i="5"/>
  <c r="AB131" i="5"/>
  <c r="AA131" i="5"/>
  <c r="Z131" i="5"/>
  <c r="Y131" i="5"/>
  <c r="W131" i="5"/>
  <c r="V131" i="5"/>
  <c r="U131" i="5"/>
  <c r="T131" i="5"/>
  <c r="S131" i="5"/>
  <c r="Q131" i="5"/>
  <c r="P131" i="5"/>
  <c r="O131" i="5"/>
  <c r="N131" i="5"/>
  <c r="M131" i="5"/>
  <c r="K131" i="5"/>
  <c r="J131" i="5"/>
  <c r="I131" i="5"/>
  <c r="H131" i="5"/>
  <c r="G131" i="5"/>
  <c r="E131" i="5"/>
  <c r="D131" i="5"/>
  <c r="C131" i="5"/>
  <c r="B131" i="5"/>
  <c r="AO130" i="5"/>
  <c r="AN130" i="5"/>
  <c r="AM130" i="5"/>
  <c r="AL130" i="5"/>
  <c r="AK130" i="5"/>
  <c r="AI130" i="5"/>
  <c r="AH130" i="5"/>
  <c r="AG130" i="5"/>
  <c r="AF130" i="5"/>
  <c r="AE130" i="5"/>
  <c r="AC130" i="5"/>
  <c r="AB130" i="5"/>
  <c r="AA130" i="5"/>
  <c r="Z130" i="5"/>
  <c r="Y130" i="5"/>
  <c r="W130" i="5"/>
  <c r="V130" i="5"/>
  <c r="U130" i="5"/>
  <c r="T130" i="5"/>
  <c r="S130" i="5"/>
  <c r="Q130" i="5"/>
  <c r="P130" i="5"/>
  <c r="O130" i="5"/>
  <c r="N130" i="5"/>
  <c r="M130" i="5"/>
  <c r="K130" i="5"/>
  <c r="J130" i="5"/>
  <c r="I130" i="5"/>
  <c r="H130" i="5"/>
  <c r="G130" i="5"/>
  <c r="E130" i="5"/>
  <c r="D130" i="5"/>
  <c r="C130" i="5"/>
  <c r="B130" i="5"/>
  <c r="AO129" i="5"/>
  <c r="AN129" i="5"/>
  <c r="AM129" i="5"/>
  <c r="AL129" i="5"/>
  <c r="AK129" i="5"/>
  <c r="AI129" i="5"/>
  <c r="AH129" i="5"/>
  <c r="AG129" i="5"/>
  <c r="AF129" i="5"/>
  <c r="AE129" i="5"/>
  <c r="AC129" i="5"/>
  <c r="AB129" i="5"/>
  <c r="AA129" i="5"/>
  <c r="Z129" i="5"/>
  <c r="Y129" i="5"/>
  <c r="W129" i="5"/>
  <c r="V129" i="5"/>
  <c r="U129" i="5"/>
  <c r="T129" i="5"/>
  <c r="S129" i="5"/>
  <c r="Q129" i="5"/>
  <c r="P129" i="5"/>
  <c r="O129" i="5"/>
  <c r="N129" i="5"/>
  <c r="M129" i="5"/>
  <c r="K129" i="5"/>
  <c r="J129" i="5"/>
  <c r="I129" i="5"/>
  <c r="H129" i="5"/>
  <c r="G129" i="5"/>
  <c r="E129" i="5"/>
  <c r="D129" i="5"/>
  <c r="C129" i="5"/>
  <c r="B129" i="5"/>
  <c r="AO128" i="5"/>
  <c r="AN128" i="5"/>
  <c r="AM128" i="5"/>
  <c r="AL128" i="5"/>
  <c r="AK128" i="5"/>
  <c r="AI128" i="5"/>
  <c r="AH128" i="5"/>
  <c r="AG128" i="5"/>
  <c r="AF128" i="5"/>
  <c r="AE128" i="5"/>
  <c r="AC128" i="5"/>
  <c r="AB128" i="5"/>
  <c r="AA128" i="5"/>
  <c r="Z128" i="5"/>
  <c r="Y128" i="5"/>
  <c r="W128" i="5"/>
  <c r="V128" i="5"/>
  <c r="U128" i="5"/>
  <c r="T128" i="5"/>
  <c r="S128" i="5"/>
  <c r="Q128" i="5"/>
  <c r="P128" i="5"/>
  <c r="O128" i="5"/>
  <c r="N128" i="5"/>
  <c r="M128" i="5"/>
  <c r="K128" i="5"/>
  <c r="J128" i="5"/>
  <c r="I128" i="5"/>
  <c r="H128" i="5"/>
  <c r="G128" i="5"/>
  <c r="E128" i="5"/>
  <c r="D128" i="5"/>
  <c r="C128" i="5"/>
  <c r="B128" i="5"/>
  <c r="AO127" i="5"/>
  <c r="AN127" i="5"/>
  <c r="AM127" i="5"/>
  <c r="AL127" i="5"/>
  <c r="AK127" i="5"/>
  <c r="AI127" i="5"/>
  <c r="AH127" i="5"/>
  <c r="AG127" i="5"/>
  <c r="AF127" i="5"/>
  <c r="AE127" i="5"/>
  <c r="AC127" i="5"/>
  <c r="AB127" i="5"/>
  <c r="AA127" i="5"/>
  <c r="Z127" i="5"/>
  <c r="Y127" i="5"/>
  <c r="W127" i="5"/>
  <c r="V127" i="5"/>
  <c r="U127" i="5"/>
  <c r="T127" i="5"/>
  <c r="S127" i="5"/>
  <c r="Q127" i="5"/>
  <c r="P127" i="5"/>
  <c r="O127" i="5"/>
  <c r="N127" i="5"/>
  <c r="M127" i="5"/>
  <c r="K127" i="5"/>
  <c r="J127" i="5"/>
  <c r="I127" i="5"/>
  <c r="H127" i="5"/>
  <c r="G127" i="5"/>
  <c r="E127" i="5"/>
  <c r="D127" i="5"/>
  <c r="C127" i="5"/>
  <c r="B127" i="5"/>
  <c r="AO126" i="5"/>
  <c r="AN126" i="5"/>
  <c r="AM126" i="5"/>
  <c r="AL126" i="5"/>
  <c r="AK126" i="5"/>
  <c r="AI126" i="5"/>
  <c r="AH126" i="5"/>
  <c r="AG126" i="5"/>
  <c r="AF126" i="5"/>
  <c r="AE126" i="5"/>
  <c r="AC126" i="5"/>
  <c r="AB126" i="5"/>
  <c r="AA126" i="5"/>
  <c r="Z126" i="5"/>
  <c r="Y126" i="5"/>
  <c r="W126" i="5"/>
  <c r="V126" i="5"/>
  <c r="U126" i="5"/>
  <c r="T126" i="5"/>
  <c r="S126" i="5"/>
  <c r="Q126" i="5"/>
  <c r="P126" i="5"/>
  <c r="O126" i="5"/>
  <c r="N126" i="5"/>
  <c r="M126" i="5"/>
  <c r="K126" i="5"/>
  <c r="J126" i="5"/>
  <c r="I126" i="5"/>
  <c r="H126" i="5"/>
  <c r="G126" i="5"/>
  <c r="E126" i="5"/>
  <c r="D126" i="5"/>
  <c r="C126" i="5"/>
  <c r="B126" i="5"/>
  <c r="AO125" i="5"/>
  <c r="AN125" i="5"/>
  <c r="AM125" i="5"/>
  <c r="AL125" i="5"/>
  <c r="AK125" i="5"/>
  <c r="AI125" i="5"/>
  <c r="AH125" i="5"/>
  <c r="AG125" i="5"/>
  <c r="AF125" i="5"/>
  <c r="AE125" i="5"/>
  <c r="AC125" i="5"/>
  <c r="AB125" i="5"/>
  <c r="AA125" i="5"/>
  <c r="Z125" i="5"/>
  <c r="Y125" i="5"/>
  <c r="W125" i="5"/>
  <c r="V125" i="5"/>
  <c r="U125" i="5"/>
  <c r="T125" i="5"/>
  <c r="S125" i="5"/>
  <c r="Q125" i="5"/>
  <c r="P125" i="5"/>
  <c r="O125" i="5"/>
  <c r="N125" i="5"/>
  <c r="M125" i="5"/>
  <c r="K125" i="5"/>
  <c r="J125" i="5"/>
  <c r="I125" i="5"/>
  <c r="H125" i="5"/>
  <c r="G125" i="5"/>
  <c r="E125" i="5"/>
  <c r="D125" i="5"/>
  <c r="C125" i="5"/>
  <c r="B125" i="5"/>
  <c r="AO124" i="5"/>
  <c r="AN124" i="5"/>
  <c r="AM124" i="5"/>
  <c r="AL124" i="5"/>
  <c r="AK124" i="5"/>
  <c r="AI124" i="5"/>
  <c r="AH124" i="5"/>
  <c r="AG124" i="5"/>
  <c r="AF124" i="5"/>
  <c r="AE124" i="5"/>
  <c r="AC124" i="5"/>
  <c r="AB124" i="5"/>
  <c r="AA124" i="5"/>
  <c r="Z124" i="5"/>
  <c r="Y124" i="5"/>
  <c r="W124" i="5"/>
  <c r="V124" i="5"/>
  <c r="U124" i="5"/>
  <c r="T124" i="5"/>
  <c r="S124" i="5"/>
  <c r="Q124" i="5"/>
  <c r="P124" i="5"/>
  <c r="O124" i="5"/>
  <c r="N124" i="5"/>
  <c r="M124" i="5"/>
  <c r="K124" i="5"/>
  <c r="J124" i="5"/>
  <c r="I124" i="5"/>
  <c r="H124" i="5"/>
  <c r="G124" i="5"/>
  <c r="E124" i="5"/>
  <c r="D124" i="5"/>
  <c r="C124" i="5"/>
  <c r="B124" i="5"/>
  <c r="AO123" i="5"/>
  <c r="AN123" i="5"/>
  <c r="AM123" i="5"/>
  <c r="AL123" i="5"/>
  <c r="AK123" i="5"/>
  <c r="AI123" i="5"/>
  <c r="AH123" i="5"/>
  <c r="AG123" i="5"/>
  <c r="AF123" i="5"/>
  <c r="AE123" i="5"/>
  <c r="AC123" i="5"/>
  <c r="AB123" i="5"/>
  <c r="AA123" i="5"/>
  <c r="Z123" i="5"/>
  <c r="Y123" i="5"/>
  <c r="W123" i="5"/>
  <c r="V123" i="5"/>
  <c r="U123" i="5"/>
  <c r="T123" i="5"/>
  <c r="S123" i="5"/>
  <c r="Q123" i="5"/>
  <c r="P123" i="5"/>
  <c r="O123" i="5"/>
  <c r="N123" i="5"/>
  <c r="M123" i="5"/>
  <c r="K123" i="5"/>
  <c r="J123" i="5"/>
  <c r="I123" i="5"/>
  <c r="H123" i="5"/>
  <c r="G123" i="5"/>
  <c r="E123" i="5"/>
  <c r="D123" i="5"/>
  <c r="C123" i="5"/>
  <c r="B123" i="5"/>
  <c r="AO122" i="5"/>
  <c r="AN122" i="5"/>
  <c r="AM122" i="5"/>
  <c r="AL122" i="5"/>
  <c r="AK122" i="5"/>
  <c r="AI122" i="5"/>
  <c r="F62" i="1" s="1"/>
  <c r="AH122" i="5"/>
  <c r="F61" i="1" s="1"/>
  <c r="AG122" i="5"/>
  <c r="F60" i="1" s="1"/>
  <c r="AF122" i="5"/>
  <c r="F59" i="1" s="1"/>
  <c r="AE122" i="5"/>
  <c r="AC122" i="5"/>
  <c r="AB122" i="5"/>
  <c r="AA122" i="5"/>
  <c r="Z122" i="5"/>
  <c r="Y122" i="5"/>
  <c r="W122" i="5"/>
  <c r="V122" i="5"/>
  <c r="U122" i="5"/>
  <c r="T122" i="5"/>
  <c r="S122" i="5"/>
  <c r="Q122" i="5"/>
  <c r="P122" i="5"/>
  <c r="O122" i="5"/>
  <c r="N122" i="5"/>
  <c r="M122" i="5"/>
  <c r="K122" i="5"/>
  <c r="J122" i="5"/>
  <c r="I122" i="5"/>
  <c r="H122" i="5"/>
  <c r="G122" i="5"/>
  <c r="E122" i="5"/>
  <c r="D122" i="5"/>
  <c r="C122" i="5"/>
  <c r="B122" i="5"/>
  <c r="AO121" i="5"/>
  <c r="AN121" i="5"/>
  <c r="AM121" i="5"/>
  <c r="AL121" i="5"/>
  <c r="AK121" i="5"/>
  <c r="AI121" i="5"/>
  <c r="AH121" i="5"/>
  <c r="AG121" i="5"/>
  <c r="AF121" i="5"/>
  <c r="AE121" i="5"/>
  <c r="AC121" i="5"/>
  <c r="AB121" i="5"/>
  <c r="AA121" i="5"/>
  <c r="Z121" i="5"/>
  <c r="Y121" i="5"/>
  <c r="W121" i="5"/>
  <c r="V121" i="5"/>
  <c r="U121" i="5"/>
  <c r="T121" i="5"/>
  <c r="S121" i="5"/>
  <c r="Q121" i="5"/>
  <c r="P121" i="5"/>
  <c r="O121" i="5"/>
  <c r="N121" i="5"/>
  <c r="M121" i="5"/>
  <c r="K121" i="5"/>
  <c r="J121" i="5"/>
  <c r="I121" i="5"/>
  <c r="H121" i="5"/>
  <c r="G121" i="5"/>
  <c r="E121" i="5"/>
  <c r="D121" i="5"/>
  <c r="C121" i="5"/>
  <c r="B121" i="5"/>
  <c r="AO120" i="5"/>
  <c r="AN120" i="5"/>
  <c r="AM120" i="5"/>
  <c r="AL120" i="5"/>
  <c r="AK120" i="5"/>
  <c r="AI120" i="5"/>
  <c r="AH120" i="5"/>
  <c r="AG120" i="5"/>
  <c r="AF120" i="5"/>
  <c r="AE120" i="5"/>
  <c r="AC120" i="5"/>
  <c r="AB120" i="5"/>
  <c r="AA120" i="5"/>
  <c r="Z120" i="5"/>
  <c r="Y120" i="5"/>
  <c r="W120" i="5"/>
  <c r="V120" i="5"/>
  <c r="U120" i="5"/>
  <c r="T120" i="5"/>
  <c r="S120" i="5"/>
  <c r="Q120" i="5"/>
  <c r="P120" i="5"/>
  <c r="O120" i="5"/>
  <c r="N120" i="5"/>
  <c r="M120" i="5"/>
  <c r="K120" i="5"/>
  <c r="J120" i="5"/>
  <c r="I120" i="5"/>
  <c r="H120" i="5"/>
  <c r="G120" i="5"/>
  <c r="E120" i="5"/>
  <c r="D120" i="5"/>
  <c r="C120" i="5"/>
  <c r="B120" i="5"/>
  <c r="AO119" i="5"/>
  <c r="AN119" i="5"/>
  <c r="AM119" i="5"/>
  <c r="AL119" i="5"/>
  <c r="AK119" i="5"/>
  <c r="AI119" i="5"/>
  <c r="AH119" i="5"/>
  <c r="AG119" i="5"/>
  <c r="AF119" i="5"/>
  <c r="AE119" i="5"/>
  <c r="AC119" i="5"/>
  <c r="AB119" i="5"/>
  <c r="AA119" i="5"/>
  <c r="Z119" i="5"/>
  <c r="Y119" i="5"/>
  <c r="W119" i="5"/>
  <c r="V119" i="5"/>
  <c r="U119" i="5"/>
  <c r="T119" i="5"/>
  <c r="S119" i="5"/>
  <c r="Q119" i="5"/>
  <c r="P119" i="5"/>
  <c r="O119" i="5"/>
  <c r="N119" i="5"/>
  <c r="M119" i="5"/>
  <c r="K119" i="5"/>
  <c r="J119" i="5"/>
  <c r="I119" i="5"/>
  <c r="H119" i="5"/>
  <c r="G119" i="5"/>
  <c r="E119" i="5"/>
  <c r="D119" i="5"/>
  <c r="C119" i="5"/>
  <c r="B119" i="5"/>
  <c r="AO118" i="5"/>
  <c r="AN118" i="5"/>
  <c r="AM118" i="5"/>
  <c r="AL118" i="5"/>
  <c r="AK118" i="5"/>
  <c r="AI118" i="5"/>
  <c r="AH118" i="5"/>
  <c r="AG118" i="5"/>
  <c r="AF118" i="5"/>
  <c r="AE118" i="5"/>
  <c r="AC118" i="5"/>
  <c r="AB118" i="5"/>
  <c r="AA118" i="5"/>
  <c r="Z118" i="5"/>
  <c r="Y118" i="5"/>
  <c r="W118" i="5"/>
  <c r="V118" i="5"/>
  <c r="U118" i="5"/>
  <c r="T118" i="5"/>
  <c r="S118" i="5"/>
  <c r="Q118" i="5"/>
  <c r="P118" i="5"/>
  <c r="O118" i="5"/>
  <c r="N118" i="5"/>
  <c r="M118" i="5"/>
  <c r="K118" i="5"/>
  <c r="J118" i="5"/>
  <c r="I118" i="5"/>
  <c r="H118" i="5"/>
  <c r="G118" i="5"/>
  <c r="E118" i="5"/>
  <c r="D118" i="5"/>
  <c r="C118" i="5"/>
  <c r="B118" i="5"/>
  <c r="AO117" i="5"/>
  <c r="AN117" i="5"/>
  <c r="AM117" i="5"/>
  <c r="AL117" i="5"/>
  <c r="AK117" i="5"/>
  <c r="AI117" i="5"/>
  <c r="AH117" i="5"/>
  <c r="AG117" i="5"/>
  <c r="AF117" i="5"/>
  <c r="AE117" i="5"/>
  <c r="AC117" i="5"/>
  <c r="AB117" i="5"/>
  <c r="AA117" i="5"/>
  <c r="Z117" i="5"/>
  <c r="Y117" i="5"/>
  <c r="W117" i="5"/>
  <c r="V117" i="5"/>
  <c r="U117" i="5"/>
  <c r="T117" i="5"/>
  <c r="S117" i="5"/>
  <c r="Q117" i="5"/>
  <c r="P117" i="5"/>
  <c r="O117" i="5"/>
  <c r="N117" i="5"/>
  <c r="M117" i="5"/>
  <c r="K117" i="5"/>
  <c r="J117" i="5"/>
  <c r="I117" i="5"/>
  <c r="H117" i="5"/>
  <c r="G117" i="5"/>
  <c r="E117" i="5"/>
  <c r="D117" i="5"/>
  <c r="C117" i="5"/>
  <c r="B117" i="5"/>
  <c r="AO116" i="5"/>
  <c r="AN116" i="5"/>
  <c r="AM116" i="5"/>
  <c r="AL116" i="5"/>
  <c r="AK116" i="5"/>
  <c r="AI116" i="5"/>
  <c r="AH116" i="5"/>
  <c r="AG116" i="5"/>
  <c r="AF116" i="5"/>
  <c r="AE116" i="5"/>
  <c r="AC116" i="5"/>
  <c r="AB116" i="5"/>
  <c r="AA116" i="5"/>
  <c r="Z116" i="5"/>
  <c r="Y116" i="5"/>
  <c r="W116" i="5"/>
  <c r="V116" i="5"/>
  <c r="U116" i="5"/>
  <c r="T116" i="5"/>
  <c r="S116" i="5"/>
  <c r="Q116" i="5"/>
  <c r="P116" i="5"/>
  <c r="O116" i="5"/>
  <c r="N116" i="5"/>
  <c r="M116" i="5"/>
  <c r="K116" i="5"/>
  <c r="J116" i="5"/>
  <c r="I116" i="5"/>
  <c r="H116" i="5"/>
  <c r="G116" i="5"/>
  <c r="E116" i="5"/>
  <c r="D116" i="5"/>
  <c r="C116" i="5"/>
  <c r="B116" i="5"/>
  <c r="AO115" i="5"/>
  <c r="AN115" i="5"/>
  <c r="AM115" i="5"/>
  <c r="AL115" i="5"/>
  <c r="AK115" i="5"/>
  <c r="AI115" i="5"/>
  <c r="AH115" i="5"/>
  <c r="AG115" i="5"/>
  <c r="AF115" i="5"/>
  <c r="AE115" i="5"/>
  <c r="AC115" i="5"/>
  <c r="AB115" i="5"/>
  <c r="AA115" i="5"/>
  <c r="Z115" i="5"/>
  <c r="Y115" i="5"/>
  <c r="W115" i="5"/>
  <c r="V115" i="5"/>
  <c r="U115" i="5"/>
  <c r="T115" i="5"/>
  <c r="S115" i="5"/>
  <c r="Q115" i="5"/>
  <c r="P115" i="5"/>
  <c r="O115" i="5"/>
  <c r="N115" i="5"/>
  <c r="M115" i="5"/>
  <c r="K115" i="5"/>
  <c r="J115" i="5"/>
  <c r="I115" i="5"/>
  <c r="H115" i="5"/>
  <c r="G115" i="5"/>
  <c r="E115" i="5"/>
  <c r="D115" i="5"/>
  <c r="C115" i="5"/>
  <c r="B115" i="5"/>
  <c r="AO114" i="5"/>
  <c r="AN114" i="5"/>
  <c r="AM114" i="5"/>
  <c r="AL114" i="5"/>
  <c r="AK114" i="5"/>
  <c r="AI114" i="5"/>
  <c r="AH114" i="5"/>
  <c r="AG114" i="5"/>
  <c r="AF114" i="5"/>
  <c r="AE114" i="5"/>
  <c r="AC114" i="5"/>
  <c r="AB114" i="5"/>
  <c r="AA114" i="5"/>
  <c r="Z114" i="5"/>
  <c r="Y114" i="5"/>
  <c r="W114" i="5"/>
  <c r="V114" i="5"/>
  <c r="U114" i="5"/>
  <c r="T114" i="5"/>
  <c r="S114" i="5"/>
  <c r="Q114" i="5"/>
  <c r="P114" i="5"/>
  <c r="O114" i="5"/>
  <c r="N114" i="5"/>
  <c r="M114" i="5"/>
  <c r="K114" i="5"/>
  <c r="J114" i="5"/>
  <c r="I114" i="5"/>
  <c r="H114" i="5"/>
  <c r="G114" i="5"/>
  <c r="E114" i="5"/>
  <c r="D114" i="5"/>
  <c r="C114" i="5"/>
  <c r="B114" i="5"/>
  <c r="AO113" i="5"/>
  <c r="AN113" i="5"/>
  <c r="AM113" i="5"/>
  <c r="AL113" i="5"/>
  <c r="AK113" i="5"/>
  <c r="AI113" i="5"/>
  <c r="AH113" i="5"/>
  <c r="AG113" i="5"/>
  <c r="AF113" i="5"/>
  <c r="AE113" i="5"/>
  <c r="AC113" i="5"/>
  <c r="AB113" i="5"/>
  <c r="AA113" i="5"/>
  <c r="Z113" i="5"/>
  <c r="Y113" i="5"/>
  <c r="W113" i="5"/>
  <c r="V113" i="5"/>
  <c r="U113" i="5"/>
  <c r="T113" i="5"/>
  <c r="S113" i="5"/>
  <c r="Q113" i="5"/>
  <c r="P113" i="5"/>
  <c r="O113" i="5"/>
  <c r="N113" i="5"/>
  <c r="M113" i="5"/>
  <c r="K113" i="5"/>
  <c r="J113" i="5"/>
  <c r="I113" i="5"/>
  <c r="H113" i="5"/>
  <c r="G113" i="5"/>
  <c r="E113" i="5"/>
  <c r="D113" i="5"/>
  <c r="C113" i="5"/>
  <c r="B113" i="5"/>
  <c r="AO112" i="5"/>
  <c r="AN112" i="5"/>
  <c r="AM112" i="5"/>
  <c r="AL112" i="5"/>
  <c r="AK112" i="5"/>
  <c r="AI112" i="5"/>
  <c r="AH112" i="5"/>
  <c r="AG112" i="5"/>
  <c r="AF112" i="5"/>
  <c r="AE112" i="5"/>
  <c r="AC112" i="5"/>
  <c r="AB112" i="5"/>
  <c r="AA112" i="5"/>
  <c r="Z112" i="5"/>
  <c r="Y112" i="5"/>
  <c r="W112" i="5"/>
  <c r="V112" i="5"/>
  <c r="U112" i="5"/>
  <c r="T112" i="5"/>
  <c r="S112" i="5"/>
  <c r="Q112" i="5"/>
  <c r="P112" i="5"/>
  <c r="O112" i="5"/>
  <c r="N112" i="5"/>
  <c r="M112" i="5"/>
  <c r="K112" i="5"/>
  <c r="J112" i="5"/>
  <c r="I112" i="5"/>
  <c r="H112" i="5"/>
  <c r="G112" i="5"/>
  <c r="E112" i="5"/>
  <c r="D112" i="5"/>
  <c r="C112" i="5"/>
  <c r="B112" i="5"/>
  <c r="AO111" i="5"/>
  <c r="AN111" i="5"/>
  <c r="AM111" i="5"/>
  <c r="AL111" i="5"/>
  <c r="AK111" i="5"/>
  <c r="AI111" i="5"/>
  <c r="AH111" i="5"/>
  <c r="AG111" i="5"/>
  <c r="AF111" i="5"/>
  <c r="AE111" i="5"/>
  <c r="AC111" i="5"/>
  <c r="AB111" i="5"/>
  <c r="AA111" i="5"/>
  <c r="Z111" i="5"/>
  <c r="Y111" i="5"/>
  <c r="W111" i="5"/>
  <c r="V111" i="5"/>
  <c r="U111" i="5"/>
  <c r="T111" i="5"/>
  <c r="S111" i="5"/>
  <c r="Q111" i="5"/>
  <c r="P111" i="5"/>
  <c r="O111" i="5"/>
  <c r="N111" i="5"/>
  <c r="M111" i="5"/>
  <c r="K111" i="5"/>
  <c r="J111" i="5"/>
  <c r="I111" i="5"/>
  <c r="H111" i="5"/>
  <c r="G111" i="5"/>
  <c r="E111" i="5"/>
  <c r="D111" i="5"/>
  <c r="C111" i="5"/>
  <c r="B111" i="5"/>
  <c r="AO110" i="5"/>
  <c r="AN110" i="5"/>
  <c r="AM110" i="5"/>
  <c r="AL110" i="5"/>
  <c r="AK110" i="5"/>
  <c r="AI110" i="5"/>
  <c r="AH110" i="5"/>
  <c r="AG110" i="5"/>
  <c r="AF110" i="5"/>
  <c r="AE110" i="5"/>
  <c r="AC110" i="5"/>
  <c r="AB110" i="5"/>
  <c r="AA110" i="5"/>
  <c r="Z110" i="5"/>
  <c r="Y110" i="5"/>
  <c r="W110" i="5"/>
  <c r="V110" i="5"/>
  <c r="U110" i="5"/>
  <c r="T110" i="5"/>
  <c r="S110" i="5"/>
  <c r="Q110" i="5"/>
  <c r="P110" i="5"/>
  <c r="O110" i="5"/>
  <c r="N110" i="5"/>
  <c r="M110" i="5"/>
  <c r="K110" i="5"/>
  <c r="J110" i="5"/>
  <c r="I110" i="5"/>
  <c r="H110" i="5"/>
  <c r="G110" i="5"/>
  <c r="E110" i="5"/>
  <c r="D110" i="5"/>
  <c r="C110" i="5"/>
  <c r="B110" i="5"/>
  <c r="AO109" i="5"/>
  <c r="AN109" i="5"/>
  <c r="AM109" i="5"/>
  <c r="AL109" i="5"/>
  <c r="AK109" i="5"/>
  <c r="AI109" i="5"/>
  <c r="AH109" i="5"/>
  <c r="AG109" i="5"/>
  <c r="AF109" i="5"/>
  <c r="AE109" i="5"/>
  <c r="AC109" i="5"/>
  <c r="AB109" i="5"/>
  <c r="AA109" i="5"/>
  <c r="Z109" i="5"/>
  <c r="Y109" i="5"/>
  <c r="W109" i="5"/>
  <c r="V109" i="5"/>
  <c r="U109" i="5"/>
  <c r="T109" i="5"/>
  <c r="S109" i="5"/>
  <c r="Q109" i="5"/>
  <c r="P109" i="5"/>
  <c r="O109" i="5"/>
  <c r="N109" i="5"/>
  <c r="M109" i="5"/>
  <c r="K109" i="5"/>
  <c r="J109" i="5"/>
  <c r="I109" i="5"/>
  <c r="H109" i="5"/>
  <c r="G109" i="5"/>
  <c r="E109" i="5"/>
  <c r="D109" i="5"/>
  <c r="C109" i="5"/>
  <c r="B109" i="5"/>
  <c r="AO108" i="5"/>
  <c r="AN108" i="5"/>
  <c r="AM108" i="5"/>
  <c r="AL108" i="5"/>
  <c r="AK108" i="5"/>
  <c r="AI108" i="5"/>
  <c r="AH108" i="5"/>
  <c r="AG108" i="5"/>
  <c r="AF108" i="5"/>
  <c r="AE108" i="5"/>
  <c r="AC108" i="5"/>
  <c r="AB108" i="5"/>
  <c r="AA108" i="5"/>
  <c r="Z108" i="5"/>
  <c r="Y108" i="5"/>
  <c r="W108" i="5"/>
  <c r="V108" i="5"/>
  <c r="U108" i="5"/>
  <c r="T108" i="5"/>
  <c r="S108" i="5"/>
  <c r="Q108" i="5"/>
  <c r="P108" i="5"/>
  <c r="O108" i="5"/>
  <c r="N108" i="5"/>
  <c r="M108" i="5"/>
  <c r="K108" i="5"/>
  <c r="J108" i="5"/>
  <c r="I108" i="5"/>
  <c r="H108" i="5"/>
  <c r="G108" i="5"/>
  <c r="E108" i="5"/>
  <c r="D108" i="5"/>
  <c r="C108" i="5"/>
  <c r="B108" i="5"/>
  <c r="M68" i="5"/>
  <c r="K68" i="5"/>
  <c r="I68" i="5"/>
  <c r="D68" i="5"/>
  <c r="B68" i="5"/>
  <c r="AO67" i="5"/>
  <c r="AL67" i="5"/>
  <c r="AI67" i="5"/>
  <c r="AG67" i="5"/>
  <c r="AC67" i="5"/>
  <c r="AA67" i="5"/>
  <c r="V67" i="5"/>
  <c r="T67" i="5"/>
  <c r="Q67" i="5"/>
  <c r="O67" i="5"/>
  <c r="K67" i="5"/>
  <c r="J67" i="5"/>
  <c r="I67" i="5"/>
  <c r="H67" i="5"/>
  <c r="G67" i="5"/>
  <c r="E67" i="5"/>
  <c r="D67" i="5"/>
  <c r="AM66" i="5"/>
  <c r="AK66" i="5"/>
  <c r="AH66" i="5"/>
  <c r="AF66" i="5"/>
  <c r="AC66" i="5"/>
  <c r="Z66" i="5"/>
  <c r="W66" i="5"/>
  <c r="U66" i="5"/>
  <c r="S66" i="5"/>
  <c r="P66" i="5"/>
  <c r="N66" i="5"/>
  <c r="J66" i="5"/>
  <c r="H66" i="5"/>
  <c r="D66" i="5"/>
  <c r="B66" i="5"/>
  <c r="AO65" i="5"/>
  <c r="AL65" i="5"/>
  <c r="AI65" i="5"/>
  <c r="AG65" i="5"/>
  <c r="AE65" i="5"/>
  <c r="AB65" i="5"/>
  <c r="Y65" i="5"/>
  <c r="V65" i="5"/>
  <c r="S65" i="5"/>
  <c r="P65" i="5"/>
  <c r="O65" i="5"/>
  <c r="K65" i="5"/>
  <c r="I65" i="5"/>
  <c r="G65" i="5"/>
  <c r="D65" i="5"/>
  <c r="B65" i="5"/>
  <c r="AO64" i="5"/>
  <c r="AL64" i="5"/>
  <c r="AI64" i="5"/>
  <c r="AG64" i="5"/>
  <c r="AE64" i="5"/>
  <c r="AB64" i="5"/>
  <c r="W64" i="5"/>
  <c r="U64" i="5"/>
  <c r="T64" i="5"/>
  <c r="Q64" i="5"/>
  <c r="O64" i="5"/>
  <c r="K64" i="5"/>
  <c r="H64" i="5"/>
  <c r="D64" i="5"/>
  <c r="AN63" i="5"/>
  <c r="AK63" i="5"/>
  <c r="AI63" i="5"/>
  <c r="AG63" i="5"/>
  <c r="AE63" i="5"/>
  <c r="AB63" i="5"/>
  <c r="Y63" i="5"/>
  <c r="V63" i="5"/>
  <c r="T63" i="5"/>
  <c r="Q63" i="5"/>
  <c r="N63" i="5"/>
  <c r="J63" i="5"/>
  <c r="H63" i="5"/>
  <c r="D63" i="5"/>
  <c r="AK107" i="5"/>
  <c r="AI107" i="5"/>
  <c r="AH107" i="5"/>
  <c r="AG107" i="5"/>
  <c r="AF107" i="5"/>
  <c r="AE107" i="5"/>
  <c r="AC107" i="5"/>
  <c r="AB107" i="5"/>
  <c r="AA107" i="5"/>
  <c r="Z107" i="5"/>
  <c r="Y107" i="5"/>
  <c r="W107" i="5"/>
  <c r="V107" i="5"/>
  <c r="U107" i="5"/>
  <c r="T107" i="5"/>
  <c r="S107" i="5"/>
  <c r="Q107" i="5"/>
  <c r="P107" i="5"/>
  <c r="O107" i="5"/>
  <c r="N107" i="5"/>
  <c r="M107" i="5"/>
  <c r="K107" i="5"/>
  <c r="J107" i="5"/>
  <c r="I107" i="5"/>
  <c r="H107" i="5"/>
  <c r="G107" i="5"/>
  <c r="E107" i="5"/>
  <c r="D107" i="5"/>
  <c r="C107" i="5"/>
  <c r="B107" i="5"/>
  <c r="AO106" i="5"/>
  <c r="AN106" i="5"/>
  <c r="AM106" i="5"/>
  <c r="AL106" i="5"/>
  <c r="AK106" i="5"/>
  <c r="AI106" i="5"/>
  <c r="AH106" i="5"/>
  <c r="AG106" i="5"/>
  <c r="AF106" i="5"/>
  <c r="AE106" i="5"/>
  <c r="AC106" i="5"/>
  <c r="AB106" i="5"/>
  <c r="AA106" i="5"/>
  <c r="Z106" i="5"/>
  <c r="Y106" i="5"/>
  <c r="W106" i="5"/>
  <c r="V106" i="5"/>
  <c r="U106" i="5"/>
  <c r="T106" i="5"/>
  <c r="S106" i="5"/>
  <c r="Q106" i="5"/>
  <c r="P106" i="5"/>
  <c r="O106" i="5"/>
  <c r="N106" i="5"/>
  <c r="M106" i="5"/>
  <c r="K106" i="5"/>
  <c r="J106" i="5"/>
  <c r="I106" i="5"/>
  <c r="H106" i="5"/>
  <c r="G106" i="5"/>
  <c r="E106" i="5"/>
  <c r="D106" i="5"/>
  <c r="C106" i="5"/>
  <c r="B106" i="5"/>
  <c r="AO105" i="5"/>
  <c r="AN105" i="5"/>
  <c r="AM105" i="5"/>
  <c r="AL105" i="5"/>
  <c r="AK105" i="5"/>
  <c r="AI105" i="5"/>
  <c r="AH105" i="5"/>
  <c r="AG105" i="5"/>
  <c r="AF105" i="5"/>
  <c r="AE105" i="5"/>
  <c r="AC105" i="5"/>
  <c r="AB105" i="5"/>
  <c r="AA105" i="5"/>
  <c r="Z105" i="5"/>
  <c r="Y105" i="5"/>
  <c r="W105" i="5"/>
  <c r="V105" i="5"/>
  <c r="U105" i="5"/>
  <c r="T105" i="5"/>
  <c r="S105" i="5"/>
  <c r="Q105" i="5"/>
  <c r="P105" i="5"/>
  <c r="O105" i="5"/>
  <c r="N105" i="5"/>
  <c r="M105" i="5"/>
  <c r="K105" i="5"/>
  <c r="J105" i="5"/>
  <c r="I105" i="5"/>
  <c r="H105" i="5"/>
  <c r="G105" i="5"/>
  <c r="E105" i="5"/>
  <c r="D105" i="5"/>
  <c r="C105" i="5"/>
  <c r="B105" i="5"/>
  <c r="AO104" i="5"/>
  <c r="AN104" i="5"/>
  <c r="AM104" i="5"/>
  <c r="AL104" i="5"/>
  <c r="AK104" i="5"/>
  <c r="AI104" i="5"/>
  <c r="AH104" i="5"/>
  <c r="AG104" i="5"/>
  <c r="AF104" i="5"/>
  <c r="AE104" i="5"/>
  <c r="AC104" i="5"/>
  <c r="AB104" i="5"/>
  <c r="AA104" i="5"/>
  <c r="Z104" i="5"/>
  <c r="Y104" i="5"/>
  <c r="W104" i="5"/>
  <c r="V104" i="5"/>
  <c r="U104" i="5"/>
  <c r="T104" i="5"/>
  <c r="S104" i="5"/>
  <c r="Q104" i="5"/>
  <c r="P104" i="5"/>
  <c r="O104" i="5"/>
  <c r="N104" i="5"/>
  <c r="M104" i="5"/>
  <c r="K104" i="5"/>
  <c r="J104" i="5"/>
  <c r="I104" i="5"/>
  <c r="H104" i="5"/>
  <c r="G104" i="5"/>
  <c r="E104" i="5"/>
  <c r="D104" i="5"/>
  <c r="C104" i="5"/>
  <c r="B104" i="5"/>
  <c r="AO103" i="5"/>
  <c r="AN103" i="5"/>
  <c r="AM103" i="5"/>
  <c r="AL103" i="5"/>
  <c r="AK103" i="5"/>
  <c r="AI103" i="5"/>
  <c r="AH103" i="5"/>
  <c r="AG103" i="5"/>
  <c r="AF103" i="5"/>
  <c r="AE103" i="5"/>
  <c r="AC103" i="5"/>
  <c r="AB103" i="5"/>
  <c r="AA103" i="5"/>
  <c r="Z103" i="5"/>
  <c r="Y103" i="5"/>
  <c r="W103" i="5"/>
  <c r="V103" i="5"/>
  <c r="U103" i="5"/>
  <c r="T103" i="5"/>
  <c r="S103" i="5"/>
  <c r="Q103" i="5"/>
  <c r="P103" i="5"/>
  <c r="O103" i="5"/>
  <c r="N103" i="5"/>
  <c r="M103" i="5"/>
  <c r="K103" i="5"/>
  <c r="J103" i="5"/>
  <c r="I103" i="5"/>
  <c r="H103" i="5"/>
  <c r="G103" i="5"/>
  <c r="E103" i="5"/>
  <c r="D103" i="5"/>
  <c r="C103" i="5"/>
  <c r="B103" i="5"/>
  <c r="AO102" i="5"/>
  <c r="AN102" i="5"/>
  <c r="AM102" i="5"/>
  <c r="AL102" i="5"/>
  <c r="AK102" i="5"/>
  <c r="AI102" i="5"/>
  <c r="AH102" i="5"/>
  <c r="AG102" i="5"/>
  <c r="AF102" i="5"/>
  <c r="AE102" i="5"/>
  <c r="AC102" i="5"/>
  <c r="AB102" i="5"/>
  <c r="AA102" i="5"/>
  <c r="Z102" i="5"/>
  <c r="Y102" i="5"/>
  <c r="W102" i="5"/>
  <c r="V102" i="5"/>
  <c r="U102" i="5"/>
  <c r="T102" i="5"/>
  <c r="S102" i="5"/>
  <c r="Q102" i="5"/>
  <c r="P102" i="5"/>
  <c r="O102" i="5"/>
  <c r="N102" i="5"/>
  <c r="M102" i="5"/>
  <c r="K102" i="5"/>
  <c r="J102" i="5"/>
  <c r="I102" i="5"/>
  <c r="H102" i="5"/>
  <c r="G102" i="5"/>
  <c r="E102" i="5"/>
  <c r="D102" i="5"/>
  <c r="C102" i="5"/>
  <c r="B102" i="5"/>
  <c r="AO101" i="5"/>
  <c r="AN101" i="5"/>
  <c r="AM101" i="5"/>
  <c r="AL101" i="5"/>
  <c r="AK101" i="5"/>
  <c r="AI101" i="5"/>
  <c r="AH101" i="5"/>
  <c r="AG101" i="5"/>
  <c r="AF101" i="5"/>
  <c r="AE101" i="5"/>
  <c r="AC101" i="5"/>
  <c r="AB101" i="5"/>
  <c r="AA101" i="5"/>
  <c r="Z101" i="5"/>
  <c r="Y101" i="5"/>
  <c r="W101" i="5"/>
  <c r="V101" i="5"/>
  <c r="U101" i="5"/>
  <c r="T101" i="5"/>
  <c r="S101" i="5"/>
  <c r="Q101" i="5"/>
  <c r="P101" i="5"/>
  <c r="O101" i="5"/>
  <c r="N101" i="5"/>
  <c r="M101" i="5"/>
  <c r="K101" i="5"/>
  <c r="J101" i="5"/>
  <c r="I101" i="5"/>
  <c r="H101" i="5"/>
  <c r="G101" i="5"/>
  <c r="E101" i="5"/>
  <c r="D101" i="5"/>
  <c r="C101" i="5"/>
  <c r="B101" i="5"/>
  <c r="AO100" i="5"/>
  <c r="AN100" i="5"/>
  <c r="AM100" i="5"/>
  <c r="AL100" i="5"/>
  <c r="AK100" i="5"/>
  <c r="AI100" i="5"/>
  <c r="AH100" i="5"/>
  <c r="AG100" i="5"/>
  <c r="AF100" i="5"/>
  <c r="AE100" i="5"/>
  <c r="AC100" i="5"/>
  <c r="AB100" i="5"/>
  <c r="AA100" i="5"/>
  <c r="Z100" i="5"/>
  <c r="Y100" i="5"/>
  <c r="W100" i="5"/>
  <c r="V100" i="5"/>
  <c r="U100" i="5"/>
  <c r="T100" i="5"/>
  <c r="S100" i="5"/>
  <c r="Q100" i="5"/>
  <c r="P100" i="5"/>
  <c r="O100" i="5"/>
  <c r="N100" i="5"/>
  <c r="M100" i="5"/>
  <c r="K100" i="5"/>
  <c r="J100" i="5"/>
  <c r="I100" i="5"/>
  <c r="H100" i="5"/>
  <c r="G100" i="5"/>
  <c r="E100" i="5"/>
  <c r="D100" i="5"/>
  <c r="C100" i="5"/>
  <c r="B100" i="5"/>
  <c r="AO99" i="5"/>
  <c r="AN99" i="5"/>
  <c r="AM99" i="5"/>
  <c r="AL99" i="5"/>
  <c r="AK99" i="5"/>
  <c r="AI99" i="5"/>
  <c r="AH99" i="5"/>
  <c r="AG99" i="5"/>
  <c r="AF99" i="5"/>
  <c r="AE99" i="5"/>
  <c r="AC99" i="5"/>
  <c r="AB99" i="5"/>
  <c r="AA99" i="5"/>
  <c r="Z99" i="5"/>
  <c r="Y99" i="5"/>
  <c r="W99" i="5"/>
  <c r="V99" i="5"/>
  <c r="U99" i="5"/>
  <c r="T99" i="5"/>
  <c r="S99" i="5"/>
  <c r="Q99" i="5"/>
  <c r="P99" i="5"/>
  <c r="O99" i="5"/>
  <c r="N99" i="5"/>
  <c r="M99" i="5"/>
  <c r="K99" i="5"/>
  <c r="J99" i="5"/>
  <c r="I99" i="5"/>
  <c r="H99" i="5"/>
  <c r="G99" i="5"/>
  <c r="E99" i="5"/>
  <c r="D99" i="5"/>
  <c r="C99" i="5"/>
  <c r="B99" i="5"/>
  <c r="AO98" i="5"/>
  <c r="AN98" i="5"/>
  <c r="AM98" i="5"/>
  <c r="AL98" i="5"/>
  <c r="AK98" i="5"/>
  <c r="AI98" i="5"/>
  <c r="AH98" i="5"/>
  <c r="AG98" i="5"/>
  <c r="AF98" i="5"/>
  <c r="AE98" i="5"/>
  <c r="AC98" i="5"/>
  <c r="AB98" i="5"/>
  <c r="AA98" i="5"/>
  <c r="Z98" i="5"/>
  <c r="Y98" i="5"/>
  <c r="W98" i="5"/>
  <c r="V98" i="5"/>
  <c r="U98" i="5"/>
  <c r="T98" i="5"/>
  <c r="S98" i="5"/>
  <c r="Q98" i="5"/>
  <c r="P98" i="5"/>
  <c r="O98" i="5"/>
  <c r="N98" i="5"/>
  <c r="M98" i="5"/>
  <c r="K98" i="5"/>
  <c r="J98" i="5"/>
  <c r="I98" i="5"/>
  <c r="H98" i="5"/>
  <c r="G98" i="5"/>
  <c r="E98" i="5"/>
  <c r="D98" i="5"/>
  <c r="C98" i="5"/>
  <c r="B98" i="5"/>
  <c r="AO97" i="5"/>
  <c r="AN97" i="5"/>
  <c r="AM97" i="5"/>
  <c r="AL97" i="5"/>
  <c r="AK97" i="5"/>
  <c r="AI97" i="5"/>
  <c r="AH97" i="5"/>
  <c r="AG97" i="5"/>
  <c r="AF97" i="5"/>
  <c r="AE97" i="5"/>
  <c r="AC97" i="5"/>
  <c r="AB97" i="5"/>
  <c r="AA97" i="5"/>
  <c r="Z97" i="5"/>
  <c r="Y97" i="5"/>
  <c r="W97" i="5"/>
  <c r="V97" i="5"/>
  <c r="U97" i="5"/>
  <c r="T97" i="5"/>
  <c r="S97" i="5"/>
  <c r="Q97" i="5"/>
  <c r="P97" i="5"/>
  <c r="O97" i="5"/>
  <c r="N97" i="5"/>
  <c r="M97" i="5"/>
  <c r="K97" i="5"/>
  <c r="J97" i="5"/>
  <c r="I97" i="5"/>
  <c r="H97" i="5"/>
  <c r="G97" i="5"/>
  <c r="E97" i="5"/>
  <c r="D97" i="5"/>
  <c r="C97" i="5"/>
  <c r="B97" i="5"/>
  <c r="AO96" i="5"/>
  <c r="AN96" i="5"/>
  <c r="AM96" i="5"/>
  <c r="AL96" i="5"/>
  <c r="AK96" i="5"/>
  <c r="AI96" i="5"/>
  <c r="AH96" i="5"/>
  <c r="AG96" i="5"/>
  <c r="AF96" i="5"/>
  <c r="AE96" i="5"/>
  <c r="AC96" i="5"/>
  <c r="AB96" i="5"/>
  <c r="AA96" i="5"/>
  <c r="Z96" i="5"/>
  <c r="Y96" i="5"/>
  <c r="W96" i="5"/>
  <c r="V96" i="5"/>
  <c r="U96" i="5"/>
  <c r="T96" i="5"/>
  <c r="S96" i="5"/>
  <c r="Q96" i="5"/>
  <c r="P96" i="5"/>
  <c r="O96" i="5"/>
  <c r="N96" i="5"/>
  <c r="M96" i="5"/>
  <c r="K96" i="5"/>
  <c r="J96" i="5"/>
  <c r="I96" i="5"/>
  <c r="H96" i="5"/>
  <c r="G96" i="5"/>
  <c r="E96" i="5"/>
  <c r="D96" i="5"/>
  <c r="C96" i="5"/>
  <c r="B96" i="5"/>
  <c r="AO95" i="5"/>
  <c r="AN95" i="5"/>
  <c r="AM95" i="5"/>
  <c r="AL95" i="5"/>
  <c r="AK95" i="5"/>
  <c r="AI95" i="5"/>
  <c r="AH95" i="5"/>
  <c r="AG95" i="5"/>
  <c r="AF95" i="5"/>
  <c r="AE95" i="5"/>
  <c r="AC95" i="5"/>
  <c r="AB95" i="5"/>
  <c r="AA95" i="5"/>
  <c r="Z95" i="5"/>
  <c r="Y95" i="5"/>
  <c r="W95" i="5"/>
  <c r="V95" i="5"/>
  <c r="U95" i="5"/>
  <c r="T95" i="5"/>
  <c r="S95" i="5"/>
  <c r="Q95" i="5"/>
  <c r="P95" i="5"/>
  <c r="O95" i="5"/>
  <c r="N95" i="5"/>
  <c r="M95" i="5"/>
  <c r="K95" i="5"/>
  <c r="J95" i="5"/>
  <c r="I95" i="5"/>
  <c r="H95" i="5"/>
  <c r="G95" i="5"/>
  <c r="E95" i="5"/>
  <c r="D95" i="5"/>
  <c r="C95" i="5"/>
  <c r="B95" i="5"/>
  <c r="AO94" i="5"/>
  <c r="AN94" i="5"/>
  <c r="AM94" i="5"/>
  <c r="AL94" i="5"/>
  <c r="AK94" i="5"/>
  <c r="AI94" i="5"/>
  <c r="AH94" i="5"/>
  <c r="AG94" i="5"/>
  <c r="AF94" i="5"/>
  <c r="AE94" i="5"/>
  <c r="AC94" i="5"/>
  <c r="AB94" i="5"/>
  <c r="AA94" i="5"/>
  <c r="Z94" i="5"/>
  <c r="Y94" i="5"/>
  <c r="W94" i="5"/>
  <c r="V94" i="5"/>
  <c r="U94" i="5"/>
  <c r="T94" i="5"/>
  <c r="S94" i="5"/>
  <c r="Q94" i="5"/>
  <c r="P94" i="5"/>
  <c r="O94" i="5"/>
  <c r="N94" i="5"/>
  <c r="M94" i="5"/>
  <c r="K94" i="5"/>
  <c r="J94" i="5"/>
  <c r="I94" i="5"/>
  <c r="H94" i="5"/>
  <c r="G94" i="5"/>
  <c r="E94" i="5"/>
  <c r="D94" i="5"/>
  <c r="C94" i="5"/>
  <c r="B94" i="5"/>
  <c r="AO93" i="5"/>
  <c r="AN93" i="5"/>
  <c r="AM93" i="5"/>
  <c r="AL93" i="5"/>
  <c r="AK93" i="5"/>
  <c r="AI93" i="5"/>
  <c r="AH93" i="5"/>
  <c r="AG93" i="5"/>
  <c r="AF93" i="5"/>
  <c r="AE93" i="5"/>
  <c r="AC93" i="5"/>
  <c r="AB93" i="5"/>
  <c r="AA93" i="5"/>
  <c r="Z93" i="5"/>
  <c r="Y93" i="5"/>
  <c r="W93" i="5"/>
  <c r="V93" i="5"/>
  <c r="U93" i="5"/>
  <c r="T93" i="5"/>
  <c r="S93" i="5"/>
  <c r="Q93" i="5"/>
  <c r="P93" i="5"/>
  <c r="O93" i="5"/>
  <c r="N93" i="5"/>
  <c r="M93" i="5"/>
  <c r="K93" i="5"/>
  <c r="J93" i="5"/>
  <c r="I93" i="5"/>
  <c r="H93" i="5"/>
  <c r="G93" i="5"/>
  <c r="E93" i="5"/>
  <c r="D93" i="5"/>
  <c r="C93" i="5"/>
  <c r="B93" i="5"/>
  <c r="AO92" i="5"/>
  <c r="AN92" i="5"/>
  <c r="AM92" i="5"/>
  <c r="AL92" i="5"/>
  <c r="AK92" i="5"/>
  <c r="AI92" i="5"/>
  <c r="AH92" i="5"/>
  <c r="AG92" i="5"/>
  <c r="AF92" i="5"/>
  <c r="AE92" i="5"/>
  <c r="AC92" i="5"/>
  <c r="AB92" i="5"/>
  <c r="AA92" i="5"/>
  <c r="Z92" i="5"/>
  <c r="Y92" i="5"/>
  <c r="W92" i="5"/>
  <c r="V92" i="5"/>
  <c r="U92" i="5"/>
  <c r="T92" i="5"/>
  <c r="S92" i="5"/>
  <c r="Q92" i="5"/>
  <c r="P92" i="5"/>
  <c r="O92" i="5"/>
  <c r="N92" i="5"/>
  <c r="M92" i="5"/>
  <c r="K92" i="5"/>
  <c r="J92" i="5"/>
  <c r="I92" i="5"/>
  <c r="H92" i="5"/>
  <c r="G92" i="5"/>
  <c r="E92" i="5"/>
  <c r="D92" i="5"/>
  <c r="C92" i="5"/>
  <c r="B92" i="5"/>
  <c r="AO91" i="5"/>
  <c r="AN91" i="5"/>
  <c r="AM91" i="5"/>
  <c r="AL91" i="5"/>
  <c r="AK91" i="5"/>
  <c r="AI91" i="5"/>
  <c r="AH91" i="5"/>
  <c r="AG91" i="5"/>
  <c r="AF91" i="5"/>
  <c r="AE91" i="5"/>
  <c r="AC91" i="5"/>
  <c r="AB91" i="5"/>
  <c r="AA91" i="5"/>
  <c r="Z91" i="5"/>
  <c r="Y91" i="5"/>
  <c r="W91" i="5"/>
  <c r="V91" i="5"/>
  <c r="U91" i="5"/>
  <c r="T91" i="5"/>
  <c r="S91" i="5"/>
  <c r="Q91" i="5"/>
  <c r="P91" i="5"/>
  <c r="O91" i="5"/>
  <c r="N91" i="5"/>
  <c r="M91" i="5"/>
  <c r="K91" i="5"/>
  <c r="J91" i="5"/>
  <c r="I91" i="5"/>
  <c r="H91" i="5"/>
  <c r="G91" i="5"/>
  <c r="E91" i="5"/>
  <c r="D91" i="5"/>
  <c r="C91" i="5"/>
  <c r="B91" i="5"/>
  <c r="AO90" i="5"/>
  <c r="AN90" i="5"/>
  <c r="AM90" i="5"/>
  <c r="AL90" i="5"/>
  <c r="AK90" i="5"/>
  <c r="AI90" i="5"/>
  <c r="AH90" i="5"/>
  <c r="AG90" i="5"/>
  <c r="AF90" i="5"/>
  <c r="AE90" i="5"/>
  <c r="AC90" i="5"/>
  <c r="AB90" i="5"/>
  <c r="AA90" i="5"/>
  <c r="Z90" i="5"/>
  <c r="Y90" i="5"/>
  <c r="W90" i="5"/>
  <c r="V90" i="5"/>
  <c r="U90" i="5"/>
  <c r="T90" i="5"/>
  <c r="S90" i="5"/>
  <c r="Q90" i="5"/>
  <c r="P90" i="5"/>
  <c r="O90" i="5"/>
  <c r="N90" i="5"/>
  <c r="M90" i="5"/>
  <c r="K90" i="5"/>
  <c r="J90" i="5"/>
  <c r="I90" i="5"/>
  <c r="H90" i="5"/>
  <c r="G90" i="5"/>
  <c r="E90" i="5"/>
  <c r="D90" i="5"/>
  <c r="C90" i="5"/>
  <c r="B90" i="5"/>
  <c r="AO89" i="5"/>
  <c r="AN89" i="5"/>
  <c r="AM89" i="5"/>
  <c r="AL89" i="5"/>
  <c r="AK89" i="5"/>
  <c r="AI89" i="5"/>
  <c r="AH89" i="5"/>
  <c r="AG89" i="5"/>
  <c r="AF89" i="5"/>
  <c r="AE89" i="5"/>
  <c r="AC89" i="5"/>
  <c r="AB89" i="5"/>
  <c r="AA89" i="5"/>
  <c r="Z89" i="5"/>
  <c r="Y89" i="5"/>
  <c r="W89" i="5"/>
  <c r="V89" i="5"/>
  <c r="U89" i="5"/>
  <c r="T89" i="5"/>
  <c r="S89" i="5"/>
  <c r="Q89" i="5"/>
  <c r="P89" i="5"/>
  <c r="O89" i="5"/>
  <c r="N89" i="5"/>
  <c r="M89" i="5"/>
  <c r="K89" i="5"/>
  <c r="J89" i="5"/>
  <c r="I89" i="5"/>
  <c r="H89" i="5"/>
  <c r="G89" i="5"/>
  <c r="E89" i="5"/>
  <c r="D89" i="5"/>
  <c r="C89" i="5"/>
  <c r="B89" i="5"/>
  <c r="AO88" i="5"/>
  <c r="AN88" i="5"/>
  <c r="AM88" i="5"/>
  <c r="AL88" i="5"/>
  <c r="AK88" i="5"/>
  <c r="AI88" i="5"/>
  <c r="AH88" i="5"/>
  <c r="AG88" i="5"/>
  <c r="AF88" i="5"/>
  <c r="AE88" i="5"/>
  <c r="AC88" i="5"/>
  <c r="AB88" i="5"/>
  <c r="AA88" i="5"/>
  <c r="Z88" i="5"/>
  <c r="Y88" i="5"/>
  <c r="W88" i="5"/>
  <c r="V88" i="5"/>
  <c r="U88" i="5"/>
  <c r="T88" i="5"/>
  <c r="S88" i="5"/>
  <c r="Q88" i="5"/>
  <c r="P88" i="5"/>
  <c r="O88" i="5"/>
  <c r="N88" i="5"/>
  <c r="M88" i="5"/>
  <c r="K88" i="5"/>
  <c r="J88" i="5"/>
  <c r="I88" i="5"/>
  <c r="H88" i="5"/>
  <c r="G88" i="5"/>
  <c r="E88" i="5"/>
  <c r="D88" i="5"/>
  <c r="C88" i="5"/>
  <c r="B88" i="5"/>
  <c r="AO87" i="5"/>
  <c r="AN87" i="5"/>
  <c r="AM87" i="5"/>
  <c r="AL87" i="5"/>
  <c r="AK87" i="5"/>
  <c r="AI87" i="5"/>
  <c r="AH87" i="5"/>
  <c r="AG87" i="5"/>
  <c r="AF87" i="5"/>
  <c r="AE87" i="5"/>
  <c r="AC87" i="5"/>
  <c r="AB87" i="5"/>
  <c r="AA87" i="5"/>
  <c r="Z87" i="5"/>
  <c r="Y87" i="5"/>
  <c r="W87" i="5"/>
  <c r="V87" i="5"/>
  <c r="U87" i="5"/>
  <c r="T87" i="5"/>
  <c r="S87" i="5"/>
  <c r="Q87" i="5"/>
  <c r="P87" i="5"/>
  <c r="O87" i="5"/>
  <c r="N87" i="5"/>
  <c r="M87" i="5"/>
  <c r="K87" i="5"/>
  <c r="J87" i="5"/>
  <c r="I87" i="5"/>
  <c r="H87" i="5"/>
  <c r="G87" i="5"/>
  <c r="E87" i="5"/>
  <c r="D87" i="5"/>
  <c r="C87" i="5"/>
  <c r="B87" i="5"/>
  <c r="AO86" i="5"/>
  <c r="AN86" i="5"/>
  <c r="AM86" i="5"/>
  <c r="AL86" i="5"/>
  <c r="AK86" i="5"/>
  <c r="AI86" i="5"/>
  <c r="AH86" i="5"/>
  <c r="AG86" i="5"/>
  <c r="AF86" i="5"/>
  <c r="AE86" i="5"/>
  <c r="AC86" i="5"/>
  <c r="AB86" i="5"/>
  <c r="AA86" i="5"/>
  <c r="Z86" i="5"/>
  <c r="Y86" i="5"/>
  <c r="W86" i="5"/>
  <c r="V86" i="5"/>
  <c r="U86" i="5"/>
  <c r="T86" i="5"/>
  <c r="S86" i="5"/>
  <c r="Q86" i="5"/>
  <c r="P86" i="5"/>
  <c r="O86" i="5"/>
  <c r="N86" i="5"/>
  <c r="M86" i="5"/>
  <c r="K86" i="5"/>
  <c r="J86" i="5"/>
  <c r="I86" i="5"/>
  <c r="H86" i="5"/>
  <c r="G86" i="5"/>
  <c r="E86" i="5"/>
  <c r="D86" i="5"/>
  <c r="C86" i="5"/>
  <c r="B86" i="5"/>
  <c r="AO85" i="5"/>
  <c r="AN85" i="5"/>
  <c r="AM85" i="5"/>
  <c r="AL85" i="5"/>
  <c r="AK85" i="5"/>
  <c r="AI85" i="5"/>
  <c r="AH85" i="5"/>
  <c r="AG85" i="5"/>
  <c r="AF85" i="5"/>
  <c r="AE85" i="5"/>
  <c r="AC85" i="5"/>
  <c r="AB85" i="5"/>
  <c r="AA85" i="5"/>
  <c r="Z85" i="5"/>
  <c r="Y85" i="5"/>
  <c r="W85" i="5"/>
  <c r="V85" i="5"/>
  <c r="U85" i="5"/>
  <c r="T85" i="5"/>
  <c r="S85" i="5"/>
  <c r="Q85" i="5"/>
  <c r="P85" i="5"/>
  <c r="O85" i="5"/>
  <c r="N85" i="5"/>
  <c r="M85" i="5"/>
  <c r="K85" i="5"/>
  <c r="J85" i="5"/>
  <c r="I85" i="5"/>
  <c r="H85" i="5"/>
  <c r="G85" i="5"/>
  <c r="E85" i="5"/>
  <c r="D85" i="5"/>
  <c r="C85" i="5"/>
  <c r="B85" i="5"/>
  <c r="AO84" i="5"/>
  <c r="AN84" i="5"/>
  <c r="AM84" i="5"/>
  <c r="AL84" i="5"/>
  <c r="AK84" i="5"/>
  <c r="AI84" i="5"/>
  <c r="AH84" i="5"/>
  <c r="AG84" i="5"/>
  <c r="AF84" i="5"/>
  <c r="AE84" i="5"/>
  <c r="AC84" i="5"/>
  <c r="AB84" i="5"/>
  <c r="AA84" i="5"/>
  <c r="Z84" i="5"/>
  <c r="Y84" i="5"/>
  <c r="W84" i="5"/>
  <c r="V84" i="5"/>
  <c r="U84" i="5"/>
  <c r="T84" i="5"/>
  <c r="S84" i="5"/>
  <c r="Q84" i="5"/>
  <c r="P84" i="5"/>
  <c r="O84" i="5"/>
  <c r="N84" i="5"/>
  <c r="M84" i="5"/>
  <c r="K84" i="5"/>
  <c r="J84" i="5"/>
  <c r="I84" i="5"/>
  <c r="H84" i="5"/>
  <c r="G84" i="5"/>
  <c r="E84" i="5"/>
  <c r="D84" i="5"/>
  <c r="C84" i="5"/>
  <c r="B84" i="5"/>
  <c r="AO83" i="5"/>
  <c r="AN83" i="5"/>
  <c r="AM83" i="5"/>
  <c r="AL83" i="5"/>
  <c r="AK83" i="5"/>
  <c r="AI83" i="5"/>
  <c r="AH83" i="5"/>
  <c r="AG83" i="5"/>
  <c r="AF83" i="5"/>
  <c r="AE83" i="5"/>
  <c r="AC83" i="5"/>
  <c r="AB83" i="5"/>
  <c r="AA83" i="5"/>
  <c r="Z83" i="5"/>
  <c r="Y83" i="5"/>
  <c r="W83" i="5"/>
  <c r="V83" i="5"/>
  <c r="U83" i="5"/>
  <c r="T83" i="5"/>
  <c r="S83" i="5"/>
  <c r="Q83" i="5"/>
  <c r="P83" i="5"/>
  <c r="O83" i="5"/>
  <c r="N83" i="5"/>
  <c r="M83" i="5"/>
  <c r="K83" i="5"/>
  <c r="J83" i="5"/>
  <c r="I83" i="5"/>
  <c r="H83" i="5"/>
  <c r="G83" i="5"/>
  <c r="E83" i="5"/>
  <c r="D83" i="5"/>
  <c r="C83" i="5"/>
  <c r="B83" i="5"/>
  <c r="AO82" i="5"/>
  <c r="AN82" i="5"/>
  <c r="AM82" i="5"/>
  <c r="AL82" i="5"/>
  <c r="AK82" i="5"/>
  <c r="AI82" i="5"/>
  <c r="AH82" i="5"/>
  <c r="AG82" i="5"/>
  <c r="AF82" i="5"/>
  <c r="AE82" i="5"/>
  <c r="AC82" i="5"/>
  <c r="AB82" i="5"/>
  <c r="AA82" i="5"/>
  <c r="Z82" i="5"/>
  <c r="Y82" i="5"/>
  <c r="W82" i="5"/>
  <c r="V82" i="5"/>
  <c r="U82" i="5"/>
  <c r="T82" i="5"/>
  <c r="S82" i="5"/>
  <c r="Q82" i="5"/>
  <c r="P82" i="5"/>
  <c r="O82" i="5"/>
  <c r="N82" i="5"/>
  <c r="M82" i="5"/>
  <c r="K82" i="5"/>
  <c r="J82" i="5"/>
  <c r="I82" i="5"/>
  <c r="H82" i="5"/>
  <c r="G82" i="5"/>
  <c r="E82" i="5"/>
  <c r="D82" i="5"/>
  <c r="C82" i="5"/>
  <c r="B82" i="5"/>
  <c r="AO81" i="5"/>
  <c r="AN81" i="5"/>
  <c r="AM81" i="5"/>
  <c r="AL81" i="5"/>
  <c r="AK81" i="5"/>
  <c r="AI81" i="5"/>
  <c r="AH81" i="5"/>
  <c r="AG81" i="5"/>
  <c r="AF81" i="5"/>
  <c r="AE81" i="5"/>
  <c r="AC81" i="5"/>
  <c r="AB81" i="5"/>
  <c r="AA81" i="5"/>
  <c r="Z81" i="5"/>
  <c r="Y81" i="5"/>
  <c r="W81" i="5"/>
  <c r="V81" i="5"/>
  <c r="U81" i="5"/>
  <c r="T81" i="5"/>
  <c r="S81" i="5"/>
  <c r="Q81" i="5"/>
  <c r="P81" i="5"/>
  <c r="O81" i="5"/>
  <c r="N81" i="5"/>
  <c r="M81" i="5"/>
  <c r="K81" i="5"/>
  <c r="J81" i="5"/>
  <c r="I81" i="5"/>
  <c r="H81" i="5"/>
  <c r="G81" i="5"/>
  <c r="E81" i="5"/>
  <c r="D81" i="5"/>
  <c r="C81" i="5"/>
  <c r="B81" i="5"/>
  <c r="AO80" i="5"/>
  <c r="AN80" i="5"/>
  <c r="AM80" i="5"/>
  <c r="AL80" i="5"/>
  <c r="AK80" i="5"/>
  <c r="AI80" i="5"/>
  <c r="AH80" i="5"/>
  <c r="AG80" i="5"/>
  <c r="AF80" i="5"/>
  <c r="AE80" i="5"/>
  <c r="AC80" i="5"/>
  <c r="AB80" i="5"/>
  <c r="AA80" i="5"/>
  <c r="Z80" i="5"/>
  <c r="Y80" i="5"/>
  <c r="W80" i="5"/>
  <c r="V80" i="5"/>
  <c r="U80" i="5"/>
  <c r="T80" i="5"/>
  <c r="S80" i="5"/>
  <c r="Q80" i="5"/>
  <c r="P80" i="5"/>
  <c r="O80" i="5"/>
  <c r="N80" i="5"/>
  <c r="M80" i="5"/>
  <c r="K80" i="5"/>
  <c r="J80" i="5"/>
  <c r="I80" i="5"/>
  <c r="H80" i="5"/>
  <c r="G80" i="5"/>
  <c r="E80" i="5"/>
  <c r="D80" i="5"/>
  <c r="C80" i="5"/>
  <c r="B80" i="5"/>
  <c r="AO79" i="5"/>
  <c r="AN79" i="5"/>
  <c r="AM79" i="5"/>
  <c r="AL79" i="5"/>
  <c r="AK79" i="5"/>
  <c r="AI79" i="5"/>
  <c r="AH79" i="5"/>
  <c r="AG79" i="5"/>
  <c r="AF79" i="5"/>
  <c r="AE79" i="5"/>
  <c r="AC79" i="5"/>
  <c r="AB79" i="5"/>
  <c r="AA79" i="5"/>
  <c r="Z79" i="5"/>
  <c r="Y79" i="5"/>
  <c r="W79" i="5"/>
  <c r="V79" i="5"/>
  <c r="U79" i="5"/>
  <c r="T79" i="5"/>
  <c r="S79" i="5"/>
  <c r="Q79" i="5"/>
  <c r="P79" i="5"/>
  <c r="O79" i="5"/>
  <c r="N79" i="5"/>
  <c r="M79" i="5"/>
  <c r="K79" i="5"/>
  <c r="J79" i="5"/>
  <c r="I79" i="5"/>
  <c r="H79" i="5"/>
  <c r="G79" i="5"/>
  <c r="E79" i="5"/>
  <c r="D79" i="5"/>
  <c r="C79" i="5"/>
  <c r="B79" i="5"/>
  <c r="AO78" i="5"/>
  <c r="AN78" i="5"/>
  <c r="AM78" i="5"/>
  <c r="AL78" i="5"/>
  <c r="AK78" i="5"/>
  <c r="AI78" i="5"/>
  <c r="AH78" i="5"/>
  <c r="AG78" i="5"/>
  <c r="AF78" i="5"/>
  <c r="AE78" i="5"/>
  <c r="AC78" i="5"/>
  <c r="AB78" i="5"/>
  <c r="AA78" i="5"/>
  <c r="Z78" i="5"/>
  <c r="Y78" i="5"/>
  <c r="W78" i="5"/>
  <c r="V78" i="5"/>
  <c r="U78" i="5"/>
  <c r="T78" i="5"/>
  <c r="S78" i="5"/>
  <c r="Q78" i="5"/>
  <c r="P78" i="5"/>
  <c r="O78" i="5"/>
  <c r="N78" i="5"/>
  <c r="M78" i="5"/>
  <c r="K78" i="5"/>
  <c r="J78" i="5"/>
  <c r="I78" i="5"/>
  <c r="H78" i="5"/>
  <c r="G78" i="5"/>
  <c r="E78" i="5"/>
  <c r="D78" i="5"/>
  <c r="C78" i="5"/>
  <c r="B78" i="5"/>
  <c r="AO77" i="5"/>
  <c r="AN77" i="5"/>
  <c r="AM77" i="5"/>
  <c r="AL77" i="5"/>
  <c r="AK77" i="5"/>
  <c r="AI77" i="5"/>
  <c r="AH77" i="5"/>
  <c r="AG77" i="5"/>
  <c r="AF77" i="5"/>
  <c r="AE77" i="5"/>
  <c r="AC77" i="5"/>
  <c r="AB77" i="5"/>
  <c r="AA77" i="5"/>
  <c r="Z77" i="5"/>
  <c r="Y77" i="5"/>
  <c r="W77" i="5"/>
  <c r="V77" i="5"/>
  <c r="U77" i="5"/>
  <c r="T77" i="5"/>
  <c r="S77" i="5"/>
  <c r="Q77" i="5"/>
  <c r="P77" i="5"/>
  <c r="O77" i="5"/>
  <c r="N77" i="5"/>
  <c r="M77" i="5"/>
  <c r="K77" i="5"/>
  <c r="J77" i="5"/>
  <c r="I77" i="5"/>
  <c r="H77" i="5"/>
  <c r="G77" i="5"/>
  <c r="E77" i="5"/>
  <c r="D77" i="5"/>
  <c r="C77" i="5"/>
  <c r="B77" i="5"/>
  <c r="AO76" i="5"/>
  <c r="AN76" i="5"/>
  <c r="AM76" i="5"/>
  <c r="AL76" i="5"/>
  <c r="AK76" i="5"/>
  <c r="AI76" i="5"/>
  <c r="AH76" i="5"/>
  <c r="AG76" i="5"/>
  <c r="AF76" i="5"/>
  <c r="AE76" i="5"/>
  <c r="AC76" i="5"/>
  <c r="AB76" i="5"/>
  <c r="AA76" i="5"/>
  <c r="Z76" i="5"/>
  <c r="Y76" i="5"/>
  <c r="W76" i="5"/>
  <c r="V76" i="5"/>
  <c r="U76" i="5"/>
  <c r="T76" i="5"/>
  <c r="S76" i="5"/>
  <c r="Q76" i="5"/>
  <c r="P76" i="5"/>
  <c r="O76" i="5"/>
  <c r="N76" i="5"/>
  <c r="M76" i="5"/>
  <c r="K76" i="5"/>
  <c r="J76" i="5"/>
  <c r="I76" i="5"/>
  <c r="H76" i="5"/>
  <c r="G76" i="5"/>
  <c r="E76" i="5"/>
  <c r="D76" i="5"/>
  <c r="C76" i="5"/>
  <c r="B76" i="5"/>
  <c r="AO75" i="5"/>
  <c r="AN75" i="5"/>
  <c r="AM75" i="5"/>
  <c r="AL75" i="5"/>
  <c r="AK75" i="5"/>
  <c r="AI75" i="5"/>
  <c r="AH75" i="5"/>
  <c r="AG75" i="5"/>
  <c r="AF75" i="5"/>
  <c r="AE75" i="5"/>
  <c r="AC75" i="5"/>
  <c r="AB75" i="5"/>
  <c r="AA75" i="5"/>
  <c r="Z75" i="5"/>
  <c r="Y75" i="5"/>
  <c r="W75" i="5"/>
  <c r="V75" i="5"/>
  <c r="U75" i="5"/>
  <c r="T75" i="5"/>
  <c r="S75" i="5"/>
  <c r="Q75" i="5"/>
  <c r="P75" i="5"/>
  <c r="O75" i="5"/>
  <c r="N75" i="5"/>
  <c r="M75" i="5"/>
  <c r="K75" i="5"/>
  <c r="J75" i="5"/>
  <c r="I75" i="5"/>
  <c r="H75" i="5"/>
  <c r="G75" i="5"/>
  <c r="E75" i="5"/>
  <c r="D75" i="5"/>
  <c r="C75" i="5"/>
  <c r="B75" i="5"/>
  <c r="AO74" i="5"/>
  <c r="AN74" i="5"/>
  <c r="AM74" i="5"/>
  <c r="AL74" i="5"/>
  <c r="AK74" i="5"/>
  <c r="AI74" i="5"/>
  <c r="AH74" i="5"/>
  <c r="AG74" i="5"/>
  <c r="AF74" i="5"/>
  <c r="AE74" i="5"/>
  <c r="AC74" i="5"/>
  <c r="AB74" i="5"/>
  <c r="AA74" i="5"/>
  <c r="Z74" i="5"/>
  <c r="Y74" i="5"/>
  <c r="W74" i="5"/>
  <c r="V74" i="5"/>
  <c r="U74" i="5"/>
  <c r="T74" i="5"/>
  <c r="S74" i="5"/>
  <c r="Q74" i="5"/>
  <c r="P74" i="5"/>
  <c r="O74" i="5"/>
  <c r="N74" i="5"/>
  <c r="M74" i="5"/>
  <c r="K74" i="5"/>
  <c r="J74" i="5"/>
  <c r="I74" i="5"/>
  <c r="H74" i="5"/>
  <c r="G74" i="5"/>
  <c r="E74" i="5"/>
  <c r="D74" i="5"/>
  <c r="C74" i="5"/>
  <c r="B74" i="5"/>
  <c r="AO73" i="5"/>
  <c r="AN73" i="5"/>
  <c r="AM73" i="5"/>
  <c r="AL73" i="5"/>
  <c r="AK73" i="5"/>
  <c r="AI73" i="5"/>
  <c r="AH73" i="5"/>
  <c r="AG73" i="5"/>
  <c r="AF73" i="5"/>
  <c r="AE73" i="5"/>
  <c r="AC73" i="5"/>
  <c r="AB73" i="5"/>
  <c r="AA73" i="5"/>
  <c r="Z73" i="5"/>
  <c r="Y73" i="5"/>
  <c r="W73" i="5"/>
  <c r="V73" i="5"/>
  <c r="U73" i="5"/>
  <c r="T73" i="5"/>
  <c r="S73" i="5"/>
  <c r="Q73" i="5"/>
  <c r="P73" i="5"/>
  <c r="O73" i="5"/>
  <c r="N73" i="5"/>
  <c r="M73" i="5"/>
  <c r="K73" i="5"/>
  <c r="J73" i="5"/>
  <c r="I73" i="5"/>
  <c r="H73" i="5"/>
  <c r="G73" i="5"/>
  <c r="E73" i="5"/>
  <c r="D73" i="5"/>
  <c r="C73" i="5"/>
  <c r="B73" i="5"/>
  <c r="AO72" i="5"/>
  <c r="AN72" i="5"/>
  <c r="AM72" i="5"/>
  <c r="AL72" i="5"/>
  <c r="AK72" i="5"/>
  <c r="AI72" i="5"/>
  <c r="AH72" i="5"/>
  <c r="AG72" i="5"/>
  <c r="AF72" i="5"/>
  <c r="AE72" i="5"/>
  <c r="AC72" i="5"/>
  <c r="AB72" i="5"/>
  <c r="AA72" i="5"/>
  <c r="Z72" i="5"/>
  <c r="Y72" i="5"/>
  <c r="W72" i="5"/>
  <c r="V72" i="5"/>
  <c r="U72" i="5"/>
  <c r="T72" i="5"/>
  <c r="S72" i="5"/>
  <c r="Q72" i="5"/>
  <c r="P72" i="5"/>
  <c r="O72" i="5"/>
  <c r="N72" i="5"/>
  <c r="M72" i="5"/>
  <c r="K72" i="5"/>
  <c r="J72" i="5"/>
  <c r="I72" i="5"/>
  <c r="H72" i="5"/>
  <c r="G72" i="5"/>
  <c r="E72" i="5"/>
  <c r="D72" i="5"/>
  <c r="C72" i="5"/>
  <c r="B72" i="5"/>
  <c r="AO71" i="5"/>
  <c r="AN71" i="5"/>
  <c r="AM71" i="5"/>
  <c r="AL71" i="5"/>
  <c r="AK71" i="5"/>
  <c r="AI71" i="5"/>
  <c r="AH71" i="5"/>
  <c r="AG71" i="5"/>
  <c r="AF71" i="5"/>
  <c r="AE71" i="5"/>
  <c r="AC71" i="5"/>
  <c r="AB71" i="5"/>
  <c r="AA71" i="5"/>
  <c r="Z71" i="5"/>
  <c r="Y71" i="5"/>
  <c r="W71" i="5"/>
  <c r="V71" i="5"/>
  <c r="U71" i="5"/>
  <c r="T71" i="5"/>
  <c r="S71" i="5"/>
  <c r="Q71" i="5"/>
  <c r="P71" i="5"/>
  <c r="O71" i="5"/>
  <c r="N71" i="5"/>
  <c r="M71" i="5"/>
  <c r="K71" i="5"/>
  <c r="J71" i="5"/>
  <c r="I71" i="5"/>
  <c r="H71" i="5"/>
  <c r="G71" i="5"/>
  <c r="E71" i="5"/>
  <c r="D71" i="5"/>
  <c r="C71" i="5"/>
  <c r="B71" i="5"/>
  <c r="AO70" i="5"/>
  <c r="AN70" i="5"/>
  <c r="AM70" i="5"/>
  <c r="AL70" i="5"/>
  <c r="AK70" i="5"/>
  <c r="AI70" i="5"/>
  <c r="AH70" i="5"/>
  <c r="AG70" i="5"/>
  <c r="AF70" i="5"/>
  <c r="AE70" i="5"/>
  <c r="AC70" i="5"/>
  <c r="AB70" i="5"/>
  <c r="AA70" i="5"/>
  <c r="Z70" i="5"/>
  <c r="Y70" i="5"/>
  <c r="W70" i="5"/>
  <c r="V70" i="5"/>
  <c r="U70" i="5"/>
  <c r="T70" i="5"/>
  <c r="S70" i="5"/>
  <c r="Q70" i="5"/>
  <c r="P70" i="5"/>
  <c r="O70" i="5"/>
  <c r="N70" i="5"/>
  <c r="M70" i="5"/>
  <c r="K70" i="5"/>
  <c r="J70" i="5"/>
  <c r="I70" i="5"/>
  <c r="H70" i="5"/>
  <c r="G70" i="5"/>
  <c r="E70" i="5"/>
  <c r="D70" i="5"/>
  <c r="C70" i="5"/>
  <c r="B70" i="5"/>
  <c r="AO69" i="5"/>
  <c r="AN69" i="5"/>
  <c r="AM69" i="5"/>
  <c r="AL69" i="5"/>
  <c r="AK69" i="5"/>
  <c r="AI69" i="5"/>
  <c r="AH69" i="5"/>
  <c r="AG69" i="5"/>
  <c r="AF69" i="5"/>
  <c r="AE69" i="5"/>
  <c r="AC69" i="5"/>
  <c r="AB69" i="5"/>
  <c r="AA69" i="5"/>
  <c r="Z69" i="5"/>
  <c r="Y69" i="5"/>
  <c r="W69" i="5"/>
  <c r="V69" i="5"/>
  <c r="U69" i="5"/>
  <c r="T69" i="5"/>
  <c r="S69" i="5"/>
  <c r="Q69" i="5"/>
  <c r="P69" i="5"/>
  <c r="O69" i="5"/>
  <c r="N69" i="5"/>
  <c r="M69" i="5"/>
  <c r="K69" i="5"/>
  <c r="J69" i="5"/>
  <c r="I69" i="5"/>
  <c r="H69" i="5"/>
  <c r="G69" i="5"/>
  <c r="E69" i="5"/>
  <c r="D69" i="5"/>
  <c r="C69" i="5"/>
  <c r="B69" i="5"/>
  <c r="AO68" i="5"/>
  <c r="AN68" i="5"/>
  <c r="AM68" i="5"/>
  <c r="AL68" i="5"/>
  <c r="AK68" i="5"/>
  <c r="AI68" i="5"/>
  <c r="AH68" i="5"/>
  <c r="AG68" i="5"/>
  <c r="AF68" i="5"/>
  <c r="AE68" i="5"/>
  <c r="AC68" i="5"/>
  <c r="AB68" i="5"/>
  <c r="AA68" i="5"/>
  <c r="Z68" i="5"/>
  <c r="Y68" i="5"/>
  <c r="W68" i="5"/>
  <c r="V68" i="5"/>
  <c r="U68" i="5"/>
  <c r="T68" i="5"/>
  <c r="S68" i="5"/>
  <c r="Q68" i="5"/>
  <c r="P68" i="5"/>
  <c r="O68" i="5"/>
  <c r="N68" i="5"/>
  <c r="J68" i="5"/>
  <c r="H68" i="5"/>
  <c r="G68" i="5"/>
  <c r="E68" i="5"/>
  <c r="C68" i="5"/>
  <c r="AN67" i="5"/>
  <c r="AM67" i="5"/>
  <c r="AK67" i="5"/>
  <c r="AH67" i="5"/>
  <c r="AF67" i="5"/>
  <c r="AE67" i="5"/>
  <c r="AB67" i="5"/>
  <c r="Z67" i="5"/>
  <c r="Y67" i="5"/>
  <c r="W67" i="5"/>
  <c r="U67" i="5"/>
  <c r="S67" i="5"/>
  <c r="P67" i="5"/>
  <c r="N67" i="5"/>
  <c r="M67" i="5"/>
  <c r="C67" i="5"/>
  <c r="AO66" i="5"/>
  <c r="AN66" i="5"/>
  <c r="AL66" i="5"/>
  <c r="AI66" i="5"/>
  <c r="AG66" i="5"/>
  <c r="AE66" i="5"/>
  <c r="AB66" i="5"/>
  <c r="AA66" i="5"/>
  <c r="Y66" i="5"/>
  <c r="V66" i="5"/>
  <c r="T66" i="5"/>
  <c r="Q66" i="5"/>
  <c r="O66" i="5"/>
  <c r="M66" i="5"/>
  <c r="K66" i="5"/>
  <c r="I66" i="5"/>
  <c r="G66" i="5"/>
  <c r="E66" i="5"/>
  <c r="C66" i="5"/>
  <c r="AN65" i="5"/>
  <c r="AM65" i="5"/>
  <c r="AK65" i="5"/>
  <c r="AH65" i="5"/>
  <c r="AF65" i="5"/>
  <c r="AC65" i="5"/>
  <c r="AA65" i="5"/>
  <c r="Z65" i="5"/>
  <c r="W65" i="5"/>
  <c r="U65" i="5"/>
  <c r="T65" i="5"/>
  <c r="Q65" i="5"/>
  <c r="N65" i="5"/>
  <c r="M65" i="5"/>
  <c r="J65" i="5"/>
  <c r="H65" i="5"/>
  <c r="E65" i="5"/>
  <c r="C65" i="5"/>
  <c r="AN64" i="5"/>
  <c r="AM64" i="5"/>
  <c r="AK64" i="5"/>
  <c r="AH64" i="5"/>
  <c r="AF64" i="5"/>
  <c r="AC64" i="5"/>
  <c r="AA64" i="5"/>
  <c r="Z64" i="5"/>
  <c r="Y64" i="5"/>
  <c r="V64" i="5"/>
  <c r="S64" i="5"/>
  <c r="P64" i="5"/>
  <c r="N64" i="5"/>
  <c r="M64" i="5"/>
  <c r="J64" i="5"/>
  <c r="I64" i="5"/>
  <c r="G64" i="5"/>
  <c r="E64" i="5"/>
  <c r="C64" i="5"/>
  <c r="AO63" i="5"/>
  <c r="AM63" i="5"/>
  <c r="AL63" i="5"/>
  <c r="AH63" i="5"/>
  <c r="AF63" i="5"/>
  <c r="AC63" i="5"/>
  <c r="AA63" i="5"/>
  <c r="Z63" i="5"/>
  <c r="W63" i="5"/>
  <c r="U63" i="5"/>
  <c r="S63" i="5"/>
  <c r="P63" i="5"/>
  <c r="O63" i="5"/>
  <c r="M63" i="5"/>
  <c r="K63" i="5"/>
  <c r="I63" i="5"/>
  <c r="G63" i="5"/>
  <c r="E63" i="5"/>
  <c r="C63" i="5"/>
  <c r="U62" i="5"/>
  <c r="T62" i="5"/>
  <c r="S62" i="5"/>
  <c r="Q62" i="5"/>
  <c r="P62" i="5"/>
  <c r="O62" i="5"/>
  <c r="N62" i="5"/>
  <c r="M62" i="5"/>
  <c r="K62" i="5"/>
  <c r="J62" i="5"/>
  <c r="I62" i="5"/>
  <c r="H62" i="5"/>
  <c r="G62" i="5"/>
  <c r="E62" i="5"/>
  <c r="D62" i="5"/>
  <c r="C62" i="5"/>
  <c r="B62" i="5"/>
  <c r="AO61" i="5"/>
  <c r="AN61" i="5"/>
  <c r="AM61" i="5"/>
  <c r="AL61" i="5"/>
  <c r="AK61" i="5"/>
  <c r="AI61" i="5"/>
  <c r="AH61" i="5"/>
  <c r="AG61" i="5"/>
  <c r="AF61" i="5"/>
  <c r="AE61" i="5"/>
  <c r="AC61" i="5"/>
  <c r="AB61" i="5"/>
  <c r="AA61" i="5"/>
  <c r="Z61" i="5"/>
  <c r="Y61" i="5"/>
  <c r="W61" i="5"/>
  <c r="V61" i="5"/>
  <c r="U61" i="5"/>
  <c r="T61" i="5"/>
  <c r="S61" i="5"/>
  <c r="Q61" i="5"/>
  <c r="P61" i="5"/>
  <c r="O61" i="5"/>
  <c r="N61" i="5"/>
  <c r="M61" i="5"/>
  <c r="K61" i="5"/>
  <c r="J61" i="5"/>
  <c r="I61" i="5"/>
  <c r="H61" i="5"/>
  <c r="G61" i="5"/>
  <c r="E61" i="5"/>
  <c r="D61" i="5"/>
  <c r="C61" i="5"/>
  <c r="B61" i="5"/>
  <c r="AO60" i="5"/>
  <c r="AN60" i="5"/>
  <c r="AM60" i="5"/>
  <c r="AL60" i="5"/>
  <c r="AK60" i="5"/>
  <c r="AI60" i="5"/>
  <c r="AH60" i="5"/>
  <c r="AG60" i="5"/>
  <c r="AF60" i="5"/>
  <c r="AE60" i="5"/>
  <c r="AC60" i="5"/>
  <c r="AB60" i="5"/>
  <c r="AA60" i="5"/>
  <c r="Z60" i="5"/>
  <c r="Y60" i="5"/>
  <c r="W60" i="5"/>
  <c r="V60" i="5"/>
  <c r="U60" i="5"/>
  <c r="T60" i="5"/>
  <c r="S60" i="5"/>
  <c r="Q60" i="5"/>
  <c r="P60" i="5"/>
  <c r="O60" i="5"/>
  <c r="N60" i="5"/>
  <c r="M60" i="5"/>
  <c r="K60" i="5"/>
  <c r="J60" i="5"/>
  <c r="I60" i="5"/>
  <c r="H60" i="5"/>
  <c r="G60" i="5"/>
  <c r="E60" i="5"/>
  <c r="D60" i="5"/>
  <c r="C60" i="5"/>
  <c r="B60" i="5"/>
  <c r="AO59" i="5"/>
  <c r="AN59" i="5"/>
  <c r="AM59" i="5"/>
  <c r="AL59" i="5"/>
  <c r="AK59" i="5"/>
  <c r="AI59" i="5"/>
  <c r="AH59" i="5"/>
  <c r="AG59" i="5"/>
  <c r="AF59" i="5"/>
  <c r="AE59" i="5"/>
  <c r="AC59" i="5"/>
  <c r="AB59" i="5"/>
  <c r="AA59" i="5"/>
  <c r="Z59" i="5"/>
  <c r="Y59" i="5"/>
  <c r="W59" i="5"/>
  <c r="V59" i="5"/>
  <c r="U59" i="5"/>
  <c r="T59" i="5"/>
  <c r="S59" i="5"/>
  <c r="Q59" i="5"/>
  <c r="P59" i="5"/>
  <c r="O59" i="5"/>
  <c r="N59" i="5"/>
  <c r="M59" i="5"/>
  <c r="K59" i="5"/>
  <c r="J59" i="5"/>
  <c r="I59" i="5"/>
  <c r="H59" i="5"/>
  <c r="G59" i="5"/>
  <c r="E59" i="5"/>
  <c r="D59" i="5"/>
  <c r="C59" i="5"/>
  <c r="B59" i="5"/>
  <c r="AO58" i="5"/>
  <c r="AN58" i="5"/>
  <c r="AM58" i="5"/>
  <c r="AL58" i="5"/>
  <c r="AK58" i="5"/>
  <c r="AI58" i="5"/>
  <c r="AH58" i="5"/>
  <c r="AG58" i="5"/>
  <c r="AF58" i="5"/>
  <c r="AE58" i="5"/>
  <c r="AC58" i="5"/>
  <c r="AB58" i="5"/>
  <c r="AA58" i="5"/>
  <c r="Z58" i="5"/>
  <c r="Y58" i="5"/>
  <c r="W58" i="5"/>
  <c r="V58" i="5"/>
  <c r="U58" i="5"/>
  <c r="T58" i="5"/>
  <c r="S58" i="5"/>
  <c r="Q58" i="5"/>
  <c r="P58" i="5"/>
  <c r="O58" i="5"/>
  <c r="N58" i="5"/>
  <c r="M58" i="5"/>
  <c r="K58" i="5"/>
  <c r="J58" i="5"/>
  <c r="I58" i="5"/>
  <c r="H58" i="5"/>
  <c r="G58" i="5"/>
  <c r="E58" i="5"/>
  <c r="D58" i="5"/>
  <c r="C58" i="5"/>
  <c r="B58" i="5"/>
  <c r="AO57" i="5"/>
  <c r="AN57" i="5"/>
  <c r="AM57" i="5"/>
  <c r="AL57" i="5"/>
  <c r="AK57" i="5"/>
  <c r="AI57" i="5"/>
  <c r="AH57" i="5"/>
  <c r="AG57" i="5"/>
  <c r="AF57" i="5"/>
  <c r="AE57" i="5"/>
  <c r="AC57" i="5"/>
  <c r="AB57" i="5"/>
  <c r="AA57" i="5"/>
  <c r="Z57" i="5"/>
  <c r="Y57" i="5"/>
  <c r="W57" i="5"/>
  <c r="V57" i="5"/>
  <c r="U57" i="5"/>
  <c r="T57" i="5"/>
  <c r="S57" i="5"/>
  <c r="Q57" i="5"/>
  <c r="P57" i="5"/>
  <c r="O57" i="5"/>
  <c r="N57" i="5"/>
  <c r="M57" i="5"/>
  <c r="K57" i="5"/>
  <c r="J57" i="5"/>
  <c r="I57" i="5"/>
  <c r="H57" i="5"/>
  <c r="G57" i="5"/>
  <c r="E57" i="5"/>
  <c r="D57" i="5"/>
  <c r="C57" i="5"/>
  <c r="B57" i="5"/>
  <c r="AO56" i="5"/>
  <c r="AN56" i="5"/>
  <c r="AM56" i="5"/>
  <c r="AL56" i="5"/>
  <c r="AK56" i="5"/>
  <c r="AI56" i="5"/>
  <c r="AH56" i="5"/>
  <c r="AG56" i="5"/>
  <c r="AF56" i="5"/>
  <c r="AE56" i="5"/>
  <c r="AC56" i="5"/>
  <c r="AB56" i="5"/>
  <c r="AA56" i="5"/>
  <c r="Z56" i="5"/>
  <c r="Y56" i="5"/>
  <c r="W56" i="5"/>
  <c r="V56" i="5"/>
  <c r="U56" i="5"/>
  <c r="T56" i="5"/>
  <c r="S56" i="5"/>
  <c r="Q56" i="5"/>
  <c r="P56" i="5"/>
  <c r="O56" i="5"/>
  <c r="N56" i="5"/>
  <c r="M56" i="5"/>
  <c r="K56" i="5"/>
  <c r="J56" i="5"/>
  <c r="I56" i="5"/>
  <c r="H56" i="5"/>
  <c r="G56" i="5"/>
  <c r="E56" i="5"/>
  <c r="D56" i="5"/>
  <c r="C56" i="5"/>
  <c r="B56" i="5"/>
  <c r="AO55" i="5"/>
  <c r="AN55" i="5"/>
  <c r="AM55" i="5"/>
  <c r="AL55" i="5"/>
  <c r="AK55" i="5"/>
  <c r="AI55" i="5"/>
  <c r="AH55" i="5"/>
  <c r="AG55" i="5"/>
  <c r="AF55" i="5"/>
  <c r="AE55" i="5"/>
  <c r="AC55" i="5"/>
  <c r="AB55" i="5"/>
  <c r="AA55" i="5"/>
  <c r="Z55" i="5"/>
  <c r="Y55" i="5"/>
  <c r="W55" i="5"/>
  <c r="V55" i="5"/>
  <c r="U55" i="5"/>
  <c r="T55" i="5"/>
  <c r="S55" i="5"/>
  <c r="Q55" i="5"/>
  <c r="P55" i="5"/>
  <c r="O55" i="5"/>
  <c r="N55" i="5"/>
  <c r="M55" i="5"/>
  <c r="K55" i="5"/>
  <c r="J55" i="5"/>
  <c r="I55" i="5"/>
  <c r="H55" i="5"/>
  <c r="G55" i="5"/>
  <c r="E55" i="5"/>
  <c r="D55" i="5"/>
  <c r="C55" i="5"/>
  <c r="B55" i="5"/>
  <c r="AO54" i="5"/>
  <c r="AN54" i="5"/>
  <c r="AM54" i="5"/>
  <c r="AL54" i="5"/>
  <c r="AK54" i="5"/>
  <c r="AI54" i="5"/>
  <c r="AH54" i="5"/>
  <c r="AG54" i="5"/>
  <c r="AF54" i="5"/>
  <c r="AE54" i="5"/>
  <c r="AC54" i="5"/>
  <c r="AB54" i="5"/>
  <c r="AA54" i="5"/>
  <c r="Z54" i="5"/>
  <c r="Y54" i="5"/>
  <c r="W54" i="5"/>
  <c r="V54" i="5"/>
  <c r="U54" i="5"/>
  <c r="T54" i="5"/>
  <c r="S54" i="5"/>
  <c r="Q54" i="5"/>
  <c r="P54" i="5"/>
  <c r="O54" i="5"/>
  <c r="N54" i="5"/>
  <c r="M54" i="5"/>
  <c r="K54" i="5"/>
  <c r="J54" i="5"/>
  <c r="I54" i="5"/>
  <c r="H54" i="5"/>
  <c r="G54" i="5"/>
  <c r="E54" i="5"/>
  <c r="D54" i="5"/>
  <c r="C54" i="5"/>
  <c r="B54" i="5"/>
  <c r="AO53" i="5"/>
  <c r="AN53" i="5"/>
  <c r="AM53" i="5"/>
  <c r="AL53" i="5"/>
  <c r="AK53" i="5"/>
  <c r="AI53" i="5"/>
  <c r="AH53" i="5"/>
  <c r="AG53" i="5"/>
  <c r="AF53" i="5"/>
  <c r="AE53" i="5"/>
  <c r="AC53" i="5"/>
  <c r="AB53" i="5"/>
  <c r="AA53" i="5"/>
  <c r="Z53" i="5"/>
  <c r="Y53" i="5"/>
  <c r="W53" i="5"/>
  <c r="V53" i="5"/>
  <c r="U53" i="5"/>
  <c r="T53" i="5"/>
  <c r="S53" i="5"/>
  <c r="Q53" i="5"/>
  <c r="P53" i="5"/>
  <c r="O53" i="5"/>
  <c r="N53" i="5"/>
  <c r="M53" i="5"/>
  <c r="K53" i="5"/>
  <c r="J53" i="5"/>
  <c r="I53" i="5"/>
  <c r="H53" i="5"/>
  <c r="G53" i="5"/>
  <c r="E53" i="5"/>
  <c r="D53" i="5"/>
  <c r="C53" i="5"/>
  <c r="B53" i="5"/>
  <c r="AO52" i="5"/>
  <c r="AN52" i="5"/>
  <c r="AM52" i="5"/>
  <c r="AL52" i="5"/>
  <c r="AK52" i="5"/>
  <c r="AI52" i="5"/>
  <c r="AH52" i="5"/>
  <c r="AG52" i="5"/>
  <c r="AF52" i="5"/>
  <c r="AE52" i="5"/>
  <c r="AC52" i="5"/>
  <c r="AB52" i="5"/>
  <c r="AA52" i="5"/>
  <c r="Z52" i="5"/>
  <c r="Y52" i="5"/>
  <c r="W52" i="5"/>
  <c r="V52" i="5"/>
  <c r="U52" i="5"/>
  <c r="T52" i="5"/>
  <c r="S52" i="5"/>
  <c r="Q52" i="5"/>
  <c r="P52" i="5"/>
  <c r="O52" i="5"/>
  <c r="N52" i="5"/>
  <c r="M52" i="5"/>
  <c r="K52" i="5"/>
  <c r="J52" i="5"/>
  <c r="I52" i="5"/>
  <c r="H52" i="5"/>
  <c r="G52" i="5"/>
  <c r="E52" i="5"/>
  <c r="D52" i="5"/>
  <c r="C52" i="5"/>
  <c r="B52" i="5"/>
  <c r="AO51" i="5"/>
  <c r="AN51" i="5"/>
  <c r="AM51" i="5"/>
  <c r="AL51" i="5"/>
  <c r="AK51" i="5"/>
  <c r="AI51" i="5"/>
  <c r="AH51" i="5"/>
  <c r="AG51" i="5"/>
  <c r="AF51" i="5"/>
  <c r="AE51" i="5"/>
  <c r="AC51" i="5"/>
  <c r="AB51" i="5"/>
  <c r="AA51" i="5"/>
  <c r="Z51" i="5"/>
  <c r="Y51" i="5"/>
  <c r="W51" i="5"/>
  <c r="V51" i="5"/>
  <c r="U51" i="5"/>
  <c r="T51" i="5"/>
  <c r="S51" i="5"/>
  <c r="Q51" i="5"/>
  <c r="P51" i="5"/>
  <c r="O51" i="5"/>
  <c r="N51" i="5"/>
  <c r="M51" i="5"/>
  <c r="K51" i="5"/>
  <c r="J51" i="5"/>
  <c r="I51" i="5"/>
  <c r="H51" i="5"/>
  <c r="G51" i="5"/>
  <c r="E51" i="5"/>
  <c r="D51" i="5"/>
  <c r="C51" i="5"/>
  <c r="B51" i="5"/>
  <c r="AO50" i="5"/>
  <c r="AN50" i="5"/>
  <c r="AM50" i="5"/>
  <c r="AL50" i="5"/>
  <c r="AK50" i="5"/>
  <c r="AI50" i="5"/>
  <c r="AH50" i="5"/>
  <c r="AG50" i="5"/>
  <c r="AF50" i="5"/>
  <c r="AE50" i="5"/>
  <c r="AC50" i="5"/>
  <c r="AB50" i="5"/>
  <c r="AA50" i="5"/>
  <c r="Z50" i="5"/>
  <c r="Y50" i="5"/>
  <c r="W50" i="5"/>
  <c r="V50" i="5"/>
  <c r="U50" i="5"/>
  <c r="T50" i="5"/>
  <c r="S50" i="5"/>
  <c r="Q50" i="5"/>
  <c r="P50" i="5"/>
  <c r="O50" i="5"/>
  <c r="N50" i="5"/>
  <c r="M50" i="5"/>
  <c r="K50" i="5"/>
  <c r="J50" i="5"/>
  <c r="I50" i="5"/>
  <c r="H50" i="5"/>
  <c r="G50" i="5"/>
  <c r="E50" i="5"/>
  <c r="D50" i="5"/>
  <c r="C50" i="5"/>
  <c r="B50" i="5"/>
  <c r="AO49" i="5"/>
  <c r="AN49" i="5"/>
  <c r="AM49" i="5"/>
  <c r="AL49" i="5"/>
  <c r="AK49" i="5"/>
  <c r="AI49" i="5"/>
  <c r="AH49" i="5"/>
  <c r="AG49" i="5"/>
  <c r="AF49" i="5"/>
  <c r="AE49" i="5"/>
  <c r="AC49" i="5"/>
  <c r="AB49" i="5"/>
  <c r="AA49" i="5"/>
  <c r="Z49" i="5"/>
  <c r="Y49" i="5"/>
  <c r="W49" i="5"/>
  <c r="V49" i="5"/>
  <c r="U49" i="5"/>
  <c r="T49" i="5"/>
  <c r="S49" i="5"/>
  <c r="Q49" i="5"/>
  <c r="P49" i="5"/>
  <c r="O49" i="5"/>
  <c r="N49" i="5"/>
  <c r="M49" i="5"/>
  <c r="K49" i="5"/>
  <c r="J49" i="5"/>
  <c r="I49" i="5"/>
  <c r="H49" i="5"/>
  <c r="G49" i="5"/>
  <c r="E49" i="5"/>
  <c r="D49" i="5"/>
  <c r="C49" i="5"/>
  <c r="B49" i="5"/>
  <c r="AO48" i="5"/>
  <c r="AN48" i="5"/>
  <c r="AM48" i="5"/>
  <c r="AL48" i="5"/>
  <c r="AK48" i="5"/>
  <c r="AI48" i="5"/>
  <c r="AH48" i="5"/>
  <c r="AG48" i="5"/>
  <c r="AF48" i="5"/>
  <c r="AE48" i="5"/>
  <c r="AC48" i="5"/>
  <c r="AB48" i="5"/>
  <c r="AA48" i="5"/>
  <c r="Z48" i="5"/>
  <c r="Y48" i="5"/>
  <c r="W48" i="5"/>
  <c r="V48" i="5"/>
  <c r="U48" i="5"/>
  <c r="T48" i="5"/>
  <c r="S48" i="5"/>
  <c r="Q48" i="5"/>
  <c r="P48" i="5"/>
  <c r="O48" i="5"/>
  <c r="N48" i="5"/>
  <c r="M48" i="5"/>
  <c r="K48" i="5"/>
  <c r="J48" i="5"/>
  <c r="I48" i="5"/>
  <c r="H48" i="5"/>
  <c r="G48" i="5"/>
  <c r="E48" i="5"/>
  <c r="D48" i="5"/>
  <c r="C48" i="5"/>
  <c r="B48" i="5"/>
  <c r="AO47" i="5"/>
  <c r="AN47" i="5"/>
  <c r="AM47" i="5"/>
  <c r="AL47" i="5"/>
  <c r="AK47" i="5"/>
  <c r="AI47" i="5"/>
  <c r="AH47" i="5"/>
  <c r="AG47" i="5"/>
  <c r="AF47" i="5"/>
  <c r="AE47" i="5"/>
  <c r="AC47" i="5"/>
  <c r="AB47" i="5"/>
  <c r="AA47" i="5"/>
  <c r="Z47" i="5"/>
  <c r="Y47" i="5"/>
  <c r="W47" i="5"/>
  <c r="V47" i="5"/>
  <c r="U47" i="5"/>
  <c r="T47" i="5"/>
  <c r="S47" i="5"/>
  <c r="Q47" i="5"/>
  <c r="P47" i="5"/>
  <c r="O47" i="5"/>
  <c r="N47" i="5"/>
  <c r="M47" i="5"/>
  <c r="K47" i="5"/>
  <c r="J47" i="5"/>
  <c r="I47" i="5"/>
  <c r="H47" i="5"/>
  <c r="G47" i="5"/>
  <c r="E47" i="5"/>
  <c r="D47" i="5"/>
  <c r="C47" i="5"/>
  <c r="B47" i="5"/>
  <c r="AO46" i="5"/>
  <c r="AN46" i="5"/>
  <c r="AM46" i="5"/>
  <c r="AL46" i="5"/>
  <c r="AK46" i="5"/>
  <c r="AI46" i="5"/>
  <c r="AH46" i="5"/>
  <c r="AG46" i="5"/>
  <c r="AF46" i="5"/>
  <c r="AE46" i="5"/>
  <c r="AC46" i="5"/>
  <c r="AB46" i="5"/>
  <c r="AA46" i="5"/>
  <c r="Z46" i="5"/>
  <c r="Y46" i="5"/>
  <c r="W46" i="5"/>
  <c r="V46" i="5"/>
  <c r="U46" i="5"/>
  <c r="T46" i="5"/>
  <c r="S46" i="5"/>
  <c r="Q46" i="5"/>
  <c r="P46" i="5"/>
  <c r="O46" i="5"/>
  <c r="N46" i="5"/>
  <c r="M46" i="5"/>
  <c r="K46" i="5"/>
  <c r="J46" i="5"/>
  <c r="I46" i="5"/>
  <c r="H46" i="5"/>
  <c r="G46" i="5"/>
  <c r="E46" i="5"/>
  <c r="D46" i="5"/>
  <c r="C46" i="5"/>
  <c r="B46" i="5"/>
  <c r="AO45" i="5"/>
  <c r="AN45" i="5"/>
  <c r="AM45" i="5"/>
  <c r="AL45" i="5"/>
  <c r="AK45" i="5"/>
  <c r="AI45" i="5"/>
  <c r="AH45" i="5"/>
  <c r="AG45" i="5"/>
  <c r="AF45" i="5"/>
  <c r="AE45" i="5"/>
  <c r="AC45" i="5"/>
  <c r="AB45" i="5"/>
  <c r="AA45" i="5"/>
  <c r="Z45" i="5"/>
  <c r="Y45" i="5"/>
  <c r="W45" i="5"/>
  <c r="V45" i="5"/>
  <c r="U45" i="5"/>
  <c r="T45" i="5"/>
  <c r="S45" i="5"/>
  <c r="Q45" i="5"/>
  <c r="P45" i="5"/>
  <c r="O45" i="5"/>
  <c r="N45" i="5"/>
  <c r="M45" i="5"/>
  <c r="K45" i="5"/>
  <c r="J45" i="5"/>
  <c r="I45" i="5"/>
  <c r="H45" i="5"/>
  <c r="G45" i="5"/>
  <c r="E45" i="5"/>
  <c r="D45" i="5"/>
  <c r="C45" i="5"/>
  <c r="B45" i="5"/>
  <c r="AO44" i="5"/>
  <c r="AN44" i="5"/>
  <c r="AM44" i="5"/>
  <c r="AL44" i="5"/>
  <c r="AK44" i="5"/>
  <c r="AI44" i="5"/>
  <c r="AH44" i="5"/>
  <c r="AG44" i="5"/>
  <c r="AF44" i="5"/>
  <c r="AE44" i="5"/>
  <c r="AC44" i="5"/>
  <c r="AB44" i="5"/>
  <c r="AA44" i="5"/>
  <c r="Z44" i="5"/>
  <c r="Y44" i="5"/>
  <c r="W44" i="5"/>
  <c r="V44" i="5"/>
  <c r="U44" i="5"/>
  <c r="T44" i="5"/>
  <c r="S44" i="5"/>
  <c r="Q44" i="5"/>
  <c r="P44" i="5"/>
  <c r="O44" i="5"/>
  <c r="N44" i="5"/>
  <c r="M44" i="5"/>
  <c r="K44" i="5"/>
  <c r="J44" i="5"/>
  <c r="I44" i="5"/>
  <c r="H44" i="5"/>
  <c r="G44" i="5"/>
  <c r="E44" i="5"/>
  <c r="D44" i="5"/>
  <c r="C44" i="5"/>
  <c r="B44" i="5"/>
  <c r="AO43" i="5"/>
  <c r="AN43" i="5"/>
  <c r="AM43" i="5"/>
  <c r="AL43" i="5"/>
  <c r="AK43" i="5"/>
  <c r="AI43" i="5"/>
  <c r="AH43" i="5"/>
  <c r="AG43" i="5"/>
  <c r="AF43" i="5"/>
  <c r="AE43" i="5"/>
  <c r="AC43" i="5"/>
  <c r="AB43" i="5"/>
  <c r="AA43" i="5"/>
  <c r="Z43" i="5"/>
  <c r="Y43" i="5"/>
  <c r="W43" i="5"/>
  <c r="V43" i="5"/>
  <c r="U43" i="5"/>
  <c r="T43" i="5"/>
  <c r="S43" i="5"/>
  <c r="Q43" i="5"/>
  <c r="P43" i="5"/>
  <c r="O43" i="5"/>
  <c r="N43" i="5"/>
  <c r="M43" i="5"/>
  <c r="K43" i="5"/>
  <c r="J43" i="5"/>
  <c r="I43" i="5"/>
  <c r="H43" i="5"/>
  <c r="G43" i="5"/>
  <c r="E43" i="5"/>
  <c r="D43" i="5"/>
  <c r="C43" i="5"/>
  <c r="B43" i="5"/>
  <c r="AO42" i="5"/>
  <c r="AN42" i="5"/>
  <c r="AM42" i="5"/>
  <c r="AL42" i="5"/>
  <c r="AK42" i="5"/>
  <c r="AI42" i="5"/>
  <c r="AH42" i="5"/>
  <c r="AG42" i="5"/>
  <c r="AF42" i="5"/>
  <c r="AE42" i="5"/>
  <c r="AC42" i="5"/>
  <c r="AB42" i="5"/>
  <c r="AA42" i="5"/>
  <c r="Z42" i="5"/>
  <c r="Y42" i="5"/>
  <c r="W42" i="5"/>
  <c r="V42" i="5"/>
  <c r="U42" i="5"/>
  <c r="T42" i="5"/>
  <c r="S42" i="5"/>
  <c r="Q42" i="5"/>
  <c r="P42" i="5"/>
  <c r="O42" i="5"/>
  <c r="N42" i="5"/>
  <c r="M42" i="5"/>
  <c r="K42" i="5"/>
  <c r="J42" i="5"/>
  <c r="I42" i="5"/>
  <c r="H42" i="5"/>
  <c r="G42" i="5"/>
  <c r="E42" i="5"/>
  <c r="D42" i="5"/>
  <c r="C42" i="5"/>
  <c r="B42" i="5"/>
  <c r="AO41" i="5"/>
  <c r="AN41" i="5"/>
  <c r="AM41" i="5"/>
  <c r="AL41" i="5"/>
  <c r="AK41" i="5"/>
  <c r="AI41" i="5"/>
  <c r="AH41" i="5"/>
  <c r="AG41" i="5"/>
  <c r="AF41" i="5"/>
  <c r="AE41" i="5"/>
  <c r="AC41" i="5"/>
  <c r="AB41" i="5"/>
  <c r="AA41" i="5"/>
  <c r="Z41" i="5"/>
  <c r="Y41" i="5"/>
  <c r="W41" i="5"/>
  <c r="V41" i="5"/>
  <c r="U41" i="5"/>
  <c r="T41" i="5"/>
  <c r="S41" i="5"/>
  <c r="Q41" i="5"/>
  <c r="P41" i="5"/>
  <c r="O41" i="5"/>
  <c r="N41" i="5"/>
  <c r="M41" i="5"/>
  <c r="K41" i="5"/>
  <c r="J41" i="5"/>
  <c r="I41" i="5"/>
  <c r="H41" i="5"/>
  <c r="G41" i="5"/>
  <c r="E41" i="5"/>
  <c r="D41" i="5"/>
  <c r="C41" i="5"/>
  <c r="B41" i="5"/>
  <c r="AO40" i="5"/>
  <c r="AN40" i="5"/>
  <c r="AM40" i="5"/>
  <c r="AL40" i="5"/>
  <c r="AK40" i="5"/>
  <c r="AI40" i="5"/>
  <c r="AH40" i="5"/>
  <c r="AG40" i="5"/>
  <c r="AF40" i="5"/>
  <c r="AE40" i="5"/>
  <c r="AC40" i="5"/>
  <c r="AB40" i="5"/>
  <c r="AA40" i="5"/>
  <c r="Z40" i="5"/>
  <c r="Y40" i="5"/>
  <c r="W40" i="5"/>
  <c r="V40" i="5"/>
  <c r="U40" i="5"/>
  <c r="T40" i="5"/>
  <c r="S40" i="5"/>
  <c r="Q40" i="5"/>
  <c r="P40" i="5"/>
  <c r="O40" i="5"/>
  <c r="N40" i="5"/>
  <c r="M40" i="5"/>
  <c r="K40" i="5"/>
  <c r="J40" i="5"/>
  <c r="I40" i="5"/>
  <c r="H40" i="5"/>
  <c r="G40" i="5"/>
  <c r="E40" i="5"/>
  <c r="D40" i="5"/>
  <c r="C40" i="5"/>
  <c r="B40" i="5"/>
  <c r="AO39" i="5"/>
  <c r="AN39" i="5"/>
  <c r="AM39" i="5"/>
  <c r="AL39" i="5"/>
  <c r="AK39" i="5"/>
  <c r="AI39" i="5"/>
  <c r="AH39" i="5"/>
  <c r="AG39" i="5"/>
  <c r="AF39" i="5"/>
  <c r="AE39" i="5"/>
  <c r="AC39" i="5"/>
  <c r="AB39" i="5"/>
  <c r="AA39" i="5"/>
  <c r="Z39" i="5"/>
  <c r="Y39" i="5"/>
  <c r="W39" i="5"/>
  <c r="V39" i="5"/>
  <c r="U39" i="5"/>
  <c r="T39" i="5"/>
  <c r="S39" i="5"/>
  <c r="Q39" i="5"/>
  <c r="P39" i="5"/>
  <c r="O39" i="5"/>
  <c r="N39" i="5"/>
  <c r="M39" i="5"/>
  <c r="K39" i="5"/>
  <c r="J39" i="5"/>
  <c r="I39" i="5"/>
  <c r="H39" i="5"/>
  <c r="G39" i="5"/>
  <c r="E39" i="5"/>
  <c r="D39" i="5"/>
  <c r="C39" i="5"/>
  <c r="B39" i="5"/>
  <c r="AO38" i="5"/>
  <c r="AN38" i="5"/>
  <c r="AM38" i="5"/>
  <c r="AL38" i="5"/>
  <c r="AK38" i="5"/>
  <c r="AI38" i="5"/>
  <c r="AH38" i="5"/>
  <c r="AG38" i="5"/>
  <c r="AF38" i="5"/>
  <c r="AE38" i="5"/>
  <c r="AC38" i="5"/>
  <c r="AB38" i="5"/>
  <c r="AA38" i="5"/>
  <c r="Z38" i="5"/>
  <c r="Y38" i="5"/>
  <c r="W38" i="5"/>
  <c r="V38" i="5"/>
  <c r="U38" i="5"/>
  <c r="T38" i="5"/>
  <c r="S38" i="5"/>
  <c r="Q38" i="5"/>
  <c r="P38" i="5"/>
  <c r="O38" i="5"/>
  <c r="N38" i="5"/>
  <c r="M38" i="5"/>
  <c r="K38" i="5"/>
  <c r="J38" i="5"/>
  <c r="I38" i="5"/>
  <c r="H38" i="5"/>
  <c r="G38" i="5"/>
  <c r="E38" i="5"/>
  <c r="D38" i="5"/>
  <c r="C38" i="5"/>
  <c r="B38" i="5"/>
  <c r="AO37" i="5"/>
  <c r="AN37" i="5"/>
  <c r="AM37" i="5"/>
  <c r="AL37" i="5"/>
  <c r="AK37" i="5"/>
  <c r="AI37" i="5"/>
  <c r="AH37" i="5"/>
  <c r="AG37" i="5"/>
  <c r="AF37" i="5"/>
  <c r="AE37" i="5"/>
  <c r="AC37" i="5"/>
  <c r="AB37" i="5"/>
  <c r="AA37" i="5"/>
  <c r="Z37" i="5"/>
  <c r="Y37" i="5"/>
  <c r="W37" i="5"/>
  <c r="V37" i="5"/>
  <c r="U37" i="5"/>
  <c r="T37" i="5"/>
  <c r="S37" i="5"/>
  <c r="Q37" i="5"/>
  <c r="P37" i="5"/>
  <c r="O37" i="5"/>
  <c r="N37" i="5"/>
  <c r="M37" i="5"/>
  <c r="K37" i="5"/>
  <c r="J37" i="5"/>
  <c r="I37" i="5"/>
  <c r="H37" i="5"/>
  <c r="G37" i="5"/>
  <c r="E37" i="5"/>
  <c r="D37" i="5"/>
  <c r="C37" i="5"/>
  <c r="B37" i="5"/>
  <c r="AO36" i="5"/>
  <c r="AN36" i="5"/>
  <c r="AM36" i="5"/>
  <c r="AL36" i="5"/>
  <c r="AK36" i="5"/>
  <c r="AI36" i="5"/>
  <c r="AH36" i="5"/>
  <c r="AG36" i="5"/>
  <c r="AF36" i="5"/>
  <c r="AE36" i="5"/>
  <c r="AC36" i="5"/>
  <c r="AB36" i="5"/>
  <c r="AA36" i="5"/>
  <c r="Z36" i="5"/>
  <c r="Y36" i="5"/>
  <c r="W36" i="5"/>
  <c r="V36" i="5"/>
  <c r="U36" i="5"/>
  <c r="T36" i="5"/>
  <c r="S36" i="5"/>
  <c r="Q36" i="5"/>
  <c r="P36" i="5"/>
  <c r="O36" i="5"/>
  <c r="N36" i="5"/>
  <c r="M36" i="5"/>
  <c r="K36" i="5"/>
  <c r="J36" i="5"/>
  <c r="I36" i="5"/>
  <c r="H36" i="5"/>
  <c r="G36" i="5"/>
  <c r="E36" i="5"/>
  <c r="D36" i="5"/>
  <c r="C36" i="5"/>
  <c r="B36" i="5"/>
  <c r="AO35" i="5"/>
  <c r="AN35" i="5"/>
  <c r="AM35" i="5"/>
  <c r="AL35" i="5"/>
  <c r="AK35" i="5"/>
  <c r="AI35" i="5"/>
  <c r="AH35" i="5"/>
  <c r="AG35" i="5"/>
  <c r="AF35" i="5"/>
  <c r="AE35" i="5"/>
  <c r="AC35" i="5"/>
  <c r="AB35" i="5"/>
  <c r="AA35" i="5"/>
  <c r="Z35" i="5"/>
  <c r="Y35" i="5"/>
  <c r="W35" i="5"/>
  <c r="V35" i="5"/>
  <c r="U35" i="5"/>
  <c r="T35" i="5"/>
  <c r="S35" i="5"/>
  <c r="Q35" i="5"/>
  <c r="P35" i="5"/>
  <c r="O35" i="5"/>
  <c r="N35" i="5"/>
  <c r="M35" i="5"/>
  <c r="K35" i="5"/>
  <c r="J35" i="5"/>
  <c r="I35" i="5"/>
  <c r="H35" i="5"/>
  <c r="G35" i="5"/>
  <c r="E35" i="5"/>
  <c r="D35" i="5"/>
  <c r="C35" i="5"/>
  <c r="B35" i="5"/>
  <c r="AO34" i="5"/>
  <c r="AN34" i="5"/>
  <c r="AM34" i="5"/>
  <c r="AL34" i="5"/>
  <c r="AK34" i="5"/>
  <c r="AI34" i="5"/>
  <c r="AH34" i="5"/>
  <c r="AG34" i="5"/>
  <c r="AF34" i="5"/>
  <c r="AE34" i="5"/>
  <c r="AC34" i="5"/>
  <c r="AB34" i="5"/>
  <c r="AA34" i="5"/>
  <c r="Z34" i="5"/>
  <c r="Y34" i="5"/>
  <c r="W34" i="5"/>
  <c r="V34" i="5"/>
  <c r="U34" i="5"/>
  <c r="T34" i="5"/>
  <c r="S34" i="5"/>
  <c r="Q34" i="5"/>
  <c r="P34" i="5"/>
  <c r="O34" i="5"/>
  <c r="N34" i="5"/>
  <c r="M34" i="5"/>
  <c r="K34" i="5"/>
  <c r="J34" i="5"/>
  <c r="I34" i="5"/>
  <c r="H34" i="5"/>
  <c r="G34" i="5"/>
  <c r="E34" i="5"/>
  <c r="D34" i="5"/>
  <c r="C34" i="5"/>
  <c r="B34" i="5"/>
  <c r="AO33" i="5"/>
  <c r="AN33" i="5"/>
  <c r="AM33" i="5"/>
  <c r="AL33" i="5"/>
  <c r="AK33" i="5"/>
  <c r="AI33" i="5"/>
  <c r="AH33" i="5"/>
  <c r="AG33" i="5"/>
  <c r="AF33" i="5"/>
  <c r="AE33" i="5"/>
  <c r="AC33" i="5"/>
  <c r="AB33" i="5"/>
  <c r="AA33" i="5"/>
  <c r="Z33" i="5"/>
  <c r="Y33" i="5"/>
  <c r="W33" i="5"/>
  <c r="V33" i="5"/>
  <c r="U33" i="5"/>
  <c r="T33" i="5"/>
  <c r="S33" i="5"/>
  <c r="Q33" i="5"/>
  <c r="P33" i="5"/>
  <c r="O33" i="5"/>
  <c r="N33" i="5"/>
  <c r="M33" i="5"/>
  <c r="K33" i="5"/>
  <c r="J33" i="5"/>
  <c r="I33" i="5"/>
  <c r="H33" i="5"/>
  <c r="G33" i="5"/>
  <c r="E33" i="5"/>
  <c r="D33" i="5"/>
  <c r="C33" i="5"/>
  <c r="B33" i="5"/>
  <c r="AO32" i="5"/>
  <c r="AN32" i="5"/>
  <c r="AM32" i="5"/>
  <c r="AL32" i="5"/>
  <c r="AK32" i="5"/>
  <c r="AI32" i="5"/>
  <c r="AH32" i="5"/>
  <c r="AG32" i="5"/>
  <c r="AF32" i="5"/>
  <c r="AE32" i="5"/>
  <c r="AC32" i="5"/>
  <c r="AB32" i="5"/>
  <c r="AA32" i="5"/>
  <c r="Z32" i="5"/>
  <c r="Y32" i="5"/>
  <c r="W32" i="5"/>
  <c r="V32" i="5"/>
  <c r="U32" i="5"/>
  <c r="T32" i="5"/>
  <c r="S32" i="5"/>
  <c r="Q32" i="5"/>
  <c r="P32" i="5"/>
  <c r="O32" i="5"/>
  <c r="N32" i="5"/>
  <c r="M32" i="5"/>
  <c r="K32" i="5"/>
  <c r="J32" i="5"/>
  <c r="I32" i="5"/>
  <c r="H32" i="5"/>
  <c r="G32" i="5"/>
  <c r="E32" i="5"/>
  <c r="D32" i="5"/>
  <c r="C32" i="5"/>
  <c r="B32" i="5"/>
  <c r="AO31" i="5"/>
  <c r="AN31" i="5"/>
  <c r="AM31" i="5"/>
  <c r="AL31" i="5"/>
  <c r="AK31" i="5"/>
  <c r="AI31" i="5"/>
  <c r="AH31" i="5"/>
  <c r="AG31" i="5"/>
  <c r="AF31" i="5"/>
  <c r="AE31" i="5"/>
  <c r="AC31" i="5"/>
  <c r="AB31" i="5"/>
  <c r="AA31" i="5"/>
  <c r="Z31" i="5"/>
  <c r="Y31" i="5"/>
  <c r="W31" i="5"/>
  <c r="V31" i="5"/>
  <c r="U31" i="5"/>
  <c r="T31" i="5"/>
  <c r="S31" i="5"/>
  <c r="Q31" i="5"/>
  <c r="P31" i="5"/>
  <c r="O31" i="5"/>
  <c r="N31" i="5"/>
  <c r="M31" i="5"/>
  <c r="K31" i="5"/>
  <c r="J31" i="5"/>
  <c r="I31" i="5"/>
  <c r="H31" i="5"/>
  <c r="G31" i="5"/>
  <c r="E31" i="5"/>
  <c r="D31" i="5"/>
  <c r="C31" i="5"/>
  <c r="B31" i="5"/>
  <c r="AO30" i="5"/>
  <c r="AN30" i="5"/>
  <c r="AM30" i="5"/>
  <c r="AL30" i="5"/>
  <c r="AK30" i="5"/>
  <c r="AI30" i="5"/>
  <c r="AH30" i="5"/>
  <c r="AG30" i="5"/>
  <c r="AF30" i="5"/>
  <c r="AE30" i="5"/>
  <c r="AC30" i="5"/>
  <c r="AB30" i="5"/>
  <c r="AA30" i="5"/>
  <c r="Z30" i="5"/>
  <c r="Y30" i="5"/>
  <c r="W30" i="5"/>
  <c r="V30" i="5"/>
  <c r="U30" i="5"/>
  <c r="T30" i="5"/>
  <c r="S30" i="5"/>
  <c r="Q30" i="5"/>
  <c r="P30" i="5"/>
  <c r="O30" i="5"/>
  <c r="N30" i="5"/>
  <c r="M30" i="5"/>
  <c r="K30" i="5"/>
  <c r="J30" i="5"/>
  <c r="I30" i="5"/>
  <c r="H30" i="5"/>
  <c r="G30" i="5"/>
  <c r="E30" i="5"/>
  <c r="D30" i="5"/>
  <c r="C30" i="5"/>
  <c r="B30" i="5"/>
  <c r="AO29" i="5"/>
  <c r="AN29" i="5"/>
  <c r="AM29" i="5"/>
  <c r="AL29" i="5"/>
  <c r="AK29" i="5"/>
  <c r="AI29" i="5"/>
  <c r="AH29" i="5"/>
  <c r="AG29" i="5"/>
  <c r="AF29" i="5"/>
  <c r="AE29" i="5"/>
  <c r="AC29" i="5"/>
  <c r="AB29" i="5"/>
  <c r="AA29" i="5"/>
  <c r="Z29" i="5"/>
  <c r="Y29" i="5"/>
  <c r="W29" i="5"/>
  <c r="V29" i="5"/>
  <c r="U29" i="5"/>
  <c r="T29" i="5"/>
  <c r="S29" i="5"/>
  <c r="Q29" i="5"/>
  <c r="P29" i="5"/>
  <c r="O29" i="5"/>
  <c r="N29" i="5"/>
  <c r="M29" i="5"/>
  <c r="K29" i="5"/>
  <c r="J29" i="5"/>
  <c r="I29" i="5"/>
  <c r="H29" i="5"/>
  <c r="G29" i="5"/>
  <c r="E29" i="5"/>
  <c r="D29" i="5"/>
  <c r="C29" i="5"/>
  <c r="B29" i="5"/>
  <c r="AO28" i="5"/>
  <c r="AN28" i="5"/>
  <c r="AM28" i="5"/>
  <c r="AL28" i="5"/>
  <c r="AK28" i="5"/>
  <c r="AI28" i="5"/>
  <c r="AH28" i="5"/>
  <c r="AG28" i="5"/>
  <c r="AF28" i="5"/>
  <c r="AE28" i="5"/>
  <c r="AC28" i="5"/>
  <c r="AB28" i="5"/>
  <c r="AA28" i="5"/>
  <c r="Z28" i="5"/>
  <c r="Y28" i="5"/>
  <c r="W28" i="5"/>
  <c r="V28" i="5"/>
  <c r="U28" i="5"/>
  <c r="T28" i="5"/>
  <c r="S28" i="5"/>
  <c r="Q28" i="5"/>
  <c r="P28" i="5"/>
  <c r="O28" i="5"/>
  <c r="N28" i="5"/>
  <c r="M28" i="5"/>
  <c r="K28" i="5"/>
  <c r="J28" i="5"/>
  <c r="I28" i="5"/>
  <c r="H28" i="5"/>
  <c r="G28" i="5"/>
  <c r="E28" i="5"/>
  <c r="D28" i="5"/>
  <c r="C28" i="5"/>
  <c r="B28" i="5"/>
  <c r="AO27" i="5"/>
  <c r="AN27" i="5"/>
  <c r="AM27" i="5"/>
  <c r="AL27" i="5"/>
  <c r="AK27" i="5"/>
  <c r="AI27" i="5"/>
  <c r="AH27" i="5"/>
  <c r="AG27" i="5"/>
  <c r="AF27" i="5"/>
  <c r="AE27" i="5"/>
  <c r="AC27" i="5"/>
  <c r="AB27" i="5"/>
  <c r="AA27" i="5"/>
  <c r="Z27" i="5"/>
  <c r="Y27" i="5"/>
  <c r="W27" i="5"/>
  <c r="V27" i="5"/>
  <c r="U27" i="5"/>
  <c r="T27" i="5"/>
  <c r="S27" i="5"/>
  <c r="Q27" i="5"/>
  <c r="P27" i="5"/>
  <c r="O27" i="5"/>
  <c r="N27" i="5"/>
  <c r="M27" i="5"/>
  <c r="K27" i="5"/>
  <c r="J27" i="5"/>
  <c r="I27" i="5"/>
  <c r="H27" i="5"/>
  <c r="G27" i="5"/>
  <c r="E27" i="5"/>
  <c r="D27" i="5"/>
  <c r="C27" i="5"/>
  <c r="B27" i="5"/>
  <c r="AO26" i="5"/>
  <c r="AN26" i="5"/>
  <c r="AM26" i="5"/>
  <c r="AL26" i="5"/>
  <c r="AK26" i="5"/>
  <c r="AI26" i="5"/>
  <c r="AH26" i="5"/>
  <c r="AG26" i="5"/>
  <c r="AF26" i="5"/>
  <c r="AE26" i="5"/>
  <c r="AC26" i="5"/>
  <c r="AB26" i="5"/>
  <c r="AA26" i="5"/>
  <c r="Z26" i="5"/>
  <c r="Y26" i="5"/>
  <c r="W26" i="5"/>
  <c r="V26" i="5"/>
  <c r="U26" i="5"/>
  <c r="T26" i="5"/>
  <c r="S26" i="5"/>
  <c r="Q26" i="5"/>
  <c r="P26" i="5"/>
  <c r="O26" i="5"/>
  <c r="N26" i="5"/>
  <c r="M26" i="5"/>
  <c r="K26" i="5"/>
  <c r="J26" i="5"/>
  <c r="I26" i="5"/>
  <c r="H26" i="5"/>
  <c r="G26" i="5"/>
  <c r="E26" i="5"/>
  <c r="D26" i="5"/>
  <c r="C26" i="5"/>
  <c r="B26" i="5"/>
  <c r="AO25" i="5"/>
  <c r="AN25" i="5"/>
  <c r="AM25" i="5"/>
  <c r="AL25" i="5"/>
  <c r="AK25" i="5"/>
  <c r="AI25" i="5"/>
  <c r="AH25" i="5"/>
  <c r="AG25" i="5"/>
  <c r="AF25" i="5"/>
  <c r="AE25" i="5"/>
  <c r="AC25" i="5"/>
  <c r="AB25" i="5"/>
  <c r="AA25" i="5"/>
  <c r="Z25" i="5"/>
  <c r="Y25" i="5"/>
  <c r="W25" i="5"/>
  <c r="V25" i="5"/>
  <c r="U25" i="5"/>
  <c r="T25" i="5"/>
  <c r="S25" i="5"/>
  <c r="Q25" i="5"/>
  <c r="P25" i="5"/>
  <c r="O25" i="5"/>
  <c r="N25" i="5"/>
  <c r="M25" i="5"/>
  <c r="K25" i="5"/>
  <c r="J25" i="5"/>
  <c r="I25" i="5"/>
  <c r="H25" i="5"/>
  <c r="G25" i="5"/>
  <c r="E25" i="5"/>
  <c r="D25" i="5"/>
  <c r="C25" i="5"/>
  <c r="B25" i="5"/>
  <c r="AO24" i="5"/>
  <c r="AN24" i="5"/>
  <c r="AM24" i="5"/>
  <c r="AL24" i="5"/>
  <c r="AK24" i="5"/>
  <c r="AI24" i="5"/>
  <c r="AH24" i="5"/>
  <c r="AG24" i="5"/>
  <c r="AF24" i="5"/>
  <c r="AE24" i="5"/>
  <c r="AC24" i="5"/>
  <c r="AB24" i="5"/>
  <c r="AA24" i="5"/>
  <c r="Z24" i="5"/>
  <c r="Y24" i="5"/>
  <c r="W24" i="5"/>
  <c r="V24" i="5"/>
  <c r="U24" i="5"/>
  <c r="T24" i="5"/>
  <c r="S24" i="5"/>
  <c r="Q24" i="5"/>
  <c r="P24" i="5"/>
  <c r="O24" i="5"/>
  <c r="N24" i="5"/>
  <c r="M24" i="5"/>
  <c r="K24" i="5"/>
  <c r="J24" i="5"/>
  <c r="I24" i="5"/>
  <c r="H24" i="5"/>
  <c r="G24" i="5"/>
  <c r="E24" i="5"/>
  <c r="D24" i="5"/>
  <c r="C24" i="5"/>
  <c r="B24" i="5"/>
  <c r="AO23" i="5"/>
  <c r="AN23" i="5"/>
  <c r="AM23" i="5"/>
  <c r="AL23" i="5"/>
  <c r="AK23" i="5"/>
  <c r="AI23" i="5"/>
  <c r="AH23" i="5"/>
  <c r="AG23" i="5"/>
  <c r="AF23" i="5"/>
  <c r="AE23" i="5"/>
  <c r="AC23" i="5"/>
  <c r="AB23" i="5"/>
  <c r="AA23" i="5"/>
  <c r="Z23" i="5"/>
  <c r="Y23" i="5"/>
  <c r="W23" i="5"/>
  <c r="V23" i="5"/>
  <c r="U23" i="5"/>
  <c r="T23" i="5"/>
  <c r="S23" i="5"/>
  <c r="Q23" i="5"/>
  <c r="P23" i="5"/>
  <c r="O23" i="5"/>
  <c r="N23" i="5"/>
  <c r="M23" i="5"/>
  <c r="K23" i="5"/>
  <c r="J23" i="5"/>
  <c r="I23" i="5"/>
  <c r="H23" i="5"/>
  <c r="G23" i="5"/>
  <c r="E23" i="5"/>
  <c r="D23" i="5"/>
  <c r="C23" i="5"/>
  <c r="B23" i="5"/>
  <c r="AO22" i="5"/>
  <c r="AN22" i="5"/>
  <c r="AM22" i="5"/>
  <c r="AL22" i="5"/>
  <c r="AK22" i="5"/>
  <c r="AI22" i="5"/>
  <c r="AH22" i="5"/>
  <c r="AG22" i="5"/>
  <c r="AF22" i="5"/>
  <c r="AE22" i="5"/>
  <c r="AC22" i="5"/>
  <c r="AB22" i="5"/>
  <c r="AA22" i="5"/>
  <c r="Z22" i="5"/>
  <c r="Y22" i="5"/>
  <c r="W22" i="5"/>
  <c r="V22" i="5"/>
  <c r="U22" i="5"/>
  <c r="T22" i="5"/>
  <c r="S22" i="5"/>
  <c r="Q22" i="5"/>
  <c r="P22" i="5"/>
  <c r="O22" i="5"/>
  <c r="N22" i="5"/>
  <c r="M22" i="5"/>
  <c r="K22" i="5"/>
  <c r="J22" i="5"/>
  <c r="I22" i="5"/>
  <c r="H22" i="5"/>
  <c r="G22" i="5"/>
  <c r="E22" i="5"/>
  <c r="D22" i="5"/>
  <c r="C22" i="5"/>
  <c r="B22" i="5"/>
  <c r="AO21" i="5"/>
  <c r="AN21" i="5"/>
  <c r="AM21" i="5"/>
  <c r="AL21" i="5"/>
  <c r="AK21" i="5"/>
  <c r="AI21" i="5"/>
  <c r="AH21" i="5"/>
  <c r="AG21" i="5"/>
  <c r="AF21" i="5"/>
  <c r="AE21" i="5"/>
  <c r="AC21" i="5"/>
  <c r="AB21" i="5"/>
  <c r="AA21" i="5"/>
  <c r="Z21" i="5"/>
  <c r="Y21" i="5"/>
  <c r="W21" i="5"/>
  <c r="V21" i="5"/>
  <c r="U21" i="5"/>
  <c r="T21" i="5"/>
  <c r="S21" i="5"/>
  <c r="Q21" i="5"/>
  <c r="P21" i="5"/>
  <c r="O21" i="5"/>
  <c r="N21" i="5"/>
  <c r="M21" i="5"/>
  <c r="K21" i="5"/>
  <c r="J21" i="5"/>
  <c r="I21" i="5"/>
  <c r="H21" i="5"/>
  <c r="G21" i="5"/>
  <c r="E21" i="5"/>
  <c r="D21" i="5"/>
  <c r="C21" i="5"/>
  <c r="B21" i="5"/>
  <c r="AO20" i="5"/>
  <c r="AN20" i="5"/>
  <c r="AM20" i="5"/>
  <c r="AL20" i="5"/>
  <c r="AK20" i="5"/>
  <c r="AI20" i="5"/>
  <c r="AH20" i="5"/>
  <c r="AG20" i="5"/>
  <c r="AF20" i="5"/>
  <c r="AE20" i="5"/>
  <c r="AC20" i="5"/>
  <c r="AB20" i="5"/>
  <c r="AA20" i="5"/>
  <c r="Z20" i="5"/>
  <c r="Y20" i="5"/>
  <c r="W20" i="5"/>
  <c r="V20" i="5"/>
  <c r="U20" i="5"/>
  <c r="T20" i="5"/>
  <c r="S20" i="5"/>
  <c r="Q20" i="5"/>
  <c r="P20" i="5"/>
  <c r="O20" i="5"/>
  <c r="N20" i="5"/>
  <c r="M20" i="5"/>
  <c r="K20" i="5"/>
  <c r="J20" i="5"/>
  <c r="I20" i="5"/>
  <c r="H20" i="5"/>
  <c r="G20" i="5"/>
  <c r="E20" i="5"/>
  <c r="D20" i="5"/>
  <c r="C20" i="5"/>
  <c r="B20" i="5"/>
  <c r="AO19" i="5"/>
  <c r="AN19" i="5"/>
  <c r="AM19" i="5"/>
  <c r="AL19" i="5"/>
  <c r="AK19" i="5"/>
  <c r="AI19" i="5"/>
  <c r="AH19" i="5"/>
  <c r="AG19" i="5"/>
  <c r="AF19" i="5"/>
  <c r="AE19" i="5"/>
  <c r="AC19" i="5"/>
  <c r="AB19" i="5"/>
  <c r="AA19" i="5"/>
  <c r="Z19" i="5"/>
  <c r="Y19" i="5"/>
  <c r="W19" i="5"/>
  <c r="V19" i="5"/>
  <c r="U19" i="5"/>
  <c r="T19" i="5"/>
  <c r="S19" i="5"/>
  <c r="Q19" i="5"/>
  <c r="P19" i="5"/>
  <c r="O19" i="5"/>
  <c r="N19" i="5"/>
  <c r="M19" i="5"/>
  <c r="K19" i="5"/>
  <c r="J19" i="5"/>
  <c r="I19" i="5"/>
  <c r="H19" i="5"/>
  <c r="G19" i="5"/>
  <c r="E19" i="5"/>
  <c r="D19" i="5"/>
  <c r="C19" i="5"/>
  <c r="B19" i="5"/>
  <c r="AO18" i="5"/>
  <c r="AN18" i="5"/>
  <c r="AM18" i="5"/>
  <c r="AL18" i="5"/>
  <c r="AK18" i="5"/>
  <c r="AI18" i="5"/>
  <c r="AH18" i="5"/>
  <c r="AG18" i="5"/>
  <c r="AF18" i="5"/>
  <c r="AE18" i="5"/>
  <c r="AC18" i="5"/>
  <c r="AB18" i="5"/>
  <c r="AA18" i="5"/>
  <c r="Z18" i="5"/>
  <c r="Y18" i="5"/>
  <c r="W18" i="5"/>
  <c r="V18" i="5"/>
  <c r="U18" i="5"/>
  <c r="T18" i="5"/>
  <c r="S18" i="5"/>
  <c r="Q18" i="5"/>
  <c r="P18" i="5"/>
  <c r="O18" i="5"/>
  <c r="N18" i="5"/>
  <c r="M18" i="5"/>
  <c r="K18" i="5"/>
  <c r="J18" i="5"/>
  <c r="I18" i="5"/>
  <c r="H18" i="5"/>
  <c r="G18" i="5"/>
  <c r="E18" i="5"/>
  <c r="D18" i="5"/>
  <c r="C18" i="5"/>
  <c r="B18" i="5"/>
  <c r="E17" i="5"/>
  <c r="D17" i="5"/>
  <c r="C17" i="5"/>
  <c r="B17" i="5"/>
  <c r="AO16" i="5"/>
  <c r="AN16" i="5"/>
  <c r="AM16" i="5"/>
  <c r="AL16" i="5"/>
  <c r="AK16" i="5"/>
  <c r="AI16" i="5"/>
  <c r="AH16" i="5"/>
  <c r="AG16" i="5"/>
  <c r="AF16" i="5"/>
  <c r="AE16" i="5"/>
  <c r="AC16" i="5"/>
  <c r="AB16" i="5"/>
  <c r="AA16" i="5"/>
  <c r="Z16" i="5"/>
  <c r="Y16" i="5"/>
  <c r="W16" i="5"/>
  <c r="V16" i="5"/>
  <c r="U16" i="5"/>
  <c r="T16" i="5"/>
  <c r="S16" i="5"/>
  <c r="Q16" i="5"/>
  <c r="P16" i="5"/>
  <c r="O16" i="5"/>
  <c r="N16" i="5"/>
  <c r="M16" i="5"/>
  <c r="K16" i="5"/>
  <c r="J16" i="5"/>
  <c r="I16" i="5"/>
  <c r="H16" i="5"/>
  <c r="G16" i="5"/>
  <c r="E16" i="5"/>
  <c r="D16" i="5"/>
  <c r="C16" i="5"/>
  <c r="B16" i="5"/>
  <c r="AO15" i="5"/>
  <c r="AN15" i="5"/>
  <c r="AM15" i="5"/>
  <c r="AL15" i="5"/>
  <c r="AK15" i="5"/>
  <c r="AI15" i="5"/>
  <c r="AH15" i="5"/>
  <c r="AG15" i="5"/>
  <c r="AF15" i="5"/>
  <c r="AE15" i="5"/>
  <c r="AC15" i="5"/>
  <c r="AB15" i="5"/>
  <c r="AA15" i="5"/>
  <c r="Z15" i="5"/>
  <c r="Y15" i="5"/>
  <c r="W15" i="5"/>
  <c r="V15" i="5"/>
  <c r="U15" i="5"/>
  <c r="T15" i="5"/>
  <c r="S15" i="5"/>
  <c r="Q15" i="5"/>
  <c r="P15" i="5"/>
  <c r="O15" i="5"/>
  <c r="N15" i="5"/>
  <c r="M15" i="5"/>
  <c r="K15" i="5"/>
  <c r="J15" i="5"/>
  <c r="I15" i="5"/>
  <c r="H15" i="5"/>
  <c r="G15" i="5"/>
  <c r="E15" i="5"/>
  <c r="D15" i="5"/>
  <c r="C15" i="5"/>
  <c r="B15" i="5"/>
  <c r="AO14" i="5"/>
  <c r="AN14" i="5"/>
  <c r="AM14" i="5"/>
  <c r="AL14" i="5"/>
  <c r="AK14" i="5"/>
  <c r="AI14" i="5"/>
  <c r="AH14" i="5"/>
  <c r="AG14" i="5"/>
  <c r="AF14" i="5"/>
  <c r="AE14" i="5"/>
  <c r="AC14" i="5"/>
  <c r="AB14" i="5"/>
  <c r="AA14" i="5"/>
  <c r="Z14" i="5"/>
  <c r="Y14" i="5"/>
  <c r="W14" i="5"/>
  <c r="V14" i="5"/>
  <c r="U14" i="5"/>
  <c r="T14" i="5"/>
  <c r="S14" i="5"/>
  <c r="Q14" i="5"/>
  <c r="P14" i="5"/>
  <c r="O14" i="5"/>
  <c r="N14" i="5"/>
  <c r="M14" i="5"/>
  <c r="K14" i="5"/>
  <c r="J14" i="5"/>
  <c r="I14" i="5"/>
  <c r="H14" i="5"/>
  <c r="G14" i="5"/>
  <c r="E14" i="5"/>
  <c r="D14" i="5"/>
  <c r="C14" i="5"/>
  <c r="B14" i="5"/>
  <c r="AO13" i="5"/>
  <c r="AN13" i="5"/>
  <c r="AM13" i="5"/>
  <c r="AL13" i="5"/>
  <c r="AK13" i="5"/>
  <c r="AI13" i="5"/>
  <c r="AH13" i="5"/>
  <c r="AG13" i="5"/>
  <c r="AF13" i="5"/>
  <c r="AE13" i="5"/>
  <c r="AC13" i="5"/>
  <c r="AB13" i="5"/>
  <c r="AA13" i="5"/>
  <c r="Z13" i="5"/>
  <c r="Y13" i="5"/>
  <c r="W13" i="5"/>
  <c r="V13" i="5"/>
  <c r="U13" i="5"/>
  <c r="T13" i="5"/>
  <c r="S13" i="5"/>
  <c r="Q13" i="5"/>
  <c r="P13" i="5"/>
  <c r="O13" i="5"/>
  <c r="N13" i="5"/>
  <c r="M13" i="5"/>
  <c r="K13" i="5"/>
  <c r="J13" i="5"/>
  <c r="I13" i="5"/>
  <c r="H13" i="5"/>
  <c r="G13" i="5"/>
  <c r="E13" i="5"/>
  <c r="D13" i="5"/>
  <c r="C13" i="5"/>
  <c r="B13" i="5"/>
  <c r="AO12" i="5"/>
  <c r="AN12" i="5"/>
  <c r="AM12" i="5"/>
  <c r="AL12" i="5"/>
  <c r="AK12" i="5"/>
  <c r="AI12" i="5"/>
  <c r="AH12" i="5"/>
  <c r="AG12" i="5"/>
  <c r="AF12" i="5"/>
  <c r="AE12" i="5"/>
  <c r="AC12" i="5"/>
  <c r="AB12" i="5"/>
  <c r="AA12" i="5"/>
  <c r="Z12" i="5"/>
  <c r="Y12" i="5"/>
  <c r="W12" i="5"/>
  <c r="V12" i="5"/>
  <c r="U12" i="5"/>
  <c r="T12" i="5"/>
  <c r="S12" i="5"/>
  <c r="Q12" i="5"/>
  <c r="P12" i="5"/>
  <c r="O12" i="5"/>
  <c r="N12" i="5"/>
  <c r="M12" i="5"/>
  <c r="K12" i="5"/>
  <c r="J12" i="5"/>
  <c r="I12" i="5"/>
  <c r="H12" i="5"/>
  <c r="G12" i="5"/>
  <c r="E12" i="5"/>
  <c r="D12" i="5"/>
  <c r="C12" i="5"/>
  <c r="B12" i="5"/>
  <c r="AO11" i="5"/>
  <c r="AN11" i="5"/>
  <c r="AM11" i="5"/>
  <c r="AL11" i="5"/>
  <c r="AK11" i="5"/>
  <c r="AI11" i="5"/>
  <c r="AH11" i="5"/>
  <c r="AG11" i="5"/>
  <c r="AF11" i="5"/>
  <c r="AE11" i="5"/>
  <c r="AC11" i="5"/>
  <c r="AB11" i="5"/>
  <c r="AA11" i="5"/>
  <c r="Z11" i="5"/>
  <c r="Y11" i="5"/>
  <c r="W11" i="5"/>
  <c r="V11" i="5"/>
  <c r="U11" i="5"/>
  <c r="T11" i="5"/>
  <c r="S11" i="5"/>
  <c r="Q11" i="5"/>
  <c r="P11" i="5"/>
  <c r="O11" i="5"/>
  <c r="N11" i="5"/>
  <c r="M11" i="5"/>
  <c r="K11" i="5"/>
  <c r="J11" i="5"/>
  <c r="I11" i="5"/>
  <c r="H11" i="5"/>
  <c r="G11" i="5"/>
  <c r="E11" i="5"/>
  <c r="D11" i="5"/>
  <c r="C11" i="5"/>
  <c r="B11" i="5"/>
  <c r="AO10" i="5"/>
  <c r="AN10" i="5"/>
  <c r="AM10" i="5"/>
  <c r="AL10" i="5"/>
  <c r="AK10" i="5"/>
  <c r="AI10" i="5"/>
  <c r="AH10" i="5"/>
  <c r="AG10" i="5"/>
  <c r="AF10" i="5"/>
  <c r="AE10" i="5"/>
  <c r="AC10" i="5"/>
  <c r="AB10" i="5"/>
  <c r="AA10" i="5"/>
  <c r="Z10" i="5"/>
  <c r="Y10" i="5"/>
  <c r="W10" i="5"/>
  <c r="V10" i="5"/>
  <c r="U10" i="5"/>
  <c r="T10" i="5"/>
  <c r="S10" i="5"/>
  <c r="Q10" i="5"/>
  <c r="P10" i="5"/>
  <c r="O10" i="5"/>
  <c r="N10" i="5"/>
  <c r="M10" i="5"/>
  <c r="K10" i="5"/>
  <c r="J10" i="5"/>
  <c r="I10" i="5"/>
  <c r="H10" i="5"/>
  <c r="G10" i="5"/>
  <c r="E10" i="5"/>
  <c r="D10" i="5"/>
  <c r="C10" i="5"/>
  <c r="B10" i="5"/>
  <c r="AO9" i="5"/>
  <c r="AN9" i="5"/>
  <c r="AM9" i="5"/>
  <c r="AL9" i="5"/>
  <c r="AK9" i="5"/>
  <c r="AI9" i="5"/>
  <c r="AH9" i="5"/>
  <c r="AG9" i="5"/>
  <c r="AF9" i="5"/>
  <c r="AE9" i="5"/>
  <c r="AC9" i="5"/>
  <c r="AB9" i="5"/>
  <c r="AA9" i="5"/>
  <c r="Z9" i="5"/>
  <c r="Y9" i="5"/>
  <c r="W9" i="5"/>
  <c r="V9" i="5"/>
  <c r="U9" i="5"/>
  <c r="T9" i="5"/>
  <c r="S9" i="5"/>
  <c r="Q9" i="5"/>
  <c r="P9" i="5"/>
  <c r="O9" i="5"/>
  <c r="N9" i="5"/>
  <c r="M9" i="5"/>
  <c r="K9" i="5"/>
  <c r="J9" i="5"/>
  <c r="I9" i="5"/>
  <c r="H9" i="5"/>
  <c r="G9" i="5"/>
  <c r="E9" i="5"/>
  <c r="D9" i="5"/>
  <c r="C9" i="5"/>
  <c r="B9" i="5"/>
  <c r="AO8" i="5"/>
  <c r="AN8" i="5"/>
  <c r="AM8" i="5"/>
  <c r="AL8" i="5"/>
  <c r="AK8" i="5"/>
  <c r="AI8" i="5"/>
  <c r="AH8" i="5"/>
  <c r="AG8" i="5"/>
  <c r="AF8" i="5"/>
  <c r="AE8" i="5"/>
  <c r="AC8" i="5"/>
  <c r="AB8" i="5"/>
  <c r="AA8" i="5"/>
  <c r="Z8" i="5"/>
  <c r="Y8" i="5"/>
  <c r="W8" i="5"/>
  <c r="V8" i="5"/>
  <c r="U8" i="5"/>
  <c r="T8" i="5"/>
  <c r="S8" i="5"/>
  <c r="Q8" i="5"/>
  <c r="P8" i="5"/>
  <c r="O8" i="5"/>
  <c r="N8" i="5"/>
  <c r="M8" i="5"/>
  <c r="K8" i="5"/>
  <c r="J8" i="5"/>
  <c r="I8" i="5"/>
  <c r="H8" i="5"/>
  <c r="G8" i="5"/>
  <c r="E8" i="5"/>
  <c r="D8" i="5"/>
  <c r="C8" i="5"/>
  <c r="B8" i="5"/>
  <c r="AO7" i="5"/>
  <c r="AN7" i="5"/>
  <c r="AM7" i="5"/>
  <c r="AL7" i="5"/>
  <c r="AK7" i="5"/>
  <c r="AI7" i="5"/>
  <c r="AH7" i="5"/>
  <c r="AG7" i="5"/>
  <c r="AF7" i="5"/>
  <c r="AE7" i="5"/>
  <c r="AC7" i="5"/>
  <c r="AB7" i="5"/>
  <c r="AA7" i="5"/>
  <c r="Z7" i="5"/>
  <c r="Y7" i="5"/>
  <c r="W7" i="5"/>
  <c r="V7" i="5"/>
  <c r="U7" i="5"/>
  <c r="T7" i="5"/>
  <c r="S7" i="5"/>
  <c r="Q7" i="5"/>
  <c r="P7" i="5"/>
  <c r="O7" i="5"/>
  <c r="N7" i="5"/>
  <c r="M7" i="5"/>
  <c r="K7" i="5"/>
  <c r="J7" i="5"/>
  <c r="I7" i="5"/>
  <c r="H7" i="5"/>
  <c r="G7" i="5"/>
  <c r="E7" i="5"/>
  <c r="D7" i="5"/>
  <c r="C7" i="5"/>
  <c r="B7" i="5"/>
  <c r="AO6" i="5"/>
  <c r="AN6" i="5"/>
  <c r="AM6" i="5"/>
  <c r="AL6" i="5"/>
  <c r="AK6" i="5"/>
  <c r="AI6" i="5"/>
  <c r="AH6" i="5"/>
  <c r="AG6" i="5"/>
  <c r="AF6" i="5"/>
  <c r="AE6" i="5"/>
  <c r="AC6" i="5"/>
  <c r="AB6" i="5"/>
  <c r="AA6" i="5"/>
  <c r="Z6" i="5"/>
  <c r="Y6" i="5"/>
  <c r="W6" i="5"/>
  <c r="V6" i="5"/>
  <c r="U6" i="5"/>
  <c r="T6" i="5"/>
  <c r="S6" i="5"/>
  <c r="Q6" i="5"/>
  <c r="P6" i="5"/>
  <c r="O6" i="5"/>
  <c r="N6" i="5"/>
  <c r="M6" i="5"/>
  <c r="K6" i="5"/>
  <c r="J6" i="5"/>
  <c r="I6" i="5"/>
  <c r="H6" i="5"/>
  <c r="G6" i="5"/>
  <c r="E6" i="5"/>
  <c r="D6" i="5"/>
  <c r="C6" i="5"/>
  <c r="B6" i="5"/>
  <c r="AO5" i="5"/>
  <c r="AN5" i="5"/>
  <c r="AM5" i="5"/>
  <c r="AL5" i="5"/>
  <c r="AK5" i="5"/>
  <c r="AI5" i="5"/>
  <c r="AH5" i="5"/>
  <c r="AG5" i="5"/>
  <c r="AF5" i="5"/>
  <c r="AE5" i="5"/>
  <c r="AC5" i="5"/>
  <c r="AB5" i="5"/>
  <c r="AA5" i="5"/>
  <c r="Z5" i="5"/>
  <c r="Y5" i="5"/>
  <c r="W5" i="5"/>
  <c r="V5" i="5"/>
  <c r="U5" i="5"/>
  <c r="T5" i="5"/>
  <c r="S5" i="5"/>
  <c r="Q5" i="5"/>
  <c r="P5" i="5"/>
  <c r="O5" i="5"/>
  <c r="N5" i="5"/>
  <c r="M5" i="5"/>
  <c r="K5" i="5"/>
  <c r="J5" i="5"/>
  <c r="I5" i="5"/>
  <c r="H5" i="5"/>
  <c r="G5" i="5"/>
  <c r="E5" i="5"/>
  <c r="D5" i="5"/>
  <c r="C5" i="5"/>
  <c r="B5" i="5"/>
  <c r="AO4" i="5"/>
  <c r="AN4" i="5"/>
  <c r="AM4" i="5"/>
  <c r="AL4" i="5"/>
  <c r="AK4" i="5"/>
  <c r="AI4" i="5"/>
  <c r="AH4" i="5"/>
  <c r="AG4" i="5"/>
  <c r="AF4" i="5"/>
  <c r="AE4" i="5"/>
  <c r="AC4" i="5"/>
  <c r="AB4" i="5"/>
  <c r="AA4" i="5"/>
  <c r="Z4" i="5"/>
  <c r="Y4" i="5"/>
  <c r="W4" i="5"/>
  <c r="V4" i="5"/>
  <c r="U4" i="5"/>
  <c r="T4" i="5"/>
  <c r="S4" i="5"/>
  <c r="Q4" i="5"/>
  <c r="P4" i="5"/>
  <c r="O4" i="5"/>
  <c r="N4" i="5"/>
  <c r="M4" i="5"/>
  <c r="K4" i="5"/>
  <c r="J4" i="5"/>
  <c r="I4" i="5"/>
  <c r="H4" i="5"/>
  <c r="G4" i="5"/>
  <c r="E4" i="5"/>
  <c r="D4" i="5"/>
  <c r="C4" i="5"/>
  <c r="B4" i="5"/>
  <c r="AO3" i="5"/>
  <c r="AN3" i="5"/>
  <c r="AM3" i="5"/>
  <c r="AL3" i="5"/>
  <c r="AK3" i="5"/>
  <c r="AI3" i="5"/>
  <c r="AH3" i="5"/>
  <c r="AG3" i="5"/>
  <c r="AF3" i="5"/>
  <c r="AE3" i="5"/>
  <c r="AC3" i="5"/>
  <c r="AB3" i="5"/>
  <c r="AA3" i="5"/>
  <c r="Z3" i="5"/>
  <c r="Y3" i="5"/>
  <c r="W3" i="5"/>
  <c r="V3" i="5"/>
  <c r="U3" i="5"/>
  <c r="T3" i="5"/>
  <c r="S3" i="5"/>
  <c r="Q3" i="5"/>
  <c r="P3" i="5"/>
  <c r="O3" i="5"/>
  <c r="N3" i="5"/>
  <c r="M3" i="5"/>
  <c r="K3" i="5"/>
  <c r="J3" i="5"/>
  <c r="I3" i="5"/>
  <c r="H3" i="5"/>
  <c r="G3" i="5"/>
  <c r="E3" i="5"/>
  <c r="D3" i="5"/>
  <c r="C3" i="5"/>
  <c r="B3" i="5"/>
  <c r="AO2" i="5"/>
  <c r="AN2" i="5"/>
  <c r="AM2" i="5"/>
  <c r="AL2" i="5"/>
  <c r="AK2" i="5"/>
  <c r="AI2" i="5"/>
  <c r="AH2" i="5"/>
  <c r="AG2" i="5"/>
  <c r="AF2" i="5"/>
  <c r="AE2" i="5"/>
  <c r="AC2" i="5"/>
  <c r="AB2" i="5"/>
  <c r="AA2" i="5"/>
  <c r="Z2" i="5"/>
  <c r="Y2" i="5"/>
  <c r="W2" i="5"/>
  <c r="V2" i="5"/>
  <c r="U2" i="5"/>
  <c r="T2" i="5"/>
  <c r="S2" i="5"/>
  <c r="Q2" i="5"/>
  <c r="P2" i="5"/>
  <c r="O2" i="5"/>
  <c r="N2" i="5"/>
  <c r="M2" i="5"/>
  <c r="K2" i="5"/>
  <c r="J2" i="5"/>
  <c r="I2" i="5"/>
  <c r="H2" i="5"/>
  <c r="G2" i="5"/>
  <c r="E2" i="5"/>
  <c r="D2" i="5"/>
  <c r="C2" i="5"/>
  <c r="B2" i="5"/>
  <c r="S200" i="4"/>
  <c r="M200" i="4"/>
  <c r="J200" i="4"/>
  <c r="I200" i="4"/>
  <c r="G200" i="4"/>
  <c r="F200" i="4"/>
  <c r="E200" i="4"/>
  <c r="B200" i="4"/>
  <c r="A200" i="4"/>
  <c r="Z199" i="4"/>
  <c r="W199" i="4"/>
  <c r="V199" i="4"/>
  <c r="S199" i="4"/>
  <c r="M199" i="4"/>
  <c r="J199" i="4"/>
  <c r="I199" i="4"/>
  <c r="G199" i="4"/>
  <c r="F199" i="4"/>
  <c r="E199" i="4"/>
  <c r="B199" i="4"/>
  <c r="A199" i="4"/>
  <c r="Z198" i="4"/>
  <c r="W198" i="4"/>
  <c r="V198" i="4"/>
  <c r="S198" i="4"/>
  <c r="M198" i="4"/>
  <c r="J198" i="4"/>
  <c r="I198" i="4"/>
  <c r="G198" i="4"/>
  <c r="F198" i="4"/>
  <c r="E198" i="4"/>
  <c r="D198" i="4"/>
  <c r="B198" i="4"/>
  <c r="A198" i="4"/>
  <c r="AA197" i="4"/>
  <c r="Z197" i="4"/>
  <c r="W197" i="4"/>
  <c r="V197" i="4"/>
  <c r="S197" i="4"/>
  <c r="M197" i="4"/>
  <c r="J197" i="4"/>
  <c r="I197" i="4"/>
  <c r="G197" i="4"/>
  <c r="F197" i="4"/>
  <c r="E197" i="4"/>
  <c r="D197" i="4"/>
  <c r="B197" i="4"/>
  <c r="A197" i="4"/>
  <c r="Z196" i="4"/>
  <c r="W196" i="4"/>
  <c r="V196" i="4"/>
  <c r="S196" i="4"/>
  <c r="M196" i="4"/>
  <c r="J196" i="4"/>
  <c r="I196" i="4"/>
  <c r="G196" i="4"/>
  <c r="F196" i="4"/>
  <c r="E196" i="4"/>
  <c r="B196" i="4"/>
  <c r="A196" i="4"/>
  <c r="AA195" i="4"/>
  <c r="Z195" i="4"/>
  <c r="W195" i="4"/>
  <c r="V195" i="4"/>
  <c r="S195" i="4"/>
  <c r="M195" i="4"/>
  <c r="J195" i="4"/>
  <c r="I195" i="4"/>
  <c r="G195" i="4"/>
  <c r="F195" i="4"/>
  <c r="E195" i="4"/>
  <c r="D195" i="4"/>
  <c r="B195" i="4"/>
  <c r="A195" i="4"/>
  <c r="Z194" i="4"/>
  <c r="W194" i="4"/>
  <c r="V194" i="4"/>
  <c r="S194" i="4"/>
  <c r="M194" i="4"/>
  <c r="J194" i="4"/>
  <c r="I194" i="4"/>
  <c r="G194" i="4"/>
  <c r="F194" i="4"/>
  <c r="E194" i="4"/>
  <c r="B194" i="4"/>
  <c r="A194" i="4"/>
  <c r="AA193" i="4"/>
  <c r="Z193" i="4"/>
  <c r="W193" i="4"/>
  <c r="V193" i="4"/>
  <c r="T193" i="4"/>
  <c r="S193" i="4"/>
  <c r="M193" i="4"/>
  <c r="J193" i="4"/>
  <c r="I193" i="4"/>
  <c r="G193" i="4"/>
  <c r="F193" i="4"/>
  <c r="E193" i="4"/>
  <c r="D193" i="4"/>
  <c r="B193" i="4"/>
  <c r="A193" i="4"/>
  <c r="Z192" i="4"/>
  <c r="W192" i="4"/>
  <c r="V192" i="4"/>
  <c r="S192" i="4"/>
  <c r="M192" i="4"/>
  <c r="J192" i="4"/>
  <c r="I192" i="4"/>
  <c r="G192" i="4"/>
  <c r="F192" i="4"/>
  <c r="E192" i="4"/>
  <c r="B192" i="4"/>
  <c r="A192" i="4"/>
  <c r="AA191" i="4"/>
  <c r="Z191" i="4"/>
  <c r="W191" i="4"/>
  <c r="V191" i="4"/>
  <c r="S191" i="4"/>
  <c r="M191" i="4"/>
  <c r="J191" i="4"/>
  <c r="I191" i="4"/>
  <c r="G191" i="4"/>
  <c r="F191" i="4"/>
  <c r="E191" i="4"/>
  <c r="D191" i="4"/>
  <c r="B191" i="4"/>
  <c r="A191" i="4"/>
  <c r="Z190" i="4"/>
  <c r="W190" i="4"/>
  <c r="V190" i="4"/>
  <c r="S190" i="4"/>
  <c r="M190" i="4"/>
  <c r="J190" i="4"/>
  <c r="I190" i="4"/>
  <c r="G190" i="4"/>
  <c r="F190" i="4"/>
  <c r="E190" i="4"/>
  <c r="B190" i="4"/>
  <c r="A190" i="4"/>
  <c r="Z189" i="4"/>
  <c r="W189" i="4"/>
  <c r="V189" i="4"/>
  <c r="S189" i="4"/>
  <c r="M189" i="4"/>
  <c r="J189" i="4"/>
  <c r="I189" i="4"/>
  <c r="G189" i="4"/>
  <c r="F189" i="4"/>
  <c r="E189" i="4"/>
  <c r="B189" i="4"/>
  <c r="A189" i="4"/>
  <c r="AA188" i="4"/>
  <c r="Z188" i="4"/>
  <c r="W188" i="4"/>
  <c r="V188" i="4"/>
  <c r="S188" i="4"/>
  <c r="M188" i="4"/>
  <c r="J188" i="4"/>
  <c r="I188" i="4"/>
  <c r="G188" i="4"/>
  <c r="F188" i="4"/>
  <c r="E188" i="4"/>
  <c r="D188" i="4"/>
  <c r="B188" i="4"/>
  <c r="A188" i="4"/>
  <c r="AA187" i="4"/>
  <c r="Z187" i="4"/>
  <c r="W187" i="4"/>
  <c r="V187" i="4"/>
  <c r="S187" i="4"/>
  <c r="M187" i="4"/>
  <c r="J187" i="4"/>
  <c r="I187" i="4"/>
  <c r="G187" i="4"/>
  <c r="F187" i="4"/>
  <c r="E187" i="4"/>
  <c r="D187" i="4"/>
  <c r="B187" i="4"/>
  <c r="A187" i="4"/>
  <c r="Z186" i="4"/>
  <c r="W186" i="4"/>
  <c r="V186" i="4"/>
  <c r="S186" i="4"/>
  <c r="M186" i="4"/>
  <c r="J186" i="4"/>
  <c r="I186" i="4"/>
  <c r="G186" i="4"/>
  <c r="F186" i="4"/>
  <c r="E186" i="4"/>
  <c r="B186" i="4"/>
  <c r="A186" i="4"/>
  <c r="AA185" i="4"/>
  <c r="Z185" i="4"/>
  <c r="W185" i="4"/>
  <c r="V185" i="4"/>
  <c r="S185" i="4"/>
  <c r="M185" i="4"/>
  <c r="J185" i="4"/>
  <c r="I185" i="4"/>
  <c r="G185" i="4"/>
  <c r="F185" i="4"/>
  <c r="E185" i="4"/>
  <c r="D185" i="4"/>
  <c r="B185" i="4"/>
  <c r="A185" i="4"/>
  <c r="Z184" i="4"/>
  <c r="W184" i="4"/>
  <c r="V184" i="4"/>
  <c r="S184" i="4"/>
  <c r="M184" i="4"/>
  <c r="J184" i="4"/>
  <c r="I184" i="4"/>
  <c r="G184" i="4"/>
  <c r="F184" i="4"/>
  <c r="E184" i="4"/>
  <c r="B184" i="4"/>
  <c r="A184" i="4"/>
  <c r="AA183" i="4"/>
  <c r="Z183" i="4"/>
  <c r="W183" i="4"/>
  <c r="V183" i="4"/>
  <c r="S183" i="4"/>
  <c r="M183" i="4"/>
  <c r="J183" i="4"/>
  <c r="I183" i="4"/>
  <c r="G183" i="4"/>
  <c r="F183" i="4"/>
  <c r="E183" i="4"/>
  <c r="D183" i="4"/>
  <c r="B183" i="4"/>
  <c r="A183" i="4"/>
  <c r="Z182" i="4"/>
  <c r="W182" i="4"/>
  <c r="V182" i="4"/>
  <c r="S182" i="4"/>
  <c r="M182" i="4"/>
  <c r="J182" i="4"/>
  <c r="I182" i="4"/>
  <c r="G182" i="4"/>
  <c r="F182" i="4"/>
  <c r="E182" i="4"/>
  <c r="B182" i="4"/>
  <c r="A182" i="4"/>
  <c r="AA181" i="4"/>
  <c r="Z181" i="4"/>
  <c r="W181" i="4"/>
  <c r="V181" i="4"/>
  <c r="S181" i="4"/>
  <c r="M181" i="4"/>
  <c r="J181" i="4"/>
  <c r="I181" i="4"/>
  <c r="G181" i="4"/>
  <c r="F181" i="4"/>
  <c r="E181" i="4"/>
  <c r="D181" i="4"/>
  <c r="B181" i="4"/>
  <c r="A181" i="4"/>
  <c r="Z180" i="4"/>
  <c r="W180" i="4"/>
  <c r="V180" i="4"/>
  <c r="S180" i="4"/>
  <c r="M180" i="4"/>
  <c r="J180" i="4"/>
  <c r="I180" i="4"/>
  <c r="G180" i="4"/>
  <c r="F180" i="4"/>
  <c r="E180" i="4"/>
  <c r="B180" i="4"/>
  <c r="A180" i="4"/>
  <c r="AA179" i="4"/>
  <c r="Z179" i="4"/>
  <c r="W179" i="4"/>
  <c r="V179" i="4"/>
  <c r="S179" i="4"/>
  <c r="M179" i="4"/>
  <c r="J179" i="4"/>
  <c r="I179" i="4"/>
  <c r="G179" i="4"/>
  <c r="F179" i="4"/>
  <c r="E179" i="4"/>
  <c r="D179" i="4"/>
  <c r="B179" i="4"/>
  <c r="A179" i="4"/>
  <c r="AA178" i="4"/>
  <c r="Z178" i="4"/>
  <c r="W178" i="4"/>
  <c r="V178" i="4"/>
  <c r="S178" i="4"/>
  <c r="M178" i="4"/>
  <c r="J178" i="4"/>
  <c r="I178" i="4"/>
  <c r="G178" i="4"/>
  <c r="F178" i="4"/>
  <c r="E178" i="4"/>
  <c r="D178" i="4"/>
  <c r="B178" i="4"/>
  <c r="A178" i="4"/>
  <c r="AA177" i="4"/>
  <c r="Z177" i="4"/>
  <c r="W177" i="4"/>
  <c r="V177" i="4"/>
  <c r="S177" i="4"/>
  <c r="M177" i="4"/>
  <c r="J177" i="4"/>
  <c r="I177" i="4"/>
  <c r="G177" i="4"/>
  <c r="F177" i="4"/>
  <c r="E177" i="4"/>
  <c r="D177" i="4"/>
  <c r="B177" i="4"/>
  <c r="A177" i="4"/>
  <c r="D137" i="4"/>
  <c r="B137" i="4"/>
  <c r="A137" i="4"/>
  <c r="AA136" i="4"/>
  <c r="Z136" i="4"/>
  <c r="W136" i="4"/>
  <c r="V136" i="4"/>
  <c r="S136" i="4"/>
  <c r="M136" i="4"/>
  <c r="J136" i="4"/>
  <c r="I136" i="4"/>
  <c r="G136" i="4"/>
  <c r="F136" i="4"/>
  <c r="E136" i="4"/>
  <c r="D136" i="4"/>
  <c r="B136" i="4"/>
  <c r="A136" i="4"/>
  <c r="AA135" i="4"/>
  <c r="Z135" i="4"/>
  <c r="W135" i="4"/>
  <c r="V135" i="4"/>
  <c r="S135" i="4"/>
  <c r="M135" i="4"/>
  <c r="J135" i="4"/>
  <c r="I135" i="4"/>
  <c r="G135" i="4"/>
  <c r="F135" i="4"/>
  <c r="E135" i="4"/>
  <c r="D135" i="4"/>
  <c r="B135" i="4"/>
  <c r="A135" i="4"/>
  <c r="AA134" i="4"/>
  <c r="Z134" i="4"/>
  <c r="W134" i="4"/>
  <c r="V134" i="4"/>
  <c r="S134" i="4"/>
  <c r="M134" i="4"/>
  <c r="J134" i="4"/>
  <c r="I134" i="4"/>
  <c r="G134" i="4"/>
  <c r="F134" i="4"/>
  <c r="E134" i="4"/>
  <c r="D134" i="4"/>
  <c r="B134" i="4"/>
  <c r="A134" i="4"/>
  <c r="AA133" i="4"/>
  <c r="Z133" i="4"/>
  <c r="W133" i="4"/>
  <c r="V133" i="4"/>
  <c r="S133" i="4"/>
  <c r="M133" i="4"/>
  <c r="J133" i="4"/>
  <c r="I133" i="4"/>
  <c r="G133" i="4"/>
  <c r="F133" i="4"/>
  <c r="E133" i="4"/>
  <c r="D133" i="4"/>
  <c r="B133" i="4"/>
  <c r="A133" i="4"/>
  <c r="AA132" i="4"/>
  <c r="Z132" i="4"/>
  <c r="W132" i="4"/>
  <c r="V132" i="4"/>
  <c r="S132" i="4"/>
  <c r="M132" i="4"/>
  <c r="J132" i="4"/>
  <c r="I132" i="4"/>
  <c r="G132" i="4"/>
  <c r="F132" i="4"/>
  <c r="E132" i="4"/>
  <c r="D132" i="4"/>
  <c r="B132" i="4"/>
  <c r="A132" i="4"/>
  <c r="AA131" i="4"/>
  <c r="Z131" i="4"/>
  <c r="W131" i="4"/>
  <c r="V131" i="4"/>
  <c r="S131" i="4"/>
  <c r="M131" i="4"/>
  <c r="J131" i="4"/>
  <c r="I131" i="4"/>
  <c r="G131" i="4"/>
  <c r="F131" i="4"/>
  <c r="E131" i="4"/>
  <c r="D131" i="4"/>
  <c r="B131" i="4"/>
  <c r="A131" i="4"/>
  <c r="AA130" i="4"/>
  <c r="Z130" i="4"/>
  <c r="W130" i="4"/>
  <c r="V130" i="4"/>
  <c r="S130" i="4"/>
  <c r="M130" i="4"/>
  <c r="J130" i="4"/>
  <c r="I130" i="4"/>
  <c r="G130" i="4"/>
  <c r="F130" i="4"/>
  <c r="E130" i="4"/>
  <c r="D130" i="4"/>
  <c r="B130" i="4"/>
  <c r="A130" i="4"/>
  <c r="AA129" i="4"/>
  <c r="Z129" i="4"/>
  <c r="W129" i="4"/>
  <c r="V129" i="4"/>
  <c r="S129" i="4"/>
  <c r="M129" i="4"/>
  <c r="J129" i="4"/>
  <c r="I129" i="4"/>
  <c r="G129" i="4"/>
  <c r="F129" i="4"/>
  <c r="E129" i="4"/>
  <c r="D129" i="4"/>
  <c r="B129" i="4"/>
  <c r="A129" i="4"/>
  <c r="AA128" i="4"/>
  <c r="Z128" i="4"/>
  <c r="W128" i="4"/>
  <c r="V128" i="4"/>
  <c r="S128" i="4"/>
  <c r="M128" i="4"/>
  <c r="J128" i="4"/>
  <c r="I128" i="4"/>
  <c r="G128" i="4"/>
  <c r="F128" i="4"/>
  <c r="E128" i="4"/>
  <c r="D128" i="4"/>
  <c r="B128" i="4"/>
  <c r="A128" i="4"/>
  <c r="AA127" i="4"/>
  <c r="Z127" i="4"/>
  <c r="W127" i="4"/>
  <c r="V127" i="4"/>
  <c r="S127" i="4"/>
  <c r="M127" i="4"/>
  <c r="J127" i="4"/>
  <c r="I127" i="4"/>
  <c r="G127" i="4"/>
  <c r="F127" i="4"/>
  <c r="E127" i="4"/>
  <c r="D127" i="4"/>
  <c r="B127" i="4"/>
  <c r="A127" i="4"/>
  <c r="AA126" i="4"/>
  <c r="Z126" i="4"/>
  <c r="W126" i="4"/>
  <c r="V126" i="4"/>
  <c r="S126" i="4"/>
  <c r="M126" i="4"/>
  <c r="J126" i="4"/>
  <c r="I126" i="4"/>
  <c r="G126" i="4"/>
  <c r="F126" i="4"/>
  <c r="E126" i="4"/>
  <c r="D126" i="4"/>
  <c r="B126" i="4"/>
  <c r="A126" i="4"/>
  <c r="AA125" i="4"/>
  <c r="Z125" i="4"/>
  <c r="W125" i="4"/>
  <c r="V125" i="4"/>
  <c r="S125" i="4"/>
  <c r="M125" i="4"/>
  <c r="J125" i="4"/>
  <c r="I125" i="4"/>
  <c r="G125" i="4"/>
  <c r="F125" i="4"/>
  <c r="E125" i="4"/>
  <c r="D125" i="4"/>
  <c r="B125" i="4"/>
  <c r="A125" i="4"/>
  <c r="AA124" i="4"/>
  <c r="Z124" i="4"/>
  <c r="W124" i="4"/>
  <c r="V124" i="4"/>
  <c r="S124" i="4"/>
  <c r="M124" i="4"/>
  <c r="J124" i="4"/>
  <c r="I124" i="4"/>
  <c r="G124" i="4"/>
  <c r="F124" i="4"/>
  <c r="E124" i="4"/>
  <c r="B124" i="4"/>
  <c r="A124" i="4"/>
  <c r="Z123" i="4"/>
  <c r="W123" i="4"/>
  <c r="V123" i="4"/>
  <c r="S123" i="4"/>
  <c r="M123" i="4"/>
  <c r="J123" i="4"/>
  <c r="I123" i="4"/>
  <c r="G123" i="4"/>
  <c r="F123" i="4"/>
  <c r="E123" i="4"/>
  <c r="B123" i="4"/>
  <c r="A123" i="4"/>
  <c r="Z122" i="4"/>
  <c r="W122" i="4"/>
  <c r="V122" i="4"/>
  <c r="S122" i="4"/>
  <c r="M122" i="4"/>
  <c r="J122" i="4"/>
  <c r="I122" i="4"/>
  <c r="G122" i="4"/>
  <c r="F122" i="4"/>
  <c r="E122" i="4"/>
  <c r="B122" i="4"/>
  <c r="A122" i="4"/>
  <c r="Z121" i="4"/>
  <c r="W121" i="4"/>
  <c r="V121" i="4"/>
  <c r="S121" i="4"/>
  <c r="M121" i="4"/>
  <c r="J121" i="4"/>
  <c r="I121" i="4"/>
  <c r="G121" i="4"/>
  <c r="F121" i="4"/>
  <c r="E121" i="4"/>
  <c r="B121" i="4"/>
  <c r="A121" i="4"/>
  <c r="Z120" i="4"/>
  <c r="W120" i="4"/>
  <c r="V120" i="4"/>
  <c r="S120" i="4"/>
  <c r="M120" i="4"/>
  <c r="J120" i="4"/>
  <c r="I120" i="4"/>
  <c r="G120" i="4"/>
  <c r="F120" i="4"/>
  <c r="E120" i="4"/>
  <c r="B120" i="4"/>
  <c r="A120" i="4"/>
  <c r="Z119" i="4"/>
  <c r="W119" i="4"/>
  <c r="V119" i="4"/>
  <c r="S119" i="4"/>
  <c r="M119" i="4"/>
  <c r="J119" i="4"/>
  <c r="I119" i="4"/>
  <c r="G119" i="4"/>
  <c r="F119" i="4"/>
  <c r="E119" i="4"/>
  <c r="B119" i="4"/>
  <c r="A119" i="4"/>
  <c r="Z118" i="4"/>
  <c r="W118" i="4"/>
  <c r="V118" i="4"/>
  <c r="S118" i="4"/>
  <c r="M118" i="4"/>
  <c r="J118" i="4"/>
  <c r="I118" i="4"/>
  <c r="G118" i="4"/>
  <c r="F118" i="4"/>
  <c r="E118" i="4"/>
  <c r="B118" i="4"/>
  <c r="A118" i="4"/>
  <c r="Z117" i="4"/>
  <c r="W117" i="4"/>
  <c r="V117" i="4"/>
  <c r="S117" i="4"/>
  <c r="M117" i="4"/>
  <c r="J117" i="4"/>
  <c r="I117" i="4"/>
  <c r="G117" i="4"/>
  <c r="F117" i="4"/>
  <c r="E117" i="4"/>
  <c r="B117" i="4"/>
  <c r="A117" i="4"/>
  <c r="Z116" i="4"/>
  <c r="W116" i="4"/>
  <c r="V116" i="4"/>
  <c r="S116" i="4"/>
  <c r="M116" i="4"/>
  <c r="J116" i="4"/>
  <c r="I116" i="4"/>
  <c r="G116" i="4"/>
  <c r="F116" i="4"/>
  <c r="E116" i="4"/>
  <c r="B116" i="4"/>
  <c r="A116" i="4"/>
  <c r="Z115" i="4"/>
  <c r="W115" i="4"/>
  <c r="V115" i="4"/>
  <c r="S115" i="4"/>
  <c r="M115" i="4"/>
  <c r="J115" i="4"/>
  <c r="I115" i="4"/>
  <c r="G115" i="4"/>
  <c r="F115" i="4"/>
  <c r="E115" i="4"/>
  <c r="B115" i="4"/>
  <c r="A115" i="4"/>
  <c r="Z114" i="4"/>
  <c r="W114" i="4"/>
  <c r="V114" i="4"/>
  <c r="S114" i="4"/>
  <c r="M114" i="4"/>
  <c r="J114" i="4"/>
  <c r="I114" i="4"/>
  <c r="G114" i="4"/>
  <c r="F114" i="4"/>
  <c r="E114" i="4"/>
  <c r="B114" i="4"/>
  <c r="A114" i="4"/>
  <c r="Z113" i="4"/>
  <c r="W113" i="4"/>
  <c r="V113" i="4"/>
  <c r="S113" i="4"/>
  <c r="M113" i="4"/>
  <c r="J113" i="4"/>
  <c r="I113" i="4"/>
  <c r="G113" i="4"/>
  <c r="F113" i="4"/>
  <c r="E113" i="4"/>
  <c r="B113" i="4"/>
  <c r="A113" i="4"/>
  <c r="AA112" i="4"/>
  <c r="Z112" i="4"/>
  <c r="W112" i="4"/>
  <c r="V112" i="4"/>
  <c r="S112" i="4"/>
  <c r="M112" i="4"/>
  <c r="J112" i="4"/>
  <c r="I112" i="4"/>
  <c r="G112" i="4"/>
  <c r="F112" i="4"/>
  <c r="E112" i="4"/>
  <c r="D112" i="4"/>
  <c r="B112" i="4"/>
  <c r="A112" i="4"/>
  <c r="Z111" i="4"/>
  <c r="W111" i="4"/>
  <c r="V111" i="4"/>
  <c r="S111" i="4"/>
  <c r="M111" i="4"/>
  <c r="J111" i="4"/>
  <c r="I111" i="4"/>
  <c r="G111" i="4"/>
  <c r="F111" i="4"/>
  <c r="E111" i="4"/>
  <c r="B111" i="4"/>
  <c r="A111" i="4"/>
  <c r="Z110" i="4"/>
  <c r="W110" i="4"/>
  <c r="V110" i="4"/>
  <c r="S110" i="4"/>
  <c r="M110" i="4"/>
  <c r="J110" i="4"/>
  <c r="I110" i="4"/>
  <c r="G110" i="4"/>
  <c r="F110" i="4"/>
  <c r="E110" i="4"/>
  <c r="B110" i="4"/>
  <c r="A110" i="4"/>
  <c r="AA109" i="4"/>
  <c r="Z109" i="4"/>
  <c r="W109" i="4"/>
  <c r="V109" i="4"/>
  <c r="S109" i="4"/>
  <c r="M109" i="4"/>
  <c r="J109" i="4"/>
  <c r="I109" i="4"/>
  <c r="G109" i="4"/>
  <c r="F109" i="4"/>
  <c r="E109" i="4"/>
  <c r="D109" i="4"/>
  <c r="B109" i="4"/>
  <c r="A109" i="4"/>
  <c r="Z108" i="4"/>
  <c r="W108" i="4"/>
  <c r="V108" i="4"/>
  <c r="S108" i="4"/>
  <c r="M108" i="4"/>
  <c r="J108" i="4"/>
  <c r="I108" i="4"/>
  <c r="G108" i="4"/>
  <c r="F108" i="4"/>
  <c r="E108" i="4"/>
  <c r="B108" i="4"/>
  <c r="A108" i="4"/>
  <c r="AA107" i="4"/>
  <c r="Z107" i="4"/>
  <c r="W107" i="4"/>
  <c r="V107" i="4"/>
  <c r="S107" i="4"/>
  <c r="M107" i="4"/>
  <c r="J107" i="4"/>
  <c r="I107" i="4"/>
  <c r="G107" i="4"/>
  <c r="F107" i="4"/>
  <c r="E107" i="4"/>
  <c r="D107" i="4"/>
  <c r="B107" i="4"/>
  <c r="A107" i="4"/>
  <c r="Z106" i="4"/>
  <c r="W106" i="4"/>
  <c r="V106" i="4"/>
  <c r="S106" i="4"/>
  <c r="M106" i="4"/>
  <c r="J106" i="4"/>
  <c r="I106" i="4"/>
  <c r="G106" i="4"/>
  <c r="F106" i="4"/>
  <c r="E106" i="4"/>
  <c r="D106" i="4"/>
  <c r="B106" i="4"/>
  <c r="A106" i="4"/>
  <c r="AA105" i="4"/>
  <c r="Z105" i="4"/>
  <c r="W105" i="4"/>
  <c r="V105" i="4"/>
  <c r="S105" i="4"/>
  <c r="M105" i="4"/>
  <c r="J105" i="4"/>
  <c r="I105" i="4"/>
  <c r="G105" i="4"/>
  <c r="F105" i="4"/>
  <c r="E105" i="4"/>
  <c r="D105" i="4"/>
  <c r="B105" i="4"/>
  <c r="A105" i="4"/>
  <c r="AA104" i="4"/>
  <c r="Z104" i="4"/>
  <c r="W104" i="4"/>
  <c r="V104" i="4"/>
  <c r="S104" i="4"/>
  <c r="M104" i="4"/>
  <c r="J104" i="4"/>
  <c r="I104" i="4"/>
  <c r="G104" i="4"/>
  <c r="F104" i="4"/>
  <c r="E104" i="4"/>
  <c r="D104" i="4"/>
  <c r="B104" i="4"/>
  <c r="A104" i="4"/>
  <c r="AA103" i="4"/>
  <c r="Z103" i="4"/>
  <c r="W103" i="4"/>
  <c r="V103" i="4"/>
  <c r="S103" i="4"/>
  <c r="M103" i="4"/>
  <c r="J103" i="4"/>
  <c r="I103" i="4"/>
  <c r="G103" i="4"/>
  <c r="F103" i="4"/>
  <c r="E103" i="4"/>
  <c r="D103" i="4"/>
  <c r="B103" i="4"/>
  <c r="A103" i="4"/>
  <c r="AA102" i="4"/>
  <c r="Z102" i="4"/>
  <c r="W102" i="4"/>
  <c r="V102" i="4"/>
  <c r="S102" i="4"/>
  <c r="M102" i="4"/>
  <c r="J102" i="4"/>
  <c r="I102" i="4"/>
  <c r="G102" i="4"/>
  <c r="F102" i="4"/>
  <c r="E102" i="4"/>
  <c r="D102" i="4"/>
  <c r="B102" i="4"/>
  <c r="A102" i="4"/>
  <c r="AA101" i="4"/>
  <c r="Z101" i="4"/>
  <c r="W101" i="4"/>
  <c r="V101" i="4"/>
  <c r="S101" i="4"/>
  <c r="M101" i="4"/>
  <c r="J101" i="4"/>
  <c r="I101" i="4"/>
  <c r="G101" i="4"/>
  <c r="F101" i="4"/>
  <c r="E101" i="4"/>
  <c r="D101" i="4"/>
  <c r="B101" i="4"/>
  <c r="A101" i="4"/>
  <c r="AA100" i="4"/>
  <c r="Z100" i="4"/>
  <c r="W100" i="4"/>
  <c r="V100" i="4"/>
  <c r="S100" i="4"/>
  <c r="M100" i="4"/>
  <c r="J100" i="4"/>
  <c r="I100" i="4"/>
  <c r="G100" i="4"/>
  <c r="F100" i="4"/>
  <c r="E100" i="4"/>
  <c r="D100" i="4"/>
  <c r="B100" i="4"/>
  <c r="A100" i="4"/>
  <c r="AA99" i="4"/>
  <c r="Z99" i="4"/>
  <c r="W99" i="4"/>
  <c r="V99" i="4"/>
  <c r="S99" i="4"/>
  <c r="M99" i="4"/>
  <c r="J99" i="4"/>
  <c r="I99" i="4"/>
  <c r="G99" i="4"/>
  <c r="F99" i="4"/>
  <c r="E99" i="4"/>
  <c r="D99" i="4"/>
  <c r="B99" i="4"/>
  <c r="A99" i="4"/>
  <c r="Z98" i="4"/>
  <c r="W98" i="4"/>
  <c r="V98" i="4"/>
  <c r="S98" i="4"/>
  <c r="M98" i="4"/>
  <c r="J98" i="4"/>
  <c r="I98" i="4"/>
  <c r="G98" i="4"/>
  <c r="F98" i="4"/>
  <c r="E98" i="4"/>
  <c r="B98" i="4"/>
  <c r="A98" i="4"/>
  <c r="AA97" i="4"/>
  <c r="Z97" i="4"/>
  <c r="W97" i="4"/>
  <c r="V97" i="4"/>
  <c r="S97" i="4"/>
  <c r="M97" i="4"/>
  <c r="J97" i="4"/>
  <c r="I97" i="4"/>
  <c r="G97" i="4"/>
  <c r="F97" i="4"/>
  <c r="E97" i="4"/>
  <c r="D97" i="4"/>
  <c r="B97" i="4"/>
  <c r="A97" i="4"/>
  <c r="AA96" i="4"/>
  <c r="Z96" i="4"/>
  <c r="W96" i="4"/>
  <c r="V96" i="4"/>
  <c r="S96" i="4"/>
  <c r="M96" i="4"/>
  <c r="J96" i="4"/>
  <c r="I96" i="4"/>
  <c r="G96" i="4"/>
  <c r="F96" i="4"/>
  <c r="E96" i="4"/>
  <c r="D96" i="4"/>
  <c r="B96" i="4"/>
  <c r="A96" i="4"/>
  <c r="Z95" i="4"/>
  <c r="W95" i="4"/>
  <c r="V95" i="4"/>
  <c r="S95" i="4"/>
  <c r="M95" i="4"/>
  <c r="J95" i="4"/>
  <c r="I95" i="4"/>
  <c r="G95" i="4"/>
  <c r="F95" i="4"/>
  <c r="E95" i="4"/>
  <c r="B95" i="4"/>
  <c r="A95" i="4"/>
  <c r="AA94" i="4"/>
  <c r="Z94" i="4"/>
  <c r="W94" i="4"/>
  <c r="V94" i="4"/>
  <c r="S94" i="4"/>
  <c r="M94" i="4"/>
  <c r="J94" i="4"/>
  <c r="I94" i="4"/>
  <c r="G94" i="4"/>
  <c r="F94" i="4"/>
  <c r="E94" i="4"/>
  <c r="D94" i="4"/>
  <c r="B94" i="4"/>
  <c r="A94" i="4"/>
  <c r="AA93" i="4"/>
  <c r="AB92" i="4" s="1"/>
  <c r="Z93" i="4"/>
  <c r="W93" i="4"/>
  <c r="V93" i="4"/>
  <c r="S93" i="4"/>
  <c r="M93" i="4"/>
  <c r="J93" i="4"/>
  <c r="I93" i="4"/>
  <c r="G93" i="4"/>
  <c r="F93" i="4"/>
  <c r="E93" i="4"/>
  <c r="D93" i="4"/>
  <c r="B93" i="4"/>
  <c r="A93" i="4"/>
  <c r="AA92" i="4"/>
  <c r="Z92" i="4"/>
  <c r="W92" i="4"/>
  <c r="V92" i="4"/>
  <c r="S92" i="4"/>
  <c r="M92" i="4"/>
  <c r="J92" i="4"/>
  <c r="I92" i="4"/>
  <c r="G92" i="4"/>
  <c r="F92" i="4"/>
  <c r="E92" i="4"/>
  <c r="D92" i="4"/>
  <c r="B92" i="4"/>
  <c r="A92" i="4"/>
  <c r="AA91" i="4"/>
  <c r="Z91" i="4"/>
  <c r="W91" i="4"/>
  <c r="V91" i="4"/>
  <c r="S91" i="4"/>
  <c r="M91" i="4"/>
  <c r="J91" i="4"/>
  <c r="I91" i="4"/>
  <c r="G91" i="4"/>
  <c r="F91" i="4"/>
  <c r="E91" i="4"/>
  <c r="D91" i="4"/>
  <c r="B91" i="4"/>
  <c r="A91" i="4"/>
  <c r="Z90" i="4"/>
  <c r="W90" i="4"/>
  <c r="V90" i="4"/>
  <c r="S90" i="4"/>
  <c r="M90" i="4"/>
  <c r="J90" i="4"/>
  <c r="I90" i="4"/>
  <c r="G90" i="4"/>
  <c r="F90" i="4"/>
  <c r="E90" i="4"/>
  <c r="B90" i="4"/>
  <c r="A90" i="4"/>
  <c r="Z89" i="4"/>
  <c r="W89" i="4"/>
  <c r="V89" i="4"/>
  <c r="S89" i="4"/>
  <c r="M89" i="4"/>
  <c r="J89" i="4"/>
  <c r="I89" i="4"/>
  <c r="G89" i="4"/>
  <c r="F89" i="4"/>
  <c r="E89" i="4"/>
  <c r="B89" i="4"/>
  <c r="A89" i="4"/>
  <c r="AA88" i="4"/>
  <c r="Z88" i="4"/>
  <c r="W88" i="4"/>
  <c r="V88" i="4"/>
  <c r="S88" i="4"/>
  <c r="M88" i="4"/>
  <c r="J88" i="4"/>
  <c r="I88" i="4"/>
  <c r="G88" i="4"/>
  <c r="F88" i="4"/>
  <c r="E88" i="4"/>
  <c r="D88" i="4"/>
  <c r="B88" i="4"/>
  <c r="A88" i="4"/>
  <c r="AA87" i="4"/>
  <c r="Z87" i="4"/>
  <c r="W87" i="4"/>
  <c r="V87" i="4"/>
  <c r="S87" i="4"/>
  <c r="M87" i="4"/>
  <c r="J87" i="4"/>
  <c r="I87" i="4"/>
  <c r="G87" i="4"/>
  <c r="F87" i="4"/>
  <c r="E87" i="4"/>
  <c r="D87" i="4"/>
  <c r="B87" i="4"/>
  <c r="A87" i="4"/>
  <c r="AA86" i="4"/>
  <c r="Z86" i="4"/>
  <c r="W86" i="4"/>
  <c r="V86" i="4"/>
  <c r="S86" i="4"/>
  <c r="M86" i="4"/>
  <c r="J86" i="4"/>
  <c r="I86" i="4"/>
  <c r="G86" i="4"/>
  <c r="F86" i="4"/>
  <c r="E86" i="4"/>
  <c r="D86" i="4"/>
  <c r="B86" i="4"/>
  <c r="A86" i="4"/>
  <c r="Z85" i="4"/>
  <c r="W85" i="4"/>
  <c r="V85" i="4"/>
  <c r="S85" i="4"/>
  <c r="M85" i="4"/>
  <c r="J85" i="4"/>
  <c r="I85" i="4"/>
  <c r="G85" i="4"/>
  <c r="F85" i="4"/>
  <c r="E85" i="4"/>
  <c r="B85" i="4"/>
  <c r="A85" i="4"/>
  <c r="AA84" i="4"/>
  <c r="Z84" i="4"/>
  <c r="W84" i="4"/>
  <c r="V84" i="4"/>
  <c r="S84" i="4"/>
  <c r="M84" i="4"/>
  <c r="J84" i="4"/>
  <c r="I84" i="4"/>
  <c r="G84" i="4"/>
  <c r="F84" i="4"/>
  <c r="E84" i="4"/>
  <c r="D84" i="4"/>
  <c r="B84" i="4"/>
  <c r="A84" i="4"/>
  <c r="AA83" i="4"/>
  <c r="Z83" i="4"/>
  <c r="W83" i="4"/>
  <c r="V83" i="4"/>
  <c r="S83" i="4"/>
  <c r="M83" i="4"/>
  <c r="J83" i="4"/>
  <c r="I83" i="4"/>
  <c r="G83" i="4"/>
  <c r="F83" i="4"/>
  <c r="E83" i="4"/>
  <c r="D83" i="4"/>
  <c r="B83" i="4"/>
  <c r="A83" i="4"/>
  <c r="AA82" i="4"/>
  <c r="Z82" i="4"/>
  <c r="W82" i="4"/>
  <c r="V82" i="4"/>
  <c r="S82" i="4"/>
  <c r="M82" i="4"/>
  <c r="J82" i="4"/>
  <c r="I82" i="4"/>
  <c r="G82" i="4"/>
  <c r="F82" i="4"/>
  <c r="E82" i="4"/>
  <c r="B82" i="4"/>
  <c r="A82" i="4"/>
  <c r="Z81" i="4"/>
  <c r="W81" i="4"/>
  <c r="V81" i="4"/>
  <c r="S81" i="4"/>
  <c r="M81" i="4"/>
  <c r="J81" i="4"/>
  <c r="I81" i="4"/>
  <c r="G81" i="4"/>
  <c r="F81" i="4"/>
  <c r="E81" i="4"/>
  <c r="B81" i="4"/>
  <c r="A81" i="4"/>
  <c r="Z80" i="4"/>
  <c r="W80" i="4"/>
  <c r="V80" i="4"/>
  <c r="S80" i="4"/>
  <c r="M80" i="4"/>
  <c r="J80" i="4"/>
  <c r="I80" i="4"/>
  <c r="G80" i="4"/>
  <c r="F80" i="4"/>
  <c r="E80" i="4"/>
  <c r="B80" i="4"/>
  <c r="A80" i="4"/>
  <c r="Z79" i="4"/>
  <c r="W79" i="4"/>
  <c r="V79" i="4"/>
  <c r="S79" i="4"/>
  <c r="M79" i="4"/>
  <c r="J79" i="4"/>
  <c r="I79" i="4"/>
  <c r="G79" i="4"/>
  <c r="F79" i="4"/>
  <c r="E79" i="4"/>
  <c r="B79" i="4"/>
  <c r="A79" i="4"/>
  <c r="Z78" i="4"/>
  <c r="W78" i="4"/>
  <c r="V78" i="4"/>
  <c r="S78" i="4"/>
  <c r="M78" i="4"/>
  <c r="J78" i="4"/>
  <c r="I78" i="4"/>
  <c r="G78" i="4"/>
  <c r="F78" i="4"/>
  <c r="E78" i="4"/>
  <c r="D78" i="4"/>
  <c r="B78" i="4"/>
  <c r="A78" i="4"/>
  <c r="Z77" i="4"/>
  <c r="W77" i="4"/>
  <c r="V77" i="4"/>
  <c r="S77" i="4"/>
  <c r="M77" i="4"/>
  <c r="J77" i="4"/>
  <c r="I77" i="4"/>
  <c r="G77" i="4"/>
  <c r="F77" i="4"/>
  <c r="E77" i="4"/>
  <c r="B77" i="4"/>
  <c r="A77" i="4"/>
  <c r="Z76" i="4"/>
  <c r="W76" i="4"/>
  <c r="V76" i="4"/>
  <c r="S76" i="4"/>
  <c r="M76" i="4"/>
  <c r="J76" i="4"/>
  <c r="I76" i="4"/>
  <c r="G76" i="4"/>
  <c r="F76" i="4"/>
  <c r="E76" i="4"/>
  <c r="B76" i="4"/>
  <c r="A76" i="4"/>
  <c r="AA75" i="4"/>
  <c r="Z75" i="4"/>
  <c r="W75" i="4"/>
  <c r="V75" i="4"/>
  <c r="S75" i="4"/>
  <c r="M75" i="4"/>
  <c r="J75" i="4"/>
  <c r="I75" i="4"/>
  <c r="G75" i="4"/>
  <c r="F75" i="4"/>
  <c r="E75" i="4"/>
  <c r="D75" i="4"/>
  <c r="B75" i="4"/>
  <c r="A75" i="4"/>
  <c r="Z74" i="4"/>
  <c r="W74" i="4"/>
  <c r="V74" i="4"/>
  <c r="S74" i="4"/>
  <c r="M74" i="4"/>
  <c r="J74" i="4"/>
  <c r="I74" i="4"/>
  <c r="G74" i="4"/>
  <c r="F74" i="4"/>
  <c r="E74" i="4"/>
  <c r="B74" i="4"/>
  <c r="A74" i="4"/>
  <c r="Z73" i="4"/>
  <c r="W73" i="4"/>
  <c r="V73" i="4"/>
  <c r="Z67" i="4"/>
  <c r="I67" i="4"/>
  <c r="G67" i="4"/>
  <c r="F67" i="4"/>
  <c r="A67" i="4"/>
  <c r="Z66" i="4"/>
  <c r="W66" i="4"/>
  <c r="V66" i="4"/>
  <c r="S66" i="4"/>
  <c r="M66" i="4"/>
  <c r="J66" i="4"/>
  <c r="I66" i="4"/>
  <c r="G66" i="4"/>
  <c r="F66" i="4"/>
  <c r="E66" i="4"/>
  <c r="B66" i="4"/>
  <c r="A66" i="4"/>
  <c r="Z65" i="4"/>
  <c r="W65" i="4"/>
  <c r="V65" i="4"/>
  <c r="S65" i="4"/>
  <c r="M65" i="4"/>
  <c r="J65" i="4"/>
  <c r="I65" i="4"/>
  <c r="G65" i="4"/>
  <c r="F65" i="4"/>
  <c r="E65" i="4"/>
  <c r="B65" i="4"/>
  <c r="A65" i="4"/>
  <c r="AA64" i="4"/>
  <c r="Z64" i="4"/>
  <c r="W64" i="4"/>
  <c r="V64" i="4"/>
  <c r="S64" i="4"/>
  <c r="M64" i="4"/>
  <c r="J64" i="4"/>
  <c r="I64" i="4"/>
  <c r="G64" i="4"/>
  <c r="F64" i="4"/>
  <c r="E64" i="4"/>
  <c r="D64" i="4"/>
  <c r="B64" i="4"/>
  <c r="A64" i="4"/>
  <c r="AA63" i="4"/>
  <c r="Z63" i="4"/>
  <c r="W63" i="4"/>
  <c r="V63" i="4"/>
  <c r="S63" i="4"/>
  <c r="M63" i="4"/>
  <c r="J63" i="4"/>
  <c r="I63" i="4"/>
  <c r="G63" i="4"/>
  <c r="F63" i="4"/>
  <c r="E63" i="4"/>
  <c r="D63" i="4"/>
  <c r="B63" i="4"/>
  <c r="A63" i="4"/>
  <c r="AA62" i="4"/>
  <c r="Z62" i="4"/>
  <c r="W62" i="4"/>
  <c r="V62" i="4"/>
  <c r="S62" i="4"/>
  <c r="M62" i="4"/>
  <c r="J62" i="4"/>
  <c r="I62" i="4"/>
  <c r="G62" i="4"/>
  <c r="F62" i="4"/>
  <c r="E62" i="4"/>
  <c r="D62" i="4"/>
  <c r="B62" i="4"/>
  <c r="A62" i="4"/>
  <c r="AA61" i="4"/>
  <c r="Z61" i="4"/>
  <c r="W61" i="4"/>
  <c r="V61" i="4"/>
  <c r="S61" i="4"/>
  <c r="M61" i="4"/>
  <c r="J61" i="4"/>
  <c r="I61" i="4"/>
  <c r="G61" i="4"/>
  <c r="F61" i="4"/>
  <c r="E61" i="4"/>
  <c r="D61" i="4"/>
  <c r="B61" i="4"/>
  <c r="A61" i="4"/>
  <c r="AA60" i="4"/>
  <c r="Z60" i="4"/>
  <c r="W60" i="4"/>
  <c r="V60" i="4"/>
  <c r="S60" i="4"/>
  <c r="M60" i="4"/>
  <c r="J60" i="4"/>
  <c r="I60" i="4"/>
  <c r="G60" i="4"/>
  <c r="F60" i="4"/>
  <c r="E60" i="4"/>
  <c r="D60" i="4"/>
  <c r="B60" i="4"/>
  <c r="A60" i="4"/>
  <c r="AA59" i="4"/>
  <c r="Z59" i="4"/>
  <c r="W59" i="4"/>
  <c r="V59" i="4"/>
  <c r="S59" i="4"/>
  <c r="M59" i="4"/>
  <c r="J59" i="4"/>
  <c r="I59" i="4"/>
  <c r="G59" i="4"/>
  <c r="F59" i="4"/>
  <c r="E59" i="4"/>
  <c r="D59" i="4"/>
  <c r="B59" i="4"/>
  <c r="A59" i="4"/>
  <c r="AA58" i="4"/>
  <c r="Z58" i="4"/>
  <c r="W58" i="4"/>
  <c r="V58" i="4"/>
  <c r="S58" i="4"/>
  <c r="M58" i="4"/>
  <c r="J58" i="4"/>
  <c r="I58" i="4"/>
  <c r="G58" i="4"/>
  <c r="F58" i="4"/>
  <c r="E58" i="4"/>
  <c r="D58" i="4"/>
  <c r="B58" i="4"/>
  <c r="A58" i="4"/>
  <c r="AA57" i="4"/>
  <c r="Z57" i="4"/>
  <c r="W57" i="4"/>
  <c r="V57" i="4"/>
  <c r="S57" i="4"/>
  <c r="M57" i="4"/>
  <c r="J57" i="4"/>
  <c r="I57" i="4"/>
  <c r="G57" i="4"/>
  <c r="F57" i="4"/>
  <c r="E57" i="4"/>
  <c r="D57" i="4"/>
  <c r="B57" i="4"/>
  <c r="A57" i="4"/>
  <c r="Z56" i="4"/>
  <c r="W56" i="4"/>
  <c r="V56" i="4"/>
  <c r="S56" i="4"/>
  <c r="J56" i="4"/>
  <c r="F56" i="4"/>
  <c r="E56" i="4"/>
  <c r="D56" i="4"/>
  <c r="B56" i="4"/>
  <c r="Z55" i="4"/>
  <c r="I55" i="4"/>
  <c r="G55" i="4"/>
  <c r="E55" i="4"/>
  <c r="D55" i="4"/>
  <c r="B55" i="4"/>
  <c r="Z54" i="4"/>
  <c r="W54" i="4"/>
  <c r="V54" i="4"/>
  <c r="S54" i="4"/>
  <c r="M54" i="4"/>
  <c r="I54" i="4"/>
  <c r="G54" i="4"/>
  <c r="E54" i="4"/>
  <c r="B54" i="4"/>
  <c r="V53" i="4"/>
  <c r="S53" i="4"/>
  <c r="M53" i="4"/>
  <c r="I53" i="4"/>
  <c r="G53" i="4"/>
  <c r="E53" i="4"/>
  <c r="D53" i="4"/>
  <c r="A53" i="4"/>
  <c r="Z52" i="4"/>
  <c r="W52" i="4"/>
  <c r="V52" i="4"/>
  <c r="M52" i="4"/>
  <c r="I52" i="4"/>
  <c r="F52" i="4"/>
  <c r="D52" i="4"/>
  <c r="B52" i="4"/>
  <c r="AA51" i="4"/>
  <c r="W51" i="4"/>
  <c r="V51" i="4"/>
  <c r="J51" i="4"/>
  <c r="F51" i="4"/>
  <c r="B51" i="4"/>
  <c r="Z50" i="4"/>
  <c r="S50" i="4"/>
  <c r="M50" i="4"/>
  <c r="J50" i="4"/>
  <c r="F50" i="4"/>
  <c r="D50" i="4"/>
  <c r="A50" i="4"/>
  <c r="Z49" i="4"/>
  <c r="W49" i="4"/>
  <c r="S49" i="4"/>
  <c r="J49" i="4"/>
  <c r="F49" i="4"/>
  <c r="B49" i="4"/>
  <c r="AA48" i="4"/>
  <c r="V48" i="4"/>
  <c r="S48" i="4"/>
  <c r="M48" i="4"/>
  <c r="I48" i="4"/>
  <c r="G48" i="4"/>
  <c r="E48" i="4"/>
  <c r="D48" i="4"/>
  <c r="B48" i="4"/>
  <c r="A48" i="4"/>
  <c r="V47" i="4"/>
  <c r="J47" i="4"/>
  <c r="F47" i="4"/>
  <c r="B47" i="4"/>
  <c r="Z46" i="4"/>
  <c r="M46" i="4"/>
  <c r="J46" i="4"/>
  <c r="F46" i="4"/>
  <c r="B46" i="4"/>
  <c r="A46" i="4"/>
  <c r="AA45" i="4"/>
  <c r="Z45" i="4"/>
  <c r="W45" i="4"/>
  <c r="V45" i="4"/>
  <c r="S45" i="4"/>
  <c r="M45" i="4"/>
  <c r="J45" i="4"/>
  <c r="I45" i="4"/>
  <c r="G45" i="4"/>
  <c r="F45" i="4"/>
  <c r="E45" i="4"/>
  <c r="D45" i="4"/>
  <c r="B45" i="4"/>
  <c r="A45" i="4"/>
  <c r="AA44" i="4"/>
  <c r="Z44" i="4"/>
  <c r="W44" i="4"/>
  <c r="V44" i="4"/>
  <c r="S44" i="4"/>
  <c r="M44" i="4"/>
  <c r="J44" i="4"/>
  <c r="I44" i="4"/>
  <c r="G44" i="4"/>
  <c r="F44" i="4"/>
  <c r="E44" i="4"/>
  <c r="D44" i="4"/>
  <c r="B44" i="4"/>
  <c r="A44" i="4"/>
  <c r="AA43" i="4"/>
  <c r="Z43" i="4"/>
  <c r="W43" i="4"/>
  <c r="V43" i="4"/>
  <c r="S43" i="4"/>
  <c r="M43" i="4"/>
  <c r="J43" i="4"/>
  <c r="I43" i="4"/>
  <c r="G43" i="4"/>
  <c r="F43" i="4"/>
  <c r="E43" i="4"/>
  <c r="D43" i="4"/>
  <c r="B43" i="4"/>
  <c r="A43" i="4"/>
  <c r="AA42" i="4"/>
  <c r="Z42" i="4"/>
  <c r="W42" i="4"/>
  <c r="V42" i="4"/>
  <c r="S42" i="4"/>
  <c r="M42" i="4"/>
  <c r="J42" i="4"/>
  <c r="I42" i="4"/>
  <c r="G42" i="4"/>
  <c r="F42" i="4"/>
  <c r="E42" i="4"/>
  <c r="D42" i="4"/>
  <c r="B42" i="4"/>
  <c r="A42" i="4"/>
  <c r="AA41" i="4"/>
  <c r="Z41" i="4"/>
  <c r="W41" i="4"/>
  <c r="V41" i="4"/>
  <c r="S41" i="4"/>
  <c r="M41" i="4"/>
  <c r="J41" i="4"/>
  <c r="I41" i="4"/>
  <c r="G41" i="4"/>
  <c r="F41" i="4"/>
  <c r="E41" i="4"/>
  <c r="D41" i="4"/>
  <c r="B41" i="4"/>
  <c r="A41" i="4"/>
  <c r="AA40" i="4"/>
  <c r="Z40" i="4"/>
  <c r="W40" i="4"/>
  <c r="V40" i="4"/>
  <c r="S40" i="4"/>
  <c r="M40" i="4"/>
  <c r="J40" i="4"/>
  <c r="I40" i="4"/>
  <c r="G40" i="4"/>
  <c r="F40" i="4"/>
  <c r="E40" i="4"/>
  <c r="D40" i="4"/>
  <c r="B40" i="4"/>
  <c r="A40" i="4"/>
  <c r="AA39" i="4"/>
  <c r="Z39" i="4"/>
  <c r="W39" i="4"/>
  <c r="V39" i="4"/>
  <c r="S39" i="4"/>
  <c r="M39" i="4"/>
  <c r="J39" i="4"/>
  <c r="I39" i="4"/>
  <c r="G39" i="4"/>
  <c r="F39" i="4"/>
  <c r="E39" i="4"/>
  <c r="D39" i="4"/>
  <c r="B39" i="4"/>
  <c r="A39" i="4"/>
  <c r="AA38" i="4"/>
  <c r="Z38" i="4"/>
  <c r="W38" i="4"/>
  <c r="V38" i="4"/>
  <c r="S38" i="4"/>
  <c r="M38" i="4"/>
  <c r="J38" i="4"/>
  <c r="I38" i="4"/>
  <c r="G38" i="4"/>
  <c r="F38" i="4"/>
  <c r="E38" i="4"/>
  <c r="D38" i="4"/>
  <c r="B38" i="4"/>
  <c r="A38" i="4"/>
  <c r="Z37" i="4"/>
  <c r="W37" i="4"/>
  <c r="V37" i="4"/>
  <c r="S37" i="4"/>
  <c r="M37" i="4"/>
  <c r="J37" i="4"/>
  <c r="I37" i="4"/>
  <c r="G37" i="4"/>
  <c r="F37" i="4"/>
  <c r="E37" i="4"/>
  <c r="B37" i="4"/>
  <c r="A37" i="4"/>
  <c r="AA36" i="4"/>
  <c r="Z36" i="4"/>
  <c r="W36" i="4"/>
  <c r="V36" i="4"/>
  <c r="S36" i="4"/>
  <c r="M36" i="4"/>
  <c r="J36" i="4"/>
  <c r="I36" i="4"/>
  <c r="G36" i="4"/>
  <c r="F36" i="4"/>
  <c r="E36" i="4"/>
  <c r="D36" i="4"/>
  <c r="B36" i="4"/>
  <c r="A36" i="4"/>
  <c r="S73" i="4"/>
  <c r="M73" i="4"/>
  <c r="J73" i="4"/>
  <c r="I73" i="4"/>
  <c r="G73" i="4"/>
  <c r="F73" i="4"/>
  <c r="E73" i="4"/>
  <c r="B73" i="4"/>
  <c r="A73" i="4"/>
  <c r="AA72" i="4"/>
  <c r="Z72" i="4"/>
  <c r="W72" i="4"/>
  <c r="V72" i="4"/>
  <c r="S72" i="4"/>
  <c r="M72" i="4"/>
  <c r="J72" i="4"/>
  <c r="I72" i="4"/>
  <c r="G72" i="4"/>
  <c r="F72" i="4"/>
  <c r="E72" i="4"/>
  <c r="D72" i="4"/>
  <c r="B72" i="4"/>
  <c r="A72" i="4"/>
  <c r="AA67" i="4"/>
  <c r="W67" i="4"/>
  <c r="V67" i="4"/>
  <c r="S67" i="4"/>
  <c r="M67" i="4"/>
  <c r="J67" i="4"/>
  <c r="E67" i="4"/>
  <c r="D67" i="4"/>
  <c r="B67" i="4"/>
  <c r="AA56" i="4"/>
  <c r="M56" i="4"/>
  <c r="I56" i="4"/>
  <c r="G56" i="4"/>
  <c r="A56" i="4"/>
  <c r="AA55" i="4"/>
  <c r="W55" i="4"/>
  <c r="V55" i="4"/>
  <c r="S55" i="4"/>
  <c r="M55" i="4"/>
  <c r="J55" i="4"/>
  <c r="F55" i="4"/>
  <c r="A55" i="4"/>
  <c r="AA54" i="4"/>
  <c r="J54" i="4"/>
  <c r="F54" i="4"/>
  <c r="D54" i="4"/>
  <c r="A54" i="4"/>
  <c r="AA53" i="4"/>
  <c r="AB52" i="4" s="1"/>
  <c r="Z53" i="4"/>
  <c r="W53" i="4"/>
  <c r="J53" i="4"/>
  <c r="F53" i="4"/>
  <c r="B53" i="4"/>
  <c r="AA52" i="4"/>
  <c r="S52" i="4"/>
  <c r="J52" i="4"/>
  <c r="G52" i="4"/>
  <c r="E52" i="4"/>
  <c r="A52" i="4"/>
  <c r="Z51" i="4"/>
  <c r="S51" i="4"/>
  <c r="M51" i="4"/>
  <c r="I51" i="4"/>
  <c r="G51" i="4"/>
  <c r="E51" i="4"/>
  <c r="D51" i="4"/>
  <c r="A51" i="4"/>
  <c r="AA50" i="4"/>
  <c r="AB49" i="4" s="1"/>
  <c r="W50" i="4"/>
  <c r="V50" i="4"/>
  <c r="I50" i="4"/>
  <c r="G50" i="4"/>
  <c r="E50" i="4"/>
  <c r="B50" i="4"/>
  <c r="AA49" i="4"/>
  <c r="V49" i="4"/>
  <c r="M49" i="4"/>
  <c r="I49" i="4"/>
  <c r="G49" i="4"/>
  <c r="E49" i="4"/>
  <c r="D49" i="4"/>
  <c r="A49" i="4"/>
  <c r="Z48" i="4"/>
  <c r="W48" i="4"/>
  <c r="J48" i="4"/>
  <c r="F48" i="4"/>
  <c r="AA47" i="4"/>
  <c r="AB46" i="4" s="1"/>
  <c r="Z47" i="4"/>
  <c r="W47" i="4"/>
  <c r="S47" i="4"/>
  <c r="M47" i="4"/>
  <c r="I47" i="4"/>
  <c r="G47" i="4"/>
  <c r="E47" i="4"/>
  <c r="D47" i="4"/>
  <c r="A47" i="4"/>
  <c r="AA46" i="4"/>
  <c r="AB45" i="4" s="1"/>
  <c r="W46" i="4"/>
  <c r="V46" i="4"/>
  <c r="S46" i="4"/>
  <c r="I46" i="4"/>
  <c r="G46" i="4"/>
  <c r="E46" i="4"/>
  <c r="D46" i="4"/>
  <c r="B10" i="4"/>
  <c r="A10" i="4"/>
  <c r="AA9" i="4"/>
  <c r="Z9" i="4"/>
  <c r="W9" i="4"/>
  <c r="V9" i="4"/>
  <c r="S9" i="4"/>
  <c r="M9" i="4"/>
  <c r="J9" i="4"/>
  <c r="I9" i="4"/>
  <c r="G9" i="4"/>
  <c r="F9" i="4"/>
  <c r="E9" i="4"/>
  <c r="B9" i="4"/>
  <c r="A9" i="4"/>
  <c r="Z8" i="4"/>
  <c r="W8" i="4"/>
  <c r="V8" i="4"/>
  <c r="S8" i="4"/>
  <c r="M8" i="4"/>
  <c r="J8" i="4"/>
  <c r="I8" i="4"/>
  <c r="G8" i="4"/>
  <c r="F8" i="4"/>
  <c r="E8" i="4"/>
  <c r="B8" i="4"/>
  <c r="A8" i="4"/>
  <c r="Z7" i="4"/>
  <c r="W7" i="4"/>
  <c r="V7" i="4"/>
  <c r="S7" i="4"/>
  <c r="M7" i="4"/>
  <c r="J7" i="4"/>
  <c r="I7" i="4"/>
  <c r="G7" i="4"/>
  <c r="F7" i="4"/>
  <c r="E7" i="4"/>
  <c r="B7" i="4"/>
  <c r="A7" i="4"/>
  <c r="Z6" i="4"/>
  <c r="W6" i="4"/>
  <c r="V6" i="4"/>
  <c r="S6" i="4"/>
  <c r="M6" i="4"/>
  <c r="J6" i="4"/>
  <c r="I6" i="4"/>
  <c r="G6" i="4"/>
  <c r="F6" i="4"/>
  <c r="E6" i="4"/>
  <c r="B6" i="4"/>
  <c r="A6" i="4"/>
  <c r="Z5" i="4"/>
  <c r="W5" i="4"/>
  <c r="V5" i="4"/>
  <c r="S5" i="4"/>
  <c r="M5" i="4"/>
  <c r="J5" i="4"/>
  <c r="I5" i="4"/>
  <c r="G5" i="4"/>
  <c r="F5" i="4"/>
  <c r="E5" i="4"/>
  <c r="B5" i="4"/>
  <c r="A5" i="4"/>
  <c r="Z4" i="4"/>
  <c r="W4" i="4"/>
  <c r="V4" i="4"/>
  <c r="S4" i="4"/>
  <c r="M4" i="4"/>
  <c r="J4" i="4"/>
  <c r="I4" i="4"/>
  <c r="G4" i="4"/>
  <c r="F4" i="4"/>
  <c r="E4" i="4"/>
  <c r="B4" i="4"/>
  <c r="A4" i="4"/>
  <c r="Z3" i="4"/>
  <c r="W3" i="4"/>
  <c r="V3" i="4"/>
  <c r="S3" i="4"/>
  <c r="M3" i="4"/>
  <c r="J3" i="4"/>
  <c r="I3" i="4"/>
  <c r="G3" i="4"/>
  <c r="F3" i="4"/>
  <c r="E3" i="4"/>
  <c r="B3" i="4"/>
  <c r="A3" i="4"/>
  <c r="Z2" i="4"/>
  <c r="W2" i="4"/>
  <c r="V2" i="4"/>
  <c r="S2" i="4"/>
  <c r="M2" i="4"/>
  <c r="J2" i="4"/>
  <c r="I2" i="4"/>
  <c r="G2" i="4"/>
  <c r="F2" i="4"/>
  <c r="E2" i="4"/>
  <c r="B2" i="4"/>
  <c r="A2" i="4"/>
  <c r="Y242" i="3"/>
  <c r="X242" i="3"/>
  <c r="M242" i="3"/>
  <c r="N242" i="3" s="1"/>
  <c r="H242" i="3"/>
  <c r="B242" i="3"/>
  <c r="Y241" i="3"/>
  <c r="X241" i="3"/>
  <c r="M241" i="3"/>
  <c r="N241" i="3" s="1"/>
  <c r="H241" i="3"/>
  <c r="B241" i="3"/>
  <c r="Y240" i="3"/>
  <c r="X240" i="3"/>
  <c r="M240" i="3"/>
  <c r="N240" i="3" s="1"/>
  <c r="H240" i="3"/>
  <c r="B240" i="3"/>
  <c r="Y239" i="3"/>
  <c r="X239" i="3"/>
  <c r="M239" i="3"/>
  <c r="N239" i="3" s="1"/>
  <c r="H239" i="3"/>
  <c r="B239" i="3"/>
  <c r="Y238" i="3"/>
  <c r="X238" i="3"/>
  <c r="M238" i="3"/>
  <c r="N238" i="3" s="1"/>
  <c r="H238" i="3"/>
  <c r="B238" i="3"/>
  <c r="Y237" i="3"/>
  <c r="X237" i="3"/>
  <c r="M237" i="3"/>
  <c r="N237" i="3" s="1"/>
  <c r="H237" i="3"/>
  <c r="B237" i="3"/>
  <c r="Y236" i="3"/>
  <c r="X236" i="3"/>
  <c r="M236" i="3"/>
  <c r="N236" i="3" s="1"/>
  <c r="H236" i="3"/>
  <c r="B236" i="3"/>
  <c r="Y235" i="3"/>
  <c r="X235" i="3"/>
  <c r="M235" i="3"/>
  <c r="N235" i="3" s="1"/>
  <c r="H235" i="3"/>
  <c r="B235" i="3"/>
  <c r="Y234" i="3"/>
  <c r="X234" i="3"/>
  <c r="M234" i="3"/>
  <c r="N234" i="3" s="1"/>
  <c r="H234" i="3"/>
  <c r="B234" i="3"/>
  <c r="Y233" i="3"/>
  <c r="X233" i="3"/>
  <c r="M233" i="3"/>
  <c r="N233" i="3" s="1"/>
  <c r="H233" i="3"/>
  <c r="B233" i="3"/>
  <c r="Y232" i="3"/>
  <c r="X232" i="3"/>
  <c r="M232" i="3"/>
  <c r="N232" i="3" s="1"/>
  <c r="H232" i="3"/>
  <c r="B232" i="3"/>
  <c r="Y231" i="3"/>
  <c r="X231" i="3"/>
  <c r="M231" i="3"/>
  <c r="N231" i="3" s="1"/>
  <c r="H231" i="3"/>
  <c r="B231" i="3"/>
  <c r="Y230" i="3"/>
  <c r="X230" i="3"/>
  <c r="M230" i="3"/>
  <c r="N230" i="3" s="1"/>
  <c r="H230" i="3"/>
  <c r="B230" i="3"/>
  <c r="Y229" i="3"/>
  <c r="X229" i="3"/>
  <c r="M229" i="3"/>
  <c r="N229" i="3" s="1"/>
  <c r="H229" i="3"/>
  <c r="B229" i="3"/>
  <c r="Y228" i="3"/>
  <c r="X228" i="3"/>
  <c r="M228" i="3"/>
  <c r="N228" i="3" s="1"/>
  <c r="H228" i="3"/>
  <c r="B228" i="3"/>
  <c r="Y227" i="3"/>
  <c r="X227" i="3"/>
  <c r="M227" i="3"/>
  <c r="N227" i="3" s="1"/>
  <c r="H227" i="3"/>
  <c r="B227" i="3"/>
  <c r="Y226" i="3"/>
  <c r="X226" i="3"/>
  <c r="M226" i="3"/>
  <c r="N226" i="3" s="1"/>
  <c r="H226" i="3"/>
  <c r="B226" i="3"/>
  <c r="Y225" i="3"/>
  <c r="X225" i="3"/>
  <c r="M225" i="3"/>
  <c r="N225" i="3" s="1"/>
  <c r="H225" i="3"/>
  <c r="B225" i="3"/>
  <c r="Y224" i="3"/>
  <c r="X224" i="3"/>
  <c r="M224" i="3"/>
  <c r="N224" i="3" s="1"/>
  <c r="H224" i="3"/>
  <c r="B224" i="3"/>
  <c r="Y223" i="3"/>
  <c r="X223" i="3"/>
  <c r="M223" i="3"/>
  <c r="N223" i="3" s="1"/>
  <c r="H223" i="3"/>
  <c r="B223" i="3"/>
  <c r="Y222" i="3"/>
  <c r="X222" i="3"/>
  <c r="M222" i="3"/>
  <c r="N222" i="3" s="1"/>
  <c r="H222" i="3"/>
  <c r="B222" i="3"/>
  <c r="Y221" i="3"/>
  <c r="X221" i="3"/>
  <c r="M221" i="3"/>
  <c r="N221" i="3" s="1"/>
  <c r="H221" i="3"/>
  <c r="B221" i="3"/>
  <c r="Y220" i="3"/>
  <c r="X220" i="3"/>
  <c r="M220" i="3"/>
  <c r="N220" i="3" s="1"/>
  <c r="H220" i="3"/>
  <c r="B220" i="3"/>
  <c r="Y219" i="3"/>
  <c r="X219" i="3"/>
  <c r="M219" i="3"/>
  <c r="N219" i="3" s="1"/>
  <c r="H219" i="3"/>
  <c r="B219" i="3"/>
  <c r="Y218" i="3"/>
  <c r="X218" i="3"/>
  <c r="M218" i="3"/>
  <c r="N218" i="3" s="1"/>
  <c r="H218" i="3"/>
  <c r="B218" i="3"/>
  <c r="Y217" i="3"/>
  <c r="X217" i="3"/>
  <c r="M217" i="3"/>
  <c r="N217" i="3" s="1"/>
  <c r="H217" i="3"/>
  <c r="B217" i="3"/>
  <c r="Y216" i="3"/>
  <c r="X216" i="3"/>
  <c r="M216" i="3"/>
  <c r="N216" i="3" s="1"/>
  <c r="H216" i="3"/>
  <c r="B216" i="3"/>
  <c r="Y215" i="3"/>
  <c r="X215" i="3"/>
  <c r="M215" i="3"/>
  <c r="N215" i="3" s="1"/>
  <c r="H215" i="3"/>
  <c r="B215" i="3"/>
  <c r="Y214" i="3"/>
  <c r="X214" i="3"/>
  <c r="M214" i="3"/>
  <c r="N214" i="3" s="1"/>
  <c r="H214" i="3"/>
  <c r="B214" i="3"/>
  <c r="Y213" i="3"/>
  <c r="X213" i="3"/>
  <c r="M213" i="3"/>
  <c r="N213" i="3" s="1"/>
  <c r="H213" i="3"/>
  <c r="B213" i="3"/>
  <c r="AK212" i="3"/>
  <c r="N212" i="3"/>
  <c r="X201" i="3"/>
  <c r="M201" i="3"/>
  <c r="N201" i="3" s="1"/>
  <c r="H201" i="3"/>
  <c r="X200" i="3"/>
  <c r="M200" i="3"/>
  <c r="N200" i="3" s="1"/>
  <c r="D200" i="3"/>
  <c r="X199" i="3"/>
  <c r="M199" i="3"/>
  <c r="N199" i="3" s="1"/>
  <c r="H199" i="3"/>
  <c r="B199" i="3"/>
  <c r="X198" i="3"/>
  <c r="H198" i="3"/>
  <c r="D198" i="3"/>
  <c r="X197" i="3"/>
  <c r="M197" i="3"/>
  <c r="N197" i="3" s="1"/>
  <c r="D197" i="3"/>
  <c r="X196" i="3"/>
  <c r="B196" i="3"/>
  <c r="Y195" i="3"/>
  <c r="M195" i="3"/>
  <c r="N195" i="3" s="1"/>
  <c r="H195" i="3"/>
  <c r="X194" i="3"/>
  <c r="M194" i="3"/>
  <c r="N194" i="3" s="1"/>
  <c r="B194" i="3"/>
  <c r="Y193" i="3"/>
  <c r="H193" i="3"/>
  <c r="C193" i="3"/>
  <c r="K193" i="3" s="1"/>
  <c r="L193" i="3" s="1"/>
  <c r="Y192" i="3"/>
  <c r="M192" i="3"/>
  <c r="N192" i="3" s="1"/>
  <c r="H192" i="3"/>
  <c r="B192" i="3"/>
  <c r="Y191" i="3"/>
  <c r="M191" i="3"/>
  <c r="N191" i="3" s="1"/>
  <c r="D191" i="3"/>
  <c r="Y190" i="3"/>
  <c r="X190" i="3"/>
  <c r="M190" i="3"/>
  <c r="N190" i="3" s="1"/>
  <c r="H190" i="3"/>
  <c r="B190" i="3"/>
  <c r="Y189" i="3"/>
  <c r="H189" i="3"/>
  <c r="B189" i="3"/>
  <c r="Y188" i="3"/>
  <c r="M188" i="3"/>
  <c r="N188" i="3" s="1"/>
  <c r="X187" i="3"/>
  <c r="M187" i="3"/>
  <c r="N187" i="3" s="1"/>
  <c r="H187" i="3"/>
  <c r="X186" i="3"/>
  <c r="B186" i="3"/>
  <c r="X185" i="3"/>
  <c r="D185" i="3"/>
  <c r="X184" i="3"/>
  <c r="M184" i="3"/>
  <c r="N184" i="3" s="1"/>
  <c r="B184" i="3"/>
  <c r="Y183" i="3"/>
  <c r="H183" i="3"/>
  <c r="D183" i="3"/>
  <c r="Y182" i="3"/>
  <c r="M182" i="3"/>
  <c r="N182" i="3" s="1"/>
  <c r="H182" i="3"/>
  <c r="B182" i="3"/>
  <c r="X181" i="3"/>
  <c r="X180" i="3"/>
  <c r="B180" i="3"/>
  <c r="Y179" i="3"/>
  <c r="H179" i="3"/>
  <c r="D179" i="3"/>
  <c r="X178" i="3"/>
  <c r="H178" i="3"/>
  <c r="D178" i="3"/>
  <c r="Y177" i="3"/>
  <c r="H177" i="3"/>
  <c r="D177" i="3"/>
  <c r="Y153" i="3"/>
  <c r="AK153" i="3" s="1"/>
  <c r="M153" i="3"/>
  <c r="N153" i="3" s="1"/>
  <c r="H153" i="3"/>
  <c r="B153" i="3"/>
  <c r="Y152" i="3"/>
  <c r="B152" i="3"/>
  <c r="X151" i="3"/>
  <c r="M151" i="3"/>
  <c r="N151" i="3" s="1"/>
  <c r="D151" i="3"/>
  <c r="X150" i="3"/>
  <c r="D150" i="3"/>
  <c r="X149" i="3"/>
  <c r="H149" i="3"/>
  <c r="D149" i="3"/>
  <c r="Y148" i="3"/>
  <c r="AK148" i="3" s="1"/>
  <c r="M148" i="3"/>
  <c r="N148" i="3" s="1"/>
  <c r="B148" i="3"/>
  <c r="M147" i="3"/>
  <c r="N147" i="3" s="1"/>
  <c r="B147" i="3"/>
  <c r="Y146" i="3"/>
  <c r="AK146" i="3" s="1"/>
  <c r="H146" i="3"/>
  <c r="Y145" i="3"/>
  <c r="AK145" i="3" s="1"/>
  <c r="H145" i="3"/>
  <c r="B145" i="3"/>
  <c r="X144" i="3"/>
  <c r="M144" i="3"/>
  <c r="N144" i="3" s="1"/>
  <c r="B143" i="3"/>
  <c r="Y142" i="3"/>
  <c r="O142" i="3"/>
  <c r="D142" i="3"/>
  <c r="X112" i="3"/>
  <c r="X111" i="3"/>
  <c r="M111" i="3"/>
  <c r="N111" i="3" s="1"/>
  <c r="B111" i="3"/>
  <c r="Y110" i="3"/>
  <c r="M109" i="3"/>
  <c r="N109" i="3" s="1"/>
  <c r="Y108" i="3"/>
  <c r="B108" i="3"/>
  <c r="D107" i="3"/>
  <c r="D100" i="3"/>
  <c r="X99" i="3"/>
  <c r="M99" i="3"/>
  <c r="N99" i="3" s="1"/>
  <c r="X98" i="3"/>
  <c r="B98" i="3"/>
  <c r="D97" i="3"/>
  <c r="M96" i="3"/>
  <c r="N96" i="3" s="1"/>
  <c r="D96" i="3"/>
  <c r="H95" i="3"/>
  <c r="B95" i="3"/>
  <c r="Y94" i="3"/>
  <c r="O94" i="3"/>
  <c r="X93" i="3"/>
  <c r="H93" i="3"/>
  <c r="Y92" i="3"/>
  <c r="X91" i="3"/>
  <c r="M91" i="3"/>
  <c r="N91" i="3" s="1"/>
  <c r="Y90" i="3"/>
  <c r="B90" i="3"/>
  <c r="X89" i="3"/>
  <c r="B89" i="3"/>
  <c r="M87" i="3"/>
  <c r="N87" i="3" s="1"/>
  <c r="D87" i="3"/>
  <c r="Y85" i="3"/>
  <c r="H85" i="3"/>
  <c r="B85" i="3"/>
  <c r="Y84" i="3"/>
  <c r="H84" i="3"/>
  <c r="X83" i="3"/>
  <c r="Y82" i="3"/>
  <c r="H81" i="3"/>
  <c r="B81" i="3"/>
  <c r="Y79" i="3"/>
  <c r="Y78" i="3"/>
  <c r="O78" i="3"/>
  <c r="Y77" i="3"/>
  <c r="X76" i="3"/>
  <c r="O75" i="3"/>
  <c r="Y74" i="3"/>
  <c r="M74" i="3"/>
  <c r="N74" i="3" s="1"/>
  <c r="X73" i="3"/>
  <c r="M73" i="3"/>
  <c r="N73" i="3" s="1"/>
  <c r="B73" i="3"/>
  <c r="Y72" i="3"/>
  <c r="D72" i="3"/>
  <c r="AK71" i="3"/>
  <c r="X37" i="3"/>
  <c r="H37" i="3"/>
  <c r="B37" i="3"/>
  <c r="X36" i="3"/>
  <c r="AE200" i="5"/>
  <c r="V200" i="5"/>
  <c r="K200" i="5"/>
  <c r="H200" i="5"/>
  <c r="AN199" i="5"/>
  <c r="AK199" i="5"/>
  <c r="AH199" i="5"/>
  <c r="V199" i="5"/>
  <c r="S199" i="5"/>
  <c r="M199" i="5"/>
  <c r="I199" i="5"/>
  <c r="B199" i="5"/>
  <c r="J171" i="5"/>
  <c r="AG170" i="5"/>
  <c r="U170" i="5"/>
  <c r="N170" i="5"/>
  <c r="T169" i="5"/>
  <c r="N169" i="5"/>
  <c r="AH168" i="5"/>
  <c r="AA168" i="5"/>
  <c r="S168" i="5"/>
  <c r="K168" i="5"/>
  <c r="G168" i="5"/>
  <c r="AB167" i="5"/>
  <c r="T167" i="5"/>
  <c r="N167" i="5"/>
  <c r="G167" i="5"/>
  <c r="Z166" i="5"/>
  <c r="Q166" i="5"/>
  <c r="E166" i="5"/>
  <c r="AH165" i="5"/>
  <c r="AB165" i="5"/>
  <c r="U165" i="5"/>
  <c r="M165" i="5"/>
  <c r="J165" i="5"/>
  <c r="B165" i="5"/>
  <c r="AG164" i="5"/>
  <c r="Z164" i="5"/>
  <c r="I164" i="5"/>
  <c r="AO163" i="5"/>
  <c r="AI163" i="5"/>
  <c r="AB163" i="5"/>
  <c r="S163" i="5"/>
  <c r="I163" i="5"/>
  <c r="AO162" i="5"/>
  <c r="AL162" i="5"/>
  <c r="AH162" i="5"/>
  <c r="AA162" i="5"/>
  <c r="P162" i="5"/>
  <c r="D162" i="5"/>
  <c r="AL161" i="5"/>
  <c r="AG161" i="5"/>
  <c r="AA161" i="5"/>
  <c r="S161" i="5"/>
  <c r="M161" i="5"/>
  <c r="G161" i="5"/>
  <c r="AH160" i="5"/>
  <c r="AA160" i="5"/>
  <c r="P160" i="5"/>
  <c r="G160" i="5"/>
  <c r="AF159" i="5"/>
  <c r="N159" i="5"/>
  <c r="AB158" i="5"/>
  <c r="S158" i="5"/>
  <c r="J158" i="5"/>
  <c r="N157" i="5"/>
  <c r="B157" i="5"/>
  <c r="AH156" i="5"/>
  <c r="AA156" i="5"/>
  <c r="S156" i="5"/>
  <c r="J156" i="5"/>
  <c r="W155" i="5"/>
  <c r="K155" i="5"/>
  <c r="AO154" i="5"/>
  <c r="AH154" i="5"/>
  <c r="H212" i="3"/>
  <c r="B212" i="3"/>
  <c r="Y211" i="3"/>
  <c r="X211" i="3"/>
  <c r="M211" i="3"/>
  <c r="N211" i="3" s="1"/>
  <c r="H211" i="3"/>
  <c r="B211" i="3"/>
  <c r="Y210" i="3"/>
  <c r="X210" i="3"/>
  <c r="M210" i="3"/>
  <c r="N210" i="3" s="1"/>
  <c r="H210" i="3"/>
  <c r="B210" i="3"/>
  <c r="Y209" i="3"/>
  <c r="X209" i="3"/>
  <c r="M209" i="3"/>
  <c r="N209" i="3" s="1"/>
  <c r="H209" i="3"/>
  <c r="B209" i="3"/>
  <c r="Y208" i="3"/>
  <c r="X208" i="3"/>
  <c r="M208" i="3"/>
  <c r="N208" i="3" s="1"/>
  <c r="H208" i="3"/>
  <c r="B208" i="3"/>
  <c r="Y207" i="3"/>
  <c r="X207" i="3"/>
  <c r="M207" i="3"/>
  <c r="N207" i="3" s="1"/>
  <c r="H207" i="3"/>
  <c r="B207" i="3"/>
  <c r="Y206" i="3"/>
  <c r="X206" i="3"/>
  <c r="M206" i="3"/>
  <c r="N206" i="3" s="1"/>
  <c r="H206" i="3"/>
  <c r="B206" i="3"/>
  <c r="Y205" i="3"/>
  <c r="X205" i="3"/>
  <c r="M205" i="3"/>
  <c r="N205" i="3" s="1"/>
  <c r="H205" i="3"/>
  <c r="B205" i="3"/>
  <c r="Y204" i="3"/>
  <c r="X204" i="3"/>
  <c r="M204" i="3"/>
  <c r="N204" i="3" s="1"/>
  <c r="H204" i="3"/>
  <c r="B204" i="3"/>
  <c r="Y203" i="3"/>
  <c r="X203" i="3"/>
  <c r="M203" i="3"/>
  <c r="N203" i="3" s="1"/>
  <c r="H203" i="3"/>
  <c r="B203" i="3"/>
  <c r="Y202" i="3"/>
  <c r="X202" i="3"/>
  <c r="M202" i="3"/>
  <c r="N202" i="3" s="1"/>
  <c r="H202" i="3"/>
  <c r="B202" i="3"/>
  <c r="Y201" i="3"/>
  <c r="B201" i="3"/>
  <c r="Y200" i="3"/>
  <c r="H200" i="3"/>
  <c r="B200" i="3"/>
  <c r="Y199" i="3"/>
  <c r="Y198" i="3"/>
  <c r="M198" i="3"/>
  <c r="N198" i="3" s="1"/>
  <c r="B198" i="3"/>
  <c r="Y197" i="3"/>
  <c r="H197" i="3"/>
  <c r="B197" i="3"/>
  <c r="Y196" i="3"/>
  <c r="M196" i="3"/>
  <c r="N196" i="3" s="1"/>
  <c r="H196" i="3"/>
  <c r="X195" i="3"/>
  <c r="B195" i="3"/>
  <c r="Y194" i="3"/>
  <c r="H194" i="3"/>
  <c r="X193" i="3"/>
  <c r="M193" i="3"/>
  <c r="N193" i="3" s="1"/>
  <c r="D193" i="3"/>
  <c r="X192" i="3"/>
  <c r="X191" i="3"/>
  <c r="H191" i="3"/>
  <c r="B191" i="3"/>
  <c r="X189" i="3"/>
  <c r="M189" i="3"/>
  <c r="N189" i="3" s="1"/>
  <c r="X188" i="3"/>
  <c r="H188" i="3"/>
  <c r="B188" i="3"/>
  <c r="Y187" i="3"/>
  <c r="B187" i="3"/>
  <c r="Y186" i="3"/>
  <c r="M186" i="3"/>
  <c r="N186" i="3" s="1"/>
  <c r="H186" i="3"/>
  <c r="Y185" i="3"/>
  <c r="M185" i="3"/>
  <c r="N185" i="3" s="1"/>
  <c r="H185" i="3"/>
  <c r="B185" i="3"/>
  <c r="Y184" i="3"/>
  <c r="H184" i="3"/>
  <c r="X183" i="3"/>
  <c r="M183" i="3"/>
  <c r="N183" i="3" s="1"/>
  <c r="B183" i="3"/>
  <c r="X182" i="3"/>
  <c r="Y181" i="3"/>
  <c r="M181" i="3"/>
  <c r="N181" i="3" s="1"/>
  <c r="H181" i="3"/>
  <c r="B181" i="3"/>
  <c r="Y180" i="3"/>
  <c r="M180" i="3"/>
  <c r="N180" i="3" s="1"/>
  <c r="H180" i="3"/>
  <c r="X179" i="3"/>
  <c r="M179" i="3"/>
  <c r="N179" i="3" s="1"/>
  <c r="B179" i="3"/>
  <c r="Y178" i="3"/>
  <c r="M178" i="3"/>
  <c r="N178" i="3" s="1"/>
  <c r="B178" i="3"/>
  <c r="X177" i="3"/>
  <c r="M177" i="3"/>
  <c r="N177" i="3" s="1"/>
  <c r="B177" i="3"/>
  <c r="X153" i="3"/>
  <c r="M152" i="3"/>
  <c r="N152" i="3" s="1"/>
  <c r="H152" i="3"/>
  <c r="H151" i="3"/>
  <c r="B151" i="3"/>
  <c r="M150" i="3"/>
  <c r="N150" i="3" s="1"/>
  <c r="Y149" i="3"/>
  <c r="M149" i="3"/>
  <c r="N149" i="3" s="1"/>
  <c r="B149" i="3"/>
  <c r="X148" i="3"/>
  <c r="Y147" i="3"/>
  <c r="X146" i="3"/>
  <c r="M146" i="3"/>
  <c r="N146" i="3" s="1"/>
  <c r="B146" i="3"/>
  <c r="X145" i="3"/>
  <c r="Y144" i="3"/>
  <c r="B144" i="3"/>
  <c r="X143" i="3"/>
  <c r="M143" i="3"/>
  <c r="N143" i="3" s="1"/>
  <c r="X142" i="3"/>
  <c r="H142" i="3"/>
  <c r="B142" i="3"/>
  <c r="Y112" i="3"/>
  <c r="D112" i="3"/>
  <c r="Y111" i="3"/>
  <c r="M110" i="3"/>
  <c r="N110" i="3" s="1"/>
  <c r="H110" i="3"/>
  <c r="Y109" i="3"/>
  <c r="H109" i="3"/>
  <c r="B109" i="3"/>
  <c r="M108" i="3"/>
  <c r="N108" i="3" s="1"/>
  <c r="B107" i="3"/>
  <c r="Y98" i="3"/>
  <c r="M98" i="3"/>
  <c r="N98" i="3" s="1"/>
  <c r="Y97" i="3"/>
  <c r="H97" i="3"/>
  <c r="B97" i="3"/>
  <c r="Y96" i="3"/>
  <c r="X95" i="3"/>
  <c r="M95" i="3"/>
  <c r="N95" i="3" s="1"/>
  <c r="H94" i="3"/>
  <c r="D94" i="3"/>
  <c r="M93" i="3"/>
  <c r="N93" i="3" s="1"/>
  <c r="B93" i="3"/>
  <c r="M92" i="3"/>
  <c r="N92" i="3" s="1"/>
  <c r="B92" i="3"/>
  <c r="Y91" i="3"/>
  <c r="H91" i="3"/>
  <c r="B91" i="3"/>
  <c r="M90" i="3"/>
  <c r="N90" i="3" s="1"/>
  <c r="H90" i="3"/>
  <c r="H89" i="3"/>
  <c r="B88" i="3"/>
  <c r="H87" i="3"/>
  <c r="Y86" i="3"/>
  <c r="B86" i="3"/>
  <c r="B82" i="3"/>
  <c r="Y81" i="3"/>
  <c r="M81" i="3"/>
  <c r="N81" i="3" s="1"/>
  <c r="Y80" i="3"/>
  <c r="D80" i="3"/>
  <c r="X79" i="3"/>
  <c r="H79" i="3"/>
  <c r="X78" i="3"/>
  <c r="X77" i="3"/>
  <c r="M76" i="3"/>
  <c r="N76" i="3" s="1"/>
  <c r="D75" i="3"/>
  <c r="H74" i="3"/>
  <c r="H73" i="3"/>
  <c r="H72" i="3"/>
  <c r="Y37" i="3"/>
  <c r="M36" i="3"/>
  <c r="N36" i="3" s="1"/>
  <c r="AC200" i="5"/>
  <c r="Q200" i="5"/>
  <c r="C200" i="5"/>
  <c r="AF199" i="5"/>
  <c r="Z199" i="5"/>
  <c r="N199" i="5"/>
  <c r="D199" i="5"/>
  <c r="M171" i="5"/>
  <c r="H171" i="5"/>
  <c r="AL170" i="5"/>
  <c r="AA170" i="5"/>
  <c r="S170" i="5"/>
  <c r="K170" i="5"/>
  <c r="AK169" i="5"/>
  <c r="AG169" i="5"/>
  <c r="AB169" i="5"/>
  <c r="W169" i="5"/>
  <c r="K169" i="5"/>
  <c r="Y168" i="5"/>
  <c r="Q168" i="5"/>
  <c r="Z167" i="5"/>
  <c r="M167" i="5"/>
  <c r="H167" i="5"/>
  <c r="AO166" i="5"/>
  <c r="AL166" i="5"/>
  <c r="AG166" i="5"/>
  <c r="AB166" i="5"/>
  <c r="M166" i="5"/>
  <c r="H166" i="5"/>
  <c r="AN165" i="5"/>
  <c r="AI165" i="5"/>
  <c r="Z165" i="5"/>
  <c r="H165" i="5"/>
  <c r="AL164" i="5"/>
  <c r="W164" i="5"/>
  <c r="P164" i="5"/>
  <c r="G164" i="5"/>
  <c r="V163" i="5"/>
  <c r="M163" i="5"/>
  <c r="H163" i="5"/>
  <c r="W162" i="5"/>
  <c r="Q162" i="5"/>
  <c r="G162" i="5"/>
  <c r="E162" i="5"/>
  <c r="AI161" i="5"/>
  <c r="Z161" i="5"/>
  <c r="T161" i="5"/>
  <c r="O161" i="5"/>
  <c r="W160" i="5"/>
  <c r="S160" i="5"/>
  <c r="M160" i="5"/>
  <c r="H160" i="5"/>
  <c r="AM159" i="5"/>
  <c r="AI159" i="5"/>
  <c r="Y159" i="5"/>
  <c r="V159" i="5"/>
  <c r="Q159" i="5"/>
  <c r="D159" i="5"/>
  <c r="AM158" i="5"/>
  <c r="AC158" i="5"/>
  <c r="Y158" i="5"/>
  <c r="P158" i="5"/>
  <c r="C158" i="5"/>
  <c r="AE157" i="5"/>
  <c r="Y157" i="5"/>
  <c r="S157" i="5"/>
  <c r="M157" i="5"/>
  <c r="I157" i="5"/>
  <c r="AC156" i="5"/>
  <c r="T156" i="5"/>
  <c r="H156" i="5"/>
  <c r="AG155" i="5"/>
  <c r="AB155" i="5"/>
  <c r="P155" i="5"/>
  <c r="G155" i="5"/>
  <c r="Z154" i="5"/>
  <c r="P154" i="5"/>
  <c r="H154" i="5"/>
  <c r="Y176" i="3"/>
  <c r="X176" i="3"/>
  <c r="M176" i="3"/>
  <c r="N176" i="3" s="1"/>
  <c r="H176" i="3"/>
  <c r="B176" i="3"/>
  <c r="Y175" i="3"/>
  <c r="X175" i="3"/>
  <c r="M175" i="3"/>
  <c r="N175" i="3" s="1"/>
  <c r="H175" i="3"/>
  <c r="B175" i="3"/>
  <c r="Y174" i="3"/>
  <c r="X174" i="3"/>
  <c r="M174" i="3"/>
  <c r="N174" i="3" s="1"/>
  <c r="H174" i="3"/>
  <c r="B174" i="3"/>
  <c r="Y173" i="3"/>
  <c r="X173" i="3"/>
  <c r="M173" i="3"/>
  <c r="N173" i="3" s="1"/>
  <c r="H173" i="3"/>
  <c r="B173" i="3"/>
  <c r="Y172" i="3"/>
  <c r="X172" i="3"/>
  <c r="M172" i="3"/>
  <c r="N172" i="3" s="1"/>
  <c r="H172" i="3"/>
  <c r="B172" i="3"/>
  <c r="Y171" i="3"/>
  <c r="X171" i="3"/>
  <c r="M171" i="3"/>
  <c r="N171" i="3" s="1"/>
  <c r="H171" i="3"/>
  <c r="B171" i="3"/>
  <c r="Y170" i="3"/>
  <c r="X170" i="3"/>
  <c r="M170" i="3"/>
  <c r="N170" i="3" s="1"/>
  <c r="H170" i="3"/>
  <c r="B170" i="3"/>
  <c r="Y169" i="3"/>
  <c r="X169" i="3"/>
  <c r="M169" i="3"/>
  <c r="N169" i="3" s="1"/>
  <c r="H169" i="3"/>
  <c r="B169" i="3"/>
  <c r="Y168" i="3"/>
  <c r="X168" i="3"/>
  <c r="M168" i="3"/>
  <c r="N168" i="3" s="1"/>
  <c r="H168" i="3"/>
  <c r="B168" i="3"/>
  <c r="Y167" i="3"/>
  <c r="X167" i="3"/>
  <c r="M167" i="3"/>
  <c r="N167" i="3" s="1"/>
  <c r="H167" i="3"/>
  <c r="B167" i="3"/>
  <c r="Y166" i="3"/>
  <c r="X166" i="3"/>
  <c r="M166" i="3"/>
  <c r="N166" i="3" s="1"/>
  <c r="H166" i="3"/>
  <c r="B166" i="3"/>
  <c r="Y165" i="3"/>
  <c r="X165" i="3"/>
  <c r="M165" i="3"/>
  <c r="N165" i="3" s="1"/>
  <c r="H165" i="3"/>
  <c r="B165" i="3"/>
  <c r="Y164" i="3"/>
  <c r="X164" i="3"/>
  <c r="M164" i="3"/>
  <c r="N164" i="3" s="1"/>
  <c r="H164" i="3"/>
  <c r="B164" i="3"/>
  <c r="Y163" i="3"/>
  <c r="X163" i="3"/>
  <c r="M163" i="3"/>
  <c r="N163" i="3" s="1"/>
  <c r="H163" i="3"/>
  <c r="B163" i="3"/>
  <c r="Y162" i="3"/>
  <c r="X162" i="3"/>
  <c r="M162" i="3"/>
  <c r="N162" i="3" s="1"/>
  <c r="H162" i="3"/>
  <c r="B162" i="3"/>
  <c r="Y161" i="3"/>
  <c r="X161" i="3"/>
  <c r="M161" i="3"/>
  <c r="N161" i="3" s="1"/>
  <c r="H161" i="3"/>
  <c r="B161" i="3"/>
  <c r="Y160" i="3"/>
  <c r="X160" i="3"/>
  <c r="M160" i="3"/>
  <c r="N160" i="3" s="1"/>
  <c r="H160" i="3"/>
  <c r="B160" i="3"/>
  <c r="Y159" i="3"/>
  <c r="X159" i="3"/>
  <c r="M159" i="3"/>
  <c r="N159" i="3" s="1"/>
  <c r="H159" i="3"/>
  <c r="B159" i="3"/>
  <c r="Y158" i="3"/>
  <c r="X158" i="3"/>
  <c r="M158" i="3"/>
  <c r="N158" i="3" s="1"/>
  <c r="H158" i="3"/>
  <c r="B158" i="3"/>
  <c r="Y157" i="3"/>
  <c r="X157" i="3"/>
  <c r="M157" i="3"/>
  <c r="N157" i="3" s="1"/>
  <c r="H157" i="3"/>
  <c r="B157" i="3"/>
  <c r="Y156" i="3"/>
  <c r="X156" i="3"/>
  <c r="M156" i="3"/>
  <c r="N156" i="3" s="1"/>
  <c r="H156" i="3"/>
  <c r="B156" i="3"/>
  <c r="Y155" i="3"/>
  <c r="X155" i="3"/>
  <c r="M155" i="3"/>
  <c r="N155" i="3" s="1"/>
  <c r="H155" i="3"/>
  <c r="B155" i="3"/>
  <c r="Y154" i="3"/>
  <c r="X154" i="3"/>
  <c r="M154" i="3"/>
  <c r="N154" i="3" s="1"/>
  <c r="H154" i="3"/>
  <c r="B154" i="3"/>
  <c r="X152" i="3"/>
  <c r="Y151" i="3"/>
  <c r="Y150" i="3"/>
  <c r="H150" i="3"/>
  <c r="B150" i="3"/>
  <c r="AA149" i="3"/>
  <c r="H148" i="3"/>
  <c r="X147" i="3"/>
  <c r="H147" i="3"/>
  <c r="D146" i="3"/>
  <c r="M145" i="3"/>
  <c r="N145" i="3" s="1"/>
  <c r="H144" i="3"/>
  <c r="D144" i="3"/>
  <c r="Y143" i="3"/>
  <c r="AK143" i="3" s="1"/>
  <c r="H143" i="3"/>
  <c r="M142" i="3"/>
  <c r="N142" i="3" s="1"/>
  <c r="H112" i="3"/>
  <c r="B112" i="3"/>
  <c r="H111" i="3"/>
  <c r="X109" i="3"/>
  <c r="Y107" i="3"/>
  <c r="AK106" i="3"/>
  <c r="H98" i="3"/>
  <c r="X97" i="3"/>
  <c r="M97" i="3"/>
  <c r="N97" i="3" s="1"/>
  <c r="X96" i="3"/>
  <c r="H96" i="3"/>
  <c r="B96" i="3"/>
  <c r="B94" i="3"/>
  <c r="X92" i="3"/>
  <c r="X90" i="3"/>
  <c r="Y89" i="3"/>
  <c r="Y88" i="3"/>
  <c r="M88" i="3"/>
  <c r="N88" i="3" s="1"/>
  <c r="Y87" i="3"/>
  <c r="X86" i="3"/>
  <c r="M86" i="3"/>
  <c r="N86" i="3" s="1"/>
  <c r="H86" i="3"/>
  <c r="X84" i="3"/>
  <c r="B84" i="3"/>
  <c r="M83" i="3"/>
  <c r="N83" i="3" s="1"/>
  <c r="B83" i="3"/>
  <c r="X82" i="3"/>
  <c r="X81" i="3"/>
  <c r="B80" i="3"/>
  <c r="M79" i="3"/>
  <c r="N79" i="3" s="1"/>
  <c r="B78" i="3"/>
  <c r="H77" i="3"/>
  <c r="Y76" i="3"/>
  <c r="X75" i="3"/>
  <c r="H75" i="3"/>
  <c r="B75" i="3"/>
  <c r="X74" i="3"/>
  <c r="Y73" i="3"/>
  <c r="M72" i="3"/>
  <c r="N72" i="3" s="1"/>
  <c r="N71" i="3"/>
  <c r="X39" i="3"/>
  <c r="B38" i="3"/>
  <c r="Y36" i="3"/>
  <c r="H36" i="3"/>
  <c r="Y200" i="5"/>
  <c r="M200" i="5"/>
  <c r="I200" i="5"/>
  <c r="AO199" i="5"/>
  <c r="AM199" i="5"/>
  <c r="AI199" i="5"/>
  <c r="AC199" i="5"/>
  <c r="W199" i="5"/>
  <c r="T199" i="5"/>
  <c r="O199" i="5"/>
  <c r="C199" i="5"/>
  <c r="I171" i="5"/>
  <c r="AB170" i="5"/>
  <c r="T170" i="5"/>
  <c r="P170" i="5"/>
  <c r="C170" i="5"/>
  <c r="AH169" i="5"/>
  <c r="AC169" i="5"/>
  <c r="Z169" i="5"/>
  <c r="Q169" i="5"/>
  <c r="G169" i="5"/>
  <c r="AE168" i="5"/>
  <c r="Z168" i="5"/>
  <c r="N168" i="5"/>
  <c r="AC167" i="5"/>
  <c r="K167" i="5"/>
  <c r="AA166" i="5"/>
  <c r="S166" i="5"/>
  <c r="J166" i="5"/>
  <c r="W165" i="5"/>
  <c r="O165" i="5"/>
  <c r="G165" i="5"/>
  <c r="C165" i="5"/>
  <c r="AF164" i="5"/>
  <c r="T164" i="5"/>
  <c r="O164" i="5"/>
  <c r="AC163" i="5"/>
  <c r="U163" i="5"/>
  <c r="K163" i="5"/>
  <c r="AN162" i="5"/>
  <c r="AK162" i="5"/>
  <c r="AG162" i="5"/>
  <c r="Z162" i="5"/>
  <c r="T162" i="5"/>
  <c r="I162" i="5"/>
  <c r="V161" i="5"/>
  <c r="K161" i="5"/>
  <c r="AC160" i="5"/>
  <c r="N160" i="5"/>
  <c r="AL159" i="5"/>
  <c r="AB159" i="5"/>
  <c r="W159" i="5"/>
  <c r="M159" i="5"/>
  <c r="H159" i="5"/>
  <c r="AK158" i="5"/>
  <c r="U158" i="5"/>
  <c r="I158" i="5"/>
  <c r="AF157" i="5"/>
  <c r="W157" i="5"/>
  <c r="P157" i="5"/>
  <c r="E157" i="5"/>
  <c r="AL156" i="5"/>
  <c r="AG156" i="5"/>
  <c r="Y156" i="5"/>
  <c r="Q156" i="5"/>
  <c r="G156" i="5"/>
  <c r="D156" i="5"/>
  <c r="AI155" i="5"/>
  <c r="V155" i="5"/>
  <c r="O155" i="5"/>
  <c r="Y154" i="5"/>
  <c r="U154" i="5"/>
  <c r="M154" i="5"/>
  <c r="I154" i="5"/>
  <c r="Y141" i="3"/>
  <c r="X141" i="3"/>
  <c r="M141" i="3"/>
  <c r="N141" i="3" s="1"/>
  <c r="H141" i="3"/>
  <c r="B141" i="3"/>
  <c r="Y140" i="3"/>
  <c r="X140" i="3"/>
  <c r="M140" i="3"/>
  <c r="N140" i="3" s="1"/>
  <c r="H140" i="3"/>
  <c r="B140" i="3"/>
  <c r="Y139" i="3"/>
  <c r="X139" i="3"/>
  <c r="M139" i="3"/>
  <c r="N139" i="3" s="1"/>
  <c r="H139" i="3"/>
  <c r="B139" i="3"/>
  <c r="Y138" i="3"/>
  <c r="X138" i="3"/>
  <c r="M138" i="3"/>
  <c r="N138" i="3" s="1"/>
  <c r="H138" i="3"/>
  <c r="B138" i="3"/>
  <c r="Y137" i="3"/>
  <c r="X137" i="3"/>
  <c r="M137" i="3"/>
  <c r="N137" i="3" s="1"/>
  <c r="H137" i="3"/>
  <c r="B137" i="3"/>
  <c r="Y136" i="3"/>
  <c r="X136" i="3"/>
  <c r="M136" i="3"/>
  <c r="N136" i="3" s="1"/>
  <c r="H136" i="3"/>
  <c r="B136" i="3"/>
  <c r="Y135" i="3"/>
  <c r="X135" i="3"/>
  <c r="M135" i="3"/>
  <c r="N135" i="3" s="1"/>
  <c r="H135" i="3"/>
  <c r="B135" i="3"/>
  <c r="Y134" i="3"/>
  <c r="X134" i="3"/>
  <c r="M134" i="3"/>
  <c r="N134" i="3" s="1"/>
  <c r="H134" i="3"/>
  <c r="B134" i="3"/>
  <c r="Y133" i="3"/>
  <c r="X133" i="3"/>
  <c r="M133" i="3"/>
  <c r="N133" i="3" s="1"/>
  <c r="H133" i="3"/>
  <c r="B133" i="3"/>
  <c r="Y132" i="3"/>
  <c r="X132" i="3"/>
  <c r="M132" i="3"/>
  <c r="N132" i="3" s="1"/>
  <c r="H132" i="3"/>
  <c r="B132" i="3"/>
  <c r="Y131" i="3"/>
  <c r="X131" i="3"/>
  <c r="M131" i="3"/>
  <c r="N131" i="3" s="1"/>
  <c r="H131" i="3"/>
  <c r="B131" i="3"/>
  <c r="Y130" i="3"/>
  <c r="X130" i="3"/>
  <c r="M130" i="3"/>
  <c r="N130" i="3" s="1"/>
  <c r="H130" i="3"/>
  <c r="B130" i="3"/>
  <c r="Y129" i="3"/>
  <c r="X129" i="3"/>
  <c r="M129" i="3"/>
  <c r="N129" i="3" s="1"/>
  <c r="H129" i="3"/>
  <c r="B129" i="3"/>
  <c r="Y128" i="3"/>
  <c r="X128" i="3"/>
  <c r="M128" i="3"/>
  <c r="N128" i="3" s="1"/>
  <c r="H128" i="3"/>
  <c r="B128" i="3"/>
  <c r="Y127" i="3"/>
  <c r="X127" i="3"/>
  <c r="M127" i="3"/>
  <c r="N127" i="3" s="1"/>
  <c r="H127" i="3"/>
  <c r="B127" i="3"/>
  <c r="Y126" i="3"/>
  <c r="X126" i="3"/>
  <c r="M126" i="3"/>
  <c r="N126" i="3" s="1"/>
  <c r="H126" i="3"/>
  <c r="B126" i="3"/>
  <c r="Y125" i="3"/>
  <c r="X125" i="3"/>
  <c r="M125" i="3"/>
  <c r="N125" i="3" s="1"/>
  <c r="H125" i="3"/>
  <c r="B125" i="3"/>
  <c r="Y124" i="3"/>
  <c r="X124" i="3"/>
  <c r="M124" i="3"/>
  <c r="N124" i="3" s="1"/>
  <c r="H124" i="3"/>
  <c r="B124" i="3"/>
  <c r="Y123" i="3"/>
  <c r="X123" i="3"/>
  <c r="M123" i="3"/>
  <c r="N123" i="3" s="1"/>
  <c r="H123" i="3"/>
  <c r="B123" i="3"/>
  <c r="Y122" i="3"/>
  <c r="X122" i="3"/>
  <c r="M122" i="3"/>
  <c r="N122" i="3" s="1"/>
  <c r="H122" i="3"/>
  <c r="B122" i="3"/>
  <c r="Y121" i="3"/>
  <c r="X121" i="3"/>
  <c r="M121" i="3"/>
  <c r="N121" i="3" s="1"/>
  <c r="H121" i="3"/>
  <c r="B121" i="3"/>
  <c r="Y120" i="3"/>
  <c r="X120" i="3"/>
  <c r="M120" i="3"/>
  <c r="N120" i="3" s="1"/>
  <c r="H120" i="3"/>
  <c r="B120" i="3"/>
  <c r="Y119" i="3"/>
  <c r="X119" i="3"/>
  <c r="M119" i="3"/>
  <c r="N119" i="3" s="1"/>
  <c r="H119" i="3"/>
  <c r="B119" i="3"/>
  <c r="Y118" i="3"/>
  <c r="X118" i="3"/>
  <c r="M118" i="3"/>
  <c r="N118" i="3" s="1"/>
  <c r="H118" i="3"/>
  <c r="B118" i="3"/>
  <c r="Y117" i="3"/>
  <c r="X117" i="3"/>
  <c r="M117" i="3"/>
  <c r="N117" i="3" s="1"/>
  <c r="H117" i="3"/>
  <c r="B117" i="3"/>
  <c r="Y116" i="3"/>
  <c r="X116" i="3"/>
  <c r="M116" i="3"/>
  <c r="N116" i="3" s="1"/>
  <c r="H116" i="3"/>
  <c r="B116" i="3"/>
  <c r="Y115" i="3"/>
  <c r="X115" i="3"/>
  <c r="M115" i="3"/>
  <c r="N115" i="3" s="1"/>
  <c r="H115" i="3"/>
  <c r="B115" i="3"/>
  <c r="Y114" i="3"/>
  <c r="X114" i="3"/>
  <c r="M114" i="3"/>
  <c r="N114" i="3" s="1"/>
  <c r="H114" i="3"/>
  <c r="B114" i="3"/>
  <c r="Y113" i="3"/>
  <c r="X113" i="3"/>
  <c r="M113" i="3"/>
  <c r="N113" i="3" s="1"/>
  <c r="H113" i="3"/>
  <c r="B113" i="3"/>
  <c r="AA112" i="3"/>
  <c r="M112" i="3"/>
  <c r="N112" i="3" s="1"/>
  <c r="X110" i="3"/>
  <c r="B110" i="3"/>
  <c r="AA109" i="3"/>
  <c r="X108" i="3"/>
  <c r="H108" i="3"/>
  <c r="X107" i="3"/>
  <c r="M107" i="3"/>
  <c r="N107" i="3" s="1"/>
  <c r="H107" i="3"/>
  <c r="B100" i="3"/>
  <c r="Y99" i="3"/>
  <c r="H99" i="3"/>
  <c r="B99" i="3"/>
  <c r="Y95" i="3"/>
  <c r="AK95" i="3" s="1"/>
  <c r="X94" i="3"/>
  <c r="M94" i="3"/>
  <c r="N94" i="3" s="1"/>
  <c r="Y93" i="3"/>
  <c r="H92" i="3"/>
  <c r="D92" i="3"/>
  <c r="AA91" i="3"/>
  <c r="M89" i="3"/>
  <c r="N89" i="3" s="1"/>
  <c r="X88" i="3"/>
  <c r="H88" i="3"/>
  <c r="X87" i="3"/>
  <c r="B87" i="3"/>
  <c r="X85" i="3"/>
  <c r="M85" i="3"/>
  <c r="N85" i="3" s="1"/>
  <c r="M84" i="3"/>
  <c r="N84" i="3" s="1"/>
  <c r="D84" i="3"/>
  <c r="Y83" i="3"/>
  <c r="H83" i="3"/>
  <c r="M82" i="3"/>
  <c r="N82" i="3" s="1"/>
  <c r="H82" i="3"/>
  <c r="D82" i="3"/>
  <c r="AA80" i="3"/>
  <c r="X80" i="3"/>
  <c r="M80" i="3"/>
  <c r="N80" i="3" s="1"/>
  <c r="H80" i="3"/>
  <c r="B79" i="3"/>
  <c r="M78" i="3"/>
  <c r="N78" i="3" s="1"/>
  <c r="H78" i="3"/>
  <c r="D78" i="3"/>
  <c r="M77" i="3"/>
  <c r="N77" i="3" s="1"/>
  <c r="B77" i="3"/>
  <c r="H76" i="3"/>
  <c r="B76" i="3"/>
  <c r="Y75" i="3"/>
  <c r="AK75" i="3" s="1"/>
  <c r="M75" i="3"/>
  <c r="N75" i="3" s="1"/>
  <c r="B74" i="3"/>
  <c r="X72" i="3"/>
  <c r="B72" i="3"/>
  <c r="M39" i="3"/>
  <c r="N39" i="3" s="1"/>
  <c r="D39" i="3"/>
  <c r="X38" i="3"/>
  <c r="M38" i="3"/>
  <c r="N38" i="3" s="1"/>
  <c r="H38" i="3"/>
  <c r="M37" i="3"/>
  <c r="N37" i="3" s="1"/>
  <c r="B36" i="3"/>
  <c r="AH200" i="5"/>
  <c r="W200" i="5"/>
  <c r="U200" i="5"/>
  <c r="P200" i="5"/>
  <c r="E200" i="5"/>
  <c r="AL199" i="5"/>
  <c r="AE199" i="5"/>
  <c r="AA199" i="5"/>
  <c r="J199" i="5"/>
  <c r="N171" i="5"/>
  <c r="E171" i="5"/>
  <c r="AN170" i="5"/>
  <c r="AK170" i="5"/>
  <c r="AF170" i="5"/>
  <c r="V170" i="5"/>
  <c r="O170" i="5"/>
  <c r="E170" i="5"/>
  <c r="AO169" i="5"/>
  <c r="S169" i="5"/>
  <c r="M169" i="5"/>
  <c r="H169" i="5"/>
  <c r="AL168" i="5"/>
  <c r="AB168" i="5"/>
  <c r="T168" i="5"/>
  <c r="O168" i="5"/>
  <c r="D168" i="5"/>
  <c r="AL167" i="5"/>
  <c r="AG167" i="5"/>
  <c r="Y167" i="5"/>
  <c r="U167" i="5"/>
  <c r="J167" i="5"/>
  <c r="AC166" i="5"/>
  <c r="U166" i="5"/>
  <c r="P166" i="5"/>
  <c r="G166" i="5"/>
  <c r="D166" i="5"/>
  <c r="AL165" i="5"/>
  <c r="AG165" i="5"/>
  <c r="AA165" i="5"/>
  <c r="Q165" i="5"/>
  <c r="D165" i="5"/>
  <c r="AM164" i="5"/>
  <c r="AA164" i="5"/>
  <c r="K164" i="5"/>
  <c r="W163" i="5"/>
  <c r="O163" i="5"/>
  <c r="G163" i="5"/>
  <c r="AB162" i="5"/>
  <c r="S162" i="5"/>
  <c r="O162" i="5"/>
  <c r="P161" i="5"/>
  <c r="H161" i="5"/>
  <c r="AO160" i="5"/>
  <c r="AK160" i="5"/>
  <c r="AF160" i="5"/>
  <c r="Z160" i="5"/>
  <c r="K160" i="5"/>
  <c r="AE159" i="5"/>
  <c r="AA159" i="5"/>
  <c r="U159" i="5"/>
  <c r="P159" i="5"/>
  <c r="G159" i="5"/>
  <c r="E159" i="5"/>
  <c r="AI158" i="5"/>
  <c r="AA158" i="5"/>
  <c r="T158" i="5"/>
  <c r="O158" i="5"/>
  <c r="G158" i="5"/>
  <c r="E158" i="5"/>
  <c r="AM157" i="5"/>
  <c r="AI157" i="5"/>
  <c r="AA157" i="5"/>
  <c r="T157" i="5"/>
  <c r="O157" i="5"/>
  <c r="D157" i="5"/>
  <c r="AO156" i="5"/>
  <c r="AE156" i="5"/>
  <c r="W156" i="5"/>
  <c r="P156" i="5"/>
  <c r="E156" i="5"/>
  <c r="AN155" i="5"/>
  <c r="AK155" i="5"/>
  <c r="AF155" i="5"/>
  <c r="Z155" i="5"/>
  <c r="T155" i="5"/>
  <c r="N155" i="5"/>
  <c r="E155" i="5"/>
  <c r="AK154" i="5"/>
  <c r="AG154" i="5"/>
  <c r="AA154" i="5"/>
  <c r="T154" i="5"/>
  <c r="J154" i="5"/>
  <c r="E154" i="5"/>
  <c r="M106" i="3"/>
  <c r="N106" i="3" s="1"/>
  <c r="H106" i="3"/>
  <c r="B106" i="3"/>
  <c r="Y105" i="3"/>
  <c r="X105" i="3"/>
  <c r="M105" i="3"/>
  <c r="N105" i="3" s="1"/>
  <c r="H105" i="3"/>
  <c r="B105" i="3"/>
  <c r="Y104" i="3"/>
  <c r="X104" i="3"/>
  <c r="M104" i="3"/>
  <c r="N104" i="3" s="1"/>
  <c r="H104" i="3"/>
  <c r="B104" i="3"/>
  <c r="Y103" i="3"/>
  <c r="X103" i="3"/>
  <c r="M103" i="3"/>
  <c r="N103" i="3" s="1"/>
  <c r="H103" i="3"/>
  <c r="B103" i="3"/>
  <c r="Y102" i="3"/>
  <c r="X102" i="3"/>
  <c r="M102" i="3"/>
  <c r="N102" i="3" s="1"/>
  <c r="H102" i="3"/>
  <c r="B102" i="3"/>
  <c r="Y101" i="3"/>
  <c r="X101" i="3"/>
  <c r="M101" i="3"/>
  <c r="N101" i="3" s="1"/>
  <c r="H101" i="3"/>
  <c r="B101" i="3"/>
  <c r="Y100" i="3"/>
  <c r="X100" i="3"/>
  <c r="M100" i="3"/>
  <c r="N100" i="3" s="1"/>
  <c r="I100" i="3"/>
  <c r="J100" i="3" s="1"/>
  <c r="B71" i="3"/>
  <c r="Y70" i="3"/>
  <c r="AK70" i="3" s="1"/>
  <c r="X70" i="3"/>
  <c r="M70" i="3"/>
  <c r="N70" i="3" s="1"/>
  <c r="H70" i="3"/>
  <c r="B70" i="3"/>
  <c r="Y69" i="3"/>
  <c r="X69" i="3"/>
  <c r="M69" i="3"/>
  <c r="N69" i="3" s="1"/>
  <c r="H69" i="3"/>
  <c r="B69" i="3"/>
  <c r="Y68" i="3"/>
  <c r="X68" i="3"/>
  <c r="M68" i="3"/>
  <c r="N68" i="3" s="1"/>
  <c r="H68" i="3"/>
  <c r="B68" i="3"/>
  <c r="Y67" i="3"/>
  <c r="X67" i="3"/>
  <c r="M67" i="3"/>
  <c r="N67" i="3" s="1"/>
  <c r="H67" i="3"/>
  <c r="B67" i="3"/>
  <c r="Y66" i="3"/>
  <c r="X66" i="3"/>
  <c r="M66" i="3"/>
  <c r="N66" i="3" s="1"/>
  <c r="H66" i="3"/>
  <c r="B66" i="3"/>
  <c r="Y65" i="3"/>
  <c r="X65" i="3"/>
  <c r="M65" i="3"/>
  <c r="N65" i="3" s="1"/>
  <c r="H65" i="3"/>
  <c r="B65" i="3"/>
  <c r="Y64" i="3"/>
  <c r="AK64" i="3" s="1"/>
  <c r="X64" i="3"/>
  <c r="M64" i="3"/>
  <c r="N64" i="3" s="1"/>
  <c r="H64" i="3"/>
  <c r="B64" i="3"/>
  <c r="Y63" i="3"/>
  <c r="X63" i="3"/>
  <c r="M63" i="3"/>
  <c r="N63" i="3" s="1"/>
  <c r="H63" i="3"/>
  <c r="B63" i="3"/>
  <c r="Y62" i="3"/>
  <c r="X62" i="3"/>
  <c r="M62" i="3"/>
  <c r="N62" i="3" s="1"/>
  <c r="H62" i="3"/>
  <c r="B62" i="3"/>
  <c r="Y61" i="3"/>
  <c r="X61" i="3"/>
  <c r="M61" i="3"/>
  <c r="N61" i="3" s="1"/>
  <c r="H61" i="3"/>
  <c r="B61" i="3"/>
  <c r="Y60" i="3"/>
  <c r="X60" i="3"/>
  <c r="M60" i="3"/>
  <c r="N60" i="3" s="1"/>
  <c r="H60" i="3"/>
  <c r="B60" i="3"/>
  <c r="Y59" i="3"/>
  <c r="X59" i="3"/>
  <c r="M59" i="3"/>
  <c r="N59" i="3" s="1"/>
  <c r="H59" i="3"/>
  <c r="B59" i="3"/>
  <c r="Y58" i="3"/>
  <c r="X58" i="3"/>
  <c r="M58" i="3"/>
  <c r="N58" i="3" s="1"/>
  <c r="H58" i="3"/>
  <c r="B58" i="3"/>
  <c r="Y57" i="3"/>
  <c r="X57" i="3"/>
  <c r="M57" i="3"/>
  <c r="N57" i="3" s="1"/>
  <c r="H57" i="3"/>
  <c r="B57" i="3"/>
  <c r="Y56" i="3"/>
  <c r="X56" i="3"/>
  <c r="M56" i="3"/>
  <c r="N56" i="3" s="1"/>
  <c r="H56" i="3"/>
  <c r="B56" i="3"/>
  <c r="Y55" i="3"/>
  <c r="X55" i="3"/>
  <c r="M55" i="3"/>
  <c r="N55" i="3" s="1"/>
  <c r="H55" i="3"/>
  <c r="B55" i="3"/>
  <c r="Y54" i="3"/>
  <c r="X54" i="3"/>
  <c r="M54" i="3"/>
  <c r="N54" i="3" s="1"/>
  <c r="H54" i="3"/>
  <c r="B54" i="3"/>
  <c r="Y53" i="3"/>
  <c r="X53" i="3"/>
  <c r="M53" i="3"/>
  <c r="N53" i="3" s="1"/>
  <c r="H53" i="3"/>
  <c r="B53" i="3"/>
  <c r="Y52" i="3"/>
  <c r="X52" i="3"/>
  <c r="M52" i="3"/>
  <c r="N52" i="3" s="1"/>
  <c r="H52" i="3"/>
  <c r="B52" i="3"/>
  <c r="Y51" i="3"/>
  <c r="X51" i="3"/>
  <c r="M51" i="3"/>
  <c r="N51" i="3" s="1"/>
  <c r="H51" i="3"/>
  <c r="B51" i="3"/>
  <c r="Y50" i="3"/>
  <c r="X50" i="3"/>
  <c r="M50" i="3"/>
  <c r="N50" i="3" s="1"/>
  <c r="H50" i="3"/>
  <c r="B50" i="3"/>
  <c r="Y49" i="3"/>
  <c r="X49" i="3"/>
  <c r="M49" i="3"/>
  <c r="N49" i="3" s="1"/>
  <c r="H49" i="3"/>
  <c r="B49" i="3"/>
  <c r="Y48" i="3"/>
  <c r="X48" i="3"/>
  <c r="M48" i="3"/>
  <c r="N48" i="3" s="1"/>
  <c r="H48" i="3"/>
  <c r="B48" i="3"/>
  <c r="Y47" i="3"/>
  <c r="X47" i="3"/>
  <c r="M47" i="3"/>
  <c r="N47" i="3" s="1"/>
  <c r="H47" i="3"/>
  <c r="B47" i="3"/>
  <c r="Y46" i="3"/>
  <c r="X46" i="3"/>
  <c r="M46" i="3"/>
  <c r="N46" i="3" s="1"/>
  <c r="H46" i="3"/>
  <c r="B46" i="3"/>
  <c r="Y45" i="3"/>
  <c r="X45" i="3"/>
  <c r="M45" i="3"/>
  <c r="N45" i="3" s="1"/>
  <c r="H45" i="3"/>
  <c r="B45" i="3"/>
  <c r="Y44" i="3"/>
  <c r="X44" i="3"/>
  <c r="M44" i="3"/>
  <c r="N44" i="3" s="1"/>
  <c r="H44" i="3"/>
  <c r="B44" i="3"/>
  <c r="Y43" i="3"/>
  <c r="X43" i="3"/>
  <c r="M43" i="3"/>
  <c r="N43" i="3" s="1"/>
  <c r="H43" i="3"/>
  <c r="B43" i="3"/>
  <c r="Y42" i="3"/>
  <c r="X42" i="3"/>
  <c r="M42" i="3"/>
  <c r="N42" i="3" s="1"/>
  <c r="H42" i="3"/>
  <c r="B42" i="3"/>
  <c r="Y41" i="3"/>
  <c r="X41" i="3"/>
  <c r="M41" i="3"/>
  <c r="N41" i="3" s="1"/>
  <c r="H41" i="3"/>
  <c r="B41" i="3"/>
  <c r="Y40" i="3"/>
  <c r="X40" i="3"/>
  <c r="M40" i="3"/>
  <c r="N40" i="3" s="1"/>
  <c r="H40" i="3"/>
  <c r="B40" i="3"/>
  <c r="Y39" i="3"/>
  <c r="AK39" i="3" s="1"/>
  <c r="H39" i="3"/>
  <c r="B39" i="3"/>
  <c r="Y38" i="3"/>
  <c r="D38" i="3"/>
  <c r="AA200" i="5"/>
  <c r="J200" i="5"/>
  <c r="Y199" i="5"/>
  <c r="U199" i="5"/>
  <c r="K199" i="5"/>
  <c r="H199" i="5"/>
  <c r="G171" i="5"/>
  <c r="D171" i="5"/>
  <c r="AM170" i="5"/>
  <c r="AH170" i="5"/>
  <c r="AC170" i="5"/>
  <c r="Q170" i="5"/>
  <c r="G170" i="5"/>
  <c r="D170" i="5"/>
  <c r="AI169" i="5"/>
  <c r="AA169" i="5"/>
  <c r="U169" i="5"/>
  <c r="O169" i="5"/>
  <c r="AC168" i="5"/>
  <c r="W168" i="5"/>
  <c r="M168" i="5"/>
  <c r="H168" i="5"/>
  <c r="AK167" i="5"/>
  <c r="AE167" i="5"/>
  <c r="V167" i="5"/>
  <c r="I167" i="5"/>
  <c r="V166" i="5"/>
  <c r="I166" i="5"/>
  <c r="Y165" i="5"/>
  <c r="T165" i="5"/>
  <c r="P165" i="5"/>
  <c r="E165" i="5"/>
  <c r="AI164" i="5"/>
  <c r="AC164" i="5"/>
  <c r="S164" i="5"/>
  <c r="N164" i="5"/>
  <c r="AE163" i="5"/>
  <c r="T163" i="5"/>
  <c r="J163" i="5"/>
  <c r="E163" i="5"/>
  <c r="AI162" i="5"/>
  <c r="AC162" i="5"/>
  <c r="V162" i="5"/>
  <c r="M162" i="5"/>
  <c r="H162" i="5"/>
  <c r="AK161" i="5"/>
  <c r="AE161" i="5"/>
  <c r="AB161" i="5"/>
  <c r="N161" i="5"/>
  <c r="AM160" i="5"/>
  <c r="AG160" i="5"/>
  <c r="AB160" i="5"/>
  <c r="J160" i="5"/>
  <c r="AC159" i="5"/>
  <c r="T159" i="5"/>
  <c r="K159" i="5"/>
  <c r="AE158" i="5"/>
  <c r="W158" i="5"/>
  <c r="Q158" i="5"/>
  <c r="D158" i="5"/>
  <c r="AK157" i="5"/>
  <c r="AG157" i="5"/>
  <c r="V157" i="5"/>
  <c r="Q157" i="5"/>
  <c r="G157" i="5"/>
  <c r="C157" i="5"/>
  <c r="AK156" i="5"/>
  <c r="U156" i="5"/>
  <c r="N156" i="5"/>
  <c r="Q155" i="5"/>
  <c r="D155" i="5"/>
  <c r="AM154" i="5"/>
  <c r="AE154" i="5"/>
  <c r="V154" i="5"/>
  <c r="N154" i="5"/>
  <c r="G154" i="5"/>
  <c r="Y35" i="3"/>
  <c r="X35" i="3"/>
  <c r="M35" i="3"/>
  <c r="N35" i="3" s="1"/>
  <c r="H35" i="3"/>
  <c r="B35" i="3"/>
  <c r="Y34" i="3"/>
  <c r="X34" i="3"/>
  <c r="M34" i="3"/>
  <c r="N34" i="3" s="1"/>
  <c r="H34" i="3"/>
  <c r="B34" i="3"/>
  <c r="Y33" i="3"/>
  <c r="X33" i="3"/>
  <c r="M33" i="3"/>
  <c r="N33" i="3" s="1"/>
  <c r="H33" i="3"/>
  <c r="B33" i="3"/>
  <c r="Y32" i="3"/>
  <c r="X32" i="3"/>
  <c r="M32" i="3"/>
  <c r="N32" i="3" s="1"/>
  <c r="H32" i="3"/>
  <c r="B32" i="3"/>
  <c r="Y31" i="3"/>
  <c r="X31" i="3"/>
  <c r="M31" i="3"/>
  <c r="N31" i="3" s="1"/>
  <c r="H31" i="3"/>
  <c r="B31" i="3"/>
  <c r="Y30" i="3"/>
  <c r="X30" i="3"/>
  <c r="M30" i="3"/>
  <c r="N30" i="3" s="1"/>
  <c r="H30" i="3"/>
  <c r="B30" i="3"/>
  <c r="Y29" i="3"/>
  <c r="X29" i="3"/>
  <c r="M29" i="3"/>
  <c r="N29" i="3" s="1"/>
  <c r="H29" i="3"/>
  <c r="B29" i="3"/>
  <c r="Y28" i="3"/>
  <c r="X28" i="3"/>
  <c r="M28" i="3"/>
  <c r="N28" i="3" s="1"/>
  <c r="H28" i="3"/>
  <c r="B28" i="3"/>
  <c r="Y27" i="3"/>
  <c r="X27" i="3"/>
  <c r="M27" i="3"/>
  <c r="N27" i="3" s="1"/>
  <c r="H27" i="3"/>
  <c r="B27" i="3"/>
  <c r="Y26" i="3"/>
  <c r="X26" i="3"/>
  <c r="M26" i="3"/>
  <c r="N26" i="3" s="1"/>
  <c r="H26" i="3"/>
  <c r="B26" i="3"/>
  <c r="Y25" i="3"/>
  <c r="X25" i="3"/>
  <c r="M25" i="3"/>
  <c r="N25" i="3" s="1"/>
  <c r="H25" i="3"/>
  <c r="B25" i="3"/>
  <c r="Y24" i="3"/>
  <c r="X24" i="3"/>
  <c r="M24" i="3"/>
  <c r="N24" i="3" s="1"/>
  <c r="H24" i="3"/>
  <c r="B24" i="3"/>
  <c r="Y23" i="3"/>
  <c r="X23" i="3"/>
  <c r="M23" i="3"/>
  <c r="N23" i="3" s="1"/>
  <c r="H23" i="3"/>
  <c r="B23" i="3"/>
  <c r="Y22" i="3"/>
  <c r="X22" i="3"/>
  <c r="M22" i="3"/>
  <c r="N22" i="3" s="1"/>
  <c r="H22" i="3"/>
  <c r="B22" i="3"/>
  <c r="Y21" i="3"/>
  <c r="X21" i="3"/>
  <c r="M21" i="3"/>
  <c r="N21" i="3" s="1"/>
  <c r="H21" i="3"/>
  <c r="B21" i="3"/>
  <c r="Y20" i="3"/>
  <c r="X20" i="3"/>
  <c r="M20" i="3"/>
  <c r="N20" i="3" s="1"/>
  <c r="H20" i="3"/>
  <c r="B20" i="3"/>
  <c r="Y19" i="3"/>
  <c r="X19" i="3"/>
  <c r="M19" i="3"/>
  <c r="N19" i="3" s="1"/>
  <c r="H19" i="3"/>
  <c r="B19" i="3"/>
  <c r="Y18" i="3"/>
  <c r="AK18" i="3" s="1"/>
  <c r="X18" i="3"/>
  <c r="M18" i="3"/>
  <c r="N18" i="3" s="1"/>
  <c r="H18" i="3"/>
  <c r="B18" i="3"/>
  <c r="Y17" i="3"/>
  <c r="X17" i="3"/>
  <c r="M17" i="3"/>
  <c r="N17" i="3" s="1"/>
  <c r="H17" i="3"/>
  <c r="B17" i="3"/>
  <c r="Y16" i="3"/>
  <c r="AK16" i="3" s="1"/>
  <c r="X16" i="3"/>
  <c r="M16" i="3"/>
  <c r="N16" i="3" s="1"/>
  <c r="H16" i="3"/>
  <c r="B16" i="3"/>
  <c r="Y15" i="3"/>
  <c r="X15" i="3"/>
  <c r="M15" i="3"/>
  <c r="N15" i="3" s="1"/>
  <c r="H15" i="3"/>
  <c r="B15" i="3"/>
  <c r="Y14" i="3"/>
  <c r="AK14" i="3" s="1"/>
  <c r="X14" i="3"/>
  <c r="M14" i="3"/>
  <c r="N14" i="3" s="1"/>
  <c r="H14" i="3"/>
  <c r="B14" i="3"/>
  <c r="Y13" i="3"/>
  <c r="X13" i="3"/>
  <c r="M13" i="3"/>
  <c r="N13" i="3" s="1"/>
  <c r="H13" i="3"/>
  <c r="B13" i="3"/>
  <c r="Y12" i="3"/>
  <c r="AK12" i="3" s="1"/>
  <c r="X12" i="3"/>
  <c r="M12" i="3"/>
  <c r="N12" i="3" s="1"/>
  <c r="H12" i="3"/>
  <c r="B12" i="3"/>
  <c r="Y11" i="3"/>
  <c r="X11" i="3"/>
  <c r="M11" i="3"/>
  <c r="N11" i="3" s="1"/>
  <c r="H11" i="3"/>
  <c r="B11" i="3"/>
  <c r="Y10" i="3"/>
  <c r="X10" i="3"/>
  <c r="M10" i="3"/>
  <c r="N10" i="3" s="1"/>
  <c r="H10" i="3"/>
  <c r="B10" i="3"/>
  <c r="Y9" i="3"/>
  <c r="X9" i="3"/>
  <c r="M9" i="3"/>
  <c r="N9" i="3" s="1"/>
  <c r="H9" i="3"/>
  <c r="B9" i="3"/>
  <c r="Y8" i="3"/>
  <c r="AK8" i="3" s="1"/>
  <c r="X8" i="3"/>
  <c r="M8" i="3"/>
  <c r="N8" i="3" s="1"/>
  <c r="H8" i="3"/>
  <c r="B8" i="3"/>
  <c r="Y7" i="3"/>
  <c r="AK7" i="3" s="1"/>
  <c r="X7" i="3"/>
  <c r="M7" i="3"/>
  <c r="N7" i="3" s="1"/>
  <c r="H7" i="3"/>
  <c r="B7" i="3"/>
  <c r="Y6" i="3"/>
  <c r="AK6" i="3" s="1"/>
  <c r="X6" i="3"/>
  <c r="M6" i="3"/>
  <c r="N6" i="3" s="1"/>
  <c r="H6" i="3"/>
  <c r="B6" i="3"/>
  <c r="Y5" i="3"/>
  <c r="AK5" i="3" s="1"/>
  <c r="X5" i="3"/>
  <c r="M5" i="3"/>
  <c r="N5" i="3" s="1"/>
  <c r="H5" i="3"/>
  <c r="B5" i="3"/>
  <c r="Y4" i="3"/>
  <c r="AK4" i="3" s="1"/>
  <c r="X4" i="3"/>
  <c r="M4" i="3"/>
  <c r="N4" i="3" s="1"/>
  <c r="H4" i="3"/>
  <c r="B4" i="3"/>
  <c r="Y3" i="3"/>
  <c r="X3" i="3"/>
  <c r="M3" i="3"/>
  <c r="N3" i="3" s="1"/>
  <c r="H3" i="3"/>
  <c r="B3" i="3"/>
  <c r="Y2" i="3"/>
  <c r="X2" i="3"/>
  <c r="M2" i="3"/>
  <c r="N2" i="3" s="1"/>
  <c r="H2" i="3"/>
  <c r="B2" i="3"/>
  <c r="U202" i="5"/>
  <c r="Q202" i="5"/>
  <c r="N202" i="5"/>
  <c r="K202" i="5"/>
  <c r="I202" i="5"/>
  <c r="G202" i="5"/>
  <c r="E202" i="5"/>
  <c r="C202" i="5"/>
  <c r="AN201" i="5"/>
  <c r="AL201" i="5"/>
  <c r="AI201" i="5"/>
  <c r="AG201" i="5"/>
  <c r="AE201" i="5"/>
  <c r="AC201" i="5"/>
  <c r="Z201" i="5"/>
  <c r="W201" i="5"/>
  <c r="U201" i="5"/>
  <c r="T201" i="5"/>
  <c r="Q201" i="5"/>
  <c r="O201" i="5"/>
  <c r="J201" i="5"/>
  <c r="H201" i="5"/>
  <c r="E201" i="5"/>
  <c r="C201" i="5"/>
  <c r="AN200" i="5"/>
  <c r="AL200" i="5"/>
  <c r="AG200" i="5"/>
  <c r="AB200" i="5"/>
  <c r="T200" i="5"/>
  <c r="O200" i="5"/>
  <c r="G200" i="5"/>
  <c r="B200" i="5"/>
  <c r="AG199" i="5"/>
  <c r="AB199" i="5"/>
  <c r="P199" i="5"/>
  <c r="G199" i="5"/>
  <c r="Y170" i="5"/>
  <c r="I170" i="5"/>
  <c r="AL169" i="5"/>
  <c r="AE169" i="5"/>
  <c r="I169" i="5"/>
  <c r="AM168" i="5"/>
  <c r="AI168" i="5"/>
  <c r="V168" i="5"/>
  <c r="J168" i="5"/>
  <c r="AN167" i="5"/>
  <c r="AI167" i="5"/>
  <c r="W167" i="5"/>
  <c r="Q167" i="5"/>
  <c r="AM166" i="5"/>
  <c r="AK166" i="5"/>
  <c r="AF166" i="5"/>
  <c r="W166" i="5"/>
  <c r="K166" i="5"/>
  <c r="AM165" i="5"/>
  <c r="AF165" i="5"/>
  <c r="V165" i="5"/>
  <c r="K165" i="5"/>
  <c r="AO164" i="5"/>
  <c r="AK164" i="5"/>
  <c r="AB164" i="5"/>
  <c r="Q164" i="5"/>
  <c r="AK163" i="5"/>
  <c r="AG163" i="5"/>
  <c r="Z163" i="5"/>
  <c r="N163" i="5"/>
  <c r="AF162" i="5"/>
  <c r="U162" i="5"/>
  <c r="K162" i="5"/>
  <c r="AM161" i="5"/>
  <c r="AF161" i="5"/>
  <c r="W161" i="5"/>
  <c r="Q161" i="5"/>
  <c r="Y160" i="5"/>
  <c r="T160" i="5"/>
  <c r="I160" i="5"/>
  <c r="AN159" i="5"/>
  <c r="AH159" i="5"/>
  <c r="J159" i="5"/>
  <c r="AN158" i="5"/>
  <c r="AG158" i="5"/>
  <c r="M158" i="5"/>
  <c r="H158" i="5"/>
  <c r="AL157" i="5"/>
  <c r="AB157" i="5"/>
  <c r="H157" i="5"/>
  <c r="AI156" i="5"/>
  <c r="AB156" i="5"/>
  <c r="M156" i="5"/>
  <c r="I156" i="5"/>
  <c r="AM155" i="5"/>
  <c r="AE155" i="5"/>
  <c r="Y155" i="5"/>
  <c r="S155" i="5"/>
  <c r="J155" i="5"/>
  <c r="AL154" i="5"/>
  <c r="AB154" i="5"/>
  <c r="Q154" i="5"/>
  <c r="AK182" i="3" l="1"/>
  <c r="AK92" i="3"/>
  <c r="AK74" i="3"/>
  <c r="AK97" i="3"/>
  <c r="AK192" i="3"/>
  <c r="AA107" i="3"/>
  <c r="AA97" i="3"/>
  <c r="AK77" i="3"/>
  <c r="AA197" i="3"/>
  <c r="AK191" i="3"/>
  <c r="AA86" i="3"/>
  <c r="AA39" i="3"/>
  <c r="AA198" i="3"/>
  <c r="AK195" i="3"/>
  <c r="AK110" i="3"/>
  <c r="AK84" i="3"/>
  <c r="AK152" i="3"/>
  <c r="AK108" i="3"/>
  <c r="AA83" i="3"/>
  <c r="AK78" i="3"/>
  <c r="AK81" i="3"/>
  <c r="AA38" i="3"/>
  <c r="AK183" i="3"/>
  <c r="AK94" i="3"/>
  <c r="AK19" i="3"/>
  <c r="AK189" i="3"/>
  <c r="AK79" i="3"/>
  <c r="AK96" i="3"/>
  <c r="AK188" i="3"/>
  <c r="AK177" i="3"/>
  <c r="AA88" i="3"/>
  <c r="AA87" i="3"/>
  <c r="AK85" i="3"/>
  <c r="AK86" i="3"/>
  <c r="AK90" i="3"/>
  <c r="AK193" i="3"/>
  <c r="AA181" i="3"/>
  <c r="AK179" i="3"/>
  <c r="AK142" i="3"/>
  <c r="AK72" i="3"/>
  <c r="AK9" i="3"/>
  <c r="AA187" i="3"/>
  <c r="AA185" i="3"/>
  <c r="AA151" i="3"/>
  <c r="AA99" i="3"/>
  <c r="AK82" i="3"/>
  <c r="AK109" i="3"/>
  <c r="AD52" i="4"/>
  <c r="Q52" i="4" s="1"/>
  <c r="AC52" i="4"/>
  <c r="O52" i="4" s="1"/>
  <c r="AC49" i="4"/>
  <c r="O49" i="4" s="1"/>
  <c r="AD49" i="4"/>
  <c r="Q49" i="4" s="1"/>
  <c r="AD46" i="4"/>
  <c r="Q46" i="4" s="1"/>
  <c r="AC46" i="4"/>
  <c r="O46" i="4" s="1"/>
  <c r="AC45" i="4"/>
  <c r="O45" i="4" s="1"/>
  <c r="AD45" i="4"/>
  <c r="Q45" i="4" s="1"/>
  <c r="I242" i="3"/>
  <c r="J242" i="3" s="1"/>
  <c r="AE242" i="3"/>
  <c r="AF242" i="3" s="1"/>
  <c r="C242" i="3"/>
  <c r="Z242" i="3"/>
  <c r="D242" i="4"/>
  <c r="T242" i="4"/>
  <c r="AA242" i="4"/>
  <c r="I241" i="3"/>
  <c r="J241" i="3" s="1"/>
  <c r="AE241" i="3"/>
  <c r="AF241" i="3" s="1"/>
  <c r="C241" i="3"/>
  <c r="Z241" i="3"/>
  <c r="D241" i="4"/>
  <c r="T241" i="4"/>
  <c r="AA241" i="4"/>
  <c r="I240" i="3"/>
  <c r="J240" i="3" s="1"/>
  <c r="AE240" i="3"/>
  <c r="AF240" i="3" s="1"/>
  <c r="C240" i="3"/>
  <c r="Z240" i="3"/>
  <c r="D240" i="4"/>
  <c r="T240" i="4"/>
  <c r="AA240" i="4"/>
  <c r="I239" i="3"/>
  <c r="J239" i="3" s="1"/>
  <c r="AE239" i="3"/>
  <c r="AF239" i="3" s="1"/>
  <c r="C239" i="3"/>
  <c r="Z239" i="3"/>
  <c r="D239" i="4"/>
  <c r="T239" i="4"/>
  <c r="AA239" i="4"/>
  <c r="I238" i="3"/>
  <c r="J238" i="3" s="1"/>
  <c r="AE238" i="3"/>
  <c r="AF238" i="3" s="1"/>
  <c r="C238" i="3"/>
  <c r="Z238" i="3"/>
  <c r="D238" i="4"/>
  <c r="T238" i="4"/>
  <c r="AA238" i="4"/>
  <c r="I237" i="3"/>
  <c r="J237" i="3" s="1"/>
  <c r="AE237" i="3"/>
  <c r="AF237" i="3" s="1"/>
  <c r="C237" i="3"/>
  <c r="Z237" i="3"/>
  <c r="D237" i="4"/>
  <c r="T237" i="4"/>
  <c r="AA237" i="4"/>
  <c r="I236" i="3"/>
  <c r="J236" i="3" s="1"/>
  <c r="AE236" i="3"/>
  <c r="AF236" i="3" s="1"/>
  <c r="C236" i="3"/>
  <c r="Z236" i="3"/>
  <c r="D236" i="4"/>
  <c r="T236" i="4"/>
  <c r="AA236" i="4"/>
  <c r="I235" i="3"/>
  <c r="J235" i="3" s="1"/>
  <c r="AE235" i="3"/>
  <c r="AF235" i="3" s="1"/>
  <c r="C235" i="3"/>
  <c r="Z235" i="3"/>
  <c r="D235" i="4"/>
  <c r="T235" i="4"/>
  <c r="AA235" i="4"/>
  <c r="I234" i="3"/>
  <c r="J234" i="3" s="1"/>
  <c r="AE234" i="3"/>
  <c r="AF234" i="3" s="1"/>
  <c r="C234" i="3"/>
  <c r="Z234" i="3"/>
  <c r="D234" i="4"/>
  <c r="T234" i="4"/>
  <c r="AA234" i="4"/>
  <c r="I233" i="3"/>
  <c r="J233" i="3" s="1"/>
  <c r="AE233" i="3"/>
  <c r="AF233" i="3" s="1"/>
  <c r="C233" i="3"/>
  <c r="Z233" i="3"/>
  <c r="AA233" i="4"/>
  <c r="T233" i="4"/>
  <c r="D233" i="4"/>
  <c r="I232" i="3"/>
  <c r="J232" i="3" s="1"/>
  <c r="AE232" i="3"/>
  <c r="AF232" i="3" s="1"/>
  <c r="C232" i="3"/>
  <c r="Z232" i="3"/>
  <c r="D232" i="4"/>
  <c r="T232" i="4"/>
  <c r="AA232" i="4"/>
  <c r="I231" i="3"/>
  <c r="J231" i="3" s="1"/>
  <c r="AE231" i="3"/>
  <c r="AF231" i="3" s="1"/>
  <c r="C231" i="3"/>
  <c r="Z231" i="3"/>
  <c r="AA231" i="4"/>
  <c r="D231" i="4"/>
  <c r="T231" i="4"/>
  <c r="I230" i="3"/>
  <c r="J230" i="3" s="1"/>
  <c r="AE230" i="3"/>
  <c r="AF230" i="3" s="1"/>
  <c r="C230" i="3"/>
  <c r="Z230" i="3"/>
  <c r="T230" i="4"/>
  <c r="AA230" i="4"/>
  <c r="D230" i="4"/>
  <c r="I229" i="3"/>
  <c r="J229" i="3" s="1"/>
  <c r="AE229" i="3"/>
  <c r="AF229" i="3" s="1"/>
  <c r="C229" i="3"/>
  <c r="Z229" i="3"/>
  <c r="T229" i="4"/>
  <c r="D229" i="4"/>
  <c r="AA229" i="4"/>
  <c r="I228" i="3"/>
  <c r="J228" i="3" s="1"/>
  <c r="AE228" i="3"/>
  <c r="AF228" i="3" s="1"/>
  <c r="C228" i="3"/>
  <c r="Z228" i="3"/>
  <c r="D228" i="4"/>
  <c r="T228" i="4"/>
  <c r="AA228" i="4"/>
  <c r="I227" i="3"/>
  <c r="J227" i="3" s="1"/>
  <c r="AE227" i="3"/>
  <c r="AF227" i="3" s="1"/>
  <c r="C227" i="3"/>
  <c r="Z227" i="3"/>
  <c r="AA227" i="4"/>
  <c r="AB226" i="4" s="1"/>
  <c r="T227" i="4"/>
  <c r="D227" i="4"/>
  <c r="I226" i="3"/>
  <c r="J226" i="3" s="1"/>
  <c r="AE226" i="3"/>
  <c r="AF226" i="3" s="1"/>
  <c r="C226" i="3"/>
  <c r="K226" i="3" s="1"/>
  <c r="L226" i="3" s="1"/>
  <c r="Z226" i="3"/>
  <c r="T226" i="4"/>
  <c r="D226" i="4"/>
  <c r="AA226" i="4"/>
  <c r="AB225" i="4" s="1"/>
  <c r="I225" i="3"/>
  <c r="J225" i="3" s="1"/>
  <c r="AE225" i="3"/>
  <c r="AF225" i="3" s="1"/>
  <c r="C225" i="3"/>
  <c r="K225" i="3" s="1"/>
  <c r="L225" i="3" s="1"/>
  <c r="Z225" i="3"/>
  <c r="AA225" i="4"/>
  <c r="D225" i="4"/>
  <c r="T225" i="4"/>
  <c r="I224" i="3"/>
  <c r="J224" i="3" s="1"/>
  <c r="AE224" i="3"/>
  <c r="AF224" i="3" s="1"/>
  <c r="C224" i="3"/>
  <c r="Z224" i="3"/>
  <c r="T224" i="4"/>
  <c r="AA224" i="4"/>
  <c r="D224" i="4"/>
  <c r="I223" i="3"/>
  <c r="J223" i="3" s="1"/>
  <c r="AE223" i="3"/>
  <c r="AF223" i="3" s="1"/>
  <c r="C223" i="3"/>
  <c r="Z223" i="3"/>
  <c r="D223" i="4"/>
  <c r="T223" i="4"/>
  <c r="AA223" i="4"/>
  <c r="I222" i="3"/>
  <c r="J222" i="3" s="1"/>
  <c r="AE222" i="3"/>
  <c r="AF222" i="3" s="1"/>
  <c r="C222" i="3"/>
  <c r="Z222" i="3"/>
  <c r="D222" i="4"/>
  <c r="AA222" i="4"/>
  <c r="T222" i="4"/>
  <c r="I221" i="3"/>
  <c r="J221" i="3" s="1"/>
  <c r="AE221" i="3"/>
  <c r="AF221" i="3" s="1"/>
  <c r="C221" i="3"/>
  <c r="Z221" i="3"/>
  <c r="T221" i="4"/>
  <c r="AA221" i="4"/>
  <c r="D221" i="4"/>
  <c r="I220" i="3"/>
  <c r="J220" i="3" s="1"/>
  <c r="AE220" i="3"/>
  <c r="AF220" i="3" s="1"/>
  <c r="C220" i="3"/>
  <c r="Z220" i="3"/>
  <c r="D220" i="4"/>
  <c r="T220" i="4"/>
  <c r="AA220" i="4"/>
  <c r="I219" i="3"/>
  <c r="J219" i="3" s="1"/>
  <c r="AE219" i="3"/>
  <c r="AF219" i="3" s="1"/>
  <c r="C219" i="3"/>
  <c r="Z219" i="3"/>
  <c r="AA219" i="4"/>
  <c r="T219" i="4"/>
  <c r="D219" i="4"/>
  <c r="I218" i="3"/>
  <c r="J218" i="3" s="1"/>
  <c r="AE218" i="3"/>
  <c r="AF218" i="3" s="1"/>
  <c r="C218" i="3"/>
  <c r="Z218" i="3"/>
  <c r="D218" i="4"/>
  <c r="AA218" i="4"/>
  <c r="T218" i="4"/>
  <c r="I217" i="3"/>
  <c r="J217" i="3" s="1"/>
  <c r="AE217" i="3"/>
  <c r="AF217" i="3" s="1"/>
  <c r="C217" i="3"/>
  <c r="Z217" i="3"/>
  <c r="T217" i="4"/>
  <c r="AA217" i="4"/>
  <c r="D217" i="4"/>
  <c r="I216" i="3"/>
  <c r="J216" i="3" s="1"/>
  <c r="AE216" i="3"/>
  <c r="AF216" i="3" s="1"/>
  <c r="C216" i="3"/>
  <c r="Z216" i="3"/>
  <c r="T216" i="4"/>
  <c r="D216" i="4"/>
  <c r="AA216" i="4"/>
  <c r="I215" i="3"/>
  <c r="J215" i="3" s="1"/>
  <c r="AE215" i="3"/>
  <c r="AF215" i="3" s="1"/>
  <c r="C215" i="3"/>
  <c r="K215" i="3" s="1"/>
  <c r="L215" i="3" s="1"/>
  <c r="Z215" i="3"/>
  <c r="D215" i="4"/>
  <c r="T215" i="4"/>
  <c r="AA215" i="4"/>
  <c r="I214" i="3"/>
  <c r="J214" i="3" s="1"/>
  <c r="AE214" i="3"/>
  <c r="AF214" i="3" s="1"/>
  <c r="C214" i="3"/>
  <c r="K214" i="3" s="1"/>
  <c r="L214" i="3" s="1"/>
  <c r="Z214" i="3"/>
  <c r="D214" i="4"/>
  <c r="T214" i="4"/>
  <c r="AA214" i="4"/>
  <c r="AB213" i="4" s="1"/>
  <c r="I213" i="3"/>
  <c r="J213" i="3" s="1"/>
  <c r="AE213" i="3"/>
  <c r="AF213" i="3" s="1"/>
  <c r="C213" i="3"/>
  <c r="K213" i="3" s="1"/>
  <c r="L213" i="3" s="1"/>
  <c r="Z213" i="3"/>
  <c r="D213" i="4"/>
  <c r="AA213" i="4"/>
  <c r="AB212" i="4" s="1"/>
  <c r="T213" i="4"/>
  <c r="I201" i="3"/>
  <c r="J201" i="3" s="1"/>
  <c r="AE201" i="3"/>
  <c r="AF201" i="3" s="1"/>
  <c r="I199" i="3"/>
  <c r="J199" i="3" s="1"/>
  <c r="AE199" i="3"/>
  <c r="AF199" i="3" s="1"/>
  <c r="C199" i="3"/>
  <c r="K199" i="3" s="1"/>
  <c r="L199" i="3" s="1"/>
  <c r="Z199" i="3"/>
  <c r="T199" i="4"/>
  <c r="I198" i="3"/>
  <c r="J198" i="3" s="1"/>
  <c r="AE198" i="3"/>
  <c r="AF198" i="3" s="1"/>
  <c r="C196" i="3"/>
  <c r="K196" i="3" s="1"/>
  <c r="L196" i="3" s="1"/>
  <c r="T196" i="4"/>
  <c r="Z196" i="3"/>
  <c r="I195" i="3"/>
  <c r="J195" i="3" s="1"/>
  <c r="AE195" i="3"/>
  <c r="AF195" i="3" s="1"/>
  <c r="T194" i="4"/>
  <c r="C194" i="3"/>
  <c r="K194" i="3" s="1"/>
  <c r="L194" i="3" s="1"/>
  <c r="Z194" i="3"/>
  <c r="I193" i="3"/>
  <c r="J193" i="3" s="1"/>
  <c r="AE193" i="3"/>
  <c r="AF193" i="3" s="1"/>
  <c r="I192" i="3"/>
  <c r="J192" i="3" s="1"/>
  <c r="AE192" i="3"/>
  <c r="AF192" i="3" s="1"/>
  <c r="C192" i="3"/>
  <c r="K192" i="3" s="1"/>
  <c r="L192" i="3" s="1"/>
  <c r="T192" i="4"/>
  <c r="Z192" i="3"/>
  <c r="I190" i="3"/>
  <c r="J190" i="3" s="1"/>
  <c r="AE190" i="3"/>
  <c r="AF190" i="3" s="1"/>
  <c r="C190" i="3"/>
  <c r="K190" i="3" s="1"/>
  <c r="L190" i="3" s="1"/>
  <c r="Z190" i="3"/>
  <c r="T190" i="4"/>
  <c r="I189" i="3"/>
  <c r="J189" i="3" s="1"/>
  <c r="AE189" i="3"/>
  <c r="AF189" i="3" s="1"/>
  <c r="C189" i="3"/>
  <c r="K189" i="3" s="1"/>
  <c r="L189" i="3" s="1"/>
  <c r="Z189" i="3"/>
  <c r="T189" i="4"/>
  <c r="AL186" i="3"/>
  <c r="I187" i="3"/>
  <c r="J187" i="3" s="1"/>
  <c r="AE187" i="3"/>
  <c r="AF187" i="3" s="1"/>
  <c r="C186" i="3"/>
  <c r="K186" i="3" s="1"/>
  <c r="L186" i="3" s="1"/>
  <c r="T186" i="4"/>
  <c r="Z186" i="3"/>
  <c r="C184" i="3"/>
  <c r="Z184" i="3"/>
  <c r="T184" i="4"/>
  <c r="I183" i="3"/>
  <c r="J183" i="3" s="1"/>
  <c r="AE183" i="3"/>
  <c r="AF183" i="3" s="1"/>
  <c r="I182" i="3"/>
  <c r="J182" i="3" s="1"/>
  <c r="AE182" i="3"/>
  <c r="AF182" i="3" s="1"/>
  <c r="C182" i="3"/>
  <c r="T182" i="4"/>
  <c r="Z182" i="3"/>
  <c r="C180" i="3"/>
  <c r="Z180" i="3"/>
  <c r="T180" i="4"/>
  <c r="I179" i="3"/>
  <c r="J179" i="3" s="1"/>
  <c r="AE179" i="3"/>
  <c r="AF179" i="3" s="1"/>
  <c r="I178" i="3"/>
  <c r="J178" i="3" s="1"/>
  <c r="AE178" i="3"/>
  <c r="AF178" i="3" s="1"/>
  <c r="I177" i="3"/>
  <c r="J177" i="3" s="1"/>
  <c r="AE177" i="3"/>
  <c r="AF177" i="3" s="1"/>
  <c r="AE153" i="3"/>
  <c r="AF153" i="3" s="1"/>
  <c r="I153" i="3"/>
  <c r="J153" i="3" s="1"/>
  <c r="C153" i="3"/>
  <c r="D153" i="4"/>
  <c r="T153" i="4"/>
  <c r="AA153" i="4"/>
  <c r="AB152" i="4" s="1"/>
  <c r="Z153" i="3"/>
  <c r="AA152" i="4"/>
  <c r="T152" i="4"/>
  <c r="D152" i="4"/>
  <c r="Z152" i="3"/>
  <c r="C152" i="3"/>
  <c r="AL150" i="3"/>
  <c r="AB151" i="3"/>
  <c r="AE149" i="3"/>
  <c r="AF149" i="3" s="1"/>
  <c r="I149" i="3"/>
  <c r="J149" i="3" s="1"/>
  <c r="T148" i="4"/>
  <c r="D148" i="4"/>
  <c r="C148" i="3"/>
  <c r="Z148" i="3"/>
  <c r="AA148" i="4"/>
  <c r="AB147" i="4" s="1"/>
  <c r="C147" i="3"/>
  <c r="T147" i="4"/>
  <c r="D147" i="4"/>
  <c r="AA147" i="4"/>
  <c r="Z147" i="3"/>
  <c r="AG147" i="3" s="1"/>
  <c r="AH147" i="3" s="1"/>
  <c r="I146" i="3"/>
  <c r="J146" i="3" s="1"/>
  <c r="AE146" i="3"/>
  <c r="AF146" i="3" s="1"/>
  <c r="I145" i="3"/>
  <c r="J145" i="3" s="1"/>
  <c r="AE145" i="3"/>
  <c r="AF145" i="3" s="1"/>
  <c r="D145" i="4"/>
  <c r="AA145" i="4"/>
  <c r="T145" i="4"/>
  <c r="C145" i="3"/>
  <c r="Z145" i="3"/>
  <c r="T143" i="4"/>
  <c r="AA143" i="4"/>
  <c r="AB142" i="4" s="1"/>
  <c r="D143" i="4"/>
  <c r="C143" i="3"/>
  <c r="Z143" i="3"/>
  <c r="AG143" i="3" s="1"/>
  <c r="AH143" i="3" s="1"/>
  <c r="P142" i="3"/>
  <c r="Q142" i="3"/>
  <c r="Z111" i="3"/>
  <c r="T111" i="4"/>
  <c r="C111" i="3"/>
  <c r="T108" i="4"/>
  <c r="C108" i="3"/>
  <c r="Z108" i="3"/>
  <c r="AB107" i="3"/>
  <c r="AL106" i="3"/>
  <c r="AL98" i="3"/>
  <c r="Z98" i="3"/>
  <c r="T98" i="4"/>
  <c r="C98" i="3"/>
  <c r="K98" i="3" s="1"/>
  <c r="L98" i="3" s="1"/>
  <c r="AB97" i="3"/>
  <c r="AL96" i="3"/>
  <c r="AE95" i="3"/>
  <c r="AF95" i="3" s="1"/>
  <c r="I95" i="3"/>
  <c r="J95" i="3" s="1"/>
  <c r="T95" i="4"/>
  <c r="C95" i="3"/>
  <c r="Z95" i="3"/>
  <c r="AG95" i="3" s="1"/>
  <c r="AH95" i="3" s="1"/>
  <c r="Q94" i="3"/>
  <c r="P94" i="3"/>
  <c r="I93" i="3"/>
  <c r="J93" i="3" s="1"/>
  <c r="AE93" i="3"/>
  <c r="AF93" i="3" s="1"/>
  <c r="T90" i="4"/>
  <c r="Z90" i="3"/>
  <c r="C90" i="3"/>
  <c r="T89" i="4"/>
  <c r="C89" i="3"/>
  <c r="Z89" i="3"/>
  <c r="AL87" i="3"/>
  <c r="AB88" i="3"/>
  <c r="AL86" i="3"/>
  <c r="AB86" i="3"/>
  <c r="I85" i="3"/>
  <c r="J85" i="3" s="1"/>
  <c r="AE85" i="3"/>
  <c r="AF85" i="3" s="1"/>
  <c r="T85" i="4"/>
  <c r="C85" i="3"/>
  <c r="Z85" i="3"/>
  <c r="AG85" i="3" s="1"/>
  <c r="AH85" i="3" s="1"/>
  <c r="AE84" i="3"/>
  <c r="AF84" i="3" s="1"/>
  <c r="I84" i="3"/>
  <c r="J84" i="3" s="1"/>
  <c r="AL82" i="3"/>
  <c r="AB83" i="3"/>
  <c r="AE81" i="3"/>
  <c r="AF81" i="3" s="1"/>
  <c r="I81" i="3"/>
  <c r="J81" i="3" s="1"/>
  <c r="Z81" i="3"/>
  <c r="AG81" i="3" s="1"/>
  <c r="AH81" i="3" s="1"/>
  <c r="T81" i="4"/>
  <c r="C81" i="3"/>
  <c r="Q78" i="3"/>
  <c r="P78" i="3"/>
  <c r="P75" i="3"/>
  <c r="Q75" i="3"/>
  <c r="Z73" i="3"/>
  <c r="AG73" i="3" s="1"/>
  <c r="AH73" i="3" s="1"/>
  <c r="T73" i="4"/>
  <c r="C73" i="3"/>
  <c r="I37" i="3"/>
  <c r="J37" i="3" s="1"/>
  <c r="AE37" i="3"/>
  <c r="AF37" i="3" s="1"/>
  <c r="T37" i="4"/>
  <c r="Z37" i="3"/>
  <c r="C37" i="3"/>
  <c r="I212" i="3"/>
  <c r="J212" i="3" s="1"/>
  <c r="AE212" i="3"/>
  <c r="AF212" i="3" s="1"/>
  <c r="C212" i="3"/>
  <c r="Z212" i="3"/>
  <c r="AA212" i="3"/>
  <c r="D212" i="4"/>
  <c r="T212" i="4"/>
  <c r="AA212" i="4"/>
  <c r="AB211" i="4" s="1"/>
  <c r="I211" i="3"/>
  <c r="J211" i="3" s="1"/>
  <c r="AE211" i="3"/>
  <c r="AF211" i="3" s="1"/>
  <c r="C211" i="3"/>
  <c r="Z211" i="3"/>
  <c r="D211" i="4"/>
  <c r="T211" i="4"/>
  <c r="AA211" i="4"/>
  <c r="I210" i="3"/>
  <c r="J210" i="3" s="1"/>
  <c r="AE210" i="3"/>
  <c r="AF210" i="3" s="1"/>
  <c r="C210" i="3"/>
  <c r="Z210" i="3"/>
  <c r="AA210" i="4"/>
  <c r="D210" i="4"/>
  <c r="T210" i="4"/>
  <c r="I209" i="3"/>
  <c r="J209" i="3" s="1"/>
  <c r="AE209" i="3"/>
  <c r="AF209" i="3" s="1"/>
  <c r="C209" i="3"/>
  <c r="Z209" i="3"/>
  <c r="D209" i="4"/>
  <c r="AA209" i="4"/>
  <c r="T209" i="4"/>
  <c r="I208" i="3"/>
  <c r="J208" i="3" s="1"/>
  <c r="AE208" i="3"/>
  <c r="AF208" i="3" s="1"/>
  <c r="C208" i="3"/>
  <c r="Z208" i="3"/>
  <c r="T208" i="4"/>
  <c r="AA208" i="4"/>
  <c r="D208" i="4"/>
  <c r="I207" i="3"/>
  <c r="J207" i="3" s="1"/>
  <c r="AE207" i="3"/>
  <c r="AF207" i="3" s="1"/>
  <c r="C207" i="3"/>
  <c r="Z207" i="3"/>
  <c r="AA207" i="4"/>
  <c r="D207" i="4"/>
  <c r="T207" i="4"/>
  <c r="I206" i="3"/>
  <c r="J206" i="3" s="1"/>
  <c r="AE206" i="3"/>
  <c r="AF206" i="3" s="1"/>
  <c r="C206" i="3"/>
  <c r="Z206" i="3"/>
  <c r="T206" i="4"/>
  <c r="AA206" i="4"/>
  <c r="D206" i="4"/>
  <c r="I205" i="3"/>
  <c r="J205" i="3" s="1"/>
  <c r="AE205" i="3"/>
  <c r="AF205" i="3" s="1"/>
  <c r="C205" i="3"/>
  <c r="K205" i="3" s="1"/>
  <c r="L205" i="3" s="1"/>
  <c r="Z205" i="3"/>
  <c r="AA205" i="4"/>
  <c r="D205" i="4"/>
  <c r="T205" i="4"/>
  <c r="I204" i="3"/>
  <c r="J204" i="3" s="1"/>
  <c r="AE204" i="3"/>
  <c r="AF204" i="3" s="1"/>
  <c r="C204" i="3"/>
  <c r="K204" i="3" s="1"/>
  <c r="L204" i="3" s="1"/>
  <c r="Z204" i="3"/>
  <c r="D204" i="4"/>
  <c r="AA204" i="4"/>
  <c r="T204" i="4"/>
  <c r="I203" i="3"/>
  <c r="J203" i="3" s="1"/>
  <c r="AE203" i="3"/>
  <c r="AF203" i="3" s="1"/>
  <c r="C203" i="3"/>
  <c r="K203" i="3" s="1"/>
  <c r="L203" i="3" s="1"/>
  <c r="Z203" i="3"/>
  <c r="T203" i="4"/>
  <c r="AA203" i="4"/>
  <c r="D203" i="4"/>
  <c r="I202" i="3"/>
  <c r="J202" i="3" s="1"/>
  <c r="AE202" i="3"/>
  <c r="AF202" i="3" s="1"/>
  <c r="C202" i="3"/>
  <c r="K202" i="3" s="1"/>
  <c r="L202" i="3" s="1"/>
  <c r="Z202" i="3"/>
  <c r="D202" i="4"/>
  <c r="T202" i="4"/>
  <c r="AA202" i="4"/>
  <c r="C201" i="3"/>
  <c r="K201" i="3" s="1"/>
  <c r="L201" i="3" s="1"/>
  <c r="Z201" i="3"/>
  <c r="D201" i="4"/>
  <c r="T201" i="4"/>
  <c r="AA201" i="4"/>
  <c r="AB200" i="4" s="1"/>
  <c r="I200" i="3"/>
  <c r="J200" i="3" s="1"/>
  <c r="AE200" i="3"/>
  <c r="AF200" i="3" s="1"/>
  <c r="C200" i="3"/>
  <c r="AA200" i="4"/>
  <c r="AB199" i="4" s="1"/>
  <c r="Z200" i="3"/>
  <c r="AG200" i="3" s="1"/>
  <c r="AH200" i="3" s="1"/>
  <c r="T200" i="4"/>
  <c r="C198" i="3"/>
  <c r="Z198" i="3"/>
  <c r="AG198" i="3" s="1"/>
  <c r="AH198" i="3" s="1"/>
  <c r="T198" i="4"/>
  <c r="I197" i="3"/>
  <c r="J197" i="3" s="1"/>
  <c r="AE197" i="3"/>
  <c r="AF197" i="3" s="1"/>
  <c r="C197" i="3"/>
  <c r="Z197" i="3"/>
  <c r="AG197" i="3" s="1"/>
  <c r="AH197" i="3" s="1"/>
  <c r="T197" i="4"/>
  <c r="I196" i="3"/>
  <c r="J196" i="3" s="1"/>
  <c r="AE196" i="3"/>
  <c r="AF196" i="3" s="1"/>
  <c r="Z195" i="3"/>
  <c r="C195" i="3"/>
  <c r="K195" i="3" s="1"/>
  <c r="L195" i="3" s="1"/>
  <c r="T195" i="4"/>
  <c r="I194" i="3"/>
  <c r="J194" i="3" s="1"/>
  <c r="AE194" i="3"/>
  <c r="AF194" i="3" s="1"/>
  <c r="I191" i="3"/>
  <c r="J191" i="3" s="1"/>
  <c r="AE191" i="3"/>
  <c r="AF191" i="3" s="1"/>
  <c r="C191" i="3"/>
  <c r="Z191" i="3"/>
  <c r="AG191" i="3" s="1"/>
  <c r="AH191" i="3" s="1"/>
  <c r="T191" i="4"/>
  <c r="I188" i="3"/>
  <c r="J188" i="3" s="1"/>
  <c r="AE188" i="3"/>
  <c r="AF188" i="3" s="1"/>
  <c r="C188" i="3"/>
  <c r="K188" i="3" s="1"/>
  <c r="L188" i="3" s="1"/>
  <c r="Z188" i="3"/>
  <c r="AG188" i="3" s="1"/>
  <c r="AH188" i="3" s="1"/>
  <c r="T188" i="4"/>
  <c r="Z187" i="3"/>
  <c r="AG187" i="3" s="1"/>
  <c r="AH187" i="3" s="1"/>
  <c r="C187" i="3"/>
  <c r="K187" i="3" s="1"/>
  <c r="L187" i="3" s="1"/>
  <c r="T187" i="4"/>
  <c r="I186" i="3"/>
  <c r="J186" i="3" s="1"/>
  <c r="AE186" i="3"/>
  <c r="AF186" i="3" s="1"/>
  <c r="I185" i="3"/>
  <c r="J185" i="3" s="1"/>
  <c r="AE185" i="3"/>
  <c r="AF185" i="3" s="1"/>
  <c r="C185" i="3"/>
  <c r="Z185" i="3"/>
  <c r="AG185" i="3" s="1"/>
  <c r="AH185" i="3" s="1"/>
  <c r="T185" i="4"/>
  <c r="I184" i="3"/>
  <c r="J184" i="3" s="1"/>
  <c r="AE184" i="3"/>
  <c r="AF184" i="3" s="1"/>
  <c r="C183" i="3"/>
  <c r="Z183" i="3"/>
  <c r="AG183" i="3" s="1"/>
  <c r="AH183" i="3" s="1"/>
  <c r="T183" i="4"/>
  <c r="I181" i="3"/>
  <c r="J181" i="3" s="1"/>
  <c r="AE181" i="3"/>
  <c r="AF181" i="3" s="1"/>
  <c r="Z181" i="3"/>
  <c r="AG181" i="3" s="1"/>
  <c r="AH181" i="3" s="1"/>
  <c r="C181" i="3"/>
  <c r="K181" i="3" s="1"/>
  <c r="L181" i="3" s="1"/>
  <c r="T181" i="4"/>
  <c r="I180" i="3"/>
  <c r="J180" i="3" s="1"/>
  <c r="AE180" i="3"/>
  <c r="AF180" i="3" s="1"/>
  <c r="C179" i="3"/>
  <c r="Z179" i="3"/>
  <c r="T179" i="4"/>
  <c r="C178" i="3"/>
  <c r="Z178" i="3"/>
  <c r="AG178" i="3" s="1"/>
  <c r="AH178" i="3" s="1"/>
  <c r="T178" i="4"/>
  <c r="C177" i="3"/>
  <c r="Z177" i="3"/>
  <c r="AG177" i="3" s="1"/>
  <c r="AH177" i="3" s="1"/>
  <c r="T177" i="4"/>
  <c r="I152" i="3"/>
  <c r="J152" i="3" s="1"/>
  <c r="AE152" i="3"/>
  <c r="AF152" i="3" s="1"/>
  <c r="I151" i="3"/>
  <c r="J151" i="3" s="1"/>
  <c r="AE151" i="3"/>
  <c r="AF151" i="3" s="1"/>
  <c r="Z151" i="3"/>
  <c r="AG151" i="3" s="1"/>
  <c r="AH151" i="3" s="1"/>
  <c r="AA151" i="4"/>
  <c r="T151" i="4"/>
  <c r="D151" i="4"/>
  <c r="C151" i="3"/>
  <c r="D149" i="4"/>
  <c r="Z149" i="3"/>
  <c r="AG149" i="3" s="1"/>
  <c r="AH149" i="3" s="1"/>
  <c r="T149" i="4"/>
  <c r="AA149" i="4"/>
  <c r="C149" i="3"/>
  <c r="Z146" i="3"/>
  <c r="C146" i="3"/>
  <c r="D146" i="4"/>
  <c r="AA146" i="4"/>
  <c r="T146" i="4"/>
  <c r="C144" i="3"/>
  <c r="D144" i="4"/>
  <c r="T144" i="4"/>
  <c r="AA144" i="4"/>
  <c r="Z144" i="3"/>
  <c r="I142" i="3"/>
  <c r="J142" i="3" s="1"/>
  <c r="AE142" i="3"/>
  <c r="AF142" i="3" s="1"/>
  <c r="Z142" i="3"/>
  <c r="D142" i="4"/>
  <c r="T142" i="4"/>
  <c r="C142" i="3"/>
  <c r="AA142" i="4"/>
  <c r="AB141" i="4" s="1"/>
  <c r="I110" i="3"/>
  <c r="J110" i="3" s="1"/>
  <c r="AE110" i="3"/>
  <c r="AF110" i="3" s="1"/>
  <c r="AE109" i="3"/>
  <c r="AF109" i="3" s="1"/>
  <c r="I109" i="3"/>
  <c r="J109" i="3" s="1"/>
  <c r="Z109" i="3"/>
  <c r="AG109" i="3" s="1"/>
  <c r="AH109" i="3" s="1"/>
  <c r="T109" i="4"/>
  <c r="C109" i="3"/>
  <c r="T107" i="4"/>
  <c r="C107" i="3"/>
  <c r="Z107" i="3"/>
  <c r="AG107" i="3" s="1"/>
  <c r="AH107" i="3" s="1"/>
  <c r="AE97" i="3"/>
  <c r="AF97" i="3" s="1"/>
  <c r="I97" i="3"/>
  <c r="J97" i="3" s="1"/>
  <c r="T97" i="4"/>
  <c r="C97" i="3"/>
  <c r="Z97" i="3"/>
  <c r="AG97" i="3" s="1"/>
  <c r="AH97" i="3" s="1"/>
  <c r="I94" i="3"/>
  <c r="J94" i="3" s="1"/>
  <c r="AE94" i="3"/>
  <c r="AF94" i="3" s="1"/>
  <c r="T93" i="4"/>
  <c r="C93" i="3"/>
  <c r="Z93" i="3"/>
  <c r="Z92" i="3"/>
  <c r="C92" i="3"/>
  <c r="T92" i="4"/>
  <c r="AE91" i="3"/>
  <c r="AF91" i="3" s="1"/>
  <c r="I91" i="3"/>
  <c r="J91" i="3" s="1"/>
  <c r="T91" i="4"/>
  <c r="C91" i="3"/>
  <c r="Z91" i="3"/>
  <c r="AG91" i="3" s="1"/>
  <c r="AH91" i="3" s="1"/>
  <c r="I90" i="3"/>
  <c r="J90" i="3" s="1"/>
  <c r="AE90" i="3"/>
  <c r="AF90" i="3" s="1"/>
  <c r="I89" i="3"/>
  <c r="J89" i="3" s="1"/>
  <c r="AE89" i="3"/>
  <c r="AF89" i="3" s="1"/>
  <c r="Z88" i="3"/>
  <c r="AG88" i="3" s="1"/>
  <c r="AH88" i="3" s="1"/>
  <c r="T88" i="4"/>
  <c r="C88" i="3"/>
  <c r="I87" i="3"/>
  <c r="J87" i="3" s="1"/>
  <c r="AE87" i="3"/>
  <c r="AF87" i="3" s="1"/>
  <c r="T86" i="4"/>
  <c r="C86" i="3"/>
  <c r="Z86" i="3"/>
  <c r="AG86" i="3" s="1"/>
  <c r="AH86" i="3" s="1"/>
  <c r="T82" i="4"/>
  <c r="C82" i="3"/>
  <c r="Z82" i="3"/>
  <c r="AG82" i="3" s="1"/>
  <c r="AH82" i="3" s="1"/>
  <c r="I79" i="3"/>
  <c r="J79" i="3" s="1"/>
  <c r="AE79" i="3"/>
  <c r="AF79" i="3" s="1"/>
  <c r="I74" i="3"/>
  <c r="J74" i="3" s="1"/>
  <c r="AE74" i="3"/>
  <c r="AF74" i="3" s="1"/>
  <c r="AE73" i="3"/>
  <c r="AF73" i="3" s="1"/>
  <c r="I73" i="3"/>
  <c r="J73" i="3" s="1"/>
  <c r="I72" i="3"/>
  <c r="J72" i="3" s="1"/>
  <c r="AE72" i="3"/>
  <c r="AF72" i="3" s="1"/>
  <c r="I176" i="3"/>
  <c r="J176" i="3" s="1"/>
  <c r="AE176" i="3"/>
  <c r="AF176" i="3" s="1"/>
  <c r="C176" i="3"/>
  <c r="Z176" i="3"/>
  <c r="D176" i="4"/>
  <c r="T176" i="4"/>
  <c r="AA176" i="4"/>
  <c r="I175" i="3"/>
  <c r="J175" i="3" s="1"/>
  <c r="AE175" i="3"/>
  <c r="AF175" i="3" s="1"/>
  <c r="C175" i="3"/>
  <c r="Z175" i="3"/>
  <c r="D175" i="4"/>
  <c r="T175" i="4"/>
  <c r="AA175" i="4"/>
  <c r="I174" i="3"/>
  <c r="J174" i="3" s="1"/>
  <c r="AE174" i="3"/>
  <c r="AF174" i="3" s="1"/>
  <c r="C174" i="3"/>
  <c r="Z174" i="3"/>
  <c r="D174" i="4"/>
  <c r="T174" i="4"/>
  <c r="AA174" i="4"/>
  <c r="I173" i="3"/>
  <c r="J173" i="3" s="1"/>
  <c r="AE173" i="3"/>
  <c r="AF173" i="3" s="1"/>
  <c r="C173" i="3"/>
  <c r="Z173" i="3"/>
  <c r="D173" i="4"/>
  <c r="T173" i="4"/>
  <c r="AA173" i="4"/>
  <c r="I172" i="3"/>
  <c r="J172" i="3" s="1"/>
  <c r="AE172" i="3"/>
  <c r="AF172" i="3" s="1"/>
  <c r="C172" i="3"/>
  <c r="Z172" i="3"/>
  <c r="D172" i="4"/>
  <c r="T172" i="4"/>
  <c r="AA172" i="4"/>
  <c r="I171" i="3"/>
  <c r="J171" i="3" s="1"/>
  <c r="AE171" i="3"/>
  <c r="AF171" i="3" s="1"/>
  <c r="C171" i="3"/>
  <c r="K171" i="3" s="1"/>
  <c r="L171" i="3" s="1"/>
  <c r="Z171" i="3"/>
  <c r="AG171" i="3" s="1"/>
  <c r="AH171" i="3" s="1"/>
  <c r="D171" i="4"/>
  <c r="T171" i="4"/>
  <c r="AA171" i="4"/>
  <c r="I170" i="3"/>
  <c r="J170" i="3" s="1"/>
  <c r="AE170" i="3"/>
  <c r="AF170" i="3" s="1"/>
  <c r="C170" i="3"/>
  <c r="K170" i="3" s="1"/>
  <c r="L170" i="3" s="1"/>
  <c r="Z170" i="3"/>
  <c r="D170" i="4"/>
  <c r="T170" i="4"/>
  <c r="AA170" i="4"/>
  <c r="AB169" i="4" s="1"/>
  <c r="I169" i="3"/>
  <c r="J169" i="3" s="1"/>
  <c r="AE169" i="3"/>
  <c r="AF169" i="3" s="1"/>
  <c r="C169" i="3"/>
  <c r="K169" i="3" s="1"/>
  <c r="L169" i="3" s="1"/>
  <c r="Z169" i="3"/>
  <c r="D169" i="4"/>
  <c r="T169" i="4"/>
  <c r="AA169" i="4"/>
  <c r="AB168" i="4" s="1"/>
  <c r="I168" i="3"/>
  <c r="J168" i="3" s="1"/>
  <c r="AE168" i="3"/>
  <c r="AF168" i="3" s="1"/>
  <c r="C168" i="3"/>
  <c r="Z168" i="3"/>
  <c r="D168" i="4"/>
  <c r="T168" i="4"/>
  <c r="AA168" i="4"/>
  <c r="I167" i="3"/>
  <c r="J167" i="3" s="1"/>
  <c r="AE167" i="3"/>
  <c r="AF167" i="3" s="1"/>
  <c r="C167" i="3"/>
  <c r="Z167" i="3"/>
  <c r="D167" i="4"/>
  <c r="T167" i="4"/>
  <c r="AA167" i="4"/>
  <c r="I166" i="3"/>
  <c r="J166" i="3" s="1"/>
  <c r="AE166" i="3"/>
  <c r="AF166" i="3" s="1"/>
  <c r="C166" i="3"/>
  <c r="Z166" i="3"/>
  <c r="D166" i="4"/>
  <c r="T166" i="4"/>
  <c r="AA166" i="4"/>
  <c r="I165" i="3"/>
  <c r="J165" i="3" s="1"/>
  <c r="AE165" i="3"/>
  <c r="AF165" i="3" s="1"/>
  <c r="C165" i="3"/>
  <c r="Z165" i="3"/>
  <c r="D165" i="4"/>
  <c r="T165" i="4"/>
  <c r="AA165" i="4"/>
  <c r="I164" i="3"/>
  <c r="J164" i="3" s="1"/>
  <c r="AE164" i="3"/>
  <c r="AF164" i="3" s="1"/>
  <c r="C164" i="3"/>
  <c r="Z164" i="3"/>
  <c r="D164" i="4"/>
  <c r="T164" i="4"/>
  <c r="AA164" i="4"/>
  <c r="I163" i="3"/>
  <c r="J163" i="3" s="1"/>
  <c r="AE163" i="3"/>
  <c r="AF163" i="3" s="1"/>
  <c r="C163" i="3"/>
  <c r="Z163" i="3"/>
  <c r="D163" i="4"/>
  <c r="T163" i="4"/>
  <c r="AA163" i="4"/>
  <c r="I162" i="3"/>
  <c r="J162" i="3" s="1"/>
  <c r="AE162" i="3"/>
  <c r="AF162" i="3" s="1"/>
  <c r="C162" i="3"/>
  <c r="Z162" i="3"/>
  <c r="D162" i="4"/>
  <c r="T162" i="4"/>
  <c r="AA162" i="4"/>
  <c r="I161" i="3"/>
  <c r="J161" i="3" s="1"/>
  <c r="AE161" i="3"/>
  <c r="AF161" i="3" s="1"/>
  <c r="C161" i="3"/>
  <c r="Z161" i="3"/>
  <c r="D161" i="4"/>
  <c r="T161" i="4"/>
  <c r="AA161" i="4"/>
  <c r="I160" i="3"/>
  <c r="J160" i="3" s="1"/>
  <c r="AE160" i="3"/>
  <c r="AF160" i="3" s="1"/>
  <c r="C160" i="3"/>
  <c r="Z160" i="3"/>
  <c r="D160" i="4"/>
  <c r="T160" i="4"/>
  <c r="AA160" i="4"/>
  <c r="I159" i="3"/>
  <c r="J159" i="3" s="1"/>
  <c r="AE159" i="3"/>
  <c r="AF159" i="3" s="1"/>
  <c r="C159" i="3"/>
  <c r="Z159" i="3"/>
  <c r="D159" i="4"/>
  <c r="T159" i="4"/>
  <c r="AA159" i="4"/>
  <c r="I158" i="3"/>
  <c r="J158" i="3" s="1"/>
  <c r="AE158" i="3"/>
  <c r="AF158" i="3" s="1"/>
  <c r="C158" i="3"/>
  <c r="Z158" i="3"/>
  <c r="D158" i="4"/>
  <c r="T158" i="4"/>
  <c r="AA158" i="4"/>
  <c r="I157" i="3"/>
  <c r="J157" i="3" s="1"/>
  <c r="AE157" i="3"/>
  <c r="AF157" i="3" s="1"/>
  <c r="C157" i="3"/>
  <c r="K157" i="3" s="1"/>
  <c r="L157" i="3" s="1"/>
  <c r="Z157" i="3"/>
  <c r="D157" i="4"/>
  <c r="T157" i="4"/>
  <c r="AA157" i="4"/>
  <c r="I156" i="3"/>
  <c r="J156" i="3" s="1"/>
  <c r="AE156" i="3"/>
  <c r="AF156" i="3" s="1"/>
  <c r="C156" i="3"/>
  <c r="K156" i="3" s="1"/>
  <c r="L156" i="3" s="1"/>
  <c r="Z156" i="3"/>
  <c r="D156" i="4"/>
  <c r="T156" i="4"/>
  <c r="AA156" i="4"/>
  <c r="I155" i="3"/>
  <c r="J155" i="3" s="1"/>
  <c r="AE155" i="3"/>
  <c r="AF155" i="3" s="1"/>
  <c r="C155" i="3"/>
  <c r="K155" i="3" s="1"/>
  <c r="L155" i="3" s="1"/>
  <c r="Z155" i="3"/>
  <c r="D155" i="4"/>
  <c r="T155" i="4"/>
  <c r="AA155" i="4"/>
  <c r="AB154" i="4" s="1"/>
  <c r="I154" i="3"/>
  <c r="J154" i="3" s="1"/>
  <c r="AE154" i="3"/>
  <c r="AF154" i="3" s="1"/>
  <c r="C154" i="3"/>
  <c r="K154" i="3" s="1"/>
  <c r="L154" i="3" s="1"/>
  <c r="Z154" i="3"/>
  <c r="AG154" i="3" s="1"/>
  <c r="AH154" i="3" s="1"/>
  <c r="D154" i="4"/>
  <c r="T154" i="4"/>
  <c r="AA154" i="4"/>
  <c r="AB153" i="4" s="1"/>
  <c r="I150" i="3"/>
  <c r="J150" i="3" s="1"/>
  <c r="AE150" i="3"/>
  <c r="AF150" i="3" s="1"/>
  <c r="C150" i="3"/>
  <c r="Z150" i="3"/>
  <c r="AG150" i="3" s="1"/>
  <c r="AH150" i="3" s="1"/>
  <c r="AA150" i="4"/>
  <c r="AB149" i="4" s="1"/>
  <c r="D150" i="4"/>
  <c r="T150" i="4"/>
  <c r="AL148" i="3"/>
  <c r="AB149" i="3"/>
  <c r="I148" i="3"/>
  <c r="J148" i="3" s="1"/>
  <c r="AE148" i="3"/>
  <c r="AF148" i="3" s="1"/>
  <c r="I147" i="3"/>
  <c r="J147" i="3" s="1"/>
  <c r="AE147" i="3"/>
  <c r="AF147" i="3" s="1"/>
  <c r="I144" i="3"/>
  <c r="J144" i="3" s="1"/>
  <c r="AE144" i="3"/>
  <c r="AF144" i="3" s="1"/>
  <c r="I143" i="3"/>
  <c r="J143" i="3" s="1"/>
  <c r="AE143" i="3"/>
  <c r="AF143" i="3" s="1"/>
  <c r="I112" i="3"/>
  <c r="J112" i="3" s="1"/>
  <c r="AE112" i="3"/>
  <c r="AF112" i="3" s="1"/>
  <c r="C112" i="3"/>
  <c r="Z112" i="3"/>
  <c r="AG112" i="3" s="1"/>
  <c r="AH112" i="3" s="1"/>
  <c r="T112" i="4"/>
  <c r="I111" i="3"/>
  <c r="J111" i="3" s="1"/>
  <c r="AE111" i="3"/>
  <c r="AF111" i="3" s="1"/>
  <c r="AE98" i="3"/>
  <c r="AF98" i="3" s="1"/>
  <c r="I98" i="3"/>
  <c r="J98" i="3" s="1"/>
  <c r="I96" i="3"/>
  <c r="J96" i="3" s="1"/>
  <c r="AE96" i="3"/>
  <c r="AF96" i="3" s="1"/>
  <c r="C96" i="3"/>
  <c r="Z96" i="3"/>
  <c r="T96" i="4"/>
  <c r="Z94" i="3"/>
  <c r="T94" i="4"/>
  <c r="C94" i="3"/>
  <c r="I86" i="3"/>
  <c r="J86" i="3" s="1"/>
  <c r="AE86" i="3"/>
  <c r="AF86" i="3" s="1"/>
  <c r="Z84" i="3"/>
  <c r="C84" i="3"/>
  <c r="T84" i="4"/>
  <c r="Z83" i="3"/>
  <c r="AG83" i="3" s="1"/>
  <c r="AH83" i="3" s="1"/>
  <c r="C83" i="3"/>
  <c r="T83" i="4"/>
  <c r="Z80" i="3"/>
  <c r="AG80" i="3" s="1"/>
  <c r="AH80" i="3" s="1"/>
  <c r="C80" i="3"/>
  <c r="T80" i="4"/>
  <c r="C78" i="3"/>
  <c r="T78" i="4"/>
  <c r="Z78" i="3"/>
  <c r="AE77" i="3"/>
  <c r="AF77" i="3" s="1"/>
  <c r="I77" i="3"/>
  <c r="J77" i="3" s="1"/>
  <c r="I75" i="3"/>
  <c r="J75" i="3" s="1"/>
  <c r="AE75" i="3"/>
  <c r="AF75" i="3" s="1"/>
  <c r="Z75" i="3"/>
  <c r="T75" i="4"/>
  <c r="C75" i="3"/>
  <c r="Z38" i="3"/>
  <c r="AG38" i="3" s="1"/>
  <c r="AH38" i="3" s="1"/>
  <c r="T38" i="4"/>
  <c r="C38" i="3"/>
  <c r="AE36" i="3"/>
  <c r="AF36" i="3" s="1"/>
  <c r="I36" i="3"/>
  <c r="J36" i="3" s="1"/>
  <c r="I141" i="3"/>
  <c r="J141" i="3" s="1"/>
  <c r="AE141" i="3"/>
  <c r="AF141" i="3" s="1"/>
  <c r="C141" i="3"/>
  <c r="Z141" i="3"/>
  <c r="T141" i="4"/>
  <c r="AA141" i="4"/>
  <c r="D141" i="4"/>
  <c r="I140" i="3"/>
  <c r="J140" i="3" s="1"/>
  <c r="AE140" i="3"/>
  <c r="AF140" i="3" s="1"/>
  <c r="C140" i="3"/>
  <c r="Z140" i="3"/>
  <c r="T140" i="4"/>
  <c r="AA140" i="4"/>
  <c r="D140" i="4"/>
  <c r="I139" i="3"/>
  <c r="J139" i="3" s="1"/>
  <c r="AE139" i="3"/>
  <c r="AF139" i="3" s="1"/>
  <c r="C139" i="3"/>
  <c r="Z139" i="3"/>
  <c r="D139" i="4"/>
  <c r="T139" i="4"/>
  <c r="AA139" i="4"/>
  <c r="I138" i="3"/>
  <c r="J138" i="3" s="1"/>
  <c r="AE138" i="3"/>
  <c r="AF138" i="3" s="1"/>
  <c r="C138" i="3"/>
  <c r="Z138" i="3"/>
  <c r="AA138" i="4"/>
  <c r="AB137" i="4" s="1"/>
  <c r="D138" i="4"/>
  <c r="T138" i="4"/>
  <c r="I137" i="3"/>
  <c r="J137" i="3" s="1"/>
  <c r="AE137" i="3"/>
  <c r="AF137" i="3" s="1"/>
  <c r="C137" i="3"/>
  <c r="Z137" i="3"/>
  <c r="T137" i="4"/>
  <c r="AA137" i="4"/>
  <c r="AB136" i="4" s="1"/>
  <c r="I136" i="3"/>
  <c r="J136" i="3" s="1"/>
  <c r="AE136" i="3"/>
  <c r="AF136" i="3" s="1"/>
  <c r="C136" i="3"/>
  <c r="Z136" i="3"/>
  <c r="T136" i="4"/>
  <c r="I135" i="3"/>
  <c r="J135" i="3" s="1"/>
  <c r="AE135" i="3"/>
  <c r="AF135" i="3" s="1"/>
  <c r="C135" i="3"/>
  <c r="Z135" i="3"/>
  <c r="T135" i="4"/>
  <c r="I134" i="3"/>
  <c r="J134" i="3" s="1"/>
  <c r="AE134" i="3"/>
  <c r="AF134" i="3" s="1"/>
  <c r="C134" i="3"/>
  <c r="Z134" i="3"/>
  <c r="T134" i="4"/>
  <c r="I133" i="3"/>
  <c r="J133" i="3" s="1"/>
  <c r="AE133" i="3"/>
  <c r="AF133" i="3" s="1"/>
  <c r="C133" i="3"/>
  <c r="Z133" i="3"/>
  <c r="T133" i="4"/>
  <c r="I132" i="3"/>
  <c r="J132" i="3" s="1"/>
  <c r="AE132" i="3"/>
  <c r="AF132" i="3" s="1"/>
  <c r="C132" i="3"/>
  <c r="Z132" i="3"/>
  <c r="T132" i="4"/>
  <c r="I131" i="3"/>
  <c r="J131" i="3" s="1"/>
  <c r="AE131" i="3"/>
  <c r="AF131" i="3" s="1"/>
  <c r="C131" i="3"/>
  <c r="Z131" i="3"/>
  <c r="T131" i="4"/>
  <c r="I130" i="3"/>
  <c r="J130" i="3" s="1"/>
  <c r="AE130" i="3"/>
  <c r="AF130" i="3" s="1"/>
  <c r="C130" i="3"/>
  <c r="Z130" i="3"/>
  <c r="T130" i="4"/>
  <c r="I129" i="3"/>
  <c r="J129" i="3" s="1"/>
  <c r="AE129" i="3"/>
  <c r="AF129" i="3" s="1"/>
  <c r="C129" i="3"/>
  <c r="Z129" i="3"/>
  <c r="T129" i="4"/>
  <c r="I128" i="3"/>
  <c r="J128" i="3" s="1"/>
  <c r="AE128" i="3"/>
  <c r="AF128" i="3" s="1"/>
  <c r="C128" i="3"/>
  <c r="Z128" i="3"/>
  <c r="T128" i="4"/>
  <c r="I127" i="3"/>
  <c r="J127" i="3" s="1"/>
  <c r="AE127" i="3"/>
  <c r="AF127" i="3" s="1"/>
  <c r="C127" i="3"/>
  <c r="Z127" i="3"/>
  <c r="T127" i="4"/>
  <c r="I126" i="3"/>
  <c r="J126" i="3" s="1"/>
  <c r="AE126" i="3"/>
  <c r="AF126" i="3" s="1"/>
  <c r="C126" i="3"/>
  <c r="Z126" i="3"/>
  <c r="T126" i="4"/>
  <c r="I125" i="3"/>
  <c r="J125" i="3" s="1"/>
  <c r="AE125" i="3"/>
  <c r="AF125" i="3" s="1"/>
  <c r="C125" i="3"/>
  <c r="Z125" i="3"/>
  <c r="T125" i="4"/>
  <c r="I124" i="3"/>
  <c r="J124" i="3" s="1"/>
  <c r="AE124" i="3"/>
  <c r="AF124" i="3" s="1"/>
  <c r="C124" i="3"/>
  <c r="Z124" i="3"/>
  <c r="T124" i="4"/>
  <c r="I123" i="3"/>
  <c r="J123" i="3" s="1"/>
  <c r="AE123" i="3"/>
  <c r="AF123" i="3" s="1"/>
  <c r="C123" i="3"/>
  <c r="Z123" i="3"/>
  <c r="T123" i="4"/>
  <c r="I122" i="3"/>
  <c r="J122" i="3" s="1"/>
  <c r="AE122" i="3"/>
  <c r="AF122" i="3" s="1"/>
  <c r="B11" i="1" s="1"/>
  <c r="C122" i="3"/>
  <c r="Z122" i="3"/>
  <c r="T122" i="4"/>
  <c r="I121" i="3"/>
  <c r="J121" i="3" s="1"/>
  <c r="AE121" i="3"/>
  <c r="AF121" i="3" s="1"/>
  <c r="C121" i="3"/>
  <c r="Z121" i="3"/>
  <c r="T121" i="4"/>
  <c r="I120" i="3"/>
  <c r="J120" i="3" s="1"/>
  <c r="AE120" i="3"/>
  <c r="AF120" i="3" s="1"/>
  <c r="C120" i="3"/>
  <c r="Z120" i="3"/>
  <c r="T120" i="4"/>
  <c r="I119" i="3"/>
  <c r="J119" i="3" s="1"/>
  <c r="AE119" i="3"/>
  <c r="AF119" i="3" s="1"/>
  <c r="C119" i="3"/>
  <c r="Z119" i="3"/>
  <c r="T119" i="4"/>
  <c r="I118" i="3"/>
  <c r="J118" i="3" s="1"/>
  <c r="AE118" i="3"/>
  <c r="AF118" i="3" s="1"/>
  <c r="C118" i="3"/>
  <c r="Z118" i="3"/>
  <c r="T118" i="4"/>
  <c r="I117" i="3"/>
  <c r="J117" i="3" s="1"/>
  <c r="AE117" i="3"/>
  <c r="AF117" i="3" s="1"/>
  <c r="C117" i="3"/>
  <c r="Z117" i="3"/>
  <c r="T117" i="4"/>
  <c r="I116" i="3"/>
  <c r="J116" i="3" s="1"/>
  <c r="AE116" i="3"/>
  <c r="AF116" i="3" s="1"/>
  <c r="C116" i="3"/>
  <c r="Z116" i="3"/>
  <c r="T116" i="4"/>
  <c r="I115" i="3"/>
  <c r="J115" i="3" s="1"/>
  <c r="AE115" i="3"/>
  <c r="AF115" i="3" s="1"/>
  <c r="C115" i="3"/>
  <c r="Z115" i="3"/>
  <c r="T115" i="4"/>
  <c r="I114" i="3"/>
  <c r="J114" i="3" s="1"/>
  <c r="AE114" i="3"/>
  <c r="AF114" i="3" s="1"/>
  <c r="C114" i="3"/>
  <c r="Z114" i="3"/>
  <c r="T114" i="4"/>
  <c r="I113" i="3"/>
  <c r="J113" i="3" s="1"/>
  <c r="AE113" i="3"/>
  <c r="AF113" i="3" s="1"/>
  <c r="C113" i="3"/>
  <c r="Z113" i="3"/>
  <c r="T113" i="4"/>
  <c r="Z110" i="3"/>
  <c r="C110" i="3"/>
  <c r="T110" i="4"/>
  <c r="AL108" i="3"/>
  <c r="I108" i="3"/>
  <c r="J108" i="3" s="1"/>
  <c r="AE108" i="3"/>
  <c r="AF108" i="3" s="1"/>
  <c r="AE107" i="3"/>
  <c r="AF107" i="3" s="1"/>
  <c r="I107" i="3"/>
  <c r="J107" i="3" s="1"/>
  <c r="C100" i="3"/>
  <c r="T100" i="4"/>
  <c r="Z100" i="3"/>
  <c r="I99" i="3"/>
  <c r="J99" i="3" s="1"/>
  <c r="AE99" i="3"/>
  <c r="AF99" i="3" s="1"/>
  <c r="Z99" i="3"/>
  <c r="AG99" i="3" s="1"/>
  <c r="AH99" i="3" s="1"/>
  <c r="C99" i="3"/>
  <c r="T99" i="4"/>
  <c r="I92" i="3"/>
  <c r="J92" i="3" s="1"/>
  <c r="AE92" i="3"/>
  <c r="AF92" i="3" s="1"/>
  <c r="I88" i="3"/>
  <c r="J88" i="3" s="1"/>
  <c r="AE88" i="3"/>
  <c r="AF88" i="3" s="1"/>
  <c r="Z87" i="3"/>
  <c r="AG87" i="3" s="1"/>
  <c r="AH87" i="3" s="1"/>
  <c r="C87" i="3"/>
  <c r="T87" i="4"/>
  <c r="AE83" i="3"/>
  <c r="AF83" i="3" s="1"/>
  <c r="I83" i="3"/>
  <c r="J83" i="3" s="1"/>
  <c r="I82" i="3"/>
  <c r="J82" i="3" s="1"/>
  <c r="AE82" i="3"/>
  <c r="AF82" i="3" s="1"/>
  <c r="AB80" i="3"/>
  <c r="AE80" i="3"/>
  <c r="AF80" i="3" s="1"/>
  <c r="I80" i="3"/>
  <c r="J80" i="3" s="1"/>
  <c r="Z79" i="3"/>
  <c r="C79" i="3"/>
  <c r="T79" i="4"/>
  <c r="AE78" i="3"/>
  <c r="AF78" i="3" s="1"/>
  <c r="I78" i="3"/>
  <c r="J78" i="3" s="1"/>
  <c r="C77" i="3"/>
  <c r="Z77" i="3"/>
  <c r="T77" i="4"/>
  <c r="AE76" i="3"/>
  <c r="AF76" i="3" s="1"/>
  <c r="I76" i="3"/>
  <c r="J76" i="3" s="1"/>
  <c r="Z76" i="3"/>
  <c r="C76" i="3"/>
  <c r="T76" i="4"/>
  <c r="Z74" i="3"/>
  <c r="C74" i="3"/>
  <c r="T74" i="4"/>
  <c r="C72" i="3"/>
  <c r="Z72" i="3"/>
  <c r="AG72" i="3" s="1"/>
  <c r="AH72" i="3" s="1"/>
  <c r="T72" i="4"/>
  <c r="AB39" i="3"/>
  <c r="AB38" i="3"/>
  <c r="AE38" i="3"/>
  <c r="AF38" i="3" s="1"/>
  <c r="I38" i="3"/>
  <c r="J38" i="3" s="1"/>
  <c r="C36" i="3"/>
  <c r="Z36" i="3"/>
  <c r="T36" i="4"/>
  <c r="I106" i="3"/>
  <c r="J106" i="3" s="1"/>
  <c r="AE106" i="3"/>
  <c r="AF106" i="3" s="1"/>
  <c r="C106" i="3"/>
  <c r="AA106" i="3"/>
  <c r="Z106" i="3"/>
  <c r="T106" i="4"/>
  <c r="I105" i="3"/>
  <c r="J105" i="3" s="1"/>
  <c r="AE105" i="3"/>
  <c r="AF105" i="3" s="1"/>
  <c r="C105" i="3"/>
  <c r="Z105" i="3"/>
  <c r="AG105" i="3" s="1"/>
  <c r="AH105" i="3" s="1"/>
  <c r="T105" i="4"/>
  <c r="I104" i="3"/>
  <c r="J104" i="3" s="1"/>
  <c r="AE104" i="3"/>
  <c r="AF104" i="3" s="1"/>
  <c r="C104" i="3"/>
  <c r="Z104" i="3"/>
  <c r="T104" i="4"/>
  <c r="I103" i="3"/>
  <c r="J103" i="3" s="1"/>
  <c r="AE103" i="3"/>
  <c r="AF103" i="3" s="1"/>
  <c r="C103" i="3"/>
  <c r="Z103" i="3"/>
  <c r="T103" i="4"/>
  <c r="I102" i="3"/>
  <c r="J102" i="3" s="1"/>
  <c r="AE102" i="3"/>
  <c r="AF102" i="3" s="1"/>
  <c r="C102" i="3"/>
  <c r="Z102" i="3"/>
  <c r="T102" i="4"/>
  <c r="I101" i="3"/>
  <c r="J101" i="3" s="1"/>
  <c r="AE101" i="3"/>
  <c r="AF101" i="3" s="1"/>
  <c r="C101" i="3"/>
  <c r="Z101" i="3"/>
  <c r="T101" i="4"/>
  <c r="C71" i="3"/>
  <c r="AA71" i="3"/>
  <c r="D71" i="3"/>
  <c r="E71" i="3" s="1"/>
  <c r="Z71" i="3"/>
  <c r="AG71" i="3" s="1"/>
  <c r="AH71" i="3" s="1"/>
  <c r="D71" i="4"/>
  <c r="T71" i="4"/>
  <c r="AA71" i="4"/>
  <c r="I70" i="3"/>
  <c r="J70" i="3" s="1"/>
  <c r="AE70" i="3"/>
  <c r="AF70" i="3" s="1"/>
  <c r="C70" i="3"/>
  <c r="Z70" i="3"/>
  <c r="T70" i="4"/>
  <c r="AA70" i="4"/>
  <c r="D70" i="4"/>
  <c r="I69" i="3"/>
  <c r="J69" i="3" s="1"/>
  <c r="AE69" i="3"/>
  <c r="AF69" i="3" s="1"/>
  <c r="C69" i="3"/>
  <c r="Z69" i="3"/>
  <c r="D69" i="4"/>
  <c r="T69" i="4"/>
  <c r="AA69" i="4"/>
  <c r="AB68" i="4" s="1"/>
  <c r="I68" i="3"/>
  <c r="J68" i="3" s="1"/>
  <c r="AE68" i="3"/>
  <c r="AF68" i="3" s="1"/>
  <c r="C68" i="3"/>
  <c r="Z68" i="3"/>
  <c r="D68" i="4"/>
  <c r="T68" i="4"/>
  <c r="AA68" i="4"/>
  <c r="I67" i="3"/>
  <c r="J67" i="3" s="1"/>
  <c r="AE67" i="3"/>
  <c r="AF67" i="3" s="1"/>
  <c r="C67" i="3"/>
  <c r="Z67" i="3"/>
  <c r="T67" i="4"/>
  <c r="I66" i="3"/>
  <c r="J66" i="3" s="1"/>
  <c r="AE66" i="3"/>
  <c r="AF66" i="3" s="1"/>
  <c r="C66" i="3"/>
  <c r="Z66" i="3"/>
  <c r="T66" i="4"/>
  <c r="I65" i="3"/>
  <c r="J65" i="3" s="1"/>
  <c r="AE65" i="3"/>
  <c r="AF65" i="3" s="1"/>
  <c r="C65" i="3"/>
  <c r="Z65" i="3"/>
  <c r="T65" i="4"/>
  <c r="I64" i="3"/>
  <c r="J64" i="3" s="1"/>
  <c r="AE64" i="3"/>
  <c r="AF64" i="3" s="1"/>
  <c r="C64" i="3"/>
  <c r="K64" i="3" s="1"/>
  <c r="L64" i="3" s="1"/>
  <c r="Z64" i="3"/>
  <c r="T64" i="4"/>
  <c r="I63" i="3"/>
  <c r="J63" i="3" s="1"/>
  <c r="AE63" i="3"/>
  <c r="AF63" i="3" s="1"/>
  <c r="C63" i="3"/>
  <c r="K63" i="3" s="1"/>
  <c r="L63" i="3" s="1"/>
  <c r="Z63" i="3"/>
  <c r="T63" i="4"/>
  <c r="I62" i="3"/>
  <c r="J62" i="3" s="1"/>
  <c r="AE62" i="3"/>
  <c r="AF62" i="3" s="1"/>
  <c r="C62" i="3"/>
  <c r="K62" i="3" s="1"/>
  <c r="L62" i="3" s="1"/>
  <c r="Z62" i="3"/>
  <c r="T62" i="4"/>
  <c r="I61" i="3"/>
  <c r="J61" i="3" s="1"/>
  <c r="AE61" i="3"/>
  <c r="AF61" i="3" s="1"/>
  <c r="C61" i="3"/>
  <c r="K61" i="3" s="1"/>
  <c r="L61" i="3" s="1"/>
  <c r="Z61" i="3"/>
  <c r="T61" i="4"/>
  <c r="I60" i="3"/>
  <c r="J60" i="3" s="1"/>
  <c r="AE60" i="3"/>
  <c r="AF60" i="3" s="1"/>
  <c r="C60" i="3"/>
  <c r="K60" i="3" s="1"/>
  <c r="L60" i="3" s="1"/>
  <c r="Z60" i="3"/>
  <c r="T60" i="4"/>
  <c r="I59" i="3"/>
  <c r="J59" i="3" s="1"/>
  <c r="AE59" i="3"/>
  <c r="AF59" i="3" s="1"/>
  <c r="C59" i="3"/>
  <c r="K59" i="3" s="1"/>
  <c r="L59" i="3" s="1"/>
  <c r="Z59" i="3"/>
  <c r="T59" i="4"/>
  <c r="I58" i="3"/>
  <c r="J58" i="3" s="1"/>
  <c r="AE58" i="3"/>
  <c r="AF58" i="3" s="1"/>
  <c r="C58" i="3"/>
  <c r="K58" i="3" s="1"/>
  <c r="L58" i="3" s="1"/>
  <c r="Z58" i="3"/>
  <c r="T58" i="4"/>
  <c r="I57" i="3"/>
  <c r="J57" i="3" s="1"/>
  <c r="AE57" i="3"/>
  <c r="AF57" i="3" s="1"/>
  <c r="C57" i="3"/>
  <c r="K57" i="3" s="1"/>
  <c r="L57" i="3" s="1"/>
  <c r="Z57" i="3"/>
  <c r="AG57" i="3" s="1"/>
  <c r="AH57" i="3" s="1"/>
  <c r="T57" i="4"/>
  <c r="I56" i="3"/>
  <c r="J56" i="3" s="1"/>
  <c r="AE56" i="3"/>
  <c r="AF56" i="3" s="1"/>
  <c r="C56" i="3"/>
  <c r="K56" i="3" s="1"/>
  <c r="L56" i="3" s="1"/>
  <c r="Z56" i="3"/>
  <c r="AG56" i="3" s="1"/>
  <c r="AH56" i="3" s="1"/>
  <c r="T56" i="4"/>
  <c r="I55" i="3"/>
  <c r="J55" i="3" s="1"/>
  <c r="AE55" i="3"/>
  <c r="AF55" i="3" s="1"/>
  <c r="C55" i="3"/>
  <c r="K55" i="3" s="1"/>
  <c r="L55" i="3" s="1"/>
  <c r="Z55" i="3"/>
  <c r="AG55" i="3" s="1"/>
  <c r="AH55" i="3" s="1"/>
  <c r="T55" i="4"/>
  <c r="I54" i="3"/>
  <c r="J54" i="3" s="1"/>
  <c r="AE54" i="3"/>
  <c r="AF54" i="3" s="1"/>
  <c r="C54" i="3"/>
  <c r="K54" i="3" s="1"/>
  <c r="L54" i="3" s="1"/>
  <c r="Z54" i="3"/>
  <c r="AG54" i="3" s="1"/>
  <c r="AH54" i="3" s="1"/>
  <c r="T54" i="4"/>
  <c r="I53" i="3"/>
  <c r="J53" i="3" s="1"/>
  <c r="AE53" i="3"/>
  <c r="AF53" i="3" s="1"/>
  <c r="C53" i="3"/>
  <c r="K53" i="3" s="1"/>
  <c r="L53" i="3" s="1"/>
  <c r="Z53" i="3"/>
  <c r="AG53" i="3" s="1"/>
  <c r="AH53" i="3" s="1"/>
  <c r="T53" i="4"/>
  <c r="I52" i="3"/>
  <c r="J52" i="3" s="1"/>
  <c r="AE52" i="3"/>
  <c r="AF52" i="3" s="1"/>
  <c r="C52" i="3"/>
  <c r="K52" i="3" s="1"/>
  <c r="L52" i="3" s="1"/>
  <c r="Z52" i="3"/>
  <c r="AG52" i="3" s="1"/>
  <c r="AH52" i="3" s="1"/>
  <c r="T52" i="4"/>
  <c r="I51" i="3"/>
  <c r="J51" i="3" s="1"/>
  <c r="AE51" i="3"/>
  <c r="AF51" i="3" s="1"/>
  <c r="C51" i="3"/>
  <c r="Z51" i="3"/>
  <c r="T51" i="4"/>
  <c r="I50" i="3"/>
  <c r="J50" i="3" s="1"/>
  <c r="AE50" i="3"/>
  <c r="AF50" i="3" s="1"/>
  <c r="C50" i="3"/>
  <c r="Z50" i="3"/>
  <c r="T50" i="4"/>
  <c r="I49" i="3"/>
  <c r="J49" i="3" s="1"/>
  <c r="AE49" i="3"/>
  <c r="AF49" i="3" s="1"/>
  <c r="C49" i="3"/>
  <c r="Z49" i="3"/>
  <c r="T49" i="4"/>
  <c r="I48" i="3"/>
  <c r="J48" i="3" s="1"/>
  <c r="AE48" i="3"/>
  <c r="AF48" i="3" s="1"/>
  <c r="C48" i="3"/>
  <c r="Z48" i="3"/>
  <c r="T48" i="4"/>
  <c r="I47" i="3"/>
  <c r="J47" i="3" s="1"/>
  <c r="AE47" i="3"/>
  <c r="AF47" i="3" s="1"/>
  <c r="C47" i="3"/>
  <c r="Z47" i="3"/>
  <c r="T47" i="4"/>
  <c r="I46" i="3"/>
  <c r="J46" i="3" s="1"/>
  <c r="AE46" i="3"/>
  <c r="AF46" i="3" s="1"/>
  <c r="C46" i="3"/>
  <c r="Z46" i="3"/>
  <c r="T46" i="4"/>
  <c r="I45" i="3"/>
  <c r="J45" i="3" s="1"/>
  <c r="AE45" i="3"/>
  <c r="AF45" i="3" s="1"/>
  <c r="C45" i="3"/>
  <c r="Z45" i="3"/>
  <c r="T45" i="4"/>
  <c r="I44" i="3"/>
  <c r="J44" i="3" s="1"/>
  <c r="AE44" i="3"/>
  <c r="AF44" i="3" s="1"/>
  <c r="C44" i="3"/>
  <c r="Z44" i="3"/>
  <c r="T44" i="4"/>
  <c r="I43" i="3"/>
  <c r="J43" i="3" s="1"/>
  <c r="AE43" i="3"/>
  <c r="AF43" i="3" s="1"/>
  <c r="C43" i="3"/>
  <c r="Z43" i="3"/>
  <c r="T43" i="4"/>
  <c r="I42" i="3"/>
  <c r="J42" i="3" s="1"/>
  <c r="AE42" i="3"/>
  <c r="AF42" i="3" s="1"/>
  <c r="C42" i="3"/>
  <c r="Z42" i="3"/>
  <c r="T42" i="4"/>
  <c r="I41" i="3"/>
  <c r="J41" i="3" s="1"/>
  <c r="AE41" i="3"/>
  <c r="AF41" i="3" s="1"/>
  <c r="C41" i="3"/>
  <c r="Z41" i="3"/>
  <c r="T41" i="4"/>
  <c r="I40" i="3"/>
  <c r="J40" i="3" s="1"/>
  <c r="AE40" i="3"/>
  <c r="AF40" i="3" s="1"/>
  <c r="C40" i="3"/>
  <c r="Z40" i="3"/>
  <c r="T40" i="4"/>
  <c r="I39" i="3"/>
  <c r="J39" i="3" s="1"/>
  <c r="AE39" i="3"/>
  <c r="AF39" i="3" s="1"/>
  <c r="C39" i="3"/>
  <c r="Z39" i="3"/>
  <c r="AG39" i="3" s="1"/>
  <c r="AH39" i="3" s="1"/>
  <c r="T39" i="4"/>
  <c r="I35" i="3"/>
  <c r="J35" i="3" s="1"/>
  <c r="AE35" i="3"/>
  <c r="AF35" i="3" s="1"/>
  <c r="C35" i="3"/>
  <c r="Z35" i="3"/>
  <c r="D35" i="4"/>
  <c r="T35" i="4"/>
  <c r="AA35" i="4"/>
  <c r="I34" i="3"/>
  <c r="J34" i="3" s="1"/>
  <c r="AE34" i="3"/>
  <c r="AF34" i="3" s="1"/>
  <c r="C34" i="3"/>
  <c r="Z34" i="3"/>
  <c r="D34" i="4"/>
  <c r="T34" i="4"/>
  <c r="AA34" i="4"/>
  <c r="I33" i="3"/>
  <c r="J33" i="3" s="1"/>
  <c r="AE33" i="3"/>
  <c r="AF33" i="3" s="1"/>
  <c r="C33" i="3"/>
  <c r="K33" i="3" s="1"/>
  <c r="L33" i="3" s="1"/>
  <c r="Z33" i="3"/>
  <c r="D33" i="4"/>
  <c r="T33" i="4"/>
  <c r="AA33" i="4"/>
  <c r="I32" i="3"/>
  <c r="J32" i="3" s="1"/>
  <c r="AE32" i="3"/>
  <c r="AF32" i="3" s="1"/>
  <c r="C32" i="3"/>
  <c r="K32" i="3" s="1"/>
  <c r="L32" i="3" s="1"/>
  <c r="Z32" i="3"/>
  <c r="D32" i="4"/>
  <c r="T32" i="4"/>
  <c r="AA32" i="4"/>
  <c r="I31" i="3"/>
  <c r="J31" i="3" s="1"/>
  <c r="AE31" i="3"/>
  <c r="AF31" i="3" s="1"/>
  <c r="C31" i="3"/>
  <c r="K31" i="3" s="1"/>
  <c r="L31" i="3" s="1"/>
  <c r="Z31" i="3"/>
  <c r="D31" i="4"/>
  <c r="T31" i="4"/>
  <c r="AA31" i="4"/>
  <c r="I30" i="3"/>
  <c r="J30" i="3" s="1"/>
  <c r="AE30" i="3"/>
  <c r="AF30" i="3" s="1"/>
  <c r="C30" i="3"/>
  <c r="K30" i="3" s="1"/>
  <c r="L30" i="3" s="1"/>
  <c r="Z30" i="3"/>
  <c r="D30" i="4"/>
  <c r="T30" i="4"/>
  <c r="AA30" i="4"/>
  <c r="I29" i="3"/>
  <c r="J29" i="3" s="1"/>
  <c r="AE29" i="3"/>
  <c r="AF29" i="3" s="1"/>
  <c r="C29" i="3"/>
  <c r="K29" i="3" s="1"/>
  <c r="L29" i="3" s="1"/>
  <c r="Z29" i="3"/>
  <c r="D29" i="4"/>
  <c r="T29" i="4"/>
  <c r="AA29" i="4"/>
  <c r="I28" i="3"/>
  <c r="J28" i="3" s="1"/>
  <c r="AE28" i="3"/>
  <c r="AF28" i="3" s="1"/>
  <c r="C28" i="3"/>
  <c r="K28" i="3" s="1"/>
  <c r="L28" i="3" s="1"/>
  <c r="Z28" i="3"/>
  <c r="D28" i="4"/>
  <c r="T28" i="4"/>
  <c r="AA28" i="4"/>
  <c r="AB27" i="4" s="1"/>
  <c r="I27" i="3"/>
  <c r="J27" i="3" s="1"/>
  <c r="AE27" i="3"/>
  <c r="AF27" i="3" s="1"/>
  <c r="C27" i="3"/>
  <c r="K27" i="3" s="1"/>
  <c r="L27" i="3" s="1"/>
  <c r="Z27" i="3"/>
  <c r="D27" i="4"/>
  <c r="T27" i="4"/>
  <c r="AA27" i="4"/>
  <c r="AB26" i="4" s="1"/>
  <c r="I26" i="3"/>
  <c r="J26" i="3" s="1"/>
  <c r="AE26" i="3"/>
  <c r="AF26" i="3" s="1"/>
  <c r="C26" i="3"/>
  <c r="Z26" i="3"/>
  <c r="D26" i="4"/>
  <c r="T26" i="4"/>
  <c r="AA26" i="4"/>
  <c r="I25" i="3"/>
  <c r="J25" i="3" s="1"/>
  <c r="AE25" i="3"/>
  <c r="AF25" i="3" s="1"/>
  <c r="C25" i="3"/>
  <c r="Z25" i="3"/>
  <c r="D25" i="4"/>
  <c r="T25" i="4"/>
  <c r="AA25" i="4"/>
  <c r="I24" i="3"/>
  <c r="J24" i="3" s="1"/>
  <c r="AE24" i="3"/>
  <c r="AF24" i="3" s="1"/>
  <c r="C24" i="3"/>
  <c r="K24" i="3" s="1"/>
  <c r="L24" i="3" s="1"/>
  <c r="Z24" i="3"/>
  <c r="D24" i="4"/>
  <c r="T24" i="4"/>
  <c r="AA24" i="4"/>
  <c r="I23" i="3"/>
  <c r="J23" i="3" s="1"/>
  <c r="AE23" i="3"/>
  <c r="AF23" i="3" s="1"/>
  <c r="C23" i="3"/>
  <c r="K23" i="3" s="1"/>
  <c r="L23" i="3" s="1"/>
  <c r="Z23" i="3"/>
  <c r="D23" i="4"/>
  <c r="AA23" i="4"/>
  <c r="T23" i="4"/>
  <c r="I22" i="3"/>
  <c r="J22" i="3" s="1"/>
  <c r="AE22" i="3"/>
  <c r="AF22" i="3" s="1"/>
  <c r="C22" i="3"/>
  <c r="K22" i="3" s="1"/>
  <c r="L22" i="3" s="1"/>
  <c r="Z22" i="3"/>
  <c r="D22" i="4"/>
  <c r="T22" i="4"/>
  <c r="AA22" i="4"/>
  <c r="I21" i="3"/>
  <c r="J21" i="3" s="1"/>
  <c r="AE21" i="3"/>
  <c r="AF21" i="3" s="1"/>
  <c r="C21" i="3"/>
  <c r="K21" i="3" s="1"/>
  <c r="L21" i="3" s="1"/>
  <c r="Z21" i="3"/>
  <c r="D21" i="4"/>
  <c r="T21" i="4"/>
  <c r="AA21" i="4"/>
  <c r="I20" i="3"/>
  <c r="J20" i="3" s="1"/>
  <c r="AE20" i="3"/>
  <c r="AF20" i="3" s="1"/>
  <c r="C20" i="3"/>
  <c r="Z20" i="3"/>
  <c r="D20" i="4"/>
  <c r="AA20" i="4"/>
  <c r="T20" i="4"/>
  <c r="I19" i="3"/>
  <c r="J19" i="3" s="1"/>
  <c r="AE19" i="3"/>
  <c r="AF19" i="3" s="1"/>
  <c r="C19" i="3"/>
  <c r="K19" i="3" s="1"/>
  <c r="L19" i="3" s="1"/>
  <c r="Z19" i="3"/>
  <c r="D19" i="4"/>
  <c r="T19" i="4"/>
  <c r="AA19" i="4"/>
  <c r="I18" i="3"/>
  <c r="J18" i="3" s="1"/>
  <c r="AE18" i="3"/>
  <c r="AF18" i="3" s="1"/>
  <c r="C18" i="3"/>
  <c r="K18" i="3" s="1"/>
  <c r="L18" i="3" s="1"/>
  <c r="Z18" i="3"/>
  <c r="D18" i="4"/>
  <c r="T18" i="4"/>
  <c r="AA18" i="4"/>
  <c r="I17" i="3"/>
  <c r="J17" i="3" s="1"/>
  <c r="AE17" i="3"/>
  <c r="AF17" i="3" s="1"/>
  <c r="C17" i="3"/>
  <c r="K17" i="3" s="1"/>
  <c r="L17" i="3" s="1"/>
  <c r="Z17" i="3"/>
  <c r="AG17" i="3" s="1"/>
  <c r="AH17" i="3" s="1"/>
  <c r="D17" i="4"/>
  <c r="T17" i="4"/>
  <c r="AA17" i="4"/>
  <c r="I16" i="3"/>
  <c r="J16" i="3" s="1"/>
  <c r="AE16" i="3"/>
  <c r="AF16" i="3" s="1"/>
  <c r="C16" i="3"/>
  <c r="Z16" i="3"/>
  <c r="D16" i="4"/>
  <c r="T16" i="4"/>
  <c r="AA16" i="4"/>
  <c r="I15" i="3"/>
  <c r="J15" i="3" s="1"/>
  <c r="AE15" i="3"/>
  <c r="AF15" i="3" s="1"/>
  <c r="C15" i="3"/>
  <c r="K15" i="3" s="1"/>
  <c r="L15" i="3" s="1"/>
  <c r="Z15" i="3"/>
  <c r="AG15" i="3" s="1"/>
  <c r="AH15" i="3" s="1"/>
  <c r="D15" i="4"/>
  <c r="T15" i="4"/>
  <c r="AA15" i="4"/>
  <c r="I14" i="3"/>
  <c r="J14" i="3" s="1"/>
  <c r="AE14" i="3"/>
  <c r="AF14" i="3" s="1"/>
  <c r="C14" i="3"/>
  <c r="Z14" i="3"/>
  <c r="D14" i="4"/>
  <c r="T14" i="4"/>
  <c r="AA14" i="4"/>
  <c r="I13" i="3"/>
  <c r="J13" i="3" s="1"/>
  <c r="AE13" i="3"/>
  <c r="AF13" i="3" s="1"/>
  <c r="C13" i="3"/>
  <c r="K13" i="3" s="1"/>
  <c r="L13" i="3" s="1"/>
  <c r="Z13" i="3"/>
  <c r="AG13" i="3" s="1"/>
  <c r="AH13" i="3" s="1"/>
  <c r="D13" i="4"/>
  <c r="T13" i="4"/>
  <c r="AA13" i="4"/>
  <c r="I12" i="3"/>
  <c r="J12" i="3" s="1"/>
  <c r="AE12" i="3"/>
  <c r="AF12" i="3" s="1"/>
  <c r="C12" i="3"/>
  <c r="K12" i="3" s="1"/>
  <c r="L12" i="3" s="1"/>
  <c r="Z12" i="3"/>
  <c r="D12" i="4"/>
  <c r="T12" i="4"/>
  <c r="AA12" i="4"/>
  <c r="I11" i="3"/>
  <c r="J11" i="3" s="1"/>
  <c r="AE11" i="3"/>
  <c r="AF11" i="3" s="1"/>
  <c r="C11" i="3"/>
  <c r="K11" i="3" s="1"/>
  <c r="L11" i="3" s="1"/>
  <c r="Z11" i="3"/>
  <c r="AG11" i="3" s="1"/>
  <c r="AH11" i="3" s="1"/>
  <c r="D11" i="4"/>
  <c r="T11" i="4"/>
  <c r="AA11" i="4"/>
  <c r="AB10" i="4" s="1"/>
  <c r="I10" i="3"/>
  <c r="J10" i="3" s="1"/>
  <c r="AE10" i="3"/>
  <c r="AF10" i="3" s="1"/>
  <c r="C10" i="3"/>
  <c r="K10" i="3" s="1"/>
  <c r="L10" i="3" s="1"/>
  <c r="Z10" i="3"/>
  <c r="D10" i="4"/>
  <c r="T10" i="4"/>
  <c r="AA10" i="4"/>
  <c r="AB9" i="4" s="1"/>
  <c r="I9" i="3"/>
  <c r="J9" i="3" s="1"/>
  <c r="AE9" i="3"/>
  <c r="AF9" i="3" s="1"/>
  <c r="C9" i="3"/>
  <c r="K9" i="3" s="1"/>
  <c r="L9" i="3" s="1"/>
  <c r="Z9" i="3"/>
  <c r="AG9" i="3" s="1"/>
  <c r="AH9" i="3" s="1"/>
  <c r="T9" i="4"/>
  <c r="I8" i="3"/>
  <c r="J8" i="3" s="1"/>
  <c r="AE8" i="3"/>
  <c r="AF8" i="3" s="1"/>
  <c r="C8" i="3"/>
  <c r="K8" i="3" s="1"/>
  <c r="L8" i="3" s="1"/>
  <c r="Z8" i="3"/>
  <c r="T8" i="4"/>
  <c r="I7" i="3"/>
  <c r="J7" i="3" s="1"/>
  <c r="AE7" i="3"/>
  <c r="AF7" i="3" s="1"/>
  <c r="C7" i="3"/>
  <c r="Z7" i="3"/>
  <c r="T7" i="4"/>
  <c r="I6" i="3"/>
  <c r="J6" i="3" s="1"/>
  <c r="AE6" i="3"/>
  <c r="AF6" i="3" s="1"/>
  <c r="C6" i="3"/>
  <c r="K6" i="3" s="1"/>
  <c r="L6" i="3" s="1"/>
  <c r="Z6" i="3"/>
  <c r="T6" i="4"/>
  <c r="I5" i="3"/>
  <c r="J5" i="3" s="1"/>
  <c r="AE5" i="3"/>
  <c r="AF5" i="3" s="1"/>
  <c r="C5" i="3"/>
  <c r="Z5" i="3"/>
  <c r="T5" i="4"/>
  <c r="I4" i="3"/>
  <c r="J4" i="3" s="1"/>
  <c r="AE4" i="3"/>
  <c r="AF4" i="3" s="1"/>
  <c r="C4" i="3"/>
  <c r="K4" i="3" s="1"/>
  <c r="L4" i="3" s="1"/>
  <c r="Z4" i="3"/>
  <c r="T4" i="4"/>
  <c r="I3" i="3"/>
  <c r="J3" i="3" s="1"/>
  <c r="AE3" i="3"/>
  <c r="AF3" i="3" s="1"/>
  <c r="C3" i="3"/>
  <c r="Z3" i="3"/>
  <c r="T3" i="4"/>
  <c r="AK2" i="3"/>
  <c r="B12" i="1"/>
  <c r="B13" i="1"/>
  <c r="I2" i="3"/>
  <c r="J2" i="3" s="1"/>
  <c r="AE2" i="3"/>
  <c r="AF2" i="3" s="1"/>
  <c r="C2" i="3"/>
  <c r="K2" i="3" s="1"/>
  <c r="L2" i="3" s="1"/>
  <c r="Z2" i="3"/>
  <c r="T2" i="4"/>
  <c r="AB126" i="4"/>
  <c r="D90" i="4"/>
  <c r="AA89" i="4"/>
  <c r="D89" i="4"/>
  <c r="AB87" i="4"/>
  <c r="D184" i="4"/>
  <c r="AB135" i="4"/>
  <c r="AB134" i="4"/>
  <c r="AB130" i="4"/>
  <c r="AB129" i="4"/>
  <c r="AB127" i="4"/>
  <c r="AB104" i="4"/>
  <c r="AB103" i="4"/>
  <c r="AB39" i="4"/>
  <c r="AB180" i="4"/>
  <c r="AB48" i="4"/>
  <c r="AB178" i="4"/>
  <c r="AB95" i="4"/>
  <c r="D98" i="3"/>
  <c r="AA95" i="3"/>
  <c r="AB128" i="4"/>
  <c r="AD92" i="4"/>
  <c r="Q92" i="4" s="1"/>
  <c r="AA90" i="4"/>
  <c r="AB85" i="4"/>
  <c r="AB133" i="4"/>
  <c r="AB125" i="4"/>
  <c r="AB101" i="4"/>
  <c r="AA98" i="4"/>
  <c r="D98" i="4"/>
  <c r="AA95" i="4"/>
  <c r="D85" i="4"/>
  <c r="AB83" i="4"/>
  <c r="AB51" i="4"/>
  <c r="O87" i="3"/>
  <c r="AC92" i="4"/>
  <c r="O92" i="4" s="1"/>
  <c r="AA143" i="3"/>
  <c r="AB182" i="4"/>
  <c r="D182" i="4"/>
  <c r="D180" i="4"/>
  <c r="AB132" i="4"/>
  <c r="AB55" i="4"/>
  <c r="AA184" i="4"/>
  <c r="AA182" i="4"/>
  <c r="D95" i="4"/>
  <c r="AB93" i="4"/>
  <c r="AB42" i="4"/>
  <c r="AB40" i="4"/>
  <c r="AA37" i="4"/>
  <c r="AB54" i="4"/>
  <c r="O107" i="3"/>
  <c r="G62" i="1"/>
  <c r="H62" i="1" s="1"/>
  <c r="G61" i="1"/>
  <c r="H61" i="1" s="1"/>
  <c r="G60" i="1"/>
  <c r="H60" i="1" s="1"/>
  <c r="G59" i="1"/>
  <c r="H59" i="1" s="1"/>
  <c r="D200" i="4"/>
  <c r="AA199" i="4"/>
  <c r="AB198" i="4" s="1"/>
  <c r="D199" i="4"/>
  <c r="AA198" i="4"/>
  <c r="AB196" i="4"/>
  <c r="AA196" i="4"/>
  <c r="D196" i="4"/>
  <c r="AB194" i="4"/>
  <c r="AA194" i="4"/>
  <c r="D194" i="4"/>
  <c r="AB192" i="4"/>
  <c r="AA192" i="4"/>
  <c r="D192" i="4"/>
  <c r="AA190" i="4"/>
  <c r="AB189" i="4" s="1"/>
  <c r="D190" i="4"/>
  <c r="AA189" i="4"/>
  <c r="D189" i="4"/>
  <c r="AB186" i="4"/>
  <c r="AA186" i="4"/>
  <c r="D186" i="4"/>
  <c r="AB184" i="4"/>
  <c r="AA180" i="4"/>
  <c r="AB179" i="4" s="1"/>
  <c r="AB131" i="4"/>
  <c r="AB102" i="4"/>
  <c r="AA85" i="4"/>
  <c r="D124" i="4"/>
  <c r="AA123" i="4"/>
  <c r="D123" i="4"/>
  <c r="AA122" i="4"/>
  <c r="D122" i="4"/>
  <c r="AA121" i="4"/>
  <c r="D121" i="4"/>
  <c r="AA120" i="4"/>
  <c r="D120" i="4"/>
  <c r="AA119" i="4"/>
  <c r="D119" i="4"/>
  <c r="AA118" i="4"/>
  <c r="D118" i="4"/>
  <c r="AA117" i="4"/>
  <c r="D117" i="4"/>
  <c r="AA116" i="4"/>
  <c r="D116" i="4"/>
  <c r="AA115" i="4"/>
  <c r="D115" i="4"/>
  <c r="AA114" i="4"/>
  <c r="AB113" i="4" s="1"/>
  <c r="D114" i="4"/>
  <c r="AA113" i="4"/>
  <c r="D113" i="4"/>
  <c r="AA111" i="4"/>
  <c r="AB110" i="4" s="1"/>
  <c r="D111" i="4"/>
  <c r="AA110" i="4"/>
  <c r="D110" i="4"/>
  <c r="AB108" i="4"/>
  <c r="AA108" i="4"/>
  <c r="D108" i="4"/>
  <c r="AB106" i="4"/>
  <c r="AA106" i="4"/>
  <c r="AB105" i="4" s="1"/>
  <c r="D82" i="4"/>
  <c r="AA81" i="4"/>
  <c r="D81" i="4"/>
  <c r="AA80" i="4"/>
  <c r="D80" i="4"/>
  <c r="AA79" i="4"/>
  <c r="D79" i="4"/>
  <c r="AA78" i="4"/>
  <c r="AA77" i="4"/>
  <c r="AB76" i="4" s="1"/>
  <c r="D77" i="4"/>
  <c r="AA76" i="4"/>
  <c r="D76" i="4"/>
  <c r="AA74" i="4"/>
  <c r="AB73" i="4" s="1"/>
  <c r="D74" i="4"/>
  <c r="AA73" i="4"/>
  <c r="AA66" i="4"/>
  <c r="AB65" i="4" s="1"/>
  <c r="D66" i="4"/>
  <c r="AA65" i="4"/>
  <c r="D65" i="4"/>
  <c r="AB63" i="4"/>
  <c r="AB62" i="4"/>
  <c r="AB61" i="4"/>
  <c r="AB60" i="4"/>
  <c r="AB59" i="4"/>
  <c r="AB58" i="4"/>
  <c r="AB57" i="4"/>
  <c r="AB56" i="4"/>
  <c r="AB50" i="4"/>
  <c r="AB47" i="4"/>
  <c r="AB44" i="4"/>
  <c r="AB41" i="4"/>
  <c r="D37" i="4"/>
  <c r="AB53" i="4"/>
  <c r="O149" i="3"/>
  <c r="O97" i="3"/>
  <c r="D9" i="4"/>
  <c r="AA8" i="4"/>
  <c r="D8" i="4"/>
  <c r="AA7" i="4"/>
  <c r="D7" i="4"/>
  <c r="AA6" i="4"/>
  <c r="D6" i="4"/>
  <c r="AA5" i="4"/>
  <c r="D5" i="4"/>
  <c r="AA4" i="4"/>
  <c r="D4" i="4"/>
  <c r="AA3" i="4"/>
  <c r="D3" i="4"/>
  <c r="AA2" i="4"/>
  <c r="D2" i="4"/>
  <c r="AA242" i="3"/>
  <c r="AK242" i="3"/>
  <c r="D242" i="3"/>
  <c r="E242" i="3" s="1"/>
  <c r="AA241" i="3"/>
  <c r="AK241" i="3"/>
  <c r="D241" i="3"/>
  <c r="E241" i="3" s="1"/>
  <c r="AA240" i="3"/>
  <c r="AK240" i="3"/>
  <c r="D240" i="3"/>
  <c r="E240" i="3" s="1"/>
  <c r="AA239" i="3"/>
  <c r="AK239" i="3"/>
  <c r="D239" i="3"/>
  <c r="E239" i="3" s="1"/>
  <c r="AA238" i="3"/>
  <c r="AK238" i="3"/>
  <c r="D238" i="3"/>
  <c r="E238" i="3" s="1"/>
  <c r="AA237" i="3"/>
  <c r="AK237" i="3"/>
  <c r="D237" i="3"/>
  <c r="E237" i="3" s="1"/>
  <c r="AA236" i="3"/>
  <c r="AK236" i="3"/>
  <c r="D236" i="3"/>
  <c r="E236" i="3" s="1"/>
  <c r="AA235" i="3"/>
  <c r="AK235" i="3"/>
  <c r="D235" i="3"/>
  <c r="E235" i="3" s="1"/>
  <c r="AA234" i="3"/>
  <c r="AK234" i="3"/>
  <c r="D234" i="3"/>
  <c r="E234" i="3" s="1"/>
  <c r="AA233" i="3"/>
  <c r="AK233" i="3"/>
  <c r="D233" i="3"/>
  <c r="E233" i="3" s="1"/>
  <c r="AA232" i="3"/>
  <c r="AK232" i="3"/>
  <c r="D232" i="3"/>
  <c r="E232" i="3" s="1"/>
  <c r="AA231" i="3"/>
  <c r="AK231" i="3"/>
  <c r="D231" i="3"/>
  <c r="E231" i="3" s="1"/>
  <c r="AA230" i="3"/>
  <c r="AK230" i="3"/>
  <c r="D230" i="3"/>
  <c r="E230" i="3" s="1"/>
  <c r="AA229" i="3"/>
  <c r="AK229" i="3"/>
  <c r="D229" i="3"/>
  <c r="E229" i="3" s="1"/>
  <c r="AA228" i="3"/>
  <c r="AK228" i="3"/>
  <c r="D228" i="3"/>
  <c r="E228" i="3" s="1"/>
  <c r="AA227" i="3"/>
  <c r="AK227" i="3"/>
  <c r="D227" i="3"/>
  <c r="E227" i="3" s="1"/>
  <c r="AA226" i="3"/>
  <c r="AK226" i="3"/>
  <c r="D226" i="3"/>
  <c r="AA225" i="3"/>
  <c r="AK225" i="3"/>
  <c r="D225" i="3"/>
  <c r="AA224" i="3"/>
  <c r="AK224" i="3"/>
  <c r="D224" i="3"/>
  <c r="E224" i="3" s="1"/>
  <c r="AA223" i="3"/>
  <c r="AK223" i="3"/>
  <c r="D223" i="3"/>
  <c r="E223" i="3" s="1"/>
  <c r="AA222" i="3"/>
  <c r="AK222" i="3"/>
  <c r="D222" i="3"/>
  <c r="E222" i="3" s="1"/>
  <c r="AA221" i="3"/>
  <c r="AK221" i="3"/>
  <c r="D221" i="3"/>
  <c r="E221" i="3" s="1"/>
  <c r="AA220" i="3"/>
  <c r="AK220" i="3"/>
  <c r="D220" i="3"/>
  <c r="E220" i="3" s="1"/>
  <c r="AA219" i="3"/>
  <c r="AK219" i="3"/>
  <c r="D219" i="3"/>
  <c r="E219" i="3" s="1"/>
  <c r="AA218" i="3"/>
  <c r="AK218" i="3"/>
  <c r="D218" i="3"/>
  <c r="E218" i="3" s="1"/>
  <c r="AA217" i="3"/>
  <c r="AK217" i="3"/>
  <c r="D217" i="3"/>
  <c r="E217" i="3" s="1"/>
  <c r="AA216" i="3"/>
  <c r="AK216" i="3"/>
  <c r="D216" i="3"/>
  <c r="E216" i="3" s="1"/>
  <c r="AA215" i="3"/>
  <c r="AK215" i="3"/>
  <c r="D215" i="3"/>
  <c r="AA214" i="3"/>
  <c r="AK214" i="3"/>
  <c r="D214" i="3"/>
  <c r="AA213" i="3"/>
  <c r="AK213" i="3"/>
  <c r="D213" i="3"/>
  <c r="AA199" i="3"/>
  <c r="D199" i="3"/>
  <c r="O198" i="3"/>
  <c r="O197" i="3"/>
  <c r="AA196" i="3"/>
  <c r="AA195" i="3"/>
  <c r="O195" i="3"/>
  <c r="AA194" i="3"/>
  <c r="D194" i="3"/>
  <c r="AA192" i="3"/>
  <c r="AA190" i="3"/>
  <c r="AK190" i="3"/>
  <c r="D190" i="3"/>
  <c r="AA189" i="3"/>
  <c r="AA186" i="3"/>
  <c r="O185" i="3"/>
  <c r="AA182" i="3"/>
  <c r="AA179" i="3"/>
  <c r="O177" i="3"/>
  <c r="D212" i="3"/>
  <c r="E212" i="3" s="1"/>
  <c r="AA211" i="3"/>
  <c r="AK211" i="3"/>
  <c r="D211" i="3"/>
  <c r="E211" i="3" s="1"/>
  <c r="AA210" i="3"/>
  <c r="AK210" i="3"/>
  <c r="D210" i="3"/>
  <c r="E210" i="3" s="1"/>
  <c r="AA209" i="3"/>
  <c r="AK209" i="3"/>
  <c r="D209" i="3"/>
  <c r="E209" i="3" s="1"/>
  <c r="AA208" i="3"/>
  <c r="AK208" i="3"/>
  <c r="D208" i="3"/>
  <c r="E208" i="3" s="1"/>
  <c r="AA207" i="3"/>
  <c r="AK207" i="3"/>
  <c r="D207" i="3"/>
  <c r="E207" i="3" s="1"/>
  <c r="AA206" i="3"/>
  <c r="AK206" i="3"/>
  <c r="D206" i="3"/>
  <c r="E206" i="3" s="1"/>
  <c r="AA205" i="3"/>
  <c r="AK205" i="3"/>
  <c r="D205" i="3"/>
  <c r="AA204" i="3"/>
  <c r="AK204" i="3"/>
  <c r="D204" i="3"/>
  <c r="AA203" i="3"/>
  <c r="AK203" i="3"/>
  <c r="D203" i="3"/>
  <c r="AA202" i="3"/>
  <c r="AK202" i="3"/>
  <c r="D202" i="3"/>
  <c r="AA201" i="3"/>
  <c r="AK201" i="3"/>
  <c r="D201" i="3"/>
  <c r="AA200" i="3"/>
  <c r="AK200" i="3"/>
  <c r="O200" i="3"/>
  <c r="AK199" i="3"/>
  <c r="AK198" i="3"/>
  <c r="AK197" i="3"/>
  <c r="AK196" i="3"/>
  <c r="D196" i="3"/>
  <c r="D195" i="3"/>
  <c r="AK194" i="3"/>
  <c r="AA193" i="3"/>
  <c r="Z193" i="3"/>
  <c r="AG193" i="3" s="1"/>
  <c r="AH193" i="3" s="1"/>
  <c r="O193" i="3"/>
  <c r="E193" i="3"/>
  <c r="D192" i="3"/>
  <c r="AA191" i="3"/>
  <c r="O191" i="3"/>
  <c r="D189" i="3"/>
  <c r="AA188" i="3"/>
  <c r="D188" i="3"/>
  <c r="AK187" i="3"/>
  <c r="D187" i="3"/>
  <c r="AK186" i="3"/>
  <c r="D186" i="3"/>
  <c r="AK185" i="3"/>
  <c r="AA184" i="3"/>
  <c r="AK184" i="3"/>
  <c r="D184" i="3"/>
  <c r="E184" i="3" s="1"/>
  <c r="AA183" i="3"/>
  <c r="O183" i="3"/>
  <c r="D182" i="3"/>
  <c r="E182" i="3" s="1"/>
  <c r="AK181" i="3"/>
  <c r="D181" i="3"/>
  <c r="AA180" i="3"/>
  <c r="AK180" i="3"/>
  <c r="D180" i="3"/>
  <c r="E180" i="3" s="1"/>
  <c r="O179" i="3"/>
  <c r="AA178" i="3"/>
  <c r="AK178" i="3"/>
  <c r="O178" i="3"/>
  <c r="AA177" i="3"/>
  <c r="D153" i="3"/>
  <c r="E153" i="3" s="1"/>
  <c r="AA152" i="3"/>
  <c r="D152" i="3"/>
  <c r="E152" i="3" s="1"/>
  <c r="O151" i="3"/>
  <c r="AA150" i="3"/>
  <c r="O150" i="3"/>
  <c r="AK149" i="3"/>
  <c r="AA148" i="3"/>
  <c r="D148" i="3"/>
  <c r="E148" i="3" s="1"/>
  <c r="AK147" i="3"/>
  <c r="D147" i="3"/>
  <c r="E147" i="3" s="1"/>
  <c r="O146" i="3"/>
  <c r="AA144" i="3"/>
  <c r="AK144" i="3"/>
  <c r="AK112" i="3"/>
  <c r="O112" i="3"/>
  <c r="AK111" i="3"/>
  <c r="AA110" i="3"/>
  <c r="D110" i="3"/>
  <c r="E110" i="3" s="1"/>
  <c r="D108" i="3"/>
  <c r="E108" i="3" s="1"/>
  <c r="AK98" i="3"/>
  <c r="O96" i="3"/>
  <c r="AA94" i="3"/>
  <c r="AA93" i="3"/>
  <c r="AK91" i="3"/>
  <c r="D91" i="3"/>
  <c r="E91" i="3" s="1"/>
  <c r="AA90" i="3"/>
  <c r="D90" i="3"/>
  <c r="E90" i="3" s="1"/>
  <c r="D88" i="3"/>
  <c r="D86" i="3"/>
  <c r="E86" i="3" s="1"/>
  <c r="D85" i="3"/>
  <c r="E85" i="3" s="1"/>
  <c r="AK80" i="3"/>
  <c r="D79" i="3"/>
  <c r="E79" i="3" s="1"/>
  <c r="AA78" i="3"/>
  <c r="D77" i="3"/>
  <c r="E77" i="3" s="1"/>
  <c r="AA76" i="3"/>
  <c r="D76" i="3"/>
  <c r="E76" i="3" s="1"/>
  <c r="AA74" i="3"/>
  <c r="D73" i="3"/>
  <c r="E73" i="3" s="1"/>
  <c r="AK37" i="3"/>
  <c r="AA176" i="3"/>
  <c r="AK176" i="3"/>
  <c r="D176" i="3"/>
  <c r="E176" i="3" s="1"/>
  <c r="AA175" i="3"/>
  <c r="AK175" i="3"/>
  <c r="D175" i="3"/>
  <c r="E175" i="3" s="1"/>
  <c r="AA174" i="3"/>
  <c r="AK174" i="3"/>
  <c r="D174" i="3"/>
  <c r="E174" i="3" s="1"/>
  <c r="AA173" i="3"/>
  <c r="AK173" i="3"/>
  <c r="D173" i="3"/>
  <c r="E173" i="3" s="1"/>
  <c r="AA172" i="3"/>
  <c r="AK172" i="3"/>
  <c r="D172" i="3"/>
  <c r="E172" i="3" s="1"/>
  <c r="AA171" i="3"/>
  <c r="AK171" i="3"/>
  <c r="D171" i="3"/>
  <c r="AA170" i="3"/>
  <c r="AK170" i="3"/>
  <c r="D170" i="3"/>
  <c r="AA169" i="3"/>
  <c r="AK169" i="3"/>
  <c r="D169" i="3"/>
  <c r="AA168" i="3"/>
  <c r="AK168" i="3"/>
  <c r="D168" i="3"/>
  <c r="E168" i="3" s="1"/>
  <c r="AA167" i="3"/>
  <c r="AK167" i="3"/>
  <c r="D167" i="3"/>
  <c r="E167" i="3" s="1"/>
  <c r="AA166" i="3"/>
  <c r="AK166" i="3"/>
  <c r="D166" i="3"/>
  <c r="E166" i="3" s="1"/>
  <c r="AA165" i="3"/>
  <c r="AK165" i="3"/>
  <c r="D165" i="3"/>
  <c r="E165" i="3" s="1"/>
  <c r="AA164" i="3"/>
  <c r="AK164" i="3"/>
  <c r="D164" i="3"/>
  <c r="E164" i="3" s="1"/>
  <c r="AA163" i="3"/>
  <c r="AK163" i="3"/>
  <c r="D163" i="3"/>
  <c r="E163" i="3" s="1"/>
  <c r="AA162" i="3"/>
  <c r="AK162" i="3"/>
  <c r="D162" i="3"/>
  <c r="E162" i="3" s="1"/>
  <c r="AA161" i="3"/>
  <c r="AK161" i="3"/>
  <c r="D161" i="3"/>
  <c r="E161" i="3" s="1"/>
  <c r="AA160" i="3"/>
  <c r="AK160" i="3"/>
  <c r="D160" i="3"/>
  <c r="E160" i="3" s="1"/>
  <c r="AA159" i="3"/>
  <c r="AK159" i="3"/>
  <c r="D159" i="3"/>
  <c r="E159" i="3" s="1"/>
  <c r="AA158" i="3"/>
  <c r="AK158" i="3"/>
  <c r="D158" i="3"/>
  <c r="E158" i="3" s="1"/>
  <c r="AA157" i="3"/>
  <c r="AK157" i="3"/>
  <c r="D157" i="3"/>
  <c r="AA156" i="3"/>
  <c r="AK156" i="3"/>
  <c r="D156" i="3"/>
  <c r="AA155" i="3"/>
  <c r="AK155" i="3"/>
  <c r="D155" i="3"/>
  <c r="AA154" i="3"/>
  <c r="AK154" i="3"/>
  <c r="D154" i="3"/>
  <c r="AA153" i="3"/>
  <c r="O153" i="3"/>
  <c r="AK151" i="3"/>
  <c r="AK150" i="3"/>
  <c r="O148" i="3"/>
  <c r="AA146" i="3"/>
  <c r="AA145" i="3"/>
  <c r="D145" i="3"/>
  <c r="E145" i="3" s="1"/>
  <c r="O144" i="3"/>
  <c r="D143" i="3"/>
  <c r="E143" i="3" s="1"/>
  <c r="AA142" i="3"/>
  <c r="AA84" i="3"/>
  <c r="AK83" i="3"/>
  <c r="O80" i="3"/>
  <c r="AA79" i="3"/>
  <c r="AA77" i="3"/>
  <c r="O77" i="3"/>
  <c r="O76" i="3"/>
  <c r="O72" i="3"/>
  <c r="O38" i="3"/>
  <c r="D37" i="3"/>
  <c r="E37" i="3" s="1"/>
  <c r="AA36" i="3"/>
  <c r="D36" i="3"/>
  <c r="E36" i="3" s="1"/>
  <c r="D106" i="3"/>
  <c r="E106" i="3" s="1"/>
  <c r="AK105" i="3"/>
  <c r="D105" i="3"/>
  <c r="E105" i="3" s="1"/>
  <c r="AA104" i="3"/>
  <c r="AK104" i="3"/>
  <c r="D104" i="3"/>
  <c r="E104" i="3" s="1"/>
  <c r="AA103" i="3"/>
  <c r="AK103" i="3"/>
  <c r="D103" i="3"/>
  <c r="E103" i="3" s="1"/>
  <c r="AA102" i="3"/>
  <c r="AK102" i="3"/>
  <c r="D102" i="3"/>
  <c r="E102" i="3" s="1"/>
  <c r="AA101" i="3"/>
  <c r="AK101" i="3"/>
  <c r="D101" i="3"/>
  <c r="E101" i="3" s="1"/>
  <c r="AE100" i="3"/>
  <c r="AF100" i="3" s="1"/>
  <c r="AA100" i="3"/>
  <c r="AK100" i="3"/>
  <c r="O100" i="3"/>
  <c r="D70" i="3"/>
  <c r="E70" i="3" s="1"/>
  <c r="AA69" i="3"/>
  <c r="AK69" i="3"/>
  <c r="D69" i="3"/>
  <c r="E69" i="3" s="1"/>
  <c r="AA68" i="3"/>
  <c r="AK68" i="3"/>
  <c r="D68" i="3"/>
  <c r="E68" i="3" s="1"/>
  <c r="AA67" i="3"/>
  <c r="AK67" i="3"/>
  <c r="D67" i="3"/>
  <c r="E67" i="3" s="1"/>
  <c r="AA66" i="3"/>
  <c r="AK66" i="3"/>
  <c r="D66" i="3"/>
  <c r="E66" i="3" s="1"/>
  <c r="AA65" i="3"/>
  <c r="AK65" i="3"/>
  <c r="D65" i="3"/>
  <c r="E65" i="3" s="1"/>
  <c r="AA64" i="3"/>
  <c r="D20" i="3"/>
  <c r="E20" i="3" s="1"/>
  <c r="AA19" i="3"/>
  <c r="AK17" i="3"/>
  <c r="D16" i="3"/>
  <c r="E16" i="3" s="1"/>
  <c r="AK15" i="3"/>
  <c r="D14" i="3"/>
  <c r="E14" i="3" s="1"/>
  <c r="AK13" i="3"/>
  <c r="AK11" i="3"/>
  <c r="AK10" i="3"/>
  <c r="AA8" i="3"/>
  <c r="AA5" i="3"/>
  <c r="AA4" i="3"/>
  <c r="AK3" i="3"/>
  <c r="D3" i="3"/>
  <c r="E3" i="3" s="1"/>
  <c r="AA2" i="3"/>
  <c r="AB37" i="4"/>
  <c r="O110" i="3"/>
  <c r="D109" i="3"/>
  <c r="E109" i="3" s="1"/>
  <c r="AA108" i="3"/>
  <c r="O108" i="3"/>
  <c r="AK107" i="3"/>
  <c r="AA96" i="3"/>
  <c r="D93" i="3"/>
  <c r="O92" i="3"/>
  <c r="O90" i="3"/>
  <c r="AK89" i="3"/>
  <c r="D89" i="3"/>
  <c r="E89" i="3" s="1"/>
  <c r="AK88" i="3"/>
  <c r="AK87" i="3"/>
  <c r="O84" i="3"/>
  <c r="D83" i="3"/>
  <c r="O82" i="3"/>
  <c r="D81" i="3"/>
  <c r="E81" i="3" s="1"/>
  <c r="O79" i="3"/>
  <c r="AK76" i="3"/>
  <c r="AA75" i="3"/>
  <c r="D74" i="3"/>
  <c r="E74" i="3" s="1"/>
  <c r="AK73" i="3"/>
  <c r="AE71" i="3"/>
  <c r="AF71" i="3" s="1"/>
  <c r="I71" i="3"/>
  <c r="J71" i="3" s="1"/>
  <c r="AA37" i="3"/>
  <c r="AK36" i="3"/>
  <c r="O36" i="3"/>
  <c r="AA141" i="3"/>
  <c r="AK141" i="3"/>
  <c r="D141" i="3"/>
  <c r="E141" i="3" s="1"/>
  <c r="AA140" i="3"/>
  <c r="AK140" i="3"/>
  <c r="D140" i="3"/>
  <c r="E140" i="3" s="1"/>
  <c r="AA139" i="3"/>
  <c r="AK139" i="3"/>
  <c r="D139" i="3"/>
  <c r="E139" i="3" s="1"/>
  <c r="AA138" i="3"/>
  <c r="AK138" i="3"/>
  <c r="D138" i="3"/>
  <c r="E138" i="3" s="1"/>
  <c r="AA137" i="3"/>
  <c r="AK137" i="3"/>
  <c r="D137" i="3"/>
  <c r="E137" i="3" s="1"/>
  <c r="AA136" i="3"/>
  <c r="AK136" i="3"/>
  <c r="D136" i="3"/>
  <c r="E136" i="3" s="1"/>
  <c r="AA135" i="3"/>
  <c r="AK135" i="3"/>
  <c r="D135" i="3"/>
  <c r="E135" i="3" s="1"/>
  <c r="AA134" i="3"/>
  <c r="AK134" i="3"/>
  <c r="D134" i="3"/>
  <c r="E134" i="3" s="1"/>
  <c r="AA133" i="3"/>
  <c r="AK133" i="3"/>
  <c r="D133" i="3"/>
  <c r="E133" i="3" s="1"/>
  <c r="AA132" i="3"/>
  <c r="AK132" i="3"/>
  <c r="D132" i="3"/>
  <c r="E132" i="3" s="1"/>
  <c r="AA131" i="3"/>
  <c r="AK131" i="3"/>
  <c r="D131" i="3"/>
  <c r="E131" i="3" s="1"/>
  <c r="AA130" i="3"/>
  <c r="AK130" i="3"/>
  <c r="D130" i="3"/>
  <c r="E130" i="3" s="1"/>
  <c r="AA129" i="3"/>
  <c r="AK129" i="3"/>
  <c r="D129" i="3"/>
  <c r="E129" i="3" s="1"/>
  <c r="AA128" i="3"/>
  <c r="AK128" i="3"/>
  <c r="D128" i="3"/>
  <c r="E128" i="3" s="1"/>
  <c r="AA127" i="3"/>
  <c r="AK127" i="3"/>
  <c r="D127" i="3"/>
  <c r="E127" i="3" s="1"/>
  <c r="AA126" i="3"/>
  <c r="AK126" i="3"/>
  <c r="D126" i="3"/>
  <c r="E126" i="3" s="1"/>
  <c r="AA125" i="3"/>
  <c r="AK125" i="3"/>
  <c r="D125" i="3"/>
  <c r="E125" i="3" s="1"/>
  <c r="AA124" i="3"/>
  <c r="AK124" i="3"/>
  <c r="D124" i="3"/>
  <c r="E124" i="3" s="1"/>
  <c r="AA123" i="3"/>
  <c r="AK123" i="3"/>
  <c r="D123" i="3"/>
  <c r="E123" i="3" s="1"/>
  <c r="AA122" i="3"/>
  <c r="AK122" i="3"/>
  <c r="D122" i="3"/>
  <c r="E122" i="3" s="1"/>
  <c r="AA121" i="3"/>
  <c r="AK121" i="3"/>
  <c r="D121" i="3"/>
  <c r="E121" i="3" s="1"/>
  <c r="AA120" i="3"/>
  <c r="AK120" i="3"/>
  <c r="D120" i="3"/>
  <c r="E120" i="3" s="1"/>
  <c r="AA119" i="3"/>
  <c r="AK119" i="3"/>
  <c r="D119" i="3"/>
  <c r="E119" i="3" s="1"/>
  <c r="AA118" i="3"/>
  <c r="AK118" i="3"/>
  <c r="D118" i="3"/>
  <c r="E118" i="3" s="1"/>
  <c r="AA117" i="3"/>
  <c r="AK117" i="3"/>
  <c r="D117" i="3"/>
  <c r="E117" i="3" s="1"/>
  <c r="AA116" i="3"/>
  <c r="AK116" i="3"/>
  <c r="D116" i="3"/>
  <c r="E116" i="3" s="1"/>
  <c r="AA115" i="3"/>
  <c r="AK115" i="3"/>
  <c r="D115" i="3"/>
  <c r="E115" i="3" s="1"/>
  <c r="AA114" i="3"/>
  <c r="AK114" i="3"/>
  <c r="D114" i="3"/>
  <c r="E114" i="3" s="1"/>
  <c r="AA113" i="3"/>
  <c r="AK113" i="3"/>
  <c r="D113" i="3"/>
  <c r="E113" i="3" s="1"/>
  <c r="AA111" i="3"/>
  <c r="D111" i="3"/>
  <c r="E111" i="3" s="1"/>
  <c r="O109" i="3"/>
  <c r="AK99" i="3"/>
  <c r="D99" i="3"/>
  <c r="E99" i="3" s="1"/>
  <c r="AA98" i="3"/>
  <c r="D95" i="3"/>
  <c r="E95" i="3" s="1"/>
  <c r="AK93" i="3"/>
  <c r="AA92" i="3"/>
  <c r="AA89" i="3"/>
  <c r="O89" i="3"/>
  <c r="AA85" i="3"/>
  <c r="AA82" i="3"/>
  <c r="AA81" i="3"/>
  <c r="AA73" i="3"/>
  <c r="AA105" i="3"/>
  <c r="AA70" i="3"/>
  <c r="D18" i="3"/>
  <c r="AA17" i="3"/>
  <c r="AA15" i="3"/>
  <c r="AA13" i="3"/>
  <c r="D12" i="3"/>
  <c r="AA11" i="3"/>
  <c r="D10" i="3"/>
  <c r="AA9" i="3"/>
  <c r="D8" i="3"/>
  <c r="AA7" i="3"/>
  <c r="D6" i="3"/>
  <c r="D4" i="3"/>
  <c r="AA3" i="3"/>
  <c r="D2" i="3"/>
  <c r="AB100" i="4"/>
  <c r="AB43" i="4"/>
  <c r="D73" i="4"/>
  <c r="AA147" i="3"/>
  <c r="AA72" i="3"/>
  <c r="D64" i="3"/>
  <c r="AA63" i="3"/>
  <c r="AK63" i="3"/>
  <c r="D63" i="3"/>
  <c r="AA62" i="3"/>
  <c r="AK62" i="3"/>
  <c r="D62" i="3"/>
  <c r="AA61" i="3"/>
  <c r="AK61" i="3"/>
  <c r="D61" i="3"/>
  <c r="AA60" i="3"/>
  <c r="AK60" i="3"/>
  <c r="D60" i="3"/>
  <c r="AA59" i="3"/>
  <c r="AK59" i="3"/>
  <c r="D59" i="3"/>
  <c r="AA58" i="3"/>
  <c r="AK58" i="3"/>
  <c r="D58" i="3"/>
  <c r="AA57" i="3"/>
  <c r="AK57" i="3"/>
  <c r="D57" i="3"/>
  <c r="AA56" i="3"/>
  <c r="AK56" i="3"/>
  <c r="D56" i="3"/>
  <c r="AA55" i="3"/>
  <c r="AK55" i="3"/>
  <c r="D55" i="3"/>
  <c r="AA54" i="3"/>
  <c r="AK54" i="3"/>
  <c r="D54" i="3"/>
  <c r="AA53" i="3"/>
  <c r="AK53" i="3"/>
  <c r="D53" i="3"/>
  <c r="AA52" i="3"/>
  <c r="AK52" i="3"/>
  <c r="D52" i="3"/>
  <c r="AA51" i="3"/>
  <c r="AK51" i="3"/>
  <c r="D51" i="3"/>
  <c r="E51" i="3" s="1"/>
  <c r="AA50" i="3"/>
  <c r="AK50" i="3"/>
  <c r="D50" i="3"/>
  <c r="E50" i="3" s="1"/>
  <c r="AA49" i="3"/>
  <c r="AK49" i="3"/>
  <c r="D49" i="3"/>
  <c r="E49" i="3" s="1"/>
  <c r="AA48" i="3"/>
  <c r="AK48" i="3"/>
  <c r="D48" i="3"/>
  <c r="E48" i="3" s="1"/>
  <c r="AA47" i="3"/>
  <c r="AK47" i="3"/>
  <c r="D47" i="3"/>
  <c r="E47" i="3" s="1"/>
  <c r="AA46" i="3"/>
  <c r="AK46" i="3"/>
  <c r="D46" i="3"/>
  <c r="E46" i="3" s="1"/>
  <c r="AA45" i="3"/>
  <c r="AK45" i="3"/>
  <c r="D45" i="3"/>
  <c r="E45" i="3" s="1"/>
  <c r="AA44" i="3"/>
  <c r="AK44" i="3"/>
  <c r="D44" i="3"/>
  <c r="E44" i="3" s="1"/>
  <c r="AA43" i="3"/>
  <c r="AK43" i="3"/>
  <c r="D43" i="3"/>
  <c r="E43" i="3" s="1"/>
  <c r="AA42" i="3"/>
  <c r="AK42" i="3"/>
  <c r="D42" i="3"/>
  <c r="E42" i="3" s="1"/>
  <c r="AA41" i="3"/>
  <c r="AK41" i="3"/>
  <c r="D41" i="3"/>
  <c r="E41" i="3" s="1"/>
  <c r="AA40" i="3"/>
  <c r="AK40" i="3"/>
  <c r="D40" i="3"/>
  <c r="E40" i="3" s="1"/>
  <c r="O39" i="3"/>
  <c r="AK38" i="3"/>
  <c r="AA35" i="3"/>
  <c r="AK35" i="3"/>
  <c r="D35" i="3"/>
  <c r="E35" i="3" s="1"/>
  <c r="AA34" i="3"/>
  <c r="AK34" i="3"/>
  <c r="D34" i="3"/>
  <c r="E34" i="3" s="1"/>
  <c r="AA33" i="3"/>
  <c r="AK33" i="3"/>
  <c r="D33" i="3"/>
  <c r="AA32" i="3"/>
  <c r="AK32" i="3"/>
  <c r="D32" i="3"/>
  <c r="AA31" i="3"/>
  <c r="AK31" i="3"/>
  <c r="D31" i="3"/>
  <c r="AA30" i="3"/>
  <c r="AK30" i="3"/>
  <c r="D30" i="3"/>
  <c r="AA29" i="3"/>
  <c r="AK29" i="3"/>
  <c r="D29" i="3"/>
  <c r="AA28" i="3"/>
  <c r="AK28" i="3"/>
  <c r="D28" i="3"/>
  <c r="AA27" i="3"/>
  <c r="AK27" i="3"/>
  <c r="D27" i="3"/>
  <c r="AA26" i="3"/>
  <c r="AK26" i="3"/>
  <c r="D26" i="3"/>
  <c r="E26" i="3" s="1"/>
  <c r="AA25" i="3"/>
  <c r="AK25" i="3"/>
  <c r="D25" i="3"/>
  <c r="E25" i="3" s="1"/>
  <c r="AA24" i="3"/>
  <c r="AK24" i="3"/>
  <c r="D24" i="3"/>
  <c r="AA23" i="3"/>
  <c r="AK23" i="3"/>
  <c r="D23" i="3"/>
  <c r="AA22" i="3"/>
  <c r="AK22" i="3"/>
  <c r="D22" i="3"/>
  <c r="AA21" i="3"/>
  <c r="AK21" i="3"/>
  <c r="D21" i="3"/>
  <c r="AA20" i="3"/>
  <c r="AK20" i="3"/>
  <c r="D19" i="3"/>
  <c r="AA18" i="3"/>
  <c r="D17" i="3"/>
  <c r="AA16" i="3"/>
  <c r="D15" i="3"/>
  <c r="AA14" i="3"/>
  <c r="D13" i="3"/>
  <c r="AA12" i="3"/>
  <c r="D11" i="3"/>
  <c r="AA10" i="3"/>
  <c r="D9" i="3"/>
  <c r="D7" i="3"/>
  <c r="E7" i="3" s="1"/>
  <c r="AA6" i="3"/>
  <c r="D5" i="3"/>
  <c r="E5" i="3" s="1"/>
  <c r="AB98" i="4"/>
  <c r="AB99" i="3" l="1"/>
  <c r="AB87" i="3"/>
  <c r="AG226" i="3"/>
  <c r="AH226" i="3" s="1"/>
  <c r="AG215" i="3"/>
  <c r="AH215" i="3" s="1"/>
  <c r="AG214" i="3"/>
  <c r="AH214" i="3" s="1"/>
  <c r="AG213" i="3"/>
  <c r="AH213" i="3" s="1"/>
  <c r="AG199" i="3"/>
  <c r="AH199" i="3" s="1"/>
  <c r="AL197" i="3"/>
  <c r="AL196" i="3"/>
  <c r="AG196" i="3"/>
  <c r="AH196" i="3" s="1"/>
  <c r="AG194" i="3"/>
  <c r="AH194" i="3" s="1"/>
  <c r="AG192" i="3"/>
  <c r="AH192" i="3" s="1"/>
  <c r="AG190" i="3"/>
  <c r="AH190" i="3" s="1"/>
  <c r="AG189" i="3"/>
  <c r="AH189" i="3" s="1"/>
  <c r="AG205" i="3"/>
  <c r="AH205" i="3" s="1"/>
  <c r="AG204" i="3"/>
  <c r="AH204" i="3" s="1"/>
  <c r="AG203" i="3"/>
  <c r="AH203" i="3" s="1"/>
  <c r="AG202" i="3"/>
  <c r="AH202" i="3" s="1"/>
  <c r="AG201" i="3"/>
  <c r="AH201" i="3" s="1"/>
  <c r="AG195" i="3"/>
  <c r="AH195" i="3" s="1"/>
  <c r="AG179" i="3"/>
  <c r="AH179" i="3" s="1"/>
  <c r="AG170" i="3"/>
  <c r="AH170" i="3" s="1"/>
  <c r="AG169" i="3"/>
  <c r="AH169" i="3" s="1"/>
  <c r="AG157" i="3"/>
  <c r="AH157" i="3" s="1"/>
  <c r="AG156" i="3"/>
  <c r="AH156" i="3" s="1"/>
  <c r="AG155" i="3"/>
  <c r="AH155" i="3" s="1"/>
  <c r="AG106" i="3"/>
  <c r="AH106" i="3" s="1"/>
  <c r="AG70" i="3"/>
  <c r="AH70" i="3" s="1"/>
  <c r="AG63" i="3"/>
  <c r="AH63" i="3" s="1"/>
  <c r="AG62" i="3"/>
  <c r="AH62" i="3" s="1"/>
  <c r="AG61" i="3"/>
  <c r="AH61" i="3" s="1"/>
  <c r="AG60" i="3"/>
  <c r="AH60" i="3" s="1"/>
  <c r="AG59" i="3"/>
  <c r="AH59" i="3" s="1"/>
  <c r="AG58" i="3"/>
  <c r="AH58" i="3" s="1"/>
  <c r="AG28" i="3"/>
  <c r="AH28" i="3" s="1"/>
  <c r="AG34" i="3"/>
  <c r="AH34" i="3" s="1"/>
  <c r="AG33" i="3"/>
  <c r="AH33" i="3" s="1"/>
  <c r="AG32" i="3"/>
  <c r="AH32" i="3" s="1"/>
  <c r="AG31" i="3"/>
  <c r="AH31" i="3" s="1"/>
  <c r="AG30" i="3"/>
  <c r="AH30" i="3" s="1"/>
  <c r="AG29" i="3"/>
  <c r="AH29" i="3" s="1"/>
  <c r="AG27" i="3"/>
  <c r="AH27" i="3" s="1"/>
  <c r="AG24" i="3"/>
  <c r="AH24" i="3" s="1"/>
  <c r="AG23" i="3"/>
  <c r="AH23" i="3" s="1"/>
  <c r="AG22" i="3"/>
  <c r="AH22" i="3" s="1"/>
  <c r="AG21" i="3"/>
  <c r="AH21" i="3" s="1"/>
  <c r="AG20" i="3"/>
  <c r="AH20" i="3" s="1"/>
  <c r="AG18" i="3"/>
  <c r="AH18" i="3" s="1"/>
  <c r="AG16" i="3"/>
  <c r="AH16" i="3" s="1"/>
  <c r="AG14" i="3"/>
  <c r="AH14" i="3" s="1"/>
  <c r="AG12" i="3"/>
  <c r="AH12" i="3" s="1"/>
  <c r="AG10" i="3"/>
  <c r="AH10" i="3" s="1"/>
  <c r="AG7" i="3"/>
  <c r="AH7" i="3" s="1"/>
  <c r="AG3" i="3"/>
  <c r="AH3" i="3" s="1"/>
  <c r="AB2" i="3"/>
  <c r="AB242" i="4"/>
  <c r="AB241" i="4"/>
  <c r="AC226" i="4"/>
  <c r="O226" i="4" s="1"/>
  <c r="AD226" i="4"/>
  <c r="Q226" i="4" s="1"/>
  <c r="AC225" i="4"/>
  <c r="O225" i="4" s="1"/>
  <c r="AD225" i="4"/>
  <c r="Q225" i="4" s="1"/>
  <c r="AD213" i="4"/>
  <c r="Q213" i="4" s="1"/>
  <c r="AC213" i="4"/>
  <c r="O213" i="4" s="1"/>
  <c r="AC212" i="4"/>
  <c r="O212" i="4" s="1"/>
  <c r="AD212" i="4"/>
  <c r="Q212" i="4" s="1"/>
  <c r="AM197" i="3"/>
  <c r="AO197" i="3" s="1"/>
  <c r="AN197" i="3"/>
  <c r="AP197" i="3" s="1"/>
  <c r="AN196" i="3"/>
  <c r="AP196" i="3" s="1"/>
  <c r="AM196" i="3"/>
  <c r="AO196" i="3" s="1"/>
  <c r="AN186" i="3"/>
  <c r="AP186" i="3" s="1"/>
  <c r="AM186" i="3"/>
  <c r="AO186" i="3" s="1"/>
  <c r="AC152" i="4"/>
  <c r="O152" i="4" s="1"/>
  <c r="AD152" i="4"/>
  <c r="Q152" i="4" s="1"/>
  <c r="AM150" i="3"/>
  <c r="AO150" i="3" s="1"/>
  <c r="AN150" i="3"/>
  <c r="AP150" i="3" s="1"/>
  <c r="AD151" i="3"/>
  <c r="AC151" i="3"/>
  <c r="AC147" i="4"/>
  <c r="O147" i="4" s="1"/>
  <c r="AD147" i="4"/>
  <c r="Q147" i="4" s="1"/>
  <c r="AC142" i="4"/>
  <c r="O142" i="4" s="1"/>
  <c r="AD142" i="4"/>
  <c r="Q142" i="4" s="1"/>
  <c r="V142" i="3"/>
  <c r="N142" i="4"/>
  <c r="P142" i="4"/>
  <c r="W142" i="3"/>
  <c r="AD107" i="3"/>
  <c r="AC107" i="3"/>
  <c r="AM106" i="3"/>
  <c r="AO106" i="3" s="1"/>
  <c r="AN106" i="3"/>
  <c r="AP106" i="3" s="1"/>
  <c r="AD99" i="3"/>
  <c r="AC99" i="3"/>
  <c r="AN98" i="3"/>
  <c r="AP98" i="3" s="1"/>
  <c r="AM98" i="3"/>
  <c r="AO98" i="3" s="1"/>
  <c r="AC97" i="3"/>
  <c r="AD97" i="3"/>
  <c r="AM96" i="3"/>
  <c r="AO96" i="3" s="1"/>
  <c r="AN96" i="3"/>
  <c r="AP96" i="3" s="1"/>
  <c r="W94" i="3"/>
  <c r="P94" i="4"/>
  <c r="V94" i="3"/>
  <c r="N94" i="4"/>
  <c r="AN87" i="3"/>
  <c r="AP87" i="3" s="1"/>
  <c r="AM87" i="3"/>
  <c r="AO87" i="3" s="1"/>
  <c r="AC88" i="3"/>
  <c r="AD88" i="3"/>
  <c r="AN86" i="3"/>
  <c r="AP86" i="3" s="1"/>
  <c r="AM86" i="3"/>
  <c r="AO86" i="3" s="1"/>
  <c r="AD87" i="3"/>
  <c r="AC87" i="3"/>
  <c r="AD86" i="3"/>
  <c r="AC86" i="3"/>
  <c r="AN82" i="3"/>
  <c r="AP82" i="3" s="1"/>
  <c r="AM82" i="3"/>
  <c r="AO82" i="3" s="1"/>
  <c r="AC83" i="3"/>
  <c r="AD83" i="3"/>
  <c r="W78" i="3"/>
  <c r="P78" i="4"/>
  <c r="N78" i="4"/>
  <c r="V78" i="3"/>
  <c r="V75" i="3"/>
  <c r="N75" i="4"/>
  <c r="W75" i="3"/>
  <c r="P75" i="4"/>
  <c r="AB212" i="3"/>
  <c r="AL211" i="3"/>
  <c r="AC211" i="4"/>
  <c r="O211" i="4" s="1"/>
  <c r="AD211" i="4"/>
  <c r="Q211" i="4" s="1"/>
  <c r="AD200" i="4"/>
  <c r="Q200" i="4" s="1"/>
  <c r="AC200" i="4"/>
  <c r="O200" i="4" s="1"/>
  <c r="E200" i="3"/>
  <c r="K200" i="3"/>
  <c r="L200" i="3" s="1"/>
  <c r="AC199" i="4"/>
  <c r="O199" i="4" s="1"/>
  <c r="AD199" i="4"/>
  <c r="Q199" i="4" s="1"/>
  <c r="E198" i="3"/>
  <c r="K198" i="3"/>
  <c r="L198" i="3" s="1"/>
  <c r="E197" i="3"/>
  <c r="K197" i="3"/>
  <c r="L197" i="3" s="1"/>
  <c r="E191" i="3"/>
  <c r="K191" i="3"/>
  <c r="L191" i="3" s="1"/>
  <c r="E185" i="3"/>
  <c r="K185" i="3"/>
  <c r="L185" i="3" s="1"/>
  <c r="E183" i="3"/>
  <c r="K183" i="3"/>
  <c r="L183" i="3" s="1"/>
  <c r="E179" i="3"/>
  <c r="K179" i="3"/>
  <c r="L179" i="3" s="1"/>
  <c r="E178" i="3"/>
  <c r="K178" i="3"/>
  <c r="L178" i="3" s="1"/>
  <c r="E177" i="3"/>
  <c r="K177" i="3"/>
  <c r="L177" i="3" s="1"/>
  <c r="E151" i="3"/>
  <c r="K151" i="3"/>
  <c r="L151" i="3" s="1"/>
  <c r="E149" i="3"/>
  <c r="K149" i="3"/>
  <c r="L149" i="3" s="1"/>
  <c r="E146" i="3"/>
  <c r="K146" i="3"/>
  <c r="L146" i="3" s="1"/>
  <c r="E144" i="3"/>
  <c r="K144" i="3"/>
  <c r="L144" i="3" s="1"/>
  <c r="E142" i="3"/>
  <c r="K142" i="3"/>
  <c r="L142" i="3" s="1"/>
  <c r="AC141" i="4"/>
  <c r="O141" i="4" s="1"/>
  <c r="AD141" i="4"/>
  <c r="Q141" i="4" s="1"/>
  <c r="E107" i="3"/>
  <c r="K107" i="3"/>
  <c r="L107" i="3" s="1"/>
  <c r="E97" i="3"/>
  <c r="K97" i="3"/>
  <c r="L97" i="3" s="1"/>
  <c r="E92" i="3"/>
  <c r="K92" i="3"/>
  <c r="L92" i="3" s="1"/>
  <c r="E82" i="3"/>
  <c r="K82" i="3"/>
  <c r="L82" i="3" s="1"/>
  <c r="AB177" i="4"/>
  <c r="AB175" i="4"/>
  <c r="AB176" i="4"/>
  <c r="AB174" i="4"/>
  <c r="AC169" i="4"/>
  <c r="O169" i="4" s="1"/>
  <c r="AD169" i="4"/>
  <c r="Q169" i="4" s="1"/>
  <c r="AC168" i="4"/>
  <c r="O168" i="4" s="1"/>
  <c r="AD168" i="4"/>
  <c r="Q168" i="4" s="1"/>
  <c r="AC154" i="4"/>
  <c r="O154" i="4" s="1"/>
  <c r="AD154" i="4"/>
  <c r="Q154" i="4" s="1"/>
  <c r="AC153" i="4"/>
  <c r="O153" i="4" s="1"/>
  <c r="AD153" i="4"/>
  <c r="Q153" i="4" s="1"/>
  <c r="E150" i="3"/>
  <c r="K150" i="3"/>
  <c r="L150" i="3" s="1"/>
  <c r="AC149" i="4"/>
  <c r="O149" i="4" s="1"/>
  <c r="AD149" i="4"/>
  <c r="Q149" i="4" s="1"/>
  <c r="AM148" i="3"/>
  <c r="AO148" i="3" s="1"/>
  <c r="AN148" i="3"/>
  <c r="AP148" i="3" s="1"/>
  <c r="AC149" i="3"/>
  <c r="AD149" i="3"/>
  <c r="E112" i="3"/>
  <c r="K112" i="3"/>
  <c r="L112" i="3" s="1"/>
  <c r="E96" i="3"/>
  <c r="K96" i="3"/>
  <c r="L96" i="3" s="1"/>
  <c r="E94" i="3"/>
  <c r="K94" i="3"/>
  <c r="L94" i="3" s="1"/>
  <c r="E84" i="3"/>
  <c r="K84" i="3"/>
  <c r="L84" i="3" s="1"/>
  <c r="E80" i="3"/>
  <c r="K80" i="3"/>
  <c r="L80" i="3" s="1"/>
  <c r="E78" i="3"/>
  <c r="K78" i="3"/>
  <c r="L78" i="3" s="1"/>
  <c r="E75" i="3"/>
  <c r="K75" i="3"/>
  <c r="L75" i="3" s="1"/>
  <c r="E38" i="3"/>
  <c r="K38" i="3"/>
  <c r="L38" i="3" s="1"/>
  <c r="AC137" i="4"/>
  <c r="O137" i="4" s="1"/>
  <c r="AD137" i="4"/>
  <c r="Q137" i="4" s="1"/>
  <c r="AC136" i="4"/>
  <c r="O136" i="4" s="1"/>
  <c r="AD136" i="4"/>
  <c r="Q136" i="4" s="1"/>
  <c r="AM108" i="3"/>
  <c r="AO108" i="3" s="1"/>
  <c r="AN108" i="3"/>
  <c r="AP108" i="3" s="1"/>
  <c r="E100" i="3"/>
  <c r="K100" i="3"/>
  <c r="L100" i="3" s="1"/>
  <c r="E87" i="3"/>
  <c r="K87" i="3"/>
  <c r="L87" i="3" s="1"/>
  <c r="AD80" i="3"/>
  <c r="AC80" i="3"/>
  <c r="E72" i="3"/>
  <c r="K72" i="3"/>
  <c r="L72" i="3" s="1"/>
  <c r="AC39" i="3"/>
  <c r="AD39" i="3"/>
  <c r="AC38" i="3"/>
  <c r="AD38" i="3"/>
  <c r="AB106" i="3"/>
  <c r="AL105" i="3"/>
  <c r="AB71" i="3"/>
  <c r="AL70" i="3"/>
  <c r="F71" i="3"/>
  <c r="G71" i="3"/>
  <c r="AB71" i="4"/>
  <c r="AB69" i="4"/>
  <c r="AC68" i="4"/>
  <c r="O68" i="4" s="1"/>
  <c r="AD68" i="4"/>
  <c r="Q68" i="4" s="1"/>
  <c r="E39" i="3"/>
  <c r="K39" i="3"/>
  <c r="L39" i="3" s="1"/>
  <c r="AB35" i="4"/>
  <c r="AB33" i="4"/>
  <c r="AC27" i="4"/>
  <c r="O27" i="4" s="1"/>
  <c r="AD27" i="4"/>
  <c r="Q27" i="4" s="1"/>
  <c r="AC26" i="4"/>
  <c r="O26" i="4" s="1"/>
  <c r="AD26" i="4"/>
  <c r="Q26" i="4" s="1"/>
  <c r="AC10" i="4"/>
  <c r="O10" i="4" s="1"/>
  <c r="AD10" i="4"/>
  <c r="Q10" i="4" s="1"/>
  <c r="AC9" i="4"/>
  <c r="O9" i="4" s="1"/>
  <c r="AD9" i="4"/>
  <c r="Q9" i="4" s="1"/>
  <c r="AC126" i="4"/>
  <c r="O126" i="4" s="1"/>
  <c r="AD126" i="4"/>
  <c r="Q126" i="4" s="1"/>
  <c r="AB90" i="4"/>
  <c r="AB88" i="4"/>
  <c r="AC87" i="4"/>
  <c r="O87" i="4" s="1"/>
  <c r="AD87" i="4"/>
  <c r="Q87" i="4" s="1"/>
  <c r="AD135" i="4"/>
  <c r="Q135" i="4" s="1"/>
  <c r="AC135" i="4"/>
  <c r="O135" i="4" s="1"/>
  <c r="AD134" i="4"/>
  <c r="Q134" i="4" s="1"/>
  <c r="AC134" i="4"/>
  <c r="O134" i="4" s="1"/>
  <c r="AC130" i="4"/>
  <c r="O130" i="4" s="1"/>
  <c r="AD130" i="4"/>
  <c r="Q130" i="4" s="1"/>
  <c r="AC129" i="4"/>
  <c r="O129" i="4" s="1"/>
  <c r="AD129" i="4"/>
  <c r="Q129" i="4" s="1"/>
  <c r="AC127" i="4"/>
  <c r="O127" i="4" s="1"/>
  <c r="AD127" i="4"/>
  <c r="Q127" i="4" s="1"/>
  <c r="AC104" i="4"/>
  <c r="O104" i="4" s="1"/>
  <c r="AD104" i="4"/>
  <c r="Q104" i="4" s="1"/>
  <c r="AC103" i="4"/>
  <c r="O103" i="4" s="1"/>
  <c r="AD103" i="4"/>
  <c r="Q103" i="4" s="1"/>
  <c r="AD39" i="4"/>
  <c r="Q39" i="4" s="1"/>
  <c r="AC39" i="4"/>
  <c r="O39" i="4" s="1"/>
  <c r="AD180" i="4"/>
  <c r="Q180" i="4" s="1"/>
  <c r="AC180" i="4"/>
  <c r="O180" i="4" s="1"/>
  <c r="AD48" i="4"/>
  <c r="Q48" i="4" s="1"/>
  <c r="AC48" i="4"/>
  <c r="O48" i="4" s="1"/>
  <c r="AC178" i="4"/>
  <c r="O178" i="4" s="1"/>
  <c r="AD178" i="4"/>
  <c r="Q178" i="4" s="1"/>
  <c r="AC95" i="4"/>
  <c r="O95" i="4" s="1"/>
  <c r="AD95" i="4"/>
  <c r="Q95" i="4" s="1"/>
  <c r="AL94" i="3"/>
  <c r="AB95" i="3"/>
  <c r="AC128" i="4"/>
  <c r="O128" i="4" s="1"/>
  <c r="AD128" i="4"/>
  <c r="Q128" i="4" s="1"/>
  <c r="AB91" i="4"/>
  <c r="AB89" i="4"/>
  <c r="AC85" i="4"/>
  <c r="O85" i="4" s="1"/>
  <c r="AD85" i="4"/>
  <c r="Q85" i="4" s="1"/>
  <c r="AC133" i="4"/>
  <c r="O133" i="4" s="1"/>
  <c r="AD133" i="4"/>
  <c r="Q133" i="4" s="1"/>
  <c r="AD125" i="4"/>
  <c r="Q125" i="4" s="1"/>
  <c r="AC125" i="4"/>
  <c r="O125" i="4" s="1"/>
  <c r="AC101" i="4"/>
  <c r="O101" i="4" s="1"/>
  <c r="AD101" i="4"/>
  <c r="Q101" i="4" s="1"/>
  <c r="AB99" i="4"/>
  <c r="AB97" i="4"/>
  <c r="AB96" i="4"/>
  <c r="AB94" i="4"/>
  <c r="AC83" i="4"/>
  <c r="O83" i="4" s="1"/>
  <c r="AD83" i="4"/>
  <c r="Q83" i="4" s="1"/>
  <c r="AD51" i="4"/>
  <c r="Q51" i="4" s="1"/>
  <c r="AC51" i="4"/>
  <c r="O51" i="4" s="1"/>
  <c r="P87" i="3"/>
  <c r="Q87" i="3"/>
  <c r="AL142" i="3"/>
  <c r="AB143" i="3"/>
  <c r="AC182" i="4"/>
  <c r="O182" i="4" s="1"/>
  <c r="AD182" i="4"/>
  <c r="Q182" i="4" s="1"/>
  <c r="AD132" i="4"/>
  <c r="Q132" i="4" s="1"/>
  <c r="AC132" i="4"/>
  <c r="O132" i="4" s="1"/>
  <c r="AC55" i="4"/>
  <c r="O55" i="4" s="1"/>
  <c r="AD55" i="4"/>
  <c r="Q55" i="4" s="1"/>
  <c r="AC93" i="4"/>
  <c r="O93" i="4" s="1"/>
  <c r="AD93" i="4"/>
  <c r="Q93" i="4" s="1"/>
  <c r="AD42" i="4"/>
  <c r="Q42" i="4" s="1"/>
  <c r="AC42" i="4"/>
  <c r="O42" i="4" s="1"/>
  <c r="AC40" i="4"/>
  <c r="O40" i="4" s="1"/>
  <c r="AD40" i="4"/>
  <c r="Q40" i="4" s="1"/>
  <c r="AB38" i="4"/>
  <c r="AB36" i="4"/>
  <c r="AC54" i="4"/>
  <c r="O54" i="4" s="1"/>
  <c r="AD54" i="4"/>
  <c r="Q54" i="4" s="1"/>
  <c r="P107" i="3"/>
  <c r="Q107" i="3"/>
  <c r="AC198" i="4"/>
  <c r="O198" i="4" s="1"/>
  <c r="AD198" i="4"/>
  <c r="Q198" i="4" s="1"/>
  <c r="AC196" i="4"/>
  <c r="O196" i="4" s="1"/>
  <c r="AD196" i="4"/>
  <c r="Q196" i="4" s="1"/>
  <c r="AC194" i="4"/>
  <c r="O194" i="4" s="1"/>
  <c r="AD194" i="4"/>
  <c r="Q194" i="4" s="1"/>
  <c r="AC192" i="4"/>
  <c r="O192" i="4" s="1"/>
  <c r="AD192" i="4"/>
  <c r="Q192" i="4" s="1"/>
  <c r="AC189" i="4"/>
  <c r="O189" i="4" s="1"/>
  <c r="AD189" i="4"/>
  <c r="Q189" i="4" s="1"/>
  <c r="AB190" i="4"/>
  <c r="AB188" i="4"/>
  <c r="AC186" i="4"/>
  <c r="O186" i="4" s="1"/>
  <c r="AD186" i="4"/>
  <c r="Q186" i="4" s="1"/>
  <c r="AB187" i="4"/>
  <c r="AB185" i="4"/>
  <c r="AD184" i="4"/>
  <c r="Q184" i="4" s="1"/>
  <c r="AC184" i="4"/>
  <c r="O184" i="4" s="1"/>
  <c r="AC179" i="4"/>
  <c r="O179" i="4" s="1"/>
  <c r="AD179" i="4"/>
  <c r="Q179" i="4" s="1"/>
  <c r="AC131" i="4"/>
  <c r="O131" i="4" s="1"/>
  <c r="AD131" i="4"/>
  <c r="Q131" i="4" s="1"/>
  <c r="AC102" i="4"/>
  <c r="O102" i="4" s="1"/>
  <c r="AD102" i="4"/>
  <c r="Q102" i="4" s="1"/>
  <c r="AB86" i="4"/>
  <c r="AB84" i="4"/>
  <c r="AB124" i="4"/>
  <c r="AB122" i="4"/>
  <c r="AB123" i="4"/>
  <c r="AB121" i="4"/>
  <c r="AC113" i="4"/>
  <c r="O113" i="4" s="1"/>
  <c r="AD113" i="4"/>
  <c r="Q113" i="4" s="1"/>
  <c r="AC110" i="4"/>
  <c r="O110" i="4" s="1"/>
  <c r="AD110" i="4"/>
  <c r="Q110" i="4" s="1"/>
  <c r="AB111" i="4"/>
  <c r="AB109" i="4"/>
  <c r="AC108" i="4"/>
  <c r="O108" i="4" s="1"/>
  <c r="AD108" i="4"/>
  <c r="Q108" i="4" s="1"/>
  <c r="AC106" i="4"/>
  <c r="O106" i="4" s="1"/>
  <c r="AD106" i="4"/>
  <c r="Q106" i="4" s="1"/>
  <c r="AC105" i="4"/>
  <c r="O105" i="4" s="1"/>
  <c r="AD105" i="4"/>
  <c r="Q105" i="4" s="1"/>
  <c r="AB82" i="4"/>
  <c r="AB80" i="4"/>
  <c r="AB81" i="4"/>
  <c r="AB79" i="4"/>
  <c r="AC76" i="4"/>
  <c r="O76" i="4" s="1"/>
  <c r="AD76" i="4"/>
  <c r="Q76" i="4" s="1"/>
  <c r="AC73" i="4"/>
  <c r="O73" i="4" s="1"/>
  <c r="AD73" i="4"/>
  <c r="Q73" i="4" s="1"/>
  <c r="AB74" i="4"/>
  <c r="AB72" i="4"/>
  <c r="AC65" i="4"/>
  <c r="O65" i="4" s="1"/>
  <c r="AD65" i="4"/>
  <c r="Q65" i="4" s="1"/>
  <c r="AB66" i="4"/>
  <c r="AB64" i="4"/>
  <c r="AC63" i="4"/>
  <c r="O63" i="4" s="1"/>
  <c r="AD63" i="4"/>
  <c r="Q63" i="4" s="1"/>
  <c r="AC62" i="4"/>
  <c r="O62" i="4" s="1"/>
  <c r="AD62" i="4"/>
  <c r="Q62" i="4" s="1"/>
  <c r="AC61" i="4"/>
  <c r="O61" i="4" s="1"/>
  <c r="AD61" i="4"/>
  <c r="Q61" i="4" s="1"/>
  <c r="AC60" i="4"/>
  <c r="O60" i="4" s="1"/>
  <c r="AD60" i="4"/>
  <c r="Q60" i="4" s="1"/>
  <c r="AC59" i="4"/>
  <c r="O59" i="4" s="1"/>
  <c r="AD59" i="4"/>
  <c r="Q59" i="4" s="1"/>
  <c r="AC58" i="4"/>
  <c r="O58" i="4" s="1"/>
  <c r="AD58" i="4"/>
  <c r="Q58" i="4" s="1"/>
  <c r="AC57" i="4"/>
  <c r="O57" i="4" s="1"/>
  <c r="AD57" i="4"/>
  <c r="Q57" i="4" s="1"/>
  <c r="AC56" i="4"/>
  <c r="O56" i="4" s="1"/>
  <c r="AD56" i="4"/>
  <c r="Q56" i="4" s="1"/>
  <c r="AD50" i="4"/>
  <c r="Q50" i="4" s="1"/>
  <c r="AC50" i="4"/>
  <c r="O50" i="4" s="1"/>
  <c r="AD47" i="4"/>
  <c r="Q47" i="4" s="1"/>
  <c r="AC47" i="4"/>
  <c r="O47" i="4" s="1"/>
  <c r="AD44" i="4"/>
  <c r="Q44" i="4" s="1"/>
  <c r="AC44" i="4"/>
  <c r="O44" i="4" s="1"/>
  <c r="AD41" i="4"/>
  <c r="Q41" i="4" s="1"/>
  <c r="AC41" i="4"/>
  <c r="O41" i="4" s="1"/>
  <c r="AC53" i="4"/>
  <c r="O53" i="4" s="1"/>
  <c r="AD53" i="4"/>
  <c r="Q53" i="4" s="1"/>
  <c r="P149" i="3"/>
  <c r="Q149" i="3"/>
  <c r="P97" i="3"/>
  <c r="Q97" i="3"/>
  <c r="AB8" i="4"/>
  <c r="AB6" i="4"/>
  <c r="AL241" i="3"/>
  <c r="AL242" i="3"/>
  <c r="AB242" i="3"/>
  <c r="G242" i="3"/>
  <c r="F242" i="3"/>
  <c r="AL240" i="3"/>
  <c r="AB241" i="3"/>
  <c r="G241" i="3"/>
  <c r="F241" i="3"/>
  <c r="AL239" i="3"/>
  <c r="AB240" i="3"/>
  <c r="G240" i="3"/>
  <c r="F240" i="3"/>
  <c r="AL238" i="3"/>
  <c r="AB239" i="3"/>
  <c r="G239" i="3"/>
  <c r="F239" i="3"/>
  <c r="AL237" i="3"/>
  <c r="AB238" i="3"/>
  <c r="G238" i="3"/>
  <c r="F238" i="3"/>
  <c r="AL236" i="3"/>
  <c r="AB237" i="3"/>
  <c r="G237" i="3"/>
  <c r="F237" i="3"/>
  <c r="AL235" i="3"/>
  <c r="AB236" i="3"/>
  <c r="G236" i="3"/>
  <c r="F236" i="3"/>
  <c r="AL234" i="3"/>
  <c r="AB235" i="3"/>
  <c r="G235" i="3"/>
  <c r="F235" i="3"/>
  <c r="AL233" i="3"/>
  <c r="AB234" i="3"/>
  <c r="G234" i="3"/>
  <c r="F234" i="3"/>
  <c r="AL232" i="3"/>
  <c r="AB233" i="3"/>
  <c r="G233" i="3"/>
  <c r="F233" i="3"/>
  <c r="AL231" i="3"/>
  <c r="AB232" i="3"/>
  <c r="G232" i="3"/>
  <c r="F232" i="3"/>
  <c r="AL230" i="3"/>
  <c r="AB231" i="3"/>
  <c r="G231" i="3"/>
  <c r="F231" i="3"/>
  <c r="AL229" i="3"/>
  <c r="AB230" i="3"/>
  <c r="G230" i="3"/>
  <c r="F230" i="3"/>
  <c r="AL228" i="3"/>
  <c r="AB229" i="3"/>
  <c r="G229" i="3"/>
  <c r="F229" i="3"/>
  <c r="AL227" i="3"/>
  <c r="AB228" i="3"/>
  <c r="G228" i="3"/>
  <c r="F228" i="3"/>
  <c r="AL226" i="3"/>
  <c r="AB227" i="3"/>
  <c r="G227" i="3"/>
  <c r="F227" i="3"/>
  <c r="AL225" i="3"/>
  <c r="AB226" i="3"/>
  <c r="AL224" i="3"/>
  <c r="AB225" i="3"/>
  <c r="AL223" i="3"/>
  <c r="AB224" i="3"/>
  <c r="G224" i="3"/>
  <c r="F224" i="3"/>
  <c r="AL222" i="3"/>
  <c r="AB223" i="3"/>
  <c r="G223" i="3"/>
  <c r="F223" i="3"/>
  <c r="AL221" i="3"/>
  <c r="AB222" i="3"/>
  <c r="G222" i="3"/>
  <c r="F222" i="3"/>
  <c r="AL220" i="3"/>
  <c r="AB221" i="3"/>
  <c r="G221" i="3"/>
  <c r="F221" i="3"/>
  <c r="AL219" i="3"/>
  <c r="AB220" i="3"/>
  <c r="G220" i="3"/>
  <c r="F220" i="3"/>
  <c r="AL218" i="3"/>
  <c r="AB219" i="3"/>
  <c r="G219" i="3"/>
  <c r="F219" i="3"/>
  <c r="AL217" i="3"/>
  <c r="AB218" i="3"/>
  <c r="G218" i="3"/>
  <c r="F218" i="3"/>
  <c r="AL216" i="3"/>
  <c r="AB217" i="3"/>
  <c r="G217" i="3"/>
  <c r="F217" i="3"/>
  <c r="AL215" i="3"/>
  <c r="AB216" i="3"/>
  <c r="G216" i="3"/>
  <c r="F216" i="3"/>
  <c r="AL214" i="3"/>
  <c r="AB215" i="3"/>
  <c r="AL213" i="3"/>
  <c r="AB214" i="3"/>
  <c r="AL212" i="3"/>
  <c r="AB213" i="3"/>
  <c r="AL198" i="3"/>
  <c r="AB199" i="3"/>
  <c r="Q198" i="3"/>
  <c r="P198" i="3"/>
  <c r="P197" i="3"/>
  <c r="Q197" i="3"/>
  <c r="AL195" i="3"/>
  <c r="AB196" i="3"/>
  <c r="AL194" i="3"/>
  <c r="AB195" i="3"/>
  <c r="Q195" i="3"/>
  <c r="P195" i="3"/>
  <c r="AL193" i="3"/>
  <c r="AB194" i="3"/>
  <c r="AL191" i="3"/>
  <c r="AB192" i="3"/>
  <c r="AL189" i="3"/>
  <c r="AB190" i="3"/>
  <c r="AL188" i="3"/>
  <c r="AB189" i="3"/>
  <c r="AL185" i="3"/>
  <c r="AB186" i="3"/>
  <c r="Q185" i="3"/>
  <c r="P185" i="3"/>
  <c r="AL181" i="3"/>
  <c r="AB182" i="3"/>
  <c r="AB179" i="3"/>
  <c r="AL178" i="3"/>
  <c r="Q177" i="3"/>
  <c r="P177" i="3"/>
  <c r="G212" i="3"/>
  <c r="F212" i="3"/>
  <c r="AL210" i="3"/>
  <c r="AB211" i="3"/>
  <c r="G211" i="3"/>
  <c r="F211" i="3"/>
  <c r="AL209" i="3"/>
  <c r="AB210" i="3"/>
  <c r="G210" i="3"/>
  <c r="F210" i="3"/>
  <c r="AL208" i="3"/>
  <c r="AB209" i="3"/>
  <c r="G209" i="3"/>
  <c r="F209" i="3"/>
  <c r="AL207" i="3"/>
  <c r="AB208" i="3"/>
  <c r="G208" i="3"/>
  <c r="F208" i="3"/>
  <c r="AL206" i="3"/>
  <c r="AB207" i="3"/>
  <c r="G207" i="3"/>
  <c r="F207" i="3"/>
  <c r="AL205" i="3"/>
  <c r="AB206" i="3"/>
  <c r="G206" i="3"/>
  <c r="F206" i="3"/>
  <c r="AL204" i="3"/>
  <c r="AB205" i="3"/>
  <c r="AL203" i="3"/>
  <c r="AB204" i="3"/>
  <c r="AL202" i="3"/>
  <c r="AB203" i="3"/>
  <c r="AL201" i="3"/>
  <c r="AB202" i="3"/>
  <c r="AL200" i="3"/>
  <c r="AB201" i="3"/>
  <c r="AB200" i="3"/>
  <c r="AL199" i="3"/>
  <c r="P200" i="3"/>
  <c r="Q200" i="3"/>
  <c r="AB193" i="3"/>
  <c r="AL192" i="3"/>
  <c r="Q193" i="3"/>
  <c r="P193" i="3"/>
  <c r="F193" i="3"/>
  <c r="G193" i="3"/>
  <c r="AL190" i="3"/>
  <c r="AB191" i="3"/>
  <c r="Q191" i="3"/>
  <c r="P191" i="3"/>
  <c r="AL187" i="3"/>
  <c r="AB188" i="3"/>
  <c r="AL183" i="3"/>
  <c r="AB184" i="3"/>
  <c r="F184" i="3"/>
  <c r="G184" i="3"/>
  <c r="AL182" i="3"/>
  <c r="AB183" i="3"/>
  <c r="Q183" i="3"/>
  <c r="P183" i="3"/>
  <c r="F182" i="3"/>
  <c r="G182" i="3"/>
  <c r="AL179" i="3"/>
  <c r="AB180" i="3"/>
  <c r="F180" i="3"/>
  <c r="G180" i="3"/>
  <c r="Q179" i="3"/>
  <c r="P179" i="3"/>
  <c r="AL177" i="3"/>
  <c r="AB178" i="3"/>
  <c r="P178" i="3"/>
  <c r="Q178" i="3"/>
  <c r="AL176" i="3"/>
  <c r="AB177" i="3"/>
  <c r="F153" i="3"/>
  <c r="G153" i="3"/>
  <c r="AL151" i="3"/>
  <c r="AB152" i="3"/>
  <c r="F152" i="3"/>
  <c r="G152" i="3"/>
  <c r="Q151" i="3"/>
  <c r="P151" i="3"/>
  <c r="AB150" i="3"/>
  <c r="AL149" i="3"/>
  <c r="Q150" i="3"/>
  <c r="P150" i="3"/>
  <c r="AB148" i="3"/>
  <c r="AL147" i="3"/>
  <c r="F148" i="3"/>
  <c r="G148" i="3"/>
  <c r="G147" i="3"/>
  <c r="F147" i="3"/>
  <c r="Q146" i="3"/>
  <c r="P146" i="3"/>
  <c r="AL143" i="3"/>
  <c r="AB144" i="3"/>
  <c r="P112" i="3"/>
  <c r="Q112" i="3"/>
  <c r="AB110" i="3"/>
  <c r="AL109" i="3"/>
  <c r="F110" i="3"/>
  <c r="G110" i="3"/>
  <c r="F108" i="3"/>
  <c r="G108" i="3"/>
  <c r="P96" i="3"/>
  <c r="Q96" i="3"/>
  <c r="AL93" i="3"/>
  <c r="AB94" i="3"/>
  <c r="AB93" i="3"/>
  <c r="AL92" i="3"/>
  <c r="G91" i="3"/>
  <c r="F91" i="3"/>
  <c r="AL89" i="3"/>
  <c r="AB90" i="3"/>
  <c r="F90" i="3"/>
  <c r="G90" i="3"/>
  <c r="O88" i="3"/>
  <c r="E88" i="3"/>
  <c r="G86" i="3"/>
  <c r="F86" i="3"/>
  <c r="F85" i="3"/>
  <c r="G85" i="3"/>
  <c r="G79" i="3"/>
  <c r="F79" i="3"/>
  <c r="AB78" i="3"/>
  <c r="AL77" i="3"/>
  <c r="G77" i="3"/>
  <c r="F77" i="3"/>
  <c r="AL75" i="3"/>
  <c r="AB76" i="3"/>
  <c r="F76" i="3"/>
  <c r="G76" i="3"/>
  <c r="AB74" i="3"/>
  <c r="AL73" i="3"/>
  <c r="F73" i="3"/>
  <c r="G73" i="3"/>
  <c r="AL175" i="3"/>
  <c r="AB176" i="3"/>
  <c r="G176" i="3"/>
  <c r="F176" i="3"/>
  <c r="AL174" i="3"/>
  <c r="AB175" i="3"/>
  <c r="G175" i="3"/>
  <c r="F175" i="3"/>
  <c r="AL173" i="3"/>
  <c r="AB174" i="3"/>
  <c r="G174" i="3"/>
  <c r="F174" i="3"/>
  <c r="AL172" i="3"/>
  <c r="AB173" i="3"/>
  <c r="G173" i="3"/>
  <c r="F173" i="3"/>
  <c r="AL171" i="3"/>
  <c r="AB172" i="3"/>
  <c r="G172" i="3"/>
  <c r="F172" i="3"/>
  <c r="AL170" i="3"/>
  <c r="AB171" i="3"/>
  <c r="AL169" i="3"/>
  <c r="AB170" i="3"/>
  <c r="AL168" i="3"/>
  <c r="AB169" i="3"/>
  <c r="AL167" i="3"/>
  <c r="AB168" i="3"/>
  <c r="G168" i="3"/>
  <c r="F168" i="3"/>
  <c r="AL166" i="3"/>
  <c r="AB167" i="3"/>
  <c r="G167" i="3"/>
  <c r="F167" i="3"/>
  <c r="AL165" i="3"/>
  <c r="AB166" i="3"/>
  <c r="G166" i="3"/>
  <c r="F166" i="3"/>
  <c r="AL164" i="3"/>
  <c r="AB165" i="3"/>
  <c r="G165" i="3"/>
  <c r="F165" i="3"/>
  <c r="AL163" i="3"/>
  <c r="AB164" i="3"/>
  <c r="G164" i="3"/>
  <c r="F164" i="3"/>
  <c r="AL162" i="3"/>
  <c r="AB163" i="3"/>
  <c r="G163" i="3"/>
  <c r="F163" i="3"/>
  <c r="AL161" i="3"/>
  <c r="AB162" i="3"/>
  <c r="G162" i="3"/>
  <c r="F162" i="3"/>
  <c r="AL160" i="3"/>
  <c r="AB161" i="3"/>
  <c r="G161" i="3"/>
  <c r="F161" i="3"/>
  <c r="AL159" i="3"/>
  <c r="AB160" i="3"/>
  <c r="G160" i="3"/>
  <c r="F160" i="3"/>
  <c r="AL158" i="3"/>
  <c r="AB159" i="3"/>
  <c r="G159" i="3"/>
  <c r="F159" i="3"/>
  <c r="AL157" i="3"/>
  <c r="AB158" i="3"/>
  <c r="G158" i="3"/>
  <c r="F158" i="3"/>
  <c r="AL156" i="3"/>
  <c r="AB157" i="3"/>
  <c r="AL155" i="3"/>
  <c r="AB156" i="3"/>
  <c r="AL154" i="3"/>
  <c r="AB155" i="3"/>
  <c r="AL153" i="3"/>
  <c r="AB154" i="3"/>
  <c r="AB153" i="3"/>
  <c r="AL152" i="3"/>
  <c r="Q153" i="3"/>
  <c r="P153" i="3"/>
  <c r="P148" i="3"/>
  <c r="Q148" i="3"/>
  <c r="AB146" i="3"/>
  <c r="AL145" i="3"/>
  <c r="AL144" i="3"/>
  <c r="AB145" i="3"/>
  <c r="G145" i="3"/>
  <c r="F145" i="3"/>
  <c r="P144" i="3"/>
  <c r="Q144" i="3"/>
  <c r="G143" i="3"/>
  <c r="F143" i="3"/>
  <c r="AL141" i="3"/>
  <c r="AB142" i="3"/>
  <c r="AL83" i="3"/>
  <c r="AB84" i="3"/>
  <c r="P80" i="3"/>
  <c r="Q80" i="3"/>
  <c r="AL78" i="3"/>
  <c r="AB79" i="3"/>
  <c r="AL76" i="3"/>
  <c r="AB77" i="3"/>
  <c r="P77" i="3"/>
  <c r="Q77" i="3"/>
  <c r="P76" i="3"/>
  <c r="Q76" i="3"/>
  <c r="Q72" i="3"/>
  <c r="P72" i="3"/>
  <c r="P38" i="3"/>
  <c r="Q38" i="3"/>
  <c r="F37" i="3"/>
  <c r="G37" i="3"/>
  <c r="AB36" i="3"/>
  <c r="AL35" i="3"/>
  <c r="F36" i="3"/>
  <c r="G36" i="3"/>
  <c r="G106" i="3"/>
  <c r="F106" i="3"/>
  <c r="G105" i="3"/>
  <c r="F105" i="3"/>
  <c r="AL103" i="3"/>
  <c r="AB104" i="3"/>
  <c r="G104" i="3"/>
  <c r="F104" i="3"/>
  <c r="AL102" i="3"/>
  <c r="AB103" i="3"/>
  <c r="G103" i="3"/>
  <c r="F103" i="3"/>
  <c r="AL101" i="3"/>
  <c r="AB102" i="3"/>
  <c r="G102" i="3"/>
  <c r="F102" i="3"/>
  <c r="AL100" i="3"/>
  <c r="AB101" i="3"/>
  <c r="G101" i="3"/>
  <c r="F101" i="3"/>
  <c r="AL99" i="3"/>
  <c r="AB100" i="3"/>
  <c r="Q100" i="3"/>
  <c r="P100" i="3"/>
  <c r="G70" i="3"/>
  <c r="F70" i="3"/>
  <c r="AL68" i="3"/>
  <c r="AB69" i="3"/>
  <c r="G69" i="3"/>
  <c r="F69" i="3"/>
  <c r="AL67" i="3"/>
  <c r="AB68" i="3"/>
  <c r="G68" i="3"/>
  <c r="F68" i="3"/>
  <c r="AL66" i="3"/>
  <c r="AB67" i="3"/>
  <c r="G67" i="3"/>
  <c r="F67" i="3"/>
  <c r="AL65" i="3"/>
  <c r="AB66" i="3"/>
  <c r="G66" i="3"/>
  <c r="F66" i="3"/>
  <c r="AL64" i="3"/>
  <c r="AB65" i="3"/>
  <c r="G65" i="3"/>
  <c r="F65" i="3"/>
  <c r="AL63" i="3"/>
  <c r="AB64" i="3"/>
  <c r="G20" i="3"/>
  <c r="F20" i="3"/>
  <c r="AL18" i="3"/>
  <c r="AB19" i="3"/>
  <c r="G16" i="3"/>
  <c r="F16" i="3"/>
  <c r="G14" i="3"/>
  <c r="F14" i="3"/>
  <c r="AL7" i="3"/>
  <c r="AB8" i="3"/>
  <c r="AL4" i="3"/>
  <c r="AB5" i="3"/>
  <c r="AL3" i="3"/>
  <c r="AB4" i="3"/>
  <c r="G3" i="3"/>
  <c r="F3" i="3"/>
  <c r="AC37" i="4"/>
  <c r="O37" i="4" s="1"/>
  <c r="AD37" i="4"/>
  <c r="Q37" i="4" s="1"/>
  <c r="P110" i="3"/>
  <c r="Q110" i="3"/>
  <c r="G109" i="3"/>
  <c r="F109" i="3"/>
  <c r="AB108" i="3"/>
  <c r="AL107" i="3"/>
  <c r="P108" i="3"/>
  <c r="Q108" i="3"/>
  <c r="AL95" i="3"/>
  <c r="AB96" i="3"/>
  <c r="O93" i="3"/>
  <c r="E93" i="3"/>
  <c r="Q92" i="3"/>
  <c r="P92" i="3"/>
  <c r="Q90" i="3"/>
  <c r="P90" i="3"/>
  <c r="F89" i="3"/>
  <c r="G89" i="3"/>
  <c r="P84" i="3"/>
  <c r="Q84" i="3"/>
  <c r="O83" i="3"/>
  <c r="E83" i="3"/>
  <c r="P82" i="3"/>
  <c r="Q82" i="3"/>
  <c r="G81" i="3"/>
  <c r="F81" i="3"/>
  <c r="Q79" i="3"/>
  <c r="P79" i="3"/>
  <c r="AB75" i="3"/>
  <c r="AL74" i="3"/>
  <c r="F74" i="3"/>
  <c r="G74" i="3"/>
  <c r="AL36" i="3"/>
  <c r="AB37" i="3"/>
  <c r="P36" i="3"/>
  <c r="Q36" i="3"/>
  <c r="AL140" i="3"/>
  <c r="AB141" i="3"/>
  <c r="G141" i="3"/>
  <c r="F141" i="3"/>
  <c r="AL139" i="3"/>
  <c r="AB140" i="3"/>
  <c r="G140" i="3"/>
  <c r="F140" i="3"/>
  <c r="AL138" i="3"/>
  <c r="AB139" i="3"/>
  <c r="G139" i="3"/>
  <c r="F139" i="3"/>
  <c r="AL137" i="3"/>
  <c r="AB138" i="3"/>
  <c r="G138" i="3"/>
  <c r="F138" i="3"/>
  <c r="AL136" i="3"/>
  <c r="AB137" i="3"/>
  <c r="G137" i="3"/>
  <c r="F137" i="3"/>
  <c r="AL135" i="3"/>
  <c r="AB136" i="3"/>
  <c r="G136" i="3"/>
  <c r="F136" i="3"/>
  <c r="AL134" i="3"/>
  <c r="AB135" i="3"/>
  <c r="G135" i="3"/>
  <c r="F135" i="3"/>
  <c r="AL133" i="3"/>
  <c r="AB134" i="3"/>
  <c r="G134" i="3"/>
  <c r="F134" i="3"/>
  <c r="AL132" i="3"/>
  <c r="AB133" i="3"/>
  <c r="G133" i="3"/>
  <c r="F133" i="3"/>
  <c r="AL131" i="3"/>
  <c r="AB132" i="3"/>
  <c r="G132" i="3"/>
  <c r="F132" i="3"/>
  <c r="AL130" i="3"/>
  <c r="AB131" i="3"/>
  <c r="G131" i="3"/>
  <c r="F131" i="3"/>
  <c r="AL129" i="3"/>
  <c r="AB130" i="3"/>
  <c r="G130" i="3"/>
  <c r="F130" i="3"/>
  <c r="AL128" i="3"/>
  <c r="AB129" i="3"/>
  <c r="G129" i="3"/>
  <c r="F129" i="3"/>
  <c r="AL127" i="3"/>
  <c r="AB128" i="3"/>
  <c r="G128" i="3"/>
  <c r="F128" i="3"/>
  <c r="AL126" i="3"/>
  <c r="AB127" i="3"/>
  <c r="G127" i="3"/>
  <c r="F127" i="3"/>
  <c r="AL125" i="3"/>
  <c r="AB126" i="3"/>
  <c r="G126" i="3"/>
  <c r="F126" i="3"/>
  <c r="AL124" i="3"/>
  <c r="AB125" i="3"/>
  <c r="G125" i="3"/>
  <c r="F125" i="3"/>
  <c r="AL123" i="3"/>
  <c r="AB124" i="3"/>
  <c r="G124" i="3"/>
  <c r="F124" i="3"/>
  <c r="AL122" i="3"/>
  <c r="AB123" i="3"/>
  <c r="G123" i="3"/>
  <c r="F123" i="3"/>
  <c r="AL121" i="3"/>
  <c r="AB122" i="3"/>
  <c r="G122" i="3"/>
  <c r="F122" i="3"/>
  <c r="AL120" i="3"/>
  <c r="AB121" i="3"/>
  <c r="G121" i="3"/>
  <c r="F121" i="3"/>
  <c r="AL119" i="3"/>
  <c r="AB120" i="3"/>
  <c r="G120" i="3"/>
  <c r="F120" i="3"/>
  <c r="AL118" i="3"/>
  <c r="AB119" i="3"/>
  <c r="G119" i="3"/>
  <c r="F119" i="3"/>
  <c r="AL117" i="3"/>
  <c r="AB118" i="3"/>
  <c r="G118" i="3"/>
  <c r="F118" i="3"/>
  <c r="AL116" i="3"/>
  <c r="AB117" i="3"/>
  <c r="G117" i="3"/>
  <c r="F117" i="3"/>
  <c r="AL115" i="3"/>
  <c r="AB116" i="3"/>
  <c r="G116" i="3"/>
  <c r="F116" i="3"/>
  <c r="AL114" i="3"/>
  <c r="AB115" i="3"/>
  <c r="G115" i="3"/>
  <c r="F115" i="3"/>
  <c r="AL113" i="3"/>
  <c r="AB114" i="3"/>
  <c r="G114" i="3"/>
  <c r="F114" i="3"/>
  <c r="AL112" i="3"/>
  <c r="AB113" i="3"/>
  <c r="G113" i="3"/>
  <c r="F113" i="3"/>
  <c r="AL110" i="3"/>
  <c r="AB111" i="3"/>
  <c r="F111" i="3"/>
  <c r="G111" i="3"/>
  <c r="P109" i="3"/>
  <c r="Q109" i="3"/>
  <c r="F99" i="3"/>
  <c r="G99" i="3"/>
  <c r="AB98" i="3"/>
  <c r="AL97" i="3"/>
  <c r="G95" i="3"/>
  <c r="F95" i="3"/>
  <c r="AL91" i="3"/>
  <c r="AB92" i="3"/>
  <c r="AL88" i="3"/>
  <c r="AB89" i="3"/>
  <c r="Q89" i="3"/>
  <c r="P89" i="3"/>
  <c r="AL84" i="3"/>
  <c r="AB85" i="3"/>
  <c r="AB82" i="3"/>
  <c r="AL81" i="3"/>
  <c r="AB81" i="3"/>
  <c r="AL80" i="3"/>
  <c r="AB73" i="3"/>
  <c r="AL72" i="3"/>
  <c r="AL104" i="3"/>
  <c r="AB105" i="3"/>
  <c r="AL69" i="3"/>
  <c r="AB70" i="3"/>
  <c r="AL16" i="3"/>
  <c r="AB17" i="3"/>
  <c r="AL14" i="3"/>
  <c r="AB15" i="3"/>
  <c r="AL12" i="3"/>
  <c r="AB13" i="3"/>
  <c r="AL10" i="3"/>
  <c r="AB11" i="3"/>
  <c r="AL8" i="3"/>
  <c r="AB9" i="3"/>
  <c r="AL6" i="3"/>
  <c r="AB7" i="3"/>
  <c r="AL2" i="3"/>
  <c r="AB3" i="3"/>
  <c r="AC100" i="4"/>
  <c r="O100" i="4" s="1"/>
  <c r="AD100" i="4"/>
  <c r="Q100" i="4" s="1"/>
  <c r="AD43" i="4"/>
  <c r="Q43" i="4" s="1"/>
  <c r="AC43" i="4"/>
  <c r="O43" i="4" s="1"/>
  <c r="AB147" i="3"/>
  <c r="AL146" i="3"/>
  <c r="AL71" i="3"/>
  <c r="AB72" i="3"/>
  <c r="AL62" i="3"/>
  <c r="AB63" i="3"/>
  <c r="AL61" i="3"/>
  <c r="AB62" i="3"/>
  <c r="AL60" i="3"/>
  <c r="AB61" i="3"/>
  <c r="AL59" i="3"/>
  <c r="AB60" i="3"/>
  <c r="AL58" i="3"/>
  <c r="AB59" i="3"/>
  <c r="AL57" i="3"/>
  <c r="AB58" i="3"/>
  <c r="AL56" i="3"/>
  <c r="AB57" i="3"/>
  <c r="AL55" i="3"/>
  <c r="AB56" i="3"/>
  <c r="AL54" i="3"/>
  <c r="AB55" i="3"/>
  <c r="AL53" i="3"/>
  <c r="AB54" i="3"/>
  <c r="AL52" i="3"/>
  <c r="AB53" i="3"/>
  <c r="AL51" i="3"/>
  <c r="AB52" i="3"/>
  <c r="AL50" i="3"/>
  <c r="AB51" i="3"/>
  <c r="G51" i="3"/>
  <c r="F51" i="3"/>
  <c r="AL49" i="3"/>
  <c r="AB50" i="3"/>
  <c r="G50" i="3"/>
  <c r="F50" i="3"/>
  <c r="AL48" i="3"/>
  <c r="AB49" i="3"/>
  <c r="G49" i="3"/>
  <c r="F49" i="3"/>
  <c r="AL47" i="3"/>
  <c r="AB48" i="3"/>
  <c r="G48" i="3"/>
  <c r="F48" i="3"/>
  <c r="AL46" i="3"/>
  <c r="AB47" i="3"/>
  <c r="G47" i="3"/>
  <c r="F47" i="3"/>
  <c r="AL45" i="3"/>
  <c r="AB46" i="3"/>
  <c r="G46" i="3"/>
  <c r="F46" i="3"/>
  <c r="AL44" i="3"/>
  <c r="AB45" i="3"/>
  <c r="G45" i="3"/>
  <c r="F45" i="3"/>
  <c r="AL43" i="3"/>
  <c r="AB44" i="3"/>
  <c r="G44" i="3"/>
  <c r="F44" i="3"/>
  <c r="AL42" i="3"/>
  <c r="AB43" i="3"/>
  <c r="G43" i="3"/>
  <c r="F43" i="3"/>
  <c r="AL41" i="3"/>
  <c r="AB42" i="3"/>
  <c r="G42" i="3"/>
  <c r="F42" i="3"/>
  <c r="AL40" i="3"/>
  <c r="AB41" i="3"/>
  <c r="G41" i="3"/>
  <c r="F41" i="3"/>
  <c r="AL39" i="3"/>
  <c r="AB40" i="3"/>
  <c r="G40" i="3"/>
  <c r="F40" i="3"/>
  <c r="P39" i="3"/>
  <c r="Q39" i="3"/>
  <c r="AL34" i="3"/>
  <c r="AB35" i="3"/>
  <c r="G35" i="3"/>
  <c r="F35" i="3"/>
  <c r="AL33" i="3"/>
  <c r="AB34" i="3"/>
  <c r="G34" i="3"/>
  <c r="F34" i="3"/>
  <c r="AL32" i="3"/>
  <c r="AB33" i="3"/>
  <c r="AL31" i="3"/>
  <c r="AB32" i="3"/>
  <c r="AL30" i="3"/>
  <c r="AB31" i="3"/>
  <c r="AL29" i="3"/>
  <c r="AB30" i="3"/>
  <c r="AL28" i="3"/>
  <c r="AB29" i="3"/>
  <c r="AL27" i="3"/>
  <c r="AB28" i="3"/>
  <c r="AL26" i="3"/>
  <c r="AB27" i="3"/>
  <c r="AL25" i="3"/>
  <c r="AB26" i="3"/>
  <c r="G26" i="3"/>
  <c r="F26" i="3"/>
  <c r="AL24" i="3"/>
  <c r="AB25" i="3"/>
  <c r="G25" i="3"/>
  <c r="F25" i="3"/>
  <c r="AL23" i="3"/>
  <c r="AB24" i="3"/>
  <c r="AL22" i="3"/>
  <c r="AB23" i="3"/>
  <c r="AL21" i="3"/>
  <c r="AB22" i="3"/>
  <c r="AL20" i="3"/>
  <c r="AB21" i="3"/>
  <c r="AL19" i="3"/>
  <c r="AB20" i="3"/>
  <c r="AL17" i="3"/>
  <c r="AB18" i="3"/>
  <c r="AL15" i="3"/>
  <c r="AB16" i="3"/>
  <c r="AL13" i="3"/>
  <c r="AB14" i="3"/>
  <c r="AL11" i="3"/>
  <c r="AB12" i="3"/>
  <c r="AL9" i="3"/>
  <c r="AB10" i="3"/>
  <c r="G7" i="3"/>
  <c r="F7" i="3"/>
  <c r="AL5" i="3"/>
  <c r="AB6" i="3"/>
  <c r="G5" i="3"/>
  <c r="F5" i="3"/>
  <c r="AD98" i="4"/>
  <c r="Q98" i="4" s="1"/>
  <c r="AC98" i="4"/>
  <c r="O98" i="4" s="1"/>
  <c r="K242" i="3"/>
  <c r="L242" i="3" s="1"/>
  <c r="AG242" i="3"/>
  <c r="AH242" i="3" s="1"/>
  <c r="K241" i="3"/>
  <c r="L241" i="3" s="1"/>
  <c r="AG241" i="3"/>
  <c r="AH241" i="3" s="1"/>
  <c r="AB240" i="4"/>
  <c r="K240" i="3"/>
  <c r="L240" i="3" s="1"/>
  <c r="AG240" i="3"/>
  <c r="AH240" i="3" s="1"/>
  <c r="AB239" i="4"/>
  <c r="K239" i="3"/>
  <c r="L239" i="3" s="1"/>
  <c r="AG239" i="3"/>
  <c r="AH239" i="3" s="1"/>
  <c r="AB238" i="4"/>
  <c r="K237" i="3"/>
  <c r="L237" i="3" s="1"/>
  <c r="AG237" i="3"/>
  <c r="AH237" i="3" s="1"/>
  <c r="AB236" i="4"/>
  <c r="K235" i="3"/>
  <c r="L235" i="3" s="1"/>
  <c r="AG235" i="3"/>
  <c r="AH235" i="3" s="1"/>
  <c r="AB234" i="4"/>
  <c r="K233" i="3"/>
  <c r="L233" i="3" s="1"/>
  <c r="AG233" i="3"/>
  <c r="AH233" i="3" s="1"/>
  <c r="AB232" i="4"/>
  <c r="K231" i="3"/>
  <c r="L231" i="3" s="1"/>
  <c r="AG231" i="3"/>
  <c r="AH231" i="3" s="1"/>
  <c r="AB230" i="4"/>
  <c r="K228" i="3"/>
  <c r="L228" i="3" s="1"/>
  <c r="AG228" i="3"/>
  <c r="AH228" i="3" s="1"/>
  <c r="K227" i="3"/>
  <c r="L227" i="3" s="1"/>
  <c r="AG227" i="3"/>
  <c r="AH227" i="3" s="1"/>
  <c r="AB215" i="4"/>
  <c r="AB214" i="4"/>
  <c r="AB197" i="3"/>
  <c r="AB187" i="3"/>
  <c r="AB201" i="4"/>
  <c r="AB155" i="4"/>
  <c r="AG225" i="3"/>
  <c r="AH225" i="3" s="1"/>
  <c r="AB224" i="4"/>
  <c r="K224" i="3"/>
  <c r="L224" i="3" s="1"/>
  <c r="AG224" i="3"/>
  <c r="AH224" i="3" s="1"/>
  <c r="AB223" i="4"/>
  <c r="K223" i="3"/>
  <c r="L223" i="3" s="1"/>
  <c r="AG223" i="3"/>
  <c r="AH223" i="3" s="1"/>
  <c r="AB222" i="4"/>
  <c r="K222" i="3"/>
  <c r="L222" i="3" s="1"/>
  <c r="AG222" i="3"/>
  <c r="AH222" i="3" s="1"/>
  <c r="AB221" i="4"/>
  <c r="K221" i="3"/>
  <c r="L221" i="3" s="1"/>
  <c r="AG221" i="3"/>
  <c r="AH221" i="3" s="1"/>
  <c r="AB220" i="4"/>
  <c r="K220" i="3"/>
  <c r="L220" i="3" s="1"/>
  <c r="AG220" i="3"/>
  <c r="AH220" i="3" s="1"/>
  <c r="AB219" i="4"/>
  <c r="K219" i="3"/>
  <c r="L219" i="3" s="1"/>
  <c r="AG219" i="3"/>
  <c r="AH219" i="3" s="1"/>
  <c r="AB218" i="4"/>
  <c r="K218" i="3"/>
  <c r="L218" i="3" s="1"/>
  <c r="AG218" i="3"/>
  <c r="AH218" i="3" s="1"/>
  <c r="AB217" i="4"/>
  <c r="K217" i="3"/>
  <c r="L217" i="3" s="1"/>
  <c r="AG217" i="3"/>
  <c r="AH217" i="3" s="1"/>
  <c r="AB216" i="4"/>
  <c r="K216" i="3"/>
  <c r="L216" i="3" s="1"/>
  <c r="AG216" i="3"/>
  <c r="AH216" i="3" s="1"/>
  <c r="AG186" i="3"/>
  <c r="AH186" i="3" s="1"/>
  <c r="AB185" i="3"/>
  <c r="AL184" i="3"/>
  <c r="K184" i="3"/>
  <c r="L184" i="3" s="1"/>
  <c r="AG184" i="3"/>
  <c r="AH184" i="3" s="1"/>
  <c r="K182" i="3"/>
  <c r="L182" i="3" s="1"/>
  <c r="AG182" i="3"/>
  <c r="AH182" i="3" s="1"/>
  <c r="AB181" i="3"/>
  <c r="AL180" i="3"/>
  <c r="K180" i="3"/>
  <c r="L180" i="3" s="1"/>
  <c r="AG180" i="3"/>
  <c r="AH180" i="3" s="1"/>
  <c r="K153" i="3"/>
  <c r="L153" i="3" s="1"/>
  <c r="AG153" i="3"/>
  <c r="AH153" i="3" s="1"/>
  <c r="AB151" i="4"/>
  <c r="AG152" i="3"/>
  <c r="AH152" i="3" s="1"/>
  <c r="K152" i="3"/>
  <c r="L152" i="3" s="1"/>
  <c r="K148" i="3"/>
  <c r="L148" i="3" s="1"/>
  <c r="AG148" i="3"/>
  <c r="AH148" i="3" s="1"/>
  <c r="K147" i="3"/>
  <c r="L147" i="3" s="1"/>
  <c r="AB146" i="4"/>
  <c r="AB144" i="4"/>
  <c r="K145" i="3"/>
  <c r="L145" i="3" s="1"/>
  <c r="AG145" i="3"/>
  <c r="AH145" i="3" s="1"/>
  <c r="K143" i="3"/>
  <c r="L143" i="3" s="1"/>
  <c r="AG111" i="3"/>
  <c r="AH111" i="3" s="1"/>
  <c r="K111" i="3"/>
  <c r="L111" i="3" s="1"/>
  <c r="K108" i="3"/>
  <c r="L108" i="3" s="1"/>
  <c r="AG108" i="3"/>
  <c r="AH108" i="3" s="1"/>
  <c r="AG98" i="3"/>
  <c r="AH98" i="3" s="1"/>
  <c r="K95" i="3"/>
  <c r="L95" i="3" s="1"/>
  <c r="AG90" i="3"/>
  <c r="AH90" i="3" s="1"/>
  <c r="K90" i="3"/>
  <c r="L90" i="3" s="1"/>
  <c r="K89" i="3"/>
  <c r="L89" i="3" s="1"/>
  <c r="AG89" i="3"/>
  <c r="AH89" i="3" s="1"/>
  <c r="AL85" i="3"/>
  <c r="K85" i="3"/>
  <c r="L85" i="3" s="1"/>
  <c r="K81" i="3"/>
  <c r="L81" i="3" s="1"/>
  <c r="K73" i="3"/>
  <c r="L73" i="3" s="1"/>
  <c r="AG37" i="3"/>
  <c r="AH37" i="3" s="1"/>
  <c r="K37" i="3"/>
  <c r="L37" i="3" s="1"/>
  <c r="K212" i="3"/>
  <c r="L212" i="3" s="1"/>
  <c r="O212" i="3"/>
  <c r="AG212" i="3"/>
  <c r="AH212" i="3" s="1"/>
  <c r="K211" i="3"/>
  <c r="L211" i="3" s="1"/>
  <c r="K206" i="3"/>
  <c r="L206" i="3" s="1"/>
  <c r="AG206" i="3"/>
  <c r="AH206" i="3" s="1"/>
  <c r="AB205" i="4"/>
  <c r="AG211" i="3"/>
  <c r="AH211" i="3" s="1"/>
  <c r="AB210" i="4"/>
  <c r="K210" i="3"/>
  <c r="L210" i="3" s="1"/>
  <c r="AG210" i="3"/>
  <c r="AH210" i="3" s="1"/>
  <c r="AB209" i="4"/>
  <c r="K209" i="3"/>
  <c r="L209" i="3" s="1"/>
  <c r="AG209" i="3"/>
  <c r="AH209" i="3" s="1"/>
  <c r="AB208" i="4"/>
  <c r="K208" i="3"/>
  <c r="L208" i="3" s="1"/>
  <c r="AG208" i="3"/>
  <c r="AH208" i="3" s="1"/>
  <c r="AB207" i="4"/>
  <c r="K207" i="3"/>
  <c r="L207" i="3" s="1"/>
  <c r="AG207" i="3"/>
  <c r="AH207" i="3" s="1"/>
  <c r="AB206" i="4"/>
  <c r="AB204" i="4"/>
  <c r="AB203" i="4"/>
  <c r="AB202" i="4"/>
  <c r="AB150" i="4"/>
  <c r="AB148" i="4"/>
  <c r="AG146" i="3"/>
  <c r="AH146" i="3" s="1"/>
  <c r="AB145" i="4"/>
  <c r="AB143" i="4"/>
  <c r="AG144" i="3"/>
  <c r="AH144" i="3" s="1"/>
  <c r="AG142" i="3"/>
  <c r="AH142" i="3" s="1"/>
  <c r="K109" i="3"/>
  <c r="L109" i="3" s="1"/>
  <c r="K93" i="3"/>
  <c r="L93" i="3" s="1"/>
  <c r="AG93" i="3"/>
  <c r="AH93" i="3" s="1"/>
  <c r="AG92" i="3"/>
  <c r="AH92" i="3" s="1"/>
  <c r="K91" i="3"/>
  <c r="L91" i="3" s="1"/>
  <c r="K88" i="3"/>
  <c r="L88" i="3" s="1"/>
  <c r="K86" i="3"/>
  <c r="L86" i="3" s="1"/>
  <c r="K176" i="3"/>
  <c r="L176" i="3" s="1"/>
  <c r="AG176" i="3"/>
  <c r="AH176" i="3" s="1"/>
  <c r="K175" i="3"/>
  <c r="L175" i="3" s="1"/>
  <c r="AG175" i="3"/>
  <c r="AH175" i="3" s="1"/>
  <c r="K174" i="3"/>
  <c r="L174" i="3" s="1"/>
  <c r="AG174" i="3"/>
  <c r="AH174" i="3" s="1"/>
  <c r="AB173" i="4"/>
  <c r="K173" i="3"/>
  <c r="L173" i="3" s="1"/>
  <c r="AG173" i="3"/>
  <c r="AH173" i="3" s="1"/>
  <c r="AB172" i="4"/>
  <c r="K172" i="3"/>
  <c r="L172" i="3" s="1"/>
  <c r="AG172" i="3"/>
  <c r="AH172" i="3" s="1"/>
  <c r="AB171" i="4"/>
  <c r="AB170" i="4"/>
  <c r="K168" i="3"/>
  <c r="L168" i="3" s="1"/>
  <c r="AG168" i="3"/>
  <c r="AH168" i="3" s="1"/>
  <c r="AB167" i="4"/>
  <c r="K167" i="3"/>
  <c r="L167" i="3" s="1"/>
  <c r="AG167" i="3"/>
  <c r="AH167" i="3" s="1"/>
  <c r="AB166" i="4"/>
  <c r="K166" i="3"/>
  <c r="L166" i="3" s="1"/>
  <c r="AG166" i="3"/>
  <c r="AH166" i="3" s="1"/>
  <c r="AB165" i="4"/>
  <c r="K165" i="3"/>
  <c r="L165" i="3" s="1"/>
  <c r="AG165" i="3"/>
  <c r="AH165" i="3" s="1"/>
  <c r="AB164" i="4"/>
  <c r="K164" i="3"/>
  <c r="L164" i="3" s="1"/>
  <c r="AG164" i="3"/>
  <c r="AH164" i="3" s="1"/>
  <c r="AB163" i="4"/>
  <c r="K163" i="3"/>
  <c r="L163" i="3" s="1"/>
  <c r="AG163" i="3"/>
  <c r="AH163" i="3" s="1"/>
  <c r="AB162" i="4"/>
  <c r="K162" i="3"/>
  <c r="L162" i="3" s="1"/>
  <c r="AG162" i="3"/>
  <c r="AH162" i="3" s="1"/>
  <c r="AB161" i="4"/>
  <c r="K161" i="3"/>
  <c r="L161" i="3" s="1"/>
  <c r="AG161" i="3"/>
  <c r="AH161" i="3" s="1"/>
  <c r="AB160" i="4"/>
  <c r="K160" i="3"/>
  <c r="L160" i="3" s="1"/>
  <c r="AG160" i="3"/>
  <c r="AH160" i="3" s="1"/>
  <c r="AB159" i="4"/>
  <c r="K159" i="3"/>
  <c r="L159" i="3" s="1"/>
  <c r="AG159" i="3"/>
  <c r="AH159" i="3" s="1"/>
  <c r="AB158" i="4"/>
  <c r="K158" i="3"/>
  <c r="L158" i="3" s="1"/>
  <c r="AG158" i="3"/>
  <c r="AH158" i="3" s="1"/>
  <c r="AB157" i="4"/>
  <c r="AB156" i="4"/>
  <c r="AG96" i="3"/>
  <c r="AH96" i="3" s="1"/>
  <c r="AG94" i="3"/>
  <c r="AH94" i="3" s="1"/>
  <c r="AG84" i="3"/>
  <c r="AH84" i="3" s="1"/>
  <c r="K83" i="3"/>
  <c r="L83" i="3" s="1"/>
  <c r="AG78" i="3"/>
  <c r="AH78" i="3" s="1"/>
  <c r="AG75" i="3"/>
  <c r="AH75" i="3" s="1"/>
  <c r="K141" i="3"/>
  <c r="L141" i="3" s="1"/>
  <c r="AG141" i="3"/>
  <c r="AH141" i="3" s="1"/>
  <c r="AB140" i="4"/>
  <c r="K140" i="3"/>
  <c r="L140" i="3" s="1"/>
  <c r="AG140" i="3"/>
  <c r="AH140" i="3" s="1"/>
  <c r="AB139" i="4"/>
  <c r="K139" i="3"/>
  <c r="L139" i="3" s="1"/>
  <c r="AG139" i="3"/>
  <c r="AH139" i="3" s="1"/>
  <c r="AB138" i="4"/>
  <c r="K138" i="3"/>
  <c r="L138" i="3" s="1"/>
  <c r="AG138" i="3"/>
  <c r="AH138" i="3" s="1"/>
  <c r="K137" i="3"/>
  <c r="L137" i="3" s="1"/>
  <c r="AG137" i="3"/>
  <c r="AH137" i="3" s="1"/>
  <c r="K136" i="3"/>
  <c r="L136" i="3" s="1"/>
  <c r="AG136" i="3"/>
  <c r="AH136" i="3" s="1"/>
  <c r="K135" i="3"/>
  <c r="L135" i="3" s="1"/>
  <c r="AG135" i="3"/>
  <c r="AH135" i="3" s="1"/>
  <c r="K134" i="3"/>
  <c r="L134" i="3" s="1"/>
  <c r="AG134" i="3"/>
  <c r="AH134" i="3" s="1"/>
  <c r="K133" i="3"/>
  <c r="L133" i="3" s="1"/>
  <c r="AG133" i="3"/>
  <c r="AH133" i="3" s="1"/>
  <c r="K132" i="3"/>
  <c r="L132" i="3" s="1"/>
  <c r="AG132" i="3"/>
  <c r="AH132" i="3" s="1"/>
  <c r="K131" i="3"/>
  <c r="L131" i="3" s="1"/>
  <c r="AG131" i="3"/>
  <c r="AH131" i="3" s="1"/>
  <c r="K130" i="3"/>
  <c r="L130" i="3" s="1"/>
  <c r="AG130" i="3"/>
  <c r="AH130" i="3" s="1"/>
  <c r="K129" i="3"/>
  <c r="L129" i="3" s="1"/>
  <c r="AG129" i="3"/>
  <c r="AH129" i="3" s="1"/>
  <c r="K128" i="3"/>
  <c r="L128" i="3" s="1"/>
  <c r="AG128" i="3"/>
  <c r="AH128" i="3" s="1"/>
  <c r="K127" i="3"/>
  <c r="L127" i="3" s="1"/>
  <c r="AG127" i="3"/>
  <c r="AH127" i="3" s="1"/>
  <c r="K126" i="3"/>
  <c r="L126" i="3" s="1"/>
  <c r="AG126" i="3"/>
  <c r="AH126" i="3" s="1"/>
  <c r="K125" i="3"/>
  <c r="L125" i="3" s="1"/>
  <c r="AG125" i="3"/>
  <c r="AH125" i="3" s="1"/>
  <c r="K124" i="3"/>
  <c r="L124" i="3" s="1"/>
  <c r="AG124" i="3"/>
  <c r="AH124" i="3" s="1"/>
  <c r="AB19" i="4"/>
  <c r="AG8" i="3"/>
  <c r="AH8" i="3" s="1"/>
  <c r="AB195" i="4"/>
  <c r="AB193" i="4"/>
  <c r="AB112" i="4"/>
  <c r="K123" i="3"/>
  <c r="L123" i="3" s="1"/>
  <c r="AG123" i="3"/>
  <c r="AH123" i="3" s="1"/>
  <c r="K122" i="3"/>
  <c r="L122" i="3" s="1"/>
  <c r="AG122" i="3"/>
  <c r="AH122" i="3" s="1"/>
  <c r="K121" i="3"/>
  <c r="L121" i="3" s="1"/>
  <c r="AG121" i="3"/>
  <c r="AH121" i="3" s="1"/>
  <c r="K120" i="3"/>
  <c r="L120" i="3" s="1"/>
  <c r="AG120" i="3"/>
  <c r="AH120" i="3" s="1"/>
  <c r="K119" i="3"/>
  <c r="L119" i="3" s="1"/>
  <c r="AG119" i="3"/>
  <c r="AH119" i="3" s="1"/>
  <c r="K118" i="3"/>
  <c r="L118" i="3" s="1"/>
  <c r="AG118" i="3"/>
  <c r="AH118" i="3" s="1"/>
  <c r="K117" i="3"/>
  <c r="L117" i="3" s="1"/>
  <c r="AG117" i="3"/>
  <c r="AH117" i="3" s="1"/>
  <c r="K116" i="3"/>
  <c r="L116" i="3" s="1"/>
  <c r="AG116" i="3"/>
  <c r="AH116" i="3" s="1"/>
  <c r="K115" i="3"/>
  <c r="L115" i="3" s="1"/>
  <c r="AG115" i="3"/>
  <c r="AH115" i="3" s="1"/>
  <c r="K114" i="3"/>
  <c r="L114" i="3" s="1"/>
  <c r="AG114" i="3"/>
  <c r="AH114" i="3" s="1"/>
  <c r="K113" i="3"/>
  <c r="L113" i="3" s="1"/>
  <c r="AG113" i="3"/>
  <c r="AH113" i="3" s="1"/>
  <c r="AB112" i="3"/>
  <c r="AL111" i="3"/>
  <c r="AG110" i="3"/>
  <c r="AH110" i="3" s="1"/>
  <c r="K110" i="3"/>
  <c r="L110" i="3" s="1"/>
  <c r="AB109" i="3"/>
  <c r="AG100" i="3"/>
  <c r="AH100" i="3" s="1"/>
  <c r="K99" i="3"/>
  <c r="L99" i="3" s="1"/>
  <c r="AL90" i="3"/>
  <c r="AB91" i="3"/>
  <c r="AL79" i="3"/>
  <c r="AG79" i="3"/>
  <c r="AH79" i="3" s="1"/>
  <c r="K79" i="3"/>
  <c r="L79" i="3" s="1"/>
  <c r="K77" i="3"/>
  <c r="L77" i="3" s="1"/>
  <c r="AG77" i="3"/>
  <c r="AH77" i="3" s="1"/>
  <c r="AG76" i="3"/>
  <c r="AH76" i="3" s="1"/>
  <c r="K76" i="3"/>
  <c r="L76" i="3" s="1"/>
  <c r="AG74" i="3"/>
  <c r="AH74" i="3" s="1"/>
  <c r="K74" i="3"/>
  <c r="L74" i="3" s="1"/>
  <c r="AL38" i="3"/>
  <c r="AL37" i="3"/>
  <c r="K36" i="3"/>
  <c r="L36" i="3" s="1"/>
  <c r="AG36" i="3"/>
  <c r="AH36" i="3" s="1"/>
  <c r="K106" i="3"/>
  <c r="L106" i="3" s="1"/>
  <c r="K105" i="3"/>
  <c r="L105" i="3" s="1"/>
  <c r="K104" i="3"/>
  <c r="L104" i="3" s="1"/>
  <c r="AG104" i="3"/>
  <c r="AH104" i="3" s="1"/>
  <c r="K69" i="3"/>
  <c r="L69" i="3" s="1"/>
  <c r="AG69" i="3"/>
  <c r="AH69" i="3" s="1"/>
  <c r="K68" i="3"/>
  <c r="L68" i="3" s="1"/>
  <c r="AG68" i="3"/>
  <c r="AH68" i="3" s="1"/>
  <c r="AB67" i="4"/>
  <c r="K65" i="3"/>
  <c r="L65" i="3" s="1"/>
  <c r="AG65" i="3"/>
  <c r="AH65" i="3" s="1"/>
  <c r="AG64" i="3"/>
  <c r="AH64" i="3" s="1"/>
  <c r="AB28" i="4"/>
  <c r="AB20" i="4"/>
  <c r="AG19" i="3"/>
  <c r="AH19" i="3" s="1"/>
  <c r="AB119" i="4"/>
  <c r="AB115" i="4"/>
  <c r="AB78" i="4"/>
  <c r="K103" i="3"/>
  <c r="L103" i="3" s="1"/>
  <c r="AG103" i="3"/>
  <c r="AH103" i="3" s="1"/>
  <c r="K102" i="3"/>
  <c r="L102" i="3" s="1"/>
  <c r="AG102" i="3"/>
  <c r="AH102" i="3" s="1"/>
  <c r="K101" i="3"/>
  <c r="L101" i="3" s="1"/>
  <c r="AG101" i="3"/>
  <c r="AH101" i="3" s="1"/>
  <c r="K71" i="3"/>
  <c r="L71" i="3" s="1"/>
  <c r="O71" i="3"/>
  <c r="AB70" i="4"/>
  <c r="K70" i="3"/>
  <c r="L70" i="3" s="1"/>
  <c r="K67" i="3"/>
  <c r="L67" i="3" s="1"/>
  <c r="AG67" i="3"/>
  <c r="AH67" i="3" s="1"/>
  <c r="K66" i="3"/>
  <c r="L66" i="3" s="1"/>
  <c r="AG66" i="3"/>
  <c r="AH66" i="3" s="1"/>
  <c r="AB31" i="4"/>
  <c r="AB30" i="4"/>
  <c r="AB18" i="4"/>
  <c r="K51" i="3"/>
  <c r="L51" i="3" s="1"/>
  <c r="AG51" i="3"/>
  <c r="AH51" i="3" s="1"/>
  <c r="K50" i="3"/>
  <c r="L50" i="3" s="1"/>
  <c r="AG50" i="3"/>
  <c r="AH50" i="3" s="1"/>
  <c r="K49" i="3"/>
  <c r="L49" i="3" s="1"/>
  <c r="AG49" i="3"/>
  <c r="AH49" i="3" s="1"/>
  <c r="K48" i="3"/>
  <c r="L48" i="3" s="1"/>
  <c r="AG48" i="3"/>
  <c r="AH48" i="3" s="1"/>
  <c r="K47" i="3"/>
  <c r="L47" i="3" s="1"/>
  <c r="AG47" i="3"/>
  <c r="AH47" i="3" s="1"/>
  <c r="K46" i="3"/>
  <c r="L46" i="3" s="1"/>
  <c r="AG46" i="3"/>
  <c r="AH46" i="3" s="1"/>
  <c r="K45" i="3"/>
  <c r="L45" i="3" s="1"/>
  <c r="AG45" i="3"/>
  <c r="AH45" i="3" s="1"/>
  <c r="K44" i="3"/>
  <c r="L44" i="3" s="1"/>
  <c r="AG44" i="3"/>
  <c r="AH44" i="3" s="1"/>
  <c r="K43" i="3"/>
  <c r="L43" i="3" s="1"/>
  <c r="AG43" i="3"/>
  <c r="AH43" i="3" s="1"/>
  <c r="K42" i="3"/>
  <c r="L42" i="3" s="1"/>
  <c r="AG42" i="3"/>
  <c r="AH42" i="3" s="1"/>
  <c r="K41" i="3"/>
  <c r="L41" i="3" s="1"/>
  <c r="AG41" i="3"/>
  <c r="AH41" i="3" s="1"/>
  <c r="K40" i="3"/>
  <c r="L40" i="3" s="1"/>
  <c r="AG40" i="3"/>
  <c r="AH40" i="3" s="1"/>
  <c r="K35" i="3"/>
  <c r="L35" i="3" s="1"/>
  <c r="AG35" i="3"/>
  <c r="AH35" i="3" s="1"/>
  <c r="AB34" i="4"/>
  <c r="K34" i="3"/>
  <c r="L34" i="3" s="1"/>
  <c r="AB32" i="4"/>
  <c r="AB29" i="4"/>
  <c r="AB17" i="4"/>
  <c r="AB16" i="4"/>
  <c r="AB15" i="4"/>
  <c r="AB14" i="4"/>
  <c r="AB13" i="4"/>
  <c r="AB12" i="4"/>
  <c r="AB11" i="4"/>
  <c r="AB197" i="4"/>
  <c r="AB120" i="4"/>
  <c r="AB116" i="4"/>
  <c r="AB107" i="4"/>
  <c r="AB75" i="4"/>
  <c r="K26" i="3"/>
  <c r="L26" i="3" s="1"/>
  <c r="AG26" i="3"/>
  <c r="AH26" i="3" s="1"/>
  <c r="AB25" i="4"/>
  <c r="K25" i="3"/>
  <c r="L25" i="3" s="1"/>
  <c r="AG25" i="3"/>
  <c r="AH25" i="3" s="1"/>
  <c r="AB24" i="4"/>
  <c r="AB23" i="4"/>
  <c r="AB22" i="4"/>
  <c r="AB21" i="4"/>
  <c r="K20" i="3"/>
  <c r="L20" i="3" s="1"/>
  <c r="K16" i="3"/>
  <c r="L16" i="3" s="1"/>
  <c r="K14" i="3"/>
  <c r="L14" i="3" s="1"/>
  <c r="AB114" i="4"/>
  <c r="AB77" i="4"/>
  <c r="K7" i="3"/>
  <c r="L7" i="3" s="1"/>
  <c r="AG6" i="3"/>
  <c r="AH6" i="3" s="1"/>
  <c r="K5" i="3"/>
  <c r="L5" i="3" s="1"/>
  <c r="AG5" i="3"/>
  <c r="AH5" i="3" s="1"/>
  <c r="AG4" i="3"/>
  <c r="AH4" i="3" s="1"/>
  <c r="K3" i="3"/>
  <c r="L3" i="3" s="1"/>
  <c r="AG2" i="3"/>
  <c r="AH2" i="3" s="1"/>
  <c r="O111" i="3"/>
  <c r="O99" i="3"/>
  <c r="O98" i="3"/>
  <c r="E98" i="3"/>
  <c r="O85" i="3"/>
  <c r="AB183" i="4"/>
  <c r="AB181" i="4"/>
  <c r="AB191" i="4"/>
  <c r="AB118" i="4"/>
  <c r="AB117" i="4"/>
  <c r="O95" i="3"/>
  <c r="AB7" i="4"/>
  <c r="AB5" i="4"/>
  <c r="AB4" i="4"/>
  <c r="AB3" i="4"/>
  <c r="AB2" i="4"/>
  <c r="O242" i="3"/>
  <c r="O241" i="3"/>
  <c r="O240" i="3"/>
  <c r="O239" i="3"/>
  <c r="O238" i="3"/>
  <c r="O237" i="3"/>
  <c r="O236" i="3"/>
  <c r="O235" i="3"/>
  <c r="O234" i="3"/>
  <c r="O233" i="3"/>
  <c r="O232" i="3"/>
  <c r="O231" i="3"/>
  <c r="O230" i="3"/>
  <c r="O229" i="3"/>
  <c r="O228" i="3"/>
  <c r="O227" i="3"/>
  <c r="O226" i="3"/>
  <c r="E226" i="3"/>
  <c r="O225" i="3"/>
  <c r="E225" i="3"/>
  <c r="O224" i="3"/>
  <c r="O223" i="3"/>
  <c r="O222" i="3"/>
  <c r="O221" i="3"/>
  <c r="O220" i="3"/>
  <c r="O219" i="3"/>
  <c r="O218" i="3"/>
  <c r="O217" i="3"/>
  <c r="O216" i="3"/>
  <c r="O215" i="3"/>
  <c r="E215" i="3"/>
  <c r="O214" i="3"/>
  <c r="E214" i="3"/>
  <c r="O213" i="3"/>
  <c r="E213" i="3"/>
  <c r="O199" i="3"/>
  <c r="E199" i="3"/>
  <c r="O194" i="3"/>
  <c r="E194" i="3"/>
  <c r="O192" i="3"/>
  <c r="O190" i="3"/>
  <c r="E190" i="3"/>
  <c r="O188" i="3"/>
  <c r="O187" i="3"/>
  <c r="O186" i="3"/>
  <c r="O180" i="3"/>
  <c r="O211" i="3"/>
  <c r="O210" i="3"/>
  <c r="O209" i="3"/>
  <c r="O208" i="3"/>
  <c r="O207" i="3"/>
  <c r="O206" i="3"/>
  <c r="O205" i="3"/>
  <c r="E205" i="3"/>
  <c r="O204" i="3"/>
  <c r="E204" i="3"/>
  <c r="O203" i="3"/>
  <c r="E203" i="3"/>
  <c r="O189" i="3"/>
  <c r="E189" i="3"/>
  <c r="E188" i="3"/>
  <c r="E187" i="3"/>
  <c r="E186" i="3"/>
  <c r="O184" i="3"/>
  <c r="O182" i="3"/>
  <c r="O181" i="3"/>
  <c r="E181" i="3"/>
  <c r="O152" i="3"/>
  <c r="O147" i="3"/>
  <c r="O145" i="3"/>
  <c r="O91" i="3"/>
  <c r="O86" i="3"/>
  <c r="O74" i="3"/>
  <c r="O73" i="3"/>
  <c r="O37" i="3"/>
  <c r="O176" i="3"/>
  <c r="O202" i="3"/>
  <c r="E202" i="3"/>
  <c r="O201" i="3"/>
  <c r="E201" i="3"/>
  <c r="O196" i="3"/>
  <c r="E196" i="3"/>
  <c r="E195" i="3"/>
  <c r="E192" i="3"/>
  <c r="O175" i="3"/>
  <c r="O174" i="3"/>
  <c r="O173" i="3"/>
  <c r="O172" i="3"/>
  <c r="O171" i="3"/>
  <c r="E171" i="3"/>
  <c r="O170" i="3"/>
  <c r="E170" i="3"/>
  <c r="O169" i="3"/>
  <c r="E169" i="3"/>
  <c r="O168" i="3"/>
  <c r="O167" i="3"/>
  <c r="O166" i="3"/>
  <c r="O165" i="3"/>
  <c r="O164" i="3"/>
  <c r="O163" i="3"/>
  <c r="O162" i="3"/>
  <c r="O161" i="3"/>
  <c r="O160" i="3"/>
  <c r="O159" i="3"/>
  <c r="O158" i="3"/>
  <c r="O157" i="3"/>
  <c r="E157" i="3"/>
  <c r="O156" i="3"/>
  <c r="E156" i="3"/>
  <c r="O155" i="3"/>
  <c r="E155" i="3"/>
  <c r="O154" i="3"/>
  <c r="E154" i="3"/>
  <c r="O143" i="3"/>
  <c r="O106" i="3"/>
  <c r="O105" i="3"/>
  <c r="O104" i="3"/>
  <c r="O103" i="3"/>
  <c r="O102" i="3"/>
  <c r="O101" i="3"/>
  <c r="O70" i="3"/>
  <c r="O69" i="3"/>
  <c r="O68" i="3"/>
  <c r="O67" i="3"/>
  <c r="O66" i="3"/>
  <c r="O65" i="3"/>
  <c r="O20" i="3"/>
  <c r="O81" i="3"/>
  <c r="O141" i="3"/>
  <c r="O140" i="3"/>
  <c r="O139" i="3"/>
  <c r="O138" i="3"/>
  <c r="O137" i="3"/>
  <c r="O136" i="3"/>
  <c r="O135" i="3"/>
  <c r="O134" i="3"/>
  <c r="O133" i="3"/>
  <c r="O132" i="3"/>
  <c r="O131" i="3"/>
  <c r="O130" i="3"/>
  <c r="O129" i="3"/>
  <c r="O128" i="3"/>
  <c r="O127" i="3"/>
  <c r="O126" i="3"/>
  <c r="O125" i="3"/>
  <c r="O124" i="3"/>
  <c r="O123" i="3"/>
  <c r="O122" i="3"/>
  <c r="O121" i="3"/>
  <c r="O120" i="3"/>
  <c r="O119" i="3"/>
  <c r="O118" i="3"/>
  <c r="O117" i="3"/>
  <c r="O116" i="3"/>
  <c r="O115" i="3"/>
  <c r="O114" i="3"/>
  <c r="O113" i="3"/>
  <c r="O18" i="3"/>
  <c r="E18" i="3"/>
  <c r="O16" i="3"/>
  <c r="O14" i="3"/>
  <c r="O12" i="3"/>
  <c r="E12" i="3"/>
  <c r="O10" i="3"/>
  <c r="E10" i="3"/>
  <c r="O8" i="3"/>
  <c r="E8" i="3"/>
  <c r="O6" i="3"/>
  <c r="E6" i="3"/>
  <c r="O4" i="3"/>
  <c r="E4" i="3"/>
  <c r="O2" i="3"/>
  <c r="E2" i="3"/>
  <c r="O64" i="3"/>
  <c r="E64" i="3"/>
  <c r="O63" i="3"/>
  <c r="E63" i="3"/>
  <c r="O62" i="3"/>
  <c r="E62" i="3"/>
  <c r="O61" i="3"/>
  <c r="E61" i="3"/>
  <c r="O60" i="3"/>
  <c r="E60" i="3"/>
  <c r="O59" i="3"/>
  <c r="E59" i="3"/>
  <c r="O58" i="3"/>
  <c r="E58" i="3"/>
  <c r="O57" i="3"/>
  <c r="E57" i="3"/>
  <c r="O56" i="3"/>
  <c r="E56" i="3"/>
  <c r="O55" i="3"/>
  <c r="E55" i="3"/>
  <c r="O54" i="3"/>
  <c r="E54" i="3"/>
  <c r="O53" i="3"/>
  <c r="E53" i="3"/>
  <c r="O52" i="3"/>
  <c r="E52" i="3"/>
  <c r="O51" i="3"/>
  <c r="O50" i="3"/>
  <c r="O49" i="3"/>
  <c r="O48" i="3"/>
  <c r="O47" i="3"/>
  <c r="O46" i="3"/>
  <c r="O45" i="3"/>
  <c r="O44" i="3"/>
  <c r="O43" i="3"/>
  <c r="O42" i="3"/>
  <c r="O41" i="3"/>
  <c r="O40" i="3"/>
  <c r="O35" i="3"/>
  <c r="O34" i="3"/>
  <c r="O33" i="3"/>
  <c r="E33" i="3"/>
  <c r="O32" i="3"/>
  <c r="E32" i="3"/>
  <c r="O31" i="3"/>
  <c r="E31" i="3"/>
  <c r="O30" i="3"/>
  <c r="E30" i="3"/>
  <c r="O29" i="3"/>
  <c r="E29" i="3"/>
  <c r="O28" i="3"/>
  <c r="E28" i="3"/>
  <c r="O27" i="3"/>
  <c r="E27" i="3"/>
  <c r="O26" i="3"/>
  <c r="O25" i="3"/>
  <c r="O24" i="3"/>
  <c r="E24" i="3"/>
  <c r="O23" i="3"/>
  <c r="E23" i="3"/>
  <c r="O22" i="3"/>
  <c r="E22" i="3"/>
  <c r="O21" i="3"/>
  <c r="E21" i="3"/>
  <c r="O19" i="3"/>
  <c r="E19" i="3"/>
  <c r="O17" i="3"/>
  <c r="E17" i="3"/>
  <c r="O15" i="3"/>
  <c r="E15" i="3"/>
  <c r="O13" i="3"/>
  <c r="E13" i="3"/>
  <c r="O11" i="3"/>
  <c r="E11" i="3"/>
  <c r="O9" i="3"/>
  <c r="E9" i="3"/>
  <c r="O7" i="3"/>
  <c r="O5" i="3"/>
  <c r="O3" i="3"/>
  <c r="K238" i="3"/>
  <c r="L238" i="3" s="1"/>
  <c r="AG238" i="3"/>
  <c r="AH238" i="3" s="1"/>
  <c r="AB237" i="4"/>
  <c r="K236" i="3"/>
  <c r="L236" i="3" s="1"/>
  <c r="AG236" i="3"/>
  <c r="AH236" i="3" s="1"/>
  <c r="AB235" i="4"/>
  <c r="K234" i="3"/>
  <c r="L234" i="3" s="1"/>
  <c r="AG234" i="3"/>
  <c r="AH234" i="3" s="1"/>
  <c r="AB233" i="4"/>
  <c r="K232" i="3"/>
  <c r="L232" i="3" s="1"/>
  <c r="AG232" i="3"/>
  <c r="AH232" i="3" s="1"/>
  <c r="AB231" i="4"/>
  <c r="K230" i="3"/>
  <c r="L230" i="3" s="1"/>
  <c r="AG230" i="3"/>
  <c r="AH230" i="3" s="1"/>
  <c r="AB229" i="4"/>
  <c r="K229" i="3"/>
  <c r="L229" i="3" s="1"/>
  <c r="AG229" i="3"/>
  <c r="AH229" i="3" s="1"/>
  <c r="AB228" i="4"/>
  <c r="AB227" i="4"/>
  <c r="AB198" i="3"/>
  <c r="AD2" i="3" l="1"/>
  <c r="AC2" i="3"/>
  <c r="AC242" i="4"/>
  <c r="O242" i="4" s="1"/>
  <c r="AD242" i="4"/>
  <c r="Q242" i="4" s="1"/>
  <c r="AC241" i="4"/>
  <c r="O241" i="4" s="1"/>
  <c r="AD241" i="4"/>
  <c r="Q241" i="4" s="1"/>
  <c r="AS151" i="3"/>
  <c r="AR151" i="3"/>
  <c r="AS107" i="3"/>
  <c r="AR107" i="3"/>
  <c r="AR99" i="3"/>
  <c r="AI99" i="3"/>
  <c r="AS99" i="3"/>
  <c r="AR97" i="3"/>
  <c r="AS97" i="3"/>
  <c r="AS88" i="3"/>
  <c r="AR88" i="3"/>
  <c r="AR87" i="3"/>
  <c r="AS87" i="3"/>
  <c r="AR86" i="3"/>
  <c r="AS86" i="3"/>
  <c r="AI86" i="3"/>
  <c r="AR83" i="3"/>
  <c r="AS83" i="3"/>
  <c r="AC212" i="3"/>
  <c r="AD212" i="3"/>
  <c r="AJ212" i="3" s="1"/>
  <c r="AM211" i="3"/>
  <c r="AO211" i="3" s="1"/>
  <c r="AN211" i="3"/>
  <c r="AP211" i="3" s="1"/>
  <c r="F200" i="3"/>
  <c r="G200" i="3"/>
  <c r="G198" i="3"/>
  <c r="F198" i="3"/>
  <c r="F197" i="3"/>
  <c r="G197" i="3"/>
  <c r="G191" i="3"/>
  <c r="F191" i="3"/>
  <c r="G185" i="3"/>
  <c r="F185" i="3"/>
  <c r="G183" i="3"/>
  <c r="F183" i="3"/>
  <c r="G179" i="3"/>
  <c r="F179" i="3"/>
  <c r="G178" i="3"/>
  <c r="F178" i="3"/>
  <c r="G177" i="3"/>
  <c r="F177" i="3"/>
  <c r="G151" i="3"/>
  <c r="AJ151" i="3" s="1"/>
  <c r="F151" i="3"/>
  <c r="F149" i="3"/>
  <c r="G149" i="3"/>
  <c r="AJ149" i="3" s="1"/>
  <c r="G146" i="3"/>
  <c r="F146" i="3"/>
  <c r="G144" i="3"/>
  <c r="F144" i="3"/>
  <c r="G142" i="3"/>
  <c r="F142" i="3"/>
  <c r="G107" i="3"/>
  <c r="AJ107" i="3" s="1"/>
  <c r="F107" i="3"/>
  <c r="F97" i="3"/>
  <c r="G97" i="3"/>
  <c r="AJ97" i="3" s="1"/>
  <c r="G92" i="3"/>
  <c r="F92" i="3"/>
  <c r="G82" i="3"/>
  <c r="F82" i="3"/>
  <c r="AC177" i="4"/>
  <c r="O177" i="4" s="1"/>
  <c r="AD177" i="4"/>
  <c r="Q177" i="4" s="1"/>
  <c r="AC175" i="4"/>
  <c r="O175" i="4" s="1"/>
  <c r="AD175" i="4"/>
  <c r="Q175" i="4" s="1"/>
  <c r="AC176" i="4"/>
  <c r="O176" i="4" s="1"/>
  <c r="AD176" i="4"/>
  <c r="Q176" i="4" s="1"/>
  <c r="AC174" i="4"/>
  <c r="O174" i="4" s="1"/>
  <c r="AD174" i="4"/>
  <c r="Q174" i="4" s="1"/>
  <c r="F150" i="3"/>
  <c r="G150" i="3"/>
  <c r="AI149" i="3"/>
  <c r="AR149" i="3"/>
  <c r="AS149" i="3"/>
  <c r="F112" i="3"/>
  <c r="G112" i="3"/>
  <c r="F96" i="3"/>
  <c r="G96" i="3"/>
  <c r="F94" i="3"/>
  <c r="G94" i="3"/>
  <c r="G84" i="3"/>
  <c r="F84" i="3"/>
  <c r="F80" i="3"/>
  <c r="G80" i="3"/>
  <c r="AJ80" i="3" s="1"/>
  <c r="G78" i="3"/>
  <c r="F78" i="3"/>
  <c r="F75" i="3"/>
  <c r="G75" i="3"/>
  <c r="F38" i="3"/>
  <c r="G38" i="3"/>
  <c r="AJ38" i="3" s="1"/>
  <c r="F100" i="3"/>
  <c r="G100" i="3"/>
  <c r="G87" i="3"/>
  <c r="AJ87" i="3" s="1"/>
  <c r="F87" i="3"/>
  <c r="AI80" i="3"/>
  <c r="AS80" i="3"/>
  <c r="AR80" i="3"/>
  <c r="G72" i="3"/>
  <c r="F72" i="3"/>
  <c r="AR39" i="3"/>
  <c r="AS39" i="3"/>
  <c r="AR38" i="3"/>
  <c r="AS38" i="3"/>
  <c r="AI38" i="3"/>
  <c r="AD106" i="3"/>
  <c r="AJ106" i="3" s="1"/>
  <c r="AC106" i="3"/>
  <c r="AM105" i="3"/>
  <c r="AO105" i="3" s="1"/>
  <c r="AN105" i="3"/>
  <c r="AP105" i="3" s="1"/>
  <c r="AD71" i="3"/>
  <c r="AJ71" i="3" s="1"/>
  <c r="AC71" i="3"/>
  <c r="AM70" i="3"/>
  <c r="AO70" i="3" s="1"/>
  <c r="AN70" i="3"/>
  <c r="AP70" i="3" s="1"/>
  <c r="K71" i="4"/>
  <c r="R71" i="3"/>
  <c r="U71" i="3"/>
  <c r="C71" i="4"/>
  <c r="X71" i="4"/>
  <c r="S71" i="3"/>
  <c r="T71" i="3"/>
  <c r="AC71" i="4"/>
  <c r="O71" i="4" s="1"/>
  <c r="AD71" i="4"/>
  <c r="Q71" i="4" s="1"/>
  <c r="AC69" i="4"/>
  <c r="O69" i="4" s="1"/>
  <c r="AD69" i="4"/>
  <c r="Q69" i="4" s="1"/>
  <c r="F39" i="3"/>
  <c r="G39" i="3"/>
  <c r="AJ39" i="3" s="1"/>
  <c r="AC35" i="4"/>
  <c r="O35" i="4" s="1"/>
  <c r="AD35" i="4"/>
  <c r="Q35" i="4" s="1"/>
  <c r="AC33" i="4"/>
  <c r="O33" i="4" s="1"/>
  <c r="AD33" i="4"/>
  <c r="Q33" i="4" s="1"/>
  <c r="AC90" i="4"/>
  <c r="O90" i="4" s="1"/>
  <c r="AD90" i="4"/>
  <c r="Q90" i="4" s="1"/>
  <c r="AD88" i="4"/>
  <c r="Q88" i="4" s="1"/>
  <c r="AC88" i="4"/>
  <c r="O88" i="4" s="1"/>
  <c r="AM94" i="3"/>
  <c r="AO94" i="3" s="1"/>
  <c r="AN94" i="3"/>
  <c r="AP94" i="3" s="1"/>
  <c r="AC95" i="3"/>
  <c r="AD95" i="3"/>
  <c r="AJ95" i="3" s="1"/>
  <c r="AC91" i="4"/>
  <c r="O91" i="4" s="1"/>
  <c r="AD91" i="4"/>
  <c r="Q91" i="4" s="1"/>
  <c r="AC89" i="4"/>
  <c r="O89" i="4" s="1"/>
  <c r="AD89" i="4"/>
  <c r="Q89" i="4" s="1"/>
  <c r="AC99" i="4"/>
  <c r="O99" i="4" s="1"/>
  <c r="AD99" i="4"/>
  <c r="Q99" i="4" s="1"/>
  <c r="AC97" i="4"/>
  <c r="O97" i="4" s="1"/>
  <c r="AD97" i="4"/>
  <c r="Q97" i="4" s="1"/>
  <c r="AD96" i="4"/>
  <c r="Q96" i="4" s="1"/>
  <c r="AC96" i="4"/>
  <c r="O96" i="4" s="1"/>
  <c r="AC94" i="4"/>
  <c r="O94" i="4" s="1"/>
  <c r="AD94" i="4"/>
  <c r="Q94" i="4" s="1"/>
  <c r="V87" i="3"/>
  <c r="N87" i="4"/>
  <c r="W87" i="3"/>
  <c r="P87" i="4"/>
  <c r="AN142" i="3"/>
  <c r="AP142" i="3" s="1"/>
  <c r="AM142" i="3"/>
  <c r="AO142" i="3" s="1"/>
  <c r="AC143" i="3"/>
  <c r="AD143" i="3"/>
  <c r="AJ143" i="3" s="1"/>
  <c r="AC38" i="4"/>
  <c r="O38" i="4" s="1"/>
  <c r="AD38" i="4"/>
  <c r="Q38" i="4" s="1"/>
  <c r="AC36" i="4"/>
  <c r="O36" i="4" s="1"/>
  <c r="AD36" i="4"/>
  <c r="Q36" i="4" s="1"/>
  <c r="V107" i="3"/>
  <c r="N107" i="4"/>
  <c r="W107" i="3"/>
  <c r="P107" i="4"/>
  <c r="AC190" i="4"/>
  <c r="O190" i="4" s="1"/>
  <c r="AD190" i="4"/>
  <c r="Q190" i="4" s="1"/>
  <c r="AC188" i="4"/>
  <c r="O188" i="4" s="1"/>
  <c r="AD188" i="4"/>
  <c r="Q188" i="4" s="1"/>
  <c r="AC187" i="4"/>
  <c r="O187" i="4" s="1"/>
  <c r="AD187" i="4"/>
  <c r="Q187" i="4" s="1"/>
  <c r="AC185" i="4"/>
  <c r="O185" i="4" s="1"/>
  <c r="AD185" i="4"/>
  <c r="Q185" i="4" s="1"/>
  <c r="AD86" i="4"/>
  <c r="Q86" i="4" s="1"/>
  <c r="AC86" i="4"/>
  <c r="O86" i="4" s="1"/>
  <c r="AD84" i="4"/>
  <c r="Q84" i="4" s="1"/>
  <c r="AC84" i="4"/>
  <c r="O84" i="4" s="1"/>
  <c r="AC124" i="4"/>
  <c r="O124" i="4" s="1"/>
  <c r="AD124" i="4"/>
  <c r="Q124" i="4" s="1"/>
  <c r="AC122" i="4"/>
  <c r="O122" i="4" s="1"/>
  <c r="AD122" i="4"/>
  <c r="Q122" i="4" s="1"/>
  <c r="AC123" i="4"/>
  <c r="O123" i="4" s="1"/>
  <c r="AD123" i="4"/>
  <c r="Q123" i="4" s="1"/>
  <c r="AC121" i="4"/>
  <c r="O121" i="4" s="1"/>
  <c r="AD121" i="4"/>
  <c r="Q121" i="4" s="1"/>
  <c r="AC111" i="4"/>
  <c r="O111" i="4" s="1"/>
  <c r="AD111" i="4"/>
  <c r="Q111" i="4" s="1"/>
  <c r="AC109" i="4"/>
  <c r="O109" i="4" s="1"/>
  <c r="AD109" i="4"/>
  <c r="Q109" i="4" s="1"/>
  <c r="AC82" i="4"/>
  <c r="O82" i="4" s="1"/>
  <c r="AD82" i="4"/>
  <c r="Q82" i="4" s="1"/>
  <c r="AC80" i="4"/>
  <c r="O80" i="4" s="1"/>
  <c r="AD80" i="4"/>
  <c r="Q80" i="4" s="1"/>
  <c r="AC81" i="4"/>
  <c r="O81" i="4" s="1"/>
  <c r="AD81" i="4"/>
  <c r="Q81" i="4" s="1"/>
  <c r="AC79" i="4"/>
  <c r="O79" i="4" s="1"/>
  <c r="AD79" i="4"/>
  <c r="Q79" i="4" s="1"/>
  <c r="AC74" i="4"/>
  <c r="O74" i="4" s="1"/>
  <c r="AD74" i="4"/>
  <c r="Q74" i="4" s="1"/>
  <c r="AC72" i="4"/>
  <c r="O72" i="4" s="1"/>
  <c r="AD72" i="4"/>
  <c r="Q72" i="4" s="1"/>
  <c r="AD66" i="4"/>
  <c r="Q66" i="4" s="1"/>
  <c r="AC66" i="4"/>
  <c r="O66" i="4" s="1"/>
  <c r="AC64" i="4"/>
  <c r="O64" i="4" s="1"/>
  <c r="AD64" i="4"/>
  <c r="Q64" i="4" s="1"/>
  <c r="N149" i="4"/>
  <c r="V149" i="3"/>
  <c r="W149" i="3"/>
  <c r="P149" i="4"/>
  <c r="V97" i="3"/>
  <c r="N97" i="4"/>
  <c r="W97" i="3"/>
  <c r="P97" i="4"/>
  <c r="AC8" i="4"/>
  <c r="O8" i="4" s="1"/>
  <c r="AD8" i="4"/>
  <c r="Q8" i="4" s="1"/>
  <c r="AC6" i="4"/>
  <c r="O6" i="4" s="1"/>
  <c r="AD6" i="4"/>
  <c r="Q6" i="4" s="1"/>
  <c r="AM241" i="3"/>
  <c r="AO241" i="3" s="1"/>
  <c r="AN241" i="3"/>
  <c r="AP241" i="3" s="1"/>
  <c r="AM242" i="3"/>
  <c r="AO242" i="3" s="1"/>
  <c r="AN242" i="3"/>
  <c r="AP242" i="3" s="1"/>
  <c r="AC242" i="3"/>
  <c r="AD242" i="3"/>
  <c r="AJ242" i="3" s="1"/>
  <c r="K242" i="4"/>
  <c r="R242" i="3"/>
  <c r="S242" i="3"/>
  <c r="T242" i="3"/>
  <c r="U242" i="3"/>
  <c r="C242" i="4"/>
  <c r="X242" i="4"/>
  <c r="AM240" i="3"/>
  <c r="AO240" i="3" s="1"/>
  <c r="AN240" i="3"/>
  <c r="AP240" i="3" s="1"/>
  <c r="AC241" i="3"/>
  <c r="AD241" i="3"/>
  <c r="AJ241" i="3" s="1"/>
  <c r="K241" i="4"/>
  <c r="R241" i="3"/>
  <c r="S241" i="3"/>
  <c r="T241" i="3"/>
  <c r="U241" i="3"/>
  <c r="C241" i="4"/>
  <c r="X241" i="4"/>
  <c r="AM239" i="3"/>
  <c r="AO239" i="3" s="1"/>
  <c r="AN239" i="3"/>
  <c r="AP239" i="3" s="1"/>
  <c r="AC240" i="3"/>
  <c r="AD240" i="3"/>
  <c r="AJ240" i="3" s="1"/>
  <c r="K240" i="4"/>
  <c r="R240" i="3"/>
  <c r="S240" i="3"/>
  <c r="T240" i="3"/>
  <c r="U240" i="3"/>
  <c r="C240" i="4"/>
  <c r="X240" i="4"/>
  <c r="AM238" i="3"/>
  <c r="AO238" i="3" s="1"/>
  <c r="AN238" i="3"/>
  <c r="AP238" i="3" s="1"/>
  <c r="AC239" i="3"/>
  <c r="AD239" i="3"/>
  <c r="AJ239" i="3" s="1"/>
  <c r="K239" i="4"/>
  <c r="R239" i="3"/>
  <c r="S239" i="3"/>
  <c r="T239" i="3"/>
  <c r="U239" i="3"/>
  <c r="C239" i="4"/>
  <c r="X239" i="4"/>
  <c r="AM237" i="3"/>
  <c r="AO237" i="3" s="1"/>
  <c r="AN237" i="3"/>
  <c r="AP237" i="3" s="1"/>
  <c r="AC238" i="3"/>
  <c r="AD238" i="3"/>
  <c r="AJ238" i="3" s="1"/>
  <c r="K238" i="4"/>
  <c r="R238" i="3"/>
  <c r="S238" i="3"/>
  <c r="T238" i="3"/>
  <c r="U238" i="3"/>
  <c r="C238" i="4"/>
  <c r="X238" i="4"/>
  <c r="AM236" i="3"/>
  <c r="AO236" i="3" s="1"/>
  <c r="AN236" i="3"/>
  <c r="AP236" i="3" s="1"/>
  <c r="AC237" i="3"/>
  <c r="AD237" i="3"/>
  <c r="AJ237" i="3" s="1"/>
  <c r="K237" i="4"/>
  <c r="R237" i="3"/>
  <c r="S237" i="3"/>
  <c r="T237" i="3"/>
  <c r="U237" i="3"/>
  <c r="C237" i="4"/>
  <c r="X237" i="4"/>
  <c r="AM235" i="3"/>
  <c r="AO235" i="3" s="1"/>
  <c r="AN235" i="3"/>
  <c r="AP235" i="3" s="1"/>
  <c r="AC236" i="3"/>
  <c r="AD236" i="3"/>
  <c r="AJ236" i="3" s="1"/>
  <c r="K236" i="4"/>
  <c r="R236" i="3"/>
  <c r="S236" i="3"/>
  <c r="T236" i="3"/>
  <c r="U236" i="3"/>
  <c r="C236" i="4"/>
  <c r="X236" i="4"/>
  <c r="AM234" i="3"/>
  <c r="AO234" i="3" s="1"/>
  <c r="AN234" i="3"/>
  <c r="AP234" i="3" s="1"/>
  <c r="AC235" i="3"/>
  <c r="AD235" i="3"/>
  <c r="AJ235" i="3" s="1"/>
  <c r="K235" i="4"/>
  <c r="R235" i="3"/>
  <c r="S235" i="3"/>
  <c r="T235" i="3"/>
  <c r="U235" i="3"/>
  <c r="C235" i="4"/>
  <c r="X235" i="4"/>
  <c r="AM233" i="3"/>
  <c r="AO233" i="3" s="1"/>
  <c r="AN233" i="3"/>
  <c r="AP233" i="3" s="1"/>
  <c r="AC234" i="3"/>
  <c r="AD234" i="3"/>
  <c r="AJ234" i="3" s="1"/>
  <c r="K234" i="4"/>
  <c r="R234" i="3"/>
  <c r="S234" i="3"/>
  <c r="T234" i="3"/>
  <c r="U234" i="3"/>
  <c r="C234" i="4"/>
  <c r="X234" i="4"/>
  <c r="AM232" i="3"/>
  <c r="AO232" i="3" s="1"/>
  <c r="AN232" i="3"/>
  <c r="AP232" i="3" s="1"/>
  <c r="AC233" i="3"/>
  <c r="AD233" i="3"/>
  <c r="AJ233" i="3" s="1"/>
  <c r="K233" i="4"/>
  <c r="R233" i="3"/>
  <c r="S233" i="3"/>
  <c r="T233" i="3"/>
  <c r="U233" i="3"/>
  <c r="X233" i="4"/>
  <c r="C233" i="4"/>
  <c r="AM231" i="3"/>
  <c r="AO231" i="3" s="1"/>
  <c r="AN231" i="3"/>
  <c r="AP231" i="3" s="1"/>
  <c r="AC232" i="3"/>
  <c r="AD232" i="3"/>
  <c r="AJ232" i="3" s="1"/>
  <c r="K232" i="4"/>
  <c r="R232" i="3"/>
  <c r="S232" i="3"/>
  <c r="T232" i="3"/>
  <c r="U232" i="3"/>
  <c r="C232" i="4"/>
  <c r="X232" i="4"/>
  <c r="AM230" i="3"/>
  <c r="AO230" i="3" s="1"/>
  <c r="AN230" i="3"/>
  <c r="AP230" i="3" s="1"/>
  <c r="AC231" i="3"/>
  <c r="AD231" i="3"/>
  <c r="AJ231" i="3" s="1"/>
  <c r="K231" i="4"/>
  <c r="R231" i="3"/>
  <c r="S231" i="3"/>
  <c r="T231" i="3"/>
  <c r="U231" i="3"/>
  <c r="C231" i="4"/>
  <c r="X231" i="4"/>
  <c r="AM229" i="3"/>
  <c r="AO229" i="3" s="1"/>
  <c r="AN229" i="3"/>
  <c r="AP229" i="3" s="1"/>
  <c r="AC230" i="3"/>
  <c r="AD230" i="3"/>
  <c r="AJ230" i="3" s="1"/>
  <c r="K230" i="4"/>
  <c r="R230" i="3"/>
  <c r="S230" i="3"/>
  <c r="T230" i="3"/>
  <c r="U230" i="3"/>
  <c r="X230" i="4"/>
  <c r="C230" i="4"/>
  <c r="AM228" i="3"/>
  <c r="AO228" i="3" s="1"/>
  <c r="AN228" i="3"/>
  <c r="AP228" i="3" s="1"/>
  <c r="AC229" i="3"/>
  <c r="AD229" i="3"/>
  <c r="AJ229" i="3" s="1"/>
  <c r="K229" i="4"/>
  <c r="R229" i="3"/>
  <c r="S229" i="3"/>
  <c r="T229" i="3"/>
  <c r="U229" i="3"/>
  <c r="C229" i="4"/>
  <c r="X229" i="4"/>
  <c r="AM227" i="3"/>
  <c r="AO227" i="3" s="1"/>
  <c r="AN227" i="3"/>
  <c r="AP227" i="3" s="1"/>
  <c r="AC228" i="3"/>
  <c r="AD228" i="3"/>
  <c r="AJ228" i="3" s="1"/>
  <c r="K228" i="4"/>
  <c r="R228" i="3"/>
  <c r="S228" i="3"/>
  <c r="T228" i="3"/>
  <c r="U228" i="3"/>
  <c r="X228" i="4"/>
  <c r="C228" i="4"/>
  <c r="AM226" i="3"/>
  <c r="AO226" i="3" s="1"/>
  <c r="AN226" i="3"/>
  <c r="AP226" i="3" s="1"/>
  <c r="AC227" i="3"/>
  <c r="AD227" i="3"/>
  <c r="AJ227" i="3" s="1"/>
  <c r="K227" i="4"/>
  <c r="R227" i="3"/>
  <c r="S227" i="3"/>
  <c r="T227" i="3"/>
  <c r="U227" i="3"/>
  <c r="C227" i="4"/>
  <c r="X227" i="4"/>
  <c r="AM225" i="3"/>
  <c r="AO225" i="3" s="1"/>
  <c r="AN225" i="3"/>
  <c r="AP225" i="3" s="1"/>
  <c r="AC226" i="3"/>
  <c r="AD226" i="3"/>
  <c r="AJ226" i="3" s="1"/>
  <c r="AM224" i="3"/>
  <c r="AO224" i="3" s="1"/>
  <c r="AN224" i="3"/>
  <c r="AP224" i="3" s="1"/>
  <c r="AC225" i="3"/>
  <c r="AD225" i="3"/>
  <c r="AJ225" i="3" s="1"/>
  <c r="AM223" i="3"/>
  <c r="AO223" i="3" s="1"/>
  <c r="AN223" i="3"/>
  <c r="AP223" i="3" s="1"/>
  <c r="AC224" i="3"/>
  <c r="AD224" i="3"/>
  <c r="AJ224" i="3" s="1"/>
  <c r="K224" i="4"/>
  <c r="R224" i="3"/>
  <c r="S224" i="3"/>
  <c r="T224" i="3"/>
  <c r="U224" i="3"/>
  <c r="X224" i="4"/>
  <c r="C224" i="4"/>
  <c r="AM222" i="3"/>
  <c r="AO222" i="3" s="1"/>
  <c r="AN222" i="3"/>
  <c r="AP222" i="3" s="1"/>
  <c r="AC223" i="3"/>
  <c r="AD223" i="3"/>
  <c r="AJ223" i="3" s="1"/>
  <c r="K223" i="4"/>
  <c r="R223" i="3"/>
  <c r="S223" i="3"/>
  <c r="T223" i="3"/>
  <c r="U223" i="3"/>
  <c r="C223" i="4"/>
  <c r="X223" i="4"/>
  <c r="AM221" i="3"/>
  <c r="AO221" i="3" s="1"/>
  <c r="AN221" i="3"/>
  <c r="AP221" i="3" s="1"/>
  <c r="AC222" i="3"/>
  <c r="AD222" i="3"/>
  <c r="AJ222" i="3" s="1"/>
  <c r="K222" i="4"/>
  <c r="R222" i="3"/>
  <c r="S222" i="3"/>
  <c r="T222" i="3"/>
  <c r="U222" i="3"/>
  <c r="X222" i="4"/>
  <c r="C222" i="4"/>
  <c r="AM220" i="3"/>
  <c r="AO220" i="3" s="1"/>
  <c r="AN220" i="3"/>
  <c r="AP220" i="3" s="1"/>
  <c r="AC221" i="3"/>
  <c r="AD221" i="3"/>
  <c r="AJ221" i="3" s="1"/>
  <c r="K221" i="4"/>
  <c r="R221" i="3"/>
  <c r="S221" i="3"/>
  <c r="T221" i="3"/>
  <c r="U221" i="3"/>
  <c r="X221" i="4"/>
  <c r="C221" i="4"/>
  <c r="AM219" i="3"/>
  <c r="AO219" i="3" s="1"/>
  <c r="AN219" i="3"/>
  <c r="AP219" i="3" s="1"/>
  <c r="AC220" i="3"/>
  <c r="AD220" i="3"/>
  <c r="AJ220" i="3" s="1"/>
  <c r="K220" i="4"/>
  <c r="R220" i="3"/>
  <c r="S220" i="3"/>
  <c r="T220" i="3"/>
  <c r="U220" i="3"/>
  <c r="C220" i="4"/>
  <c r="X220" i="4"/>
  <c r="AM218" i="3"/>
  <c r="AO218" i="3" s="1"/>
  <c r="AN218" i="3"/>
  <c r="AP218" i="3" s="1"/>
  <c r="AC219" i="3"/>
  <c r="AD219" i="3"/>
  <c r="AJ219" i="3" s="1"/>
  <c r="K219" i="4"/>
  <c r="R219" i="3"/>
  <c r="S219" i="3"/>
  <c r="T219" i="3"/>
  <c r="U219" i="3"/>
  <c r="X219" i="4"/>
  <c r="C219" i="4"/>
  <c r="AM217" i="3"/>
  <c r="AO217" i="3" s="1"/>
  <c r="AN217" i="3"/>
  <c r="AP217" i="3" s="1"/>
  <c r="AC218" i="3"/>
  <c r="AD218" i="3"/>
  <c r="AJ218" i="3" s="1"/>
  <c r="K218" i="4"/>
  <c r="R218" i="3"/>
  <c r="S218" i="3"/>
  <c r="T218" i="3"/>
  <c r="U218" i="3"/>
  <c r="C218" i="4"/>
  <c r="X218" i="4"/>
  <c r="AM216" i="3"/>
  <c r="AO216" i="3" s="1"/>
  <c r="AN216" i="3"/>
  <c r="AP216" i="3" s="1"/>
  <c r="AC217" i="3"/>
  <c r="AD217" i="3"/>
  <c r="AJ217" i="3" s="1"/>
  <c r="K217" i="4"/>
  <c r="R217" i="3"/>
  <c r="S217" i="3"/>
  <c r="T217" i="3"/>
  <c r="U217" i="3"/>
  <c r="X217" i="4"/>
  <c r="C217" i="4"/>
  <c r="AM215" i="3"/>
  <c r="AO215" i="3" s="1"/>
  <c r="AN215" i="3"/>
  <c r="AP215" i="3" s="1"/>
  <c r="AC216" i="3"/>
  <c r="AD216" i="3"/>
  <c r="AJ216" i="3" s="1"/>
  <c r="K216" i="4"/>
  <c r="R216" i="3"/>
  <c r="S216" i="3"/>
  <c r="T216" i="3"/>
  <c r="U216" i="3"/>
  <c r="X216" i="4"/>
  <c r="C216" i="4"/>
  <c r="AM214" i="3"/>
  <c r="AO214" i="3" s="1"/>
  <c r="AN214" i="3"/>
  <c r="AP214" i="3" s="1"/>
  <c r="AC215" i="3"/>
  <c r="AD215" i="3"/>
  <c r="AJ215" i="3" s="1"/>
  <c r="AM213" i="3"/>
  <c r="AO213" i="3" s="1"/>
  <c r="AN213" i="3"/>
  <c r="AP213" i="3" s="1"/>
  <c r="AC214" i="3"/>
  <c r="AD214" i="3"/>
  <c r="AJ214" i="3" s="1"/>
  <c r="AM212" i="3"/>
  <c r="AO212" i="3" s="1"/>
  <c r="AN212" i="3"/>
  <c r="AP212" i="3" s="1"/>
  <c r="AC213" i="3"/>
  <c r="AD213" i="3"/>
  <c r="AJ213" i="3" s="1"/>
  <c r="AM198" i="3"/>
  <c r="AO198" i="3" s="1"/>
  <c r="AN198" i="3"/>
  <c r="AP198" i="3" s="1"/>
  <c r="AC199" i="3"/>
  <c r="AD199" i="3"/>
  <c r="AJ199" i="3" s="1"/>
  <c r="P198" i="4"/>
  <c r="W198" i="3"/>
  <c r="N198" i="4"/>
  <c r="V198" i="3"/>
  <c r="V197" i="3"/>
  <c r="N197" i="4"/>
  <c r="W197" i="3"/>
  <c r="P197" i="4"/>
  <c r="AM195" i="3"/>
  <c r="AO195" i="3" s="1"/>
  <c r="AN195" i="3"/>
  <c r="AP195" i="3" s="1"/>
  <c r="AD196" i="3"/>
  <c r="AJ196" i="3" s="1"/>
  <c r="AC196" i="3"/>
  <c r="AN194" i="3"/>
  <c r="AP194" i="3" s="1"/>
  <c r="AM194" i="3"/>
  <c r="AO194" i="3" s="1"/>
  <c r="AD195" i="3"/>
  <c r="AJ195" i="3" s="1"/>
  <c r="AC195" i="3"/>
  <c r="W195" i="3"/>
  <c r="P195" i="4"/>
  <c r="V195" i="3"/>
  <c r="N195" i="4"/>
  <c r="AM193" i="3"/>
  <c r="AO193" i="3" s="1"/>
  <c r="AN193" i="3"/>
  <c r="AP193" i="3" s="1"/>
  <c r="AC194" i="3"/>
  <c r="AD194" i="3"/>
  <c r="AJ194" i="3" s="1"/>
  <c r="AM191" i="3"/>
  <c r="AO191" i="3" s="1"/>
  <c r="AN191" i="3"/>
  <c r="AP191" i="3" s="1"/>
  <c r="AD192" i="3"/>
  <c r="AJ192" i="3" s="1"/>
  <c r="AC192" i="3"/>
  <c r="AM189" i="3"/>
  <c r="AO189" i="3" s="1"/>
  <c r="AN189" i="3"/>
  <c r="AP189" i="3" s="1"/>
  <c r="AD190" i="3"/>
  <c r="AJ190" i="3" s="1"/>
  <c r="AC190" i="3"/>
  <c r="AM188" i="3"/>
  <c r="AO188" i="3" s="1"/>
  <c r="AN188" i="3"/>
  <c r="AP188" i="3" s="1"/>
  <c r="AC189" i="3"/>
  <c r="AD189" i="3"/>
  <c r="AJ189" i="3" s="1"/>
  <c r="AM185" i="3"/>
  <c r="AO185" i="3" s="1"/>
  <c r="AN185" i="3"/>
  <c r="AP185" i="3" s="1"/>
  <c r="AD186" i="3"/>
  <c r="AJ186" i="3" s="1"/>
  <c r="AC186" i="3"/>
  <c r="P185" i="4"/>
  <c r="W185" i="3"/>
  <c r="V185" i="3"/>
  <c r="N185" i="4"/>
  <c r="AN181" i="3"/>
  <c r="AP181" i="3" s="1"/>
  <c r="AM181" i="3"/>
  <c r="AO181" i="3" s="1"/>
  <c r="AC182" i="3"/>
  <c r="AD182" i="3"/>
  <c r="AJ182" i="3" s="1"/>
  <c r="AD179" i="3"/>
  <c r="AJ179" i="3" s="1"/>
  <c r="AC179" i="3"/>
  <c r="AM178" i="3"/>
  <c r="AO178" i="3" s="1"/>
  <c r="AN178" i="3"/>
  <c r="AP178" i="3" s="1"/>
  <c r="W177" i="3"/>
  <c r="P177" i="4"/>
  <c r="V177" i="3"/>
  <c r="N177" i="4"/>
  <c r="K212" i="4"/>
  <c r="R212" i="3"/>
  <c r="S212" i="3"/>
  <c r="T212" i="3"/>
  <c r="U212" i="3"/>
  <c r="C212" i="4"/>
  <c r="X212" i="4"/>
  <c r="AM210" i="3"/>
  <c r="AO210" i="3" s="1"/>
  <c r="AN210" i="3"/>
  <c r="AP210" i="3" s="1"/>
  <c r="AC211" i="3"/>
  <c r="AD211" i="3"/>
  <c r="AJ211" i="3" s="1"/>
  <c r="K211" i="4"/>
  <c r="R211" i="3"/>
  <c r="S211" i="3"/>
  <c r="T211" i="3"/>
  <c r="U211" i="3"/>
  <c r="X211" i="4"/>
  <c r="C211" i="4"/>
  <c r="AM209" i="3"/>
  <c r="AO209" i="3" s="1"/>
  <c r="AN209" i="3"/>
  <c r="AP209" i="3" s="1"/>
  <c r="AC210" i="3"/>
  <c r="AD210" i="3"/>
  <c r="AJ210" i="3" s="1"/>
  <c r="K210" i="4"/>
  <c r="R210" i="3"/>
  <c r="S210" i="3"/>
  <c r="T210" i="3"/>
  <c r="U210" i="3"/>
  <c r="C210" i="4"/>
  <c r="X210" i="4"/>
  <c r="AM208" i="3"/>
  <c r="AO208" i="3" s="1"/>
  <c r="AN208" i="3"/>
  <c r="AP208" i="3" s="1"/>
  <c r="AC209" i="3"/>
  <c r="AD209" i="3"/>
  <c r="AJ209" i="3" s="1"/>
  <c r="K209" i="4"/>
  <c r="R209" i="3"/>
  <c r="S209" i="3"/>
  <c r="T209" i="3"/>
  <c r="U209" i="3"/>
  <c r="C209" i="4"/>
  <c r="X209" i="4"/>
  <c r="AM207" i="3"/>
  <c r="AO207" i="3" s="1"/>
  <c r="AN207" i="3"/>
  <c r="AP207" i="3" s="1"/>
  <c r="AC208" i="3"/>
  <c r="AD208" i="3"/>
  <c r="AJ208" i="3" s="1"/>
  <c r="K208" i="4"/>
  <c r="R208" i="3"/>
  <c r="S208" i="3"/>
  <c r="T208" i="3"/>
  <c r="U208" i="3"/>
  <c r="C208" i="4"/>
  <c r="X208" i="4"/>
  <c r="AM206" i="3"/>
  <c r="AO206" i="3" s="1"/>
  <c r="AN206" i="3"/>
  <c r="AP206" i="3" s="1"/>
  <c r="AC207" i="3"/>
  <c r="AD207" i="3"/>
  <c r="AJ207" i="3" s="1"/>
  <c r="K207" i="4"/>
  <c r="R207" i="3"/>
  <c r="S207" i="3"/>
  <c r="T207" i="3"/>
  <c r="U207" i="3"/>
  <c r="C207" i="4"/>
  <c r="X207" i="4"/>
  <c r="AM205" i="3"/>
  <c r="AO205" i="3" s="1"/>
  <c r="AN205" i="3"/>
  <c r="AP205" i="3" s="1"/>
  <c r="AC206" i="3"/>
  <c r="AD206" i="3"/>
  <c r="AJ206" i="3" s="1"/>
  <c r="K206" i="4"/>
  <c r="R206" i="3"/>
  <c r="S206" i="3"/>
  <c r="T206" i="3"/>
  <c r="U206" i="3"/>
  <c r="C206" i="4"/>
  <c r="X206" i="4"/>
  <c r="AM204" i="3"/>
  <c r="AO204" i="3" s="1"/>
  <c r="AN204" i="3"/>
  <c r="AP204" i="3" s="1"/>
  <c r="AC205" i="3"/>
  <c r="AD205" i="3"/>
  <c r="AJ205" i="3" s="1"/>
  <c r="AM203" i="3"/>
  <c r="AO203" i="3" s="1"/>
  <c r="AN203" i="3"/>
  <c r="AP203" i="3" s="1"/>
  <c r="AC204" i="3"/>
  <c r="AD204" i="3"/>
  <c r="AJ204" i="3" s="1"/>
  <c r="AM202" i="3"/>
  <c r="AO202" i="3" s="1"/>
  <c r="AN202" i="3"/>
  <c r="AP202" i="3" s="1"/>
  <c r="AC203" i="3"/>
  <c r="AD203" i="3"/>
  <c r="AJ203" i="3" s="1"/>
  <c r="AM201" i="3"/>
  <c r="AO201" i="3" s="1"/>
  <c r="AN201" i="3"/>
  <c r="AP201" i="3" s="1"/>
  <c r="AC202" i="3"/>
  <c r="AD202" i="3"/>
  <c r="AJ202" i="3" s="1"/>
  <c r="AM200" i="3"/>
  <c r="AO200" i="3" s="1"/>
  <c r="AN200" i="3"/>
  <c r="AP200" i="3" s="1"/>
  <c r="AC201" i="3"/>
  <c r="AD201" i="3"/>
  <c r="AJ201" i="3" s="1"/>
  <c r="AC200" i="3"/>
  <c r="AD200" i="3"/>
  <c r="AJ200" i="3" s="1"/>
  <c r="AM199" i="3"/>
  <c r="AO199" i="3" s="1"/>
  <c r="AN199" i="3"/>
  <c r="AP199" i="3" s="1"/>
  <c r="V200" i="3"/>
  <c r="N200" i="4"/>
  <c r="W200" i="3"/>
  <c r="P200" i="4"/>
  <c r="AC193" i="3"/>
  <c r="AD193" i="3"/>
  <c r="AJ193" i="3" s="1"/>
  <c r="AM192" i="3"/>
  <c r="AO192" i="3" s="1"/>
  <c r="AN192" i="3"/>
  <c r="AP192" i="3" s="1"/>
  <c r="W193" i="3"/>
  <c r="P193" i="4"/>
  <c r="V193" i="3"/>
  <c r="N193" i="4"/>
  <c r="K193" i="4"/>
  <c r="R193" i="3"/>
  <c r="S193" i="3"/>
  <c r="U193" i="3"/>
  <c r="T193" i="3"/>
  <c r="C193" i="4"/>
  <c r="X193" i="4"/>
  <c r="AM190" i="3"/>
  <c r="AO190" i="3" s="1"/>
  <c r="AN190" i="3"/>
  <c r="AP190" i="3" s="1"/>
  <c r="AD191" i="3"/>
  <c r="AJ191" i="3" s="1"/>
  <c r="AC191" i="3"/>
  <c r="P191" i="4"/>
  <c r="W191" i="3"/>
  <c r="V191" i="3"/>
  <c r="N191" i="4"/>
  <c r="AM187" i="3"/>
  <c r="AO187" i="3" s="1"/>
  <c r="AN187" i="3"/>
  <c r="AP187" i="3" s="1"/>
  <c r="AD188" i="3"/>
  <c r="AJ188" i="3" s="1"/>
  <c r="AC188" i="3"/>
  <c r="AN183" i="3"/>
  <c r="AP183" i="3" s="1"/>
  <c r="AM183" i="3"/>
  <c r="AO183" i="3" s="1"/>
  <c r="AD184" i="3"/>
  <c r="AJ184" i="3" s="1"/>
  <c r="AC184" i="3"/>
  <c r="K184" i="4"/>
  <c r="S184" i="3"/>
  <c r="U184" i="3"/>
  <c r="R184" i="3"/>
  <c r="T184" i="3"/>
  <c r="C184" i="4"/>
  <c r="X184" i="4"/>
  <c r="AM182" i="3"/>
  <c r="AO182" i="3" s="1"/>
  <c r="AN182" i="3"/>
  <c r="AP182" i="3" s="1"/>
  <c r="AD183" i="3"/>
  <c r="AJ183" i="3" s="1"/>
  <c r="AC183" i="3"/>
  <c r="W183" i="3"/>
  <c r="P183" i="4"/>
  <c r="V183" i="3"/>
  <c r="N183" i="4"/>
  <c r="K182" i="4"/>
  <c r="S182" i="3"/>
  <c r="U182" i="3"/>
  <c r="C182" i="4"/>
  <c r="X182" i="4"/>
  <c r="R182" i="3"/>
  <c r="T182" i="3"/>
  <c r="AN179" i="3"/>
  <c r="AP179" i="3" s="1"/>
  <c r="AM179" i="3"/>
  <c r="AO179" i="3" s="1"/>
  <c r="AD180" i="3"/>
  <c r="AJ180" i="3" s="1"/>
  <c r="AC180" i="3"/>
  <c r="K180" i="4"/>
  <c r="S180" i="3"/>
  <c r="U180" i="3"/>
  <c r="R180" i="3"/>
  <c r="T180" i="3"/>
  <c r="C180" i="4"/>
  <c r="X180" i="4"/>
  <c r="W179" i="3"/>
  <c r="P179" i="4"/>
  <c r="V179" i="3"/>
  <c r="N179" i="4"/>
  <c r="AM177" i="3"/>
  <c r="AO177" i="3" s="1"/>
  <c r="AN177" i="3"/>
  <c r="AP177" i="3" s="1"/>
  <c r="AD178" i="3"/>
  <c r="AJ178" i="3" s="1"/>
  <c r="AC178" i="3"/>
  <c r="N178" i="4"/>
  <c r="V178" i="3"/>
  <c r="W178" i="3"/>
  <c r="P178" i="4"/>
  <c r="AM176" i="3"/>
  <c r="AO176" i="3" s="1"/>
  <c r="AN176" i="3"/>
  <c r="AP176" i="3" s="1"/>
  <c r="AD177" i="3"/>
  <c r="AJ177" i="3" s="1"/>
  <c r="AC177" i="3"/>
  <c r="K153" i="4"/>
  <c r="T153" i="3"/>
  <c r="C153" i="4"/>
  <c r="X153" i="4"/>
  <c r="R153" i="3"/>
  <c r="U153" i="3"/>
  <c r="S153" i="3"/>
  <c r="AM151" i="3"/>
  <c r="AO151" i="3" s="1"/>
  <c r="AN151" i="3"/>
  <c r="AP151" i="3" s="1"/>
  <c r="AD152" i="3"/>
  <c r="AJ152" i="3" s="1"/>
  <c r="AC152" i="3"/>
  <c r="K152" i="4"/>
  <c r="S152" i="3"/>
  <c r="U152" i="3"/>
  <c r="R152" i="3"/>
  <c r="T152" i="3"/>
  <c r="X152" i="4"/>
  <c r="C152" i="4"/>
  <c r="W151" i="3"/>
  <c r="P151" i="4"/>
  <c r="N151" i="4"/>
  <c r="V151" i="3"/>
  <c r="AD150" i="3"/>
  <c r="AJ150" i="3" s="1"/>
  <c r="AC150" i="3"/>
  <c r="AN149" i="3"/>
  <c r="AP149" i="3" s="1"/>
  <c r="AM149" i="3"/>
  <c r="AO149" i="3" s="1"/>
  <c r="W150" i="3"/>
  <c r="P150" i="4"/>
  <c r="N150" i="4"/>
  <c r="V150" i="3"/>
  <c r="AD148" i="3"/>
  <c r="AJ148" i="3" s="1"/>
  <c r="AC148" i="3"/>
  <c r="AM147" i="3"/>
  <c r="AO147" i="3" s="1"/>
  <c r="AN147" i="3"/>
  <c r="AP147" i="3" s="1"/>
  <c r="K148" i="4"/>
  <c r="S148" i="3"/>
  <c r="X148" i="4"/>
  <c r="C148" i="4"/>
  <c r="T148" i="3"/>
  <c r="U148" i="3"/>
  <c r="R148" i="3"/>
  <c r="K147" i="4"/>
  <c r="S147" i="3"/>
  <c r="T147" i="3"/>
  <c r="C147" i="4"/>
  <c r="R147" i="3"/>
  <c r="U147" i="3"/>
  <c r="X147" i="4"/>
  <c r="W146" i="3"/>
  <c r="P146" i="4"/>
  <c r="N146" i="4"/>
  <c r="V146" i="3"/>
  <c r="AN143" i="3"/>
  <c r="AP143" i="3" s="1"/>
  <c r="AM143" i="3"/>
  <c r="AO143" i="3" s="1"/>
  <c r="AD144" i="3"/>
  <c r="AJ144" i="3" s="1"/>
  <c r="AC144" i="3"/>
  <c r="N112" i="4"/>
  <c r="V112" i="3"/>
  <c r="P112" i="4"/>
  <c r="W112" i="3"/>
  <c r="AC110" i="3"/>
  <c r="AD110" i="3"/>
  <c r="AJ110" i="3" s="1"/>
  <c r="AN109" i="3"/>
  <c r="AP109" i="3" s="1"/>
  <c r="AM109" i="3"/>
  <c r="AO109" i="3" s="1"/>
  <c r="K110" i="4"/>
  <c r="R110" i="3"/>
  <c r="T110" i="3"/>
  <c r="S110" i="3"/>
  <c r="U110" i="3"/>
  <c r="C110" i="4"/>
  <c r="X110" i="4"/>
  <c r="K108" i="4"/>
  <c r="S108" i="3"/>
  <c r="U108" i="3"/>
  <c r="T108" i="3"/>
  <c r="R108" i="3"/>
  <c r="C108" i="4"/>
  <c r="X108" i="4"/>
  <c r="V96" i="3"/>
  <c r="N96" i="4"/>
  <c r="W96" i="3"/>
  <c r="P96" i="4"/>
  <c r="AN93" i="3"/>
  <c r="AP93" i="3" s="1"/>
  <c r="AM93" i="3"/>
  <c r="AO93" i="3" s="1"/>
  <c r="AC94" i="3"/>
  <c r="AD94" i="3"/>
  <c r="AJ94" i="3" s="1"/>
  <c r="AD93" i="3"/>
  <c r="AJ93" i="3" s="1"/>
  <c r="AC93" i="3"/>
  <c r="AM92" i="3"/>
  <c r="AO92" i="3" s="1"/>
  <c r="AN92" i="3"/>
  <c r="AP92" i="3" s="1"/>
  <c r="K91" i="4"/>
  <c r="C91" i="4"/>
  <c r="X91" i="4"/>
  <c r="T91" i="3"/>
  <c r="R91" i="3"/>
  <c r="S91" i="3"/>
  <c r="U91" i="3"/>
  <c r="AN89" i="3"/>
  <c r="AP89" i="3" s="1"/>
  <c r="AM89" i="3"/>
  <c r="AO89" i="3" s="1"/>
  <c r="AC90" i="3"/>
  <c r="AD90" i="3"/>
  <c r="AJ90" i="3" s="1"/>
  <c r="K90" i="4"/>
  <c r="S90" i="3"/>
  <c r="U90" i="3"/>
  <c r="C90" i="4"/>
  <c r="X90" i="4"/>
  <c r="R90" i="3"/>
  <c r="T90" i="3"/>
  <c r="Q88" i="3"/>
  <c r="P88" i="3"/>
  <c r="G88" i="3"/>
  <c r="AJ88" i="3" s="1"/>
  <c r="F88" i="3"/>
  <c r="K86" i="4"/>
  <c r="R86" i="3"/>
  <c r="T86" i="3"/>
  <c r="S86" i="3"/>
  <c r="U86" i="3"/>
  <c r="C86" i="4"/>
  <c r="X86" i="4"/>
  <c r="K85" i="4"/>
  <c r="T85" i="3"/>
  <c r="U85" i="3"/>
  <c r="S85" i="3"/>
  <c r="C85" i="4"/>
  <c r="X85" i="4"/>
  <c r="R85" i="3"/>
  <c r="K79" i="4"/>
  <c r="C79" i="4"/>
  <c r="X79" i="4"/>
  <c r="S79" i="3"/>
  <c r="T79" i="3"/>
  <c r="R79" i="3"/>
  <c r="U79" i="3"/>
  <c r="AD78" i="3"/>
  <c r="AJ78" i="3" s="1"/>
  <c r="AC78" i="3"/>
  <c r="AN77" i="3"/>
  <c r="AP77" i="3" s="1"/>
  <c r="AM77" i="3"/>
  <c r="AO77" i="3" s="1"/>
  <c r="K77" i="4"/>
  <c r="C77" i="4"/>
  <c r="X77" i="4"/>
  <c r="S77" i="3"/>
  <c r="T77" i="3"/>
  <c r="R77" i="3"/>
  <c r="U77" i="3"/>
  <c r="AN75" i="3"/>
  <c r="AP75" i="3" s="1"/>
  <c r="AM75" i="3"/>
  <c r="AO75" i="3" s="1"/>
  <c r="AC76" i="3"/>
  <c r="AD76" i="3"/>
  <c r="AJ76" i="3" s="1"/>
  <c r="K76" i="4"/>
  <c r="S76" i="3"/>
  <c r="U76" i="3"/>
  <c r="R76" i="3"/>
  <c r="T76" i="3"/>
  <c r="C76" i="4"/>
  <c r="X76" i="4"/>
  <c r="AC74" i="3"/>
  <c r="AD74" i="3"/>
  <c r="AJ74" i="3" s="1"/>
  <c r="AM73" i="3"/>
  <c r="AO73" i="3" s="1"/>
  <c r="AN73" i="3"/>
  <c r="AP73" i="3" s="1"/>
  <c r="K73" i="4"/>
  <c r="R73" i="3"/>
  <c r="T73" i="3"/>
  <c r="U73" i="3"/>
  <c r="S73" i="3"/>
  <c r="C73" i="4"/>
  <c r="X73" i="4"/>
  <c r="AM175" i="3"/>
  <c r="AO175" i="3" s="1"/>
  <c r="AN175" i="3"/>
  <c r="AP175" i="3" s="1"/>
  <c r="AC176" i="3"/>
  <c r="AD176" i="3"/>
  <c r="AJ176" i="3" s="1"/>
  <c r="K176" i="4"/>
  <c r="R176" i="3"/>
  <c r="S176" i="3"/>
  <c r="T176" i="3"/>
  <c r="U176" i="3"/>
  <c r="C176" i="4"/>
  <c r="X176" i="4"/>
  <c r="AM174" i="3"/>
  <c r="AO174" i="3" s="1"/>
  <c r="AN174" i="3"/>
  <c r="AP174" i="3" s="1"/>
  <c r="AC175" i="3"/>
  <c r="AD175" i="3"/>
  <c r="AJ175" i="3" s="1"/>
  <c r="K175" i="4"/>
  <c r="R175" i="3"/>
  <c r="S175" i="3"/>
  <c r="T175" i="3"/>
  <c r="U175" i="3"/>
  <c r="C175" i="4"/>
  <c r="X175" i="4"/>
  <c r="AM173" i="3"/>
  <c r="AO173" i="3" s="1"/>
  <c r="AN173" i="3"/>
  <c r="AP173" i="3" s="1"/>
  <c r="AC174" i="3"/>
  <c r="AD174" i="3"/>
  <c r="AJ174" i="3" s="1"/>
  <c r="K174" i="4"/>
  <c r="R174" i="3"/>
  <c r="S174" i="3"/>
  <c r="T174" i="3"/>
  <c r="U174" i="3"/>
  <c r="C174" i="4"/>
  <c r="X174" i="4"/>
  <c r="AM172" i="3"/>
  <c r="AO172" i="3" s="1"/>
  <c r="AN172" i="3"/>
  <c r="AP172" i="3" s="1"/>
  <c r="AC173" i="3"/>
  <c r="AD173" i="3"/>
  <c r="AJ173" i="3" s="1"/>
  <c r="K173" i="4"/>
  <c r="R173" i="3"/>
  <c r="S173" i="3"/>
  <c r="T173" i="3"/>
  <c r="U173" i="3"/>
  <c r="C173" i="4"/>
  <c r="X173" i="4"/>
  <c r="AM171" i="3"/>
  <c r="AO171" i="3" s="1"/>
  <c r="AN171" i="3"/>
  <c r="AP171" i="3" s="1"/>
  <c r="AC172" i="3"/>
  <c r="AD172" i="3"/>
  <c r="AJ172" i="3" s="1"/>
  <c r="K172" i="4"/>
  <c r="R172" i="3"/>
  <c r="S172" i="3"/>
  <c r="T172" i="3"/>
  <c r="U172" i="3"/>
  <c r="C172" i="4"/>
  <c r="X172" i="4"/>
  <c r="AM170" i="3"/>
  <c r="AO170" i="3" s="1"/>
  <c r="AN170" i="3"/>
  <c r="AP170" i="3" s="1"/>
  <c r="AC171" i="3"/>
  <c r="AD171" i="3"/>
  <c r="AJ171" i="3" s="1"/>
  <c r="AM169" i="3"/>
  <c r="AO169" i="3" s="1"/>
  <c r="AN169" i="3"/>
  <c r="AP169" i="3" s="1"/>
  <c r="AC170" i="3"/>
  <c r="AD170" i="3"/>
  <c r="AJ170" i="3" s="1"/>
  <c r="AM168" i="3"/>
  <c r="AO168" i="3" s="1"/>
  <c r="AN168" i="3"/>
  <c r="AP168" i="3" s="1"/>
  <c r="AC169" i="3"/>
  <c r="AD169" i="3"/>
  <c r="AJ169" i="3" s="1"/>
  <c r="AM167" i="3"/>
  <c r="AO167" i="3" s="1"/>
  <c r="AN167" i="3"/>
  <c r="AP167" i="3" s="1"/>
  <c r="AC168" i="3"/>
  <c r="AD168" i="3"/>
  <c r="AJ168" i="3" s="1"/>
  <c r="K168" i="4"/>
  <c r="R168" i="3"/>
  <c r="S168" i="3"/>
  <c r="T168" i="3"/>
  <c r="U168" i="3"/>
  <c r="C168" i="4"/>
  <c r="X168" i="4"/>
  <c r="AM166" i="3"/>
  <c r="AO166" i="3" s="1"/>
  <c r="AN166" i="3"/>
  <c r="AP166" i="3" s="1"/>
  <c r="AC167" i="3"/>
  <c r="AD167" i="3"/>
  <c r="AJ167" i="3" s="1"/>
  <c r="K167" i="4"/>
  <c r="R167" i="3"/>
  <c r="S167" i="3"/>
  <c r="T167" i="3"/>
  <c r="U167" i="3"/>
  <c r="C167" i="4"/>
  <c r="X167" i="4"/>
  <c r="AM165" i="3"/>
  <c r="AO165" i="3" s="1"/>
  <c r="AN165" i="3"/>
  <c r="AP165" i="3" s="1"/>
  <c r="AC166" i="3"/>
  <c r="AD166" i="3"/>
  <c r="AJ166" i="3" s="1"/>
  <c r="K166" i="4"/>
  <c r="R166" i="3"/>
  <c r="S166" i="3"/>
  <c r="T166" i="3"/>
  <c r="U166" i="3"/>
  <c r="C166" i="4"/>
  <c r="X166" i="4"/>
  <c r="AM164" i="3"/>
  <c r="AO164" i="3" s="1"/>
  <c r="AN164" i="3"/>
  <c r="AP164" i="3" s="1"/>
  <c r="AC165" i="3"/>
  <c r="AD165" i="3"/>
  <c r="AJ165" i="3" s="1"/>
  <c r="K165" i="4"/>
  <c r="R165" i="3"/>
  <c r="S165" i="3"/>
  <c r="T165" i="3"/>
  <c r="U165" i="3"/>
  <c r="C165" i="4"/>
  <c r="X165" i="4"/>
  <c r="AM163" i="3"/>
  <c r="AO163" i="3" s="1"/>
  <c r="AN163" i="3"/>
  <c r="AP163" i="3" s="1"/>
  <c r="AC164" i="3"/>
  <c r="AD164" i="3"/>
  <c r="AJ164" i="3" s="1"/>
  <c r="K164" i="4"/>
  <c r="R164" i="3"/>
  <c r="S164" i="3"/>
  <c r="T164" i="3"/>
  <c r="U164" i="3"/>
  <c r="C164" i="4"/>
  <c r="X164" i="4"/>
  <c r="AM162" i="3"/>
  <c r="AO162" i="3" s="1"/>
  <c r="AN162" i="3"/>
  <c r="AP162" i="3" s="1"/>
  <c r="AC163" i="3"/>
  <c r="AD163" i="3"/>
  <c r="AJ163" i="3" s="1"/>
  <c r="K163" i="4"/>
  <c r="R163" i="3"/>
  <c r="S163" i="3"/>
  <c r="T163" i="3"/>
  <c r="U163" i="3"/>
  <c r="C163" i="4"/>
  <c r="X163" i="4"/>
  <c r="AM161" i="3"/>
  <c r="AO161" i="3" s="1"/>
  <c r="AN161" i="3"/>
  <c r="AP161" i="3" s="1"/>
  <c r="AC162" i="3"/>
  <c r="AD162" i="3"/>
  <c r="AJ162" i="3" s="1"/>
  <c r="K162" i="4"/>
  <c r="R162" i="3"/>
  <c r="S162" i="3"/>
  <c r="T162" i="3"/>
  <c r="U162" i="3"/>
  <c r="C162" i="4"/>
  <c r="X162" i="4"/>
  <c r="AM160" i="3"/>
  <c r="AO160" i="3" s="1"/>
  <c r="AN160" i="3"/>
  <c r="AP160" i="3" s="1"/>
  <c r="AC161" i="3"/>
  <c r="AD161" i="3"/>
  <c r="AJ161" i="3" s="1"/>
  <c r="K161" i="4"/>
  <c r="R161" i="3"/>
  <c r="S161" i="3"/>
  <c r="T161" i="3"/>
  <c r="U161" i="3"/>
  <c r="C161" i="4"/>
  <c r="X161" i="4"/>
  <c r="AM159" i="3"/>
  <c r="AO159" i="3" s="1"/>
  <c r="AN159" i="3"/>
  <c r="AP159" i="3" s="1"/>
  <c r="AC160" i="3"/>
  <c r="AD160" i="3"/>
  <c r="AJ160" i="3" s="1"/>
  <c r="K160" i="4"/>
  <c r="R160" i="3"/>
  <c r="S160" i="3"/>
  <c r="T160" i="3"/>
  <c r="U160" i="3"/>
  <c r="C160" i="4"/>
  <c r="X160" i="4"/>
  <c r="AM158" i="3"/>
  <c r="AO158" i="3" s="1"/>
  <c r="AN158" i="3"/>
  <c r="AP158" i="3" s="1"/>
  <c r="AC159" i="3"/>
  <c r="AD159" i="3"/>
  <c r="AJ159" i="3" s="1"/>
  <c r="K159" i="4"/>
  <c r="R159" i="3"/>
  <c r="S159" i="3"/>
  <c r="T159" i="3"/>
  <c r="U159" i="3"/>
  <c r="C159" i="4"/>
  <c r="X159" i="4"/>
  <c r="AM157" i="3"/>
  <c r="AO157" i="3" s="1"/>
  <c r="AN157" i="3"/>
  <c r="AP157" i="3" s="1"/>
  <c r="AC158" i="3"/>
  <c r="AD158" i="3"/>
  <c r="AJ158" i="3" s="1"/>
  <c r="K158" i="4"/>
  <c r="R158" i="3"/>
  <c r="S158" i="3"/>
  <c r="T158" i="3"/>
  <c r="U158" i="3"/>
  <c r="C158" i="4"/>
  <c r="X158" i="4"/>
  <c r="AM156" i="3"/>
  <c r="AO156" i="3" s="1"/>
  <c r="AN156" i="3"/>
  <c r="AP156" i="3" s="1"/>
  <c r="AC157" i="3"/>
  <c r="AD157" i="3"/>
  <c r="AM155" i="3"/>
  <c r="AO155" i="3" s="1"/>
  <c r="AN155" i="3"/>
  <c r="AP155" i="3" s="1"/>
  <c r="AC156" i="3"/>
  <c r="AD156" i="3"/>
  <c r="AM154" i="3"/>
  <c r="AO154" i="3" s="1"/>
  <c r="AN154" i="3"/>
  <c r="AP154" i="3" s="1"/>
  <c r="AC155" i="3"/>
  <c r="AD155" i="3"/>
  <c r="AM153" i="3"/>
  <c r="AO153" i="3" s="1"/>
  <c r="AN153" i="3"/>
  <c r="AP153" i="3" s="1"/>
  <c r="AC154" i="3"/>
  <c r="AD154" i="3"/>
  <c r="AC153" i="3"/>
  <c r="AD153" i="3"/>
  <c r="AJ153" i="3" s="1"/>
  <c r="AN152" i="3"/>
  <c r="AP152" i="3" s="1"/>
  <c r="AM152" i="3"/>
  <c r="AO152" i="3" s="1"/>
  <c r="P153" i="4"/>
  <c r="W153" i="3"/>
  <c r="N153" i="4"/>
  <c r="V153" i="3"/>
  <c r="N148" i="4"/>
  <c r="V148" i="3"/>
  <c r="W148" i="3"/>
  <c r="P148" i="4"/>
  <c r="AD146" i="3"/>
  <c r="AJ146" i="3" s="1"/>
  <c r="AC146" i="3"/>
  <c r="AM145" i="3"/>
  <c r="AO145" i="3" s="1"/>
  <c r="AN145" i="3"/>
  <c r="AP145" i="3" s="1"/>
  <c r="AM144" i="3"/>
  <c r="AO144" i="3" s="1"/>
  <c r="AN144" i="3"/>
  <c r="AP144" i="3" s="1"/>
  <c r="AC145" i="3"/>
  <c r="AD145" i="3"/>
  <c r="AJ145" i="3" s="1"/>
  <c r="K145" i="4"/>
  <c r="S145" i="3"/>
  <c r="T145" i="3"/>
  <c r="U145" i="3"/>
  <c r="R145" i="3"/>
  <c r="X145" i="4"/>
  <c r="C145" i="4"/>
  <c r="N144" i="4"/>
  <c r="V144" i="3"/>
  <c r="P144" i="4"/>
  <c r="W144" i="3"/>
  <c r="K143" i="4"/>
  <c r="S143" i="3"/>
  <c r="U143" i="3"/>
  <c r="R143" i="3"/>
  <c r="T143" i="3"/>
  <c r="X143" i="4"/>
  <c r="C143" i="4"/>
  <c r="AM141" i="3"/>
  <c r="AO141" i="3" s="1"/>
  <c r="AN141" i="3"/>
  <c r="AP141" i="3" s="1"/>
  <c r="AD142" i="3"/>
  <c r="AJ142" i="3" s="1"/>
  <c r="AC142" i="3"/>
  <c r="AM83" i="3"/>
  <c r="AO83" i="3" s="1"/>
  <c r="AN83" i="3"/>
  <c r="AP83" i="3" s="1"/>
  <c r="AD84" i="3"/>
  <c r="AJ84" i="3" s="1"/>
  <c r="AC84" i="3"/>
  <c r="N80" i="4"/>
  <c r="V80" i="3"/>
  <c r="W80" i="3"/>
  <c r="P80" i="4"/>
  <c r="AM78" i="3"/>
  <c r="AO78" i="3" s="1"/>
  <c r="AN78" i="3"/>
  <c r="AP78" i="3" s="1"/>
  <c r="AC79" i="3"/>
  <c r="AD79" i="3"/>
  <c r="AJ79" i="3" s="1"/>
  <c r="AN76" i="3"/>
  <c r="AP76" i="3" s="1"/>
  <c r="AM76" i="3"/>
  <c r="AO76" i="3" s="1"/>
  <c r="AC77" i="3"/>
  <c r="AD77" i="3"/>
  <c r="AJ77" i="3" s="1"/>
  <c r="N77" i="4"/>
  <c r="V77" i="3"/>
  <c r="P77" i="4"/>
  <c r="W77" i="3"/>
  <c r="V76" i="3"/>
  <c r="N76" i="4"/>
  <c r="W76" i="3"/>
  <c r="P76" i="4"/>
  <c r="P72" i="4"/>
  <c r="W72" i="3"/>
  <c r="V72" i="3"/>
  <c r="N72" i="4"/>
  <c r="V38" i="3"/>
  <c r="N38" i="4"/>
  <c r="W38" i="3"/>
  <c r="P38" i="4"/>
  <c r="K37" i="4"/>
  <c r="C37" i="4"/>
  <c r="X37" i="4"/>
  <c r="T37" i="3"/>
  <c r="R37" i="3"/>
  <c r="S37" i="3"/>
  <c r="U37" i="3"/>
  <c r="AC36" i="3"/>
  <c r="AD36" i="3"/>
  <c r="AJ36" i="3" s="1"/>
  <c r="AM35" i="3"/>
  <c r="AO35" i="3" s="1"/>
  <c r="AN35" i="3"/>
  <c r="AP35" i="3" s="1"/>
  <c r="K36" i="4"/>
  <c r="S36" i="3"/>
  <c r="U36" i="3"/>
  <c r="C36" i="4"/>
  <c r="X36" i="4"/>
  <c r="R36" i="3"/>
  <c r="T36" i="3"/>
  <c r="K106" i="4"/>
  <c r="R106" i="3"/>
  <c r="U106" i="3"/>
  <c r="S106" i="3"/>
  <c r="T106" i="3"/>
  <c r="C106" i="4"/>
  <c r="X106" i="4"/>
  <c r="K105" i="4"/>
  <c r="R105" i="3"/>
  <c r="S105" i="3"/>
  <c r="T105" i="3"/>
  <c r="U105" i="3"/>
  <c r="C105" i="4"/>
  <c r="X105" i="4"/>
  <c r="AM103" i="3"/>
  <c r="AO103" i="3" s="1"/>
  <c r="AN103" i="3"/>
  <c r="AP103" i="3" s="1"/>
  <c r="AC104" i="3"/>
  <c r="AD104" i="3"/>
  <c r="AJ104" i="3" s="1"/>
  <c r="K104" i="4"/>
  <c r="R104" i="3"/>
  <c r="S104" i="3"/>
  <c r="T104" i="3"/>
  <c r="U104" i="3"/>
  <c r="C104" i="4"/>
  <c r="X104" i="4"/>
  <c r="AM102" i="3"/>
  <c r="AO102" i="3" s="1"/>
  <c r="AN102" i="3"/>
  <c r="AP102" i="3" s="1"/>
  <c r="AC103" i="3"/>
  <c r="AD103" i="3"/>
  <c r="AJ103" i="3" s="1"/>
  <c r="K103" i="4"/>
  <c r="R103" i="3"/>
  <c r="S103" i="3"/>
  <c r="T103" i="3"/>
  <c r="U103" i="3"/>
  <c r="C103" i="4"/>
  <c r="X103" i="4"/>
  <c r="AM101" i="3"/>
  <c r="AO101" i="3" s="1"/>
  <c r="AN101" i="3"/>
  <c r="AP101" i="3" s="1"/>
  <c r="AC102" i="3"/>
  <c r="AD102" i="3"/>
  <c r="AJ102" i="3" s="1"/>
  <c r="K102" i="4"/>
  <c r="R102" i="3"/>
  <c r="S102" i="3"/>
  <c r="T102" i="3"/>
  <c r="U102" i="3"/>
  <c r="C102" i="4"/>
  <c r="X102" i="4"/>
  <c r="AM100" i="3"/>
  <c r="AO100" i="3" s="1"/>
  <c r="AN100" i="3"/>
  <c r="AP100" i="3" s="1"/>
  <c r="AC101" i="3"/>
  <c r="AD101" i="3"/>
  <c r="AJ101" i="3" s="1"/>
  <c r="K101" i="4"/>
  <c r="R101" i="3"/>
  <c r="S101" i="3"/>
  <c r="T101" i="3"/>
  <c r="U101" i="3"/>
  <c r="C101" i="4"/>
  <c r="X101" i="4"/>
  <c r="AN99" i="3"/>
  <c r="AP99" i="3" s="1"/>
  <c r="AM99" i="3"/>
  <c r="AO99" i="3" s="1"/>
  <c r="AC100" i="3"/>
  <c r="AD100" i="3"/>
  <c r="AJ100" i="3" s="1"/>
  <c r="W100" i="3"/>
  <c r="P100" i="4"/>
  <c r="V100" i="3"/>
  <c r="N100" i="4"/>
  <c r="K70" i="4"/>
  <c r="R70" i="3"/>
  <c r="S70" i="3"/>
  <c r="T70" i="3"/>
  <c r="U70" i="3"/>
  <c r="C70" i="4"/>
  <c r="X70" i="4"/>
  <c r="AM68" i="3"/>
  <c r="AO68" i="3" s="1"/>
  <c r="AN68" i="3"/>
  <c r="AP68" i="3" s="1"/>
  <c r="AC69" i="3"/>
  <c r="AD69" i="3"/>
  <c r="AJ69" i="3" s="1"/>
  <c r="K69" i="4"/>
  <c r="R69" i="3"/>
  <c r="S69" i="3"/>
  <c r="T69" i="3"/>
  <c r="U69" i="3"/>
  <c r="C69" i="4"/>
  <c r="X69" i="4"/>
  <c r="AM67" i="3"/>
  <c r="AO67" i="3" s="1"/>
  <c r="AN67" i="3"/>
  <c r="AP67" i="3" s="1"/>
  <c r="AC68" i="3"/>
  <c r="AD68" i="3"/>
  <c r="AJ68" i="3" s="1"/>
  <c r="K68" i="4"/>
  <c r="R68" i="3"/>
  <c r="S68" i="3"/>
  <c r="T68" i="3"/>
  <c r="U68" i="3"/>
  <c r="C68" i="4"/>
  <c r="X68" i="4"/>
  <c r="AM66" i="3"/>
  <c r="AO66" i="3" s="1"/>
  <c r="AN66" i="3"/>
  <c r="AP66" i="3" s="1"/>
  <c r="AC67" i="3"/>
  <c r="AD67" i="3"/>
  <c r="AJ67" i="3" s="1"/>
  <c r="K67" i="4"/>
  <c r="R67" i="3"/>
  <c r="S67" i="3"/>
  <c r="T67" i="3"/>
  <c r="U67" i="3"/>
  <c r="C67" i="4"/>
  <c r="X67" i="4"/>
  <c r="AM65" i="3"/>
  <c r="AO65" i="3" s="1"/>
  <c r="AN65" i="3"/>
  <c r="AP65" i="3" s="1"/>
  <c r="AC66" i="3"/>
  <c r="AD66" i="3"/>
  <c r="AJ66" i="3" s="1"/>
  <c r="K66" i="4"/>
  <c r="R66" i="3"/>
  <c r="S66" i="3"/>
  <c r="T66" i="3"/>
  <c r="U66" i="3"/>
  <c r="C66" i="4"/>
  <c r="X66" i="4"/>
  <c r="AM64" i="3"/>
  <c r="AO64" i="3" s="1"/>
  <c r="AN64" i="3"/>
  <c r="AP64" i="3" s="1"/>
  <c r="AC65" i="3"/>
  <c r="AD65" i="3"/>
  <c r="AJ65" i="3" s="1"/>
  <c r="K65" i="4"/>
  <c r="R65" i="3"/>
  <c r="S65" i="3"/>
  <c r="T65" i="3"/>
  <c r="U65" i="3"/>
  <c r="C65" i="4"/>
  <c r="X65" i="4"/>
  <c r="AM63" i="3"/>
  <c r="AO63" i="3" s="1"/>
  <c r="AN63" i="3"/>
  <c r="AP63" i="3" s="1"/>
  <c r="AC64" i="3"/>
  <c r="AD64" i="3"/>
  <c r="AJ64" i="3" s="1"/>
  <c r="K20" i="4"/>
  <c r="R20" i="3"/>
  <c r="S20" i="3"/>
  <c r="T20" i="3"/>
  <c r="U20" i="3"/>
  <c r="C20" i="4"/>
  <c r="X20" i="4"/>
  <c r="AM18" i="3"/>
  <c r="AO18" i="3" s="1"/>
  <c r="AN18" i="3"/>
  <c r="AP18" i="3" s="1"/>
  <c r="AC19" i="3"/>
  <c r="AD19" i="3"/>
  <c r="AJ19" i="3" s="1"/>
  <c r="K16" i="4"/>
  <c r="R16" i="3"/>
  <c r="S16" i="3"/>
  <c r="T16" i="3"/>
  <c r="U16" i="3"/>
  <c r="C16" i="4"/>
  <c r="X16" i="4"/>
  <c r="K14" i="4"/>
  <c r="R14" i="3"/>
  <c r="S14" i="3"/>
  <c r="T14" i="3"/>
  <c r="U14" i="3"/>
  <c r="C14" i="4"/>
  <c r="X14" i="4"/>
  <c r="AM7" i="3"/>
  <c r="AO7" i="3" s="1"/>
  <c r="AN7" i="3"/>
  <c r="AP7" i="3" s="1"/>
  <c r="AC8" i="3"/>
  <c r="AD8" i="3"/>
  <c r="AJ8" i="3" s="1"/>
  <c r="AM4" i="3"/>
  <c r="AO4" i="3" s="1"/>
  <c r="AN4" i="3"/>
  <c r="AP4" i="3" s="1"/>
  <c r="AC5" i="3"/>
  <c r="AD5" i="3"/>
  <c r="AJ5" i="3" s="1"/>
  <c r="AM3" i="3"/>
  <c r="AO3" i="3" s="1"/>
  <c r="AN3" i="3"/>
  <c r="AP3" i="3" s="1"/>
  <c r="AC4" i="3"/>
  <c r="AD4" i="3"/>
  <c r="AJ4" i="3" s="1"/>
  <c r="K3" i="4"/>
  <c r="R3" i="3"/>
  <c r="S3" i="3"/>
  <c r="T3" i="3"/>
  <c r="U3" i="3"/>
  <c r="C3" i="4"/>
  <c r="X3" i="4"/>
  <c r="AI2" i="3"/>
  <c r="AR2" i="3"/>
  <c r="AS2" i="3"/>
  <c r="N110" i="4"/>
  <c r="V110" i="3"/>
  <c r="W110" i="3"/>
  <c r="P110" i="4"/>
  <c r="K109" i="4"/>
  <c r="R109" i="3"/>
  <c r="S109" i="3"/>
  <c r="U109" i="3"/>
  <c r="C109" i="4"/>
  <c r="X109" i="4"/>
  <c r="T109" i="3"/>
  <c r="AD108" i="3"/>
  <c r="AJ108" i="3" s="1"/>
  <c r="AC108" i="3"/>
  <c r="AM107" i="3"/>
  <c r="AO107" i="3" s="1"/>
  <c r="AN107" i="3"/>
  <c r="AP107" i="3" s="1"/>
  <c r="V108" i="3"/>
  <c r="N108" i="4"/>
  <c r="W108" i="3"/>
  <c r="P108" i="4"/>
  <c r="AM95" i="3"/>
  <c r="AO95" i="3" s="1"/>
  <c r="AN95" i="3"/>
  <c r="AP95" i="3" s="1"/>
  <c r="AC96" i="3"/>
  <c r="AD96" i="3"/>
  <c r="AJ96" i="3" s="1"/>
  <c r="P93" i="3"/>
  <c r="Q93" i="3"/>
  <c r="F93" i="3"/>
  <c r="G93" i="3"/>
  <c r="W92" i="3"/>
  <c r="P92" i="4"/>
  <c r="N92" i="4"/>
  <c r="V92" i="3"/>
  <c r="P90" i="4"/>
  <c r="W90" i="3"/>
  <c r="N90" i="4"/>
  <c r="V90" i="3"/>
  <c r="K89" i="4"/>
  <c r="T89" i="3"/>
  <c r="C89" i="4"/>
  <c r="X89" i="4"/>
  <c r="S89" i="3"/>
  <c r="U89" i="3"/>
  <c r="R89" i="3"/>
  <c r="V84" i="3"/>
  <c r="N84" i="4"/>
  <c r="P84" i="4"/>
  <c r="W84" i="3"/>
  <c r="P83" i="3"/>
  <c r="Q83" i="3"/>
  <c r="F83" i="3"/>
  <c r="G83" i="3"/>
  <c r="AJ83" i="3" s="1"/>
  <c r="V82" i="3"/>
  <c r="N82" i="4"/>
  <c r="P82" i="4"/>
  <c r="W82" i="3"/>
  <c r="K81" i="4"/>
  <c r="S81" i="3"/>
  <c r="T81" i="3"/>
  <c r="C81" i="4"/>
  <c r="X81" i="4"/>
  <c r="R81" i="3"/>
  <c r="U81" i="3"/>
  <c r="W79" i="3"/>
  <c r="P79" i="4"/>
  <c r="V79" i="3"/>
  <c r="N79" i="4"/>
  <c r="AD75" i="3"/>
  <c r="AJ75" i="3" s="1"/>
  <c r="AC75" i="3"/>
  <c r="AM74" i="3"/>
  <c r="AO74" i="3" s="1"/>
  <c r="AN74" i="3"/>
  <c r="AP74" i="3" s="1"/>
  <c r="K74" i="4"/>
  <c r="S74" i="3"/>
  <c r="U74" i="3"/>
  <c r="R74" i="3"/>
  <c r="T74" i="3"/>
  <c r="C74" i="4"/>
  <c r="X74" i="4"/>
  <c r="AN36" i="3"/>
  <c r="AP36" i="3" s="1"/>
  <c r="AM36" i="3"/>
  <c r="AO36" i="3" s="1"/>
  <c r="AD37" i="3"/>
  <c r="AJ37" i="3" s="1"/>
  <c r="AC37" i="3"/>
  <c r="V36" i="3"/>
  <c r="N36" i="4"/>
  <c r="W36" i="3"/>
  <c r="P36" i="4"/>
  <c r="AM140" i="3"/>
  <c r="AO140" i="3" s="1"/>
  <c r="AN140" i="3"/>
  <c r="AP140" i="3" s="1"/>
  <c r="AC141" i="3"/>
  <c r="AD141" i="3"/>
  <c r="AJ141" i="3" s="1"/>
  <c r="K141" i="4"/>
  <c r="R141" i="3"/>
  <c r="S141" i="3"/>
  <c r="T141" i="3"/>
  <c r="U141" i="3"/>
  <c r="C141" i="4"/>
  <c r="X141" i="4"/>
  <c r="AM139" i="3"/>
  <c r="AO139" i="3" s="1"/>
  <c r="AN139" i="3"/>
  <c r="AP139" i="3" s="1"/>
  <c r="AC140" i="3"/>
  <c r="AD140" i="3"/>
  <c r="AJ140" i="3" s="1"/>
  <c r="K140" i="4"/>
  <c r="R140" i="3"/>
  <c r="S140" i="3"/>
  <c r="T140" i="3"/>
  <c r="U140" i="3"/>
  <c r="X140" i="4"/>
  <c r="C140" i="4"/>
  <c r="AM138" i="3"/>
  <c r="AO138" i="3" s="1"/>
  <c r="AN138" i="3"/>
  <c r="AP138" i="3" s="1"/>
  <c r="AC139" i="3"/>
  <c r="AD139" i="3"/>
  <c r="AJ139" i="3" s="1"/>
  <c r="K139" i="4"/>
  <c r="R139" i="3"/>
  <c r="S139" i="3"/>
  <c r="T139" i="3"/>
  <c r="U139" i="3"/>
  <c r="C139" i="4"/>
  <c r="X139" i="4"/>
  <c r="AM137" i="3"/>
  <c r="AO137" i="3" s="1"/>
  <c r="AN137" i="3"/>
  <c r="AP137" i="3" s="1"/>
  <c r="AC138" i="3"/>
  <c r="AD138" i="3"/>
  <c r="AJ138" i="3" s="1"/>
  <c r="K138" i="4"/>
  <c r="R138" i="3"/>
  <c r="S138" i="3"/>
  <c r="T138" i="3"/>
  <c r="U138" i="3"/>
  <c r="C138" i="4"/>
  <c r="X138" i="4"/>
  <c r="AM136" i="3"/>
  <c r="AO136" i="3" s="1"/>
  <c r="AN136" i="3"/>
  <c r="AP136" i="3" s="1"/>
  <c r="AC137" i="3"/>
  <c r="AD137" i="3"/>
  <c r="AJ137" i="3" s="1"/>
  <c r="K137" i="4"/>
  <c r="R137" i="3"/>
  <c r="S137" i="3"/>
  <c r="T137" i="3"/>
  <c r="U137" i="3"/>
  <c r="C137" i="4"/>
  <c r="X137" i="4"/>
  <c r="AM135" i="3"/>
  <c r="AO135" i="3" s="1"/>
  <c r="AN135" i="3"/>
  <c r="AP135" i="3" s="1"/>
  <c r="AC136" i="3"/>
  <c r="AD136" i="3"/>
  <c r="AJ136" i="3" s="1"/>
  <c r="K136" i="4"/>
  <c r="R136" i="3"/>
  <c r="S136" i="3"/>
  <c r="T136" i="3"/>
  <c r="U136" i="3"/>
  <c r="C136" i="4"/>
  <c r="X136" i="4"/>
  <c r="AM134" i="3"/>
  <c r="AO134" i="3" s="1"/>
  <c r="AN134" i="3"/>
  <c r="AP134" i="3" s="1"/>
  <c r="AC135" i="3"/>
  <c r="AD135" i="3"/>
  <c r="AJ135" i="3" s="1"/>
  <c r="K135" i="4"/>
  <c r="R135" i="3"/>
  <c r="S135" i="3"/>
  <c r="T135" i="3"/>
  <c r="U135" i="3"/>
  <c r="C135" i="4"/>
  <c r="X135" i="4"/>
  <c r="AM133" i="3"/>
  <c r="AO133" i="3" s="1"/>
  <c r="AN133" i="3"/>
  <c r="AP133" i="3" s="1"/>
  <c r="AC134" i="3"/>
  <c r="AD134" i="3"/>
  <c r="AJ134" i="3" s="1"/>
  <c r="K134" i="4"/>
  <c r="R134" i="3"/>
  <c r="S134" i="3"/>
  <c r="T134" i="3"/>
  <c r="U134" i="3"/>
  <c r="C134" i="4"/>
  <c r="X134" i="4"/>
  <c r="AM132" i="3"/>
  <c r="AO132" i="3" s="1"/>
  <c r="AN132" i="3"/>
  <c r="AP132" i="3" s="1"/>
  <c r="AC133" i="3"/>
  <c r="AD133" i="3"/>
  <c r="AJ133" i="3" s="1"/>
  <c r="K133" i="4"/>
  <c r="R133" i="3"/>
  <c r="S133" i="3"/>
  <c r="T133" i="3"/>
  <c r="U133" i="3"/>
  <c r="C133" i="4"/>
  <c r="X133" i="4"/>
  <c r="AM131" i="3"/>
  <c r="AO131" i="3" s="1"/>
  <c r="AN131" i="3"/>
  <c r="AP131" i="3" s="1"/>
  <c r="AC132" i="3"/>
  <c r="AD132" i="3"/>
  <c r="AJ132" i="3" s="1"/>
  <c r="K132" i="4"/>
  <c r="R132" i="3"/>
  <c r="S132" i="3"/>
  <c r="T132" i="3"/>
  <c r="U132" i="3"/>
  <c r="C132" i="4"/>
  <c r="X132" i="4"/>
  <c r="AM130" i="3"/>
  <c r="AO130" i="3" s="1"/>
  <c r="AN130" i="3"/>
  <c r="AP130" i="3" s="1"/>
  <c r="AC131" i="3"/>
  <c r="AD131" i="3"/>
  <c r="AJ131" i="3" s="1"/>
  <c r="K131" i="4"/>
  <c r="R131" i="3"/>
  <c r="S131" i="3"/>
  <c r="T131" i="3"/>
  <c r="U131" i="3"/>
  <c r="C131" i="4"/>
  <c r="X131" i="4"/>
  <c r="AM129" i="3"/>
  <c r="AO129" i="3" s="1"/>
  <c r="AN129" i="3"/>
  <c r="AP129" i="3" s="1"/>
  <c r="AC130" i="3"/>
  <c r="AD130" i="3"/>
  <c r="AJ130" i="3" s="1"/>
  <c r="K130" i="4"/>
  <c r="R130" i="3"/>
  <c r="S130" i="3"/>
  <c r="T130" i="3"/>
  <c r="U130" i="3"/>
  <c r="C130" i="4"/>
  <c r="X130" i="4"/>
  <c r="AM128" i="3"/>
  <c r="AO128" i="3" s="1"/>
  <c r="AN128" i="3"/>
  <c r="AP128" i="3" s="1"/>
  <c r="AC129" i="3"/>
  <c r="AD129" i="3"/>
  <c r="AJ129" i="3" s="1"/>
  <c r="K129" i="4"/>
  <c r="R129" i="3"/>
  <c r="S129" i="3"/>
  <c r="T129" i="3"/>
  <c r="U129" i="3"/>
  <c r="C129" i="4"/>
  <c r="X129" i="4"/>
  <c r="AM127" i="3"/>
  <c r="AO127" i="3" s="1"/>
  <c r="AN127" i="3"/>
  <c r="AP127" i="3" s="1"/>
  <c r="AC128" i="3"/>
  <c r="AD128" i="3"/>
  <c r="AJ128" i="3" s="1"/>
  <c r="K128" i="4"/>
  <c r="R128" i="3"/>
  <c r="S128" i="3"/>
  <c r="T128" i="3"/>
  <c r="U128" i="3"/>
  <c r="C128" i="4"/>
  <c r="X128" i="4"/>
  <c r="AM126" i="3"/>
  <c r="AO126" i="3" s="1"/>
  <c r="AN126" i="3"/>
  <c r="AP126" i="3" s="1"/>
  <c r="AC127" i="3"/>
  <c r="AD127" i="3"/>
  <c r="AJ127" i="3" s="1"/>
  <c r="K127" i="4"/>
  <c r="R127" i="3"/>
  <c r="S127" i="3"/>
  <c r="T127" i="3"/>
  <c r="U127" i="3"/>
  <c r="C127" i="4"/>
  <c r="X127" i="4"/>
  <c r="AM125" i="3"/>
  <c r="AO125" i="3" s="1"/>
  <c r="AN125" i="3"/>
  <c r="AP125" i="3" s="1"/>
  <c r="AC126" i="3"/>
  <c r="AD126" i="3"/>
  <c r="AJ126" i="3" s="1"/>
  <c r="K126" i="4"/>
  <c r="R126" i="3"/>
  <c r="S126" i="3"/>
  <c r="T126" i="3"/>
  <c r="U126" i="3"/>
  <c r="C126" i="4"/>
  <c r="X126" i="4"/>
  <c r="AM124" i="3"/>
  <c r="AO124" i="3" s="1"/>
  <c r="AN124" i="3"/>
  <c r="AP124" i="3" s="1"/>
  <c r="AC125" i="3"/>
  <c r="AD125" i="3"/>
  <c r="AJ125" i="3" s="1"/>
  <c r="K125" i="4"/>
  <c r="R125" i="3"/>
  <c r="S125" i="3"/>
  <c r="T125" i="3"/>
  <c r="U125" i="3"/>
  <c r="C125" i="4"/>
  <c r="X125" i="4"/>
  <c r="AM123" i="3"/>
  <c r="AO123" i="3" s="1"/>
  <c r="AN123" i="3"/>
  <c r="AP123" i="3" s="1"/>
  <c r="AC124" i="3"/>
  <c r="AD124" i="3"/>
  <c r="AJ124" i="3" s="1"/>
  <c r="K124" i="4"/>
  <c r="R124" i="3"/>
  <c r="S124" i="3"/>
  <c r="T124" i="3"/>
  <c r="U124" i="3"/>
  <c r="C124" i="4"/>
  <c r="X124" i="4"/>
  <c r="AM122" i="3"/>
  <c r="AO122" i="3" s="1"/>
  <c r="AN122" i="3"/>
  <c r="AP122" i="3" s="1"/>
  <c r="AC123" i="3"/>
  <c r="AD123" i="3"/>
  <c r="AJ123" i="3" s="1"/>
  <c r="K123" i="4"/>
  <c r="R123" i="3"/>
  <c r="S123" i="3"/>
  <c r="T123" i="3"/>
  <c r="U123" i="3"/>
  <c r="C123" i="4"/>
  <c r="X123" i="4"/>
  <c r="AM121" i="3"/>
  <c r="AO121" i="3" s="1"/>
  <c r="AN121" i="3"/>
  <c r="AP121" i="3" s="1"/>
  <c r="AC122" i="3"/>
  <c r="AD122" i="3"/>
  <c r="K122" i="4"/>
  <c r="R122" i="3"/>
  <c r="S122" i="3"/>
  <c r="T122" i="3"/>
  <c r="U122" i="3"/>
  <c r="C122" i="4"/>
  <c r="X122" i="4"/>
  <c r="B7" i="1"/>
  <c r="AM120" i="3"/>
  <c r="AO120" i="3" s="1"/>
  <c r="AN120" i="3"/>
  <c r="AP120" i="3" s="1"/>
  <c r="AC121" i="3"/>
  <c r="AD121" i="3"/>
  <c r="AJ121" i="3" s="1"/>
  <c r="K121" i="4"/>
  <c r="R121" i="3"/>
  <c r="S121" i="3"/>
  <c r="T121" i="3"/>
  <c r="U121" i="3"/>
  <c r="C121" i="4"/>
  <c r="X121" i="4"/>
  <c r="AM119" i="3"/>
  <c r="AO119" i="3" s="1"/>
  <c r="AN119" i="3"/>
  <c r="AP119" i="3" s="1"/>
  <c r="AC120" i="3"/>
  <c r="AD120" i="3"/>
  <c r="AJ120" i="3" s="1"/>
  <c r="K120" i="4"/>
  <c r="R120" i="3"/>
  <c r="S120" i="3"/>
  <c r="T120" i="3"/>
  <c r="U120" i="3"/>
  <c r="C120" i="4"/>
  <c r="X120" i="4"/>
  <c r="AM118" i="3"/>
  <c r="AO118" i="3" s="1"/>
  <c r="AN118" i="3"/>
  <c r="AP118" i="3" s="1"/>
  <c r="AC119" i="3"/>
  <c r="AD119" i="3"/>
  <c r="AJ119" i="3" s="1"/>
  <c r="K119" i="4"/>
  <c r="R119" i="3"/>
  <c r="S119" i="3"/>
  <c r="T119" i="3"/>
  <c r="U119" i="3"/>
  <c r="C119" i="4"/>
  <c r="X119" i="4"/>
  <c r="AM117" i="3"/>
  <c r="AO117" i="3" s="1"/>
  <c r="AN117" i="3"/>
  <c r="AP117" i="3" s="1"/>
  <c r="AC118" i="3"/>
  <c r="AD118" i="3"/>
  <c r="AJ118" i="3" s="1"/>
  <c r="K118" i="4"/>
  <c r="R118" i="3"/>
  <c r="S118" i="3"/>
  <c r="T118" i="3"/>
  <c r="U118" i="3"/>
  <c r="C118" i="4"/>
  <c r="X118" i="4"/>
  <c r="AM116" i="3"/>
  <c r="AO116" i="3" s="1"/>
  <c r="AN116" i="3"/>
  <c r="AP116" i="3" s="1"/>
  <c r="AC117" i="3"/>
  <c r="AD117" i="3"/>
  <c r="AJ117" i="3" s="1"/>
  <c r="K117" i="4"/>
  <c r="R117" i="3"/>
  <c r="S117" i="3"/>
  <c r="T117" i="3"/>
  <c r="U117" i="3"/>
  <c r="C117" i="4"/>
  <c r="X117" i="4"/>
  <c r="AM115" i="3"/>
  <c r="AO115" i="3" s="1"/>
  <c r="AN115" i="3"/>
  <c r="AP115" i="3" s="1"/>
  <c r="AC116" i="3"/>
  <c r="AD116" i="3"/>
  <c r="AJ116" i="3" s="1"/>
  <c r="K116" i="4"/>
  <c r="R116" i="3"/>
  <c r="S116" i="3"/>
  <c r="T116" i="3"/>
  <c r="U116" i="3"/>
  <c r="C116" i="4"/>
  <c r="X116" i="4"/>
  <c r="AM114" i="3"/>
  <c r="AO114" i="3" s="1"/>
  <c r="AN114" i="3"/>
  <c r="AP114" i="3" s="1"/>
  <c r="AC115" i="3"/>
  <c r="AD115" i="3"/>
  <c r="AJ115" i="3" s="1"/>
  <c r="K115" i="4"/>
  <c r="R115" i="3"/>
  <c r="S115" i="3"/>
  <c r="T115" i="3"/>
  <c r="U115" i="3"/>
  <c r="C115" i="4"/>
  <c r="X115" i="4"/>
  <c r="AM113" i="3"/>
  <c r="AO113" i="3" s="1"/>
  <c r="AN113" i="3"/>
  <c r="AP113" i="3" s="1"/>
  <c r="AC114" i="3"/>
  <c r="AD114" i="3"/>
  <c r="AJ114" i="3" s="1"/>
  <c r="K114" i="4"/>
  <c r="R114" i="3"/>
  <c r="S114" i="3"/>
  <c r="T114" i="3"/>
  <c r="U114" i="3"/>
  <c r="C114" i="4"/>
  <c r="X114" i="4"/>
  <c r="AM112" i="3"/>
  <c r="AO112" i="3" s="1"/>
  <c r="AN112" i="3"/>
  <c r="AP112" i="3" s="1"/>
  <c r="AC113" i="3"/>
  <c r="AD113" i="3"/>
  <c r="AJ113" i="3" s="1"/>
  <c r="K113" i="4"/>
  <c r="R113" i="3"/>
  <c r="S113" i="3"/>
  <c r="T113" i="3"/>
  <c r="U113" i="3"/>
  <c r="C113" i="4"/>
  <c r="X113" i="4"/>
  <c r="AN110" i="3"/>
  <c r="AP110" i="3" s="1"/>
  <c r="AM110" i="3"/>
  <c r="AO110" i="3" s="1"/>
  <c r="AD111" i="3"/>
  <c r="AJ111" i="3" s="1"/>
  <c r="AC111" i="3"/>
  <c r="K111" i="4"/>
  <c r="S111" i="3"/>
  <c r="U111" i="3"/>
  <c r="R111" i="3"/>
  <c r="T111" i="3"/>
  <c r="C111" i="4"/>
  <c r="X111" i="4"/>
  <c r="N109" i="4"/>
  <c r="V109" i="3"/>
  <c r="W109" i="3"/>
  <c r="P109" i="4"/>
  <c r="K99" i="4"/>
  <c r="R99" i="3"/>
  <c r="T99" i="3"/>
  <c r="S99" i="3"/>
  <c r="U99" i="3"/>
  <c r="C99" i="4"/>
  <c r="X99" i="4"/>
  <c r="AC98" i="3"/>
  <c r="AD98" i="3"/>
  <c r="AJ98" i="3" s="1"/>
  <c r="AN97" i="3"/>
  <c r="AP97" i="3" s="1"/>
  <c r="AM97" i="3"/>
  <c r="AO97" i="3" s="1"/>
  <c r="K95" i="4"/>
  <c r="T95" i="3"/>
  <c r="C95" i="4"/>
  <c r="X95" i="4"/>
  <c r="R95" i="3"/>
  <c r="S95" i="3"/>
  <c r="U95" i="3"/>
  <c r="AN91" i="3"/>
  <c r="AP91" i="3" s="1"/>
  <c r="AM91" i="3"/>
  <c r="AO91" i="3" s="1"/>
  <c r="AD92" i="3"/>
  <c r="AJ92" i="3" s="1"/>
  <c r="AC92" i="3"/>
  <c r="AN88" i="3"/>
  <c r="AP88" i="3" s="1"/>
  <c r="AM88" i="3"/>
  <c r="AO88" i="3" s="1"/>
  <c r="AD89" i="3"/>
  <c r="AJ89" i="3" s="1"/>
  <c r="AC89" i="3"/>
  <c r="W89" i="3"/>
  <c r="P89" i="4"/>
  <c r="N89" i="4"/>
  <c r="V89" i="3"/>
  <c r="AN84" i="3"/>
  <c r="AP84" i="3" s="1"/>
  <c r="AM84" i="3"/>
  <c r="AO84" i="3" s="1"/>
  <c r="AC85" i="3"/>
  <c r="AD85" i="3"/>
  <c r="AJ85" i="3" s="1"/>
  <c r="AD82" i="3"/>
  <c r="AJ82" i="3" s="1"/>
  <c r="AC82" i="3"/>
  <c r="AM81" i="3"/>
  <c r="AO81" i="3" s="1"/>
  <c r="AN81" i="3"/>
  <c r="AP81" i="3" s="1"/>
  <c r="AC81" i="3"/>
  <c r="AD81" i="3"/>
  <c r="AJ81" i="3" s="1"/>
  <c r="AN80" i="3"/>
  <c r="AP80" i="3" s="1"/>
  <c r="AM80" i="3"/>
  <c r="AO80" i="3" s="1"/>
  <c r="AD73" i="3"/>
  <c r="AJ73" i="3" s="1"/>
  <c r="AC73" i="3"/>
  <c r="AM72" i="3"/>
  <c r="AO72" i="3" s="1"/>
  <c r="AN72" i="3"/>
  <c r="AP72" i="3" s="1"/>
  <c r="AM104" i="3"/>
  <c r="AO104" i="3" s="1"/>
  <c r="AN104" i="3"/>
  <c r="AP104" i="3" s="1"/>
  <c r="AC105" i="3"/>
  <c r="AD105" i="3"/>
  <c r="AJ105" i="3" s="1"/>
  <c r="AM69" i="3"/>
  <c r="AO69" i="3" s="1"/>
  <c r="AN69" i="3"/>
  <c r="AP69" i="3" s="1"/>
  <c r="AC70" i="3"/>
  <c r="AD70" i="3"/>
  <c r="AJ70" i="3" s="1"/>
  <c r="AM16" i="3"/>
  <c r="AO16" i="3" s="1"/>
  <c r="AN16" i="3"/>
  <c r="AP16" i="3" s="1"/>
  <c r="AC17" i="3"/>
  <c r="AD17" i="3"/>
  <c r="AJ17" i="3" s="1"/>
  <c r="AM14" i="3"/>
  <c r="AO14" i="3" s="1"/>
  <c r="AN14" i="3"/>
  <c r="AP14" i="3" s="1"/>
  <c r="AC15" i="3"/>
  <c r="AD15" i="3"/>
  <c r="AJ15" i="3" s="1"/>
  <c r="AM12" i="3"/>
  <c r="AO12" i="3" s="1"/>
  <c r="AN12" i="3"/>
  <c r="AP12" i="3" s="1"/>
  <c r="AC13" i="3"/>
  <c r="AD13" i="3"/>
  <c r="AJ13" i="3" s="1"/>
  <c r="AM10" i="3"/>
  <c r="AO10" i="3" s="1"/>
  <c r="AN10" i="3"/>
  <c r="AP10" i="3" s="1"/>
  <c r="AC11" i="3"/>
  <c r="AD11" i="3"/>
  <c r="AJ11" i="3" s="1"/>
  <c r="AM8" i="3"/>
  <c r="AO8" i="3" s="1"/>
  <c r="AN8" i="3"/>
  <c r="AP8" i="3" s="1"/>
  <c r="AC9" i="3"/>
  <c r="AD9" i="3"/>
  <c r="AM6" i="3"/>
  <c r="AO6" i="3" s="1"/>
  <c r="AN6" i="3"/>
  <c r="AP6" i="3" s="1"/>
  <c r="AC7" i="3"/>
  <c r="AD7" i="3"/>
  <c r="AJ7" i="3" s="1"/>
  <c r="AM2" i="3"/>
  <c r="AO2" i="3" s="1"/>
  <c r="AN2" i="3"/>
  <c r="AP2" i="3" s="1"/>
  <c r="AC3" i="3"/>
  <c r="AD3" i="3"/>
  <c r="AJ3" i="3" s="1"/>
  <c r="AD147" i="3"/>
  <c r="AJ147" i="3" s="1"/>
  <c r="AC147" i="3"/>
  <c r="AN146" i="3"/>
  <c r="AP146" i="3" s="1"/>
  <c r="AM146" i="3"/>
  <c r="AO146" i="3" s="1"/>
  <c r="AN71" i="3"/>
  <c r="AP71" i="3" s="1"/>
  <c r="AM71" i="3"/>
  <c r="AO71" i="3" s="1"/>
  <c r="AD72" i="3"/>
  <c r="AJ72" i="3" s="1"/>
  <c r="AC72" i="3"/>
  <c r="AM62" i="3"/>
  <c r="AO62" i="3" s="1"/>
  <c r="AN62" i="3"/>
  <c r="AP62" i="3" s="1"/>
  <c r="AC63" i="3"/>
  <c r="AD63" i="3"/>
  <c r="AM61" i="3"/>
  <c r="AO61" i="3" s="1"/>
  <c r="AN61" i="3"/>
  <c r="AP61" i="3" s="1"/>
  <c r="AC62" i="3"/>
  <c r="AD62" i="3"/>
  <c r="AM60" i="3"/>
  <c r="AO60" i="3" s="1"/>
  <c r="AN60" i="3"/>
  <c r="AP60" i="3" s="1"/>
  <c r="AC61" i="3"/>
  <c r="AD61" i="3"/>
  <c r="AM59" i="3"/>
  <c r="AO59" i="3" s="1"/>
  <c r="AN59" i="3"/>
  <c r="AP59" i="3" s="1"/>
  <c r="AC60" i="3"/>
  <c r="AD60" i="3"/>
  <c r="AM58" i="3"/>
  <c r="AO58" i="3" s="1"/>
  <c r="AN58" i="3"/>
  <c r="AP58" i="3" s="1"/>
  <c r="AC59" i="3"/>
  <c r="AD59" i="3"/>
  <c r="AM57" i="3"/>
  <c r="AO57" i="3" s="1"/>
  <c r="AN57" i="3"/>
  <c r="AP57" i="3" s="1"/>
  <c r="AC58" i="3"/>
  <c r="AD58" i="3"/>
  <c r="AM56" i="3"/>
  <c r="AO56" i="3" s="1"/>
  <c r="AN56" i="3"/>
  <c r="AP56" i="3" s="1"/>
  <c r="AC57" i="3"/>
  <c r="AD57" i="3"/>
  <c r="AM55" i="3"/>
  <c r="AO55" i="3" s="1"/>
  <c r="AN55" i="3"/>
  <c r="AP55" i="3" s="1"/>
  <c r="AC56" i="3"/>
  <c r="AD56" i="3"/>
  <c r="AM54" i="3"/>
  <c r="AO54" i="3" s="1"/>
  <c r="AN54" i="3"/>
  <c r="AP54" i="3" s="1"/>
  <c r="AC55" i="3"/>
  <c r="AD55" i="3"/>
  <c r="AM53" i="3"/>
  <c r="AO53" i="3" s="1"/>
  <c r="AN53" i="3"/>
  <c r="AP53" i="3" s="1"/>
  <c r="AC54" i="3"/>
  <c r="AD54" i="3"/>
  <c r="AJ54" i="3" s="1"/>
  <c r="AM52" i="3"/>
  <c r="AO52" i="3" s="1"/>
  <c r="AN52" i="3"/>
  <c r="AP52" i="3" s="1"/>
  <c r="AC53" i="3"/>
  <c r="AD53" i="3"/>
  <c r="AJ53" i="3" s="1"/>
  <c r="AM51" i="3"/>
  <c r="AO51" i="3" s="1"/>
  <c r="AN51" i="3"/>
  <c r="AP51" i="3" s="1"/>
  <c r="AC52" i="3"/>
  <c r="AD52" i="3"/>
  <c r="AJ52" i="3" s="1"/>
  <c r="AM50" i="3"/>
  <c r="AO50" i="3" s="1"/>
  <c r="AN50" i="3"/>
  <c r="AP50" i="3" s="1"/>
  <c r="AC51" i="3"/>
  <c r="AD51" i="3"/>
  <c r="AJ51" i="3" s="1"/>
  <c r="K51" i="4"/>
  <c r="R51" i="3"/>
  <c r="S51" i="3"/>
  <c r="T51" i="3"/>
  <c r="U51" i="3"/>
  <c r="X51" i="4"/>
  <c r="C51" i="4"/>
  <c r="AM49" i="3"/>
  <c r="AO49" i="3" s="1"/>
  <c r="AN49" i="3"/>
  <c r="AP49" i="3" s="1"/>
  <c r="AC50" i="3"/>
  <c r="AD50" i="3"/>
  <c r="AJ50" i="3" s="1"/>
  <c r="K50" i="4"/>
  <c r="R50" i="3"/>
  <c r="S50" i="3"/>
  <c r="T50" i="3"/>
  <c r="U50" i="3"/>
  <c r="C50" i="4"/>
  <c r="X50" i="4"/>
  <c r="AM48" i="3"/>
  <c r="AO48" i="3" s="1"/>
  <c r="AN48" i="3"/>
  <c r="AP48" i="3" s="1"/>
  <c r="AC49" i="3"/>
  <c r="AD49" i="3"/>
  <c r="AJ49" i="3" s="1"/>
  <c r="K49" i="4"/>
  <c r="R49" i="3"/>
  <c r="S49" i="3"/>
  <c r="T49" i="3"/>
  <c r="U49" i="3"/>
  <c r="C49" i="4"/>
  <c r="X49" i="4"/>
  <c r="AM47" i="3"/>
  <c r="AO47" i="3" s="1"/>
  <c r="AN47" i="3"/>
  <c r="AP47" i="3" s="1"/>
  <c r="AC48" i="3"/>
  <c r="AD48" i="3"/>
  <c r="AJ48" i="3" s="1"/>
  <c r="K48" i="4"/>
  <c r="R48" i="3"/>
  <c r="S48" i="3"/>
  <c r="T48" i="3"/>
  <c r="U48" i="3"/>
  <c r="C48" i="4"/>
  <c r="X48" i="4"/>
  <c r="AM46" i="3"/>
  <c r="AO46" i="3" s="1"/>
  <c r="AN46" i="3"/>
  <c r="AP46" i="3" s="1"/>
  <c r="AC47" i="3"/>
  <c r="AD47" i="3"/>
  <c r="AJ47" i="3" s="1"/>
  <c r="K47" i="4"/>
  <c r="R47" i="3"/>
  <c r="S47" i="3"/>
  <c r="T47" i="3"/>
  <c r="U47" i="3"/>
  <c r="X47" i="4"/>
  <c r="C47" i="4"/>
  <c r="AM45" i="3"/>
  <c r="AO45" i="3" s="1"/>
  <c r="AN45" i="3"/>
  <c r="AP45" i="3" s="1"/>
  <c r="AC46" i="3"/>
  <c r="AD46" i="3"/>
  <c r="AJ46" i="3" s="1"/>
  <c r="K46" i="4"/>
  <c r="R46" i="3"/>
  <c r="S46" i="3"/>
  <c r="T46" i="3"/>
  <c r="U46" i="3"/>
  <c r="C46" i="4"/>
  <c r="X46" i="4"/>
  <c r="AM44" i="3"/>
  <c r="AO44" i="3" s="1"/>
  <c r="AN44" i="3"/>
  <c r="AP44" i="3" s="1"/>
  <c r="AC45" i="3"/>
  <c r="AD45" i="3"/>
  <c r="AJ45" i="3" s="1"/>
  <c r="K45" i="4"/>
  <c r="R45" i="3"/>
  <c r="S45" i="3"/>
  <c r="T45" i="3"/>
  <c r="U45" i="3"/>
  <c r="C45" i="4"/>
  <c r="X45" i="4"/>
  <c r="AM43" i="3"/>
  <c r="AO43" i="3" s="1"/>
  <c r="AN43" i="3"/>
  <c r="AP43" i="3" s="1"/>
  <c r="AC44" i="3"/>
  <c r="AD44" i="3"/>
  <c r="AJ44" i="3" s="1"/>
  <c r="K44" i="4"/>
  <c r="R44" i="3"/>
  <c r="S44" i="3"/>
  <c r="T44" i="3"/>
  <c r="U44" i="3"/>
  <c r="C44" i="4"/>
  <c r="X44" i="4"/>
  <c r="AM42" i="3"/>
  <c r="AO42" i="3" s="1"/>
  <c r="AN42" i="3"/>
  <c r="AP42" i="3" s="1"/>
  <c r="AC43" i="3"/>
  <c r="AD43" i="3"/>
  <c r="AJ43" i="3" s="1"/>
  <c r="K43" i="4"/>
  <c r="R43" i="3"/>
  <c r="S43" i="3"/>
  <c r="T43" i="3"/>
  <c r="U43" i="3"/>
  <c r="C43" i="4"/>
  <c r="X43" i="4"/>
  <c r="AM41" i="3"/>
  <c r="AO41" i="3" s="1"/>
  <c r="AN41" i="3"/>
  <c r="AP41" i="3" s="1"/>
  <c r="AC42" i="3"/>
  <c r="AD42" i="3"/>
  <c r="AJ42" i="3" s="1"/>
  <c r="K42" i="4"/>
  <c r="R42" i="3"/>
  <c r="S42" i="3"/>
  <c r="T42" i="3"/>
  <c r="U42" i="3"/>
  <c r="C42" i="4"/>
  <c r="X42" i="4"/>
  <c r="AM40" i="3"/>
  <c r="AO40" i="3" s="1"/>
  <c r="AN40" i="3"/>
  <c r="AP40" i="3" s="1"/>
  <c r="AC41" i="3"/>
  <c r="AD41" i="3"/>
  <c r="AJ41" i="3" s="1"/>
  <c r="K41" i="4"/>
  <c r="R41" i="3"/>
  <c r="S41" i="3"/>
  <c r="T41" i="3"/>
  <c r="U41" i="3"/>
  <c r="C41" i="4"/>
  <c r="X41" i="4"/>
  <c r="AM39" i="3"/>
  <c r="AO39" i="3" s="1"/>
  <c r="AN39" i="3"/>
  <c r="AP39" i="3" s="1"/>
  <c r="AC40" i="3"/>
  <c r="AD40" i="3"/>
  <c r="AJ40" i="3" s="1"/>
  <c r="K40" i="4"/>
  <c r="R40" i="3"/>
  <c r="S40" i="3"/>
  <c r="T40" i="3"/>
  <c r="U40" i="3"/>
  <c r="C40" i="4"/>
  <c r="X40" i="4"/>
  <c r="V39" i="3"/>
  <c r="N39" i="4"/>
  <c r="W39" i="3"/>
  <c r="P39" i="4"/>
  <c r="AM34" i="3"/>
  <c r="AO34" i="3" s="1"/>
  <c r="AN34" i="3"/>
  <c r="AP34" i="3" s="1"/>
  <c r="AC35" i="3"/>
  <c r="AD35" i="3"/>
  <c r="AJ35" i="3" s="1"/>
  <c r="K35" i="4"/>
  <c r="R35" i="3"/>
  <c r="S35" i="3"/>
  <c r="T35" i="3"/>
  <c r="U35" i="3"/>
  <c r="C35" i="4"/>
  <c r="X35" i="4"/>
  <c r="AM33" i="3"/>
  <c r="AO33" i="3" s="1"/>
  <c r="AN33" i="3"/>
  <c r="AP33" i="3" s="1"/>
  <c r="AC34" i="3"/>
  <c r="AD34" i="3"/>
  <c r="AJ34" i="3" s="1"/>
  <c r="K34" i="4"/>
  <c r="R34" i="3"/>
  <c r="S34" i="3"/>
  <c r="T34" i="3"/>
  <c r="U34" i="3"/>
  <c r="C34" i="4"/>
  <c r="X34" i="4"/>
  <c r="AM32" i="3"/>
  <c r="AO32" i="3" s="1"/>
  <c r="AN32" i="3"/>
  <c r="AP32" i="3" s="1"/>
  <c r="AC33" i="3"/>
  <c r="AD33" i="3"/>
  <c r="AJ33" i="3" s="1"/>
  <c r="AM31" i="3"/>
  <c r="AO31" i="3" s="1"/>
  <c r="AN31" i="3"/>
  <c r="AP31" i="3" s="1"/>
  <c r="AC32" i="3"/>
  <c r="AD32" i="3"/>
  <c r="AJ32" i="3" s="1"/>
  <c r="AM30" i="3"/>
  <c r="AO30" i="3" s="1"/>
  <c r="AN30" i="3"/>
  <c r="AP30" i="3" s="1"/>
  <c r="AC31" i="3"/>
  <c r="AD31" i="3"/>
  <c r="AJ31" i="3" s="1"/>
  <c r="AM29" i="3"/>
  <c r="AO29" i="3" s="1"/>
  <c r="AN29" i="3"/>
  <c r="AP29" i="3" s="1"/>
  <c r="AC30" i="3"/>
  <c r="AD30" i="3"/>
  <c r="AJ30" i="3" s="1"/>
  <c r="AM28" i="3"/>
  <c r="AO28" i="3" s="1"/>
  <c r="AN28" i="3"/>
  <c r="AP28" i="3" s="1"/>
  <c r="AC29" i="3"/>
  <c r="AD29" i="3"/>
  <c r="AJ29" i="3" s="1"/>
  <c r="AM27" i="3"/>
  <c r="AO27" i="3" s="1"/>
  <c r="AN27" i="3"/>
  <c r="AP27" i="3" s="1"/>
  <c r="AC28" i="3"/>
  <c r="AD28" i="3"/>
  <c r="AJ28" i="3" s="1"/>
  <c r="AM26" i="3"/>
  <c r="AO26" i="3" s="1"/>
  <c r="AN26" i="3"/>
  <c r="AP26" i="3" s="1"/>
  <c r="AC27" i="3"/>
  <c r="AD27" i="3"/>
  <c r="AJ27" i="3" s="1"/>
  <c r="AM25" i="3"/>
  <c r="AO25" i="3" s="1"/>
  <c r="AN25" i="3"/>
  <c r="AP25" i="3" s="1"/>
  <c r="AC26" i="3"/>
  <c r="AD26" i="3"/>
  <c r="AJ26" i="3" s="1"/>
  <c r="K26" i="4"/>
  <c r="R26" i="3"/>
  <c r="S26" i="3"/>
  <c r="T26" i="3"/>
  <c r="U26" i="3"/>
  <c r="C26" i="4"/>
  <c r="X26" i="4"/>
  <c r="AM24" i="3"/>
  <c r="AO24" i="3" s="1"/>
  <c r="AN24" i="3"/>
  <c r="AP24" i="3" s="1"/>
  <c r="AC25" i="3"/>
  <c r="AD25" i="3"/>
  <c r="AJ25" i="3" s="1"/>
  <c r="K25" i="4"/>
  <c r="R25" i="3"/>
  <c r="S25" i="3"/>
  <c r="T25" i="3"/>
  <c r="U25" i="3"/>
  <c r="C25" i="4"/>
  <c r="X25" i="4"/>
  <c r="AM23" i="3"/>
  <c r="AO23" i="3" s="1"/>
  <c r="AN23" i="3"/>
  <c r="AP23" i="3" s="1"/>
  <c r="AC24" i="3"/>
  <c r="AD24" i="3"/>
  <c r="AJ24" i="3" s="1"/>
  <c r="AM22" i="3"/>
  <c r="AO22" i="3" s="1"/>
  <c r="AN22" i="3"/>
  <c r="AP22" i="3" s="1"/>
  <c r="AC23" i="3"/>
  <c r="AD23" i="3"/>
  <c r="AJ23" i="3" s="1"/>
  <c r="AM21" i="3"/>
  <c r="AO21" i="3" s="1"/>
  <c r="AN21" i="3"/>
  <c r="AP21" i="3" s="1"/>
  <c r="AC22" i="3"/>
  <c r="AD22" i="3"/>
  <c r="AJ22" i="3" s="1"/>
  <c r="AM20" i="3"/>
  <c r="AO20" i="3" s="1"/>
  <c r="AN20" i="3"/>
  <c r="AP20" i="3" s="1"/>
  <c r="AC21" i="3"/>
  <c r="AD21" i="3"/>
  <c r="AJ21" i="3" s="1"/>
  <c r="AM19" i="3"/>
  <c r="AO19" i="3" s="1"/>
  <c r="AN19" i="3"/>
  <c r="AP19" i="3" s="1"/>
  <c r="AC20" i="3"/>
  <c r="AD20" i="3"/>
  <c r="AJ20" i="3" s="1"/>
  <c r="AM17" i="3"/>
  <c r="AO17" i="3" s="1"/>
  <c r="AN17" i="3"/>
  <c r="AP17" i="3" s="1"/>
  <c r="AC18" i="3"/>
  <c r="AD18" i="3"/>
  <c r="AJ18" i="3" s="1"/>
  <c r="AM15" i="3"/>
  <c r="AO15" i="3" s="1"/>
  <c r="AN15" i="3"/>
  <c r="AP15" i="3" s="1"/>
  <c r="AC16" i="3"/>
  <c r="AD16" i="3"/>
  <c r="AJ16" i="3" s="1"/>
  <c r="AM13" i="3"/>
  <c r="AO13" i="3" s="1"/>
  <c r="AN13" i="3"/>
  <c r="AP13" i="3" s="1"/>
  <c r="AC14" i="3"/>
  <c r="AD14" i="3"/>
  <c r="AJ14" i="3" s="1"/>
  <c r="AM11" i="3"/>
  <c r="AO11" i="3" s="1"/>
  <c r="AN11" i="3"/>
  <c r="AP11" i="3" s="1"/>
  <c r="AC12" i="3"/>
  <c r="AD12" i="3"/>
  <c r="AJ12" i="3" s="1"/>
  <c r="AM9" i="3"/>
  <c r="AO9" i="3" s="1"/>
  <c r="AN9" i="3"/>
  <c r="AP9" i="3" s="1"/>
  <c r="AC10" i="3"/>
  <c r="AD10" i="3"/>
  <c r="AJ10" i="3" s="1"/>
  <c r="K7" i="4"/>
  <c r="R7" i="3"/>
  <c r="S7" i="3"/>
  <c r="T7" i="3"/>
  <c r="U7" i="3"/>
  <c r="C7" i="4"/>
  <c r="X7" i="4"/>
  <c r="AM5" i="3"/>
  <c r="AO5" i="3" s="1"/>
  <c r="AN5" i="3"/>
  <c r="AP5" i="3" s="1"/>
  <c r="AC6" i="3"/>
  <c r="AD6" i="3"/>
  <c r="AJ6" i="3" s="1"/>
  <c r="K5" i="4"/>
  <c r="R5" i="3"/>
  <c r="S5" i="3"/>
  <c r="T5" i="3"/>
  <c r="U5" i="3"/>
  <c r="C5" i="4"/>
  <c r="X5" i="4"/>
  <c r="AD240" i="4"/>
  <c r="Q240" i="4" s="1"/>
  <c r="AC240" i="4"/>
  <c r="O240" i="4" s="1"/>
  <c r="AD239" i="4"/>
  <c r="Q239" i="4" s="1"/>
  <c r="AC239" i="4"/>
  <c r="O239" i="4" s="1"/>
  <c r="AD238" i="4"/>
  <c r="Q238" i="4" s="1"/>
  <c r="AC238" i="4"/>
  <c r="O238" i="4" s="1"/>
  <c r="AD236" i="4"/>
  <c r="Q236" i="4" s="1"/>
  <c r="AC236" i="4"/>
  <c r="O236" i="4" s="1"/>
  <c r="AD234" i="4"/>
  <c r="Q234" i="4" s="1"/>
  <c r="AC234" i="4"/>
  <c r="O234" i="4" s="1"/>
  <c r="AD232" i="4"/>
  <c r="Q232" i="4" s="1"/>
  <c r="AC232" i="4"/>
  <c r="O232" i="4" s="1"/>
  <c r="AD230" i="4"/>
  <c r="Q230" i="4" s="1"/>
  <c r="AC230" i="4"/>
  <c r="O230" i="4" s="1"/>
  <c r="AC215" i="4"/>
  <c r="O215" i="4" s="1"/>
  <c r="AD215" i="4"/>
  <c r="Q215" i="4" s="1"/>
  <c r="AC214" i="4"/>
  <c r="O214" i="4" s="1"/>
  <c r="AD214" i="4"/>
  <c r="Q214" i="4" s="1"/>
  <c r="AC197" i="3"/>
  <c r="AD197" i="3"/>
  <c r="AJ197" i="3" s="1"/>
  <c r="AC187" i="3"/>
  <c r="AD187" i="3"/>
  <c r="AJ187" i="3" s="1"/>
  <c r="AD201" i="4"/>
  <c r="Q201" i="4" s="1"/>
  <c r="AC201" i="4"/>
  <c r="O201" i="4" s="1"/>
  <c r="AD155" i="4"/>
  <c r="Q155" i="4" s="1"/>
  <c r="AC155" i="4"/>
  <c r="O155" i="4" s="1"/>
  <c r="AC224" i="4"/>
  <c r="O224" i="4" s="1"/>
  <c r="AD224" i="4"/>
  <c r="Q224" i="4" s="1"/>
  <c r="AC223" i="4"/>
  <c r="O223" i="4" s="1"/>
  <c r="AD223" i="4"/>
  <c r="Q223" i="4" s="1"/>
  <c r="AD222" i="4"/>
  <c r="Q222" i="4" s="1"/>
  <c r="AC222" i="4"/>
  <c r="O222" i="4" s="1"/>
  <c r="AD221" i="4"/>
  <c r="Q221" i="4" s="1"/>
  <c r="AC221" i="4"/>
  <c r="O221" i="4" s="1"/>
  <c r="AD220" i="4"/>
  <c r="Q220" i="4" s="1"/>
  <c r="AC220" i="4"/>
  <c r="O220" i="4" s="1"/>
  <c r="AC219" i="4"/>
  <c r="O219" i="4" s="1"/>
  <c r="AD219" i="4"/>
  <c r="Q219" i="4" s="1"/>
  <c r="AC218" i="4"/>
  <c r="O218" i="4" s="1"/>
  <c r="AD218" i="4"/>
  <c r="Q218" i="4" s="1"/>
  <c r="AC217" i="4"/>
  <c r="O217" i="4" s="1"/>
  <c r="AD217" i="4"/>
  <c r="Q217" i="4" s="1"/>
  <c r="AC216" i="4"/>
  <c r="O216" i="4" s="1"/>
  <c r="AD216" i="4"/>
  <c r="Q216" i="4" s="1"/>
  <c r="AC185" i="3"/>
  <c r="AD185" i="3"/>
  <c r="AJ185" i="3" s="1"/>
  <c r="AN184" i="3"/>
  <c r="AP184" i="3" s="1"/>
  <c r="AM184" i="3"/>
  <c r="AO184" i="3" s="1"/>
  <c r="AC181" i="3"/>
  <c r="AD181" i="3"/>
  <c r="AJ181" i="3" s="1"/>
  <c r="AN180" i="3"/>
  <c r="AP180" i="3" s="1"/>
  <c r="AM180" i="3"/>
  <c r="AO180" i="3" s="1"/>
  <c r="AC151" i="4"/>
  <c r="O151" i="4" s="1"/>
  <c r="AD151" i="4"/>
  <c r="Q151" i="4" s="1"/>
  <c r="AC146" i="4"/>
  <c r="O146" i="4" s="1"/>
  <c r="AD146" i="4"/>
  <c r="Q146" i="4" s="1"/>
  <c r="AD144" i="4"/>
  <c r="Q144" i="4" s="1"/>
  <c r="AC144" i="4"/>
  <c r="O144" i="4" s="1"/>
  <c r="AM85" i="3"/>
  <c r="AO85" i="3" s="1"/>
  <c r="AN85" i="3"/>
  <c r="AP85" i="3" s="1"/>
  <c r="Q212" i="3"/>
  <c r="P212" i="3"/>
  <c r="AC205" i="4"/>
  <c r="O205" i="4" s="1"/>
  <c r="AD205" i="4"/>
  <c r="Q205" i="4" s="1"/>
  <c r="AD210" i="4"/>
  <c r="Q210" i="4" s="1"/>
  <c r="AC210" i="4"/>
  <c r="O210" i="4" s="1"/>
  <c r="AC209" i="4"/>
  <c r="O209" i="4" s="1"/>
  <c r="AD209" i="4"/>
  <c r="Q209" i="4" s="1"/>
  <c r="AC208" i="4"/>
  <c r="O208" i="4" s="1"/>
  <c r="AD208" i="4"/>
  <c r="Q208" i="4" s="1"/>
  <c r="AC207" i="4"/>
  <c r="O207" i="4" s="1"/>
  <c r="AD207" i="4"/>
  <c r="Q207" i="4" s="1"/>
  <c r="AD206" i="4"/>
  <c r="Q206" i="4" s="1"/>
  <c r="AC206" i="4"/>
  <c r="O206" i="4" s="1"/>
  <c r="AC204" i="4"/>
  <c r="O204" i="4" s="1"/>
  <c r="AD204" i="4"/>
  <c r="Q204" i="4" s="1"/>
  <c r="AD203" i="4"/>
  <c r="Q203" i="4" s="1"/>
  <c r="AC203" i="4"/>
  <c r="O203" i="4" s="1"/>
  <c r="AD202" i="4"/>
  <c r="Q202" i="4" s="1"/>
  <c r="AC202" i="4"/>
  <c r="O202" i="4" s="1"/>
  <c r="AC150" i="4"/>
  <c r="O150" i="4" s="1"/>
  <c r="AD150" i="4"/>
  <c r="Q150" i="4" s="1"/>
  <c r="AC148" i="4"/>
  <c r="O148" i="4" s="1"/>
  <c r="AD148" i="4"/>
  <c r="Q148" i="4" s="1"/>
  <c r="AC145" i="4"/>
  <c r="O145" i="4" s="1"/>
  <c r="AD145" i="4"/>
  <c r="Q145" i="4" s="1"/>
  <c r="AC143" i="4"/>
  <c r="O143" i="4" s="1"/>
  <c r="AD143" i="4"/>
  <c r="Q143" i="4" s="1"/>
  <c r="AD173" i="4"/>
  <c r="Q173" i="4" s="1"/>
  <c r="AC173" i="4"/>
  <c r="O173" i="4" s="1"/>
  <c r="AD172" i="4"/>
  <c r="Q172" i="4" s="1"/>
  <c r="AC172" i="4"/>
  <c r="O172" i="4" s="1"/>
  <c r="AD171" i="4"/>
  <c r="Q171" i="4" s="1"/>
  <c r="AC171" i="4"/>
  <c r="O171" i="4" s="1"/>
  <c r="AD170" i="4"/>
  <c r="Q170" i="4" s="1"/>
  <c r="AC170" i="4"/>
  <c r="O170" i="4" s="1"/>
  <c r="AD167" i="4"/>
  <c r="Q167" i="4" s="1"/>
  <c r="AC167" i="4"/>
  <c r="O167" i="4" s="1"/>
  <c r="AD166" i="4"/>
  <c r="Q166" i="4" s="1"/>
  <c r="AC166" i="4"/>
  <c r="O166" i="4" s="1"/>
  <c r="AD165" i="4"/>
  <c r="Q165" i="4" s="1"/>
  <c r="AC165" i="4"/>
  <c r="O165" i="4" s="1"/>
  <c r="AD164" i="4"/>
  <c r="Q164" i="4" s="1"/>
  <c r="AC164" i="4"/>
  <c r="O164" i="4" s="1"/>
  <c r="AD163" i="4"/>
  <c r="Q163" i="4" s="1"/>
  <c r="AC163" i="4"/>
  <c r="O163" i="4" s="1"/>
  <c r="AD162" i="4"/>
  <c r="Q162" i="4" s="1"/>
  <c r="AC162" i="4"/>
  <c r="O162" i="4" s="1"/>
  <c r="AD161" i="4"/>
  <c r="Q161" i="4" s="1"/>
  <c r="AC161" i="4"/>
  <c r="O161" i="4" s="1"/>
  <c r="AD160" i="4"/>
  <c r="Q160" i="4" s="1"/>
  <c r="AC160" i="4"/>
  <c r="O160" i="4" s="1"/>
  <c r="AD159" i="4"/>
  <c r="Q159" i="4" s="1"/>
  <c r="AC159" i="4"/>
  <c r="O159" i="4" s="1"/>
  <c r="AD158" i="4"/>
  <c r="Q158" i="4" s="1"/>
  <c r="AC158" i="4"/>
  <c r="O158" i="4" s="1"/>
  <c r="AD157" i="4"/>
  <c r="Q157" i="4" s="1"/>
  <c r="AC157" i="4"/>
  <c r="O157" i="4" s="1"/>
  <c r="AD156" i="4"/>
  <c r="Q156" i="4" s="1"/>
  <c r="AC156" i="4"/>
  <c r="O156" i="4" s="1"/>
  <c r="AC140" i="4"/>
  <c r="O140" i="4" s="1"/>
  <c r="AD140" i="4"/>
  <c r="Q140" i="4" s="1"/>
  <c r="AC139" i="4"/>
  <c r="O139" i="4" s="1"/>
  <c r="AD139" i="4"/>
  <c r="Q139" i="4" s="1"/>
  <c r="AD138" i="4"/>
  <c r="Q138" i="4" s="1"/>
  <c r="AC138" i="4"/>
  <c r="O138" i="4" s="1"/>
  <c r="AD19" i="4"/>
  <c r="Q19" i="4" s="1"/>
  <c r="AC19" i="4"/>
  <c r="O19" i="4" s="1"/>
  <c r="AD195" i="4"/>
  <c r="Q195" i="4" s="1"/>
  <c r="AC195" i="4"/>
  <c r="O195" i="4" s="1"/>
  <c r="AD193" i="4"/>
  <c r="Q193" i="4" s="1"/>
  <c r="AC193" i="4"/>
  <c r="O193" i="4" s="1"/>
  <c r="AD112" i="4"/>
  <c r="Q112" i="4" s="1"/>
  <c r="AC112" i="4"/>
  <c r="O112" i="4" s="1"/>
  <c r="AD112" i="3"/>
  <c r="AJ112" i="3" s="1"/>
  <c r="AC112" i="3"/>
  <c r="AM111" i="3"/>
  <c r="AO111" i="3" s="1"/>
  <c r="AN111" i="3"/>
  <c r="AP111" i="3" s="1"/>
  <c r="AC109" i="3"/>
  <c r="AD109" i="3"/>
  <c r="AJ109" i="3" s="1"/>
  <c r="AM90" i="3"/>
  <c r="AO90" i="3" s="1"/>
  <c r="AN90" i="3"/>
  <c r="AP90" i="3" s="1"/>
  <c r="AC91" i="3"/>
  <c r="AD91" i="3"/>
  <c r="AJ91" i="3" s="1"/>
  <c r="AM79" i="3"/>
  <c r="AO79" i="3" s="1"/>
  <c r="AN79" i="3"/>
  <c r="AP79" i="3" s="1"/>
  <c r="AN38" i="3"/>
  <c r="AP38" i="3" s="1"/>
  <c r="AM38" i="3"/>
  <c r="AO38" i="3" s="1"/>
  <c r="AN37" i="3"/>
  <c r="AP37" i="3" s="1"/>
  <c r="AM37" i="3"/>
  <c r="AO37" i="3" s="1"/>
  <c r="AD67" i="4"/>
  <c r="Q67" i="4" s="1"/>
  <c r="AC67" i="4"/>
  <c r="O67" i="4" s="1"/>
  <c r="AD28" i="4"/>
  <c r="Q28" i="4" s="1"/>
  <c r="AC28" i="4"/>
  <c r="O28" i="4" s="1"/>
  <c r="AD20" i="4"/>
  <c r="Q20" i="4" s="1"/>
  <c r="AC20" i="4"/>
  <c r="O20" i="4" s="1"/>
  <c r="AD119" i="4"/>
  <c r="Q119" i="4" s="1"/>
  <c r="AC119" i="4"/>
  <c r="O119" i="4" s="1"/>
  <c r="AD115" i="4"/>
  <c r="Q115" i="4" s="1"/>
  <c r="AC115" i="4"/>
  <c r="O115" i="4" s="1"/>
  <c r="AD78" i="4"/>
  <c r="Q78" i="4" s="1"/>
  <c r="AC78" i="4"/>
  <c r="O78" i="4" s="1"/>
  <c r="P71" i="3"/>
  <c r="Q71" i="3"/>
  <c r="AD70" i="4"/>
  <c r="Q70" i="4" s="1"/>
  <c r="AC70" i="4"/>
  <c r="O70" i="4" s="1"/>
  <c r="AD31" i="4"/>
  <c r="Q31" i="4" s="1"/>
  <c r="AC31" i="4"/>
  <c r="O31" i="4" s="1"/>
  <c r="AD30" i="4"/>
  <c r="Q30" i="4" s="1"/>
  <c r="AC30" i="4"/>
  <c r="O30" i="4" s="1"/>
  <c r="AD18" i="4"/>
  <c r="Q18" i="4" s="1"/>
  <c r="AC18" i="4"/>
  <c r="O18" i="4" s="1"/>
  <c r="AD34" i="4"/>
  <c r="Q34" i="4" s="1"/>
  <c r="AC34" i="4"/>
  <c r="O34" i="4" s="1"/>
  <c r="AD32" i="4"/>
  <c r="Q32" i="4" s="1"/>
  <c r="AC32" i="4"/>
  <c r="O32" i="4" s="1"/>
  <c r="AD29" i="4"/>
  <c r="Q29" i="4" s="1"/>
  <c r="AC29" i="4"/>
  <c r="O29" i="4" s="1"/>
  <c r="AD17" i="4"/>
  <c r="Q17" i="4" s="1"/>
  <c r="AC17" i="4"/>
  <c r="O17" i="4" s="1"/>
  <c r="AD16" i="4"/>
  <c r="Q16" i="4" s="1"/>
  <c r="AC16" i="4"/>
  <c r="O16" i="4" s="1"/>
  <c r="AD15" i="4"/>
  <c r="Q15" i="4" s="1"/>
  <c r="AC15" i="4"/>
  <c r="O15" i="4" s="1"/>
  <c r="AD14" i="4"/>
  <c r="Q14" i="4" s="1"/>
  <c r="AC14" i="4"/>
  <c r="O14" i="4" s="1"/>
  <c r="AD13" i="4"/>
  <c r="Q13" i="4" s="1"/>
  <c r="AC13" i="4"/>
  <c r="O13" i="4" s="1"/>
  <c r="AD12" i="4"/>
  <c r="Q12" i="4" s="1"/>
  <c r="AC12" i="4"/>
  <c r="O12" i="4" s="1"/>
  <c r="AD11" i="4"/>
  <c r="Q11" i="4" s="1"/>
  <c r="AC11" i="4"/>
  <c r="O11" i="4" s="1"/>
  <c r="AD197" i="4"/>
  <c r="Q197" i="4" s="1"/>
  <c r="AC197" i="4"/>
  <c r="O197" i="4" s="1"/>
  <c r="AD120" i="4"/>
  <c r="Q120" i="4" s="1"/>
  <c r="AC120" i="4"/>
  <c r="O120" i="4" s="1"/>
  <c r="AD116" i="4"/>
  <c r="Q116" i="4" s="1"/>
  <c r="AC116" i="4"/>
  <c r="O116" i="4" s="1"/>
  <c r="AD107" i="4"/>
  <c r="Q107" i="4" s="1"/>
  <c r="AC107" i="4"/>
  <c r="O107" i="4" s="1"/>
  <c r="AD75" i="4"/>
  <c r="Q75" i="4" s="1"/>
  <c r="AC75" i="4"/>
  <c r="O75" i="4" s="1"/>
  <c r="AD25" i="4"/>
  <c r="Q25" i="4" s="1"/>
  <c r="AC25" i="4"/>
  <c r="O25" i="4" s="1"/>
  <c r="AD24" i="4"/>
  <c r="Q24" i="4" s="1"/>
  <c r="AC24" i="4"/>
  <c r="O24" i="4" s="1"/>
  <c r="AD23" i="4"/>
  <c r="Q23" i="4" s="1"/>
  <c r="AC23" i="4"/>
  <c r="O23" i="4" s="1"/>
  <c r="AD22" i="4"/>
  <c r="Q22" i="4" s="1"/>
  <c r="AC22" i="4"/>
  <c r="O22" i="4" s="1"/>
  <c r="AD21" i="4"/>
  <c r="Q21" i="4" s="1"/>
  <c r="AC21" i="4"/>
  <c r="O21" i="4" s="1"/>
  <c r="AD114" i="4"/>
  <c r="Q114" i="4" s="1"/>
  <c r="AC114" i="4"/>
  <c r="O114" i="4" s="1"/>
  <c r="AD77" i="4"/>
  <c r="Q77" i="4" s="1"/>
  <c r="AC77" i="4"/>
  <c r="O77" i="4" s="1"/>
  <c r="Q111" i="3"/>
  <c r="P111" i="3"/>
  <c r="Q99" i="3"/>
  <c r="P99" i="3"/>
  <c r="Q98" i="3"/>
  <c r="P98" i="3"/>
  <c r="G98" i="3"/>
  <c r="F98" i="3"/>
  <c r="P85" i="3"/>
  <c r="Q85" i="3"/>
  <c r="AD183" i="4"/>
  <c r="Q183" i="4" s="1"/>
  <c r="AC183" i="4"/>
  <c r="O183" i="4" s="1"/>
  <c r="AD181" i="4"/>
  <c r="Q181" i="4" s="1"/>
  <c r="AC181" i="4"/>
  <c r="O181" i="4" s="1"/>
  <c r="AD191" i="4"/>
  <c r="Q191" i="4" s="1"/>
  <c r="AC191" i="4"/>
  <c r="O191" i="4" s="1"/>
  <c r="AD118" i="4"/>
  <c r="Q118" i="4" s="1"/>
  <c r="AC118" i="4"/>
  <c r="O118" i="4" s="1"/>
  <c r="AD117" i="4"/>
  <c r="Q117" i="4" s="1"/>
  <c r="AC117" i="4"/>
  <c r="O117" i="4" s="1"/>
  <c r="Q95" i="3"/>
  <c r="P95" i="3"/>
  <c r="AD7" i="4"/>
  <c r="Q7" i="4" s="1"/>
  <c r="AC7" i="4"/>
  <c r="O7" i="4" s="1"/>
  <c r="AD5" i="4"/>
  <c r="Q5" i="4" s="1"/>
  <c r="AC5" i="4"/>
  <c r="O5" i="4" s="1"/>
  <c r="AD4" i="4"/>
  <c r="Q4" i="4" s="1"/>
  <c r="AC4" i="4"/>
  <c r="O4" i="4" s="1"/>
  <c r="AD3" i="4"/>
  <c r="Q3" i="4" s="1"/>
  <c r="AC3" i="4"/>
  <c r="O3" i="4" s="1"/>
  <c r="AD2" i="4"/>
  <c r="Q2" i="4" s="1"/>
  <c r="AC2" i="4"/>
  <c r="O2" i="4" s="1"/>
  <c r="P242" i="3"/>
  <c r="Q242" i="3"/>
  <c r="P241" i="3"/>
  <c r="Q241" i="3"/>
  <c r="P240" i="3"/>
  <c r="Q240" i="3"/>
  <c r="P239" i="3"/>
  <c r="Q239" i="3"/>
  <c r="P238" i="3"/>
  <c r="Q238" i="3"/>
  <c r="P237" i="3"/>
  <c r="Q237" i="3"/>
  <c r="P236" i="3"/>
  <c r="Q236" i="3"/>
  <c r="P235" i="3"/>
  <c r="Q235" i="3"/>
  <c r="P234" i="3"/>
  <c r="Q234" i="3"/>
  <c r="P233" i="3"/>
  <c r="Q233" i="3"/>
  <c r="P232" i="3"/>
  <c r="Q232" i="3"/>
  <c r="P231" i="3"/>
  <c r="Q231" i="3"/>
  <c r="P230" i="3"/>
  <c r="Q230" i="3"/>
  <c r="P229" i="3"/>
  <c r="Q229" i="3"/>
  <c r="P228" i="3"/>
  <c r="Q228" i="3"/>
  <c r="P227" i="3"/>
  <c r="Q227" i="3"/>
  <c r="P226" i="3"/>
  <c r="Q226" i="3"/>
  <c r="F226" i="3"/>
  <c r="G226" i="3"/>
  <c r="P225" i="3"/>
  <c r="Q225" i="3"/>
  <c r="F225" i="3"/>
  <c r="G225" i="3"/>
  <c r="P224" i="3"/>
  <c r="Q224" i="3"/>
  <c r="P223" i="3"/>
  <c r="Q223" i="3"/>
  <c r="P222" i="3"/>
  <c r="Q222" i="3"/>
  <c r="P221" i="3"/>
  <c r="Q221" i="3"/>
  <c r="P220" i="3"/>
  <c r="Q220" i="3"/>
  <c r="P219" i="3"/>
  <c r="Q219" i="3"/>
  <c r="P218" i="3"/>
  <c r="Q218" i="3"/>
  <c r="P217" i="3"/>
  <c r="Q217" i="3"/>
  <c r="P216" i="3"/>
  <c r="Q216" i="3"/>
  <c r="P215" i="3"/>
  <c r="Q215" i="3"/>
  <c r="F215" i="3"/>
  <c r="G215" i="3"/>
  <c r="P214" i="3"/>
  <c r="Q214" i="3"/>
  <c r="F214" i="3"/>
  <c r="G214" i="3"/>
  <c r="P213" i="3"/>
  <c r="Q213" i="3"/>
  <c r="F213" i="3"/>
  <c r="G213" i="3"/>
  <c r="Q199" i="3"/>
  <c r="P199" i="3"/>
  <c r="F199" i="3"/>
  <c r="G199" i="3"/>
  <c r="Q194" i="3"/>
  <c r="P194" i="3"/>
  <c r="G194" i="3"/>
  <c r="F194" i="3"/>
  <c r="P192" i="3"/>
  <c r="Q192" i="3"/>
  <c r="P190" i="3"/>
  <c r="Q190" i="3"/>
  <c r="F190" i="3"/>
  <c r="G190" i="3"/>
  <c r="Q188" i="3"/>
  <c r="P188" i="3"/>
  <c r="Q187" i="3"/>
  <c r="P187" i="3"/>
  <c r="Q186" i="3"/>
  <c r="P186" i="3"/>
  <c r="P180" i="3"/>
  <c r="Q180" i="3"/>
  <c r="P211" i="3"/>
  <c r="Q211" i="3"/>
  <c r="P210" i="3"/>
  <c r="Q210" i="3"/>
  <c r="P209" i="3"/>
  <c r="Q209" i="3"/>
  <c r="P208" i="3"/>
  <c r="Q208" i="3"/>
  <c r="P207" i="3"/>
  <c r="Q207" i="3"/>
  <c r="P206" i="3"/>
  <c r="Q206" i="3"/>
  <c r="P205" i="3"/>
  <c r="Q205" i="3"/>
  <c r="F205" i="3"/>
  <c r="G205" i="3"/>
  <c r="P204" i="3"/>
  <c r="Q204" i="3"/>
  <c r="F204" i="3"/>
  <c r="G204" i="3"/>
  <c r="P203" i="3"/>
  <c r="Q203" i="3"/>
  <c r="F203" i="3"/>
  <c r="G203" i="3"/>
  <c r="Q189" i="3"/>
  <c r="P189" i="3"/>
  <c r="G189" i="3"/>
  <c r="F189" i="3"/>
  <c r="G188" i="3"/>
  <c r="F188" i="3"/>
  <c r="F187" i="3"/>
  <c r="G187" i="3"/>
  <c r="G186" i="3"/>
  <c r="F186" i="3"/>
  <c r="Q184" i="3"/>
  <c r="P184" i="3"/>
  <c r="P182" i="3"/>
  <c r="Q182" i="3"/>
  <c r="Q181" i="3"/>
  <c r="P181" i="3"/>
  <c r="F181" i="3"/>
  <c r="G181" i="3"/>
  <c r="Q152" i="3"/>
  <c r="P152" i="3"/>
  <c r="Q147" i="3"/>
  <c r="P147" i="3"/>
  <c r="Q145" i="3"/>
  <c r="P145" i="3"/>
  <c r="P91" i="3"/>
  <c r="Q91" i="3"/>
  <c r="Q86" i="3"/>
  <c r="P86" i="3"/>
  <c r="Q74" i="3"/>
  <c r="P74" i="3"/>
  <c r="Q73" i="3"/>
  <c r="P73" i="3"/>
  <c r="P37" i="3"/>
  <c r="Q37" i="3"/>
  <c r="P176" i="3"/>
  <c r="Q176" i="3"/>
  <c r="P202" i="3"/>
  <c r="Q202" i="3"/>
  <c r="F202" i="3"/>
  <c r="G202" i="3"/>
  <c r="Q201" i="3"/>
  <c r="P201" i="3"/>
  <c r="G201" i="3"/>
  <c r="F201" i="3"/>
  <c r="P196" i="3"/>
  <c r="Q196" i="3"/>
  <c r="G196" i="3"/>
  <c r="F196" i="3"/>
  <c r="G195" i="3"/>
  <c r="F195" i="3"/>
  <c r="G192" i="3"/>
  <c r="F192" i="3"/>
  <c r="P175" i="3"/>
  <c r="Q175" i="3"/>
  <c r="P174" i="3"/>
  <c r="Q174" i="3"/>
  <c r="P173" i="3"/>
  <c r="Q173" i="3"/>
  <c r="P172" i="3"/>
  <c r="Q172" i="3"/>
  <c r="P171" i="3"/>
  <c r="Q171" i="3"/>
  <c r="F171" i="3"/>
  <c r="G171" i="3"/>
  <c r="P170" i="3"/>
  <c r="Q170" i="3"/>
  <c r="F170" i="3"/>
  <c r="G170" i="3"/>
  <c r="P169" i="3"/>
  <c r="Q169" i="3"/>
  <c r="F169" i="3"/>
  <c r="G169" i="3"/>
  <c r="P168" i="3"/>
  <c r="Q168" i="3"/>
  <c r="P167" i="3"/>
  <c r="Q167" i="3"/>
  <c r="P166" i="3"/>
  <c r="Q166" i="3"/>
  <c r="P165" i="3"/>
  <c r="Q165" i="3"/>
  <c r="P164" i="3"/>
  <c r="Q164" i="3"/>
  <c r="P163" i="3"/>
  <c r="Q163" i="3"/>
  <c r="P162" i="3"/>
  <c r="Q162" i="3"/>
  <c r="P161" i="3"/>
  <c r="Q161" i="3"/>
  <c r="P160" i="3"/>
  <c r="Q160" i="3"/>
  <c r="P159" i="3"/>
  <c r="Q159" i="3"/>
  <c r="P158" i="3"/>
  <c r="Q158" i="3"/>
  <c r="P157" i="3"/>
  <c r="Q157" i="3"/>
  <c r="F157" i="3"/>
  <c r="G157" i="3"/>
  <c r="P156" i="3"/>
  <c r="Q156" i="3"/>
  <c r="F156" i="3"/>
  <c r="G156" i="3"/>
  <c r="P155" i="3"/>
  <c r="Q155" i="3"/>
  <c r="F155" i="3"/>
  <c r="G155" i="3"/>
  <c r="P154" i="3"/>
  <c r="Q154" i="3"/>
  <c r="F154" i="3"/>
  <c r="G154" i="3"/>
  <c r="Q143" i="3"/>
  <c r="P143" i="3"/>
  <c r="P106" i="3"/>
  <c r="Q106" i="3"/>
  <c r="P105" i="3"/>
  <c r="Q105" i="3"/>
  <c r="P104" i="3"/>
  <c r="Q104" i="3"/>
  <c r="P103" i="3"/>
  <c r="Q103" i="3"/>
  <c r="P102" i="3"/>
  <c r="Q102" i="3"/>
  <c r="P101" i="3"/>
  <c r="Q101" i="3"/>
  <c r="P70" i="3"/>
  <c r="Q70" i="3"/>
  <c r="P69" i="3"/>
  <c r="Q69" i="3"/>
  <c r="P68" i="3"/>
  <c r="Q68" i="3"/>
  <c r="P67" i="3"/>
  <c r="Q67" i="3"/>
  <c r="P66" i="3"/>
  <c r="Q66" i="3"/>
  <c r="P65" i="3"/>
  <c r="Q65" i="3"/>
  <c r="P20" i="3"/>
  <c r="Q20" i="3"/>
  <c r="P81" i="3"/>
  <c r="Q81" i="3"/>
  <c r="P141" i="3"/>
  <c r="Q141" i="3"/>
  <c r="P140" i="3"/>
  <c r="Q140" i="3"/>
  <c r="P139" i="3"/>
  <c r="Q139" i="3"/>
  <c r="P138" i="3"/>
  <c r="Q138" i="3"/>
  <c r="P137" i="3"/>
  <c r="Q137" i="3"/>
  <c r="P136" i="3"/>
  <c r="Q136" i="3"/>
  <c r="P135" i="3"/>
  <c r="Q135" i="3"/>
  <c r="P134" i="3"/>
  <c r="Q134" i="3"/>
  <c r="P133" i="3"/>
  <c r="Q133" i="3"/>
  <c r="P132" i="3"/>
  <c r="Q132" i="3"/>
  <c r="P131" i="3"/>
  <c r="Q131" i="3"/>
  <c r="P130" i="3"/>
  <c r="Q130" i="3"/>
  <c r="P129" i="3"/>
  <c r="Q129" i="3"/>
  <c r="P128" i="3"/>
  <c r="Q128" i="3"/>
  <c r="P127" i="3"/>
  <c r="Q127" i="3"/>
  <c r="P126" i="3"/>
  <c r="Q126" i="3"/>
  <c r="P125" i="3"/>
  <c r="Q125" i="3"/>
  <c r="P124" i="3"/>
  <c r="Q124" i="3"/>
  <c r="P123" i="3"/>
  <c r="Q123" i="3"/>
  <c r="P122" i="3"/>
  <c r="Q122" i="3"/>
  <c r="P121" i="3"/>
  <c r="Q121" i="3"/>
  <c r="P120" i="3"/>
  <c r="Q120" i="3"/>
  <c r="P119" i="3"/>
  <c r="Q119" i="3"/>
  <c r="P118" i="3"/>
  <c r="Q118" i="3"/>
  <c r="P117" i="3"/>
  <c r="Q117" i="3"/>
  <c r="P116" i="3"/>
  <c r="Q116" i="3"/>
  <c r="P115" i="3"/>
  <c r="Q115" i="3"/>
  <c r="P114" i="3"/>
  <c r="Q114" i="3"/>
  <c r="P113" i="3"/>
  <c r="Q113" i="3"/>
  <c r="P18" i="3"/>
  <c r="Q18" i="3"/>
  <c r="F18" i="3"/>
  <c r="G18" i="3"/>
  <c r="P16" i="3"/>
  <c r="Q16" i="3"/>
  <c r="P14" i="3"/>
  <c r="Q14" i="3"/>
  <c r="P12" i="3"/>
  <c r="Q12" i="3"/>
  <c r="F12" i="3"/>
  <c r="G12" i="3"/>
  <c r="P10" i="3"/>
  <c r="Q10" i="3"/>
  <c r="F10" i="3"/>
  <c r="G10" i="3"/>
  <c r="P8" i="3"/>
  <c r="Q8" i="3"/>
  <c r="F8" i="3"/>
  <c r="G8" i="3"/>
  <c r="P6" i="3"/>
  <c r="Q6" i="3"/>
  <c r="F6" i="3"/>
  <c r="G6" i="3"/>
  <c r="P4" i="3"/>
  <c r="Q4" i="3"/>
  <c r="F4" i="3"/>
  <c r="G4" i="3"/>
  <c r="P2" i="3"/>
  <c r="Q2" i="3"/>
  <c r="F2" i="3"/>
  <c r="G2" i="3"/>
  <c r="AJ2" i="3" s="1"/>
  <c r="P64" i="3"/>
  <c r="Q64" i="3"/>
  <c r="F64" i="3"/>
  <c r="G64" i="3"/>
  <c r="P63" i="3"/>
  <c r="Q63" i="3"/>
  <c r="F63" i="3"/>
  <c r="G63" i="3"/>
  <c r="P62" i="3"/>
  <c r="Q62" i="3"/>
  <c r="F62" i="3"/>
  <c r="G62" i="3"/>
  <c r="P61" i="3"/>
  <c r="Q61" i="3"/>
  <c r="F61" i="3"/>
  <c r="G61" i="3"/>
  <c r="P60" i="3"/>
  <c r="Q60" i="3"/>
  <c r="F60" i="3"/>
  <c r="G60" i="3"/>
  <c r="P59" i="3"/>
  <c r="Q59" i="3"/>
  <c r="F59" i="3"/>
  <c r="G59" i="3"/>
  <c r="P58" i="3"/>
  <c r="Q58" i="3"/>
  <c r="F58" i="3"/>
  <c r="G58" i="3"/>
  <c r="P57" i="3"/>
  <c r="Q57" i="3"/>
  <c r="F57" i="3"/>
  <c r="G57" i="3"/>
  <c r="P56" i="3"/>
  <c r="Q56" i="3"/>
  <c r="F56" i="3"/>
  <c r="G56" i="3"/>
  <c r="P55" i="3"/>
  <c r="Q55" i="3"/>
  <c r="F55" i="3"/>
  <c r="G55" i="3"/>
  <c r="P54" i="3"/>
  <c r="Q54" i="3"/>
  <c r="F54" i="3"/>
  <c r="G54" i="3"/>
  <c r="P53" i="3"/>
  <c r="Q53" i="3"/>
  <c r="F53" i="3"/>
  <c r="G53" i="3"/>
  <c r="P52" i="3"/>
  <c r="Q52" i="3"/>
  <c r="F52" i="3"/>
  <c r="G52" i="3"/>
  <c r="P51" i="3"/>
  <c r="Q51" i="3"/>
  <c r="P50" i="3"/>
  <c r="Q50" i="3"/>
  <c r="P49" i="3"/>
  <c r="Q49" i="3"/>
  <c r="P48" i="3"/>
  <c r="Q48" i="3"/>
  <c r="P47" i="3"/>
  <c r="Q47" i="3"/>
  <c r="P46" i="3"/>
  <c r="Q46" i="3"/>
  <c r="P45" i="3"/>
  <c r="Q45" i="3"/>
  <c r="P44" i="3"/>
  <c r="Q44" i="3"/>
  <c r="P43" i="3"/>
  <c r="Q43" i="3"/>
  <c r="P42" i="3"/>
  <c r="Q42" i="3"/>
  <c r="P41" i="3"/>
  <c r="Q41" i="3"/>
  <c r="P40" i="3"/>
  <c r="Q40" i="3"/>
  <c r="P35" i="3"/>
  <c r="Q35" i="3"/>
  <c r="P34" i="3"/>
  <c r="Q34" i="3"/>
  <c r="P33" i="3"/>
  <c r="Q33" i="3"/>
  <c r="F33" i="3"/>
  <c r="G33" i="3"/>
  <c r="P32" i="3"/>
  <c r="Q32" i="3"/>
  <c r="F32" i="3"/>
  <c r="G32" i="3"/>
  <c r="P31" i="3"/>
  <c r="Q31" i="3"/>
  <c r="F31" i="3"/>
  <c r="G31" i="3"/>
  <c r="P30" i="3"/>
  <c r="Q30" i="3"/>
  <c r="F30" i="3"/>
  <c r="G30" i="3"/>
  <c r="P29" i="3"/>
  <c r="Q29" i="3"/>
  <c r="F29" i="3"/>
  <c r="G29" i="3"/>
  <c r="P28" i="3"/>
  <c r="Q28" i="3"/>
  <c r="F28" i="3"/>
  <c r="G28" i="3"/>
  <c r="P27" i="3"/>
  <c r="Q27" i="3"/>
  <c r="F27" i="3"/>
  <c r="G27" i="3"/>
  <c r="P26" i="3"/>
  <c r="Q26" i="3"/>
  <c r="P25" i="3"/>
  <c r="Q25" i="3"/>
  <c r="P24" i="3"/>
  <c r="Q24" i="3"/>
  <c r="F24" i="3"/>
  <c r="G24" i="3"/>
  <c r="P23" i="3"/>
  <c r="Q23" i="3"/>
  <c r="F23" i="3"/>
  <c r="G23" i="3"/>
  <c r="P22" i="3"/>
  <c r="Q22" i="3"/>
  <c r="F22" i="3"/>
  <c r="G22" i="3"/>
  <c r="P21" i="3"/>
  <c r="Q21" i="3"/>
  <c r="F21" i="3"/>
  <c r="G21" i="3"/>
  <c r="P19" i="3"/>
  <c r="Q19" i="3"/>
  <c r="F19" i="3"/>
  <c r="G19" i="3"/>
  <c r="P17" i="3"/>
  <c r="Q17" i="3"/>
  <c r="F17" i="3"/>
  <c r="G17" i="3"/>
  <c r="P15" i="3"/>
  <c r="Q15" i="3"/>
  <c r="F15" i="3"/>
  <c r="G15" i="3"/>
  <c r="P13" i="3"/>
  <c r="Q13" i="3"/>
  <c r="F13" i="3"/>
  <c r="G13" i="3"/>
  <c r="P11" i="3"/>
  <c r="Q11" i="3"/>
  <c r="F11" i="3"/>
  <c r="G11" i="3"/>
  <c r="P9" i="3"/>
  <c r="Q9" i="3"/>
  <c r="F9" i="3"/>
  <c r="G9" i="3"/>
  <c r="P7" i="3"/>
  <c r="Q7" i="3"/>
  <c r="P5" i="3"/>
  <c r="Q5" i="3"/>
  <c r="P3" i="3"/>
  <c r="Q3" i="3"/>
  <c r="AD237" i="4"/>
  <c r="Q237" i="4" s="1"/>
  <c r="AC237" i="4"/>
  <c r="O237" i="4" s="1"/>
  <c r="AD235" i="4"/>
  <c r="Q235" i="4" s="1"/>
  <c r="AC235" i="4"/>
  <c r="O235" i="4" s="1"/>
  <c r="AC233" i="4"/>
  <c r="O233" i="4" s="1"/>
  <c r="AD233" i="4"/>
  <c r="Q233" i="4" s="1"/>
  <c r="AD231" i="4"/>
  <c r="Q231" i="4" s="1"/>
  <c r="AC231" i="4"/>
  <c r="O231" i="4" s="1"/>
  <c r="AC229" i="4"/>
  <c r="O229" i="4" s="1"/>
  <c r="AD229" i="4"/>
  <c r="Q229" i="4" s="1"/>
  <c r="AC228" i="4"/>
  <c r="O228" i="4" s="1"/>
  <c r="AD228" i="4"/>
  <c r="Q228" i="4" s="1"/>
  <c r="AD227" i="4"/>
  <c r="Q227" i="4" s="1"/>
  <c r="AC227" i="4"/>
  <c r="O227" i="4" s="1"/>
  <c r="AD198" i="3"/>
  <c r="AJ198" i="3" s="1"/>
  <c r="AC198" i="3"/>
  <c r="AJ86" i="3"/>
  <c r="AJ99" i="3"/>
  <c r="AI212" i="3" l="1"/>
  <c r="AR212" i="3"/>
  <c r="AS212" i="3"/>
  <c r="K200" i="4"/>
  <c r="S200" i="3"/>
  <c r="U200" i="3"/>
  <c r="R200" i="3"/>
  <c r="T200" i="3"/>
  <c r="C200" i="4"/>
  <c r="X200" i="4"/>
  <c r="K198" i="4"/>
  <c r="T198" i="3"/>
  <c r="X198" i="4"/>
  <c r="C198" i="4"/>
  <c r="U198" i="3"/>
  <c r="S198" i="3"/>
  <c r="R198" i="3"/>
  <c r="K197" i="4"/>
  <c r="R197" i="3"/>
  <c r="U197" i="3"/>
  <c r="S197" i="3"/>
  <c r="T197" i="3"/>
  <c r="C197" i="4"/>
  <c r="X197" i="4"/>
  <c r="K191" i="4"/>
  <c r="U191" i="3"/>
  <c r="S191" i="3"/>
  <c r="R191" i="3"/>
  <c r="X191" i="4"/>
  <c r="C191" i="4"/>
  <c r="T191" i="3"/>
  <c r="K185" i="4"/>
  <c r="U185" i="3"/>
  <c r="R185" i="3"/>
  <c r="X185" i="4"/>
  <c r="C185" i="4"/>
  <c r="T185" i="3"/>
  <c r="S185" i="3"/>
  <c r="K183" i="4"/>
  <c r="T183" i="3"/>
  <c r="R183" i="3"/>
  <c r="X183" i="4"/>
  <c r="C183" i="4"/>
  <c r="U183" i="3"/>
  <c r="S183" i="3"/>
  <c r="K179" i="4"/>
  <c r="T179" i="3"/>
  <c r="R179" i="3"/>
  <c r="X179" i="4"/>
  <c r="C179" i="4"/>
  <c r="U179" i="3"/>
  <c r="S179" i="3"/>
  <c r="K178" i="4"/>
  <c r="U178" i="3"/>
  <c r="T178" i="3"/>
  <c r="S178" i="3"/>
  <c r="X178" i="4"/>
  <c r="C178" i="4"/>
  <c r="R178" i="3"/>
  <c r="K177" i="4"/>
  <c r="R177" i="3"/>
  <c r="T177" i="3"/>
  <c r="C177" i="4"/>
  <c r="X177" i="4"/>
  <c r="S177" i="3"/>
  <c r="U177" i="3"/>
  <c r="K151" i="4"/>
  <c r="S151" i="3"/>
  <c r="C151" i="4"/>
  <c r="X151" i="4"/>
  <c r="T151" i="3"/>
  <c r="R151" i="3"/>
  <c r="U151" i="3"/>
  <c r="K149" i="4"/>
  <c r="T149" i="3"/>
  <c r="X149" i="4"/>
  <c r="C149" i="4"/>
  <c r="U149" i="3"/>
  <c r="R149" i="3"/>
  <c r="S149" i="3"/>
  <c r="K146" i="4"/>
  <c r="T146" i="3"/>
  <c r="C146" i="4"/>
  <c r="S146" i="3"/>
  <c r="U146" i="3"/>
  <c r="X146" i="4"/>
  <c r="R146" i="3"/>
  <c r="K144" i="4"/>
  <c r="T144" i="3"/>
  <c r="S144" i="3"/>
  <c r="C144" i="4"/>
  <c r="X144" i="4"/>
  <c r="R144" i="3"/>
  <c r="U144" i="3"/>
  <c r="K142" i="4"/>
  <c r="T142" i="3"/>
  <c r="C142" i="4"/>
  <c r="U142" i="3"/>
  <c r="S142" i="3"/>
  <c r="X142" i="4"/>
  <c r="R142" i="3"/>
  <c r="K107" i="4"/>
  <c r="S107" i="3"/>
  <c r="U107" i="3"/>
  <c r="R107" i="3"/>
  <c r="X107" i="4"/>
  <c r="C107" i="4"/>
  <c r="T107" i="3"/>
  <c r="R97" i="3"/>
  <c r="X97" i="4"/>
  <c r="C97" i="4"/>
  <c r="U97" i="3"/>
  <c r="T97" i="3"/>
  <c r="S97" i="3"/>
  <c r="K97" i="4"/>
  <c r="K92" i="4"/>
  <c r="T92" i="3"/>
  <c r="R92" i="3"/>
  <c r="U92" i="3"/>
  <c r="S92" i="3"/>
  <c r="C92" i="4"/>
  <c r="X92" i="4"/>
  <c r="K82" i="4"/>
  <c r="S82" i="3"/>
  <c r="U82" i="3"/>
  <c r="T82" i="3"/>
  <c r="R82" i="3"/>
  <c r="C82" i="4"/>
  <c r="X82" i="4"/>
  <c r="K150" i="4"/>
  <c r="U150" i="3"/>
  <c r="X150" i="4"/>
  <c r="C150" i="4"/>
  <c r="S150" i="3"/>
  <c r="T150" i="3"/>
  <c r="R150" i="3"/>
  <c r="K112" i="4"/>
  <c r="U112" i="3"/>
  <c r="R112" i="3"/>
  <c r="X112" i="4"/>
  <c r="C112" i="4"/>
  <c r="S112" i="3"/>
  <c r="T112" i="3"/>
  <c r="K96" i="4"/>
  <c r="S96" i="3"/>
  <c r="U96" i="3"/>
  <c r="R96" i="3"/>
  <c r="T96" i="3"/>
  <c r="C96" i="4"/>
  <c r="X96" i="4"/>
  <c r="K94" i="4"/>
  <c r="R94" i="3"/>
  <c r="U94" i="3"/>
  <c r="S94" i="3"/>
  <c r="T94" i="3"/>
  <c r="C94" i="4"/>
  <c r="X94" i="4"/>
  <c r="K84" i="4"/>
  <c r="C84" i="4"/>
  <c r="X84" i="4"/>
  <c r="R84" i="3"/>
  <c r="S84" i="3"/>
  <c r="U84" i="3"/>
  <c r="T84" i="3"/>
  <c r="K80" i="4"/>
  <c r="R80" i="3"/>
  <c r="U80" i="3"/>
  <c r="C80" i="4"/>
  <c r="X80" i="4"/>
  <c r="S80" i="3"/>
  <c r="T80" i="3"/>
  <c r="K78" i="4"/>
  <c r="C78" i="4"/>
  <c r="X78" i="4"/>
  <c r="R78" i="3"/>
  <c r="T78" i="3"/>
  <c r="S78" i="3"/>
  <c r="U78" i="3"/>
  <c r="K75" i="4"/>
  <c r="X75" i="4"/>
  <c r="C75" i="4"/>
  <c r="U75" i="3"/>
  <c r="S75" i="3"/>
  <c r="T75" i="3"/>
  <c r="R75" i="3"/>
  <c r="K38" i="4"/>
  <c r="S38" i="3"/>
  <c r="R38" i="3"/>
  <c r="T38" i="3"/>
  <c r="U38" i="3"/>
  <c r="C38" i="4"/>
  <c r="X38" i="4"/>
  <c r="K100" i="4"/>
  <c r="U100" i="3"/>
  <c r="T100" i="3"/>
  <c r="S100" i="3"/>
  <c r="R100" i="3"/>
  <c r="X100" i="4"/>
  <c r="C100" i="4"/>
  <c r="K87" i="4"/>
  <c r="X87" i="4"/>
  <c r="C87" i="4"/>
  <c r="T87" i="3"/>
  <c r="R87" i="3"/>
  <c r="S87" i="3"/>
  <c r="U87" i="3"/>
  <c r="K72" i="4"/>
  <c r="T72" i="3"/>
  <c r="S72" i="3"/>
  <c r="X72" i="4"/>
  <c r="C72" i="4"/>
  <c r="U72" i="3"/>
  <c r="R72" i="3"/>
  <c r="AS106" i="3"/>
  <c r="AR106" i="3"/>
  <c r="AI106" i="3"/>
  <c r="AS71" i="3"/>
  <c r="AI71" i="3"/>
  <c r="AR71" i="3"/>
  <c r="K39" i="4"/>
  <c r="R39" i="3"/>
  <c r="C39" i="4"/>
  <c r="X39" i="4"/>
  <c r="S39" i="3"/>
  <c r="T39" i="3"/>
  <c r="U39" i="3"/>
  <c r="AS95" i="3"/>
  <c r="AI95" i="3"/>
  <c r="AR95" i="3"/>
  <c r="AR143" i="3"/>
  <c r="AS143" i="3"/>
  <c r="AI143" i="3"/>
  <c r="AI242" i="3"/>
  <c r="AR242" i="3"/>
  <c r="AS242" i="3"/>
  <c r="AI241" i="3"/>
  <c r="AR241" i="3"/>
  <c r="AS241" i="3"/>
  <c r="AI240" i="3"/>
  <c r="AR240" i="3"/>
  <c r="AS240" i="3"/>
  <c r="AI239" i="3"/>
  <c r="AR239" i="3"/>
  <c r="AS239" i="3"/>
  <c r="AI238" i="3"/>
  <c r="AR238" i="3"/>
  <c r="AS238" i="3"/>
  <c r="AI237" i="3"/>
  <c r="AR237" i="3"/>
  <c r="AS237" i="3"/>
  <c r="AI236" i="3"/>
  <c r="AR236" i="3"/>
  <c r="AS236" i="3"/>
  <c r="AI235" i="3"/>
  <c r="AR235" i="3"/>
  <c r="AS235" i="3"/>
  <c r="AI234" i="3"/>
  <c r="AR234" i="3"/>
  <c r="AS234" i="3"/>
  <c r="AI233" i="3"/>
  <c r="AR233" i="3"/>
  <c r="AS233" i="3"/>
  <c r="AI232" i="3"/>
  <c r="AR232" i="3"/>
  <c r="AS232" i="3"/>
  <c r="AI231" i="3"/>
  <c r="AR231" i="3"/>
  <c r="AS231" i="3"/>
  <c r="AI230" i="3"/>
  <c r="AR230" i="3"/>
  <c r="AS230" i="3"/>
  <c r="AI229" i="3"/>
  <c r="AR229" i="3"/>
  <c r="AS229" i="3"/>
  <c r="AI228" i="3"/>
  <c r="AR228" i="3"/>
  <c r="AS228" i="3"/>
  <c r="AI227" i="3"/>
  <c r="AR227" i="3"/>
  <c r="AS227" i="3"/>
  <c r="AI226" i="3"/>
  <c r="AR226" i="3"/>
  <c r="AS226" i="3"/>
  <c r="AI225" i="3"/>
  <c r="AR225" i="3"/>
  <c r="AS225" i="3"/>
  <c r="AI224" i="3"/>
  <c r="AR224" i="3"/>
  <c r="AS224" i="3"/>
  <c r="AI223" i="3"/>
  <c r="AR223" i="3"/>
  <c r="AS223" i="3"/>
  <c r="AI222" i="3"/>
  <c r="AR222" i="3"/>
  <c r="AS222" i="3"/>
  <c r="AI221" i="3"/>
  <c r="AR221" i="3"/>
  <c r="AS221" i="3"/>
  <c r="AI220" i="3"/>
  <c r="AR220" i="3"/>
  <c r="AS220" i="3"/>
  <c r="AI219" i="3"/>
  <c r="AR219" i="3"/>
  <c r="AS219" i="3"/>
  <c r="AI218" i="3"/>
  <c r="AR218" i="3"/>
  <c r="AS218" i="3"/>
  <c r="AI217" i="3"/>
  <c r="AR217" i="3"/>
  <c r="AS217" i="3"/>
  <c r="AI216" i="3"/>
  <c r="AR216" i="3"/>
  <c r="AS216" i="3"/>
  <c r="AI215" i="3"/>
  <c r="AR215" i="3"/>
  <c r="AS215" i="3"/>
  <c r="AI214" i="3"/>
  <c r="AR214" i="3"/>
  <c r="AS214" i="3"/>
  <c r="AI213" i="3"/>
  <c r="AR213" i="3"/>
  <c r="AS213" i="3"/>
  <c r="AI199" i="3"/>
  <c r="AS199" i="3"/>
  <c r="AR199" i="3"/>
  <c r="AI196" i="3"/>
  <c r="AR196" i="3"/>
  <c r="AS196" i="3"/>
  <c r="AS195" i="3"/>
  <c r="AI195" i="3"/>
  <c r="AR195" i="3"/>
  <c r="AS194" i="3"/>
  <c r="AI194" i="3"/>
  <c r="AR194" i="3"/>
  <c r="AI192" i="3"/>
  <c r="AR192" i="3"/>
  <c r="AS192" i="3"/>
  <c r="AS190" i="3"/>
  <c r="AI190" i="3"/>
  <c r="AR190" i="3"/>
  <c r="AI189" i="3"/>
  <c r="AR189" i="3"/>
  <c r="AS189" i="3"/>
  <c r="AI186" i="3"/>
  <c r="AR186" i="3"/>
  <c r="AS186" i="3"/>
  <c r="AI182" i="3"/>
  <c r="AR182" i="3"/>
  <c r="AS182" i="3"/>
  <c r="AI179" i="3"/>
  <c r="AS179" i="3"/>
  <c r="AR179" i="3"/>
  <c r="AI211" i="3"/>
  <c r="AR211" i="3"/>
  <c r="AS211" i="3"/>
  <c r="AI210" i="3"/>
  <c r="AR210" i="3"/>
  <c r="AS210" i="3"/>
  <c r="AI209" i="3"/>
  <c r="AR209" i="3"/>
  <c r="AS209" i="3"/>
  <c r="AI208" i="3"/>
  <c r="AR208" i="3"/>
  <c r="AS208" i="3"/>
  <c r="AI207" i="3"/>
  <c r="AR207" i="3"/>
  <c r="AS207" i="3"/>
  <c r="AI206" i="3"/>
  <c r="AR206" i="3"/>
  <c r="AS206" i="3"/>
  <c r="AI205" i="3"/>
  <c r="AR205" i="3"/>
  <c r="AS205" i="3"/>
  <c r="AI204" i="3"/>
  <c r="AR204" i="3"/>
  <c r="AS204" i="3"/>
  <c r="AI203" i="3"/>
  <c r="AR203" i="3"/>
  <c r="AS203" i="3"/>
  <c r="AI202" i="3"/>
  <c r="AR202" i="3"/>
  <c r="AS202" i="3"/>
  <c r="AI201" i="3"/>
  <c r="AR201" i="3"/>
  <c r="AS201" i="3"/>
  <c r="AI200" i="3"/>
  <c r="AR200" i="3"/>
  <c r="AS200" i="3"/>
  <c r="AI193" i="3"/>
  <c r="AR193" i="3"/>
  <c r="AS193" i="3"/>
  <c r="AI191" i="3"/>
  <c r="AS191" i="3"/>
  <c r="AR191" i="3"/>
  <c r="AI188" i="3"/>
  <c r="AR188" i="3"/>
  <c r="AS188" i="3"/>
  <c r="AI184" i="3"/>
  <c r="AS184" i="3"/>
  <c r="AR184" i="3"/>
  <c r="AI183" i="3"/>
  <c r="AR183" i="3"/>
  <c r="AS183" i="3"/>
  <c r="AI180" i="3"/>
  <c r="AS180" i="3"/>
  <c r="AR180" i="3"/>
  <c r="AR178" i="3"/>
  <c r="AS178" i="3"/>
  <c r="AI178" i="3"/>
  <c r="AI177" i="3"/>
  <c r="AR177" i="3"/>
  <c r="AS177" i="3"/>
  <c r="AI152" i="3"/>
  <c r="AS152" i="3"/>
  <c r="AR152" i="3"/>
  <c r="AR150" i="3"/>
  <c r="AI150" i="3"/>
  <c r="AS150" i="3"/>
  <c r="AI148" i="3"/>
  <c r="AS148" i="3"/>
  <c r="AR148" i="3"/>
  <c r="AI144" i="3"/>
  <c r="AR144" i="3"/>
  <c r="AS144" i="3"/>
  <c r="AI110" i="3"/>
  <c r="AR110" i="3"/>
  <c r="AS110" i="3"/>
  <c r="AS94" i="3"/>
  <c r="AR94" i="3"/>
  <c r="AI94" i="3"/>
  <c r="AI93" i="3"/>
  <c r="AS93" i="3"/>
  <c r="AR93" i="3"/>
  <c r="AR90" i="3"/>
  <c r="AS90" i="3"/>
  <c r="AI90" i="3"/>
  <c r="W88" i="3"/>
  <c r="P88" i="4"/>
  <c r="V88" i="3"/>
  <c r="N88" i="4"/>
  <c r="K88" i="4"/>
  <c r="R88" i="3"/>
  <c r="T88" i="3"/>
  <c r="C88" i="4"/>
  <c r="X88" i="4"/>
  <c r="S88" i="3"/>
  <c r="U88" i="3"/>
  <c r="AS78" i="3"/>
  <c r="AI78" i="3"/>
  <c r="AR78" i="3"/>
  <c r="AI76" i="3"/>
  <c r="AS76" i="3"/>
  <c r="AR76" i="3"/>
  <c r="AS74" i="3"/>
  <c r="AI74" i="3"/>
  <c r="AR74" i="3"/>
  <c r="AI176" i="3"/>
  <c r="AR176" i="3"/>
  <c r="AS176" i="3"/>
  <c r="AI175" i="3"/>
  <c r="AR175" i="3"/>
  <c r="AS175" i="3"/>
  <c r="AI174" i="3"/>
  <c r="AR174" i="3"/>
  <c r="AS174" i="3"/>
  <c r="AI173" i="3"/>
  <c r="AR173" i="3"/>
  <c r="AS173" i="3"/>
  <c r="AI172" i="3"/>
  <c r="AR172" i="3"/>
  <c r="AS172" i="3"/>
  <c r="AI171" i="3"/>
  <c r="AR171" i="3"/>
  <c r="AS171" i="3"/>
  <c r="AI170" i="3"/>
  <c r="AR170" i="3"/>
  <c r="AS170" i="3"/>
  <c r="AI169" i="3"/>
  <c r="AR169" i="3"/>
  <c r="AS169" i="3"/>
  <c r="AI168" i="3"/>
  <c r="AR168" i="3"/>
  <c r="AS168" i="3"/>
  <c r="AI167" i="3"/>
  <c r="AR167" i="3"/>
  <c r="AS167" i="3"/>
  <c r="AI166" i="3"/>
  <c r="AR166" i="3"/>
  <c r="AS166" i="3"/>
  <c r="AI165" i="3"/>
  <c r="AR165" i="3"/>
  <c r="AS165" i="3"/>
  <c r="AI164" i="3"/>
  <c r="AR164" i="3"/>
  <c r="AS164" i="3"/>
  <c r="AI163" i="3"/>
  <c r="AR163" i="3"/>
  <c r="AS163" i="3"/>
  <c r="AI162" i="3"/>
  <c r="AR162" i="3"/>
  <c r="AS162" i="3"/>
  <c r="AI161" i="3"/>
  <c r="AR161" i="3"/>
  <c r="AS161" i="3"/>
  <c r="AI160" i="3"/>
  <c r="AR160" i="3"/>
  <c r="AS160" i="3"/>
  <c r="AI159" i="3"/>
  <c r="AR159" i="3"/>
  <c r="AS159" i="3"/>
  <c r="AI158" i="3"/>
  <c r="AR158" i="3"/>
  <c r="AS158" i="3"/>
  <c r="AI157" i="3"/>
  <c r="AR157" i="3"/>
  <c r="AS157" i="3"/>
  <c r="AI156" i="3"/>
  <c r="AR156" i="3"/>
  <c r="AS156" i="3"/>
  <c r="AI155" i="3"/>
  <c r="AR155" i="3"/>
  <c r="AS155" i="3"/>
  <c r="AI154" i="3"/>
  <c r="AR154" i="3"/>
  <c r="AS154" i="3"/>
  <c r="AI153" i="3"/>
  <c r="AR153" i="3"/>
  <c r="AS153" i="3"/>
  <c r="AR146" i="3"/>
  <c r="AI146" i="3"/>
  <c r="AS146" i="3"/>
  <c r="AI145" i="3"/>
  <c r="AR145" i="3"/>
  <c r="AS145" i="3"/>
  <c r="AS142" i="3"/>
  <c r="AI142" i="3"/>
  <c r="AR142" i="3"/>
  <c r="AI84" i="3"/>
  <c r="AR84" i="3"/>
  <c r="AS84" i="3"/>
  <c r="AI79" i="3"/>
  <c r="AR79" i="3"/>
  <c r="AS79" i="3"/>
  <c r="AI77" i="3"/>
  <c r="AR77" i="3"/>
  <c r="AS77" i="3"/>
  <c r="AI36" i="3"/>
  <c r="AR36" i="3"/>
  <c r="AS36" i="3"/>
  <c r="AI104" i="3"/>
  <c r="AR104" i="3"/>
  <c r="AS104" i="3"/>
  <c r="AI103" i="3"/>
  <c r="AR103" i="3"/>
  <c r="AS103" i="3"/>
  <c r="AI102" i="3"/>
  <c r="AR102" i="3"/>
  <c r="AS102" i="3"/>
  <c r="AI101" i="3"/>
  <c r="AR101" i="3"/>
  <c r="AS101" i="3"/>
  <c r="AI100" i="3"/>
  <c r="AR100" i="3"/>
  <c r="AS100" i="3"/>
  <c r="AI69" i="3"/>
  <c r="AR69" i="3"/>
  <c r="AS69" i="3"/>
  <c r="AI68" i="3"/>
  <c r="AR68" i="3"/>
  <c r="AS68" i="3"/>
  <c r="AI67" i="3"/>
  <c r="AR67" i="3"/>
  <c r="AS67" i="3"/>
  <c r="AI66" i="3"/>
  <c r="AR66" i="3"/>
  <c r="AS66" i="3"/>
  <c r="AI65" i="3"/>
  <c r="AR65" i="3"/>
  <c r="AS65" i="3"/>
  <c r="AI64" i="3"/>
  <c r="AR64" i="3"/>
  <c r="AS64" i="3"/>
  <c r="AI19" i="3"/>
  <c r="AR19" i="3"/>
  <c r="AS19" i="3"/>
  <c r="AI8" i="3"/>
  <c r="AR8" i="3"/>
  <c r="AS8" i="3"/>
  <c r="AI5" i="3"/>
  <c r="AR5" i="3"/>
  <c r="AS5" i="3"/>
  <c r="AI4" i="3"/>
  <c r="AR4" i="3"/>
  <c r="AS4" i="3"/>
  <c r="AI108" i="3"/>
  <c r="AR108" i="3"/>
  <c r="AS108" i="3"/>
  <c r="AI96" i="3"/>
  <c r="AR96" i="3"/>
  <c r="AS96" i="3"/>
  <c r="N93" i="4"/>
  <c r="V93" i="3"/>
  <c r="P93" i="4"/>
  <c r="W93" i="3"/>
  <c r="K93" i="4"/>
  <c r="T93" i="3"/>
  <c r="C93" i="4"/>
  <c r="X93" i="4"/>
  <c r="S93" i="3"/>
  <c r="R93" i="3"/>
  <c r="U93" i="3"/>
  <c r="V83" i="3"/>
  <c r="N83" i="4"/>
  <c r="P83" i="4"/>
  <c r="W83" i="3"/>
  <c r="K83" i="4"/>
  <c r="S83" i="3"/>
  <c r="U83" i="3"/>
  <c r="C83" i="4"/>
  <c r="X83" i="4"/>
  <c r="R83" i="3"/>
  <c r="T83" i="3"/>
  <c r="AI75" i="3"/>
  <c r="AR75" i="3"/>
  <c r="AS75" i="3"/>
  <c r="AR37" i="3"/>
  <c r="AS37" i="3"/>
  <c r="AI37" i="3"/>
  <c r="AS141" i="3"/>
  <c r="AR141" i="3"/>
  <c r="AI141" i="3"/>
  <c r="AI140" i="3"/>
  <c r="AR140" i="3"/>
  <c r="AS140" i="3"/>
  <c r="AI139" i="3"/>
  <c r="AR139" i="3"/>
  <c r="AS139" i="3"/>
  <c r="AI138" i="3"/>
  <c r="AR138" i="3"/>
  <c r="AS138" i="3"/>
  <c r="AI137" i="3"/>
  <c r="AR137" i="3"/>
  <c r="AS137" i="3"/>
  <c r="AI136" i="3"/>
  <c r="AR136" i="3"/>
  <c r="AS136" i="3"/>
  <c r="AI135" i="3"/>
  <c r="AR135" i="3"/>
  <c r="AS135" i="3"/>
  <c r="AI134" i="3"/>
  <c r="AR134" i="3"/>
  <c r="AS134" i="3"/>
  <c r="AI133" i="3"/>
  <c r="AR133" i="3"/>
  <c r="AS133" i="3"/>
  <c r="AI132" i="3"/>
  <c r="AR132" i="3"/>
  <c r="AS132" i="3"/>
  <c r="AI131" i="3"/>
  <c r="AR131" i="3"/>
  <c r="AS131" i="3"/>
  <c r="AI130" i="3"/>
  <c r="AR130" i="3"/>
  <c r="AS130" i="3"/>
  <c r="AI129" i="3"/>
  <c r="AR129" i="3"/>
  <c r="AS129" i="3"/>
  <c r="AI128" i="3"/>
  <c r="AR128" i="3"/>
  <c r="AS128" i="3"/>
  <c r="AI127" i="3"/>
  <c r="AR127" i="3"/>
  <c r="AS127" i="3"/>
  <c r="AI126" i="3"/>
  <c r="AR126" i="3"/>
  <c r="AS126" i="3"/>
  <c r="AI125" i="3"/>
  <c r="AR125" i="3"/>
  <c r="AS125" i="3"/>
  <c r="AI124" i="3"/>
  <c r="AR124" i="3"/>
  <c r="AS124" i="3"/>
  <c r="AI123" i="3"/>
  <c r="AR123" i="3"/>
  <c r="AS123" i="3"/>
  <c r="AI122" i="3"/>
  <c r="B9" i="1" s="1"/>
  <c r="AR122" i="3"/>
  <c r="AS122" i="3"/>
  <c r="B8" i="1"/>
  <c r="AJ122" i="3"/>
  <c r="B10" i="1"/>
  <c r="AI121" i="3"/>
  <c r="AR121" i="3"/>
  <c r="AS121" i="3"/>
  <c r="AI120" i="3"/>
  <c r="AR120" i="3"/>
  <c r="AS120" i="3"/>
  <c r="AI119" i="3"/>
  <c r="AR119" i="3"/>
  <c r="AS119" i="3"/>
  <c r="AI118" i="3"/>
  <c r="AR118" i="3"/>
  <c r="AS118" i="3"/>
  <c r="AI117" i="3"/>
  <c r="AR117" i="3"/>
  <c r="AS117" i="3"/>
  <c r="AI116" i="3"/>
  <c r="AR116" i="3"/>
  <c r="AS116" i="3"/>
  <c r="AI115" i="3"/>
  <c r="AR115" i="3"/>
  <c r="AS115" i="3"/>
  <c r="AI114" i="3"/>
  <c r="AR114" i="3"/>
  <c r="AS114" i="3"/>
  <c r="AI113" i="3"/>
  <c r="AR113" i="3"/>
  <c r="AS113" i="3"/>
  <c r="AS111" i="3"/>
  <c r="AR111" i="3"/>
  <c r="AI111" i="3"/>
  <c r="AI98" i="3"/>
  <c r="AR98" i="3"/>
  <c r="AS98" i="3"/>
  <c r="AI92" i="3"/>
  <c r="AS92" i="3"/>
  <c r="AR92" i="3"/>
  <c r="AI89" i="3"/>
  <c r="AS89" i="3"/>
  <c r="AR89" i="3"/>
  <c r="AR85" i="3"/>
  <c r="AS85" i="3"/>
  <c r="AI85" i="3"/>
  <c r="AI82" i="3"/>
  <c r="AR82" i="3"/>
  <c r="AS82" i="3"/>
  <c r="AS81" i="3"/>
  <c r="AI81" i="3"/>
  <c r="AR81" i="3"/>
  <c r="AI73" i="3"/>
  <c r="AS73" i="3"/>
  <c r="AR73" i="3"/>
  <c r="AI105" i="3"/>
  <c r="AR105" i="3"/>
  <c r="AS105" i="3"/>
  <c r="AI70" i="3"/>
  <c r="AR70" i="3"/>
  <c r="AS70" i="3"/>
  <c r="AI17" i="3"/>
  <c r="AR17" i="3"/>
  <c r="AS17" i="3"/>
  <c r="AI15" i="3"/>
  <c r="AR15" i="3"/>
  <c r="AS15" i="3"/>
  <c r="AI13" i="3"/>
  <c r="AR13" i="3"/>
  <c r="AS13" i="3"/>
  <c r="AI11" i="3"/>
  <c r="AR11" i="3"/>
  <c r="AS11" i="3"/>
  <c r="AI9" i="3"/>
  <c r="AR9" i="3"/>
  <c r="AS9" i="3"/>
  <c r="AI7" i="3"/>
  <c r="AR7" i="3"/>
  <c r="AS7" i="3"/>
  <c r="AI3" i="3"/>
  <c r="AR3" i="3"/>
  <c r="AS3" i="3"/>
  <c r="AR147" i="3"/>
  <c r="AI147" i="3"/>
  <c r="AS147" i="3"/>
  <c r="AI72" i="3"/>
  <c r="AR72" i="3"/>
  <c r="AS72" i="3"/>
  <c r="AI63" i="3"/>
  <c r="AR63" i="3"/>
  <c r="AS63" i="3"/>
  <c r="AI62" i="3"/>
  <c r="AR62" i="3"/>
  <c r="AS62" i="3"/>
  <c r="AI61" i="3"/>
  <c r="AR61" i="3"/>
  <c r="AS61" i="3"/>
  <c r="AI60" i="3"/>
  <c r="AR60" i="3"/>
  <c r="AS60" i="3"/>
  <c r="AI59" i="3"/>
  <c r="AR59" i="3"/>
  <c r="AS59" i="3"/>
  <c r="AI58" i="3"/>
  <c r="AR58" i="3"/>
  <c r="AS58" i="3"/>
  <c r="AI57" i="3"/>
  <c r="AR57" i="3"/>
  <c r="AS57" i="3"/>
  <c r="AI56" i="3"/>
  <c r="AR56" i="3"/>
  <c r="AS56" i="3"/>
  <c r="AI55" i="3"/>
  <c r="AR55" i="3"/>
  <c r="AS55" i="3"/>
  <c r="AI54" i="3"/>
  <c r="AR54" i="3"/>
  <c r="AS54" i="3"/>
  <c r="AI53" i="3"/>
  <c r="AR53" i="3"/>
  <c r="AS53" i="3"/>
  <c r="AI52" i="3"/>
  <c r="AR52" i="3"/>
  <c r="AS52" i="3"/>
  <c r="AI51" i="3"/>
  <c r="AR51" i="3"/>
  <c r="AS51" i="3"/>
  <c r="AI50" i="3"/>
  <c r="AR50" i="3"/>
  <c r="AS50" i="3"/>
  <c r="AI49" i="3"/>
  <c r="AR49" i="3"/>
  <c r="AS49" i="3"/>
  <c r="AI48" i="3"/>
  <c r="AR48" i="3"/>
  <c r="AS48" i="3"/>
  <c r="AI47" i="3"/>
  <c r="AR47" i="3"/>
  <c r="AS47" i="3"/>
  <c r="AI46" i="3"/>
  <c r="AR46" i="3"/>
  <c r="AS46" i="3"/>
  <c r="AI45" i="3"/>
  <c r="AR45" i="3"/>
  <c r="AS45" i="3"/>
  <c r="AI44" i="3"/>
  <c r="AR44" i="3"/>
  <c r="AS44" i="3"/>
  <c r="AI43" i="3"/>
  <c r="AR43" i="3"/>
  <c r="AS43" i="3"/>
  <c r="AI42" i="3"/>
  <c r="AR42" i="3"/>
  <c r="AS42" i="3"/>
  <c r="AI41" i="3"/>
  <c r="AR41" i="3"/>
  <c r="AS41" i="3"/>
  <c r="AI40" i="3"/>
  <c r="AR40" i="3"/>
  <c r="AS40" i="3"/>
  <c r="AI35" i="3"/>
  <c r="AR35" i="3"/>
  <c r="AS35" i="3"/>
  <c r="AI34" i="3"/>
  <c r="AR34" i="3"/>
  <c r="AS34" i="3"/>
  <c r="AI33" i="3"/>
  <c r="AR33" i="3"/>
  <c r="AS33" i="3"/>
  <c r="AI32" i="3"/>
  <c r="AR32" i="3"/>
  <c r="AS32" i="3"/>
  <c r="AI31" i="3"/>
  <c r="AR31" i="3"/>
  <c r="AS31" i="3"/>
  <c r="AI30" i="3"/>
  <c r="AR30" i="3"/>
  <c r="AS30" i="3"/>
  <c r="AI29" i="3"/>
  <c r="AR29" i="3"/>
  <c r="AS29" i="3"/>
  <c r="AI28" i="3"/>
  <c r="AR28" i="3"/>
  <c r="AS28" i="3"/>
  <c r="AI27" i="3"/>
  <c r="AR27" i="3"/>
  <c r="AS27" i="3"/>
  <c r="AI26" i="3"/>
  <c r="AR26" i="3"/>
  <c r="AS26" i="3"/>
  <c r="AI25" i="3"/>
  <c r="AR25" i="3"/>
  <c r="AS25" i="3"/>
  <c r="AI24" i="3"/>
  <c r="AR24" i="3"/>
  <c r="AS24" i="3"/>
  <c r="AI23" i="3"/>
  <c r="AR23" i="3"/>
  <c r="AS23" i="3"/>
  <c r="AI22" i="3"/>
  <c r="AR22" i="3"/>
  <c r="AS22" i="3"/>
  <c r="AI21" i="3"/>
  <c r="AR21" i="3"/>
  <c r="AS21" i="3"/>
  <c r="AI20" i="3"/>
  <c r="AR20" i="3"/>
  <c r="AS20" i="3"/>
  <c r="AI18" i="3"/>
  <c r="AR18" i="3"/>
  <c r="AS18" i="3"/>
  <c r="AI16" i="3"/>
  <c r="AR16" i="3"/>
  <c r="AS16" i="3"/>
  <c r="AI14" i="3"/>
  <c r="AR14" i="3"/>
  <c r="AS14" i="3"/>
  <c r="AI12" i="3"/>
  <c r="AR12" i="3"/>
  <c r="AS12" i="3"/>
  <c r="AI10" i="3"/>
  <c r="AR10" i="3"/>
  <c r="AS10" i="3"/>
  <c r="AI6" i="3"/>
  <c r="AR6" i="3"/>
  <c r="AS6" i="3"/>
  <c r="AI197" i="3"/>
  <c r="AR197" i="3"/>
  <c r="AS197" i="3"/>
  <c r="AI187" i="3"/>
  <c r="AR187" i="3"/>
  <c r="AS187" i="3"/>
  <c r="AI185" i="3"/>
  <c r="AS185" i="3"/>
  <c r="AR185" i="3"/>
  <c r="AR181" i="3"/>
  <c r="AI181" i="3"/>
  <c r="AS181" i="3"/>
  <c r="W212" i="3"/>
  <c r="P212" i="4"/>
  <c r="V212" i="3"/>
  <c r="N212" i="4"/>
  <c r="AI112" i="3"/>
  <c r="AR112" i="3"/>
  <c r="AS112" i="3"/>
  <c r="AI109" i="3"/>
  <c r="AS109" i="3"/>
  <c r="AR109" i="3"/>
  <c r="AR91" i="3"/>
  <c r="AI91" i="3"/>
  <c r="AS91" i="3"/>
  <c r="N71" i="4"/>
  <c r="V71" i="3"/>
  <c r="W71" i="3"/>
  <c r="P71" i="4"/>
  <c r="W111" i="3"/>
  <c r="P111" i="4"/>
  <c r="V111" i="3"/>
  <c r="N111" i="4"/>
  <c r="P99" i="4"/>
  <c r="W99" i="3"/>
  <c r="V99" i="3"/>
  <c r="N99" i="4"/>
  <c r="P98" i="4"/>
  <c r="W98" i="3"/>
  <c r="N98" i="4"/>
  <c r="V98" i="3"/>
  <c r="K98" i="4"/>
  <c r="U98" i="3"/>
  <c r="X98" i="4"/>
  <c r="C98" i="4"/>
  <c r="S98" i="3"/>
  <c r="T98" i="3"/>
  <c r="R98" i="3"/>
  <c r="V85" i="3"/>
  <c r="N85" i="4"/>
  <c r="W85" i="3"/>
  <c r="P85" i="4"/>
  <c r="W95" i="3"/>
  <c r="P95" i="4"/>
  <c r="V95" i="3"/>
  <c r="N95" i="4"/>
  <c r="V242" i="3"/>
  <c r="N242" i="4"/>
  <c r="W242" i="3"/>
  <c r="P242" i="4"/>
  <c r="V241" i="3"/>
  <c r="N241" i="4"/>
  <c r="W241" i="3"/>
  <c r="P241" i="4"/>
  <c r="V240" i="3"/>
  <c r="N240" i="4"/>
  <c r="W240" i="3"/>
  <c r="P240" i="4"/>
  <c r="V239" i="3"/>
  <c r="N239" i="4"/>
  <c r="W239" i="3"/>
  <c r="P239" i="4"/>
  <c r="V238" i="3"/>
  <c r="N238" i="4"/>
  <c r="W238" i="3"/>
  <c r="P238" i="4"/>
  <c r="V237" i="3"/>
  <c r="N237" i="4"/>
  <c r="W237" i="3"/>
  <c r="P237" i="4"/>
  <c r="V236" i="3"/>
  <c r="N236" i="4"/>
  <c r="W236" i="3"/>
  <c r="P236" i="4"/>
  <c r="V235" i="3"/>
  <c r="N235" i="4"/>
  <c r="W235" i="3"/>
  <c r="P235" i="4"/>
  <c r="V234" i="3"/>
  <c r="N234" i="4"/>
  <c r="W234" i="3"/>
  <c r="P234" i="4"/>
  <c r="V233" i="3"/>
  <c r="N233" i="4"/>
  <c r="W233" i="3"/>
  <c r="P233" i="4"/>
  <c r="V232" i="3"/>
  <c r="N232" i="4"/>
  <c r="W232" i="3"/>
  <c r="P232" i="4"/>
  <c r="V231" i="3"/>
  <c r="N231" i="4"/>
  <c r="W231" i="3"/>
  <c r="P231" i="4"/>
  <c r="V230" i="3"/>
  <c r="N230" i="4"/>
  <c r="W230" i="3"/>
  <c r="P230" i="4"/>
  <c r="V229" i="3"/>
  <c r="N229" i="4"/>
  <c r="W229" i="3"/>
  <c r="P229" i="4"/>
  <c r="V228" i="3"/>
  <c r="N228" i="4"/>
  <c r="W228" i="3"/>
  <c r="P228" i="4"/>
  <c r="V227" i="3"/>
  <c r="N227" i="4"/>
  <c r="W227" i="3"/>
  <c r="P227" i="4"/>
  <c r="V226" i="3"/>
  <c r="N226" i="4"/>
  <c r="W226" i="3"/>
  <c r="P226" i="4"/>
  <c r="K226" i="4"/>
  <c r="R226" i="3"/>
  <c r="S226" i="3"/>
  <c r="T226" i="3"/>
  <c r="U226" i="3"/>
  <c r="C226" i="4"/>
  <c r="X226" i="4"/>
  <c r="V225" i="3"/>
  <c r="N225" i="4"/>
  <c r="W225" i="3"/>
  <c r="P225" i="4"/>
  <c r="K225" i="4"/>
  <c r="R225" i="3"/>
  <c r="S225" i="3"/>
  <c r="T225" i="3"/>
  <c r="U225" i="3"/>
  <c r="C225" i="4"/>
  <c r="X225" i="4"/>
  <c r="V224" i="3"/>
  <c r="N224" i="4"/>
  <c r="W224" i="3"/>
  <c r="P224" i="4"/>
  <c r="V223" i="3"/>
  <c r="N223" i="4"/>
  <c r="W223" i="3"/>
  <c r="P223" i="4"/>
  <c r="V222" i="3"/>
  <c r="N222" i="4"/>
  <c r="W222" i="3"/>
  <c r="P222" i="4"/>
  <c r="V221" i="3"/>
  <c r="N221" i="4"/>
  <c r="W221" i="3"/>
  <c r="P221" i="4"/>
  <c r="V220" i="3"/>
  <c r="N220" i="4"/>
  <c r="W220" i="3"/>
  <c r="P220" i="4"/>
  <c r="V219" i="3"/>
  <c r="N219" i="4"/>
  <c r="W219" i="3"/>
  <c r="P219" i="4"/>
  <c r="V218" i="3"/>
  <c r="N218" i="4"/>
  <c r="W218" i="3"/>
  <c r="P218" i="4"/>
  <c r="V217" i="3"/>
  <c r="N217" i="4"/>
  <c r="W217" i="3"/>
  <c r="P217" i="4"/>
  <c r="V216" i="3"/>
  <c r="N216" i="4"/>
  <c r="W216" i="3"/>
  <c r="P216" i="4"/>
  <c r="V215" i="3"/>
  <c r="N215" i="4"/>
  <c r="W215" i="3"/>
  <c r="P215" i="4"/>
  <c r="K215" i="4"/>
  <c r="R215" i="3"/>
  <c r="S215" i="3"/>
  <c r="T215" i="3"/>
  <c r="U215" i="3"/>
  <c r="C215" i="4"/>
  <c r="X215" i="4"/>
  <c r="V214" i="3"/>
  <c r="N214" i="4"/>
  <c r="W214" i="3"/>
  <c r="P214" i="4"/>
  <c r="K214" i="4"/>
  <c r="R214" i="3"/>
  <c r="S214" i="3"/>
  <c r="T214" i="3"/>
  <c r="U214" i="3"/>
  <c r="X214" i="4"/>
  <c r="C214" i="4"/>
  <c r="V213" i="3"/>
  <c r="N213" i="4"/>
  <c r="W213" i="3"/>
  <c r="P213" i="4"/>
  <c r="K213" i="4"/>
  <c r="R213" i="3"/>
  <c r="S213" i="3"/>
  <c r="T213" i="3"/>
  <c r="U213" i="3"/>
  <c r="C213" i="4"/>
  <c r="X213" i="4"/>
  <c r="W199" i="3"/>
  <c r="P199" i="4"/>
  <c r="V199" i="3"/>
  <c r="N199" i="4"/>
  <c r="K199" i="4"/>
  <c r="S199" i="3"/>
  <c r="U199" i="3"/>
  <c r="C199" i="4"/>
  <c r="X199" i="4"/>
  <c r="R199" i="3"/>
  <c r="T199" i="3"/>
  <c r="W194" i="3"/>
  <c r="P194" i="4"/>
  <c r="V194" i="3"/>
  <c r="N194" i="4"/>
  <c r="K194" i="4"/>
  <c r="S194" i="3"/>
  <c r="U194" i="3"/>
  <c r="R194" i="3"/>
  <c r="T194" i="3"/>
  <c r="C194" i="4"/>
  <c r="X194" i="4"/>
  <c r="V192" i="3"/>
  <c r="N192" i="4"/>
  <c r="P192" i="4"/>
  <c r="W192" i="3"/>
  <c r="V190" i="3"/>
  <c r="N190" i="4"/>
  <c r="W190" i="3"/>
  <c r="P190" i="4"/>
  <c r="K190" i="4"/>
  <c r="R190" i="3"/>
  <c r="S190" i="3"/>
  <c r="T190" i="3"/>
  <c r="U190" i="3"/>
  <c r="C190" i="4"/>
  <c r="X190" i="4"/>
  <c r="W188" i="3"/>
  <c r="P188" i="4"/>
  <c r="V188" i="3"/>
  <c r="N188" i="4"/>
  <c r="W187" i="3"/>
  <c r="P187" i="4"/>
  <c r="V187" i="3"/>
  <c r="N187" i="4"/>
  <c r="P186" i="4"/>
  <c r="W186" i="3"/>
  <c r="V186" i="3"/>
  <c r="N186" i="4"/>
  <c r="V180" i="3"/>
  <c r="N180" i="4"/>
  <c r="W180" i="3"/>
  <c r="P180" i="4"/>
  <c r="V211" i="3"/>
  <c r="N211" i="4"/>
  <c r="W211" i="3"/>
  <c r="P211" i="4"/>
  <c r="V210" i="3"/>
  <c r="N210" i="4"/>
  <c r="W210" i="3"/>
  <c r="P210" i="4"/>
  <c r="V209" i="3"/>
  <c r="N209" i="4"/>
  <c r="W209" i="3"/>
  <c r="P209" i="4"/>
  <c r="V208" i="3"/>
  <c r="N208" i="4"/>
  <c r="W208" i="3"/>
  <c r="P208" i="4"/>
  <c r="V207" i="3"/>
  <c r="N207" i="4"/>
  <c r="W207" i="3"/>
  <c r="P207" i="4"/>
  <c r="V206" i="3"/>
  <c r="N206" i="4"/>
  <c r="W206" i="3"/>
  <c r="P206" i="4"/>
  <c r="V205" i="3"/>
  <c r="N205" i="4"/>
  <c r="W205" i="3"/>
  <c r="P205" i="4"/>
  <c r="K205" i="4"/>
  <c r="R205" i="3"/>
  <c r="S205" i="3"/>
  <c r="T205" i="3"/>
  <c r="U205" i="3"/>
  <c r="C205" i="4"/>
  <c r="X205" i="4"/>
  <c r="V204" i="3"/>
  <c r="N204" i="4"/>
  <c r="W204" i="3"/>
  <c r="P204" i="4"/>
  <c r="K204" i="4"/>
  <c r="R204" i="3"/>
  <c r="S204" i="3"/>
  <c r="T204" i="3"/>
  <c r="U204" i="3"/>
  <c r="X204" i="4"/>
  <c r="C204" i="4"/>
  <c r="V203" i="3"/>
  <c r="N203" i="4"/>
  <c r="W203" i="3"/>
  <c r="P203" i="4"/>
  <c r="K203" i="4"/>
  <c r="R203" i="3"/>
  <c r="S203" i="3"/>
  <c r="T203" i="3"/>
  <c r="U203" i="3"/>
  <c r="C203" i="4"/>
  <c r="X203" i="4"/>
  <c r="W189" i="3"/>
  <c r="P189" i="4"/>
  <c r="V189" i="3"/>
  <c r="N189" i="4"/>
  <c r="K189" i="4"/>
  <c r="R189" i="3"/>
  <c r="U189" i="3"/>
  <c r="C189" i="4"/>
  <c r="X189" i="4"/>
  <c r="S189" i="3"/>
  <c r="T189" i="3"/>
  <c r="K188" i="4"/>
  <c r="R188" i="3"/>
  <c r="S188" i="3"/>
  <c r="T188" i="3"/>
  <c r="U188" i="3"/>
  <c r="C188" i="4"/>
  <c r="X188" i="4"/>
  <c r="K187" i="4"/>
  <c r="S187" i="3"/>
  <c r="U187" i="3"/>
  <c r="C187" i="4"/>
  <c r="X187" i="4"/>
  <c r="R187" i="3"/>
  <c r="T187" i="3"/>
  <c r="K186" i="4"/>
  <c r="R186" i="3"/>
  <c r="T186" i="3"/>
  <c r="S186" i="3"/>
  <c r="U186" i="3"/>
  <c r="C186" i="4"/>
  <c r="X186" i="4"/>
  <c r="W184" i="3"/>
  <c r="P184" i="4"/>
  <c r="V184" i="3"/>
  <c r="N184" i="4"/>
  <c r="V182" i="3"/>
  <c r="N182" i="4"/>
  <c r="P182" i="4"/>
  <c r="W182" i="3"/>
  <c r="W181" i="3"/>
  <c r="P181" i="4"/>
  <c r="V181" i="3"/>
  <c r="N181" i="4"/>
  <c r="K181" i="4"/>
  <c r="R181" i="3"/>
  <c r="T181" i="3"/>
  <c r="C181" i="4"/>
  <c r="X181" i="4"/>
  <c r="S181" i="3"/>
  <c r="U181" i="3"/>
  <c r="W152" i="3"/>
  <c r="P152" i="4"/>
  <c r="N152" i="4"/>
  <c r="V152" i="3"/>
  <c r="W147" i="3"/>
  <c r="P147" i="4"/>
  <c r="V147" i="3"/>
  <c r="N147" i="4"/>
  <c r="P145" i="4"/>
  <c r="W145" i="3"/>
  <c r="V145" i="3"/>
  <c r="N145" i="4"/>
  <c r="N91" i="4"/>
  <c r="V91" i="3"/>
  <c r="W91" i="3"/>
  <c r="P91" i="4"/>
  <c r="P86" i="4"/>
  <c r="W86" i="3"/>
  <c r="V86" i="3"/>
  <c r="N86" i="4"/>
  <c r="P74" i="4"/>
  <c r="W74" i="3"/>
  <c r="N74" i="4"/>
  <c r="V74" i="3"/>
  <c r="P73" i="4"/>
  <c r="W73" i="3"/>
  <c r="V73" i="3"/>
  <c r="N73" i="4"/>
  <c r="N37" i="4"/>
  <c r="V37" i="3"/>
  <c r="W37" i="3"/>
  <c r="P37" i="4"/>
  <c r="V176" i="3"/>
  <c r="N176" i="4"/>
  <c r="W176" i="3"/>
  <c r="P176" i="4"/>
  <c r="V202" i="3"/>
  <c r="N202" i="4"/>
  <c r="W202" i="3"/>
  <c r="P202" i="4"/>
  <c r="K202" i="4"/>
  <c r="R202" i="3"/>
  <c r="S202" i="3"/>
  <c r="T202" i="3"/>
  <c r="U202" i="3"/>
  <c r="C202" i="4"/>
  <c r="X202" i="4"/>
  <c r="W201" i="3"/>
  <c r="P201" i="4"/>
  <c r="V201" i="3"/>
  <c r="N201" i="4"/>
  <c r="K201" i="4"/>
  <c r="S201" i="3"/>
  <c r="T201" i="3"/>
  <c r="R201" i="3"/>
  <c r="U201" i="3"/>
  <c r="C201" i="4"/>
  <c r="X201" i="4"/>
  <c r="V196" i="3"/>
  <c r="N196" i="4"/>
  <c r="P196" i="4"/>
  <c r="W196" i="3"/>
  <c r="K196" i="4"/>
  <c r="R196" i="3"/>
  <c r="S196" i="3"/>
  <c r="U196" i="3"/>
  <c r="T196" i="3"/>
  <c r="C196" i="4"/>
  <c r="X196" i="4"/>
  <c r="K195" i="4"/>
  <c r="R195" i="3"/>
  <c r="T195" i="3"/>
  <c r="S195" i="3"/>
  <c r="U195" i="3"/>
  <c r="C195" i="4"/>
  <c r="X195" i="4"/>
  <c r="K192" i="4"/>
  <c r="R192" i="3"/>
  <c r="S192" i="3"/>
  <c r="U192" i="3"/>
  <c r="T192" i="3"/>
  <c r="C192" i="4"/>
  <c r="X192" i="4"/>
  <c r="V175" i="3"/>
  <c r="N175" i="4"/>
  <c r="W175" i="3"/>
  <c r="P175" i="4"/>
  <c r="V174" i="3"/>
  <c r="N174" i="4"/>
  <c r="W174" i="3"/>
  <c r="P174" i="4"/>
  <c r="V173" i="3"/>
  <c r="N173" i="4"/>
  <c r="W173" i="3"/>
  <c r="P173" i="4"/>
  <c r="V172" i="3"/>
  <c r="N172" i="4"/>
  <c r="W172" i="3"/>
  <c r="P172" i="4"/>
  <c r="V171" i="3"/>
  <c r="N171" i="4"/>
  <c r="W171" i="3"/>
  <c r="P171" i="4"/>
  <c r="K171" i="4"/>
  <c r="R171" i="3"/>
  <c r="S171" i="3"/>
  <c r="T171" i="3"/>
  <c r="U171" i="3"/>
  <c r="C171" i="4"/>
  <c r="X171" i="4"/>
  <c r="V170" i="3"/>
  <c r="N170" i="4"/>
  <c r="W170" i="3"/>
  <c r="P170" i="4"/>
  <c r="K170" i="4"/>
  <c r="R170" i="3"/>
  <c r="S170" i="3"/>
  <c r="T170" i="3"/>
  <c r="U170" i="3"/>
  <c r="C170" i="4"/>
  <c r="X170" i="4"/>
  <c r="V169" i="3"/>
  <c r="N169" i="4"/>
  <c r="W169" i="3"/>
  <c r="P169" i="4"/>
  <c r="K169" i="4"/>
  <c r="R169" i="3"/>
  <c r="S169" i="3"/>
  <c r="T169" i="3"/>
  <c r="U169" i="3"/>
  <c r="C169" i="4"/>
  <c r="X169" i="4"/>
  <c r="V168" i="3"/>
  <c r="N168" i="4"/>
  <c r="W168" i="3"/>
  <c r="P168" i="4"/>
  <c r="V167" i="3"/>
  <c r="N167" i="4"/>
  <c r="W167" i="3"/>
  <c r="P167" i="4"/>
  <c r="V166" i="3"/>
  <c r="N166" i="4"/>
  <c r="W166" i="3"/>
  <c r="P166" i="4"/>
  <c r="V165" i="3"/>
  <c r="N165" i="4"/>
  <c r="W165" i="3"/>
  <c r="P165" i="4"/>
  <c r="V164" i="3"/>
  <c r="N164" i="4"/>
  <c r="W164" i="3"/>
  <c r="P164" i="4"/>
  <c r="V163" i="3"/>
  <c r="N163" i="4"/>
  <c r="W163" i="3"/>
  <c r="P163" i="4"/>
  <c r="V162" i="3"/>
  <c r="N162" i="4"/>
  <c r="W162" i="3"/>
  <c r="P162" i="4"/>
  <c r="V161" i="3"/>
  <c r="N161" i="4"/>
  <c r="W161" i="3"/>
  <c r="P161" i="4"/>
  <c r="V160" i="3"/>
  <c r="N160" i="4"/>
  <c r="W160" i="3"/>
  <c r="P160" i="4"/>
  <c r="V159" i="3"/>
  <c r="N159" i="4"/>
  <c r="W159" i="3"/>
  <c r="P159" i="4"/>
  <c r="V158" i="3"/>
  <c r="N158" i="4"/>
  <c r="W158" i="3"/>
  <c r="P158" i="4"/>
  <c r="V157" i="3"/>
  <c r="N157" i="4"/>
  <c r="W157" i="3"/>
  <c r="P157" i="4"/>
  <c r="K157" i="4"/>
  <c r="R157" i="3"/>
  <c r="S157" i="3"/>
  <c r="T157" i="3"/>
  <c r="U157" i="3"/>
  <c r="C157" i="4"/>
  <c r="X157" i="4"/>
  <c r="V156" i="3"/>
  <c r="N156" i="4"/>
  <c r="W156" i="3"/>
  <c r="P156" i="4"/>
  <c r="K156" i="4"/>
  <c r="R156" i="3"/>
  <c r="S156" i="3"/>
  <c r="T156" i="3"/>
  <c r="U156" i="3"/>
  <c r="C156" i="4"/>
  <c r="X156" i="4"/>
  <c r="V155" i="3"/>
  <c r="N155" i="4"/>
  <c r="W155" i="3"/>
  <c r="P155" i="4"/>
  <c r="K155" i="4"/>
  <c r="R155" i="3"/>
  <c r="S155" i="3"/>
  <c r="T155" i="3"/>
  <c r="U155" i="3"/>
  <c r="C155" i="4"/>
  <c r="X155" i="4"/>
  <c r="V154" i="3"/>
  <c r="N154" i="4"/>
  <c r="W154" i="3"/>
  <c r="P154" i="4"/>
  <c r="K154" i="4"/>
  <c r="R154" i="3"/>
  <c r="S154" i="3"/>
  <c r="T154" i="3"/>
  <c r="U154" i="3"/>
  <c r="C154" i="4"/>
  <c r="X154" i="4"/>
  <c r="W143" i="3"/>
  <c r="P143" i="4"/>
  <c r="V143" i="3"/>
  <c r="N143" i="4"/>
  <c r="V106" i="3"/>
  <c r="N106" i="4"/>
  <c r="W106" i="3"/>
  <c r="P106" i="4"/>
  <c r="V105" i="3"/>
  <c r="N105" i="4"/>
  <c r="W105" i="3"/>
  <c r="P105" i="4"/>
  <c r="V104" i="3"/>
  <c r="N104" i="4"/>
  <c r="W104" i="3"/>
  <c r="P104" i="4"/>
  <c r="V103" i="3"/>
  <c r="N103" i="4"/>
  <c r="W103" i="3"/>
  <c r="P103" i="4"/>
  <c r="V102" i="3"/>
  <c r="N102" i="4"/>
  <c r="W102" i="3"/>
  <c r="P102" i="4"/>
  <c r="V101" i="3"/>
  <c r="N101" i="4"/>
  <c r="W101" i="3"/>
  <c r="P101" i="4"/>
  <c r="V70" i="3"/>
  <c r="N70" i="4"/>
  <c r="W70" i="3"/>
  <c r="P70" i="4"/>
  <c r="V69" i="3"/>
  <c r="N69" i="4"/>
  <c r="W69" i="3"/>
  <c r="P69" i="4"/>
  <c r="V68" i="3"/>
  <c r="N68" i="4"/>
  <c r="W68" i="3"/>
  <c r="P68" i="4"/>
  <c r="V67" i="3"/>
  <c r="N67" i="4"/>
  <c r="W67" i="3"/>
  <c r="P67" i="4"/>
  <c r="V66" i="3"/>
  <c r="N66" i="4"/>
  <c r="W66" i="3"/>
  <c r="P66" i="4"/>
  <c r="V65" i="3"/>
  <c r="N65" i="4"/>
  <c r="W65" i="3"/>
  <c r="P65" i="4"/>
  <c r="V20" i="3"/>
  <c r="N20" i="4"/>
  <c r="W20" i="3"/>
  <c r="P20" i="4"/>
  <c r="V81" i="3"/>
  <c r="N81" i="4"/>
  <c r="W81" i="3"/>
  <c r="P81" i="4"/>
  <c r="V141" i="3"/>
  <c r="N141" i="4"/>
  <c r="W141" i="3"/>
  <c r="P141" i="4"/>
  <c r="V140" i="3"/>
  <c r="N140" i="4"/>
  <c r="W140" i="3"/>
  <c r="P140" i="4"/>
  <c r="V139" i="3"/>
  <c r="N139" i="4"/>
  <c r="W139" i="3"/>
  <c r="P139" i="4"/>
  <c r="V138" i="3"/>
  <c r="N138" i="4"/>
  <c r="W138" i="3"/>
  <c r="P138" i="4"/>
  <c r="V137" i="3"/>
  <c r="N137" i="4"/>
  <c r="W137" i="3"/>
  <c r="P137" i="4"/>
  <c r="V136" i="3"/>
  <c r="N136" i="4"/>
  <c r="W136" i="3"/>
  <c r="P136" i="4"/>
  <c r="V135" i="3"/>
  <c r="N135" i="4"/>
  <c r="W135" i="3"/>
  <c r="P135" i="4"/>
  <c r="V134" i="3"/>
  <c r="N134" i="4"/>
  <c r="W134" i="3"/>
  <c r="P134" i="4"/>
  <c r="V133" i="3"/>
  <c r="N133" i="4"/>
  <c r="W133" i="3"/>
  <c r="P133" i="4"/>
  <c r="V132" i="3"/>
  <c r="N132" i="4"/>
  <c r="W132" i="3"/>
  <c r="P132" i="4"/>
  <c r="V131" i="3"/>
  <c r="N131" i="4"/>
  <c r="W131" i="3"/>
  <c r="P131" i="4"/>
  <c r="V130" i="3"/>
  <c r="N130" i="4"/>
  <c r="W130" i="3"/>
  <c r="P130" i="4"/>
  <c r="V129" i="3"/>
  <c r="N129" i="4"/>
  <c r="W129" i="3"/>
  <c r="P129" i="4"/>
  <c r="V128" i="3"/>
  <c r="N128" i="4"/>
  <c r="W128" i="3"/>
  <c r="P128" i="4"/>
  <c r="V127" i="3"/>
  <c r="N127" i="4"/>
  <c r="W127" i="3"/>
  <c r="P127" i="4"/>
  <c r="V126" i="3"/>
  <c r="N126" i="4"/>
  <c r="W126" i="3"/>
  <c r="P126" i="4"/>
  <c r="V125" i="3"/>
  <c r="N125" i="4"/>
  <c r="W125" i="3"/>
  <c r="P125" i="4"/>
  <c r="V124" i="3"/>
  <c r="N124" i="4"/>
  <c r="W124" i="3"/>
  <c r="P124" i="4"/>
  <c r="V123" i="3"/>
  <c r="N123" i="4"/>
  <c r="W123" i="3"/>
  <c r="P123" i="4"/>
  <c r="V122" i="3"/>
  <c r="N122" i="4"/>
  <c r="W122" i="3"/>
  <c r="P122" i="4"/>
  <c r="V121" i="3"/>
  <c r="N121" i="4"/>
  <c r="W121" i="3"/>
  <c r="P121" i="4"/>
  <c r="V120" i="3"/>
  <c r="N120" i="4"/>
  <c r="W120" i="3"/>
  <c r="P120" i="4"/>
  <c r="V119" i="3"/>
  <c r="N119" i="4"/>
  <c r="W119" i="3"/>
  <c r="P119" i="4"/>
  <c r="V118" i="3"/>
  <c r="N118" i="4"/>
  <c r="W118" i="3"/>
  <c r="P118" i="4"/>
  <c r="V117" i="3"/>
  <c r="N117" i="4"/>
  <c r="W117" i="3"/>
  <c r="P117" i="4"/>
  <c r="V116" i="3"/>
  <c r="N116" i="4"/>
  <c r="W116" i="3"/>
  <c r="P116" i="4"/>
  <c r="V115" i="3"/>
  <c r="N115" i="4"/>
  <c r="W115" i="3"/>
  <c r="P115" i="4"/>
  <c r="V114" i="3"/>
  <c r="N114" i="4"/>
  <c r="W114" i="3"/>
  <c r="P114" i="4"/>
  <c r="V113" i="3"/>
  <c r="N113" i="4"/>
  <c r="W113" i="3"/>
  <c r="P113" i="4"/>
  <c r="V18" i="3"/>
  <c r="N18" i="4"/>
  <c r="W18" i="3"/>
  <c r="P18" i="4"/>
  <c r="K18" i="4"/>
  <c r="R18" i="3"/>
  <c r="S18" i="3"/>
  <c r="T18" i="3"/>
  <c r="U18" i="3"/>
  <c r="C18" i="4"/>
  <c r="X18" i="4"/>
  <c r="V16" i="3"/>
  <c r="N16" i="4"/>
  <c r="W16" i="3"/>
  <c r="P16" i="4"/>
  <c r="V14" i="3"/>
  <c r="N14" i="4"/>
  <c r="W14" i="3"/>
  <c r="P14" i="4"/>
  <c r="V12" i="3"/>
  <c r="N12" i="4"/>
  <c r="W12" i="3"/>
  <c r="P12" i="4"/>
  <c r="K12" i="4"/>
  <c r="R12" i="3"/>
  <c r="S12" i="3"/>
  <c r="T12" i="3"/>
  <c r="U12" i="3"/>
  <c r="C12" i="4"/>
  <c r="X12" i="4"/>
  <c r="V10" i="3"/>
  <c r="N10" i="4"/>
  <c r="W10" i="3"/>
  <c r="P10" i="4"/>
  <c r="K10" i="4"/>
  <c r="R10" i="3"/>
  <c r="S10" i="3"/>
  <c r="T10" i="3"/>
  <c r="U10" i="3"/>
  <c r="C10" i="4"/>
  <c r="X10" i="4"/>
  <c r="V8" i="3"/>
  <c r="N8" i="4"/>
  <c r="W8" i="3"/>
  <c r="P8" i="4"/>
  <c r="K8" i="4"/>
  <c r="R8" i="3"/>
  <c r="S8" i="3"/>
  <c r="T8" i="3"/>
  <c r="U8" i="3"/>
  <c r="C8" i="4"/>
  <c r="X8" i="4"/>
  <c r="V6" i="3"/>
  <c r="N6" i="4"/>
  <c r="W6" i="3"/>
  <c r="P6" i="4"/>
  <c r="K6" i="4"/>
  <c r="R6" i="3"/>
  <c r="S6" i="3"/>
  <c r="T6" i="3"/>
  <c r="U6" i="3"/>
  <c r="C6" i="4"/>
  <c r="X6" i="4"/>
  <c r="V4" i="3"/>
  <c r="N4" i="4"/>
  <c r="W4" i="3"/>
  <c r="P4" i="4"/>
  <c r="K4" i="4"/>
  <c r="R4" i="3"/>
  <c r="S4" i="3"/>
  <c r="T4" i="3"/>
  <c r="U4" i="3"/>
  <c r="C4" i="4"/>
  <c r="X4" i="4"/>
  <c r="V2" i="3"/>
  <c r="N2" i="4"/>
  <c r="W2" i="3"/>
  <c r="P2" i="4"/>
  <c r="K2" i="4"/>
  <c r="R2" i="3"/>
  <c r="S2" i="3"/>
  <c r="T2" i="3"/>
  <c r="U2" i="3"/>
  <c r="C2" i="4"/>
  <c r="X2" i="4"/>
  <c r="V64" i="3"/>
  <c r="N64" i="4"/>
  <c r="W64" i="3"/>
  <c r="P64" i="4"/>
  <c r="K64" i="4"/>
  <c r="R64" i="3"/>
  <c r="S64" i="3"/>
  <c r="T64" i="3"/>
  <c r="U64" i="3"/>
  <c r="C64" i="4"/>
  <c r="X64" i="4"/>
  <c r="V63" i="3"/>
  <c r="N63" i="4"/>
  <c r="W63" i="3"/>
  <c r="P63" i="4"/>
  <c r="K63" i="4"/>
  <c r="R63" i="3"/>
  <c r="S63" i="3"/>
  <c r="T63" i="3"/>
  <c r="U63" i="3"/>
  <c r="C63" i="4"/>
  <c r="X63" i="4"/>
  <c r="V62" i="3"/>
  <c r="N62" i="4"/>
  <c r="W62" i="3"/>
  <c r="P62" i="4"/>
  <c r="K62" i="4"/>
  <c r="R62" i="3"/>
  <c r="S62" i="3"/>
  <c r="T62" i="3"/>
  <c r="U62" i="3"/>
  <c r="C62" i="4"/>
  <c r="X62" i="4"/>
  <c r="V61" i="3"/>
  <c r="N61" i="4"/>
  <c r="W61" i="3"/>
  <c r="P61" i="4"/>
  <c r="K61" i="4"/>
  <c r="R61" i="3"/>
  <c r="S61" i="3"/>
  <c r="T61" i="3"/>
  <c r="U61" i="3"/>
  <c r="C61" i="4"/>
  <c r="X61" i="4"/>
  <c r="V60" i="3"/>
  <c r="N60" i="4"/>
  <c r="W60" i="3"/>
  <c r="P60" i="4"/>
  <c r="K60" i="4"/>
  <c r="R60" i="3"/>
  <c r="S60" i="3"/>
  <c r="T60" i="3"/>
  <c r="U60" i="3"/>
  <c r="C60" i="4"/>
  <c r="X60" i="4"/>
  <c r="V59" i="3"/>
  <c r="N59" i="4"/>
  <c r="W59" i="3"/>
  <c r="P59" i="4"/>
  <c r="K59" i="4"/>
  <c r="R59" i="3"/>
  <c r="S59" i="3"/>
  <c r="T59" i="3"/>
  <c r="U59" i="3"/>
  <c r="C59" i="4"/>
  <c r="X59" i="4"/>
  <c r="V58" i="3"/>
  <c r="N58" i="4"/>
  <c r="W58" i="3"/>
  <c r="P58" i="4"/>
  <c r="K58" i="4"/>
  <c r="R58" i="3"/>
  <c r="S58" i="3"/>
  <c r="T58" i="3"/>
  <c r="U58" i="3"/>
  <c r="C58" i="4"/>
  <c r="X58" i="4"/>
  <c r="V57" i="3"/>
  <c r="N57" i="4"/>
  <c r="W57" i="3"/>
  <c r="P57" i="4"/>
  <c r="K57" i="4"/>
  <c r="R57" i="3"/>
  <c r="S57" i="3"/>
  <c r="T57" i="3"/>
  <c r="U57" i="3"/>
  <c r="C57" i="4"/>
  <c r="X57" i="4"/>
  <c r="V56" i="3"/>
  <c r="N56" i="4"/>
  <c r="W56" i="3"/>
  <c r="P56" i="4"/>
  <c r="K56" i="4"/>
  <c r="R56" i="3"/>
  <c r="S56" i="3"/>
  <c r="T56" i="3"/>
  <c r="U56" i="3"/>
  <c r="C56" i="4"/>
  <c r="X56" i="4"/>
  <c r="V55" i="3"/>
  <c r="N55" i="4"/>
  <c r="W55" i="3"/>
  <c r="P55" i="4"/>
  <c r="K55" i="4"/>
  <c r="R55" i="3"/>
  <c r="S55" i="3"/>
  <c r="T55" i="3"/>
  <c r="U55" i="3"/>
  <c r="C55" i="4"/>
  <c r="X55" i="4"/>
  <c r="V54" i="3"/>
  <c r="N54" i="4"/>
  <c r="W54" i="3"/>
  <c r="P54" i="4"/>
  <c r="K54" i="4"/>
  <c r="R54" i="3"/>
  <c r="S54" i="3"/>
  <c r="T54" i="3"/>
  <c r="U54" i="3"/>
  <c r="X54" i="4"/>
  <c r="C54" i="4"/>
  <c r="V53" i="3"/>
  <c r="N53" i="4"/>
  <c r="W53" i="3"/>
  <c r="P53" i="4"/>
  <c r="K53" i="4"/>
  <c r="R53" i="3"/>
  <c r="S53" i="3"/>
  <c r="T53" i="3"/>
  <c r="U53" i="3"/>
  <c r="C53" i="4"/>
  <c r="X53" i="4"/>
  <c r="V52" i="3"/>
  <c r="N52" i="4"/>
  <c r="W52" i="3"/>
  <c r="P52" i="4"/>
  <c r="K52" i="4"/>
  <c r="R52" i="3"/>
  <c r="S52" i="3"/>
  <c r="T52" i="3"/>
  <c r="U52" i="3"/>
  <c r="C52" i="4"/>
  <c r="X52" i="4"/>
  <c r="V51" i="3"/>
  <c r="N51" i="4"/>
  <c r="W51" i="3"/>
  <c r="P51" i="4"/>
  <c r="V50" i="3"/>
  <c r="N50" i="4"/>
  <c r="W50" i="3"/>
  <c r="P50" i="4"/>
  <c r="V49" i="3"/>
  <c r="N49" i="4"/>
  <c r="W49" i="3"/>
  <c r="P49" i="4"/>
  <c r="V48" i="3"/>
  <c r="N48" i="4"/>
  <c r="W48" i="3"/>
  <c r="P48" i="4"/>
  <c r="V47" i="3"/>
  <c r="N47" i="4"/>
  <c r="W47" i="3"/>
  <c r="P47" i="4"/>
  <c r="V46" i="3"/>
  <c r="N46" i="4"/>
  <c r="W46" i="3"/>
  <c r="P46" i="4"/>
  <c r="V45" i="3"/>
  <c r="N45" i="4"/>
  <c r="W45" i="3"/>
  <c r="P45" i="4"/>
  <c r="V44" i="3"/>
  <c r="N44" i="4"/>
  <c r="W44" i="3"/>
  <c r="P44" i="4"/>
  <c r="V43" i="3"/>
  <c r="N43" i="4"/>
  <c r="W43" i="3"/>
  <c r="P43" i="4"/>
  <c r="V42" i="3"/>
  <c r="N42" i="4"/>
  <c r="W42" i="3"/>
  <c r="P42" i="4"/>
  <c r="V41" i="3"/>
  <c r="N41" i="4"/>
  <c r="W41" i="3"/>
  <c r="P41" i="4"/>
  <c r="V40" i="3"/>
  <c r="N40" i="4"/>
  <c r="W40" i="3"/>
  <c r="P40" i="4"/>
  <c r="V35" i="3"/>
  <c r="N35" i="4"/>
  <c r="W35" i="3"/>
  <c r="P35" i="4"/>
  <c r="V34" i="3"/>
  <c r="N34" i="4"/>
  <c r="W34" i="3"/>
  <c r="P34" i="4"/>
  <c r="V33" i="3"/>
  <c r="N33" i="4"/>
  <c r="W33" i="3"/>
  <c r="P33" i="4"/>
  <c r="K33" i="4"/>
  <c r="R33" i="3"/>
  <c r="S33" i="3"/>
  <c r="T33" i="3"/>
  <c r="U33" i="3"/>
  <c r="C33" i="4"/>
  <c r="X33" i="4"/>
  <c r="V32" i="3"/>
  <c r="N32" i="4"/>
  <c r="W32" i="3"/>
  <c r="P32" i="4"/>
  <c r="K32" i="4"/>
  <c r="R32" i="3"/>
  <c r="S32" i="3"/>
  <c r="T32" i="3"/>
  <c r="U32" i="3"/>
  <c r="C32" i="4"/>
  <c r="X32" i="4"/>
  <c r="V31" i="3"/>
  <c r="N31" i="4"/>
  <c r="W31" i="3"/>
  <c r="P31" i="4"/>
  <c r="K31" i="4"/>
  <c r="R31" i="3"/>
  <c r="S31" i="3"/>
  <c r="T31" i="3"/>
  <c r="U31" i="3"/>
  <c r="C31" i="4"/>
  <c r="X31" i="4"/>
  <c r="V30" i="3"/>
  <c r="N30" i="4"/>
  <c r="W30" i="3"/>
  <c r="P30" i="4"/>
  <c r="K30" i="4"/>
  <c r="R30" i="3"/>
  <c r="S30" i="3"/>
  <c r="T30" i="3"/>
  <c r="U30" i="3"/>
  <c r="C30" i="4"/>
  <c r="X30" i="4"/>
  <c r="V29" i="3"/>
  <c r="N29" i="4"/>
  <c r="W29" i="3"/>
  <c r="P29" i="4"/>
  <c r="K29" i="4"/>
  <c r="R29" i="3"/>
  <c r="S29" i="3"/>
  <c r="T29" i="3"/>
  <c r="U29" i="3"/>
  <c r="C29" i="4"/>
  <c r="X29" i="4"/>
  <c r="V28" i="3"/>
  <c r="N28" i="4"/>
  <c r="W28" i="3"/>
  <c r="P28" i="4"/>
  <c r="K28" i="4"/>
  <c r="R28" i="3"/>
  <c r="S28" i="3"/>
  <c r="T28" i="3"/>
  <c r="U28" i="3"/>
  <c r="C28" i="4"/>
  <c r="X28" i="4"/>
  <c r="V27" i="3"/>
  <c r="N27" i="4"/>
  <c r="W27" i="3"/>
  <c r="P27" i="4"/>
  <c r="K27" i="4"/>
  <c r="R27" i="3"/>
  <c r="S27" i="3"/>
  <c r="T27" i="3"/>
  <c r="U27" i="3"/>
  <c r="C27" i="4"/>
  <c r="X27" i="4"/>
  <c r="V26" i="3"/>
  <c r="N26" i="4"/>
  <c r="W26" i="3"/>
  <c r="P26" i="4"/>
  <c r="V25" i="3"/>
  <c r="N25" i="4"/>
  <c r="W25" i="3"/>
  <c r="P25" i="4"/>
  <c r="V24" i="3"/>
  <c r="N24" i="4"/>
  <c r="W24" i="3"/>
  <c r="P24" i="4"/>
  <c r="K24" i="4"/>
  <c r="R24" i="3"/>
  <c r="S24" i="3"/>
  <c r="T24" i="3"/>
  <c r="U24" i="3"/>
  <c r="C24" i="4"/>
  <c r="X24" i="4"/>
  <c r="V23" i="3"/>
  <c r="N23" i="4"/>
  <c r="W23" i="3"/>
  <c r="P23" i="4"/>
  <c r="K23" i="4"/>
  <c r="R23" i="3"/>
  <c r="S23" i="3"/>
  <c r="T23" i="3"/>
  <c r="U23" i="3"/>
  <c r="C23" i="4"/>
  <c r="X23" i="4"/>
  <c r="V22" i="3"/>
  <c r="N22" i="4"/>
  <c r="W22" i="3"/>
  <c r="P22" i="4"/>
  <c r="K22" i="4"/>
  <c r="R22" i="3"/>
  <c r="S22" i="3"/>
  <c r="T22" i="3"/>
  <c r="U22" i="3"/>
  <c r="C22" i="4"/>
  <c r="X22" i="4"/>
  <c r="V21" i="3"/>
  <c r="N21" i="4"/>
  <c r="W21" i="3"/>
  <c r="P21" i="4"/>
  <c r="K21" i="4"/>
  <c r="R21" i="3"/>
  <c r="S21" i="3"/>
  <c r="T21" i="3"/>
  <c r="U21" i="3"/>
  <c r="C21" i="4"/>
  <c r="X21" i="4"/>
  <c r="V19" i="3"/>
  <c r="N19" i="4"/>
  <c r="W19" i="3"/>
  <c r="P19" i="4"/>
  <c r="K19" i="4"/>
  <c r="R19" i="3"/>
  <c r="S19" i="3"/>
  <c r="T19" i="3"/>
  <c r="U19" i="3"/>
  <c r="C19" i="4"/>
  <c r="X19" i="4"/>
  <c r="V17" i="3"/>
  <c r="N17" i="4"/>
  <c r="W17" i="3"/>
  <c r="P17" i="4"/>
  <c r="K17" i="4"/>
  <c r="R17" i="3"/>
  <c r="S17" i="3"/>
  <c r="T17" i="3"/>
  <c r="U17" i="3"/>
  <c r="C17" i="4"/>
  <c r="X17" i="4"/>
  <c r="V15" i="3"/>
  <c r="N15" i="4"/>
  <c r="W15" i="3"/>
  <c r="P15" i="4"/>
  <c r="K15" i="4"/>
  <c r="R15" i="3"/>
  <c r="S15" i="3"/>
  <c r="T15" i="3"/>
  <c r="U15" i="3"/>
  <c r="C15" i="4"/>
  <c r="X15" i="4"/>
  <c r="V13" i="3"/>
  <c r="N13" i="4"/>
  <c r="W13" i="3"/>
  <c r="P13" i="4"/>
  <c r="K13" i="4"/>
  <c r="R13" i="3"/>
  <c r="S13" i="3"/>
  <c r="T13" i="3"/>
  <c r="U13" i="3"/>
  <c r="C13" i="4"/>
  <c r="X13" i="4"/>
  <c r="V11" i="3"/>
  <c r="N11" i="4"/>
  <c r="W11" i="3"/>
  <c r="P11" i="4"/>
  <c r="K11" i="4"/>
  <c r="R11" i="3"/>
  <c r="S11" i="3"/>
  <c r="T11" i="3"/>
  <c r="U11" i="3"/>
  <c r="C11" i="4"/>
  <c r="X11" i="4"/>
  <c r="V9" i="3"/>
  <c r="N9" i="4"/>
  <c r="W9" i="3"/>
  <c r="P9" i="4"/>
  <c r="K9" i="4"/>
  <c r="R9" i="3"/>
  <c r="S9" i="3"/>
  <c r="T9" i="3"/>
  <c r="U9" i="3"/>
  <c r="C9" i="4"/>
  <c r="X9" i="4"/>
  <c r="V7" i="3"/>
  <c r="N7" i="4"/>
  <c r="W7" i="3"/>
  <c r="P7" i="4"/>
  <c r="V5" i="3"/>
  <c r="N5" i="4"/>
  <c r="W5" i="3"/>
  <c r="P5" i="4"/>
  <c r="V3" i="3"/>
  <c r="N3" i="4"/>
  <c r="W3" i="3"/>
  <c r="P3" i="4"/>
  <c r="AI198" i="3"/>
  <c r="AR198" i="3"/>
  <c r="AS198" i="3"/>
  <c r="AI151" i="3"/>
  <c r="AI107" i="3"/>
  <c r="AI97" i="3"/>
  <c r="AI88" i="3"/>
  <c r="AI87" i="3"/>
  <c r="AI83" i="3"/>
  <c r="AI39" i="3"/>
  <c r="AJ157" i="3"/>
  <c r="AJ156" i="3"/>
  <c r="AJ155" i="3"/>
  <c r="AJ154" i="3"/>
  <c r="AJ9" i="3"/>
  <c r="B15" i="1"/>
  <c r="B16" i="1" s="1"/>
  <c r="AJ63" i="3"/>
  <c r="AJ62" i="3"/>
  <c r="AJ61" i="3"/>
  <c r="AJ60" i="3"/>
  <c r="AJ59" i="3"/>
  <c r="AJ58" i="3"/>
  <c r="AJ57" i="3"/>
  <c r="AJ56" i="3"/>
  <c r="AJ55" i="3"/>
  <c r="B18" i="9" l="1"/>
  <c r="F6" i="6"/>
  <c r="F23" i="1" s="1"/>
  <c r="F5" i="6"/>
  <c r="F22" i="1" s="1"/>
  <c r="F4" i="6"/>
  <c r="F21" i="1" s="1"/>
  <c r="B14" i="1"/>
</calcChain>
</file>

<file path=xl/sharedStrings.xml><?xml version="1.0" encoding="utf-8"?>
<sst xmlns="http://schemas.openxmlformats.org/spreadsheetml/2006/main" count="619" uniqueCount="532">
  <si>
    <t>Parabolic Motion Radar + Topography Parameter Model</t>
  </si>
  <si>
    <t>Use Inputs!C27 to apply/remove topography from the main outputs. The chart previews keep the same modeled surface visible so turning topography off does not erase the comparison. Inputs!C47 changes the terrain seed.</t>
  </si>
  <si>
    <t>Key Output Results</t>
  </si>
  <si>
    <t>Output</t>
  </si>
  <si>
    <t>Value</t>
  </si>
  <si>
    <t>Unit</t>
  </si>
  <si>
    <t>What it means</t>
  </si>
  <si>
    <t>Topography toggle</t>
  </si>
  <si>
    <t>Set Inputs!C27 to TRUE to include terrain, or FALSE to return to a flat surface. Change Inputs!C47 to test a new terrain case.</t>
  </si>
  <si>
    <t>Flat apparent depth at mid-pass</t>
  </si>
  <si>
    <t>m</t>
  </si>
  <si>
    <t>Original flat-surface result.</t>
  </si>
  <si>
    <t>Topo apparent depth at mid-pass</t>
  </si>
  <si>
    <t>Apparent depth after terrain height changes the range geometry.</t>
  </si>
  <si>
    <t>Depth change from topography</t>
  </si>
  <si>
    <t>Topo apparent depth minus flat apparent depth.</t>
  </si>
  <si>
    <t>Topo extra two-way delay</t>
  </si>
  <si>
    <t>us</t>
  </si>
  <si>
    <t>Two-way delay after topography is included.</t>
  </si>
  <si>
    <t>Topo VHF interferometric phase</t>
  </si>
  <si>
    <t>deg</t>
  </si>
  <si>
    <t>VHF phase after topography changes the look geometry.</t>
  </si>
  <si>
    <t>Max target terrain height</t>
  </si>
  <si>
    <t>Highest modeled terrain at the side-offset target path.</t>
  </si>
  <si>
    <t>Min target terrain height</t>
  </si>
  <si>
    <t>Lowest modeled terrain at the side-offset target path.</t>
  </si>
  <si>
    <t>Max absolute topo depth change</t>
  </si>
  <si>
    <t>Largest magnitude of topography-driven apparent-depth change.</t>
  </si>
  <si>
    <t>Max topo VHF Doppler magnitude</t>
  </si>
  <si>
    <t>Hz</t>
  </si>
  <si>
    <t>Largest VHF Doppler after topography is included.</t>
  </si>
  <si>
    <t>Simple minimum PRF with topo</t>
  </si>
  <si>
    <t>Twice max topo VHF Doppler, a simple no-alias floor.</t>
  </si>
  <si>
    <t>Topo depth uncertainty band</t>
  </si>
  <si>
    <t>Representative vertical uncertainty converted to apparent-depth uncertainty.</t>
  </si>
  <si>
    <t>PRF Choices</t>
  </si>
  <si>
    <t>PRF (Hz)</t>
  </si>
  <si>
    <t>Pulse interval (ms)</t>
  </si>
  <si>
    <t>Along-track spacing (m)</t>
  </si>
  <si>
    <t>Unambiguous range (km)</t>
  </si>
  <si>
    <t>Pulses in air at z0</t>
  </si>
  <si>
    <t>Status</t>
  </si>
  <si>
    <t>How to read this model</t>
  </si>
  <si>
    <t>The chain is: parabolic motion changes z(x); topography adds h(x,y); the radar then turns that real surface pattern into an apparent range/depth shift. Flat means flat surface, not straight spacecraft motion.</t>
  </si>
  <si>
    <t>Paper Pass Scenario Comparison</t>
  </si>
  <si>
    <t>Scenario</t>
  </si>
  <si>
    <t>Show</t>
  </si>
  <si>
    <t>z0 (km)</t>
  </si>
  <si>
    <t>Length (km)</t>
  </si>
  <si>
    <t>Edge alt (km)</t>
  </si>
  <si>
    <t>Mid depth (m)</t>
  </si>
  <si>
    <t>Max VHF (Hz)</t>
  </si>
  <si>
    <t>PRF floor (Hz)</t>
  </si>
  <si>
    <t>Basis</t>
  </si>
  <si>
    <t>TRUE</t>
  </si>
  <si>
    <t>Current editable</t>
  </si>
  <si>
    <t>800 km below 400</t>
  </si>
  <si>
    <t>1600 km below 1000</t>
  </si>
  <si>
    <t>25-1000 km range</t>
  </si>
  <si>
    <t>Scenario note</t>
  </si>
  <si>
    <t>Paper numbers are converted into this workbook's simplified parabola so the outcomes can be compared. The paper states altitude ranges and groundtrack requirements, not an exact parabolic spacecraft trajectory.</t>
  </si>
  <si>
    <t>Parabolic Motion Radar Model - Editable Inputs</t>
  </si>
  <si>
    <t>Change the yellow cells in column C for the custom model. Use the TRUE/FALSE scenario toggles at the right to overlay paper-derived pass cases on the Dashboard charts.</t>
  </si>
  <si>
    <t>Parameter</t>
  </si>
  <si>
    <t>Symbol</t>
  </si>
  <si>
    <t>Notes</t>
  </si>
  <si>
    <t>Paper-Derived Pass Scenario Overlays</t>
  </si>
  <si>
    <t>Closest altitude</t>
  </si>
  <si>
    <t>z0</t>
  </si>
  <si>
    <t>km</t>
  </si>
  <si>
    <t>Altitude at closest approach. Change this to test other flyby heights.</t>
  </si>
  <si>
    <t>x_min</t>
  </si>
  <si>
    <t>x_max</t>
  </si>
  <si>
    <t>x_edge</t>
  </si>
  <si>
    <t>Delta_z_edge</t>
  </si>
  <si>
    <t>Edge altitude</t>
  </si>
  <si>
    <t>Paper basis / meaning</t>
  </si>
  <si>
    <t>Side/cross-track offset</t>
  </si>
  <si>
    <t>y</t>
  </si>
  <si>
    <t>Horizontal offset of the modeled target from nadir.</t>
  </si>
  <si>
    <t>Current custom inputs</t>
  </si>
  <si>
    <t>Your editable custom case from the left table. It remains the main model used by the topography dashboard.</t>
  </si>
  <si>
    <t>Along-track minimum</t>
  </si>
  <si>
    <t>Left/start side of the modeled pass.</t>
  </si>
  <si>
    <t>Paper low-altitude 800-km pass</t>
  </si>
  <si>
    <t>Paper coverage requirement: groundtrack segments at least 800 km long below 400 km for most REASON datasets. This model makes that a parabola.</t>
  </si>
  <si>
    <t>Along-track maximum</t>
  </si>
  <si>
    <t>Right/end side of the modeled pass.</t>
  </si>
  <si>
    <t>Paper ice-ocean 1600-km pass</t>
  </si>
  <si>
    <t>Paper ice-ocean interface requirement: at least 1600 km below 1000 km. This model makes that a parabola.</t>
  </si>
  <si>
    <t>Altitude rise at edge</t>
  </si>
  <si>
    <t>How much altitude rises at +/- x_edge.</t>
  </si>
  <si>
    <t>Paper operating 25-to-1000-km pass</t>
  </si>
  <si>
    <t>Paper instrument table lists operational altitudes of 25 km to 1000 km. This shows the lower-bound closest-approach case.</t>
  </si>
  <si>
    <t>Parabola edge location</t>
  </si>
  <si>
    <t>Controls curvature together with Delta_z_edge.</t>
  </si>
  <si>
    <t>Along-track speed</t>
  </si>
  <si>
    <t>v</t>
  </si>
  <si>
    <t>km/s</t>
  </si>
  <si>
    <t>Used for range rate, Doppler, and pulse spacing.</t>
  </si>
  <si>
    <t>The paper gives altitude ranges and required groundtrack lengths, not exact parabolic equations. These rows convert those paper values into the same simplified parabola equation so outcomes can be compared on one dashboard.</t>
  </si>
  <si>
    <t>Ice refractive index</t>
  </si>
  <si>
    <t>n</t>
  </si>
  <si>
    <t>Used to convert extra slant path into apparent depth.</t>
  </si>
  <si>
    <t>VHF wavelength</t>
  </si>
  <si>
    <t>lambda_vhf</t>
  </si>
  <si>
    <t>REASON-like VHF wavelength.</t>
  </si>
  <si>
    <t>HF wavelength</t>
  </si>
  <si>
    <t>lambda_hf</t>
  </si>
  <si>
    <t>REASON-like HF wavelength.</t>
  </si>
  <si>
    <t>Interferometer baseline</t>
  </si>
  <si>
    <t>b</t>
  </si>
  <si>
    <t>Used for VHF phase estimate.</t>
  </si>
  <si>
    <t>VHF range resolution</t>
  </si>
  <si>
    <t>res_vhf</t>
  </si>
  <si>
    <t>Used for VHF apparent-depth uncertainty band.</t>
  </si>
  <si>
    <t>HF range resolution</t>
  </si>
  <si>
    <t>res_hf</t>
  </si>
  <si>
    <t>Used for HF apparent-depth uncertainty band.</t>
  </si>
  <si>
    <t>PRF choice 1</t>
  </si>
  <si>
    <t>PRF_1</t>
  </si>
  <si>
    <t>Example low PRF.</t>
  </si>
  <si>
    <t>PRF choice 2</t>
  </si>
  <si>
    <t>PRF_2</t>
  </si>
  <si>
    <t>Example medium PRF.</t>
  </si>
  <si>
    <t>PRF choice 3</t>
  </si>
  <si>
    <t>PRF_3</t>
  </si>
  <si>
    <t>Example high PRF.</t>
  </si>
  <si>
    <t>Speed of light</t>
  </si>
  <si>
    <t>c</t>
  </si>
  <si>
    <t>m/s</t>
  </si>
  <si>
    <t>Physical constant used for delay and timing.</t>
  </si>
  <si>
    <t>Model note</t>
  </si>
  <si>
    <t>The parabola is a simplified local path, not a real mission trajectory. Use it to see how geometry changes radar outputs.</t>
  </si>
  <si>
    <t>Representative Europa Topography Controls</t>
  </si>
  <si>
    <t>Topography enabled</t>
  </si>
  <si>
    <t>topography_on</t>
  </si>
  <si>
    <t>Dropdown-style toggle. TRUE adds terrain height to the radar geometry; FALSE returns to flat surface.</t>
  </si>
  <si>
    <t>Ridge height</t>
  </si>
  <si>
    <t>A_ridge</t>
  </si>
  <si>
    <t>Positive height for a representative double-ridge / raised band.</t>
  </si>
  <si>
    <t>Ridge center x</t>
  </si>
  <si>
    <t>ridge_x0</t>
  </si>
  <si>
    <t>Along-track center of the ridge.</t>
  </si>
  <si>
    <t>Ridge center y</t>
  </si>
  <si>
    <t>ridge_y0</t>
  </si>
  <si>
    <t>Cross-track center of the ridge.</t>
  </si>
  <si>
    <t>Ridge length sigma</t>
  </si>
  <si>
    <t>ridge_sigma_x</t>
  </si>
  <si>
    <t>Long direction of the ridge feature.</t>
  </si>
  <si>
    <t>Ridge width sigma</t>
  </si>
  <si>
    <t>ridge_sigma_y</t>
  </si>
  <si>
    <t>Narrow cross-track width of the ridge.</t>
  </si>
  <si>
    <t>Crater/depression depth</t>
  </si>
  <si>
    <t>D_crater</t>
  </si>
  <si>
    <t>Positive number becomes a negative depression in the surface model.</t>
  </si>
  <si>
    <t>Crater center x</t>
  </si>
  <si>
    <t>crater_x0</t>
  </si>
  <si>
    <t>Along-track center of depression.</t>
  </si>
  <si>
    <t>Crater center y</t>
  </si>
  <si>
    <t>crater_y0</t>
  </si>
  <si>
    <t>Cross-track center of depression.</t>
  </si>
  <si>
    <t>Crater width sigma</t>
  </si>
  <si>
    <t>crater_sigma</t>
  </si>
  <si>
    <t>Controls how broad the depression is.</t>
  </si>
  <si>
    <t>Chaos amplitude</t>
  </si>
  <si>
    <t>A_chaos</t>
  </si>
  <si>
    <t>Mixed sinusoidal terrain term for irregular chaos-like height variation.</t>
  </si>
  <si>
    <t>Fine roughness amplitude</t>
  </si>
  <si>
    <t>A_rough</t>
  </si>
  <si>
    <t>Smaller surface roughness term.</t>
  </si>
  <si>
    <t>Roughness wavelength x</t>
  </si>
  <si>
    <t>Lx</t>
  </si>
  <si>
    <t>Along-track roughness wavelength.</t>
  </si>
  <si>
    <t>Roughness wavelength y</t>
  </si>
  <si>
    <t>Ly</t>
  </si>
  <si>
    <t>Cross-track roughness wavelength.</t>
  </si>
  <si>
    <t>Trough depth</t>
  </si>
  <si>
    <t>D_trough</t>
  </si>
  <si>
    <t>Negative linear feature, like a fracture/trough.</t>
  </si>
  <si>
    <t>Trough center x</t>
  </si>
  <si>
    <t>trough_x0</t>
  </si>
  <si>
    <t>Along-track center of trough.</t>
  </si>
  <si>
    <t>Trough center y</t>
  </si>
  <si>
    <t>trough_y0</t>
  </si>
  <si>
    <t>Cross-track center of trough.</t>
  </si>
  <si>
    <t>Trough width sigma</t>
  </si>
  <si>
    <t>trough_sigma_y</t>
  </si>
  <si>
    <t>Narrow width of trough.</t>
  </si>
  <si>
    <t>Trough length sigma</t>
  </si>
  <si>
    <t>trough_sigma_x</t>
  </si>
  <si>
    <t>Long direction of trough.</t>
  </si>
  <si>
    <t>Terrain vertical uncertainty</t>
  </si>
  <si>
    <t>sigma_h</t>
  </si>
  <si>
    <t>Representative uncertainty band for the topographic height model.</t>
  </si>
  <si>
    <t>Terrain seed</t>
  </si>
  <si>
    <t>terrain_seed</t>
  </si>
  <si>
    <t>Change this number to generate a different repeatable random-looking surface. Same seed gives the same graphs.</t>
  </si>
  <si>
    <t>Seeded random amplitude</t>
  </si>
  <si>
    <t>A_seeded</t>
  </si>
  <si>
    <t>Strength of the generated terrain added on top of the DEM-style surface.</t>
  </si>
  <si>
    <t>Seeded random scale x</t>
  </si>
  <si>
    <t>L_seed_x</t>
  </si>
  <si>
    <t>Along-track scale for seeded terrain waves.</t>
  </si>
  <si>
    <t>Seeded random scale y</t>
  </si>
  <si>
    <t>L_seed_y</t>
  </si>
  <si>
    <t>Cross-track scale for seeded terrain waves.</t>
  </si>
  <si>
    <t>Existing DEM-style scale</t>
  </si>
  <si>
    <t>S_dem</t>
  </si>
  <si>
    <t>Multiplier for the project synthetic DEM pattern from reason_common.py.</t>
  </si>
  <si>
    <t>Topography note</t>
  </si>
  <si>
    <t>This is a detailed representative terrain model, not a real imported Europa DEM. It now combines the local project synthetic DEM shape with a seed-controlled random terrain term so you can test multiple possible surfaces.</t>
  </si>
  <si>
    <t>x_km</t>
  </si>
  <si>
    <t>z_km</t>
  </si>
  <si>
    <t>R_nadir_km</t>
  </si>
  <si>
    <t>R_off_km</t>
  </si>
  <si>
    <t>Delta_R_m</t>
  </si>
  <si>
    <t>apparent_depth_m</t>
  </si>
  <si>
    <t>extra_delay_us</t>
  </si>
  <si>
    <t>horizontal_offset_km</t>
  </si>
  <si>
    <t>look_angle_deg</t>
  </si>
  <si>
    <t>vhf_phase_deg</t>
  </si>
  <si>
    <t>relative_power</t>
  </si>
  <si>
    <t>power_dB</t>
  </si>
  <si>
    <t>dz_dx</t>
  </si>
  <si>
    <t>dz_dt_km_s</t>
  </si>
  <si>
    <t>range_rate_m_s</t>
  </si>
  <si>
    <t>vhf_doppler_hz</t>
  </si>
  <si>
    <t>hf_doppler_hz</t>
  </si>
  <si>
    <t>vhf_band_low_m</t>
  </si>
  <si>
    <t>vhf_band_high_m</t>
  </si>
  <si>
    <t>hf_band_low_m</t>
  </si>
  <si>
    <t>hf_band_high_m</t>
  </si>
  <si>
    <t>abs_vhf_doppler_hz</t>
  </si>
  <si>
    <t>abs_hf_doppler_hz</t>
  </si>
  <si>
    <t>h_nadir_m</t>
  </si>
  <si>
    <t>h_target_m</t>
  </si>
  <si>
    <t>R_nadir_topo_km</t>
  </si>
  <si>
    <t>R_off_topo_km</t>
  </si>
  <si>
    <t>Delta_R_topo_m</t>
  </si>
  <si>
    <t>apparent_depth_topo_m</t>
  </si>
  <si>
    <t>extra_delay_topo_us</t>
  </si>
  <si>
    <t>look_angle_topo_deg</t>
  </si>
  <si>
    <t>vhf_phase_topo_deg</t>
  </si>
  <si>
    <t>relative_power_topo</t>
  </si>
  <si>
    <t>power_dB_topo</t>
  </si>
  <si>
    <t>depth_change_topo_minus_flat_m</t>
  </si>
  <si>
    <t>delay_change_topo_minus_flat_us</t>
  </si>
  <si>
    <t>target_minus_nadir_height_m</t>
  </si>
  <si>
    <t>range_rate_topo_m_s</t>
  </si>
  <si>
    <t>vhf_doppler_topo_hz</t>
  </si>
  <si>
    <t>hf_doppler_topo_hz</t>
  </si>
  <si>
    <t>abs_vhf_doppler_topo_hz</t>
  </si>
  <si>
    <t>abs_hf_doppler_topo_hz</t>
  </si>
  <si>
    <t>topo_depth_uncertainty_m</t>
  </si>
  <si>
    <t>topo_depth_low_m</t>
  </si>
  <si>
    <t>topo_depth_high_m</t>
  </si>
  <si>
    <t>x (km)</t>
  </si>
  <si>
    <t>Constant-altitude flat-surface reading (m)</t>
  </si>
  <si>
    <t>Parabolic flat-surface reading (m)</t>
  </si>
  <si>
    <t>Parabolic with planet surface reading (m)</t>
  </si>
  <si>
    <t>Target topography preview height (m)</t>
  </si>
  <si>
    <t>Nadir topography preview height (m)</t>
  </si>
  <si>
    <t>Planet surface height at target (m)</t>
  </si>
  <si>
    <t>Satellite apparent surface reading (height-equivalent m)</t>
  </si>
  <si>
    <t>Flat VHF Doppler (Hz)</t>
  </si>
  <si>
    <t>Topography-preview VHF Doppler (Hz)</t>
  </si>
  <si>
    <t>Flat HF Doppler (Hz)</t>
  </si>
  <si>
    <t>Topography-preview HF Doppler (Hz)</t>
  </si>
  <si>
    <t>Altitude rise above z0 (km)</t>
  </si>
  <si>
    <t>Preview topographic off-nadir range (km)</t>
  </si>
  <si>
    <t>Preview topographic range rate (m/s)</t>
  </si>
  <si>
    <t>Preview VHF Doppler (Hz)</t>
  </si>
  <si>
    <t>Preview HF Doppler (Hz)</t>
  </si>
  <si>
    <t>pass fraction</t>
  </si>
  <si>
    <t>Current custom inputs altitude (km)</t>
  </si>
  <si>
    <t>Paper low-altitude 800-km pass altitude (km)</t>
  </si>
  <si>
    <t>Paper ice-ocean 1600-km pass altitude (km)</t>
  </si>
  <si>
    <t>Paper operating 25-to-1000-km pass altitude (km)</t>
  </si>
  <si>
    <t>Current custom inputs apparent depth (m)</t>
  </si>
  <si>
    <t>Paper low-altitude 800-km pass apparent depth (m)</t>
  </si>
  <si>
    <t>Paper ice-ocean 1600-km pass apparent depth (m)</t>
  </si>
  <si>
    <t>Paper operating 25-to-1000-km pass apparent depth (m)</t>
  </si>
  <si>
    <t>Current custom inputs VHF Doppler (Hz)</t>
  </si>
  <si>
    <t>Paper low-altitude 800-km pass VHF Doppler (Hz)</t>
  </si>
  <si>
    <t>Paper ice-ocean 1600-km pass VHF Doppler (Hz)</t>
  </si>
  <si>
    <t>Paper operating 25-to-1000-km pass VHF Doppler (Hz)</t>
  </si>
  <si>
    <t>Current custom inputs x (km)</t>
  </si>
  <si>
    <t>Paper low-altitude 800-km pass x (km)</t>
  </si>
  <si>
    <t>Paper ice-ocean 1600-km pass x (km)</t>
  </si>
  <si>
    <t>Paper operating 25-to-1000-km pass x (km)</t>
  </si>
  <si>
    <t>Current custom inputs raw altitude (km)</t>
  </si>
  <si>
    <t>Paper low-altitude 800-km pass raw altitude (km)</t>
  </si>
  <si>
    <t>Paper ice-ocean 1600-km pass raw altitude (km)</t>
  </si>
  <si>
    <t>Paper operating 25-to-1000-km pass raw altitude (km)</t>
  </si>
  <si>
    <t>Current custom inputs raw apparent depth (m)</t>
  </si>
  <si>
    <t>Paper low-altitude 800-km pass raw apparent depth (m)</t>
  </si>
  <si>
    <t>Paper ice-ocean 1600-km pass raw apparent depth (m)</t>
  </si>
  <si>
    <t>Paper operating 25-to-1000-km pass raw apparent depth (m)</t>
  </si>
  <si>
    <t>Current custom inputs raw VHF Doppler (Hz)</t>
  </si>
  <si>
    <t>Paper low-altitude 800-km pass raw VHF Doppler (Hz)</t>
  </si>
  <si>
    <t>Paper ice-ocean 1600-km pass raw VHF Doppler (Hz)</t>
  </si>
  <si>
    <t>Paper operating 25-to-1000-km pass raw VHF Doppler (Hz)</t>
  </si>
  <si>
    <t>PRF and Pulse Timing Results</t>
  </si>
  <si>
    <t>Doppler sampling status</t>
  </si>
  <si>
    <t>Formula Guide</t>
  </si>
  <si>
    <t>Formula</t>
  </si>
  <si>
    <t>Meaning</t>
  </si>
  <si>
    <t>Inputs used</t>
  </si>
  <si>
    <t>Output produced</t>
  </si>
  <si>
    <t>z(x) = z0 + Delta_z_edge*(x/x_edge)^2</t>
  </si>
  <si>
    <t>Parabolic altitude path.</t>
  </si>
  <si>
    <t>z0, Delta_z_edge, x, x_edge</t>
  </si>
  <si>
    <t>altitude z</t>
  </si>
  <si>
    <t>Paper pass scenario = paper altitude/length values inserted into z(x)</t>
  </si>
  <si>
    <t>The paper gives altitude ranges and groundtrack lengths; this workbook converts them into comparable parabolic cases.</t>
  </si>
  <si>
    <t>Inputs F6:N9</t>
  </si>
  <si>
    <t>scenario overlays</t>
  </si>
  <si>
    <t>scenario_show = TRUE/FALSE</t>
  </si>
  <si>
    <t>Controls whether a scenario line appears in the paper-pass charts. The summary table still calculates all scenarios.</t>
  </si>
  <si>
    <t>Inputs F6:F9</t>
  </si>
  <si>
    <t>visible chart series</t>
  </si>
  <si>
    <t>R_off = sqrt(x^2 + y^2 + z^2)</t>
  </si>
  <si>
    <t>Slant range from radar to side-offset target.</t>
  </si>
  <si>
    <t>x, y, z</t>
  </si>
  <si>
    <t>off-nadir range</t>
  </si>
  <si>
    <t>R_nadir = z</t>
  </si>
  <si>
    <t>Range to target directly below platform.</t>
  </si>
  <si>
    <t>z</t>
  </si>
  <si>
    <t>nadir range</t>
  </si>
  <si>
    <t>Delta_R = R_off - R_nadir</t>
  </si>
  <si>
    <t>Extra one-way path from side offset.</t>
  </si>
  <si>
    <t>R_off, R_nadir</t>
  </si>
  <si>
    <t>extra range</t>
  </si>
  <si>
    <t>d_app = Delta_R / n</t>
  </si>
  <si>
    <t>Maps extra range onto apparent in-ice depth.</t>
  </si>
  <si>
    <t>Delta_R, n</t>
  </si>
  <si>
    <t>apparent depth</t>
  </si>
  <si>
    <t>Delta_t = 2*Delta_R/c</t>
  </si>
  <si>
    <t>Two-way extra echo delay.</t>
  </si>
  <si>
    <t>Delta_R, c</t>
  </si>
  <si>
    <t>extra delay</t>
  </si>
  <si>
    <t>theta = atan(horizontal/z)</t>
  </si>
  <si>
    <t>Look angle away from nadir.</t>
  </si>
  <si>
    <t>look angle</t>
  </si>
  <si>
    <t>phi = (2*pi/lambda)*b*sin(theta)</t>
  </si>
  <si>
    <t>Interferometric phase for VHF baseline.</t>
  </si>
  <si>
    <t>lambda, b, theta</t>
  </si>
  <si>
    <t>phase</t>
  </si>
  <si>
    <t>P_rel = (R_nadir/R_off)^4</t>
  </si>
  <si>
    <t>Simple geometry-only two-way range-power ratio.</t>
  </si>
  <si>
    <t>R_nadir, R_off</t>
  </si>
  <si>
    <t>relative power</t>
  </si>
  <si>
    <t>dz/dx = 2*a*x</t>
  </si>
  <si>
    <t>Slope of parabolic altitude path.</t>
  </si>
  <si>
    <t>a, x</t>
  </si>
  <si>
    <t>vertical slope</t>
  </si>
  <si>
    <t>dz/dt = dz/dx * v</t>
  </si>
  <si>
    <t>Vertical speed caused by moving along the parabola.</t>
  </si>
  <si>
    <t>dz/dx, v</t>
  </si>
  <si>
    <t>vertical speed</t>
  </si>
  <si>
    <t>dR/dt = (x*v + z*dz/dt)/R</t>
  </si>
  <si>
    <t>Range rate from chain rule.</t>
  </si>
  <si>
    <t>x, v, z, dz/dt, R</t>
  </si>
  <si>
    <t>range rate</t>
  </si>
  <si>
    <t>f_D = -2*(dR/dt)/lambda</t>
  </si>
  <si>
    <t>Two-way Doppler shift.</t>
  </si>
  <si>
    <t>range rate, lambda</t>
  </si>
  <si>
    <t>Doppler</t>
  </si>
  <si>
    <t>PRF_min = 2*max(abs(f_D))</t>
  </si>
  <si>
    <t>Simple Doppler sampling floor.</t>
  </si>
  <si>
    <t>minimum PRF</t>
  </si>
  <si>
    <t>h_project = S_dem*(ridge + scallop + chaos + along_bulge)</t>
  </si>
  <si>
    <t>Project synthetic DEM-style terrain from reason_common.py, rewritten in Excel formulas.</t>
  </si>
  <si>
    <t>S_dem, x, y</t>
  </si>
  <si>
    <t>baseline representative surface</t>
  </si>
  <si>
    <t>h_seeded = A_seeded*(smooth waves + deterministic hash)</t>
  </si>
  <si>
    <t>Seed-controlled random-looking terrain. Same seed repeats the same surface; changing the seed changes the surface.</t>
  </si>
  <si>
    <t>terrain_seed, A_seeded, L_seed_x, L_seed_y</t>
  </si>
  <si>
    <t>dynamic terrain variation</t>
  </si>
  <si>
    <t>h_total = h_project + h_ridge + h_crater + h_chaos + h_rough + h_trough + h_seeded</t>
  </si>
  <si>
    <t>Representative Europa topography model.</t>
  </si>
  <si>
    <t>topography controls and seed controls</t>
  </si>
  <si>
    <t>surface height</t>
  </si>
  <si>
    <t>h_ridge = A*exp(-(x-x0)^2/(2*sx^2))*exp(-(y-y0)^2/(2*sy^2))</t>
  </si>
  <si>
    <t>Raised ridge / band feature.</t>
  </si>
  <si>
    <t>ridge height, center, length, width</t>
  </si>
  <si>
    <t>ridge height</t>
  </si>
  <si>
    <t>h_crater = -D*exp(-((x-x0)^2+(y-y0)^2)/(2*sigma^2))</t>
  </si>
  <si>
    <t>Depression or crater-like low area.</t>
  </si>
  <si>
    <t>crater depth, center, width</t>
  </si>
  <si>
    <t>depression height</t>
  </si>
  <si>
    <t>h_rough = A*sin(2*pi*x/Lx)*sin(2*pi*y/Ly)</t>
  </si>
  <si>
    <t>Fine roughness variation.</t>
  </si>
  <si>
    <t>roughness amplitude and wavelength</t>
  </si>
  <si>
    <t>roughness height</t>
  </si>
  <si>
    <t>R_off_topo = sqrt(x^2 + y^2 + (z - h_target/1000)^2)</t>
  </si>
  <si>
    <t>Topography-adjusted slant range.</t>
  </si>
  <si>
    <t>x, y, z, target height</t>
  </si>
  <si>
    <t>topographic range</t>
  </si>
  <si>
    <t>R_nadir_topo = z - h_nadir/1000</t>
  </si>
  <si>
    <t>Nadir range after local surface elevation is included.</t>
  </si>
  <si>
    <t>z, nadir height</t>
  </si>
  <si>
    <t>topographic nadir range</t>
  </si>
  <si>
    <t>d_app_topo = (R_off_topo - R_nadir_topo)/n</t>
  </si>
  <si>
    <t>Topography-adjusted apparent depth.</t>
  </si>
  <si>
    <t>topographic ranges, n</t>
  </si>
  <si>
    <t>apparent depth with topography</t>
  </si>
  <si>
    <t>surface_signal = h_target - h_nadir</t>
  </si>
  <si>
    <t>The original modeled surface/topography difference between the target path and nadir path.</t>
  </si>
  <si>
    <t>h_target, h_nadir</t>
  </si>
  <si>
    <t>true surface signal</t>
  </si>
  <si>
    <t>apparent_surface_shift = -(d_app_topo - d_app_flat)</t>
  </si>
  <si>
    <t>The radar-apparent shift caused by that surface signal. Positive means the echo appears shallower.</t>
  </si>
  <si>
    <t>d_app_topo, d_app_flat</t>
  </si>
  <si>
    <t>radar-apparent shift</t>
  </si>
  <si>
    <t>constant-altitude shift</t>
  </si>
  <si>
    <t>Same topography shift calculation, but with z held constant at z0 instead of using the parabola.</t>
  </si>
  <si>
    <t>z0, h_target, h_nadir</t>
  </si>
  <si>
    <t>path-motion comparison</t>
  </si>
  <si>
    <t>Topography Formula Explanation</t>
  </si>
  <si>
    <t>This sheet explains the representative Europa topography model used when Inputs!C27 is TRUE. It is not a real imported DEM; it combines the project's synthetic DEM-style terrain with a seed-controlled random terrain term for testing multiple possible surfaces.</t>
  </si>
  <si>
    <t>Piece</t>
  </si>
  <si>
    <t>What it represents</t>
  </si>
  <si>
    <t>Changeable inputs</t>
  </si>
  <si>
    <t>Effect on radar output</t>
  </si>
  <si>
    <t>Checkbox / toggle</t>
  </si>
  <si>
    <t>topography_factor = IF(OR(Inputs!C27=TRUE, Inputs!C27="TRUE", Inputs!C27=1), 1, 0)</t>
  </si>
  <si>
    <t>Turns all terrain terms on or off.</t>
  </si>
  <si>
    <t>Inputs!C27</t>
  </si>
  <si>
    <t>TRUE includes terrain height; FALSE makes all h(x,y) terms equal 0.</t>
  </si>
  <si>
    <t>Project DEM-style surface</t>
  </si>
  <si>
    <t>h_project = S_dem*(115*EXP(-((y-25)^2)/(4.5^2)) + 70*EXP(-((y+38)^2)/(7^2))*(0.55+0.45*SIN(2*PI()*x/45)) + 24*SIN(2*PI()*y/9+x/18)*EXP(-((y+5)^2)/(22^2)) + 18*SIN(2*PI()*x/70))</t>
  </si>
  <si>
    <t>The same style as the existing local make_synthetic_dem model: an off-nadir ridge, scalloped terrain, chaos-like variation, and along-track bulge.</t>
  </si>
  <si>
    <t>Provides a repeatable baseline terrain pattern based on the existing project model.</t>
  </si>
  <si>
    <t>Seeded dynamic terrain</t>
  </si>
  <si>
    <t>h_seeded = A_seeded*(0.70*smooth_seeded_waves + 0.30*deterministic_hash(x,y,seed))</t>
  </si>
  <si>
    <t>A random-looking but repeatable terrain term. It avoids volatile RAND(), so the graph stays stable until the seed is changed.</t>
  </si>
  <si>
    <t>Changing the seed tests a different possible topographic case.</t>
  </si>
  <si>
    <t>Raised ridge</t>
  </si>
  <si>
    <t>h_ridge = A_ridge*EXP(-((x-ridge_x0)^2)/(2*ridge_sigma_x^2))*EXP(-((y-ridge_y0)^2)/(2*ridge_sigma_y^2))</t>
  </si>
  <si>
    <t>A long, narrow positive-height ridge or band, similar to a simplified Europa lineament/ridge.</t>
  </si>
  <si>
    <t>A_ridge, ridge_x0, ridge_y0, ridge_sigma_x, ridge_sigma_y</t>
  </si>
  <si>
    <t>A raised target usually shortens the target range and can pull apparent depth upward/shallower.</t>
  </si>
  <si>
    <t>Crater/depression</t>
  </si>
  <si>
    <t>h_crater = -D_crater*EXP(-(((x-crater_x0)^2+(y-crater_y0)^2)/(2*crater_sigma^2)))</t>
  </si>
  <si>
    <t>A negative-height circular depression.</t>
  </si>
  <si>
    <t>D_crater, crater_x0, crater_y0, crater_sigma</t>
  </si>
  <si>
    <t>A depression usually lengthens the target range and can push apparent depth deeper.</t>
  </si>
  <si>
    <t>Chaos terrain</t>
  </si>
  <si>
    <t>h_chaos = A_chaos*(0.55*SIN(2*PI()*x/Lx)+0.35*COS(2*PI()*y/Ly)+0.2*SIN(2*PI()*(x+y)/(0.5*(Lx+Ly))))</t>
  </si>
  <si>
    <t>A mixed wave term that gives irregular terrain instead of a single smooth hill.</t>
  </si>
  <si>
    <t>A_chaos, Lx, Ly</t>
  </si>
  <si>
    <t>Adds broad, uneven changes to terrain height along the pass.</t>
  </si>
  <si>
    <t>Fine roughness</t>
  </si>
  <si>
    <t>h_rough = A_rough*SIN(2*PI()*x/Lx)*SIN(2*PI()*y/Ly)</t>
  </si>
  <si>
    <t>Smaller oscillating roughness on top of the larger terrain terms.</t>
  </si>
  <si>
    <t>A_rough, Lx, Ly</t>
  </si>
  <si>
    <t>Creates smaller-scale wiggles in topography-adjusted range/depth.</t>
  </si>
  <si>
    <t>Trough/fracture</t>
  </si>
  <si>
    <t>h_trough = -D_trough*EXP(-((y-trough_y0)^2)/(2*trough_sigma_y^2))*EXP(-((x-trough_x0)^2)/(2*trough_sigma_x^2))</t>
  </si>
  <si>
    <t>A long negative-height trough or fracture-like feature.</t>
  </si>
  <si>
    <t>D_trough, trough_x0, trough_y0, trough_sigma_y, trough_sigma_x</t>
  </si>
  <si>
    <t>Can create a localized deeper apparent-depth shift.</t>
  </si>
  <si>
    <t>Total surface height</t>
  </si>
  <si>
    <t>h_total(x,y) = topography_factor*(h_project + h_ridge + h_crater + h_chaos + h_rough + h_trough + h_seeded)</t>
  </si>
  <si>
    <t>The combined representative terrain surface used by the model.</t>
  </si>
  <si>
    <t>All topography and seed controls</t>
  </si>
  <si>
    <t>This is the terrain height used in the range equations.</t>
  </si>
  <si>
    <t>Nadir topographic height</t>
  </si>
  <si>
    <t>h_nadir = h_total(x, 0)</t>
  </si>
  <si>
    <t>Surface height directly below the spacecraft path.</t>
  </si>
  <si>
    <t>x plus all topography controls</t>
  </si>
  <si>
    <t>Changes the reference/nadir range.</t>
  </si>
  <si>
    <t>Target topographic height</t>
  </si>
  <si>
    <t>h_target = h_total(x, y)</t>
  </si>
  <si>
    <t>Surface height at the side-offset target path.</t>
  </si>
  <si>
    <t>x, y plus all topography controls</t>
  </si>
  <si>
    <t>Changes the off-nadir slant range.</t>
  </si>
  <si>
    <t>Topographic nadir range</t>
  </si>
  <si>
    <t>R_nadir_topo = z(x) - h_nadir/1000</t>
  </si>
  <si>
    <t>Distance from spacecraft to the raised/lowered nadir surface.</t>
  </si>
  <si>
    <t>z(x), h_nadir</t>
  </si>
  <si>
    <t>Raised nadir terrain shortens the reference range.</t>
  </si>
  <si>
    <t>Topographic off-nadir range</t>
  </si>
  <si>
    <t>R_off_topo = SQRT(x^2 + y^2 + (z(x) - h_target/1000)^2)</t>
  </si>
  <si>
    <t>Slant range to the side-offset target after terrain height is included.</t>
  </si>
  <si>
    <t>x, y, z(x), h_target</t>
  </si>
  <si>
    <t>Raised target terrain shortens the slant range.</t>
  </si>
  <si>
    <t>Topographic apparent depth</t>
  </si>
  <si>
    <t>d_app_topo = (R_off_topo - R_nadir_topo)*1000/n</t>
  </si>
  <si>
    <t>The apparent depth after topography changes both reference and target ranges.</t>
  </si>
  <si>
    <t>R_off_topo, R_nadir_topo, n</t>
  </si>
  <si>
    <t>This is the main output compared against flat apparent depth.</t>
  </si>
  <si>
    <t>Topography depth difference</t>
  </si>
  <si>
    <t>depth_change = d_app_topo - d_app_flat</t>
  </si>
  <si>
    <t>How much terrain changes the apparent-depth result.</t>
  </si>
  <si>
    <t>Negative means topography makes the echo appear shallower; positive means deeper.</t>
  </si>
  <si>
    <t>Workbook Checks</t>
  </si>
  <si>
    <t>Check</t>
  </si>
  <si>
    <t>x_min &lt; x_max</t>
  </si>
  <si>
    <t>Inputs!C7 must be less than Inputs!C8</t>
  </si>
  <si>
    <t>z0 positive</t>
  </si>
  <si>
    <t>Closest altitude must be positive</t>
  </si>
  <si>
    <t>x_edge positive</t>
  </si>
  <si>
    <t>Parabola edge must be positive</t>
  </si>
  <si>
    <t>ice refractive index positive</t>
  </si>
  <si>
    <t>n must be positive</t>
  </si>
  <si>
    <t>wavelengths positive</t>
  </si>
  <si>
    <t>HF and VHF wavelengths must be positive</t>
  </si>
  <si>
    <t>baseline positive</t>
  </si>
  <si>
    <t>Interferometry baseline must be positive</t>
  </si>
  <si>
    <t>topography toggle valid</t>
  </si>
  <si>
    <t>Inputs!C27 must be TRUE or FALSE</t>
  </si>
  <si>
    <t>topography widths positive</t>
  </si>
  <si>
    <t>Terrain sigma/width/wavelength values must be positive</t>
  </si>
  <si>
    <t>terrain uncertainty nonnegative</t>
  </si>
  <si>
    <t>Representative vertical uncertainty should be &gt;= 0</t>
  </si>
  <si>
    <t>seeded terrain scales positive</t>
  </si>
  <si>
    <t>Seeded random terrain scales must be positive</t>
  </si>
  <si>
    <t>seeded random amplitude nonnegative</t>
  </si>
  <si>
    <t>Seeded random terrain amplitude should be &gt;= 0</t>
  </si>
  <si>
    <t>project DEM scale nonnegative</t>
  </si>
  <si>
    <t>Existing DEM-style scale should be &gt;= 0</t>
  </si>
  <si>
    <t>scenario toggles valid</t>
  </si>
  <si>
    <t>Inputs!F6:F9 must be TRUE or FALSE</t>
  </si>
  <si>
    <t>scenario lengths positive</t>
  </si>
  <si>
    <t>Each scenario must have x_min &lt; x_max and x_edge &gt; 0</t>
  </si>
  <si>
    <t>PRF high vs simple PRF floor</t>
  </si>
  <si>
    <t>PRF_3 should exceed Dashboard topo minimum PRF for the default check</t>
  </si>
  <si>
    <t>model rows available</t>
  </si>
  <si>
    <t>Model_Data contains 241 plotted positions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</si>
</sst>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font>
      <sz val="11"/>
      <name val="Carlito"/>
    </font>
    <font>
      <b/>
      <sz val="16"/>
      <color rgb="FFFFFFFF"/>
      <name val="Calibri"/>
    </font>
    <font>
      <i/>
      <sz val="10"/>
      <color rgb="FF344054"/>
      <name val="Calibri"/>
    </font>
    <font>
      <sz val="10"/>
      <color rgb="FF344054"/>
      <name val="Calibri"/>
    </font>
    <font>
      <b/>
      <sz val="10"/>
      <color rgb="FF0B2545"/>
      <name val="Calibri"/>
    </font>
    <font>
      <b/>
      <sz val="12"/>
      <color rgb="FF0B2545"/>
      <name val="Calibri"/>
    </font>
    <font>
      <sz val="10"/>
      <color rgb="FF0B2545"/>
      <name val="Calibri"/>
    </font>
    <font>
      <sz val="9"/>
      <color rgb="FF0B2545"/>
      <name val="Consolas"/>
    </font>
  </fonts>
  <fills count="7">
    <fill>
      <patternFill patternType="none"/>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s>
  <borders count="5">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s>
  <cellStyleXfs count="1">
    <xf numFmtId="0" fontId="0" fillId="0" borderId="0"/>
  </cellStyleXfs>
  <cellXfs count="22">
    <xf numFmtId="0" fontId="0" fillId="0" borderId="0" xfId="0"/>
    <xf numFmtId="0" fontId="3" fillId="0" borderId="1" xfId="0" applyFont="1" applyBorder="1" applyAlignment="1">
      <alignment vertical="center" wrapText="1"/>
    </xf>
    <xf numFmtId="0" fontId="4" fillId="3" borderId="1" xfId="0" applyFont="1" applyFill="1" applyBorder="1" applyAlignment="1">
      <alignment horizontal="center" vertical="center" wrapText="1"/>
    </xf>
    <xf numFmtId="2" fontId="4" fillId="4" borderId="1" xfId="0" applyNumberFormat="1" applyFont="1" applyFill="1" applyBorder="1" applyAlignment="1">
      <alignment horizontal="right" vertical="center" wrapText="1"/>
    </xf>
    <xf numFmtId="1" fontId="4" fillId="4" borderId="1" xfId="0" applyNumberFormat="1" applyFont="1" applyFill="1" applyBorder="1" applyAlignment="1">
      <alignment horizontal="right" vertical="center" wrapText="1"/>
    </xf>
    <xf numFmtId="0" fontId="3" fillId="5" borderId="2" xfId="0" applyFont="1" applyFill="1" applyBorder="1" applyAlignment="1">
      <alignment wrapText="1"/>
    </xf>
    <xf numFmtId="0" fontId="4" fillId="6" borderId="1" xfId="0" applyFont="1" applyFill="1" applyBorder="1" applyAlignment="1">
      <alignment horizontal="center" vertical="center" wrapText="1"/>
    </xf>
    <xf numFmtId="2" fontId="6" fillId="6" borderId="1" xfId="0" applyNumberFormat="1" applyFont="1" applyFill="1" applyBorder="1" applyAlignment="1">
      <alignment horizontal="right" vertical="center" wrapText="1"/>
    </xf>
    <xf numFmtId="0" fontId="4" fillId="4" borderId="1" xfId="0" applyFont="1" applyFill="1" applyBorder="1" applyAlignment="1">
      <alignment horizontal="center" vertical="center" wrapText="1"/>
    </xf>
    <xf numFmtId="164" fontId="3" fillId="0" borderId="1" xfId="0" applyNumberFormat="1" applyFont="1" applyBorder="1" applyAlignment="1">
      <alignment vertical="center" wrapText="1"/>
    </xf>
    <xf numFmtId="164" fontId="0" fillId="0" borderId="0" xfId="0" applyNumberFormat="1"/>
    <xf numFmtId="164" fontId="4" fillId="6" borderId="1" xfId="0" applyNumberFormat="1" applyFont="1" applyFill="1" applyBorder="1" applyAlignment="1">
      <alignment horizontal="right" vertical="center" wrapText="1"/>
    </xf>
    <xf numFmtId="0" fontId="7" fillId="0" borderId="1" xfId="0" applyFont="1" applyBorder="1" applyAlignment="1">
      <alignment vertical="center" wrapText="1"/>
    </xf>
    <xf numFmtId="0" fontId="1" fillId="2" borderId="0" xfId="0" applyFont="1" applyFill="1" applyAlignment="1">
      <alignment horizontal="center" vertical="center"/>
    </xf>
    <xf numFmtId="0" fontId="3" fillId="3" borderId="0" xfId="0" applyFont="1" applyFill="1" applyAlignment="1">
      <alignment wrapText="1"/>
    </xf>
    <xf numFmtId="0" fontId="5" fillId="6" borderId="2" xfId="0" applyFont="1" applyFill="1" applyBorder="1" applyAlignment="1">
      <alignment horizontal="left" vertical="center"/>
    </xf>
    <xf numFmtId="0" fontId="5" fillId="6" borderId="3" xfId="0" applyFont="1" applyFill="1" applyBorder="1" applyAlignment="1">
      <alignment horizontal="left" vertical="center"/>
    </xf>
    <xf numFmtId="0" fontId="5" fillId="6" borderId="4" xfId="0" applyFont="1" applyFill="1" applyBorder="1" applyAlignment="1">
      <alignment horizontal="left" vertical="center"/>
    </xf>
    <xf numFmtId="0" fontId="3" fillId="5" borderId="2" xfId="0" applyFont="1" applyFill="1" applyBorder="1" applyAlignment="1">
      <alignment wrapText="1"/>
    </xf>
    <xf numFmtId="0" fontId="3" fillId="5" borderId="3" xfId="0" applyFont="1" applyFill="1" applyBorder="1" applyAlignment="1">
      <alignment wrapText="1"/>
    </xf>
    <xf numFmtId="0" fontId="3" fillId="5" borderId="4" xfId="0" applyFont="1" applyFill="1" applyBorder="1" applyAlignment="1">
      <alignment wrapText="1"/>
    </xf>
    <xf numFmtId="0" fontId="2" fillId="3" borderId="0" xfId="0" applyFont="1" applyFill="1" applyAlignment="1">
      <alignment wrapText="1"/>
    </xf>
  </cellXfs>
  <cellStyles count="1">
    <cellStyle name="Normal" xfId="0" builtinId="0"/>
  </cellStyles>
  <dxfs count="2">
    <dxf>
      <font>
        <b/>
        <color rgb="FF0B2545"/>
      </font>
      <fill>
        <patternFill patternType="solid">
          <bgColor rgb="FFFCEFD9"/>
        </patternFill>
      </fill>
    </dxf>
    <dxf>
      <font>
        <b/>
        <color rgb="FF0B2545"/>
      </font>
      <fill>
        <patternFill patternType="solid">
          <bgColor rgb="FFDFF4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Combined Satellite Apparent Readings</a:t>
            </a:r>
          </a:p>
        </c:rich>
      </c:tx>
      <c:overlay val="0"/>
    </c:title>
    <c:autoTitleDeleted val="0"/>
    <c:plotArea>
      <c:layout/>
      <c:lineChart>
        <c:grouping val="standard"/>
        <c:varyColors val="1"/>
        <c:ser>
          <c:idx val="0"/>
          <c:order val="0"/>
          <c:tx>
            <c:v>Constant-altitude flat-surface reading (m)</c:v>
          </c:tx>
          <c:spPr>
            <a:ln w="9000"/>
          </c:spPr>
          <c:cat>
            <c:numRef>
              <c:f>Chart_Data!$A$2:$A$242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cat>
          <c:val>
            <c:numRef>
              <c:f>Chart_Data!$B$2:$B$242</c:f>
              <c:numCache>
                <c:formatCode>0.000</c:formatCode>
                <c:ptCount val="241"/>
                <c:pt idx="0">
                  <c:v>2947.6619994621419</c:v>
                </c:pt>
                <c:pt idx="1">
                  <c:v>2906.2422198150257</c:v>
                </c:pt>
                <c:pt idx="2">
                  <c:v>2865.1616052631393</c:v>
                </c:pt>
                <c:pt idx="3">
                  <c:v>2824.4203395046129</c:v>
                </c:pt>
                <c:pt idx="4">
                  <c:v>2784.0186048512683</c:v>
                </c:pt>
                <c:pt idx="5">
                  <c:v>2743.956582224499</c:v>
                </c:pt>
                <c:pt idx="6">
                  <c:v>2704.2344511514057</c:v>
                </c:pt>
                <c:pt idx="7">
                  <c:v>2664.8523897608998</c:v>
                </c:pt>
                <c:pt idx="8">
                  <c:v>2625.8105747797149</c:v>
                </c:pt>
                <c:pt idx="9">
                  <c:v>2587.1091815287296</c:v>
                </c:pt>
                <c:pt idx="10">
                  <c:v>2548.7483839189476</c:v>
                </c:pt>
                <c:pt idx="11">
                  <c:v>2510.7283544477896</c:v>
                </c:pt>
                <c:pt idx="12">
                  <c:v>2473.0492641952978</c:v>
                </c:pt>
                <c:pt idx="13">
                  <c:v>2435.7112828204276</c:v>
                </c:pt>
                <c:pt idx="14">
                  <c:v>2398.7145785572161</c:v>
                </c:pt>
                <c:pt idx="15">
                  <c:v>2362.059318211112</c:v>
                </c:pt>
                <c:pt idx="16">
                  <c:v>2325.7456671554596</c:v>
                </c:pt>
                <c:pt idx="17">
                  <c:v>2289.7737893275739</c:v>
                </c:pt>
                <c:pt idx="18">
                  <c:v>2254.1438472253849</c:v>
                </c:pt>
                <c:pt idx="19">
                  <c:v>2218.8560019037022</c:v>
                </c:pt>
                <c:pt idx="20">
                  <c:v>2183.9104129706707</c:v>
                </c:pt>
                <c:pt idx="21">
                  <c:v>2149.3072385843216</c:v>
                </c:pt>
                <c:pt idx="22">
                  <c:v>2115.0466354489636</c:v>
                </c:pt>
                <c:pt idx="23">
                  <c:v>2081.1287588117648</c:v>
                </c:pt>
                <c:pt idx="24">
                  <c:v>2047.5537624593067</c:v>
                </c:pt>
                <c:pt idx="25">
                  <c:v>2014.3217987140999</c:v>
                </c:pt>
                <c:pt idx="26">
                  <c:v>1981.4330184313289</c:v>
                </c:pt>
                <c:pt idx="27">
                  <c:v>1948.887570995307</c:v>
                </c:pt>
                <c:pt idx="28">
                  <c:v>1916.6856043164103</c:v>
                </c:pt>
                <c:pt idx="29">
                  <c:v>1884.8272648274692</c:v>
                </c:pt>
                <c:pt idx="30">
                  <c:v>1853.3126974807026</c:v>
                </c:pt>
                <c:pt idx="31">
                  <c:v>1822.142045744429</c:v>
                </c:pt>
                <c:pt idx="32">
                  <c:v>1791.3154515998726</c:v>
                </c:pt>
                <c:pt idx="33">
                  <c:v>1760.8330555379382</c:v>
                </c:pt>
                <c:pt idx="34">
                  <c:v>1730.6949965560814</c:v>
                </c:pt>
                <c:pt idx="35">
                  <c:v>1700.9014121552116</c:v>
                </c:pt>
                <c:pt idx="36">
                  <c:v>1671.4524383365294</c:v>
                </c:pt>
                <c:pt idx="37">
                  <c:v>1642.3482095986215</c:v>
                </c:pt>
                <c:pt idx="38">
                  <c:v>1613.5888589342665</c:v>
                </c:pt>
                <c:pt idx="39">
                  <c:v>1585.1745178275614</c:v>
                </c:pt>
                <c:pt idx="40">
                  <c:v>1557.1053162508879</c:v>
                </c:pt>
                <c:pt idx="41">
                  <c:v>1529.3813826619735</c:v>
                </c:pt>
                <c:pt idx="42">
                  <c:v>1502.0028440010826</c:v>
                </c:pt>
                <c:pt idx="43">
                  <c:v>1474.9698256880454</c:v>
                </c:pt>
                <c:pt idx="44">
                  <c:v>1448.2824516194801</c:v>
                </c:pt>
                <c:pt idx="45">
                  <c:v>1421.9408441659828</c:v>
                </c:pt>
                <c:pt idx="46">
                  <c:v>1395.9451241693491</c:v>
                </c:pt>
                <c:pt idx="47">
                  <c:v>1370.2954109397635</c:v>
                </c:pt>
                <c:pt idx="48">
                  <c:v>1344.9918222533095</c:v>
                </c:pt>
                <c:pt idx="49">
                  <c:v>1320.0344743489659</c:v>
                </c:pt>
                <c:pt idx="50">
                  <c:v>1295.4234819262779</c:v>
                </c:pt>
                <c:pt idx="51">
                  <c:v>1271.158958142609</c:v>
                </c:pt>
                <c:pt idx="52">
                  <c:v>1247.2410146105549</c:v>
                </c:pt>
                <c:pt idx="53">
                  <c:v>1223.6697613953572</c:v>
                </c:pt>
                <c:pt idx="54">
                  <c:v>1200.4453070126031</c:v>
                </c:pt>
                <c:pt idx="55">
                  <c:v>1177.5677584254802</c:v>
                </c:pt>
                <c:pt idx="56">
                  <c:v>1155.0372210426042</c:v>
                </c:pt>
                <c:pt idx="57">
                  <c:v>1132.8537987153045</c:v>
                </c:pt>
                <c:pt idx="58">
                  <c:v>1111.0175937355809</c:v>
                </c:pt>
                <c:pt idx="59">
                  <c:v>1089.528706833516</c:v>
                </c:pt>
                <c:pt idx="60">
                  <c:v>1068.3872371751047</c:v>
                </c:pt>
                <c:pt idx="61">
                  <c:v>1047.5932823598905</c:v>
                </c:pt>
                <c:pt idx="62">
                  <c:v>1027.146938418826</c:v>
                </c:pt>
                <c:pt idx="63">
                  <c:v>1007.0482998120052</c:v>
                </c:pt>
                <c:pt idx="64">
                  <c:v>987.29745942652437</c:v>
                </c:pt>
                <c:pt idx="65">
                  <c:v>967.89450857437419</c:v>
                </c:pt>
                <c:pt idx="66">
                  <c:v>948.83953699023641</c:v>
                </c:pt>
                <c:pt idx="67">
                  <c:v>930.13263282956723</c:v>
                </c:pt>
                <c:pt idx="68">
                  <c:v>911.77388266642674</c:v>
                </c:pt>
                <c:pt idx="69">
                  <c:v>893.76337149168944</c:v>
                </c:pt>
                <c:pt idx="70">
                  <c:v>876.10118271080978</c:v>
                </c:pt>
                <c:pt idx="71">
                  <c:v>858.78739814219307</c:v>
                </c:pt>
                <c:pt idx="72">
                  <c:v>841.8220980150237</c:v>
                </c:pt>
                <c:pt idx="73">
                  <c:v>825.20536096770104</c:v>
                </c:pt>
                <c:pt idx="74">
                  <c:v>808.9372640457949</c:v>
                </c:pt>
                <c:pt idx="75">
                  <c:v>793.01788270038537</c:v>
                </c:pt>
                <c:pt idx="76">
                  <c:v>777.44729078630644</c:v>
                </c:pt>
                <c:pt idx="77">
                  <c:v>762.225560560453</c:v>
                </c:pt>
                <c:pt idx="78">
                  <c:v>747.35276268002508</c:v>
                </c:pt>
                <c:pt idx="79">
                  <c:v>732.82896620099473</c:v>
                </c:pt>
                <c:pt idx="80">
                  <c:v>718.65423857647704</c:v>
                </c:pt>
                <c:pt idx="81">
                  <c:v>704.82864565513387</c:v>
                </c:pt>
                <c:pt idx="82">
                  <c:v>691.35225167970475</c:v>
                </c:pt>
                <c:pt idx="83">
                  <c:v>678.22511928547397</c:v>
                </c:pt>
                <c:pt idx="84">
                  <c:v>665.44730949883331</c:v>
                </c:pt>
                <c:pt idx="85">
                  <c:v>653.01888173594125</c:v>
                </c:pt>
                <c:pt idx="86">
                  <c:v>640.93989380115784</c:v>
                </c:pt>
                <c:pt idx="87">
                  <c:v>629.21040188592701</c:v>
                </c:pt>
                <c:pt idx="88">
                  <c:v>617.83046056733986</c:v>
                </c:pt>
                <c:pt idx="89">
                  <c:v>606.80012280685651</c:v>
                </c:pt>
                <c:pt idx="90">
                  <c:v>596.11943994918954</c:v>
                </c:pt>
                <c:pt idx="91">
                  <c:v>585.7884617209296</c:v>
                </c:pt>
                <c:pt idx="92">
                  <c:v>575.80723622965218</c:v>
                </c:pt>
                <c:pt idx="93">
                  <c:v>566.17580996248</c:v>
                </c:pt>
                <c:pt idx="94">
                  <c:v>556.89422778531673</c:v>
                </c:pt>
                <c:pt idx="95">
                  <c:v>547.96253294156986</c:v>
                </c:pt>
                <c:pt idx="96">
                  <c:v>539.38076705125616</c:v>
                </c:pt>
                <c:pt idx="97">
                  <c:v>531.14897010994798</c:v>
                </c:pt>
                <c:pt idx="98">
                  <c:v>523.26718048803878</c:v>
                </c:pt>
                <c:pt idx="99">
                  <c:v>515.73543492959368</c:v>
                </c:pt>
                <c:pt idx="100">
                  <c:v>508.55376855164639</c:v>
                </c:pt>
                <c:pt idx="101">
                  <c:v>501.7222148433695</c:v>
                </c:pt>
                <c:pt idx="102">
                  <c:v>495.24080566524378</c:v>
                </c:pt>
                <c:pt idx="103">
                  <c:v>489.10957124835579</c:v>
                </c:pt>
                <c:pt idx="104">
                  <c:v>483.32854019372718</c:v>
                </c:pt>
                <c:pt idx="105">
                  <c:v>477.89773947151639</c:v>
                </c:pt>
                <c:pt idx="106">
                  <c:v>472.81719442053964</c:v>
                </c:pt>
                <c:pt idx="107">
                  <c:v>468.0869287476321</c:v>
                </c:pt>
                <c:pt idx="108">
                  <c:v>463.70696452700952</c:v>
                </c:pt>
                <c:pt idx="109">
                  <c:v>459.67732219988454</c:v>
                </c:pt>
                <c:pt idx="110">
                  <c:v>455.99802057395618</c:v>
                </c:pt>
                <c:pt idx="111">
                  <c:v>452.66907682283477</c:v>
                </c:pt>
                <c:pt idx="112">
                  <c:v>449.69050648585045</c:v>
                </c:pt>
                <c:pt idx="113">
                  <c:v>447.06232346754223</c:v>
                </c:pt>
                <c:pt idx="114">
                  <c:v>444.78454003743417</c:v>
                </c:pt>
                <c:pt idx="115">
                  <c:v>442.85716682962078</c:v>
                </c:pt>
                <c:pt idx="116">
                  <c:v>441.28021284267066</c:v>
                </c:pt>
                <c:pt idx="117">
                  <c:v>440.05368543930746</c:v>
                </c:pt>
                <c:pt idx="118">
                  <c:v>439.17759034625021</c:v>
                </c:pt>
                <c:pt idx="119">
                  <c:v>438.65193165411739</c:v>
                </c:pt>
                <c:pt idx="120">
                  <c:v>438.47671181736308</c:v>
                </c:pt>
                <c:pt idx="121">
                  <c:v>438.65193165411739</c:v>
                </c:pt>
                <c:pt idx="122">
                  <c:v>439.17759034625021</c:v>
                </c:pt>
                <c:pt idx="123">
                  <c:v>440.05368543930746</c:v>
                </c:pt>
                <c:pt idx="124">
                  <c:v>441.28021284267066</c:v>
                </c:pt>
                <c:pt idx="125">
                  <c:v>442.85716682962078</c:v>
                </c:pt>
                <c:pt idx="126">
                  <c:v>444.78454003743417</c:v>
                </c:pt>
                <c:pt idx="127">
                  <c:v>447.06232346754223</c:v>
                </c:pt>
                <c:pt idx="128">
                  <c:v>449.69050648585045</c:v>
                </c:pt>
                <c:pt idx="129">
                  <c:v>452.66907682283477</c:v>
                </c:pt>
                <c:pt idx="130">
                  <c:v>455.99802057395618</c:v>
                </c:pt>
                <c:pt idx="131">
                  <c:v>459.67732219988454</c:v>
                </c:pt>
                <c:pt idx="132">
                  <c:v>463.70696452700952</c:v>
                </c:pt>
                <c:pt idx="133">
                  <c:v>468.0869287476321</c:v>
                </c:pt>
                <c:pt idx="134">
                  <c:v>472.81719442053964</c:v>
                </c:pt>
                <c:pt idx="135">
                  <c:v>477.89773947151639</c:v>
                </c:pt>
                <c:pt idx="136">
                  <c:v>483.32854019372718</c:v>
                </c:pt>
                <c:pt idx="137">
                  <c:v>489.10957124835579</c:v>
                </c:pt>
                <c:pt idx="138">
                  <c:v>495.24080566524378</c:v>
                </c:pt>
                <c:pt idx="139">
                  <c:v>501.7222148433695</c:v>
                </c:pt>
                <c:pt idx="140">
                  <c:v>508.55376855164639</c:v>
                </c:pt>
                <c:pt idx="141">
                  <c:v>515.73543492959368</c:v>
                </c:pt>
                <c:pt idx="142">
                  <c:v>523.26718048803878</c:v>
                </c:pt>
                <c:pt idx="143">
                  <c:v>531.14897010994798</c:v>
                </c:pt>
                <c:pt idx="144">
                  <c:v>539.38076705125616</c:v>
                </c:pt>
                <c:pt idx="145">
                  <c:v>547.96253294156986</c:v>
                </c:pt>
                <c:pt idx="146">
                  <c:v>556.89422778531673</c:v>
                </c:pt>
                <c:pt idx="147">
                  <c:v>566.17580996248</c:v>
                </c:pt>
                <c:pt idx="148">
                  <c:v>575.80723622965218</c:v>
                </c:pt>
                <c:pt idx="149">
                  <c:v>585.7884617209296</c:v>
                </c:pt>
                <c:pt idx="150">
                  <c:v>596.11943994918954</c:v>
                </c:pt>
                <c:pt idx="151">
                  <c:v>606.80012280685651</c:v>
                </c:pt>
                <c:pt idx="152">
                  <c:v>617.83046056733986</c:v>
                </c:pt>
                <c:pt idx="153">
                  <c:v>629.21040188592701</c:v>
                </c:pt>
                <c:pt idx="154">
                  <c:v>640.93989380115784</c:v>
                </c:pt>
                <c:pt idx="155">
                  <c:v>653.01888173594125</c:v>
                </c:pt>
                <c:pt idx="156">
                  <c:v>665.44730949883331</c:v>
                </c:pt>
                <c:pt idx="157">
                  <c:v>678.22511928547397</c:v>
                </c:pt>
                <c:pt idx="158">
                  <c:v>691.35225167970475</c:v>
                </c:pt>
                <c:pt idx="159">
                  <c:v>704.82864565513387</c:v>
                </c:pt>
                <c:pt idx="160">
                  <c:v>718.65423857647704</c:v>
                </c:pt>
                <c:pt idx="161">
                  <c:v>732.82896620099473</c:v>
                </c:pt>
                <c:pt idx="162">
                  <c:v>747.35276268002508</c:v>
                </c:pt>
                <c:pt idx="163">
                  <c:v>762.225560560453</c:v>
                </c:pt>
                <c:pt idx="164">
                  <c:v>777.44729078630644</c:v>
                </c:pt>
                <c:pt idx="165">
                  <c:v>793.01788270038537</c:v>
                </c:pt>
                <c:pt idx="166">
                  <c:v>808.9372640457949</c:v>
                </c:pt>
                <c:pt idx="167">
                  <c:v>825.20536096770104</c:v>
                </c:pt>
                <c:pt idx="168">
                  <c:v>841.8220980150237</c:v>
                </c:pt>
                <c:pt idx="169">
                  <c:v>858.78739814219307</c:v>
                </c:pt>
                <c:pt idx="170">
                  <c:v>876.10118271080978</c:v>
                </c:pt>
                <c:pt idx="171">
                  <c:v>893.76337149168944</c:v>
                </c:pt>
                <c:pt idx="172">
                  <c:v>911.77388266642674</c:v>
                </c:pt>
                <c:pt idx="173">
                  <c:v>930.13263282956723</c:v>
                </c:pt>
                <c:pt idx="174">
                  <c:v>948.83953699023641</c:v>
                </c:pt>
                <c:pt idx="175">
                  <c:v>967.89450857437419</c:v>
                </c:pt>
                <c:pt idx="176">
                  <c:v>987.29745942652437</c:v>
                </c:pt>
                <c:pt idx="177">
                  <c:v>1007.0482998120052</c:v>
                </c:pt>
                <c:pt idx="178">
                  <c:v>1027.146938418826</c:v>
                </c:pt>
                <c:pt idx="179">
                  <c:v>1047.5932823598905</c:v>
                </c:pt>
                <c:pt idx="180">
                  <c:v>1068.3872371751047</c:v>
                </c:pt>
                <c:pt idx="181">
                  <c:v>1089.528706833516</c:v>
                </c:pt>
                <c:pt idx="182">
                  <c:v>1111.0175937355809</c:v>
                </c:pt>
                <c:pt idx="183">
                  <c:v>1132.8537987153045</c:v>
                </c:pt>
                <c:pt idx="184">
                  <c:v>1155.0372210426042</c:v>
                </c:pt>
                <c:pt idx="185">
                  <c:v>1177.5677584254802</c:v>
                </c:pt>
                <c:pt idx="186">
                  <c:v>1200.4453070126031</c:v>
                </c:pt>
                <c:pt idx="187">
                  <c:v>1223.6697613953572</c:v>
                </c:pt>
                <c:pt idx="188">
                  <c:v>1247.2410146105549</c:v>
                </c:pt>
                <c:pt idx="189">
                  <c:v>1271.158958142609</c:v>
                </c:pt>
                <c:pt idx="190">
                  <c:v>1295.4234819262779</c:v>
                </c:pt>
                <c:pt idx="191">
                  <c:v>1320.0344743489659</c:v>
                </c:pt>
                <c:pt idx="192">
                  <c:v>1344.9918222533095</c:v>
                </c:pt>
                <c:pt idx="193">
                  <c:v>1370.2954109397635</c:v>
                </c:pt>
                <c:pt idx="194">
                  <c:v>1395.9451241693491</c:v>
                </c:pt>
                <c:pt idx="195">
                  <c:v>1421.9408441659828</c:v>
                </c:pt>
                <c:pt idx="196">
                  <c:v>1448.2824516194801</c:v>
                </c:pt>
                <c:pt idx="197">
                  <c:v>1474.9698256880454</c:v>
                </c:pt>
                <c:pt idx="198">
                  <c:v>1502.0028440010826</c:v>
                </c:pt>
                <c:pt idx="199">
                  <c:v>1529.3813826619735</c:v>
                </c:pt>
                <c:pt idx="200">
                  <c:v>1557.1053162508879</c:v>
                </c:pt>
                <c:pt idx="201">
                  <c:v>1585.1745178275614</c:v>
                </c:pt>
                <c:pt idx="202">
                  <c:v>1613.5888589342665</c:v>
                </c:pt>
                <c:pt idx="203">
                  <c:v>1642.3482095986215</c:v>
                </c:pt>
                <c:pt idx="204">
                  <c:v>1671.4524383365294</c:v>
                </c:pt>
                <c:pt idx="205">
                  <c:v>1700.9014121552116</c:v>
                </c:pt>
                <c:pt idx="206">
                  <c:v>1730.6949965560814</c:v>
                </c:pt>
                <c:pt idx="207">
                  <c:v>1760.8330555379382</c:v>
                </c:pt>
                <c:pt idx="208">
                  <c:v>1791.3154515998726</c:v>
                </c:pt>
                <c:pt idx="209">
                  <c:v>1822.142045744429</c:v>
                </c:pt>
                <c:pt idx="210">
                  <c:v>1853.3126974807026</c:v>
                </c:pt>
                <c:pt idx="211">
                  <c:v>1884.8272648274692</c:v>
                </c:pt>
                <c:pt idx="212">
                  <c:v>1916.6856043164103</c:v>
                </c:pt>
                <c:pt idx="213">
                  <c:v>1948.887570995307</c:v>
                </c:pt>
                <c:pt idx="214">
                  <c:v>1981.4330184313289</c:v>
                </c:pt>
                <c:pt idx="215">
                  <c:v>2014.3217987140999</c:v>
                </c:pt>
                <c:pt idx="216">
                  <c:v>2047.5537624593067</c:v>
                </c:pt>
                <c:pt idx="217">
                  <c:v>2081.1287588117648</c:v>
                </c:pt>
                <c:pt idx="218">
                  <c:v>2115.0466354489636</c:v>
                </c:pt>
                <c:pt idx="219">
                  <c:v>2149.3072385843216</c:v>
                </c:pt>
                <c:pt idx="220">
                  <c:v>2183.9104129706707</c:v>
                </c:pt>
                <c:pt idx="221">
                  <c:v>2218.8560019037022</c:v>
                </c:pt>
                <c:pt idx="222">
                  <c:v>2254.1438472253849</c:v>
                </c:pt>
                <c:pt idx="223">
                  <c:v>2289.7737893275739</c:v>
                </c:pt>
                <c:pt idx="224">
                  <c:v>2325.7456671554596</c:v>
                </c:pt>
                <c:pt idx="225">
                  <c:v>2362.059318211112</c:v>
                </c:pt>
                <c:pt idx="226">
                  <c:v>2398.7145785572161</c:v>
                </c:pt>
                <c:pt idx="227">
                  <c:v>2435.7112828204276</c:v>
                </c:pt>
                <c:pt idx="228">
                  <c:v>2473.0492641952978</c:v>
                </c:pt>
                <c:pt idx="229">
                  <c:v>2510.7283544477896</c:v>
                </c:pt>
                <c:pt idx="230">
                  <c:v>2548.7483839189476</c:v>
                </c:pt>
                <c:pt idx="231">
                  <c:v>2587.1091815287296</c:v>
                </c:pt>
                <c:pt idx="232">
                  <c:v>2625.8105747797149</c:v>
                </c:pt>
                <c:pt idx="233">
                  <c:v>2664.8523897608998</c:v>
                </c:pt>
                <c:pt idx="234">
                  <c:v>2704.2344511514057</c:v>
                </c:pt>
                <c:pt idx="235">
                  <c:v>2743.956582224499</c:v>
                </c:pt>
                <c:pt idx="236">
                  <c:v>2784.0186048512683</c:v>
                </c:pt>
                <c:pt idx="237">
                  <c:v>2824.4203395046129</c:v>
                </c:pt>
                <c:pt idx="238">
                  <c:v>2865.1616052631393</c:v>
                </c:pt>
                <c:pt idx="239">
                  <c:v>2906.2422198150257</c:v>
                </c:pt>
                <c:pt idx="240">
                  <c:v>2947.6619994621419</c:v>
                </c:pt>
              </c:numCache>
            </c:numRef>
          </c:val>
          <c:smooth val="0"/>
          <c:extLst>
            <c:ext xmlns:c16="http://schemas.microsoft.com/office/drawing/2014/chart" uri="{C3380CC4-5D6E-409C-BE32-E72D297353CC}">
              <c16:uniqueId val="{00000000-F1EB-4C78-9534-09851E99D340}"/>
            </c:ext>
          </c:extLst>
        </c:ser>
        <c:ser>
          <c:idx val="1"/>
          <c:order val="1"/>
          <c:tx>
            <c:v>Parabolic flat-surface reading (m)</c:v>
          </c:tx>
          <c:spPr>
            <a:ln w="9000"/>
          </c:spPr>
          <c:cat>
            <c:numRef>
              <c:f>Chart_Data!$A$2:$A$242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cat>
          <c:val>
            <c:numRef>
              <c:f>Chart_Data!$C$2:$C$242</c:f>
              <c:numCache>
                <c:formatCode>0.000</c:formatCode>
                <c:ptCount val="241"/>
                <c:pt idx="0">
                  <c:v>2918.8495915692838</c:v>
                </c:pt>
                <c:pt idx="1">
                  <c:v>2878.2966468989871</c:v>
                </c:pt>
                <c:pt idx="2">
                  <c:v>2838.0629855635702</c:v>
                </c:pt>
                <c:pt idx="3">
                  <c:v>2798.1490936689197</c:v>
                </c:pt>
                <c:pt idx="4">
                  <c:v>2758.5554540274488</c:v>
                </c:pt>
                <c:pt idx="5">
                  <c:v>2719.2825461397751</c:v>
                </c:pt>
                <c:pt idx="6">
                  <c:v>2680.3308461757451</c:v>
                </c:pt>
                <c:pt idx="7">
                  <c:v>2641.700826955916</c:v>
                </c:pt>
                <c:pt idx="8">
                  <c:v>2603.3929579329656</c:v>
                </c:pt>
                <c:pt idx="9">
                  <c:v>2565.4077051733684</c:v>
                </c:pt>
                <c:pt idx="10">
                  <c:v>2527.745531338961</c:v>
                </c:pt>
                <c:pt idx="11">
                  <c:v>2490.406895668812</c:v>
                </c:pt>
                <c:pt idx="12">
                  <c:v>2453.3922539609484</c:v>
                </c:pt>
                <c:pt idx="13">
                  <c:v>2416.7020585545083</c:v>
                </c:pt>
                <c:pt idx="14">
                  <c:v>2380.3367583116014</c:v>
                </c:pt>
                <c:pt idx="15">
                  <c:v>2344.2967985996152</c:v>
                </c:pt>
                <c:pt idx="16">
                  <c:v>2308.5826212735265</c:v>
                </c:pt>
                <c:pt idx="17">
                  <c:v>2273.1946646580468</c:v>
                </c:pt>
                <c:pt idx="18">
                  <c:v>2238.133363530445</c:v>
                </c:pt>
                <c:pt idx="19">
                  <c:v>2203.39914910282</c:v>
                </c:pt>
                <c:pt idx="20">
                  <c:v>2168.9924490050507</c:v>
                </c:pt>
                <c:pt idx="21">
                  <c:v>2134.9136872674544</c:v>
                </c:pt>
                <c:pt idx="22">
                  <c:v>2101.1632843038606</c:v>
                </c:pt>
                <c:pt idx="23">
                  <c:v>2067.7416568945596</c:v>
                </c:pt>
                <c:pt idx="24">
                  <c:v>2034.6492181694086</c:v>
                </c:pt>
                <c:pt idx="25">
                  <c:v>2001.8863775912891</c:v>
                </c:pt>
                <c:pt idx="26">
                  <c:v>1969.4535409394057</c:v>
                </c:pt>
                <c:pt idx="27">
                  <c:v>1937.3511102927434</c:v>
                </c:pt>
                <c:pt idx="28">
                  <c:v>1905.5794840138458</c:v>
                </c:pt>
                <c:pt idx="29">
                  <c:v>1874.1390567325279</c:v>
                </c:pt>
                <c:pt idx="30">
                  <c:v>1843.0302193297173</c:v>
                </c:pt>
                <c:pt idx="31">
                  <c:v>1812.2533589215191</c:v>
                </c:pt>
                <c:pt idx="32">
                  <c:v>1781.8088588434077</c:v>
                </c:pt>
                <c:pt idx="33">
                  <c:v>1751.6970986344204</c:v>
                </c:pt>
                <c:pt idx="34">
                  <c:v>1721.9184540215401</c:v>
                </c:pt>
                <c:pt idx="35">
                  <c:v>1692.4732969044633</c:v>
                </c:pt>
                <c:pt idx="36">
                  <c:v>1663.3619953398884</c:v>
                </c:pt>
                <c:pt idx="37">
                  <c:v>1634.5849135267295</c:v>
                </c:pt>
                <c:pt idx="38">
                  <c:v>1606.1424117907243</c:v>
                </c:pt>
                <c:pt idx="39">
                  <c:v>1578.0348465697127</c:v>
                </c:pt>
                <c:pt idx="40">
                  <c:v>1550.2625703988499</c:v>
                </c:pt>
                <c:pt idx="41">
                  <c:v>1522.8259318957901</c:v>
                </c:pt>
                <c:pt idx="42">
                  <c:v>1495.7252757464753</c:v>
                </c:pt>
                <c:pt idx="43">
                  <c:v>1468.9609426904447</c:v>
                </c:pt>
                <c:pt idx="44">
                  <c:v>1442.533269506944</c:v>
                </c:pt>
                <c:pt idx="45">
                  <c:v>1416.4425890006503</c:v>
                </c:pt>
                <c:pt idx="46">
                  <c:v>1390.6892299877491</c:v>
                </c:pt>
                <c:pt idx="47">
                  <c:v>1365.2735172823614</c:v>
                </c:pt>
                <c:pt idx="48">
                  <c:v>1340.1957716827169</c:v>
                </c:pt>
                <c:pt idx="49">
                  <c:v>1315.4563099576765</c:v>
                </c:pt>
                <c:pt idx="50">
                  <c:v>1291.0554448335768</c:v>
                </c:pt>
                <c:pt idx="51">
                  <c:v>1266.9934849810077</c:v>
                </c:pt>
                <c:pt idx="52">
                  <c:v>1243.2707350015928</c:v>
                </c:pt>
                <c:pt idx="53">
                  <c:v>1219.8874954154699</c:v>
                </c:pt>
                <c:pt idx="54">
                  <c:v>1196.8440626483268</c:v>
                </c:pt>
                <c:pt idx="55">
                  <c:v>1174.1407290190098</c:v>
                </c:pt>
                <c:pt idx="56">
                  <c:v>1151.7777827269733</c:v>
                </c:pt>
                <c:pt idx="57">
                  <c:v>1129.7555078402418</c:v>
                </c:pt>
                <c:pt idx="58">
                  <c:v>1108.0741842832733</c:v>
                </c:pt>
                <c:pt idx="59">
                  <c:v>1086.7340878249845</c:v>
                </c:pt>
                <c:pt idx="60">
                  <c:v>1065.7354900670628</c:v>
                </c:pt>
                <c:pt idx="61">
                  <c:v>1045.0786584324383</c:v>
                </c:pt>
                <c:pt idx="62">
                  <c:v>1024.763856153882</c:v>
                </c:pt>
                <c:pt idx="63">
                  <c:v>1004.7913422626065</c:v>
                </c:pt>
                <c:pt idx="64">
                  <c:v>985.1613715773758</c:v>
                </c:pt>
                <c:pt idx="65">
                  <c:v>965.87419469348754</c:v>
                </c:pt>
                <c:pt idx="66">
                  <c:v>946.93005797213948</c:v>
                </c:pt>
                <c:pt idx="67">
                  <c:v>928.32920352969882</c:v>
                </c:pt>
                <c:pt idx="68">
                  <c:v>910.07186922748394</c:v>
                </c:pt>
                <c:pt idx="69">
                  <c:v>892.1582886614168</c:v>
                </c:pt>
                <c:pt idx="70">
                  <c:v>874.588691152092</c:v>
                </c:pt>
                <c:pt idx="71">
                  <c:v>857.36330173478075</c:v>
                </c:pt>
                <c:pt idx="72">
                  <c:v>840.48234114978698</c:v>
                </c:pt>
                <c:pt idx="73">
                  <c:v>823.94602583296285</c:v>
                </c:pt>
                <c:pt idx="74">
                  <c:v>807.75456790628766</c:v>
                </c:pt>
                <c:pt idx="75">
                  <c:v>791.90817516879872</c:v>
                </c:pt>
                <c:pt idx="76">
                  <c:v>776.40705108752229</c:v>
                </c:pt>
                <c:pt idx="77">
                  <c:v>761.25139478869073</c:v>
                </c:pt>
                <c:pt idx="78">
                  <c:v>746.44140104912105</c:v>
                </c:pt>
                <c:pt idx="79">
                  <c:v>731.97726028781562</c:v>
                </c:pt>
                <c:pt idx="80">
                  <c:v>717.85915855759561</c:v>
                </c:pt>
                <c:pt idx="81">
                  <c:v>704.08727753711707</c:v>
                </c:pt>
                <c:pt idx="82">
                  <c:v>690.66179452298343</c:v>
                </c:pt>
                <c:pt idx="83">
                  <c:v>677.58288242198512</c:v>
                </c:pt>
                <c:pt idx="84">
                  <c:v>664.85070974349935</c:v>
                </c:pt>
                <c:pt idx="85">
                  <c:v>652.46544059236885</c:v>
                </c:pt>
                <c:pt idx="86">
                  <c:v>640.42723466155655</c:v>
                </c:pt>
                <c:pt idx="87">
                  <c:v>628.73624722527984</c:v>
                </c:pt>
                <c:pt idx="88">
                  <c:v>617.39262913220864</c:v>
                </c:pt>
                <c:pt idx="89">
                  <c:v>606.39652679891867</c:v>
                </c:pt>
                <c:pt idx="90">
                  <c:v>595.74808220334489</c:v>
                </c:pt>
                <c:pt idx="91">
                  <c:v>585.44743287884194</c:v>
                </c:pt>
                <c:pt idx="92">
                  <c:v>575.49471190789268</c:v>
                </c:pt>
                <c:pt idx="93">
                  <c:v>565.89004791648767</c:v>
                </c:pt>
                <c:pt idx="94">
                  <c:v>556.63356506837761</c:v>
                </c:pt>
                <c:pt idx="95">
                  <c:v>547.72538305977127</c:v>
                </c:pt>
                <c:pt idx="96">
                  <c:v>539.16561711384361</c:v>
                </c:pt>
                <c:pt idx="97">
                  <c:v>530.95437797594514</c:v>
                </c:pt>
                <c:pt idx="98">
                  <c:v>523.09177190861999</c:v>
                </c:pt>
                <c:pt idx="99">
                  <c:v>515.57790068694419</c:v>
                </c:pt>
                <c:pt idx="100">
                  <c:v>508.41286159408577</c:v>
                </c:pt>
                <c:pt idx="101">
                  <c:v>501.5967474169945</c:v>
                </c:pt>
                <c:pt idx="102">
                  <c:v>495.12964644237769</c:v>
                </c:pt>
                <c:pt idx="103">
                  <c:v>489.01164245280415</c:v>
                </c:pt>
                <c:pt idx="104">
                  <c:v>483.24281472300015</c:v>
                </c:pt>
                <c:pt idx="105">
                  <c:v>477.82323801636795</c:v>
                </c:pt>
                <c:pt idx="106">
                  <c:v>472.75298258166532</c:v>
                </c:pt>
                <c:pt idx="107">
                  <c:v>468.03211415006706</c:v>
                </c:pt>
                <c:pt idx="108">
                  <c:v>463.66069393203549</c:v>
                </c:pt>
                <c:pt idx="109">
                  <c:v>459.63877861482985</c:v>
                </c:pt>
                <c:pt idx="110">
                  <c:v>455.96642035985531</c:v>
                </c:pt>
                <c:pt idx="111">
                  <c:v>452.64366680049187</c:v>
                </c:pt>
                <c:pt idx="112">
                  <c:v>449.67056103995435</c:v>
                </c:pt>
                <c:pt idx="113">
                  <c:v>447.04714164934461</c:v>
                </c:pt>
                <c:pt idx="114">
                  <c:v>444.77344266602285</c:v>
                </c:pt>
                <c:pt idx="115">
                  <c:v>442.84949359197901</c:v>
                </c:pt>
                <c:pt idx="116">
                  <c:v>441.27531939274672</c:v>
                </c:pt>
                <c:pt idx="117">
                  <c:v>440.05094049615832</c:v>
                </c:pt>
                <c:pt idx="118">
                  <c:v>439.17637279138631</c:v>
                </c:pt>
                <c:pt idx="119">
                  <c:v>438.65162762840095</c:v>
                </c:pt>
                <c:pt idx="120">
                  <c:v>438.47671181736308</c:v>
                </c:pt>
                <c:pt idx="121">
                  <c:v>438.65162762840095</c:v>
                </c:pt>
                <c:pt idx="122">
                  <c:v>439.17637279138631</c:v>
                </c:pt>
                <c:pt idx="123">
                  <c:v>440.05094049615832</c:v>
                </c:pt>
                <c:pt idx="124">
                  <c:v>441.27531939274672</c:v>
                </c:pt>
                <c:pt idx="125">
                  <c:v>442.84949359197901</c:v>
                </c:pt>
                <c:pt idx="126">
                  <c:v>444.77344266602285</c:v>
                </c:pt>
                <c:pt idx="127">
                  <c:v>447.04714164934461</c:v>
                </c:pt>
                <c:pt idx="128">
                  <c:v>449.67056103995435</c:v>
                </c:pt>
                <c:pt idx="129">
                  <c:v>452.64366680049187</c:v>
                </c:pt>
                <c:pt idx="130">
                  <c:v>455.96642035985531</c:v>
                </c:pt>
                <c:pt idx="131">
                  <c:v>459.63877861482985</c:v>
                </c:pt>
                <c:pt idx="132">
                  <c:v>463.66069393203549</c:v>
                </c:pt>
                <c:pt idx="133">
                  <c:v>468.03211415006706</c:v>
                </c:pt>
                <c:pt idx="134">
                  <c:v>472.75298258166532</c:v>
                </c:pt>
                <c:pt idx="135">
                  <c:v>477.82323801636795</c:v>
                </c:pt>
                <c:pt idx="136">
                  <c:v>483.24281472300015</c:v>
                </c:pt>
                <c:pt idx="137">
                  <c:v>489.01164245280415</c:v>
                </c:pt>
                <c:pt idx="138">
                  <c:v>495.12964644237769</c:v>
                </c:pt>
                <c:pt idx="139">
                  <c:v>501.5967474169945</c:v>
                </c:pt>
                <c:pt idx="140">
                  <c:v>508.41286159408577</c:v>
                </c:pt>
                <c:pt idx="141">
                  <c:v>515.57790068694419</c:v>
                </c:pt>
                <c:pt idx="142">
                  <c:v>523.09177190861999</c:v>
                </c:pt>
                <c:pt idx="143">
                  <c:v>530.95437797594514</c:v>
                </c:pt>
                <c:pt idx="144">
                  <c:v>539.16561711384361</c:v>
                </c:pt>
                <c:pt idx="145">
                  <c:v>547.72538305977127</c:v>
                </c:pt>
                <c:pt idx="146">
                  <c:v>556.63356506837761</c:v>
                </c:pt>
                <c:pt idx="147">
                  <c:v>565.89004791648767</c:v>
                </c:pt>
                <c:pt idx="148">
                  <c:v>575.49471190789268</c:v>
                </c:pt>
                <c:pt idx="149">
                  <c:v>585.44743287884194</c:v>
                </c:pt>
                <c:pt idx="150">
                  <c:v>595.74808220334489</c:v>
                </c:pt>
                <c:pt idx="151">
                  <c:v>606.39652679891867</c:v>
                </c:pt>
                <c:pt idx="152">
                  <c:v>617.39262913220864</c:v>
                </c:pt>
                <c:pt idx="153">
                  <c:v>628.73624722527984</c:v>
                </c:pt>
                <c:pt idx="154">
                  <c:v>640.42723466155655</c:v>
                </c:pt>
                <c:pt idx="155">
                  <c:v>652.46544059236885</c:v>
                </c:pt>
                <c:pt idx="156">
                  <c:v>664.85070974349935</c:v>
                </c:pt>
                <c:pt idx="157">
                  <c:v>677.58288242198512</c:v>
                </c:pt>
                <c:pt idx="158">
                  <c:v>690.66179452298343</c:v>
                </c:pt>
                <c:pt idx="159">
                  <c:v>704.08727753711707</c:v>
                </c:pt>
                <c:pt idx="160">
                  <c:v>717.85915855759561</c:v>
                </c:pt>
                <c:pt idx="161">
                  <c:v>731.97726028781562</c:v>
                </c:pt>
                <c:pt idx="162">
                  <c:v>746.44140104912105</c:v>
                </c:pt>
                <c:pt idx="163">
                  <c:v>761.25139478869073</c:v>
                </c:pt>
                <c:pt idx="164">
                  <c:v>776.40705108752229</c:v>
                </c:pt>
                <c:pt idx="165">
                  <c:v>791.90817516879872</c:v>
                </c:pt>
                <c:pt idx="166">
                  <c:v>807.75456790628766</c:v>
                </c:pt>
                <c:pt idx="167">
                  <c:v>823.94602583296285</c:v>
                </c:pt>
                <c:pt idx="168">
                  <c:v>840.48234114978698</c:v>
                </c:pt>
                <c:pt idx="169">
                  <c:v>857.36330173478075</c:v>
                </c:pt>
                <c:pt idx="170">
                  <c:v>874.588691152092</c:v>
                </c:pt>
                <c:pt idx="171">
                  <c:v>892.1582886614168</c:v>
                </c:pt>
                <c:pt idx="172">
                  <c:v>910.07186922748394</c:v>
                </c:pt>
                <c:pt idx="173">
                  <c:v>928.32920352969882</c:v>
                </c:pt>
                <c:pt idx="174">
                  <c:v>946.93005797213948</c:v>
                </c:pt>
                <c:pt idx="175">
                  <c:v>965.87419469348754</c:v>
                </c:pt>
                <c:pt idx="176">
                  <c:v>985.1613715773758</c:v>
                </c:pt>
                <c:pt idx="177">
                  <c:v>1004.7913422626065</c:v>
                </c:pt>
                <c:pt idx="178">
                  <c:v>1024.763856153882</c:v>
                </c:pt>
                <c:pt idx="179">
                  <c:v>1045.0786584324383</c:v>
                </c:pt>
                <c:pt idx="180">
                  <c:v>1065.7354900670628</c:v>
                </c:pt>
                <c:pt idx="181">
                  <c:v>1086.7340878249845</c:v>
                </c:pt>
                <c:pt idx="182">
                  <c:v>1108.0741842832733</c:v>
                </c:pt>
                <c:pt idx="183">
                  <c:v>1129.7555078402418</c:v>
                </c:pt>
                <c:pt idx="184">
                  <c:v>1151.7777827269733</c:v>
                </c:pt>
                <c:pt idx="185">
                  <c:v>1174.1407290190098</c:v>
                </c:pt>
                <c:pt idx="186">
                  <c:v>1196.8440626483268</c:v>
                </c:pt>
                <c:pt idx="187">
                  <c:v>1219.8874954154699</c:v>
                </c:pt>
                <c:pt idx="188">
                  <c:v>1243.2707350015928</c:v>
                </c:pt>
                <c:pt idx="189">
                  <c:v>1266.9934849810077</c:v>
                </c:pt>
                <c:pt idx="190">
                  <c:v>1291.0554448335768</c:v>
                </c:pt>
                <c:pt idx="191">
                  <c:v>1315.4563099576765</c:v>
                </c:pt>
                <c:pt idx="192">
                  <c:v>1340.1957716827169</c:v>
                </c:pt>
                <c:pt idx="193">
                  <c:v>1365.2735172823614</c:v>
                </c:pt>
                <c:pt idx="194">
                  <c:v>1390.6892299877491</c:v>
                </c:pt>
                <c:pt idx="195">
                  <c:v>1416.4425890006503</c:v>
                </c:pt>
                <c:pt idx="196">
                  <c:v>1442.533269506944</c:v>
                </c:pt>
                <c:pt idx="197">
                  <c:v>1468.9609426904447</c:v>
                </c:pt>
                <c:pt idx="198">
                  <c:v>1495.7252757464753</c:v>
                </c:pt>
                <c:pt idx="199">
                  <c:v>1522.8259318957901</c:v>
                </c:pt>
                <c:pt idx="200">
                  <c:v>1550.2625703988499</c:v>
                </c:pt>
                <c:pt idx="201">
                  <c:v>1578.0348465697127</c:v>
                </c:pt>
                <c:pt idx="202">
                  <c:v>1606.1424117907243</c:v>
                </c:pt>
                <c:pt idx="203">
                  <c:v>1634.5849135267295</c:v>
                </c:pt>
                <c:pt idx="204">
                  <c:v>1663.3619953398884</c:v>
                </c:pt>
                <c:pt idx="205">
                  <c:v>1692.4732969044633</c:v>
                </c:pt>
                <c:pt idx="206">
                  <c:v>1721.9184540215401</c:v>
                </c:pt>
                <c:pt idx="207">
                  <c:v>1751.6970986344204</c:v>
                </c:pt>
                <c:pt idx="208">
                  <c:v>1781.8088588434077</c:v>
                </c:pt>
                <c:pt idx="209">
                  <c:v>1812.2533589215191</c:v>
                </c:pt>
                <c:pt idx="210">
                  <c:v>1843.0302193297173</c:v>
                </c:pt>
                <c:pt idx="211">
                  <c:v>1874.1390567325279</c:v>
                </c:pt>
                <c:pt idx="212">
                  <c:v>1905.5794840138458</c:v>
                </c:pt>
                <c:pt idx="213">
                  <c:v>1937.3511102927434</c:v>
                </c:pt>
                <c:pt idx="214">
                  <c:v>1969.4535409394057</c:v>
                </c:pt>
                <c:pt idx="215">
                  <c:v>2001.8863775912891</c:v>
                </c:pt>
                <c:pt idx="216">
                  <c:v>2034.6492181694086</c:v>
                </c:pt>
                <c:pt idx="217">
                  <c:v>2067.7416568945596</c:v>
                </c:pt>
                <c:pt idx="218">
                  <c:v>2101.1632843038606</c:v>
                </c:pt>
                <c:pt idx="219">
                  <c:v>2134.9136872674544</c:v>
                </c:pt>
                <c:pt idx="220">
                  <c:v>2168.9924490050507</c:v>
                </c:pt>
                <c:pt idx="221">
                  <c:v>2203.39914910282</c:v>
                </c:pt>
                <c:pt idx="222">
                  <c:v>2238.133363530445</c:v>
                </c:pt>
                <c:pt idx="223">
                  <c:v>2273.1946646580468</c:v>
                </c:pt>
                <c:pt idx="224">
                  <c:v>2308.5826212735265</c:v>
                </c:pt>
                <c:pt idx="225">
                  <c:v>2344.2967985996152</c:v>
                </c:pt>
                <c:pt idx="226">
                  <c:v>2380.3367583116014</c:v>
                </c:pt>
                <c:pt idx="227">
                  <c:v>2416.7020585545083</c:v>
                </c:pt>
                <c:pt idx="228">
                  <c:v>2453.3922539609484</c:v>
                </c:pt>
                <c:pt idx="229">
                  <c:v>2490.406895668812</c:v>
                </c:pt>
                <c:pt idx="230">
                  <c:v>2527.745531338961</c:v>
                </c:pt>
                <c:pt idx="231">
                  <c:v>2565.4077051733684</c:v>
                </c:pt>
                <c:pt idx="232">
                  <c:v>2603.3929579329656</c:v>
                </c:pt>
                <c:pt idx="233">
                  <c:v>2641.700826955916</c:v>
                </c:pt>
                <c:pt idx="234">
                  <c:v>2680.3308461757451</c:v>
                </c:pt>
                <c:pt idx="235">
                  <c:v>2719.2825461397751</c:v>
                </c:pt>
                <c:pt idx="236">
                  <c:v>2758.5554540274488</c:v>
                </c:pt>
                <c:pt idx="237">
                  <c:v>2798.1490936689197</c:v>
                </c:pt>
                <c:pt idx="238">
                  <c:v>2838.0629855635702</c:v>
                </c:pt>
                <c:pt idx="239">
                  <c:v>2878.2966468989871</c:v>
                </c:pt>
                <c:pt idx="240">
                  <c:v>2918.8495915692838</c:v>
                </c:pt>
              </c:numCache>
            </c:numRef>
          </c:val>
          <c:smooth val="0"/>
          <c:extLst>
            <c:ext xmlns:c16="http://schemas.microsoft.com/office/drawing/2014/chart" uri="{C3380CC4-5D6E-409C-BE32-E72D297353CC}">
              <c16:uniqueId val="{00000001-F1EB-4C78-9534-09851E99D340}"/>
            </c:ext>
          </c:extLst>
        </c:ser>
        <c:ser>
          <c:idx val="2"/>
          <c:order val="2"/>
          <c:tx>
            <c:v>Parabolic with planet surface reading (m)</c:v>
          </c:tx>
          <c:spPr>
            <a:ln w="9000"/>
          </c:spPr>
          <c:cat>
            <c:numRef>
              <c:f>Chart_Data!$A$2:$A$242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cat>
          <c:val>
            <c:numRef>
              <c:f>Chart_Data!$D$2:$D$242</c:f>
              <c:numCache>
                <c:formatCode>0.000</c:formatCode>
                <c:ptCount val="241"/>
                <c:pt idx="0">
                  <c:v>2854.161214581025</c:v>
                </c:pt>
                <c:pt idx="1">
                  <c:v>2827.9235424660778</c:v>
                </c:pt>
                <c:pt idx="2">
                  <c:v>2779.8464305755606</c:v>
                </c:pt>
                <c:pt idx="3">
                  <c:v>2735.7892085611252</c:v>
                </c:pt>
                <c:pt idx="4">
                  <c:v>2709.8141822473995</c:v>
                </c:pt>
                <c:pt idx="5">
                  <c:v>2661.6034336635566</c:v>
                </c:pt>
                <c:pt idx="6">
                  <c:v>2635.15182749512</c:v>
                </c:pt>
                <c:pt idx="7">
                  <c:v>2595.3523309634957</c:v>
                </c:pt>
                <c:pt idx="8">
                  <c:v>2545.1584838335834</c:v>
                </c:pt>
                <c:pt idx="9">
                  <c:v>2497.8319433324009</c:v>
                </c:pt>
                <c:pt idx="10">
                  <c:v>2456.0296963577753</c:v>
                </c:pt>
                <c:pt idx="11">
                  <c:v>2410.3393699320941</c:v>
                </c:pt>
                <c:pt idx="12">
                  <c:v>2365.540880248765</c:v>
                </c:pt>
                <c:pt idx="13">
                  <c:v>2324.8661258158404</c:v>
                </c:pt>
                <c:pt idx="14">
                  <c:v>2288.7500043131167</c:v>
                </c:pt>
                <c:pt idx="15">
                  <c:v>2240.7970100836951</c:v>
                </c:pt>
                <c:pt idx="16">
                  <c:v>2199.1454286204212</c:v>
                </c:pt>
                <c:pt idx="17">
                  <c:v>2146.0575345893021</c:v>
                </c:pt>
                <c:pt idx="18">
                  <c:v>2119.9368074828944</c:v>
                </c:pt>
                <c:pt idx="19">
                  <c:v>2091.4201495591142</c:v>
                </c:pt>
                <c:pt idx="20">
                  <c:v>2032.992388588583</c:v>
                </c:pt>
                <c:pt idx="21">
                  <c:v>2019.9749297193337</c:v>
                </c:pt>
                <c:pt idx="22">
                  <c:v>1973.818042417631</c:v>
                </c:pt>
                <c:pt idx="23">
                  <c:v>1942.6031428676506</c:v>
                </c:pt>
                <c:pt idx="24">
                  <c:v>1924.7070639529716</c:v>
                </c:pt>
                <c:pt idx="25">
                  <c:v>1885.8904981584919</c:v>
                </c:pt>
                <c:pt idx="26">
                  <c:v>1862.4269424420615</c:v>
                </c:pt>
                <c:pt idx="27">
                  <c:v>1828.3280794055704</c:v>
                </c:pt>
                <c:pt idx="28">
                  <c:v>1801.1529327998296</c:v>
                </c:pt>
                <c:pt idx="29">
                  <c:v>1766.6898796078883</c:v>
                </c:pt>
                <c:pt idx="30">
                  <c:v>1752.8433156914214</c:v>
                </c:pt>
                <c:pt idx="31">
                  <c:v>1715.5434962561048</c:v>
                </c:pt>
                <c:pt idx="32">
                  <c:v>1680.8399476888469</c:v>
                </c:pt>
                <c:pt idx="33">
                  <c:v>1646.8261172972273</c:v>
                </c:pt>
                <c:pt idx="34">
                  <c:v>1623.3247817969609</c:v>
                </c:pt>
                <c:pt idx="35">
                  <c:v>1596.4624599420724</c:v>
                </c:pt>
                <c:pt idx="36">
                  <c:v>1563.3219291705852</c:v>
                </c:pt>
                <c:pt idx="37">
                  <c:v>1530.1209666208808</c:v>
                </c:pt>
                <c:pt idx="38">
                  <c:v>1497.5446477543235</c:v>
                </c:pt>
                <c:pt idx="39">
                  <c:v>1462.8880714740951</c:v>
                </c:pt>
                <c:pt idx="40">
                  <c:v>1422.426451180849</c:v>
                </c:pt>
                <c:pt idx="41">
                  <c:v>1391.9971290898168</c:v>
                </c:pt>
                <c:pt idx="42">
                  <c:v>1374.7428279945518</c:v>
                </c:pt>
                <c:pt idx="43">
                  <c:v>1331.5676077927096</c:v>
                </c:pt>
                <c:pt idx="44">
                  <c:v>1317.3624516769046</c:v>
                </c:pt>
                <c:pt idx="45">
                  <c:v>1272.4047921177939</c:v>
                </c:pt>
                <c:pt idx="46">
                  <c:v>1244.2969103264895</c:v>
                </c:pt>
                <c:pt idx="47">
                  <c:v>1205.2695716241051</c:v>
                </c:pt>
                <c:pt idx="48">
                  <c:v>1186.3095300921568</c:v>
                </c:pt>
                <c:pt idx="49">
                  <c:v>1155.943544661126</c:v>
                </c:pt>
                <c:pt idx="50">
                  <c:v>1128.7954861009457</c:v>
                </c:pt>
                <c:pt idx="51">
                  <c:v>1084.7431844923497</c:v>
                </c:pt>
                <c:pt idx="52">
                  <c:v>1064.939955704323</c:v>
                </c:pt>
                <c:pt idx="53">
                  <c:v>1041.1373161965391</c:v>
                </c:pt>
                <c:pt idx="54">
                  <c:v>1012.9317453223404</c:v>
                </c:pt>
                <c:pt idx="55">
                  <c:v>985.99400391284928</c:v>
                </c:pt>
                <c:pt idx="56">
                  <c:v>964.4457595683615</c:v>
                </c:pt>
                <c:pt idx="57">
                  <c:v>936.45038520299863</c:v>
                </c:pt>
                <c:pt idx="58">
                  <c:v>903.17513200295446</c:v>
                </c:pt>
                <c:pt idx="59">
                  <c:v>893.19620236457706</c:v>
                </c:pt>
                <c:pt idx="60">
                  <c:v>867.47340587718998</c:v>
                </c:pt>
                <c:pt idx="61">
                  <c:v>842.32169903197587</c:v>
                </c:pt>
                <c:pt idx="62">
                  <c:v>826.31616859821202</c:v>
                </c:pt>
                <c:pt idx="63">
                  <c:v>814.56950891827523</c:v>
                </c:pt>
                <c:pt idx="64">
                  <c:v>780.14161520554114</c:v>
                </c:pt>
                <c:pt idx="65">
                  <c:v>764.41568357033498</c:v>
                </c:pt>
                <c:pt idx="66">
                  <c:v>745.91811650716306</c:v>
                </c:pt>
                <c:pt idx="67">
                  <c:v>721.87680304163803</c:v>
                </c:pt>
                <c:pt idx="68">
                  <c:v>711.85711697521936</c:v>
                </c:pt>
                <c:pt idx="69">
                  <c:v>681.50232675774976</c:v>
                </c:pt>
                <c:pt idx="70">
                  <c:v>674.13002664479563</c:v>
                </c:pt>
                <c:pt idx="71">
                  <c:v>638.790493562233</c:v>
                </c:pt>
                <c:pt idx="72">
                  <c:v>627.52287108107055</c:v>
                </c:pt>
                <c:pt idx="73">
                  <c:v>600.02111253771841</c:v>
                </c:pt>
                <c:pt idx="74">
                  <c:v>576.79884829612638</c:v>
                </c:pt>
                <c:pt idx="75">
                  <c:v>553.71254310317408</c:v>
                </c:pt>
                <c:pt idx="76">
                  <c:v>518.1947366169976</c:v>
                </c:pt>
                <c:pt idx="77">
                  <c:v>486.94682150377622</c:v>
                </c:pt>
                <c:pt idx="78">
                  <c:v>488.43914821035793</c:v>
                </c:pt>
                <c:pt idx="79">
                  <c:v>460.73219494622134</c:v>
                </c:pt>
                <c:pt idx="80">
                  <c:v>446.2804969375739</c:v>
                </c:pt>
                <c:pt idx="81">
                  <c:v>421.65654208235225</c:v>
                </c:pt>
                <c:pt idx="82">
                  <c:v>401.37375863557071</c:v>
                </c:pt>
                <c:pt idx="83">
                  <c:v>395.98017521693998</c:v>
                </c:pt>
                <c:pt idx="84">
                  <c:v>361.48657896024417</c:v>
                </c:pt>
                <c:pt idx="85">
                  <c:v>351.9067925736224</c:v>
                </c:pt>
                <c:pt idx="86">
                  <c:v>356.15874976330042</c:v>
                </c:pt>
                <c:pt idx="87">
                  <c:v>342.25796827109826</c:v>
                </c:pt>
                <c:pt idx="88">
                  <c:v>331.07619631573726</c:v>
                </c:pt>
                <c:pt idx="89">
                  <c:v>317.966367206256</c:v>
                </c:pt>
                <c:pt idx="90">
                  <c:v>311.4652206923775</c:v>
                </c:pt>
                <c:pt idx="91">
                  <c:v>298.44713526204083</c:v>
                </c:pt>
                <c:pt idx="92">
                  <c:v>292.20947389812528</c:v>
                </c:pt>
                <c:pt idx="93">
                  <c:v>296.92959602676109</c:v>
                </c:pt>
                <c:pt idx="94">
                  <c:v>278.0343436226114</c:v>
                </c:pt>
                <c:pt idx="95">
                  <c:v>256.73656924722349</c:v>
                </c:pt>
                <c:pt idx="96">
                  <c:v>266.97417559714438</c:v>
                </c:pt>
                <c:pt idx="97">
                  <c:v>246.74307221026879</c:v>
                </c:pt>
                <c:pt idx="98">
                  <c:v>239.52097263741996</c:v>
                </c:pt>
                <c:pt idx="99">
                  <c:v>222.81333957128768</c:v>
                </c:pt>
                <c:pt idx="100">
                  <c:v>216.34977381126282</c:v>
                </c:pt>
                <c:pt idx="101">
                  <c:v>219.68095201573766</c:v>
                </c:pt>
                <c:pt idx="102">
                  <c:v>199.07228676851793</c:v>
                </c:pt>
                <c:pt idx="103">
                  <c:v>196.05220188026033</c:v>
                </c:pt>
                <c:pt idx="104">
                  <c:v>194.48708621890989</c:v>
                </c:pt>
                <c:pt idx="105">
                  <c:v>189.90802195427415</c:v>
                </c:pt>
                <c:pt idx="106">
                  <c:v>197.4312941163607</c:v>
                </c:pt>
                <c:pt idx="107">
                  <c:v>179.0837864761537</c:v>
                </c:pt>
                <c:pt idx="108">
                  <c:v>178.30720668016102</c:v>
                </c:pt>
                <c:pt idx="109">
                  <c:v>178.77968186463463</c:v>
                </c:pt>
                <c:pt idx="110">
                  <c:v>175.474163614936</c:v>
                </c:pt>
                <c:pt idx="111">
                  <c:v>174.24858540868826</c:v>
                </c:pt>
                <c:pt idx="112">
                  <c:v>169.10885113850071</c:v>
                </c:pt>
                <c:pt idx="113">
                  <c:v>175.80595615243055</c:v>
                </c:pt>
                <c:pt idx="114">
                  <c:v>171.17871439066303</c:v>
                </c:pt>
                <c:pt idx="115">
                  <c:v>178.81471729556657</c:v>
                </c:pt>
                <c:pt idx="116">
                  <c:v>163.3343547935643</c:v>
                </c:pt>
                <c:pt idx="117">
                  <c:v>179.14256817259991</c:v>
                </c:pt>
                <c:pt idx="118">
                  <c:v>170.41283951091066</c:v>
                </c:pt>
                <c:pt idx="119">
                  <c:v>163.78779435225613</c:v>
                </c:pt>
                <c:pt idx="120">
                  <c:v>166.30850997679889</c:v>
                </c:pt>
                <c:pt idx="121">
                  <c:v>169.24488778546458</c:v>
                </c:pt>
                <c:pt idx="122">
                  <c:v>184.38229417015694</c:v>
                </c:pt>
                <c:pt idx="123">
                  <c:v>176.54661203058427</c:v>
                </c:pt>
                <c:pt idx="124">
                  <c:v>178.41049905954287</c:v>
                </c:pt>
                <c:pt idx="125">
                  <c:v>174.45216016216327</c:v>
                </c:pt>
                <c:pt idx="126">
                  <c:v>189.90804918038765</c:v>
                </c:pt>
                <c:pt idx="127">
                  <c:v>186.83169276245192</c:v>
                </c:pt>
                <c:pt idx="128">
                  <c:v>188.89333795681742</c:v>
                </c:pt>
                <c:pt idx="129">
                  <c:v>180.18355548730176</c:v>
                </c:pt>
                <c:pt idx="130">
                  <c:v>203.85846207696642</c:v>
                </c:pt>
                <c:pt idx="131">
                  <c:v>211.71507226847169</c:v>
                </c:pt>
                <c:pt idx="132">
                  <c:v>203.970097999026</c:v>
                </c:pt>
                <c:pt idx="133">
                  <c:v>217.64606901296006</c:v>
                </c:pt>
                <c:pt idx="134">
                  <c:v>210.74788263585043</c:v>
                </c:pt>
                <c:pt idx="135">
                  <c:v>227.14217236462835</c:v>
                </c:pt>
                <c:pt idx="136">
                  <c:v>230.34104062202678</c:v>
                </c:pt>
                <c:pt idx="137">
                  <c:v>240.05752422528678</c:v>
                </c:pt>
                <c:pt idx="138">
                  <c:v>242.01799988722331</c:v>
                </c:pt>
                <c:pt idx="139">
                  <c:v>236.67357304006006</c:v>
                </c:pt>
                <c:pt idx="140">
                  <c:v>249.0052878912276</c:v>
                </c:pt>
                <c:pt idx="141">
                  <c:v>272.88208443056016</c:v>
                </c:pt>
                <c:pt idx="142">
                  <c:v>274.79731344641641</c:v>
                </c:pt>
                <c:pt idx="143">
                  <c:v>289.73243556423273</c:v>
                </c:pt>
                <c:pt idx="144">
                  <c:v>306.15882999746759</c:v>
                </c:pt>
                <c:pt idx="145">
                  <c:v>301.23355596528876</c:v>
                </c:pt>
                <c:pt idx="146">
                  <c:v>314.27769667175835</c:v>
                </c:pt>
                <c:pt idx="147">
                  <c:v>336.80413277299897</c:v>
                </c:pt>
                <c:pt idx="148">
                  <c:v>353.95055095552527</c:v>
                </c:pt>
                <c:pt idx="149">
                  <c:v>367.94082008611258</c:v>
                </c:pt>
                <c:pt idx="150">
                  <c:v>397.47463513133732</c:v>
                </c:pt>
                <c:pt idx="151">
                  <c:v>412.31722487603503</c:v>
                </c:pt>
                <c:pt idx="152">
                  <c:v>432.28497754504656</c:v>
                </c:pt>
                <c:pt idx="153">
                  <c:v>441.3435718549735</c:v>
                </c:pt>
                <c:pt idx="154">
                  <c:v>447.63735547650379</c:v>
                </c:pt>
                <c:pt idx="155">
                  <c:v>458.25770730484589</c:v>
                </c:pt>
                <c:pt idx="156">
                  <c:v>470.67498464503444</c:v>
                </c:pt>
                <c:pt idx="157">
                  <c:v>492.95804147934092</c:v>
                </c:pt>
                <c:pt idx="158">
                  <c:v>499.52218551867787</c:v>
                </c:pt>
                <c:pt idx="159">
                  <c:v>504.52854676147064</c:v>
                </c:pt>
                <c:pt idx="160">
                  <c:v>513.76830988147685</c:v>
                </c:pt>
                <c:pt idx="161">
                  <c:v>527.90616875942499</c:v>
                </c:pt>
                <c:pt idx="162">
                  <c:v>546.89815971513008</c:v>
                </c:pt>
                <c:pt idx="163">
                  <c:v>559.57243896015177</c:v>
                </c:pt>
                <c:pt idx="164">
                  <c:v>566.92831667481937</c:v>
                </c:pt>
                <c:pt idx="165">
                  <c:v>585.67637968003078</c:v>
                </c:pt>
                <c:pt idx="166">
                  <c:v>597.2046964449753</c:v>
                </c:pt>
                <c:pt idx="167">
                  <c:v>622.45734173617359</c:v>
                </c:pt>
                <c:pt idx="168">
                  <c:v>635.90316293409046</c:v>
                </c:pt>
                <c:pt idx="169">
                  <c:v>669.96396044797245</c:v>
                </c:pt>
                <c:pt idx="170">
                  <c:v>674.75110576455074</c:v>
                </c:pt>
                <c:pt idx="171">
                  <c:v>711.98218149017237</c:v>
                </c:pt>
                <c:pt idx="172">
                  <c:v>729.85770349350014</c:v>
                </c:pt>
                <c:pt idx="173">
                  <c:v>752.82672688139087</c:v>
                </c:pt>
                <c:pt idx="174">
                  <c:v>789.44516404536455</c:v>
                </c:pt>
                <c:pt idx="175">
                  <c:v>803.06035108241952</c:v>
                </c:pt>
                <c:pt idx="176">
                  <c:v>843.65655576314134</c:v>
                </c:pt>
                <c:pt idx="177">
                  <c:v>861.33125794001933</c:v>
                </c:pt>
                <c:pt idx="178">
                  <c:v>882.44222489068306</c:v>
                </c:pt>
                <c:pt idx="179">
                  <c:v>909.20164275140382</c:v>
                </c:pt>
                <c:pt idx="180">
                  <c:v>927.93516924515507</c:v>
                </c:pt>
                <c:pt idx="181">
                  <c:v>954.96519231798163</c:v>
                </c:pt>
                <c:pt idx="182">
                  <c:v>984.63876038010767</c:v>
                </c:pt>
                <c:pt idx="183">
                  <c:v>1019.137051146162</c:v>
                </c:pt>
                <c:pt idx="184">
                  <c:v>1026.6851748038275</c:v>
                </c:pt>
                <c:pt idx="185">
                  <c:v>1050.015562549557</c:v>
                </c:pt>
                <c:pt idx="186">
                  <c:v>1068.4734654252329</c:v>
                </c:pt>
                <c:pt idx="187">
                  <c:v>1095.055120371848</c:v>
                </c:pt>
                <c:pt idx="188">
                  <c:v>1112.9146643326565</c:v>
                </c:pt>
                <c:pt idx="189">
                  <c:v>1140.5081876322138</c:v>
                </c:pt>
                <c:pt idx="190">
                  <c:v>1172.1193048574567</c:v>
                </c:pt>
                <c:pt idx="191">
                  <c:v>1198.0393227286172</c:v>
                </c:pt>
                <c:pt idx="192">
                  <c:v>1225.0627321241077</c:v>
                </c:pt>
                <c:pt idx="193">
                  <c:v>1237.3637551977902</c:v>
                </c:pt>
                <c:pt idx="194">
                  <c:v>1268.6617955266863</c:v>
                </c:pt>
                <c:pt idx="195">
                  <c:v>1291.2455848374093</c:v>
                </c:pt>
                <c:pt idx="196">
                  <c:v>1326.9797644911666</c:v>
                </c:pt>
                <c:pt idx="197">
                  <c:v>1340.9057609661377</c:v>
                </c:pt>
                <c:pt idx="198">
                  <c:v>1373.2026240109199</c:v>
                </c:pt>
                <c:pt idx="199">
                  <c:v>1398.886743647146</c:v>
                </c:pt>
                <c:pt idx="200">
                  <c:v>1417.4118708012245</c:v>
                </c:pt>
                <c:pt idx="201">
                  <c:v>1444.0706059468382</c:v>
                </c:pt>
                <c:pt idx="202">
                  <c:v>1481.4273126274832</c:v>
                </c:pt>
                <c:pt idx="203">
                  <c:v>1517.2262677219103</c:v>
                </c:pt>
                <c:pt idx="204">
                  <c:v>1531.5523552471807</c:v>
                </c:pt>
                <c:pt idx="205">
                  <c:v>1570.2305553396193</c:v>
                </c:pt>
                <c:pt idx="206">
                  <c:v>1602.7818621256401</c:v>
                </c:pt>
                <c:pt idx="207">
                  <c:v>1637.5974648005576</c:v>
                </c:pt>
                <c:pt idx="208">
                  <c:v>1669.3632056969589</c:v>
                </c:pt>
                <c:pt idx="209">
                  <c:v>1710.6678996752721</c:v>
                </c:pt>
                <c:pt idx="210">
                  <c:v>1748.2692876143985</c:v>
                </c:pt>
                <c:pt idx="211">
                  <c:v>1777.3143306471047</c:v>
                </c:pt>
                <c:pt idx="212">
                  <c:v>1823.5341816384444</c:v>
                </c:pt>
                <c:pt idx="213">
                  <c:v>1860.6526962238402</c:v>
                </c:pt>
                <c:pt idx="214">
                  <c:v>1906.2953656238894</c:v>
                </c:pt>
                <c:pt idx="215">
                  <c:v>1944.5374524669721</c:v>
                </c:pt>
                <c:pt idx="216">
                  <c:v>1959.9530366453853</c:v>
                </c:pt>
                <c:pt idx="217">
                  <c:v>2002.9830515697727</c:v>
                </c:pt>
                <c:pt idx="218">
                  <c:v>2046.0483295532854</c:v>
                </c:pt>
                <c:pt idx="219">
                  <c:v>2069.1801491607152</c:v>
                </c:pt>
                <c:pt idx="220">
                  <c:v>2109.4597185935982</c:v>
                </c:pt>
                <c:pt idx="221">
                  <c:v>2131.2140439142581</c:v>
                </c:pt>
                <c:pt idx="222">
                  <c:v>2168.3496721002457</c:v>
                </c:pt>
                <c:pt idx="223">
                  <c:v>2181.8566137154303</c:v>
                </c:pt>
                <c:pt idx="224">
                  <c:v>2211.3029541143023</c:v>
                </c:pt>
                <c:pt idx="225">
                  <c:v>2256.7697026015899</c:v>
                </c:pt>
                <c:pt idx="226">
                  <c:v>2280.8394704852067</c:v>
                </c:pt>
                <c:pt idx="227">
                  <c:v>2315.995404077757</c:v>
                </c:pt>
                <c:pt idx="228">
                  <c:v>2348.0839354261516</c:v>
                </c:pt>
                <c:pt idx="229">
                  <c:v>2386.1126587334365</c:v>
                </c:pt>
                <c:pt idx="230">
                  <c:v>2421.4732152468773</c:v>
                </c:pt>
                <c:pt idx="231">
                  <c:v>2460.3255515535297</c:v>
                </c:pt>
                <c:pt idx="232">
                  <c:v>2497.1356534602714</c:v>
                </c:pt>
                <c:pt idx="233">
                  <c:v>2548.3497391941946</c:v>
                </c:pt>
                <c:pt idx="234">
                  <c:v>2579.2492208844378</c:v>
                </c:pt>
                <c:pt idx="235">
                  <c:v>2634.9029526998906</c:v>
                </c:pt>
                <c:pt idx="236">
                  <c:v>2667.4773146100511</c:v>
                </c:pt>
                <c:pt idx="237">
                  <c:v>2709.6034821973649</c:v>
                </c:pt>
                <c:pt idx="238">
                  <c:v>2744.9960857795809</c:v>
                </c:pt>
                <c:pt idx="239">
                  <c:v>2810.2179181485544</c:v>
                </c:pt>
                <c:pt idx="240">
                  <c:v>2837.2896503823899</c:v>
                </c:pt>
              </c:numCache>
            </c:numRef>
          </c:val>
          <c:smooth val="0"/>
          <c:extLst>
            <c:ext xmlns:c16="http://schemas.microsoft.com/office/drawing/2014/chart" uri="{C3380CC4-5D6E-409C-BE32-E72D297353CC}">
              <c16:uniqueId val="{00000002-F1EB-4C78-9534-09851E99D340}"/>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overlay val="0"/>
        </c:title>
        <c:numFmt formatCode="0.000" sourceLinked="1"/>
        <c:majorTickMark val="none"/>
        <c:minorTickMark val="none"/>
        <c:tickLblPos val="nextTo"/>
        <c:crossAx val="48672768"/>
        <c:crosses val="autoZero"/>
        <c:auto val="1"/>
        <c:lblAlgn val="ctr"/>
        <c:lblOffset val="100"/>
        <c:tickLblSkip val="24"/>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overlay val="0"/>
        </c:title>
        <c:numFmt formatCode="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Seeded Europa Topography Along the Pass</a:t>
            </a:r>
          </a:p>
        </c:rich>
      </c:tx>
      <c:overlay val="0"/>
    </c:title>
    <c:autoTitleDeleted val="0"/>
    <c:plotArea>
      <c:layout/>
      <c:lineChart>
        <c:grouping val="standard"/>
        <c:varyColors val="1"/>
        <c:ser>
          <c:idx val="0"/>
          <c:order val="0"/>
          <c:tx>
            <c:v>Target topography preview height (m)</c:v>
          </c:tx>
          <c:spPr>
            <a:ln w="9000"/>
          </c:spPr>
          <c:cat>
            <c:numRef>
              <c:f>Chart_Data!$E$2:$E$242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cat>
          <c:val>
            <c:numRef>
              <c:f>Chart_Data!$F$2:$F$242</c:f>
              <c:numCache>
                <c:formatCode>0.000</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val>
          <c:smooth val="0"/>
          <c:extLst>
            <c:ext xmlns:c16="http://schemas.microsoft.com/office/drawing/2014/chart" uri="{C3380CC4-5D6E-409C-BE32-E72D297353CC}">
              <c16:uniqueId val="{00000000-2C86-4A15-A3EA-169E951C56CA}"/>
            </c:ext>
          </c:extLst>
        </c:ser>
        <c:ser>
          <c:idx val="1"/>
          <c:order val="1"/>
          <c:tx>
            <c:v>Nadir topography preview height (m)</c:v>
          </c:tx>
          <c:spPr>
            <a:ln w="9000"/>
          </c:spPr>
          <c:cat>
            <c:numRef>
              <c:f>Chart_Data!$E$2:$E$242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cat>
          <c:val>
            <c:numRef>
              <c:f>Chart_Data!$G$2:$G$242</c:f>
              <c:numCache>
                <c:formatCode>0.000</c:formatCode>
                <c:ptCount val="241"/>
                <c:pt idx="0">
                  <c:v>2.7642790376893132</c:v>
                </c:pt>
                <c:pt idx="1">
                  <c:v>19.645117006409471</c:v>
                </c:pt>
                <c:pt idx="2">
                  <c:v>7.9704483537677238</c:v>
                </c:pt>
                <c:pt idx="3">
                  <c:v>21.747313566648423</c:v>
                </c:pt>
                <c:pt idx="4">
                  <c:v>31.866913549015347</c:v>
                </c:pt>
                <c:pt idx="5">
                  <c:v>34.586347487973264</c:v>
                </c:pt>
                <c:pt idx="6">
                  <c:v>55.440883037993757</c:v>
                </c:pt>
                <c:pt idx="7">
                  <c:v>57.325647278919931</c:v>
                </c:pt>
                <c:pt idx="8">
                  <c:v>61.559568351968792</c:v>
                </c:pt>
                <c:pt idx="9">
                  <c:v>38.496582165951239</c:v>
                </c:pt>
                <c:pt idx="10">
                  <c:v>46.511955931760568</c:v>
                </c:pt>
                <c:pt idx="11">
                  <c:v>49.774693415091853</c:v>
                </c:pt>
                <c:pt idx="12">
                  <c:v>37.915684067232107</c:v>
                </c:pt>
                <c:pt idx="13">
                  <c:v>49.305692333608725</c:v>
                </c:pt>
                <c:pt idx="14">
                  <c:v>54.961826683264675</c:v>
                </c:pt>
                <c:pt idx="15">
                  <c:v>41.913539426844665</c:v>
                </c:pt>
                <c:pt idx="16">
                  <c:v>44.009244046504797</c:v>
                </c:pt>
                <c:pt idx="17">
                  <c:v>32.491619283106324</c:v>
                </c:pt>
                <c:pt idx="18">
                  <c:v>39.108816586772562</c:v>
                </c:pt>
                <c:pt idx="19">
                  <c:v>47.995831702209429</c:v>
                </c:pt>
                <c:pt idx="20">
                  <c:v>29.034419664389077</c:v>
                </c:pt>
                <c:pt idx="21">
                  <c:v>51.904617288379008</c:v>
                </c:pt>
                <c:pt idx="22">
                  <c:v>39.643003044215533</c:v>
                </c:pt>
                <c:pt idx="23">
                  <c:v>40.329360187280464</c:v>
                </c:pt>
                <c:pt idx="24">
                  <c:v>55.677054005633387</c:v>
                </c:pt>
                <c:pt idx="25">
                  <c:v>53.974959185609514</c:v>
                </c:pt>
                <c:pt idx="26">
                  <c:v>61.213442747759345</c:v>
                </c:pt>
                <c:pt idx="27">
                  <c:v>57.529820703344001</c:v>
                </c:pt>
                <c:pt idx="28">
                  <c:v>49.539620652832568</c:v>
                </c:pt>
                <c:pt idx="29">
                  <c:v>36.882918508215923</c:v>
                </c:pt>
                <c:pt idx="30">
                  <c:v>46.599178353528217</c:v>
                </c:pt>
                <c:pt idx="31">
                  <c:v>27.915318214934121</c:v>
                </c:pt>
                <c:pt idx="32">
                  <c:v>18.825392010190029</c:v>
                </c:pt>
                <c:pt idx="33">
                  <c:v>22.55480739682735</c:v>
                </c:pt>
                <c:pt idx="34">
                  <c:v>3.69479063881065</c:v>
                </c:pt>
                <c:pt idx="35">
                  <c:v>9.4775494942885228</c:v>
                </c:pt>
                <c:pt idx="36">
                  <c:v>-8.6913035259942717</c:v>
                </c:pt>
                <c:pt idx="37">
                  <c:v>-15.792555414769886</c:v>
                </c:pt>
                <c:pt idx="38">
                  <c:v>-17.886266996681616</c:v>
                </c:pt>
                <c:pt idx="39">
                  <c:v>-15.042977474303433</c:v>
                </c:pt>
                <c:pt idx="40">
                  <c:v>-31.231711064274894</c:v>
                </c:pt>
                <c:pt idx="41">
                  <c:v>-33.241151326098546</c:v>
                </c:pt>
                <c:pt idx="42">
                  <c:v>-32.020201365077646</c:v>
                </c:pt>
                <c:pt idx="43">
                  <c:v>-34.295384147954024</c:v>
                </c:pt>
                <c:pt idx="44">
                  <c:v>-21.157379061522128</c:v>
                </c:pt>
                <c:pt idx="45">
                  <c:v>-18.69341167436205</c:v>
                </c:pt>
                <c:pt idx="46">
                  <c:v>-25.837662785318539</c:v>
                </c:pt>
                <c:pt idx="47">
                  <c:v>-21.548035323184823</c:v>
                </c:pt>
                <c:pt idx="48">
                  <c:v>-2.2866622063925579</c:v>
                </c:pt>
                <c:pt idx="49">
                  <c:v>-0.63397186114618087</c:v>
                </c:pt>
                <c:pt idx="50">
                  <c:v>-9.7085297317811534</c:v>
                </c:pt>
                <c:pt idx="51">
                  <c:v>-9.8596508268729295</c:v>
                </c:pt>
                <c:pt idx="52">
                  <c:v>0.233219012771956</c:v>
                </c:pt>
                <c:pt idx="53">
                  <c:v>8.5001955674394374</c:v>
                </c:pt>
                <c:pt idx="54">
                  <c:v>12.884972617306985</c:v>
                </c:pt>
                <c:pt idx="55">
                  <c:v>14.196906765365963</c:v>
                </c:pt>
                <c:pt idx="56">
                  <c:v>5.7308266461344264</c:v>
                </c:pt>
                <c:pt idx="57">
                  <c:v>9.2958171156023646</c:v>
                </c:pt>
                <c:pt idx="58">
                  <c:v>-13.18958267522941</c:v>
                </c:pt>
                <c:pt idx="59">
                  <c:v>-7.4673180377006023</c:v>
                </c:pt>
                <c:pt idx="60">
                  <c:v>-17.518013833672008</c:v>
                </c:pt>
                <c:pt idx="61">
                  <c:v>-36.167878297776255</c:v>
                </c:pt>
                <c:pt idx="62">
                  <c:v>-22.863821755996071</c:v>
                </c:pt>
                <c:pt idx="63">
                  <c:v>-29.731374520275047</c:v>
                </c:pt>
                <c:pt idx="64">
                  <c:v>-53.017518277040161</c:v>
                </c:pt>
                <c:pt idx="65">
                  <c:v>-63.021085948892313</c:v>
                </c:pt>
                <c:pt idx="66">
                  <c:v>-69.671539284115184</c:v>
                </c:pt>
                <c:pt idx="67">
                  <c:v>-78.119420028637307</c:v>
                </c:pt>
                <c:pt idx="68">
                  <c:v>-82.173494419788938</c:v>
                </c:pt>
                <c:pt idx="69">
                  <c:v>-104.31813701930129</c:v>
                </c:pt>
                <c:pt idx="70">
                  <c:v>-97.552975883581098</c:v>
                </c:pt>
                <c:pt idx="71">
                  <c:v>-113.61582851930044</c:v>
                </c:pt>
                <c:pt idx="72">
                  <c:v>-111.48853690711687</c:v>
                </c:pt>
                <c:pt idx="73">
                  <c:v>-125.65162794647964</c:v>
                </c:pt>
                <c:pt idx="74">
                  <c:v>-132.54578984267809</c:v>
                </c:pt>
                <c:pt idx="75">
                  <c:v>-138.29494668428998</c:v>
                </c:pt>
                <c:pt idx="76">
                  <c:v>-144.0992283446906</c:v>
                </c:pt>
                <c:pt idx="77">
                  <c:v>-156.9345481530768</c:v>
                </c:pt>
                <c:pt idx="78">
                  <c:v>-142.37794992196604</c:v>
                </c:pt>
                <c:pt idx="79">
                  <c:v>-140.55086511584989</c:v>
                </c:pt>
                <c:pt idx="80">
                  <c:v>-146.32822187126578</c:v>
                </c:pt>
                <c:pt idx="81">
                  <c:v>-140.04833812864371</c:v>
                </c:pt>
                <c:pt idx="82">
                  <c:v>-144.88352309984418</c:v>
                </c:pt>
                <c:pt idx="83">
                  <c:v>-136.66366560462208</c:v>
                </c:pt>
                <c:pt idx="84">
                  <c:v>-149.12259877495586</c:v>
                </c:pt>
                <c:pt idx="85">
                  <c:v>-139.0731304771746</c:v>
                </c:pt>
                <c:pt idx="86">
                  <c:v>-125.70874899839603</c:v>
                </c:pt>
                <c:pt idx="87">
                  <c:v>-123.86861357235706</c:v>
                </c:pt>
                <c:pt idx="88">
                  <c:v>-97.48037396441562</c:v>
                </c:pt>
                <c:pt idx="89">
                  <c:v>-109.31712972071381</c:v>
                </c:pt>
                <c:pt idx="90">
                  <c:v>-90.495309029444954</c:v>
                </c:pt>
                <c:pt idx="91">
                  <c:v>-86.652484826799366</c:v>
                </c:pt>
                <c:pt idx="92">
                  <c:v>-84.365972581405018</c:v>
                </c:pt>
                <c:pt idx="93">
                  <c:v>-61.032054933534482</c:v>
                </c:pt>
                <c:pt idx="94">
                  <c:v>-64.092434824295424</c:v>
                </c:pt>
                <c:pt idx="95">
                  <c:v>-70.183922281311382</c:v>
                </c:pt>
                <c:pt idx="96">
                  <c:v>-47.557945529629748</c:v>
                </c:pt>
                <c:pt idx="97">
                  <c:v>-48.067808115448663</c:v>
                </c:pt>
                <c:pt idx="98">
                  <c:v>-43.289835573332148</c:v>
                </c:pt>
                <c:pt idx="99">
                  <c:v>-52.096314636551988</c:v>
                </c:pt>
                <c:pt idx="100">
                  <c:v>-49.423131521111884</c:v>
                </c:pt>
                <c:pt idx="101">
                  <c:v>-32.277557975083496</c:v>
                </c:pt>
                <c:pt idx="102">
                  <c:v>-47.421474838397501</c:v>
                </c:pt>
                <c:pt idx="103">
                  <c:v>-61.848322891668573</c:v>
                </c:pt>
                <c:pt idx="104">
                  <c:v>-39.340995770370029</c:v>
                </c:pt>
                <c:pt idx="105">
                  <c:v>-43.223811451652651</c:v>
                </c:pt>
                <c:pt idx="106">
                  <c:v>-48.04634011268098</c:v>
                </c:pt>
                <c:pt idx="107">
                  <c:v>-59.466303655605586</c:v>
                </c:pt>
                <c:pt idx="108">
                  <c:v>-61.098645360716475</c:v>
                </c:pt>
                <c:pt idx="109">
                  <c:v>-63.59054434613801</c:v>
                </c:pt>
                <c:pt idx="110">
                  <c:v>-73.645604458171718</c:v>
                </c:pt>
                <c:pt idx="111">
                  <c:v>-73.089350881891278</c:v>
                </c:pt>
                <c:pt idx="112">
                  <c:v>-74.236730975515414</c:v>
                </c:pt>
                <c:pt idx="113">
                  <c:v>-78.649068093608037</c:v>
                </c:pt>
                <c:pt idx="114">
                  <c:v>-67.681977394603621</c:v>
                </c:pt>
                <c:pt idx="115">
                  <c:v>-49.834492958636119</c:v>
                </c:pt>
                <c:pt idx="116">
                  <c:v>-59.607279956221248</c:v>
                </c:pt>
                <c:pt idx="117">
                  <c:v>-34.15455011761312</c:v>
                </c:pt>
                <c:pt idx="118">
                  <c:v>-38.265792887993427</c:v>
                </c:pt>
                <c:pt idx="119">
                  <c:v>-15.949828195457984</c:v>
                </c:pt>
                <c:pt idx="120">
                  <c:v>-4.948127387128106</c:v>
                </c:pt>
                <c:pt idx="121">
                  <c:v>2.2595691323213032</c:v>
                </c:pt>
                <c:pt idx="122">
                  <c:v>43.076446221267872</c:v>
                </c:pt>
                <c:pt idx="123">
                  <c:v>46.814954828478903</c:v>
                </c:pt>
                <c:pt idx="124">
                  <c:v>65.558177903204651</c:v>
                </c:pt>
                <c:pt idx="125">
                  <c:v>70.900883626482283</c:v>
                </c:pt>
                <c:pt idx="126">
                  <c:v>82.120865864262811</c:v>
                </c:pt>
                <c:pt idx="127">
                  <c:v>98.61636326587373</c:v>
                </c:pt>
                <c:pt idx="128">
                  <c:v>96.363113555281444</c:v>
                </c:pt>
                <c:pt idx="129">
                  <c:v>82.519985907488817</c:v>
                </c:pt>
                <c:pt idx="130">
                  <c:v>98.949763506231449</c:v>
                </c:pt>
                <c:pt idx="131">
                  <c:v>97.114417477688932</c:v>
                </c:pt>
                <c:pt idx="132">
                  <c:v>70.342553479412842</c:v>
                </c:pt>
                <c:pt idx="133">
                  <c:v>77.64795080795966</c:v>
                </c:pt>
                <c:pt idx="134">
                  <c:v>66.915509899073115</c:v>
                </c:pt>
                <c:pt idx="135">
                  <c:v>56.202037436945574</c:v>
                </c:pt>
                <c:pt idx="136">
                  <c:v>45.993205062010666</c:v>
                </c:pt>
                <c:pt idx="137">
                  <c:v>35.421208100654937</c:v>
                </c:pt>
                <c:pt idx="138">
                  <c:v>29.628149721243545</c:v>
                </c:pt>
                <c:pt idx="139">
                  <c:v>5.6499270186383477</c:v>
                </c:pt>
                <c:pt idx="140">
                  <c:v>-8.569441618173812</c:v>
                </c:pt>
                <c:pt idx="141">
                  <c:v>4.9362904077748144</c:v>
                </c:pt>
                <c:pt idx="142">
                  <c:v>1.9403678384373038</c:v>
                </c:pt>
                <c:pt idx="143">
                  <c:v>4.0448246838212674</c:v>
                </c:pt>
                <c:pt idx="144">
                  <c:v>7.073891806129688</c:v>
                </c:pt>
                <c:pt idx="145">
                  <c:v>-5.6874541754451418</c:v>
                </c:pt>
                <c:pt idx="146">
                  <c:v>-3.6184909665757639</c:v>
                </c:pt>
                <c:pt idx="147">
                  <c:v>4.5761325244330742E-2</c:v>
                </c:pt>
                <c:pt idx="148">
                  <c:v>17.148059194147212</c:v>
                </c:pt>
                <c:pt idx="149">
                  <c:v>27.325427950728567</c:v>
                </c:pt>
                <c:pt idx="150">
                  <c:v>45.362905639140564</c:v>
                </c:pt>
                <c:pt idx="151">
                  <c:v>49.090179641950456</c:v>
                </c:pt>
                <c:pt idx="152">
                  <c:v>69.720188044182294</c:v>
                </c:pt>
                <c:pt idx="153">
                  <c:v>71.50919840907298</c:v>
                </c:pt>
                <c:pt idx="154">
                  <c:v>58.586187093984584</c:v>
                </c:pt>
                <c:pt idx="155">
                  <c:v>65.712265116192313</c:v>
                </c:pt>
                <c:pt idx="156">
                  <c:v>70.502986137150288</c:v>
                </c:pt>
                <c:pt idx="157">
                  <c:v>84.15381309689964</c:v>
                </c:pt>
                <c:pt idx="158">
                  <c:v>87.795161496026481</c:v>
                </c:pt>
                <c:pt idx="159">
                  <c:v>80.085787823255487</c:v>
                </c:pt>
                <c:pt idx="160">
                  <c:v>74.331668639094204</c:v>
                </c:pt>
                <c:pt idx="161">
                  <c:v>77.082988367878912</c:v>
                </c:pt>
                <c:pt idx="162">
                  <c:v>84.606080583689305</c:v>
                </c:pt>
                <c:pt idx="163">
                  <c:v>83.651674349785893</c:v>
                </c:pt>
                <c:pt idx="164">
                  <c:v>73.365898263722698</c:v>
                </c:pt>
                <c:pt idx="165">
                  <c:v>73.863220086762837</c:v>
                </c:pt>
                <c:pt idx="166">
                  <c:v>61.781548358505674</c:v>
                </c:pt>
                <c:pt idx="167">
                  <c:v>70.988668852426656</c:v>
                </c:pt>
                <c:pt idx="168">
                  <c:v>75.468150170569217</c:v>
                </c:pt>
                <c:pt idx="169">
                  <c:v>80.288162734236394</c:v>
                </c:pt>
                <c:pt idx="170">
                  <c:v>61.498548518191555</c:v>
                </c:pt>
                <c:pt idx="171">
                  <c:v>67.901880448960824</c:v>
                </c:pt>
                <c:pt idx="172">
                  <c:v>65.032671862171824</c:v>
                </c:pt>
                <c:pt idx="173">
                  <c:v>69.516598212008631</c:v>
                </c:pt>
                <c:pt idx="174">
                  <c:v>64.454469680614793</c:v>
                </c:pt>
                <c:pt idx="175">
                  <c:v>45.785881303759091</c:v>
                </c:pt>
                <c:pt idx="176">
                  <c:v>58.944391773626705</c:v>
                </c:pt>
                <c:pt idx="177">
                  <c:v>53.727058514925652</c:v>
                </c:pt>
                <c:pt idx="178">
                  <c:v>29.3621575955436</c:v>
                </c:pt>
                <c:pt idx="179">
                  <c:v>20.445829988997222</c:v>
                </c:pt>
                <c:pt idx="180">
                  <c:v>11.879118514207924</c:v>
                </c:pt>
                <c:pt idx="181">
                  <c:v>4.284803604386866</c:v>
                </c:pt>
                <c:pt idx="182">
                  <c:v>18.692329061381155</c:v>
                </c:pt>
                <c:pt idx="183">
                  <c:v>18.579807279110426</c:v>
                </c:pt>
                <c:pt idx="184">
                  <c:v>-1.3588316603362678</c:v>
                </c:pt>
                <c:pt idx="185">
                  <c:v>5.8468430183224456</c:v>
                </c:pt>
                <c:pt idx="186">
                  <c:v>-3.6102909912474139</c:v>
                </c:pt>
                <c:pt idx="187">
                  <c:v>2.8193818928466783</c:v>
                </c:pt>
                <c:pt idx="188">
                  <c:v>9.9015781941524494</c:v>
                </c:pt>
                <c:pt idx="189">
                  <c:v>22.306190725387925</c:v>
                </c:pt>
                <c:pt idx="190">
                  <c:v>28.92396994213728</c:v>
                </c:pt>
                <c:pt idx="191">
                  <c:v>32.227616256478356</c:v>
                </c:pt>
                <c:pt idx="192">
                  <c:v>45.422536466318</c:v>
                </c:pt>
                <c:pt idx="193">
                  <c:v>44.982194799694888</c:v>
                </c:pt>
                <c:pt idx="194">
                  <c:v>58.360988043050376</c:v>
                </c:pt>
                <c:pt idx="195">
                  <c:v>56.081084744036659</c:v>
                </c:pt>
                <c:pt idx="196">
                  <c:v>74.89136844725374</c:v>
                </c:pt>
                <c:pt idx="197">
                  <c:v>81.229436651819583</c:v>
                </c:pt>
                <c:pt idx="198">
                  <c:v>82.757717027313632</c:v>
                </c:pt>
                <c:pt idx="199">
                  <c:v>76.312714900519723</c:v>
                </c:pt>
                <c:pt idx="200">
                  <c:v>66.26609020115302</c:v>
                </c:pt>
                <c:pt idx="201">
                  <c:v>60.152205166209214</c:v>
                </c:pt>
                <c:pt idx="202">
                  <c:v>52.609338989159092</c:v>
                </c:pt>
                <c:pt idx="203">
                  <c:v>58.380951897935333</c:v>
                </c:pt>
                <c:pt idx="204">
                  <c:v>34.521242112789622</c:v>
                </c:pt>
                <c:pt idx="205">
                  <c:v>40.251276360901549</c:v>
                </c:pt>
                <c:pt idx="206">
                  <c:v>33.32797910139238</c:v>
                </c:pt>
                <c:pt idx="207">
                  <c:v>20.522948331557505</c:v>
                </c:pt>
                <c:pt idx="208">
                  <c:v>7.0518996381457164</c:v>
                </c:pt>
                <c:pt idx="209">
                  <c:v>-3.2837161089439029</c:v>
                </c:pt>
                <c:pt idx="210">
                  <c:v>-4.7462079682678002</c:v>
                </c:pt>
                <c:pt idx="211">
                  <c:v>-4.9547764189191454</c:v>
                </c:pt>
                <c:pt idx="212">
                  <c:v>-4.8192565136201182E-2</c:v>
                </c:pt>
                <c:pt idx="213">
                  <c:v>-12.323766405407561</c:v>
                </c:pt>
                <c:pt idx="214">
                  <c:v>5.6247334384920968</c:v>
                </c:pt>
                <c:pt idx="215">
                  <c:v>4.7258194939479337</c:v>
                </c:pt>
                <c:pt idx="216">
                  <c:v>-9.0769147289597925</c:v>
                </c:pt>
                <c:pt idx="217">
                  <c:v>-2.0408727900443155</c:v>
                </c:pt>
                <c:pt idx="218">
                  <c:v>10.431027200722241</c:v>
                </c:pt>
                <c:pt idx="219">
                  <c:v>-2.2699304094542576</c:v>
                </c:pt>
                <c:pt idx="220">
                  <c:v>8.1725883775596202</c:v>
                </c:pt>
                <c:pt idx="221">
                  <c:v>7.1754118877202355</c:v>
                </c:pt>
                <c:pt idx="222">
                  <c:v>11.525237738664625</c:v>
                </c:pt>
                <c:pt idx="223">
                  <c:v>-4.5509465319165372</c:v>
                </c:pt>
                <c:pt idx="224">
                  <c:v>-7.8509490215719673</c:v>
                </c:pt>
                <c:pt idx="225">
                  <c:v>6.5883469319652015</c:v>
                </c:pt>
                <c:pt idx="226">
                  <c:v>4.5083965407611828</c:v>
                </c:pt>
                <c:pt idx="227">
                  <c:v>-0.1280560890739677</c:v>
                </c:pt>
                <c:pt idx="228">
                  <c:v>-7.8528378251423838</c:v>
                </c:pt>
                <c:pt idx="229">
                  <c:v>-10.88592803052483</c:v>
                </c:pt>
                <c:pt idx="230">
                  <c:v>-2.7391578251359494</c:v>
                </c:pt>
                <c:pt idx="231">
                  <c:v>-6.5380942800848239</c:v>
                </c:pt>
                <c:pt idx="232">
                  <c:v>-4.3572901776696842</c:v>
                </c:pt>
                <c:pt idx="233">
                  <c:v>21.715435034758002</c:v>
                </c:pt>
                <c:pt idx="234">
                  <c:v>18.4135707545088</c:v>
                </c:pt>
                <c:pt idx="235">
                  <c:v>25.968776223167485</c:v>
                </c:pt>
                <c:pt idx="236">
                  <c:v>30.070182113253747</c:v>
                </c:pt>
                <c:pt idx="237">
                  <c:v>28.425297518081656</c:v>
                </c:pt>
                <c:pt idx="238">
                  <c:v>25.687015204981627</c:v>
                </c:pt>
                <c:pt idx="239">
                  <c:v>45.681577079315673</c:v>
                </c:pt>
                <c:pt idx="240">
                  <c:v>31.89413090916895</c:v>
                </c:pt>
              </c:numCache>
            </c:numRef>
          </c:val>
          <c:smooth val="0"/>
          <c:extLst>
            <c:ext xmlns:c16="http://schemas.microsoft.com/office/drawing/2014/chart" uri="{C3380CC4-5D6E-409C-BE32-E72D297353CC}">
              <c16:uniqueId val="{00000001-2C86-4A15-A3EA-169E951C56CA}"/>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overlay val="0"/>
        </c:title>
        <c:numFmt formatCode="0.000" sourceLinked="1"/>
        <c:majorTickMark val="none"/>
        <c:minorTickMark val="none"/>
        <c:tickLblPos val="nextTo"/>
        <c:crossAx val="48672768"/>
        <c:crosses val="autoZero"/>
        <c:auto val="1"/>
        <c:lblAlgn val="ctr"/>
        <c:lblOffset val="100"/>
        <c:tickLblSkip val="24"/>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(m)</a:t>
                </a:r>
              </a:p>
            </c:rich>
          </c:tx>
          <c:overlay val="0"/>
        </c:title>
        <c:numFmt formatCode="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Planet Surface vs Satellite Apparent Reading</a:t>
            </a:r>
          </a:p>
        </c:rich>
      </c:tx>
      <c:overlay val="0"/>
    </c:title>
    <c:autoTitleDeleted val="0"/>
    <c:plotArea>
      <c:layout/>
      <c:lineChart>
        <c:grouping val="standard"/>
        <c:varyColors val="1"/>
        <c:ser>
          <c:idx val="0"/>
          <c:order val="0"/>
          <c:tx>
            <c:v>Planet surface height at target (m)</c:v>
          </c:tx>
          <c:spPr>
            <a:ln w="9000"/>
          </c:spPr>
          <c:cat>
            <c:numRef>
              <c:f>Chart_Data!$I$2:$I$242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cat>
          <c:val>
            <c:numRef>
              <c:f>Chart_Data!$J$2:$J$242</c:f>
              <c:numCache>
                <c:formatCode>0.000</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val>
          <c:smooth val="0"/>
          <c:extLst>
            <c:ext xmlns:c16="http://schemas.microsoft.com/office/drawing/2014/chart" uri="{C3380CC4-5D6E-409C-BE32-E72D297353CC}">
              <c16:uniqueId val="{00000000-3421-4972-8D23-C932C0D8E59C}"/>
            </c:ext>
          </c:extLst>
        </c:ser>
        <c:ser>
          <c:idx val="1"/>
          <c:order val="1"/>
          <c:tx>
            <c:v>Satellite apparent surface reading (height-equivalent m)</c:v>
          </c:tx>
          <c:spPr>
            <a:ln w="9000"/>
          </c:spPr>
          <c:cat>
            <c:numRef>
              <c:f>Chart_Data!$I$2:$I$242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cat>
          <c:val>
            <c:numRef>
              <c:f>Chart_Data!$K$2:$K$242</c:f>
              <c:numCache>
                <c:formatCode>0.000</c:formatCode>
                <c:ptCount val="241"/>
                <c:pt idx="0">
                  <c:v>64.688376988258824</c:v>
                </c:pt>
                <c:pt idx="1">
                  <c:v>50.373104432909258</c:v>
                </c:pt>
                <c:pt idx="2">
                  <c:v>58.216554988009648</c:v>
                </c:pt>
                <c:pt idx="3">
                  <c:v>62.359885107794526</c:v>
                </c:pt>
                <c:pt idx="4">
                  <c:v>48.741271780049374</c:v>
                </c:pt>
                <c:pt idx="5">
                  <c:v>57.679112476218506</c:v>
                </c:pt>
                <c:pt idx="6">
                  <c:v>45.179018680625177</c:v>
                </c:pt>
                <c:pt idx="7">
                  <c:v>46.348495992420339</c:v>
                </c:pt>
                <c:pt idx="8">
                  <c:v>58.234474099382169</c:v>
                </c:pt>
                <c:pt idx="9">
                  <c:v>67.575761840967516</c:v>
                </c:pt>
                <c:pt idx="10">
                  <c:v>71.715834981185708</c:v>
                </c:pt>
                <c:pt idx="11">
                  <c:v>80.067525736717926</c:v>
                </c:pt>
                <c:pt idx="12">
                  <c:v>87.851373712183431</c:v>
                </c:pt>
                <c:pt idx="13">
                  <c:v>91.835932738667907</c:v>
                </c:pt>
                <c:pt idx="14">
                  <c:v>91.58675399848471</c:v>
                </c:pt>
                <c:pt idx="15">
                  <c:v>103.49978851592005</c:v>
                </c:pt>
                <c:pt idx="16">
                  <c:v>109.43719265310528</c:v>
                </c:pt>
                <c:pt idx="17">
                  <c:v>127.13713006874468</c:v>
                </c:pt>
                <c:pt idx="18">
                  <c:v>118.19655604755053</c:v>
                </c:pt>
                <c:pt idx="19">
                  <c:v>111.97899954370587</c:v>
                </c:pt>
                <c:pt idx="20">
                  <c:v>136.0000604164677</c:v>
                </c:pt>
                <c:pt idx="21">
                  <c:v>114.93875754812075</c:v>
                </c:pt>
                <c:pt idx="22">
                  <c:v>127.34524188622959</c:v>
                </c:pt>
                <c:pt idx="23">
                  <c:v>125.13851402690898</c:v>
                </c:pt>
                <c:pt idx="24">
                  <c:v>109.94215421643707</c:v>
                </c:pt>
                <c:pt idx="25">
                  <c:v>115.99587943279721</c:v>
                </c:pt>
                <c:pt idx="26">
                  <c:v>107.02659849734414</c:v>
                </c:pt>
                <c:pt idx="27">
                  <c:v>109.02303088717304</c:v>
                </c:pt>
                <c:pt idx="28">
                  <c:v>104.42655121401617</c:v>
                </c:pt>
                <c:pt idx="29">
                  <c:v>107.44917712463962</c:v>
                </c:pt>
                <c:pt idx="30">
                  <c:v>90.186903638295917</c:v>
                </c:pt>
                <c:pt idx="31">
                  <c:v>96.709862665414221</c:v>
                </c:pt>
                <c:pt idx="32">
                  <c:v>100.96891115456083</c:v>
                </c:pt>
                <c:pt idx="33">
                  <c:v>104.87098133719314</c:v>
                </c:pt>
                <c:pt idx="34">
                  <c:v>98.593672224579223</c:v>
                </c:pt>
                <c:pt idx="35">
                  <c:v>96.01083696239084</c:v>
                </c:pt>
                <c:pt idx="36">
                  <c:v>100.04006616930315</c:v>
                </c:pt>
                <c:pt idx="37">
                  <c:v>104.46394690584862</c:v>
                </c:pt>
                <c:pt idx="38">
                  <c:v>108.5977640364008</c:v>
                </c:pt>
                <c:pt idx="39">
                  <c:v>115.14677509561761</c:v>
                </c:pt>
                <c:pt idx="40">
                  <c:v>127.83611921800093</c:v>
                </c:pt>
                <c:pt idx="41">
                  <c:v>130.82880280597328</c:v>
                </c:pt>
                <c:pt idx="42">
                  <c:v>120.98244775192347</c:v>
                </c:pt>
                <c:pt idx="43">
                  <c:v>137.39333489773503</c:v>
                </c:pt>
                <c:pt idx="44">
                  <c:v>125.17081783003937</c:v>
                </c:pt>
                <c:pt idx="45">
                  <c:v>144.03779688285636</c:v>
                </c:pt>
                <c:pt idx="46">
                  <c:v>146.39231966125953</c:v>
                </c:pt>
                <c:pt idx="47">
                  <c:v>160.00394565825627</c:v>
                </c:pt>
                <c:pt idx="48">
                  <c:v>153.88624159056008</c:v>
                </c:pt>
                <c:pt idx="49">
                  <c:v>159.51276529655047</c:v>
                </c:pt>
                <c:pt idx="50">
                  <c:v>162.25995873263105</c:v>
                </c:pt>
                <c:pt idx="51">
                  <c:v>182.25030048865801</c:v>
                </c:pt>
                <c:pt idx="52">
                  <c:v>178.33077929726983</c:v>
                </c:pt>
                <c:pt idx="53">
                  <c:v>178.75017921893073</c:v>
                </c:pt>
                <c:pt idx="54">
                  <c:v>183.91231732598646</c:v>
                </c:pt>
                <c:pt idx="55">
                  <c:v>188.14672510616049</c:v>
                </c:pt>
                <c:pt idx="56">
                  <c:v>187.33202315861183</c:v>
                </c:pt>
                <c:pt idx="57">
                  <c:v>193.30512263724313</c:v>
                </c:pt>
                <c:pt idx="58">
                  <c:v>204.89905228031887</c:v>
                </c:pt>
                <c:pt idx="59">
                  <c:v>193.53788546040744</c:v>
                </c:pt>
                <c:pt idx="60">
                  <c:v>198.26208418987278</c:v>
                </c:pt>
                <c:pt idx="61">
                  <c:v>202.75695940046239</c:v>
                </c:pt>
                <c:pt idx="62">
                  <c:v>198.44768755566997</c:v>
                </c:pt>
                <c:pt idx="63">
                  <c:v>190.22183334433123</c:v>
                </c:pt>
                <c:pt idx="64">
                  <c:v>205.01975637183466</c:v>
                </c:pt>
                <c:pt idx="65">
                  <c:v>201.45851112315256</c:v>
                </c:pt>
                <c:pt idx="66">
                  <c:v>201.01194146497642</c:v>
                </c:pt>
                <c:pt idx="67">
                  <c:v>206.45240048806079</c:v>
                </c:pt>
                <c:pt idx="68">
                  <c:v>198.21475225226459</c:v>
                </c:pt>
                <c:pt idx="69">
                  <c:v>210.65596190366705</c:v>
                </c:pt>
                <c:pt idx="70">
                  <c:v>200.45866450729636</c:v>
                </c:pt>
                <c:pt idx="71">
                  <c:v>218.57280817254775</c:v>
                </c:pt>
                <c:pt idx="72">
                  <c:v>212.95947006871643</c:v>
                </c:pt>
                <c:pt idx="73">
                  <c:v>223.92491329524444</c:v>
                </c:pt>
                <c:pt idx="74">
                  <c:v>230.95571961016128</c:v>
                </c:pt>
                <c:pt idx="75">
                  <c:v>238.19563206562464</c:v>
                </c:pt>
                <c:pt idx="76">
                  <c:v>258.21231447052469</c:v>
                </c:pt>
                <c:pt idx="77">
                  <c:v>274.30457328491451</c:v>
                </c:pt>
                <c:pt idx="78">
                  <c:v>258.00225283876313</c:v>
                </c:pt>
                <c:pt idx="79">
                  <c:v>271.24506534159428</c:v>
                </c:pt>
                <c:pt idx="80">
                  <c:v>271.57866162002171</c:v>
                </c:pt>
                <c:pt idx="81">
                  <c:v>282.43073545476483</c:v>
                </c:pt>
                <c:pt idx="82">
                  <c:v>289.28803588741272</c:v>
                </c:pt>
                <c:pt idx="83">
                  <c:v>281.60270720504514</c:v>
                </c:pt>
                <c:pt idx="84">
                  <c:v>303.36413078325518</c:v>
                </c:pt>
                <c:pt idx="85">
                  <c:v>300.55864801874645</c:v>
                </c:pt>
                <c:pt idx="86">
                  <c:v>284.26848489825613</c:v>
                </c:pt>
                <c:pt idx="87">
                  <c:v>286.47827895418158</c:v>
                </c:pt>
                <c:pt idx="88">
                  <c:v>286.31643281647138</c:v>
                </c:pt>
                <c:pt idx="89">
                  <c:v>288.43015959266268</c:v>
                </c:pt>
                <c:pt idx="90">
                  <c:v>284.28286151096739</c:v>
                </c:pt>
                <c:pt idx="91">
                  <c:v>287.00029761680111</c:v>
                </c:pt>
                <c:pt idx="92">
                  <c:v>283.2852380097674</c:v>
                </c:pt>
                <c:pt idx="93">
                  <c:v>268.96045188972658</c:v>
                </c:pt>
                <c:pt idx="94">
                  <c:v>278.5992214457662</c:v>
                </c:pt>
                <c:pt idx="95">
                  <c:v>290.98881381254779</c:v>
                </c:pt>
                <c:pt idx="96">
                  <c:v>272.19144151669923</c:v>
                </c:pt>
                <c:pt idx="97">
                  <c:v>284.21130576567634</c:v>
                </c:pt>
                <c:pt idx="98">
                  <c:v>283.57079927120003</c:v>
                </c:pt>
                <c:pt idx="99">
                  <c:v>292.76456111565653</c:v>
                </c:pt>
                <c:pt idx="100">
                  <c:v>292.06308778282295</c:v>
                </c:pt>
                <c:pt idx="101">
                  <c:v>281.91579540125684</c:v>
                </c:pt>
                <c:pt idx="102">
                  <c:v>296.05735967385976</c:v>
                </c:pt>
                <c:pt idx="103">
                  <c:v>292.95944057254383</c:v>
                </c:pt>
                <c:pt idx="104">
                  <c:v>288.75572850409026</c:v>
                </c:pt>
                <c:pt idx="105">
                  <c:v>287.9152160620938</c:v>
                </c:pt>
                <c:pt idx="106">
                  <c:v>275.32168846530465</c:v>
                </c:pt>
                <c:pt idx="107">
                  <c:v>288.94832767391335</c:v>
                </c:pt>
                <c:pt idx="108">
                  <c:v>285.35348725187447</c:v>
                </c:pt>
                <c:pt idx="109">
                  <c:v>280.85909675019525</c:v>
                </c:pt>
                <c:pt idx="110">
                  <c:v>280.4922567449193</c:v>
                </c:pt>
                <c:pt idx="111">
                  <c:v>278.39508139180361</c:v>
                </c:pt>
                <c:pt idx="112">
                  <c:v>280.56170990145364</c:v>
                </c:pt>
                <c:pt idx="113">
                  <c:v>271.24118549691406</c:v>
                </c:pt>
                <c:pt idx="114">
                  <c:v>273.59472827535978</c:v>
                </c:pt>
                <c:pt idx="115">
                  <c:v>264.03477629641247</c:v>
                </c:pt>
                <c:pt idx="116">
                  <c:v>277.94096459918239</c:v>
                </c:pt>
                <c:pt idx="117">
                  <c:v>260.90837232355841</c:v>
                </c:pt>
                <c:pt idx="118">
                  <c:v>268.76353328047566</c:v>
                </c:pt>
                <c:pt idx="119">
                  <c:v>274.86383327614482</c:v>
                </c:pt>
                <c:pt idx="120">
                  <c:v>272.16820184056417</c:v>
                </c:pt>
                <c:pt idx="121">
                  <c:v>269.40673984293636</c:v>
                </c:pt>
                <c:pt idx="122">
                  <c:v>254.79407862122937</c:v>
                </c:pt>
                <c:pt idx="123">
                  <c:v>263.50432846557408</c:v>
                </c:pt>
                <c:pt idx="124">
                  <c:v>262.86482033320385</c:v>
                </c:pt>
                <c:pt idx="125">
                  <c:v>268.39733342981572</c:v>
                </c:pt>
                <c:pt idx="126">
                  <c:v>254.8653934856352</c:v>
                </c:pt>
                <c:pt idx="127">
                  <c:v>260.21544888689266</c:v>
                </c:pt>
                <c:pt idx="128">
                  <c:v>260.77722308313696</c:v>
                </c:pt>
                <c:pt idx="129">
                  <c:v>272.46011131319011</c:v>
                </c:pt>
                <c:pt idx="130">
                  <c:v>252.10795828288889</c:v>
                </c:pt>
                <c:pt idx="131">
                  <c:v>247.92370634635816</c:v>
                </c:pt>
                <c:pt idx="132">
                  <c:v>259.69059593300949</c:v>
                </c:pt>
                <c:pt idx="133">
                  <c:v>250.386045137107</c:v>
                </c:pt>
                <c:pt idx="134">
                  <c:v>262.00509994581489</c:v>
                </c:pt>
                <c:pt idx="135">
                  <c:v>250.6810656517396</c:v>
                </c:pt>
                <c:pt idx="136">
                  <c:v>252.90177410097337</c:v>
                </c:pt>
                <c:pt idx="137">
                  <c:v>248.95411822751737</c:v>
                </c:pt>
                <c:pt idx="138">
                  <c:v>253.11164655515438</c:v>
                </c:pt>
                <c:pt idx="139">
                  <c:v>264.92317437693441</c:v>
                </c:pt>
                <c:pt idx="140">
                  <c:v>259.40757370285814</c:v>
                </c:pt>
                <c:pt idx="141">
                  <c:v>242.69581625638403</c:v>
                </c:pt>
                <c:pt idx="142">
                  <c:v>248.29445846220358</c:v>
                </c:pt>
                <c:pt idx="143">
                  <c:v>241.2219424117124</c:v>
                </c:pt>
                <c:pt idx="144">
                  <c:v>233.00678711637602</c:v>
                </c:pt>
                <c:pt idx="145">
                  <c:v>246.49182709448252</c:v>
                </c:pt>
                <c:pt idx="146">
                  <c:v>242.35586839661926</c:v>
                </c:pt>
                <c:pt idx="147">
                  <c:v>229.08591514348871</c:v>
                </c:pt>
                <c:pt idx="148">
                  <c:v>221.54416095236741</c:v>
                </c:pt>
                <c:pt idx="149">
                  <c:v>217.50661279272936</c:v>
                </c:pt>
                <c:pt idx="150">
                  <c:v>198.27344707200757</c:v>
                </c:pt>
                <c:pt idx="151">
                  <c:v>194.07930192288364</c:v>
                </c:pt>
                <c:pt idx="152">
                  <c:v>185.10765158716208</c:v>
                </c:pt>
                <c:pt idx="153">
                  <c:v>187.39267537030634</c:v>
                </c:pt>
                <c:pt idx="154">
                  <c:v>192.78987918505277</c:v>
                </c:pt>
                <c:pt idx="155">
                  <c:v>194.20773328752296</c:v>
                </c:pt>
                <c:pt idx="156">
                  <c:v>194.17572509846491</c:v>
                </c:pt>
                <c:pt idx="157">
                  <c:v>184.6248409426442</c:v>
                </c:pt>
                <c:pt idx="158">
                  <c:v>191.13960900430556</c:v>
                </c:pt>
                <c:pt idx="159">
                  <c:v>199.55873077564644</c:v>
                </c:pt>
                <c:pt idx="160">
                  <c:v>204.09084867611875</c:v>
                </c:pt>
                <c:pt idx="161">
                  <c:v>204.07109152839064</c:v>
                </c:pt>
                <c:pt idx="162">
                  <c:v>199.54324133399098</c:v>
                </c:pt>
                <c:pt idx="163">
                  <c:v>201.67895582853896</c:v>
                </c:pt>
                <c:pt idx="164">
                  <c:v>209.47873441270292</c:v>
                </c:pt>
                <c:pt idx="165">
                  <c:v>206.23179548876794</c:v>
                </c:pt>
                <c:pt idx="166">
                  <c:v>210.54987146131236</c:v>
                </c:pt>
                <c:pt idx="167">
                  <c:v>201.48868409678926</c:v>
                </c:pt>
                <c:pt idx="168">
                  <c:v>204.57917821569652</c:v>
                </c:pt>
                <c:pt idx="169">
                  <c:v>187.39934128680829</c:v>
                </c:pt>
                <c:pt idx="170">
                  <c:v>199.83758538754125</c:v>
                </c:pt>
                <c:pt idx="171">
                  <c:v>180.17610717124444</c:v>
                </c:pt>
                <c:pt idx="172">
                  <c:v>180.2141657339838</c:v>
                </c:pt>
                <c:pt idx="173">
                  <c:v>175.50247664830795</c:v>
                </c:pt>
                <c:pt idx="174">
                  <c:v>157.48489392677493</c:v>
                </c:pt>
                <c:pt idx="175">
                  <c:v>162.81384361106802</c:v>
                </c:pt>
                <c:pt idx="176">
                  <c:v>141.50481581423446</c:v>
                </c:pt>
                <c:pt idx="177">
                  <c:v>143.46008432258714</c:v>
                </c:pt>
                <c:pt idx="178">
                  <c:v>142.32163126319892</c:v>
                </c:pt>
                <c:pt idx="179">
                  <c:v>135.87701568103444</c:v>
                </c:pt>
                <c:pt idx="180">
                  <c:v>137.80032082190769</c:v>
                </c:pt>
                <c:pt idx="181">
                  <c:v>131.76889550700287</c:v>
                </c:pt>
                <c:pt idx="182">
                  <c:v>123.43542390316566</c:v>
                </c:pt>
                <c:pt idx="183">
                  <c:v>110.61845669407978</c:v>
                </c:pt>
                <c:pt idx="184">
                  <c:v>125.09260792314581</c:v>
                </c:pt>
                <c:pt idx="185">
                  <c:v>124.12516646945278</c:v>
                </c:pt>
                <c:pt idx="186">
                  <c:v>128.37059722309391</c:v>
                </c:pt>
                <c:pt idx="187">
                  <c:v>124.83237504362182</c:v>
                </c:pt>
                <c:pt idx="188">
                  <c:v>130.35607066893635</c:v>
                </c:pt>
                <c:pt idx="189">
                  <c:v>126.48529734879389</c:v>
                </c:pt>
                <c:pt idx="190">
                  <c:v>118.9361399761201</c:v>
                </c:pt>
                <c:pt idx="191">
                  <c:v>117.41698722905926</c:v>
                </c:pt>
                <c:pt idx="192">
                  <c:v>115.1330395586092</c:v>
                </c:pt>
                <c:pt idx="193">
                  <c:v>127.90976208457118</c:v>
                </c:pt>
                <c:pt idx="194">
                  <c:v>122.02743446106274</c:v>
                </c:pt>
                <c:pt idx="195">
                  <c:v>125.19700416324099</c:v>
                </c:pt>
                <c:pt idx="196">
                  <c:v>115.55350501577732</c:v>
                </c:pt>
                <c:pt idx="197">
                  <c:v>128.05518172430698</c:v>
                </c:pt>
                <c:pt idx="198">
                  <c:v>122.52265173555543</c:v>
                </c:pt>
                <c:pt idx="199">
                  <c:v>123.93918824864409</c:v>
                </c:pt>
                <c:pt idx="200">
                  <c:v>132.85069959762541</c:v>
                </c:pt>
                <c:pt idx="201">
                  <c:v>133.96424062287451</c:v>
                </c:pt>
                <c:pt idx="202">
                  <c:v>124.71509916324112</c:v>
                </c:pt>
                <c:pt idx="203">
                  <c:v>117.35864580481916</c:v>
                </c:pt>
                <c:pt idx="204">
                  <c:v>131.8096400927077</c:v>
                </c:pt>
                <c:pt idx="205">
                  <c:v>122.24274156484398</c:v>
                </c:pt>
                <c:pt idx="206">
                  <c:v>119.13659189589998</c:v>
                </c:pt>
                <c:pt idx="207">
                  <c:v>114.09963383386275</c:v>
                </c:pt>
                <c:pt idx="208">
                  <c:v>112.44565314644888</c:v>
                </c:pt>
                <c:pt idx="209">
                  <c:v>101.58545924624696</c:v>
                </c:pt>
                <c:pt idx="210">
                  <c:v>94.760931715318748</c:v>
                </c:pt>
                <c:pt idx="211">
                  <c:v>96.824726085423208</c:v>
                </c:pt>
                <c:pt idx="212">
                  <c:v>82.045302375401434</c:v>
                </c:pt>
                <c:pt idx="213">
                  <c:v>76.698414068903276</c:v>
                </c:pt>
                <c:pt idx="214">
                  <c:v>63.158175315516246</c:v>
                </c:pt>
                <c:pt idx="215">
                  <c:v>57.34892512431702</c:v>
                </c:pt>
                <c:pt idx="216">
                  <c:v>74.696181524023359</c:v>
                </c:pt>
                <c:pt idx="217">
                  <c:v>64.758605324786913</c:v>
                </c:pt>
                <c:pt idx="218">
                  <c:v>55.11495475057518</c:v>
                </c:pt>
                <c:pt idx="219">
                  <c:v>65.733538106739161</c:v>
                </c:pt>
                <c:pt idx="220">
                  <c:v>59.532730411452576</c:v>
                </c:pt>
                <c:pt idx="221">
                  <c:v>72.18510518856192</c:v>
                </c:pt>
                <c:pt idx="222">
                  <c:v>69.783691430199269</c:v>
                </c:pt>
                <c:pt idx="223">
                  <c:v>91.338050942616519</c:v>
                </c:pt>
                <c:pt idx="224">
                  <c:v>97.279667159224118</c:v>
                </c:pt>
                <c:pt idx="225">
                  <c:v>87.527095998025288</c:v>
                </c:pt>
                <c:pt idx="226">
                  <c:v>99.497287826394768</c:v>
                </c:pt>
                <c:pt idx="227">
                  <c:v>100.70665447675128</c:v>
                </c:pt>
                <c:pt idx="228">
                  <c:v>105.30831853479685</c:v>
                </c:pt>
                <c:pt idx="229">
                  <c:v>104.29423693537547</c:v>
                </c:pt>
                <c:pt idx="230">
                  <c:v>106.27231609208366</c:v>
                </c:pt>
                <c:pt idx="231">
                  <c:v>105.08215361983866</c:v>
                </c:pt>
                <c:pt idx="232">
                  <c:v>106.25730447269416</c:v>
                </c:pt>
                <c:pt idx="233">
                  <c:v>93.351087761721374</c:v>
                </c:pt>
                <c:pt idx="234">
                  <c:v>101.08162529130732</c:v>
                </c:pt>
                <c:pt idx="235">
                  <c:v>84.379593439884502</c:v>
                </c:pt>
                <c:pt idx="236">
                  <c:v>91.078139417397779</c:v>
                </c:pt>
                <c:pt idx="237">
                  <c:v>88.545611471554821</c:v>
                </c:pt>
                <c:pt idx="238">
                  <c:v>93.066899783989356</c:v>
                </c:pt>
                <c:pt idx="239">
                  <c:v>68.078728750432674</c:v>
                </c:pt>
                <c:pt idx="240">
                  <c:v>81.559941186893866</c:v>
                </c:pt>
              </c:numCache>
            </c:numRef>
          </c:val>
          <c:smooth val="0"/>
          <c:extLst>
            <c:ext xmlns:c16="http://schemas.microsoft.com/office/drawing/2014/chart" uri="{C3380CC4-5D6E-409C-BE32-E72D297353CC}">
              <c16:uniqueId val="{00000001-3421-4972-8D23-C932C0D8E59C}"/>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overlay val="0"/>
        </c:title>
        <c:numFmt formatCode="0.000" sourceLinked="1"/>
        <c:majorTickMark val="none"/>
        <c:minorTickMark val="none"/>
        <c:tickLblPos val="nextTo"/>
        <c:crossAx val="48672768"/>
        <c:crosses val="autoZero"/>
        <c:auto val="1"/>
        <c:lblAlgn val="ctr"/>
        <c:lblOffset val="100"/>
        <c:tickLblSkip val="24"/>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 apparent reading (m)</a:t>
                </a:r>
              </a:p>
            </c:rich>
          </c:tx>
          <c:overlay val="0"/>
        </c:title>
        <c:numFmt formatCode="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Flat vs Topography-Preview Doppler</a:t>
            </a:r>
          </a:p>
        </c:rich>
      </c:tx>
      <c:overlay val="0"/>
    </c:title>
    <c:autoTitleDeleted val="0"/>
    <c:plotArea>
      <c:layout/>
      <c:lineChart>
        <c:grouping val="standard"/>
        <c:varyColors val="1"/>
        <c:ser>
          <c:idx val="0"/>
          <c:order val="0"/>
          <c:tx>
            <c:v>Flat VHF Doppler (Hz)</c:v>
          </c:tx>
          <c:spPr>
            <a:ln w="9000"/>
          </c:spPr>
          <c:cat>
            <c:numRef>
              <c:f>Chart_Data!$M$2:$M$242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cat>
          <c:val>
            <c:numRef>
              <c:f>Chart_Data!$N$2:$N$242</c:f>
              <c:numCache>
                <c:formatCode>0.000</c:formatCode>
                <c:ptCount val="241"/>
                <c:pt idx="0">
                  <c:v>445.23129749250427</c:v>
                </c:pt>
                <c:pt idx="1">
                  <c:v>441.63627249395824</c:v>
                </c:pt>
                <c:pt idx="2">
                  <c:v>438.03846929381024</c:v>
                </c:pt>
                <c:pt idx="3">
                  <c:v>434.43790659645504</c:v>
                </c:pt>
                <c:pt idx="4">
                  <c:v>430.83460321358444</c:v>
                </c:pt>
                <c:pt idx="5">
                  <c:v>427.22857806368108</c:v>
                </c:pt>
                <c:pt idx="6">
                  <c:v>423.61985017150721</c:v>
                </c:pt>
                <c:pt idx="7">
                  <c:v>420.00843866758021</c:v>
                </c:pt>
                <c:pt idx="8">
                  <c:v>416.39436278764407</c:v>
                </c:pt>
                <c:pt idx="9">
                  <c:v>412.77764187212813</c:v>
                </c:pt>
                <c:pt idx="10">
                  <c:v>409.15829536560034</c:v>
                </c:pt>
                <c:pt idx="11">
                  <c:v>405.5363428162093</c:v>
                </c:pt>
                <c:pt idx="12">
                  <c:v>401.91180387511952</c:v>
                </c:pt>
                <c:pt idx="13">
                  <c:v>398.28469829593723</c:v>
                </c:pt>
                <c:pt idx="14">
                  <c:v>394.65504593412737</c:v>
                </c:pt>
                <c:pt idx="15">
                  <c:v>391.02286674642266</c:v>
                </c:pt>
                <c:pt idx="16">
                  <c:v>387.38818079022377</c:v>
                </c:pt>
                <c:pt idx="17">
                  <c:v>383.75100822299083</c:v>
                </c:pt>
                <c:pt idx="18">
                  <c:v>380.1113693016265</c:v>
                </c:pt>
                <c:pt idx="19">
                  <c:v>376.46928438185142</c:v>
                </c:pt>
                <c:pt idx="20">
                  <c:v>372.82477391756919</c:v>
                </c:pt>
                <c:pt idx="21">
                  <c:v>369.17785846022554</c:v>
                </c:pt>
                <c:pt idx="22">
                  <c:v>365.52855865815678</c:v>
                </c:pt>
                <c:pt idx="23">
                  <c:v>361.87689525593146</c:v>
                </c:pt>
                <c:pt idx="24">
                  <c:v>358.22288909368314</c:v>
                </c:pt>
                <c:pt idx="25">
                  <c:v>354.56656110643479</c:v>
                </c:pt>
                <c:pt idx="26">
                  <c:v>350.90793232341497</c:v>
                </c:pt>
                <c:pt idx="27">
                  <c:v>347.24702386736629</c:v>
                </c:pt>
                <c:pt idx="28">
                  <c:v>343.58385695384493</c:v>
                </c:pt>
                <c:pt idx="29">
                  <c:v>339.91845289051281</c:v>
                </c:pt>
                <c:pt idx="30">
                  <c:v>336.25083307642097</c:v>
                </c:pt>
                <c:pt idx="31">
                  <c:v>332.58101900128577</c:v>
                </c:pt>
                <c:pt idx="32">
                  <c:v>328.90903224475579</c:v>
                </c:pt>
                <c:pt idx="33">
                  <c:v>325.23489447567232</c:v>
                </c:pt>
                <c:pt idx="34">
                  <c:v>321.55862745132083</c:v>
                </c:pt>
                <c:pt idx="35">
                  <c:v>317.88025301667517</c:v>
                </c:pt>
                <c:pt idx="36">
                  <c:v>314.1997931036334</c:v>
                </c:pt>
                <c:pt idx="37">
                  <c:v>310.51726973024654</c:v>
                </c:pt>
                <c:pt idx="38">
                  <c:v>306.83270499993921</c:v>
                </c:pt>
                <c:pt idx="39">
                  <c:v>303.14612110072255</c:v>
                </c:pt>
                <c:pt idx="40">
                  <c:v>299.45754030440003</c:v>
                </c:pt>
                <c:pt idx="41">
                  <c:v>295.766984965765</c:v>
                </c:pt>
                <c:pt idx="42">
                  <c:v>292.07447752179121</c:v>
                </c:pt>
                <c:pt idx="43">
                  <c:v>288.38004049081604</c:v>
                </c:pt>
                <c:pt idx="44">
                  <c:v>284.68369647171596</c:v>
                </c:pt>
                <c:pt idx="45">
                  <c:v>280.98546814307457</c:v>
                </c:pt>
                <c:pt idx="46">
                  <c:v>277.28537826234452</c:v>
                </c:pt>
                <c:pt idx="47">
                  <c:v>273.5834496650001</c:v>
                </c:pt>
                <c:pt idx="48">
                  <c:v>269.87970526368542</c:v>
                </c:pt>
                <c:pt idx="49">
                  <c:v>266.17416804735291</c:v>
                </c:pt>
                <c:pt idx="50">
                  <c:v>262.46686108039677</c:v>
                </c:pt>
                <c:pt idx="51">
                  <c:v>258.75780750177796</c:v>
                </c:pt>
                <c:pt idx="52">
                  <c:v>255.04703052414416</c:v>
                </c:pt>
                <c:pt idx="53">
                  <c:v>251.33455343294068</c:v>
                </c:pt>
                <c:pt idx="54">
                  <c:v>247.62039958551682</c:v>
                </c:pt>
                <c:pt idx="55">
                  <c:v>243.90459241022381</c:v>
                </c:pt>
                <c:pt idx="56">
                  <c:v>240.18715540550747</c:v>
                </c:pt>
                <c:pt idx="57">
                  <c:v>236.46811213899355</c:v>
                </c:pt>
                <c:pt idx="58">
                  <c:v>232.74748624656678</c:v>
                </c:pt>
                <c:pt idx="59">
                  <c:v>229.02530143144403</c:v>
                </c:pt>
                <c:pt idx="60">
                  <c:v>225.30158146324067</c:v>
                </c:pt>
                <c:pt idx="61">
                  <c:v>221.57635017703063</c:v>
                </c:pt>
                <c:pt idx="62">
                  <c:v>217.849631472401</c:v>
                </c:pt>
                <c:pt idx="63">
                  <c:v>214.12144931249978</c:v>
                </c:pt>
                <c:pt idx="64">
                  <c:v>210.39182772307828</c:v>
                </c:pt>
                <c:pt idx="65">
                  <c:v>206.66079079152723</c:v>
                </c:pt>
                <c:pt idx="66">
                  <c:v>202.92836266590731</c:v>
                </c:pt>
                <c:pt idx="67">
                  <c:v>199.1945675539738</c:v>
                </c:pt>
                <c:pt idx="68">
                  <c:v>195.45942972219569</c:v>
                </c:pt>
                <c:pt idx="69">
                  <c:v>191.72297349476912</c:v>
                </c:pt>
                <c:pt idx="70">
                  <c:v>187.98522325262562</c:v>
                </c:pt>
                <c:pt idx="71">
                  <c:v>184.2462034324345</c:v>
                </c:pt>
                <c:pt idx="72">
                  <c:v>180.50593852560041</c:v>
                </c:pt>
                <c:pt idx="73">
                  <c:v>176.76445307725538</c:v>
                </c:pt>
                <c:pt idx="74">
                  <c:v>173.02177168524585</c:v>
                </c:pt>
                <c:pt idx="75">
                  <c:v>169.27791899911472</c:v>
                </c:pt>
                <c:pt idx="76">
                  <c:v>165.53291971907839</c:v>
                </c:pt>
                <c:pt idx="77">
                  <c:v>161.78679859499886</c:v>
                </c:pt>
                <c:pt idx="78">
                  <c:v>158.03958042535135</c:v>
                </c:pt>
                <c:pt idx="79">
                  <c:v>154.29129005618699</c:v>
                </c:pt>
                <c:pt idx="80">
                  <c:v>150.54195238009106</c:v>
                </c:pt>
                <c:pt idx="81">
                  <c:v>146.79159233513664</c:v>
                </c:pt>
                <c:pt idx="82">
                  <c:v>143.04023490383426</c:v>
                </c:pt>
                <c:pt idx="83">
                  <c:v>139.28790511207666</c:v>
                </c:pt>
                <c:pt idx="84">
                  <c:v>135.53462802807991</c:v>
                </c:pt>
                <c:pt idx="85">
                  <c:v>131.78042876132014</c:v>
                </c:pt>
                <c:pt idx="86">
                  <c:v>128.02533246146646</c:v>
                </c:pt>
                <c:pt idx="87">
                  <c:v>124.26936431730996</c:v>
                </c:pt>
                <c:pt idx="88">
                  <c:v>120.51254955568859</c:v>
                </c:pt>
                <c:pt idx="89">
                  <c:v>116.754913440409</c:v>
                </c:pt>
                <c:pt idx="90">
                  <c:v>112.99648127116424</c:v>
                </c:pt>
                <c:pt idx="91">
                  <c:v>109.23727838244822</c:v>
                </c:pt>
                <c:pt idx="92">
                  <c:v>105.47733014246676</c:v>
                </c:pt>
                <c:pt idx="93">
                  <c:v>101.71666195204531</c:v>
                </c:pt>
                <c:pt idx="94">
                  <c:v>97.955299243533602</c:v>
                </c:pt>
                <c:pt idx="95">
                  <c:v>94.193267479707089</c:v>
                </c:pt>
                <c:pt idx="96">
                  <c:v>90.430592152665639</c:v>
                </c:pt>
                <c:pt idx="97">
                  <c:v>86.66729878272902</c:v>
                </c:pt>
                <c:pt idx="98">
                  <c:v>82.903412917330044</c:v>
                </c:pt>
                <c:pt idx="99">
                  <c:v>79.138960129904746</c:v>
                </c:pt>
                <c:pt idx="100">
                  <c:v>75.373966018780237</c:v>
                </c:pt>
                <c:pt idx="101">
                  <c:v>71.608456206059969</c:v>
                </c:pt>
                <c:pt idx="102">
                  <c:v>67.842456336506729</c:v>
                </c:pt>
                <c:pt idx="103">
                  <c:v>64.075992076423447</c:v>
                </c:pt>
                <c:pt idx="104">
                  <c:v>60.309089112531943</c:v>
                </c:pt>
                <c:pt idx="105">
                  <c:v>56.541773150849451</c:v>
                </c:pt>
                <c:pt idx="106">
                  <c:v>52.774069915563587</c:v>
                </c:pt>
                <c:pt idx="107">
                  <c:v>49.006005147905213</c:v>
                </c:pt>
                <c:pt idx="108">
                  <c:v>45.237604605019868</c:v>
                </c:pt>
                <c:pt idx="109">
                  <c:v>41.468894058837513</c:v>
                </c:pt>
                <c:pt idx="110">
                  <c:v>37.699899294940856</c:v>
                </c:pt>
                <c:pt idx="111">
                  <c:v>33.930646111432324</c:v>
                </c:pt>
                <c:pt idx="112">
                  <c:v>30.161160317799876</c:v>
                </c:pt>
                <c:pt idx="113">
                  <c:v>26.391467733781575</c:v>
                </c:pt>
                <c:pt idx="114">
                  <c:v>22.621594188229299</c:v>
                </c:pt>
                <c:pt idx="115">
                  <c:v>18.851565517971398</c:v>
                </c:pt>
                <c:pt idx="116">
                  <c:v>15.081407566674704</c:v>
                </c:pt>
                <c:pt idx="117">
                  <c:v>11.311146183705798</c:v>
                </c:pt>
                <c:pt idx="118">
                  <c:v>7.5408072229917336</c:v>
                </c:pt>
                <c:pt idx="119">
                  <c:v>3.7704165418803064</c:v>
                </c:pt>
                <c:pt idx="120">
                  <c:v>0</c:v>
                </c:pt>
                <c:pt idx="121">
                  <c:v>-3.7704165418803064</c:v>
                </c:pt>
                <c:pt idx="122">
                  <c:v>-7.5408072229917336</c:v>
                </c:pt>
                <c:pt idx="123">
                  <c:v>-11.311146183705798</c:v>
                </c:pt>
                <c:pt idx="124">
                  <c:v>-15.081407566674704</c:v>
                </c:pt>
                <c:pt idx="125">
                  <c:v>-18.851565517971398</c:v>
                </c:pt>
                <c:pt idx="126">
                  <c:v>-22.621594188229299</c:v>
                </c:pt>
                <c:pt idx="127">
                  <c:v>-26.391467733781575</c:v>
                </c:pt>
                <c:pt idx="128">
                  <c:v>-30.161160317799876</c:v>
                </c:pt>
                <c:pt idx="129">
                  <c:v>-33.930646111432324</c:v>
                </c:pt>
                <c:pt idx="130">
                  <c:v>-37.699899294940856</c:v>
                </c:pt>
                <c:pt idx="131">
                  <c:v>-41.468894058837513</c:v>
                </c:pt>
                <c:pt idx="132">
                  <c:v>-45.237604605019868</c:v>
                </c:pt>
                <c:pt idx="133">
                  <c:v>-49.006005147905213</c:v>
                </c:pt>
                <c:pt idx="134">
                  <c:v>-52.774069915563587</c:v>
                </c:pt>
                <c:pt idx="135">
                  <c:v>-56.541773150849451</c:v>
                </c:pt>
                <c:pt idx="136">
                  <c:v>-60.309089112531943</c:v>
                </c:pt>
                <c:pt idx="137">
                  <c:v>-64.075992076423447</c:v>
                </c:pt>
                <c:pt idx="138">
                  <c:v>-67.842456336506729</c:v>
                </c:pt>
                <c:pt idx="139">
                  <c:v>-71.608456206059969</c:v>
                </c:pt>
                <c:pt idx="140">
                  <c:v>-75.373966018780237</c:v>
                </c:pt>
                <c:pt idx="141">
                  <c:v>-79.138960129904746</c:v>
                </c:pt>
                <c:pt idx="142">
                  <c:v>-82.903412917330044</c:v>
                </c:pt>
                <c:pt idx="143">
                  <c:v>-86.66729878272902</c:v>
                </c:pt>
                <c:pt idx="144">
                  <c:v>-90.430592152665639</c:v>
                </c:pt>
                <c:pt idx="145">
                  <c:v>-94.193267479707089</c:v>
                </c:pt>
                <c:pt idx="146">
                  <c:v>-97.955299243533602</c:v>
                </c:pt>
                <c:pt idx="147">
                  <c:v>-101.71666195204531</c:v>
                </c:pt>
                <c:pt idx="148">
                  <c:v>-105.47733014246676</c:v>
                </c:pt>
                <c:pt idx="149">
                  <c:v>-109.23727838244822</c:v>
                </c:pt>
                <c:pt idx="150">
                  <c:v>-112.99648127116424</c:v>
                </c:pt>
                <c:pt idx="151">
                  <c:v>-116.754913440409</c:v>
                </c:pt>
                <c:pt idx="152">
                  <c:v>-120.51254955568859</c:v>
                </c:pt>
                <c:pt idx="153">
                  <c:v>-124.26936431730996</c:v>
                </c:pt>
                <c:pt idx="154">
                  <c:v>-128.02533246146646</c:v>
                </c:pt>
                <c:pt idx="155">
                  <c:v>-131.78042876132014</c:v>
                </c:pt>
                <c:pt idx="156">
                  <c:v>-135.53462802807991</c:v>
                </c:pt>
                <c:pt idx="157">
                  <c:v>-139.28790511207666</c:v>
                </c:pt>
                <c:pt idx="158">
                  <c:v>-143.04023490383426</c:v>
                </c:pt>
                <c:pt idx="159">
                  <c:v>-146.79159233513664</c:v>
                </c:pt>
                <c:pt idx="160">
                  <c:v>-150.54195238009106</c:v>
                </c:pt>
                <c:pt idx="161">
                  <c:v>-154.29129005618699</c:v>
                </c:pt>
                <c:pt idx="162">
                  <c:v>-158.03958042535135</c:v>
                </c:pt>
                <c:pt idx="163">
                  <c:v>-161.78679859499886</c:v>
                </c:pt>
                <c:pt idx="164">
                  <c:v>-165.53291971907839</c:v>
                </c:pt>
                <c:pt idx="165">
                  <c:v>-169.27791899911472</c:v>
                </c:pt>
                <c:pt idx="166">
                  <c:v>-173.02177168524585</c:v>
                </c:pt>
                <c:pt idx="167">
                  <c:v>-176.76445307725538</c:v>
                </c:pt>
                <c:pt idx="168">
                  <c:v>-180.50593852560041</c:v>
                </c:pt>
                <c:pt idx="169">
                  <c:v>-184.2462034324345</c:v>
                </c:pt>
                <c:pt idx="170">
                  <c:v>-187.98522325262562</c:v>
                </c:pt>
                <c:pt idx="171">
                  <c:v>-191.72297349476912</c:v>
                </c:pt>
                <c:pt idx="172">
                  <c:v>-195.45942972219569</c:v>
                </c:pt>
                <c:pt idx="173">
                  <c:v>-199.1945675539738</c:v>
                </c:pt>
                <c:pt idx="174">
                  <c:v>-202.92836266590731</c:v>
                </c:pt>
                <c:pt idx="175">
                  <c:v>-206.66079079152723</c:v>
                </c:pt>
                <c:pt idx="176">
                  <c:v>-210.39182772307828</c:v>
                </c:pt>
                <c:pt idx="177">
                  <c:v>-214.12144931249978</c:v>
                </c:pt>
                <c:pt idx="178">
                  <c:v>-217.849631472401</c:v>
                </c:pt>
                <c:pt idx="179">
                  <c:v>-221.57635017703063</c:v>
                </c:pt>
                <c:pt idx="180">
                  <c:v>-225.30158146324067</c:v>
                </c:pt>
                <c:pt idx="181">
                  <c:v>-229.02530143144403</c:v>
                </c:pt>
                <c:pt idx="182">
                  <c:v>-232.74748624656678</c:v>
                </c:pt>
                <c:pt idx="183">
                  <c:v>-236.46811213899355</c:v>
                </c:pt>
                <c:pt idx="184">
                  <c:v>-240.18715540550747</c:v>
                </c:pt>
                <c:pt idx="185">
                  <c:v>-243.90459241022381</c:v>
                </c:pt>
                <c:pt idx="186">
                  <c:v>-247.62039958551682</c:v>
                </c:pt>
                <c:pt idx="187">
                  <c:v>-251.33455343294068</c:v>
                </c:pt>
                <c:pt idx="188">
                  <c:v>-255.04703052414416</c:v>
                </c:pt>
                <c:pt idx="189">
                  <c:v>-258.75780750177796</c:v>
                </c:pt>
                <c:pt idx="190">
                  <c:v>-262.46686108039677</c:v>
                </c:pt>
                <c:pt idx="191">
                  <c:v>-266.17416804735291</c:v>
                </c:pt>
                <c:pt idx="192">
                  <c:v>-269.87970526368542</c:v>
                </c:pt>
                <c:pt idx="193">
                  <c:v>-273.5834496650001</c:v>
                </c:pt>
                <c:pt idx="194">
                  <c:v>-277.28537826234452</c:v>
                </c:pt>
                <c:pt idx="195">
                  <c:v>-280.98546814307457</c:v>
                </c:pt>
                <c:pt idx="196">
                  <c:v>-284.68369647171596</c:v>
                </c:pt>
                <c:pt idx="197">
                  <c:v>-288.38004049081604</c:v>
                </c:pt>
                <c:pt idx="198">
                  <c:v>-292.07447752179121</c:v>
                </c:pt>
                <c:pt idx="199">
                  <c:v>-295.766984965765</c:v>
                </c:pt>
                <c:pt idx="200">
                  <c:v>-299.45754030440003</c:v>
                </c:pt>
                <c:pt idx="201">
                  <c:v>-303.14612110072255</c:v>
                </c:pt>
                <c:pt idx="202">
                  <c:v>-306.83270499993921</c:v>
                </c:pt>
                <c:pt idx="203">
                  <c:v>-310.51726973024654</c:v>
                </c:pt>
                <c:pt idx="204">
                  <c:v>-314.1997931036334</c:v>
                </c:pt>
                <c:pt idx="205">
                  <c:v>-317.88025301667517</c:v>
                </c:pt>
                <c:pt idx="206">
                  <c:v>-321.55862745132083</c:v>
                </c:pt>
                <c:pt idx="207">
                  <c:v>-325.23489447567232</c:v>
                </c:pt>
                <c:pt idx="208">
                  <c:v>-328.90903224475579</c:v>
                </c:pt>
                <c:pt idx="209">
                  <c:v>-332.58101900128577</c:v>
                </c:pt>
                <c:pt idx="210">
                  <c:v>-336.25083307642097</c:v>
                </c:pt>
                <c:pt idx="211">
                  <c:v>-339.91845289051281</c:v>
                </c:pt>
                <c:pt idx="212">
                  <c:v>-343.58385695384493</c:v>
                </c:pt>
                <c:pt idx="213">
                  <c:v>-347.24702386736629</c:v>
                </c:pt>
                <c:pt idx="214">
                  <c:v>-350.90793232341497</c:v>
                </c:pt>
                <c:pt idx="215">
                  <c:v>-354.56656110643479</c:v>
                </c:pt>
                <c:pt idx="216">
                  <c:v>-358.22288909368314</c:v>
                </c:pt>
                <c:pt idx="217">
                  <c:v>-361.87689525593146</c:v>
                </c:pt>
                <c:pt idx="218">
                  <c:v>-365.52855865815678</c:v>
                </c:pt>
                <c:pt idx="219">
                  <c:v>-369.17785846022554</c:v>
                </c:pt>
                <c:pt idx="220">
                  <c:v>-372.82477391756919</c:v>
                </c:pt>
                <c:pt idx="221">
                  <c:v>-376.46928438185142</c:v>
                </c:pt>
                <c:pt idx="222">
                  <c:v>-380.1113693016265</c:v>
                </c:pt>
                <c:pt idx="223">
                  <c:v>-383.75100822299083</c:v>
                </c:pt>
                <c:pt idx="224">
                  <c:v>-387.38818079022377</c:v>
                </c:pt>
                <c:pt idx="225">
                  <c:v>-391.02286674642266</c:v>
                </c:pt>
                <c:pt idx="226">
                  <c:v>-394.65504593412737</c:v>
                </c:pt>
                <c:pt idx="227">
                  <c:v>-398.28469829593723</c:v>
                </c:pt>
                <c:pt idx="228">
                  <c:v>-401.91180387511952</c:v>
                </c:pt>
                <c:pt idx="229">
                  <c:v>-405.5363428162093</c:v>
                </c:pt>
                <c:pt idx="230">
                  <c:v>-409.15829536560034</c:v>
                </c:pt>
                <c:pt idx="231">
                  <c:v>-412.77764187212813</c:v>
                </c:pt>
                <c:pt idx="232">
                  <c:v>-416.39436278764407</c:v>
                </c:pt>
                <c:pt idx="233">
                  <c:v>-420.00843866758021</c:v>
                </c:pt>
                <c:pt idx="234">
                  <c:v>-423.61985017150721</c:v>
                </c:pt>
                <c:pt idx="235">
                  <c:v>-427.22857806368108</c:v>
                </c:pt>
                <c:pt idx="236">
                  <c:v>-430.83460321358444</c:v>
                </c:pt>
                <c:pt idx="237">
                  <c:v>-434.43790659645504</c:v>
                </c:pt>
                <c:pt idx="238">
                  <c:v>-438.03846929381024</c:v>
                </c:pt>
                <c:pt idx="239">
                  <c:v>-441.63627249395824</c:v>
                </c:pt>
                <c:pt idx="240">
                  <c:v>-445.23129749250427</c:v>
                </c:pt>
              </c:numCache>
            </c:numRef>
          </c:val>
          <c:smooth val="0"/>
          <c:extLst>
            <c:ext xmlns:c16="http://schemas.microsoft.com/office/drawing/2014/chart" uri="{C3380CC4-5D6E-409C-BE32-E72D297353CC}">
              <c16:uniqueId val="{00000000-D46E-4706-B4CE-735A1A6C3C7D}"/>
            </c:ext>
          </c:extLst>
        </c:ser>
        <c:ser>
          <c:idx val="1"/>
          <c:order val="1"/>
          <c:tx>
            <c:v>Topography-preview VHF Doppler (Hz)</c:v>
          </c:tx>
          <c:spPr>
            <a:ln w="9000"/>
          </c:spPr>
          <c:cat>
            <c:numRef>
              <c:f>Chart_Data!$M$2:$M$242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cat>
          <c:val>
            <c:numRef>
              <c:f>Chart_Data!$O$2:$O$242</c:f>
              <c:numCache>
                <c:formatCode>0.000</c:formatCode>
                <c:ptCount val="241"/>
                <c:pt idx="0">
                  <c:v>415.91290631095035</c:v>
                </c:pt>
                <c:pt idx="1">
                  <c:v>431.53393130878612</c:v>
                </c:pt>
                <c:pt idx="2">
                  <c:v>475.53987523551768</c:v>
                </c:pt>
                <c:pt idx="3">
                  <c:v>445.68618755110947</c:v>
                </c:pt>
                <c:pt idx="4">
                  <c:v>438.04576340462518</c:v>
                </c:pt>
                <c:pt idx="5">
                  <c:v>454.80118196119292</c:v>
                </c:pt>
                <c:pt idx="6">
                  <c:v>427.73268682194612</c:v>
                </c:pt>
                <c:pt idx="7">
                  <c:v>466.97982813939234</c:v>
                </c:pt>
                <c:pt idx="8">
                  <c:v>446.7226709037277</c:v>
                </c:pt>
                <c:pt idx="9">
                  <c:v>427.09594019206634</c:v>
                </c:pt>
                <c:pt idx="10">
                  <c:v>462.77938259827351</c:v>
                </c:pt>
                <c:pt idx="11">
                  <c:v>437.73589107295265</c:v>
                </c:pt>
                <c:pt idx="12">
                  <c:v>434.677397512678</c:v>
                </c:pt>
                <c:pt idx="13">
                  <c:v>436.19646507258949</c:v>
                </c:pt>
                <c:pt idx="14">
                  <c:v>416.04584139877261</c:v>
                </c:pt>
                <c:pt idx="15">
                  <c:v>424.33636602063416</c:v>
                </c:pt>
                <c:pt idx="16">
                  <c:v>439.63184286694741</c:v>
                </c:pt>
                <c:pt idx="17">
                  <c:v>400.85658017524111</c:v>
                </c:pt>
                <c:pt idx="18">
                  <c:v>361.74734576989067</c:v>
                </c:pt>
                <c:pt idx="19">
                  <c:v>411.05422549080686</c:v>
                </c:pt>
                <c:pt idx="20">
                  <c:v>387.50782081924626</c:v>
                </c:pt>
                <c:pt idx="21">
                  <c:v>361.50227130256098</c:v>
                </c:pt>
                <c:pt idx="22">
                  <c:v>376.05665981418497</c:v>
                </c:pt>
                <c:pt idx="23">
                  <c:v>337.96699265003554</c:v>
                </c:pt>
                <c:pt idx="24">
                  <c:v>354.01723719560323</c:v>
                </c:pt>
                <c:pt idx="25">
                  <c:v>355.12089693938833</c:v>
                </c:pt>
                <c:pt idx="26">
                  <c:v>336.73665814785636</c:v>
                </c:pt>
                <c:pt idx="27">
                  <c:v>321.16359744250076</c:v>
                </c:pt>
                <c:pt idx="28">
                  <c:v>306.06610506720244</c:v>
                </c:pt>
                <c:pt idx="29">
                  <c:v>294.65885962363245</c:v>
                </c:pt>
                <c:pt idx="30">
                  <c:v>291.31673931651676</c:v>
                </c:pt>
                <c:pt idx="31">
                  <c:v>318.8497561442091</c:v>
                </c:pt>
                <c:pt idx="32">
                  <c:v>343.57472241035794</c:v>
                </c:pt>
                <c:pt idx="33">
                  <c:v>294.26089693251924</c:v>
                </c:pt>
                <c:pt idx="34">
                  <c:v>275.40097239234456</c:v>
                </c:pt>
                <c:pt idx="35">
                  <c:v>302.18148472740722</c:v>
                </c:pt>
                <c:pt idx="36">
                  <c:v>297.84173845764599</c:v>
                </c:pt>
                <c:pt idx="37">
                  <c:v>320.17731147589075</c:v>
                </c:pt>
                <c:pt idx="38">
                  <c:v>338.45638786051495</c:v>
                </c:pt>
                <c:pt idx="39">
                  <c:v>336.58391333319742</c:v>
                </c:pt>
                <c:pt idx="40">
                  <c:v>315.00254796983427</c:v>
                </c:pt>
                <c:pt idx="41">
                  <c:v>274.98581879772246</c:v>
                </c:pt>
                <c:pt idx="42">
                  <c:v>309.08317080575216</c:v>
                </c:pt>
                <c:pt idx="43">
                  <c:v>317.6887163272113</c:v>
                </c:pt>
                <c:pt idx="44">
                  <c:v>328.56996611108116</c:v>
                </c:pt>
                <c:pt idx="45">
                  <c:v>333.93554114127255</c:v>
                </c:pt>
                <c:pt idx="46">
                  <c:v>318.18926568348616</c:v>
                </c:pt>
                <c:pt idx="47">
                  <c:v>332.60743761138656</c:v>
                </c:pt>
                <c:pt idx="48">
                  <c:v>301.94302632980907</c:v>
                </c:pt>
                <c:pt idx="49">
                  <c:v>278.14723146866527</c:v>
                </c:pt>
                <c:pt idx="50">
                  <c:v>312.46198385997559</c:v>
                </c:pt>
                <c:pt idx="51">
                  <c:v>320.43401522751083</c:v>
                </c:pt>
                <c:pt idx="52">
                  <c:v>274.45415602614958</c:v>
                </c:pt>
                <c:pt idx="53">
                  <c:v>287.47330004625837</c:v>
                </c:pt>
                <c:pt idx="54">
                  <c:v>283.49622463410924</c:v>
                </c:pt>
                <c:pt idx="55">
                  <c:v>242.19700942894633</c:v>
                </c:pt>
                <c:pt idx="56">
                  <c:v>247.03626042373799</c:v>
                </c:pt>
                <c:pt idx="57">
                  <c:v>256.22609239208032</c:v>
                </c:pt>
                <c:pt idx="58">
                  <c:v>206.58911870077645</c:v>
                </c:pt>
                <c:pt idx="59">
                  <c:v>203.19747059711517</c:v>
                </c:pt>
                <c:pt idx="60">
                  <c:v>205.63635574180807</c:v>
                </c:pt>
                <c:pt idx="61">
                  <c:v>213.55140798368666</c:v>
                </c:pt>
                <c:pt idx="62">
                  <c:v>192.4477545989248</c:v>
                </c:pt>
                <c:pt idx="63">
                  <c:v>184.59254696199423</c:v>
                </c:pt>
                <c:pt idx="64">
                  <c:v>189.13011186068616</c:v>
                </c:pt>
                <c:pt idx="65">
                  <c:v>168.59986845947788</c:v>
                </c:pt>
                <c:pt idx="66">
                  <c:v>192.99339721810611</c:v>
                </c:pt>
                <c:pt idx="67">
                  <c:v>171.22482067206874</c:v>
                </c:pt>
                <c:pt idx="68">
                  <c:v>165.51300571591128</c:v>
                </c:pt>
                <c:pt idx="69">
                  <c:v>173.50624958571643</c:v>
                </c:pt>
                <c:pt idx="70">
                  <c:v>195.65588342975389</c:v>
                </c:pt>
                <c:pt idx="71">
                  <c:v>197.55139251892615</c:v>
                </c:pt>
                <c:pt idx="72">
                  <c:v>176.49125140769684</c:v>
                </c:pt>
                <c:pt idx="73">
                  <c:v>194.3259677502283</c:v>
                </c:pt>
                <c:pt idx="74">
                  <c:v>193.43527354676553</c:v>
                </c:pt>
                <c:pt idx="75">
                  <c:v>228.41900845887722</c:v>
                </c:pt>
                <c:pt idx="76">
                  <c:v>238.54763498729881</c:v>
                </c:pt>
                <c:pt idx="77">
                  <c:v>163.94240570289185</c:v>
                </c:pt>
                <c:pt idx="78">
                  <c:v>175.53981596211088</c:v>
                </c:pt>
                <c:pt idx="79">
                  <c:v>186.63629259490335</c:v>
                </c:pt>
                <c:pt idx="80">
                  <c:v>183.20261364697217</c:v>
                </c:pt>
                <c:pt idx="81">
                  <c:v>199.53924205174189</c:v>
                </c:pt>
                <c:pt idx="82">
                  <c:v>146.09732442668246</c:v>
                </c:pt>
                <c:pt idx="83">
                  <c:v>172.5939444128926</c:v>
                </c:pt>
                <c:pt idx="84">
                  <c:v>185.66584997206519</c:v>
                </c:pt>
                <c:pt idx="85">
                  <c:v>114.85803941759514</c:v>
                </c:pt>
                <c:pt idx="86">
                  <c:v>112.25152310571502</c:v>
                </c:pt>
                <c:pt idx="87">
                  <c:v>175.26717893979367</c:v>
                </c:pt>
                <c:pt idx="88">
                  <c:v>149.3537428842501</c:v>
                </c:pt>
                <c:pt idx="89">
                  <c:v>122.13927358234287</c:v>
                </c:pt>
                <c:pt idx="90">
                  <c:v>145.18753774073048</c:v>
                </c:pt>
                <c:pt idx="91">
                  <c:v>116.20286074248725</c:v>
                </c:pt>
                <c:pt idx="92">
                  <c:v>95.09241734904208</c:v>
                </c:pt>
                <c:pt idx="93">
                  <c:v>120.80843143594393</c:v>
                </c:pt>
                <c:pt idx="94">
                  <c:v>146.04897473391247</c:v>
                </c:pt>
                <c:pt idx="95">
                  <c:v>102.39898585250558</c:v>
                </c:pt>
                <c:pt idx="96">
                  <c:v>106.51392889330964</c:v>
                </c:pt>
                <c:pt idx="97">
                  <c:v>125.90458684826444</c:v>
                </c:pt>
                <c:pt idx="98">
                  <c:v>100.81737923310357</c:v>
                </c:pt>
                <c:pt idx="99">
                  <c:v>93.51163407382046</c:v>
                </c:pt>
                <c:pt idx="100">
                  <c:v>76.186605972179677</c:v>
                </c:pt>
                <c:pt idx="101">
                  <c:v>86.186711567825114</c:v>
                </c:pt>
                <c:pt idx="102">
                  <c:v>51.981456519297353</c:v>
                </c:pt>
                <c:pt idx="103">
                  <c:v>56.209639896314911</c:v>
                </c:pt>
                <c:pt idx="104">
                  <c:v>75.742287177672551</c:v>
                </c:pt>
                <c:pt idx="105">
                  <c:v>4.3530116269721475</c:v>
                </c:pt>
                <c:pt idx="106">
                  <c:v>29.728324004281603</c:v>
                </c:pt>
                <c:pt idx="107">
                  <c:v>56.692823732555553</c:v>
                </c:pt>
                <c:pt idx="108">
                  <c:v>15.600638162050018</c:v>
                </c:pt>
                <c:pt idx="109">
                  <c:v>7.5489276494408841</c:v>
                </c:pt>
                <c:pt idx="110">
                  <c:v>15.484250027111557</c:v>
                </c:pt>
                <c:pt idx="111">
                  <c:v>33.182607505113992</c:v>
                </c:pt>
                <c:pt idx="112">
                  <c:v>0.89128280524164438</c:v>
                </c:pt>
                <c:pt idx="113">
                  <c:v>17.03707963179113</c:v>
                </c:pt>
                <c:pt idx="114">
                  <c:v>48.20103514703078</c:v>
                </c:pt>
                <c:pt idx="115">
                  <c:v>44.149140922854713</c:v>
                </c:pt>
                <c:pt idx="116">
                  <c:v>31.265300358973036</c:v>
                </c:pt>
                <c:pt idx="117">
                  <c:v>19.320188167421293</c:v>
                </c:pt>
                <c:pt idx="118">
                  <c:v>76.41350647127183</c:v>
                </c:pt>
                <c:pt idx="119">
                  <c:v>66.775173092355544</c:v>
                </c:pt>
                <c:pt idx="120">
                  <c:v>13.593233626670553</c:v>
                </c:pt>
                <c:pt idx="121">
                  <c:v>23.587402612974984</c:v>
                </c:pt>
                <c:pt idx="122">
                  <c:v>46.937750908273301</c:v>
                </c:pt>
                <c:pt idx="123">
                  <c:v>47.645109832774324</c:v>
                </c:pt>
                <c:pt idx="124">
                  <c:v>37.391373886930523</c:v>
                </c:pt>
                <c:pt idx="125">
                  <c:v>-15.13361089528189</c:v>
                </c:pt>
                <c:pt idx="126">
                  <c:v>-1.5788080892889411</c:v>
                </c:pt>
                <c:pt idx="127">
                  <c:v>13.233049425889476</c:v>
                </c:pt>
                <c:pt idx="128">
                  <c:v>-21.042531035982392</c:v>
                </c:pt>
                <c:pt idx="129">
                  <c:v>-54.482033572639921</c:v>
                </c:pt>
                <c:pt idx="130">
                  <c:v>-84.228447058194433</c:v>
                </c:pt>
                <c:pt idx="131">
                  <c:v>-65.645030704581586</c:v>
                </c:pt>
                <c:pt idx="132">
                  <c:v>-69.371158733247285</c:v>
                </c:pt>
                <c:pt idx="133">
                  <c:v>-47.897511485371069</c:v>
                </c:pt>
                <c:pt idx="134">
                  <c:v>-86.247252628072602</c:v>
                </c:pt>
                <c:pt idx="135">
                  <c:v>-115.94366835051915</c:v>
                </c:pt>
                <c:pt idx="136">
                  <c:v>-98.476693481643451</c:v>
                </c:pt>
                <c:pt idx="137">
                  <c:v>-89.662290754677088</c:v>
                </c:pt>
                <c:pt idx="138">
                  <c:v>-69.99655675572285</c:v>
                </c:pt>
                <c:pt idx="139">
                  <c:v>-114.79372015628542</c:v>
                </c:pt>
                <c:pt idx="140">
                  <c:v>-139.8192145730718</c:v>
                </c:pt>
                <c:pt idx="141">
                  <c:v>-93.97332698399623</c:v>
                </c:pt>
                <c:pt idx="142">
                  <c:v>-88.527256298129942</c:v>
                </c:pt>
                <c:pt idx="143">
                  <c:v>-121.99284967791755</c:v>
                </c:pt>
                <c:pt idx="144">
                  <c:v>-90.993503743720794</c:v>
                </c:pt>
                <c:pt idx="145">
                  <c:v>-84.674789169184805</c:v>
                </c:pt>
                <c:pt idx="146">
                  <c:v>-138.3540801694835</c:v>
                </c:pt>
                <c:pt idx="147">
                  <c:v>-127.76180874298007</c:v>
                </c:pt>
                <c:pt idx="148">
                  <c:v>-94.807596644659498</c:v>
                </c:pt>
                <c:pt idx="149">
                  <c:v>-130.36839297628831</c:v>
                </c:pt>
                <c:pt idx="150">
                  <c:v>-144.89373146916478</c:v>
                </c:pt>
                <c:pt idx="151">
                  <c:v>-115.27931445725699</c:v>
                </c:pt>
                <c:pt idx="152">
                  <c:v>-103.68549505756164</c:v>
                </c:pt>
                <c:pt idx="153">
                  <c:v>-120.20464053584874</c:v>
                </c:pt>
                <c:pt idx="154">
                  <c:v>-117.89099547422666</c:v>
                </c:pt>
                <c:pt idx="155">
                  <c:v>-108.76651162507187</c:v>
                </c:pt>
                <c:pt idx="156">
                  <c:v>-133.32007495982907</c:v>
                </c:pt>
                <c:pt idx="157">
                  <c:v>-120.26712529168435</c:v>
                </c:pt>
                <c:pt idx="158">
                  <c:v>-107.01719503695131</c:v>
                </c:pt>
                <c:pt idx="159">
                  <c:v>-131.4478840897209</c:v>
                </c:pt>
                <c:pt idx="160">
                  <c:v>-142.49505768984818</c:v>
                </c:pt>
                <c:pt idx="161">
                  <c:v>-150.80364210380139</c:v>
                </c:pt>
                <c:pt idx="162">
                  <c:v>-154.34230662731352</c:v>
                </c:pt>
                <c:pt idx="163">
                  <c:v>-151.47462317754616</c:v>
                </c:pt>
                <c:pt idx="164">
                  <c:v>-168.22777221323122</c:v>
                </c:pt>
                <c:pt idx="165">
                  <c:v>-184.76208943375241</c:v>
                </c:pt>
                <c:pt idx="166">
                  <c:v>-191.12923968859832</c:v>
                </c:pt>
                <c:pt idx="167">
                  <c:v>-171.87022521720792</c:v>
                </c:pt>
                <c:pt idx="168">
                  <c:v>-205.75299321362763</c:v>
                </c:pt>
                <c:pt idx="169">
                  <c:v>-220.10141493610718</c:v>
                </c:pt>
                <c:pt idx="170">
                  <c:v>-228.37483407356558</c:v>
                </c:pt>
                <c:pt idx="171">
                  <c:v>-241.95565964837442</c:v>
                </c:pt>
                <c:pt idx="172">
                  <c:v>-206.1861612976827</c:v>
                </c:pt>
                <c:pt idx="173">
                  <c:v>-264.85243336437634</c:v>
                </c:pt>
                <c:pt idx="174">
                  <c:v>-277.03450877779687</c:v>
                </c:pt>
                <c:pt idx="175">
                  <c:v>-260.98794604122304</c:v>
                </c:pt>
                <c:pt idx="176">
                  <c:v>-252.80521474805937</c:v>
                </c:pt>
                <c:pt idx="177">
                  <c:v>-259.12649369356586</c:v>
                </c:pt>
                <c:pt idx="178">
                  <c:v>-292.69593269546021</c:v>
                </c:pt>
                <c:pt idx="179">
                  <c:v>-262.42565694046789</c:v>
                </c:pt>
                <c:pt idx="180">
                  <c:v>-262.85889804767066</c:v>
                </c:pt>
                <c:pt idx="181">
                  <c:v>-259.03513512139398</c:v>
                </c:pt>
                <c:pt idx="182">
                  <c:v>-270.11167028531418</c:v>
                </c:pt>
                <c:pt idx="183">
                  <c:v>-263.83004543349671</c:v>
                </c:pt>
                <c:pt idx="184">
                  <c:v>-222.0925210718633</c:v>
                </c:pt>
                <c:pt idx="185">
                  <c:v>-238.17094217474732</c:v>
                </c:pt>
                <c:pt idx="186">
                  <c:v>-250.44993181209065</c:v>
                </c:pt>
                <c:pt idx="187">
                  <c:v>-224.06065490276887</c:v>
                </c:pt>
                <c:pt idx="188">
                  <c:v>-219.16033031429833</c:v>
                </c:pt>
                <c:pt idx="189">
                  <c:v>-260.84565608452976</c:v>
                </c:pt>
                <c:pt idx="190">
                  <c:v>-272.41883634924307</c:v>
                </c:pt>
                <c:pt idx="191">
                  <c:v>-250.6073966389522</c:v>
                </c:pt>
                <c:pt idx="192">
                  <c:v>-219.58865800306739</c:v>
                </c:pt>
                <c:pt idx="193">
                  <c:v>-233.24638782560214</c:v>
                </c:pt>
                <c:pt idx="194">
                  <c:v>-267.25278245821755</c:v>
                </c:pt>
                <c:pt idx="195">
                  <c:v>-272.97430029739189</c:v>
                </c:pt>
                <c:pt idx="196">
                  <c:v>-236.30592967328994</c:v>
                </c:pt>
                <c:pt idx="197">
                  <c:v>-255.94543507304479</c:v>
                </c:pt>
                <c:pt idx="198">
                  <c:v>-311.66326014426886</c:v>
                </c:pt>
                <c:pt idx="199">
                  <c:v>-292.7389822250916</c:v>
                </c:pt>
                <c:pt idx="200">
                  <c:v>-296.76267762661155</c:v>
                </c:pt>
                <c:pt idx="201">
                  <c:v>-348.16678026045338</c:v>
                </c:pt>
                <c:pt idx="202">
                  <c:v>-356.95910774238655</c:v>
                </c:pt>
                <c:pt idx="203">
                  <c:v>-319.25263193852516</c:v>
                </c:pt>
                <c:pt idx="204">
                  <c:v>-329.29702532792362</c:v>
                </c:pt>
                <c:pt idx="205">
                  <c:v>-355.88196751932628</c:v>
                </c:pt>
                <c:pt idx="206">
                  <c:v>-376.31517188056023</c:v>
                </c:pt>
                <c:pt idx="207">
                  <c:v>-386.33206029890061</c:v>
                </c:pt>
                <c:pt idx="208">
                  <c:v>-402.63970607247757</c:v>
                </c:pt>
                <c:pt idx="209">
                  <c:v>-401.82371569335373</c:v>
                </c:pt>
                <c:pt idx="210">
                  <c:v>-352.48273190363761</c:v>
                </c:pt>
                <c:pt idx="211">
                  <c:v>-368.61537131326259</c:v>
                </c:pt>
                <c:pt idx="212">
                  <c:v>-412.69360469650564</c:v>
                </c:pt>
                <c:pt idx="213">
                  <c:v>-391.96050371810998</c:v>
                </c:pt>
                <c:pt idx="214">
                  <c:v>-378.73555945261614</c:v>
                </c:pt>
                <c:pt idx="215">
                  <c:v>-345.22857302599732</c:v>
                </c:pt>
                <c:pt idx="216">
                  <c:v>-347.94644056573816</c:v>
                </c:pt>
                <c:pt idx="217">
                  <c:v>-386.43113155867468</c:v>
                </c:pt>
                <c:pt idx="218">
                  <c:v>-363.11804835240764</c:v>
                </c:pt>
                <c:pt idx="219">
                  <c:v>-360.20913810389175</c:v>
                </c:pt>
                <c:pt idx="220">
                  <c:v>-339.33776236035555</c:v>
                </c:pt>
                <c:pt idx="221">
                  <c:v>-341.90990416464047</c:v>
                </c:pt>
                <c:pt idx="222">
                  <c:v>-344.32554559853088</c:v>
                </c:pt>
                <c:pt idx="223">
                  <c:v>-336.44395710362005</c:v>
                </c:pt>
                <c:pt idx="224">
                  <c:v>-380.41849649443975</c:v>
                </c:pt>
                <c:pt idx="225">
                  <c:v>-364.93171239126241</c:v>
                </c:pt>
                <c:pt idx="226">
                  <c:v>-367.86548708223563</c:v>
                </c:pt>
                <c:pt idx="227">
                  <c:v>-401.51243335949403</c:v>
                </c:pt>
                <c:pt idx="228">
                  <c:v>-408.90653636561183</c:v>
                </c:pt>
                <c:pt idx="229">
                  <c:v>-394.60855870711384</c:v>
                </c:pt>
                <c:pt idx="230">
                  <c:v>-399.95734030653693</c:v>
                </c:pt>
                <c:pt idx="231">
                  <c:v>-415.40896912911194</c:v>
                </c:pt>
                <c:pt idx="232">
                  <c:v>-404.59835060792102</c:v>
                </c:pt>
                <c:pt idx="233">
                  <c:v>-398.31495142152562</c:v>
                </c:pt>
                <c:pt idx="234">
                  <c:v>-442.36487282942107</c:v>
                </c:pt>
                <c:pt idx="235">
                  <c:v>-437.0674772008897</c:v>
                </c:pt>
                <c:pt idx="236">
                  <c:v>-415.03889615923981</c:v>
                </c:pt>
                <c:pt idx="237">
                  <c:v>-435.78652734413481</c:v>
                </c:pt>
                <c:pt idx="238">
                  <c:v>-468.71764406878356</c:v>
                </c:pt>
                <c:pt idx="239">
                  <c:v>-464.47624241764061</c:v>
                </c:pt>
                <c:pt idx="240">
                  <c:v>-410.76485899284307</c:v>
                </c:pt>
              </c:numCache>
            </c:numRef>
          </c:val>
          <c:smooth val="0"/>
          <c:extLst>
            <c:ext xmlns:c16="http://schemas.microsoft.com/office/drawing/2014/chart" uri="{C3380CC4-5D6E-409C-BE32-E72D297353CC}">
              <c16:uniqueId val="{00000001-D46E-4706-B4CE-735A1A6C3C7D}"/>
            </c:ext>
          </c:extLst>
        </c:ser>
        <c:ser>
          <c:idx val="2"/>
          <c:order val="2"/>
          <c:tx>
            <c:v>Flat HF Doppler (Hz)</c:v>
          </c:tx>
          <c:spPr>
            <a:ln w="9000"/>
          </c:spPr>
          <c:cat>
            <c:numRef>
              <c:f>Chart_Data!$M$2:$M$242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cat>
          <c:val>
            <c:numRef>
              <c:f>Chart_Data!$P$2:$P$242</c:f>
              <c:numCache>
                <c:formatCode>0.000</c:formatCode>
                <c:ptCount val="241"/>
                <c:pt idx="0">
                  <c:v>66.851546170045694</c:v>
                </c:pt>
                <c:pt idx="1">
                  <c:v>66.311752626720462</c:v>
                </c:pt>
                <c:pt idx="2">
                  <c:v>65.771541936007551</c:v>
                </c:pt>
                <c:pt idx="3">
                  <c:v>65.230916906374631</c:v>
                </c:pt>
                <c:pt idx="4">
                  <c:v>64.689880362400075</c:v>
                </c:pt>
                <c:pt idx="5">
                  <c:v>64.148435144696862</c:v>
                </c:pt>
                <c:pt idx="6">
                  <c:v>63.606584109835921</c:v>
                </c:pt>
                <c:pt idx="7">
                  <c:v>63.064330130267308</c:v>
                </c:pt>
                <c:pt idx="8">
                  <c:v>62.521676094240853</c:v>
                </c:pt>
                <c:pt idx="9">
                  <c:v>61.978624905724956</c:v>
                </c:pt>
                <c:pt idx="10">
                  <c:v>61.435179484324379</c:v>
                </c:pt>
                <c:pt idx="11">
                  <c:v>60.891342765196597</c:v>
                </c:pt>
                <c:pt idx="12">
                  <c:v>60.347117698966905</c:v>
                </c:pt>
                <c:pt idx="13">
                  <c:v>59.802507251642233</c:v>
                </c:pt>
                <c:pt idx="14">
                  <c:v>59.257514404523633</c:v>
                </c:pt>
                <c:pt idx="15">
                  <c:v>58.712142154117522</c:v>
                </c:pt>
                <c:pt idx="16">
                  <c:v>58.166393512045616</c:v>
                </c:pt>
                <c:pt idx="17">
                  <c:v>57.620271504953578</c:v>
                </c:pt>
                <c:pt idx="18">
                  <c:v>57.073779174418398</c:v>
                </c:pt>
                <c:pt idx="19">
                  <c:v>56.526919576854574</c:v>
                </c:pt>
                <c:pt idx="20">
                  <c:v>55.979695783418805</c:v>
                </c:pt>
                <c:pt idx="21">
                  <c:v>55.432110879913751</c:v>
                </c:pt>
                <c:pt idx="22">
                  <c:v>54.884167966690214</c:v>
                </c:pt>
                <c:pt idx="23">
                  <c:v>54.335870158548275</c:v>
                </c:pt>
                <c:pt idx="24">
                  <c:v>53.787220584637112</c:v>
                </c:pt>
                <c:pt idx="25">
                  <c:v>53.238222388353577</c:v>
                </c:pt>
                <c:pt idx="26">
                  <c:v>52.688878727239491</c:v>
                </c:pt>
                <c:pt idx="27">
                  <c:v>52.139192772877827</c:v>
                </c:pt>
                <c:pt idx="28">
                  <c:v>51.589167710787528</c:v>
                </c:pt>
                <c:pt idx="29">
                  <c:v>51.038806740317241</c:v>
                </c:pt>
                <c:pt idx="30">
                  <c:v>50.488113074537686</c:v>
                </c:pt>
                <c:pt idx="31">
                  <c:v>49.937089940132999</c:v>
                </c:pt>
                <c:pt idx="32">
                  <c:v>49.385740577290662</c:v>
                </c:pt>
                <c:pt idx="33">
                  <c:v>48.834068239590444</c:v>
                </c:pt>
                <c:pt idx="34">
                  <c:v>48.282076193892024</c:v>
                </c:pt>
                <c:pt idx="35">
                  <c:v>47.729767720221503</c:v>
                </c:pt>
                <c:pt idx="36">
                  <c:v>47.177146111656668</c:v>
                </c:pt>
                <c:pt idx="37">
                  <c:v>46.624214674211196</c:v>
                </c:pt>
                <c:pt idx="38">
                  <c:v>46.070976726717596</c:v>
                </c:pt>
                <c:pt idx="39">
                  <c:v>45.517435600709099</c:v>
                </c:pt>
                <c:pt idx="40">
                  <c:v>44.963594640300308</c:v>
                </c:pt>
                <c:pt idx="41">
                  <c:v>44.409457202066818</c:v>
                </c:pt>
                <c:pt idx="42">
                  <c:v>43.855026654923606</c:v>
                </c:pt>
                <c:pt idx="43">
                  <c:v>43.300306380002411</c:v>
                </c:pt>
                <c:pt idx="44">
                  <c:v>42.745299770527922</c:v>
                </c:pt>
                <c:pt idx="45">
                  <c:v>42.190010231692881</c:v>
                </c:pt>
                <c:pt idx="46">
                  <c:v>41.634441180532214</c:v>
                </c:pt>
                <c:pt idx="47">
                  <c:v>41.07859604579582</c:v>
                </c:pt>
                <c:pt idx="48">
                  <c:v>40.522478267820638</c:v>
                </c:pt>
                <c:pt idx="49">
                  <c:v>39.966091298401338</c:v>
                </c:pt>
                <c:pt idx="50">
                  <c:v>39.409438600660174</c:v>
                </c:pt>
                <c:pt idx="51">
                  <c:v>38.852523648915614</c:v>
                </c:pt>
                <c:pt idx="52">
                  <c:v>38.295349928550174</c:v>
                </c:pt>
                <c:pt idx="53">
                  <c:v>37.737920935876978</c:v>
                </c:pt>
                <c:pt idx="54">
                  <c:v>37.180240178005533</c:v>
                </c:pt>
                <c:pt idx="55">
                  <c:v>36.622311172706283</c:v>
                </c:pt>
                <c:pt idx="56">
                  <c:v>36.064137448274401</c:v>
                </c:pt>
                <c:pt idx="57">
                  <c:v>35.50572254339243</c:v>
                </c:pt>
                <c:pt idx="58">
                  <c:v>34.947070006992007</c:v>
                </c:pt>
                <c:pt idx="59">
                  <c:v>34.388183398114727</c:v>
                </c:pt>
                <c:pt idx="60">
                  <c:v>33.829066285771873</c:v>
                </c:pt>
                <c:pt idx="61">
                  <c:v>33.269722248803404</c:v>
                </c:pt>
                <c:pt idx="62">
                  <c:v>32.710154875735888</c:v>
                </c:pt>
                <c:pt idx="63">
                  <c:v>32.150367764639611</c:v>
                </c:pt>
                <c:pt idx="64">
                  <c:v>31.590364522984729</c:v>
                </c:pt>
                <c:pt idx="65">
                  <c:v>31.030148767496584</c:v>
                </c:pt>
                <c:pt idx="66">
                  <c:v>30.46972412401011</c:v>
                </c:pt>
                <c:pt idx="67">
                  <c:v>29.909094227323397</c:v>
                </c:pt>
                <c:pt idx="68">
                  <c:v>29.348262721050407</c:v>
                </c:pt>
                <c:pt idx="69">
                  <c:v>28.787233257472842</c:v>
                </c:pt>
                <c:pt idx="70">
                  <c:v>28.226009497391235</c:v>
                </c:pt>
                <c:pt idx="71">
                  <c:v>27.664595109975153</c:v>
                </c:pt>
                <c:pt idx="72">
                  <c:v>27.102993772612678</c:v>
                </c:pt>
                <c:pt idx="73">
                  <c:v>26.541209170759071</c:v>
                </c:pt>
                <c:pt idx="74">
                  <c:v>25.979244997784665</c:v>
                </c:pt>
                <c:pt idx="75">
                  <c:v>25.417104954822033</c:v>
                </c:pt>
                <c:pt idx="76">
                  <c:v>24.854792750612372</c:v>
                </c:pt>
                <c:pt idx="77">
                  <c:v>24.292312101351179</c:v>
                </c:pt>
                <c:pt idx="78">
                  <c:v>23.729666730533236</c:v>
                </c:pt>
                <c:pt idx="79">
                  <c:v>23.166860368796847</c:v>
                </c:pt>
                <c:pt idx="80">
                  <c:v>22.60389675376743</c:v>
                </c:pt>
                <c:pt idx="81">
                  <c:v>22.040779629900399</c:v>
                </c:pt>
                <c:pt idx="82">
                  <c:v>21.477512748323466</c:v>
                </c:pt>
                <c:pt idx="83">
                  <c:v>20.914099866678182</c:v>
                </c:pt>
                <c:pt idx="84">
                  <c:v>20.350544748960946</c:v>
                </c:pt>
                <c:pt idx="85">
                  <c:v>19.786851165363387</c:v>
                </c:pt>
                <c:pt idx="86">
                  <c:v>19.223022892112084</c:v>
                </c:pt>
                <c:pt idx="87">
                  <c:v>18.659063711307805</c:v>
                </c:pt>
                <c:pt idx="88">
                  <c:v>18.094977410764052</c:v>
                </c:pt>
                <c:pt idx="89">
                  <c:v>17.530767783845196</c:v>
                </c:pt>
                <c:pt idx="90">
                  <c:v>16.966438629303944</c:v>
                </c:pt>
                <c:pt idx="91">
                  <c:v>16.401993751118354</c:v>
                </c:pt>
                <c:pt idx="92">
                  <c:v>15.837436958328343</c:v>
                </c:pt>
                <c:pt idx="93">
                  <c:v>15.27277206487167</c:v>
                </c:pt>
                <c:pt idx="94">
                  <c:v>14.708002889419461</c:v>
                </c:pt>
                <c:pt idx="95">
                  <c:v>14.143133255211277</c:v>
                </c:pt>
                <c:pt idx="96">
                  <c:v>13.578166989889736</c:v>
                </c:pt>
                <c:pt idx="97">
                  <c:v>13.013107925334689</c:v>
                </c:pt>
                <c:pt idx="98">
                  <c:v>12.447959897497006</c:v>
                </c:pt>
                <c:pt idx="99">
                  <c:v>11.882726746231945</c:v>
                </c:pt>
                <c:pt idx="100">
                  <c:v>11.317412315132168</c:v>
                </c:pt>
                <c:pt idx="101">
                  <c:v>10.752020451360357</c:v>
                </c:pt>
                <c:pt idx="102">
                  <c:v>10.186555005481491</c:v>
                </c:pt>
                <c:pt idx="103">
                  <c:v>9.621019831294813</c:v>
                </c:pt>
                <c:pt idx="104">
                  <c:v>9.0554187856654575</c:v>
                </c:pt>
                <c:pt idx="105">
                  <c:v>8.4897557283557745</c:v>
                </c:pt>
                <c:pt idx="106">
                  <c:v>7.9240345218563952</c:v>
                </c:pt>
                <c:pt idx="107">
                  <c:v>7.358259031217</c:v>
                </c:pt>
                <c:pt idx="108">
                  <c:v>6.792433123876858</c:v>
                </c:pt>
                <c:pt idx="109">
                  <c:v>6.2265606694951225</c:v>
                </c:pt>
                <c:pt idx="110">
                  <c:v>5.6606455397809095</c:v>
                </c:pt>
                <c:pt idx="111">
                  <c:v>5.0946916083231724</c:v>
                </c:pt>
                <c:pt idx="112">
                  <c:v>4.5287027504204023</c:v>
                </c:pt>
                <c:pt idx="113">
                  <c:v>3.9626828429101471</c:v>
                </c:pt>
                <c:pt idx="114">
                  <c:v>3.3966357639983933</c:v>
                </c:pt>
                <c:pt idx="115">
                  <c:v>2.8305653930887988</c:v>
                </c:pt>
                <c:pt idx="116">
                  <c:v>2.2644756106118176</c:v>
                </c:pt>
                <c:pt idx="117">
                  <c:v>1.6983702978537236</c:v>
                </c:pt>
                <c:pt idx="118">
                  <c:v>1.1322533367855456</c:v>
                </c:pt>
                <c:pt idx="119">
                  <c:v>0.56612860989193792</c:v>
                </c:pt>
                <c:pt idx="120">
                  <c:v>0</c:v>
                </c:pt>
                <c:pt idx="121">
                  <c:v>-0.56612860989193792</c:v>
                </c:pt>
                <c:pt idx="122">
                  <c:v>-1.1322533367855456</c:v>
                </c:pt>
                <c:pt idx="123">
                  <c:v>-1.6983702978537236</c:v>
                </c:pt>
                <c:pt idx="124">
                  <c:v>-2.2644756106118176</c:v>
                </c:pt>
                <c:pt idx="125">
                  <c:v>-2.8305653930887988</c:v>
                </c:pt>
                <c:pt idx="126">
                  <c:v>-3.3966357639983933</c:v>
                </c:pt>
                <c:pt idx="127">
                  <c:v>-3.9626828429101471</c:v>
                </c:pt>
                <c:pt idx="128">
                  <c:v>-4.5287027504204023</c:v>
                </c:pt>
                <c:pt idx="129">
                  <c:v>-5.0946916083231724</c:v>
                </c:pt>
                <c:pt idx="130">
                  <c:v>-5.6606455397809095</c:v>
                </c:pt>
                <c:pt idx="131">
                  <c:v>-6.2265606694951225</c:v>
                </c:pt>
                <c:pt idx="132">
                  <c:v>-6.792433123876858</c:v>
                </c:pt>
                <c:pt idx="133">
                  <c:v>-7.358259031217</c:v>
                </c:pt>
                <c:pt idx="134">
                  <c:v>-7.9240345218563952</c:v>
                </c:pt>
                <c:pt idx="135">
                  <c:v>-8.4897557283557745</c:v>
                </c:pt>
                <c:pt idx="136">
                  <c:v>-9.0554187856654575</c:v>
                </c:pt>
                <c:pt idx="137">
                  <c:v>-9.621019831294813</c:v>
                </c:pt>
                <c:pt idx="138">
                  <c:v>-10.186555005481491</c:v>
                </c:pt>
                <c:pt idx="139">
                  <c:v>-10.752020451360357</c:v>
                </c:pt>
                <c:pt idx="140">
                  <c:v>-11.317412315132168</c:v>
                </c:pt>
                <c:pt idx="141">
                  <c:v>-11.882726746231945</c:v>
                </c:pt>
                <c:pt idx="142">
                  <c:v>-12.447959897497006</c:v>
                </c:pt>
                <c:pt idx="143">
                  <c:v>-13.013107925334689</c:v>
                </c:pt>
                <c:pt idx="144">
                  <c:v>-13.578166989889736</c:v>
                </c:pt>
                <c:pt idx="145">
                  <c:v>-14.143133255211277</c:v>
                </c:pt>
                <c:pt idx="146">
                  <c:v>-14.708002889419461</c:v>
                </c:pt>
                <c:pt idx="147">
                  <c:v>-15.27277206487167</c:v>
                </c:pt>
                <c:pt idx="148">
                  <c:v>-15.837436958328343</c:v>
                </c:pt>
                <c:pt idx="149">
                  <c:v>-16.401993751118354</c:v>
                </c:pt>
                <c:pt idx="150">
                  <c:v>-16.966438629303944</c:v>
                </c:pt>
                <c:pt idx="151">
                  <c:v>-17.530767783845196</c:v>
                </c:pt>
                <c:pt idx="152">
                  <c:v>-18.094977410764052</c:v>
                </c:pt>
                <c:pt idx="153">
                  <c:v>-18.659063711307805</c:v>
                </c:pt>
                <c:pt idx="154">
                  <c:v>-19.223022892112084</c:v>
                </c:pt>
                <c:pt idx="155">
                  <c:v>-19.786851165363387</c:v>
                </c:pt>
                <c:pt idx="156">
                  <c:v>-20.350544748960946</c:v>
                </c:pt>
                <c:pt idx="157">
                  <c:v>-20.914099866678182</c:v>
                </c:pt>
                <c:pt idx="158">
                  <c:v>-21.477512748323466</c:v>
                </c:pt>
                <c:pt idx="159">
                  <c:v>-22.040779629900399</c:v>
                </c:pt>
                <c:pt idx="160">
                  <c:v>-22.60389675376743</c:v>
                </c:pt>
                <c:pt idx="161">
                  <c:v>-23.166860368796847</c:v>
                </c:pt>
                <c:pt idx="162">
                  <c:v>-23.729666730533236</c:v>
                </c:pt>
                <c:pt idx="163">
                  <c:v>-24.292312101351179</c:v>
                </c:pt>
                <c:pt idx="164">
                  <c:v>-24.854792750612372</c:v>
                </c:pt>
                <c:pt idx="165">
                  <c:v>-25.417104954822033</c:v>
                </c:pt>
                <c:pt idx="166">
                  <c:v>-25.979244997784665</c:v>
                </c:pt>
                <c:pt idx="167">
                  <c:v>-26.541209170759071</c:v>
                </c:pt>
                <c:pt idx="168">
                  <c:v>-27.102993772612678</c:v>
                </c:pt>
                <c:pt idx="169">
                  <c:v>-27.664595109975153</c:v>
                </c:pt>
                <c:pt idx="170">
                  <c:v>-28.226009497391235</c:v>
                </c:pt>
                <c:pt idx="171">
                  <c:v>-28.787233257472842</c:v>
                </c:pt>
                <c:pt idx="172">
                  <c:v>-29.348262721050407</c:v>
                </c:pt>
                <c:pt idx="173">
                  <c:v>-29.909094227323397</c:v>
                </c:pt>
                <c:pt idx="174">
                  <c:v>-30.46972412401011</c:v>
                </c:pt>
                <c:pt idx="175">
                  <c:v>-31.030148767496584</c:v>
                </c:pt>
                <c:pt idx="176">
                  <c:v>-31.590364522984729</c:v>
                </c:pt>
                <c:pt idx="177">
                  <c:v>-32.150367764639611</c:v>
                </c:pt>
                <c:pt idx="178">
                  <c:v>-32.710154875735888</c:v>
                </c:pt>
                <c:pt idx="179">
                  <c:v>-33.269722248803404</c:v>
                </c:pt>
                <c:pt idx="180">
                  <c:v>-33.829066285771873</c:v>
                </c:pt>
                <c:pt idx="181">
                  <c:v>-34.388183398114727</c:v>
                </c:pt>
                <c:pt idx="182">
                  <c:v>-34.947070006992007</c:v>
                </c:pt>
                <c:pt idx="183">
                  <c:v>-35.50572254339243</c:v>
                </c:pt>
                <c:pt idx="184">
                  <c:v>-36.064137448274401</c:v>
                </c:pt>
                <c:pt idx="185">
                  <c:v>-36.622311172706283</c:v>
                </c:pt>
                <c:pt idx="186">
                  <c:v>-37.180240178005533</c:v>
                </c:pt>
                <c:pt idx="187">
                  <c:v>-37.737920935876978</c:v>
                </c:pt>
                <c:pt idx="188">
                  <c:v>-38.295349928550174</c:v>
                </c:pt>
                <c:pt idx="189">
                  <c:v>-38.852523648915614</c:v>
                </c:pt>
                <c:pt idx="190">
                  <c:v>-39.409438600660174</c:v>
                </c:pt>
                <c:pt idx="191">
                  <c:v>-39.966091298401338</c:v>
                </c:pt>
                <c:pt idx="192">
                  <c:v>-40.522478267820638</c:v>
                </c:pt>
                <c:pt idx="193">
                  <c:v>-41.07859604579582</c:v>
                </c:pt>
                <c:pt idx="194">
                  <c:v>-41.634441180532214</c:v>
                </c:pt>
                <c:pt idx="195">
                  <c:v>-42.190010231692881</c:v>
                </c:pt>
                <c:pt idx="196">
                  <c:v>-42.745299770527922</c:v>
                </c:pt>
                <c:pt idx="197">
                  <c:v>-43.300306380002411</c:v>
                </c:pt>
                <c:pt idx="198">
                  <c:v>-43.855026654923606</c:v>
                </c:pt>
                <c:pt idx="199">
                  <c:v>-44.409457202066818</c:v>
                </c:pt>
                <c:pt idx="200">
                  <c:v>-44.963594640300308</c:v>
                </c:pt>
                <c:pt idx="201">
                  <c:v>-45.517435600709099</c:v>
                </c:pt>
                <c:pt idx="202">
                  <c:v>-46.070976726717596</c:v>
                </c:pt>
                <c:pt idx="203">
                  <c:v>-46.624214674211196</c:v>
                </c:pt>
                <c:pt idx="204">
                  <c:v>-47.177146111656668</c:v>
                </c:pt>
                <c:pt idx="205">
                  <c:v>-47.729767720221503</c:v>
                </c:pt>
                <c:pt idx="206">
                  <c:v>-48.282076193892024</c:v>
                </c:pt>
                <c:pt idx="207">
                  <c:v>-48.834068239590444</c:v>
                </c:pt>
                <c:pt idx="208">
                  <c:v>-49.385740577290662</c:v>
                </c:pt>
                <c:pt idx="209">
                  <c:v>-49.937089940132999</c:v>
                </c:pt>
                <c:pt idx="210">
                  <c:v>-50.488113074537686</c:v>
                </c:pt>
                <c:pt idx="211">
                  <c:v>-51.038806740317241</c:v>
                </c:pt>
                <c:pt idx="212">
                  <c:v>-51.589167710787528</c:v>
                </c:pt>
                <c:pt idx="213">
                  <c:v>-52.139192772877827</c:v>
                </c:pt>
                <c:pt idx="214">
                  <c:v>-52.688878727239491</c:v>
                </c:pt>
                <c:pt idx="215">
                  <c:v>-53.238222388353577</c:v>
                </c:pt>
                <c:pt idx="216">
                  <c:v>-53.787220584637112</c:v>
                </c:pt>
                <c:pt idx="217">
                  <c:v>-54.335870158548275</c:v>
                </c:pt>
                <c:pt idx="218">
                  <c:v>-54.884167966690214</c:v>
                </c:pt>
                <c:pt idx="219">
                  <c:v>-55.432110879913751</c:v>
                </c:pt>
                <c:pt idx="220">
                  <c:v>-55.979695783418805</c:v>
                </c:pt>
                <c:pt idx="221">
                  <c:v>-56.526919576854574</c:v>
                </c:pt>
                <c:pt idx="222">
                  <c:v>-57.073779174418398</c:v>
                </c:pt>
                <c:pt idx="223">
                  <c:v>-57.620271504953578</c:v>
                </c:pt>
                <c:pt idx="224">
                  <c:v>-58.166393512045616</c:v>
                </c:pt>
                <c:pt idx="225">
                  <c:v>-58.712142154117522</c:v>
                </c:pt>
                <c:pt idx="226">
                  <c:v>-59.257514404523633</c:v>
                </c:pt>
                <c:pt idx="227">
                  <c:v>-59.802507251642233</c:v>
                </c:pt>
                <c:pt idx="228">
                  <c:v>-60.347117698966905</c:v>
                </c:pt>
                <c:pt idx="229">
                  <c:v>-60.891342765196597</c:v>
                </c:pt>
                <c:pt idx="230">
                  <c:v>-61.435179484324379</c:v>
                </c:pt>
                <c:pt idx="231">
                  <c:v>-61.978624905724956</c:v>
                </c:pt>
                <c:pt idx="232">
                  <c:v>-62.521676094240853</c:v>
                </c:pt>
                <c:pt idx="233">
                  <c:v>-63.064330130267308</c:v>
                </c:pt>
                <c:pt idx="234">
                  <c:v>-63.606584109835921</c:v>
                </c:pt>
                <c:pt idx="235">
                  <c:v>-64.148435144696862</c:v>
                </c:pt>
                <c:pt idx="236">
                  <c:v>-64.689880362400075</c:v>
                </c:pt>
                <c:pt idx="237">
                  <c:v>-65.230916906374631</c:v>
                </c:pt>
                <c:pt idx="238">
                  <c:v>-65.771541936007551</c:v>
                </c:pt>
                <c:pt idx="239">
                  <c:v>-66.311752626720462</c:v>
                </c:pt>
                <c:pt idx="240">
                  <c:v>-66.851546170045694</c:v>
                </c:pt>
              </c:numCache>
            </c:numRef>
          </c:val>
          <c:smooth val="0"/>
          <c:extLst>
            <c:ext xmlns:c16="http://schemas.microsoft.com/office/drawing/2014/chart" uri="{C3380CC4-5D6E-409C-BE32-E72D297353CC}">
              <c16:uniqueId val="{00000002-D46E-4706-B4CE-735A1A6C3C7D}"/>
            </c:ext>
          </c:extLst>
        </c:ser>
        <c:ser>
          <c:idx val="3"/>
          <c:order val="3"/>
          <c:tx>
            <c:v>Topography-preview HF Doppler (Hz)</c:v>
          </c:tx>
          <c:spPr>
            <a:ln w="9000"/>
          </c:spPr>
          <c:cat>
            <c:numRef>
              <c:f>Chart_Data!$M$2:$M$242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cat>
          <c:val>
            <c:numRef>
              <c:f>Chart_Data!$Q$2:$Q$242</c:f>
              <c:numCache>
                <c:formatCode>0.000</c:formatCode>
                <c:ptCount val="241"/>
                <c:pt idx="0">
                  <c:v>62.449385331974533</c:v>
                </c:pt>
                <c:pt idx="1">
                  <c:v>64.794884580898824</c:v>
                </c:pt>
                <c:pt idx="2">
                  <c:v>71.402383668996649</c:v>
                </c:pt>
                <c:pt idx="3">
                  <c:v>66.919847980647077</c:v>
                </c:pt>
                <c:pt idx="4">
                  <c:v>65.772637147841621</c:v>
                </c:pt>
                <c:pt idx="5">
                  <c:v>68.288465759938887</c:v>
                </c:pt>
                <c:pt idx="6">
                  <c:v>64.224127150442371</c:v>
                </c:pt>
                <c:pt idx="7">
                  <c:v>70.117091312221078</c:v>
                </c:pt>
                <c:pt idx="8">
                  <c:v>67.075476111670838</c:v>
                </c:pt>
                <c:pt idx="9">
                  <c:v>64.128519548358312</c:v>
                </c:pt>
                <c:pt idx="10">
                  <c:v>69.486393783524562</c:v>
                </c:pt>
                <c:pt idx="11">
                  <c:v>65.72610977071362</c:v>
                </c:pt>
                <c:pt idx="12">
                  <c:v>65.266876503405115</c:v>
                </c:pt>
                <c:pt idx="13">
                  <c:v>65.494964725614039</c:v>
                </c:pt>
                <c:pt idx="14">
                  <c:v>62.46934555537127</c:v>
                </c:pt>
                <c:pt idx="15">
                  <c:v>63.714169072167294</c:v>
                </c:pt>
                <c:pt idx="16">
                  <c:v>66.010787217259377</c:v>
                </c:pt>
                <c:pt idx="17">
                  <c:v>60.18867570198816</c:v>
                </c:pt>
                <c:pt idx="18">
                  <c:v>54.316418283767369</c:v>
                </c:pt>
                <c:pt idx="19">
                  <c:v>61.719853677298332</c:v>
                </c:pt>
                <c:pt idx="20">
                  <c:v>58.184357480367311</c:v>
                </c:pt>
                <c:pt idx="21">
                  <c:v>54.279620315699852</c:v>
                </c:pt>
                <c:pt idx="22">
                  <c:v>56.46496393606381</c:v>
                </c:pt>
                <c:pt idx="23">
                  <c:v>50.745794692197535</c:v>
                </c:pt>
                <c:pt idx="24">
                  <c:v>53.15574132066115</c:v>
                </c:pt>
                <c:pt idx="25">
                  <c:v>53.321455996905158</c:v>
                </c:pt>
                <c:pt idx="26">
                  <c:v>50.561059781960417</c:v>
                </c:pt>
                <c:pt idx="27">
                  <c:v>48.22276237875387</c:v>
                </c:pt>
                <c:pt idx="28">
                  <c:v>45.955871631712085</c:v>
                </c:pt>
                <c:pt idx="29">
                  <c:v>44.243072015560429</c:v>
                </c:pt>
                <c:pt idx="30">
                  <c:v>43.741252149627144</c:v>
                </c:pt>
                <c:pt idx="31">
                  <c:v>47.875338760391763</c:v>
                </c:pt>
                <c:pt idx="32">
                  <c:v>51.587796157711409</c:v>
                </c:pt>
                <c:pt idx="33">
                  <c:v>44.183317857735624</c:v>
                </c:pt>
                <c:pt idx="34">
                  <c:v>41.351497356207894</c:v>
                </c:pt>
                <c:pt idx="35">
                  <c:v>45.372595304415505</c:v>
                </c:pt>
                <c:pt idx="36">
                  <c:v>44.7209817503973</c:v>
                </c:pt>
                <c:pt idx="37">
                  <c:v>48.074671392776395</c:v>
                </c:pt>
                <c:pt idx="38">
                  <c:v>50.819277456533783</c:v>
                </c:pt>
                <c:pt idx="39">
                  <c:v>50.53812512510472</c:v>
                </c:pt>
                <c:pt idx="40">
                  <c:v>47.297679875350497</c:v>
                </c:pt>
                <c:pt idx="41">
                  <c:v>41.289161981640014</c:v>
                </c:pt>
                <c:pt idx="42">
                  <c:v>46.408884505368199</c:v>
                </c:pt>
                <c:pt idx="43">
                  <c:v>47.701008457539238</c:v>
                </c:pt>
                <c:pt idx="44">
                  <c:v>49.334829746408587</c:v>
                </c:pt>
                <c:pt idx="45">
                  <c:v>50.140471642833724</c:v>
                </c:pt>
                <c:pt idx="46">
                  <c:v>47.776166018541467</c:v>
                </c:pt>
                <c:pt idx="47">
                  <c:v>49.941056698406392</c:v>
                </c:pt>
                <c:pt idx="48">
                  <c:v>45.336790740211576</c:v>
                </c:pt>
                <c:pt idx="49">
                  <c:v>41.76384856886866</c:v>
                </c:pt>
                <c:pt idx="50">
                  <c:v>46.916213792789129</c:v>
                </c:pt>
                <c:pt idx="51">
                  <c:v>48.113215499626257</c:v>
                </c:pt>
                <c:pt idx="52">
                  <c:v>41.2093327366591</c:v>
                </c:pt>
                <c:pt idx="53">
                  <c:v>43.164159166104866</c:v>
                </c:pt>
                <c:pt idx="54">
                  <c:v>42.567000695812204</c:v>
                </c:pt>
                <c:pt idx="55">
                  <c:v>36.365917331673629</c:v>
                </c:pt>
                <c:pt idx="56">
                  <c:v>37.092531595155855</c:v>
                </c:pt>
                <c:pt idx="57">
                  <c:v>38.472386245057109</c:v>
                </c:pt>
                <c:pt idx="58">
                  <c:v>31.01938719230878</c:v>
                </c:pt>
                <c:pt idx="59">
                  <c:v>30.510130720287567</c:v>
                </c:pt>
                <c:pt idx="60">
                  <c:v>30.876329690962176</c:v>
                </c:pt>
                <c:pt idx="61">
                  <c:v>32.06477597352653</c:v>
                </c:pt>
                <c:pt idx="62">
                  <c:v>28.896059249087809</c:v>
                </c:pt>
                <c:pt idx="63">
                  <c:v>27.716598642942078</c:v>
                </c:pt>
                <c:pt idx="64">
                  <c:v>28.397914693796722</c:v>
                </c:pt>
                <c:pt idx="65">
                  <c:v>25.315295564486171</c:v>
                </c:pt>
                <c:pt idx="66">
                  <c:v>28.977987570286206</c:v>
                </c:pt>
                <c:pt idx="67">
                  <c:v>25.709432533343659</c:v>
                </c:pt>
                <c:pt idx="68">
                  <c:v>24.85180266004674</c:v>
                </c:pt>
                <c:pt idx="69">
                  <c:v>26.051989427284752</c:v>
                </c:pt>
                <c:pt idx="70">
                  <c:v>29.377760274737824</c:v>
                </c:pt>
                <c:pt idx="71">
                  <c:v>29.662371249088014</c:v>
                </c:pt>
                <c:pt idx="72">
                  <c:v>26.500187899053582</c:v>
                </c:pt>
                <c:pt idx="73">
                  <c:v>29.178073235770018</c:v>
                </c:pt>
                <c:pt idx="74">
                  <c:v>29.044335367382214</c:v>
                </c:pt>
                <c:pt idx="75">
                  <c:v>34.297148417248835</c:v>
                </c:pt>
                <c:pt idx="76">
                  <c:v>35.817963211306129</c:v>
                </c:pt>
                <c:pt idx="77">
                  <c:v>24.615976832266046</c:v>
                </c:pt>
                <c:pt idx="78">
                  <c:v>26.357329724040675</c:v>
                </c:pt>
                <c:pt idx="79">
                  <c:v>28.023467356592096</c:v>
                </c:pt>
                <c:pt idx="80">
                  <c:v>27.507899946992822</c:v>
                </c:pt>
                <c:pt idx="81">
                  <c:v>29.960847154916202</c:v>
                </c:pt>
                <c:pt idx="82">
                  <c:v>21.936535199201572</c:v>
                </c:pt>
                <c:pt idx="83">
                  <c:v>25.915006668602494</c:v>
                </c:pt>
                <c:pt idx="84">
                  <c:v>27.87775525106084</c:v>
                </c:pt>
                <c:pt idx="85">
                  <c:v>17.245951864503777</c:v>
                </c:pt>
                <c:pt idx="86">
                  <c:v>16.854583048906161</c:v>
                </c:pt>
                <c:pt idx="87">
                  <c:v>26.316393234203254</c:v>
                </c:pt>
                <c:pt idx="88">
                  <c:v>22.425486919557073</c:v>
                </c:pt>
                <c:pt idx="89">
                  <c:v>18.339230267619051</c:v>
                </c:pt>
                <c:pt idx="90">
                  <c:v>21.799930591701276</c:v>
                </c:pt>
                <c:pt idx="91">
                  <c:v>17.44787698836145</c:v>
                </c:pt>
                <c:pt idx="92">
                  <c:v>14.278140743099412</c:v>
                </c:pt>
                <c:pt idx="93">
                  <c:v>18.139404119511102</c:v>
                </c:pt>
                <c:pt idx="94">
                  <c:v>21.929275485572447</c:v>
                </c:pt>
                <c:pt idx="95">
                  <c:v>15.375223100976815</c:v>
                </c:pt>
                <c:pt idx="96">
                  <c:v>15.993082416412861</c:v>
                </c:pt>
                <c:pt idx="97">
                  <c:v>18.904592619859528</c:v>
                </c:pt>
                <c:pt idx="98">
                  <c:v>15.137744629595131</c:v>
                </c:pt>
                <c:pt idx="99">
                  <c:v>14.040785896970041</c:v>
                </c:pt>
                <c:pt idx="100">
                  <c:v>11.439430326153106</c:v>
                </c:pt>
                <c:pt idx="101">
                  <c:v>12.940947682856624</c:v>
                </c:pt>
                <c:pt idx="102">
                  <c:v>7.8050235013959997</c:v>
                </c:pt>
                <c:pt idx="103">
                  <c:v>8.4398858703175552</c:v>
                </c:pt>
                <c:pt idx="104">
                  <c:v>11.372715792443326</c:v>
                </c:pt>
                <c:pt idx="105">
                  <c:v>0.65360534939521742</c:v>
                </c:pt>
                <c:pt idx="106">
                  <c:v>4.4637123129551961</c:v>
                </c:pt>
                <c:pt idx="107">
                  <c:v>8.5124359958792137</c:v>
                </c:pt>
                <c:pt idx="108">
                  <c:v>2.3424381624699731</c:v>
                </c:pt>
                <c:pt idx="109">
                  <c:v>1.1334726200361689</c:v>
                </c:pt>
                <c:pt idx="110">
                  <c:v>2.3249624665332669</c:v>
                </c:pt>
                <c:pt idx="111">
                  <c:v>4.982373499266366</c:v>
                </c:pt>
                <c:pt idx="112">
                  <c:v>0.13382624703327994</c:v>
                </c:pt>
                <c:pt idx="113">
                  <c:v>2.5581200648335032</c:v>
                </c:pt>
                <c:pt idx="114">
                  <c:v>7.2373926647193372</c:v>
                </c:pt>
                <c:pt idx="115">
                  <c:v>6.6290001385667745</c:v>
                </c:pt>
                <c:pt idx="116">
                  <c:v>4.694489543389345</c:v>
                </c:pt>
                <c:pt idx="117">
                  <c:v>2.9009291542674616</c:v>
                </c:pt>
                <c:pt idx="118">
                  <c:v>11.473499470160936</c:v>
                </c:pt>
                <c:pt idx="119">
                  <c:v>10.026302266119451</c:v>
                </c:pt>
                <c:pt idx="120">
                  <c:v>2.0410260700706537</c:v>
                </c:pt>
                <c:pt idx="121">
                  <c:v>3.5416520439902381</c:v>
                </c:pt>
                <c:pt idx="122">
                  <c:v>7.047710346587583</c:v>
                </c:pt>
                <c:pt idx="123">
                  <c:v>7.1539203953114603</c:v>
                </c:pt>
                <c:pt idx="124">
                  <c:v>5.6143204034430223</c:v>
                </c:pt>
                <c:pt idx="125">
                  <c:v>-2.2723139482405244</c:v>
                </c:pt>
                <c:pt idx="126">
                  <c:v>-0.2370582716650062</c:v>
                </c:pt>
                <c:pt idx="127">
                  <c:v>1.9869443582416633</c:v>
                </c:pt>
                <c:pt idx="128">
                  <c:v>-3.1595391945919511</c:v>
                </c:pt>
                <c:pt idx="129">
                  <c:v>-8.1804855214174061</c:v>
                </c:pt>
                <c:pt idx="130">
                  <c:v>-12.646913972701867</c:v>
                </c:pt>
                <c:pt idx="131">
                  <c:v>-9.8566112169041435</c:v>
                </c:pt>
                <c:pt idx="132">
                  <c:v>-10.41608989988698</c:v>
                </c:pt>
                <c:pt idx="133">
                  <c:v>-7.1918185413470077</c:v>
                </c:pt>
                <c:pt idx="134">
                  <c:v>-12.950037932143035</c:v>
                </c:pt>
                <c:pt idx="135">
                  <c:v>-17.408959211789664</c:v>
                </c:pt>
                <c:pt idx="136">
                  <c:v>-14.786290312559078</c:v>
                </c:pt>
                <c:pt idx="137">
                  <c:v>-13.462806419621186</c:v>
                </c:pt>
                <c:pt idx="138">
                  <c:v>-10.509993506865294</c:v>
                </c:pt>
                <c:pt idx="139">
                  <c:v>-17.236294317760574</c:v>
                </c:pt>
                <c:pt idx="140">
                  <c:v>-20.993876062022796</c:v>
                </c:pt>
                <c:pt idx="141">
                  <c:v>-14.110109156756192</c:v>
                </c:pt>
                <c:pt idx="142">
                  <c:v>-13.292380825545038</c:v>
                </c:pt>
                <c:pt idx="143">
                  <c:v>-18.317244696384019</c:v>
                </c:pt>
                <c:pt idx="144">
                  <c:v>-13.662688249807928</c:v>
                </c:pt>
                <c:pt idx="145">
                  <c:v>-12.713932307685408</c:v>
                </c:pt>
                <c:pt idx="146">
                  <c:v>-20.77388591133386</c:v>
                </c:pt>
                <c:pt idx="147">
                  <c:v>-19.183454766213224</c:v>
                </c:pt>
                <c:pt idx="148">
                  <c:v>-14.235374871570496</c:v>
                </c:pt>
                <c:pt idx="149">
                  <c:v>-19.574833780223472</c:v>
                </c:pt>
                <c:pt idx="150">
                  <c:v>-21.755815535910628</c:v>
                </c:pt>
                <c:pt idx="151">
                  <c:v>-17.309206374963512</c:v>
                </c:pt>
                <c:pt idx="152">
                  <c:v>-15.568392651285533</c:v>
                </c:pt>
                <c:pt idx="153">
                  <c:v>-18.048744825202515</c:v>
                </c:pt>
                <c:pt idx="154">
                  <c:v>-17.701350671805805</c:v>
                </c:pt>
                <c:pt idx="155">
                  <c:v>-16.331308051812595</c:v>
                </c:pt>
                <c:pt idx="156">
                  <c:v>-20.01802927324761</c:v>
                </c:pt>
                <c:pt idx="157">
                  <c:v>-18.058126920673327</c:v>
                </c:pt>
                <c:pt idx="158">
                  <c:v>-16.068647903446145</c:v>
                </c:pt>
                <c:pt idx="159">
                  <c:v>-19.736919532991127</c:v>
                </c:pt>
                <c:pt idx="160">
                  <c:v>-21.395654307785016</c:v>
                </c:pt>
                <c:pt idx="161">
                  <c:v>-22.643189505075288</c:v>
                </c:pt>
                <c:pt idx="162">
                  <c:v>-23.17452051461164</c:v>
                </c:pt>
                <c:pt idx="163">
                  <c:v>-22.743937414045973</c:v>
                </c:pt>
                <c:pt idx="164">
                  <c:v>-25.259425257241926</c:v>
                </c:pt>
                <c:pt idx="165">
                  <c:v>-27.742055470533398</c:v>
                </c:pt>
                <c:pt idx="166">
                  <c:v>-28.698084037327078</c:v>
                </c:pt>
                <c:pt idx="167">
                  <c:v>-25.806340122703894</c:v>
                </c:pt>
                <c:pt idx="168">
                  <c:v>-30.893842824869015</c:v>
                </c:pt>
                <c:pt idx="169">
                  <c:v>-33.048260500916996</c:v>
                </c:pt>
                <c:pt idx="170">
                  <c:v>-34.290515626661502</c:v>
                </c:pt>
                <c:pt idx="171">
                  <c:v>-36.329678625882046</c:v>
                </c:pt>
                <c:pt idx="172">
                  <c:v>-30.958883077730139</c:v>
                </c:pt>
                <c:pt idx="173">
                  <c:v>-39.767632637293751</c:v>
                </c:pt>
                <c:pt idx="174">
                  <c:v>-41.596773089759296</c:v>
                </c:pt>
                <c:pt idx="175">
                  <c:v>-39.187379285468928</c:v>
                </c:pt>
                <c:pt idx="176">
                  <c:v>-37.958740953162071</c:v>
                </c:pt>
                <c:pt idx="177">
                  <c:v>-38.907881935970856</c:v>
                </c:pt>
                <c:pt idx="178">
                  <c:v>-43.948338242561597</c:v>
                </c:pt>
                <c:pt idx="179">
                  <c:v>-39.403251792863053</c:v>
                </c:pt>
                <c:pt idx="180">
                  <c:v>-39.468303010160767</c:v>
                </c:pt>
                <c:pt idx="181">
                  <c:v>-38.894164432641745</c:v>
                </c:pt>
                <c:pt idx="182">
                  <c:v>-40.557307850647774</c:v>
                </c:pt>
                <c:pt idx="183">
                  <c:v>-39.614120935960472</c:v>
                </c:pt>
                <c:pt idx="184">
                  <c:v>-33.347225386165661</c:v>
                </c:pt>
                <c:pt idx="185">
                  <c:v>-35.761402728941043</c:v>
                </c:pt>
                <c:pt idx="186">
                  <c:v>-37.605094866680282</c:v>
                </c:pt>
                <c:pt idx="187">
                  <c:v>-33.642740976391728</c:v>
                </c:pt>
                <c:pt idx="188">
                  <c:v>-32.906956503648402</c:v>
                </c:pt>
                <c:pt idx="189">
                  <c:v>-39.166014427106575</c:v>
                </c:pt>
                <c:pt idx="190">
                  <c:v>-40.903729181568032</c:v>
                </c:pt>
                <c:pt idx="191">
                  <c:v>-37.628738234076913</c:v>
                </c:pt>
                <c:pt idx="192">
                  <c:v>-32.971269970430541</c:v>
                </c:pt>
                <c:pt idx="193">
                  <c:v>-35.021980153994321</c:v>
                </c:pt>
                <c:pt idx="194">
                  <c:v>-40.128045414146783</c:v>
                </c:pt>
                <c:pt idx="195">
                  <c:v>-40.987132176785572</c:v>
                </c:pt>
                <c:pt idx="196">
                  <c:v>-35.481370821815311</c:v>
                </c:pt>
                <c:pt idx="197">
                  <c:v>-38.430245506463187</c:v>
                </c:pt>
                <c:pt idx="198">
                  <c:v>-46.796285306947283</c:v>
                </c:pt>
                <c:pt idx="199">
                  <c:v>-43.954802135899641</c:v>
                </c:pt>
                <c:pt idx="200">
                  <c:v>-44.558960604596329</c:v>
                </c:pt>
                <c:pt idx="201">
                  <c:v>-52.277294333401414</c:v>
                </c:pt>
                <c:pt idx="202">
                  <c:v>-53.597463624982971</c:v>
                </c:pt>
                <c:pt idx="203">
                  <c:v>-47.935830621400179</c:v>
                </c:pt>
                <c:pt idx="204">
                  <c:v>-49.443997796985535</c:v>
                </c:pt>
                <c:pt idx="205">
                  <c:v>-53.435730858757701</c:v>
                </c:pt>
                <c:pt idx="206">
                  <c:v>-56.503779561645686</c:v>
                </c:pt>
                <c:pt idx="207">
                  <c:v>-58.007816861696796</c:v>
                </c:pt>
                <c:pt idx="208">
                  <c:v>-60.456412323194833</c:v>
                </c:pt>
                <c:pt idx="209">
                  <c:v>-60.33389124524831</c:v>
                </c:pt>
                <c:pt idx="210">
                  <c:v>-52.925335120666311</c:v>
                </c:pt>
                <c:pt idx="211">
                  <c:v>-55.347653350339733</c:v>
                </c:pt>
                <c:pt idx="212">
                  <c:v>-61.966006711187042</c:v>
                </c:pt>
                <c:pt idx="213">
                  <c:v>-58.852928486202707</c:v>
                </c:pt>
                <c:pt idx="214">
                  <c:v>-56.86720111901144</c:v>
                </c:pt>
                <c:pt idx="215">
                  <c:v>-51.836122075975581</c:v>
                </c:pt>
                <c:pt idx="216">
                  <c:v>-52.244210295155881</c:v>
                </c:pt>
                <c:pt idx="217">
                  <c:v>-58.022692426227437</c:v>
                </c:pt>
                <c:pt idx="218">
                  <c:v>-54.522229482343491</c:v>
                </c:pt>
                <c:pt idx="219">
                  <c:v>-54.085456171755524</c:v>
                </c:pt>
                <c:pt idx="220">
                  <c:v>-50.951615970023362</c:v>
                </c:pt>
                <c:pt idx="221">
                  <c:v>-51.337823448144221</c:v>
                </c:pt>
                <c:pt idx="222">
                  <c:v>-51.700532372151791</c:v>
                </c:pt>
                <c:pt idx="223">
                  <c:v>-50.517110676219232</c:v>
                </c:pt>
                <c:pt idx="224">
                  <c:v>-57.119894368534503</c:v>
                </c:pt>
                <c:pt idx="225">
                  <c:v>-54.794551410099466</c:v>
                </c:pt>
                <c:pt idx="226">
                  <c:v>-55.235058120455804</c:v>
                </c:pt>
                <c:pt idx="227">
                  <c:v>-60.28715215608019</c:v>
                </c:pt>
                <c:pt idx="228">
                  <c:v>-61.397377832674451</c:v>
                </c:pt>
                <c:pt idx="229">
                  <c:v>-59.250534340407491</c:v>
                </c:pt>
                <c:pt idx="230">
                  <c:v>-60.053654700681228</c:v>
                </c:pt>
                <c:pt idx="231">
                  <c:v>-62.373719088455253</c:v>
                </c:pt>
                <c:pt idx="232">
                  <c:v>-60.750503094282443</c:v>
                </c:pt>
                <c:pt idx="233">
                  <c:v>-59.807049762991838</c:v>
                </c:pt>
                <c:pt idx="234">
                  <c:v>-66.421152076489662</c:v>
                </c:pt>
                <c:pt idx="235">
                  <c:v>-65.625747327460928</c:v>
                </c:pt>
                <c:pt idx="236">
                  <c:v>-62.318152576462438</c:v>
                </c:pt>
                <c:pt idx="237">
                  <c:v>-65.433412514134361</c:v>
                </c:pt>
                <c:pt idx="238">
                  <c:v>-70.378024634952496</c:v>
                </c:pt>
                <c:pt idx="239">
                  <c:v>-69.741177540186285</c:v>
                </c:pt>
                <c:pt idx="240">
                  <c:v>-61.676405254180644</c:v>
                </c:pt>
              </c:numCache>
            </c:numRef>
          </c:val>
          <c:smooth val="0"/>
          <c:extLst>
            <c:ext xmlns:c16="http://schemas.microsoft.com/office/drawing/2014/chart" uri="{C3380CC4-5D6E-409C-BE32-E72D297353CC}">
              <c16:uniqueId val="{00000003-D46E-4706-B4CE-735A1A6C3C7D}"/>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overlay val="0"/>
        </c:title>
        <c:numFmt formatCode="0.000" sourceLinked="1"/>
        <c:majorTickMark val="none"/>
        <c:minorTickMark val="none"/>
        <c:tickLblPos val="nextTo"/>
        <c:crossAx val="48672768"/>
        <c:crosses val="autoZero"/>
        <c:auto val="1"/>
        <c:lblAlgn val="ctr"/>
        <c:lblOffset val="100"/>
        <c:tickLblSkip val="24"/>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Doppler shift (Hz)</a:t>
                </a:r>
              </a:p>
            </c:rich>
          </c:tx>
          <c:overlay val="0"/>
        </c:title>
        <c:numFmt formatCode="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Checked Paper Pass Altitude Profiles</a:t>
            </a:r>
          </a:p>
        </c:rich>
      </c:tx>
      <c:overlay val="0"/>
    </c:title>
    <c:autoTitleDeleted val="0"/>
    <c:plotArea>
      <c:layout/>
      <c:lineChart>
        <c:grouping val="standard"/>
        <c:varyColors val="1"/>
        <c:ser>
          <c:idx val="0"/>
          <c:order val="0"/>
          <c:tx>
            <c:v>Current custom inputs altitude (km)</c:v>
          </c:tx>
          <c:spPr>
            <a:ln w="9000"/>
          </c:spPr>
          <c:cat>
            <c:numRef>
              <c:f>Scenario_Data!$A$2:$A$242</c:f>
              <c:numCache>
                <c:formatCode>0.000</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cat>
          <c:val>
            <c:numRef>
              <c:f>Scenario_Data!$B$2:$B$242</c:f>
              <c:numCache>
                <c:formatCode>0.000</c:formatCode>
                <c:ptCount val="241"/>
                <c:pt idx="0">
                  <c:v>404</c:v>
                </c:pt>
                <c:pt idx="1">
                  <c:v>403.93625600000001</c:v>
                </c:pt>
                <c:pt idx="2">
                  <c:v>403.86515600000001</c:v>
                </c:pt>
                <c:pt idx="3">
                  <c:v>403.80250000000001</c:v>
                </c:pt>
                <c:pt idx="4">
                  <c:v>403.74035600000002</c:v>
                </c:pt>
                <c:pt idx="5">
                  <c:v>403.67105600000002</c:v>
                </c:pt>
                <c:pt idx="6">
                  <c:v>403.61</c:v>
                </c:pt>
                <c:pt idx="7">
                  <c:v>403.54945600000002</c:v>
                </c:pt>
                <c:pt idx="8">
                  <c:v>403.48195600000003</c:v>
                </c:pt>
                <c:pt idx="9">
                  <c:v>403.42250000000001</c:v>
                </c:pt>
                <c:pt idx="10">
                  <c:v>403.36355600000002</c:v>
                </c:pt>
                <c:pt idx="11">
                  <c:v>403.29785600000002</c:v>
                </c:pt>
                <c:pt idx="12">
                  <c:v>403.24</c:v>
                </c:pt>
                <c:pt idx="13">
                  <c:v>403.18265600000001</c:v>
                </c:pt>
                <c:pt idx="14">
                  <c:v>403.11875600000002</c:v>
                </c:pt>
                <c:pt idx="15">
                  <c:v>403.0625</c:v>
                </c:pt>
                <c:pt idx="16">
                  <c:v>403.006756</c:v>
                </c:pt>
                <c:pt idx="17">
                  <c:v>402.94465600000001</c:v>
                </c:pt>
                <c:pt idx="18">
                  <c:v>402.89</c:v>
                </c:pt>
                <c:pt idx="19">
                  <c:v>402.83585599999998</c:v>
                </c:pt>
                <c:pt idx="20">
                  <c:v>402.77555599999999</c:v>
                </c:pt>
                <c:pt idx="21">
                  <c:v>402.72250000000003</c:v>
                </c:pt>
                <c:pt idx="22">
                  <c:v>402.66995600000001</c:v>
                </c:pt>
                <c:pt idx="23">
                  <c:v>402.61145599999998</c:v>
                </c:pt>
                <c:pt idx="24">
                  <c:v>402.56</c:v>
                </c:pt>
                <c:pt idx="25">
                  <c:v>402.50905599999999</c:v>
                </c:pt>
                <c:pt idx="26">
                  <c:v>402.45235600000001</c:v>
                </c:pt>
                <c:pt idx="27">
                  <c:v>402.40249999999997</c:v>
                </c:pt>
                <c:pt idx="28">
                  <c:v>402.35315600000001</c:v>
                </c:pt>
                <c:pt idx="29">
                  <c:v>402.29825599999998</c:v>
                </c:pt>
                <c:pt idx="30">
                  <c:v>402.25</c:v>
                </c:pt>
                <c:pt idx="31">
                  <c:v>402.20225599999998</c:v>
                </c:pt>
                <c:pt idx="32">
                  <c:v>402.149156</c:v>
                </c:pt>
                <c:pt idx="33">
                  <c:v>402.10250000000002</c:v>
                </c:pt>
                <c:pt idx="34">
                  <c:v>402.05635599999999</c:v>
                </c:pt>
                <c:pt idx="35">
                  <c:v>402.00505600000002</c:v>
                </c:pt>
                <c:pt idx="36">
                  <c:v>401.96</c:v>
                </c:pt>
                <c:pt idx="37">
                  <c:v>401.91545600000001</c:v>
                </c:pt>
                <c:pt idx="38">
                  <c:v>401.86595599999998</c:v>
                </c:pt>
                <c:pt idx="39">
                  <c:v>401.82249999999999</c:v>
                </c:pt>
                <c:pt idx="40">
                  <c:v>401.77955600000001</c:v>
                </c:pt>
                <c:pt idx="41">
                  <c:v>401.73185599999999</c:v>
                </c:pt>
                <c:pt idx="42">
                  <c:v>401.69</c:v>
                </c:pt>
                <c:pt idx="43">
                  <c:v>401.64865600000002</c:v>
                </c:pt>
                <c:pt idx="44">
                  <c:v>401.602756</c:v>
                </c:pt>
                <c:pt idx="45">
                  <c:v>401.5625</c:v>
                </c:pt>
                <c:pt idx="46">
                  <c:v>401.52275600000002</c:v>
                </c:pt>
                <c:pt idx="47">
                  <c:v>401.478656</c:v>
                </c:pt>
                <c:pt idx="48">
                  <c:v>401.44</c:v>
                </c:pt>
                <c:pt idx="49">
                  <c:v>401.40185600000001</c:v>
                </c:pt>
                <c:pt idx="50">
                  <c:v>401.359556</c:v>
                </c:pt>
                <c:pt idx="51">
                  <c:v>401.32249999999999</c:v>
                </c:pt>
                <c:pt idx="52">
                  <c:v>401.285956</c:v>
                </c:pt>
                <c:pt idx="53">
                  <c:v>401.24545599999999</c:v>
                </c:pt>
                <c:pt idx="54">
                  <c:v>401.21</c:v>
                </c:pt>
                <c:pt idx="55">
                  <c:v>401.17505599999998</c:v>
                </c:pt>
                <c:pt idx="56">
                  <c:v>401.13635599999998</c:v>
                </c:pt>
                <c:pt idx="57">
                  <c:v>401.10250000000002</c:v>
                </c:pt>
                <c:pt idx="58">
                  <c:v>401.06915600000002</c:v>
                </c:pt>
                <c:pt idx="59">
                  <c:v>401.03225600000002</c:v>
                </c:pt>
                <c:pt idx="60">
                  <c:v>401</c:v>
                </c:pt>
                <c:pt idx="61">
                  <c:v>400.968256</c:v>
                </c:pt>
                <c:pt idx="62">
                  <c:v>400.933156</c:v>
                </c:pt>
                <c:pt idx="63">
                  <c:v>400.90249999999997</c:v>
                </c:pt>
                <c:pt idx="64">
                  <c:v>400.87235600000002</c:v>
                </c:pt>
                <c:pt idx="65">
                  <c:v>400.83905600000003</c:v>
                </c:pt>
                <c:pt idx="66">
                  <c:v>400.81</c:v>
                </c:pt>
                <c:pt idx="67">
                  <c:v>400.78145599999999</c:v>
                </c:pt>
                <c:pt idx="68">
                  <c:v>400.749956</c:v>
                </c:pt>
                <c:pt idx="69">
                  <c:v>400.72250000000003</c:v>
                </c:pt>
                <c:pt idx="70">
                  <c:v>400.69555600000001</c:v>
                </c:pt>
                <c:pt idx="71">
                  <c:v>400.66585600000002</c:v>
                </c:pt>
                <c:pt idx="72">
                  <c:v>400.64</c:v>
                </c:pt>
                <c:pt idx="73">
                  <c:v>400.61465600000002</c:v>
                </c:pt>
                <c:pt idx="74">
                  <c:v>400.58675599999998</c:v>
                </c:pt>
                <c:pt idx="75">
                  <c:v>400.5625</c:v>
                </c:pt>
                <c:pt idx="76">
                  <c:v>400.53875599999998</c:v>
                </c:pt>
                <c:pt idx="77">
                  <c:v>400.51265599999999</c:v>
                </c:pt>
                <c:pt idx="78">
                  <c:v>400.49</c:v>
                </c:pt>
                <c:pt idx="79">
                  <c:v>400.46785599999998</c:v>
                </c:pt>
                <c:pt idx="80">
                  <c:v>400.443556</c:v>
                </c:pt>
                <c:pt idx="81">
                  <c:v>400.42250000000001</c:v>
                </c:pt>
                <c:pt idx="82">
                  <c:v>400.40195599999998</c:v>
                </c:pt>
                <c:pt idx="83">
                  <c:v>400.379456</c:v>
                </c:pt>
                <c:pt idx="84">
                  <c:v>400.36</c:v>
                </c:pt>
                <c:pt idx="85">
                  <c:v>400.34105599999998</c:v>
                </c:pt>
                <c:pt idx="86">
                  <c:v>400.320356</c:v>
                </c:pt>
                <c:pt idx="87">
                  <c:v>400.30250000000001</c:v>
                </c:pt>
                <c:pt idx="88">
                  <c:v>400.28515599999997</c:v>
                </c:pt>
                <c:pt idx="89">
                  <c:v>400.266256</c:v>
                </c:pt>
                <c:pt idx="90">
                  <c:v>400.25</c:v>
                </c:pt>
                <c:pt idx="91">
                  <c:v>400.23425600000002</c:v>
                </c:pt>
                <c:pt idx="92">
                  <c:v>400.21715599999999</c:v>
                </c:pt>
                <c:pt idx="93">
                  <c:v>400.20249999999999</c:v>
                </c:pt>
                <c:pt idx="94">
                  <c:v>400.188356</c:v>
                </c:pt>
                <c:pt idx="95">
                  <c:v>400.17305599999997</c:v>
                </c:pt>
                <c:pt idx="96">
                  <c:v>400.16</c:v>
                </c:pt>
                <c:pt idx="97">
                  <c:v>400.14745599999998</c:v>
                </c:pt>
                <c:pt idx="98">
                  <c:v>400.13395600000001</c:v>
                </c:pt>
                <c:pt idx="99">
                  <c:v>400.1225</c:v>
                </c:pt>
                <c:pt idx="100">
                  <c:v>400.11155600000001</c:v>
                </c:pt>
                <c:pt idx="101">
                  <c:v>400.09985599999999</c:v>
                </c:pt>
                <c:pt idx="102">
                  <c:v>400.09</c:v>
                </c:pt>
                <c:pt idx="103">
                  <c:v>400.08065599999998</c:v>
                </c:pt>
                <c:pt idx="104">
                  <c:v>400.07075600000002</c:v>
                </c:pt>
                <c:pt idx="105">
                  <c:v>400.0625</c:v>
                </c:pt>
                <c:pt idx="106">
                  <c:v>400.054756</c:v>
                </c:pt>
                <c:pt idx="107">
                  <c:v>400.04665599999998</c:v>
                </c:pt>
                <c:pt idx="108">
                  <c:v>400.04</c:v>
                </c:pt>
                <c:pt idx="109">
                  <c:v>400.03385600000001</c:v>
                </c:pt>
                <c:pt idx="110">
                  <c:v>400.027556</c:v>
                </c:pt>
                <c:pt idx="111">
                  <c:v>400.02249999999998</c:v>
                </c:pt>
                <c:pt idx="112">
                  <c:v>400.01795600000003</c:v>
                </c:pt>
                <c:pt idx="113">
                  <c:v>400.01345600000002</c:v>
                </c:pt>
                <c:pt idx="114">
                  <c:v>400.01</c:v>
                </c:pt>
                <c:pt idx="115">
                  <c:v>400.00705599999998</c:v>
                </c:pt>
                <c:pt idx="116">
                  <c:v>400.00435599999997</c:v>
                </c:pt>
                <c:pt idx="117">
                  <c:v>400.0025</c:v>
                </c:pt>
                <c:pt idx="118">
                  <c:v>400.00115599999998</c:v>
                </c:pt>
                <c:pt idx="119">
                  <c:v>400.00025599999998</c:v>
                </c:pt>
                <c:pt idx="120">
                  <c:v>400</c:v>
                </c:pt>
                <c:pt idx="121">
                  <c:v>400.00025599999998</c:v>
                </c:pt>
                <c:pt idx="122">
                  <c:v>400.00115599999998</c:v>
                </c:pt>
                <c:pt idx="123">
                  <c:v>400.0025</c:v>
                </c:pt>
                <c:pt idx="124">
                  <c:v>400.00435599999997</c:v>
                </c:pt>
                <c:pt idx="125">
                  <c:v>400.00705599999998</c:v>
                </c:pt>
                <c:pt idx="126">
                  <c:v>400.01</c:v>
                </c:pt>
                <c:pt idx="127">
                  <c:v>400.01345600000002</c:v>
                </c:pt>
                <c:pt idx="128">
                  <c:v>400.01795600000003</c:v>
                </c:pt>
                <c:pt idx="129">
                  <c:v>400.02249999999998</c:v>
                </c:pt>
                <c:pt idx="130">
                  <c:v>400.027556</c:v>
                </c:pt>
                <c:pt idx="131">
                  <c:v>400.03385600000001</c:v>
                </c:pt>
                <c:pt idx="132">
                  <c:v>400.04</c:v>
                </c:pt>
                <c:pt idx="133">
                  <c:v>400.04665599999998</c:v>
                </c:pt>
                <c:pt idx="134">
                  <c:v>400.054756</c:v>
                </c:pt>
                <c:pt idx="135">
                  <c:v>400.0625</c:v>
                </c:pt>
                <c:pt idx="136">
                  <c:v>400.07075600000002</c:v>
                </c:pt>
                <c:pt idx="137">
                  <c:v>400.08065599999998</c:v>
                </c:pt>
                <c:pt idx="138">
                  <c:v>400.09</c:v>
                </c:pt>
                <c:pt idx="139">
                  <c:v>400.09985599999999</c:v>
                </c:pt>
                <c:pt idx="140">
                  <c:v>400.11155600000001</c:v>
                </c:pt>
                <c:pt idx="141">
                  <c:v>400.1225</c:v>
                </c:pt>
                <c:pt idx="142">
                  <c:v>400.13395600000001</c:v>
                </c:pt>
                <c:pt idx="143">
                  <c:v>400.14745599999998</c:v>
                </c:pt>
                <c:pt idx="144">
                  <c:v>400.16</c:v>
                </c:pt>
                <c:pt idx="145">
                  <c:v>400.17305599999997</c:v>
                </c:pt>
                <c:pt idx="146">
                  <c:v>400.188356</c:v>
                </c:pt>
                <c:pt idx="147">
                  <c:v>400.20249999999999</c:v>
                </c:pt>
                <c:pt idx="148">
                  <c:v>400.21715599999999</c:v>
                </c:pt>
                <c:pt idx="149">
                  <c:v>400.23425600000002</c:v>
                </c:pt>
                <c:pt idx="150">
                  <c:v>400.25</c:v>
                </c:pt>
                <c:pt idx="151">
                  <c:v>400.266256</c:v>
                </c:pt>
                <c:pt idx="152">
                  <c:v>400.28515599999997</c:v>
                </c:pt>
                <c:pt idx="153">
                  <c:v>400.30250000000001</c:v>
                </c:pt>
                <c:pt idx="154">
                  <c:v>400.320356</c:v>
                </c:pt>
                <c:pt idx="155">
                  <c:v>400.34105599999998</c:v>
                </c:pt>
                <c:pt idx="156">
                  <c:v>400.36</c:v>
                </c:pt>
                <c:pt idx="157">
                  <c:v>400.379456</c:v>
                </c:pt>
                <c:pt idx="158">
                  <c:v>400.40195599999998</c:v>
                </c:pt>
                <c:pt idx="159">
                  <c:v>400.42250000000001</c:v>
                </c:pt>
                <c:pt idx="160">
                  <c:v>400.443556</c:v>
                </c:pt>
                <c:pt idx="161">
                  <c:v>400.46785599999998</c:v>
                </c:pt>
                <c:pt idx="162">
                  <c:v>400.49</c:v>
                </c:pt>
                <c:pt idx="163">
                  <c:v>400.51265599999999</c:v>
                </c:pt>
                <c:pt idx="164">
                  <c:v>400.53875599999998</c:v>
                </c:pt>
                <c:pt idx="165">
                  <c:v>400.5625</c:v>
                </c:pt>
                <c:pt idx="166">
                  <c:v>400.58675599999998</c:v>
                </c:pt>
                <c:pt idx="167">
                  <c:v>400.61465600000002</c:v>
                </c:pt>
                <c:pt idx="168">
                  <c:v>400.64</c:v>
                </c:pt>
                <c:pt idx="169">
                  <c:v>400.66585600000002</c:v>
                </c:pt>
                <c:pt idx="170">
                  <c:v>400.69555600000001</c:v>
                </c:pt>
                <c:pt idx="171">
                  <c:v>400.72250000000003</c:v>
                </c:pt>
                <c:pt idx="172">
                  <c:v>400.749956</c:v>
                </c:pt>
                <c:pt idx="173">
                  <c:v>400.78145599999999</c:v>
                </c:pt>
                <c:pt idx="174">
                  <c:v>400.81</c:v>
                </c:pt>
                <c:pt idx="175">
                  <c:v>400.83905600000003</c:v>
                </c:pt>
                <c:pt idx="176">
                  <c:v>400.87235600000002</c:v>
                </c:pt>
                <c:pt idx="177">
                  <c:v>400.90249999999997</c:v>
                </c:pt>
                <c:pt idx="178">
                  <c:v>400.933156</c:v>
                </c:pt>
                <c:pt idx="179">
                  <c:v>400.968256</c:v>
                </c:pt>
                <c:pt idx="180">
                  <c:v>401</c:v>
                </c:pt>
                <c:pt idx="181">
                  <c:v>401.03225600000002</c:v>
                </c:pt>
                <c:pt idx="182">
                  <c:v>401.06915600000002</c:v>
                </c:pt>
                <c:pt idx="183">
                  <c:v>401.10250000000002</c:v>
                </c:pt>
                <c:pt idx="184">
                  <c:v>401.13635599999998</c:v>
                </c:pt>
                <c:pt idx="185">
                  <c:v>401.17505599999998</c:v>
                </c:pt>
                <c:pt idx="186">
                  <c:v>401.21</c:v>
                </c:pt>
                <c:pt idx="187">
                  <c:v>401.24545599999999</c:v>
                </c:pt>
                <c:pt idx="188">
                  <c:v>401.285956</c:v>
                </c:pt>
                <c:pt idx="189">
                  <c:v>401.32249999999999</c:v>
                </c:pt>
                <c:pt idx="190">
                  <c:v>401.359556</c:v>
                </c:pt>
                <c:pt idx="191">
                  <c:v>401.40185600000001</c:v>
                </c:pt>
                <c:pt idx="192">
                  <c:v>401.44</c:v>
                </c:pt>
                <c:pt idx="193">
                  <c:v>401.478656</c:v>
                </c:pt>
                <c:pt idx="194">
                  <c:v>401.52275600000002</c:v>
                </c:pt>
                <c:pt idx="195">
                  <c:v>401.5625</c:v>
                </c:pt>
                <c:pt idx="196">
                  <c:v>401.602756</c:v>
                </c:pt>
                <c:pt idx="197">
                  <c:v>401.64865600000002</c:v>
                </c:pt>
                <c:pt idx="198">
                  <c:v>401.69</c:v>
                </c:pt>
                <c:pt idx="199">
                  <c:v>401.73185599999999</c:v>
                </c:pt>
                <c:pt idx="200">
                  <c:v>401.77955600000001</c:v>
                </c:pt>
                <c:pt idx="201">
                  <c:v>401.82249999999999</c:v>
                </c:pt>
                <c:pt idx="202">
                  <c:v>401.86595599999998</c:v>
                </c:pt>
                <c:pt idx="203">
                  <c:v>401.91545600000001</c:v>
                </c:pt>
                <c:pt idx="204">
                  <c:v>401.96</c:v>
                </c:pt>
                <c:pt idx="205">
                  <c:v>402.00505600000002</c:v>
                </c:pt>
                <c:pt idx="206">
                  <c:v>402.05635599999999</c:v>
                </c:pt>
                <c:pt idx="207">
                  <c:v>402.10250000000002</c:v>
                </c:pt>
                <c:pt idx="208">
                  <c:v>402.149156</c:v>
                </c:pt>
                <c:pt idx="209">
                  <c:v>402.20225599999998</c:v>
                </c:pt>
                <c:pt idx="210">
                  <c:v>402.25</c:v>
                </c:pt>
                <c:pt idx="211">
                  <c:v>402.29825599999998</c:v>
                </c:pt>
                <c:pt idx="212">
                  <c:v>402.35315600000001</c:v>
                </c:pt>
                <c:pt idx="213">
                  <c:v>402.40249999999997</c:v>
                </c:pt>
                <c:pt idx="214">
                  <c:v>402.45235600000001</c:v>
                </c:pt>
                <c:pt idx="215">
                  <c:v>402.50905599999999</c:v>
                </c:pt>
                <c:pt idx="216">
                  <c:v>402.56</c:v>
                </c:pt>
                <c:pt idx="217">
                  <c:v>402.61145599999998</c:v>
                </c:pt>
                <c:pt idx="218">
                  <c:v>402.66995600000001</c:v>
                </c:pt>
                <c:pt idx="219">
                  <c:v>402.72250000000003</c:v>
                </c:pt>
                <c:pt idx="220">
                  <c:v>402.77555599999999</c:v>
                </c:pt>
                <c:pt idx="221">
                  <c:v>402.83585599999998</c:v>
                </c:pt>
                <c:pt idx="222">
                  <c:v>402.89</c:v>
                </c:pt>
                <c:pt idx="223">
                  <c:v>402.94465600000001</c:v>
                </c:pt>
                <c:pt idx="224">
                  <c:v>403.006756</c:v>
                </c:pt>
                <c:pt idx="225">
                  <c:v>403.0625</c:v>
                </c:pt>
                <c:pt idx="226">
                  <c:v>403.11875600000002</c:v>
                </c:pt>
                <c:pt idx="227">
                  <c:v>403.18265600000001</c:v>
                </c:pt>
                <c:pt idx="228">
                  <c:v>403.24</c:v>
                </c:pt>
                <c:pt idx="229">
                  <c:v>403.29785600000002</c:v>
                </c:pt>
                <c:pt idx="230">
                  <c:v>403.36355600000002</c:v>
                </c:pt>
                <c:pt idx="231">
                  <c:v>403.42250000000001</c:v>
                </c:pt>
                <c:pt idx="232">
                  <c:v>403.48195600000003</c:v>
                </c:pt>
                <c:pt idx="233">
                  <c:v>403.54945600000002</c:v>
                </c:pt>
                <c:pt idx="234">
                  <c:v>403.61</c:v>
                </c:pt>
                <c:pt idx="235">
                  <c:v>403.67105600000002</c:v>
                </c:pt>
                <c:pt idx="236">
                  <c:v>403.74035600000002</c:v>
                </c:pt>
                <c:pt idx="237">
                  <c:v>403.80250000000001</c:v>
                </c:pt>
                <c:pt idx="238">
                  <c:v>403.86515600000001</c:v>
                </c:pt>
                <c:pt idx="239">
                  <c:v>403.93625600000001</c:v>
                </c:pt>
                <c:pt idx="240">
                  <c:v>404</c:v>
                </c:pt>
              </c:numCache>
            </c:numRef>
          </c:val>
          <c:smooth val="0"/>
          <c:extLst>
            <c:ext xmlns:c16="http://schemas.microsoft.com/office/drawing/2014/chart" uri="{C3380CC4-5D6E-409C-BE32-E72D297353CC}">
              <c16:uniqueId val="{00000000-96FF-4BCA-8995-F3C3E10337BD}"/>
            </c:ext>
          </c:extLst>
        </c:ser>
        <c:ser>
          <c:idx val="1"/>
          <c:order val="1"/>
          <c:tx>
            <c:v>Paper low-altitude 800-km pass altitude (km)</c:v>
          </c:tx>
          <c:spPr>
            <a:ln w="9000"/>
          </c:spPr>
          <c:cat>
            <c:numRef>
              <c:f>Scenario_Data!$A$2:$A$242</c:f>
              <c:numCache>
                <c:formatCode>0.000</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cat>
          <c:val>
            <c:numRef>
              <c:f>Scenario_Data!$C$2:$C$242</c:f>
              <c:numCache>
                <c:formatCode>0.000</c:formatCode>
                <c:ptCount val="241"/>
                <c:pt idx="0">
                  <c:v>400</c:v>
                </c:pt>
                <c:pt idx="1">
                  <c:v>394.18335999999999</c:v>
                </c:pt>
                <c:pt idx="2">
                  <c:v>387.69548499999996</c:v>
                </c:pt>
                <c:pt idx="3">
                  <c:v>381.97812499999998</c:v>
                </c:pt>
                <c:pt idx="4">
                  <c:v>376.30748500000004</c:v>
                </c:pt>
                <c:pt idx="5">
                  <c:v>369.98385999999999</c:v>
                </c:pt>
                <c:pt idx="6">
                  <c:v>364.41249999999997</c:v>
                </c:pt>
                <c:pt idx="7">
                  <c:v>358.88785999999988</c:v>
                </c:pt>
                <c:pt idx="8">
                  <c:v>352.72848500000009</c:v>
                </c:pt>
                <c:pt idx="9">
                  <c:v>347.30312500000002</c:v>
                </c:pt>
                <c:pt idx="10">
                  <c:v>341.92448500000006</c:v>
                </c:pt>
                <c:pt idx="11">
                  <c:v>335.92935999999997</c:v>
                </c:pt>
                <c:pt idx="12">
                  <c:v>330.65000000000003</c:v>
                </c:pt>
                <c:pt idx="13">
                  <c:v>325.41736000000003</c:v>
                </c:pt>
                <c:pt idx="14">
                  <c:v>319.58648499999998</c:v>
                </c:pt>
                <c:pt idx="15">
                  <c:v>314.453125</c:v>
                </c:pt>
                <c:pt idx="16">
                  <c:v>309.36648499999995</c:v>
                </c:pt>
                <c:pt idx="17">
                  <c:v>303.69986</c:v>
                </c:pt>
                <c:pt idx="18">
                  <c:v>298.71249999999998</c:v>
                </c:pt>
                <c:pt idx="19">
                  <c:v>293.77186000000006</c:v>
                </c:pt>
                <c:pt idx="20">
                  <c:v>288.26948500000003</c:v>
                </c:pt>
                <c:pt idx="21">
                  <c:v>283.42812499999997</c:v>
                </c:pt>
                <c:pt idx="22">
                  <c:v>278.63348499999995</c:v>
                </c:pt>
                <c:pt idx="23">
                  <c:v>273.29536000000007</c:v>
                </c:pt>
                <c:pt idx="24">
                  <c:v>268.60000000000002</c:v>
                </c:pt>
                <c:pt idx="25">
                  <c:v>263.95136000000002</c:v>
                </c:pt>
                <c:pt idx="26">
                  <c:v>258.77748500000007</c:v>
                </c:pt>
                <c:pt idx="27">
                  <c:v>254.22812500000003</c:v>
                </c:pt>
                <c:pt idx="28">
                  <c:v>249.72548500000002</c:v>
                </c:pt>
                <c:pt idx="29">
                  <c:v>244.71585999999999</c:v>
                </c:pt>
                <c:pt idx="30">
                  <c:v>240.3125</c:v>
                </c:pt>
                <c:pt idx="31">
                  <c:v>235.95585999999997</c:v>
                </c:pt>
                <c:pt idx="32">
                  <c:v>231.11048500000001</c:v>
                </c:pt>
                <c:pt idx="33">
                  <c:v>226.85312500000001</c:v>
                </c:pt>
                <c:pt idx="34">
                  <c:v>222.64248499999994</c:v>
                </c:pt>
                <c:pt idx="35">
                  <c:v>217.96135999999998</c:v>
                </c:pt>
                <c:pt idx="36">
                  <c:v>213.84999999999997</c:v>
                </c:pt>
                <c:pt idx="37">
                  <c:v>209.78535999999991</c:v>
                </c:pt>
                <c:pt idx="38">
                  <c:v>205.26848500000008</c:v>
                </c:pt>
                <c:pt idx="39">
                  <c:v>201.30312500000002</c:v>
                </c:pt>
                <c:pt idx="40">
                  <c:v>197.38448500000001</c:v>
                </c:pt>
                <c:pt idx="41">
                  <c:v>193.03186000000008</c:v>
                </c:pt>
                <c:pt idx="42">
                  <c:v>189.21250000000001</c:v>
                </c:pt>
                <c:pt idx="43">
                  <c:v>185.43986000000001</c:v>
                </c:pt>
                <c:pt idx="44">
                  <c:v>181.251485</c:v>
                </c:pt>
                <c:pt idx="45">
                  <c:v>177.578125</c:v>
                </c:pt>
                <c:pt idx="46">
                  <c:v>173.95148499999999</c:v>
                </c:pt>
                <c:pt idx="47">
                  <c:v>169.92735999999999</c:v>
                </c:pt>
                <c:pt idx="48">
                  <c:v>166.4</c:v>
                </c:pt>
                <c:pt idx="49">
                  <c:v>162.91935999999998</c:v>
                </c:pt>
                <c:pt idx="50">
                  <c:v>159.059485</c:v>
                </c:pt>
                <c:pt idx="51">
                  <c:v>155.67812499999997</c:v>
                </c:pt>
                <c:pt idx="52">
                  <c:v>152.34348499999999</c:v>
                </c:pt>
                <c:pt idx="53">
                  <c:v>148.64786000000004</c:v>
                </c:pt>
                <c:pt idx="54">
                  <c:v>145.41250000000002</c:v>
                </c:pt>
                <c:pt idx="55">
                  <c:v>142.22386</c:v>
                </c:pt>
                <c:pt idx="56">
                  <c:v>138.69248500000003</c:v>
                </c:pt>
                <c:pt idx="57">
                  <c:v>135.60312500000001</c:v>
                </c:pt>
                <c:pt idx="58">
                  <c:v>132.560485</c:v>
                </c:pt>
                <c:pt idx="59">
                  <c:v>129.19336000000001</c:v>
                </c:pt>
                <c:pt idx="60">
                  <c:v>126.25</c:v>
                </c:pt>
                <c:pt idx="61">
                  <c:v>123.35336000000002</c:v>
                </c:pt>
                <c:pt idx="62">
                  <c:v>120.150485</c:v>
                </c:pt>
                <c:pt idx="63">
                  <c:v>117.35312499999999</c:v>
                </c:pt>
                <c:pt idx="64">
                  <c:v>114.60248500000003</c:v>
                </c:pt>
                <c:pt idx="65">
                  <c:v>111.56385999999999</c:v>
                </c:pt>
                <c:pt idx="66">
                  <c:v>108.91249999999998</c:v>
                </c:pt>
                <c:pt idx="67">
                  <c:v>106.30785999999998</c:v>
                </c:pt>
                <c:pt idx="68">
                  <c:v>103.43348500000002</c:v>
                </c:pt>
                <c:pt idx="69">
                  <c:v>100.92812500000001</c:v>
                </c:pt>
                <c:pt idx="70">
                  <c:v>98.46948500000002</c:v>
                </c:pt>
                <c:pt idx="71">
                  <c:v>95.759359999999987</c:v>
                </c:pt>
                <c:pt idx="72">
                  <c:v>93.4</c:v>
                </c:pt>
                <c:pt idx="73">
                  <c:v>91.087360000000018</c:v>
                </c:pt>
                <c:pt idx="74">
                  <c:v>88.541484999999994</c:v>
                </c:pt>
                <c:pt idx="75">
                  <c:v>86.328125</c:v>
                </c:pt>
                <c:pt idx="76">
                  <c:v>84.161485000000013</c:v>
                </c:pt>
                <c:pt idx="77">
                  <c:v>81.779859999999999</c:v>
                </c:pt>
                <c:pt idx="78">
                  <c:v>79.712499999999991</c:v>
                </c:pt>
                <c:pt idx="79">
                  <c:v>77.691860000000005</c:v>
                </c:pt>
                <c:pt idx="80">
                  <c:v>75.474484999999987</c:v>
                </c:pt>
                <c:pt idx="81">
                  <c:v>73.553124999999994</c:v>
                </c:pt>
                <c:pt idx="82">
                  <c:v>71.678484999999966</c:v>
                </c:pt>
                <c:pt idx="83">
                  <c:v>69.625360000000029</c:v>
                </c:pt>
                <c:pt idx="84">
                  <c:v>67.849999999999994</c:v>
                </c:pt>
                <c:pt idx="85">
                  <c:v>66.12136000000001</c:v>
                </c:pt>
                <c:pt idx="86">
                  <c:v>64.232484999999997</c:v>
                </c:pt>
                <c:pt idx="87">
                  <c:v>62.603125000000006</c:v>
                </c:pt>
                <c:pt idx="88">
                  <c:v>61.020485000000001</c:v>
                </c:pt>
                <c:pt idx="89">
                  <c:v>59.29585999999999</c:v>
                </c:pt>
                <c:pt idx="90">
                  <c:v>57.8125</c:v>
                </c:pt>
                <c:pt idx="91">
                  <c:v>56.375860000000003</c:v>
                </c:pt>
                <c:pt idx="92">
                  <c:v>54.815484999999995</c:v>
                </c:pt>
                <c:pt idx="93">
                  <c:v>53.478125000000006</c:v>
                </c:pt>
                <c:pt idx="94">
                  <c:v>52.187485000000009</c:v>
                </c:pt>
                <c:pt idx="95">
                  <c:v>50.791359999999997</c:v>
                </c:pt>
                <c:pt idx="96">
                  <c:v>49.6</c:v>
                </c:pt>
                <c:pt idx="97">
                  <c:v>48.455359999999985</c:v>
                </c:pt>
                <c:pt idx="98">
                  <c:v>47.223485000000011</c:v>
                </c:pt>
                <c:pt idx="99">
                  <c:v>46.178124999999994</c:v>
                </c:pt>
                <c:pt idx="100">
                  <c:v>45.179485</c:v>
                </c:pt>
                <c:pt idx="101">
                  <c:v>44.11186</c:v>
                </c:pt>
                <c:pt idx="102">
                  <c:v>43.212499999999999</c:v>
                </c:pt>
                <c:pt idx="103">
                  <c:v>42.359860000000005</c:v>
                </c:pt>
                <c:pt idx="104">
                  <c:v>41.456485000000001</c:v>
                </c:pt>
                <c:pt idx="105">
                  <c:v>40.703125</c:v>
                </c:pt>
                <c:pt idx="106">
                  <c:v>39.996485000000007</c:v>
                </c:pt>
                <c:pt idx="107">
                  <c:v>39.257359999999998</c:v>
                </c:pt>
                <c:pt idx="108">
                  <c:v>38.65</c:v>
                </c:pt>
                <c:pt idx="109">
                  <c:v>38.089359999999999</c:v>
                </c:pt>
                <c:pt idx="110">
                  <c:v>37.514485000000001</c:v>
                </c:pt>
                <c:pt idx="111">
                  <c:v>37.053125000000001</c:v>
                </c:pt>
                <c:pt idx="112">
                  <c:v>36.638484999999996</c:v>
                </c:pt>
                <c:pt idx="113">
                  <c:v>36.227860000000007</c:v>
                </c:pt>
                <c:pt idx="114">
                  <c:v>35.912500000000001</c:v>
                </c:pt>
                <c:pt idx="115">
                  <c:v>35.643860000000004</c:v>
                </c:pt>
                <c:pt idx="116">
                  <c:v>35.397484999999996</c:v>
                </c:pt>
                <c:pt idx="117">
                  <c:v>35.228124999999999</c:v>
                </c:pt>
                <c:pt idx="118">
                  <c:v>35.105485000000002</c:v>
                </c:pt>
                <c:pt idx="119">
                  <c:v>35.023359999999997</c:v>
                </c:pt>
                <c:pt idx="120">
                  <c:v>35</c:v>
                </c:pt>
                <c:pt idx="121">
                  <c:v>35.023359999999997</c:v>
                </c:pt>
                <c:pt idx="122">
                  <c:v>35.105485000000002</c:v>
                </c:pt>
                <c:pt idx="123">
                  <c:v>35.228124999999999</c:v>
                </c:pt>
                <c:pt idx="124">
                  <c:v>35.397484999999996</c:v>
                </c:pt>
                <c:pt idx="125">
                  <c:v>35.643860000000004</c:v>
                </c:pt>
                <c:pt idx="126">
                  <c:v>35.912500000000001</c:v>
                </c:pt>
                <c:pt idx="127">
                  <c:v>36.227860000000007</c:v>
                </c:pt>
                <c:pt idx="128">
                  <c:v>36.638484999999996</c:v>
                </c:pt>
                <c:pt idx="129">
                  <c:v>37.053125000000001</c:v>
                </c:pt>
                <c:pt idx="130">
                  <c:v>37.514485000000001</c:v>
                </c:pt>
                <c:pt idx="131">
                  <c:v>38.089359999999999</c:v>
                </c:pt>
                <c:pt idx="132">
                  <c:v>38.650000000000013</c:v>
                </c:pt>
                <c:pt idx="133">
                  <c:v>39.257360000000006</c:v>
                </c:pt>
                <c:pt idx="134">
                  <c:v>39.996485000000007</c:v>
                </c:pt>
                <c:pt idx="135">
                  <c:v>40.703125</c:v>
                </c:pt>
                <c:pt idx="136">
                  <c:v>41.456485000000001</c:v>
                </c:pt>
                <c:pt idx="137">
                  <c:v>42.359859999999983</c:v>
                </c:pt>
                <c:pt idx="138">
                  <c:v>43.212499999999984</c:v>
                </c:pt>
                <c:pt idx="139">
                  <c:v>44.11186</c:v>
                </c:pt>
                <c:pt idx="140">
                  <c:v>45.179485</c:v>
                </c:pt>
                <c:pt idx="141">
                  <c:v>46.178124999999994</c:v>
                </c:pt>
                <c:pt idx="142">
                  <c:v>47.223485000000011</c:v>
                </c:pt>
                <c:pt idx="143">
                  <c:v>48.455359999999985</c:v>
                </c:pt>
                <c:pt idx="144">
                  <c:v>49.6</c:v>
                </c:pt>
                <c:pt idx="145">
                  <c:v>50.791359999999997</c:v>
                </c:pt>
                <c:pt idx="146">
                  <c:v>52.187485000000009</c:v>
                </c:pt>
                <c:pt idx="147">
                  <c:v>53.47812500000002</c:v>
                </c:pt>
                <c:pt idx="148">
                  <c:v>54.815485000000024</c:v>
                </c:pt>
                <c:pt idx="149">
                  <c:v>56.375860000000003</c:v>
                </c:pt>
                <c:pt idx="150">
                  <c:v>57.8125</c:v>
                </c:pt>
                <c:pt idx="151">
                  <c:v>59.29585999999999</c:v>
                </c:pt>
                <c:pt idx="152">
                  <c:v>61.020484999999979</c:v>
                </c:pt>
                <c:pt idx="153">
                  <c:v>62.60312499999997</c:v>
                </c:pt>
                <c:pt idx="154">
                  <c:v>64.232484999999969</c:v>
                </c:pt>
                <c:pt idx="155">
                  <c:v>66.121360000000038</c:v>
                </c:pt>
                <c:pt idx="156">
                  <c:v>67.849999999999994</c:v>
                </c:pt>
                <c:pt idx="157">
                  <c:v>69.625360000000029</c:v>
                </c:pt>
                <c:pt idx="158">
                  <c:v>71.678484999999966</c:v>
                </c:pt>
                <c:pt idx="159">
                  <c:v>73.553124999999994</c:v>
                </c:pt>
                <c:pt idx="160">
                  <c:v>75.474484999999959</c:v>
                </c:pt>
                <c:pt idx="161">
                  <c:v>77.691860000000048</c:v>
                </c:pt>
                <c:pt idx="162">
                  <c:v>79.712499999999991</c:v>
                </c:pt>
                <c:pt idx="163">
                  <c:v>81.779860000000014</c:v>
                </c:pt>
                <c:pt idx="164">
                  <c:v>84.161484999999971</c:v>
                </c:pt>
                <c:pt idx="165">
                  <c:v>86.328125</c:v>
                </c:pt>
                <c:pt idx="166">
                  <c:v>88.541485000000037</c:v>
                </c:pt>
                <c:pt idx="167">
                  <c:v>91.087359999999961</c:v>
                </c:pt>
                <c:pt idx="168">
                  <c:v>93.4</c:v>
                </c:pt>
                <c:pt idx="169">
                  <c:v>95.75935999999993</c:v>
                </c:pt>
                <c:pt idx="170">
                  <c:v>98.469485000000049</c:v>
                </c:pt>
                <c:pt idx="171">
                  <c:v>100.92812499999999</c:v>
                </c:pt>
                <c:pt idx="172">
                  <c:v>103.43348500000003</c:v>
                </c:pt>
                <c:pt idx="173">
                  <c:v>106.30785999999996</c:v>
                </c:pt>
                <c:pt idx="174">
                  <c:v>108.91250000000001</c:v>
                </c:pt>
                <c:pt idx="175">
                  <c:v>111.56385999999995</c:v>
                </c:pt>
                <c:pt idx="176">
                  <c:v>114.60248500000006</c:v>
                </c:pt>
                <c:pt idx="177">
                  <c:v>117.35312499999999</c:v>
                </c:pt>
                <c:pt idx="178">
                  <c:v>120.15048500000003</c:v>
                </c:pt>
                <c:pt idx="179">
                  <c:v>123.35335999999997</c:v>
                </c:pt>
                <c:pt idx="180">
                  <c:v>126.25</c:v>
                </c:pt>
                <c:pt idx="181">
                  <c:v>129.19336000000004</c:v>
                </c:pt>
                <c:pt idx="182">
                  <c:v>132.56048499999997</c:v>
                </c:pt>
                <c:pt idx="183">
                  <c:v>135.60312500000001</c:v>
                </c:pt>
                <c:pt idx="184">
                  <c:v>138.69248499999992</c:v>
                </c:pt>
                <c:pt idx="185">
                  <c:v>142.22386000000006</c:v>
                </c:pt>
                <c:pt idx="186">
                  <c:v>145.41250000000002</c:v>
                </c:pt>
                <c:pt idx="187">
                  <c:v>148.64786000000007</c:v>
                </c:pt>
                <c:pt idx="188">
                  <c:v>152.34348499999993</c:v>
                </c:pt>
                <c:pt idx="189">
                  <c:v>155.67812499999997</c:v>
                </c:pt>
                <c:pt idx="190">
                  <c:v>159.05948499999994</c:v>
                </c:pt>
                <c:pt idx="191">
                  <c:v>162.9193600000001</c:v>
                </c:pt>
                <c:pt idx="192">
                  <c:v>166.4</c:v>
                </c:pt>
                <c:pt idx="193">
                  <c:v>169.92736000000005</c:v>
                </c:pt>
                <c:pt idx="194">
                  <c:v>173.95148499999993</c:v>
                </c:pt>
                <c:pt idx="195">
                  <c:v>177.578125</c:v>
                </c:pt>
                <c:pt idx="196">
                  <c:v>181.25148500000006</c:v>
                </c:pt>
                <c:pt idx="197">
                  <c:v>185.43985999999995</c:v>
                </c:pt>
                <c:pt idx="198">
                  <c:v>189.21250000000001</c:v>
                </c:pt>
                <c:pt idx="199">
                  <c:v>193.03185999999991</c:v>
                </c:pt>
                <c:pt idx="200">
                  <c:v>197.38448500000007</c:v>
                </c:pt>
                <c:pt idx="201">
                  <c:v>201.30312500000002</c:v>
                </c:pt>
                <c:pt idx="202">
                  <c:v>205.26848500000008</c:v>
                </c:pt>
                <c:pt idx="203">
                  <c:v>209.78535999999991</c:v>
                </c:pt>
                <c:pt idx="204">
                  <c:v>213.84999999999997</c:v>
                </c:pt>
                <c:pt idx="205">
                  <c:v>217.96135999999993</c:v>
                </c:pt>
                <c:pt idx="206">
                  <c:v>222.64248500000008</c:v>
                </c:pt>
                <c:pt idx="207">
                  <c:v>226.85312500000001</c:v>
                </c:pt>
                <c:pt idx="208">
                  <c:v>231.11048500000004</c:v>
                </c:pt>
                <c:pt idx="209">
                  <c:v>235.95585999999994</c:v>
                </c:pt>
                <c:pt idx="210">
                  <c:v>240.3125</c:v>
                </c:pt>
                <c:pt idx="211">
                  <c:v>244.71586000000008</c:v>
                </c:pt>
                <c:pt idx="212">
                  <c:v>249.72548499999994</c:v>
                </c:pt>
                <c:pt idx="213">
                  <c:v>254.22812500000003</c:v>
                </c:pt>
                <c:pt idx="214">
                  <c:v>258.77748499999984</c:v>
                </c:pt>
                <c:pt idx="215">
                  <c:v>263.95136000000014</c:v>
                </c:pt>
                <c:pt idx="216">
                  <c:v>268.60000000000002</c:v>
                </c:pt>
                <c:pt idx="217">
                  <c:v>273.29536000000007</c:v>
                </c:pt>
                <c:pt idx="218">
                  <c:v>278.63348499999995</c:v>
                </c:pt>
                <c:pt idx="219">
                  <c:v>283.42812499999997</c:v>
                </c:pt>
                <c:pt idx="220">
                  <c:v>288.26948499999992</c:v>
                </c:pt>
                <c:pt idx="221">
                  <c:v>293.77186000000012</c:v>
                </c:pt>
                <c:pt idx="222">
                  <c:v>298.71249999999998</c:v>
                </c:pt>
                <c:pt idx="223">
                  <c:v>303.69986000000006</c:v>
                </c:pt>
                <c:pt idx="224">
                  <c:v>309.36648499999995</c:v>
                </c:pt>
                <c:pt idx="225">
                  <c:v>314.453125</c:v>
                </c:pt>
                <c:pt idx="226">
                  <c:v>319.5864850000001</c:v>
                </c:pt>
                <c:pt idx="227">
                  <c:v>325.41735999999992</c:v>
                </c:pt>
                <c:pt idx="228">
                  <c:v>330.65000000000003</c:v>
                </c:pt>
                <c:pt idx="229">
                  <c:v>335.92935999999986</c:v>
                </c:pt>
                <c:pt idx="230">
                  <c:v>341.92448500000006</c:v>
                </c:pt>
                <c:pt idx="231">
                  <c:v>347.30312500000002</c:v>
                </c:pt>
                <c:pt idx="232">
                  <c:v>352.72848500000009</c:v>
                </c:pt>
                <c:pt idx="233">
                  <c:v>358.88785999999988</c:v>
                </c:pt>
                <c:pt idx="234">
                  <c:v>364.41249999999997</c:v>
                </c:pt>
                <c:pt idx="235">
                  <c:v>369.98385999999988</c:v>
                </c:pt>
                <c:pt idx="236">
                  <c:v>376.30748500000016</c:v>
                </c:pt>
                <c:pt idx="237">
                  <c:v>381.97812499999998</c:v>
                </c:pt>
                <c:pt idx="238">
                  <c:v>387.69548500000008</c:v>
                </c:pt>
                <c:pt idx="239">
                  <c:v>394.18335999999988</c:v>
                </c:pt>
                <c:pt idx="240">
                  <c:v>400</c:v>
                </c:pt>
              </c:numCache>
            </c:numRef>
          </c:val>
          <c:smooth val="0"/>
          <c:extLst>
            <c:ext xmlns:c16="http://schemas.microsoft.com/office/drawing/2014/chart" uri="{C3380CC4-5D6E-409C-BE32-E72D297353CC}">
              <c16:uniqueId val="{00000001-96FF-4BCA-8995-F3C3E10337BD}"/>
            </c:ext>
          </c:extLst>
        </c:ser>
        <c:ser>
          <c:idx val="2"/>
          <c:order val="2"/>
          <c:tx>
            <c:v>Paper ice-ocean 1600-km pass altitude (km)</c:v>
          </c:tx>
          <c:spPr>
            <a:ln w="9000"/>
          </c:spPr>
          <c:cat>
            <c:numRef>
              <c:f>Scenario_Data!$A$2:$A$242</c:f>
              <c:numCache>
                <c:formatCode>0.000</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cat>
          <c:val>
            <c:numRef>
              <c:f>Scenario_Data!$D$2:$D$242</c:f>
              <c:numCache>
                <c:formatCode>0.000</c:formatCode>
                <c:ptCount val="241"/>
                <c:pt idx="0">
                  <c:v>1000</c:v>
                </c:pt>
                <c:pt idx="1">
                  <c:v>984.62175999999999</c:v>
                </c:pt>
                <c:pt idx="2">
                  <c:v>967.468885</c:v>
                </c:pt>
                <c:pt idx="3">
                  <c:v>952.35312499999998</c:v>
                </c:pt>
                <c:pt idx="4">
                  <c:v>937.36088500000017</c:v>
                </c:pt>
                <c:pt idx="5">
                  <c:v>920.64225999999996</c:v>
                </c:pt>
                <c:pt idx="6">
                  <c:v>905.91250000000002</c:v>
                </c:pt>
                <c:pt idx="7">
                  <c:v>891.30625999999972</c:v>
                </c:pt>
                <c:pt idx="8">
                  <c:v>875.02188500000022</c:v>
                </c:pt>
                <c:pt idx="9">
                  <c:v>860.67812500000002</c:v>
                </c:pt>
                <c:pt idx="10">
                  <c:v>846.45788500000015</c:v>
                </c:pt>
                <c:pt idx="11">
                  <c:v>830.60775999999987</c:v>
                </c:pt>
                <c:pt idx="12">
                  <c:v>816.65000000000009</c:v>
                </c:pt>
                <c:pt idx="13">
                  <c:v>802.81576000000007</c:v>
                </c:pt>
                <c:pt idx="14">
                  <c:v>787.39988499999993</c:v>
                </c:pt>
                <c:pt idx="15">
                  <c:v>773.828125</c:v>
                </c:pt>
                <c:pt idx="16">
                  <c:v>760.37988499999994</c:v>
                </c:pt>
                <c:pt idx="17">
                  <c:v>745.39825999999994</c:v>
                </c:pt>
                <c:pt idx="18">
                  <c:v>732.21249999999998</c:v>
                </c:pt>
                <c:pt idx="19">
                  <c:v>719.15026000000012</c:v>
                </c:pt>
                <c:pt idx="20">
                  <c:v>704.60288500000001</c:v>
                </c:pt>
                <c:pt idx="21">
                  <c:v>691.80312499999991</c:v>
                </c:pt>
                <c:pt idx="22">
                  <c:v>679.12688499999979</c:v>
                </c:pt>
                <c:pt idx="23">
                  <c:v>665.01376000000016</c:v>
                </c:pt>
                <c:pt idx="24">
                  <c:v>652.60000000000014</c:v>
                </c:pt>
                <c:pt idx="25">
                  <c:v>640.3097600000001</c:v>
                </c:pt>
                <c:pt idx="26">
                  <c:v>626.63088500000026</c:v>
                </c:pt>
                <c:pt idx="27">
                  <c:v>614.60312500000009</c:v>
                </c:pt>
                <c:pt idx="28">
                  <c:v>602.69888500000002</c:v>
                </c:pt>
                <c:pt idx="29">
                  <c:v>589.45425999999998</c:v>
                </c:pt>
                <c:pt idx="30">
                  <c:v>577.8125</c:v>
                </c:pt>
                <c:pt idx="31">
                  <c:v>566.29425999999989</c:v>
                </c:pt>
                <c:pt idx="32">
                  <c:v>553.48388499999999</c:v>
                </c:pt>
                <c:pt idx="33">
                  <c:v>542.22812500000009</c:v>
                </c:pt>
                <c:pt idx="34">
                  <c:v>531.09588499999973</c:v>
                </c:pt>
                <c:pt idx="35">
                  <c:v>518.71975999999995</c:v>
                </c:pt>
                <c:pt idx="36">
                  <c:v>507.84999999999997</c:v>
                </c:pt>
                <c:pt idx="37">
                  <c:v>497.1037599999998</c:v>
                </c:pt>
                <c:pt idx="38">
                  <c:v>485.16188500000021</c:v>
                </c:pt>
                <c:pt idx="39">
                  <c:v>474.67812500000008</c:v>
                </c:pt>
                <c:pt idx="40">
                  <c:v>464.31788500000005</c:v>
                </c:pt>
                <c:pt idx="41">
                  <c:v>452.8102600000002</c:v>
                </c:pt>
                <c:pt idx="42">
                  <c:v>442.71250000000003</c:v>
                </c:pt>
                <c:pt idx="43">
                  <c:v>432.73826000000003</c:v>
                </c:pt>
                <c:pt idx="44">
                  <c:v>421.66488500000003</c:v>
                </c:pt>
                <c:pt idx="45">
                  <c:v>411.953125</c:v>
                </c:pt>
                <c:pt idx="46">
                  <c:v>402.36488500000002</c:v>
                </c:pt>
                <c:pt idx="47">
                  <c:v>391.72575999999998</c:v>
                </c:pt>
                <c:pt idx="48">
                  <c:v>382.4</c:v>
                </c:pt>
                <c:pt idx="49">
                  <c:v>373.19775999999996</c:v>
                </c:pt>
                <c:pt idx="50">
                  <c:v>362.99288499999994</c:v>
                </c:pt>
                <c:pt idx="51">
                  <c:v>354.05312499999997</c:v>
                </c:pt>
                <c:pt idx="52">
                  <c:v>345.23688499999997</c:v>
                </c:pt>
                <c:pt idx="53">
                  <c:v>335.46626000000009</c:v>
                </c:pt>
                <c:pt idx="54">
                  <c:v>326.91250000000002</c:v>
                </c:pt>
                <c:pt idx="55">
                  <c:v>318.48226</c:v>
                </c:pt>
                <c:pt idx="56">
                  <c:v>309.14588500000002</c:v>
                </c:pt>
                <c:pt idx="57">
                  <c:v>300.97812500000003</c:v>
                </c:pt>
                <c:pt idx="58">
                  <c:v>292.93388499999998</c:v>
                </c:pt>
                <c:pt idx="59">
                  <c:v>284.03176000000002</c:v>
                </c:pt>
                <c:pt idx="60">
                  <c:v>276.25</c:v>
                </c:pt>
                <c:pt idx="61">
                  <c:v>268.59176000000002</c:v>
                </c:pt>
                <c:pt idx="62">
                  <c:v>260.12388499999997</c:v>
                </c:pt>
                <c:pt idx="63">
                  <c:v>252.72812500000001</c:v>
                </c:pt>
                <c:pt idx="64">
                  <c:v>245.45588500000008</c:v>
                </c:pt>
                <c:pt idx="65">
                  <c:v>237.42225999999997</c:v>
                </c:pt>
                <c:pt idx="66">
                  <c:v>230.41249999999997</c:v>
                </c:pt>
                <c:pt idx="67">
                  <c:v>223.52625999999995</c:v>
                </c:pt>
                <c:pt idx="68">
                  <c:v>215.92688500000006</c:v>
                </c:pt>
                <c:pt idx="69">
                  <c:v>209.30312500000002</c:v>
                </c:pt>
                <c:pt idx="70">
                  <c:v>202.80288500000003</c:v>
                </c:pt>
                <c:pt idx="71">
                  <c:v>195.63775999999996</c:v>
                </c:pt>
                <c:pt idx="72">
                  <c:v>189.40000000000003</c:v>
                </c:pt>
                <c:pt idx="73">
                  <c:v>183.28576000000001</c:v>
                </c:pt>
                <c:pt idx="74">
                  <c:v>176.55488499999996</c:v>
                </c:pt>
                <c:pt idx="75">
                  <c:v>170.703125</c:v>
                </c:pt>
                <c:pt idx="76">
                  <c:v>164.97488500000003</c:v>
                </c:pt>
                <c:pt idx="77">
                  <c:v>158.67825999999999</c:v>
                </c:pt>
                <c:pt idx="78">
                  <c:v>153.21249999999998</c:v>
                </c:pt>
                <c:pt idx="79">
                  <c:v>147.87026000000003</c:v>
                </c:pt>
                <c:pt idx="80">
                  <c:v>142.00788499999999</c:v>
                </c:pt>
                <c:pt idx="81">
                  <c:v>136.92812500000002</c:v>
                </c:pt>
                <c:pt idx="82">
                  <c:v>131.97188499999993</c:v>
                </c:pt>
                <c:pt idx="83">
                  <c:v>126.54376000000006</c:v>
                </c:pt>
                <c:pt idx="84">
                  <c:v>121.85</c:v>
                </c:pt>
                <c:pt idx="85">
                  <c:v>117.27976000000002</c:v>
                </c:pt>
                <c:pt idx="86">
                  <c:v>112.28588499999998</c:v>
                </c:pt>
                <c:pt idx="87">
                  <c:v>107.97812500000001</c:v>
                </c:pt>
                <c:pt idx="88">
                  <c:v>103.793885</c:v>
                </c:pt>
                <c:pt idx="89">
                  <c:v>99.234259999999978</c:v>
                </c:pt>
                <c:pt idx="90">
                  <c:v>95.3125</c:v>
                </c:pt>
                <c:pt idx="91">
                  <c:v>91.514260000000007</c:v>
                </c:pt>
                <c:pt idx="92">
                  <c:v>87.388884999999988</c:v>
                </c:pt>
                <c:pt idx="93">
                  <c:v>83.853125000000006</c:v>
                </c:pt>
                <c:pt idx="94">
                  <c:v>80.440885000000009</c:v>
                </c:pt>
                <c:pt idx="95">
                  <c:v>76.749759999999981</c:v>
                </c:pt>
                <c:pt idx="96">
                  <c:v>73.600000000000009</c:v>
                </c:pt>
                <c:pt idx="97">
                  <c:v>70.573759999999965</c:v>
                </c:pt>
                <c:pt idx="98">
                  <c:v>67.316885000000042</c:v>
                </c:pt>
                <c:pt idx="99">
                  <c:v>64.553124999999994</c:v>
                </c:pt>
                <c:pt idx="100">
                  <c:v>61.91288500000001</c:v>
                </c:pt>
                <c:pt idx="101">
                  <c:v>59.090259999999994</c:v>
                </c:pt>
                <c:pt idx="102">
                  <c:v>56.712499999999999</c:v>
                </c:pt>
                <c:pt idx="103">
                  <c:v>54.45826000000001</c:v>
                </c:pt>
                <c:pt idx="104">
                  <c:v>52.069884999999992</c:v>
                </c:pt>
                <c:pt idx="105">
                  <c:v>50.078125</c:v>
                </c:pt>
                <c:pt idx="106">
                  <c:v>48.209885000000007</c:v>
                </c:pt>
                <c:pt idx="107">
                  <c:v>46.255759999999995</c:v>
                </c:pt>
                <c:pt idx="108">
                  <c:v>44.650000000000006</c:v>
                </c:pt>
                <c:pt idx="109">
                  <c:v>43.167760000000001</c:v>
                </c:pt>
                <c:pt idx="110">
                  <c:v>41.647884999999995</c:v>
                </c:pt>
                <c:pt idx="111">
                  <c:v>40.428125000000001</c:v>
                </c:pt>
                <c:pt idx="112">
                  <c:v>39.331884999999986</c:v>
                </c:pt>
                <c:pt idx="113">
                  <c:v>38.246260000000014</c:v>
                </c:pt>
                <c:pt idx="114">
                  <c:v>37.412500000000001</c:v>
                </c:pt>
                <c:pt idx="115">
                  <c:v>36.702260000000003</c:v>
                </c:pt>
                <c:pt idx="116">
                  <c:v>36.050885000000001</c:v>
                </c:pt>
                <c:pt idx="117">
                  <c:v>35.603124999999999</c:v>
                </c:pt>
                <c:pt idx="118">
                  <c:v>35.278885000000002</c:v>
                </c:pt>
                <c:pt idx="119">
                  <c:v>35.06176</c:v>
                </c:pt>
                <c:pt idx="120">
                  <c:v>35</c:v>
                </c:pt>
                <c:pt idx="121">
                  <c:v>35.06176</c:v>
                </c:pt>
                <c:pt idx="122">
                  <c:v>35.278884999999995</c:v>
                </c:pt>
                <c:pt idx="123">
                  <c:v>35.603124999999991</c:v>
                </c:pt>
                <c:pt idx="124">
                  <c:v>36.050885000000001</c:v>
                </c:pt>
                <c:pt idx="125">
                  <c:v>36.702260000000003</c:v>
                </c:pt>
                <c:pt idx="126">
                  <c:v>37.412500000000001</c:v>
                </c:pt>
                <c:pt idx="127">
                  <c:v>38.246260000000014</c:v>
                </c:pt>
                <c:pt idx="128">
                  <c:v>39.331884999999986</c:v>
                </c:pt>
                <c:pt idx="129">
                  <c:v>40.428125000000001</c:v>
                </c:pt>
                <c:pt idx="130">
                  <c:v>41.647884999999995</c:v>
                </c:pt>
                <c:pt idx="131">
                  <c:v>43.167760000000001</c:v>
                </c:pt>
                <c:pt idx="132">
                  <c:v>44.650000000000027</c:v>
                </c:pt>
                <c:pt idx="133">
                  <c:v>46.255760000000024</c:v>
                </c:pt>
                <c:pt idx="134">
                  <c:v>48.209885000000007</c:v>
                </c:pt>
                <c:pt idx="135">
                  <c:v>50.078125</c:v>
                </c:pt>
                <c:pt idx="136">
                  <c:v>52.069884999999992</c:v>
                </c:pt>
                <c:pt idx="137">
                  <c:v>54.458259999999967</c:v>
                </c:pt>
                <c:pt idx="138">
                  <c:v>56.712499999999963</c:v>
                </c:pt>
                <c:pt idx="139">
                  <c:v>59.090259999999994</c:v>
                </c:pt>
                <c:pt idx="140">
                  <c:v>61.91288500000001</c:v>
                </c:pt>
                <c:pt idx="141">
                  <c:v>64.553124999999994</c:v>
                </c:pt>
                <c:pt idx="142">
                  <c:v>67.316885000000042</c:v>
                </c:pt>
                <c:pt idx="143">
                  <c:v>70.573759999999965</c:v>
                </c:pt>
                <c:pt idx="144">
                  <c:v>73.600000000000009</c:v>
                </c:pt>
                <c:pt idx="145">
                  <c:v>76.749759999999981</c:v>
                </c:pt>
                <c:pt idx="146">
                  <c:v>80.440885000000009</c:v>
                </c:pt>
                <c:pt idx="147">
                  <c:v>83.853125000000063</c:v>
                </c:pt>
                <c:pt idx="148">
                  <c:v>87.388885000000059</c:v>
                </c:pt>
                <c:pt idx="149">
                  <c:v>91.514260000000007</c:v>
                </c:pt>
                <c:pt idx="150">
                  <c:v>95.3125</c:v>
                </c:pt>
                <c:pt idx="151">
                  <c:v>99.234259999999978</c:v>
                </c:pt>
                <c:pt idx="152">
                  <c:v>103.79388499999995</c:v>
                </c:pt>
                <c:pt idx="153">
                  <c:v>107.97812499999992</c:v>
                </c:pt>
                <c:pt idx="154">
                  <c:v>112.28588499999989</c:v>
                </c:pt>
                <c:pt idx="155">
                  <c:v>117.27976000000008</c:v>
                </c:pt>
                <c:pt idx="156">
                  <c:v>121.85</c:v>
                </c:pt>
                <c:pt idx="157">
                  <c:v>126.54376000000006</c:v>
                </c:pt>
                <c:pt idx="158">
                  <c:v>131.97188499999993</c:v>
                </c:pt>
                <c:pt idx="159">
                  <c:v>136.92812500000002</c:v>
                </c:pt>
                <c:pt idx="160">
                  <c:v>142.0078849999999</c:v>
                </c:pt>
                <c:pt idx="161">
                  <c:v>147.87026000000014</c:v>
                </c:pt>
                <c:pt idx="162">
                  <c:v>153.21249999999998</c:v>
                </c:pt>
                <c:pt idx="163">
                  <c:v>158.67826000000005</c:v>
                </c:pt>
                <c:pt idx="164">
                  <c:v>164.97488499999992</c:v>
                </c:pt>
                <c:pt idx="165">
                  <c:v>170.703125</c:v>
                </c:pt>
                <c:pt idx="166">
                  <c:v>176.5548850000001</c:v>
                </c:pt>
                <c:pt idx="167">
                  <c:v>183.28575999999993</c:v>
                </c:pt>
                <c:pt idx="168">
                  <c:v>189.40000000000003</c:v>
                </c:pt>
                <c:pt idx="169">
                  <c:v>195.63775999999984</c:v>
                </c:pt>
                <c:pt idx="170">
                  <c:v>202.80288500000012</c:v>
                </c:pt>
                <c:pt idx="171">
                  <c:v>209.30312499999999</c:v>
                </c:pt>
                <c:pt idx="172">
                  <c:v>215.92688500000008</c:v>
                </c:pt>
                <c:pt idx="173">
                  <c:v>223.52625999999989</c:v>
                </c:pt>
                <c:pt idx="174">
                  <c:v>230.41250000000002</c:v>
                </c:pt>
                <c:pt idx="175">
                  <c:v>237.42225999999988</c:v>
                </c:pt>
                <c:pt idx="176">
                  <c:v>245.45588500000017</c:v>
                </c:pt>
                <c:pt idx="177">
                  <c:v>252.72812500000001</c:v>
                </c:pt>
                <c:pt idx="178">
                  <c:v>260.12388500000009</c:v>
                </c:pt>
                <c:pt idx="179">
                  <c:v>268.59175999999991</c:v>
                </c:pt>
                <c:pt idx="180">
                  <c:v>276.25</c:v>
                </c:pt>
                <c:pt idx="181">
                  <c:v>284.03176000000013</c:v>
                </c:pt>
                <c:pt idx="182">
                  <c:v>292.93388499999992</c:v>
                </c:pt>
                <c:pt idx="183">
                  <c:v>300.97812500000003</c:v>
                </c:pt>
                <c:pt idx="184">
                  <c:v>309.14588499999979</c:v>
                </c:pt>
                <c:pt idx="185">
                  <c:v>318.48226000000011</c:v>
                </c:pt>
                <c:pt idx="186">
                  <c:v>326.91250000000002</c:v>
                </c:pt>
                <c:pt idx="187">
                  <c:v>335.4662600000002</c:v>
                </c:pt>
                <c:pt idx="188">
                  <c:v>345.2368849999998</c:v>
                </c:pt>
                <c:pt idx="189">
                  <c:v>354.05312499999997</c:v>
                </c:pt>
                <c:pt idx="190">
                  <c:v>362.99288499999983</c:v>
                </c:pt>
                <c:pt idx="191">
                  <c:v>373.19776000000019</c:v>
                </c:pt>
                <c:pt idx="192">
                  <c:v>382.4</c:v>
                </c:pt>
                <c:pt idx="193">
                  <c:v>391.72576000000009</c:v>
                </c:pt>
                <c:pt idx="194">
                  <c:v>402.36488499999984</c:v>
                </c:pt>
                <c:pt idx="195">
                  <c:v>411.953125</c:v>
                </c:pt>
                <c:pt idx="196">
                  <c:v>421.66488500000014</c:v>
                </c:pt>
                <c:pt idx="197">
                  <c:v>432.73825999999985</c:v>
                </c:pt>
                <c:pt idx="198">
                  <c:v>442.71250000000003</c:v>
                </c:pt>
                <c:pt idx="199">
                  <c:v>452.81025999999974</c:v>
                </c:pt>
                <c:pt idx="200">
                  <c:v>464.31788500000022</c:v>
                </c:pt>
                <c:pt idx="201">
                  <c:v>474.67812500000008</c:v>
                </c:pt>
                <c:pt idx="202">
                  <c:v>485.16188500000021</c:v>
                </c:pt>
                <c:pt idx="203">
                  <c:v>497.1037599999998</c:v>
                </c:pt>
                <c:pt idx="204">
                  <c:v>507.84999999999997</c:v>
                </c:pt>
                <c:pt idx="205">
                  <c:v>518.71975999999984</c:v>
                </c:pt>
                <c:pt idx="206">
                  <c:v>531.09588500000018</c:v>
                </c:pt>
                <c:pt idx="207">
                  <c:v>542.22812500000009</c:v>
                </c:pt>
                <c:pt idx="208">
                  <c:v>553.4838850000001</c:v>
                </c:pt>
                <c:pt idx="209">
                  <c:v>566.29425999999978</c:v>
                </c:pt>
                <c:pt idx="210">
                  <c:v>577.8125</c:v>
                </c:pt>
                <c:pt idx="211">
                  <c:v>589.4542600000002</c:v>
                </c:pt>
                <c:pt idx="212">
                  <c:v>602.69888499999979</c:v>
                </c:pt>
                <c:pt idx="213">
                  <c:v>614.60312500000009</c:v>
                </c:pt>
                <c:pt idx="214">
                  <c:v>626.63088499999969</c:v>
                </c:pt>
                <c:pt idx="215">
                  <c:v>640.30976000000021</c:v>
                </c:pt>
                <c:pt idx="216">
                  <c:v>652.60000000000014</c:v>
                </c:pt>
                <c:pt idx="217">
                  <c:v>665.01376000000016</c:v>
                </c:pt>
                <c:pt idx="218">
                  <c:v>679.12688499999979</c:v>
                </c:pt>
                <c:pt idx="219">
                  <c:v>691.80312499999991</c:v>
                </c:pt>
                <c:pt idx="220">
                  <c:v>704.60288499999979</c:v>
                </c:pt>
                <c:pt idx="221">
                  <c:v>719.15026000000034</c:v>
                </c:pt>
                <c:pt idx="222">
                  <c:v>732.21249999999998</c:v>
                </c:pt>
                <c:pt idx="223">
                  <c:v>745.39826000000016</c:v>
                </c:pt>
                <c:pt idx="224">
                  <c:v>760.37988499999983</c:v>
                </c:pt>
                <c:pt idx="225">
                  <c:v>773.828125</c:v>
                </c:pt>
                <c:pt idx="226">
                  <c:v>787.39988500000015</c:v>
                </c:pt>
                <c:pt idx="227">
                  <c:v>802.81575999999984</c:v>
                </c:pt>
                <c:pt idx="228">
                  <c:v>816.65000000000009</c:v>
                </c:pt>
                <c:pt idx="229">
                  <c:v>830.60775999999964</c:v>
                </c:pt>
                <c:pt idx="230">
                  <c:v>846.45788500000026</c:v>
                </c:pt>
                <c:pt idx="231">
                  <c:v>860.67812500000002</c:v>
                </c:pt>
                <c:pt idx="232">
                  <c:v>875.02188500000022</c:v>
                </c:pt>
                <c:pt idx="233">
                  <c:v>891.30625999999972</c:v>
                </c:pt>
                <c:pt idx="234">
                  <c:v>905.91250000000002</c:v>
                </c:pt>
                <c:pt idx="235">
                  <c:v>920.64225999999974</c:v>
                </c:pt>
                <c:pt idx="236">
                  <c:v>937.36088500000039</c:v>
                </c:pt>
                <c:pt idx="237">
                  <c:v>952.35312499999998</c:v>
                </c:pt>
                <c:pt idx="238">
                  <c:v>967.46888500000011</c:v>
                </c:pt>
                <c:pt idx="239">
                  <c:v>984.62175999999977</c:v>
                </c:pt>
                <c:pt idx="240">
                  <c:v>1000</c:v>
                </c:pt>
              </c:numCache>
            </c:numRef>
          </c:val>
          <c:smooth val="0"/>
          <c:extLst>
            <c:ext xmlns:c16="http://schemas.microsoft.com/office/drawing/2014/chart" uri="{C3380CC4-5D6E-409C-BE32-E72D297353CC}">
              <c16:uniqueId val="{00000002-96FF-4BCA-8995-F3C3E10337BD}"/>
            </c:ext>
          </c:extLst>
        </c:ser>
        <c:ser>
          <c:idx val="3"/>
          <c:order val="3"/>
          <c:tx>
            <c:v>Paper operating 25-to-1000-km pass altitude (km)</c:v>
          </c:tx>
          <c:spPr>
            <a:ln w="9000"/>
          </c:spPr>
          <c:cat>
            <c:numRef>
              <c:f>Scenario_Data!$A$2:$A$242</c:f>
              <c:numCache>
                <c:formatCode>0.000</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cat>
          <c:val>
            <c:numRef>
              <c:f>Scenario_Data!$E$2:$E$242</c:f>
              <c:numCache>
                <c:formatCode>0.000</c:formatCode>
                <c:ptCount val="241"/>
                <c:pt idx="0">
                  <c:v>1000</c:v>
                </c:pt>
                <c:pt idx="1">
                  <c:v>984.46239999999989</c:v>
                </c:pt>
                <c:pt idx="2">
                  <c:v>967.13177499999995</c:v>
                </c:pt>
                <c:pt idx="3">
                  <c:v>951.859375</c:v>
                </c:pt>
                <c:pt idx="4">
                  <c:v>936.71177500000022</c:v>
                </c:pt>
                <c:pt idx="5">
                  <c:v>919.81989999999996</c:v>
                </c:pt>
                <c:pt idx="6">
                  <c:v>904.9375</c:v>
                </c:pt>
                <c:pt idx="7">
                  <c:v>890.17989999999975</c:v>
                </c:pt>
                <c:pt idx="8">
                  <c:v>873.72677500000032</c:v>
                </c:pt>
                <c:pt idx="9">
                  <c:v>859.23437500000011</c:v>
                </c:pt>
                <c:pt idx="10">
                  <c:v>844.86677500000008</c:v>
                </c:pt>
                <c:pt idx="11">
                  <c:v>828.85239999999988</c:v>
                </c:pt>
                <c:pt idx="12">
                  <c:v>814.75</c:v>
                </c:pt>
                <c:pt idx="13">
                  <c:v>800.77240000000006</c:v>
                </c:pt>
                <c:pt idx="14">
                  <c:v>785.196775</c:v>
                </c:pt>
                <c:pt idx="15">
                  <c:v>771.484375</c:v>
                </c:pt>
                <c:pt idx="16">
                  <c:v>757.89677499999993</c:v>
                </c:pt>
                <c:pt idx="17">
                  <c:v>742.7598999999999</c:v>
                </c:pt>
                <c:pt idx="18">
                  <c:v>729.43749999999989</c:v>
                </c:pt>
                <c:pt idx="19">
                  <c:v>716.23990000000015</c:v>
                </c:pt>
                <c:pt idx="20">
                  <c:v>701.54177500000003</c:v>
                </c:pt>
                <c:pt idx="21">
                  <c:v>688.60937499999989</c:v>
                </c:pt>
                <c:pt idx="22">
                  <c:v>675.80177499999979</c:v>
                </c:pt>
                <c:pt idx="23">
                  <c:v>661.54240000000027</c:v>
                </c:pt>
                <c:pt idx="24">
                  <c:v>649.00000000000011</c:v>
                </c:pt>
                <c:pt idx="25">
                  <c:v>636.58240000000001</c:v>
                </c:pt>
                <c:pt idx="26">
                  <c:v>622.76177500000017</c:v>
                </c:pt>
                <c:pt idx="27">
                  <c:v>610.60937500000011</c:v>
                </c:pt>
                <c:pt idx="28">
                  <c:v>598.58177500000011</c:v>
                </c:pt>
                <c:pt idx="29">
                  <c:v>585.19989999999996</c:v>
                </c:pt>
                <c:pt idx="30">
                  <c:v>573.4375</c:v>
                </c:pt>
                <c:pt idx="31">
                  <c:v>561.79989999999998</c:v>
                </c:pt>
                <c:pt idx="32">
                  <c:v>548.85677499999997</c:v>
                </c:pt>
                <c:pt idx="33">
                  <c:v>537.484375</c:v>
                </c:pt>
                <c:pt idx="34">
                  <c:v>526.23677499999985</c:v>
                </c:pt>
                <c:pt idx="35">
                  <c:v>513.73239999999987</c:v>
                </c:pt>
                <c:pt idx="36">
                  <c:v>502.74999999999994</c:v>
                </c:pt>
                <c:pt idx="37">
                  <c:v>491.89239999999978</c:v>
                </c:pt>
                <c:pt idx="38">
                  <c:v>479.82677500000023</c:v>
                </c:pt>
                <c:pt idx="39">
                  <c:v>469.23437500000006</c:v>
                </c:pt>
                <c:pt idx="40">
                  <c:v>458.76677500000005</c:v>
                </c:pt>
                <c:pt idx="41">
                  <c:v>447.13990000000018</c:v>
                </c:pt>
                <c:pt idx="42">
                  <c:v>436.93750000000006</c:v>
                </c:pt>
                <c:pt idx="43">
                  <c:v>426.85990000000004</c:v>
                </c:pt>
                <c:pt idx="44">
                  <c:v>415.67177500000003</c:v>
                </c:pt>
                <c:pt idx="45">
                  <c:v>405.859375</c:v>
                </c:pt>
                <c:pt idx="46">
                  <c:v>396.17177500000003</c:v>
                </c:pt>
                <c:pt idx="47">
                  <c:v>385.42239999999998</c:v>
                </c:pt>
                <c:pt idx="48">
                  <c:v>376</c:v>
                </c:pt>
                <c:pt idx="49">
                  <c:v>366.70239999999995</c:v>
                </c:pt>
                <c:pt idx="50">
                  <c:v>356.39177499999994</c:v>
                </c:pt>
                <c:pt idx="51">
                  <c:v>347.35937499999994</c:v>
                </c:pt>
                <c:pt idx="52">
                  <c:v>338.451775</c:v>
                </c:pt>
                <c:pt idx="53">
                  <c:v>328.57990000000007</c:v>
                </c:pt>
                <c:pt idx="54">
                  <c:v>319.93750000000006</c:v>
                </c:pt>
                <c:pt idx="55">
                  <c:v>311.41990000000004</c:v>
                </c:pt>
                <c:pt idx="56">
                  <c:v>301.98677500000002</c:v>
                </c:pt>
                <c:pt idx="57">
                  <c:v>293.734375</c:v>
                </c:pt>
                <c:pt idx="58">
                  <c:v>285.60677499999997</c:v>
                </c:pt>
                <c:pt idx="59">
                  <c:v>276.61239999999998</c:v>
                </c:pt>
                <c:pt idx="60">
                  <c:v>268.75</c:v>
                </c:pt>
                <c:pt idx="61">
                  <c:v>261.01240000000007</c:v>
                </c:pt>
                <c:pt idx="62">
                  <c:v>252.45677499999999</c:v>
                </c:pt>
                <c:pt idx="63">
                  <c:v>244.984375</c:v>
                </c:pt>
                <c:pt idx="64">
                  <c:v>237.63677500000009</c:v>
                </c:pt>
                <c:pt idx="65">
                  <c:v>229.51989999999998</c:v>
                </c:pt>
                <c:pt idx="66">
                  <c:v>222.43749999999997</c:v>
                </c:pt>
                <c:pt idx="67">
                  <c:v>215.47989999999996</c:v>
                </c:pt>
                <c:pt idx="68">
                  <c:v>207.80177500000005</c:v>
                </c:pt>
                <c:pt idx="69">
                  <c:v>201.10937500000003</c:v>
                </c:pt>
                <c:pt idx="70">
                  <c:v>194.54177500000003</c:v>
                </c:pt>
                <c:pt idx="71">
                  <c:v>187.30239999999995</c:v>
                </c:pt>
                <c:pt idx="72">
                  <c:v>181.00000000000003</c:v>
                </c:pt>
                <c:pt idx="73">
                  <c:v>174.82240000000002</c:v>
                </c:pt>
                <c:pt idx="74">
                  <c:v>168.02177499999996</c:v>
                </c:pt>
                <c:pt idx="75">
                  <c:v>162.109375</c:v>
                </c:pt>
                <c:pt idx="76">
                  <c:v>156.32177500000003</c:v>
                </c:pt>
                <c:pt idx="77">
                  <c:v>149.9599</c:v>
                </c:pt>
                <c:pt idx="78">
                  <c:v>144.4375</c:v>
                </c:pt>
                <c:pt idx="79">
                  <c:v>139.03990000000002</c:v>
                </c:pt>
                <c:pt idx="80">
                  <c:v>133.11677499999996</c:v>
                </c:pt>
                <c:pt idx="81">
                  <c:v>127.98437500000001</c:v>
                </c:pt>
                <c:pt idx="82">
                  <c:v>122.97677499999993</c:v>
                </c:pt>
                <c:pt idx="83">
                  <c:v>117.49240000000006</c:v>
                </c:pt>
                <c:pt idx="84">
                  <c:v>112.75</c:v>
                </c:pt>
                <c:pt idx="85">
                  <c:v>108.13240000000002</c:v>
                </c:pt>
                <c:pt idx="86">
                  <c:v>103.08677499999997</c:v>
                </c:pt>
                <c:pt idx="87">
                  <c:v>98.734375000000014</c:v>
                </c:pt>
                <c:pt idx="88">
                  <c:v>94.506775000000005</c:v>
                </c:pt>
                <c:pt idx="89">
                  <c:v>89.899899999999974</c:v>
                </c:pt>
                <c:pt idx="90">
                  <c:v>85.9375</c:v>
                </c:pt>
                <c:pt idx="91">
                  <c:v>82.099900000000019</c:v>
                </c:pt>
                <c:pt idx="92">
                  <c:v>77.931774999999988</c:v>
                </c:pt>
                <c:pt idx="93">
                  <c:v>74.359375</c:v>
                </c:pt>
                <c:pt idx="94">
                  <c:v>70.911775000000006</c:v>
                </c:pt>
                <c:pt idx="95">
                  <c:v>67.182399999999973</c:v>
                </c:pt>
                <c:pt idx="96">
                  <c:v>64</c:v>
                </c:pt>
                <c:pt idx="97">
                  <c:v>60.942399999999964</c:v>
                </c:pt>
                <c:pt idx="98">
                  <c:v>57.651775000000036</c:v>
                </c:pt>
                <c:pt idx="99">
                  <c:v>54.859375</c:v>
                </c:pt>
                <c:pt idx="100">
                  <c:v>52.191775000000007</c:v>
                </c:pt>
                <c:pt idx="101">
                  <c:v>49.339899999999993</c:v>
                </c:pt>
                <c:pt idx="102">
                  <c:v>46.9375</c:v>
                </c:pt>
                <c:pt idx="103">
                  <c:v>44.659900000000007</c:v>
                </c:pt>
                <c:pt idx="104">
                  <c:v>42.246774999999992</c:v>
                </c:pt>
                <c:pt idx="105">
                  <c:v>40.234375</c:v>
                </c:pt>
                <c:pt idx="106">
                  <c:v>38.346775000000008</c:v>
                </c:pt>
                <c:pt idx="107">
                  <c:v>36.372399999999992</c:v>
                </c:pt>
                <c:pt idx="108">
                  <c:v>34.75</c:v>
                </c:pt>
                <c:pt idx="109">
                  <c:v>33.252400000000009</c:v>
                </c:pt>
                <c:pt idx="110">
                  <c:v>31.716774999999995</c:v>
                </c:pt>
                <c:pt idx="111">
                  <c:v>30.484375</c:v>
                </c:pt>
                <c:pt idx="112">
                  <c:v>29.376774999999988</c:v>
                </c:pt>
                <c:pt idx="113">
                  <c:v>28.279900000000012</c:v>
                </c:pt>
                <c:pt idx="114">
                  <c:v>27.4375</c:v>
                </c:pt>
                <c:pt idx="115">
                  <c:v>26.719900000000003</c:v>
                </c:pt>
                <c:pt idx="116">
                  <c:v>26.061774999999997</c:v>
                </c:pt>
                <c:pt idx="117">
                  <c:v>25.609375</c:v>
                </c:pt>
                <c:pt idx="118">
                  <c:v>25.281775</c:v>
                </c:pt>
                <c:pt idx="119">
                  <c:v>25.0624</c:v>
                </c:pt>
                <c:pt idx="120">
                  <c:v>25</c:v>
                </c:pt>
                <c:pt idx="121">
                  <c:v>25.0624</c:v>
                </c:pt>
                <c:pt idx="122">
                  <c:v>25.281774999999996</c:v>
                </c:pt>
                <c:pt idx="123">
                  <c:v>25.609374999999993</c:v>
                </c:pt>
                <c:pt idx="124">
                  <c:v>26.061774999999997</c:v>
                </c:pt>
                <c:pt idx="125">
                  <c:v>26.719900000000003</c:v>
                </c:pt>
                <c:pt idx="126">
                  <c:v>27.4375</c:v>
                </c:pt>
                <c:pt idx="127">
                  <c:v>28.279900000000012</c:v>
                </c:pt>
                <c:pt idx="128">
                  <c:v>29.376774999999988</c:v>
                </c:pt>
                <c:pt idx="129">
                  <c:v>30.484375</c:v>
                </c:pt>
                <c:pt idx="130">
                  <c:v>31.716774999999995</c:v>
                </c:pt>
                <c:pt idx="131">
                  <c:v>33.252400000000009</c:v>
                </c:pt>
                <c:pt idx="132">
                  <c:v>34.750000000000028</c:v>
                </c:pt>
                <c:pt idx="133">
                  <c:v>36.37240000000002</c:v>
                </c:pt>
                <c:pt idx="134">
                  <c:v>38.346775000000008</c:v>
                </c:pt>
                <c:pt idx="135">
                  <c:v>40.234375</c:v>
                </c:pt>
                <c:pt idx="136">
                  <c:v>42.246774999999992</c:v>
                </c:pt>
                <c:pt idx="137">
                  <c:v>44.659899999999965</c:v>
                </c:pt>
                <c:pt idx="138">
                  <c:v>46.937499999999957</c:v>
                </c:pt>
                <c:pt idx="139">
                  <c:v>49.339899999999993</c:v>
                </c:pt>
                <c:pt idx="140">
                  <c:v>52.191775000000007</c:v>
                </c:pt>
                <c:pt idx="141">
                  <c:v>54.859375</c:v>
                </c:pt>
                <c:pt idx="142">
                  <c:v>57.651775000000036</c:v>
                </c:pt>
                <c:pt idx="143">
                  <c:v>60.942399999999964</c:v>
                </c:pt>
                <c:pt idx="144">
                  <c:v>64</c:v>
                </c:pt>
                <c:pt idx="145">
                  <c:v>67.182399999999973</c:v>
                </c:pt>
                <c:pt idx="146">
                  <c:v>70.911775000000006</c:v>
                </c:pt>
                <c:pt idx="147">
                  <c:v>74.359375000000057</c:v>
                </c:pt>
                <c:pt idx="148">
                  <c:v>77.931775000000059</c:v>
                </c:pt>
                <c:pt idx="149">
                  <c:v>82.099900000000019</c:v>
                </c:pt>
                <c:pt idx="150">
                  <c:v>85.9375</c:v>
                </c:pt>
                <c:pt idx="151">
                  <c:v>89.899899999999974</c:v>
                </c:pt>
                <c:pt idx="152">
                  <c:v>94.506774999999948</c:v>
                </c:pt>
                <c:pt idx="153">
                  <c:v>98.734374999999915</c:v>
                </c:pt>
                <c:pt idx="154">
                  <c:v>103.0867749999999</c:v>
                </c:pt>
                <c:pt idx="155">
                  <c:v>108.13240000000009</c:v>
                </c:pt>
                <c:pt idx="156">
                  <c:v>112.75</c:v>
                </c:pt>
                <c:pt idx="157">
                  <c:v>117.49240000000006</c:v>
                </c:pt>
                <c:pt idx="158">
                  <c:v>122.97677499999993</c:v>
                </c:pt>
                <c:pt idx="159">
                  <c:v>127.98437500000001</c:v>
                </c:pt>
                <c:pt idx="160">
                  <c:v>133.1167749999999</c:v>
                </c:pt>
                <c:pt idx="161">
                  <c:v>139.03990000000013</c:v>
                </c:pt>
                <c:pt idx="162">
                  <c:v>144.4375</c:v>
                </c:pt>
                <c:pt idx="163">
                  <c:v>149.95990000000006</c:v>
                </c:pt>
                <c:pt idx="164">
                  <c:v>156.32177499999992</c:v>
                </c:pt>
                <c:pt idx="165">
                  <c:v>162.109375</c:v>
                </c:pt>
                <c:pt idx="166">
                  <c:v>168.0217750000001</c:v>
                </c:pt>
                <c:pt idx="167">
                  <c:v>174.8223999999999</c:v>
                </c:pt>
                <c:pt idx="168">
                  <c:v>181.00000000000003</c:v>
                </c:pt>
                <c:pt idx="169">
                  <c:v>187.30239999999984</c:v>
                </c:pt>
                <c:pt idx="170">
                  <c:v>194.54177500000011</c:v>
                </c:pt>
                <c:pt idx="171">
                  <c:v>201.10937499999997</c:v>
                </c:pt>
                <c:pt idx="172">
                  <c:v>207.80177500000011</c:v>
                </c:pt>
                <c:pt idx="173">
                  <c:v>215.4798999999999</c:v>
                </c:pt>
                <c:pt idx="174">
                  <c:v>222.4375</c:v>
                </c:pt>
                <c:pt idx="175">
                  <c:v>229.51989999999986</c:v>
                </c:pt>
                <c:pt idx="176">
                  <c:v>237.63677500000017</c:v>
                </c:pt>
                <c:pt idx="177">
                  <c:v>244.984375</c:v>
                </c:pt>
                <c:pt idx="178">
                  <c:v>252.45677500000008</c:v>
                </c:pt>
                <c:pt idx="179">
                  <c:v>261.0123999999999</c:v>
                </c:pt>
                <c:pt idx="180">
                  <c:v>268.75</c:v>
                </c:pt>
                <c:pt idx="181">
                  <c:v>276.61240000000009</c:v>
                </c:pt>
                <c:pt idx="182">
                  <c:v>285.60677499999991</c:v>
                </c:pt>
                <c:pt idx="183">
                  <c:v>293.734375</c:v>
                </c:pt>
                <c:pt idx="184">
                  <c:v>301.9867749999998</c:v>
                </c:pt>
                <c:pt idx="185">
                  <c:v>311.41990000000015</c:v>
                </c:pt>
                <c:pt idx="186">
                  <c:v>319.93750000000006</c:v>
                </c:pt>
                <c:pt idx="187">
                  <c:v>328.57990000000018</c:v>
                </c:pt>
                <c:pt idx="188">
                  <c:v>338.45177499999983</c:v>
                </c:pt>
                <c:pt idx="189">
                  <c:v>347.35937499999994</c:v>
                </c:pt>
                <c:pt idx="190">
                  <c:v>356.39177499999983</c:v>
                </c:pt>
                <c:pt idx="191">
                  <c:v>366.70240000000024</c:v>
                </c:pt>
                <c:pt idx="192">
                  <c:v>376</c:v>
                </c:pt>
                <c:pt idx="193">
                  <c:v>385.4224000000001</c:v>
                </c:pt>
                <c:pt idx="194">
                  <c:v>396.17177499999985</c:v>
                </c:pt>
                <c:pt idx="195">
                  <c:v>405.859375</c:v>
                </c:pt>
                <c:pt idx="196">
                  <c:v>415.67177500000014</c:v>
                </c:pt>
                <c:pt idx="197">
                  <c:v>426.85989999999987</c:v>
                </c:pt>
                <c:pt idx="198">
                  <c:v>436.93750000000006</c:v>
                </c:pt>
                <c:pt idx="199">
                  <c:v>447.13989999999973</c:v>
                </c:pt>
                <c:pt idx="200">
                  <c:v>458.76677500000022</c:v>
                </c:pt>
                <c:pt idx="201">
                  <c:v>469.23437500000006</c:v>
                </c:pt>
                <c:pt idx="202">
                  <c:v>479.82677500000023</c:v>
                </c:pt>
                <c:pt idx="203">
                  <c:v>491.89239999999978</c:v>
                </c:pt>
                <c:pt idx="204">
                  <c:v>502.74999999999994</c:v>
                </c:pt>
                <c:pt idx="205">
                  <c:v>513.73239999999987</c:v>
                </c:pt>
                <c:pt idx="206">
                  <c:v>526.23677500000031</c:v>
                </c:pt>
                <c:pt idx="207">
                  <c:v>537.484375</c:v>
                </c:pt>
                <c:pt idx="208">
                  <c:v>548.85677500000008</c:v>
                </c:pt>
                <c:pt idx="209">
                  <c:v>561.79989999999987</c:v>
                </c:pt>
                <c:pt idx="210">
                  <c:v>573.4375</c:v>
                </c:pt>
                <c:pt idx="211">
                  <c:v>585.19990000000018</c:v>
                </c:pt>
                <c:pt idx="212">
                  <c:v>598.58177499999988</c:v>
                </c:pt>
                <c:pt idx="213">
                  <c:v>610.60937500000011</c:v>
                </c:pt>
                <c:pt idx="214">
                  <c:v>622.76177499999972</c:v>
                </c:pt>
                <c:pt idx="215">
                  <c:v>636.58240000000023</c:v>
                </c:pt>
                <c:pt idx="216">
                  <c:v>649.00000000000011</c:v>
                </c:pt>
                <c:pt idx="217">
                  <c:v>661.54240000000027</c:v>
                </c:pt>
                <c:pt idx="218">
                  <c:v>675.80177499999979</c:v>
                </c:pt>
                <c:pt idx="219">
                  <c:v>688.60937499999989</c:v>
                </c:pt>
                <c:pt idx="220">
                  <c:v>701.5417749999998</c:v>
                </c:pt>
                <c:pt idx="221">
                  <c:v>716.23990000000038</c:v>
                </c:pt>
                <c:pt idx="222">
                  <c:v>729.43749999999989</c:v>
                </c:pt>
                <c:pt idx="223">
                  <c:v>742.75990000000013</c:v>
                </c:pt>
                <c:pt idx="224">
                  <c:v>757.89677499999982</c:v>
                </c:pt>
                <c:pt idx="225">
                  <c:v>771.484375</c:v>
                </c:pt>
                <c:pt idx="226">
                  <c:v>785.19677500000023</c:v>
                </c:pt>
                <c:pt idx="227">
                  <c:v>800.77239999999983</c:v>
                </c:pt>
                <c:pt idx="228">
                  <c:v>814.75</c:v>
                </c:pt>
                <c:pt idx="229">
                  <c:v>828.85239999999965</c:v>
                </c:pt>
                <c:pt idx="230">
                  <c:v>844.86677500000019</c:v>
                </c:pt>
                <c:pt idx="231">
                  <c:v>859.23437500000011</c:v>
                </c:pt>
                <c:pt idx="232">
                  <c:v>873.72677500000032</c:v>
                </c:pt>
                <c:pt idx="233">
                  <c:v>890.17989999999975</c:v>
                </c:pt>
                <c:pt idx="234">
                  <c:v>904.9375</c:v>
                </c:pt>
                <c:pt idx="235">
                  <c:v>919.81989999999973</c:v>
                </c:pt>
                <c:pt idx="236">
                  <c:v>936.71177500000033</c:v>
                </c:pt>
                <c:pt idx="237">
                  <c:v>951.859375</c:v>
                </c:pt>
                <c:pt idx="238">
                  <c:v>967.13177500000018</c:v>
                </c:pt>
                <c:pt idx="239">
                  <c:v>984.46239999999977</c:v>
                </c:pt>
                <c:pt idx="240">
                  <c:v>1000</c:v>
                </c:pt>
              </c:numCache>
            </c:numRef>
          </c:val>
          <c:smooth val="0"/>
          <c:extLst>
            <c:ext xmlns:c16="http://schemas.microsoft.com/office/drawing/2014/chart" uri="{C3380CC4-5D6E-409C-BE32-E72D297353CC}">
              <c16:uniqueId val="{00000003-96FF-4BCA-8995-F3C3E10337BD}"/>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overlay val="0"/>
        </c:title>
        <c:numFmt formatCode="0.000" sourceLinked="1"/>
        <c:majorTickMark val="none"/>
        <c:minorTickMark val="none"/>
        <c:tickLblPos val="nextTo"/>
        <c:crossAx val="48672768"/>
        <c:crosses val="autoZero"/>
        <c:auto val="1"/>
        <c:lblAlgn val="ctr"/>
        <c:lblOffset val="100"/>
        <c:tickLblSkip val="24"/>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Altitude (km)</a:t>
                </a:r>
              </a:p>
            </c:rich>
          </c:tx>
          <c:overlay val="0"/>
        </c:title>
        <c:numFmt formatCode="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Motion Only: Constant vs Parabolic Reading</a:t>
            </a:r>
          </a:p>
        </c:rich>
      </c:tx>
      <c:overlay val="0"/>
    </c:title>
    <c:autoTitleDeleted val="0"/>
    <c:plotArea>
      <c:layout/>
      <c:lineChart>
        <c:grouping val="standard"/>
        <c:varyColors val="1"/>
        <c:ser>
          <c:idx val="0"/>
          <c:order val="0"/>
          <c:tx>
            <c:v>Constant-altitude flat-surface reading (m)</c:v>
          </c:tx>
          <c:spPr>
            <a:ln w="9000"/>
          </c:spPr>
          <c:cat>
            <c:numRef>
              <c:f>Chart_Data!$V$2:$V$242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cat>
          <c:val>
            <c:numRef>
              <c:f>Chart_Data!$W$2:$W$242</c:f>
              <c:numCache>
                <c:formatCode>0.000</c:formatCode>
                <c:ptCount val="241"/>
                <c:pt idx="0">
                  <c:v>2947.6619994621419</c:v>
                </c:pt>
                <c:pt idx="1">
                  <c:v>2906.2422198150257</c:v>
                </c:pt>
                <c:pt idx="2">
                  <c:v>2865.1616052631393</c:v>
                </c:pt>
                <c:pt idx="3">
                  <c:v>2824.4203395046129</c:v>
                </c:pt>
                <c:pt idx="4">
                  <c:v>2784.0186048512683</c:v>
                </c:pt>
                <c:pt idx="5">
                  <c:v>2743.956582224499</c:v>
                </c:pt>
                <c:pt idx="6">
                  <c:v>2704.2344511514057</c:v>
                </c:pt>
                <c:pt idx="7">
                  <c:v>2664.8523897608998</c:v>
                </c:pt>
                <c:pt idx="8">
                  <c:v>2625.8105747797149</c:v>
                </c:pt>
                <c:pt idx="9">
                  <c:v>2587.1091815287296</c:v>
                </c:pt>
                <c:pt idx="10">
                  <c:v>2548.7483839189476</c:v>
                </c:pt>
                <c:pt idx="11">
                  <c:v>2510.7283544477896</c:v>
                </c:pt>
                <c:pt idx="12">
                  <c:v>2473.0492641952978</c:v>
                </c:pt>
                <c:pt idx="13">
                  <c:v>2435.7112828204276</c:v>
                </c:pt>
                <c:pt idx="14">
                  <c:v>2398.7145785572161</c:v>
                </c:pt>
                <c:pt idx="15">
                  <c:v>2362.059318211112</c:v>
                </c:pt>
                <c:pt idx="16">
                  <c:v>2325.7456671554596</c:v>
                </c:pt>
                <c:pt idx="17">
                  <c:v>2289.7737893275739</c:v>
                </c:pt>
                <c:pt idx="18">
                  <c:v>2254.1438472253849</c:v>
                </c:pt>
                <c:pt idx="19">
                  <c:v>2218.8560019037022</c:v>
                </c:pt>
                <c:pt idx="20">
                  <c:v>2183.9104129706707</c:v>
                </c:pt>
                <c:pt idx="21">
                  <c:v>2149.3072385843216</c:v>
                </c:pt>
                <c:pt idx="22">
                  <c:v>2115.0466354489636</c:v>
                </c:pt>
                <c:pt idx="23">
                  <c:v>2081.1287588117648</c:v>
                </c:pt>
                <c:pt idx="24">
                  <c:v>2047.5537624593067</c:v>
                </c:pt>
                <c:pt idx="25">
                  <c:v>2014.3217987140999</c:v>
                </c:pt>
                <c:pt idx="26">
                  <c:v>1981.4330184313289</c:v>
                </c:pt>
                <c:pt idx="27">
                  <c:v>1948.887570995307</c:v>
                </c:pt>
                <c:pt idx="28">
                  <c:v>1916.6856043164103</c:v>
                </c:pt>
                <c:pt idx="29">
                  <c:v>1884.8272648274692</c:v>
                </c:pt>
                <c:pt idx="30">
                  <c:v>1853.3126974807026</c:v>
                </c:pt>
                <c:pt idx="31">
                  <c:v>1822.142045744429</c:v>
                </c:pt>
                <c:pt idx="32">
                  <c:v>1791.3154515998726</c:v>
                </c:pt>
                <c:pt idx="33">
                  <c:v>1760.8330555379382</c:v>
                </c:pt>
                <c:pt idx="34">
                  <c:v>1730.6949965560814</c:v>
                </c:pt>
                <c:pt idx="35">
                  <c:v>1700.9014121552116</c:v>
                </c:pt>
                <c:pt idx="36">
                  <c:v>1671.4524383365294</c:v>
                </c:pt>
                <c:pt idx="37">
                  <c:v>1642.3482095986215</c:v>
                </c:pt>
                <c:pt idx="38">
                  <c:v>1613.5888589342665</c:v>
                </c:pt>
                <c:pt idx="39">
                  <c:v>1585.1745178275614</c:v>
                </c:pt>
                <c:pt idx="40">
                  <c:v>1557.1053162508879</c:v>
                </c:pt>
                <c:pt idx="41">
                  <c:v>1529.3813826619735</c:v>
                </c:pt>
                <c:pt idx="42">
                  <c:v>1502.0028440010826</c:v>
                </c:pt>
                <c:pt idx="43">
                  <c:v>1474.9698256880454</c:v>
                </c:pt>
                <c:pt idx="44">
                  <c:v>1448.2824516194801</c:v>
                </c:pt>
                <c:pt idx="45">
                  <c:v>1421.9408441659828</c:v>
                </c:pt>
                <c:pt idx="46">
                  <c:v>1395.9451241693491</c:v>
                </c:pt>
                <c:pt idx="47">
                  <c:v>1370.2954109397635</c:v>
                </c:pt>
                <c:pt idx="48">
                  <c:v>1344.9918222533095</c:v>
                </c:pt>
                <c:pt idx="49">
                  <c:v>1320.0344743489659</c:v>
                </c:pt>
                <c:pt idx="50">
                  <c:v>1295.4234819262779</c:v>
                </c:pt>
                <c:pt idx="51">
                  <c:v>1271.158958142609</c:v>
                </c:pt>
                <c:pt idx="52">
                  <c:v>1247.2410146105549</c:v>
                </c:pt>
                <c:pt idx="53">
                  <c:v>1223.6697613953572</c:v>
                </c:pt>
                <c:pt idx="54">
                  <c:v>1200.4453070126031</c:v>
                </c:pt>
                <c:pt idx="55">
                  <c:v>1177.5677584254802</c:v>
                </c:pt>
                <c:pt idx="56">
                  <c:v>1155.0372210426042</c:v>
                </c:pt>
                <c:pt idx="57">
                  <c:v>1132.8537987153045</c:v>
                </c:pt>
                <c:pt idx="58">
                  <c:v>1111.0175937355809</c:v>
                </c:pt>
                <c:pt idx="59">
                  <c:v>1089.528706833516</c:v>
                </c:pt>
                <c:pt idx="60">
                  <c:v>1068.3872371751047</c:v>
                </c:pt>
                <c:pt idx="61">
                  <c:v>1047.5932823598905</c:v>
                </c:pt>
                <c:pt idx="62">
                  <c:v>1027.146938418826</c:v>
                </c:pt>
                <c:pt idx="63">
                  <c:v>1007.0482998120052</c:v>
                </c:pt>
                <c:pt idx="64">
                  <c:v>987.29745942652437</c:v>
                </c:pt>
                <c:pt idx="65">
                  <c:v>967.89450857437419</c:v>
                </c:pt>
                <c:pt idx="66">
                  <c:v>948.83953699023641</c:v>
                </c:pt>
                <c:pt idx="67">
                  <c:v>930.13263282956723</c:v>
                </c:pt>
                <c:pt idx="68">
                  <c:v>911.77388266642674</c:v>
                </c:pt>
                <c:pt idx="69">
                  <c:v>893.76337149168944</c:v>
                </c:pt>
                <c:pt idx="70">
                  <c:v>876.10118271080978</c:v>
                </c:pt>
                <c:pt idx="71">
                  <c:v>858.78739814219307</c:v>
                </c:pt>
                <c:pt idx="72">
                  <c:v>841.8220980150237</c:v>
                </c:pt>
                <c:pt idx="73">
                  <c:v>825.20536096770104</c:v>
                </c:pt>
                <c:pt idx="74">
                  <c:v>808.9372640457949</c:v>
                </c:pt>
                <c:pt idx="75">
                  <c:v>793.01788270038537</c:v>
                </c:pt>
                <c:pt idx="76">
                  <c:v>777.44729078630644</c:v>
                </c:pt>
                <c:pt idx="77">
                  <c:v>762.225560560453</c:v>
                </c:pt>
                <c:pt idx="78">
                  <c:v>747.35276268002508</c:v>
                </c:pt>
                <c:pt idx="79">
                  <c:v>732.82896620099473</c:v>
                </c:pt>
                <c:pt idx="80">
                  <c:v>718.65423857647704</c:v>
                </c:pt>
                <c:pt idx="81">
                  <c:v>704.82864565513387</c:v>
                </c:pt>
                <c:pt idx="82">
                  <c:v>691.35225167970475</c:v>
                </c:pt>
                <c:pt idx="83">
                  <c:v>678.22511928547397</c:v>
                </c:pt>
                <c:pt idx="84">
                  <c:v>665.44730949883331</c:v>
                </c:pt>
                <c:pt idx="85">
                  <c:v>653.01888173594125</c:v>
                </c:pt>
                <c:pt idx="86">
                  <c:v>640.93989380115784</c:v>
                </c:pt>
                <c:pt idx="87">
                  <c:v>629.21040188592701</c:v>
                </c:pt>
                <c:pt idx="88">
                  <c:v>617.83046056733986</c:v>
                </c:pt>
                <c:pt idx="89">
                  <c:v>606.80012280685651</c:v>
                </c:pt>
                <c:pt idx="90">
                  <c:v>596.11943994918954</c:v>
                </c:pt>
                <c:pt idx="91">
                  <c:v>585.7884617209296</c:v>
                </c:pt>
                <c:pt idx="92">
                  <c:v>575.80723622965218</c:v>
                </c:pt>
                <c:pt idx="93">
                  <c:v>566.17580996248</c:v>
                </c:pt>
                <c:pt idx="94">
                  <c:v>556.89422778531673</c:v>
                </c:pt>
                <c:pt idx="95">
                  <c:v>547.96253294156986</c:v>
                </c:pt>
                <c:pt idx="96">
                  <c:v>539.38076705125616</c:v>
                </c:pt>
                <c:pt idx="97">
                  <c:v>531.14897010994798</c:v>
                </c:pt>
                <c:pt idx="98">
                  <c:v>523.26718048803878</c:v>
                </c:pt>
                <c:pt idx="99">
                  <c:v>515.73543492959368</c:v>
                </c:pt>
                <c:pt idx="100">
                  <c:v>508.55376855164639</c:v>
                </c:pt>
                <c:pt idx="101">
                  <c:v>501.7222148433695</c:v>
                </c:pt>
                <c:pt idx="102">
                  <c:v>495.24080566524378</c:v>
                </c:pt>
                <c:pt idx="103">
                  <c:v>489.10957124835579</c:v>
                </c:pt>
                <c:pt idx="104">
                  <c:v>483.32854019372718</c:v>
                </c:pt>
                <c:pt idx="105">
                  <c:v>477.89773947151639</c:v>
                </c:pt>
                <c:pt idx="106">
                  <c:v>472.81719442053964</c:v>
                </c:pt>
                <c:pt idx="107">
                  <c:v>468.0869287476321</c:v>
                </c:pt>
                <c:pt idx="108">
                  <c:v>463.70696452700952</c:v>
                </c:pt>
                <c:pt idx="109">
                  <c:v>459.67732219988454</c:v>
                </c:pt>
                <c:pt idx="110">
                  <c:v>455.99802057395618</c:v>
                </c:pt>
                <c:pt idx="111">
                  <c:v>452.66907682283477</c:v>
                </c:pt>
                <c:pt idx="112">
                  <c:v>449.69050648585045</c:v>
                </c:pt>
                <c:pt idx="113">
                  <c:v>447.06232346754223</c:v>
                </c:pt>
                <c:pt idx="114">
                  <c:v>444.78454003743417</c:v>
                </c:pt>
                <c:pt idx="115">
                  <c:v>442.85716682962078</c:v>
                </c:pt>
                <c:pt idx="116">
                  <c:v>441.28021284267066</c:v>
                </c:pt>
                <c:pt idx="117">
                  <c:v>440.05368543930746</c:v>
                </c:pt>
                <c:pt idx="118">
                  <c:v>439.17759034625021</c:v>
                </c:pt>
                <c:pt idx="119">
                  <c:v>438.65193165411739</c:v>
                </c:pt>
                <c:pt idx="120">
                  <c:v>438.47671181736308</c:v>
                </c:pt>
                <c:pt idx="121">
                  <c:v>438.65193165411739</c:v>
                </c:pt>
                <c:pt idx="122">
                  <c:v>439.17759034625021</c:v>
                </c:pt>
                <c:pt idx="123">
                  <c:v>440.05368543930746</c:v>
                </c:pt>
                <c:pt idx="124">
                  <c:v>441.28021284267066</c:v>
                </c:pt>
                <c:pt idx="125">
                  <c:v>442.85716682962078</c:v>
                </c:pt>
                <c:pt idx="126">
                  <c:v>444.78454003743417</c:v>
                </c:pt>
                <c:pt idx="127">
                  <c:v>447.06232346754223</c:v>
                </c:pt>
                <c:pt idx="128">
                  <c:v>449.69050648585045</c:v>
                </c:pt>
                <c:pt idx="129">
                  <c:v>452.66907682283477</c:v>
                </c:pt>
                <c:pt idx="130">
                  <c:v>455.99802057395618</c:v>
                </c:pt>
                <c:pt idx="131">
                  <c:v>459.67732219988454</c:v>
                </c:pt>
                <c:pt idx="132">
                  <c:v>463.70696452700952</c:v>
                </c:pt>
                <c:pt idx="133">
                  <c:v>468.0869287476321</c:v>
                </c:pt>
                <c:pt idx="134">
                  <c:v>472.81719442053964</c:v>
                </c:pt>
                <c:pt idx="135">
                  <c:v>477.89773947151639</c:v>
                </c:pt>
                <c:pt idx="136">
                  <c:v>483.32854019372718</c:v>
                </c:pt>
                <c:pt idx="137">
                  <c:v>489.10957124835579</c:v>
                </c:pt>
                <c:pt idx="138">
                  <c:v>495.24080566524378</c:v>
                </c:pt>
                <c:pt idx="139">
                  <c:v>501.7222148433695</c:v>
                </c:pt>
                <c:pt idx="140">
                  <c:v>508.55376855164639</c:v>
                </c:pt>
                <c:pt idx="141">
                  <c:v>515.73543492959368</c:v>
                </c:pt>
                <c:pt idx="142">
                  <c:v>523.26718048803878</c:v>
                </c:pt>
                <c:pt idx="143">
                  <c:v>531.14897010994798</c:v>
                </c:pt>
                <c:pt idx="144">
                  <c:v>539.38076705125616</c:v>
                </c:pt>
                <c:pt idx="145">
                  <c:v>547.96253294156986</c:v>
                </c:pt>
                <c:pt idx="146">
                  <c:v>556.89422778531673</c:v>
                </c:pt>
                <c:pt idx="147">
                  <c:v>566.17580996248</c:v>
                </c:pt>
                <c:pt idx="148">
                  <c:v>575.80723622965218</c:v>
                </c:pt>
                <c:pt idx="149">
                  <c:v>585.7884617209296</c:v>
                </c:pt>
                <c:pt idx="150">
                  <c:v>596.11943994918954</c:v>
                </c:pt>
                <c:pt idx="151">
                  <c:v>606.80012280685651</c:v>
                </c:pt>
                <c:pt idx="152">
                  <c:v>617.83046056733986</c:v>
                </c:pt>
                <c:pt idx="153">
                  <c:v>629.21040188592701</c:v>
                </c:pt>
                <c:pt idx="154">
                  <c:v>640.93989380115784</c:v>
                </c:pt>
                <c:pt idx="155">
                  <c:v>653.01888173594125</c:v>
                </c:pt>
                <c:pt idx="156">
                  <c:v>665.44730949883331</c:v>
                </c:pt>
                <c:pt idx="157">
                  <c:v>678.22511928547397</c:v>
                </c:pt>
                <c:pt idx="158">
                  <c:v>691.35225167970475</c:v>
                </c:pt>
                <c:pt idx="159">
                  <c:v>704.82864565513387</c:v>
                </c:pt>
                <c:pt idx="160">
                  <c:v>718.65423857647704</c:v>
                </c:pt>
                <c:pt idx="161">
                  <c:v>732.82896620099473</c:v>
                </c:pt>
                <c:pt idx="162">
                  <c:v>747.35276268002508</c:v>
                </c:pt>
                <c:pt idx="163">
                  <c:v>762.225560560453</c:v>
                </c:pt>
                <c:pt idx="164">
                  <c:v>777.44729078630644</c:v>
                </c:pt>
                <c:pt idx="165">
                  <c:v>793.01788270038537</c:v>
                </c:pt>
                <c:pt idx="166">
                  <c:v>808.9372640457949</c:v>
                </c:pt>
                <c:pt idx="167">
                  <c:v>825.20536096770104</c:v>
                </c:pt>
                <c:pt idx="168">
                  <c:v>841.8220980150237</c:v>
                </c:pt>
                <c:pt idx="169">
                  <c:v>858.78739814219307</c:v>
                </c:pt>
                <c:pt idx="170">
                  <c:v>876.10118271080978</c:v>
                </c:pt>
                <c:pt idx="171">
                  <c:v>893.76337149168944</c:v>
                </c:pt>
                <c:pt idx="172">
                  <c:v>911.77388266642674</c:v>
                </c:pt>
                <c:pt idx="173">
                  <c:v>930.13263282956723</c:v>
                </c:pt>
                <c:pt idx="174">
                  <c:v>948.83953699023641</c:v>
                </c:pt>
                <c:pt idx="175">
                  <c:v>967.89450857437419</c:v>
                </c:pt>
                <c:pt idx="176">
                  <c:v>987.29745942652437</c:v>
                </c:pt>
                <c:pt idx="177">
                  <c:v>1007.0482998120052</c:v>
                </c:pt>
                <c:pt idx="178">
                  <c:v>1027.146938418826</c:v>
                </c:pt>
                <c:pt idx="179">
                  <c:v>1047.5932823598905</c:v>
                </c:pt>
                <c:pt idx="180">
                  <c:v>1068.3872371751047</c:v>
                </c:pt>
                <c:pt idx="181">
                  <c:v>1089.528706833516</c:v>
                </c:pt>
                <c:pt idx="182">
                  <c:v>1111.0175937355809</c:v>
                </c:pt>
                <c:pt idx="183">
                  <c:v>1132.8537987153045</c:v>
                </c:pt>
                <c:pt idx="184">
                  <c:v>1155.0372210426042</c:v>
                </c:pt>
                <c:pt idx="185">
                  <c:v>1177.5677584254802</c:v>
                </c:pt>
                <c:pt idx="186">
                  <c:v>1200.4453070126031</c:v>
                </c:pt>
                <c:pt idx="187">
                  <c:v>1223.6697613953572</c:v>
                </c:pt>
                <c:pt idx="188">
                  <c:v>1247.2410146105549</c:v>
                </c:pt>
                <c:pt idx="189">
                  <c:v>1271.158958142609</c:v>
                </c:pt>
                <c:pt idx="190">
                  <c:v>1295.4234819262779</c:v>
                </c:pt>
                <c:pt idx="191">
                  <c:v>1320.0344743489659</c:v>
                </c:pt>
                <c:pt idx="192">
                  <c:v>1344.9918222533095</c:v>
                </c:pt>
                <c:pt idx="193">
                  <c:v>1370.2954109397635</c:v>
                </c:pt>
                <c:pt idx="194">
                  <c:v>1395.9451241693491</c:v>
                </c:pt>
                <c:pt idx="195">
                  <c:v>1421.9408441659828</c:v>
                </c:pt>
                <c:pt idx="196">
                  <c:v>1448.2824516194801</c:v>
                </c:pt>
                <c:pt idx="197">
                  <c:v>1474.9698256880454</c:v>
                </c:pt>
                <c:pt idx="198">
                  <c:v>1502.0028440010826</c:v>
                </c:pt>
                <c:pt idx="199">
                  <c:v>1529.3813826619735</c:v>
                </c:pt>
                <c:pt idx="200">
                  <c:v>1557.1053162508879</c:v>
                </c:pt>
                <c:pt idx="201">
                  <c:v>1585.1745178275614</c:v>
                </c:pt>
                <c:pt idx="202">
                  <c:v>1613.5888589342665</c:v>
                </c:pt>
                <c:pt idx="203">
                  <c:v>1642.3482095986215</c:v>
                </c:pt>
                <c:pt idx="204">
                  <c:v>1671.4524383365294</c:v>
                </c:pt>
                <c:pt idx="205">
                  <c:v>1700.9014121552116</c:v>
                </c:pt>
                <c:pt idx="206">
                  <c:v>1730.6949965560814</c:v>
                </c:pt>
                <c:pt idx="207">
                  <c:v>1760.8330555379382</c:v>
                </c:pt>
                <c:pt idx="208">
                  <c:v>1791.3154515998726</c:v>
                </c:pt>
                <c:pt idx="209">
                  <c:v>1822.142045744429</c:v>
                </c:pt>
                <c:pt idx="210">
                  <c:v>1853.3126974807026</c:v>
                </c:pt>
                <c:pt idx="211">
                  <c:v>1884.8272648274692</c:v>
                </c:pt>
                <c:pt idx="212">
                  <c:v>1916.6856043164103</c:v>
                </c:pt>
                <c:pt idx="213">
                  <c:v>1948.887570995307</c:v>
                </c:pt>
                <c:pt idx="214">
                  <c:v>1981.4330184313289</c:v>
                </c:pt>
                <c:pt idx="215">
                  <c:v>2014.3217987140999</c:v>
                </c:pt>
                <c:pt idx="216">
                  <c:v>2047.5537624593067</c:v>
                </c:pt>
                <c:pt idx="217">
                  <c:v>2081.1287588117648</c:v>
                </c:pt>
                <c:pt idx="218">
                  <c:v>2115.0466354489636</c:v>
                </c:pt>
                <c:pt idx="219">
                  <c:v>2149.3072385843216</c:v>
                </c:pt>
                <c:pt idx="220">
                  <c:v>2183.9104129706707</c:v>
                </c:pt>
                <c:pt idx="221">
                  <c:v>2218.8560019037022</c:v>
                </c:pt>
                <c:pt idx="222">
                  <c:v>2254.1438472253849</c:v>
                </c:pt>
                <c:pt idx="223">
                  <c:v>2289.7737893275739</c:v>
                </c:pt>
                <c:pt idx="224">
                  <c:v>2325.7456671554596</c:v>
                </c:pt>
                <c:pt idx="225">
                  <c:v>2362.059318211112</c:v>
                </c:pt>
                <c:pt idx="226">
                  <c:v>2398.7145785572161</c:v>
                </c:pt>
                <c:pt idx="227">
                  <c:v>2435.7112828204276</c:v>
                </c:pt>
                <c:pt idx="228">
                  <c:v>2473.0492641952978</c:v>
                </c:pt>
                <c:pt idx="229">
                  <c:v>2510.7283544477896</c:v>
                </c:pt>
                <c:pt idx="230">
                  <c:v>2548.7483839189476</c:v>
                </c:pt>
                <c:pt idx="231">
                  <c:v>2587.1091815287296</c:v>
                </c:pt>
                <c:pt idx="232">
                  <c:v>2625.8105747797149</c:v>
                </c:pt>
                <c:pt idx="233">
                  <c:v>2664.8523897608998</c:v>
                </c:pt>
                <c:pt idx="234">
                  <c:v>2704.2344511514057</c:v>
                </c:pt>
                <c:pt idx="235">
                  <c:v>2743.956582224499</c:v>
                </c:pt>
                <c:pt idx="236">
                  <c:v>2784.0186048512683</c:v>
                </c:pt>
                <c:pt idx="237">
                  <c:v>2824.4203395046129</c:v>
                </c:pt>
                <c:pt idx="238">
                  <c:v>2865.1616052631393</c:v>
                </c:pt>
                <c:pt idx="239">
                  <c:v>2906.2422198150257</c:v>
                </c:pt>
                <c:pt idx="240">
                  <c:v>2947.6619994621419</c:v>
                </c:pt>
              </c:numCache>
            </c:numRef>
          </c:val>
          <c:smooth val="0"/>
          <c:extLst>
            <c:ext xmlns:c16="http://schemas.microsoft.com/office/drawing/2014/chart" uri="{C3380CC4-5D6E-409C-BE32-E72D297353CC}">
              <c16:uniqueId val="{00000000-64B1-4446-9ED5-782B755AAD25}"/>
            </c:ext>
          </c:extLst>
        </c:ser>
        <c:ser>
          <c:idx val="1"/>
          <c:order val="1"/>
          <c:tx>
            <c:v>Parabolic flat-surface reading (m)</c:v>
          </c:tx>
          <c:spPr>
            <a:ln w="9000"/>
          </c:spPr>
          <c:cat>
            <c:numRef>
              <c:f>Chart_Data!$V$2:$V$242</c:f>
              <c:numCache>
                <c:formatCode>0.000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cat>
          <c:val>
            <c:numRef>
              <c:f>Chart_Data!$X$2:$X$242</c:f>
              <c:numCache>
                <c:formatCode>0.000</c:formatCode>
                <c:ptCount val="241"/>
                <c:pt idx="0">
                  <c:v>2918.8495915692838</c:v>
                </c:pt>
                <c:pt idx="1">
                  <c:v>2878.2966468989871</c:v>
                </c:pt>
                <c:pt idx="2">
                  <c:v>2838.0629855635702</c:v>
                </c:pt>
                <c:pt idx="3">
                  <c:v>2798.1490936689197</c:v>
                </c:pt>
                <c:pt idx="4">
                  <c:v>2758.5554540274488</c:v>
                </c:pt>
                <c:pt idx="5">
                  <c:v>2719.2825461397751</c:v>
                </c:pt>
                <c:pt idx="6">
                  <c:v>2680.3308461757451</c:v>
                </c:pt>
                <c:pt idx="7">
                  <c:v>2641.700826955916</c:v>
                </c:pt>
                <c:pt idx="8">
                  <c:v>2603.3929579329656</c:v>
                </c:pt>
                <c:pt idx="9">
                  <c:v>2565.4077051733684</c:v>
                </c:pt>
                <c:pt idx="10">
                  <c:v>2527.745531338961</c:v>
                </c:pt>
                <c:pt idx="11">
                  <c:v>2490.406895668812</c:v>
                </c:pt>
                <c:pt idx="12">
                  <c:v>2453.3922539609484</c:v>
                </c:pt>
                <c:pt idx="13">
                  <c:v>2416.7020585545083</c:v>
                </c:pt>
                <c:pt idx="14">
                  <c:v>2380.3367583116014</c:v>
                </c:pt>
                <c:pt idx="15">
                  <c:v>2344.2967985996152</c:v>
                </c:pt>
                <c:pt idx="16">
                  <c:v>2308.5826212735265</c:v>
                </c:pt>
                <c:pt idx="17">
                  <c:v>2273.1946646580468</c:v>
                </c:pt>
                <c:pt idx="18">
                  <c:v>2238.133363530445</c:v>
                </c:pt>
                <c:pt idx="19">
                  <c:v>2203.39914910282</c:v>
                </c:pt>
                <c:pt idx="20">
                  <c:v>2168.9924490050507</c:v>
                </c:pt>
                <c:pt idx="21">
                  <c:v>2134.9136872674544</c:v>
                </c:pt>
                <c:pt idx="22">
                  <c:v>2101.1632843038606</c:v>
                </c:pt>
                <c:pt idx="23">
                  <c:v>2067.7416568945596</c:v>
                </c:pt>
                <c:pt idx="24">
                  <c:v>2034.6492181694086</c:v>
                </c:pt>
                <c:pt idx="25">
                  <c:v>2001.8863775912891</c:v>
                </c:pt>
                <c:pt idx="26">
                  <c:v>1969.4535409394057</c:v>
                </c:pt>
                <c:pt idx="27">
                  <c:v>1937.3511102927434</c:v>
                </c:pt>
                <c:pt idx="28">
                  <c:v>1905.5794840138458</c:v>
                </c:pt>
                <c:pt idx="29">
                  <c:v>1874.1390567325279</c:v>
                </c:pt>
                <c:pt idx="30">
                  <c:v>1843.0302193297173</c:v>
                </c:pt>
                <c:pt idx="31">
                  <c:v>1812.2533589215191</c:v>
                </c:pt>
                <c:pt idx="32">
                  <c:v>1781.8088588434077</c:v>
                </c:pt>
                <c:pt idx="33">
                  <c:v>1751.6970986344204</c:v>
                </c:pt>
                <c:pt idx="34">
                  <c:v>1721.9184540215401</c:v>
                </c:pt>
                <c:pt idx="35">
                  <c:v>1692.4732969044633</c:v>
                </c:pt>
                <c:pt idx="36">
                  <c:v>1663.3619953398884</c:v>
                </c:pt>
                <c:pt idx="37">
                  <c:v>1634.5849135267295</c:v>
                </c:pt>
                <c:pt idx="38">
                  <c:v>1606.1424117907243</c:v>
                </c:pt>
                <c:pt idx="39">
                  <c:v>1578.0348465697127</c:v>
                </c:pt>
                <c:pt idx="40">
                  <c:v>1550.2625703988499</c:v>
                </c:pt>
                <c:pt idx="41">
                  <c:v>1522.8259318957901</c:v>
                </c:pt>
                <c:pt idx="42">
                  <c:v>1495.7252757464753</c:v>
                </c:pt>
                <c:pt idx="43">
                  <c:v>1468.9609426904447</c:v>
                </c:pt>
                <c:pt idx="44">
                  <c:v>1442.533269506944</c:v>
                </c:pt>
                <c:pt idx="45">
                  <c:v>1416.4425890006503</c:v>
                </c:pt>
                <c:pt idx="46">
                  <c:v>1390.6892299877491</c:v>
                </c:pt>
                <c:pt idx="47">
                  <c:v>1365.2735172823614</c:v>
                </c:pt>
                <c:pt idx="48">
                  <c:v>1340.1957716827169</c:v>
                </c:pt>
                <c:pt idx="49">
                  <c:v>1315.4563099576765</c:v>
                </c:pt>
                <c:pt idx="50">
                  <c:v>1291.0554448335768</c:v>
                </c:pt>
                <c:pt idx="51">
                  <c:v>1266.9934849810077</c:v>
                </c:pt>
                <c:pt idx="52">
                  <c:v>1243.2707350015928</c:v>
                </c:pt>
                <c:pt idx="53">
                  <c:v>1219.8874954154699</c:v>
                </c:pt>
                <c:pt idx="54">
                  <c:v>1196.8440626483268</c:v>
                </c:pt>
                <c:pt idx="55">
                  <c:v>1174.1407290190098</c:v>
                </c:pt>
                <c:pt idx="56">
                  <c:v>1151.7777827269733</c:v>
                </c:pt>
                <c:pt idx="57">
                  <c:v>1129.7555078402418</c:v>
                </c:pt>
                <c:pt idx="58">
                  <c:v>1108.0741842832733</c:v>
                </c:pt>
                <c:pt idx="59">
                  <c:v>1086.7340878249845</c:v>
                </c:pt>
                <c:pt idx="60">
                  <c:v>1065.7354900670628</c:v>
                </c:pt>
                <c:pt idx="61">
                  <c:v>1045.0786584324383</c:v>
                </c:pt>
                <c:pt idx="62">
                  <c:v>1024.763856153882</c:v>
                </c:pt>
                <c:pt idx="63">
                  <c:v>1004.7913422626065</c:v>
                </c:pt>
                <c:pt idx="64">
                  <c:v>985.1613715773758</c:v>
                </c:pt>
                <c:pt idx="65">
                  <c:v>965.87419469348754</c:v>
                </c:pt>
                <c:pt idx="66">
                  <c:v>946.93005797213948</c:v>
                </c:pt>
                <c:pt idx="67">
                  <c:v>928.32920352969882</c:v>
                </c:pt>
                <c:pt idx="68">
                  <c:v>910.07186922748394</c:v>
                </c:pt>
                <c:pt idx="69">
                  <c:v>892.1582886614168</c:v>
                </c:pt>
                <c:pt idx="70">
                  <c:v>874.588691152092</c:v>
                </c:pt>
                <c:pt idx="71">
                  <c:v>857.36330173478075</c:v>
                </c:pt>
                <c:pt idx="72">
                  <c:v>840.48234114978698</c:v>
                </c:pt>
                <c:pt idx="73">
                  <c:v>823.94602583296285</c:v>
                </c:pt>
                <c:pt idx="74">
                  <c:v>807.75456790628766</c:v>
                </c:pt>
                <c:pt idx="75">
                  <c:v>791.90817516879872</c:v>
                </c:pt>
                <c:pt idx="76">
                  <c:v>776.40705108752229</c:v>
                </c:pt>
                <c:pt idx="77">
                  <c:v>761.25139478869073</c:v>
                </c:pt>
                <c:pt idx="78">
                  <c:v>746.44140104912105</c:v>
                </c:pt>
                <c:pt idx="79">
                  <c:v>731.97726028781562</c:v>
                </c:pt>
                <c:pt idx="80">
                  <c:v>717.85915855759561</c:v>
                </c:pt>
                <c:pt idx="81">
                  <c:v>704.08727753711707</c:v>
                </c:pt>
                <c:pt idx="82">
                  <c:v>690.66179452298343</c:v>
                </c:pt>
                <c:pt idx="83">
                  <c:v>677.58288242198512</c:v>
                </c:pt>
                <c:pt idx="84">
                  <c:v>664.85070974349935</c:v>
                </c:pt>
                <c:pt idx="85">
                  <c:v>652.46544059236885</c:v>
                </c:pt>
                <c:pt idx="86">
                  <c:v>640.42723466155655</c:v>
                </c:pt>
                <c:pt idx="87">
                  <c:v>628.73624722527984</c:v>
                </c:pt>
                <c:pt idx="88">
                  <c:v>617.39262913220864</c:v>
                </c:pt>
                <c:pt idx="89">
                  <c:v>606.39652679891867</c:v>
                </c:pt>
                <c:pt idx="90">
                  <c:v>595.74808220334489</c:v>
                </c:pt>
                <c:pt idx="91">
                  <c:v>585.44743287884194</c:v>
                </c:pt>
                <c:pt idx="92">
                  <c:v>575.49471190789268</c:v>
                </c:pt>
                <c:pt idx="93">
                  <c:v>565.89004791648767</c:v>
                </c:pt>
                <c:pt idx="94">
                  <c:v>556.63356506837761</c:v>
                </c:pt>
                <c:pt idx="95">
                  <c:v>547.72538305977127</c:v>
                </c:pt>
                <c:pt idx="96">
                  <c:v>539.16561711384361</c:v>
                </c:pt>
                <c:pt idx="97">
                  <c:v>530.95437797594514</c:v>
                </c:pt>
                <c:pt idx="98">
                  <c:v>523.09177190861999</c:v>
                </c:pt>
                <c:pt idx="99">
                  <c:v>515.57790068694419</c:v>
                </c:pt>
                <c:pt idx="100">
                  <c:v>508.41286159408577</c:v>
                </c:pt>
                <c:pt idx="101">
                  <c:v>501.5967474169945</c:v>
                </c:pt>
                <c:pt idx="102">
                  <c:v>495.12964644237769</c:v>
                </c:pt>
                <c:pt idx="103">
                  <c:v>489.01164245280415</c:v>
                </c:pt>
                <c:pt idx="104">
                  <c:v>483.24281472300015</c:v>
                </c:pt>
                <c:pt idx="105">
                  <c:v>477.82323801636795</c:v>
                </c:pt>
                <c:pt idx="106">
                  <c:v>472.75298258166532</c:v>
                </c:pt>
                <c:pt idx="107">
                  <c:v>468.03211415006706</c:v>
                </c:pt>
                <c:pt idx="108">
                  <c:v>463.66069393203549</c:v>
                </c:pt>
                <c:pt idx="109">
                  <c:v>459.63877861482985</c:v>
                </c:pt>
                <c:pt idx="110">
                  <c:v>455.96642035985531</c:v>
                </c:pt>
                <c:pt idx="111">
                  <c:v>452.64366680049187</c:v>
                </c:pt>
                <c:pt idx="112">
                  <c:v>449.67056103995435</c:v>
                </c:pt>
                <c:pt idx="113">
                  <c:v>447.04714164934461</c:v>
                </c:pt>
                <c:pt idx="114">
                  <c:v>444.77344266602285</c:v>
                </c:pt>
                <c:pt idx="115">
                  <c:v>442.84949359197901</c:v>
                </c:pt>
                <c:pt idx="116">
                  <c:v>441.27531939274672</c:v>
                </c:pt>
                <c:pt idx="117">
                  <c:v>440.05094049615832</c:v>
                </c:pt>
                <c:pt idx="118">
                  <c:v>439.17637279138631</c:v>
                </c:pt>
                <c:pt idx="119">
                  <c:v>438.65162762840095</c:v>
                </c:pt>
                <c:pt idx="120">
                  <c:v>438.47671181736308</c:v>
                </c:pt>
                <c:pt idx="121">
                  <c:v>438.65162762840095</c:v>
                </c:pt>
                <c:pt idx="122">
                  <c:v>439.17637279138631</c:v>
                </c:pt>
                <c:pt idx="123">
                  <c:v>440.05094049615832</c:v>
                </c:pt>
                <c:pt idx="124">
                  <c:v>441.27531939274672</c:v>
                </c:pt>
                <c:pt idx="125">
                  <c:v>442.84949359197901</c:v>
                </c:pt>
                <c:pt idx="126">
                  <c:v>444.77344266602285</c:v>
                </c:pt>
                <c:pt idx="127">
                  <c:v>447.04714164934461</c:v>
                </c:pt>
                <c:pt idx="128">
                  <c:v>449.67056103995435</c:v>
                </c:pt>
                <c:pt idx="129">
                  <c:v>452.64366680049187</c:v>
                </c:pt>
                <c:pt idx="130">
                  <c:v>455.96642035985531</c:v>
                </c:pt>
                <c:pt idx="131">
                  <c:v>459.63877861482985</c:v>
                </c:pt>
                <c:pt idx="132">
                  <c:v>463.66069393203549</c:v>
                </c:pt>
                <c:pt idx="133">
                  <c:v>468.03211415006706</c:v>
                </c:pt>
                <c:pt idx="134">
                  <c:v>472.75298258166532</c:v>
                </c:pt>
                <c:pt idx="135">
                  <c:v>477.82323801636795</c:v>
                </c:pt>
                <c:pt idx="136">
                  <c:v>483.24281472300015</c:v>
                </c:pt>
                <c:pt idx="137">
                  <c:v>489.01164245280415</c:v>
                </c:pt>
                <c:pt idx="138">
                  <c:v>495.12964644237769</c:v>
                </c:pt>
                <c:pt idx="139">
                  <c:v>501.5967474169945</c:v>
                </c:pt>
                <c:pt idx="140">
                  <c:v>508.41286159408577</c:v>
                </c:pt>
                <c:pt idx="141">
                  <c:v>515.57790068694419</c:v>
                </c:pt>
                <c:pt idx="142">
                  <c:v>523.09177190861999</c:v>
                </c:pt>
                <c:pt idx="143">
                  <c:v>530.95437797594514</c:v>
                </c:pt>
                <c:pt idx="144">
                  <c:v>539.16561711384361</c:v>
                </c:pt>
                <c:pt idx="145">
                  <c:v>547.72538305977127</c:v>
                </c:pt>
                <c:pt idx="146">
                  <c:v>556.63356506837761</c:v>
                </c:pt>
                <c:pt idx="147">
                  <c:v>565.89004791648767</c:v>
                </c:pt>
                <c:pt idx="148">
                  <c:v>575.49471190789268</c:v>
                </c:pt>
                <c:pt idx="149">
                  <c:v>585.44743287884194</c:v>
                </c:pt>
                <c:pt idx="150">
                  <c:v>595.74808220334489</c:v>
                </c:pt>
                <c:pt idx="151">
                  <c:v>606.39652679891867</c:v>
                </c:pt>
                <c:pt idx="152">
                  <c:v>617.39262913220864</c:v>
                </c:pt>
                <c:pt idx="153">
                  <c:v>628.73624722527984</c:v>
                </c:pt>
                <c:pt idx="154">
                  <c:v>640.42723466155655</c:v>
                </c:pt>
                <c:pt idx="155">
                  <c:v>652.46544059236885</c:v>
                </c:pt>
                <c:pt idx="156">
                  <c:v>664.85070974349935</c:v>
                </c:pt>
                <c:pt idx="157">
                  <c:v>677.58288242198512</c:v>
                </c:pt>
                <c:pt idx="158">
                  <c:v>690.66179452298343</c:v>
                </c:pt>
                <c:pt idx="159">
                  <c:v>704.08727753711707</c:v>
                </c:pt>
                <c:pt idx="160">
                  <c:v>717.85915855759561</c:v>
                </c:pt>
                <c:pt idx="161">
                  <c:v>731.97726028781562</c:v>
                </c:pt>
                <c:pt idx="162">
                  <c:v>746.44140104912105</c:v>
                </c:pt>
                <c:pt idx="163">
                  <c:v>761.25139478869073</c:v>
                </c:pt>
                <c:pt idx="164">
                  <c:v>776.40705108752229</c:v>
                </c:pt>
                <c:pt idx="165">
                  <c:v>791.90817516879872</c:v>
                </c:pt>
                <c:pt idx="166">
                  <c:v>807.75456790628766</c:v>
                </c:pt>
                <c:pt idx="167">
                  <c:v>823.94602583296285</c:v>
                </c:pt>
                <c:pt idx="168">
                  <c:v>840.48234114978698</c:v>
                </c:pt>
                <c:pt idx="169">
                  <c:v>857.36330173478075</c:v>
                </c:pt>
                <c:pt idx="170">
                  <c:v>874.588691152092</c:v>
                </c:pt>
                <c:pt idx="171">
                  <c:v>892.1582886614168</c:v>
                </c:pt>
                <c:pt idx="172">
                  <c:v>910.07186922748394</c:v>
                </c:pt>
                <c:pt idx="173">
                  <c:v>928.32920352969882</c:v>
                </c:pt>
                <c:pt idx="174">
                  <c:v>946.93005797213948</c:v>
                </c:pt>
                <c:pt idx="175">
                  <c:v>965.87419469348754</c:v>
                </c:pt>
                <c:pt idx="176">
                  <c:v>985.1613715773758</c:v>
                </c:pt>
                <c:pt idx="177">
                  <c:v>1004.7913422626065</c:v>
                </c:pt>
                <c:pt idx="178">
                  <c:v>1024.763856153882</c:v>
                </c:pt>
                <c:pt idx="179">
                  <c:v>1045.0786584324383</c:v>
                </c:pt>
                <c:pt idx="180">
                  <c:v>1065.7354900670628</c:v>
                </c:pt>
                <c:pt idx="181">
                  <c:v>1086.7340878249845</c:v>
                </c:pt>
                <c:pt idx="182">
                  <c:v>1108.0741842832733</c:v>
                </c:pt>
                <c:pt idx="183">
                  <c:v>1129.7555078402418</c:v>
                </c:pt>
                <c:pt idx="184">
                  <c:v>1151.7777827269733</c:v>
                </c:pt>
                <c:pt idx="185">
                  <c:v>1174.1407290190098</c:v>
                </c:pt>
                <c:pt idx="186">
                  <c:v>1196.8440626483268</c:v>
                </c:pt>
                <c:pt idx="187">
                  <c:v>1219.8874954154699</c:v>
                </c:pt>
                <c:pt idx="188">
                  <c:v>1243.2707350015928</c:v>
                </c:pt>
                <c:pt idx="189">
                  <c:v>1266.9934849810077</c:v>
                </c:pt>
                <c:pt idx="190">
                  <c:v>1291.0554448335768</c:v>
                </c:pt>
                <c:pt idx="191">
                  <c:v>1315.4563099576765</c:v>
                </c:pt>
                <c:pt idx="192">
                  <c:v>1340.1957716827169</c:v>
                </c:pt>
                <c:pt idx="193">
                  <c:v>1365.2735172823614</c:v>
                </c:pt>
                <c:pt idx="194">
                  <c:v>1390.6892299877491</c:v>
                </c:pt>
                <c:pt idx="195">
                  <c:v>1416.4425890006503</c:v>
                </c:pt>
                <c:pt idx="196">
                  <c:v>1442.533269506944</c:v>
                </c:pt>
                <c:pt idx="197">
                  <c:v>1468.9609426904447</c:v>
                </c:pt>
                <c:pt idx="198">
                  <c:v>1495.7252757464753</c:v>
                </c:pt>
                <c:pt idx="199">
                  <c:v>1522.8259318957901</c:v>
                </c:pt>
                <c:pt idx="200">
                  <c:v>1550.2625703988499</c:v>
                </c:pt>
                <c:pt idx="201">
                  <c:v>1578.0348465697127</c:v>
                </c:pt>
                <c:pt idx="202">
                  <c:v>1606.1424117907243</c:v>
                </c:pt>
                <c:pt idx="203">
                  <c:v>1634.5849135267295</c:v>
                </c:pt>
                <c:pt idx="204">
                  <c:v>1663.3619953398884</c:v>
                </c:pt>
                <c:pt idx="205">
                  <c:v>1692.4732969044633</c:v>
                </c:pt>
                <c:pt idx="206">
                  <c:v>1721.9184540215401</c:v>
                </c:pt>
                <c:pt idx="207">
                  <c:v>1751.6970986344204</c:v>
                </c:pt>
                <c:pt idx="208">
                  <c:v>1781.8088588434077</c:v>
                </c:pt>
                <c:pt idx="209">
                  <c:v>1812.2533589215191</c:v>
                </c:pt>
                <c:pt idx="210">
                  <c:v>1843.0302193297173</c:v>
                </c:pt>
                <c:pt idx="211">
                  <c:v>1874.1390567325279</c:v>
                </c:pt>
                <c:pt idx="212">
                  <c:v>1905.5794840138458</c:v>
                </c:pt>
                <c:pt idx="213">
                  <c:v>1937.3511102927434</c:v>
                </c:pt>
                <c:pt idx="214">
                  <c:v>1969.4535409394057</c:v>
                </c:pt>
                <c:pt idx="215">
                  <c:v>2001.8863775912891</c:v>
                </c:pt>
                <c:pt idx="216">
                  <c:v>2034.6492181694086</c:v>
                </c:pt>
                <c:pt idx="217">
                  <c:v>2067.7416568945596</c:v>
                </c:pt>
                <c:pt idx="218">
                  <c:v>2101.1632843038606</c:v>
                </c:pt>
                <c:pt idx="219">
                  <c:v>2134.9136872674544</c:v>
                </c:pt>
                <c:pt idx="220">
                  <c:v>2168.9924490050507</c:v>
                </c:pt>
                <c:pt idx="221">
                  <c:v>2203.39914910282</c:v>
                </c:pt>
                <c:pt idx="222">
                  <c:v>2238.133363530445</c:v>
                </c:pt>
                <c:pt idx="223">
                  <c:v>2273.1946646580468</c:v>
                </c:pt>
                <c:pt idx="224">
                  <c:v>2308.5826212735265</c:v>
                </c:pt>
                <c:pt idx="225">
                  <c:v>2344.2967985996152</c:v>
                </c:pt>
                <c:pt idx="226">
                  <c:v>2380.3367583116014</c:v>
                </c:pt>
                <c:pt idx="227">
                  <c:v>2416.7020585545083</c:v>
                </c:pt>
                <c:pt idx="228">
                  <c:v>2453.3922539609484</c:v>
                </c:pt>
                <c:pt idx="229">
                  <c:v>2490.406895668812</c:v>
                </c:pt>
                <c:pt idx="230">
                  <c:v>2527.745531338961</c:v>
                </c:pt>
                <c:pt idx="231">
                  <c:v>2565.4077051733684</c:v>
                </c:pt>
                <c:pt idx="232">
                  <c:v>2603.3929579329656</c:v>
                </c:pt>
                <c:pt idx="233">
                  <c:v>2641.700826955916</c:v>
                </c:pt>
                <c:pt idx="234">
                  <c:v>2680.3308461757451</c:v>
                </c:pt>
                <c:pt idx="235">
                  <c:v>2719.2825461397751</c:v>
                </c:pt>
                <c:pt idx="236">
                  <c:v>2758.5554540274488</c:v>
                </c:pt>
                <c:pt idx="237">
                  <c:v>2798.1490936689197</c:v>
                </c:pt>
                <c:pt idx="238">
                  <c:v>2838.0629855635702</c:v>
                </c:pt>
                <c:pt idx="239">
                  <c:v>2878.2966468989871</c:v>
                </c:pt>
                <c:pt idx="240">
                  <c:v>2918.8495915692838</c:v>
                </c:pt>
              </c:numCache>
            </c:numRef>
          </c:val>
          <c:smooth val="0"/>
          <c:extLst>
            <c:ext xmlns:c16="http://schemas.microsoft.com/office/drawing/2014/chart" uri="{C3380CC4-5D6E-409C-BE32-E72D297353CC}">
              <c16:uniqueId val="{00000001-64B1-4446-9ED5-782B755AAD25}"/>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overlay val="0"/>
        </c:title>
        <c:numFmt formatCode="0.000" sourceLinked="1"/>
        <c:majorTickMark val="none"/>
        <c:minorTickMark val="none"/>
        <c:tickLblPos val="nextTo"/>
        <c:crossAx val="48672768"/>
        <c:crosses val="autoZero"/>
        <c:auto val="1"/>
        <c:lblAlgn val="ctr"/>
        <c:lblOffset val="100"/>
        <c:tickLblSkip val="24"/>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overlay val="0"/>
        </c:title>
        <c:numFmt formatCode="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Checked Paper Pass Apparent-Depth Outcomes</a:t>
            </a:r>
          </a:p>
        </c:rich>
      </c:tx>
      <c:overlay val="0"/>
    </c:title>
    <c:autoTitleDeleted val="0"/>
    <c:plotArea>
      <c:layout/>
      <c:lineChart>
        <c:grouping val="standard"/>
        <c:varyColors val="1"/>
        <c:ser>
          <c:idx val="0"/>
          <c:order val="0"/>
          <c:tx>
            <c:v>Current custom inputs apparent depth (m)</c:v>
          </c:tx>
          <c:spPr>
            <a:ln w="9000"/>
          </c:spPr>
          <c:cat>
            <c:numRef>
              <c:f>Scenario_Data!$G$2:$G$242</c:f>
              <c:numCache>
                <c:formatCode>0.000</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cat>
          <c:val>
            <c:numRef>
              <c:f>Scenario_Data!$H$2:$H$242</c:f>
              <c:numCache>
                <c:formatCode>0.000</c:formatCode>
                <c:ptCount val="241"/>
                <c:pt idx="0">
                  <c:v>2918.8495915692838</c:v>
                </c:pt>
                <c:pt idx="1">
                  <c:v>2879.9126376923959</c:v>
                </c:pt>
                <c:pt idx="2">
                  <c:v>2836.4602870901558</c:v>
                </c:pt>
                <c:pt idx="3">
                  <c:v>2798.1490936689197</c:v>
                </c:pt>
                <c:pt idx="4">
                  <c:v>2760.1330447441346</c:v>
                </c:pt>
                <c:pt idx="5">
                  <c:v>2717.7183077910331</c:v>
                </c:pt>
                <c:pt idx="6">
                  <c:v>2680.3308461757451</c:v>
                </c:pt>
                <c:pt idx="7">
                  <c:v>2643.2398455545776</c:v>
                </c:pt>
                <c:pt idx="8">
                  <c:v>2601.8673504997391</c:v>
                </c:pt>
                <c:pt idx="9">
                  <c:v>2565.4077051733684</c:v>
                </c:pt>
                <c:pt idx="10">
                  <c:v>2529.2458094050999</c:v>
                </c:pt>
                <c:pt idx="11">
                  <c:v>2488.9200862943194</c:v>
                </c:pt>
                <c:pt idx="12">
                  <c:v>2453.3922539609484</c:v>
                </c:pt>
                <c:pt idx="13">
                  <c:v>2418.1634313598552</c:v>
                </c:pt>
                <c:pt idx="14">
                  <c:v>2378.8889104324562</c:v>
                </c:pt>
                <c:pt idx="15">
                  <c:v>2344.2967985996152</c:v>
                </c:pt>
                <c:pt idx="16">
                  <c:v>2310.0049278348683</c:v>
                </c:pt>
                <c:pt idx="17">
                  <c:v>2271.7859379457841</c:v>
                </c:pt>
                <c:pt idx="18">
                  <c:v>2238.133363530445</c:v>
                </c:pt>
                <c:pt idx="19">
                  <c:v>2204.7822322393863</c:v>
                </c:pt>
                <c:pt idx="20">
                  <c:v>2167.6229993089323</c:v>
                </c:pt>
                <c:pt idx="21">
                  <c:v>2134.9136872674544</c:v>
                </c:pt>
                <c:pt idx="22">
                  <c:v>2102.5069906940053</c:v>
                </c:pt>
                <c:pt idx="23">
                  <c:v>2066.411636185434</c:v>
                </c:pt>
                <c:pt idx="24">
                  <c:v>2034.6492181694086</c:v>
                </c:pt>
                <c:pt idx="25">
                  <c:v>2003.1905578278656</c:v>
                </c:pt>
                <c:pt idx="26">
                  <c:v>1968.1630972546204</c:v>
                </c:pt>
                <c:pt idx="27">
                  <c:v>1937.3511102927434</c:v>
                </c:pt>
                <c:pt idx="28">
                  <c:v>1906.8439926586877</c:v>
                </c:pt>
                <c:pt idx="29">
                  <c:v>1872.8883341218011</c:v>
                </c:pt>
                <c:pt idx="30">
                  <c:v>1843.0302193297173</c:v>
                </c:pt>
                <c:pt idx="31">
                  <c:v>1813.4780545586109</c:v>
                </c:pt>
                <c:pt idx="32">
                  <c:v>1780.5979973162634</c:v>
                </c:pt>
                <c:pt idx="33">
                  <c:v>1751.6970986344204</c:v>
                </c:pt>
                <c:pt idx="34">
                  <c:v>1723.1031993090069</c:v>
                </c:pt>
                <c:pt idx="35">
                  <c:v>1691.3024323785614</c:v>
                </c:pt>
                <c:pt idx="36">
                  <c:v>1663.3619953398884</c:v>
                </c:pt>
                <c:pt idx="37">
                  <c:v>1635.7295752474204</c:v>
                </c:pt>
                <c:pt idx="38">
                  <c:v>1605.0116760415644</c:v>
                </c:pt>
                <c:pt idx="39">
                  <c:v>1578.0348465697127</c:v>
                </c:pt>
                <c:pt idx="40">
                  <c:v>1551.3670195100287</c:v>
                </c:pt>
                <c:pt idx="41">
                  <c:v>1521.7354525077872</c:v>
                </c:pt>
                <c:pt idx="42">
                  <c:v>1495.7252757464753</c:v>
                </c:pt>
                <c:pt idx="43">
                  <c:v>1470.0250543717877</c:v>
                </c:pt>
                <c:pt idx="44">
                  <c:v>1441.4831698256544</c:v>
                </c:pt>
                <c:pt idx="45">
                  <c:v>1416.4425890006503</c:v>
                </c:pt>
                <c:pt idx="46">
                  <c:v>1391.7128836880649</c:v>
                </c:pt>
                <c:pt idx="47">
                  <c:v>1364.2639163684019</c:v>
                </c:pt>
                <c:pt idx="48">
                  <c:v>1340.1957716827169</c:v>
                </c:pt>
                <c:pt idx="49">
                  <c:v>1316.439389440221</c:v>
                </c:pt>
                <c:pt idx="50">
                  <c:v>1290.0864574175641</c:v>
                </c:pt>
                <c:pt idx="51">
                  <c:v>1266.9934849810077</c:v>
                </c:pt>
                <c:pt idx="52">
                  <c:v>1244.2131283881388</c:v>
                </c:pt>
                <c:pt idx="53">
                  <c:v>1218.9592318547825</c:v>
                </c:pt>
                <c:pt idx="54">
                  <c:v>1196.8440626483268</c:v>
                </c:pt>
                <c:pt idx="55">
                  <c:v>1175.0423288320967</c:v>
                </c:pt>
                <c:pt idx="56">
                  <c:v>1150.8903489637885</c:v>
                </c:pt>
                <c:pt idx="57">
                  <c:v>1129.7555078402418</c:v>
                </c:pt>
                <c:pt idx="58">
                  <c:v>1108.934887487211</c:v>
                </c:pt>
                <c:pt idx="59">
                  <c:v>1085.8875853460092</c:v>
                </c:pt>
                <c:pt idx="60">
                  <c:v>1065.7354900670628</c:v>
                </c:pt>
                <c:pt idx="61">
                  <c:v>1045.8983664725858</c:v>
                </c:pt>
                <c:pt idx="62">
                  <c:v>1023.9583819513614</c:v>
                </c:pt>
                <c:pt idx="63">
                  <c:v>1004.7913422626065</c:v>
                </c:pt>
                <c:pt idx="64">
                  <c:v>985.93999041798509</c:v>
                </c:pt>
                <c:pt idx="65">
                  <c:v>965.10984122816035</c:v>
                </c:pt>
                <c:pt idx="66">
                  <c:v>946.93005797213948</c:v>
                </c:pt>
                <c:pt idx="67">
                  <c:v>929.0666436899993</c:v>
                </c:pt>
                <c:pt idx="68">
                  <c:v>909.34872439278388</c:v>
                </c:pt>
                <c:pt idx="69">
                  <c:v>892.1582886614168</c:v>
                </c:pt>
                <c:pt idx="70">
                  <c:v>875.28486774094029</c:v>
                </c:pt>
                <c:pt idx="71">
                  <c:v>856.68144882314596</c:v>
                </c:pt>
                <c:pt idx="72">
                  <c:v>840.48234114978698</c:v>
                </c:pt>
                <c:pt idx="73">
                  <c:v>824.60085858154378</c:v>
                </c:pt>
                <c:pt idx="74">
                  <c:v>807.11408557674713</c:v>
                </c:pt>
                <c:pt idx="75">
                  <c:v>791.90817516879872</c:v>
                </c:pt>
                <c:pt idx="76">
                  <c:v>777.02046438054845</c:v>
                </c:pt>
                <c:pt idx="77">
                  <c:v>760.65235703630265</c:v>
                </c:pt>
                <c:pt idx="78">
                  <c:v>746.44140104912105</c:v>
                </c:pt>
                <c:pt idx="79">
                  <c:v>732.54918319297133</c:v>
                </c:pt>
                <c:pt idx="80">
                  <c:v>717.30163468477042</c:v>
                </c:pt>
                <c:pt idx="81">
                  <c:v>704.08727753711707</c:v>
                </c:pt>
                <c:pt idx="82">
                  <c:v>691.1921608185479</c:v>
                </c:pt>
                <c:pt idx="83">
                  <c:v>677.06693701127733</c:v>
                </c:pt>
                <c:pt idx="84">
                  <c:v>664.85070974349935</c:v>
                </c:pt>
                <c:pt idx="85">
                  <c:v>652.9541887930834</c:v>
                </c:pt>
                <c:pt idx="86">
                  <c:v>639.95292755053242</c:v>
                </c:pt>
                <c:pt idx="87">
                  <c:v>628.73624722527984</c:v>
                </c:pt>
                <c:pt idx="88">
                  <c:v>617.83970251345056</c:v>
                </c:pt>
                <c:pt idx="89">
                  <c:v>605.96391305658813</c:v>
                </c:pt>
                <c:pt idx="90">
                  <c:v>595.74808220334489</c:v>
                </c:pt>
                <c:pt idx="91">
                  <c:v>585.85277949869203</c:v>
                </c:pt>
                <c:pt idx="92">
                  <c:v>575.10384181321774</c:v>
                </c:pt>
                <c:pt idx="93">
                  <c:v>565.89004791648767</c:v>
                </c:pt>
                <c:pt idx="94">
                  <c:v>556.9971377883129</c:v>
                </c:pt>
                <c:pt idx="95">
                  <c:v>547.37630208177086</c:v>
                </c:pt>
                <c:pt idx="96">
                  <c:v>539.16561711384361</c:v>
                </c:pt>
                <c:pt idx="97">
                  <c:v>531.27613447916985</c:v>
                </c:pt>
                <c:pt idx="98">
                  <c:v>522.78452068855017</c:v>
                </c:pt>
                <c:pt idx="99">
                  <c:v>515.57790068694419</c:v>
                </c:pt>
                <c:pt idx="100">
                  <c:v>508.69276440232881</c:v>
                </c:pt>
                <c:pt idx="101">
                  <c:v>501.33136175215793</c:v>
                </c:pt>
                <c:pt idx="102">
                  <c:v>495.12964644237769</c:v>
                </c:pt>
                <c:pt idx="103">
                  <c:v>489.24965894113654</c:v>
                </c:pt>
                <c:pt idx="104">
                  <c:v>483.01932555279075</c:v>
                </c:pt>
                <c:pt idx="105">
                  <c:v>477.82323801636795</c:v>
                </c:pt>
                <c:pt idx="106">
                  <c:v>472.94908499136989</c:v>
                </c:pt>
                <c:pt idx="107">
                  <c:v>467.85054754357924</c:v>
                </c:pt>
                <c:pt idx="108">
                  <c:v>463.66069393203549</c:v>
                </c:pt>
                <c:pt idx="109">
                  <c:v>459.7929440643228</c:v>
                </c:pt>
                <c:pt idx="110">
                  <c:v>455.82679750566513</c:v>
                </c:pt>
                <c:pt idx="111">
                  <c:v>452.64366680049187</c:v>
                </c:pt>
                <c:pt idx="112">
                  <c:v>449.78277153401439</c:v>
                </c:pt>
                <c:pt idx="113">
                  <c:v>446.94947884704686</c:v>
                </c:pt>
                <c:pt idx="114">
                  <c:v>444.77344266602285</c:v>
                </c:pt>
                <c:pt idx="115">
                  <c:v>442.91973602870905</c:v>
                </c:pt>
                <c:pt idx="116">
                  <c:v>441.21962804653646</c:v>
                </c:pt>
                <c:pt idx="117">
                  <c:v>440.05094049615832</c:v>
                </c:pt>
                <c:pt idx="118">
                  <c:v>439.20463896751465</c:v>
                </c:pt>
                <c:pt idx="119">
                  <c:v>438.63791424247449</c:v>
                </c:pt>
                <c:pt idx="120">
                  <c:v>438.47671181736308</c:v>
                </c:pt>
                <c:pt idx="121">
                  <c:v>438.63791424247449</c:v>
                </c:pt>
                <c:pt idx="122">
                  <c:v>439.20463896751465</c:v>
                </c:pt>
                <c:pt idx="123">
                  <c:v>440.05094049615832</c:v>
                </c:pt>
                <c:pt idx="124">
                  <c:v>441.21962804653646</c:v>
                </c:pt>
                <c:pt idx="125">
                  <c:v>442.91973602870905</c:v>
                </c:pt>
                <c:pt idx="126">
                  <c:v>444.77344266602285</c:v>
                </c:pt>
                <c:pt idx="127">
                  <c:v>446.94947884704686</c:v>
                </c:pt>
                <c:pt idx="128">
                  <c:v>449.78277153401439</c:v>
                </c:pt>
                <c:pt idx="129">
                  <c:v>452.64366680049187</c:v>
                </c:pt>
                <c:pt idx="130">
                  <c:v>455.82679750566513</c:v>
                </c:pt>
                <c:pt idx="131">
                  <c:v>459.7929440643228</c:v>
                </c:pt>
                <c:pt idx="132">
                  <c:v>463.66069393203549</c:v>
                </c:pt>
                <c:pt idx="133">
                  <c:v>467.85054754357924</c:v>
                </c:pt>
                <c:pt idx="134">
                  <c:v>472.94908499136989</c:v>
                </c:pt>
                <c:pt idx="135">
                  <c:v>477.82323801636795</c:v>
                </c:pt>
                <c:pt idx="136">
                  <c:v>483.01932555279075</c:v>
                </c:pt>
                <c:pt idx="137">
                  <c:v>489.24965894113654</c:v>
                </c:pt>
                <c:pt idx="138">
                  <c:v>495.12964644237769</c:v>
                </c:pt>
                <c:pt idx="139">
                  <c:v>501.33136175215793</c:v>
                </c:pt>
                <c:pt idx="140">
                  <c:v>508.69276440232881</c:v>
                </c:pt>
                <c:pt idx="141">
                  <c:v>515.57790068694419</c:v>
                </c:pt>
                <c:pt idx="142">
                  <c:v>522.78452068855017</c:v>
                </c:pt>
                <c:pt idx="143">
                  <c:v>531.27613447916985</c:v>
                </c:pt>
                <c:pt idx="144">
                  <c:v>539.16561711384361</c:v>
                </c:pt>
                <c:pt idx="145">
                  <c:v>547.37630208177086</c:v>
                </c:pt>
                <c:pt idx="146">
                  <c:v>556.9971377883129</c:v>
                </c:pt>
                <c:pt idx="147">
                  <c:v>565.89004791648767</c:v>
                </c:pt>
                <c:pt idx="148">
                  <c:v>575.10384181321774</c:v>
                </c:pt>
                <c:pt idx="149">
                  <c:v>585.85277949869203</c:v>
                </c:pt>
                <c:pt idx="150">
                  <c:v>595.74808220334489</c:v>
                </c:pt>
                <c:pt idx="151">
                  <c:v>605.96391305658813</c:v>
                </c:pt>
                <c:pt idx="152">
                  <c:v>617.83970251345056</c:v>
                </c:pt>
                <c:pt idx="153">
                  <c:v>628.73624722527984</c:v>
                </c:pt>
                <c:pt idx="154">
                  <c:v>639.95292755053242</c:v>
                </c:pt>
                <c:pt idx="155">
                  <c:v>652.9541887930834</c:v>
                </c:pt>
                <c:pt idx="156">
                  <c:v>664.85070974349935</c:v>
                </c:pt>
                <c:pt idx="157">
                  <c:v>677.06693701127733</c:v>
                </c:pt>
                <c:pt idx="158">
                  <c:v>691.1921608185479</c:v>
                </c:pt>
                <c:pt idx="159">
                  <c:v>704.08727753711707</c:v>
                </c:pt>
                <c:pt idx="160">
                  <c:v>717.30163468477042</c:v>
                </c:pt>
                <c:pt idx="161">
                  <c:v>732.54918319297133</c:v>
                </c:pt>
                <c:pt idx="162">
                  <c:v>746.44140104912105</c:v>
                </c:pt>
                <c:pt idx="163">
                  <c:v>760.65235703630265</c:v>
                </c:pt>
                <c:pt idx="164">
                  <c:v>777.02046438054845</c:v>
                </c:pt>
                <c:pt idx="165">
                  <c:v>791.90817516879872</c:v>
                </c:pt>
                <c:pt idx="166">
                  <c:v>807.11408557674713</c:v>
                </c:pt>
                <c:pt idx="167">
                  <c:v>824.60085858154378</c:v>
                </c:pt>
                <c:pt idx="168">
                  <c:v>840.48234114978698</c:v>
                </c:pt>
                <c:pt idx="169">
                  <c:v>856.68144882314596</c:v>
                </c:pt>
                <c:pt idx="170">
                  <c:v>875.28486774094029</c:v>
                </c:pt>
                <c:pt idx="171">
                  <c:v>892.1582886614168</c:v>
                </c:pt>
                <c:pt idx="172">
                  <c:v>909.34872439278388</c:v>
                </c:pt>
                <c:pt idx="173">
                  <c:v>929.0666436899993</c:v>
                </c:pt>
                <c:pt idx="174">
                  <c:v>946.93005797213948</c:v>
                </c:pt>
                <c:pt idx="175">
                  <c:v>965.10984122816035</c:v>
                </c:pt>
                <c:pt idx="176">
                  <c:v>985.93999041798509</c:v>
                </c:pt>
                <c:pt idx="177">
                  <c:v>1004.7913422626065</c:v>
                </c:pt>
                <c:pt idx="178">
                  <c:v>1023.9583819513614</c:v>
                </c:pt>
                <c:pt idx="179">
                  <c:v>1045.8983664725858</c:v>
                </c:pt>
                <c:pt idx="180">
                  <c:v>1065.7354900670628</c:v>
                </c:pt>
                <c:pt idx="181">
                  <c:v>1085.8875853460092</c:v>
                </c:pt>
                <c:pt idx="182">
                  <c:v>1108.934887487211</c:v>
                </c:pt>
                <c:pt idx="183">
                  <c:v>1129.7555078402418</c:v>
                </c:pt>
                <c:pt idx="184">
                  <c:v>1150.8903489637885</c:v>
                </c:pt>
                <c:pt idx="185">
                  <c:v>1175.0423288320967</c:v>
                </c:pt>
                <c:pt idx="186">
                  <c:v>1196.8440626483268</c:v>
                </c:pt>
                <c:pt idx="187">
                  <c:v>1218.9592318547825</c:v>
                </c:pt>
                <c:pt idx="188">
                  <c:v>1244.2131283881388</c:v>
                </c:pt>
                <c:pt idx="189">
                  <c:v>1266.9934849810077</c:v>
                </c:pt>
                <c:pt idx="190">
                  <c:v>1290.0864574175641</c:v>
                </c:pt>
                <c:pt idx="191">
                  <c:v>1316.439389440221</c:v>
                </c:pt>
                <c:pt idx="192">
                  <c:v>1340.1957716827169</c:v>
                </c:pt>
                <c:pt idx="193">
                  <c:v>1364.2639163684019</c:v>
                </c:pt>
                <c:pt idx="194">
                  <c:v>1391.7128836880649</c:v>
                </c:pt>
                <c:pt idx="195">
                  <c:v>1416.4425890006503</c:v>
                </c:pt>
                <c:pt idx="196">
                  <c:v>1441.4831698256544</c:v>
                </c:pt>
                <c:pt idx="197">
                  <c:v>1470.0250543717877</c:v>
                </c:pt>
                <c:pt idx="198">
                  <c:v>1495.7252757464753</c:v>
                </c:pt>
                <c:pt idx="199">
                  <c:v>1521.7354525077872</c:v>
                </c:pt>
                <c:pt idx="200">
                  <c:v>1551.3670195100287</c:v>
                </c:pt>
                <c:pt idx="201">
                  <c:v>1578.0348465697127</c:v>
                </c:pt>
                <c:pt idx="202">
                  <c:v>1605.0116760415644</c:v>
                </c:pt>
                <c:pt idx="203">
                  <c:v>1635.7295752474204</c:v>
                </c:pt>
                <c:pt idx="204">
                  <c:v>1663.3619953398884</c:v>
                </c:pt>
                <c:pt idx="205">
                  <c:v>1691.3024323785614</c:v>
                </c:pt>
                <c:pt idx="206">
                  <c:v>1723.1031993090069</c:v>
                </c:pt>
                <c:pt idx="207">
                  <c:v>1751.6970986344204</c:v>
                </c:pt>
                <c:pt idx="208">
                  <c:v>1780.5979973162634</c:v>
                </c:pt>
                <c:pt idx="209">
                  <c:v>1813.4780545586109</c:v>
                </c:pt>
                <c:pt idx="210">
                  <c:v>1843.0302193297173</c:v>
                </c:pt>
                <c:pt idx="211">
                  <c:v>1872.8883341218011</c:v>
                </c:pt>
                <c:pt idx="212">
                  <c:v>1906.8439926586877</c:v>
                </c:pt>
                <c:pt idx="213">
                  <c:v>1937.3511102927434</c:v>
                </c:pt>
                <c:pt idx="214">
                  <c:v>1968.1630972545884</c:v>
                </c:pt>
                <c:pt idx="215">
                  <c:v>2003.1905578278656</c:v>
                </c:pt>
                <c:pt idx="216">
                  <c:v>2034.6492181694086</c:v>
                </c:pt>
                <c:pt idx="217">
                  <c:v>2066.411636185434</c:v>
                </c:pt>
                <c:pt idx="218">
                  <c:v>2102.5069906940053</c:v>
                </c:pt>
                <c:pt idx="219">
                  <c:v>2134.9136872674544</c:v>
                </c:pt>
                <c:pt idx="220">
                  <c:v>2167.6229993089323</c:v>
                </c:pt>
                <c:pt idx="221">
                  <c:v>2204.7822322393863</c:v>
                </c:pt>
                <c:pt idx="222">
                  <c:v>2238.133363530445</c:v>
                </c:pt>
                <c:pt idx="223">
                  <c:v>2271.7859379457841</c:v>
                </c:pt>
                <c:pt idx="224">
                  <c:v>2310.0049278348683</c:v>
                </c:pt>
                <c:pt idx="225">
                  <c:v>2344.2967985996152</c:v>
                </c:pt>
                <c:pt idx="226">
                  <c:v>2378.8889104324562</c:v>
                </c:pt>
                <c:pt idx="227">
                  <c:v>2418.1634313598552</c:v>
                </c:pt>
                <c:pt idx="228">
                  <c:v>2453.3922539609484</c:v>
                </c:pt>
                <c:pt idx="229">
                  <c:v>2488.9200862943194</c:v>
                </c:pt>
                <c:pt idx="230">
                  <c:v>2529.2458094050999</c:v>
                </c:pt>
                <c:pt idx="231">
                  <c:v>2565.4077051733684</c:v>
                </c:pt>
                <c:pt idx="232">
                  <c:v>2601.8673504997391</c:v>
                </c:pt>
                <c:pt idx="233">
                  <c:v>2643.2398455545776</c:v>
                </c:pt>
                <c:pt idx="234">
                  <c:v>2680.3308461757451</c:v>
                </c:pt>
                <c:pt idx="235">
                  <c:v>2717.7183077910331</c:v>
                </c:pt>
                <c:pt idx="236">
                  <c:v>2760.1330447441346</c:v>
                </c:pt>
                <c:pt idx="237">
                  <c:v>2798.1490936689197</c:v>
                </c:pt>
                <c:pt idx="238">
                  <c:v>2836.4602870901558</c:v>
                </c:pt>
                <c:pt idx="239">
                  <c:v>2879.9126376923959</c:v>
                </c:pt>
                <c:pt idx="240">
                  <c:v>2918.8495915692838</c:v>
                </c:pt>
              </c:numCache>
            </c:numRef>
          </c:val>
          <c:smooth val="0"/>
          <c:extLst>
            <c:ext xmlns:c16="http://schemas.microsoft.com/office/drawing/2014/chart" uri="{C3380CC4-5D6E-409C-BE32-E72D297353CC}">
              <c16:uniqueId val="{00000000-D2F5-480D-ADA2-C57FE03A3CB1}"/>
            </c:ext>
          </c:extLst>
        </c:ser>
        <c:ser>
          <c:idx val="1"/>
          <c:order val="1"/>
          <c:tx>
            <c:v>Paper low-altitude 800-km pass apparent depth (m)</c:v>
          </c:tx>
          <c:spPr>
            <a:ln w="9000"/>
          </c:spPr>
          <c:cat>
            <c:numRef>
              <c:f>Scenario_Data!$G$2:$G$242</c:f>
              <c:numCache>
                <c:formatCode>0.000</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cat>
          <c:val>
            <c:numRef>
              <c:f>Scenario_Data!$I$2:$I$242</c:f>
              <c:numCache>
                <c:formatCode>0.000</c:formatCode>
                <c:ptCount val="241"/>
                <c:pt idx="0">
                  <c:v>93391.900362531596</c:v>
                </c:pt>
                <c:pt idx="1">
                  <c:v>93083.056536724122</c:v>
                </c:pt>
                <c:pt idx="2">
                  <c:v>92730.541819843202</c:v>
                </c:pt>
                <c:pt idx="3">
                  <c:v>92412.618914041755</c:v>
                </c:pt>
                <c:pt idx="4">
                  <c:v>92090.318023548112</c:v>
                </c:pt>
                <c:pt idx="5">
                  <c:v>91722.410526102656</c:v>
                </c:pt>
                <c:pt idx="6">
                  <c:v>91390.576008209857</c:v>
                </c:pt>
                <c:pt idx="7">
                  <c:v>91054.144286255498</c:v>
                </c:pt>
                <c:pt idx="8">
                  <c:v>90670.073261717189</c:v>
                </c:pt>
                <c:pt idx="9">
                  <c:v>90323.63054284628</c:v>
                </c:pt>
                <c:pt idx="10">
                  <c:v>89972.36046512764</c:v>
                </c:pt>
                <c:pt idx="11">
                  <c:v>89571.316724298187</c:v>
                </c:pt>
                <c:pt idx="12">
                  <c:v>89209.534636218814</c:v>
                </c:pt>
                <c:pt idx="13">
                  <c:v>88842.68372113182</c:v>
                </c:pt>
                <c:pt idx="14">
                  <c:v>88423.818304443324</c:v>
                </c:pt>
                <c:pt idx="15">
                  <c:v>88045.929941761235</c:v>
                </c:pt>
                <c:pt idx="16">
                  <c:v>87662.719616403672</c:v>
                </c:pt>
                <c:pt idx="17">
                  <c:v>87225.142550208111</c:v>
                </c:pt>
                <c:pt idx="18">
                  <c:v>86830.344196706923</c:v>
                </c:pt>
                <c:pt idx="19">
                  <c:v>86429.958756615073</c:v>
                </c:pt>
                <c:pt idx="20">
                  <c:v>85972.737927170296</c:v>
                </c:pt>
                <c:pt idx="21">
                  <c:v>85560.188098421859</c:v>
                </c:pt>
                <c:pt idx="22">
                  <c:v>85141.7737953123</c:v>
                </c:pt>
                <c:pt idx="23">
                  <c:v>84663.933981793351</c:v>
                </c:pt>
                <c:pt idx="24">
                  <c:v>84232.752623422784</c:v>
                </c:pt>
                <c:pt idx="25">
                  <c:v>83795.416923004086</c:v>
                </c:pt>
                <c:pt idx="26">
                  <c:v>83295.939040311539</c:v>
                </c:pt>
                <c:pt idx="27">
                  <c:v>82845.206930347253</c:v>
                </c:pt>
                <c:pt idx="28">
                  <c:v>82388.017991982488</c:v>
                </c:pt>
                <c:pt idx="29">
                  <c:v>81865.838605921046</c:v>
                </c:pt>
                <c:pt idx="30">
                  <c:v>81394.597021001231</c:v>
                </c:pt>
                <c:pt idx="31">
                  <c:v>80916.583463216259</c:v>
                </c:pt>
                <c:pt idx="32">
                  <c:v>80370.594655507652</c:v>
                </c:pt>
                <c:pt idx="33">
                  <c:v>79877.845375069359</c:v>
                </c:pt>
                <c:pt idx="34">
                  <c:v>79377.996406417573</c:v>
                </c:pt>
                <c:pt idx="35">
                  <c:v>78807.046085989787</c:v>
                </c:pt>
                <c:pt idx="36">
                  <c:v>78291.751826932392</c:v>
                </c:pt>
                <c:pt idx="37">
                  <c:v>77769.017841641049</c:v>
                </c:pt>
                <c:pt idx="38">
                  <c:v>77171.91062309152</c:v>
                </c:pt>
                <c:pt idx="39">
                  <c:v>76632.996021156898</c:v>
                </c:pt>
                <c:pt idx="40">
                  <c:v>76086.289784834909</c:v>
                </c:pt>
                <c:pt idx="41">
                  <c:v>75461.788586835115</c:v>
                </c:pt>
                <c:pt idx="42">
                  <c:v>74898.141872028515</c:v>
                </c:pt>
                <c:pt idx="43">
                  <c:v>74326.340456672449</c:v>
                </c:pt>
                <c:pt idx="44">
                  <c:v>73673.169015115825</c:v>
                </c:pt>
                <c:pt idx="45">
                  <c:v>73083.644569650074</c:v>
                </c:pt>
                <c:pt idx="46">
                  <c:v>72485.592242333747</c:v>
                </c:pt>
                <c:pt idx="47">
                  <c:v>71802.43878914848</c:v>
                </c:pt>
                <c:pt idx="48">
                  <c:v>71185.860831581143</c:v>
                </c:pt>
                <c:pt idx="49">
                  <c:v>70560.373161991447</c:v>
                </c:pt>
                <c:pt idx="50">
                  <c:v>69845.895596417482</c:v>
                </c:pt>
                <c:pt idx="51">
                  <c:v>69201.063310590413</c:v>
                </c:pt>
                <c:pt idx="52">
                  <c:v>68546.93284544679</c:v>
                </c:pt>
                <c:pt idx="53">
                  <c:v>67799.76582849666</c:v>
                </c:pt>
                <c:pt idx="54">
                  <c:v>67125.460358978933</c:v>
                </c:pt>
                <c:pt idx="55">
                  <c:v>66441.464325862529</c:v>
                </c:pt>
                <c:pt idx="56">
                  <c:v>65660.228872902939</c:v>
                </c:pt>
                <c:pt idx="57">
                  <c:v>64955.222752360576</c:v>
                </c:pt>
                <c:pt idx="58">
                  <c:v>64240.133415782147</c:v>
                </c:pt>
                <c:pt idx="59">
                  <c:v>63423.44976504115</c:v>
                </c:pt>
                <c:pt idx="60">
                  <c:v>62686.519542073103</c:v>
                </c:pt>
                <c:pt idx="61">
                  <c:v>61939.118062168112</c:v>
                </c:pt>
                <c:pt idx="62">
                  <c:v>61085.622886338439</c:v>
                </c:pt>
                <c:pt idx="63">
                  <c:v>60315.566013439195</c:v>
                </c:pt>
                <c:pt idx="64">
                  <c:v>59534.660985340124</c:v>
                </c:pt>
                <c:pt idx="65">
                  <c:v>58643.030432177133</c:v>
                </c:pt>
                <c:pt idx="66">
                  <c:v>57838.687896862924</c:v>
                </c:pt>
                <c:pt idx="67">
                  <c:v>57023.140227590608</c:v>
                </c:pt>
                <c:pt idx="68">
                  <c:v>56092.120890423139</c:v>
                </c:pt>
                <c:pt idx="69">
                  <c:v>55252.407697642928</c:v>
                </c:pt>
                <c:pt idx="70">
                  <c:v>54401.164187782495</c:v>
                </c:pt>
                <c:pt idx="71">
                  <c:v>53429.615024316394</c:v>
                </c:pt>
                <c:pt idx="72">
                  <c:v>52553.561575799453</c:v>
                </c:pt>
                <c:pt idx="73">
                  <c:v>51665.700644274562</c:v>
                </c:pt>
                <c:pt idx="74">
                  <c:v>50652.650252996886</c:v>
                </c:pt>
                <c:pt idx="75">
                  <c:v>49739.459098557942</c:v>
                </c:pt>
                <c:pt idx="76">
                  <c:v>48814.253730546283</c:v>
                </c:pt>
                <c:pt idx="77">
                  <c:v>47758.979538469583</c:v>
                </c:pt>
                <c:pt idx="78">
                  <c:v>46808.104190849153</c:v>
                </c:pt>
                <c:pt idx="79">
                  <c:v>45845.109748898431</c:v>
                </c:pt>
                <c:pt idx="80">
                  <c:v>44747.249028231498</c:v>
                </c:pt>
                <c:pt idx="81">
                  <c:v>43758.50503075387</c:v>
                </c:pt>
                <c:pt idx="82">
                  <c:v>42757.683631610977</c:v>
                </c:pt>
                <c:pt idx="83">
                  <c:v>41617.391633029561</c:v>
                </c:pt>
                <c:pt idx="84">
                  <c:v>40591.115686270939</c:v>
                </c:pt>
                <c:pt idx="85">
                  <c:v>39553.015405912927</c:v>
                </c:pt>
                <c:pt idx="86">
                  <c:v>38371.194617928377</c:v>
                </c:pt>
                <c:pt idx="87">
                  <c:v>37308.476745478256</c:v>
                </c:pt>
                <c:pt idx="88">
                  <c:v>36234.494683608929</c:v>
                </c:pt>
                <c:pt idx="89">
                  <c:v>35013.133618802334</c:v>
                </c:pt>
                <c:pt idx="90">
                  <c:v>33916.162560922341</c:v>
                </c:pt>
                <c:pt idx="91">
                  <c:v>32808.93872022516</c:v>
                </c:pt>
                <c:pt idx="92">
                  <c:v>31551.622668842894</c:v>
                </c:pt>
                <c:pt idx="93">
                  <c:v>30424.210167722518</c:v>
                </c:pt>
                <c:pt idx="94">
                  <c:v>29288.229173688811</c:v>
                </c:pt>
                <c:pt idx="95">
                  <c:v>28000.925707377744</c:v>
                </c:pt>
                <c:pt idx="96">
                  <c:v>26849.31803443424</c:v>
                </c:pt>
                <c:pt idx="97">
                  <c:v>25691.845928145231</c:v>
                </c:pt>
                <c:pt idx="98">
                  <c:v>24384.13482915219</c:v>
                </c:pt>
                <c:pt idx="99">
                  <c:v>23218.289916145059</c:v>
                </c:pt>
                <c:pt idx="100">
                  <c:v>22050.854333705047</c:v>
                </c:pt>
                <c:pt idx="101">
                  <c:v>20737.877075602719</c:v>
                </c:pt>
                <c:pt idx="102">
                  <c:v>19573.492198365329</c:v>
                </c:pt>
                <c:pt idx="103">
                  <c:v>18414.231900224935</c:v>
                </c:pt>
                <c:pt idx="104">
                  <c:v>17119.777484814567</c:v>
                </c:pt>
                <c:pt idx="105">
                  <c:v>15981.479348918183</c:v>
                </c:pt>
                <c:pt idx="106">
                  <c:v>14858.804171401191</c:v>
                </c:pt>
                <c:pt idx="107">
                  <c:v>13620.03712782776</c:v>
                </c:pt>
                <c:pt idx="108">
                  <c:v>12546.151138988658</c:v>
                </c:pt>
                <c:pt idx="109">
                  <c:v>11504.032449515398</c:v>
                </c:pt>
                <c:pt idx="110">
                  <c:v>10377.980052459096</c:v>
                </c:pt>
                <c:pt idx="111">
                  <c:v>9426.5943800357454</c:v>
                </c:pt>
                <c:pt idx="112">
                  <c:v>8530.6006800108826</c:v>
                </c:pt>
                <c:pt idx="113">
                  <c:v>7600.2948981560312</c:v>
                </c:pt>
                <c:pt idx="114">
                  <c:v>6853.3195478135085</c:v>
                </c:pt>
                <c:pt idx="115">
                  <c:v>6192.268859277553</c:v>
                </c:pt>
                <c:pt idx="116">
                  <c:v>5564.0288290570297</c:v>
                </c:pt>
                <c:pt idx="117">
                  <c:v>5118.9370821216689</c:v>
                </c:pt>
                <c:pt idx="118">
                  <c:v>4789.4279239154203</c:v>
                </c:pt>
                <c:pt idx="119">
                  <c:v>4565.2237256766111</c:v>
                </c:pt>
                <c:pt idx="120">
                  <c:v>4500.9136714680544</c:v>
                </c:pt>
                <c:pt idx="121">
                  <c:v>4565.2237256766111</c:v>
                </c:pt>
                <c:pt idx="122">
                  <c:v>4789.4279239154157</c:v>
                </c:pt>
                <c:pt idx="123">
                  <c:v>5118.9370821216608</c:v>
                </c:pt>
                <c:pt idx="124">
                  <c:v>5564.0288290570297</c:v>
                </c:pt>
                <c:pt idx="125">
                  <c:v>6192.268859277553</c:v>
                </c:pt>
                <c:pt idx="126">
                  <c:v>6853.3195478135085</c:v>
                </c:pt>
                <c:pt idx="127">
                  <c:v>7600.2948981560312</c:v>
                </c:pt>
                <c:pt idx="128">
                  <c:v>8530.6006800108826</c:v>
                </c:pt>
                <c:pt idx="129">
                  <c:v>9426.5943800357454</c:v>
                </c:pt>
                <c:pt idx="130">
                  <c:v>10377.980052459096</c:v>
                </c:pt>
                <c:pt idx="131">
                  <c:v>11504.032449515398</c:v>
                </c:pt>
                <c:pt idx="132">
                  <c:v>12546.151138988675</c:v>
                </c:pt>
                <c:pt idx="133">
                  <c:v>13620.03712782778</c:v>
                </c:pt>
                <c:pt idx="134">
                  <c:v>14858.804171401191</c:v>
                </c:pt>
                <c:pt idx="135">
                  <c:v>15981.479348918183</c:v>
                </c:pt>
                <c:pt idx="136">
                  <c:v>17119.777484814567</c:v>
                </c:pt>
                <c:pt idx="137">
                  <c:v>18414.231900224917</c:v>
                </c:pt>
                <c:pt idx="138">
                  <c:v>19573.492198365311</c:v>
                </c:pt>
                <c:pt idx="139">
                  <c:v>20737.877075602719</c:v>
                </c:pt>
                <c:pt idx="140">
                  <c:v>22050.854333705047</c:v>
                </c:pt>
                <c:pt idx="141">
                  <c:v>23218.289916145059</c:v>
                </c:pt>
                <c:pt idx="142">
                  <c:v>24384.13482915219</c:v>
                </c:pt>
                <c:pt idx="143">
                  <c:v>25691.845928145231</c:v>
                </c:pt>
                <c:pt idx="144">
                  <c:v>26849.31803443424</c:v>
                </c:pt>
                <c:pt idx="145">
                  <c:v>28000.925707377744</c:v>
                </c:pt>
                <c:pt idx="146">
                  <c:v>29288.229173688811</c:v>
                </c:pt>
                <c:pt idx="147">
                  <c:v>30424.210167722536</c:v>
                </c:pt>
                <c:pt idx="148">
                  <c:v>31551.622668842916</c:v>
                </c:pt>
                <c:pt idx="149">
                  <c:v>32808.93872022516</c:v>
                </c:pt>
                <c:pt idx="150">
                  <c:v>33916.162560922341</c:v>
                </c:pt>
                <c:pt idx="151">
                  <c:v>35013.133618802334</c:v>
                </c:pt>
                <c:pt idx="152">
                  <c:v>36234.494683608915</c:v>
                </c:pt>
                <c:pt idx="153">
                  <c:v>37308.47674547822</c:v>
                </c:pt>
                <c:pt idx="154">
                  <c:v>38371.19461792834</c:v>
                </c:pt>
                <c:pt idx="155">
                  <c:v>39553.015405912964</c:v>
                </c:pt>
                <c:pt idx="156">
                  <c:v>40591.115686270939</c:v>
                </c:pt>
                <c:pt idx="157">
                  <c:v>41617.391633029561</c:v>
                </c:pt>
                <c:pt idx="158">
                  <c:v>42757.683631610977</c:v>
                </c:pt>
                <c:pt idx="159">
                  <c:v>43758.50503075387</c:v>
                </c:pt>
                <c:pt idx="160">
                  <c:v>44747.249028231476</c:v>
                </c:pt>
                <c:pt idx="161">
                  <c:v>45845.10974889846</c:v>
                </c:pt>
                <c:pt idx="162">
                  <c:v>46808.104190849153</c:v>
                </c:pt>
                <c:pt idx="163">
                  <c:v>47758.97953846959</c:v>
                </c:pt>
                <c:pt idx="164">
                  <c:v>48814.253730546276</c:v>
                </c:pt>
                <c:pt idx="165">
                  <c:v>49739.459098557942</c:v>
                </c:pt>
                <c:pt idx="166">
                  <c:v>50652.650252996893</c:v>
                </c:pt>
                <c:pt idx="167">
                  <c:v>51665.700644274562</c:v>
                </c:pt>
                <c:pt idx="168">
                  <c:v>52553.561575799453</c:v>
                </c:pt>
                <c:pt idx="169">
                  <c:v>53429.615024316394</c:v>
                </c:pt>
                <c:pt idx="170">
                  <c:v>54401.164187782524</c:v>
                </c:pt>
                <c:pt idx="171">
                  <c:v>55252.407697642921</c:v>
                </c:pt>
                <c:pt idx="172">
                  <c:v>56092.120890423146</c:v>
                </c:pt>
                <c:pt idx="173">
                  <c:v>57023.1402275906</c:v>
                </c:pt>
                <c:pt idx="174">
                  <c:v>57838.687896862953</c:v>
                </c:pt>
                <c:pt idx="175">
                  <c:v>58643.030432177111</c:v>
                </c:pt>
                <c:pt idx="176">
                  <c:v>59534.660985340139</c:v>
                </c:pt>
                <c:pt idx="177">
                  <c:v>60315.566013439195</c:v>
                </c:pt>
                <c:pt idx="178">
                  <c:v>61085.622886338453</c:v>
                </c:pt>
                <c:pt idx="179">
                  <c:v>61939.118062168098</c:v>
                </c:pt>
                <c:pt idx="180">
                  <c:v>62686.519542073103</c:v>
                </c:pt>
                <c:pt idx="181">
                  <c:v>63423.449765041165</c:v>
                </c:pt>
                <c:pt idx="182">
                  <c:v>64240.133415782133</c:v>
                </c:pt>
                <c:pt idx="183">
                  <c:v>64955.222752360576</c:v>
                </c:pt>
                <c:pt idx="184">
                  <c:v>65660.228872902924</c:v>
                </c:pt>
                <c:pt idx="185">
                  <c:v>66441.464325862529</c:v>
                </c:pt>
                <c:pt idx="186">
                  <c:v>67125.460358978904</c:v>
                </c:pt>
                <c:pt idx="187">
                  <c:v>67799.765828496631</c:v>
                </c:pt>
                <c:pt idx="188">
                  <c:v>68546.93284544679</c:v>
                </c:pt>
                <c:pt idx="189">
                  <c:v>69201.063310590456</c:v>
                </c:pt>
                <c:pt idx="190">
                  <c:v>69845.895596417453</c:v>
                </c:pt>
                <c:pt idx="191">
                  <c:v>70560.373161991447</c:v>
                </c:pt>
                <c:pt idx="192">
                  <c:v>71185.860831581143</c:v>
                </c:pt>
                <c:pt idx="193">
                  <c:v>71802.43878914848</c:v>
                </c:pt>
                <c:pt idx="194">
                  <c:v>72485.592242333718</c:v>
                </c:pt>
                <c:pt idx="195">
                  <c:v>73083.644569650074</c:v>
                </c:pt>
                <c:pt idx="196">
                  <c:v>73673.169015115855</c:v>
                </c:pt>
                <c:pt idx="197">
                  <c:v>74326.340456672449</c:v>
                </c:pt>
                <c:pt idx="198">
                  <c:v>74898.141872028515</c:v>
                </c:pt>
                <c:pt idx="199">
                  <c:v>75461.788586835086</c:v>
                </c:pt>
                <c:pt idx="200">
                  <c:v>76086.289784834909</c:v>
                </c:pt>
                <c:pt idx="201">
                  <c:v>76632.996021156898</c:v>
                </c:pt>
                <c:pt idx="202">
                  <c:v>77171.91062309152</c:v>
                </c:pt>
                <c:pt idx="203">
                  <c:v>77769.017841641049</c:v>
                </c:pt>
                <c:pt idx="204">
                  <c:v>78291.751826932392</c:v>
                </c:pt>
                <c:pt idx="205">
                  <c:v>78807.046085989758</c:v>
                </c:pt>
                <c:pt idx="206">
                  <c:v>79377.996406417602</c:v>
                </c:pt>
                <c:pt idx="207">
                  <c:v>79877.845375069359</c:v>
                </c:pt>
                <c:pt idx="208">
                  <c:v>80370.594655507666</c:v>
                </c:pt>
                <c:pt idx="209">
                  <c:v>80916.583463216273</c:v>
                </c:pt>
                <c:pt idx="210">
                  <c:v>81394.597021001231</c:v>
                </c:pt>
                <c:pt idx="211">
                  <c:v>81865.838605921104</c:v>
                </c:pt>
                <c:pt idx="212">
                  <c:v>82388.017991982473</c:v>
                </c:pt>
                <c:pt idx="213">
                  <c:v>82845.206930347253</c:v>
                </c:pt>
                <c:pt idx="214">
                  <c:v>83295.939040311539</c:v>
                </c:pt>
                <c:pt idx="215">
                  <c:v>83795.416923004086</c:v>
                </c:pt>
                <c:pt idx="216">
                  <c:v>84232.752623422784</c:v>
                </c:pt>
                <c:pt idx="217">
                  <c:v>84663.933981793351</c:v>
                </c:pt>
                <c:pt idx="218">
                  <c:v>85141.7737953123</c:v>
                </c:pt>
                <c:pt idx="219">
                  <c:v>85560.188098421859</c:v>
                </c:pt>
                <c:pt idx="220">
                  <c:v>85972.737927170267</c:v>
                </c:pt>
                <c:pt idx="221">
                  <c:v>86429.958756615073</c:v>
                </c:pt>
                <c:pt idx="222">
                  <c:v>86830.344196706923</c:v>
                </c:pt>
                <c:pt idx="223">
                  <c:v>87225.142550208111</c:v>
                </c:pt>
                <c:pt idx="224">
                  <c:v>87662.719616403629</c:v>
                </c:pt>
                <c:pt idx="225">
                  <c:v>88045.929941761235</c:v>
                </c:pt>
                <c:pt idx="226">
                  <c:v>88423.818304443354</c:v>
                </c:pt>
                <c:pt idx="227">
                  <c:v>88842.68372113182</c:v>
                </c:pt>
                <c:pt idx="228">
                  <c:v>89209.534636218814</c:v>
                </c:pt>
                <c:pt idx="229">
                  <c:v>89571.316724298144</c:v>
                </c:pt>
                <c:pt idx="230">
                  <c:v>89972.36046512764</c:v>
                </c:pt>
                <c:pt idx="231">
                  <c:v>90323.63054284628</c:v>
                </c:pt>
                <c:pt idx="232">
                  <c:v>90670.073261717189</c:v>
                </c:pt>
                <c:pt idx="233">
                  <c:v>91054.144286255498</c:v>
                </c:pt>
                <c:pt idx="234">
                  <c:v>91390.576008209857</c:v>
                </c:pt>
                <c:pt idx="235">
                  <c:v>91722.410526102656</c:v>
                </c:pt>
                <c:pt idx="236">
                  <c:v>92090.318023548054</c:v>
                </c:pt>
                <c:pt idx="237">
                  <c:v>92412.618914041755</c:v>
                </c:pt>
                <c:pt idx="238">
                  <c:v>92730.541819843202</c:v>
                </c:pt>
                <c:pt idx="239">
                  <c:v>93083.056536724122</c:v>
                </c:pt>
                <c:pt idx="240">
                  <c:v>93391.900362531596</c:v>
                </c:pt>
              </c:numCache>
            </c:numRef>
          </c:val>
          <c:smooth val="0"/>
          <c:extLst>
            <c:ext xmlns:c16="http://schemas.microsoft.com/office/drawing/2014/chart" uri="{C3380CC4-5D6E-409C-BE32-E72D297353CC}">
              <c16:uniqueId val="{00000001-D2F5-480D-ADA2-C57FE03A3CB1}"/>
            </c:ext>
          </c:extLst>
        </c:ser>
        <c:ser>
          <c:idx val="2"/>
          <c:order val="2"/>
          <c:tx>
            <c:v>Paper ice-ocean 1600-km pass apparent depth (m)</c:v>
          </c:tx>
          <c:spPr>
            <a:ln w="9000"/>
          </c:spPr>
          <c:cat>
            <c:numRef>
              <c:f>Scenario_Data!$G$2:$G$242</c:f>
              <c:numCache>
                <c:formatCode>0.000</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cat>
          <c:val>
            <c:numRef>
              <c:f>Scenario_Data!$J$2:$J$242</c:f>
              <c:numCache>
                <c:formatCode>0.000</c:formatCode>
                <c:ptCount val="241"/>
                <c:pt idx="0">
                  <c:v>157791.48637356728</c:v>
                </c:pt>
                <c:pt idx="1">
                  <c:v>157445.01966581421</c:v>
                </c:pt>
                <c:pt idx="2">
                  <c:v>157048.28758301047</c:v>
                </c:pt>
                <c:pt idx="3">
                  <c:v>156689.32111616264</c:v>
                </c:pt>
                <c:pt idx="4">
                  <c:v>156324.28356182837</c:v>
                </c:pt>
                <c:pt idx="5">
                  <c:v>155906.20411800177</c:v>
                </c:pt>
                <c:pt idx="6">
                  <c:v>155527.84797426665</c:v>
                </c:pt>
                <c:pt idx="7">
                  <c:v>155143.02155319718</c:v>
                </c:pt>
                <c:pt idx="8">
                  <c:v>154702.19106824315</c:v>
                </c:pt>
                <c:pt idx="9">
                  <c:v>154303.16710885518</c:v>
                </c:pt>
                <c:pt idx="10">
                  <c:v>153897.24434929746</c:v>
                </c:pt>
                <c:pt idx="11">
                  <c:v>153432.1560011362</c:v>
                </c:pt>
                <c:pt idx="12">
                  <c:v>153011.09212788116</c:v>
                </c:pt>
                <c:pt idx="13">
                  <c:v>152582.66940985864</c:v>
                </c:pt>
                <c:pt idx="14">
                  <c:v>152091.70553919495</c:v>
                </c:pt>
                <c:pt idx="15">
                  <c:v>151647.1287097446</c:v>
                </c:pt>
                <c:pt idx="16">
                  <c:v>151194.69914380208</c:v>
                </c:pt>
                <c:pt idx="17">
                  <c:v>150676.12307891695</c:v>
                </c:pt>
                <c:pt idx="18">
                  <c:v>150206.45189413539</c:v>
                </c:pt>
                <c:pt idx="19">
                  <c:v>149728.39777137816</c:v>
                </c:pt>
                <c:pt idx="20">
                  <c:v>149180.34517064891</c:v>
                </c:pt>
                <c:pt idx="21">
                  <c:v>148683.88203403619</c:v>
                </c:pt>
                <c:pt idx="22">
                  <c:v>148178.4668499066</c:v>
                </c:pt>
                <c:pt idx="23">
                  <c:v>147598.93656776901</c:v>
                </c:pt>
                <c:pt idx="24">
                  <c:v>147073.85942499142</c:v>
                </c:pt>
                <c:pt idx="25">
                  <c:v>146539.21948766877</c:v>
                </c:pt>
                <c:pt idx="26">
                  <c:v>145926.06398008054</c:v>
                </c:pt>
                <c:pt idx="27">
                  <c:v>145370.41765653883</c:v>
                </c:pt>
                <c:pt idx="28">
                  <c:v>144804.55330166392</c:v>
                </c:pt>
                <c:pt idx="29">
                  <c:v>144155.46860033617</c:v>
                </c:pt>
                <c:pt idx="30">
                  <c:v>143567.15576745349</c:v>
                </c:pt>
                <c:pt idx="31">
                  <c:v>142967.92221460855</c:v>
                </c:pt>
                <c:pt idx="32">
                  <c:v>142280.43751600158</c:v>
                </c:pt>
                <c:pt idx="33">
                  <c:v>141657.20933300967</c:v>
                </c:pt>
                <c:pt idx="34">
                  <c:v>141022.30723672023</c:v>
                </c:pt>
                <c:pt idx="35">
                  <c:v>140293.77417289227</c:v>
                </c:pt>
                <c:pt idx="36">
                  <c:v>139633.22067116378</c:v>
                </c:pt>
                <c:pt idx="37">
                  <c:v>138960.18644100227</c:v>
                </c:pt>
                <c:pt idx="38">
                  <c:v>138187.76812593368</c:v>
                </c:pt>
                <c:pt idx="39">
                  <c:v>137487.30842840724</c:v>
                </c:pt>
                <c:pt idx="40">
                  <c:v>136773.50442022432</c:v>
                </c:pt>
                <c:pt idx="41">
                  <c:v>135954.16439863585</c:v>
                </c:pt>
                <c:pt idx="42">
                  <c:v>135211.03689900014</c:v>
                </c:pt>
                <c:pt idx="43">
                  <c:v>134453.64161391766</c:v>
                </c:pt>
                <c:pt idx="44">
                  <c:v>133584.13288178091</c:v>
                </c:pt>
                <c:pt idx="45">
                  <c:v>132795.38554872278</c:v>
                </c:pt>
                <c:pt idx="46">
                  <c:v>131991.38402040576</c:v>
                </c:pt>
                <c:pt idx="47">
                  <c:v>131068.23833996318</c:v>
                </c:pt>
                <c:pt idx="48">
                  <c:v>130230.71936360429</c:v>
                </c:pt>
                <c:pt idx="49">
                  <c:v>129376.89397045772</c:v>
                </c:pt>
                <c:pt idx="50">
                  <c:v>128396.4117714109</c:v>
                </c:pt>
                <c:pt idx="51">
                  <c:v>127506.76083586103</c:v>
                </c:pt>
                <c:pt idx="52">
                  <c:v>126599.68284747351</c:v>
                </c:pt>
                <c:pt idx="53">
                  <c:v>125557.92409558372</c:v>
                </c:pt>
                <c:pt idx="54">
                  <c:v>124612.56464894471</c:v>
                </c:pt>
                <c:pt idx="55">
                  <c:v>123648.58691170765</c:v>
                </c:pt>
                <c:pt idx="56">
                  <c:v>122541.36344463685</c:v>
                </c:pt>
                <c:pt idx="57">
                  <c:v>121536.49645425682</c:v>
                </c:pt>
                <c:pt idx="58">
                  <c:v>120511.74774932805</c:v>
                </c:pt>
                <c:pt idx="59">
                  <c:v>119334.61773979013</c:v>
                </c:pt>
                <c:pt idx="60">
                  <c:v>118266.21757916138</c:v>
                </c:pt>
                <c:pt idx="61">
                  <c:v>117176.59936188685</c:v>
                </c:pt>
                <c:pt idx="62">
                  <c:v>115924.86478987196</c:v>
                </c:pt>
                <c:pt idx="63">
                  <c:v>114788.67812487425</c:v>
                </c:pt>
                <c:pt idx="64">
                  <c:v>113629.86460237192</c:v>
                </c:pt>
                <c:pt idx="65">
                  <c:v>112298.57293303528</c:v>
                </c:pt>
                <c:pt idx="66">
                  <c:v>111090.12179244011</c:v>
                </c:pt>
                <c:pt idx="67">
                  <c:v>109857.56465410536</c:v>
                </c:pt>
                <c:pt idx="68">
                  <c:v>108441.51637761801</c:v>
                </c:pt>
                <c:pt idx="69">
                  <c:v>107156.10706048392</c:v>
                </c:pt>
                <c:pt idx="70">
                  <c:v>105845.04670903459</c:v>
                </c:pt>
                <c:pt idx="71">
                  <c:v>104338.81108969086</c:v>
                </c:pt>
                <c:pt idx="72">
                  <c:v>102971.5512723862</c:v>
                </c:pt>
                <c:pt idx="73">
                  <c:v>101577.03721981258</c:v>
                </c:pt>
                <c:pt idx="74">
                  <c:v>99974.979671689231</c:v>
                </c:pt>
                <c:pt idx="75">
                  <c:v>98520.80718816015</c:v>
                </c:pt>
                <c:pt idx="76">
                  <c:v>97037.731571114098</c:v>
                </c:pt>
                <c:pt idx="77">
                  <c:v>95334.057785524812</c:v>
                </c:pt>
                <c:pt idx="78">
                  <c:v>93787.786346283683</c:v>
                </c:pt>
                <c:pt idx="79">
                  <c:v>92210.936617389627</c:v>
                </c:pt>
                <c:pt idx="80">
                  <c:v>90399.761380134005</c:v>
                </c:pt>
                <c:pt idx="81">
                  <c:v>88756.151478620013</c:v>
                </c:pt>
                <c:pt idx="82">
                  <c:v>87080.291866304935</c:v>
                </c:pt>
                <c:pt idx="83">
                  <c:v>85155.745288554826</c:v>
                </c:pt>
                <c:pt idx="84">
                  <c:v>83409.613678017136</c:v>
                </c:pt>
                <c:pt idx="85">
                  <c:v>81629.611161669192</c:v>
                </c:pt>
                <c:pt idx="86">
                  <c:v>79586.0034794901</c:v>
                </c:pt>
                <c:pt idx="87">
                  <c:v>77732.393761894593</c:v>
                </c:pt>
                <c:pt idx="88">
                  <c:v>75843.415419808167</c:v>
                </c:pt>
                <c:pt idx="89">
                  <c:v>73675.496942629004</c:v>
                </c:pt>
                <c:pt idx="90">
                  <c:v>71709.950797220939</c:v>
                </c:pt>
                <c:pt idx="91">
                  <c:v>69707.780269123919</c:v>
                </c:pt>
                <c:pt idx="92">
                  <c:v>67411.162484076835</c:v>
                </c:pt>
                <c:pt idx="93">
                  <c:v>65330.163964716783</c:v>
                </c:pt>
                <c:pt idx="94">
                  <c:v>63211.725832669654</c:v>
                </c:pt>
                <c:pt idx="95">
                  <c:v>60783.588498452576</c:v>
                </c:pt>
                <c:pt idx="96">
                  <c:v>58585.320738415496</c:v>
                </c:pt>
                <c:pt idx="97">
                  <c:v>56349.586553823043</c:v>
                </c:pt>
                <c:pt idx="98">
                  <c:v>53789.919580937225</c:v>
                </c:pt>
                <c:pt idx="99">
                  <c:v>51475.616981466606</c:v>
                </c:pt>
                <c:pt idx="100">
                  <c:v>49125.252584195696</c:v>
                </c:pt>
                <c:pt idx="101">
                  <c:v>46439.158617238005</c:v>
                </c:pt>
                <c:pt idx="102">
                  <c:v>44015.665854920902</c:v>
                </c:pt>
                <c:pt idx="103">
                  <c:v>41560.21312060218</c:v>
                </c:pt>
                <c:pt idx="104">
                  <c:v>38762.45764908813</c:v>
                </c:pt>
                <c:pt idx="105">
                  <c:v>36247.407571271222</c:v>
                </c:pt>
                <c:pt idx="106">
                  <c:v>33709.873820149078</c:v>
                </c:pt>
                <c:pt idx="107">
                  <c:v>30834.552946908836</c:v>
                </c:pt>
                <c:pt idx="108">
                  <c:v>28267.656336308472</c:v>
                </c:pt>
                <c:pt idx="109">
                  <c:v>25699.237944318753</c:v>
                </c:pt>
                <c:pt idx="110">
                  <c:v>22821.936765500046</c:v>
                </c:pt>
                <c:pt idx="111">
                  <c:v>20291.466413678096</c:v>
                </c:pt>
                <c:pt idx="112">
                  <c:v>17806.728641253387</c:v>
                </c:pt>
                <c:pt idx="113">
                  <c:v>15098.133009026098</c:v>
                </c:pt>
                <c:pt idx="114">
                  <c:v>12805.023174823551</c:v>
                </c:pt>
                <c:pt idx="115">
                  <c:v>10665.452716017111</c:v>
                </c:pt>
                <c:pt idx="116">
                  <c:v>8511.7608956560944</c:v>
                </c:pt>
                <c:pt idx="117">
                  <c:v>6897.6376974683835</c:v>
                </c:pt>
                <c:pt idx="118">
                  <c:v>5645.1497085596393</c:v>
                </c:pt>
                <c:pt idx="119">
                  <c:v>4760.1877611479404</c:v>
                </c:pt>
                <c:pt idx="120">
                  <c:v>4500.9136714680544</c:v>
                </c:pt>
                <c:pt idx="121">
                  <c:v>4760.1877611479404</c:v>
                </c:pt>
                <c:pt idx="122">
                  <c:v>5645.1497085596193</c:v>
                </c:pt>
                <c:pt idx="123">
                  <c:v>6897.6376974683553</c:v>
                </c:pt>
                <c:pt idx="124">
                  <c:v>8511.7608956560944</c:v>
                </c:pt>
                <c:pt idx="125">
                  <c:v>10665.452716017111</c:v>
                </c:pt>
                <c:pt idx="126">
                  <c:v>12805.023174823551</c:v>
                </c:pt>
                <c:pt idx="127">
                  <c:v>15098.133009026098</c:v>
                </c:pt>
                <c:pt idx="128">
                  <c:v>17806.728641253387</c:v>
                </c:pt>
                <c:pt idx="129">
                  <c:v>20291.466413678096</c:v>
                </c:pt>
                <c:pt idx="130">
                  <c:v>22821.936765500046</c:v>
                </c:pt>
                <c:pt idx="131">
                  <c:v>25699.237944318753</c:v>
                </c:pt>
                <c:pt idx="132">
                  <c:v>28267.656336308512</c:v>
                </c:pt>
                <c:pt idx="133">
                  <c:v>30834.552946908872</c:v>
                </c:pt>
                <c:pt idx="134">
                  <c:v>33709.873820149078</c:v>
                </c:pt>
                <c:pt idx="135">
                  <c:v>36247.407571271222</c:v>
                </c:pt>
                <c:pt idx="136">
                  <c:v>38762.45764908813</c:v>
                </c:pt>
                <c:pt idx="137">
                  <c:v>41560.213120602151</c:v>
                </c:pt>
                <c:pt idx="138">
                  <c:v>44015.665854920888</c:v>
                </c:pt>
                <c:pt idx="139">
                  <c:v>46439.158617238005</c:v>
                </c:pt>
                <c:pt idx="140">
                  <c:v>49125.252584195696</c:v>
                </c:pt>
                <c:pt idx="141">
                  <c:v>51475.616981466606</c:v>
                </c:pt>
                <c:pt idx="142">
                  <c:v>53789.919580937225</c:v>
                </c:pt>
                <c:pt idx="143">
                  <c:v>56349.586553823043</c:v>
                </c:pt>
                <c:pt idx="144">
                  <c:v>58585.320738415496</c:v>
                </c:pt>
                <c:pt idx="145">
                  <c:v>60783.588498452576</c:v>
                </c:pt>
                <c:pt idx="146">
                  <c:v>63211.725832669654</c:v>
                </c:pt>
                <c:pt idx="147">
                  <c:v>65330.163964716834</c:v>
                </c:pt>
                <c:pt idx="148">
                  <c:v>67411.162484076878</c:v>
                </c:pt>
                <c:pt idx="149">
                  <c:v>69707.780269123919</c:v>
                </c:pt>
                <c:pt idx="150">
                  <c:v>71709.950797220939</c:v>
                </c:pt>
                <c:pt idx="151">
                  <c:v>73675.496942629004</c:v>
                </c:pt>
                <c:pt idx="152">
                  <c:v>75843.415419808138</c:v>
                </c:pt>
                <c:pt idx="153">
                  <c:v>77732.393761894535</c:v>
                </c:pt>
                <c:pt idx="154">
                  <c:v>79586.003479490071</c:v>
                </c:pt>
                <c:pt idx="155">
                  <c:v>81629.611161669221</c:v>
                </c:pt>
                <c:pt idx="156">
                  <c:v>83409.613678017136</c:v>
                </c:pt>
                <c:pt idx="157">
                  <c:v>85155.745288554826</c:v>
                </c:pt>
                <c:pt idx="158">
                  <c:v>87080.291866304935</c:v>
                </c:pt>
                <c:pt idx="159">
                  <c:v>88756.151478620013</c:v>
                </c:pt>
                <c:pt idx="160">
                  <c:v>90399.761380133976</c:v>
                </c:pt>
                <c:pt idx="161">
                  <c:v>92210.936617389671</c:v>
                </c:pt>
                <c:pt idx="162">
                  <c:v>93787.786346283683</c:v>
                </c:pt>
                <c:pt idx="163">
                  <c:v>95334.057785524841</c:v>
                </c:pt>
                <c:pt idx="164">
                  <c:v>97037.731571114055</c:v>
                </c:pt>
                <c:pt idx="165">
                  <c:v>98520.80718816015</c:v>
                </c:pt>
                <c:pt idx="166">
                  <c:v>99974.979671689245</c:v>
                </c:pt>
                <c:pt idx="167">
                  <c:v>101577.03721981257</c:v>
                </c:pt>
                <c:pt idx="168">
                  <c:v>102971.5512723862</c:v>
                </c:pt>
                <c:pt idx="169">
                  <c:v>104338.81108969088</c:v>
                </c:pt>
                <c:pt idx="170">
                  <c:v>105845.04670903461</c:v>
                </c:pt>
                <c:pt idx="171">
                  <c:v>107156.10706048388</c:v>
                </c:pt>
                <c:pt idx="172">
                  <c:v>108441.51637761807</c:v>
                </c:pt>
                <c:pt idx="173">
                  <c:v>109857.56465410536</c:v>
                </c:pt>
                <c:pt idx="174">
                  <c:v>111090.12179244011</c:v>
                </c:pt>
                <c:pt idx="175">
                  <c:v>112298.57293303522</c:v>
                </c:pt>
                <c:pt idx="176">
                  <c:v>113629.8646023719</c:v>
                </c:pt>
                <c:pt idx="177">
                  <c:v>114788.67812487425</c:v>
                </c:pt>
                <c:pt idx="178">
                  <c:v>115924.86478987199</c:v>
                </c:pt>
                <c:pt idx="179">
                  <c:v>117176.59936188682</c:v>
                </c:pt>
                <c:pt idx="180">
                  <c:v>118266.21757916138</c:v>
                </c:pt>
                <c:pt idx="181">
                  <c:v>119334.61773979013</c:v>
                </c:pt>
                <c:pt idx="182">
                  <c:v>120511.74774932802</c:v>
                </c:pt>
                <c:pt idx="183">
                  <c:v>121536.49645425682</c:v>
                </c:pt>
                <c:pt idx="184">
                  <c:v>122541.36344463678</c:v>
                </c:pt>
                <c:pt idx="185">
                  <c:v>123648.58691170765</c:v>
                </c:pt>
                <c:pt idx="186">
                  <c:v>124612.56464894464</c:v>
                </c:pt>
                <c:pt idx="187">
                  <c:v>125557.92409558372</c:v>
                </c:pt>
                <c:pt idx="188">
                  <c:v>126599.68284747354</c:v>
                </c:pt>
                <c:pt idx="189">
                  <c:v>127506.7608358611</c:v>
                </c:pt>
                <c:pt idx="190">
                  <c:v>128396.4117714109</c:v>
                </c:pt>
                <c:pt idx="191">
                  <c:v>129376.89397045772</c:v>
                </c:pt>
                <c:pt idx="192">
                  <c:v>130230.71936360429</c:v>
                </c:pt>
                <c:pt idx="193">
                  <c:v>131068.23833996318</c:v>
                </c:pt>
                <c:pt idx="194">
                  <c:v>131991.38402040573</c:v>
                </c:pt>
                <c:pt idx="195">
                  <c:v>132795.38554872278</c:v>
                </c:pt>
                <c:pt idx="196">
                  <c:v>133584.13288178097</c:v>
                </c:pt>
                <c:pt idx="197">
                  <c:v>134453.64161391763</c:v>
                </c:pt>
                <c:pt idx="198">
                  <c:v>135211.03689900014</c:v>
                </c:pt>
                <c:pt idx="199">
                  <c:v>135954.16439863585</c:v>
                </c:pt>
                <c:pt idx="200">
                  <c:v>136773.50442022434</c:v>
                </c:pt>
                <c:pt idx="201">
                  <c:v>137487.30842840724</c:v>
                </c:pt>
                <c:pt idx="202">
                  <c:v>138187.76812593368</c:v>
                </c:pt>
                <c:pt idx="203">
                  <c:v>138960.18644100227</c:v>
                </c:pt>
                <c:pt idx="204">
                  <c:v>139633.22067116378</c:v>
                </c:pt>
                <c:pt idx="205">
                  <c:v>140293.77417289224</c:v>
                </c:pt>
                <c:pt idx="206">
                  <c:v>141022.30723672023</c:v>
                </c:pt>
                <c:pt idx="207">
                  <c:v>141657.20933300967</c:v>
                </c:pt>
                <c:pt idx="208">
                  <c:v>142280.43751600158</c:v>
                </c:pt>
                <c:pt idx="209">
                  <c:v>142967.92221460855</c:v>
                </c:pt>
                <c:pt idx="210">
                  <c:v>143567.15576745349</c:v>
                </c:pt>
                <c:pt idx="211">
                  <c:v>144155.46860033617</c:v>
                </c:pt>
                <c:pt idx="212">
                  <c:v>144804.55330166384</c:v>
                </c:pt>
                <c:pt idx="213">
                  <c:v>145370.41765653883</c:v>
                </c:pt>
                <c:pt idx="214">
                  <c:v>145926.06398008059</c:v>
                </c:pt>
                <c:pt idx="215">
                  <c:v>146539.21948766877</c:v>
                </c:pt>
                <c:pt idx="216">
                  <c:v>147073.85942499142</c:v>
                </c:pt>
                <c:pt idx="217">
                  <c:v>147598.93656776901</c:v>
                </c:pt>
                <c:pt idx="218">
                  <c:v>148178.4668499066</c:v>
                </c:pt>
                <c:pt idx="219">
                  <c:v>148683.88203403619</c:v>
                </c:pt>
                <c:pt idx="220">
                  <c:v>149180.34517064891</c:v>
                </c:pt>
                <c:pt idx="221">
                  <c:v>149728.39777137816</c:v>
                </c:pt>
                <c:pt idx="222">
                  <c:v>150206.45189413539</c:v>
                </c:pt>
                <c:pt idx="223">
                  <c:v>150676.12307891701</c:v>
                </c:pt>
                <c:pt idx="224">
                  <c:v>151194.69914380202</c:v>
                </c:pt>
                <c:pt idx="225">
                  <c:v>151647.1287097446</c:v>
                </c:pt>
                <c:pt idx="226">
                  <c:v>152091.70553919495</c:v>
                </c:pt>
                <c:pt idx="227">
                  <c:v>152582.66940985864</c:v>
                </c:pt>
                <c:pt idx="228">
                  <c:v>153011.09212788116</c:v>
                </c:pt>
                <c:pt idx="229">
                  <c:v>153432.1560011362</c:v>
                </c:pt>
                <c:pt idx="230">
                  <c:v>153897.2443492974</c:v>
                </c:pt>
                <c:pt idx="231">
                  <c:v>154303.16710885518</c:v>
                </c:pt>
                <c:pt idx="232">
                  <c:v>154702.19106824315</c:v>
                </c:pt>
                <c:pt idx="233">
                  <c:v>155143.02155319718</c:v>
                </c:pt>
                <c:pt idx="234">
                  <c:v>155527.84797426665</c:v>
                </c:pt>
                <c:pt idx="235">
                  <c:v>155906.20411800177</c:v>
                </c:pt>
                <c:pt idx="236">
                  <c:v>156324.28356182837</c:v>
                </c:pt>
                <c:pt idx="237">
                  <c:v>156689.32111616264</c:v>
                </c:pt>
                <c:pt idx="238">
                  <c:v>157048.28758301042</c:v>
                </c:pt>
                <c:pt idx="239">
                  <c:v>157445.01966581421</c:v>
                </c:pt>
                <c:pt idx="240">
                  <c:v>157791.48637356728</c:v>
                </c:pt>
              </c:numCache>
            </c:numRef>
          </c:val>
          <c:smooth val="0"/>
          <c:extLst>
            <c:ext xmlns:c16="http://schemas.microsoft.com/office/drawing/2014/chart" uri="{C3380CC4-5D6E-409C-BE32-E72D297353CC}">
              <c16:uniqueId val="{00000002-D2F5-480D-ADA2-C57FE03A3CB1}"/>
            </c:ext>
          </c:extLst>
        </c:ser>
        <c:ser>
          <c:idx val="3"/>
          <c:order val="3"/>
          <c:tx>
            <c:v>Paper operating 25-to-1000-km pass apparent depth (m)</c:v>
          </c:tx>
          <c:spPr>
            <a:ln w="9000"/>
          </c:spPr>
          <c:cat>
            <c:numRef>
              <c:f>Scenario_Data!$G$2:$G$242</c:f>
              <c:numCache>
                <c:formatCode>0.000</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cat>
          <c:val>
            <c:numRef>
              <c:f>Scenario_Data!$K$2:$K$242</c:f>
              <c:numCache>
                <c:formatCode>0.000</c:formatCode>
                <c:ptCount val="241"/>
                <c:pt idx="0">
                  <c:v>157791.48637356728</c:v>
                </c:pt>
                <c:pt idx="1">
                  <c:v>157464.8582043653</c:v>
                </c:pt>
                <c:pt idx="2">
                  <c:v>157090.75320353292</c:v>
                </c:pt>
                <c:pt idx="3">
                  <c:v>156752.17775414829</c:v>
                </c:pt>
                <c:pt idx="4">
                  <c:v>156407.79634982644</c:v>
                </c:pt>
                <c:pt idx="5">
                  <c:v>156013.2761094695</c:v>
                </c:pt>
                <c:pt idx="6">
                  <c:v>155656.15051535444</c:v>
                </c:pt>
                <c:pt idx="7">
                  <c:v>155292.83013990428</c:v>
                </c:pt>
                <c:pt idx="8">
                  <c:v>154876.52740486668</c:v>
                </c:pt>
                <c:pt idx="9">
                  <c:v>154499.60597487274</c:v>
                </c:pt>
                <c:pt idx="10">
                  <c:v>154116.07164605678</c:v>
                </c:pt>
                <c:pt idx="11">
                  <c:v>153676.51616447463</c:v>
                </c:pt>
                <c:pt idx="12">
                  <c:v>153278.45929556628</c:v>
                </c:pt>
                <c:pt idx="13">
                  <c:v>152873.3398484537</c:v>
                </c:pt>
                <c:pt idx="14">
                  <c:v>152408.95038778541</c:v>
                </c:pt>
                <c:pt idx="15">
                  <c:v>151988.31730604862</c:v>
                </c:pt>
                <c:pt idx="16">
                  <c:v>151560.13797993344</c:v>
                </c:pt>
                <c:pt idx="17">
                  <c:v>151069.21380145603</c:v>
                </c:pt>
                <c:pt idx="18">
                  <c:v>150624.45481747933</c:v>
                </c:pt>
                <c:pt idx="19">
                  <c:v>150171.62935366906</c:v>
                </c:pt>
                <c:pt idx="20">
                  <c:v>149652.34113318572</c:v>
                </c:pt>
                <c:pt idx="21">
                  <c:v>149181.78940271804</c:v>
                </c:pt>
                <c:pt idx="22">
                  <c:v>148702.61164595411</c:v>
                </c:pt>
                <c:pt idx="23">
                  <c:v>148152.99183501268</c:v>
                </c:pt>
                <c:pt idx="24">
                  <c:v>147654.85462220901</c:v>
                </c:pt>
                <c:pt idx="25">
                  <c:v>147147.48962548067</c:v>
                </c:pt>
                <c:pt idx="26">
                  <c:v>146565.42225603643</c:v>
                </c:pt>
                <c:pt idx="27">
                  <c:v>146037.77170499746</c:v>
                </c:pt>
                <c:pt idx="28">
                  <c:v>145500.24634663132</c:v>
                </c:pt>
                <c:pt idx="29">
                  <c:v>144883.45629326784</c:v>
                </c:pt>
                <c:pt idx="30">
                  <c:v>144324.21972439942</c:v>
                </c:pt>
                <c:pt idx="31">
                  <c:v>143754.41285800817</c:v>
                </c:pt>
                <c:pt idx="32">
                  <c:v>143100.45458612774</c:v>
                </c:pt>
                <c:pt idx="33">
                  <c:v>142507.40434762553</c:v>
                </c:pt>
                <c:pt idx="34">
                  <c:v>141903.03652036257</c:v>
                </c:pt>
                <c:pt idx="35">
                  <c:v>141209.28236686124</c:v>
                </c:pt>
                <c:pt idx="36">
                  <c:v>140580.02528903959</c:v>
                </c:pt>
                <c:pt idx="37">
                  <c:v>139938.64808234564</c:v>
                </c:pt>
                <c:pt idx="38">
                  <c:v>139202.27613807251</c:v>
                </c:pt>
                <c:pt idx="39">
                  <c:v>138534.24266012842</c:v>
                </c:pt>
                <c:pt idx="40">
                  <c:v>137853.22773067432</c:v>
                </c:pt>
                <c:pt idx="41">
                  <c:v>137071.20942254559</c:v>
                </c:pt>
                <c:pt idx="42">
                  <c:v>136361.64248877275</c:v>
                </c:pt>
                <c:pt idx="43">
                  <c:v>135638.17041677618</c:v>
                </c:pt>
                <c:pt idx="44">
                  <c:v>134807.25792322456</c:v>
                </c:pt>
                <c:pt idx="45">
                  <c:v>134053.20178007596</c:v>
                </c:pt>
                <c:pt idx="46">
                  <c:v>133284.25086916701</c:v>
                </c:pt>
                <c:pt idx="47">
                  <c:v>132400.9645476228</c:v>
                </c:pt>
                <c:pt idx="48">
                  <c:v>131599.25361632076</c:v>
                </c:pt>
                <c:pt idx="49">
                  <c:v>130781.58883580848</c:v>
                </c:pt>
                <c:pt idx="50">
                  <c:v>129842.20489784692</c:v>
                </c:pt>
                <c:pt idx="51">
                  <c:v>128989.45295217878</c:v>
                </c:pt>
                <c:pt idx="52">
                  <c:v>128119.61527199976</c:v>
                </c:pt>
                <c:pt idx="53">
                  <c:v>127120.1540145812</c:v>
                </c:pt>
                <c:pt idx="54">
                  <c:v>126212.74396407328</c:v>
                </c:pt>
                <c:pt idx="55">
                  <c:v>125287.04040938598</c:v>
                </c:pt>
                <c:pt idx="56">
                  <c:v>124223.25540506945</c:v>
                </c:pt>
                <c:pt idx="57">
                  <c:v>123257.33007584426</c:v>
                </c:pt>
                <c:pt idx="58">
                  <c:v>122271.82492897964</c:v>
                </c:pt>
                <c:pt idx="59">
                  <c:v>121139.19370297399</c:v>
                </c:pt>
                <c:pt idx="60">
                  <c:v>120110.64813142721</c:v>
                </c:pt>
                <c:pt idx="61">
                  <c:v>119061.15584428063</c:v>
                </c:pt>
                <c:pt idx="62">
                  <c:v>117854.87273561949</c:v>
                </c:pt>
                <c:pt idx="63">
                  <c:v>116759.34865806319</c:v>
                </c:pt>
                <c:pt idx="64">
                  <c:v>115641.42922486359</c:v>
                </c:pt>
                <c:pt idx="65">
                  <c:v>114356.40136514757</c:v>
                </c:pt>
                <c:pt idx="66">
                  <c:v>113189.28482318549</c:v>
                </c:pt>
                <c:pt idx="67">
                  <c:v>111998.2426293427</c:v>
                </c:pt>
                <c:pt idx="68">
                  <c:v>110629.0903120775</c:v>
                </c:pt>
                <c:pt idx="69">
                  <c:v>109385.51363748086</c:v>
                </c:pt>
                <c:pt idx="70">
                  <c:v>108116.40119071386</c:v>
                </c:pt>
                <c:pt idx="71">
                  <c:v>106657.46440895561</c:v>
                </c:pt>
                <c:pt idx="72">
                  <c:v>105332.31436897411</c:v>
                </c:pt>
                <c:pt idx="73">
                  <c:v>103979.94291242861</c:v>
                </c:pt>
                <c:pt idx="74">
                  <c:v>102425.29661853185</c:v>
                </c:pt>
                <c:pt idx="75">
                  <c:v>101013.23130719473</c:v>
                </c:pt>
                <c:pt idx="76">
                  <c:v>99572.191247935756</c:v>
                </c:pt>
                <c:pt idx="77">
                  <c:v>97915.673124643086</c:v>
                </c:pt>
                <c:pt idx="78">
                  <c:v>96411.151481708919</c:v>
                </c:pt>
                <c:pt idx="79">
                  <c:v>94875.847088928262</c:v>
                </c:pt>
                <c:pt idx="80">
                  <c:v>93111.103657929809</c:v>
                </c:pt>
                <c:pt idx="81">
                  <c:v>91508.433659950737</c:v>
                </c:pt>
                <c:pt idx="82">
                  <c:v>89873.139054597515</c:v>
                </c:pt>
                <c:pt idx="83">
                  <c:v>87993.699429959161</c:v>
                </c:pt>
                <c:pt idx="84">
                  <c:v>86287.114741050129</c:v>
                </c:pt>
                <c:pt idx="85">
                  <c:v>84546.062695857894</c:v>
                </c:pt>
                <c:pt idx="86">
                  <c:v>82545.455468669024</c:v>
                </c:pt>
                <c:pt idx="87">
                  <c:v>80729.237071906769</c:v>
                </c:pt>
                <c:pt idx="88">
                  <c:v>78876.760336715422</c:v>
                </c:pt>
                <c:pt idx="89">
                  <c:v>76748.700500508698</c:v>
                </c:pt>
                <c:pt idx="90">
                  <c:v>74817.372463345266</c:v>
                </c:pt>
                <c:pt idx="91">
                  <c:v>72848.132930191307</c:v>
                </c:pt>
                <c:pt idx="92">
                  <c:v>70586.82784915634</c:v>
                </c:pt>
                <c:pt idx="93">
                  <c:v>68535.481214012209</c:v>
                </c:pt>
                <c:pt idx="94">
                  <c:v>66444.853411692078</c:v>
                </c:pt>
                <c:pt idx="95">
                  <c:v>64045.521794706867</c:v>
                </c:pt>
                <c:pt idx="96">
                  <c:v>61870.372096167092</c:v>
                </c:pt>
                <c:pt idx="97">
                  <c:v>59655.113377252943</c:v>
                </c:pt>
                <c:pt idx="98">
                  <c:v>57114.908235433861</c:v>
                </c:pt>
                <c:pt idx="99">
                  <c:v>54814.305740530028</c:v>
                </c:pt>
                <c:pt idx="100">
                  <c:v>52473.79397517621</c:v>
                </c:pt>
                <c:pt idx="101">
                  <c:v>49793.54455863063</c:v>
                </c:pt>
                <c:pt idx="102">
                  <c:v>47369.925351831793</c:v>
                </c:pt>
                <c:pt idx="103">
                  <c:v>44908.605470695031</c:v>
                </c:pt>
                <c:pt idx="104">
                  <c:v>42096.352787587908</c:v>
                </c:pt>
                <c:pt idx="105">
                  <c:v>39560.310730652614</c:v>
                </c:pt>
                <c:pt idx="106">
                  <c:v>36992.945743584089</c:v>
                </c:pt>
                <c:pt idx="107">
                  <c:v>34071.775383201246</c:v>
                </c:pt>
                <c:pt idx="108">
                  <c:v>31451.387398225914</c:v>
                </c:pt>
                <c:pt idx="109">
                  <c:v>28815.486246902132</c:v>
                </c:pt>
                <c:pt idx="110">
                  <c:v>25842.756989515266</c:v>
                </c:pt>
                <c:pt idx="111">
                  <c:v>23207.336335419968</c:v>
                </c:pt>
                <c:pt idx="112">
                  <c:v>20595.927822440484</c:v>
                </c:pt>
                <c:pt idx="113">
                  <c:v>17715.77781952596</c:v>
                </c:pt>
                <c:pt idx="114">
                  <c:v>15242.62495473365</c:v>
                </c:pt>
                <c:pt idx="115">
                  <c:v>12897.861981730344</c:v>
                </c:pt>
                <c:pt idx="116">
                  <c:v>10490.298874003152</c:v>
                </c:pt>
                <c:pt idx="117">
                  <c:v>8645.3229246873689</c:v>
                </c:pt>
                <c:pt idx="118">
                  <c:v>7182.9442804401942</c:v>
                </c:pt>
                <c:pt idx="119">
                  <c:v>6129.7626795115111</c:v>
                </c:pt>
                <c:pt idx="120">
                  <c:v>5817.6062131052686</c:v>
                </c:pt>
                <c:pt idx="121">
                  <c:v>6129.7626795115111</c:v>
                </c:pt>
                <c:pt idx="122">
                  <c:v>7182.9442804401715</c:v>
                </c:pt>
                <c:pt idx="123">
                  <c:v>8645.3229246873361</c:v>
                </c:pt>
                <c:pt idx="124">
                  <c:v>10490.298874003152</c:v>
                </c:pt>
                <c:pt idx="125">
                  <c:v>12897.861981730344</c:v>
                </c:pt>
                <c:pt idx="126">
                  <c:v>15242.62495473365</c:v>
                </c:pt>
                <c:pt idx="127">
                  <c:v>17715.77781952596</c:v>
                </c:pt>
                <c:pt idx="128">
                  <c:v>20595.927822440484</c:v>
                </c:pt>
                <c:pt idx="129">
                  <c:v>23207.336335419968</c:v>
                </c:pt>
                <c:pt idx="130">
                  <c:v>25842.756989515266</c:v>
                </c:pt>
                <c:pt idx="131">
                  <c:v>28815.486246902132</c:v>
                </c:pt>
                <c:pt idx="132">
                  <c:v>31451.387398225957</c:v>
                </c:pt>
                <c:pt idx="133">
                  <c:v>34071.775383201297</c:v>
                </c:pt>
                <c:pt idx="134">
                  <c:v>36992.945743584089</c:v>
                </c:pt>
                <c:pt idx="135">
                  <c:v>39560.310730652614</c:v>
                </c:pt>
                <c:pt idx="136">
                  <c:v>42096.352787587908</c:v>
                </c:pt>
                <c:pt idx="137">
                  <c:v>44908.605470694994</c:v>
                </c:pt>
                <c:pt idx="138">
                  <c:v>47369.925351831742</c:v>
                </c:pt>
                <c:pt idx="139">
                  <c:v>49793.54455863063</c:v>
                </c:pt>
                <c:pt idx="140">
                  <c:v>52473.79397517621</c:v>
                </c:pt>
                <c:pt idx="141">
                  <c:v>54814.305740530028</c:v>
                </c:pt>
                <c:pt idx="142">
                  <c:v>57114.908235433861</c:v>
                </c:pt>
                <c:pt idx="143">
                  <c:v>59655.113377252943</c:v>
                </c:pt>
                <c:pt idx="144">
                  <c:v>61870.372096167092</c:v>
                </c:pt>
                <c:pt idx="145">
                  <c:v>64045.521794706867</c:v>
                </c:pt>
                <c:pt idx="146">
                  <c:v>66444.853411692078</c:v>
                </c:pt>
                <c:pt idx="147">
                  <c:v>68535.481214012267</c:v>
                </c:pt>
                <c:pt idx="148">
                  <c:v>70586.827849156369</c:v>
                </c:pt>
                <c:pt idx="149">
                  <c:v>72848.132930191307</c:v>
                </c:pt>
                <c:pt idx="150">
                  <c:v>74817.372463345266</c:v>
                </c:pt>
                <c:pt idx="151">
                  <c:v>76748.700500508698</c:v>
                </c:pt>
                <c:pt idx="152">
                  <c:v>78876.760336715393</c:v>
                </c:pt>
                <c:pt idx="153">
                  <c:v>80729.237071906755</c:v>
                </c:pt>
                <c:pt idx="154">
                  <c:v>82545.455468668981</c:v>
                </c:pt>
                <c:pt idx="155">
                  <c:v>84546.062695857967</c:v>
                </c:pt>
                <c:pt idx="156">
                  <c:v>86287.114741050129</c:v>
                </c:pt>
                <c:pt idx="157">
                  <c:v>87993.699429959161</c:v>
                </c:pt>
                <c:pt idx="158">
                  <c:v>89873.139054597515</c:v>
                </c:pt>
                <c:pt idx="159">
                  <c:v>91508.433659950737</c:v>
                </c:pt>
                <c:pt idx="160">
                  <c:v>93111.10365792978</c:v>
                </c:pt>
                <c:pt idx="161">
                  <c:v>94875.847088928291</c:v>
                </c:pt>
                <c:pt idx="162">
                  <c:v>96411.151481708919</c:v>
                </c:pt>
                <c:pt idx="163">
                  <c:v>97915.673124643115</c:v>
                </c:pt>
                <c:pt idx="164">
                  <c:v>99572.191247935727</c:v>
                </c:pt>
                <c:pt idx="165">
                  <c:v>101013.23130719473</c:v>
                </c:pt>
                <c:pt idx="166">
                  <c:v>102425.29661853187</c:v>
                </c:pt>
                <c:pt idx="167">
                  <c:v>103979.94291242858</c:v>
                </c:pt>
                <c:pt idx="168">
                  <c:v>105332.31436897411</c:v>
                </c:pt>
                <c:pt idx="169">
                  <c:v>106657.46440895561</c:v>
                </c:pt>
                <c:pt idx="170">
                  <c:v>108116.40119071392</c:v>
                </c:pt>
                <c:pt idx="171">
                  <c:v>109385.51363748086</c:v>
                </c:pt>
                <c:pt idx="172">
                  <c:v>110629.09031207753</c:v>
                </c:pt>
                <c:pt idx="173">
                  <c:v>111998.2426293427</c:v>
                </c:pt>
                <c:pt idx="174">
                  <c:v>113189.2848231855</c:v>
                </c:pt>
                <c:pt idx="175">
                  <c:v>114356.40136514754</c:v>
                </c:pt>
                <c:pt idx="176">
                  <c:v>115641.4292248636</c:v>
                </c:pt>
                <c:pt idx="177">
                  <c:v>116759.34865806319</c:v>
                </c:pt>
                <c:pt idx="178">
                  <c:v>117854.8727356195</c:v>
                </c:pt>
                <c:pt idx="179">
                  <c:v>119061.15584428063</c:v>
                </c:pt>
                <c:pt idx="180">
                  <c:v>120110.64813142721</c:v>
                </c:pt>
                <c:pt idx="181">
                  <c:v>121139.19370297402</c:v>
                </c:pt>
                <c:pt idx="182">
                  <c:v>122271.82492897961</c:v>
                </c:pt>
                <c:pt idx="183">
                  <c:v>123257.33007584426</c:v>
                </c:pt>
                <c:pt idx="184">
                  <c:v>124223.25540506939</c:v>
                </c:pt>
                <c:pt idx="185">
                  <c:v>125287.04040938606</c:v>
                </c:pt>
                <c:pt idx="186">
                  <c:v>126212.74396407322</c:v>
                </c:pt>
                <c:pt idx="187">
                  <c:v>127120.1540145812</c:v>
                </c:pt>
                <c:pt idx="188">
                  <c:v>128119.61527199973</c:v>
                </c:pt>
                <c:pt idx="189">
                  <c:v>128989.45295217878</c:v>
                </c:pt>
                <c:pt idx="190">
                  <c:v>129842.20489784688</c:v>
                </c:pt>
                <c:pt idx="191">
                  <c:v>130781.58883580852</c:v>
                </c:pt>
                <c:pt idx="192">
                  <c:v>131599.25361632076</c:v>
                </c:pt>
                <c:pt idx="193">
                  <c:v>132400.9645476228</c:v>
                </c:pt>
                <c:pt idx="194">
                  <c:v>133284.25086916698</c:v>
                </c:pt>
                <c:pt idx="195">
                  <c:v>134053.20178007596</c:v>
                </c:pt>
                <c:pt idx="196">
                  <c:v>134807.25792322456</c:v>
                </c:pt>
                <c:pt idx="197">
                  <c:v>135638.17041677615</c:v>
                </c:pt>
                <c:pt idx="198">
                  <c:v>136361.64248877275</c:v>
                </c:pt>
                <c:pt idx="199">
                  <c:v>137071.20942254559</c:v>
                </c:pt>
                <c:pt idx="200">
                  <c:v>137853.22773067435</c:v>
                </c:pt>
                <c:pt idx="201">
                  <c:v>138534.24266012842</c:v>
                </c:pt>
                <c:pt idx="202">
                  <c:v>139202.27613807251</c:v>
                </c:pt>
                <c:pt idx="203">
                  <c:v>139938.64808234564</c:v>
                </c:pt>
                <c:pt idx="204">
                  <c:v>140580.02528903959</c:v>
                </c:pt>
                <c:pt idx="205">
                  <c:v>141209.28236686115</c:v>
                </c:pt>
                <c:pt idx="206">
                  <c:v>141903.03652036257</c:v>
                </c:pt>
                <c:pt idx="207">
                  <c:v>142507.40434762553</c:v>
                </c:pt>
                <c:pt idx="208">
                  <c:v>143100.45458612774</c:v>
                </c:pt>
                <c:pt idx="209">
                  <c:v>143754.41285800817</c:v>
                </c:pt>
                <c:pt idx="210">
                  <c:v>144324.21972439942</c:v>
                </c:pt>
                <c:pt idx="211">
                  <c:v>144883.45629326784</c:v>
                </c:pt>
                <c:pt idx="212">
                  <c:v>145500.24634663132</c:v>
                </c:pt>
                <c:pt idx="213">
                  <c:v>146037.77170499746</c:v>
                </c:pt>
                <c:pt idx="214">
                  <c:v>146565.42225603634</c:v>
                </c:pt>
                <c:pt idx="215">
                  <c:v>147147.48962548067</c:v>
                </c:pt>
                <c:pt idx="216">
                  <c:v>147654.85462220901</c:v>
                </c:pt>
                <c:pt idx="217">
                  <c:v>148152.99183501268</c:v>
                </c:pt>
                <c:pt idx="218">
                  <c:v>148702.61164595411</c:v>
                </c:pt>
                <c:pt idx="219">
                  <c:v>149181.78940271804</c:v>
                </c:pt>
                <c:pt idx="220">
                  <c:v>149652.34113318572</c:v>
                </c:pt>
                <c:pt idx="221">
                  <c:v>150171.62935366906</c:v>
                </c:pt>
                <c:pt idx="222">
                  <c:v>150624.45481747933</c:v>
                </c:pt>
                <c:pt idx="223">
                  <c:v>151069.21380145609</c:v>
                </c:pt>
                <c:pt idx="224">
                  <c:v>151560.13797993338</c:v>
                </c:pt>
                <c:pt idx="225">
                  <c:v>151988.31730604862</c:v>
                </c:pt>
                <c:pt idx="226">
                  <c:v>152408.95038778541</c:v>
                </c:pt>
                <c:pt idx="227">
                  <c:v>152873.3398484537</c:v>
                </c:pt>
                <c:pt idx="228">
                  <c:v>153278.45929556628</c:v>
                </c:pt>
                <c:pt idx="229">
                  <c:v>153676.51616447463</c:v>
                </c:pt>
                <c:pt idx="230">
                  <c:v>154116.07164605684</c:v>
                </c:pt>
                <c:pt idx="231">
                  <c:v>154499.60597487274</c:v>
                </c:pt>
                <c:pt idx="232">
                  <c:v>154876.52740486668</c:v>
                </c:pt>
                <c:pt idx="233">
                  <c:v>155292.83013990428</c:v>
                </c:pt>
                <c:pt idx="234">
                  <c:v>155656.15051535444</c:v>
                </c:pt>
                <c:pt idx="235">
                  <c:v>156013.27610946962</c:v>
                </c:pt>
                <c:pt idx="236">
                  <c:v>156407.79634982636</c:v>
                </c:pt>
                <c:pt idx="237">
                  <c:v>156752.17775414829</c:v>
                </c:pt>
                <c:pt idx="238">
                  <c:v>157090.75320353307</c:v>
                </c:pt>
                <c:pt idx="239">
                  <c:v>157464.85820436524</c:v>
                </c:pt>
                <c:pt idx="240">
                  <c:v>157791.48637356728</c:v>
                </c:pt>
              </c:numCache>
            </c:numRef>
          </c:val>
          <c:smooth val="0"/>
          <c:extLst>
            <c:ext xmlns:c16="http://schemas.microsoft.com/office/drawing/2014/chart" uri="{C3380CC4-5D6E-409C-BE32-E72D297353CC}">
              <c16:uniqueId val="{00000003-D2F5-480D-ADA2-C57FE03A3CB1}"/>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overlay val="0"/>
        </c:title>
        <c:numFmt formatCode="0.000" sourceLinked="1"/>
        <c:majorTickMark val="none"/>
        <c:minorTickMark val="none"/>
        <c:tickLblPos val="nextTo"/>
        <c:crossAx val="48672768"/>
        <c:crosses val="autoZero"/>
        <c:auto val="1"/>
        <c:lblAlgn val="ctr"/>
        <c:lblOffset val="100"/>
        <c:tickLblSkip val="24"/>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(m)</a:t>
                </a:r>
              </a:p>
            </c:rich>
          </c:tx>
          <c:overlay val="0"/>
        </c:title>
        <c:numFmt formatCode="0.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18</xdr:col>
      <xdr:colOff>0</xdr:colOff>
      <xdr:row>18</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4" nam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5" nam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6" name="Chart">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56</xdr:row>
      <xdr:rowOff>0</xdr:rowOff>
    </xdr:from>
    <xdr:to>
      <xdr:col>18</xdr:col>
      <xdr:colOff>0</xdr:colOff>
      <xdr:row>72</xdr:row>
      <xdr:rowOff>0</xdr:rowOff>
    </xdr:to>
    <xdr:graphicFrame macro="">
      <xdr:nvGraphicFramePr>
        <xdr:cNvPr id="7" name="Chart">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8" name="Chart">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elDataTable" displayName="ModelDataTable" ref="A1:AS242">
  <tableColumns count="45">
    <tableColumn id="1" xr3:uid="{00000000-0010-0000-0000-000001000000}" name="x_km"/>
    <tableColumn id="2" xr3:uid="{00000000-0010-0000-0000-000002000000}" name="z_km"/>
    <tableColumn id="3" xr3:uid="{00000000-0010-0000-0000-000003000000}" name="R_nadir_km"/>
    <tableColumn id="4" xr3:uid="{00000000-0010-0000-0000-000004000000}" name="R_off_km"/>
    <tableColumn id="5" xr3:uid="{00000000-0010-0000-0000-000005000000}" name="Delta_R_m"/>
    <tableColumn id="6" xr3:uid="{00000000-0010-0000-0000-000006000000}" name="apparent_depth_m"/>
    <tableColumn id="7" xr3:uid="{00000000-0010-0000-0000-000007000000}" name="extra_delay_us"/>
    <tableColumn id="8" xr3:uid="{00000000-0010-0000-0000-000008000000}" name="horizontal_offset_km"/>
    <tableColumn id="9" xr3:uid="{00000000-0010-0000-0000-000009000000}" name="look_angle_deg"/>
    <tableColumn id="10" xr3:uid="{00000000-0010-0000-0000-00000A000000}" name="vhf_phase_deg"/>
    <tableColumn id="11" xr3:uid="{00000000-0010-0000-0000-00000B000000}" name="relative_power"/>
    <tableColumn id="12" xr3:uid="{00000000-0010-0000-0000-00000C000000}" name="power_dB"/>
    <tableColumn id="13" xr3:uid="{00000000-0010-0000-0000-00000D000000}" name="dz_dx"/>
    <tableColumn id="14" xr3:uid="{00000000-0010-0000-0000-00000E000000}" name="dz_dt_km_s"/>
    <tableColumn id="15" xr3:uid="{00000000-0010-0000-0000-00000F000000}" name="range_rate_m_s"/>
    <tableColumn id="16" xr3:uid="{00000000-0010-0000-0000-000010000000}" name="vhf_doppler_hz"/>
    <tableColumn id="17" xr3:uid="{00000000-0010-0000-0000-000011000000}" name="hf_doppler_hz"/>
    <tableColumn id="18" xr3:uid="{00000000-0010-0000-0000-000012000000}" name="vhf_band_low_m"/>
    <tableColumn id="19" xr3:uid="{00000000-0010-0000-0000-000013000000}" name="vhf_band_high_m"/>
    <tableColumn id="20" xr3:uid="{00000000-0010-0000-0000-000014000000}" name="hf_band_low_m"/>
    <tableColumn id="21" xr3:uid="{00000000-0010-0000-0000-000015000000}" name="hf_band_high_m"/>
    <tableColumn id="22" xr3:uid="{00000000-0010-0000-0000-000016000000}" name="abs_vhf_doppler_hz"/>
    <tableColumn id="23" xr3:uid="{00000000-0010-0000-0000-000017000000}" name="abs_hf_doppler_hz"/>
    <tableColumn id="24" xr3:uid="{00000000-0010-0000-0000-000018000000}" name="h_nadir_m"/>
    <tableColumn id="25" xr3:uid="{00000000-0010-0000-0000-000019000000}" name="h_target_m"/>
    <tableColumn id="26" xr3:uid="{00000000-0010-0000-0000-00001A000000}" name="R_nadir_topo_km"/>
    <tableColumn id="27" xr3:uid="{00000000-0010-0000-0000-00001B000000}" name="R_off_topo_km"/>
    <tableColumn id="28" xr3:uid="{00000000-0010-0000-0000-00001C000000}" name="Delta_R_topo_m"/>
    <tableColumn id="29" xr3:uid="{00000000-0010-0000-0000-00001D000000}" name="apparent_depth_topo_m"/>
    <tableColumn id="30" xr3:uid="{00000000-0010-0000-0000-00001E000000}" name="extra_delay_topo_us"/>
    <tableColumn id="31" xr3:uid="{00000000-0010-0000-0000-00001F000000}" name="look_angle_topo_deg"/>
    <tableColumn id="32" xr3:uid="{00000000-0010-0000-0000-000020000000}" name="vhf_phase_topo_deg"/>
    <tableColumn id="33" xr3:uid="{00000000-0010-0000-0000-000021000000}" name="relative_power_topo"/>
    <tableColumn id="34" xr3:uid="{00000000-0010-0000-0000-000022000000}" name="power_dB_topo"/>
    <tableColumn id="35" xr3:uid="{00000000-0010-0000-0000-000023000000}" name="depth_change_topo_minus_flat_m"/>
    <tableColumn id="36" xr3:uid="{00000000-0010-0000-0000-000024000000}" name="delay_change_topo_minus_flat_us"/>
    <tableColumn id="37" xr3:uid="{00000000-0010-0000-0000-000025000000}" name="target_minus_nadir_height_m"/>
    <tableColumn id="38" xr3:uid="{00000000-0010-0000-0000-000026000000}" name="range_rate_topo_m_s"/>
    <tableColumn id="39" xr3:uid="{00000000-0010-0000-0000-000027000000}" name="vhf_doppler_topo_hz"/>
    <tableColumn id="40" xr3:uid="{00000000-0010-0000-0000-000028000000}" name="hf_doppler_topo_hz"/>
    <tableColumn id="41" xr3:uid="{00000000-0010-0000-0000-000029000000}" name="abs_vhf_doppler_topo_hz"/>
    <tableColumn id="42" xr3:uid="{00000000-0010-0000-0000-00002A000000}" name="abs_hf_doppler_topo_hz"/>
    <tableColumn id="43" xr3:uid="{00000000-0010-0000-0000-00002B000000}" name="topo_depth_uncertainty_m"/>
    <tableColumn id="44" xr3:uid="{00000000-0010-0000-0000-00002C000000}" name="topo_depth_low_m"/>
    <tableColumn id="45" xr3:uid="{00000000-0010-0000-0000-00002D000000}"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3"/>
  <sheetViews>
    <sheetView showGridLines="0" tabSelected="1" topLeftCell="I1" workbookViewId="0">
      <selection sqref="A1:H1"/>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8" width="14" customWidth="1"/>
    <col min="9" max="9" width="28" customWidth="1"/>
    <col min="10" max="18" width="16" customWidth="1"/>
  </cols>
  <sheetData>
    <row r="1" spans="1:8" ht="21">
      <c r="A1" s="13" t="s">
        <v>0</v>
      </c>
      <c r="B1" s="13"/>
      <c r="C1" s="13"/>
      <c r="D1" s="13"/>
      <c r="E1" s="13"/>
      <c r="F1" s="13"/>
      <c r="G1" s="13"/>
      <c r="H1" s="13"/>
    </row>
    <row r="2" spans="1:8" ht="14.4">
      <c r="A2" s="14" t="s">
        <v>1</v>
      </c>
      <c r="B2" s="14"/>
      <c r="C2" s="14"/>
      <c r="D2" s="14"/>
      <c r="E2" s="14"/>
      <c r="F2" s="14"/>
      <c r="G2" s="14"/>
      <c r="H2" s="14"/>
    </row>
    <row r="4" spans="1:8" ht="15.6">
      <c r="A4" s="15" t="s">
        <v>2</v>
      </c>
      <c r="B4" s="16"/>
      <c r="C4" s="16"/>
      <c r="D4" s="17"/>
    </row>
    <row r="5" spans="1:8">
      <c r="A5" s="2" t="s">
        <v>3</v>
      </c>
      <c r="B5" s="2" t="s">
        <v>4</v>
      </c>
      <c r="C5" s="2" t="s">
        <v>5</v>
      </c>
      <c r="D5" s="2" t="s">
        <v>6</v>
      </c>
    </row>
    <row r="6" spans="1:8" ht="41.4">
      <c r="A6" s="1" t="s">
        <v>7</v>
      </c>
      <c r="B6" s="6" t="str">
        <f>IF(OR(Inputs!$C$27=TRUE,Inputs!$C$27="TRUE",Inputs!$C$27=1),"Topography ON","Topography OFF")</f>
        <v>Topography OFF</v>
      </c>
      <c r="C6" s="1"/>
      <c r="D6" s="1" t="s">
        <v>8</v>
      </c>
    </row>
    <row r="7" spans="1:8">
      <c r="A7" s="1" t="s">
        <v>9</v>
      </c>
      <c r="B7" s="11">
        <f>Model_Data!F122</f>
        <v>438.47671181736308</v>
      </c>
      <c r="C7" s="1" t="s">
        <v>10</v>
      </c>
      <c r="D7" s="1" t="s">
        <v>11</v>
      </c>
    </row>
    <row r="8" spans="1:8" ht="27.6">
      <c r="A8" s="1" t="s">
        <v>12</v>
      </c>
      <c r="B8" s="11">
        <f>Model_Data!AC122</f>
        <v>438.47671181736308</v>
      </c>
      <c r="C8" s="1" t="s">
        <v>10</v>
      </c>
      <c r="D8" s="1" t="s">
        <v>13</v>
      </c>
    </row>
    <row r="9" spans="1:8" ht="27.6">
      <c r="A9" s="1" t="s">
        <v>14</v>
      </c>
      <c r="B9" s="11">
        <f>Model_Data!AI122</f>
        <v>0</v>
      </c>
      <c r="C9" s="1" t="s">
        <v>10</v>
      </c>
      <c r="D9" s="1" t="s">
        <v>15</v>
      </c>
    </row>
    <row r="10" spans="1:8">
      <c r="A10" s="1" t="s">
        <v>16</v>
      </c>
      <c r="B10" s="11">
        <f>Model_Data!AD122</f>
        <v>5.2068591200843768</v>
      </c>
      <c r="C10" s="1" t="s">
        <v>17</v>
      </c>
      <c r="D10" s="1" t="s">
        <v>18</v>
      </c>
    </row>
    <row r="11" spans="1:8" ht="27.6">
      <c r="A11" s="1" t="s">
        <v>19</v>
      </c>
      <c r="B11" s="11">
        <f>Model_Data!AF122</f>
        <v>22.456183015864994</v>
      </c>
      <c r="C11" s="1" t="s">
        <v>20</v>
      </c>
      <c r="D11" s="1" t="s">
        <v>21</v>
      </c>
    </row>
    <row r="12" spans="1:8" ht="27.6">
      <c r="A12" s="1" t="s">
        <v>22</v>
      </c>
      <c r="B12" s="11">
        <f>MAX(Model_Data!Y2:Y242)</f>
        <v>0</v>
      </c>
      <c r="C12" s="1" t="s">
        <v>10</v>
      </c>
      <c r="D12" s="1" t="s">
        <v>23</v>
      </c>
    </row>
    <row r="13" spans="1:8" ht="27.6">
      <c r="A13" s="1" t="s">
        <v>24</v>
      </c>
      <c r="B13" s="11">
        <f>MIN(Model_Data!Y2:Y242)</f>
        <v>0</v>
      </c>
      <c r="C13" s="1" t="s">
        <v>10</v>
      </c>
      <c r="D13" s="1" t="s">
        <v>25</v>
      </c>
    </row>
    <row r="14" spans="1:8" ht="27.6">
      <c r="A14" s="1" t="s">
        <v>26</v>
      </c>
      <c r="B14" s="11">
        <f>MAX(MAX(Model_Data!AI2:AI242),-MIN(Model_Data!AI2:AI242))</f>
        <v>0</v>
      </c>
      <c r="C14" s="1" t="s">
        <v>10</v>
      </c>
      <c r="D14" s="1" t="s">
        <v>27</v>
      </c>
    </row>
    <row r="15" spans="1:8" ht="27.6">
      <c r="A15" s="1" t="s">
        <v>28</v>
      </c>
      <c r="B15" s="11">
        <f>MAX(Model_Data!AO2:AO242)</f>
        <v>443.43401728638128</v>
      </c>
      <c r="C15" s="1" t="s">
        <v>29</v>
      </c>
      <c r="D15" s="1" t="s">
        <v>30</v>
      </c>
    </row>
    <row r="16" spans="1:8" ht="27.6">
      <c r="A16" s="1" t="s">
        <v>31</v>
      </c>
      <c r="B16" s="11">
        <f>2*B15</f>
        <v>886.86803457276255</v>
      </c>
      <c r="C16" s="1" t="s">
        <v>29</v>
      </c>
      <c r="D16" s="1" t="s">
        <v>32</v>
      </c>
    </row>
    <row r="17" spans="1:8" ht="27.6">
      <c r="A17" s="1" t="s">
        <v>33</v>
      </c>
      <c r="B17" s="11">
        <f>Model_Data!AQ122</f>
        <v>0</v>
      </c>
      <c r="C17" s="1" t="s">
        <v>10</v>
      </c>
      <c r="D17" s="1" t="s">
        <v>34</v>
      </c>
    </row>
    <row r="19" spans="1:8" ht="15.6">
      <c r="A19" s="15" t="s">
        <v>35</v>
      </c>
      <c r="B19" s="16"/>
      <c r="C19" s="16"/>
      <c r="D19" s="16"/>
      <c r="E19" s="16"/>
      <c r="F19" s="17"/>
    </row>
    <row r="20" spans="1:8" ht="27.6">
      <c r="A20" s="2" t="s">
        <v>36</v>
      </c>
      <c r="B20" s="2" t="s">
        <v>37</v>
      </c>
      <c r="C20" s="2" t="s">
        <v>38</v>
      </c>
      <c r="D20" s="2" t="s">
        <v>39</v>
      </c>
      <c r="E20" s="2" t="s">
        <v>40</v>
      </c>
      <c r="F20" s="2" t="s">
        <v>41</v>
      </c>
    </row>
    <row r="21" spans="1:8" ht="27.6">
      <c r="A21" s="9">
        <f>PRF_Results!A4</f>
        <v>50</v>
      </c>
      <c r="B21" s="9">
        <f>PRF_Results!B4</f>
        <v>20</v>
      </c>
      <c r="C21" s="9">
        <f>PRF_Results!C4</f>
        <v>80</v>
      </c>
      <c r="D21" s="9">
        <f>PRF_Results!D4</f>
        <v>2997.9245799999999</v>
      </c>
      <c r="E21" s="9">
        <f>PRF_Results!E4</f>
        <v>0.13342563807926083</v>
      </c>
      <c r="F21" s="1" t="str">
        <f>PRF_Results!F4</f>
        <v>Below simple Doppler floor</v>
      </c>
    </row>
    <row r="22" spans="1:8" ht="27.6">
      <c r="A22" s="9">
        <f>PRF_Results!A5</f>
        <v>500</v>
      </c>
      <c r="B22" s="9">
        <f>PRF_Results!B5</f>
        <v>2</v>
      </c>
      <c r="C22" s="9">
        <f>PRF_Results!C5</f>
        <v>8</v>
      </c>
      <c r="D22" s="9">
        <f>PRF_Results!D5</f>
        <v>299.79245800000001</v>
      </c>
      <c r="E22" s="9">
        <f>PRF_Results!E5</f>
        <v>1.3342563807926082</v>
      </c>
      <c r="F22" s="1" t="str">
        <f>PRF_Results!F5</f>
        <v>Below simple Doppler floor</v>
      </c>
    </row>
    <row r="23" spans="1:8" ht="27.6">
      <c r="A23" s="9">
        <f>PRF_Results!A6</f>
        <v>3000</v>
      </c>
      <c r="B23" s="9">
        <f>PRF_Results!B6</f>
        <v>0.33333333333333331</v>
      </c>
      <c r="C23" s="9">
        <f>PRF_Results!C6</f>
        <v>1.3333333333333333</v>
      </c>
      <c r="D23" s="9">
        <f>PRF_Results!D6</f>
        <v>49.965409666666666</v>
      </c>
      <c r="E23" s="9">
        <f>PRF_Results!E6</f>
        <v>8.0055382847556498</v>
      </c>
      <c r="F23" s="1" t="str">
        <f>PRF_Results!F6</f>
        <v>OK for modeled topo VHF Doppler</v>
      </c>
    </row>
    <row r="25" spans="1:8" ht="15.6">
      <c r="A25" s="15" t="s">
        <v>42</v>
      </c>
      <c r="B25" s="16"/>
      <c r="C25" s="16"/>
      <c r="D25" s="16"/>
      <c r="E25" s="16"/>
      <c r="F25" s="16"/>
      <c r="G25" s="16"/>
      <c r="H25" s="17"/>
    </row>
    <row r="26" spans="1:8" ht="14.4">
      <c r="A26" s="18" t="s">
        <v>43</v>
      </c>
      <c r="B26" s="19"/>
      <c r="C26" s="19"/>
      <c r="D26" s="19"/>
      <c r="E26" s="19"/>
      <c r="F26" s="19"/>
      <c r="G26" s="19"/>
      <c r="H26" s="20"/>
    </row>
    <row r="57" spans="1:9" ht="15.6">
      <c r="A57" s="15" t="s">
        <v>44</v>
      </c>
      <c r="B57" s="16"/>
      <c r="C57" s="16"/>
      <c r="D57" s="16"/>
      <c r="E57" s="16"/>
      <c r="F57" s="16"/>
      <c r="G57" s="16"/>
      <c r="H57" s="16"/>
      <c r="I57" s="17"/>
    </row>
    <row r="58" spans="1:9">
      <c r="A58" s="2" t="s">
        <v>45</v>
      </c>
      <c r="B58" s="2" t="s">
        <v>46</v>
      </c>
      <c r="C58" s="2" t="s">
        <v>47</v>
      </c>
      <c r="D58" s="2" t="s">
        <v>48</v>
      </c>
      <c r="E58" s="2" t="s">
        <v>49</v>
      </c>
      <c r="F58" s="2" t="s">
        <v>50</v>
      </c>
      <c r="G58" s="2" t="s">
        <v>51</v>
      </c>
      <c r="H58" s="2" t="s">
        <v>52</v>
      </c>
      <c r="I58" s="2" t="s">
        <v>53</v>
      </c>
    </row>
    <row r="59" spans="1:9">
      <c r="A59" s="1" t="str">
        <f>Inputs!G6</f>
        <v>Current custom inputs</v>
      </c>
      <c r="B59" s="8" t="s">
        <v>54</v>
      </c>
      <c r="C59" s="9">
        <f>Inputs!H6</f>
        <v>400</v>
      </c>
      <c r="D59" s="9">
        <f>Inputs!J6-Inputs!I6</f>
        <v>120</v>
      </c>
      <c r="E59" s="9">
        <f>Inputs!M6</f>
        <v>404</v>
      </c>
      <c r="F59" s="9">
        <f>Scenario_Data!AF122</f>
        <v>438.47671181736308</v>
      </c>
      <c r="G59" s="9">
        <f>MAX(MAX(Scenario_Data!AL2:AL242),-MIN(Scenario_Data!AL2:AL242))</f>
        <v>445.23129749250427</v>
      </c>
      <c r="H59" s="9">
        <f>2*G59</f>
        <v>890.46259498500854</v>
      </c>
      <c r="I59" s="1" t="s">
        <v>55</v>
      </c>
    </row>
    <row r="60" spans="1:9">
      <c r="A60" s="1" t="str">
        <f>Inputs!G7</f>
        <v>Paper low-altitude 800-km pass</v>
      </c>
      <c r="B60" s="8" t="s">
        <v>54</v>
      </c>
      <c r="C60" s="9">
        <f>Inputs!H7</f>
        <v>35</v>
      </c>
      <c r="D60" s="9">
        <f>Inputs!J7-Inputs!I7</f>
        <v>800</v>
      </c>
      <c r="E60" s="9">
        <f>Inputs!M7</f>
        <v>400</v>
      </c>
      <c r="F60" s="9">
        <f>Scenario_Data!AG122</f>
        <v>4500.9136714680544</v>
      </c>
      <c r="G60" s="9">
        <f>MAX(MAX(Scenario_Data!AM2:AM242),-MIN(Scenario_Data!AM2:AM242))</f>
        <v>3193.0060020981323</v>
      </c>
      <c r="H60" s="9">
        <f>2*G60</f>
        <v>6386.0120041962646</v>
      </c>
      <c r="I60" s="1" t="s">
        <v>56</v>
      </c>
    </row>
    <row r="61" spans="1:9">
      <c r="A61" s="1" t="str">
        <f>Inputs!G8</f>
        <v>Paper ice-ocean 1600-km pass</v>
      </c>
      <c r="B61" s="8" t="s">
        <v>54</v>
      </c>
      <c r="C61" s="9">
        <f>Inputs!H8</f>
        <v>35</v>
      </c>
      <c r="D61" s="9">
        <f>Inputs!J8-Inputs!I8</f>
        <v>1600</v>
      </c>
      <c r="E61" s="9">
        <f>Inputs!M8</f>
        <v>1000</v>
      </c>
      <c r="F61" s="9">
        <f>Scenario_Data!AH122</f>
        <v>4500.9136714680544</v>
      </c>
      <c r="G61" s="9">
        <f>MAX(MAX(Scenario_Data!AN2:AN242),-MIN(Scenario_Data!AN2:AN242))</f>
        <v>4012.9010999643679</v>
      </c>
      <c r="H61" s="9">
        <f>2*G61</f>
        <v>8025.8021999287357</v>
      </c>
      <c r="I61" s="1" t="s">
        <v>57</v>
      </c>
    </row>
    <row r="62" spans="1:9">
      <c r="A62" s="1" t="str">
        <f>Inputs!G9</f>
        <v>Paper operating 25-to-1000-km pass</v>
      </c>
      <c r="B62" s="8" t="s">
        <v>54</v>
      </c>
      <c r="C62" s="9">
        <f>Inputs!H9</f>
        <v>25</v>
      </c>
      <c r="D62" s="9">
        <f>Inputs!J9-Inputs!I9</f>
        <v>1600</v>
      </c>
      <c r="E62" s="9">
        <f>Inputs!M9</f>
        <v>1000</v>
      </c>
      <c r="F62" s="9">
        <f>Scenario_Data!AI122</f>
        <v>5817.6062131052686</v>
      </c>
      <c r="G62" s="9">
        <f>MAX(MAX(Scenario_Data!AO2:AO242),-MIN(Scenario_Data!AO2:AO242))</f>
        <v>4044.1299022987214</v>
      </c>
      <c r="H62" s="9">
        <f>2*G62</f>
        <v>8088.2598045974428</v>
      </c>
      <c r="I62" s="1" t="s">
        <v>58</v>
      </c>
    </row>
    <row r="63" spans="1:9" ht="14.4">
      <c r="A63" s="5" t="s">
        <v>59</v>
      </c>
      <c r="B63" s="19" t="s">
        <v>60</v>
      </c>
      <c r="C63" s="19"/>
      <c r="D63" s="19"/>
      <c r="E63" s="19"/>
      <c r="F63" s="19"/>
      <c r="G63" s="19"/>
      <c r="H63" s="19"/>
      <c r="I63" s="20"/>
    </row>
  </sheetData>
  <mergeCells count="8">
    <mergeCell ref="A26:H26"/>
    <mergeCell ref="A57:I57"/>
    <mergeCell ref="B63:I63"/>
    <mergeCell ref="A1:H1"/>
    <mergeCell ref="A2:H2"/>
    <mergeCell ref="A4:D4"/>
    <mergeCell ref="A19:F19"/>
    <mergeCell ref="A25:H25"/>
  </mergeCells>
  <dataValidations count="1">
    <dataValidation type="list" sqref="B59:B62" xr:uid="{00000000-0002-0000-0000-000000000000}">
      <formula1>"TRUE,FALSE"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3"/>
  <sheetViews>
    <sheetView showGridLines="0" topLeftCell="A14" workbookViewId="0">
      <selection activeCell="C27" sqref="C27"/>
    </sheetView>
  </sheetViews>
  <sheetFormatPr defaultRowHeight="13.8"/>
  <cols>
    <col min="1" max="1" width="26" customWidth="1"/>
    <col min="2" max="2" width="18" customWidth="1"/>
    <col min="3" max="3" width="12" customWidth="1"/>
    <col min="4" max="4" width="10" customWidth="1"/>
    <col min="5" max="5" width="58" customWidth="1"/>
    <col min="6" max="6" width="12" customWidth="1"/>
    <col min="7" max="7" width="30" customWidth="1"/>
    <col min="8" max="10" width="10" customWidth="1"/>
    <col min="11" max="11" width="11" customWidth="1"/>
    <col min="12" max="12" width="15" customWidth="1"/>
    <col min="13" max="13" width="14" customWidth="1"/>
    <col min="14" max="14" width="72" customWidth="1"/>
  </cols>
  <sheetData>
    <row r="1" spans="1:14" ht="21">
      <c r="A1" s="13" t="s">
        <v>61</v>
      </c>
      <c r="B1" s="13"/>
      <c r="C1" s="13"/>
      <c r="D1" s="13"/>
      <c r="E1" s="13"/>
      <c r="F1" s="13"/>
      <c r="G1" s="13"/>
      <c r="H1" s="13"/>
      <c r="I1" s="13"/>
      <c r="J1" s="13"/>
      <c r="K1" s="13"/>
      <c r="L1" s="13"/>
      <c r="M1" s="13"/>
      <c r="N1" s="13"/>
    </row>
    <row r="2" spans="1:14" ht="14.4">
      <c r="A2" s="21" t="s">
        <v>62</v>
      </c>
      <c r="B2" s="21"/>
      <c r="C2" s="21"/>
      <c r="D2" s="21"/>
      <c r="E2" s="21"/>
      <c r="F2" s="21"/>
      <c r="G2" s="21"/>
      <c r="H2" s="21"/>
      <c r="I2" s="21"/>
      <c r="J2" s="21"/>
      <c r="K2" s="21"/>
      <c r="L2" s="21"/>
      <c r="M2" s="21"/>
      <c r="N2" s="21"/>
    </row>
    <row r="4" spans="1:14" ht="15.6">
      <c r="A4" s="2" t="s">
        <v>63</v>
      </c>
      <c r="B4" s="2" t="s">
        <v>64</v>
      </c>
      <c r="C4" s="2" t="s">
        <v>4</v>
      </c>
      <c r="D4" s="2" t="s">
        <v>5</v>
      </c>
      <c r="E4" s="2" t="s">
        <v>65</v>
      </c>
      <c r="F4" s="15" t="s">
        <v>66</v>
      </c>
      <c r="G4" s="16"/>
      <c r="H4" s="16"/>
      <c r="I4" s="16"/>
      <c r="J4" s="16"/>
      <c r="K4" s="16"/>
      <c r="L4" s="16"/>
      <c r="M4" s="16"/>
      <c r="N4" s="17"/>
    </row>
    <row r="5" spans="1:14">
      <c r="A5" s="1" t="s">
        <v>67</v>
      </c>
      <c r="B5" s="1" t="s">
        <v>68</v>
      </c>
      <c r="C5" s="3">
        <v>400</v>
      </c>
      <c r="D5" s="1" t="s">
        <v>69</v>
      </c>
      <c r="E5" s="1" t="s">
        <v>70</v>
      </c>
      <c r="F5" s="2" t="s">
        <v>46</v>
      </c>
      <c r="G5" s="2" t="s">
        <v>45</v>
      </c>
      <c r="H5" s="2" t="s">
        <v>68</v>
      </c>
      <c r="I5" s="2" t="s">
        <v>71</v>
      </c>
      <c r="J5" s="2" t="s">
        <v>72</v>
      </c>
      <c r="K5" s="2" t="s">
        <v>73</v>
      </c>
      <c r="L5" s="2" t="s">
        <v>74</v>
      </c>
      <c r="M5" s="2" t="s">
        <v>75</v>
      </c>
      <c r="N5" s="2" t="s">
        <v>76</v>
      </c>
    </row>
    <row r="6" spans="1:14" ht="27.6">
      <c r="A6" s="1" t="s">
        <v>77</v>
      </c>
      <c r="B6" s="1" t="s">
        <v>78</v>
      </c>
      <c r="C6" s="3">
        <v>25</v>
      </c>
      <c r="D6" s="1" t="s">
        <v>69</v>
      </c>
      <c r="E6" s="1" t="s">
        <v>79</v>
      </c>
      <c r="F6" s="6" t="str">
        <f>Dashboard!B59</f>
        <v>TRUE</v>
      </c>
      <c r="G6" s="1" t="s">
        <v>80</v>
      </c>
      <c r="H6" s="7">
        <f>C5</f>
        <v>400</v>
      </c>
      <c r="I6" s="7">
        <f>C7</f>
        <v>-60</v>
      </c>
      <c r="J6" s="7">
        <f>C8</f>
        <v>60</v>
      </c>
      <c r="K6" s="7">
        <f>C10</f>
        <v>60</v>
      </c>
      <c r="L6" s="7">
        <f>C9</f>
        <v>4</v>
      </c>
      <c r="M6" s="7">
        <f>C5+C9</f>
        <v>404</v>
      </c>
      <c r="N6" s="1" t="s">
        <v>81</v>
      </c>
    </row>
    <row r="7" spans="1:14" ht="27.6">
      <c r="A7" s="1" t="s">
        <v>82</v>
      </c>
      <c r="B7" s="1" t="s">
        <v>71</v>
      </c>
      <c r="C7" s="3">
        <v>-60</v>
      </c>
      <c r="D7" s="1" t="s">
        <v>69</v>
      </c>
      <c r="E7" s="1" t="s">
        <v>83</v>
      </c>
      <c r="F7" s="6" t="str">
        <f>Dashboard!B60</f>
        <v>TRUE</v>
      </c>
      <c r="G7" s="1" t="s">
        <v>84</v>
      </c>
      <c r="H7" s="7">
        <v>35</v>
      </c>
      <c r="I7" s="7">
        <v>-400</v>
      </c>
      <c r="J7" s="7">
        <v>400</v>
      </c>
      <c r="K7" s="7">
        <v>400</v>
      </c>
      <c r="L7" s="7">
        <v>365</v>
      </c>
      <c r="M7" s="7">
        <v>400</v>
      </c>
      <c r="N7" s="1" t="s">
        <v>85</v>
      </c>
    </row>
    <row r="8" spans="1:14" ht="27.6">
      <c r="A8" s="1" t="s">
        <v>86</v>
      </c>
      <c r="B8" s="1" t="s">
        <v>72</v>
      </c>
      <c r="C8" s="3">
        <v>60</v>
      </c>
      <c r="D8" s="1" t="s">
        <v>69</v>
      </c>
      <c r="E8" s="1" t="s">
        <v>87</v>
      </c>
      <c r="F8" s="6" t="str">
        <f>Dashboard!B61</f>
        <v>TRUE</v>
      </c>
      <c r="G8" s="1" t="s">
        <v>88</v>
      </c>
      <c r="H8" s="7">
        <v>35</v>
      </c>
      <c r="I8" s="7">
        <v>-800</v>
      </c>
      <c r="J8" s="7">
        <v>800</v>
      </c>
      <c r="K8" s="7">
        <v>800</v>
      </c>
      <c r="L8" s="7">
        <v>965</v>
      </c>
      <c r="M8" s="7">
        <v>1000</v>
      </c>
      <c r="N8" s="1" t="s">
        <v>89</v>
      </c>
    </row>
    <row r="9" spans="1:14" ht="27.6">
      <c r="A9" s="1" t="s">
        <v>90</v>
      </c>
      <c r="B9" s="1" t="s">
        <v>74</v>
      </c>
      <c r="C9" s="3">
        <v>4</v>
      </c>
      <c r="D9" s="1" t="s">
        <v>69</v>
      </c>
      <c r="E9" s="1" t="s">
        <v>91</v>
      </c>
      <c r="F9" s="6" t="str">
        <f>Dashboard!B62</f>
        <v>TRUE</v>
      </c>
      <c r="G9" s="1" t="s">
        <v>92</v>
      </c>
      <c r="H9" s="7">
        <v>25</v>
      </c>
      <c r="I9" s="7">
        <v>-800</v>
      </c>
      <c r="J9" s="7">
        <v>800</v>
      </c>
      <c r="K9" s="7">
        <v>800</v>
      </c>
      <c r="L9" s="7">
        <v>975</v>
      </c>
      <c r="M9" s="7">
        <v>1000</v>
      </c>
      <c r="N9" s="1" t="s">
        <v>93</v>
      </c>
    </row>
    <row r="10" spans="1:14">
      <c r="A10" s="1" t="s">
        <v>94</v>
      </c>
      <c r="B10" s="1" t="s">
        <v>73</v>
      </c>
      <c r="C10" s="3">
        <v>60</v>
      </c>
      <c r="D10" s="1" t="s">
        <v>69</v>
      </c>
      <c r="E10" s="1" t="s">
        <v>95</v>
      </c>
    </row>
    <row r="11" spans="1:14" ht="14.4">
      <c r="A11" s="1" t="s">
        <v>96</v>
      </c>
      <c r="B11" s="1" t="s">
        <v>97</v>
      </c>
      <c r="C11" s="3">
        <v>4</v>
      </c>
      <c r="D11" s="1" t="s">
        <v>98</v>
      </c>
      <c r="E11" s="1" t="s">
        <v>99</v>
      </c>
      <c r="F11" s="5" t="s">
        <v>59</v>
      </c>
      <c r="G11" s="19" t="s">
        <v>100</v>
      </c>
      <c r="H11" s="19"/>
      <c r="I11" s="19"/>
      <c r="J11" s="19"/>
      <c r="K11" s="19"/>
      <c r="L11" s="19"/>
      <c r="M11" s="19"/>
      <c r="N11" s="20"/>
    </row>
    <row r="12" spans="1:14">
      <c r="A12" s="1" t="s">
        <v>101</v>
      </c>
      <c r="B12" s="1" t="s">
        <v>102</v>
      </c>
      <c r="C12" s="3">
        <v>1.78</v>
      </c>
      <c r="D12" s="1"/>
      <c r="E12" s="1" t="s">
        <v>103</v>
      </c>
    </row>
    <row r="13" spans="1:14">
      <c r="A13" s="1" t="s">
        <v>104</v>
      </c>
      <c r="B13" s="1" t="s">
        <v>105</v>
      </c>
      <c r="C13" s="3">
        <v>5</v>
      </c>
      <c r="D13" s="1" t="s">
        <v>10</v>
      </c>
      <c r="E13" s="1" t="s">
        <v>106</v>
      </c>
    </row>
    <row r="14" spans="1:14">
      <c r="A14" s="1" t="s">
        <v>107</v>
      </c>
      <c r="B14" s="1" t="s">
        <v>108</v>
      </c>
      <c r="C14" s="3">
        <v>33.299999999999997</v>
      </c>
      <c r="D14" s="1" t="s">
        <v>10</v>
      </c>
      <c r="E14" s="1" t="s">
        <v>109</v>
      </c>
    </row>
    <row r="15" spans="1:14">
      <c r="A15" s="1" t="s">
        <v>110</v>
      </c>
      <c r="B15" s="1" t="s">
        <v>111</v>
      </c>
      <c r="C15" s="3">
        <v>5</v>
      </c>
      <c r="D15" s="1" t="s">
        <v>10</v>
      </c>
      <c r="E15" s="1" t="s">
        <v>112</v>
      </c>
    </row>
    <row r="16" spans="1:14">
      <c r="A16" s="1" t="s">
        <v>113</v>
      </c>
      <c r="B16" s="1" t="s">
        <v>114</v>
      </c>
      <c r="C16" s="3">
        <v>30</v>
      </c>
      <c r="D16" s="1" t="s">
        <v>10</v>
      </c>
      <c r="E16" s="1" t="s">
        <v>115</v>
      </c>
    </row>
    <row r="17" spans="1:5">
      <c r="A17" s="1" t="s">
        <v>116</v>
      </c>
      <c r="B17" s="1" t="s">
        <v>117</v>
      </c>
      <c r="C17" s="3">
        <v>300</v>
      </c>
      <c r="D17" s="1" t="s">
        <v>10</v>
      </c>
      <c r="E17" s="1" t="s">
        <v>118</v>
      </c>
    </row>
    <row r="18" spans="1:5">
      <c r="A18" s="1" t="s">
        <v>119</v>
      </c>
      <c r="B18" s="1" t="s">
        <v>120</v>
      </c>
      <c r="C18" s="3">
        <v>50</v>
      </c>
      <c r="D18" s="1" t="s">
        <v>29</v>
      </c>
      <c r="E18" s="1" t="s">
        <v>121</v>
      </c>
    </row>
    <row r="19" spans="1:5">
      <c r="A19" s="1" t="s">
        <v>122</v>
      </c>
      <c r="B19" s="1" t="s">
        <v>123</v>
      </c>
      <c r="C19" s="3">
        <v>500</v>
      </c>
      <c r="D19" s="1" t="s">
        <v>29</v>
      </c>
      <c r="E19" s="1" t="s">
        <v>124</v>
      </c>
    </row>
    <row r="20" spans="1:5">
      <c r="A20" s="1" t="s">
        <v>125</v>
      </c>
      <c r="B20" s="1" t="s">
        <v>126</v>
      </c>
      <c r="C20" s="3">
        <v>3000</v>
      </c>
      <c r="D20" s="1" t="s">
        <v>29</v>
      </c>
      <c r="E20" s="1" t="s">
        <v>127</v>
      </c>
    </row>
    <row r="21" spans="1:5">
      <c r="A21" s="1" t="s">
        <v>128</v>
      </c>
      <c r="B21" s="1" t="s">
        <v>129</v>
      </c>
      <c r="C21" s="4">
        <v>299792458</v>
      </c>
      <c r="D21" s="1" t="s">
        <v>130</v>
      </c>
      <c r="E21" s="1" t="s">
        <v>131</v>
      </c>
    </row>
    <row r="23" spans="1:5" ht="14.4">
      <c r="A23" s="5" t="s">
        <v>132</v>
      </c>
      <c r="B23" s="19" t="s">
        <v>133</v>
      </c>
      <c r="C23" s="19"/>
      <c r="D23" s="19"/>
      <c r="E23" s="20"/>
    </row>
    <row r="25" spans="1:5" ht="15.6">
      <c r="A25" s="15" t="s">
        <v>134</v>
      </c>
      <c r="B25" s="16"/>
      <c r="C25" s="16"/>
      <c r="D25" s="16"/>
      <c r="E25" s="17"/>
    </row>
    <row r="26" spans="1:5">
      <c r="A26" s="2" t="s">
        <v>63</v>
      </c>
      <c r="B26" s="2" t="s">
        <v>64</v>
      </c>
      <c r="C26" s="2" t="s">
        <v>4</v>
      </c>
      <c r="D26" s="2" t="s">
        <v>5</v>
      </c>
      <c r="E26" s="2" t="s">
        <v>65</v>
      </c>
    </row>
    <row r="27" spans="1:5" ht="27.6">
      <c r="A27" s="1" t="s">
        <v>135</v>
      </c>
      <c r="B27" s="1" t="s">
        <v>136</v>
      </c>
      <c r="C27" s="8" t="b">
        <v>0</v>
      </c>
      <c r="D27" s="1"/>
      <c r="E27" s="1" t="s">
        <v>137</v>
      </c>
    </row>
    <row r="28" spans="1:5">
      <c r="A28" s="1" t="s">
        <v>138</v>
      </c>
      <c r="B28" s="1" t="s">
        <v>139</v>
      </c>
      <c r="C28" s="3">
        <v>350</v>
      </c>
      <c r="D28" s="1" t="s">
        <v>10</v>
      </c>
      <c r="E28" s="1" t="s">
        <v>140</v>
      </c>
    </row>
    <row r="29" spans="1:5">
      <c r="A29" s="1" t="s">
        <v>141</v>
      </c>
      <c r="B29" s="1" t="s">
        <v>142</v>
      </c>
      <c r="C29" s="3">
        <v>0</v>
      </c>
      <c r="D29" s="1" t="s">
        <v>69</v>
      </c>
      <c r="E29" s="1" t="s">
        <v>143</v>
      </c>
    </row>
    <row r="30" spans="1:5">
      <c r="A30" s="1" t="s">
        <v>144</v>
      </c>
      <c r="B30" s="1" t="s">
        <v>145</v>
      </c>
      <c r="C30" s="3">
        <v>25</v>
      </c>
      <c r="D30" s="1" t="s">
        <v>69</v>
      </c>
      <c r="E30" s="1" t="s">
        <v>146</v>
      </c>
    </row>
    <row r="31" spans="1:5">
      <c r="A31" s="1" t="s">
        <v>147</v>
      </c>
      <c r="B31" s="1" t="s">
        <v>148</v>
      </c>
      <c r="C31" s="3">
        <v>24</v>
      </c>
      <c r="D31" s="1" t="s">
        <v>69</v>
      </c>
      <c r="E31" s="1" t="s">
        <v>149</v>
      </c>
    </row>
    <row r="32" spans="1:5">
      <c r="A32" s="1" t="s">
        <v>150</v>
      </c>
      <c r="B32" s="1" t="s">
        <v>151</v>
      </c>
      <c r="C32" s="3">
        <v>3.5</v>
      </c>
      <c r="D32" s="1" t="s">
        <v>69</v>
      </c>
      <c r="E32" s="1" t="s">
        <v>152</v>
      </c>
    </row>
    <row r="33" spans="1:5">
      <c r="A33" s="1" t="s">
        <v>153</v>
      </c>
      <c r="B33" s="1" t="s">
        <v>154</v>
      </c>
      <c r="C33" s="3">
        <v>180</v>
      </c>
      <c r="D33" s="1" t="s">
        <v>10</v>
      </c>
      <c r="E33" s="1" t="s">
        <v>155</v>
      </c>
    </row>
    <row r="34" spans="1:5">
      <c r="A34" s="1" t="s">
        <v>156</v>
      </c>
      <c r="B34" s="1" t="s">
        <v>157</v>
      </c>
      <c r="C34" s="3">
        <v>-18</v>
      </c>
      <c r="D34" s="1" t="s">
        <v>69</v>
      </c>
      <c r="E34" s="1" t="s">
        <v>158</v>
      </c>
    </row>
    <row r="35" spans="1:5">
      <c r="A35" s="1" t="s">
        <v>159</v>
      </c>
      <c r="B35" s="1" t="s">
        <v>160</v>
      </c>
      <c r="C35" s="3">
        <v>8</v>
      </c>
      <c r="D35" s="1" t="s">
        <v>69</v>
      </c>
      <c r="E35" s="1" t="s">
        <v>161</v>
      </c>
    </row>
    <row r="36" spans="1:5">
      <c r="A36" s="1" t="s">
        <v>162</v>
      </c>
      <c r="B36" s="1" t="s">
        <v>163</v>
      </c>
      <c r="C36" s="3">
        <v>8</v>
      </c>
      <c r="D36" s="1" t="s">
        <v>69</v>
      </c>
      <c r="E36" s="1" t="s">
        <v>164</v>
      </c>
    </row>
    <row r="37" spans="1:5">
      <c r="A37" s="1" t="s">
        <v>165</v>
      </c>
      <c r="B37" s="1" t="s">
        <v>166</v>
      </c>
      <c r="C37" s="3">
        <v>65</v>
      </c>
      <c r="D37" s="1" t="s">
        <v>10</v>
      </c>
      <c r="E37" s="1" t="s">
        <v>167</v>
      </c>
    </row>
    <row r="38" spans="1:5">
      <c r="A38" s="1" t="s">
        <v>168</v>
      </c>
      <c r="B38" s="1" t="s">
        <v>169</v>
      </c>
      <c r="C38" s="3">
        <v>35</v>
      </c>
      <c r="D38" s="1" t="s">
        <v>10</v>
      </c>
      <c r="E38" s="1" t="s">
        <v>170</v>
      </c>
    </row>
    <row r="39" spans="1:5">
      <c r="A39" s="1" t="s">
        <v>171</v>
      </c>
      <c r="B39" s="1" t="s">
        <v>172</v>
      </c>
      <c r="C39" s="3">
        <v>18</v>
      </c>
      <c r="D39" s="1" t="s">
        <v>69</v>
      </c>
      <c r="E39" s="1" t="s">
        <v>173</v>
      </c>
    </row>
    <row r="40" spans="1:5">
      <c r="A40" s="1" t="s">
        <v>174</v>
      </c>
      <c r="B40" s="1" t="s">
        <v>175</v>
      </c>
      <c r="C40" s="3">
        <v>12</v>
      </c>
      <c r="D40" s="1" t="s">
        <v>69</v>
      </c>
      <c r="E40" s="1" t="s">
        <v>176</v>
      </c>
    </row>
    <row r="41" spans="1:5">
      <c r="A41" s="1" t="s">
        <v>177</v>
      </c>
      <c r="B41" s="1" t="s">
        <v>178</v>
      </c>
      <c r="C41" s="3">
        <v>120</v>
      </c>
      <c r="D41" s="1" t="s">
        <v>10</v>
      </c>
      <c r="E41" s="1" t="s">
        <v>179</v>
      </c>
    </row>
    <row r="42" spans="1:5">
      <c r="A42" s="1" t="s">
        <v>180</v>
      </c>
      <c r="B42" s="1" t="s">
        <v>181</v>
      </c>
      <c r="C42" s="3">
        <v>12</v>
      </c>
      <c r="D42" s="1" t="s">
        <v>69</v>
      </c>
      <c r="E42" s="1" t="s">
        <v>182</v>
      </c>
    </row>
    <row r="43" spans="1:5">
      <c r="A43" s="1" t="s">
        <v>183</v>
      </c>
      <c r="B43" s="1" t="s">
        <v>184</v>
      </c>
      <c r="C43" s="3">
        <v>-6</v>
      </c>
      <c r="D43" s="1" t="s">
        <v>69</v>
      </c>
      <c r="E43" s="1" t="s">
        <v>185</v>
      </c>
    </row>
    <row r="44" spans="1:5">
      <c r="A44" s="1" t="s">
        <v>186</v>
      </c>
      <c r="B44" s="1" t="s">
        <v>187</v>
      </c>
      <c r="C44" s="3">
        <v>2.5</v>
      </c>
      <c r="D44" s="1" t="s">
        <v>69</v>
      </c>
      <c r="E44" s="1" t="s">
        <v>188</v>
      </c>
    </row>
    <row r="45" spans="1:5">
      <c r="A45" s="1" t="s">
        <v>189</v>
      </c>
      <c r="B45" s="1" t="s">
        <v>190</v>
      </c>
      <c r="C45" s="3">
        <v>38</v>
      </c>
      <c r="D45" s="1" t="s">
        <v>69</v>
      </c>
      <c r="E45" s="1" t="s">
        <v>191</v>
      </c>
    </row>
    <row r="46" spans="1:5">
      <c r="A46" s="1" t="s">
        <v>192</v>
      </c>
      <c r="B46" s="1" t="s">
        <v>193</v>
      </c>
      <c r="C46" s="3">
        <v>75</v>
      </c>
      <c r="D46" s="1" t="s">
        <v>10</v>
      </c>
      <c r="E46" s="1" t="s">
        <v>194</v>
      </c>
    </row>
    <row r="47" spans="1:5" ht="27.6">
      <c r="A47" s="1" t="s">
        <v>195</v>
      </c>
      <c r="B47" s="1" t="s">
        <v>196</v>
      </c>
      <c r="C47" s="4">
        <v>7</v>
      </c>
      <c r="D47" s="1"/>
      <c r="E47" s="1" t="s">
        <v>197</v>
      </c>
    </row>
    <row r="48" spans="1:5">
      <c r="A48" s="1" t="s">
        <v>198</v>
      </c>
      <c r="B48" s="1" t="s">
        <v>199</v>
      </c>
      <c r="C48" s="3">
        <v>45</v>
      </c>
      <c r="D48" s="1" t="s">
        <v>10</v>
      </c>
      <c r="E48" s="1" t="s">
        <v>200</v>
      </c>
    </row>
    <row r="49" spans="1:5">
      <c r="A49" s="1" t="s">
        <v>201</v>
      </c>
      <c r="B49" s="1" t="s">
        <v>202</v>
      </c>
      <c r="C49" s="3">
        <v>12</v>
      </c>
      <c r="D49" s="1" t="s">
        <v>69</v>
      </c>
      <c r="E49" s="1" t="s">
        <v>203</v>
      </c>
    </row>
    <row r="50" spans="1:5">
      <c r="A50" s="1" t="s">
        <v>204</v>
      </c>
      <c r="B50" s="1" t="s">
        <v>205</v>
      </c>
      <c r="C50" s="3">
        <v>9</v>
      </c>
      <c r="D50" s="1" t="s">
        <v>69</v>
      </c>
      <c r="E50" s="1" t="s">
        <v>206</v>
      </c>
    </row>
    <row r="51" spans="1:5">
      <c r="A51" s="1" t="s">
        <v>207</v>
      </c>
      <c r="B51" s="1" t="s">
        <v>208</v>
      </c>
      <c r="C51" s="3">
        <v>1</v>
      </c>
      <c r="D51" s="1"/>
      <c r="E51" s="1" t="s">
        <v>209</v>
      </c>
    </row>
    <row r="53" spans="1:5" ht="14.4">
      <c r="A53" s="5" t="s">
        <v>210</v>
      </c>
      <c r="B53" s="19" t="s">
        <v>211</v>
      </c>
      <c r="C53" s="19"/>
      <c r="D53" s="19"/>
      <c r="E53" s="20"/>
    </row>
  </sheetData>
  <mergeCells count="7">
    <mergeCell ref="A25:E25"/>
    <mergeCell ref="B53:E53"/>
    <mergeCell ref="A1:N1"/>
    <mergeCell ref="A2:N2"/>
    <mergeCell ref="B23:E23"/>
    <mergeCell ref="F4:N4"/>
    <mergeCell ref="G11:N11"/>
  </mergeCells>
  <dataValidations count="1">
    <dataValidation type="list" sqref="C27" xr:uid="{00000000-0002-0000-0100-000000000000}">
      <formula1>"TRUE,FALSE"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242"/>
  <sheetViews>
    <sheetView showGridLines="0" workbookViewId="0"/>
  </sheetViews>
  <sheetFormatPr defaultRowHeight="13.8"/>
  <cols>
    <col min="1" max="2" width="10" customWidth="1"/>
    <col min="3" max="5" width="12" customWidth="1"/>
    <col min="6" max="6" width="16" customWidth="1"/>
    <col min="7" max="7" width="14" customWidth="1"/>
    <col min="8" max="8" width="16" customWidth="1"/>
    <col min="9" max="11" width="14" customWidth="1"/>
    <col min="12" max="12" width="11" customWidth="1"/>
    <col min="13" max="13" width="10" customWidth="1"/>
    <col min="14" max="14" width="12" customWidth="1"/>
    <col min="15" max="17" width="14" customWidth="1"/>
    <col min="18" max="21" width="13" customWidth="1"/>
    <col min="22" max="23" width="16" customWidth="1"/>
    <col min="24" max="25" width="13" customWidth="1"/>
    <col min="26" max="28" width="15" customWidth="1"/>
    <col min="29" max="30" width="18" customWidth="1"/>
    <col min="31" max="33" width="16" customWidth="1"/>
    <col min="34" max="34" width="14" customWidth="1"/>
    <col min="35" max="36" width="20" customWidth="1"/>
    <col min="37" max="43" width="18" customWidth="1"/>
    <col min="44" max="45" width="16" customWidth="1"/>
  </cols>
  <sheetData>
    <row r="1" spans="1:45" ht="27.6">
      <c r="A1" s="2" t="s">
        <v>212</v>
      </c>
      <c r="B1" s="2" t="s">
        <v>213</v>
      </c>
      <c r="C1" s="2" t="s">
        <v>214</v>
      </c>
      <c r="D1" s="2" t="s">
        <v>215</v>
      </c>
      <c r="E1" s="2" t="s">
        <v>216</v>
      </c>
      <c r="F1" s="2" t="s">
        <v>217</v>
      </c>
      <c r="G1" s="2" t="s">
        <v>218</v>
      </c>
      <c r="H1" s="2" t="s">
        <v>219</v>
      </c>
      <c r="I1" s="2" t="s">
        <v>220</v>
      </c>
      <c r="J1" s="2" t="s">
        <v>221</v>
      </c>
      <c r="K1" s="2" t="s">
        <v>222</v>
      </c>
      <c r="L1" s="2" t="s">
        <v>223</v>
      </c>
      <c r="M1" s="2" t="s">
        <v>224</v>
      </c>
      <c r="N1" s="2" t="s">
        <v>225</v>
      </c>
      <c r="O1" s="2" t="s">
        <v>226</v>
      </c>
      <c r="P1" s="2" t="s">
        <v>227</v>
      </c>
      <c r="Q1" s="2" t="s">
        <v>228</v>
      </c>
      <c r="R1" s="2" t="s">
        <v>229</v>
      </c>
      <c r="S1" s="2" t="s">
        <v>230</v>
      </c>
      <c r="T1" s="2" t="s">
        <v>231</v>
      </c>
      <c r="U1" s="2" t="s">
        <v>232</v>
      </c>
      <c r="V1" s="2" t="s">
        <v>233</v>
      </c>
      <c r="W1" s="2" t="s">
        <v>234</v>
      </c>
      <c r="X1" s="2" t="s">
        <v>235</v>
      </c>
      <c r="Y1" s="2" t="s">
        <v>236</v>
      </c>
      <c r="Z1" s="2" t="s">
        <v>237</v>
      </c>
      <c r="AA1" s="2" t="s">
        <v>238</v>
      </c>
      <c r="AB1" s="2" t="s">
        <v>239</v>
      </c>
      <c r="AC1" s="2" t="s">
        <v>240</v>
      </c>
      <c r="AD1" s="2" t="s">
        <v>241</v>
      </c>
      <c r="AE1" s="2" t="s">
        <v>242</v>
      </c>
      <c r="AF1" s="2" t="s">
        <v>243</v>
      </c>
      <c r="AG1" s="2" t="s">
        <v>244</v>
      </c>
      <c r="AH1" s="2" t="s">
        <v>245</v>
      </c>
      <c r="AI1" s="2" t="s">
        <v>246</v>
      </c>
      <c r="AJ1" s="2" t="s">
        <v>247</v>
      </c>
      <c r="AK1" s="2" t="s">
        <v>248</v>
      </c>
      <c r="AL1" s="2" t="s">
        <v>249</v>
      </c>
      <c r="AM1" s="2" t="s">
        <v>250</v>
      </c>
      <c r="AN1" s="2" t="s">
        <v>251</v>
      </c>
      <c r="AO1" s="2" t="s">
        <v>252</v>
      </c>
      <c r="AP1" s="2" t="s">
        <v>253</v>
      </c>
      <c r="AQ1" s="2" t="s">
        <v>254</v>
      </c>
      <c r="AR1" s="2" t="s">
        <v>255</v>
      </c>
      <c r="AS1" s="2" t="s">
        <v>256</v>
      </c>
    </row>
    <row r="2" spans="1:45">
      <c r="A2" s="9">
        <f>Inputs!$C$7+0*(Inputs!$C$8-Inputs!$C$7)/240</f>
        <v>-60</v>
      </c>
      <c r="B2" s="9">
        <f>Inputs!$C$5+Inputs!$C$9*(A2/Inputs!$C$10)^2</f>
        <v>404</v>
      </c>
      <c r="C2" s="9">
        <f t="shared" ref="C2:C65" si="0">B2</f>
        <v>404</v>
      </c>
      <c r="D2" s="9">
        <f>SQRT(A2^2+Inputs!$C$6^2+B2^2)</f>
        <v>409.19555227299333</v>
      </c>
      <c r="E2" s="9">
        <f t="shared" ref="E2:E65" si="1">(D2-C2)*1000</f>
        <v>5195.5522729933255</v>
      </c>
      <c r="F2" s="9">
        <f>E2/Inputs!$C$12</f>
        <v>2918.8495915692838</v>
      </c>
      <c r="G2" s="9">
        <f>2*E2/Inputs!$C$21*1000000</f>
        <v>34.66099385991442</v>
      </c>
      <c r="H2" s="9">
        <f>SQRT(A2^2+Inputs!$C$6^2)</f>
        <v>65</v>
      </c>
      <c r="I2" s="9">
        <f t="shared" ref="I2:I65" si="2">DEGREES(ATAN(H2/B2))</f>
        <v>9.1400512341328497</v>
      </c>
      <c r="J2" s="9">
        <f>DEGREES((2*PI()/Inputs!$C$13)*Inputs!$C$15*SIN(RADIANS(I2)))</f>
        <v>57.18537229942514</v>
      </c>
      <c r="K2" s="9">
        <f t="shared" ref="K2:K65" si="3">(C2/D2)^4</f>
        <v>0.95017115549449949</v>
      </c>
      <c r="L2" s="9">
        <f t="shared" ref="L2:L65" si="4">10*LOG10(K2)</f>
        <v>-0.22198157667300014</v>
      </c>
      <c r="M2" s="9">
        <f>2*(Inputs!$C$9/(Inputs!$C$10^2))*A2</f>
        <v>-0.13333333333333333</v>
      </c>
      <c r="N2" s="9">
        <f>M2*Inputs!$C$11</f>
        <v>-0.53333333333333333</v>
      </c>
      <c r="O2" s="9">
        <f>1000*((A2*Inputs!$C$11)+(B2*N2))/D2</f>
        <v>-1113.0782437312607</v>
      </c>
      <c r="P2" s="9">
        <f>-2*O2/Inputs!$C$13</f>
        <v>445.23129749250427</v>
      </c>
      <c r="Q2" s="9">
        <f>-2*O2/Inputs!$C$14</f>
        <v>66.851546170045694</v>
      </c>
      <c r="R2" s="9">
        <f>F2-Inputs!$C$16/2</f>
        <v>2903.8495915692838</v>
      </c>
      <c r="S2" s="9">
        <f>F2+Inputs!$C$16/2</f>
        <v>2933.8495915692838</v>
      </c>
      <c r="T2" s="9">
        <f>F2-Inputs!$C$17/2</f>
        <v>2768.8495915692838</v>
      </c>
      <c r="U2" s="9">
        <f>F2+Inputs!$C$17/2</f>
        <v>3068.8495915692838</v>
      </c>
      <c r="V2" s="9">
        <f t="shared" ref="V2:V65" si="5">ABS(P2)</f>
        <v>445.23129749250427</v>
      </c>
      <c r="W2" s="9">
        <f t="shared" ref="W2:W65" si="6">ABS(Q2)</f>
        <v>66.851546170045694</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0</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0</v>
      </c>
      <c r="Z2" s="9">
        <f t="shared" ref="Z2:Z65" si="7">B2-X2/1000</f>
        <v>404</v>
      </c>
      <c r="AA2" s="9">
        <f>SQRT(A2^2+Inputs!$C$6^2+(B2-Y2/1000)^2)</f>
        <v>409.19555227299333</v>
      </c>
      <c r="AB2" s="9">
        <f t="shared" ref="AB2:AB65" si="8">(AA2-Z2)*1000</f>
        <v>5195.5522729933255</v>
      </c>
      <c r="AC2" s="9">
        <f>AB2/Inputs!$C$12</f>
        <v>2918.8495915692838</v>
      </c>
      <c r="AD2" s="9">
        <f>2*AB2/Inputs!$C$21*1000000</f>
        <v>34.66099385991442</v>
      </c>
      <c r="AE2" s="9">
        <f t="shared" ref="AE2:AE65" si="9">DEGREES(ATAN(H2/(B2-Y2/1000)))</f>
        <v>9.1400512341328497</v>
      </c>
      <c r="AF2" s="9">
        <f>DEGREES((2*PI()/Inputs!$C$13)*Inputs!$C$15*SIN(RADIANS(AE2)))</f>
        <v>57.18537229942514</v>
      </c>
      <c r="AG2" s="9">
        <f t="shared" ref="AG2:AG65" si="10">(Z2/AA2)^4</f>
        <v>0.95017115549449949</v>
      </c>
      <c r="AH2" s="9">
        <f t="shared" ref="AH2:AH65" si="11">10*LOG10(AG2)</f>
        <v>-0.22198157667300014</v>
      </c>
      <c r="AI2" s="9">
        <f t="shared" ref="AI2:AI65" si="12">AC2-F2</f>
        <v>0</v>
      </c>
      <c r="AJ2" s="9">
        <f t="shared" ref="AJ2:AJ65" si="13">AD2-G2</f>
        <v>0</v>
      </c>
      <c r="AK2" s="9">
        <f t="shared" ref="AK2:AK65" si="14">Y2-X2</f>
        <v>0</v>
      </c>
      <c r="AL2" s="9">
        <f>1000*(AA3-AA2)/(A3-A2)*Inputs!$C$11</f>
        <v>-1108.5850432159532</v>
      </c>
      <c r="AM2" s="9">
        <f>-2*AL2/Inputs!$C$13</f>
        <v>443.43401728638128</v>
      </c>
      <c r="AN2" s="9">
        <f>-2*AL2/Inputs!$C$14</f>
        <v>66.58168427723443</v>
      </c>
      <c r="AO2" s="9">
        <f t="shared" ref="AO2:AO65" si="15">ABS(AM2)</f>
        <v>443.43401728638128</v>
      </c>
      <c r="AP2" s="9">
        <f t="shared" ref="AP2:AP65" si="16">ABS(AN2)</f>
        <v>66.58168427723443</v>
      </c>
      <c r="AQ2" s="9">
        <f>IF(OR(Inputs!$C$27=TRUE,Inputs!$C$27="TRUE",Inputs!$C$27=1),Inputs!$C$46/Inputs!$C$12,0)</f>
        <v>0</v>
      </c>
      <c r="AR2" s="9">
        <f t="shared" ref="AR2:AR65" si="17">AC2-AQ2</f>
        <v>2918.8495915692838</v>
      </c>
      <c r="AS2" s="9">
        <f t="shared" ref="AS2:AS65" si="18">AC2+AQ2</f>
        <v>2918.8495915692838</v>
      </c>
    </row>
    <row r="3" spans="1:45">
      <c r="A3" s="9">
        <f>Inputs!$C$7+1*(Inputs!$C$8-Inputs!$C$7)/240</f>
        <v>-59.5</v>
      </c>
      <c r="B3" s="9">
        <f>Inputs!$C$5+Inputs!$C$9*(A3/Inputs!$C$10)^2</f>
        <v>403.93361111111113</v>
      </c>
      <c r="C3" s="9">
        <f t="shared" si="0"/>
        <v>403.93361111111113</v>
      </c>
      <c r="D3" s="9">
        <f>SQRT(A3^2+Inputs!$C$6^2+B3^2)</f>
        <v>409.05697914259133</v>
      </c>
      <c r="E3" s="9">
        <f t="shared" si="1"/>
        <v>5123.3680314801968</v>
      </c>
      <c r="F3" s="9">
        <f>E3/Inputs!$C$12</f>
        <v>2878.2966468989871</v>
      </c>
      <c r="G3" s="9">
        <f>2*E3/Inputs!$C$21*1000000</f>
        <v>34.179432435756581</v>
      </c>
      <c r="H3" s="9">
        <f>SQRT(A3^2+Inputs!$C$6^2)</f>
        <v>64.538748051073938</v>
      </c>
      <c r="I3" s="9">
        <f t="shared" si="2"/>
        <v>9.0777420317977509</v>
      </c>
      <c r="J3" s="9">
        <f>DEGREES((2*PI()/Inputs!$C$13)*Inputs!$C$15*SIN(RADIANS(I3)))</f>
        <v>56.79880917100207</v>
      </c>
      <c r="K3" s="9">
        <f t="shared" si="3"/>
        <v>0.95083408394659896</v>
      </c>
      <c r="L3" s="9">
        <f t="shared" si="4"/>
        <v>-0.21895258785865263</v>
      </c>
      <c r="M3" s="9">
        <f>2*(Inputs!$C$9/(Inputs!$C$10^2))*A3</f>
        <v>-0.13222222222222221</v>
      </c>
      <c r="N3" s="9">
        <f>M3*Inputs!$C$11</f>
        <v>-0.52888888888888885</v>
      </c>
      <c r="O3" s="9">
        <f>1000*((A3*Inputs!$C$11)+(B3*N3))/D3</f>
        <v>-1104.0906812348956</v>
      </c>
      <c r="P3" s="9">
        <f>-2*O3/Inputs!$C$13</f>
        <v>441.63627249395824</v>
      </c>
      <c r="Q3" s="9">
        <f>-2*O3/Inputs!$C$14</f>
        <v>66.311752626720462</v>
      </c>
      <c r="R3" s="9">
        <f>F3-Inputs!$C$16/2</f>
        <v>2863.2966468989871</v>
      </c>
      <c r="S3" s="9">
        <f>F3+Inputs!$C$16/2</f>
        <v>2893.2966468989871</v>
      </c>
      <c r="T3" s="9">
        <f>F3-Inputs!$C$17/2</f>
        <v>2728.2966468989871</v>
      </c>
      <c r="U3" s="9">
        <f>F3+Inputs!$C$17/2</f>
        <v>3028.2966468989871</v>
      </c>
      <c r="V3" s="9">
        <f t="shared" si="5"/>
        <v>441.63627249395824</v>
      </c>
      <c r="W3" s="9">
        <f t="shared" si="6"/>
        <v>66.311752626720462</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0</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0</v>
      </c>
      <c r="Z3" s="9">
        <f t="shared" si="7"/>
        <v>403.93361111111113</v>
      </c>
      <c r="AA3" s="9">
        <f>SQRT(A3^2+Inputs!$C$6^2+(B3-Y3/1000)^2)</f>
        <v>409.05697914259133</v>
      </c>
      <c r="AB3" s="9">
        <f t="shared" si="8"/>
        <v>5123.3680314801968</v>
      </c>
      <c r="AC3" s="9">
        <f>AB3/Inputs!$C$12</f>
        <v>2878.2966468989871</v>
      </c>
      <c r="AD3" s="9">
        <f>2*AB3/Inputs!$C$21*1000000</f>
        <v>34.179432435756581</v>
      </c>
      <c r="AE3" s="9">
        <f t="shared" si="9"/>
        <v>9.0777420317977509</v>
      </c>
      <c r="AF3" s="9">
        <f>DEGREES((2*PI()/Inputs!$C$13)*Inputs!$C$15*SIN(RADIANS(AE3)))</f>
        <v>56.79880917100207</v>
      </c>
      <c r="AG3" s="9">
        <f t="shared" si="10"/>
        <v>0.95083408394659896</v>
      </c>
      <c r="AH3" s="9">
        <f t="shared" si="11"/>
        <v>-0.21895258785865263</v>
      </c>
      <c r="AI3" s="9">
        <f t="shared" si="12"/>
        <v>0</v>
      </c>
      <c r="AJ3" s="9">
        <f t="shared" si="13"/>
        <v>0</v>
      </c>
      <c r="AK3" s="9">
        <f t="shared" si="14"/>
        <v>0</v>
      </c>
      <c r="AL3" s="9">
        <f>1000*(AA4-AA2)/(A4-A2)*Inputs!$C$11</f>
        <v>-1104.0895236494634</v>
      </c>
      <c r="AM3" s="9">
        <f>-2*AL3/Inputs!$C$13</f>
        <v>441.63580945978538</v>
      </c>
      <c r="AN3" s="9">
        <f>-2*AL3/Inputs!$C$14</f>
        <v>66.311683102069878</v>
      </c>
      <c r="AO3" s="9">
        <f t="shared" si="15"/>
        <v>441.63580945978538</v>
      </c>
      <c r="AP3" s="9">
        <f t="shared" si="16"/>
        <v>66.311683102069878</v>
      </c>
      <c r="AQ3" s="9">
        <f>IF(OR(Inputs!$C$27=TRUE,Inputs!$C$27="TRUE",Inputs!$C$27=1),Inputs!$C$46/Inputs!$C$12,0)</f>
        <v>0</v>
      </c>
      <c r="AR3" s="9">
        <f t="shared" si="17"/>
        <v>2878.2966468989871</v>
      </c>
      <c r="AS3" s="9">
        <f t="shared" si="18"/>
        <v>2878.2966468989871</v>
      </c>
    </row>
    <row r="4" spans="1:45">
      <c r="A4" s="9">
        <f>Inputs!$C$7+2*(Inputs!$C$8-Inputs!$C$7)/240</f>
        <v>-59</v>
      </c>
      <c r="B4" s="9">
        <f>Inputs!$C$5+Inputs!$C$9*(A4/Inputs!$C$10)^2</f>
        <v>403.8677777777778</v>
      </c>
      <c r="C4" s="9">
        <f t="shared" si="0"/>
        <v>403.8677777777778</v>
      </c>
      <c r="D4" s="9">
        <f>SQRT(A4^2+Inputs!$C$6^2+B4^2)</f>
        <v>408.91952989208096</v>
      </c>
      <c r="E4" s="9">
        <f t="shared" si="1"/>
        <v>5051.7521143031554</v>
      </c>
      <c r="F4" s="9">
        <f>E4/Inputs!$C$12</f>
        <v>2838.0629855635702</v>
      </c>
      <c r="G4" s="9">
        <f>2*E4/Inputs!$C$21*1000000</f>
        <v>33.701662463457673</v>
      </c>
      <c r="H4" s="9">
        <f>SQRT(A4^2+Inputs!$C$6^2)</f>
        <v>64.078077374403179</v>
      </c>
      <c r="I4" s="9">
        <f t="shared" si="2"/>
        <v>9.0154589139895744</v>
      </c>
      <c r="J4" s="9">
        <f>DEGREES((2*PI()/Inputs!$C$13)*Inputs!$C$15*SIN(RADIANS(I4)))</f>
        <v>56.41234073822082</v>
      </c>
      <c r="K4" s="9">
        <f t="shared" si="3"/>
        <v>0.95149258392566038</v>
      </c>
      <c r="L4" s="9">
        <f t="shared" si="4"/>
        <v>-0.21594592319382797</v>
      </c>
      <c r="M4" s="9">
        <f>2*(Inputs!$C$9/(Inputs!$C$10^2))*A4</f>
        <v>-0.13111111111111112</v>
      </c>
      <c r="N4" s="9">
        <f>M4*Inputs!$C$11</f>
        <v>-0.52444444444444449</v>
      </c>
      <c r="O4" s="9">
        <f>1000*((A4*Inputs!$C$11)+(B4*N4))/D4</f>
        <v>-1095.0961732345256</v>
      </c>
      <c r="P4" s="9">
        <f>-2*O4/Inputs!$C$13</f>
        <v>438.03846929381024</v>
      </c>
      <c r="Q4" s="9">
        <f>-2*O4/Inputs!$C$14</f>
        <v>65.771541936007551</v>
      </c>
      <c r="R4" s="9">
        <f>F4-Inputs!$C$16/2</f>
        <v>2823.0629855635702</v>
      </c>
      <c r="S4" s="9">
        <f>F4+Inputs!$C$16/2</f>
        <v>2853.0629855635702</v>
      </c>
      <c r="T4" s="9">
        <f>F4-Inputs!$C$17/2</f>
        <v>2688.0629855635702</v>
      </c>
      <c r="U4" s="9">
        <f>F4+Inputs!$C$17/2</f>
        <v>2988.0629855635702</v>
      </c>
      <c r="V4" s="9">
        <f t="shared" si="5"/>
        <v>438.03846929381024</v>
      </c>
      <c r="W4" s="9">
        <f t="shared" si="6"/>
        <v>65.771541936007551</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0</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0</v>
      </c>
      <c r="Z4" s="9">
        <f t="shared" si="7"/>
        <v>403.8677777777778</v>
      </c>
      <c r="AA4" s="9">
        <f>SQRT(A4^2+Inputs!$C$6^2+(B4-Y4/1000)^2)</f>
        <v>408.91952989208096</v>
      </c>
      <c r="AB4" s="9">
        <f t="shared" si="8"/>
        <v>5051.7521143031554</v>
      </c>
      <c r="AC4" s="9">
        <f>AB4/Inputs!$C$12</f>
        <v>2838.0629855635702</v>
      </c>
      <c r="AD4" s="9">
        <f>2*AB4/Inputs!$C$21*1000000</f>
        <v>33.701662463457673</v>
      </c>
      <c r="AE4" s="9">
        <f t="shared" si="9"/>
        <v>9.0154589139895744</v>
      </c>
      <c r="AF4" s="9">
        <f>DEGREES((2*PI()/Inputs!$C$13)*Inputs!$C$15*SIN(RADIANS(AE4)))</f>
        <v>56.41234073822082</v>
      </c>
      <c r="AG4" s="9">
        <f t="shared" si="10"/>
        <v>0.95149258392566038</v>
      </c>
      <c r="AH4" s="9">
        <f t="shared" si="11"/>
        <v>-0.21594592319382797</v>
      </c>
      <c r="AI4" s="9">
        <f t="shared" si="12"/>
        <v>0</v>
      </c>
      <c r="AJ4" s="9">
        <f t="shared" si="13"/>
        <v>0</v>
      </c>
      <c r="AK4" s="9">
        <f t="shared" si="14"/>
        <v>0</v>
      </c>
      <c r="AL4" s="9">
        <f>1000*(AA5-AA3)/(A5-A3)*Inputs!$C$11</f>
        <v>-1095.0950234425818</v>
      </c>
      <c r="AM4" s="9">
        <f>-2*AL4/Inputs!$C$13</f>
        <v>438.03800937703272</v>
      </c>
      <c r="AN4" s="9">
        <f>-2*AL4/Inputs!$C$14</f>
        <v>65.771472879434342</v>
      </c>
      <c r="AO4" s="9">
        <f t="shared" si="15"/>
        <v>438.03800937703272</v>
      </c>
      <c r="AP4" s="9">
        <f t="shared" si="16"/>
        <v>65.771472879434342</v>
      </c>
      <c r="AQ4" s="9">
        <f>IF(OR(Inputs!$C$27=TRUE,Inputs!$C$27="TRUE",Inputs!$C$27=1),Inputs!$C$46/Inputs!$C$12,0)</f>
        <v>0</v>
      </c>
      <c r="AR4" s="9">
        <f t="shared" si="17"/>
        <v>2838.0629855635702</v>
      </c>
      <c r="AS4" s="9">
        <f t="shared" si="18"/>
        <v>2838.0629855635702</v>
      </c>
    </row>
    <row r="5" spans="1:45">
      <c r="A5" s="9">
        <f>Inputs!$C$7+3*(Inputs!$C$8-Inputs!$C$7)/240</f>
        <v>-58.5</v>
      </c>
      <c r="B5" s="9">
        <f>Inputs!$C$5+Inputs!$C$9*(A5/Inputs!$C$10)^2</f>
        <v>403.80250000000001</v>
      </c>
      <c r="C5" s="9">
        <f t="shared" si="0"/>
        <v>403.80250000000001</v>
      </c>
      <c r="D5" s="9">
        <f>SQRT(A5^2+Inputs!$C$6^2+B5^2)</f>
        <v>408.78320538673069</v>
      </c>
      <c r="E5" s="9">
        <f t="shared" si="1"/>
        <v>4980.7053867306768</v>
      </c>
      <c r="F5" s="9">
        <f>E5/Inputs!$C$12</f>
        <v>2798.1490936689197</v>
      </c>
      <c r="G5" s="9">
        <f>2*E5/Inputs!$C$21*1000000</f>
        <v>33.227689715467605</v>
      </c>
      <c r="H5" s="9">
        <f>SQRT(A5^2+Inputs!$C$6^2)</f>
        <v>63.618000597315223</v>
      </c>
      <c r="I5" s="9">
        <f t="shared" si="2"/>
        <v>8.9532040951491538</v>
      </c>
      <c r="J5" s="9">
        <f>DEGREES((2*PI()/Inputs!$C$13)*Inputs!$C$15*SIN(RADIANS(I5)))</f>
        <v>56.025981286013241</v>
      </c>
      <c r="K5" s="9">
        <f t="shared" si="3"/>
        <v>0.95214662979697751</v>
      </c>
      <c r="L5" s="9">
        <f t="shared" si="4"/>
        <v>-0.21296165472579209</v>
      </c>
      <c r="M5" s="9">
        <f>2*(Inputs!$C$9/(Inputs!$C$10^2))*A5</f>
        <v>-0.13</v>
      </c>
      <c r="N5" s="9">
        <f>M5*Inputs!$C$11</f>
        <v>-0.52</v>
      </c>
      <c r="O5" s="9">
        <f>1000*((A5*Inputs!$C$11)+(B5*N5))/D5</f>
        <v>-1086.0947664911375</v>
      </c>
      <c r="P5" s="9">
        <f>-2*O5/Inputs!$C$13</f>
        <v>434.43790659645504</v>
      </c>
      <c r="Q5" s="9">
        <f>-2*O5/Inputs!$C$14</f>
        <v>65.230916906374631</v>
      </c>
      <c r="R5" s="9">
        <f>F5-Inputs!$C$16/2</f>
        <v>2783.1490936689197</v>
      </c>
      <c r="S5" s="9">
        <f>F5+Inputs!$C$16/2</f>
        <v>2813.1490936689197</v>
      </c>
      <c r="T5" s="9">
        <f>F5-Inputs!$C$17/2</f>
        <v>2648.1490936689197</v>
      </c>
      <c r="U5" s="9">
        <f>F5+Inputs!$C$17/2</f>
        <v>2948.1490936689197</v>
      </c>
      <c r="V5" s="9">
        <f t="shared" si="5"/>
        <v>434.43790659645504</v>
      </c>
      <c r="W5" s="9">
        <f t="shared" si="6"/>
        <v>65.230916906374631</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0</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0</v>
      </c>
      <c r="Z5" s="9">
        <f t="shared" si="7"/>
        <v>403.80250000000001</v>
      </c>
      <c r="AA5" s="9">
        <f>SQRT(A5^2+Inputs!$C$6^2+(B5-Y5/1000)^2)</f>
        <v>408.78320538673069</v>
      </c>
      <c r="AB5" s="9">
        <f t="shared" si="8"/>
        <v>4980.7053867306768</v>
      </c>
      <c r="AC5" s="9">
        <f>AB5/Inputs!$C$12</f>
        <v>2798.1490936689197</v>
      </c>
      <c r="AD5" s="9">
        <f>2*AB5/Inputs!$C$21*1000000</f>
        <v>33.227689715467605</v>
      </c>
      <c r="AE5" s="9">
        <f t="shared" si="9"/>
        <v>8.9532040951491538</v>
      </c>
      <c r="AF5" s="9">
        <f>DEGREES((2*PI()/Inputs!$C$13)*Inputs!$C$15*SIN(RADIANS(AE5)))</f>
        <v>56.025981286013241</v>
      </c>
      <c r="AG5" s="9">
        <f t="shared" si="10"/>
        <v>0.95214662979697751</v>
      </c>
      <c r="AH5" s="9">
        <f t="shared" si="11"/>
        <v>-0.21296165472579209</v>
      </c>
      <c r="AI5" s="9">
        <f t="shared" si="12"/>
        <v>0</v>
      </c>
      <c r="AJ5" s="9">
        <f t="shared" si="13"/>
        <v>0</v>
      </c>
      <c r="AK5" s="9">
        <f t="shared" si="14"/>
        <v>0</v>
      </c>
      <c r="AL5" s="9">
        <f>1000*(AA6-AA4)/(A6-A4)*Inputs!$C$11</f>
        <v>-1086.0936245373978</v>
      </c>
      <c r="AM5" s="9">
        <f>-2*AL5/Inputs!$C$13</f>
        <v>434.43744981495911</v>
      </c>
      <c r="AN5" s="9">
        <f>-2*AL5/Inputs!$C$14</f>
        <v>65.230848320564434</v>
      </c>
      <c r="AO5" s="9">
        <f t="shared" si="15"/>
        <v>434.43744981495911</v>
      </c>
      <c r="AP5" s="9">
        <f t="shared" si="16"/>
        <v>65.230848320564434</v>
      </c>
      <c r="AQ5" s="9">
        <f>IF(OR(Inputs!$C$27=TRUE,Inputs!$C$27="TRUE",Inputs!$C$27=1),Inputs!$C$46/Inputs!$C$12,0)</f>
        <v>0</v>
      </c>
      <c r="AR5" s="9">
        <f t="shared" si="17"/>
        <v>2798.1490936689197</v>
      </c>
      <c r="AS5" s="9">
        <f t="shared" si="18"/>
        <v>2798.1490936689197</v>
      </c>
    </row>
    <row r="6" spans="1:45">
      <c r="A6" s="9">
        <f>Inputs!$C$7+4*(Inputs!$C$8-Inputs!$C$7)/240</f>
        <v>-58</v>
      </c>
      <c r="B6" s="9">
        <f>Inputs!$C$5+Inputs!$C$9*(A6/Inputs!$C$10)^2</f>
        <v>403.73777777777775</v>
      </c>
      <c r="C6" s="9">
        <f t="shared" si="0"/>
        <v>403.73777777777775</v>
      </c>
      <c r="D6" s="9">
        <f>SQRT(A6^2+Inputs!$C$6^2+B6^2)</f>
        <v>408.64800648594661</v>
      </c>
      <c r="E6" s="9">
        <f t="shared" si="1"/>
        <v>4910.2287081688592</v>
      </c>
      <c r="F6" s="9">
        <f>E6/Inputs!$C$12</f>
        <v>2758.5554540274488</v>
      </c>
      <c r="G6" s="9">
        <f>2*E6/Inputs!$C$21*1000000</f>
        <v>32.757519925126729</v>
      </c>
      <c r="H6" s="9">
        <f>SQRT(A6^2+Inputs!$C$6^2)</f>
        <v>63.158530698552511</v>
      </c>
      <c r="I6" s="9">
        <f t="shared" si="2"/>
        <v>8.8909798417046026</v>
      </c>
      <c r="J6" s="9">
        <f>DEGREES((2*PI()/Inputs!$C$13)*Inputs!$C$15*SIN(RADIANS(I6)))</f>
        <v>55.639745430303066</v>
      </c>
      <c r="K6" s="9">
        <f t="shared" si="3"/>
        <v>0.95279619604098731</v>
      </c>
      <c r="L6" s="9">
        <f t="shared" si="4"/>
        <v>-0.20999985406163049</v>
      </c>
      <c r="M6" s="9">
        <f>2*(Inputs!$C$9/(Inputs!$C$10^2))*A6</f>
        <v>-0.12888888888888889</v>
      </c>
      <c r="N6" s="9">
        <f>M6*Inputs!$C$11</f>
        <v>-0.51555555555555554</v>
      </c>
      <c r="O6" s="9">
        <f>1000*((A6*Inputs!$C$11)+(B6*N6))/D6</f>
        <v>-1077.0865080339611</v>
      </c>
      <c r="P6" s="9">
        <f>-2*O6/Inputs!$C$13</f>
        <v>430.83460321358444</v>
      </c>
      <c r="Q6" s="9">
        <f>-2*O6/Inputs!$C$14</f>
        <v>64.689880362400075</v>
      </c>
      <c r="R6" s="9">
        <f>F6-Inputs!$C$16/2</f>
        <v>2743.5554540274488</v>
      </c>
      <c r="S6" s="9">
        <f>F6+Inputs!$C$16/2</f>
        <v>2773.5554540274488</v>
      </c>
      <c r="T6" s="9">
        <f>F6-Inputs!$C$17/2</f>
        <v>2608.5554540274488</v>
      </c>
      <c r="U6" s="9">
        <f>F6+Inputs!$C$17/2</f>
        <v>2908.5554540274488</v>
      </c>
      <c r="V6" s="9">
        <f t="shared" si="5"/>
        <v>430.83460321358444</v>
      </c>
      <c r="W6" s="9">
        <f t="shared" si="6"/>
        <v>64.689880362400075</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0</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0</v>
      </c>
      <c r="Z6" s="9">
        <f t="shared" si="7"/>
        <v>403.73777777777775</v>
      </c>
      <c r="AA6" s="9">
        <f>SQRT(A6^2+Inputs!$C$6^2+(B6-Y6/1000)^2)</f>
        <v>408.64800648594661</v>
      </c>
      <c r="AB6" s="9">
        <f t="shared" si="8"/>
        <v>4910.2287081688592</v>
      </c>
      <c r="AC6" s="9">
        <f>AB6/Inputs!$C$12</f>
        <v>2758.5554540274488</v>
      </c>
      <c r="AD6" s="9">
        <f>2*AB6/Inputs!$C$21*1000000</f>
        <v>32.757519925126729</v>
      </c>
      <c r="AE6" s="9">
        <f t="shared" si="9"/>
        <v>8.8909798417046026</v>
      </c>
      <c r="AF6" s="9">
        <f>DEGREES((2*PI()/Inputs!$C$13)*Inputs!$C$15*SIN(RADIANS(AE6)))</f>
        <v>55.639745430303066</v>
      </c>
      <c r="AG6" s="9">
        <f t="shared" si="10"/>
        <v>0.95279619604098731</v>
      </c>
      <c r="AH6" s="9">
        <f t="shared" si="11"/>
        <v>-0.20999985406163049</v>
      </c>
      <c r="AI6" s="9">
        <f t="shared" si="12"/>
        <v>0</v>
      </c>
      <c r="AJ6" s="9">
        <f t="shared" si="13"/>
        <v>0</v>
      </c>
      <c r="AK6" s="9">
        <f t="shared" si="14"/>
        <v>0</v>
      </c>
      <c r="AL6" s="9">
        <f>1000*(AA7-AA5)/(A7-A5)*Inputs!$C$11</f>
        <v>-1077.0853739632003</v>
      </c>
      <c r="AM6" s="9">
        <f>-2*AL6/Inputs!$C$13</f>
        <v>430.8341495852801</v>
      </c>
      <c r="AN6" s="9">
        <f>-2*AL6/Inputs!$C$14</f>
        <v>64.689812250042067</v>
      </c>
      <c r="AO6" s="9">
        <f t="shared" si="15"/>
        <v>430.8341495852801</v>
      </c>
      <c r="AP6" s="9">
        <f t="shared" si="16"/>
        <v>64.689812250042067</v>
      </c>
      <c r="AQ6" s="9">
        <f>IF(OR(Inputs!$C$27=TRUE,Inputs!$C$27="TRUE",Inputs!$C$27=1),Inputs!$C$46/Inputs!$C$12,0)</f>
        <v>0</v>
      </c>
      <c r="AR6" s="9">
        <f t="shared" si="17"/>
        <v>2758.5554540274488</v>
      </c>
      <c r="AS6" s="9">
        <f t="shared" si="18"/>
        <v>2758.5554540274488</v>
      </c>
    </row>
    <row r="7" spans="1:45">
      <c r="A7" s="9">
        <f>Inputs!$C$7+5*(Inputs!$C$8-Inputs!$C$7)/240</f>
        <v>-57.5</v>
      </c>
      <c r="B7" s="9">
        <f>Inputs!$C$5+Inputs!$C$9*(A7/Inputs!$C$10)^2</f>
        <v>403.67361111111109</v>
      </c>
      <c r="C7" s="9">
        <f t="shared" si="0"/>
        <v>403.67361111111109</v>
      </c>
      <c r="D7" s="9">
        <f>SQRT(A7^2+Inputs!$C$6^2+B7^2)</f>
        <v>408.51393404323989</v>
      </c>
      <c r="E7" s="9">
        <f t="shared" si="1"/>
        <v>4840.3229321287999</v>
      </c>
      <c r="F7" s="9">
        <f>E7/Inputs!$C$12</f>
        <v>2719.2825461397751</v>
      </c>
      <c r="G7" s="9">
        <f>2*E7/Inputs!$C$21*1000000</f>
        <v>32.291158786448186</v>
      </c>
      <c r="H7" s="9">
        <f>SQRT(A7^2+Inputs!$C$6^2)</f>
        <v>62.699681019922259</v>
      </c>
      <c r="I7" s="9">
        <f t="shared" si="2"/>
        <v>8.828788473728661</v>
      </c>
      <c r="J7" s="9">
        <f>DEGREES((2*PI()/Inputs!$C$13)*Inputs!$C$15*SIN(RADIANS(I7)))</f>
        <v>55.253648128396158</v>
      </c>
      <c r="K7" s="9">
        <f t="shared" si="3"/>
        <v>0.95344125725541895</v>
      </c>
      <c r="L7" s="9">
        <f t="shared" si="4"/>
        <v>-0.20706059236444449</v>
      </c>
      <c r="M7" s="9">
        <f>2*(Inputs!$C$9/(Inputs!$C$10^2))*A7</f>
        <v>-0.12777777777777777</v>
      </c>
      <c r="N7" s="9">
        <f>M7*Inputs!$C$11</f>
        <v>-0.51111111111111107</v>
      </c>
      <c r="O7" s="9">
        <f>1000*((A7*Inputs!$C$11)+(B7*N7))/D7</f>
        <v>-1068.0714451592028</v>
      </c>
      <c r="P7" s="9">
        <f>-2*O7/Inputs!$C$13</f>
        <v>427.22857806368108</v>
      </c>
      <c r="Q7" s="9">
        <f>-2*O7/Inputs!$C$14</f>
        <v>64.148435144696862</v>
      </c>
      <c r="R7" s="9">
        <f>F7-Inputs!$C$16/2</f>
        <v>2704.2825461397751</v>
      </c>
      <c r="S7" s="9">
        <f>F7+Inputs!$C$16/2</f>
        <v>2734.2825461397751</v>
      </c>
      <c r="T7" s="9">
        <f>F7-Inputs!$C$17/2</f>
        <v>2569.2825461397751</v>
      </c>
      <c r="U7" s="9">
        <f>F7+Inputs!$C$17/2</f>
        <v>2869.2825461397751</v>
      </c>
      <c r="V7" s="9">
        <f t="shared" si="5"/>
        <v>427.22857806368108</v>
      </c>
      <c r="W7" s="9">
        <f t="shared" si="6"/>
        <v>64.148435144696862</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0</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0</v>
      </c>
      <c r="Z7" s="9">
        <f t="shared" si="7"/>
        <v>403.67361111111109</v>
      </c>
      <c r="AA7" s="9">
        <f>SQRT(A7^2+Inputs!$C$6^2+(B7-Y7/1000)^2)</f>
        <v>408.51393404323989</v>
      </c>
      <c r="AB7" s="9">
        <f t="shared" si="8"/>
        <v>4840.3229321287999</v>
      </c>
      <c r="AC7" s="9">
        <f>AB7/Inputs!$C$12</f>
        <v>2719.2825461397751</v>
      </c>
      <c r="AD7" s="9">
        <f>2*AB7/Inputs!$C$21*1000000</f>
        <v>32.291158786448186</v>
      </c>
      <c r="AE7" s="9">
        <f t="shared" si="9"/>
        <v>8.828788473728661</v>
      </c>
      <c r="AF7" s="9">
        <f>DEGREES((2*PI()/Inputs!$C$13)*Inputs!$C$15*SIN(RADIANS(AE7)))</f>
        <v>55.253648128396158</v>
      </c>
      <c r="AG7" s="9">
        <f t="shared" si="10"/>
        <v>0.95344125725541895</v>
      </c>
      <c r="AH7" s="9">
        <f t="shared" si="11"/>
        <v>-0.20706059236444449</v>
      </c>
      <c r="AI7" s="9">
        <f t="shared" si="12"/>
        <v>0</v>
      </c>
      <c r="AJ7" s="9">
        <f t="shared" si="13"/>
        <v>0</v>
      </c>
      <c r="AK7" s="9">
        <f t="shared" si="14"/>
        <v>0</v>
      </c>
      <c r="AL7" s="9">
        <f>1000*(AA8-AA6)/(A8-A6)*Inputs!$C$11</f>
        <v>-1068.070319015078</v>
      </c>
      <c r="AM7" s="9">
        <f>-2*AL7/Inputs!$C$13</f>
        <v>427.22812760603119</v>
      </c>
      <c r="AN7" s="9">
        <f>-2*AL7/Inputs!$C$14</f>
        <v>64.148367508413102</v>
      </c>
      <c r="AO7" s="9">
        <f t="shared" si="15"/>
        <v>427.22812760603119</v>
      </c>
      <c r="AP7" s="9">
        <f t="shared" si="16"/>
        <v>64.148367508413102</v>
      </c>
      <c r="AQ7" s="9">
        <f>IF(OR(Inputs!$C$27=TRUE,Inputs!$C$27="TRUE",Inputs!$C$27=1),Inputs!$C$46/Inputs!$C$12,0)</f>
        <v>0</v>
      </c>
      <c r="AR7" s="9">
        <f t="shared" si="17"/>
        <v>2719.2825461397751</v>
      </c>
      <c r="AS7" s="9">
        <f t="shared" si="18"/>
        <v>2719.2825461397751</v>
      </c>
    </row>
    <row r="8" spans="1:45">
      <c r="A8" s="9">
        <f>Inputs!$C$7+6*(Inputs!$C$8-Inputs!$C$7)/240</f>
        <v>-57</v>
      </c>
      <c r="B8" s="9">
        <f>Inputs!$C$5+Inputs!$C$9*(A8/Inputs!$C$10)^2</f>
        <v>403.61</v>
      </c>
      <c r="C8" s="9">
        <f t="shared" si="0"/>
        <v>403.61</v>
      </c>
      <c r="D8" s="9">
        <f>SQRT(A8^2+Inputs!$C$6^2+B8^2)</f>
        <v>408.38098890619284</v>
      </c>
      <c r="E8" s="9">
        <f t="shared" si="1"/>
        <v>4770.9889061928261</v>
      </c>
      <c r="F8" s="9">
        <f>E8/Inputs!$C$12</f>
        <v>2680.3308461757451</v>
      </c>
      <c r="G8" s="9">
        <f>2*E8/Inputs!$C$21*1000000</f>
        <v>31.828611953892622</v>
      </c>
      <c r="H8" s="9">
        <f>SQRT(A8^2+Inputs!$C$6^2)</f>
        <v>62.241465278381739</v>
      </c>
      <c r="I8" s="9">
        <f t="shared" si="2"/>
        <v>8.7666323666582162</v>
      </c>
      <c r="J8" s="9">
        <f>DEGREES((2*PI()/Inputs!$C$13)*Inputs!$C$15*SIN(RADIANS(I8)))</f>
        <v>54.867704689760693</v>
      </c>
      <c r="K8" s="9">
        <f t="shared" si="3"/>
        <v>0.95408178815744515</v>
      </c>
      <c r="L8" s="9">
        <f t="shared" si="4"/>
        <v>-0.20414394034954042</v>
      </c>
      <c r="M8" s="9">
        <f>2*(Inputs!$C$9/(Inputs!$C$10^2))*A8</f>
        <v>-0.12666666666666668</v>
      </c>
      <c r="N8" s="9">
        <f>M8*Inputs!$C$11</f>
        <v>-0.50666666666666671</v>
      </c>
      <c r="O8" s="9">
        <f>1000*((A8*Inputs!$C$11)+(B8*N8))/D8</f>
        <v>-1059.049625428768</v>
      </c>
      <c r="P8" s="9">
        <f>-2*O8/Inputs!$C$13</f>
        <v>423.61985017150721</v>
      </c>
      <c r="Q8" s="9">
        <f>-2*O8/Inputs!$C$14</f>
        <v>63.606584109835921</v>
      </c>
      <c r="R8" s="9">
        <f>F8-Inputs!$C$16/2</f>
        <v>2665.3308461757451</v>
      </c>
      <c r="S8" s="9">
        <f>F8+Inputs!$C$16/2</f>
        <v>2695.3308461757451</v>
      </c>
      <c r="T8" s="9">
        <f>F8-Inputs!$C$17/2</f>
        <v>2530.3308461757451</v>
      </c>
      <c r="U8" s="9">
        <f>F8+Inputs!$C$17/2</f>
        <v>2830.3308461757451</v>
      </c>
      <c r="V8" s="9">
        <f t="shared" si="5"/>
        <v>423.61985017150721</v>
      </c>
      <c r="W8" s="9">
        <f t="shared" si="6"/>
        <v>63.606584109835921</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0</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0</v>
      </c>
      <c r="Z8" s="9">
        <f t="shared" si="7"/>
        <v>403.61</v>
      </c>
      <c r="AA8" s="9">
        <f>SQRT(A8^2+Inputs!$C$6^2+(B8-Y8/1000)^2)</f>
        <v>408.38098890619284</v>
      </c>
      <c r="AB8" s="9">
        <f t="shared" si="8"/>
        <v>4770.9889061928261</v>
      </c>
      <c r="AC8" s="9">
        <f>AB8/Inputs!$C$12</f>
        <v>2680.3308461757451</v>
      </c>
      <c r="AD8" s="9">
        <f>2*AB8/Inputs!$C$21*1000000</f>
        <v>31.828611953892622</v>
      </c>
      <c r="AE8" s="9">
        <f t="shared" si="9"/>
        <v>8.7666323666582162</v>
      </c>
      <c r="AF8" s="9">
        <f>DEGREES((2*PI()/Inputs!$C$13)*Inputs!$C$15*SIN(RADIANS(AE8)))</f>
        <v>54.867704689760693</v>
      </c>
      <c r="AG8" s="9">
        <f t="shared" si="10"/>
        <v>0.95408178815744515</v>
      </c>
      <c r="AH8" s="9">
        <f t="shared" si="11"/>
        <v>-0.20414394034954042</v>
      </c>
      <c r="AI8" s="9">
        <f t="shared" si="12"/>
        <v>0</v>
      </c>
      <c r="AJ8" s="9">
        <f t="shared" si="13"/>
        <v>0</v>
      </c>
      <c r="AK8" s="9">
        <f t="shared" si="14"/>
        <v>0</v>
      </c>
      <c r="AL8" s="9">
        <f>1000*(AA9-AA7)/(A9-A7)*Inputs!$C$11</f>
        <v>-1059.0485072557385</v>
      </c>
      <c r="AM8" s="9">
        <f>-2*AL8/Inputs!$C$13</f>
        <v>423.61940290229541</v>
      </c>
      <c r="AN8" s="9">
        <f>-2*AL8/Inputs!$C$14</f>
        <v>63.606516952296616</v>
      </c>
      <c r="AO8" s="9">
        <f t="shared" si="15"/>
        <v>423.61940290229541</v>
      </c>
      <c r="AP8" s="9">
        <f t="shared" si="16"/>
        <v>63.606516952296616</v>
      </c>
      <c r="AQ8" s="9">
        <f>IF(OR(Inputs!$C$27=TRUE,Inputs!$C$27="TRUE",Inputs!$C$27=1),Inputs!$C$46/Inputs!$C$12,0)</f>
        <v>0</v>
      </c>
      <c r="AR8" s="9">
        <f t="shared" si="17"/>
        <v>2680.3308461757451</v>
      </c>
      <c r="AS8" s="9">
        <f t="shared" si="18"/>
        <v>2680.3308461757451</v>
      </c>
    </row>
    <row r="9" spans="1:45">
      <c r="A9" s="9">
        <f>Inputs!$C$7+7*(Inputs!$C$8-Inputs!$C$7)/240</f>
        <v>-56.5</v>
      </c>
      <c r="B9" s="9">
        <f>Inputs!$C$5+Inputs!$C$9*(A9/Inputs!$C$10)^2</f>
        <v>403.54694444444442</v>
      </c>
      <c r="C9" s="9">
        <f t="shared" si="0"/>
        <v>403.54694444444442</v>
      </c>
      <c r="D9" s="9">
        <f>SQRT(A9^2+Inputs!$C$6^2+B9^2)</f>
        <v>408.24917191642595</v>
      </c>
      <c r="E9" s="9">
        <f t="shared" si="1"/>
        <v>4702.2274719815305</v>
      </c>
      <c r="F9" s="9">
        <f>E9/Inputs!$C$12</f>
        <v>2641.700826955916</v>
      </c>
      <c r="G9" s="9">
        <f>2*E9/Inputs!$C$21*1000000</f>
        <v>31.369885042148262</v>
      </c>
      <c r="H9" s="9">
        <f>SQRT(A9^2+Inputs!$C$6^2)</f>
        <v>61.783897578576251</v>
      </c>
      <c r="I9" s="9">
        <f t="shared" si="2"/>
        <v>8.7045139530783917</v>
      </c>
      <c r="J9" s="9">
        <f>DEGREES((2*PI()/Inputs!$C$13)*Inputs!$C$15*SIN(RADIANS(I9)))</f>
        <v>54.481930787212292</v>
      </c>
      <c r="K9" s="9">
        <f t="shared" si="3"/>
        <v>0.95471776358582872</v>
      </c>
      <c r="L9" s="9">
        <f t="shared" si="4"/>
        <v>-0.20124996828064423</v>
      </c>
      <c r="M9" s="9">
        <f>2*(Inputs!$C$9/(Inputs!$C$10^2))*A9</f>
        <v>-0.12555555555555556</v>
      </c>
      <c r="N9" s="9">
        <f>M9*Inputs!$C$11</f>
        <v>-0.50222222222222224</v>
      </c>
      <c r="O9" s="9">
        <f>1000*((A9*Inputs!$C$11)+(B9*N9))/D9</f>
        <v>-1050.0210966689506</v>
      </c>
      <c r="P9" s="9">
        <f>-2*O9/Inputs!$C$13</f>
        <v>420.00843866758021</v>
      </c>
      <c r="Q9" s="9">
        <f>-2*O9/Inputs!$C$14</f>
        <v>63.064330130267308</v>
      </c>
      <c r="R9" s="9">
        <f>F9-Inputs!$C$16/2</f>
        <v>2626.700826955916</v>
      </c>
      <c r="S9" s="9">
        <f>F9+Inputs!$C$16/2</f>
        <v>2656.700826955916</v>
      </c>
      <c r="T9" s="9">
        <f>F9-Inputs!$C$17/2</f>
        <v>2491.700826955916</v>
      </c>
      <c r="U9" s="9">
        <f>F9+Inputs!$C$17/2</f>
        <v>2791.700826955916</v>
      </c>
      <c r="V9" s="9">
        <f t="shared" si="5"/>
        <v>420.00843866758021</v>
      </c>
      <c r="W9" s="9">
        <f t="shared" si="6"/>
        <v>63.064330130267308</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0</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0</v>
      </c>
      <c r="Z9" s="9">
        <f t="shared" si="7"/>
        <v>403.54694444444442</v>
      </c>
      <c r="AA9" s="9">
        <f>SQRT(A9^2+Inputs!$C$6^2+(B9-Y9/1000)^2)</f>
        <v>408.24917191642595</v>
      </c>
      <c r="AB9" s="9">
        <f t="shared" si="8"/>
        <v>4702.2274719815305</v>
      </c>
      <c r="AC9" s="9">
        <f>AB9/Inputs!$C$12</f>
        <v>2641.700826955916</v>
      </c>
      <c r="AD9" s="9">
        <f>2*AB9/Inputs!$C$21*1000000</f>
        <v>31.369885042148262</v>
      </c>
      <c r="AE9" s="9">
        <f t="shared" si="9"/>
        <v>8.7045139530783917</v>
      </c>
      <c r="AF9" s="9">
        <f>DEGREES((2*PI()/Inputs!$C$13)*Inputs!$C$15*SIN(RADIANS(AE9)))</f>
        <v>54.481930787212292</v>
      </c>
      <c r="AG9" s="9">
        <f t="shared" si="10"/>
        <v>0.95471776358582872</v>
      </c>
      <c r="AH9" s="9">
        <f t="shared" si="11"/>
        <v>-0.20124996828064423</v>
      </c>
      <c r="AI9" s="9">
        <f t="shared" si="12"/>
        <v>0</v>
      </c>
      <c r="AJ9" s="9">
        <f t="shared" si="13"/>
        <v>0</v>
      </c>
      <c r="AK9" s="9">
        <f t="shared" si="14"/>
        <v>0</v>
      </c>
      <c r="AL9" s="9">
        <f>1000*(AA10-AA8)/(A10-A8)*Inputs!$C$11</f>
        <v>-1050.0199865109607</v>
      </c>
      <c r="AM9" s="9">
        <f>-2*AL9/Inputs!$C$13</f>
        <v>420.00799460438429</v>
      </c>
      <c r="AN9" s="9">
        <f>-2*AL9/Inputs!$C$14</f>
        <v>63.06426345411176</v>
      </c>
      <c r="AO9" s="9">
        <f t="shared" si="15"/>
        <v>420.00799460438429</v>
      </c>
      <c r="AP9" s="9">
        <f t="shared" si="16"/>
        <v>63.06426345411176</v>
      </c>
      <c r="AQ9" s="9">
        <f>IF(OR(Inputs!$C$27=TRUE,Inputs!$C$27="TRUE",Inputs!$C$27=1),Inputs!$C$46/Inputs!$C$12,0)</f>
        <v>0</v>
      </c>
      <c r="AR9" s="9">
        <f t="shared" si="17"/>
        <v>2641.700826955916</v>
      </c>
      <c r="AS9" s="9">
        <f t="shared" si="18"/>
        <v>2641.700826955916</v>
      </c>
    </row>
    <row r="10" spans="1:45">
      <c r="A10" s="9">
        <f>Inputs!$C$7+8*(Inputs!$C$8-Inputs!$C$7)/240</f>
        <v>-56</v>
      </c>
      <c r="B10" s="9">
        <f>Inputs!$C$5+Inputs!$C$9*(A10/Inputs!$C$10)^2</f>
        <v>403.48444444444442</v>
      </c>
      <c r="C10" s="9">
        <f t="shared" si="0"/>
        <v>403.48444444444442</v>
      </c>
      <c r="D10" s="9">
        <f>SQRT(A10^2+Inputs!$C$6^2+B10^2)</f>
        <v>408.1184839095651</v>
      </c>
      <c r="E10" s="9">
        <f t="shared" si="1"/>
        <v>4634.0394651206789</v>
      </c>
      <c r="F10" s="9">
        <f>E10/Inputs!$C$12</f>
        <v>2603.3929579329656</v>
      </c>
      <c r="G10" s="9">
        <f>2*E10/Inputs!$C$21*1000000</f>
        <v>30.914983625910157</v>
      </c>
      <c r="H10" s="9">
        <f>SQRT(A10^2+Inputs!$C$6^2)</f>
        <v>61.326992425847855</v>
      </c>
      <c r="I10" s="9">
        <f t="shared" si="2"/>
        <v>8.6424357245738488</v>
      </c>
      <c r="J10" s="9">
        <f>DEGREES((2*PI()/Inputs!$C$13)*Inputs!$C$15*SIN(RADIANS(I10)))</f>
        <v>54.096342468520554</v>
      </c>
      <c r="K10" s="9">
        <f t="shared" si="3"/>
        <v>0.95534915850306923</v>
      </c>
      <c r="L10" s="9">
        <f t="shared" si="4"/>
        <v>-0.19837874596611699</v>
      </c>
      <c r="M10" s="9">
        <f>2*(Inputs!$C$9/(Inputs!$C$10^2))*A10</f>
        <v>-0.12444444444444444</v>
      </c>
      <c r="N10" s="9">
        <f>M10*Inputs!$C$11</f>
        <v>-0.49777777777777776</v>
      </c>
      <c r="O10" s="9">
        <f>1000*((A10*Inputs!$C$11)+(B10*N10))/D10</f>
        <v>-1040.9859069691101</v>
      </c>
      <c r="P10" s="9">
        <f>-2*O10/Inputs!$C$13</f>
        <v>416.39436278764407</v>
      </c>
      <c r="Q10" s="9">
        <f>-2*O10/Inputs!$C$14</f>
        <v>62.521676094240853</v>
      </c>
      <c r="R10" s="9">
        <f>F10-Inputs!$C$16/2</f>
        <v>2588.3929579329656</v>
      </c>
      <c r="S10" s="9">
        <f>F10+Inputs!$C$16/2</f>
        <v>2618.3929579329656</v>
      </c>
      <c r="T10" s="9">
        <f>F10-Inputs!$C$17/2</f>
        <v>2453.3929579329656</v>
      </c>
      <c r="U10" s="9">
        <f>F10+Inputs!$C$17/2</f>
        <v>2753.3929579329656</v>
      </c>
      <c r="V10" s="9">
        <f t="shared" si="5"/>
        <v>416.39436278764407</v>
      </c>
      <c r="W10" s="9">
        <f t="shared" si="6"/>
        <v>62.521676094240853</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0</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0</v>
      </c>
      <c r="Z10" s="9">
        <f t="shared" si="7"/>
        <v>403.48444444444442</v>
      </c>
      <c r="AA10" s="9">
        <f>SQRT(A10^2+Inputs!$C$6^2+(B10-Y10/1000)^2)</f>
        <v>408.1184839095651</v>
      </c>
      <c r="AB10" s="9">
        <f t="shared" si="8"/>
        <v>4634.0394651206789</v>
      </c>
      <c r="AC10" s="9">
        <f>AB10/Inputs!$C$12</f>
        <v>2603.3929579329656</v>
      </c>
      <c r="AD10" s="9">
        <f>2*AB10/Inputs!$C$21*1000000</f>
        <v>30.914983625910157</v>
      </c>
      <c r="AE10" s="9">
        <f t="shared" si="9"/>
        <v>8.6424357245738488</v>
      </c>
      <c r="AF10" s="9">
        <f>DEGREES((2*PI()/Inputs!$C$13)*Inputs!$C$15*SIN(RADIANS(AE10)))</f>
        <v>54.096342468520554</v>
      </c>
      <c r="AG10" s="9">
        <f t="shared" si="10"/>
        <v>0.95534915850306923</v>
      </c>
      <c r="AH10" s="9">
        <f t="shared" si="11"/>
        <v>-0.19837874596611699</v>
      </c>
      <c r="AI10" s="9">
        <f t="shared" si="12"/>
        <v>0</v>
      </c>
      <c r="AJ10" s="9">
        <f t="shared" si="13"/>
        <v>0</v>
      </c>
      <c r="AK10" s="9">
        <f t="shared" si="14"/>
        <v>0</v>
      </c>
      <c r="AL10" s="9">
        <f>1000*(AA11-AA9)/(A11-A9)*Inputs!$C$11</f>
        <v>-1040.9848048693675</v>
      </c>
      <c r="AM10" s="9">
        <f>-2*AL10/Inputs!$C$13</f>
        <v>416.393921947747</v>
      </c>
      <c r="AN10" s="9">
        <f>-2*AL10/Inputs!$C$14</f>
        <v>62.521609902064121</v>
      </c>
      <c r="AO10" s="9">
        <f t="shared" si="15"/>
        <v>416.393921947747</v>
      </c>
      <c r="AP10" s="9">
        <f t="shared" si="16"/>
        <v>62.521609902064121</v>
      </c>
      <c r="AQ10" s="9">
        <f>IF(OR(Inputs!$C$27=TRUE,Inputs!$C$27="TRUE",Inputs!$C$27=1),Inputs!$C$46/Inputs!$C$12,0)</f>
        <v>0</v>
      </c>
      <c r="AR10" s="9">
        <f t="shared" si="17"/>
        <v>2603.3929579329656</v>
      </c>
      <c r="AS10" s="9">
        <f t="shared" si="18"/>
        <v>2603.3929579329656</v>
      </c>
    </row>
    <row r="11" spans="1:45">
      <c r="A11" s="9">
        <f>Inputs!$C$7+9*(Inputs!$C$8-Inputs!$C$7)/240</f>
        <v>-55.5</v>
      </c>
      <c r="B11" s="9">
        <f>Inputs!$C$5+Inputs!$C$9*(A11/Inputs!$C$10)^2</f>
        <v>403.42250000000001</v>
      </c>
      <c r="C11" s="9">
        <f t="shared" si="0"/>
        <v>403.42250000000001</v>
      </c>
      <c r="D11" s="9">
        <f>SQRT(A11^2+Inputs!$C$6^2+B11^2)</f>
        <v>407.98892571520861</v>
      </c>
      <c r="E11" s="9">
        <f t="shared" si="1"/>
        <v>4566.4257152085956</v>
      </c>
      <c r="F11" s="9">
        <f>E11/Inputs!$C$12</f>
        <v>2565.4077051733684</v>
      </c>
      <c r="G11" s="9">
        <f>2*E11/Inputs!$C$21*1000000</f>
        <v>30.463913239662592</v>
      </c>
      <c r="H11" s="9">
        <f>SQRT(A11^2+Inputs!$C$6^2)</f>
        <v>60.870764739733637</v>
      </c>
      <c r="I11" s="9">
        <f t="shared" si="2"/>
        <v>8.5804002336499341</v>
      </c>
      <c r="J11" s="9">
        <f>DEGREES((2*PI()/Inputs!$C$13)*Inputs!$C$15*SIN(RADIANS(I11)))</f>
        <v>53.71095616845377</v>
      </c>
      <c r="K11" s="9">
        <f t="shared" si="3"/>
        <v>0.95597594799754082</v>
      </c>
      <c r="L11" s="9">
        <f t="shared" si="4"/>
        <v>-0.19553034275521283</v>
      </c>
      <c r="M11" s="9">
        <f>2*(Inputs!$C$9/(Inputs!$C$10^2))*A11</f>
        <v>-0.12333333333333334</v>
      </c>
      <c r="N11" s="9">
        <f>M11*Inputs!$C$11</f>
        <v>-0.49333333333333335</v>
      </c>
      <c r="O11" s="9">
        <f>1000*((A11*Inputs!$C$11)+(B11*N11))/D11</f>
        <v>-1031.9441046803204</v>
      </c>
      <c r="P11" s="9">
        <f>-2*O11/Inputs!$C$13</f>
        <v>412.77764187212813</v>
      </c>
      <c r="Q11" s="9">
        <f>-2*O11/Inputs!$C$14</f>
        <v>61.978624905724956</v>
      </c>
      <c r="R11" s="9">
        <f>F11-Inputs!$C$16/2</f>
        <v>2550.4077051733684</v>
      </c>
      <c r="S11" s="9">
        <f>F11+Inputs!$C$16/2</f>
        <v>2580.4077051733684</v>
      </c>
      <c r="T11" s="9">
        <f>F11-Inputs!$C$17/2</f>
        <v>2415.4077051733684</v>
      </c>
      <c r="U11" s="9">
        <f>F11+Inputs!$C$17/2</f>
        <v>2715.4077051733684</v>
      </c>
      <c r="V11" s="9">
        <f t="shared" si="5"/>
        <v>412.77764187212813</v>
      </c>
      <c r="W11" s="9">
        <f t="shared" si="6"/>
        <v>61.978624905724956</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0</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0</v>
      </c>
      <c r="Z11" s="9">
        <f t="shared" si="7"/>
        <v>403.42250000000001</v>
      </c>
      <c r="AA11" s="9">
        <f>SQRT(A11^2+Inputs!$C$6^2+(B11-Y11/1000)^2)</f>
        <v>407.98892571520861</v>
      </c>
      <c r="AB11" s="9">
        <f t="shared" si="8"/>
        <v>4566.4257152085956</v>
      </c>
      <c r="AC11" s="9">
        <f>AB11/Inputs!$C$12</f>
        <v>2565.4077051733684</v>
      </c>
      <c r="AD11" s="9">
        <f>2*AB11/Inputs!$C$21*1000000</f>
        <v>30.463913239662592</v>
      </c>
      <c r="AE11" s="9">
        <f t="shared" si="9"/>
        <v>8.5804002336499341</v>
      </c>
      <c r="AF11" s="9">
        <f>DEGREES((2*PI()/Inputs!$C$13)*Inputs!$C$15*SIN(RADIANS(AE11)))</f>
        <v>53.71095616845377</v>
      </c>
      <c r="AG11" s="9">
        <f t="shared" si="10"/>
        <v>0.95597594799754082</v>
      </c>
      <c r="AH11" s="9">
        <f t="shared" si="11"/>
        <v>-0.19553034275521283</v>
      </c>
      <c r="AI11" s="9">
        <f t="shared" si="12"/>
        <v>0</v>
      </c>
      <c r="AJ11" s="9">
        <f t="shared" si="13"/>
        <v>0</v>
      </c>
      <c r="AK11" s="9">
        <f t="shared" si="14"/>
        <v>0</v>
      </c>
      <c r="AL11" s="9">
        <f>1000*(AA12-AA10)/(A12-A10)*Inputs!$C$11</f>
        <v>-1031.943010682653</v>
      </c>
      <c r="AM11" s="9">
        <f>-2*AL11/Inputs!$C$13</f>
        <v>412.77720427306122</v>
      </c>
      <c r="AN11" s="9">
        <f>-2*AL11/Inputs!$C$14</f>
        <v>61.978559200159346</v>
      </c>
      <c r="AO11" s="9">
        <f t="shared" si="15"/>
        <v>412.77720427306122</v>
      </c>
      <c r="AP11" s="9">
        <f t="shared" si="16"/>
        <v>61.978559200159346</v>
      </c>
      <c r="AQ11" s="9">
        <f>IF(OR(Inputs!$C$27=TRUE,Inputs!$C$27="TRUE",Inputs!$C$27=1),Inputs!$C$46/Inputs!$C$12,0)</f>
        <v>0</v>
      </c>
      <c r="AR11" s="9">
        <f t="shared" si="17"/>
        <v>2565.4077051733684</v>
      </c>
      <c r="AS11" s="9">
        <f t="shared" si="18"/>
        <v>2565.4077051733684</v>
      </c>
    </row>
    <row r="12" spans="1:45">
      <c r="A12" s="9">
        <f>Inputs!$C$7+10*(Inputs!$C$8-Inputs!$C$7)/240</f>
        <v>-55</v>
      </c>
      <c r="B12" s="9">
        <f>Inputs!$C$5+Inputs!$C$9*(A12/Inputs!$C$10)^2</f>
        <v>403.36111111111109</v>
      </c>
      <c r="C12" s="9">
        <f t="shared" si="0"/>
        <v>403.36111111111109</v>
      </c>
      <c r="D12" s="9">
        <f>SQRT(A12^2+Inputs!$C$6^2+B12^2)</f>
        <v>407.86049815689444</v>
      </c>
      <c r="E12" s="9">
        <f t="shared" si="1"/>
        <v>4499.3870457833509</v>
      </c>
      <c r="F12" s="9">
        <f>E12/Inputs!$C$12</f>
        <v>2527.745531338961</v>
      </c>
      <c r="G12" s="9">
        <f>2*E12/Inputs!$C$21*1000000</f>
        <v>30.016679377460196</v>
      </c>
      <c r="H12" s="9">
        <f>SQRT(A12^2+Inputs!$C$6^2)</f>
        <v>60.415229867972862</v>
      </c>
      <c r="I12" s="9">
        <f t="shared" si="2"/>
        <v>8.5184100957264786</v>
      </c>
      <c r="J12" s="9">
        <f>DEGREES((2*PI()/Inputs!$C$13)*Inputs!$C$15*SIN(RADIANS(I12)))</f>
        <v>53.325788721279181</v>
      </c>
      <c r="K12" s="9">
        <f t="shared" si="3"/>
        <v>0.95659810728563155</v>
      </c>
      <c r="L12" s="9">
        <f t="shared" si="4"/>
        <v>-0.19270482753432905</v>
      </c>
      <c r="M12" s="9">
        <f>2*(Inputs!$C$9/(Inputs!$C$10^2))*A12</f>
        <v>-0.12222222222222222</v>
      </c>
      <c r="N12" s="9">
        <f>M12*Inputs!$C$11</f>
        <v>-0.48888888888888887</v>
      </c>
      <c r="O12" s="9">
        <f>1000*((A12*Inputs!$C$11)+(B12*N12))/D12</f>
        <v>-1022.8957384140008</v>
      </c>
      <c r="P12" s="9">
        <f>-2*O12/Inputs!$C$13</f>
        <v>409.15829536560034</v>
      </c>
      <c r="Q12" s="9">
        <f>-2*O12/Inputs!$C$14</f>
        <v>61.435179484324379</v>
      </c>
      <c r="R12" s="9">
        <f>F12-Inputs!$C$16/2</f>
        <v>2512.745531338961</v>
      </c>
      <c r="S12" s="9">
        <f>F12+Inputs!$C$16/2</f>
        <v>2542.745531338961</v>
      </c>
      <c r="T12" s="9">
        <f>F12-Inputs!$C$17/2</f>
        <v>2377.745531338961</v>
      </c>
      <c r="U12" s="9">
        <f>F12+Inputs!$C$17/2</f>
        <v>2677.745531338961</v>
      </c>
      <c r="V12" s="9">
        <f t="shared" si="5"/>
        <v>409.15829536560034</v>
      </c>
      <c r="W12" s="9">
        <f t="shared" si="6"/>
        <v>61.435179484324379</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0</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0</v>
      </c>
      <c r="Z12" s="9">
        <f t="shared" si="7"/>
        <v>403.36111111111109</v>
      </c>
      <c r="AA12" s="9">
        <f>SQRT(A12^2+Inputs!$C$6^2+(B12-Y12/1000)^2)</f>
        <v>407.86049815689444</v>
      </c>
      <c r="AB12" s="9">
        <f t="shared" si="8"/>
        <v>4499.3870457833509</v>
      </c>
      <c r="AC12" s="9">
        <f>AB12/Inputs!$C$12</f>
        <v>2527.745531338961</v>
      </c>
      <c r="AD12" s="9">
        <f>2*AB12/Inputs!$C$21*1000000</f>
        <v>30.016679377460196</v>
      </c>
      <c r="AE12" s="9">
        <f t="shared" si="9"/>
        <v>8.5184100957264786</v>
      </c>
      <c r="AF12" s="9">
        <f>DEGREES((2*PI()/Inputs!$C$13)*Inputs!$C$15*SIN(RADIANS(AE12)))</f>
        <v>53.325788721279181</v>
      </c>
      <c r="AG12" s="9">
        <f t="shared" si="10"/>
        <v>0.95659810728563155</v>
      </c>
      <c r="AH12" s="9">
        <f t="shared" si="11"/>
        <v>-0.19270482753432905</v>
      </c>
      <c r="AI12" s="9">
        <f t="shared" si="12"/>
        <v>0</v>
      </c>
      <c r="AJ12" s="9">
        <f t="shared" si="13"/>
        <v>0</v>
      </c>
      <c r="AK12" s="9">
        <f t="shared" si="14"/>
        <v>0</v>
      </c>
      <c r="AL12" s="9">
        <f>1000*(AA13-AA11)/(A13-A11)*Inputs!$C$11</f>
        <v>-1022.8946525614901</v>
      </c>
      <c r="AM12" s="9">
        <f>-2*AL12/Inputs!$C$13</f>
        <v>409.15786102459606</v>
      </c>
      <c r="AN12" s="9">
        <f>-2*AL12/Inputs!$C$14</f>
        <v>61.435114267957374</v>
      </c>
      <c r="AO12" s="9">
        <f t="shared" si="15"/>
        <v>409.15786102459606</v>
      </c>
      <c r="AP12" s="9">
        <f t="shared" si="16"/>
        <v>61.435114267957374</v>
      </c>
      <c r="AQ12" s="9">
        <f>IF(OR(Inputs!$C$27=TRUE,Inputs!$C$27="TRUE",Inputs!$C$27=1),Inputs!$C$46/Inputs!$C$12,0)</f>
        <v>0</v>
      </c>
      <c r="AR12" s="9">
        <f t="shared" si="17"/>
        <v>2527.745531338961</v>
      </c>
      <c r="AS12" s="9">
        <f t="shared" si="18"/>
        <v>2527.745531338961</v>
      </c>
    </row>
    <row r="13" spans="1:45">
      <c r="A13" s="9">
        <f>Inputs!$C$7+11*(Inputs!$C$8-Inputs!$C$7)/240</f>
        <v>-54.5</v>
      </c>
      <c r="B13" s="9">
        <f>Inputs!$C$5+Inputs!$C$9*(A13/Inputs!$C$10)^2</f>
        <v>403.30027777777775</v>
      </c>
      <c r="C13" s="9">
        <f t="shared" si="0"/>
        <v>403.30027777777775</v>
      </c>
      <c r="D13" s="9">
        <f>SQRT(A13^2+Inputs!$C$6^2+B13^2)</f>
        <v>407.73320205206824</v>
      </c>
      <c r="E13" s="9">
        <f t="shared" si="1"/>
        <v>4432.9242742904853</v>
      </c>
      <c r="F13" s="9">
        <f>E13/Inputs!$C$12</f>
        <v>2490.406895668812</v>
      </c>
      <c r="G13" s="9">
        <f>2*E13/Inputs!$C$21*1000000</f>
        <v>29.573287492712609</v>
      </c>
      <c r="H13" s="9">
        <f>SQRT(A13^2+Inputs!$C$6^2)</f>
        <v>59.960403601043247</v>
      </c>
      <c r="I13" s="9">
        <f t="shared" si="2"/>
        <v>8.4564679912070897</v>
      </c>
      <c r="J13" s="9">
        <f>DEGREES((2*PI()/Inputs!$C$13)*Inputs!$C$15*SIN(RADIANS(I13)))</f>
        <v>52.940857373736847</v>
      </c>
      <c r="K13" s="9">
        <f t="shared" si="3"/>
        <v>0.95721561171387737</v>
      </c>
      <c r="L13" s="9">
        <f t="shared" si="4"/>
        <v>-0.18990226872328</v>
      </c>
      <c r="M13" s="9">
        <f>2*(Inputs!$C$9/(Inputs!$C$10^2))*A13</f>
        <v>-0.12111111111111111</v>
      </c>
      <c r="N13" s="9">
        <f>M13*Inputs!$C$11</f>
        <v>-0.48444444444444446</v>
      </c>
      <c r="O13" s="9">
        <f>1000*((A13*Inputs!$C$11)+(B13*N13))/D13</f>
        <v>-1013.8408570405232</v>
      </c>
      <c r="P13" s="9">
        <f>-2*O13/Inputs!$C$13</f>
        <v>405.5363428162093</v>
      </c>
      <c r="Q13" s="9">
        <f>-2*O13/Inputs!$C$14</f>
        <v>60.891342765196597</v>
      </c>
      <c r="R13" s="9">
        <f>F13-Inputs!$C$16/2</f>
        <v>2475.406895668812</v>
      </c>
      <c r="S13" s="9">
        <f>F13+Inputs!$C$16/2</f>
        <v>2505.406895668812</v>
      </c>
      <c r="T13" s="9">
        <f>F13-Inputs!$C$17/2</f>
        <v>2340.406895668812</v>
      </c>
      <c r="U13" s="9">
        <f>F13+Inputs!$C$17/2</f>
        <v>2640.406895668812</v>
      </c>
      <c r="V13" s="9">
        <f t="shared" si="5"/>
        <v>405.5363428162093</v>
      </c>
      <c r="W13" s="9">
        <f t="shared" si="6"/>
        <v>60.891342765196597</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0</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0</v>
      </c>
      <c r="Z13" s="9">
        <f t="shared" si="7"/>
        <v>403.30027777777775</v>
      </c>
      <c r="AA13" s="9">
        <f>SQRT(A13^2+Inputs!$C$6^2+(B13-Y13/1000)^2)</f>
        <v>407.73320205206824</v>
      </c>
      <c r="AB13" s="9">
        <f t="shared" si="8"/>
        <v>4432.9242742904853</v>
      </c>
      <c r="AC13" s="9">
        <f>AB13/Inputs!$C$12</f>
        <v>2490.406895668812</v>
      </c>
      <c r="AD13" s="9">
        <f>2*AB13/Inputs!$C$21*1000000</f>
        <v>29.573287492712609</v>
      </c>
      <c r="AE13" s="9">
        <f t="shared" si="9"/>
        <v>8.4564679912070897</v>
      </c>
      <c r="AF13" s="9">
        <f>DEGREES((2*PI()/Inputs!$C$13)*Inputs!$C$15*SIN(RADIANS(AE13)))</f>
        <v>52.940857373736847</v>
      </c>
      <c r="AG13" s="9">
        <f t="shared" si="10"/>
        <v>0.95721561171387737</v>
      </c>
      <c r="AH13" s="9">
        <f t="shared" si="11"/>
        <v>-0.18990226872328</v>
      </c>
      <c r="AI13" s="9">
        <f t="shared" si="12"/>
        <v>0</v>
      </c>
      <c r="AJ13" s="9">
        <f t="shared" si="13"/>
        <v>0</v>
      </c>
      <c r="AK13" s="9">
        <f t="shared" si="14"/>
        <v>0</v>
      </c>
      <c r="AL13" s="9">
        <f>1000*(AA14-AA12)/(A14-A12)*Inputs!$C$11</f>
        <v>-1013.8397793757576</v>
      </c>
      <c r="AM13" s="9">
        <f>-2*AL13/Inputs!$C$13</f>
        <v>405.53591175030306</v>
      </c>
      <c r="AN13" s="9">
        <f>-2*AL13/Inputs!$C$14</f>
        <v>60.891278040586052</v>
      </c>
      <c r="AO13" s="9">
        <f t="shared" si="15"/>
        <v>405.53591175030306</v>
      </c>
      <c r="AP13" s="9">
        <f t="shared" si="16"/>
        <v>60.891278040586052</v>
      </c>
      <c r="AQ13" s="9">
        <f>IF(OR(Inputs!$C$27=TRUE,Inputs!$C$27="TRUE",Inputs!$C$27=1),Inputs!$C$46/Inputs!$C$12,0)</f>
        <v>0</v>
      </c>
      <c r="AR13" s="9">
        <f t="shared" si="17"/>
        <v>2490.406895668812</v>
      </c>
      <c r="AS13" s="9">
        <f t="shared" si="18"/>
        <v>2490.406895668812</v>
      </c>
    </row>
    <row r="14" spans="1:45">
      <c r="A14" s="9">
        <f>Inputs!$C$7+12*(Inputs!$C$8-Inputs!$C$7)/240</f>
        <v>-54</v>
      </c>
      <c r="B14" s="9">
        <f>Inputs!$C$5+Inputs!$C$9*(A14/Inputs!$C$10)^2</f>
        <v>403.24</v>
      </c>
      <c r="C14" s="9">
        <f t="shared" si="0"/>
        <v>403.24</v>
      </c>
      <c r="D14" s="9">
        <f>SQRT(A14^2+Inputs!$C$6^2+B14^2)</f>
        <v>407.6070382120505</v>
      </c>
      <c r="E14" s="9">
        <f t="shared" si="1"/>
        <v>4367.0382120504883</v>
      </c>
      <c r="F14" s="9">
        <f>E14/Inputs!$C$12</f>
        <v>2453.3922539609484</v>
      </c>
      <c r="G14" s="9">
        <f>2*E14/Inputs!$C$21*1000000</f>
        <v>29.133742997967538</v>
      </c>
      <c r="H14" s="9">
        <f>SQRT(A14^2+Inputs!$C$6^2)</f>
        <v>59.506302187247357</v>
      </c>
      <c r="I14" s="9">
        <f t="shared" si="2"/>
        <v>8.3945766676270033</v>
      </c>
      <c r="J14" s="9">
        <f>DEGREES((2*PI()/Inputs!$C$13)*Inputs!$C$15*SIN(RADIANS(I14)))</f>
        <v>52.556179798506058</v>
      </c>
      <c r="K14" s="9">
        <f t="shared" si="3"/>
        <v>0.95782843676109208</v>
      </c>
      <c r="L14" s="9">
        <f t="shared" si="4"/>
        <v>-0.18712273427158749</v>
      </c>
      <c r="M14" s="9">
        <f>2*(Inputs!$C$9/(Inputs!$C$10^2))*A14</f>
        <v>-0.12</v>
      </c>
      <c r="N14" s="9">
        <f>M14*Inputs!$C$11</f>
        <v>-0.48</v>
      </c>
      <c r="O14" s="9">
        <f>1000*((A14*Inputs!$C$11)+(B14*N14))/D14</f>
        <v>-1004.7795096877988</v>
      </c>
      <c r="P14" s="9">
        <f>-2*O14/Inputs!$C$13</f>
        <v>401.91180387511952</v>
      </c>
      <c r="Q14" s="9">
        <f>-2*O14/Inputs!$C$14</f>
        <v>60.347117698966905</v>
      </c>
      <c r="R14" s="9">
        <f>F14-Inputs!$C$16/2</f>
        <v>2438.3922539609484</v>
      </c>
      <c r="S14" s="9">
        <f>F14+Inputs!$C$16/2</f>
        <v>2468.3922539609484</v>
      </c>
      <c r="T14" s="9">
        <f>F14-Inputs!$C$17/2</f>
        <v>2303.3922539609484</v>
      </c>
      <c r="U14" s="9">
        <f>F14+Inputs!$C$17/2</f>
        <v>2603.3922539609484</v>
      </c>
      <c r="V14" s="9">
        <f t="shared" si="5"/>
        <v>401.91180387511952</v>
      </c>
      <c r="W14" s="9">
        <f t="shared" si="6"/>
        <v>60.347117698966905</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0</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0</v>
      </c>
      <c r="Z14" s="9">
        <f t="shared" si="7"/>
        <v>403.24</v>
      </c>
      <c r="AA14" s="9">
        <f>SQRT(A14^2+Inputs!$C$6^2+(B14-Y14/1000)^2)</f>
        <v>407.6070382120505</v>
      </c>
      <c r="AB14" s="9">
        <f t="shared" si="8"/>
        <v>4367.0382120504883</v>
      </c>
      <c r="AC14" s="9">
        <f>AB14/Inputs!$C$12</f>
        <v>2453.3922539609484</v>
      </c>
      <c r="AD14" s="9">
        <f>2*AB14/Inputs!$C$21*1000000</f>
        <v>29.133742997967538</v>
      </c>
      <c r="AE14" s="9">
        <f t="shared" si="9"/>
        <v>8.3945766676270033</v>
      </c>
      <c r="AF14" s="9">
        <f>DEGREES((2*PI()/Inputs!$C$13)*Inputs!$C$15*SIN(RADIANS(AE14)))</f>
        <v>52.556179798506058</v>
      </c>
      <c r="AG14" s="9">
        <f t="shared" si="10"/>
        <v>0.95782843676109208</v>
      </c>
      <c r="AH14" s="9">
        <f t="shared" si="11"/>
        <v>-0.18712273427158749</v>
      </c>
      <c r="AI14" s="9">
        <f t="shared" si="12"/>
        <v>0</v>
      </c>
      <c r="AJ14" s="9">
        <f t="shared" si="13"/>
        <v>0</v>
      </c>
      <c r="AK14" s="9">
        <f t="shared" si="14"/>
        <v>0</v>
      </c>
      <c r="AL14" s="9">
        <f>1000*(AA15-AA13)/(A15-A13)*Inputs!$C$11</f>
        <v>-1004.7784402536308</v>
      </c>
      <c r="AM14" s="9">
        <f>-2*AL14/Inputs!$C$13</f>
        <v>401.91137610145233</v>
      </c>
      <c r="AN14" s="9">
        <f>-2*AL14/Inputs!$C$14</f>
        <v>60.347053468686539</v>
      </c>
      <c r="AO14" s="9">
        <f t="shared" si="15"/>
        <v>401.91137610145233</v>
      </c>
      <c r="AP14" s="9">
        <f t="shared" si="16"/>
        <v>60.347053468686539</v>
      </c>
      <c r="AQ14" s="9">
        <f>IF(OR(Inputs!$C$27=TRUE,Inputs!$C$27="TRUE",Inputs!$C$27=1),Inputs!$C$46/Inputs!$C$12,0)</f>
        <v>0</v>
      </c>
      <c r="AR14" s="9">
        <f t="shared" si="17"/>
        <v>2453.3922539609484</v>
      </c>
      <c r="AS14" s="9">
        <f t="shared" si="18"/>
        <v>2453.3922539609484</v>
      </c>
    </row>
    <row r="15" spans="1:45">
      <c r="A15" s="9">
        <f>Inputs!$C$7+13*(Inputs!$C$8-Inputs!$C$7)/240</f>
        <v>-53.5</v>
      </c>
      <c r="B15" s="9">
        <f>Inputs!$C$5+Inputs!$C$9*(A15/Inputs!$C$10)^2</f>
        <v>403.1802777777778</v>
      </c>
      <c r="C15" s="9">
        <f t="shared" si="0"/>
        <v>403.1802777777778</v>
      </c>
      <c r="D15" s="9">
        <f>SQRT(A15^2+Inputs!$C$6^2+B15^2)</f>
        <v>407.48200744200483</v>
      </c>
      <c r="E15" s="9">
        <f t="shared" si="1"/>
        <v>4301.7296642270248</v>
      </c>
      <c r="F15" s="9">
        <f>E15/Inputs!$C$12</f>
        <v>2416.7020585545083</v>
      </c>
      <c r="G15" s="9">
        <f>2*E15/Inputs!$C$21*1000000</f>
        <v>28.698051264698758</v>
      </c>
      <c r="H15" s="9">
        <f>SQRT(A15^2+Inputs!$C$6^2)</f>
        <v>59.052942348370756</v>
      </c>
      <c r="I15" s="9">
        <f t="shared" si="2"/>
        <v>8.3327389418825106</v>
      </c>
      <c r="J15" s="9">
        <f>DEGREES((2*PI()/Inputs!$C$13)*Inputs!$C$15*SIN(RADIANS(I15)))</f>
        <v>52.171774108183619</v>
      </c>
      <c r="K15" s="9">
        <f t="shared" si="3"/>
        <v>0.95843655804048866</v>
      </c>
      <c r="L15" s="9">
        <f t="shared" si="4"/>
        <v>-0.18436629165480711</v>
      </c>
      <c r="M15" s="9">
        <f>2*(Inputs!$C$9/(Inputs!$C$10^2))*A15</f>
        <v>-0.11888888888888889</v>
      </c>
      <c r="N15" s="9">
        <f>M15*Inputs!$C$11</f>
        <v>-0.47555555555555556</v>
      </c>
      <c r="O15" s="9">
        <f>1000*((A15*Inputs!$C$11)+(B15*N15))/D15</f>
        <v>-995.71174573984308</v>
      </c>
      <c r="P15" s="9">
        <f>-2*O15/Inputs!$C$13</f>
        <v>398.28469829593723</v>
      </c>
      <c r="Q15" s="9">
        <f>-2*O15/Inputs!$C$14</f>
        <v>59.802507251642233</v>
      </c>
      <c r="R15" s="9">
        <f>F15-Inputs!$C$16/2</f>
        <v>2401.7020585545083</v>
      </c>
      <c r="S15" s="9">
        <f>F15+Inputs!$C$16/2</f>
        <v>2431.7020585545083</v>
      </c>
      <c r="T15" s="9">
        <f>F15-Inputs!$C$17/2</f>
        <v>2266.7020585545083</v>
      </c>
      <c r="U15" s="9">
        <f>F15+Inputs!$C$17/2</f>
        <v>2566.7020585545083</v>
      </c>
      <c r="V15" s="9">
        <f t="shared" si="5"/>
        <v>398.28469829593723</v>
      </c>
      <c r="W15" s="9">
        <f t="shared" si="6"/>
        <v>59.802507251642233</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0</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0</v>
      </c>
      <c r="Z15" s="9">
        <f t="shared" si="7"/>
        <v>403.1802777777778</v>
      </c>
      <c r="AA15" s="9">
        <f>SQRT(A15^2+Inputs!$C$6^2+(B15-Y15/1000)^2)</f>
        <v>407.48200744200483</v>
      </c>
      <c r="AB15" s="9">
        <f t="shared" si="8"/>
        <v>4301.7296642270248</v>
      </c>
      <c r="AC15" s="9">
        <f>AB15/Inputs!$C$12</f>
        <v>2416.7020585545083</v>
      </c>
      <c r="AD15" s="9">
        <f>2*AB15/Inputs!$C$21*1000000</f>
        <v>28.698051264698758</v>
      </c>
      <c r="AE15" s="9">
        <f t="shared" si="9"/>
        <v>8.3327389418825106</v>
      </c>
      <c r="AF15" s="9">
        <f>DEGREES((2*PI()/Inputs!$C$13)*Inputs!$C$15*SIN(RADIANS(AE15)))</f>
        <v>52.171774108183619</v>
      </c>
      <c r="AG15" s="9">
        <f t="shared" si="10"/>
        <v>0.95843655804048866</v>
      </c>
      <c r="AH15" s="9">
        <f t="shared" si="11"/>
        <v>-0.18436629165480711</v>
      </c>
      <c r="AI15" s="9">
        <f t="shared" si="12"/>
        <v>0</v>
      </c>
      <c r="AJ15" s="9">
        <f t="shared" si="13"/>
        <v>0</v>
      </c>
      <c r="AK15" s="9">
        <f t="shared" si="14"/>
        <v>0</v>
      </c>
      <c r="AL15" s="9">
        <f>1000*(AA16-AA14)/(A16-A14)*Inputs!$C$11</f>
        <v>-995.71068457885303</v>
      </c>
      <c r="AM15" s="9">
        <f>-2*AL15/Inputs!$C$13</f>
        <v>398.28427383154121</v>
      </c>
      <c r="AN15" s="9">
        <f>-2*AL15/Inputs!$C$14</f>
        <v>59.80244351824944</v>
      </c>
      <c r="AO15" s="9">
        <f t="shared" si="15"/>
        <v>398.28427383154121</v>
      </c>
      <c r="AP15" s="9">
        <f t="shared" si="16"/>
        <v>59.80244351824944</v>
      </c>
      <c r="AQ15" s="9">
        <f>IF(OR(Inputs!$C$27=TRUE,Inputs!$C$27="TRUE",Inputs!$C$27=1),Inputs!$C$46/Inputs!$C$12,0)</f>
        <v>0</v>
      </c>
      <c r="AR15" s="9">
        <f t="shared" si="17"/>
        <v>2416.7020585545083</v>
      </c>
      <c r="AS15" s="9">
        <f t="shared" si="18"/>
        <v>2416.7020585545083</v>
      </c>
    </row>
    <row r="16" spans="1:45">
      <c r="A16" s="9">
        <f>Inputs!$C$7+14*(Inputs!$C$8-Inputs!$C$7)/240</f>
        <v>-53</v>
      </c>
      <c r="B16" s="9">
        <f>Inputs!$C$5+Inputs!$C$9*(A16/Inputs!$C$10)^2</f>
        <v>403.12111111111113</v>
      </c>
      <c r="C16" s="9">
        <f t="shared" si="0"/>
        <v>403.12111111111113</v>
      </c>
      <c r="D16" s="9">
        <f>SQRT(A16^2+Inputs!$C$6^2+B16^2)</f>
        <v>407.35811054090578</v>
      </c>
      <c r="E16" s="9">
        <f t="shared" si="1"/>
        <v>4236.9994297946505</v>
      </c>
      <c r="F16" s="9">
        <f>E16/Inputs!$C$12</f>
        <v>2380.3367583116014</v>
      </c>
      <c r="G16" s="9">
        <f>2*E16/Inputs!$C$21*1000000</f>
        <v>28.266217623090775</v>
      </c>
      <c r="H16" s="9">
        <f>SQRT(A16^2+Inputs!$C$6^2)</f>
        <v>58.600341295934449</v>
      </c>
      <c r="I16" s="9">
        <f t="shared" si="2"/>
        <v>8.2709577025452408</v>
      </c>
      <c r="J16" s="9">
        <f>DEGREES((2*PI()/Inputs!$C$13)*Inputs!$C$15*SIN(RADIANS(I16)))</f>
        <v>51.787658869794335</v>
      </c>
      <c r="K16" s="9">
        <f t="shared" si="3"/>
        <v>0.95903995130180419</v>
      </c>
      <c r="L16" s="9">
        <f t="shared" si="4"/>
        <v>-0.18163300787083425</v>
      </c>
      <c r="M16" s="9">
        <f>2*(Inputs!$C$9/(Inputs!$C$10^2))*A16</f>
        <v>-0.11777777777777777</v>
      </c>
      <c r="N16" s="9">
        <f>M16*Inputs!$C$11</f>
        <v>-0.47111111111111109</v>
      </c>
      <c r="O16" s="9">
        <f>1000*((A16*Inputs!$C$11)+(B16*N16))/D16</f>
        <v>-986.63761483531846</v>
      </c>
      <c r="P16" s="9">
        <f>-2*O16/Inputs!$C$13</f>
        <v>394.65504593412737</v>
      </c>
      <c r="Q16" s="9">
        <f>-2*O16/Inputs!$C$14</f>
        <v>59.257514404523633</v>
      </c>
      <c r="R16" s="9">
        <f>F16-Inputs!$C$16/2</f>
        <v>2365.3367583116014</v>
      </c>
      <c r="S16" s="9">
        <f>F16+Inputs!$C$16/2</f>
        <v>2395.3367583116014</v>
      </c>
      <c r="T16" s="9">
        <f>F16-Inputs!$C$17/2</f>
        <v>2230.3367583116014</v>
      </c>
      <c r="U16" s="9">
        <f>F16+Inputs!$C$17/2</f>
        <v>2530.3367583116014</v>
      </c>
      <c r="V16" s="9">
        <f t="shared" si="5"/>
        <v>394.65504593412737</v>
      </c>
      <c r="W16" s="9">
        <f t="shared" si="6"/>
        <v>59.257514404523633</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0</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0</v>
      </c>
      <c r="Z16" s="9">
        <f t="shared" si="7"/>
        <v>403.12111111111113</v>
      </c>
      <c r="AA16" s="9">
        <f>SQRT(A16^2+Inputs!$C$6^2+(B16-Y16/1000)^2)</f>
        <v>407.35811054090578</v>
      </c>
      <c r="AB16" s="9">
        <f t="shared" si="8"/>
        <v>4236.9994297946505</v>
      </c>
      <c r="AC16" s="9">
        <f>AB16/Inputs!$C$12</f>
        <v>2380.3367583116014</v>
      </c>
      <c r="AD16" s="9">
        <f>2*AB16/Inputs!$C$21*1000000</f>
        <v>28.266217623090775</v>
      </c>
      <c r="AE16" s="9">
        <f t="shared" si="9"/>
        <v>8.2709577025452408</v>
      </c>
      <c r="AF16" s="9">
        <f>DEGREES((2*PI()/Inputs!$C$13)*Inputs!$C$15*SIN(RADIANS(AE16)))</f>
        <v>51.787658869794335</v>
      </c>
      <c r="AG16" s="9">
        <f t="shared" si="10"/>
        <v>0.95903995130180419</v>
      </c>
      <c r="AH16" s="9">
        <f t="shared" si="11"/>
        <v>-0.18163300787083425</v>
      </c>
      <c r="AI16" s="9">
        <f t="shared" si="12"/>
        <v>0</v>
      </c>
      <c r="AJ16" s="9">
        <f t="shared" si="13"/>
        <v>0</v>
      </c>
      <c r="AK16" s="9">
        <f t="shared" si="14"/>
        <v>0</v>
      </c>
      <c r="AL16" s="9">
        <f>1000*(AA17-AA15)/(A17-A15)*Inputs!$C$11</f>
        <v>-986.63656199005345</v>
      </c>
      <c r="AM16" s="9">
        <f>-2*AL16/Inputs!$C$13</f>
        <v>394.65462479602138</v>
      </c>
      <c r="AN16" s="9">
        <f>-2*AL16/Inputs!$C$14</f>
        <v>59.257451170573788</v>
      </c>
      <c r="AO16" s="9">
        <f t="shared" si="15"/>
        <v>394.65462479602138</v>
      </c>
      <c r="AP16" s="9">
        <f t="shared" si="16"/>
        <v>59.257451170573788</v>
      </c>
      <c r="AQ16" s="9">
        <f>IF(OR(Inputs!$C$27=TRUE,Inputs!$C$27="TRUE",Inputs!$C$27=1),Inputs!$C$46/Inputs!$C$12,0)</f>
        <v>0</v>
      </c>
      <c r="AR16" s="9">
        <f t="shared" si="17"/>
        <v>2380.3367583116014</v>
      </c>
      <c r="AS16" s="9">
        <f t="shared" si="18"/>
        <v>2380.3367583116014</v>
      </c>
    </row>
    <row r="17" spans="1:45">
      <c r="A17" s="9">
        <f>Inputs!$C$7+15*(Inputs!$C$8-Inputs!$C$7)/240</f>
        <v>-52.5</v>
      </c>
      <c r="B17" s="9">
        <f>Inputs!$C$5+Inputs!$C$9*(A17/Inputs!$C$10)^2</f>
        <v>403.0625</v>
      </c>
      <c r="C17" s="9">
        <f t="shared" si="0"/>
        <v>403.0625</v>
      </c>
      <c r="D17" s="9">
        <f>SQRT(A17^2+Inputs!$C$6^2+B17^2)</f>
        <v>407.23534830150732</v>
      </c>
      <c r="E17" s="9">
        <f t="shared" si="1"/>
        <v>4172.8483015073152</v>
      </c>
      <c r="F17" s="9">
        <f>E17/Inputs!$C$12</f>
        <v>2344.2967985996152</v>
      </c>
      <c r="G17" s="9">
        <f>2*E17/Inputs!$C$21*1000000</f>
        <v>27.838247361828664</v>
      </c>
      <c r="H17" s="9">
        <f>SQRT(A17^2+Inputs!$C$6^2)</f>
        <v>58.148516748065035</v>
      </c>
      <c r="I17" s="9">
        <f t="shared" si="2"/>
        <v>8.2092359122645995</v>
      </c>
      <c r="J17" s="9">
        <f>DEGREES((2*PI()/Inputs!$C$13)*Inputs!$C$15*SIN(RADIANS(I17)))</f>
        <v>51.403853119854354</v>
      </c>
      <c r="K17" s="9">
        <f t="shared" si="3"/>
        <v>0.95963859243341143</v>
      </c>
      <c r="L17" s="9">
        <f t="shared" si="4"/>
        <v>-0.17892294943626574</v>
      </c>
      <c r="M17" s="9">
        <f>2*(Inputs!$C$9/(Inputs!$C$10^2))*A17</f>
        <v>-0.11666666666666667</v>
      </c>
      <c r="N17" s="9">
        <f>M17*Inputs!$C$11</f>
        <v>-0.46666666666666667</v>
      </c>
      <c r="O17" s="9">
        <f>1000*((A17*Inputs!$C$11)+(B17*N17))/D17</f>
        <v>-977.55716686605672</v>
      </c>
      <c r="P17" s="9">
        <f>-2*O17/Inputs!$C$13</f>
        <v>391.02286674642266</v>
      </c>
      <c r="Q17" s="9">
        <f>-2*O17/Inputs!$C$14</f>
        <v>58.712142154117522</v>
      </c>
      <c r="R17" s="9">
        <f>F17-Inputs!$C$16/2</f>
        <v>2329.2967985996152</v>
      </c>
      <c r="S17" s="9">
        <f>F17+Inputs!$C$16/2</f>
        <v>2359.2967985996152</v>
      </c>
      <c r="T17" s="9">
        <f>F17-Inputs!$C$17/2</f>
        <v>2194.2967985996152</v>
      </c>
      <c r="U17" s="9">
        <f>F17+Inputs!$C$17/2</f>
        <v>2494.2967985996152</v>
      </c>
      <c r="V17" s="9">
        <f t="shared" si="5"/>
        <v>391.02286674642266</v>
      </c>
      <c r="W17" s="9">
        <f t="shared" si="6"/>
        <v>58.712142154117522</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0</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0</v>
      </c>
      <c r="Z17" s="9">
        <f t="shared" si="7"/>
        <v>403.0625</v>
      </c>
      <c r="AA17" s="9">
        <f>SQRT(A17^2+Inputs!$C$6^2+(B17-Y17/1000)^2)</f>
        <v>407.23534830150732</v>
      </c>
      <c r="AB17" s="9">
        <f t="shared" si="8"/>
        <v>4172.8483015073152</v>
      </c>
      <c r="AC17" s="9">
        <f>AB17/Inputs!$C$12</f>
        <v>2344.2967985996152</v>
      </c>
      <c r="AD17" s="9">
        <f>2*AB17/Inputs!$C$21*1000000</f>
        <v>27.838247361828664</v>
      </c>
      <c r="AE17" s="9">
        <f t="shared" si="9"/>
        <v>8.2092359122645995</v>
      </c>
      <c r="AF17" s="9">
        <f>DEGREES((2*PI()/Inputs!$C$13)*Inputs!$C$15*SIN(RADIANS(AE17)))</f>
        <v>51.403853119854354</v>
      </c>
      <c r="AG17" s="9">
        <f t="shared" si="10"/>
        <v>0.95963859243341143</v>
      </c>
      <c r="AH17" s="9">
        <f t="shared" si="11"/>
        <v>-0.17892294943626574</v>
      </c>
      <c r="AI17" s="9">
        <f t="shared" si="12"/>
        <v>0</v>
      </c>
      <c r="AJ17" s="9">
        <f t="shared" si="13"/>
        <v>0</v>
      </c>
      <c r="AK17" s="9">
        <f t="shared" si="14"/>
        <v>0</v>
      </c>
      <c r="AL17" s="9">
        <f>1000*(AA18-AA16)/(A18-A16)*Inputs!$C$11</f>
        <v>-977.55612237779133</v>
      </c>
      <c r="AM17" s="9">
        <f>-2*AL17/Inputs!$C$13</f>
        <v>391.02244895111653</v>
      </c>
      <c r="AN17" s="9">
        <f>-2*AL17/Inputs!$C$14</f>
        <v>58.712079422089573</v>
      </c>
      <c r="AO17" s="9">
        <f t="shared" si="15"/>
        <v>391.02244895111653</v>
      </c>
      <c r="AP17" s="9">
        <f t="shared" si="16"/>
        <v>58.712079422089573</v>
      </c>
      <c r="AQ17" s="9">
        <f>IF(OR(Inputs!$C$27=TRUE,Inputs!$C$27="TRUE",Inputs!$C$27=1),Inputs!$C$46/Inputs!$C$12,0)</f>
        <v>0</v>
      </c>
      <c r="AR17" s="9">
        <f t="shared" si="17"/>
        <v>2344.2967985996152</v>
      </c>
      <c r="AS17" s="9">
        <f t="shared" si="18"/>
        <v>2344.2967985996152</v>
      </c>
    </row>
    <row r="18" spans="1:45">
      <c r="A18" s="9">
        <f>Inputs!$C$7+16*(Inputs!$C$8-Inputs!$C$7)/240</f>
        <v>-52</v>
      </c>
      <c r="B18" s="9">
        <f>Inputs!$C$5+Inputs!$C$9*(A18/Inputs!$C$10)^2</f>
        <v>403.00444444444446</v>
      </c>
      <c r="C18" s="9">
        <f t="shared" si="0"/>
        <v>403.00444444444446</v>
      </c>
      <c r="D18" s="9">
        <f>SQRT(A18^2+Inputs!$C$6^2+B18^2)</f>
        <v>407.11372151031134</v>
      </c>
      <c r="E18" s="9">
        <f t="shared" si="1"/>
        <v>4109.2770658668769</v>
      </c>
      <c r="F18" s="9">
        <f>E18/Inputs!$C$12</f>
        <v>2308.5826212735265</v>
      </c>
      <c r="G18" s="9">
        <f>2*E18/Inputs!$C$21*1000000</f>
        <v>27.414145727888037</v>
      </c>
      <c r="H18" s="9">
        <f>SQRT(A18^2+Inputs!$C$6^2)</f>
        <v>57.697486947006624</v>
      </c>
      <c r="I18" s="9">
        <f t="shared" si="2"/>
        <v>8.1475766102618188</v>
      </c>
      <c r="J18" s="9">
        <f>DEGREES((2*PI()/Inputs!$C$13)*Inputs!$C$15*SIN(RADIANS(I18)))</f>
        <v>51.020376380009324</v>
      </c>
      <c r="K18" s="9">
        <f t="shared" si="3"/>
        <v>0.96023245746442998</v>
      </c>
      <c r="L18" s="9">
        <f t="shared" si="4"/>
        <v>-0.17623618238275701</v>
      </c>
      <c r="M18" s="9">
        <f>2*(Inputs!$C$9/(Inputs!$C$10^2))*A18</f>
        <v>-0.11555555555555555</v>
      </c>
      <c r="N18" s="9">
        <f>M18*Inputs!$C$11</f>
        <v>-0.4622222222222222</v>
      </c>
      <c r="O18" s="9">
        <f>1000*((A18*Inputs!$C$11)+(B18*N18))/D18</f>
        <v>-968.4704519755594</v>
      </c>
      <c r="P18" s="9">
        <f>-2*O18/Inputs!$C$13</f>
        <v>387.38818079022377</v>
      </c>
      <c r="Q18" s="9">
        <f>-2*O18/Inputs!$C$14</f>
        <v>58.166393512045616</v>
      </c>
      <c r="R18" s="9">
        <f>F18-Inputs!$C$16/2</f>
        <v>2293.5826212735265</v>
      </c>
      <c r="S18" s="9">
        <f>F18+Inputs!$C$16/2</f>
        <v>2323.5826212735265</v>
      </c>
      <c r="T18" s="9">
        <f>F18-Inputs!$C$17/2</f>
        <v>2158.5826212735265</v>
      </c>
      <c r="U18" s="9">
        <f>F18+Inputs!$C$17/2</f>
        <v>2458.5826212735265</v>
      </c>
      <c r="V18" s="9">
        <f t="shared" si="5"/>
        <v>387.38818079022377</v>
      </c>
      <c r="W18" s="9">
        <f t="shared" si="6"/>
        <v>58.166393512045616</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0</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0</v>
      </c>
      <c r="Z18" s="9">
        <f t="shared" si="7"/>
        <v>403.00444444444446</v>
      </c>
      <c r="AA18" s="9">
        <f>SQRT(A18^2+Inputs!$C$6^2+(B18-Y18/1000)^2)</f>
        <v>407.11372151031134</v>
      </c>
      <c r="AB18" s="9">
        <f t="shared" si="8"/>
        <v>4109.2770658668769</v>
      </c>
      <c r="AC18" s="9">
        <f>AB18/Inputs!$C$12</f>
        <v>2308.5826212735265</v>
      </c>
      <c r="AD18" s="9">
        <f>2*AB18/Inputs!$C$21*1000000</f>
        <v>27.414145727888037</v>
      </c>
      <c r="AE18" s="9">
        <f t="shared" si="9"/>
        <v>8.1475766102618188</v>
      </c>
      <c r="AF18" s="9">
        <f>DEGREES((2*PI()/Inputs!$C$13)*Inputs!$C$15*SIN(RADIANS(AE18)))</f>
        <v>51.020376380009324</v>
      </c>
      <c r="AG18" s="9">
        <f t="shared" si="10"/>
        <v>0.96023245746442998</v>
      </c>
      <c r="AH18" s="9">
        <f t="shared" si="11"/>
        <v>-0.17623618238275701</v>
      </c>
      <c r="AI18" s="9">
        <f t="shared" si="12"/>
        <v>0</v>
      </c>
      <c r="AJ18" s="9">
        <f t="shared" si="13"/>
        <v>0</v>
      </c>
      <c r="AK18" s="9">
        <f t="shared" si="14"/>
        <v>0</v>
      </c>
      <c r="AL18" s="9">
        <f>1000*(AA19-AA17)/(A19-A17)*Inputs!$C$11</f>
        <v>-968.46941588614754</v>
      </c>
      <c r="AM18" s="9">
        <f>-2*AL18/Inputs!$C$13</f>
        <v>387.38776635445902</v>
      </c>
      <c r="AN18" s="9">
        <f>-2*AL18/Inputs!$C$14</f>
        <v>58.166331284453314</v>
      </c>
      <c r="AO18" s="9">
        <f t="shared" si="15"/>
        <v>387.38776635445902</v>
      </c>
      <c r="AP18" s="9">
        <f t="shared" si="16"/>
        <v>58.166331284453314</v>
      </c>
      <c r="AQ18" s="9">
        <f>IF(OR(Inputs!$C$27=TRUE,Inputs!$C$27="TRUE",Inputs!$C$27=1),Inputs!$C$46/Inputs!$C$12,0)</f>
        <v>0</v>
      </c>
      <c r="AR18" s="9">
        <f t="shared" si="17"/>
        <v>2308.5826212735265</v>
      </c>
      <c r="AS18" s="9">
        <f t="shared" si="18"/>
        <v>2308.5826212735265</v>
      </c>
    </row>
    <row r="19" spans="1:45">
      <c r="A19" s="9">
        <f>Inputs!$C$7+17*(Inputs!$C$8-Inputs!$C$7)/240</f>
        <v>-51.5</v>
      </c>
      <c r="B19" s="9">
        <f>Inputs!$C$5+Inputs!$C$9*(A19/Inputs!$C$10)^2</f>
        <v>402.94694444444445</v>
      </c>
      <c r="C19" s="9">
        <f t="shared" si="0"/>
        <v>402.94694444444445</v>
      </c>
      <c r="D19" s="9">
        <f>SQRT(A19^2+Inputs!$C$6^2+B19^2)</f>
        <v>406.99323094753578</v>
      </c>
      <c r="E19" s="9">
        <f t="shared" si="1"/>
        <v>4046.2865030913235</v>
      </c>
      <c r="F19" s="9">
        <f>E19/Inputs!$C$12</f>
        <v>2273.1946646580468</v>
      </c>
      <c r="G19" s="9">
        <f>2*E19/Inputs!$C$21*1000000</f>
        <v>26.993917926323039</v>
      </c>
      <c r="H19" s="9">
        <f>SQRT(A19^2+Inputs!$C$6^2)</f>
        <v>57.247270677299539</v>
      </c>
      <c r="I19" s="9">
        <f t="shared" si="2"/>
        <v>8.0859829149192013</v>
      </c>
      <c r="J19" s="9">
        <f>DEGREES((2*PI()/Inputs!$C$13)*Inputs!$C$15*SIN(RADIANS(I19)))</f>
        <v>50.63724867326966</v>
      </c>
      <c r="K19" s="9">
        <f t="shared" si="3"/>
        <v>0.96082152256683018</v>
      </c>
      <c r="L19" s="9">
        <f t="shared" si="4"/>
        <v>-0.17357277225340542</v>
      </c>
      <c r="M19" s="9">
        <f>2*(Inputs!$C$9/(Inputs!$C$10^2))*A19</f>
        <v>-0.11444444444444445</v>
      </c>
      <c r="N19" s="9">
        <f>M19*Inputs!$C$11</f>
        <v>-0.45777777777777778</v>
      </c>
      <c r="O19" s="9">
        <f>1000*((A19*Inputs!$C$11)+(B19*N19))/D19</f>
        <v>-959.37752055747706</v>
      </c>
      <c r="P19" s="9">
        <f>-2*O19/Inputs!$C$13</f>
        <v>383.75100822299083</v>
      </c>
      <c r="Q19" s="9">
        <f>-2*O19/Inputs!$C$14</f>
        <v>57.620271504953578</v>
      </c>
      <c r="R19" s="9">
        <f>F19-Inputs!$C$16/2</f>
        <v>2258.1946646580468</v>
      </c>
      <c r="S19" s="9">
        <f>F19+Inputs!$C$16/2</f>
        <v>2288.1946646580468</v>
      </c>
      <c r="T19" s="9">
        <f>F19-Inputs!$C$17/2</f>
        <v>2123.1946646580468</v>
      </c>
      <c r="U19" s="9">
        <f>F19+Inputs!$C$17/2</f>
        <v>2423.1946646580468</v>
      </c>
      <c r="V19" s="9">
        <f t="shared" si="5"/>
        <v>383.75100822299083</v>
      </c>
      <c r="W19" s="9">
        <f t="shared" si="6"/>
        <v>57.620271504953578</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0</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0</v>
      </c>
      <c r="Z19" s="9">
        <f t="shared" si="7"/>
        <v>402.94694444444445</v>
      </c>
      <c r="AA19" s="9">
        <f>SQRT(A19^2+Inputs!$C$6^2+(B19-Y19/1000)^2)</f>
        <v>406.99323094753578</v>
      </c>
      <c r="AB19" s="9">
        <f t="shared" si="8"/>
        <v>4046.2865030913235</v>
      </c>
      <c r="AC19" s="9">
        <f>AB19/Inputs!$C$12</f>
        <v>2273.1946646580468</v>
      </c>
      <c r="AD19" s="9">
        <f>2*AB19/Inputs!$C$21*1000000</f>
        <v>26.993917926323039</v>
      </c>
      <c r="AE19" s="9">
        <f t="shared" si="9"/>
        <v>8.0859829149192013</v>
      </c>
      <c r="AF19" s="9">
        <f>DEGREES((2*PI()/Inputs!$C$13)*Inputs!$C$15*SIN(RADIANS(AE19)))</f>
        <v>50.63724867326966</v>
      </c>
      <c r="AG19" s="9">
        <f t="shared" si="10"/>
        <v>0.96082152256683018</v>
      </c>
      <c r="AH19" s="9">
        <f t="shared" si="11"/>
        <v>-0.17357277225340542</v>
      </c>
      <c r="AI19" s="9">
        <f t="shared" si="12"/>
        <v>0</v>
      </c>
      <c r="AJ19" s="9">
        <f t="shared" si="13"/>
        <v>0</v>
      </c>
      <c r="AK19" s="9">
        <f t="shared" si="14"/>
        <v>0</v>
      </c>
      <c r="AL19" s="9">
        <f>1000*(AA20-AA18)/(A20-A18)*Inputs!$C$11</f>
        <v>-959.37649290863192</v>
      </c>
      <c r="AM19" s="9">
        <f>-2*AL19/Inputs!$C$13</f>
        <v>383.75059716345277</v>
      </c>
      <c r="AN19" s="9">
        <f>-2*AL19/Inputs!$C$14</f>
        <v>57.620209784302219</v>
      </c>
      <c r="AO19" s="9">
        <f t="shared" si="15"/>
        <v>383.75059716345277</v>
      </c>
      <c r="AP19" s="9">
        <f t="shared" si="16"/>
        <v>57.620209784302219</v>
      </c>
      <c r="AQ19" s="9">
        <f>IF(OR(Inputs!$C$27=TRUE,Inputs!$C$27="TRUE",Inputs!$C$27=1),Inputs!$C$46/Inputs!$C$12,0)</f>
        <v>0</v>
      </c>
      <c r="AR19" s="9">
        <f t="shared" si="17"/>
        <v>2273.1946646580468</v>
      </c>
      <c r="AS19" s="9">
        <f t="shared" si="18"/>
        <v>2273.1946646580468</v>
      </c>
    </row>
    <row r="20" spans="1:45">
      <c r="A20" s="9">
        <f>Inputs!$C$7+18*(Inputs!$C$8-Inputs!$C$7)/240</f>
        <v>-51</v>
      </c>
      <c r="B20" s="9">
        <f>Inputs!$C$5+Inputs!$C$9*(A20/Inputs!$C$10)^2</f>
        <v>402.89</v>
      </c>
      <c r="C20" s="9">
        <f t="shared" si="0"/>
        <v>402.89</v>
      </c>
      <c r="D20" s="9">
        <f>SQRT(A20^2+Inputs!$C$6^2+B20^2)</f>
        <v>406.87387738708418</v>
      </c>
      <c r="E20" s="9">
        <f t="shared" si="1"/>
        <v>3983.8773870841919</v>
      </c>
      <c r="F20" s="9">
        <f>E20/Inputs!$C$12</f>
        <v>2238.133363530445</v>
      </c>
      <c r="G20" s="9">
        <f>2*E20/Inputs!$C$21*1000000</f>
        <v>26.577569120062332</v>
      </c>
      <c r="H20" s="9">
        <f>SQRT(A20^2+Inputs!$C$6^2)</f>
        <v>56.797887284651708</v>
      </c>
      <c r="I20" s="9">
        <f t="shared" si="2"/>
        <v>8.0244580264682188</v>
      </c>
      <c r="J20" s="9">
        <f>DEGREES((2*PI()/Inputs!$C$13)*Inputs!$C$15*SIN(RADIANS(I20)))</f>
        <v>50.25449054086581</v>
      </c>
      <c r="K20" s="9">
        <f t="shared" si="3"/>
        <v>0.96140576405752864</v>
      </c>
      <c r="L20" s="9">
        <f t="shared" si="4"/>
        <v>-0.17093278409916285</v>
      </c>
      <c r="M20" s="9">
        <f>2*(Inputs!$C$9/(Inputs!$C$10^2))*A20</f>
        <v>-0.11333333333333333</v>
      </c>
      <c r="N20" s="9">
        <f>M20*Inputs!$C$11</f>
        <v>-0.45333333333333331</v>
      </c>
      <c r="O20" s="9">
        <f>1000*((A20*Inputs!$C$11)+(B20*N20))/D20</f>
        <v>-950.2784232540663</v>
      </c>
      <c r="P20" s="9">
        <f>-2*O20/Inputs!$C$13</f>
        <v>380.1113693016265</v>
      </c>
      <c r="Q20" s="9">
        <f>-2*O20/Inputs!$C$14</f>
        <v>57.073779174418398</v>
      </c>
      <c r="R20" s="9">
        <f>F20-Inputs!$C$16/2</f>
        <v>2223.133363530445</v>
      </c>
      <c r="S20" s="9">
        <f>F20+Inputs!$C$16/2</f>
        <v>2253.133363530445</v>
      </c>
      <c r="T20" s="9">
        <f>F20-Inputs!$C$17/2</f>
        <v>2088.133363530445</v>
      </c>
      <c r="U20" s="9">
        <f>F20+Inputs!$C$17/2</f>
        <v>2388.133363530445</v>
      </c>
      <c r="V20" s="9">
        <f t="shared" si="5"/>
        <v>380.1113693016265</v>
      </c>
      <c r="W20" s="9">
        <f t="shared" si="6"/>
        <v>57.073779174418398</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0</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0</v>
      </c>
      <c r="Z20" s="9">
        <f t="shared" si="7"/>
        <v>402.89</v>
      </c>
      <c r="AA20" s="9">
        <f>SQRT(A20^2+Inputs!$C$6^2+(B20-Y20/1000)^2)</f>
        <v>406.87387738708418</v>
      </c>
      <c r="AB20" s="9">
        <f t="shared" si="8"/>
        <v>3983.8773870841919</v>
      </c>
      <c r="AC20" s="9">
        <f>AB20/Inputs!$C$12</f>
        <v>2238.133363530445</v>
      </c>
      <c r="AD20" s="9">
        <f>2*AB20/Inputs!$C$21*1000000</f>
        <v>26.577569120062332</v>
      </c>
      <c r="AE20" s="9">
        <f t="shared" si="9"/>
        <v>8.0244580264682188</v>
      </c>
      <c r="AF20" s="9">
        <f>DEGREES((2*PI()/Inputs!$C$13)*Inputs!$C$15*SIN(RADIANS(AE20)))</f>
        <v>50.25449054086581</v>
      </c>
      <c r="AG20" s="9">
        <f t="shared" si="10"/>
        <v>0.96140576405752864</v>
      </c>
      <c r="AH20" s="9">
        <f t="shared" si="11"/>
        <v>-0.17093278409916285</v>
      </c>
      <c r="AI20" s="9">
        <f t="shared" si="12"/>
        <v>0</v>
      </c>
      <c r="AJ20" s="9">
        <f t="shared" si="13"/>
        <v>0</v>
      </c>
      <c r="AK20" s="9">
        <f t="shared" si="14"/>
        <v>0</v>
      </c>
      <c r="AL20" s="9">
        <f>1000*(AA21-AA19)/(A21-A19)*Inputs!$C$11</f>
        <v>-950.27740408659156</v>
      </c>
      <c r="AM20" s="9">
        <f>-2*AL20/Inputs!$C$13</f>
        <v>380.11096163463662</v>
      </c>
      <c r="AN20" s="9">
        <f>-2*AL20/Inputs!$C$14</f>
        <v>57.073717963158657</v>
      </c>
      <c r="AO20" s="9">
        <f t="shared" si="15"/>
        <v>380.11096163463662</v>
      </c>
      <c r="AP20" s="9">
        <f t="shared" si="16"/>
        <v>57.073717963158657</v>
      </c>
      <c r="AQ20" s="9">
        <f>IF(OR(Inputs!$C$27=TRUE,Inputs!$C$27="TRUE",Inputs!$C$27=1),Inputs!$C$46/Inputs!$C$12,0)</f>
        <v>0</v>
      </c>
      <c r="AR20" s="9">
        <f t="shared" si="17"/>
        <v>2238.133363530445</v>
      </c>
      <c r="AS20" s="9">
        <f t="shared" si="18"/>
        <v>2238.133363530445</v>
      </c>
    </row>
    <row r="21" spans="1:45">
      <c r="A21" s="9">
        <f>Inputs!$C$7+19*(Inputs!$C$8-Inputs!$C$7)/240</f>
        <v>-50.5</v>
      </c>
      <c r="B21" s="9">
        <f>Inputs!$C$5+Inputs!$C$9*(A21/Inputs!$C$10)^2</f>
        <v>402.83361111111111</v>
      </c>
      <c r="C21" s="9">
        <f t="shared" si="0"/>
        <v>402.83361111111111</v>
      </c>
      <c r="D21" s="9">
        <f>SQRT(A21^2+Inputs!$C$6^2+B21^2)</f>
        <v>406.75566159651413</v>
      </c>
      <c r="E21" s="9">
        <f t="shared" si="1"/>
        <v>3922.0504854030196</v>
      </c>
      <c r="F21" s="9">
        <f>E21/Inputs!$C$12</f>
        <v>2203.39914910282</v>
      </c>
      <c r="G21" s="9">
        <f>2*E21/Inputs!$C$21*1000000</f>
        <v>26.165104429698626</v>
      </c>
      <c r="H21" s="9">
        <f>SQRT(A21^2+Inputs!$C$6^2)</f>
        <v>56.349356695529366</v>
      </c>
      <c r="I21" s="9">
        <f t="shared" si="2"/>
        <v>7.9630052297803147</v>
      </c>
      <c r="J21" s="9">
        <f>DEGREES((2*PI()/Inputs!$C$13)*Inputs!$C$15*SIN(RADIANS(I21)))</f>
        <v>49.87212305974802</v>
      </c>
      <c r="K21" s="9">
        <f t="shared" si="3"/>
        <v>0.96198515840048304</v>
      </c>
      <c r="L21" s="9">
        <f t="shared" si="4"/>
        <v>-0.16831628247524291</v>
      </c>
      <c r="M21" s="9">
        <f>2*(Inputs!$C$9/(Inputs!$C$10^2))*A21</f>
        <v>-0.11222222222222222</v>
      </c>
      <c r="N21" s="9">
        <f>M21*Inputs!$C$11</f>
        <v>-0.44888888888888889</v>
      </c>
      <c r="O21" s="9">
        <f>1000*((A21*Inputs!$C$11)+(B21*N21))/D21</f>
        <v>-941.17321095462853</v>
      </c>
      <c r="P21" s="9">
        <f>-2*O21/Inputs!$C$13</f>
        <v>376.46928438185142</v>
      </c>
      <c r="Q21" s="9">
        <f>-2*O21/Inputs!$C$14</f>
        <v>56.526919576854574</v>
      </c>
      <c r="R21" s="9">
        <f>F21-Inputs!$C$16/2</f>
        <v>2188.39914910282</v>
      </c>
      <c r="S21" s="9">
        <f>F21+Inputs!$C$16/2</f>
        <v>2218.39914910282</v>
      </c>
      <c r="T21" s="9">
        <f>F21-Inputs!$C$17/2</f>
        <v>2053.39914910282</v>
      </c>
      <c r="U21" s="9">
        <f>F21+Inputs!$C$17/2</f>
        <v>2353.39914910282</v>
      </c>
      <c r="V21" s="9">
        <f t="shared" si="5"/>
        <v>376.46928438185142</v>
      </c>
      <c r="W21" s="9">
        <f t="shared" si="6"/>
        <v>56.526919576854574</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0</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0</v>
      </c>
      <c r="Z21" s="9">
        <f t="shared" si="7"/>
        <v>402.83361111111111</v>
      </c>
      <c r="AA21" s="9">
        <f>SQRT(A21^2+Inputs!$C$6^2+(B21-Y21/1000)^2)</f>
        <v>406.75566159651413</v>
      </c>
      <c r="AB21" s="9">
        <f t="shared" si="8"/>
        <v>3922.0504854030196</v>
      </c>
      <c r="AC21" s="9">
        <f>AB21/Inputs!$C$12</f>
        <v>2203.39914910282</v>
      </c>
      <c r="AD21" s="9">
        <f>2*AB21/Inputs!$C$21*1000000</f>
        <v>26.165104429698626</v>
      </c>
      <c r="AE21" s="9">
        <f t="shared" si="9"/>
        <v>7.9630052297803147</v>
      </c>
      <c r="AF21" s="9">
        <f>DEGREES((2*PI()/Inputs!$C$13)*Inputs!$C$15*SIN(RADIANS(AE21)))</f>
        <v>49.87212305974802</v>
      </c>
      <c r="AG21" s="9">
        <f t="shared" si="10"/>
        <v>0.96198515840048304</v>
      </c>
      <c r="AH21" s="9">
        <f t="shared" si="11"/>
        <v>-0.16831628247524291</v>
      </c>
      <c r="AI21" s="9">
        <f t="shared" si="12"/>
        <v>0</v>
      </c>
      <c r="AJ21" s="9">
        <f t="shared" si="13"/>
        <v>0</v>
      </c>
      <c r="AK21" s="9">
        <f t="shared" si="14"/>
        <v>0</v>
      </c>
      <c r="AL21" s="9">
        <f>1000*(AA22-AA20)/(A22-A20)*Inputs!$C$11</f>
        <v>-941.17220030966564</v>
      </c>
      <c r="AM21" s="9">
        <f>-2*AL21/Inputs!$C$13</f>
        <v>376.46888012386626</v>
      </c>
      <c r="AN21" s="9">
        <f>-2*AL21/Inputs!$C$14</f>
        <v>56.5268588774574</v>
      </c>
      <c r="AO21" s="9">
        <f t="shared" si="15"/>
        <v>376.46888012386626</v>
      </c>
      <c r="AP21" s="9">
        <f t="shared" si="16"/>
        <v>56.5268588774574</v>
      </c>
      <c r="AQ21" s="9">
        <f>IF(OR(Inputs!$C$27=TRUE,Inputs!$C$27="TRUE",Inputs!$C$27=1),Inputs!$C$46/Inputs!$C$12,0)</f>
        <v>0</v>
      </c>
      <c r="AR21" s="9">
        <f t="shared" si="17"/>
        <v>2203.39914910282</v>
      </c>
      <c r="AS21" s="9">
        <f t="shared" si="18"/>
        <v>2203.39914910282</v>
      </c>
    </row>
    <row r="22" spans="1:45">
      <c r="A22" s="9">
        <f>Inputs!$C$7+20*(Inputs!$C$8-Inputs!$C$7)/240</f>
        <v>-50</v>
      </c>
      <c r="B22" s="9">
        <f>Inputs!$C$5+Inputs!$C$9*(A22/Inputs!$C$10)^2</f>
        <v>402.77777777777777</v>
      </c>
      <c r="C22" s="9">
        <f t="shared" si="0"/>
        <v>402.77777777777777</v>
      </c>
      <c r="D22" s="9">
        <f>SQRT(A22^2+Inputs!$C$6^2+B22^2)</f>
        <v>406.63858433700676</v>
      </c>
      <c r="E22" s="9">
        <f t="shared" si="1"/>
        <v>3860.8065592289904</v>
      </c>
      <c r="F22" s="9">
        <f>E22/Inputs!$C$12</f>
        <v>2168.9924490050507</v>
      </c>
      <c r="G22" s="9">
        <f>2*E22/Inputs!$C$21*1000000</f>
        <v>25.756528933286177</v>
      </c>
      <c r="H22" s="9">
        <f>SQRT(A22^2+Inputs!$C$6^2)</f>
        <v>55.901699437494742</v>
      </c>
      <c r="I22" s="9">
        <f t="shared" si="2"/>
        <v>7.9016278972643068</v>
      </c>
      <c r="J22" s="9">
        <f>DEGREES((2*PI()/Inputs!$C$13)*Inputs!$C$15*SIN(RADIANS(I22)))</f>
        <v>49.490167860754674</v>
      </c>
      <c r="K22" s="9">
        <f t="shared" si="3"/>
        <v>0.96255968220877342</v>
      </c>
      <c r="L22" s="9">
        <f t="shared" si="4"/>
        <v>-0.16572333143757845</v>
      </c>
      <c r="M22" s="9">
        <f>2*(Inputs!$C$9/(Inputs!$C$10^2))*A22</f>
        <v>-0.1111111111111111</v>
      </c>
      <c r="N22" s="9">
        <f>M22*Inputs!$C$11</f>
        <v>-0.44444444444444442</v>
      </c>
      <c r="O22" s="9">
        <f>1000*((A22*Inputs!$C$11)+(B22*N22))/D22</f>
        <v>-932.061934793923</v>
      </c>
      <c r="P22" s="9">
        <f>-2*O22/Inputs!$C$13</f>
        <v>372.82477391756919</v>
      </c>
      <c r="Q22" s="9">
        <f>-2*O22/Inputs!$C$14</f>
        <v>55.979695783418805</v>
      </c>
      <c r="R22" s="9">
        <f>F22-Inputs!$C$16/2</f>
        <v>2153.9924490050507</v>
      </c>
      <c r="S22" s="9">
        <f>F22+Inputs!$C$16/2</f>
        <v>2183.9924490050507</v>
      </c>
      <c r="T22" s="9">
        <f>F22-Inputs!$C$17/2</f>
        <v>2018.9924490050507</v>
      </c>
      <c r="U22" s="9">
        <f>F22+Inputs!$C$17/2</f>
        <v>2318.9924490050507</v>
      </c>
      <c r="V22" s="9">
        <f t="shared" si="5"/>
        <v>372.82477391756919</v>
      </c>
      <c r="W22" s="9">
        <f t="shared" si="6"/>
        <v>55.979695783418805</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0</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0</v>
      </c>
      <c r="Z22" s="9">
        <f t="shared" si="7"/>
        <v>402.77777777777777</v>
      </c>
      <c r="AA22" s="9">
        <f>SQRT(A22^2+Inputs!$C$6^2+(B22-Y22/1000)^2)</f>
        <v>406.63858433700676</v>
      </c>
      <c r="AB22" s="9">
        <f t="shared" si="8"/>
        <v>3860.8065592289904</v>
      </c>
      <c r="AC22" s="9">
        <f>AB22/Inputs!$C$12</f>
        <v>2168.9924490050507</v>
      </c>
      <c r="AD22" s="9">
        <f>2*AB22/Inputs!$C$21*1000000</f>
        <v>25.756528933286177</v>
      </c>
      <c r="AE22" s="9">
        <f t="shared" si="9"/>
        <v>7.9016278972643068</v>
      </c>
      <c r="AF22" s="9">
        <f>DEGREES((2*PI()/Inputs!$C$13)*Inputs!$C$15*SIN(RADIANS(AE22)))</f>
        <v>49.490167860754674</v>
      </c>
      <c r="AG22" s="9">
        <f t="shared" si="10"/>
        <v>0.96255968220877342</v>
      </c>
      <c r="AH22" s="9">
        <f t="shared" si="11"/>
        <v>-0.16572333143757845</v>
      </c>
      <c r="AI22" s="9">
        <f t="shared" si="12"/>
        <v>0</v>
      </c>
      <c r="AJ22" s="9">
        <f t="shared" si="13"/>
        <v>0</v>
      </c>
      <c r="AK22" s="9">
        <f t="shared" si="14"/>
        <v>0</v>
      </c>
      <c r="AL22" s="9">
        <f>1000*(AA23-AA21)/(A23-A21)*Inputs!$C$11</f>
        <v>-932.06093271214741</v>
      </c>
      <c r="AM22" s="9">
        <f>-2*AL22/Inputs!$C$13</f>
        <v>372.82437308485896</v>
      </c>
      <c r="AN22" s="9">
        <f>-2*AL22/Inputs!$C$14</f>
        <v>55.979635598327178</v>
      </c>
      <c r="AO22" s="9">
        <f t="shared" si="15"/>
        <v>372.82437308485896</v>
      </c>
      <c r="AP22" s="9">
        <f t="shared" si="16"/>
        <v>55.979635598327178</v>
      </c>
      <c r="AQ22" s="9">
        <f>IF(OR(Inputs!$C$27=TRUE,Inputs!$C$27="TRUE",Inputs!$C$27=1),Inputs!$C$46/Inputs!$C$12,0)</f>
        <v>0</v>
      </c>
      <c r="AR22" s="9">
        <f t="shared" si="17"/>
        <v>2168.9924490050507</v>
      </c>
      <c r="AS22" s="9">
        <f t="shared" si="18"/>
        <v>2168.9924490050507</v>
      </c>
    </row>
    <row r="23" spans="1:45">
      <c r="A23" s="9">
        <f>Inputs!$C$7+21*(Inputs!$C$8-Inputs!$C$7)/240</f>
        <v>-49.5</v>
      </c>
      <c r="B23" s="9">
        <f>Inputs!$C$5+Inputs!$C$9*(A23/Inputs!$C$10)^2</f>
        <v>402.72250000000003</v>
      </c>
      <c r="C23" s="9">
        <f t="shared" si="0"/>
        <v>402.72250000000003</v>
      </c>
      <c r="D23" s="9">
        <f>SQRT(A23^2+Inputs!$C$6^2+B23^2)</f>
        <v>406.52264636333609</v>
      </c>
      <c r="E23" s="9">
        <f t="shared" si="1"/>
        <v>3800.1463633360686</v>
      </c>
      <c r="F23" s="9">
        <f>E23/Inputs!$C$12</f>
        <v>2134.9136872674544</v>
      </c>
      <c r="G23" s="9">
        <f>2*E23/Inputs!$C$21*1000000</f>
        <v>25.351847666134873</v>
      </c>
      <c r="H23" s="9">
        <f>SQRT(A23^2+Inputs!$C$6^2)</f>
        <v>55.454936660319071</v>
      </c>
      <c r="I23" s="9">
        <f t="shared" si="2"/>
        <v>7.8403294918744804</v>
      </c>
      <c r="J23" s="9">
        <f>DEGREES((2*PI()/Inputs!$C$13)*Inputs!$C$15*SIN(RADIANS(I23)))</f>
        <v>49.108647147475075</v>
      </c>
      <c r="K23" s="9">
        <f t="shared" si="3"/>
        <v>0.96312931224668208</v>
      </c>
      <c r="L23" s="9">
        <f t="shared" si="4"/>
        <v>-0.16315399453927437</v>
      </c>
      <c r="M23" s="9">
        <f>2*(Inputs!$C$9/(Inputs!$C$10^2))*A23</f>
        <v>-0.11</v>
      </c>
      <c r="N23" s="9">
        <f>M23*Inputs!$C$11</f>
        <v>-0.44</v>
      </c>
      <c r="O23" s="9">
        <f>1000*((A23*Inputs!$C$11)+(B23*N23))/D23</f>
        <v>-922.94464615056381</v>
      </c>
      <c r="P23" s="9">
        <f>-2*O23/Inputs!$C$13</f>
        <v>369.17785846022554</v>
      </c>
      <c r="Q23" s="9">
        <f>-2*O23/Inputs!$C$14</f>
        <v>55.432110879913751</v>
      </c>
      <c r="R23" s="9">
        <f>F23-Inputs!$C$16/2</f>
        <v>2119.9136872674544</v>
      </c>
      <c r="S23" s="9">
        <f>F23+Inputs!$C$16/2</f>
        <v>2149.9136872674544</v>
      </c>
      <c r="T23" s="9">
        <f>F23-Inputs!$C$17/2</f>
        <v>1984.9136872674544</v>
      </c>
      <c r="U23" s="9">
        <f>F23+Inputs!$C$17/2</f>
        <v>2284.9136872674544</v>
      </c>
      <c r="V23" s="9">
        <f t="shared" si="5"/>
        <v>369.17785846022554</v>
      </c>
      <c r="W23" s="9">
        <f t="shared" si="6"/>
        <v>55.432110879913751</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0</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0</v>
      </c>
      <c r="Z23" s="9">
        <f t="shared" si="7"/>
        <v>402.72250000000003</v>
      </c>
      <c r="AA23" s="9">
        <f>SQRT(A23^2+Inputs!$C$6^2+(B23-Y23/1000)^2)</f>
        <v>406.52264636333609</v>
      </c>
      <c r="AB23" s="9">
        <f t="shared" si="8"/>
        <v>3800.1463633360686</v>
      </c>
      <c r="AC23" s="9">
        <f>AB23/Inputs!$C$12</f>
        <v>2134.9136872674544</v>
      </c>
      <c r="AD23" s="9">
        <f>2*AB23/Inputs!$C$21*1000000</f>
        <v>25.351847666134873</v>
      </c>
      <c r="AE23" s="9">
        <f t="shared" si="9"/>
        <v>7.8403294918744804</v>
      </c>
      <c r="AF23" s="9">
        <f>DEGREES((2*PI()/Inputs!$C$13)*Inputs!$C$15*SIN(RADIANS(AE23)))</f>
        <v>49.108647147475075</v>
      </c>
      <c r="AG23" s="9">
        <f t="shared" si="10"/>
        <v>0.96312931224668208</v>
      </c>
      <c r="AH23" s="9">
        <f t="shared" si="11"/>
        <v>-0.16315399453927437</v>
      </c>
      <c r="AI23" s="9">
        <f t="shared" si="12"/>
        <v>0</v>
      </c>
      <c r="AJ23" s="9">
        <f t="shared" si="13"/>
        <v>0</v>
      </c>
      <c r="AK23" s="9">
        <f t="shared" si="14"/>
        <v>0</v>
      </c>
      <c r="AL23" s="9">
        <f>1000*(AA24-AA22)/(A24-A22)*Inputs!$C$11</f>
        <v>-922.94365267252942</v>
      </c>
      <c r="AM23" s="9">
        <f>-2*AL23/Inputs!$C$13</f>
        <v>369.17746106901177</v>
      </c>
      <c r="AN23" s="9">
        <f>-2*AL23/Inputs!$C$14</f>
        <v>55.432051211563333</v>
      </c>
      <c r="AO23" s="9">
        <f t="shared" si="15"/>
        <v>369.17746106901177</v>
      </c>
      <c r="AP23" s="9">
        <f t="shared" si="16"/>
        <v>55.432051211563333</v>
      </c>
      <c r="AQ23" s="9">
        <f>IF(OR(Inputs!$C$27=TRUE,Inputs!$C$27="TRUE",Inputs!$C$27=1),Inputs!$C$46/Inputs!$C$12,0)</f>
        <v>0</v>
      </c>
      <c r="AR23" s="9">
        <f t="shared" si="17"/>
        <v>2134.9136872674544</v>
      </c>
      <c r="AS23" s="9">
        <f t="shared" si="18"/>
        <v>2134.9136872674544</v>
      </c>
    </row>
    <row r="24" spans="1:45">
      <c r="A24" s="9">
        <f>Inputs!$C$7+22*(Inputs!$C$8-Inputs!$C$7)/240</f>
        <v>-49</v>
      </c>
      <c r="B24" s="9">
        <f>Inputs!$C$5+Inputs!$C$9*(A24/Inputs!$C$10)^2</f>
        <v>402.66777777777776</v>
      </c>
      <c r="C24" s="9">
        <f t="shared" si="0"/>
        <v>402.66777777777776</v>
      </c>
      <c r="D24" s="9">
        <f>SQRT(A24^2+Inputs!$C$6^2+B24^2)</f>
        <v>406.40784842383863</v>
      </c>
      <c r="E24" s="9">
        <f t="shared" si="1"/>
        <v>3740.0706460608717</v>
      </c>
      <c r="F24" s="9">
        <f>E24/Inputs!$C$12</f>
        <v>2101.1632843038606</v>
      </c>
      <c r="G24" s="9">
        <f>2*E24/Inputs!$C$21*1000000</f>
        <v>24.951065620609253</v>
      </c>
      <c r="H24" s="9">
        <f>SQRT(A24^2+Inputs!$C$6^2)</f>
        <v>55.009090157900268</v>
      </c>
      <c r="I24" s="9">
        <f t="shared" si="2"/>
        <v>7.7791135702335419</v>
      </c>
      <c r="J24" s="9">
        <f>DEGREES((2*PI()/Inputs!$C$13)*Inputs!$C$15*SIN(RADIANS(I24)))</f>
        <v>48.727583715832836</v>
      </c>
      <c r="K24" s="9">
        <f t="shared" si="3"/>
        <v>0.96369402543176241</v>
      </c>
      <c r="L24" s="9">
        <f t="shared" si="4"/>
        <v>-0.16060833482709827</v>
      </c>
      <c r="M24" s="9">
        <f>2*(Inputs!$C$9/(Inputs!$C$10^2))*A24</f>
        <v>-0.10888888888888888</v>
      </c>
      <c r="N24" s="9">
        <f>M24*Inputs!$C$11</f>
        <v>-0.43555555555555553</v>
      </c>
      <c r="O24" s="9">
        <f>1000*((A24*Inputs!$C$11)+(B24*N24))/D24</f>
        <v>-913.82139664539193</v>
      </c>
      <c r="P24" s="9">
        <f>-2*O24/Inputs!$C$13</f>
        <v>365.52855865815678</v>
      </c>
      <c r="Q24" s="9">
        <f>-2*O24/Inputs!$C$14</f>
        <v>54.884167966690214</v>
      </c>
      <c r="R24" s="9">
        <f>F24-Inputs!$C$16/2</f>
        <v>2086.1632843038606</v>
      </c>
      <c r="S24" s="9">
        <f>F24+Inputs!$C$16/2</f>
        <v>2116.1632843038606</v>
      </c>
      <c r="T24" s="9">
        <f>F24-Inputs!$C$17/2</f>
        <v>1951.1632843038606</v>
      </c>
      <c r="U24" s="9">
        <f>F24+Inputs!$C$17/2</f>
        <v>2251.1632843038606</v>
      </c>
      <c r="V24" s="9">
        <f t="shared" si="5"/>
        <v>365.52855865815678</v>
      </c>
      <c r="W24" s="9">
        <f t="shared" si="6"/>
        <v>54.884167966690214</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0</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0</v>
      </c>
      <c r="Z24" s="9">
        <f t="shared" si="7"/>
        <v>402.66777777777776</v>
      </c>
      <c r="AA24" s="9">
        <f>SQRT(A24^2+Inputs!$C$6^2+(B24-Y24/1000)^2)</f>
        <v>406.40784842383863</v>
      </c>
      <c r="AB24" s="9">
        <f t="shared" si="8"/>
        <v>3740.0706460608717</v>
      </c>
      <c r="AC24" s="9">
        <f>AB24/Inputs!$C$12</f>
        <v>2101.1632843038606</v>
      </c>
      <c r="AD24" s="9">
        <f>2*AB24/Inputs!$C$21*1000000</f>
        <v>24.951065620609253</v>
      </c>
      <c r="AE24" s="9">
        <f t="shared" si="9"/>
        <v>7.7791135702335419</v>
      </c>
      <c r="AF24" s="9">
        <f>DEGREES((2*PI()/Inputs!$C$13)*Inputs!$C$15*SIN(RADIANS(AE24)))</f>
        <v>48.727583715832836</v>
      </c>
      <c r="AG24" s="9">
        <f t="shared" si="10"/>
        <v>0.96369402543176241</v>
      </c>
      <c r="AH24" s="9">
        <f t="shared" si="11"/>
        <v>-0.16060833482709827</v>
      </c>
      <c r="AI24" s="9">
        <f t="shared" si="12"/>
        <v>0</v>
      </c>
      <c r="AJ24" s="9">
        <f t="shared" si="13"/>
        <v>0</v>
      </c>
      <c r="AK24" s="9">
        <f t="shared" si="14"/>
        <v>0</v>
      </c>
      <c r="AL24" s="9">
        <f>1000*(AA25-AA23)/(A25-A23)*Inputs!$C$11</f>
        <v>-913.82041181077511</v>
      </c>
      <c r="AM24" s="9">
        <f>-2*AL24/Inputs!$C$13</f>
        <v>365.52816472431005</v>
      </c>
      <c r="AN24" s="9">
        <f>-2*AL24/Inputs!$C$14</f>
        <v>54.884108817463975</v>
      </c>
      <c r="AO24" s="9">
        <f t="shared" si="15"/>
        <v>365.52816472431005</v>
      </c>
      <c r="AP24" s="9">
        <f t="shared" si="16"/>
        <v>54.884108817463975</v>
      </c>
      <c r="AQ24" s="9">
        <f>IF(OR(Inputs!$C$27=TRUE,Inputs!$C$27="TRUE",Inputs!$C$27=1),Inputs!$C$46/Inputs!$C$12,0)</f>
        <v>0</v>
      </c>
      <c r="AR24" s="9">
        <f t="shared" si="17"/>
        <v>2101.1632843038606</v>
      </c>
      <c r="AS24" s="9">
        <f t="shared" si="18"/>
        <v>2101.1632843038606</v>
      </c>
    </row>
    <row r="25" spans="1:45">
      <c r="A25" s="9">
        <f>Inputs!$C$7+23*(Inputs!$C$8-Inputs!$C$7)/240</f>
        <v>-48.5</v>
      </c>
      <c r="B25" s="9">
        <f>Inputs!$C$5+Inputs!$C$9*(A25/Inputs!$C$10)^2</f>
        <v>402.61361111111108</v>
      </c>
      <c r="C25" s="9">
        <f t="shared" si="0"/>
        <v>402.61361111111108</v>
      </c>
      <c r="D25" s="9">
        <f>SQRT(A25^2+Inputs!$C$6^2+B25^2)</f>
        <v>406.2941912603834</v>
      </c>
      <c r="E25" s="9">
        <f t="shared" si="1"/>
        <v>3680.5801492723162</v>
      </c>
      <c r="F25" s="9">
        <f>E25/Inputs!$C$12</f>
        <v>2067.7416568945596</v>
      </c>
      <c r="G25" s="9">
        <f>2*E25/Inputs!$C$21*1000000</f>
        <v>24.554187745925994</v>
      </c>
      <c r="H25" s="9">
        <f>SQRT(A25^2+Inputs!$C$6^2)</f>
        <v>54.564182391015443</v>
      </c>
      <c r="I25" s="9">
        <f t="shared" si="2"/>
        <v>7.7179837858747007</v>
      </c>
      <c r="J25" s="9">
        <f>DEGREES((2*PI()/Inputs!$C$13)*Inputs!$C$15*SIN(RADIANS(I25)))</f>
        <v>48.347000974416595</v>
      </c>
      <c r="K25" s="9">
        <f t="shared" si="3"/>
        <v>0.96425379883690199</v>
      </c>
      <c r="L25" s="9">
        <f t="shared" si="4"/>
        <v>-0.15808641483798319</v>
      </c>
      <c r="M25" s="9">
        <f>2*(Inputs!$C$9/(Inputs!$C$10^2))*A25</f>
        <v>-0.10777777777777778</v>
      </c>
      <c r="N25" s="9">
        <f>M25*Inputs!$C$11</f>
        <v>-0.43111111111111111</v>
      </c>
      <c r="O25" s="9">
        <f>1000*((A25*Inputs!$C$11)+(B25*N25))/D25</f>
        <v>-904.69223813982865</v>
      </c>
      <c r="P25" s="9">
        <f>-2*O25/Inputs!$C$13</f>
        <v>361.87689525593146</v>
      </c>
      <c r="Q25" s="9">
        <f>-2*O25/Inputs!$C$14</f>
        <v>54.335870158548275</v>
      </c>
      <c r="R25" s="9">
        <f>F25-Inputs!$C$16/2</f>
        <v>2052.7416568945596</v>
      </c>
      <c r="S25" s="9">
        <f>F25+Inputs!$C$16/2</f>
        <v>2082.7416568945596</v>
      </c>
      <c r="T25" s="9">
        <f>F25-Inputs!$C$17/2</f>
        <v>1917.7416568945596</v>
      </c>
      <c r="U25" s="9">
        <f>F25+Inputs!$C$17/2</f>
        <v>2217.7416568945596</v>
      </c>
      <c r="V25" s="9">
        <f t="shared" si="5"/>
        <v>361.87689525593146</v>
      </c>
      <c r="W25" s="9">
        <f t="shared" si="6"/>
        <v>54.335870158548275</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0</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0</v>
      </c>
      <c r="Z25" s="9">
        <f t="shared" si="7"/>
        <v>402.61361111111108</v>
      </c>
      <c r="AA25" s="9">
        <f>SQRT(A25^2+Inputs!$C$6^2+(B25-Y25/1000)^2)</f>
        <v>406.2941912603834</v>
      </c>
      <c r="AB25" s="9">
        <f t="shared" si="8"/>
        <v>3680.5801492723162</v>
      </c>
      <c r="AC25" s="9">
        <f>AB25/Inputs!$C$12</f>
        <v>2067.7416568945596</v>
      </c>
      <c r="AD25" s="9">
        <f>2*AB25/Inputs!$C$21*1000000</f>
        <v>24.554187745925994</v>
      </c>
      <c r="AE25" s="9">
        <f t="shared" si="9"/>
        <v>7.7179837858747007</v>
      </c>
      <c r="AF25" s="9">
        <f>DEGREES((2*PI()/Inputs!$C$13)*Inputs!$C$15*SIN(RADIANS(AE25)))</f>
        <v>48.347000974416595</v>
      </c>
      <c r="AG25" s="9">
        <f t="shared" si="10"/>
        <v>0.96425379883690199</v>
      </c>
      <c r="AH25" s="9">
        <f t="shared" si="11"/>
        <v>-0.15808641483798319</v>
      </c>
      <c r="AI25" s="9">
        <f t="shared" si="12"/>
        <v>0</v>
      </c>
      <c r="AJ25" s="9">
        <f t="shared" si="13"/>
        <v>0</v>
      </c>
      <c r="AK25" s="9">
        <f t="shared" si="14"/>
        <v>0</v>
      </c>
      <c r="AL25" s="9">
        <f>1000*(AA26-AA24)/(A26-A24)*Inputs!$C$11</f>
        <v>-904.69126198831873</v>
      </c>
      <c r="AM25" s="9">
        <f>-2*AL25/Inputs!$C$13</f>
        <v>361.87650479532749</v>
      </c>
      <c r="AN25" s="9">
        <f>-2*AL25/Inputs!$C$14</f>
        <v>54.335811530829957</v>
      </c>
      <c r="AO25" s="9">
        <f t="shared" si="15"/>
        <v>361.87650479532749</v>
      </c>
      <c r="AP25" s="9">
        <f t="shared" si="16"/>
        <v>54.335811530829957</v>
      </c>
      <c r="AQ25" s="9">
        <f>IF(OR(Inputs!$C$27=TRUE,Inputs!$C$27="TRUE",Inputs!$C$27=1),Inputs!$C$46/Inputs!$C$12,0)</f>
        <v>0</v>
      </c>
      <c r="AR25" s="9">
        <f t="shared" si="17"/>
        <v>2067.7416568945596</v>
      </c>
      <c r="AS25" s="9">
        <f t="shared" si="18"/>
        <v>2067.7416568945596</v>
      </c>
    </row>
    <row r="26" spans="1:45">
      <c r="A26" s="9">
        <f>Inputs!$C$7+24*(Inputs!$C$8-Inputs!$C$7)/240</f>
        <v>-48</v>
      </c>
      <c r="B26" s="9">
        <f>Inputs!$C$5+Inputs!$C$9*(A26/Inputs!$C$10)^2</f>
        <v>402.56</v>
      </c>
      <c r="C26" s="9">
        <f t="shared" si="0"/>
        <v>402.56</v>
      </c>
      <c r="D26" s="9">
        <f>SQRT(A26^2+Inputs!$C$6^2+B26^2)</f>
        <v>406.18167560834155</v>
      </c>
      <c r="E26" s="9">
        <f t="shared" si="1"/>
        <v>3621.6756083415476</v>
      </c>
      <c r="F26" s="9">
        <f>E26/Inputs!$C$12</f>
        <v>2034.6492181694086</v>
      </c>
      <c r="G26" s="9">
        <f>2*E26/Inputs!$C$21*1000000</f>
        <v>24.161218947953305</v>
      </c>
      <c r="H26" s="9">
        <f>SQRT(A26^2+Inputs!$C$6^2)</f>
        <v>54.120236510939236</v>
      </c>
      <c r="I26" s="9">
        <f t="shared" si="2"/>
        <v>7.6569438926073863</v>
      </c>
      <c r="J26" s="9">
        <f>DEGREES((2*PI()/Inputs!$C$13)*Inputs!$C$15*SIN(RADIANS(I26)))</f>
        <v>47.966922965586392</v>
      </c>
      <c r="K26" s="9">
        <f t="shared" si="3"/>
        <v>0.96480860969237814</v>
      </c>
      <c r="L26" s="9">
        <f t="shared" si="4"/>
        <v>-0.15558829659555012</v>
      </c>
      <c r="M26" s="9">
        <f>2*(Inputs!$C$9/(Inputs!$C$10^2))*A26</f>
        <v>-0.10666666666666666</v>
      </c>
      <c r="N26" s="9">
        <f>M26*Inputs!$C$11</f>
        <v>-0.42666666666666664</v>
      </c>
      <c r="O26" s="9">
        <f>1000*((A26*Inputs!$C$11)+(B26*N26))/D26</f>
        <v>-895.55722273420781</v>
      </c>
      <c r="P26" s="9">
        <f>-2*O26/Inputs!$C$13</f>
        <v>358.22288909368314</v>
      </c>
      <c r="Q26" s="9">
        <f>-2*O26/Inputs!$C$14</f>
        <v>53.787220584637112</v>
      </c>
      <c r="R26" s="9">
        <f>F26-Inputs!$C$16/2</f>
        <v>2019.6492181694086</v>
      </c>
      <c r="S26" s="9">
        <f>F26+Inputs!$C$16/2</f>
        <v>2049.6492181694084</v>
      </c>
      <c r="T26" s="9">
        <f>F26-Inputs!$C$17/2</f>
        <v>1884.6492181694086</v>
      </c>
      <c r="U26" s="9">
        <f>F26+Inputs!$C$17/2</f>
        <v>2184.6492181694084</v>
      </c>
      <c r="V26" s="9">
        <f t="shared" si="5"/>
        <v>358.22288909368314</v>
      </c>
      <c r="W26" s="9">
        <f t="shared" si="6"/>
        <v>53.787220584637112</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0</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0</v>
      </c>
      <c r="Z26" s="9">
        <f t="shared" si="7"/>
        <v>402.56</v>
      </c>
      <c r="AA26" s="9">
        <f>SQRT(A26^2+Inputs!$C$6^2+(B26-Y26/1000)^2)</f>
        <v>406.18167560834155</v>
      </c>
      <c r="AB26" s="9">
        <f t="shared" si="8"/>
        <v>3621.6756083415476</v>
      </c>
      <c r="AC26" s="9">
        <f>AB26/Inputs!$C$12</f>
        <v>2034.6492181694086</v>
      </c>
      <c r="AD26" s="9">
        <f>2*AB26/Inputs!$C$21*1000000</f>
        <v>24.161218947953305</v>
      </c>
      <c r="AE26" s="9">
        <f t="shared" si="9"/>
        <v>7.6569438926073863</v>
      </c>
      <c r="AF26" s="9">
        <f>DEGREES((2*PI()/Inputs!$C$13)*Inputs!$C$15*SIN(RADIANS(AE26)))</f>
        <v>47.966922965586392</v>
      </c>
      <c r="AG26" s="9">
        <f t="shared" si="10"/>
        <v>0.96480860969237814</v>
      </c>
      <c r="AH26" s="9">
        <f t="shared" si="11"/>
        <v>-0.15558829659555012</v>
      </c>
      <c r="AI26" s="9">
        <f t="shared" si="12"/>
        <v>0</v>
      </c>
      <c r="AJ26" s="9">
        <f t="shared" si="13"/>
        <v>0</v>
      </c>
      <c r="AK26" s="9">
        <f t="shared" si="14"/>
        <v>0</v>
      </c>
      <c r="AL26" s="9">
        <f>1000*(AA27-AA25)/(A27-A25)*Inputs!$C$11</f>
        <v>-895.55625530579164</v>
      </c>
      <c r="AM26" s="9">
        <f>-2*AL26/Inputs!$C$13</f>
        <v>358.22250212231666</v>
      </c>
      <c r="AN26" s="9">
        <f>-2*AL26/Inputs!$C$14</f>
        <v>53.787162480828329</v>
      </c>
      <c r="AO26" s="9">
        <f t="shared" si="15"/>
        <v>358.22250212231666</v>
      </c>
      <c r="AP26" s="9">
        <f t="shared" si="16"/>
        <v>53.787162480828329</v>
      </c>
      <c r="AQ26" s="9">
        <f>IF(OR(Inputs!$C$27=TRUE,Inputs!$C$27="TRUE",Inputs!$C$27=1),Inputs!$C$46/Inputs!$C$12,0)</f>
        <v>0</v>
      </c>
      <c r="AR26" s="9">
        <f t="shared" si="17"/>
        <v>2034.6492181694086</v>
      </c>
      <c r="AS26" s="9">
        <f t="shared" si="18"/>
        <v>2034.6492181694086</v>
      </c>
    </row>
    <row r="27" spans="1:45">
      <c r="A27" s="9">
        <f>Inputs!$C$7+25*(Inputs!$C$8-Inputs!$C$7)/240</f>
        <v>-47.5</v>
      </c>
      <c r="B27" s="9">
        <f>Inputs!$C$5+Inputs!$C$9*(A27/Inputs!$C$10)^2</f>
        <v>402.50694444444446</v>
      </c>
      <c r="C27" s="9">
        <f t="shared" si="0"/>
        <v>402.50694444444446</v>
      </c>
      <c r="D27" s="9">
        <f>SQRT(A27^2+Inputs!$C$6^2+B27^2)</f>
        <v>406.07030219655695</v>
      </c>
      <c r="E27" s="9">
        <f t="shared" si="1"/>
        <v>3563.3577521124948</v>
      </c>
      <c r="F27" s="9">
        <f>E27/Inputs!$C$12</f>
        <v>2001.8863775912891</v>
      </c>
      <c r="G27" s="9">
        <f>2*E27/Inputs!$C$21*1000000</f>
        <v>23.772164089014506</v>
      </c>
      <c r="H27" s="9">
        <f>SQRT(A27^2+Inputs!$C$6^2)</f>
        <v>53.677276383959722</v>
      </c>
      <c r="I27" s="9">
        <f t="shared" si="2"/>
        <v>7.595997748011027</v>
      </c>
      <c r="J27" s="9">
        <f>DEGREES((2*PI()/Inputs!$C$13)*Inputs!$C$15*SIN(RADIANS(I27)))</f>
        <v>47.587374387383477</v>
      </c>
      <c r="K27" s="9">
        <f t="shared" si="3"/>
        <v>0.96535843538790245</v>
      </c>
      <c r="L27" s="9">
        <f t="shared" si="4"/>
        <v>-0.15311404160666506</v>
      </c>
      <c r="M27" s="9">
        <f>2*(Inputs!$C$9/(Inputs!$C$10^2))*A27</f>
        <v>-0.10555555555555556</v>
      </c>
      <c r="N27" s="9">
        <f>M27*Inputs!$C$11</f>
        <v>-0.42222222222222222</v>
      </c>
      <c r="O27" s="9">
        <f>1000*((A27*Inputs!$C$11)+(B27*N27))/D27</f>
        <v>-886.416402766087</v>
      </c>
      <c r="P27" s="9">
        <f>-2*O27/Inputs!$C$13</f>
        <v>354.56656110643479</v>
      </c>
      <c r="Q27" s="9">
        <f>-2*O27/Inputs!$C$14</f>
        <v>53.238222388353577</v>
      </c>
      <c r="R27" s="9">
        <f>F27-Inputs!$C$16/2</f>
        <v>1986.8863775912891</v>
      </c>
      <c r="S27" s="9">
        <f>F27+Inputs!$C$16/2</f>
        <v>2016.8863775912891</v>
      </c>
      <c r="T27" s="9">
        <f>F27-Inputs!$C$17/2</f>
        <v>1851.8863775912891</v>
      </c>
      <c r="U27" s="9">
        <f>F27+Inputs!$C$17/2</f>
        <v>2151.8863775912891</v>
      </c>
      <c r="V27" s="9">
        <f t="shared" si="5"/>
        <v>354.56656110643479</v>
      </c>
      <c r="W27" s="9">
        <f t="shared" si="6"/>
        <v>53.238222388353577</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0</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0</v>
      </c>
      <c r="Z27" s="9">
        <f t="shared" si="7"/>
        <v>402.50694444444446</v>
      </c>
      <c r="AA27" s="9">
        <f>SQRT(A27^2+Inputs!$C$6^2+(B27-Y27/1000)^2)</f>
        <v>406.07030219655695</v>
      </c>
      <c r="AB27" s="9">
        <f t="shared" si="8"/>
        <v>3563.3577521124948</v>
      </c>
      <c r="AC27" s="9">
        <f>AB27/Inputs!$C$12</f>
        <v>2001.8863775912891</v>
      </c>
      <c r="AD27" s="9">
        <f>2*AB27/Inputs!$C$21*1000000</f>
        <v>23.772164089014506</v>
      </c>
      <c r="AE27" s="9">
        <f t="shared" si="9"/>
        <v>7.595997748011027</v>
      </c>
      <c r="AF27" s="9">
        <f>DEGREES((2*PI()/Inputs!$C$13)*Inputs!$C$15*SIN(RADIANS(AE27)))</f>
        <v>47.587374387383477</v>
      </c>
      <c r="AG27" s="9">
        <f t="shared" si="10"/>
        <v>0.96535843538790245</v>
      </c>
      <c r="AH27" s="9">
        <f t="shared" si="11"/>
        <v>-0.15311404160666506</v>
      </c>
      <c r="AI27" s="9">
        <f t="shared" si="12"/>
        <v>0</v>
      </c>
      <c r="AJ27" s="9">
        <f t="shared" si="13"/>
        <v>0</v>
      </c>
      <c r="AK27" s="9">
        <f t="shared" si="14"/>
        <v>0</v>
      </c>
      <c r="AL27" s="9">
        <f>1000*(AA28-AA26)/(A28-A26)*Inputs!$C$11</f>
        <v>-886.41544409983908</v>
      </c>
      <c r="AM27" s="9">
        <f>-2*AL27/Inputs!$C$13</f>
        <v>354.56617763993563</v>
      </c>
      <c r="AN27" s="9">
        <f>-2*AL27/Inputs!$C$14</f>
        <v>53.238164810801152</v>
      </c>
      <c r="AO27" s="9">
        <f t="shared" si="15"/>
        <v>354.56617763993563</v>
      </c>
      <c r="AP27" s="9">
        <f t="shared" si="16"/>
        <v>53.238164810801152</v>
      </c>
      <c r="AQ27" s="9">
        <f>IF(OR(Inputs!$C$27=TRUE,Inputs!$C$27="TRUE",Inputs!$C$27=1),Inputs!$C$46/Inputs!$C$12,0)</f>
        <v>0</v>
      </c>
      <c r="AR27" s="9">
        <f t="shared" si="17"/>
        <v>2001.8863775912891</v>
      </c>
      <c r="AS27" s="9">
        <f t="shared" si="18"/>
        <v>2001.8863775912891</v>
      </c>
    </row>
    <row r="28" spans="1:45">
      <c r="A28" s="9">
        <f>Inputs!$C$7+26*(Inputs!$C$8-Inputs!$C$7)/240</f>
        <v>-47</v>
      </c>
      <c r="B28" s="9">
        <f>Inputs!$C$5+Inputs!$C$9*(A28/Inputs!$C$10)^2</f>
        <v>402.45444444444445</v>
      </c>
      <c r="C28" s="9">
        <f t="shared" si="0"/>
        <v>402.45444444444445</v>
      </c>
      <c r="D28" s="9">
        <f>SQRT(A28^2+Inputs!$C$6^2+B28^2)</f>
        <v>405.96007174731659</v>
      </c>
      <c r="E28" s="9">
        <f t="shared" si="1"/>
        <v>3505.6273028721421</v>
      </c>
      <c r="F28" s="9">
        <f>E28/Inputs!$C$12</f>
        <v>1969.4535409394057</v>
      </c>
      <c r="G28" s="9">
        <f>2*E28/Inputs!$C$21*1000000</f>
        <v>23.387027987689684</v>
      </c>
      <c r="H28" s="9">
        <f>SQRT(A28^2+Inputs!$C$6^2)</f>
        <v>53.235326616824658</v>
      </c>
      <c r="I28" s="9">
        <f t="shared" si="2"/>
        <v>7.5351493170616237</v>
      </c>
      <c r="J28" s="9">
        <f>DEGREES((2*PI()/Inputs!$C$13)*Inputs!$C$15*SIN(RADIANS(I28)))</f>
        <v>47.208380616273161</v>
      </c>
      <c r="K28" s="9">
        <f t="shared" si="3"/>
        <v>0.96590325347465911</v>
      </c>
      <c r="L28" s="9">
        <f t="shared" si="4"/>
        <v>-0.15066371085800698</v>
      </c>
      <c r="M28" s="9">
        <f>2*(Inputs!$C$9/(Inputs!$C$10^2))*A28</f>
        <v>-0.10444444444444445</v>
      </c>
      <c r="N28" s="9">
        <f>M28*Inputs!$C$11</f>
        <v>-0.4177777777777778</v>
      </c>
      <c r="O28" s="9">
        <f>1000*((A28*Inputs!$C$11)+(B28*N28))/D28</f>
        <v>-877.26983080853745</v>
      </c>
      <c r="P28" s="9">
        <f>-2*O28/Inputs!$C$13</f>
        <v>350.90793232341497</v>
      </c>
      <c r="Q28" s="9">
        <f>-2*O28/Inputs!$C$14</f>
        <v>52.688878727239491</v>
      </c>
      <c r="R28" s="9">
        <f>F28-Inputs!$C$16/2</f>
        <v>1954.4535409394057</v>
      </c>
      <c r="S28" s="9">
        <f>F28+Inputs!$C$16/2</f>
        <v>1984.4535409394057</v>
      </c>
      <c r="T28" s="9">
        <f>F28-Inputs!$C$17/2</f>
        <v>1819.4535409394057</v>
      </c>
      <c r="U28" s="9">
        <f>F28+Inputs!$C$17/2</f>
        <v>2119.4535409394057</v>
      </c>
      <c r="V28" s="9">
        <f t="shared" si="5"/>
        <v>350.90793232341497</v>
      </c>
      <c r="W28" s="9">
        <f t="shared" si="6"/>
        <v>52.688878727239491</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0</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0</v>
      </c>
      <c r="Z28" s="9">
        <f t="shared" si="7"/>
        <v>402.45444444444445</v>
      </c>
      <c r="AA28" s="9">
        <f>SQRT(A28^2+Inputs!$C$6^2+(B28-Y28/1000)^2)</f>
        <v>405.96007174731659</v>
      </c>
      <c r="AB28" s="9">
        <f t="shared" si="8"/>
        <v>3505.6273028721421</v>
      </c>
      <c r="AC28" s="9">
        <f>AB28/Inputs!$C$12</f>
        <v>1969.4535409394057</v>
      </c>
      <c r="AD28" s="9">
        <f>2*AB28/Inputs!$C$21*1000000</f>
        <v>23.387027987689684</v>
      </c>
      <c r="AE28" s="9">
        <f t="shared" si="9"/>
        <v>7.5351493170616237</v>
      </c>
      <c r="AF28" s="9">
        <f>DEGREES((2*PI()/Inputs!$C$13)*Inputs!$C$15*SIN(RADIANS(AE28)))</f>
        <v>47.208380616273161</v>
      </c>
      <c r="AG28" s="9">
        <f t="shared" si="10"/>
        <v>0.96590325347465911</v>
      </c>
      <c r="AH28" s="9">
        <f t="shared" si="11"/>
        <v>-0.15066371085800698</v>
      </c>
      <c r="AI28" s="9">
        <f t="shared" si="12"/>
        <v>0</v>
      </c>
      <c r="AJ28" s="9">
        <f t="shared" si="13"/>
        <v>0</v>
      </c>
      <c r="AK28" s="9">
        <f t="shared" si="14"/>
        <v>0</v>
      </c>
      <c r="AL28" s="9">
        <f>1000*(AA29-AA27)/(A29-A27)*Inputs!$C$11</f>
        <v>-877.26888094357491</v>
      </c>
      <c r="AM28" s="9">
        <f>-2*AL28/Inputs!$C$13</f>
        <v>350.90755237742997</v>
      </c>
      <c r="AN28" s="9">
        <f>-2*AL28/Inputs!$C$14</f>
        <v>52.68882167829279</v>
      </c>
      <c r="AO28" s="9">
        <f t="shared" si="15"/>
        <v>350.90755237742997</v>
      </c>
      <c r="AP28" s="9">
        <f t="shared" si="16"/>
        <v>52.68882167829279</v>
      </c>
      <c r="AQ28" s="9">
        <f>IF(OR(Inputs!$C$27=TRUE,Inputs!$C$27="TRUE",Inputs!$C$27=1),Inputs!$C$46/Inputs!$C$12,0)</f>
        <v>0</v>
      </c>
      <c r="AR28" s="9">
        <f t="shared" si="17"/>
        <v>1969.4535409394057</v>
      </c>
      <c r="AS28" s="9">
        <f t="shared" si="18"/>
        <v>1969.4535409394057</v>
      </c>
    </row>
    <row r="29" spans="1:45">
      <c r="A29" s="9">
        <f>Inputs!$C$7+27*(Inputs!$C$8-Inputs!$C$7)/240</f>
        <v>-46.5</v>
      </c>
      <c r="B29" s="9">
        <f>Inputs!$C$5+Inputs!$C$9*(A29/Inputs!$C$10)^2</f>
        <v>402.40249999999997</v>
      </c>
      <c r="C29" s="9">
        <f t="shared" si="0"/>
        <v>402.40249999999997</v>
      </c>
      <c r="D29" s="9">
        <f>SQRT(A29^2+Inputs!$C$6^2+B29^2)</f>
        <v>405.85098497632106</v>
      </c>
      <c r="E29" s="9">
        <f t="shared" si="1"/>
        <v>3448.4849763210832</v>
      </c>
      <c r="F29" s="9">
        <f>E29/Inputs!$C$12</f>
        <v>1937.3511102927434</v>
      </c>
      <c r="G29" s="9">
        <f>2*E29/Inputs!$C$21*1000000</f>
        <v>23.005815418619257</v>
      </c>
      <c r="H29" s="9">
        <f>SQRT(A29^2+Inputs!$C$6^2)</f>
        <v>52.794412583151257</v>
      </c>
      <c r="I29" s="9">
        <f t="shared" si="2"/>
        <v>7.4744026758958535</v>
      </c>
      <c r="J29" s="9">
        <f>DEGREES((2*PI()/Inputs!$C$13)*Inputs!$C$15*SIN(RADIANS(I29)))</f>
        <v>46.829967730750575</v>
      </c>
      <c r="K29" s="9">
        <f t="shared" si="3"/>
        <v>0.96644304166733663</v>
      </c>
      <c r="L29" s="9">
        <f t="shared" si="4"/>
        <v>-0.14823736481264854</v>
      </c>
      <c r="M29" s="9">
        <f>2*(Inputs!$C$9/(Inputs!$C$10^2))*A29</f>
        <v>-0.10333333333333333</v>
      </c>
      <c r="N29" s="9">
        <f>M29*Inputs!$C$11</f>
        <v>-0.41333333333333333</v>
      </c>
      <c r="O29" s="9">
        <f>1000*((A29*Inputs!$C$11)+(B29*N29))/D29</f>
        <v>-868.11755966841577</v>
      </c>
      <c r="P29" s="9">
        <f>-2*O29/Inputs!$C$13</f>
        <v>347.24702386736629</v>
      </c>
      <c r="Q29" s="9">
        <f>-2*O29/Inputs!$C$14</f>
        <v>52.139192772877827</v>
      </c>
      <c r="R29" s="9">
        <f>F29-Inputs!$C$16/2</f>
        <v>1922.3511102927434</v>
      </c>
      <c r="S29" s="9">
        <f>F29+Inputs!$C$16/2</f>
        <v>1952.3511102927434</v>
      </c>
      <c r="T29" s="9">
        <f>F29-Inputs!$C$17/2</f>
        <v>1787.3511102927434</v>
      </c>
      <c r="U29" s="9">
        <f>F29+Inputs!$C$17/2</f>
        <v>2087.3511102927432</v>
      </c>
      <c r="V29" s="9">
        <f t="shared" si="5"/>
        <v>347.24702386736629</v>
      </c>
      <c r="W29" s="9">
        <f t="shared" si="6"/>
        <v>52.139192772877827</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0</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0</v>
      </c>
      <c r="Z29" s="9">
        <f t="shared" si="7"/>
        <v>402.40249999999997</v>
      </c>
      <c r="AA29" s="9">
        <f>SQRT(A29^2+Inputs!$C$6^2+(B29-Y29/1000)^2)</f>
        <v>405.85098497632106</v>
      </c>
      <c r="AB29" s="9">
        <f t="shared" si="8"/>
        <v>3448.4849763210832</v>
      </c>
      <c r="AC29" s="9">
        <f>AB29/Inputs!$C$12</f>
        <v>1937.3511102927434</v>
      </c>
      <c r="AD29" s="9">
        <f>2*AB29/Inputs!$C$21*1000000</f>
        <v>23.005815418619257</v>
      </c>
      <c r="AE29" s="9">
        <f t="shared" si="9"/>
        <v>7.4744026758958535</v>
      </c>
      <c r="AF29" s="9">
        <f>DEGREES((2*PI()/Inputs!$C$13)*Inputs!$C$15*SIN(RADIANS(AE29)))</f>
        <v>46.829967730750575</v>
      </c>
      <c r="AG29" s="9">
        <f t="shared" si="10"/>
        <v>0.96644304166733663</v>
      </c>
      <c r="AH29" s="9">
        <f t="shared" si="11"/>
        <v>-0.14823736481264854</v>
      </c>
      <c r="AI29" s="9">
        <f t="shared" si="12"/>
        <v>0</v>
      </c>
      <c r="AJ29" s="9">
        <f t="shared" si="13"/>
        <v>0</v>
      </c>
      <c r="AK29" s="9">
        <f t="shared" si="14"/>
        <v>0</v>
      </c>
      <c r="AL29" s="9">
        <f>1000*(AA30-AA28)/(A30-A28)*Inputs!$C$11</f>
        <v>-868.1166186433984</v>
      </c>
      <c r="AM29" s="9">
        <f>-2*AL29/Inputs!$C$13</f>
        <v>347.24664745735936</v>
      </c>
      <c r="AN29" s="9">
        <f>-2*AL29/Inputs!$C$14</f>
        <v>52.139136254858769</v>
      </c>
      <c r="AO29" s="9">
        <f t="shared" si="15"/>
        <v>347.24664745735936</v>
      </c>
      <c r="AP29" s="9">
        <f t="shared" si="16"/>
        <v>52.139136254858769</v>
      </c>
      <c r="AQ29" s="9">
        <f>IF(OR(Inputs!$C$27=TRUE,Inputs!$C$27="TRUE",Inputs!$C$27=1),Inputs!$C$46/Inputs!$C$12,0)</f>
        <v>0</v>
      </c>
      <c r="AR29" s="9">
        <f t="shared" si="17"/>
        <v>1937.3511102927434</v>
      </c>
      <c r="AS29" s="9">
        <f t="shared" si="18"/>
        <v>1937.3511102927434</v>
      </c>
    </row>
    <row r="30" spans="1:45">
      <c r="A30" s="9">
        <f>Inputs!$C$7+28*(Inputs!$C$8-Inputs!$C$7)/240</f>
        <v>-46</v>
      </c>
      <c r="B30" s="9">
        <f>Inputs!$C$5+Inputs!$C$9*(A30/Inputs!$C$10)^2</f>
        <v>402.35111111111109</v>
      </c>
      <c r="C30" s="9">
        <f t="shared" si="0"/>
        <v>402.35111111111109</v>
      </c>
      <c r="D30" s="9">
        <f>SQRT(A30^2+Inputs!$C$6^2+B30^2)</f>
        <v>405.74304259265574</v>
      </c>
      <c r="E30" s="9">
        <f t="shared" si="1"/>
        <v>3391.9314815446455</v>
      </c>
      <c r="F30" s="9">
        <f>E30/Inputs!$C$12</f>
        <v>1905.5794840138458</v>
      </c>
      <c r="G30" s="9">
        <f>2*E30/Inputs!$C$21*1000000</f>
        <v>22.62853111231134</v>
      </c>
      <c r="H30" s="9">
        <f>SQRT(A30^2+Inputs!$C$6^2)</f>
        <v>52.354560450833695</v>
      </c>
      <c r="I30" s="9">
        <f t="shared" si="2"/>
        <v>7.4137620157175332</v>
      </c>
      <c r="J30" s="9">
        <f>DEGREES((2*PI()/Inputs!$C$13)*Inputs!$C$15*SIN(RADIANS(I30)))</f>
        <v>46.452162535839577</v>
      </c>
      <c r="K30" s="9">
        <f t="shared" si="3"/>
        <v>0.96697777784614181</v>
      </c>
      <c r="L30" s="9">
        <f t="shared" si="4"/>
        <v>-0.14583506340669783</v>
      </c>
      <c r="M30" s="9">
        <f>2*(Inputs!$C$9/(Inputs!$C$10^2))*A30</f>
        <v>-0.10222222222222223</v>
      </c>
      <c r="N30" s="9">
        <f>M30*Inputs!$C$11</f>
        <v>-0.40888888888888891</v>
      </c>
      <c r="O30" s="9">
        <f>1000*((A30*Inputs!$C$11)+(B30*N30))/D30</f>
        <v>-858.95964238461227</v>
      </c>
      <c r="P30" s="9">
        <f>-2*O30/Inputs!$C$13</f>
        <v>343.58385695384493</v>
      </c>
      <c r="Q30" s="9">
        <f>-2*O30/Inputs!$C$14</f>
        <v>51.589167710787528</v>
      </c>
      <c r="R30" s="9">
        <f>F30-Inputs!$C$16/2</f>
        <v>1890.5794840138458</v>
      </c>
      <c r="S30" s="9">
        <f>F30+Inputs!$C$16/2</f>
        <v>1920.5794840138458</v>
      </c>
      <c r="T30" s="9">
        <f>F30-Inputs!$C$17/2</f>
        <v>1755.5794840138458</v>
      </c>
      <c r="U30" s="9">
        <f>F30+Inputs!$C$17/2</f>
        <v>2055.579484013846</v>
      </c>
      <c r="V30" s="9">
        <f t="shared" si="5"/>
        <v>343.58385695384493</v>
      </c>
      <c r="W30" s="9">
        <f t="shared" si="6"/>
        <v>51.589167710787528</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0</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0</v>
      </c>
      <c r="Z30" s="9">
        <f t="shared" si="7"/>
        <v>402.35111111111109</v>
      </c>
      <c r="AA30" s="9">
        <f>SQRT(A30^2+Inputs!$C$6^2+(B30-Y30/1000)^2)</f>
        <v>405.74304259265574</v>
      </c>
      <c r="AB30" s="9">
        <f t="shared" si="8"/>
        <v>3391.9314815446455</v>
      </c>
      <c r="AC30" s="9">
        <f>AB30/Inputs!$C$12</f>
        <v>1905.5794840138458</v>
      </c>
      <c r="AD30" s="9">
        <f>2*AB30/Inputs!$C$21*1000000</f>
        <v>22.62853111231134</v>
      </c>
      <c r="AE30" s="9">
        <f t="shared" si="9"/>
        <v>7.4137620157175332</v>
      </c>
      <c r="AF30" s="9">
        <f>DEGREES((2*PI()/Inputs!$C$13)*Inputs!$C$15*SIN(RADIANS(AE30)))</f>
        <v>46.452162535839577</v>
      </c>
      <c r="AG30" s="9">
        <f t="shared" si="10"/>
        <v>0.96697777784614181</v>
      </c>
      <c r="AH30" s="9">
        <f t="shared" si="11"/>
        <v>-0.14583506340669783</v>
      </c>
      <c r="AI30" s="9">
        <f t="shared" si="12"/>
        <v>0</v>
      </c>
      <c r="AJ30" s="9">
        <f t="shared" si="13"/>
        <v>0</v>
      </c>
      <c r="AK30" s="9">
        <f t="shared" si="14"/>
        <v>0</v>
      </c>
      <c r="AL30" s="9">
        <f>1000*(AA31-AA29)/(A31-A29)*Inputs!$C$11</f>
        <v>-858.95871023762993</v>
      </c>
      <c r="AM30" s="9">
        <f>-2*AL30/Inputs!$C$13</f>
        <v>343.58348409505197</v>
      </c>
      <c r="AN30" s="9">
        <f>-2*AL30/Inputs!$C$14</f>
        <v>51.589111725983784</v>
      </c>
      <c r="AO30" s="9">
        <f t="shared" si="15"/>
        <v>343.58348409505197</v>
      </c>
      <c r="AP30" s="9">
        <f t="shared" si="16"/>
        <v>51.589111725983784</v>
      </c>
      <c r="AQ30" s="9">
        <f>IF(OR(Inputs!$C$27=TRUE,Inputs!$C$27="TRUE",Inputs!$C$27=1),Inputs!$C$46/Inputs!$C$12,0)</f>
        <v>0</v>
      </c>
      <c r="AR30" s="9">
        <f t="shared" si="17"/>
        <v>1905.5794840138458</v>
      </c>
      <c r="AS30" s="9">
        <f t="shared" si="18"/>
        <v>1905.5794840138458</v>
      </c>
    </row>
    <row r="31" spans="1:45">
      <c r="A31" s="9">
        <f>Inputs!$C$7+29*(Inputs!$C$8-Inputs!$C$7)/240</f>
        <v>-45.5</v>
      </c>
      <c r="B31" s="9">
        <f>Inputs!$C$5+Inputs!$C$9*(A31/Inputs!$C$10)^2</f>
        <v>402.30027777777775</v>
      </c>
      <c r="C31" s="9">
        <f t="shared" si="0"/>
        <v>402.30027777777775</v>
      </c>
      <c r="D31" s="9">
        <f>SQRT(A31^2+Inputs!$C$6^2+B31^2)</f>
        <v>405.63624529876165</v>
      </c>
      <c r="E31" s="9">
        <f t="shared" si="1"/>
        <v>3335.9675209838997</v>
      </c>
      <c r="F31" s="9">
        <f>E31/Inputs!$C$12</f>
        <v>1874.1390567325279</v>
      </c>
      <c r="G31" s="9">
        <f>2*E31/Inputs!$C$21*1000000</f>
        <v>22.255179754948337</v>
      </c>
      <c r="H31" s="9">
        <f>SQRT(A31^2+Inputs!$C$6^2)</f>
        <v>51.915797210483056</v>
      </c>
      <c r="I31" s="9">
        <f t="shared" si="2"/>
        <v>7.3532316468514338</v>
      </c>
      <c r="J31" s="9">
        <f>DEGREES((2*PI()/Inputs!$C$13)*Inputs!$C$15*SIN(RADIANS(I31)))</f>
        <v>46.07499258851599</v>
      </c>
      <c r="K31" s="9">
        <f t="shared" si="3"/>
        <v>0.96750744005881495</v>
      </c>
      <c r="L31" s="9">
        <f t="shared" si="4"/>
        <v>-0.1434568660459147</v>
      </c>
      <c r="M31" s="9">
        <f>2*(Inputs!$C$9/(Inputs!$C$10^2))*A31</f>
        <v>-0.10111111111111111</v>
      </c>
      <c r="N31" s="9">
        <f>M31*Inputs!$C$11</f>
        <v>-0.40444444444444444</v>
      </c>
      <c r="O31" s="9">
        <f>1000*((A31*Inputs!$C$11)+(B31*N31))/D31</f>
        <v>-849.796132226282</v>
      </c>
      <c r="P31" s="9">
        <f>-2*O31/Inputs!$C$13</f>
        <v>339.91845289051281</v>
      </c>
      <c r="Q31" s="9">
        <f>-2*O31/Inputs!$C$14</f>
        <v>51.038806740317241</v>
      </c>
      <c r="R31" s="9">
        <f>F31-Inputs!$C$16/2</f>
        <v>1859.1390567325279</v>
      </c>
      <c r="S31" s="9">
        <f>F31+Inputs!$C$16/2</f>
        <v>1889.1390567325279</v>
      </c>
      <c r="T31" s="9">
        <f>F31-Inputs!$C$17/2</f>
        <v>1724.1390567325279</v>
      </c>
      <c r="U31" s="9">
        <f>F31+Inputs!$C$17/2</f>
        <v>2024.1390567325279</v>
      </c>
      <c r="V31" s="9">
        <f t="shared" si="5"/>
        <v>339.91845289051281</v>
      </c>
      <c r="W31" s="9">
        <f t="shared" si="6"/>
        <v>51.038806740317241</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0</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0</v>
      </c>
      <c r="Z31" s="9">
        <f t="shared" si="7"/>
        <v>402.30027777777775</v>
      </c>
      <c r="AA31" s="9">
        <f>SQRT(A31^2+Inputs!$C$6^2+(B31-Y31/1000)^2)</f>
        <v>405.63624529876165</v>
      </c>
      <c r="AB31" s="9">
        <f t="shared" si="8"/>
        <v>3335.9675209838997</v>
      </c>
      <c r="AC31" s="9">
        <f>AB31/Inputs!$C$12</f>
        <v>1874.1390567325279</v>
      </c>
      <c r="AD31" s="9">
        <f>2*AB31/Inputs!$C$21*1000000</f>
        <v>22.255179754948337</v>
      </c>
      <c r="AE31" s="9">
        <f t="shared" si="9"/>
        <v>7.3532316468514338</v>
      </c>
      <c r="AF31" s="9">
        <f>DEGREES((2*PI()/Inputs!$C$13)*Inputs!$C$15*SIN(RADIANS(AE31)))</f>
        <v>46.07499258851599</v>
      </c>
      <c r="AG31" s="9">
        <f t="shared" si="10"/>
        <v>0.96750744005881495</v>
      </c>
      <c r="AH31" s="9">
        <f t="shared" si="11"/>
        <v>-0.1434568660459147</v>
      </c>
      <c r="AI31" s="9">
        <f t="shared" si="12"/>
        <v>0</v>
      </c>
      <c r="AJ31" s="9">
        <f t="shared" si="13"/>
        <v>0</v>
      </c>
      <c r="AK31" s="9">
        <f t="shared" si="14"/>
        <v>0</v>
      </c>
      <c r="AL31" s="9">
        <f>1000*(AA32-AA30)/(A32-A30)*Inputs!$C$11</f>
        <v>-849.7952089953742</v>
      </c>
      <c r="AM31" s="9">
        <f>-2*AL31/Inputs!$C$13</f>
        <v>339.91808359814968</v>
      </c>
      <c r="AN31" s="9">
        <f>-2*AL31/Inputs!$C$14</f>
        <v>51.038751291013469</v>
      </c>
      <c r="AO31" s="9">
        <f t="shared" si="15"/>
        <v>339.91808359814968</v>
      </c>
      <c r="AP31" s="9">
        <f t="shared" si="16"/>
        <v>51.038751291013469</v>
      </c>
      <c r="AQ31" s="9">
        <f>IF(OR(Inputs!$C$27=TRUE,Inputs!$C$27="TRUE",Inputs!$C$27=1),Inputs!$C$46/Inputs!$C$12,0)</f>
        <v>0</v>
      </c>
      <c r="AR31" s="9">
        <f t="shared" si="17"/>
        <v>1874.1390567325279</v>
      </c>
      <c r="AS31" s="9">
        <f t="shared" si="18"/>
        <v>1874.1390567325279</v>
      </c>
    </row>
    <row r="32" spans="1:45">
      <c r="A32" s="9">
        <f>Inputs!$C$7+30*(Inputs!$C$8-Inputs!$C$7)/240</f>
        <v>-45</v>
      </c>
      <c r="B32" s="9">
        <f>Inputs!$C$5+Inputs!$C$9*(A32/Inputs!$C$10)^2</f>
        <v>402.25</v>
      </c>
      <c r="C32" s="9">
        <f t="shared" si="0"/>
        <v>402.25</v>
      </c>
      <c r="D32" s="9">
        <f>SQRT(A32^2+Inputs!$C$6^2+B32^2)</f>
        <v>405.5305937904069</v>
      </c>
      <c r="E32" s="9">
        <f t="shared" si="1"/>
        <v>3280.5937904068969</v>
      </c>
      <c r="F32" s="9">
        <f>E32/Inputs!$C$12</f>
        <v>1843.0302193297173</v>
      </c>
      <c r="G32" s="9">
        <f>2*E32/Inputs!$C$21*1000000</f>
        <v>21.885765988195054</v>
      </c>
      <c r="H32" s="9">
        <f>SQRT(A32^2+Inputs!$C$6^2)</f>
        <v>51.478150704935004</v>
      </c>
      <c r="I32" s="9">
        <f t="shared" si="2"/>
        <v>7.2928160029494338</v>
      </c>
      <c r="J32" s="9">
        <f>DEGREES((2*PI()/Inputs!$C$13)*Inputs!$C$15*SIN(RADIANS(I32)))</f>
        <v>45.698486224086679</v>
      </c>
      <c r="K32" s="9">
        <f t="shared" si="3"/>
        <v>0.96803200652262722</v>
      </c>
      <c r="L32" s="9">
        <f t="shared" si="4"/>
        <v>-0.14110283160238724</v>
      </c>
      <c r="M32" s="9">
        <f>2*(Inputs!$C$9/(Inputs!$C$10^2))*A32</f>
        <v>-0.1</v>
      </c>
      <c r="N32" s="9">
        <f>M32*Inputs!$C$11</f>
        <v>-0.4</v>
      </c>
      <c r="O32" s="9">
        <f>1000*((A32*Inputs!$C$11)+(B32*N32))/D32</f>
        <v>-840.62708269105246</v>
      </c>
      <c r="P32" s="9">
        <f>-2*O32/Inputs!$C$13</f>
        <v>336.25083307642097</v>
      </c>
      <c r="Q32" s="9">
        <f>-2*O32/Inputs!$C$14</f>
        <v>50.488113074537686</v>
      </c>
      <c r="R32" s="9">
        <f>F32-Inputs!$C$16/2</f>
        <v>1828.0302193297173</v>
      </c>
      <c r="S32" s="9">
        <f>F32+Inputs!$C$16/2</f>
        <v>1858.0302193297173</v>
      </c>
      <c r="T32" s="9">
        <f>F32-Inputs!$C$17/2</f>
        <v>1693.0302193297173</v>
      </c>
      <c r="U32" s="9">
        <f>F32+Inputs!$C$17/2</f>
        <v>1993.0302193297173</v>
      </c>
      <c r="V32" s="9">
        <f t="shared" si="5"/>
        <v>336.25083307642097</v>
      </c>
      <c r="W32" s="9">
        <f t="shared" si="6"/>
        <v>50.488113074537686</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0</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0</v>
      </c>
      <c r="Z32" s="9">
        <f t="shared" si="7"/>
        <v>402.25</v>
      </c>
      <c r="AA32" s="9">
        <f>SQRT(A32^2+Inputs!$C$6^2+(B32-Y32/1000)^2)</f>
        <v>405.5305937904069</v>
      </c>
      <c r="AB32" s="9">
        <f t="shared" si="8"/>
        <v>3280.5937904068969</v>
      </c>
      <c r="AC32" s="9">
        <f>AB32/Inputs!$C$12</f>
        <v>1843.0302193297173</v>
      </c>
      <c r="AD32" s="9">
        <f>2*AB32/Inputs!$C$21*1000000</f>
        <v>21.885765988195054</v>
      </c>
      <c r="AE32" s="9">
        <f t="shared" si="9"/>
        <v>7.2928160029494338</v>
      </c>
      <c r="AF32" s="9">
        <f>DEGREES((2*PI()/Inputs!$C$13)*Inputs!$C$15*SIN(RADIANS(AE32)))</f>
        <v>45.698486224086679</v>
      </c>
      <c r="AG32" s="9">
        <f t="shared" si="10"/>
        <v>0.96803200652262722</v>
      </c>
      <c r="AH32" s="9">
        <f t="shared" si="11"/>
        <v>-0.14110283160238724</v>
      </c>
      <c r="AI32" s="9">
        <f t="shared" si="12"/>
        <v>0</v>
      </c>
      <c r="AJ32" s="9">
        <f t="shared" si="13"/>
        <v>0</v>
      </c>
      <c r="AK32" s="9">
        <f t="shared" si="14"/>
        <v>0</v>
      </c>
      <c r="AL32" s="9">
        <f>1000*(AA33-AA31)/(A33-A31)*Inputs!$C$11</f>
        <v>-840.62616841424642</v>
      </c>
      <c r="AM32" s="9">
        <f>-2*AL32/Inputs!$C$13</f>
        <v>336.25046736569857</v>
      </c>
      <c r="AN32" s="9">
        <f>-2*AL32/Inputs!$C$14</f>
        <v>50.488058163017804</v>
      </c>
      <c r="AO32" s="9">
        <f t="shared" si="15"/>
        <v>336.25046736569857</v>
      </c>
      <c r="AP32" s="9">
        <f t="shared" si="16"/>
        <v>50.488058163017804</v>
      </c>
      <c r="AQ32" s="9">
        <f>IF(OR(Inputs!$C$27=TRUE,Inputs!$C$27="TRUE",Inputs!$C$27=1),Inputs!$C$46/Inputs!$C$12,0)</f>
        <v>0</v>
      </c>
      <c r="AR32" s="9">
        <f t="shared" si="17"/>
        <v>1843.0302193297173</v>
      </c>
      <c r="AS32" s="9">
        <f t="shared" si="18"/>
        <v>1843.0302193297173</v>
      </c>
    </row>
    <row r="33" spans="1:45">
      <c r="A33" s="9">
        <f>Inputs!$C$7+31*(Inputs!$C$8-Inputs!$C$7)/240</f>
        <v>-44.5</v>
      </c>
      <c r="B33" s="9">
        <f>Inputs!$C$5+Inputs!$C$9*(A33/Inputs!$C$10)^2</f>
        <v>402.20027777777779</v>
      </c>
      <c r="C33" s="9">
        <f t="shared" si="0"/>
        <v>402.20027777777779</v>
      </c>
      <c r="D33" s="9">
        <f>SQRT(A33^2+Inputs!$C$6^2+B33^2)</f>
        <v>405.42608875665809</v>
      </c>
      <c r="E33" s="9">
        <f t="shared" si="1"/>
        <v>3225.810978880304</v>
      </c>
      <c r="F33" s="9">
        <f>E33/Inputs!$C$12</f>
        <v>1812.2533589215191</v>
      </c>
      <c r="G33" s="9">
        <f>2*E33/Inputs!$C$21*1000000</f>
        <v>21.520294409009473</v>
      </c>
      <c r="H33" s="9">
        <f>SQRT(A33^2+Inputs!$C$6^2)</f>
        <v>51.041649659861115</v>
      </c>
      <c r="I33" s="9">
        <f t="shared" si="2"/>
        <v>7.2325196453541665</v>
      </c>
      <c r="J33" s="9">
        <f>DEGREES((2*PI()/Inputs!$C$13)*Inputs!$C$15*SIN(RADIANS(I33)))</f>
        <v>45.322672583556667</v>
      </c>
      <c r="K33" s="9">
        <f t="shared" si="3"/>
        <v>0.96855145562637335</v>
      </c>
      <c r="L33" s="9">
        <f t="shared" si="4"/>
        <v>-0.13877301841120698</v>
      </c>
      <c r="M33" s="9">
        <f>2*(Inputs!$C$9/(Inputs!$C$10^2))*A33</f>
        <v>-9.8888888888888887E-2</v>
      </c>
      <c r="N33" s="9">
        <f>M33*Inputs!$C$11</f>
        <v>-0.39555555555555555</v>
      </c>
      <c r="O33" s="9">
        <f>1000*((A33*Inputs!$C$11)+(B33*N33))/D33</f>
        <v>-831.45254750321442</v>
      </c>
      <c r="P33" s="9">
        <f>-2*O33/Inputs!$C$13</f>
        <v>332.58101900128577</v>
      </c>
      <c r="Q33" s="9">
        <f>-2*O33/Inputs!$C$14</f>
        <v>49.937089940132999</v>
      </c>
      <c r="R33" s="9">
        <f>F33-Inputs!$C$16/2</f>
        <v>1797.2533589215191</v>
      </c>
      <c r="S33" s="9">
        <f>F33+Inputs!$C$16/2</f>
        <v>1827.2533589215191</v>
      </c>
      <c r="T33" s="9">
        <f>F33-Inputs!$C$17/2</f>
        <v>1662.2533589215191</v>
      </c>
      <c r="U33" s="9">
        <f>F33+Inputs!$C$17/2</f>
        <v>1962.2533589215191</v>
      </c>
      <c r="V33" s="9">
        <f t="shared" si="5"/>
        <v>332.58101900128577</v>
      </c>
      <c r="W33" s="9">
        <f t="shared" si="6"/>
        <v>49.937089940132999</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0</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0</v>
      </c>
      <c r="Z33" s="9">
        <f t="shared" si="7"/>
        <v>402.20027777777779</v>
      </c>
      <c r="AA33" s="9">
        <f>SQRT(A33^2+Inputs!$C$6^2+(B33-Y33/1000)^2)</f>
        <v>405.42608875665809</v>
      </c>
      <c r="AB33" s="9">
        <f t="shared" si="8"/>
        <v>3225.810978880304</v>
      </c>
      <c r="AC33" s="9">
        <f>AB33/Inputs!$C$12</f>
        <v>1812.2533589215191</v>
      </c>
      <c r="AD33" s="9">
        <f>2*AB33/Inputs!$C$21*1000000</f>
        <v>21.520294409009473</v>
      </c>
      <c r="AE33" s="9">
        <f t="shared" si="9"/>
        <v>7.2325196453541665</v>
      </c>
      <c r="AF33" s="9">
        <f>DEGREES((2*PI()/Inputs!$C$13)*Inputs!$C$15*SIN(RADIANS(AE33)))</f>
        <v>45.322672583556667</v>
      </c>
      <c r="AG33" s="9">
        <f t="shared" si="10"/>
        <v>0.96855145562637335</v>
      </c>
      <c r="AH33" s="9">
        <f t="shared" si="11"/>
        <v>-0.13877301841120698</v>
      </c>
      <c r="AI33" s="9">
        <f t="shared" si="12"/>
        <v>0</v>
      </c>
      <c r="AJ33" s="9">
        <f t="shared" si="13"/>
        <v>0</v>
      </c>
      <c r="AK33" s="9">
        <f t="shared" si="14"/>
        <v>0</v>
      </c>
      <c r="AL33" s="9">
        <f>1000*(AA34-AA32)/(A34-A32)*Inputs!$C$11</f>
        <v>-831.45164221809864</v>
      </c>
      <c r="AM33" s="9">
        <f>-2*AL33/Inputs!$C$13</f>
        <v>332.58065688723946</v>
      </c>
      <c r="AN33" s="9">
        <f>-2*AL33/Inputs!$C$14</f>
        <v>49.937035568654579</v>
      </c>
      <c r="AO33" s="9">
        <f t="shared" si="15"/>
        <v>332.58065688723946</v>
      </c>
      <c r="AP33" s="9">
        <f t="shared" si="16"/>
        <v>49.937035568654579</v>
      </c>
      <c r="AQ33" s="9">
        <f>IF(OR(Inputs!$C$27=TRUE,Inputs!$C$27="TRUE",Inputs!$C$27=1),Inputs!$C$46/Inputs!$C$12,0)</f>
        <v>0</v>
      </c>
      <c r="AR33" s="9">
        <f t="shared" si="17"/>
        <v>1812.2533589215191</v>
      </c>
      <c r="AS33" s="9">
        <f t="shared" si="18"/>
        <v>1812.2533589215191</v>
      </c>
    </row>
    <row r="34" spans="1:45">
      <c r="A34" s="9">
        <f>Inputs!$C$7+32*(Inputs!$C$8-Inputs!$C$7)/240</f>
        <v>-44</v>
      </c>
      <c r="B34" s="9">
        <f>Inputs!$C$5+Inputs!$C$9*(A34/Inputs!$C$10)^2</f>
        <v>402.15111111111111</v>
      </c>
      <c r="C34" s="9">
        <f t="shared" si="0"/>
        <v>402.15111111111111</v>
      </c>
      <c r="D34" s="9">
        <f>SQRT(A34^2+Inputs!$C$6^2+B34^2)</f>
        <v>405.32273087985237</v>
      </c>
      <c r="E34" s="9">
        <f t="shared" si="1"/>
        <v>3171.6197687412659</v>
      </c>
      <c r="F34" s="9">
        <f>E34/Inputs!$C$12</f>
        <v>1781.8088588434077</v>
      </c>
      <c r="G34" s="9">
        <f>2*E34/Inputs!$C$21*1000000</f>
        <v>21.158769569455053</v>
      </c>
      <c r="H34" s="9">
        <f>SQRT(A34^2+Inputs!$C$6^2)</f>
        <v>50.606323715519977</v>
      </c>
      <c r="I34" s="9">
        <f t="shared" si="2"/>
        <v>7.1723472676252644</v>
      </c>
      <c r="J34" s="9">
        <f>DEGREES((2*PI()/Inputs!$C$13)*Inputs!$C$15*SIN(RADIANS(I34)))</f>
        <v>44.947581642016367</v>
      </c>
      <c r="K34" s="9">
        <f t="shared" si="3"/>
        <v>0.96906576593234672</v>
      </c>
      <c r="L34" s="9">
        <f t="shared" si="4"/>
        <v>-0.13646748426720079</v>
      </c>
      <c r="M34" s="9">
        <f>2*(Inputs!$C$9/(Inputs!$C$10^2))*A34</f>
        <v>-9.7777777777777783E-2</v>
      </c>
      <c r="N34" s="9">
        <f>M34*Inputs!$C$11</f>
        <v>-0.39111111111111113</v>
      </c>
      <c r="O34" s="9">
        <f>1000*((A34*Inputs!$C$11)+(B34*N34))/D34</f>
        <v>-822.27258061188945</v>
      </c>
      <c r="P34" s="9">
        <f>-2*O34/Inputs!$C$13</f>
        <v>328.90903224475579</v>
      </c>
      <c r="Q34" s="9">
        <f>-2*O34/Inputs!$C$14</f>
        <v>49.385740577290662</v>
      </c>
      <c r="R34" s="9">
        <f>F34-Inputs!$C$16/2</f>
        <v>1766.8088588434077</v>
      </c>
      <c r="S34" s="9">
        <f>F34+Inputs!$C$16/2</f>
        <v>1796.8088588434077</v>
      </c>
      <c r="T34" s="9">
        <f>F34-Inputs!$C$17/2</f>
        <v>1631.8088588434077</v>
      </c>
      <c r="U34" s="9">
        <f>F34+Inputs!$C$17/2</f>
        <v>1931.8088588434077</v>
      </c>
      <c r="V34" s="9">
        <f t="shared" si="5"/>
        <v>328.90903224475579</v>
      </c>
      <c r="W34" s="9">
        <f t="shared" si="6"/>
        <v>49.385740577290662</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0</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0</v>
      </c>
      <c r="Z34" s="9">
        <f t="shared" si="7"/>
        <v>402.15111111111111</v>
      </c>
      <c r="AA34" s="9">
        <f>SQRT(A34^2+Inputs!$C$6^2+(B34-Y34/1000)^2)</f>
        <v>405.32273087985237</v>
      </c>
      <c r="AB34" s="9">
        <f t="shared" si="8"/>
        <v>3171.6197687412659</v>
      </c>
      <c r="AC34" s="9">
        <f>AB34/Inputs!$C$12</f>
        <v>1781.8088588434077</v>
      </c>
      <c r="AD34" s="9">
        <f>2*AB34/Inputs!$C$21*1000000</f>
        <v>21.158769569455053</v>
      </c>
      <c r="AE34" s="9">
        <f t="shared" si="9"/>
        <v>7.1723472676252644</v>
      </c>
      <c r="AF34" s="9">
        <f>DEGREES((2*PI()/Inputs!$C$13)*Inputs!$C$15*SIN(RADIANS(AE34)))</f>
        <v>44.947581642016367</v>
      </c>
      <c r="AG34" s="9">
        <f t="shared" si="10"/>
        <v>0.96906576593234672</v>
      </c>
      <c r="AH34" s="9">
        <f t="shared" si="11"/>
        <v>-0.13646748426720079</v>
      </c>
      <c r="AI34" s="9">
        <f t="shared" si="12"/>
        <v>0</v>
      </c>
      <c r="AJ34" s="9">
        <f t="shared" si="13"/>
        <v>0</v>
      </c>
      <c r="AK34" s="9">
        <f t="shared" si="14"/>
        <v>0</v>
      </c>
      <c r="AL34" s="9">
        <f>1000*(AA35-AA33)/(A35-A33)*Inputs!$C$11</f>
        <v>-822.2716843552007</v>
      </c>
      <c r="AM34" s="9">
        <f>-2*AL34/Inputs!$C$13</f>
        <v>328.90867374208028</v>
      </c>
      <c r="AN34" s="9">
        <f>-2*AL34/Inputs!$C$14</f>
        <v>49.38568674806011</v>
      </c>
      <c r="AO34" s="9">
        <f t="shared" si="15"/>
        <v>328.90867374208028</v>
      </c>
      <c r="AP34" s="9">
        <f t="shared" si="16"/>
        <v>49.38568674806011</v>
      </c>
      <c r="AQ34" s="9">
        <f>IF(OR(Inputs!$C$27=TRUE,Inputs!$C$27="TRUE",Inputs!$C$27=1),Inputs!$C$46/Inputs!$C$12,0)</f>
        <v>0</v>
      </c>
      <c r="AR34" s="9">
        <f t="shared" si="17"/>
        <v>1781.8088588434077</v>
      </c>
      <c r="AS34" s="9">
        <f t="shared" si="18"/>
        <v>1781.8088588434077</v>
      </c>
    </row>
    <row r="35" spans="1:45">
      <c r="A35" s="9">
        <f>Inputs!$C$7+33*(Inputs!$C$8-Inputs!$C$7)/240</f>
        <v>-43.5</v>
      </c>
      <c r="B35" s="9">
        <f>Inputs!$C$5+Inputs!$C$9*(A35/Inputs!$C$10)^2</f>
        <v>402.10250000000002</v>
      </c>
      <c r="C35" s="9">
        <f t="shared" si="0"/>
        <v>402.10250000000002</v>
      </c>
      <c r="D35" s="9">
        <f>SQRT(A35^2+Inputs!$C$6^2+B35^2)</f>
        <v>405.22052083556929</v>
      </c>
      <c r="E35" s="9">
        <f t="shared" si="1"/>
        <v>3118.0208355692685</v>
      </c>
      <c r="F35" s="9">
        <f>E35/Inputs!$C$12</f>
        <v>1751.6970986344204</v>
      </c>
      <c r="G35" s="9">
        <f>2*E35/Inputs!$C$21*1000000</f>
        <v>20.801195976512982</v>
      </c>
      <c r="H35" s="9">
        <f>SQRT(A35^2+Inputs!$C$6^2)</f>
        <v>50.172203459684724</v>
      </c>
      <c r="I35" s="9">
        <f t="shared" si="2"/>
        <v>7.1123037002334444</v>
      </c>
      <c r="J35" s="9">
        <f>DEGREES((2*PI()/Inputs!$C$13)*Inputs!$C$15*SIN(RADIANS(I35)))</f>
        <v>44.573244238081699</v>
      </c>
      <c r="K35" s="9">
        <f t="shared" si="3"/>
        <v>0.96957491617831293</v>
      </c>
      <c r="L35" s="9">
        <f t="shared" si="4"/>
        <v>-0.13418628642164571</v>
      </c>
      <c r="M35" s="9">
        <f>2*(Inputs!$C$9/(Inputs!$C$10^2))*A35</f>
        <v>-9.6666666666666665E-2</v>
      </c>
      <c r="N35" s="9">
        <f>M35*Inputs!$C$11</f>
        <v>-0.38666666666666666</v>
      </c>
      <c r="O35" s="9">
        <f>1000*((A35*Inputs!$C$11)+(B35*N35))/D35</f>
        <v>-813.08723618918077</v>
      </c>
      <c r="P35" s="9">
        <f>-2*O35/Inputs!$C$13</f>
        <v>325.23489447567232</v>
      </c>
      <c r="Q35" s="9">
        <f>-2*O35/Inputs!$C$14</f>
        <v>48.834068239590444</v>
      </c>
      <c r="R35" s="9">
        <f>F35-Inputs!$C$16/2</f>
        <v>1736.6970986344204</v>
      </c>
      <c r="S35" s="9">
        <f>F35+Inputs!$C$16/2</f>
        <v>1766.6970986344204</v>
      </c>
      <c r="T35" s="9">
        <f>F35-Inputs!$C$17/2</f>
        <v>1601.6970986344204</v>
      </c>
      <c r="U35" s="9">
        <f>F35+Inputs!$C$17/2</f>
        <v>1901.6970986344204</v>
      </c>
      <c r="V35" s="9">
        <f t="shared" si="5"/>
        <v>325.23489447567232</v>
      </c>
      <c r="W35" s="9">
        <f t="shared" si="6"/>
        <v>48.834068239590444</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0</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0</v>
      </c>
      <c r="Z35" s="9">
        <f t="shared" si="7"/>
        <v>402.10250000000002</v>
      </c>
      <c r="AA35" s="9">
        <f>SQRT(A35^2+Inputs!$C$6^2+(B35-Y35/1000)^2)</f>
        <v>405.22052083556929</v>
      </c>
      <c r="AB35" s="9">
        <f t="shared" si="8"/>
        <v>3118.0208355692685</v>
      </c>
      <c r="AC35" s="9">
        <f>AB35/Inputs!$C$12</f>
        <v>1751.6970986344204</v>
      </c>
      <c r="AD35" s="9">
        <f>2*AB35/Inputs!$C$21*1000000</f>
        <v>20.801195976512982</v>
      </c>
      <c r="AE35" s="9">
        <f t="shared" si="9"/>
        <v>7.1123037002334444</v>
      </c>
      <c r="AF35" s="9">
        <f>DEGREES((2*PI()/Inputs!$C$13)*Inputs!$C$15*SIN(RADIANS(AE35)))</f>
        <v>44.573244238081699</v>
      </c>
      <c r="AG35" s="9">
        <f t="shared" si="10"/>
        <v>0.96957491617831293</v>
      </c>
      <c r="AH35" s="9">
        <f t="shared" si="11"/>
        <v>-0.13418628642164571</v>
      </c>
      <c r="AI35" s="9">
        <f t="shared" si="12"/>
        <v>0</v>
      </c>
      <c r="AJ35" s="9">
        <f t="shared" si="13"/>
        <v>0</v>
      </c>
      <c r="AK35" s="9">
        <f t="shared" si="14"/>
        <v>0</v>
      </c>
      <c r="AL35" s="9">
        <f>1000*(AA36-AA34)/(A36-A34)*Inputs!$C$11</f>
        <v>-813.08634899824028</v>
      </c>
      <c r="AM35" s="9">
        <f>-2*AL35/Inputs!$C$13</f>
        <v>325.23453959929611</v>
      </c>
      <c r="AN35" s="9">
        <f>-2*AL35/Inputs!$C$14</f>
        <v>48.834014954849273</v>
      </c>
      <c r="AO35" s="9">
        <f t="shared" si="15"/>
        <v>325.23453959929611</v>
      </c>
      <c r="AP35" s="9">
        <f t="shared" si="16"/>
        <v>48.834014954849273</v>
      </c>
      <c r="AQ35" s="9">
        <f>IF(OR(Inputs!$C$27=TRUE,Inputs!$C$27="TRUE",Inputs!$C$27=1),Inputs!$C$46/Inputs!$C$12,0)</f>
        <v>0</v>
      </c>
      <c r="AR35" s="9">
        <f t="shared" si="17"/>
        <v>1751.6970986344204</v>
      </c>
      <c r="AS35" s="9">
        <f t="shared" si="18"/>
        <v>1751.6970986344204</v>
      </c>
    </row>
    <row r="36" spans="1:45">
      <c r="A36" s="9">
        <f>Inputs!$C$7+34*(Inputs!$C$8-Inputs!$C$7)/240</f>
        <v>-43</v>
      </c>
      <c r="B36" s="9">
        <f>Inputs!$C$5+Inputs!$C$9*(A36/Inputs!$C$10)^2</f>
        <v>402.05444444444447</v>
      </c>
      <c r="C36" s="9">
        <f t="shared" si="0"/>
        <v>402.05444444444447</v>
      </c>
      <c r="D36" s="9">
        <f>SQRT(A36^2+Inputs!$C$6^2+B36^2)</f>
        <v>405.11945929260281</v>
      </c>
      <c r="E36" s="9">
        <f t="shared" si="1"/>
        <v>3065.0148481583415</v>
      </c>
      <c r="F36" s="9">
        <f>E36/Inputs!$C$12</f>
        <v>1721.9184540215401</v>
      </c>
      <c r="G36" s="9">
        <f>2*E36/Inputs!$C$21*1000000</f>
        <v>20.447578091896769</v>
      </c>
      <c r="H36" s="9">
        <f>SQRT(A36^2+Inputs!$C$6^2)</f>
        <v>49.739320461783549</v>
      </c>
      <c r="I36" s="9">
        <f t="shared" si="2"/>
        <v>7.0523939154276203</v>
      </c>
      <c r="J36" s="9">
        <f>DEGREES((2*PI()/Inputs!$C$13)*Inputs!$C$15*SIN(RADIANS(I36)))</f>
        <v>44.19969210441981</v>
      </c>
      <c r="K36" s="9">
        <f t="shared" si="3"/>
        <v>0.97007888527946617</v>
      </c>
      <c r="L36" s="9">
        <f t="shared" si="4"/>
        <v>-0.13192948157903586</v>
      </c>
      <c r="M36" s="9">
        <f>2*(Inputs!$C$9/(Inputs!$C$10^2))*A36</f>
        <v>-9.555555555555556E-2</v>
      </c>
      <c r="N36" s="9">
        <f>M36*Inputs!$C$11</f>
        <v>-0.38222222222222224</v>
      </c>
      <c r="O36" s="9">
        <f>1000*((A36*Inputs!$C$11)+(B36*N36))/D36</f>
        <v>-803.89656862830213</v>
      </c>
      <c r="P36" s="9">
        <f>-2*O36/Inputs!$C$13</f>
        <v>321.55862745132083</v>
      </c>
      <c r="Q36" s="9">
        <f>-2*O36/Inputs!$C$14</f>
        <v>48.282076193892024</v>
      </c>
      <c r="R36" s="9">
        <f>F36-Inputs!$C$16/2</f>
        <v>1706.9184540215401</v>
      </c>
      <c r="S36" s="9">
        <f>F36+Inputs!$C$16/2</f>
        <v>1736.9184540215401</v>
      </c>
      <c r="T36" s="9">
        <f>F36-Inputs!$C$17/2</f>
        <v>1571.9184540215401</v>
      </c>
      <c r="U36" s="9">
        <f>F36+Inputs!$C$17/2</f>
        <v>1871.9184540215401</v>
      </c>
      <c r="V36" s="9">
        <f t="shared" si="5"/>
        <v>321.55862745132083</v>
      </c>
      <c r="W36" s="9">
        <f t="shared" si="6"/>
        <v>48.282076193892024</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0</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0</v>
      </c>
      <c r="Z36" s="9">
        <f t="shared" si="7"/>
        <v>402.05444444444447</v>
      </c>
      <c r="AA36" s="9">
        <f>SQRT(A36^2+Inputs!$C$6^2+(B36-Y36/1000)^2)</f>
        <v>405.11945929260281</v>
      </c>
      <c r="AB36" s="9">
        <f t="shared" si="8"/>
        <v>3065.0148481583415</v>
      </c>
      <c r="AC36" s="9">
        <f>AB36/Inputs!$C$12</f>
        <v>1721.9184540215401</v>
      </c>
      <c r="AD36" s="9">
        <f>2*AB36/Inputs!$C$21*1000000</f>
        <v>20.447578091896769</v>
      </c>
      <c r="AE36" s="9">
        <f t="shared" si="9"/>
        <v>7.0523939154276203</v>
      </c>
      <c r="AF36" s="9">
        <f>DEGREES((2*PI()/Inputs!$C$13)*Inputs!$C$15*SIN(RADIANS(AE36)))</f>
        <v>44.19969210441981</v>
      </c>
      <c r="AG36" s="9">
        <f t="shared" si="10"/>
        <v>0.97007888527946617</v>
      </c>
      <c r="AH36" s="9">
        <f t="shared" si="11"/>
        <v>-0.13192948157903586</v>
      </c>
      <c r="AI36" s="9">
        <f t="shared" si="12"/>
        <v>0</v>
      </c>
      <c r="AJ36" s="9">
        <f t="shared" si="13"/>
        <v>0</v>
      </c>
      <c r="AK36" s="9">
        <f t="shared" si="14"/>
        <v>0</v>
      </c>
      <c r="AL36" s="9">
        <f>1000*(AA37-AA35)/(A37-A35)*Inputs!$C$11</f>
        <v>-803.89569053954801</v>
      </c>
      <c r="AM36" s="9">
        <f>-2*AL36/Inputs!$C$13</f>
        <v>321.55827621581921</v>
      </c>
      <c r="AN36" s="9">
        <f>-2*AL36/Inputs!$C$14</f>
        <v>48.282023455828714</v>
      </c>
      <c r="AO36" s="9">
        <f t="shared" si="15"/>
        <v>321.55827621581921</v>
      </c>
      <c r="AP36" s="9">
        <f t="shared" si="16"/>
        <v>48.282023455828714</v>
      </c>
      <c r="AQ36" s="9">
        <f>IF(OR(Inputs!$C$27=TRUE,Inputs!$C$27="TRUE",Inputs!$C$27=1),Inputs!$C$46/Inputs!$C$12,0)</f>
        <v>0</v>
      </c>
      <c r="AR36" s="9">
        <f t="shared" si="17"/>
        <v>1721.9184540215401</v>
      </c>
      <c r="AS36" s="9">
        <f t="shared" si="18"/>
        <v>1721.9184540215401</v>
      </c>
    </row>
    <row r="37" spans="1:45">
      <c r="A37" s="9">
        <f>Inputs!$C$7+35*(Inputs!$C$8-Inputs!$C$7)/240</f>
        <v>-42.5</v>
      </c>
      <c r="B37" s="9">
        <f>Inputs!$C$5+Inputs!$C$9*(A37/Inputs!$C$10)^2</f>
        <v>402.00694444444446</v>
      </c>
      <c r="C37" s="9">
        <f t="shared" si="0"/>
        <v>402.00694444444446</v>
      </c>
      <c r="D37" s="9">
        <f>SQRT(A37^2+Inputs!$C$6^2+B37^2)</f>
        <v>405.0195469129344</v>
      </c>
      <c r="E37" s="9">
        <f t="shared" si="1"/>
        <v>3012.6024684899448</v>
      </c>
      <c r="F37" s="9">
        <f>E37/Inputs!$C$12</f>
        <v>1692.4732969044633</v>
      </c>
      <c r="G37" s="9">
        <f>2*E37/Inputs!$C$21*1000000</f>
        <v>20.097920331871354</v>
      </c>
      <c r="H37" s="9">
        <f>SQRT(A37^2+Inputs!$C$6^2)</f>
        <v>49.307707308290048</v>
      </c>
      <c r="I37" s="9">
        <f t="shared" si="2"/>
        <v>6.9926230322802692</v>
      </c>
      <c r="J37" s="9">
        <f>DEGREES((2*PI()/Inputs!$C$13)*Inputs!$C$15*SIN(RADIANS(I37)))</f>
        <v>43.826957899393037</v>
      </c>
      <c r="K37" s="9">
        <f t="shared" si="3"/>
        <v>0.97057765233037074</v>
      </c>
      <c r="L37" s="9">
        <f t="shared" si="4"/>
        <v>-0.12969712589389082</v>
      </c>
      <c r="M37" s="9">
        <f>2*(Inputs!$C$9/(Inputs!$C$10^2))*A37</f>
        <v>-9.4444444444444442E-2</v>
      </c>
      <c r="N37" s="9">
        <f>M37*Inputs!$C$11</f>
        <v>-0.37777777777777777</v>
      </c>
      <c r="O37" s="9">
        <f>1000*((A37*Inputs!$C$11)+(B37*N37))/D37</f>
        <v>-794.70063254168792</v>
      </c>
      <c r="P37" s="9">
        <f>-2*O37/Inputs!$C$13</f>
        <v>317.88025301667517</v>
      </c>
      <c r="Q37" s="9">
        <f>-2*O37/Inputs!$C$14</f>
        <v>47.729767720221503</v>
      </c>
      <c r="R37" s="9">
        <f>F37-Inputs!$C$16/2</f>
        <v>1677.4732969044633</v>
      </c>
      <c r="S37" s="9">
        <f>F37+Inputs!$C$16/2</f>
        <v>1707.4732969044633</v>
      </c>
      <c r="T37" s="9">
        <f>F37-Inputs!$C$17/2</f>
        <v>1542.4732969044633</v>
      </c>
      <c r="U37" s="9">
        <f>F37+Inputs!$C$17/2</f>
        <v>1842.4732969044633</v>
      </c>
      <c r="V37" s="9">
        <f t="shared" si="5"/>
        <v>317.88025301667517</v>
      </c>
      <c r="W37" s="9">
        <f t="shared" si="6"/>
        <v>47.729767720221503</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0</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0</v>
      </c>
      <c r="Z37" s="9">
        <f t="shared" si="7"/>
        <v>402.00694444444446</v>
      </c>
      <c r="AA37" s="9">
        <f>SQRT(A37^2+Inputs!$C$6^2+(B37-Y37/1000)^2)</f>
        <v>405.0195469129344</v>
      </c>
      <c r="AB37" s="9">
        <f t="shared" si="8"/>
        <v>3012.6024684899448</v>
      </c>
      <c r="AC37" s="9">
        <f>AB37/Inputs!$C$12</f>
        <v>1692.4732969044633</v>
      </c>
      <c r="AD37" s="9">
        <f>2*AB37/Inputs!$C$21*1000000</f>
        <v>20.097920331871354</v>
      </c>
      <c r="AE37" s="9">
        <f t="shared" si="9"/>
        <v>6.9926230322802692</v>
      </c>
      <c r="AF37" s="9">
        <f>DEGREES((2*PI()/Inputs!$C$13)*Inputs!$C$15*SIN(RADIANS(AE37)))</f>
        <v>43.826957899393037</v>
      </c>
      <c r="AG37" s="9">
        <f t="shared" si="10"/>
        <v>0.97057765233037074</v>
      </c>
      <c r="AH37" s="9">
        <f t="shared" si="11"/>
        <v>-0.12969712589389082</v>
      </c>
      <c r="AI37" s="9">
        <f t="shared" si="12"/>
        <v>0</v>
      </c>
      <c r="AJ37" s="9">
        <f t="shared" si="13"/>
        <v>0</v>
      </c>
      <c r="AK37" s="9">
        <f t="shared" si="14"/>
        <v>0</v>
      </c>
      <c r="AL37" s="9">
        <f>1000*(AA38-AA36)/(A38-A36)*Inputs!$C$11</f>
        <v>-794.69976359132488</v>
      </c>
      <c r="AM37" s="9">
        <f>-2*AL37/Inputs!$C$13</f>
        <v>317.87990543652995</v>
      </c>
      <c r="AN37" s="9">
        <f>-2*AL37/Inputs!$C$14</f>
        <v>47.729715531010505</v>
      </c>
      <c r="AO37" s="9">
        <f t="shared" si="15"/>
        <v>317.87990543652995</v>
      </c>
      <c r="AP37" s="9">
        <f t="shared" si="16"/>
        <v>47.729715531010505</v>
      </c>
      <c r="AQ37" s="9">
        <f>IF(OR(Inputs!$C$27=TRUE,Inputs!$C$27="TRUE",Inputs!$C$27=1),Inputs!$C$46/Inputs!$C$12,0)</f>
        <v>0</v>
      </c>
      <c r="AR37" s="9">
        <f t="shared" si="17"/>
        <v>1692.4732969044633</v>
      </c>
      <c r="AS37" s="9">
        <f t="shared" si="18"/>
        <v>1692.4732969044633</v>
      </c>
    </row>
    <row r="38" spans="1:45">
      <c r="A38" s="9">
        <f>Inputs!$C$7+36*(Inputs!$C$8-Inputs!$C$7)/240</f>
        <v>-42</v>
      </c>
      <c r="B38" s="9">
        <f>Inputs!$C$5+Inputs!$C$9*(A38/Inputs!$C$10)^2</f>
        <v>401.96</v>
      </c>
      <c r="C38" s="9">
        <f t="shared" si="0"/>
        <v>401.96</v>
      </c>
      <c r="D38" s="9">
        <f>SQRT(A38^2+Inputs!$C$6^2+B38^2)</f>
        <v>404.92078435170498</v>
      </c>
      <c r="E38" s="9">
        <f t="shared" si="1"/>
        <v>2960.7843517050014</v>
      </c>
      <c r="F38" s="9">
        <f>E38/Inputs!$C$12</f>
        <v>1663.3619953398884</v>
      </c>
      <c r="G38" s="9">
        <f>2*E38/Inputs!$C$21*1000000</f>
        <v>19.752227067066521</v>
      </c>
      <c r="H38" s="9">
        <f>SQRT(A38^2+Inputs!$C$6^2)</f>
        <v>48.877397639399746</v>
      </c>
      <c r="I38" s="9">
        <f t="shared" si="2"/>
        <v>6.9329963219162467</v>
      </c>
      <c r="J38" s="9">
        <f>DEGREES((2*PI()/Inputs!$C$13)*Inputs!$C$15*SIN(RADIANS(I38)))</f>
        <v>43.455075239853677</v>
      </c>
      <c r="K38" s="9">
        <f t="shared" si="3"/>
        <v>0.97107119660690411</v>
      </c>
      <c r="L38" s="9">
        <f t="shared" si="4"/>
        <v>-0.1274892749675294</v>
      </c>
      <c r="M38" s="9">
        <f>2*(Inputs!$C$9/(Inputs!$C$10^2))*A38</f>
        <v>-9.3333333333333338E-2</v>
      </c>
      <c r="N38" s="9">
        <f>M38*Inputs!$C$11</f>
        <v>-0.37333333333333335</v>
      </c>
      <c r="O38" s="9">
        <f>1000*((A38*Inputs!$C$11)+(B38*N38))/D38</f>
        <v>-785.49948275908343</v>
      </c>
      <c r="P38" s="9">
        <f>-2*O38/Inputs!$C$13</f>
        <v>314.1997931036334</v>
      </c>
      <c r="Q38" s="9">
        <f>-2*O38/Inputs!$C$14</f>
        <v>47.177146111656668</v>
      </c>
      <c r="R38" s="9">
        <f>F38-Inputs!$C$16/2</f>
        <v>1648.3619953398884</v>
      </c>
      <c r="S38" s="9">
        <f>F38+Inputs!$C$16/2</f>
        <v>1678.3619953398884</v>
      </c>
      <c r="T38" s="9">
        <f>F38-Inputs!$C$17/2</f>
        <v>1513.3619953398884</v>
      </c>
      <c r="U38" s="9">
        <f>F38+Inputs!$C$17/2</f>
        <v>1813.3619953398884</v>
      </c>
      <c r="V38" s="9">
        <f t="shared" si="5"/>
        <v>314.1997931036334</v>
      </c>
      <c r="W38" s="9">
        <f t="shared" si="6"/>
        <v>47.177146111656668</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0</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0</v>
      </c>
      <c r="Z38" s="9">
        <f t="shared" si="7"/>
        <v>401.96</v>
      </c>
      <c r="AA38" s="9">
        <f>SQRT(A38^2+Inputs!$C$6^2+(B38-Y38/1000)^2)</f>
        <v>404.92078435170498</v>
      </c>
      <c r="AB38" s="9">
        <f t="shared" si="8"/>
        <v>2960.7843517050014</v>
      </c>
      <c r="AC38" s="9">
        <f>AB38/Inputs!$C$12</f>
        <v>1663.3619953398884</v>
      </c>
      <c r="AD38" s="9">
        <f>2*AB38/Inputs!$C$21*1000000</f>
        <v>19.752227067066521</v>
      </c>
      <c r="AE38" s="9">
        <f t="shared" si="9"/>
        <v>6.9329963219162467</v>
      </c>
      <c r="AF38" s="9">
        <f>DEGREES((2*PI()/Inputs!$C$13)*Inputs!$C$15*SIN(RADIANS(AE38)))</f>
        <v>43.455075239853677</v>
      </c>
      <c r="AG38" s="9">
        <f t="shared" si="10"/>
        <v>0.97107119660690411</v>
      </c>
      <c r="AH38" s="9">
        <f t="shared" si="11"/>
        <v>-0.1274892749675294</v>
      </c>
      <c r="AI38" s="9">
        <f t="shared" si="12"/>
        <v>0</v>
      </c>
      <c r="AJ38" s="9">
        <f t="shared" si="13"/>
        <v>0</v>
      </c>
      <c r="AK38" s="9">
        <f t="shared" si="14"/>
        <v>0</v>
      </c>
      <c r="AL38" s="9">
        <f>1000*(AA39-AA37)/(A39-A37)*Inputs!$C$11</f>
        <v>-785.49862298291373</v>
      </c>
      <c r="AM38" s="9">
        <f>-2*AL38/Inputs!$C$13</f>
        <v>314.19944919316549</v>
      </c>
      <c r="AN38" s="9">
        <f>-2*AL38/Inputs!$C$14</f>
        <v>47.177094473448278</v>
      </c>
      <c r="AO38" s="9">
        <f t="shared" si="15"/>
        <v>314.19944919316549</v>
      </c>
      <c r="AP38" s="9">
        <f t="shared" si="16"/>
        <v>47.177094473448278</v>
      </c>
      <c r="AQ38" s="9">
        <f>IF(OR(Inputs!$C$27=TRUE,Inputs!$C$27="TRUE",Inputs!$C$27=1),Inputs!$C$46/Inputs!$C$12,0)</f>
        <v>0</v>
      </c>
      <c r="AR38" s="9">
        <f t="shared" si="17"/>
        <v>1663.3619953398884</v>
      </c>
      <c r="AS38" s="9">
        <f t="shared" si="18"/>
        <v>1663.3619953398884</v>
      </c>
    </row>
    <row r="39" spans="1:45">
      <c r="A39" s="9">
        <f>Inputs!$C$7+37*(Inputs!$C$8-Inputs!$C$7)/240</f>
        <v>-41.5</v>
      </c>
      <c r="B39" s="9">
        <f>Inputs!$C$5+Inputs!$C$9*(A39/Inputs!$C$10)^2</f>
        <v>401.91361111111109</v>
      </c>
      <c r="C39" s="9">
        <f t="shared" si="0"/>
        <v>401.91361111111109</v>
      </c>
      <c r="D39" s="9">
        <f>SQRT(A39^2+Inputs!$C$6^2+B39^2)</f>
        <v>404.82317225718867</v>
      </c>
      <c r="E39" s="9">
        <f t="shared" si="1"/>
        <v>2909.5611460775785</v>
      </c>
      <c r="F39" s="9">
        <f>E39/Inputs!$C$12</f>
        <v>1634.5849135267295</v>
      </c>
      <c r="G39" s="9">
        <f>2*E39/Inputs!$C$21*1000000</f>
        <v>19.410502622301316</v>
      </c>
      <c r="H39" s="9">
        <f>SQRT(A39^2+Inputs!$C$6^2)</f>
        <v>48.448426187029028</v>
      </c>
      <c r="I39" s="9">
        <f t="shared" si="2"/>
        <v>6.8735192129301588</v>
      </c>
      <c r="J39" s="9">
        <f>DEGREES((2*PI()/Inputs!$C$13)*Inputs!$C$15*SIN(RADIANS(I39)))</f>
        <v>43.084078735121693</v>
      </c>
      <c r="K39" s="9">
        <f t="shared" si="3"/>
        <v>0.97155949756817117</v>
      </c>
      <c r="L39" s="9">
        <f t="shared" si="4"/>
        <v>-0.1253059838449451</v>
      </c>
      <c r="M39" s="9">
        <f>2*(Inputs!$C$9/(Inputs!$C$10^2))*A39</f>
        <v>-9.2222222222222219E-2</v>
      </c>
      <c r="N39" s="9">
        <f>M39*Inputs!$C$11</f>
        <v>-0.36888888888888888</v>
      </c>
      <c r="O39" s="9">
        <f>1000*((A39*Inputs!$C$11)+(B39*N39))/D39</f>
        <v>-776.29317432561629</v>
      </c>
      <c r="P39" s="9">
        <f>-2*O39/Inputs!$C$13</f>
        <v>310.51726973024654</v>
      </c>
      <c r="Q39" s="9">
        <f>-2*O39/Inputs!$C$14</f>
        <v>46.624214674211196</v>
      </c>
      <c r="R39" s="9">
        <f>F39-Inputs!$C$16/2</f>
        <v>1619.5849135267295</v>
      </c>
      <c r="S39" s="9">
        <f>F39+Inputs!$C$16/2</f>
        <v>1649.5849135267295</v>
      </c>
      <c r="T39" s="9">
        <f>F39-Inputs!$C$17/2</f>
        <v>1484.5849135267295</v>
      </c>
      <c r="U39" s="9">
        <f>F39+Inputs!$C$17/2</f>
        <v>1784.5849135267295</v>
      </c>
      <c r="V39" s="9">
        <f t="shared" si="5"/>
        <v>310.51726973024654</v>
      </c>
      <c r="W39" s="9">
        <f t="shared" si="6"/>
        <v>46.624214674211196</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0</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0</v>
      </c>
      <c r="Z39" s="9">
        <f t="shared" si="7"/>
        <v>401.91361111111109</v>
      </c>
      <c r="AA39" s="9">
        <f>SQRT(A39^2+Inputs!$C$6^2+(B39-Y39/1000)^2)</f>
        <v>404.82317225718867</v>
      </c>
      <c r="AB39" s="9">
        <f t="shared" si="8"/>
        <v>2909.5611460775785</v>
      </c>
      <c r="AC39" s="9">
        <f>AB39/Inputs!$C$12</f>
        <v>1634.5849135267295</v>
      </c>
      <c r="AD39" s="9">
        <f>2*AB39/Inputs!$C$21*1000000</f>
        <v>19.410502622301316</v>
      </c>
      <c r="AE39" s="9">
        <f t="shared" si="9"/>
        <v>6.8735192129301588</v>
      </c>
      <c r="AF39" s="9">
        <f>DEGREES((2*PI()/Inputs!$C$13)*Inputs!$C$15*SIN(RADIANS(AE39)))</f>
        <v>43.084078735121693</v>
      </c>
      <c r="AG39" s="9">
        <f t="shared" si="10"/>
        <v>0.97155949756817117</v>
      </c>
      <c r="AH39" s="9">
        <f t="shared" si="11"/>
        <v>-0.1253059838449451</v>
      </c>
      <c r="AI39" s="9">
        <f t="shared" si="12"/>
        <v>0</v>
      </c>
      <c r="AJ39" s="9">
        <f t="shared" si="13"/>
        <v>0</v>
      </c>
      <c r="AK39" s="9">
        <f t="shared" si="14"/>
        <v>0</v>
      </c>
      <c r="AL39" s="9">
        <f>1000*(AA40-AA38)/(A40-A38)*Inputs!$C$11</f>
        <v>-776.2923237587529</v>
      </c>
      <c r="AM39" s="9">
        <f>-2*AL39/Inputs!$C$13</f>
        <v>310.51692950350116</v>
      </c>
      <c r="AN39" s="9">
        <f>-2*AL39/Inputs!$C$14</f>
        <v>46.624163589114289</v>
      </c>
      <c r="AO39" s="9">
        <f t="shared" si="15"/>
        <v>310.51692950350116</v>
      </c>
      <c r="AP39" s="9">
        <f t="shared" si="16"/>
        <v>46.624163589114289</v>
      </c>
      <c r="AQ39" s="9">
        <f>IF(OR(Inputs!$C$27=TRUE,Inputs!$C$27="TRUE",Inputs!$C$27=1),Inputs!$C$46/Inputs!$C$12,0)</f>
        <v>0</v>
      </c>
      <c r="AR39" s="9">
        <f t="shared" si="17"/>
        <v>1634.5849135267295</v>
      </c>
      <c r="AS39" s="9">
        <f t="shared" si="18"/>
        <v>1634.5849135267295</v>
      </c>
    </row>
    <row r="40" spans="1:45">
      <c r="A40" s="9">
        <f>Inputs!$C$7+38*(Inputs!$C$8-Inputs!$C$7)/240</f>
        <v>-41</v>
      </c>
      <c r="B40" s="9">
        <f>Inputs!$C$5+Inputs!$C$9*(A40/Inputs!$C$10)^2</f>
        <v>401.8677777777778</v>
      </c>
      <c r="C40" s="9">
        <f t="shared" si="0"/>
        <v>401.8677777777778</v>
      </c>
      <c r="D40" s="9">
        <f>SQRT(A40^2+Inputs!$C$6^2+B40^2)</f>
        <v>404.72671127076529</v>
      </c>
      <c r="E40" s="9">
        <f t="shared" si="1"/>
        <v>2858.9334929874894</v>
      </c>
      <c r="F40" s="9">
        <f>E40/Inputs!$C$12</f>
        <v>1606.1424117907243</v>
      </c>
      <c r="G40" s="9">
        <f>2*E40/Inputs!$C$21*1000000</f>
        <v>19.072751276401284</v>
      </c>
      <c r="H40" s="9">
        <f>SQRT(A40^2+Inputs!$C$6^2)</f>
        <v>48.020828814171878</v>
      </c>
      <c r="I40" s="9">
        <f t="shared" si="2"/>
        <v>6.8141972969973379</v>
      </c>
      <c r="J40" s="9">
        <f>DEGREES((2*PI()/Inputs!$C$13)*Inputs!$C$15*SIN(RADIANS(I40)))</f>
        <v>42.714004022176852</v>
      </c>
      <c r="K40" s="9">
        <f t="shared" si="3"/>
        <v>0.97204253485841974</v>
      </c>
      <c r="L40" s="9">
        <f t="shared" si="4"/>
        <v>-0.12314730701164694</v>
      </c>
      <c r="M40" s="9">
        <f>2*(Inputs!$C$9/(Inputs!$C$10^2))*A40</f>
        <v>-9.1111111111111115E-2</v>
      </c>
      <c r="N40" s="9">
        <f>M40*Inputs!$C$11</f>
        <v>-0.36444444444444446</v>
      </c>
      <c r="O40" s="9">
        <f>1000*((A40*Inputs!$C$11)+(B40*N40))/D40</f>
        <v>-767.08176249984797</v>
      </c>
      <c r="P40" s="9">
        <f>-2*O40/Inputs!$C$13</f>
        <v>306.83270499993921</v>
      </c>
      <c r="Q40" s="9">
        <f>-2*O40/Inputs!$C$14</f>
        <v>46.070976726717596</v>
      </c>
      <c r="R40" s="9">
        <f>F40-Inputs!$C$16/2</f>
        <v>1591.1424117907243</v>
      </c>
      <c r="S40" s="9">
        <f>F40+Inputs!$C$16/2</f>
        <v>1621.1424117907243</v>
      </c>
      <c r="T40" s="9">
        <f>F40-Inputs!$C$17/2</f>
        <v>1456.1424117907243</v>
      </c>
      <c r="U40" s="9">
        <f>F40+Inputs!$C$17/2</f>
        <v>1756.1424117907243</v>
      </c>
      <c r="V40" s="9">
        <f t="shared" si="5"/>
        <v>306.83270499993921</v>
      </c>
      <c r="W40" s="9">
        <f t="shared" si="6"/>
        <v>46.070976726717596</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0</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0</v>
      </c>
      <c r="Z40" s="9">
        <f t="shared" si="7"/>
        <v>401.8677777777778</v>
      </c>
      <c r="AA40" s="9">
        <f>SQRT(A40^2+Inputs!$C$6^2+(B40-Y40/1000)^2)</f>
        <v>404.72671127076529</v>
      </c>
      <c r="AB40" s="9">
        <f t="shared" si="8"/>
        <v>2858.9334929874894</v>
      </c>
      <c r="AC40" s="9">
        <f>AB40/Inputs!$C$12</f>
        <v>1606.1424117907243</v>
      </c>
      <c r="AD40" s="9">
        <f>2*AB40/Inputs!$C$21*1000000</f>
        <v>19.072751276401284</v>
      </c>
      <c r="AE40" s="9">
        <f t="shared" si="9"/>
        <v>6.8141972969973379</v>
      </c>
      <c r="AF40" s="9">
        <f>DEGREES((2*PI()/Inputs!$C$13)*Inputs!$C$15*SIN(RADIANS(AE40)))</f>
        <v>42.714004022176852</v>
      </c>
      <c r="AG40" s="9">
        <f t="shared" si="10"/>
        <v>0.97204253485841974</v>
      </c>
      <c r="AH40" s="9">
        <f t="shared" si="11"/>
        <v>-0.12314730701164694</v>
      </c>
      <c r="AI40" s="9">
        <f t="shared" si="12"/>
        <v>0</v>
      </c>
      <c r="AJ40" s="9">
        <f t="shared" si="13"/>
        <v>0</v>
      </c>
      <c r="AK40" s="9">
        <f t="shared" si="14"/>
        <v>0</v>
      </c>
      <c r="AL40" s="9">
        <f>1000*(AA41-AA39)/(A41-A39)*Inputs!$C$11</f>
        <v>-767.08092117837623</v>
      </c>
      <c r="AM40" s="9">
        <f>-2*AL40/Inputs!$C$13</f>
        <v>306.83236847135049</v>
      </c>
      <c r="AN40" s="9">
        <f>-2*AL40/Inputs!$C$14</f>
        <v>46.070926196899478</v>
      </c>
      <c r="AO40" s="9">
        <f t="shared" si="15"/>
        <v>306.83236847135049</v>
      </c>
      <c r="AP40" s="9">
        <f t="shared" si="16"/>
        <v>46.070926196899478</v>
      </c>
      <c r="AQ40" s="9">
        <f>IF(OR(Inputs!$C$27=TRUE,Inputs!$C$27="TRUE",Inputs!$C$27=1),Inputs!$C$46/Inputs!$C$12,0)</f>
        <v>0</v>
      </c>
      <c r="AR40" s="9">
        <f t="shared" si="17"/>
        <v>1606.1424117907243</v>
      </c>
      <c r="AS40" s="9">
        <f t="shared" si="18"/>
        <v>1606.1424117907243</v>
      </c>
    </row>
    <row r="41" spans="1:45">
      <c r="A41" s="9">
        <f>Inputs!$C$7+39*(Inputs!$C$8-Inputs!$C$7)/240</f>
        <v>-40.5</v>
      </c>
      <c r="B41" s="9">
        <f>Inputs!$C$5+Inputs!$C$9*(A41/Inputs!$C$10)^2</f>
        <v>401.82249999999999</v>
      </c>
      <c r="C41" s="9">
        <f t="shared" si="0"/>
        <v>401.82249999999999</v>
      </c>
      <c r="D41" s="9">
        <f>SQRT(A41^2+Inputs!$C$6^2+B41^2)</f>
        <v>404.63140202689408</v>
      </c>
      <c r="E41" s="9">
        <f t="shared" si="1"/>
        <v>2808.9020268940885</v>
      </c>
      <c r="F41" s="9">
        <f>E41/Inputs!$C$12</f>
        <v>1578.0348465697127</v>
      </c>
      <c r="G41" s="9">
        <f>2*E41/Inputs!$C$21*1000000</f>
        <v>18.738977262023639</v>
      </c>
      <c r="H41" s="9">
        <f>SQRT(A41^2+Inputs!$C$6^2)</f>
        <v>47.594642555649052</v>
      </c>
      <c r="I41" s="9">
        <f t="shared" si="2"/>
        <v>6.7550363346833162</v>
      </c>
      <c r="J41" s="9">
        <f>DEGREES((2*PI()/Inputs!$C$13)*Inputs!$C$15*SIN(RADIANS(I41)))</f>
        <v>42.344887802096068</v>
      </c>
      <c r="K41" s="9">
        <f t="shared" si="3"/>
        <v>0.97252028830893633</v>
      </c>
      <c r="L41" s="9">
        <f t="shared" si="4"/>
        <v>-0.12101329839055866</v>
      </c>
      <c r="M41" s="9">
        <f>2*(Inputs!$C$9/(Inputs!$C$10^2))*A41</f>
        <v>-0.09</v>
      </c>
      <c r="N41" s="9">
        <f>M41*Inputs!$C$11</f>
        <v>-0.36</v>
      </c>
      <c r="O41" s="9">
        <f>1000*((A41*Inputs!$C$11)+(B41*N41))/D41</f>
        <v>-757.86530275180644</v>
      </c>
      <c r="P41" s="9">
        <f>-2*O41/Inputs!$C$13</f>
        <v>303.14612110072255</v>
      </c>
      <c r="Q41" s="9">
        <f>-2*O41/Inputs!$C$14</f>
        <v>45.517435600709099</v>
      </c>
      <c r="R41" s="9">
        <f>F41-Inputs!$C$16/2</f>
        <v>1563.0348465697127</v>
      </c>
      <c r="S41" s="9">
        <f>F41+Inputs!$C$16/2</f>
        <v>1593.0348465697127</v>
      </c>
      <c r="T41" s="9">
        <f>F41-Inputs!$C$17/2</f>
        <v>1428.0348465697127</v>
      </c>
      <c r="U41" s="9">
        <f>F41+Inputs!$C$17/2</f>
        <v>1728.0348465697127</v>
      </c>
      <c r="V41" s="9">
        <f t="shared" si="5"/>
        <v>303.14612110072255</v>
      </c>
      <c r="W41" s="9">
        <f t="shared" si="6"/>
        <v>45.517435600709099</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0</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0</v>
      </c>
      <c r="Z41" s="9">
        <f t="shared" si="7"/>
        <v>401.82249999999999</v>
      </c>
      <c r="AA41" s="9">
        <f>SQRT(A41^2+Inputs!$C$6^2+(B41-Y41/1000)^2)</f>
        <v>404.63140202689408</v>
      </c>
      <c r="AB41" s="9">
        <f t="shared" si="8"/>
        <v>2808.9020268940885</v>
      </c>
      <c r="AC41" s="9">
        <f>AB41/Inputs!$C$12</f>
        <v>1578.0348465697127</v>
      </c>
      <c r="AD41" s="9">
        <f>2*AB41/Inputs!$C$21*1000000</f>
        <v>18.738977262023639</v>
      </c>
      <c r="AE41" s="9">
        <f t="shared" si="9"/>
        <v>6.7550363346833162</v>
      </c>
      <c r="AF41" s="9">
        <f>DEGREES((2*PI()/Inputs!$C$13)*Inputs!$C$15*SIN(RADIANS(AE41)))</f>
        <v>42.344887802096068</v>
      </c>
      <c r="AG41" s="9">
        <f t="shared" si="10"/>
        <v>0.97252028830893633</v>
      </c>
      <c r="AH41" s="9">
        <f t="shared" si="11"/>
        <v>-0.12101329839055866</v>
      </c>
      <c r="AI41" s="9">
        <f t="shared" si="12"/>
        <v>0</v>
      </c>
      <c r="AJ41" s="9">
        <f t="shared" si="13"/>
        <v>0</v>
      </c>
      <c r="AK41" s="9">
        <f t="shared" si="14"/>
        <v>0</v>
      </c>
      <c r="AL41" s="9">
        <f>1000*(AA42-AA40)/(A42-A40)*Inputs!$C$11</f>
        <v>-757.86447071027396</v>
      </c>
      <c r="AM41" s="9">
        <f>-2*AL41/Inputs!$C$13</f>
        <v>303.14578828410959</v>
      </c>
      <c r="AN41" s="9">
        <f>-2*AL41/Inputs!$C$14</f>
        <v>45.517385628244689</v>
      </c>
      <c r="AO41" s="9">
        <f t="shared" si="15"/>
        <v>303.14578828410959</v>
      </c>
      <c r="AP41" s="9">
        <f t="shared" si="16"/>
        <v>45.517385628244689</v>
      </c>
      <c r="AQ41" s="9">
        <f>IF(OR(Inputs!$C$27=TRUE,Inputs!$C$27="TRUE",Inputs!$C$27=1),Inputs!$C$46/Inputs!$C$12,0)</f>
        <v>0</v>
      </c>
      <c r="AR41" s="9">
        <f t="shared" si="17"/>
        <v>1578.0348465697127</v>
      </c>
      <c r="AS41" s="9">
        <f t="shared" si="18"/>
        <v>1578.0348465697127</v>
      </c>
    </row>
    <row r="42" spans="1:45">
      <c r="A42" s="9">
        <f>Inputs!$C$7+40*(Inputs!$C$8-Inputs!$C$7)/240</f>
        <v>-40</v>
      </c>
      <c r="B42" s="9">
        <f>Inputs!$C$5+Inputs!$C$9*(A42/Inputs!$C$10)^2</f>
        <v>401.77777777777777</v>
      </c>
      <c r="C42" s="9">
        <f t="shared" si="0"/>
        <v>401.77777777777777</v>
      </c>
      <c r="D42" s="9">
        <f>SQRT(A42^2+Inputs!$C$6^2+B42^2)</f>
        <v>404.53724515308772</v>
      </c>
      <c r="E42" s="9">
        <f t="shared" si="1"/>
        <v>2759.4673753099528</v>
      </c>
      <c r="F42" s="9">
        <f>E42/Inputs!$C$12</f>
        <v>1550.2625703988499</v>
      </c>
      <c r="G42" s="9">
        <f>2*E42/Inputs!$C$21*1000000</f>
        <v>18.40918476548168</v>
      </c>
      <c r="H42" s="9">
        <f>SQRT(A42^2+Inputs!$C$6^2)</f>
        <v>47.169905660283021</v>
      </c>
      <c r="I42" s="9">
        <f t="shared" si="2"/>
        <v>6.6960422614565118</v>
      </c>
      <c r="J42" s="9">
        <f>DEGREES((2*PI()/Inputs!$C$13)*Inputs!$C$15*SIN(RADIANS(I42)))</f>
        <v>41.976767877765525</v>
      </c>
      <c r="K42" s="9">
        <f t="shared" si="3"/>
        <v>0.9729927379399278</v>
      </c>
      <c r="L42" s="9">
        <f t="shared" si="4"/>
        <v>-0.11890401133895007</v>
      </c>
      <c r="M42" s="9">
        <f>2*(Inputs!$C$9/(Inputs!$C$10^2))*A42</f>
        <v>-8.8888888888888892E-2</v>
      </c>
      <c r="N42" s="9">
        <f>M42*Inputs!$C$11</f>
        <v>-0.35555555555555557</v>
      </c>
      <c r="O42" s="9">
        <f>1000*((A42*Inputs!$C$11)+(B42*N42))/D42</f>
        <v>-748.64385076100007</v>
      </c>
      <c r="P42" s="9">
        <f>-2*O42/Inputs!$C$13</f>
        <v>299.45754030440003</v>
      </c>
      <c r="Q42" s="9">
        <f>-2*O42/Inputs!$C$14</f>
        <v>44.963594640300308</v>
      </c>
      <c r="R42" s="9">
        <f>F42-Inputs!$C$16/2</f>
        <v>1535.2625703988499</v>
      </c>
      <c r="S42" s="9">
        <f>F42+Inputs!$C$16/2</f>
        <v>1565.2625703988499</v>
      </c>
      <c r="T42" s="9">
        <f>F42-Inputs!$C$17/2</f>
        <v>1400.2625703988499</v>
      </c>
      <c r="U42" s="9">
        <f>F42+Inputs!$C$17/2</f>
        <v>1700.2625703988499</v>
      </c>
      <c r="V42" s="9">
        <f t="shared" si="5"/>
        <v>299.45754030440003</v>
      </c>
      <c r="W42" s="9">
        <f t="shared" si="6"/>
        <v>44.963594640300308</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0</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0</v>
      </c>
      <c r="Z42" s="9">
        <f t="shared" si="7"/>
        <v>401.77777777777777</v>
      </c>
      <c r="AA42" s="9">
        <f>SQRT(A42^2+Inputs!$C$6^2+(B42-Y42/1000)^2)</f>
        <v>404.53724515308772</v>
      </c>
      <c r="AB42" s="9">
        <f t="shared" si="8"/>
        <v>2759.4673753099528</v>
      </c>
      <c r="AC42" s="9">
        <f>AB42/Inputs!$C$12</f>
        <v>1550.2625703988499</v>
      </c>
      <c r="AD42" s="9">
        <f>2*AB42/Inputs!$C$21*1000000</f>
        <v>18.40918476548168</v>
      </c>
      <c r="AE42" s="9">
        <f t="shared" si="9"/>
        <v>6.6960422614565118</v>
      </c>
      <c r="AF42" s="9">
        <f>DEGREES((2*PI()/Inputs!$C$13)*Inputs!$C$15*SIN(RADIANS(AE42)))</f>
        <v>41.976767877765525</v>
      </c>
      <c r="AG42" s="9">
        <f t="shared" si="10"/>
        <v>0.9729927379399278</v>
      </c>
      <c r="AH42" s="9">
        <f t="shared" si="11"/>
        <v>-0.11890401133895007</v>
      </c>
      <c r="AI42" s="9">
        <f t="shared" si="12"/>
        <v>0</v>
      </c>
      <c r="AJ42" s="9">
        <f t="shared" si="13"/>
        <v>0</v>
      </c>
      <c r="AK42" s="9">
        <f t="shared" si="14"/>
        <v>0</v>
      </c>
      <c r="AL42" s="9">
        <f>1000*(AA43-AA41)/(A43-A41)*Inputs!$C$11</f>
        <v>-748.64302803393912</v>
      </c>
      <c r="AM42" s="9">
        <f>-2*AL42/Inputs!$C$13</f>
        <v>299.45721121357565</v>
      </c>
      <c r="AN42" s="9">
        <f>-2*AL42/Inputs!$C$14</f>
        <v>44.963545227263616</v>
      </c>
      <c r="AO42" s="9">
        <f t="shared" si="15"/>
        <v>299.45721121357565</v>
      </c>
      <c r="AP42" s="9">
        <f t="shared" si="16"/>
        <v>44.963545227263616</v>
      </c>
      <c r="AQ42" s="9">
        <f>IF(OR(Inputs!$C$27=TRUE,Inputs!$C$27="TRUE",Inputs!$C$27=1),Inputs!$C$46/Inputs!$C$12,0)</f>
        <v>0</v>
      </c>
      <c r="AR42" s="9">
        <f t="shared" si="17"/>
        <v>1550.2625703988499</v>
      </c>
      <c r="AS42" s="9">
        <f t="shared" si="18"/>
        <v>1550.2625703988499</v>
      </c>
    </row>
    <row r="43" spans="1:45">
      <c r="A43" s="9">
        <f>Inputs!$C$7+41*(Inputs!$C$8-Inputs!$C$7)/240</f>
        <v>-39.5</v>
      </c>
      <c r="B43" s="9">
        <f>Inputs!$C$5+Inputs!$C$9*(A43/Inputs!$C$10)^2</f>
        <v>401.73361111111109</v>
      </c>
      <c r="C43" s="9">
        <f t="shared" si="0"/>
        <v>401.73361111111109</v>
      </c>
      <c r="D43" s="9">
        <f>SQRT(A43^2+Inputs!$C$6^2+B43^2)</f>
        <v>404.44424126988559</v>
      </c>
      <c r="E43" s="9">
        <f t="shared" si="1"/>
        <v>2710.6301587745065</v>
      </c>
      <c r="F43" s="9">
        <f>E43/Inputs!$C$12</f>
        <v>1522.8259318957901</v>
      </c>
      <c r="G43" s="9">
        <f>2*E43/Inputs!$C$21*1000000</f>
        <v>18.083377926568829</v>
      </c>
      <c r="H43" s="9">
        <f>SQRT(A43^2+Inputs!$C$6^2)</f>
        <v>46.746657634530408</v>
      </c>
      <c r="I43" s="9">
        <f t="shared" si="2"/>
        <v>6.6372211939086254</v>
      </c>
      <c r="J43" s="9">
        <f>DEGREES((2*PI()/Inputs!$C$13)*Inputs!$C$15*SIN(RADIANS(I43)))</f>
        <v>41.609683192895538</v>
      </c>
      <c r="K43" s="9">
        <f t="shared" si="3"/>
        <v>0.97345986396239859</v>
      </c>
      <c r="L43" s="9">
        <f t="shared" si="4"/>
        <v>-0.11681949864535621</v>
      </c>
      <c r="M43" s="9">
        <f>2*(Inputs!$C$9/(Inputs!$C$10^2))*A43</f>
        <v>-8.7777777777777774E-2</v>
      </c>
      <c r="N43" s="9">
        <f>M43*Inputs!$C$11</f>
        <v>-0.3511111111111111</v>
      </c>
      <c r="O43" s="9">
        <f>1000*((A43*Inputs!$C$11)+(B43*N43))/D43</f>
        <v>-739.41746241441251</v>
      </c>
      <c r="P43" s="9">
        <f>-2*O43/Inputs!$C$13</f>
        <v>295.766984965765</v>
      </c>
      <c r="Q43" s="9">
        <f>-2*O43/Inputs!$C$14</f>
        <v>44.409457202066818</v>
      </c>
      <c r="R43" s="9">
        <f>F43-Inputs!$C$16/2</f>
        <v>1507.8259318957901</v>
      </c>
      <c r="S43" s="9">
        <f>F43+Inputs!$C$16/2</f>
        <v>1537.8259318957901</v>
      </c>
      <c r="T43" s="9">
        <f>F43-Inputs!$C$17/2</f>
        <v>1372.8259318957901</v>
      </c>
      <c r="U43" s="9">
        <f>F43+Inputs!$C$17/2</f>
        <v>1672.8259318957901</v>
      </c>
      <c r="V43" s="9">
        <f t="shared" si="5"/>
        <v>295.766984965765</v>
      </c>
      <c r="W43" s="9">
        <f t="shared" si="6"/>
        <v>44.409457202066818</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0</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0</v>
      </c>
      <c r="Z43" s="9">
        <f t="shared" si="7"/>
        <v>401.73361111111109</v>
      </c>
      <c r="AA43" s="9">
        <f>SQRT(A43^2+Inputs!$C$6^2+(B43-Y43/1000)^2)</f>
        <v>404.44424126988559</v>
      </c>
      <c r="AB43" s="9">
        <f t="shared" si="8"/>
        <v>2710.6301587745065</v>
      </c>
      <c r="AC43" s="9">
        <f>AB43/Inputs!$C$12</f>
        <v>1522.8259318957901</v>
      </c>
      <c r="AD43" s="9">
        <f>2*AB43/Inputs!$C$21*1000000</f>
        <v>18.083377926568829</v>
      </c>
      <c r="AE43" s="9">
        <f t="shared" si="9"/>
        <v>6.6372211939086254</v>
      </c>
      <c r="AF43" s="9">
        <f>DEGREES((2*PI()/Inputs!$C$13)*Inputs!$C$15*SIN(RADIANS(AE43)))</f>
        <v>41.609683192895538</v>
      </c>
      <c r="AG43" s="9">
        <f t="shared" si="10"/>
        <v>0.97345986396239859</v>
      </c>
      <c r="AH43" s="9">
        <f t="shared" si="11"/>
        <v>-0.11681949864535621</v>
      </c>
      <c r="AI43" s="9">
        <f t="shared" si="12"/>
        <v>0</v>
      </c>
      <c r="AJ43" s="9">
        <f t="shared" si="13"/>
        <v>0</v>
      </c>
      <c r="AK43" s="9">
        <f t="shared" si="14"/>
        <v>0</v>
      </c>
      <c r="AL43" s="9">
        <f>1000*(AA44-AA42)/(A44-A42)*Inputs!$C$11</f>
        <v>-739.41664903600213</v>
      </c>
      <c r="AM43" s="9">
        <f>-2*AL43/Inputs!$C$13</f>
        <v>295.76665961440085</v>
      </c>
      <c r="AN43" s="9">
        <f>-2*AL43/Inputs!$C$14</f>
        <v>44.409408350510645</v>
      </c>
      <c r="AO43" s="9">
        <f t="shared" si="15"/>
        <v>295.76665961440085</v>
      </c>
      <c r="AP43" s="9">
        <f t="shared" si="16"/>
        <v>44.409408350510645</v>
      </c>
      <c r="AQ43" s="9">
        <f>IF(OR(Inputs!$C$27=TRUE,Inputs!$C$27="TRUE",Inputs!$C$27=1),Inputs!$C$46/Inputs!$C$12,0)</f>
        <v>0</v>
      </c>
      <c r="AR43" s="9">
        <f t="shared" si="17"/>
        <v>1522.8259318957901</v>
      </c>
      <c r="AS43" s="9">
        <f t="shared" si="18"/>
        <v>1522.8259318957901</v>
      </c>
    </row>
    <row r="44" spans="1:45">
      <c r="A44" s="9">
        <f>Inputs!$C$7+42*(Inputs!$C$8-Inputs!$C$7)/240</f>
        <v>-39</v>
      </c>
      <c r="B44" s="9">
        <f>Inputs!$C$5+Inputs!$C$9*(A44/Inputs!$C$10)^2</f>
        <v>401.69</v>
      </c>
      <c r="C44" s="9">
        <f t="shared" si="0"/>
        <v>401.69</v>
      </c>
      <c r="D44" s="9">
        <f>SQRT(A44^2+Inputs!$C$6^2+B44^2)</f>
        <v>404.35239099082872</v>
      </c>
      <c r="E44" s="9">
        <f t="shared" si="1"/>
        <v>2662.390990828726</v>
      </c>
      <c r="F44" s="9">
        <f>E44/Inputs!$C$12</f>
        <v>1495.7252757464753</v>
      </c>
      <c r="G44" s="9">
        <f>2*E44/Inputs!$C$21*1000000</f>
        <v>17.761560838389912</v>
      </c>
      <c r="H44" s="9">
        <f>SQRT(A44^2+Inputs!$C$6^2)</f>
        <v>46.324939287601879</v>
      </c>
      <c r="I44" s="9">
        <f t="shared" si="2"/>
        <v>6.5785794361869598</v>
      </c>
      <c r="J44" s="9">
        <f>DEGREES((2*PI()/Inputs!$C$13)*Inputs!$C$15*SIN(RADIANS(I44)))</f>
        <v>41.243673872364795</v>
      </c>
      <c r="K44" s="9">
        <f t="shared" si="3"/>
        <v>0.97392164678000082</v>
      </c>
      <c r="L44" s="9">
        <f t="shared" si="4"/>
        <v>-0.11475981252658489</v>
      </c>
      <c r="M44" s="9">
        <f>2*(Inputs!$C$9/(Inputs!$C$10^2))*A44</f>
        <v>-8.666666666666667E-2</v>
      </c>
      <c r="N44" s="9">
        <f>M44*Inputs!$C$11</f>
        <v>-0.34666666666666668</v>
      </c>
      <c r="O44" s="9">
        <f>1000*((A44*Inputs!$C$11)+(B44*N44))/D44</f>
        <v>-730.18619380447797</v>
      </c>
      <c r="P44" s="9">
        <f>-2*O44/Inputs!$C$13</f>
        <v>292.07447752179121</v>
      </c>
      <c r="Q44" s="9">
        <f>-2*O44/Inputs!$C$14</f>
        <v>43.855026654923606</v>
      </c>
      <c r="R44" s="9">
        <f>F44-Inputs!$C$16/2</f>
        <v>1480.7252757464753</v>
      </c>
      <c r="S44" s="9">
        <f>F44+Inputs!$C$16/2</f>
        <v>1510.7252757464753</v>
      </c>
      <c r="T44" s="9">
        <f>F44-Inputs!$C$17/2</f>
        <v>1345.7252757464753</v>
      </c>
      <c r="U44" s="9">
        <f>F44+Inputs!$C$17/2</f>
        <v>1645.7252757464753</v>
      </c>
      <c r="V44" s="9">
        <f t="shared" si="5"/>
        <v>292.07447752179121</v>
      </c>
      <c r="W44" s="9">
        <f t="shared" si="6"/>
        <v>43.855026654923606</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0</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0</v>
      </c>
      <c r="Z44" s="9">
        <f t="shared" si="7"/>
        <v>401.69</v>
      </c>
      <c r="AA44" s="9">
        <f>SQRT(A44^2+Inputs!$C$6^2+(B44-Y44/1000)^2)</f>
        <v>404.35239099082872</v>
      </c>
      <c r="AB44" s="9">
        <f t="shared" si="8"/>
        <v>2662.390990828726</v>
      </c>
      <c r="AC44" s="9">
        <f>AB44/Inputs!$C$12</f>
        <v>1495.7252757464753</v>
      </c>
      <c r="AD44" s="9">
        <f>2*AB44/Inputs!$C$21*1000000</f>
        <v>17.761560838389912</v>
      </c>
      <c r="AE44" s="9">
        <f t="shared" si="9"/>
        <v>6.5785794361869598</v>
      </c>
      <c r="AF44" s="9">
        <f>DEGREES((2*PI()/Inputs!$C$13)*Inputs!$C$15*SIN(RADIANS(AE44)))</f>
        <v>41.243673872364795</v>
      </c>
      <c r="AG44" s="9">
        <f t="shared" si="10"/>
        <v>0.97392164678000082</v>
      </c>
      <c r="AH44" s="9">
        <f t="shared" si="11"/>
        <v>-0.11475981252658489</v>
      </c>
      <c r="AI44" s="9">
        <f t="shared" si="12"/>
        <v>0</v>
      </c>
      <c r="AJ44" s="9">
        <f t="shared" si="13"/>
        <v>0</v>
      </c>
      <c r="AK44" s="9">
        <f t="shared" si="14"/>
        <v>0</v>
      </c>
      <c r="AL44" s="9">
        <f>1000*(AA45-AA43)/(A45-A43)*Inputs!$C$11</f>
        <v>-730.18538980863923</v>
      </c>
      <c r="AM44" s="9">
        <f>-2*AL44/Inputs!$C$13</f>
        <v>292.07415592345569</v>
      </c>
      <c r="AN44" s="9">
        <f>-2*AL44/Inputs!$C$14</f>
        <v>43.854978366885241</v>
      </c>
      <c r="AO44" s="9">
        <f t="shared" si="15"/>
        <v>292.07415592345569</v>
      </c>
      <c r="AP44" s="9">
        <f t="shared" si="16"/>
        <v>43.854978366885241</v>
      </c>
      <c r="AQ44" s="9">
        <f>IF(OR(Inputs!$C$27=TRUE,Inputs!$C$27="TRUE",Inputs!$C$27=1),Inputs!$C$46/Inputs!$C$12,0)</f>
        <v>0</v>
      </c>
      <c r="AR44" s="9">
        <f t="shared" si="17"/>
        <v>1495.7252757464753</v>
      </c>
      <c r="AS44" s="9">
        <f t="shared" si="18"/>
        <v>1495.7252757464753</v>
      </c>
    </row>
    <row r="45" spans="1:45">
      <c r="A45" s="9">
        <f>Inputs!$C$7+43*(Inputs!$C$8-Inputs!$C$7)/240</f>
        <v>-38.5</v>
      </c>
      <c r="B45" s="9">
        <f>Inputs!$C$5+Inputs!$C$9*(A45/Inputs!$C$10)^2</f>
        <v>401.64694444444444</v>
      </c>
      <c r="C45" s="9">
        <f t="shared" si="0"/>
        <v>401.64694444444444</v>
      </c>
      <c r="D45" s="9">
        <f>SQRT(A45^2+Inputs!$C$6^2+B45^2)</f>
        <v>404.26169492243343</v>
      </c>
      <c r="E45" s="9">
        <f t="shared" si="1"/>
        <v>2614.7504779889914</v>
      </c>
      <c r="F45" s="9">
        <f>E45/Inputs!$C$12</f>
        <v>1468.9609426904447</v>
      </c>
      <c r="G45" s="9">
        <f>2*E45/Inputs!$C$21*1000000</f>
        <v>17.443737547186672</v>
      </c>
      <c r="H45" s="9">
        <f>SQRT(A45^2+Inputs!$C$6^2)</f>
        <v>45.904792778096713</v>
      </c>
      <c r="I45" s="9">
        <f t="shared" si="2"/>
        <v>6.5201234866425004</v>
      </c>
      <c r="J45" s="9">
        <f>DEGREES((2*PI()/Inputs!$C$13)*Inputs!$C$15*SIN(RADIANS(I45)))</f>
        <v>40.87878126391778</v>
      </c>
      <c r="K45" s="9">
        <f t="shared" si="3"/>
        <v>0.97437806699088481</v>
      </c>
      <c r="L45" s="9">
        <f t="shared" si="4"/>
        <v>-0.11272500462468835</v>
      </c>
      <c r="M45" s="9">
        <f>2*(Inputs!$C$9/(Inputs!$C$10^2))*A45</f>
        <v>-8.5555555555555551E-2</v>
      </c>
      <c r="N45" s="9">
        <f>M45*Inputs!$C$11</f>
        <v>-0.34222222222222221</v>
      </c>
      <c r="O45" s="9">
        <f>1000*((A45*Inputs!$C$11)+(B45*N45))/D45</f>
        <v>-720.95010122704014</v>
      </c>
      <c r="P45" s="9">
        <f>-2*O45/Inputs!$C$13</f>
        <v>288.38004049081604</v>
      </c>
      <c r="Q45" s="9">
        <f>-2*O45/Inputs!$C$14</f>
        <v>43.300306380002411</v>
      </c>
      <c r="R45" s="9">
        <f>F45-Inputs!$C$16/2</f>
        <v>1453.9609426904447</v>
      </c>
      <c r="S45" s="9">
        <f>F45+Inputs!$C$16/2</f>
        <v>1483.9609426904447</v>
      </c>
      <c r="T45" s="9">
        <f>F45-Inputs!$C$17/2</f>
        <v>1318.9609426904447</v>
      </c>
      <c r="U45" s="9">
        <f>F45+Inputs!$C$17/2</f>
        <v>1618.9609426904447</v>
      </c>
      <c r="V45" s="9">
        <f t="shared" si="5"/>
        <v>288.38004049081604</v>
      </c>
      <c r="W45" s="9">
        <f t="shared" si="6"/>
        <v>43.300306380002411</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0</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0</v>
      </c>
      <c r="Z45" s="9">
        <f t="shared" si="7"/>
        <v>401.64694444444444</v>
      </c>
      <c r="AA45" s="9">
        <f>SQRT(A45^2+Inputs!$C$6^2+(B45-Y45/1000)^2)</f>
        <v>404.26169492243343</v>
      </c>
      <c r="AB45" s="9">
        <f t="shared" si="8"/>
        <v>2614.7504779889914</v>
      </c>
      <c r="AC45" s="9">
        <f>AB45/Inputs!$C$12</f>
        <v>1468.9609426904447</v>
      </c>
      <c r="AD45" s="9">
        <f>2*AB45/Inputs!$C$21*1000000</f>
        <v>17.443737547186672</v>
      </c>
      <c r="AE45" s="9">
        <f t="shared" si="9"/>
        <v>6.5201234866425004</v>
      </c>
      <c r="AF45" s="9">
        <f>DEGREES((2*PI()/Inputs!$C$13)*Inputs!$C$15*SIN(RADIANS(AE45)))</f>
        <v>40.87878126391778</v>
      </c>
      <c r="AG45" s="9">
        <f t="shared" si="10"/>
        <v>0.97437806699088481</v>
      </c>
      <c r="AH45" s="9">
        <f t="shared" si="11"/>
        <v>-0.11272500462468835</v>
      </c>
      <c r="AI45" s="9">
        <f t="shared" si="12"/>
        <v>0</v>
      </c>
      <c r="AJ45" s="9">
        <f t="shared" si="13"/>
        <v>0</v>
      </c>
      <c r="AK45" s="9">
        <f t="shared" si="14"/>
        <v>0</v>
      </c>
      <c r="AL45" s="9">
        <f>1000*(AA46-AA44)/(A46-A44)*Inputs!$C$11</f>
        <v>-720.94930664775347</v>
      </c>
      <c r="AM45" s="9">
        <f>-2*AL45/Inputs!$C$13</f>
        <v>288.37972265910139</v>
      </c>
      <c r="AN45" s="9">
        <f>-2*AL45/Inputs!$C$14</f>
        <v>43.300258657522733</v>
      </c>
      <c r="AO45" s="9">
        <f t="shared" si="15"/>
        <v>288.37972265910139</v>
      </c>
      <c r="AP45" s="9">
        <f t="shared" si="16"/>
        <v>43.300258657522733</v>
      </c>
      <c r="AQ45" s="9">
        <f>IF(OR(Inputs!$C$27=TRUE,Inputs!$C$27="TRUE",Inputs!$C$27=1),Inputs!$C$46/Inputs!$C$12,0)</f>
        <v>0</v>
      </c>
      <c r="AR45" s="9">
        <f t="shared" si="17"/>
        <v>1468.9609426904447</v>
      </c>
      <c r="AS45" s="9">
        <f t="shared" si="18"/>
        <v>1468.9609426904447</v>
      </c>
    </row>
    <row r="46" spans="1:45">
      <c r="A46" s="9">
        <f>Inputs!$C$7+44*(Inputs!$C$8-Inputs!$C$7)/240</f>
        <v>-38</v>
      </c>
      <c r="B46" s="9">
        <f>Inputs!$C$5+Inputs!$C$9*(A46/Inputs!$C$10)^2</f>
        <v>401.60444444444443</v>
      </c>
      <c r="C46" s="9">
        <f t="shared" si="0"/>
        <v>401.60444444444443</v>
      </c>
      <c r="D46" s="9">
        <f>SQRT(A46^2+Inputs!$C$6^2+B46^2)</f>
        <v>404.17215366416679</v>
      </c>
      <c r="E46" s="9">
        <f t="shared" si="1"/>
        <v>2567.7092197223601</v>
      </c>
      <c r="F46" s="9">
        <f>E46/Inputs!$C$12</f>
        <v>1442.533269506944</v>
      </c>
      <c r="G46" s="9">
        <f>2*E46/Inputs!$C$21*1000000</f>
        <v>17.129912052172841</v>
      </c>
      <c r="H46" s="9">
        <f>SQRT(A46^2+Inputs!$C$6^2)</f>
        <v>45.486261662176638</v>
      </c>
      <c r="I46" s="9">
        <f t="shared" si="2"/>
        <v>6.4618600446971843</v>
      </c>
      <c r="J46" s="9">
        <f>DEGREES((2*PI()/Inputs!$C$13)*Inputs!$C$15*SIN(RADIANS(I46)))</f>
        <v>40.515047981236947</v>
      </c>
      <c r="K46" s="9">
        <f t="shared" si="3"/>
        <v>0.97482910538952416</v>
      </c>
      <c r="L46" s="9">
        <f t="shared" si="4"/>
        <v>-0.1107151260040134</v>
      </c>
      <c r="M46" s="9">
        <f>2*(Inputs!$C$9/(Inputs!$C$10^2))*A46</f>
        <v>-8.4444444444444447E-2</v>
      </c>
      <c r="N46" s="9">
        <f>M46*Inputs!$C$11</f>
        <v>-0.33777777777777779</v>
      </c>
      <c r="O46" s="9">
        <f>1000*((A46*Inputs!$C$11)+(B46*N46))/D46</f>
        <v>-711.70924117928985</v>
      </c>
      <c r="P46" s="9">
        <f>-2*O46/Inputs!$C$13</f>
        <v>284.68369647171596</v>
      </c>
      <c r="Q46" s="9">
        <f>-2*O46/Inputs!$C$14</f>
        <v>42.745299770527922</v>
      </c>
      <c r="R46" s="9">
        <f>F46-Inputs!$C$16/2</f>
        <v>1427.533269506944</v>
      </c>
      <c r="S46" s="9">
        <f>F46+Inputs!$C$16/2</f>
        <v>1457.533269506944</v>
      </c>
      <c r="T46" s="9">
        <f>F46-Inputs!$C$17/2</f>
        <v>1292.533269506944</v>
      </c>
      <c r="U46" s="9">
        <f>F46+Inputs!$C$17/2</f>
        <v>1592.533269506944</v>
      </c>
      <c r="V46" s="9">
        <f t="shared" si="5"/>
        <v>284.68369647171596</v>
      </c>
      <c r="W46" s="9">
        <f t="shared" si="6"/>
        <v>42.745299770527922</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0</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0</v>
      </c>
      <c r="Z46" s="9">
        <f t="shared" si="7"/>
        <v>401.60444444444443</v>
      </c>
      <c r="AA46" s="9">
        <f>SQRT(A46^2+Inputs!$C$6^2+(B46-Y46/1000)^2)</f>
        <v>404.17215366416679</v>
      </c>
      <c r="AB46" s="9">
        <f t="shared" si="8"/>
        <v>2567.7092197223601</v>
      </c>
      <c r="AC46" s="9">
        <f>AB46/Inputs!$C$12</f>
        <v>1442.533269506944</v>
      </c>
      <c r="AD46" s="9">
        <f>2*AB46/Inputs!$C$21*1000000</f>
        <v>17.129912052172841</v>
      </c>
      <c r="AE46" s="9">
        <f t="shared" si="9"/>
        <v>6.4618600446971843</v>
      </c>
      <c r="AF46" s="9">
        <f>DEGREES((2*PI()/Inputs!$C$13)*Inputs!$C$15*SIN(RADIANS(AE46)))</f>
        <v>40.515047981236947</v>
      </c>
      <c r="AG46" s="9">
        <f t="shared" si="10"/>
        <v>0.97482910538952416</v>
      </c>
      <c r="AH46" s="9">
        <f t="shared" si="11"/>
        <v>-0.1107151260040134</v>
      </c>
      <c r="AI46" s="9">
        <f t="shared" si="12"/>
        <v>0</v>
      </c>
      <c r="AJ46" s="9">
        <f t="shared" si="13"/>
        <v>0</v>
      </c>
      <c r="AK46" s="9">
        <f t="shared" si="14"/>
        <v>0</v>
      </c>
      <c r="AL46" s="9">
        <f>1000*(AA47-AA45)/(A47-A45)*Inputs!$C$11</f>
        <v>-711.70845604910937</v>
      </c>
      <c r="AM46" s="9">
        <f>-2*AL46/Inputs!$C$13</f>
        <v>284.68338241964375</v>
      </c>
      <c r="AN46" s="9">
        <f>-2*AL46/Inputs!$C$14</f>
        <v>42.74525261556213</v>
      </c>
      <c r="AO46" s="9">
        <f t="shared" si="15"/>
        <v>284.68338241964375</v>
      </c>
      <c r="AP46" s="9">
        <f t="shared" si="16"/>
        <v>42.74525261556213</v>
      </c>
      <c r="AQ46" s="9">
        <f>IF(OR(Inputs!$C$27=TRUE,Inputs!$C$27="TRUE",Inputs!$C$27=1),Inputs!$C$46/Inputs!$C$12,0)</f>
        <v>0</v>
      </c>
      <c r="AR46" s="9">
        <f t="shared" si="17"/>
        <v>1442.533269506944</v>
      </c>
      <c r="AS46" s="9">
        <f t="shared" si="18"/>
        <v>1442.533269506944</v>
      </c>
    </row>
    <row r="47" spans="1:45">
      <c r="A47" s="9">
        <f>Inputs!$C$7+45*(Inputs!$C$8-Inputs!$C$7)/240</f>
        <v>-37.5</v>
      </c>
      <c r="B47" s="9">
        <f>Inputs!$C$5+Inputs!$C$9*(A47/Inputs!$C$10)^2</f>
        <v>401.5625</v>
      </c>
      <c r="C47" s="9">
        <f t="shared" si="0"/>
        <v>401.5625</v>
      </c>
      <c r="D47" s="9">
        <f>SQRT(A47^2+Inputs!$C$6^2+B47^2)</f>
        <v>404.08376780842116</v>
      </c>
      <c r="E47" s="9">
        <f t="shared" si="1"/>
        <v>2521.2678084211575</v>
      </c>
      <c r="F47" s="9">
        <f>E47/Inputs!$C$12</f>
        <v>1416.4425890006503</v>
      </c>
      <c r="G47" s="9">
        <f>2*E47/Inputs!$C$21*1000000</f>
        <v>16.820088305364624</v>
      </c>
      <c r="H47" s="9">
        <f>SQRT(A47^2+Inputs!$C$6^2)</f>
        <v>45.069390943299865</v>
      </c>
      <c r="I47" s="9">
        <f t="shared" si="2"/>
        <v>6.4037960179333062</v>
      </c>
      <c r="J47" s="9">
        <f>DEGREES((2*PI()/Inputs!$C$13)*Inputs!$C$15*SIN(RADIANS(I47)))</f>
        <v>40.152517948407976</v>
      </c>
      <c r="K47" s="9">
        <f t="shared" si="3"/>
        <v>0.97527474296853178</v>
      </c>
      <c r="L47" s="9">
        <f t="shared" si="4"/>
        <v>-0.10873022714825631</v>
      </c>
      <c r="M47" s="9">
        <f>2*(Inputs!$C$9/(Inputs!$C$10^2))*A47</f>
        <v>-8.3333333333333329E-2</v>
      </c>
      <c r="N47" s="9">
        <f>M47*Inputs!$C$11</f>
        <v>-0.33333333333333331</v>
      </c>
      <c r="O47" s="9">
        <f>1000*((A47*Inputs!$C$11)+(B47*N47))/D47</f>
        <v>-702.4636703576864</v>
      </c>
      <c r="P47" s="9">
        <f>-2*O47/Inputs!$C$13</f>
        <v>280.98546814307457</v>
      </c>
      <c r="Q47" s="9">
        <f>-2*O47/Inputs!$C$14</f>
        <v>42.190010231692881</v>
      </c>
      <c r="R47" s="9">
        <f>F47-Inputs!$C$16/2</f>
        <v>1401.4425890006503</v>
      </c>
      <c r="S47" s="9">
        <f>F47+Inputs!$C$16/2</f>
        <v>1431.4425890006503</v>
      </c>
      <c r="T47" s="9">
        <f>F47-Inputs!$C$17/2</f>
        <v>1266.4425890006503</v>
      </c>
      <c r="U47" s="9">
        <f>F47+Inputs!$C$17/2</f>
        <v>1566.4425890006503</v>
      </c>
      <c r="V47" s="9">
        <f t="shared" si="5"/>
        <v>280.98546814307457</v>
      </c>
      <c r="W47" s="9">
        <f t="shared" si="6"/>
        <v>42.190010231692881</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0</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0</v>
      </c>
      <c r="Z47" s="9">
        <f t="shared" si="7"/>
        <v>401.5625</v>
      </c>
      <c r="AA47" s="9">
        <f>SQRT(A47^2+Inputs!$C$6^2+(B47-Y47/1000)^2)</f>
        <v>404.08376780842116</v>
      </c>
      <c r="AB47" s="9">
        <f t="shared" si="8"/>
        <v>2521.2678084211575</v>
      </c>
      <c r="AC47" s="9">
        <f>AB47/Inputs!$C$12</f>
        <v>1416.4425890006503</v>
      </c>
      <c r="AD47" s="9">
        <f>2*AB47/Inputs!$C$21*1000000</f>
        <v>16.820088305364624</v>
      </c>
      <c r="AE47" s="9">
        <f t="shared" si="9"/>
        <v>6.4037960179333062</v>
      </c>
      <c r="AF47" s="9">
        <f>DEGREES((2*PI()/Inputs!$C$13)*Inputs!$C$15*SIN(RADIANS(AE47)))</f>
        <v>40.152517948407976</v>
      </c>
      <c r="AG47" s="9">
        <f t="shared" si="10"/>
        <v>0.97527474296853178</v>
      </c>
      <c r="AH47" s="9">
        <f t="shared" si="11"/>
        <v>-0.10873022714825631</v>
      </c>
      <c r="AI47" s="9">
        <f t="shared" si="12"/>
        <v>0</v>
      </c>
      <c r="AJ47" s="9">
        <f t="shared" si="13"/>
        <v>0</v>
      </c>
      <c r="AK47" s="9">
        <f t="shared" si="14"/>
        <v>0</v>
      </c>
      <c r="AL47" s="9">
        <f>1000*(AA48-AA46)/(A48-A46)*Inputs!$C$11</f>
        <v>-702.46289470992451</v>
      </c>
      <c r="AM47" s="9">
        <f>-2*AL47/Inputs!$C$13</f>
        <v>280.9851578839698</v>
      </c>
      <c r="AN47" s="9">
        <f>-2*AL47/Inputs!$C$14</f>
        <v>42.189963646241715</v>
      </c>
      <c r="AO47" s="9">
        <f t="shared" si="15"/>
        <v>280.9851578839698</v>
      </c>
      <c r="AP47" s="9">
        <f t="shared" si="16"/>
        <v>42.189963646241715</v>
      </c>
      <c r="AQ47" s="9">
        <f>IF(OR(Inputs!$C$27=TRUE,Inputs!$C$27="TRUE",Inputs!$C$27=1),Inputs!$C$46/Inputs!$C$12,0)</f>
        <v>0</v>
      </c>
      <c r="AR47" s="9">
        <f t="shared" si="17"/>
        <v>1416.4425890006503</v>
      </c>
      <c r="AS47" s="9">
        <f t="shared" si="18"/>
        <v>1416.4425890006503</v>
      </c>
    </row>
    <row r="48" spans="1:45">
      <c r="A48" s="9">
        <f>Inputs!$C$7+46*(Inputs!$C$8-Inputs!$C$7)/240</f>
        <v>-37</v>
      </c>
      <c r="B48" s="9">
        <f>Inputs!$C$5+Inputs!$C$9*(A48/Inputs!$C$10)^2</f>
        <v>401.52111111111111</v>
      </c>
      <c r="C48" s="9">
        <f t="shared" si="0"/>
        <v>401.52111111111111</v>
      </c>
      <c r="D48" s="9">
        <f>SQRT(A48^2+Inputs!$C$6^2+B48^2)</f>
        <v>403.9965379404893</v>
      </c>
      <c r="E48" s="9">
        <f t="shared" si="1"/>
        <v>2475.4268293781934</v>
      </c>
      <c r="F48" s="9">
        <f>E48/Inputs!$C$12</f>
        <v>1390.6892299877491</v>
      </c>
      <c r="G48" s="9">
        <f>2*E48/Inputs!$C$21*1000000</f>
        <v>16.514270211415347</v>
      </c>
      <c r="H48" s="9">
        <f>SQRT(A48^2+Inputs!$C$6^2)</f>
        <v>44.654227123532216</v>
      </c>
      <c r="I48" s="9">
        <f t="shared" si="2"/>
        <v>6.3459385294073707</v>
      </c>
      <c r="J48" s="9">
        <f>DEGREES((2*PI()/Inputs!$C$13)*Inputs!$C$15*SIN(RADIANS(I48)))</f>
        <v>39.791236445792514</v>
      </c>
      <c r="K48" s="9">
        <f t="shared" si="3"/>
        <v>0.97571496092046228</v>
      </c>
      <c r="L48" s="9">
        <f t="shared" si="4"/>
        <v>-0.1067703579575411</v>
      </c>
      <c r="M48" s="9">
        <f>2*(Inputs!$C$9/(Inputs!$C$10^2))*A48</f>
        <v>-8.2222222222222224E-2</v>
      </c>
      <c r="N48" s="9">
        <f>M48*Inputs!$C$11</f>
        <v>-0.3288888888888889</v>
      </c>
      <c r="O48" s="9">
        <f>1000*((A48*Inputs!$C$11)+(B48*N48))/D48</f>
        <v>-693.21344565586128</v>
      </c>
      <c r="P48" s="9">
        <f>-2*O48/Inputs!$C$13</f>
        <v>277.28537826234452</v>
      </c>
      <c r="Q48" s="9">
        <f>-2*O48/Inputs!$C$14</f>
        <v>41.634441180532214</v>
      </c>
      <c r="R48" s="9">
        <f>F48-Inputs!$C$16/2</f>
        <v>1375.6892299877491</v>
      </c>
      <c r="S48" s="9">
        <f>F48+Inputs!$C$16/2</f>
        <v>1405.6892299877491</v>
      </c>
      <c r="T48" s="9">
        <f>F48-Inputs!$C$17/2</f>
        <v>1240.6892299877491</v>
      </c>
      <c r="U48" s="9">
        <f>F48+Inputs!$C$17/2</f>
        <v>1540.6892299877491</v>
      </c>
      <c r="V48" s="9">
        <f t="shared" si="5"/>
        <v>277.28537826234452</v>
      </c>
      <c r="W48" s="9">
        <f t="shared" si="6"/>
        <v>41.634441180532214</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0</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0</v>
      </c>
      <c r="Z48" s="9">
        <f t="shared" si="7"/>
        <v>401.52111111111111</v>
      </c>
      <c r="AA48" s="9">
        <f>SQRT(A48^2+Inputs!$C$6^2+(B48-Y48/1000)^2)</f>
        <v>403.9965379404893</v>
      </c>
      <c r="AB48" s="9">
        <f t="shared" si="8"/>
        <v>2475.4268293781934</v>
      </c>
      <c r="AC48" s="9">
        <f>AB48/Inputs!$C$12</f>
        <v>1390.6892299877491</v>
      </c>
      <c r="AD48" s="9">
        <f>2*AB48/Inputs!$C$21*1000000</f>
        <v>16.514270211415347</v>
      </c>
      <c r="AE48" s="9">
        <f t="shared" si="9"/>
        <v>6.3459385294073707</v>
      </c>
      <c r="AF48" s="9">
        <f>DEGREES((2*PI()/Inputs!$C$13)*Inputs!$C$15*SIN(RADIANS(AE48)))</f>
        <v>39.791236445792514</v>
      </c>
      <c r="AG48" s="9">
        <f t="shared" si="10"/>
        <v>0.97571496092046228</v>
      </c>
      <c r="AH48" s="9">
        <f t="shared" si="11"/>
        <v>-0.1067703579575411</v>
      </c>
      <c r="AI48" s="9">
        <f t="shared" si="12"/>
        <v>0</v>
      </c>
      <c r="AJ48" s="9">
        <f t="shared" si="13"/>
        <v>0</v>
      </c>
      <c r="AK48" s="9">
        <f t="shared" si="14"/>
        <v>0</v>
      </c>
      <c r="AL48" s="9">
        <f>1000*(AA49-AA47)/(A49-A47)*Inputs!$C$11</f>
        <v>-693.21267952318522</v>
      </c>
      <c r="AM48" s="9">
        <f>-2*AL48/Inputs!$C$13</f>
        <v>277.28507180927409</v>
      </c>
      <c r="AN48" s="9">
        <f>-2*AL48/Inputs!$C$14</f>
        <v>41.634395166557674</v>
      </c>
      <c r="AO48" s="9">
        <f t="shared" si="15"/>
        <v>277.28507180927409</v>
      </c>
      <c r="AP48" s="9">
        <f t="shared" si="16"/>
        <v>41.634395166557674</v>
      </c>
      <c r="AQ48" s="9">
        <f>IF(OR(Inputs!$C$27=TRUE,Inputs!$C$27="TRUE",Inputs!$C$27=1),Inputs!$C$46/Inputs!$C$12,0)</f>
        <v>0</v>
      </c>
      <c r="AR48" s="9">
        <f t="shared" si="17"/>
        <v>1390.6892299877491</v>
      </c>
      <c r="AS48" s="9">
        <f t="shared" si="18"/>
        <v>1390.6892299877491</v>
      </c>
    </row>
    <row r="49" spans="1:45">
      <c r="A49" s="9">
        <f>Inputs!$C$7+47*(Inputs!$C$8-Inputs!$C$7)/240</f>
        <v>-36.5</v>
      </c>
      <c r="B49" s="9">
        <f>Inputs!$C$5+Inputs!$C$9*(A49/Inputs!$C$10)^2</f>
        <v>401.48027777777776</v>
      </c>
      <c r="C49" s="9">
        <f t="shared" si="0"/>
        <v>401.48027777777776</v>
      </c>
      <c r="D49" s="9">
        <f>SQRT(A49^2+Inputs!$C$6^2+B49^2)</f>
        <v>403.91046463854036</v>
      </c>
      <c r="E49" s="9">
        <f t="shared" si="1"/>
        <v>2430.1868607626034</v>
      </c>
      <c r="F49" s="9">
        <f>E49/Inputs!$C$12</f>
        <v>1365.2735172823614</v>
      </c>
      <c r="G49" s="9">
        <f>2*E49/Inputs!$C$21*1000000</f>
        <v>16.212461627454307</v>
      </c>
      <c r="H49" s="9">
        <f>SQRT(A49^2+Inputs!$C$6^2)</f>
        <v>44.240818256447291</v>
      </c>
      <c r="I49" s="9">
        <f t="shared" si="2"/>
        <v>6.2882949251900104</v>
      </c>
      <c r="J49" s="9">
        <f>DEGREES((2*PI()/Inputs!$C$13)*Inputs!$C$15*SIN(RADIANS(I49)))</f>
        <v>39.431250157318473</v>
      </c>
      <c r="K49" s="9">
        <f t="shared" si="3"/>
        <v>0.97614974063959181</v>
      </c>
      <c r="L49" s="9">
        <f t="shared" si="4"/>
        <v>-0.10483556774556094</v>
      </c>
      <c r="M49" s="9">
        <f>2*(Inputs!$C$9/(Inputs!$C$10^2))*A49</f>
        <v>-8.1111111111111106E-2</v>
      </c>
      <c r="N49" s="9">
        <f>M49*Inputs!$C$11</f>
        <v>-0.32444444444444442</v>
      </c>
      <c r="O49" s="9">
        <f>1000*((A49*Inputs!$C$11)+(B49*N49))/D49</f>
        <v>-683.95862416250031</v>
      </c>
      <c r="P49" s="9">
        <f>-2*O49/Inputs!$C$13</f>
        <v>273.5834496650001</v>
      </c>
      <c r="Q49" s="9">
        <f>-2*O49/Inputs!$C$14</f>
        <v>41.07859604579582</v>
      </c>
      <c r="R49" s="9">
        <f>F49-Inputs!$C$16/2</f>
        <v>1350.2735172823614</v>
      </c>
      <c r="S49" s="9">
        <f>F49+Inputs!$C$16/2</f>
        <v>1380.2735172823614</v>
      </c>
      <c r="T49" s="9">
        <f>F49-Inputs!$C$17/2</f>
        <v>1215.2735172823614</v>
      </c>
      <c r="U49" s="9">
        <f>F49+Inputs!$C$17/2</f>
        <v>1515.2735172823614</v>
      </c>
      <c r="V49" s="9">
        <f t="shared" si="5"/>
        <v>273.5834496650001</v>
      </c>
      <c r="W49" s="9">
        <f t="shared" si="6"/>
        <v>41.07859604579582</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0</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0</v>
      </c>
      <c r="Z49" s="9">
        <f t="shared" si="7"/>
        <v>401.48027777777776</v>
      </c>
      <c r="AA49" s="9">
        <f>SQRT(A49^2+Inputs!$C$6^2+(B49-Y49/1000)^2)</f>
        <v>403.91046463854036</v>
      </c>
      <c r="AB49" s="9">
        <f t="shared" si="8"/>
        <v>2430.1868607626034</v>
      </c>
      <c r="AC49" s="9">
        <f>AB49/Inputs!$C$12</f>
        <v>1365.2735172823614</v>
      </c>
      <c r="AD49" s="9">
        <f>2*AB49/Inputs!$C$21*1000000</f>
        <v>16.212461627454307</v>
      </c>
      <c r="AE49" s="9">
        <f t="shared" si="9"/>
        <v>6.2882949251900104</v>
      </c>
      <c r="AF49" s="9">
        <f>DEGREES((2*PI()/Inputs!$C$13)*Inputs!$C$15*SIN(RADIANS(AE49)))</f>
        <v>39.431250157318473</v>
      </c>
      <c r="AG49" s="9">
        <f t="shared" si="10"/>
        <v>0.97614974063959181</v>
      </c>
      <c r="AH49" s="9">
        <f t="shared" si="11"/>
        <v>-0.10483556774556094</v>
      </c>
      <c r="AI49" s="9">
        <f t="shared" si="12"/>
        <v>0</v>
      </c>
      <c r="AJ49" s="9">
        <f t="shared" si="13"/>
        <v>0</v>
      </c>
      <c r="AK49" s="9">
        <f t="shared" si="14"/>
        <v>0</v>
      </c>
      <c r="AL49" s="9">
        <f>1000*(AA50-AA48)/(A50-A48)*Inputs!$C$11</f>
        <v>-683.9578675762823</v>
      </c>
      <c r="AM49" s="9">
        <f>-2*AL49/Inputs!$C$13</f>
        <v>273.58314703051292</v>
      </c>
      <c r="AN49" s="9">
        <f>-2*AL49/Inputs!$C$14</f>
        <v>41.078550605182123</v>
      </c>
      <c r="AO49" s="9">
        <f t="shared" si="15"/>
        <v>273.58314703051292</v>
      </c>
      <c r="AP49" s="9">
        <f t="shared" si="16"/>
        <v>41.078550605182123</v>
      </c>
      <c r="AQ49" s="9">
        <f>IF(OR(Inputs!$C$27=TRUE,Inputs!$C$27="TRUE",Inputs!$C$27=1),Inputs!$C$46/Inputs!$C$12,0)</f>
        <v>0</v>
      </c>
      <c r="AR49" s="9">
        <f t="shared" si="17"/>
        <v>1365.2735172823614</v>
      </c>
      <c r="AS49" s="9">
        <f t="shared" si="18"/>
        <v>1365.2735172823614</v>
      </c>
    </row>
    <row r="50" spans="1:45">
      <c r="A50" s="9">
        <f>Inputs!$C$7+48*(Inputs!$C$8-Inputs!$C$7)/240</f>
        <v>-36</v>
      </c>
      <c r="B50" s="9">
        <f>Inputs!$C$5+Inputs!$C$9*(A50/Inputs!$C$10)^2</f>
        <v>401.44</v>
      </c>
      <c r="C50" s="9">
        <f t="shared" si="0"/>
        <v>401.44</v>
      </c>
      <c r="D50" s="9">
        <f>SQRT(A50^2+Inputs!$C$6^2+B50^2)</f>
        <v>403.82554847359523</v>
      </c>
      <c r="E50" s="9">
        <f t="shared" si="1"/>
        <v>2385.5484735952359</v>
      </c>
      <c r="F50" s="9">
        <f>E50/Inputs!$C$12</f>
        <v>1340.1957716827169</v>
      </c>
      <c r="G50" s="9">
        <f>2*E50/Inputs!$C$21*1000000</f>
        <v>15.914666362922551</v>
      </c>
      <c r="H50" s="9">
        <f>SQRT(A50^2+Inputs!$C$6^2)</f>
        <v>43.829214001622255</v>
      </c>
      <c r="I50" s="9">
        <f t="shared" si="2"/>
        <v>6.2308727821328196</v>
      </c>
      <c r="J50" s="9">
        <f>DEGREES((2*PI()/Inputs!$C$13)*Inputs!$C$15*SIN(RADIANS(I50)))</f>
        <v>39.072607219193102</v>
      </c>
      <c r="K50" s="9">
        <f t="shared" si="3"/>
        <v>0.97657906372369263</v>
      </c>
      <c r="L50" s="9">
        <f t="shared" si="4"/>
        <v>-0.10292590523670389</v>
      </c>
      <c r="M50" s="9">
        <f>2*(Inputs!$C$9/(Inputs!$C$10^2))*A50</f>
        <v>-0.08</v>
      </c>
      <c r="N50" s="9">
        <f>M50*Inputs!$C$11</f>
        <v>-0.32</v>
      </c>
      <c r="O50" s="9">
        <f>1000*((A50*Inputs!$C$11)+(B50*N50))/D50</f>
        <v>-674.69926315921361</v>
      </c>
      <c r="P50" s="9">
        <f>-2*O50/Inputs!$C$13</f>
        <v>269.87970526368542</v>
      </c>
      <c r="Q50" s="9">
        <f>-2*O50/Inputs!$C$14</f>
        <v>40.522478267820638</v>
      </c>
      <c r="R50" s="9">
        <f>F50-Inputs!$C$16/2</f>
        <v>1325.1957716827169</v>
      </c>
      <c r="S50" s="9">
        <f>F50+Inputs!$C$16/2</f>
        <v>1355.1957716827169</v>
      </c>
      <c r="T50" s="9">
        <f>F50-Inputs!$C$17/2</f>
        <v>1190.1957716827169</v>
      </c>
      <c r="U50" s="9">
        <f>F50+Inputs!$C$17/2</f>
        <v>1490.1957716827169</v>
      </c>
      <c r="V50" s="9">
        <f t="shared" si="5"/>
        <v>269.87970526368542</v>
      </c>
      <c r="W50" s="9">
        <f t="shared" si="6"/>
        <v>40.522478267820638</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0</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0</v>
      </c>
      <c r="Z50" s="9">
        <f t="shared" si="7"/>
        <v>401.44</v>
      </c>
      <c r="AA50" s="9">
        <f>SQRT(A50^2+Inputs!$C$6^2+(B50-Y50/1000)^2)</f>
        <v>403.82554847359523</v>
      </c>
      <c r="AB50" s="9">
        <f t="shared" si="8"/>
        <v>2385.5484735952359</v>
      </c>
      <c r="AC50" s="9">
        <f>AB50/Inputs!$C$12</f>
        <v>1340.1957716827169</v>
      </c>
      <c r="AD50" s="9">
        <f>2*AB50/Inputs!$C$21*1000000</f>
        <v>15.914666362922551</v>
      </c>
      <c r="AE50" s="9">
        <f t="shared" si="9"/>
        <v>6.2308727821328196</v>
      </c>
      <c r="AF50" s="9">
        <f>DEGREES((2*PI()/Inputs!$C$13)*Inputs!$C$15*SIN(RADIANS(AE50)))</f>
        <v>39.072607219193102</v>
      </c>
      <c r="AG50" s="9">
        <f t="shared" si="10"/>
        <v>0.97657906372369263</v>
      </c>
      <c r="AH50" s="9">
        <f t="shared" si="11"/>
        <v>-0.10292590523670389</v>
      </c>
      <c r="AI50" s="9">
        <f t="shared" si="12"/>
        <v>0</v>
      </c>
      <c r="AJ50" s="9">
        <f t="shared" si="13"/>
        <v>0</v>
      </c>
      <c r="AK50" s="9">
        <f t="shared" si="14"/>
        <v>0</v>
      </c>
      <c r="AL50" s="9">
        <f>1000*(AA51-AA49)/(A51-A49)*Inputs!$C$11</f>
        <v>-674.69851615169318</v>
      </c>
      <c r="AM50" s="9">
        <f>-2*AL50/Inputs!$C$13</f>
        <v>269.87940646067727</v>
      </c>
      <c r="AN50" s="9">
        <f>-2*AL50/Inputs!$C$14</f>
        <v>40.522433402504099</v>
      </c>
      <c r="AO50" s="9">
        <f t="shared" si="15"/>
        <v>269.87940646067727</v>
      </c>
      <c r="AP50" s="9">
        <f t="shared" si="16"/>
        <v>40.522433402504099</v>
      </c>
      <c r="AQ50" s="9">
        <f>IF(OR(Inputs!$C$27=TRUE,Inputs!$C$27="TRUE",Inputs!$C$27=1),Inputs!$C$46/Inputs!$C$12,0)</f>
        <v>0</v>
      </c>
      <c r="AR50" s="9">
        <f t="shared" si="17"/>
        <v>1340.1957716827169</v>
      </c>
      <c r="AS50" s="9">
        <f t="shared" si="18"/>
        <v>1340.1957716827169</v>
      </c>
    </row>
    <row r="51" spans="1:45">
      <c r="A51" s="9">
        <f>Inputs!$C$7+49*(Inputs!$C$8-Inputs!$C$7)/240</f>
        <v>-35.5</v>
      </c>
      <c r="B51" s="9">
        <f>Inputs!$C$5+Inputs!$C$9*(A51/Inputs!$C$10)^2</f>
        <v>401.40027777777777</v>
      </c>
      <c r="C51" s="9">
        <f t="shared" si="0"/>
        <v>401.40027777777777</v>
      </c>
      <c r="D51" s="9">
        <f>SQRT(A51^2+Inputs!$C$6^2+B51^2)</f>
        <v>403.74179000950244</v>
      </c>
      <c r="E51" s="9">
        <f t="shared" si="1"/>
        <v>2341.5122317246642</v>
      </c>
      <c r="F51" s="9">
        <f>E51/Inputs!$C$12</f>
        <v>1315.4563099576765</v>
      </c>
      <c r="G51" s="9">
        <f>2*E51/Inputs!$C$21*1000000</f>
        <v>15.620888179412866</v>
      </c>
      <c r="H51" s="9">
        <f>SQRT(A51^2+Inputs!$C$6^2)</f>
        <v>43.419465680728962</v>
      </c>
      <c r="I51" s="9">
        <f t="shared" si="2"/>
        <v>6.1736799158619622</v>
      </c>
      <c r="J51" s="9">
        <f>DEGREES((2*PI()/Inputs!$C$13)*Inputs!$C$15*SIN(RADIANS(I51)))</f>
        <v>38.715357270037714</v>
      </c>
      <c r="K51" s="9">
        <f t="shared" si="3"/>
        <v>0.97700291197578704</v>
      </c>
      <c r="L51" s="9">
        <f t="shared" si="4"/>
        <v>-0.1010414185632306</v>
      </c>
      <c r="M51" s="9">
        <f>2*(Inputs!$C$9/(Inputs!$C$10^2))*A51</f>
        <v>-7.8888888888888883E-2</v>
      </c>
      <c r="N51" s="9">
        <f>M51*Inputs!$C$11</f>
        <v>-0.31555555555555553</v>
      </c>
      <c r="O51" s="9">
        <f>1000*((A51*Inputs!$C$11)+(B51*N51))/D51</f>
        <v>-665.43542011838224</v>
      </c>
      <c r="P51" s="9">
        <f>-2*O51/Inputs!$C$13</f>
        <v>266.17416804735291</v>
      </c>
      <c r="Q51" s="9">
        <f>-2*O51/Inputs!$C$14</f>
        <v>39.966091298401338</v>
      </c>
      <c r="R51" s="9">
        <f>F51-Inputs!$C$16/2</f>
        <v>1300.4563099576765</v>
      </c>
      <c r="S51" s="9">
        <f>F51+Inputs!$C$16/2</f>
        <v>1330.4563099576765</v>
      </c>
      <c r="T51" s="9">
        <f>F51-Inputs!$C$17/2</f>
        <v>1165.4563099576765</v>
      </c>
      <c r="U51" s="9">
        <f>F51+Inputs!$C$17/2</f>
        <v>1465.4563099576765</v>
      </c>
      <c r="V51" s="9">
        <f t="shared" si="5"/>
        <v>266.17416804735291</v>
      </c>
      <c r="W51" s="9">
        <f t="shared" si="6"/>
        <v>39.966091298401338</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0</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0</v>
      </c>
      <c r="Z51" s="9">
        <f t="shared" si="7"/>
        <v>401.40027777777777</v>
      </c>
      <c r="AA51" s="9">
        <f>SQRT(A51^2+Inputs!$C$6^2+(B51-Y51/1000)^2)</f>
        <v>403.74179000950244</v>
      </c>
      <c r="AB51" s="9">
        <f t="shared" si="8"/>
        <v>2341.5122317246642</v>
      </c>
      <c r="AC51" s="9">
        <f>AB51/Inputs!$C$12</f>
        <v>1315.4563099576765</v>
      </c>
      <c r="AD51" s="9">
        <f>2*AB51/Inputs!$C$21*1000000</f>
        <v>15.620888179412866</v>
      </c>
      <c r="AE51" s="9">
        <f t="shared" si="9"/>
        <v>6.1736799158619622</v>
      </c>
      <c r="AF51" s="9">
        <f>DEGREES((2*PI()/Inputs!$C$13)*Inputs!$C$15*SIN(RADIANS(AE51)))</f>
        <v>38.715357270037714</v>
      </c>
      <c r="AG51" s="9">
        <f t="shared" si="10"/>
        <v>0.97700291197578704</v>
      </c>
      <c r="AH51" s="9">
        <f t="shared" si="11"/>
        <v>-0.1010414185632306</v>
      </c>
      <c r="AI51" s="9">
        <f t="shared" si="12"/>
        <v>0</v>
      </c>
      <c r="AJ51" s="9">
        <f t="shared" si="13"/>
        <v>0</v>
      </c>
      <c r="AK51" s="9">
        <f t="shared" si="14"/>
        <v>0</v>
      </c>
      <c r="AL51" s="9">
        <f>1000*(AA52-AA50)/(A52-A50)*Inputs!$C$11</f>
        <v>-665.43468272152495</v>
      </c>
      <c r="AM51" s="9">
        <f>-2*AL51/Inputs!$C$13</f>
        <v>266.17387308860998</v>
      </c>
      <c r="AN51" s="9">
        <f>-2*AL51/Inputs!$C$14</f>
        <v>39.9660470103018</v>
      </c>
      <c r="AO51" s="9">
        <f t="shared" si="15"/>
        <v>266.17387308860998</v>
      </c>
      <c r="AP51" s="9">
        <f t="shared" si="16"/>
        <v>39.9660470103018</v>
      </c>
      <c r="AQ51" s="9">
        <f>IF(OR(Inputs!$C$27=TRUE,Inputs!$C$27="TRUE",Inputs!$C$27=1),Inputs!$C$46/Inputs!$C$12,0)</f>
        <v>0</v>
      </c>
      <c r="AR51" s="9">
        <f t="shared" si="17"/>
        <v>1315.4563099576765</v>
      </c>
      <c r="AS51" s="9">
        <f t="shared" si="18"/>
        <v>1315.4563099576765</v>
      </c>
    </row>
    <row r="52" spans="1:45">
      <c r="A52" s="9">
        <f>Inputs!$C$7+50*(Inputs!$C$8-Inputs!$C$7)/240</f>
        <v>-35</v>
      </c>
      <c r="B52" s="9">
        <f>Inputs!$C$5+Inputs!$C$9*(A52/Inputs!$C$10)^2</f>
        <v>401.36111111111109</v>
      </c>
      <c r="C52" s="9">
        <f t="shared" si="0"/>
        <v>401.36111111111109</v>
      </c>
      <c r="D52" s="9">
        <f>SQRT(A52^2+Inputs!$C$6^2+B52^2)</f>
        <v>403.65918980291485</v>
      </c>
      <c r="E52" s="9">
        <f t="shared" si="1"/>
        <v>2298.0786918037666</v>
      </c>
      <c r="F52" s="9">
        <f>E52/Inputs!$C$12</f>
        <v>1291.0554448335768</v>
      </c>
      <c r="G52" s="9">
        <f>2*E52/Inputs!$C$21*1000000</f>
        <v>15.331130790513527</v>
      </c>
      <c r="H52" s="9">
        <f>SQRT(A52^2+Inputs!$C$6^2)</f>
        <v>43.011626335213137</v>
      </c>
      <c r="I52" s="9">
        <f t="shared" si="2"/>
        <v>6.116724388997361</v>
      </c>
      <c r="J52" s="9">
        <f>DEGREES((2*PI()/Inputs!$C$13)*Inputs!$C$15*SIN(RADIANS(I52)))</f>
        <v>38.359551502436567</v>
      </c>
      <c r="K52" s="9">
        <f t="shared" si="3"/>
        <v>0.97742126740588164</v>
      </c>
      <c r="L52" s="9">
        <f t="shared" si="4"/>
        <v>-9.9182155262498989E-2</v>
      </c>
      <c r="M52" s="9">
        <f>2*(Inputs!$C$9/(Inputs!$C$10^2))*A52</f>
        <v>-7.7777777777777779E-2</v>
      </c>
      <c r="N52" s="9">
        <f>M52*Inputs!$C$11</f>
        <v>-0.31111111111111112</v>
      </c>
      <c r="O52" s="9">
        <f>1000*((A52*Inputs!$C$11)+(B52*N52))/D52</f>
        <v>-656.16715270099189</v>
      </c>
      <c r="P52" s="9">
        <f>-2*O52/Inputs!$C$13</f>
        <v>262.46686108039677</v>
      </c>
      <c r="Q52" s="9">
        <f>-2*O52/Inputs!$C$14</f>
        <v>39.409438600660174</v>
      </c>
      <c r="R52" s="9">
        <f>F52-Inputs!$C$16/2</f>
        <v>1276.0554448335768</v>
      </c>
      <c r="S52" s="9">
        <f>F52+Inputs!$C$16/2</f>
        <v>1306.0554448335768</v>
      </c>
      <c r="T52" s="9">
        <f>F52-Inputs!$C$17/2</f>
        <v>1141.0554448335768</v>
      </c>
      <c r="U52" s="9">
        <f>F52+Inputs!$C$17/2</f>
        <v>1441.0554448335768</v>
      </c>
      <c r="V52" s="9">
        <f t="shared" si="5"/>
        <v>262.46686108039677</v>
      </c>
      <c r="W52" s="9">
        <f t="shared" si="6"/>
        <v>39.409438600660174</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0</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0</v>
      </c>
      <c r="Z52" s="9">
        <f t="shared" si="7"/>
        <v>401.36111111111109</v>
      </c>
      <c r="AA52" s="9">
        <f>SQRT(A52^2+Inputs!$C$6^2+(B52-Y52/1000)^2)</f>
        <v>403.65918980291485</v>
      </c>
      <c r="AB52" s="9">
        <f t="shared" si="8"/>
        <v>2298.0786918037666</v>
      </c>
      <c r="AC52" s="9">
        <f>AB52/Inputs!$C$12</f>
        <v>1291.0554448335768</v>
      </c>
      <c r="AD52" s="9">
        <f>2*AB52/Inputs!$C$21*1000000</f>
        <v>15.331130790513527</v>
      </c>
      <c r="AE52" s="9">
        <f t="shared" si="9"/>
        <v>6.116724388997361</v>
      </c>
      <c r="AF52" s="9">
        <f>DEGREES((2*PI()/Inputs!$C$13)*Inputs!$C$15*SIN(RADIANS(AE52)))</f>
        <v>38.359551502436567</v>
      </c>
      <c r="AG52" s="9">
        <f t="shared" si="10"/>
        <v>0.97742126740588164</v>
      </c>
      <c r="AH52" s="9">
        <f t="shared" si="11"/>
        <v>-9.9182155262498989E-2</v>
      </c>
      <c r="AI52" s="9">
        <f t="shared" si="12"/>
        <v>0</v>
      </c>
      <c r="AJ52" s="9">
        <f t="shared" si="13"/>
        <v>0</v>
      </c>
      <c r="AK52" s="9">
        <f t="shared" si="14"/>
        <v>0</v>
      </c>
      <c r="AL52" s="9">
        <f>1000*(AA53-AA51)/(A53-A51)*Inputs!$C$11</f>
        <v>-656.1664249450132</v>
      </c>
      <c r="AM52" s="9">
        <f>-2*AL52/Inputs!$C$13</f>
        <v>262.46656997800528</v>
      </c>
      <c r="AN52" s="9">
        <f>-2*AL52/Inputs!$C$14</f>
        <v>39.409394891592385</v>
      </c>
      <c r="AO52" s="9">
        <f t="shared" si="15"/>
        <v>262.46656997800528</v>
      </c>
      <c r="AP52" s="9">
        <f t="shared" si="16"/>
        <v>39.409394891592385</v>
      </c>
      <c r="AQ52" s="9">
        <f>IF(OR(Inputs!$C$27=TRUE,Inputs!$C$27="TRUE",Inputs!$C$27=1),Inputs!$C$46/Inputs!$C$12,0)</f>
        <v>0</v>
      </c>
      <c r="AR52" s="9">
        <f t="shared" si="17"/>
        <v>1291.0554448335768</v>
      </c>
      <c r="AS52" s="9">
        <f t="shared" si="18"/>
        <v>1291.0554448335768</v>
      </c>
    </row>
    <row r="53" spans="1:45">
      <c r="A53" s="9">
        <f>Inputs!$C$7+51*(Inputs!$C$8-Inputs!$C$7)/240</f>
        <v>-34.5</v>
      </c>
      <c r="B53" s="9">
        <f>Inputs!$C$5+Inputs!$C$9*(A53/Inputs!$C$10)^2</f>
        <v>401.32249999999999</v>
      </c>
      <c r="C53" s="9">
        <f t="shared" si="0"/>
        <v>401.32249999999999</v>
      </c>
      <c r="D53" s="9">
        <f>SQRT(A53^2+Inputs!$C$6^2+B53^2)</f>
        <v>403.57774840326618</v>
      </c>
      <c r="E53" s="9">
        <f t="shared" si="1"/>
        <v>2255.2484032661937</v>
      </c>
      <c r="F53" s="9">
        <f>E53/Inputs!$C$12</f>
        <v>1266.9934849810077</v>
      </c>
      <c r="G53" s="9">
        <f>2*E53/Inputs!$C$21*1000000</f>
        <v>15.045397861651301</v>
      </c>
      <c r="H53" s="9">
        <f>SQRT(A53^2+Inputs!$C$6^2)</f>
        <v>42.605750785545368</v>
      </c>
      <c r="I53" s="9">
        <f t="shared" si="2"/>
        <v>6.0600145195950779</v>
      </c>
      <c r="J53" s="9">
        <f>DEGREES((2*PI()/Inputs!$C$13)*Inputs!$C$15*SIN(RADIANS(I53)))</f>
        <v>38.005242715884584</v>
      </c>
      <c r="K53" s="9">
        <f t="shared" si="3"/>
        <v>0.97783411223269123</v>
      </c>
      <c r="L53" s="9">
        <f t="shared" si="4"/>
        <v>-9.734816227419324E-2</v>
      </c>
      <c r="M53" s="9">
        <f>2*(Inputs!$C$9/(Inputs!$C$10^2))*A53</f>
        <v>-7.6666666666666661E-2</v>
      </c>
      <c r="N53" s="9">
        <f>M53*Inputs!$C$11</f>
        <v>-0.30666666666666664</v>
      </c>
      <c r="O53" s="9">
        <f>1000*((A53*Inputs!$C$11)+(B53*N53))/D53</f>
        <v>-646.8945187544449</v>
      </c>
      <c r="P53" s="9">
        <f>-2*O53/Inputs!$C$13</f>
        <v>258.75780750177796</v>
      </c>
      <c r="Q53" s="9">
        <f>-2*O53/Inputs!$C$14</f>
        <v>38.852523648915614</v>
      </c>
      <c r="R53" s="9">
        <f>F53-Inputs!$C$16/2</f>
        <v>1251.9934849810077</v>
      </c>
      <c r="S53" s="9">
        <f>F53+Inputs!$C$16/2</f>
        <v>1281.9934849810077</v>
      </c>
      <c r="T53" s="9">
        <f>F53-Inputs!$C$17/2</f>
        <v>1116.9934849810077</v>
      </c>
      <c r="U53" s="9">
        <f>F53+Inputs!$C$17/2</f>
        <v>1416.9934849810077</v>
      </c>
      <c r="V53" s="9">
        <f t="shared" si="5"/>
        <v>258.75780750177796</v>
      </c>
      <c r="W53" s="9">
        <f t="shared" si="6"/>
        <v>38.852523648915614</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0</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0</v>
      </c>
      <c r="Z53" s="9">
        <f t="shared" si="7"/>
        <v>401.32249999999999</v>
      </c>
      <c r="AA53" s="9">
        <f>SQRT(A53^2+Inputs!$C$6^2+(B53-Y53/1000)^2)</f>
        <v>403.57774840326618</v>
      </c>
      <c r="AB53" s="9">
        <f t="shared" si="8"/>
        <v>2255.2484032661937</v>
      </c>
      <c r="AC53" s="9">
        <f>AB53/Inputs!$C$12</f>
        <v>1266.9934849810077</v>
      </c>
      <c r="AD53" s="9">
        <f>2*AB53/Inputs!$C$21*1000000</f>
        <v>15.045397861651301</v>
      </c>
      <c r="AE53" s="9">
        <f t="shared" si="9"/>
        <v>6.0600145195950779</v>
      </c>
      <c r="AF53" s="9">
        <f>DEGREES((2*PI()/Inputs!$C$13)*Inputs!$C$15*SIN(RADIANS(AE53)))</f>
        <v>38.005242715884584</v>
      </c>
      <c r="AG53" s="9">
        <f t="shared" si="10"/>
        <v>0.97783411223269123</v>
      </c>
      <c r="AH53" s="9">
        <f t="shared" si="11"/>
        <v>-9.734816227419324E-2</v>
      </c>
      <c r="AI53" s="9">
        <f t="shared" si="12"/>
        <v>0</v>
      </c>
      <c r="AJ53" s="9">
        <f t="shared" si="13"/>
        <v>0</v>
      </c>
      <c r="AK53" s="9">
        <f t="shared" si="14"/>
        <v>0</v>
      </c>
      <c r="AL53" s="9">
        <f>1000*(AA54-AA52)/(A54-A52)*Inputs!$C$11</f>
        <v>-646.89380067034108</v>
      </c>
      <c r="AM53" s="9">
        <f>-2*AL53/Inputs!$C$13</f>
        <v>258.75752026813643</v>
      </c>
      <c r="AN53" s="9">
        <f>-2*AL53/Inputs!$C$14</f>
        <v>38.85248052074121</v>
      </c>
      <c r="AO53" s="9">
        <f t="shared" si="15"/>
        <v>258.75752026813643</v>
      </c>
      <c r="AP53" s="9">
        <f t="shared" si="16"/>
        <v>38.85248052074121</v>
      </c>
      <c r="AQ53" s="9">
        <f>IF(OR(Inputs!$C$27=TRUE,Inputs!$C$27="TRUE",Inputs!$C$27=1),Inputs!$C$46/Inputs!$C$12,0)</f>
        <v>0</v>
      </c>
      <c r="AR53" s="9">
        <f t="shared" si="17"/>
        <v>1266.9934849810077</v>
      </c>
      <c r="AS53" s="9">
        <f t="shared" si="18"/>
        <v>1266.9934849810077</v>
      </c>
    </row>
    <row r="54" spans="1:45">
      <c r="A54" s="9">
        <f>Inputs!$C$7+52*(Inputs!$C$8-Inputs!$C$7)/240</f>
        <v>-34</v>
      </c>
      <c r="B54" s="9">
        <f>Inputs!$C$5+Inputs!$C$9*(A54/Inputs!$C$10)^2</f>
        <v>401.28444444444443</v>
      </c>
      <c r="C54" s="9">
        <f t="shared" si="0"/>
        <v>401.28444444444443</v>
      </c>
      <c r="D54" s="9">
        <f>SQRT(A54^2+Inputs!$C$6^2+B54^2)</f>
        <v>403.49746635274727</v>
      </c>
      <c r="E54" s="9">
        <f t="shared" si="1"/>
        <v>2213.0219083028351</v>
      </c>
      <c r="F54" s="9">
        <f>E54/Inputs!$C$12</f>
        <v>1243.2707350015928</v>
      </c>
      <c r="G54" s="9">
        <f>2*E54/Inputs!$C$21*1000000</f>
        <v>14.76369300993446</v>
      </c>
      <c r="H54" s="9">
        <f>SQRT(A54^2+Inputs!$C$6^2)</f>
        <v>42.201895692018383</v>
      </c>
      <c r="I54" s="9">
        <f t="shared" si="2"/>
        <v>6.0035588898090326</v>
      </c>
      <c r="J54" s="9">
        <f>DEGREES((2*PI()/Inputs!$C$13)*Inputs!$C$15*SIN(RADIANS(I54)))</f>
        <v>37.652485371109634</v>
      </c>
      <c r="K54" s="9">
        <f t="shared" si="3"/>
        <v>0.97824142888534515</v>
      </c>
      <c r="L54" s="9">
        <f t="shared" si="4"/>
        <v>-9.5539485937587709E-2</v>
      </c>
      <c r="M54" s="9">
        <f>2*(Inputs!$C$9/(Inputs!$C$10^2))*A54</f>
        <v>-7.5555555555555556E-2</v>
      </c>
      <c r="N54" s="9">
        <f>M54*Inputs!$C$11</f>
        <v>-0.30222222222222223</v>
      </c>
      <c r="O54" s="9">
        <f>1000*((A54*Inputs!$C$11)+(B54*N54))/D54</f>
        <v>-637.61757631036039</v>
      </c>
      <c r="P54" s="9">
        <f>-2*O54/Inputs!$C$13</f>
        <v>255.04703052414416</v>
      </c>
      <c r="Q54" s="9">
        <f>-2*O54/Inputs!$C$14</f>
        <v>38.295349928550174</v>
      </c>
      <c r="R54" s="9">
        <f>F54-Inputs!$C$16/2</f>
        <v>1228.2707350015928</v>
      </c>
      <c r="S54" s="9">
        <f>F54+Inputs!$C$16/2</f>
        <v>1258.2707350015928</v>
      </c>
      <c r="T54" s="9">
        <f>F54-Inputs!$C$17/2</f>
        <v>1093.2707350015928</v>
      </c>
      <c r="U54" s="9">
        <f>F54+Inputs!$C$17/2</f>
        <v>1393.2707350015928</v>
      </c>
      <c r="V54" s="9">
        <f t="shared" si="5"/>
        <v>255.04703052414416</v>
      </c>
      <c r="W54" s="9">
        <f t="shared" si="6"/>
        <v>38.295349928550174</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0</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0</v>
      </c>
      <c r="Z54" s="9">
        <f t="shared" si="7"/>
        <v>401.28444444444443</v>
      </c>
      <c r="AA54" s="9">
        <f>SQRT(A54^2+Inputs!$C$6^2+(B54-Y54/1000)^2)</f>
        <v>403.49746635274727</v>
      </c>
      <c r="AB54" s="9">
        <f t="shared" si="8"/>
        <v>2213.0219083028351</v>
      </c>
      <c r="AC54" s="9">
        <f>AB54/Inputs!$C$12</f>
        <v>1243.2707350015928</v>
      </c>
      <c r="AD54" s="9">
        <f>2*AB54/Inputs!$C$21*1000000</f>
        <v>14.76369300993446</v>
      </c>
      <c r="AE54" s="9">
        <f t="shared" si="9"/>
        <v>6.0035588898090326</v>
      </c>
      <c r="AF54" s="9">
        <f>DEGREES((2*PI()/Inputs!$C$13)*Inputs!$C$15*SIN(RADIANS(AE54)))</f>
        <v>37.652485371109634</v>
      </c>
      <c r="AG54" s="9">
        <f t="shared" si="10"/>
        <v>0.97824142888534515</v>
      </c>
      <c r="AH54" s="9">
        <f t="shared" si="11"/>
        <v>-9.5539485937587709E-2</v>
      </c>
      <c r="AI54" s="9">
        <f t="shared" si="12"/>
        <v>0</v>
      </c>
      <c r="AJ54" s="9">
        <f t="shared" si="13"/>
        <v>0</v>
      </c>
      <c r="AK54" s="9">
        <f t="shared" si="14"/>
        <v>0</v>
      </c>
      <c r="AL54" s="9">
        <f>1000*(AA55-AA53)/(A55-A53)*Inputs!$C$11</f>
        <v>-637.61686792872752</v>
      </c>
      <c r="AM54" s="9">
        <f>-2*AL54/Inputs!$C$13</f>
        <v>255.04674717149101</v>
      </c>
      <c r="AN54" s="9">
        <f>-2*AL54/Inputs!$C$14</f>
        <v>38.29530738310676</v>
      </c>
      <c r="AO54" s="9">
        <f t="shared" si="15"/>
        <v>255.04674717149101</v>
      </c>
      <c r="AP54" s="9">
        <f t="shared" si="16"/>
        <v>38.29530738310676</v>
      </c>
      <c r="AQ54" s="9">
        <f>IF(OR(Inputs!$C$27=TRUE,Inputs!$C$27="TRUE",Inputs!$C$27=1),Inputs!$C$46/Inputs!$C$12,0)</f>
        <v>0</v>
      </c>
      <c r="AR54" s="9">
        <f t="shared" si="17"/>
        <v>1243.2707350015928</v>
      </c>
      <c r="AS54" s="9">
        <f t="shared" si="18"/>
        <v>1243.2707350015928</v>
      </c>
    </row>
    <row r="55" spans="1:45">
      <c r="A55" s="9">
        <f>Inputs!$C$7+53*(Inputs!$C$8-Inputs!$C$7)/240</f>
        <v>-33.5</v>
      </c>
      <c r="B55" s="9">
        <f>Inputs!$C$5+Inputs!$C$9*(A55/Inputs!$C$10)^2</f>
        <v>401.24694444444447</v>
      </c>
      <c r="C55" s="9">
        <f t="shared" si="0"/>
        <v>401.24694444444447</v>
      </c>
      <c r="D55" s="9">
        <f>SQRT(A55^2+Inputs!$C$6^2+B55^2)</f>
        <v>403.418344186284</v>
      </c>
      <c r="E55" s="9">
        <f t="shared" si="1"/>
        <v>2171.3997418395365</v>
      </c>
      <c r="F55" s="9">
        <f>E55/Inputs!$C$12</f>
        <v>1219.8874954154699</v>
      </c>
      <c r="G55" s="9">
        <f>2*E55/Inputs!$C$21*1000000</f>
        <v>14.486019804004119</v>
      </c>
      <c r="H55" s="9">
        <f>SQRT(A55^2+Inputs!$C$6^2)</f>
        <v>41.800119617053731</v>
      </c>
      <c r="I55" s="9">
        <f t="shared" si="2"/>
        <v>5.9473663547666744</v>
      </c>
      <c r="J55" s="9">
        <f>DEGREES((2*PI()/Inputs!$C$13)*Inputs!$C$15*SIN(RADIANS(I55)))</f>
        <v>37.301335645735293</v>
      </c>
      <c r="K55" s="9">
        <f t="shared" si="3"/>
        <v>0.97864320000507332</v>
      </c>
      <c r="L55" s="9">
        <f t="shared" si="4"/>
        <v>-9.3756171988858106E-2</v>
      </c>
      <c r="M55" s="9">
        <f>2*(Inputs!$C$9/(Inputs!$C$10^2))*A55</f>
        <v>-7.4444444444444438E-2</v>
      </c>
      <c r="N55" s="9">
        <f>M55*Inputs!$C$11</f>
        <v>-0.29777777777777775</v>
      </c>
      <c r="O55" s="9">
        <f>1000*((A55*Inputs!$C$11)+(B55*N55))/D55</f>
        <v>-628.33638358235169</v>
      </c>
      <c r="P55" s="9">
        <f>-2*O55/Inputs!$C$13</f>
        <v>251.33455343294068</v>
      </c>
      <c r="Q55" s="9">
        <f>-2*O55/Inputs!$C$14</f>
        <v>37.737920935876978</v>
      </c>
      <c r="R55" s="9">
        <f>F55-Inputs!$C$16/2</f>
        <v>1204.8874954154699</v>
      </c>
      <c r="S55" s="9">
        <f>F55+Inputs!$C$16/2</f>
        <v>1234.8874954154699</v>
      </c>
      <c r="T55" s="9">
        <f>F55-Inputs!$C$17/2</f>
        <v>1069.8874954154699</v>
      </c>
      <c r="U55" s="9">
        <f>F55+Inputs!$C$17/2</f>
        <v>1369.8874954154699</v>
      </c>
      <c r="V55" s="9">
        <f t="shared" si="5"/>
        <v>251.33455343294068</v>
      </c>
      <c r="W55" s="9">
        <f t="shared" si="6"/>
        <v>37.737920935876978</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0</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0</v>
      </c>
      <c r="Z55" s="9">
        <f t="shared" si="7"/>
        <v>401.24694444444447</v>
      </c>
      <c r="AA55" s="9">
        <f>SQRT(A55^2+Inputs!$C$6^2+(B55-Y55/1000)^2)</f>
        <v>403.418344186284</v>
      </c>
      <c r="AB55" s="9">
        <f t="shared" si="8"/>
        <v>2171.3997418395365</v>
      </c>
      <c r="AC55" s="9">
        <f>AB55/Inputs!$C$12</f>
        <v>1219.8874954154699</v>
      </c>
      <c r="AD55" s="9">
        <f>2*AB55/Inputs!$C$21*1000000</f>
        <v>14.486019804004119</v>
      </c>
      <c r="AE55" s="9">
        <f t="shared" si="9"/>
        <v>5.9473663547666744</v>
      </c>
      <c r="AF55" s="9">
        <f>DEGREES((2*PI()/Inputs!$C$13)*Inputs!$C$15*SIN(RADIANS(AE55)))</f>
        <v>37.301335645735293</v>
      </c>
      <c r="AG55" s="9">
        <f t="shared" si="10"/>
        <v>0.97864320000507332</v>
      </c>
      <c r="AH55" s="9">
        <f t="shared" si="11"/>
        <v>-9.3756171988858106E-2</v>
      </c>
      <c r="AI55" s="9">
        <f t="shared" si="12"/>
        <v>0</v>
      </c>
      <c r="AJ55" s="9">
        <f t="shared" si="13"/>
        <v>0</v>
      </c>
      <c r="AK55" s="9">
        <f t="shared" si="14"/>
        <v>0</v>
      </c>
      <c r="AL55" s="9">
        <f>1000*(AA56-AA54)/(A56-A54)*Inputs!$C$11</f>
        <v>-628.33568493306302</v>
      </c>
      <c r="AM55" s="9">
        <f>-2*AL55/Inputs!$C$13</f>
        <v>251.33427397322521</v>
      </c>
      <c r="AN55" s="9">
        <f>-2*AL55/Inputs!$C$14</f>
        <v>37.73787897495874</v>
      </c>
      <c r="AO55" s="9">
        <f t="shared" si="15"/>
        <v>251.33427397322521</v>
      </c>
      <c r="AP55" s="9">
        <f t="shared" si="16"/>
        <v>37.73787897495874</v>
      </c>
      <c r="AQ55" s="9">
        <f>IF(OR(Inputs!$C$27=TRUE,Inputs!$C$27="TRUE",Inputs!$C$27=1),Inputs!$C$46/Inputs!$C$12,0)</f>
        <v>0</v>
      </c>
      <c r="AR55" s="9">
        <f t="shared" si="17"/>
        <v>1219.8874954154699</v>
      </c>
      <c r="AS55" s="9">
        <f t="shared" si="18"/>
        <v>1219.8874954154699</v>
      </c>
    </row>
    <row r="56" spans="1:45">
      <c r="A56" s="9">
        <f>Inputs!$C$7+54*(Inputs!$C$8-Inputs!$C$7)/240</f>
        <v>-33</v>
      </c>
      <c r="B56" s="9">
        <f>Inputs!$C$5+Inputs!$C$9*(A56/Inputs!$C$10)^2</f>
        <v>401.21</v>
      </c>
      <c r="C56" s="9">
        <f t="shared" si="0"/>
        <v>401.21</v>
      </c>
      <c r="D56" s="9">
        <f>SQRT(A56^2+Inputs!$C$6^2+B56^2)</f>
        <v>403.340382431514</v>
      </c>
      <c r="E56" s="9">
        <f t="shared" si="1"/>
        <v>2130.3824315140218</v>
      </c>
      <c r="F56" s="9">
        <f>E56/Inputs!$C$12</f>
        <v>1196.8440626483268</v>
      </c>
      <c r="G56" s="9">
        <f>2*E56/Inputs!$C$21*1000000</f>
        <v>14.212381763880277</v>
      </c>
      <c r="H56" s="9">
        <f>SQRT(A56^2+Inputs!$C$6^2)</f>
        <v>41.400483088968905</v>
      </c>
      <c r="I56" s="9">
        <f t="shared" si="2"/>
        <v>5.8914460516514309</v>
      </c>
      <c r="J56" s="9">
        <f>DEGREES((2*PI()/Inputs!$C$13)*Inputs!$C$15*SIN(RADIANS(I56)))</f>
        <v>36.951851491238891</v>
      </c>
      <c r="K56" s="9">
        <f t="shared" si="3"/>
        <v>0.9790394084468792</v>
      </c>
      <c r="L56" s="9">
        <f t="shared" si="4"/>
        <v>-9.1998265558405568E-2</v>
      </c>
      <c r="M56" s="9">
        <f>2*(Inputs!$C$9/(Inputs!$C$10^2))*A56</f>
        <v>-7.3333333333333334E-2</v>
      </c>
      <c r="N56" s="9">
        <f>M56*Inputs!$C$11</f>
        <v>-0.29333333333333333</v>
      </c>
      <c r="O56" s="9">
        <f>1000*((A56*Inputs!$C$11)+(B56*N56))/D56</f>
        <v>-619.05099896379204</v>
      </c>
      <c r="P56" s="9">
        <f>-2*O56/Inputs!$C$13</f>
        <v>247.62039958551682</v>
      </c>
      <c r="Q56" s="9">
        <f>-2*O56/Inputs!$C$14</f>
        <v>37.180240178005533</v>
      </c>
      <c r="R56" s="9">
        <f>F56-Inputs!$C$16/2</f>
        <v>1181.8440626483268</v>
      </c>
      <c r="S56" s="9">
        <f>F56+Inputs!$C$16/2</f>
        <v>1211.8440626483268</v>
      </c>
      <c r="T56" s="9">
        <f>F56-Inputs!$C$17/2</f>
        <v>1046.8440626483268</v>
      </c>
      <c r="U56" s="9">
        <f>F56+Inputs!$C$17/2</f>
        <v>1346.8440626483268</v>
      </c>
      <c r="V56" s="9">
        <f t="shared" si="5"/>
        <v>247.62039958551682</v>
      </c>
      <c r="W56" s="9">
        <f t="shared" si="6"/>
        <v>37.180240178005533</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0</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0</v>
      </c>
      <c r="Z56" s="9">
        <f t="shared" si="7"/>
        <v>401.21</v>
      </c>
      <c r="AA56" s="9">
        <f>SQRT(A56^2+Inputs!$C$6^2+(B56-Y56/1000)^2)</f>
        <v>403.340382431514</v>
      </c>
      <c r="AB56" s="9">
        <f t="shared" si="8"/>
        <v>2130.3824315140218</v>
      </c>
      <c r="AC56" s="9">
        <f>AB56/Inputs!$C$12</f>
        <v>1196.8440626483268</v>
      </c>
      <c r="AD56" s="9">
        <f>2*AB56/Inputs!$C$21*1000000</f>
        <v>14.212381763880277</v>
      </c>
      <c r="AE56" s="9">
        <f t="shared" si="9"/>
        <v>5.8914460516514309</v>
      </c>
      <c r="AF56" s="9">
        <f>DEGREES((2*PI()/Inputs!$C$13)*Inputs!$C$15*SIN(RADIANS(AE56)))</f>
        <v>36.951851491238891</v>
      </c>
      <c r="AG56" s="9">
        <f t="shared" si="10"/>
        <v>0.9790394084468792</v>
      </c>
      <c r="AH56" s="9">
        <f t="shared" si="11"/>
        <v>-9.1998265558405568E-2</v>
      </c>
      <c r="AI56" s="9">
        <f t="shared" si="12"/>
        <v>0</v>
      </c>
      <c r="AJ56" s="9">
        <f t="shared" si="13"/>
        <v>0</v>
      </c>
      <c r="AK56" s="9">
        <f t="shared" si="14"/>
        <v>0</v>
      </c>
      <c r="AL56" s="9">
        <f>1000*(AA57-AA55)/(A57-A55)*Inputs!$C$11</f>
        <v>-619.05031007631806</v>
      </c>
      <c r="AM56" s="9">
        <f>-2*AL56/Inputs!$C$13</f>
        <v>247.62012403052722</v>
      </c>
      <c r="AN56" s="9">
        <f>-2*AL56/Inputs!$C$14</f>
        <v>37.180198803382467</v>
      </c>
      <c r="AO56" s="9">
        <f t="shared" si="15"/>
        <v>247.62012403052722</v>
      </c>
      <c r="AP56" s="9">
        <f t="shared" si="16"/>
        <v>37.180198803382467</v>
      </c>
      <c r="AQ56" s="9">
        <f>IF(OR(Inputs!$C$27=TRUE,Inputs!$C$27="TRUE",Inputs!$C$27=1),Inputs!$C$46/Inputs!$C$12,0)</f>
        <v>0</v>
      </c>
      <c r="AR56" s="9">
        <f t="shared" si="17"/>
        <v>1196.8440626483268</v>
      </c>
      <c r="AS56" s="9">
        <f t="shared" si="18"/>
        <v>1196.8440626483268</v>
      </c>
    </row>
    <row r="57" spans="1:45">
      <c r="A57" s="9">
        <f>Inputs!$C$7+55*(Inputs!$C$8-Inputs!$C$7)/240</f>
        <v>-32.5</v>
      </c>
      <c r="B57" s="9">
        <f>Inputs!$C$5+Inputs!$C$9*(A57/Inputs!$C$10)^2</f>
        <v>401.17361111111109</v>
      </c>
      <c r="C57" s="9">
        <f t="shared" si="0"/>
        <v>401.17361111111109</v>
      </c>
      <c r="D57" s="9">
        <f>SQRT(A57^2+Inputs!$C$6^2+B57^2)</f>
        <v>403.26358160876492</v>
      </c>
      <c r="E57" s="9">
        <f t="shared" si="1"/>
        <v>2089.9704976538374</v>
      </c>
      <c r="F57" s="9">
        <f>E57/Inputs!$C$12</f>
        <v>1174.1407290190098</v>
      </c>
      <c r="G57" s="9">
        <f>2*E57/Inputs!$C$21*1000000</f>
        <v>13.942782360814675</v>
      </c>
      <c r="H57" s="9">
        <f>SQRT(A57^2+Inputs!$C$6^2)</f>
        <v>41.003048667141812</v>
      </c>
      <c r="I57" s="9">
        <f t="shared" si="2"/>
        <v>5.8358074089827321</v>
      </c>
      <c r="J57" s="9">
        <f>DEGREES((2*PI()/Inputs!$C$13)*Inputs!$C$15*SIN(RADIANS(I57)))</f>
        <v>36.604092691146747</v>
      </c>
      <c r="K57" s="9">
        <f t="shared" si="3"/>
        <v>0.97943003728119027</v>
      </c>
      <c r="L57" s="9">
        <f t="shared" si="4"/>
        <v>-9.0265811168235413E-2</v>
      </c>
      <c r="M57" s="9">
        <f>2*(Inputs!$C$9/(Inputs!$C$10^2))*A57</f>
        <v>-7.2222222222222215E-2</v>
      </c>
      <c r="N57" s="9">
        <f>M57*Inputs!$C$11</f>
        <v>-0.28888888888888886</v>
      </c>
      <c r="O57" s="9">
        <f>1000*((A57*Inputs!$C$11)+(B57*N57))/D57</f>
        <v>-609.76148102555953</v>
      </c>
      <c r="P57" s="9">
        <f>-2*O57/Inputs!$C$13</f>
        <v>243.90459241022381</v>
      </c>
      <c r="Q57" s="9">
        <f>-2*O57/Inputs!$C$14</f>
        <v>36.622311172706283</v>
      </c>
      <c r="R57" s="9">
        <f>F57-Inputs!$C$16/2</f>
        <v>1159.1407290190098</v>
      </c>
      <c r="S57" s="9">
        <f>F57+Inputs!$C$16/2</f>
        <v>1189.1407290190098</v>
      </c>
      <c r="T57" s="9">
        <f>F57-Inputs!$C$17/2</f>
        <v>1024.1407290190098</v>
      </c>
      <c r="U57" s="9">
        <f>F57+Inputs!$C$17/2</f>
        <v>1324.1407290190098</v>
      </c>
      <c r="V57" s="9">
        <f t="shared" si="5"/>
        <v>243.90459241022381</v>
      </c>
      <c r="W57" s="9">
        <f t="shared" si="6"/>
        <v>36.622311172706283</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0</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0</v>
      </c>
      <c r="Z57" s="9">
        <f t="shared" si="7"/>
        <v>401.17361111111109</v>
      </c>
      <c r="AA57" s="9">
        <f>SQRT(A57^2+Inputs!$C$6^2+(B57-Y57/1000)^2)</f>
        <v>403.26358160876492</v>
      </c>
      <c r="AB57" s="9">
        <f t="shared" si="8"/>
        <v>2089.9704976538374</v>
      </c>
      <c r="AC57" s="9">
        <f>AB57/Inputs!$C$12</f>
        <v>1174.1407290190098</v>
      </c>
      <c r="AD57" s="9">
        <f>2*AB57/Inputs!$C$21*1000000</f>
        <v>13.942782360814675</v>
      </c>
      <c r="AE57" s="9">
        <f t="shared" si="9"/>
        <v>5.8358074089827321</v>
      </c>
      <c r="AF57" s="9">
        <f>DEGREES((2*PI()/Inputs!$C$13)*Inputs!$C$15*SIN(RADIANS(AE57)))</f>
        <v>36.604092691146747</v>
      </c>
      <c r="AG57" s="9">
        <f t="shared" si="10"/>
        <v>0.97943003728119027</v>
      </c>
      <c r="AH57" s="9">
        <f t="shared" si="11"/>
        <v>-9.0265811168235413E-2</v>
      </c>
      <c r="AI57" s="9">
        <f t="shared" si="12"/>
        <v>0</v>
      </c>
      <c r="AJ57" s="9">
        <f t="shared" si="13"/>
        <v>0</v>
      </c>
      <c r="AK57" s="9">
        <f t="shared" si="14"/>
        <v>0</v>
      </c>
      <c r="AL57" s="9">
        <f>1000*(AA58-AA56)/(A58-A56)*Inputs!$C$11</f>
        <v>-609.76080192881454</v>
      </c>
      <c r="AM57" s="9">
        <f>-2*AL57/Inputs!$C$13</f>
        <v>243.90432077152582</v>
      </c>
      <c r="AN57" s="9">
        <f>-2*AL57/Inputs!$C$14</f>
        <v>36.622270386114991</v>
      </c>
      <c r="AO57" s="9">
        <f t="shared" si="15"/>
        <v>243.90432077152582</v>
      </c>
      <c r="AP57" s="9">
        <f t="shared" si="16"/>
        <v>36.622270386114991</v>
      </c>
      <c r="AQ57" s="9">
        <f>IF(OR(Inputs!$C$27=TRUE,Inputs!$C$27="TRUE",Inputs!$C$27=1),Inputs!$C$46/Inputs!$C$12,0)</f>
        <v>0</v>
      </c>
      <c r="AR57" s="9">
        <f t="shared" si="17"/>
        <v>1174.1407290190098</v>
      </c>
      <c r="AS57" s="9">
        <f t="shared" si="18"/>
        <v>1174.1407290190098</v>
      </c>
    </row>
    <row r="58" spans="1:45">
      <c r="A58" s="9">
        <f>Inputs!$C$7+56*(Inputs!$C$8-Inputs!$C$7)/240</f>
        <v>-32</v>
      </c>
      <c r="B58" s="9">
        <f>Inputs!$C$5+Inputs!$C$9*(A58/Inputs!$C$10)^2</f>
        <v>401.13777777777779</v>
      </c>
      <c r="C58" s="9">
        <f t="shared" si="0"/>
        <v>401.13777777777779</v>
      </c>
      <c r="D58" s="9">
        <f>SQRT(A58^2+Inputs!$C$6^2+B58^2)</f>
        <v>403.1879422310318</v>
      </c>
      <c r="E58" s="9">
        <f t="shared" si="1"/>
        <v>2050.1644532540126</v>
      </c>
      <c r="F58" s="9">
        <f>E58/Inputs!$C$12</f>
        <v>1151.7777827269733</v>
      </c>
      <c r="G58" s="9">
        <f>2*E58/Inputs!$C$21*1000000</f>
        <v>13.677225017141778</v>
      </c>
      <c r="H58" s="9">
        <f>SQRT(A58^2+Inputs!$C$6^2)</f>
        <v>40.607881008493905</v>
      </c>
      <c r="I58" s="9">
        <f t="shared" si="2"/>
        <v>5.7804601560821682</v>
      </c>
      <c r="J58" s="9">
        <f>DEGREES((2*PI()/Inputs!$C$13)*Inputs!$C$15*SIN(RADIANS(I58)))</f>
        <v>36.258120920394553</v>
      </c>
      <c r="K58" s="9">
        <f t="shared" si="3"/>
        <v>0.97981506979550026</v>
      </c>
      <c r="L58" s="9">
        <f t="shared" si="4"/>
        <v>-8.8558852729325899E-2</v>
      </c>
      <c r="M58" s="9">
        <f>2*(Inputs!$C$9/(Inputs!$C$10^2))*A58</f>
        <v>-7.1111111111111111E-2</v>
      </c>
      <c r="N58" s="9">
        <f>M58*Inputs!$C$11</f>
        <v>-0.28444444444444444</v>
      </c>
      <c r="O58" s="9">
        <f>1000*((A58*Inputs!$C$11)+(B58*N58))/D58</f>
        <v>-600.46788851376868</v>
      </c>
      <c r="P58" s="9">
        <f>-2*O58/Inputs!$C$13</f>
        <v>240.18715540550747</v>
      </c>
      <c r="Q58" s="9">
        <f>-2*O58/Inputs!$C$14</f>
        <v>36.064137448274401</v>
      </c>
      <c r="R58" s="9">
        <f>F58-Inputs!$C$16/2</f>
        <v>1136.7777827269733</v>
      </c>
      <c r="S58" s="9">
        <f>F58+Inputs!$C$16/2</f>
        <v>1166.7777827269733</v>
      </c>
      <c r="T58" s="9">
        <f>F58-Inputs!$C$17/2</f>
        <v>1001.7777827269733</v>
      </c>
      <c r="U58" s="9">
        <f>F58+Inputs!$C$17/2</f>
        <v>1301.7777827269733</v>
      </c>
      <c r="V58" s="9">
        <f t="shared" si="5"/>
        <v>240.18715540550747</v>
      </c>
      <c r="W58" s="9">
        <f t="shared" si="6"/>
        <v>36.064137448274401</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0</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0</v>
      </c>
      <c r="Z58" s="9">
        <f t="shared" si="7"/>
        <v>401.13777777777779</v>
      </c>
      <c r="AA58" s="9">
        <f>SQRT(A58^2+Inputs!$C$6^2+(B58-Y58/1000)^2)</f>
        <v>403.1879422310318</v>
      </c>
      <c r="AB58" s="9">
        <f t="shared" si="8"/>
        <v>2050.1644532540126</v>
      </c>
      <c r="AC58" s="9">
        <f>AB58/Inputs!$C$12</f>
        <v>1151.7777827269733</v>
      </c>
      <c r="AD58" s="9">
        <f>2*AB58/Inputs!$C$21*1000000</f>
        <v>13.677225017141778</v>
      </c>
      <c r="AE58" s="9">
        <f t="shared" si="9"/>
        <v>5.7804601560821682</v>
      </c>
      <c r="AF58" s="9">
        <f>DEGREES((2*PI()/Inputs!$C$13)*Inputs!$C$15*SIN(RADIANS(AE58)))</f>
        <v>36.258120920394553</v>
      </c>
      <c r="AG58" s="9">
        <f t="shared" si="10"/>
        <v>0.97981506979550026</v>
      </c>
      <c r="AH58" s="9">
        <f t="shared" si="11"/>
        <v>-8.8558852729325899E-2</v>
      </c>
      <c r="AI58" s="9">
        <f t="shared" si="12"/>
        <v>0</v>
      </c>
      <c r="AJ58" s="9">
        <f t="shared" si="13"/>
        <v>0</v>
      </c>
      <c r="AK58" s="9">
        <f t="shared" si="14"/>
        <v>0</v>
      </c>
      <c r="AL58" s="9">
        <f>1000*(AA59-AA57)/(A59-A57)*Inputs!$C$11</f>
        <v>-600.46721923708901</v>
      </c>
      <c r="AM58" s="9">
        <f>-2*AL58/Inputs!$C$13</f>
        <v>240.1868876948356</v>
      </c>
      <c r="AN58" s="9">
        <f>-2*AL58/Inputs!$C$14</f>
        <v>36.064097251476824</v>
      </c>
      <c r="AO58" s="9">
        <f t="shared" si="15"/>
        <v>240.1868876948356</v>
      </c>
      <c r="AP58" s="9">
        <f t="shared" si="16"/>
        <v>36.064097251476824</v>
      </c>
      <c r="AQ58" s="9">
        <f>IF(OR(Inputs!$C$27=TRUE,Inputs!$C$27="TRUE",Inputs!$C$27=1),Inputs!$C$46/Inputs!$C$12,0)</f>
        <v>0</v>
      </c>
      <c r="AR58" s="9">
        <f t="shared" si="17"/>
        <v>1151.7777827269733</v>
      </c>
      <c r="AS58" s="9">
        <f t="shared" si="18"/>
        <v>1151.7777827269733</v>
      </c>
    </row>
    <row r="59" spans="1:45">
      <c r="A59" s="9">
        <f>Inputs!$C$7+57*(Inputs!$C$8-Inputs!$C$7)/240</f>
        <v>-31.5</v>
      </c>
      <c r="B59" s="9">
        <f>Inputs!$C$5+Inputs!$C$9*(A59/Inputs!$C$10)^2</f>
        <v>401.10250000000002</v>
      </c>
      <c r="C59" s="9">
        <f t="shared" si="0"/>
        <v>401.10250000000002</v>
      </c>
      <c r="D59" s="9">
        <f>SQRT(A59^2+Inputs!$C$6^2+B59^2)</f>
        <v>403.11346480395565</v>
      </c>
      <c r="E59" s="9">
        <f t="shared" si="1"/>
        <v>2010.9648039556305</v>
      </c>
      <c r="F59" s="9">
        <f>E59/Inputs!$C$12</f>
        <v>1129.7555078402418</v>
      </c>
      <c r="G59" s="9">
        <f>2*E59/Inputs!$C$21*1000000</f>
        <v>13.415713106135783</v>
      </c>
      <c r="H59" s="9">
        <f>SQRT(A59^2+Inputs!$C$6^2)</f>
        <v>40.215046935195787</v>
      </c>
      <c r="I59" s="9">
        <f t="shared" si="2"/>
        <v>5.7254143327118072</v>
      </c>
      <c r="J59" s="9">
        <f>DEGREES((2*PI()/Inputs!$C$13)*Inputs!$C$15*SIN(RADIANS(I59)))</f>
        <v>35.913999805764909</v>
      </c>
      <c r="K59" s="9">
        <f t="shared" si="3"/>
        <v>0.98019448949598054</v>
      </c>
      <c r="L59" s="9">
        <f t="shared" si="4"/>
        <v>-8.6877433539086626E-2</v>
      </c>
      <c r="M59" s="9">
        <f>2*(Inputs!$C$9/(Inputs!$C$10^2))*A59</f>
        <v>-7.0000000000000007E-2</v>
      </c>
      <c r="N59" s="9">
        <f>M59*Inputs!$C$11</f>
        <v>-0.28000000000000003</v>
      </c>
      <c r="O59" s="9">
        <f>1000*((A59*Inputs!$C$11)+(B59*N59))/D59</f>
        <v>-591.17028034748387</v>
      </c>
      <c r="P59" s="9">
        <f>-2*O59/Inputs!$C$13</f>
        <v>236.46811213899355</v>
      </c>
      <c r="Q59" s="9">
        <f>-2*O59/Inputs!$C$14</f>
        <v>35.50572254339243</v>
      </c>
      <c r="R59" s="9">
        <f>F59-Inputs!$C$16/2</f>
        <v>1114.7555078402418</v>
      </c>
      <c r="S59" s="9">
        <f>F59+Inputs!$C$16/2</f>
        <v>1144.7555078402418</v>
      </c>
      <c r="T59" s="9">
        <f>F59-Inputs!$C$17/2</f>
        <v>979.75550784024176</v>
      </c>
      <c r="U59" s="9">
        <f>F59+Inputs!$C$17/2</f>
        <v>1279.7555078402418</v>
      </c>
      <c r="V59" s="9">
        <f t="shared" si="5"/>
        <v>236.46811213899355</v>
      </c>
      <c r="W59" s="9">
        <f t="shared" si="6"/>
        <v>35.50572254339243</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0</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0</v>
      </c>
      <c r="Z59" s="9">
        <f t="shared" si="7"/>
        <v>401.10250000000002</v>
      </c>
      <c r="AA59" s="9">
        <f>SQRT(A59^2+Inputs!$C$6^2+(B59-Y59/1000)^2)</f>
        <v>403.11346480395565</v>
      </c>
      <c r="AB59" s="9">
        <f t="shared" si="8"/>
        <v>2010.9648039556305</v>
      </c>
      <c r="AC59" s="9">
        <f>AB59/Inputs!$C$12</f>
        <v>1129.7555078402418</v>
      </c>
      <c r="AD59" s="9">
        <f>2*AB59/Inputs!$C$21*1000000</f>
        <v>13.415713106135783</v>
      </c>
      <c r="AE59" s="9">
        <f t="shared" si="9"/>
        <v>5.7254143327118072</v>
      </c>
      <c r="AF59" s="9">
        <f>DEGREES((2*PI()/Inputs!$C$13)*Inputs!$C$15*SIN(RADIANS(AE59)))</f>
        <v>35.913999805764909</v>
      </c>
      <c r="AG59" s="9">
        <f t="shared" si="10"/>
        <v>0.98019448949598054</v>
      </c>
      <c r="AH59" s="9">
        <f t="shared" si="11"/>
        <v>-8.6877433539086626E-2</v>
      </c>
      <c r="AI59" s="9">
        <f t="shared" si="12"/>
        <v>0</v>
      </c>
      <c r="AJ59" s="9">
        <f t="shared" si="13"/>
        <v>0</v>
      </c>
      <c r="AK59" s="9">
        <f t="shared" si="14"/>
        <v>0</v>
      </c>
      <c r="AL59" s="9">
        <f>1000*(AA60-AA58)/(A60-A58)*Inputs!$C$11</f>
        <v>-591.16962091911773</v>
      </c>
      <c r="AM59" s="9">
        <f>-2*AL59/Inputs!$C$13</f>
        <v>236.46784836764709</v>
      </c>
      <c r="AN59" s="9">
        <f>-2*AL59/Inputs!$C$14</f>
        <v>35.505682938085151</v>
      </c>
      <c r="AO59" s="9">
        <f t="shared" si="15"/>
        <v>236.46784836764709</v>
      </c>
      <c r="AP59" s="9">
        <f t="shared" si="16"/>
        <v>35.505682938085151</v>
      </c>
      <c r="AQ59" s="9">
        <f>IF(OR(Inputs!$C$27=TRUE,Inputs!$C$27="TRUE",Inputs!$C$27=1),Inputs!$C$46/Inputs!$C$12,0)</f>
        <v>0</v>
      </c>
      <c r="AR59" s="9">
        <f t="shared" si="17"/>
        <v>1129.7555078402418</v>
      </c>
      <c r="AS59" s="9">
        <f t="shared" si="18"/>
        <v>1129.7555078402418</v>
      </c>
    </row>
    <row r="60" spans="1:45">
      <c r="A60" s="9">
        <f>Inputs!$C$7+58*(Inputs!$C$8-Inputs!$C$7)/240</f>
        <v>-31</v>
      </c>
      <c r="B60" s="9">
        <f>Inputs!$C$5+Inputs!$C$9*(A60/Inputs!$C$10)^2</f>
        <v>401.06777777777779</v>
      </c>
      <c r="C60" s="9">
        <f t="shared" si="0"/>
        <v>401.06777777777779</v>
      </c>
      <c r="D60" s="9">
        <f>SQRT(A60^2+Inputs!$C$6^2+B60^2)</f>
        <v>403.04014982580202</v>
      </c>
      <c r="E60" s="9">
        <f t="shared" si="1"/>
        <v>1972.3720480242264</v>
      </c>
      <c r="F60" s="9">
        <f>E60/Inputs!$C$12</f>
        <v>1108.0741842832733</v>
      </c>
      <c r="G60" s="9">
        <f>2*E60/Inputs!$C$21*1000000</f>
        <v>13.158249951866544</v>
      </c>
      <c r="H60" s="9">
        <f>SQRT(A60^2+Inputs!$C$6^2)</f>
        <v>39.824615503479755</v>
      </c>
      <c r="I60" s="9">
        <f t="shared" si="2"/>
        <v>5.6706802988679366</v>
      </c>
      <c r="J60" s="9">
        <f>DEGREES((2*PI()/Inputs!$C$13)*Inputs!$C$15*SIN(RADIANS(I60)))</f>
        <v>35.571794987296549</v>
      </c>
      <c r="K60" s="9">
        <f t="shared" si="3"/>
        <v>0.98056828010908315</v>
      </c>
      <c r="L60" s="9">
        <f t="shared" si="4"/>
        <v>-8.5221596278805378E-2</v>
      </c>
      <c r="M60" s="9">
        <f>2*(Inputs!$C$9/(Inputs!$C$10^2))*A60</f>
        <v>-6.8888888888888888E-2</v>
      </c>
      <c r="N60" s="9">
        <f>M60*Inputs!$C$11</f>
        <v>-0.27555555555555555</v>
      </c>
      <c r="O60" s="9">
        <f>1000*((A60*Inputs!$C$11)+(B60*N60))/D60</f>
        <v>-581.86871561641692</v>
      </c>
      <c r="P60" s="9">
        <f>-2*O60/Inputs!$C$13</f>
        <v>232.74748624656678</v>
      </c>
      <c r="Q60" s="9">
        <f>-2*O60/Inputs!$C$14</f>
        <v>34.947070006992007</v>
      </c>
      <c r="R60" s="9">
        <f>F60-Inputs!$C$16/2</f>
        <v>1093.0741842832733</v>
      </c>
      <c r="S60" s="9">
        <f>F60+Inputs!$C$16/2</f>
        <v>1123.0741842832733</v>
      </c>
      <c r="T60" s="9">
        <f>F60-Inputs!$C$17/2</f>
        <v>958.07418428327333</v>
      </c>
      <c r="U60" s="9">
        <f>F60+Inputs!$C$17/2</f>
        <v>1258.0741842832733</v>
      </c>
      <c r="V60" s="9">
        <f t="shared" si="5"/>
        <v>232.74748624656678</v>
      </c>
      <c r="W60" s="9">
        <f t="shared" si="6"/>
        <v>34.947070006992007</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0</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0</v>
      </c>
      <c r="Z60" s="9">
        <f t="shared" si="7"/>
        <v>401.06777777777779</v>
      </c>
      <c r="AA60" s="9">
        <f>SQRT(A60^2+Inputs!$C$6^2+(B60-Y60/1000)^2)</f>
        <v>403.04014982580202</v>
      </c>
      <c r="AB60" s="9">
        <f t="shared" si="8"/>
        <v>1972.3720480242264</v>
      </c>
      <c r="AC60" s="9">
        <f>AB60/Inputs!$C$12</f>
        <v>1108.0741842832733</v>
      </c>
      <c r="AD60" s="9">
        <f>2*AB60/Inputs!$C$21*1000000</f>
        <v>13.158249951866544</v>
      </c>
      <c r="AE60" s="9">
        <f t="shared" si="9"/>
        <v>5.6706802988679366</v>
      </c>
      <c r="AF60" s="9">
        <f>DEGREES((2*PI()/Inputs!$C$13)*Inputs!$C$15*SIN(RADIANS(AE60)))</f>
        <v>35.571794987296549</v>
      </c>
      <c r="AG60" s="9">
        <f t="shared" si="10"/>
        <v>0.98056828010908315</v>
      </c>
      <c r="AH60" s="9">
        <f t="shared" si="11"/>
        <v>-8.5221596278805378E-2</v>
      </c>
      <c r="AI60" s="9">
        <f t="shared" si="12"/>
        <v>0</v>
      </c>
      <c r="AJ60" s="9">
        <f t="shared" si="13"/>
        <v>0</v>
      </c>
      <c r="AK60" s="9">
        <f t="shared" si="14"/>
        <v>0</v>
      </c>
      <c r="AL60" s="9">
        <f>1000*(AA61-AA59)/(A61-A59)*Inputs!$C$11</f>
        <v>-581.86806606431674</v>
      </c>
      <c r="AM60" s="9">
        <f>-2*AL60/Inputs!$C$13</f>
        <v>232.74722642572669</v>
      </c>
      <c r="AN60" s="9">
        <f>-2*AL60/Inputs!$C$14</f>
        <v>34.947030994853861</v>
      </c>
      <c r="AO60" s="9">
        <f t="shared" si="15"/>
        <v>232.74722642572669</v>
      </c>
      <c r="AP60" s="9">
        <f t="shared" si="16"/>
        <v>34.947030994853861</v>
      </c>
      <c r="AQ60" s="9">
        <f>IF(OR(Inputs!$C$27=TRUE,Inputs!$C$27="TRUE",Inputs!$C$27=1),Inputs!$C$46/Inputs!$C$12,0)</f>
        <v>0</v>
      </c>
      <c r="AR60" s="9">
        <f t="shared" si="17"/>
        <v>1108.0741842832733</v>
      </c>
      <c r="AS60" s="9">
        <f t="shared" si="18"/>
        <v>1108.0741842832733</v>
      </c>
    </row>
    <row r="61" spans="1:45">
      <c r="A61" s="9">
        <f>Inputs!$C$7+59*(Inputs!$C$8-Inputs!$C$7)/240</f>
        <v>-30.5</v>
      </c>
      <c r="B61" s="9">
        <f>Inputs!$C$5+Inputs!$C$9*(A61/Inputs!$C$10)^2</f>
        <v>401.0336111111111</v>
      </c>
      <c r="C61" s="9">
        <f t="shared" si="0"/>
        <v>401.0336111111111</v>
      </c>
      <c r="D61" s="9">
        <f>SQRT(A61^2+Inputs!$C$6^2+B61^2)</f>
        <v>402.96799778743957</v>
      </c>
      <c r="E61" s="9">
        <f t="shared" si="1"/>
        <v>1934.3866763284723</v>
      </c>
      <c r="F61" s="9">
        <f>E61/Inputs!$C$12</f>
        <v>1086.7340878249845</v>
      </c>
      <c r="G61" s="9">
        <f>2*E61/Inputs!$C$21*1000000</f>
        <v>12.904838829057349</v>
      </c>
      <c r="H61" s="9">
        <f>SQRT(A61^2+Inputs!$C$6^2)</f>
        <v>39.436658073421995</v>
      </c>
      <c r="I61" s="9">
        <f t="shared" si="2"/>
        <v>5.6162687447103439</v>
      </c>
      <c r="J61" s="9">
        <f>DEGREES((2*PI()/Inputs!$C$13)*Inputs!$C$15*SIN(RADIANS(I61)))</f>
        <v>35.231574180540157</v>
      </c>
      <c r="K61" s="9">
        <f t="shared" si="3"/>
        <v>0.980936425583123</v>
      </c>
      <c r="L61" s="9">
        <f t="shared" si="4"/>
        <v>-8.3591383011138706E-2</v>
      </c>
      <c r="M61" s="9">
        <f>2*(Inputs!$C$9/(Inputs!$C$10^2))*A61</f>
        <v>-6.7777777777777784E-2</v>
      </c>
      <c r="N61" s="9">
        <f>M61*Inputs!$C$11</f>
        <v>-0.27111111111111114</v>
      </c>
      <c r="O61" s="9">
        <f>1000*((A61*Inputs!$C$11)+(B61*N61))/D61</f>
        <v>-572.5632535786101</v>
      </c>
      <c r="P61" s="9">
        <f>-2*O61/Inputs!$C$13</f>
        <v>229.02530143144403</v>
      </c>
      <c r="Q61" s="9">
        <f>-2*O61/Inputs!$C$14</f>
        <v>34.388183398114727</v>
      </c>
      <c r="R61" s="9">
        <f>F61-Inputs!$C$16/2</f>
        <v>1071.7340878249845</v>
      </c>
      <c r="S61" s="9">
        <f>F61+Inputs!$C$16/2</f>
        <v>1101.7340878249845</v>
      </c>
      <c r="T61" s="9">
        <f>F61-Inputs!$C$17/2</f>
        <v>936.7340878249845</v>
      </c>
      <c r="U61" s="9">
        <f>F61+Inputs!$C$17/2</f>
        <v>1236.7340878249845</v>
      </c>
      <c r="V61" s="9">
        <f t="shared" si="5"/>
        <v>229.02530143144403</v>
      </c>
      <c r="W61" s="9">
        <f t="shared" si="6"/>
        <v>34.388183398114727</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0</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0</v>
      </c>
      <c r="Z61" s="9">
        <f t="shared" si="7"/>
        <v>401.0336111111111</v>
      </c>
      <c r="AA61" s="9">
        <f>SQRT(A61^2+Inputs!$C$6^2+(B61-Y61/1000)^2)</f>
        <v>402.96799778743957</v>
      </c>
      <c r="AB61" s="9">
        <f t="shared" si="8"/>
        <v>1934.3866763284723</v>
      </c>
      <c r="AC61" s="9">
        <f>AB61/Inputs!$C$12</f>
        <v>1086.7340878249845</v>
      </c>
      <c r="AD61" s="9">
        <f>2*AB61/Inputs!$C$21*1000000</f>
        <v>12.904838829057349</v>
      </c>
      <c r="AE61" s="9">
        <f t="shared" si="9"/>
        <v>5.6162687447103439</v>
      </c>
      <c r="AF61" s="9">
        <f>DEGREES((2*PI()/Inputs!$C$13)*Inputs!$C$15*SIN(RADIANS(AE61)))</f>
        <v>35.231574180540157</v>
      </c>
      <c r="AG61" s="9">
        <f t="shared" si="10"/>
        <v>0.980936425583123</v>
      </c>
      <c r="AH61" s="9">
        <f t="shared" si="11"/>
        <v>-8.3591383011138706E-2</v>
      </c>
      <c r="AI61" s="9">
        <f t="shared" si="12"/>
        <v>0</v>
      </c>
      <c r="AJ61" s="9">
        <f t="shared" si="13"/>
        <v>0</v>
      </c>
      <c r="AK61" s="9">
        <f t="shared" si="14"/>
        <v>0</v>
      </c>
      <c r="AL61" s="9">
        <f>1000*(AA62-AA60)/(A62-A60)*Inputs!$C$11</f>
        <v>-572.56261393058594</v>
      </c>
      <c r="AM61" s="9">
        <f>-2*AL61/Inputs!$C$13</f>
        <v>229.02504557223438</v>
      </c>
      <c r="AN61" s="9">
        <f>-2*AL61/Inputs!$C$14</f>
        <v>34.388144980815973</v>
      </c>
      <c r="AO61" s="9">
        <f t="shared" si="15"/>
        <v>229.02504557223438</v>
      </c>
      <c r="AP61" s="9">
        <f t="shared" si="16"/>
        <v>34.388144980815973</v>
      </c>
      <c r="AQ61" s="9">
        <f>IF(OR(Inputs!$C$27=TRUE,Inputs!$C$27="TRUE",Inputs!$C$27=1),Inputs!$C$46/Inputs!$C$12,0)</f>
        <v>0</v>
      </c>
      <c r="AR61" s="9">
        <f t="shared" si="17"/>
        <v>1086.7340878249845</v>
      </c>
      <c r="AS61" s="9">
        <f t="shared" si="18"/>
        <v>1086.7340878249845</v>
      </c>
    </row>
    <row r="62" spans="1:45">
      <c r="A62" s="9">
        <f>Inputs!$C$7+60*(Inputs!$C$8-Inputs!$C$7)/240</f>
        <v>-30</v>
      </c>
      <c r="B62" s="9">
        <f>Inputs!$C$5+Inputs!$C$9*(A62/Inputs!$C$10)^2</f>
        <v>401</v>
      </c>
      <c r="C62" s="9">
        <f t="shared" si="0"/>
        <v>401</v>
      </c>
      <c r="D62" s="9">
        <f>SQRT(A62^2+Inputs!$C$6^2+B62^2)</f>
        <v>402.89700917231937</v>
      </c>
      <c r="E62" s="9">
        <f t="shared" si="1"/>
        <v>1897.0091723193718</v>
      </c>
      <c r="F62" s="9">
        <f>E62/Inputs!$C$12</f>
        <v>1065.7354900670628</v>
      </c>
      <c r="G62" s="9">
        <f>2*E62/Inputs!$C$21*1000000</f>
        <v>12.655482962946131</v>
      </c>
      <c r="H62" s="9">
        <f>SQRT(A62^2+Inputs!$C$6^2)</f>
        <v>39.05124837953327</v>
      </c>
      <c r="I62" s="9">
        <f t="shared" si="2"/>
        <v>5.5621907006038249</v>
      </c>
      <c r="J62" s="9">
        <f>DEGREES((2*PI()/Inputs!$C$13)*Inputs!$C$15*SIN(RADIANS(I62)))</f>
        <v>34.893407239514069</v>
      </c>
      <c r="K62" s="9">
        <f t="shared" si="3"/>
        <v>0.98129891008983794</v>
      </c>
      <c r="L62" s="9">
        <f t="shared" si="4"/>
        <v>-8.1986835177650028E-2</v>
      </c>
      <c r="M62" s="9">
        <f>2*(Inputs!$C$9/(Inputs!$C$10^2))*A62</f>
        <v>-6.6666666666666666E-2</v>
      </c>
      <c r="N62" s="9">
        <f>M62*Inputs!$C$11</f>
        <v>-0.26666666666666666</v>
      </c>
      <c r="O62" s="9">
        <f>1000*((A62*Inputs!$C$11)+(B62*N62))/D62</f>
        <v>-563.25395365810164</v>
      </c>
      <c r="P62" s="9">
        <f>-2*O62/Inputs!$C$13</f>
        <v>225.30158146324067</v>
      </c>
      <c r="Q62" s="9">
        <f>-2*O62/Inputs!$C$14</f>
        <v>33.829066285771873</v>
      </c>
      <c r="R62" s="9">
        <f>F62-Inputs!$C$16/2</f>
        <v>1050.7354900670628</v>
      </c>
      <c r="S62" s="9">
        <f>F62+Inputs!$C$16/2</f>
        <v>1080.7354900670628</v>
      </c>
      <c r="T62" s="9">
        <f>F62-Inputs!$C$17/2</f>
        <v>915.73549006706276</v>
      </c>
      <c r="U62" s="9">
        <f>F62+Inputs!$C$17/2</f>
        <v>1215.7354900670628</v>
      </c>
      <c r="V62" s="9">
        <f t="shared" si="5"/>
        <v>225.30158146324067</v>
      </c>
      <c r="W62" s="9">
        <f t="shared" si="6"/>
        <v>33.829066285771873</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0</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0</v>
      </c>
      <c r="Z62" s="9">
        <f t="shared" si="7"/>
        <v>401</v>
      </c>
      <c r="AA62" s="9">
        <f>SQRT(A62^2+Inputs!$C$6^2+(B62-Y62/1000)^2)</f>
        <v>402.89700917231937</v>
      </c>
      <c r="AB62" s="9">
        <f t="shared" si="8"/>
        <v>1897.0091723193718</v>
      </c>
      <c r="AC62" s="9">
        <f>AB62/Inputs!$C$12</f>
        <v>1065.7354900670628</v>
      </c>
      <c r="AD62" s="9">
        <f>2*AB62/Inputs!$C$21*1000000</f>
        <v>12.655482962946131</v>
      </c>
      <c r="AE62" s="9">
        <f t="shared" si="9"/>
        <v>5.5621907006038249</v>
      </c>
      <c r="AF62" s="9">
        <f>DEGREES((2*PI()/Inputs!$C$13)*Inputs!$C$15*SIN(RADIANS(AE62)))</f>
        <v>34.893407239514069</v>
      </c>
      <c r="AG62" s="9">
        <f t="shared" si="10"/>
        <v>0.98129891008983794</v>
      </c>
      <c r="AH62" s="9">
        <f t="shared" si="11"/>
        <v>-8.1986835177650028E-2</v>
      </c>
      <c r="AI62" s="9">
        <f t="shared" si="12"/>
        <v>0</v>
      </c>
      <c r="AJ62" s="9">
        <f t="shared" si="13"/>
        <v>0</v>
      </c>
      <c r="AK62" s="9">
        <f t="shared" si="14"/>
        <v>0</v>
      </c>
      <c r="AL62" s="9">
        <f>1000*(AA63-AA61)/(A63-A61)*Inputs!$C$11</f>
        <v>-563.25332394158067</v>
      </c>
      <c r="AM62" s="9">
        <f>-2*AL62/Inputs!$C$13</f>
        <v>225.30132957663227</v>
      </c>
      <c r="AN62" s="9">
        <f>-2*AL62/Inputs!$C$14</f>
        <v>33.829028464959805</v>
      </c>
      <c r="AO62" s="9">
        <f t="shared" si="15"/>
        <v>225.30132957663227</v>
      </c>
      <c r="AP62" s="9">
        <f t="shared" si="16"/>
        <v>33.829028464959805</v>
      </c>
      <c r="AQ62" s="9">
        <f>IF(OR(Inputs!$C$27=TRUE,Inputs!$C$27="TRUE",Inputs!$C$27=1),Inputs!$C$46/Inputs!$C$12,0)</f>
        <v>0</v>
      </c>
      <c r="AR62" s="9">
        <f t="shared" si="17"/>
        <v>1065.7354900670628</v>
      </c>
      <c r="AS62" s="9">
        <f t="shared" si="18"/>
        <v>1065.7354900670628</v>
      </c>
    </row>
    <row r="63" spans="1:45">
      <c r="A63" s="9">
        <f>Inputs!$C$7+61*(Inputs!$C$8-Inputs!$C$7)/240</f>
        <v>-29.5</v>
      </c>
      <c r="B63" s="9">
        <f>Inputs!$C$5+Inputs!$C$9*(A63/Inputs!$C$10)^2</f>
        <v>400.96694444444444</v>
      </c>
      <c r="C63" s="9">
        <f t="shared" si="0"/>
        <v>400.96694444444444</v>
      </c>
      <c r="D63" s="9">
        <f>SQRT(A63^2+Inputs!$C$6^2+B63^2)</f>
        <v>402.82718445645418</v>
      </c>
      <c r="E63" s="9">
        <f t="shared" si="1"/>
        <v>1860.24001200974</v>
      </c>
      <c r="F63" s="9">
        <f>E63/Inputs!$C$12</f>
        <v>1045.0786584324383</v>
      </c>
      <c r="G63" s="9">
        <f>2*E63/Inputs!$C$21*1000000</f>
        <v>12.410185529148567</v>
      </c>
      <c r="H63" s="9">
        <f>SQRT(A63^2+Inputs!$C$6^2)</f>
        <v>38.668462601970617</v>
      </c>
      <c r="I63" s="9">
        <f t="shared" si="2"/>
        <v>5.5084575472448263</v>
      </c>
      <c r="J63" s="9">
        <f>DEGREES((2*PI()/Inputs!$C$13)*Inputs!$C$15*SIN(RADIANS(I63)))</f>
        <v>34.557366220189273</v>
      </c>
      <c r="K63" s="9">
        <f t="shared" si="3"/>
        <v>0.98165571802593332</v>
      </c>
      <c r="L63" s="9">
        <f t="shared" si="4"/>
        <v>-8.0407993596365857E-2</v>
      </c>
      <c r="M63" s="9">
        <f>2*(Inputs!$C$9/(Inputs!$C$10^2))*A63</f>
        <v>-6.5555555555555561E-2</v>
      </c>
      <c r="N63" s="9">
        <f>M63*Inputs!$C$11</f>
        <v>-0.26222222222222225</v>
      </c>
      <c r="O63" s="9">
        <f>1000*((A63*Inputs!$C$11)+(B63*N63))/D63</f>
        <v>-553.94087544257661</v>
      </c>
      <c r="P63" s="9">
        <f>-2*O63/Inputs!$C$13</f>
        <v>221.57635017703063</v>
      </c>
      <c r="Q63" s="9">
        <f>-2*O63/Inputs!$C$14</f>
        <v>33.269722248803404</v>
      </c>
      <c r="R63" s="9">
        <f>F63-Inputs!$C$16/2</f>
        <v>1030.0786584324383</v>
      </c>
      <c r="S63" s="9">
        <f>F63+Inputs!$C$16/2</f>
        <v>1060.0786584324383</v>
      </c>
      <c r="T63" s="9">
        <f>F63-Inputs!$C$17/2</f>
        <v>895.07865843243826</v>
      </c>
      <c r="U63" s="9">
        <f>F63+Inputs!$C$17/2</f>
        <v>1195.0786584324383</v>
      </c>
      <c r="V63" s="9">
        <f t="shared" si="5"/>
        <v>221.57635017703063</v>
      </c>
      <c r="W63" s="9">
        <f t="shared" si="6"/>
        <v>33.269722248803404</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0</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0</v>
      </c>
      <c r="Z63" s="9">
        <f t="shared" si="7"/>
        <v>400.96694444444444</v>
      </c>
      <c r="AA63" s="9">
        <f>SQRT(A63^2+Inputs!$C$6^2+(B63-Y63/1000)^2)</f>
        <v>402.82718445645418</v>
      </c>
      <c r="AB63" s="9">
        <f t="shared" si="8"/>
        <v>1860.24001200974</v>
      </c>
      <c r="AC63" s="9">
        <f>AB63/Inputs!$C$12</f>
        <v>1045.0786584324383</v>
      </c>
      <c r="AD63" s="9">
        <f>2*AB63/Inputs!$C$21*1000000</f>
        <v>12.410185529148567</v>
      </c>
      <c r="AE63" s="9">
        <f t="shared" si="9"/>
        <v>5.5084575472448263</v>
      </c>
      <c r="AF63" s="9">
        <f>DEGREES((2*PI()/Inputs!$C$13)*Inputs!$C$15*SIN(RADIANS(AE63)))</f>
        <v>34.557366220189273</v>
      </c>
      <c r="AG63" s="9">
        <f t="shared" si="10"/>
        <v>0.98165571802593332</v>
      </c>
      <c r="AH63" s="9">
        <f t="shared" si="11"/>
        <v>-8.0407993596365857E-2</v>
      </c>
      <c r="AI63" s="9">
        <f t="shared" si="12"/>
        <v>0</v>
      </c>
      <c r="AJ63" s="9">
        <f t="shared" si="13"/>
        <v>0</v>
      </c>
      <c r="AK63" s="9">
        <f t="shared" si="14"/>
        <v>0</v>
      </c>
      <c r="AL63" s="9">
        <f>1000*(AA64-AA62)/(A64-A62)*Inputs!$C$11</f>
        <v>-553.9402556839832</v>
      </c>
      <c r="AM63" s="9">
        <f>-2*AL63/Inputs!$C$13</f>
        <v>221.57610227359328</v>
      </c>
      <c r="AN63" s="9">
        <f>-2*AL63/Inputs!$C$14</f>
        <v>33.269685026065062</v>
      </c>
      <c r="AO63" s="9">
        <f t="shared" si="15"/>
        <v>221.57610227359328</v>
      </c>
      <c r="AP63" s="9">
        <f t="shared" si="16"/>
        <v>33.269685026065062</v>
      </c>
      <c r="AQ63" s="9">
        <f>IF(OR(Inputs!$C$27=TRUE,Inputs!$C$27="TRUE",Inputs!$C$27=1),Inputs!$C$46/Inputs!$C$12,0)</f>
        <v>0</v>
      </c>
      <c r="AR63" s="9">
        <f t="shared" si="17"/>
        <v>1045.0786584324383</v>
      </c>
      <c r="AS63" s="9">
        <f t="shared" si="18"/>
        <v>1045.0786584324383</v>
      </c>
    </row>
    <row r="64" spans="1:45">
      <c r="A64" s="9">
        <f>Inputs!$C$7+62*(Inputs!$C$8-Inputs!$C$7)/240</f>
        <v>-29</v>
      </c>
      <c r="B64" s="9">
        <f>Inputs!$C$5+Inputs!$C$9*(A64/Inputs!$C$10)^2</f>
        <v>400.93444444444447</v>
      </c>
      <c r="C64" s="9">
        <f t="shared" si="0"/>
        <v>400.93444444444447</v>
      </c>
      <c r="D64" s="9">
        <f>SQRT(A64^2+Inputs!$C$6^2+B64^2)</f>
        <v>402.75852410839838</v>
      </c>
      <c r="E64" s="9">
        <f t="shared" si="1"/>
        <v>1824.0796639539099</v>
      </c>
      <c r="F64" s="9">
        <f>E64/Inputs!$C$12</f>
        <v>1024.763856153882</v>
      </c>
      <c r="G64" s="9">
        <f>2*E64/Inputs!$C$21*1000000</f>
        <v>12.168949653522704</v>
      </c>
      <c r="H64" s="9">
        <f>SQRT(A64^2+Inputs!$C$6^2)</f>
        <v>38.288379438153292</v>
      </c>
      <c r="I64" s="9">
        <f t="shared" si="2"/>
        <v>5.4550810258419062</v>
      </c>
      <c r="J64" s="9">
        <f>DEGREES((2*PI()/Inputs!$C$13)*Inputs!$C$15*SIN(RADIANS(I64)))</f>
        <v>34.223525444306702</v>
      </c>
      <c r="K64" s="9">
        <f t="shared" si="3"/>
        <v>0.9820068340146042</v>
      </c>
      <c r="L64" s="9">
        <f t="shared" si="4"/>
        <v>-7.8854898459378958E-2</v>
      </c>
      <c r="M64" s="9">
        <f>2*(Inputs!$C$9/(Inputs!$C$10^2))*A64</f>
        <v>-6.4444444444444443E-2</v>
      </c>
      <c r="N64" s="9">
        <f>M64*Inputs!$C$11</f>
        <v>-0.25777777777777777</v>
      </c>
      <c r="O64" s="9">
        <f>1000*((A64*Inputs!$C$11)+(B64*N64))/D64</f>
        <v>-544.62407868100252</v>
      </c>
      <c r="P64" s="9">
        <f>-2*O64/Inputs!$C$13</f>
        <v>217.849631472401</v>
      </c>
      <c r="Q64" s="9">
        <f>-2*O64/Inputs!$C$14</f>
        <v>32.710154875735888</v>
      </c>
      <c r="R64" s="9">
        <f>F64-Inputs!$C$16/2</f>
        <v>1009.763856153882</v>
      </c>
      <c r="S64" s="9">
        <f>F64+Inputs!$C$16/2</f>
        <v>1039.763856153882</v>
      </c>
      <c r="T64" s="9">
        <f>F64-Inputs!$C$17/2</f>
        <v>874.76385615388199</v>
      </c>
      <c r="U64" s="9">
        <f>F64+Inputs!$C$17/2</f>
        <v>1174.763856153882</v>
      </c>
      <c r="V64" s="9">
        <f t="shared" si="5"/>
        <v>217.849631472401</v>
      </c>
      <c r="W64" s="9">
        <f t="shared" si="6"/>
        <v>32.710154875735888</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0</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0</v>
      </c>
      <c r="Z64" s="9">
        <f t="shared" si="7"/>
        <v>400.93444444444447</v>
      </c>
      <c r="AA64" s="9">
        <f>SQRT(A64^2+Inputs!$C$6^2+(B64-Y64/1000)^2)</f>
        <v>402.75852410839838</v>
      </c>
      <c r="AB64" s="9">
        <f t="shared" si="8"/>
        <v>1824.0796639539099</v>
      </c>
      <c r="AC64" s="9">
        <f>AB64/Inputs!$C$12</f>
        <v>1024.763856153882</v>
      </c>
      <c r="AD64" s="9">
        <f>2*AB64/Inputs!$C$21*1000000</f>
        <v>12.168949653522704</v>
      </c>
      <c r="AE64" s="9">
        <f t="shared" si="9"/>
        <v>5.4550810258419062</v>
      </c>
      <c r="AF64" s="9">
        <f>DEGREES((2*PI()/Inputs!$C$13)*Inputs!$C$15*SIN(RADIANS(AE64)))</f>
        <v>34.223525444306702</v>
      </c>
      <c r="AG64" s="9">
        <f t="shared" si="10"/>
        <v>0.9820068340146042</v>
      </c>
      <c r="AH64" s="9">
        <f t="shared" si="11"/>
        <v>-7.8854898459378958E-2</v>
      </c>
      <c r="AI64" s="9">
        <f t="shared" si="12"/>
        <v>0</v>
      </c>
      <c r="AJ64" s="9">
        <f t="shared" si="13"/>
        <v>0</v>
      </c>
      <c r="AK64" s="9">
        <f t="shared" si="14"/>
        <v>0</v>
      </c>
      <c r="AL64" s="9">
        <f>1000*(AA65-AA63)/(A65-A63)*Inputs!$C$11</f>
        <v>-544.62346890704794</v>
      </c>
      <c r="AM64" s="9">
        <f>-2*AL64/Inputs!$C$13</f>
        <v>217.84938756281917</v>
      </c>
      <c r="AN64" s="9">
        <f>-2*AL64/Inputs!$C$14</f>
        <v>32.710118252675557</v>
      </c>
      <c r="AO64" s="9">
        <f t="shared" si="15"/>
        <v>217.84938756281917</v>
      </c>
      <c r="AP64" s="9">
        <f t="shared" si="16"/>
        <v>32.710118252675557</v>
      </c>
      <c r="AQ64" s="9">
        <f>IF(OR(Inputs!$C$27=TRUE,Inputs!$C$27="TRUE",Inputs!$C$27=1),Inputs!$C$46/Inputs!$C$12,0)</f>
        <v>0</v>
      </c>
      <c r="AR64" s="9">
        <f t="shared" si="17"/>
        <v>1024.763856153882</v>
      </c>
      <c r="AS64" s="9">
        <f t="shared" si="18"/>
        <v>1024.763856153882</v>
      </c>
    </row>
    <row r="65" spans="1:45">
      <c r="A65" s="9">
        <f>Inputs!$C$7+63*(Inputs!$C$8-Inputs!$C$7)/240</f>
        <v>-28.5</v>
      </c>
      <c r="B65" s="9">
        <f>Inputs!$C$5+Inputs!$C$9*(A65/Inputs!$C$10)^2</f>
        <v>400.90249999999997</v>
      </c>
      <c r="C65" s="9">
        <f t="shared" si="0"/>
        <v>400.90249999999997</v>
      </c>
      <c r="D65" s="9">
        <f>SQRT(A65^2+Inputs!$C$6^2+B65^2)</f>
        <v>402.69102858922741</v>
      </c>
      <c r="E65" s="9">
        <f t="shared" si="1"/>
        <v>1788.5285892274396</v>
      </c>
      <c r="F65" s="9">
        <f>E65/Inputs!$C$12</f>
        <v>1004.7913422626065</v>
      </c>
      <c r="G65" s="9">
        <f>2*E65/Inputs!$C$21*1000000</f>
        <v>11.931778412033564</v>
      </c>
      <c r="H65" s="9">
        <f>SQRT(A65^2+Inputs!$C$6^2)</f>
        <v>37.911080174534725</v>
      </c>
      <c r="I65" s="9">
        <f t="shared" si="2"/>
        <v>5.4020732483141956</v>
      </c>
      <c r="J65" s="9">
        <f>DEGREES((2*PI()/Inputs!$C$13)*Inputs!$C$15*SIN(RADIANS(I65)))</f>
        <v>33.891961563301649</v>
      </c>
      <c r="K65" s="9">
        <f t="shared" si="3"/>
        <v>0.98235224290704515</v>
      </c>
      <c r="L65" s="9">
        <f t="shared" si="4"/>
        <v>-7.7327589330453916E-2</v>
      </c>
      <c r="M65" s="9">
        <f>2*(Inputs!$C$9/(Inputs!$C$10^2))*A65</f>
        <v>-6.3333333333333339E-2</v>
      </c>
      <c r="N65" s="9">
        <f>M65*Inputs!$C$11</f>
        <v>-0.25333333333333335</v>
      </c>
      <c r="O65" s="9">
        <f>1000*((A65*Inputs!$C$11)+(B65*N65))/D65</f>
        <v>-535.30362328124943</v>
      </c>
      <c r="P65" s="9">
        <f>-2*O65/Inputs!$C$13</f>
        <v>214.12144931249978</v>
      </c>
      <c r="Q65" s="9">
        <f>-2*O65/Inputs!$C$14</f>
        <v>32.150367764639611</v>
      </c>
      <c r="R65" s="9">
        <f>F65-Inputs!$C$16/2</f>
        <v>989.79134226260646</v>
      </c>
      <c r="S65" s="9">
        <f>F65+Inputs!$C$16/2</f>
        <v>1019.7913422626065</v>
      </c>
      <c r="T65" s="9">
        <f>F65-Inputs!$C$17/2</f>
        <v>854.79134226260646</v>
      </c>
      <c r="U65" s="9">
        <f>F65+Inputs!$C$17/2</f>
        <v>1154.7913422626066</v>
      </c>
      <c r="V65" s="9">
        <f t="shared" si="5"/>
        <v>214.12144931249978</v>
      </c>
      <c r="W65" s="9">
        <f t="shared" si="6"/>
        <v>32.150367764639611</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0</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0</v>
      </c>
      <c r="Z65" s="9">
        <f t="shared" si="7"/>
        <v>400.90249999999997</v>
      </c>
      <c r="AA65" s="9">
        <f>SQRT(A65^2+Inputs!$C$6^2+(B65-Y65/1000)^2)</f>
        <v>402.69102858922741</v>
      </c>
      <c r="AB65" s="9">
        <f t="shared" si="8"/>
        <v>1788.5285892274396</v>
      </c>
      <c r="AC65" s="9">
        <f>AB65/Inputs!$C$12</f>
        <v>1004.7913422626065</v>
      </c>
      <c r="AD65" s="9">
        <f>2*AB65/Inputs!$C$21*1000000</f>
        <v>11.931778412033564</v>
      </c>
      <c r="AE65" s="9">
        <f t="shared" si="9"/>
        <v>5.4020732483141956</v>
      </c>
      <c r="AF65" s="9">
        <f>DEGREES((2*PI()/Inputs!$C$13)*Inputs!$C$15*SIN(RADIANS(AE65)))</f>
        <v>33.891961563301649</v>
      </c>
      <c r="AG65" s="9">
        <f t="shared" si="10"/>
        <v>0.98235224290704515</v>
      </c>
      <c r="AH65" s="9">
        <f t="shared" si="11"/>
        <v>-7.7327589330453916E-2</v>
      </c>
      <c r="AI65" s="9">
        <f t="shared" si="12"/>
        <v>0</v>
      </c>
      <c r="AJ65" s="9">
        <f t="shared" si="13"/>
        <v>0</v>
      </c>
      <c r="AK65" s="9">
        <f t="shared" si="14"/>
        <v>0</v>
      </c>
      <c r="AL65" s="9">
        <f>1000*(AA66-AA64)/(A66-A64)*Inputs!$C$11</f>
        <v>-535.30302351805403</v>
      </c>
      <c r="AM65" s="9">
        <f>-2*AL65/Inputs!$C$13</f>
        <v>214.12120940722161</v>
      </c>
      <c r="AN65" s="9">
        <f>-2*AL65/Inputs!$C$14</f>
        <v>32.150331742826069</v>
      </c>
      <c r="AO65" s="9">
        <f t="shared" si="15"/>
        <v>214.12120940722161</v>
      </c>
      <c r="AP65" s="9">
        <f t="shared" si="16"/>
        <v>32.150331742826069</v>
      </c>
      <c r="AQ65" s="9">
        <f>IF(OR(Inputs!$C$27=TRUE,Inputs!$C$27="TRUE",Inputs!$C$27=1),Inputs!$C$46/Inputs!$C$12,0)</f>
        <v>0</v>
      </c>
      <c r="AR65" s="9">
        <f t="shared" si="17"/>
        <v>1004.7913422626065</v>
      </c>
      <c r="AS65" s="9">
        <f t="shared" si="18"/>
        <v>1004.7913422626065</v>
      </c>
    </row>
    <row r="66" spans="1:45">
      <c r="A66" s="9">
        <f>Inputs!$C$7+64*(Inputs!$C$8-Inputs!$C$7)/240</f>
        <v>-28</v>
      </c>
      <c r="B66" s="9">
        <f>Inputs!$C$5+Inputs!$C$9*(A66/Inputs!$C$10)^2</f>
        <v>400.87111111111113</v>
      </c>
      <c r="C66" s="9">
        <f t="shared" ref="C66:C129" si="19">B66</f>
        <v>400.87111111111113</v>
      </c>
      <c r="D66" s="9">
        <f>SQRT(A66^2+Inputs!$C$6^2+B66^2)</f>
        <v>402.62469835251886</v>
      </c>
      <c r="E66" s="9">
        <f t="shared" ref="E66:E129" si="20">(D66-C66)*1000</f>
        <v>1753.5872414077289</v>
      </c>
      <c r="F66" s="9">
        <f>E66/Inputs!$C$12</f>
        <v>985.1613715773758</v>
      </c>
      <c r="G66" s="9">
        <f>2*E66/Inputs!$C$21*1000000</f>
        <v>11.698674830623849</v>
      </c>
      <c r="H66" s="9">
        <f>SQRT(A66^2+Inputs!$C$6^2)</f>
        <v>37.536648758246919</v>
      </c>
      <c r="I66" s="9">
        <f t="shared" ref="I66:I129" si="21">DEGREES(ATAN(H66/B66))</f>
        <v>5.3494467074669219</v>
      </c>
      <c r="J66" s="9">
        <f>DEGREES((2*PI()/Inputs!$C$13)*Inputs!$C$15*SIN(RADIANS(I66)))</f>
        <v>33.562753622077572</v>
      </c>
      <c r="K66" s="9">
        <f t="shared" ref="K66:K129" si="22">(C66/D66)^4</f>
        <v>0.98269192978392739</v>
      </c>
      <c r="L66" s="9">
        <f t="shared" ref="L66:L129" si="23">10*LOG10(K66)</f>
        <v>-7.5826105142723588E-2</v>
      </c>
      <c r="M66" s="9">
        <f>2*(Inputs!$C$9/(Inputs!$C$10^2))*A66</f>
        <v>-6.222222222222222E-2</v>
      </c>
      <c r="N66" s="9">
        <f>M66*Inputs!$C$11</f>
        <v>-0.24888888888888888</v>
      </c>
      <c r="O66" s="9">
        <f>1000*((A66*Inputs!$C$11)+(B66*N66))/D66</f>
        <v>-525.97956930769567</v>
      </c>
      <c r="P66" s="9">
        <f>-2*O66/Inputs!$C$13</f>
        <v>210.39182772307828</v>
      </c>
      <c r="Q66" s="9">
        <f>-2*O66/Inputs!$C$14</f>
        <v>31.590364522984729</v>
      </c>
      <c r="R66" s="9">
        <f>F66-Inputs!$C$16/2</f>
        <v>970.1613715773758</v>
      </c>
      <c r="S66" s="9">
        <f>F66+Inputs!$C$16/2</f>
        <v>1000.1613715773758</v>
      </c>
      <c r="T66" s="9">
        <f>F66-Inputs!$C$17/2</f>
        <v>835.1613715773758</v>
      </c>
      <c r="U66" s="9">
        <f>F66+Inputs!$C$17/2</f>
        <v>1135.1613715773758</v>
      </c>
      <c r="V66" s="9">
        <f t="shared" ref="V66:V129" si="24">ABS(P66)</f>
        <v>210.39182772307828</v>
      </c>
      <c r="W66" s="9">
        <f t="shared" ref="W66:W129" si="25">ABS(Q66)</f>
        <v>31.590364522984729</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0</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0</v>
      </c>
      <c r="Z66" s="9">
        <f t="shared" ref="Z66:Z129" si="26">B66-X66/1000</f>
        <v>400.87111111111113</v>
      </c>
      <c r="AA66" s="9">
        <f>SQRT(A66^2+Inputs!$C$6^2+(B66-Y66/1000)^2)</f>
        <v>402.62469835251886</v>
      </c>
      <c r="AB66" s="9">
        <f t="shared" ref="AB66:AB129" si="27">(AA66-Z66)*1000</f>
        <v>1753.5872414077289</v>
      </c>
      <c r="AC66" s="9">
        <f>AB66/Inputs!$C$12</f>
        <v>985.1613715773758</v>
      </c>
      <c r="AD66" s="9">
        <f>2*AB66/Inputs!$C$21*1000000</f>
        <v>11.698674830623849</v>
      </c>
      <c r="AE66" s="9">
        <f t="shared" ref="AE66:AE129" si="28">DEGREES(ATAN(H66/(B66-Y66/1000)))</f>
        <v>5.3494467074669219</v>
      </c>
      <c r="AF66" s="9">
        <f>DEGREES((2*PI()/Inputs!$C$13)*Inputs!$C$15*SIN(RADIANS(AE66)))</f>
        <v>33.562753622077572</v>
      </c>
      <c r="AG66" s="9">
        <f t="shared" ref="AG66:AG129" si="29">(Z66/AA66)^4</f>
        <v>0.98269192978392739</v>
      </c>
      <c r="AH66" s="9">
        <f t="shared" ref="AH66:AH129" si="30">10*LOG10(AG66)</f>
        <v>-7.5826105142723588E-2</v>
      </c>
      <c r="AI66" s="9">
        <f t="shared" ref="AI66:AI129" si="31">AC66-F66</f>
        <v>0</v>
      </c>
      <c r="AJ66" s="9">
        <f t="shared" ref="AJ66:AJ129" si="32">AD66-G66</f>
        <v>0</v>
      </c>
      <c r="AK66" s="9">
        <f t="shared" ref="AK66:AK129" si="33">Y66-X66</f>
        <v>0</v>
      </c>
      <c r="AL66" s="9">
        <f>1000*(AA67-AA65)/(A67-A65)*Inputs!$C$11</f>
        <v>-525.97897958094109</v>
      </c>
      <c r="AM66" s="9">
        <f>-2*AL66/Inputs!$C$13</f>
        <v>210.39159183237643</v>
      </c>
      <c r="AN66" s="9">
        <f>-2*AL66/Inputs!$C$14</f>
        <v>31.590329103960428</v>
      </c>
      <c r="AO66" s="9">
        <f t="shared" ref="AO66:AO129" si="34">ABS(AM66)</f>
        <v>210.39159183237643</v>
      </c>
      <c r="AP66" s="9">
        <f t="shared" ref="AP66:AP129" si="35">ABS(AN66)</f>
        <v>31.590329103960428</v>
      </c>
      <c r="AQ66" s="9">
        <f>IF(OR(Inputs!$C$27=TRUE,Inputs!$C$27="TRUE",Inputs!$C$27=1),Inputs!$C$46/Inputs!$C$12,0)</f>
        <v>0</v>
      </c>
      <c r="AR66" s="9">
        <f t="shared" ref="AR66:AR129" si="36">AC66-AQ66</f>
        <v>985.1613715773758</v>
      </c>
      <c r="AS66" s="9">
        <f t="shared" ref="AS66:AS129" si="37">AC66+AQ66</f>
        <v>985.1613715773758</v>
      </c>
    </row>
    <row r="67" spans="1:45">
      <c r="A67" s="9">
        <f>Inputs!$C$7+65*(Inputs!$C$8-Inputs!$C$7)/240</f>
        <v>-27.5</v>
      </c>
      <c r="B67" s="9">
        <f>Inputs!$C$5+Inputs!$C$9*(A67/Inputs!$C$10)^2</f>
        <v>400.84027777777777</v>
      </c>
      <c r="C67" s="9">
        <f t="shared" si="19"/>
        <v>400.84027777777777</v>
      </c>
      <c r="D67" s="9">
        <f>SQRT(A67^2+Inputs!$C$6^2+B67^2)</f>
        <v>402.55953384433218</v>
      </c>
      <c r="E67" s="9">
        <f t="shared" si="20"/>
        <v>1719.2560665544079</v>
      </c>
      <c r="F67" s="9">
        <f>E67/Inputs!$C$12</f>
        <v>965.87419469348754</v>
      </c>
      <c r="G67" s="9">
        <f>2*E67/Inputs!$C$21*1000000</f>
        <v>11.469641885083099</v>
      </c>
      <c r="H67" s="9">
        <f>SQRT(A67^2+Inputs!$C$6^2)</f>
        <v>37.165171868296262</v>
      </c>
      <c r="I67" s="9">
        <f t="shared" si="21"/>
        <v>5.2972142870977459</v>
      </c>
      <c r="J67" s="9">
        <f>DEGREES((2*PI()/Inputs!$C$13)*Inputs!$C$15*SIN(RADIANS(I67)))</f>
        <v>33.235983122338439</v>
      </c>
      <c r="K67" s="9">
        <f t="shared" si="22"/>
        <v>0.9830258799568693</v>
      </c>
      <c r="L67" s="9">
        <f t="shared" si="23"/>
        <v>-7.4350484196360728E-2</v>
      </c>
      <c r="M67" s="9">
        <f>2*(Inputs!$C$9/(Inputs!$C$10^2))*A67</f>
        <v>-6.1111111111111109E-2</v>
      </c>
      <c r="N67" s="9">
        <f>M67*Inputs!$C$11</f>
        <v>-0.24444444444444444</v>
      </c>
      <c r="O67" s="9">
        <f>1000*((A67*Inputs!$C$11)+(B67*N67))/D67</f>
        <v>-516.65197697881808</v>
      </c>
      <c r="P67" s="9">
        <f>-2*O67/Inputs!$C$13</f>
        <v>206.66079079152723</v>
      </c>
      <c r="Q67" s="9">
        <f>-2*O67/Inputs!$C$14</f>
        <v>31.030148767496584</v>
      </c>
      <c r="R67" s="9">
        <f>F67-Inputs!$C$16/2</f>
        <v>950.87419469348754</v>
      </c>
      <c r="S67" s="9">
        <f>F67+Inputs!$C$16/2</f>
        <v>980.87419469348754</v>
      </c>
      <c r="T67" s="9">
        <f>F67-Inputs!$C$17/2</f>
        <v>815.87419469348754</v>
      </c>
      <c r="U67" s="9">
        <f>F67+Inputs!$C$17/2</f>
        <v>1115.8741946934874</v>
      </c>
      <c r="V67" s="9">
        <f t="shared" si="24"/>
        <v>206.66079079152723</v>
      </c>
      <c r="W67" s="9">
        <f t="shared" si="25"/>
        <v>31.030148767496584</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0</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0</v>
      </c>
      <c r="Z67" s="9">
        <f t="shared" si="26"/>
        <v>400.84027777777777</v>
      </c>
      <c r="AA67" s="9">
        <f>SQRT(A67^2+Inputs!$C$6^2+(B67-Y67/1000)^2)</f>
        <v>402.55953384433218</v>
      </c>
      <c r="AB67" s="9">
        <f t="shared" si="27"/>
        <v>1719.2560665544079</v>
      </c>
      <c r="AC67" s="9">
        <f>AB67/Inputs!$C$12</f>
        <v>965.87419469348754</v>
      </c>
      <c r="AD67" s="9">
        <f>2*AB67/Inputs!$C$21*1000000</f>
        <v>11.469641885083099</v>
      </c>
      <c r="AE67" s="9">
        <f t="shared" si="28"/>
        <v>5.2972142870977459</v>
      </c>
      <c r="AF67" s="9">
        <f>DEGREES((2*PI()/Inputs!$C$13)*Inputs!$C$15*SIN(RADIANS(AE67)))</f>
        <v>33.235983122338439</v>
      </c>
      <c r="AG67" s="9">
        <f t="shared" si="29"/>
        <v>0.9830258799568693</v>
      </c>
      <c r="AH67" s="9">
        <f t="shared" si="30"/>
        <v>-7.4350484196360728E-2</v>
      </c>
      <c r="AI67" s="9">
        <f t="shared" si="31"/>
        <v>0</v>
      </c>
      <c r="AJ67" s="9">
        <f t="shared" si="32"/>
        <v>0</v>
      </c>
      <c r="AK67" s="9">
        <f t="shared" si="33"/>
        <v>0</v>
      </c>
      <c r="AL67" s="9">
        <f>1000*(AA68-AA66)/(A68-A66)*Inputs!$C$11</f>
        <v>-516.65139731380805</v>
      </c>
      <c r="AM67" s="9">
        <f>-2*AL67/Inputs!$C$13</f>
        <v>206.66055892552322</v>
      </c>
      <c r="AN67" s="9">
        <f>-2*AL67/Inputs!$C$14</f>
        <v>31.030113952781267</v>
      </c>
      <c r="AO67" s="9">
        <f t="shared" si="34"/>
        <v>206.66055892552322</v>
      </c>
      <c r="AP67" s="9">
        <f t="shared" si="35"/>
        <v>31.030113952781267</v>
      </c>
      <c r="AQ67" s="9">
        <f>IF(OR(Inputs!$C$27=TRUE,Inputs!$C$27="TRUE",Inputs!$C$27=1),Inputs!$C$46/Inputs!$C$12,0)</f>
        <v>0</v>
      </c>
      <c r="AR67" s="9">
        <f t="shared" si="36"/>
        <v>965.87419469348754</v>
      </c>
      <c r="AS67" s="9">
        <f t="shared" si="37"/>
        <v>965.87419469348754</v>
      </c>
    </row>
    <row r="68" spans="1:45">
      <c r="A68" s="9">
        <f>Inputs!$C$7+66*(Inputs!$C$8-Inputs!$C$7)/240</f>
        <v>-27</v>
      </c>
      <c r="B68" s="9">
        <f>Inputs!$C$5+Inputs!$C$9*(A68/Inputs!$C$10)^2</f>
        <v>400.81</v>
      </c>
      <c r="C68" s="9">
        <f t="shared" si="19"/>
        <v>400.81</v>
      </c>
      <c r="D68" s="9">
        <f>SQRT(A68^2+Inputs!$C$6^2+B68^2)</f>
        <v>402.49553550319041</v>
      </c>
      <c r="E68" s="9">
        <f t="shared" si="20"/>
        <v>1685.5355031904082</v>
      </c>
      <c r="F68" s="9">
        <f>E68/Inputs!$C$12</f>
        <v>946.93005797213948</v>
      </c>
      <c r="G68" s="9">
        <f>2*E68/Inputs!$C$21*1000000</f>
        <v>11.244682500921408</v>
      </c>
      <c r="H68" s="9">
        <f>SQRT(A68^2+Inputs!$C$6^2)</f>
        <v>36.796738985948195</v>
      </c>
      <c r="I68" s="9">
        <f t="shared" si="21"/>
        <v>5.2453892719816002</v>
      </c>
      <c r="J68" s="9">
        <f>DEGREES((2*PI()/Inputs!$C$13)*Inputs!$C$15*SIN(RADIANS(I68)))</f>
        <v>32.911734085150734</v>
      </c>
      <c r="K68" s="9">
        <f t="shared" si="22"/>
        <v>0.98335407896987592</v>
      </c>
      <c r="L68" s="9">
        <f t="shared" si="23"/>
        <v>-7.2900764156331274E-2</v>
      </c>
      <c r="M68" s="9">
        <f>2*(Inputs!$C$9/(Inputs!$C$10^2))*A68</f>
        <v>-0.06</v>
      </c>
      <c r="N68" s="9">
        <f>M68*Inputs!$C$11</f>
        <v>-0.24</v>
      </c>
      <c r="O68" s="9">
        <f>1000*((A68*Inputs!$C$11)+(B68*N68))/D68</f>
        <v>-507.3209066647683</v>
      </c>
      <c r="P68" s="9">
        <f>-2*O68/Inputs!$C$13</f>
        <v>202.92836266590731</v>
      </c>
      <c r="Q68" s="9">
        <f>-2*O68/Inputs!$C$14</f>
        <v>30.46972412401011</v>
      </c>
      <c r="R68" s="9">
        <f>F68-Inputs!$C$16/2</f>
        <v>931.93005797213948</v>
      </c>
      <c r="S68" s="9">
        <f>F68+Inputs!$C$16/2</f>
        <v>961.93005797213948</v>
      </c>
      <c r="T68" s="9">
        <f>F68-Inputs!$C$17/2</f>
        <v>796.93005797213948</v>
      </c>
      <c r="U68" s="9">
        <f>F68+Inputs!$C$17/2</f>
        <v>1096.9300579721394</v>
      </c>
      <c r="V68" s="9">
        <f t="shared" si="24"/>
        <v>202.92836266590731</v>
      </c>
      <c r="W68" s="9">
        <f t="shared" si="25"/>
        <v>30.46972412401011</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0</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0</v>
      </c>
      <c r="Z68" s="9">
        <f t="shared" si="26"/>
        <v>400.81</v>
      </c>
      <c r="AA68" s="9">
        <f>SQRT(A68^2+Inputs!$C$6^2+(B68-Y68/1000)^2)</f>
        <v>402.49553550319041</v>
      </c>
      <c r="AB68" s="9">
        <f t="shared" si="27"/>
        <v>1685.5355031904082</v>
      </c>
      <c r="AC68" s="9">
        <f>AB68/Inputs!$C$12</f>
        <v>946.93005797213948</v>
      </c>
      <c r="AD68" s="9">
        <f>2*AB68/Inputs!$C$21*1000000</f>
        <v>11.244682500921408</v>
      </c>
      <c r="AE68" s="9">
        <f t="shared" si="28"/>
        <v>5.2453892719816002</v>
      </c>
      <c r="AF68" s="9">
        <f>DEGREES((2*PI()/Inputs!$C$13)*Inputs!$C$15*SIN(RADIANS(AE68)))</f>
        <v>32.911734085150734</v>
      </c>
      <c r="AG68" s="9">
        <f t="shared" si="29"/>
        <v>0.98335407896987592</v>
      </c>
      <c r="AH68" s="9">
        <f t="shared" si="30"/>
        <v>-7.2900764156331274E-2</v>
      </c>
      <c r="AI68" s="9">
        <f t="shared" si="31"/>
        <v>0</v>
      </c>
      <c r="AJ68" s="9">
        <f t="shared" si="32"/>
        <v>0</v>
      </c>
      <c r="AK68" s="9">
        <f t="shared" si="33"/>
        <v>0</v>
      </c>
      <c r="AL68" s="9">
        <f>1000*(AA69-AA67)/(A69-A67)*Inputs!$C$11</f>
        <v>-507.32033708618474</v>
      </c>
      <c r="AM68" s="9">
        <f>-2*AL68/Inputs!$C$13</f>
        <v>202.92813483447389</v>
      </c>
      <c r="AN68" s="9">
        <f>-2*AL68/Inputs!$C$14</f>
        <v>30.469689915086175</v>
      </c>
      <c r="AO68" s="9">
        <f t="shared" si="34"/>
        <v>202.92813483447389</v>
      </c>
      <c r="AP68" s="9">
        <f t="shared" si="35"/>
        <v>30.469689915086175</v>
      </c>
      <c r="AQ68" s="9">
        <f>IF(OR(Inputs!$C$27=TRUE,Inputs!$C$27="TRUE",Inputs!$C$27=1),Inputs!$C$46/Inputs!$C$12,0)</f>
        <v>0</v>
      </c>
      <c r="AR68" s="9">
        <f t="shared" si="36"/>
        <v>946.93005797213948</v>
      </c>
      <c r="AS68" s="9">
        <f t="shared" si="37"/>
        <v>946.93005797213948</v>
      </c>
    </row>
    <row r="69" spans="1:45">
      <c r="A69" s="9">
        <f>Inputs!$C$7+67*(Inputs!$C$8-Inputs!$C$7)/240</f>
        <v>-26.5</v>
      </c>
      <c r="B69" s="9">
        <f>Inputs!$C$5+Inputs!$C$9*(A69/Inputs!$C$10)^2</f>
        <v>400.78027777777777</v>
      </c>
      <c r="C69" s="9">
        <f t="shared" si="19"/>
        <v>400.78027777777777</v>
      </c>
      <c r="D69" s="9">
        <f>SQRT(A69^2+Inputs!$C$6^2+B69^2)</f>
        <v>402.43270376006063</v>
      </c>
      <c r="E69" s="9">
        <f t="shared" si="20"/>
        <v>1652.425982282864</v>
      </c>
      <c r="F69" s="9">
        <f>E69/Inputs!$C$12</f>
        <v>928.32920352969882</v>
      </c>
      <c r="G69" s="9">
        <f>2*E69/Inputs!$C$21*1000000</f>
        <v>11.023799553242023</v>
      </c>
      <c r="H69" s="9">
        <f>SQRT(A69^2+Inputs!$C$6^2)</f>
        <v>36.431442463893738</v>
      </c>
      <c r="I69" s="9">
        <f t="shared" si="21"/>
        <v>5.1939853576754134</v>
      </c>
      <c r="J69" s="9">
        <f>DEGREES((2*PI()/Inputs!$C$13)*Inputs!$C$15*SIN(RADIANS(I69)))</f>
        <v>32.590093112366418</v>
      </c>
      <c r="K69" s="9">
        <f t="shared" si="22"/>
        <v>0.98367651260076661</v>
      </c>
      <c r="L69" s="9">
        <f t="shared" si="23"/>
        <v>-7.147698205014423E-2</v>
      </c>
      <c r="M69" s="9">
        <f>2*(Inputs!$C$9/(Inputs!$C$10^2))*A69</f>
        <v>-5.8888888888888886E-2</v>
      </c>
      <c r="N69" s="9">
        <f>M69*Inputs!$C$11</f>
        <v>-0.23555555555555555</v>
      </c>
      <c r="O69" s="9">
        <f>1000*((A69*Inputs!$C$11)+(B69*N69))/D69</f>
        <v>-497.98641888493449</v>
      </c>
      <c r="P69" s="9">
        <f>-2*O69/Inputs!$C$13</f>
        <v>199.1945675539738</v>
      </c>
      <c r="Q69" s="9">
        <f>-2*O69/Inputs!$C$14</f>
        <v>29.909094227323397</v>
      </c>
      <c r="R69" s="9">
        <f>F69-Inputs!$C$16/2</f>
        <v>913.32920352969882</v>
      </c>
      <c r="S69" s="9">
        <f>F69+Inputs!$C$16/2</f>
        <v>943.32920352969882</v>
      </c>
      <c r="T69" s="9">
        <f>F69-Inputs!$C$17/2</f>
        <v>778.32920352969882</v>
      </c>
      <c r="U69" s="9">
        <f>F69+Inputs!$C$17/2</f>
        <v>1078.3292035296988</v>
      </c>
      <c r="V69" s="9">
        <f t="shared" si="24"/>
        <v>199.1945675539738</v>
      </c>
      <c r="W69" s="9">
        <f t="shared" si="25"/>
        <v>29.909094227323397</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0</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0</v>
      </c>
      <c r="Z69" s="9">
        <f t="shared" si="26"/>
        <v>400.78027777777777</v>
      </c>
      <c r="AA69" s="9">
        <f>SQRT(A69^2+Inputs!$C$6^2+(B69-Y69/1000)^2)</f>
        <v>402.43270376006063</v>
      </c>
      <c r="AB69" s="9">
        <f t="shared" si="27"/>
        <v>1652.425982282864</v>
      </c>
      <c r="AC69" s="9">
        <f>AB69/Inputs!$C$12</f>
        <v>928.32920352969882</v>
      </c>
      <c r="AD69" s="9">
        <f>2*AB69/Inputs!$C$21*1000000</f>
        <v>11.023799553242023</v>
      </c>
      <c r="AE69" s="9">
        <f t="shared" si="28"/>
        <v>5.1939853576754134</v>
      </c>
      <c r="AF69" s="9">
        <f>DEGREES((2*PI()/Inputs!$C$13)*Inputs!$C$15*SIN(RADIANS(AE69)))</f>
        <v>32.590093112366418</v>
      </c>
      <c r="AG69" s="9">
        <f t="shared" si="29"/>
        <v>0.98367651260076661</v>
      </c>
      <c r="AH69" s="9">
        <f t="shared" si="30"/>
        <v>-7.147698205014423E-2</v>
      </c>
      <c r="AI69" s="9">
        <f t="shared" si="31"/>
        <v>0</v>
      </c>
      <c r="AJ69" s="9">
        <f t="shared" si="32"/>
        <v>0</v>
      </c>
      <c r="AK69" s="9">
        <f t="shared" si="33"/>
        <v>0</v>
      </c>
      <c r="AL69" s="9">
        <f>1000*(AA70-AA68)/(A70-A68)*Inputs!$C$11</f>
        <v>-497.98585941744022</v>
      </c>
      <c r="AM69" s="9">
        <f>-2*AL69/Inputs!$C$13</f>
        <v>199.19434376697609</v>
      </c>
      <c r="AN69" s="9">
        <f>-2*AL69/Inputs!$C$14</f>
        <v>29.909060625672087</v>
      </c>
      <c r="AO69" s="9">
        <f t="shared" si="34"/>
        <v>199.19434376697609</v>
      </c>
      <c r="AP69" s="9">
        <f t="shared" si="35"/>
        <v>29.909060625672087</v>
      </c>
      <c r="AQ69" s="9">
        <f>IF(OR(Inputs!$C$27=TRUE,Inputs!$C$27="TRUE",Inputs!$C$27=1),Inputs!$C$46/Inputs!$C$12,0)</f>
        <v>0</v>
      </c>
      <c r="AR69" s="9">
        <f t="shared" si="36"/>
        <v>928.32920352969882</v>
      </c>
      <c r="AS69" s="9">
        <f t="shared" si="37"/>
        <v>928.32920352969882</v>
      </c>
    </row>
    <row r="70" spans="1:45">
      <c r="A70" s="9">
        <f>Inputs!$C$7+68*(Inputs!$C$8-Inputs!$C$7)/240</f>
        <v>-26</v>
      </c>
      <c r="B70" s="9">
        <f>Inputs!$C$5+Inputs!$C$9*(A70/Inputs!$C$10)^2</f>
        <v>400.75111111111113</v>
      </c>
      <c r="C70" s="9">
        <f t="shared" si="19"/>
        <v>400.75111111111113</v>
      </c>
      <c r="D70" s="9">
        <f>SQRT(A70^2+Inputs!$C$6^2+B70^2)</f>
        <v>402.37103903833605</v>
      </c>
      <c r="E70" s="9">
        <f t="shared" si="20"/>
        <v>1619.9279272249214</v>
      </c>
      <c r="F70" s="9">
        <f>E70/Inputs!$C$12</f>
        <v>910.07186922748394</v>
      </c>
      <c r="G70" s="9">
        <f>2*E70/Inputs!$C$21*1000000</f>
        <v>10.806995866619976</v>
      </c>
      <c r="H70" s="9">
        <f>SQRT(A70^2+Inputs!$C$6^2)</f>
        <v>36.069377593742864</v>
      </c>
      <c r="I70" s="9">
        <f t="shared" si="21"/>
        <v>5.1430166600771647</v>
      </c>
      <c r="J70" s="9">
        <f>DEGREES((2*PI()/Inputs!$C$13)*Inputs!$C$15*SIN(RADIANS(I70)))</f>
        <v>32.27114944649454</v>
      </c>
      <c r="K70" s="9">
        <f t="shared" si="22"/>
        <v>0.98399316686257443</v>
      </c>
      <c r="L70" s="9">
        <f t="shared" si="23"/>
        <v>-7.0079174265669258E-2</v>
      </c>
      <c r="M70" s="9">
        <f>2*(Inputs!$C$9/(Inputs!$C$10^2))*A70</f>
        <v>-5.7777777777777775E-2</v>
      </c>
      <c r="N70" s="9">
        <f>M70*Inputs!$C$11</f>
        <v>-0.2311111111111111</v>
      </c>
      <c r="O70" s="9">
        <f>1000*((A70*Inputs!$C$11)+(B70*N70))/D70</f>
        <v>-488.64857430548921</v>
      </c>
      <c r="P70" s="9">
        <f>-2*O70/Inputs!$C$13</f>
        <v>195.45942972219569</v>
      </c>
      <c r="Q70" s="9">
        <f>-2*O70/Inputs!$C$14</f>
        <v>29.348262721050407</v>
      </c>
      <c r="R70" s="9">
        <f>F70-Inputs!$C$16/2</f>
        <v>895.07186922748394</v>
      </c>
      <c r="S70" s="9">
        <f>F70+Inputs!$C$16/2</f>
        <v>925.07186922748394</v>
      </c>
      <c r="T70" s="9">
        <f>F70-Inputs!$C$17/2</f>
        <v>760.07186922748394</v>
      </c>
      <c r="U70" s="9">
        <f>F70+Inputs!$C$17/2</f>
        <v>1060.0718692274841</v>
      </c>
      <c r="V70" s="9">
        <f t="shared" si="24"/>
        <v>195.45942972219569</v>
      </c>
      <c r="W70" s="9">
        <f t="shared" si="25"/>
        <v>29.348262721050407</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0</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0</v>
      </c>
      <c r="Z70" s="9">
        <f t="shared" si="26"/>
        <v>400.75111111111113</v>
      </c>
      <c r="AA70" s="9">
        <f>SQRT(A70^2+Inputs!$C$6^2+(B70-Y70/1000)^2)</f>
        <v>402.37103903833605</v>
      </c>
      <c r="AB70" s="9">
        <f t="shared" si="27"/>
        <v>1619.9279272249214</v>
      </c>
      <c r="AC70" s="9">
        <f>AB70/Inputs!$C$12</f>
        <v>910.07186922748394</v>
      </c>
      <c r="AD70" s="9">
        <f>2*AB70/Inputs!$C$21*1000000</f>
        <v>10.806995866619976</v>
      </c>
      <c r="AE70" s="9">
        <f t="shared" si="28"/>
        <v>5.1430166600771647</v>
      </c>
      <c r="AF70" s="9">
        <f>DEGREES((2*PI()/Inputs!$C$13)*Inputs!$C$15*SIN(RADIANS(AE70)))</f>
        <v>32.27114944649454</v>
      </c>
      <c r="AG70" s="9">
        <f t="shared" si="29"/>
        <v>0.98399316686257443</v>
      </c>
      <c r="AH70" s="9">
        <f t="shared" si="30"/>
        <v>-7.0079174265669258E-2</v>
      </c>
      <c r="AI70" s="9">
        <f t="shared" si="31"/>
        <v>0</v>
      </c>
      <c r="AJ70" s="9">
        <f t="shared" si="32"/>
        <v>0</v>
      </c>
      <c r="AK70" s="9">
        <f t="shared" si="33"/>
        <v>0</v>
      </c>
      <c r="AL70" s="9">
        <f>1000*(AA71-AA69)/(A71-A69)*Inputs!$C$11</f>
        <v>-488.64802497314486</v>
      </c>
      <c r="AM70" s="9">
        <f>-2*AL70/Inputs!$C$13</f>
        <v>195.45920998925794</v>
      </c>
      <c r="AN70" s="9">
        <f>-2*AL70/Inputs!$C$14</f>
        <v>29.348229728116809</v>
      </c>
      <c r="AO70" s="9">
        <f t="shared" si="34"/>
        <v>195.45920998925794</v>
      </c>
      <c r="AP70" s="9">
        <f t="shared" si="35"/>
        <v>29.348229728116809</v>
      </c>
      <c r="AQ70" s="9">
        <f>IF(OR(Inputs!$C$27=TRUE,Inputs!$C$27="TRUE",Inputs!$C$27=1),Inputs!$C$46/Inputs!$C$12,0)</f>
        <v>0</v>
      </c>
      <c r="AR70" s="9">
        <f t="shared" si="36"/>
        <v>910.07186922748394</v>
      </c>
      <c r="AS70" s="9">
        <f t="shared" si="37"/>
        <v>910.07186922748394</v>
      </c>
    </row>
    <row r="71" spans="1:45">
      <c r="A71" s="9">
        <f>Inputs!$C$7+69*(Inputs!$C$8-Inputs!$C$7)/240</f>
        <v>-25.5</v>
      </c>
      <c r="B71" s="9">
        <f>Inputs!$C$5+Inputs!$C$9*(A71/Inputs!$C$10)^2</f>
        <v>400.72250000000003</v>
      </c>
      <c r="C71" s="9">
        <f t="shared" si="19"/>
        <v>400.72250000000003</v>
      </c>
      <c r="D71" s="9">
        <f>SQRT(A71^2+Inputs!$C$6^2+B71^2)</f>
        <v>402.31054175381735</v>
      </c>
      <c r="E71" s="9">
        <f t="shared" si="20"/>
        <v>1588.0417538173219</v>
      </c>
      <c r="F71" s="9">
        <f>E71/Inputs!$C$12</f>
        <v>892.1582886614168</v>
      </c>
      <c r="G71" s="9">
        <f>2*E71/Inputs!$C$21*1000000</f>
        <v>10.594274214979231</v>
      </c>
      <c r="H71" s="9">
        <f>SQRT(A71^2+Inputs!$C$6^2)</f>
        <v>35.710642671338192</v>
      </c>
      <c r="I71" s="9">
        <f t="shared" si="21"/>
        <v>5.092497724666333</v>
      </c>
      <c r="J71" s="9">
        <f>DEGREES((2*PI()/Inputs!$C$13)*Inputs!$C$15*SIN(RADIANS(I71)))</f>
        <v>31.954995028563069</v>
      </c>
      <c r="K71" s="9">
        <f t="shared" si="22"/>
        <v>0.98430402800492856</v>
      </c>
      <c r="L71" s="9">
        <f t="shared" si="23"/>
        <v>-6.8707376548972202E-2</v>
      </c>
      <c r="M71" s="9">
        <f>2*(Inputs!$C$9/(Inputs!$C$10^2))*A71</f>
        <v>-5.6666666666666664E-2</v>
      </c>
      <c r="N71" s="9">
        <f>M71*Inputs!$C$11</f>
        <v>-0.22666666666666666</v>
      </c>
      <c r="O71" s="9">
        <f>1000*((A71*Inputs!$C$11)+(B71*N71))/D71</f>
        <v>-479.3074337369228</v>
      </c>
      <c r="P71" s="9">
        <f>-2*O71/Inputs!$C$13</f>
        <v>191.72297349476912</v>
      </c>
      <c r="Q71" s="9">
        <f>-2*O71/Inputs!$C$14</f>
        <v>28.787233257472842</v>
      </c>
      <c r="R71" s="9">
        <f>F71-Inputs!$C$16/2</f>
        <v>877.1582886614168</v>
      </c>
      <c r="S71" s="9">
        <f>F71+Inputs!$C$16/2</f>
        <v>907.1582886614168</v>
      </c>
      <c r="T71" s="9">
        <f>F71-Inputs!$C$17/2</f>
        <v>742.1582886614168</v>
      </c>
      <c r="U71" s="9">
        <f>F71+Inputs!$C$17/2</f>
        <v>1042.1582886614169</v>
      </c>
      <c r="V71" s="9">
        <f t="shared" si="24"/>
        <v>191.72297349476912</v>
      </c>
      <c r="W71" s="9">
        <f t="shared" si="25"/>
        <v>28.787233257472842</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0</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0</v>
      </c>
      <c r="Z71" s="9">
        <f t="shared" si="26"/>
        <v>400.72250000000003</v>
      </c>
      <c r="AA71" s="9">
        <f>SQRT(A71^2+Inputs!$C$6^2+(B71-Y71/1000)^2)</f>
        <v>402.31054175381735</v>
      </c>
      <c r="AB71" s="9">
        <f t="shared" si="27"/>
        <v>1588.0417538173219</v>
      </c>
      <c r="AC71" s="9">
        <f>AB71/Inputs!$C$12</f>
        <v>892.1582886614168</v>
      </c>
      <c r="AD71" s="9">
        <f>2*AB71/Inputs!$C$21*1000000</f>
        <v>10.594274214979231</v>
      </c>
      <c r="AE71" s="9">
        <f t="shared" si="28"/>
        <v>5.092497724666333</v>
      </c>
      <c r="AF71" s="9">
        <f>DEGREES((2*PI()/Inputs!$C$13)*Inputs!$C$15*SIN(RADIANS(AE71)))</f>
        <v>31.954995028563069</v>
      </c>
      <c r="AG71" s="9">
        <f t="shared" si="29"/>
        <v>0.98430402800492856</v>
      </c>
      <c r="AH71" s="9">
        <f t="shared" si="30"/>
        <v>-6.8707376548972202E-2</v>
      </c>
      <c r="AI71" s="9">
        <f t="shared" si="31"/>
        <v>0</v>
      </c>
      <c r="AJ71" s="9">
        <f t="shared" si="32"/>
        <v>0</v>
      </c>
      <c r="AK71" s="9">
        <f t="shared" si="33"/>
        <v>0</v>
      </c>
      <c r="AL71" s="9">
        <f>1000*(AA72-AA70)/(A72-A70)*Inputs!$C$11</f>
        <v>-479.30689456347864</v>
      </c>
      <c r="AM71" s="9">
        <f>-2*AL71/Inputs!$C$13</f>
        <v>191.72275782539145</v>
      </c>
      <c r="AN71" s="9">
        <f>-2*AL71/Inputs!$C$14</f>
        <v>28.787200874683403</v>
      </c>
      <c r="AO71" s="9">
        <f t="shared" si="34"/>
        <v>191.72275782539145</v>
      </c>
      <c r="AP71" s="9">
        <f t="shared" si="35"/>
        <v>28.787200874683403</v>
      </c>
      <c r="AQ71" s="9">
        <f>IF(OR(Inputs!$C$27=TRUE,Inputs!$C$27="TRUE",Inputs!$C$27=1),Inputs!$C$46/Inputs!$C$12,0)</f>
        <v>0</v>
      </c>
      <c r="AR71" s="9">
        <f t="shared" si="36"/>
        <v>892.1582886614168</v>
      </c>
      <c r="AS71" s="9">
        <f t="shared" si="37"/>
        <v>892.1582886614168</v>
      </c>
    </row>
    <row r="72" spans="1:45">
      <c r="A72" s="9">
        <f>Inputs!$C$7+70*(Inputs!$C$8-Inputs!$C$7)/240</f>
        <v>-25</v>
      </c>
      <c r="B72" s="9">
        <f>Inputs!$C$5+Inputs!$C$9*(A72/Inputs!$C$10)^2</f>
        <v>400.69444444444446</v>
      </c>
      <c r="C72" s="9">
        <f t="shared" si="19"/>
        <v>400.69444444444446</v>
      </c>
      <c r="D72" s="9">
        <f>SQRT(A72^2+Inputs!$C$6^2+B72^2)</f>
        <v>402.25121231469518</v>
      </c>
      <c r="E72" s="9">
        <f t="shared" si="20"/>
        <v>1556.7678702507237</v>
      </c>
      <c r="F72" s="9">
        <f>E72/Inputs!$C$12</f>
        <v>874.588691152092</v>
      </c>
      <c r="G72" s="9">
        <f>2*E72/Inputs!$C$21*1000000</f>
        <v>10.385637321474738</v>
      </c>
      <c r="H72" s="9">
        <f>SQRT(A72^2+Inputs!$C$6^2)</f>
        <v>35.355339059327378</v>
      </c>
      <c r="I72" s="9">
        <f t="shared" si="21"/>
        <v>5.042443535344872</v>
      </c>
      <c r="J72" s="9">
        <f>DEGREES((2*PI()/Inputs!$C$13)*Inputs!$C$15*SIN(RADIANS(I72)))</f>
        <v>31.641724553462272</v>
      </c>
      <c r="K72" s="9">
        <f t="shared" si="22"/>
        <v>0.98460908251541424</v>
      </c>
      <c r="L72" s="9">
        <f t="shared" si="23"/>
        <v>-6.7361624002190645E-2</v>
      </c>
      <c r="M72" s="9">
        <f>2*(Inputs!$C$9/(Inputs!$C$10^2))*A72</f>
        <v>-5.5555555555555552E-2</v>
      </c>
      <c r="N72" s="9">
        <f>M72*Inputs!$C$11</f>
        <v>-0.22222222222222221</v>
      </c>
      <c r="O72" s="9">
        <f>1000*((A72*Inputs!$C$11)+(B72*N72))/D72</f>
        <v>-469.96305813156403</v>
      </c>
      <c r="P72" s="9">
        <f>-2*O72/Inputs!$C$13</f>
        <v>187.98522325262562</v>
      </c>
      <c r="Q72" s="9">
        <f>-2*O72/Inputs!$C$14</f>
        <v>28.226009497391235</v>
      </c>
      <c r="R72" s="9">
        <f>F72-Inputs!$C$16/2</f>
        <v>859.588691152092</v>
      </c>
      <c r="S72" s="9">
        <f>F72+Inputs!$C$16/2</f>
        <v>889.588691152092</v>
      </c>
      <c r="T72" s="9">
        <f>F72-Inputs!$C$17/2</f>
        <v>724.588691152092</v>
      </c>
      <c r="U72" s="9">
        <f>F72+Inputs!$C$17/2</f>
        <v>1024.588691152092</v>
      </c>
      <c r="V72" s="9">
        <f t="shared" si="24"/>
        <v>187.98522325262562</v>
      </c>
      <c r="W72" s="9">
        <f t="shared" si="25"/>
        <v>28.226009497391235</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0</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0</v>
      </c>
      <c r="Z72" s="9">
        <f t="shared" si="26"/>
        <v>400.69444444444446</v>
      </c>
      <c r="AA72" s="9">
        <f>SQRT(A72^2+Inputs!$C$6^2+(B72-Y72/1000)^2)</f>
        <v>402.25121231469518</v>
      </c>
      <c r="AB72" s="9">
        <f t="shared" si="27"/>
        <v>1556.7678702507237</v>
      </c>
      <c r="AC72" s="9">
        <f>AB72/Inputs!$C$12</f>
        <v>874.588691152092</v>
      </c>
      <c r="AD72" s="9">
        <f>2*AB72/Inputs!$C$21*1000000</f>
        <v>10.385637321474738</v>
      </c>
      <c r="AE72" s="9">
        <f t="shared" si="28"/>
        <v>5.042443535344872</v>
      </c>
      <c r="AF72" s="9">
        <f>DEGREES((2*PI()/Inputs!$C$13)*Inputs!$C$15*SIN(RADIANS(AE72)))</f>
        <v>31.641724553462272</v>
      </c>
      <c r="AG72" s="9">
        <f t="shared" si="29"/>
        <v>0.98460908251541424</v>
      </c>
      <c r="AH72" s="9">
        <f t="shared" si="30"/>
        <v>-6.7361624002190645E-2</v>
      </c>
      <c r="AI72" s="9">
        <f t="shared" si="31"/>
        <v>0</v>
      </c>
      <c r="AJ72" s="9">
        <f t="shared" si="32"/>
        <v>0</v>
      </c>
      <c r="AK72" s="9">
        <f t="shared" si="33"/>
        <v>0</v>
      </c>
      <c r="AL72" s="9">
        <f>1000*(AA73-AA71)/(A73-A71)*Inputs!$C$11</f>
        <v>-469.96252914004799</v>
      </c>
      <c r="AM72" s="9">
        <f>-2*AL72/Inputs!$C$13</f>
        <v>187.9850116560192</v>
      </c>
      <c r="AN72" s="9">
        <f>-2*AL72/Inputs!$C$14</f>
        <v>28.22597772612901</v>
      </c>
      <c r="AO72" s="9">
        <f t="shared" si="34"/>
        <v>187.9850116560192</v>
      </c>
      <c r="AP72" s="9">
        <f t="shared" si="35"/>
        <v>28.22597772612901</v>
      </c>
      <c r="AQ72" s="9">
        <f>IF(OR(Inputs!$C$27=TRUE,Inputs!$C$27="TRUE",Inputs!$C$27=1),Inputs!$C$46/Inputs!$C$12,0)</f>
        <v>0</v>
      </c>
      <c r="AR72" s="9">
        <f t="shared" si="36"/>
        <v>874.588691152092</v>
      </c>
      <c r="AS72" s="9">
        <f t="shared" si="37"/>
        <v>874.588691152092</v>
      </c>
    </row>
    <row r="73" spans="1:45">
      <c r="A73" s="9">
        <f>Inputs!$C$7+71*(Inputs!$C$8-Inputs!$C$7)/240</f>
        <v>-24.5</v>
      </c>
      <c r="B73" s="9">
        <f>Inputs!$C$5+Inputs!$C$9*(A73/Inputs!$C$10)^2</f>
        <v>400.66694444444443</v>
      </c>
      <c r="C73" s="9">
        <f t="shared" si="19"/>
        <v>400.66694444444443</v>
      </c>
      <c r="D73" s="9">
        <f>SQRT(A73^2+Inputs!$C$6^2+B73^2)</f>
        <v>402.19305112153233</v>
      </c>
      <c r="E73" s="9">
        <f t="shared" si="20"/>
        <v>1526.1066770879097</v>
      </c>
      <c r="F73" s="9">
        <f>E73/Inputs!$C$12</f>
        <v>857.36330173478075</v>
      </c>
      <c r="G73" s="9">
        <f>2*E73/Inputs!$C$21*1000000</f>
        <v>10.18108785837374</v>
      </c>
      <c r="H73" s="9">
        <f>SQRT(A73^2+Inputs!$C$6^2)</f>
        <v>35.003571246374278</v>
      </c>
      <c r="I73" s="9">
        <f t="shared" si="21"/>
        <v>4.9928695227894897</v>
      </c>
      <c r="J73" s="9">
        <f>DEGREES((2*PI()/Inputs!$C$13)*Inputs!$C$15*SIN(RADIANS(I73)))</f>
        <v>31.331435522208853</v>
      </c>
      <c r="K73" s="9">
        <f t="shared" si="22"/>
        <v>0.9849083171209122</v>
      </c>
      <c r="L73" s="9">
        <f t="shared" si="23"/>
        <v>-6.6041951081441522E-2</v>
      </c>
      <c r="M73" s="9">
        <f>2*(Inputs!$C$9/(Inputs!$C$10^2))*A73</f>
        <v>-5.4444444444444441E-2</v>
      </c>
      <c r="N73" s="9">
        <f>M73*Inputs!$C$11</f>
        <v>-0.21777777777777776</v>
      </c>
      <c r="O73" s="9">
        <f>1000*((A73*Inputs!$C$11)+(B73*N73))/D73</f>
        <v>-460.61550858108626</v>
      </c>
      <c r="P73" s="9">
        <f>-2*O73/Inputs!$C$13</f>
        <v>184.2462034324345</v>
      </c>
      <c r="Q73" s="9">
        <f>-2*O73/Inputs!$C$14</f>
        <v>27.664595109975153</v>
      </c>
      <c r="R73" s="9">
        <f>F73-Inputs!$C$16/2</f>
        <v>842.36330173478075</v>
      </c>
      <c r="S73" s="9">
        <f>F73+Inputs!$C$16/2</f>
        <v>872.36330173478075</v>
      </c>
      <c r="T73" s="9">
        <f>F73-Inputs!$C$17/2</f>
        <v>707.36330173478075</v>
      </c>
      <c r="U73" s="9">
        <f>F73+Inputs!$C$17/2</f>
        <v>1007.3633017347807</v>
      </c>
      <c r="V73" s="9">
        <f t="shared" si="24"/>
        <v>184.2462034324345</v>
      </c>
      <c r="W73" s="9">
        <f t="shared" si="25"/>
        <v>27.664595109975153</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0</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0</v>
      </c>
      <c r="Z73" s="9">
        <f t="shared" si="26"/>
        <v>400.66694444444443</v>
      </c>
      <c r="AA73" s="9">
        <f>SQRT(A73^2+Inputs!$C$6^2+(B73-Y73/1000)^2)</f>
        <v>402.19305112153233</v>
      </c>
      <c r="AB73" s="9">
        <f t="shared" si="27"/>
        <v>1526.1066770879097</v>
      </c>
      <c r="AC73" s="9">
        <f>AB73/Inputs!$C$12</f>
        <v>857.36330173478075</v>
      </c>
      <c r="AD73" s="9">
        <f>2*AB73/Inputs!$C$21*1000000</f>
        <v>10.18108785837374</v>
      </c>
      <c r="AE73" s="9">
        <f t="shared" si="28"/>
        <v>4.9928695227894897</v>
      </c>
      <c r="AF73" s="9">
        <f>DEGREES((2*PI()/Inputs!$C$13)*Inputs!$C$15*SIN(RADIANS(AE73)))</f>
        <v>31.331435522208853</v>
      </c>
      <c r="AG73" s="9">
        <f t="shared" si="29"/>
        <v>0.9849083171209122</v>
      </c>
      <c r="AH73" s="9">
        <f t="shared" si="30"/>
        <v>-6.6041951081441522E-2</v>
      </c>
      <c r="AI73" s="9">
        <f t="shared" si="31"/>
        <v>0</v>
      </c>
      <c r="AJ73" s="9">
        <f t="shared" si="32"/>
        <v>0</v>
      </c>
      <c r="AK73" s="9">
        <f t="shared" si="33"/>
        <v>0</v>
      </c>
      <c r="AL73" s="9">
        <f>1000*(AA74-AA72)/(A74-A72)*Inputs!$C$11</f>
        <v>-460.61498979429416</v>
      </c>
      <c r="AM73" s="9">
        <f>-2*AL73/Inputs!$C$13</f>
        <v>184.24599591771766</v>
      </c>
      <c r="AN73" s="9">
        <f>-2*AL73/Inputs!$C$14</f>
        <v>27.66456395160926</v>
      </c>
      <c r="AO73" s="9">
        <f t="shared" si="34"/>
        <v>184.24599591771766</v>
      </c>
      <c r="AP73" s="9">
        <f t="shared" si="35"/>
        <v>27.66456395160926</v>
      </c>
      <c r="AQ73" s="9">
        <f>IF(OR(Inputs!$C$27=TRUE,Inputs!$C$27="TRUE",Inputs!$C$27=1),Inputs!$C$46/Inputs!$C$12,0)</f>
        <v>0</v>
      </c>
      <c r="AR73" s="9">
        <f t="shared" si="36"/>
        <v>857.36330173478075</v>
      </c>
      <c r="AS73" s="9">
        <f t="shared" si="37"/>
        <v>857.36330173478075</v>
      </c>
    </row>
    <row r="74" spans="1:45">
      <c r="A74" s="9">
        <f>Inputs!$C$7+72*(Inputs!$C$8-Inputs!$C$7)/240</f>
        <v>-24</v>
      </c>
      <c r="B74" s="9">
        <f>Inputs!$C$5+Inputs!$C$9*(A74/Inputs!$C$10)^2</f>
        <v>400.64</v>
      </c>
      <c r="C74" s="9">
        <f t="shared" si="19"/>
        <v>400.64</v>
      </c>
      <c r="D74" s="9">
        <f>SQRT(A74^2+Inputs!$C$6^2+B74^2)</f>
        <v>402.13605856724661</v>
      </c>
      <c r="E74" s="9">
        <f t="shared" si="20"/>
        <v>1496.0585672466209</v>
      </c>
      <c r="F74" s="9">
        <f>E74/Inputs!$C$12</f>
        <v>840.48234114978698</v>
      </c>
      <c r="G74" s="9">
        <f>2*E74/Inputs!$C$21*1000000</f>
        <v>9.9806284469412567</v>
      </c>
      <c r="H74" s="9">
        <f>SQRT(A74^2+Inputs!$C$6^2)</f>
        <v>34.655446902326915</v>
      </c>
      <c r="I74" s="9">
        <f t="shared" si="21"/>
        <v>4.9437915722171066</v>
      </c>
      <c r="J74" s="9">
        <f>DEGREES((2*PI()/Inputs!$C$13)*Inputs!$C$15*SIN(RADIANS(I74)))</f>
        <v>31.024228290513804</v>
      </c>
      <c r="K74" s="9">
        <f t="shared" si="22"/>
        <v>0.98520171878891338</v>
      </c>
      <c r="L74" s="9">
        <f t="shared" si="23"/>
        <v>-6.4748391594777438E-2</v>
      </c>
      <c r="M74" s="9">
        <f>2*(Inputs!$C$9/(Inputs!$C$10^2))*A74</f>
        <v>-5.333333333333333E-2</v>
      </c>
      <c r="N74" s="9">
        <f>M74*Inputs!$C$11</f>
        <v>-0.21333333333333332</v>
      </c>
      <c r="O74" s="9">
        <f>1000*((A74*Inputs!$C$11)+(B74*N74))/D74</f>
        <v>-451.26484631400103</v>
      </c>
      <c r="P74" s="9">
        <f>-2*O74/Inputs!$C$13</f>
        <v>180.50593852560041</v>
      </c>
      <c r="Q74" s="9">
        <f>-2*O74/Inputs!$C$14</f>
        <v>27.102993772612678</v>
      </c>
      <c r="R74" s="9">
        <f>F74-Inputs!$C$16/2</f>
        <v>825.48234114978698</v>
      </c>
      <c r="S74" s="9">
        <f>F74+Inputs!$C$16/2</f>
        <v>855.48234114978698</v>
      </c>
      <c r="T74" s="9">
        <f>F74-Inputs!$C$17/2</f>
        <v>690.48234114978698</v>
      </c>
      <c r="U74" s="9">
        <f>F74+Inputs!$C$17/2</f>
        <v>990.48234114978698</v>
      </c>
      <c r="V74" s="9">
        <f t="shared" si="24"/>
        <v>180.50593852560041</v>
      </c>
      <c r="W74" s="9">
        <f t="shared" si="25"/>
        <v>27.102993772612678</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0</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0</v>
      </c>
      <c r="Z74" s="9">
        <f t="shared" si="26"/>
        <v>400.64</v>
      </c>
      <c r="AA74" s="9">
        <f>SQRT(A74^2+Inputs!$C$6^2+(B74-Y74/1000)^2)</f>
        <v>402.13605856724661</v>
      </c>
      <c r="AB74" s="9">
        <f t="shared" si="27"/>
        <v>1496.0585672466209</v>
      </c>
      <c r="AC74" s="9">
        <f>AB74/Inputs!$C$12</f>
        <v>840.48234114978698</v>
      </c>
      <c r="AD74" s="9">
        <f>2*AB74/Inputs!$C$21*1000000</f>
        <v>9.9806284469412567</v>
      </c>
      <c r="AE74" s="9">
        <f t="shared" si="28"/>
        <v>4.9437915722171066</v>
      </c>
      <c r="AF74" s="9">
        <f>DEGREES((2*PI()/Inputs!$C$13)*Inputs!$C$15*SIN(RADIANS(AE74)))</f>
        <v>31.024228290513804</v>
      </c>
      <c r="AG74" s="9">
        <f t="shared" si="29"/>
        <v>0.98520171878891338</v>
      </c>
      <c r="AH74" s="9">
        <f t="shared" si="30"/>
        <v>-6.4748391594777438E-2</v>
      </c>
      <c r="AI74" s="9">
        <f t="shared" si="31"/>
        <v>0</v>
      </c>
      <c r="AJ74" s="9">
        <f t="shared" si="32"/>
        <v>0</v>
      </c>
      <c r="AK74" s="9">
        <f t="shared" si="33"/>
        <v>0</v>
      </c>
      <c r="AL74" s="9">
        <f>1000*(AA75-AA73)/(A75-A73)*Inputs!$C$11</f>
        <v>-451.26433775430996</v>
      </c>
      <c r="AM74" s="9">
        <f>-2*AL74/Inputs!$C$13</f>
        <v>180.50573510172399</v>
      </c>
      <c r="AN74" s="9">
        <f>-2*AL74/Inputs!$C$14</f>
        <v>27.102963228487088</v>
      </c>
      <c r="AO74" s="9">
        <f t="shared" si="34"/>
        <v>180.50573510172399</v>
      </c>
      <c r="AP74" s="9">
        <f t="shared" si="35"/>
        <v>27.102963228487088</v>
      </c>
      <c r="AQ74" s="9">
        <f>IF(OR(Inputs!$C$27=TRUE,Inputs!$C$27="TRUE",Inputs!$C$27=1),Inputs!$C$46/Inputs!$C$12,0)</f>
        <v>0</v>
      </c>
      <c r="AR74" s="9">
        <f t="shared" si="36"/>
        <v>840.48234114978698</v>
      </c>
      <c r="AS74" s="9">
        <f t="shared" si="37"/>
        <v>840.48234114978698</v>
      </c>
    </row>
    <row r="75" spans="1:45">
      <c r="A75" s="9">
        <f>Inputs!$C$7+73*(Inputs!$C$8-Inputs!$C$7)/240</f>
        <v>-23.5</v>
      </c>
      <c r="B75" s="9">
        <f>Inputs!$C$5+Inputs!$C$9*(A75/Inputs!$C$10)^2</f>
        <v>400.61361111111108</v>
      </c>
      <c r="C75" s="9">
        <f t="shared" si="19"/>
        <v>400.61361111111108</v>
      </c>
      <c r="D75" s="9">
        <f>SQRT(A75^2+Inputs!$C$6^2+B75^2)</f>
        <v>402.08023503709376</v>
      </c>
      <c r="E75" s="9">
        <f t="shared" si="20"/>
        <v>1466.6239259826739</v>
      </c>
      <c r="F75" s="9">
        <f>E75/Inputs!$C$12</f>
        <v>823.94602583296285</v>
      </c>
      <c r="G75" s="9">
        <f>2*E75/Inputs!$C$21*1000000</f>
        <v>9.784261657327443</v>
      </c>
      <c r="H75" s="9">
        <f>SQRT(A75^2+Inputs!$C$6^2)</f>
        <v>34.311076928595526</v>
      </c>
      <c r="I75" s="9">
        <f t="shared" si="21"/>
        <v>4.8952260304560395</v>
      </c>
      <c r="J75" s="9">
        <f>DEGREES((2*PI()/Inputs!$C$13)*Inputs!$C$15*SIN(RADIANS(I75)))</f>
        <v>30.720206112978573</v>
      </c>
      <c r="K75" s="9">
        <f t="shared" si="22"/>
        <v>0.9854892747288152</v>
      </c>
      <c r="L75" s="9">
        <f t="shared" si="23"/>
        <v>-6.3480978700163587E-2</v>
      </c>
      <c r="M75" s="9">
        <f>2*(Inputs!$C$9/(Inputs!$C$10^2))*A75</f>
        <v>-5.2222222222222225E-2</v>
      </c>
      <c r="N75" s="9">
        <f>M75*Inputs!$C$11</f>
        <v>-0.2088888888888889</v>
      </c>
      <c r="O75" s="9">
        <f>1000*((A75*Inputs!$C$11)+(B75*N75))/D75</f>
        <v>-441.91113269313848</v>
      </c>
      <c r="P75" s="9">
        <f>-2*O75/Inputs!$C$13</f>
        <v>176.76445307725538</v>
      </c>
      <c r="Q75" s="9">
        <f>-2*O75/Inputs!$C$14</f>
        <v>26.541209170759071</v>
      </c>
      <c r="R75" s="9">
        <f>F75-Inputs!$C$16/2</f>
        <v>808.94602583296285</v>
      </c>
      <c r="S75" s="9">
        <f>F75+Inputs!$C$16/2</f>
        <v>838.94602583296285</v>
      </c>
      <c r="T75" s="9">
        <f>F75-Inputs!$C$17/2</f>
        <v>673.94602583296285</v>
      </c>
      <c r="U75" s="9">
        <f>F75+Inputs!$C$17/2</f>
        <v>973.94602583296285</v>
      </c>
      <c r="V75" s="9">
        <f t="shared" si="24"/>
        <v>176.76445307725538</v>
      </c>
      <c r="W75" s="9">
        <f t="shared" si="25"/>
        <v>26.541209170759071</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0</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0</v>
      </c>
      <c r="Z75" s="9">
        <f t="shared" si="26"/>
        <v>400.61361111111108</v>
      </c>
      <c r="AA75" s="9">
        <f>SQRT(A75^2+Inputs!$C$6^2+(B75-Y75/1000)^2)</f>
        <v>402.08023503709376</v>
      </c>
      <c r="AB75" s="9">
        <f t="shared" si="27"/>
        <v>1466.6239259826739</v>
      </c>
      <c r="AC75" s="9">
        <f>AB75/Inputs!$C$12</f>
        <v>823.94602583296285</v>
      </c>
      <c r="AD75" s="9">
        <f>2*AB75/Inputs!$C$21*1000000</f>
        <v>9.784261657327443</v>
      </c>
      <c r="AE75" s="9">
        <f t="shared" si="28"/>
        <v>4.8952260304560395</v>
      </c>
      <c r="AF75" s="9">
        <f>DEGREES((2*PI()/Inputs!$C$13)*Inputs!$C$15*SIN(RADIANS(AE75)))</f>
        <v>30.720206112978573</v>
      </c>
      <c r="AG75" s="9">
        <f t="shared" si="29"/>
        <v>0.9854892747288152</v>
      </c>
      <c r="AH75" s="9">
        <f t="shared" si="30"/>
        <v>-6.3480978700163587E-2</v>
      </c>
      <c r="AI75" s="9">
        <f t="shared" si="31"/>
        <v>0</v>
      </c>
      <c r="AJ75" s="9">
        <f t="shared" si="32"/>
        <v>0</v>
      </c>
      <c r="AK75" s="9">
        <f t="shared" si="33"/>
        <v>0</v>
      </c>
      <c r="AL75" s="9">
        <f>1000*(AA76-AA74)/(A76-A74)*Inputs!$C$11</f>
        <v>-441.91063438256606</v>
      </c>
      <c r="AM75" s="9">
        <f>-2*AL75/Inputs!$C$13</f>
        <v>176.76425375302642</v>
      </c>
      <c r="AN75" s="9">
        <f>-2*AL75/Inputs!$C$14</f>
        <v>26.541179242196161</v>
      </c>
      <c r="AO75" s="9">
        <f t="shared" si="34"/>
        <v>176.76425375302642</v>
      </c>
      <c r="AP75" s="9">
        <f t="shared" si="35"/>
        <v>26.541179242196161</v>
      </c>
      <c r="AQ75" s="9">
        <f>IF(OR(Inputs!$C$27=TRUE,Inputs!$C$27="TRUE",Inputs!$C$27=1),Inputs!$C$46/Inputs!$C$12,0)</f>
        <v>0</v>
      </c>
      <c r="AR75" s="9">
        <f t="shared" si="36"/>
        <v>823.94602583296285</v>
      </c>
      <c r="AS75" s="9">
        <f t="shared" si="37"/>
        <v>823.94602583296285</v>
      </c>
    </row>
    <row r="76" spans="1:45">
      <c r="A76" s="9">
        <f>Inputs!$C$7+74*(Inputs!$C$8-Inputs!$C$7)/240</f>
        <v>-23</v>
      </c>
      <c r="B76" s="9">
        <f>Inputs!$C$5+Inputs!$C$9*(A76/Inputs!$C$10)^2</f>
        <v>400.58777777777777</v>
      </c>
      <c r="C76" s="9">
        <f t="shared" si="19"/>
        <v>400.58777777777777</v>
      </c>
      <c r="D76" s="9">
        <f>SQRT(A76^2+Inputs!$C$6^2+B76^2)</f>
        <v>402.02558090865097</v>
      </c>
      <c r="E76" s="9">
        <f t="shared" si="20"/>
        <v>1437.803130873192</v>
      </c>
      <c r="F76" s="9">
        <f>E76/Inputs!$C$12</f>
        <v>807.75456790628766</v>
      </c>
      <c r="G76" s="9">
        <f>2*E76/Inputs!$C$21*1000000</f>
        <v>9.5919900084557295</v>
      </c>
      <c r="H76" s="9">
        <f>SQRT(A76^2+Inputs!$C$6^2)</f>
        <v>33.97057550292606</v>
      </c>
      <c r="I76" s="9">
        <f t="shared" si="21"/>
        <v>4.8471897122057523</v>
      </c>
      <c r="J76" s="9">
        <f>DEGREES((2*PI()/Inputs!$C$13)*Inputs!$C$15*SIN(RADIANS(I76)))</f>
        <v>30.419475182182925</v>
      </c>
      <c r="K76" s="9">
        <f t="shared" si="22"/>
        <v>0.98577097239319311</v>
      </c>
      <c r="L76" s="9">
        <f t="shared" si="23"/>
        <v>-6.2239744903502342E-2</v>
      </c>
      <c r="M76" s="9">
        <f>2*(Inputs!$C$9/(Inputs!$C$10^2))*A76</f>
        <v>-5.1111111111111114E-2</v>
      </c>
      <c r="N76" s="9">
        <f>M76*Inputs!$C$11</f>
        <v>-0.20444444444444446</v>
      </c>
      <c r="O76" s="9">
        <f>1000*((A76*Inputs!$C$11)+(B76*N76))/D76</f>
        <v>-432.55442921311464</v>
      </c>
      <c r="P76" s="9">
        <f>-2*O76/Inputs!$C$13</f>
        <v>173.02177168524585</v>
      </c>
      <c r="Q76" s="9">
        <f>-2*O76/Inputs!$C$14</f>
        <v>25.979244997784665</v>
      </c>
      <c r="R76" s="9">
        <f>F76-Inputs!$C$16/2</f>
        <v>792.75456790628766</v>
      </c>
      <c r="S76" s="9">
        <f>F76+Inputs!$C$16/2</f>
        <v>822.75456790628766</v>
      </c>
      <c r="T76" s="9">
        <f>F76-Inputs!$C$17/2</f>
        <v>657.75456790628766</v>
      </c>
      <c r="U76" s="9">
        <f>F76+Inputs!$C$17/2</f>
        <v>957.75456790628766</v>
      </c>
      <c r="V76" s="9">
        <f t="shared" si="24"/>
        <v>173.02177168524585</v>
      </c>
      <c r="W76" s="9">
        <f t="shared" si="25"/>
        <v>25.979244997784665</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0</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0</v>
      </c>
      <c r="Z76" s="9">
        <f t="shared" si="26"/>
        <v>400.58777777777777</v>
      </c>
      <c r="AA76" s="9">
        <f>SQRT(A76^2+Inputs!$C$6^2+(B76-Y76/1000)^2)</f>
        <v>402.02558090865097</v>
      </c>
      <c r="AB76" s="9">
        <f t="shared" si="27"/>
        <v>1437.803130873192</v>
      </c>
      <c r="AC76" s="9">
        <f>AB76/Inputs!$C$12</f>
        <v>807.75456790628766</v>
      </c>
      <c r="AD76" s="9">
        <f>2*AB76/Inputs!$C$21*1000000</f>
        <v>9.5919900084557295</v>
      </c>
      <c r="AE76" s="9">
        <f t="shared" si="28"/>
        <v>4.8471897122057523</v>
      </c>
      <c r="AF76" s="9">
        <f>DEGREES((2*PI()/Inputs!$C$13)*Inputs!$C$15*SIN(RADIANS(AE76)))</f>
        <v>30.419475182182925</v>
      </c>
      <c r="AG76" s="9">
        <f t="shared" si="29"/>
        <v>0.98577097239319311</v>
      </c>
      <c r="AH76" s="9">
        <f t="shared" si="30"/>
        <v>-6.2239744903502342E-2</v>
      </c>
      <c r="AI76" s="9">
        <f t="shared" si="31"/>
        <v>0</v>
      </c>
      <c r="AJ76" s="9">
        <f t="shared" si="32"/>
        <v>0</v>
      </c>
      <c r="AK76" s="9">
        <f t="shared" si="33"/>
        <v>0</v>
      </c>
      <c r="AL76" s="9">
        <f>1000*(AA77-AA75)/(A77-A75)*Inputs!$C$11</f>
        <v>-432.55394117318247</v>
      </c>
      <c r="AM76" s="9">
        <f>-2*AL76/Inputs!$C$13</f>
        <v>173.02157646927299</v>
      </c>
      <c r="AN76" s="9">
        <f>-2*AL76/Inputs!$C$14</f>
        <v>25.979215686077026</v>
      </c>
      <c r="AO76" s="9">
        <f t="shared" si="34"/>
        <v>173.02157646927299</v>
      </c>
      <c r="AP76" s="9">
        <f t="shared" si="35"/>
        <v>25.979215686077026</v>
      </c>
      <c r="AQ76" s="9">
        <f>IF(OR(Inputs!$C$27=TRUE,Inputs!$C$27="TRUE",Inputs!$C$27=1),Inputs!$C$46/Inputs!$C$12,0)</f>
        <v>0</v>
      </c>
      <c r="AR76" s="9">
        <f t="shared" si="36"/>
        <v>807.75456790628766</v>
      </c>
      <c r="AS76" s="9">
        <f t="shared" si="37"/>
        <v>807.75456790628766</v>
      </c>
    </row>
    <row r="77" spans="1:45">
      <c r="A77" s="9">
        <f>Inputs!$C$7+75*(Inputs!$C$8-Inputs!$C$7)/240</f>
        <v>-22.5</v>
      </c>
      <c r="B77" s="9">
        <f>Inputs!$C$5+Inputs!$C$9*(A77/Inputs!$C$10)^2</f>
        <v>400.5625</v>
      </c>
      <c r="C77" s="9">
        <f t="shared" si="19"/>
        <v>400.5625</v>
      </c>
      <c r="D77" s="9">
        <f>SQRT(A77^2+Inputs!$C$6^2+B77^2)</f>
        <v>401.97209655180046</v>
      </c>
      <c r="E77" s="9">
        <f t="shared" si="20"/>
        <v>1409.5965518004618</v>
      </c>
      <c r="F77" s="9">
        <f>E77/Inputs!$C$12</f>
        <v>791.90817516879872</v>
      </c>
      <c r="G77" s="9">
        <f>2*E77/Inputs!$C$21*1000000</f>
        <v>9.4038159679151221</v>
      </c>
      <c r="H77" s="9">
        <f>SQRT(A77^2+Inputs!$C$6^2)</f>
        <v>33.634060117684278</v>
      </c>
      <c r="I77" s="9">
        <f t="shared" si="21"/>
        <v>4.7996999053579179</v>
      </c>
      <c r="J77" s="9">
        <f>DEGREES((2*PI()/Inputs!$C$13)*Inputs!$C$15*SIN(RADIANS(I77)))</f>
        <v>30.122144661864603</v>
      </c>
      <c r="K77" s="9">
        <f t="shared" si="22"/>
        <v>0.98604679947905038</v>
      </c>
      <c r="L77" s="9">
        <f t="shared" si="23"/>
        <v>-6.1024722056691634E-2</v>
      </c>
      <c r="M77" s="9">
        <f>2*(Inputs!$C$9/(Inputs!$C$10^2))*A77</f>
        <v>-0.05</v>
      </c>
      <c r="N77" s="9">
        <f>M77*Inputs!$C$11</f>
        <v>-0.2</v>
      </c>
      <c r="O77" s="9">
        <f>1000*((A77*Inputs!$C$11)+(B77*N77))/D77</f>
        <v>-423.19479749778679</v>
      </c>
      <c r="P77" s="9">
        <f>-2*O77/Inputs!$C$13</f>
        <v>169.27791899911472</v>
      </c>
      <c r="Q77" s="9">
        <f>-2*O77/Inputs!$C$14</f>
        <v>25.417104954822033</v>
      </c>
      <c r="R77" s="9">
        <f>F77-Inputs!$C$16/2</f>
        <v>776.90817516879872</v>
      </c>
      <c r="S77" s="9">
        <f>F77+Inputs!$C$16/2</f>
        <v>806.90817516879872</v>
      </c>
      <c r="T77" s="9">
        <f>F77-Inputs!$C$17/2</f>
        <v>641.90817516879872</v>
      </c>
      <c r="U77" s="9">
        <f>F77+Inputs!$C$17/2</f>
        <v>941.90817516879872</v>
      </c>
      <c r="V77" s="9">
        <f t="shared" si="24"/>
        <v>169.27791899911472</v>
      </c>
      <c r="W77" s="9">
        <f t="shared" si="25"/>
        <v>25.417104954822033</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0</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0</v>
      </c>
      <c r="Z77" s="9">
        <f t="shared" si="26"/>
        <v>400.5625</v>
      </c>
      <c r="AA77" s="9">
        <f>SQRT(A77^2+Inputs!$C$6^2+(B77-Y77/1000)^2)</f>
        <v>401.97209655180046</v>
      </c>
      <c r="AB77" s="9">
        <f t="shared" si="27"/>
        <v>1409.5965518004618</v>
      </c>
      <c r="AC77" s="9">
        <f>AB77/Inputs!$C$12</f>
        <v>791.90817516879872</v>
      </c>
      <c r="AD77" s="9">
        <f>2*AB77/Inputs!$C$21*1000000</f>
        <v>9.4038159679151221</v>
      </c>
      <c r="AE77" s="9">
        <f t="shared" si="28"/>
        <v>4.7996999053579179</v>
      </c>
      <c r="AF77" s="9">
        <f>DEGREES((2*PI()/Inputs!$C$13)*Inputs!$C$15*SIN(RADIANS(AE77)))</f>
        <v>30.122144661864603</v>
      </c>
      <c r="AG77" s="9">
        <f t="shared" si="29"/>
        <v>0.98604679947905038</v>
      </c>
      <c r="AH77" s="9">
        <f t="shared" si="30"/>
        <v>-6.1024722056691634E-2</v>
      </c>
      <c r="AI77" s="9">
        <f t="shared" si="31"/>
        <v>0</v>
      </c>
      <c r="AJ77" s="9">
        <f t="shared" si="32"/>
        <v>0</v>
      </c>
      <c r="AK77" s="9">
        <f t="shared" si="33"/>
        <v>0</v>
      </c>
      <c r="AL77" s="9">
        <f>1000*(AA78-AA76)/(A78-A76)*Inputs!$C$11</f>
        <v>-423.19431974965482</v>
      </c>
      <c r="AM77" s="9">
        <f>-2*AL77/Inputs!$C$13</f>
        <v>169.27772789986193</v>
      </c>
      <c r="AN77" s="9">
        <f>-2*AL77/Inputs!$C$14</f>
        <v>25.417076261240531</v>
      </c>
      <c r="AO77" s="9">
        <f t="shared" si="34"/>
        <v>169.27772789986193</v>
      </c>
      <c r="AP77" s="9">
        <f t="shared" si="35"/>
        <v>25.417076261240531</v>
      </c>
      <c r="AQ77" s="9">
        <f>IF(OR(Inputs!$C$27=TRUE,Inputs!$C$27="TRUE",Inputs!$C$27=1),Inputs!$C$46/Inputs!$C$12,0)</f>
        <v>0</v>
      </c>
      <c r="AR77" s="9">
        <f t="shared" si="36"/>
        <v>791.90817516879872</v>
      </c>
      <c r="AS77" s="9">
        <f t="shared" si="37"/>
        <v>791.90817516879872</v>
      </c>
    </row>
    <row r="78" spans="1:45">
      <c r="A78" s="9">
        <f>Inputs!$C$7+76*(Inputs!$C$8-Inputs!$C$7)/240</f>
        <v>-22</v>
      </c>
      <c r="B78" s="9">
        <f>Inputs!$C$5+Inputs!$C$9*(A78/Inputs!$C$10)^2</f>
        <v>400.53777777777776</v>
      </c>
      <c r="C78" s="9">
        <f t="shared" si="19"/>
        <v>400.53777777777776</v>
      </c>
      <c r="D78" s="9">
        <f>SQRT(A78^2+Inputs!$C$6^2+B78^2)</f>
        <v>401.91978232871355</v>
      </c>
      <c r="E78" s="9">
        <f t="shared" si="20"/>
        <v>1382.0045509357897</v>
      </c>
      <c r="F78" s="9">
        <f>E78/Inputs!$C$12</f>
        <v>776.40705108752229</v>
      </c>
      <c r="G78" s="9">
        <f>2*E78/Inputs!$C$21*1000000</f>
        <v>9.2197419518525017</v>
      </c>
      <c r="H78" s="9">
        <f>SQRT(A78^2+Inputs!$C$6^2)</f>
        <v>33.301651610693426</v>
      </c>
      <c r="I78" s="9">
        <f t="shared" si="21"/>
        <v>4.7527743752411666</v>
      </c>
      <c r="J78" s="9">
        <f>DEGREES((2*PI()/Inputs!$C$13)*Inputs!$C$15*SIN(RADIANS(I78)))</f>
        <v>29.828326713325737</v>
      </c>
      <c r="K78" s="9">
        <f t="shared" si="22"/>
        <v>0.98631674392904456</v>
      </c>
      <c r="L78" s="9">
        <f t="shared" si="23"/>
        <v>-5.9835941355723024E-2</v>
      </c>
      <c r="M78" s="9">
        <f>2*(Inputs!$C$9/(Inputs!$C$10^2))*A78</f>
        <v>-4.8888888888888891E-2</v>
      </c>
      <c r="N78" s="9">
        <f>M78*Inputs!$C$11</f>
        <v>-0.19555555555555557</v>
      </c>
      <c r="O78" s="9">
        <f>1000*((A78*Inputs!$C$11)+(B78*N78))/D78</f>
        <v>-413.83229929769595</v>
      </c>
      <c r="P78" s="9">
        <f>-2*O78/Inputs!$C$13</f>
        <v>165.53291971907839</v>
      </c>
      <c r="Q78" s="9">
        <f>-2*O78/Inputs!$C$14</f>
        <v>24.854792750612372</v>
      </c>
      <c r="R78" s="9">
        <f>F78-Inputs!$C$16/2</f>
        <v>761.40705108752229</v>
      </c>
      <c r="S78" s="9">
        <f>F78+Inputs!$C$16/2</f>
        <v>791.40705108752229</v>
      </c>
      <c r="T78" s="9">
        <f>F78-Inputs!$C$17/2</f>
        <v>626.40705108752229</v>
      </c>
      <c r="U78" s="9">
        <f>F78+Inputs!$C$17/2</f>
        <v>926.40705108752229</v>
      </c>
      <c r="V78" s="9">
        <f t="shared" si="24"/>
        <v>165.53291971907839</v>
      </c>
      <c r="W78" s="9">
        <f t="shared" si="25"/>
        <v>24.854792750612372</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0</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0</v>
      </c>
      <c r="Z78" s="9">
        <f t="shared" si="26"/>
        <v>400.53777777777776</v>
      </c>
      <c r="AA78" s="9">
        <f>SQRT(A78^2+Inputs!$C$6^2+(B78-Y78/1000)^2)</f>
        <v>401.91978232871355</v>
      </c>
      <c r="AB78" s="9">
        <f t="shared" si="27"/>
        <v>1382.0045509357897</v>
      </c>
      <c r="AC78" s="9">
        <f>AB78/Inputs!$C$12</f>
        <v>776.40705108752229</v>
      </c>
      <c r="AD78" s="9">
        <f>2*AB78/Inputs!$C$21*1000000</f>
        <v>9.2197419518525017</v>
      </c>
      <c r="AE78" s="9">
        <f t="shared" si="28"/>
        <v>4.7527743752411666</v>
      </c>
      <c r="AF78" s="9">
        <f>DEGREES((2*PI()/Inputs!$C$13)*Inputs!$C$15*SIN(RADIANS(AE78)))</f>
        <v>29.828326713325737</v>
      </c>
      <c r="AG78" s="9">
        <f t="shared" si="29"/>
        <v>0.98631674392904456</v>
      </c>
      <c r="AH78" s="9">
        <f t="shared" si="30"/>
        <v>-5.9835941355723024E-2</v>
      </c>
      <c r="AI78" s="9">
        <f t="shared" si="31"/>
        <v>0</v>
      </c>
      <c r="AJ78" s="9">
        <f t="shared" si="32"/>
        <v>0</v>
      </c>
      <c r="AK78" s="9">
        <f t="shared" si="33"/>
        <v>0</v>
      </c>
      <c r="AL78" s="9">
        <f>1000*(AA79-AA77)/(A79-A77)*Inputs!$C$11</f>
        <v>-413.83183186189854</v>
      </c>
      <c r="AM78" s="9">
        <f>-2*AL78/Inputs!$C$13</f>
        <v>165.53273274475941</v>
      </c>
      <c r="AN78" s="9">
        <f>-2*AL78/Inputs!$C$14</f>
        <v>24.854764676390303</v>
      </c>
      <c r="AO78" s="9">
        <f t="shared" si="34"/>
        <v>165.53273274475941</v>
      </c>
      <c r="AP78" s="9">
        <f t="shared" si="35"/>
        <v>24.854764676390303</v>
      </c>
      <c r="AQ78" s="9">
        <f>IF(OR(Inputs!$C$27=TRUE,Inputs!$C$27="TRUE",Inputs!$C$27=1),Inputs!$C$46/Inputs!$C$12,0)</f>
        <v>0</v>
      </c>
      <c r="AR78" s="9">
        <f t="shared" si="36"/>
        <v>776.40705108752229</v>
      </c>
      <c r="AS78" s="9">
        <f t="shared" si="37"/>
        <v>776.40705108752229</v>
      </c>
    </row>
    <row r="79" spans="1:45">
      <c r="A79" s="9">
        <f>Inputs!$C$7+77*(Inputs!$C$8-Inputs!$C$7)/240</f>
        <v>-21.5</v>
      </c>
      <c r="B79" s="9">
        <f>Inputs!$C$5+Inputs!$C$9*(A79/Inputs!$C$10)^2</f>
        <v>400.51361111111112</v>
      </c>
      <c r="C79" s="9">
        <f t="shared" si="19"/>
        <v>400.51361111111112</v>
      </c>
      <c r="D79" s="9">
        <f>SQRT(A79^2+Inputs!$C$6^2+B79^2)</f>
        <v>401.86863859383499</v>
      </c>
      <c r="E79" s="9">
        <f t="shared" si="20"/>
        <v>1355.0274827238695</v>
      </c>
      <c r="F79" s="9">
        <f>E79/Inputs!$C$12</f>
        <v>761.25139478869073</v>
      </c>
      <c r="G79" s="9">
        <f>2*E79/Inputs!$C$21*1000000</f>
        <v>9.0397703248683428</v>
      </c>
      <c r="H79" s="9">
        <f>SQRT(A79^2+Inputs!$C$6^2)</f>
        <v>32.973474187595095</v>
      </c>
      <c r="I79" s="9">
        <f t="shared" si="21"/>
        <v>4.7064313676414065</v>
      </c>
      <c r="J79" s="9">
        <f>DEGREES((2*PI()/Inputs!$C$13)*Inputs!$C$15*SIN(RADIANS(I79)))</f>
        <v>29.538136514134887</v>
      </c>
      <c r="K79" s="9">
        <f t="shared" si="22"/>
        <v>0.9865807939326916</v>
      </c>
      <c r="L79" s="9">
        <f t="shared" si="23"/>
        <v>-5.8673433338814543E-2</v>
      </c>
      <c r="M79" s="9">
        <f>2*(Inputs!$C$9/(Inputs!$C$10^2))*A79</f>
        <v>-4.777777777777778E-2</v>
      </c>
      <c r="N79" s="9">
        <f>M79*Inputs!$C$11</f>
        <v>-0.19111111111111112</v>
      </c>
      <c r="O79" s="9">
        <f>1000*((A79*Inputs!$C$11)+(B79*N79))/D79</f>
        <v>-404.46699648749711</v>
      </c>
      <c r="P79" s="9">
        <f>-2*O79/Inputs!$C$13</f>
        <v>161.78679859499886</v>
      </c>
      <c r="Q79" s="9">
        <f>-2*O79/Inputs!$C$14</f>
        <v>24.292312101351179</v>
      </c>
      <c r="R79" s="9">
        <f>F79-Inputs!$C$16/2</f>
        <v>746.25139478869073</v>
      </c>
      <c r="S79" s="9">
        <f>F79+Inputs!$C$16/2</f>
        <v>776.25139478869073</v>
      </c>
      <c r="T79" s="9">
        <f>F79-Inputs!$C$17/2</f>
        <v>611.25139478869073</v>
      </c>
      <c r="U79" s="9">
        <f>F79+Inputs!$C$17/2</f>
        <v>911.25139478869073</v>
      </c>
      <c r="V79" s="9">
        <f t="shared" si="24"/>
        <v>161.78679859499886</v>
      </c>
      <c r="W79" s="9">
        <f t="shared" si="25"/>
        <v>24.292312101351179</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0</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0</v>
      </c>
      <c r="Z79" s="9">
        <f t="shared" si="26"/>
        <v>400.51361111111112</v>
      </c>
      <c r="AA79" s="9">
        <f>SQRT(A79^2+Inputs!$C$6^2+(B79-Y79/1000)^2)</f>
        <v>401.86863859383499</v>
      </c>
      <c r="AB79" s="9">
        <f t="shared" si="27"/>
        <v>1355.0274827238695</v>
      </c>
      <c r="AC79" s="9">
        <f>AB79/Inputs!$C$12</f>
        <v>761.25139478869073</v>
      </c>
      <c r="AD79" s="9">
        <f>2*AB79/Inputs!$C$21*1000000</f>
        <v>9.0397703248683428</v>
      </c>
      <c r="AE79" s="9">
        <f t="shared" si="28"/>
        <v>4.7064313676414065</v>
      </c>
      <c r="AF79" s="9">
        <f>DEGREES((2*PI()/Inputs!$C$13)*Inputs!$C$15*SIN(RADIANS(AE79)))</f>
        <v>29.538136514134887</v>
      </c>
      <c r="AG79" s="9">
        <f t="shared" si="29"/>
        <v>0.9865807939326916</v>
      </c>
      <c r="AH79" s="9">
        <f t="shared" si="30"/>
        <v>-5.8673433338814543E-2</v>
      </c>
      <c r="AI79" s="9">
        <f t="shared" si="31"/>
        <v>0</v>
      </c>
      <c r="AJ79" s="9">
        <f t="shared" si="32"/>
        <v>0</v>
      </c>
      <c r="AK79" s="9">
        <f t="shared" si="33"/>
        <v>0</v>
      </c>
      <c r="AL79" s="9">
        <f>1000*(AA80-AA78)/(A80-A78)*Inputs!$C$11</f>
        <v>-404.46653938442978</v>
      </c>
      <c r="AM79" s="9">
        <f>-2*AL79/Inputs!$C$13</f>
        <v>161.78661575377191</v>
      </c>
      <c r="AN79" s="9">
        <f>-2*AL79/Inputs!$C$14</f>
        <v>24.292284647713501</v>
      </c>
      <c r="AO79" s="9">
        <f t="shared" si="34"/>
        <v>161.78661575377191</v>
      </c>
      <c r="AP79" s="9">
        <f t="shared" si="35"/>
        <v>24.292284647713501</v>
      </c>
      <c r="AQ79" s="9">
        <f>IF(OR(Inputs!$C$27=TRUE,Inputs!$C$27="TRUE",Inputs!$C$27=1),Inputs!$C$46/Inputs!$C$12,0)</f>
        <v>0</v>
      </c>
      <c r="AR79" s="9">
        <f t="shared" si="36"/>
        <v>761.25139478869073</v>
      </c>
      <c r="AS79" s="9">
        <f t="shared" si="37"/>
        <v>761.25139478869073</v>
      </c>
    </row>
    <row r="80" spans="1:45">
      <c r="A80" s="9">
        <f>Inputs!$C$7+78*(Inputs!$C$8-Inputs!$C$7)/240</f>
        <v>-21</v>
      </c>
      <c r="B80" s="9">
        <f>Inputs!$C$5+Inputs!$C$9*(A80/Inputs!$C$10)^2</f>
        <v>400.49</v>
      </c>
      <c r="C80" s="9">
        <f t="shared" si="19"/>
        <v>400.49</v>
      </c>
      <c r="D80" s="9">
        <f>SQRT(A80^2+Inputs!$C$6^2+B80^2)</f>
        <v>401.81866569386744</v>
      </c>
      <c r="E80" s="9">
        <f t="shared" si="20"/>
        <v>1328.6656938674355</v>
      </c>
      <c r="F80" s="9">
        <f>E80/Inputs!$C$12</f>
        <v>746.44140104912105</v>
      </c>
      <c r="G80" s="9">
        <f>2*E80/Inputs!$C$21*1000000</f>
        <v>8.8639033999143209</v>
      </c>
      <c r="H80" s="9">
        <f>SQRT(A80^2+Inputs!$C$6^2)</f>
        <v>32.649655434629018</v>
      </c>
      <c r="I80" s="9">
        <f t="shared" si="21"/>
        <v>4.6606896104389781</v>
      </c>
      <c r="J80" s="9">
        <f>DEGREES((2*PI()/Inputs!$C$13)*Inputs!$C$15*SIN(RADIANS(I80)))</f>
        <v>29.251692268127087</v>
      </c>
      <c r="K80" s="9">
        <f t="shared" si="22"/>
        <v>0.98683893792754807</v>
      </c>
      <c r="L80" s="9">
        <f t="shared" si="23"/>
        <v>-5.7537227884575999E-2</v>
      </c>
      <c r="M80" s="9">
        <f>2*(Inputs!$C$9/(Inputs!$C$10^2))*A80</f>
        <v>-4.6666666666666669E-2</v>
      </c>
      <c r="N80" s="9">
        <f>M80*Inputs!$C$11</f>
        <v>-0.18666666666666668</v>
      </c>
      <c r="O80" s="9">
        <f>1000*((A80*Inputs!$C$11)+(B80*N80))/D80</f>
        <v>-395.09895106337837</v>
      </c>
      <c r="P80" s="9">
        <f>-2*O80/Inputs!$C$13</f>
        <v>158.03958042535135</v>
      </c>
      <c r="Q80" s="9">
        <f>-2*O80/Inputs!$C$14</f>
        <v>23.729666730533236</v>
      </c>
      <c r="R80" s="9">
        <f>F80-Inputs!$C$16/2</f>
        <v>731.44140104912105</v>
      </c>
      <c r="S80" s="9">
        <f>F80+Inputs!$C$16/2</f>
        <v>761.44140104912105</v>
      </c>
      <c r="T80" s="9">
        <f>F80-Inputs!$C$17/2</f>
        <v>596.44140104912105</v>
      </c>
      <c r="U80" s="9">
        <f>F80+Inputs!$C$17/2</f>
        <v>896.44140104912105</v>
      </c>
      <c r="V80" s="9">
        <f t="shared" si="24"/>
        <v>158.03958042535135</v>
      </c>
      <c r="W80" s="9">
        <f t="shared" si="25"/>
        <v>23.729666730533236</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0</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0</v>
      </c>
      <c r="Z80" s="9">
        <f t="shared" si="26"/>
        <v>400.49</v>
      </c>
      <c r="AA80" s="9">
        <f>SQRT(A80^2+Inputs!$C$6^2+(B80-Y80/1000)^2)</f>
        <v>401.81866569386744</v>
      </c>
      <c r="AB80" s="9">
        <f t="shared" si="27"/>
        <v>1328.6656938674355</v>
      </c>
      <c r="AC80" s="9">
        <f>AB80/Inputs!$C$12</f>
        <v>746.44140104912105</v>
      </c>
      <c r="AD80" s="9">
        <f>2*AB80/Inputs!$C$21*1000000</f>
        <v>8.8639033999143209</v>
      </c>
      <c r="AE80" s="9">
        <f t="shared" si="28"/>
        <v>4.6606896104389781</v>
      </c>
      <c r="AF80" s="9">
        <f>DEGREES((2*PI()/Inputs!$C$13)*Inputs!$C$15*SIN(RADIANS(AE80)))</f>
        <v>29.251692268127087</v>
      </c>
      <c r="AG80" s="9">
        <f t="shared" si="29"/>
        <v>0.98683893792754807</v>
      </c>
      <c r="AH80" s="9">
        <f t="shared" si="30"/>
        <v>-5.7537227884575999E-2</v>
      </c>
      <c r="AI80" s="9">
        <f t="shared" si="31"/>
        <v>0</v>
      </c>
      <c r="AJ80" s="9">
        <f t="shared" si="32"/>
        <v>0</v>
      </c>
      <c r="AK80" s="9">
        <f t="shared" si="33"/>
        <v>0</v>
      </c>
      <c r="AL80" s="9">
        <f>1000*(AA81-AA79)/(A81-A79)*Inputs!$C$11</f>
        <v>-395.0985043129549</v>
      </c>
      <c r="AM80" s="9">
        <f>-2*AL80/Inputs!$C$13</f>
        <v>158.03940172518196</v>
      </c>
      <c r="AN80" s="9">
        <f>-2*AL80/Inputs!$C$14</f>
        <v>23.729639898675973</v>
      </c>
      <c r="AO80" s="9">
        <f t="shared" si="34"/>
        <v>158.03940172518196</v>
      </c>
      <c r="AP80" s="9">
        <f t="shared" si="35"/>
        <v>23.729639898675973</v>
      </c>
      <c r="AQ80" s="9">
        <f>IF(OR(Inputs!$C$27=TRUE,Inputs!$C$27="TRUE",Inputs!$C$27=1),Inputs!$C$46/Inputs!$C$12,0)</f>
        <v>0</v>
      </c>
      <c r="AR80" s="9">
        <f t="shared" si="36"/>
        <v>746.44140104912105</v>
      </c>
      <c r="AS80" s="9">
        <f t="shared" si="37"/>
        <v>746.44140104912105</v>
      </c>
    </row>
    <row r="81" spans="1:45">
      <c r="A81" s="9">
        <f>Inputs!$C$7+79*(Inputs!$C$8-Inputs!$C$7)/240</f>
        <v>-20.5</v>
      </c>
      <c r="B81" s="9">
        <f>Inputs!$C$5+Inputs!$C$9*(A81/Inputs!$C$10)^2</f>
        <v>400.46694444444444</v>
      </c>
      <c r="C81" s="9">
        <f t="shared" si="19"/>
        <v>400.46694444444444</v>
      </c>
      <c r="D81" s="9">
        <f>SQRT(A81^2+Inputs!$C$6^2+B81^2)</f>
        <v>401.76986396775675</v>
      </c>
      <c r="E81" s="9">
        <f t="shared" si="20"/>
        <v>1302.9195233123119</v>
      </c>
      <c r="F81" s="9">
        <f>E81/Inputs!$C$12</f>
        <v>731.97726028781562</v>
      </c>
      <c r="G81" s="9">
        <f>2*E81/Inputs!$C$21*1000000</f>
        <v>8.6921434381935772</v>
      </c>
      <c r="H81" s="9">
        <f>SQRT(A81^2+Inputs!$C$6^2)</f>
        <v>32.330326320654422</v>
      </c>
      <c r="I81" s="9">
        <f t="shared" si="21"/>
        <v>4.6155683136934407</v>
      </c>
      <c r="J81" s="9">
        <f>DEGREES((2*PI()/Inputs!$C$13)*Inputs!$C$15*SIN(RADIANS(I81)))</f>
        <v>28.969115205638342</v>
      </c>
      <c r="K81" s="9">
        <f t="shared" si="22"/>
        <v>0.98709116460036606</v>
      </c>
      <c r="L81" s="9">
        <f t="shared" si="23"/>
        <v>-5.6427354210228965E-2</v>
      </c>
      <c r="M81" s="9">
        <f>2*(Inputs!$C$9/(Inputs!$C$10^2))*A81</f>
        <v>-4.5555555555555557E-2</v>
      </c>
      <c r="N81" s="9">
        <f>M81*Inputs!$C$11</f>
        <v>-0.18222222222222223</v>
      </c>
      <c r="O81" s="9">
        <f>1000*((A81*Inputs!$C$11)+(B81*N81))/D81</f>
        <v>-385.72822514046749</v>
      </c>
      <c r="P81" s="9">
        <f>-2*O81/Inputs!$C$13</f>
        <v>154.29129005618699</v>
      </c>
      <c r="Q81" s="9">
        <f>-2*O81/Inputs!$C$14</f>
        <v>23.166860368796847</v>
      </c>
      <c r="R81" s="9">
        <f>F81-Inputs!$C$16/2</f>
        <v>716.97726028781562</v>
      </c>
      <c r="S81" s="9">
        <f>F81+Inputs!$C$16/2</f>
        <v>746.97726028781562</v>
      </c>
      <c r="T81" s="9">
        <f>F81-Inputs!$C$17/2</f>
        <v>581.97726028781562</v>
      </c>
      <c r="U81" s="9">
        <f>F81+Inputs!$C$17/2</f>
        <v>881.97726028781562</v>
      </c>
      <c r="V81" s="9">
        <f t="shared" si="24"/>
        <v>154.29129005618699</v>
      </c>
      <c r="W81" s="9">
        <f t="shared" si="25"/>
        <v>23.166860368796847</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0</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0</v>
      </c>
      <c r="Z81" s="9">
        <f t="shared" si="26"/>
        <v>400.46694444444444</v>
      </c>
      <c r="AA81" s="9">
        <f>SQRT(A81^2+Inputs!$C$6^2+(B81-Y81/1000)^2)</f>
        <v>401.76986396775675</v>
      </c>
      <c r="AB81" s="9">
        <f t="shared" si="27"/>
        <v>1302.9195233123119</v>
      </c>
      <c r="AC81" s="9">
        <f>AB81/Inputs!$C$12</f>
        <v>731.97726028781562</v>
      </c>
      <c r="AD81" s="9">
        <f>2*AB81/Inputs!$C$21*1000000</f>
        <v>8.6921434381935772</v>
      </c>
      <c r="AE81" s="9">
        <f t="shared" si="28"/>
        <v>4.6155683136934407</v>
      </c>
      <c r="AF81" s="9">
        <f>DEGREES((2*PI()/Inputs!$C$13)*Inputs!$C$15*SIN(RADIANS(AE81)))</f>
        <v>28.969115205638342</v>
      </c>
      <c r="AG81" s="9">
        <f t="shared" si="29"/>
        <v>0.98709116460036606</v>
      </c>
      <c r="AH81" s="9">
        <f t="shared" si="30"/>
        <v>-5.6427354210228965E-2</v>
      </c>
      <c r="AI81" s="9">
        <f t="shared" si="31"/>
        <v>0</v>
      </c>
      <c r="AJ81" s="9">
        <f t="shared" si="32"/>
        <v>0</v>
      </c>
      <c r="AK81" s="9">
        <f t="shared" si="33"/>
        <v>0</v>
      </c>
      <c r="AL81" s="9">
        <f>1000*(AA82-AA80)/(A82-A80)*Inputs!$C$11</f>
        <v>-385.72778876186931</v>
      </c>
      <c r="AM81" s="9">
        <f>-2*AL81/Inputs!$C$13</f>
        <v>154.29111550474772</v>
      </c>
      <c r="AN81" s="9">
        <f>-2*AL81/Inputs!$C$14</f>
        <v>23.166834159872032</v>
      </c>
      <c r="AO81" s="9">
        <f t="shared" si="34"/>
        <v>154.29111550474772</v>
      </c>
      <c r="AP81" s="9">
        <f t="shared" si="35"/>
        <v>23.166834159872032</v>
      </c>
      <c r="AQ81" s="9">
        <f>IF(OR(Inputs!$C$27=TRUE,Inputs!$C$27="TRUE",Inputs!$C$27=1),Inputs!$C$46/Inputs!$C$12,0)</f>
        <v>0</v>
      </c>
      <c r="AR81" s="9">
        <f t="shared" si="36"/>
        <v>731.97726028781562</v>
      </c>
      <c r="AS81" s="9">
        <f t="shared" si="37"/>
        <v>731.97726028781562</v>
      </c>
    </row>
    <row r="82" spans="1:45">
      <c r="A82" s="9">
        <f>Inputs!$C$7+80*(Inputs!$C$8-Inputs!$C$7)/240</f>
        <v>-20</v>
      </c>
      <c r="B82" s="9">
        <f>Inputs!$C$5+Inputs!$C$9*(A82/Inputs!$C$10)^2</f>
        <v>400.44444444444446</v>
      </c>
      <c r="C82" s="9">
        <f t="shared" si="19"/>
        <v>400.44444444444446</v>
      </c>
      <c r="D82" s="9">
        <f>SQRT(A82^2+Inputs!$C$6^2+B82^2)</f>
        <v>401.72223374667698</v>
      </c>
      <c r="E82" s="9">
        <f t="shared" si="20"/>
        <v>1277.7893022325202</v>
      </c>
      <c r="F82" s="9">
        <f>E82/Inputs!$C$12</f>
        <v>717.85915855759561</v>
      </c>
      <c r="G82" s="9">
        <f>2*E82/Inputs!$C$21*1000000</f>
        <v>8.5244926490613739</v>
      </c>
      <c r="H82" s="9">
        <f>SQRT(A82^2+Inputs!$C$6^2)</f>
        <v>32.015621187164243</v>
      </c>
      <c r="I82" s="9">
        <f t="shared" si="21"/>
        <v>4.5710871679965557</v>
      </c>
      <c r="J82" s="9">
        <f>DEGREES((2*PI()/Inputs!$C$13)*Inputs!$C$15*SIN(RADIANS(I82)))</f>
        <v>28.690529572846842</v>
      </c>
      <c r="K82" s="9">
        <f t="shared" si="22"/>
        <v>0.98733746288822999</v>
      </c>
      <c r="L82" s="9">
        <f t="shared" si="23"/>
        <v>-5.5343840869841301E-2</v>
      </c>
      <c r="M82" s="9">
        <f>2*(Inputs!$C$9/(Inputs!$C$10^2))*A82</f>
        <v>-4.4444444444444446E-2</v>
      </c>
      <c r="N82" s="9">
        <f>M82*Inputs!$C$11</f>
        <v>-0.17777777777777778</v>
      </c>
      <c r="O82" s="9">
        <f>1000*((A82*Inputs!$C$11)+(B82*N82))/D82</f>
        <v>-376.35488095022765</v>
      </c>
      <c r="P82" s="9">
        <f>-2*O82/Inputs!$C$13</f>
        <v>150.54195238009106</v>
      </c>
      <c r="Q82" s="9">
        <f>-2*O82/Inputs!$C$14</f>
        <v>22.60389675376743</v>
      </c>
      <c r="R82" s="9">
        <f>F82-Inputs!$C$16/2</f>
        <v>702.85915855759561</v>
      </c>
      <c r="S82" s="9">
        <f>F82+Inputs!$C$16/2</f>
        <v>732.85915855759561</v>
      </c>
      <c r="T82" s="9">
        <f>F82-Inputs!$C$17/2</f>
        <v>567.85915855759561</v>
      </c>
      <c r="U82" s="9">
        <f>F82+Inputs!$C$17/2</f>
        <v>867.85915855759561</v>
      </c>
      <c r="V82" s="9">
        <f t="shared" si="24"/>
        <v>150.54195238009106</v>
      </c>
      <c r="W82" s="9">
        <f t="shared" si="25"/>
        <v>22.60389675376743</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0</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0</v>
      </c>
      <c r="Z82" s="9">
        <f t="shared" si="26"/>
        <v>400.44444444444446</v>
      </c>
      <c r="AA82" s="9">
        <f>SQRT(A82^2+Inputs!$C$6^2+(B82-Y82/1000)^2)</f>
        <v>401.72223374667698</v>
      </c>
      <c r="AB82" s="9">
        <f t="shared" si="27"/>
        <v>1277.7893022325202</v>
      </c>
      <c r="AC82" s="9">
        <f>AB82/Inputs!$C$12</f>
        <v>717.85915855759561</v>
      </c>
      <c r="AD82" s="9">
        <f>2*AB82/Inputs!$C$21*1000000</f>
        <v>8.5244926490613739</v>
      </c>
      <c r="AE82" s="9">
        <f t="shared" si="28"/>
        <v>4.5710871679965557</v>
      </c>
      <c r="AF82" s="9">
        <f>DEGREES((2*PI()/Inputs!$C$13)*Inputs!$C$15*SIN(RADIANS(AE82)))</f>
        <v>28.690529572846842</v>
      </c>
      <c r="AG82" s="9">
        <f t="shared" si="29"/>
        <v>0.98733746288822999</v>
      </c>
      <c r="AH82" s="9">
        <f t="shared" si="30"/>
        <v>-5.5343840869841301E-2</v>
      </c>
      <c r="AI82" s="9">
        <f t="shared" si="31"/>
        <v>0</v>
      </c>
      <c r="AJ82" s="9">
        <f t="shared" si="32"/>
        <v>0</v>
      </c>
      <c r="AK82" s="9">
        <f t="shared" si="33"/>
        <v>0</v>
      </c>
      <c r="AL82" s="9">
        <f>1000*(AA83-AA81)/(A83-A81)*Inputs!$C$11</f>
        <v>-376.35445496266584</v>
      </c>
      <c r="AM82" s="9">
        <f>-2*AL82/Inputs!$C$13</f>
        <v>150.54178198506634</v>
      </c>
      <c r="AN82" s="9">
        <f>-2*AL82/Inputs!$C$14</f>
        <v>22.60387116892888</v>
      </c>
      <c r="AO82" s="9">
        <f t="shared" si="34"/>
        <v>150.54178198506634</v>
      </c>
      <c r="AP82" s="9">
        <f t="shared" si="35"/>
        <v>22.60387116892888</v>
      </c>
      <c r="AQ82" s="9">
        <f>IF(OR(Inputs!$C$27=TRUE,Inputs!$C$27="TRUE",Inputs!$C$27=1),Inputs!$C$46/Inputs!$C$12,0)</f>
        <v>0</v>
      </c>
      <c r="AR82" s="9">
        <f t="shared" si="36"/>
        <v>717.85915855759561</v>
      </c>
      <c r="AS82" s="9">
        <f t="shared" si="37"/>
        <v>717.85915855759561</v>
      </c>
    </row>
    <row r="83" spans="1:45">
      <c r="A83" s="9">
        <f>Inputs!$C$7+81*(Inputs!$C$8-Inputs!$C$7)/240</f>
        <v>-19.5</v>
      </c>
      <c r="B83" s="9">
        <f>Inputs!$C$5+Inputs!$C$9*(A83/Inputs!$C$10)^2</f>
        <v>400.42250000000001</v>
      </c>
      <c r="C83" s="9">
        <f t="shared" si="19"/>
        <v>400.42250000000001</v>
      </c>
      <c r="D83" s="9">
        <f>SQRT(A83^2+Inputs!$C$6^2+B83^2)</f>
        <v>401.67577535401608</v>
      </c>
      <c r="E83" s="9">
        <f t="shared" si="20"/>
        <v>1253.2753540160684</v>
      </c>
      <c r="F83" s="9">
        <f>E83/Inputs!$C$12</f>
        <v>704.08727753711707</v>
      </c>
      <c r="G83" s="9">
        <f>2*E83/Inputs!$C$21*1000000</f>
        <v>8.3609531899302709</v>
      </c>
      <c r="H83" s="9">
        <f>SQRT(A83^2+Inputs!$C$6^2)</f>
        <v>31.705677724975381</v>
      </c>
      <c r="I83" s="9">
        <f t="shared" si="21"/>
        <v>4.527266340904271</v>
      </c>
      <c r="J83" s="9">
        <f>DEGREES((2*PI()/Inputs!$C$13)*Inputs!$C$15*SIN(RADIANS(I83)))</f>
        <v>28.416062609031858</v>
      </c>
      <c r="K83" s="9">
        <f t="shared" si="22"/>
        <v>0.98757782197966315</v>
      </c>
      <c r="L83" s="9">
        <f t="shared" si="23"/>
        <v>-5.4286715752628098E-2</v>
      </c>
      <c r="M83" s="9">
        <f>2*(Inputs!$C$9/(Inputs!$C$10^2))*A83</f>
        <v>-4.3333333333333335E-2</v>
      </c>
      <c r="N83" s="9">
        <f>M83*Inputs!$C$11</f>
        <v>-0.17333333333333334</v>
      </c>
      <c r="O83" s="9">
        <f>1000*((A83*Inputs!$C$11)+(B83*N83))/D83</f>
        <v>-366.97898083784162</v>
      </c>
      <c r="P83" s="9">
        <f>-2*O83/Inputs!$C$13</f>
        <v>146.79159233513664</v>
      </c>
      <c r="Q83" s="9">
        <f>-2*O83/Inputs!$C$14</f>
        <v>22.040779629900399</v>
      </c>
      <c r="R83" s="9">
        <f>F83-Inputs!$C$16/2</f>
        <v>689.08727753711707</v>
      </c>
      <c r="S83" s="9">
        <f>F83+Inputs!$C$16/2</f>
        <v>719.08727753711707</v>
      </c>
      <c r="T83" s="9">
        <f>F83-Inputs!$C$17/2</f>
        <v>554.08727753711707</v>
      </c>
      <c r="U83" s="9">
        <f>F83+Inputs!$C$17/2</f>
        <v>854.08727753711707</v>
      </c>
      <c r="V83" s="9">
        <f t="shared" si="24"/>
        <v>146.79159233513664</v>
      </c>
      <c r="W83" s="9">
        <f t="shared" si="25"/>
        <v>22.040779629900399</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0</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0</v>
      </c>
      <c r="Z83" s="9">
        <f t="shared" si="26"/>
        <v>400.42250000000001</v>
      </c>
      <c r="AA83" s="9">
        <f>SQRT(A83^2+Inputs!$C$6^2+(B83-Y83/1000)^2)</f>
        <v>401.67577535401608</v>
      </c>
      <c r="AB83" s="9">
        <f t="shared" si="27"/>
        <v>1253.2753540160684</v>
      </c>
      <c r="AC83" s="9">
        <f>AB83/Inputs!$C$12</f>
        <v>704.08727753711707</v>
      </c>
      <c r="AD83" s="9">
        <f>2*AB83/Inputs!$C$21*1000000</f>
        <v>8.3609531899302709</v>
      </c>
      <c r="AE83" s="9">
        <f t="shared" si="28"/>
        <v>4.527266340904271</v>
      </c>
      <c r="AF83" s="9">
        <f>DEGREES((2*PI()/Inputs!$C$13)*Inputs!$C$15*SIN(RADIANS(AE83)))</f>
        <v>28.416062609031858</v>
      </c>
      <c r="AG83" s="9">
        <f t="shared" si="29"/>
        <v>0.98757782197966315</v>
      </c>
      <c r="AH83" s="9">
        <f t="shared" si="30"/>
        <v>-5.4286715752628098E-2</v>
      </c>
      <c r="AI83" s="9">
        <f t="shared" si="31"/>
        <v>0</v>
      </c>
      <c r="AJ83" s="9">
        <f t="shared" si="32"/>
        <v>0</v>
      </c>
      <c r="AK83" s="9">
        <f t="shared" si="33"/>
        <v>0</v>
      </c>
      <c r="AL83" s="9">
        <f>1000*(AA84-AA82)/(A84-A82)*Inputs!$C$11</f>
        <v>-366.97856525984207</v>
      </c>
      <c r="AM83" s="9">
        <f>-2*AL83/Inputs!$C$13</f>
        <v>146.79142610393683</v>
      </c>
      <c r="AN83" s="9">
        <f>-2*AL83/Inputs!$C$14</f>
        <v>22.040754670260785</v>
      </c>
      <c r="AO83" s="9">
        <f t="shared" si="34"/>
        <v>146.79142610393683</v>
      </c>
      <c r="AP83" s="9">
        <f t="shared" si="35"/>
        <v>22.040754670260785</v>
      </c>
      <c r="AQ83" s="9">
        <f>IF(OR(Inputs!$C$27=TRUE,Inputs!$C$27="TRUE",Inputs!$C$27=1),Inputs!$C$46/Inputs!$C$12,0)</f>
        <v>0</v>
      </c>
      <c r="AR83" s="9">
        <f t="shared" si="36"/>
        <v>704.08727753711707</v>
      </c>
      <c r="AS83" s="9">
        <f t="shared" si="37"/>
        <v>704.08727753711707</v>
      </c>
    </row>
    <row r="84" spans="1:45">
      <c r="A84" s="9">
        <f>Inputs!$C$7+82*(Inputs!$C$8-Inputs!$C$7)/240</f>
        <v>-19</v>
      </c>
      <c r="B84" s="9">
        <f>Inputs!$C$5+Inputs!$C$9*(A84/Inputs!$C$10)^2</f>
        <v>400.40111111111111</v>
      </c>
      <c r="C84" s="9">
        <f t="shared" si="19"/>
        <v>400.40111111111111</v>
      </c>
      <c r="D84" s="9">
        <f>SQRT(A84^2+Inputs!$C$6^2+B84^2)</f>
        <v>401.63048910536202</v>
      </c>
      <c r="E84" s="9">
        <f t="shared" si="20"/>
        <v>1229.3779942509104</v>
      </c>
      <c r="F84" s="9">
        <f>E84/Inputs!$C$12</f>
        <v>690.66179452298343</v>
      </c>
      <c r="G84" s="9">
        <f>2*E84/Inputs!$C$21*1000000</f>
        <v>8.2015271661764775</v>
      </c>
      <c r="H84" s="9">
        <f>SQRT(A84^2+Inputs!$C$6^2)</f>
        <v>31.400636936215164</v>
      </c>
      <c r="I84" s="9">
        <f t="shared" si="21"/>
        <v>4.4841264712495112</v>
      </c>
      <c r="J84" s="9">
        <f>DEGREES((2*PI()/Inputs!$C$13)*Inputs!$C$15*SIN(RADIANS(I84)))</f>
        <v>28.145844510504666</v>
      </c>
      <c r="K84" s="9">
        <f t="shared" si="22"/>
        <v>0.98781223131571638</v>
      </c>
      <c r="L84" s="9">
        <f t="shared" si="23"/>
        <v>-5.3256006081264372E-2</v>
      </c>
      <c r="M84" s="9">
        <f>2*(Inputs!$C$9/(Inputs!$C$10^2))*A84</f>
        <v>-4.2222222222222223E-2</v>
      </c>
      <c r="N84" s="9">
        <f>M84*Inputs!$C$11</f>
        <v>-0.16888888888888889</v>
      </c>
      <c r="O84" s="9">
        <f>1000*((A84*Inputs!$C$11)+(B84*N84))/D84</f>
        <v>-357.60058725958567</v>
      </c>
      <c r="P84" s="9">
        <f>-2*O84/Inputs!$C$13</f>
        <v>143.04023490383426</v>
      </c>
      <c r="Q84" s="9">
        <f>-2*O84/Inputs!$C$14</f>
        <v>21.477512748323466</v>
      </c>
      <c r="R84" s="9">
        <f>F84-Inputs!$C$16/2</f>
        <v>675.66179452298343</v>
      </c>
      <c r="S84" s="9">
        <f>F84+Inputs!$C$16/2</f>
        <v>705.66179452298343</v>
      </c>
      <c r="T84" s="9">
        <f>F84-Inputs!$C$17/2</f>
        <v>540.66179452298343</v>
      </c>
      <c r="U84" s="9">
        <f>F84+Inputs!$C$17/2</f>
        <v>840.66179452298343</v>
      </c>
      <c r="V84" s="9">
        <f t="shared" si="24"/>
        <v>143.04023490383426</v>
      </c>
      <c r="W84" s="9">
        <f t="shared" si="25"/>
        <v>21.477512748323466</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0</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0</v>
      </c>
      <c r="Z84" s="9">
        <f t="shared" si="26"/>
        <v>400.40111111111111</v>
      </c>
      <c r="AA84" s="9">
        <f>SQRT(A84^2+Inputs!$C$6^2+(B84-Y84/1000)^2)</f>
        <v>401.63048910536202</v>
      </c>
      <c r="AB84" s="9">
        <f t="shared" si="27"/>
        <v>1229.3779942509104</v>
      </c>
      <c r="AC84" s="9">
        <f>AB84/Inputs!$C$12</f>
        <v>690.66179452298343</v>
      </c>
      <c r="AD84" s="9">
        <f>2*AB84/Inputs!$C$21*1000000</f>
        <v>8.2015271661764775</v>
      </c>
      <c r="AE84" s="9">
        <f t="shared" si="28"/>
        <v>4.4841264712495112</v>
      </c>
      <c r="AF84" s="9">
        <f>DEGREES((2*PI()/Inputs!$C$13)*Inputs!$C$15*SIN(RADIANS(AE84)))</f>
        <v>28.145844510504666</v>
      </c>
      <c r="AG84" s="9">
        <f t="shared" si="29"/>
        <v>0.98781223131571638</v>
      </c>
      <c r="AH84" s="9">
        <f t="shared" si="30"/>
        <v>-5.3256006081264372E-2</v>
      </c>
      <c r="AI84" s="9">
        <f t="shared" si="31"/>
        <v>0</v>
      </c>
      <c r="AJ84" s="9">
        <f t="shared" si="32"/>
        <v>0</v>
      </c>
      <c r="AK84" s="9">
        <f t="shared" si="33"/>
        <v>0</v>
      </c>
      <c r="AL84" s="9">
        <f>1000*(AA85-AA83)/(A85-A83)*Inputs!$C$11</f>
        <v>-357.60018210862654</v>
      </c>
      <c r="AM84" s="9">
        <f>-2*AL84/Inputs!$C$13</f>
        <v>143.04007284345062</v>
      </c>
      <c r="AN84" s="9">
        <f>-2*AL84/Inputs!$C$14</f>
        <v>21.477488414932527</v>
      </c>
      <c r="AO84" s="9">
        <f t="shared" si="34"/>
        <v>143.04007284345062</v>
      </c>
      <c r="AP84" s="9">
        <f t="shared" si="35"/>
        <v>21.477488414932527</v>
      </c>
      <c r="AQ84" s="9">
        <f>IF(OR(Inputs!$C$27=TRUE,Inputs!$C$27="TRUE",Inputs!$C$27=1),Inputs!$C$46/Inputs!$C$12,0)</f>
        <v>0</v>
      </c>
      <c r="AR84" s="9">
        <f t="shared" si="36"/>
        <v>690.66179452298343</v>
      </c>
      <c r="AS84" s="9">
        <f t="shared" si="37"/>
        <v>690.66179452298343</v>
      </c>
    </row>
    <row r="85" spans="1:45">
      <c r="A85" s="9">
        <f>Inputs!$C$7+83*(Inputs!$C$8-Inputs!$C$7)/240</f>
        <v>-18.5</v>
      </c>
      <c r="B85" s="9">
        <f>Inputs!$C$5+Inputs!$C$9*(A85/Inputs!$C$10)^2</f>
        <v>400.38027777777779</v>
      </c>
      <c r="C85" s="9">
        <f t="shared" si="19"/>
        <v>400.38027777777779</v>
      </c>
      <c r="D85" s="9">
        <f>SQRT(A85^2+Inputs!$C$6^2+B85^2)</f>
        <v>401.58637530848893</v>
      </c>
      <c r="E85" s="9">
        <f t="shared" si="20"/>
        <v>1206.0975307111335</v>
      </c>
      <c r="F85" s="9">
        <f>E85/Inputs!$C$12</f>
        <v>677.58288242198512</v>
      </c>
      <c r="G85" s="9">
        <f>2*E85/Inputs!$C$21*1000000</f>
        <v>8.0462166310476917</v>
      </c>
      <c r="H85" s="9">
        <f>SQRT(A85^2+Inputs!$C$6^2)</f>
        <v>31.100643080167973</v>
      </c>
      <c r="I85" s="9">
        <f t="shared" si="21"/>
        <v>4.4416886611294961</v>
      </c>
      <c r="J85" s="9">
        <f>DEGREES((2*PI()/Inputs!$C$13)*Inputs!$C$15*SIN(RADIANS(I85)))</f>
        <v>27.880008379915274</v>
      </c>
      <c r="K85" s="9">
        <f t="shared" si="22"/>
        <v>0.98804068059102845</v>
      </c>
      <c r="L85" s="9">
        <f t="shared" si="23"/>
        <v>-5.225173841025451E-2</v>
      </c>
      <c r="M85" s="9">
        <f>2*(Inputs!$C$9/(Inputs!$C$10^2))*A85</f>
        <v>-4.1111111111111112E-2</v>
      </c>
      <c r="N85" s="9">
        <f>M85*Inputs!$C$11</f>
        <v>-0.16444444444444445</v>
      </c>
      <c r="O85" s="9">
        <f>1000*((A85*Inputs!$C$11)+(B85*N85))/D85</f>
        <v>-348.21976278019167</v>
      </c>
      <c r="P85" s="9">
        <f>-2*O85/Inputs!$C$13</f>
        <v>139.28790511207666</v>
      </c>
      <c r="Q85" s="9">
        <f>-2*O85/Inputs!$C$14</f>
        <v>20.914099866678182</v>
      </c>
      <c r="R85" s="9">
        <f>F85-Inputs!$C$16/2</f>
        <v>662.58288242198512</v>
      </c>
      <c r="S85" s="9">
        <f>F85+Inputs!$C$16/2</f>
        <v>692.58288242198512</v>
      </c>
      <c r="T85" s="9">
        <f>F85-Inputs!$C$17/2</f>
        <v>527.58288242198512</v>
      </c>
      <c r="U85" s="9">
        <f>F85+Inputs!$C$17/2</f>
        <v>827.58288242198512</v>
      </c>
      <c r="V85" s="9">
        <f t="shared" si="24"/>
        <v>139.28790511207666</v>
      </c>
      <c r="W85" s="9">
        <f t="shared" si="25"/>
        <v>20.914099866678182</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0</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0</v>
      </c>
      <c r="Z85" s="9">
        <f t="shared" si="26"/>
        <v>400.38027777777779</v>
      </c>
      <c r="AA85" s="9">
        <f>SQRT(A85^2+Inputs!$C$6^2+(B85-Y85/1000)^2)</f>
        <v>401.58637530848893</v>
      </c>
      <c r="AB85" s="9">
        <f t="shared" si="27"/>
        <v>1206.0975307111335</v>
      </c>
      <c r="AC85" s="9">
        <f>AB85/Inputs!$C$12</f>
        <v>677.58288242198512</v>
      </c>
      <c r="AD85" s="9">
        <f>2*AB85/Inputs!$C$21*1000000</f>
        <v>8.0462166310476917</v>
      </c>
      <c r="AE85" s="9">
        <f t="shared" si="28"/>
        <v>4.4416886611294961</v>
      </c>
      <c r="AF85" s="9">
        <f>DEGREES((2*PI()/Inputs!$C$13)*Inputs!$C$15*SIN(RADIANS(AE85)))</f>
        <v>27.880008379915274</v>
      </c>
      <c r="AG85" s="9">
        <f t="shared" si="29"/>
        <v>0.98804068059102845</v>
      </c>
      <c r="AH85" s="9">
        <f t="shared" si="30"/>
        <v>-5.225173841025451E-2</v>
      </c>
      <c r="AI85" s="9">
        <f t="shared" si="31"/>
        <v>0</v>
      </c>
      <c r="AJ85" s="9">
        <f t="shared" si="32"/>
        <v>0</v>
      </c>
      <c r="AK85" s="9">
        <f t="shared" si="33"/>
        <v>0</v>
      </c>
      <c r="AL85" s="9">
        <f>1000*(AA86-AA84)/(A86-A84)*Inputs!$C$11</f>
        <v>-348.21936807429665</v>
      </c>
      <c r="AM85" s="9">
        <f>-2*AL85/Inputs!$C$13</f>
        <v>139.28774722971866</v>
      </c>
      <c r="AN85" s="9">
        <f>-2*AL85/Inputs!$C$14</f>
        <v>20.914076160618418</v>
      </c>
      <c r="AO85" s="9">
        <f t="shared" si="34"/>
        <v>139.28774722971866</v>
      </c>
      <c r="AP85" s="9">
        <f t="shared" si="35"/>
        <v>20.914076160618418</v>
      </c>
      <c r="AQ85" s="9">
        <f>IF(OR(Inputs!$C$27=TRUE,Inputs!$C$27="TRUE",Inputs!$C$27=1),Inputs!$C$46/Inputs!$C$12,0)</f>
        <v>0</v>
      </c>
      <c r="AR85" s="9">
        <f t="shared" si="36"/>
        <v>677.58288242198512</v>
      </c>
      <c r="AS85" s="9">
        <f t="shared" si="37"/>
        <v>677.58288242198512</v>
      </c>
    </row>
    <row r="86" spans="1:45">
      <c r="A86" s="9">
        <f>Inputs!$C$7+84*(Inputs!$C$8-Inputs!$C$7)/240</f>
        <v>-18</v>
      </c>
      <c r="B86" s="9">
        <f>Inputs!$C$5+Inputs!$C$9*(A86/Inputs!$C$10)^2</f>
        <v>400.36</v>
      </c>
      <c r="C86" s="9">
        <f t="shared" si="19"/>
        <v>400.36</v>
      </c>
      <c r="D86" s="9">
        <f>SQRT(A86^2+Inputs!$C$6^2+B86^2)</f>
        <v>401.54343426334344</v>
      </c>
      <c r="E86" s="9">
        <f t="shared" si="20"/>
        <v>1183.4342633434289</v>
      </c>
      <c r="F86" s="9">
        <f>E86/Inputs!$C$12</f>
        <v>664.85070974349935</v>
      </c>
      <c r="G86" s="9">
        <f>2*E86/Inputs!$C$21*1000000</f>
        <v>7.895023585572849</v>
      </c>
      <c r="H86" s="9">
        <f>SQRT(A86^2+Inputs!$C$6^2)</f>
        <v>30.805843601498726</v>
      </c>
      <c r="I86" s="9">
        <f t="shared" si="21"/>
        <v>4.3999744653546005</v>
      </c>
      <c r="J86" s="9">
        <f>DEGREES((2*PI()/Inputs!$C$13)*Inputs!$C$15*SIN(RADIANS(I86)))</f>
        <v>27.618690159596383</v>
      </c>
      <c r="K86" s="9">
        <f t="shared" si="22"/>
        <v>0.98826315975486567</v>
      </c>
      <c r="L86" s="9">
        <f t="shared" si="23"/>
        <v>-5.1273938624324868E-2</v>
      </c>
      <c r="M86" s="9">
        <f>2*(Inputs!$C$9/(Inputs!$C$10^2))*A86</f>
        <v>-0.04</v>
      </c>
      <c r="N86" s="9">
        <f>M86*Inputs!$C$11</f>
        <v>-0.16</v>
      </c>
      <c r="O86" s="9">
        <f>1000*((A86*Inputs!$C$11)+(B86*N86))/D86</f>
        <v>-338.83657007019974</v>
      </c>
      <c r="P86" s="9">
        <f>-2*O86/Inputs!$C$13</f>
        <v>135.53462802807991</v>
      </c>
      <c r="Q86" s="9">
        <f>-2*O86/Inputs!$C$14</f>
        <v>20.350544748960946</v>
      </c>
      <c r="R86" s="9">
        <f>F86-Inputs!$C$16/2</f>
        <v>649.85070974349935</v>
      </c>
      <c r="S86" s="9">
        <f>F86+Inputs!$C$16/2</f>
        <v>679.85070974349935</v>
      </c>
      <c r="T86" s="9">
        <f>F86-Inputs!$C$17/2</f>
        <v>514.85070974349935</v>
      </c>
      <c r="U86" s="9">
        <f>F86+Inputs!$C$17/2</f>
        <v>814.85070974349935</v>
      </c>
      <c r="V86" s="9">
        <f t="shared" si="24"/>
        <v>135.53462802807991</v>
      </c>
      <c r="W86" s="9">
        <f t="shared" si="25"/>
        <v>20.350544748960946</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0</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0</v>
      </c>
      <c r="Z86" s="9">
        <f t="shared" si="26"/>
        <v>400.36</v>
      </c>
      <c r="AA86" s="9">
        <f>SQRT(A86^2+Inputs!$C$6^2+(B86-Y86/1000)^2)</f>
        <v>401.54343426334344</v>
      </c>
      <c r="AB86" s="9">
        <f t="shared" si="27"/>
        <v>1183.4342633434289</v>
      </c>
      <c r="AC86" s="9">
        <f>AB86/Inputs!$C$12</f>
        <v>664.85070974349935</v>
      </c>
      <c r="AD86" s="9">
        <f>2*AB86/Inputs!$C$21*1000000</f>
        <v>7.895023585572849</v>
      </c>
      <c r="AE86" s="9">
        <f t="shared" si="28"/>
        <v>4.3999744653546005</v>
      </c>
      <c r="AF86" s="9">
        <f>DEGREES((2*PI()/Inputs!$C$13)*Inputs!$C$15*SIN(RADIANS(AE86)))</f>
        <v>27.618690159596383</v>
      </c>
      <c r="AG86" s="9">
        <f t="shared" si="29"/>
        <v>0.98826315975486567</v>
      </c>
      <c r="AH86" s="9">
        <f t="shared" si="30"/>
        <v>-5.1273938624324868E-2</v>
      </c>
      <c r="AI86" s="9">
        <f t="shared" si="31"/>
        <v>0</v>
      </c>
      <c r="AJ86" s="9">
        <f t="shared" si="32"/>
        <v>0</v>
      </c>
      <c r="AK86" s="9">
        <f t="shared" si="33"/>
        <v>0</v>
      </c>
      <c r="AL86" s="9">
        <f>1000*(AA87-AA85)/(A87-A85)*Inputs!$C$11</f>
        <v>-338.83618582694908</v>
      </c>
      <c r="AM86" s="9">
        <f>-2*AL86/Inputs!$C$13</f>
        <v>135.53447433077963</v>
      </c>
      <c r="AN86" s="9">
        <f>-2*AL86/Inputs!$C$14</f>
        <v>20.350521671288234</v>
      </c>
      <c r="AO86" s="9">
        <f t="shared" si="34"/>
        <v>135.53447433077963</v>
      </c>
      <c r="AP86" s="9">
        <f t="shared" si="35"/>
        <v>20.350521671288234</v>
      </c>
      <c r="AQ86" s="9">
        <f>IF(OR(Inputs!$C$27=TRUE,Inputs!$C$27="TRUE",Inputs!$C$27=1),Inputs!$C$46/Inputs!$C$12,0)</f>
        <v>0</v>
      </c>
      <c r="AR86" s="9">
        <f t="shared" si="36"/>
        <v>664.85070974349935</v>
      </c>
      <c r="AS86" s="9">
        <f t="shared" si="37"/>
        <v>664.85070974349935</v>
      </c>
    </row>
    <row r="87" spans="1:45">
      <c r="A87" s="9">
        <f>Inputs!$C$7+85*(Inputs!$C$8-Inputs!$C$7)/240</f>
        <v>-17.5</v>
      </c>
      <c r="B87" s="9">
        <f>Inputs!$C$5+Inputs!$C$9*(A87/Inputs!$C$10)^2</f>
        <v>400.34027777777777</v>
      </c>
      <c r="C87" s="9">
        <f t="shared" si="19"/>
        <v>400.34027777777777</v>
      </c>
      <c r="D87" s="9">
        <f>SQRT(A87^2+Inputs!$C$6^2+B87^2)</f>
        <v>401.50166626203219</v>
      </c>
      <c r="E87" s="9">
        <f t="shared" si="20"/>
        <v>1161.3884842544167</v>
      </c>
      <c r="F87" s="9">
        <f>E87/Inputs!$C$12</f>
        <v>652.46544059236885</v>
      </c>
      <c r="G87" s="9">
        <f>2*E87/Inputs!$C$21*1000000</f>
        <v>7.7479499784775543</v>
      </c>
      <c r="H87" s="9">
        <f>SQRT(A87^2+Inputs!$C$6^2)</f>
        <v>30.516389039334257</v>
      </c>
      <c r="I87" s="9">
        <f t="shared" si="21"/>
        <v>4.3590058781406578</v>
      </c>
      <c r="J87" s="9">
        <f>DEGREES((2*PI()/Inputs!$C$13)*Inputs!$C$15*SIN(RADIANS(I87)))</f>
        <v>27.362028547574202</v>
      </c>
      <c r="K87" s="9">
        <f t="shared" si="22"/>
        <v>0.98847965901213086</v>
      </c>
      <c r="L87" s="9">
        <f t="shared" si="23"/>
        <v>-5.0322631936882092E-2</v>
      </c>
      <c r="M87" s="9">
        <f>2*(Inputs!$C$9/(Inputs!$C$10^2))*A87</f>
        <v>-3.888888888888889E-2</v>
      </c>
      <c r="N87" s="9">
        <f>M87*Inputs!$C$11</f>
        <v>-0.15555555555555556</v>
      </c>
      <c r="O87" s="9">
        <f>1000*((A87*Inputs!$C$11)+(B87*N87))/D87</f>
        <v>-329.45107190330037</v>
      </c>
      <c r="P87" s="9">
        <f>-2*O87/Inputs!$C$13</f>
        <v>131.78042876132014</v>
      </c>
      <c r="Q87" s="9">
        <f>-2*O87/Inputs!$C$14</f>
        <v>19.786851165363387</v>
      </c>
      <c r="R87" s="9">
        <f>F87-Inputs!$C$16/2</f>
        <v>637.46544059236885</v>
      </c>
      <c r="S87" s="9">
        <f>F87+Inputs!$C$16/2</f>
        <v>667.46544059236885</v>
      </c>
      <c r="T87" s="9">
        <f>F87-Inputs!$C$17/2</f>
        <v>502.46544059236885</v>
      </c>
      <c r="U87" s="9">
        <f>F87+Inputs!$C$17/2</f>
        <v>802.46544059236885</v>
      </c>
      <c r="V87" s="9">
        <f t="shared" si="24"/>
        <v>131.78042876132014</v>
      </c>
      <c r="W87" s="9">
        <f t="shared" si="25"/>
        <v>19.786851165363387</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0</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0</v>
      </c>
      <c r="Z87" s="9">
        <f t="shared" si="26"/>
        <v>400.34027777777777</v>
      </c>
      <c r="AA87" s="9">
        <f>SQRT(A87^2+Inputs!$C$6^2+(B87-Y87/1000)^2)</f>
        <v>401.50166626203219</v>
      </c>
      <c r="AB87" s="9">
        <f t="shared" si="27"/>
        <v>1161.3884842544167</v>
      </c>
      <c r="AC87" s="9">
        <f>AB87/Inputs!$C$12</f>
        <v>652.46544059236885</v>
      </c>
      <c r="AD87" s="9">
        <f>2*AB87/Inputs!$C$21*1000000</f>
        <v>7.7479499784775543</v>
      </c>
      <c r="AE87" s="9">
        <f t="shared" si="28"/>
        <v>4.3590058781406578</v>
      </c>
      <c r="AF87" s="9">
        <f>DEGREES((2*PI()/Inputs!$C$13)*Inputs!$C$15*SIN(RADIANS(AE87)))</f>
        <v>27.362028547574202</v>
      </c>
      <c r="AG87" s="9">
        <f t="shared" si="29"/>
        <v>0.98847965901213086</v>
      </c>
      <c r="AH87" s="9">
        <f t="shared" si="30"/>
        <v>-5.0322631936882092E-2</v>
      </c>
      <c r="AI87" s="9">
        <f t="shared" si="31"/>
        <v>0</v>
      </c>
      <c r="AJ87" s="9">
        <f t="shared" si="32"/>
        <v>0</v>
      </c>
      <c r="AK87" s="9">
        <f t="shared" si="33"/>
        <v>0</v>
      </c>
      <c r="AL87" s="9">
        <f>1000*(AA88-AA86)/(A88-A86)*Inputs!$C$11</f>
        <v>-329.45069813899863</v>
      </c>
      <c r="AM87" s="9">
        <f>-2*AL87/Inputs!$C$13</f>
        <v>131.78027925559945</v>
      </c>
      <c r="AN87" s="9">
        <f>-2*AL87/Inputs!$C$14</f>
        <v>19.786828717056977</v>
      </c>
      <c r="AO87" s="9">
        <f t="shared" si="34"/>
        <v>131.78027925559945</v>
      </c>
      <c r="AP87" s="9">
        <f t="shared" si="35"/>
        <v>19.786828717056977</v>
      </c>
      <c r="AQ87" s="9">
        <f>IF(OR(Inputs!$C$27=TRUE,Inputs!$C$27="TRUE",Inputs!$C$27=1),Inputs!$C$46/Inputs!$C$12,0)</f>
        <v>0</v>
      </c>
      <c r="AR87" s="9">
        <f t="shared" si="36"/>
        <v>652.46544059236885</v>
      </c>
      <c r="AS87" s="9">
        <f t="shared" si="37"/>
        <v>652.46544059236885</v>
      </c>
    </row>
    <row r="88" spans="1:45">
      <c r="A88" s="9">
        <f>Inputs!$C$7+86*(Inputs!$C$8-Inputs!$C$7)/240</f>
        <v>-17</v>
      </c>
      <c r="B88" s="9">
        <f>Inputs!$C$5+Inputs!$C$9*(A88/Inputs!$C$10)^2</f>
        <v>400.32111111111112</v>
      </c>
      <c r="C88" s="9">
        <f t="shared" si="19"/>
        <v>400.32111111111112</v>
      </c>
      <c r="D88" s="9">
        <f>SQRT(A88^2+Inputs!$C$6^2+B88^2)</f>
        <v>401.46107158880869</v>
      </c>
      <c r="E88" s="9">
        <f t="shared" si="20"/>
        <v>1139.9604776975707</v>
      </c>
      <c r="F88" s="9">
        <f>E88/Inputs!$C$12</f>
        <v>640.42723466155655</v>
      </c>
      <c r="G88" s="9">
        <f>2*E88/Inputs!$C$21*1000000</f>
        <v>7.6049977060968672</v>
      </c>
      <c r="H88" s="9">
        <f>SQRT(A88^2+Inputs!$C$6^2)</f>
        <v>30.232432915661949</v>
      </c>
      <c r="I88" s="9">
        <f t="shared" si="21"/>
        <v>4.3188053168235525</v>
      </c>
      <c r="J88" s="9">
        <f>DEGREES((2*PI()/Inputs!$C$13)*Inputs!$C$15*SIN(RADIANS(I88)))</f>
        <v>27.110164894856268</v>
      </c>
      <c r="K88" s="9">
        <f t="shared" si="22"/>
        <v>0.98869016882435623</v>
      </c>
      <c r="L88" s="9">
        <f t="shared" si="23"/>
        <v>-4.9397842888472814E-2</v>
      </c>
      <c r="M88" s="9">
        <f>2*(Inputs!$C$9/(Inputs!$C$10^2))*A88</f>
        <v>-3.7777777777777778E-2</v>
      </c>
      <c r="N88" s="9">
        <f>M88*Inputs!$C$11</f>
        <v>-0.15111111111111111</v>
      </c>
      <c r="O88" s="9">
        <f>1000*((A88*Inputs!$C$11)+(B88*N88))/D88</f>
        <v>-320.06333115366618</v>
      </c>
      <c r="P88" s="9">
        <f>-2*O88/Inputs!$C$13</f>
        <v>128.02533246146646</v>
      </c>
      <c r="Q88" s="9">
        <f>-2*O88/Inputs!$C$14</f>
        <v>19.223022892112084</v>
      </c>
      <c r="R88" s="9">
        <f>F88-Inputs!$C$16/2</f>
        <v>625.42723466155655</v>
      </c>
      <c r="S88" s="9">
        <f>F88+Inputs!$C$16/2</f>
        <v>655.42723466155655</v>
      </c>
      <c r="T88" s="9">
        <f>F88-Inputs!$C$17/2</f>
        <v>490.42723466155655</v>
      </c>
      <c r="U88" s="9">
        <f>F88+Inputs!$C$17/2</f>
        <v>790.42723466155655</v>
      </c>
      <c r="V88" s="9">
        <f t="shared" si="24"/>
        <v>128.02533246146646</v>
      </c>
      <c r="W88" s="9">
        <f t="shared" si="25"/>
        <v>19.223022892112084</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0</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0</v>
      </c>
      <c r="Z88" s="9">
        <f t="shared" si="26"/>
        <v>400.32111111111112</v>
      </c>
      <c r="AA88" s="9">
        <f>SQRT(A88^2+Inputs!$C$6^2+(B88-Y88/1000)^2)</f>
        <v>401.46107158880869</v>
      </c>
      <c r="AB88" s="9">
        <f t="shared" si="27"/>
        <v>1139.9604776975707</v>
      </c>
      <c r="AC88" s="9">
        <f>AB88/Inputs!$C$12</f>
        <v>640.42723466155655</v>
      </c>
      <c r="AD88" s="9">
        <f>2*AB88/Inputs!$C$21*1000000</f>
        <v>7.6049977060968672</v>
      </c>
      <c r="AE88" s="9">
        <f t="shared" si="28"/>
        <v>4.3188053168235525</v>
      </c>
      <c r="AF88" s="9">
        <f>DEGREES((2*PI()/Inputs!$C$13)*Inputs!$C$15*SIN(RADIANS(AE88)))</f>
        <v>27.110164894856268</v>
      </c>
      <c r="AG88" s="9">
        <f t="shared" si="29"/>
        <v>0.98869016882435623</v>
      </c>
      <c r="AH88" s="9">
        <f t="shared" si="30"/>
        <v>-4.9397842888472814E-2</v>
      </c>
      <c r="AI88" s="9">
        <f t="shared" si="31"/>
        <v>0</v>
      </c>
      <c r="AJ88" s="9">
        <f t="shared" si="32"/>
        <v>0</v>
      </c>
      <c r="AK88" s="9">
        <f t="shared" si="33"/>
        <v>0</v>
      </c>
      <c r="AL88" s="9">
        <f>1000*(AA89-AA87)/(A89-A87)*Inputs!$C$11</f>
        <v>-320.06296788472355</v>
      </c>
      <c r="AM88" s="9">
        <f>-2*AL88/Inputs!$C$13</f>
        <v>128.02518715388942</v>
      </c>
      <c r="AN88" s="9">
        <f>-2*AL88/Inputs!$C$14</f>
        <v>19.223001074157573</v>
      </c>
      <c r="AO88" s="9">
        <f t="shared" si="34"/>
        <v>128.02518715388942</v>
      </c>
      <c r="AP88" s="9">
        <f t="shared" si="35"/>
        <v>19.223001074157573</v>
      </c>
      <c r="AQ88" s="9">
        <f>IF(OR(Inputs!$C$27=TRUE,Inputs!$C$27="TRUE",Inputs!$C$27=1),Inputs!$C$46/Inputs!$C$12,0)</f>
        <v>0</v>
      </c>
      <c r="AR88" s="9">
        <f t="shared" si="36"/>
        <v>640.42723466155655</v>
      </c>
      <c r="AS88" s="9">
        <f t="shared" si="37"/>
        <v>640.42723466155655</v>
      </c>
    </row>
    <row r="89" spans="1:45">
      <c r="A89" s="9">
        <f>Inputs!$C$7+87*(Inputs!$C$8-Inputs!$C$7)/240</f>
        <v>-16.5</v>
      </c>
      <c r="B89" s="9">
        <f>Inputs!$C$5+Inputs!$C$9*(A89/Inputs!$C$10)^2</f>
        <v>400.30250000000001</v>
      </c>
      <c r="C89" s="9">
        <f t="shared" si="19"/>
        <v>400.30250000000001</v>
      </c>
      <c r="D89" s="9">
        <f>SQRT(A89^2+Inputs!$C$6^2+B89^2)</f>
        <v>401.42165052006101</v>
      </c>
      <c r="E89" s="9">
        <f t="shared" si="20"/>
        <v>1119.1505200609981</v>
      </c>
      <c r="F89" s="9">
        <f>E89/Inputs!$C$12</f>
        <v>628.73624722527984</v>
      </c>
      <c r="G89" s="9">
        <f>2*E89/Inputs!$C$21*1000000</f>
        <v>7.4661686122937629</v>
      </c>
      <c r="H89" s="9">
        <f>SQRT(A89^2+Inputs!$C$6^2)</f>
        <v>29.954131601500318</v>
      </c>
      <c r="I89" s="9">
        <f t="shared" si="21"/>
        <v>4.2793956023743185</v>
      </c>
      <c r="J89" s="9">
        <f>DEGREES((2*PI()/Inputs!$C$13)*Inputs!$C$15*SIN(RADIANS(I89)))</f>
        <v>26.863243082603024</v>
      </c>
      <c r="K89" s="9">
        <f t="shared" si="22"/>
        <v>0.98889467991066193</v>
      </c>
      <c r="L89" s="9">
        <f t="shared" si="23"/>
        <v>-4.849959534532397E-2</v>
      </c>
      <c r="M89" s="9">
        <f>2*(Inputs!$C$9/(Inputs!$C$10^2))*A89</f>
        <v>-3.6666666666666667E-2</v>
      </c>
      <c r="N89" s="9">
        <f>M89*Inputs!$C$11</f>
        <v>-0.14666666666666667</v>
      </c>
      <c r="O89" s="9">
        <f>1000*((A89*Inputs!$C$11)+(B89*N89))/D89</f>
        <v>-310.67341079327491</v>
      </c>
      <c r="P89" s="9">
        <f>-2*O89/Inputs!$C$13</f>
        <v>124.26936431730996</v>
      </c>
      <c r="Q89" s="9">
        <f>-2*O89/Inputs!$C$14</f>
        <v>18.659063711307805</v>
      </c>
      <c r="R89" s="9">
        <f>F89-Inputs!$C$16/2</f>
        <v>613.73624722527984</v>
      </c>
      <c r="S89" s="9">
        <f>F89+Inputs!$C$16/2</f>
        <v>643.73624722527984</v>
      </c>
      <c r="T89" s="9">
        <f>F89-Inputs!$C$17/2</f>
        <v>478.73624722527984</v>
      </c>
      <c r="U89" s="9">
        <f>F89+Inputs!$C$17/2</f>
        <v>778.73624722527984</v>
      </c>
      <c r="V89" s="9">
        <f t="shared" si="24"/>
        <v>124.26936431730996</v>
      </c>
      <c r="W89" s="9">
        <f t="shared" si="25"/>
        <v>18.659063711307805</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0</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0</v>
      </c>
      <c r="Z89" s="9">
        <f t="shared" si="26"/>
        <v>400.30250000000001</v>
      </c>
      <c r="AA89" s="9">
        <f>SQRT(A89^2+Inputs!$C$6^2+(B89-Y89/1000)^2)</f>
        <v>401.42165052006101</v>
      </c>
      <c r="AB89" s="9">
        <f t="shared" si="27"/>
        <v>1119.1505200609981</v>
      </c>
      <c r="AC89" s="9">
        <f>AB89/Inputs!$C$12</f>
        <v>628.73624722527984</v>
      </c>
      <c r="AD89" s="9">
        <f>2*AB89/Inputs!$C$21*1000000</f>
        <v>7.4661686122937629</v>
      </c>
      <c r="AE89" s="9">
        <f t="shared" si="28"/>
        <v>4.2793956023743185</v>
      </c>
      <c r="AF89" s="9">
        <f>DEGREES((2*PI()/Inputs!$C$13)*Inputs!$C$15*SIN(RADIANS(AE89)))</f>
        <v>26.863243082603024</v>
      </c>
      <c r="AG89" s="9">
        <f t="shared" si="29"/>
        <v>0.98889467991066193</v>
      </c>
      <c r="AH89" s="9">
        <f t="shared" si="30"/>
        <v>-4.849959534532397E-2</v>
      </c>
      <c r="AI89" s="9">
        <f t="shared" si="31"/>
        <v>0</v>
      </c>
      <c r="AJ89" s="9">
        <f t="shared" si="32"/>
        <v>0</v>
      </c>
      <c r="AK89" s="9">
        <f t="shared" si="33"/>
        <v>0</v>
      </c>
      <c r="AL89" s="9">
        <f>1000*(AA90-AA88)/(A90-A88)*Inputs!$C$11</f>
        <v>-310.67305803571799</v>
      </c>
      <c r="AM89" s="9">
        <f>-2*AL89/Inputs!$C$13</f>
        <v>124.26922321428719</v>
      </c>
      <c r="AN89" s="9">
        <f>-2*AL89/Inputs!$C$14</f>
        <v>18.659042524667747</v>
      </c>
      <c r="AO89" s="9">
        <f t="shared" si="34"/>
        <v>124.26922321428719</v>
      </c>
      <c r="AP89" s="9">
        <f t="shared" si="35"/>
        <v>18.659042524667747</v>
      </c>
      <c r="AQ89" s="9">
        <f>IF(OR(Inputs!$C$27=TRUE,Inputs!$C$27="TRUE",Inputs!$C$27=1),Inputs!$C$46/Inputs!$C$12,0)</f>
        <v>0</v>
      </c>
      <c r="AR89" s="9">
        <f t="shared" si="36"/>
        <v>628.73624722527984</v>
      </c>
      <c r="AS89" s="9">
        <f t="shared" si="37"/>
        <v>628.73624722527984</v>
      </c>
    </row>
    <row r="90" spans="1:45">
      <c r="A90" s="9">
        <f>Inputs!$C$7+88*(Inputs!$C$8-Inputs!$C$7)/240</f>
        <v>-16</v>
      </c>
      <c r="B90" s="9">
        <f>Inputs!$C$5+Inputs!$C$9*(A90/Inputs!$C$10)^2</f>
        <v>400.28444444444443</v>
      </c>
      <c r="C90" s="9">
        <f t="shared" si="19"/>
        <v>400.28444444444443</v>
      </c>
      <c r="D90" s="9">
        <f>SQRT(A90^2+Inputs!$C$6^2+B90^2)</f>
        <v>401.38340332429976</v>
      </c>
      <c r="E90" s="9">
        <f t="shared" si="20"/>
        <v>1098.9588798553314</v>
      </c>
      <c r="F90" s="9">
        <f>E90/Inputs!$C$12</f>
        <v>617.39262913220864</v>
      </c>
      <c r="G90" s="9">
        <f>2*E90/Inputs!$C$21*1000000</f>
        <v>7.3314644883783666</v>
      </c>
      <c r="H90" s="9">
        <f>SQRT(A90^2+Inputs!$C$6^2)</f>
        <v>29.681644159311659</v>
      </c>
      <c r="I90" s="9">
        <f t="shared" si="21"/>
        <v>4.2407999364952262</v>
      </c>
      <c r="J90" s="9">
        <f>DEGREES((2*PI()/Inputs!$C$13)*Inputs!$C$15*SIN(RADIANS(I90)))</f>
        <v>26.621409377803502</v>
      </c>
      <c r="K90" s="9">
        <f t="shared" si="22"/>
        <v>0.98909318324869677</v>
      </c>
      <c r="L90" s="9">
        <f t="shared" si="23"/>
        <v>-4.7627912497891098E-2</v>
      </c>
      <c r="M90" s="9">
        <f>2*(Inputs!$C$9/(Inputs!$C$10^2))*A90</f>
        <v>-3.5555555555555556E-2</v>
      </c>
      <c r="N90" s="9">
        <f>M90*Inputs!$C$11</f>
        <v>-0.14222222222222222</v>
      </c>
      <c r="O90" s="9">
        <f>1000*((A90*Inputs!$C$11)+(B90*N90))/D90</f>
        <v>-301.28137388922147</v>
      </c>
      <c r="P90" s="9">
        <f>-2*O90/Inputs!$C$13</f>
        <v>120.51254955568859</v>
      </c>
      <c r="Q90" s="9">
        <f>-2*O90/Inputs!$C$14</f>
        <v>18.094977410764052</v>
      </c>
      <c r="R90" s="9">
        <f>F90-Inputs!$C$16/2</f>
        <v>602.39262913220864</v>
      </c>
      <c r="S90" s="9">
        <f>F90+Inputs!$C$16/2</f>
        <v>632.39262913220864</v>
      </c>
      <c r="T90" s="9">
        <f>F90-Inputs!$C$17/2</f>
        <v>467.39262913220864</v>
      </c>
      <c r="U90" s="9">
        <f>F90+Inputs!$C$17/2</f>
        <v>767.39262913220864</v>
      </c>
      <c r="V90" s="9">
        <f t="shared" si="24"/>
        <v>120.51254955568859</v>
      </c>
      <c r="W90" s="9">
        <f t="shared" si="25"/>
        <v>18.094977410764052</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0</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0</v>
      </c>
      <c r="Z90" s="9">
        <f t="shared" si="26"/>
        <v>400.28444444444443</v>
      </c>
      <c r="AA90" s="9">
        <f>SQRT(A90^2+Inputs!$C$6^2+(B90-Y90/1000)^2)</f>
        <v>401.38340332429976</v>
      </c>
      <c r="AB90" s="9">
        <f t="shared" si="27"/>
        <v>1098.9588798553314</v>
      </c>
      <c r="AC90" s="9">
        <f>AB90/Inputs!$C$12</f>
        <v>617.39262913220864</v>
      </c>
      <c r="AD90" s="9">
        <f>2*AB90/Inputs!$C$21*1000000</f>
        <v>7.3314644883783666</v>
      </c>
      <c r="AE90" s="9">
        <f t="shared" si="28"/>
        <v>4.2407999364952262</v>
      </c>
      <c r="AF90" s="9">
        <f>DEGREES((2*PI()/Inputs!$C$13)*Inputs!$C$15*SIN(RADIANS(AE90)))</f>
        <v>26.621409377803502</v>
      </c>
      <c r="AG90" s="9">
        <f t="shared" si="29"/>
        <v>0.98909318324869677</v>
      </c>
      <c r="AH90" s="9">
        <f t="shared" si="30"/>
        <v>-4.7627912497891098E-2</v>
      </c>
      <c r="AI90" s="9">
        <f t="shared" si="31"/>
        <v>0</v>
      </c>
      <c r="AJ90" s="9">
        <f t="shared" si="32"/>
        <v>0</v>
      </c>
      <c r="AK90" s="9">
        <f t="shared" si="33"/>
        <v>0</v>
      </c>
      <c r="AL90" s="9">
        <f>1000*(AA91-AA89)/(A91-A89)*Inputs!$C$11</f>
        <v>-301.28103165793618</v>
      </c>
      <c r="AM90" s="9">
        <f>-2*AL90/Inputs!$C$13</f>
        <v>120.51241266317447</v>
      </c>
      <c r="AN90" s="9">
        <f>-2*AL90/Inputs!$C$14</f>
        <v>18.094956856332505</v>
      </c>
      <c r="AO90" s="9">
        <f t="shared" si="34"/>
        <v>120.51241266317447</v>
      </c>
      <c r="AP90" s="9">
        <f t="shared" si="35"/>
        <v>18.094956856332505</v>
      </c>
      <c r="AQ90" s="9">
        <f>IF(OR(Inputs!$C$27=TRUE,Inputs!$C$27="TRUE",Inputs!$C$27=1),Inputs!$C$46/Inputs!$C$12,0)</f>
        <v>0</v>
      </c>
      <c r="AR90" s="9">
        <f t="shared" si="36"/>
        <v>617.39262913220864</v>
      </c>
      <c r="AS90" s="9">
        <f t="shared" si="37"/>
        <v>617.39262913220864</v>
      </c>
    </row>
    <row r="91" spans="1:45">
      <c r="A91" s="9">
        <f>Inputs!$C$7+89*(Inputs!$C$8-Inputs!$C$7)/240</f>
        <v>-15.5</v>
      </c>
      <c r="B91" s="9">
        <f>Inputs!$C$5+Inputs!$C$9*(A91/Inputs!$C$10)^2</f>
        <v>400.26694444444445</v>
      </c>
      <c r="C91" s="9">
        <f t="shared" si="19"/>
        <v>400.26694444444445</v>
      </c>
      <c r="D91" s="9">
        <f>SQRT(A91^2+Inputs!$C$6^2+B91^2)</f>
        <v>401.34633026214652</v>
      </c>
      <c r="E91" s="9">
        <f t="shared" si="20"/>
        <v>1079.3858177020752</v>
      </c>
      <c r="F91" s="9">
        <f>E91/Inputs!$C$12</f>
        <v>606.39652679891867</v>
      </c>
      <c r="G91" s="9">
        <f>2*E91/Inputs!$C$21*1000000</f>
        <v>7.2008870730302039</v>
      </c>
      <c r="H91" s="9">
        <f>SQRT(A91^2+Inputs!$C$6^2)</f>
        <v>29.415132160165456</v>
      </c>
      <c r="I91" s="9">
        <f t="shared" si="21"/>
        <v>4.2030418750829472</v>
      </c>
      <c r="J91" s="9">
        <f>DEGREES((2*PI()/Inputs!$C$13)*Inputs!$C$15*SIN(RADIANS(I91)))</f>
        <v>26.384812266111606</v>
      </c>
      <c r="K91" s="9">
        <f t="shared" si="22"/>
        <v>0.98928567007554991</v>
      </c>
      <c r="L91" s="9">
        <f t="shared" si="23"/>
        <v>-4.67828168594627E-2</v>
      </c>
      <c r="M91" s="9">
        <f>2*(Inputs!$C$9/(Inputs!$C$10^2))*A91</f>
        <v>-3.4444444444444444E-2</v>
      </c>
      <c r="N91" s="9">
        <f>M91*Inputs!$C$11</f>
        <v>-0.13777777777777778</v>
      </c>
      <c r="O91" s="9">
        <f>1000*((A91*Inputs!$C$11)+(B91*N91))/D91</f>
        <v>-291.88728360102249</v>
      </c>
      <c r="P91" s="9">
        <f>-2*O91/Inputs!$C$13</f>
        <v>116.754913440409</v>
      </c>
      <c r="Q91" s="9">
        <f>-2*O91/Inputs!$C$14</f>
        <v>17.530767783845196</v>
      </c>
      <c r="R91" s="9">
        <f>F91-Inputs!$C$16/2</f>
        <v>591.39652679891867</v>
      </c>
      <c r="S91" s="9">
        <f>F91+Inputs!$C$16/2</f>
        <v>621.39652679891867</v>
      </c>
      <c r="T91" s="9">
        <f>F91-Inputs!$C$17/2</f>
        <v>456.39652679891867</v>
      </c>
      <c r="U91" s="9">
        <f>F91+Inputs!$C$17/2</f>
        <v>756.39652679891867</v>
      </c>
      <c r="V91" s="9">
        <f t="shared" si="24"/>
        <v>116.754913440409</v>
      </c>
      <c r="W91" s="9">
        <f t="shared" si="25"/>
        <v>17.530767783845196</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0</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0</v>
      </c>
      <c r="Z91" s="9">
        <f t="shared" si="26"/>
        <v>400.26694444444445</v>
      </c>
      <c r="AA91" s="9">
        <f>SQRT(A91^2+Inputs!$C$6^2+(B91-Y91/1000)^2)</f>
        <v>401.34633026214652</v>
      </c>
      <c r="AB91" s="9">
        <f t="shared" si="27"/>
        <v>1079.3858177020752</v>
      </c>
      <c r="AC91" s="9">
        <f>AB91/Inputs!$C$12</f>
        <v>606.39652679891867</v>
      </c>
      <c r="AD91" s="9">
        <f>2*AB91/Inputs!$C$21*1000000</f>
        <v>7.2008870730302039</v>
      </c>
      <c r="AE91" s="9">
        <f t="shared" si="28"/>
        <v>4.2030418750829472</v>
      </c>
      <c r="AF91" s="9">
        <f>DEGREES((2*PI()/Inputs!$C$13)*Inputs!$C$15*SIN(RADIANS(AE91)))</f>
        <v>26.384812266111606</v>
      </c>
      <c r="AG91" s="9">
        <f t="shared" si="29"/>
        <v>0.98928567007554991</v>
      </c>
      <c r="AH91" s="9">
        <f t="shared" si="30"/>
        <v>-4.67828168594627E-2</v>
      </c>
      <c r="AI91" s="9">
        <f t="shared" si="31"/>
        <v>0</v>
      </c>
      <c r="AJ91" s="9">
        <f t="shared" si="32"/>
        <v>0</v>
      </c>
      <c r="AK91" s="9">
        <f t="shared" si="33"/>
        <v>0</v>
      </c>
      <c r="AL91" s="9">
        <f>1000*(AA92-AA90)/(A92-A90)*Inputs!$C$11</f>
        <v>-291.8869519112377</v>
      </c>
      <c r="AM91" s="9">
        <f>-2*AL91/Inputs!$C$13</f>
        <v>116.75478076449508</v>
      </c>
      <c r="AN91" s="9">
        <f>-2*AL91/Inputs!$C$14</f>
        <v>17.530747862536799</v>
      </c>
      <c r="AO91" s="9">
        <f t="shared" si="34"/>
        <v>116.75478076449508</v>
      </c>
      <c r="AP91" s="9">
        <f t="shared" si="35"/>
        <v>17.530747862536799</v>
      </c>
      <c r="AQ91" s="9">
        <f>IF(OR(Inputs!$C$27=TRUE,Inputs!$C$27="TRUE",Inputs!$C$27=1),Inputs!$C$46/Inputs!$C$12,0)</f>
        <v>0</v>
      </c>
      <c r="AR91" s="9">
        <f t="shared" si="36"/>
        <v>606.39652679891867</v>
      </c>
      <c r="AS91" s="9">
        <f t="shared" si="37"/>
        <v>606.39652679891867</v>
      </c>
    </row>
    <row r="92" spans="1:45">
      <c r="A92" s="9">
        <f>Inputs!$C$7+90*(Inputs!$C$8-Inputs!$C$7)/240</f>
        <v>-15</v>
      </c>
      <c r="B92" s="9">
        <f>Inputs!$C$5+Inputs!$C$9*(A92/Inputs!$C$10)^2</f>
        <v>400.25</v>
      </c>
      <c r="C92" s="9">
        <f t="shared" si="19"/>
        <v>400.25</v>
      </c>
      <c r="D92" s="9">
        <f>SQRT(A92^2+Inputs!$C$6^2+B92^2)</f>
        <v>401.31043158632195</v>
      </c>
      <c r="E92" s="9">
        <f t="shared" si="20"/>
        <v>1060.431586321954</v>
      </c>
      <c r="F92" s="9">
        <f>E92/Inputs!$C$12</f>
        <v>595.74808220334489</v>
      </c>
      <c r="G92" s="9">
        <f>2*E92/Inputs!$C$21*1000000</f>
        <v>7.0744380522204731</v>
      </c>
      <c r="H92" s="9">
        <f>SQRT(A92^2+Inputs!$C$6^2)</f>
        <v>29.154759474226502</v>
      </c>
      <c r="I92" s="9">
        <f t="shared" si="21"/>
        <v>4.1661452978542997</v>
      </c>
      <c r="J92" s="9">
        <f>DEGREES((2*PI()/Inputs!$C$13)*Inputs!$C$15*SIN(RADIANS(I92)))</f>
        <v>26.15360226055801</v>
      </c>
      <c r="K92" s="9">
        <f t="shared" si="22"/>
        <v>0.98947213188864036</v>
      </c>
      <c r="L92" s="9">
        <f t="shared" si="23"/>
        <v>-4.5964330264790368E-2</v>
      </c>
      <c r="M92" s="9">
        <f>2*(Inputs!$C$9/(Inputs!$C$10^2))*A92</f>
        <v>-3.3333333333333333E-2</v>
      </c>
      <c r="N92" s="9">
        <f>M92*Inputs!$C$11</f>
        <v>-0.13333333333333333</v>
      </c>
      <c r="O92" s="9">
        <f>1000*((A92*Inputs!$C$11)+(B92*N92))/D92</f>
        <v>-282.49120317791062</v>
      </c>
      <c r="P92" s="9">
        <f>-2*O92/Inputs!$C$13</f>
        <v>112.99648127116424</v>
      </c>
      <c r="Q92" s="9">
        <f>-2*O92/Inputs!$C$14</f>
        <v>16.966438629303944</v>
      </c>
      <c r="R92" s="9">
        <f>F92-Inputs!$C$16/2</f>
        <v>580.74808220334489</v>
      </c>
      <c r="S92" s="9">
        <f>F92+Inputs!$C$16/2</f>
        <v>610.74808220334489</v>
      </c>
      <c r="T92" s="9">
        <f>F92-Inputs!$C$17/2</f>
        <v>445.74808220334489</v>
      </c>
      <c r="U92" s="9">
        <f>F92+Inputs!$C$17/2</f>
        <v>745.74808220334489</v>
      </c>
      <c r="V92" s="9">
        <f t="shared" si="24"/>
        <v>112.99648127116424</v>
      </c>
      <c r="W92" s="9">
        <f t="shared" si="25"/>
        <v>16.966438629303944</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0</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0</v>
      </c>
      <c r="Z92" s="9">
        <f t="shared" si="26"/>
        <v>400.25</v>
      </c>
      <c r="AA92" s="9">
        <f>SQRT(A92^2+Inputs!$C$6^2+(B92-Y92/1000)^2)</f>
        <v>401.31043158632195</v>
      </c>
      <c r="AB92" s="9">
        <f t="shared" si="27"/>
        <v>1060.431586321954</v>
      </c>
      <c r="AC92" s="9">
        <f>AB92/Inputs!$C$12</f>
        <v>595.74808220334489</v>
      </c>
      <c r="AD92" s="9">
        <f>2*AB92/Inputs!$C$21*1000000</f>
        <v>7.0744380522204731</v>
      </c>
      <c r="AE92" s="9">
        <f t="shared" si="28"/>
        <v>4.1661452978542997</v>
      </c>
      <c r="AF92" s="9">
        <f>DEGREES((2*PI()/Inputs!$C$13)*Inputs!$C$15*SIN(RADIANS(AE92)))</f>
        <v>26.15360226055801</v>
      </c>
      <c r="AG92" s="9">
        <f t="shared" si="29"/>
        <v>0.98947213188864036</v>
      </c>
      <c r="AH92" s="9">
        <f t="shared" si="30"/>
        <v>-4.5964330264790368E-2</v>
      </c>
      <c r="AI92" s="9">
        <f t="shared" si="31"/>
        <v>0</v>
      </c>
      <c r="AJ92" s="9">
        <f t="shared" si="32"/>
        <v>0</v>
      </c>
      <c r="AK92" s="9">
        <f t="shared" si="33"/>
        <v>0</v>
      </c>
      <c r="AL92" s="9">
        <f>1000*(AA93-AA91)/(A93-A91)*Inputs!$C$11</f>
        <v>-282.49088204438522</v>
      </c>
      <c r="AM92" s="9">
        <f>-2*AL92/Inputs!$C$13</f>
        <v>112.99635281775409</v>
      </c>
      <c r="AN92" s="9">
        <f>-2*AL92/Inputs!$C$14</f>
        <v>16.966419342005121</v>
      </c>
      <c r="AO92" s="9">
        <f t="shared" si="34"/>
        <v>112.99635281775409</v>
      </c>
      <c r="AP92" s="9">
        <f t="shared" si="35"/>
        <v>16.966419342005121</v>
      </c>
      <c r="AQ92" s="9">
        <f>IF(OR(Inputs!$C$27=TRUE,Inputs!$C$27="TRUE",Inputs!$C$27=1),Inputs!$C$46/Inputs!$C$12,0)</f>
        <v>0</v>
      </c>
      <c r="AR92" s="9">
        <f t="shared" si="36"/>
        <v>595.74808220334489</v>
      </c>
      <c r="AS92" s="9">
        <f t="shared" si="37"/>
        <v>595.74808220334489</v>
      </c>
    </row>
    <row r="93" spans="1:45">
      <c r="A93" s="9">
        <f>Inputs!$C$7+91*(Inputs!$C$8-Inputs!$C$7)/240</f>
        <v>-14.5</v>
      </c>
      <c r="B93" s="9">
        <f>Inputs!$C$5+Inputs!$C$9*(A93/Inputs!$C$10)^2</f>
        <v>400.23361111111109</v>
      </c>
      <c r="C93" s="9">
        <f t="shared" si="19"/>
        <v>400.23361111111109</v>
      </c>
      <c r="D93" s="9">
        <f>SQRT(A93^2+Inputs!$C$6^2+B93^2)</f>
        <v>401.27570754163543</v>
      </c>
      <c r="E93" s="9">
        <f t="shared" si="20"/>
        <v>1042.0964305243388</v>
      </c>
      <c r="F93" s="9">
        <f>E93/Inputs!$C$12</f>
        <v>585.44743287884194</v>
      </c>
      <c r="G93" s="9">
        <f>2*E93/Inputs!$C$21*1000000</f>
        <v>6.9521190591415003</v>
      </c>
      <c r="H93" s="9">
        <f>SQRT(A93^2+Inputs!$C$6^2)</f>
        <v>28.900692033236851</v>
      </c>
      <c r="I93" s="9">
        <f t="shared" si="21"/>
        <v>4.1301343739438137</v>
      </c>
      <c r="J93" s="9">
        <f>DEGREES((2*PI()/Inputs!$C$13)*Inputs!$C$15*SIN(RADIANS(I93)))</f>
        <v>25.927931684939452</v>
      </c>
      <c r="K93" s="9">
        <f t="shared" si="22"/>
        <v>0.98965256044657546</v>
      </c>
      <c r="L93" s="9">
        <f t="shared" si="23"/>
        <v>-4.5172473868783272E-2</v>
      </c>
      <c r="M93" s="9">
        <f>2*(Inputs!$C$9/(Inputs!$C$10^2))*A93</f>
        <v>-3.2222222222222222E-2</v>
      </c>
      <c r="N93" s="9">
        <f>M93*Inputs!$C$11</f>
        <v>-0.12888888888888889</v>
      </c>
      <c r="O93" s="9">
        <f>1000*((A93*Inputs!$C$11)+(B93*N93))/D93</f>
        <v>-273.09319595612055</v>
      </c>
      <c r="P93" s="9">
        <f>-2*O93/Inputs!$C$13</f>
        <v>109.23727838244822</v>
      </c>
      <c r="Q93" s="9">
        <f>-2*O93/Inputs!$C$14</f>
        <v>16.401993751118354</v>
      </c>
      <c r="R93" s="9">
        <f>F93-Inputs!$C$16/2</f>
        <v>570.44743287884194</v>
      </c>
      <c r="S93" s="9">
        <f>F93+Inputs!$C$16/2</f>
        <v>600.44743287884194</v>
      </c>
      <c r="T93" s="9">
        <f>F93-Inputs!$C$17/2</f>
        <v>435.44743287884194</v>
      </c>
      <c r="U93" s="9">
        <f>F93+Inputs!$C$17/2</f>
        <v>735.44743287884194</v>
      </c>
      <c r="V93" s="9">
        <f t="shared" si="24"/>
        <v>109.23727838244822</v>
      </c>
      <c r="W93" s="9">
        <f t="shared" si="25"/>
        <v>16.401993751118354</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0</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0</v>
      </c>
      <c r="Z93" s="9">
        <f t="shared" si="26"/>
        <v>400.23361111111109</v>
      </c>
      <c r="AA93" s="9">
        <f>SQRT(A93^2+Inputs!$C$6^2+(B93-Y93/1000)^2)</f>
        <v>401.27570754163543</v>
      </c>
      <c r="AB93" s="9">
        <f t="shared" si="27"/>
        <v>1042.0964305243388</v>
      </c>
      <c r="AC93" s="9">
        <f>AB93/Inputs!$C$12</f>
        <v>585.44743287884194</v>
      </c>
      <c r="AD93" s="9">
        <f>2*AB93/Inputs!$C$21*1000000</f>
        <v>6.9521190591415003</v>
      </c>
      <c r="AE93" s="9">
        <f t="shared" si="28"/>
        <v>4.1301343739438137</v>
      </c>
      <c r="AF93" s="9">
        <f>DEGREES((2*PI()/Inputs!$C$13)*Inputs!$C$15*SIN(RADIANS(AE93)))</f>
        <v>25.927931684939452</v>
      </c>
      <c r="AG93" s="9">
        <f t="shared" si="29"/>
        <v>0.98965256044657546</v>
      </c>
      <c r="AH93" s="9">
        <f t="shared" si="30"/>
        <v>-4.5172473868783272E-2</v>
      </c>
      <c r="AI93" s="9">
        <f t="shared" si="31"/>
        <v>0</v>
      </c>
      <c r="AJ93" s="9">
        <f t="shared" si="32"/>
        <v>0</v>
      </c>
      <c r="AK93" s="9">
        <f t="shared" si="33"/>
        <v>0</v>
      </c>
      <c r="AL93" s="9">
        <f>1000*(AA94-AA92)/(A94-A92)*Inputs!$C$11</f>
        <v>-273.09288539254339</v>
      </c>
      <c r="AM93" s="9">
        <f>-2*AL93/Inputs!$C$13</f>
        <v>109.23715415701736</v>
      </c>
      <c r="AN93" s="9">
        <f>-2*AL93/Inputs!$C$14</f>
        <v>16.401975098651256</v>
      </c>
      <c r="AO93" s="9">
        <f t="shared" si="34"/>
        <v>109.23715415701736</v>
      </c>
      <c r="AP93" s="9">
        <f t="shared" si="35"/>
        <v>16.401975098651256</v>
      </c>
      <c r="AQ93" s="9">
        <f>IF(OR(Inputs!$C$27=TRUE,Inputs!$C$27="TRUE",Inputs!$C$27=1),Inputs!$C$46/Inputs!$C$12,0)</f>
        <v>0</v>
      </c>
      <c r="AR93" s="9">
        <f t="shared" si="36"/>
        <v>585.44743287884194</v>
      </c>
      <c r="AS93" s="9">
        <f t="shared" si="37"/>
        <v>585.44743287884194</v>
      </c>
    </row>
    <row r="94" spans="1:45">
      <c r="A94" s="9">
        <f>Inputs!$C$7+92*(Inputs!$C$8-Inputs!$C$7)/240</f>
        <v>-14</v>
      </c>
      <c r="B94" s="9">
        <f>Inputs!$C$5+Inputs!$C$9*(A94/Inputs!$C$10)^2</f>
        <v>400.21777777777777</v>
      </c>
      <c r="C94" s="9">
        <f t="shared" si="19"/>
        <v>400.21777777777777</v>
      </c>
      <c r="D94" s="9">
        <f>SQRT(A94^2+Inputs!$C$6^2+B94^2)</f>
        <v>401.24215836497382</v>
      </c>
      <c r="E94" s="9">
        <f t="shared" si="20"/>
        <v>1024.380587196049</v>
      </c>
      <c r="F94" s="9">
        <f>E94/Inputs!$C$12</f>
        <v>575.49471190789268</v>
      </c>
      <c r="G94" s="9">
        <f>2*E94/Inputs!$C$21*1000000</f>
        <v>6.8339316741320362</v>
      </c>
      <c r="H94" s="9">
        <f>SQRT(A94^2+Inputs!$C$6^2)</f>
        <v>28.653097563788805</v>
      </c>
      <c r="I94" s="9">
        <f t="shared" si="21"/>
        <v>4.0950335233008293</v>
      </c>
      <c r="J94" s="9">
        <f>DEGREES((2*PI()/Inputs!$C$13)*Inputs!$C$15*SIN(RADIANS(I94)))</f>
        <v>25.707954430803461</v>
      </c>
      <c r="K94" s="9">
        <f t="shared" si="22"/>
        <v>0.98982694776998903</v>
      </c>
      <c r="L94" s="9">
        <f t="shared" si="23"/>
        <v>-4.4407268145218511E-2</v>
      </c>
      <c r="M94" s="9">
        <f>2*(Inputs!$C$9/(Inputs!$C$10^2))*A94</f>
        <v>-3.111111111111111E-2</v>
      </c>
      <c r="N94" s="9">
        <f>M94*Inputs!$C$11</f>
        <v>-0.12444444444444444</v>
      </c>
      <c r="O94" s="9">
        <f>1000*((A94*Inputs!$C$11)+(B94*N94))/D94</f>
        <v>-263.69332535616689</v>
      </c>
      <c r="P94" s="9">
        <f>-2*O94/Inputs!$C$13</f>
        <v>105.47733014246676</v>
      </c>
      <c r="Q94" s="9">
        <f>-2*O94/Inputs!$C$14</f>
        <v>15.837436958328343</v>
      </c>
      <c r="R94" s="9">
        <f>F94-Inputs!$C$16/2</f>
        <v>560.49471190789268</v>
      </c>
      <c r="S94" s="9">
        <f>F94+Inputs!$C$16/2</f>
        <v>590.49471190789268</v>
      </c>
      <c r="T94" s="9">
        <f>F94-Inputs!$C$17/2</f>
        <v>425.49471190789268</v>
      </c>
      <c r="U94" s="9">
        <f>F94+Inputs!$C$17/2</f>
        <v>725.49471190789268</v>
      </c>
      <c r="V94" s="9">
        <f t="shared" si="24"/>
        <v>105.47733014246676</v>
      </c>
      <c r="W94" s="9">
        <f t="shared" si="25"/>
        <v>15.837436958328343</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0</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0</v>
      </c>
      <c r="Z94" s="9">
        <f t="shared" si="26"/>
        <v>400.21777777777777</v>
      </c>
      <c r="AA94" s="9">
        <f>SQRT(A94^2+Inputs!$C$6^2+(B94-Y94/1000)^2)</f>
        <v>401.24215836497382</v>
      </c>
      <c r="AB94" s="9">
        <f t="shared" si="27"/>
        <v>1024.380587196049</v>
      </c>
      <c r="AC94" s="9">
        <f>AB94/Inputs!$C$12</f>
        <v>575.49471190789268</v>
      </c>
      <c r="AD94" s="9">
        <f>2*AB94/Inputs!$C$21*1000000</f>
        <v>6.8339316741320362</v>
      </c>
      <c r="AE94" s="9">
        <f t="shared" si="28"/>
        <v>4.0950335233008293</v>
      </c>
      <c r="AF94" s="9">
        <f>DEGREES((2*PI()/Inputs!$C$13)*Inputs!$C$15*SIN(RADIANS(AE94)))</f>
        <v>25.707954430803461</v>
      </c>
      <c r="AG94" s="9">
        <f t="shared" si="29"/>
        <v>0.98982694776998903</v>
      </c>
      <c r="AH94" s="9">
        <f t="shared" si="30"/>
        <v>-4.4407268145218511E-2</v>
      </c>
      <c r="AI94" s="9">
        <f t="shared" si="31"/>
        <v>0</v>
      </c>
      <c r="AJ94" s="9">
        <f t="shared" si="32"/>
        <v>0</v>
      </c>
      <c r="AK94" s="9">
        <f t="shared" si="33"/>
        <v>0</v>
      </c>
      <c r="AL94" s="9">
        <f>1000*(AA95-AA93)/(A95-A93)*Inputs!$C$11</f>
        <v>-263.69302537636941</v>
      </c>
      <c r="AM94" s="9">
        <f>-2*AL94/Inputs!$C$13</f>
        <v>105.47721015054776</v>
      </c>
      <c r="AN94" s="9">
        <f>-2*AL94/Inputs!$C$14</f>
        <v>15.837418941523689</v>
      </c>
      <c r="AO94" s="9">
        <f t="shared" si="34"/>
        <v>105.47721015054776</v>
      </c>
      <c r="AP94" s="9">
        <f t="shared" si="35"/>
        <v>15.837418941523689</v>
      </c>
      <c r="AQ94" s="9">
        <f>IF(OR(Inputs!$C$27=TRUE,Inputs!$C$27="TRUE",Inputs!$C$27=1),Inputs!$C$46/Inputs!$C$12,0)</f>
        <v>0</v>
      </c>
      <c r="AR94" s="9">
        <f t="shared" si="36"/>
        <v>575.49471190789268</v>
      </c>
      <c r="AS94" s="9">
        <f t="shared" si="37"/>
        <v>575.49471190789268</v>
      </c>
    </row>
    <row r="95" spans="1:45">
      <c r="A95" s="9">
        <f>Inputs!$C$7+93*(Inputs!$C$8-Inputs!$C$7)/240</f>
        <v>-13.5</v>
      </c>
      <c r="B95" s="9">
        <f>Inputs!$C$5+Inputs!$C$9*(A95/Inputs!$C$10)^2</f>
        <v>400.20249999999999</v>
      </c>
      <c r="C95" s="9">
        <f t="shared" si="19"/>
        <v>400.20249999999999</v>
      </c>
      <c r="D95" s="9">
        <f>SQRT(A95^2+Inputs!$C$6^2+B95^2)</f>
        <v>401.20978428529133</v>
      </c>
      <c r="E95" s="9">
        <f t="shared" si="20"/>
        <v>1007.2842852913482</v>
      </c>
      <c r="F95" s="9">
        <f>E95/Inputs!$C$12</f>
        <v>565.89004791648767</v>
      </c>
      <c r="G95" s="9">
        <f>2*E95/Inputs!$C$21*1000000</f>
        <v>6.719877424610516</v>
      </c>
      <c r="H95" s="9">
        <f>SQRT(A95^2+Inputs!$C$6^2)</f>
        <v>28.412145290350743</v>
      </c>
      <c r="I95" s="9">
        <f t="shared" si="21"/>
        <v>4.0608673737375272</v>
      </c>
      <c r="J95" s="9">
        <f>DEGREES((2*PI()/Inputs!$C$13)*Inputs!$C$15*SIN(RADIANS(I95)))</f>
        <v>25.493825687095161</v>
      </c>
      <c r="K95" s="9">
        <f t="shared" si="22"/>
        <v>0.98999528614235099</v>
      </c>
      <c r="L95" s="9">
        <f t="shared" si="23"/>
        <v>-4.3668732885503922E-2</v>
      </c>
      <c r="M95" s="9">
        <f>2*(Inputs!$C$9/(Inputs!$C$10^2))*A95</f>
        <v>-0.03</v>
      </c>
      <c r="N95" s="9">
        <f>M95*Inputs!$C$11</f>
        <v>-0.12</v>
      </c>
      <c r="O95" s="9">
        <f>1000*((A95*Inputs!$C$11)+(B95*N95))/D95</f>
        <v>-254.2916548801133</v>
      </c>
      <c r="P95" s="9">
        <f>-2*O95/Inputs!$C$13</f>
        <v>101.71666195204531</v>
      </c>
      <c r="Q95" s="9">
        <f>-2*O95/Inputs!$C$14</f>
        <v>15.27277206487167</v>
      </c>
      <c r="R95" s="9">
        <f>F95-Inputs!$C$16/2</f>
        <v>550.89004791648767</v>
      </c>
      <c r="S95" s="9">
        <f>F95+Inputs!$C$16/2</f>
        <v>580.89004791648767</v>
      </c>
      <c r="T95" s="9">
        <f>F95-Inputs!$C$17/2</f>
        <v>415.89004791648767</v>
      </c>
      <c r="U95" s="9">
        <f>F95+Inputs!$C$17/2</f>
        <v>715.89004791648767</v>
      </c>
      <c r="V95" s="9">
        <f t="shared" si="24"/>
        <v>101.71666195204531</v>
      </c>
      <c r="W95" s="9">
        <f t="shared" si="25"/>
        <v>15.27277206487167</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0</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0</v>
      </c>
      <c r="Z95" s="9">
        <f t="shared" si="26"/>
        <v>400.20249999999999</v>
      </c>
      <c r="AA95" s="9">
        <f>SQRT(A95^2+Inputs!$C$6^2+(B95-Y95/1000)^2)</f>
        <v>401.20978428529133</v>
      </c>
      <c r="AB95" s="9">
        <f t="shared" si="27"/>
        <v>1007.2842852913482</v>
      </c>
      <c r="AC95" s="9">
        <f>AB95/Inputs!$C$12</f>
        <v>565.89004791648767</v>
      </c>
      <c r="AD95" s="9">
        <f>2*AB95/Inputs!$C$21*1000000</f>
        <v>6.719877424610516</v>
      </c>
      <c r="AE95" s="9">
        <f t="shared" si="28"/>
        <v>4.0608673737375272</v>
      </c>
      <c r="AF95" s="9">
        <f>DEGREES((2*PI()/Inputs!$C$13)*Inputs!$C$15*SIN(RADIANS(AE95)))</f>
        <v>25.493825687095161</v>
      </c>
      <c r="AG95" s="9">
        <f t="shared" si="29"/>
        <v>0.98999528614235099</v>
      </c>
      <c r="AH95" s="9">
        <f t="shared" si="30"/>
        <v>-4.3668732885503922E-2</v>
      </c>
      <c r="AI95" s="9">
        <f t="shared" si="31"/>
        <v>0</v>
      </c>
      <c r="AJ95" s="9">
        <f t="shared" si="32"/>
        <v>0</v>
      </c>
      <c r="AK95" s="9">
        <f t="shared" si="33"/>
        <v>0</v>
      </c>
      <c r="AL95" s="9">
        <f>1000*(AA96-AA94)/(A96-A94)*Inputs!$C$11</f>
        <v>-254.29136549723808</v>
      </c>
      <c r="AM95" s="9">
        <f>-2*AL95/Inputs!$C$13</f>
        <v>101.71654619889523</v>
      </c>
      <c r="AN95" s="9">
        <f>-2*AL95/Inputs!$C$14</f>
        <v>15.272754684518805</v>
      </c>
      <c r="AO95" s="9">
        <f t="shared" si="34"/>
        <v>101.71654619889523</v>
      </c>
      <c r="AP95" s="9">
        <f t="shared" si="35"/>
        <v>15.272754684518805</v>
      </c>
      <c r="AQ95" s="9">
        <f>IF(OR(Inputs!$C$27=TRUE,Inputs!$C$27="TRUE",Inputs!$C$27=1),Inputs!$C$46/Inputs!$C$12,0)</f>
        <v>0</v>
      </c>
      <c r="AR95" s="9">
        <f t="shared" si="36"/>
        <v>565.89004791648767</v>
      </c>
      <c r="AS95" s="9">
        <f t="shared" si="37"/>
        <v>565.89004791648767</v>
      </c>
    </row>
    <row r="96" spans="1:45">
      <c r="A96" s="9">
        <f>Inputs!$C$7+94*(Inputs!$C$8-Inputs!$C$7)/240</f>
        <v>-13</v>
      </c>
      <c r="B96" s="9">
        <f>Inputs!$C$5+Inputs!$C$9*(A96/Inputs!$C$10)^2</f>
        <v>400.1877777777778</v>
      </c>
      <c r="C96" s="9">
        <f t="shared" si="19"/>
        <v>400.1877777777778</v>
      </c>
      <c r="D96" s="9">
        <f>SQRT(A96^2+Inputs!$C$6^2+B96^2)</f>
        <v>401.17858552359951</v>
      </c>
      <c r="E96" s="9">
        <f t="shared" si="20"/>
        <v>990.80774582171216</v>
      </c>
      <c r="F96" s="9">
        <f>E96/Inputs!$C$12</f>
        <v>556.63356506837761</v>
      </c>
      <c r="G96" s="9">
        <f>2*E96/Inputs!$C$21*1000000</f>
        <v>6.6099577850068005</v>
      </c>
      <c r="H96" s="9">
        <f>SQRT(A96^2+Inputs!$C$6^2)</f>
        <v>28.178005607210743</v>
      </c>
      <c r="I96" s="9">
        <f t="shared" si="21"/>
        <v>4.0276607135085563</v>
      </c>
      <c r="J96" s="9">
        <f>DEGREES((2*PI()/Inputs!$C$13)*Inputs!$C$15*SIN(RADIANS(I96)))</f>
        <v>25.285701641717207</v>
      </c>
      <c r="K96" s="9">
        <f t="shared" si="22"/>
        <v>0.99015756811075084</v>
      </c>
      <c r="L96" s="9">
        <f t="shared" si="23"/>
        <v>-4.295688719748178E-2</v>
      </c>
      <c r="M96" s="9">
        <f>2*(Inputs!$C$9/(Inputs!$C$10^2))*A96</f>
        <v>-2.8888888888888888E-2</v>
      </c>
      <c r="N96" s="9">
        <f>M96*Inputs!$C$11</f>
        <v>-0.11555555555555555</v>
      </c>
      <c r="O96" s="9">
        <f>1000*((A96*Inputs!$C$11)+(B96*N96))/D96</f>
        <v>-244.88824810883401</v>
      </c>
      <c r="P96" s="9">
        <f>-2*O96/Inputs!$C$13</f>
        <v>97.955299243533602</v>
      </c>
      <c r="Q96" s="9">
        <f>-2*O96/Inputs!$C$14</f>
        <v>14.708002889419461</v>
      </c>
      <c r="R96" s="9">
        <f>F96-Inputs!$C$16/2</f>
        <v>541.63356506837761</v>
      </c>
      <c r="S96" s="9">
        <f>F96+Inputs!$C$16/2</f>
        <v>571.63356506837761</v>
      </c>
      <c r="T96" s="9">
        <f>F96-Inputs!$C$17/2</f>
        <v>406.63356506837761</v>
      </c>
      <c r="U96" s="9">
        <f>F96+Inputs!$C$17/2</f>
        <v>706.63356506837761</v>
      </c>
      <c r="V96" s="9">
        <f t="shared" si="24"/>
        <v>97.955299243533602</v>
      </c>
      <c r="W96" s="9">
        <f t="shared" si="25"/>
        <v>14.708002889419461</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0</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0</v>
      </c>
      <c r="Z96" s="9">
        <f t="shared" si="26"/>
        <v>400.1877777777778</v>
      </c>
      <c r="AA96" s="9">
        <f>SQRT(A96^2+Inputs!$C$6^2+(B96-Y96/1000)^2)</f>
        <v>401.17858552359951</v>
      </c>
      <c r="AB96" s="9">
        <f t="shared" si="27"/>
        <v>990.80774582171216</v>
      </c>
      <c r="AC96" s="9">
        <f>AB96/Inputs!$C$12</f>
        <v>556.63356506837761</v>
      </c>
      <c r="AD96" s="9">
        <f>2*AB96/Inputs!$C$21*1000000</f>
        <v>6.6099577850068005</v>
      </c>
      <c r="AE96" s="9">
        <f t="shared" si="28"/>
        <v>4.0276607135085563</v>
      </c>
      <c r="AF96" s="9">
        <f>DEGREES((2*PI()/Inputs!$C$13)*Inputs!$C$15*SIN(RADIANS(AE96)))</f>
        <v>25.285701641717207</v>
      </c>
      <c r="AG96" s="9">
        <f t="shared" si="29"/>
        <v>0.99015756811075084</v>
      </c>
      <c r="AH96" s="9">
        <f t="shared" si="30"/>
        <v>-4.295688719748178E-2</v>
      </c>
      <c r="AI96" s="9">
        <f t="shared" si="31"/>
        <v>0</v>
      </c>
      <c r="AJ96" s="9">
        <f t="shared" si="32"/>
        <v>0</v>
      </c>
      <c r="AK96" s="9">
        <f t="shared" si="33"/>
        <v>0</v>
      </c>
      <c r="AL96" s="9">
        <f>1000*(AA97-AA95)/(A97-A95)*Inputs!$C$11</f>
        <v>-244.88796933542289</v>
      </c>
      <c r="AM96" s="9">
        <f>-2*AL96/Inputs!$C$13</f>
        <v>97.955187734169158</v>
      </c>
      <c r="AN96" s="9">
        <f>-2*AL96/Inputs!$C$14</f>
        <v>14.707986146271647</v>
      </c>
      <c r="AO96" s="9">
        <f t="shared" si="34"/>
        <v>97.955187734169158</v>
      </c>
      <c r="AP96" s="9">
        <f t="shared" si="35"/>
        <v>14.707986146271647</v>
      </c>
      <c r="AQ96" s="9">
        <f>IF(OR(Inputs!$C$27=TRUE,Inputs!$C$27="TRUE",Inputs!$C$27=1),Inputs!$C$46/Inputs!$C$12,0)</f>
        <v>0</v>
      </c>
      <c r="AR96" s="9">
        <f t="shared" si="36"/>
        <v>556.63356506837761</v>
      </c>
      <c r="AS96" s="9">
        <f t="shared" si="37"/>
        <v>556.63356506837761</v>
      </c>
    </row>
    <row r="97" spans="1:45">
      <c r="A97" s="9">
        <f>Inputs!$C$7+95*(Inputs!$C$8-Inputs!$C$7)/240</f>
        <v>-12.5</v>
      </c>
      <c r="B97" s="9">
        <f>Inputs!$C$5+Inputs!$C$9*(A97/Inputs!$C$10)^2</f>
        <v>400.17361111111109</v>
      </c>
      <c r="C97" s="9">
        <f t="shared" si="19"/>
        <v>400.17361111111109</v>
      </c>
      <c r="D97" s="9">
        <f>SQRT(A97^2+Inputs!$C$6^2+B97^2)</f>
        <v>401.14856229295748</v>
      </c>
      <c r="E97" s="9">
        <f t="shared" si="20"/>
        <v>974.95118184639296</v>
      </c>
      <c r="F97" s="9">
        <f>E97/Inputs!$C$12</f>
        <v>547.72538305977127</v>
      </c>
      <c r="G97" s="9">
        <f>2*E97/Inputs!$C$21*1000000</f>
        <v>6.5041741766992214</v>
      </c>
      <c r="H97" s="9">
        <f>SQRT(A97^2+Inputs!$C$6^2)</f>
        <v>27.950849718747371</v>
      </c>
      <c r="I97" s="9">
        <f t="shared" si="21"/>
        <v>3.9954384393380811</v>
      </c>
      <c r="J97" s="9">
        <f>DEGREES((2*PI()/Inputs!$C$13)*Inputs!$C$15*SIN(RADIANS(I97)))</f>
        <v>25.083739154474607</v>
      </c>
      <c r="K97" s="9">
        <f t="shared" si="22"/>
        <v>0.99031378648665469</v>
      </c>
      <c r="L97" s="9">
        <f t="shared" si="23"/>
        <v>-4.2271749504274099E-2</v>
      </c>
      <c r="M97" s="9">
        <f>2*(Inputs!$C$9/(Inputs!$C$10^2))*A97</f>
        <v>-2.7777777777777776E-2</v>
      </c>
      <c r="N97" s="9">
        <f>M97*Inputs!$C$11</f>
        <v>-0.1111111111111111</v>
      </c>
      <c r="O97" s="9">
        <f>1000*((A97*Inputs!$C$11)+(B97*N97))/D97</f>
        <v>-235.48316869926774</v>
      </c>
      <c r="P97" s="9">
        <f>-2*O97/Inputs!$C$13</f>
        <v>94.193267479707089</v>
      </c>
      <c r="Q97" s="9">
        <f>-2*O97/Inputs!$C$14</f>
        <v>14.143133255211277</v>
      </c>
      <c r="R97" s="9">
        <f>F97-Inputs!$C$16/2</f>
        <v>532.72538305977127</v>
      </c>
      <c r="S97" s="9">
        <f>F97+Inputs!$C$16/2</f>
        <v>562.72538305977127</v>
      </c>
      <c r="T97" s="9">
        <f>F97-Inputs!$C$17/2</f>
        <v>397.72538305977127</v>
      </c>
      <c r="U97" s="9">
        <f>F97+Inputs!$C$17/2</f>
        <v>697.72538305977127</v>
      </c>
      <c r="V97" s="9">
        <f t="shared" si="24"/>
        <v>94.193267479707089</v>
      </c>
      <c r="W97" s="9">
        <f t="shared" si="25"/>
        <v>14.143133255211277</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0</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0</v>
      </c>
      <c r="Z97" s="9">
        <f t="shared" si="26"/>
        <v>400.17361111111109</v>
      </c>
      <c r="AA97" s="9">
        <f>SQRT(A97^2+Inputs!$C$6^2+(B97-Y97/1000)^2)</f>
        <v>401.14856229295748</v>
      </c>
      <c r="AB97" s="9">
        <f t="shared" si="27"/>
        <v>974.95118184639296</v>
      </c>
      <c r="AC97" s="9">
        <f>AB97/Inputs!$C$12</f>
        <v>547.72538305977127</v>
      </c>
      <c r="AD97" s="9">
        <f>2*AB97/Inputs!$C$21*1000000</f>
        <v>6.5041741766992214</v>
      </c>
      <c r="AE97" s="9">
        <f t="shared" si="28"/>
        <v>3.9954384393380811</v>
      </c>
      <c r="AF97" s="9">
        <f>DEGREES((2*PI()/Inputs!$C$13)*Inputs!$C$15*SIN(RADIANS(AE97)))</f>
        <v>25.083739154474607</v>
      </c>
      <c r="AG97" s="9">
        <f t="shared" si="29"/>
        <v>0.99031378648665469</v>
      </c>
      <c r="AH97" s="9">
        <f t="shared" si="30"/>
        <v>-4.2271749504274099E-2</v>
      </c>
      <c r="AI97" s="9">
        <f t="shared" si="31"/>
        <v>0</v>
      </c>
      <c r="AJ97" s="9">
        <f t="shared" si="32"/>
        <v>0</v>
      </c>
      <c r="AK97" s="9">
        <f t="shared" si="33"/>
        <v>0</v>
      </c>
      <c r="AL97" s="9">
        <f>1000*(AA98-AA96)/(A98-A96)*Inputs!$C$11</f>
        <v>-235.48290054736754</v>
      </c>
      <c r="AM97" s="9">
        <f>-2*AL97/Inputs!$C$13</f>
        <v>94.193160218947014</v>
      </c>
      <c r="AN97" s="9">
        <f>-2*AL97/Inputs!$C$14</f>
        <v>14.143117149992046</v>
      </c>
      <c r="AO97" s="9">
        <f t="shared" si="34"/>
        <v>94.193160218947014</v>
      </c>
      <c r="AP97" s="9">
        <f t="shared" si="35"/>
        <v>14.143117149992046</v>
      </c>
      <c r="AQ97" s="9">
        <f>IF(OR(Inputs!$C$27=TRUE,Inputs!$C$27="TRUE",Inputs!$C$27=1),Inputs!$C$46/Inputs!$C$12,0)</f>
        <v>0</v>
      </c>
      <c r="AR97" s="9">
        <f t="shared" si="36"/>
        <v>547.72538305977127</v>
      </c>
      <c r="AS97" s="9">
        <f t="shared" si="37"/>
        <v>547.72538305977127</v>
      </c>
    </row>
    <row r="98" spans="1:45">
      <c r="A98" s="9">
        <f>Inputs!$C$7+96*(Inputs!$C$8-Inputs!$C$7)/240</f>
        <v>-12</v>
      </c>
      <c r="B98" s="9">
        <f>Inputs!$C$5+Inputs!$C$9*(A98/Inputs!$C$10)^2</f>
        <v>400.16</v>
      </c>
      <c r="C98" s="9">
        <f t="shared" si="19"/>
        <v>400.16</v>
      </c>
      <c r="D98" s="9">
        <f>SQRT(A98^2+Inputs!$C$6^2+B98^2)</f>
        <v>401.11971479846267</v>
      </c>
      <c r="E98" s="9">
        <f t="shared" si="20"/>
        <v>959.71479846264174</v>
      </c>
      <c r="F98" s="9">
        <f>E98/Inputs!$C$12</f>
        <v>539.16561711384361</v>
      </c>
      <c r="G98" s="9">
        <f>2*E98/Inputs!$C$21*1000000</f>
        <v>6.4025279679493581</v>
      </c>
      <c r="H98" s="9">
        <f>SQRT(A98^2+Inputs!$C$6^2)</f>
        <v>27.730849247724095</v>
      </c>
      <c r="I98" s="9">
        <f t="shared" si="21"/>
        <v>3.9642254998513842</v>
      </c>
      <c r="J98" s="9">
        <f>DEGREES((2*PI()/Inputs!$C$13)*Inputs!$C$15*SIN(RADIANS(I98)))</f>
        <v>24.888095401136177</v>
      </c>
      <c r="K98" s="9">
        <f t="shared" si="22"/>
        <v>0.9904639343466406</v>
      </c>
      <c r="L98" s="9">
        <f t="shared" si="23"/>
        <v>-4.1613337543148804E-2</v>
      </c>
      <c r="M98" s="9">
        <f>2*(Inputs!$C$9/(Inputs!$C$10^2))*A98</f>
        <v>-2.6666666666666665E-2</v>
      </c>
      <c r="N98" s="9">
        <f>M98*Inputs!$C$11</f>
        <v>-0.10666666666666666</v>
      </c>
      <c r="O98" s="9">
        <f>1000*((A98*Inputs!$C$11)+(B98*N98))/D98</f>
        <v>-226.07648038166408</v>
      </c>
      <c r="P98" s="9">
        <f>-2*O98/Inputs!$C$13</f>
        <v>90.430592152665639</v>
      </c>
      <c r="Q98" s="9">
        <f>-2*O98/Inputs!$C$14</f>
        <v>13.578166989889736</v>
      </c>
      <c r="R98" s="9">
        <f>F98-Inputs!$C$16/2</f>
        <v>524.16561711384361</v>
      </c>
      <c r="S98" s="9">
        <f>F98+Inputs!$C$16/2</f>
        <v>554.16561711384361</v>
      </c>
      <c r="T98" s="9">
        <f>F98-Inputs!$C$17/2</f>
        <v>389.16561711384361</v>
      </c>
      <c r="U98" s="9">
        <f>F98+Inputs!$C$17/2</f>
        <v>689.16561711384361</v>
      </c>
      <c r="V98" s="9">
        <f t="shared" si="24"/>
        <v>90.430592152665639</v>
      </c>
      <c r="W98" s="9">
        <f t="shared" si="25"/>
        <v>13.578166989889736</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0</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0</v>
      </c>
      <c r="Z98" s="9">
        <f t="shared" si="26"/>
        <v>400.16</v>
      </c>
      <c r="AA98" s="9">
        <f>SQRT(A98^2+Inputs!$C$6^2+(B98-Y98/1000)^2)</f>
        <v>401.11971479846267</v>
      </c>
      <c r="AB98" s="9">
        <f t="shared" si="27"/>
        <v>959.71479846264174</v>
      </c>
      <c r="AC98" s="9">
        <f>AB98/Inputs!$C$12</f>
        <v>539.16561711384361</v>
      </c>
      <c r="AD98" s="9">
        <f>2*AB98/Inputs!$C$21*1000000</f>
        <v>6.4025279679493581</v>
      </c>
      <c r="AE98" s="9">
        <f t="shared" si="28"/>
        <v>3.9642254998513842</v>
      </c>
      <c r="AF98" s="9">
        <f>DEGREES((2*PI()/Inputs!$C$13)*Inputs!$C$15*SIN(RADIANS(AE98)))</f>
        <v>24.888095401136177</v>
      </c>
      <c r="AG98" s="9">
        <f t="shared" si="29"/>
        <v>0.9904639343466406</v>
      </c>
      <c r="AH98" s="9">
        <f t="shared" si="30"/>
        <v>-4.1613337543148804E-2</v>
      </c>
      <c r="AI98" s="9">
        <f t="shared" si="31"/>
        <v>0</v>
      </c>
      <c r="AJ98" s="9">
        <f t="shared" si="32"/>
        <v>0</v>
      </c>
      <c r="AK98" s="9">
        <f t="shared" si="33"/>
        <v>0</v>
      </c>
      <c r="AL98" s="9">
        <f>1000*(AA99-AA97)/(A99-A97)*Inputs!$C$11</f>
        <v>-226.07622286341211</v>
      </c>
      <c r="AM98" s="9">
        <f>-2*AL98/Inputs!$C$13</f>
        <v>90.430489145364845</v>
      </c>
      <c r="AN98" s="9">
        <f>-2*AL98/Inputs!$C$14</f>
        <v>13.578151523328057</v>
      </c>
      <c r="AO98" s="9">
        <f t="shared" si="34"/>
        <v>90.430489145364845</v>
      </c>
      <c r="AP98" s="9">
        <f t="shared" si="35"/>
        <v>13.578151523328057</v>
      </c>
      <c r="AQ98" s="9">
        <f>IF(OR(Inputs!$C$27=TRUE,Inputs!$C$27="TRUE",Inputs!$C$27=1),Inputs!$C$46/Inputs!$C$12,0)</f>
        <v>0</v>
      </c>
      <c r="AR98" s="9">
        <f t="shared" si="36"/>
        <v>539.16561711384361</v>
      </c>
      <c r="AS98" s="9">
        <f t="shared" si="37"/>
        <v>539.16561711384361</v>
      </c>
    </row>
    <row r="99" spans="1:45">
      <c r="A99" s="9">
        <f>Inputs!$C$7+97*(Inputs!$C$8-Inputs!$C$7)/240</f>
        <v>-11.5</v>
      </c>
      <c r="B99" s="9">
        <f>Inputs!$C$5+Inputs!$C$9*(A99/Inputs!$C$10)^2</f>
        <v>400.14694444444444</v>
      </c>
      <c r="C99" s="9">
        <f t="shared" si="19"/>
        <v>400.14694444444444</v>
      </c>
      <c r="D99" s="9">
        <f>SQRT(A99^2+Inputs!$C$6^2+B99^2)</f>
        <v>401.09204323724163</v>
      </c>
      <c r="E99" s="9">
        <f t="shared" si="20"/>
        <v>945.09879279718234</v>
      </c>
      <c r="F99" s="9">
        <f>E99/Inputs!$C$12</f>
        <v>530.95437797594514</v>
      </c>
      <c r="G99" s="9">
        <f>2*E99/Inputs!$C$21*1000000</f>
        <v>6.3050204738451585</v>
      </c>
      <c r="H99" s="9">
        <f>SQRT(A99^2+Inputs!$C$6^2)</f>
        <v>27.518175811634027</v>
      </c>
      <c r="I99" s="9">
        <f t="shared" si="21"/>
        <v>3.934046834415676</v>
      </c>
      <c r="J99" s="9">
        <f>DEGREES((2*PI()/Inputs!$C$13)*Inputs!$C$15*SIN(RADIANS(I99)))</f>
        <v>24.698927488642891</v>
      </c>
      <c r="K99" s="9">
        <f t="shared" si="22"/>
        <v>0.99060800503309843</v>
      </c>
      <c r="L99" s="9">
        <f t="shared" si="23"/>
        <v>-4.0981668364466241E-2</v>
      </c>
      <c r="M99" s="9">
        <f>2*(Inputs!$C$9/(Inputs!$C$10^2))*A99</f>
        <v>-2.5555555555555557E-2</v>
      </c>
      <c r="N99" s="9">
        <f>M99*Inputs!$C$11</f>
        <v>-0.10222222222222223</v>
      </c>
      <c r="O99" s="9">
        <f>1000*((A99*Inputs!$C$11)+(B99*N99))/D99</f>
        <v>-216.66824695682254</v>
      </c>
      <c r="P99" s="9">
        <f>-2*O99/Inputs!$C$13</f>
        <v>86.66729878272902</v>
      </c>
      <c r="Q99" s="9">
        <f>-2*O99/Inputs!$C$14</f>
        <v>13.013107925334689</v>
      </c>
      <c r="R99" s="9">
        <f>F99-Inputs!$C$16/2</f>
        <v>515.95437797594514</v>
      </c>
      <c r="S99" s="9">
        <f>F99+Inputs!$C$16/2</f>
        <v>545.95437797594514</v>
      </c>
      <c r="T99" s="9">
        <f>F99-Inputs!$C$17/2</f>
        <v>380.95437797594514</v>
      </c>
      <c r="U99" s="9">
        <f>F99+Inputs!$C$17/2</f>
        <v>680.95437797594514</v>
      </c>
      <c r="V99" s="9">
        <f t="shared" si="24"/>
        <v>86.66729878272902</v>
      </c>
      <c r="W99" s="9">
        <f t="shared" si="25"/>
        <v>13.013107925334689</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0</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0</v>
      </c>
      <c r="Z99" s="9">
        <f t="shared" si="26"/>
        <v>400.14694444444444</v>
      </c>
      <c r="AA99" s="9">
        <f>SQRT(A99^2+Inputs!$C$6^2+(B99-Y99/1000)^2)</f>
        <v>401.09204323724163</v>
      </c>
      <c r="AB99" s="9">
        <f t="shared" si="27"/>
        <v>945.09879279718234</v>
      </c>
      <c r="AC99" s="9">
        <f>AB99/Inputs!$C$12</f>
        <v>530.95437797594514</v>
      </c>
      <c r="AD99" s="9">
        <f>2*AB99/Inputs!$C$21*1000000</f>
        <v>6.3050204738451585</v>
      </c>
      <c r="AE99" s="9">
        <f t="shared" si="28"/>
        <v>3.934046834415676</v>
      </c>
      <c r="AF99" s="9">
        <f>DEGREES((2*PI()/Inputs!$C$13)*Inputs!$C$15*SIN(RADIANS(AE99)))</f>
        <v>24.698927488642891</v>
      </c>
      <c r="AG99" s="9">
        <f t="shared" si="29"/>
        <v>0.99060800503309843</v>
      </c>
      <c r="AH99" s="9">
        <f t="shared" si="30"/>
        <v>-4.0981668364466241E-2</v>
      </c>
      <c r="AI99" s="9">
        <f t="shared" si="31"/>
        <v>0</v>
      </c>
      <c r="AJ99" s="9">
        <f t="shared" si="32"/>
        <v>0</v>
      </c>
      <c r="AK99" s="9">
        <f t="shared" si="33"/>
        <v>0</v>
      </c>
      <c r="AL99" s="9">
        <f>1000*(AA100-AA98)/(A100-A98)*Inputs!$C$11</f>
        <v>-216.66800008347309</v>
      </c>
      <c r="AM99" s="9">
        <f>-2*AL99/Inputs!$C$13</f>
        <v>86.667200033389236</v>
      </c>
      <c r="AN99" s="9">
        <f>-2*AL99/Inputs!$C$14</f>
        <v>13.013093098106493</v>
      </c>
      <c r="AO99" s="9">
        <f t="shared" si="34"/>
        <v>86.667200033389236</v>
      </c>
      <c r="AP99" s="9">
        <f t="shared" si="35"/>
        <v>13.013093098106493</v>
      </c>
      <c r="AQ99" s="9">
        <f>IF(OR(Inputs!$C$27=TRUE,Inputs!$C$27="TRUE",Inputs!$C$27=1),Inputs!$C$46/Inputs!$C$12,0)</f>
        <v>0</v>
      </c>
      <c r="AR99" s="9">
        <f t="shared" si="36"/>
        <v>530.95437797594514</v>
      </c>
      <c r="AS99" s="9">
        <f t="shared" si="37"/>
        <v>530.95437797594514</v>
      </c>
    </row>
    <row r="100" spans="1:45">
      <c r="A100" s="9">
        <f>Inputs!$C$7+98*(Inputs!$C$8-Inputs!$C$7)/240</f>
        <v>-11</v>
      </c>
      <c r="B100" s="9">
        <f>Inputs!$C$5+Inputs!$C$9*(A100/Inputs!$C$10)^2</f>
        <v>400.13444444444445</v>
      </c>
      <c r="C100" s="9">
        <f t="shared" si="19"/>
        <v>400.13444444444445</v>
      </c>
      <c r="D100" s="9">
        <f>SQRT(A100^2+Inputs!$C$6^2+B100^2)</f>
        <v>401.0655477984418</v>
      </c>
      <c r="E100" s="9">
        <f t="shared" si="20"/>
        <v>931.10335399734367</v>
      </c>
      <c r="F100" s="9">
        <f>E100/Inputs!$C$12</f>
        <v>523.09177190861999</v>
      </c>
      <c r="G100" s="9">
        <f>2*E100/Inputs!$C$21*1000000</f>
        <v>6.2116529562417719</v>
      </c>
      <c r="H100" s="9">
        <f>SQRT(A100^2+Inputs!$C$6^2)</f>
        <v>27.313000567495326</v>
      </c>
      <c r="I100" s="9">
        <f t="shared" si="21"/>
        <v>3.9049273074484554</v>
      </c>
      <c r="J100" s="9">
        <f>DEGREES((2*PI()/Inputs!$C$13)*Inputs!$C$15*SIN(RADIANS(I100)))</f>
        <v>24.516392041831022</v>
      </c>
      <c r="K100" s="9">
        <f t="shared" si="22"/>
        <v>0.99074599215491155</v>
      </c>
      <c r="L100" s="9">
        <f t="shared" si="23"/>
        <v>-4.0376758330629939E-2</v>
      </c>
      <c r="M100" s="9">
        <f>2*(Inputs!$C$9/(Inputs!$C$10^2))*A100</f>
        <v>-2.4444444444444446E-2</v>
      </c>
      <c r="N100" s="9">
        <f>M100*Inputs!$C$11</f>
        <v>-9.7777777777777783E-2</v>
      </c>
      <c r="O100" s="9">
        <f>1000*((A100*Inputs!$C$11)+(B100*N100))/D100</f>
        <v>-207.25853229332512</v>
      </c>
      <c r="P100" s="9">
        <f>-2*O100/Inputs!$C$13</f>
        <v>82.903412917330044</v>
      </c>
      <c r="Q100" s="9">
        <f>-2*O100/Inputs!$C$14</f>
        <v>12.447959897497006</v>
      </c>
      <c r="R100" s="9">
        <f>F100-Inputs!$C$16/2</f>
        <v>508.09177190861999</v>
      </c>
      <c r="S100" s="9">
        <f>F100+Inputs!$C$16/2</f>
        <v>538.09177190861999</v>
      </c>
      <c r="T100" s="9">
        <f>F100-Inputs!$C$17/2</f>
        <v>373.09177190861999</v>
      </c>
      <c r="U100" s="9">
        <f>F100+Inputs!$C$17/2</f>
        <v>673.09177190861999</v>
      </c>
      <c r="V100" s="9">
        <f t="shared" si="24"/>
        <v>82.903412917330044</v>
      </c>
      <c r="W100" s="9">
        <f t="shared" si="25"/>
        <v>12.447959897497006</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0</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0</v>
      </c>
      <c r="Z100" s="9">
        <f t="shared" si="26"/>
        <v>400.13444444444445</v>
      </c>
      <c r="AA100" s="9">
        <f>SQRT(A100^2+Inputs!$C$6^2+(B100-Y100/1000)^2)</f>
        <v>401.0655477984418</v>
      </c>
      <c r="AB100" s="9">
        <f t="shared" si="27"/>
        <v>931.10335399734367</v>
      </c>
      <c r="AC100" s="9">
        <f>AB100/Inputs!$C$12</f>
        <v>523.09177190861999</v>
      </c>
      <c r="AD100" s="9">
        <f>2*AB100/Inputs!$C$21*1000000</f>
        <v>6.2116529562417719</v>
      </c>
      <c r="AE100" s="9">
        <f t="shared" si="28"/>
        <v>3.9049273074484554</v>
      </c>
      <c r="AF100" s="9">
        <f>DEGREES((2*PI()/Inputs!$C$13)*Inputs!$C$15*SIN(RADIANS(AE100)))</f>
        <v>24.516392041831022</v>
      </c>
      <c r="AG100" s="9">
        <f t="shared" si="29"/>
        <v>0.99074599215491155</v>
      </c>
      <c r="AH100" s="9">
        <f t="shared" si="30"/>
        <v>-4.0376758330629939E-2</v>
      </c>
      <c r="AI100" s="9">
        <f t="shared" si="31"/>
        <v>0</v>
      </c>
      <c r="AJ100" s="9">
        <f t="shared" si="32"/>
        <v>0</v>
      </c>
      <c r="AK100" s="9">
        <f t="shared" si="33"/>
        <v>0</v>
      </c>
      <c r="AL100" s="9">
        <f>1000*(AA101-AA99)/(A101-A99)*Inputs!$C$11</f>
        <v>-207.25829607545165</v>
      </c>
      <c r="AM100" s="9">
        <f>-2*AL100/Inputs!$C$13</f>
        <v>82.903318430180661</v>
      </c>
      <c r="AN100" s="9">
        <f>-2*AL100/Inputs!$C$14</f>
        <v>12.447945710237338</v>
      </c>
      <c r="AO100" s="9">
        <f t="shared" si="34"/>
        <v>82.903318430180661</v>
      </c>
      <c r="AP100" s="9">
        <f t="shared" si="35"/>
        <v>12.447945710237338</v>
      </c>
      <c r="AQ100" s="9">
        <f>IF(OR(Inputs!$C$27=TRUE,Inputs!$C$27="TRUE",Inputs!$C$27=1),Inputs!$C$46/Inputs!$C$12,0)</f>
        <v>0</v>
      </c>
      <c r="AR100" s="9">
        <f t="shared" si="36"/>
        <v>523.09177190861999</v>
      </c>
      <c r="AS100" s="9">
        <f t="shared" si="37"/>
        <v>523.09177190861999</v>
      </c>
    </row>
    <row r="101" spans="1:45">
      <c r="A101" s="9">
        <f>Inputs!$C$7+99*(Inputs!$C$8-Inputs!$C$7)/240</f>
        <v>-10.5</v>
      </c>
      <c r="B101" s="9">
        <f>Inputs!$C$5+Inputs!$C$9*(A101/Inputs!$C$10)^2</f>
        <v>400.1225</v>
      </c>
      <c r="C101" s="9">
        <f t="shared" si="19"/>
        <v>400.1225</v>
      </c>
      <c r="D101" s="9">
        <f>SQRT(A101^2+Inputs!$C$6^2+B101^2)</f>
        <v>401.04022866322276</v>
      </c>
      <c r="E101" s="9">
        <f t="shared" si="20"/>
        <v>917.72866322276059</v>
      </c>
      <c r="F101" s="9">
        <f>E101/Inputs!$C$12</f>
        <v>515.57790068694419</v>
      </c>
      <c r="G101" s="9">
        <f>2*E101/Inputs!$C$21*1000000</f>
        <v>6.1224266237061951</v>
      </c>
      <c r="H101" s="9">
        <f>SQRT(A101^2+Inputs!$C$6^2)</f>
        <v>27.115493725912497</v>
      </c>
      <c r="I101" s="9">
        <f t="shared" si="21"/>
        <v>3.8768916383114718</v>
      </c>
      <c r="J101" s="9">
        <f>DEGREES((2*PI()/Inputs!$C$13)*Inputs!$C$15*SIN(RADIANS(I101)))</f>
        <v>24.340644762413291</v>
      </c>
      <c r="K101" s="9">
        <f t="shared" si="22"/>
        <v>0.99087788958810696</v>
      </c>
      <c r="L101" s="9">
        <f t="shared" si="23"/>
        <v>-3.9798623115099747E-2</v>
      </c>
      <c r="M101" s="9">
        <f>2*(Inputs!$C$9/(Inputs!$C$10^2))*A101</f>
        <v>-2.3333333333333334E-2</v>
      </c>
      <c r="N101" s="9">
        <f>M101*Inputs!$C$11</f>
        <v>-9.3333333333333338E-2</v>
      </c>
      <c r="O101" s="9">
        <f>1000*((A101*Inputs!$C$11)+(B101*N101))/D101</f>
        <v>-197.84740032476188</v>
      </c>
      <c r="P101" s="9">
        <f>-2*O101/Inputs!$C$13</f>
        <v>79.138960129904746</v>
      </c>
      <c r="Q101" s="9">
        <f>-2*O101/Inputs!$C$14</f>
        <v>11.882726746231945</v>
      </c>
      <c r="R101" s="9">
        <f>F101-Inputs!$C$16/2</f>
        <v>500.57790068694419</v>
      </c>
      <c r="S101" s="9">
        <f>F101+Inputs!$C$16/2</f>
        <v>530.57790068694419</v>
      </c>
      <c r="T101" s="9">
        <f>F101-Inputs!$C$17/2</f>
        <v>365.57790068694419</v>
      </c>
      <c r="U101" s="9">
        <f>F101+Inputs!$C$17/2</f>
        <v>665.57790068694419</v>
      </c>
      <c r="V101" s="9">
        <f t="shared" si="24"/>
        <v>79.138960129904746</v>
      </c>
      <c r="W101" s="9">
        <f t="shared" si="25"/>
        <v>11.882726746231945</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0</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0</v>
      </c>
      <c r="Z101" s="9">
        <f t="shared" si="26"/>
        <v>400.1225</v>
      </c>
      <c r="AA101" s="9">
        <f>SQRT(A101^2+Inputs!$C$6^2+(B101-Y101/1000)^2)</f>
        <v>401.04022866322276</v>
      </c>
      <c r="AB101" s="9">
        <f t="shared" si="27"/>
        <v>917.72866322276059</v>
      </c>
      <c r="AC101" s="9">
        <f>AB101/Inputs!$C$12</f>
        <v>515.57790068694419</v>
      </c>
      <c r="AD101" s="9">
        <f>2*AB101/Inputs!$C$21*1000000</f>
        <v>6.1224266237061951</v>
      </c>
      <c r="AE101" s="9">
        <f t="shared" si="28"/>
        <v>3.8768916383114718</v>
      </c>
      <c r="AF101" s="9">
        <f>DEGREES((2*PI()/Inputs!$C$13)*Inputs!$C$15*SIN(RADIANS(AE101)))</f>
        <v>24.340644762413291</v>
      </c>
      <c r="AG101" s="9">
        <f t="shared" si="29"/>
        <v>0.99087788958810696</v>
      </c>
      <c r="AH101" s="9">
        <f t="shared" si="30"/>
        <v>-3.9798623115099747E-2</v>
      </c>
      <c r="AI101" s="9">
        <f t="shared" si="31"/>
        <v>0</v>
      </c>
      <c r="AJ101" s="9">
        <f t="shared" si="32"/>
        <v>0</v>
      </c>
      <c r="AK101" s="9">
        <f t="shared" si="33"/>
        <v>0</v>
      </c>
      <c r="AL101" s="9">
        <f>1000*(AA102-AA100)/(A102-A100)*Inputs!$C$11</f>
        <v>-197.84717477295999</v>
      </c>
      <c r="AM101" s="9">
        <f>-2*AL101/Inputs!$C$13</f>
        <v>79.138869909183995</v>
      </c>
      <c r="AN101" s="9">
        <f>-2*AL101/Inputs!$C$14</f>
        <v>11.882713199577177</v>
      </c>
      <c r="AO101" s="9">
        <f t="shared" si="34"/>
        <v>79.138869909183995</v>
      </c>
      <c r="AP101" s="9">
        <f t="shared" si="35"/>
        <v>11.882713199577177</v>
      </c>
      <c r="AQ101" s="9">
        <f>IF(OR(Inputs!$C$27=TRUE,Inputs!$C$27="TRUE",Inputs!$C$27=1),Inputs!$C$46/Inputs!$C$12,0)</f>
        <v>0</v>
      </c>
      <c r="AR101" s="9">
        <f t="shared" si="36"/>
        <v>515.57790068694419</v>
      </c>
      <c r="AS101" s="9">
        <f t="shared" si="37"/>
        <v>515.57790068694419</v>
      </c>
    </row>
    <row r="102" spans="1:45">
      <c r="A102" s="9">
        <f>Inputs!$C$7+100*(Inputs!$C$8-Inputs!$C$7)/240</f>
        <v>-10</v>
      </c>
      <c r="B102" s="9">
        <f>Inputs!$C$5+Inputs!$C$9*(A102/Inputs!$C$10)^2</f>
        <v>400.11111111111109</v>
      </c>
      <c r="C102" s="9">
        <f t="shared" si="19"/>
        <v>400.11111111111109</v>
      </c>
      <c r="D102" s="9">
        <f>SQRT(A102^2+Inputs!$C$6^2+B102^2)</f>
        <v>401.01608600474856</v>
      </c>
      <c r="E102" s="9">
        <f t="shared" si="20"/>
        <v>904.97489363747263</v>
      </c>
      <c r="F102" s="9">
        <f>E102/Inputs!$C$12</f>
        <v>508.41286159408577</v>
      </c>
      <c r="G102" s="9">
        <f>2*E102/Inputs!$C$21*1000000</f>
        <v>6.0373426314645489</v>
      </c>
      <c r="H102" s="9">
        <f>SQRT(A102^2+Inputs!$C$6^2)</f>
        <v>26.92582403567252</v>
      </c>
      <c r="I102" s="9">
        <f t="shared" si="21"/>
        <v>3.8499643269735215</v>
      </c>
      <c r="J102" s="9">
        <f>DEGREES((2*PI()/Inputs!$C$13)*Inputs!$C$15*SIN(RADIANS(I102)))</f>
        <v>24.171839961370843</v>
      </c>
      <c r="K102" s="9">
        <f t="shared" si="22"/>
        <v>0.99100369147648104</v>
      </c>
      <c r="L102" s="9">
        <f t="shared" si="23"/>
        <v>-3.9247277701435809E-2</v>
      </c>
      <c r="M102" s="9">
        <f>2*(Inputs!$C$9/(Inputs!$C$10^2))*A102</f>
        <v>-2.2222222222222223E-2</v>
      </c>
      <c r="N102" s="9">
        <f>M102*Inputs!$C$11</f>
        <v>-8.8888888888888892E-2</v>
      </c>
      <c r="O102" s="9">
        <f>1000*((A102*Inputs!$C$11)+(B102*N102))/D102</f>
        <v>-188.43491504695058</v>
      </c>
      <c r="P102" s="9">
        <f>-2*O102/Inputs!$C$13</f>
        <v>75.373966018780237</v>
      </c>
      <c r="Q102" s="9">
        <f>-2*O102/Inputs!$C$14</f>
        <v>11.317412315132168</v>
      </c>
      <c r="R102" s="9">
        <f>F102-Inputs!$C$16/2</f>
        <v>493.41286159408577</v>
      </c>
      <c r="S102" s="9">
        <f>F102+Inputs!$C$16/2</f>
        <v>523.41286159408583</v>
      </c>
      <c r="T102" s="9">
        <f>F102-Inputs!$C$17/2</f>
        <v>358.41286159408577</v>
      </c>
      <c r="U102" s="9">
        <f>F102+Inputs!$C$17/2</f>
        <v>658.41286159408583</v>
      </c>
      <c r="V102" s="9">
        <f t="shared" si="24"/>
        <v>75.373966018780237</v>
      </c>
      <c r="W102" s="9">
        <f t="shared" si="25"/>
        <v>11.317412315132168</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0</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0</v>
      </c>
      <c r="Z102" s="9">
        <f t="shared" si="26"/>
        <v>400.11111111111109</v>
      </c>
      <c r="AA102" s="9">
        <f>SQRT(A102^2+Inputs!$C$6^2+(B102-Y102/1000)^2)</f>
        <v>401.01608600474856</v>
      </c>
      <c r="AB102" s="9">
        <f t="shared" si="27"/>
        <v>904.97489363747263</v>
      </c>
      <c r="AC102" s="9">
        <f>AB102/Inputs!$C$12</f>
        <v>508.41286159408577</v>
      </c>
      <c r="AD102" s="9">
        <f>2*AB102/Inputs!$C$21*1000000</f>
        <v>6.0373426314645489</v>
      </c>
      <c r="AE102" s="9">
        <f t="shared" si="28"/>
        <v>3.8499643269735215</v>
      </c>
      <c r="AF102" s="9">
        <f>DEGREES((2*PI()/Inputs!$C$13)*Inputs!$C$15*SIN(RADIANS(AE102)))</f>
        <v>24.171839961370843</v>
      </c>
      <c r="AG102" s="9">
        <f t="shared" si="29"/>
        <v>0.99100369147648104</v>
      </c>
      <c r="AH102" s="9">
        <f t="shared" si="30"/>
        <v>-3.9247277701435809E-2</v>
      </c>
      <c r="AI102" s="9">
        <f t="shared" si="31"/>
        <v>0</v>
      </c>
      <c r="AJ102" s="9">
        <f t="shared" si="32"/>
        <v>0</v>
      </c>
      <c r="AK102" s="9">
        <f t="shared" si="33"/>
        <v>0</v>
      </c>
      <c r="AL102" s="9">
        <f>1000*(AA103-AA101)/(A103-A101)*Inputs!$C$11</f>
        <v>-188.43470017100117</v>
      </c>
      <c r="AM102" s="9">
        <f>-2*AL102/Inputs!$C$13</f>
        <v>75.373880068400467</v>
      </c>
      <c r="AN102" s="9">
        <f>-2*AL102/Inputs!$C$14</f>
        <v>11.317399409669742</v>
      </c>
      <c r="AO102" s="9">
        <f t="shared" si="34"/>
        <v>75.373880068400467</v>
      </c>
      <c r="AP102" s="9">
        <f t="shared" si="35"/>
        <v>11.317399409669742</v>
      </c>
      <c r="AQ102" s="9">
        <f>IF(OR(Inputs!$C$27=TRUE,Inputs!$C$27="TRUE",Inputs!$C$27=1),Inputs!$C$46/Inputs!$C$12,0)</f>
        <v>0</v>
      </c>
      <c r="AR102" s="9">
        <f t="shared" si="36"/>
        <v>508.41286159408577</v>
      </c>
      <c r="AS102" s="9">
        <f t="shared" si="37"/>
        <v>508.41286159408577</v>
      </c>
    </row>
    <row r="103" spans="1:45">
      <c r="A103" s="9">
        <f>Inputs!$C$7+101*(Inputs!$C$8-Inputs!$C$7)/240</f>
        <v>-9.5</v>
      </c>
      <c r="B103" s="9">
        <f>Inputs!$C$5+Inputs!$C$9*(A103/Inputs!$C$10)^2</f>
        <v>400.10027777777776</v>
      </c>
      <c r="C103" s="9">
        <f t="shared" si="19"/>
        <v>400.10027777777776</v>
      </c>
      <c r="D103" s="9">
        <f>SQRT(A103^2+Inputs!$C$6^2+B103^2)</f>
        <v>400.99311998818001</v>
      </c>
      <c r="E103" s="9">
        <f t="shared" si="20"/>
        <v>892.8422104022502</v>
      </c>
      <c r="F103" s="9">
        <f>E103/Inputs!$C$12</f>
        <v>501.5967474169945</v>
      </c>
      <c r="G103" s="9">
        <f>2*E103/Inputs!$C$21*1000000</f>
        <v>5.9564020813508938</v>
      </c>
      <c r="H103" s="9">
        <f>SQRT(A103^2+Inputs!$C$6^2)</f>
        <v>26.744158240632665</v>
      </c>
      <c r="I103" s="9">
        <f t="shared" si="21"/>
        <v>3.8241695756954894</v>
      </c>
      <c r="J103" s="9">
        <f>DEGREES((2*PI()/Inputs!$C$13)*Inputs!$C$15*SIN(RADIANS(I103)))</f>
        <v>24.010130066350158</v>
      </c>
      <c r="K103" s="9">
        <f t="shared" si="22"/>
        <v>0.99112339223219748</v>
      </c>
      <c r="L103" s="9">
        <f t="shared" si="23"/>
        <v>-3.8722736382387546E-2</v>
      </c>
      <c r="M103" s="9">
        <f>2*(Inputs!$C$9/(Inputs!$C$10^2))*A103</f>
        <v>-2.1111111111111112E-2</v>
      </c>
      <c r="N103" s="9">
        <f>M103*Inputs!$C$11</f>
        <v>-8.4444444444444447E-2</v>
      </c>
      <c r="O103" s="9">
        <f>1000*((A103*Inputs!$C$11)+(B103*N103))/D103</f>
        <v>-179.02114051514994</v>
      </c>
      <c r="P103" s="9">
        <f>-2*O103/Inputs!$C$13</f>
        <v>71.608456206059969</v>
      </c>
      <c r="Q103" s="9">
        <f>-2*O103/Inputs!$C$14</f>
        <v>10.752020451360357</v>
      </c>
      <c r="R103" s="9">
        <f>F103-Inputs!$C$16/2</f>
        <v>486.5967474169945</v>
      </c>
      <c r="S103" s="9">
        <f>F103+Inputs!$C$16/2</f>
        <v>516.5967474169945</v>
      </c>
      <c r="T103" s="9">
        <f>F103-Inputs!$C$17/2</f>
        <v>351.5967474169945</v>
      </c>
      <c r="U103" s="9">
        <f>F103+Inputs!$C$17/2</f>
        <v>651.5967474169945</v>
      </c>
      <c r="V103" s="9">
        <f t="shared" si="24"/>
        <v>71.608456206059969</v>
      </c>
      <c r="W103" s="9">
        <f t="shared" si="25"/>
        <v>10.752020451360357</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0</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0</v>
      </c>
      <c r="Z103" s="9">
        <f t="shared" si="26"/>
        <v>400.10027777777776</v>
      </c>
      <c r="AA103" s="9">
        <f>SQRT(A103^2+Inputs!$C$6^2+(B103-Y103/1000)^2)</f>
        <v>400.99311998818001</v>
      </c>
      <c r="AB103" s="9">
        <f t="shared" si="27"/>
        <v>892.8422104022502</v>
      </c>
      <c r="AC103" s="9">
        <f>AB103/Inputs!$C$12</f>
        <v>501.5967474169945</v>
      </c>
      <c r="AD103" s="9">
        <f>2*AB103/Inputs!$C$21*1000000</f>
        <v>5.9564020813508938</v>
      </c>
      <c r="AE103" s="9">
        <f t="shared" si="28"/>
        <v>3.8241695756954894</v>
      </c>
      <c r="AF103" s="9">
        <f>DEGREES((2*PI()/Inputs!$C$13)*Inputs!$C$15*SIN(RADIANS(AE103)))</f>
        <v>24.010130066350158</v>
      </c>
      <c r="AG103" s="9">
        <f t="shared" si="29"/>
        <v>0.99112339223219748</v>
      </c>
      <c r="AH103" s="9">
        <f t="shared" si="30"/>
        <v>-3.8722736382387546E-2</v>
      </c>
      <c r="AI103" s="9">
        <f t="shared" si="31"/>
        <v>0</v>
      </c>
      <c r="AJ103" s="9">
        <f t="shared" si="32"/>
        <v>0</v>
      </c>
      <c r="AK103" s="9">
        <f t="shared" si="33"/>
        <v>0</v>
      </c>
      <c r="AL103" s="9">
        <f>1000*(AA104-AA102)/(A104-A102)*Inputs!$C$11</f>
        <v>-179.02093632460492</v>
      </c>
      <c r="AM103" s="9">
        <f>-2*AL103/Inputs!$C$13</f>
        <v>71.608374529841967</v>
      </c>
      <c r="AN103" s="9">
        <f>-2*AL103/Inputs!$C$14</f>
        <v>10.752008187663961</v>
      </c>
      <c r="AO103" s="9">
        <f t="shared" si="34"/>
        <v>71.608374529841967</v>
      </c>
      <c r="AP103" s="9">
        <f t="shared" si="35"/>
        <v>10.752008187663961</v>
      </c>
      <c r="AQ103" s="9">
        <f>IF(OR(Inputs!$C$27=TRUE,Inputs!$C$27="TRUE",Inputs!$C$27=1),Inputs!$C$46/Inputs!$C$12,0)</f>
        <v>0</v>
      </c>
      <c r="AR103" s="9">
        <f t="shared" si="36"/>
        <v>501.5967474169945</v>
      </c>
      <c r="AS103" s="9">
        <f t="shared" si="37"/>
        <v>501.5967474169945</v>
      </c>
    </row>
    <row r="104" spans="1:45">
      <c r="A104" s="9">
        <f>Inputs!$C$7+102*(Inputs!$C$8-Inputs!$C$7)/240</f>
        <v>-9</v>
      </c>
      <c r="B104" s="9">
        <f>Inputs!$C$5+Inputs!$C$9*(A104/Inputs!$C$10)^2</f>
        <v>400.09</v>
      </c>
      <c r="C104" s="9">
        <f t="shared" si="19"/>
        <v>400.09</v>
      </c>
      <c r="D104" s="9">
        <f>SQRT(A104^2+Inputs!$C$6^2+B104^2)</f>
        <v>400.97133077066741</v>
      </c>
      <c r="E104" s="9">
        <f t="shared" si="20"/>
        <v>881.33077066743226</v>
      </c>
      <c r="F104" s="9">
        <f>E104/Inputs!$C$12</f>
        <v>495.12964644237769</v>
      </c>
      <c r="G104" s="9">
        <f>2*E104/Inputs!$C$21*1000000</f>
        <v>5.8796060217594412</v>
      </c>
      <c r="H104" s="9">
        <f>SQRT(A104^2+Inputs!$C$6^2)</f>
        <v>26.570660511172846</v>
      </c>
      <c r="I104" s="9">
        <f t="shared" si="21"/>
        <v>3.7995312070651801</v>
      </c>
      <c r="J104" s="9">
        <f>DEGREES((2*PI()/Inputs!$C$13)*Inputs!$C$15*SIN(RADIANS(I104)))</f>
        <v>23.855665106124771</v>
      </c>
      <c r="K104" s="9">
        <f t="shared" si="22"/>
        <v>0.99123698653635639</v>
      </c>
      <c r="L104" s="9">
        <f t="shared" si="23"/>
        <v>-3.8225012759032041E-2</v>
      </c>
      <c r="M104" s="9">
        <f>2*(Inputs!$C$9/(Inputs!$C$10^2))*A104</f>
        <v>-0.02</v>
      </c>
      <c r="N104" s="9">
        <f>M104*Inputs!$C$11</f>
        <v>-0.08</v>
      </c>
      <c r="O104" s="9">
        <f>1000*((A104*Inputs!$C$11)+(B104*N104))/D104</f>
        <v>-169.60614084126681</v>
      </c>
      <c r="P104" s="9">
        <f>-2*O104/Inputs!$C$13</f>
        <v>67.842456336506729</v>
      </c>
      <c r="Q104" s="9">
        <f>-2*O104/Inputs!$C$14</f>
        <v>10.186555005481491</v>
      </c>
      <c r="R104" s="9">
        <f>F104-Inputs!$C$16/2</f>
        <v>480.12964644237769</v>
      </c>
      <c r="S104" s="9">
        <f>F104+Inputs!$C$16/2</f>
        <v>510.12964644237769</v>
      </c>
      <c r="T104" s="9">
        <f>F104-Inputs!$C$17/2</f>
        <v>345.12964644237769</v>
      </c>
      <c r="U104" s="9">
        <f>F104+Inputs!$C$17/2</f>
        <v>645.12964644237763</v>
      </c>
      <c r="V104" s="9">
        <f t="shared" si="24"/>
        <v>67.842456336506729</v>
      </c>
      <c r="W104" s="9">
        <f t="shared" si="25"/>
        <v>10.186555005481491</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0</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0</v>
      </c>
      <c r="Z104" s="9">
        <f t="shared" si="26"/>
        <v>400.09</v>
      </c>
      <c r="AA104" s="9">
        <f>SQRT(A104^2+Inputs!$C$6^2+(B104-Y104/1000)^2)</f>
        <v>400.97133077066741</v>
      </c>
      <c r="AB104" s="9">
        <f t="shared" si="27"/>
        <v>881.33077066743226</v>
      </c>
      <c r="AC104" s="9">
        <f>AB104/Inputs!$C$12</f>
        <v>495.12964644237769</v>
      </c>
      <c r="AD104" s="9">
        <f>2*AB104/Inputs!$C$21*1000000</f>
        <v>5.8796060217594412</v>
      </c>
      <c r="AE104" s="9">
        <f t="shared" si="28"/>
        <v>3.7995312070651801</v>
      </c>
      <c r="AF104" s="9">
        <f>DEGREES((2*PI()/Inputs!$C$13)*Inputs!$C$15*SIN(RADIANS(AE104)))</f>
        <v>23.855665106124771</v>
      </c>
      <c r="AG104" s="9">
        <f t="shared" si="29"/>
        <v>0.99123698653635639</v>
      </c>
      <c r="AH104" s="9">
        <f t="shared" si="30"/>
        <v>-3.8225012759032041E-2</v>
      </c>
      <c r="AI104" s="9">
        <f t="shared" si="31"/>
        <v>0</v>
      </c>
      <c r="AJ104" s="9">
        <f t="shared" si="32"/>
        <v>0</v>
      </c>
      <c r="AK104" s="9">
        <f t="shared" si="33"/>
        <v>0</v>
      </c>
      <c r="AL104" s="9">
        <f>1000*(AA105-AA103)/(A105-A103)*Inputs!$C$11</f>
        <v>-169.60594734496226</v>
      </c>
      <c r="AM104" s="9">
        <f>-2*AL104/Inputs!$C$13</f>
        <v>67.842378937984904</v>
      </c>
      <c r="AN104" s="9">
        <f>-2*AL104/Inputs!$C$14</f>
        <v>10.186543384081819</v>
      </c>
      <c r="AO104" s="9">
        <f t="shared" si="34"/>
        <v>67.842378937984904</v>
      </c>
      <c r="AP104" s="9">
        <f t="shared" si="35"/>
        <v>10.186543384081819</v>
      </c>
      <c r="AQ104" s="9">
        <f>IF(OR(Inputs!$C$27=TRUE,Inputs!$C$27="TRUE",Inputs!$C$27=1),Inputs!$C$46/Inputs!$C$12,0)</f>
        <v>0</v>
      </c>
      <c r="AR104" s="9">
        <f t="shared" si="36"/>
        <v>495.12964644237769</v>
      </c>
      <c r="AS104" s="9">
        <f t="shared" si="37"/>
        <v>495.12964644237769</v>
      </c>
    </row>
    <row r="105" spans="1:45">
      <c r="A105" s="9">
        <f>Inputs!$C$7+103*(Inputs!$C$8-Inputs!$C$7)/240</f>
        <v>-8.5</v>
      </c>
      <c r="B105" s="9">
        <f>Inputs!$C$5+Inputs!$C$9*(A105/Inputs!$C$10)^2</f>
        <v>400.08027777777778</v>
      </c>
      <c r="C105" s="9">
        <f t="shared" si="19"/>
        <v>400.08027777777778</v>
      </c>
      <c r="D105" s="9">
        <f>SQRT(A105^2+Inputs!$C$6^2+B105^2)</f>
        <v>400.95071850134377</v>
      </c>
      <c r="E105" s="9">
        <f t="shared" si="20"/>
        <v>870.44072356599145</v>
      </c>
      <c r="F105" s="9">
        <f>E105/Inputs!$C$12</f>
        <v>489.01164245280415</v>
      </c>
      <c r="G105" s="9">
        <f>2*E105/Inputs!$C$21*1000000</f>
        <v>5.8069554475982947</v>
      </c>
      <c r="H105" s="9">
        <f>SQRT(A105^2+Inputs!$C$6^2)</f>
        <v>26.405491853021786</v>
      </c>
      <c r="I105" s="9">
        <f t="shared" si="21"/>
        <v>3.7760725787865743</v>
      </c>
      <c r="J105" s="9">
        <f>DEGREES((2*PI()/Inputs!$C$13)*Inputs!$C$15*SIN(RADIANS(I105)))</f>
        <v>23.708592174666432</v>
      </c>
      <c r="K105" s="9">
        <f t="shared" si="22"/>
        <v>0.99134446933954057</v>
      </c>
      <c r="L105" s="9">
        <f t="shared" si="23"/>
        <v>-3.7754119739935477E-2</v>
      </c>
      <c r="M105" s="9">
        <f>2*(Inputs!$C$9/(Inputs!$C$10^2))*A105</f>
        <v>-1.8888888888888889E-2</v>
      </c>
      <c r="N105" s="9">
        <f>M105*Inputs!$C$11</f>
        <v>-7.5555555555555556E-2</v>
      </c>
      <c r="O105" s="9">
        <f>1000*((A105*Inputs!$C$11)+(B105*N105))/D105</f>
        <v>-160.18998019105862</v>
      </c>
      <c r="P105" s="9">
        <f>-2*O105/Inputs!$C$13</f>
        <v>64.075992076423447</v>
      </c>
      <c r="Q105" s="9">
        <f>-2*O105/Inputs!$C$14</f>
        <v>9.621019831294813</v>
      </c>
      <c r="R105" s="9">
        <f>F105-Inputs!$C$16/2</f>
        <v>474.01164245280415</v>
      </c>
      <c r="S105" s="9">
        <f>F105+Inputs!$C$16/2</f>
        <v>504.01164245280415</v>
      </c>
      <c r="T105" s="9">
        <f>F105-Inputs!$C$17/2</f>
        <v>339.01164245280415</v>
      </c>
      <c r="U105" s="9">
        <f>F105+Inputs!$C$17/2</f>
        <v>639.01164245280415</v>
      </c>
      <c r="V105" s="9">
        <f t="shared" si="24"/>
        <v>64.075992076423447</v>
      </c>
      <c r="W105" s="9">
        <f t="shared" si="25"/>
        <v>9.621019831294813</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0</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0</v>
      </c>
      <c r="Z105" s="9">
        <f t="shared" si="26"/>
        <v>400.08027777777778</v>
      </c>
      <c r="AA105" s="9">
        <f>SQRT(A105^2+Inputs!$C$6^2+(B105-Y105/1000)^2)</f>
        <v>400.95071850134377</v>
      </c>
      <c r="AB105" s="9">
        <f t="shared" si="27"/>
        <v>870.44072356599145</v>
      </c>
      <c r="AC105" s="9">
        <f>AB105/Inputs!$C$12</f>
        <v>489.01164245280415</v>
      </c>
      <c r="AD105" s="9">
        <f>2*AB105/Inputs!$C$21*1000000</f>
        <v>5.8069554475982947</v>
      </c>
      <c r="AE105" s="9">
        <f t="shared" si="28"/>
        <v>3.7760725787865743</v>
      </c>
      <c r="AF105" s="9">
        <f>DEGREES((2*PI()/Inputs!$C$13)*Inputs!$C$15*SIN(RADIANS(AE105)))</f>
        <v>23.708592174666432</v>
      </c>
      <c r="AG105" s="9">
        <f t="shared" si="29"/>
        <v>0.99134446933954057</v>
      </c>
      <c r="AH105" s="9">
        <f t="shared" si="30"/>
        <v>-3.7754119739935477E-2</v>
      </c>
      <c r="AI105" s="9">
        <f t="shared" si="31"/>
        <v>0</v>
      </c>
      <c r="AJ105" s="9">
        <f t="shared" si="32"/>
        <v>0</v>
      </c>
      <c r="AK105" s="9">
        <f t="shared" si="33"/>
        <v>0</v>
      </c>
      <c r="AL105" s="9">
        <f>1000*(AA106-AA104)/(A106-A104)*Inputs!$C$11</f>
        <v>-160.18979739737915</v>
      </c>
      <c r="AM105" s="9">
        <f>-2*AL105/Inputs!$C$13</f>
        <v>64.075918958951661</v>
      </c>
      <c r="AN105" s="9">
        <f>-2*AL105/Inputs!$C$14</f>
        <v>9.6210088526954447</v>
      </c>
      <c r="AO105" s="9">
        <f t="shared" si="34"/>
        <v>64.075918958951661</v>
      </c>
      <c r="AP105" s="9">
        <f t="shared" si="35"/>
        <v>9.6210088526954447</v>
      </c>
      <c r="AQ105" s="9">
        <f>IF(OR(Inputs!$C$27=TRUE,Inputs!$C$27="TRUE",Inputs!$C$27=1),Inputs!$C$46/Inputs!$C$12,0)</f>
        <v>0</v>
      </c>
      <c r="AR105" s="9">
        <f t="shared" si="36"/>
        <v>489.01164245280415</v>
      </c>
      <c r="AS105" s="9">
        <f t="shared" si="37"/>
        <v>489.01164245280415</v>
      </c>
    </row>
    <row r="106" spans="1:45">
      <c r="A106" s="9">
        <f>Inputs!$C$7+104*(Inputs!$C$8-Inputs!$C$7)/240</f>
        <v>-8</v>
      </c>
      <c r="B106" s="9">
        <f>Inputs!$C$5+Inputs!$C$9*(A106/Inputs!$C$10)^2</f>
        <v>400.07111111111112</v>
      </c>
      <c r="C106" s="9">
        <f t="shared" si="19"/>
        <v>400.07111111111112</v>
      </c>
      <c r="D106" s="9">
        <f>SQRT(A106^2+Inputs!$C$6^2+B106^2)</f>
        <v>400.93128332131806</v>
      </c>
      <c r="E106" s="9">
        <f t="shared" si="20"/>
        <v>860.17221020694024</v>
      </c>
      <c r="F106" s="9">
        <f>E106/Inputs!$C$12</f>
        <v>483.24281472300015</v>
      </c>
      <c r="G106" s="9">
        <f>2*E106/Inputs!$C$21*1000000</f>
        <v>5.7384513002454529</v>
      </c>
      <c r="H106" s="9">
        <f>SQRT(A106^2+Inputs!$C$6^2)</f>
        <v>26.248809496813376</v>
      </c>
      <c r="I106" s="9">
        <f t="shared" si="21"/>
        <v>3.7538164957068103</v>
      </c>
      <c r="J106" s="9">
        <f>DEGREES((2*PI()/Inputs!$C$13)*Inputs!$C$15*SIN(RADIANS(I106)))</f>
        <v>23.56905487786457</v>
      </c>
      <c r="K106" s="9">
        <f t="shared" si="22"/>
        <v>0.99144583586232871</v>
      </c>
      <c r="L106" s="9">
        <f t="shared" si="23"/>
        <v>-3.7310069540381179E-2</v>
      </c>
      <c r="M106" s="9">
        <f>2*(Inputs!$C$9/(Inputs!$C$10^2))*A106</f>
        <v>-1.7777777777777778E-2</v>
      </c>
      <c r="N106" s="9">
        <f>M106*Inputs!$C$11</f>
        <v>-7.1111111111111111E-2</v>
      </c>
      <c r="O106" s="9">
        <f>1000*((A106*Inputs!$C$11)+(B106*N106))/D106</f>
        <v>-150.77272278132986</v>
      </c>
      <c r="P106" s="9">
        <f>-2*O106/Inputs!$C$13</f>
        <v>60.309089112531943</v>
      </c>
      <c r="Q106" s="9">
        <f>-2*O106/Inputs!$C$14</f>
        <v>9.0554187856654575</v>
      </c>
      <c r="R106" s="9">
        <f>F106-Inputs!$C$16/2</f>
        <v>468.24281472300015</v>
      </c>
      <c r="S106" s="9">
        <f>F106+Inputs!$C$16/2</f>
        <v>498.24281472300015</v>
      </c>
      <c r="T106" s="9">
        <f>F106-Inputs!$C$17/2</f>
        <v>333.24281472300015</v>
      </c>
      <c r="U106" s="9">
        <f>F106+Inputs!$C$17/2</f>
        <v>633.24281472300015</v>
      </c>
      <c r="V106" s="9">
        <f t="shared" si="24"/>
        <v>60.309089112531943</v>
      </c>
      <c r="W106" s="9">
        <f t="shared" si="25"/>
        <v>9.0554187856654575</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0</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0</v>
      </c>
      <c r="Z106" s="9">
        <f t="shared" si="26"/>
        <v>400.07111111111112</v>
      </c>
      <c r="AA106" s="9">
        <f>SQRT(A106^2+Inputs!$C$6^2+(B106-Y106/1000)^2)</f>
        <v>400.93128332131806</v>
      </c>
      <c r="AB106" s="9">
        <f t="shared" si="27"/>
        <v>860.17221020694024</v>
      </c>
      <c r="AC106" s="9">
        <f>AB106/Inputs!$C$12</f>
        <v>483.24281472300015</v>
      </c>
      <c r="AD106" s="9">
        <f>2*AB106/Inputs!$C$21*1000000</f>
        <v>5.7384513002454529</v>
      </c>
      <c r="AE106" s="9">
        <f t="shared" si="28"/>
        <v>3.7538164957068103</v>
      </c>
      <c r="AF106" s="9">
        <f>DEGREES((2*PI()/Inputs!$C$13)*Inputs!$C$15*SIN(RADIANS(AE106)))</f>
        <v>23.56905487786457</v>
      </c>
      <c r="AG106" s="9">
        <f t="shared" si="29"/>
        <v>0.99144583586232871</v>
      </c>
      <c r="AH106" s="9">
        <f t="shared" si="30"/>
        <v>-3.7310069540381179E-2</v>
      </c>
      <c r="AI106" s="9">
        <f t="shared" si="31"/>
        <v>0</v>
      </c>
      <c r="AJ106" s="9">
        <f t="shared" si="32"/>
        <v>0</v>
      </c>
      <c r="AK106" s="9">
        <f t="shared" si="33"/>
        <v>0</v>
      </c>
      <c r="AL106" s="9">
        <f>1000*(AA107-AA105)/(A107-A105)*Inputs!$C$11</f>
        <v>-150.772550698548</v>
      </c>
      <c r="AM106" s="9">
        <f>-2*AL106/Inputs!$C$13</f>
        <v>60.309020279419201</v>
      </c>
      <c r="AN106" s="9">
        <f>-2*AL106/Inputs!$C$14</f>
        <v>9.0554084503632435</v>
      </c>
      <c r="AO106" s="9">
        <f t="shared" si="34"/>
        <v>60.309020279419201</v>
      </c>
      <c r="AP106" s="9">
        <f t="shared" si="35"/>
        <v>9.0554084503632435</v>
      </c>
      <c r="AQ106" s="9">
        <f>IF(OR(Inputs!$C$27=TRUE,Inputs!$C$27="TRUE",Inputs!$C$27=1),Inputs!$C$46/Inputs!$C$12,0)</f>
        <v>0</v>
      </c>
      <c r="AR106" s="9">
        <f t="shared" si="36"/>
        <v>483.24281472300015</v>
      </c>
      <c r="AS106" s="9">
        <f t="shared" si="37"/>
        <v>483.24281472300015</v>
      </c>
    </row>
    <row r="107" spans="1:45">
      <c r="A107" s="9">
        <f>Inputs!$C$7+105*(Inputs!$C$8-Inputs!$C$7)/240</f>
        <v>-7.5</v>
      </c>
      <c r="B107" s="9">
        <f>Inputs!$C$5+Inputs!$C$9*(A107/Inputs!$C$10)^2</f>
        <v>400.0625</v>
      </c>
      <c r="C107" s="9">
        <f t="shared" si="19"/>
        <v>400.0625</v>
      </c>
      <c r="D107" s="9">
        <f>SQRT(A107^2+Inputs!$C$6^2+B107^2)</f>
        <v>400.91302536366914</v>
      </c>
      <c r="E107" s="9">
        <f t="shared" si="20"/>
        <v>850.525363669135</v>
      </c>
      <c r="F107" s="9">
        <f>E107/Inputs!$C$12</f>
        <v>477.82323801636795</v>
      </c>
      <c r="G107" s="9">
        <f>2*E107/Inputs!$C$21*1000000</f>
        <v>5.6740944675074845</v>
      </c>
      <c r="H107" s="9">
        <f>SQRT(A107^2+Inputs!$C$6^2)</f>
        <v>26.100766272276374</v>
      </c>
      <c r="I107" s="9">
        <f t="shared" si="21"/>
        <v>3.7327851196426791</v>
      </c>
      <c r="J107" s="9">
        <f>DEGREES((2*PI()/Inputs!$C$13)*Inputs!$C$15*SIN(RADIANS(I107)))</f>
        <v>23.437192766426364</v>
      </c>
      <c r="K107" s="9">
        <f t="shared" si="22"/>
        <v>0.99154108159578702</v>
      </c>
      <c r="L107" s="9">
        <f t="shared" si="23"/>
        <v>-3.6892873681614674E-2</v>
      </c>
      <c r="M107" s="9">
        <f>2*(Inputs!$C$9/(Inputs!$C$10^2))*A107</f>
        <v>-1.6666666666666666E-2</v>
      </c>
      <c r="N107" s="9">
        <f>M107*Inputs!$C$11</f>
        <v>-6.6666666666666666E-2</v>
      </c>
      <c r="O107" s="9">
        <f>1000*((A107*Inputs!$C$11)+(B107*N107))/D107</f>
        <v>-141.35443287712363</v>
      </c>
      <c r="P107" s="9">
        <f>-2*O107/Inputs!$C$13</f>
        <v>56.541773150849451</v>
      </c>
      <c r="Q107" s="9">
        <f>-2*O107/Inputs!$C$14</f>
        <v>8.4897557283557745</v>
      </c>
      <c r="R107" s="9">
        <f>F107-Inputs!$C$16/2</f>
        <v>462.82323801636795</v>
      </c>
      <c r="S107" s="9">
        <f>F107+Inputs!$C$16/2</f>
        <v>492.82323801636795</v>
      </c>
      <c r="T107" s="9">
        <f>F107-Inputs!$C$17/2</f>
        <v>327.82323801636795</v>
      </c>
      <c r="U107" s="9">
        <f>F107+Inputs!$C$17/2</f>
        <v>627.8232380163679</v>
      </c>
      <c r="V107" s="9">
        <f t="shared" si="24"/>
        <v>56.541773150849451</v>
      </c>
      <c r="W107" s="9">
        <f t="shared" si="25"/>
        <v>8.4897557283557745</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0</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0</v>
      </c>
      <c r="Z107" s="9">
        <f t="shared" si="26"/>
        <v>400.0625</v>
      </c>
      <c r="AA107" s="9">
        <f>SQRT(A107^2+Inputs!$C$6^2+(B107-Y107/1000)^2)</f>
        <v>400.91302536366914</v>
      </c>
      <c r="AB107" s="9">
        <f t="shared" si="27"/>
        <v>850.525363669135</v>
      </c>
      <c r="AC107" s="9">
        <f>AB107/Inputs!$C$12</f>
        <v>477.82323801636795</v>
      </c>
      <c r="AD107" s="9">
        <f>2*AB107/Inputs!$C$21*1000000</f>
        <v>5.6740944675074845</v>
      </c>
      <c r="AE107" s="9">
        <f t="shared" si="28"/>
        <v>3.7327851196426791</v>
      </c>
      <c r="AF107" s="9">
        <f>DEGREES((2*PI()/Inputs!$C$13)*Inputs!$C$15*SIN(RADIANS(AE107)))</f>
        <v>23.437192766426364</v>
      </c>
      <c r="AG107" s="9">
        <f t="shared" si="29"/>
        <v>0.99154108159578702</v>
      </c>
      <c r="AH107" s="9">
        <f t="shared" si="30"/>
        <v>-3.6892873681614674E-2</v>
      </c>
      <c r="AI107" s="9">
        <f t="shared" si="31"/>
        <v>0</v>
      </c>
      <c r="AJ107" s="9">
        <f t="shared" si="32"/>
        <v>0</v>
      </c>
      <c r="AK107" s="9">
        <f t="shared" si="33"/>
        <v>0</v>
      </c>
      <c r="AL107" s="9">
        <f>1000*(AA108-AA106)/(A108-A106)*Inputs!$C$11</f>
        <v>-141.35427151290969</v>
      </c>
      <c r="AM107" s="9">
        <f>-2*AL107/Inputs!$C$13</f>
        <v>56.541708605163876</v>
      </c>
      <c r="AN107" s="9">
        <f>-2*AL107/Inputs!$C$14</f>
        <v>8.4897460368113933</v>
      </c>
      <c r="AO107" s="9">
        <f t="shared" si="34"/>
        <v>56.541708605163876</v>
      </c>
      <c r="AP107" s="9">
        <f t="shared" si="35"/>
        <v>8.4897460368113933</v>
      </c>
      <c r="AQ107" s="9">
        <f>IF(OR(Inputs!$C$27=TRUE,Inputs!$C$27="TRUE",Inputs!$C$27=1),Inputs!$C$46/Inputs!$C$12,0)</f>
        <v>0</v>
      </c>
      <c r="AR107" s="9">
        <f t="shared" si="36"/>
        <v>477.82323801636795</v>
      </c>
      <c r="AS107" s="9">
        <f t="shared" si="37"/>
        <v>477.82323801636795</v>
      </c>
    </row>
    <row r="108" spans="1:45">
      <c r="A108" s="9">
        <f>Inputs!$C$7+106*(Inputs!$C$8-Inputs!$C$7)/240</f>
        <v>-7</v>
      </c>
      <c r="B108" s="9">
        <f>Inputs!$C$5+Inputs!$C$9*(A108/Inputs!$C$10)^2</f>
        <v>400.05444444444447</v>
      </c>
      <c r="C108" s="9">
        <f t="shared" si="19"/>
        <v>400.05444444444447</v>
      </c>
      <c r="D108" s="9">
        <f>SQRT(A108^2+Inputs!$C$6^2+B108^2)</f>
        <v>400.89594475343984</v>
      </c>
      <c r="E108" s="9">
        <f t="shared" si="20"/>
        <v>841.50030899536432</v>
      </c>
      <c r="F108" s="9">
        <f>E108/Inputs!$C$12</f>
        <v>472.75298258166532</v>
      </c>
      <c r="G108" s="9">
        <f>2*E108/Inputs!$C$21*1000000</f>
        <v>5.6138857835800815</v>
      </c>
      <c r="H108" s="9">
        <f>SQRT(A108^2+Inputs!$C$6^2)</f>
        <v>25.96150997149434</v>
      </c>
      <c r="I108" s="9">
        <f t="shared" si="21"/>
        <v>3.7129998776451707</v>
      </c>
      <c r="J108" s="9">
        <f>DEGREES((2*PI()/Inputs!$C$13)*Inputs!$C$15*SIN(RADIANS(I108)))</f>
        <v>23.31314075897189</v>
      </c>
      <c r="K108" s="9">
        <f t="shared" si="22"/>
        <v>0.991630202301931</v>
      </c>
      <c r="L108" s="9">
        <f t="shared" si="23"/>
        <v>-3.6502542990141232E-2</v>
      </c>
      <c r="M108" s="9">
        <f>2*(Inputs!$C$9/(Inputs!$C$10^2))*A108</f>
        <v>-1.5555555555555555E-2</v>
      </c>
      <c r="N108" s="9">
        <f>M108*Inputs!$C$11</f>
        <v>-6.222222222222222E-2</v>
      </c>
      <c r="O108" s="9">
        <f>1000*((A108*Inputs!$C$11)+(B108*N108))/D108</f>
        <v>-131.93517478890897</v>
      </c>
      <c r="P108" s="9">
        <f>-2*O108/Inputs!$C$13</f>
        <v>52.774069915563587</v>
      </c>
      <c r="Q108" s="9">
        <f>-2*O108/Inputs!$C$14</f>
        <v>7.9240345218563952</v>
      </c>
      <c r="R108" s="9">
        <f>F108-Inputs!$C$16/2</f>
        <v>457.75298258166532</v>
      </c>
      <c r="S108" s="9">
        <f>F108+Inputs!$C$16/2</f>
        <v>487.75298258166532</v>
      </c>
      <c r="T108" s="9">
        <f>F108-Inputs!$C$17/2</f>
        <v>322.75298258166532</v>
      </c>
      <c r="U108" s="9">
        <f>F108+Inputs!$C$17/2</f>
        <v>622.75298258166526</v>
      </c>
      <c r="V108" s="9">
        <f t="shared" si="24"/>
        <v>52.774069915563587</v>
      </c>
      <c r="W108" s="9">
        <f t="shared" si="25"/>
        <v>7.9240345218563952</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0</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0</v>
      </c>
      <c r="Z108" s="9">
        <f t="shared" si="26"/>
        <v>400.05444444444447</v>
      </c>
      <c r="AA108" s="9">
        <f>SQRT(A108^2+Inputs!$C$6^2+(B108-Y108/1000)^2)</f>
        <v>400.89594475343984</v>
      </c>
      <c r="AB108" s="9">
        <f t="shared" si="27"/>
        <v>841.50030899536432</v>
      </c>
      <c r="AC108" s="9">
        <f>AB108/Inputs!$C$12</f>
        <v>472.75298258166532</v>
      </c>
      <c r="AD108" s="9">
        <f>2*AB108/Inputs!$C$21*1000000</f>
        <v>5.6138857835800815</v>
      </c>
      <c r="AE108" s="9">
        <f t="shared" si="28"/>
        <v>3.7129998776451707</v>
      </c>
      <c r="AF108" s="9">
        <f>DEGREES((2*PI()/Inputs!$C$13)*Inputs!$C$15*SIN(RADIANS(AE108)))</f>
        <v>23.31314075897189</v>
      </c>
      <c r="AG108" s="9">
        <f t="shared" si="29"/>
        <v>0.991630202301931</v>
      </c>
      <c r="AH108" s="9">
        <f t="shared" si="30"/>
        <v>-3.6502542990141232E-2</v>
      </c>
      <c r="AI108" s="9">
        <f t="shared" si="31"/>
        <v>0</v>
      </c>
      <c r="AJ108" s="9">
        <f t="shared" si="32"/>
        <v>0</v>
      </c>
      <c r="AK108" s="9">
        <f t="shared" si="33"/>
        <v>0</v>
      </c>
      <c r="AL108" s="9">
        <f>1000*(AA109-AA107)/(A109-A107)*Inputs!$C$11</f>
        <v>-131.93502415037983</v>
      </c>
      <c r="AM108" s="9">
        <f>-2*AL108/Inputs!$C$13</f>
        <v>52.774009660151933</v>
      </c>
      <c r="AN108" s="9">
        <f>-2*AL108/Inputs!$C$14</f>
        <v>7.924025474497288</v>
      </c>
      <c r="AO108" s="9">
        <f t="shared" si="34"/>
        <v>52.774009660151933</v>
      </c>
      <c r="AP108" s="9">
        <f t="shared" si="35"/>
        <v>7.924025474497288</v>
      </c>
      <c r="AQ108" s="9">
        <f>IF(OR(Inputs!$C$27=TRUE,Inputs!$C$27="TRUE",Inputs!$C$27=1),Inputs!$C$46/Inputs!$C$12,0)</f>
        <v>0</v>
      </c>
      <c r="AR108" s="9">
        <f t="shared" si="36"/>
        <v>472.75298258166532</v>
      </c>
      <c r="AS108" s="9">
        <f t="shared" si="37"/>
        <v>472.75298258166532</v>
      </c>
    </row>
    <row r="109" spans="1:45">
      <c r="A109" s="9">
        <f>Inputs!$C$7+107*(Inputs!$C$8-Inputs!$C$7)/240</f>
        <v>-6.5</v>
      </c>
      <c r="B109" s="9">
        <f>Inputs!$C$5+Inputs!$C$9*(A109/Inputs!$C$10)^2</f>
        <v>400.04694444444442</v>
      </c>
      <c r="C109" s="9">
        <f t="shared" si="19"/>
        <v>400.04694444444442</v>
      </c>
      <c r="D109" s="9">
        <f>SQRT(A109^2+Inputs!$C$6^2+B109^2)</f>
        <v>400.88004160763154</v>
      </c>
      <c r="E109" s="9">
        <f t="shared" si="20"/>
        <v>833.09716318711935</v>
      </c>
      <c r="F109" s="9">
        <f>E109/Inputs!$C$12</f>
        <v>468.03211415006706</v>
      </c>
      <c r="G109" s="9">
        <f>2*E109/Inputs!$C$21*1000000</f>
        <v>5.5578260290131736</v>
      </c>
      <c r="H109" s="9">
        <f>SQRT(A109^2+Inputs!$C$6^2)</f>
        <v>25.831182706178978</v>
      </c>
      <c r="I109" s="9">
        <f t="shared" si="21"/>
        <v>3.6944813694132979</v>
      </c>
      <c r="J109" s="9">
        <f>DEGREES((2*PI()/Inputs!$C$13)*Inputs!$C$15*SIN(RADIANS(I109)))</f>
        <v>23.197028559795985</v>
      </c>
      <c r="K109" s="9">
        <f t="shared" si="22"/>
        <v>0.99171319401415481</v>
      </c>
      <c r="L109" s="9">
        <f t="shared" si="23"/>
        <v>-3.6139087597086374E-2</v>
      </c>
      <c r="M109" s="9">
        <f>2*(Inputs!$C$9/(Inputs!$C$10^2))*A109</f>
        <v>-1.4444444444444444E-2</v>
      </c>
      <c r="N109" s="9">
        <f>M109*Inputs!$C$11</f>
        <v>-5.7777777777777775E-2</v>
      </c>
      <c r="O109" s="9">
        <f>1000*((A109*Inputs!$C$11)+(B109*N109))/D109</f>
        <v>-122.51501286976304</v>
      </c>
      <c r="P109" s="9">
        <f>-2*O109/Inputs!$C$13</f>
        <v>49.006005147905213</v>
      </c>
      <c r="Q109" s="9">
        <f>-2*O109/Inputs!$C$14</f>
        <v>7.358259031217</v>
      </c>
      <c r="R109" s="9">
        <f>F109-Inputs!$C$16/2</f>
        <v>453.03211415006706</v>
      </c>
      <c r="S109" s="9">
        <f>F109+Inputs!$C$16/2</f>
        <v>483.03211415006706</v>
      </c>
      <c r="T109" s="9">
        <f>F109-Inputs!$C$17/2</f>
        <v>318.03211415006706</v>
      </c>
      <c r="U109" s="9">
        <f>F109+Inputs!$C$17/2</f>
        <v>618.03211415006706</v>
      </c>
      <c r="V109" s="9">
        <f t="shared" si="24"/>
        <v>49.006005147905213</v>
      </c>
      <c r="W109" s="9">
        <f t="shared" si="25"/>
        <v>7.358259031217</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0</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0</v>
      </c>
      <c r="Z109" s="9">
        <f t="shared" si="26"/>
        <v>400.04694444444442</v>
      </c>
      <c r="AA109" s="9">
        <f>SQRT(A109^2+Inputs!$C$6^2+(B109-Y109/1000)^2)</f>
        <v>400.88004160763154</v>
      </c>
      <c r="AB109" s="9">
        <f t="shared" si="27"/>
        <v>833.09716318711935</v>
      </c>
      <c r="AC109" s="9">
        <f>AB109/Inputs!$C$12</f>
        <v>468.03211415006706</v>
      </c>
      <c r="AD109" s="9">
        <f>2*AB109/Inputs!$C$21*1000000</f>
        <v>5.5578260290131736</v>
      </c>
      <c r="AE109" s="9">
        <f t="shared" si="28"/>
        <v>3.6944813694132979</v>
      </c>
      <c r="AF109" s="9">
        <f>DEGREES((2*PI()/Inputs!$C$13)*Inputs!$C$15*SIN(RADIANS(AE109)))</f>
        <v>23.197028559795985</v>
      </c>
      <c r="AG109" s="9">
        <f t="shared" si="29"/>
        <v>0.99171319401415481</v>
      </c>
      <c r="AH109" s="9">
        <f t="shared" si="30"/>
        <v>-3.6139087597086374E-2</v>
      </c>
      <c r="AI109" s="9">
        <f t="shared" si="31"/>
        <v>0</v>
      </c>
      <c r="AJ109" s="9">
        <f t="shared" si="32"/>
        <v>0</v>
      </c>
      <c r="AK109" s="9">
        <f t="shared" si="33"/>
        <v>0</v>
      </c>
      <c r="AL109" s="9">
        <f>1000*(AA110-AA108)/(A110-A108)*Inputs!$C$11</f>
        <v>-122.51487296316554</v>
      </c>
      <c r="AM109" s="9">
        <f>-2*AL109/Inputs!$C$13</f>
        <v>49.005949185266218</v>
      </c>
      <c r="AN109" s="9">
        <f>-2*AL109/Inputs!$C$14</f>
        <v>7.358250628418352</v>
      </c>
      <c r="AO109" s="9">
        <f t="shared" si="34"/>
        <v>49.005949185266218</v>
      </c>
      <c r="AP109" s="9">
        <f t="shared" si="35"/>
        <v>7.358250628418352</v>
      </c>
      <c r="AQ109" s="9">
        <f>IF(OR(Inputs!$C$27=TRUE,Inputs!$C$27="TRUE",Inputs!$C$27=1),Inputs!$C$46/Inputs!$C$12,0)</f>
        <v>0</v>
      </c>
      <c r="AR109" s="9">
        <f t="shared" si="36"/>
        <v>468.03211415006706</v>
      </c>
      <c r="AS109" s="9">
        <f t="shared" si="37"/>
        <v>468.03211415006706</v>
      </c>
    </row>
    <row r="110" spans="1:45">
      <c r="A110" s="9">
        <f>Inputs!$C$7+108*(Inputs!$C$8-Inputs!$C$7)/240</f>
        <v>-6</v>
      </c>
      <c r="B110" s="9">
        <f>Inputs!$C$5+Inputs!$C$9*(A110/Inputs!$C$10)^2</f>
        <v>400.04</v>
      </c>
      <c r="C110" s="9">
        <f t="shared" si="19"/>
        <v>400.04</v>
      </c>
      <c r="D110" s="9">
        <f>SQRT(A110^2+Inputs!$C$6^2+B110^2)</f>
        <v>400.86531603519904</v>
      </c>
      <c r="E110" s="9">
        <f t="shared" si="20"/>
        <v>825.31603519902319</v>
      </c>
      <c r="F110" s="9">
        <f>E110/Inputs!$C$12</f>
        <v>463.66069393203549</v>
      </c>
      <c r="G110" s="9">
        <f>2*E110/Inputs!$C$21*1000000</f>
        <v>5.5059159306737673</v>
      </c>
      <c r="H110" s="9">
        <f>SQRT(A110^2+Inputs!$C$6^2)</f>
        <v>25.709920264364882</v>
      </c>
      <c r="I110" s="9">
        <f t="shared" si="21"/>
        <v>3.6772492746351846</v>
      </c>
      <c r="J110" s="9">
        <f>DEGREES((2*PI()/Inputs!$C$13)*Inputs!$C$15*SIN(RADIANS(I110)))</f>
        <v>23.088980076187603</v>
      </c>
      <c r="K110" s="9">
        <f t="shared" si="22"/>
        <v>0.99179005303764423</v>
      </c>
      <c r="L110" s="9">
        <f t="shared" si="23"/>
        <v>-3.5802516937550051E-2</v>
      </c>
      <c r="M110" s="9">
        <f>2*(Inputs!$C$9/(Inputs!$C$10^2))*A110</f>
        <v>-1.3333333333333332E-2</v>
      </c>
      <c r="N110" s="9">
        <f>M110*Inputs!$C$11</f>
        <v>-5.333333333333333E-2</v>
      </c>
      <c r="O110" s="9">
        <f>1000*((A110*Inputs!$C$11)+(B110*N110))/D110</f>
        <v>-113.09401151254967</v>
      </c>
      <c r="P110" s="9">
        <f>-2*O110/Inputs!$C$13</f>
        <v>45.237604605019868</v>
      </c>
      <c r="Q110" s="9">
        <f>-2*O110/Inputs!$C$14</f>
        <v>6.792433123876858</v>
      </c>
      <c r="R110" s="9">
        <f>F110-Inputs!$C$16/2</f>
        <v>448.66069393203549</v>
      </c>
      <c r="S110" s="9">
        <f>F110+Inputs!$C$16/2</f>
        <v>478.66069393203549</v>
      </c>
      <c r="T110" s="9">
        <f>F110-Inputs!$C$17/2</f>
        <v>313.66069393203549</v>
      </c>
      <c r="U110" s="9">
        <f>F110+Inputs!$C$17/2</f>
        <v>613.66069393203543</v>
      </c>
      <c r="V110" s="9">
        <f t="shared" si="24"/>
        <v>45.237604605019868</v>
      </c>
      <c r="W110" s="9">
        <f t="shared" si="25"/>
        <v>6.792433123876858</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0</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0</v>
      </c>
      <c r="Z110" s="9">
        <f t="shared" si="26"/>
        <v>400.04</v>
      </c>
      <c r="AA110" s="9">
        <f>SQRT(A110^2+Inputs!$C$6^2+(B110-Y110/1000)^2)</f>
        <v>400.86531603519904</v>
      </c>
      <c r="AB110" s="9">
        <f t="shared" si="27"/>
        <v>825.31603519902319</v>
      </c>
      <c r="AC110" s="9">
        <f>AB110/Inputs!$C$12</f>
        <v>463.66069393203549</v>
      </c>
      <c r="AD110" s="9">
        <f>2*AB110/Inputs!$C$21*1000000</f>
        <v>5.5059159306737673</v>
      </c>
      <c r="AE110" s="9">
        <f t="shared" si="28"/>
        <v>3.6772492746351846</v>
      </c>
      <c r="AF110" s="9">
        <f>DEGREES((2*PI()/Inputs!$C$13)*Inputs!$C$15*SIN(RADIANS(AE110)))</f>
        <v>23.088980076187603</v>
      </c>
      <c r="AG110" s="9">
        <f t="shared" si="29"/>
        <v>0.99179005303764423</v>
      </c>
      <c r="AH110" s="9">
        <f t="shared" si="30"/>
        <v>-3.5802516937550051E-2</v>
      </c>
      <c r="AI110" s="9">
        <f t="shared" si="31"/>
        <v>0</v>
      </c>
      <c r="AJ110" s="9">
        <f t="shared" si="32"/>
        <v>0</v>
      </c>
      <c r="AK110" s="9">
        <f t="shared" si="33"/>
        <v>0</v>
      </c>
      <c r="AL110" s="9">
        <f>1000*(AA111-AA109)/(A111-A109)*Inputs!$C$11</f>
        <v>-113.09388234417384</v>
      </c>
      <c r="AM110" s="9">
        <f>-2*AL110/Inputs!$C$13</f>
        <v>45.237552937669534</v>
      </c>
      <c r="AN110" s="9">
        <f>-2*AL110/Inputs!$C$14</f>
        <v>6.7924253660164471</v>
      </c>
      <c r="AO110" s="9">
        <f t="shared" si="34"/>
        <v>45.237552937669534</v>
      </c>
      <c r="AP110" s="9">
        <f t="shared" si="35"/>
        <v>6.7924253660164471</v>
      </c>
      <c r="AQ110" s="9">
        <f>IF(OR(Inputs!$C$27=TRUE,Inputs!$C$27="TRUE",Inputs!$C$27=1),Inputs!$C$46/Inputs!$C$12,0)</f>
        <v>0</v>
      </c>
      <c r="AR110" s="9">
        <f t="shared" si="36"/>
        <v>463.66069393203549</v>
      </c>
      <c r="AS110" s="9">
        <f t="shared" si="37"/>
        <v>463.66069393203549</v>
      </c>
    </row>
    <row r="111" spans="1:45">
      <c r="A111" s="9">
        <f>Inputs!$C$7+109*(Inputs!$C$8-Inputs!$C$7)/240</f>
        <v>-5.5</v>
      </c>
      <c r="B111" s="9">
        <f>Inputs!$C$5+Inputs!$C$9*(A111/Inputs!$C$10)^2</f>
        <v>400.0336111111111</v>
      </c>
      <c r="C111" s="9">
        <f t="shared" si="19"/>
        <v>400.0336111111111</v>
      </c>
      <c r="D111" s="9">
        <f>SQRT(A111^2+Inputs!$C$6^2+B111^2)</f>
        <v>400.8517681370455</v>
      </c>
      <c r="E111" s="9">
        <f t="shared" si="20"/>
        <v>818.1570259343971</v>
      </c>
      <c r="F111" s="9">
        <f>E111/Inputs!$C$12</f>
        <v>459.63877861482985</v>
      </c>
      <c r="G111" s="9">
        <f>2*E111/Inputs!$C$21*1000000</f>
        <v>5.4581561617163636</v>
      </c>
      <c r="H111" s="9">
        <f>SQRT(A111^2+Inputs!$C$6^2)</f>
        <v>25.597851472340409</v>
      </c>
      <c r="I111" s="9">
        <f t="shared" si="21"/>
        <v>3.6613222610928524</v>
      </c>
      <c r="J111" s="9">
        <f>DEGREES((2*PI()/Inputs!$C$13)*Inputs!$C$15*SIN(RADIANS(I111)))</f>
        <v>22.989112840565028</v>
      </c>
      <c r="K111" s="9">
        <f t="shared" si="22"/>
        <v>0.9918607759497502</v>
      </c>
      <c r="L111" s="9">
        <f t="shared" si="23"/>
        <v>-3.5492839750053864E-2</v>
      </c>
      <c r="M111" s="9">
        <f>2*(Inputs!$C$9/(Inputs!$C$10^2))*A111</f>
        <v>-1.2222222222222223E-2</v>
      </c>
      <c r="N111" s="9">
        <f>M111*Inputs!$C$11</f>
        <v>-4.8888888888888891E-2</v>
      </c>
      <c r="O111" s="9">
        <f>1000*((A111*Inputs!$C$11)+(B111*N111))/D111</f>
        <v>-103.67223514709379</v>
      </c>
      <c r="P111" s="9">
        <f>-2*O111/Inputs!$C$13</f>
        <v>41.468894058837513</v>
      </c>
      <c r="Q111" s="9">
        <f>-2*O111/Inputs!$C$14</f>
        <v>6.2265606694951225</v>
      </c>
      <c r="R111" s="9">
        <f>F111-Inputs!$C$16/2</f>
        <v>444.63877861482985</v>
      </c>
      <c r="S111" s="9">
        <f>F111+Inputs!$C$16/2</f>
        <v>474.63877861482985</v>
      </c>
      <c r="T111" s="9">
        <f>F111-Inputs!$C$17/2</f>
        <v>309.63877861482985</v>
      </c>
      <c r="U111" s="9">
        <f>F111+Inputs!$C$17/2</f>
        <v>609.63877861482979</v>
      </c>
      <c r="V111" s="9">
        <f t="shared" si="24"/>
        <v>41.468894058837513</v>
      </c>
      <c r="W111" s="9">
        <f t="shared" si="25"/>
        <v>6.2265606694951225</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0</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0</v>
      </c>
      <c r="Z111" s="9">
        <f t="shared" si="26"/>
        <v>400.0336111111111</v>
      </c>
      <c r="AA111" s="9">
        <f>SQRT(A111^2+Inputs!$C$6^2+(B111-Y111/1000)^2)</f>
        <v>400.8517681370455</v>
      </c>
      <c r="AB111" s="9">
        <f t="shared" si="27"/>
        <v>818.1570259343971</v>
      </c>
      <c r="AC111" s="9">
        <f>AB111/Inputs!$C$12</f>
        <v>459.63877861482985</v>
      </c>
      <c r="AD111" s="9">
        <f>2*AB111/Inputs!$C$21*1000000</f>
        <v>5.4581561617163636</v>
      </c>
      <c r="AE111" s="9">
        <f t="shared" si="28"/>
        <v>3.6613222610928524</v>
      </c>
      <c r="AF111" s="9">
        <f>DEGREES((2*PI()/Inputs!$C$13)*Inputs!$C$15*SIN(RADIANS(AE111)))</f>
        <v>22.989112840565028</v>
      </c>
      <c r="AG111" s="9">
        <f t="shared" si="29"/>
        <v>0.9918607759497502</v>
      </c>
      <c r="AH111" s="9">
        <f t="shared" si="30"/>
        <v>-3.5492839750053864E-2</v>
      </c>
      <c r="AI111" s="9">
        <f t="shared" si="31"/>
        <v>0</v>
      </c>
      <c r="AJ111" s="9">
        <f t="shared" si="32"/>
        <v>0</v>
      </c>
      <c r="AK111" s="9">
        <f t="shared" si="33"/>
        <v>0</v>
      </c>
      <c r="AL111" s="9">
        <f>1000*(AA112-AA110)/(A112-A110)*Inputs!$C$11</f>
        <v>-103.67211672291887</v>
      </c>
      <c r="AM111" s="9">
        <f>-2*AL111/Inputs!$C$13</f>
        <v>41.468846689167549</v>
      </c>
      <c r="AN111" s="9">
        <f>-2*AL111/Inputs!$C$14</f>
        <v>6.2265535569320649</v>
      </c>
      <c r="AO111" s="9">
        <f t="shared" si="34"/>
        <v>41.468846689167549</v>
      </c>
      <c r="AP111" s="9">
        <f t="shared" si="35"/>
        <v>6.2265535569320649</v>
      </c>
      <c r="AQ111" s="9">
        <f>IF(OR(Inputs!$C$27=TRUE,Inputs!$C$27="TRUE",Inputs!$C$27=1),Inputs!$C$46/Inputs!$C$12,0)</f>
        <v>0</v>
      </c>
      <c r="AR111" s="9">
        <f t="shared" si="36"/>
        <v>459.63877861482985</v>
      </c>
      <c r="AS111" s="9">
        <f t="shared" si="37"/>
        <v>459.63877861482985</v>
      </c>
    </row>
    <row r="112" spans="1:45">
      <c r="A112" s="9">
        <f>Inputs!$C$7+110*(Inputs!$C$8-Inputs!$C$7)/240</f>
        <v>-5</v>
      </c>
      <c r="B112" s="9">
        <f>Inputs!$C$5+Inputs!$C$9*(A112/Inputs!$C$10)^2</f>
        <v>400.02777777777777</v>
      </c>
      <c r="C112" s="9">
        <f t="shared" si="19"/>
        <v>400.02777777777777</v>
      </c>
      <c r="D112" s="9">
        <f>SQRT(A112^2+Inputs!$C$6^2+B112^2)</f>
        <v>400.83939800601831</v>
      </c>
      <c r="E112" s="9">
        <f t="shared" si="20"/>
        <v>811.62022824054247</v>
      </c>
      <c r="F112" s="9">
        <f>E112/Inputs!$C$12</f>
        <v>455.96642035985531</v>
      </c>
      <c r="G112" s="9">
        <f>2*E112/Inputs!$C$21*1000000</f>
        <v>5.4145473415514838</v>
      </c>
      <c r="H112" s="9">
        <f>SQRT(A112^2+Inputs!$C$6^2)</f>
        <v>25.495097567963924</v>
      </c>
      <c r="I112" s="9">
        <f t="shared" si="21"/>
        <v>3.6467178944150929</v>
      </c>
      <c r="J112" s="9">
        <f>DEGREES((2*PI()/Inputs!$C$13)*Inputs!$C$15*SIN(RADIANS(I112)))</f>
        <v>22.897537442986597</v>
      </c>
      <c r="K112" s="9">
        <f t="shared" si="22"/>
        <v>0.99192535960034223</v>
      </c>
      <c r="L112" s="9">
        <f t="shared" si="23"/>
        <v>-3.5210064075997458E-2</v>
      </c>
      <c r="M112" s="9">
        <f>2*(Inputs!$C$9/(Inputs!$C$10^2))*A112</f>
        <v>-1.1111111111111112E-2</v>
      </c>
      <c r="N112" s="9">
        <f>M112*Inputs!$C$11</f>
        <v>-4.4444444444444446E-2</v>
      </c>
      <c r="O112" s="9">
        <f>1000*((A112*Inputs!$C$11)+(B112*N112))/D112</f>
        <v>-94.249748237352136</v>
      </c>
      <c r="P112" s="9">
        <f>-2*O112/Inputs!$C$13</f>
        <v>37.699899294940856</v>
      </c>
      <c r="Q112" s="9">
        <f>-2*O112/Inputs!$C$14</f>
        <v>5.6606455397809095</v>
      </c>
      <c r="R112" s="9">
        <f>F112-Inputs!$C$16/2</f>
        <v>440.96642035985531</v>
      </c>
      <c r="S112" s="9">
        <f>F112+Inputs!$C$16/2</f>
        <v>470.96642035985531</v>
      </c>
      <c r="T112" s="9">
        <f>F112-Inputs!$C$17/2</f>
        <v>305.96642035985531</v>
      </c>
      <c r="U112" s="9">
        <f>F112+Inputs!$C$17/2</f>
        <v>605.96642035985531</v>
      </c>
      <c r="V112" s="9">
        <f t="shared" si="24"/>
        <v>37.699899294940856</v>
      </c>
      <c r="W112" s="9">
        <f t="shared" si="25"/>
        <v>5.6606455397809095</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0</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0</v>
      </c>
      <c r="Z112" s="9">
        <f t="shared" si="26"/>
        <v>400.02777777777777</v>
      </c>
      <c r="AA112" s="9">
        <f>SQRT(A112^2+Inputs!$C$6^2+(B112-Y112/1000)^2)</f>
        <v>400.83939800601831</v>
      </c>
      <c r="AB112" s="9">
        <f t="shared" si="27"/>
        <v>811.62022824054247</v>
      </c>
      <c r="AC112" s="9">
        <f>AB112/Inputs!$C$12</f>
        <v>455.96642035985531</v>
      </c>
      <c r="AD112" s="9">
        <f>2*AB112/Inputs!$C$21*1000000</f>
        <v>5.4145473415514838</v>
      </c>
      <c r="AE112" s="9">
        <f t="shared" si="28"/>
        <v>3.6467178944150929</v>
      </c>
      <c r="AF112" s="9">
        <f>DEGREES((2*PI()/Inputs!$C$13)*Inputs!$C$15*SIN(RADIANS(AE112)))</f>
        <v>22.897537442986597</v>
      </c>
      <c r="AG112" s="9">
        <f t="shared" si="29"/>
        <v>0.99192535960034223</v>
      </c>
      <c r="AH112" s="9">
        <f t="shared" si="30"/>
        <v>-3.5210064075997458E-2</v>
      </c>
      <c r="AI112" s="9">
        <f t="shared" si="31"/>
        <v>0</v>
      </c>
      <c r="AJ112" s="9">
        <f t="shared" si="32"/>
        <v>0</v>
      </c>
      <c r="AK112" s="9">
        <f t="shared" si="33"/>
        <v>0</v>
      </c>
      <c r="AL112" s="9">
        <f>1000*(AA113-AA111)/(A113-A111)*Inputs!$C$11</f>
        <v>-94.249640562566128</v>
      </c>
      <c r="AM112" s="9">
        <f>-2*AL112/Inputs!$C$13</f>
        <v>37.699856225026451</v>
      </c>
      <c r="AN112" s="9">
        <f>-2*AL112/Inputs!$C$14</f>
        <v>5.660639072826795</v>
      </c>
      <c r="AO112" s="9">
        <f t="shared" si="34"/>
        <v>37.699856225026451</v>
      </c>
      <c r="AP112" s="9">
        <f t="shared" si="35"/>
        <v>5.660639072826795</v>
      </c>
      <c r="AQ112" s="9">
        <f>IF(OR(Inputs!$C$27=TRUE,Inputs!$C$27="TRUE",Inputs!$C$27=1),Inputs!$C$46/Inputs!$C$12,0)</f>
        <v>0</v>
      </c>
      <c r="AR112" s="9">
        <f t="shared" si="36"/>
        <v>455.96642035985531</v>
      </c>
      <c r="AS112" s="9">
        <f t="shared" si="37"/>
        <v>455.96642035985531</v>
      </c>
    </row>
    <row r="113" spans="1:45">
      <c r="A113" s="9">
        <f>Inputs!$C$7+111*(Inputs!$C$8-Inputs!$C$7)/240</f>
        <v>-4.5</v>
      </c>
      <c r="B113" s="9">
        <f>Inputs!$C$5+Inputs!$C$9*(A113/Inputs!$C$10)^2</f>
        <v>400.02249999999998</v>
      </c>
      <c r="C113" s="9">
        <f t="shared" si="19"/>
        <v>400.02249999999998</v>
      </c>
      <c r="D113" s="9">
        <f>SQRT(A113^2+Inputs!$C$6^2+B113^2)</f>
        <v>400.82820572690486</v>
      </c>
      <c r="E113" s="9">
        <f t="shared" si="20"/>
        <v>805.70572690487552</v>
      </c>
      <c r="F113" s="9">
        <f>E113/Inputs!$C$12</f>
        <v>452.64366680049187</v>
      </c>
      <c r="G113" s="9">
        <f>2*E113/Inputs!$C$21*1000000</f>
        <v>5.3750900358198841</v>
      </c>
      <c r="H113" s="9">
        <f>SQRT(A113^2+Inputs!$C$6^2)</f>
        <v>25.401771591761076</v>
      </c>
      <c r="I113" s="9">
        <f t="shared" si="21"/>
        <v>3.6334525503982564</v>
      </c>
      <c r="J113" s="9">
        <f>DEGREES((2*PI()/Inputs!$C$13)*Inputs!$C$15*SIN(RADIANS(I113)))</f>
        <v>22.814356979819124</v>
      </c>
      <c r="K113" s="9">
        <f t="shared" si="22"/>
        <v>0.99198380111213136</v>
      </c>
      <c r="L113" s="9">
        <f t="shared" si="23"/>
        <v>-3.4954197259168707E-2</v>
      </c>
      <c r="M113" s="9">
        <f>2*(Inputs!$C$9/(Inputs!$C$10^2))*A113</f>
        <v>-0.01</v>
      </c>
      <c r="N113" s="9">
        <f>M113*Inputs!$C$11</f>
        <v>-0.04</v>
      </c>
      <c r="O113" s="9">
        <f>1000*((A113*Inputs!$C$11)+(B113*N113))/D113</f>
        <v>-84.826615278580817</v>
      </c>
      <c r="P113" s="9">
        <f>-2*O113/Inputs!$C$13</f>
        <v>33.930646111432324</v>
      </c>
      <c r="Q113" s="9">
        <f>-2*O113/Inputs!$C$14</f>
        <v>5.0946916083231724</v>
      </c>
      <c r="R113" s="9">
        <f>F113-Inputs!$C$16/2</f>
        <v>437.64366680049187</v>
      </c>
      <c r="S113" s="9">
        <f>F113+Inputs!$C$16/2</f>
        <v>467.64366680049187</v>
      </c>
      <c r="T113" s="9">
        <f>F113-Inputs!$C$17/2</f>
        <v>302.64366680049187</v>
      </c>
      <c r="U113" s="9">
        <f>F113+Inputs!$C$17/2</f>
        <v>602.64366680049193</v>
      </c>
      <c r="V113" s="9">
        <f t="shared" si="24"/>
        <v>33.930646111432324</v>
      </c>
      <c r="W113" s="9">
        <f t="shared" si="25"/>
        <v>5.0946916083231724</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0</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0</v>
      </c>
      <c r="Z113" s="9">
        <f t="shared" si="26"/>
        <v>400.02249999999998</v>
      </c>
      <c r="AA113" s="9">
        <f>SQRT(A113^2+Inputs!$C$6^2+(B113-Y113/1000)^2)</f>
        <v>400.82820572690486</v>
      </c>
      <c r="AB113" s="9">
        <f t="shared" si="27"/>
        <v>805.70572690487552</v>
      </c>
      <c r="AC113" s="9">
        <f>AB113/Inputs!$C$12</f>
        <v>452.64366680049187</v>
      </c>
      <c r="AD113" s="9">
        <f>2*AB113/Inputs!$C$21*1000000</f>
        <v>5.3750900358198841</v>
      </c>
      <c r="AE113" s="9">
        <f t="shared" si="28"/>
        <v>3.6334525503982564</v>
      </c>
      <c r="AF113" s="9">
        <f>DEGREES((2*PI()/Inputs!$C$13)*Inputs!$C$15*SIN(RADIANS(AE113)))</f>
        <v>22.814356979819124</v>
      </c>
      <c r="AG113" s="9">
        <f t="shared" si="29"/>
        <v>0.99198380111213136</v>
      </c>
      <c r="AH113" s="9">
        <f t="shared" si="30"/>
        <v>-3.4954197259168707E-2</v>
      </c>
      <c r="AI113" s="9">
        <f t="shared" si="31"/>
        <v>0</v>
      </c>
      <c r="AJ113" s="9">
        <f t="shared" si="32"/>
        <v>0</v>
      </c>
      <c r="AK113" s="9">
        <f t="shared" si="33"/>
        <v>0</v>
      </c>
      <c r="AL113" s="9">
        <f>1000*(AA114-AA112)/(A114-A112)*Inputs!$C$11</f>
        <v>-84.826518357658642</v>
      </c>
      <c r="AM113" s="9">
        <f>-2*AL113/Inputs!$C$13</f>
        <v>33.930607343063457</v>
      </c>
      <c r="AN113" s="9">
        <f>-2*AL113/Inputs!$C$14</f>
        <v>5.0946857872467657</v>
      </c>
      <c r="AO113" s="9">
        <f t="shared" si="34"/>
        <v>33.930607343063457</v>
      </c>
      <c r="AP113" s="9">
        <f t="shared" si="35"/>
        <v>5.0946857872467657</v>
      </c>
      <c r="AQ113" s="9">
        <f>IF(OR(Inputs!$C$27=TRUE,Inputs!$C$27="TRUE",Inputs!$C$27=1),Inputs!$C$46/Inputs!$C$12,0)</f>
        <v>0</v>
      </c>
      <c r="AR113" s="9">
        <f t="shared" si="36"/>
        <v>452.64366680049187</v>
      </c>
      <c r="AS113" s="9">
        <f t="shared" si="37"/>
        <v>452.64366680049187</v>
      </c>
    </row>
    <row r="114" spans="1:45">
      <c r="A114" s="9">
        <f>Inputs!$C$7+112*(Inputs!$C$8-Inputs!$C$7)/240</f>
        <v>-4</v>
      </c>
      <c r="B114" s="9">
        <f>Inputs!$C$5+Inputs!$C$9*(A114/Inputs!$C$10)^2</f>
        <v>400.01777777777778</v>
      </c>
      <c r="C114" s="9">
        <f t="shared" si="19"/>
        <v>400.01777777777778</v>
      </c>
      <c r="D114" s="9">
        <f>SQRT(A114^2+Inputs!$C$6^2+B114^2)</f>
        <v>400.8181913764289</v>
      </c>
      <c r="E114" s="9">
        <f t="shared" si="20"/>
        <v>800.41359865111872</v>
      </c>
      <c r="F114" s="9">
        <f>E114/Inputs!$C$12</f>
        <v>449.67056103995435</v>
      </c>
      <c r="G114" s="9">
        <f>2*E114/Inputs!$C$21*1000000</f>
        <v>5.3397847563671448</v>
      </c>
      <c r="H114" s="9">
        <f>SQRT(A114^2+Inputs!$C$6^2)</f>
        <v>25.317977802344327</v>
      </c>
      <c r="I114" s="9">
        <f t="shared" si="21"/>
        <v>3.62154133083556</v>
      </c>
      <c r="J114" s="9">
        <f>DEGREES((2*PI()/Inputs!$C$13)*Inputs!$C$15*SIN(RADIANS(I114)))</f>
        <v>22.739666524476899</v>
      </c>
      <c r="K114" s="9">
        <f t="shared" si="22"/>
        <v>0.99203609788096248</v>
      </c>
      <c r="L114" s="9">
        <f t="shared" si="23"/>
        <v>-3.4725245945308292E-2</v>
      </c>
      <c r="M114" s="9">
        <f>2*(Inputs!$C$9/(Inputs!$C$10^2))*A114</f>
        <v>-8.8888888888888889E-3</v>
      </c>
      <c r="N114" s="9">
        <f>M114*Inputs!$C$11</f>
        <v>-3.5555555555555556E-2</v>
      </c>
      <c r="O114" s="9">
        <f>1000*((A114*Inputs!$C$11)+(B114*N114))/D114</f>
        <v>-75.402900794499686</v>
      </c>
      <c r="P114" s="9">
        <f>-2*O114/Inputs!$C$13</f>
        <v>30.161160317799876</v>
      </c>
      <c r="Q114" s="9">
        <f>-2*O114/Inputs!$C$14</f>
        <v>4.5287027504204023</v>
      </c>
      <c r="R114" s="9">
        <f>F114-Inputs!$C$16/2</f>
        <v>434.67056103995435</v>
      </c>
      <c r="S114" s="9">
        <f>F114+Inputs!$C$16/2</f>
        <v>464.67056103995435</v>
      </c>
      <c r="T114" s="9">
        <f>F114-Inputs!$C$17/2</f>
        <v>299.67056103995435</v>
      </c>
      <c r="U114" s="9">
        <f>F114+Inputs!$C$17/2</f>
        <v>599.67056103995435</v>
      </c>
      <c r="V114" s="9">
        <f t="shared" si="24"/>
        <v>30.161160317799876</v>
      </c>
      <c r="W114" s="9">
        <f t="shared" si="25"/>
        <v>4.5287027504204023</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0</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0</v>
      </c>
      <c r="Z114" s="9">
        <f t="shared" si="26"/>
        <v>400.01777777777778</v>
      </c>
      <c r="AA114" s="9">
        <f>SQRT(A114^2+Inputs!$C$6^2+(B114-Y114/1000)^2)</f>
        <v>400.8181913764289</v>
      </c>
      <c r="AB114" s="9">
        <f t="shared" si="27"/>
        <v>800.41359865111872</v>
      </c>
      <c r="AC114" s="9">
        <f>AB114/Inputs!$C$12</f>
        <v>449.67056103995435</v>
      </c>
      <c r="AD114" s="9">
        <f>2*AB114/Inputs!$C$21*1000000</f>
        <v>5.3397847563671448</v>
      </c>
      <c r="AE114" s="9">
        <f t="shared" si="28"/>
        <v>3.62154133083556</v>
      </c>
      <c r="AF114" s="9">
        <f>DEGREES((2*PI()/Inputs!$C$13)*Inputs!$C$15*SIN(RADIANS(AE114)))</f>
        <v>22.739666524476899</v>
      </c>
      <c r="AG114" s="9">
        <f t="shared" si="29"/>
        <v>0.99203609788096248</v>
      </c>
      <c r="AH114" s="9">
        <f t="shared" si="30"/>
        <v>-3.4725245945308292E-2</v>
      </c>
      <c r="AI114" s="9">
        <f t="shared" si="31"/>
        <v>0</v>
      </c>
      <c r="AJ114" s="9">
        <f t="shared" si="32"/>
        <v>0</v>
      </c>
      <c r="AK114" s="9">
        <f t="shared" si="33"/>
        <v>0</v>
      </c>
      <c r="AL114" s="9">
        <f>1000*(AA115-AA113)/(A115-A113)*Inputs!$C$11</f>
        <v>-75.402814631615911</v>
      </c>
      <c r="AM114" s="9">
        <f>-2*AL114/Inputs!$C$13</f>
        <v>30.161125852646364</v>
      </c>
      <c r="AN114" s="9">
        <f>-2*AL114/Inputs!$C$14</f>
        <v>4.5286975754724272</v>
      </c>
      <c r="AO114" s="9">
        <f t="shared" si="34"/>
        <v>30.161125852646364</v>
      </c>
      <c r="AP114" s="9">
        <f t="shared" si="35"/>
        <v>4.5286975754724272</v>
      </c>
      <c r="AQ114" s="9">
        <f>IF(OR(Inputs!$C$27=TRUE,Inputs!$C$27="TRUE",Inputs!$C$27=1),Inputs!$C$46/Inputs!$C$12,0)</f>
        <v>0</v>
      </c>
      <c r="AR114" s="9">
        <f t="shared" si="36"/>
        <v>449.67056103995435</v>
      </c>
      <c r="AS114" s="9">
        <f t="shared" si="37"/>
        <v>449.67056103995435</v>
      </c>
    </row>
    <row r="115" spans="1:45">
      <c r="A115" s="9">
        <f>Inputs!$C$7+113*(Inputs!$C$8-Inputs!$C$7)/240</f>
        <v>-3.5</v>
      </c>
      <c r="B115" s="9">
        <f>Inputs!$C$5+Inputs!$C$9*(A115/Inputs!$C$10)^2</f>
        <v>400.01361111111112</v>
      </c>
      <c r="C115" s="9">
        <f t="shared" si="19"/>
        <v>400.01361111111112</v>
      </c>
      <c r="D115" s="9">
        <f>SQRT(A115^2+Inputs!$C$6^2+B115^2)</f>
        <v>400.80935502324695</v>
      </c>
      <c r="E115" s="9">
        <f t="shared" si="20"/>
        <v>795.7439121358334</v>
      </c>
      <c r="F115" s="9">
        <f>E115/Inputs!$C$12</f>
        <v>447.04714164934461</v>
      </c>
      <c r="G115" s="9">
        <f>2*E115/Inputs!$C$21*1000000</f>
        <v>5.3086319612205415</v>
      </c>
      <c r="H115" s="9">
        <f>SQRT(A115^2+Inputs!$C$6^2)</f>
        <v>25.243811122728676</v>
      </c>
      <c r="I115" s="9">
        <f t="shared" si="21"/>
        <v>3.6109979838002473</v>
      </c>
      <c r="J115" s="9">
        <f>DEGREES((2*PI()/Inputs!$C$13)*Inputs!$C$15*SIN(RADIANS(I115)))</f>
        <v>22.673552626173684</v>
      </c>
      <c r="K115" s="9">
        <f t="shared" si="22"/>
        <v>0.99208224757608587</v>
      </c>
      <c r="L115" s="9">
        <f t="shared" si="23"/>
        <v>-3.4523216081685341E-2</v>
      </c>
      <c r="M115" s="9">
        <f>2*(Inputs!$C$9/(Inputs!$C$10^2))*A115</f>
        <v>-7.7777777777777776E-3</v>
      </c>
      <c r="N115" s="9">
        <f>M115*Inputs!$C$11</f>
        <v>-3.111111111111111E-2</v>
      </c>
      <c r="O115" s="9">
        <f>1000*((A115*Inputs!$C$11)+(B115*N115))/D115</f>
        <v>-65.97866933445394</v>
      </c>
      <c r="P115" s="9">
        <f>-2*O115/Inputs!$C$13</f>
        <v>26.391467733781575</v>
      </c>
      <c r="Q115" s="9">
        <f>-2*O115/Inputs!$C$14</f>
        <v>3.9626828429101471</v>
      </c>
      <c r="R115" s="9">
        <f>F115-Inputs!$C$16/2</f>
        <v>432.04714164934461</v>
      </c>
      <c r="S115" s="9">
        <f>F115+Inputs!$C$16/2</f>
        <v>462.04714164934461</v>
      </c>
      <c r="T115" s="9">
        <f>F115-Inputs!$C$17/2</f>
        <v>297.04714164934461</v>
      </c>
      <c r="U115" s="9">
        <f>F115+Inputs!$C$17/2</f>
        <v>597.04714164934467</v>
      </c>
      <c r="V115" s="9">
        <f t="shared" si="24"/>
        <v>26.391467733781575</v>
      </c>
      <c r="W115" s="9">
        <f t="shared" si="25"/>
        <v>3.9626828429101471</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0</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0</v>
      </c>
      <c r="Z115" s="9">
        <f t="shared" si="26"/>
        <v>400.01361111111112</v>
      </c>
      <c r="AA115" s="9">
        <f>SQRT(A115^2+Inputs!$C$6^2+(B115-Y115/1000)^2)</f>
        <v>400.80935502324695</v>
      </c>
      <c r="AB115" s="9">
        <f t="shared" si="27"/>
        <v>795.7439121358334</v>
      </c>
      <c r="AC115" s="9">
        <f>AB115/Inputs!$C$12</f>
        <v>447.04714164934461</v>
      </c>
      <c r="AD115" s="9">
        <f>2*AB115/Inputs!$C$21*1000000</f>
        <v>5.3086319612205415</v>
      </c>
      <c r="AE115" s="9">
        <f t="shared" si="28"/>
        <v>3.6109979838002473</v>
      </c>
      <c r="AF115" s="9">
        <f>DEGREES((2*PI()/Inputs!$C$13)*Inputs!$C$15*SIN(RADIANS(AE115)))</f>
        <v>22.673552626173684</v>
      </c>
      <c r="AG115" s="9">
        <f t="shared" si="29"/>
        <v>0.99208224757608587</v>
      </c>
      <c r="AH115" s="9">
        <f t="shared" si="30"/>
        <v>-3.4523216081685341E-2</v>
      </c>
      <c r="AI115" s="9">
        <f t="shared" si="31"/>
        <v>0</v>
      </c>
      <c r="AJ115" s="9">
        <f t="shared" si="32"/>
        <v>0</v>
      </c>
      <c r="AK115" s="9">
        <f t="shared" si="33"/>
        <v>0</v>
      </c>
      <c r="AL115" s="9">
        <f>1000*(AA116-AA114)/(A116-A114)*Inputs!$C$11</f>
        <v>-65.978593933550655</v>
      </c>
      <c r="AM115" s="9">
        <f>-2*AL115/Inputs!$C$13</f>
        <v>26.391437573420262</v>
      </c>
      <c r="AN115" s="9">
        <f>-2*AL115/Inputs!$C$14</f>
        <v>3.9626783143273672</v>
      </c>
      <c r="AO115" s="9">
        <f t="shared" si="34"/>
        <v>26.391437573420262</v>
      </c>
      <c r="AP115" s="9">
        <f t="shared" si="35"/>
        <v>3.9626783143273672</v>
      </c>
      <c r="AQ115" s="9">
        <f>IF(OR(Inputs!$C$27=TRUE,Inputs!$C$27="TRUE",Inputs!$C$27=1),Inputs!$C$46/Inputs!$C$12,0)</f>
        <v>0</v>
      </c>
      <c r="AR115" s="9">
        <f t="shared" si="36"/>
        <v>447.04714164934461</v>
      </c>
      <c r="AS115" s="9">
        <f t="shared" si="37"/>
        <v>447.04714164934461</v>
      </c>
    </row>
    <row r="116" spans="1:45">
      <c r="A116" s="9">
        <f>Inputs!$C$7+114*(Inputs!$C$8-Inputs!$C$7)/240</f>
        <v>-3</v>
      </c>
      <c r="B116" s="9">
        <f>Inputs!$C$5+Inputs!$C$9*(A116/Inputs!$C$10)^2</f>
        <v>400.01</v>
      </c>
      <c r="C116" s="9">
        <f t="shared" si="19"/>
        <v>400.01</v>
      </c>
      <c r="D116" s="9">
        <f>SQRT(A116^2+Inputs!$C$6^2+B116^2)</f>
        <v>400.80169672794551</v>
      </c>
      <c r="E116" s="9">
        <f t="shared" si="20"/>
        <v>791.69672794552071</v>
      </c>
      <c r="F116" s="9">
        <f>E116/Inputs!$C$12</f>
        <v>444.77344266602285</v>
      </c>
      <c r="G116" s="9">
        <f>2*E116/Inputs!$C$21*1000000</f>
        <v>5.2816320545697035</v>
      </c>
      <c r="H116" s="9">
        <f>SQRT(A116^2+Inputs!$C$6^2)</f>
        <v>25.179356624028344</v>
      </c>
      <c r="I116" s="9">
        <f t="shared" si="21"/>
        <v>3.6018348293149773</v>
      </c>
      <c r="J116" s="9">
        <f>DEGREES((2*PI()/Inputs!$C$13)*Inputs!$C$15*SIN(RADIANS(I116)))</f>
        <v>22.616092842548554</v>
      </c>
      <c r="K116" s="9">
        <f t="shared" si="22"/>
        <v>0.99212224814039252</v>
      </c>
      <c r="L116" s="9">
        <f t="shared" si="23"/>
        <v>-3.4348112916752022E-2</v>
      </c>
      <c r="M116" s="9">
        <f>2*(Inputs!$C$9/(Inputs!$C$10^2))*A116</f>
        <v>-6.6666666666666662E-3</v>
      </c>
      <c r="N116" s="9">
        <f>M116*Inputs!$C$11</f>
        <v>-2.6666666666666665E-2</v>
      </c>
      <c r="O116" s="9">
        <f>1000*((A116*Inputs!$C$11)+(B116*N116))/D116</f>
        <v>-56.553985470573245</v>
      </c>
      <c r="P116" s="9">
        <f>-2*O116/Inputs!$C$13</f>
        <v>22.621594188229299</v>
      </c>
      <c r="Q116" s="9">
        <f>-2*O116/Inputs!$C$14</f>
        <v>3.3966357639983933</v>
      </c>
      <c r="R116" s="9">
        <f>F116-Inputs!$C$16/2</f>
        <v>429.77344266602285</v>
      </c>
      <c r="S116" s="9">
        <f>F116+Inputs!$C$16/2</f>
        <v>459.77344266602285</v>
      </c>
      <c r="T116" s="9">
        <f>F116-Inputs!$C$17/2</f>
        <v>294.77344266602285</v>
      </c>
      <c r="U116" s="9">
        <f>F116+Inputs!$C$17/2</f>
        <v>594.7734426660229</v>
      </c>
      <c r="V116" s="9">
        <f t="shared" si="24"/>
        <v>22.621594188229299</v>
      </c>
      <c r="W116" s="9">
        <f t="shared" si="25"/>
        <v>3.3966357639983933</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0</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0</v>
      </c>
      <c r="Z116" s="9">
        <f t="shared" si="26"/>
        <v>400.01</v>
      </c>
      <c r="AA116" s="9">
        <f>SQRT(A116^2+Inputs!$C$6^2+(B116-Y116/1000)^2)</f>
        <v>400.80169672794551</v>
      </c>
      <c r="AB116" s="9">
        <f t="shared" si="27"/>
        <v>791.69672794552071</v>
      </c>
      <c r="AC116" s="9">
        <f>AB116/Inputs!$C$12</f>
        <v>444.77344266602285</v>
      </c>
      <c r="AD116" s="9">
        <f>2*AB116/Inputs!$C$21*1000000</f>
        <v>5.2816320545697035</v>
      </c>
      <c r="AE116" s="9">
        <f t="shared" si="28"/>
        <v>3.6018348293149773</v>
      </c>
      <c r="AF116" s="9">
        <f>DEGREES((2*PI()/Inputs!$C$13)*Inputs!$C$15*SIN(RADIANS(AE116)))</f>
        <v>22.616092842548554</v>
      </c>
      <c r="AG116" s="9">
        <f t="shared" si="29"/>
        <v>0.99212224814039252</v>
      </c>
      <c r="AH116" s="9">
        <f t="shared" si="30"/>
        <v>-3.4348112916752022E-2</v>
      </c>
      <c r="AI116" s="9">
        <f t="shared" si="31"/>
        <v>0</v>
      </c>
      <c r="AJ116" s="9">
        <f t="shared" si="32"/>
        <v>0</v>
      </c>
      <c r="AK116" s="9">
        <f t="shared" si="33"/>
        <v>0</v>
      </c>
      <c r="AL116" s="9">
        <f>1000*(AA117-AA115)/(A117-A115)*Inputs!$C$11</f>
        <v>-56.553920835085592</v>
      </c>
      <c r="AM116" s="9">
        <f>-2*AL116/Inputs!$C$13</f>
        <v>22.621568334034237</v>
      </c>
      <c r="AN116" s="9">
        <f>-2*AL116/Inputs!$C$14</f>
        <v>3.3966318819871231</v>
      </c>
      <c r="AO116" s="9">
        <f t="shared" si="34"/>
        <v>22.621568334034237</v>
      </c>
      <c r="AP116" s="9">
        <f t="shared" si="35"/>
        <v>3.3966318819871231</v>
      </c>
      <c r="AQ116" s="9">
        <f>IF(OR(Inputs!$C$27=TRUE,Inputs!$C$27="TRUE",Inputs!$C$27=1),Inputs!$C$46/Inputs!$C$12,0)</f>
        <v>0</v>
      </c>
      <c r="AR116" s="9">
        <f t="shared" si="36"/>
        <v>444.77344266602285</v>
      </c>
      <c r="AS116" s="9">
        <f t="shared" si="37"/>
        <v>444.77344266602285</v>
      </c>
    </row>
    <row r="117" spans="1:45">
      <c r="A117" s="9">
        <f>Inputs!$C$7+115*(Inputs!$C$8-Inputs!$C$7)/240</f>
        <v>-2.5</v>
      </c>
      <c r="B117" s="9">
        <f>Inputs!$C$5+Inputs!$C$9*(A117/Inputs!$C$10)^2</f>
        <v>400.00694444444446</v>
      </c>
      <c r="C117" s="9">
        <f t="shared" si="19"/>
        <v>400.00694444444446</v>
      </c>
      <c r="D117" s="9">
        <f>SQRT(A117^2+Inputs!$C$6^2+B117^2)</f>
        <v>400.79521654303818</v>
      </c>
      <c r="E117" s="9">
        <f t="shared" si="20"/>
        <v>788.2720985937226</v>
      </c>
      <c r="F117" s="9">
        <f>E117/Inputs!$C$12</f>
        <v>442.84949359197901</v>
      </c>
      <c r="G117" s="9">
        <f>2*E117/Inputs!$C$21*1000000</f>
        <v>5.258785386747272</v>
      </c>
      <c r="H117" s="9">
        <f>SQRT(A117^2+Inputs!$C$6^2)</f>
        <v>25.124689052802225</v>
      </c>
      <c r="I117" s="9">
        <f t="shared" si="21"/>
        <v>3.5940626913086393</v>
      </c>
      <c r="J117" s="9">
        <f>DEGREES((2*PI()/Inputs!$C$13)*Inputs!$C$15*SIN(RADIANS(I117)))</f>
        <v>22.567355311830532</v>
      </c>
      <c r="K117" s="9">
        <f t="shared" si="22"/>
        <v>0.9921560977906303</v>
      </c>
      <c r="L117" s="9">
        <f t="shared" si="23"/>
        <v>-3.4199940999800997E-2</v>
      </c>
      <c r="M117" s="9">
        <f>2*(Inputs!$C$9/(Inputs!$C$10^2))*A117</f>
        <v>-5.5555555555555558E-3</v>
      </c>
      <c r="N117" s="9">
        <f>M117*Inputs!$C$11</f>
        <v>-2.2222222222222223E-2</v>
      </c>
      <c r="O117" s="9">
        <f>1000*((A117*Inputs!$C$11)+(B117*N117))/D117</f>
        <v>-47.128913794928494</v>
      </c>
      <c r="P117" s="9">
        <f>-2*O117/Inputs!$C$13</f>
        <v>18.851565517971398</v>
      </c>
      <c r="Q117" s="9">
        <f>-2*O117/Inputs!$C$14</f>
        <v>2.8305653930887988</v>
      </c>
      <c r="R117" s="9">
        <f>F117-Inputs!$C$16/2</f>
        <v>427.84949359197901</v>
      </c>
      <c r="S117" s="9">
        <f>F117+Inputs!$C$16/2</f>
        <v>457.84949359197901</v>
      </c>
      <c r="T117" s="9">
        <f>F117-Inputs!$C$17/2</f>
        <v>292.84949359197901</v>
      </c>
      <c r="U117" s="9">
        <f>F117+Inputs!$C$17/2</f>
        <v>592.84949359197901</v>
      </c>
      <c r="V117" s="9">
        <f t="shared" si="24"/>
        <v>18.851565517971398</v>
      </c>
      <c r="W117" s="9">
        <f t="shared" si="25"/>
        <v>2.8305653930887988</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0</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0</v>
      </c>
      <c r="Z117" s="9">
        <f t="shared" si="26"/>
        <v>400.00694444444446</v>
      </c>
      <c r="AA117" s="9">
        <f>SQRT(A117^2+Inputs!$C$6^2+(B117-Y117/1000)^2)</f>
        <v>400.79521654303818</v>
      </c>
      <c r="AB117" s="9">
        <f t="shared" si="27"/>
        <v>788.2720985937226</v>
      </c>
      <c r="AC117" s="9">
        <f>AB117/Inputs!$C$12</f>
        <v>442.84949359197901</v>
      </c>
      <c r="AD117" s="9">
        <f>2*AB117/Inputs!$C$21*1000000</f>
        <v>5.258785386747272</v>
      </c>
      <c r="AE117" s="9">
        <f t="shared" si="28"/>
        <v>3.5940626913086393</v>
      </c>
      <c r="AF117" s="9">
        <f>DEGREES((2*PI()/Inputs!$C$13)*Inputs!$C$15*SIN(RADIANS(AE117)))</f>
        <v>22.567355311830532</v>
      </c>
      <c r="AG117" s="9">
        <f t="shared" si="29"/>
        <v>0.9921560977906303</v>
      </c>
      <c r="AH117" s="9">
        <f t="shared" si="30"/>
        <v>-3.4199940999800997E-2</v>
      </c>
      <c r="AI117" s="9">
        <f t="shared" si="31"/>
        <v>0</v>
      </c>
      <c r="AJ117" s="9">
        <f t="shared" si="32"/>
        <v>0</v>
      </c>
      <c r="AK117" s="9">
        <f t="shared" si="33"/>
        <v>0</v>
      </c>
      <c r="AL117" s="9">
        <f>1000*(AA118-AA116)/(A118-A116)*Inputs!$C$11</f>
        <v>-47.128859927852318</v>
      </c>
      <c r="AM117" s="9">
        <f>-2*AL117/Inputs!$C$13</f>
        <v>18.851543971140927</v>
      </c>
      <c r="AN117" s="9">
        <f>-2*AL117/Inputs!$C$14</f>
        <v>2.8305621578289681</v>
      </c>
      <c r="AO117" s="9">
        <f t="shared" si="34"/>
        <v>18.851543971140927</v>
      </c>
      <c r="AP117" s="9">
        <f t="shared" si="35"/>
        <v>2.8305621578289681</v>
      </c>
      <c r="AQ117" s="9">
        <f>IF(OR(Inputs!$C$27=TRUE,Inputs!$C$27="TRUE",Inputs!$C$27=1),Inputs!$C$46/Inputs!$C$12,0)</f>
        <v>0</v>
      </c>
      <c r="AR117" s="9">
        <f t="shared" si="36"/>
        <v>442.84949359197901</v>
      </c>
      <c r="AS117" s="9">
        <f t="shared" si="37"/>
        <v>442.84949359197901</v>
      </c>
    </row>
    <row r="118" spans="1:45">
      <c r="A118" s="9">
        <f>Inputs!$C$7+116*(Inputs!$C$8-Inputs!$C$7)/240</f>
        <v>-2</v>
      </c>
      <c r="B118" s="9">
        <f>Inputs!$C$5+Inputs!$C$9*(A118/Inputs!$C$10)^2</f>
        <v>400.00444444444446</v>
      </c>
      <c r="C118" s="9">
        <f t="shared" si="19"/>
        <v>400.00444444444446</v>
      </c>
      <c r="D118" s="9">
        <f>SQRT(A118^2+Inputs!$C$6^2+B118^2)</f>
        <v>400.78991451296355</v>
      </c>
      <c r="E118" s="9">
        <f t="shared" si="20"/>
        <v>785.47006851908918</v>
      </c>
      <c r="F118" s="9">
        <f>E118/Inputs!$C$12</f>
        <v>441.27531939274672</v>
      </c>
      <c r="G118" s="9">
        <f>2*E118/Inputs!$C$21*1000000</f>
        <v>5.2400922542160098</v>
      </c>
      <c r="H118" s="9">
        <f>SQRT(A118^2+Inputs!$C$6^2)</f>
        <v>25.079872407968907</v>
      </c>
      <c r="I118" s="9">
        <f t="shared" si="21"/>
        <v>3.5876908367118432</v>
      </c>
      <c r="J118" s="9">
        <f>DEGREES((2*PI()/Inputs!$C$13)*Inputs!$C$15*SIN(RADIANS(I118)))</f>
        <v>22.52739836989279</v>
      </c>
      <c r="K118" s="9">
        <f t="shared" si="22"/>
        <v>0.99218379501758036</v>
      </c>
      <c r="L118" s="9">
        <f t="shared" si="23"/>
        <v>-3.4078704180717623E-2</v>
      </c>
      <c r="M118" s="9">
        <f>2*(Inputs!$C$9/(Inputs!$C$10^2))*A118</f>
        <v>-4.4444444444444444E-3</v>
      </c>
      <c r="N118" s="9">
        <f>M118*Inputs!$C$11</f>
        <v>-1.7777777777777778E-2</v>
      </c>
      <c r="O118" s="9">
        <f>1000*((A118*Inputs!$C$11)+(B118*N118))/D118</f>
        <v>-37.703518916686761</v>
      </c>
      <c r="P118" s="9">
        <f>-2*O118/Inputs!$C$13</f>
        <v>15.081407566674704</v>
      </c>
      <c r="Q118" s="9">
        <f>-2*O118/Inputs!$C$14</f>
        <v>2.2644756106118176</v>
      </c>
      <c r="R118" s="9">
        <f>F118-Inputs!$C$16/2</f>
        <v>426.27531939274672</v>
      </c>
      <c r="S118" s="9">
        <f>F118+Inputs!$C$16/2</f>
        <v>456.27531939274672</v>
      </c>
      <c r="T118" s="9">
        <f>F118-Inputs!$C$17/2</f>
        <v>291.27531939274672</v>
      </c>
      <c r="U118" s="9">
        <f>F118+Inputs!$C$17/2</f>
        <v>591.27531939274672</v>
      </c>
      <c r="V118" s="9">
        <f t="shared" si="24"/>
        <v>15.081407566674704</v>
      </c>
      <c r="W118" s="9">
        <f t="shared" si="25"/>
        <v>2.2644756106118176</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0</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0</v>
      </c>
      <c r="Z118" s="9">
        <f t="shared" si="26"/>
        <v>400.00444444444446</v>
      </c>
      <c r="AA118" s="9">
        <f>SQRT(A118^2+Inputs!$C$6^2+(B118-Y118/1000)^2)</f>
        <v>400.78991451296355</v>
      </c>
      <c r="AB118" s="9">
        <f t="shared" si="27"/>
        <v>785.47006851908918</v>
      </c>
      <c r="AC118" s="9">
        <f>AB118/Inputs!$C$12</f>
        <v>441.27531939274672</v>
      </c>
      <c r="AD118" s="9">
        <f>2*AB118/Inputs!$C$21*1000000</f>
        <v>5.2400922542160098</v>
      </c>
      <c r="AE118" s="9">
        <f t="shared" si="28"/>
        <v>3.5876908367118432</v>
      </c>
      <c r="AF118" s="9">
        <f>DEGREES((2*PI()/Inputs!$C$13)*Inputs!$C$15*SIN(RADIANS(AE118)))</f>
        <v>22.52739836989279</v>
      </c>
      <c r="AG118" s="9">
        <f t="shared" si="29"/>
        <v>0.99218379501758036</v>
      </c>
      <c r="AH118" s="9">
        <f t="shared" si="30"/>
        <v>-3.4078704180717623E-2</v>
      </c>
      <c r="AI118" s="9">
        <f t="shared" si="31"/>
        <v>0</v>
      </c>
      <c r="AJ118" s="9">
        <f t="shared" si="32"/>
        <v>0</v>
      </c>
      <c r="AK118" s="9">
        <f t="shared" si="33"/>
        <v>0</v>
      </c>
      <c r="AL118" s="9">
        <f>1000*(AA119-AA117)/(A119-A117)*Inputs!$C$11</f>
        <v>-37.703475820080712</v>
      </c>
      <c r="AM118" s="9">
        <f>-2*AL118/Inputs!$C$13</f>
        <v>15.081390328032285</v>
      </c>
      <c r="AN118" s="9">
        <f>-2*AL118/Inputs!$C$14</f>
        <v>2.2644730222270701</v>
      </c>
      <c r="AO118" s="9">
        <f t="shared" si="34"/>
        <v>15.081390328032285</v>
      </c>
      <c r="AP118" s="9">
        <f t="shared" si="35"/>
        <v>2.2644730222270701</v>
      </c>
      <c r="AQ118" s="9">
        <f>IF(OR(Inputs!$C$27=TRUE,Inputs!$C$27="TRUE",Inputs!$C$27=1),Inputs!$C$46/Inputs!$C$12,0)</f>
        <v>0</v>
      </c>
      <c r="AR118" s="9">
        <f t="shared" si="36"/>
        <v>441.27531939274672</v>
      </c>
      <c r="AS118" s="9">
        <f t="shared" si="37"/>
        <v>441.27531939274672</v>
      </c>
    </row>
    <row r="119" spans="1:45">
      <c r="A119" s="9">
        <f>Inputs!$C$7+117*(Inputs!$C$8-Inputs!$C$7)/240</f>
        <v>-1.5</v>
      </c>
      <c r="B119" s="9">
        <f>Inputs!$C$5+Inputs!$C$9*(A119/Inputs!$C$10)^2</f>
        <v>400.0025</v>
      </c>
      <c r="C119" s="9">
        <f t="shared" si="19"/>
        <v>400.0025</v>
      </c>
      <c r="D119" s="9">
        <f>SQRT(A119^2+Inputs!$C$6^2+B119^2)</f>
        <v>400.78579067408316</v>
      </c>
      <c r="E119" s="9">
        <f t="shared" si="20"/>
        <v>783.29067408316178</v>
      </c>
      <c r="F119" s="9">
        <f>E119/Inputs!$C$12</f>
        <v>440.05094049615832</v>
      </c>
      <c r="G119" s="9">
        <f>2*E119/Inputs!$C$21*1000000</f>
        <v>5.2255528995540095</v>
      </c>
      <c r="H119" s="9">
        <f>SQRT(A119^2+Inputs!$C$6^2)</f>
        <v>25.044959572736389</v>
      </c>
      <c r="I119" s="9">
        <f t="shared" si="21"/>
        <v>3.5827269224738951</v>
      </c>
      <c r="J119" s="9">
        <f>DEGREES((2*PI()/Inputs!$C$13)*Inputs!$C$15*SIN(RADIANS(I119)))</f>
        <v>22.496270217117086</v>
      </c>
      <c r="K119" s="9">
        <f t="shared" si="22"/>
        <v>0.99220533858621585</v>
      </c>
      <c r="L119" s="9">
        <f t="shared" si="23"/>
        <v>-3.3984405609728464E-2</v>
      </c>
      <c r="M119" s="9">
        <f>2*(Inputs!$C$9/(Inputs!$C$10^2))*A119</f>
        <v>-3.3333333333333331E-3</v>
      </c>
      <c r="N119" s="9">
        <f>M119*Inputs!$C$11</f>
        <v>-1.3333333333333332E-2</v>
      </c>
      <c r="O119" s="9">
        <f>1000*((A119*Inputs!$C$11)+(B119*N119))/D119</f>
        <v>-28.277865459264497</v>
      </c>
      <c r="P119" s="9">
        <f>-2*O119/Inputs!$C$13</f>
        <v>11.311146183705798</v>
      </c>
      <c r="Q119" s="9">
        <f>-2*O119/Inputs!$C$14</f>
        <v>1.6983702978537236</v>
      </c>
      <c r="R119" s="9">
        <f>F119-Inputs!$C$16/2</f>
        <v>425.05094049615832</v>
      </c>
      <c r="S119" s="9">
        <f>F119+Inputs!$C$16/2</f>
        <v>455.05094049615832</v>
      </c>
      <c r="T119" s="9">
        <f>F119-Inputs!$C$17/2</f>
        <v>290.05094049615832</v>
      </c>
      <c r="U119" s="9">
        <f>F119+Inputs!$C$17/2</f>
        <v>590.05094049615832</v>
      </c>
      <c r="V119" s="9">
        <f t="shared" si="24"/>
        <v>11.311146183705798</v>
      </c>
      <c r="W119" s="9">
        <f t="shared" si="25"/>
        <v>1.6983702978537236</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0</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0</v>
      </c>
      <c r="Z119" s="9">
        <f t="shared" si="26"/>
        <v>400.0025</v>
      </c>
      <c r="AA119" s="9">
        <f>SQRT(A119^2+Inputs!$C$6^2+(B119-Y119/1000)^2)</f>
        <v>400.78579067408316</v>
      </c>
      <c r="AB119" s="9">
        <f t="shared" si="27"/>
        <v>783.29067408316178</v>
      </c>
      <c r="AC119" s="9">
        <f>AB119/Inputs!$C$12</f>
        <v>440.05094049615832</v>
      </c>
      <c r="AD119" s="9">
        <f>2*AB119/Inputs!$C$21*1000000</f>
        <v>5.2255528995540095</v>
      </c>
      <c r="AE119" s="9">
        <f t="shared" si="28"/>
        <v>3.5827269224738951</v>
      </c>
      <c r="AF119" s="9">
        <f>DEGREES((2*PI()/Inputs!$C$13)*Inputs!$C$15*SIN(RADIANS(AE119)))</f>
        <v>22.496270217117086</v>
      </c>
      <c r="AG119" s="9">
        <f t="shared" si="29"/>
        <v>0.99220533858621585</v>
      </c>
      <c r="AH119" s="9">
        <f t="shared" si="30"/>
        <v>-3.3984405609728464E-2</v>
      </c>
      <c r="AI119" s="9">
        <f t="shared" si="31"/>
        <v>0</v>
      </c>
      <c r="AJ119" s="9">
        <f t="shared" si="32"/>
        <v>0</v>
      </c>
      <c r="AK119" s="9">
        <f t="shared" si="33"/>
        <v>0</v>
      </c>
      <c r="AL119" s="9">
        <f>1000*(AA120-AA118)/(A120-A118)*Inputs!$C$11</f>
        <v>-28.277833135007313</v>
      </c>
      <c r="AM119" s="9">
        <f>-2*AL119/Inputs!$C$13</f>
        <v>11.311133254002925</v>
      </c>
      <c r="AN119" s="9">
        <f>-2*AL119/Inputs!$C$14</f>
        <v>1.6983683564568959</v>
      </c>
      <c r="AO119" s="9">
        <f t="shared" si="34"/>
        <v>11.311133254002925</v>
      </c>
      <c r="AP119" s="9">
        <f t="shared" si="35"/>
        <v>1.6983683564568959</v>
      </c>
      <c r="AQ119" s="9">
        <f>IF(OR(Inputs!$C$27=TRUE,Inputs!$C$27="TRUE",Inputs!$C$27=1),Inputs!$C$46/Inputs!$C$12,0)</f>
        <v>0</v>
      </c>
      <c r="AR119" s="9">
        <f t="shared" si="36"/>
        <v>440.05094049615832</v>
      </c>
      <c r="AS119" s="9">
        <f t="shared" si="37"/>
        <v>440.05094049615832</v>
      </c>
    </row>
    <row r="120" spans="1:45">
      <c r="A120" s="9">
        <f>Inputs!$C$7+118*(Inputs!$C$8-Inputs!$C$7)/240</f>
        <v>-1</v>
      </c>
      <c r="B120" s="9">
        <f>Inputs!$C$5+Inputs!$C$9*(A120/Inputs!$C$10)^2</f>
        <v>400.00111111111113</v>
      </c>
      <c r="C120" s="9">
        <f t="shared" si="19"/>
        <v>400.00111111111113</v>
      </c>
      <c r="D120" s="9">
        <f>SQRT(A120^2+Inputs!$C$6^2+B120^2)</f>
        <v>400.7828450546798</v>
      </c>
      <c r="E120" s="9">
        <f t="shared" si="20"/>
        <v>781.73394356866766</v>
      </c>
      <c r="F120" s="9">
        <f>E120/Inputs!$C$12</f>
        <v>439.17637279138631</v>
      </c>
      <c r="G120" s="9">
        <f>2*E120/Inputs!$C$21*1000000</f>
        <v>5.215167511443318</v>
      </c>
      <c r="H120" s="9">
        <f>SQRT(A120^2+Inputs!$C$6^2)</f>
        <v>25.019992006393608</v>
      </c>
      <c r="I120" s="9">
        <f t="shared" si="21"/>
        <v>3.5791769511981175</v>
      </c>
      <c r="J120" s="9">
        <f>DEGREES((2*PI()/Inputs!$C$13)*Inputs!$C$15*SIN(RADIANS(I120)))</f>
        <v>22.474008639448687</v>
      </c>
      <c r="K120" s="9">
        <f t="shared" si="22"/>
        <v>0.99222072753583168</v>
      </c>
      <c r="L120" s="9">
        <f t="shared" si="23"/>
        <v>-3.3917047737196192E-2</v>
      </c>
      <c r="M120" s="9">
        <f>2*(Inputs!$C$9/(Inputs!$C$10^2))*A120</f>
        <v>-2.2222222222222222E-3</v>
      </c>
      <c r="N120" s="9">
        <f>M120*Inputs!$C$11</f>
        <v>-8.8888888888888889E-3</v>
      </c>
      <c r="O120" s="9">
        <f>1000*((A120*Inputs!$C$11)+(B120*N120))/D120</f>
        <v>-18.852018057479334</v>
      </c>
      <c r="P120" s="9">
        <f>-2*O120/Inputs!$C$13</f>
        <v>7.5408072229917336</v>
      </c>
      <c r="Q120" s="9">
        <f>-2*O120/Inputs!$C$14</f>
        <v>1.1322533367855456</v>
      </c>
      <c r="R120" s="9">
        <f>F120-Inputs!$C$16/2</f>
        <v>424.17637279138631</v>
      </c>
      <c r="S120" s="9">
        <f>F120+Inputs!$C$16/2</f>
        <v>454.17637279138631</v>
      </c>
      <c r="T120" s="9">
        <f>F120-Inputs!$C$17/2</f>
        <v>289.17637279138631</v>
      </c>
      <c r="U120" s="9">
        <f>F120+Inputs!$C$17/2</f>
        <v>589.17637279138626</v>
      </c>
      <c r="V120" s="9">
        <f t="shared" si="24"/>
        <v>7.5408072229917336</v>
      </c>
      <c r="W120" s="9">
        <f t="shared" si="25"/>
        <v>1.1322533367855456</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0</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0</v>
      </c>
      <c r="Z120" s="9">
        <f t="shared" si="26"/>
        <v>400.00111111111113</v>
      </c>
      <c r="AA120" s="9">
        <f>SQRT(A120^2+Inputs!$C$6^2+(B120-Y120/1000)^2)</f>
        <v>400.7828450546798</v>
      </c>
      <c r="AB120" s="9">
        <f t="shared" si="27"/>
        <v>781.73394356866766</v>
      </c>
      <c r="AC120" s="9">
        <f>AB120/Inputs!$C$12</f>
        <v>439.17637279138631</v>
      </c>
      <c r="AD120" s="9">
        <f>2*AB120/Inputs!$C$21*1000000</f>
        <v>5.215167511443318</v>
      </c>
      <c r="AE120" s="9">
        <f t="shared" si="28"/>
        <v>3.5791769511981175</v>
      </c>
      <c r="AF120" s="9">
        <f>DEGREES((2*PI()/Inputs!$C$13)*Inputs!$C$15*SIN(RADIANS(AE120)))</f>
        <v>22.474008639448687</v>
      </c>
      <c r="AG120" s="9">
        <f t="shared" si="29"/>
        <v>0.99222072753583168</v>
      </c>
      <c r="AH120" s="9">
        <f t="shared" si="30"/>
        <v>-3.3917047737196192E-2</v>
      </c>
      <c r="AI120" s="9">
        <f t="shared" si="31"/>
        <v>0</v>
      </c>
      <c r="AJ120" s="9">
        <f t="shared" si="32"/>
        <v>0</v>
      </c>
      <c r="AK120" s="9">
        <f t="shared" si="33"/>
        <v>0</v>
      </c>
      <c r="AL120" s="9">
        <f>1000*(AA121-AA119)/(A121-A119)*Inputs!$C$11</f>
        <v>-18.851996507237345</v>
      </c>
      <c r="AM120" s="9">
        <f>-2*AL120/Inputs!$C$13</f>
        <v>7.5407986028949381</v>
      </c>
      <c r="AN120" s="9">
        <f>-2*AL120/Inputs!$C$14</f>
        <v>1.1322520424767175</v>
      </c>
      <c r="AO120" s="9">
        <f t="shared" si="34"/>
        <v>7.5407986028949381</v>
      </c>
      <c r="AP120" s="9">
        <f t="shared" si="35"/>
        <v>1.1322520424767175</v>
      </c>
      <c r="AQ120" s="9">
        <f>IF(OR(Inputs!$C$27=TRUE,Inputs!$C$27="TRUE",Inputs!$C$27=1),Inputs!$C$46/Inputs!$C$12,0)</f>
        <v>0</v>
      </c>
      <c r="AR120" s="9">
        <f t="shared" si="36"/>
        <v>439.17637279138631</v>
      </c>
      <c r="AS120" s="9">
        <f t="shared" si="37"/>
        <v>439.17637279138631</v>
      </c>
    </row>
    <row r="121" spans="1:45">
      <c r="A121" s="9">
        <f>Inputs!$C$7+119*(Inputs!$C$8-Inputs!$C$7)/240</f>
        <v>-0.5</v>
      </c>
      <c r="B121" s="9">
        <f>Inputs!$C$5+Inputs!$C$9*(A121/Inputs!$C$10)^2</f>
        <v>400.0002777777778</v>
      </c>
      <c r="C121" s="9">
        <f t="shared" si="19"/>
        <v>400.0002777777778</v>
      </c>
      <c r="D121" s="9">
        <f>SQRT(A121^2+Inputs!$C$6^2+B121^2)</f>
        <v>400.78107767495635</v>
      </c>
      <c r="E121" s="9">
        <f t="shared" si="20"/>
        <v>780.79989717855369</v>
      </c>
      <c r="F121" s="9">
        <f>E121/Inputs!$C$12</f>
        <v>438.65162762840095</v>
      </c>
      <c r="G121" s="9">
        <f>2*E121/Inputs!$C$21*1000000</f>
        <v>5.2089362246634883</v>
      </c>
      <c r="H121" s="9">
        <f>SQRT(A121^2+Inputs!$C$6^2)</f>
        <v>25.004999500099974</v>
      </c>
      <c r="I121" s="9">
        <f t="shared" si="21"/>
        <v>3.577045235990127</v>
      </c>
      <c r="J121" s="9">
        <f>DEGREES((2*PI()/Inputs!$C$13)*Inputs!$C$15*SIN(RADIANS(I121)))</f>
        <v>22.460640787379386</v>
      </c>
      <c r="K121" s="9">
        <f t="shared" si="22"/>
        <v>0.99222996118013695</v>
      </c>
      <c r="L121" s="9">
        <f t="shared" si="23"/>
        <v>-3.3876632313497641E-2</v>
      </c>
      <c r="M121" s="9">
        <f>2*(Inputs!$C$9/(Inputs!$C$10^2))*A121</f>
        <v>-1.1111111111111111E-3</v>
      </c>
      <c r="N121" s="9">
        <f>M121*Inputs!$C$11</f>
        <v>-4.4444444444444444E-3</v>
      </c>
      <c r="O121" s="9">
        <f>1000*((A121*Inputs!$C$11)+(B121*N121))/D121</f>
        <v>-9.4260413547007662</v>
      </c>
      <c r="P121" s="9">
        <f>-2*O121/Inputs!$C$13</f>
        <v>3.7704165418803064</v>
      </c>
      <c r="Q121" s="9">
        <f>-2*O121/Inputs!$C$14</f>
        <v>0.56612860989193792</v>
      </c>
      <c r="R121" s="9">
        <f>F121-Inputs!$C$16/2</f>
        <v>423.65162762840095</v>
      </c>
      <c r="S121" s="9">
        <f>F121+Inputs!$C$16/2</f>
        <v>453.65162762840095</v>
      </c>
      <c r="T121" s="9">
        <f>F121-Inputs!$C$17/2</f>
        <v>288.65162762840095</v>
      </c>
      <c r="U121" s="9">
        <f>F121+Inputs!$C$17/2</f>
        <v>588.651627628401</v>
      </c>
      <c r="V121" s="9">
        <f t="shared" si="24"/>
        <v>3.7704165418803064</v>
      </c>
      <c r="W121" s="9">
        <f t="shared" si="25"/>
        <v>0.56612860989193792</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0</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0</v>
      </c>
      <c r="Z121" s="9">
        <f t="shared" si="26"/>
        <v>400.0002777777778</v>
      </c>
      <c r="AA121" s="9">
        <f>SQRT(A121^2+Inputs!$C$6^2+(B121-Y121/1000)^2)</f>
        <v>400.78107767495635</v>
      </c>
      <c r="AB121" s="9">
        <f t="shared" si="27"/>
        <v>780.79989717855369</v>
      </c>
      <c r="AC121" s="9">
        <f>AB121/Inputs!$C$12</f>
        <v>438.65162762840095</v>
      </c>
      <c r="AD121" s="9">
        <f>2*AB121/Inputs!$C$21*1000000</f>
        <v>5.2089362246634883</v>
      </c>
      <c r="AE121" s="9">
        <f t="shared" si="28"/>
        <v>3.577045235990127</v>
      </c>
      <c r="AF121" s="9">
        <f>DEGREES((2*PI()/Inputs!$C$13)*Inputs!$C$15*SIN(RADIANS(AE121)))</f>
        <v>22.460640787379386</v>
      </c>
      <c r="AG121" s="9">
        <f t="shared" si="29"/>
        <v>0.99222996118013695</v>
      </c>
      <c r="AH121" s="9">
        <f t="shared" si="30"/>
        <v>-3.3876632313497641E-2</v>
      </c>
      <c r="AI121" s="9">
        <f t="shared" si="31"/>
        <v>0</v>
      </c>
      <c r="AJ121" s="9">
        <f t="shared" si="32"/>
        <v>0</v>
      </c>
      <c r="AK121" s="9">
        <f t="shared" si="33"/>
        <v>0</v>
      </c>
      <c r="AL121" s="9">
        <f>1000*(AA122-AA120)/(A122-A120)*Inputs!$C$11</f>
        <v>-9.426030579561484</v>
      </c>
      <c r="AM121" s="9">
        <f>-2*AL121/Inputs!$C$13</f>
        <v>3.7704122318245936</v>
      </c>
      <c r="AN121" s="9">
        <f>-2*AL121/Inputs!$C$14</f>
        <v>0.56612796273642552</v>
      </c>
      <c r="AO121" s="9">
        <f t="shared" si="34"/>
        <v>3.7704122318245936</v>
      </c>
      <c r="AP121" s="9">
        <f t="shared" si="35"/>
        <v>0.56612796273642552</v>
      </c>
      <c r="AQ121" s="9">
        <f>IF(OR(Inputs!$C$27=TRUE,Inputs!$C$27="TRUE",Inputs!$C$27=1),Inputs!$C$46/Inputs!$C$12,0)</f>
        <v>0</v>
      </c>
      <c r="AR121" s="9">
        <f t="shared" si="36"/>
        <v>438.65162762840095</v>
      </c>
      <c r="AS121" s="9">
        <f t="shared" si="37"/>
        <v>438.65162762840095</v>
      </c>
    </row>
    <row r="122" spans="1:45">
      <c r="A122" s="9">
        <f>Inputs!$C$7+120*(Inputs!$C$8-Inputs!$C$7)/240</f>
        <v>0</v>
      </c>
      <c r="B122" s="9">
        <f>Inputs!$C$5+Inputs!$C$9*(A122/Inputs!$C$10)^2</f>
        <v>400</v>
      </c>
      <c r="C122" s="9">
        <f t="shared" si="19"/>
        <v>400</v>
      </c>
      <c r="D122" s="9">
        <f>SQRT(A122^2+Inputs!$C$6^2+B122^2)</f>
        <v>400.78048854703491</v>
      </c>
      <c r="E122" s="9">
        <f t="shared" si="20"/>
        <v>780.48854703490633</v>
      </c>
      <c r="F122" s="9">
        <f>E122/Inputs!$C$12</f>
        <v>438.47671181736308</v>
      </c>
      <c r="G122" s="9">
        <f>2*E122/Inputs!$C$21*1000000</f>
        <v>5.2068591200843768</v>
      </c>
      <c r="H122" s="9">
        <f>SQRT(A122^2+Inputs!$C$6^2)</f>
        <v>25</v>
      </c>
      <c r="I122" s="9">
        <f t="shared" si="21"/>
        <v>3.5763343749973511</v>
      </c>
      <c r="J122" s="9">
        <f>DEGREES((2*PI()/Inputs!$C$13)*Inputs!$C$15*SIN(RADIANS(I122)))</f>
        <v>22.456183015864994</v>
      </c>
      <c r="K122" s="9">
        <f t="shared" si="22"/>
        <v>0.99223303910732963</v>
      </c>
      <c r="L122" s="9">
        <f t="shared" si="23"/>
        <v>-3.3863160388898542E-2</v>
      </c>
      <c r="M122" s="9">
        <f>2*(Inputs!$C$9/(Inputs!$C$10^2))*A122</f>
        <v>0</v>
      </c>
      <c r="N122" s="9">
        <f>M122*Inputs!$C$11</f>
        <v>0</v>
      </c>
      <c r="O122" s="9">
        <f>1000*((A122*Inputs!$C$11)+(B122*N122))/D122</f>
        <v>0</v>
      </c>
      <c r="P122" s="9">
        <f>-2*O122/Inputs!$C$13</f>
        <v>0</v>
      </c>
      <c r="Q122" s="9">
        <f>-2*O122/Inputs!$C$14</f>
        <v>0</v>
      </c>
      <c r="R122" s="9">
        <f>F122-Inputs!$C$16/2</f>
        <v>423.47671181736308</v>
      </c>
      <c r="S122" s="9">
        <f>F122+Inputs!$C$16/2</f>
        <v>453.47671181736308</v>
      </c>
      <c r="T122" s="9">
        <f>F122-Inputs!$C$17/2</f>
        <v>288.47671181736308</v>
      </c>
      <c r="U122" s="9">
        <f>F122+Inputs!$C$17/2</f>
        <v>588.47671181736314</v>
      </c>
      <c r="V122" s="9">
        <f t="shared" si="24"/>
        <v>0</v>
      </c>
      <c r="W122" s="9">
        <f t="shared" si="25"/>
        <v>0</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0</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0</v>
      </c>
      <c r="Z122" s="9">
        <f t="shared" si="26"/>
        <v>400</v>
      </c>
      <c r="AA122" s="9">
        <f>SQRT(A122^2+Inputs!$C$6^2+(B122-Y122/1000)^2)</f>
        <v>400.78048854703491</v>
      </c>
      <c r="AB122" s="9">
        <f t="shared" si="27"/>
        <v>780.48854703490633</v>
      </c>
      <c r="AC122" s="9">
        <f>AB122/Inputs!$C$12</f>
        <v>438.47671181736308</v>
      </c>
      <c r="AD122" s="9">
        <f>2*AB122/Inputs!$C$21*1000000</f>
        <v>5.2068591200843768</v>
      </c>
      <c r="AE122" s="9">
        <f t="shared" si="28"/>
        <v>3.5763343749973511</v>
      </c>
      <c r="AF122" s="9">
        <f>DEGREES((2*PI()/Inputs!$C$13)*Inputs!$C$15*SIN(RADIANS(AE122)))</f>
        <v>22.456183015864994</v>
      </c>
      <c r="AG122" s="9">
        <f t="shared" si="29"/>
        <v>0.99223303910732963</v>
      </c>
      <c r="AH122" s="9">
        <f t="shared" si="30"/>
        <v>-3.3863160388898542E-2</v>
      </c>
      <c r="AI122" s="9">
        <f t="shared" si="31"/>
        <v>0</v>
      </c>
      <c r="AJ122" s="9">
        <f t="shared" si="32"/>
        <v>0</v>
      </c>
      <c r="AK122" s="9">
        <f t="shared" si="33"/>
        <v>0</v>
      </c>
      <c r="AL122" s="9">
        <f>1000*(AA123-AA121)/(A123-A121)*Inputs!$C$11</f>
        <v>0</v>
      </c>
      <c r="AM122" s="9">
        <f>-2*AL122/Inputs!$C$13</f>
        <v>0</v>
      </c>
      <c r="AN122" s="9">
        <f>-2*AL122/Inputs!$C$14</f>
        <v>0</v>
      </c>
      <c r="AO122" s="9">
        <f t="shared" si="34"/>
        <v>0</v>
      </c>
      <c r="AP122" s="9">
        <f t="shared" si="35"/>
        <v>0</v>
      </c>
      <c r="AQ122" s="9">
        <f>IF(OR(Inputs!$C$27=TRUE,Inputs!$C$27="TRUE",Inputs!$C$27=1),Inputs!$C$46/Inputs!$C$12,0)</f>
        <v>0</v>
      </c>
      <c r="AR122" s="9">
        <f t="shared" si="36"/>
        <v>438.47671181736308</v>
      </c>
      <c r="AS122" s="9">
        <f t="shared" si="37"/>
        <v>438.47671181736308</v>
      </c>
    </row>
    <row r="123" spans="1:45">
      <c r="A123" s="9">
        <f>Inputs!$C$7+121*(Inputs!$C$8-Inputs!$C$7)/240</f>
        <v>0.5</v>
      </c>
      <c r="B123" s="9">
        <f>Inputs!$C$5+Inputs!$C$9*(A123/Inputs!$C$10)^2</f>
        <v>400.0002777777778</v>
      </c>
      <c r="C123" s="9">
        <f t="shared" si="19"/>
        <v>400.0002777777778</v>
      </c>
      <c r="D123" s="9">
        <f>SQRT(A123^2+Inputs!$C$6^2+B123^2)</f>
        <v>400.78107767495635</v>
      </c>
      <c r="E123" s="9">
        <f t="shared" si="20"/>
        <v>780.79989717855369</v>
      </c>
      <c r="F123" s="9">
        <f>E123/Inputs!$C$12</f>
        <v>438.65162762840095</v>
      </c>
      <c r="G123" s="9">
        <f>2*E123/Inputs!$C$21*1000000</f>
        <v>5.2089362246634883</v>
      </c>
      <c r="H123" s="9">
        <f>SQRT(A123^2+Inputs!$C$6^2)</f>
        <v>25.004999500099974</v>
      </c>
      <c r="I123" s="9">
        <f t="shared" si="21"/>
        <v>3.577045235990127</v>
      </c>
      <c r="J123" s="9">
        <f>DEGREES((2*PI()/Inputs!$C$13)*Inputs!$C$15*SIN(RADIANS(I123)))</f>
        <v>22.460640787379386</v>
      </c>
      <c r="K123" s="9">
        <f t="shared" si="22"/>
        <v>0.99222996118013695</v>
      </c>
      <c r="L123" s="9">
        <f t="shared" si="23"/>
        <v>-3.3876632313497641E-2</v>
      </c>
      <c r="M123" s="9">
        <f>2*(Inputs!$C$9/(Inputs!$C$10^2))*A123</f>
        <v>1.1111111111111111E-3</v>
      </c>
      <c r="N123" s="9">
        <f>M123*Inputs!$C$11</f>
        <v>4.4444444444444444E-3</v>
      </c>
      <c r="O123" s="9">
        <f>1000*((A123*Inputs!$C$11)+(B123*N123))/D123</f>
        <v>9.4260413547007662</v>
      </c>
      <c r="P123" s="9">
        <f>-2*O123/Inputs!$C$13</f>
        <v>-3.7704165418803064</v>
      </c>
      <c r="Q123" s="9">
        <f>-2*O123/Inputs!$C$14</f>
        <v>-0.56612860989193792</v>
      </c>
      <c r="R123" s="9">
        <f>F123-Inputs!$C$16/2</f>
        <v>423.65162762840095</v>
      </c>
      <c r="S123" s="9">
        <f>F123+Inputs!$C$16/2</f>
        <v>453.65162762840095</v>
      </c>
      <c r="T123" s="9">
        <f>F123-Inputs!$C$17/2</f>
        <v>288.65162762840095</v>
      </c>
      <c r="U123" s="9">
        <f>F123+Inputs!$C$17/2</f>
        <v>588.651627628401</v>
      </c>
      <c r="V123" s="9">
        <f t="shared" si="24"/>
        <v>3.7704165418803064</v>
      </c>
      <c r="W123" s="9">
        <f t="shared" si="25"/>
        <v>0.56612860989193792</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0</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0</v>
      </c>
      <c r="Z123" s="9">
        <f t="shared" si="26"/>
        <v>400.0002777777778</v>
      </c>
      <c r="AA123" s="9">
        <f>SQRT(A123^2+Inputs!$C$6^2+(B123-Y123/1000)^2)</f>
        <v>400.78107767495635</v>
      </c>
      <c r="AB123" s="9">
        <f t="shared" si="27"/>
        <v>780.79989717855369</v>
      </c>
      <c r="AC123" s="9">
        <f>AB123/Inputs!$C$12</f>
        <v>438.65162762840095</v>
      </c>
      <c r="AD123" s="9">
        <f>2*AB123/Inputs!$C$21*1000000</f>
        <v>5.2089362246634883</v>
      </c>
      <c r="AE123" s="9">
        <f t="shared" si="28"/>
        <v>3.577045235990127</v>
      </c>
      <c r="AF123" s="9">
        <f>DEGREES((2*PI()/Inputs!$C$13)*Inputs!$C$15*SIN(RADIANS(AE123)))</f>
        <v>22.460640787379386</v>
      </c>
      <c r="AG123" s="9">
        <f t="shared" si="29"/>
        <v>0.99222996118013695</v>
      </c>
      <c r="AH123" s="9">
        <f t="shared" si="30"/>
        <v>-3.3876632313497641E-2</v>
      </c>
      <c r="AI123" s="9">
        <f t="shared" si="31"/>
        <v>0</v>
      </c>
      <c r="AJ123" s="9">
        <f t="shared" si="32"/>
        <v>0</v>
      </c>
      <c r="AK123" s="9">
        <f t="shared" si="33"/>
        <v>0</v>
      </c>
      <c r="AL123" s="9">
        <f>1000*(AA124-AA122)/(A124-A122)*Inputs!$C$11</f>
        <v>9.426030579561484</v>
      </c>
      <c r="AM123" s="9">
        <f>-2*AL123/Inputs!$C$13</f>
        <v>-3.7704122318245936</v>
      </c>
      <c r="AN123" s="9">
        <f>-2*AL123/Inputs!$C$14</f>
        <v>-0.56612796273642552</v>
      </c>
      <c r="AO123" s="9">
        <f t="shared" si="34"/>
        <v>3.7704122318245936</v>
      </c>
      <c r="AP123" s="9">
        <f t="shared" si="35"/>
        <v>0.56612796273642552</v>
      </c>
      <c r="AQ123" s="9">
        <f>IF(OR(Inputs!$C$27=TRUE,Inputs!$C$27="TRUE",Inputs!$C$27=1),Inputs!$C$46/Inputs!$C$12,0)</f>
        <v>0</v>
      </c>
      <c r="AR123" s="9">
        <f t="shared" si="36"/>
        <v>438.65162762840095</v>
      </c>
      <c r="AS123" s="9">
        <f t="shared" si="37"/>
        <v>438.65162762840095</v>
      </c>
    </row>
    <row r="124" spans="1:45">
      <c r="A124" s="9">
        <f>Inputs!$C$7+122*(Inputs!$C$8-Inputs!$C$7)/240</f>
        <v>1</v>
      </c>
      <c r="B124" s="9">
        <f>Inputs!$C$5+Inputs!$C$9*(A124/Inputs!$C$10)^2</f>
        <v>400.00111111111113</v>
      </c>
      <c r="C124" s="9">
        <f t="shared" si="19"/>
        <v>400.00111111111113</v>
      </c>
      <c r="D124" s="9">
        <f>SQRT(A124^2+Inputs!$C$6^2+B124^2)</f>
        <v>400.7828450546798</v>
      </c>
      <c r="E124" s="9">
        <f t="shared" si="20"/>
        <v>781.73394356866766</v>
      </c>
      <c r="F124" s="9">
        <f>E124/Inputs!$C$12</f>
        <v>439.17637279138631</v>
      </c>
      <c r="G124" s="9">
        <f>2*E124/Inputs!$C$21*1000000</f>
        <v>5.215167511443318</v>
      </c>
      <c r="H124" s="9">
        <f>SQRT(A124^2+Inputs!$C$6^2)</f>
        <v>25.019992006393608</v>
      </c>
      <c r="I124" s="9">
        <f t="shared" si="21"/>
        <v>3.5791769511981175</v>
      </c>
      <c r="J124" s="9">
        <f>DEGREES((2*PI()/Inputs!$C$13)*Inputs!$C$15*SIN(RADIANS(I124)))</f>
        <v>22.474008639448687</v>
      </c>
      <c r="K124" s="9">
        <f t="shared" si="22"/>
        <v>0.99222072753583168</v>
      </c>
      <c r="L124" s="9">
        <f t="shared" si="23"/>
        <v>-3.3917047737196192E-2</v>
      </c>
      <c r="M124" s="9">
        <f>2*(Inputs!$C$9/(Inputs!$C$10^2))*A124</f>
        <v>2.2222222222222222E-3</v>
      </c>
      <c r="N124" s="9">
        <f>M124*Inputs!$C$11</f>
        <v>8.8888888888888889E-3</v>
      </c>
      <c r="O124" s="9">
        <f>1000*((A124*Inputs!$C$11)+(B124*N124))/D124</f>
        <v>18.852018057479334</v>
      </c>
      <c r="P124" s="9">
        <f>-2*O124/Inputs!$C$13</f>
        <v>-7.5408072229917336</v>
      </c>
      <c r="Q124" s="9">
        <f>-2*O124/Inputs!$C$14</f>
        <v>-1.1322533367855456</v>
      </c>
      <c r="R124" s="9">
        <f>F124-Inputs!$C$16/2</f>
        <v>424.17637279138631</v>
      </c>
      <c r="S124" s="9">
        <f>F124+Inputs!$C$16/2</f>
        <v>454.17637279138631</v>
      </c>
      <c r="T124" s="9">
        <f>F124-Inputs!$C$17/2</f>
        <v>289.17637279138631</v>
      </c>
      <c r="U124" s="9">
        <f>F124+Inputs!$C$17/2</f>
        <v>589.17637279138626</v>
      </c>
      <c r="V124" s="9">
        <f t="shared" si="24"/>
        <v>7.5408072229917336</v>
      </c>
      <c r="W124" s="9">
        <f t="shared" si="25"/>
        <v>1.1322533367855456</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0</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0</v>
      </c>
      <c r="Z124" s="9">
        <f t="shared" si="26"/>
        <v>400.00111111111113</v>
      </c>
      <c r="AA124" s="9">
        <f>SQRT(A124^2+Inputs!$C$6^2+(B124-Y124/1000)^2)</f>
        <v>400.7828450546798</v>
      </c>
      <c r="AB124" s="9">
        <f t="shared" si="27"/>
        <v>781.73394356866766</v>
      </c>
      <c r="AC124" s="9">
        <f>AB124/Inputs!$C$12</f>
        <v>439.17637279138631</v>
      </c>
      <c r="AD124" s="9">
        <f>2*AB124/Inputs!$C$21*1000000</f>
        <v>5.215167511443318</v>
      </c>
      <c r="AE124" s="9">
        <f t="shared" si="28"/>
        <v>3.5791769511981175</v>
      </c>
      <c r="AF124" s="9">
        <f>DEGREES((2*PI()/Inputs!$C$13)*Inputs!$C$15*SIN(RADIANS(AE124)))</f>
        <v>22.474008639448687</v>
      </c>
      <c r="AG124" s="9">
        <f t="shared" si="29"/>
        <v>0.99222072753583168</v>
      </c>
      <c r="AH124" s="9">
        <f t="shared" si="30"/>
        <v>-3.3917047737196192E-2</v>
      </c>
      <c r="AI124" s="9">
        <f t="shared" si="31"/>
        <v>0</v>
      </c>
      <c r="AJ124" s="9">
        <f t="shared" si="32"/>
        <v>0</v>
      </c>
      <c r="AK124" s="9">
        <f t="shared" si="33"/>
        <v>0</v>
      </c>
      <c r="AL124" s="9">
        <f>1000*(AA125-AA123)/(A125-A123)*Inputs!$C$11</f>
        <v>18.851996507237345</v>
      </c>
      <c r="AM124" s="9">
        <f>-2*AL124/Inputs!$C$13</f>
        <v>-7.5407986028949381</v>
      </c>
      <c r="AN124" s="9">
        <f>-2*AL124/Inputs!$C$14</f>
        <v>-1.1322520424767175</v>
      </c>
      <c r="AO124" s="9">
        <f t="shared" si="34"/>
        <v>7.5407986028949381</v>
      </c>
      <c r="AP124" s="9">
        <f t="shared" si="35"/>
        <v>1.1322520424767175</v>
      </c>
      <c r="AQ124" s="9">
        <f>IF(OR(Inputs!$C$27=TRUE,Inputs!$C$27="TRUE",Inputs!$C$27=1),Inputs!$C$46/Inputs!$C$12,0)</f>
        <v>0</v>
      </c>
      <c r="AR124" s="9">
        <f t="shared" si="36"/>
        <v>439.17637279138631</v>
      </c>
      <c r="AS124" s="9">
        <f t="shared" si="37"/>
        <v>439.17637279138631</v>
      </c>
    </row>
    <row r="125" spans="1:45">
      <c r="A125" s="9">
        <f>Inputs!$C$7+123*(Inputs!$C$8-Inputs!$C$7)/240</f>
        <v>1.5</v>
      </c>
      <c r="B125" s="9">
        <f>Inputs!$C$5+Inputs!$C$9*(A125/Inputs!$C$10)^2</f>
        <v>400.0025</v>
      </c>
      <c r="C125" s="9">
        <f t="shared" si="19"/>
        <v>400.0025</v>
      </c>
      <c r="D125" s="9">
        <f>SQRT(A125^2+Inputs!$C$6^2+B125^2)</f>
        <v>400.78579067408316</v>
      </c>
      <c r="E125" s="9">
        <f t="shared" si="20"/>
        <v>783.29067408316178</v>
      </c>
      <c r="F125" s="9">
        <f>E125/Inputs!$C$12</f>
        <v>440.05094049615832</v>
      </c>
      <c r="G125" s="9">
        <f>2*E125/Inputs!$C$21*1000000</f>
        <v>5.2255528995540095</v>
      </c>
      <c r="H125" s="9">
        <f>SQRT(A125^2+Inputs!$C$6^2)</f>
        <v>25.044959572736389</v>
      </c>
      <c r="I125" s="9">
        <f t="shared" si="21"/>
        <v>3.5827269224738951</v>
      </c>
      <c r="J125" s="9">
        <f>DEGREES((2*PI()/Inputs!$C$13)*Inputs!$C$15*SIN(RADIANS(I125)))</f>
        <v>22.496270217117086</v>
      </c>
      <c r="K125" s="9">
        <f t="shared" si="22"/>
        <v>0.99220533858621585</v>
      </c>
      <c r="L125" s="9">
        <f t="shared" si="23"/>
        <v>-3.3984405609728464E-2</v>
      </c>
      <c r="M125" s="9">
        <f>2*(Inputs!$C$9/(Inputs!$C$10^2))*A125</f>
        <v>3.3333333333333331E-3</v>
      </c>
      <c r="N125" s="9">
        <f>M125*Inputs!$C$11</f>
        <v>1.3333333333333332E-2</v>
      </c>
      <c r="O125" s="9">
        <f>1000*((A125*Inputs!$C$11)+(B125*N125))/D125</f>
        <v>28.277865459264497</v>
      </c>
      <c r="P125" s="9">
        <f>-2*O125/Inputs!$C$13</f>
        <v>-11.311146183705798</v>
      </c>
      <c r="Q125" s="9">
        <f>-2*O125/Inputs!$C$14</f>
        <v>-1.6983702978537236</v>
      </c>
      <c r="R125" s="9">
        <f>F125-Inputs!$C$16/2</f>
        <v>425.05094049615832</v>
      </c>
      <c r="S125" s="9">
        <f>F125+Inputs!$C$16/2</f>
        <v>455.05094049615832</v>
      </c>
      <c r="T125" s="9">
        <f>F125-Inputs!$C$17/2</f>
        <v>290.05094049615832</v>
      </c>
      <c r="U125" s="9">
        <f>F125+Inputs!$C$17/2</f>
        <v>590.05094049615832</v>
      </c>
      <c r="V125" s="9">
        <f t="shared" si="24"/>
        <v>11.311146183705798</v>
      </c>
      <c r="W125" s="9">
        <f t="shared" si="25"/>
        <v>1.6983702978537236</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0</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0</v>
      </c>
      <c r="Z125" s="9">
        <f t="shared" si="26"/>
        <v>400.0025</v>
      </c>
      <c r="AA125" s="9">
        <f>SQRT(A125^2+Inputs!$C$6^2+(B125-Y125/1000)^2)</f>
        <v>400.78579067408316</v>
      </c>
      <c r="AB125" s="9">
        <f t="shared" si="27"/>
        <v>783.29067408316178</v>
      </c>
      <c r="AC125" s="9">
        <f>AB125/Inputs!$C$12</f>
        <v>440.05094049615832</v>
      </c>
      <c r="AD125" s="9">
        <f>2*AB125/Inputs!$C$21*1000000</f>
        <v>5.2255528995540095</v>
      </c>
      <c r="AE125" s="9">
        <f t="shared" si="28"/>
        <v>3.5827269224738951</v>
      </c>
      <c r="AF125" s="9">
        <f>DEGREES((2*PI()/Inputs!$C$13)*Inputs!$C$15*SIN(RADIANS(AE125)))</f>
        <v>22.496270217117086</v>
      </c>
      <c r="AG125" s="9">
        <f t="shared" si="29"/>
        <v>0.99220533858621585</v>
      </c>
      <c r="AH125" s="9">
        <f t="shared" si="30"/>
        <v>-3.3984405609728464E-2</v>
      </c>
      <c r="AI125" s="9">
        <f t="shared" si="31"/>
        <v>0</v>
      </c>
      <c r="AJ125" s="9">
        <f t="shared" si="32"/>
        <v>0</v>
      </c>
      <c r="AK125" s="9">
        <f t="shared" si="33"/>
        <v>0</v>
      </c>
      <c r="AL125" s="9">
        <f>1000*(AA126-AA124)/(A126-A124)*Inputs!$C$11</f>
        <v>28.277833135007313</v>
      </c>
      <c r="AM125" s="9">
        <f>-2*AL125/Inputs!$C$13</f>
        <v>-11.311133254002925</v>
      </c>
      <c r="AN125" s="9">
        <f>-2*AL125/Inputs!$C$14</f>
        <v>-1.6983683564568959</v>
      </c>
      <c r="AO125" s="9">
        <f t="shared" si="34"/>
        <v>11.311133254002925</v>
      </c>
      <c r="AP125" s="9">
        <f t="shared" si="35"/>
        <v>1.6983683564568959</v>
      </c>
      <c r="AQ125" s="9">
        <f>IF(OR(Inputs!$C$27=TRUE,Inputs!$C$27="TRUE",Inputs!$C$27=1),Inputs!$C$46/Inputs!$C$12,0)</f>
        <v>0</v>
      </c>
      <c r="AR125" s="9">
        <f t="shared" si="36"/>
        <v>440.05094049615832</v>
      </c>
      <c r="AS125" s="9">
        <f t="shared" si="37"/>
        <v>440.05094049615832</v>
      </c>
    </row>
    <row r="126" spans="1:45">
      <c r="A126" s="9">
        <f>Inputs!$C$7+124*(Inputs!$C$8-Inputs!$C$7)/240</f>
        <v>2</v>
      </c>
      <c r="B126" s="9">
        <f>Inputs!$C$5+Inputs!$C$9*(A126/Inputs!$C$10)^2</f>
        <v>400.00444444444446</v>
      </c>
      <c r="C126" s="9">
        <f t="shared" si="19"/>
        <v>400.00444444444446</v>
      </c>
      <c r="D126" s="9">
        <f>SQRT(A126^2+Inputs!$C$6^2+B126^2)</f>
        <v>400.78991451296355</v>
      </c>
      <c r="E126" s="9">
        <f t="shared" si="20"/>
        <v>785.47006851908918</v>
      </c>
      <c r="F126" s="9">
        <f>E126/Inputs!$C$12</f>
        <v>441.27531939274672</v>
      </c>
      <c r="G126" s="9">
        <f>2*E126/Inputs!$C$21*1000000</f>
        <v>5.2400922542160098</v>
      </c>
      <c r="H126" s="9">
        <f>SQRT(A126^2+Inputs!$C$6^2)</f>
        <v>25.079872407968907</v>
      </c>
      <c r="I126" s="9">
        <f t="shared" si="21"/>
        <v>3.5876908367118432</v>
      </c>
      <c r="J126" s="9">
        <f>DEGREES((2*PI()/Inputs!$C$13)*Inputs!$C$15*SIN(RADIANS(I126)))</f>
        <v>22.52739836989279</v>
      </c>
      <c r="K126" s="9">
        <f t="shared" si="22"/>
        <v>0.99218379501758036</v>
      </c>
      <c r="L126" s="9">
        <f t="shared" si="23"/>
        <v>-3.4078704180717623E-2</v>
      </c>
      <c r="M126" s="9">
        <f>2*(Inputs!$C$9/(Inputs!$C$10^2))*A126</f>
        <v>4.4444444444444444E-3</v>
      </c>
      <c r="N126" s="9">
        <f>M126*Inputs!$C$11</f>
        <v>1.7777777777777778E-2</v>
      </c>
      <c r="O126" s="9">
        <f>1000*((A126*Inputs!$C$11)+(B126*N126))/D126</f>
        <v>37.703518916686761</v>
      </c>
      <c r="P126" s="9">
        <f>-2*O126/Inputs!$C$13</f>
        <v>-15.081407566674704</v>
      </c>
      <c r="Q126" s="9">
        <f>-2*O126/Inputs!$C$14</f>
        <v>-2.2644756106118176</v>
      </c>
      <c r="R126" s="9">
        <f>F126-Inputs!$C$16/2</f>
        <v>426.27531939274672</v>
      </c>
      <c r="S126" s="9">
        <f>F126+Inputs!$C$16/2</f>
        <v>456.27531939274672</v>
      </c>
      <c r="T126" s="9">
        <f>F126-Inputs!$C$17/2</f>
        <v>291.27531939274672</v>
      </c>
      <c r="U126" s="9">
        <f>F126+Inputs!$C$17/2</f>
        <v>591.27531939274672</v>
      </c>
      <c r="V126" s="9">
        <f t="shared" si="24"/>
        <v>15.081407566674704</v>
      </c>
      <c r="W126" s="9">
        <f t="shared" si="25"/>
        <v>2.2644756106118176</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0</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0</v>
      </c>
      <c r="Z126" s="9">
        <f t="shared" si="26"/>
        <v>400.00444444444446</v>
      </c>
      <c r="AA126" s="9">
        <f>SQRT(A126^2+Inputs!$C$6^2+(B126-Y126/1000)^2)</f>
        <v>400.78991451296355</v>
      </c>
      <c r="AB126" s="9">
        <f t="shared" si="27"/>
        <v>785.47006851908918</v>
      </c>
      <c r="AC126" s="9">
        <f>AB126/Inputs!$C$12</f>
        <v>441.27531939274672</v>
      </c>
      <c r="AD126" s="9">
        <f>2*AB126/Inputs!$C$21*1000000</f>
        <v>5.2400922542160098</v>
      </c>
      <c r="AE126" s="9">
        <f t="shared" si="28"/>
        <v>3.5876908367118432</v>
      </c>
      <c r="AF126" s="9">
        <f>DEGREES((2*PI()/Inputs!$C$13)*Inputs!$C$15*SIN(RADIANS(AE126)))</f>
        <v>22.52739836989279</v>
      </c>
      <c r="AG126" s="9">
        <f t="shared" si="29"/>
        <v>0.99218379501758036</v>
      </c>
      <c r="AH126" s="9">
        <f t="shared" si="30"/>
        <v>-3.4078704180717623E-2</v>
      </c>
      <c r="AI126" s="9">
        <f t="shared" si="31"/>
        <v>0</v>
      </c>
      <c r="AJ126" s="9">
        <f t="shared" si="32"/>
        <v>0</v>
      </c>
      <c r="AK126" s="9">
        <f t="shared" si="33"/>
        <v>0</v>
      </c>
      <c r="AL126" s="9">
        <f>1000*(AA127-AA125)/(A127-A125)*Inputs!$C$11</f>
        <v>37.703475820080712</v>
      </c>
      <c r="AM126" s="9">
        <f>-2*AL126/Inputs!$C$13</f>
        <v>-15.081390328032285</v>
      </c>
      <c r="AN126" s="9">
        <f>-2*AL126/Inputs!$C$14</f>
        <v>-2.2644730222270701</v>
      </c>
      <c r="AO126" s="9">
        <f t="shared" si="34"/>
        <v>15.081390328032285</v>
      </c>
      <c r="AP126" s="9">
        <f t="shared" si="35"/>
        <v>2.2644730222270701</v>
      </c>
      <c r="AQ126" s="9">
        <f>IF(OR(Inputs!$C$27=TRUE,Inputs!$C$27="TRUE",Inputs!$C$27=1),Inputs!$C$46/Inputs!$C$12,0)</f>
        <v>0</v>
      </c>
      <c r="AR126" s="9">
        <f t="shared" si="36"/>
        <v>441.27531939274672</v>
      </c>
      <c r="AS126" s="9">
        <f t="shared" si="37"/>
        <v>441.27531939274672</v>
      </c>
    </row>
    <row r="127" spans="1:45">
      <c r="A127" s="9">
        <f>Inputs!$C$7+125*(Inputs!$C$8-Inputs!$C$7)/240</f>
        <v>2.5</v>
      </c>
      <c r="B127" s="9">
        <f>Inputs!$C$5+Inputs!$C$9*(A127/Inputs!$C$10)^2</f>
        <v>400.00694444444446</v>
      </c>
      <c r="C127" s="9">
        <f t="shared" si="19"/>
        <v>400.00694444444446</v>
      </c>
      <c r="D127" s="9">
        <f>SQRT(A127^2+Inputs!$C$6^2+B127^2)</f>
        <v>400.79521654303818</v>
      </c>
      <c r="E127" s="9">
        <f t="shared" si="20"/>
        <v>788.2720985937226</v>
      </c>
      <c r="F127" s="9">
        <f>E127/Inputs!$C$12</f>
        <v>442.84949359197901</v>
      </c>
      <c r="G127" s="9">
        <f>2*E127/Inputs!$C$21*1000000</f>
        <v>5.258785386747272</v>
      </c>
      <c r="H127" s="9">
        <f>SQRT(A127^2+Inputs!$C$6^2)</f>
        <v>25.124689052802225</v>
      </c>
      <c r="I127" s="9">
        <f t="shared" si="21"/>
        <v>3.5940626913086393</v>
      </c>
      <c r="J127" s="9">
        <f>DEGREES((2*PI()/Inputs!$C$13)*Inputs!$C$15*SIN(RADIANS(I127)))</f>
        <v>22.567355311830532</v>
      </c>
      <c r="K127" s="9">
        <f t="shared" si="22"/>
        <v>0.9921560977906303</v>
      </c>
      <c r="L127" s="9">
        <f t="shared" si="23"/>
        <v>-3.4199940999800997E-2</v>
      </c>
      <c r="M127" s="9">
        <f>2*(Inputs!$C$9/(Inputs!$C$10^2))*A127</f>
        <v>5.5555555555555558E-3</v>
      </c>
      <c r="N127" s="9">
        <f>M127*Inputs!$C$11</f>
        <v>2.2222222222222223E-2</v>
      </c>
      <c r="O127" s="9">
        <f>1000*((A127*Inputs!$C$11)+(B127*N127))/D127</f>
        <v>47.128913794928494</v>
      </c>
      <c r="P127" s="9">
        <f>-2*O127/Inputs!$C$13</f>
        <v>-18.851565517971398</v>
      </c>
      <c r="Q127" s="9">
        <f>-2*O127/Inputs!$C$14</f>
        <v>-2.8305653930887988</v>
      </c>
      <c r="R127" s="9">
        <f>F127-Inputs!$C$16/2</f>
        <v>427.84949359197901</v>
      </c>
      <c r="S127" s="9">
        <f>F127+Inputs!$C$16/2</f>
        <v>457.84949359197901</v>
      </c>
      <c r="T127" s="9">
        <f>F127-Inputs!$C$17/2</f>
        <v>292.84949359197901</v>
      </c>
      <c r="U127" s="9">
        <f>F127+Inputs!$C$17/2</f>
        <v>592.84949359197901</v>
      </c>
      <c r="V127" s="9">
        <f t="shared" si="24"/>
        <v>18.851565517971398</v>
      </c>
      <c r="W127" s="9">
        <f t="shared" si="25"/>
        <v>2.8305653930887988</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0</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0</v>
      </c>
      <c r="Z127" s="9">
        <f t="shared" si="26"/>
        <v>400.00694444444446</v>
      </c>
      <c r="AA127" s="9">
        <f>SQRT(A127^2+Inputs!$C$6^2+(B127-Y127/1000)^2)</f>
        <v>400.79521654303818</v>
      </c>
      <c r="AB127" s="9">
        <f t="shared" si="27"/>
        <v>788.2720985937226</v>
      </c>
      <c r="AC127" s="9">
        <f>AB127/Inputs!$C$12</f>
        <v>442.84949359197901</v>
      </c>
      <c r="AD127" s="9">
        <f>2*AB127/Inputs!$C$21*1000000</f>
        <v>5.258785386747272</v>
      </c>
      <c r="AE127" s="9">
        <f t="shared" si="28"/>
        <v>3.5940626913086393</v>
      </c>
      <c r="AF127" s="9">
        <f>DEGREES((2*PI()/Inputs!$C$13)*Inputs!$C$15*SIN(RADIANS(AE127)))</f>
        <v>22.567355311830532</v>
      </c>
      <c r="AG127" s="9">
        <f t="shared" si="29"/>
        <v>0.9921560977906303</v>
      </c>
      <c r="AH127" s="9">
        <f t="shared" si="30"/>
        <v>-3.4199940999800997E-2</v>
      </c>
      <c r="AI127" s="9">
        <f t="shared" si="31"/>
        <v>0</v>
      </c>
      <c r="AJ127" s="9">
        <f t="shared" si="32"/>
        <v>0</v>
      </c>
      <c r="AK127" s="9">
        <f t="shared" si="33"/>
        <v>0</v>
      </c>
      <c r="AL127" s="9">
        <f>1000*(AA128-AA126)/(A128-A126)*Inputs!$C$11</f>
        <v>47.128859927852318</v>
      </c>
      <c r="AM127" s="9">
        <f>-2*AL127/Inputs!$C$13</f>
        <v>-18.851543971140927</v>
      </c>
      <c r="AN127" s="9">
        <f>-2*AL127/Inputs!$C$14</f>
        <v>-2.8305621578289681</v>
      </c>
      <c r="AO127" s="9">
        <f t="shared" si="34"/>
        <v>18.851543971140927</v>
      </c>
      <c r="AP127" s="9">
        <f t="shared" si="35"/>
        <v>2.8305621578289681</v>
      </c>
      <c r="AQ127" s="9">
        <f>IF(OR(Inputs!$C$27=TRUE,Inputs!$C$27="TRUE",Inputs!$C$27=1),Inputs!$C$46/Inputs!$C$12,0)</f>
        <v>0</v>
      </c>
      <c r="AR127" s="9">
        <f t="shared" si="36"/>
        <v>442.84949359197901</v>
      </c>
      <c r="AS127" s="9">
        <f t="shared" si="37"/>
        <v>442.84949359197901</v>
      </c>
    </row>
    <row r="128" spans="1:45">
      <c r="A128" s="9">
        <f>Inputs!$C$7+126*(Inputs!$C$8-Inputs!$C$7)/240</f>
        <v>3</v>
      </c>
      <c r="B128" s="9">
        <f>Inputs!$C$5+Inputs!$C$9*(A128/Inputs!$C$10)^2</f>
        <v>400.01</v>
      </c>
      <c r="C128" s="9">
        <f t="shared" si="19"/>
        <v>400.01</v>
      </c>
      <c r="D128" s="9">
        <f>SQRT(A128^2+Inputs!$C$6^2+B128^2)</f>
        <v>400.80169672794551</v>
      </c>
      <c r="E128" s="9">
        <f t="shared" si="20"/>
        <v>791.69672794552071</v>
      </c>
      <c r="F128" s="9">
        <f>E128/Inputs!$C$12</f>
        <v>444.77344266602285</v>
      </c>
      <c r="G128" s="9">
        <f>2*E128/Inputs!$C$21*1000000</f>
        <v>5.2816320545697035</v>
      </c>
      <c r="H128" s="9">
        <f>SQRT(A128^2+Inputs!$C$6^2)</f>
        <v>25.179356624028344</v>
      </c>
      <c r="I128" s="9">
        <f t="shared" si="21"/>
        <v>3.6018348293149773</v>
      </c>
      <c r="J128" s="9">
        <f>DEGREES((2*PI()/Inputs!$C$13)*Inputs!$C$15*SIN(RADIANS(I128)))</f>
        <v>22.616092842548554</v>
      </c>
      <c r="K128" s="9">
        <f t="shared" si="22"/>
        <v>0.99212224814039252</v>
      </c>
      <c r="L128" s="9">
        <f t="shared" si="23"/>
        <v>-3.4348112916752022E-2</v>
      </c>
      <c r="M128" s="9">
        <f>2*(Inputs!$C$9/(Inputs!$C$10^2))*A128</f>
        <v>6.6666666666666662E-3</v>
      </c>
      <c r="N128" s="9">
        <f>M128*Inputs!$C$11</f>
        <v>2.6666666666666665E-2</v>
      </c>
      <c r="O128" s="9">
        <f>1000*((A128*Inputs!$C$11)+(B128*N128))/D128</f>
        <v>56.553985470573245</v>
      </c>
      <c r="P128" s="9">
        <f>-2*O128/Inputs!$C$13</f>
        <v>-22.621594188229299</v>
      </c>
      <c r="Q128" s="9">
        <f>-2*O128/Inputs!$C$14</f>
        <v>-3.3966357639983933</v>
      </c>
      <c r="R128" s="9">
        <f>F128-Inputs!$C$16/2</f>
        <v>429.77344266602285</v>
      </c>
      <c r="S128" s="9">
        <f>F128+Inputs!$C$16/2</f>
        <v>459.77344266602285</v>
      </c>
      <c r="T128" s="9">
        <f>F128-Inputs!$C$17/2</f>
        <v>294.77344266602285</v>
      </c>
      <c r="U128" s="9">
        <f>F128+Inputs!$C$17/2</f>
        <v>594.7734426660229</v>
      </c>
      <c r="V128" s="9">
        <f t="shared" si="24"/>
        <v>22.621594188229299</v>
      </c>
      <c r="W128" s="9">
        <f t="shared" si="25"/>
        <v>3.3966357639983933</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0</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0</v>
      </c>
      <c r="Z128" s="9">
        <f t="shared" si="26"/>
        <v>400.01</v>
      </c>
      <c r="AA128" s="9">
        <f>SQRT(A128^2+Inputs!$C$6^2+(B128-Y128/1000)^2)</f>
        <v>400.80169672794551</v>
      </c>
      <c r="AB128" s="9">
        <f t="shared" si="27"/>
        <v>791.69672794552071</v>
      </c>
      <c r="AC128" s="9">
        <f>AB128/Inputs!$C$12</f>
        <v>444.77344266602285</v>
      </c>
      <c r="AD128" s="9">
        <f>2*AB128/Inputs!$C$21*1000000</f>
        <v>5.2816320545697035</v>
      </c>
      <c r="AE128" s="9">
        <f t="shared" si="28"/>
        <v>3.6018348293149773</v>
      </c>
      <c r="AF128" s="9">
        <f>DEGREES((2*PI()/Inputs!$C$13)*Inputs!$C$15*SIN(RADIANS(AE128)))</f>
        <v>22.616092842548554</v>
      </c>
      <c r="AG128" s="9">
        <f t="shared" si="29"/>
        <v>0.99212224814039252</v>
      </c>
      <c r="AH128" s="9">
        <f t="shared" si="30"/>
        <v>-3.4348112916752022E-2</v>
      </c>
      <c r="AI128" s="9">
        <f t="shared" si="31"/>
        <v>0</v>
      </c>
      <c r="AJ128" s="9">
        <f t="shared" si="32"/>
        <v>0</v>
      </c>
      <c r="AK128" s="9">
        <f t="shared" si="33"/>
        <v>0</v>
      </c>
      <c r="AL128" s="9">
        <f>1000*(AA129-AA127)/(A129-A127)*Inputs!$C$11</f>
        <v>56.553920835085592</v>
      </c>
      <c r="AM128" s="9">
        <f>-2*AL128/Inputs!$C$13</f>
        <v>-22.621568334034237</v>
      </c>
      <c r="AN128" s="9">
        <f>-2*AL128/Inputs!$C$14</f>
        <v>-3.3966318819871231</v>
      </c>
      <c r="AO128" s="9">
        <f t="shared" si="34"/>
        <v>22.621568334034237</v>
      </c>
      <c r="AP128" s="9">
        <f t="shared" si="35"/>
        <v>3.3966318819871231</v>
      </c>
      <c r="AQ128" s="9">
        <f>IF(OR(Inputs!$C$27=TRUE,Inputs!$C$27="TRUE",Inputs!$C$27=1),Inputs!$C$46/Inputs!$C$12,0)</f>
        <v>0</v>
      </c>
      <c r="AR128" s="9">
        <f t="shared" si="36"/>
        <v>444.77344266602285</v>
      </c>
      <c r="AS128" s="9">
        <f t="shared" si="37"/>
        <v>444.77344266602285</v>
      </c>
    </row>
    <row r="129" spans="1:45">
      <c r="A129" s="9">
        <f>Inputs!$C$7+127*(Inputs!$C$8-Inputs!$C$7)/240</f>
        <v>3.5</v>
      </c>
      <c r="B129" s="9">
        <f>Inputs!$C$5+Inputs!$C$9*(A129/Inputs!$C$10)^2</f>
        <v>400.01361111111112</v>
      </c>
      <c r="C129" s="9">
        <f t="shared" si="19"/>
        <v>400.01361111111112</v>
      </c>
      <c r="D129" s="9">
        <f>SQRT(A129^2+Inputs!$C$6^2+B129^2)</f>
        <v>400.80935502324695</v>
      </c>
      <c r="E129" s="9">
        <f t="shared" si="20"/>
        <v>795.7439121358334</v>
      </c>
      <c r="F129" s="9">
        <f>E129/Inputs!$C$12</f>
        <v>447.04714164934461</v>
      </c>
      <c r="G129" s="9">
        <f>2*E129/Inputs!$C$21*1000000</f>
        <v>5.3086319612205415</v>
      </c>
      <c r="H129" s="9">
        <f>SQRT(A129^2+Inputs!$C$6^2)</f>
        <v>25.243811122728676</v>
      </c>
      <c r="I129" s="9">
        <f t="shared" si="21"/>
        <v>3.6109979838002473</v>
      </c>
      <c r="J129" s="9">
        <f>DEGREES((2*PI()/Inputs!$C$13)*Inputs!$C$15*SIN(RADIANS(I129)))</f>
        <v>22.673552626173684</v>
      </c>
      <c r="K129" s="9">
        <f t="shared" si="22"/>
        <v>0.99208224757608587</v>
      </c>
      <c r="L129" s="9">
        <f t="shared" si="23"/>
        <v>-3.4523216081685341E-2</v>
      </c>
      <c r="M129" s="9">
        <f>2*(Inputs!$C$9/(Inputs!$C$10^2))*A129</f>
        <v>7.7777777777777776E-3</v>
      </c>
      <c r="N129" s="9">
        <f>M129*Inputs!$C$11</f>
        <v>3.111111111111111E-2</v>
      </c>
      <c r="O129" s="9">
        <f>1000*((A129*Inputs!$C$11)+(B129*N129))/D129</f>
        <v>65.97866933445394</v>
      </c>
      <c r="P129" s="9">
        <f>-2*O129/Inputs!$C$13</f>
        <v>-26.391467733781575</v>
      </c>
      <c r="Q129" s="9">
        <f>-2*O129/Inputs!$C$14</f>
        <v>-3.9626828429101471</v>
      </c>
      <c r="R129" s="9">
        <f>F129-Inputs!$C$16/2</f>
        <v>432.04714164934461</v>
      </c>
      <c r="S129" s="9">
        <f>F129+Inputs!$C$16/2</f>
        <v>462.04714164934461</v>
      </c>
      <c r="T129" s="9">
        <f>F129-Inputs!$C$17/2</f>
        <v>297.04714164934461</v>
      </c>
      <c r="U129" s="9">
        <f>F129+Inputs!$C$17/2</f>
        <v>597.04714164934467</v>
      </c>
      <c r="V129" s="9">
        <f t="shared" si="24"/>
        <v>26.391467733781575</v>
      </c>
      <c r="W129" s="9">
        <f t="shared" si="25"/>
        <v>3.9626828429101471</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0</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0</v>
      </c>
      <c r="Z129" s="9">
        <f t="shared" si="26"/>
        <v>400.01361111111112</v>
      </c>
      <c r="AA129" s="9">
        <f>SQRT(A129^2+Inputs!$C$6^2+(B129-Y129/1000)^2)</f>
        <v>400.80935502324695</v>
      </c>
      <c r="AB129" s="9">
        <f t="shared" si="27"/>
        <v>795.7439121358334</v>
      </c>
      <c r="AC129" s="9">
        <f>AB129/Inputs!$C$12</f>
        <v>447.04714164934461</v>
      </c>
      <c r="AD129" s="9">
        <f>2*AB129/Inputs!$C$21*1000000</f>
        <v>5.3086319612205415</v>
      </c>
      <c r="AE129" s="9">
        <f t="shared" si="28"/>
        <v>3.6109979838002473</v>
      </c>
      <c r="AF129" s="9">
        <f>DEGREES((2*PI()/Inputs!$C$13)*Inputs!$C$15*SIN(RADIANS(AE129)))</f>
        <v>22.673552626173684</v>
      </c>
      <c r="AG129" s="9">
        <f t="shared" si="29"/>
        <v>0.99208224757608587</v>
      </c>
      <c r="AH129" s="9">
        <f t="shared" si="30"/>
        <v>-3.4523216081685341E-2</v>
      </c>
      <c r="AI129" s="9">
        <f t="shared" si="31"/>
        <v>0</v>
      </c>
      <c r="AJ129" s="9">
        <f t="shared" si="32"/>
        <v>0</v>
      </c>
      <c r="AK129" s="9">
        <f t="shared" si="33"/>
        <v>0</v>
      </c>
      <c r="AL129" s="9">
        <f>1000*(AA130-AA128)/(A130-A128)*Inputs!$C$11</f>
        <v>65.978593933550655</v>
      </c>
      <c r="AM129" s="9">
        <f>-2*AL129/Inputs!$C$13</f>
        <v>-26.391437573420262</v>
      </c>
      <c r="AN129" s="9">
        <f>-2*AL129/Inputs!$C$14</f>
        <v>-3.9626783143273672</v>
      </c>
      <c r="AO129" s="9">
        <f t="shared" si="34"/>
        <v>26.391437573420262</v>
      </c>
      <c r="AP129" s="9">
        <f t="shared" si="35"/>
        <v>3.9626783143273672</v>
      </c>
      <c r="AQ129" s="9">
        <f>IF(OR(Inputs!$C$27=TRUE,Inputs!$C$27="TRUE",Inputs!$C$27=1),Inputs!$C$46/Inputs!$C$12,0)</f>
        <v>0</v>
      </c>
      <c r="AR129" s="9">
        <f t="shared" si="36"/>
        <v>447.04714164934461</v>
      </c>
      <c r="AS129" s="9">
        <f t="shared" si="37"/>
        <v>447.04714164934461</v>
      </c>
    </row>
    <row r="130" spans="1:45">
      <c r="A130" s="9">
        <f>Inputs!$C$7+128*(Inputs!$C$8-Inputs!$C$7)/240</f>
        <v>4</v>
      </c>
      <c r="B130" s="9">
        <f>Inputs!$C$5+Inputs!$C$9*(A130/Inputs!$C$10)^2</f>
        <v>400.01777777777778</v>
      </c>
      <c r="C130" s="9">
        <f t="shared" ref="C130:C193" si="38">B130</f>
        <v>400.01777777777778</v>
      </c>
      <c r="D130" s="9">
        <f>SQRT(A130^2+Inputs!$C$6^2+B130^2)</f>
        <v>400.8181913764289</v>
      </c>
      <c r="E130" s="9">
        <f t="shared" ref="E130:E193" si="39">(D130-C130)*1000</f>
        <v>800.41359865111872</v>
      </c>
      <c r="F130" s="9">
        <f>E130/Inputs!$C$12</f>
        <v>449.67056103995435</v>
      </c>
      <c r="G130" s="9">
        <f>2*E130/Inputs!$C$21*1000000</f>
        <v>5.3397847563671448</v>
      </c>
      <c r="H130" s="9">
        <f>SQRT(A130^2+Inputs!$C$6^2)</f>
        <v>25.317977802344327</v>
      </c>
      <c r="I130" s="9">
        <f t="shared" ref="I130:I193" si="40">DEGREES(ATAN(H130/B130))</f>
        <v>3.62154133083556</v>
      </c>
      <c r="J130" s="9">
        <f>DEGREES((2*PI()/Inputs!$C$13)*Inputs!$C$15*SIN(RADIANS(I130)))</f>
        <v>22.739666524476899</v>
      </c>
      <c r="K130" s="9">
        <f t="shared" ref="K130:K193" si="41">(C130/D130)^4</f>
        <v>0.99203609788096248</v>
      </c>
      <c r="L130" s="9">
        <f t="shared" ref="L130:L193" si="42">10*LOG10(K130)</f>
        <v>-3.4725245945308292E-2</v>
      </c>
      <c r="M130" s="9">
        <f>2*(Inputs!$C$9/(Inputs!$C$10^2))*A130</f>
        <v>8.8888888888888889E-3</v>
      </c>
      <c r="N130" s="9">
        <f>M130*Inputs!$C$11</f>
        <v>3.5555555555555556E-2</v>
      </c>
      <c r="O130" s="9">
        <f>1000*((A130*Inputs!$C$11)+(B130*N130))/D130</f>
        <v>75.402900794499686</v>
      </c>
      <c r="P130" s="9">
        <f>-2*O130/Inputs!$C$13</f>
        <v>-30.161160317799876</v>
      </c>
      <c r="Q130" s="9">
        <f>-2*O130/Inputs!$C$14</f>
        <v>-4.5287027504204023</v>
      </c>
      <c r="R130" s="9">
        <f>F130-Inputs!$C$16/2</f>
        <v>434.67056103995435</v>
      </c>
      <c r="S130" s="9">
        <f>F130+Inputs!$C$16/2</f>
        <v>464.67056103995435</v>
      </c>
      <c r="T130" s="9">
        <f>F130-Inputs!$C$17/2</f>
        <v>299.67056103995435</v>
      </c>
      <c r="U130" s="9">
        <f>F130+Inputs!$C$17/2</f>
        <v>599.67056103995435</v>
      </c>
      <c r="V130" s="9">
        <f t="shared" ref="V130:V193" si="43">ABS(P130)</f>
        <v>30.161160317799876</v>
      </c>
      <c r="W130" s="9">
        <f t="shared" ref="W130:W193" si="44">ABS(Q130)</f>
        <v>4.5287027504204023</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0</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0</v>
      </c>
      <c r="Z130" s="9">
        <f t="shared" ref="Z130:Z193" si="45">B130-X130/1000</f>
        <v>400.01777777777778</v>
      </c>
      <c r="AA130" s="9">
        <f>SQRT(A130^2+Inputs!$C$6^2+(B130-Y130/1000)^2)</f>
        <v>400.8181913764289</v>
      </c>
      <c r="AB130" s="9">
        <f t="shared" ref="AB130:AB193" si="46">(AA130-Z130)*1000</f>
        <v>800.41359865111872</v>
      </c>
      <c r="AC130" s="9">
        <f>AB130/Inputs!$C$12</f>
        <v>449.67056103995435</v>
      </c>
      <c r="AD130" s="9">
        <f>2*AB130/Inputs!$C$21*1000000</f>
        <v>5.3397847563671448</v>
      </c>
      <c r="AE130" s="9">
        <f t="shared" ref="AE130:AE193" si="47">DEGREES(ATAN(H130/(B130-Y130/1000)))</f>
        <v>3.62154133083556</v>
      </c>
      <c r="AF130" s="9">
        <f>DEGREES((2*PI()/Inputs!$C$13)*Inputs!$C$15*SIN(RADIANS(AE130)))</f>
        <v>22.739666524476899</v>
      </c>
      <c r="AG130" s="9">
        <f t="shared" ref="AG130:AG193" si="48">(Z130/AA130)^4</f>
        <v>0.99203609788096248</v>
      </c>
      <c r="AH130" s="9">
        <f t="shared" ref="AH130:AH193" si="49">10*LOG10(AG130)</f>
        <v>-3.4725245945308292E-2</v>
      </c>
      <c r="AI130" s="9">
        <f t="shared" ref="AI130:AI193" si="50">AC130-F130</f>
        <v>0</v>
      </c>
      <c r="AJ130" s="9">
        <f t="shared" ref="AJ130:AJ193" si="51">AD130-G130</f>
        <v>0</v>
      </c>
      <c r="AK130" s="9">
        <f t="shared" ref="AK130:AK193" si="52">Y130-X130</f>
        <v>0</v>
      </c>
      <c r="AL130" s="9">
        <f>1000*(AA131-AA129)/(A131-A129)*Inputs!$C$11</f>
        <v>75.402814631615911</v>
      </c>
      <c r="AM130" s="9">
        <f>-2*AL130/Inputs!$C$13</f>
        <v>-30.161125852646364</v>
      </c>
      <c r="AN130" s="9">
        <f>-2*AL130/Inputs!$C$14</f>
        <v>-4.5286975754724272</v>
      </c>
      <c r="AO130" s="9">
        <f t="shared" ref="AO130:AO193" si="53">ABS(AM130)</f>
        <v>30.161125852646364</v>
      </c>
      <c r="AP130" s="9">
        <f t="shared" ref="AP130:AP193" si="54">ABS(AN130)</f>
        <v>4.5286975754724272</v>
      </c>
      <c r="AQ130" s="9">
        <f>IF(OR(Inputs!$C$27=TRUE,Inputs!$C$27="TRUE",Inputs!$C$27=1),Inputs!$C$46/Inputs!$C$12,0)</f>
        <v>0</v>
      </c>
      <c r="AR130" s="9">
        <f t="shared" ref="AR130:AR193" si="55">AC130-AQ130</f>
        <v>449.67056103995435</v>
      </c>
      <c r="AS130" s="9">
        <f t="shared" ref="AS130:AS193" si="56">AC130+AQ130</f>
        <v>449.67056103995435</v>
      </c>
    </row>
    <row r="131" spans="1:45">
      <c r="A131" s="9">
        <f>Inputs!$C$7+129*(Inputs!$C$8-Inputs!$C$7)/240</f>
        <v>4.5</v>
      </c>
      <c r="B131" s="9">
        <f>Inputs!$C$5+Inputs!$C$9*(A131/Inputs!$C$10)^2</f>
        <v>400.02249999999998</v>
      </c>
      <c r="C131" s="9">
        <f t="shared" si="38"/>
        <v>400.02249999999998</v>
      </c>
      <c r="D131" s="9">
        <f>SQRT(A131^2+Inputs!$C$6^2+B131^2)</f>
        <v>400.82820572690486</v>
      </c>
      <c r="E131" s="9">
        <f t="shared" si="39"/>
        <v>805.70572690487552</v>
      </c>
      <c r="F131" s="9">
        <f>E131/Inputs!$C$12</f>
        <v>452.64366680049187</v>
      </c>
      <c r="G131" s="9">
        <f>2*E131/Inputs!$C$21*1000000</f>
        <v>5.3750900358198841</v>
      </c>
      <c r="H131" s="9">
        <f>SQRT(A131^2+Inputs!$C$6^2)</f>
        <v>25.401771591761076</v>
      </c>
      <c r="I131" s="9">
        <f t="shared" si="40"/>
        <v>3.6334525503982564</v>
      </c>
      <c r="J131" s="9">
        <f>DEGREES((2*PI()/Inputs!$C$13)*Inputs!$C$15*SIN(RADIANS(I131)))</f>
        <v>22.814356979819124</v>
      </c>
      <c r="K131" s="9">
        <f t="shared" si="41"/>
        <v>0.99198380111213136</v>
      </c>
      <c r="L131" s="9">
        <f t="shared" si="42"/>
        <v>-3.4954197259168707E-2</v>
      </c>
      <c r="M131" s="9">
        <f>2*(Inputs!$C$9/(Inputs!$C$10^2))*A131</f>
        <v>0.01</v>
      </c>
      <c r="N131" s="9">
        <f>M131*Inputs!$C$11</f>
        <v>0.04</v>
      </c>
      <c r="O131" s="9">
        <f>1000*((A131*Inputs!$C$11)+(B131*N131))/D131</f>
        <v>84.826615278580817</v>
      </c>
      <c r="P131" s="9">
        <f>-2*O131/Inputs!$C$13</f>
        <v>-33.930646111432324</v>
      </c>
      <c r="Q131" s="9">
        <f>-2*O131/Inputs!$C$14</f>
        <v>-5.0946916083231724</v>
      </c>
      <c r="R131" s="9">
        <f>F131-Inputs!$C$16/2</f>
        <v>437.64366680049187</v>
      </c>
      <c r="S131" s="9">
        <f>F131+Inputs!$C$16/2</f>
        <v>467.64366680049187</v>
      </c>
      <c r="T131" s="9">
        <f>F131-Inputs!$C$17/2</f>
        <v>302.64366680049187</v>
      </c>
      <c r="U131" s="9">
        <f>F131+Inputs!$C$17/2</f>
        <v>602.64366680049193</v>
      </c>
      <c r="V131" s="9">
        <f t="shared" si="43"/>
        <v>33.930646111432324</v>
      </c>
      <c r="W131" s="9">
        <f t="shared" si="44"/>
        <v>5.0946916083231724</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0</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0</v>
      </c>
      <c r="Z131" s="9">
        <f t="shared" si="45"/>
        <v>400.02249999999998</v>
      </c>
      <c r="AA131" s="9">
        <f>SQRT(A131^2+Inputs!$C$6^2+(B131-Y131/1000)^2)</f>
        <v>400.82820572690486</v>
      </c>
      <c r="AB131" s="9">
        <f t="shared" si="46"/>
        <v>805.70572690487552</v>
      </c>
      <c r="AC131" s="9">
        <f>AB131/Inputs!$C$12</f>
        <v>452.64366680049187</v>
      </c>
      <c r="AD131" s="9">
        <f>2*AB131/Inputs!$C$21*1000000</f>
        <v>5.3750900358198841</v>
      </c>
      <c r="AE131" s="9">
        <f t="shared" si="47"/>
        <v>3.6334525503982564</v>
      </c>
      <c r="AF131" s="9">
        <f>DEGREES((2*PI()/Inputs!$C$13)*Inputs!$C$15*SIN(RADIANS(AE131)))</f>
        <v>22.814356979819124</v>
      </c>
      <c r="AG131" s="9">
        <f t="shared" si="48"/>
        <v>0.99198380111213136</v>
      </c>
      <c r="AH131" s="9">
        <f t="shared" si="49"/>
        <v>-3.4954197259168707E-2</v>
      </c>
      <c r="AI131" s="9">
        <f t="shared" si="50"/>
        <v>0</v>
      </c>
      <c r="AJ131" s="9">
        <f t="shared" si="51"/>
        <v>0</v>
      </c>
      <c r="AK131" s="9">
        <f t="shared" si="52"/>
        <v>0</v>
      </c>
      <c r="AL131" s="9">
        <f>1000*(AA132-AA130)/(A132-A130)*Inputs!$C$11</f>
        <v>84.826518357658642</v>
      </c>
      <c r="AM131" s="9">
        <f>-2*AL131/Inputs!$C$13</f>
        <v>-33.930607343063457</v>
      </c>
      <c r="AN131" s="9">
        <f>-2*AL131/Inputs!$C$14</f>
        <v>-5.0946857872467657</v>
      </c>
      <c r="AO131" s="9">
        <f t="shared" si="53"/>
        <v>33.930607343063457</v>
      </c>
      <c r="AP131" s="9">
        <f t="shared" si="54"/>
        <v>5.0946857872467657</v>
      </c>
      <c r="AQ131" s="9">
        <f>IF(OR(Inputs!$C$27=TRUE,Inputs!$C$27="TRUE",Inputs!$C$27=1),Inputs!$C$46/Inputs!$C$12,0)</f>
        <v>0</v>
      </c>
      <c r="AR131" s="9">
        <f t="shared" si="55"/>
        <v>452.64366680049187</v>
      </c>
      <c r="AS131" s="9">
        <f t="shared" si="56"/>
        <v>452.64366680049187</v>
      </c>
    </row>
    <row r="132" spans="1:45">
      <c r="A132" s="9">
        <f>Inputs!$C$7+130*(Inputs!$C$8-Inputs!$C$7)/240</f>
        <v>5</v>
      </c>
      <c r="B132" s="9">
        <f>Inputs!$C$5+Inputs!$C$9*(A132/Inputs!$C$10)^2</f>
        <v>400.02777777777777</v>
      </c>
      <c r="C132" s="9">
        <f t="shared" si="38"/>
        <v>400.02777777777777</v>
      </c>
      <c r="D132" s="9">
        <f>SQRT(A132^2+Inputs!$C$6^2+B132^2)</f>
        <v>400.83939800601831</v>
      </c>
      <c r="E132" s="9">
        <f t="shared" si="39"/>
        <v>811.62022824054247</v>
      </c>
      <c r="F132" s="9">
        <f>E132/Inputs!$C$12</f>
        <v>455.96642035985531</v>
      </c>
      <c r="G132" s="9">
        <f>2*E132/Inputs!$C$21*1000000</f>
        <v>5.4145473415514838</v>
      </c>
      <c r="H132" s="9">
        <f>SQRT(A132^2+Inputs!$C$6^2)</f>
        <v>25.495097567963924</v>
      </c>
      <c r="I132" s="9">
        <f t="shared" si="40"/>
        <v>3.6467178944150929</v>
      </c>
      <c r="J132" s="9">
        <f>DEGREES((2*PI()/Inputs!$C$13)*Inputs!$C$15*SIN(RADIANS(I132)))</f>
        <v>22.897537442986597</v>
      </c>
      <c r="K132" s="9">
        <f t="shared" si="41"/>
        <v>0.99192535960034223</v>
      </c>
      <c r="L132" s="9">
        <f t="shared" si="42"/>
        <v>-3.5210064075997458E-2</v>
      </c>
      <c r="M132" s="9">
        <f>2*(Inputs!$C$9/(Inputs!$C$10^2))*A132</f>
        <v>1.1111111111111112E-2</v>
      </c>
      <c r="N132" s="9">
        <f>M132*Inputs!$C$11</f>
        <v>4.4444444444444446E-2</v>
      </c>
      <c r="O132" s="9">
        <f>1000*((A132*Inputs!$C$11)+(B132*N132))/D132</f>
        <v>94.249748237352136</v>
      </c>
      <c r="P132" s="9">
        <f>-2*O132/Inputs!$C$13</f>
        <v>-37.699899294940856</v>
      </c>
      <c r="Q132" s="9">
        <f>-2*O132/Inputs!$C$14</f>
        <v>-5.6606455397809095</v>
      </c>
      <c r="R132" s="9">
        <f>F132-Inputs!$C$16/2</f>
        <v>440.96642035985531</v>
      </c>
      <c r="S132" s="9">
        <f>F132+Inputs!$C$16/2</f>
        <v>470.96642035985531</v>
      </c>
      <c r="T132" s="9">
        <f>F132-Inputs!$C$17/2</f>
        <v>305.96642035985531</v>
      </c>
      <c r="U132" s="9">
        <f>F132+Inputs!$C$17/2</f>
        <v>605.96642035985531</v>
      </c>
      <c r="V132" s="9">
        <f t="shared" si="43"/>
        <v>37.699899294940856</v>
      </c>
      <c r="W132" s="9">
        <f t="shared" si="44"/>
        <v>5.6606455397809095</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0</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0</v>
      </c>
      <c r="Z132" s="9">
        <f t="shared" si="45"/>
        <v>400.02777777777777</v>
      </c>
      <c r="AA132" s="9">
        <f>SQRT(A132^2+Inputs!$C$6^2+(B132-Y132/1000)^2)</f>
        <v>400.83939800601831</v>
      </c>
      <c r="AB132" s="9">
        <f t="shared" si="46"/>
        <v>811.62022824054247</v>
      </c>
      <c r="AC132" s="9">
        <f>AB132/Inputs!$C$12</f>
        <v>455.96642035985531</v>
      </c>
      <c r="AD132" s="9">
        <f>2*AB132/Inputs!$C$21*1000000</f>
        <v>5.4145473415514838</v>
      </c>
      <c r="AE132" s="9">
        <f t="shared" si="47"/>
        <v>3.6467178944150929</v>
      </c>
      <c r="AF132" s="9">
        <f>DEGREES((2*PI()/Inputs!$C$13)*Inputs!$C$15*SIN(RADIANS(AE132)))</f>
        <v>22.897537442986597</v>
      </c>
      <c r="AG132" s="9">
        <f t="shared" si="48"/>
        <v>0.99192535960034223</v>
      </c>
      <c r="AH132" s="9">
        <f t="shared" si="49"/>
        <v>-3.5210064075997458E-2</v>
      </c>
      <c r="AI132" s="9">
        <f t="shared" si="50"/>
        <v>0</v>
      </c>
      <c r="AJ132" s="9">
        <f t="shared" si="51"/>
        <v>0</v>
      </c>
      <c r="AK132" s="9">
        <f t="shared" si="52"/>
        <v>0</v>
      </c>
      <c r="AL132" s="9">
        <f>1000*(AA133-AA131)/(A133-A131)*Inputs!$C$11</f>
        <v>94.249640562566128</v>
      </c>
      <c r="AM132" s="9">
        <f>-2*AL132/Inputs!$C$13</f>
        <v>-37.699856225026451</v>
      </c>
      <c r="AN132" s="9">
        <f>-2*AL132/Inputs!$C$14</f>
        <v>-5.660639072826795</v>
      </c>
      <c r="AO132" s="9">
        <f t="shared" si="53"/>
        <v>37.699856225026451</v>
      </c>
      <c r="AP132" s="9">
        <f t="shared" si="54"/>
        <v>5.660639072826795</v>
      </c>
      <c r="AQ132" s="9">
        <f>IF(OR(Inputs!$C$27=TRUE,Inputs!$C$27="TRUE",Inputs!$C$27=1),Inputs!$C$46/Inputs!$C$12,0)</f>
        <v>0</v>
      </c>
      <c r="AR132" s="9">
        <f t="shared" si="55"/>
        <v>455.96642035985531</v>
      </c>
      <c r="AS132" s="9">
        <f t="shared" si="56"/>
        <v>455.96642035985531</v>
      </c>
    </row>
    <row r="133" spans="1:45">
      <c r="A133" s="9">
        <f>Inputs!$C$7+131*(Inputs!$C$8-Inputs!$C$7)/240</f>
        <v>5.5</v>
      </c>
      <c r="B133" s="9">
        <f>Inputs!$C$5+Inputs!$C$9*(A133/Inputs!$C$10)^2</f>
        <v>400.0336111111111</v>
      </c>
      <c r="C133" s="9">
        <f t="shared" si="38"/>
        <v>400.0336111111111</v>
      </c>
      <c r="D133" s="9">
        <f>SQRT(A133^2+Inputs!$C$6^2+B133^2)</f>
        <v>400.8517681370455</v>
      </c>
      <c r="E133" s="9">
        <f t="shared" si="39"/>
        <v>818.1570259343971</v>
      </c>
      <c r="F133" s="9">
        <f>E133/Inputs!$C$12</f>
        <v>459.63877861482985</v>
      </c>
      <c r="G133" s="9">
        <f>2*E133/Inputs!$C$21*1000000</f>
        <v>5.4581561617163636</v>
      </c>
      <c r="H133" s="9">
        <f>SQRT(A133^2+Inputs!$C$6^2)</f>
        <v>25.597851472340409</v>
      </c>
      <c r="I133" s="9">
        <f t="shared" si="40"/>
        <v>3.6613222610928524</v>
      </c>
      <c r="J133" s="9">
        <f>DEGREES((2*PI()/Inputs!$C$13)*Inputs!$C$15*SIN(RADIANS(I133)))</f>
        <v>22.989112840565028</v>
      </c>
      <c r="K133" s="9">
        <f t="shared" si="41"/>
        <v>0.9918607759497502</v>
      </c>
      <c r="L133" s="9">
        <f t="shared" si="42"/>
        <v>-3.5492839750053864E-2</v>
      </c>
      <c r="M133" s="9">
        <f>2*(Inputs!$C$9/(Inputs!$C$10^2))*A133</f>
        <v>1.2222222222222223E-2</v>
      </c>
      <c r="N133" s="9">
        <f>M133*Inputs!$C$11</f>
        <v>4.8888888888888891E-2</v>
      </c>
      <c r="O133" s="9">
        <f>1000*((A133*Inputs!$C$11)+(B133*N133))/D133</f>
        <v>103.67223514709379</v>
      </c>
      <c r="P133" s="9">
        <f>-2*O133/Inputs!$C$13</f>
        <v>-41.468894058837513</v>
      </c>
      <c r="Q133" s="9">
        <f>-2*O133/Inputs!$C$14</f>
        <v>-6.2265606694951225</v>
      </c>
      <c r="R133" s="9">
        <f>F133-Inputs!$C$16/2</f>
        <v>444.63877861482985</v>
      </c>
      <c r="S133" s="9">
        <f>F133+Inputs!$C$16/2</f>
        <v>474.63877861482985</v>
      </c>
      <c r="T133" s="9">
        <f>F133-Inputs!$C$17/2</f>
        <v>309.63877861482985</v>
      </c>
      <c r="U133" s="9">
        <f>F133+Inputs!$C$17/2</f>
        <v>609.63877861482979</v>
      </c>
      <c r="V133" s="9">
        <f t="shared" si="43"/>
        <v>41.468894058837513</v>
      </c>
      <c r="W133" s="9">
        <f t="shared" si="44"/>
        <v>6.2265606694951225</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0</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0</v>
      </c>
      <c r="Z133" s="9">
        <f t="shared" si="45"/>
        <v>400.0336111111111</v>
      </c>
      <c r="AA133" s="9">
        <f>SQRT(A133^2+Inputs!$C$6^2+(B133-Y133/1000)^2)</f>
        <v>400.8517681370455</v>
      </c>
      <c r="AB133" s="9">
        <f t="shared" si="46"/>
        <v>818.1570259343971</v>
      </c>
      <c r="AC133" s="9">
        <f>AB133/Inputs!$C$12</f>
        <v>459.63877861482985</v>
      </c>
      <c r="AD133" s="9">
        <f>2*AB133/Inputs!$C$21*1000000</f>
        <v>5.4581561617163636</v>
      </c>
      <c r="AE133" s="9">
        <f t="shared" si="47"/>
        <v>3.6613222610928524</v>
      </c>
      <c r="AF133" s="9">
        <f>DEGREES((2*PI()/Inputs!$C$13)*Inputs!$C$15*SIN(RADIANS(AE133)))</f>
        <v>22.989112840565028</v>
      </c>
      <c r="AG133" s="9">
        <f t="shared" si="48"/>
        <v>0.9918607759497502</v>
      </c>
      <c r="AH133" s="9">
        <f t="shared" si="49"/>
        <v>-3.5492839750053864E-2</v>
      </c>
      <c r="AI133" s="9">
        <f t="shared" si="50"/>
        <v>0</v>
      </c>
      <c r="AJ133" s="9">
        <f t="shared" si="51"/>
        <v>0</v>
      </c>
      <c r="AK133" s="9">
        <f t="shared" si="52"/>
        <v>0</v>
      </c>
      <c r="AL133" s="9">
        <f>1000*(AA134-AA132)/(A134-A132)*Inputs!$C$11</f>
        <v>103.67211672291887</v>
      </c>
      <c r="AM133" s="9">
        <f>-2*AL133/Inputs!$C$13</f>
        <v>-41.468846689167549</v>
      </c>
      <c r="AN133" s="9">
        <f>-2*AL133/Inputs!$C$14</f>
        <v>-6.2265535569320649</v>
      </c>
      <c r="AO133" s="9">
        <f t="shared" si="53"/>
        <v>41.468846689167549</v>
      </c>
      <c r="AP133" s="9">
        <f t="shared" si="54"/>
        <v>6.2265535569320649</v>
      </c>
      <c r="AQ133" s="9">
        <f>IF(OR(Inputs!$C$27=TRUE,Inputs!$C$27="TRUE",Inputs!$C$27=1),Inputs!$C$46/Inputs!$C$12,0)</f>
        <v>0</v>
      </c>
      <c r="AR133" s="9">
        <f t="shared" si="55"/>
        <v>459.63877861482985</v>
      </c>
      <c r="AS133" s="9">
        <f t="shared" si="56"/>
        <v>459.63877861482985</v>
      </c>
    </row>
    <row r="134" spans="1:45">
      <c r="A134" s="9">
        <f>Inputs!$C$7+132*(Inputs!$C$8-Inputs!$C$7)/240</f>
        <v>6</v>
      </c>
      <c r="B134" s="9">
        <f>Inputs!$C$5+Inputs!$C$9*(A134/Inputs!$C$10)^2</f>
        <v>400.04</v>
      </c>
      <c r="C134" s="9">
        <f t="shared" si="38"/>
        <v>400.04</v>
      </c>
      <c r="D134" s="9">
        <f>SQRT(A134^2+Inputs!$C$6^2+B134^2)</f>
        <v>400.86531603519904</v>
      </c>
      <c r="E134" s="9">
        <f t="shared" si="39"/>
        <v>825.31603519902319</v>
      </c>
      <c r="F134" s="9">
        <f>E134/Inputs!$C$12</f>
        <v>463.66069393203549</v>
      </c>
      <c r="G134" s="9">
        <f>2*E134/Inputs!$C$21*1000000</f>
        <v>5.5059159306737673</v>
      </c>
      <c r="H134" s="9">
        <f>SQRT(A134^2+Inputs!$C$6^2)</f>
        <v>25.709920264364882</v>
      </c>
      <c r="I134" s="9">
        <f t="shared" si="40"/>
        <v>3.6772492746351846</v>
      </c>
      <c r="J134" s="9">
        <f>DEGREES((2*PI()/Inputs!$C$13)*Inputs!$C$15*SIN(RADIANS(I134)))</f>
        <v>23.088980076187603</v>
      </c>
      <c r="K134" s="9">
        <f t="shared" si="41"/>
        <v>0.99179005303764423</v>
      </c>
      <c r="L134" s="9">
        <f t="shared" si="42"/>
        <v>-3.5802516937550051E-2</v>
      </c>
      <c r="M134" s="9">
        <f>2*(Inputs!$C$9/(Inputs!$C$10^2))*A134</f>
        <v>1.3333333333333332E-2</v>
      </c>
      <c r="N134" s="9">
        <f>M134*Inputs!$C$11</f>
        <v>5.333333333333333E-2</v>
      </c>
      <c r="O134" s="9">
        <f>1000*((A134*Inputs!$C$11)+(B134*N134))/D134</f>
        <v>113.09401151254967</v>
      </c>
      <c r="P134" s="9">
        <f>-2*O134/Inputs!$C$13</f>
        <v>-45.237604605019868</v>
      </c>
      <c r="Q134" s="9">
        <f>-2*O134/Inputs!$C$14</f>
        <v>-6.792433123876858</v>
      </c>
      <c r="R134" s="9">
        <f>F134-Inputs!$C$16/2</f>
        <v>448.66069393203549</v>
      </c>
      <c r="S134" s="9">
        <f>F134+Inputs!$C$16/2</f>
        <v>478.66069393203549</v>
      </c>
      <c r="T134" s="9">
        <f>F134-Inputs!$C$17/2</f>
        <v>313.66069393203549</v>
      </c>
      <c r="U134" s="9">
        <f>F134+Inputs!$C$17/2</f>
        <v>613.66069393203543</v>
      </c>
      <c r="V134" s="9">
        <f t="shared" si="43"/>
        <v>45.237604605019868</v>
      </c>
      <c r="W134" s="9">
        <f t="shared" si="44"/>
        <v>6.792433123876858</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0</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0</v>
      </c>
      <c r="Z134" s="9">
        <f t="shared" si="45"/>
        <v>400.04</v>
      </c>
      <c r="AA134" s="9">
        <f>SQRT(A134^2+Inputs!$C$6^2+(B134-Y134/1000)^2)</f>
        <v>400.86531603519904</v>
      </c>
      <c r="AB134" s="9">
        <f t="shared" si="46"/>
        <v>825.31603519902319</v>
      </c>
      <c r="AC134" s="9">
        <f>AB134/Inputs!$C$12</f>
        <v>463.66069393203549</v>
      </c>
      <c r="AD134" s="9">
        <f>2*AB134/Inputs!$C$21*1000000</f>
        <v>5.5059159306737673</v>
      </c>
      <c r="AE134" s="9">
        <f t="shared" si="47"/>
        <v>3.6772492746351846</v>
      </c>
      <c r="AF134" s="9">
        <f>DEGREES((2*PI()/Inputs!$C$13)*Inputs!$C$15*SIN(RADIANS(AE134)))</f>
        <v>23.088980076187603</v>
      </c>
      <c r="AG134" s="9">
        <f t="shared" si="48"/>
        <v>0.99179005303764423</v>
      </c>
      <c r="AH134" s="9">
        <f t="shared" si="49"/>
        <v>-3.5802516937550051E-2</v>
      </c>
      <c r="AI134" s="9">
        <f t="shared" si="50"/>
        <v>0</v>
      </c>
      <c r="AJ134" s="9">
        <f t="shared" si="51"/>
        <v>0</v>
      </c>
      <c r="AK134" s="9">
        <f t="shared" si="52"/>
        <v>0</v>
      </c>
      <c r="AL134" s="9">
        <f>1000*(AA135-AA133)/(A135-A133)*Inputs!$C$11</f>
        <v>113.09388234417384</v>
      </c>
      <c r="AM134" s="9">
        <f>-2*AL134/Inputs!$C$13</f>
        <v>-45.237552937669534</v>
      </c>
      <c r="AN134" s="9">
        <f>-2*AL134/Inputs!$C$14</f>
        <v>-6.7924253660164471</v>
      </c>
      <c r="AO134" s="9">
        <f t="shared" si="53"/>
        <v>45.237552937669534</v>
      </c>
      <c r="AP134" s="9">
        <f t="shared" si="54"/>
        <v>6.7924253660164471</v>
      </c>
      <c r="AQ134" s="9">
        <f>IF(OR(Inputs!$C$27=TRUE,Inputs!$C$27="TRUE",Inputs!$C$27=1),Inputs!$C$46/Inputs!$C$12,0)</f>
        <v>0</v>
      </c>
      <c r="AR134" s="9">
        <f t="shared" si="55"/>
        <v>463.66069393203549</v>
      </c>
      <c r="AS134" s="9">
        <f t="shared" si="56"/>
        <v>463.66069393203549</v>
      </c>
    </row>
    <row r="135" spans="1:45">
      <c r="A135" s="9">
        <f>Inputs!$C$7+133*(Inputs!$C$8-Inputs!$C$7)/240</f>
        <v>6.5</v>
      </c>
      <c r="B135" s="9">
        <f>Inputs!$C$5+Inputs!$C$9*(A135/Inputs!$C$10)^2</f>
        <v>400.04694444444442</v>
      </c>
      <c r="C135" s="9">
        <f t="shared" si="38"/>
        <v>400.04694444444442</v>
      </c>
      <c r="D135" s="9">
        <f>SQRT(A135^2+Inputs!$C$6^2+B135^2)</f>
        <v>400.88004160763154</v>
      </c>
      <c r="E135" s="9">
        <f t="shared" si="39"/>
        <v>833.09716318711935</v>
      </c>
      <c r="F135" s="9">
        <f>E135/Inputs!$C$12</f>
        <v>468.03211415006706</v>
      </c>
      <c r="G135" s="9">
        <f>2*E135/Inputs!$C$21*1000000</f>
        <v>5.5578260290131736</v>
      </c>
      <c r="H135" s="9">
        <f>SQRT(A135^2+Inputs!$C$6^2)</f>
        <v>25.831182706178978</v>
      </c>
      <c r="I135" s="9">
        <f t="shared" si="40"/>
        <v>3.6944813694132979</v>
      </c>
      <c r="J135" s="9">
        <f>DEGREES((2*PI()/Inputs!$C$13)*Inputs!$C$15*SIN(RADIANS(I135)))</f>
        <v>23.197028559795985</v>
      </c>
      <c r="K135" s="9">
        <f t="shared" si="41"/>
        <v>0.99171319401415481</v>
      </c>
      <c r="L135" s="9">
        <f t="shared" si="42"/>
        <v>-3.6139087597086374E-2</v>
      </c>
      <c r="M135" s="9">
        <f>2*(Inputs!$C$9/(Inputs!$C$10^2))*A135</f>
        <v>1.4444444444444444E-2</v>
      </c>
      <c r="N135" s="9">
        <f>M135*Inputs!$C$11</f>
        <v>5.7777777777777775E-2</v>
      </c>
      <c r="O135" s="9">
        <f>1000*((A135*Inputs!$C$11)+(B135*N135))/D135</f>
        <v>122.51501286976304</v>
      </c>
      <c r="P135" s="9">
        <f>-2*O135/Inputs!$C$13</f>
        <v>-49.006005147905213</v>
      </c>
      <c r="Q135" s="9">
        <f>-2*O135/Inputs!$C$14</f>
        <v>-7.358259031217</v>
      </c>
      <c r="R135" s="9">
        <f>F135-Inputs!$C$16/2</f>
        <v>453.03211415006706</v>
      </c>
      <c r="S135" s="9">
        <f>F135+Inputs!$C$16/2</f>
        <v>483.03211415006706</v>
      </c>
      <c r="T135" s="9">
        <f>F135-Inputs!$C$17/2</f>
        <v>318.03211415006706</v>
      </c>
      <c r="U135" s="9">
        <f>F135+Inputs!$C$17/2</f>
        <v>618.03211415006706</v>
      </c>
      <c r="V135" s="9">
        <f t="shared" si="43"/>
        <v>49.006005147905213</v>
      </c>
      <c r="W135" s="9">
        <f t="shared" si="44"/>
        <v>7.358259031217</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0</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0</v>
      </c>
      <c r="Z135" s="9">
        <f t="shared" si="45"/>
        <v>400.04694444444442</v>
      </c>
      <c r="AA135" s="9">
        <f>SQRT(A135^2+Inputs!$C$6^2+(B135-Y135/1000)^2)</f>
        <v>400.88004160763154</v>
      </c>
      <c r="AB135" s="9">
        <f t="shared" si="46"/>
        <v>833.09716318711935</v>
      </c>
      <c r="AC135" s="9">
        <f>AB135/Inputs!$C$12</f>
        <v>468.03211415006706</v>
      </c>
      <c r="AD135" s="9">
        <f>2*AB135/Inputs!$C$21*1000000</f>
        <v>5.5578260290131736</v>
      </c>
      <c r="AE135" s="9">
        <f t="shared" si="47"/>
        <v>3.6944813694132979</v>
      </c>
      <c r="AF135" s="9">
        <f>DEGREES((2*PI()/Inputs!$C$13)*Inputs!$C$15*SIN(RADIANS(AE135)))</f>
        <v>23.197028559795985</v>
      </c>
      <c r="AG135" s="9">
        <f t="shared" si="48"/>
        <v>0.99171319401415481</v>
      </c>
      <c r="AH135" s="9">
        <f t="shared" si="49"/>
        <v>-3.6139087597086374E-2</v>
      </c>
      <c r="AI135" s="9">
        <f t="shared" si="50"/>
        <v>0</v>
      </c>
      <c r="AJ135" s="9">
        <f t="shared" si="51"/>
        <v>0</v>
      </c>
      <c r="AK135" s="9">
        <f t="shared" si="52"/>
        <v>0</v>
      </c>
      <c r="AL135" s="9">
        <f>1000*(AA136-AA134)/(A136-A134)*Inputs!$C$11</f>
        <v>122.51487296316554</v>
      </c>
      <c r="AM135" s="9">
        <f>-2*AL135/Inputs!$C$13</f>
        <v>-49.005949185266218</v>
      </c>
      <c r="AN135" s="9">
        <f>-2*AL135/Inputs!$C$14</f>
        <v>-7.358250628418352</v>
      </c>
      <c r="AO135" s="9">
        <f t="shared" si="53"/>
        <v>49.005949185266218</v>
      </c>
      <c r="AP135" s="9">
        <f t="shared" si="54"/>
        <v>7.358250628418352</v>
      </c>
      <c r="AQ135" s="9">
        <f>IF(OR(Inputs!$C$27=TRUE,Inputs!$C$27="TRUE",Inputs!$C$27=1),Inputs!$C$46/Inputs!$C$12,0)</f>
        <v>0</v>
      </c>
      <c r="AR135" s="9">
        <f t="shared" si="55"/>
        <v>468.03211415006706</v>
      </c>
      <c r="AS135" s="9">
        <f t="shared" si="56"/>
        <v>468.03211415006706</v>
      </c>
    </row>
    <row r="136" spans="1:45">
      <c r="A136" s="9">
        <f>Inputs!$C$7+134*(Inputs!$C$8-Inputs!$C$7)/240</f>
        <v>7</v>
      </c>
      <c r="B136" s="9">
        <f>Inputs!$C$5+Inputs!$C$9*(A136/Inputs!$C$10)^2</f>
        <v>400.05444444444447</v>
      </c>
      <c r="C136" s="9">
        <f t="shared" si="38"/>
        <v>400.05444444444447</v>
      </c>
      <c r="D136" s="9">
        <f>SQRT(A136^2+Inputs!$C$6^2+B136^2)</f>
        <v>400.89594475343984</v>
      </c>
      <c r="E136" s="9">
        <f t="shared" si="39"/>
        <v>841.50030899536432</v>
      </c>
      <c r="F136" s="9">
        <f>E136/Inputs!$C$12</f>
        <v>472.75298258166532</v>
      </c>
      <c r="G136" s="9">
        <f>2*E136/Inputs!$C$21*1000000</f>
        <v>5.6138857835800815</v>
      </c>
      <c r="H136" s="9">
        <f>SQRT(A136^2+Inputs!$C$6^2)</f>
        <v>25.96150997149434</v>
      </c>
      <c r="I136" s="9">
        <f t="shared" si="40"/>
        <v>3.7129998776451707</v>
      </c>
      <c r="J136" s="9">
        <f>DEGREES((2*PI()/Inputs!$C$13)*Inputs!$C$15*SIN(RADIANS(I136)))</f>
        <v>23.31314075897189</v>
      </c>
      <c r="K136" s="9">
        <f t="shared" si="41"/>
        <v>0.991630202301931</v>
      </c>
      <c r="L136" s="9">
        <f t="shared" si="42"/>
        <v>-3.6502542990141232E-2</v>
      </c>
      <c r="M136" s="9">
        <f>2*(Inputs!$C$9/(Inputs!$C$10^2))*A136</f>
        <v>1.5555555555555555E-2</v>
      </c>
      <c r="N136" s="9">
        <f>M136*Inputs!$C$11</f>
        <v>6.222222222222222E-2</v>
      </c>
      <c r="O136" s="9">
        <f>1000*((A136*Inputs!$C$11)+(B136*N136))/D136</f>
        <v>131.93517478890897</v>
      </c>
      <c r="P136" s="9">
        <f>-2*O136/Inputs!$C$13</f>
        <v>-52.774069915563587</v>
      </c>
      <c r="Q136" s="9">
        <f>-2*O136/Inputs!$C$14</f>
        <v>-7.9240345218563952</v>
      </c>
      <c r="R136" s="9">
        <f>F136-Inputs!$C$16/2</f>
        <v>457.75298258166532</v>
      </c>
      <c r="S136" s="9">
        <f>F136+Inputs!$C$16/2</f>
        <v>487.75298258166532</v>
      </c>
      <c r="T136" s="9">
        <f>F136-Inputs!$C$17/2</f>
        <v>322.75298258166532</v>
      </c>
      <c r="U136" s="9">
        <f>F136+Inputs!$C$17/2</f>
        <v>622.75298258166526</v>
      </c>
      <c r="V136" s="9">
        <f t="shared" si="43"/>
        <v>52.774069915563587</v>
      </c>
      <c r="W136" s="9">
        <f t="shared" si="44"/>
        <v>7.9240345218563952</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0</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0</v>
      </c>
      <c r="Z136" s="9">
        <f t="shared" si="45"/>
        <v>400.05444444444447</v>
      </c>
      <c r="AA136" s="9">
        <f>SQRT(A136^2+Inputs!$C$6^2+(B136-Y136/1000)^2)</f>
        <v>400.89594475343984</v>
      </c>
      <c r="AB136" s="9">
        <f t="shared" si="46"/>
        <v>841.50030899536432</v>
      </c>
      <c r="AC136" s="9">
        <f>AB136/Inputs!$C$12</f>
        <v>472.75298258166532</v>
      </c>
      <c r="AD136" s="9">
        <f>2*AB136/Inputs!$C$21*1000000</f>
        <v>5.6138857835800815</v>
      </c>
      <c r="AE136" s="9">
        <f t="shared" si="47"/>
        <v>3.7129998776451707</v>
      </c>
      <c r="AF136" s="9">
        <f>DEGREES((2*PI()/Inputs!$C$13)*Inputs!$C$15*SIN(RADIANS(AE136)))</f>
        <v>23.31314075897189</v>
      </c>
      <c r="AG136" s="9">
        <f t="shared" si="48"/>
        <v>0.991630202301931</v>
      </c>
      <c r="AH136" s="9">
        <f t="shared" si="49"/>
        <v>-3.6502542990141232E-2</v>
      </c>
      <c r="AI136" s="9">
        <f t="shared" si="50"/>
        <v>0</v>
      </c>
      <c r="AJ136" s="9">
        <f t="shared" si="51"/>
        <v>0</v>
      </c>
      <c r="AK136" s="9">
        <f t="shared" si="52"/>
        <v>0</v>
      </c>
      <c r="AL136" s="9">
        <f>1000*(AA137-AA135)/(A137-A135)*Inputs!$C$11</f>
        <v>131.93502415037983</v>
      </c>
      <c r="AM136" s="9">
        <f>-2*AL136/Inputs!$C$13</f>
        <v>-52.774009660151933</v>
      </c>
      <c r="AN136" s="9">
        <f>-2*AL136/Inputs!$C$14</f>
        <v>-7.924025474497288</v>
      </c>
      <c r="AO136" s="9">
        <f t="shared" si="53"/>
        <v>52.774009660151933</v>
      </c>
      <c r="AP136" s="9">
        <f t="shared" si="54"/>
        <v>7.924025474497288</v>
      </c>
      <c r="AQ136" s="9">
        <f>IF(OR(Inputs!$C$27=TRUE,Inputs!$C$27="TRUE",Inputs!$C$27=1),Inputs!$C$46/Inputs!$C$12,0)</f>
        <v>0</v>
      </c>
      <c r="AR136" s="9">
        <f t="shared" si="55"/>
        <v>472.75298258166532</v>
      </c>
      <c r="AS136" s="9">
        <f t="shared" si="56"/>
        <v>472.75298258166532</v>
      </c>
    </row>
    <row r="137" spans="1:45">
      <c r="A137" s="9">
        <f>Inputs!$C$7+135*(Inputs!$C$8-Inputs!$C$7)/240</f>
        <v>7.5</v>
      </c>
      <c r="B137" s="9">
        <f>Inputs!$C$5+Inputs!$C$9*(A137/Inputs!$C$10)^2</f>
        <v>400.0625</v>
      </c>
      <c r="C137" s="9">
        <f t="shared" si="38"/>
        <v>400.0625</v>
      </c>
      <c r="D137" s="9">
        <f>SQRT(A137^2+Inputs!$C$6^2+B137^2)</f>
        <v>400.91302536366914</v>
      </c>
      <c r="E137" s="9">
        <f t="shared" si="39"/>
        <v>850.525363669135</v>
      </c>
      <c r="F137" s="9">
        <f>E137/Inputs!$C$12</f>
        <v>477.82323801636795</v>
      </c>
      <c r="G137" s="9">
        <f>2*E137/Inputs!$C$21*1000000</f>
        <v>5.6740944675074845</v>
      </c>
      <c r="H137" s="9">
        <f>SQRT(A137^2+Inputs!$C$6^2)</f>
        <v>26.100766272276374</v>
      </c>
      <c r="I137" s="9">
        <f t="shared" si="40"/>
        <v>3.7327851196426791</v>
      </c>
      <c r="J137" s="9">
        <f>DEGREES((2*PI()/Inputs!$C$13)*Inputs!$C$15*SIN(RADIANS(I137)))</f>
        <v>23.437192766426364</v>
      </c>
      <c r="K137" s="9">
        <f t="shared" si="41"/>
        <v>0.99154108159578702</v>
      </c>
      <c r="L137" s="9">
        <f t="shared" si="42"/>
        <v>-3.6892873681614674E-2</v>
      </c>
      <c r="M137" s="9">
        <f>2*(Inputs!$C$9/(Inputs!$C$10^2))*A137</f>
        <v>1.6666666666666666E-2</v>
      </c>
      <c r="N137" s="9">
        <f>M137*Inputs!$C$11</f>
        <v>6.6666666666666666E-2</v>
      </c>
      <c r="O137" s="9">
        <f>1000*((A137*Inputs!$C$11)+(B137*N137))/D137</f>
        <v>141.35443287712363</v>
      </c>
      <c r="P137" s="9">
        <f>-2*O137/Inputs!$C$13</f>
        <v>-56.541773150849451</v>
      </c>
      <c r="Q137" s="9">
        <f>-2*O137/Inputs!$C$14</f>
        <v>-8.4897557283557745</v>
      </c>
      <c r="R137" s="9">
        <f>F137-Inputs!$C$16/2</f>
        <v>462.82323801636795</v>
      </c>
      <c r="S137" s="9">
        <f>F137+Inputs!$C$16/2</f>
        <v>492.82323801636795</v>
      </c>
      <c r="T137" s="9">
        <f>F137-Inputs!$C$17/2</f>
        <v>327.82323801636795</v>
      </c>
      <c r="U137" s="9">
        <f>F137+Inputs!$C$17/2</f>
        <v>627.8232380163679</v>
      </c>
      <c r="V137" s="9">
        <f t="shared" si="43"/>
        <v>56.541773150849451</v>
      </c>
      <c r="W137" s="9">
        <f t="shared" si="44"/>
        <v>8.4897557283557745</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0</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0</v>
      </c>
      <c r="Z137" s="9">
        <f t="shared" si="45"/>
        <v>400.0625</v>
      </c>
      <c r="AA137" s="9">
        <f>SQRT(A137^2+Inputs!$C$6^2+(B137-Y137/1000)^2)</f>
        <v>400.91302536366914</v>
      </c>
      <c r="AB137" s="9">
        <f t="shared" si="46"/>
        <v>850.525363669135</v>
      </c>
      <c r="AC137" s="9">
        <f>AB137/Inputs!$C$12</f>
        <v>477.82323801636795</v>
      </c>
      <c r="AD137" s="9">
        <f>2*AB137/Inputs!$C$21*1000000</f>
        <v>5.6740944675074845</v>
      </c>
      <c r="AE137" s="9">
        <f t="shared" si="47"/>
        <v>3.7327851196426791</v>
      </c>
      <c r="AF137" s="9">
        <f>DEGREES((2*PI()/Inputs!$C$13)*Inputs!$C$15*SIN(RADIANS(AE137)))</f>
        <v>23.437192766426364</v>
      </c>
      <c r="AG137" s="9">
        <f t="shared" si="48"/>
        <v>0.99154108159578702</v>
      </c>
      <c r="AH137" s="9">
        <f t="shared" si="49"/>
        <v>-3.6892873681614674E-2</v>
      </c>
      <c r="AI137" s="9">
        <f t="shared" si="50"/>
        <v>0</v>
      </c>
      <c r="AJ137" s="9">
        <f t="shared" si="51"/>
        <v>0</v>
      </c>
      <c r="AK137" s="9">
        <f t="shared" si="52"/>
        <v>0</v>
      </c>
      <c r="AL137" s="9">
        <f>1000*(AA138-AA136)/(A138-A136)*Inputs!$C$11</f>
        <v>141.35427151290969</v>
      </c>
      <c r="AM137" s="9">
        <f>-2*AL137/Inputs!$C$13</f>
        <v>-56.541708605163876</v>
      </c>
      <c r="AN137" s="9">
        <f>-2*AL137/Inputs!$C$14</f>
        <v>-8.4897460368113933</v>
      </c>
      <c r="AO137" s="9">
        <f t="shared" si="53"/>
        <v>56.541708605163876</v>
      </c>
      <c r="AP137" s="9">
        <f t="shared" si="54"/>
        <v>8.4897460368113933</v>
      </c>
      <c r="AQ137" s="9">
        <f>IF(OR(Inputs!$C$27=TRUE,Inputs!$C$27="TRUE",Inputs!$C$27=1),Inputs!$C$46/Inputs!$C$12,0)</f>
        <v>0</v>
      </c>
      <c r="AR137" s="9">
        <f t="shared" si="55"/>
        <v>477.82323801636795</v>
      </c>
      <c r="AS137" s="9">
        <f t="shared" si="56"/>
        <v>477.82323801636795</v>
      </c>
    </row>
    <row r="138" spans="1:45">
      <c r="A138" s="9">
        <f>Inputs!$C$7+136*(Inputs!$C$8-Inputs!$C$7)/240</f>
        <v>8</v>
      </c>
      <c r="B138" s="9">
        <f>Inputs!$C$5+Inputs!$C$9*(A138/Inputs!$C$10)^2</f>
        <v>400.07111111111112</v>
      </c>
      <c r="C138" s="9">
        <f t="shared" si="38"/>
        <v>400.07111111111112</v>
      </c>
      <c r="D138" s="9">
        <f>SQRT(A138^2+Inputs!$C$6^2+B138^2)</f>
        <v>400.93128332131806</v>
      </c>
      <c r="E138" s="9">
        <f t="shared" si="39"/>
        <v>860.17221020694024</v>
      </c>
      <c r="F138" s="9">
        <f>E138/Inputs!$C$12</f>
        <v>483.24281472300015</v>
      </c>
      <c r="G138" s="9">
        <f>2*E138/Inputs!$C$21*1000000</f>
        <v>5.7384513002454529</v>
      </c>
      <c r="H138" s="9">
        <f>SQRT(A138^2+Inputs!$C$6^2)</f>
        <v>26.248809496813376</v>
      </c>
      <c r="I138" s="9">
        <f t="shared" si="40"/>
        <v>3.7538164957068103</v>
      </c>
      <c r="J138" s="9">
        <f>DEGREES((2*PI()/Inputs!$C$13)*Inputs!$C$15*SIN(RADIANS(I138)))</f>
        <v>23.56905487786457</v>
      </c>
      <c r="K138" s="9">
        <f t="shared" si="41"/>
        <v>0.99144583586232871</v>
      </c>
      <c r="L138" s="9">
        <f t="shared" si="42"/>
        <v>-3.7310069540381179E-2</v>
      </c>
      <c r="M138" s="9">
        <f>2*(Inputs!$C$9/(Inputs!$C$10^2))*A138</f>
        <v>1.7777777777777778E-2</v>
      </c>
      <c r="N138" s="9">
        <f>M138*Inputs!$C$11</f>
        <v>7.1111111111111111E-2</v>
      </c>
      <c r="O138" s="9">
        <f>1000*((A138*Inputs!$C$11)+(B138*N138))/D138</f>
        <v>150.77272278132986</v>
      </c>
      <c r="P138" s="9">
        <f>-2*O138/Inputs!$C$13</f>
        <v>-60.309089112531943</v>
      </c>
      <c r="Q138" s="9">
        <f>-2*O138/Inputs!$C$14</f>
        <v>-9.0554187856654575</v>
      </c>
      <c r="R138" s="9">
        <f>F138-Inputs!$C$16/2</f>
        <v>468.24281472300015</v>
      </c>
      <c r="S138" s="9">
        <f>F138+Inputs!$C$16/2</f>
        <v>498.24281472300015</v>
      </c>
      <c r="T138" s="9">
        <f>F138-Inputs!$C$17/2</f>
        <v>333.24281472300015</v>
      </c>
      <c r="U138" s="9">
        <f>F138+Inputs!$C$17/2</f>
        <v>633.24281472300015</v>
      </c>
      <c r="V138" s="9">
        <f t="shared" si="43"/>
        <v>60.309089112531943</v>
      </c>
      <c r="W138" s="9">
        <f t="shared" si="44"/>
        <v>9.0554187856654575</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0</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0</v>
      </c>
      <c r="Z138" s="9">
        <f t="shared" si="45"/>
        <v>400.07111111111112</v>
      </c>
      <c r="AA138" s="9">
        <f>SQRT(A138^2+Inputs!$C$6^2+(B138-Y138/1000)^2)</f>
        <v>400.93128332131806</v>
      </c>
      <c r="AB138" s="9">
        <f t="shared" si="46"/>
        <v>860.17221020694024</v>
      </c>
      <c r="AC138" s="9">
        <f>AB138/Inputs!$C$12</f>
        <v>483.24281472300015</v>
      </c>
      <c r="AD138" s="9">
        <f>2*AB138/Inputs!$C$21*1000000</f>
        <v>5.7384513002454529</v>
      </c>
      <c r="AE138" s="9">
        <f t="shared" si="47"/>
        <v>3.7538164957068103</v>
      </c>
      <c r="AF138" s="9">
        <f>DEGREES((2*PI()/Inputs!$C$13)*Inputs!$C$15*SIN(RADIANS(AE138)))</f>
        <v>23.56905487786457</v>
      </c>
      <c r="AG138" s="9">
        <f t="shared" si="48"/>
        <v>0.99144583586232871</v>
      </c>
      <c r="AH138" s="9">
        <f t="shared" si="49"/>
        <v>-3.7310069540381179E-2</v>
      </c>
      <c r="AI138" s="9">
        <f t="shared" si="50"/>
        <v>0</v>
      </c>
      <c r="AJ138" s="9">
        <f t="shared" si="51"/>
        <v>0</v>
      </c>
      <c r="AK138" s="9">
        <f t="shared" si="52"/>
        <v>0</v>
      </c>
      <c r="AL138" s="9">
        <f>1000*(AA139-AA137)/(A139-A137)*Inputs!$C$11</f>
        <v>150.772550698548</v>
      </c>
      <c r="AM138" s="9">
        <f>-2*AL138/Inputs!$C$13</f>
        <v>-60.309020279419201</v>
      </c>
      <c r="AN138" s="9">
        <f>-2*AL138/Inputs!$C$14</f>
        <v>-9.0554084503632435</v>
      </c>
      <c r="AO138" s="9">
        <f t="shared" si="53"/>
        <v>60.309020279419201</v>
      </c>
      <c r="AP138" s="9">
        <f t="shared" si="54"/>
        <v>9.0554084503632435</v>
      </c>
      <c r="AQ138" s="9">
        <f>IF(OR(Inputs!$C$27=TRUE,Inputs!$C$27="TRUE",Inputs!$C$27=1),Inputs!$C$46/Inputs!$C$12,0)</f>
        <v>0</v>
      </c>
      <c r="AR138" s="9">
        <f t="shared" si="55"/>
        <v>483.24281472300015</v>
      </c>
      <c r="AS138" s="9">
        <f t="shared" si="56"/>
        <v>483.24281472300015</v>
      </c>
    </row>
    <row r="139" spans="1:45">
      <c r="A139" s="9">
        <f>Inputs!$C$7+137*(Inputs!$C$8-Inputs!$C$7)/240</f>
        <v>8.5</v>
      </c>
      <c r="B139" s="9">
        <f>Inputs!$C$5+Inputs!$C$9*(A139/Inputs!$C$10)^2</f>
        <v>400.08027777777778</v>
      </c>
      <c r="C139" s="9">
        <f t="shared" si="38"/>
        <v>400.08027777777778</v>
      </c>
      <c r="D139" s="9">
        <f>SQRT(A139^2+Inputs!$C$6^2+B139^2)</f>
        <v>400.95071850134377</v>
      </c>
      <c r="E139" s="9">
        <f t="shared" si="39"/>
        <v>870.44072356599145</v>
      </c>
      <c r="F139" s="9">
        <f>E139/Inputs!$C$12</f>
        <v>489.01164245280415</v>
      </c>
      <c r="G139" s="9">
        <f>2*E139/Inputs!$C$21*1000000</f>
        <v>5.8069554475982947</v>
      </c>
      <c r="H139" s="9">
        <f>SQRT(A139^2+Inputs!$C$6^2)</f>
        <v>26.405491853021786</v>
      </c>
      <c r="I139" s="9">
        <f t="shared" si="40"/>
        <v>3.7760725787865743</v>
      </c>
      <c r="J139" s="9">
        <f>DEGREES((2*PI()/Inputs!$C$13)*Inputs!$C$15*SIN(RADIANS(I139)))</f>
        <v>23.708592174666432</v>
      </c>
      <c r="K139" s="9">
        <f t="shared" si="41"/>
        <v>0.99134446933954057</v>
      </c>
      <c r="L139" s="9">
        <f t="shared" si="42"/>
        <v>-3.7754119739935477E-2</v>
      </c>
      <c r="M139" s="9">
        <f>2*(Inputs!$C$9/(Inputs!$C$10^2))*A139</f>
        <v>1.8888888888888889E-2</v>
      </c>
      <c r="N139" s="9">
        <f>M139*Inputs!$C$11</f>
        <v>7.5555555555555556E-2</v>
      </c>
      <c r="O139" s="9">
        <f>1000*((A139*Inputs!$C$11)+(B139*N139))/D139</f>
        <v>160.18998019105862</v>
      </c>
      <c r="P139" s="9">
        <f>-2*O139/Inputs!$C$13</f>
        <v>-64.075992076423447</v>
      </c>
      <c r="Q139" s="9">
        <f>-2*O139/Inputs!$C$14</f>
        <v>-9.621019831294813</v>
      </c>
      <c r="R139" s="9">
        <f>F139-Inputs!$C$16/2</f>
        <v>474.01164245280415</v>
      </c>
      <c r="S139" s="9">
        <f>F139+Inputs!$C$16/2</f>
        <v>504.01164245280415</v>
      </c>
      <c r="T139" s="9">
        <f>F139-Inputs!$C$17/2</f>
        <v>339.01164245280415</v>
      </c>
      <c r="U139" s="9">
        <f>F139+Inputs!$C$17/2</f>
        <v>639.01164245280415</v>
      </c>
      <c r="V139" s="9">
        <f t="shared" si="43"/>
        <v>64.075992076423447</v>
      </c>
      <c r="W139" s="9">
        <f t="shared" si="44"/>
        <v>9.621019831294813</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0</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0</v>
      </c>
      <c r="Z139" s="9">
        <f t="shared" si="45"/>
        <v>400.08027777777778</v>
      </c>
      <c r="AA139" s="9">
        <f>SQRT(A139^2+Inputs!$C$6^2+(B139-Y139/1000)^2)</f>
        <v>400.95071850134377</v>
      </c>
      <c r="AB139" s="9">
        <f t="shared" si="46"/>
        <v>870.44072356599145</v>
      </c>
      <c r="AC139" s="9">
        <f>AB139/Inputs!$C$12</f>
        <v>489.01164245280415</v>
      </c>
      <c r="AD139" s="9">
        <f>2*AB139/Inputs!$C$21*1000000</f>
        <v>5.8069554475982947</v>
      </c>
      <c r="AE139" s="9">
        <f t="shared" si="47"/>
        <v>3.7760725787865743</v>
      </c>
      <c r="AF139" s="9">
        <f>DEGREES((2*PI()/Inputs!$C$13)*Inputs!$C$15*SIN(RADIANS(AE139)))</f>
        <v>23.708592174666432</v>
      </c>
      <c r="AG139" s="9">
        <f t="shared" si="48"/>
        <v>0.99134446933954057</v>
      </c>
      <c r="AH139" s="9">
        <f t="shared" si="49"/>
        <v>-3.7754119739935477E-2</v>
      </c>
      <c r="AI139" s="9">
        <f t="shared" si="50"/>
        <v>0</v>
      </c>
      <c r="AJ139" s="9">
        <f t="shared" si="51"/>
        <v>0</v>
      </c>
      <c r="AK139" s="9">
        <f t="shared" si="52"/>
        <v>0</v>
      </c>
      <c r="AL139" s="9">
        <f>1000*(AA140-AA138)/(A140-A138)*Inputs!$C$11</f>
        <v>160.18979739737915</v>
      </c>
      <c r="AM139" s="9">
        <f>-2*AL139/Inputs!$C$13</f>
        <v>-64.075918958951661</v>
      </c>
      <c r="AN139" s="9">
        <f>-2*AL139/Inputs!$C$14</f>
        <v>-9.6210088526954447</v>
      </c>
      <c r="AO139" s="9">
        <f t="shared" si="53"/>
        <v>64.075918958951661</v>
      </c>
      <c r="AP139" s="9">
        <f t="shared" si="54"/>
        <v>9.6210088526954447</v>
      </c>
      <c r="AQ139" s="9">
        <f>IF(OR(Inputs!$C$27=TRUE,Inputs!$C$27="TRUE",Inputs!$C$27=1),Inputs!$C$46/Inputs!$C$12,0)</f>
        <v>0</v>
      </c>
      <c r="AR139" s="9">
        <f t="shared" si="55"/>
        <v>489.01164245280415</v>
      </c>
      <c r="AS139" s="9">
        <f t="shared" si="56"/>
        <v>489.01164245280415</v>
      </c>
    </row>
    <row r="140" spans="1:45">
      <c r="A140" s="9">
        <f>Inputs!$C$7+138*(Inputs!$C$8-Inputs!$C$7)/240</f>
        <v>9</v>
      </c>
      <c r="B140" s="9">
        <f>Inputs!$C$5+Inputs!$C$9*(A140/Inputs!$C$10)^2</f>
        <v>400.09</v>
      </c>
      <c r="C140" s="9">
        <f t="shared" si="38"/>
        <v>400.09</v>
      </c>
      <c r="D140" s="9">
        <f>SQRT(A140^2+Inputs!$C$6^2+B140^2)</f>
        <v>400.97133077066741</v>
      </c>
      <c r="E140" s="9">
        <f t="shared" si="39"/>
        <v>881.33077066743226</v>
      </c>
      <c r="F140" s="9">
        <f>E140/Inputs!$C$12</f>
        <v>495.12964644237769</v>
      </c>
      <c r="G140" s="9">
        <f>2*E140/Inputs!$C$21*1000000</f>
        <v>5.8796060217594412</v>
      </c>
      <c r="H140" s="9">
        <f>SQRT(A140^2+Inputs!$C$6^2)</f>
        <v>26.570660511172846</v>
      </c>
      <c r="I140" s="9">
        <f t="shared" si="40"/>
        <v>3.7995312070651801</v>
      </c>
      <c r="J140" s="9">
        <f>DEGREES((2*PI()/Inputs!$C$13)*Inputs!$C$15*SIN(RADIANS(I140)))</f>
        <v>23.855665106124771</v>
      </c>
      <c r="K140" s="9">
        <f t="shared" si="41"/>
        <v>0.99123698653635639</v>
      </c>
      <c r="L140" s="9">
        <f t="shared" si="42"/>
        <v>-3.8225012759032041E-2</v>
      </c>
      <c r="M140" s="9">
        <f>2*(Inputs!$C$9/(Inputs!$C$10^2))*A140</f>
        <v>0.02</v>
      </c>
      <c r="N140" s="9">
        <f>M140*Inputs!$C$11</f>
        <v>0.08</v>
      </c>
      <c r="O140" s="9">
        <f>1000*((A140*Inputs!$C$11)+(B140*N140))/D140</f>
        <v>169.60614084126681</v>
      </c>
      <c r="P140" s="9">
        <f>-2*O140/Inputs!$C$13</f>
        <v>-67.842456336506729</v>
      </c>
      <c r="Q140" s="9">
        <f>-2*O140/Inputs!$C$14</f>
        <v>-10.186555005481491</v>
      </c>
      <c r="R140" s="9">
        <f>F140-Inputs!$C$16/2</f>
        <v>480.12964644237769</v>
      </c>
      <c r="S140" s="9">
        <f>F140+Inputs!$C$16/2</f>
        <v>510.12964644237769</v>
      </c>
      <c r="T140" s="9">
        <f>F140-Inputs!$C$17/2</f>
        <v>345.12964644237769</v>
      </c>
      <c r="U140" s="9">
        <f>F140+Inputs!$C$17/2</f>
        <v>645.12964644237763</v>
      </c>
      <c r="V140" s="9">
        <f t="shared" si="43"/>
        <v>67.842456336506729</v>
      </c>
      <c r="W140" s="9">
        <f t="shared" si="44"/>
        <v>10.186555005481491</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0</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0</v>
      </c>
      <c r="Z140" s="9">
        <f t="shared" si="45"/>
        <v>400.09</v>
      </c>
      <c r="AA140" s="9">
        <f>SQRT(A140^2+Inputs!$C$6^2+(B140-Y140/1000)^2)</f>
        <v>400.97133077066741</v>
      </c>
      <c r="AB140" s="9">
        <f t="shared" si="46"/>
        <v>881.33077066743226</v>
      </c>
      <c r="AC140" s="9">
        <f>AB140/Inputs!$C$12</f>
        <v>495.12964644237769</v>
      </c>
      <c r="AD140" s="9">
        <f>2*AB140/Inputs!$C$21*1000000</f>
        <v>5.8796060217594412</v>
      </c>
      <c r="AE140" s="9">
        <f t="shared" si="47"/>
        <v>3.7995312070651801</v>
      </c>
      <c r="AF140" s="9">
        <f>DEGREES((2*PI()/Inputs!$C$13)*Inputs!$C$15*SIN(RADIANS(AE140)))</f>
        <v>23.855665106124771</v>
      </c>
      <c r="AG140" s="9">
        <f t="shared" si="48"/>
        <v>0.99123698653635639</v>
      </c>
      <c r="AH140" s="9">
        <f t="shared" si="49"/>
        <v>-3.8225012759032041E-2</v>
      </c>
      <c r="AI140" s="9">
        <f t="shared" si="50"/>
        <v>0</v>
      </c>
      <c r="AJ140" s="9">
        <f t="shared" si="51"/>
        <v>0</v>
      </c>
      <c r="AK140" s="9">
        <f t="shared" si="52"/>
        <v>0</v>
      </c>
      <c r="AL140" s="9">
        <f>1000*(AA141-AA139)/(A141-A139)*Inputs!$C$11</f>
        <v>169.60594734496226</v>
      </c>
      <c r="AM140" s="9">
        <f>-2*AL140/Inputs!$C$13</f>
        <v>-67.842378937984904</v>
      </c>
      <c r="AN140" s="9">
        <f>-2*AL140/Inputs!$C$14</f>
        <v>-10.186543384081819</v>
      </c>
      <c r="AO140" s="9">
        <f t="shared" si="53"/>
        <v>67.842378937984904</v>
      </c>
      <c r="AP140" s="9">
        <f t="shared" si="54"/>
        <v>10.186543384081819</v>
      </c>
      <c r="AQ140" s="9">
        <f>IF(OR(Inputs!$C$27=TRUE,Inputs!$C$27="TRUE",Inputs!$C$27=1),Inputs!$C$46/Inputs!$C$12,0)</f>
        <v>0</v>
      </c>
      <c r="AR140" s="9">
        <f t="shared" si="55"/>
        <v>495.12964644237769</v>
      </c>
      <c r="AS140" s="9">
        <f t="shared" si="56"/>
        <v>495.12964644237769</v>
      </c>
    </row>
    <row r="141" spans="1:45">
      <c r="A141" s="9">
        <f>Inputs!$C$7+139*(Inputs!$C$8-Inputs!$C$7)/240</f>
        <v>9.5</v>
      </c>
      <c r="B141" s="9">
        <f>Inputs!$C$5+Inputs!$C$9*(A141/Inputs!$C$10)^2</f>
        <v>400.10027777777776</v>
      </c>
      <c r="C141" s="9">
        <f t="shared" si="38"/>
        <v>400.10027777777776</v>
      </c>
      <c r="D141" s="9">
        <f>SQRT(A141^2+Inputs!$C$6^2+B141^2)</f>
        <v>400.99311998818001</v>
      </c>
      <c r="E141" s="9">
        <f t="shared" si="39"/>
        <v>892.8422104022502</v>
      </c>
      <c r="F141" s="9">
        <f>E141/Inputs!$C$12</f>
        <v>501.5967474169945</v>
      </c>
      <c r="G141" s="9">
        <f>2*E141/Inputs!$C$21*1000000</f>
        <v>5.9564020813508938</v>
      </c>
      <c r="H141" s="9">
        <f>SQRT(A141^2+Inputs!$C$6^2)</f>
        <v>26.744158240632665</v>
      </c>
      <c r="I141" s="9">
        <f t="shared" si="40"/>
        <v>3.8241695756954894</v>
      </c>
      <c r="J141" s="9">
        <f>DEGREES((2*PI()/Inputs!$C$13)*Inputs!$C$15*SIN(RADIANS(I141)))</f>
        <v>24.010130066350158</v>
      </c>
      <c r="K141" s="9">
        <f t="shared" si="41"/>
        <v>0.99112339223219748</v>
      </c>
      <c r="L141" s="9">
        <f t="shared" si="42"/>
        <v>-3.8722736382387546E-2</v>
      </c>
      <c r="M141" s="9">
        <f>2*(Inputs!$C$9/(Inputs!$C$10^2))*A141</f>
        <v>2.1111111111111112E-2</v>
      </c>
      <c r="N141" s="9">
        <f>M141*Inputs!$C$11</f>
        <v>8.4444444444444447E-2</v>
      </c>
      <c r="O141" s="9">
        <f>1000*((A141*Inputs!$C$11)+(B141*N141))/D141</f>
        <v>179.02114051514994</v>
      </c>
      <c r="P141" s="9">
        <f>-2*O141/Inputs!$C$13</f>
        <v>-71.608456206059969</v>
      </c>
      <c r="Q141" s="9">
        <f>-2*O141/Inputs!$C$14</f>
        <v>-10.752020451360357</v>
      </c>
      <c r="R141" s="9">
        <f>F141-Inputs!$C$16/2</f>
        <v>486.5967474169945</v>
      </c>
      <c r="S141" s="9">
        <f>F141+Inputs!$C$16/2</f>
        <v>516.5967474169945</v>
      </c>
      <c r="T141" s="9">
        <f>F141-Inputs!$C$17/2</f>
        <v>351.5967474169945</v>
      </c>
      <c r="U141" s="9">
        <f>F141+Inputs!$C$17/2</f>
        <v>651.5967474169945</v>
      </c>
      <c r="V141" s="9">
        <f t="shared" si="43"/>
        <v>71.608456206059969</v>
      </c>
      <c r="W141" s="9">
        <f t="shared" si="44"/>
        <v>10.752020451360357</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0</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0</v>
      </c>
      <c r="Z141" s="9">
        <f t="shared" si="45"/>
        <v>400.10027777777776</v>
      </c>
      <c r="AA141" s="9">
        <f>SQRT(A141^2+Inputs!$C$6^2+(B141-Y141/1000)^2)</f>
        <v>400.99311998818001</v>
      </c>
      <c r="AB141" s="9">
        <f t="shared" si="46"/>
        <v>892.8422104022502</v>
      </c>
      <c r="AC141" s="9">
        <f>AB141/Inputs!$C$12</f>
        <v>501.5967474169945</v>
      </c>
      <c r="AD141" s="9">
        <f>2*AB141/Inputs!$C$21*1000000</f>
        <v>5.9564020813508938</v>
      </c>
      <c r="AE141" s="9">
        <f t="shared" si="47"/>
        <v>3.8241695756954894</v>
      </c>
      <c r="AF141" s="9">
        <f>DEGREES((2*PI()/Inputs!$C$13)*Inputs!$C$15*SIN(RADIANS(AE141)))</f>
        <v>24.010130066350158</v>
      </c>
      <c r="AG141" s="9">
        <f t="shared" si="48"/>
        <v>0.99112339223219748</v>
      </c>
      <c r="AH141" s="9">
        <f t="shared" si="49"/>
        <v>-3.8722736382387546E-2</v>
      </c>
      <c r="AI141" s="9">
        <f t="shared" si="50"/>
        <v>0</v>
      </c>
      <c r="AJ141" s="9">
        <f t="shared" si="51"/>
        <v>0</v>
      </c>
      <c r="AK141" s="9">
        <f t="shared" si="52"/>
        <v>0</v>
      </c>
      <c r="AL141" s="9">
        <f>1000*(AA142-AA140)/(A142-A140)*Inputs!$C$11</f>
        <v>179.02093632460492</v>
      </c>
      <c r="AM141" s="9">
        <f>-2*AL141/Inputs!$C$13</f>
        <v>-71.608374529841967</v>
      </c>
      <c r="AN141" s="9">
        <f>-2*AL141/Inputs!$C$14</f>
        <v>-10.752008187663961</v>
      </c>
      <c r="AO141" s="9">
        <f t="shared" si="53"/>
        <v>71.608374529841967</v>
      </c>
      <c r="AP141" s="9">
        <f t="shared" si="54"/>
        <v>10.752008187663961</v>
      </c>
      <c r="AQ141" s="9">
        <f>IF(OR(Inputs!$C$27=TRUE,Inputs!$C$27="TRUE",Inputs!$C$27=1),Inputs!$C$46/Inputs!$C$12,0)</f>
        <v>0</v>
      </c>
      <c r="AR141" s="9">
        <f t="shared" si="55"/>
        <v>501.5967474169945</v>
      </c>
      <c r="AS141" s="9">
        <f t="shared" si="56"/>
        <v>501.5967474169945</v>
      </c>
    </row>
    <row r="142" spans="1:45">
      <c r="A142" s="9">
        <f>Inputs!$C$7+140*(Inputs!$C$8-Inputs!$C$7)/240</f>
        <v>10</v>
      </c>
      <c r="B142" s="9">
        <f>Inputs!$C$5+Inputs!$C$9*(A142/Inputs!$C$10)^2</f>
        <v>400.11111111111109</v>
      </c>
      <c r="C142" s="9">
        <f t="shared" si="38"/>
        <v>400.11111111111109</v>
      </c>
      <c r="D142" s="9">
        <f>SQRT(A142^2+Inputs!$C$6^2+B142^2)</f>
        <v>401.01608600474856</v>
      </c>
      <c r="E142" s="9">
        <f t="shared" si="39"/>
        <v>904.97489363747263</v>
      </c>
      <c r="F142" s="9">
        <f>E142/Inputs!$C$12</f>
        <v>508.41286159408577</v>
      </c>
      <c r="G142" s="9">
        <f>2*E142/Inputs!$C$21*1000000</f>
        <v>6.0373426314645489</v>
      </c>
      <c r="H142" s="9">
        <f>SQRT(A142^2+Inputs!$C$6^2)</f>
        <v>26.92582403567252</v>
      </c>
      <c r="I142" s="9">
        <f t="shared" si="40"/>
        <v>3.8499643269735215</v>
      </c>
      <c r="J142" s="9">
        <f>DEGREES((2*PI()/Inputs!$C$13)*Inputs!$C$15*SIN(RADIANS(I142)))</f>
        <v>24.171839961370843</v>
      </c>
      <c r="K142" s="9">
        <f t="shared" si="41"/>
        <v>0.99100369147648104</v>
      </c>
      <c r="L142" s="9">
        <f t="shared" si="42"/>
        <v>-3.9247277701435809E-2</v>
      </c>
      <c r="M142" s="9">
        <f>2*(Inputs!$C$9/(Inputs!$C$10^2))*A142</f>
        <v>2.2222222222222223E-2</v>
      </c>
      <c r="N142" s="9">
        <f>M142*Inputs!$C$11</f>
        <v>8.8888888888888892E-2</v>
      </c>
      <c r="O142" s="9">
        <f>1000*((A142*Inputs!$C$11)+(B142*N142))/D142</f>
        <v>188.43491504695058</v>
      </c>
      <c r="P142" s="9">
        <f>-2*O142/Inputs!$C$13</f>
        <v>-75.373966018780237</v>
      </c>
      <c r="Q142" s="9">
        <f>-2*O142/Inputs!$C$14</f>
        <v>-11.317412315132168</v>
      </c>
      <c r="R142" s="9">
        <f>F142-Inputs!$C$16/2</f>
        <v>493.41286159408577</v>
      </c>
      <c r="S142" s="9">
        <f>F142+Inputs!$C$16/2</f>
        <v>523.41286159408583</v>
      </c>
      <c r="T142" s="9">
        <f>F142-Inputs!$C$17/2</f>
        <v>358.41286159408577</v>
      </c>
      <c r="U142" s="9">
        <f>F142+Inputs!$C$17/2</f>
        <v>658.41286159408583</v>
      </c>
      <c r="V142" s="9">
        <f t="shared" si="43"/>
        <v>75.373966018780237</v>
      </c>
      <c r="W142" s="9">
        <f t="shared" si="44"/>
        <v>11.317412315132168</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0</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0</v>
      </c>
      <c r="Z142" s="9">
        <f t="shared" si="45"/>
        <v>400.11111111111109</v>
      </c>
      <c r="AA142" s="9">
        <f>SQRT(A142^2+Inputs!$C$6^2+(B142-Y142/1000)^2)</f>
        <v>401.01608600474856</v>
      </c>
      <c r="AB142" s="9">
        <f t="shared" si="46"/>
        <v>904.97489363747263</v>
      </c>
      <c r="AC142" s="9">
        <f>AB142/Inputs!$C$12</f>
        <v>508.41286159408577</v>
      </c>
      <c r="AD142" s="9">
        <f>2*AB142/Inputs!$C$21*1000000</f>
        <v>6.0373426314645489</v>
      </c>
      <c r="AE142" s="9">
        <f t="shared" si="47"/>
        <v>3.8499643269735215</v>
      </c>
      <c r="AF142" s="9">
        <f>DEGREES((2*PI()/Inputs!$C$13)*Inputs!$C$15*SIN(RADIANS(AE142)))</f>
        <v>24.171839961370843</v>
      </c>
      <c r="AG142" s="9">
        <f t="shared" si="48"/>
        <v>0.99100369147648104</v>
      </c>
      <c r="AH142" s="9">
        <f t="shared" si="49"/>
        <v>-3.9247277701435809E-2</v>
      </c>
      <c r="AI142" s="9">
        <f t="shared" si="50"/>
        <v>0</v>
      </c>
      <c r="AJ142" s="9">
        <f t="shared" si="51"/>
        <v>0</v>
      </c>
      <c r="AK142" s="9">
        <f t="shared" si="52"/>
        <v>0</v>
      </c>
      <c r="AL142" s="9">
        <f>1000*(AA143-AA141)/(A143-A141)*Inputs!$C$11</f>
        <v>188.43470017100117</v>
      </c>
      <c r="AM142" s="9">
        <f>-2*AL142/Inputs!$C$13</f>
        <v>-75.373880068400467</v>
      </c>
      <c r="AN142" s="9">
        <f>-2*AL142/Inputs!$C$14</f>
        <v>-11.317399409669742</v>
      </c>
      <c r="AO142" s="9">
        <f t="shared" si="53"/>
        <v>75.373880068400467</v>
      </c>
      <c r="AP142" s="9">
        <f t="shared" si="54"/>
        <v>11.317399409669742</v>
      </c>
      <c r="AQ142" s="9">
        <f>IF(OR(Inputs!$C$27=TRUE,Inputs!$C$27="TRUE",Inputs!$C$27=1),Inputs!$C$46/Inputs!$C$12,0)</f>
        <v>0</v>
      </c>
      <c r="AR142" s="9">
        <f t="shared" si="55"/>
        <v>508.41286159408577</v>
      </c>
      <c r="AS142" s="9">
        <f t="shared" si="56"/>
        <v>508.41286159408577</v>
      </c>
    </row>
    <row r="143" spans="1:45">
      <c r="A143" s="9">
        <f>Inputs!$C$7+141*(Inputs!$C$8-Inputs!$C$7)/240</f>
        <v>10.5</v>
      </c>
      <c r="B143" s="9">
        <f>Inputs!$C$5+Inputs!$C$9*(A143/Inputs!$C$10)^2</f>
        <v>400.1225</v>
      </c>
      <c r="C143" s="9">
        <f t="shared" si="38"/>
        <v>400.1225</v>
      </c>
      <c r="D143" s="9">
        <f>SQRT(A143^2+Inputs!$C$6^2+B143^2)</f>
        <v>401.04022866322276</v>
      </c>
      <c r="E143" s="9">
        <f t="shared" si="39"/>
        <v>917.72866322276059</v>
      </c>
      <c r="F143" s="9">
        <f>E143/Inputs!$C$12</f>
        <v>515.57790068694419</v>
      </c>
      <c r="G143" s="9">
        <f>2*E143/Inputs!$C$21*1000000</f>
        <v>6.1224266237061951</v>
      </c>
      <c r="H143" s="9">
        <f>SQRT(A143^2+Inputs!$C$6^2)</f>
        <v>27.115493725912497</v>
      </c>
      <c r="I143" s="9">
        <f t="shared" si="40"/>
        <v>3.8768916383114718</v>
      </c>
      <c r="J143" s="9">
        <f>DEGREES((2*PI()/Inputs!$C$13)*Inputs!$C$15*SIN(RADIANS(I143)))</f>
        <v>24.340644762413291</v>
      </c>
      <c r="K143" s="9">
        <f t="shared" si="41"/>
        <v>0.99087788958810696</v>
      </c>
      <c r="L143" s="9">
        <f t="shared" si="42"/>
        <v>-3.9798623115099747E-2</v>
      </c>
      <c r="M143" s="9">
        <f>2*(Inputs!$C$9/(Inputs!$C$10^2))*A143</f>
        <v>2.3333333333333334E-2</v>
      </c>
      <c r="N143" s="9">
        <f>M143*Inputs!$C$11</f>
        <v>9.3333333333333338E-2</v>
      </c>
      <c r="O143" s="9">
        <f>1000*((A143*Inputs!$C$11)+(B143*N143))/D143</f>
        <v>197.84740032476188</v>
      </c>
      <c r="P143" s="9">
        <f>-2*O143/Inputs!$C$13</f>
        <v>-79.138960129904746</v>
      </c>
      <c r="Q143" s="9">
        <f>-2*O143/Inputs!$C$14</f>
        <v>-11.882726746231945</v>
      </c>
      <c r="R143" s="9">
        <f>F143-Inputs!$C$16/2</f>
        <v>500.57790068694419</v>
      </c>
      <c r="S143" s="9">
        <f>F143+Inputs!$C$16/2</f>
        <v>530.57790068694419</v>
      </c>
      <c r="T143" s="9">
        <f>F143-Inputs!$C$17/2</f>
        <v>365.57790068694419</v>
      </c>
      <c r="U143" s="9">
        <f>F143+Inputs!$C$17/2</f>
        <v>665.57790068694419</v>
      </c>
      <c r="V143" s="9">
        <f t="shared" si="43"/>
        <v>79.138960129904746</v>
      </c>
      <c r="W143" s="9">
        <f t="shared" si="44"/>
        <v>11.882726746231945</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0</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0</v>
      </c>
      <c r="Z143" s="9">
        <f t="shared" si="45"/>
        <v>400.1225</v>
      </c>
      <c r="AA143" s="9">
        <f>SQRT(A143^2+Inputs!$C$6^2+(B143-Y143/1000)^2)</f>
        <v>401.04022866322276</v>
      </c>
      <c r="AB143" s="9">
        <f t="shared" si="46"/>
        <v>917.72866322276059</v>
      </c>
      <c r="AC143" s="9">
        <f>AB143/Inputs!$C$12</f>
        <v>515.57790068694419</v>
      </c>
      <c r="AD143" s="9">
        <f>2*AB143/Inputs!$C$21*1000000</f>
        <v>6.1224266237061951</v>
      </c>
      <c r="AE143" s="9">
        <f t="shared" si="47"/>
        <v>3.8768916383114718</v>
      </c>
      <c r="AF143" s="9">
        <f>DEGREES((2*PI()/Inputs!$C$13)*Inputs!$C$15*SIN(RADIANS(AE143)))</f>
        <v>24.340644762413291</v>
      </c>
      <c r="AG143" s="9">
        <f t="shared" si="48"/>
        <v>0.99087788958810696</v>
      </c>
      <c r="AH143" s="9">
        <f t="shared" si="49"/>
        <v>-3.9798623115099747E-2</v>
      </c>
      <c r="AI143" s="9">
        <f t="shared" si="50"/>
        <v>0</v>
      </c>
      <c r="AJ143" s="9">
        <f t="shared" si="51"/>
        <v>0</v>
      </c>
      <c r="AK143" s="9">
        <f t="shared" si="52"/>
        <v>0</v>
      </c>
      <c r="AL143" s="9">
        <f>1000*(AA144-AA142)/(A144-A142)*Inputs!$C$11</f>
        <v>197.84717477295999</v>
      </c>
      <c r="AM143" s="9">
        <f>-2*AL143/Inputs!$C$13</f>
        <v>-79.138869909183995</v>
      </c>
      <c r="AN143" s="9">
        <f>-2*AL143/Inputs!$C$14</f>
        <v>-11.882713199577177</v>
      </c>
      <c r="AO143" s="9">
        <f t="shared" si="53"/>
        <v>79.138869909183995</v>
      </c>
      <c r="AP143" s="9">
        <f t="shared" si="54"/>
        <v>11.882713199577177</v>
      </c>
      <c r="AQ143" s="9">
        <f>IF(OR(Inputs!$C$27=TRUE,Inputs!$C$27="TRUE",Inputs!$C$27=1),Inputs!$C$46/Inputs!$C$12,0)</f>
        <v>0</v>
      </c>
      <c r="AR143" s="9">
        <f t="shared" si="55"/>
        <v>515.57790068694419</v>
      </c>
      <c r="AS143" s="9">
        <f t="shared" si="56"/>
        <v>515.57790068694419</v>
      </c>
    </row>
    <row r="144" spans="1:45">
      <c r="A144" s="9">
        <f>Inputs!$C$7+142*(Inputs!$C$8-Inputs!$C$7)/240</f>
        <v>11</v>
      </c>
      <c r="B144" s="9">
        <f>Inputs!$C$5+Inputs!$C$9*(A144/Inputs!$C$10)^2</f>
        <v>400.13444444444445</v>
      </c>
      <c r="C144" s="9">
        <f t="shared" si="38"/>
        <v>400.13444444444445</v>
      </c>
      <c r="D144" s="9">
        <f>SQRT(A144^2+Inputs!$C$6^2+B144^2)</f>
        <v>401.0655477984418</v>
      </c>
      <c r="E144" s="9">
        <f t="shared" si="39"/>
        <v>931.10335399734367</v>
      </c>
      <c r="F144" s="9">
        <f>E144/Inputs!$C$12</f>
        <v>523.09177190861999</v>
      </c>
      <c r="G144" s="9">
        <f>2*E144/Inputs!$C$21*1000000</f>
        <v>6.2116529562417719</v>
      </c>
      <c r="H144" s="9">
        <f>SQRT(A144^2+Inputs!$C$6^2)</f>
        <v>27.313000567495326</v>
      </c>
      <c r="I144" s="9">
        <f t="shared" si="40"/>
        <v>3.9049273074484554</v>
      </c>
      <c r="J144" s="9">
        <f>DEGREES((2*PI()/Inputs!$C$13)*Inputs!$C$15*SIN(RADIANS(I144)))</f>
        <v>24.516392041831022</v>
      </c>
      <c r="K144" s="9">
        <f t="shared" si="41"/>
        <v>0.99074599215491155</v>
      </c>
      <c r="L144" s="9">
        <f t="shared" si="42"/>
        <v>-4.0376758330629939E-2</v>
      </c>
      <c r="M144" s="9">
        <f>2*(Inputs!$C$9/(Inputs!$C$10^2))*A144</f>
        <v>2.4444444444444446E-2</v>
      </c>
      <c r="N144" s="9">
        <f>M144*Inputs!$C$11</f>
        <v>9.7777777777777783E-2</v>
      </c>
      <c r="O144" s="9">
        <f>1000*((A144*Inputs!$C$11)+(B144*N144))/D144</f>
        <v>207.25853229332512</v>
      </c>
      <c r="P144" s="9">
        <f>-2*O144/Inputs!$C$13</f>
        <v>-82.903412917330044</v>
      </c>
      <c r="Q144" s="9">
        <f>-2*O144/Inputs!$C$14</f>
        <v>-12.447959897497006</v>
      </c>
      <c r="R144" s="9">
        <f>F144-Inputs!$C$16/2</f>
        <v>508.09177190861999</v>
      </c>
      <c r="S144" s="9">
        <f>F144+Inputs!$C$16/2</f>
        <v>538.09177190861999</v>
      </c>
      <c r="T144" s="9">
        <f>F144-Inputs!$C$17/2</f>
        <v>373.09177190861999</v>
      </c>
      <c r="U144" s="9">
        <f>F144+Inputs!$C$17/2</f>
        <v>673.09177190861999</v>
      </c>
      <c r="V144" s="9">
        <f t="shared" si="43"/>
        <v>82.903412917330044</v>
      </c>
      <c r="W144" s="9">
        <f t="shared" si="44"/>
        <v>12.447959897497006</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0</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0</v>
      </c>
      <c r="Z144" s="9">
        <f t="shared" si="45"/>
        <v>400.13444444444445</v>
      </c>
      <c r="AA144" s="9">
        <f>SQRT(A144^2+Inputs!$C$6^2+(B144-Y144/1000)^2)</f>
        <v>401.0655477984418</v>
      </c>
      <c r="AB144" s="9">
        <f t="shared" si="46"/>
        <v>931.10335399734367</v>
      </c>
      <c r="AC144" s="9">
        <f>AB144/Inputs!$C$12</f>
        <v>523.09177190861999</v>
      </c>
      <c r="AD144" s="9">
        <f>2*AB144/Inputs!$C$21*1000000</f>
        <v>6.2116529562417719</v>
      </c>
      <c r="AE144" s="9">
        <f t="shared" si="47"/>
        <v>3.9049273074484554</v>
      </c>
      <c r="AF144" s="9">
        <f>DEGREES((2*PI()/Inputs!$C$13)*Inputs!$C$15*SIN(RADIANS(AE144)))</f>
        <v>24.516392041831022</v>
      </c>
      <c r="AG144" s="9">
        <f t="shared" si="48"/>
        <v>0.99074599215491155</v>
      </c>
      <c r="AH144" s="9">
        <f t="shared" si="49"/>
        <v>-4.0376758330629939E-2</v>
      </c>
      <c r="AI144" s="9">
        <f t="shared" si="50"/>
        <v>0</v>
      </c>
      <c r="AJ144" s="9">
        <f t="shared" si="51"/>
        <v>0</v>
      </c>
      <c r="AK144" s="9">
        <f t="shared" si="52"/>
        <v>0</v>
      </c>
      <c r="AL144" s="9">
        <f>1000*(AA145-AA143)/(A145-A143)*Inputs!$C$11</f>
        <v>207.25829607545165</v>
      </c>
      <c r="AM144" s="9">
        <f>-2*AL144/Inputs!$C$13</f>
        <v>-82.903318430180661</v>
      </c>
      <c r="AN144" s="9">
        <f>-2*AL144/Inputs!$C$14</f>
        <v>-12.447945710237338</v>
      </c>
      <c r="AO144" s="9">
        <f t="shared" si="53"/>
        <v>82.903318430180661</v>
      </c>
      <c r="AP144" s="9">
        <f t="shared" si="54"/>
        <v>12.447945710237338</v>
      </c>
      <c r="AQ144" s="9">
        <f>IF(OR(Inputs!$C$27=TRUE,Inputs!$C$27="TRUE",Inputs!$C$27=1),Inputs!$C$46/Inputs!$C$12,0)</f>
        <v>0</v>
      </c>
      <c r="AR144" s="9">
        <f t="shared" si="55"/>
        <v>523.09177190861999</v>
      </c>
      <c r="AS144" s="9">
        <f t="shared" si="56"/>
        <v>523.09177190861999</v>
      </c>
    </row>
    <row r="145" spans="1:45">
      <c r="A145" s="9">
        <f>Inputs!$C$7+143*(Inputs!$C$8-Inputs!$C$7)/240</f>
        <v>11.5</v>
      </c>
      <c r="B145" s="9">
        <f>Inputs!$C$5+Inputs!$C$9*(A145/Inputs!$C$10)^2</f>
        <v>400.14694444444444</v>
      </c>
      <c r="C145" s="9">
        <f t="shared" si="38"/>
        <v>400.14694444444444</v>
      </c>
      <c r="D145" s="9">
        <f>SQRT(A145^2+Inputs!$C$6^2+B145^2)</f>
        <v>401.09204323724163</v>
      </c>
      <c r="E145" s="9">
        <f t="shared" si="39"/>
        <v>945.09879279718234</v>
      </c>
      <c r="F145" s="9">
        <f>E145/Inputs!$C$12</f>
        <v>530.95437797594514</v>
      </c>
      <c r="G145" s="9">
        <f>2*E145/Inputs!$C$21*1000000</f>
        <v>6.3050204738451585</v>
      </c>
      <c r="H145" s="9">
        <f>SQRT(A145^2+Inputs!$C$6^2)</f>
        <v>27.518175811634027</v>
      </c>
      <c r="I145" s="9">
        <f t="shared" si="40"/>
        <v>3.934046834415676</v>
      </c>
      <c r="J145" s="9">
        <f>DEGREES((2*PI()/Inputs!$C$13)*Inputs!$C$15*SIN(RADIANS(I145)))</f>
        <v>24.698927488642891</v>
      </c>
      <c r="K145" s="9">
        <f t="shared" si="41"/>
        <v>0.99060800503309843</v>
      </c>
      <c r="L145" s="9">
        <f t="shared" si="42"/>
        <v>-4.0981668364466241E-2</v>
      </c>
      <c r="M145" s="9">
        <f>2*(Inputs!$C$9/(Inputs!$C$10^2))*A145</f>
        <v>2.5555555555555557E-2</v>
      </c>
      <c r="N145" s="9">
        <f>M145*Inputs!$C$11</f>
        <v>0.10222222222222223</v>
      </c>
      <c r="O145" s="9">
        <f>1000*((A145*Inputs!$C$11)+(B145*N145))/D145</f>
        <v>216.66824695682254</v>
      </c>
      <c r="P145" s="9">
        <f>-2*O145/Inputs!$C$13</f>
        <v>-86.66729878272902</v>
      </c>
      <c r="Q145" s="9">
        <f>-2*O145/Inputs!$C$14</f>
        <v>-13.013107925334689</v>
      </c>
      <c r="R145" s="9">
        <f>F145-Inputs!$C$16/2</f>
        <v>515.95437797594514</v>
      </c>
      <c r="S145" s="9">
        <f>F145+Inputs!$C$16/2</f>
        <v>545.95437797594514</v>
      </c>
      <c r="T145" s="9">
        <f>F145-Inputs!$C$17/2</f>
        <v>380.95437797594514</v>
      </c>
      <c r="U145" s="9">
        <f>F145+Inputs!$C$17/2</f>
        <v>680.95437797594514</v>
      </c>
      <c r="V145" s="9">
        <f t="shared" si="43"/>
        <v>86.66729878272902</v>
      </c>
      <c r="W145" s="9">
        <f t="shared" si="44"/>
        <v>13.013107925334689</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0</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0</v>
      </c>
      <c r="Z145" s="9">
        <f t="shared" si="45"/>
        <v>400.14694444444444</v>
      </c>
      <c r="AA145" s="9">
        <f>SQRT(A145^2+Inputs!$C$6^2+(B145-Y145/1000)^2)</f>
        <v>401.09204323724163</v>
      </c>
      <c r="AB145" s="9">
        <f t="shared" si="46"/>
        <v>945.09879279718234</v>
      </c>
      <c r="AC145" s="9">
        <f>AB145/Inputs!$C$12</f>
        <v>530.95437797594514</v>
      </c>
      <c r="AD145" s="9">
        <f>2*AB145/Inputs!$C$21*1000000</f>
        <v>6.3050204738451585</v>
      </c>
      <c r="AE145" s="9">
        <f t="shared" si="47"/>
        <v>3.934046834415676</v>
      </c>
      <c r="AF145" s="9">
        <f>DEGREES((2*PI()/Inputs!$C$13)*Inputs!$C$15*SIN(RADIANS(AE145)))</f>
        <v>24.698927488642891</v>
      </c>
      <c r="AG145" s="9">
        <f t="shared" si="48"/>
        <v>0.99060800503309843</v>
      </c>
      <c r="AH145" s="9">
        <f t="shared" si="49"/>
        <v>-4.0981668364466241E-2</v>
      </c>
      <c r="AI145" s="9">
        <f t="shared" si="50"/>
        <v>0</v>
      </c>
      <c r="AJ145" s="9">
        <f t="shared" si="51"/>
        <v>0</v>
      </c>
      <c r="AK145" s="9">
        <f t="shared" si="52"/>
        <v>0</v>
      </c>
      <c r="AL145" s="9">
        <f>1000*(AA146-AA144)/(A146-A144)*Inputs!$C$11</f>
        <v>216.66800008347309</v>
      </c>
      <c r="AM145" s="9">
        <f>-2*AL145/Inputs!$C$13</f>
        <v>-86.667200033389236</v>
      </c>
      <c r="AN145" s="9">
        <f>-2*AL145/Inputs!$C$14</f>
        <v>-13.013093098106493</v>
      </c>
      <c r="AO145" s="9">
        <f t="shared" si="53"/>
        <v>86.667200033389236</v>
      </c>
      <c r="AP145" s="9">
        <f t="shared" si="54"/>
        <v>13.013093098106493</v>
      </c>
      <c r="AQ145" s="9">
        <f>IF(OR(Inputs!$C$27=TRUE,Inputs!$C$27="TRUE",Inputs!$C$27=1),Inputs!$C$46/Inputs!$C$12,0)</f>
        <v>0</v>
      </c>
      <c r="AR145" s="9">
        <f t="shared" si="55"/>
        <v>530.95437797594514</v>
      </c>
      <c r="AS145" s="9">
        <f t="shared" si="56"/>
        <v>530.95437797594514</v>
      </c>
    </row>
    <row r="146" spans="1:45">
      <c r="A146" s="9">
        <f>Inputs!$C$7+144*(Inputs!$C$8-Inputs!$C$7)/240</f>
        <v>12</v>
      </c>
      <c r="B146" s="9">
        <f>Inputs!$C$5+Inputs!$C$9*(A146/Inputs!$C$10)^2</f>
        <v>400.16</v>
      </c>
      <c r="C146" s="9">
        <f t="shared" si="38"/>
        <v>400.16</v>
      </c>
      <c r="D146" s="9">
        <f>SQRT(A146^2+Inputs!$C$6^2+B146^2)</f>
        <v>401.11971479846267</v>
      </c>
      <c r="E146" s="9">
        <f t="shared" si="39"/>
        <v>959.71479846264174</v>
      </c>
      <c r="F146" s="9">
        <f>E146/Inputs!$C$12</f>
        <v>539.16561711384361</v>
      </c>
      <c r="G146" s="9">
        <f>2*E146/Inputs!$C$21*1000000</f>
        <v>6.4025279679493581</v>
      </c>
      <c r="H146" s="9">
        <f>SQRT(A146^2+Inputs!$C$6^2)</f>
        <v>27.730849247724095</v>
      </c>
      <c r="I146" s="9">
        <f t="shared" si="40"/>
        <v>3.9642254998513842</v>
      </c>
      <c r="J146" s="9">
        <f>DEGREES((2*PI()/Inputs!$C$13)*Inputs!$C$15*SIN(RADIANS(I146)))</f>
        <v>24.888095401136177</v>
      </c>
      <c r="K146" s="9">
        <f t="shared" si="41"/>
        <v>0.9904639343466406</v>
      </c>
      <c r="L146" s="9">
        <f t="shared" si="42"/>
        <v>-4.1613337543148804E-2</v>
      </c>
      <c r="M146" s="9">
        <f>2*(Inputs!$C$9/(Inputs!$C$10^2))*A146</f>
        <v>2.6666666666666665E-2</v>
      </c>
      <c r="N146" s="9">
        <f>M146*Inputs!$C$11</f>
        <v>0.10666666666666666</v>
      </c>
      <c r="O146" s="9">
        <f>1000*((A146*Inputs!$C$11)+(B146*N146))/D146</f>
        <v>226.07648038166408</v>
      </c>
      <c r="P146" s="9">
        <f>-2*O146/Inputs!$C$13</f>
        <v>-90.430592152665639</v>
      </c>
      <c r="Q146" s="9">
        <f>-2*O146/Inputs!$C$14</f>
        <v>-13.578166989889736</v>
      </c>
      <c r="R146" s="9">
        <f>F146-Inputs!$C$16/2</f>
        <v>524.16561711384361</v>
      </c>
      <c r="S146" s="9">
        <f>F146+Inputs!$C$16/2</f>
        <v>554.16561711384361</v>
      </c>
      <c r="T146" s="9">
        <f>F146-Inputs!$C$17/2</f>
        <v>389.16561711384361</v>
      </c>
      <c r="U146" s="9">
        <f>F146+Inputs!$C$17/2</f>
        <v>689.16561711384361</v>
      </c>
      <c r="V146" s="9">
        <f t="shared" si="43"/>
        <v>90.430592152665639</v>
      </c>
      <c r="W146" s="9">
        <f t="shared" si="44"/>
        <v>13.578166989889736</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0</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0</v>
      </c>
      <c r="Z146" s="9">
        <f t="shared" si="45"/>
        <v>400.16</v>
      </c>
      <c r="AA146" s="9">
        <f>SQRT(A146^2+Inputs!$C$6^2+(B146-Y146/1000)^2)</f>
        <v>401.11971479846267</v>
      </c>
      <c r="AB146" s="9">
        <f t="shared" si="46"/>
        <v>959.71479846264174</v>
      </c>
      <c r="AC146" s="9">
        <f>AB146/Inputs!$C$12</f>
        <v>539.16561711384361</v>
      </c>
      <c r="AD146" s="9">
        <f>2*AB146/Inputs!$C$21*1000000</f>
        <v>6.4025279679493581</v>
      </c>
      <c r="AE146" s="9">
        <f t="shared" si="47"/>
        <v>3.9642254998513842</v>
      </c>
      <c r="AF146" s="9">
        <f>DEGREES((2*PI()/Inputs!$C$13)*Inputs!$C$15*SIN(RADIANS(AE146)))</f>
        <v>24.888095401136177</v>
      </c>
      <c r="AG146" s="9">
        <f t="shared" si="48"/>
        <v>0.9904639343466406</v>
      </c>
      <c r="AH146" s="9">
        <f t="shared" si="49"/>
        <v>-4.1613337543148804E-2</v>
      </c>
      <c r="AI146" s="9">
        <f t="shared" si="50"/>
        <v>0</v>
      </c>
      <c r="AJ146" s="9">
        <f t="shared" si="51"/>
        <v>0</v>
      </c>
      <c r="AK146" s="9">
        <f t="shared" si="52"/>
        <v>0</v>
      </c>
      <c r="AL146" s="9">
        <f>1000*(AA147-AA145)/(A147-A145)*Inputs!$C$11</f>
        <v>226.07622286341211</v>
      </c>
      <c r="AM146" s="9">
        <f>-2*AL146/Inputs!$C$13</f>
        <v>-90.430489145364845</v>
      </c>
      <c r="AN146" s="9">
        <f>-2*AL146/Inputs!$C$14</f>
        <v>-13.578151523328057</v>
      </c>
      <c r="AO146" s="9">
        <f t="shared" si="53"/>
        <v>90.430489145364845</v>
      </c>
      <c r="AP146" s="9">
        <f t="shared" si="54"/>
        <v>13.578151523328057</v>
      </c>
      <c r="AQ146" s="9">
        <f>IF(OR(Inputs!$C$27=TRUE,Inputs!$C$27="TRUE",Inputs!$C$27=1),Inputs!$C$46/Inputs!$C$12,0)</f>
        <v>0</v>
      </c>
      <c r="AR146" s="9">
        <f t="shared" si="55"/>
        <v>539.16561711384361</v>
      </c>
      <c r="AS146" s="9">
        <f t="shared" si="56"/>
        <v>539.16561711384361</v>
      </c>
    </row>
    <row r="147" spans="1:45">
      <c r="A147" s="9">
        <f>Inputs!$C$7+145*(Inputs!$C$8-Inputs!$C$7)/240</f>
        <v>12.5</v>
      </c>
      <c r="B147" s="9">
        <f>Inputs!$C$5+Inputs!$C$9*(A147/Inputs!$C$10)^2</f>
        <v>400.17361111111109</v>
      </c>
      <c r="C147" s="9">
        <f t="shared" si="38"/>
        <v>400.17361111111109</v>
      </c>
      <c r="D147" s="9">
        <f>SQRT(A147^2+Inputs!$C$6^2+B147^2)</f>
        <v>401.14856229295748</v>
      </c>
      <c r="E147" s="9">
        <f t="shared" si="39"/>
        <v>974.95118184639296</v>
      </c>
      <c r="F147" s="9">
        <f>E147/Inputs!$C$12</f>
        <v>547.72538305977127</v>
      </c>
      <c r="G147" s="9">
        <f>2*E147/Inputs!$C$21*1000000</f>
        <v>6.5041741766992214</v>
      </c>
      <c r="H147" s="9">
        <f>SQRT(A147^2+Inputs!$C$6^2)</f>
        <v>27.950849718747371</v>
      </c>
      <c r="I147" s="9">
        <f t="shared" si="40"/>
        <v>3.9954384393380811</v>
      </c>
      <c r="J147" s="9">
        <f>DEGREES((2*PI()/Inputs!$C$13)*Inputs!$C$15*SIN(RADIANS(I147)))</f>
        <v>25.083739154474607</v>
      </c>
      <c r="K147" s="9">
        <f t="shared" si="41"/>
        <v>0.99031378648665469</v>
      </c>
      <c r="L147" s="9">
        <f t="shared" si="42"/>
        <v>-4.2271749504274099E-2</v>
      </c>
      <c r="M147" s="9">
        <f>2*(Inputs!$C$9/(Inputs!$C$10^2))*A147</f>
        <v>2.7777777777777776E-2</v>
      </c>
      <c r="N147" s="9">
        <f>M147*Inputs!$C$11</f>
        <v>0.1111111111111111</v>
      </c>
      <c r="O147" s="9">
        <f>1000*((A147*Inputs!$C$11)+(B147*N147))/D147</f>
        <v>235.48316869926774</v>
      </c>
      <c r="P147" s="9">
        <f>-2*O147/Inputs!$C$13</f>
        <v>-94.193267479707089</v>
      </c>
      <c r="Q147" s="9">
        <f>-2*O147/Inputs!$C$14</f>
        <v>-14.143133255211277</v>
      </c>
      <c r="R147" s="9">
        <f>F147-Inputs!$C$16/2</f>
        <v>532.72538305977127</v>
      </c>
      <c r="S147" s="9">
        <f>F147+Inputs!$C$16/2</f>
        <v>562.72538305977127</v>
      </c>
      <c r="T147" s="9">
        <f>F147-Inputs!$C$17/2</f>
        <v>397.72538305977127</v>
      </c>
      <c r="U147" s="9">
        <f>F147+Inputs!$C$17/2</f>
        <v>697.72538305977127</v>
      </c>
      <c r="V147" s="9">
        <f t="shared" si="43"/>
        <v>94.193267479707089</v>
      </c>
      <c r="W147" s="9">
        <f t="shared" si="44"/>
        <v>14.143133255211277</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0</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0</v>
      </c>
      <c r="Z147" s="9">
        <f t="shared" si="45"/>
        <v>400.17361111111109</v>
      </c>
      <c r="AA147" s="9">
        <f>SQRT(A147^2+Inputs!$C$6^2+(B147-Y147/1000)^2)</f>
        <v>401.14856229295748</v>
      </c>
      <c r="AB147" s="9">
        <f t="shared" si="46"/>
        <v>974.95118184639296</v>
      </c>
      <c r="AC147" s="9">
        <f>AB147/Inputs!$C$12</f>
        <v>547.72538305977127</v>
      </c>
      <c r="AD147" s="9">
        <f>2*AB147/Inputs!$C$21*1000000</f>
        <v>6.5041741766992214</v>
      </c>
      <c r="AE147" s="9">
        <f t="shared" si="47"/>
        <v>3.9954384393380811</v>
      </c>
      <c r="AF147" s="9">
        <f>DEGREES((2*PI()/Inputs!$C$13)*Inputs!$C$15*SIN(RADIANS(AE147)))</f>
        <v>25.083739154474607</v>
      </c>
      <c r="AG147" s="9">
        <f t="shared" si="48"/>
        <v>0.99031378648665469</v>
      </c>
      <c r="AH147" s="9">
        <f t="shared" si="49"/>
        <v>-4.2271749504274099E-2</v>
      </c>
      <c r="AI147" s="9">
        <f t="shared" si="50"/>
        <v>0</v>
      </c>
      <c r="AJ147" s="9">
        <f t="shared" si="51"/>
        <v>0</v>
      </c>
      <c r="AK147" s="9">
        <f t="shared" si="52"/>
        <v>0</v>
      </c>
      <c r="AL147" s="9">
        <f>1000*(AA148-AA146)/(A148-A146)*Inputs!$C$11</f>
        <v>235.48290054736754</v>
      </c>
      <c r="AM147" s="9">
        <f>-2*AL147/Inputs!$C$13</f>
        <v>-94.193160218947014</v>
      </c>
      <c r="AN147" s="9">
        <f>-2*AL147/Inputs!$C$14</f>
        <v>-14.143117149992046</v>
      </c>
      <c r="AO147" s="9">
        <f t="shared" si="53"/>
        <v>94.193160218947014</v>
      </c>
      <c r="AP147" s="9">
        <f t="shared" si="54"/>
        <v>14.143117149992046</v>
      </c>
      <c r="AQ147" s="9">
        <f>IF(OR(Inputs!$C$27=TRUE,Inputs!$C$27="TRUE",Inputs!$C$27=1),Inputs!$C$46/Inputs!$C$12,0)</f>
        <v>0</v>
      </c>
      <c r="AR147" s="9">
        <f t="shared" si="55"/>
        <v>547.72538305977127</v>
      </c>
      <c r="AS147" s="9">
        <f t="shared" si="56"/>
        <v>547.72538305977127</v>
      </c>
    </row>
    <row r="148" spans="1:45">
      <c r="A148" s="9">
        <f>Inputs!$C$7+146*(Inputs!$C$8-Inputs!$C$7)/240</f>
        <v>13</v>
      </c>
      <c r="B148" s="9">
        <f>Inputs!$C$5+Inputs!$C$9*(A148/Inputs!$C$10)^2</f>
        <v>400.1877777777778</v>
      </c>
      <c r="C148" s="9">
        <f t="shared" si="38"/>
        <v>400.1877777777778</v>
      </c>
      <c r="D148" s="9">
        <f>SQRT(A148^2+Inputs!$C$6^2+B148^2)</f>
        <v>401.17858552359951</v>
      </c>
      <c r="E148" s="9">
        <f t="shared" si="39"/>
        <v>990.80774582171216</v>
      </c>
      <c r="F148" s="9">
        <f>E148/Inputs!$C$12</f>
        <v>556.63356506837761</v>
      </c>
      <c r="G148" s="9">
        <f>2*E148/Inputs!$C$21*1000000</f>
        <v>6.6099577850068005</v>
      </c>
      <c r="H148" s="9">
        <f>SQRT(A148^2+Inputs!$C$6^2)</f>
        <v>28.178005607210743</v>
      </c>
      <c r="I148" s="9">
        <f t="shared" si="40"/>
        <v>4.0276607135085563</v>
      </c>
      <c r="J148" s="9">
        <f>DEGREES((2*PI()/Inputs!$C$13)*Inputs!$C$15*SIN(RADIANS(I148)))</f>
        <v>25.285701641717207</v>
      </c>
      <c r="K148" s="9">
        <f t="shared" si="41"/>
        <v>0.99015756811075084</v>
      </c>
      <c r="L148" s="9">
        <f t="shared" si="42"/>
        <v>-4.295688719748178E-2</v>
      </c>
      <c r="M148" s="9">
        <f>2*(Inputs!$C$9/(Inputs!$C$10^2))*A148</f>
        <v>2.8888888888888888E-2</v>
      </c>
      <c r="N148" s="9">
        <f>M148*Inputs!$C$11</f>
        <v>0.11555555555555555</v>
      </c>
      <c r="O148" s="9">
        <f>1000*((A148*Inputs!$C$11)+(B148*N148))/D148</f>
        <v>244.88824810883401</v>
      </c>
      <c r="P148" s="9">
        <f>-2*O148/Inputs!$C$13</f>
        <v>-97.955299243533602</v>
      </c>
      <c r="Q148" s="9">
        <f>-2*O148/Inputs!$C$14</f>
        <v>-14.708002889419461</v>
      </c>
      <c r="R148" s="9">
        <f>F148-Inputs!$C$16/2</f>
        <v>541.63356506837761</v>
      </c>
      <c r="S148" s="9">
        <f>F148+Inputs!$C$16/2</f>
        <v>571.63356506837761</v>
      </c>
      <c r="T148" s="9">
        <f>F148-Inputs!$C$17/2</f>
        <v>406.63356506837761</v>
      </c>
      <c r="U148" s="9">
        <f>F148+Inputs!$C$17/2</f>
        <v>706.63356506837761</v>
      </c>
      <c r="V148" s="9">
        <f t="shared" si="43"/>
        <v>97.955299243533602</v>
      </c>
      <c r="W148" s="9">
        <f t="shared" si="44"/>
        <v>14.708002889419461</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0</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0</v>
      </c>
      <c r="Z148" s="9">
        <f t="shared" si="45"/>
        <v>400.1877777777778</v>
      </c>
      <c r="AA148" s="9">
        <f>SQRT(A148^2+Inputs!$C$6^2+(B148-Y148/1000)^2)</f>
        <v>401.17858552359951</v>
      </c>
      <c r="AB148" s="9">
        <f t="shared" si="46"/>
        <v>990.80774582171216</v>
      </c>
      <c r="AC148" s="9">
        <f>AB148/Inputs!$C$12</f>
        <v>556.63356506837761</v>
      </c>
      <c r="AD148" s="9">
        <f>2*AB148/Inputs!$C$21*1000000</f>
        <v>6.6099577850068005</v>
      </c>
      <c r="AE148" s="9">
        <f t="shared" si="47"/>
        <v>4.0276607135085563</v>
      </c>
      <c r="AF148" s="9">
        <f>DEGREES((2*PI()/Inputs!$C$13)*Inputs!$C$15*SIN(RADIANS(AE148)))</f>
        <v>25.285701641717207</v>
      </c>
      <c r="AG148" s="9">
        <f t="shared" si="48"/>
        <v>0.99015756811075084</v>
      </c>
      <c r="AH148" s="9">
        <f t="shared" si="49"/>
        <v>-4.295688719748178E-2</v>
      </c>
      <c r="AI148" s="9">
        <f t="shared" si="50"/>
        <v>0</v>
      </c>
      <c r="AJ148" s="9">
        <f t="shared" si="51"/>
        <v>0</v>
      </c>
      <c r="AK148" s="9">
        <f t="shared" si="52"/>
        <v>0</v>
      </c>
      <c r="AL148" s="9">
        <f>1000*(AA149-AA147)/(A149-A147)*Inputs!$C$11</f>
        <v>244.88796933542289</v>
      </c>
      <c r="AM148" s="9">
        <f>-2*AL148/Inputs!$C$13</f>
        <v>-97.955187734169158</v>
      </c>
      <c r="AN148" s="9">
        <f>-2*AL148/Inputs!$C$14</f>
        <v>-14.707986146271647</v>
      </c>
      <c r="AO148" s="9">
        <f t="shared" si="53"/>
        <v>97.955187734169158</v>
      </c>
      <c r="AP148" s="9">
        <f t="shared" si="54"/>
        <v>14.707986146271647</v>
      </c>
      <c r="AQ148" s="9">
        <f>IF(OR(Inputs!$C$27=TRUE,Inputs!$C$27="TRUE",Inputs!$C$27=1),Inputs!$C$46/Inputs!$C$12,0)</f>
        <v>0</v>
      </c>
      <c r="AR148" s="9">
        <f t="shared" si="55"/>
        <v>556.63356506837761</v>
      </c>
      <c r="AS148" s="9">
        <f t="shared" si="56"/>
        <v>556.63356506837761</v>
      </c>
    </row>
    <row r="149" spans="1:45">
      <c r="A149" s="9">
        <f>Inputs!$C$7+147*(Inputs!$C$8-Inputs!$C$7)/240</f>
        <v>13.5</v>
      </c>
      <c r="B149" s="9">
        <f>Inputs!$C$5+Inputs!$C$9*(A149/Inputs!$C$10)^2</f>
        <v>400.20249999999999</v>
      </c>
      <c r="C149" s="9">
        <f t="shared" si="38"/>
        <v>400.20249999999999</v>
      </c>
      <c r="D149" s="9">
        <f>SQRT(A149^2+Inputs!$C$6^2+B149^2)</f>
        <v>401.20978428529133</v>
      </c>
      <c r="E149" s="9">
        <f t="shared" si="39"/>
        <v>1007.2842852913482</v>
      </c>
      <c r="F149" s="9">
        <f>E149/Inputs!$C$12</f>
        <v>565.89004791648767</v>
      </c>
      <c r="G149" s="9">
        <f>2*E149/Inputs!$C$21*1000000</f>
        <v>6.719877424610516</v>
      </c>
      <c r="H149" s="9">
        <f>SQRT(A149^2+Inputs!$C$6^2)</f>
        <v>28.412145290350743</v>
      </c>
      <c r="I149" s="9">
        <f t="shared" si="40"/>
        <v>4.0608673737375272</v>
      </c>
      <c r="J149" s="9">
        <f>DEGREES((2*PI()/Inputs!$C$13)*Inputs!$C$15*SIN(RADIANS(I149)))</f>
        <v>25.493825687095161</v>
      </c>
      <c r="K149" s="9">
        <f t="shared" si="41"/>
        <v>0.98999528614235099</v>
      </c>
      <c r="L149" s="9">
        <f t="shared" si="42"/>
        <v>-4.3668732885503922E-2</v>
      </c>
      <c r="M149" s="9">
        <f>2*(Inputs!$C$9/(Inputs!$C$10^2))*A149</f>
        <v>0.03</v>
      </c>
      <c r="N149" s="9">
        <f>M149*Inputs!$C$11</f>
        <v>0.12</v>
      </c>
      <c r="O149" s="9">
        <f>1000*((A149*Inputs!$C$11)+(B149*N149))/D149</f>
        <v>254.2916548801133</v>
      </c>
      <c r="P149" s="9">
        <f>-2*O149/Inputs!$C$13</f>
        <v>-101.71666195204531</v>
      </c>
      <c r="Q149" s="9">
        <f>-2*O149/Inputs!$C$14</f>
        <v>-15.27277206487167</v>
      </c>
      <c r="R149" s="9">
        <f>F149-Inputs!$C$16/2</f>
        <v>550.89004791648767</v>
      </c>
      <c r="S149" s="9">
        <f>F149+Inputs!$C$16/2</f>
        <v>580.89004791648767</v>
      </c>
      <c r="T149" s="9">
        <f>F149-Inputs!$C$17/2</f>
        <v>415.89004791648767</v>
      </c>
      <c r="U149" s="9">
        <f>F149+Inputs!$C$17/2</f>
        <v>715.89004791648767</v>
      </c>
      <c r="V149" s="9">
        <f t="shared" si="43"/>
        <v>101.71666195204531</v>
      </c>
      <c r="W149" s="9">
        <f t="shared" si="44"/>
        <v>15.27277206487167</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0</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0</v>
      </c>
      <c r="Z149" s="9">
        <f t="shared" si="45"/>
        <v>400.20249999999999</v>
      </c>
      <c r="AA149" s="9">
        <f>SQRT(A149^2+Inputs!$C$6^2+(B149-Y149/1000)^2)</f>
        <v>401.20978428529133</v>
      </c>
      <c r="AB149" s="9">
        <f t="shared" si="46"/>
        <v>1007.2842852913482</v>
      </c>
      <c r="AC149" s="9">
        <f>AB149/Inputs!$C$12</f>
        <v>565.89004791648767</v>
      </c>
      <c r="AD149" s="9">
        <f>2*AB149/Inputs!$C$21*1000000</f>
        <v>6.719877424610516</v>
      </c>
      <c r="AE149" s="9">
        <f t="shared" si="47"/>
        <v>4.0608673737375272</v>
      </c>
      <c r="AF149" s="9">
        <f>DEGREES((2*PI()/Inputs!$C$13)*Inputs!$C$15*SIN(RADIANS(AE149)))</f>
        <v>25.493825687095161</v>
      </c>
      <c r="AG149" s="9">
        <f t="shared" si="48"/>
        <v>0.98999528614235099</v>
      </c>
      <c r="AH149" s="9">
        <f t="shared" si="49"/>
        <v>-4.3668732885503922E-2</v>
      </c>
      <c r="AI149" s="9">
        <f t="shared" si="50"/>
        <v>0</v>
      </c>
      <c r="AJ149" s="9">
        <f t="shared" si="51"/>
        <v>0</v>
      </c>
      <c r="AK149" s="9">
        <f t="shared" si="52"/>
        <v>0</v>
      </c>
      <c r="AL149" s="9">
        <f>1000*(AA150-AA148)/(A150-A148)*Inputs!$C$11</f>
        <v>254.29136549723808</v>
      </c>
      <c r="AM149" s="9">
        <f>-2*AL149/Inputs!$C$13</f>
        <v>-101.71654619889523</v>
      </c>
      <c r="AN149" s="9">
        <f>-2*AL149/Inputs!$C$14</f>
        <v>-15.272754684518805</v>
      </c>
      <c r="AO149" s="9">
        <f t="shared" si="53"/>
        <v>101.71654619889523</v>
      </c>
      <c r="AP149" s="9">
        <f t="shared" si="54"/>
        <v>15.272754684518805</v>
      </c>
      <c r="AQ149" s="9">
        <f>IF(OR(Inputs!$C$27=TRUE,Inputs!$C$27="TRUE",Inputs!$C$27=1),Inputs!$C$46/Inputs!$C$12,0)</f>
        <v>0</v>
      </c>
      <c r="AR149" s="9">
        <f t="shared" si="55"/>
        <v>565.89004791648767</v>
      </c>
      <c r="AS149" s="9">
        <f t="shared" si="56"/>
        <v>565.89004791648767</v>
      </c>
    </row>
    <row r="150" spans="1:45">
      <c r="A150" s="9">
        <f>Inputs!$C$7+148*(Inputs!$C$8-Inputs!$C$7)/240</f>
        <v>14</v>
      </c>
      <c r="B150" s="9">
        <f>Inputs!$C$5+Inputs!$C$9*(A150/Inputs!$C$10)^2</f>
        <v>400.21777777777777</v>
      </c>
      <c r="C150" s="9">
        <f t="shared" si="38"/>
        <v>400.21777777777777</v>
      </c>
      <c r="D150" s="9">
        <f>SQRT(A150^2+Inputs!$C$6^2+B150^2)</f>
        <v>401.24215836497382</v>
      </c>
      <c r="E150" s="9">
        <f t="shared" si="39"/>
        <v>1024.380587196049</v>
      </c>
      <c r="F150" s="9">
        <f>E150/Inputs!$C$12</f>
        <v>575.49471190789268</v>
      </c>
      <c r="G150" s="9">
        <f>2*E150/Inputs!$C$21*1000000</f>
        <v>6.8339316741320362</v>
      </c>
      <c r="H150" s="9">
        <f>SQRT(A150^2+Inputs!$C$6^2)</f>
        <v>28.653097563788805</v>
      </c>
      <c r="I150" s="9">
        <f t="shared" si="40"/>
        <v>4.0950335233008293</v>
      </c>
      <c r="J150" s="9">
        <f>DEGREES((2*PI()/Inputs!$C$13)*Inputs!$C$15*SIN(RADIANS(I150)))</f>
        <v>25.707954430803461</v>
      </c>
      <c r="K150" s="9">
        <f t="shared" si="41"/>
        <v>0.98982694776998903</v>
      </c>
      <c r="L150" s="9">
        <f t="shared" si="42"/>
        <v>-4.4407268145218511E-2</v>
      </c>
      <c r="M150" s="9">
        <f>2*(Inputs!$C$9/(Inputs!$C$10^2))*A150</f>
        <v>3.111111111111111E-2</v>
      </c>
      <c r="N150" s="9">
        <f>M150*Inputs!$C$11</f>
        <v>0.12444444444444444</v>
      </c>
      <c r="O150" s="9">
        <f>1000*((A150*Inputs!$C$11)+(B150*N150))/D150</f>
        <v>263.69332535616689</v>
      </c>
      <c r="P150" s="9">
        <f>-2*O150/Inputs!$C$13</f>
        <v>-105.47733014246676</v>
      </c>
      <c r="Q150" s="9">
        <f>-2*O150/Inputs!$C$14</f>
        <v>-15.837436958328343</v>
      </c>
      <c r="R150" s="9">
        <f>F150-Inputs!$C$16/2</f>
        <v>560.49471190789268</v>
      </c>
      <c r="S150" s="9">
        <f>F150+Inputs!$C$16/2</f>
        <v>590.49471190789268</v>
      </c>
      <c r="T150" s="9">
        <f>F150-Inputs!$C$17/2</f>
        <v>425.49471190789268</v>
      </c>
      <c r="U150" s="9">
        <f>F150+Inputs!$C$17/2</f>
        <v>725.49471190789268</v>
      </c>
      <c r="V150" s="9">
        <f t="shared" si="43"/>
        <v>105.47733014246676</v>
      </c>
      <c r="W150" s="9">
        <f t="shared" si="44"/>
        <v>15.837436958328343</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0</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0</v>
      </c>
      <c r="Z150" s="9">
        <f t="shared" si="45"/>
        <v>400.21777777777777</v>
      </c>
      <c r="AA150" s="9">
        <f>SQRT(A150^2+Inputs!$C$6^2+(B150-Y150/1000)^2)</f>
        <v>401.24215836497382</v>
      </c>
      <c r="AB150" s="9">
        <f t="shared" si="46"/>
        <v>1024.380587196049</v>
      </c>
      <c r="AC150" s="9">
        <f>AB150/Inputs!$C$12</f>
        <v>575.49471190789268</v>
      </c>
      <c r="AD150" s="9">
        <f>2*AB150/Inputs!$C$21*1000000</f>
        <v>6.8339316741320362</v>
      </c>
      <c r="AE150" s="9">
        <f t="shared" si="47"/>
        <v>4.0950335233008293</v>
      </c>
      <c r="AF150" s="9">
        <f>DEGREES((2*PI()/Inputs!$C$13)*Inputs!$C$15*SIN(RADIANS(AE150)))</f>
        <v>25.707954430803461</v>
      </c>
      <c r="AG150" s="9">
        <f t="shared" si="48"/>
        <v>0.98982694776998903</v>
      </c>
      <c r="AH150" s="9">
        <f t="shared" si="49"/>
        <v>-4.4407268145218511E-2</v>
      </c>
      <c r="AI150" s="9">
        <f t="shared" si="50"/>
        <v>0</v>
      </c>
      <c r="AJ150" s="9">
        <f t="shared" si="51"/>
        <v>0</v>
      </c>
      <c r="AK150" s="9">
        <f t="shared" si="52"/>
        <v>0</v>
      </c>
      <c r="AL150" s="9">
        <f>1000*(AA151-AA149)/(A151-A149)*Inputs!$C$11</f>
        <v>263.69302537636941</v>
      </c>
      <c r="AM150" s="9">
        <f>-2*AL150/Inputs!$C$13</f>
        <v>-105.47721015054776</v>
      </c>
      <c r="AN150" s="9">
        <f>-2*AL150/Inputs!$C$14</f>
        <v>-15.837418941523689</v>
      </c>
      <c r="AO150" s="9">
        <f t="shared" si="53"/>
        <v>105.47721015054776</v>
      </c>
      <c r="AP150" s="9">
        <f t="shared" si="54"/>
        <v>15.837418941523689</v>
      </c>
      <c r="AQ150" s="9">
        <f>IF(OR(Inputs!$C$27=TRUE,Inputs!$C$27="TRUE",Inputs!$C$27=1),Inputs!$C$46/Inputs!$C$12,0)</f>
        <v>0</v>
      </c>
      <c r="AR150" s="9">
        <f t="shared" si="55"/>
        <v>575.49471190789268</v>
      </c>
      <c r="AS150" s="9">
        <f t="shared" si="56"/>
        <v>575.49471190789268</v>
      </c>
    </row>
    <row r="151" spans="1:45">
      <c r="A151" s="9">
        <f>Inputs!$C$7+149*(Inputs!$C$8-Inputs!$C$7)/240</f>
        <v>14.5</v>
      </c>
      <c r="B151" s="9">
        <f>Inputs!$C$5+Inputs!$C$9*(A151/Inputs!$C$10)^2</f>
        <v>400.23361111111109</v>
      </c>
      <c r="C151" s="9">
        <f t="shared" si="38"/>
        <v>400.23361111111109</v>
      </c>
      <c r="D151" s="9">
        <f>SQRT(A151^2+Inputs!$C$6^2+B151^2)</f>
        <v>401.27570754163543</v>
      </c>
      <c r="E151" s="9">
        <f t="shared" si="39"/>
        <v>1042.0964305243388</v>
      </c>
      <c r="F151" s="9">
        <f>E151/Inputs!$C$12</f>
        <v>585.44743287884194</v>
      </c>
      <c r="G151" s="9">
        <f>2*E151/Inputs!$C$21*1000000</f>
        <v>6.9521190591415003</v>
      </c>
      <c r="H151" s="9">
        <f>SQRT(A151^2+Inputs!$C$6^2)</f>
        <v>28.900692033236851</v>
      </c>
      <c r="I151" s="9">
        <f t="shared" si="40"/>
        <v>4.1301343739438137</v>
      </c>
      <c r="J151" s="9">
        <f>DEGREES((2*PI()/Inputs!$C$13)*Inputs!$C$15*SIN(RADIANS(I151)))</f>
        <v>25.927931684939452</v>
      </c>
      <c r="K151" s="9">
        <f t="shared" si="41"/>
        <v>0.98965256044657546</v>
      </c>
      <c r="L151" s="9">
        <f t="shared" si="42"/>
        <v>-4.5172473868783272E-2</v>
      </c>
      <c r="M151" s="9">
        <f>2*(Inputs!$C$9/(Inputs!$C$10^2))*A151</f>
        <v>3.2222222222222222E-2</v>
      </c>
      <c r="N151" s="9">
        <f>M151*Inputs!$C$11</f>
        <v>0.12888888888888889</v>
      </c>
      <c r="O151" s="9">
        <f>1000*((A151*Inputs!$C$11)+(B151*N151))/D151</f>
        <v>273.09319595612055</v>
      </c>
      <c r="P151" s="9">
        <f>-2*O151/Inputs!$C$13</f>
        <v>-109.23727838244822</v>
      </c>
      <c r="Q151" s="9">
        <f>-2*O151/Inputs!$C$14</f>
        <v>-16.401993751118354</v>
      </c>
      <c r="R151" s="9">
        <f>F151-Inputs!$C$16/2</f>
        <v>570.44743287884194</v>
      </c>
      <c r="S151" s="9">
        <f>F151+Inputs!$C$16/2</f>
        <v>600.44743287884194</v>
      </c>
      <c r="T151" s="9">
        <f>F151-Inputs!$C$17/2</f>
        <v>435.44743287884194</v>
      </c>
      <c r="U151" s="9">
        <f>F151+Inputs!$C$17/2</f>
        <v>735.44743287884194</v>
      </c>
      <c r="V151" s="9">
        <f t="shared" si="43"/>
        <v>109.23727838244822</v>
      </c>
      <c r="W151" s="9">
        <f t="shared" si="44"/>
        <v>16.401993751118354</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0</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0</v>
      </c>
      <c r="Z151" s="9">
        <f t="shared" si="45"/>
        <v>400.23361111111109</v>
      </c>
      <c r="AA151" s="9">
        <f>SQRT(A151^2+Inputs!$C$6^2+(B151-Y151/1000)^2)</f>
        <v>401.27570754163543</v>
      </c>
      <c r="AB151" s="9">
        <f t="shared" si="46"/>
        <v>1042.0964305243388</v>
      </c>
      <c r="AC151" s="9">
        <f>AB151/Inputs!$C$12</f>
        <v>585.44743287884194</v>
      </c>
      <c r="AD151" s="9">
        <f>2*AB151/Inputs!$C$21*1000000</f>
        <v>6.9521190591415003</v>
      </c>
      <c r="AE151" s="9">
        <f t="shared" si="47"/>
        <v>4.1301343739438137</v>
      </c>
      <c r="AF151" s="9">
        <f>DEGREES((2*PI()/Inputs!$C$13)*Inputs!$C$15*SIN(RADIANS(AE151)))</f>
        <v>25.927931684939452</v>
      </c>
      <c r="AG151" s="9">
        <f t="shared" si="48"/>
        <v>0.98965256044657546</v>
      </c>
      <c r="AH151" s="9">
        <f t="shared" si="49"/>
        <v>-4.5172473868783272E-2</v>
      </c>
      <c r="AI151" s="9">
        <f t="shared" si="50"/>
        <v>0</v>
      </c>
      <c r="AJ151" s="9">
        <f t="shared" si="51"/>
        <v>0</v>
      </c>
      <c r="AK151" s="9">
        <f t="shared" si="52"/>
        <v>0</v>
      </c>
      <c r="AL151" s="9">
        <f>1000*(AA152-AA150)/(A152-A150)*Inputs!$C$11</f>
        <v>273.09288539254339</v>
      </c>
      <c r="AM151" s="9">
        <f>-2*AL151/Inputs!$C$13</f>
        <v>-109.23715415701736</v>
      </c>
      <c r="AN151" s="9">
        <f>-2*AL151/Inputs!$C$14</f>
        <v>-16.401975098651256</v>
      </c>
      <c r="AO151" s="9">
        <f t="shared" si="53"/>
        <v>109.23715415701736</v>
      </c>
      <c r="AP151" s="9">
        <f t="shared" si="54"/>
        <v>16.401975098651256</v>
      </c>
      <c r="AQ151" s="9">
        <f>IF(OR(Inputs!$C$27=TRUE,Inputs!$C$27="TRUE",Inputs!$C$27=1),Inputs!$C$46/Inputs!$C$12,0)</f>
        <v>0</v>
      </c>
      <c r="AR151" s="9">
        <f t="shared" si="55"/>
        <v>585.44743287884194</v>
      </c>
      <c r="AS151" s="9">
        <f t="shared" si="56"/>
        <v>585.44743287884194</v>
      </c>
    </row>
    <row r="152" spans="1:45">
      <c r="A152" s="9">
        <f>Inputs!$C$7+150*(Inputs!$C$8-Inputs!$C$7)/240</f>
        <v>15</v>
      </c>
      <c r="B152" s="9">
        <f>Inputs!$C$5+Inputs!$C$9*(A152/Inputs!$C$10)^2</f>
        <v>400.25</v>
      </c>
      <c r="C152" s="9">
        <f t="shared" si="38"/>
        <v>400.25</v>
      </c>
      <c r="D152" s="9">
        <f>SQRT(A152^2+Inputs!$C$6^2+B152^2)</f>
        <v>401.31043158632195</v>
      </c>
      <c r="E152" s="9">
        <f t="shared" si="39"/>
        <v>1060.431586321954</v>
      </c>
      <c r="F152" s="9">
        <f>E152/Inputs!$C$12</f>
        <v>595.74808220334489</v>
      </c>
      <c r="G152" s="9">
        <f>2*E152/Inputs!$C$21*1000000</f>
        <v>7.0744380522204731</v>
      </c>
      <c r="H152" s="9">
        <f>SQRT(A152^2+Inputs!$C$6^2)</f>
        <v>29.154759474226502</v>
      </c>
      <c r="I152" s="9">
        <f t="shared" si="40"/>
        <v>4.1661452978542997</v>
      </c>
      <c r="J152" s="9">
        <f>DEGREES((2*PI()/Inputs!$C$13)*Inputs!$C$15*SIN(RADIANS(I152)))</f>
        <v>26.15360226055801</v>
      </c>
      <c r="K152" s="9">
        <f t="shared" si="41"/>
        <v>0.98947213188864036</v>
      </c>
      <c r="L152" s="9">
        <f t="shared" si="42"/>
        <v>-4.5964330264790368E-2</v>
      </c>
      <c r="M152" s="9">
        <f>2*(Inputs!$C$9/(Inputs!$C$10^2))*A152</f>
        <v>3.3333333333333333E-2</v>
      </c>
      <c r="N152" s="9">
        <f>M152*Inputs!$C$11</f>
        <v>0.13333333333333333</v>
      </c>
      <c r="O152" s="9">
        <f>1000*((A152*Inputs!$C$11)+(B152*N152))/D152</f>
        <v>282.49120317791062</v>
      </c>
      <c r="P152" s="9">
        <f>-2*O152/Inputs!$C$13</f>
        <v>-112.99648127116424</v>
      </c>
      <c r="Q152" s="9">
        <f>-2*O152/Inputs!$C$14</f>
        <v>-16.966438629303944</v>
      </c>
      <c r="R152" s="9">
        <f>F152-Inputs!$C$16/2</f>
        <v>580.74808220334489</v>
      </c>
      <c r="S152" s="9">
        <f>F152+Inputs!$C$16/2</f>
        <v>610.74808220334489</v>
      </c>
      <c r="T152" s="9">
        <f>F152-Inputs!$C$17/2</f>
        <v>445.74808220334489</v>
      </c>
      <c r="U152" s="9">
        <f>F152+Inputs!$C$17/2</f>
        <v>745.74808220334489</v>
      </c>
      <c r="V152" s="9">
        <f t="shared" si="43"/>
        <v>112.99648127116424</v>
      </c>
      <c r="W152" s="9">
        <f t="shared" si="44"/>
        <v>16.966438629303944</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0</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0</v>
      </c>
      <c r="Z152" s="9">
        <f t="shared" si="45"/>
        <v>400.25</v>
      </c>
      <c r="AA152" s="9">
        <f>SQRT(A152^2+Inputs!$C$6^2+(B152-Y152/1000)^2)</f>
        <v>401.31043158632195</v>
      </c>
      <c r="AB152" s="9">
        <f t="shared" si="46"/>
        <v>1060.431586321954</v>
      </c>
      <c r="AC152" s="9">
        <f>AB152/Inputs!$C$12</f>
        <v>595.74808220334489</v>
      </c>
      <c r="AD152" s="9">
        <f>2*AB152/Inputs!$C$21*1000000</f>
        <v>7.0744380522204731</v>
      </c>
      <c r="AE152" s="9">
        <f t="shared" si="47"/>
        <v>4.1661452978542997</v>
      </c>
      <c r="AF152" s="9">
        <f>DEGREES((2*PI()/Inputs!$C$13)*Inputs!$C$15*SIN(RADIANS(AE152)))</f>
        <v>26.15360226055801</v>
      </c>
      <c r="AG152" s="9">
        <f t="shared" si="48"/>
        <v>0.98947213188864036</v>
      </c>
      <c r="AH152" s="9">
        <f t="shared" si="49"/>
        <v>-4.5964330264790368E-2</v>
      </c>
      <c r="AI152" s="9">
        <f t="shared" si="50"/>
        <v>0</v>
      </c>
      <c r="AJ152" s="9">
        <f t="shared" si="51"/>
        <v>0</v>
      </c>
      <c r="AK152" s="9">
        <f t="shared" si="52"/>
        <v>0</v>
      </c>
      <c r="AL152" s="9">
        <f>1000*(AA153-AA151)/(A153-A151)*Inputs!$C$11</f>
        <v>282.49088204438522</v>
      </c>
      <c r="AM152" s="9">
        <f>-2*AL152/Inputs!$C$13</f>
        <v>-112.99635281775409</v>
      </c>
      <c r="AN152" s="9">
        <f>-2*AL152/Inputs!$C$14</f>
        <v>-16.966419342005121</v>
      </c>
      <c r="AO152" s="9">
        <f t="shared" si="53"/>
        <v>112.99635281775409</v>
      </c>
      <c r="AP152" s="9">
        <f t="shared" si="54"/>
        <v>16.966419342005121</v>
      </c>
      <c r="AQ152" s="9">
        <f>IF(OR(Inputs!$C$27=TRUE,Inputs!$C$27="TRUE",Inputs!$C$27=1),Inputs!$C$46/Inputs!$C$12,0)</f>
        <v>0</v>
      </c>
      <c r="AR152" s="9">
        <f t="shared" si="55"/>
        <v>595.74808220334489</v>
      </c>
      <c r="AS152" s="9">
        <f t="shared" si="56"/>
        <v>595.74808220334489</v>
      </c>
    </row>
    <row r="153" spans="1:45">
      <c r="A153" s="9">
        <f>Inputs!$C$7+151*(Inputs!$C$8-Inputs!$C$7)/240</f>
        <v>15.5</v>
      </c>
      <c r="B153" s="9">
        <f>Inputs!$C$5+Inputs!$C$9*(A153/Inputs!$C$10)^2</f>
        <v>400.26694444444445</v>
      </c>
      <c r="C153" s="9">
        <f t="shared" si="38"/>
        <v>400.26694444444445</v>
      </c>
      <c r="D153" s="9">
        <f>SQRT(A153^2+Inputs!$C$6^2+B153^2)</f>
        <v>401.34633026214652</v>
      </c>
      <c r="E153" s="9">
        <f t="shared" si="39"/>
        <v>1079.3858177020752</v>
      </c>
      <c r="F153" s="9">
        <f>E153/Inputs!$C$12</f>
        <v>606.39652679891867</v>
      </c>
      <c r="G153" s="9">
        <f>2*E153/Inputs!$C$21*1000000</f>
        <v>7.2008870730302039</v>
      </c>
      <c r="H153" s="9">
        <f>SQRT(A153^2+Inputs!$C$6^2)</f>
        <v>29.415132160165456</v>
      </c>
      <c r="I153" s="9">
        <f t="shared" si="40"/>
        <v>4.2030418750829472</v>
      </c>
      <c r="J153" s="9">
        <f>DEGREES((2*PI()/Inputs!$C$13)*Inputs!$C$15*SIN(RADIANS(I153)))</f>
        <v>26.384812266111606</v>
      </c>
      <c r="K153" s="9">
        <f t="shared" si="41"/>
        <v>0.98928567007554991</v>
      </c>
      <c r="L153" s="9">
        <f t="shared" si="42"/>
        <v>-4.67828168594627E-2</v>
      </c>
      <c r="M153" s="9">
        <f>2*(Inputs!$C$9/(Inputs!$C$10^2))*A153</f>
        <v>3.4444444444444444E-2</v>
      </c>
      <c r="N153" s="9">
        <f>M153*Inputs!$C$11</f>
        <v>0.13777777777777778</v>
      </c>
      <c r="O153" s="9">
        <f>1000*((A153*Inputs!$C$11)+(B153*N153))/D153</f>
        <v>291.88728360102249</v>
      </c>
      <c r="P153" s="9">
        <f>-2*O153/Inputs!$C$13</f>
        <v>-116.754913440409</v>
      </c>
      <c r="Q153" s="9">
        <f>-2*O153/Inputs!$C$14</f>
        <v>-17.530767783845196</v>
      </c>
      <c r="R153" s="9">
        <f>F153-Inputs!$C$16/2</f>
        <v>591.39652679891867</v>
      </c>
      <c r="S153" s="9">
        <f>F153+Inputs!$C$16/2</f>
        <v>621.39652679891867</v>
      </c>
      <c r="T153" s="9">
        <f>F153-Inputs!$C$17/2</f>
        <v>456.39652679891867</v>
      </c>
      <c r="U153" s="9">
        <f>F153+Inputs!$C$17/2</f>
        <v>756.39652679891867</v>
      </c>
      <c r="V153" s="9">
        <f t="shared" si="43"/>
        <v>116.754913440409</v>
      </c>
      <c r="W153" s="9">
        <f t="shared" si="44"/>
        <v>17.530767783845196</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0</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0</v>
      </c>
      <c r="Z153" s="9">
        <f t="shared" si="45"/>
        <v>400.26694444444445</v>
      </c>
      <c r="AA153" s="9">
        <f>SQRT(A153^2+Inputs!$C$6^2+(B153-Y153/1000)^2)</f>
        <v>401.34633026214652</v>
      </c>
      <c r="AB153" s="9">
        <f t="shared" si="46"/>
        <v>1079.3858177020752</v>
      </c>
      <c r="AC153" s="9">
        <f>AB153/Inputs!$C$12</f>
        <v>606.39652679891867</v>
      </c>
      <c r="AD153" s="9">
        <f>2*AB153/Inputs!$C$21*1000000</f>
        <v>7.2008870730302039</v>
      </c>
      <c r="AE153" s="9">
        <f t="shared" si="47"/>
        <v>4.2030418750829472</v>
      </c>
      <c r="AF153" s="9">
        <f>DEGREES((2*PI()/Inputs!$C$13)*Inputs!$C$15*SIN(RADIANS(AE153)))</f>
        <v>26.384812266111606</v>
      </c>
      <c r="AG153" s="9">
        <f t="shared" si="48"/>
        <v>0.98928567007554991</v>
      </c>
      <c r="AH153" s="9">
        <f t="shared" si="49"/>
        <v>-4.67828168594627E-2</v>
      </c>
      <c r="AI153" s="9">
        <f t="shared" si="50"/>
        <v>0</v>
      </c>
      <c r="AJ153" s="9">
        <f t="shared" si="51"/>
        <v>0</v>
      </c>
      <c r="AK153" s="9">
        <f t="shared" si="52"/>
        <v>0</v>
      </c>
      <c r="AL153" s="9">
        <f>1000*(AA154-AA152)/(A154-A152)*Inputs!$C$11</f>
        <v>291.8869519112377</v>
      </c>
      <c r="AM153" s="9">
        <f>-2*AL153/Inputs!$C$13</f>
        <v>-116.75478076449508</v>
      </c>
      <c r="AN153" s="9">
        <f>-2*AL153/Inputs!$C$14</f>
        <v>-17.530747862536799</v>
      </c>
      <c r="AO153" s="9">
        <f t="shared" si="53"/>
        <v>116.75478076449508</v>
      </c>
      <c r="AP153" s="9">
        <f t="shared" si="54"/>
        <v>17.530747862536799</v>
      </c>
      <c r="AQ153" s="9">
        <f>IF(OR(Inputs!$C$27=TRUE,Inputs!$C$27="TRUE",Inputs!$C$27=1),Inputs!$C$46/Inputs!$C$12,0)</f>
        <v>0</v>
      </c>
      <c r="AR153" s="9">
        <f t="shared" si="55"/>
        <v>606.39652679891867</v>
      </c>
      <c r="AS153" s="9">
        <f t="shared" si="56"/>
        <v>606.39652679891867</v>
      </c>
    </row>
    <row r="154" spans="1:45">
      <c r="A154" s="9">
        <f>Inputs!$C$7+152*(Inputs!$C$8-Inputs!$C$7)/240</f>
        <v>16</v>
      </c>
      <c r="B154" s="9">
        <f>Inputs!$C$5+Inputs!$C$9*(A154/Inputs!$C$10)^2</f>
        <v>400.28444444444443</v>
      </c>
      <c r="C154" s="9">
        <f t="shared" si="38"/>
        <v>400.28444444444443</v>
      </c>
      <c r="D154" s="9">
        <f>SQRT(A154^2+Inputs!$C$6^2+B154^2)</f>
        <v>401.38340332429976</v>
      </c>
      <c r="E154" s="9">
        <f t="shared" si="39"/>
        <v>1098.9588798553314</v>
      </c>
      <c r="F154" s="9">
        <f>E154/Inputs!$C$12</f>
        <v>617.39262913220864</v>
      </c>
      <c r="G154" s="9">
        <f>2*E154/Inputs!$C$21*1000000</f>
        <v>7.3314644883783666</v>
      </c>
      <c r="H154" s="9">
        <f>SQRT(A154^2+Inputs!$C$6^2)</f>
        <v>29.681644159311659</v>
      </c>
      <c r="I154" s="9">
        <f t="shared" si="40"/>
        <v>4.2407999364952262</v>
      </c>
      <c r="J154" s="9">
        <f>DEGREES((2*PI()/Inputs!$C$13)*Inputs!$C$15*SIN(RADIANS(I154)))</f>
        <v>26.621409377803502</v>
      </c>
      <c r="K154" s="9">
        <f t="shared" si="41"/>
        <v>0.98909318324869677</v>
      </c>
      <c r="L154" s="9">
        <f t="shared" si="42"/>
        <v>-4.7627912497891098E-2</v>
      </c>
      <c r="M154" s="9">
        <f>2*(Inputs!$C$9/(Inputs!$C$10^2))*A154</f>
        <v>3.5555555555555556E-2</v>
      </c>
      <c r="N154" s="9">
        <f>M154*Inputs!$C$11</f>
        <v>0.14222222222222222</v>
      </c>
      <c r="O154" s="9">
        <f>1000*((A154*Inputs!$C$11)+(B154*N154))/D154</f>
        <v>301.28137388922147</v>
      </c>
      <c r="P154" s="9">
        <f>-2*O154/Inputs!$C$13</f>
        <v>-120.51254955568859</v>
      </c>
      <c r="Q154" s="9">
        <f>-2*O154/Inputs!$C$14</f>
        <v>-18.094977410764052</v>
      </c>
      <c r="R154" s="9">
        <f>F154-Inputs!$C$16/2</f>
        <v>602.39262913220864</v>
      </c>
      <c r="S154" s="9">
        <f>F154+Inputs!$C$16/2</f>
        <v>632.39262913220864</v>
      </c>
      <c r="T154" s="9">
        <f>F154-Inputs!$C$17/2</f>
        <v>467.39262913220864</v>
      </c>
      <c r="U154" s="9">
        <f>F154+Inputs!$C$17/2</f>
        <v>767.39262913220864</v>
      </c>
      <c r="V154" s="9">
        <f t="shared" si="43"/>
        <v>120.51254955568859</v>
      </c>
      <c r="W154" s="9">
        <f t="shared" si="44"/>
        <v>18.094977410764052</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0</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0</v>
      </c>
      <c r="Z154" s="9">
        <f t="shared" si="45"/>
        <v>400.28444444444443</v>
      </c>
      <c r="AA154" s="9">
        <f>SQRT(A154^2+Inputs!$C$6^2+(B154-Y154/1000)^2)</f>
        <v>401.38340332429976</v>
      </c>
      <c r="AB154" s="9">
        <f t="shared" si="46"/>
        <v>1098.9588798553314</v>
      </c>
      <c r="AC154" s="9">
        <f>AB154/Inputs!$C$12</f>
        <v>617.39262913220864</v>
      </c>
      <c r="AD154" s="9">
        <f>2*AB154/Inputs!$C$21*1000000</f>
        <v>7.3314644883783666</v>
      </c>
      <c r="AE154" s="9">
        <f t="shared" si="47"/>
        <v>4.2407999364952262</v>
      </c>
      <c r="AF154" s="9">
        <f>DEGREES((2*PI()/Inputs!$C$13)*Inputs!$C$15*SIN(RADIANS(AE154)))</f>
        <v>26.621409377803502</v>
      </c>
      <c r="AG154" s="9">
        <f t="shared" si="48"/>
        <v>0.98909318324869677</v>
      </c>
      <c r="AH154" s="9">
        <f t="shared" si="49"/>
        <v>-4.7627912497891098E-2</v>
      </c>
      <c r="AI154" s="9">
        <f t="shared" si="50"/>
        <v>0</v>
      </c>
      <c r="AJ154" s="9">
        <f t="shared" si="51"/>
        <v>0</v>
      </c>
      <c r="AK154" s="9">
        <f t="shared" si="52"/>
        <v>0</v>
      </c>
      <c r="AL154" s="9">
        <f>1000*(AA155-AA153)/(A155-A153)*Inputs!$C$11</f>
        <v>301.28103165793618</v>
      </c>
      <c r="AM154" s="9">
        <f>-2*AL154/Inputs!$C$13</f>
        <v>-120.51241266317447</v>
      </c>
      <c r="AN154" s="9">
        <f>-2*AL154/Inputs!$C$14</f>
        <v>-18.094956856332505</v>
      </c>
      <c r="AO154" s="9">
        <f t="shared" si="53"/>
        <v>120.51241266317447</v>
      </c>
      <c r="AP154" s="9">
        <f t="shared" si="54"/>
        <v>18.094956856332505</v>
      </c>
      <c r="AQ154" s="9">
        <f>IF(OR(Inputs!$C$27=TRUE,Inputs!$C$27="TRUE",Inputs!$C$27=1),Inputs!$C$46/Inputs!$C$12,0)</f>
        <v>0</v>
      </c>
      <c r="AR154" s="9">
        <f t="shared" si="55"/>
        <v>617.39262913220864</v>
      </c>
      <c r="AS154" s="9">
        <f t="shared" si="56"/>
        <v>617.39262913220864</v>
      </c>
    </row>
    <row r="155" spans="1:45">
      <c r="A155" s="9">
        <f>Inputs!$C$7+153*(Inputs!$C$8-Inputs!$C$7)/240</f>
        <v>16.5</v>
      </c>
      <c r="B155" s="9">
        <f>Inputs!$C$5+Inputs!$C$9*(A155/Inputs!$C$10)^2</f>
        <v>400.30250000000001</v>
      </c>
      <c r="C155" s="9">
        <f t="shared" si="38"/>
        <v>400.30250000000001</v>
      </c>
      <c r="D155" s="9">
        <f>SQRT(A155^2+Inputs!$C$6^2+B155^2)</f>
        <v>401.42165052006101</v>
      </c>
      <c r="E155" s="9">
        <f t="shared" si="39"/>
        <v>1119.1505200609981</v>
      </c>
      <c r="F155" s="9">
        <f>E155/Inputs!$C$12</f>
        <v>628.73624722527984</v>
      </c>
      <c r="G155" s="9">
        <f>2*E155/Inputs!$C$21*1000000</f>
        <v>7.4661686122937629</v>
      </c>
      <c r="H155" s="9">
        <f>SQRT(A155^2+Inputs!$C$6^2)</f>
        <v>29.954131601500318</v>
      </c>
      <c r="I155" s="9">
        <f t="shared" si="40"/>
        <v>4.2793956023743185</v>
      </c>
      <c r="J155" s="9">
        <f>DEGREES((2*PI()/Inputs!$C$13)*Inputs!$C$15*SIN(RADIANS(I155)))</f>
        <v>26.863243082603024</v>
      </c>
      <c r="K155" s="9">
        <f t="shared" si="41"/>
        <v>0.98889467991066193</v>
      </c>
      <c r="L155" s="9">
        <f t="shared" si="42"/>
        <v>-4.849959534532397E-2</v>
      </c>
      <c r="M155" s="9">
        <f>2*(Inputs!$C$9/(Inputs!$C$10^2))*A155</f>
        <v>3.6666666666666667E-2</v>
      </c>
      <c r="N155" s="9">
        <f>M155*Inputs!$C$11</f>
        <v>0.14666666666666667</v>
      </c>
      <c r="O155" s="9">
        <f>1000*((A155*Inputs!$C$11)+(B155*N155))/D155</f>
        <v>310.67341079327491</v>
      </c>
      <c r="P155" s="9">
        <f>-2*O155/Inputs!$C$13</f>
        <v>-124.26936431730996</v>
      </c>
      <c r="Q155" s="9">
        <f>-2*O155/Inputs!$C$14</f>
        <v>-18.659063711307805</v>
      </c>
      <c r="R155" s="9">
        <f>F155-Inputs!$C$16/2</f>
        <v>613.73624722527984</v>
      </c>
      <c r="S155" s="9">
        <f>F155+Inputs!$C$16/2</f>
        <v>643.73624722527984</v>
      </c>
      <c r="T155" s="9">
        <f>F155-Inputs!$C$17/2</f>
        <v>478.73624722527984</v>
      </c>
      <c r="U155" s="9">
        <f>F155+Inputs!$C$17/2</f>
        <v>778.73624722527984</v>
      </c>
      <c r="V155" s="9">
        <f t="shared" si="43"/>
        <v>124.26936431730996</v>
      </c>
      <c r="W155" s="9">
        <f t="shared" si="44"/>
        <v>18.659063711307805</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0</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0</v>
      </c>
      <c r="Z155" s="9">
        <f t="shared" si="45"/>
        <v>400.30250000000001</v>
      </c>
      <c r="AA155" s="9">
        <f>SQRT(A155^2+Inputs!$C$6^2+(B155-Y155/1000)^2)</f>
        <v>401.42165052006101</v>
      </c>
      <c r="AB155" s="9">
        <f t="shared" si="46"/>
        <v>1119.1505200609981</v>
      </c>
      <c r="AC155" s="9">
        <f>AB155/Inputs!$C$12</f>
        <v>628.73624722527984</v>
      </c>
      <c r="AD155" s="9">
        <f>2*AB155/Inputs!$C$21*1000000</f>
        <v>7.4661686122937629</v>
      </c>
      <c r="AE155" s="9">
        <f t="shared" si="47"/>
        <v>4.2793956023743185</v>
      </c>
      <c r="AF155" s="9">
        <f>DEGREES((2*PI()/Inputs!$C$13)*Inputs!$C$15*SIN(RADIANS(AE155)))</f>
        <v>26.863243082603024</v>
      </c>
      <c r="AG155" s="9">
        <f t="shared" si="48"/>
        <v>0.98889467991066193</v>
      </c>
      <c r="AH155" s="9">
        <f t="shared" si="49"/>
        <v>-4.849959534532397E-2</v>
      </c>
      <c r="AI155" s="9">
        <f t="shared" si="50"/>
        <v>0</v>
      </c>
      <c r="AJ155" s="9">
        <f t="shared" si="51"/>
        <v>0</v>
      </c>
      <c r="AK155" s="9">
        <f t="shared" si="52"/>
        <v>0</v>
      </c>
      <c r="AL155" s="9">
        <f>1000*(AA156-AA154)/(A156-A154)*Inputs!$C$11</f>
        <v>310.67305803571799</v>
      </c>
      <c r="AM155" s="9">
        <f>-2*AL155/Inputs!$C$13</f>
        <v>-124.26922321428719</v>
      </c>
      <c r="AN155" s="9">
        <f>-2*AL155/Inputs!$C$14</f>
        <v>-18.659042524667747</v>
      </c>
      <c r="AO155" s="9">
        <f t="shared" si="53"/>
        <v>124.26922321428719</v>
      </c>
      <c r="AP155" s="9">
        <f t="shared" si="54"/>
        <v>18.659042524667747</v>
      </c>
      <c r="AQ155" s="9">
        <f>IF(OR(Inputs!$C$27=TRUE,Inputs!$C$27="TRUE",Inputs!$C$27=1),Inputs!$C$46/Inputs!$C$12,0)</f>
        <v>0</v>
      </c>
      <c r="AR155" s="9">
        <f t="shared" si="55"/>
        <v>628.73624722527984</v>
      </c>
      <c r="AS155" s="9">
        <f t="shared" si="56"/>
        <v>628.73624722527984</v>
      </c>
    </row>
    <row r="156" spans="1:45">
      <c r="A156" s="9">
        <f>Inputs!$C$7+154*(Inputs!$C$8-Inputs!$C$7)/240</f>
        <v>17</v>
      </c>
      <c r="B156" s="9">
        <f>Inputs!$C$5+Inputs!$C$9*(A156/Inputs!$C$10)^2</f>
        <v>400.32111111111112</v>
      </c>
      <c r="C156" s="9">
        <f t="shared" si="38"/>
        <v>400.32111111111112</v>
      </c>
      <c r="D156" s="9">
        <f>SQRT(A156^2+Inputs!$C$6^2+B156^2)</f>
        <v>401.46107158880869</v>
      </c>
      <c r="E156" s="9">
        <f t="shared" si="39"/>
        <v>1139.9604776975707</v>
      </c>
      <c r="F156" s="9">
        <f>E156/Inputs!$C$12</f>
        <v>640.42723466155655</v>
      </c>
      <c r="G156" s="9">
        <f>2*E156/Inputs!$C$21*1000000</f>
        <v>7.6049977060968672</v>
      </c>
      <c r="H156" s="9">
        <f>SQRT(A156^2+Inputs!$C$6^2)</f>
        <v>30.232432915661949</v>
      </c>
      <c r="I156" s="9">
        <f t="shared" si="40"/>
        <v>4.3188053168235525</v>
      </c>
      <c r="J156" s="9">
        <f>DEGREES((2*PI()/Inputs!$C$13)*Inputs!$C$15*SIN(RADIANS(I156)))</f>
        <v>27.110164894856268</v>
      </c>
      <c r="K156" s="9">
        <f t="shared" si="41"/>
        <v>0.98869016882435623</v>
      </c>
      <c r="L156" s="9">
        <f t="shared" si="42"/>
        <v>-4.9397842888472814E-2</v>
      </c>
      <c r="M156" s="9">
        <f>2*(Inputs!$C$9/(Inputs!$C$10^2))*A156</f>
        <v>3.7777777777777778E-2</v>
      </c>
      <c r="N156" s="9">
        <f>M156*Inputs!$C$11</f>
        <v>0.15111111111111111</v>
      </c>
      <c r="O156" s="9">
        <f>1000*((A156*Inputs!$C$11)+(B156*N156))/D156</f>
        <v>320.06333115366618</v>
      </c>
      <c r="P156" s="9">
        <f>-2*O156/Inputs!$C$13</f>
        <v>-128.02533246146646</v>
      </c>
      <c r="Q156" s="9">
        <f>-2*O156/Inputs!$C$14</f>
        <v>-19.223022892112084</v>
      </c>
      <c r="R156" s="9">
        <f>F156-Inputs!$C$16/2</f>
        <v>625.42723466155655</v>
      </c>
      <c r="S156" s="9">
        <f>F156+Inputs!$C$16/2</f>
        <v>655.42723466155655</v>
      </c>
      <c r="T156" s="9">
        <f>F156-Inputs!$C$17/2</f>
        <v>490.42723466155655</v>
      </c>
      <c r="U156" s="9">
        <f>F156+Inputs!$C$17/2</f>
        <v>790.42723466155655</v>
      </c>
      <c r="V156" s="9">
        <f t="shared" si="43"/>
        <v>128.02533246146646</v>
      </c>
      <c r="W156" s="9">
        <f t="shared" si="44"/>
        <v>19.223022892112084</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0</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0</v>
      </c>
      <c r="Z156" s="9">
        <f t="shared" si="45"/>
        <v>400.32111111111112</v>
      </c>
      <c r="AA156" s="9">
        <f>SQRT(A156^2+Inputs!$C$6^2+(B156-Y156/1000)^2)</f>
        <v>401.46107158880869</v>
      </c>
      <c r="AB156" s="9">
        <f t="shared" si="46"/>
        <v>1139.9604776975707</v>
      </c>
      <c r="AC156" s="9">
        <f>AB156/Inputs!$C$12</f>
        <v>640.42723466155655</v>
      </c>
      <c r="AD156" s="9">
        <f>2*AB156/Inputs!$C$21*1000000</f>
        <v>7.6049977060968672</v>
      </c>
      <c r="AE156" s="9">
        <f t="shared" si="47"/>
        <v>4.3188053168235525</v>
      </c>
      <c r="AF156" s="9">
        <f>DEGREES((2*PI()/Inputs!$C$13)*Inputs!$C$15*SIN(RADIANS(AE156)))</f>
        <v>27.110164894856268</v>
      </c>
      <c r="AG156" s="9">
        <f t="shared" si="48"/>
        <v>0.98869016882435623</v>
      </c>
      <c r="AH156" s="9">
        <f t="shared" si="49"/>
        <v>-4.9397842888472814E-2</v>
      </c>
      <c r="AI156" s="9">
        <f t="shared" si="50"/>
        <v>0</v>
      </c>
      <c r="AJ156" s="9">
        <f t="shared" si="51"/>
        <v>0</v>
      </c>
      <c r="AK156" s="9">
        <f t="shared" si="52"/>
        <v>0</v>
      </c>
      <c r="AL156" s="9">
        <f>1000*(AA157-AA155)/(A157-A155)*Inputs!$C$11</f>
        <v>320.06296788472355</v>
      </c>
      <c r="AM156" s="9">
        <f>-2*AL156/Inputs!$C$13</f>
        <v>-128.02518715388942</v>
      </c>
      <c r="AN156" s="9">
        <f>-2*AL156/Inputs!$C$14</f>
        <v>-19.223001074157573</v>
      </c>
      <c r="AO156" s="9">
        <f t="shared" si="53"/>
        <v>128.02518715388942</v>
      </c>
      <c r="AP156" s="9">
        <f t="shared" si="54"/>
        <v>19.223001074157573</v>
      </c>
      <c r="AQ156" s="9">
        <f>IF(OR(Inputs!$C$27=TRUE,Inputs!$C$27="TRUE",Inputs!$C$27=1),Inputs!$C$46/Inputs!$C$12,0)</f>
        <v>0</v>
      </c>
      <c r="AR156" s="9">
        <f t="shared" si="55"/>
        <v>640.42723466155655</v>
      </c>
      <c r="AS156" s="9">
        <f t="shared" si="56"/>
        <v>640.42723466155655</v>
      </c>
    </row>
    <row r="157" spans="1:45">
      <c r="A157" s="9">
        <f>Inputs!$C$7+155*(Inputs!$C$8-Inputs!$C$7)/240</f>
        <v>17.5</v>
      </c>
      <c r="B157" s="9">
        <f>Inputs!$C$5+Inputs!$C$9*(A157/Inputs!$C$10)^2</f>
        <v>400.34027777777777</v>
      </c>
      <c r="C157" s="9">
        <f t="shared" si="38"/>
        <v>400.34027777777777</v>
      </c>
      <c r="D157" s="9">
        <f>SQRT(A157^2+Inputs!$C$6^2+B157^2)</f>
        <v>401.50166626203219</v>
      </c>
      <c r="E157" s="9">
        <f t="shared" si="39"/>
        <v>1161.3884842544167</v>
      </c>
      <c r="F157" s="9">
        <f>E157/Inputs!$C$12</f>
        <v>652.46544059236885</v>
      </c>
      <c r="G157" s="9">
        <f>2*E157/Inputs!$C$21*1000000</f>
        <v>7.7479499784775543</v>
      </c>
      <c r="H157" s="9">
        <f>SQRT(A157^2+Inputs!$C$6^2)</f>
        <v>30.516389039334257</v>
      </c>
      <c r="I157" s="9">
        <f t="shared" si="40"/>
        <v>4.3590058781406578</v>
      </c>
      <c r="J157" s="9">
        <f>DEGREES((2*PI()/Inputs!$C$13)*Inputs!$C$15*SIN(RADIANS(I157)))</f>
        <v>27.362028547574202</v>
      </c>
      <c r="K157" s="9">
        <f t="shared" si="41"/>
        <v>0.98847965901213086</v>
      </c>
      <c r="L157" s="9">
        <f t="shared" si="42"/>
        <v>-5.0322631936882092E-2</v>
      </c>
      <c r="M157" s="9">
        <f>2*(Inputs!$C$9/(Inputs!$C$10^2))*A157</f>
        <v>3.888888888888889E-2</v>
      </c>
      <c r="N157" s="9">
        <f>M157*Inputs!$C$11</f>
        <v>0.15555555555555556</v>
      </c>
      <c r="O157" s="9">
        <f>1000*((A157*Inputs!$C$11)+(B157*N157))/D157</f>
        <v>329.45107190330037</v>
      </c>
      <c r="P157" s="9">
        <f>-2*O157/Inputs!$C$13</f>
        <v>-131.78042876132014</v>
      </c>
      <c r="Q157" s="9">
        <f>-2*O157/Inputs!$C$14</f>
        <v>-19.786851165363387</v>
      </c>
      <c r="R157" s="9">
        <f>F157-Inputs!$C$16/2</f>
        <v>637.46544059236885</v>
      </c>
      <c r="S157" s="9">
        <f>F157+Inputs!$C$16/2</f>
        <v>667.46544059236885</v>
      </c>
      <c r="T157" s="9">
        <f>F157-Inputs!$C$17/2</f>
        <v>502.46544059236885</v>
      </c>
      <c r="U157" s="9">
        <f>F157+Inputs!$C$17/2</f>
        <v>802.46544059236885</v>
      </c>
      <c r="V157" s="9">
        <f t="shared" si="43"/>
        <v>131.78042876132014</v>
      </c>
      <c r="W157" s="9">
        <f t="shared" si="44"/>
        <v>19.786851165363387</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0</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0</v>
      </c>
      <c r="Z157" s="9">
        <f t="shared" si="45"/>
        <v>400.34027777777777</v>
      </c>
      <c r="AA157" s="9">
        <f>SQRT(A157^2+Inputs!$C$6^2+(B157-Y157/1000)^2)</f>
        <v>401.50166626203219</v>
      </c>
      <c r="AB157" s="9">
        <f t="shared" si="46"/>
        <v>1161.3884842544167</v>
      </c>
      <c r="AC157" s="9">
        <f>AB157/Inputs!$C$12</f>
        <v>652.46544059236885</v>
      </c>
      <c r="AD157" s="9">
        <f>2*AB157/Inputs!$C$21*1000000</f>
        <v>7.7479499784775543</v>
      </c>
      <c r="AE157" s="9">
        <f t="shared" si="47"/>
        <v>4.3590058781406578</v>
      </c>
      <c r="AF157" s="9">
        <f>DEGREES((2*PI()/Inputs!$C$13)*Inputs!$C$15*SIN(RADIANS(AE157)))</f>
        <v>27.362028547574202</v>
      </c>
      <c r="AG157" s="9">
        <f t="shared" si="48"/>
        <v>0.98847965901213086</v>
      </c>
      <c r="AH157" s="9">
        <f t="shared" si="49"/>
        <v>-5.0322631936882092E-2</v>
      </c>
      <c r="AI157" s="9">
        <f t="shared" si="50"/>
        <v>0</v>
      </c>
      <c r="AJ157" s="9">
        <f t="shared" si="51"/>
        <v>0</v>
      </c>
      <c r="AK157" s="9">
        <f t="shared" si="52"/>
        <v>0</v>
      </c>
      <c r="AL157" s="9">
        <f>1000*(AA158-AA156)/(A158-A156)*Inputs!$C$11</f>
        <v>329.45069813899863</v>
      </c>
      <c r="AM157" s="9">
        <f>-2*AL157/Inputs!$C$13</f>
        <v>-131.78027925559945</v>
      </c>
      <c r="AN157" s="9">
        <f>-2*AL157/Inputs!$C$14</f>
        <v>-19.786828717056977</v>
      </c>
      <c r="AO157" s="9">
        <f t="shared" si="53"/>
        <v>131.78027925559945</v>
      </c>
      <c r="AP157" s="9">
        <f t="shared" si="54"/>
        <v>19.786828717056977</v>
      </c>
      <c r="AQ157" s="9">
        <f>IF(OR(Inputs!$C$27=TRUE,Inputs!$C$27="TRUE",Inputs!$C$27=1),Inputs!$C$46/Inputs!$C$12,0)</f>
        <v>0</v>
      </c>
      <c r="AR157" s="9">
        <f t="shared" si="55"/>
        <v>652.46544059236885</v>
      </c>
      <c r="AS157" s="9">
        <f t="shared" si="56"/>
        <v>652.46544059236885</v>
      </c>
    </row>
    <row r="158" spans="1:45">
      <c r="A158" s="9">
        <f>Inputs!$C$7+156*(Inputs!$C$8-Inputs!$C$7)/240</f>
        <v>18</v>
      </c>
      <c r="B158" s="9">
        <f>Inputs!$C$5+Inputs!$C$9*(A158/Inputs!$C$10)^2</f>
        <v>400.36</v>
      </c>
      <c r="C158" s="9">
        <f t="shared" si="38"/>
        <v>400.36</v>
      </c>
      <c r="D158" s="9">
        <f>SQRT(A158^2+Inputs!$C$6^2+B158^2)</f>
        <v>401.54343426334344</v>
      </c>
      <c r="E158" s="9">
        <f t="shared" si="39"/>
        <v>1183.4342633434289</v>
      </c>
      <c r="F158" s="9">
        <f>E158/Inputs!$C$12</f>
        <v>664.85070974349935</v>
      </c>
      <c r="G158" s="9">
        <f>2*E158/Inputs!$C$21*1000000</f>
        <v>7.895023585572849</v>
      </c>
      <c r="H158" s="9">
        <f>SQRT(A158^2+Inputs!$C$6^2)</f>
        <v>30.805843601498726</v>
      </c>
      <c r="I158" s="9">
        <f t="shared" si="40"/>
        <v>4.3999744653546005</v>
      </c>
      <c r="J158" s="9">
        <f>DEGREES((2*PI()/Inputs!$C$13)*Inputs!$C$15*SIN(RADIANS(I158)))</f>
        <v>27.618690159596383</v>
      </c>
      <c r="K158" s="9">
        <f t="shared" si="41"/>
        <v>0.98826315975486567</v>
      </c>
      <c r="L158" s="9">
        <f t="shared" si="42"/>
        <v>-5.1273938624324868E-2</v>
      </c>
      <c r="M158" s="9">
        <f>2*(Inputs!$C$9/(Inputs!$C$10^2))*A158</f>
        <v>0.04</v>
      </c>
      <c r="N158" s="9">
        <f>M158*Inputs!$C$11</f>
        <v>0.16</v>
      </c>
      <c r="O158" s="9">
        <f>1000*((A158*Inputs!$C$11)+(B158*N158))/D158</f>
        <v>338.83657007019974</v>
      </c>
      <c r="P158" s="9">
        <f>-2*O158/Inputs!$C$13</f>
        <v>-135.53462802807991</v>
      </c>
      <c r="Q158" s="9">
        <f>-2*O158/Inputs!$C$14</f>
        <v>-20.350544748960946</v>
      </c>
      <c r="R158" s="9">
        <f>F158-Inputs!$C$16/2</f>
        <v>649.85070974349935</v>
      </c>
      <c r="S158" s="9">
        <f>F158+Inputs!$C$16/2</f>
        <v>679.85070974349935</v>
      </c>
      <c r="T158" s="9">
        <f>F158-Inputs!$C$17/2</f>
        <v>514.85070974349935</v>
      </c>
      <c r="U158" s="9">
        <f>F158+Inputs!$C$17/2</f>
        <v>814.85070974349935</v>
      </c>
      <c r="V158" s="9">
        <f t="shared" si="43"/>
        <v>135.53462802807991</v>
      </c>
      <c r="W158" s="9">
        <f t="shared" si="44"/>
        <v>20.350544748960946</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0</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0</v>
      </c>
      <c r="Z158" s="9">
        <f t="shared" si="45"/>
        <v>400.36</v>
      </c>
      <c r="AA158" s="9">
        <f>SQRT(A158^2+Inputs!$C$6^2+(B158-Y158/1000)^2)</f>
        <v>401.54343426334344</v>
      </c>
      <c r="AB158" s="9">
        <f t="shared" si="46"/>
        <v>1183.4342633434289</v>
      </c>
      <c r="AC158" s="9">
        <f>AB158/Inputs!$C$12</f>
        <v>664.85070974349935</v>
      </c>
      <c r="AD158" s="9">
        <f>2*AB158/Inputs!$C$21*1000000</f>
        <v>7.895023585572849</v>
      </c>
      <c r="AE158" s="9">
        <f t="shared" si="47"/>
        <v>4.3999744653546005</v>
      </c>
      <c r="AF158" s="9">
        <f>DEGREES((2*PI()/Inputs!$C$13)*Inputs!$C$15*SIN(RADIANS(AE158)))</f>
        <v>27.618690159596383</v>
      </c>
      <c r="AG158" s="9">
        <f t="shared" si="48"/>
        <v>0.98826315975486567</v>
      </c>
      <c r="AH158" s="9">
        <f t="shared" si="49"/>
        <v>-5.1273938624324868E-2</v>
      </c>
      <c r="AI158" s="9">
        <f t="shared" si="50"/>
        <v>0</v>
      </c>
      <c r="AJ158" s="9">
        <f t="shared" si="51"/>
        <v>0</v>
      </c>
      <c r="AK158" s="9">
        <f t="shared" si="52"/>
        <v>0</v>
      </c>
      <c r="AL158" s="9">
        <f>1000*(AA159-AA157)/(A159-A157)*Inputs!$C$11</f>
        <v>338.83618582694908</v>
      </c>
      <c r="AM158" s="9">
        <f>-2*AL158/Inputs!$C$13</f>
        <v>-135.53447433077963</v>
      </c>
      <c r="AN158" s="9">
        <f>-2*AL158/Inputs!$C$14</f>
        <v>-20.350521671288234</v>
      </c>
      <c r="AO158" s="9">
        <f t="shared" si="53"/>
        <v>135.53447433077963</v>
      </c>
      <c r="AP158" s="9">
        <f t="shared" si="54"/>
        <v>20.350521671288234</v>
      </c>
      <c r="AQ158" s="9">
        <f>IF(OR(Inputs!$C$27=TRUE,Inputs!$C$27="TRUE",Inputs!$C$27=1),Inputs!$C$46/Inputs!$C$12,0)</f>
        <v>0</v>
      </c>
      <c r="AR158" s="9">
        <f t="shared" si="55"/>
        <v>664.85070974349935</v>
      </c>
      <c r="AS158" s="9">
        <f t="shared" si="56"/>
        <v>664.85070974349935</v>
      </c>
    </row>
    <row r="159" spans="1:45">
      <c r="A159" s="9">
        <f>Inputs!$C$7+157*(Inputs!$C$8-Inputs!$C$7)/240</f>
        <v>18.5</v>
      </c>
      <c r="B159" s="9">
        <f>Inputs!$C$5+Inputs!$C$9*(A159/Inputs!$C$10)^2</f>
        <v>400.38027777777779</v>
      </c>
      <c r="C159" s="9">
        <f t="shared" si="38"/>
        <v>400.38027777777779</v>
      </c>
      <c r="D159" s="9">
        <f>SQRT(A159^2+Inputs!$C$6^2+B159^2)</f>
        <v>401.58637530848893</v>
      </c>
      <c r="E159" s="9">
        <f t="shared" si="39"/>
        <v>1206.0975307111335</v>
      </c>
      <c r="F159" s="9">
        <f>E159/Inputs!$C$12</f>
        <v>677.58288242198512</v>
      </c>
      <c r="G159" s="9">
        <f>2*E159/Inputs!$C$21*1000000</f>
        <v>8.0462166310476917</v>
      </c>
      <c r="H159" s="9">
        <f>SQRT(A159^2+Inputs!$C$6^2)</f>
        <v>31.100643080167973</v>
      </c>
      <c r="I159" s="9">
        <f t="shared" si="40"/>
        <v>4.4416886611294961</v>
      </c>
      <c r="J159" s="9">
        <f>DEGREES((2*PI()/Inputs!$C$13)*Inputs!$C$15*SIN(RADIANS(I159)))</f>
        <v>27.880008379915274</v>
      </c>
      <c r="K159" s="9">
        <f t="shared" si="41"/>
        <v>0.98804068059102845</v>
      </c>
      <c r="L159" s="9">
        <f t="shared" si="42"/>
        <v>-5.225173841025451E-2</v>
      </c>
      <c r="M159" s="9">
        <f>2*(Inputs!$C$9/(Inputs!$C$10^2))*A159</f>
        <v>4.1111111111111112E-2</v>
      </c>
      <c r="N159" s="9">
        <f>M159*Inputs!$C$11</f>
        <v>0.16444444444444445</v>
      </c>
      <c r="O159" s="9">
        <f>1000*((A159*Inputs!$C$11)+(B159*N159))/D159</f>
        <v>348.21976278019167</v>
      </c>
      <c r="P159" s="9">
        <f>-2*O159/Inputs!$C$13</f>
        <v>-139.28790511207666</v>
      </c>
      <c r="Q159" s="9">
        <f>-2*O159/Inputs!$C$14</f>
        <v>-20.914099866678182</v>
      </c>
      <c r="R159" s="9">
        <f>F159-Inputs!$C$16/2</f>
        <v>662.58288242198512</v>
      </c>
      <c r="S159" s="9">
        <f>F159+Inputs!$C$16/2</f>
        <v>692.58288242198512</v>
      </c>
      <c r="T159" s="9">
        <f>F159-Inputs!$C$17/2</f>
        <v>527.58288242198512</v>
      </c>
      <c r="U159" s="9">
        <f>F159+Inputs!$C$17/2</f>
        <v>827.58288242198512</v>
      </c>
      <c r="V159" s="9">
        <f t="shared" si="43"/>
        <v>139.28790511207666</v>
      </c>
      <c r="W159" s="9">
        <f t="shared" si="44"/>
        <v>20.914099866678182</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0</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0</v>
      </c>
      <c r="Z159" s="9">
        <f t="shared" si="45"/>
        <v>400.38027777777779</v>
      </c>
      <c r="AA159" s="9">
        <f>SQRT(A159^2+Inputs!$C$6^2+(B159-Y159/1000)^2)</f>
        <v>401.58637530848893</v>
      </c>
      <c r="AB159" s="9">
        <f t="shared" si="46"/>
        <v>1206.0975307111335</v>
      </c>
      <c r="AC159" s="9">
        <f>AB159/Inputs!$C$12</f>
        <v>677.58288242198512</v>
      </c>
      <c r="AD159" s="9">
        <f>2*AB159/Inputs!$C$21*1000000</f>
        <v>8.0462166310476917</v>
      </c>
      <c r="AE159" s="9">
        <f t="shared" si="47"/>
        <v>4.4416886611294961</v>
      </c>
      <c r="AF159" s="9">
        <f>DEGREES((2*PI()/Inputs!$C$13)*Inputs!$C$15*SIN(RADIANS(AE159)))</f>
        <v>27.880008379915274</v>
      </c>
      <c r="AG159" s="9">
        <f t="shared" si="48"/>
        <v>0.98804068059102845</v>
      </c>
      <c r="AH159" s="9">
        <f t="shared" si="49"/>
        <v>-5.225173841025451E-2</v>
      </c>
      <c r="AI159" s="9">
        <f t="shared" si="50"/>
        <v>0</v>
      </c>
      <c r="AJ159" s="9">
        <f t="shared" si="51"/>
        <v>0</v>
      </c>
      <c r="AK159" s="9">
        <f t="shared" si="52"/>
        <v>0</v>
      </c>
      <c r="AL159" s="9">
        <f>1000*(AA160-AA158)/(A160-A158)*Inputs!$C$11</f>
        <v>348.21936807429665</v>
      </c>
      <c r="AM159" s="9">
        <f>-2*AL159/Inputs!$C$13</f>
        <v>-139.28774722971866</v>
      </c>
      <c r="AN159" s="9">
        <f>-2*AL159/Inputs!$C$14</f>
        <v>-20.914076160618418</v>
      </c>
      <c r="AO159" s="9">
        <f t="shared" si="53"/>
        <v>139.28774722971866</v>
      </c>
      <c r="AP159" s="9">
        <f t="shared" si="54"/>
        <v>20.914076160618418</v>
      </c>
      <c r="AQ159" s="9">
        <f>IF(OR(Inputs!$C$27=TRUE,Inputs!$C$27="TRUE",Inputs!$C$27=1),Inputs!$C$46/Inputs!$C$12,0)</f>
        <v>0</v>
      </c>
      <c r="AR159" s="9">
        <f t="shared" si="55"/>
        <v>677.58288242198512</v>
      </c>
      <c r="AS159" s="9">
        <f t="shared" si="56"/>
        <v>677.58288242198512</v>
      </c>
    </row>
    <row r="160" spans="1:45">
      <c r="A160" s="9">
        <f>Inputs!$C$7+158*(Inputs!$C$8-Inputs!$C$7)/240</f>
        <v>19</v>
      </c>
      <c r="B160" s="9">
        <f>Inputs!$C$5+Inputs!$C$9*(A160/Inputs!$C$10)^2</f>
        <v>400.40111111111111</v>
      </c>
      <c r="C160" s="9">
        <f t="shared" si="38"/>
        <v>400.40111111111111</v>
      </c>
      <c r="D160" s="9">
        <f>SQRT(A160^2+Inputs!$C$6^2+B160^2)</f>
        <v>401.63048910536202</v>
      </c>
      <c r="E160" s="9">
        <f t="shared" si="39"/>
        <v>1229.3779942509104</v>
      </c>
      <c r="F160" s="9">
        <f>E160/Inputs!$C$12</f>
        <v>690.66179452298343</v>
      </c>
      <c r="G160" s="9">
        <f>2*E160/Inputs!$C$21*1000000</f>
        <v>8.2015271661764775</v>
      </c>
      <c r="H160" s="9">
        <f>SQRT(A160^2+Inputs!$C$6^2)</f>
        <v>31.400636936215164</v>
      </c>
      <c r="I160" s="9">
        <f t="shared" si="40"/>
        <v>4.4841264712495112</v>
      </c>
      <c r="J160" s="9">
        <f>DEGREES((2*PI()/Inputs!$C$13)*Inputs!$C$15*SIN(RADIANS(I160)))</f>
        <v>28.145844510504666</v>
      </c>
      <c r="K160" s="9">
        <f t="shared" si="41"/>
        <v>0.98781223131571638</v>
      </c>
      <c r="L160" s="9">
        <f t="shared" si="42"/>
        <v>-5.3256006081264372E-2</v>
      </c>
      <c r="M160" s="9">
        <f>2*(Inputs!$C$9/(Inputs!$C$10^2))*A160</f>
        <v>4.2222222222222223E-2</v>
      </c>
      <c r="N160" s="9">
        <f>M160*Inputs!$C$11</f>
        <v>0.16888888888888889</v>
      </c>
      <c r="O160" s="9">
        <f>1000*((A160*Inputs!$C$11)+(B160*N160))/D160</f>
        <v>357.60058725958567</v>
      </c>
      <c r="P160" s="9">
        <f>-2*O160/Inputs!$C$13</f>
        <v>-143.04023490383426</v>
      </c>
      <c r="Q160" s="9">
        <f>-2*O160/Inputs!$C$14</f>
        <v>-21.477512748323466</v>
      </c>
      <c r="R160" s="9">
        <f>F160-Inputs!$C$16/2</f>
        <v>675.66179452298343</v>
      </c>
      <c r="S160" s="9">
        <f>F160+Inputs!$C$16/2</f>
        <v>705.66179452298343</v>
      </c>
      <c r="T160" s="9">
        <f>F160-Inputs!$C$17/2</f>
        <v>540.66179452298343</v>
      </c>
      <c r="U160" s="9">
        <f>F160+Inputs!$C$17/2</f>
        <v>840.66179452298343</v>
      </c>
      <c r="V160" s="9">
        <f t="shared" si="43"/>
        <v>143.04023490383426</v>
      </c>
      <c r="W160" s="9">
        <f t="shared" si="44"/>
        <v>21.477512748323466</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0</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0</v>
      </c>
      <c r="Z160" s="9">
        <f t="shared" si="45"/>
        <v>400.40111111111111</v>
      </c>
      <c r="AA160" s="9">
        <f>SQRT(A160^2+Inputs!$C$6^2+(B160-Y160/1000)^2)</f>
        <v>401.63048910536202</v>
      </c>
      <c r="AB160" s="9">
        <f t="shared" si="46"/>
        <v>1229.3779942509104</v>
      </c>
      <c r="AC160" s="9">
        <f>AB160/Inputs!$C$12</f>
        <v>690.66179452298343</v>
      </c>
      <c r="AD160" s="9">
        <f>2*AB160/Inputs!$C$21*1000000</f>
        <v>8.2015271661764775</v>
      </c>
      <c r="AE160" s="9">
        <f t="shared" si="47"/>
        <v>4.4841264712495112</v>
      </c>
      <c r="AF160" s="9">
        <f>DEGREES((2*PI()/Inputs!$C$13)*Inputs!$C$15*SIN(RADIANS(AE160)))</f>
        <v>28.145844510504666</v>
      </c>
      <c r="AG160" s="9">
        <f t="shared" si="48"/>
        <v>0.98781223131571638</v>
      </c>
      <c r="AH160" s="9">
        <f t="shared" si="49"/>
        <v>-5.3256006081264372E-2</v>
      </c>
      <c r="AI160" s="9">
        <f t="shared" si="50"/>
        <v>0</v>
      </c>
      <c r="AJ160" s="9">
        <f t="shared" si="51"/>
        <v>0</v>
      </c>
      <c r="AK160" s="9">
        <f t="shared" si="52"/>
        <v>0</v>
      </c>
      <c r="AL160" s="9">
        <f>1000*(AA161-AA159)/(A161-A159)*Inputs!$C$11</f>
        <v>357.60018210862654</v>
      </c>
      <c r="AM160" s="9">
        <f>-2*AL160/Inputs!$C$13</f>
        <v>-143.04007284345062</v>
      </c>
      <c r="AN160" s="9">
        <f>-2*AL160/Inputs!$C$14</f>
        <v>-21.477488414932527</v>
      </c>
      <c r="AO160" s="9">
        <f t="shared" si="53"/>
        <v>143.04007284345062</v>
      </c>
      <c r="AP160" s="9">
        <f t="shared" si="54"/>
        <v>21.477488414932527</v>
      </c>
      <c r="AQ160" s="9">
        <f>IF(OR(Inputs!$C$27=TRUE,Inputs!$C$27="TRUE",Inputs!$C$27=1),Inputs!$C$46/Inputs!$C$12,0)</f>
        <v>0</v>
      </c>
      <c r="AR160" s="9">
        <f t="shared" si="55"/>
        <v>690.66179452298343</v>
      </c>
      <c r="AS160" s="9">
        <f t="shared" si="56"/>
        <v>690.66179452298343</v>
      </c>
    </row>
    <row r="161" spans="1:45">
      <c r="A161" s="9">
        <f>Inputs!$C$7+159*(Inputs!$C$8-Inputs!$C$7)/240</f>
        <v>19.5</v>
      </c>
      <c r="B161" s="9">
        <f>Inputs!$C$5+Inputs!$C$9*(A161/Inputs!$C$10)^2</f>
        <v>400.42250000000001</v>
      </c>
      <c r="C161" s="9">
        <f t="shared" si="38"/>
        <v>400.42250000000001</v>
      </c>
      <c r="D161" s="9">
        <f>SQRT(A161^2+Inputs!$C$6^2+B161^2)</f>
        <v>401.67577535401608</v>
      </c>
      <c r="E161" s="9">
        <f t="shared" si="39"/>
        <v>1253.2753540160684</v>
      </c>
      <c r="F161" s="9">
        <f>E161/Inputs!$C$12</f>
        <v>704.08727753711707</v>
      </c>
      <c r="G161" s="9">
        <f>2*E161/Inputs!$C$21*1000000</f>
        <v>8.3609531899302709</v>
      </c>
      <c r="H161" s="9">
        <f>SQRT(A161^2+Inputs!$C$6^2)</f>
        <v>31.705677724975381</v>
      </c>
      <c r="I161" s="9">
        <f t="shared" si="40"/>
        <v>4.527266340904271</v>
      </c>
      <c r="J161" s="9">
        <f>DEGREES((2*PI()/Inputs!$C$13)*Inputs!$C$15*SIN(RADIANS(I161)))</f>
        <v>28.416062609031858</v>
      </c>
      <c r="K161" s="9">
        <f t="shared" si="41"/>
        <v>0.98757782197966315</v>
      </c>
      <c r="L161" s="9">
        <f t="shared" si="42"/>
        <v>-5.4286715752628098E-2</v>
      </c>
      <c r="M161" s="9">
        <f>2*(Inputs!$C$9/(Inputs!$C$10^2))*A161</f>
        <v>4.3333333333333335E-2</v>
      </c>
      <c r="N161" s="9">
        <f>M161*Inputs!$C$11</f>
        <v>0.17333333333333334</v>
      </c>
      <c r="O161" s="9">
        <f>1000*((A161*Inputs!$C$11)+(B161*N161))/D161</f>
        <v>366.97898083784162</v>
      </c>
      <c r="P161" s="9">
        <f>-2*O161/Inputs!$C$13</f>
        <v>-146.79159233513664</v>
      </c>
      <c r="Q161" s="9">
        <f>-2*O161/Inputs!$C$14</f>
        <v>-22.040779629900399</v>
      </c>
      <c r="R161" s="9">
        <f>F161-Inputs!$C$16/2</f>
        <v>689.08727753711707</v>
      </c>
      <c r="S161" s="9">
        <f>F161+Inputs!$C$16/2</f>
        <v>719.08727753711707</v>
      </c>
      <c r="T161" s="9">
        <f>F161-Inputs!$C$17/2</f>
        <v>554.08727753711707</v>
      </c>
      <c r="U161" s="9">
        <f>F161+Inputs!$C$17/2</f>
        <v>854.08727753711707</v>
      </c>
      <c r="V161" s="9">
        <f t="shared" si="43"/>
        <v>146.79159233513664</v>
      </c>
      <c r="W161" s="9">
        <f t="shared" si="44"/>
        <v>22.040779629900399</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0</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0</v>
      </c>
      <c r="Z161" s="9">
        <f t="shared" si="45"/>
        <v>400.42250000000001</v>
      </c>
      <c r="AA161" s="9">
        <f>SQRT(A161^2+Inputs!$C$6^2+(B161-Y161/1000)^2)</f>
        <v>401.67577535401608</v>
      </c>
      <c r="AB161" s="9">
        <f t="shared" si="46"/>
        <v>1253.2753540160684</v>
      </c>
      <c r="AC161" s="9">
        <f>AB161/Inputs!$C$12</f>
        <v>704.08727753711707</v>
      </c>
      <c r="AD161" s="9">
        <f>2*AB161/Inputs!$C$21*1000000</f>
        <v>8.3609531899302709</v>
      </c>
      <c r="AE161" s="9">
        <f t="shared" si="47"/>
        <v>4.527266340904271</v>
      </c>
      <c r="AF161" s="9">
        <f>DEGREES((2*PI()/Inputs!$C$13)*Inputs!$C$15*SIN(RADIANS(AE161)))</f>
        <v>28.416062609031858</v>
      </c>
      <c r="AG161" s="9">
        <f t="shared" si="48"/>
        <v>0.98757782197966315</v>
      </c>
      <c r="AH161" s="9">
        <f t="shared" si="49"/>
        <v>-5.4286715752628098E-2</v>
      </c>
      <c r="AI161" s="9">
        <f t="shared" si="50"/>
        <v>0</v>
      </c>
      <c r="AJ161" s="9">
        <f t="shared" si="51"/>
        <v>0</v>
      </c>
      <c r="AK161" s="9">
        <f t="shared" si="52"/>
        <v>0</v>
      </c>
      <c r="AL161" s="9">
        <f>1000*(AA162-AA160)/(A162-A160)*Inputs!$C$11</f>
        <v>366.97856525984207</v>
      </c>
      <c r="AM161" s="9">
        <f>-2*AL161/Inputs!$C$13</f>
        <v>-146.79142610393683</v>
      </c>
      <c r="AN161" s="9">
        <f>-2*AL161/Inputs!$C$14</f>
        <v>-22.040754670260785</v>
      </c>
      <c r="AO161" s="9">
        <f t="shared" si="53"/>
        <v>146.79142610393683</v>
      </c>
      <c r="AP161" s="9">
        <f t="shared" si="54"/>
        <v>22.040754670260785</v>
      </c>
      <c r="AQ161" s="9">
        <f>IF(OR(Inputs!$C$27=TRUE,Inputs!$C$27="TRUE",Inputs!$C$27=1),Inputs!$C$46/Inputs!$C$12,0)</f>
        <v>0</v>
      </c>
      <c r="AR161" s="9">
        <f t="shared" si="55"/>
        <v>704.08727753711707</v>
      </c>
      <c r="AS161" s="9">
        <f t="shared" si="56"/>
        <v>704.08727753711707</v>
      </c>
    </row>
    <row r="162" spans="1:45">
      <c r="A162" s="9">
        <f>Inputs!$C$7+160*(Inputs!$C$8-Inputs!$C$7)/240</f>
        <v>20</v>
      </c>
      <c r="B162" s="9">
        <f>Inputs!$C$5+Inputs!$C$9*(A162/Inputs!$C$10)^2</f>
        <v>400.44444444444446</v>
      </c>
      <c r="C162" s="9">
        <f t="shared" si="38"/>
        <v>400.44444444444446</v>
      </c>
      <c r="D162" s="9">
        <f>SQRT(A162^2+Inputs!$C$6^2+B162^2)</f>
        <v>401.72223374667698</v>
      </c>
      <c r="E162" s="9">
        <f t="shared" si="39"/>
        <v>1277.7893022325202</v>
      </c>
      <c r="F162" s="9">
        <f>E162/Inputs!$C$12</f>
        <v>717.85915855759561</v>
      </c>
      <c r="G162" s="9">
        <f>2*E162/Inputs!$C$21*1000000</f>
        <v>8.5244926490613739</v>
      </c>
      <c r="H162" s="9">
        <f>SQRT(A162^2+Inputs!$C$6^2)</f>
        <v>32.015621187164243</v>
      </c>
      <c r="I162" s="9">
        <f t="shared" si="40"/>
        <v>4.5710871679965557</v>
      </c>
      <c r="J162" s="9">
        <f>DEGREES((2*PI()/Inputs!$C$13)*Inputs!$C$15*SIN(RADIANS(I162)))</f>
        <v>28.690529572846842</v>
      </c>
      <c r="K162" s="9">
        <f t="shared" si="41"/>
        <v>0.98733746288822999</v>
      </c>
      <c r="L162" s="9">
        <f t="shared" si="42"/>
        <v>-5.5343840869841301E-2</v>
      </c>
      <c r="M162" s="9">
        <f>2*(Inputs!$C$9/(Inputs!$C$10^2))*A162</f>
        <v>4.4444444444444446E-2</v>
      </c>
      <c r="N162" s="9">
        <f>M162*Inputs!$C$11</f>
        <v>0.17777777777777778</v>
      </c>
      <c r="O162" s="9">
        <f>1000*((A162*Inputs!$C$11)+(B162*N162))/D162</f>
        <v>376.35488095022765</v>
      </c>
      <c r="P162" s="9">
        <f>-2*O162/Inputs!$C$13</f>
        <v>-150.54195238009106</v>
      </c>
      <c r="Q162" s="9">
        <f>-2*O162/Inputs!$C$14</f>
        <v>-22.60389675376743</v>
      </c>
      <c r="R162" s="9">
        <f>F162-Inputs!$C$16/2</f>
        <v>702.85915855759561</v>
      </c>
      <c r="S162" s="9">
        <f>F162+Inputs!$C$16/2</f>
        <v>732.85915855759561</v>
      </c>
      <c r="T162" s="9">
        <f>F162-Inputs!$C$17/2</f>
        <v>567.85915855759561</v>
      </c>
      <c r="U162" s="9">
        <f>F162+Inputs!$C$17/2</f>
        <v>867.85915855759561</v>
      </c>
      <c r="V162" s="9">
        <f t="shared" si="43"/>
        <v>150.54195238009106</v>
      </c>
      <c r="W162" s="9">
        <f t="shared" si="44"/>
        <v>22.60389675376743</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0</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0</v>
      </c>
      <c r="Z162" s="9">
        <f t="shared" si="45"/>
        <v>400.44444444444446</v>
      </c>
      <c r="AA162" s="9">
        <f>SQRT(A162^2+Inputs!$C$6^2+(B162-Y162/1000)^2)</f>
        <v>401.72223374667698</v>
      </c>
      <c r="AB162" s="9">
        <f t="shared" si="46"/>
        <v>1277.7893022325202</v>
      </c>
      <c r="AC162" s="9">
        <f>AB162/Inputs!$C$12</f>
        <v>717.85915855759561</v>
      </c>
      <c r="AD162" s="9">
        <f>2*AB162/Inputs!$C$21*1000000</f>
        <v>8.5244926490613739</v>
      </c>
      <c r="AE162" s="9">
        <f t="shared" si="47"/>
        <v>4.5710871679965557</v>
      </c>
      <c r="AF162" s="9">
        <f>DEGREES((2*PI()/Inputs!$C$13)*Inputs!$C$15*SIN(RADIANS(AE162)))</f>
        <v>28.690529572846842</v>
      </c>
      <c r="AG162" s="9">
        <f t="shared" si="48"/>
        <v>0.98733746288822999</v>
      </c>
      <c r="AH162" s="9">
        <f t="shared" si="49"/>
        <v>-5.5343840869841301E-2</v>
      </c>
      <c r="AI162" s="9">
        <f t="shared" si="50"/>
        <v>0</v>
      </c>
      <c r="AJ162" s="9">
        <f t="shared" si="51"/>
        <v>0</v>
      </c>
      <c r="AK162" s="9">
        <f t="shared" si="52"/>
        <v>0</v>
      </c>
      <c r="AL162" s="9">
        <f>1000*(AA163-AA161)/(A163-A161)*Inputs!$C$11</f>
        <v>376.35445496266584</v>
      </c>
      <c r="AM162" s="9">
        <f>-2*AL162/Inputs!$C$13</f>
        <v>-150.54178198506634</v>
      </c>
      <c r="AN162" s="9">
        <f>-2*AL162/Inputs!$C$14</f>
        <v>-22.60387116892888</v>
      </c>
      <c r="AO162" s="9">
        <f t="shared" si="53"/>
        <v>150.54178198506634</v>
      </c>
      <c r="AP162" s="9">
        <f t="shared" si="54"/>
        <v>22.60387116892888</v>
      </c>
      <c r="AQ162" s="9">
        <f>IF(OR(Inputs!$C$27=TRUE,Inputs!$C$27="TRUE",Inputs!$C$27=1),Inputs!$C$46/Inputs!$C$12,0)</f>
        <v>0</v>
      </c>
      <c r="AR162" s="9">
        <f t="shared" si="55"/>
        <v>717.85915855759561</v>
      </c>
      <c r="AS162" s="9">
        <f t="shared" si="56"/>
        <v>717.85915855759561</v>
      </c>
    </row>
    <row r="163" spans="1:45">
      <c r="A163" s="9">
        <f>Inputs!$C$7+161*(Inputs!$C$8-Inputs!$C$7)/240</f>
        <v>20.5</v>
      </c>
      <c r="B163" s="9">
        <f>Inputs!$C$5+Inputs!$C$9*(A163/Inputs!$C$10)^2</f>
        <v>400.46694444444444</v>
      </c>
      <c r="C163" s="9">
        <f t="shared" si="38"/>
        <v>400.46694444444444</v>
      </c>
      <c r="D163" s="9">
        <f>SQRT(A163^2+Inputs!$C$6^2+B163^2)</f>
        <v>401.76986396775675</v>
      </c>
      <c r="E163" s="9">
        <f t="shared" si="39"/>
        <v>1302.9195233123119</v>
      </c>
      <c r="F163" s="9">
        <f>E163/Inputs!$C$12</f>
        <v>731.97726028781562</v>
      </c>
      <c r="G163" s="9">
        <f>2*E163/Inputs!$C$21*1000000</f>
        <v>8.6921434381935772</v>
      </c>
      <c r="H163" s="9">
        <f>SQRT(A163^2+Inputs!$C$6^2)</f>
        <v>32.330326320654422</v>
      </c>
      <c r="I163" s="9">
        <f t="shared" si="40"/>
        <v>4.6155683136934407</v>
      </c>
      <c r="J163" s="9">
        <f>DEGREES((2*PI()/Inputs!$C$13)*Inputs!$C$15*SIN(RADIANS(I163)))</f>
        <v>28.969115205638342</v>
      </c>
      <c r="K163" s="9">
        <f t="shared" si="41"/>
        <v>0.98709116460036606</v>
      </c>
      <c r="L163" s="9">
        <f t="shared" si="42"/>
        <v>-5.6427354210228965E-2</v>
      </c>
      <c r="M163" s="9">
        <f>2*(Inputs!$C$9/(Inputs!$C$10^2))*A163</f>
        <v>4.5555555555555557E-2</v>
      </c>
      <c r="N163" s="9">
        <f>M163*Inputs!$C$11</f>
        <v>0.18222222222222223</v>
      </c>
      <c r="O163" s="9">
        <f>1000*((A163*Inputs!$C$11)+(B163*N163))/D163</f>
        <v>385.72822514046749</v>
      </c>
      <c r="P163" s="9">
        <f>-2*O163/Inputs!$C$13</f>
        <v>-154.29129005618699</v>
      </c>
      <c r="Q163" s="9">
        <f>-2*O163/Inputs!$C$14</f>
        <v>-23.166860368796847</v>
      </c>
      <c r="R163" s="9">
        <f>F163-Inputs!$C$16/2</f>
        <v>716.97726028781562</v>
      </c>
      <c r="S163" s="9">
        <f>F163+Inputs!$C$16/2</f>
        <v>746.97726028781562</v>
      </c>
      <c r="T163" s="9">
        <f>F163-Inputs!$C$17/2</f>
        <v>581.97726028781562</v>
      </c>
      <c r="U163" s="9">
        <f>F163+Inputs!$C$17/2</f>
        <v>881.97726028781562</v>
      </c>
      <c r="V163" s="9">
        <f t="shared" si="43"/>
        <v>154.29129005618699</v>
      </c>
      <c r="W163" s="9">
        <f t="shared" si="44"/>
        <v>23.166860368796847</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0</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0</v>
      </c>
      <c r="Z163" s="9">
        <f t="shared" si="45"/>
        <v>400.46694444444444</v>
      </c>
      <c r="AA163" s="9">
        <f>SQRT(A163^2+Inputs!$C$6^2+(B163-Y163/1000)^2)</f>
        <v>401.76986396775675</v>
      </c>
      <c r="AB163" s="9">
        <f t="shared" si="46"/>
        <v>1302.9195233123119</v>
      </c>
      <c r="AC163" s="9">
        <f>AB163/Inputs!$C$12</f>
        <v>731.97726028781562</v>
      </c>
      <c r="AD163" s="9">
        <f>2*AB163/Inputs!$C$21*1000000</f>
        <v>8.6921434381935772</v>
      </c>
      <c r="AE163" s="9">
        <f t="shared" si="47"/>
        <v>4.6155683136934407</v>
      </c>
      <c r="AF163" s="9">
        <f>DEGREES((2*PI()/Inputs!$C$13)*Inputs!$C$15*SIN(RADIANS(AE163)))</f>
        <v>28.969115205638342</v>
      </c>
      <c r="AG163" s="9">
        <f t="shared" si="48"/>
        <v>0.98709116460036606</v>
      </c>
      <c r="AH163" s="9">
        <f t="shared" si="49"/>
        <v>-5.6427354210228965E-2</v>
      </c>
      <c r="AI163" s="9">
        <f t="shared" si="50"/>
        <v>0</v>
      </c>
      <c r="AJ163" s="9">
        <f t="shared" si="51"/>
        <v>0</v>
      </c>
      <c r="AK163" s="9">
        <f t="shared" si="52"/>
        <v>0</v>
      </c>
      <c r="AL163" s="9">
        <f>1000*(AA164-AA162)/(A164-A162)*Inputs!$C$11</f>
        <v>385.72778876186931</v>
      </c>
      <c r="AM163" s="9">
        <f>-2*AL163/Inputs!$C$13</f>
        <v>-154.29111550474772</v>
      </c>
      <c r="AN163" s="9">
        <f>-2*AL163/Inputs!$C$14</f>
        <v>-23.166834159872032</v>
      </c>
      <c r="AO163" s="9">
        <f t="shared" si="53"/>
        <v>154.29111550474772</v>
      </c>
      <c r="AP163" s="9">
        <f t="shared" si="54"/>
        <v>23.166834159872032</v>
      </c>
      <c r="AQ163" s="9">
        <f>IF(OR(Inputs!$C$27=TRUE,Inputs!$C$27="TRUE",Inputs!$C$27=1),Inputs!$C$46/Inputs!$C$12,0)</f>
        <v>0</v>
      </c>
      <c r="AR163" s="9">
        <f t="shared" si="55"/>
        <v>731.97726028781562</v>
      </c>
      <c r="AS163" s="9">
        <f t="shared" si="56"/>
        <v>731.97726028781562</v>
      </c>
    </row>
    <row r="164" spans="1:45">
      <c r="A164" s="9">
        <f>Inputs!$C$7+162*(Inputs!$C$8-Inputs!$C$7)/240</f>
        <v>21</v>
      </c>
      <c r="B164" s="9">
        <f>Inputs!$C$5+Inputs!$C$9*(A164/Inputs!$C$10)^2</f>
        <v>400.49</v>
      </c>
      <c r="C164" s="9">
        <f t="shared" si="38"/>
        <v>400.49</v>
      </c>
      <c r="D164" s="9">
        <f>SQRT(A164^2+Inputs!$C$6^2+B164^2)</f>
        <v>401.81866569386744</v>
      </c>
      <c r="E164" s="9">
        <f t="shared" si="39"/>
        <v>1328.6656938674355</v>
      </c>
      <c r="F164" s="9">
        <f>E164/Inputs!$C$12</f>
        <v>746.44140104912105</v>
      </c>
      <c r="G164" s="9">
        <f>2*E164/Inputs!$C$21*1000000</f>
        <v>8.8639033999143209</v>
      </c>
      <c r="H164" s="9">
        <f>SQRT(A164^2+Inputs!$C$6^2)</f>
        <v>32.649655434629018</v>
      </c>
      <c r="I164" s="9">
        <f t="shared" si="40"/>
        <v>4.6606896104389781</v>
      </c>
      <c r="J164" s="9">
        <f>DEGREES((2*PI()/Inputs!$C$13)*Inputs!$C$15*SIN(RADIANS(I164)))</f>
        <v>29.251692268127087</v>
      </c>
      <c r="K164" s="9">
        <f t="shared" si="41"/>
        <v>0.98683893792754807</v>
      </c>
      <c r="L164" s="9">
        <f t="shared" si="42"/>
        <v>-5.7537227884575999E-2</v>
      </c>
      <c r="M164" s="9">
        <f>2*(Inputs!$C$9/(Inputs!$C$10^2))*A164</f>
        <v>4.6666666666666669E-2</v>
      </c>
      <c r="N164" s="9">
        <f>M164*Inputs!$C$11</f>
        <v>0.18666666666666668</v>
      </c>
      <c r="O164" s="9">
        <f>1000*((A164*Inputs!$C$11)+(B164*N164))/D164</f>
        <v>395.09895106337837</v>
      </c>
      <c r="P164" s="9">
        <f>-2*O164/Inputs!$C$13</f>
        <v>-158.03958042535135</v>
      </c>
      <c r="Q164" s="9">
        <f>-2*O164/Inputs!$C$14</f>
        <v>-23.729666730533236</v>
      </c>
      <c r="R164" s="9">
        <f>F164-Inputs!$C$16/2</f>
        <v>731.44140104912105</v>
      </c>
      <c r="S164" s="9">
        <f>F164+Inputs!$C$16/2</f>
        <v>761.44140104912105</v>
      </c>
      <c r="T164" s="9">
        <f>F164-Inputs!$C$17/2</f>
        <v>596.44140104912105</v>
      </c>
      <c r="U164" s="9">
        <f>F164+Inputs!$C$17/2</f>
        <v>896.44140104912105</v>
      </c>
      <c r="V164" s="9">
        <f t="shared" si="43"/>
        <v>158.03958042535135</v>
      </c>
      <c r="W164" s="9">
        <f t="shared" si="44"/>
        <v>23.729666730533236</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0</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0</v>
      </c>
      <c r="Z164" s="9">
        <f t="shared" si="45"/>
        <v>400.49</v>
      </c>
      <c r="AA164" s="9">
        <f>SQRT(A164^2+Inputs!$C$6^2+(B164-Y164/1000)^2)</f>
        <v>401.81866569386744</v>
      </c>
      <c r="AB164" s="9">
        <f t="shared" si="46"/>
        <v>1328.6656938674355</v>
      </c>
      <c r="AC164" s="9">
        <f>AB164/Inputs!$C$12</f>
        <v>746.44140104912105</v>
      </c>
      <c r="AD164" s="9">
        <f>2*AB164/Inputs!$C$21*1000000</f>
        <v>8.8639033999143209</v>
      </c>
      <c r="AE164" s="9">
        <f t="shared" si="47"/>
        <v>4.6606896104389781</v>
      </c>
      <c r="AF164" s="9">
        <f>DEGREES((2*PI()/Inputs!$C$13)*Inputs!$C$15*SIN(RADIANS(AE164)))</f>
        <v>29.251692268127087</v>
      </c>
      <c r="AG164" s="9">
        <f t="shared" si="48"/>
        <v>0.98683893792754807</v>
      </c>
      <c r="AH164" s="9">
        <f t="shared" si="49"/>
        <v>-5.7537227884575999E-2</v>
      </c>
      <c r="AI164" s="9">
        <f t="shared" si="50"/>
        <v>0</v>
      </c>
      <c r="AJ164" s="9">
        <f t="shared" si="51"/>
        <v>0</v>
      </c>
      <c r="AK164" s="9">
        <f t="shared" si="52"/>
        <v>0</v>
      </c>
      <c r="AL164" s="9">
        <f>1000*(AA165-AA163)/(A165-A163)*Inputs!$C$11</f>
        <v>395.0985043129549</v>
      </c>
      <c r="AM164" s="9">
        <f>-2*AL164/Inputs!$C$13</f>
        <v>-158.03940172518196</v>
      </c>
      <c r="AN164" s="9">
        <f>-2*AL164/Inputs!$C$14</f>
        <v>-23.729639898675973</v>
      </c>
      <c r="AO164" s="9">
        <f t="shared" si="53"/>
        <v>158.03940172518196</v>
      </c>
      <c r="AP164" s="9">
        <f t="shared" si="54"/>
        <v>23.729639898675973</v>
      </c>
      <c r="AQ164" s="9">
        <f>IF(OR(Inputs!$C$27=TRUE,Inputs!$C$27="TRUE",Inputs!$C$27=1),Inputs!$C$46/Inputs!$C$12,0)</f>
        <v>0</v>
      </c>
      <c r="AR164" s="9">
        <f t="shared" si="55"/>
        <v>746.44140104912105</v>
      </c>
      <c r="AS164" s="9">
        <f t="shared" si="56"/>
        <v>746.44140104912105</v>
      </c>
    </row>
    <row r="165" spans="1:45">
      <c r="A165" s="9">
        <f>Inputs!$C$7+163*(Inputs!$C$8-Inputs!$C$7)/240</f>
        <v>21.5</v>
      </c>
      <c r="B165" s="9">
        <f>Inputs!$C$5+Inputs!$C$9*(A165/Inputs!$C$10)^2</f>
        <v>400.51361111111112</v>
      </c>
      <c r="C165" s="9">
        <f t="shared" si="38"/>
        <v>400.51361111111112</v>
      </c>
      <c r="D165" s="9">
        <f>SQRT(A165^2+Inputs!$C$6^2+B165^2)</f>
        <v>401.86863859383499</v>
      </c>
      <c r="E165" s="9">
        <f t="shared" si="39"/>
        <v>1355.0274827238695</v>
      </c>
      <c r="F165" s="9">
        <f>E165/Inputs!$C$12</f>
        <v>761.25139478869073</v>
      </c>
      <c r="G165" s="9">
        <f>2*E165/Inputs!$C$21*1000000</f>
        <v>9.0397703248683428</v>
      </c>
      <c r="H165" s="9">
        <f>SQRT(A165^2+Inputs!$C$6^2)</f>
        <v>32.973474187595095</v>
      </c>
      <c r="I165" s="9">
        <f t="shared" si="40"/>
        <v>4.7064313676414065</v>
      </c>
      <c r="J165" s="9">
        <f>DEGREES((2*PI()/Inputs!$C$13)*Inputs!$C$15*SIN(RADIANS(I165)))</f>
        <v>29.538136514134887</v>
      </c>
      <c r="K165" s="9">
        <f t="shared" si="41"/>
        <v>0.9865807939326916</v>
      </c>
      <c r="L165" s="9">
        <f t="shared" si="42"/>
        <v>-5.8673433338814543E-2</v>
      </c>
      <c r="M165" s="9">
        <f>2*(Inputs!$C$9/(Inputs!$C$10^2))*A165</f>
        <v>4.777777777777778E-2</v>
      </c>
      <c r="N165" s="9">
        <f>M165*Inputs!$C$11</f>
        <v>0.19111111111111112</v>
      </c>
      <c r="O165" s="9">
        <f>1000*((A165*Inputs!$C$11)+(B165*N165))/D165</f>
        <v>404.46699648749711</v>
      </c>
      <c r="P165" s="9">
        <f>-2*O165/Inputs!$C$13</f>
        <v>-161.78679859499886</v>
      </c>
      <c r="Q165" s="9">
        <f>-2*O165/Inputs!$C$14</f>
        <v>-24.292312101351179</v>
      </c>
      <c r="R165" s="9">
        <f>F165-Inputs!$C$16/2</f>
        <v>746.25139478869073</v>
      </c>
      <c r="S165" s="9">
        <f>F165+Inputs!$C$16/2</f>
        <v>776.25139478869073</v>
      </c>
      <c r="T165" s="9">
        <f>F165-Inputs!$C$17/2</f>
        <v>611.25139478869073</v>
      </c>
      <c r="U165" s="9">
        <f>F165+Inputs!$C$17/2</f>
        <v>911.25139478869073</v>
      </c>
      <c r="V165" s="9">
        <f t="shared" si="43"/>
        <v>161.78679859499886</v>
      </c>
      <c r="W165" s="9">
        <f t="shared" si="44"/>
        <v>24.292312101351179</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0</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0</v>
      </c>
      <c r="Z165" s="9">
        <f t="shared" si="45"/>
        <v>400.51361111111112</v>
      </c>
      <c r="AA165" s="9">
        <f>SQRT(A165^2+Inputs!$C$6^2+(B165-Y165/1000)^2)</f>
        <v>401.86863859383499</v>
      </c>
      <c r="AB165" s="9">
        <f t="shared" si="46"/>
        <v>1355.0274827238695</v>
      </c>
      <c r="AC165" s="9">
        <f>AB165/Inputs!$C$12</f>
        <v>761.25139478869073</v>
      </c>
      <c r="AD165" s="9">
        <f>2*AB165/Inputs!$C$21*1000000</f>
        <v>9.0397703248683428</v>
      </c>
      <c r="AE165" s="9">
        <f t="shared" si="47"/>
        <v>4.7064313676414065</v>
      </c>
      <c r="AF165" s="9">
        <f>DEGREES((2*PI()/Inputs!$C$13)*Inputs!$C$15*SIN(RADIANS(AE165)))</f>
        <v>29.538136514134887</v>
      </c>
      <c r="AG165" s="9">
        <f t="shared" si="48"/>
        <v>0.9865807939326916</v>
      </c>
      <c r="AH165" s="9">
        <f t="shared" si="49"/>
        <v>-5.8673433338814543E-2</v>
      </c>
      <c r="AI165" s="9">
        <f t="shared" si="50"/>
        <v>0</v>
      </c>
      <c r="AJ165" s="9">
        <f t="shared" si="51"/>
        <v>0</v>
      </c>
      <c r="AK165" s="9">
        <f t="shared" si="52"/>
        <v>0</v>
      </c>
      <c r="AL165" s="9">
        <f>1000*(AA166-AA164)/(A166-A164)*Inputs!$C$11</f>
        <v>404.46653938442978</v>
      </c>
      <c r="AM165" s="9">
        <f>-2*AL165/Inputs!$C$13</f>
        <v>-161.78661575377191</v>
      </c>
      <c r="AN165" s="9">
        <f>-2*AL165/Inputs!$C$14</f>
        <v>-24.292284647713501</v>
      </c>
      <c r="AO165" s="9">
        <f t="shared" si="53"/>
        <v>161.78661575377191</v>
      </c>
      <c r="AP165" s="9">
        <f t="shared" si="54"/>
        <v>24.292284647713501</v>
      </c>
      <c r="AQ165" s="9">
        <f>IF(OR(Inputs!$C$27=TRUE,Inputs!$C$27="TRUE",Inputs!$C$27=1),Inputs!$C$46/Inputs!$C$12,0)</f>
        <v>0</v>
      </c>
      <c r="AR165" s="9">
        <f t="shared" si="55"/>
        <v>761.25139478869073</v>
      </c>
      <c r="AS165" s="9">
        <f t="shared" si="56"/>
        <v>761.25139478869073</v>
      </c>
    </row>
    <row r="166" spans="1:45">
      <c r="A166" s="9">
        <f>Inputs!$C$7+164*(Inputs!$C$8-Inputs!$C$7)/240</f>
        <v>22</v>
      </c>
      <c r="B166" s="9">
        <f>Inputs!$C$5+Inputs!$C$9*(A166/Inputs!$C$10)^2</f>
        <v>400.53777777777776</v>
      </c>
      <c r="C166" s="9">
        <f t="shared" si="38"/>
        <v>400.53777777777776</v>
      </c>
      <c r="D166" s="9">
        <f>SQRT(A166^2+Inputs!$C$6^2+B166^2)</f>
        <v>401.91978232871355</v>
      </c>
      <c r="E166" s="9">
        <f t="shared" si="39"/>
        <v>1382.0045509357897</v>
      </c>
      <c r="F166" s="9">
        <f>E166/Inputs!$C$12</f>
        <v>776.40705108752229</v>
      </c>
      <c r="G166" s="9">
        <f>2*E166/Inputs!$C$21*1000000</f>
        <v>9.2197419518525017</v>
      </c>
      <c r="H166" s="9">
        <f>SQRT(A166^2+Inputs!$C$6^2)</f>
        <v>33.301651610693426</v>
      </c>
      <c r="I166" s="9">
        <f t="shared" si="40"/>
        <v>4.7527743752411666</v>
      </c>
      <c r="J166" s="9">
        <f>DEGREES((2*PI()/Inputs!$C$13)*Inputs!$C$15*SIN(RADIANS(I166)))</f>
        <v>29.828326713325737</v>
      </c>
      <c r="K166" s="9">
        <f t="shared" si="41"/>
        <v>0.98631674392904456</v>
      </c>
      <c r="L166" s="9">
        <f t="shared" si="42"/>
        <v>-5.9835941355723024E-2</v>
      </c>
      <c r="M166" s="9">
        <f>2*(Inputs!$C$9/(Inputs!$C$10^2))*A166</f>
        <v>4.8888888888888891E-2</v>
      </c>
      <c r="N166" s="9">
        <f>M166*Inputs!$C$11</f>
        <v>0.19555555555555557</v>
      </c>
      <c r="O166" s="9">
        <f>1000*((A166*Inputs!$C$11)+(B166*N166))/D166</f>
        <v>413.83229929769595</v>
      </c>
      <c r="P166" s="9">
        <f>-2*O166/Inputs!$C$13</f>
        <v>-165.53291971907839</v>
      </c>
      <c r="Q166" s="9">
        <f>-2*O166/Inputs!$C$14</f>
        <v>-24.854792750612372</v>
      </c>
      <c r="R166" s="9">
        <f>F166-Inputs!$C$16/2</f>
        <v>761.40705108752229</v>
      </c>
      <c r="S166" s="9">
        <f>F166+Inputs!$C$16/2</f>
        <v>791.40705108752229</v>
      </c>
      <c r="T166" s="9">
        <f>F166-Inputs!$C$17/2</f>
        <v>626.40705108752229</v>
      </c>
      <c r="U166" s="9">
        <f>F166+Inputs!$C$17/2</f>
        <v>926.40705108752229</v>
      </c>
      <c r="V166" s="9">
        <f t="shared" si="43"/>
        <v>165.53291971907839</v>
      </c>
      <c r="W166" s="9">
        <f t="shared" si="44"/>
        <v>24.854792750612372</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0</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0</v>
      </c>
      <c r="Z166" s="9">
        <f t="shared" si="45"/>
        <v>400.53777777777776</v>
      </c>
      <c r="AA166" s="9">
        <f>SQRT(A166^2+Inputs!$C$6^2+(B166-Y166/1000)^2)</f>
        <v>401.91978232871355</v>
      </c>
      <c r="AB166" s="9">
        <f t="shared" si="46"/>
        <v>1382.0045509357897</v>
      </c>
      <c r="AC166" s="9">
        <f>AB166/Inputs!$C$12</f>
        <v>776.40705108752229</v>
      </c>
      <c r="AD166" s="9">
        <f>2*AB166/Inputs!$C$21*1000000</f>
        <v>9.2197419518525017</v>
      </c>
      <c r="AE166" s="9">
        <f t="shared" si="47"/>
        <v>4.7527743752411666</v>
      </c>
      <c r="AF166" s="9">
        <f>DEGREES((2*PI()/Inputs!$C$13)*Inputs!$C$15*SIN(RADIANS(AE166)))</f>
        <v>29.828326713325737</v>
      </c>
      <c r="AG166" s="9">
        <f t="shared" si="48"/>
        <v>0.98631674392904456</v>
      </c>
      <c r="AH166" s="9">
        <f t="shared" si="49"/>
        <v>-5.9835941355723024E-2</v>
      </c>
      <c r="AI166" s="9">
        <f t="shared" si="50"/>
        <v>0</v>
      </c>
      <c r="AJ166" s="9">
        <f t="shared" si="51"/>
        <v>0</v>
      </c>
      <c r="AK166" s="9">
        <f t="shared" si="52"/>
        <v>0</v>
      </c>
      <c r="AL166" s="9">
        <f>1000*(AA167-AA165)/(A167-A165)*Inputs!$C$11</f>
        <v>413.83183186189854</v>
      </c>
      <c r="AM166" s="9">
        <f>-2*AL166/Inputs!$C$13</f>
        <v>-165.53273274475941</v>
      </c>
      <c r="AN166" s="9">
        <f>-2*AL166/Inputs!$C$14</f>
        <v>-24.854764676390303</v>
      </c>
      <c r="AO166" s="9">
        <f t="shared" si="53"/>
        <v>165.53273274475941</v>
      </c>
      <c r="AP166" s="9">
        <f t="shared" si="54"/>
        <v>24.854764676390303</v>
      </c>
      <c r="AQ166" s="9">
        <f>IF(OR(Inputs!$C$27=TRUE,Inputs!$C$27="TRUE",Inputs!$C$27=1),Inputs!$C$46/Inputs!$C$12,0)</f>
        <v>0</v>
      </c>
      <c r="AR166" s="9">
        <f t="shared" si="55"/>
        <v>776.40705108752229</v>
      </c>
      <c r="AS166" s="9">
        <f t="shared" si="56"/>
        <v>776.40705108752229</v>
      </c>
    </row>
    <row r="167" spans="1:45">
      <c r="A167" s="9">
        <f>Inputs!$C$7+165*(Inputs!$C$8-Inputs!$C$7)/240</f>
        <v>22.5</v>
      </c>
      <c r="B167" s="9">
        <f>Inputs!$C$5+Inputs!$C$9*(A167/Inputs!$C$10)^2</f>
        <v>400.5625</v>
      </c>
      <c r="C167" s="9">
        <f t="shared" si="38"/>
        <v>400.5625</v>
      </c>
      <c r="D167" s="9">
        <f>SQRT(A167^2+Inputs!$C$6^2+B167^2)</f>
        <v>401.97209655180046</v>
      </c>
      <c r="E167" s="9">
        <f t="shared" si="39"/>
        <v>1409.5965518004618</v>
      </c>
      <c r="F167" s="9">
        <f>E167/Inputs!$C$12</f>
        <v>791.90817516879872</v>
      </c>
      <c r="G167" s="9">
        <f>2*E167/Inputs!$C$21*1000000</f>
        <v>9.4038159679151221</v>
      </c>
      <c r="H167" s="9">
        <f>SQRT(A167^2+Inputs!$C$6^2)</f>
        <v>33.634060117684278</v>
      </c>
      <c r="I167" s="9">
        <f t="shared" si="40"/>
        <v>4.7996999053579179</v>
      </c>
      <c r="J167" s="9">
        <f>DEGREES((2*PI()/Inputs!$C$13)*Inputs!$C$15*SIN(RADIANS(I167)))</f>
        <v>30.122144661864603</v>
      </c>
      <c r="K167" s="9">
        <f t="shared" si="41"/>
        <v>0.98604679947905038</v>
      </c>
      <c r="L167" s="9">
        <f t="shared" si="42"/>
        <v>-6.1024722056691634E-2</v>
      </c>
      <c r="M167" s="9">
        <f>2*(Inputs!$C$9/(Inputs!$C$10^2))*A167</f>
        <v>0.05</v>
      </c>
      <c r="N167" s="9">
        <f>M167*Inputs!$C$11</f>
        <v>0.2</v>
      </c>
      <c r="O167" s="9">
        <f>1000*((A167*Inputs!$C$11)+(B167*N167))/D167</f>
        <v>423.19479749778679</v>
      </c>
      <c r="P167" s="9">
        <f>-2*O167/Inputs!$C$13</f>
        <v>-169.27791899911472</v>
      </c>
      <c r="Q167" s="9">
        <f>-2*O167/Inputs!$C$14</f>
        <v>-25.417104954822033</v>
      </c>
      <c r="R167" s="9">
        <f>F167-Inputs!$C$16/2</f>
        <v>776.90817516879872</v>
      </c>
      <c r="S167" s="9">
        <f>F167+Inputs!$C$16/2</f>
        <v>806.90817516879872</v>
      </c>
      <c r="T167" s="9">
        <f>F167-Inputs!$C$17/2</f>
        <v>641.90817516879872</v>
      </c>
      <c r="U167" s="9">
        <f>F167+Inputs!$C$17/2</f>
        <v>941.90817516879872</v>
      </c>
      <c r="V167" s="9">
        <f t="shared" si="43"/>
        <v>169.27791899911472</v>
      </c>
      <c r="W167" s="9">
        <f t="shared" si="44"/>
        <v>25.417104954822033</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0</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0</v>
      </c>
      <c r="Z167" s="9">
        <f t="shared" si="45"/>
        <v>400.5625</v>
      </c>
      <c r="AA167" s="9">
        <f>SQRT(A167^2+Inputs!$C$6^2+(B167-Y167/1000)^2)</f>
        <v>401.97209655180046</v>
      </c>
      <c r="AB167" s="9">
        <f t="shared" si="46"/>
        <v>1409.5965518004618</v>
      </c>
      <c r="AC167" s="9">
        <f>AB167/Inputs!$C$12</f>
        <v>791.90817516879872</v>
      </c>
      <c r="AD167" s="9">
        <f>2*AB167/Inputs!$C$21*1000000</f>
        <v>9.4038159679151221</v>
      </c>
      <c r="AE167" s="9">
        <f t="shared" si="47"/>
        <v>4.7996999053579179</v>
      </c>
      <c r="AF167" s="9">
        <f>DEGREES((2*PI()/Inputs!$C$13)*Inputs!$C$15*SIN(RADIANS(AE167)))</f>
        <v>30.122144661864603</v>
      </c>
      <c r="AG167" s="9">
        <f t="shared" si="48"/>
        <v>0.98604679947905038</v>
      </c>
      <c r="AH167" s="9">
        <f t="shared" si="49"/>
        <v>-6.1024722056691634E-2</v>
      </c>
      <c r="AI167" s="9">
        <f t="shared" si="50"/>
        <v>0</v>
      </c>
      <c r="AJ167" s="9">
        <f t="shared" si="51"/>
        <v>0</v>
      </c>
      <c r="AK167" s="9">
        <f t="shared" si="52"/>
        <v>0</v>
      </c>
      <c r="AL167" s="9">
        <f>1000*(AA168-AA166)/(A168-A166)*Inputs!$C$11</f>
        <v>423.19431974965482</v>
      </c>
      <c r="AM167" s="9">
        <f>-2*AL167/Inputs!$C$13</f>
        <v>-169.27772789986193</v>
      </c>
      <c r="AN167" s="9">
        <f>-2*AL167/Inputs!$C$14</f>
        <v>-25.417076261240531</v>
      </c>
      <c r="AO167" s="9">
        <f t="shared" si="53"/>
        <v>169.27772789986193</v>
      </c>
      <c r="AP167" s="9">
        <f t="shared" si="54"/>
        <v>25.417076261240531</v>
      </c>
      <c r="AQ167" s="9">
        <f>IF(OR(Inputs!$C$27=TRUE,Inputs!$C$27="TRUE",Inputs!$C$27=1),Inputs!$C$46/Inputs!$C$12,0)</f>
        <v>0</v>
      </c>
      <c r="AR167" s="9">
        <f t="shared" si="55"/>
        <v>791.90817516879872</v>
      </c>
      <c r="AS167" s="9">
        <f t="shared" si="56"/>
        <v>791.90817516879872</v>
      </c>
    </row>
    <row r="168" spans="1:45">
      <c r="A168" s="9">
        <f>Inputs!$C$7+166*(Inputs!$C$8-Inputs!$C$7)/240</f>
        <v>23</v>
      </c>
      <c r="B168" s="9">
        <f>Inputs!$C$5+Inputs!$C$9*(A168/Inputs!$C$10)^2</f>
        <v>400.58777777777777</v>
      </c>
      <c r="C168" s="9">
        <f t="shared" si="38"/>
        <v>400.58777777777777</v>
      </c>
      <c r="D168" s="9">
        <f>SQRT(A168^2+Inputs!$C$6^2+B168^2)</f>
        <v>402.02558090865097</v>
      </c>
      <c r="E168" s="9">
        <f t="shared" si="39"/>
        <v>1437.803130873192</v>
      </c>
      <c r="F168" s="9">
        <f>E168/Inputs!$C$12</f>
        <v>807.75456790628766</v>
      </c>
      <c r="G168" s="9">
        <f>2*E168/Inputs!$C$21*1000000</f>
        <v>9.5919900084557295</v>
      </c>
      <c r="H168" s="9">
        <f>SQRT(A168^2+Inputs!$C$6^2)</f>
        <v>33.97057550292606</v>
      </c>
      <c r="I168" s="9">
        <f t="shared" si="40"/>
        <v>4.8471897122057523</v>
      </c>
      <c r="J168" s="9">
        <f>DEGREES((2*PI()/Inputs!$C$13)*Inputs!$C$15*SIN(RADIANS(I168)))</f>
        <v>30.419475182182925</v>
      </c>
      <c r="K168" s="9">
        <f t="shared" si="41"/>
        <v>0.98577097239319311</v>
      </c>
      <c r="L168" s="9">
        <f t="shared" si="42"/>
        <v>-6.2239744903502342E-2</v>
      </c>
      <c r="M168" s="9">
        <f>2*(Inputs!$C$9/(Inputs!$C$10^2))*A168</f>
        <v>5.1111111111111114E-2</v>
      </c>
      <c r="N168" s="9">
        <f>M168*Inputs!$C$11</f>
        <v>0.20444444444444446</v>
      </c>
      <c r="O168" s="9">
        <f>1000*((A168*Inputs!$C$11)+(B168*N168))/D168</f>
        <v>432.55442921311464</v>
      </c>
      <c r="P168" s="9">
        <f>-2*O168/Inputs!$C$13</f>
        <v>-173.02177168524585</v>
      </c>
      <c r="Q168" s="9">
        <f>-2*O168/Inputs!$C$14</f>
        <v>-25.979244997784665</v>
      </c>
      <c r="R168" s="9">
        <f>F168-Inputs!$C$16/2</f>
        <v>792.75456790628766</v>
      </c>
      <c r="S168" s="9">
        <f>F168+Inputs!$C$16/2</f>
        <v>822.75456790628766</v>
      </c>
      <c r="T168" s="9">
        <f>F168-Inputs!$C$17/2</f>
        <v>657.75456790628766</v>
      </c>
      <c r="U168" s="9">
        <f>F168+Inputs!$C$17/2</f>
        <v>957.75456790628766</v>
      </c>
      <c r="V168" s="9">
        <f t="shared" si="43"/>
        <v>173.02177168524585</v>
      </c>
      <c r="W168" s="9">
        <f t="shared" si="44"/>
        <v>25.979244997784665</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0</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0</v>
      </c>
      <c r="Z168" s="9">
        <f t="shared" si="45"/>
        <v>400.58777777777777</v>
      </c>
      <c r="AA168" s="9">
        <f>SQRT(A168^2+Inputs!$C$6^2+(B168-Y168/1000)^2)</f>
        <v>402.02558090865097</v>
      </c>
      <c r="AB168" s="9">
        <f t="shared" si="46"/>
        <v>1437.803130873192</v>
      </c>
      <c r="AC168" s="9">
        <f>AB168/Inputs!$C$12</f>
        <v>807.75456790628766</v>
      </c>
      <c r="AD168" s="9">
        <f>2*AB168/Inputs!$C$21*1000000</f>
        <v>9.5919900084557295</v>
      </c>
      <c r="AE168" s="9">
        <f t="shared" si="47"/>
        <v>4.8471897122057523</v>
      </c>
      <c r="AF168" s="9">
        <f>DEGREES((2*PI()/Inputs!$C$13)*Inputs!$C$15*SIN(RADIANS(AE168)))</f>
        <v>30.419475182182925</v>
      </c>
      <c r="AG168" s="9">
        <f t="shared" si="48"/>
        <v>0.98577097239319311</v>
      </c>
      <c r="AH168" s="9">
        <f t="shared" si="49"/>
        <v>-6.2239744903502342E-2</v>
      </c>
      <c r="AI168" s="9">
        <f t="shared" si="50"/>
        <v>0</v>
      </c>
      <c r="AJ168" s="9">
        <f t="shared" si="51"/>
        <v>0</v>
      </c>
      <c r="AK168" s="9">
        <f t="shared" si="52"/>
        <v>0</v>
      </c>
      <c r="AL168" s="9">
        <f>1000*(AA169-AA167)/(A169-A167)*Inputs!$C$11</f>
        <v>432.55394117318247</v>
      </c>
      <c r="AM168" s="9">
        <f>-2*AL168/Inputs!$C$13</f>
        <v>-173.02157646927299</v>
      </c>
      <c r="AN168" s="9">
        <f>-2*AL168/Inputs!$C$14</f>
        <v>-25.979215686077026</v>
      </c>
      <c r="AO168" s="9">
        <f t="shared" si="53"/>
        <v>173.02157646927299</v>
      </c>
      <c r="AP168" s="9">
        <f t="shared" si="54"/>
        <v>25.979215686077026</v>
      </c>
      <c r="AQ168" s="9">
        <f>IF(OR(Inputs!$C$27=TRUE,Inputs!$C$27="TRUE",Inputs!$C$27=1),Inputs!$C$46/Inputs!$C$12,0)</f>
        <v>0</v>
      </c>
      <c r="AR168" s="9">
        <f t="shared" si="55"/>
        <v>807.75456790628766</v>
      </c>
      <c r="AS168" s="9">
        <f t="shared" si="56"/>
        <v>807.75456790628766</v>
      </c>
    </row>
    <row r="169" spans="1:45">
      <c r="A169" s="9">
        <f>Inputs!$C$7+167*(Inputs!$C$8-Inputs!$C$7)/240</f>
        <v>23.5</v>
      </c>
      <c r="B169" s="9">
        <f>Inputs!$C$5+Inputs!$C$9*(A169/Inputs!$C$10)^2</f>
        <v>400.61361111111108</v>
      </c>
      <c r="C169" s="9">
        <f t="shared" si="38"/>
        <v>400.61361111111108</v>
      </c>
      <c r="D169" s="9">
        <f>SQRT(A169^2+Inputs!$C$6^2+B169^2)</f>
        <v>402.08023503709376</v>
      </c>
      <c r="E169" s="9">
        <f t="shared" si="39"/>
        <v>1466.6239259826739</v>
      </c>
      <c r="F169" s="9">
        <f>E169/Inputs!$C$12</f>
        <v>823.94602583296285</v>
      </c>
      <c r="G169" s="9">
        <f>2*E169/Inputs!$C$21*1000000</f>
        <v>9.784261657327443</v>
      </c>
      <c r="H169" s="9">
        <f>SQRT(A169^2+Inputs!$C$6^2)</f>
        <v>34.311076928595526</v>
      </c>
      <c r="I169" s="9">
        <f t="shared" si="40"/>
        <v>4.8952260304560395</v>
      </c>
      <c r="J169" s="9">
        <f>DEGREES((2*PI()/Inputs!$C$13)*Inputs!$C$15*SIN(RADIANS(I169)))</f>
        <v>30.720206112978573</v>
      </c>
      <c r="K169" s="9">
        <f t="shared" si="41"/>
        <v>0.9854892747288152</v>
      </c>
      <c r="L169" s="9">
        <f t="shared" si="42"/>
        <v>-6.3480978700163587E-2</v>
      </c>
      <c r="M169" s="9">
        <f>2*(Inputs!$C$9/(Inputs!$C$10^2))*A169</f>
        <v>5.2222222222222225E-2</v>
      </c>
      <c r="N169" s="9">
        <f>M169*Inputs!$C$11</f>
        <v>0.2088888888888889</v>
      </c>
      <c r="O169" s="9">
        <f>1000*((A169*Inputs!$C$11)+(B169*N169))/D169</f>
        <v>441.91113269313848</v>
      </c>
      <c r="P169" s="9">
        <f>-2*O169/Inputs!$C$13</f>
        <v>-176.76445307725538</v>
      </c>
      <c r="Q169" s="9">
        <f>-2*O169/Inputs!$C$14</f>
        <v>-26.541209170759071</v>
      </c>
      <c r="R169" s="9">
        <f>F169-Inputs!$C$16/2</f>
        <v>808.94602583296285</v>
      </c>
      <c r="S169" s="9">
        <f>F169+Inputs!$C$16/2</f>
        <v>838.94602583296285</v>
      </c>
      <c r="T169" s="9">
        <f>F169-Inputs!$C$17/2</f>
        <v>673.94602583296285</v>
      </c>
      <c r="U169" s="9">
        <f>F169+Inputs!$C$17/2</f>
        <v>973.94602583296285</v>
      </c>
      <c r="V169" s="9">
        <f t="shared" si="43"/>
        <v>176.76445307725538</v>
      </c>
      <c r="W169" s="9">
        <f t="shared" si="44"/>
        <v>26.541209170759071</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0</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0</v>
      </c>
      <c r="Z169" s="9">
        <f t="shared" si="45"/>
        <v>400.61361111111108</v>
      </c>
      <c r="AA169" s="9">
        <f>SQRT(A169^2+Inputs!$C$6^2+(B169-Y169/1000)^2)</f>
        <v>402.08023503709376</v>
      </c>
      <c r="AB169" s="9">
        <f t="shared" si="46"/>
        <v>1466.6239259826739</v>
      </c>
      <c r="AC169" s="9">
        <f>AB169/Inputs!$C$12</f>
        <v>823.94602583296285</v>
      </c>
      <c r="AD169" s="9">
        <f>2*AB169/Inputs!$C$21*1000000</f>
        <v>9.784261657327443</v>
      </c>
      <c r="AE169" s="9">
        <f t="shared" si="47"/>
        <v>4.8952260304560395</v>
      </c>
      <c r="AF169" s="9">
        <f>DEGREES((2*PI()/Inputs!$C$13)*Inputs!$C$15*SIN(RADIANS(AE169)))</f>
        <v>30.720206112978573</v>
      </c>
      <c r="AG169" s="9">
        <f t="shared" si="48"/>
        <v>0.9854892747288152</v>
      </c>
      <c r="AH169" s="9">
        <f t="shared" si="49"/>
        <v>-6.3480978700163587E-2</v>
      </c>
      <c r="AI169" s="9">
        <f t="shared" si="50"/>
        <v>0</v>
      </c>
      <c r="AJ169" s="9">
        <f t="shared" si="51"/>
        <v>0</v>
      </c>
      <c r="AK169" s="9">
        <f t="shared" si="52"/>
        <v>0</v>
      </c>
      <c r="AL169" s="9">
        <f>1000*(AA170-AA168)/(A170-A168)*Inputs!$C$11</f>
        <v>441.91063438256606</v>
      </c>
      <c r="AM169" s="9">
        <f>-2*AL169/Inputs!$C$13</f>
        <v>-176.76425375302642</v>
      </c>
      <c r="AN169" s="9">
        <f>-2*AL169/Inputs!$C$14</f>
        <v>-26.541179242196161</v>
      </c>
      <c r="AO169" s="9">
        <f t="shared" si="53"/>
        <v>176.76425375302642</v>
      </c>
      <c r="AP169" s="9">
        <f t="shared" si="54"/>
        <v>26.541179242196161</v>
      </c>
      <c r="AQ169" s="9">
        <f>IF(OR(Inputs!$C$27=TRUE,Inputs!$C$27="TRUE",Inputs!$C$27=1),Inputs!$C$46/Inputs!$C$12,0)</f>
        <v>0</v>
      </c>
      <c r="AR169" s="9">
        <f t="shared" si="55"/>
        <v>823.94602583296285</v>
      </c>
      <c r="AS169" s="9">
        <f t="shared" si="56"/>
        <v>823.94602583296285</v>
      </c>
    </row>
    <row r="170" spans="1:45">
      <c r="A170" s="9">
        <f>Inputs!$C$7+168*(Inputs!$C$8-Inputs!$C$7)/240</f>
        <v>24</v>
      </c>
      <c r="B170" s="9">
        <f>Inputs!$C$5+Inputs!$C$9*(A170/Inputs!$C$10)^2</f>
        <v>400.64</v>
      </c>
      <c r="C170" s="9">
        <f t="shared" si="38"/>
        <v>400.64</v>
      </c>
      <c r="D170" s="9">
        <f>SQRT(A170^2+Inputs!$C$6^2+B170^2)</f>
        <v>402.13605856724661</v>
      </c>
      <c r="E170" s="9">
        <f t="shared" si="39"/>
        <v>1496.0585672466209</v>
      </c>
      <c r="F170" s="9">
        <f>E170/Inputs!$C$12</f>
        <v>840.48234114978698</v>
      </c>
      <c r="G170" s="9">
        <f>2*E170/Inputs!$C$21*1000000</f>
        <v>9.9806284469412567</v>
      </c>
      <c r="H170" s="9">
        <f>SQRT(A170^2+Inputs!$C$6^2)</f>
        <v>34.655446902326915</v>
      </c>
      <c r="I170" s="9">
        <f t="shared" si="40"/>
        <v>4.9437915722171066</v>
      </c>
      <c r="J170" s="9">
        <f>DEGREES((2*PI()/Inputs!$C$13)*Inputs!$C$15*SIN(RADIANS(I170)))</f>
        <v>31.024228290513804</v>
      </c>
      <c r="K170" s="9">
        <f t="shared" si="41"/>
        <v>0.98520171878891338</v>
      </c>
      <c r="L170" s="9">
        <f t="shared" si="42"/>
        <v>-6.4748391594777438E-2</v>
      </c>
      <c r="M170" s="9">
        <f>2*(Inputs!$C$9/(Inputs!$C$10^2))*A170</f>
        <v>5.333333333333333E-2</v>
      </c>
      <c r="N170" s="9">
        <f>M170*Inputs!$C$11</f>
        <v>0.21333333333333332</v>
      </c>
      <c r="O170" s="9">
        <f>1000*((A170*Inputs!$C$11)+(B170*N170))/D170</f>
        <v>451.26484631400103</v>
      </c>
      <c r="P170" s="9">
        <f>-2*O170/Inputs!$C$13</f>
        <v>-180.50593852560041</v>
      </c>
      <c r="Q170" s="9">
        <f>-2*O170/Inputs!$C$14</f>
        <v>-27.102993772612678</v>
      </c>
      <c r="R170" s="9">
        <f>F170-Inputs!$C$16/2</f>
        <v>825.48234114978698</v>
      </c>
      <c r="S170" s="9">
        <f>F170+Inputs!$C$16/2</f>
        <v>855.48234114978698</v>
      </c>
      <c r="T170" s="9">
        <f>F170-Inputs!$C$17/2</f>
        <v>690.48234114978698</v>
      </c>
      <c r="U170" s="9">
        <f>F170+Inputs!$C$17/2</f>
        <v>990.48234114978698</v>
      </c>
      <c r="V170" s="9">
        <f t="shared" si="43"/>
        <v>180.50593852560041</v>
      </c>
      <c r="W170" s="9">
        <f t="shared" si="44"/>
        <v>27.102993772612678</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0</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0</v>
      </c>
      <c r="Z170" s="9">
        <f t="shared" si="45"/>
        <v>400.64</v>
      </c>
      <c r="AA170" s="9">
        <f>SQRT(A170^2+Inputs!$C$6^2+(B170-Y170/1000)^2)</f>
        <v>402.13605856724661</v>
      </c>
      <c r="AB170" s="9">
        <f t="shared" si="46"/>
        <v>1496.0585672466209</v>
      </c>
      <c r="AC170" s="9">
        <f>AB170/Inputs!$C$12</f>
        <v>840.48234114978698</v>
      </c>
      <c r="AD170" s="9">
        <f>2*AB170/Inputs!$C$21*1000000</f>
        <v>9.9806284469412567</v>
      </c>
      <c r="AE170" s="9">
        <f t="shared" si="47"/>
        <v>4.9437915722171066</v>
      </c>
      <c r="AF170" s="9">
        <f>DEGREES((2*PI()/Inputs!$C$13)*Inputs!$C$15*SIN(RADIANS(AE170)))</f>
        <v>31.024228290513804</v>
      </c>
      <c r="AG170" s="9">
        <f t="shared" si="48"/>
        <v>0.98520171878891338</v>
      </c>
      <c r="AH170" s="9">
        <f t="shared" si="49"/>
        <v>-6.4748391594777438E-2</v>
      </c>
      <c r="AI170" s="9">
        <f t="shared" si="50"/>
        <v>0</v>
      </c>
      <c r="AJ170" s="9">
        <f t="shared" si="51"/>
        <v>0</v>
      </c>
      <c r="AK170" s="9">
        <f t="shared" si="52"/>
        <v>0</v>
      </c>
      <c r="AL170" s="9">
        <f>1000*(AA171-AA169)/(A171-A169)*Inputs!$C$11</f>
        <v>451.26433775430996</v>
      </c>
      <c r="AM170" s="9">
        <f>-2*AL170/Inputs!$C$13</f>
        <v>-180.50573510172399</v>
      </c>
      <c r="AN170" s="9">
        <f>-2*AL170/Inputs!$C$14</f>
        <v>-27.102963228487088</v>
      </c>
      <c r="AO170" s="9">
        <f t="shared" si="53"/>
        <v>180.50573510172399</v>
      </c>
      <c r="AP170" s="9">
        <f t="shared" si="54"/>
        <v>27.102963228487088</v>
      </c>
      <c r="AQ170" s="9">
        <f>IF(OR(Inputs!$C$27=TRUE,Inputs!$C$27="TRUE",Inputs!$C$27=1),Inputs!$C$46/Inputs!$C$12,0)</f>
        <v>0</v>
      </c>
      <c r="AR170" s="9">
        <f t="shared" si="55"/>
        <v>840.48234114978698</v>
      </c>
      <c r="AS170" s="9">
        <f t="shared" si="56"/>
        <v>840.48234114978698</v>
      </c>
    </row>
    <row r="171" spans="1:45">
      <c r="A171" s="9">
        <f>Inputs!$C$7+169*(Inputs!$C$8-Inputs!$C$7)/240</f>
        <v>24.5</v>
      </c>
      <c r="B171" s="9">
        <f>Inputs!$C$5+Inputs!$C$9*(A171/Inputs!$C$10)^2</f>
        <v>400.66694444444443</v>
      </c>
      <c r="C171" s="9">
        <f t="shared" si="38"/>
        <v>400.66694444444443</v>
      </c>
      <c r="D171" s="9">
        <f>SQRT(A171^2+Inputs!$C$6^2+B171^2)</f>
        <v>402.19305112153233</v>
      </c>
      <c r="E171" s="9">
        <f t="shared" si="39"/>
        <v>1526.1066770879097</v>
      </c>
      <c r="F171" s="9">
        <f>E171/Inputs!$C$12</f>
        <v>857.36330173478075</v>
      </c>
      <c r="G171" s="9">
        <f>2*E171/Inputs!$C$21*1000000</f>
        <v>10.18108785837374</v>
      </c>
      <c r="H171" s="9">
        <f>SQRT(A171^2+Inputs!$C$6^2)</f>
        <v>35.003571246374278</v>
      </c>
      <c r="I171" s="9">
        <f t="shared" si="40"/>
        <v>4.9928695227894897</v>
      </c>
      <c r="J171" s="9">
        <f>DEGREES((2*PI()/Inputs!$C$13)*Inputs!$C$15*SIN(RADIANS(I171)))</f>
        <v>31.331435522208853</v>
      </c>
      <c r="K171" s="9">
        <f t="shared" si="41"/>
        <v>0.9849083171209122</v>
      </c>
      <c r="L171" s="9">
        <f t="shared" si="42"/>
        <v>-6.6041951081441522E-2</v>
      </c>
      <c r="M171" s="9">
        <f>2*(Inputs!$C$9/(Inputs!$C$10^2))*A171</f>
        <v>5.4444444444444441E-2</v>
      </c>
      <c r="N171" s="9">
        <f>M171*Inputs!$C$11</f>
        <v>0.21777777777777776</v>
      </c>
      <c r="O171" s="9">
        <f>1000*((A171*Inputs!$C$11)+(B171*N171))/D171</f>
        <v>460.61550858108626</v>
      </c>
      <c r="P171" s="9">
        <f>-2*O171/Inputs!$C$13</f>
        <v>-184.2462034324345</v>
      </c>
      <c r="Q171" s="9">
        <f>-2*O171/Inputs!$C$14</f>
        <v>-27.664595109975153</v>
      </c>
      <c r="R171" s="9">
        <f>F171-Inputs!$C$16/2</f>
        <v>842.36330173478075</v>
      </c>
      <c r="S171" s="9">
        <f>F171+Inputs!$C$16/2</f>
        <v>872.36330173478075</v>
      </c>
      <c r="T171" s="9">
        <f>F171-Inputs!$C$17/2</f>
        <v>707.36330173478075</v>
      </c>
      <c r="U171" s="9">
        <f>F171+Inputs!$C$17/2</f>
        <v>1007.3633017347807</v>
      </c>
      <c r="V171" s="9">
        <f t="shared" si="43"/>
        <v>184.2462034324345</v>
      </c>
      <c r="W171" s="9">
        <f t="shared" si="44"/>
        <v>27.664595109975153</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0</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0</v>
      </c>
      <c r="Z171" s="9">
        <f t="shared" si="45"/>
        <v>400.66694444444443</v>
      </c>
      <c r="AA171" s="9">
        <f>SQRT(A171^2+Inputs!$C$6^2+(B171-Y171/1000)^2)</f>
        <v>402.19305112153233</v>
      </c>
      <c r="AB171" s="9">
        <f t="shared" si="46"/>
        <v>1526.1066770879097</v>
      </c>
      <c r="AC171" s="9">
        <f>AB171/Inputs!$C$12</f>
        <v>857.36330173478075</v>
      </c>
      <c r="AD171" s="9">
        <f>2*AB171/Inputs!$C$21*1000000</f>
        <v>10.18108785837374</v>
      </c>
      <c r="AE171" s="9">
        <f t="shared" si="47"/>
        <v>4.9928695227894897</v>
      </c>
      <c r="AF171" s="9">
        <f>DEGREES((2*PI()/Inputs!$C$13)*Inputs!$C$15*SIN(RADIANS(AE171)))</f>
        <v>31.331435522208853</v>
      </c>
      <c r="AG171" s="9">
        <f t="shared" si="48"/>
        <v>0.9849083171209122</v>
      </c>
      <c r="AH171" s="9">
        <f t="shared" si="49"/>
        <v>-6.6041951081441522E-2</v>
      </c>
      <c r="AI171" s="9">
        <f t="shared" si="50"/>
        <v>0</v>
      </c>
      <c r="AJ171" s="9">
        <f t="shared" si="51"/>
        <v>0</v>
      </c>
      <c r="AK171" s="9">
        <f t="shared" si="52"/>
        <v>0</v>
      </c>
      <c r="AL171" s="9">
        <f>1000*(AA172-AA170)/(A172-A170)*Inputs!$C$11</f>
        <v>460.61498979429416</v>
      </c>
      <c r="AM171" s="9">
        <f>-2*AL171/Inputs!$C$13</f>
        <v>-184.24599591771766</v>
      </c>
      <c r="AN171" s="9">
        <f>-2*AL171/Inputs!$C$14</f>
        <v>-27.66456395160926</v>
      </c>
      <c r="AO171" s="9">
        <f t="shared" si="53"/>
        <v>184.24599591771766</v>
      </c>
      <c r="AP171" s="9">
        <f t="shared" si="54"/>
        <v>27.66456395160926</v>
      </c>
      <c r="AQ171" s="9">
        <f>IF(OR(Inputs!$C$27=TRUE,Inputs!$C$27="TRUE",Inputs!$C$27=1),Inputs!$C$46/Inputs!$C$12,0)</f>
        <v>0</v>
      </c>
      <c r="AR171" s="9">
        <f t="shared" si="55"/>
        <v>857.36330173478075</v>
      </c>
      <c r="AS171" s="9">
        <f t="shared" si="56"/>
        <v>857.36330173478075</v>
      </c>
    </row>
    <row r="172" spans="1:45">
      <c r="A172" s="9">
        <f>Inputs!$C$7+170*(Inputs!$C$8-Inputs!$C$7)/240</f>
        <v>25</v>
      </c>
      <c r="B172" s="9">
        <f>Inputs!$C$5+Inputs!$C$9*(A172/Inputs!$C$10)^2</f>
        <v>400.69444444444446</v>
      </c>
      <c r="C172" s="9">
        <f t="shared" si="38"/>
        <v>400.69444444444446</v>
      </c>
      <c r="D172" s="9">
        <f>SQRT(A172^2+Inputs!$C$6^2+B172^2)</f>
        <v>402.25121231469518</v>
      </c>
      <c r="E172" s="9">
        <f t="shared" si="39"/>
        <v>1556.7678702507237</v>
      </c>
      <c r="F172" s="9">
        <f>E172/Inputs!$C$12</f>
        <v>874.588691152092</v>
      </c>
      <c r="G172" s="9">
        <f>2*E172/Inputs!$C$21*1000000</f>
        <v>10.385637321474738</v>
      </c>
      <c r="H172" s="9">
        <f>SQRT(A172^2+Inputs!$C$6^2)</f>
        <v>35.355339059327378</v>
      </c>
      <c r="I172" s="9">
        <f t="shared" si="40"/>
        <v>5.042443535344872</v>
      </c>
      <c r="J172" s="9">
        <f>DEGREES((2*PI()/Inputs!$C$13)*Inputs!$C$15*SIN(RADIANS(I172)))</f>
        <v>31.641724553462272</v>
      </c>
      <c r="K172" s="9">
        <f t="shared" si="41"/>
        <v>0.98460908251541424</v>
      </c>
      <c r="L172" s="9">
        <f t="shared" si="42"/>
        <v>-6.7361624002190645E-2</v>
      </c>
      <c r="M172" s="9">
        <f>2*(Inputs!$C$9/(Inputs!$C$10^2))*A172</f>
        <v>5.5555555555555552E-2</v>
      </c>
      <c r="N172" s="9">
        <f>M172*Inputs!$C$11</f>
        <v>0.22222222222222221</v>
      </c>
      <c r="O172" s="9">
        <f>1000*((A172*Inputs!$C$11)+(B172*N172))/D172</f>
        <v>469.96305813156403</v>
      </c>
      <c r="P172" s="9">
        <f>-2*O172/Inputs!$C$13</f>
        <v>-187.98522325262562</v>
      </c>
      <c r="Q172" s="9">
        <f>-2*O172/Inputs!$C$14</f>
        <v>-28.226009497391235</v>
      </c>
      <c r="R172" s="9">
        <f>F172-Inputs!$C$16/2</f>
        <v>859.588691152092</v>
      </c>
      <c r="S172" s="9">
        <f>F172+Inputs!$C$16/2</f>
        <v>889.588691152092</v>
      </c>
      <c r="T172" s="9">
        <f>F172-Inputs!$C$17/2</f>
        <v>724.588691152092</v>
      </c>
      <c r="U172" s="9">
        <f>F172+Inputs!$C$17/2</f>
        <v>1024.588691152092</v>
      </c>
      <c r="V172" s="9">
        <f t="shared" si="43"/>
        <v>187.98522325262562</v>
      </c>
      <c r="W172" s="9">
        <f t="shared" si="44"/>
        <v>28.226009497391235</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0</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0</v>
      </c>
      <c r="Z172" s="9">
        <f t="shared" si="45"/>
        <v>400.69444444444446</v>
      </c>
      <c r="AA172" s="9">
        <f>SQRT(A172^2+Inputs!$C$6^2+(B172-Y172/1000)^2)</f>
        <v>402.25121231469518</v>
      </c>
      <c r="AB172" s="9">
        <f t="shared" si="46"/>
        <v>1556.7678702507237</v>
      </c>
      <c r="AC172" s="9">
        <f>AB172/Inputs!$C$12</f>
        <v>874.588691152092</v>
      </c>
      <c r="AD172" s="9">
        <f>2*AB172/Inputs!$C$21*1000000</f>
        <v>10.385637321474738</v>
      </c>
      <c r="AE172" s="9">
        <f t="shared" si="47"/>
        <v>5.042443535344872</v>
      </c>
      <c r="AF172" s="9">
        <f>DEGREES((2*PI()/Inputs!$C$13)*Inputs!$C$15*SIN(RADIANS(AE172)))</f>
        <v>31.641724553462272</v>
      </c>
      <c r="AG172" s="9">
        <f t="shared" si="48"/>
        <v>0.98460908251541424</v>
      </c>
      <c r="AH172" s="9">
        <f t="shared" si="49"/>
        <v>-6.7361624002190645E-2</v>
      </c>
      <c r="AI172" s="9">
        <f t="shared" si="50"/>
        <v>0</v>
      </c>
      <c r="AJ172" s="9">
        <f t="shared" si="51"/>
        <v>0</v>
      </c>
      <c r="AK172" s="9">
        <f t="shared" si="52"/>
        <v>0</v>
      </c>
      <c r="AL172" s="9">
        <f>1000*(AA173-AA171)/(A173-A171)*Inputs!$C$11</f>
        <v>469.96252914004799</v>
      </c>
      <c r="AM172" s="9">
        <f>-2*AL172/Inputs!$C$13</f>
        <v>-187.9850116560192</v>
      </c>
      <c r="AN172" s="9">
        <f>-2*AL172/Inputs!$C$14</f>
        <v>-28.22597772612901</v>
      </c>
      <c r="AO172" s="9">
        <f t="shared" si="53"/>
        <v>187.9850116560192</v>
      </c>
      <c r="AP172" s="9">
        <f t="shared" si="54"/>
        <v>28.22597772612901</v>
      </c>
      <c r="AQ172" s="9">
        <f>IF(OR(Inputs!$C$27=TRUE,Inputs!$C$27="TRUE",Inputs!$C$27=1),Inputs!$C$46/Inputs!$C$12,0)</f>
        <v>0</v>
      </c>
      <c r="AR172" s="9">
        <f t="shared" si="55"/>
        <v>874.588691152092</v>
      </c>
      <c r="AS172" s="9">
        <f t="shared" si="56"/>
        <v>874.588691152092</v>
      </c>
    </row>
    <row r="173" spans="1:45">
      <c r="A173" s="9">
        <f>Inputs!$C$7+171*(Inputs!$C$8-Inputs!$C$7)/240</f>
        <v>25.5</v>
      </c>
      <c r="B173" s="9">
        <f>Inputs!$C$5+Inputs!$C$9*(A173/Inputs!$C$10)^2</f>
        <v>400.72250000000003</v>
      </c>
      <c r="C173" s="9">
        <f t="shared" si="38"/>
        <v>400.72250000000003</v>
      </c>
      <c r="D173" s="9">
        <f>SQRT(A173^2+Inputs!$C$6^2+B173^2)</f>
        <v>402.31054175381735</v>
      </c>
      <c r="E173" s="9">
        <f t="shared" si="39"/>
        <v>1588.0417538173219</v>
      </c>
      <c r="F173" s="9">
        <f>E173/Inputs!$C$12</f>
        <v>892.1582886614168</v>
      </c>
      <c r="G173" s="9">
        <f>2*E173/Inputs!$C$21*1000000</f>
        <v>10.594274214979231</v>
      </c>
      <c r="H173" s="9">
        <f>SQRT(A173^2+Inputs!$C$6^2)</f>
        <v>35.710642671338192</v>
      </c>
      <c r="I173" s="9">
        <f t="shared" si="40"/>
        <v>5.092497724666333</v>
      </c>
      <c r="J173" s="9">
        <f>DEGREES((2*PI()/Inputs!$C$13)*Inputs!$C$15*SIN(RADIANS(I173)))</f>
        <v>31.954995028563069</v>
      </c>
      <c r="K173" s="9">
        <f t="shared" si="41"/>
        <v>0.98430402800492856</v>
      </c>
      <c r="L173" s="9">
        <f t="shared" si="42"/>
        <v>-6.8707376548972202E-2</v>
      </c>
      <c r="M173" s="9">
        <f>2*(Inputs!$C$9/(Inputs!$C$10^2))*A173</f>
        <v>5.6666666666666664E-2</v>
      </c>
      <c r="N173" s="9">
        <f>M173*Inputs!$C$11</f>
        <v>0.22666666666666666</v>
      </c>
      <c r="O173" s="9">
        <f>1000*((A173*Inputs!$C$11)+(B173*N173))/D173</f>
        <v>479.3074337369228</v>
      </c>
      <c r="P173" s="9">
        <f>-2*O173/Inputs!$C$13</f>
        <v>-191.72297349476912</v>
      </c>
      <c r="Q173" s="9">
        <f>-2*O173/Inputs!$C$14</f>
        <v>-28.787233257472842</v>
      </c>
      <c r="R173" s="9">
        <f>F173-Inputs!$C$16/2</f>
        <v>877.1582886614168</v>
      </c>
      <c r="S173" s="9">
        <f>F173+Inputs!$C$16/2</f>
        <v>907.1582886614168</v>
      </c>
      <c r="T173" s="9">
        <f>F173-Inputs!$C$17/2</f>
        <v>742.1582886614168</v>
      </c>
      <c r="U173" s="9">
        <f>F173+Inputs!$C$17/2</f>
        <v>1042.1582886614169</v>
      </c>
      <c r="V173" s="9">
        <f t="shared" si="43"/>
        <v>191.72297349476912</v>
      </c>
      <c r="W173" s="9">
        <f t="shared" si="44"/>
        <v>28.787233257472842</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0</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0</v>
      </c>
      <c r="Z173" s="9">
        <f t="shared" si="45"/>
        <v>400.72250000000003</v>
      </c>
      <c r="AA173" s="9">
        <f>SQRT(A173^2+Inputs!$C$6^2+(B173-Y173/1000)^2)</f>
        <v>402.31054175381735</v>
      </c>
      <c r="AB173" s="9">
        <f t="shared" si="46"/>
        <v>1588.0417538173219</v>
      </c>
      <c r="AC173" s="9">
        <f>AB173/Inputs!$C$12</f>
        <v>892.1582886614168</v>
      </c>
      <c r="AD173" s="9">
        <f>2*AB173/Inputs!$C$21*1000000</f>
        <v>10.594274214979231</v>
      </c>
      <c r="AE173" s="9">
        <f t="shared" si="47"/>
        <v>5.092497724666333</v>
      </c>
      <c r="AF173" s="9">
        <f>DEGREES((2*PI()/Inputs!$C$13)*Inputs!$C$15*SIN(RADIANS(AE173)))</f>
        <v>31.954995028563069</v>
      </c>
      <c r="AG173" s="9">
        <f t="shared" si="48"/>
        <v>0.98430402800492856</v>
      </c>
      <c r="AH173" s="9">
        <f t="shared" si="49"/>
        <v>-6.8707376548972202E-2</v>
      </c>
      <c r="AI173" s="9">
        <f t="shared" si="50"/>
        <v>0</v>
      </c>
      <c r="AJ173" s="9">
        <f t="shared" si="51"/>
        <v>0</v>
      </c>
      <c r="AK173" s="9">
        <f t="shared" si="52"/>
        <v>0</v>
      </c>
      <c r="AL173" s="9">
        <f>1000*(AA174-AA172)/(A174-A172)*Inputs!$C$11</f>
        <v>479.30689456347864</v>
      </c>
      <c r="AM173" s="9">
        <f>-2*AL173/Inputs!$C$13</f>
        <v>-191.72275782539145</v>
      </c>
      <c r="AN173" s="9">
        <f>-2*AL173/Inputs!$C$14</f>
        <v>-28.787200874683403</v>
      </c>
      <c r="AO173" s="9">
        <f t="shared" si="53"/>
        <v>191.72275782539145</v>
      </c>
      <c r="AP173" s="9">
        <f t="shared" si="54"/>
        <v>28.787200874683403</v>
      </c>
      <c r="AQ173" s="9">
        <f>IF(OR(Inputs!$C$27=TRUE,Inputs!$C$27="TRUE",Inputs!$C$27=1),Inputs!$C$46/Inputs!$C$12,0)</f>
        <v>0</v>
      </c>
      <c r="AR173" s="9">
        <f t="shared" si="55"/>
        <v>892.1582886614168</v>
      </c>
      <c r="AS173" s="9">
        <f t="shared" si="56"/>
        <v>892.1582886614168</v>
      </c>
    </row>
    <row r="174" spans="1:45">
      <c r="A174" s="9">
        <f>Inputs!$C$7+172*(Inputs!$C$8-Inputs!$C$7)/240</f>
        <v>26</v>
      </c>
      <c r="B174" s="9">
        <f>Inputs!$C$5+Inputs!$C$9*(A174/Inputs!$C$10)^2</f>
        <v>400.75111111111113</v>
      </c>
      <c r="C174" s="9">
        <f t="shared" si="38"/>
        <v>400.75111111111113</v>
      </c>
      <c r="D174" s="9">
        <f>SQRT(A174^2+Inputs!$C$6^2+B174^2)</f>
        <v>402.37103903833605</v>
      </c>
      <c r="E174" s="9">
        <f t="shared" si="39"/>
        <v>1619.9279272249214</v>
      </c>
      <c r="F174" s="9">
        <f>E174/Inputs!$C$12</f>
        <v>910.07186922748394</v>
      </c>
      <c r="G174" s="9">
        <f>2*E174/Inputs!$C$21*1000000</f>
        <v>10.806995866619976</v>
      </c>
      <c r="H174" s="9">
        <f>SQRT(A174^2+Inputs!$C$6^2)</f>
        <v>36.069377593742864</v>
      </c>
      <c r="I174" s="9">
        <f t="shared" si="40"/>
        <v>5.1430166600771647</v>
      </c>
      <c r="J174" s="9">
        <f>DEGREES((2*PI()/Inputs!$C$13)*Inputs!$C$15*SIN(RADIANS(I174)))</f>
        <v>32.27114944649454</v>
      </c>
      <c r="K174" s="9">
        <f t="shared" si="41"/>
        <v>0.98399316686257443</v>
      </c>
      <c r="L174" s="9">
        <f t="shared" si="42"/>
        <v>-7.0079174265669258E-2</v>
      </c>
      <c r="M174" s="9">
        <f>2*(Inputs!$C$9/(Inputs!$C$10^2))*A174</f>
        <v>5.7777777777777775E-2</v>
      </c>
      <c r="N174" s="9">
        <f>M174*Inputs!$C$11</f>
        <v>0.2311111111111111</v>
      </c>
      <c r="O174" s="9">
        <f>1000*((A174*Inputs!$C$11)+(B174*N174))/D174</f>
        <v>488.64857430548921</v>
      </c>
      <c r="P174" s="9">
        <f>-2*O174/Inputs!$C$13</f>
        <v>-195.45942972219569</v>
      </c>
      <c r="Q174" s="9">
        <f>-2*O174/Inputs!$C$14</f>
        <v>-29.348262721050407</v>
      </c>
      <c r="R174" s="9">
        <f>F174-Inputs!$C$16/2</f>
        <v>895.07186922748394</v>
      </c>
      <c r="S174" s="9">
        <f>F174+Inputs!$C$16/2</f>
        <v>925.07186922748394</v>
      </c>
      <c r="T174" s="9">
        <f>F174-Inputs!$C$17/2</f>
        <v>760.07186922748394</v>
      </c>
      <c r="U174" s="9">
        <f>F174+Inputs!$C$17/2</f>
        <v>1060.0718692274841</v>
      </c>
      <c r="V174" s="9">
        <f t="shared" si="43"/>
        <v>195.45942972219569</v>
      </c>
      <c r="W174" s="9">
        <f t="shared" si="44"/>
        <v>29.348262721050407</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0</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0</v>
      </c>
      <c r="Z174" s="9">
        <f t="shared" si="45"/>
        <v>400.75111111111113</v>
      </c>
      <c r="AA174" s="9">
        <f>SQRT(A174^2+Inputs!$C$6^2+(B174-Y174/1000)^2)</f>
        <v>402.37103903833605</v>
      </c>
      <c r="AB174" s="9">
        <f t="shared" si="46"/>
        <v>1619.9279272249214</v>
      </c>
      <c r="AC174" s="9">
        <f>AB174/Inputs!$C$12</f>
        <v>910.07186922748394</v>
      </c>
      <c r="AD174" s="9">
        <f>2*AB174/Inputs!$C$21*1000000</f>
        <v>10.806995866619976</v>
      </c>
      <c r="AE174" s="9">
        <f t="shared" si="47"/>
        <v>5.1430166600771647</v>
      </c>
      <c r="AF174" s="9">
        <f>DEGREES((2*PI()/Inputs!$C$13)*Inputs!$C$15*SIN(RADIANS(AE174)))</f>
        <v>32.27114944649454</v>
      </c>
      <c r="AG174" s="9">
        <f t="shared" si="48"/>
        <v>0.98399316686257443</v>
      </c>
      <c r="AH174" s="9">
        <f t="shared" si="49"/>
        <v>-7.0079174265669258E-2</v>
      </c>
      <c r="AI174" s="9">
        <f t="shared" si="50"/>
        <v>0</v>
      </c>
      <c r="AJ174" s="9">
        <f t="shared" si="51"/>
        <v>0</v>
      </c>
      <c r="AK174" s="9">
        <f t="shared" si="52"/>
        <v>0</v>
      </c>
      <c r="AL174" s="9">
        <f>1000*(AA175-AA173)/(A175-A173)*Inputs!$C$11</f>
        <v>488.64802497314486</v>
      </c>
      <c r="AM174" s="9">
        <f>-2*AL174/Inputs!$C$13</f>
        <v>-195.45920998925794</v>
      </c>
      <c r="AN174" s="9">
        <f>-2*AL174/Inputs!$C$14</f>
        <v>-29.348229728116809</v>
      </c>
      <c r="AO174" s="9">
        <f t="shared" si="53"/>
        <v>195.45920998925794</v>
      </c>
      <c r="AP174" s="9">
        <f t="shared" si="54"/>
        <v>29.348229728116809</v>
      </c>
      <c r="AQ174" s="9">
        <f>IF(OR(Inputs!$C$27=TRUE,Inputs!$C$27="TRUE",Inputs!$C$27=1),Inputs!$C$46/Inputs!$C$12,0)</f>
        <v>0</v>
      </c>
      <c r="AR174" s="9">
        <f t="shared" si="55"/>
        <v>910.07186922748394</v>
      </c>
      <c r="AS174" s="9">
        <f t="shared" si="56"/>
        <v>910.07186922748394</v>
      </c>
    </row>
    <row r="175" spans="1:45">
      <c r="A175" s="9">
        <f>Inputs!$C$7+173*(Inputs!$C$8-Inputs!$C$7)/240</f>
        <v>26.5</v>
      </c>
      <c r="B175" s="9">
        <f>Inputs!$C$5+Inputs!$C$9*(A175/Inputs!$C$10)^2</f>
        <v>400.78027777777777</v>
      </c>
      <c r="C175" s="9">
        <f t="shared" si="38"/>
        <v>400.78027777777777</v>
      </c>
      <c r="D175" s="9">
        <f>SQRT(A175^2+Inputs!$C$6^2+B175^2)</f>
        <v>402.43270376006063</v>
      </c>
      <c r="E175" s="9">
        <f t="shared" si="39"/>
        <v>1652.425982282864</v>
      </c>
      <c r="F175" s="9">
        <f>E175/Inputs!$C$12</f>
        <v>928.32920352969882</v>
      </c>
      <c r="G175" s="9">
        <f>2*E175/Inputs!$C$21*1000000</f>
        <v>11.023799553242023</v>
      </c>
      <c r="H175" s="9">
        <f>SQRT(A175^2+Inputs!$C$6^2)</f>
        <v>36.431442463893738</v>
      </c>
      <c r="I175" s="9">
        <f t="shared" si="40"/>
        <v>5.1939853576754134</v>
      </c>
      <c r="J175" s="9">
        <f>DEGREES((2*PI()/Inputs!$C$13)*Inputs!$C$15*SIN(RADIANS(I175)))</f>
        <v>32.590093112366418</v>
      </c>
      <c r="K175" s="9">
        <f t="shared" si="41"/>
        <v>0.98367651260076661</v>
      </c>
      <c r="L175" s="9">
        <f t="shared" si="42"/>
        <v>-7.147698205014423E-2</v>
      </c>
      <c r="M175" s="9">
        <f>2*(Inputs!$C$9/(Inputs!$C$10^2))*A175</f>
        <v>5.8888888888888886E-2</v>
      </c>
      <c r="N175" s="9">
        <f>M175*Inputs!$C$11</f>
        <v>0.23555555555555555</v>
      </c>
      <c r="O175" s="9">
        <f>1000*((A175*Inputs!$C$11)+(B175*N175))/D175</f>
        <v>497.98641888493449</v>
      </c>
      <c r="P175" s="9">
        <f>-2*O175/Inputs!$C$13</f>
        <v>-199.1945675539738</v>
      </c>
      <c r="Q175" s="9">
        <f>-2*O175/Inputs!$C$14</f>
        <v>-29.909094227323397</v>
      </c>
      <c r="R175" s="9">
        <f>F175-Inputs!$C$16/2</f>
        <v>913.32920352969882</v>
      </c>
      <c r="S175" s="9">
        <f>F175+Inputs!$C$16/2</f>
        <v>943.32920352969882</v>
      </c>
      <c r="T175" s="9">
        <f>F175-Inputs!$C$17/2</f>
        <v>778.32920352969882</v>
      </c>
      <c r="U175" s="9">
        <f>F175+Inputs!$C$17/2</f>
        <v>1078.3292035296988</v>
      </c>
      <c r="V175" s="9">
        <f t="shared" si="43"/>
        <v>199.1945675539738</v>
      </c>
      <c r="W175" s="9">
        <f t="shared" si="44"/>
        <v>29.909094227323397</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0</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0</v>
      </c>
      <c r="Z175" s="9">
        <f t="shared" si="45"/>
        <v>400.78027777777777</v>
      </c>
      <c r="AA175" s="9">
        <f>SQRT(A175^2+Inputs!$C$6^2+(B175-Y175/1000)^2)</f>
        <v>402.43270376006063</v>
      </c>
      <c r="AB175" s="9">
        <f t="shared" si="46"/>
        <v>1652.425982282864</v>
      </c>
      <c r="AC175" s="9">
        <f>AB175/Inputs!$C$12</f>
        <v>928.32920352969882</v>
      </c>
      <c r="AD175" s="9">
        <f>2*AB175/Inputs!$C$21*1000000</f>
        <v>11.023799553242023</v>
      </c>
      <c r="AE175" s="9">
        <f t="shared" si="47"/>
        <v>5.1939853576754134</v>
      </c>
      <c r="AF175" s="9">
        <f>DEGREES((2*PI()/Inputs!$C$13)*Inputs!$C$15*SIN(RADIANS(AE175)))</f>
        <v>32.590093112366418</v>
      </c>
      <c r="AG175" s="9">
        <f t="shared" si="48"/>
        <v>0.98367651260076661</v>
      </c>
      <c r="AH175" s="9">
        <f t="shared" si="49"/>
        <v>-7.147698205014423E-2</v>
      </c>
      <c r="AI175" s="9">
        <f t="shared" si="50"/>
        <v>0</v>
      </c>
      <c r="AJ175" s="9">
        <f t="shared" si="51"/>
        <v>0</v>
      </c>
      <c r="AK175" s="9">
        <f t="shared" si="52"/>
        <v>0</v>
      </c>
      <c r="AL175" s="9">
        <f>1000*(AA176-AA174)/(A176-A174)*Inputs!$C$11</f>
        <v>497.98585941744022</v>
      </c>
      <c r="AM175" s="9">
        <f>-2*AL175/Inputs!$C$13</f>
        <v>-199.19434376697609</v>
      </c>
      <c r="AN175" s="9">
        <f>-2*AL175/Inputs!$C$14</f>
        <v>-29.909060625672087</v>
      </c>
      <c r="AO175" s="9">
        <f t="shared" si="53"/>
        <v>199.19434376697609</v>
      </c>
      <c r="AP175" s="9">
        <f t="shared" si="54"/>
        <v>29.909060625672087</v>
      </c>
      <c r="AQ175" s="9">
        <f>IF(OR(Inputs!$C$27=TRUE,Inputs!$C$27="TRUE",Inputs!$C$27=1),Inputs!$C$46/Inputs!$C$12,0)</f>
        <v>0</v>
      </c>
      <c r="AR175" s="9">
        <f t="shared" si="55"/>
        <v>928.32920352969882</v>
      </c>
      <c r="AS175" s="9">
        <f t="shared" si="56"/>
        <v>928.32920352969882</v>
      </c>
    </row>
    <row r="176" spans="1:45">
      <c r="A176" s="9">
        <f>Inputs!$C$7+174*(Inputs!$C$8-Inputs!$C$7)/240</f>
        <v>27</v>
      </c>
      <c r="B176" s="9">
        <f>Inputs!$C$5+Inputs!$C$9*(A176/Inputs!$C$10)^2</f>
        <v>400.81</v>
      </c>
      <c r="C176" s="9">
        <f t="shared" si="38"/>
        <v>400.81</v>
      </c>
      <c r="D176" s="9">
        <f>SQRT(A176^2+Inputs!$C$6^2+B176^2)</f>
        <v>402.49553550319041</v>
      </c>
      <c r="E176" s="9">
        <f t="shared" si="39"/>
        <v>1685.5355031904082</v>
      </c>
      <c r="F176" s="9">
        <f>E176/Inputs!$C$12</f>
        <v>946.93005797213948</v>
      </c>
      <c r="G176" s="9">
        <f>2*E176/Inputs!$C$21*1000000</f>
        <v>11.244682500921408</v>
      </c>
      <c r="H176" s="9">
        <f>SQRT(A176^2+Inputs!$C$6^2)</f>
        <v>36.796738985948195</v>
      </c>
      <c r="I176" s="9">
        <f t="shared" si="40"/>
        <v>5.2453892719816002</v>
      </c>
      <c r="J176" s="9">
        <f>DEGREES((2*PI()/Inputs!$C$13)*Inputs!$C$15*SIN(RADIANS(I176)))</f>
        <v>32.911734085150734</v>
      </c>
      <c r="K176" s="9">
        <f t="shared" si="41"/>
        <v>0.98335407896987592</v>
      </c>
      <c r="L176" s="9">
        <f t="shared" si="42"/>
        <v>-7.2900764156331274E-2</v>
      </c>
      <c r="M176" s="9">
        <f>2*(Inputs!$C$9/(Inputs!$C$10^2))*A176</f>
        <v>0.06</v>
      </c>
      <c r="N176" s="9">
        <f>M176*Inputs!$C$11</f>
        <v>0.24</v>
      </c>
      <c r="O176" s="9">
        <f>1000*((A176*Inputs!$C$11)+(B176*N176))/D176</f>
        <v>507.3209066647683</v>
      </c>
      <c r="P176" s="9">
        <f>-2*O176/Inputs!$C$13</f>
        <v>-202.92836266590731</v>
      </c>
      <c r="Q176" s="9">
        <f>-2*O176/Inputs!$C$14</f>
        <v>-30.46972412401011</v>
      </c>
      <c r="R176" s="9">
        <f>F176-Inputs!$C$16/2</f>
        <v>931.93005797213948</v>
      </c>
      <c r="S176" s="9">
        <f>F176+Inputs!$C$16/2</f>
        <v>961.93005797213948</v>
      </c>
      <c r="T176" s="9">
        <f>F176-Inputs!$C$17/2</f>
        <v>796.93005797213948</v>
      </c>
      <c r="U176" s="9">
        <f>F176+Inputs!$C$17/2</f>
        <v>1096.9300579721394</v>
      </c>
      <c r="V176" s="9">
        <f t="shared" si="43"/>
        <v>202.92836266590731</v>
      </c>
      <c r="W176" s="9">
        <f t="shared" si="44"/>
        <v>30.46972412401011</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0</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0</v>
      </c>
      <c r="Z176" s="9">
        <f t="shared" si="45"/>
        <v>400.81</v>
      </c>
      <c r="AA176" s="9">
        <f>SQRT(A176^2+Inputs!$C$6^2+(B176-Y176/1000)^2)</f>
        <v>402.49553550319041</v>
      </c>
      <c r="AB176" s="9">
        <f t="shared" si="46"/>
        <v>1685.5355031904082</v>
      </c>
      <c r="AC176" s="9">
        <f>AB176/Inputs!$C$12</f>
        <v>946.93005797213948</v>
      </c>
      <c r="AD176" s="9">
        <f>2*AB176/Inputs!$C$21*1000000</f>
        <v>11.244682500921408</v>
      </c>
      <c r="AE176" s="9">
        <f t="shared" si="47"/>
        <v>5.2453892719816002</v>
      </c>
      <c r="AF176" s="9">
        <f>DEGREES((2*PI()/Inputs!$C$13)*Inputs!$C$15*SIN(RADIANS(AE176)))</f>
        <v>32.911734085150734</v>
      </c>
      <c r="AG176" s="9">
        <f t="shared" si="48"/>
        <v>0.98335407896987592</v>
      </c>
      <c r="AH176" s="9">
        <f t="shared" si="49"/>
        <v>-7.2900764156331274E-2</v>
      </c>
      <c r="AI176" s="9">
        <f t="shared" si="50"/>
        <v>0</v>
      </c>
      <c r="AJ176" s="9">
        <f t="shared" si="51"/>
        <v>0</v>
      </c>
      <c r="AK176" s="9">
        <f t="shared" si="52"/>
        <v>0</v>
      </c>
      <c r="AL176" s="9">
        <f>1000*(AA177-AA175)/(A177-A175)*Inputs!$C$11</f>
        <v>507.32033708618474</v>
      </c>
      <c r="AM176" s="9">
        <f>-2*AL176/Inputs!$C$13</f>
        <v>-202.92813483447389</v>
      </c>
      <c r="AN176" s="9">
        <f>-2*AL176/Inputs!$C$14</f>
        <v>-30.469689915086175</v>
      </c>
      <c r="AO176" s="9">
        <f t="shared" si="53"/>
        <v>202.92813483447389</v>
      </c>
      <c r="AP176" s="9">
        <f t="shared" si="54"/>
        <v>30.469689915086175</v>
      </c>
      <c r="AQ176" s="9">
        <f>IF(OR(Inputs!$C$27=TRUE,Inputs!$C$27="TRUE",Inputs!$C$27=1),Inputs!$C$46/Inputs!$C$12,0)</f>
        <v>0</v>
      </c>
      <c r="AR176" s="9">
        <f t="shared" si="55"/>
        <v>946.93005797213948</v>
      </c>
      <c r="AS176" s="9">
        <f t="shared" si="56"/>
        <v>946.93005797213948</v>
      </c>
    </row>
    <row r="177" spans="1:45">
      <c r="A177" s="9">
        <f>Inputs!$C$7+175*(Inputs!$C$8-Inputs!$C$7)/240</f>
        <v>27.5</v>
      </c>
      <c r="B177" s="9">
        <f>Inputs!$C$5+Inputs!$C$9*(A177/Inputs!$C$10)^2</f>
        <v>400.84027777777777</v>
      </c>
      <c r="C177" s="9">
        <f t="shared" si="38"/>
        <v>400.84027777777777</v>
      </c>
      <c r="D177" s="9">
        <f>SQRT(A177^2+Inputs!$C$6^2+B177^2)</f>
        <v>402.55953384433218</v>
      </c>
      <c r="E177" s="9">
        <f t="shared" si="39"/>
        <v>1719.2560665544079</v>
      </c>
      <c r="F177" s="9">
        <f>E177/Inputs!$C$12</f>
        <v>965.87419469348754</v>
      </c>
      <c r="G177" s="9">
        <f>2*E177/Inputs!$C$21*1000000</f>
        <v>11.469641885083099</v>
      </c>
      <c r="H177" s="9">
        <f>SQRT(A177^2+Inputs!$C$6^2)</f>
        <v>37.165171868296262</v>
      </c>
      <c r="I177" s="9">
        <f t="shared" si="40"/>
        <v>5.2972142870977459</v>
      </c>
      <c r="J177" s="9">
        <f>DEGREES((2*PI()/Inputs!$C$13)*Inputs!$C$15*SIN(RADIANS(I177)))</f>
        <v>33.235983122338439</v>
      </c>
      <c r="K177" s="9">
        <f t="shared" si="41"/>
        <v>0.9830258799568693</v>
      </c>
      <c r="L177" s="9">
        <f t="shared" si="42"/>
        <v>-7.4350484196360728E-2</v>
      </c>
      <c r="M177" s="9">
        <f>2*(Inputs!$C$9/(Inputs!$C$10^2))*A177</f>
        <v>6.1111111111111109E-2</v>
      </c>
      <c r="N177" s="9">
        <f>M177*Inputs!$C$11</f>
        <v>0.24444444444444444</v>
      </c>
      <c r="O177" s="9">
        <f>1000*((A177*Inputs!$C$11)+(B177*N177))/D177</f>
        <v>516.65197697881808</v>
      </c>
      <c r="P177" s="9">
        <f>-2*O177/Inputs!$C$13</f>
        <v>-206.66079079152723</v>
      </c>
      <c r="Q177" s="9">
        <f>-2*O177/Inputs!$C$14</f>
        <v>-31.030148767496584</v>
      </c>
      <c r="R177" s="9">
        <f>F177-Inputs!$C$16/2</f>
        <v>950.87419469348754</v>
      </c>
      <c r="S177" s="9">
        <f>F177+Inputs!$C$16/2</f>
        <v>980.87419469348754</v>
      </c>
      <c r="T177" s="9">
        <f>F177-Inputs!$C$17/2</f>
        <v>815.87419469348754</v>
      </c>
      <c r="U177" s="9">
        <f>F177+Inputs!$C$17/2</f>
        <v>1115.8741946934874</v>
      </c>
      <c r="V177" s="9">
        <f t="shared" si="43"/>
        <v>206.66079079152723</v>
      </c>
      <c r="W177" s="9">
        <f t="shared" si="44"/>
        <v>31.030148767496584</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0</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0</v>
      </c>
      <c r="Z177" s="9">
        <f t="shared" si="45"/>
        <v>400.84027777777777</v>
      </c>
      <c r="AA177" s="9">
        <f>SQRT(A177^2+Inputs!$C$6^2+(B177-Y177/1000)^2)</f>
        <v>402.55953384433218</v>
      </c>
      <c r="AB177" s="9">
        <f t="shared" si="46"/>
        <v>1719.2560665544079</v>
      </c>
      <c r="AC177" s="9">
        <f>AB177/Inputs!$C$12</f>
        <v>965.87419469348754</v>
      </c>
      <c r="AD177" s="9">
        <f>2*AB177/Inputs!$C$21*1000000</f>
        <v>11.469641885083099</v>
      </c>
      <c r="AE177" s="9">
        <f t="shared" si="47"/>
        <v>5.2972142870977459</v>
      </c>
      <c r="AF177" s="9">
        <f>DEGREES((2*PI()/Inputs!$C$13)*Inputs!$C$15*SIN(RADIANS(AE177)))</f>
        <v>33.235983122338439</v>
      </c>
      <c r="AG177" s="9">
        <f t="shared" si="48"/>
        <v>0.9830258799568693</v>
      </c>
      <c r="AH177" s="9">
        <f t="shared" si="49"/>
        <v>-7.4350484196360728E-2</v>
      </c>
      <c r="AI177" s="9">
        <f t="shared" si="50"/>
        <v>0</v>
      </c>
      <c r="AJ177" s="9">
        <f t="shared" si="51"/>
        <v>0</v>
      </c>
      <c r="AK177" s="9">
        <f t="shared" si="52"/>
        <v>0</v>
      </c>
      <c r="AL177" s="9">
        <f>1000*(AA178-AA176)/(A178-A176)*Inputs!$C$11</f>
        <v>516.65139731380805</v>
      </c>
      <c r="AM177" s="9">
        <f>-2*AL177/Inputs!$C$13</f>
        <v>-206.66055892552322</v>
      </c>
      <c r="AN177" s="9">
        <f>-2*AL177/Inputs!$C$14</f>
        <v>-31.030113952781267</v>
      </c>
      <c r="AO177" s="9">
        <f t="shared" si="53"/>
        <v>206.66055892552322</v>
      </c>
      <c r="AP177" s="9">
        <f t="shared" si="54"/>
        <v>31.030113952781267</v>
      </c>
      <c r="AQ177" s="9">
        <f>IF(OR(Inputs!$C$27=TRUE,Inputs!$C$27="TRUE",Inputs!$C$27=1),Inputs!$C$46/Inputs!$C$12,0)</f>
        <v>0</v>
      </c>
      <c r="AR177" s="9">
        <f t="shared" si="55"/>
        <v>965.87419469348754</v>
      </c>
      <c r="AS177" s="9">
        <f t="shared" si="56"/>
        <v>965.87419469348754</v>
      </c>
    </row>
    <row r="178" spans="1:45">
      <c r="A178" s="9">
        <f>Inputs!$C$7+176*(Inputs!$C$8-Inputs!$C$7)/240</f>
        <v>28</v>
      </c>
      <c r="B178" s="9">
        <f>Inputs!$C$5+Inputs!$C$9*(A178/Inputs!$C$10)^2</f>
        <v>400.87111111111113</v>
      </c>
      <c r="C178" s="9">
        <f t="shared" si="38"/>
        <v>400.87111111111113</v>
      </c>
      <c r="D178" s="9">
        <f>SQRT(A178^2+Inputs!$C$6^2+B178^2)</f>
        <v>402.62469835251886</v>
      </c>
      <c r="E178" s="9">
        <f t="shared" si="39"/>
        <v>1753.5872414077289</v>
      </c>
      <c r="F178" s="9">
        <f>E178/Inputs!$C$12</f>
        <v>985.1613715773758</v>
      </c>
      <c r="G178" s="9">
        <f>2*E178/Inputs!$C$21*1000000</f>
        <v>11.698674830623849</v>
      </c>
      <c r="H178" s="9">
        <f>SQRT(A178^2+Inputs!$C$6^2)</f>
        <v>37.536648758246919</v>
      </c>
      <c r="I178" s="9">
        <f t="shared" si="40"/>
        <v>5.3494467074669219</v>
      </c>
      <c r="J178" s="9">
        <f>DEGREES((2*PI()/Inputs!$C$13)*Inputs!$C$15*SIN(RADIANS(I178)))</f>
        <v>33.562753622077572</v>
      </c>
      <c r="K178" s="9">
        <f t="shared" si="41"/>
        <v>0.98269192978392739</v>
      </c>
      <c r="L178" s="9">
        <f t="shared" si="42"/>
        <v>-7.5826105142723588E-2</v>
      </c>
      <c r="M178" s="9">
        <f>2*(Inputs!$C$9/(Inputs!$C$10^2))*A178</f>
        <v>6.222222222222222E-2</v>
      </c>
      <c r="N178" s="9">
        <f>M178*Inputs!$C$11</f>
        <v>0.24888888888888888</v>
      </c>
      <c r="O178" s="9">
        <f>1000*((A178*Inputs!$C$11)+(B178*N178))/D178</f>
        <v>525.97956930769567</v>
      </c>
      <c r="P178" s="9">
        <f>-2*O178/Inputs!$C$13</f>
        <v>-210.39182772307828</v>
      </c>
      <c r="Q178" s="9">
        <f>-2*O178/Inputs!$C$14</f>
        <v>-31.590364522984729</v>
      </c>
      <c r="R178" s="9">
        <f>F178-Inputs!$C$16/2</f>
        <v>970.1613715773758</v>
      </c>
      <c r="S178" s="9">
        <f>F178+Inputs!$C$16/2</f>
        <v>1000.1613715773758</v>
      </c>
      <c r="T178" s="9">
        <f>F178-Inputs!$C$17/2</f>
        <v>835.1613715773758</v>
      </c>
      <c r="U178" s="9">
        <f>F178+Inputs!$C$17/2</f>
        <v>1135.1613715773758</v>
      </c>
      <c r="V178" s="9">
        <f t="shared" si="43"/>
        <v>210.39182772307828</v>
      </c>
      <c r="W178" s="9">
        <f t="shared" si="44"/>
        <v>31.590364522984729</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0</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0</v>
      </c>
      <c r="Z178" s="9">
        <f t="shared" si="45"/>
        <v>400.87111111111113</v>
      </c>
      <c r="AA178" s="9">
        <f>SQRT(A178^2+Inputs!$C$6^2+(B178-Y178/1000)^2)</f>
        <v>402.62469835251886</v>
      </c>
      <c r="AB178" s="9">
        <f t="shared" si="46"/>
        <v>1753.5872414077289</v>
      </c>
      <c r="AC178" s="9">
        <f>AB178/Inputs!$C$12</f>
        <v>985.1613715773758</v>
      </c>
      <c r="AD178" s="9">
        <f>2*AB178/Inputs!$C$21*1000000</f>
        <v>11.698674830623849</v>
      </c>
      <c r="AE178" s="9">
        <f t="shared" si="47"/>
        <v>5.3494467074669219</v>
      </c>
      <c r="AF178" s="9">
        <f>DEGREES((2*PI()/Inputs!$C$13)*Inputs!$C$15*SIN(RADIANS(AE178)))</f>
        <v>33.562753622077572</v>
      </c>
      <c r="AG178" s="9">
        <f t="shared" si="48"/>
        <v>0.98269192978392739</v>
      </c>
      <c r="AH178" s="9">
        <f t="shared" si="49"/>
        <v>-7.5826105142723588E-2</v>
      </c>
      <c r="AI178" s="9">
        <f t="shared" si="50"/>
        <v>0</v>
      </c>
      <c r="AJ178" s="9">
        <f t="shared" si="51"/>
        <v>0</v>
      </c>
      <c r="AK178" s="9">
        <f t="shared" si="52"/>
        <v>0</v>
      </c>
      <c r="AL178" s="9">
        <f>1000*(AA179-AA177)/(A179-A177)*Inputs!$C$11</f>
        <v>525.97897958094109</v>
      </c>
      <c r="AM178" s="9">
        <f>-2*AL178/Inputs!$C$13</f>
        <v>-210.39159183237643</v>
      </c>
      <c r="AN178" s="9">
        <f>-2*AL178/Inputs!$C$14</f>
        <v>-31.590329103960428</v>
      </c>
      <c r="AO178" s="9">
        <f t="shared" si="53"/>
        <v>210.39159183237643</v>
      </c>
      <c r="AP178" s="9">
        <f t="shared" si="54"/>
        <v>31.590329103960428</v>
      </c>
      <c r="AQ178" s="9">
        <f>IF(OR(Inputs!$C$27=TRUE,Inputs!$C$27="TRUE",Inputs!$C$27=1),Inputs!$C$46/Inputs!$C$12,0)</f>
        <v>0</v>
      </c>
      <c r="AR178" s="9">
        <f t="shared" si="55"/>
        <v>985.1613715773758</v>
      </c>
      <c r="AS178" s="9">
        <f t="shared" si="56"/>
        <v>985.1613715773758</v>
      </c>
    </row>
    <row r="179" spans="1:45">
      <c r="A179" s="9">
        <f>Inputs!$C$7+177*(Inputs!$C$8-Inputs!$C$7)/240</f>
        <v>28.5</v>
      </c>
      <c r="B179" s="9">
        <f>Inputs!$C$5+Inputs!$C$9*(A179/Inputs!$C$10)^2</f>
        <v>400.90249999999997</v>
      </c>
      <c r="C179" s="9">
        <f t="shared" si="38"/>
        <v>400.90249999999997</v>
      </c>
      <c r="D179" s="9">
        <f>SQRT(A179^2+Inputs!$C$6^2+B179^2)</f>
        <v>402.69102858922741</v>
      </c>
      <c r="E179" s="9">
        <f t="shared" si="39"/>
        <v>1788.5285892274396</v>
      </c>
      <c r="F179" s="9">
        <f>E179/Inputs!$C$12</f>
        <v>1004.7913422626065</v>
      </c>
      <c r="G179" s="9">
        <f>2*E179/Inputs!$C$21*1000000</f>
        <v>11.931778412033564</v>
      </c>
      <c r="H179" s="9">
        <f>SQRT(A179^2+Inputs!$C$6^2)</f>
        <v>37.911080174534725</v>
      </c>
      <c r="I179" s="9">
        <f t="shared" si="40"/>
        <v>5.4020732483141956</v>
      </c>
      <c r="J179" s="9">
        <f>DEGREES((2*PI()/Inputs!$C$13)*Inputs!$C$15*SIN(RADIANS(I179)))</f>
        <v>33.891961563301649</v>
      </c>
      <c r="K179" s="9">
        <f t="shared" si="41"/>
        <v>0.98235224290704515</v>
      </c>
      <c r="L179" s="9">
        <f t="shared" si="42"/>
        <v>-7.7327589330453916E-2</v>
      </c>
      <c r="M179" s="9">
        <f>2*(Inputs!$C$9/(Inputs!$C$10^2))*A179</f>
        <v>6.3333333333333339E-2</v>
      </c>
      <c r="N179" s="9">
        <f>M179*Inputs!$C$11</f>
        <v>0.25333333333333335</v>
      </c>
      <c r="O179" s="9">
        <f>1000*((A179*Inputs!$C$11)+(B179*N179))/D179</f>
        <v>535.30362328124943</v>
      </c>
      <c r="P179" s="9">
        <f>-2*O179/Inputs!$C$13</f>
        <v>-214.12144931249978</v>
      </c>
      <c r="Q179" s="9">
        <f>-2*O179/Inputs!$C$14</f>
        <v>-32.150367764639611</v>
      </c>
      <c r="R179" s="9">
        <f>F179-Inputs!$C$16/2</f>
        <v>989.79134226260646</v>
      </c>
      <c r="S179" s="9">
        <f>F179+Inputs!$C$16/2</f>
        <v>1019.7913422626065</v>
      </c>
      <c r="T179" s="9">
        <f>F179-Inputs!$C$17/2</f>
        <v>854.79134226260646</v>
      </c>
      <c r="U179" s="9">
        <f>F179+Inputs!$C$17/2</f>
        <v>1154.7913422626066</v>
      </c>
      <c r="V179" s="9">
        <f t="shared" si="43"/>
        <v>214.12144931249978</v>
      </c>
      <c r="W179" s="9">
        <f t="shared" si="44"/>
        <v>32.150367764639611</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0</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0</v>
      </c>
      <c r="Z179" s="9">
        <f t="shared" si="45"/>
        <v>400.90249999999997</v>
      </c>
      <c r="AA179" s="9">
        <f>SQRT(A179^2+Inputs!$C$6^2+(B179-Y179/1000)^2)</f>
        <v>402.69102858922741</v>
      </c>
      <c r="AB179" s="9">
        <f t="shared" si="46"/>
        <v>1788.5285892274396</v>
      </c>
      <c r="AC179" s="9">
        <f>AB179/Inputs!$C$12</f>
        <v>1004.7913422626065</v>
      </c>
      <c r="AD179" s="9">
        <f>2*AB179/Inputs!$C$21*1000000</f>
        <v>11.931778412033564</v>
      </c>
      <c r="AE179" s="9">
        <f t="shared" si="47"/>
        <v>5.4020732483141956</v>
      </c>
      <c r="AF179" s="9">
        <f>DEGREES((2*PI()/Inputs!$C$13)*Inputs!$C$15*SIN(RADIANS(AE179)))</f>
        <v>33.891961563301649</v>
      </c>
      <c r="AG179" s="9">
        <f t="shared" si="48"/>
        <v>0.98235224290704515</v>
      </c>
      <c r="AH179" s="9">
        <f t="shared" si="49"/>
        <v>-7.7327589330453916E-2</v>
      </c>
      <c r="AI179" s="9">
        <f t="shared" si="50"/>
        <v>0</v>
      </c>
      <c r="AJ179" s="9">
        <f t="shared" si="51"/>
        <v>0</v>
      </c>
      <c r="AK179" s="9">
        <f t="shared" si="52"/>
        <v>0</v>
      </c>
      <c r="AL179" s="9">
        <f>1000*(AA180-AA178)/(A180-A178)*Inputs!$C$11</f>
        <v>535.30302351805403</v>
      </c>
      <c r="AM179" s="9">
        <f>-2*AL179/Inputs!$C$13</f>
        <v>-214.12120940722161</v>
      </c>
      <c r="AN179" s="9">
        <f>-2*AL179/Inputs!$C$14</f>
        <v>-32.150331742826069</v>
      </c>
      <c r="AO179" s="9">
        <f t="shared" si="53"/>
        <v>214.12120940722161</v>
      </c>
      <c r="AP179" s="9">
        <f t="shared" si="54"/>
        <v>32.150331742826069</v>
      </c>
      <c r="AQ179" s="9">
        <f>IF(OR(Inputs!$C$27=TRUE,Inputs!$C$27="TRUE",Inputs!$C$27=1),Inputs!$C$46/Inputs!$C$12,0)</f>
        <v>0</v>
      </c>
      <c r="AR179" s="9">
        <f t="shared" si="55"/>
        <v>1004.7913422626065</v>
      </c>
      <c r="AS179" s="9">
        <f t="shared" si="56"/>
        <v>1004.7913422626065</v>
      </c>
    </row>
    <row r="180" spans="1:45">
      <c r="A180" s="9">
        <f>Inputs!$C$7+178*(Inputs!$C$8-Inputs!$C$7)/240</f>
        <v>29</v>
      </c>
      <c r="B180" s="9">
        <f>Inputs!$C$5+Inputs!$C$9*(A180/Inputs!$C$10)^2</f>
        <v>400.93444444444447</v>
      </c>
      <c r="C180" s="9">
        <f t="shared" si="38"/>
        <v>400.93444444444447</v>
      </c>
      <c r="D180" s="9">
        <f>SQRT(A180^2+Inputs!$C$6^2+B180^2)</f>
        <v>402.75852410839838</v>
      </c>
      <c r="E180" s="9">
        <f t="shared" si="39"/>
        <v>1824.0796639539099</v>
      </c>
      <c r="F180" s="9">
        <f>E180/Inputs!$C$12</f>
        <v>1024.763856153882</v>
      </c>
      <c r="G180" s="9">
        <f>2*E180/Inputs!$C$21*1000000</f>
        <v>12.168949653522704</v>
      </c>
      <c r="H180" s="9">
        <f>SQRT(A180^2+Inputs!$C$6^2)</f>
        <v>38.288379438153292</v>
      </c>
      <c r="I180" s="9">
        <f t="shared" si="40"/>
        <v>5.4550810258419062</v>
      </c>
      <c r="J180" s="9">
        <f>DEGREES((2*PI()/Inputs!$C$13)*Inputs!$C$15*SIN(RADIANS(I180)))</f>
        <v>34.223525444306702</v>
      </c>
      <c r="K180" s="9">
        <f t="shared" si="41"/>
        <v>0.9820068340146042</v>
      </c>
      <c r="L180" s="9">
        <f t="shared" si="42"/>
        <v>-7.8854898459378958E-2</v>
      </c>
      <c r="M180" s="9">
        <f>2*(Inputs!$C$9/(Inputs!$C$10^2))*A180</f>
        <v>6.4444444444444443E-2</v>
      </c>
      <c r="N180" s="9">
        <f>M180*Inputs!$C$11</f>
        <v>0.25777777777777777</v>
      </c>
      <c r="O180" s="9">
        <f>1000*((A180*Inputs!$C$11)+(B180*N180))/D180</f>
        <v>544.62407868100252</v>
      </c>
      <c r="P180" s="9">
        <f>-2*O180/Inputs!$C$13</f>
        <v>-217.849631472401</v>
      </c>
      <c r="Q180" s="9">
        <f>-2*O180/Inputs!$C$14</f>
        <v>-32.710154875735888</v>
      </c>
      <c r="R180" s="9">
        <f>F180-Inputs!$C$16/2</f>
        <v>1009.763856153882</v>
      </c>
      <c r="S180" s="9">
        <f>F180+Inputs!$C$16/2</f>
        <v>1039.763856153882</v>
      </c>
      <c r="T180" s="9">
        <f>F180-Inputs!$C$17/2</f>
        <v>874.76385615388199</v>
      </c>
      <c r="U180" s="9">
        <f>F180+Inputs!$C$17/2</f>
        <v>1174.763856153882</v>
      </c>
      <c r="V180" s="9">
        <f t="shared" si="43"/>
        <v>217.849631472401</v>
      </c>
      <c r="W180" s="9">
        <f t="shared" si="44"/>
        <v>32.710154875735888</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0</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0</v>
      </c>
      <c r="Z180" s="9">
        <f t="shared" si="45"/>
        <v>400.93444444444447</v>
      </c>
      <c r="AA180" s="9">
        <f>SQRT(A180^2+Inputs!$C$6^2+(B180-Y180/1000)^2)</f>
        <v>402.75852410839838</v>
      </c>
      <c r="AB180" s="9">
        <f t="shared" si="46"/>
        <v>1824.0796639539099</v>
      </c>
      <c r="AC180" s="9">
        <f>AB180/Inputs!$C$12</f>
        <v>1024.763856153882</v>
      </c>
      <c r="AD180" s="9">
        <f>2*AB180/Inputs!$C$21*1000000</f>
        <v>12.168949653522704</v>
      </c>
      <c r="AE180" s="9">
        <f t="shared" si="47"/>
        <v>5.4550810258419062</v>
      </c>
      <c r="AF180" s="9">
        <f>DEGREES((2*PI()/Inputs!$C$13)*Inputs!$C$15*SIN(RADIANS(AE180)))</f>
        <v>34.223525444306702</v>
      </c>
      <c r="AG180" s="9">
        <f t="shared" si="48"/>
        <v>0.9820068340146042</v>
      </c>
      <c r="AH180" s="9">
        <f t="shared" si="49"/>
        <v>-7.8854898459378958E-2</v>
      </c>
      <c r="AI180" s="9">
        <f t="shared" si="50"/>
        <v>0</v>
      </c>
      <c r="AJ180" s="9">
        <f t="shared" si="51"/>
        <v>0</v>
      </c>
      <c r="AK180" s="9">
        <f t="shared" si="52"/>
        <v>0</v>
      </c>
      <c r="AL180" s="9">
        <f>1000*(AA181-AA179)/(A181-A179)*Inputs!$C$11</f>
        <v>544.62346890704794</v>
      </c>
      <c r="AM180" s="9">
        <f>-2*AL180/Inputs!$C$13</f>
        <v>-217.84938756281917</v>
      </c>
      <c r="AN180" s="9">
        <f>-2*AL180/Inputs!$C$14</f>
        <v>-32.710118252675557</v>
      </c>
      <c r="AO180" s="9">
        <f t="shared" si="53"/>
        <v>217.84938756281917</v>
      </c>
      <c r="AP180" s="9">
        <f t="shared" si="54"/>
        <v>32.710118252675557</v>
      </c>
      <c r="AQ180" s="9">
        <f>IF(OR(Inputs!$C$27=TRUE,Inputs!$C$27="TRUE",Inputs!$C$27=1),Inputs!$C$46/Inputs!$C$12,0)</f>
        <v>0</v>
      </c>
      <c r="AR180" s="9">
        <f t="shared" si="55"/>
        <v>1024.763856153882</v>
      </c>
      <c r="AS180" s="9">
        <f t="shared" si="56"/>
        <v>1024.763856153882</v>
      </c>
    </row>
    <row r="181" spans="1:45">
      <c r="A181" s="9">
        <f>Inputs!$C$7+179*(Inputs!$C$8-Inputs!$C$7)/240</f>
        <v>29.5</v>
      </c>
      <c r="B181" s="9">
        <f>Inputs!$C$5+Inputs!$C$9*(A181/Inputs!$C$10)^2</f>
        <v>400.96694444444444</v>
      </c>
      <c r="C181" s="9">
        <f t="shared" si="38"/>
        <v>400.96694444444444</v>
      </c>
      <c r="D181" s="9">
        <f>SQRT(A181^2+Inputs!$C$6^2+B181^2)</f>
        <v>402.82718445645418</v>
      </c>
      <c r="E181" s="9">
        <f t="shared" si="39"/>
        <v>1860.24001200974</v>
      </c>
      <c r="F181" s="9">
        <f>E181/Inputs!$C$12</f>
        <v>1045.0786584324383</v>
      </c>
      <c r="G181" s="9">
        <f>2*E181/Inputs!$C$21*1000000</f>
        <v>12.410185529148567</v>
      </c>
      <c r="H181" s="9">
        <f>SQRT(A181^2+Inputs!$C$6^2)</f>
        <v>38.668462601970617</v>
      </c>
      <c r="I181" s="9">
        <f t="shared" si="40"/>
        <v>5.5084575472448263</v>
      </c>
      <c r="J181" s="9">
        <f>DEGREES((2*PI()/Inputs!$C$13)*Inputs!$C$15*SIN(RADIANS(I181)))</f>
        <v>34.557366220189273</v>
      </c>
      <c r="K181" s="9">
        <f t="shared" si="41"/>
        <v>0.98165571802593332</v>
      </c>
      <c r="L181" s="9">
        <f t="shared" si="42"/>
        <v>-8.0407993596365857E-2</v>
      </c>
      <c r="M181" s="9">
        <f>2*(Inputs!$C$9/(Inputs!$C$10^2))*A181</f>
        <v>6.5555555555555561E-2</v>
      </c>
      <c r="N181" s="9">
        <f>M181*Inputs!$C$11</f>
        <v>0.26222222222222225</v>
      </c>
      <c r="O181" s="9">
        <f>1000*((A181*Inputs!$C$11)+(B181*N181))/D181</f>
        <v>553.94087544257661</v>
      </c>
      <c r="P181" s="9">
        <f>-2*O181/Inputs!$C$13</f>
        <v>-221.57635017703063</v>
      </c>
      <c r="Q181" s="9">
        <f>-2*O181/Inputs!$C$14</f>
        <v>-33.269722248803404</v>
      </c>
      <c r="R181" s="9">
        <f>F181-Inputs!$C$16/2</f>
        <v>1030.0786584324383</v>
      </c>
      <c r="S181" s="9">
        <f>F181+Inputs!$C$16/2</f>
        <v>1060.0786584324383</v>
      </c>
      <c r="T181" s="9">
        <f>F181-Inputs!$C$17/2</f>
        <v>895.07865843243826</v>
      </c>
      <c r="U181" s="9">
        <f>F181+Inputs!$C$17/2</f>
        <v>1195.0786584324383</v>
      </c>
      <c r="V181" s="9">
        <f t="shared" si="43"/>
        <v>221.57635017703063</v>
      </c>
      <c r="W181" s="9">
        <f t="shared" si="44"/>
        <v>33.269722248803404</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0</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0</v>
      </c>
      <c r="Z181" s="9">
        <f t="shared" si="45"/>
        <v>400.96694444444444</v>
      </c>
      <c r="AA181" s="9">
        <f>SQRT(A181^2+Inputs!$C$6^2+(B181-Y181/1000)^2)</f>
        <v>402.82718445645418</v>
      </c>
      <c r="AB181" s="9">
        <f t="shared" si="46"/>
        <v>1860.24001200974</v>
      </c>
      <c r="AC181" s="9">
        <f>AB181/Inputs!$C$12</f>
        <v>1045.0786584324383</v>
      </c>
      <c r="AD181" s="9">
        <f>2*AB181/Inputs!$C$21*1000000</f>
        <v>12.410185529148567</v>
      </c>
      <c r="AE181" s="9">
        <f t="shared" si="47"/>
        <v>5.5084575472448263</v>
      </c>
      <c r="AF181" s="9">
        <f>DEGREES((2*PI()/Inputs!$C$13)*Inputs!$C$15*SIN(RADIANS(AE181)))</f>
        <v>34.557366220189273</v>
      </c>
      <c r="AG181" s="9">
        <f t="shared" si="48"/>
        <v>0.98165571802593332</v>
      </c>
      <c r="AH181" s="9">
        <f t="shared" si="49"/>
        <v>-8.0407993596365857E-2</v>
      </c>
      <c r="AI181" s="9">
        <f t="shared" si="50"/>
        <v>0</v>
      </c>
      <c r="AJ181" s="9">
        <f t="shared" si="51"/>
        <v>0</v>
      </c>
      <c r="AK181" s="9">
        <f t="shared" si="52"/>
        <v>0</v>
      </c>
      <c r="AL181" s="9">
        <f>1000*(AA182-AA180)/(A182-A180)*Inputs!$C$11</f>
        <v>553.9402556839832</v>
      </c>
      <c r="AM181" s="9">
        <f>-2*AL181/Inputs!$C$13</f>
        <v>-221.57610227359328</v>
      </c>
      <c r="AN181" s="9">
        <f>-2*AL181/Inputs!$C$14</f>
        <v>-33.269685026065062</v>
      </c>
      <c r="AO181" s="9">
        <f t="shared" si="53"/>
        <v>221.57610227359328</v>
      </c>
      <c r="AP181" s="9">
        <f t="shared" si="54"/>
        <v>33.269685026065062</v>
      </c>
      <c r="AQ181" s="9">
        <f>IF(OR(Inputs!$C$27=TRUE,Inputs!$C$27="TRUE",Inputs!$C$27=1),Inputs!$C$46/Inputs!$C$12,0)</f>
        <v>0</v>
      </c>
      <c r="AR181" s="9">
        <f t="shared" si="55"/>
        <v>1045.0786584324383</v>
      </c>
      <c r="AS181" s="9">
        <f t="shared" si="56"/>
        <v>1045.0786584324383</v>
      </c>
    </row>
    <row r="182" spans="1:45">
      <c r="A182" s="9">
        <f>Inputs!$C$7+180*(Inputs!$C$8-Inputs!$C$7)/240</f>
        <v>30</v>
      </c>
      <c r="B182" s="9">
        <f>Inputs!$C$5+Inputs!$C$9*(A182/Inputs!$C$10)^2</f>
        <v>401</v>
      </c>
      <c r="C182" s="9">
        <f t="shared" si="38"/>
        <v>401</v>
      </c>
      <c r="D182" s="9">
        <f>SQRT(A182^2+Inputs!$C$6^2+B182^2)</f>
        <v>402.89700917231937</v>
      </c>
      <c r="E182" s="9">
        <f t="shared" si="39"/>
        <v>1897.0091723193718</v>
      </c>
      <c r="F182" s="9">
        <f>E182/Inputs!$C$12</f>
        <v>1065.7354900670628</v>
      </c>
      <c r="G182" s="9">
        <f>2*E182/Inputs!$C$21*1000000</f>
        <v>12.655482962946131</v>
      </c>
      <c r="H182" s="9">
        <f>SQRT(A182^2+Inputs!$C$6^2)</f>
        <v>39.05124837953327</v>
      </c>
      <c r="I182" s="9">
        <f t="shared" si="40"/>
        <v>5.5621907006038249</v>
      </c>
      <c r="J182" s="9">
        <f>DEGREES((2*PI()/Inputs!$C$13)*Inputs!$C$15*SIN(RADIANS(I182)))</f>
        <v>34.893407239514069</v>
      </c>
      <c r="K182" s="9">
        <f t="shared" si="41"/>
        <v>0.98129891008983794</v>
      </c>
      <c r="L182" s="9">
        <f t="shared" si="42"/>
        <v>-8.1986835177650028E-2</v>
      </c>
      <c r="M182" s="9">
        <f>2*(Inputs!$C$9/(Inputs!$C$10^2))*A182</f>
        <v>6.6666666666666666E-2</v>
      </c>
      <c r="N182" s="9">
        <f>M182*Inputs!$C$11</f>
        <v>0.26666666666666666</v>
      </c>
      <c r="O182" s="9">
        <f>1000*((A182*Inputs!$C$11)+(B182*N182))/D182</f>
        <v>563.25395365810164</v>
      </c>
      <c r="P182" s="9">
        <f>-2*O182/Inputs!$C$13</f>
        <v>-225.30158146324067</v>
      </c>
      <c r="Q182" s="9">
        <f>-2*O182/Inputs!$C$14</f>
        <v>-33.829066285771873</v>
      </c>
      <c r="R182" s="9">
        <f>F182-Inputs!$C$16/2</f>
        <v>1050.7354900670628</v>
      </c>
      <c r="S182" s="9">
        <f>F182+Inputs!$C$16/2</f>
        <v>1080.7354900670628</v>
      </c>
      <c r="T182" s="9">
        <f>F182-Inputs!$C$17/2</f>
        <v>915.73549006706276</v>
      </c>
      <c r="U182" s="9">
        <f>F182+Inputs!$C$17/2</f>
        <v>1215.7354900670628</v>
      </c>
      <c r="V182" s="9">
        <f t="shared" si="43"/>
        <v>225.30158146324067</v>
      </c>
      <c r="W182" s="9">
        <f t="shared" si="44"/>
        <v>33.829066285771873</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0</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0</v>
      </c>
      <c r="Z182" s="9">
        <f t="shared" si="45"/>
        <v>401</v>
      </c>
      <c r="AA182" s="9">
        <f>SQRT(A182^2+Inputs!$C$6^2+(B182-Y182/1000)^2)</f>
        <v>402.89700917231937</v>
      </c>
      <c r="AB182" s="9">
        <f t="shared" si="46"/>
        <v>1897.0091723193718</v>
      </c>
      <c r="AC182" s="9">
        <f>AB182/Inputs!$C$12</f>
        <v>1065.7354900670628</v>
      </c>
      <c r="AD182" s="9">
        <f>2*AB182/Inputs!$C$21*1000000</f>
        <v>12.655482962946131</v>
      </c>
      <c r="AE182" s="9">
        <f t="shared" si="47"/>
        <v>5.5621907006038249</v>
      </c>
      <c r="AF182" s="9">
        <f>DEGREES((2*PI()/Inputs!$C$13)*Inputs!$C$15*SIN(RADIANS(AE182)))</f>
        <v>34.893407239514069</v>
      </c>
      <c r="AG182" s="9">
        <f t="shared" si="48"/>
        <v>0.98129891008983794</v>
      </c>
      <c r="AH182" s="9">
        <f t="shared" si="49"/>
        <v>-8.1986835177650028E-2</v>
      </c>
      <c r="AI182" s="9">
        <f t="shared" si="50"/>
        <v>0</v>
      </c>
      <c r="AJ182" s="9">
        <f t="shared" si="51"/>
        <v>0</v>
      </c>
      <c r="AK182" s="9">
        <f t="shared" si="52"/>
        <v>0</v>
      </c>
      <c r="AL182" s="9">
        <f>1000*(AA183-AA181)/(A183-A181)*Inputs!$C$11</f>
        <v>563.25332394158067</v>
      </c>
      <c r="AM182" s="9">
        <f>-2*AL182/Inputs!$C$13</f>
        <v>-225.30132957663227</v>
      </c>
      <c r="AN182" s="9">
        <f>-2*AL182/Inputs!$C$14</f>
        <v>-33.829028464959805</v>
      </c>
      <c r="AO182" s="9">
        <f t="shared" si="53"/>
        <v>225.30132957663227</v>
      </c>
      <c r="AP182" s="9">
        <f t="shared" si="54"/>
        <v>33.829028464959805</v>
      </c>
      <c r="AQ182" s="9">
        <f>IF(OR(Inputs!$C$27=TRUE,Inputs!$C$27="TRUE",Inputs!$C$27=1),Inputs!$C$46/Inputs!$C$12,0)</f>
        <v>0</v>
      </c>
      <c r="AR182" s="9">
        <f t="shared" si="55"/>
        <v>1065.7354900670628</v>
      </c>
      <c r="AS182" s="9">
        <f t="shared" si="56"/>
        <v>1065.7354900670628</v>
      </c>
    </row>
    <row r="183" spans="1:45">
      <c r="A183" s="9">
        <f>Inputs!$C$7+181*(Inputs!$C$8-Inputs!$C$7)/240</f>
        <v>30.5</v>
      </c>
      <c r="B183" s="9">
        <f>Inputs!$C$5+Inputs!$C$9*(A183/Inputs!$C$10)^2</f>
        <v>401.0336111111111</v>
      </c>
      <c r="C183" s="9">
        <f t="shared" si="38"/>
        <v>401.0336111111111</v>
      </c>
      <c r="D183" s="9">
        <f>SQRT(A183^2+Inputs!$C$6^2+B183^2)</f>
        <v>402.96799778743957</v>
      </c>
      <c r="E183" s="9">
        <f t="shared" si="39"/>
        <v>1934.3866763284723</v>
      </c>
      <c r="F183" s="9">
        <f>E183/Inputs!$C$12</f>
        <v>1086.7340878249845</v>
      </c>
      <c r="G183" s="9">
        <f>2*E183/Inputs!$C$21*1000000</f>
        <v>12.904838829057349</v>
      </c>
      <c r="H183" s="9">
        <f>SQRT(A183^2+Inputs!$C$6^2)</f>
        <v>39.436658073421995</v>
      </c>
      <c r="I183" s="9">
        <f t="shared" si="40"/>
        <v>5.6162687447103439</v>
      </c>
      <c r="J183" s="9">
        <f>DEGREES((2*PI()/Inputs!$C$13)*Inputs!$C$15*SIN(RADIANS(I183)))</f>
        <v>35.231574180540157</v>
      </c>
      <c r="K183" s="9">
        <f t="shared" si="41"/>
        <v>0.980936425583123</v>
      </c>
      <c r="L183" s="9">
        <f t="shared" si="42"/>
        <v>-8.3591383011138706E-2</v>
      </c>
      <c r="M183" s="9">
        <f>2*(Inputs!$C$9/(Inputs!$C$10^2))*A183</f>
        <v>6.7777777777777784E-2</v>
      </c>
      <c r="N183" s="9">
        <f>M183*Inputs!$C$11</f>
        <v>0.27111111111111114</v>
      </c>
      <c r="O183" s="9">
        <f>1000*((A183*Inputs!$C$11)+(B183*N183))/D183</f>
        <v>572.5632535786101</v>
      </c>
      <c r="P183" s="9">
        <f>-2*O183/Inputs!$C$13</f>
        <v>-229.02530143144403</v>
      </c>
      <c r="Q183" s="9">
        <f>-2*O183/Inputs!$C$14</f>
        <v>-34.388183398114727</v>
      </c>
      <c r="R183" s="9">
        <f>F183-Inputs!$C$16/2</f>
        <v>1071.7340878249845</v>
      </c>
      <c r="S183" s="9">
        <f>F183+Inputs!$C$16/2</f>
        <v>1101.7340878249845</v>
      </c>
      <c r="T183" s="9">
        <f>F183-Inputs!$C$17/2</f>
        <v>936.7340878249845</v>
      </c>
      <c r="U183" s="9">
        <f>F183+Inputs!$C$17/2</f>
        <v>1236.7340878249845</v>
      </c>
      <c r="V183" s="9">
        <f t="shared" si="43"/>
        <v>229.02530143144403</v>
      </c>
      <c r="W183" s="9">
        <f t="shared" si="44"/>
        <v>34.388183398114727</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0</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0</v>
      </c>
      <c r="Z183" s="9">
        <f t="shared" si="45"/>
        <v>401.0336111111111</v>
      </c>
      <c r="AA183" s="9">
        <f>SQRT(A183^2+Inputs!$C$6^2+(B183-Y183/1000)^2)</f>
        <v>402.96799778743957</v>
      </c>
      <c r="AB183" s="9">
        <f t="shared" si="46"/>
        <v>1934.3866763284723</v>
      </c>
      <c r="AC183" s="9">
        <f>AB183/Inputs!$C$12</f>
        <v>1086.7340878249845</v>
      </c>
      <c r="AD183" s="9">
        <f>2*AB183/Inputs!$C$21*1000000</f>
        <v>12.904838829057349</v>
      </c>
      <c r="AE183" s="9">
        <f t="shared" si="47"/>
        <v>5.6162687447103439</v>
      </c>
      <c r="AF183" s="9">
        <f>DEGREES((2*PI()/Inputs!$C$13)*Inputs!$C$15*SIN(RADIANS(AE183)))</f>
        <v>35.231574180540157</v>
      </c>
      <c r="AG183" s="9">
        <f t="shared" si="48"/>
        <v>0.980936425583123</v>
      </c>
      <c r="AH183" s="9">
        <f t="shared" si="49"/>
        <v>-8.3591383011138706E-2</v>
      </c>
      <c r="AI183" s="9">
        <f t="shared" si="50"/>
        <v>0</v>
      </c>
      <c r="AJ183" s="9">
        <f t="shared" si="51"/>
        <v>0</v>
      </c>
      <c r="AK183" s="9">
        <f t="shared" si="52"/>
        <v>0</v>
      </c>
      <c r="AL183" s="9">
        <f>1000*(AA184-AA182)/(A184-A182)*Inputs!$C$11</f>
        <v>572.56261393058594</v>
      </c>
      <c r="AM183" s="9">
        <f>-2*AL183/Inputs!$C$13</f>
        <v>-229.02504557223438</v>
      </c>
      <c r="AN183" s="9">
        <f>-2*AL183/Inputs!$C$14</f>
        <v>-34.388144980815973</v>
      </c>
      <c r="AO183" s="9">
        <f t="shared" si="53"/>
        <v>229.02504557223438</v>
      </c>
      <c r="AP183" s="9">
        <f t="shared" si="54"/>
        <v>34.388144980815973</v>
      </c>
      <c r="AQ183" s="9">
        <f>IF(OR(Inputs!$C$27=TRUE,Inputs!$C$27="TRUE",Inputs!$C$27=1),Inputs!$C$46/Inputs!$C$12,0)</f>
        <v>0</v>
      </c>
      <c r="AR183" s="9">
        <f t="shared" si="55"/>
        <v>1086.7340878249845</v>
      </c>
      <c r="AS183" s="9">
        <f t="shared" si="56"/>
        <v>1086.7340878249845</v>
      </c>
    </row>
    <row r="184" spans="1:45">
      <c r="A184" s="9">
        <f>Inputs!$C$7+182*(Inputs!$C$8-Inputs!$C$7)/240</f>
        <v>31</v>
      </c>
      <c r="B184" s="9">
        <f>Inputs!$C$5+Inputs!$C$9*(A184/Inputs!$C$10)^2</f>
        <v>401.06777777777779</v>
      </c>
      <c r="C184" s="9">
        <f t="shared" si="38"/>
        <v>401.06777777777779</v>
      </c>
      <c r="D184" s="9">
        <f>SQRT(A184^2+Inputs!$C$6^2+B184^2)</f>
        <v>403.04014982580202</v>
      </c>
      <c r="E184" s="9">
        <f t="shared" si="39"/>
        <v>1972.3720480242264</v>
      </c>
      <c r="F184" s="9">
        <f>E184/Inputs!$C$12</f>
        <v>1108.0741842832733</v>
      </c>
      <c r="G184" s="9">
        <f>2*E184/Inputs!$C$21*1000000</f>
        <v>13.158249951866544</v>
      </c>
      <c r="H184" s="9">
        <f>SQRT(A184^2+Inputs!$C$6^2)</f>
        <v>39.824615503479755</v>
      </c>
      <c r="I184" s="9">
        <f t="shared" si="40"/>
        <v>5.6706802988679366</v>
      </c>
      <c r="J184" s="9">
        <f>DEGREES((2*PI()/Inputs!$C$13)*Inputs!$C$15*SIN(RADIANS(I184)))</f>
        <v>35.571794987296549</v>
      </c>
      <c r="K184" s="9">
        <f t="shared" si="41"/>
        <v>0.98056828010908315</v>
      </c>
      <c r="L184" s="9">
        <f t="shared" si="42"/>
        <v>-8.5221596278805378E-2</v>
      </c>
      <c r="M184" s="9">
        <f>2*(Inputs!$C$9/(Inputs!$C$10^2))*A184</f>
        <v>6.8888888888888888E-2</v>
      </c>
      <c r="N184" s="9">
        <f>M184*Inputs!$C$11</f>
        <v>0.27555555555555555</v>
      </c>
      <c r="O184" s="9">
        <f>1000*((A184*Inputs!$C$11)+(B184*N184))/D184</f>
        <v>581.86871561641692</v>
      </c>
      <c r="P184" s="9">
        <f>-2*O184/Inputs!$C$13</f>
        <v>-232.74748624656678</v>
      </c>
      <c r="Q184" s="9">
        <f>-2*O184/Inputs!$C$14</f>
        <v>-34.947070006992007</v>
      </c>
      <c r="R184" s="9">
        <f>F184-Inputs!$C$16/2</f>
        <v>1093.0741842832733</v>
      </c>
      <c r="S184" s="9">
        <f>F184+Inputs!$C$16/2</f>
        <v>1123.0741842832733</v>
      </c>
      <c r="T184" s="9">
        <f>F184-Inputs!$C$17/2</f>
        <v>958.07418428327333</v>
      </c>
      <c r="U184" s="9">
        <f>F184+Inputs!$C$17/2</f>
        <v>1258.0741842832733</v>
      </c>
      <c r="V184" s="9">
        <f t="shared" si="43"/>
        <v>232.74748624656678</v>
      </c>
      <c r="W184" s="9">
        <f t="shared" si="44"/>
        <v>34.947070006992007</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0</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0</v>
      </c>
      <c r="Z184" s="9">
        <f t="shared" si="45"/>
        <v>401.06777777777779</v>
      </c>
      <c r="AA184" s="9">
        <f>SQRT(A184^2+Inputs!$C$6^2+(B184-Y184/1000)^2)</f>
        <v>403.04014982580202</v>
      </c>
      <c r="AB184" s="9">
        <f t="shared" si="46"/>
        <v>1972.3720480242264</v>
      </c>
      <c r="AC184" s="9">
        <f>AB184/Inputs!$C$12</f>
        <v>1108.0741842832733</v>
      </c>
      <c r="AD184" s="9">
        <f>2*AB184/Inputs!$C$21*1000000</f>
        <v>13.158249951866544</v>
      </c>
      <c r="AE184" s="9">
        <f t="shared" si="47"/>
        <v>5.6706802988679366</v>
      </c>
      <c r="AF184" s="9">
        <f>DEGREES((2*PI()/Inputs!$C$13)*Inputs!$C$15*SIN(RADIANS(AE184)))</f>
        <v>35.571794987296549</v>
      </c>
      <c r="AG184" s="9">
        <f t="shared" si="48"/>
        <v>0.98056828010908315</v>
      </c>
      <c r="AH184" s="9">
        <f t="shared" si="49"/>
        <v>-8.5221596278805378E-2</v>
      </c>
      <c r="AI184" s="9">
        <f t="shared" si="50"/>
        <v>0</v>
      </c>
      <c r="AJ184" s="9">
        <f t="shared" si="51"/>
        <v>0</v>
      </c>
      <c r="AK184" s="9">
        <f t="shared" si="52"/>
        <v>0</v>
      </c>
      <c r="AL184" s="9">
        <f>1000*(AA185-AA183)/(A185-A183)*Inputs!$C$11</f>
        <v>581.86806606431674</v>
      </c>
      <c r="AM184" s="9">
        <f>-2*AL184/Inputs!$C$13</f>
        <v>-232.74722642572669</v>
      </c>
      <c r="AN184" s="9">
        <f>-2*AL184/Inputs!$C$14</f>
        <v>-34.947030994853861</v>
      </c>
      <c r="AO184" s="9">
        <f t="shared" si="53"/>
        <v>232.74722642572669</v>
      </c>
      <c r="AP184" s="9">
        <f t="shared" si="54"/>
        <v>34.947030994853861</v>
      </c>
      <c r="AQ184" s="9">
        <f>IF(OR(Inputs!$C$27=TRUE,Inputs!$C$27="TRUE",Inputs!$C$27=1),Inputs!$C$46/Inputs!$C$12,0)</f>
        <v>0</v>
      </c>
      <c r="AR184" s="9">
        <f t="shared" si="55"/>
        <v>1108.0741842832733</v>
      </c>
      <c r="AS184" s="9">
        <f t="shared" si="56"/>
        <v>1108.0741842832733</v>
      </c>
    </row>
    <row r="185" spans="1:45">
      <c r="A185" s="9">
        <f>Inputs!$C$7+183*(Inputs!$C$8-Inputs!$C$7)/240</f>
        <v>31.5</v>
      </c>
      <c r="B185" s="9">
        <f>Inputs!$C$5+Inputs!$C$9*(A185/Inputs!$C$10)^2</f>
        <v>401.10250000000002</v>
      </c>
      <c r="C185" s="9">
        <f t="shared" si="38"/>
        <v>401.10250000000002</v>
      </c>
      <c r="D185" s="9">
        <f>SQRT(A185^2+Inputs!$C$6^2+B185^2)</f>
        <v>403.11346480395565</v>
      </c>
      <c r="E185" s="9">
        <f t="shared" si="39"/>
        <v>2010.9648039556305</v>
      </c>
      <c r="F185" s="9">
        <f>E185/Inputs!$C$12</f>
        <v>1129.7555078402418</v>
      </c>
      <c r="G185" s="9">
        <f>2*E185/Inputs!$C$21*1000000</f>
        <v>13.415713106135783</v>
      </c>
      <c r="H185" s="9">
        <f>SQRT(A185^2+Inputs!$C$6^2)</f>
        <v>40.215046935195787</v>
      </c>
      <c r="I185" s="9">
        <f t="shared" si="40"/>
        <v>5.7254143327118072</v>
      </c>
      <c r="J185" s="9">
        <f>DEGREES((2*PI()/Inputs!$C$13)*Inputs!$C$15*SIN(RADIANS(I185)))</f>
        <v>35.913999805764909</v>
      </c>
      <c r="K185" s="9">
        <f t="shared" si="41"/>
        <v>0.98019448949598054</v>
      </c>
      <c r="L185" s="9">
        <f t="shared" si="42"/>
        <v>-8.6877433539086626E-2</v>
      </c>
      <c r="M185" s="9">
        <f>2*(Inputs!$C$9/(Inputs!$C$10^2))*A185</f>
        <v>7.0000000000000007E-2</v>
      </c>
      <c r="N185" s="9">
        <f>M185*Inputs!$C$11</f>
        <v>0.28000000000000003</v>
      </c>
      <c r="O185" s="9">
        <f>1000*((A185*Inputs!$C$11)+(B185*N185))/D185</f>
        <v>591.17028034748387</v>
      </c>
      <c r="P185" s="9">
        <f>-2*O185/Inputs!$C$13</f>
        <v>-236.46811213899355</v>
      </c>
      <c r="Q185" s="9">
        <f>-2*O185/Inputs!$C$14</f>
        <v>-35.50572254339243</v>
      </c>
      <c r="R185" s="9">
        <f>F185-Inputs!$C$16/2</f>
        <v>1114.7555078402418</v>
      </c>
      <c r="S185" s="9">
        <f>F185+Inputs!$C$16/2</f>
        <v>1144.7555078402418</v>
      </c>
      <c r="T185" s="9">
        <f>F185-Inputs!$C$17/2</f>
        <v>979.75550784024176</v>
      </c>
      <c r="U185" s="9">
        <f>F185+Inputs!$C$17/2</f>
        <v>1279.7555078402418</v>
      </c>
      <c r="V185" s="9">
        <f t="shared" si="43"/>
        <v>236.46811213899355</v>
      </c>
      <c r="W185" s="9">
        <f t="shared" si="44"/>
        <v>35.50572254339243</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0</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0</v>
      </c>
      <c r="Z185" s="9">
        <f t="shared" si="45"/>
        <v>401.10250000000002</v>
      </c>
      <c r="AA185" s="9">
        <f>SQRT(A185^2+Inputs!$C$6^2+(B185-Y185/1000)^2)</f>
        <v>403.11346480395565</v>
      </c>
      <c r="AB185" s="9">
        <f t="shared" si="46"/>
        <v>2010.9648039556305</v>
      </c>
      <c r="AC185" s="9">
        <f>AB185/Inputs!$C$12</f>
        <v>1129.7555078402418</v>
      </c>
      <c r="AD185" s="9">
        <f>2*AB185/Inputs!$C$21*1000000</f>
        <v>13.415713106135783</v>
      </c>
      <c r="AE185" s="9">
        <f t="shared" si="47"/>
        <v>5.7254143327118072</v>
      </c>
      <c r="AF185" s="9">
        <f>DEGREES((2*PI()/Inputs!$C$13)*Inputs!$C$15*SIN(RADIANS(AE185)))</f>
        <v>35.913999805764909</v>
      </c>
      <c r="AG185" s="9">
        <f t="shared" si="48"/>
        <v>0.98019448949598054</v>
      </c>
      <c r="AH185" s="9">
        <f t="shared" si="49"/>
        <v>-8.6877433539086626E-2</v>
      </c>
      <c r="AI185" s="9">
        <f t="shared" si="50"/>
        <v>0</v>
      </c>
      <c r="AJ185" s="9">
        <f t="shared" si="51"/>
        <v>0</v>
      </c>
      <c r="AK185" s="9">
        <f t="shared" si="52"/>
        <v>0</v>
      </c>
      <c r="AL185" s="9">
        <f>1000*(AA186-AA184)/(A186-A184)*Inputs!$C$11</f>
        <v>591.16962091911773</v>
      </c>
      <c r="AM185" s="9">
        <f>-2*AL185/Inputs!$C$13</f>
        <v>-236.46784836764709</v>
      </c>
      <c r="AN185" s="9">
        <f>-2*AL185/Inputs!$C$14</f>
        <v>-35.505682938085151</v>
      </c>
      <c r="AO185" s="9">
        <f t="shared" si="53"/>
        <v>236.46784836764709</v>
      </c>
      <c r="AP185" s="9">
        <f t="shared" si="54"/>
        <v>35.505682938085151</v>
      </c>
      <c r="AQ185" s="9">
        <f>IF(OR(Inputs!$C$27=TRUE,Inputs!$C$27="TRUE",Inputs!$C$27=1),Inputs!$C$46/Inputs!$C$12,0)</f>
        <v>0</v>
      </c>
      <c r="AR185" s="9">
        <f t="shared" si="55"/>
        <v>1129.7555078402418</v>
      </c>
      <c r="AS185" s="9">
        <f t="shared" si="56"/>
        <v>1129.7555078402418</v>
      </c>
    </row>
    <row r="186" spans="1:45">
      <c r="A186" s="9">
        <f>Inputs!$C$7+184*(Inputs!$C$8-Inputs!$C$7)/240</f>
        <v>32</v>
      </c>
      <c r="B186" s="9">
        <f>Inputs!$C$5+Inputs!$C$9*(A186/Inputs!$C$10)^2</f>
        <v>401.13777777777779</v>
      </c>
      <c r="C186" s="9">
        <f t="shared" si="38"/>
        <v>401.13777777777779</v>
      </c>
      <c r="D186" s="9">
        <f>SQRT(A186^2+Inputs!$C$6^2+B186^2)</f>
        <v>403.1879422310318</v>
      </c>
      <c r="E186" s="9">
        <f t="shared" si="39"/>
        <v>2050.1644532540126</v>
      </c>
      <c r="F186" s="9">
        <f>E186/Inputs!$C$12</f>
        <v>1151.7777827269733</v>
      </c>
      <c r="G186" s="9">
        <f>2*E186/Inputs!$C$21*1000000</f>
        <v>13.677225017141778</v>
      </c>
      <c r="H186" s="9">
        <f>SQRT(A186^2+Inputs!$C$6^2)</f>
        <v>40.607881008493905</v>
      </c>
      <c r="I186" s="9">
        <f t="shared" si="40"/>
        <v>5.7804601560821682</v>
      </c>
      <c r="J186" s="9">
        <f>DEGREES((2*PI()/Inputs!$C$13)*Inputs!$C$15*SIN(RADIANS(I186)))</f>
        <v>36.258120920394553</v>
      </c>
      <c r="K186" s="9">
        <f t="shared" si="41"/>
        <v>0.97981506979550026</v>
      </c>
      <c r="L186" s="9">
        <f t="shared" si="42"/>
        <v>-8.8558852729325899E-2</v>
      </c>
      <c r="M186" s="9">
        <f>2*(Inputs!$C$9/(Inputs!$C$10^2))*A186</f>
        <v>7.1111111111111111E-2</v>
      </c>
      <c r="N186" s="9">
        <f>M186*Inputs!$C$11</f>
        <v>0.28444444444444444</v>
      </c>
      <c r="O186" s="9">
        <f>1000*((A186*Inputs!$C$11)+(B186*N186))/D186</f>
        <v>600.46788851376868</v>
      </c>
      <c r="P186" s="9">
        <f>-2*O186/Inputs!$C$13</f>
        <v>-240.18715540550747</v>
      </c>
      <c r="Q186" s="9">
        <f>-2*O186/Inputs!$C$14</f>
        <v>-36.064137448274401</v>
      </c>
      <c r="R186" s="9">
        <f>F186-Inputs!$C$16/2</f>
        <v>1136.7777827269733</v>
      </c>
      <c r="S186" s="9">
        <f>F186+Inputs!$C$16/2</f>
        <v>1166.7777827269733</v>
      </c>
      <c r="T186" s="9">
        <f>F186-Inputs!$C$17/2</f>
        <v>1001.7777827269733</v>
      </c>
      <c r="U186" s="9">
        <f>F186+Inputs!$C$17/2</f>
        <v>1301.7777827269733</v>
      </c>
      <c r="V186" s="9">
        <f t="shared" si="43"/>
        <v>240.18715540550747</v>
      </c>
      <c r="W186" s="9">
        <f t="shared" si="44"/>
        <v>36.064137448274401</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0</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0</v>
      </c>
      <c r="Z186" s="9">
        <f t="shared" si="45"/>
        <v>401.13777777777779</v>
      </c>
      <c r="AA186" s="9">
        <f>SQRT(A186^2+Inputs!$C$6^2+(B186-Y186/1000)^2)</f>
        <v>403.1879422310318</v>
      </c>
      <c r="AB186" s="9">
        <f t="shared" si="46"/>
        <v>2050.1644532540126</v>
      </c>
      <c r="AC186" s="9">
        <f>AB186/Inputs!$C$12</f>
        <v>1151.7777827269733</v>
      </c>
      <c r="AD186" s="9">
        <f>2*AB186/Inputs!$C$21*1000000</f>
        <v>13.677225017141778</v>
      </c>
      <c r="AE186" s="9">
        <f t="shared" si="47"/>
        <v>5.7804601560821682</v>
      </c>
      <c r="AF186" s="9">
        <f>DEGREES((2*PI()/Inputs!$C$13)*Inputs!$C$15*SIN(RADIANS(AE186)))</f>
        <v>36.258120920394553</v>
      </c>
      <c r="AG186" s="9">
        <f t="shared" si="48"/>
        <v>0.97981506979550026</v>
      </c>
      <c r="AH186" s="9">
        <f t="shared" si="49"/>
        <v>-8.8558852729325899E-2</v>
      </c>
      <c r="AI186" s="9">
        <f t="shared" si="50"/>
        <v>0</v>
      </c>
      <c r="AJ186" s="9">
        <f t="shared" si="51"/>
        <v>0</v>
      </c>
      <c r="AK186" s="9">
        <f t="shared" si="52"/>
        <v>0</v>
      </c>
      <c r="AL186" s="9">
        <f>1000*(AA187-AA185)/(A187-A185)*Inputs!$C$11</f>
        <v>600.46721923708901</v>
      </c>
      <c r="AM186" s="9">
        <f>-2*AL186/Inputs!$C$13</f>
        <v>-240.1868876948356</v>
      </c>
      <c r="AN186" s="9">
        <f>-2*AL186/Inputs!$C$14</f>
        <v>-36.064097251476824</v>
      </c>
      <c r="AO186" s="9">
        <f t="shared" si="53"/>
        <v>240.1868876948356</v>
      </c>
      <c r="AP186" s="9">
        <f t="shared" si="54"/>
        <v>36.064097251476824</v>
      </c>
      <c r="AQ186" s="9">
        <f>IF(OR(Inputs!$C$27=TRUE,Inputs!$C$27="TRUE",Inputs!$C$27=1),Inputs!$C$46/Inputs!$C$12,0)</f>
        <v>0</v>
      </c>
      <c r="AR186" s="9">
        <f t="shared" si="55"/>
        <v>1151.7777827269733</v>
      </c>
      <c r="AS186" s="9">
        <f t="shared" si="56"/>
        <v>1151.7777827269733</v>
      </c>
    </row>
    <row r="187" spans="1:45">
      <c r="A187" s="9">
        <f>Inputs!$C$7+185*(Inputs!$C$8-Inputs!$C$7)/240</f>
        <v>32.5</v>
      </c>
      <c r="B187" s="9">
        <f>Inputs!$C$5+Inputs!$C$9*(A187/Inputs!$C$10)^2</f>
        <v>401.17361111111109</v>
      </c>
      <c r="C187" s="9">
        <f t="shared" si="38"/>
        <v>401.17361111111109</v>
      </c>
      <c r="D187" s="9">
        <f>SQRT(A187^2+Inputs!$C$6^2+B187^2)</f>
        <v>403.26358160876492</v>
      </c>
      <c r="E187" s="9">
        <f t="shared" si="39"/>
        <v>2089.9704976538374</v>
      </c>
      <c r="F187" s="9">
        <f>E187/Inputs!$C$12</f>
        <v>1174.1407290190098</v>
      </c>
      <c r="G187" s="9">
        <f>2*E187/Inputs!$C$21*1000000</f>
        <v>13.942782360814675</v>
      </c>
      <c r="H187" s="9">
        <f>SQRT(A187^2+Inputs!$C$6^2)</f>
        <v>41.003048667141812</v>
      </c>
      <c r="I187" s="9">
        <f t="shared" si="40"/>
        <v>5.8358074089827321</v>
      </c>
      <c r="J187" s="9">
        <f>DEGREES((2*PI()/Inputs!$C$13)*Inputs!$C$15*SIN(RADIANS(I187)))</f>
        <v>36.604092691146747</v>
      </c>
      <c r="K187" s="9">
        <f t="shared" si="41"/>
        <v>0.97943003728119027</v>
      </c>
      <c r="L187" s="9">
        <f t="shared" si="42"/>
        <v>-9.0265811168235413E-2</v>
      </c>
      <c r="M187" s="9">
        <f>2*(Inputs!$C$9/(Inputs!$C$10^2))*A187</f>
        <v>7.2222222222222215E-2</v>
      </c>
      <c r="N187" s="9">
        <f>M187*Inputs!$C$11</f>
        <v>0.28888888888888886</v>
      </c>
      <c r="O187" s="9">
        <f>1000*((A187*Inputs!$C$11)+(B187*N187))/D187</f>
        <v>609.76148102555953</v>
      </c>
      <c r="P187" s="9">
        <f>-2*O187/Inputs!$C$13</f>
        <v>-243.90459241022381</v>
      </c>
      <c r="Q187" s="9">
        <f>-2*O187/Inputs!$C$14</f>
        <v>-36.622311172706283</v>
      </c>
      <c r="R187" s="9">
        <f>F187-Inputs!$C$16/2</f>
        <v>1159.1407290190098</v>
      </c>
      <c r="S187" s="9">
        <f>F187+Inputs!$C$16/2</f>
        <v>1189.1407290190098</v>
      </c>
      <c r="T187" s="9">
        <f>F187-Inputs!$C$17/2</f>
        <v>1024.1407290190098</v>
      </c>
      <c r="U187" s="9">
        <f>F187+Inputs!$C$17/2</f>
        <v>1324.1407290190098</v>
      </c>
      <c r="V187" s="9">
        <f t="shared" si="43"/>
        <v>243.90459241022381</v>
      </c>
      <c r="W187" s="9">
        <f t="shared" si="44"/>
        <v>36.622311172706283</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0</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0</v>
      </c>
      <c r="Z187" s="9">
        <f t="shared" si="45"/>
        <v>401.17361111111109</v>
      </c>
      <c r="AA187" s="9">
        <f>SQRT(A187^2+Inputs!$C$6^2+(B187-Y187/1000)^2)</f>
        <v>403.26358160876492</v>
      </c>
      <c r="AB187" s="9">
        <f t="shared" si="46"/>
        <v>2089.9704976538374</v>
      </c>
      <c r="AC187" s="9">
        <f>AB187/Inputs!$C$12</f>
        <v>1174.1407290190098</v>
      </c>
      <c r="AD187" s="9">
        <f>2*AB187/Inputs!$C$21*1000000</f>
        <v>13.942782360814675</v>
      </c>
      <c r="AE187" s="9">
        <f t="shared" si="47"/>
        <v>5.8358074089827321</v>
      </c>
      <c r="AF187" s="9">
        <f>DEGREES((2*PI()/Inputs!$C$13)*Inputs!$C$15*SIN(RADIANS(AE187)))</f>
        <v>36.604092691146747</v>
      </c>
      <c r="AG187" s="9">
        <f t="shared" si="48"/>
        <v>0.97943003728119027</v>
      </c>
      <c r="AH187" s="9">
        <f t="shared" si="49"/>
        <v>-9.0265811168235413E-2</v>
      </c>
      <c r="AI187" s="9">
        <f t="shared" si="50"/>
        <v>0</v>
      </c>
      <c r="AJ187" s="9">
        <f t="shared" si="51"/>
        <v>0</v>
      </c>
      <c r="AK187" s="9">
        <f t="shared" si="52"/>
        <v>0</v>
      </c>
      <c r="AL187" s="9">
        <f>1000*(AA188-AA186)/(A188-A186)*Inputs!$C$11</f>
        <v>609.76080192881454</v>
      </c>
      <c r="AM187" s="9">
        <f>-2*AL187/Inputs!$C$13</f>
        <v>-243.90432077152582</v>
      </c>
      <c r="AN187" s="9">
        <f>-2*AL187/Inputs!$C$14</f>
        <v>-36.622270386114991</v>
      </c>
      <c r="AO187" s="9">
        <f t="shared" si="53"/>
        <v>243.90432077152582</v>
      </c>
      <c r="AP187" s="9">
        <f t="shared" si="54"/>
        <v>36.622270386114991</v>
      </c>
      <c r="AQ187" s="9">
        <f>IF(OR(Inputs!$C$27=TRUE,Inputs!$C$27="TRUE",Inputs!$C$27=1),Inputs!$C$46/Inputs!$C$12,0)</f>
        <v>0</v>
      </c>
      <c r="AR187" s="9">
        <f t="shared" si="55"/>
        <v>1174.1407290190098</v>
      </c>
      <c r="AS187" s="9">
        <f t="shared" si="56"/>
        <v>1174.1407290190098</v>
      </c>
    </row>
    <row r="188" spans="1:45">
      <c r="A188" s="9">
        <f>Inputs!$C$7+186*(Inputs!$C$8-Inputs!$C$7)/240</f>
        <v>33</v>
      </c>
      <c r="B188" s="9">
        <f>Inputs!$C$5+Inputs!$C$9*(A188/Inputs!$C$10)^2</f>
        <v>401.21</v>
      </c>
      <c r="C188" s="9">
        <f t="shared" si="38"/>
        <v>401.21</v>
      </c>
      <c r="D188" s="9">
        <f>SQRT(A188^2+Inputs!$C$6^2+B188^2)</f>
        <v>403.340382431514</v>
      </c>
      <c r="E188" s="9">
        <f t="shared" si="39"/>
        <v>2130.3824315140218</v>
      </c>
      <c r="F188" s="9">
        <f>E188/Inputs!$C$12</f>
        <v>1196.8440626483268</v>
      </c>
      <c r="G188" s="9">
        <f>2*E188/Inputs!$C$21*1000000</f>
        <v>14.212381763880277</v>
      </c>
      <c r="H188" s="9">
        <f>SQRT(A188^2+Inputs!$C$6^2)</f>
        <v>41.400483088968905</v>
      </c>
      <c r="I188" s="9">
        <f t="shared" si="40"/>
        <v>5.8914460516514309</v>
      </c>
      <c r="J188" s="9">
        <f>DEGREES((2*PI()/Inputs!$C$13)*Inputs!$C$15*SIN(RADIANS(I188)))</f>
        <v>36.951851491238891</v>
      </c>
      <c r="K188" s="9">
        <f t="shared" si="41"/>
        <v>0.9790394084468792</v>
      </c>
      <c r="L188" s="9">
        <f t="shared" si="42"/>
        <v>-9.1998265558405568E-2</v>
      </c>
      <c r="M188" s="9">
        <f>2*(Inputs!$C$9/(Inputs!$C$10^2))*A188</f>
        <v>7.3333333333333334E-2</v>
      </c>
      <c r="N188" s="9">
        <f>M188*Inputs!$C$11</f>
        <v>0.29333333333333333</v>
      </c>
      <c r="O188" s="9">
        <f>1000*((A188*Inputs!$C$11)+(B188*N188))/D188</f>
        <v>619.05099896379204</v>
      </c>
      <c r="P188" s="9">
        <f>-2*O188/Inputs!$C$13</f>
        <v>-247.62039958551682</v>
      </c>
      <c r="Q188" s="9">
        <f>-2*O188/Inputs!$C$14</f>
        <v>-37.180240178005533</v>
      </c>
      <c r="R188" s="9">
        <f>F188-Inputs!$C$16/2</f>
        <v>1181.8440626483268</v>
      </c>
      <c r="S188" s="9">
        <f>F188+Inputs!$C$16/2</f>
        <v>1211.8440626483268</v>
      </c>
      <c r="T188" s="9">
        <f>F188-Inputs!$C$17/2</f>
        <v>1046.8440626483268</v>
      </c>
      <c r="U188" s="9">
        <f>F188+Inputs!$C$17/2</f>
        <v>1346.8440626483268</v>
      </c>
      <c r="V188" s="9">
        <f t="shared" si="43"/>
        <v>247.62039958551682</v>
      </c>
      <c r="W188" s="9">
        <f t="shared" si="44"/>
        <v>37.180240178005533</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0</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0</v>
      </c>
      <c r="Z188" s="9">
        <f t="shared" si="45"/>
        <v>401.21</v>
      </c>
      <c r="AA188" s="9">
        <f>SQRT(A188^2+Inputs!$C$6^2+(B188-Y188/1000)^2)</f>
        <v>403.340382431514</v>
      </c>
      <c r="AB188" s="9">
        <f t="shared" si="46"/>
        <v>2130.3824315140218</v>
      </c>
      <c r="AC188" s="9">
        <f>AB188/Inputs!$C$12</f>
        <v>1196.8440626483268</v>
      </c>
      <c r="AD188" s="9">
        <f>2*AB188/Inputs!$C$21*1000000</f>
        <v>14.212381763880277</v>
      </c>
      <c r="AE188" s="9">
        <f t="shared" si="47"/>
        <v>5.8914460516514309</v>
      </c>
      <c r="AF188" s="9">
        <f>DEGREES((2*PI()/Inputs!$C$13)*Inputs!$C$15*SIN(RADIANS(AE188)))</f>
        <v>36.951851491238891</v>
      </c>
      <c r="AG188" s="9">
        <f t="shared" si="48"/>
        <v>0.9790394084468792</v>
      </c>
      <c r="AH188" s="9">
        <f t="shared" si="49"/>
        <v>-9.1998265558405568E-2</v>
      </c>
      <c r="AI188" s="9">
        <f t="shared" si="50"/>
        <v>0</v>
      </c>
      <c r="AJ188" s="9">
        <f t="shared" si="51"/>
        <v>0</v>
      </c>
      <c r="AK188" s="9">
        <f t="shared" si="52"/>
        <v>0</v>
      </c>
      <c r="AL188" s="9">
        <f>1000*(AA189-AA187)/(A189-A187)*Inputs!$C$11</f>
        <v>619.05031007631806</v>
      </c>
      <c r="AM188" s="9">
        <f>-2*AL188/Inputs!$C$13</f>
        <v>-247.62012403052722</v>
      </c>
      <c r="AN188" s="9">
        <f>-2*AL188/Inputs!$C$14</f>
        <v>-37.180198803382467</v>
      </c>
      <c r="AO188" s="9">
        <f t="shared" si="53"/>
        <v>247.62012403052722</v>
      </c>
      <c r="AP188" s="9">
        <f t="shared" si="54"/>
        <v>37.180198803382467</v>
      </c>
      <c r="AQ188" s="9">
        <f>IF(OR(Inputs!$C$27=TRUE,Inputs!$C$27="TRUE",Inputs!$C$27=1),Inputs!$C$46/Inputs!$C$12,0)</f>
        <v>0</v>
      </c>
      <c r="AR188" s="9">
        <f t="shared" si="55"/>
        <v>1196.8440626483268</v>
      </c>
      <c r="AS188" s="9">
        <f t="shared" si="56"/>
        <v>1196.8440626483268</v>
      </c>
    </row>
    <row r="189" spans="1:45">
      <c r="A189" s="9">
        <f>Inputs!$C$7+187*(Inputs!$C$8-Inputs!$C$7)/240</f>
        <v>33.5</v>
      </c>
      <c r="B189" s="9">
        <f>Inputs!$C$5+Inputs!$C$9*(A189/Inputs!$C$10)^2</f>
        <v>401.24694444444447</v>
      </c>
      <c r="C189" s="9">
        <f t="shared" si="38"/>
        <v>401.24694444444447</v>
      </c>
      <c r="D189" s="9">
        <f>SQRT(A189^2+Inputs!$C$6^2+B189^2)</f>
        <v>403.418344186284</v>
      </c>
      <c r="E189" s="9">
        <f t="shared" si="39"/>
        <v>2171.3997418395365</v>
      </c>
      <c r="F189" s="9">
        <f>E189/Inputs!$C$12</f>
        <v>1219.8874954154699</v>
      </c>
      <c r="G189" s="9">
        <f>2*E189/Inputs!$C$21*1000000</f>
        <v>14.486019804004119</v>
      </c>
      <c r="H189" s="9">
        <f>SQRT(A189^2+Inputs!$C$6^2)</f>
        <v>41.800119617053731</v>
      </c>
      <c r="I189" s="9">
        <f t="shared" si="40"/>
        <v>5.9473663547666744</v>
      </c>
      <c r="J189" s="9">
        <f>DEGREES((2*PI()/Inputs!$C$13)*Inputs!$C$15*SIN(RADIANS(I189)))</f>
        <v>37.301335645735293</v>
      </c>
      <c r="K189" s="9">
        <f t="shared" si="41"/>
        <v>0.97864320000507332</v>
      </c>
      <c r="L189" s="9">
        <f t="shared" si="42"/>
        <v>-9.3756171988858106E-2</v>
      </c>
      <c r="M189" s="9">
        <f>2*(Inputs!$C$9/(Inputs!$C$10^2))*A189</f>
        <v>7.4444444444444438E-2</v>
      </c>
      <c r="N189" s="9">
        <f>M189*Inputs!$C$11</f>
        <v>0.29777777777777775</v>
      </c>
      <c r="O189" s="9">
        <f>1000*((A189*Inputs!$C$11)+(B189*N189))/D189</f>
        <v>628.33638358235169</v>
      </c>
      <c r="P189" s="9">
        <f>-2*O189/Inputs!$C$13</f>
        <v>-251.33455343294068</v>
      </c>
      <c r="Q189" s="9">
        <f>-2*O189/Inputs!$C$14</f>
        <v>-37.737920935876978</v>
      </c>
      <c r="R189" s="9">
        <f>F189-Inputs!$C$16/2</f>
        <v>1204.8874954154699</v>
      </c>
      <c r="S189" s="9">
        <f>F189+Inputs!$C$16/2</f>
        <v>1234.8874954154699</v>
      </c>
      <c r="T189" s="9">
        <f>F189-Inputs!$C$17/2</f>
        <v>1069.8874954154699</v>
      </c>
      <c r="U189" s="9">
        <f>F189+Inputs!$C$17/2</f>
        <v>1369.8874954154699</v>
      </c>
      <c r="V189" s="9">
        <f t="shared" si="43"/>
        <v>251.33455343294068</v>
      </c>
      <c r="W189" s="9">
        <f t="shared" si="44"/>
        <v>37.737920935876978</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0</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0</v>
      </c>
      <c r="Z189" s="9">
        <f t="shared" si="45"/>
        <v>401.24694444444447</v>
      </c>
      <c r="AA189" s="9">
        <f>SQRT(A189^2+Inputs!$C$6^2+(B189-Y189/1000)^2)</f>
        <v>403.418344186284</v>
      </c>
      <c r="AB189" s="9">
        <f t="shared" si="46"/>
        <v>2171.3997418395365</v>
      </c>
      <c r="AC189" s="9">
        <f>AB189/Inputs!$C$12</f>
        <v>1219.8874954154699</v>
      </c>
      <c r="AD189" s="9">
        <f>2*AB189/Inputs!$C$21*1000000</f>
        <v>14.486019804004119</v>
      </c>
      <c r="AE189" s="9">
        <f t="shared" si="47"/>
        <v>5.9473663547666744</v>
      </c>
      <c r="AF189" s="9">
        <f>DEGREES((2*PI()/Inputs!$C$13)*Inputs!$C$15*SIN(RADIANS(AE189)))</f>
        <v>37.301335645735293</v>
      </c>
      <c r="AG189" s="9">
        <f t="shared" si="48"/>
        <v>0.97864320000507332</v>
      </c>
      <c r="AH189" s="9">
        <f t="shared" si="49"/>
        <v>-9.3756171988858106E-2</v>
      </c>
      <c r="AI189" s="9">
        <f t="shared" si="50"/>
        <v>0</v>
      </c>
      <c r="AJ189" s="9">
        <f t="shared" si="51"/>
        <v>0</v>
      </c>
      <c r="AK189" s="9">
        <f t="shared" si="52"/>
        <v>0</v>
      </c>
      <c r="AL189" s="9">
        <f>1000*(AA190-AA188)/(A190-A188)*Inputs!$C$11</f>
        <v>628.33568493306302</v>
      </c>
      <c r="AM189" s="9">
        <f>-2*AL189/Inputs!$C$13</f>
        <v>-251.33427397322521</v>
      </c>
      <c r="AN189" s="9">
        <f>-2*AL189/Inputs!$C$14</f>
        <v>-37.73787897495874</v>
      </c>
      <c r="AO189" s="9">
        <f t="shared" si="53"/>
        <v>251.33427397322521</v>
      </c>
      <c r="AP189" s="9">
        <f t="shared" si="54"/>
        <v>37.73787897495874</v>
      </c>
      <c r="AQ189" s="9">
        <f>IF(OR(Inputs!$C$27=TRUE,Inputs!$C$27="TRUE",Inputs!$C$27=1),Inputs!$C$46/Inputs!$C$12,0)</f>
        <v>0</v>
      </c>
      <c r="AR189" s="9">
        <f t="shared" si="55"/>
        <v>1219.8874954154699</v>
      </c>
      <c r="AS189" s="9">
        <f t="shared" si="56"/>
        <v>1219.8874954154699</v>
      </c>
    </row>
    <row r="190" spans="1:45">
      <c r="A190" s="9">
        <f>Inputs!$C$7+188*(Inputs!$C$8-Inputs!$C$7)/240</f>
        <v>34</v>
      </c>
      <c r="B190" s="9">
        <f>Inputs!$C$5+Inputs!$C$9*(A190/Inputs!$C$10)^2</f>
        <v>401.28444444444443</v>
      </c>
      <c r="C190" s="9">
        <f t="shared" si="38"/>
        <v>401.28444444444443</v>
      </c>
      <c r="D190" s="9">
        <f>SQRT(A190^2+Inputs!$C$6^2+B190^2)</f>
        <v>403.49746635274727</v>
      </c>
      <c r="E190" s="9">
        <f t="shared" si="39"/>
        <v>2213.0219083028351</v>
      </c>
      <c r="F190" s="9">
        <f>E190/Inputs!$C$12</f>
        <v>1243.2707350015928</v>
      </c>
      <c r="G190" s="9">
        <f>2*E190/Inputs!$C$21*1000000</f>
        <v>14.76369300993446</v>
      </c>
      <c r="H190" s="9">
        <f>SQRT(A190^2+Inputs!$C$6^2)</f>
        <v>42.201895692018383</v>
      </c>
      <c r="I190" s="9">
        <f t="shared" si="40"/>
        <v>6.0035588898090326</v>
      </c>
      <c r="J190" s="9">
        <f>DEGREES((2*PI()/Inputs!$C$13)*Inputs!$C$15*SIN(RADIANS(I190)))</f>
        <v>37.652485371109634</v>
      </c>
      <c r="K190" s="9">
        <f t="shared" si="41"/>
        <v>0.97824142888534515</v>
      </c>
      <c r="L190" s="9">
        <f t="shared" si="42"/>
        <v>-9.5539485937587709E-2</v>
      </c>
      <c r="M190" s="9">
        <f>2*(Inputs!$C$9/(Inputs!$C$10^2))*A190</f>
        <v>7.5555555555555556E-2</v>
      </c>
      <c r="N190" s="9">
        <f>M190*Inputs!$C$11</f>
        <v>0.30222222222222223</v>
      </c>
      <c r="O190" s="9">
        <f>1000*((A190*Inputs!$C$11)+(B190*N190))/D190</f>
        <v>637.61757631036039</v>
      </c>
      <c r="P190" s="9">
        <f>-2*O190/Inputs!$C$13</f>
        <v>-255.04703052414416</v>
      </c>
      <c r="Q190" s="9">
        <f>-2*O190/Inputs!$C$14</f>
        <v>-38.295349928550174</v>
      </c>
      <c r="R190" s="9">
        <f>F190-Inputs!$C$16/2</f>
        <v>1228.2707350015928</v>
      </c>
      <c r="S190" s="9">
        <f>F190+Inputs!$C$16/2</f>
        <v>1258.2707350015928</v>
      </c>
      <c r="T190" s="9">
        <f>F190-Inputs!$C$17/2</f>
        <v>1093.2707350015928</v>
      </c>
      <c r="U190" s="9">
        <f>F190+Inputs!$C$17/2</f>
        <v>1393.2707350015928</v>
      </c>
      <c r="V190" s="9">
        <f t="shared" si="43"/>
        <v>255.04703052414416</v>
      </c>
      <c r="W190" s="9">
        <f t="shared" si="44"/>
        <v>38.295349928550174</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0</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0</v>
      </c>
      <c r="Z190" s="9">
        <f t="shared" si="45"/>
        <v>401.28444444444443</v>
      </c>
      <c r="AA190" s="9">
        <f>SQRT(A190^2+Inputs!$C$6^2+(B190-Y190/1000)^2)</f>
        <v>403.49746635274727</v>
      </c>
      <c r="AB190" s="9">
        <f t="shared" si="46"/>
        <v>2213.0219083028351</v>
      </c>
      <c r="AC190" s="9">
        <f>AB190/Inputs!$C$12</f>
        <v>1243.2707350015928</v>
      </c>
      <c r="AD190" s="9">
        <f>2*AB190/Inputs!$C$21*1000000</f>
        <v>14.76369300993446</v>
      </c>
      <c r="AE190" s="9">
        <f t="shared" si="47"/>
        <v>6.0035588898090326</v>
      </c>
      <c r="AF190" s="9">
        <f>DEGREES((2*PI()/Inputs!$C$13)*Inputs!$C$15*SIN(RADIANS(AE190)))</f>
        <v>37.652485371109634</v>
      </c>
      <c r="AG190" s="9">
        <f t="shared" si="48"/>
        <v>0.97824142888534515</v>
      </c>
      <c r="AH190" s="9">
        <f t="shared" si="49"/>
        <v>-9.5539485937587709E-2</v>
      </c>
      <c r="AI190" s="9">
        <f t="shared" si="50"/>
        <v>0</v>
      </c>
      <c r="AJ190" s="9">
        <f t="shared" si="51"/>
        <v>0</v>
      </c>
      <c r="AK190" s="9">
        <f t="shared" si="52"/>
        <v>0</v>
      </c>
      <c r="AL190" s="9">
        <f>1000*(AA191-AA189)/(A191-A189)*Inputs!$C$11</f>
        <v>637.61686792872752</v>
      </c>
      <c r="AM190" s="9">
        <f>-2*AL190/Inputs!$C$13</f>
        <v>-255.04674717149101</v>
      </c>
      <c r="AN190" s="9">
        <f>-2*AL190/Inputs!$C$14</f>
        <v>-38.29530738310676</v>
      </c>
      <c r="AO190" s="9">
        <f t="shared" si="53"/>
        <v>255.04674717149101</v>
      </c>
      <c r="AP190" s="9">
        <f t="shared" si="54"/>
        <v>38.29530738310676</v>
      </c>
      <c r="AQ190" s="9">
        <f>IF(OR(Inputs!$C$27=TRUE,Inputs!$C$27="TRUE",Inputs!$C$27=1),Inputs!$C$46/Inputs!$C$12,0)</f>
        <v>0</v>
      </c>
      <c r="AR190" s="9">
        <f t="shared" si="55"/>
        <v>1243.2707350015928</v>
      </c>
      <c r="AS190" s="9">
        <f t="shared" si="56"/>
        <v>1243.2707350015928</v>
      </c>
    </row>
    <row r="191" spans="1:45">
      <c r="A191" s="9">
        <f>Inputs!$C$7+189*(Inputs!$C$8-Inputs!$C$7)/240</f>
        <v>34.5</v>
      </c>
      <c r="B191" s="9">
        <f>Inputs!$C$5+Inputs!$C$9*(A191/Inputs!$C$10)^2</f>
        <v>401.32249999999999</v>
      </c>
      <c r="C191" s="9">
        <f t="shared" si="38"/>
        <v>401.32249999999999</v>
      </c>
      <c r="D191" s="9">
        <f>SQRT(A191^2+Inputs!$C$6^2+B191^2)</f>
        <v>403.57774840326618</v>
      </c>
      <c r="E191" s="9">
        <f t="shared" si="39"/>
        <v>2255.2484032661937</v>
      </c>
      <c r="F191" s="9">
        <f>E191/Inputs!$C$12</f>
        <v>1266.9934849810077</v>
      </c>
      <c r="G191" s="9">
        <f>2*E191/Inputs!$C$21*1000000</f>
        <v>15.045397861651301</v>
      </c>
      <c r="H191" s="9">
        <f>SQRT(A191^2+Inputs!$C$6^2)</f>
        <v>42.605750785545368</v>
      </c>
      <c r="I191" s="9">
        <f t="shared" si="40"/>
        <v>6.0600145195950779</v>
      </c>
      <c r="J191" s="9">
        <f>DEGREES((2*PI()/Inputs!$C$13)*Inputs!$C$15*SIN(RADIANS(I191)))</f>
        <v>38.005242715884584</v>
      </c>
      <c r="K191" s="9">
        <f t="shared" si="41"/>
        <v>0.97783411223269123</v>
      </c>
      <c r="L191" s="9">
        <f t="shared" si="42"/>
        <v>-9.734816227419324E-2</v>
      </c>
      <c r="M191" s="9">
        <f>2*(Inputs!$C$9/(Inputs!$C$10^2))*A191</f>
        <v>7.6666666666666661E-2</v>
      </c>
      <c r="N191" s="9">
        <f>M191*Inputs!$C$11</f>
        <v>0.30666666666666664</v>
      </c>
      <c r="O191" s="9">
        <f>1000*((A191*Inputs!$C$11)+(B191*N191))/D191</f>
        <v>646.8945187544449</v>
      </c>
      <c r="P191" s="9">
        <f>-2*O191/Inputs!$C$13</f>
        <v>-258.75780750177796</v>
      </c>
      <c r="Q191" s="9">
        <f>-2*O191/Inputs!$C$14</f>
        <v>-38.852523648915614</v>
      </c>
      <c r="R191" s="9">
        <f>F191-Inputs!$C$16/2</f>
        <v>1251.9934849810077</v>
      </c>
      <c r="S191" s="9">
        <f>F191+Inputs!$C$16/2</f>
        <v>1281.9934849810077</v>
      </c>
      <c r="T191" s="9">
        <f>F191-Inputs!$C$17/2</f>
        <v>1116.9934849810077</v>
      </c>
      <c r="U191" s="9">
        <f>F191+Inputs!$C$17/2</f>
        <v>1416.9934849810077</v>
      </c>
      <c r="V191" s="9">
        <f t="shared" si="43"/>
        <v>258.75780750177796</v>
      </c>
      <c r="W191" s="9">
        <f t="shared" si="44"/>
        <v>38.852523648915614</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0</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0</v>
      </c>
      <c r="Z191" s="9">
        <f t="shared" si="45"/>
        <v>401.32249999999999</v>
      </c>
      <c r="AA191" s="9">
        <f>SQRT(A191^2+Inputs!$C$6^2+(B191-Y191/1000)^2)</f>
        <v>403.57774840326618</v>
      </c>
      <c r="AB191" s="9">
        <f t="shared" si="46"/>
        <v>2255.2484032661937</v>
      </c>
      <c r="AC191" s="9">
        <f>AB191/Inputs!$C$12</f>
        <v>1266.9934849810077</v>
      </c>
      <c r="AD191" s="9">
        <f>2*AB191/Inputs!$C$21*1000000</f>
        <v>15.045397861651301</v>
      </c>
      <c r="AE191" s="9">
        <f t="shared" si="47"/>
        <v>6.0600145195950779</v>
      </c>
      <c r="AF191" s="9">
        <f>DEGREES((2*PI()/Inputs!$C$13)*Inputs!$C$15*SIN(RADIANS(AE191)))</f>
        <v>38.005242715884584</v>
      </c>
      <c r="AG191" s="9">
        <f t="shared" si="48"/>
        <v>0.97783411223269123</v>
      </c>
      <c r="AH191" s="9">
        <f t="shared" si="49"/>
        <v>-9.734816227419324E-2</v>
      </c>
      <c r="AI191" s="9">
        <f t="shared" si="50"/>
        <v>0</v>
      </c>
      <c r="AJ191" s="9">
        <f t="shared" si="51"/>
        <v>0</v>
      </c>
      <c r="AK191" s="9">
        <f t="shared" si="52"/>
        <v>0</v>
      </c>
      <c r="AL191" s="9">
        <f>1000*(AA192-AA190)/(A192-A190)*Inputs!$C$11</f>
        <v>646.89380067034108</v>
      </c>
      <c r="AM191" s="9">
        <f>-2*AL191/Inputs!$C$13</f>
        <v>-258.75752026813643</v>
      </c>
      <c r="AN191" s="9">
        <f>-2*AL191/Inputs!$C$14</f>
        <v>-38.85248052074121</v>
      </c>
      <c r="AO191" s="9">
        <f t="shared" si="53"/>
        <v>258.75752026813643</v>
      </c>
      <c r="AP191" s="9">
        <f t="shared" si="54"/>
        <v>38.85248052074121</v>
      </c>
      <c r="AQ191" s="9">
        <f>IF(OR(Inputs!$C$27=TRUE,Inputs!$C$27="TRUE",Inputs!$C$27=1),Inputs!$C$46/Inputs!$C$12,0)</f>
        <v>0</v>
      </c>
      <c r="AR191" s="9">
        <f t="shared" si="55"/>
        <v>1266.9934849810077</v>
      </c>
      <c r="AS191" s="9">
        <f t="shared" si="56"/>
        <v>1266.9934849810077</v>
      </c>
    </row>
    <row r="192" spans="1:45">
      <c r="A192" s="9">
        <f>Inputs!$C$7+190*(Inputs!$C$8-Inputs!$C$7)/240</f>
        <v>35</v>
      </c>
      <c r="B192" s="9">
        <f>Inputs!$C$5+Inputs!$C$9*(A192/Inputs!$C$10)^2</f>
        <v>401.36111111111109</v>
      </c>
      <c r="C192" s="9">
        <f t="shared" si="38"/>
        <v>401.36111111111109</v>
      </c>
      <c r="D192" s="9">
        <f>SQRT(A192^2+Inputs!$C$6^2+B192^2)</f>
        <v>403.65918980291485</v>
      </c>
      <c r="E192" s="9">
        <f t="shared" si="39"/>
        <v>2298.0786918037666</v>
      </c>
      <c r="F192" s="9">
        <f>E192/Inputs!$C$12</f>
        <v>1291.0554448335768</v>
      </c>
      <c r="G192" s="9">
        <f>2*E192/Inputs!$C$21*1000000</f>
        <v>15.331130790513527</v>
      </c>
      <c r="H192" s="9">
        <f>SQRT(A192^2+Inputs!$C$6^2)</f>
        <v>43.011626335213137</v>
      </c>
      <c r="I192" s="9">
        <f t="shared" si="40"/>
        <v>6.116724388997361</v>
      </c>
      <c r="J192" s="9">
        <f>DEGREES((2*PI()/Inputs!$C$13)*Inputs!$C$15*SIN(RADIANS(I192)))</f>
        <v>38.359551502436567</v>
      </c>
      <c r="K192" s="9">
        <f t="shared" si="41"/>
        <v>0.97742126740588164</v>
      </c>
      <c r="L192" s="9">
        <f t="shared" si="42"/>
        <v>-9.9182155262498989E-2</v>
      </c>
      <c r="M192" s="9">
        <f>2*(Inputs!$C$9/(Inputs!$C$10^2))*A192</f>
        <v>7.7777777777777779E-2</v>
      </c>
      <c r="N192" s="9">
        <f>M192*Inputs!$C$11</f>
        <v>0.31111111111111112</v>
      </c>
      <c r="O192" s="9">
        <f>1000*((A192*Inputs!$C$11)+(B192*N192))/D192</f>
        <v>656.16715270099189</v>
      </c>
      <c r="P192" s="9">
        <f>-2*O192/Inputs!$C$13</f>
        <v>-262.46686108039677</v>
      </c>
      <c r="Q192" s="9">
        <f>-2*O192/Inputs!$C$14</f>
        <v>-39.409438600660174</v>
      </c>
      <c r="R192" s="9">
        <f>F192-Inputs!$C$16/2</f>
        <v>1276.0554448335768</v>
      </c>
      <c r="S192" s="9">
        <f>F192+Inputs!$C$16/2</f>
        <v>1306.0554448335768</v>
      </c>
      <c r="T192" s="9">
        <f>F192-Inputs!$C$17/2</f>
        <v>1141.0554448335768</v>
      </c>
      <c r="U192" s="9">
        <f>F192+Inputs!$C$17/2</f>
        <v>1441.0554448335768</v>
      </c>
      <c r="V192" s="9">
        <f t="shared" si="43"/>
        <v>262.46686108039677</v>
      </c>
      <c r="W192" s="9">
        <f t="shared" si="44"/>
        <v>39.409438600660174</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0</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0</v>
      </c>
      <c r="Z192" s="9">
        <f t="shared" si="45"/>
        <v>401.36111111111109</v>
      </c>
      <c r="AA192" s="9">
        <f>SQRT(A192^2+Inputs!$C$6^2+(B192-Y192/1000)^2)</f>
        <v>403.65918980291485</v>
      </c>
      <c r="AB192" s="9">
        <f t="shared" si="46"/>
        <v>2298.0786918037666</v>
      </c>
      <c r="AC192" s="9">
        <f>AB192/Inputs!$C$12</f>
        <v>1291.0554448335768</v>
      </c>
      <c r="AD192" s="9">
        <f>2*AB192/Inputs!$C$21*1000000</f>
        <v>15.331130790513527</v>
      </c>
      <c r="AE192" s="9">
        <f t="shared" si="47"/>
        <v>6.116724388997361</v>
      </c>
      <c r="AF192" s="9">
        <f>DEGREES((2*PI()/Inputs!$C$13)*Inputs!$C$15*SIN(RADIANS(AE192)))</f>
        <v>38.359551502436567</v>
      </c>
      <c r="AG192" s="9">
        <f t="shared" si="48"/>
        <v>0.97742126740588164</v>
      </c>
      <c r="AH192" s="9">
        <f t="shared" si="49"/>
        <v>-9.9182155262498989E-2</v>
      </c>
      <c r="AI192" s="9">
        <f t="shared" si="50"/>
        <v>0</v>
      </c>
      <c r="AJ192" s="9">
        <f t="shared" si="51"/>
        <v>0</v>
      </c>
      <c r="AK192" s="9">
        <f t="shared" si="52"/>
        <v>0</v>
      </c>
      <c r="AL192" s="9">
        <f>1000*(AA193-AA191)/(A193-A191)*Inputs!$C$11</f>
        <v>656.1664249450132</v>
      </c>
      <c r="AM192" s="9">
        <f>-2*AL192/Inputs!$C$13</f>
        <v>-262.46656997800528</v>
      </c>
      <c r="AN192" s="9">
        <f>-2*AL192/Inputs!$C$14</f>
        <v>-39.409394891592385</v>
      </c>
      <c r="AO192" s="9">
        <f t="shared" si="53"/>
        <v>262.46656997800528</v>
      </c>
      <c r="AP192" s="9">
        <f t="shared" si="54"/>
        <v>39.409394891592385</v>
      </c>
      <c r="AQ192" s="9">
        <f>IF(OR(Inputs!$C$27=TRUE,Inputs!$C$27="TRUE",Inputs!$C$27=1),Inputs!$C$46/Inputs!$C$12,0)</f>
        <v>0</v>
      </c>
      <c r="AR192" s="9">
        <f t="shared" si="55"/>
        <v>1291.0554448335768</v>
      </c>
      <c r="AS192" s="9">
        <f t="shared" si="56"/>
        <v>1291.0554448335768</v>
      </c>
    </row>
    <row r="193" spans="1:45">
      <c r="A193" s="9">
        <f>Inputs!$C$7+191*(Inputs!$C$8-Inputs!$C$7)/240</f>
        <v>35.5</v>
      </c>
      <c r="B193" s="9">
        <f>Inputs!$C$5+Inputs!$C$9*(A193/Inputs!$C$10)^2</f>
        <v>401.40027777777777</v>
      </c>
      <c r="C193" s="9">
        <f t="shared" si="38"/>
        <v>401.40027777777777</v>
      </c>
      <c r="D193" s="9">
        <f>SQRT(A193^2+Inputs!$C$6^2+B193^2)</f>
        <v>403.74179000950244</v>
      </c>
      <c r="E193" s="9">
        <f t="shared" si="39"/>
        <v>2341.5122317246642</v>
      </c>
      <c r="F193" s="9">
        <f>E193/Inputs!$C$12</f>
        <v>1315.4563099576765</v>
      </c>
      <c r="G193" s="9">
        <f>2*E193/Inputs!$C$21*1000000</f>
        <v>15.620888179412866</v>
      </c>
      <c r="H193" s="9">
        <f>SQRT(A193^2+Inputs!$C$6^2)</f>
        <v>43.419465680728962</v>
      </c>
      <c r="I193" s="9">
        <f t="shared" si="40"/>
        <v>6.1736799158619622</v>
      </c>
      <c r="J193" s="9">
        <f>DEGREES((2*PI()/Inputs!$C$13)*Inputs!$C$15*SIN(RADIANS(I193)))</f>
        <v>38.715357270037714</v>
      </c>
      <c r="K193" s="9">
        <f t="shared" si="41"/>
        <v>0.97700291197578704</v>
      </c>
      <c r="L193" s="9">
        <f t="shared" si="42"/>
        <v>-0.1010414185632306</v>
      </c>
      <c r="M193" s="9">
        <f>2*(Inputs!$C$9/(Inputs!$C$10^2))*A193</f>
        <v>7.8888888888888883E-2</v>
      </c>
      <c r="N193" s="9">
        <f>M193*Inputs!$C$11</f>
        <v>0.31555555555555553</v>
      </c>
      <c r="O193" s="9">
        <f>1000*((A193*Inputs!$C$11)+(B193*N193))/D193</f>
        <v>665.43542011838224</v>
      </c>
      <c r="P193" s="9">
        <f>-2*O193/Inputs!$C$13</f>
        <v>-266.17416804735291</v>
      </c>
      <c r="Q193" s="9">
        <f>-2*O193/Inputs!$C$14</f>
        <v>-39.966091298401338</v>
      </c>
      <c r="R193" s="9">
        <f>F193-Inputs!$C$16/2</f>
        <v>1300.4563099576765</v>
      </c>
      <c r="S193" s="9">
        <f>F193+Inputs!$C$16/2</f>
        <v>1330.4563099576765</v>
      </c>
      <c r="T193" s="9">
        <f>F193-Inputs!$C$17/2</f>
        <v>1165.4563099576765</v>
      </c>
      <c r="U193" s="9">
        <f>F193+Inputs!$C$17/2</f>
        <v>1465.4563099576765</v>
      </c>
      <c r="V193" s="9">
        <f t="shared" si="43"/>
        <v>266.17416804735291</v>
      </c>
      <c r="W193" s="9">
        <f t="shared" si="44"/>
        <v>39.966091298401338</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0</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0</v>
      </c>
      <c r="Z193" s="9">
        <f t="shared" si="45"/>
        <v>401.40027777777777</v>
      </c>
      <c r="AA193" s="9">
        <f>SQRT(A193^2+Inputs!$C$6^2+(B193-Y193/1000)^2)</f>
        <v>403.74179000950244</v>
      </c>
      <c r="AB193" s="9">
        <f t="shared" si="46"/>
        <v>2341.5122317246642</v>
      </c>
      <c r="AC193" s="9">
        <f>AB193/Inputs!$C$12</f>
        <v>1315.4563099576765</v>
      </c>
      <c r="AD193" s="9">
        <f>2*AB193/Inputs!$C$21*1000000</f>
        <v>15.620888179412866</v>
      </c>
      <c r="AE193" s="9">
        <f t="shared" si="47"/>
        <v>6.1736799158619622</v>
      </c>
      <c r="AF193" s="9">
        <f>DEGREES((2*PI()/Inputs!$C$13)*Inputs!$C$15*SIN(RADIANS(AE193)))</f>
        <v>38.715357270037714</v>
      </c>
      <c r="AG193" s="9">
        <f t="shared" si="48"/>
        <v>0.97700291197578704</v>
      </c>
      <c r="AH193" s="9">
        <f t="shared" si="49"/>
        <v>-0.1010414185632306</v>
      </c>
      <c r="AI193" s="9">
        <f t="shared" si="50"/>
        <v>0</v>
      </c>
      <c r="AJ193" s="9">
        <f t="shared" si="51"/>
        <v>0</v>
      </c>
      <c r="AK193" s="9">
        <f t="shared" si="52"/>
        <v>0</v>
      </c>
      <c r="AL193" s="9">
        <f>1000*(AA194-AA192)/(A194-A192)*Inputs!$C$11</f>
        <v>665.43468272152495</v>
      </c>
      <c r="AM193" s="9">
        <f>-2*AL193/Inputs!$C$13</f>
        <v>-266.17387308860998</v>
      </c>
      <c r="AN193" s="9">
        <f>-2*AL193/Inputs!$C$14</f>
        <v>-39.9660470103018</v>
      </c>
      <c r="AO193" s="9">
        <f t="shared" si="53"/>
        <v>266.17387308860998</v>
      </c>
      <c r="AP193" s="9">
        <f t="shared" si="54"/>
        <v>39.9660470103018</v>
      </c>
      <c r="AQ193" s="9">
        <f>IF(OR(Inputs!$C$27=TRUE,Inputs!$C$27="TRUE",Inputs!$C$27=1),Inputs!$C$46/Inputs!$C$12,0)</f>
        <v>0</v>
      </c>
      <c r="AR193" s="9">
        <f t="shared" si="55"/>
        <v>1315.4563099576765</v>
      </c>
      <c r="AS193" s="9">
        <f t="shared" si="56"/>
        <v>1315.4563099576765</v>
      </c>
    </row>
    <row r="194" spans="1:45">
      <c r="A194" s="9">
        <f>Inputs!$C$7+192*(Inputs!$C$8-Inputs!$C$7)/240</f>
        <v>36</v>
      </c>
      <c r="B194" s="9">
        <f>Inputs!$C$5+Inputs!$C$9*(A194/Inputs!$C$10)^2</f>
        <v>401.44</v>
      </c>
      <c r="C194" s="9">
        <f t="shared" ref="C194:C257" si="57">B194</f>
        <v>401.44</v>
      </c>
      <c r="D194" s="9">
        <f>SQRT(A194^2+Inputs!$C$6^2+B194^2)</f>
        <v>403.82554847359523</v>
      </c>
      <c r="E194" s="9">
        <f t="shared" ref="E194:E257" si="58">(D194-C194)*1000</f>
        <v>2385.5484735952359</v>
      </c>
      <c r="F194" s="9">
        <f>E194/Inputs!$C$12</f>
        <v>1340.1957716827169</v>
      </c>
      <c r="G194" s="9">
        <f>2*E194/Inputs!$C$21*1000000</f>
        <v>15.914666362922551</v>
      </c>
      <c r="H194" s="9">
        <f>SQRT(A194^2+Inputs!$C$6^2)</f>
        <v>43.829214001622255</v>
      </c>
      <c r="I194" s="9">
        <f t="shared" ref="I194:I257" si="59">DEGREES(ATAN(H194/B194))</f>
        <v>6.2308727821328196</v>
      </c>
      <c r="J194" s="9">
        <f>DEGREES((2*PI()/Inputs!$C$13)*Inputs!$C$15*SIN(RADIANS(I194)))</f>
        <v>39.072607219193102</v>
      </c>
      <c r="K194" s="9">
        <f t="shared" ref="K194:K242" si="60">(C194/D194)^4</f>
        <v>0.97657906372369263</v>
      </c>
      <c r="L194" s="9">
        <f t="shared" ref="L194:L257" si="61">10*LOG10(K194)</f>
        <v>-0.10292590523670389</v>
      </c>
      <c r="M194" s="9">
        <f>2*(Inputs!$C$9/(Inputs!$C$10^2))*A194</f>
        <v>0.08</v>
      </c>
      <c r="N194" s="9">
        <f>M194*Inputs!$C$11</f>
        <v>0.32</v>
      </c>
      <c r="O194" s="9">
        <f>1000*((A194*Inputs!$C$11)+(B194*N194))/D194</f>
        <v>674.69926315921361</v>
      </c>
      <c r="P194" s="9">
        <f>-2*O194/Inputs!$C$13</f>
        <v>-269.87970526368542</v>
      </c>
      <c r="Q194" s="9">
        <f>-2*O194/Inputs!$C$14</f>
        <v>-40.522478267820638</v>
      </c>
      <c r="R194" s="9">
        <f>F194-Inputs!$C$16/2</f>
        <v>1325.1957716827169</v>
      </c>
      <c r="S194" s="9">
        <f>F194+Inputs!$C$16/2</f>
        <v>1355.1957716827169</v>
      </c>
      <c r="T194" s="9">
        <f>F194-Inputs!$C$17/2</f>
        <v>1190.1957716827169</v>
      </c>
      <c r="U194" s="9">
        <f>F194+Inputs!$C$17/2</f>
        <v>1490.1957716827169</v>
      </c>
      <c r="V194" s="9">
        <f t="shared" ref="V194:V242" si="62">ABS(P194)</f>
        <v>269.87970526368542</v>
      </c>
      <c r="W194" s="9">
        <f t="shared" ref="W194:W242" si="63">ABS(Q194)</f>
        <v>40.522478267820638</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0</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0</v>
      </c>
      <c r="Z194" s="9">
        <f t="shared" ref="Z194:Z242" si="64">B194-X194/1000</f>
        <v>401.44</v>
      </c>
      <c r="AA194" s="9">
        <f>SQRT(A194^2+Inputs!$C$6^2+(B194-Y194/1000)^2)</f>
        <v>403.82554847359523</v>
      </c>
      <c r="AB194" s="9">
        <f t="shared" ref="AB194:AB257" si="65">(AA194-Z194)*1000</f>
        <v>2385.5484735952359</v>
      </c>
      <c r="AC194" s="9">
        <f>AB194/Inputs!$C$12</f>
        <v>1340.1957716827169</v>
      </c>
      <c r="AD194" s="9">
        <f>2*AB194/Inputs!$C$21*1000000</f>
        <v>15.914666362922551</v>
      </c>
      <c r="AE194" s="9">
        <f t="shared" ref="AE194:AE242" si="66">DEGREES(ATAN(H194/(B194-Y194/1000)))</f>
        <v>6.2308727821328196</v>
      </c>
      <c r="AF194" s="9">
        <f>DEGREES((2*PI()/Inputs!$C$13)*Inputs!$C$15*SIN(RADIANS(AE194)))</f>
        <v>39.072607219193102</v>
      </c>
      <c r="AG194" s="9">
        <f t="shared" ref="AG194:AG242" si="67">(Z194/AA194)^4</f>
        <v>0.97657906372369263</v>
      </c>
      <c r="AH194" s="9">
        <f t="shared" ref="AH194:AH257" si="68">10*LOG10(AG194)</f>
        <v>-0.10292590523670389</v>
      </c>
      <c r="AI194" s="9">
        <f t="shared" ref="AI194:AI242" si="69">AC194-F194</f>
        <v>0</v>
      </c>
      <c r="AJ194" s="9">
        <f t="shared" ref="AJ194:AJ242" si="70">AD194-G194</f>
        <v>0</v>
      </c>
      <c r="AK194" s="9">
        <f t="shared" ref="AK194:AK242" si="71">Y194-X194</f>
        <v>0</v>
      </c>
      <c r="AL194" s="9">
        <f>1000*(AA195-AA193)/(A195-A193)*Inputs!$C$11</f>
        <v>674.69851615169318</v>
      </c>
      <c r="AM194" s="9">
        <f>-2*AL194/Inputs!$C$13</f>
        <v>-269.87940646067727</v>
      </c>
      <c r="AN194" s="9">
        <f>-2*AL194/Inputs!$C$14</f>
        <v>-40.522433402504099</v>
      </c>
      <c r="AO194" s="9">
        <f t="shared" ref="AO194:AO242" si="72">ABS(AM194)</f>
        <v>269.87940646067727</v>
      </c>
      <c r="AP194" s="9">
        <f t="shared" ref="AP194:AP242" si="73">ABS(AN194)</f>
        <v>40.522433402504099</v>
      </c>
      <c r="AQ194" s="9">
        <f>IF(OR(Inputs!$C$27=TRUE,Inputs!$C$27="TRUE",Inputs!$C$27=1),Inputs!$C$46/Inputs!$C$12,0)</f>
        <v>0</v>
      </c>
      <c r="AR194" s="9">
        <f t="shared" ref="AR194:AR257" si="74">AC194-AQ194</f>
        <v>1340.1957716827169</v>
      </c>
      <c r="AS194" s="9">
        <f t="shared" ref="AS194:AS242" si="75">AC194+AQ194</f>
        <v>1340.1957716827169</v>
      </c>
    </row>
    <row r="195" spans="1:45">
      <c r="A195" s="9">
        <f>Inputs!$C$7+193*(Inputs!$C$8-Inputs!$C$7)/240</f>
        <v>36.5</v>
      </c>
      <c r="B195" s="9">
        <f>Inputs!$C$5+Inputs!$C$9*(A195/Inputs!$C$10)^2</f>
        <v>401.48027777777776</v>
      </c>
      <c r="C195" s="9">
        <f t="shared" si="57"/>
        <v>401.48027777777776</v>
      </c>
      <c r="D195" s="9">
        <f>SQRT(A195^2+Inputs!$C$6^2+B195^2)</f>
        <v>403.91046463854036</v>
      </c>
      <c r="E195" s="9">
        <f t="shared" si="58"/>
        <v>2430.1868607626034</v>
      </c>
      <c r="F195" s="9">
        <f>E195/Inputs!$C$12</f>
        <v>1365.2735172823614</v>
      </c>
      <c r="G195" s="9">
        <f>2*E195/Inputs!$C$21*1000000</f>
        <v>16.212461627454307</v>
      </c>
      <c r="H195" s="9">
        <f>SQRT(A195^2+Inputs!$C$6^2)</f>
        <v>44.240818256447291</v>
      </c>
      <c r="I195" s="9">
        <f t="shared" si="59"/>
        <v>6.2882949251900104</v>
      </c>
      <c r="J195" s="9">
        <f>DEGREES((2*PI()/Inputs!$C$13)*Inputs!$C$15*SIN(RADIANS(I195)))</f>
        <v>39.431250157318473</v>
      </c>
      <c r="K195" s="9">
        <f t="shared" si="60"/>
        <v>0.97614974063959181</v>
      </c>
      <c r="L195" s="9">
        <f t="shared" si="61"/>
        <v>-0.10483556774556094</v>
      </c>
      <c r="M195" s="9">
        <f>2*(Inputs!$C$9/(Inputs!$C$10^2))*A195</f>
        <v>8.1111111111111106E-2</v>
      </c>
      <c r="N195" s="9">
        <f>M195*Inputs!$C$11</f>
        <v>0.32444444444444442</v>
      </c>
      <c r="O195" s="9">
        <f>1000*((A195*Inputs!$C$11)+(B195*N195))/D195</f>
        <v>683.95862416250031</v>
      </c>
      <c r="P195" s="9">
        <f>-2*O195/Inputs!$C$13</f>
        <v>-273.5834496650001</v>
      </c>
      <c r="Q195" s="9">
        <f>-2*O195/Inputs!$C$14</f>
        <v>-41.07859604579582</v>
      </c>
      <c r="R195" s="9">
        <f>F195-Inputs!$C$16/2</f>
        <v>1350.2735172823614</v>
      </c>
      <c r="S195" s="9">
        <f>F195+Inputs!$C$16/2</f>
        <v>1380.2735172823614</v>
      </c>
      <c r="T195" s="9">
        <f>F195-Inputs!$C$17/2</f>
        <v>1215.2735172823614</v>
      </c>
      <c r="U195" s="9">
        <f>F195+Inputs!$C$17/2</f>
        <v>1515.2735172823614</v>
      </c>
      <c r="V195" s="9">
        <f t="shared" si="62"/>
        <v>273.5834496650001</v>
      </c>
      <c r="W195" s="9">
        <f t="shared" si="63"/>
        <v>41.07859604579582</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0</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0</v>
      </c>
      <c r="Z195" s="9">
        <f t="shared" si="64"/>
        <v>401.48027777777776</v>
      </c>
      <c r="AA195" s="9">
        <f>SQRT(A195^2+Inputs!$C$6^2+(B195-Y195/1000)^2)</f>
        <v>403.91046463854036</v>
      </c>
      <c r="AB195" s="9">
        <f t="shared" si="65"/>
        <v>2430.1868607626034</v>
      </c>
      <c r="AC195" s="9">
        <f>AB195/Inputs!$C$12</f>
        <v>1365.2735172823614</v>
      </c>
      <c r="AD195" s="9">
        <f>2*AB195/Inputs!$C$21*1000000</f>
        <v>16.212461627454307</v>
      </c>
      <c r="AE195" s="9">
        <f t="shared" si="66"/>
        <v>6.2882949251900104</v>
      </c>
      <c r="AF195" s="9">
        <f>DEGREES((2*PI()/Inputs!$C$13)*Inputs!$C$15*SIN(RADIANS(AE195)))</f>
        <v>39.431250157318473</v>
      </c>
      <c r="AG195" s="9">
        <f t="shared" si="67"/>
        <v>0.97614974063959181</v>
      </c>
      <c r="AH195" s="9">
        <f t="shared" si="68"/>
        <v>-0.10483556774556094</v>
      </c>
      <c r="AI195" s="9">
        <f t="shared" si="69"/>
        <v>0</v>
      </c>
      <c r="AJ195" s="9">
        <f t="shared" si="70"/>
        <v>0</v>
      </c>
      <c r="AK195" s="9">
        <f t="shared" si="71"/>
        <v>0</v>
      </c>
      <c r="AL195" s="9">
        <f>1000*(AA196-AA194)/(A196-A194)*Inputs!$C$11</f>
        <v>683.9578675762823</v>
      </c>
      <c r="AM195" s="9">
        <f>-2*AL195/Inputs!$C$13</f>
        <v>-273.58314703051292</v>
      </c>
      <c r="AN195" s="9">
        <f>-2*AL195/Inputs!$C$14</f>
        <v>-41.078550605182123</v>
      </c>
      <c r="AO195" s="9">
        <f t="shared" si="72"/>
        <v>273.58314703051292</v>
      </c>
      <c r="AP195" s="9">
        <f t="shared" si="73"/>
        <v>41.078550605182123</v>
      </c>
      <c r="AQ195" s="9">
        <f>IF(OR(Inputs!$C$27=TRUE,Inputs!$C$27="TRUE",Inputs!$C$27=1),Inputs!$C$46/Inputs!$C$12,0)</f>
        <v>0</v>
      </c>
      <c r="AR195" s="9">
        <f t="shared" si="74"/>
        <v>1365.2735172823614</v>
      </c>
      <c r="AS195" s="9">
        <f t="shared" si="75"/>
        <v>1365.2735172823614</v>
      </c>
    </row>
    <row r="196" spans="1:45">
      <c r="A196" s="9">
        <f>Inputs!$C$7+194*(Inputs!$C$8-Inputs!$C$7)/240</f>
        <v>37</v>
      </c>
      <c r="B196" s="9">
        <f>Inputs!$C$5+Inputs!$C$9*(A196/Inputs!$C$10)^2</f>
        <v>401.52111111111111</v>
      </c>
      <c r="C196" s="9">
        <f t="shared" si="57"/>
        <v>401.52111111111111</v>
      </c>
      <c r="D196" s="9">
        <f>SQRT(A196^2+Inputs!$C$6^2+B196^2)</f>
        <v>403.9965379404893</v>
      </c>
      <c r="E196" s="9">
        <f t="shared" si="58"/>
        <v>2475.4268293781934</v>
      </c>
      <c r="F196" s="9">
        <f>E196/Inputs!$C$12</f>
        <v>1390.6892299877491</v>
      </c>
      <c r="G196" s="9">
        <f>2*E196/Inputs!$C$21*1000000</f>
        <v>16.514270211415347</v>
      </c>
      <c r="H196" s="9">
        <f>SQRT(A196^2+Inputs!$C$6^2)</f>
        <v>44.654227123532216</v>
      </c>
      <c r="I196" s="9">
        <f t="shared" si="59"/>
        <v>6.3459385294073707</v>
      </c>
      <c r="J196" s="9">
        <f>DEGREES((2*PI()/Inputs!$C$13)*Inputs!$C$15*SIN(RADIANS(I196)))</f>
        <v>39.791236445792514</v>
      </c>
      <c r="K196" s="9">
        <f t="shared" si="60"/>
        <v>0.97571496092046228</v>
      </c>
      <c r="L196" s="9">
        <f t="shared" si="61"/>
        <v>-0.1067703579575411</v>
      </c>
      <c r="M196" s="9">
        <f>2*(Inputs!$C$9/(Inputs!$C$10^2))*A196</f>
        <v>8.2222222222222224E-2</v>
      </c>
      <c r="N196" s="9">
        <f>M196*Inputs!$C$11</f>
        <v>0.3288888888888889</v>
      </c>
      <c r="O196" s="9">
        <f>1000*((A196*Inputs!$C$11)+(B196*N196))/D196</f>
        <v>693.21344565586128</v>
      </c>
      <c r="P196" s="9">
        <f>-2*O196/Inputs!$C$13</f>
        <v>-277.28537826234452</v>
      </c>
      <c r="Q196" s="9">
        <f>-2*O196/Inputs!$C$14</f>
        <v>-41.634441180532214</v>
      </c>
      <c r="R196" s="9">
        <f>F196-Inputs!$C$16/2</f>
        <v>1375.6892299877491</v>
      </c>
      <c r="S196" s="9">
        <f>F196+Inputs!$C$16/2</f>
        <v>1405.6892299877491</v>
      </c>
      <c r="T196" s="9">
        <f>F196-Inputs!$C$17/2</f>
        <v>1240.6892299877491</v>
      </c>
      <c r="U196" s="9">
        <f>F196+Inputs!$C$17/2</f>
        <v>1540.6892299877491</v>
      </c>
      <c r="V196" s="9">
        <f t="shared" si="62"/>
        <v>277.28537826234452</v>
      </c>
      <c r="W196" s="9">
        <f t="shared" si="63"/>
        <v>41.634441180532214</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0</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0</v>
      </c>
      <c r="Z196" s="9">
        <f t="shared" si="64"/>
        <v>401.52111111111111</v>
      </c>
      <c r="AA196" s="9">
        <f>SQRT(A196^2+Inputs!$C$6^2+(B196-Y196/1000)^2)</f>
        <v>403.9965379404893</v>
      </c>
      <c r="AB196" s="9">
        <f t="shared" si="65"/>
        <v>2475.4268293781934</v>
      </c>
      <c r="AC196" s="9">
        <f>AB196/Inputs!$C$12</f>
        <v>1390.6892299877491</v>
      </c>
      <c r="AD196" s="9">
        <f>2*AB196/Inputs!$C$21*1000000</f>
        <v>16.514270211415347</v>
      </c>
      <c r="AE196" s="9">
        <f t="shared" si="66"/>
        <v>6.3459385294073707</v>
      </c>
      <c r="AF196" s="9">
        <f>DEGREES((2*PI()/Inputs!$C$13)*Inputs!$C$15*SIN(RADIANS(AE196)))</f>
        <v>39.791236445792514</v>
      </c>
      <c r="AG196" s="9">
        <f t="shared" si="67"/>
        <v>0.97571496092046228</v>
      </c>
      <c r="AH196" s="9">
        <f t="shared" si="68"/>
        <v>-0.1067703579575411</v>
      </c>
      <c r="AI196" s="9">
        <f t="shared" si="69"/>
        <v>0</v>
      </c>
      <c r="AJ196" s="9">
        <f t="shared" si="70"/>
        <v>0</v>
      </c>
      <c r="AK196" s="9">
        <f t="shared" si="71"/>
        <v>0</v>
      </c>
      <c r="AL196" s="9">
        <f>1000*(AA197-AA195)/(A197-A195)*Inputs!$C$11</f>
        <v>693.21267952318522</v>
      </c>
      <c r="AM196" s="9">
        <f>-2*AL196/Inputs!$C$13</f>
        <v>-277.28507180927409</v>
      </c>
      <c r="AN196" s="9">
        <f>-2*AL196/Inputs!$C$14</f>
        <v>-41.634395166557674</v>
      </c>
      <c r="AO196" s="9">
        <f t="shared" si="72"/>
        <v>277.28507180927409</v>
      </c>
      <c r="AP196" s="9">
        <f t="shared" si="73"/>
        <v>41.634395166557674</v>
      </c>
      <c r="AQ196" s="9">
        <f>IF(OR(Inputs!$C$27=TRUE,Inputs!$C$27="TRUE",Inputs!$C$27=1),Inputs!$C$46/Inputs!$C$12,0)</f>
        <v>0</v>
      </c>
      <c r="AR196" s="9">
        <f t="shared" si="74"/>
        <v>1390.6892299877491</v>
      </c>
      <c r="AS196" s="9">
        <f t="shared" si="75"/>
        <v>1390.6892299877491</v>
      </c>
    </row>
    <row r="197" spans="1:45">
      <c r="A197" s="9">
        <f>Inputs!$C$7+195*(Inputs!$C$8-Inputs!$C$7)/240</f>
        <v>37.5</v>
      </c>
      <c r="B197" s="9">
        <f>Inputs!$C$5+Inputs!$C$9*(A197/Inputs!$C$10)^2</f>
        <v>401.5625</v>
      </c>
      <c r="C197" s="9">
        <f t="shared" si="57"/>
        <v>401.5625</v>
      </c>
      <c r="D197" s="9">
        <f>SQRT(A197^2+Inputs!$C$6^2+B197^2)</f>
        <v>404.08376780842116</v>
      </c>
      <c r="E197" s="9">
        <f t="shared" si="58"/>
        <v>2521.2678084211575</v>
      </c>
      <c r="F197" s="9">
        <f>E197/Inputs!$C$12</f>
        <v>1416.4425890006503</v>
      </c>
      <c r="G197" s="9">
        <f>2*E197/Inputs!$C$21*1000000</f>
        <v>16.820088305364624</v>
      </c>
      <c r="H197" s="9">
        <f>SQRT(A197^2+Inputs!$C$6^2)</f>
        <v>45.069390943299865</v>
      </c>
      <c r="I197" s="9">
        <f t="shared" si="59"/>
        <v>6.4037960179333062</v>
      </c>
      <c r="J197" s="9">
        <f>DEGREES((2*PI()/Inputs!$C$13)*Inputs!$C$15*SIN(RADIANS(I197)))</f>
        <v>40.152517948407976</v>
      </c>
      <c r="K197" s="9">
        <f t="shared" si="60"/>
        <v>0.97527474296853178</v>
      </c>
      <c r="L197" s="9">
        <f t="shared" si="61"/>
        <v>-0.10873022714825631</v>
      </c>
      <c r="M197" s="9">
        <f>2*(Inputs!$C$9/(Inputs!$C$10^2))*A197</f>
        <v>8.3333333333333329E-2</v>
      </c>
      <c r="N197" s="9">
        <f>M197*Inputs!$C$11</f>
        <v>0.33333333333333331</v>
      </c>
      <c r="O197" s="9">
        <f>1000*((A197*Inputs!$C$11)+(B197*N197))/D197</f>
        <v>702.4636703576864</v>
      </c>
      <c r="P197" s="9">
        <f>-2*O197/Inputs!$C$13</f>
        <v>-280.98546814307457</v>
      </c>
      <c r="Q197" s="9">
        <f>-2*O197/Inputs!$C$14</f>
        <v>-42.190010231692881</v>
      </c>
      <c r="R197" s="9">
        <f>F197-Inputs!$C$16/2</f>
        <v>1401.4425890006503</v>
      </c>
      <c r="S197" s="9">
        <f>F197+Inputs!$C$16/2</f>
        <v>1431.4425890006503</v>
      </c>
      <c r="T197" s="9">
        <f>F197-Inputs!$C$17/2</f>
        <v>1266.4425890006503</v>
      </c>
      <c r="U197" s="9">
        <f>F197+Inputs!$C$17/2</f>
        <v>1566.4425890006503</v>
      </c>
      <c r="V197" s="9">
        <f t="shared" si="62"/>
        <v>280.98546814307457</v>
      </c>
      <c r="W197" s="9">
        <f t="shared" si="63"/>
        <v>42.190010231692881</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0</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0</v>
      </c>
      <c r="Z197" s="9">
        <f t="shared" si="64"/>
        <v>401.5625</v>
      </c>
      <c r="AA197" s="9">
        <f>SQRT(A197^2+Inputs!$C$6^2+(B197-Y197/1000)^2)</f>
        <v>404.08376780842116</v>
      </c>
      <c r="AB197" s="9">
        <f t="shared" si="65"/>
        <v>2521.2678084211575</v>
      </c>
      <c r="AC197" s="9">
        <f>AB197/Inputs!$C$12</f>
        <v>1416.4425890006503</v>
      </c>
      <c r="AD197" s="9">
        <f>2*AB197/Inputs!$C$21*1000000</f>
        <v>16.820088305364624</v>
      </c>
      <c r="AE197" s="9">
        <f t="shared" si="66"/>
        <v>6.4037960179333062</v>
      </c>
      <c r="AF197" s="9">
        <f>DEGREES((2*PI()/Inputs!$C$13)*Inputs!$C$15*SIN(RADIANS(AE197)))</f>
        <v>40.152517948407976</v>
      </c>
      <c r="AG197" s="9">
        <f t="shared" si="67"/>
        <v>0.97527474296853178</v>
      </c>
      <c r="AH197" s="9">
        <f t="shared" si="68"/>
        <v>-0.10873022714825631</v>
      </c>
      <c r="AI197" s="9">
        <f t="shared" si="69"/>
        <v>0</v>
      </c>
      <c r="AJ197" s="9">
        <f t="shared" si="70"/>
        <v>0</v>
      </c>
      <c r="AK197" s="9">
        <f t="shared" si="71"/>
        <v>0</v>
      </c>
      <c r="AL197" s="9">
        <f>1000*(AA198-AA196)/(A198-A196)*Inputs!$C$11</f>
        <v>702.46289470992451</v>
      </c>
      <c r="AM197" s="9">
        <f>-2*AL197/Inputs!$C$13</f>
        <v>-280.9851578839698</v>
      </c>
      <c r="AN197" s="9">
        <f>-2*AL197/Inputs!$C$14</f>
        <v>-42.189963646241715</v>
      </c>
      <c r="AO197" s="9">
        <f t="shared" si="72"/>
        <v>280.9851578839698</v>
      </c>
      <c r="AP197" s="9">
        <f t="shared" si="73"/>
        <v>42.189963646241715</v>
      </c>
      <c r="AQ197" s="9">
        <f>IF(OR(Inputs!$C$27=TRUE,Inputs!$C$27="TRUE",Inputs!$C$27=1),Inputs!$C$46/Inputs!$C$12,0)</f>
        <v>0</v>
      </c>
      <c r="AR197" s="9">
        <f t="shared" si="74"/>
        <v>1416.4425890006503</v>
      </c>
      <c r="AS197" s="9">
        <f t="shared" si="75"/>
        <v>1416.4425890006503</v>
      </c>
    </row>
    <row r="198" spans="1:45">
      <c r="A198" s="9">
        <f>Inputs!$C$7+196*(Inputs!$C$8-Inputs!$C$7)/240</f>
        <v>38</v>
      </c>
      <c r="B198" s="9">
        <f>Inputs!$C$5+Inputs!$C$9*(A198/Inputs!$C$10)^2</f>
        <v>401.60444444444443</v>
      </c>
      <c r="C198" s="9">
        <f t="shared" si="57"/>
        <v>401.60444444444443</v>
      </c>
      <c r="D198" s="9">
        <f>SQRT(A198^2+Inputs!$C$6^2+B198^2)</f>
        <v>404.17215366416679</v>
      </c>
      <c r="E198" s="9">
        <f t="shared" si="58"/>
        <v>2567.7092197223601</v>
      </c>
      <c r="F198" s="9">
        <f>E198/Inputs!$C$12</f>
        <v>1442.533269506944</v>
      </c>
      <c r="G198" s="9">
        <f>2*E198/Inputs!$C$21*1000000</f>
        <v>17.129912052172841</v>
      </c>
      <c r="H198" s="9">
        <f>SQRT(A198^2+Inputs!$C$6^2)</f>
        <v>45.486261662176638</v>
      </c>
      <c r="I198" s="9">
        <f t="shared" si="59"/>
        <v>6.4618600446971843</v>
      </c>
      <c r="J198" s="9">
        <f>DEGREES((2*PI()/Inputs!$C$13)*Inputs!$C$15*SIN(RADIANS(I198)))</f>
        <v>40.515047981236947</v>
      </c>
      <c r="K198" s="9">
        <f t="shared" si="60"/>
        <v>0.97482910538952416</v>
      </c>
      <c r="L198" s="9">
        <f t="shared" si="61"/>
        <v>-0.1107151260040134</v>
      </c>
      <c r="M198" s="9">
        <f>2*(Inputs!$C$9/(Inputs!$C$10^2))*A198</f>
        <v>8.4444444444444447E-2</v>
      </c>
      <c r="N198" s="9">
        <f>M198*Inputs!$C$11</f>
        <v>0.33777777777777779</v>
      </c>
      <c r="O198" s="9">
        <f>1000*((A198*Inputs!$C$11)+(B198*N198))/D198</f>
        <v>711.70924117928985</v>
      </c>
      <c r="P198" s="9">
        <f>-2*O198/Inputs!$C$13</f>
        <v>-284.68369647171596</v>
      </c>
      <c r="Q198" s="9">
        <f>-2*O198/Inputs!$C$14</f>
        <v>-42.745299770527922</v>
      </c>
      <c r="R198" s="9">
        <f>F198-Inputs!$C$16/2</f>
        <v>1427.533269506944</v>
      </c>
      <c r="S198" s="9">
        <f>F198+Inputs!$C$16/2</f>
        <v>1457.533269506944</v>
      </c>
      <c r="T198" s="9">
        <f>F198-Inputs!$C$17/2</f>
        <v>1292.533269506944</v>
      </c>
      <c r="U198" s="9">
        <f>F198+Inputs!$C$17/2</f>
        <v>1592.533269506944</v>
      </c>
      <c r="V198" s="9">
        <f t="shared" si="62"/>
        <v>284.68369647171596</v>
      </c>
      <c r="W198" s="9">
        <f t="shared" si="63"/>
        <v>42.745299770527922</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0</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0</v>
      </c>
      <c r="Z198" s="9">
        <f t="shared" si="64"/>
        <v>401.60444444444443</v>
      </c>
      <c r="AA198" s="9">
        <f>SQRT(A198^2+Inputs!$C$6^2+(B198-Y198/1000)^2)</f>
        <v>404.17215366416679</v>
      </c>
      <c r="AB198" s="9">
        <f t="shared" si="65"/>
        <v>2567.7092197223601</v>
      </c>
      <c r="AC198" s="9">
        <f>AB198/Inputs!$C$12</f>
        <v>1442.533269506944</v>
      </c>
      <c r="AD198" s="9">
        <f>2*AB198/Inputs!$C$21*1000000</f>
        <v>17.129912052172841</v>
      </c>
      <c r="AE198" s="9">
        <f t="shared" si="66"/>
        <v>6.4618600446971843</v>
      </c>
      <c r="AF198" s="9">
        <f>DEGREES((2*PI()/Inputs!$C$13)*Inputs!$C$15*SIN(RADIANS(AE198)))</f>
        <v>40.515047981236947</v>
      </c>
      <c r="AG198" s="9">
        <f t="shared" si="67"/>
        <v>0.97482910538952416</v>
      </c>
      <c r="AH198" s="9">
        <f t="shared" si="68"/>
        <v>-0.1107151260040134</v>
      </c>
      <c r="AI198" s="9">
        <f t="shared" si="69"/>
        <v>0</v>
      </c>
      <c r="AJ198" s="9">
        <f t="shared" si="70"/>
        <v>0</v>
      </c>
      <c r="AK198" s="9">
        <f t="shared" si="71"/>
        <v>0</v>
      </c>
      <c r="AL198" s="9">
        <f>1000*(AA199-AA197)/(A199-A197)*Inputs!$C$11</f>
        <v>711.70845604910937</v>
      </c>
      <c r="AM198" s="9">
        <f>-2*AL198/Inputs!$C$13</f>
        <v>-284.68338241964375</v>
      </c>
      <c r="AN198" s="9">
        <f>-2*AL198/Inputs!$C$14</f>
        <v>-42.74525261556213</v>
      </c>
      <c r="AO198" s="9">
        <f t="shared" si="72"/>
        <v>284.68338241964375</v>
      </c>
      <c r="AP198" s="9">
        <f t="shared" si="73"/>
        <v>42.74525261556213</v>
      </c>
      <c r="AQ198" s="9">
        <f>IF(OR(Inputs!$C$27=TRUE,Inputs!$C$27="TRUE",Inputs!$C$27=1),Inputs!$C$46/Inputs!$C$12,0)</f>
        <v>0</v>
      </c>
      <c r="AR198" s="9">
        <f t="shared" si="74"/>
        <v>1442.533269506944</v>
      </c>
      <c r="AS198" s="9">
        <f t="shared" si="75"/>
        <v>1442.533269506944</v>
      </c>
    </row>
    <row r="199" spans="1:45">
      <c r="A199" s="9">
        <f>Inputs!$C$7+197*(Inputs!$C$8-Inputs!$C$7)/240</f>
        <v>38.5</v>
      </c>
      <c r="B199" s="9">
        <f>Inputs!$C$5+Inputs!$C$9*(A199/Inputs!$C$10)^2</f>
        <v>401.64694444444444</v>
      </c>
      <c r="C199" s="9">
        <f t="shared" si="57"/>
        <v>401.64694444444444</v>
      </c>
      <c r="D199" s="9">
        <f>SQRT(A199^2+Inputs!$C$6^2+B199^2)</f>
        <v>404.26169492243343</v>
      </c>
      <c r="E199" s="9">
        <f t="shared" si="58"/>
        <v>2614.7504779889914</v>
      </c>
      <c r="F199" s="9">
        <f>E199/Inputs!$C$12</f>
        <v>1468.9609426904447</v>
      </c>
      <c r="G199" s="9">
        <f>2*E199/Inputs!$C$21*1000000</f>
        <v>17.443737547186672</v>
      </c>
      <c r="H199" s="9">
        <f>SQRT(A199^2+Inputs!$C$6^2)</f>
        <v>45.904792778096713</v>
      </c>
      <c r="I199" s="9">
        <f t="shared" si="59"/>
        <v>6.5201234866425004</v>
      </c>
      <c r="J199" s="9">
        <f>DEGREES((2*PI()/Inputs!$C$13)*Inputs!$C$15*SIN(RADIANS(I199)))</f>
        <v>40.87878126391778</v>
      </c>
      <c r="K199" s="9">
        <f t="shared" si="60"/>
        <v>0.97437806699088481</v>
      </c>
      <c r="L199" s="9">
        <f t="shared" si="61"/>
        <v>-0.11272500462468835</v>
      </c>
      <c r="M199" s="9">
        <f>2*(Inputs!$C$9/(Inputs!$C$10^2))*A199</f>
        <v>8.5555555555555551E-2</v>
      </c>
      <c r="N199" s="9">
        <f>M199*Inputs!$C$11</f>
        <v>0.34222222222222221</v>
      </c>
      <c r="O199" s="9">
        <f>1000*((A199*Inputs!$C$11)+(B199*N199))/D199</f>
        <v>720.95010122704014</v>
      </c>
      <c r="P199" s="9">
        <f>-2*O199/Inputs!$C$13</f>
        <v>-288.38004049081604</v>
      </c>
      <c r="Q199" s="9">
        <f>-2*O199/Inputs!$C$14</f>
        <v>-43.300306380002411</v>
      </c>
      <c r="R199" s="9">
        <f>F199-Inputs!$C$16/2</f>
        <v>1453.9609426904447</v>
      </c>
      <c r="S199" s="9">
        <f>F199+Inputs!$C$16/2</f>
        <v>1483.9609426904447</v>
      </c>
      <c r="T199" s="9">
        <f>F199-Inputs!$C$17/2</f>
        <v>1318.9609426904447</v>
      </c>
      <c r="U199" s="9">
        <f>F199+Inputs!$C$17/2</f>
        <v>1618.9609426904447</v>
      </c>
      <c r="V199" s="9">
        <f t="shared" si="62"/>
        <v>288.38004049081604</v>
      </c>
      <c r="W199" s="9">
        <f t="shared" si="63"/>
        <v>43.300306380002411</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0</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0</v>
      </c>
      <c r="Z199" s="9">
        <f t="shared" si="64"/>
        <v>401.64694444444444</v>
      </c>
      <c r="AA199" s="9">
        <f>SQRT(A199^2+Inputs!$C$6^2+(B199-Y199/1000)^2)</f>
        <v>404.26169492243343</v>
      </c>
      <c r="AB199" s="9">
        <f t="shared" si="65"/>
        <v>2614.7504779889914</v>
      </c>
      <c r="AC199" s="9">
        <f>AB199/Inputs!$C$12</f>
        <v>1468.9609426904447</v>
      </c>
      <c r="AD199" s="9">
        <f>2*AB199/Inputs!$C$21*1000000</f>
        <v>17.443737547186672</v>
      </c>
      <c r="AE199" s="9">
        <f t="shared" si="66"/>
        <v>6.5201234866425004</v>
      </c>
      <c r="AF199" s="9">
        <f>DEGREES((2*PI()/Inputs!$C$13)*Inputs!$C$15*SIN(RADIANS(AE199)))</f>
        <v>40.87878126391778</v>
      </c>
      <c r="AG199" s="9">
        <f t="shared" si="67"/>
        <v>0.97437806699088481</v>
      </c>
      <c r="AH199" s="9">
        <f t="shared" si="68"/>
        <v>-0.11272500462468835</v>
      </c>
      <c r="AI199" s="9">
        <f t="shared" si="69"/>
        <v>0</v>
      </c>
      <c r="AJ199" s="9">
        <f t="shared" si="70"/>
        <v>0</v>
      </c>
      <c r="AK199" s="9">
        <f t="shared" si="71"/>
        <v>0</v>
      </c>
      <c r="AL199" s="9">
        <f>1000*(AA200-AA198)/(A200-A198)*Inputs!$C$11</f>
        <v>720.94930664775347</v>
      </c>
      <c r="AM199" s="9">
        <f>-2*AL199/Inputs!$C$13</f>
        <v>-288.37972265910139</v>
      </c>
      <c r="AN199" s="9">
        <f>-2*AL199/Inputs!$C$14</f>
        <v>-43.300258657522733</v>
      </c>
      <c r="AO199" s="9">
        <f t="shared" si="72"/>
        <v>288.37972265910139</v>
      </c>
      <c r="AP199" s="9">
        <f t="shared" si="73"/>
        <v>43.300258657522733</v>
      </c>
      <c r="AQ199" s="9">
        <f>IF(OR(Inputs!$C$27=TRUE,Inputs!$C$27="TRUE",Inputs!$C$27=1),Inputs!$C$46/Inputs!$C$12,0)</f>
        <v>0</v>
      </c>
      <c r="AR199" s="9">
        <f t="shared" si="74"/>
        <v>1468.9609426904447</v>
      </c>
      <c r="AS199" s="9">
        <f t="shared" si="75"/>
        <v>1468.9609426904447</v>
      </c>
    </row>
    <row r="200" spans="1:45">
      <c r="A200" s="9">
        <f>Inputs!$C$7+198*(Inputs!$C$8-Inputs!$C$7)/240</f>
        <v>39</v>
      </c>
      <c r="B200" s="9">
        <f>Inputs!$C$5+Inputs!$C$9*(A200/Inputs!$C$10)^2</f>
        <v>401.69</v>
      </c>
      <c r="C200" s="9">
        <f t="shared" si="57"/>
        <v>401.69</v>
      </c>
      <c r="D200" s="9">
        <f>SQRT(A200^2+Inputs!$C$6^2+B200^2)</f>
        <v>404.35239099082872</v>
      </c>
      <c r="E200" s="9">
        <f t="shared" si="58"/>
        <v>2662.390990828726</v>
      </c>
      <c r="F200" s="9">
        <f>E200/Inputs!$C$12</f>
        <v>1495.7252757464753</v>
      </c>
      <c r="G200" s="9">
        <f>2*E200/Inputs!$C$21*1000000</f>
        <v>17.761560838389912</v>
      </c>
      <c r="H200" s="9">
        <f>SQRT(A200^2+Inputs!$C$6^2)</f>
        <v>46.324939287601879</v>
      </c>
      <c r="I200" s="9">
        <f t="shared" si="59"/>
        <v>6.5785794361869598</v>
      </c>
      <c r="J200" s="9">
        <f>DEGREES((2*PI()/Inputs!$C$13)*Inputs!$C$15*SIN(RADIANS(I200)))</f>
        <v>41.243673872364795</v>
      </c>
      <c r="K200" s="9">
        <f t="shared" si="60"/>
        <v>0.97392164678000082</v>
      </c>
      <c r="L200" s="9">
        <f t="shared" si="61"/>
        <v>-0.11475981252658489</v>
      </c>
      <c r="M200" s="9">
        <f>2*(Inputs!$C$9/(Inputs!$C$10^2))*A200</f>
        <v>8.666666666666667E-2</v>
      </c>
      <c r="N200" s="9">
        <f>M200*Inputs!$C$11</f>
        <v>0.34666666666666668</v>
      </c>
      <c r="O200" s="9">
        <f>1000*((A200*Inputs!$C$11)+(B200*N200))/D200</f>
        <v>730.18619380447797</v>
      </c>
      <c r="P200" s="9">
        <f>-2*O200/Inputs!$C$13</f>
        <v>-292.07447752179121</v>
      </c>
      <c r="Q200" s="9">
        <f>-2*O200/Inputs!$C$14</f>
        <v>-43.855026654923606</v>
      </c>
      <c r="R200" s="9">
        <f>F200-Inputs!$C$16/2</f>
        <v>1480.7252757464753</v>
      </c>
      <c r="S200" s="9">
        <f>F200+Inputs!$C$16/2</f>
        <v>1510.7252757464753</v>
      </c>
      <c r="T200" s="9">
        <f>F200-Inputs!$C$17/2</f>
        <v>1345.7252757464753</v>
      </c>
      <c r="U200" s="9">
        <f>F200+Inputs!$C$17/2</f>
        <v>1645.7252757464753</v>
      </c>
      <c r="V200" s="9">
        <f t="shared" si="62"/>
        <v>292.07447752179121</v>
      </c>
      <c r="W200" s="9">
        <f t="shared" si="63"/>
        <v>43.855026654923606</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0</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0</v>
      </c>
      <c r="Z200" s="9">
        <f t="shared" si="64"/>
        <v>401.69</v>
      </c>
      <c r="AA200" s="9">
        <f>SQRT(A200^2+Inputs!$C$6^2+(B200-Y200/1000)^2)</f>
        <v>404.35239099082872</v>
      </c>
      <c r="AB200" s="9">
        <f t="shared" si="65"/>
        <v>2662.390990828726</v>
      </c>
      <c r="AC200" s="9">
        <f>AB200/Inputs!$C$12</f>
        <v>1495.7252757464753</v>
      </c>
      <c r="AD200" s="9">
        <f>2*AB200/Inputs!$C$21*1000000</f>
        <v>17.761560838389912</v>
      </c>
      <c r="AE200" s="9">
        <f t="shared" si="66"/>
        <v>6.5785794361869598</v>
      </c>
      <c r="AF200" s="9">
        <f>DEGREES((2*PI()/Inputs!$C$13)*Inputs!$C$15*SIN(RADIANS(AE200)))</f>
        <v>41.243673872364795</v>
      </c>
      <c r="AG200" s="9">
        <f t="shared" si="67"/>
        <v>0.97392164678000082</v>
      </c>
      <c r="AH200" s="9">
        <f t="shared" si="68"/>
        <v>-0.11475981252658489</v>
      </c>
      <c r="AI200" s="9">
        <f t="shared" si="69"/>
        <v>0</v>
      </c>
      <c r="AJ200" s="9">
        <f t="shared" si="70"/>
        <v>0</v>
      </c>
      <c r="AK200" s="9">
        <f t="shared" si="71"/>
        <v>0</v>
      </c>
      <c r="AL200" s="9">
        <f>1000*(AA201-AA199)/(A201-A199)*Inputs!$C$11</f>
        <v>730.18538980863923</v>
      </c>
      <c r="AM200" s="9">
        <f>-2*AL200/Inputs!$C$13</f>
        <v>-292.07415592345569</v>
      </c>
      <c r="AN200" s="9">
        <f>-2*AL200/Inputs!$C$14</f>
        <v>-43.854978366885241</v>
      </c>
      <c r="AO200" s="9">
        <f t="shared" si="72"/>
        <v>292.07415592345569</v>
      </c>
      <c r="AP200" s="9">
        <f t="shared" si="73"/>
        <v>43.854978366885241</v>
      </c>
      <c r="AQ200" s="9">
        <f>IF(OR(Inputs!$C$27=TRUE,Inputs!$C$27="TRUE",Inputs!$C$27=1),Inputs!$C$46/Inputs!$C$12,0)</f>
        <v>0</v>
      </c>
      <c r="AR200" s="9">
        <f t="shared" si="74"/>
        <v>1495.7252757464753</v>
      </c>
      <c r="AS200" s="9">
        <f t="shared" si="75"/>
        <v>1495.7252757464753</v>
      </c>
    </row>
    <row r="201" spans="1:45">
      <c r="A201" s="9">
        <f>Inputs!$C$7+199*(Inputs!$C$8-Inputs!$C$7)/240</f>
        <v>39.5</v>
      </c>
      <c r="B201" s="9">
        <f>Inputs!$C$5+Inputs!$C$9*(A201/Inputs!$C$10)^2</f>
        <v>401.73361111111109</v>
      </c>
      <c r="C201" s="9">
        <f t="shared" si="57"/>
        <v>401.73361111111109</v>
      </c>
      <c r="D201" s="9">
        <f>SQRT(A201^2+Inputs!$C$6^2+B201^2)</f>
        <v>404.44424126988559</v>
      </c>
      <c r="E201" s="9">
        <f t="shared" si="58"/>
        <v>2710.6301587745065</v>
      </c>
      <c r="F201" s="9">
        <f>E201/Inputs!$C$12</f>
        <v>1522.8259318957901</v>
      </c>
      <c r="G201" s="9">
        <f>2*E201/Inputs!$C$21*1000000</f>
        <v>18.083377926568829</v>
      </c>
      <c r="H201" s="9">
        <f>SQRT(A201^2+Inputs!$C$6^2)</f>
        <v>46.746657634530408</v>
      </c>
      <c r="I201" s="9">
        <f t="shared" si="59"/>
        <v>6.6372211939086254</v>
      </c>
      <c r="J201" s="9">
        <f>DEGREES((2*PI()/Inputs!$C$13)*Inputs!$C$15*SIN(RADIANS(I201)))</f>
        <v>41.609683192895538</v>
      </c>
      <c r="K201" s="9">
        <f t="shared" si="60"/>
        <v>0.97345986396239859</v>
      </c>
      <c r="L201" s="9">
        <f t="shared" si="61"/>
        <v>-0.11681949864535621</v>
      </c>
      <c r="M201" s="9">
        <f>2*(Inputs!$C$9/(Inputs!$C$10^2))*A201</f>
        <v>8.7777777777777774E-2</v>
      </c>
      <c r="N201" s="9">
        <f>M201*Inputs!$C$11</f>
        <v>0.3511111111111111</v>
      </c>
      <c r="O201" s="9">
        <f>1000*((A201*Inputs!$C$11)+(B201*N201))/D201</f>
        <v>739.41746241441251</v>
      </c>
      <c r="P201" s="9">
        <f>-2*O201/Inputs!$C$13</f>
        <v>-295.766984965765</v>
      </c>
      <c r="Q201" s="9">
        <f>-2*O201/Inputs!$C$14</f>
        <v>-44.409457202066818</v>
      </c>
      <c r="R201" s="9">
        <f>F201-Inputs!$C$16/2</f>
        <v>1507.8259318957901</v>
      </c>
      <c r="S201" s="9">
        <f>F201+Inputs!$C$16/2</f>
        <v>1537.8259318957901</v>
      </c>
      <c r="T201" s="9">
        <f>F201-Inputs!$C$17/2</f>
        <v>1372.8259318957901</v>
      </c>
      <c r="U201" s="9">
        <f>F201+Inputs!$C$17/2</f>
        <v>1672.8259318957901</v>
      </c>
      <c r="V201" s="9">
        <f t="shared" si="62"/>
        <v>295.766984965765</v>
      </c>
      <c r="W201" s="9">
        <f t="shared" si="63"/>
        <v>44.409457202066818</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0</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0</v>
      </c>
      <c r="Z201" s="9">
        <f t="shared" si="64"/>
        <v>401.73361111111109</v>
      </c>
      <c r="AA201" s="9">
        <f>SQRT(A201^2+Inputs!$C$6^2+(B201-Y201/1000)^2)</f>
        <v>404.44424126988559</v>
      </c>
      <c r="AB201" s="9">
        <f t="shared" si="65"/>
        <v>2710.6301587745065</v>
      </c>
      <c r="AC201" s="9">
        <f>AB201/Inputs!$C$12</f>
        <v>1522.8259318957901</v>
      </c>
      <c r="AD201" s="9">
        <f>2*AB201/Inputs!$C$21*1000000</f>
        <v>18.083377926568829</v>
      </c>
      <c r="AE201" s="9">
        <f t="shared" si="66"/>
        <v>6.6372211939086254</v>
      </c>
      <c r="AF201" s="9">
        <f>DEGREES((2*PI()/Inputs!$C$13)*Inputs!$C$15*SIN(RADIANS(AE201)))</f>
        <v>41.609683192895538</v>
      </c>
      <c r="AG201" s="9">
        <f t="shared" si="67"/>
        <v>0.97345986396239859</v>
      </c>
      <c r="AH201" s="9">
        <f t="shared" si="68"/>
        <v>-0.11681949864535621</v>
      </c>
      <c r="AI201" s="9">
        <f t="shared" si="69"/>
        <v>0</v>
      </c>
      <c r="AJ201" s="9">
        <f t="shared" si="70"/>
        <v>0</v>
      </c>
      <c r="AK201" s="9">
        <f t="shared" si="71"/>
        <v>0</v>
      </c>
      <c r="AL201" s="9">
        <f>1000*(AA202-AA200)/(A202-A200)*Inputs!$C$11</f>
        <v>739.41664903600213</v>
      </c>
      <c r="AM201" s="9">
        <f>-2*AL201/Inputs!$C$13</f>
        <v>-295.76665961440085</v>
      </c>
      <c r="AN201" s="9">
        <f>-2*AL201/Inputs!$C$14</f>
        <v>-44.409408350510645</v>
      </c>
      <c r="AO201" s="9">
        <f t="shared" si="72"/>
        <v>295.76665961440085</v>
      </c>
      <c r="AP201" s="9">
        <f t="shared" si="73"/>
        <v>44.409408350510645</v>
      </c>
      <c r="AQ201" s="9">
        <f>IF(OR(Inputs!$C$27=TRUE,Inputs!$C$27="TRUE",Inputs!$C$27=1),Inputs!$C$46/Inputs!$C$12,0)</f>
        <v>0</v>
      </c>
      <c r="AR201" s="9">
        <f t="shared" si="74"/>
        <v>1522.8259318957901</v>
      </c>
      <c r="AS201" s="9">
        <f t="shared" si="75"/>
        <v>1522.8259318957901</v>
      </c>
    </row>
    <row r="202" spans="1:45">
      <c r="A202" s="9">
        <f>Inputs!$C$7+200*(Inputs!$C$8-Inputs!$C$7)/240</f>
        <v>40</v>
      </c>
      <c r="B202" s="9">
        <f>Inputs!$C$5+Inputs!$C$9*(A202/Inputs!$C$10)^2</f>
        <v>401.77777777777777</v>
      </c>
      <c r="C202" s="9">
        <f t="shared" si="57"/>
        <v>401.77777777777777</v>
      </c>
      <c r="D202" s="9">
        <f>SQRT(A202^2+Inputs!$C$6^2+B202^2)</f>
        <v>404.53724515308772</v>
      </c>
      <c r="E202" s="9">
        <f t="shared" si="58"/>
        <v>2759.4673753099528</v>
      </c>
      <c r="F202" s="9">
        <f>E202/Inputs!$C$12</f>
        <v>1550.2625703988499</v>
      </c>
      <c r="G202" s="9">
        <f>2*E202/Inputs!$C$21*1000000</f>
        <v>18.40918476548168</v>
      </c>
      <c r="H202" s="9">
        <f>SQRT(A202^2+Inputs!$C$6^2)</f>
        <v>47.169905660283021</v>
      </c>
      <c r="I202" s="9">
        <f t="shared" si="59"/>
        <v>6.6960422614565118</v>
      </c>
      <c r="J202" s="9">
        <f>DEGREES((2*PI()/Inputs!$C$13)*Inputs!$C$15*SIN(RADIANS(I202)))</f>
        <v>41.976767877765525</v>
      </c>
      <c r="K202" s="9">
        <f t="shared" si="60"/>
        <v>0.9729927379399278</v>
      </c>
      <c r="L202" s="9">
        <f t="shared" si="61"/>
        <v>-0.11890401133895007</v>
      </c>
      <c r="M202" s="9">
        <f>2*(Inputs!$C$9/(Inputs!$C$10^2))*A202</f>
        <v>8.8888888888888892E-2</v>
      </c>
      <c r="N202" s="9">
        <f>M202*Inputs!$C$11</f>
        <v>0.35555555555555557</v>
      </c>
      <c r="O202" s="9">
        <f>1000*((A202*Inputs!$C$11)+(B202*N202))/D202</f>
        <v>748.64385076100007</v>
      </c>
      <c r="P202" s="9">
        <f>-2*O202/Inputs!$C$13</f>
        <v>-299.45754030440003</v>
      </c>
      <c r="Q202" s="9">
        <f>-2*O202/Inputs!$C$14</f>
        <v>-44.963594640300308</v>
      </c>
      <c r="R202" s="9">
        <f>F202-Inputs!$C$16/2</f>
        <v>1535.2625703988499</v>
      </c>
      <c r="S202" s="9">
        <f>F202+Inputs!$C$16/2</f>
        <v>1565.2625703988499</v>
      </c>
      <c r="T202" s="9">
        <f>F202-Inputs!$C$17/2</f>
        <v>1400.2625703988499</v>
      </c>
      <c r="U202" s="9">
        <f>F202+Inputs!$C$17/2</f>
        <v>1700.2625703988499</v>
      </c>
      <c r="V202" s="9">
        <f t="shared" si="62"/>
        <v>299.45754030440003</v>
      </c>
      <c r="W202" s="9">
        <f t="shared" si="63"/>
        <v>44.963594640300308</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0</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0</v>
      </c>
      <c r="Z202" s="9">
        <f t="shared" si="64"/>
        <v>401.77777777777777</v>
      </c>
      <c r="AA202" s="9">
        <f>SQRT(A202^2+Inputs!$C$6^2+(B202-Y202/1000)^2)</f>
        <v>404.53724515308772</v>
      </c>
      <c r="AB202" s="9">
        <f t="shared" si="65"/>
        <v>2759.4673753099528</v>
      </c>
      <c r="AC202" s="9">
        <f>AB202/Inputs!$C$12</f>
        <v>1550.2625703988499</v>
      </c>
      <c r="AD202" s="9">
        <f>2*AB202/Inputs!$C$21*1000000</f>
        <v>18.40918476548168</v>
      </c>
      <c r="AE202" s="9">
        <f t="shared" si="66"/>
        <v>6.6960422614565118</v>
      </c>
      <c r="AF202" s="9">
        <f>DEGREES((2*PI()/Inputs!$C$13)*Inputs!$C$15*SIN(RADIANS(AE202)))</f>
        <v>41.976767877765525</v>
      </c>
      <c r="AG202" s="9">
        <f t="shared" si="67"/>
        <v>0.9729927379399278</v>
      </c>
      <c r="AH202" s="9">
        <f t="shared" si="68"/>
        <v>-0.11890401133895007</v>
      </c>
      <c r="AI202" s="9">
        <f t="shared" si="69"/>
        <v>0</v>
      </c>
      <c r="AJ202" s="9">
        <f t="shared" si="70"/>
        <v>0</v>
      </c>
      <c r="AK202" s="9">
        <f t="shared" si="71"/>
        <v>0</v>
      </c>
      <c r="AL202" s="9">
        <f>1000*(AA203-AA201)/(A203-A201)*Inputs!$C$11</f>
        <v>748.64302803393912</v>
      </c>
      <c r="AM202" s="9">
        <f>-2*AL202/Inputs!$C$13</f>
        <v>-299.45721121357565</v>
      </c>
      <c r="AN202" s="9">
        <f>-2*AL202/Inputs!$C$14</f>
        <v>-44.963545227263616</v>
      </c>
      <c r="AO202" s="9">
        <f t="shared" si="72"/>
        <v>299.45721121357565</v>
      </c>
      <c r="AP202" s="9">
        <f t="shared" si="73"/>
        <v>44.963545227263616</v>
      </c>
      <c r="AQ202" s="9">
        <f>IF(OR(Inputs!$C$27=TRUE,Inputs!$C$27="TRUE",Inputs!$C$27=1),Inputs!$C$46/Inputs!$C$12,0)</f>
        <v>0</v>
      </c>
      <c r="AR202" s="9">
        <f t="shared" si="74"/>
        <v>1550.2625703988499</v>
      </c>
      <c r="AS202" s="9">
        <f t="shared" si="75"/>
        <v>1550.2625703988499</v>
      </c>
    </row>
    <row r="203" spans="1:45">
      <c r="A203" s="9">
        <f>Inputs!$C$7+201*(Inputs!$C$8-Inputs!$C$7)/240</f>
        <v>40.5</v>
      </c>
      <c r="B203" s="9">
        <f>Inputs!$C$5+Inputs!$C$9*(A203/Inputs!$C$10)^2</f>
        <v>401.82249999999999</v>
      </c>
      <c r="C203" s="9">
        <f t="shared" si="57"/>
        <v>401.82249999999999</v>
      </c>
      <c r="D203" s="9">
        <f>SQRT(A203^2+Inputs!$C$6^2+B203^2)</f>
        <v>404.63140202689408</v>
      </c>
      <c r="E203" s="9">
        <f t="shared" si="58"/>
        <v>2808.9020268940885</v>
      </c>
      <c r="F203" s="9">
        <f>E203/Inputs!$C$12</f>
        <v>1578.0348465697127</v>
      </c>
      <c r="G203" s="9">
        <f>2*E203/Inputs!$C$21*1000000</f>
        <v>18.738977262023639</v>
      </c>
      <c r="H203" s="9">
        <f>SQRT(A203^2+Inputs!$C$6^2)</f>
        <v>47.594642555649052</v>
      </c>
      <c r="I203" s="9">
        <f t="shared" si="59"/>
        <v>6.7550363346833162</v>
      </c>
      <c r="J203" s="9">
        <f>DEGREES((2*PI()/Inputs!$C$13)*Inputs!$C$15*SIN(RADIANS(I203)))</f>
        <v>42.344887802096068</v>
      </c>
      <c r="K203" s="9">
        <f t="shared" si="60"/>
        <v>0.97252028830893633</v>
      </c>
      <c r="L203" s="9">
        <f t="shared" si="61"/>
        <v>-0.12101329839055866</v>
      </c>
      <c r="M203" s="9">
        <f>2*(Inputs!$C$9/(Inputs!$C$10^2))*A203</f>
        <v>0.09</v>
      </c>
      <c r="N203" s="9">
        <f>M203*Inputs!$C$11</f>
        <v>0.36</v>
      </c>
      <c r="O203" s="9">
        <f>1000*((A203*Inputs!$C$11)+(B203*N203))/D203</f>
        <v>757.86530275180644</v>
      </c>
      <c r="P203" s="9">
        <f>-2*O203/Inputs!$C$13</f>
        <v>-303.14612110072255</v>
      </c>
      <c r="Q203" s="9">
        <f>-2*O203/Inputs!$C$14</f>
        <v>-45.517435600709099</v>
      </c>
      <c r="R203" s="9">
        <f>F203-Inputs!$C$16/2</f>
        <v>1563.0348465697127</v>
      </c>
      <c r="S203" s="9">
        <f>F203+Inputs!$C$16/2</f>
        <v>1593.0348465697127</v>
      </c>
      <c r="T203" s="9">
        <f>F203-Inputs!$C$17/2</f>
        <v>1428.0348465697127</v>
      </c>
      <c r="U203" s="9">
        <f>F203+Inputs!$C$17/2</f>
        <v>1728.0348465697127</v>
      </c>
      <c r="V203" s="9">
        <f t="shared" si="62"/>
        <v>303.14612110072255</v>
      </c>
      <c r="W203" s="9">
        <f t="shared" si="63"/>
        <v>45.517435600709099</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0</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0</v>
      </c>
      <c r="Z203" s="9">
        <f t="shared" si="64"/>
        <v>401.82249999999999</v>
      </c>
      <c r="AA203" s="9">
        <f>SQRT(A203^2+Inputs!$C$6^2+(B203-Y203/1000)^2)</f>
        <v>404.63140202689408</v>
      </c>
      <c r="AB203" s="9">
        <f t="shared" si="65"/>
        <v>2808.9020268940885</v>
      </c>
      <c r="AC203" s="9">
        <f>AB203/Inputs!$C$12</f>
        <v>1578.0348465697127</v>
      </c>
      <c r="AD203" s="9">
        <f>2*AB203/Inputs!$C$21*1000000</f>
        <v>18.738977262023639</v>
      </c>
      <c r="AE203" s="9">
        <f t="shared" si="66"/>
        <v>6.7550363346833162</v>
      </c>
      <c r="AF203" s="9">
        <f>DEGREES((2*PI()/Inputs!$C$13)*Inputs!$C$15*SIN(RADIANS(AE203)))</f>
        <v>42.344887802096068</v>
      </c>
      <c r="AG203" s="9">
        <f t="shared" si="67"/>
        <v>0.97252028830893633</v>
      </c>
      <c r="AH203" s="9">
        <f t="shared" si="68"/>
        <v>-0.12101329839055866</v>
      </c>
      <c r="AI203" s="9">
        <f t="shared" si="69"/>
        <v>0</v>
      </c>
      <c r="AJ203" s="9">
        <f t="shared" si="70"/>
        <v>0</v>
      </c>
      <c r="AK203" s="9">
        <f t="shared" si="71"/>
        <v>0</v>
      </c>
      <c r="AL203" s="9">
        <f>1000*(AA204-AA202)/(A204-A202)*Inputs!$C$11</f>
        <v>757.86447071027396</v>
      </c>
      <c r="AM203" s="9">
        <f>-2*AL203/Inputs!$C$13</f>
        <v>-303.14578828410959</v>
      </c>
      <c r="AN203" s="9">
        <f>-2*AL203/Inputs!$C$14</f>
        <v>-45.517385628244689</v>
      </c>
      <c r="AO203" s="9">
        <f t="shared" si="72"/>
        <v>303.14578828410959</v>
      </c>
      <c r="AP203" s="9">
        <f t="shared" si="73"/>
        <v>45.517385628244689</v>
      </c>
      <c r="AQ203" s="9">
        <f>IF(OR(Inputs!$C$27=TRUE,Inputs!$C$27="TRUE",Inputs!$C$27=1),Inputs!$C$46/Inputs!$C$12,0)</f>
        <v>0</v>
      </c>
      <c r="AR203" s="9">
        <f t="shared" si="74"/>
        <v>1578.0348465697127</v>
      </c>
      <c r="AS203" s="9">
        <f t="shared" si="75"/>
        <v>1578.0348465697127</v>
      </c>
    </row>
    <row r="204" spans="1:45">
      <c r="A204" s="9">
        <f>Inputs!$C$7+202*(Inputs!$C$8-Inputs!$C$7)/240</f>
        <v>41</v>
      </c>
      <c r="B204" s="9">
        <f>Inputs!$C$5+Inputs!$C$9*(A204/Inputs!$C$10)^2</f>
        <v>401.8677777777778</v>
      </c>
      <c r="C204" s="9">
        <f t="shared" si="57"/>
        <v>401.8677777777778</v>
      </c>
      <c r="D204" s="9">
        <f>SQRT(A204^2+Inputs!$C$6^2+B204^2)</f>
        <v>404.72671127076529</v>
      </c>
      <c r="E204" s="9">
        <f t="shared" si="58"/>
        <v>2858.9334929874894</v>
      </c>
      <c r="F204" s="9">
        <f>E204/Inputs!$C$12</f>
        <v>1606.1424117907243</v>
      </c>
      <c r="G204" s="9">
        <f>2*E204/Inputs!$C$21*1000000</f>
        <v>19.072751276401284</v>
      </c>
      <c r="H204" s="9">
        <f>SQRT(A204^2+Inputs!$C$6^2)</f>
        <v>48.020828814171878</v>
      </c>
      <c r="I204" s="9">
        <f t="shared" si="59"/>
        <v>6.8141972969973379</v>
      </c>
      <c r="J204" s="9">
        <f>DEGREES((2*PI()/Inputs!$C$13)*Inputs!$C$15*SIN(RADIANS(I204)))</f>
        <v>42.714004022176852</v>
      </c>
      <c r="K204" s="9">
        <f t="shared" si="60"/>
        <v>0.97204253485841974</v>
      </c>
      <c r="L204" s="9">
        <f t="shared" si="61"/>
        <v>-0.12314730701164694</v>
      </c>
      <c r="M204" s="9">
        <f>2*(Inputs!$C$9/(Inputs!$C$10^2))*A204</f>
        <v>9.1111111111111115E-2</v>
      </c>
      <c r="N204" s="9">
        <f>M204*Inputs!$C$11</f>
        <v>0.36444444444444446</v>
      </c>
      <c r="O204" s="9">
        <f>1000*((A204*Inputs!$C$11)+(B204*N204))/D204</f>
        <v>767.08176249984797</v>
      </c>
      <c r="P204" s="9">
        <f>-2*O204/Inputs!$C$13</f>
        <v>-306.83270499993921</v>
      </c>
      <c r="Q204" s="9">
        <f>-2*O204/Inputs!$C$14</f>
        <v>-46.070976726717596</v>
      </c>
      <c r="R204" s="9">
        <f>F204-Inputs!$C$16/2</f>
        <v>1591.1424117907243</v>
      </c>
      <c r="S204" s="9">
        <f>F204+Inputs!$C$16/2</f>
        <v>1621.1424117907243</v>
      </c>
      <c r="T204" s="9">
        <f>F204-Inputs!$C$17/2</f>
        <v>1456.1424117907243</v>
      </c>
      <c r="U204" s="9">
        <f>F204+Inputs!$C$17/2</f>
        <v>1756.1424117907243</v>
      </c>
      <c r="V204" s="9">
        <f t="shared" si="62"/>
        <v>306.83270499993921</v>
      </c>
      <c r="W204" s="9">
        <f t="shared" si="63"/>
        <v>46.070976726717596</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0</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0</v>
      </c>
      <c r="Z204" s="9">
        <f t="shared" si="64"/>
        <v>401.8677777777778</v>
      </c>
      <c r="AA204" s="9">
        <f>SQRT(A204^2+Inputs!$C$6^2+(B204-Y204/1000)^2)</f>
        <v>404.72671127076529</v>
      </c>
      <c r="AB204" s="9">
        <f t="shared" si="65"/>
        <v>2858.9334929874894</v>
      </c>
      <c r="AC204" s="9">
        <f>AB204/Inputs!$C$12</f>
        <v>1606.1424117907243</v>
      </c>
      <c r="AD204" s="9">
        <f>2*AB204/Inputs!$C$21*1000000</f>
        <v>19.072751276401284</v>
      </c>
      <c r="AE204" s="9">
        <f t="shared" si="66"/>
        <v>6.8141972969973379</v>
      </c>
      <c r="AF204" s="9">
        <f>DEGREES((2*PI()/Inputs!$C$13)*Inputs!$C$15*SIN(RADIANS(AE204)))</f>
        <v>42.714004022176852</v>
      </c>
      <c r="AG204" s="9">
        <f t="shared" si="67"/>
        <v>0.97204253485841974</v>
      </c>
      <c r="AH204" s="9">
        <f t="shared" si="68"/>
        <v>-0.12314730701164694</v>
      </c>
      <c r="AI204" s="9">
        <f t="shared" si="69"/>
        <v>0</v>
      </c>
      <c r="AJ204" s="9">
        <f t="shared" si="70"/>
        <v>0</v>
      </c>
      <c r="AK204" s="9">
        <f t="shared" si="71"/>
        <v>0</v>
      </c>
      <c r="AL204" s="9">
        <f>1000*(AA205-AA203)/(A205-A203)*Inputs!$C$11</f>
        <v>767.08092117837623</v>
      </c>
      <c r="AM204" s="9">
        <f>-2*AL204/Inputs!$C$13</f>
        <v>-306.83236847135049</v>
      </c>
      <c r="AN204" s="9">
        <f>-2*AL204/Inputs!$C$14</f>
        <v>-46.070926196899478</v>
      </c>
      <c r="AO204" s="9">
        <f t="shared" si="72"/>
        <v>306.83236847135049</v>
      </c>
      <c r="AP204" s="9">
        <f t="shared" si="73"/>
        <v>46.070926196899478</v>
      </c>
      <c r="AQ204" s="9">
        <f>IF(OR(Inputs!$C$27=TRUE,Inputs!$C$27="TRUE",Inputs!$C$27=1),Inputs!$C$46/Inputs!$C$12,0)</f>
        <v>0</v>
      </c>
      <c r="AR204" s="9">
        <f t="shared" si="74"/>
        <v>1606.1424117907243</v>
      </c>
      <c r="AS204" s="9">
        <f t="shared" si="75"/>
        <v>1606.1424117907243</v>
      </c>
    </row>
    <row r="205" spans="1:45">
      <c r="A205" s="9">
        <f>Inputs!$C$7+203*(Inputs!$C$8-Inputs!$C$7)/240</f>
        <v>41.5</v>
      </c>
      <c r="B205" s="9">
        <f>Inputs!$C$5+Inputs!$C$9*(A205/Inputs!$C$10)^2</f>
        <v>401.91361111111109</v>
      </c>
      <c r="C205" s="9">
        <f t="shared" si="57"/>
        <v>401.91361111111109</v>
      </c>
      <c r="D205" s="9">
        <f>SQRT(A205^2+Inputs!$C$6^2+B205^2)</f>
        <v>404.82317225718867</v>
      </c>
      <c r="E205" s="9">
        <f t="shared" si="58"/>
        <v>2909.5611460775785</v>
      </c>
      <c r="F205" s="9">
        <f>E205/Inputs!$C$12</f>
        <v>1634.5849135267295</v>
      </c>
      <c r="G205" s="9">
        <f>2*E205/Inputs!$C$21*1000000</f>
        <v>19.410502622301316</v>
      </c>
      <c r="H205" s="9">
        <f>SQRT(A205^2+Inputs!$C$6^2)</f>
        <v>48.448426187029028</v>
      </c>
      <c r="I205" s="9">
        <f t="shared" si="59"/>
        <v>6.8735192129301588</v>
      </c>
      <c r="J205" s="9">
        <f>DEGREES((2*PI()/Inputs!$C$13)*Inputs!$C$15*SIN(RADIANS(I205)))</f>
        <v>43.084078735121693</v>
      </c>
      <c r="K205" s="9">
        <f t="shared" si="60"/>
        <v>0.97155949756817117</v>
      </c>
      <c r="L205" s="9">
        <f t="shared" si="61"/>
        <v>-0.1253059838449451</v>
      </c>
      <c r="M205" s="9">
        <f>2*(Inputs!$C$9/(Inputs!$C$10^2))*A205</f>
        <v>9.2222222222222219E-2</v>
      </c>
      <c r="N205" s="9">
        <f>M205*Inputs!$C$11</f>
        <v>0.36888888888888888</v>
      </c>
      <c r="O205" s="9">
        <f>1000*((A205*Inputs!$C$11)+(B205*N205))/D205</f>
        <v>776.29317432561629</v>
      </c>
      <c r="P205" s="9">
        <f>-2*O205/Inputs!$C$13</f>
        <v>-310.51726973024654</v>
      </c>
      <c r="Q205" s="9">
        <f>-2*O205/Inputs!$C$14</f>
        <v>-46.624214674211196</v>
      </c>
      <c r="R205" s="9">
        <f>F205-Inputs!$C$16/2</f>
        <v>1619.5849135267295</v>
      </c>
      <c r="S205" s="9">
        <f>F205+Inputs!$C$16/2</f>
        <v>1649.5849135267295</v>
      </c>
      <c r="T205" s="9">
        <f>F205-Inputs!$C$17/2</f>
        <v>1484.5849135267295</v>
      </c>
      <c r="U205" s="9">
        <f>F205+Inputs!$C$17/2</f>
        <v>1784.5849135267295</v>
      </c>
      <c r="V205" s="9">
        <f t="shared" si="62"/>
        <v>310.51726973024654</v>
      </c>
      <c r="W205" s="9">
        <f t="shared" si="63"/>
        <v>46.624214674211196</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0</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0</v>
      </c>
      <c r="Z205" s="9">
        <f t="shared" si="64"/>
        <v>401.91361111111109</v>
      </c>
      <c r="AA205" s="9">
        <f>SQRT(A205^2+Inputs!$C$6^2+(B205-Y205/1000)^2)</f>
        <v>404.82317225718867</v>
      </c>
      <c r="AB205" s="9">
        <f t="shared" si="65"/>
        <v>2909.5611460775785</v>
      </c>
      <c r="AC205" s="9">
        <f>AB205/Inputs!$C$12</f>
        <v>1634.5849135267295</v>
      </c>
      <c r="AD205" s="9">
        <f>2*AB205/Inputs!$C$21*1000000</f>
        <v>19.410502622301316</v>
      </c>
      <c r="AE205" s="9">
        <f t="shared" si="66"/>
        <v>6.8735192129301588</v>
      </c>
      <c r="AF205" s="9">
        <f>DEGREES((2*PI()/Inputs!$C$13)*Inputs!$C$15*SIN(RADIANS(AE205)))</f>
        <v>43.084078735121693</v>
      </c>
      <c r="AG205" s="9">
        <f t="shared" si="67"/>
        <v>0.97155949756817117</v>
      </c>
      <c r="AH205" s="9">
        <f t="shared" si="68"/>
        <v>-0.1253059838449451</v>
      </c>
      <c r="AI205" s="9">
        <f t="shared" si="69"/>
        <v>0</v>
      </c>
      <c r="AJ205" s="9">
        <f t="shared" si="70"/>
        <v>0</v>
      </c>
      <c r="AK205" s="9">
        <f t="shared" si="71"/>
        <v>0</v>
      </c>
      <c r="AL205" s="9">
        <f>1000*(AA206-AA204)/(A206-A204)*Inputs!$C$11</f>
        <v>776.2923237587529</v>
      </c>
      <c r="AM205" s="9">
        <f>-2*AL205/Inputs!$C$13</f>
        <v>-310.51692950350116</v>
      </c>
      <c r="AN205" s="9">
        <f>-2*AL205/Inputs!$C$14</f>
        <v>-46.624163589114289</v>
      </c>
      <c r="AO205" s="9">
        <f t="shared" si="72"/>
        <v>310.51692950350116</v>
      </c>
      <c r="AP205" s="9">
        <f t="shared" si="73"/>
        <v>46.624163589114289</v>
      </c>
      <c r="AQ205" s="9">
        <f>IF(OR(Inputs!$C$27=TRUE,Inputs!$C$27="TRUE",Inputs!$C$27=1),Inputs!$C$46/Inputs!$C$12,0)</f>
        <v>0</v>
      </c>
      <c r="AR205" s="9">
        <f t="shared" si="74"/>
        <v>1634.5849135267295</v>
      </c>
      <c r="AS205" s="9">
        <f t="shared" si="75"/>
        <v>1634.5849135267295</v>
      </c>
    </row>
    <row r="206" spans="1:45">
      <c r="A206" s="9">
        <f>Inputs!$C$7+204*(Inputs!$C$8-Inputs!$C$7)/240</f>
        <v>42</v>
      </c>
      <c r="B206" s="9">
        <f>Inputs!$C$5+Inputs!$C$9*(A206/Inputs!$C$10)^2</f>
        <v>401.96</v>
      </c>
      <c r="C206" s="9">
        <f t="shared" si="57"/>
        <v>401.96</v>
      </c>
      <c r="D206" s="9">
        <f>SQRT(A206^2+Inputs!$C$6^2+B206^2)</f>
        <v>404.92078435170498</v>
      </c>
      <c r="E206" s="9">
        <f t="shared" si="58"/>
        <v>2960.7843517050014</v>
      </c>
      <c r="F206" s="9">
        <f>E206/Inputs!$C$12</f>
        <v>1663.3619953398884</v>
      </c>
      <c r="G206" s="9">
        <f>2*E206/Inputs!$C$21*1000000</f>
        <v>19.752227067066521</v>
      </c>
      <c r="H206" s="9">
        <f>SQRT(A206^2+Inputs!$C$6^2)</f>
        <v>48.877397639399746</v>
      </c>
      <c r="I206" s="9">
        <f t="shared" si="59"/>
        <v>6.9329963219162467</v>
      </c>
      <c r="J206" s="9">
        <f>DEGREES((2*PI()/Inputs!$C$13)*Inputs!$C$15*SIN(RADIANS(I206)))</f>
        <v>43.455075239853677</v>
      </c>
      <c r="K206" s="9">
        <f t="shared" si="60"/>
        <v>0.97107119660690411</v>
      </c>
      <c r="L206" s="9">
        <f t="shared" si="61"/>
        <v>-0.1274892749675294</v>
      </c>
      <c r="M206" s="9">
        <f>2*(Inputs!$C$9/(Inputs!$C$10^2))*A206</f>
        <v>9.3333333333333338E-2</v>
      </c>
      <c r="N206" s="9">
        <f>M206*Inputs!$C$11</f>
        <v>0.37333333333333335</v>
      </c>
      <c r="O206" s="9">
        <f>1000*((A206*Inputs!$C$11)+(B206*N206))/D206</f>
        <v>785.49948275908343</v>
      </c>
      <c r="P206" s="9">
        <f>-2*O206/Inputs!$C$13</f>
        <v>-314.1997931036334</v>
      </c>
      <c r="Q206" s="9">
        <f>-2*O206/Inputs!$C$14</f>
        <v>-47.177146111656668</v>
      </c>
      <c r="R206" s="9">
        <f>F206-Inputs!$C$16/2</f>
        <v>1648.3619953398884</v>
      </c>
      <c r="S206" s="9">
        <f>F206+Inputs!$C$16/2</f>
        <v>1678.3619953398884</v>
      </c>
      <c r="T206" s="9">
        <f>F206-Inputs!$C$17/2</f>
        <v>1513.3619953398884</v>
      </c>
      <c r="U206" s="9">
        <f>F206+Inputs!$C$17/2</f>
        <v>1813.3619953398884</v>
      </c>
      <c r="V206" s="9">
        <f t="shared" si="62"/>
        <v>314.1997931036334</v>
      </c>
      <c r="W206" s="9">
        <f t="shared" si="63"/>
        <v>47.177146111656668</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0</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0</v>
      </c>
      <c r="Z206" s="9">
        <f t="shared" si="64"/>
        <v>401.96</v>
      </c>
      <c r="AA206" s="9">
        <f>SQRT(A206^2+Inputs!$C$6^2+(B206-Y206/1000)^2)</f>
        <v>404.92078435170498</v>
      </c>
      <c r="AB206" s="9">
        <f t="shared" si="65"/>
        <v>2960.7843517050014</v>
      </c>
      <c r="AC206" s="9">
        <f>AB206/Inputs!$C$12</f>
        <v>1663.3619953398884</v>
      </c>
      <c r="AD206" s="9">
        <f>2*AB206/Inputs!$C$21*1000000</f>
        <v>19.752227067066521</v>
      </c>
      <c r="AE206" s="9">
        <f t="shared" si="66"/>
        <v>6.9329963219162467</v>
      </c>
      <c r="AF206" s="9">
        <f>DEGREES((2*PI()/Inputs!$C$13)*Inputs!$C$15*SIN(RADIANS(AE206)))</f>
        <v>43.455075239853677</v>
      </c>
      <c r="AG206" s="9">
        <f t="shared" si="67"/>
        <v>0.97107119660690411</v>
      </c>
      <c r="AH206" s="9">
        <f t="shared" si="68"/>
        <v>-0.1274892749675294</v>
      </c>
      <c r="AI206" s="9">
        <f t="shared" si="69"/>
        <v>0</v>
      </c>
      <c r="AJ206" s="9">
        <f t="shared" si="70"/>
        <v>0</v>
      </c>
      <c r="AK206" s="9">
        <f t="shared" si="71"/>
        <v>0</v>
      </c>
      <c r="AL206" s="9">
        <f>1000*(AA207-AA205)/(A207-A205)*Inputs!$C$11</f>
        <v>785.49862298291373</v>
      </c>
      <c r="AM206" s="9">
        <f>-2*AL206/Inputs!$C$13</f>
        <v>-314.19944919316549</v>
      </c>
      <c r="AN206" s="9">
        <f>-2*AL206/Inputs!$C$14</f>
        <v>-47.177094473448278</v>
      </c>
      <c r="AO206" s="9">
        <f t="shared" si="72"/>
        <v>314.19944919316549</v>
      </c>
      <c r="AP206" s="9">
        <f t="shared" si="73"/>
        <v>47.177094473448278</v>
      </c>
      <c r="AQ206" s="9">
        <f>IF(OR(Inputs!$C$27=TRUE,Inputs!$C$27="TRUE",Inputs!$C$27=1),Inputs!$C$46/Inputs!$C$12,0)</f>
        <v>0</v>
      </c>
      <c r="AR206" s="9">
        <f t="shared" si="74"/>
        <v>1663.3619953398884</v>
      </c>
      <c r="AS206" s="9">
        <f t="shared" si="75"/>
        <v>1663.3619953398884</v>
      </c>
    </row>
    <row r="207" spans="1:45">
      <c r="A207" s="9">
        <f>Inputs!$C$7+205*(Inputs!$C$8-Inputs!$C$7)/240</f>
        <v>42.5</v>
      </c>
      <c r="B207" s="9">
        <f>Inputs!$C$5+Inputs!$C$9*(A207/Inputs!$C$10)^2</f>
        <v>402.00694444444446</v>
      </c>
      <c r="C207" s="9">
        <f t="shared" si="57"/>
        <v>402.00694444444446</v>
      </c>
      <c r="D207" s="9">
        <f>SQRT(A207^2+Inputs!$C$6^2+B207^2)</f>
        <v>405.0195469129344</v>
      </c>
      <c r="E207" s="9">
        <f t="shared" si="58"/>
        <v>3012.6024684899448</v>
      </c>
      <c r="F207" s="9">
        <f>E207/Inputs!$C$12</f>
        <v>1692.4732969044633</v>
      </c>
      <c r="G207" s="9">
        <f>2*E207/Inputs!$C$21*1000000</f>
        <v>20.097920331871354</v>
      </c>
      <c r="H207" s="9">
        <f>SQRT(A207^2+Inputs!$C$6^2)</f>
        <v>49.307707308290048</v>
      </c>
      <c r="I207" s="9">
        <f t="shared" si="59"/>
        <v>6.9926230322802692</v>
      </c>
      <c r="J207" s="9">
        <f>DEGREES((2*PI()/Inputs!$C$13)*Inputs!$C$15*SIN(RADIANS(I207)))</f>
        <v>43.826957899393037</v>
      </c>
      <c r="K207" s="9">
        <f t="shared" si="60"/>
        <v>0.97057765233037074</v>
      </c>
      <c r="L207" s="9">
        <f t="shared" si="61"/>
        <v>-0.12969712589389082</v>
      </c>
      <c r="M207" s="9">
        <f>2*(Inputs!$C$9/(Inputs!$C$10^2))*A207</f>
        <v>9.4444444444444442E-2</v>
      </c>
      <c r="N207" s="9">
        <f>M207*Inputs!$C$11</f>
        <v>0.37777777777777777</v>
      </c>
      <c r="O207" s="9">
        <f>1000*((A207*Inputs!$C$11)+(B207*N207))/D207</f>
        <v>794.70063254168792</v>
      </c>
      <c r="P207" s="9">
        <f>-2*O207/Inputs!$C$13</f>
        <v>-317.88025301667517</v>
      </c>
      <c r="Q207" s="9">
        <f>-2*O207/Inputs!$C$14</f>
        <v>-47.729767720221503</v>
      </c>
      <c r="R207" s="9">
        <f>F207-Inputs!$C$16/2</f>
        <v>1677.4732969044633</v>
      </c>
      <c r="S207" s="9">
        <f>F207+Inputs!$C$16/2</f>
        <v>1707.4732969044633</v>
      </c>
      <c r="T207" s="9">
        <f>F207-Inputs!$C$17/2</f>
        <v>1542.4732969044633</v>
      </c>
      <c r="U207" s="9">
        <f>F207+Inputs!$C$17/2</f>
        <v>1842.4732969044633</v>
      </c>
      <c r="V207" s="9">
        <f t="shared" si="62"/>
        <v>317.88025301667517</v>
      </c>
      <c r="W207" s="9">
        <f t="shared" si="63"/>
        <v>47.729767720221503</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0</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0</v>
      </c>
      <c r="Z207" s="9">
        <f t="shared" si="64"/>
        <v>402.00694444444446</v>
      </c>
      <c r="AA207" s="9">
        <f>SQRT(A207^2+Inputs!$C$6^2+(B207-Y207/1000)^2)</f>
        <v>405.0195469129344</v>
      </c>
      <c r="AB207" s="9">
        <f t="shared" si="65"/>
        <v>3012.6024684899448</v>
      </c>
      <c r="AC207" s="9">
        <f>AB207/Inputs!$C$12</f>
        <v>1692.4732969044633</v>
      </c>
      <c r="AD207" s="9">
        <f>2*AB207/Inputs!$C$21*1000000</f>
        <v>20.097920331871354</v>
      </c>
      <c r="AE207" s="9">
        <f t="shared" si="66"/>
        <v>6.9926230322802692</v>
      </c>
      <c r="AF207" s="9">
        <f>DEGREES((2*PI()/Inputs!$C$13)*Inputs!$C$15*SIN(RADIANS(AE207)))</f>
        <v>43.826957899393037</v>
      </c>
      <c r="AG207" s="9">
        <f t="shared" si="67"/>
        <v>0.97057765233037074</v>
      </c>
      <c r="AH207" s="9">
        <f t="shared" si="68"/>
        <v>-0.12969712589389082</v>
      </c>
      <c r="AI207" s="9">
        <f t="shared" si="69"/>
        <v>0</v>
      </c>
      <c r="AJ207" s="9">
        <f t="shared" si="70"/>
        <v>0</v>
      </c>
      <c r="AK207" s="9">
        <f t="shared" si="71"/>
        <v>0</v>
      </c>
      <c r="AL207" s="9">
        <f>1000*(AA208-AA206)/(A208-A206)*Inputs!$C$11</f>
        <v>794.69976359132488</v>
      </c>
      <c r="AM207" s="9">
        <f>-2*AL207/Inputs!$C$13</f>
        <v>-317.87990543652995</v>
      </c>
      <c r="AN207" s="9">
        <f>-2*AL207/Inputs!$C$14</f>
        <v>-47.729715531010505</v>
      </c>
      <c r="AO207" s="9">
        <f t="shared" si="72"/>
        <v>317.87990543652995</v>
      </c>
      <c r="AP207" s="9">
        <f t="shared" si="73"/>
        <v>47.729715531010505</v>
      </c>
      <c r="AQ207" s="9">
        <f>IF(OR(Inputs!$C$27=TRUE,Inputs!$C$27="TRUE",Inputs!$C$27=1),Inputs!$C$46/Inputs!$C$12,0)</f>
        <v>0</v>
      </c>
      <c r="AR207" s="9">
        <f t="shared" si="74"/>
        <v>1692.4732969044633</v>
      </c>
      <c r="AS207" s="9">
        <f t="shared" si="75"/>
        <v>1692.4732969044633</v>
      </c>
    </row>
    <row r="208" spans="1:45">
      <c r="A208" s="9">
        <f>Inputs!$C$7+206*(Inputs!$C$8-Inputs!$C$7)/240</f>
        <v>43</v>
      </c>
      <c r="B208" s="9">
        <f>Inputs!$C$5+Inputs!$C$9*(A208/Inputs!$C$10)^2</f>
        <v>402.05444444444447</v>
      </c>
      <c r="C208" s="9">
        <f t="shared" si="57"/>
        <v>402.05444444444447</v>
      </c>
      <c r="D208" s="9">
        <f>SQRT(A208^2+Inputs!$C$6^2+B208^2)</f>
        <v>405.11945929260281</v>
      </c>
      <c r="E208" s="9">
        <f t="shared" si="58"/>
        <v>3065.0148481583415</v>
      </c>
      <c r="F208" s="9">
        <f>E208/Inputs!$C$12</f>
        <v>1721.9184540215401</v>
      </c>
      <c r="G208" s="9">
        <f>2*E208/Inputs!$C$21*1000000</f>
        <v>20.447578091896769</v>
      </c>
      <c r="H208" s="9">
        <f>SQRT(A208^2+Inputs!$C$6^2)</f>
        <v>49.739320461783549</v>
      </c>
      <c r="I208" s="9">
        <f t="shared" si="59"/>
        <v>7.0523939154276203</v>
      </c>
      <c r="J208" s="9">
        <f>DEGREES((2*PI()/Inputs!$C$13)*Inputs!$C$15*SIN(RADIANS(I208)))</f>
        <v>44.19969210441981</v>
      </c>
      <c r="K208" s="9">
        <f t="shared" si="60"/>
        <v>0.97007888527946617</v>
      </c>
      <c r="L208" s="9">
        <f t="shared" si="61"/>
        <v>-0.13192948157903586</v>
      </c>
      <c r="M208" s="9">
        <f>2*(Inputs!$C$9/(Inputs!$C$10^2))*A208</f>
        <v>9.555555555555556E-2</v>
      </c>
      <c r="N208" s="9">
        <f>M208*Inputs!$C$11</f>
        <v>0.38222222222222224</v>
      </c>
      <c r="O208" s="9">
        <f>1000*((A208*Inputs!$C$11)+(B208*N208))/D208</f>
        <v>803.89656862830213</v>
      </c>
      <c r="P208" s="9">
        <f>-2*O208/Inputs!$C$13</f>
        <v>-321.55862745132083</v>
      </c>
      <c r="Q208" s="9">
        <f>-2*O208/Inputs!$C$14</f>
        <v>-48.282076193892024</v>
      </c>
      <c r="R208" s="9">
        <f>F208-Inputs!$C$16/2</f>
        <v>1706.9184540215401</v>
      </c>
      <c r="S208" s="9">
        <f>F208+Inputs!$C$16/2</f>
        <v>1736.9184540215401</v>
      </c>
      <c r="T208" s="9">
        <f>F208-Inputs!$C$17/2</f>
        <v>1571.9184540215401</v>
      </c>
      <c r="U208" s="9">
        <f>F208+Inputs!$C$17/2</f>
        <v>1871.9184540215401</v>
      </c>
      <c r="V208" s="9">
        <f t="shared" si="62"/>
        <v>321.55862745132083</v>
      </c>
      <c r="W208" s="9">
        <f t="shared" si="63"/>
        <v>48.282076193892024</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0</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0</v>
      </c>
      <c r="Z208" s="9">
        <f t="shared" si="64"/>
        <v>402.05444444444447</v>
      </c>
      <c r="AA208" s="9">
        <f>SQRT(A208^2+Inputs!$C$6^2+(B208-Y208/1000)^2)</f>
        <v>405.11945929260281</v>
      </c>
      <c r="AB208" s="9">
        <f t="shared" si="65"/>
        <v>3065.0148481583415</v>
      </c>
      <c r="AC208" s="9">
        <f>AB208/Inputs!$C$12</f>
        <v>1721.9184540215401</v>
      </c>
      <c r="AD208" s="9">
        <f>2*AB208/Inputs!$C$21*1000000</f>
        <v>20.447578091896769</v>
      </c>
      <c r="AE208" s="9">
        <f t="shared" si="66"/>
        <v>7.0523939154276203</v>
      </c>
      <c r="AF208" s="9">
        <f>DEGREES((2*PI()/Inputs!$C$13)*Inputs!$C$15*SIN(RADIANS(AE208)))</f>
        <v>44.19969210441981</v>
      </c>
      <c r="AG208" s="9">
        <f t="shared" si="67"/>
        <v>0.97007888527946617</v>
      </c>
      <c r="AH208" s="9">
        <f t="shared" si="68"/>
        <v>-0.13192948157903586</v>
      </c>
      <c r="AI208" s="9">
        <f t="shared" si="69"/>
        <v>0</v>
      </c>
      <c r="AJ208" s="9">
        <f t="shared" si="70"/>
        <v>0</v>
      </c>
      <c r="AK208" s="9">
        <f t="shared" si="71"/>
        <v>0</v>
      </c>
      <c r="AL208" s="9">
        <f>1000*(AA209-AA207)/(A209-A207)*Inputs!$C$11</f>
        <v>803.89569053954801</v>
      </c>
      <c r="AM208" s="9">
        <f>-2*AL208/Inputs!$C$13</f>
        <v>-321.55827621581921</v>
      </c>
      <c r="AN208" s="9">
        <f>-2*AL208/Inputs!$C$14</f>
        <v>-48.282023455828714</v>
      </c>
      <c r="AO208" s="9">
        <f t="shared" si="72"/>
        <v>321.55827621581921</v>
      </c>
      <c r="AP208" s="9">
        <f t="shared" si="73"/>
        <v>48.282023455828714</v>
      </c>
      <c r="AQ208" s="9">
        <f>IF(OR(Inputs!$C$27=TRUE,Inputs!$C$27="TRUE",Inputs!$C$27=1),Inputs!$C$46/Inputs!$C$12,0)</f>
        <v>0</v>
      </c>
      <c r="AR208" s="9">
        <f t="shared" si="74"/>
        <v>1721.9184540215401</v>
      </c>
      <c r="AS208" s="9">
        <f t="shared" si="75"/>
        <v>1721.9184540215401</v>
      </c>
    </row>
    <row r="209" spans="1:45">
      <c r="A209" s="9">
        <f>Inputs!$C$7+207*(Inputs!$C$8-Inputs!$C$7)/240</f>
        <v>43.5</v>
      </c>
      <c r="B209" s="9">
        <f>Inputs!$C$5+Inputs!$C$9*(A209/Inputs!$C$10)^2</f>
        <v>402.10250000000002</v>
      </c>
      <c r="C209" s="9">
        <f t="shared" si="57"/>
        <v>402.10250000000002</v>
      </c>
      <c r="D209" s="9">
        <f>SQRT(A209^2+Inputs!$C$6^2+B209^2)</f>
        <v>405.22052083556929</v>
      </c>
      <c r="E209" s="9">
        <f t="shared" si="58"/>
        <v>3118.0208355692685</v>
      </c>
      <c r="F209" s="9">
        <f>E209/Inputs!$C$12</f>
        <v>1751.6970986344204</v>
      </c>
      <c r="G209" s="9">
        <f>2*E209/Inputs!$C$21*1000000</f>
        <v>20.801195976512982</v>
      </c>
      <c r="H209" s="9">
        <f>SQRT(A209^2+Inputs!$C$6^2)</f>
        <v>50.172203459684724</v>
      </c>
      <c r="I209" s="9">
        <f t="shared" si="59"/>
        <v>7.1123037002334444</v>
      </c>
      <c r="J209" s="9">
        <f>DEGREES((2*PI()/Inputs!$C$13)*Inputs!$C$15*SIN(RADIANS(I209)))</f>
        <v>44.573244238081699</v>
      </c>
      <c r="K209" s="9">
        <f t="shared" si="60"/>
        <v>0.96957491617831293</v>
      </c>
      <c r="L209" s="9">
        <f t="shared" si="61"/>
        <v>-0.13418628642164571</v>
      </c>
      <c r="M209" s="9">
        <f>2*(Inputs!$C$9/(Inputs!$C$10^2))*A209</f>
        <v>9.6666666666666665E-2</v>
      </c>
      <c r="N209" s="9">
        <f>M209*Inputs!$C$11</f>
        <v>0.38666666666666666</v>
      </c>
      <c r="O209" s="9">
        <f>1000*((A209*Inputs!$C$11)+(B209*N209))/D209</f>
        <v>813.08723618918077</v>
      </c>
      <c r="P209" s="9">
        <f>-2*O209/Inputs!$C$13</f>
        <v>-325.23489447567232</v>
      </c>
      <c r="Q209" s="9">
        <f>-2*O209/Inputs!$C$14</f>
        <v>-48.834068239590444</v>
      </c>
      <c r="R209" s="9">
        <f>F209-Inputs!$C$16/2</f>
        <v>1736.6970986344204</v>
      </c>
      <c r="S209" s="9">
        <f>F209+Inputs!$C$16/2</f>
        <v>1766.6970986344204</v>
      </c>
      <c r="T209" s="9">
        <f>F209-Inputs!$C$17/2</f>
        <v>1601.6970986344204</v>
      </c>
      <c r="U209" s="9">
        <f>F209+Inputs!$C$17/2</f>
        <v>1901.6970986344204</v>
      </c>
      <c r="V209" s="9">
        <f t="shared" si="62"/>
        <v>325.23489447567232</v>
      </c>
      <c r="W209" s="9">
        <f t="shared" si="63"/>
        <v>48.834068239590444</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0</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0</v>
      </c>
      <c r="Z209" s="9">
        <f t="shared" si="64"/>
        <v>402.10250000000002</v>
      </c>
      <c r="AA209" s="9">
        <f>SQRT(A209^2+Inputs!$C$6^2+(B209-Y209/1000)^2)</f>
        <v>405.22052083556929</v>
      </c>
      <c r="AB209" s="9">
        <f t="shared" si="65"/>
        <v>3118.0208355692685</v>
      </c>
      <c r="AC209" s="9">
        <f>AB209/Inputs!$C$12</f>
        <v>1751.6970986344204</v>
      </c>
      <c r="AD209" s="9">
        <f>2*AB209/Inputs!$C$21*1000000</f>
        <v>20.801195976512982</v>
      </c>
      <c r="AE209" s="9">
        <f t="shared" si="66"/>
        <v>7.1123037002334444</v>
      </c>
      <c r="AF209" s="9">
        <f>DEGREES((2*PI()/Inputs!$C$13)*Inputs!$C$15*SIN(RADIANS(AE209)))</f>
        <v>44.573244238081699</v>
      </c>
      <c r="AG209" s="9">
        <f t="shared" si="67"/>
        <v>0.96957491617831293</v>
      </c>
      <c r="AH209" s="9">
        <f t="shared" si="68"/>
        <v>-0.13418628642164571</v>
      </c>
      <c r="AI209" s="9">
        <f t="shared" si="69"/>
        <v>0</v>
      </c>
      <c r="AJ209" s="9">
        <f t="shared" si="70"/>
        <v>0</v>
      </c>
      <c r="AK209" s="9">
        <f t="shared" si="71"/>
        <v>0</v>
      </c>
      <c r="AL209" s="9">
        <f>1000*(AA210-AA208)/(A210-A208)*Inputs!$C$11</f>
        <v>813.08634899824028</v>
      </c>
      <c r="AM209" s="9">
        <f>-2*AL209/Inputs!$C$13</f>
        <v>-325.23453959929611</v>
      </c>
      <c r="AN209" s="9">
        <f>-2*AL209/Inputs!$C$14</f>
        <v>-48.834014954849273</v>
      </c>
      <c r="AO209" s="9">
        <f t="shared" si="72"/>
        <v>325.23453959929611</v>
      </c>
      <c r="AP209" s="9">
        <f t="shared" si="73"/>
        <v>48.834014954849273</v>
      </c>
      <c r="AQ209" s="9">
        <f>IF(OR(Inputs!$C$27=TRUE,Inputs!$C$27="TRUE",Inputs!$C$27=1),Inputs!$C$46/Inputs!$C$12,0)</f>
        <v>0</v>
      </c>
      <c r="AR209" s="9">
        <f t="shared" si="74"/>
        <v>1751.6970986344204</v>
      </c>
      <c r="AS209" s="9">
        <f t="shared" si="75"/>
        <v>1751.6970986344204</v>
      </c>
    </row>
    <row r="210" spans="1:45">
      <c r="A210" s="9">
        <f>Inputs!$C$7+208*(Inputs!$C$8-Inputs!$C$7)/240</f>
        <v>44</v>
      </c>
      <c r="B210" s="9">
        <f>Inputs!$C$5+Inputs!$C$9*(A210/Inputs!$C$10)^2</f>
        <v>402.15111111111111</v>
      </c>
      <c r="C210" s="9">
        <f t="shared" si="57"/>
        <v>402.15111111111111</v>
      </c>
      <c r="D210" s="9">
        <f>SQRT(A210^2+Inputs!$C$6^2+B210^2)</f>
        <v>405.32273087985237</v>
      </c>
      <c r="E210" s="9">
        <f t="shared" si="58"/>
        <v>3171.6197687412659</v>
      </c>
      <c r="F210" s="9">
        <f>E210/Inputs!$C$12</f>
        <v>1781.8088588434077</v>
      </c>
      <c r="G210" s="9">
        <f>2*E210/Inputs!$C$21*1000000</f>
        <v>21.158769569455053</v>
      </c>
      <c r="H210" s="9">
        <f>SQRT(A210^2+Inputs!$C$6^2)</f>
        <v>50.606323715519977</v>
      </c>
      <c r="I210" s="9">
        <f t="shared" si="59"/>
        <v>7.1723472676252644</v>
      </c>
      <c r="J210" s="9">
        <f>DEGREES((2*PI()/Inputs!$C$13)*Inputs!$C$15*SIN(RADIANS(I210)))</f>
        <v>44.947581642016367</v>
      </c>
      <c r="K210" s="9">
        <f t="shared" si="60"/>
        <v>0.96906576593234672</v>
      </c>
      <c r="L210" s="9">
        <f t="shared" si="61"/>
        <v>-0.13646748426720079</v>
      </c>
      <c r="M210" s="9">
        <f>2*(Inputs!$C$9/(Inputs!$C$10^2))*A210</f>
        <v>9.7777777777777783E-2</v>
      </c>
      <c r="N210" s="9">
        <f>M210*Inputs!$C$11</f>
        <v>0.39111111111111113</v>
      </c>
      <c r="O210" s="9">
        <f>1000*((A210*Inputs!$C$11)+(B210*N210))/D210</f>
        <v>822.27258061188945</v>
      </c>
      <c r="P210" s="9">
        <f>-2*O210/Inputs!$C$13</f>
        <v>-328.90903224475579</v>
      </c>
      <c r="Q210" s="9">
        <f>-2*O210/Inputs!$C$14</f>
        <v>-49.385740577290662</v>
      </c>
      <c r="R210" s="9">
        <f>F210-Inputs!$C$16/2</f>
        <v>1766.8088588434077</v>
      </c>
      <c r="S210" s="9">
        <f>F210+Inputs!$C$16/2</f>
        <v>1796.8088588434077</v>
      </c>
      <c r="T210" s="9">
        <f>F210-Inputs!$C$17/2</f>
        <v>1631.8088588434077</v>
      </c>
      <c r="U210" s="9">
        <f>F210+Inputs!$C$17/2</f>
        <v>1931.8088588434077</v>
      </c>
      <c r="V210" s="9">
        <f t="shared" si="62"/>
        <v>328.90903224475579</v>
      </c>
      <c r="W210" s="9">
        <f t="shared" si="63"/>
        <v>49.385740577290662</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0</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0</v>
      </c>
      <c r="Z210" s="9">
        <f t="shared" si="64"/>
        <v>402.15111111111111</v>
      </c>
      <c r="AA210" s="9">
        <f>SQRT(A210^2+Inputs!$C$6^2+(B210-Y210/1000)^2)</f>
        <v>405.32273087985237</v>
      </c>
      <c r="AB210" s="9">
        <f t="shared" si="65"/>
        <v>3171.6197687412659</v>
      </c>
      <c r="AC210" s="9">
        <f>AB210/Inputs!$C$12</f>
        <v>1781.8088588434077</v>
      </c>
      <c r="AD210" s="9">
        <f>2*AB210/Inputs!$C$21*1000000</f>
        <v>21.158769569455053</v>
      </c>
      <c r="AE210" s="9">
        <f t="shared" si="66"/>
        <v>7.1723472676252644</v>
      </c>
      <c r="AF210" s="9">
        <f>DEGREES((2*PI()/Inputs!$C$13)*Inputs!$C$15*SIN(RADIANS(AE210)))</f>
        <v>44.947581642016367</v>
      </c>
      <c r="AG210" s="9">
        <f t="shared" si="67"/>
        <v>0.96906576593234672</v>
      </c>
      <c r="AH210" s="9">
        <f t="shared" si="68"/>
        <v>-0.13646748426720079</v>
      </c>
      <c r="AI210" s="9">
        <f t="shared" si="69"/>
        <v>0</v>
      </c>
      <c r="AJ210" s="9">
        <f t="shared" si="70"/>
        <v>0</v>
      </c>
      <c r="AK210" s="9">
        <f t="shared" si="71"/>
        <v>0</v>
      </c>
      <c r="AL210" s="9">
        <f>1000*(AA211-AA209)/(A211-A209)*Inputs!$C$11</f>
        <v>822.2716843552007</v>
      </c>
      <c r="AM210" s="9">
        <f>-2*AL210/Inputs!$C$13</f>
        <v>-328.90867374208028</v>
      </c>
      <c r="AN210" s="9">
        <f>-2*AL210/Inputs!$C$14</f>
        <v>-49.38568674806011</v>
      </c>
      <c r="AO210" s="9">
        <f t="shared" si="72"/>
        <v>328.90867374208028</v>
      </c>
      <c r="AP210" s="9">
        <f t="shared" si="73"/>
        <v>49.38568674806011</v>
      </c>
      <c r="AQ210" s="9">
        <f>IF(OR(Inputs!$C$27=TRUE,Inputs!$C$27="TRUE",Inputs!$C$27=1),Inputs!$C$46/Inputs!$C$12,0)</f>
        <v>0</v>
      </c>
      <c r="AR210" s="9">
        <f t="shared" si="74"/>
        <v>1781.8088588434077</v>
      </c>
      <c r="AS210" s="9">
        <f t="shared" si="75"/>
        <v>1781.8088588434077</v>
      </c>
    </row>
    <row r="211" spans="1:45">
      <c r="A211" s="9">
        <f>Inputs!$C$7+209*(Inputs!$C$8-Inputs!$C$7)/240</f>
        <v>44.5</v>
      </c>
      <c r="B211" s="9">
        <f>Inputs!$C$5+Inputs!$C$9*(A211/Inputs!$C$10)^2</f>
        <v>402.20027777777779</v>
      </c>
      <c r="C211" s="9">
        <f t="shared" si="57"/>
        <v>402.20027777777779</v>
      </c>
      <c r="D211" s="9">
        <f>SQRT(A211^2+Inputs!$C$6^2+B211^2)</f>
        <v>405.42608875665809</v>
      </c>
      <c r="E211" s="9">
        <f t="shared" si="58"/>
        <v>3225.810978880304</v>
      </c>
      <c r="F211" s="9">
        <f>E211/Inputs!$C$12</f>
        <v>1812.2533589215191</v>
      </c>
      <c r="G211" s="9">
        <f>2*E211/Inputs!$C$21*1000000</f>
        <v>21.520294409009473</v>
      </c>
      <c r="H211" s="9">
        <f>SQRT(A211^2+Inputs!$C$6^2)</f>
        <v>51.041649659861115</v>
      </c>
      <c r="I211" s="9">
        <f t="shared" si="59"/>
        <v>7.2325196453541665</v>
      </c>
      <c r="J211" s="9">
        <f>DEGREES((2*PI()/Inputs!$C$13)*Inputs!$C$15*SIN(RADIANS(I211)))</f>
        <v>45.322672583556667</v>
      </c>
      <c r="K211" s="9">
        <f t="shared" si="60"/>
        <v>0.96855145562637335</v>
      </c>
      <c r="L211" s="9">
        <f t="shared" si="61"/>
        <v>-0.13877301841120698</v>
      </c>
      <c r="M211" s="9">
        <f>2*(Inputs!$C$9/(Inputs!$C$10^2))*A211</f>
        <v>9.8888888888888887E-2</v>
      </c>
      <c r="N211" s="9">
        <f>M211*Inputs!$C$11</f>
        <v>0.39555555555555555</v>
      </c>
      <c r="O211" s="9">
        <f>1000*((A211*Inputs!$C$11)+(B211*N211))/D211</f>
        <v>831.45254750321442</v>
      </c>
      <c r="P211" s="9">
        <f>-2*O211/Inputs!$C$13</f>
        <v>-332.58101900128577</v>
      </c>
      <c r="Q211" s="9">
        <f>-2*O211/Inputs!$C$14</f>
        <v>-49.937089940132999</v>
      </c>
      <c r="R211" s="9">
        <f>F211-Inputs!$C$16/2</f>
        <v>1797.2533589215191</v>
      </c>
      <c r="S211" s="9">
        <f>F211+Inputs!$C$16/2</f>
        <v>1827.2533589215191</v>
      </c>
      <c r="T211" s="9">
        <f>F211-Inputs!$C$17/2</f>
        <v>1662.2533589215191</v>
      </c>
      <c r="U211" s="9">
        <f>F211+Inputs!$C$17/2</f>
        <v>1962.2533589215191</v>
      </c>
      <c r="V211" s="9">
        <f t="shared" si="62"/>
        <v>332.58101900128577</v>
      </c>
      <c r="W211" s="9">
        <f t="shared" si="63"/>
        <v>49.937089940132999</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0</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0</v>
      </c>
      <c r="Z211" s="9">
        <f t="shared" si="64"/>
        <v>402.20027777777779</v>
      </c>
      <c r="AA211" s="9">
        <f>SQRT(A211^2+Inputs!$C$6^2+(B211-Y211/1000)^2)</f>
        <v>405.42608875665809</v>
      </c>
      <c r="AB211" s="9">
        <f t="shared" si="65"/>
        <v>3225.810978880304</v>
      </c>
      <c r="AC211" s="9">
        <f>AB211/Inputs!$C$12</f>
        <v>1812.2533589215191</v>
      </c>
      <c r="AD211" s="9">
        <f>2*AB211/Inputs!$C$21*1000000</f>
        <v>21.520294409009473</v>
      </c>
      <c r="AE211" s="9">
        <f t="shared" si="66"/>
        <v>7.2325196453541665</v>
      </c>
      <c r="AF211" s="9">
        <f>DEGREES((2*PI()/Inputs!$C$13)*Inputs!$C$15*SIN(RADIANS(AE211)))</f>
        <v>45.322672583556667</v>
      </c>
      <c r="AG211" s="9">
        <f t="shared" si="67"/>
        <v>0.96855145562637335</v>
      </c>
      <c r="AH211" s="9">
        <f t="shared" si="68"/>
        <v>-0.13877301841120698</v>
      </c>
      <c r="AI211" s="9">
        <f t="shared" si="69"/>
        <v>0</v>
      </c>
      <c r="AJ211" s="9">
        <f t="shared" si="70"/>
        <v>0</v>
      </c>
      <c r="AK211" s="9">
        <f t="shared" si="71"/>
        <v>0</v>
      </c>
      <c r="AL211" s="9">
        <f>1000*(AA212-AA210)/(A212-A210)*Inputs!$C$11</f>
        <v>831.45164221809864</v>
      </c>
      <c r="AM211" s="9">
        <f>-2*AL211/Inputs!$C$13</f>
        <v>-332.58065688723946</v>
      </c>
      <c r="AN211" s="9">
        <f>-2*AL211/Inputs!$C$14</f>
        <v>-49.937035568654579</v>
      </c>
      <c r="AO211" s="9">
        <f t="shared" si="72"/>
        <v>332.58065688723946</v>
      </c>
      <c r="AP211" s="9">
        <f t="shared" si="73"/>
        <v>49.937035568654579</v>
      </c>
      <c r="AQ211" s="9">
        <f>IF(OR(Inputs!$C$27=TRUE,Inputs!$C$27="TRUE",Inputs!$C$27=1),Inputs!$C$46/Inputs!$C$12,0)</f>
        <v>0</v>
      </c>
      <c r="AR211" s="9">
        <f t="shared" si="74"/>
        <v>1812.2533589215191</v>
      </c>
      <c r="AS211" s="9">
        <f t="shared" si="75"/>
        <v>1812.2533589215191</v>
      </c>
    </row>
    <row r="212" spans="1:45">
      <c r="A212" s="9">
        <f>Inputs!$C$7+210*(Inputs!$C$8-Inputs!$C$7)/240</f>
        <v>45</v>
      </c>
      <c r="B212" s="9">
        <f>Inputs!$C$5+Inputs!$C$9*(A212/Inputs!$C$10)^2</f>
        <v>402.25</v>
      </c>
      <c r="C212" s="9">
        <f t="shared" si="57"/>
        <v>402.25</v>
      </c>
      <c r="D212" s="9">
        <f>SQRT(A212^2+Inputs!$C$6^2+B212^2)</f>
        <v>405.5305937904069</v>
      </c>
      <c r="E212" s="9">
        <f t="shared" si="58"/>
        <v>3280.5937904068969</v>
      </c>
      <c r="F212" s="9">
        <f>E212/Inputs!$C$12</f>
        <v>1843.0302193297173</v>
      </c>
      <c r="G212" s="9">
        <f>2*E212/Inputs!$C$21*1000000</f>
        <v>21.885765988195054</v>
      </c>
      <c r="H212" s="9">
        <f>SQRT(A212^2+Inputs!$C$6^2)</f>
        <v>51.478150704935004</v>
      </c>
      <c r="I212" s="9">
        <f t="shared" si="59"/>
        <v>7.2928160029494338</v>
      </c>
      <c r="J212" s="9">
        <f>DEGREES((2*PI()/Inputs!$C$13)*Inputs!$C$15*SIN(RADIANS(I212)))</f>
        <v>45.698486224086679</v>
      </c>
      <c r="K212" s="9">
        <f t="shared" si="60"/>
        <v>0.96803200652262722</v>
      </c>
      <c r="L212" s="9">
        <f t="shared" si="61"/>
        <v>-0.14110283160238724</v>
      </c>
      <c r="M212" s="9">
        <f>2*(Inputs!$C$9/(Inputs!$C$10^2))*A212</f>
        <v>0.1</v>
      </c>
      <c r="N212" s="9">
        <f>M212*Inputs!$C$11</f>
        <v>0.4</v>
      </c>
      <c r="O212" s="9">
        <f>1000*((A212*Inputs!$C$11)+(B212*N212))/D212</f>
        <v>840.62708269105246</v>
      </c>
      <c r="P212" s="9">
        <f>-2*O212/Inputs!$C$13</f>
        <v>-336.25083307642097</v>
      </c>
      <c r="Q212" s="9">
        <f>-2*O212/Inputs!$C$14</f>
        <v>-50.488113074537686</v>
      </c>
      <c r="R212" s="9">
        <f>F212-Inputs!$C$16/2</f>
        <v>1828.0302193297173</v>
      </c>
      <c r="S212" s="9">
        <f>F212+Inputs!$C$16/2</f>
        <v>1858.0302193297173</v>
      </c>
      <c r="T212" s="9">
        <f>F212-Inputs!$C$17/2</f>
        <v>1693.0302193297173</v>
      </c>
      <c r="U212" s="9">
        <f>F212+Inputs!$C$17/2</f>
        <v>1993.0302193297173</v>
      </c>
      <c r="V212" s="9">
        <f t="shared" si="62"/>
        <v>336.25083307642097</v>
      </c>
      <c r="W212" s="9">
        <f t="shared" si="63"/>
        <v>50.488113074537686</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0</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0</v>
      </c>
      <c r="Z212" s="9">
        <f t="shared" si="64"/>
        <v>402.25</v>
      </c>
      <c r="AA212" s="9">
        <f>SQRT(A212^2+Inputs!$C$6^2+(B212-Y212/1000)^2)</f>
        <v>405.5305937904069</v>
      </c>
      <c r="AB212" s="9">
        <f t="shared" si="65"/>
        <v>3280.5937904068969</v>
      </c>
      <c r="AC212" s="9">
        <f>AB212/Inputs!$C$12</f>
        <v>1843.0302193297173</v>
      </c>
      <c r="AD212" s="9">
        <f>2*AB212/Inputs!$C$21*1000000</f>
        <v>21.885765988195054</v>
      </c>
      <c r="AE212" s="9">
        <f t="shared" si="66"/>
        <v>7.2928160029494338</v>
      </c>
      <c r="AF212" s="9">
        <f>DEGREES((2*PI()/Inputs!$C$13)*Inputs!$C$15*SIN(RADIANS(AE212)))</f>
        <v>45.698486224086679</v>
      </c>
      <c r="AG212" s="9">
        <f t="shared" si="67"/>
        <v>0.96803200652262722</v>
      </c>
      <c r="AH212" s="9">
        <f t="shared" si="68"/>
        <v>-0.14110283160238724</v>
      </c>
      <c r="AI212" s="9">
        <f t="shared" si="69"/>
        <v>0</v>
      </c>
      <c r="AJ212" s="9">
        <f t="shared" si="70"/>
        <v>0</v>
      </c>
      <c r="AK212" s="9">
        <f t="shared" si="71"/>
        <v>0</v>
      </c>
      <c r="AL212" s="9">
        <f>1000*(AA213-AA211)/(A213-A211)*Inputs!$C$11</f>
        <v>840.62616841424642</v>
      </c>
      <c r="AM212" s="9">
        <f>-2*AL212/Inputs!$C$13</f>
        <v>-336.25046736569857</v>
      </c>
      <c r="AN212" s="9">
        <f>-2*AL212/Inputs!$C$14</f>
        <v>-50.488058163017804</v>
      </c>
      <c r="AO212" s="9">
        <f t="shared" si="72"/>
        <v>336.25046736569857</v>
      </c>
      <c r="AP212" s="9">
        <f t="shared" si="73"/>
        <v>50.488058163017804</v>
      </c>
      <c r="AQ212" s="9">
        <f>IF(OR(Inputs!$C$27=TRUE,Inputs!$C$27="TRUE",Inputs!$C$27=1),Inputs!$C$46/Inputs!$C$12,0)</f>
        <v>0</v>
      </c>
      <c r="AR212" s="9">
        <f t="shared" si="74"/>
        <v>1843.0302193297173</v>
      </c>
      <c r="AS212" s="9">
        <f t="shared" si="75"/>
        <v>1843.0302193297173</v>
      </c>
    </row>
    <row r="213" spans="1:45">
      <c r="A213" s="9">
        <f>Inputs!$C$7+211*(Inputs!$C$8-Inputs!$C$7)/240</f>
        <v>45.5</v>
      </c>
      <c r="B213" s="9">
        <f>Inputs!$C$5+Inputs!$C$9*(A213/Inputs!$C$10)^2</f>
        <v>402.30027777777775</v>
      </c>
      <c r="C213" s="9">
        <f t="shared" si="57"/>
        <v>402.30027777777775</v>
      </c>
      <c r="D213" s="9">
        <f>SQRT(A213^2+Inputs!$C$6^2+B213^2)</f>
        <v>405.63624529876165</v>
      </c>
      <c r="E213" s="9">
        <f t="shared" si="58"/>
        <v>3335.9675209838997</v>
      </c>
      <c r="F213" s="9">
        <f>E213/Inputs!$C$12</f>
        <v>1874.1390567325279</v>
      </c>
      <c r="G213" s="9">
        <f>2*E213/Inputs!$C$21*1000000</f>
        <v>22.255179754948337</v>
      </c>
      <c r="H213" s="9">
        <f>SQRT(A213^2+Inputs!$C$6^2)</f>
        <v>51.915797210483056</v>
      </c>
      <c r="I213" s="9">
        <f t="shared" si="59"/>
        <v>7.3532316468514338</v>
      </c>
      <c r="J213" s="9">
        <f>DEGREES((2*PI()/Inputs!$C$13)*Inputs!$C$15*SIN(RADIANS(I213)))</f>
        <v>46.07499258851599</v>
      </c>
      <c r="K213" s="9">
        <f t="shared" si="60"/>
        <v>0.96750744005881495</v>
      </c>
      <c r="L213" s="9">
        <f t="shared" si="61"/>
        <v>-0.1434568660459147</v>
      </c>
      <c r="M213" s="9">
        <f>2*(Inputs!$C$9/(Inputs!$C$10^2))*A213</f>
        <v>0.10111111111111111</v>
      </c>
      <c r="N213" s="9">
        <f>M213*Inputs!$C$11</f>
        <v>0.40444444444444444</v>
      </c>
      <c r="O213" s="9">
        <f>1000*((A213*Inputs!$C$11)+(B213*N213))/D213</f>
        <v>849.796132226282</v>
      </c>
      <c r="P213" s="9">
        <f>-2*O213/Inputs!$C$13</f>
        <v>-339.91845289051281</v>
      </c>
      <c r="Q213" s="9">
        <f>-2*O213/Inputs!$C$14</f>
        <v>-51.038806740317241</v>
      </c>
      <c r="R213" s="9">
        <f>F213-Inputs!$C$16/2</f>
        <v>1859.1390567325279</v>
      </c>
      <c r="S213" s="9">
        <f>F213+Inputs!$C$16/2</f>
        <v>1889.1390567325279</v>
      </c>
      <c r="T213" s="9">
        <f>F213-Inputs!$C$17/2</f>
        <v>1724.1390567325279</v>
      </c>
      <c r="U213" s="9">
        <f>F213+Inputs!$C$17/2</f>
        <v>2024.1390567325279</v>
      </c>
      <c r="V213" s="9">
        <f t="shared" si="62"/>
        <v>339.91845289051281</v>
      </c>
      <c r="W213" s="9">
        <f t="shared" si="63"/>
        <v>51.038806740317241</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0</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0</v>
      </c>
      <c r="Z213" s="9">
        <f t="shared" si="64"/>
        <v>402.30027777777775</v>
      </c>
      <c r="AA213" s="9">
        <f>SQRT(A213^2+Inputs!$C$6^2+(B213-Y213/1000)^2)</f>
        <v>405.63624529876165</v>
      </c>
      <c r="AB213" s="9">
        <f t="shared" si="65"/>
        <v>3335.9675209838997</v>
      </c>
      <c r="AC213" s="9">
        <f>AB213/Inputs!$C$12</f>
        <v>1874.1390567325279</v>
      </c>
      <c r="AD213" s="9">
        <f>2*AB213/Inputs!$C$21*1000000</f>
        <v>22.255179754948337</v>
      </c>
      <c r="AE213" s="9">
        <f t="shared" si="66"/>
        <v>7.3532316468514338</v>
      </c>
      <c r="AF213" s="9">
        <f>DEGREES((2*PI()/Inputs!$C$13)*Inputs!$C$15*SIN(RADIANS(AE213)))</f>
        <v>46.07499258851599</v>
      </c>
      <c r="AG213" s="9">
        <f t="shared" si="67"/>
        <v>0.96750744005881495</v>
      </c>
      <c r="AH213" s="9">
        <f t="shared" si="68"/>
        <v>-0.1434568660459147</v>
      </c>
      <c r="AI213" s="9">
        <f t="shared" si="69"/>
        <v>0</v>
      </c>
      <c r="AJ213" s="9">
        <f t="shared" si="70"/>
        <v>0</v>
      </c>
      <c r="AK213" s="9">
        <f t="shared" si="71"/>
        <v>0</v>
      </c>
      <c r="AL213" s="9">
        <f>1000*(AA214-AA212)/(A214-A212)*Inputs!$C$11</f>
        <v>849.7952089953742</v>
      </c>
      <c r="AM213" s="9">
        <f>-2*AL213/Inputs!$C$13</f>
        <v>-339.91808359814968</v>
      </c>
      <c r="AN213" s="9">
        <f>-2*AL213/Inputs!$C$14</f>
        <v>-51.038751291013469</v>
      </c>
      <c r="AO213" s="9">
        <f t="shared" si="72"/>
        <v>339.91808359814968</v>
      </c>
      <c r="AP213" s="9">
        <f t="shared" si="73"/>
        <v>51.038751291013469</v>
      </c>
      <c r="AQ213" s="9">
        <f>IF(OR(Inputs!$C$27=TRUE,Inputs!$C$27="TRUE",Inputs!$C$27=1),Inputs!$C$46/Inputs!$C$12,0)</f>
        <v>0</v>
      </c>
      <c r="AR213" s="9">
        <f t="shared" si="74"/>
        <v>1874.1390567325279</v>
      </c>
      <c r="AS213" s="9">
        <f t="shared" si="75"/>
        <v>1874.1390567325279</v>
      </c>
    </row>
    <row r="214" spans="1:45">
      <c r="A214" s="9">
        <f>Inputs!$C$7+212*(Inputs!$C$8-Inputs!$C$7)/240</f>
        <v>46</v>
      </c>
      <c r="B214" s="9">
        <f>Inputs!$C$5+Inputs!$C$9*(A214/Inputs!$C$10)^2</f>
        <v>402.35111111111109</v>
      </c>
      <c r="C214" s="9">
        <f t="shared" si="57"/>
        <v>402.35111111111109</v>
      </c>
      <c r="D214" s="9">
        <f>SQRT(A214^2+Inputs!$C$6^2+B214^2)</f>
        <v>405.74304259265574</v>
      </c>
      <c r="E214" s="9">
        <f t="shared" si="58"/>
        <v>3391.9314815446455</v>
      </c>
      <c r="F214" s="9">
        <f>E214/Inputs!$C$12</f>
        <v>1905.5794840138458</v>
      </c>
      <c r="G214" s="9">
        <f>2*E214/Inputs!$C$21*1000000</f>
        <v>22.62853111231134</v>
      </c>
      <c r="H214" s="9">
        <f>SQRT(A214^2+Inputs!$C$6^2)</f>
        <v>52.354560450833695</v>
      </c>
      <c r="I214" s="9">
        <f t="shared" si="59"/>
        <v>7.4137620157175332</v>
      </c>
      <c r="J214" s="9">
        <f>DEGREES((2*PI()/Inputs!$C$13)*Inputs!$C$15*SIN(RADIANS(I214)))</f>
        <v>46.452162535839577</v>
      </c>
      <c r="K214" s="9">
        <f t="shared" si="60"/>
        <v>0.96697777784614181</v>
      </c>
      <c r="L214" s="9">
        <f t="shared" si="61"/>
        <v>-0.14583506340669783</v>
      </c>
      <c r="M214" s="9">
        <f>2*(Inputs!$C$9/(Inputs!$C$10^2))*A214</f>
        <v>0.10222222222222223</v>
      </c>
      <c r="N214" s="9">
        <f>M214*Inputs!$C$11</f>
        <v>0.40888888888888891</v>
      </c>
      <c r="O214" s="9">
        <f>1000*((A214*Inputs!$C$11)+(B214*N214))/D214</f>
        <v>858.95964238461227</v>
      </c>
      <c r="P214" s="9">
        <f>-2*O214/Inputs!$C$13</f>
        <v>-343.58385695384493</v>
      </c>
      <c r="Q214" s="9">
        <f>-2*O214/Inputs!$C$14</f>
        <v>-51.589167710787528</v>
      </c>
      <c r="R214" s="9">
        <f>F214-Inputs!$C$16/2</f>
        <v>1890.5794840138458</v>
      </c>
      <c r="S214" s="9">
        <f>F214+Inputs!$C$16/2</f>
        <v>1920.5794840138458</v>
      </c>
      <c r="T214" s="9">
        <f>F214-Inputs!$C$17/2</f>
        <v>1755.5794840138458</v>
      </c>
      <c r="U214" s="9">
        <f>F214+Inputs!$C$17/2</f>
        <v>2055.579484013846</v>
      </c>
      <c r="V214" s="9">
        <f t="shared" si="62"/>
        <v>343.58385695384493</v>
      </c>
      <c r="W214" s="9">
        <f t="shared" si="63"/>
        <v>51.589167710787528</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0</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0</v>
      </c>
      <c r="Z214" s="9">
        <f t="shared" si="64"/>
        <v>402.35111111111109</v>
      </c>
      <c r="AA214" s="9">
        <f>SQRT(A214^2+Inputs!$C$6^2+(B214-Y214/1000)^2)</f>
        <v>405.74304259265574</v>
      </c>
      <c r="AB214" s="9">
        <f t="shared" si="65"/>
        <v>3391.9314815446455</v>
      </c>
      <c r="AC214" s="9">
        <f>AB214/Inputs!$C$12</f>
        <v>1905.5794840138458</v>
      </c>
      <c r="AD214" s="9">
        <f>2*AB214/Inputs!$C$21*1000000</f>
        <v>22.62853111231134</v>
      </c>
      <c r="AE214" s="9">
        <f t="shared" si="66"/>
        <v>7.4137620157175332</v>
      </c>
      <c r="AF214" s="9">
        <f>DEGREES((2*PI()/Inputs!$C$13)*Inputs!$C$15*SIN(RADIANS(AE214)))</f>
        <v>46.452162535839577</v>
      </c>
      <c r="AG214" s="9">
        <f t="shared" si="67"/>
        <v>0.96697777784614181</v>
      </c>
      <c r="AH214" s="9">
        <f t="shared" si="68"/>
        <v>-0.14583506340669783</v>
      </c>
      <c r="AI214" s="9">
        <f t="shared" si="69"/>
        <v>0</v>
      </c>
      <c r="AJ214" s="9">
        <f t="shared" si="70"/>
        <v>0</v>
      </c>
      <c r="AK214" s="9">
        <f t="shared" si="71"/>
        <v>0</v>
      </c>
      <c r="AL214" s="9">
        <f>1000*(AA215-AA213)/(A215-A213)*Inputs!$C$11</f>
        <v>858.95871023762993</v>
      </c>
      <c r="AM214" s="9">
        <f>-2*AL214/Inputs!$C$13</f>
        <v>-343.58348409505197</v>
      </c>
      <c r="AN214" s="9">
        <f>-2*AL214/Inputs!$C$14</f>
        <v>-51.589111725983784</v>
      </c>
      <c r="AO214" s="9">
        <f t="shared" si="72"/>
        <v>343.58348409505197</v>
      </c>
      <c r="AP214" s="9">
        <f t="shared" si="73"/>
        <v>51.589111725983784</v>
      </c>
      <c r="AQ214" s="9">
        <f>IF(OR(Inputs!$C$27=TRUE,Inputs!$C$27="TRUE",Inputs!$C$27=1),Inputs!$C$46/Inputs!$C$12,0)</f>
        <v>0</v>
      </c>
      <c r="AR214" s="9">
        <f t="shared" si="74"/>
        <v>1905.5794840138458</v>
      </c>
      <c r="AS214" s="9">
        <f t="shared" si="75"/>
        <v>1905.5794840138458</v>
      </c>
    </row>
    <row r="215" spans="1:45">
      <c r="A215" s="9">
        <f>Inputs!$C$7+213*(Inputs!$C$8-Inputs!$C$7)/240</f>
        <v>46.5</v>
      </c>
      <c r="B215" s="9">
        <f>Inputs!$C$5+Inputs!$C$9*(A215/Inputs!$C$10)^2</f>
        <v>402.40249999999997</v>
      </c>
      <c r="C215" s="9">
        <f t="shared" si="57"/>
        <v>402.40249999999997</v>
      </c>
      <c r="D215" s="9">
        <f>SQRT(A215^2+Inputs!$C$6^2+B215^2)</f>
        <v>405.85098497632106</v>
      </c>
      <c r="E215" s="9">
        <f t="shared" si="58"/>
        <v>3448.4849763210832</v>
      </c>
      <c r="F215" s="9">
        <f>E215/Inputs!$C$12</f>
        <v>1937.3511102927434</v>
      </c>
      <c r="G215" s="9">
        <f>2*E215/Inputs!$C$21*1000000</f>
        <v>23.005815418619257</v>
      </c>
      <c r="H215" s="9">
        <f>SQRT(A215^2+Inputs!$C$6^2)</f>
        <v>52.794412583151257</v>
      </c>
      <c r="I215" s="9">
        <f t="shared" si="59"/>
        <v>7.4744026758958535</v>
      </c>
      <c r="J215" s="9">
        <f>DEGREES((2*PI()/Inputs!$C$13)*Inputs!$C$15*SIN(RADIANS(I215)))</f>
        <v>46.829967730750575</v>
      </c>
      <c r="K215" s="9">
        <f t="shared" si="60"/>
        <v>0.96644304166733663</v>
      </c>
      <c r="L215" s="9">
        <f t="shared" si="61"/>
        <v>-0.14823736481264854</v>
      </c>
      <c r="M215" s="9">
        <f>2*(Inputs!$C$9/(Inputs!$C$10^2))*A215</f>
        <v>0.10333333333333333</v>
      </c>
      <c r="N215" s="9">
        <f>M215*Inputs!$C$11</f>
        <v>0.41333333333333333</v>
      </c>
      <c r="O215" s="9">
        <f>1000*((A215*Inputs!$C$11)+(B215*N215))/D215</f>
        <v>868.11755966841577</v>
      </c>
      <c r="P215" s="9">
        <f>-2*O215/Inputs!$C$13</f>
        <v>-347.24702386736629</v>
      </c>
      <c r="Q215" s="9">
        <f>-2*O215/Inputs!$C$14</f>
        <v>-52.139192772877827</v>
      </c>
      <c r="R215" s="9">
        <f>F215-Inputs!$C$16/2</f>
        <v>1922.3511102927434</v>
      </c>
      <c r="S215" s="9">
        <f>F215+Inputs!$C$16/2</f>
        <v>1952.3511102927434</v>
      </c>
      <c r="T215" s="9">
        <f>F215-Inputs!$C$17/2</f>
        <v>1787.3511102927434</v>
      </c>
      <c r="U215" s="9">
        <f>F215+Inputs!$C$17/2</f>
        <v>2087.3511102927432</v>
      </c>
      <c r="V215" s="9">
        <f t="shared" si="62"/>
        <v>347.24702386736629</v>
      </c>
      <c r="W215" s="9">
        <f t="shared" si="63"/>
        <v>52.139192772877827</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0</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0</v>
      </c>
      <c r="Z215" s="9">
        <f t="shared" si="64"/>
        <v>402.40249999999997</v>
      </c>
      <c r="AA215" s="9">
        <f>SQRT(A215^2+Inputs!$C$6^2+(B215-Y215/1000)^2)</f>
        <v>405.85098497632106</v>
      </c>
      <c r="AB215" s="9">
        <f t="shared" si="65"/>
        <v>3448.4849763210832</v>
      </c>
      <c r="AC215" s="9">
        <f>AB215/Inputs!$C$12</f>
        <v>1937.3511102927434</v>
      </c>
      <c r="AD215" s="9">
        <f>2*AB215/Inputs!$C$21*1000000</f>
        <v>23.005815418619257</v>
      </c>
      <c r="AE215" s="9">
        <f t="shared" si="66"/>
        <v>7.4744026758958535</v>
      </c>
      <c r="AF215" s="9">
        <f>DEGREES((2*PI()/Inputs!$C$13)*Inputs!$C$15*SIN(RADIANS(AE215)))</f>
        <v>46.829967730750575</v>
      </c>
      <c r="AG215" s="9">
        <f t="shared" si="67"/>
        <v>0.96644304166733663</v>
      </c>
      <c r="AH215" s="9">
        <f t="shared" si="68"/>
        <v>-0.14823736481264854</v>
      </c>
      <c r="AI215" s="9">
        <f t="shared" si="69"/>
        <v>0</v>
      </c>
      <c r="AJ215" s="9">
        <f t="shared" si="70"/>
        <v>0</v>
      </c>
      <c r="AK215" s="9">
        <f t="shared" si="71"/>
        <v>0</v>
      </c>
      <c r="AL215" s="9">
        <f>1000*(AA216-AA214)/(A216-A214)*Inputs!$C$11</f>
        <v>868.1166186433984</v>
      </c>
      <c r="AM215" s="9">
        <f>-2*AL215/Inputs!$C$13</f>
        <v>-347.24664745735936</v>
      </c>
      <c r="AN215" s="9">
        <f>-2*AL215/Inputs!$C$14</f>
        <v>-52.139136254858769</v>
      </c>
      <c r="AO215" s="9">
        <f t="shared" si="72"/>
        <v>347.24664745735936</v>
      </c>
      <c r="AP215" s="9">
        <f t="shared" si="73"/>
        <v>52.139136254858769</v>
      </c>
      <c r="AQ215" s="9">
        <f>IF(OR(Inputs!$C$27=TRUE,Inputs!$C$27="TRUE",Inputs!$C$27=1),Inputs!$C$46/Inputs!$C$12,0)</f>
        <v>0</v>
      </c>
      <c r="AR215" s="9">
        <f t="shared" si="74"/>
        <v>1937.3511102927434</v>
      </c>
      <c r="AS215" s="9">
        <f t="shared" si="75"/>
        <v>1937.3511102927434</v>
      </c>
    </row>
    <row r="216" spans="1:45">
      <c r="A216" s="9">
        <f>Inputs!$C$7+214*(Inputs!$C$8-Inputs!$C$7)/240</f>
        <v>47</v>
      </c>
      <c r="B216" s="9">
        <f>Inputs!$C$5+Inputs!$C$9*(A216/Inputs!$C$10)^2</f>
        <v>402.45444444444445</v>
      </c>
      <c r="C216" s="9">
        <f t="shared" si="57"/>
        <v>402.45444444444445</v>
      </c>
      <c r="D216" s="9">
        <f>SQRT(A216^2+Inputs!$C$6^2+B216^2)</f>
        <v>405.96007174731659</v>
      </c>
      <c r="E216" s="9">
        <f t="shared" si="58"/>
        <v>3505.6273028721421</v>
      </c>
      <c r="F216" s="9">
        <f>E216/Inputs!$C$12</f>
        <v>1969.4535409394057</v>
      </c>
      <c r="G216" s="9">
        <f>2*E216/Inputs!$C$21*1000000</f>
        <v>23.387027987689684</v>
      </c>
      <c r="H216" s="9">
        <f>SQRT(A216^2+Inputs!$C$6^2)</f>
        <v>53.235326616824658</v>
      </c>
      <c r="I216" s="9">
        <f t="shared" si="59"/>
        <v>7.5351493170616237</v>
      </c>
      <c r="J216" s="9">
        <f>DEGREES((2*PI()/Inputs!$C$13)*Inputs!$C$15*SIN(RADIANS(I216)))</f>
        <v>47.208380616273161</v>
      </c>
      <c r="K216" s="9">
        <f t="shared" si="60"/>
        <v>0.96590325347465911</v>
      </c>
      <c r="L216" s="9">
        <f t="shared" si="61"/>
        <v>-0.15066371085800698</v>
      </c>
      <c r="M216" s="9">
        <f>2*(Inputs!$C$9/(Inputs!$C$10^2))*A216</f>
        <v>0.10444444444444445</v>
      </c>
      <c r="N216" s="9">
        <f>M216*Inputs!$C$11</f>
        <v>0.4177777777777778</v>
      </c>
      <c r="O216" s="9">
        <f>1000*((A216*Inputs!$C$11)+(B216*N216))/D216</f>
        <v>877.26983080853745</v>
      </c>
      <c r="P216" s="9">
        <f>-2*O216/Inputs!$C$13</f>
        <v>-350.90793232341497</v>
      </c>
      <c r="Q216" s="9">
        <f>-2*O216/Inputs!$C$14</f>
        <v>-52.688878727239491</v>
      </c>
      <c r="R216" s="9">
        <f>F216-Inputs!$C$16/2</f>
        <v>1954.4535409394057</v>
      </c>
      <c r="S216" s="9">
        <f>F216+Inputs!$C$16/2</f>
        <v>1984.4535409394057</v>
      </c>
      <c r="T216" s="9">
        <f>F216-Inputs!$C$17/2</f>
        <v>1819.4535409394057</v>
      </c>
      <c r="U216" s="9">
        <f>F216+Inputs!$C$17/2</f>
        <v>2119.4535409394057</v>
      </c>
      <c r="V216" s="9">
        <f t="shared" si="62"/>
        <v>350.90793232341497</v>
      </c>
      <c r="W216" s="9">
        <f t="shared" si="63"/>
        <v>52.688878727239491</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0</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0</v>
      </c>
      <c r="Z216" s="9">
        <f t="shared" si="64"/>
        <v>402.45444444444445</v>
      </c>
      <c r="AA216" s="9">
        <f>SQRT(A216^2+Inputs!$C$6^2+(B216-Y216/1000)^2)</f>
        <v>405.96007174731659</v>
      </c>
      <c r="AB216" s="9">
        <f t="shared" si="65"/>
        <v>3505.6273028721421</v>
      </c>
      <c r="AC216" s="9">
        <f>AB216/Inputs!$C$12</f>
        <v>1969.4535409394057</v>
      </c>
      <c r="AD216" s="9">
        <f>2*AB216/Inputs!$C$21*1000000</f>
        <v>23.387027987689684</v>
      </c>
      <c r="AE216" s="9">
        <f t="shared" si="66"/>
        <v>7.5351493170616237</v>
      </c>
      <c r="AF216" s="9">
        <f>DEGREES((2*PI()/Inputs!$C$13)*Inputs!$C$15*SIN(RADIANS(AE216)))</f>
        <v>47.208380616273161</v>
      </c>
      <c r="AG216" s="9">
        <f t="shared" si="67"/>
        <v>0.96590325347465911</v>
      </c>
      <c r="AH216" s="9">
        <f t="shared" si="68"/>
        <v>-0.15066371085800698</v>
      </c>
      <c r="AI216" s="9">
        <f t="shared" si="69"/>
        <v>0</v>
      </c>
      <c r="AJ216" s="9">
        <f t="shared" si="70"/>
        <v>0</v>
      </c>
      <c r="AK216" s="9">
        <f t="shared" si="71"/>
        <v>0</v>
      </c>
      <c r="AL216" s="9">
        <f>1000*(AA217-AA215)/(A217-A215)*Inputs!$C$11</f>
        <v>877.26888094357491</v>
      </c>
      <c r="AM216" s="9">
        <f>-2*AL216/Inputs!$C$13</f>
        <v>-350.90755237742997</v>
      </c>
      <c r="AN216" s="9">
        <f>-2*AL216/Inputs!$C$14</f>
        <v>-52.68882167829279</v>
      </c>
      <c r="AO216" s="9">
        <f t="shared" si="72"/>
        <v>350.90755237742997</v>
      </c>
      <c r="AP216" s="9">
        <f t="shared" si="73"/>
        <v>52.68882167829279</v>
      </c>
      <c r="AQ216" s="9">
        <f>IF(OR(Inputs!$C$27=TRUE,Inputs!$C$27="TRUE",Inputs!$C$27=1),Inputs!$C$46/Inputs!$C$12,0)</f>
        <v>0</v>
      </c>
      <c r="AR216" s="9">
        <f t="shared" si="74"/>
        <v>1969.4535409394057</v>
      </c>
      <c r="AS216" s="9">
        <f t="shared" si="75"/>
        <v>1969.4535409394057</v>
      </c>
    </row>
    <row r="217" spans="1:45">
      <c r="A217" s="9">
        <f>Inputs!$C$7+215*(Inputs!$C$8-Inputs!$C$7)/240</f>
        <v>47.5</v>
      </c>
      <c r="B217" s="9">
        <f>Inputs!$C$5+Inputs!$C$9*(A217/Inputs!$C$10)^2</f>
        <v>402.50694444444446</v>
      </c>
      <c r="C217" s="9">
        <f t="shared" si="57"/>
        <v>402.50694444444446</v>
      </c>
      <c r="D217" s="9">
        <f>SQRT(A217^2+Inputs!$C$6^2+B217^2)</f>
        <v>406.07030219655695</v>
      </c>
      <c r="E217" s="9">
        <f t="shared" si="58"/>
        <v>3563.3577521124948</v>
      </c>
      <c r="F217" s="9">
        <f>E217/Inputs!$C$12</f>
        <v>2001.8863775912891</v>
      </c>
      <c r="G217" s="9">
        <f>2*E217/Inputs!$C$21*1000000</f>
        <v>23.772164089014506</v>
      </c>
      <c r="H217" s="9">
        <f>SQRT(A217^2+Inputs!$C$6^2)</f>
        <v>53.677276383959722</v>
      </c>
      <c r="I217" s="9">
        <f t="shared" si="59"/>
        <v>7.595997748011027</v>
      </c>
      <c r="J217" s="9">
        <f>DEGREES((2*PI()/Inputs!$C$13)*Inputs!$C$15*SIN(RADIANS(I217)))</f>
        <v>47.587374387383477</v>
      </c>
      <c r="K217" s="9">
        <f t="shared" si="60"/>
        <v>0.96535843538790245</v>
      </c>
      <c r="L217" s="9">
        <f t="shared" si="61"/>
        <v>-0.15311404160666506</v>
      </c>
      <c r="M217" s="9">
        <f>2*(Inputs!$C$9/(Inputs!$C$10^2))*A217</f>
        <v>0.10555555555555556</v>
      </c>
      <c r="N217" s="9">
        <f>M217*Inputs!$C$11</f>
        <v>0.42222222222222222</v>
      </c>
      <c r="O217" s="9">
        <f>1000*((A217*Inputs!$C$11)+(B217*N217))/D217</f>
        <v>886.416402766087</v>
      </c>
      <c r="P217" s="9">
        <f>-2*O217/Inputs!$C$13</f>
        <v>-354.56656110643479</v>
      </c>
      <c r="Q217" s="9">
        <f>-2*O217/Inputs!$C$14</f>
        <v>-53.238222388353577</v>
      </c>
      <c r="R217" s="9">
        <f>F217-Inputs!$C$16/2</f>
        <v>1986.8863775912891</v>
      </c>
      <c r="S217" s="9">
        <f>F217+Inputs!$C$16/2</f>
        <v>2016.8863775912891</v>
      </c>
      <c r="T217" s="9">
        <f>F217-Inputs!$C$17/2</f>
        <v>1851.8863775912891</v>
      </c>
      <c r="U217" s="9">
        <f>F217+Inputs!$C$17/2</f>
        <v>2151.8863775912891</v>
      </c>
      <c r="V217" s="9">
        <f t="shared" si="62"/>
        <v>354.56656110643479</v>
      </c>
      <c r="W217" s="9">
        <f t="shared" si="63"/>
        <v>53.238222388353577</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0</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0</v>
      </c>
      <c r="Z217" s="9">
        <f t="shared" si="64"/>
        <v>402.50694444444446</v>
      </c>
      <c r="AA217" s="9">
        <f>SQRT(A217^2+Inputs!$C$6^2+(B217-Y217/1000)^2)</f>
        <v>406.07030219655695</v>
      </c>
      <c r="AB217" s="9">
        <f t="shared" si="65"/>
        <v>3563.3577521124948</v>
      </c>
      <c r="AC217" s="9">
        <f>AB217/Inputs!$C$12</f>
        <v>2001.8863775912891</v>
      </c>
      <c r="AD217" s="9">
        <f>2*AB217/Inputs!$C$21*1000000</f>
        <v>23.772164089014506</v>
      </c>
      <c r="AE217" s="9">
        <f t="shared" si="66"/>
        <v>7.595997748011027</v>
      </c>
      <c r="AF217" s="9">
        <f>DEGREES((2*PI()/Inputs!$C$13)*Inputs!$C$15*SIN(RADIANS(AE217)))</f>
        <v>47.587374387383477</v>
      </c>
      <c r="AG217" s="9">
        <f t="shared" si="67"/>
        <v>0.96535843538790245</v>
      </c>
      <c r="AH217" s="9">
        <f t="shared" si="68"/>
        <v>-0.15311404160666506</v>
      </c>
      <c r="AI217" s="9">
        <f t="shared" si="69"/>
        <v>0</v>
      </c>
      <c r="AJ217" s="9">
        <f t="shared" si="70"/>
        <v>0</v>
      </c>
      <c r="AK217" s="9">
        <f t="shared" si="71"/>
        <v>0</v>
      </c>
      <c r="AL217" s="9">
        <f>1000*(AA218-AA216)/(A218-A216)*Inputs!$C$11</f>
        <v>886.41544409983908</v>
      </c>
      <c r="AM217" s="9">
        <f>-2*AL217/Inputs!$C$13</f>
        <v>-354.56617763993563</v>
      </c>
      <c r="AN217" s="9">
        <f>-2*AL217/Inputs!$C$14</f>
        <v>-53.238164810801152</v>
      </c>
      <c r="AO217" s="9">
        <f t="shared" si="72"/>
        <v>354.56617763993563</v>
      </c>
      <c r="AP217" s="9">
        <f t="shared" si="73"/>
        <v>53.238164810801152</v>
      </c>
      <c r="AQ217" s="9">
        <f>IF(OR(Inputs!$C$27=TRUE,Inputs!$C$27="TRUE",Inputs!$C$27=1),Inputs!$C$46/Inputs!$C$12,0)</f>
        <v>0</v>
      </c>
      <c r="AR217" s="9">
        <f t="shared" si="74"/>
        <v>2001.8863775912891</v>
      </c>
      <c r="AS217" s="9">
        <f t="shared" si="75"/>
        <v>2001.8863775912891</v>
      </c>
    </row>
    <row r="218" spans="1:45">
      <c r="A218" s="9">
        <f>Inputs!$C$7+216*(Inputs!$C$8-Inputs!$C$7)/240</f>
        <v>48</v>
      </c>
      <c r="B218" s="9">
        <f>Inputs!$C$5+Inputs!$C$9*(A218/Inputs!$C$10)^2</f>
        <v>402.56</v>
      </c>
      <c r="C218" s="9">
        <f t="shared" si="57"/>
        <v>402.56</v>
      </c>
      <c r="D218" s="9">
        <f>SQRT(A218^2+Inputs!$C$6^2+B218^2)</f>
        <v>406.18167560834155</v>
      </c>
      <c r="E218" s="9">
        <f t="shared" si="58"/>
        <v>3621.6756083415476</v>
      </c>
      <c r="F218" s="9">
        <f>E218/Inputs!$C$12</f>
        <v>2034.6492181694086</v>
      </c>
      <c r="G218" s="9">
        <f>2*E218/Inputs!$C$21*1000000</f>
        <v>24.161218947953305</v>
      </c>
      <c r="H218" s="9">
        <f>SQRT(A218^2+Inputs!$C$6^2)</f>
        <v>54.120236510939236</v>
      </c>
      <c r="I218" s="9">
        <f t="shared" si="59"/>
        <v>7.6569438926073863</v>
      </c>
      <c r="J218" s="9">
        <f>DEGREES((2*PI()/Inputs!$C$13)*Inputs!$C$15*SIN(RADIANS(I218)))</f>
        <v>47.966922965586392</v>
      </c>
      <c r="K218" s="9">
        <f t="shared" si="60"/>
        <v>0.96480860969237814</v>
      </c>
      <c r="L218" s="9">
        <f t="shared" si="61"/>
        <v>-0.15558829659555012</v>
      </c>
      <c r="M218" s="9">
        <f>2*(Inputs!$C$9/(Inputs!$C$10^2))*A218</f>
        <v>0.10666666666666666</v>
      </c>
      <c r="N218" s="9">
        <f>M218*Inputs!$C$11</f>
        <v>0.42666666666666664</v>
      </c>
      <c r="O218" s="9">
        <f>1000*((A218*Inputs!$C$11)+(B218*N218))/D218</f>
        <v>895.55722273420781</v>
      </c>
      <c r="P218" s="9">
        <f>-2*O218/Inputs!$C$13</f>
        <v>-358.22288909368314</v>
      </c>
      <c r="Q218" s="9">
        <f>-2*O218/Inputs!$C$14</f>
        <v>-53.787220584637112</v>
      </c>
      <c r="R218" s="9">
        <f>F218-Inputs!$C$16/2</f>
        <v>2019.6492181694086</v>
      </c>
      <c r="S218" s="9">
        <f>F218+Inputs!$C$16/2</f>
        <v>2049.6492181694084</v>
      </c>
      <c r="T218" s="9">
        <f>F218-Inputs!$C$17/2</f>
        <v>1884.6492181694086</v>
      </c>
      <c r="U218" s="9">
        <f>F218+Inputs!$C$17/2</f>
        <v>2184.6492181694084</v>
      </c>
      <c r="V218" s="9">
        <f t="shared" si="62"/>
        <v>358.22288909368314</v>
      </c>
      <c r="W218" s="9">
        <f t="shared" si="63"/>
        <v>53.787220584637112</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0</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0</v>
      </c>
      <c r="Z218" s="9">
        <f t="shared" si="64"/>
        <v>402.56</v>
      </c>
      <c r="AA218" s="9">
        <f>SQRT(A218^2+Inputs!$C$6^2+(B218-Y218/1000)^2)</f>
        <v>406.18167560834155</v>
      </c>
      <c r="AB218" s="9">
        <f t="shared" si="65"/>
        <v>3621.6756083415476</v>
      </c>
      <c r="AC218" s="9">
        <f>AB218/Inputs!$C$12</f>
        <v>2034.6492181694086</v>
      </c>
      <c r="AD218" s="9">
        <f>2*AB218/Inputs!$C$21*1000000</f>
        <v>24.161218947953305</v>
      </c>
      <c r="AE218" s="9">
        <f t="shared" si="66"/>
        <v>7.6569438926073863</v>
      </c>
      <c r="AF218" s="9">
        <f>DEGREES((2*PI()/Inputs!$C$13)*Inputs!$C$15*SIN(RADIANS(AE218)))</f>
        <v>47.966922965586392</v>
      </c>
      <c r="AG218" s="9">
        <f t="shared" si="67"/>
        <v>0.96480860969237814</v>
      </c>
      <c r="AH218" s="9">
        <f t="shared" si="68"/>
        <v>-0.15558829659555012</v>
      </c>
      <c r="AI218" s="9">
        <f t="shared" si="69"/>
        <v>0</v>
      </c>
      <c r="AJ218" s="9">
        <f t="shared" si="70"/>
        <v>0</v>
      </c>
      <c r="AK218" s="9">
        <f t="shared" si="71"/>
        <v>0</v>
      </c>
      <c r="AL218" s="9">
        <f>1000*(AA219-AA217)/(A219-A217)*Inputs!$C$11</f>
        <v>895.55625530579164</v>
      </c>
      <c r="AM218" s="9">
        <f>-2*AL218/Inputs!$C$13</f>
        <v>-358.22250212231666</v>
      </c>
      <c r="AN218" s="9">
        <f>-2*AL218/Inputs!$C$14</f>
        <v>-53.787162480828329</v>
      </c>
      <c r="AO218" s="9">
        <f t="shared" si="72"/>
        <v>358.22250212231666</v>
      </c>
      <c r="AP218" s="9">
        <f t="shared" si="73"/>
        <v>53.787162480828329</v>
      </c>
      <c r="AQ218" s="9">
        <f>IF(OR(Inputs!$C$27=TRUE,Inputs!$C$27="TRUE",Inputs!$C$27=1),Inputs!$C$46/Inputs!$C$12,0)</f>
        <v>0</v>
      </c>
      <c r="AR218" s="9">
        <f t="shared" si="74"/>
        <v>2034.6492181694086</v>
      </c>
      <c r="AS218" s="9">
        <f t="shared" si="75"/>
        <v>2034.6492181694086</v>
      </c>
    </row>
    <row r="219" spans="1:45">
      <c r="A219" s="9">
        <f>Inputs!$C$7+217*(Inputs!$C$8-Inputs!$C$7)/240</f>
        <v>48.5</v>
      </c>
      <c r="B219" s="9">
        <f>Inputs!$C$5+Inputs!$C$9*(A219/Inputs!$C$10)^2</f>
        <v>402.61361111111108</v>
      </c>
      <c r="C219" s="9">
        <f t="shared" si="57"/>
        <v>402.61361111111108</v>
      </c>
      <c r="D219" s="9">
        <f>SQRT(A219^2+Inputs!$C$6^2+B219^2)</f>
        <v>406.2941912603834</v>
      </c>
      <c r="E219" s="9">
        <f t="shared" si="58"/>
        <v>3680.5801492723162</v>
      </c>
      <c r="F219" s="9">
        <f>E219/Inputs!$C$12</f>
        <v>2067.7416568945596</v>
      </c>
      <c r="G219" s="9">
        <f>2*E219/Inputs!$C$21*1000000</f>
        <v>24.554187745925994</v>
      </c>
      <c r="H219" s="9">
        <f>SQRT(A219^2+Inputs!$C$6^2)</f>
        <v>54.564182391015443</v>
      </c>
      <c r="I219" s="9">
        <f t="shared" si="59"/>
        <v>7.7179837858747007</v>
      </c>
      <c r="J219" s="9">
        <f>DEGREES((2*PI()/Inputs!$C$13)*Inputs!$C$15*SIN(RADIANS(I219)))</f>
        <v>48.347000974416595</v>
      </c>
      <c r="K219" s="9">
        <f t="shared" si="60"/>
        <v>0.96425379883690199</v>
      </c>
      <c r="L219" s="9">
        <f t="shared" si="61"/>
        <v>-0.15808641483798319</v>
      </c>
      <c r="M219" s="9">
        <f>2*(Inputs!$C$9/(Inputs!$C$10^2))*A219</f>
        <v>0.10777777777777778</v>
      </c>
      <c r="N219" s="9">
        <f>M219*Inputs!$C$11</f>
        <v>0.43111111111111111</v>
      </c>
      <c r="O219" s="9">
        <f>1000*((A219*Inputs!$C$11)+(B219*N219))/D219</f>
        <v>904.69223813982865</v>
      </c>
      <c r="P219" s="9">
        <f>-2*O219/Inputs!$C$13</f>
        <v>-361.87689525593146</v>
      </c>
      <c r="Q219" s="9">
        <f>-2*O219/Inputs!$C$14</f>
        <v>-54.335870158548275</v>
      </c>
      <c r="R219" s="9">
        <f>F219-Inputs!$C$16/2</f>
        <v>2052.7416568945596</v>
      </c>
      <c r="S219" s="9">
        <f>F219+Inputs!$C$16/2</f>
        <v>2082.7416568945596</v>
      </c>
      <c r="T219" s="9">
        <f>F219-Inputs!$C$17/2</f>
        <v>1917.7416568945596</v>
      </c>
      <c r="U219" s="9">
        <f>F219+Inputs!$C$17/2</f>
        <v>2217.7416568945596</v>
      </c>
      <c r="V219" s="9">
        <f t="shared" si="62"/>
        <v>361.87689525593146</v>
      </c>
      <c r="W219" s="9">
        <f t="shared" si="63"/>
        <v>54.335870158548275</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0</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0</v>
      </c>
      <c r="Z219" s="9">
        <f t="shared" si="64"/>
        <v>402.61361111111108</v>
      </c>
      <c r="AA219" s="9">
        <f>SQRT(A219^2+Inputs!$C$6^2+(B219-Y219/1000)^2)</f>
        <v>406.2941912603834</v>
      </c>
      <c r="AB219" s="9">
        <f t="shared" si="65"/>
        <v>3680.5801492723162</v>
      </c>
      <c r="AC219" s="9">
        <f>AB219/Inputs!$C$12</f>
        <v>2067.7416568945596</v>
      </c>
      <c r="AD219" s="9">
        <f>2*AB219/Inputs!$C$21*1000000</f>
        <v>24.554187745925994</v>
      </c>
      <c r="AE219" s="9">
        <f t="shared" si="66"/>
        <v>7.7179837858747007</v>
      </c>
      <c r="AF219" s="9">
        <f>DEGREES((2*PI()/Inputs!$C$13)*Inputs!$C$15*SIN(RADIANS(AE219)))</f>
        <v>48.347000974416595</v>
      </c>
      <c r="AG219" s="9">
        <f t="shared" si="67"/>
        <v>0.96425379883690199</v>
      </c>
      <c r="AH219" s="9">
        <f t="shared" si="68"/>
        <v>-0.15808641483798319</v>
      </c>
      <c r="AI219" s="9">
        <f t="shared" si="69"/>
        <v>0</v>
      </c>
      <c r="AJ219" s="9">
        <f t="shared" si="70"/>
        <v>0</v>
      </c>
      <c r="AK219" s="9">
        <f t="shared" si="71"/>
        <v>0</v>
      </c>
      <c r="AL219" s="9">
        <f>1000*(AA220-AA218)/(A220-A218)*Inputs!$C$11</f>
        <v>904.69126198831873</v>
      </c>
      <c r="AM219" s="9">
        <f>-2*AL219/Inputs!$C$13</f>
        <v>-361.87650479532749</v>
      </c>
      <c r="AN219" s="9">
        <f>-2*AL219/Inputs!$C$14</f>
        <v>-54.335811530829957</v>
      </c>
      <c r="AO219" s="9">
        <f t="shared" si="72"/>
        <v>361.87650479532749</v>
      </c>
      <c r="AP219" s="9">
        <f t="shared" si="73"/>
        <v>54.335811530829957</v>
      </c>
      <c r="AQ219" s="9">
        <f>IF(OR(Inputs!$C$27=TRUE,Inputs!$C$27="TRUE",Inputs!$C$27=1),Inputs!$C$46/Inputs!$C$12,0)</f>
        <v>0</v>
      </c>
      <c r="AR219" s="9">
        <f t="shared" si="74"/>
        <v>2067.7416568945596</v>
      </c>
      <c r="AS219" s="9">
        <f t="shared" si="75"/>
        <v>2067.7416568945596</v>
      </c>
    </row>
    <row r="220" spans="1:45">
      <c r="A220" s="9">
        <f>Inputs!$C$7+218*(Inputs!$C$8-Inputs!$C$7)/240</f>
        <v>49</v>
      </c>
      <c r="B220" s="9">
        <f>Inputs!$C$5+Inputs!$C$9*(A220/Inputs!$C$10)^2</f>
        <v>402.66777777777776</v>
      </c>
      <c r="C220" s="9">
        <f t="shared" si="57"/>
        <v>402.66777777777776</v>
      </c>
      <c r="D220" s="9">
        <f>SQRT(A220^2+Inputs!$C$6^2+B220^2)</f>
        <v>406.40784842383863</v>
      </c>
      <c r="E220" s="9">
        <f t="shared" si="58"/>
        <v>3740.0706460608717</v>
      </c>
      <c r="F220" s="9">
        <f>E220/Inputs!$C$12</f>
        <v>2101.1632843038606</v>
      </c>
      <c r="G220" s="9">
        <f>2*E220/Inputs!$C$21*1000000</f>
        <v>24.951065620609253</v>
      </c>
      <c r="H220" s="9">
        <f>SQRT(A220^2+Inputs!$C$6^2)</f>
        <v>55.009090157900268</v>
      </c>
      <c r="I220" s="9">
        <f t="shared" si="59"/>
        <v>7.7791135702335419</v>
      </c>
      <c r="J220" s="9">
        <f>DEGREES((2*PI()/Inputs!$C$13)*Inputs!$C$15*SIN(RADIANS(I220)))</f>
        <v>48.727583715832836</v>
      </c>
      <c r="K220" s="9">
        <f t="shared" si="60"/>
        <v>0.96369402543176241</v>
      </c>
      <c r="L220" s="9">
        <f t="shared" si="61"/>
        <v>-0.16060833482709827</v>
      </c>
      <c r="M220" s="9">
        <f>2*(Inputs!$C$9/(Inputs!$C$10^2))*A220</f>
        <v>0.10888888888888888</v>
      </c>
      <c r="N220" s="9">
        <f>M220*Inputs!$C$11</f>
        <v>0.43555555555555553</v>
      </c>
      <c r="O220" s="9">
        <f>1000*((A220*Inputs!$C$11)+(B220*N220))/D220</f>
        <v>913.82139664539193</v>
      </c>
      <c r="P220" s="9">
        <f>-2*O220/Inputs!$C$13</f>
        <v>-365.52855865815678</v>
      </c>
      <c r="Q220" s="9">
        <f>-2*O220/Inputs!$C$14</f>
        <v>-54.884167966690214</v>
      </c>
      <c r="R220" s="9">
        <f>F220-Inputs!$C$16/2</f>
        <v>2086.1632843038606</v>
      </c>
      <c r="S220" s="9">
        <f>F220+Inputs!$C$16/2</f>
        <v>2116.1632843038606</v>
      </c>
      <c r="T220" s="9">
        <f>F220-Inputs!$C$17/2</f>
        <v>1951.1632843038606</v>
      </c>
      <c r="U220" s="9">
        <f>F220+Inputs!$C$17/2</f>
        <v>2251.1632843038606</v>
      </c>
      <c r="V220" s="9">
        <f t="shared" si="62"/>
        <v>365.52855865815678</v>
      </c>
      <c r="W220" s="9">
        <f t="shared" si="63"/>
        <v>54.884167966690214</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0</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0</v>
      </c>
      <c r="Z220" s="9">
        <f t="shared" si="64"/>
        <v>402.66777777777776</v>
      </c>
      <c r="AA220" s="9">
        <f>SQRT(A220^2+Inputs!$C$6^2+(B220-Y220/1000)^2)</f>
        <v>406.40784842383863</v>
      </c>
      <c r="AB220" s="9">
        <f t="shared" si="65"/>
        <v>3740.0706460608717</v>
      </c>
      <c r="AC220" s="9">
        <f>AB220/Inputs!$C$12</f>
        <v>2101.1632843038606</v>
      </c>
      <c r="AD220" s="9">
        <f>2*AB220/Inputs!$C$21*1000000</f>
        <v>24.951065620609253</v>
      </c>
      <c r="AE220" s="9">
        <f t="shared" si="66"/>
        <v>7.7791135702335419</v>
      </c>
      <c r="AF220" s="9">
        <f>DEGREES((2*PI()/Inputs!$C$13)*Inputs!$C$15*SIN(RADIANS(AE220)))</f>
        <v>48.727583715832836</v>
      </c>
      <c r="AG220" s="9">
        <f t="shared" si="67"/>
        <v>0.96369402543176241</v>
      </c>
      <c r="AH220" s="9">
        <f t="shared" si="68"/>
        <v>-0.16060833482709827</v>
      </c>
      <c r="AI220" s="9">
        <f t="shared" si="69"/>
        <v>0</v>
      </c>
      <c r="AJ220" s="9">
        <f t="shared" si="70"/>
        <v>0</v>
      </c>
      <c r="AK220" s="9">
        <f t="shared" si="71"/>
        <v>0</v>
      </c>
      <c r="AL220" s="9">
        <f>1000*(AA221-AA219)/(A221-A219)*Inputs!$C$11</f>
        <v>913.82041181077511</v>
      </c>
      <c r="AM220" s="9">
        <f>-2*AL220/Inputs!$C$13</f>
        <v>-365.52816472431005</v>
      </c>
      <c r="AN220" s="9">
        <f>-2*AL220/Inputs!$C$14</f>
        <v>-54.884108817463975</v>
      </c>
      <c r="AO220" s="9">
        <f t="shared" si="72"/>
        <v>365.52816472431005</v>
      </c>
      <c r="AP220" s="9">
        <f t="shared" si="73"/>
        <v>54.884108817463975</v>
      </c>
      <c r="AQ220" s="9">
        <f>IF(OR(Inputs!$C$27=TRUE,Inputs!$C$27="TRUE",Inputs!$C$27=1),Inputs!$C$46/Inputs!$C$12,0)</f>
        <v>0</v>
      </c>
      <c r="AR220" s="9">
        <f t="shared" si="74"/>
        <v>2101.1632843038606</v>
      </c>
      <c r="AS220" s="9">
        <f t="shared" si="75"/>
        <v>2101.1632843038606</v>
      </c>
    </row>
    <row r="221" spans="1:45">
      <c r="A221" s="9">
        <f>Inputs!$C$7+219*(Inputs!$C$8-Inputs!$C$7)/240</f>
        <v>49.5</v>
      </c>
      <c r="B221" s="9">
        <f>Inputs!$C$5+Inputs!$C$9*(A221/Inputs!$C$10)^2</f>
        <v>402.72250000000003</v>
      </c>
      <c r="C221" s="9">
        <f t="shared" si="57"/>
        <v>402.72250000000003</v>
      </c>
      <c r="D221" s="9">
        <f>SQRT(A221^2+Inputs!$C$6^2+B221^2)</f>
        <v>406.52264636333609</v>
      </c>
      <c r="E221" s="9">
        <f t="shared" si="58"/>
        <v>3800.1463633360686</v>
      </c>
      <c r="F221" s="9">
        <f>E221/Inputs!$C$12</f>
        <v>2134.9136872674544</v>
      </c>
      <c r="G221" s="9">
        <f>2*E221/Inputs!$C$21*1000000</f>
        <v>25.351847666134873</v>
      </c>
      <c r="H221" s="9">
        <f>SQRT(A221^2+Inputs!$C$6^2)</f>
        <v>55.454936660319071</v>
      </c>
      <c r="I221" s="9">
        <f t="shared" si="59"/>
        <v>7.8403294918744804</v>
      </c>
      <c r="J221" s="9">
        <f>DEGREES((2*PI()/Inputs!$C$13)*Inputs!$C$15*SIN(RADIANS(I221)))</f>
        <v>49.108647147475075</v>
      </c>
      <c r="K221" s="9">
        <f t="shared" si="60"/>
        <v>0.96312931224668208</v>
      </c>
      <c r="L221" s="9">
        <f t="shared" si="61"/>
        <v>-0.16315399453927437</v>
      </c>
      <c r="M221" s="9">
        <f>2*(Inputs!$C$9/(Inputs!$C$10^2))*A221</f>
        <v>0.11</v>
      </c>
      <c r="N221" s="9">
        <f>M221*Inputs!$C$11</f>
        <v>0.44</v>
      </c>
      <c r="O221" s="9">
        <f>1000*((A221*Inputs!$C$11)+(B221*N221))/D221</f>
        <v>922.94464615056381</v>
      </c>
      <c r="P221" s="9">
        <f>-2*O221/Inputs!$C$13</f>
        <v>-369.17785846022554</v>
      </c>
      <c r="Q221" s="9">
        <f>-2*O221/Inputs!$C$14</f>
        <v>-55.432110879913751</v>
      </c>
      <c r="R221" s="9">
        <f>F221-Inputs!$C$16/2</f>
        <v>2119.9136872674544</v>
      </c>
      <c r="S221" s="9">
        <f>F221+Inputs!$C$16/2</f>
        <v>2149.9136872674544</v>
      </c>
      <c r="T221" s="9">
        <f>F221-Inputs!$C$17/2</f>
        <v>1984.9136872674544</v>
      </c>
      <c r="U221" s="9">
        <f>F221+Inputs!$C$17/2</f>
        <v>2284.9136872674544</v>
      </c>
      <c r="V221" s="9">
        <f t="shared" si="62"/>
        <v>369.17785846022554</v>
      </c>
      <c r="W221" s="9">
        <f t="shared" si="63"/>
        <v>55.432110879913751</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0</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0</v>
      </c>
      <c r="Z221" s="9">
        <f t="shared" si="64"/>
        <v>402.72250000000003</v>
      </c>
      <c r="AA221" s="9">
        <f>SQRT(A221^2+Inputs!$C$6^2+(B221-Y221/1000)^2)</f>
        <v>406.52264636333609</v>
      </c>
      <c r="AB221" s="9">
        <f t="shared" si="65"/>
        <v>3800.1463633360686</v>
      </c>
      <c r="AC221" s="9">
        <f>AB221/Inputs!$C$12</f>
        <v>2134.9136872674544</v>
      </c>
      <c r="AD221" s="9">
        <f>2*AB221/Inputs!$C$21*1000000</f>
        <v>25.351847666134873</v>
      </c>
      <c r="AE221" s="9">
        <f t="shared" si="66"/>
        <v>7.8403294918744804</v>
      </c>
      <c r="AF221" s="9">
        <f>DEGREES((2*PI()/Inputs!$C$13)*Inputs!$C$15*SIN(RADIANS(AE221)))</f>
        <v>49.108647147475075</v>
      </c>
      <c r="AG221" s="9">
        <f t="shared" si="67"/>
        <v>0.96312931224668208</v>
      </c>
      <c r="AH221" s="9">
        <f t="shared" si="68"/>
        <v>-0.16315399453927437</v>
      </c>
      <c r="AI221" s="9">
        <f t="shared" si="69"/>
        <v>0</v>
      </c>
      <c r="AJ221" s="9">
        <f t="shared" si="70"/>
        <v>0</v>
      </c>
      <c r="AK221" s="9">
        <f t="shared" si="71"/>
        <v>0</v>
      </c>
      <c r="AL221" s="9">
        <f>1000*(AA222-AA220)/(A222-A220)*Inputs!$C$11</f>
        <v>922.94365267252942</v>
      </c>
      <c r="AM221" s="9">
        <f>-2*AL221/Inputs!$C$13</f>
        <v>-369.17746106901177</v>
      </c>
      <c r="AN221" s="9">
        <f>-2*AL221/Inputs!$C$14</f>
        <v>-55.432051211563333</v>
      </c>
      <c r="AO221" s="9">
        <f t="shared" si="72"/>
        <v>369.17746106901177</v>
      </c>
      <c r="AP221" s="9">
        <f t="shared" si="73"/>
        <v>55.432051211563333</v>
      </c>
      <c r="AQ221" s="9">
        <f>IF(OR(Inputs!$C$27=TRUE,Inputs!$C$27="TRUE",Inputs!$C$27=1),Inputs!$C$46/Inputs!$C$12,0)</f>
        <v>0</v>
      </c>
      <c r="AR221" s="9">
        <f t="shared" si="74"/>
        <v>2134.9136872674544</v>
      </c>
      <c r="AS221" s="9">
        <f t="shared" si="75"/>
        <v>2134.9136872674544</v>
      </c>
    </row>
    <row r="222" spans="1:45">
      <c r="A222" s="9">
        <f>Inputs!$C$7+220*(Inputs!$C$8-Inputs!$C$7)/240</f>
        <v>50</v>
      </c>
      <c r="B222" s="9">
        <f>Inputs!$C$5+Inputs!$C$9*(A222/Inputs!$C$10)^2</f>
        <v>402.77777777777777</v>
      </c>
      <c r="C222" s="9">
        <f t="shared" si="57"/>
        <v>402.77777777777777</v>
      </c>
      <c r="D222" s="9">
        <f>SQRT(A222^2+Inputs!$C$6^2+B222^2)</f>
        <v>406.63858433700676</v>
      </c>
      <c r="E222" s="9">
        <f t="shared" si="58"/>
        <v>3860.8065592289904</v>
      </c>
      <c r="F222" s="9">
        <f>E222/Inputs!$C$12</f>
        <v>2168.9924490050507</v>
      </c>
      <c r="G222" s="9">
        <f>2*E222/Inputs!$C$21*1000000</f>
        <v>25.756528933286177</v>
      </c>
      <c r="H222" s="9">
        <f>SQRT(A222^2+Inputs!$C$6^2)</f>
        <v>55.901699437494742</v>
      </c>
      <c r="I222" s="9">
        <f t="shared" si="59"/>
        <v>7.9016278972643068</v>
      </c>
      <c r="J222" s="9">
        <f>DEGREES((2*PI()/Inputs!$C$13)*Inputs!$C$15*SIN(RADIANS(I222)))</f>
        <v>49.490167860754674</v>
      </c>
      <c r="K222" s="9">
        <f t="shared" si="60"/>
        <v>0.96255968220877342</v>
      </c>
      <c r="L222" s="9">
        <f t="shared" si="61"/>
        <v>-0.16572333143757845</v>
      </c>
      <c r="M222" s="9">
        <f>2*(Inputs!$C$9/(Inputs!$C$10^2))*A222</f>
        <v>0.1111111111111111</v>
      </c>
      <c r="N222" s="9">
        <f>M222*Inputs!$C$11</f>
        <v>0.44444444444444442</v>
      </c>
      <c r="O222" s="9">
        <f>1000*((A222*Inputs!$C$11)+(B222*N222))/D222</f>
        <v>932.061934793923</v>
      </c>
      <c r="P222" s="9">
        <f>-2*O222/Inputs!$C$13</f>
        <v>-372.82477391756919</v>
      </c>
      <c r="Q222" s="9">
        <f>-2*O222/Inputs!$C$14</f>
        <v>-55.979695783418805</v>
      </c>
      <c r="R222" s="9">
        <f>F222-Inputs!$C$16/2</f>
        <v>2153.9924490050507</v>
      </c>
      <c r="S222" s="9">
        <f>F222+Inputs!$C$16/2</f>
        <v>2183.9924490050507</v>
      </c>
      <c r="T222" s="9">
        <f>F222-Inputs!$C$17/2</f>
        <v>2018.9924490050507</v>
      </c>
      <c r="U222" s="9">
        <f>F222+Inputs!$C$17/2</f>
        <v>2318.9924490050507</v>
      </c>
      <c r="V222" s="9">
        <f t="shared" si="62"/>
        <v>372.82477391756919</v>
      </c>
      <c r="W222" s="9">
        <f t="shared" si="63"/>
        <v>55.979695783418805</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0</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0</v>
      </c>
      <c r="Z222" s="9">
        <f t="shared" si="64"/>
        <v>402.77777777777777</v>
      </c>
      <c r="AA222" s="9">
        <f>SQRT(A222^2+Inputs!$C$6^2+(B222-Y222/1000)^2)</f>
        <v>406.63858433700676</v>
      </c>
      <c r="AB222" s="9">
        <f t="shared" si="65"/>
        <v>3860.8065592289904</v>
      </c>
      <c r="AC222" s="9">
        <f>AB222/Inputs!$C$12</f>
        <v>2168.9924490050507</v>
      </c>
      <c r="AD222" s="9">
        <f>2*AB222/Inputs!$C$21*1000000</f>
        <v>25.756528933286177</v>
      </c>
      <c r="AE222" s="9">
        <f t="shared" si="66"/>
        <v>7.9016278972643068</v>
      </c>
      <c r="AF222" s="9">
        <f>DEGREES((2*PI()/Inputs!$C$13)*Inputs!$C$15*SIN(RADIANS(AE222)))</f>
        <v>49.490167860754674</v>
      </c>
      <c r="AG222" s="9">
        <f t="shared" si="67"/>
        <v>0.96255968220877342</v>
      </c>
      <c r="AH222" s="9">
        <f t="shared" si="68"/>
        <v>-0.16572333143757845</v>
      </c>
      <c r="AI222" s="9">
        <f t="shared" si="69"/>
        <v>0</v>
      </c>
      <c r="AJ222" s="9">
        <f t="shared" si="70"/>
        <v>0</v>
      </c>
      <c r="AK222" s="9">
        <f t="shared" si="71"/>
        <v>0</v>
      </c>
      <c r="AL222" s="9">
        <f>1000*(AA223-AA221)/(A223-A221)*Inputs!$C$11</f>
        <v>932.06093271214741</v>
      </c>
      <c r="AM222" s="9">
        <f>-2*AL222/Inputs!$C$13</f>
        <v>-372.82437308485896</v>
      </c>
      <c r="AN222" s="9">
        <f>-2*AL222/Inputs!$C$14</f>
        <v>-55.979635598327178</v>
      </c>
      <c r="AO222" s="9">
        <f t="shared" si="72"/>
        <v>372.82437308485896</v>
      </c>
      <c r="AP222" s="9">
        <f t="shared" si="73"/>
        <v>55.979635598327178</v>
      </c>
      <c r="AQ222" s="9">
        <f>IF(OR(Inputs!$C$27=TRUE,Inputs!$C$27="TRUE",Inputs!$C$27=1),Inputs!$C$46/Inputs!$C$12,0)</f>
        <v>0</v>
      </c>
      <c r="AR222" s="9">
        <f t="shared" si="74"/>
        <v>2168.9924490050507</v>
      </c>
      <c r="AS222" s="9">
        <f t="shared" si="75"/>
        <v>2168.9924490050507</v>
      </c>
    </row>
    <row r="223" spans="1:45">
      <c r="A223" s="9">
        <f>Inputs!$C$7+221*(Inputs!$C$8-Inputs!$C$7)/240</f>
        <v>50.5</v>
      </c>
      <c r="B223" s="9">
        <f>Inputs!$C$5+Inputs!$C$9*(A223/Inputs!$C$10)^2</f>
        <v>402.83361111111111</v>
      </c>
      <c r="C223" s="9">
        <f t="shared" si="57"/>
        <v>402.83361111111111</v>
      </c>
      <c r="D223" s="9">
        <f>SQRT(A223^2+Inputs!$C$6^2+B223^2)</f>
        <v>406.75566159651413</v>
      </c>
      <c r="E223" s="9">
        <f t="shared" si="58"/>
        <v>3922.0504854030196</v>
      </c>
      <c r="F223" s="9">
        <f>E223/Inputs!$C$12</f>
        <v>2203.39914910282</v>
      </c>
      <c r="G223" s="9">
        <f>2*E223/Inputs!$C$21*1000000</f>
        <v>26.165104429698626</v>
      </c>
      <c r="H223" s="9">
        <f>SQRT(A223^2+Inputs!$C$6^2)</f>
        <v>56.349356695529366</v>
      </c>
      <c r="I223" s="9">
        <f t="shared" si="59"/>
        <v>7.9630052297803147</v>
      </c>
      <c r="J223" s="9">
        <f>DEGREES((2*PI()/Inputs!$C$13)*Inputs!$C$15*SIN(RADIANS(I223)))</f>
        <v>49.87212305974802</v>
      </c>
      <c r="K223" s="9">
        <f t="shared" si="60"/>
        <v>0.96198515840048304</v>
      </c>
      <c r="L223" s="9">
        <f t="shared" si="61"/>
        <v>-0.16831628247524291</v>
      </c>
      <c r="M223" s="9">
        <f>2*(Inputs!$C$9/(Inputs!$C$10^2))*A223</f>
        <v>0.11222222222222222</v>
      </c>
      <c r="N223" s="9">
        <f>M223*Inputs!$C$11</f>
        <v>0.44888888888888889</v>
      </c>
      <c r="O223" s="9">
        <f>1000*((A223*Inputs!$C$11)+(B223*N223))/D223</f>
        <v>941.17321095462853</v>
      </c>
      <c r="P223" s="9">
        <f>-2*O223/Inputs!$C$13</f>
        <v>-376.46928438185142</v>
      </c>
      <c r="Q223" s="9">
        <f>-2*O223/Inputs!$C$14</f>
        <v>-56.526919576854574</v>
      </c>
      <c r="R223" s="9">
        <f>F223-Inputs!$C$16/2</f>
        <v>2188.39914910282</v>
      </c>
      <c r="S223" s="9">
        <f>F223+Inputs!$C$16/2</f>
        <v>2218.39914910282</v>
      </c>
      <c r="T223" s="9">
        <f>F223-Inputs!$C$17/2</f>
        <v>2053.39914910282</v>
      </c>
      <c r="U223" s="9">
        <f>F223+Inputs!$C$17/2</f>
        <v>2353.39914910282</v>
      </c>
      <c r="V223" s="9">
        <f t="shared" si="62"/>
        <v>376.46928438185142</v>
      </c>
      <c r="W223" s="9">
        <f t="shared" si="63"/>
        <v>56.526919576854574</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0</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0</v>
      </c>
      <c r="Z223" s="9">
        <f t="shared" si="64"/>
        <v>402.83361111111111</v>
      </c>
      <c r="AA223" s="9">
        <f>SQRT(A223^2+Inputs!$C$6^2+(B223-Y223/1000)^2)</f>
        <v>406.75566159651413</v>
      </c>
      <c r="AB223" s="9">
        <f t="shared" si="65"/>
        <v>3922.0504854030196</v>
      </c>
      <c r="AC223" s="9">
        <f>AB223/Inputs!$C$12</f>
        <v>2203.39914910282</v>
      </c>
      <c r="AD223" s="9">
        <f>2*AB223/Inputs!$C$21*1000000</f>
        <v>26.165104429698626</v>
      </c>
      <c r="AE223" s="9">
        <f t="shared" si="66"/>
        <v>7.9630052297803147</v>
      </c>
      <c r="AF223" s="9">
        <f>DEGREES((2*PI()/Inputs!$C$13)*Inputs!$C$15*SIN(RADIANS(AE223)))</f>
        <v>49.87212305974802</v>
      </c>
      <c r="AG223" s="9">
        <f t="shared" si="67"/>
        <v>0.96198515840048304</v>
      </c>
      <c r="AH223" s="9">
        <f t="shared" si="68"/>
        <v>-0.16831628247524291</v>
      </c>
      <c r="AI223" s="9">
        <f t="shared" si="69"/>
        <v>0</v>
      </c>
      <c r="AJ223" s="9">
        <f t="shared" si="70"/>
        <v>0</v>
      </c>
      <c r="AK223" s="9">
        <f t="shared" si="71"/>
        <v>0</v>
      </c>
      <c r="AL223" s="9">
        <f>1000*(AA224-AA222)/(A224-A222)*Inputs!$C$11</f>
        <v>941.17220030966564</v>
      </c>
      <c r="AM223" s="9">
        <f>-2*AL223/Inputs!$C$13</f>
        <v>-376.46888012386626</v>
      </c>
      <c r="AN223" s="9">
        <f>-2*AL223/Inputs!$C$14</f>
        <v>-56.5268588774574</v>
      </c>
      <c r="AO223" s="9">
        <f t="shared" si="72"/>
        <v>376.46888012386626</v>
      </c>
      <c r="AP223" s="9">
        <f t="shared" si="73"/>
        <v>56.5268588774574</v>
      </c>
      <c r="AQ223" s="9">
        <f>IF(OR(Inputs!$C$27=TRUE,Inputs!$C$27="TRUE",Inputs!$C$27=1),Inputs!$C$46/Inputs!$C$12,0)</f>
        <v>0</v>
      </c>
      <c r="AR223" s="9">
        <f t="shared" si="74"/>
        <v>2203.39914910282</v>
      </c>
      <c r="AS223" s="9">
        <f t="shared" si="75"/>
        <v>2203.39914910282</v>
      </c>
    </row>
    <row r="224" spans="1:45">
      <c r="A224" s="9">
        <f>Inputs!$C$7+222*(Inputs!$C$8-Inputs!$C$7)/240</f>
        <v>51</v>
      </c>
      <c r="B224" s="9">
        <f>Inputs!$C$5+Inputs!$C$9*(A224/Inputs!$C$10)^2</f>
        <v>402.89</v>
      </c>
      <c r="C224" s="9">
        <f t="shared" si="57"/>
        <v>402.89</v>
      </c>
      <c r="D224" s="9">
        <f>SQRT(A224^2+Inputs!$C$6^2+B224^2)</f>
        <v>406.87387738708418</v>
      </c>
      <c r="E224" s="9">
        <f t="shared" si="58"/>
        <v>3983.8773870841919</v>
      </c>
      <c r="F224" s="9">
        <f>E224/Inputs!$C$12</f>
        <v>2238.133363530445</v>
      </c>
      <c r="G224" s="9">
        <f>2*E224/Inputs!$C$21*1000000</f>
        <v>26.577569120062332</v>
      </c>
      <c r="H224" s="9">
        <f>SQRT(A224^2+Inputs!$C$6^2)</f>
        <v>56.797887284651708</v>
      </c>
      <c r="I224" s="9">
        <f t="shared" si="59"/>
        <v>8.0244580264682188</v>
      </c>
      <c r="J224" s="9">
        <f>DEGREES((2*PI()/Inputs!$C$13)*Inputs!$C$15*SIN(RADIANS(I224)))</f>
        <v>50.25449054086581</v>
      </c>
      <c r="K224" s="9">
        <f t="shared" si="60"/>
        <v>0.96140576405752864</v>
      </c>
      <c r="L224" s="9">
        <f t="shared" si="61"/>
        <v>-0.17093278409916285</v>
      </c>
      <c r="M224" s="9">
        <f>2*(Inputs!$C$9/(Inputs!$C$10^2))*A224</f>
        <v>0.11333333333333333</v>
      </c>
      <c r="N224" s="9">
        <f>M224*Inputs!$C$11</f>
        <v>0.45333333333333331</v>
      </c>
      <c r="O224" s="9">
        <f>1000*((A224*Inputs!$C$11)+(B224*N224))/D224</f>
        <v>950.2784232540663</v>
      </c>
      <c r="P224" s="9">
        <f>-2*O224/Inputs!$C$13</f>
        <v>-380.1113693016265</v>
      </c>
      <c r="Q224" s="9">
        <f>-2*O224/Inputs!$C$14</f>
        <v>-57.073779174418398</v>
      </c>
      <c r="R224" s="9">
        <f>F224-Inputs!$C$16/2</f>
        <v>2223.133363530445</v>
      </c>
      <c r="S224" s="9">
        <f>F224+Inputs!$C$16/2</f>
        <v>2253.133363530445</v>
      </c>
      <c r="T224" s="9">
        <f>F224-Inputs!$C$17/2</f>
        <v>2088.133363530445</v>
      </c>
      <c r="U224" s="9">
        <f>F224+Inputs!$C$17/2</f>
        <v>2388.133363530445</v>
      </c>
      <c r="V224" s="9">
        <f t="shared" si="62"/>
        <v>380.1113693016265</v>
      </c>
      <c r="W224" s="9">
        <f t="shared" si="63"/>
        <v>57.073779174418398</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0</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0</v>
      </c>
      <c r="Z224" s="9">
        <f t="shared" si="64"/>
        <v>402.89</v>
      </c>
      <c r="AA224" s="9">
        <f>SQRT(A224^2+Inputs!$C$6^2+(B224-Y224/1000)^2)</f>
        <v>406.87387738708418</v>
      </c>
      <c r="AB224" s="9">
        <f t="shared" si="65"/>
        <v>3983.8773870841919</v>
      </c>
      <c r="AC224" s="9">
        <f>AB224/Inputs!$C$12</f>
        <v>2238.133363530445</v>
      </c>
      <c r="AD224" s="9">
        <f>2*AB224/Inputs!$C$21*1000000</f>
        <v>26.577569120062332</v>
      </c>
      <c r="AE224" s="9">
        <f t="shared" si="66"/>
        <v>8.0244580264682188</v>
      </c>
      <c r="AF224" s="9">
        <f>DEGREES((2*PI()/Inputs!$C$13)*Inputs!$C$15*SIN(RADIANS(AE224)))</f>
        <v>50.25449054086581</v>
      </c>
      <c r="AG224" s="9">
        <f t="shared" si="67"/>
        <v>0.96140576405752864</v>
      </c>
      <c r="AH224" s="9">
        <f t="shared" si="68"/>
        <v>-0.17093278409916285</v>
      </c>
      <c r="AI224" s="9">
        <f t="shared" si="69"/>
        <v>0</v>
      </c>
      <c r="AJ224" s="9">
        <f t="shared" si="70"/>
        <v>0</v>
      </c>
      <c r="AK224" s="9">
        <f t="shared" si="71"/>
        <v>0</v>
      </c>
      <c r="AL224" s="9">
        <f>1000*(AA225-AA223)/(A225-A223)*Inputs!$C$11</f>
        <v>950.27740408659156</v>
      </c>
      <c r="AM224" s="9">
        <f>-2*AL224/Inputs!$C$13</f>
        <v>-380.11096163463662</v>
      </c>
      <c r="AN224" s="9">
        <f>-2*AL224/Inputs!$C$14</f>
        <v>-57.073717963158657</v>
      </c>
      <c r="AO224" s="9">
        <f t="shared" si="72"/>
        <v>380.11096163463662</v>
      </c>
      <c r="AP224" s="9">
        <f t="shared" si="73"/>
        <v>57.073717963158657</v>
      </c>
      <c r="AQ224" s="9">
        <f>IF(OR(Inputs!$C$27=TRUE,Inputs!$C$27="TRUE",Inputs!$C$27=1),Inputs!$C$46/Inputs!$C$12,0)</f>
        <v>0</v>
      </c>
      <c r="AR224" s="9">
        <f t="shared" si="74"/>
        <v>2238.133363530445</v>
      </c>
      <c r="AS224" s="9">
        <f t="shared" si="75"/>
        <v>2238.133363530445</v>
      </c>
    </row>
    <row r="225" spans="1:45">
      <c r="A225" s="9">
        <f>Inputs!$C$7+223*(Inputs!$C$8-Inputs!$C$7)/240</f>
        <v>51.5</v>
      </c>
      <c r="B225" s="9">
        <f>Inputs!$C$5+Inputs!$C$9*(A225/Inputs!$C$10)^2</f>
        <v>402.94694444444445</v>
      </c>
      <c r="C225" s="9">
        <f t="shared" si="57"/>
        <v>402.94694444444445</v>
      </c>
      <c r="D225" s="9">
        <f>SQRT(A225^2+Inputs!$C$6^2+B225^2)</f>
        <v>406.99323094753578</v>
      </c>
      <c r="E225" s="9">
        <f t="shared" si="58"/>
        <v>4046.2865030913235</v>
      </c>
      <c r="F225" s="9">
        <f>E225/Inputs!$C$12</f>
        <v>2273.1946646580468</v>
      </c>
      <c r="G225" s="9">
        <f>2*E225/Inputs!$C$21*1000000</f>
        <v>26.993917926323039</v>
      </c>
      <c r="H225" s="9">
        <f>SQRT(A225^2+Inputs!$C$6^2)</f>
        <v>57.247270677299539</v>
      </c>
      <c r="I225" s="9">
        <f t="shared" si="59"/>
        <v>8.0859829149192013</v>
      </c>
      <c r="J225" s="9">
        <f>DEGREES((2*PI()/Inputs!$C$13)*Inputs!$C$15*SIN(RADIANS(I225)))</f>
        <v>50.63724867326966</v>
      </c>
      <c r="K225" s="9">
        <f t="shared" si="60"/>
        <v>0.96082152256683018</v>
      </c>
      <c r="L225" s="9">
        <f t="shared" si="61"/>
        <v>-0.17357277225340542</v>
      </c>
      <c r="M225" s="9">
        <f>2*(Inputs!$C$9/(Inputs!$C$10^2))*A225</f>
        <v>0.11444444444444445</v>
      </c>
      <c r="N225" s="9">
        <f>M225*Inputs!$C$11</f>
        <v>0.45777777777777778</v>
      </c>
      <c r="O225" s="9">
        <f>1000*((A225*Inputs!$C$11)+(B225*N225))/D225</f>
        <v>959.37752055747706</v>
      </c>
      <c r="P225" s="9">
        <f>-2*O225/Inputs!$C$13</f>
        <v>-383.75100822299083</v>
      </c>
      <c r="Q225" s="9">
        <f>-2*O225/Inputs!$C$14</f>
        <v>-57.620271504953578</v>
      </c>
      <c r="R225" s="9">
        <f>F225-Inputs!$C$16/2</f>
        <v>2258.1946646580468</v>
      </c>
      <c r="S225" s="9">
        <f>F225+Inputs!$C$16/2</f>
        <v>2288.1946646580468</v>
      </c>
      <c r="T225" s="9">
        <f>F225-Inputs!$C$17/2</f>
        <v>2123.1946646580468</v>
      </c>
      <c r="U225" s="9">
        <f>F225+Inputs!$C$17/2</f>
        <v>2423.1946646580468</v>
      </c>
      <c r="V225" s="9">
        <f t="shared" si="62"/>
        <v>383.75100822299083</v>
      </c>
      <c r="W225" s="9">
        <f t="shared" si="63"/>
        <v>57.620271504953578</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0</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0</v>
      </c>
      <c r="Z225" s="9">
        <f t="shared" si="64"/>
        <v>402.94694444444445</v>
      </c>
      <c r="AA225" s="9">
        <f>SQRT(A225^2+Inputs!$C$6^2+(B225-Y225/1000)^2)</f>
        <v>406.99323094753578</v>
      </c>
      <c r="AB225" s="9">
        <f t="shared" si="65"/>
        <v>4046.2865030913235</v>
      </c>
      <c r="AC225" s="9">
        <f>AB225/Inputs!$C$12</f>
        <v>2273.1946646580468</v>
      </c>
      <c r="AD225" s="9">
        <f>2*AB225/Inputs!$C$21*1000000</f>
        <v>26.993917926323039</v>
      </c>
      <c r="AE225" s="9">
        <f t="shared" si="66"/>
        <v>8.0859829149192013</v>
      </c>
      <c r="AF225" s="9">
        <f>DEGREES((2*PI()/Inputs!$C$13)*Inputs!$C$15*SIN(RADIANS(AE225)))</f>
        <v>50.63724867326966</v>
      </c>
      <c r="AG225" s="9">
        <f t="shared" si="67"/>
        <v>0.96082152256683018</v>
      </c>
      <c r="AH225" s="9">
        <f t="shared" si="68"/>
        <v>-0.17357277225340542</v>
      </c>
      <c r="AI225" s="9">
        <f t="shared" si="69"/>
        <v>0</v>
      </c>
      <c r="AJ225" s="9">
        <f t="shared" si="70"/>
        <v>0</v>
      </c>
      <c r="AK225" s="9">
        <f t="shared" si="71"/>
        <v>0</v>
      </c>
      <c r="AL225" s="9">
        <f>1000*(AA226-AA224)/(A226-A224)*Inputs!$C$11</f>
        <v>959.37649290863192</v>
      </c>
      <c r="AM225" s="9">
        <f>-2*AL225/Inputs!$C$13</f>
        <v>-383.75059716345277</v>
      </c>
      <c r="AN225" s="9">
        <f>-2*AL225/Inputs!$C$14</f>
        <v>-57.620209784302219</v>
      </c>
      <c r="AO225" s="9">
        <f t="shared" si="72"/>
        <v>383.75059716345277</v>
      </c>
      <c r="AP225" s="9">
        <f t="shared" si="73"/>
        <v>57.620209784302219</v>
      </c>
      <c r="AQ225" s="9">
        <f>IF(OR(Inputs!$C$27=TRUE,Inputs!$C$27="TRUE",Inputs!$C$27=1),Inputs!$C$46/Inputs!$C$12,0)</f>
        <v>0</v>
      </c>
      <c r="AR225" s="9">
        <f t="shared" si="74"/>
        <v>2273.1946646580468</v>
      </c>
      <c r="AS225" s="9">
        <f t="shared" si="75"/>
        <v>2273.1946646580468</v>
      </c>
    </row>
    <row r="226" spans="1:45">
      <c r="A226" s="9">
        <f>Inputs!$C$7+224*(Inputs!$C$8-Inputs!$C$7)/240</f>
        <v>52</v>
      </c>
      <c r="B226" s="9">
        <f>Inputs!$C$5+Inputs!$C$9*(A226/Inputs!$C$10)^2</f>
        <v>403.00444444444446</v>
      </c>
      <c r="C226" s="9">
        <f t="shared" si="57"/>
        <v>403.00444444444446</v>
      </c>
      <c r="D226" s="9">
        <f>SQRT(A226^2+Inputs!$C$6^2+B226^2)</f>
        <v>407.11372151031134</v>
      </c>
      <c r="E226" s="9">
        <f t="shared" si="58"/>
        <v>4109.2770658668769</v>
      </c>
      <c r="F226" s="9">
        <f>E226/Inputs!$C$12</f>
        <v>2308.5826212735265</v>
      </c>
      <c r="G226" s="9">
        <f>2*E226/Inputs!$C$21*1000000</f>
        <v>27.414145727888037</v>
      </c>
      <c r="H226" s="9">
        <f>SQRT(A226^2+Inputs!$C$6^2)</f>
        <v>57.697486947006624</v>
      </c>
      <c r="I226" s="9">
        <f t="shared" si="59"/>
        <v>8.1475766102618188</v>
      </c>
      <c r="J226" s="9">
        <f>DEGREES((2*PI()/Inputs!$C$13)*Inputs!$C$15*SIN(RADIANS(I226)))</f>
        <v>51.020376380009324</v>
      </c>
      <c r="K226" s="9">
        <f t="shared" si="60"/>
        <v>0.96023245746442998</v>
      </c>
      <c r="L226" s="9">
        <f t="shared" si="61"/>
        <v>-0.17623618238275701</v>
      </c>
      <c r="M226" s="9">
        <f>2*(Inputs!$C$9/(Inputs!$C$10^2))*A226</f>
        <v>0.11555555555555555</v>
      </c>
      <c r="N226" s="9">
        <f>M226*Inputs!$C$11</f>
        <v>0.4622222222222222</v>
      </c>
      <c r="O226" s="9">
        <f>1000*((A226*Inputs!$C$11)+(B226*N226))/D226</f>
        <v>968.4704519755594</v>
      </c>
      <c r="P226" s="9">
        <f>-2*O226/Inputs!$C$13</f>
        <v>-387.38818079022377</v>
      </c>
      <c r="Q226" s="9">
        <f>-2*O226/Inputs!$C$14</f>
        <v>-58.166393512045616</v>
      </c>
      <c r="R226" s="9">
        <f>F226-Inputs!$C$16/2</f>
        <v>2293.5826212735265</v>
      </c>
      <c r="S226" s="9">
        <f>F226+Inputs!$C$16/2</f>
        <v>2323.5826212735265</v>
      </c>
      <c r="T226" s="9">
        <f>F226-Inputs!$C$17/2</f>
        <v>2158.5826212735265</v>
      </c>
      <c r="U226" s="9">
        <f>F226+Inputs!$C$17/2</f>
        <v>2458.5826212735265</v>
      </c>
      <c r="V226" s="9">
        <f t="shared" si="62"/>
        <v>387.38818079022377</v>
      </c>
      <c r="W226" s="9">
        <f t="shared" si="63"/>
        <v>58.166393512045616</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0</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0</v>
      </c>
      <c r="Z226" s="9">
        <f t="shared" si="64"/>
        <v>403.00444444444446</v>
      </c>
      <c r="AA226" s="9">
        <f>SQRT(A226^2+Inputs!$C$6^2+(B226-Y226/1000)^2)</f>
        <v>407.11372151031134</v>
      </c>
      <c r="AB226" s="9">
        <f t="shared" si="65"/>
        <v>4109.2770658668769</v>
      </c>
      <c r="AC226" s="9">
        <f>AB226/Inputs!$C$12</f>
        <v>2308.5826212735265</v>
      </c>
      <c r="AD226" s="9">
        <f>2*AB226/Inputs!$C$21*1000000</f>
        <v>27.414145727888037</v>
      </c>
      <c r="AE226" s="9">
        <f t="shared" si="66"/>
        <v>8.1475766102618188</v>
      </c>
      <c r="AF226" s="9">
        <f>DEGREES((2*PI()/Inputs!$C$13)*Inputs!$C$15*SIN(RADIANS(AE226)))</f>
        <v>51.020376380009324</v>
      </c>
      <c r="AG226" s="9">
        <f t="shared" si="67"/>
        <v>0.96023245746442998</v>
      </c>
      <c r="AH226" s="9">
        <f t="shared" si="68"/>
        <v>-0.17623618238275701</v>
      </c>
      <c r="AI226" s="9">
        <f t="shared" si="69"/>
        <v>0</v>
      </c>
      <c r="AJ226" s="9">
        <f t="shared" si="70"/>
        <v>0</v>
      </c>
      <c r="AK226" s="9">
        <f t="shared" si="71"/>
        <v>0</v>
      </c>
      <c r="AL226" s="9">
        <f>1000*(AA227-AA225)/(A227-A225)*Inputs!$C$11</f>
        <v>968.46941588614754</v>
      </c>
      <c r="AM226" s="9">
        <f>-2*AL226/Inputs!$C$13</f>
        <v>-387.38776635445902</v>
      </c>
      <c r="AN226" s="9">
        <f>-2*AL226/Inputs!$C$14</f>
        <v>-58.166331284453314</v>
      </c>
      <c r="AO226" s="9">
        <f t="shared" si="72"/>
        <v>387.38776635445902</v>
      </c>
      <c r="AP226" s="9">
        <f t="shared" si="73"/>
        <v>58.166331284453314</v>
      </c>
      <c r="AQ226" s="9">
        <f>IF(OR(Inputs!$C$27=TRUE,Inputs!$C$27="TRUE",Inputs!$C$27=1),Inputs!$C$46/Inputs!$C$12,0)</f>
        <v>0</v>
      </c>
      <c r="AR226" s="9">
        <f t="shared" si="74"/>
        <v>2308.5826212735265</v>
      </c>
      <c r="AS226" s="9">
        <f t="shared" si="75"/>
        <v>2308.5826212735265</v>
      </c>
    </row>
    <row r="227" spans="1:45">
      <c r="A227" s="9">
        <f>Inputs!$C$7+225*(Inputs!$C$8-Inputs!$C$7)/240</f>
        <v>52.5</v>
      </c>
      <c r="B227" s="9">
        <f>Inputs!$C$5+Inputs!$C$9*(A227/Inputs!$C$10)^2</f>
        <v>403.0625</v>
      </c>
      <c r="C227" s="9">
        <f t="shared" si="57"/>
        <v>403.0625</v>
      </c>
      <c r="D227" s="9">
        <f>SQRT(A227^2+Inputs!$C$6^2+B227^2)</f>
        <v>407.23534830150732</v>
      </c>
      <c r="E227" s="9">
        <f t="shared" si="58"/>
        <v>4172.8483015073152</v>
      </c>
      <c r="F227" s="9">
        <f>E227/Inputs!$C$12</f>
        <v>2344.2967985996152</v>
      </c>
      <c r="G227" s="9">
        <f>2*E227/Inputs!$C$21*1000000</f>
        <v>27.838247361828664</v>
      </c>
      <c r="H227" s="9">
        <f>SQRT(A227^2+Inputs!$C$6^2)</f>
        <v>58.148516748065035</v>
      </c>
      <c r="I227" s="9">
        <f t="shared" si="59"/>
        <v>8.2092359122645995</v>
      </c>
      <c r="J227" s="9">
        <f>DEGREES((2*PI()/Inputs!$C$13)*Inputs!$C$15*SIN(RADIANS(I227)))</f>
        <v>51.403853119854354</v>
      </c>
      <c r="K227" s="9">
        <f t="shared" si="60"/>
        <v>0.95963859243341143</v>
      </c>
      <c r="L227" s="9">
        <f t="shared" si="61"/>
        <v>-0.17892294943626574</v>
      </c>
      <c r="M227" s="9">
        <f>2*(Inputs!$C$9/(Inputs!$C$10^2))*A227</f>
        <v>0.11666666666666667</v>
      </c>
      <c r="N227" s="9">
        <f>M227*Inputs!$C$11</f>
        <v>0.46666666666666667</v>
      </c>
      <c r="O227" s="9">
        <f>1000*((A227*Inputs!$C$11)+(B227*N227))/D227</f>
        <v>977.55716686605672</v>
      </c>
      <c r="P227" s="9">
        <f>-2*O227/Inputs!$C$13</f>
        <v>-391.02286674642266</v>
      </c>
      <c r="Q227" s="9">
        <f>-2*O227/Inputs!$C$14</f>
        <v>-58.712142154117522</v>
      </c>
      <c r="R227" s="9">
        <f>F227-Inputs!$C$16/2</f>
        <v>2329.2967985996152</v>
      </c>
      <c r="S227" s="9">
        <f>F227+Inputs!$C$16/2</f>
        <v>2359.2967985996152</v>
      </c>
      <c r="T227" s="9">
        <f>F227-Inputs!$C$17/2</f>
        <v>2194.2967985996152</v>
      </c>
      <c r="U227" s="9">
        <f>F227+Inputs!$C$17/2</f>
        <v>2494.2967985996152</v>
      </c>
      <c r="V227" s="9">
        <f t="shared" si="62"/>
        <v>391.02286674642266</v>
      </c>
      <c r="W227" s="9">
        <f t="shared" si="63"/>
        <v>58.712142154117522</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0</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0</v>
      </c>
      <c r="Z227" s="9">
        <f t="shared" si="64"/>
        <v>403.0625</v>
      </c>
      <c r="AA227" s="9">
        <f>SQRT(A227^2+Inputs!$C$6^2+(B227-Y227/1000)^2)</f>
        <v>407.23534830150732</v>
      </c>
      <c r="AB227" s="9">
        <f t="shared" si="65"/>
        <v>4172.8483015073152</v>
      </c>
      <c r="AC227" s="9">
        <f>AB227/Inputs!$C$12</f>
        <v>2344.2967985996152</v>
      </c>
      <c r="AD227" s="9">
        <f>2*AB227/Inputs!$C$21*1000000</f>
        <v>27.838247361828664</v>
      </c>
      <c r="AE227" s="9">
        <f t="shared" si="66"/>
        <v>8.2092359122645995</v>
      </c>
      <c r="AF227" s="9">
        <f>DEGREES((2*PI()/Inputs!$C$13)*Inputs!$C$15*SIN(RADIANS(AE227)))</f>
        <v>51.403853119854354</v>
      </c>
      <c r="AG227" s="9">
        <f t="shared" si="67"/>
        <v>0.95963859243341143</v>
      </c>
      <c r="AH227" s="9">
        <f t="shared" si="68"/>
        <v>-0.17892294943626574</v>
      </c>
      <c r="AI227" s="9">
        <f t="shared" si="69"/>
        <v>0</v>
      </c>
      <c r="AJ227" s="9">
        <f t="shared" si="70"/>
        <v>0</v>
      </c>
      <c r="AK227" s="9">
        <f t="shared" si="71"/>
        <v>0</v>
      </c>
      <c r="AL227" s="9">
        <f>1000*(AA228-AA226)/(A228-A226)*Inputs!$C$11</f>
        <v>977.55612237779133</v>
      </c>
      <c r="AM227" s="9">
        <f>-2*AL227/Inputs!$C$13</f>
        <v>-391.02244895111653</v>
      </c>
      <c r="AN227" s="9">
        <f>-2*AL227/Inputs!$C$14</f>
        <v>-58.712079422089573</v>
      </c>
      <c r="AO227" s="9">
        <f t="shared" si="72"/>
        <v>391.02244895111653</v>
      </c>
      <c r="AP227" s="9">
        <f t="shared" si="73"/>
        <v>58.712079422089573</v>
      </c>
      <c r="AQ227" s="9">
        <f>IF(OR(Inputs!$C$27=TRUE,Inputs!$C$27="TRUE",Inputs!$C$27=1),Inputs!$C$46/Inputs!$C$12,0)</f>
        <v>0</v>
      </c>
      <c r="AR227" s="9">
        <f t="shared" si="74"/>
        <v>2344.2967985996152</v>
      </c>
      <c r="AS227" s="9">
        <f t="shared" si="75"/>
        <v>2344.2967985996152</v>
      </c>
    </row>
    <row r="228" spans="1:45">
      <c r="A228" s="9">
        <f>Inputs!$C$7+226*(Inputs!$C$8-Inputs!$C$7)/240</f>
        <v>53</v>
      </c>
      <c r="B228" s="9">
        <f>Inputs!$C$5+Inputs!$C$9*(A228/Inputs!$C$10)^2</f>
        <v>403.12111111111113</v>
      </c>
      <c r="C228" s="9">
        <f t="shared" si="57"/>
        <v>403.12111111111113</v>
      </c>
      <c r="D228" s="9">
        <f>SQRT(A228^2+Inputs!$C$6^2+B228^2)</f>
        <v>407.35811054090578</v>
      </c>
      <c r="E228" s="9">
        <f t="shared" si="58"/>
        <v>4236.9994297946505</v>
      </c>
      <c r="F228" s="9">
        <f>E228/Inputs!$C$12</f>
        <v>2380.3367583116014</v>
      </c>
      <c r="G228" s="9">
        <f>2*E228/Inputs!$C$21*1000000</f>
        <v>28.266217623090775</v>
      </c>
      <c r="H228" s="9">
        <f>SQRT(A228^2+Inputs!$C$6^2)</f>
        <v>58.600341295934449</v>
      </c>
      <c r="I228" s="9">
        <f t="shared" si="59"/>
        <v>8.2709577025452408</v>
      </c>
      <c r="J228" s="9">
        <f>DEGREES((2*PI()/Inputs!$C$13)*Inputs!$C$15*SIN(RADIANS(I228)))</f>
        <v>51.787658869794335</v>
      </c>
      <c r="K228" s="9">
        <f t="shared" si="60"/>
        <v>0.95903995130180419</v>
      </c>
      <c r="L228" s="9">
        <f t="shared" si="61"/>
        <v>-0.18163300787083425</v>
      </c>
      <c r="M228" s="9">
        <f>2*(Inputs!$C$9/(Inputs!$C$10^2))*A228</f>
        <v>0.11777777777777777</v>
      </c>
      <c r="N228" s="9">
        <f>M228*Inputs!$C$11</f>
        <v>0.47111111111111109</v>
      </c>
      <c r="O228" s="9">
        <f>1000*((A228*Inputs!$C$11)+(B228*N228))/D228</f>
        <v>986.63761483531846</v>
      </c>
      <c r="P228" s="9">
        <f>-2*O228/Inputs!$C$13</f>
        <v>-394.65504593412737</v>
      </c>
      <c r="Q228" s="9">
        <f>-2*O228/Inputs!$C$14</f>
        <v>-59.257514404523633</v>
      </c>
      <c r="R228" s="9">
        <f>F228-Inputs!$C$16/2</f>
        <v>2365.3367583116014</v>
      </c>
      <c r="S228" s="9">
        <f>F228+Inputs!$C$16/2</f>
        <v>2395.3367583116014</v>
      </c>
      <c r="T228" s="9">
        <f>F228-Inputs!$C$17/2</f>
        <v>2230.3367583116014</v>
      </c>
      <c r="U228" s="9">
        <f>F228+Inputs!$C$17/2</f>
        <v>2530.3367583116014</v>
      </c>
      <c r="V228" s="9">
        <f t="shared" si="62"/>
        <v>394.65504593412737</v>
      </c>
      <c r="W228" s="9">
        <f t="shared" si="63"/>
        <v>59.257514404523633</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0</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0</v>
      </c>
      <c r="Z228" s="9">
        <f t="shared" si="64"/>
        <v>403.12111111111113</v>
      </c>
      <c r="AA228" s="9">
        <f>SQRT(A228^2+Inputs!$C$6^2+(B228-Y228/1000)^2)</f>
        <v>407.35811054090578</v>
      </c>
      <c r="AB228" s="9">
        <f t="shared" si="65"/>
        <v>4236.9994297946505</v>
      </c>
      <c r="AC228" s="9">
        <f>AB228/Inputs!$C$12</f>
        <v>2380.3367583116014</v>
      </c>
      <c r="AD228" s="9">
        <f>2*AB228/Inputs!$C$21*1000000</f>
        <v>28.266217623090775</v>
      </c>
      <c r="AE228" s="9">
        <f t="shared" si="66"/>
        <v>8.2709577025452408</v>
      </c>
      <c r="AF228" s="9">
        <f>DEGREES((2*PI()/Inputs!$C$13)*Inputs!$C$15*SIN(RADIANS(AE228)))</f>
        <v>51.787658869794335</v>
      </c>
      <c r="AG228" s="9">
        <f t="shared" si="67"/>
        <v>0.95903995130180419</v>
      </c>
      <c r="AH228" s="9">
        <f t="shared" si="68"/>
        <v>-0.18163300787083425</v>
      </c>
      <c r="AI228" s="9">
        <f t="shared" si="69"/>
        <v>0</v>
      </c>
      <c r="AJ228" s="9">
        <f t="shared" si="70"/>
        <v>0</v>
      </c>
      <c r="AK228" s="9">
        <f t="shared" si="71"/>
        <v>0</v>
      </c>
      <c r="AL228" s="9">
        <f>1000*(AA229-AA227)/(A229-A227)*Inputs!$C$11</f>
        <v>986.63656199005345</v>
      </c>
      <c r="AM228" s="9">
        <f>-2*AL228/Inputs!$C$13</f>
        <v>-394.65462479602138</v>
      </c>
      <c r="AN228" s="9">
        <f>-2*AL228/Inputs!$C$14</f>
        <v>-59.257451170573788</v>
      </c>
      <c r="AO228" s="9">
        <f t="shared" si="72"/>
        <v>394.65462479602138</v>
      </c>
      <c r="AP228" s="9">
        <f t="shared" si="73"/>
        <v>59.257451170573788</v>
      </c>
      <c r="AQ228" s="9">
        <f>IF(OR(Inputs!$C$27=TRUE,Inputs!$C$27="TRUE",Inputs!$C$27=1),Inputs!$C$46/Inputs!$C$12,0)</f>
        <v>0</v>
      </c>
      <c r="AR228" s="9">
        <f t="shared" si="74"/>
        <v>2380.3367583116014</v>
      </c>
      <c r="AS228" s="9">
        <f t="shared" si="75"/>
        <v>2380.3367583116014</v>
      </c>
    </row>
    <row r="229" spans="1:45">
      <c r="A229" s="9">
        <f>Inputs!$C$7+227*(Inputs!$C$8-Inputs!$C$7)/240</f>
        <v>53.5</v>
      </c>
      <c r="B229" s="9">
        <f>Inputs!$C$5+Inputs!$C$9*(A229/Inputs!$C$10)^2</f>
        <v>403.1802777777778</v>
      </c>
      <c r="C229" s="9">
        <f t="shared" si="57"/>
        <v>403.1802777777778</v>
      </c>
      <c r="D229" s="9">
        <f>SQRT(A229^2+Inputs!$C$6^2+B229^2)</f>
        <v>407.48200744200483</v>
      </c>
      <c r="E229" s="9">
        <f t="shared" si="58"/>
        <v>4301.7296642270248</v>
      </c>
      <c r="F229" s="9">
        <f>E229/Inputs!$C$12</f>
        <v>2416.7020585545083</v>
      </c>
      <c r="G229" s="9">
        <f>2*E229/Inputs!$C$21*1000000</f>
        <v>28.698051264698758</v>
      </c>
      <c r="H229" s="9">
        <f>SQRT(A229^2+Inputs!$C$6^2)</f>
        <v>59.052942348370756</v>
      </c>
      <c r="I229" s="9">
        <f t="shared" si="59"/>
        <v>8.3327389418825106</v>
      </c>
      <c r="J229" s="9">
        <f>DEGREES((2*PI()/Inputs!$C$13)*Inputs!$C$15*SIN(RADIANS(I229)))</f>
        <v>52.171774108183619</v>
      </c>
      <c r="K229" s="9">
        <f t="shared" si="60"/>
        <v>0.95843655804048866</v>
      </c>
      <c r="L229" s="9">
        <f t="shared" si="61"/>
        <v>-0.18436629165480711</v>
      </c>
      <c r="M229" s="9">
        <f>2*(Inputs!$C$9/(Inputs!$C$10^2))*A229</f>
        <v>0.11888888888888889</v>
      </c>
      <c r="N229" s="9">
        <f>M229*Inputs!$C$11</f>
        <v>0.47555555555555556</v>
      </c>
      <c r="O229" s="9">
        <f>1000*((A229*Inputs!$C$11)+(B229*N229))/D229</f>
        <v>995.71174573984308</v>
      </c>
      <c r="P229" s="9">
        <f>-2*O229/Inputs!$C$13</f>
        <v>-398.28469829593723</v>
      </c>
      <c r="Q229" s="9">
        <f>-2*O229/Inputs!$C$14</f>
        <v>-59.802507251642233</v>
      </c>
      <c r="R229" s="9">
        <f>F229-Inputs!$C$16/2</f>
        <v>2401.7020585545083</v>
      </c>
      <c r="S229" s="9">
        <f>F229+Inputs!$C$16/2</f>
        <v>2431.7020585545083</v>
      </c>
      <c r="T229" s="9">
        <f>F229-Inputs!$C$17/2</f>
        <v>2266.7020585545083</v>
      </c>
      <c r="U229" s="9">
        <f>F229+Inputs!$C$17/2</f>
        <v>2566.7020585545083</v>
      </c>
      <c r="V229" s="9">
        <f t="shared" si="62"/>
        <v>398.28469829593723</v>
      </c>
      <c r="W229" s="9">
        <f t="shared" si="63"/>
        <v>59.802507251642233</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0</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0</v>
      </c>
      <c r="Z229" s="9">
        <f t="shared" si="64"/>
        <v>403.1802777777778</v>
      </c>
      <c r="AA229" s="9">
        <f>SQRT(A229^2+Inputs!$C$6^2+(B229-Y229/1000)^2)</f>
        <v>407.48200744200483</v>
      </c>
      <c r="AB229" s="9">
        <f t="shared" si="65"/>
        <v>4301.7296642270248</v>
      </c>
      <c r="AC229" s="9">
        <f>AB229/Inputs!$C$12</f>
        <v>2416.7020585545083</v>
      </c>
      <c r="AD229" s="9">
        <f>2*AB229/Inputs!$C$21*1000000</f>
        <v>28.698051264698758</v>
      </c>
      <c r="AE229" s="9">
        <f t="shared" si="66"/>
        <v>8.3327389418825106</v>
      </c>
      <c r="AF229" s="9">
        <f>DEGREES((2*PI()/Inputs!$C$13)*Inputs!$C$15*SIN(RADIANS(AE229)))</f>
        <v>52.171774108183619</v>
      </c>
      <c r="AG229" s="9">
        <f t="shared" si="67"/>
        <v>0.95843655804048866</v>
      </c>
      <c r="AH229" s="9">
        <f t="shared" si="68"/>
        <v>-0.18436629165480711</v>
      </c>
      <c r="AI229" s="9">
        <f t="shared" si="69"/>
        <v>0</v>
      </c>
      <c r="AJ229" s="9">
        <f t="shared" si="70"/>
        <v>0</v>
      </c>
      <c r="AK229" s="9">
        <f t="shared" si="71"/>
        <v>0</v>
      </c>
      <c r="AL229" s="9">
        <f>1000*(AA230-AA228)/(A230-A228)*Inputs!$C$11</f>
        <v>995.71068457885303</v>
      </c>
      <c r="AM229" s="9">
        <f>-2*AL229/Inputs!$C$13</f>
        <v>-398.28427383154121</v>
      </c>
      <c r="AN229" s="9">
        <f>-2*AL229/Inputs!$C$14</f>
        <v>-59.80244351824944</v>
      </c>
      <c r="AO229" s="9">
        <f t="shared" si="72"/>
        <v>398.28427383154121</v>
      </c>
      <c r="AP229" s="9">
        <f t="shared" si="73"/>
        <v>59.80244351824944</v>
      </c>
      <c r="AQ229" s="9">
        <f>IF(OR(Inputs!$C$27=TRUE,Inputs!$C$27="TRUE",Inputs!$C$27=1),Inputs!$C$46/Inputs!$C$12,0)</f>
        <v>0</v>
      </c>
      <c r="AR229" s="9">
        <f t="shared" si="74"/>
        <v>2416.7020585545083</v>
      </c>
      <c r="AS229" s="9">
        <f t="shared" si="75"/>
        <v>2416.7020585545083</v>
      </c>
    </row>
    <row r="230" spans="1:45">
      <c r="A230" s="9">
        <f>Inputs!$C$7+228*(Inputs!$C$8-Inputs!$C$7)/240</f>
        <v>54</v>
      </c>
      <c r="B230" s="9">
        <f>Inputs!$C$5+Inputs!$C$9*(A230/Inputs!$C$10)^2</f>
        <v>403.24</v>
      </c>
      <c r="C230" s="9">
        <f t="shared" si="57"/>
        <v>403.24</v>
      </c>
      <c r="D230" s="9">
        <f>SQRT(A230^2+Inputs!$C$6^2+B230^2)</f>
        <v>407.6070382120505</v>
      </c>
      <c r="E230" s="9">
        <f t="shared" si="58"/>
        <v>4367.0382120504883</v>
      </c>
      <c r="F230" s="9">
        <f>E230/Inputs!$C$12</f>
        <v>2453.3922539609484</v>
      </c>
      <c r="G230" s="9">
        <f>2*E230/Inputs!$C$21*1000000</f>
        <v>29.133742997967538</v>
      </c>
      <c r="H230" s="9">
        <f>SQRT(A230^2+Inputs!$C$6^2)</f>
        <v>59.506302187247357</v>
      </c>
      <c r="I230" s="9">
        <f t="shared" si="59"/>
        <v>8.3945766676270033</v>
      </c>
      <c r="J230" s="9">
        <f>DEGREES((2*PI()/Inputs!$C$13)*Inputs!$C$15*SIN(RADIANS(I230)))</f>
        <v>52.556179798506058</v>
      </c>
      <c r="K230" s="9">
        <f t="shared" si="60"/>
        <v>0.95782843676109208</v>
      </c>
      <c r="L230" s="9">
        <f t="shared" si="61"/>
        <v>-0.18712273427158749</v>
      </c>
      <c r="M230" s="9">
        <f>2*(Inputs!$C$9/(Inputs!$C$10^2))*A230</f>
        <v>0.12</v>
      </c>
      <c r="N230" s="9">
        <f>M230*Inputs!$C$11</f>
        <v>0.48</v>
      </c>
      <c r="O230" s="9">
        <f>1000*((A230*Inputs!$C$11)+(B230*N230))/D230</f>
        <v>1004.7795096877988</v>
      </c>
      <c r="P230" s="9">
        <f>-2*O230/Inputs!$C$13</f>
        <v>-401.91180387511952</v>
      </c>
      <c r="Q230" s="9">
        <f>-2*O230/Inputs!$C$14</f>
        <v>-60.347117698966905</v>
      </c>
      <c r="R230" s="9">
        <f>F230-Inputs!$C$16/2</f>
        <v>2438.3922539609484</v>
      </c>
      <c r="S230" s="9">
        <f>F230+Inputs!$C$16/2</f>
        <v>2468.3922539609484</v>
      </c>
      <c r="T230" s="9">
        <f>F230-Inputs!$C$17/2</f>
        <v>2303.3922539609484</v>
      </c>
      <c r="U230" s="9">
        <f>F230+Inputs!$C$17/2</f>
        <v>2603.3922539609484</v>
      </c>
      <c r="V230" s="9">
        <f t="shared" si="62"/>
        <v>401.91180387511952</v>
      </c>
      <c r="W230" s="9">
        <f t="shared" si="63"/>
        <v>60.347117698966905</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0</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0</v>
      </c>
      <c r="Z230" s="9">
        <f t="shared" si="64"/>
        <v>403.24</v>
      </c>
      <c r="AA230" s="9">
        <f>SQRT(A230^2+Inputs!$C$6^2+(B230-Y230/1000)^2)</f>
        <v>407.6070382120505</v>
      </c>
      <c r="AB230" s="9">
        <f t="shared" si="65"/>
        <v>4367.0382120504883</v>
      </c>
      <c r="AC230" s="9">
        <f>AB230/Inputs!$C$12</f>
        <v>2453.3922539609484</v>
      </c>
      <c r="AD230" s="9">
        <f>2*AB230/Inputs!$C$21*1000000</f>
        <v>29.133742997967538</v>
      </c>
      <c r="AE230" s="9">
        <f t="shared" si="66"/>
        <v>8.3945766676270033</v>
      </c>
      <c r="AF230" s="9">
        <f>DEGREES((2*PI()/Inputs!$C$13)*Inputs!$C$15*SIN(RADIANS(AE230)))</f>
        <v>52.556179798506058</v>
      </c>
      <c r="AG230" s="9">
        <f t="shared" si="67"/>
        <v>0.95782843676109208</v>
      </c>
      <c r="AH230" s="9">
        <f t="shared" si="68"/>
        <v>-0.18712273427158749</v>
      </c>
      <c r="AI230" s="9">
        <f t="shared" si="69"/>
        <v>0</v>
      </c>
      <c r="AJ230" s="9">
        <f t="shared" si="70"/>
        <v>0</v>
      </c>
      <c r="AK230" s="9">
        <f t="shared" si="71"/>
        <v>0</v>
      </c>
      <c r="AL230" s="9">
        <f>1000*(AA231-AA229)/(A231-A229)*Inputs!$C$11</f>
        <v>1004.7784402536308</v>
      </c>
      <c r="AM230" s="9">
        <f>-2*AL230/Inputs!$C$13</f>
        <v>-401.91137610145233</v>
      </c>
      <c r="AN230" s="9">
        <f>-2*AL230/Inputs!$C$14</f>
        <v>-60.347053468686539</v>
      </c>
      <c r="AO230" s="9">
        <f t="shared" si="72"/>
        <v>401.91137610145233</v>
      </c>
      <c r="AP230" s="9">
        <f t="shared" si="73"/>
        <v>60.347053468686539</v>
      </c>
      <c r="AQ230" s="9">
        <f>IF(OR(Inputs!$C$27=TRUE,Inputs!$C$27="TRUE",Inputs!$C$27=1),Inputs!$C$46/Inputs!$C$12,0)</f>
        <v>0</v>
      </c>
      <c r="AR230" s="9">
        <f t="shared" si="74"/>
        <v>2453.3922539609484</v>
      </c>
      <c r="AS230" s="9">
        <f t="shared" si="75"/>
        <v>2453.3922539609484</v>
      </c>
    </row>
    <row r="231" spans="1:45">
      <c r="A231" s="9">
        <f>Inputs!$C$7+229*(Inputs!$C$8-Inputs!$C$7)/240</f>
        <v>54.5</v>
      </c>
      <c r="B231" s="9">
        <f>Inputs!$C$5+Inputs!$C$9*(A231/Inputs!$C$10)^2</f>
        <v>403.30027777777775</v>
      </c>
      <c r="C231" s="9">
        <f t="shared" si="57"/>
        <v>403.30027777777775</v>
      </c>
      <c r="D231" s="9">
        <f>SQRT(A231^2+Inputs!$C$6^2+B231^2)</f>
        <v>407.73320205206824</v>
      </c>
      <c r="E231" s="9">
        <f t="shared" si="58"/>
        <v>4432.9242742904853</v>
      </c>
      <c r="F231" s="9">
        <f>E231/Inputs!$C$12</f>
        <v>2490.406895668812</v>
      </c>
      <c r="G231" s="9">
        <f>2*E231/Inputs!$C$21*1000000</f>
        <v>29.573287492712609</v>
      </c>
      <c r="H231" s="9">
        <f>SQRT(A231^2+Inputs!$C$6^2)</f>
        <v>59.960403601043247</v>
      </c>
      <c r="I231" s="9">
        <f t="shared" si="59"/>
        <v>8.4564679912070897</v>
      </c>
      <c r="J231" s="9">
        <f>DEGREES((2*PI()/Inputs!$C$13)*Inputs!$C$15*SIN(RADIANS(I231)))</f>
        <v>52.940857373736847</v>
      </c>
      <c r="K231" s="9">
        <f t="shared" si="60"/>
        <v>0.95721561171387737</v>
      </c>
      <c r="L231" s="9">
        <f t="shared" si="61"/>
        <v>-0.18990226872328</v>
      </c>
      <c r="M231" s="9">
        <f>2*(Inputs!$C$9/(Inputs!$C$10^2))*A231</f>
        <v>0.12111111111111111</v>
      </c>
      <c r="N231" s="9">
        <f>M231*Inputs!$C$11</f>
        <v>0.48444444444444446</v>
      </c>
      <c r="O231" s="9">
        <f>1000*((A231*Inputs!$C$11)+(B231*N231))/D231</f>
        <v>1013.8408570405232</v>
      </c>
      <c r="P231" s="9">
        <f>-2*O231/Inputs!$C$13</f>
        <v>-405.5363428162093</v>
      </c>
      <c r="Q231" s="9">
        <f>-2*O231/Inputs!$C$14</f>
        <v>-60.891342765196597</v>
      </c>
      <c r="R231" s="9">
        <f>F231-Inputs!$C$16/2</f>
        <v>2475.406895668812</v>
      </c>
      <c r="S231" s="9">
        <f>F231+Inputs!$C$16/2</f>
        <v>2505.406895668812</v>
      </c>
      <c r="T231" s="9">
        <f>F231-Inputs!$C$17/2</f>
        <v>2340.406895668812</v>
      </c>
      <c r="U231" s="9">
        <f>F231+Inputs!$C$17/2</f>
        <v>2640.406895668812</v>
      </c>
      <c r="V231" s="9">
        <f t="shared" si="62"/>
        <v>405.5363428162093</v>
      </c>
      <c r="W231" s="9">
        <f t="shared" si="63"/>
        <v>60.891342765196597</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0</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0</v>
      </c>
      <c r="Z231" s="9">
        <f t="shared" si="64"/>
        <v>403.30027777777775</v>
      </c>
      <c r="AA231" s="9">
        <f>SQRT(A231^2+Inputs!$C$6^2+(B231-Y231/1000)^2)</f>
        <v>407.73320205206824</v>
      </c>
      <c r="AB231" s="9">
        <f t="shared" si="65"/>
        <v>4432.9242742904853</v>
      </c>
      <c r="AC231" s="9">
        <f>AB231/Inputs!$C$12</f>
        <v>2490.406895668812</v>
      </c>
      <c r="AD231" s="9">
        <f>2*AB231/Inputs!$C$21*1000000</f>
        <v>29.573287492712609</v>
      </c>
      <c r="AE231" s="9">
        <f t="shared" si="66"/>
        <v>8.4564679912070897</v>
      </c>
      <c r="AF231" s="9">
        <f>DEGREES((2*PI()/Inputs!$C$13)*Inputs!$C$15*SIN(RADIANS(AE231)))</f>
        <v>52.940857373736847</v>
      </c>
      <c r="AG231" s="9">
        <f t="shared" si="67"/>
        <v>0.95721561171387737</v>
      </c>
      <c r="AH231" s="9">
        <f t="shared" si="68"/>
        <v>-0.18990226872328</v>
      </c>
      <c r="AI231" s="9">
        <f t="shared" si="69"/>
        <v>0</v>
      </c>
      <c r="AJ231" s="9">
        <f t="shared" si="70"/>
        <v>0</v>
      </c>
      <c r="AK231" s="9">
        <f t="shared" si="71"/>
        <v>0</v>
      </c>
      <c r="AL231" s="9">
        <f>1000*(AA232-AA230)/(A232-A230)*Inputs!$C$11</f>
        <v>1013.8397793757576</v>
      </c>
      <c r="AM231" s="9">
        <f>-2*AL231/Inputs!$C$13</f>
        <v>-405.53591175030306</v>
      </c>
      <c r="AN231" s="9">
        <f>-2*AL231/Inputs!$C$14</f>
        <v>-60.891278040586052</v>
      </c>
      <c r="AO231" s="9">
        <f t="shared" si="72"/>
        <v>405.53591175030306</v>
      </c>
      <c r="AP231" s="9">
        <f t="shared" si="73"/>
        <v>60.891278040586052</v>
      </c>
      <c r="AQ231" s="9">
        <f>IF(OR(Inputs!$C$27=TRUE,Inputs!$C$27="TRUE",Inputs!$C$27=1),Inputs!$C$46/Inputs!$C$12,0)</f>
        <v>0</v>
      </c>
      <c r="AR231" s="9">
        <f t="shared" si="74"/>
        <v>2490.406895668812</v>
      </c>
      <c r="AS231" s="9">
        <f t="shared" si="75"/>
        <v>2490.406895668812</v>
      </c>
    </row>
    <row r="232" spans="1:45">
      <c r="A232" s="9">
        <f>Inputs!$C$7+230*(Inputs!$C$8-Inputs!$C$7)/240</f>
        <v>55</v>
      </c>
      <c r="B232" s="9">
        <f>Inputs!$C$5+Inputs!$C$9*(A232/Inputs!$C$10)^2</f>
        <v>403.36111111111109</v>
      </c>
      <c r="C232" s="9">
        <f t="shared" si="57"/>
        <v>403.36111111111109</v>
      </c>
      <c r="D232" s="9">
        <f>SQRT(A232^2+Inputs!$C$6^2+B232^2)</f>
        <v>407.86049815689444</v>
      </c>
      <c r="E232" s="9">
        <f t="shared" si="58"/>
        <v>4499.3870457833509</v>
      </c>
      <c r="F232" s="9">
        <f>E232/Inputs!$C$12</f>
        <v>2527.745531338961</v>
      </c>
      <c r="G232" s="9">
        <f>2*E232/Inputs!$C$21*1000000</f>
        <v>30.016679377460196</v>
      </c>
      <c r="H232" s="9">
        <f>SQRT(A232^2+Inputs!$C$6^2)</f>
        <v>60.415229867972862</v>
      </c>
      <c r="I232" s="9">
        <f t="shared" si="59"/>
        <v>8.5184100957264786</v>
      </c>
      <c r="J232" s="9">
        <f>DEGREES((2*PI()/Inputs!$C$13)*Inputs!$C$15*SIN(RADIANS(I232)))</f>
        <v>53.325788721279181</v>
      </c>
      <c r="K232" s="9">
        <f t="shared" si="60"/>
        <v>0.95659810728563155</v>
      </c>
      <c r="L232" s="9">
        <f t="shared" si="61"/>
        <v>-0.19270482753432905</v>
      </c>
      <c r="M232" s="9">
        <f>2*(Inputs!$C$9/(Inputs!$C$10^2))*A232</f>
        <v>0.12222222222222222</v>
      </c>
      <c r="N232" s="9">
        <f>M232*Inputs!$C$11</f>
        <v>0.48888888888888887</v>
      </c>
      <c r="O232" s="9">
        <f>1000*((A232*Inputs!$C$11)+(B232*N232))/D232</f>
        <v>1022.8957384140008</v>
      </c>
      <c r="P232" s="9">
        <f>-2*O232/Inputs!$C$13</f>
        <v>-409.15829536560034</v>
      </c>
      <c r="Q232" s="9">
        <f>-2*O232/Inputs!$C$14</f>
        <v>-61.435179484324379</v>
      </c>
      <c r="R232" s="9">
        <f>F232-Inputs!$C$16/2</f>
        <v>2512.745531338961</v>
      </c>
      <c r="S232" s="9">
        <f>F232+Inputs!$C$16/2</f>
        <v>2542.745531338961</v>
      </c>
      <c r="T232" s="9">
        <f>F232-Inputs!$C$17/2</f>
        <v>2377.745531338961</v>
      </c>
      <c r="U232" s="9">
        <f>F232+Inputs!$C$17/2</f>
        <v>2677.745531338961</v>
      </c>
      <c r="V232" s="9">
        <f t="shared" si="62"/>
        <v>409.15829536560034</v>
      </c>
      <c r="W232" s="9">
        <f t="shared" si="63"/>
        <v>61.435179484324379</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0</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0</v>
      </c>
      <c r="Z232" s="9">
        <f t="shared" si="64"/>
        <v>403.36111111111109</v>
      </c>
      <c r="AA232" s="9">
        <f>SQRT(A232^2+Inputs!$C$6^2+(B232-Y232/1000)^2)</f>
        <v>407.86049815689444</v>
      </c>
      <c r="AB232" s="9">
        <f t="shared" si="65"/>
        <v>4499.3870457833509</v>
      </c>
      <c r="AC232" s="9">
        <f>AB232/Inputs!$C$12</f>
        <v>2527.745531338961</v>
      </c>
      <c r="AD232" s="9">
        <f>2*AB232/Inputs!$C$21*1000000</f>
        <v>30.016679377460196</v>
      </c>
      <c r="AE232" s="9">
        <f t="shared" si="66"/>
        <v>8.5184100957264786</v>
      </c>
      <c r="AF232" s="9">
        <f>DEGREES((2*PI()/Inputs!$C$13)*Inputs!$C$15*SIN(RADIANS(AE232)))</f>
        <v>53.325788721279181</v>
      </c>
      <c r="AG232" s="9">
        <f t="shared" si="67"/>
        <v>0.95659810728563155</v>
      </c>
      <c r="AH232" s="9">
        <f t="shared" si="68"/>
        <v>-0.19270482753432905</v>
      </c>
      <c r="AI232" s="9">
        <f t="shared" si="69"/>
        <v>0</v>
      </c>
      <c r="AJ232" s="9">
        <f t="shared" si="70"/>
        <v>0</v>
      </c>
      <c r="AK232" s="9">
        <f t="shared" si="71"/>
        <v>0</v>
      </c>
      <c r="AL232" s="9">
        <f>1000*(AA233-AA231)/(A233-A231)*Inputs!$C$11</f>
        <v>1022.8946525614901</v>
      </c>
      <c r="AM232" s="9">
        <f>-2*AL232/Inputs!$C$13</f>
        <v>-409.15786102459606</v>
      </c>
      <c r="AN232" s="9">
        <f>-2*AL232/Inputs!$C$14</f>
        <v>-61.435114267957374</v>
      </c>
      <c r="AO232" s="9">
        <f t="shared" si="72"/>
        <v>409.15786102459606</v>
      </c>
      <c r="AP232" s="9">
        <f t="shared" si="73"/>
        <v>61.435114267957374</v>
      </c>
      <c r="AQ232" s="9">
        <f>IF(OR(Inputs!$C$27=TRUE,Inputs!$C$27="TRUE",Inputs!$C$27=1),Inputs!$C$46/Inputs!$C$12,0)</f>
        <v>0</v>
      </c>
      <c r="AR232" s="9">
        <f t="shared" si="74"/>
        <v>2527.745531338961</v>
      </c>
      <c r="AS232" s="9">
        <f t="shared" si="75"/>
        <v>2527.745531338961</v>
      </c>
    </row>
    <row r="233" spans="1:45">
      <c r="A233" s="9">
        <f>Inputs!$C$7+231*(Inputs!$C$8-Inputs!$C$7)/240</f>
        <v>55.5</v>
      </c>
      <c r="B233" s="9">
        <f>Inputs!$C$5+Inputs!$C$9*(A233/Inputs!$C$10)^2</f>
        <v>403.42250000000001</v>
      </c>
      <c r="C233" s="9">
        <f t="shared" si="57"/>
        <v>403.42250000000001</v>
      </c>
      <c r="D233" s="9">
        <f>SQRT(A233^2+Inputs!$C$6^2+B233^2)</f>
        <v>407.98892571520861</v>
      </c>
      <c r="E233" s="9">
        <f t="shared" si="58"/>
        <v>4566.4257152085956</v>
      </c>
      <c r="F233" s="9">
        <f>E233/Inputs!$C$12</f>
        <v>2565.4077051733684</v>
      </c>
      <c r="G233" s="9">
        <f>2*E233/Inputs!$C$21*1000000</f>
        <v>30.463913239662592</v>
      </c>
      <c r="H233" s="9">
        <f>SQRT(A233^2+Inputs!$C$6^2)</f>
        <v>60.870764739733637</v>
      </c>
      <c r="I233" s="9">
        <f t="shared" si="59"/>
        <v>8.5804002336499341</v>
      </c>
      <c r="J233" s="9">
        <f>DEGREES((2*PI()/Inputs!$C$13)*Inputs!$C$15*SIN(RADIANS(I233)))</f>
        <v>53.71095616845377</v>
      </c>
      <c r="K233" s="9">
        <f t="shared" si="60"/>
        <v>0.95597594799754082</v>
      </c>
      <c r="L233" s="9">
        <f t="shared" si="61"/>
        <v>-0.19553034275521283</v>
      </c>
      <c r="M233" s="9">
        <f>2*(Inputs!$C$9/(Inputs!$C$10^2))*A233</f>
        <v>0.12333333333333334</v>
      </c>
      <c r="N233" s="9">
        <f>M233*Inputs!$C$11</f>
        <v>0.49333333333333335</v>
      </c>
      <c r="O233" s="9">
        <f>1000*((A233*Inputs!$C$11)+(B233*N233))/D233</f>
        <v>1031.9441046803204</v>
      </c>
      <c r="P233" s="9">
        <f>-2*O233/Inputs!$C$13</f>
        <v>-412.77764187212813</v>
      </c>
      <c r="Q233" s="9">
        <f>-2*O233/Inputs!$C$14</f>
        <v>-61.978624905724956</v>
      </c>
      <c r="R233" s="9">
        <f>F233-Inputs!$C$16/2</f>
        <v>2550.4077051733684</v>
      </c>
      <c r="S233" s="9">
        <f>F233+Inputs!$C$16/2</f>
        <v>2580.4077051733684</v>
      </c>
      <c r="T233" s="9">
        <f>F233-Inputs!$C$17/2</f>
        <v>2415.4077051733684</v>
      </c>
      <c r="U233" s="9">
        <f>F233+Inputs!$C$17/2</f>
        <v>2715.4077051733684</v>
      </c>
      <c r="V233" s="9">
        <f t="shared" si="62"/>
        <v>412.77764187212813</v>
      </c>
      <c r="W233" s="9">
        <f t="shared" si="63"/>
        <v>61.978624905724956</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0</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0</v>
      </c>
      <c r="Z233" s="9">
        <f t="shared" si="64"/>
        <v>403.42250000000001</v>
      </c>
      <c r="AA233" s="9">
        <f>SQRT(A233^2+Inputs!$C$6^2+(B233-Y233/1000)^2)</f>
        <v>407.98892571520861</v>
      </c>
      <c r="AB233" s="9">
        <f t="shared" si="65"/>
        <v>4566.4257152085956</v>
      </c>
      <c r="AC233" s="9">
        <f>AB233/Inputs!$C$12</f>
        <v>2565.4077051733684</v>
      </c>
      <c r="AD233" s="9">
        <f>2*AB233/Inputs!$C$21*1000000</f>
        <v>30.463913239662592</v>
      </c>
      <c r="AE233" s="9">
        <f t="shared" si="66"/>
        <v>8.5804002336499341</v>
      </c>
      <c r="AF233" s="9">
        <f>DEGREES((2*PI()/Inputs!$C$13)*Inputs!$C$15*SIN(RADIANS(AE233)))</f>
        <v>53.71095616845377</v>
      </c>
      <c r="AG233" s="9">
        <f t="shared" si="67"/>
        <v>0.95597594799754082</v>
      </c>
      <c r="AH233" s="9">
        <f t="shared" si="68"/>
        <v>-0.19553034275521283</v>
      </c>
      <c r="AI233" s="9">
        <f t="shared" si="69"/>
        <v>0</v>
      </c>
      <c r="AJ233" s="9">
        <f t="shared" si="70"/>
        <v>0</v>
      </c>
      <c r="AK233" s="9">
        <f t="shared" si="71"/>
        <v>0</v>
      </c>
      <c r="AL233" s="9">
        <f>1000*(AA234-AA232)/(A234-A232)*Inputs!$C$11</f>
        <v>1031.943010682653</v>
      </c>
      <c r="AM233" s="9">
        <f>-2*AL233/Inputs!$C$13</f>
        <v>-412.77720427306122</v>
      </c>
      <c r="AN233" s="9">
        <f>-2*AL233/Inputs!$C$14</f>
        <v>-61.978559200159346</v>
      </c>
      <c r="AO233" s="9">
        <f t="shared" si="72"/>
        <v>412.77720427306122</v>
      </c>
      <c r="AP233" s="9">
        <f t="shared" si="73"/>
        <v>61.978559200159346</v>
      </c>
      <c r="AQ233" s="9">
        <f>IF(OR(Inputs!$C$27=TRUE,Inputs!$C$27="TRUE",Inputs!$C$27=1),Inputs!$C$46/Inputs!$C$12,0)</f>
        <v>0</v>
      </c>
      <c r="AR233" s="9">
        <f t="shared" si="74"/>
        <v>2565.4077051733684</v>
      </c>
      <c r="AS233" s="9">
        <f t="shared" si="75"/>
        <v>2565.4077051733684</v>
      </c>
    </row>
    <row r="234" spans="1:45">
      <c r="A234" s="9">
        <f>Inputs!$C$7+232*(Inputs!$C$8-Inputs!$C$7)/240</f>
        <v>56</v>
      </c>
      <c r="B234" s="9">
        <f>Inputs!$C$5+Inputs!$C$9*(A234/Inputs!$C$10)^2</f>
        <v>403.48444444444442</v>
      </c>
      <c r="C234" s="9">
        <f t="shared" si="57"/>
        <v>403.48444444444442</v>
      </c>
      <c r="D234" s="9">
        <f>SQRT(A234^2+Inputs!$C$6^2+B234^2)</f>
        <v>408.1184839095651</v>
      </c>
      <c r="E234" s="9">
        <f t="shared" si="58"/>
        <v>4634.0394651206789</v>
      </c>
      <c r="F234" s="9">
        <f>E234/Inputs!$C$12</f>
        <v>2603.3929579329656</v>
      </c>
      <c r="G234" s="9">
        <f>2*E234/Inputs!$C$21*1000000</f>
        <v>30.914983625910157</v>
      </c>
      <c r="H234" s="9">
        <f>SQRT(A234^2+Inputs!$C$6^2)</f>
        <v>61.326992425847855</v>
      </c>
      <c r="I234" s="9">
        <f t="shared" si="59"/>
        <v>8.6424357245738488</v>
      </c>
      <c r="J234" s="9">
        <f>DEGREES((2*PI()/Inputs!$C$13)*Inputs!$C$15*SIN(RADIANS(I234)))</f>
        <v>54.096342468520554</v>
      </c>
      <c r="K234" s="9">
        <f t="shared" si="60"/>
        <v>0.95534915850306923</v>
      </c>
      <c r="L234" s="9">
        <f t="shared" si="61"/>
        <v>-0.19837874596611699</v>
      </c>
      <c r="M234" s="9">
        <f>2*(Inputs!$C$9/(Inputs!$C$10^2))*A234</f>
        <v>0.12444444444444444</v>
      </c>
      <c r="N234" s="9">
        <f>M234*Inputs!$C$11</f>
        <v>0.49777777777777776</v>
      </c>
      <c r="O234" s="9">
        <f>1000*((A234*Inputs!$C$11)+(B234*N234))/D234</f>
        <v>1040.9859069691101</v>
      </c>
      <c r="P234" s="9">
        <f>-2*O234/Inputs!$C$13</f>
        <v>-416.39436278764407</v>
      </c>
      <c r="Q234" s="9">
        <f>-2*O234/Inputs!$C$14</f>
        <v>-62.521676094240853</v>
      </c>
      <c r="R234" s="9">
        <f>F234-Inputs!$C$16/2</f>
        <v>2588.3929579329656</v>
      </c>
      <c r="S234" s="9">
        <f>F234+Inputs!$C$16/2</f>
        <v>2618.3929579329656</v>
      </c>
      <c r="T234" s="9">
        <f>F234-Inputs!$C$17/2</f>
        <v>2453.3929579329656</v>
      </c>
      <c r="U234" s="9">
        <f>F234+Inputs!$C$17/2</f>
        <v>2753.3929579329656</v>
      </c>
      <c r="V234" s="9">
        <f t="shared" si="62"/>
        <v>416.39436278764407</v>
      </c>
      <c r="W234" s="9">
        <f t="shared" si="63"/>
        <v>62.521676094240853</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0</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0</v>
      </c>
      <c r="Z234" s="9">
        <f t="shared" si="64"/>
        <v>403.48444444444442</v>
      </c>
      <c r="AA234" s="9">
        <f>SQRT(A234^2+Inputs!$C$6^2+(B234-Y234/1000)^2)</f>
        <v>408.1184839095651</v>
      </c>
      <c r="AB234" s="9">
        <f t="shared" si="65"/>
        <v>4634.0394651206789</v>
      </c>
      <c r="AC234" s="9">
        <f>AB234/Inputs!$C$12</f>
        <v>2603.3929579329656</v>
      </c>
      <c r="AD234" s="9">
        <f>2*AB234/Inputs!$C$21*1000000</f>
        <v>30.914983625910157</v>
      </c>
      <c r="AE234" s="9">
        <f t="shared" si="66"/>
        <v>8.6424357245738488</v>
      </c>
      <c r="AF234" s="9">
        <f>DEGREES((2*PI()/Inputs!$C$13)*Inputs!$C$15*SIN(RADIANS(AE234)))</f>
        <v>54.096342468520554</v>
      </c>
      <c r="AG234" s="9">
        <f t="shared" si="67"/>
        <v>0.95534915850306923</v>
      </c>
      <c r="AH234" s="9">
        <f t="shared" si="68"/>
        <v>-0.19837874596611699</v>
      </c>
      <c r="AI234" s="9">
        <f t="shared" si="69"/>
        <v>0</v>
      </c>
      <c r="AJ234" s="9">
        <f t="shared" si="70"/>
        <v>0</v>
      </c>
      <c r="AK234" s="9">
        <f t="shared" si="71"/>
        <v>0</v>
      </c>
      <c r="AL234" s="9">
        <f>1000*(AA235-AA233)/(A235-A233)*Inputs!$C$11</f>
        <v>1040.9848048693675</v>
      </c>
      <c r="AM234" s="9">
        <f>-2*AL234/Inputs!$C$13</f>
        <v>-416.393921947747</v>
      </c>
      <c r="AN234" s="9">
        <f>-2*AL234/Inputs!$C$14</f>
        <v>-62.521609902064121</v>
      </c>
      <c r="AO234" s="9">
        <f t="shared" si="72"/>
        <v>416.393921947747</v>
      </c>
      <c r="AP234" s="9">
        <f t="shared" si="73"/>
        <v>62.521609902064121</v>
      </c>
      <c r="AQ234" s="9">
        <f>IF(OR(Inputs!$C$27=TRUE,Inputs!$C$27="TRUE",Inputs!$C$27=1),Inputs!$C$46/Inputs!$C$12,0)</f>
        <v>0</v>
      </c>
      <c r="AR234" s="9">
        <f t="shared" si="74"/>
        <v>2603.3929579329656</v>
      </c>
      <c r="AS234" s="9">
        <f t="shared" si="75"/>
        <v>2603.3929579329656</v>
      </c>
    </row>
    <row r="235" spans="1:45">
      <c r="A235" s="9">
        <f>Inputs!$C$7+233*(Inputs!$C$8-Inputs!$C$7)/240</f>
        <v>56.5</v>
      </c>
      <c r="B235" s="9">
        <f>Inputs!$C$5+Inputs!$C$9*(A235/Inputs!$C$10)^2</f>
        <v>403.54694444444442</v>
      </c>
      <c r="C235" s="9">
        <f t="shared" si="57"/>
        <v>403.54694444444442</v>
      </c>
      <c r="D235" s="9">
        <f>SQRT(A235^2+Inputs!$C$6^2+B235^2)</f>
        <v>408.24917191642595</v>
      </c>
      <c r="E235" s="9">
        <f t="shared" si="58"/>
        <v>4702.2274719815305</v>
      </c>
      <c r="F235" s="9">
        <f>E235/Inputs!$C$12</f>
        <v>2641.700826955916</v>
      </c>
      <c r="G235" s="9">
        <f>2*E235/Inputs!$C$21*1000000</f>
        <v>31.369885042148262</v>
      </c>
      <c r="H235" s="9">
        <f>SQRT(A235^2+Inputs!$C$6^2)</f>
        <v>61.783897578576251</v>
      </c>
      <c r="I235" s="9">
        <f t="shared" si="59"/>
        <v>8.7045139530783917</v>
      </c>
      <c r="J235" s="9">
        <f>DEGREES((2*PI()/Inputs!$C$13)*Inputs!$C$15*SIN(RADIANS(I235)))</f>
        <v>54.481930787212292</v>
      </c>
      <c r="K235" s="9">
        <f t="shared" si="60"/>
        <v>0.95471776358582872</v>
      </c>
      <c r="L235" s="9">
        <f t="shared" si="61"/>
        <v>-0.20124996828064423</v>
      </c>
      <c r="M235" s="9">
        <f>2*(Inputs!$C$9/(Inputs!$C$10^2))*A235</f>
        <v>0.12555555555555556</v>
      </c>
      <c r="N235" s="9">
        <f>M235*Inputs!$C$11</f>
        <v>0.50222222222222224</v>
      </c>
      <c r="O235" s="9">
        <f>1000*((A235*Inputs!$C$11)+(B235*N235))/D235</f>
        <v>1050.0210966689506</v>
      </c>
      <c r="P235" s="9">
        <f>-2*O235/Inputs!$C$13</f>
        <v>-420.00843866758021</v>
      </c>
      <c r="Q235" s="9">
        <f>-2*O235/Inputs!$C$14</f>
        <v>-63.064330130267308</v>
      </c>
      <c r="R235" s="9">
        <f>F235-Inputs!$C$16/2</f>
        <v>2626.700826955916</v>
      </c>
      <c r="S235" s="9">
        <f>F235+Inputs!$C$16/2</f>
        <v>2656.700826955916</v>
      </c>
      <c r="T235" s="9">
        <f>F235-Inputs!$C$17/2</f>
        <v>2491.700826955916</v>
      </c>
      <c r="U235" s="9">
        <f>F235+Inputs!$C$17/2</f>
        <v>2791.700826955916</v>
      </c>
      <c r="V235" s="9">
        <f t="shared" si="62"/>
        <v>420.00843866758021</v>
      </c>
      <c r="W235" s="9">
        <f t="shared" si="63"/>
        <v>63.064330130267308</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0</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0</v>
      </c>
      <c r="Z235" s="9">
        <f t="shared" si="64"/>
        <v>403.54694444444442</v>
      </c>
      <c r="AA235" s="9">
        <f>SQRT(A235^2+Inputs!$C$6^2+(B235-Y235/1000)^2)</f>
        <v>408.24917191642595</v>
      </c>
      <c r="AB235" s="9">
        <f t="shared" si="65"/>
        <v>4702.2274719815305</v>
      </c>
      <c r="AC235" s="9">
        <f>AB235/Inputs!$C$12</f>
        <v>2641.700826955916</v>
      </c>
      <c r="AD235" s="9">
        <f>2*AB235/Inputs!$C$21*1000000</f>
        <v>31.369885042148262</v>
      </c>
      <c r="AE235" s="9">
        <f t="shared" si="66"/>
        <v>8.7045139530783917</v>
      </c>
      <c r="AF235" s="9">
        <f>DEGREES((2*PI()/Inputs!$C$13)*Inputs!$C$15*SIN(RADIANS(AE235)))</f>
        <v>54.481930787212292</v>
      </c>
      <c r="AG235" s="9">
        <f t="shared" si="67"/>
        <v>0.95471776358582872</v>
      </c>
      <c r="AH235" s="9">
        <f t="shared" si="68"/>
        <v>-0.20124996828064423</v>
      </c>
      <c r="AI235" s="9">
        <f t="shared" si="69"/>
        <v>0</v>
      </c>
      <c r="AJ235" s="9">
        <f t="shared" si="70"/>
        <v>0</v>
      </c>
      <c r="AK235" s="9">
        <f t="shared" si="71"/>
        <v>0</v>
      </c>
      <c r="AL235" s="9">
        <f>1000*(AA236-AA234)/(A236-A234)*Inputs!$C$11</f>
        <v>1050.0199865109607</v>
      </c>
      <c r="AM235" s="9">
        <f>-2*AL235/Inputs!$C$13</f>
        <v>-420.00799460438429</v>
      </c>
      <c r="AN235" s="9">
        <f>-2*AL235/Inputs!$C$14</f>
        <v>-63.06426345411176</v>
      </c>
      <c r="AO235" s="9">
        <f t="shared" si="72"/>
        <v>420.00799460438429</v>
      </c>
      <c r="AP235" s="9">
        <f t="shared" si="73"/>
        <v>63.06426345411176</v>
      </c>
      <c r="AQ235" s="9">
        <f>IF(OR(Inputs!$C$27=TRUE,Inputs!$C$27="TRUE",Inputs!$C$27=1),Inputs!$C$46/Inputs!$C$12,0)</f>
        <v>0</v>
      </c>
      <c r="AR235" s="9">
        <f t="shared" si="74"/>
        <v>2641.700826955916</v>
      </c>
      <c r="AS235" s="9">
        <f t="shared" si="75"/>
        <v>2641.700826955916</v>
      </c>
    </row>
    <row r="236" spans="1:45">
      <c r="A236" s="9">
        <f>Inputs!$C$7+234*(Inputs!$C$8-Inputs!$C$7)/240</f>
        <v>57</v>
      </c>
      <c r="B236" s="9">
        <f>Inputs!$C$5+Inputs!$C$9*(A236/Inputs!$C$10)^2</f>
        <v>403.61</v>
      </c>
      <c r="C236" s="9">
        <f t="shared" si="57"/>
        <v>403.61</v>
      </c>
      <c r="D236" s="9">
        <f>SQRT(A236^2+Inputs!$C$6^2+B236^2)</f>
        <v>408.38098890619284</v>
      </c>
      <c r="E236" s="9">
        <f t="shared" si="58"/>
        <v>4770.9889061928261</v>
      </c>
      <c r="F236" s="9">
        <f>E236/Inputs!$C$12</f>
        <v>2680.3308461757451</v>
      </c>
      <c r="G236" s="9">
        <f>2*E236/Inputs!$C$21*1000000</f>
        <v>31.828611953892622</v>
      </c>
      <c r="H236" s="9">
        <f>SQRT(A236^2+Inputs!$C$6^2)</f>
        <v>62.241465278381739</v>
      </c>
      <c r="I236" s="9">
        <f t="shared" si="59"/>
        <v>8.7666323666582162</v>
      </c>
      <c r="J236" s="9">
        <f>DEGREES((2*PI()/Inputs!$C$13)*Inputs!$C$15*SIN(RADIANS(I236)))</f>
        <v>54.867704689760693</v>
      </c>
      <c r="K236" s="9">
        <f t="shared" si="60"/>
        <v>0.95408178815744515</v>
      </c>
      <c r="L236" s="9">
        <f t="shared" si="61"/>
        <v>-0.20414394034954042</v>
      </c>
      <c r="M236" s="9">
        <f>2*(Inputs!$C$9/(Inputs!$C$10^2))*A236</f>
        <v>0.12666666666666668</v>
      </c>
      <c r="N236" s="9">
        <f>M236*Inputs!$C$11</f>
        <v>0.50666666666666671</v>
      </c>
      <c r="O236" s="9">
        <f>1000*((A236*Inputs!$C$11)+(B236*N236))/D236</f>
        <v>1059.049625428768</v>
      </c>
      <c r="P236" s="9">
        <f>-2*O236/Inputs!$C$13</f>
        <v>-423.61985017150721</v>
      </c>
      <c r="Q236" s="9">
        <f>-2*O236/Inputs!$C$14</f>
        <v>-63.606584109835921</v>
      </c>
      <c r="R236" s="9">
        <f>F236-Inputs!$C$16/2</f>
        <v>2665.3308461757451</v>
      </c>
      <c r="S236" s="9">
        <f>F236+Inputs!$C$16/2</f>
        <v>2695.3308461757451</v>
      </c>
      <c r="T236" s="9">
        <f>F236-Inputs!$C$17/2</f>
        <v>2530.3308461757451</v>
      </c>
      <c r="U236" s="9">
        <f>F236+Inputs!$C$17/2</f>
        <v>2830.3308461757451</v>
      </c>
      <c r="V236" s="9">
        <f t="shared" si="62"/>
        <v>423.61985017150721</v>
      </c>
      <c r="W236" s="9">
        <f t="shared" si="63"/>
        <v>63.606584109835921</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0</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0</v>
      </c>
      <c r="Z236" s="9">
        <f t="shared" si="64"/>
        <v>403.61</v>
      </c>
      <c r="AA236" s="9">
        <f>SQRT(A236^2+Inputs!$C$6^2+(B236-Y236/1000)^2)</f>
        <v>408.38098890619284</v>
      </c>
      <c r="AB236" s="9">
        <f t="shared" si="65"/>
        <v>4770.9889061928261</v>
      </c>
      <c r="AC236" s="9">
        <f>AB236/Inputs!$C$12</f>
        <v>2680.3308461757451</v>
      </c>
      <c r="AD236" s="9">
        <f>2*AB236/Inputs!$C$21*1000000</f>
        <v>31.828611953892622</v>
      </c>
      <c r="AE236" s="9">
        <f t="shared" si="66"/>
        <v>8.7666323666582162</v>
      </c>
      <c r="AF236" s="9">
        <f>DEGREES((2*PI()/Inputs!$C$13)*Inputs!$C$15*SIN(RADIANS(AE236)))</f>
        <v>54.867704689760693</v>
      </c>
      <c r="AG236" s="9">
        <f t="shared" si="67"/>
        <v>0.95408178815744515</v>
      </c>
      <c r="AH236" s="9">
        <f t="shared" si="68"/>
        <v>-0.20414394034954042</v>
      </c>
      <c r="AI236" s="9">
        <f t="shared" si="69"/>
        <v>0</v>
      </c>
      <c r="AJ236" s="9">
        <f t="shared" si="70"/>
        <v>0</v>
      </c>
      <c r="AK236" s="9">
        <f t="shared" si="71"/>
        <v>0</v>
      </c>
      <c r="AL236" s="9">
        <f>1000*(AA237-AA235)/(A237-A235)*Inputs!$C$11</f>
        <v>1059.0485072557385</v>
      </c>
      <c r="AM236" s="9">
        <f>-2*AL236/Inputs!$C$13</f>
        <v>-423.61940290229541</v>
      </c>
      <c r="AN236" s="9">
        <f>-2*AL236/Inputs!$C$14</f>
        <v>-63.606516952296616</v>
      </c>
      <c r="AO236" s="9">
        <f t="shared" si="72"/>
        <v>423.61940290229541</v>
      </c>
      <c r="AP236" s="9">
        <f t="shared" si="73"/>
        <v>63.606516952296616</v>
      </c>
      <c r="AQ236" s="9">
        <f>IF(OR(Inputs!$C$27=TRUE,Inputs!$C$27="TRUE",Inputs!$C$27=1),Inputs!$C$46/Inputs!$C$12,0)</f>
        <v>0</v>
      </c>
      <c r="AR236" s="9">
        <f t="shared" si="74"/>
        <v>2680.3308461757451</v>
      </c>
      <c r="AS236" s="9">
        <f t="shared" si="75"/>
        <v>2680.3308461757451</v>
      </c>
    </row>
    <row r="237" spans="1:45">
      <c r="A237" s="9">
        <f>Inputs!$C$7+235*(Inputs!$C$8-Inputs!$C$7)/240</f>
        <v>57.5</v>
      </c>
      <c r="B237" s="9">
        <f>Inputs!$C$5+Inputs!$C$9*(A237/Inputs!$C$10)^2</f>
        <v>403.67361111111109</v>
      </c>
      <c r="C237" s="9">
        <f t="shared" si="57"/>
        <v>403.67361111111109</v>
      </c>
      <c r="D237" s="9">
        <f>SQRT(A237^2+Inputs!$C$6^2+B237^2)</f>
        <v>408.51393404323989</v>
      </c>
      <c r="E237" s="9">
        <f t="shared" si="58"/>
        <v>4840.3229321287999</v>
      </c>
      <c r="F237" s="9">
        <f>E237/Inputs!$C$12</f>
        <v>2719.2825461397751</v>
      </c>
      <c r="G237" s="9">
        <f>2*E237/Inputs!$C$21*1000000</f>
        <v>32.291158786448186</v>
      </c>
      <c r="H237" s="9">
        <f>SQRT(A237^2+Inputs!$C$6^2)</f>
        <v>62.699681019922259</v>
      </c>
      <c r="I237" s="9">
        <f t="shared" si="59"/>
        <v>8.828788473728661</v>
      </c>
      <c r="J237" s="9">
        <f>DEGREES((2*PI()/Inputs!$C$13)*Inputs!$C$15*SIN(RADIANS(I237)))</f>
        <v>55.253648128396158</v>
      </c>
      <c r="K237" s="9">
        <f t="shared" si="60"/>
        <v>0.95344125725541895</v>
      </c>
      <c r="L237" s="9">
        <f t="shared" si="61"/>
        <v>-0.20706059236444449</v>
      </c>
      <c r="M237" s="9">
        <f>2*(Inputs!$C$9/(Inputs!$C$10^2))*A237</f>
        <v>0.12777777777777777</v>
      </c>
      <c r="N237" s="9">
        <f>M237*Inputs!$C$11</f>
        <v>0.51111111111111107</v>
      </c>
      <c r="O237" s="9">
        <f>1000*((A237*Inputs!$C$11)+(B237*N237))/D237</f>
        <v>1068.0714451592028</v>
      </c>
      <c r="P237" s="9">
        <f>-2*O237/Inputs!$C$13</f>
        <v>-427.22857806368108</v>
      </c>
      <c r="Q237" s="9">
        <f>-2*O237/Inputs!$C$14</f>
        <v>-64.148435144696862</v>
      </c>
      <c r="R237" s="9">
        <f>F237-Inputs!$C$16/2</f>
        <v>2704.2825461397751</v>
      </c>
      <c r="S237" s="9">
        <f>F237+Inputs!$C$16/2</f>
        <v>2734.2825461397751</v>
      </c>
      <c r="T237" s="9">
        <f>F237-Inputs!$C$17/2</f>
        <v>2569.2825461397751</v>
      </c>
      <c r="U237" s="9">
        <f>F237+Inputs!$C$17/2</f>
        <v>2869.2825461397751</v>
      </c>
      <c r="V237" s="9">
        <f t="shared" si="62"/>
        <v>427.22857806368108</v>
      </c>
      <c r="W237" s="9">
        <f t="shared" si="63"/>
        <v>64.148435144696862</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0</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0</v>
      </c>
      <c r="Z237" s="9">
        <f t="shared" si="64"/>
        <v>403.67361111111109</v>
      </c>
      <c r="AA237" s="9">
        <f>SQRT(A237^2+Inputs!$C$6^2+(B237-Y237/1000)^2)</f>
        <v>408.51393404323989</v>
      </c>
      <c r="AB237" s="9">
        <f t="shared" si="65"/>
        <v>4840.3229321287999</v>
      </c>
      <c r="AC237" s="9">
        <f>AB237/Inputs!$C$12</f>
        <v>2719.2825461397751</v>
      </c>
      <c r="AD237" s="9">
        <f>2*AB237/Inputs!$C$21*1000000</f>
        <v>32.291158786448186</v>
      </c>
      <c r="AE237" s="9">
        <f t="shared" si="66"/>
        <v>8.828788473728661</v>
      </c>
      <c r="AF237" s="9">
        <f>DEGREES((2*PI()/Inputs!$C$13)*Inputs!$C$15*SIN(RADIANS(AE237)))</f>
        <v>55.253648128396158</v>
      </c>
      <c r="AG237" s="9">
        <f t="shared" si="67"/>
        <v>0.95344125725541895</v>
      </c>
      <c r="AH237" s="9">
        <f t="shared" si="68"/>
        <v>-0.20706059236444449</v>
      </c>
      <c r="AI237" s="9">
        <f t="shared" si="69"/>
        <v>0</v>
      </c>
      <c r="AJ237" s="9">
        <f t="shared" si="70"/>
        <v>0</v>
      </c>
      <c r="AK237" s="9">
        <f t="shared" si="71"/>
        <v>0</v>
      </c>
      <c r="AL237" s="9">
        <f>1000*(AA238-AA236)/(A238-A236)*Inputs!$C$11</f>
        <v>1068.070319015078</v>
      </c>
      <c r="AM237" s="9">
        <f>-2*AL237/Inputs!$C$13</f>
        <v>-427.22812760603119</v>
      </c>
      <c r="AN237" s="9">
        <f>-2*AL237/Inputs!$C$14</f>
        <v>-64.148367508413102</v>
      </c>
      <c r="AO237" s="9">
        <f t="shared" si="72"/>
        <v>427.22812760603119</v>
      </c>
      <c r="AP237" s="9">
        <f t="shared" si="73"/>
        <v>64.148367508413102</v>
      </c>
      <c r="AQ237" s="9">
        <f>IF(OR(Inputs!$C$27=TRUE,Inputs!$C$27="TRUE",Inputs!$C$27=1),Inputs!$C$46/Inputs!$C$12,0)</f>
        <v>0</v>
      </c>
      <c r="AR237" s="9">
        <f t="shared" si="74"/>
        <v>2719.2825461397751</v>
      </c>
      <c r="AS237" s="9">
        <f t="shared" si="75"/>
        <v>2719.2825461397751</v>
      </c>
    </row>
    <row r="238" spans="1:45">
      <c r="A238" s="9">
        <f>Inputs!$C$7+236*(Inputs!$C$8-Inputs!$C$7)/240</f>
        <v>58</v>
      </c>
      <c r="B238" s="9">
        <f>Inputs!$C$5+Inputs!$C$9*(A238/Inputs!$C$10)^2</f>
        <v>403.73777777777775</v>
      </c>
      <c r="C238" s="9">
        <f t="shared" si="57"/>
        <v>403.73777777777775</v>
      </c>
      <c r="D238" s="9">
        <f>SQRT(A238^2+Inputs!$C$6^2+B238^2)</f>
        <v>408.64800648594661</v>
      </c>
      <c r="E238" s="9">
        <f t="shared" si="58"/>
        <v>4910.2287081688592</v>
      </c>
      <c r="F238" s="9">
        <f>E238/Inputs!$C$12</f>
        <v>2758.5554540274488</v>
      </c>
      <c r="G238" s="9">
        <f>2*E238/Inputs!$C$21*1000000</f>
        <v>32.757519925126729</v>
      </c>
      <c r="H238" s="9">
        <f>SQRT(A238^2+Inputs!$C$6^2)</f>
        <v>63.158530698552511</v>
      </c>
      <c r="I238" s="9">
        <f t="shared" si="59"/>
        <v>8.8909798417046026</v>
      </c>
      <c r="J238" s="9">
        <f>DEGREES((2*PI()/Inputs!$C$13)*Inputs!$C$15*SIN(RADIANS(I238)))</f>
        <v>55.639745430303066</v>
      </c>
      <c r="K238" s="9">
        <f t="shared" si="60"/>
        <v>0.95279619604098731</v>
      </c>
      <c r="L238" s="9">
        <f t="shared" si="61"/>
        <v>-0.20999985406163049</v>
      </c>
      <c r="M238" s="9">
        <f>2*(Inputs!$C$9/(Inputs!$C$10^2))*A238</f>
        <v>0.12888888888888889</v>
      </c>
      <c r="N238" s="9">
        <f>M238*Inputs!$C$11</f>
        <v>0.51555555555555554</v>
      </c>
      <c r="O238" s="9">
        <f>1000*((A238*Inputs!$C$11)+(B238*N238))/D238</f>
        <v>1077.0865080339611</v>
      </c>
      <c r="P238" s="9">
        <f>-2*O238/Inputs!$C$13</f>
        <v>-430.83460321358444</v>
      </c>
      <c r="Q238" s="9">
        <f>-2*O238/Inputs!$C$14</f>
        <v>-64.689880362400075</v>
      </c>
      <c r="R238" s="9">
        <f>F238-Inputs!$C$16/2</f>
        <v>2743.5554540274488</v>
      </c>
      <c r="S238" s="9">
        <f>F238+Inputs!$C$16/2</f>
        <v>2773.5554540274488</v>
      </c>
      <c r="T238" s="9">
        <f>F238-Inputs!$C$17/2</f>
        <v>2608.5554540274488</v>
      </c>
      <c r="U238" s="9">
        <f>F238+Inputs!$C$17/2</f>
        <v>2908.5554540274488</v>
      </c>
      <c r="V238" s="9">
        <f t="shared" si="62"/>
        <v>430.83460321358444</v>
      </c>
      <c r="W238" s="9">
        <f t="shared" si="63"/>
        <v>64.689880362400075</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0</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0</v>
      </c>
      <c r="Z238" s="9">
        <f t="shared" si="64"/>
        <v>403.73777777777775</v>
      </c>
      <c r="AA238" s="9">
        <f>SQRT(A238^2+Inputs!$C$6^2+(B238-Y238/1000)^2)</f>
        <v>408.64800648594661</v>
      </c>
      <c r="AB238" s="9">
        <f t="shared" si="65"/>
        <v>4910.2287081688592</v>
      </c>
      <c r="AC238" s="9">
        <f>AB238/Inputs!$C$12</f>
        <v>2758.5554540274488</v>
      </c>
      <c r="AD238" s="9">
        <f>2*AB238/Inputs!$C$21*1000000</f>
        <v>32.757519925126729</v>
      </c>
      <c r="AE238" s="9">
        <f t="shared" si="66"/>
        <v>8.8909798417046026</v>
      </c>
      <c r="AF238" s="9">
        <f>DEGREES((2*PI()/Inputs!$C$13)*Inputs!$C$15*SIN(RADIANS(AE238)))</f>
        <v>55.639745430303066</v>
      </c>
      <c r="AG238" s="9">
        <f t="shared" si="67"/>
        <v>0.95279619604098731</v>
      </c>
      <c r="AH238" s="9">
        <f t="shared" si="68"/>
        <v>-0.20999985406163049</v>
      </c>
      <c r="AI238" s="9">
        <f t="shared" si="69"/>
        <v>0</v>
      </c>
      <c r="AJ238" s="9">
        <f t="shared" si="70"/>
        <v>0</v>
      </c>
      <c r="AK238" s="9">
        <f t="shared" si="71"/>
        <v>0</v>
      </c>
      <c r="AL238" s="9">
        <f>1000*(AA239-AA237)/(A239-A237)*Inputs!$C$11</f>
        <v>1077.0853739632003</v>
      </c>
      <c r="AM238" s="9">
        <f>-2*AL238/Inputs!$C$13</f>
        <v>-430.8341495852801</v>
      </c>
      <c r="AN238" s="9">
        <f>-2*AL238/Inputs!$C$14</f>
        <v>-64.689812250042067</v>
      </c>
      <c r="AO238" s="9">
        <f t="shared" si="72"/>
        <v>430.8341495852801</v>
      </c>
      <c r="AP238" s="9">
        <f t="shared" si="73"/>
        <v>64.689812250042067</v>
      </c>
      <c r="AQ238" s="9">
        <f>IF(OR(Inputs!$C$27=TRUE,Inputs!$C$27="TRUE",Inputs!$C$27=1),Inputs!$C$46/Inputs!$C$12,0)</f>
        <v>0</v>
      </c>
      <c r="AR238" s="9">
        <f t="shared" si="74"/>
        <v>2758.5554540274488</v>
      </c>
      <c r="AS238" s="9">
        <f t="shared" si="75"/>
        <v>2758.5554540274488</v>
      </c>
    </row>
    <row r="239" spans="1:45">
      <c r="A239" s="9">
        <f>Inputs!$C$7+237*(Inputs!$C$8-Inputs!$C$7)/240</f>
        <v>58.5</v>
      </c>
      <c r="B239" s="9">
        <f>Inputs!$C$5+Inputs!$C$9*(A239/Inputs!$C$10)^2</f>
        <v>403.80250000000001</v>
      </c>
      <c r="C239" s="9">
        <f t="shared" si="57"/>
        <v>403.80250000000001</v>
      </c>
      <c r="D239" s="9">
        <f>SQRT(A239^2+Inputs!$C$6^2+B239^2)</f>
        <v>408.78320538673069</v>
      </c>
      <c r="E239" s="9">
        <f t="shared" si="58"/>
        <v>4980.7053867306768</v>
      </c>
      <c r="F239" s="9">
        <f>E239/Inputs!$C$12</f>
        <v>2798.1490936689197</v>
      </c>
      <c r="G239" s="9">
        <f>2*E239/Inputs!$C$21*1000000</f>
        <v>33.227689715467605</v>
      </c>
      <c r="H239" s="9">
        <f>SQRT(A239^2+Inputs!$C$6^2)</f>
        <v>63.618000597315223</v>
      </c>
      <c r="I239" s="9">
        <f t="shared" si="59"/>
        <v>8.9532040951491538</v>
      </c>
      <c r="J239" s="9">
        <f>DEGREES((2*PI()/Inputs!$C$13)*Inputs!$C$15*SIN(RADIANS(I239)))</f>
        <v>56.025981286013241</v>
      </c>
      <c r="K239" s="9">
        <f t="shared" si="60"/>
        <v>0.95214662979697751</v>
      </c>
      <c r="L239" s="9">
        <f t="shared" si="61"/>
        <v>-0.21296165472579209</v>
      </c>
      <c r="M239" s="9">
        <f>2*(Inputs!$C$9/(Inputs!$C$10^2))*A239</f>
        <v>0.13</v>
      </c>
      <c r="N239" s="9">
        <f>M239*Inputs!$C$11</f>
        <v>0.52</v>
      </c>
      <c r="O239" s="9">
        <f>1000*((A239*Inputs!$C$11)+(B239*N239))/D239</f>
        <v>1086.0947664911375</v>
      </c>
      <c r="P239" s="9">
        <f>-2*O239/Inputs!$C$13</f>
        <v>-434.43790659645504</v>
      </c>
      <c r="Q239" s="9">
        <f>-2*O239/Inputs!$C$14</f>
        <v>-65.230916906374631</v>
      </c>
      <c r="R239" s="9">
        <f>F239-Inputs!$C$16/2</f>
        <v>2783.1490936689197</v>
      </c>
      <c r="S239" s="9">
        <f>F239+Inputs!$C$16/2</f>
        <v>2813.1490936689197</v>
      </c>
      <c r="T239" s="9">
        <f>F239-Inputs!$C$17/2</f>
        <v>2648.1490936689197</v>
      </c>
      <c r="U239" s="9">
        <f>F239+Inputs!$C$17/2</f>
        <v>2948.1490936689197</v>
      </c>
      <c r="V239" s="9">
        <f t="shared" si="62"/>
        <v>434.43790659645504</v>
      </c>
      <c r="W239" s="9">
        <f t="shared" si="63"/>
        <v>65.230916906374631</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0</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0</v>
      </c>
      <c r="Z239" s="9">
        <f t="shared" si="64"/>
        <v>403.80250000000001</v>
      </c>
      <c r="AA239" s="9">
        <f>SQRT(A239^2+Inputs!$C$6^2+(B239-Y239/1000)^2)</f>
        <v>408.78320538673069</v>
      </c>
      <c r="AB239" s="9">
        <f t="shared" si="65"/>
        <v>4980.7053867306768</v>
      </c>
      <c r="AC239" s="9">
        <f>AB239/Inputs!$C$12</f>
        <v>2798.1490936689197</v>
      </c>
      <c r="AD239" s="9">
        <f>2*AB239/Inputs!$C$21*1000000</f>
        <v>33.227689715467605</v>
      </c>
      <c r="AE239" s="9">
        <f t="shared" si="66"/>
        <v>8.9532040951491538</v>
      </c>
      <c r="AF239" s="9">
        <f>DEGREES((2*PI()/Inputs!$C$13)*Inputs!$C$15*SIN(RADIANS(AE239)))</f>
        <v>56.025981286013241</v>
      </c>
      <c r="AG239" s="9">
        <f t="shared" si="67"/>
        <v>0.95214662979697751</v>
      </c>
      <c r="AH239" s="9">
        <f t="shared" si="68"/>
        <v>-0.21296165472579209</v>
      </c>
      <c r="AI239" s="9">
        <f t="shared" si="69"/>
        <v>0</v>
      </c>
      <c r="AJ239" s="9">
        <f t="shared" si="70"/>
        <v>0</v>
      </c>
      <c r="AK239" s="9">
        <f t="shared" si="71"/>
        <v>0</v>
      </c>
      <c r="AL239" s="9">
        <f>1000*(AA240-AA238)/(A240-A238)*Inputs!$C$11</f>
        <v>1086.0936245373978</v>
      </c>
      <c r="AM239" s="9">
        <f>-2*AL239/Inputs!$C$13</f>
        <v>-434.43744981495911</v>
      </c>
      <c r="AN239" s="9">
        <f>-2*AL239/Inputs!$C$14</f>
        <v>-65.230848320564434</v>
      </c>
      <c r="AO239" s="9">
        <f t="shared" si="72"/>
        <v>434.43744981495911</v>
      </c>
      <c r="AP239" s="9">
        <f t="shared" si="73"/>
        <v>65.230848320564434</v>
      </c>
      <c r="AQ239" s="9">
        <f>IF(OR(Inputs!$C$27=TRUE,Inputs!$C$27="TRUE",Inputs!$C$27=1),Inputs!$C$46/Inputs!$C$12,0)</f>
        <v>0</v>
      </c>
      <c r="AR239" s="9">
        <f t="shared" si="74"/>
        <v>2798.1490936689197</v>
      </c>
      <c r="AS239" s="9">
        <f t="shared" si="75"/>
        <v>2798.1490936689197</v>
      </c>
    </row>
    <row r="240" spans="1:45">
      <c r="A240" s="9">
        <f>Inputs!$C$7+238*(Inputs!$C$8-Inputs!$C$7)/240</f>
        <v>59</v>
      </c>
      <c r="B240" s="9">
        <f>Inputs!$C$5+Inputs!$C$9*(A240/Inputs!$C$10)^2</f>
        <v>403.8677777777778</v>
      </c>
      <c r="C240" s="9">
        <f t="shared" si="57"/>
        <v>403.8677777777778</v>
      </c>
      <c r="D240" s="9">
        <f>SQRT(A240^2+Inputs!$C$6^2+B240^2)</f>
        <v>408.91952989208096</v>
      </c>
      <c r="E240" s="9">
        <f t="shared" si="58"/>
        <v>5051.7521143031554</v>
      </c>
      <c r="F240" s="9">
        <f>E240/Inputs!$C$12</f>
        <v>2838.0629855635702</v>
      </c>
      <c r="G240" s="9">
        <f>2*E240/Inputs!$C$21*1000000</f>
        <v>33.701662463457673</v>
      </c>
      <c r="H240" s="9">
        <f>SQRT(A240^2+Inputs!$C$6^2)</f>
        <v>64.078077374403179</v>
      </c>
      <c r="I240" s="9">
        <f t="shared" si="59"/>
        <v>9.0154589139895744</v>
      </c>
      <c r="J240" s="9">
        <f>DEGREES((2*PI()/Inputs!$C$13)*Inputs!$C$15*SIN(RADIANS(I240)))</f>
        <v>56.41234073822082</v>
      </c>
      <c r="K240" s="9">
        <f t="shared" si="60"/>
        <v>0.95149258392566038</v>
      </c>
      <c r="L240" s="9">
        <f t="shared" si="61"/>
        <v>-0.21594592319382797</v>
      </c>
      <c r="M240" s="9">
        <f>2*(Inputs!$C$9/(Inputs!$C$10^2))*A240</f>
        <v>0.13111111111111112</v>
      </c>
      <c r="N240" s="9">
        <f>M240*Inputs!$C$11</f>
        <v>0.52444444444444449</v>
      </c>
      <c r="O240" s="9">
        <f>1000*((A240*Inputs!$C$11)+(B240*N240))/D240</f>
        <v>1095.0961732345256</v>
      </c>
      <c r="P240" s="9">
        <f>-2*O240/Inputs!$C$13</f>
        <v>-438.03846929381024</v>
      </c>
      <c r="Q240" s="9">
        <f>-2*O240/Inputs!$C$14</f>
        <v>-65.771541936007551</v>
      </c>
      <c r="R240" s="9">
        <f>F240-Inputs!$C$16/2</f>
        <v>2823.0629855635702</v>
      </c>
      <c r="S240" s="9">
        <f>F240+Inputs!$C$16/2</f>
        <v>2853.0629855635702</v>
      </c>
      <c r="T240" s="9">
        <f>F240-Inputs!$C$17/2</f>
        <v>2688.0629855635702</v>
      </c>
      <c r="U240" s="9">
        <f>F240+Inputs!$C$17/2</f>
        <v>2988.0629855635702</v>
      </c>
      <c r="V240" s="9">
        <f t="shared" si="62"/>
        <v>438.03846929381024</v>
      </c>
      <c r="W240" s="9">
        <f t="shared" si="63"/>
        <v>65.771541936007551</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0</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0</v>
      </c>
      <c r="Z240" s="9">
        <f t="shared" si="64"/>
        <v>403.8677777777778</v>
      </c>
      <c r="AA240" s="9">
        <f>SQRT(A240^2+Inputs!$C$6^2+(B240-Y240/1000)^2)</f>
        <v>408.91952989208096</v>
      </c>
      <c r="AB240" s="9">
        <f t="shared" si="65"/>
        <v>5051.7521143031554</v>
      </c>
      <c r="AC240" s="9">
        <f>AB240/Inputs!$C$12</f>
        <v>2838.0629855635702</v>
      </c>
      <c r="AD240" s="9">
        <f>2*AB240/Inputs!$C$21*1000000</f>
        <v>33.701662463457673</v>
      </c>
      <c r="AE240" s="9">
        <f t="shared" si="66"/>
        <v>9.0154589139895744</v>
      </c>
      <c r="AF240" s="9">
        <f>DEGREES((2*PI()/Inputs!$C$13)*Inputs!$C$15*SIN(RADIANS(AE240)))</f>
        <v>56.41234073822082</v>
      </c>
      <c r="AG240" s="9">
        <f t="shared" si="67"/>
        <v>0.95149258392566038</v>
      </c>
      <c r="AH240" s="9">
        <f t="shared" si="68"/>
        <v>-0.21594592319382797</v>
      </c>
      <c r="AI240" s="9">
        <f t="shared" si="69"/>
        <v>0</v>
      </c>
      <c r="AJ240" s="9">
        <f t="shared" si="70"/>
        <v>0</v>
      </c>
      <c r="AK240" s="9">
        <f t="shared" si="71"/>
        <v>0</v>
      </c>
      <c r="AL240" s="9">
        <f>1000*(AA241-AA239)/(A241-A239)*Inputs!$C$11</f>
        <v>1095.0950234425818</v>
      </c>
      <c r="AM240" s="9">
        <f>-2*AL240/Inputs!$C$13</f>
        <v>-438.03800937703272</v>
      </c>
      <c r="AN240" s="9">
        <f>-2*AL240/Inputs!$C$14</f>
        <v>-65.771472879434342</v>
      </c>
      <c r="AO240" s="9">
        <f t="shared" si="72"/>
        <v>438.03800937703272</v>
      </c>
      <c r="AP240" s="9">
        <f t="shared" si="73"/>
        <v>65.771472879434342</v>
      </c>
      <c r="AQ240" s="9">
        <f>IF(OR(Inputs!$C$27=TRUE,Inputs!$C$27="TRUE",Inputs!$C$27=1),Inputs!$C$46/Inputs!$C$12,0)</f>
        <v>0</v>
      </c>
      <c r="AR240" s="9">
        <f t="shared" si="74"/>
        <v>2838.0629855635702</v>
      </c>
      <c r="AS240" s="9">
        <f t="shared" si="75"/>
        <v>2838.0629855635702</v>
      </c>
    </row>
    <row r="241" spans="1:45">
      <c r="A241" s="9">
        <f>Inputs!$C$7+239*(Inputs!$C$8-Inputs!$C$7)/240</f>
        <v>59.5</v>
      </c>
      <c r="B241" s="9">
        <f>Inputs!$C$5+Inputs!$C$9*(A241/Inputs!$C$10)^2</f>
        <v>403.93361111111113</v>
      </c>
      <c r="C241" s="9">
        <f t="shared" si="57"/>
        <v>403.93361111111113</v>
      </c>
      <c r="D241" s="9">
        <f>SQRT(A241^2+Inputs!$C$6^2+B241^2)</f>
        <v>409.05697914259133</v>
      </c>
      <c r="E241" s="9">
        <f t="shared" si="58"/>
        <v>5123.3680314801968</v>
      </c>
      <c r="F241" s="9">
        <f>E241/Inputs!$C$12</f>
        <v>2878.2966468989871</v>
      </c>
      <c r="G241" s="9">
        <f>2*E241/Inputs!$C$21*1000000</f>
        <v>34.179432435756581</v>
      </c>
      <c r="H241" s="9">
        <f>SQRT(A241^2+Inputs!$C$6^2)</f>
        <v>64.538748051073938</v>
      </c>
      <c r="I241" s="9">
        <f t="shared" si="59"/>
        <v>9.0777420317977509</v>
      </c>
      <c r="J241" s="9">
        <f>DEGREES((2*PI()/Inputs!$C$13)*Inputs!$C$15*SIN(RADIANS(I241)))</f>
        <v>56.79880917100207</v>
      </c>
      <c r="K241" s="9">
        <f t="shared" si="60"/>
        <v>0.95083408394659896</v>
      </c>
      <c r="L241" s="9">
        <f t="shared" si="61"/>
        <v>-0.21895258785865263</v>
      </c>
      <c r="M241" s="9">
        <f>2*(Inputs!$C$9/(Inputs!$C$10^2))*A241</f>
        <v>0.13222222222222221</v>
      </c>
      <c r="N241" s="9">
        <f>M241*Inputs!$C$11</f>
        <v>0.52888888888888885</v>
      </c>
      <c r="O241" s="9">
        <f>1000*((A241*Inputs!$C$11)+(B241*N241))/D241</f>
        <v>1104.0906812348956</v>
      </c>
      <c r="P241" s="9">
        <f>-2*O241/Inputs!$C$13</f>
        <v>-441.63627249395824</v>
      </c>
      <c r="Q241" s="9">
        <f>-2*O241/Inputs!$C$14</f>
        <v>-66.311752626720462</v>
      </c>
      <c r="R241" s="9">
        <f>F241-Inputs!$C$16/2</f>
        <v>2863.2966468989871</v>
      </c>
      <c r="S241" s="9">
        <f>F241+Inputs!$C$16/2</f>
        <v>2893.2966468989871</v>
      </c>
      <c r="T241" s="9">
        <f>F241-Inputs!$C$17/2</f>
        <v>2728.2966468989871</v>
      </c>
      <c r="U241" s="9">
        <f>F241+Inputs!$C$17/2</f>
        <v>3028.2966468989871</v>
      </c>
      <c r="V241" s="9">
        <f t="shared" si="62"/>
        <v>441.63627249395824</v>
      </c>
      <c r="W241" s="9">
        <f t="shared" si="63"/>
        <v>66.311752626720462</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0</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0</v>
      </c>
      <c r="Z241" s="9">
        <f t="shared" si="64"/>
        <v>403.93361111111113</v>
      </c>
      <c r="AA241" s="9">
        <f>SQRT(A241^2+Inputs!$C$6^2+(B241-Y241/1000)^2)</f>
        <v>409.05697914259133</v>
      </c>
      <c r="AB241" s="9">
        <f t="shared" si="65"/>
        <v>5123.3680314801968</v>
      </c>
      <c r="AC241" s="9">
        <f>AB241/Inputs!$C$12</f>
        <v>2878.2966468989871</v>
      </c>
      <c r="AD241" s="9">
        <f>2*AB241/Inputs!$C$21*1000000</f>
        <v>34.179432435756581</v>
      </c>
      <c r="AE241" s="9">
        <f t="shared" si="66"/>
        <v>9.0777420317977509</v>
      </c>
      <c r="AF241" s="9">
        <f>DEGREES((2*PI()/Inputs!$C$13)*Inputs!$C$15*SIN(RADIANS(AE241)))</f>
        <v>56.79880917100207</v>
      </c>
      <c r="AG241" s="9">
        <f t="shared" si="67"/>
        <v>0.95083408394659896</v>
      </c>
      <c r="AH241" s="9">
        <f t="shared" si="68"/>
        <v>-0.21895258785865263</v>
      </c>
      <c r="AI241" s="9">
        <f t="shared" si="69"/>
        <v>0</v>
      </c>
      <c r="AJ241" s="9">
        <f t="shared" si="70"/>
        <v>0</v>
      </c>
      <c r="AK241" s="9">
        <f t="shared" si="71"/>
        <v>0</v>
      </c>
      <c r="AL241" s="9">
        <f>1000*(AA242-AA240)/(A242-A240)*Inputs!$C$11</f>
        <v>1104.0895236494634</v>
      </c>
      <c r="AM241" s="9">
        <f>-2*AL241/Inputs!$C$13</f>
        <v>-441.63580945978538</v>
      </c>
      <c r="AN241" s="9">
        <f>-2*AL241/Inputs!$C$14</f>
        <v>-66.311683102069878</v>
      </c>
      <c r="AO241" s="9">
        <f t="shared" si="72"/>
        <v>441.63580945978538</v>
      </c>
      <c r="AP241" s="9">
        <f t="shared" si="73"/>
        <v>66.311683102069878</v>
      </c>
      <c r="AQ241" s="9">
        <f>IF(OR(Inputs!$C$27=TRUE,Inputs!$C$27="TRUE",Inputs!$C$27=1),Inputs!$C$46/Inputs!$C$12,0)</f>
        <v>0</v>
      </c>
      <c r="AR241" s="9">
        <f t="shared" si="74"/>
        <v>2878.2966468989871</v>
      </c>
      <c r="AS241" s="9">
        <f t="shared" si="75"/>
        <v>2878.2966468989871</v>
      </c>
    </row>
    <row r="242" spans="1:45">
      <c r="A242" s="9">
        <f>Inputs!$C$7+240*(Inputs!$C$8-Inputs!$C$7)/240</f>
        <v>60</v>
      </c>
      <c r="B242" s="9">
        <f>Inputs!$C$5+Inputs!$C$9*(A242/Inputs!$C$10)^2</f>
        <v>404</v>
      </c>
      <c r="C242" s="9">
        <f t="shared" si="57"/>
        <v>404</v>
      </c>
      <c r="D242" s="9">
        <f>SQRT(A242^2+Inputs!$C$6^2+B242^2)</f>
        <v>409.19555227299333</v>
      </c>
      <c r="E242" s="9">
        <f t="shared" si="58"/>
        <v>5195.5522729933255</v>
      </c>
      <c r="F242" s="9">
        <f>E242/Inputs!$C$12</f>
        <v>2918.8495915692838</v>
      </c>
      <c r="G242" s="9">
        <f>2*E242/Inputs!$C$21*1000000</f>
        <v>34.66099385991442</v>
      </c>
      <c r="H242" s="9">
        <f>SQRT(A242^2+Inputs!$C$6^2)</f>
        <v>65</v>
      </c>
      <c r="I242" s="9">
        <f t="shared" si="59"/>
        <v>9.1400512341328497</v>
      </c>
      <c r="J242" s="9">
        <f>DEGREES((2*PI()/Inputs!$C$13)*Inputs!$C$15*SIN(RADIANS(I242)))</f>
        <v>57.18537229942514</v>
      </c>
      <c r="K242" s="9">
        <f t="shared" si="60"/>
        <v>0.95017115549449949</v>
      </c>
      <c r="L242" s="9">
        <f t="shared" si="61"/>
        <v>-0.22198157667300014</v>
      </c>
      <c r="M242" s="9">
        <f>2*(Inputs!$C$9/(Inputs!$C$10^2))*A242</f>
        <v>0.13333333333333333</v>
      </c>
      <c r="N242" s="9">
        <f>M242*Inputs!$C$11</f>
        <v>0.53333333333333333</v>
      </c>
      <c r="O242" s="9">
        <f>1000*((A242*Inputs!$C$11)+(B242*N242))/D242</f>
        <v>1113.0782437312607</v>
      </c>
      <c r="P242" s="9">
        <f>-2*O242/Inputs!$C$13</f>
        <v>-445.23129749250427</v>
      </c>
      <c r="Q242" s="9">
        <f>-2*O242/Inputs!$C$14</f>
        <v>-66.851546170045694</v>
      </c>
      <c r="R242" s="9">
        <f>F242-Inputs!$C$16/2</f>
        <v>2903.8495915692838</v>
      </c>
      <c r="S242" s="9">
        <f>F242+Inputs!$C$16/2</f>
        <v>2933.8495915692838</v>
      </c>
      <c r="T242" s="9">
        <f>F242-Inputs!$C$17/2</f>
        <v>2768.8495915692838</v>
      </c>
      <c r="U242" s="9">
        <f>F242+Inputs!$C$17/2</f>
        <v>3068.8495915692838</v>
      </c>
      <c r="V242" s="9">
        <f t="shared" si="62"/>
        <v>445.23129749250427</v>
      </c>
      <c r="W242" s="9">
        <f t="shared" si="63"/>
        <v>66.851546170045694</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0</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0</v>
      </c>
      <c r="Z242" s="9">
        <f t="shared" si="64"/>
        <v>404</v>
      </c>
      <c r="AA242" s="9">
        <f>SQRT(A242^2+Inputs!$C$6^2+(B242-Y242/1000)^2)</f>
        <v>409.19555227299333</v>
      </c>
      <c r="AB242" s="9">
        <f t="shared" si="65"/>
        <v>5195.5522729933255</v>
      </c>
      <c r="AC242" s="9">
        <f>AB242/Inputs!$C$12</f>
        <v>2918.8495915692838</v>
      </c>
      <c r="AD242" s="9">
        <f>2*AB242/Inputs!$C$21*1000000</f>
        <v>34.66099385991442</v>
      </c>
      <c r="AE242" s="9">
        <f t="shared" si="66"/>
        <v>9.1400512341328497</v>
      </c>
      <c r="AF242" s="9">
        <f>DEGREES((2*PI()/Inputs!$C$13)*Inputs!$C$15*SIN(RADIANS(AE242)))</f>
        <v>57.18537229942514</v>
      </c>
      <c r="AG242" s="9">
        <f t="shared" si="67"/>
        <v>0.95017115549449949</v>
      </c>
      <c r="AH242" s="9">
        <f t="shared" si="68"/>
        <v>-0.22198157667300014</v>
      </c>
      <c r="AI242" s="9">
        <f t="shared" si="69"/>
        <v>0</v>
      </c>
      <c r="AJ242" s="9">
        <f t="shared" si="70"/>
        <v>0</v>
      </c>
      <c r="AK242" s="9">
        <f t="shared" si="71"/>
        <v>0</v>
      </c>
      <c r="AL242" s="9">
        <f>1000*(AA242-AA241)/(A242-A241)*Inputs!$C$11</f>
        <v>1108.5850432159532</v>
      </c>
      <c r="AM242" s="9">
        <f>-2*AL242/Inputs!$C$13</f>
        <v>-443.43401728638128</v>
      </c>
      <c r="AN242" s="9">
        <f>-2*AL242/Inputs!$C$14</f>
        <v>-66.58168427723443</v>
      </c>
      <c r="AO242" s="9">
        <f t="shared" si="72"/>
        <v>443.43401728638128</v>
      </c>
      <c r="AP242" s="9">
        <f t="shared" si="73"/>
        <v>66.58168427723443</v>
      </c>
      <c r="AQ242" s="9">
        <f>IF(OR(Inputs!$C$27=TRUE,Inputs!$C$27="TRUE",Inputs!$C$27=1),Inputs!$C$46/Inputs!$C$12,0)</f>
        <v>0</v>
      </c>
      <c r="AR242" s="9">
        <f t="shared" si="74"/>
        <v>2918.8495915692838</v>
      </c>
      <c r="AS242" s="9">
        <f t="shared" si="75"/>
        <v>2918.8495915692838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42"/>
  <sheetViews>
    <sheetView showGridLines="0" workbookViewId="0"/>
  </sheetViews>
  <sheetFormatPr defaultRowHeight="13.8"/>
  <cols>
    <col min="1" max="1" width="12" customWidth="1"/>
    <col min="2" max="2" width="34" customWidth="1"/>
    <col min="3" max="3" width="32" customWidth="1"/>
    <col min="4" max="4" width="38" customWidth="1"/>
    <col min="5" max="5" width="12" customWidth="1"/>
    <col min="6" max="7" width="30" customWidth="1"/>
    <col min="8" max="8" width="4" customWidth="1"/>
    <col min="9" max="9" width="12" customWidth="1"/>
    <col min="10" max="10" width="32" customWidth="1"/>
    <col min="11" max="11" width="44" customWidth="1"/>
    <col min="12" max="12" width="4" customWidth="1"/>
    <col min="13" max="13" width="12" customWidth="1"/>
    <col min="14" max="14" width="20" customWidth="1"/>
    <col min="15" max="15" width="28" customWidth="1"/>
    <col min="16" max="16" width="20" customWidth="1"/>
    <col min="17" max="17" width="28" customWidth="1"/>
    <col min="18" max="18" width="4" customWidth="1"/>
    <col min="19" max="19" width="12" customWidth="1"/>
    <col min="20" max="20" width="22" customWidth="1"/>
    <col min="21" max="21" width="4" customWidth="1"/>
    <col min="22" max="22" width="12" customWidth="1"/>
    <col min="23" max="23" width="34" customWidth="1"/>
    <col min="24" max="24" width="32" customWidth="1"/>
    <col min="25" max="25" width="4" customWidth="1"/>
    <col min="26" max="26" width="12" customWidth="1"/>
    <col min="27" max="28" width="34" customWidth="1"/>
    <col min="29" max="30" width="28" customWidth="1"/>
  </cols>
  <sheetData>
    <row r="1" spans="1:30" ht="27.6">
      <c r="A1" s="2" t="s">
        <v>257</v>
      </c>
      <c r="B1" s="2" t="s">
        <v>258</v>
      </c>
      <c r="C1" s="2" t="s">
        <v>259</v>
      </c>
      <c r="D1" s="2" t="s">
        <v>260</v>
      </c>
      <c r="E1" s="2" t="s">
        <v>257</v>
      </c>
      <c r="F1" s="2" t="s">
        <v>261</v>
      </c>
      <c r="G1" s="2" t="s">
        <v>262</v>
      </c>
      <c r="I1" s="2" t="s">
        <v>257</v>
      </c>
      <c r="J1" s="2" t="s">
        <v>263</v>
      </c>
      <c r="K1" s="2" t="s">
        <v>264</v>
      </c>
      <c r="M1" s="2" t="s">
        <v>257</v>
      </c>
      <c r="N1" s="2" t="s">
        <v>265</v>
      </c>
      <c r="O1" s="2" t="s">
        <v>266</v>
      </c>
      <c r="P1" s="2" t="s">
        <v>267</v>
      </c>
      <c r="Q1" s="2" t="s">
        <v>268</v>
      </c>
      <c r="S1" s="2" t="s">
        <v>257</v>
      </c>
      <c r="T1" s="2" t="s">
        <v>269</v>
      </c>
      <c r="V1" s="2" t="s">
        <v>257</v>
      </c>
      <c r="W1" s="2" t="s">
        <v>258</v>
      </c>
      <c r="X1" s="2" t="s">
        <v>259</v>
      </c>
      <c r="Z1" s="2" t="s">
        <v>257</v>
      </c>
      <c r="AA1" s="2" t="s">
        <v>270</v>
      </c>
      <c r="AB1" s="2" t="s">
        <v>271</v>
      </c>
      <c r="AC1" s="2" t="s">
        <v>272</v>
      </c>
      <c r="AD1" s="2" t="s">
        <v>273</v>
      </c>
    </row>
    <row r="2" spans="1:30">
      <c r="A2" s="9">
        <f>Model_Data!A2</f>
        <v>-60</v>
      </c>
      <c r="B2" s="9">
        <f>((SQRT((Model_Data!A2)^2+Inputs!$C$6^2+Inputs!$C$5^2)-Inputs!$C$5)*1000/Inputs!$C$12)</f>
        <v>2947.6619994621419</v>
      </c>
      <c r="C2" s="9">
        <f>Model_Data!F2</f>
        <v>2918.8495915692838</v>
      </c>
      <c r="D2" s="9">
        <f>(((SQRT((Model_Data!A2)^2+Inputs!$C$6^2+((Model_Data!B2)-((Inputs!$C$51*(115*EXP(-(((Inputs!$C$6)-25)^2)/(4.5^2))+70*EXP(-(((Inputs!$C$6)+38)^2)/(7^2))*(0.55+0.45*SIN(2*PI()*(Model_Data!A2)/45))+24*SIN(2*PI()*(Inputs!$C$6)/9+(Model_Data!A2)/18)*EXP(-(((Inputs!$C$6)+5)^2)/(22^2))+18*SIN(2*PI()*(Model_Data!A2)/70))+Inputs!$C$28*EXP(-(((Model_Data!A2)-Inputs!$C$29)^2)/(2*Inputs!$C$31^2))*EXP(-(((Inputs!$C$6)-Inputs!$C$30)^2)/(2*Inputs!$C$32^2))+-Inputs!$C$33*EXP(-(((((Model_Data!A2)-Inputs!$C$34)^2)+(((Inputs!$C$6)-Inputs!$C$35)^2))/(2*Inputs!$C$36^2)))+Inputs!$C$37*(0.55*SIN(2*PI()*(Model_Data!A2)/Inputs!$C$39)+0.35*COS(2*PI()*(Inputs!$C$6)/Inputs!$C$40)+0.2*SIN(2*PI()*((Model_Data!A2)+(Inputs!$C$6))/(0.5*(Inputs!$C$39+Inputs!$C$40))))+Inputs!$C$38*SIN(2*PI()*(Model_Data!A2)/Inputs!$C$39)*SIN(2*PI()*(Inputs!$C$6)/Inputs!$C$40)+-Inputs!$C$41*EXP(-(((Inputs!$C$6)-Inputs!$C$43)^2)/(2*Inputs!$C$44^2))*EXP(-(((Model_Data!A2)-Inputs!$C$42)^2)/(2*Inputs!$C$45^2))+Inputs!$C$48*(0.7*(0.45*SIN(2*PI()*(((Model_Data!A2)/Inputs!$C$49)+Inputs!$C$47*0.137))+0.35*COS(2*PI()*(((Inputs!$C$6)/Inputs!$C$50)+Inputs!$C$47*0.173))+0.2*SIN(2*PI()*(((Model_Data!A2)+(Inputs!$C$6))/(0.5*(Inputs!$C$49+Inputs!$C$50))+Inputs!$C$47*0.097)))+0.3*(2*((SIN(((Model_Data!A2)*12.9898+(Inputs!$C$6)*78.233+Inputs!$C$47*37.719))*43758.5453)-INT((SIN(((Model_Data!A2)*12.9898+(Inputs!$C$6)*78.233+Inputs!$C$47*37.719))*43758.5453)))-1))))/1000)^2))-(((Model_Data!B2)-((Inputs!$C$51*(115*EXP(-(((0)-25)^2)/(4.5^2))+70*EXP(-(((0)+38)^2)/(7^2))*(0.55+0.45*SIN(2*PI()*(Model_Data!A2)/45))+24*SIN(2*PI()*(0)/9+(Model_Data!A2)/18)*EXP(-(((0)+5)^2)/(22^2))+18*SIN(2*PI()*(Model_Data!A2)/70))+Inputs!$C$28*EXP(-(((Model_Data!A2)-Inputs!$C$29)^2)/(2*Inputs!$C$31^2))*EXP(-(((0)-Inputs!$C$30)^2)/(2*Inputs!$C$32^2))+-Inputs!$C$33*EXP(-(((((Model_Data!A2)-Inputs!$C$34)^2)+(((0)-Inputs!$C$35)^2))/(2*Inputs!$C$36^2)))+Inputs!$C$37*(0.55*SIN(2*PI()*(Model_Data!A2)/Inputs!$C$39)+0.35*COS(2*PI()*(0)/Inputs!$C$40)+0.2*SIN(2*PI()*((Model_Data!A2)+(0))/(0.5*(Inputs!$C$39+Inputs!$C$40))))+Inputs!$C$38*SIN(2*PI()*(Model_Data!A2)/Inputs!$C$39)*SIN(2*PI()*(0)/Inputs!$C$40)+-Inputs!$C$41*EXP(-(((0)-Inputs!$C$43)^2)/(2*Inputs!$C$44^2))*EXP(-(((Model_Data!A2)-Inputs!$C$42)^2)/(2*Inputs!$C$45^2))+Inputs!$C$48*(0.7*(0.45*SIN(2*PI()*(((Model_Data!A2)/Inputs!$C$49)+Inputs!$C$47*0.137))+0.35*COS(2*PI()*(((0)/Inputs!$C$50)+Inputs!$C$47*0.173))+0.2*SIN(2*PI()*(((Model_Data!A2)+(0))/(0.5*(Inputs!$C$49+Inputs!$C$50))+Inputs!$C$47*0.097)))+0.3*(2*((SIN(((Model_Data!A2)*12.9898+(0)*78.233+Inputs!$C$47*37.719))*43758.5453)-INT((SIN(((Model_Data!A2)*12.9898+(0)*78.233+Inputs!$C$47*37.719))*43758.5453)))-1))))/1000)))*1000/Inputs!$C$12)</f>
        <v>2854.161214581025</v>
      </c>
      <c r="E2" s="9">
        <f>Model_Data!A2</f>
        <v>-60</v>
      </c>
      <c r="F2" s="9">
        <f>(Inputs!$C$51*(115*EXP(-(((Inputs!$C$6)-25)^2)/(4.5^2))+70*EXP(-(((Inputs!$C$6)+38)^2)/(7^2))*(0.55+0.45*SIN(2*PI()*(Model_Data!A2)/45))+24*SIN(2*PI()*(Inputs!$C$6)/9+(Model_Data!A2)/18)*EXP(-(((Inputs!$C$6)+5)^2)/(22^2))+18*SIN(2*PI()*(Model_Data!A2)/70))+Inputs!$C$28*EXP(-(((Model_Data!A2)-Inputs!$C$29)^2)/(2*Inputs!$C$31^2))*EXP(-(((Inputs!$C$6)-Inputs!$C$30)^2)/(2*Inputs!$C$32^2))+-Inputs!$C$33*EXP(-(((((Model_Data!A2)-Inputs!$C$34)^2)+(((Inputs!$C$6)-Inputs!$C$35)^2))/(2*Inputs!$C$36^2)))+Inputs!$C$37*(0.55*SIN(2*PI()*(Model_Data!A2)/Inputs!$C$39)+0.35*COS(2*PI()*(Inputs!$C$6)/Inputs!$C$40)+0.2*SIN(2*PI()*((Model_Data!A2)+(Inputs!$C$6))/(0.5*(Inputs!$C$39+Inputs!$C$40))))+Inputs!$C$38*SIN(2*PI()*(Model_Data!A2)/Inputs!$C$39)*SIN(2*PI()*(Inputs!$C$6)/Inputs!$C$40)+-Inputs!$C$41*EXP(-(((Inputs!$C$6)-Inputs!$C$43)^2)/(2*Inputs!$C$44^2))*EXP(-(((Model_Data!A2)-Inputs!$C$42)^2)/(2*Inputs!$C$45^2))+Inputs!$C$48*(0.7*(0.45*SIN(2*PI()*(((Model_Data!A2)/Inputs!$C$49)+Inputs!$C$47*0.137))+0.35*COS(2*PI()*(((Inputs!$C$6)/Inputs!$C$50)+Inputs!$C$47*0.173))+0.2*SIN(2*PI()*(((Model_Data!A2)+(Inputs!$C$6))/(0.5*(Inputs!$C$49+Inputs!$C$50))+Inputs!$C$47*0.097)))+0.3*(2*((SIN(((Model_Data!A2)*12.9898+(Inputs!$C$6)*78.233+Inputs!$C$47*37.719))*43758.5453)-INT((SIN(((Model_Data!A2)*12.9898+(Inputs!$C$6)*78.233+Inputs!$C$47*37.719))*43758.5453)))-1)))</f>
        <v>119.42638570504096</v>
      </c>
      <c r="G2" s="9">
        <f>(Inputs!$C$51*(115*EXP(-(((0)-25)^2)/(4.5^2))+70*EXP(-(((0)+38)^2)/(7^2))*(0.55+0.45*SIN(2*PI()*(Model_Data!A2)/45))+24*SIN(2*PI()*(0)/9+(Model_Data!A2)/18)*EXP(-(((0)+5)^2)/(22^2))+18*SIN(2*PI()*(Model_Data!A2)/70))+Inputs!$C$28*EXP(-(((Model_Data!A2)-Inputs!$C$29)^2)/(2*Inputs!$C$31^2))*EXP(-(((0)-Inputs!$C$30)^2)/(2*Inputs!$C$32^2))+-Inputs!$C$33*EXP(-(((((Model_Data!A2)-Inputs!$C$34)^2)+(((0)-Inputs!$C$35)^2))/(2*Inputs!$C$36^2)))+Inputs!$C$37*(0.55*SIN(2*PI()*(Model_Data!A2)/Inputs!$C$39)+0.35*COS(2*PI()*(0)/Inputs!$C$40)+0.2*SIN(2*PI()*((Model_Data!A2)+(0))/(0.5*(Inputs!$C$39+Inputs!$C$40))))+Inputs!$C$38*SIN(2*PI()*(Model_Data!A2)/Inputs!$C$39)*SIN(2*PI()*(0)/Inputs!$C$40)+-Inputs!$C$41*EXP(-(((0)-Inputs!$C$43)^2)/(2*Inputs!$C$44^2))*EXP(-(((Model_Data!A2)-Inputs!$C$42)^2)/(2*Inputs!$C$45^2))+Inputs!$C$48*(0.7*(0.45*SIN(2*PI()*(((Model_Data!A2)/Inputs!$C$49)+Inputs!$C$47*0.137))+0.35*COS(2*PI()*(((0)/Inputs!$C$50)+Inputs!$C$47*0.173))+0.2*SIN(2*PI()*(((Model_Data!A2)+(0))/(0.5*(Inputs!$C$49+Inputs!$C$50))+Inputs!$C$47*0.097)))+0.3*(2*((SIN(((Model_Data!A2)*12.9898+(0)*78.233+Inputs!$C$47*37.719))*43758.5453)-INT((SIN(((Model_Data!A2)*12.9898+(0)*78.233+Inputs!$C$47*37.719))*43758.5453)))-1)))</f>
        <v>2.7642790376893132</v>
      </c>
      <c r="H2" s="10"/>
      <c r="I2" s="9">
        <f>Model_Data!A2</f>
        <v>-60</v>
      </c>
      <c r="J2" s="9">
        <f>(Inputs!$C$51*(115*EXP(-(((Inputs!$C$6)-25)^2)/(4.5^2))+70*EXP(-(((Inputs!$C$6)+38)^2)/(7^2))*(0.55+0.45*SIN(2*PI()*(Model_Data!A2)/45))+24*SIN(2*PI()*(Inputs!$C$6)/9+(Model_Data!A2)/18)*EXP(-(((Inputs!$C$6)+5)^2)/(22^2))+18*SIN(2*PI()*(Model_Data!A2)/70))+Inputs!$C$28*EXP(-(((Model_Data!A2)-Inputs!$C$29)^2)/(2*Inputs!$C$31^2))*EXP(-(((Inputs!$C$6)-Inputs!$C$30)^2)/(2*Inputs!$C$32^2))+-Inputs!$C$33*EXP(-(((((Model_Data!A2)-Inputs!$C$34)^2)+(((Inputs!$C$6)-Inputs!$C$35)^2))/(2*Inputs!$C$36^2)))+Inputs!$C$37*(0.55*SIN(2*PI()*(Model_Data!A2)/Inputs!$C$39)+0.35*COS(2*PI()*(Inputs!$C$6)/Inputs!$C$40)+0.2*SIN(2*PI()*((Model_Data!A2)+(Inputs!$C$6))/(0.5*(Inputs!$C$39+Inputs!$C$40))))+Inputs!$C$38*SIN(2*PI()*(Model_Data!A2)/Inputs!$C$39)*SIN(2*PI()*(Inputs!$C$6)/Inputs!$C$40)+-Inputs!$C$41*EXP(-(((Inputs!$C$6)-Inputs!$C$43)^2)/(2*Inputs!$C$44^2))*EXP(-(((Model_Data!A2)-Inputs!$C$42)^2)/(2*Inputs!$C$45^2))+Inputs!$C$48*(0.7*(0.45*SIN(2*PI()*(((Model_Data!A2)/Inputs!$C$49)+Inputs!$C$47*0.137))+0.35*COS(2*PI()*(((Inputs!$C$6)/Inputs!$C$50)+Inputs!$C$47*0.173))+0.2*SIN(2*PI()*(((Model_Data!A2)+(Inputs!$C$6))/(0.5*(Inputs!$C$49+Inputs!$C$50))+Inputs!$C$47*0.097)))+0.3*(2*((SIN(((Model_Data!A2)*12.9898+(Inputs!$C$6)*78.233+Inputs!$C$47*37.719))*43758.5453)-INT((SIN(((Model_Data!A2)*12.9898+(Inputs!$C$6)*78.233+Inputs!$C$47*37.719))*43758.5453)))-1)))</f>
        <v>119.42638570504096</v>
      </c>
      <c r="K2" s="9">
        <f>-((((SQRT((Model_Data!A2)^2+Inputs!$C$6^2+((Model_Data!B2)-((Inputs!$C$51*(115*EXP(-(((Inputs!$C$6)-25)^2)/(4.5^2))+70*EXP(-(((Inputs!$C$6)+38)^2)/(7^2))*(0.55+0.45*SIN(2*PI()*(Model_Data!A2)/45))+24*SIN(2*PI()*(Inputs!$C$6)/9+(Model_Data!A2)/18)*EXP(-(((Inputs!$C$6)+5)^2)/(22^2))+18*SIN(2*PI()*(Model_Data!A2)/70))+Inputs!$C$28*EXP(-(((Model_Data!A2)-Inputs!$C$29)^2)/(2*Inputs!$C$31^2))*EXP(-(((Inputs!$C$6)-Inputs!$C$30)^2)/(2*Inputs!$C$32^2))+-Inputs!$C$33*EXP(-(((((Model_Data!A2)-Inputs!$C$34)^2)+(((Inputs!$C$6)-Inputs!$C$35)^2))/(2*Inputs!$C$36^2)))+Inputs!$C$37*(0.55*SIN(2*PI()*(Model_Data!A2)/Inputs!$C$39)+0.35*COS(2*PI()*(Inputs!$C$6)/Inputs!$C$40)+0.2*SIN(2*PI()*((Model_Data!A2)+(Inputs!$C$6))/(0.5*(Inputs!$C$39+Inputs!$C$40))))+Inputs!$C$38*SIN(2*PI()*(Model_Data!A2)/Inputs!$C$39)*SIN(2*PI()*(Inputs!$C$6)/Inputs!$C$40)+-Inputs!$C$41*EXP(-(((Inputs!$C$6)-Inputs!$C$43)^2)/(2*Inputs!$C$44^2))*EXP(-(((Model_Data!A2)-Inputs!$C$42)^2)/(2*Inputs!$C$45^2))+Inputs!$C$48*(0.7*(0.45*SIN(2*PI()*(((Model_Data!A2)/Inputs!$C$49)+Inputs!$C$47*0.137))+0.35*COS(2*PI()*(((Inputs!$C$6)/Inputs!$C$50)+Inputs!$C$47*0.173))+0.2*SIN(2*PI()*(((Model_Data!A2)+(Inputs!$C$6))/(0.5*(Inputs!$C$49+Inputs!$C$50))+Inputs!$C$47*0.097)))+0.3*(2*((SIN(((Model_Data!A2)*12.9898+(Inputs!$C$6)*78.233+Inputs!$C$47*37.719))*43758.5453)-INT((SIN(((Model_Data!A2)*12.9898+(Inputs!$C$6)*78.233+Inputs!$C$47*37.719))*43758.5453)))-1))))/1000)^2))-(((Model_Data!B2)-((Inputs!$C$51*(115*EXP(-(((0)-25)^2)/(4.5^2))+70*EXP(-(((0)+38)^2)/(7^2))*(0.55+0.45*SIN(2*PI()*(Model_Data!A2)/45))+24*SIN(2*PI()*(0)/9+(Model_Data!A2)/18)*EXP(-(((0)+5)^2)/(22^2))+18*SIN(2*PI()*(Model_Data!A2)/70))+Inputs!$C$28*EXP(-(((Model_Data!A2)-Inputs!$C$29)^2)/(2*Inputs!$C$31^2))*EXP(-(((0)-Inputs!$C$30)^2)/(2*Inputs!$C$32^2))+-Inputs!$C$33*EXP(-(((((Model_Data!A2)-Inputs!$C$34)^2)+(((0)-Inputs!$C$35)^2))/(2*Inputs!$C$36^2)))+Inputs!$C$37*(0.55*SIN(2*PI()*(Model_Data!A2)/Inputs!$C$39)+0.35*COS(2*PI()*(0)/Inputs!$C$40)+0.2*SIN(2*PI()*((Model_Data!A2)+(0))/(0.5*(Inputs!$C$39+Inputs!$C$40))))+Inputs!$C$38*SIN(2*PI()*(Model_Data!A2)/Inputs!$C$39)*SIN(2*PI()*(0)/Inputs!$C$40)+-Inputs!$C$41*EXP(-(((0)-Inputs!$C$43)^2)/(2*Inputs!$C$44^2))*EXP(-(((Model_Data!A2)-Inputs!$C$42)^2)/(2*Inputs!$C$45^2))+Inputs!$C$48*(0.7*(0.45*SIN(2*PI()*(((Model_Data!A2)/Inputs!$C$49)+Inputs!$C$47*0.137))+0.35*COS(2*PI()*(((0)/Inputs!$C$50)+Inputs!$C$47*0.173))+0.2*SIN(2*PI()*(((Model_Data!A2)+(0))/(0.5*(Inputs!$C$49+Inputs!$C$50))+Inputs!$C$47*0.097)))+0.3*(2*((SIN(((Model_Data!A2)*12.9898+(0)*78.233+Inputs!$C$47*37.719))*43758.5453)-INT((SIN(((Model_Data!A2)*12.9898+(0)*78.233+Inputs!$C$47*37.719))*43758.5453)))-1))))/1000)))*1000/Inputs!$C$12)-Model_Data!F2)</f>
        <v>64.688376988258824</v>
      </c>
      <c r="L2" s="10"/>
      <c r="M2" s="9">
        <f>Model_Data!A2</f>
        <v>-60</v>
      </c>
      <c r="N2" s="9">
        <f>Model_Data!P2</f>
        <v>445.23129749250427</v>
      </c>
      <c r="O2" s="9">
        <f t="shared" ref="O2:O65" si="0">AC2</f>
        <v>415.91290631095035</v>
      </c>
      <c r="P2" s="9">
        <f>Model_Data!Q2</f>
        <v>66.851546170045694</v>
      </c>
      <c r="Q2" s="9">
        <f t="shared" ref="Q2:Q65" si="1">AD2</f>
        <v>62.449385331974533</v>
      </c>
      <c r="R2" s="10"/>
      <c r="S2" s="9">
        <f>Model_Data!A2</f>
        <v>-60</v>
      </c>
      <c r="T2" s="9">
        <f>Model_Data!B2-Inputs!$C$5</f>
        <v>4</v>
      </c>
      <c r="U2" s="10"/>
      <c r="V2" s="9">
        <f>Model_Data!A2</f>
        <v>-60</v>
      </c>
      <c r="W2" s="9">
        <f>((SQRT((Model_Data!A2)^2+Inputs!$C$6^2+Inputs!$C$5^2)-Inputs!$C$5)*1000/Inputs!$C$12)</f>
        <v>2947.6619994621419</v>
      </c>
      <c r="X2" s="9">
        <f>Model_Data!F2</f>
        <v>2918.8495915692838</v>
      </c>
      <c r="Y2" s="10"/>
      <c r="Z2" s="9">
        <f>Model_Data!A2</f>
        <v>-60</v>
      </c>
      <c r="AA2" s="9">
        <f>SQRT((Model_Data!A2)^2+Inputs!$C$6^2+((Model_Data!B2)-((Inputs!$C$51*(115*EXP(-(((Inputs!$C$6)-25)^2)/(4.5^2))+70*EXP(-(((Inputs!$C$6)+38)^2)/(7^2))*(0.55+0.45*SIN(2*PI()*(Model_Data!A2)/45))+24*SIN(2*PI()*(Inputs!$C$6)/9+(Model_Data!A2)/18)*EXP(-(((Inputs!$C$6)+5)^2)/(22^2))+18*SIN(2*PI()*(Model_Data!A2)/70))+Inputs!$C$28*EXP(-(((Model_Data!A2)-Inputs!$C$29)^2)/(2*Inputs!$C$31^2))*EXP(-(((Inputs!$C$6)-Inputs!$C$30)^2)/(2*Inputs!$C$32^2))+-Inputs!$C$33*EXP(-(((((Model_Data!A2)-Inputs!$C$34)^2)+(((Inputs!$C$6)-Inputs!$C$35)^2))/(2*Inputs!$C$36^2)))+Inputs!$C$37*(0.55*SIN(2*PI()*(Model_Data!A2)/Inputs!$C$39)+0.35*COS(2*PI()*(Inputs!$C$6)/Inputs!$C$40)+0.2*SIN(2*PI()*((Model_Data!A2)+(Inputs!$C$6))/(0.5*(Inputs!$C$39+Inputs!$C$40))))+Inputs!$C$38*SIN(2*PI()*(Model_Data!A2)/Inputs!$C$39)*SIN(2*PI()*(Inputs!$C$6)/Inputs!$C$40)+-Inputs!$C$41*EXP(-(((Inputs!$C$6)-Inputs!$C$43)^2)/(2*Inputs!$C$44^2))*EXP(-(((Model_Data!A2)-Inputs!$C$42)^2)/(2*Inputs!$C$45^2))+Inputs!$C$48*(0.7*(0.45*SIN(2*PI()*(((Model_Data!A2)/Inputs!$C$49)+Inputs!$C$47*0.137))+0.35*COS(2*PI()*(((Inputs!$C$6)/Inputs!$C$50)+Inputs!$C$47*0.173))+0.2*SIN(2*PI()*(((Model_Data!A2)+(Inputs!$C$6))/(0.5*(Inputs!$C$49+Inputs!$C$50))+Inputs!$C$47*0.097)))+0.3*(2*((SIN(((Model_Data!A2)*12.9898+(Inputs!$C$6)*78.233+Inputs!$C$47*37.719))*43758.5453)-INT((SIN(((Model_Data!A2)*12.9898+(Inputs!$C$6)*78.233+Inputs!$C$47*37.719))*43758.5453)))-1))))/1000)^2)</f>
        <v>409.07764268291652</v>
      </c>
      <c r="AB2" s="9">
        <f>1000*(AA3-AA2)/(Z3-Z2)*Inputs!$C$11</f>
        <v>-1039.7822657773759</v>
      </c>
      <c r="AC2" s="9">
        <f>-2*AB2/Inputs!$C$13</f>
        <v>415.91290631095035</v>
      </c>
      <c r="AD2" s="9">
        <f>-2*AB2/Inputs!$C$14</f>
        <v>62.449385331974533</v>
      </c>
    </row>
    <row r="3" spans="1:30">
      <c r="A3" s="9">
        <f>Model_Data!A3</f>
        <v>-59.5</v>
      </c>
      <c r="B3" s="9">
        <f>((SQRT((Model_Data!A3)^2+Inputs!$C$6^2+Inputs!$C$5^2)-Inputs!$C$5)*1000/Inputs!$C$12)</f>
        <v>2906.2422198150257</v>
      </c>
      <c r="C3" s="9">
        <f>Model_Data!F3</f>
        <v>2878.2966468989871</v>
      </c>
      <c r="D3" s="9">
        <f>(((SQRT((Model_Data!A3)^2+Inputs!$C$6^2+((Model_Data!B3)-((Inputs!$C$51*(115*EXP(-(((Inputs!$C$6)-25)^2)/(4.5^2))+70*EXP(-(((Inputs!$C$6)+38)^2)/(7^2))*(0.55+0.45*SIN(2*PI()*(Model_Data!A3)/45))+24*SIN(2*PI()*(Inputs!$C$6)/9+(Model_Data!A3)/18)*EXP(-(((Inputs!$C$6)+5)^2)/(22^2))+18*SIN(2*PI()*(Model_Data!A3)/70))+Inputs!$C$28*EXP(-(((Model_Data!A3)-Inputs!$C$29)^2)/(2*Inputs!$C$31^2))*EXP(-(((Inputs!$C$6)-Inputs!$C$30)^2)/(2*Inputs!$C$32^2))+-Inputs!$C$33*EXP(-(((((Model_Data!A3)-Inputs!$C$34)^2)+(((Inputs!$C$6)-Inputs!$C$35)^2))/(2*Inputs!$C$36^2)))+Inputs!$C$37*(0.55*SIN(2*PI()*(Model_Data!A3)/Inputs!$C$39)+0.35*COS(2*PI()*(Inputs!$C$6)/Inputs!$C$40)+0.2*SIN(2*PI()*((Model_Data!A3)+(Inputs!$C$6))/(0.5*(Inputs!$C$39+Inputs!$C$40))))+Inputs!$C$38*SIN(2*PI()*(Model_Data!A3)/Inputs!$C$39)*SIN(2*PI()*(Inputs!$C$6)/Inputs!$C$40)+-Inputs!$C$41*EXP(-(((Inputs!$C$6)-Inputs!$C$43)^2)/(2*Inputs!$C$44^2))*EXP(-(((Model_Data!A3)-Inputs!$C$42)^2)/(2*Inputs!$C$45^2))+Inputs!$C$48*(0.7*(0.45*SIN(2*PI()*(((Model_Data!A3)/Inputs!$C$49)+Inputs!$C$47*0.137))+0.35*COS(2*PI()*(((Inputs!$C$6)/Inputs!$C$50)+Inputs!$C$47*0.173))+0.2*SIN(2*PI()*(((Model_Data!A3)+(Inputs!$C$6))/(0.5*(Inputs!$C$49+Inputs!$C$50))+Inputs!$C$47*0.097)))+0.3*(2*((SIN(((Model_Data!A3)*12.9898+(Inputs!$C$6)*78.233+Inputs!$C$47*37.719))*43758.5453)-INT((SIN(((Model_Data!A3)*12.9898+(Inputs!$C$6)*78.233+Inputs!$C$47*37.719))*43758.5453)))-1))))/1000)^2))-(((Model_Data!B3)-((Inputs!$C$51*(115*EXP(-(((0)-25)^2)/(4.5^2))+70*EXP(-(((0)+38)^2)/(7^2))*(0.55+0.45*SIN(2*PI()*(Model_Data!A3)/45))+24*SIN(2*PI()*(0)/9+(Model_Data!A3)/18)*EXP(-(((0)+5)^2)/(22^2))+18*SIN(2*PI()*(Model_Data!A3)/70))+Inputs!$C$28*EXP(-(((Model_Data!A3)-Inputs!$C$29)^2)/(2*Inputs!$C$31^2))*EXP(-(((0)-Inputs!$C$30)^2)/(2*Inputs!$C$32^2))+-Inputs!$C$33*EXP(-(((((Model_Data!A3)-Inputs!$C$34)^2)+(((0)-Inputs!$C$35)^2))/(2*Inputs!$C$36^2)))+Inputs!$C$37*(0.55*SIN(2*PI()*(Model_Data!A3)/Inputs!$C$39)+0.35*COS(2*PI()*(0)/Inputs!$C$40)+0.2*SIN(2*PI()*((Model_Data!A3)+(0))/(0.5*(Inputs!$C$39+Inputs!$C$40))))+Inputs!$C$38*SIN(2*PI()*(Model_Data!A3)/Inputs!$C$39)*SIN(2*PI()*(0)/Inputs!$C$40)+-Inputs!$C$41*EXP(-(((0)-Inputs!$C$43)^2)/(2*Inputs!$C$44^2))*EXP(-(((Model_Data!A3)-Inputs!$C$42)^2)/(2*Inputs!$C$45^2))+Inputs!$C$48*(0.7*(0.45*SIN(2*PI()*(((Model_Data!A3)/Inputs!$C$49)+Inputs!$C$47*0.137))+0.35*COS(2*PI()*(((0)/Inputs!$C$50)+Inputs!$C$47*0.173))+0.2*SIN(2*PI()*(((Model_Data!A3)+(0))/(0.5*(Inputs!$C$49+Inputs!$C$50))+Inputs!$C$47*0.097)))+0.3*(2*((SIN(((Model_Data!A3)*12.9898+(0)*78.233+Inputs!$C$47*37.719))*43758.5453)-INT((SIN(((Model_Data!A3)*12.9898+(0)*78.233+Inputs!$C$47*37.719))*43758.5453)))-1))))/1000)))*1000/Inputs!$C$12)</f>
        <v>2827.9235424660778</v>
      </c>
      <c r="E3" s="9">
        <f>Model_Data!A3</f>
        <v>-59.5</v>
      </c>
      <c r="F3" s="9">
        <f>(Inputs!$C$51*(115*EXP(-(((Inputs!$C$6)-25)^2)/(4.5^2))+70*EXP(-(((Inputs!$C$6)+38)^2)/(7^2))*(0.55+0.45*SIN(2*PI()*(Model_Data!A3)/45))+24*SIN(2*PI()*(Inputs!$C$6)/9+(Model_Data!A3)/18)*EXP(-(((Inputs!$C$6)+5)^2)/(22^2))+18*SIN(2*PI()*(Model_Data!A3)/70))+Inputs!$C$28*EXP(-(((Model_Data!A3)-Inputs!$C$29)^2)/(2*Inputs!$C$31^2))*EXP(-(((Inputs!$C$6)-Inputs!$C$30)^2)/(2*Inputs!$C$32^2))+-Inputs!$C$33*EXP(-(((((Model_Data!A3)-Inputs!$C$34)^2)+(((Inputs!$C$6)-Inputs!$C$35)^2))/(2*Inputs!$C$36^2)))+Inputs!$C$37*(0.55*SIN(2*PI()*(Model_Data!A3)/Inputs!$C$39)+0.35*COS(2*PI()*(Inputs!$C$6)/Inputs!$C$40)+0.2*SIN(2*PI()*((Model_Data!A3)+(Inputs!$C$6))/(0.5*(Inputs!$C$39+Inputs!$C$40))))+Inputs!$C$38*SIN(2*PI()*(Model_Data!A3)/Inputs!$C$39)*SIN(2*PI()*(Inputs!$C$6)/Inputs!$C$40)+-Inputs!$C$41*EXP(-(((Inputs!$C$6)-Inputs!$C$43)^2)/(2*Inputs!$C$44^2))*EXP(-(((Model_Data!A3)-Inputs!$C$42)^2)/(2*Inputs!$C$45^2))+Inputs!$C$48*(0.7*(0.45*SIN(2*PI()*(((Model_Data!A3)/Inputs!$C$49)+Inputs!$C$47*0.137))+0.35*COS(2*PI()*(((Inputs!$C$6)/Inputs!$C$50)+Inputs!$C$47*0.173))+0.2*SIN(2*PI()*(((Model_Data!A3)+(Inputs!$C$6))/(0.5*(Inputs!$C$49+Inputs!$C$50))+Inputs!$C$47*0.097)))+0.3*(2*((SIN(((Model_Data!A3)*12.9898+(Inputs!$C$6)*78.233+Inputs!$C$47*37.719))*43758.5453)-INT((SIN(((Model_Data!A3)*12.9898+(Inputs!$C$6)*78.233+Inputs!$C$47*37.719))*43758.5453)))-1)))</f>
        <v>110.69606493723512</v>
      </c>
      <c r="G3" s="9">
        <f>(Inputs!$C$51*(115*EXP(-(((0)-25)^2)/(4.5^2))+70*EXP(-(((0)+38)^2)/(7^2))*(0.55+0.45*SIN(2*PI()*(Model_Data!A3)/45))+24*SIN(2*PI()*(0)/9+(Model_Data!A3)/18)*EXP(-(((0)+5)^2)/(22^2))+18*SIN(2*PI()*(Model_Data!A3)/70))+Inputs!$C$28*EXP(-(((Model_Data!A3)-Inputs!$C$29)^2)/(2*Inputs!$C$31^2))*EXP(-(((0)-Inputs!$C$30)^2)/(2*Inputs!$C$32^2))+-Inputs!$C$33*EXP(-(((((Model_Data!A3)-Inputs!$C$34)^2)+(((0)-Inputs!$C$35)^2))/(2*Inputs!$C$36^2)))+Inputs!$C$37*(0.55*SIN(2*PI()*(Model_Data!A3)/Inputs!$C$39)+0.35*COS(2*PI()*(0)/Inputs!$C$40)+0.2*SIN(2*PI()*((Model_Data!A3)+(0))/(0.5*(Inputs!$C$39+Inputs!$C$40))))+Inputs!$C$38*SIN(2*PI()*(Model_Data!A3)/Inputs!$C$39)*SIN(2*PI()*(0)/Inputs!$C$40)+-Inputs!$C$41*EXP(-(((0)-Inputs!$C$43)^2)/(2*Inputs!$C$44^2))*EXP(-(((Model_Data!A3)-Inputs!$C$42)^2)/(2*Inputs!$C$45^2))+Inputs!$C$48*(0.7*(0.45*SIN(2*PI()*(((Model_Data!A3)/Inputs!$C$49)+Inputs!$C$47*0.137))+0.35*COS(2*PI()*(((0)/Inputs!$C$50)+Inputs!$C$47*0.173))+0.2*SIN(2*PI()*(((Model_Data!A3)+(0))/(0.5*(Inputs!$C$49+Inputs!$C$50))+Inputs!$C$47*0.097)))+0.3*(2*((SIN(((Model_Data!A3)*12.9898+(0)*78.233+Inputs!$C$47*37.719))*43758.5453)-INT((SIN(((Model_Data!A3)*12.9898+(0)*78.233+Inputs!$C$47*37.719))*43758.5453)))-1)))</f>
        <v>19.645117006409471</v>
      </c>
      <c r="H3" s="10"/>
      <c r="I3" s="9">
        <f>Model_Data!A3</f>
        <v>-59.5</v>
      </c>
      <c r="J3" s="9">
        <f>(Inputs!$C$51*(115*EXP(-(((Inputs!$C$6)-25)^2)/(4.5^2))+70*EXP(-(((Inputs!$C$6)+38)^2)/(7^2))*(0.55+0.45*SIN(2*PI()*(Model_Data!A3)/45))+24*SIN(2*PI()*(Inputs!$C$6)/9+(Model_Data!A3)/18)*EXP(-(((Inputs!$C$6)+5)^2)/(22^2))+18*SIN(2*PI()*(Model_Data!A3)/70))+Inputs!$C$28*EXP(-(((Model_Data!A3)-Inputs!$C$29)^2)/(2*Inputs!$C$31^2))*EXP(-(((Inputs!$C$6)-Inputs!$C$30)^2)/(2*Inputs!$C$32^2))+-Inputs!$C$33*EXP(-(((((Model_Data!A3)-Inputs!$C$34)^2)+(((Inputs!$C$6)-Inputs!$C$35)^2))/(2*Inputs!$C$36^2)))+Inputs!$C$37*(0.55*SIN(2*PI()*(Model_Data!A3)/Inputs!$C$39)+0.35*COS(2*PI()*(Inputs!$C$6)/Inputs!$C$40)+0.2*SIN(2*PI()*((Model_Data!A3)+(Inputs!$C$6))/(0.5*(Inputs!$C$39+Inputs!$C$40))))+Inputs!$C$38*SIN(2*PI()*(Model_Data!A3)/Inputs!$C$39)*SIN(2*PI()*(Inputs!$C$6)/Inputs!$C$40)+-Inputs!$C$41*EXP(-(((Inputs!$C$6)-Inputs!$C$43)^2)/(2*Inputs!$C$44^2))*EXP(-(((Model_Data!A3)-Inputs!$C$42)^2)/(2*Inputs!$C$45^2))+Inputs!$C$48*(0.7*(0.45*SIN(2*PI()*(((Model_Data!A3)/Inputs!$C$49)+Inputs!$C$47*0.137))+0.35*COS(2*PI()*(((Inputs!$C$6)/Inputs!$C$50)+Inputs!$C$47*0.173))+0.2*SIN(2*PI()*(((Model_Data!A3)+(Inputs!$C$6))/(0.5*(Inputs!$C$49+Inputs!$C$50))+Inputs!$C$47*0.097)))+0.3*(2*((SIN(((Model_Data!A3)*12.9898+(Inputs!$C$6)*78.233+Inputs!$C$47*37.719))*43758.5453)-INT((SIN(((Model_Data!A3)*12.9898+(Inputs!$C$6)*78.233+Inputs!$C$47*37.719))*43758.5453)))-1)))</f>
        <v>110.69606493723512</v>
      </c>
      <c r="K3" s="9">
        <f>-((((SQRT((Model_Data!A3)^2+Inputs!$C$6^2+((Model_Data!B3)-((Inputs!$C$51*(115*EXP(-(((Inputs!$C$6)-25)^2)/(4.5^2))+70*EXP(-(((Inputs!$C$6)+38)^2)/(7^2))*(0.55+0.45*SIN(2*PI()*(Model_Data!A3)/45))+24*SIN(2*PI()*(Inputs!$C$6)/9+(Model_Data!A3)/18)*EXP(-(((Inputs!$C$6)+5)^2)/(22^2))+18*SIN(2*PI()*(Model_Data!A3)/70))+Inputs!$C$28*EXP(-(((Model_Data!A3)-Inputs!$C$29)^2)/(2*Inputs!$C$31^2))*EXP(-(((Inputs!$C$6)-Inputs!$C$30)^2)/(2*Inputs!$C$32^2))+-Inputs!$C$33*EXP(-(((((Model_Data!A3)-Inputs!$C$34)^2)+(((Inputs!$C$6)-Inputs!$C$35)^2))/(2*Inputs!$C$36^2)))+Inputs!$C$37*(0.55*SIN(2*PI()*(Model_Data!A3)/Inputs!$C$39)+0.35*COS(2*PI()*(Inputs!$C$6)/Inputs!$C$40)+0.2*SIN(2*PI()*((Model_Data!A3)+(Inputs!$C$6))/(0.5*(Inputs!$C$39+Inputs!$C$40))))+Inputs!$C$38*SIN(2*PI()*(Model_Data!A3)/Inputs!$C$39)*SIN(2*PI()*(Inputs!$C$6)/Inputs!$C$40)+-Inputs!$C$41*EXP(-(((Inputs!$C$6)-Inputs!$C$43)^2)/(2*Inputs!$C$44^2))*EXP(-(((Model_Data!A3)-Inputs!$C$42)^2)/(2*Inputs!$C$45^2))+Inputs!$C$48*(0.7*(0.45*SIN(2*PI()*(((Model_Data!A3)/Inputs!$C$49)+Inputs!$C$47*0.137))+0.35*COS(2*PI()*(((Inputs!$C$6)/Inputs!$C$50)+Inputs!$C$47*0.173))+0.2*SIN(2*PI()*(((Model_Data!A3)+(Inputs!$C$6))/(0.5*(Inputs!$C$49+Inputs!$C$50))+Inputs!$C$47*0.097)))+0.3*(2*((SIN(((Model_Data!A3)*12.9898+(Inputs!$C$6)*78.233+Inputs!$C$47*37.719))*43758.5453)-INT((SIN(((Model_Data!A3)*12.9898+(Inputs!$C$6)*78.233+Inputs!$C$47*37.719))*43758.5453)))-1))))/1000)^2))-(((Model_Data!B3)-((Inputs!$C$51*(115*EXP(-(((0)-25)^2)/(4.5^2))+70*EXP(-(((0)+38)^2)/(7^2))*(0.55+0.45*SIN(2*PI()*(Model_Data!A3)/45))+24*SIN(2*PI()*(0)/9+(Model_Data!A3)/18)*EXP(-(((0)+5)^2)/(22^2))+18*SIN(2*PI()*(Model_Data!A3)/70))+Inputs!$C$28*EXP(-(((Model_Data!A3)-Inputs!$C$29)^2)/(2*Inputs!$C$31^2))*EXP(-(((0)-Inputs!$C$30)^2)/(2*Inputs!$C$32^2))+-Inputs!$C$33*EXP(-(((((Model_Data!A3)-Inputs!$C$34)^2)+(((0)-Inputs!$C$35)^2))/(2*Inputs!$C$36^2)))+Inputs!$C$37*(0.55*SIN(2*PI()*(Model_Data!A3)/Inputs!$C$39)+0.35*COS(2*PI()*(0)/Inputs!$C$40)+0.2*SIN(2*PI()*((Model_Data!A3)+(0))/(0.5*(Inputs!$C$39+Inputs!$C$40))))+Inputs!$C$38*SIN(2*PI()*(Model_Data!A3)/Inputs!$C$39)*SIN(2*PI()*(0)/Inputs!$C$40)+-Inputs!$C$41*EXP(-(((0)-Inputs!$C$43)^2)/(2*Inputs!$C$44^2))*EXP(-(((Model_Data!A3)-Inputs!$C$42)^2)/(2*Inputs!$C$45^2))+Inputs!$C$48*(0.7*(0.45*SIN(2*PI()*(((Model_Data!A3)/Inputs!$C$49)+Inputs!$C$47*0.137))+0.35*COS(2*PI()*(((0)/Inputs!$C$50)+Inputs!$C$47*0.173))+0.2*SIN(2*PI()*(((Model_Data!A3)+(0))/(0.5*(Inputs!$C$49+Inputs!$C$50))+Inputs!$C$47*0.097)))+0.3*(2*((SIN(((Model_Data!A3)*12.9898+(0)*78.233+Inputs!$C$47*37.719))*43758.5453)-INT((SIN(((Model_Data!A3)*12.9898+(0)*78.233+Inputs!$C$47*37.719))*43758.5453)))-1))))/1000)))*1000/Inputs!$C$12)-Model_Data!F3)</f>
        <v>50.373104432909258</v>
      </c>
      <c r="L3" s="10"/>
      <c r="M3" s="9">
        <f>Model_Data!A3</f>
        <v>-59.5</v>
      </c>
      <c r="N3" s="9">
        <f>Model_Data!P3</f>
        <v>441.63627249395824</v>
      </c>
      <c r="O3" s="9">
        <f t="shared" si="0"/>
        <v>431.53393130878612</v>
      </c>
      <c r="P3" s="9">
        <f>Model_Data!Q3</f>
        <v>66.311752626720462</v>
      </c>
      <c r="Q3" s="9">
        <f t="shared" si="1"/>
        <v>64.794884580898824</v>
      </c>
      <c r="R3" s="10"/>
      <c r="S3" s="9">
        <f>Model_Data!A3</f>
        <v>-59.5</v>
      </c>
      <c r="T3" s="9">
        <f>Model_Data!B3-Inputs!$C$5</f>
        <v>3.9336111111111336</v>
      </c>
      <c r="U3" s="10"/>
      <c r="V3" s="9">
        <f>Model_Data!A3</f>
        <v>-59.5</v>
      </c>
      <c r="W3" s="9">
        <f>((SQRT((Model_Data!A3)^2+Inputs!$C$6^2+Inputs!$C$5^2)-Inputs!$C$5)*1000/Inputs!$C$12)</f>
        <v>2906.2422198150257</v>
      </c>
      <c r="X3" s="9">
        <f>Model_Data!F3</f>
        <v>2878.2966468989871</v>
      </c>
      <c r="Y3" s="10"/>
      <c r="Z3" s="9">
        <f>Model_Data!A3</f>
        <v>-59.5</v>
      </c>
      <c r="AA3" s="9">
        <f>SQRT((Model_Data!A3)^2+Inputs!$C$6^2+((Model_Data!B3)-((Inputs!$C$51*(115*EXP(-(((Inputs!$C$6)-25)^2)/(4.5^2))+70*EXP(-(((Inputs!$C$6)+38)^2)/(7^2))*(0.55+0.45*SIN(2*PI()*(Model_Data!A3)/45))+24*SIN(2*PI()*(Inputs!$C$6)/9+(Model_Data!A3)/18)*EXP(-(((Inputs!$C$6)+5)^2)/(22^2))+18*SIN(2*PI()*(Model_Data!A3)/70))+Inputs!$C$28*EXP(-(((Model_Data!A3)-Inputs!$C$29)^2)/(2*Inputs!$C$31^2))*EXP(-(((Inputs!$C$6)-Inputs!$C$30)^2)/(2*Inputs!$C$32^2))+-Inputs!$C$33*EXP(-(((((Model_Data!A3)-Inputs!$C$34)^2)+(((Inputs!$C$6)-Inputs!$C$35)^2))/(2*Inputs!$C$36^2)))+Inputs!$C$37*(0.55*SIN(2*PI()*(Model_Data!A3)/Inputs!$C$39)+0.35*COS(2*PI()*(Inputs!$C$6)/Inputs!$C$40)+0.2*SIN(2*PI()*((Model_Data!A3)+(Inputs!$C$6))/(0.5*(Inputs!$C$39+Inputs!$C$40))))+Inputs!$C$38*SIN(2*PI()*(Model_Data!A3)/Inputs!$C$39)*SIN(2*PI()*(Inputs!$C$6)/Inputs!$C$40)+-Inputs!$C$41*EXP(-(((Inputs!$C$6)-Inputs!$C$43)^2)/(2*Inputs!$C$44^2))*EXP(-(((Model_Data!A3)-Inputs!$C$42)^2)/(2*Inputs!$C$45^2))+Inputs!$C$48*(0.7*(0.45*SIN(2*PI()*(((Model_Data!A3)/Inputs!$C$49)+Inputs!$C$47*0.137))+0.35*COS(2*PI()*(((Inputs!$C$6)/Inputs!$C$50)+Inputs!$C$47*0.173))+0.2*SIN(2*PI()*(((Model_Data!A3)+(Inputs!$C$6))/(0.5*(Inputs!$C$49+Inputs!$C$50))+Inputs!$C$47*0.097)))+0.3*(2*((SIN(((Model_Data!A3)*12.9898+(Inputs!$C$6)*78.233+Inputs!$C$47*37.719))*43758.5453)-INT((SIN(((Model_Data!A3)*12.9898+(Inputs!$C$6)*78.233+Inputs!$C$47*37.719))*43758.5453)))-1))))/1000)^2)</f>
        <v>408.94766989969435</v>
      </c>
      <c r="AB3" s="9">
        <f>1000*(AA4-AA2)/(Z4-Z2)*Inputs!$C$11</f>
        <v>-1078.8348282719653</v>
      </c>
      <c r="AC3" s="9">
        <f>-2*AB3/Inputs!$C$13</f>
        <v>431.53393130878612</v>
      </c>
      <c r="AD3" s="9">
        <f>-2*AB3/Inputs!$C$14</f>
        <v>64.794884580898824</v>
      </c>
    </row>
    <row r="4" spans="1:30">
      <c r="A4" s="9">
        <f>Model_Data!A4</f>
        <v>-59</v>
      </c>
      <c r="B4" s="9">
        <f>((SQRT((Model_Data!A4)^2+Inputs!$C$6^2+Inputs!$C$5^2)-Inputs!$C$5)*1000/Inputs!$C$12)</f>
        <v>2865.1616052631393</v>
      </c>
      <c r="C4" s="9">
        <f>Model_Data!F4</f>
        <v>2838.0629855635702</v>
      </c>
      <c r="D4" s="9">
        <f>(((SQRT((Model_Data!A4)^2+Inputs!$C$6^2+((Model_Data!B4)-((Inputs!$C$51*(115*EXP(-(((Inputs!$C$6)-25)^2)/(4.5^2))+70*EXP(-(((Inputs!$C$6)+38)^2)/(7^2))*(0.55+0.45*SIN(2*PI()*(Model_Data!A4)/45))+24*SIN(2*PI()*(Inputs!$C$6)/9+(Model_Data!A4)/18)*EXP(-(((Inputs!$C$6)+5)^2)/(22^2))+18*SIN(2*PI()*(Model_Data!A4)/70))+Inputs!$C$28*EXP(-(((Model_Data!A4)-Inputs!$C$29)^2)/(2*Inputs!$C$31^2))*EXP(-(((Inputs!$C$6)-Inputs!$C$30)^2)/(2*Inputs!$C$32^2))+-Inputs!$C$33*EXP(-(((((Model_Data!A4)-Inputs!$C$34)^2)+(((Inputs!$C$6)-Inputs!$C$35)^2))/(2*Inputs!$C$36^2)))+Inputs!$C$37*(0.55*SIN(2*PI()*(Model_Data!A4)/Inputs!$C$39)+0.35*COS(2*PI()*(Inputs!$C$6)/Inputs!$C$40)+0.2*SIN(2*PI()*((Model_Data!A4)+(Inputs!$C$6))/(0.5*(Inputs!$C$39+Inputs!$C$40))))+Inputs!$C$38*SIN(2*PI()*(Model_Data!A4)/Inputs!$C$39)*SIN(2*PI()*(Inputs!$C$6)/Inputs!$C$40)+-Inputs!$C$41*EXP(-(((Inputs!$C$6)-Inputs!$C$43)^2)/(2*Inputs!$C$44^2))*EXP(-(((Model_Data!A4)-Inputs!$C$42)^2)/(2*Inputs!$C$45^2))+Inputs!$C$48*(0.7*(0.45*SIN(2*PI()*(((Model_Data!A4)/Inputs!$C$49)+Inputs!$C$47*0.137))+0.35*COS(2*PI()*(((Inputs!$C$6)/Inputs!$C$50)+Inputs!$C$47*0.173))+0.2*SIN(2*PI()*(((Model_Data!A4)+(Inputs!$C$6))/(0.5*(Inputs!$C$49+Inputs!$C$50))+Inputs!$C$47*0.097)))+0.3*(2*((SIN(((Model_Data!A4)*12.9898+(Inputs!$C$6)*78.233+Inputs!$C$47*37.719))*43758.5453)-INT((SIN(((Model_Data!A4)*12.9898+(Inputs!$C$6)*78.233+Inputs!$C$47*37.719))*43758.5453)))-1))))/1000)^2))-(((Model_Data!B4)-((Inputs!$C$51*(115*EXP(-(((0)-25)^2)/(4.5^2))+70*EXP(-(((0)+38)^2)/(7^2))*(0.55+0.45*SIN(2*PI()*(Model_Data!A4)/45))+24*SIN(2*PI()*(0)/9+(Model_Data!A4)/18)*EXP(-(((0)+5)^2)/(22^2))+18*SIN(2*PI()*(Model_Data!A4)/70))+Inputs!$C$28*EXP(-(((Model_Data!A4)-Inputs!$C$29)^2)/(2*Inputs!$C$31^2))*EXP(-(((0)-Inputs!$C$30)^2)/(2*Inputs!$C$32^2))+-Inputs!$C$33*EXP(-(((((Model_Data!A4)-Inputs!$C$34)^2)+(((0)-Inputs!$C$35)^2))/(2*Inputs!$C$36^2)))+Inputs!$C$37*(0.55*SIN(2*PI()*(Model_Data!A4)/Inputs!$C$39)+0.35*COS(2*PI()*(0)/Inputs!$C$40)+0.2*SIN(2*PI()*((Model_Data!A4)+(0))/(0.5*(Inputs!$C$39+Inputs!$C$40))))+Inputs!$C$38*SIN(2*PI()*(Model_Data!A4)/Inputs!$C$39)*SIN(2*PI()*(0)/Inputs!$C$40)+-Inputs!$C$41*EXP(-(((0)-Inputs!$C$43)^2)/(2*Inputs!$C$44^2))*EXP(-(((Model_Data!A4)-Inputs!$C$42)^2)/(2*Inputs!$C$45^2))+Inputs!$C$48*(0.7*(0.45*SIN(2*PI()*(((Model_Data!A4)/Inputs!$C$49)+Inputs!$C$47*0.137))+0.35*COS(2*PI()*(((0)/Inputs!$C$50)+Inputs!$C$47*0.173))+0.2*SIN(2*PI()*(((Model_Data!A4)+(0))/(0.5*(Inputs!$C$49+Inputs!$C$50))+Inputs!$C$47*0.097)))+0.3*(2*((SIN(((Model_Data!A4)*12.9898+(0)*78.233+Inputs!$C$47*37.719))*43758.5453)-INT((SIN(((Model_Data!A4)*12.9898+(0)*78.233+Inputs!$C$47*37.719))*43758.5453)))-1))))/1000)))*1000/Inputs!$C$12)</f>
        <v>2779.8464305755606</v>
      </c>
      <c r="E4" s="9">
        <f>Model_Data!A4</f>
        <v>-59</v>
      </c>
      <c r="F4" s="9">
        <f>(Inputs!$C$51*(115*EXP(-(((Inputs!$C$6)-25)^2)/(4.5^2))+70*EXP(-(((Inputs!$C$6)+38)^2)/(7^2))*(0.55+0.45*SIN(2*PI()*(Model_Data!A4)/45))+24*SIN(2*PI()*(Inputs!$C$6)/9+(Model_Data!A4)/18)*EXP(-(((Inputs!$C$6)+5)^2)/(22^2))+18*SIN(2*PI()*(Model_Data!A4)/70))+Inputs!$C$28*EXP(-(((Model_Data!A4)-Inputs!$C$29)^2)/(2*Inputs!$C$31^2))*EXP(-(((Inputs!$C$6)-Inputs!$C$30)^2)/(2*Inputs!$C$32^2))+-Inputs!$C$33*EXP(-(((((Model_Data!A4)-Inputs!$C$34)^2)+(((Inputs!$C$6)-Inputs!$C$35)^2))/(2*Inputs!$C$36^2)))+Inputs!$C$37*(0.55*SIN(2*PI()*(Model_Data!A4)/Inputs!$C$39)+0.35*COS(2*PI()*(Inputs!$C$6)/Inputs!$C$40)+0.2*SIN(2*PI()*((Model_Data!A4)+(Inputs!$C$6))/(0.5*(Inputs!$C$39+Inputs!$C$40))))+Inputs!$C$38*SIN(2*PI()*(Model_Data!A4)/Inputs!$C$39)*SIN(2*PI()*(Inputs!$C$6)/Inputs!$C$40)+-Inputs!$C$41*EXP(-(((Inputs!$C$6)-Inputs!$C$43)^2)/(2*Inputs!$C$44^2))*EXP(-(((Model_Data!A4)-Inputs!$C$42)^2)/(2*Inputs!$C$45^2))+Inputs!$C$48*(0.7*(0.45*SIN(2*PI()*(((Model_Data!A4)/Inputs!$C$49)+Inputs!$C$47*0.137))+0.35*COS(2*PI()*(((Inputs!$C$6)/Inputs!$C$50)+Inputs!$C$47*0.173))+0.2*SIN(2*PI()*(((Model_Data!A4)+(Inputs!$C$6))/(0.5*(Inputs!$C$49+Inputs!$C$50))+Inputs!$C$47*0.097)))+0.3*(2*((SIN(((Model_Data!A4)*12.9898+(Inputs!$C$6)*78.233+Inputs!$C$47*37.719))*43758.5453)-INT((SIN(((Model_Data!A4)*12.9898+(Inputs!$C$6)*78.233+Inputs!$C$47*37.719))*43758.5453)))-1)))</f>
        <v>112.99219424849355</v>
      </c>
      <c r="G4" s="9">
        <f>(Inputs!$C$51*(115*EXP(-(((0)-25)^2)/(4.5^2))+70*EXP(-(((0)+38)^2)/(7^2))*(0.55+0.45*SIN(2*PI()*(Model_Data!A4)/45))+24*SIN(2*PI()*(0)/9+(Model_Data!A4)/18)*EXP(-(((0)+5)^2)/(22^2))+18*SIN(2*PI()*(Model_Data!A4)/70))+Inputs!$C$28*EXP(-(((Model_Data!A4)-Inputs!$C$29)^2)/(2*Inputs!$C$31^2))*EXP(-(((0)-Inputs!$C$30)^2)/(2*Inputs!$C$32^2))+-Inputs!$C$33*EXP(-(((((Model_Data!A4)-Inputs!$C$34)^2)+(((0)-Inputs!$C$35)^2))/(2*Inputs!$C$36^2)))+Inputs!$C$37*(0.55*SIN(2*PI()*(Model_Data!A4)/Inputs!$C$39)+0.35*COS(2*PI()*(0)/Inputs!$C$40)+0.2*SIN(2*PI()*((Model_Data!A4)+(0))/(0.5*(Inputs!$C$39+Inputs!$C$40))))+Inputs!$C$38*SIN(2*PI()*(Model_Data!A4)/Inputs!$C$39)*SIN(2*PI()*(0)/Inputs!$C$40)+-Inputs!$C$41*EXP(-(((0)-Inputs!$C$43)^2)/(2*Inputs!$C$44^2))*EXP(-(((Model_Data!A4)-Inputs!$C$42)^2)/(2*Inputs!$C$45^2))+Inputs!$C$48*(0.7*(0.45*SIN(2*PI()*(((Model_Data!A4)/Inputs!$C$49)+Inputs!$C$47*0.137))+0.35*COS(2*PI()*(((0)/Inputs!$C$50)+Inputs!$C$47*0.173))+0.2*SIN(2*PI()*(((Model_Data!A4)+(0))/(0.5*(Inputs!$C$49+Inputs!$C$50))+Inputs!$C$47*0.097)))+0.3*(2*((SIN(((Model_Data!A4)*12.9898+(0)*78.233+Inputs!$C$47*37.719))*43758.5453)-INT((SIN(((Model_Data!A4)*12.9898+(0)*78.233+Inputs!$C$47*37.719))*43758.5453)))-1)))</f>
        <v>7.9704483537677238</v>
      </c>
      <c r="H4" s="10"/>
      <c r="I4" s="9">
        <f>Model_Data!A4</f>
        <v>-59</v>
      </c>
      <c r="J4" s="9">
        <f>(Inputs!$C$51*(115*EXP(-(((Inputs!$C$6)-25)^2)/(4.5^2))+70*EXP(-(((Inputs!$C$6)+38)^2)/(7^2))*(0.55+0.45*SIN(2*PI()*(Model_Data!A4)/45))+24*SIN(2*PI()*(Inputs!$C$6)/9+(Model_Data!A4)/18)*EXP(-(((Inputs!$C$6)+5)^2)/(22^2))+18*SIN(2*PI()*(Model_Data!A4)/70))+Inputs!$C$28*EXP(-(((Model_Data!A4)-Inputs!$C$29)^2)/(2*Inputs!$C$31^2))*EXP(-(((Inputs!$C$6)-Inputs!$C$30)^2)/(2*Inputs!$C$32^2))+-Inputs!$C$33*EXP(-(((((Model_Data!A4)-Inputs!$C$34)^2)+(((Inputs!$C$6)-Inputs!$C$35)^2))/(2*Inputs!$C$36^2)))+Inputs!$C$37*(0.55*SIN(2*PI()*(Model_Data!A4)/Inputs!$C$39)+0.35*COS(2*PI()*(Inputs!$C$6)/Inputs!$C$40)+0.2*SIN(2*PI()*((Model_Data!A4)+(Inputs!$C$6))/(0.5*(Inputs!$C$39+Inputs!$C$40))))+Inputs!$C$38*SIN(2*PI()*(Model_Data!A4)/Inputs!$C$39)*SIN(2*PI()*(Inputs!$C$6)/Inputs!$C$40)+-Inputs!$C$41*EXP(-(((Inputs!$C$6)-Inputs!$C$43)^2)/(2*Inputs!$C$44^2))*EXP(-(((Model_Data!A4)-Inputs!$C$42)^2)/(2*Inputs!$C$45^2))+Inputs!$C$48*(0.7*(0.45*SIN(2*PI()*(((Model_Data!A4)/Inputs!$C$49)+Inputs!$C$47*0.137))+0.35*COS(2*PI()*(((Inputs!$C$6)/Inputs!$C$50)+Inputs!$C$47*0.173))+0.2*SIN(2*PI()*(((Model_Data!A4)+(Inputs!$C$6))/(0.5*(Inputs!$C$49+Inputs!$C$50))+Inputs!$C$47*0.097)))+0.3*(2*((SIN(((Model_Data!A4)*12.9898+(Inputs!$C$6)*78.233+Inputs!$C$47*37.719))*43758.5453)-INT((SIN(((Model_Data!A4)*12.9898+(Inputs!$C$6)*78.233+Inputs!$C$47*37.719))*43758.5453)))-1)))</f>
        <v>112.99219424849355</v>
      </c>
      <c r="K4" s="9">
        <f>-((((SQRT((Model_Data!A4)^2+Inputs!$C$6^2+((Model_Data!B4)-((Inputs!$C$51*(115*EXP(-(((Inputs!$C$6)-25)^2)/(4.5^2))+70*EXP(-(((Inputs!$C$6)+38)^2)/(7^2))*(0.55+0.45*SIN(2*PI()*(Model_Data!A4)/45))+24*SIN(2*PI()*(Inputs!$C$6)/9+(Model_Data!A4)/18)*EXP(-(((Inputs!$C$6)+5)^2)/(22^2))+18*SIN(2*PI()*(Model_Data!A4)/70))+Inputs!$C$28*EXP(-(((Model_Data!A4)-Inputs!$C$29)^2)/(2*Inputs!$C$31^2))*EXP(-(((Inputs!$C$6)-Inputs!$C$30)^2)/(2*Inputs!$C$32^2))+-Inputs!$C$33*EXP(-(((((Model_Data!A4)-Inputs!$C$34)^2)+(((Inputs!$C$6)-Inputs!$C$35)^2))/(2*Inputs!$C$36^2)))+Inputs!$C$37*(0.55*SIN(2*PI()*(Model_Data!A4)/Inputs!$C$39)+0.35*COS(2*PI()*(Inputs!$C$6)/Inputs!$C$40)+0.2*SIN(2*PI()*((Model_Data!A4)+(Inputs!$C$6))/(0.5*(Inputs!$C$39+Inputs!$C$40))))+Inputs!$C$38*SIN(2*PI()*(Model_Data!A4)/Inputs!$C$39)*SIN(2*PI()*(Inputs!$C$6)/Inputs!$C$40)+-Inputs!$C$41*EXP(-(((Inputs!$C$6)-Inputs!$C$43)^2)/(2*Inputs!$C$44^2))*EXP(-(((Model_Data!A4)-Inputs!$C$42)^2)/(2*Inputs!$C$45^2))+Inputs!$C$48*(0.7*(0.45*SIN(2*PI()*(((Model_Data!A4)/Inputs!$C$49)+Inputs!$C$47*0.137))+0.35*COS(2*PI()*(((Inputs!$C$6)/Inputs!$C$50)+Inputs!$C$47*0.173))+0.2*SIN(2*PI()*(((Model_Data!A4)+(Inputs!$C$6))/(0.5*(Inputs!$C$49+Inputs!$C$50))+Inputs!$C$47*0.097)))+0.3*(2*((SIN(((Model_Data!A4)*12.9898+(Inputs!$C$6)*78.233+Inputs!$C$47*37.719))*43758.5453)-INT((SIN(((Model_Data!A4)*12.9898+(Inputs!$C$6)*78.233+Inputs!$C$47*37.719))*43758.5453)))-1))))/1000)^2))-(((Model_Data!B4)-((Inputs!$C$51*(115*EXP(-(((0)-25)^2)/(4.5^2))+70*EXP(-(((0)+38)^2)/(7^2))*(0.55+0.45*SIN(2*PI()*(Model_Data!A4)/45))+24*SIN(2*PI()*(0)/9+(Model_Data!A4)/18)*EXP(-(((0)+5)^2)/(22^2))+18*SIN(2*PI()*(Model_Data!A4)/70))+Inputs!$C$28*EXP(-(((Model_Data!A4)-Inputs!$C$29)^2)/(2*Inputs!$C$31^2))*EXP(-(((0)-Inputs!$C$30)^2)/(2*Inputs!$C$32^2))+-Inputs!$C$33*EXP(-(((((Model_Data!A4)-Inputs!$C$34)^2)+(((0)-Inputs!$C$35)^2))/(2*Inputs!$C$36^2)))+Inputs!$C$37*(0.55*SIN(2*PI()*(Model_Data!A4)/Inputs!$C$39)+0.35*COS(2*PI()*(0)/Inputs!$C$40)+0.2*SIN(2*PI()*((Model_Data!A4)+(0))/(0.5*(Inputs!$C$39+Inputs!$C$40))))+Inputs!$C$38*SIN(2*PI()*(Model_Data!A4)/Inputs!$C$39)*SIN(2*PI()*(0)/Inputs!$C$40)+-Inputs!$C$41*EXP(-(((0)-Inputs!$C$43)^2)/(2*Inputs!$C$44^2))*EXP(-(((Model_Data!A4)-Inputs!$C$42)^2)/(2*Inputs!$C$45^2))+Inputs!$C$48*(0.7*(0.45*SIN(2*PI()*(((Model_Data!A4)/Inputs!$C$49)+Inputs!$C$47*0.137))+0.35*COS(2*PI()*(((0)/Inputs!$C$50)+Inputs!$C$47*0.173))+0.2*SIN(2*PI()*(((Model_Data!A4)+(0))/(0.5*(Inputs!$C$49+Inputs!$C$50))+Inputs!$C$47*0.097)))+0.3*(2*((SIN(((Model_Data!A4)*12.9898+(0)*78.233+Inputs!$C$47*37.719))*43758.5453)-INT((SIN(((Model_Data!A4)*12.9898+(0)*78.233+Inputs!$C$47*37.719))*43758.5453)))-1))))/1000)))*1000/Inputs!$C$12)-Model_Data!F4)</f>
        <v>58.216554988009648</v>
      </c>
      <c r="L4" s="10"/>
      <c r="M4" s="9">
        <f>Model_Data!A4</f>
        <v>-59</v>
      </c>
      <c r="N4" s="9">
        <f>Model_Data!P4</f>
        <v>438.03846929381024</v>
      </c>
      <c r="O4" s="9">
        <f t="shared" si="0"/>
        <v>475.53987523551768</v>
      </c>
      <c r="P4" s="9">
        <f>Model_Data!Q4</f>
        <v>65.771541936007551</v>
      </c>
      <c r="Q4" s="9">
        <f t="shared" si="1"/>
        <v>71.402383668996649</v>
      </c>
      <c r="R4" s="10"/>
      <c r="S4" s="9">
        <f>Model_Data!A4</f>
        <v>-59</v>
      </c>
      <c r="T4" s="9">
        <f>Model_Data!B4-Inputs!$C$5</f>
        <v>3.8677777777778033</v>
      </c>
      <c r="U4" s="10"/>
      <c r="V4" s="9">
        <f>Model_Data!A4</f>
        <v>-59</v>
      </c>
      <c r="W4" s="9">
        <f>((SQRT((Model_Data!A4)^2+Inputs!$C$6^2+Inputs!$C$5^2)-Inputs!$C$5)*1000/Inputs!$C$12)</f>
        <v>2865.1616052631393</v>
      </c>
      <c r="X4" s="9">
        <f>Model_Data!F4</f>
        <v>2838.0629855635702</v>
      </c>
      <c r="Y4" s="10"/>
      <c r="Z4" s="9">
        <f>Model_Data!A4</f>
        <v>-59</v>
      </c>
      <c r="AA4" s="9">
        <f>SQRT((Model_Data!A4)^2+Inputs!$C$6^2+((Model_Data!B4)-((Inputs!$C$51*(115*EXP(-(((Inputs!$C$6)-25)^2)/(4.5^2))+70*EXP(-(((Inputs!$C$6)+38)^2)/(7^2))*(0.55+0.45*SIN(2*PI()*(Model_Data!A4)/45))+24*SIN(2*PI()*(Inputs!$C$6)/9+(Model_Data!A4)/18)*EXP(-(((Inputs!$C$6)+5)^2)/(22^2))+18*SIN(2*PI()*(Model_Data!A4)/70))+Inputs!$C$28*EXP(-(((Model_Data!A4)-Inputs!$C$29)^2)/(2*Inputs!$C$31^2))*EXP(-(((Inputs!$C$6)-Inputs!$C$30)^2)/(2*Inputs!$C$32^2))+-Inputs!$C$33*EXP(-(((((Model_Data!A4)-Inputs!$C$34)^2)+(((Inputs!$C$6)-Inputs!$C$35)^2))/(2*Inputs!$C$36^2)))+Inputs!$C$37*(0.55*SIN(2*PI()*(Model_Data!A4)/Inputs!$C$39)+0.35*COS(2*PI()*(Inputs!$C$6)/Inputs!$C$40)+0.2*SIN(2*PI()*((Model_Data!A4)+(Inputs!$C$6))/(0.5*(Inputs!$C$39+Inputs!$C$40))))+Inputs!$C$38*SIN(2*PI()*(Model_Data!A4)/Inputs!$C$39)*SIN(2*PI()*(Inputs!$C$6)/Inputs!$C$40)+-Inputs!$C$41*EXP(-(((Inputs!$C$6)-Inputs!$C$43)^2)/(2*Inputs!$C$44^2))*EXP(-(((Model_Data!A4)-Inputs!$C$42)^2)/(2*Inputs!$C$45^2))+Inputs!$C$48*(0.7*(0.45*SIN(2*PI()*(((Model_Data!A4)/Inputs!$C$49)+Inputs!$C$47*0.137))+0.35*COS(2*PI()*(((Inputs!$C$6)/Inputs!$C$50)+Inputs!$C$47*0.173))+0.2*SIN(2*PI()*(((Model_Data!A4)+(Inputs!$C$6))/(0.5*(Inputs!$C$49+Inputs!$C$50))+Inputs!$C$47*0.097)))+0.3*(2*((SIN(((Model_Data!A4)*12.9898+(Inputs!$C$6)*78.233+Inputs!$C$47*37.719))*43758.5453)-INT((SIN(((Model_Data!A4)*12.9898+(Inputs!$C$6)*78.233+Inputs!$C$47*37.719))*43758.5453)))-1))))/1000)^2)</f>
        <v>408.80793397584853</v>
      </c>
      <c r="AB4" s="9">
        <f>1000*(AA5-AA3)/(Z5-Z3)*Inputs!$C$11</f>
        <v>-1188.8496880887942</v>
      </c>
      <c r="AC4" s="9">
        <f>-2*AB4/Inputs!$C$13</f>
        <v>475.53987523551768</v>
      </c>
      <c r="AD4" s="9">
        <f>-2*AB4/Inputs!$C$14</f>
        <v>71.402383668996649</v>
      </c>
    </row>
    <row r="5" spans="1:30">
      <c r="A5" s="9">
        <f>Model_Data!A5</f>
        <v>-58.5</v>
      </c>
      <c r="B5" s="9">
        <f>((SQRT((Model_Data!A5)^2+Inputs!$C$6^2+Inputs!$C$5^2)-Inputs!$C$5)*1000/Inputs!$C$12)</f>
        <v>2824.4203395046129</v>
      </c>
      <c r="C5" s="9">
        <f>Model_Data!F5</f>
        <v>2798.1490936689197</v>
      </c>
      <c r="D5" s="9">
        <f>(((SQRT((Model_Data!A5)^2+Inputs!$C$6^2+((Model_Data!B5)-((Inputs!$C$51*(115*EXP(-(((Inputs!$C$6)-25)^2)/(4.5^2))+70*EXP(-(((Inputs!$C$6)+38)^2)/(7^2))*(0.55+0.45*SIN(2*PI()*(Model_Data!A5)/45))+24*SIN(2*PI()*(Inputs!$C$6)/9+(Model_Data!A5)/18)*EXP(-(((Inputs!$C$6)+5)^2)/(22^2))+18*SIN(2*PI()*(Model_Data!A5)/70))+Inputs!$C$28*EXP(-(((Model_Data!A5)-Inputs!$C$29)^2)/(2*Inputs!$C$31^2))*EXP(-(((Inputs!$C$6)-Inputs!$C$30)^2)/(2*Inputs!$C$32^2))+-Inputs!$C$33*EXP(-(((((Model_Data!A5)-Inputs!$C$34)^2)+(((Inputs!$C$6)-Inputs!$C$35)^2))/(2*Inputs!$C$36^2)))+Inputs!$C$37*(0.55*SIN(2*PI()*(Model_Data!A5)/Inputs!$C$39)+0.35*COS(2*PI()*(Inputs!$C$6)/Inputs!$C$40)+0.2*SIN(2*PI()*((Model_Data!A5)+(Inputs!$C$6))/(0.5*(Inputs!$C$39+Inputs!$C$40))))+Inputs!$C$38*SIN(2*PI()*(Model_Data!A5)/Inputs!$C$39)*SIN(2*PI()*(Inputs!$C$6)/Inputs!$C$40)+-Inputs!$C$41*EXP(-(((Inputs!$C$6)-Inputs!$C$43)^2)/(2*Inputs!$C$44^2))*EXP(-(((Model_Data!A5)-Inputs!$C$42)^2)/(2*Inputs!$C$45^2))+Inputs!$C$48*(0.7*(0.45*SIN(2*PI()*(((Model_Data!A5)/Inputs!$C$49)+Inputs!$C$47*0.137))+0.35*COS(2*PI()*(((Inputs!$C$6)/Inputs!$C$50)+Inputs!$C$47*0.173))+0.2*SIN(2*PI()*(((Model_Data!A5)+(Inputs!$C$6))/(0.5*(Inputs!$C$49+Inputs!$C$50))+Inputs!$C$47*0.097)))+0.3*(2*((SIN(((Model_Data!A5)*12.9898+(Inputs!$C$6)*78.233+Inputs!$C$47*37.719))*43758.5453)-INT((SIN(((Model_Data!A5)*12.9898+(Inputs!$C$6)*78.233+Inputs!$C$47*37.719))*43758.5453)))-1))))/1000)^2))-(((Model_Data!B5)-((Inputs!$C$51*(115*EXP(-(((0)-25)^2)/(4.5^2))+70*EXP(-(((0)+38)^2)/(7^2))*(0.55+0.45*SIN(2*PI()*(Model_Data!A5)/45))+24*SIN(2*PI()*(0)/9+(Model_Data!A5)/18)*EXP(-(((0)+5)^2)/(22^2))+18*SIN(2*PI()*(Model_Data!A5)/70))+Inputs!$C$28*EXP(-(((Model_Data!A5)-Inputs!$C$29)^2)/(2*Inputs!$C$31^2))*EXP(-(((0)-Inputs!$C$30)^2)/(2*Inputs!$C$32^2))+-Inputs!$C$33*EXP(-(((((Model_Data!A5)-Inputs!$C$34)^2)+(((0)-Inputs!$C$35)^2))/(2*Inputs!$C$36^2)))+Inputs!$C$37*(0.55*SIN(2*PI()*(Model_Data!A5)/Inputs!$C$39)+0.35*COS(2*PI()*(0)/Inputs!$C$40)+0.2*SIN(2*PI()*((Model_Data!A5)+(0))/(0.5*(Inputs!$C$39+Inputs!$C$40))))+Inputs!$C$38*SIN(2*PI()*(Model_Data!A5)/Inputs!$C$39)*SIN(2*PI()*(0)/Inputs!$C$40)+-Inputs!$C$41*EXP(-(((0)-Inputs!$C$43)^2)/(2*Inputs!$C$44^2))*EXP(-(((Model_Data!A5)-Inputs!$C$42)^2)/(2*Inputs!$C$45^2))+Inputs!$C$48*(0.7*(0.45*SIN(2*PI()*(((Model_Data!A5)/Inputs!$C$49)+Inputs!$C$47*0.137))+0.35*COS(2*PI()*(((0)/Inputs!$C$50)+Inputs!$C$47*0.173))+0.2*SIN(2*PI()*(((Model_Data!A5)+(0))/(0.5*(Inputs!$C$49+Inputs!$C$50))+Inputs!$C$47*0.097)))+0.3*(2*((SIN(((Model_Data!A5)*12.9898+(0)*78.233+Inputs!$C$47*37.719))*43758.5453)-INT((SIN(((Model_Data!A5)*12.9898+(0)*78.233+Inputs!$C$47*37.719))*43758.5453)))-1))))/1000)))*1000/Inputs!$C$12)</f>
        <v>2735.7892085611252</v>
      </c>
      <c r="E5" s="9">
        <f>Model_Data!A5</f>
        <v>-58.5</v>
      </c>
      <c r="F5" s="9">
        <f>(Inputs!$C$51*(115*EXP(-(((Inputs!$C$6)-25)^2)/(4.5^2))+70*EXP(-(((Inputs!$C$6)+38)^2)/(7^2))*(0.55+0.45*SIN(2*PI()*(Model_Data!A5)/45))+24*SIN(2*PI()*(Inputs!$C$6)/9+(Model_Data!A5)/18)*EXP(-(((Inputs!$C$6)+5)^2)/(22^2))+18*SIN(2*PI()*(Model_Data!A5)/70))+Inputs!$C$28*EXP(-(((Model_Data!A5)-Inputs!$C$29)^2)/(2*Inputs!$C$31^2))*EXP(-(((Inputs!$C$6)-Inputs!$C$30)^2)/(2*Inputs!$C$32^2))+-Inputs!$C$33*EXP(-(((((Model_Data!A5)-Inputs!$C$34)^2)+(((Inputs!$C$6)-Inputs!$C$35)^2))/(2*Inputs!$C$36^2)))+Inputs!$C$37*(0.55*SIN(2*PI()*(Model_Data!A5)/Inputs!$C$39)+0.35*COS(2*PI()*(Inputs!$C$6)/Inputs!$C$40)+0.2*SIN(2*PI()*((Model_Data!A5)+(Inputs!$C$6))/(0.5*(Inputs!$C$39+Inputs!$C$40))))+Inputs!$C$38*SIN(2*PI()*(Model_Data!A5)/Inputs!$C$39)*SIN(2*PI()*(Inputs!$C$6)/Inputs!$C$40)+-Inputs!$C$41*EXP(-(((Inputs!$C$6)-Inputs!$C$43)^2)/(2*Inputs!$C$44^2))*EXP(-(((Model_Data!A5)-Inputs!$C$42)^2)/(2*Inputs!$C$45^2))+Inputs!$C$48*(0.7*(0.45*SIN(2*PI()*(((Model_Data!A5)/Inputs!$C$49)+Inputs!$C$47*0.137))+0.35*COS(2*PI()*(((Inputs!$C$6)/Inputs!$C$50)+Inputs!$C$47*0.173))+0.2*SIN(2*PI()*(((Model_Data!A5)+(Inputs!$C$6))/(0.5*(Inputs!$C$49+Inputs!$C$50))+Inputs!$C$47*0.097)))+0.3*(2*((SIN(((Model_Data!A5)*12.9898+(Inputs!$C$6)*78.233+Inputs!$C$47*37.719))*43758.5453)-INT((SIN(((Model_Data!A5)*12.9898+(Inputs!$C$6)*78.233+Inputs!$C$47*37.719))*43758.5453)))-1)))</f>
        <v>134.38583105711319</v>
      </c>
      <c r="G5" s="9">
        <f>(Inputs!$C$51*(115*EXP(-(((0)-25)^2)/(4.5^2))+70*EXP(-(((0)+38)^2)/(7^2))*(0.55+0.45*SIN(2*PI()*(Model_Data!A5)/45))+24*SIN(2*PI()*(0)/9+(Model_Data!A5)/18)*EXP(-(((0)+5)^2)/(22^2))+18*SIN(2*PI()*(Model_Data!A5)/70))+Inputs!$C$28*EXP(-(((Model_Data!A5)-Inputs!$C$29)^2)/(2*Inputs!$C$31^2))*EXP(-(((0)-Inputs!$C$30)^2)/(2*Inputs!$C$32^2))+-Inputs!$C$33*EXP(-(((((Model_Data!A5)-Inputs!$C$34)^2)+(((0)-Inputs!$C$35)^2))/(2*Inputs!$C$36^2)))+Inputs!$C$37*(0.55*SIN(2*PI()*(Model_Data!A5)/Inputs!$C$39)+0.35*COS(2*PI()*(0)/Inputs!$C$40)+0.2*SIN(2*PI()*((Model_Data!A5)+(0))/(0.5*(Inputs!$C$39+Inputs!$C$40))))+Inputs!$C$38*SIN(2*PI()*(Model_Data!A5)/Inputs!$C$39)*SIN(2*PI()*(0)/Inputs!$C$40)+-Inputs!$C$41*EXP(-(((0)-Inputs!$C$43)^2)/(2*Inputs!$C$44^2))*EXP(-(((Model_Data!A5)-Inputs!$C$42)^2)/(2*Inputs!$C$45^2))+Inputs!$C$48*(0.7*(0.45*SIN(2*PI()*(((Model_Data!A5)/Inputs!$C$49)+Inputs!$C$47*0.137))+0.35*COS(2*PI()*(((0)/Inputs!$C$50)+Inputs!$C$47*0.173))+0.2*SIN(2*PI()*(((Model_Data!A5)+(0))/(0.5*(Inputs!$C$49+Inputs!$C$50))+Inputs!$C$47*0.097)))+0.3*(2*((SIN(((Model_Data!A5)*12.9898+(0)*78.233+Inputs!$C$47*37.719))*43758.5453)-INT((SIN(((Model_Data!A5)*12.9898+(0)*78.233+Inputs!$C$47*37.719))*43758.5453)))-1)))</f>
        <v>21.747313566648423</v>
      </c>
      <c r="H5" s="10"/>
      <c r="I5" s="9">
        <f>Model_Data!A5</f>
        <v>-58.5</v>
      </c>
      <c r="J5" s="9">
        <f>(Inputs!$C$51*(115*EXP(-(((Inputs!$C$6)-25)^2)/(4.5^2))+70*EXP(-(((Inputs!$C$6)+38)^2)/(7^2))*(0.55+0.45*SIN(2*PI()*(Model_Data!A5)/45))+24*SIN(2*PI()*(Inputs!$C$6)/9+(Model_Data!A5)/18)*EXP(-(((Inputs!$C$6)+5)^2)/(22^2))+18*SIN(2*PI()*(Model_Data!A5)/70))+Inputs!$C$28*EXP(-(((Model_Data!A5)-Inputs!$C$29)^2)/(2*Inputs!$C$31^2))*EXP(-(((Inputs!$C$6)-Inputs!$C$30)^2)/(2*Inputs!$C$32^2))+-Inputs!$C$33*EXP(-(((((Model_Data!A5)-Inputs!$C$34)^2)+(((Inputs!$C$6)-Inputs!$C$35)^2))/(2*Inputs!$C$36^2)))+Inputs!$C$37*(0.55*SIN(2*PI()*(Model_Data!A5)/Inputs!$C$39)+0.35*COS(2*PI()*(Inputs!$C$6)/Inputs!$C$40)+0.2*SIN(2*PI()*((Model_Data!A5)+(Inputs!$C$6))/(0.5*(Inputs!$C$39+Inputs!$C$40))))+Inputs!$C$38*SIN(2*PI()*(Model_Data!A5)/Inputs!$C$39)*SIN(2*PI()*(Inputs!$C$6)/Inputs!$C$40)+-Inputs!$C$41*EXP(-(((Inputs!$C$6)-Inputs!$C$43)^2)/(2*Inputs!$C$44^2))*EXP(-(((Model_Data!A5)-Inputs!$C$42)^2)/(2*Inputs!$C$45^2))+Inputs!$C$48*(0.7*(0.45*SIN(2*PI()*(((Model_Data!A5)/Inputs!$C$49)+Inputs!$C$47*0.137))+0.35*COS(2*PI()*(((Inputs!$C$6)/Inputs!$C$50)+Inputs!$C$47*0.173))+0.2*SIN(2*PI()*(((Model_Data!A5)+(Inputs!$C$6))/(0.5*(Inputs!$C$49+Inputs!$C$50))+Inputs!$C$47*0.097)))+0.3*(2*((SIN(((Model_Data!A5)*12.9898+(Inputs!$C$6)*78.233+Inputs!$C$47*37.719))*43758.5453)-INT((SIN(((Model_Data!A5)*12.9898+(Inputs!$C$6)*78.233+Inputs!$C$47*37.719))*43758.5453)))-1)))</f>
        <v>134.38583105711319</v>
      </c>
      <c r="K5" s="9">
        <f>-((((SQRT((Model_Data!A5)^2+Inputs!$C$6^2+((Model_Data!B5)-((Inputs!$C$51*(115*EXP(-(((Inputs!$C$6)-25)^2)/(4.5^2))+70*EXP(-(((Inputs!$C$6)+38)^2)/(7^2))*(0.55+0.45*SIN(2*PI()*(Model_Data!A5)/45))+24*SIN(2*PI()*(Inputs!$C$6)/9+(Model_Data!A5)/18)*EXP(-(((Inputs!$C$6)+5)^2)/(22^2))+18*SIN(2*PI()*(Model_Data!A5)/70))+Inputs!$C$28*EXP(-(((Model_Data!A5)-Inputs!$C$29)^2)/(2*Inputs!$C$31^2))*EXP(-(((Inputs!$C$6)-Inputs!$C$30)^2)/(2*Inputs!$C$32^2))+-Inputs!$C$33*EXP(-(((((Model_Data!A5)-Inputs!$C$34)^2)+(((Inputs!$C$6)-Inputs!$C$35)^2))/(2*Inputs!$C$36^2)))+Inputs!$C$37*(0.55*SIN(2*PI()*(Model_Data!A5)/Inputs!$C$39)+0.35*COS(2*PI()*(Inputs!$C$6)/Inputs!$C$40)+0.2*SIN(2*PI()*((Model_Data!A5)+(Inputs!$C$6))/(0.5*(Inputs!$C$39+Inputs!$C$40))))+Inputs!$C$38*SIN(2*PI()*(Model_Data!A5)/Inputs!$C$39)*SIN(2*PI()*(Inputs!$C$6)/Inputs!$C$40)+-Inputs!$C$41*EXP(-(((Inputs!$C$6)-Inputs!$C$43)^2)/(2*Inputs!$C$44^2))*EXP(-(((Model_Data!A5)-Inputs!$C$42)^2)/(2*Inputs!$C$45^2))+Inputs!$C$48*(0.7*(0.45*SIN(2*PI()*(((Model_Data!A5)/Inputs!$C$49)+Inputs!$C$47*0.137))+0.35*COS(2*PI()*(((Inputs!$C$6)/Inputs!$C$50)+Inputs!$C$47*0.173))+0.2*SIN(2*PI()*(((Model_Data!A5)+(Inputs!$C$6))/(0.5*(Inputs!$C$49+Inputs!$C$50))+Inputs!$C$47*0.097)))+0.3*(2*((SIN(((Model_Data!A5)*12.9898+(Inputs!$C$6)*78.233+Inputs!$C$47*37.719))*43758.5453)-INT((SIN(((Model_Data!A5)*12.9898+(Inputs!$C$6)*78.233+Inputs!$C$47*37.719))*43758.5453)))-1))))/1000)^2))-(((Model_Data!B5)-((Inputs!$C$51*(115*EXP(-(((0)-25)^2)/(4.5^2))+70*EXP(-(((0)+38)^2)/(7^2))*(0.55+0.45*SIN(2*PI()*(Model_Data!A5)/45))+24*SIN(2*PI()*(0)/9+(Model_Data!A5)/18)*EXP(-(((0)+5)^2)/(22^2))+18*SIN(2*PI()*(Model_Data!A5)/70))+Inputs!$C$28*EXP(-(((Model_Data!A5)-Inputs!$C$29)^2)/(2*Inputs!$C$31^2))*EXP(-(((0)-Inputs!$C$30)^2)/(2*Inputs!$C$32^2))+-Inputs!$C$33*EXP(-(((((Model_Data!A5)-Inputs!$C$34)^2)+(((0)-Inputs!$C$35)^2))/(2*Inputs!$C$36^2)))+Inputs!$C$37*(0.55*SIN(2*PI()*(Model_Data!A5)/Inputs!$C$39)+0.35*COS(2*PI()*(0)/Inputs!$C$40)+0.2*SIN(2*PI()*((Model_Data!A5)+(0))/(0.5*(Inputs!$C$39+Inputs!$C$40))))+Inputs!$C$38*SIN(2*PI()*(Model_Data!A5)/Inputs!$C$39)*SIN(2*PI()*(0)/Inputs!$C$40)+-Inputs!$C$41*EXP(-(((0)-Inputs!$C$43)^2)/(2*Inputs!$C$44^2))*EXP(-(((Model_Data!A5)-Inputs!$C$42)^2)/(2*Inputs!$C$45^2))+Inputs!$C$48*(0.7*(0.45*SIN(2*PI()*(((Model_Data!A5)/Inputs!$C$49)+Inputs!$C$47*0.137))+0.35*COS(2*PI()*(((0)/Inputs!$C$50)+Inputs!$C$47*0.173))+0.2*SIN(2*PI()*(((Model_Data!A5)+(0))/(0.5*(Inputs!$C$49+Inputs!$C$50))+Inputs!$C$47*0.097)))+0.3*(2*((SIN(((Model_Data!A5)*12.9898+(0)*78.233+Inputs!$C$47*37.719))*43758.5453)-INT((SIN(((Model_Data!A5)*12.9898+(0)*78.233+Inputs!$C$47*37.719))*43758.5453)))-1))))/1000)))*1000/Inputs!$C$12)-Model_Data!F5)</f>
        <v>62.359885107794526</v>
      </c>
      <c r="L5" s="10"/>
      <c r="M5" s="9">
        <f>Model_Data!A5</f>
        <v>-58.5</v>
      </c>
      <c r="N5" s="9">
        <f>Model_Data!P5</f>
        <v>434.43790659645504</v>
      </c>
      <c r="O5" s="9">
        <f t="shared" si="0"/>
        <v>445.68618755110947</v>
      </c>
      <c r="P5" s="9">
        <f>Model_Data!Q5</f>
        <v>65.230916906374631</v>
      </c>
      <c r="Q5" s="9">
        <f t="shared" si="1"/>
        <v>66.919847980647077</v>
      </c>
      <c r="R5" s="10"/>
      <c r="S5" s="9">
        <f>Model_Data!A5</f>
        <v>-58.5</v>
      </c>
      <c r="T5" s="9">
        <f>Model_Data!B5-Inputs!$C$5</f>
        <v>3.8025000000000091</v>
      </c>
      <c r="U5" s="10"/>
      <c r="V5" s="9">
        <f>Model_Data!A5</f>
        <v>-58.5</v>
      </c>
      <c r="W5" s="9">
        <f>((SQRT((Model_Data!A5)^2+Inputs!$C$6^2+Inputs!$C$5^2)-Inputs!$C$5)*1000/Inputs!$C$12)</f>
        <v>2824.4203395046129</v>
      </c>
      <c r="X5" s="9">
        <f>Model_Data!F5</f>
        <v>2798.1490936689197</v>
      </c>
      <c r="Y5" s="10"/>
      <c r="Z5" s="9">
        <f>Model_Data!A5</f>
        <v>-58.5</v>
      </c>
      <c r="AA5" s="9">
        <f>SQRT((Model_Data!A5)^2+Inputs!$C$6^2+((Model_Data!B5)-((Inputs!$C$51*(115*EXP(-(((Inputs!$C$6)-25)^2)/(4.5^2))+70*EXP(-(((Inputs!$C$6)+38)^2)/(7^2))*(0.55+0.45*SIN(2*PI()*(Model_Data!A5)/45))+24*SIN(2*PI()*(Inputs!$C$6)/9+(Model_Data!A5)/18)*EXP(-(((Inputs!$C$6)+5)^2)/(22^2))+18*SIN(2*PI()*(Model_Data!A5)/70))+Inputs!$C$28*EXP(-(((Model_Data!A5)-Inputs!$C$29)^2)/(2*Inputs!$C$31^2))*EXP(-(((Inputs!$C$6)-Inputs!$C$30)^2)/(2*Inputs!$C$32^2))+-Inputs!$C$33*EXP(-(((((Model_Data!A5)-Inputs!$C$34)^2)+(((Inputs!$C$6)-Inputs!$C$35)^2))/(2*Inputs!$C$36^2)))+Inputs!$C$37*(0.55*SIN(2*PI()*(Model_Data!A5)/Inputs!$C$39)+0.35*COS(2*PI()*(Inputs!$C$6)/Inputs!$C$40)+0.2*SIN(2*PI()*((Model_Data!A5)+(Inputs!$C$6))/(0.5*(Inputs!$C$39+Inputs!$C$40))))+Inputs!$C$38*SIN(2*PI()*(Model_Data!A5)/Inputs!$C$39)*SIN(2*PI()*(Inputs!$C$6)/Inputs!$C$40)+-Inputs!$C$41*EXP(-(((Inputs!$C$6)-Inputs!$C$43)^2)/(2*Inputs!$C$44^2))*EXP(-(((Model_Data!A5)-Inputs!$C$42)^2)/(2*Inputs!$C$45^2))+Inputs!$C$48*(0.7*(0.45*SIN(2*PI()*(((Model_Data!A5)/Inputs!$C$49)+Inputs!$C$47*0.137))+0.35*COS(2*PI()*(((Inputs!$C$6)/Inputs!$C$50)+Inputs!$C$47*0.173))+0.2*SIN(2*PI()*(((Model_Data!A5)+(Inputs!$C$6))/(0.5*(Inputs!$C$49+Inputs!$C$50))+Inputs!$C$47*0.097)))+0.3*(2*((SIN(((Model_Data!A5)*12.9898+(Inputs!$C$6)*78.233+Inputs!$C$47*37.719))*43758.5453)-INT((SIN(((Model_Data!A5)*12.9898+(Inputs!$C$6)*78.233+Inputs!$C$47*37.719))*43758.5453)))-1))))/1000)^2)</f>
        <v>408.65045747767215</v>
      </c>
      <c r="AB5" s="9">
        <f>1000*(AA6-AA4)/(Z6-Z4)*Inputs!$C$11</f>
        <v>-1114.2154688777737</v>
      </c>
      <c r="AC5" s="9">
        <f>-2*AB5/Inputs!$C$13</f>
        <v>445.68618755110947</v>
      </c>
      <c r="AD5" s="9">
        <f>-2*AB5/Inputs!$C$14</f>
        <v>66.919847980647077</v>
      </c>
    </row>
    <row r="6" spans="1:30">
      <c r="A6" s="9">
        <f>Model_Data!A6</f>
        <v>-58</v>
      </c>
      <c r="B6" s="9">
        <f>((SQRT((Model_Data!A6)^2+Inputs!$C$6^2+Inputs!$C$5^2)-Inputs!$C$5)*1000/Inputs!$C$12)</f>
        <v>2784.0186048512683</v>
      </c>
      <c r="C6" s="9">
        <f>Model_Data!F6</f>
        <v>2758.5554540274488</v>
      </c>
      <c r="D6" s="9">
        <f>(((SQRT((Model_Data!A6)^2+Inputs!$C$6^2+((Model_Data!B6)-((Inputs!$C$51*(115*EXP(-(((Inputs!$C$6)-25)^2)/(4.5^2))+70*EXP(-(((Inputs!$C$6)+38)^2)/(7^2))*(0.55+0.45*SIN(2*PI()*(Model_Data!A6)/45))+24*SIN(2*PI()*(Inputs!$C$6)/9+(Model_Data!A6)/18)*EXP(-(((Inputs!$C$6)+5)^2)/(22^2))+18*SIN(2*PI()*(Model_Data!A6)/70))+Inputs!$C$28*EXP(-(((Model_Data!A6)-Inputs!$C$29)^2)/(2*Inputs!$C$31^2))*EXP(-(((Inputs!$C$6)-Inputs!$C$30)^2)/(2*Inputs!$C$32^2))+-Inputs!$C$33*EXP(-(((((Model_Data!A6)-Inputs!$C$34)^2)+(((Inputs!$C$6)-Inputs!$C$35)^2))/(2*Inputs!$C$36^2)))+Inputs!$C$37*(0.55*SIN(2*PI()*(Model_Data!A6)/Inputs!$C$39)+0.35*COS(2*PI()*(Inputs!$C$6)/Inputs!$C$40)+0.2*SIN(2*PI()*((Model_Data!A6)+(Inputs!$C$6))/(0.5*(Inputs!$C$39+Inputs!$C$40))))+Inputs!$C$38*SIN(2*PI()*(Model_Data!A6)/Inputs!$C$39)*SIN(2*PI()*(Inputs!$C$6)/Inputs!$C$40)+-Inputs!$C$41*EXP(-(((Inputs!$C$6)-Inputs!$C$43)^2)/(2*Inputs!$C$44^2))*EXP(-(((Model_Data!A6)-Inputs!$C$42)^2)/(2*Inputs!$C$45^2))+Inputs!$C$48*(0.7*(0.45*SIN(2*PI()*(((Model_Data!A6)/Inputs!$C$49)+Inputs!$C$47*0.137))+0.35*COS(2*PI()*(((Inputs!$C$6)/Inputs!$C$50)+Inputs!$C$47*0.173))+0.2*SIN(2*PI()*(((Model_Data!A6)+(Inputs!$C$6))/(0.5*(Inputs!$C$49+Inputs!$C$50))+Inputs!$C$47*0.097)))+0.3*(2*((SIN(((Model_Data!A6)*12.9898+(Inputs!$C$6)*78.233+Inputs!$C$47*37.719))*43758.5453)-INT((SIN(((Model_Data!A6)*12.9898+(Inputs!$C$6)*78.233+Inputs!$C$47*37.719))*43758.5453)))-1))))/1000)^2))-(((Model_Data!B6)-((Inputs!$C$51*(115*EXP(-(((0)-25)^2)/(4.5^2))+70*EXP(-(((0)+38)^2)/(7^2))*(0.55+0.45*SIN(2*PI()*(Model_Data!A6)/45))+24*SIN(2*PI()*(0)/9+(Model_Data!A6)/18)*EXP(-(((0)+5)^2)/(22^2))+18*SIN(2*PI()*(Model_Data!A6)/70))+Inputs!$C$28*EXP(-(((Model_Data!A6)-Inputs!$C$29)^2)/(2*Inputs!$C$31^2))*EXP(-(((0)-Inputs!$C$30)^2)/(2*Inputs!$C$32^2))+-Inputs!$C$33*EXP(-(((((Model_Data!A6)-Inputs!$C$34)^2)+(((0)-Inputs!$C$35)^2))/(2*Inputs!$C$36^2)))+Inputs!$C$37*(0.55*SIN(2*PI()*(Model_Data!A6)/Inputs!$C$39)+0.35*COS(2*PI()*(0)/Inputs!$C$40)+0.2*SIN(2*PI()*((Model_Data!A6)+(0))/(0.5*(Inputs!$C$39+Inputs!$C$40))))+Inputs!$C$38*SIN(2*PI()*(Model_Data!A6)/Inputs!$C$39)*SIN(2*PI()*(0)/Inputs!$C$40)+-Inputs!$C$41*EXP(-(((0)-Inputs!$C$43)^2)/(2*Inputs!$C$44^2))*EXP(-(((Model_Data!A6)-Inputs!$C$42)^2)/(2*Inputs!$C$45^2))+Inputs!$C$48*(0.7*(0.45*SIN(2*PI()*(((Model_Data!A6)/Inputs!$C$49)+Inputs!$C$47*0.137))+0.35*COS(2*PI()*(((0)/Inputs!$C$50)+Inputs!$C$47*0.173))+0.2*SIN(2*PI()*(((Model_Data!A6)+(0))/(0.5*(Inputs!$C$49+Inputs!$C$50))+Inputs!$C$47*0.097)))+0.3*(2*((SIN(((Model_Data!A6)*12.9898+(0)*78.233+Inputs!$C$47*37.719))*43758.5453)-INT((SIN(((Model_Data!A6)*12.9898+(0)*78.233+Inputs!$C$47*37.719))*43758.5453)))-1))))/1000)))*1000/Inputs!$C$12)</f>
        <v>2709.8141822473995</v>
      </c>
      <c r="E6" s="9">
        <f>Model_Data!A6</f>
        <v>-58</v>
      </c>
      <c r="F6" s="9">
        <f>(Inputs!$C$51*(115*EXP(-(((Inputs!$C$6)-25)^2)/(4.5^2))+70*EXP(-(((Inputs!$C$6)+38)^2)/(7^2))*(0.55+0.45*SIN(2*PI()*(Model_Data!A6)/45))+24*SIN(2*PI()*(Inputs!$C$6)/9+(Model_Data!A6)/18)*EXP(-(((Inputs!$C$6)+5)^2)/(22^2))+18*SIN(2*PI()*(Model_Data!A6)/70))+Inputs!$C$28*EXP(-(((Model_Data!A6)-Inputs!$C$29)^2)/(2*Inputs!$C$31^2))*EXP(-(((Inputs!$C$6)-Inputs!$C$30)^2)/(2*Inputs!$C$32^2))+-Inputs!$C$33*EXP(-(((((Model_Data!A6)-Inputs!$C$34)^2)+(((Inputs!$C$6)-Inputs!$C$35)^2))/(2*Inputs!$C$36^2)))+Inputs!$C$37*(0.55*SIN(2*PI()*(Model_Data!A6)/Inputs!$C$39)+0.35*COS(2*PI()*(Inputs!$C$6)/Inputs!$C$40)+0.2*SIN(2*PI()*((Model_Data!A6)+(Inputs!$C$6))/(0.5*(Inputs!$C$39+Inputs!$C$40))))+Inputs!$C$38*SIN(2*PI()*(Model_Data!A6)/Inputs!$C$39)*SIN(2*PI()*(Inputs!$C$6)/Inputs!$C$40)+-Inputs!$C$41*EXP(-(((Inputs!$C$6)-Inputs!$C$43)^2)/(2*Inputs!$C$44^2))*EXP(-(((Model_Data!A6)-Inputs!$C$42)^2)/(2*Inputs!$C$45^2))+Inputs!$C$48*(0.7*(0.45*SIN(2*PI()*(((Model_Data!A6)/Inputs!$C$49)+Inputs!$C$47*0.137))+0.35*COS(2*PI()*(((Inputs!$C$6)/Inputs!$C$50)+Inputs!$C$47*0.173))+0.2*SIN(2*PI()*(((Model_Data!A6)+(Inputs!$C$6))/(0.5*(Inputs!$C$49+Inputs!$C$50))+Inputs!$C$47*0.097)))+0.3*(2*((SIN(((Model_Data!A6)*12.9898+(Inputs!$C$6)*78.233+Inputs!$C$47*37.719))*43758.5453)-INT((SIN(((Model_Data!A6)*12.9898+(Inputs!$C$6)*78.233+Inputs!$C$47*37.719))*43758.5453)))-1)))</f>
        <v>120.06952906780961</v>
      </c>
      <c r="G6" s="9">
        <f>(Inputs!$C$51*(115*EXP(-(((0)-25)^2)/(4.5^2))+70*EXP(-(((0)+38)^2)/(7^2))*(0.55+0.45*SIN(2*PI()*(Model_Data!A6)/45))+24*SIN(2*PI()*(0)/9+(Model_Data!A6)/18)*EXP(-(((0)+5)^2)/(22^2))+18*SIN(2*PI()*(Model_Data!A6)/70))+Inputs!$C$28*EXP(-(((Model_Data!A6)-Inputs!$C$29)^2)/(2*Inputs!$C$31^2))*EXP(-(((0)-Inputs!$C$30)^2)/(2*Inputs!$C$32^2))+-Inputs!$C$33*EXP(-(((((Model_Data!A6)-Inputs!$C$34)^2)+(((0)-Inputs!$C$35)^2))/(2*Inputs!$C$36^2)))+Inputs!$C$37*(0.55*SIN(2*PI()*(Model_Data!A6)/Inputs!$C$39)+0.35*COS(2*PI()*(0)/Inputs!$C$40)+0.2*SIN(2*PI()*((Model_Data!A6)+(0))/(0.5*(Inputs!$C$39+Inputs!$C$40))))+Inputs!$C$38*SIN(2*PI()*(Model_Data!A6)/Inputs!$C$39)*SIN(2*PI()*(0)/Inputs!$C$40)+-Inputs!$C$41*EXP(-(((0)-Inputs!$C$43)^2)/(2*Inputs!$C$44^2))*EXP(-(((Model_Data!A6)-Inputs!$C$42)^2)/(2*Inputs!$C$45^2))+Inputs!$C$48*(0.7*(0.45*SIN(2*PI()*(((Model_Data!A6)/Inputs!$C$49)+Inputs!$C$47*0.137))+0.35*COS(2*PI()*(((0)/Inputs!$C$50)+Inputs!$C$47*0.173))+0.2*SIN(2*PI()*(((Model_Data!A6)+(0))/(0.5*(Inputs!$C$49+Inputs!$C$50))+Inputs!$C$47*0.097)))+0.3*(2*((SIN(((Model_Data!A6)*12.9898+(0)*78.233+Inputs!$C$47*37.719))*43758.5453)-INT((SIN(((Model_Data!A6)*12.9898+(0)*78.233+Inputs!$C$47*37.719))*43758.5453)))-1)))</f>
        <v>31.866913549015347</v>
      </c>
      <c r="H6" s="10"/>
      <c r="I6" s="9">
        <f>Model_Data!A6</f>
        <v>-58</v>
      </c>
      <c r="J6" s="9">
        <f>(Inputs!$C$51*(115*EXP(-(((Inputs!$C$6)-25)^2)/(4.5^2))+70*EXP(-(((Inputs!$C$6)+38)^2)/(7^2))*(0.55+0.45*SIN(2*PI()*(Model_Data!A6)/45))+24*SIN(2*PI()*(Inputs!$C$6)/9+(Model_Data!A6)/18)*EXP(-(((Inputs!$C$6)+5)^2)/(22^2))+18*SIN(2*PI()*(Model_Data!A6)/70))+Inputs!$C$28*EXP(-(((Model_Data!A6)-Inputs!$C$29)^2)/(2*Inputs!$C$31^2))*EXP(-(((Inputs!$C$6)-Inputs!$C$30)^2)/(2*Inputs!$C$32^2))+-Inputs!$C$33*EXP(-(((((Model_Data!A6)-Inputs!$C$34)^2)+(((Inputs!$C$6)-Inputs!$C$35)^2))/(2*Inputs!$C$36^2)))+Inputs!$C$37*(0.55*SIN(2*PI()*(Model_Data!A6)/Inputs!$C$39)+0.35*COS(2*PI()*(Inputs!$C$6)/Inputs!$C$40)+0.2*SIN(2*PI()*((Model_Data!A6)+(Inputs!$C$6))/(0.5*(Inputs!$C$39+Inputs!$C$40))))+Inputs!$C$38*SIN(2*PI()*(Model_Data!A6)/Inputs!$C$39)*SIN(2*PI()*(Inputs!$C$6)/Inputs!$C$40)+-Inputs!$C$41*EXP(-(((Inputs!$C$6)-Inputs!$C$43)^2)/(2*Inputs!$C$44^2))*EXP(-(((Model_Data!A6)-Inputs!$C$42)^2)/(2*Inputs!$C$45^2))+Inputs!$C$48*(0.7*(0.45*SIN(2*PI()*(((Model_Data!A6)/Inputs!$C$49)+Inputs!$C$47*0.137))+0.35*COS(2*PI()*(((Inputs!$C$6)/Inputs!$C$50)+Inputs!$C$47*0.173))+0.2*SIN(2*PI()*(((Model_Data!A6)+(Inputs!$C$6))/(0.5*(Inputs!$C$49+Inputs!$C$50))+Inputs!$C$47*0.097)))+0.3*(2*((SIN(((Model_Data!A6)*12.9898+(Inputs!$C$6)*78.233+Inputs!$C$47*37.719))*43758.5453)-INT((SIN(((Model_Data!A6)*12.9898+(Inputs!$C$6)*78.233+Inputs!$C$47*37.719))*43758.5453)))-1)))</f>
        <v>120.06952906780961</v>
      </c>
      <c r="K6" s="9">
        <f>-((((SQRT((Model_Data!A6)^2+Inputs!$C$6^2+((Model_Data!B6)-((Inputs!$C$51*(115*EXP(-(((Inputs!$C$6)-25)^2)/(4.5^2))+70*EXP(-(((Inputs!$C$6)+38)^2)/(7^2))*(0.55+0.45*SIN(2*PI()*(Model_Data!A6)/45))+24*SIN(2*PI()*(Inputs!$C$6)/9+(Model_Data!A6)/18)*EXP(-(((Inputs!$C$6)+5)^2)/(22^2))+18*SIN(2*PI()*(Model_Data!A6)/70))+Inputs!$C$28*EXP(-(((Model_Data!A6)-Inputs!$C$29)^2)/(2*Inputs!$C$31^2))*EXP(-(((Inputs!$C$6)-Inputs!$C$30)^2)/(2*Inputs!$C$32^2))+-Inputs!$C$33*EXP(-(((((Model_Data!A6)-Inputs!$C$34)^2)+(((Inputs!$C$6)-Inputs!$C$35)^2))/(2*Inputs!$C$36^2)))+Inputs!$C$37*(0.55*SIN(2*PI()*(Model_Data!A6)/Inputs!$C$39)+0.35*COS(2*PI()*(Inputs!$C$6)/Inputs!$C$40)+0.2*SIN(2*PI()*((Model_Data!A6)+(Inputs!$C$6))/(0.5*(Inputs!$C$39+Inputs!$C$40))))+Inputs!$C$38*SIN(2*PI()*(Model_Data!A6)/Inputs!$C$39)*SIN(2*PI()*(Inputs!$C$6)/Inputs!$C$40)+-Inputs!$C$41*EXP(-(((Inputs!$C$6)-Inputs!$C$43)^2)/(2*Inputs!$C$44^2))*EXP(-(((Model_Data!A6)-Inputs!$C$42)^2)/(2*Inputs!$C$45^2))+Inputs!$C$48*(0.7*(0.45*SIN(2*PI()*(((Model_Data!A6)/Inputs!$C$49)+Inputs!$C$47*0.137))+0.35*COS(2*PI()*(((Inputs!$C$6)/Inputs!$C$50)+Inputs!$C$47*0.173))+0.2*SIN(2*PI()*(((Model_Data!A6)+(Inputs!$C$6))/(0.5*(Inputs!$C$49+Inputs!$C$50))+Inputs!$C$47*0.097)))+0.3*(2*((SIN(((Model_Data!A6)*12.9898+(Inputs!$C$6)*78.233+Inputs!$C$47*37.719))*43758.5453)-INT((SIN(((Model_Data!A6)*12.9898+(Inputs!$C$6)*78.233+Inputs!$C$47*37.719))*43758.5453)))-1))))/1000)^2))-(((Model_Data!B6)-((Inputs!$C$51*(115*EXP(-(((0)-25)^2)/(4.5^2))+70*EXP(-(((0)+38)^2)/(7^2))*(0.55+0.45*SIN(2*PI()*(Model_Data!A6)/45))+24*SIN(2*PI()*(0)/9+(Model_Data!A6)/18)*EXP(-(((0)+5)^2)/(22^2))+18*SIN(2*PI()*(Model_Data!A6)/70))+Inputs!$C$28*EXP(-(((Model_Data!A6)-Inputs!$C$29)^2)/(2*Inputs!$C$31^2))*EXP(-(((0)-Inputs!$C$30)^2)/(2*Inputs!$C$32^2))+-Inputs!$C$33*EXP(-(((((Model_Data!A6)-Inputs!$C$34)^2)+(((0)-Inputs!$C$35)^2))/(2*Inputs!$C$36^2)))+Inputs!$C$37*(0.55*SIN(2*PI()*(Model_Data!A6)/Inputs!$C$39)+0.35*COS(2*PI()*(0)/Inputs!$C$40)+0.2*SIN(2*PI()*((Model_Data!A6)+(0))/(0.5*(Inputs!$C$39+Inputs!$C$40))))+Inputs!$C$38*SIN(2*PI()*(Model_Data!A6)/Inputs!$C$39)*SIN(2*PI()*(0)/Inputs!$C$40)+-Inputs!$C$41*EXP(-(((0)-Inputs!$C$43)^2)/(2*Inputs!$C$44^2))*EXP(-(((Model_Data!A6)-Inputs!$C$42)^2)/(2*Inputs!$C$45^2))+Inputs!$C$48*(0.7*(0.45*SIN(2*PI()*(((Model_Data!A6)/Inputs!$C$49)+Inputs!$C$47*0.137))+0.35*COS(2*PI()*(((0)/Inputs!$C$50)+Inputs!$C$47*0.173))+0.2*SIN(2*PI()*(((Model_Data!A6)+(0))/(0.5*(Inputs!$C$49+Inputs!$C$50))+Inputs!$C$47*0.097)))+0.3*(2*((SIN(((Model_Data!A6)*12.9898+(0)*78.233+Inputs!$C$47*37.719))*43758.5453)-INT((SIN(((Model_Data!A6)*12.9898+(0)*78.233+Inputs!$C$47*37.719))*43758.5453)))-1))))/1000)))*1000/Inputs!$C$12)-Model_Data!F6)</f>
        <v>48.741271780049374</v>
      </c>
      <c r="L6" s="10"/>
      <c r="M6" s="9">
        <f>Model_Data!A6</f>
        <v>-58</v>
      </c>
      <c r="N6" s="9">
        <f>Model_Data!P6</f>
        <v>430.83460321358444</v>
      </c>
      <c r="O6" s="9">
        <f t="shared" si="0"/>
        <v>438.04576340462518</v>
      </c>
      <c r="P6" s="9">
        <f>Model_Data!Q6</f>
        <v>64.689880362400075</v>
      </c>
      <c r="Q6" s="9">
        <f t="shared" si="1"/>
        <v>65.772637147841621</v>
      </c>
      <c r="R6" s="10"/>
      <c r="S6" s="9">
        <f>Model_Data!A6</f>
        <v>-58</v>
      </c>
      <c r="T6" s="9">
        <f>Model_Data!B6-Inputs!$C$5</f>
        <v>3.737777777777751</v>
      </c>
      <c r="U6" s="10"/>
      <c r="V6" s="9">
        <f>Model_Data!A6</f>
        <v>-58</v>
      </c>
      <c r="W6" s="9">
        <f>((SQRT((Model_Data!A6)^2+Inputs!$C$6^2+Inputs!$C$5^2)-Inputs!$C$5)*1000/Inputs!$C$12)</f>
        <v>2784.0186048512683</v>
      </c>
      <c r="X6" s="9">
        <f>Model_Data!F6</f>
        <v>2758.5554540274488</v>
      </c>
      <c r="Y6" s="10"/>
      <c r="Z6" s="9">
        <f>Model_Data!A6</f>
        <v>-58</v>
      </c>
      <c r="AA6" s="9">
        <f>SQRT((Model_Data!A6)^2+Inputs!$C$6^2+((Model_Data!B6)-((Inputs!$C$51*(115*EXP(-(((Inputs!$C$6)-25)^2)/(4.5^2))+70*EXP(-(((Inputs!$C$6)+38)^2)/(7^2))*(0.55+0.45*SIN(2*PI()*(Model_Data!A6)/45))+24*SIN(2*PI()*(Inputs!$C$6)/9+(Model_Data!A6)/18)*EXP(-(((Inputs!$C$6)+5)^2)/(22^2))+18*SIN(2*PI()*(Model_Data!A6)/70))+Inputs!$C$28*EXP(-(((Model_Data!A6)-Inputs!$C$29)^2)/(2*Inputs!$C$31^2))*EXP(-(((Inputs!$C$6)-Inputs!$C$30)^2)/(2*Inputs!$C$32^2))+-Inputs!$C$33*EXP(-(((((Model_Data!A6)-Inputs!$C$34)^2)+(((Inputs!$C$6)-Inputs!$C$35)^2))/(2*Inputs!$C$36^2)))+Inputs!$C$37*(0.55*SIN(2*PI()*(Model_Data!A6)/Inputs!$C$39)+0.35*COS(2*PI()*(Inputs!$C$6)/Inputs!$C$40)+0.2*SIN(2*PI()*((Model_Data!A6)+(Inputs!$C$6))/(0.5*(Inputs!$C$39+Inputs!$C$40))))+Inputs!$C$38*SIN(2*PI()*(Model_Data!A6)/Inputs!$C$39)*SIN(2*PI()*(Inputs!$C$6)/Inputs!$C$40)+-Inputs!$C$41*EXP(-(((Inputs!$C$6)-Inputs!$C$43)^2)/(2*Inputs!$C$44^2))*EXP(-(((Model_Data!A6)-Inputs!$C$42)^2)/(2*Inputs!$C$45^2))+Inputs!$C$48*(0.7*(0.45*SIN(2*PI()*(((Model_Data!A6)/Inputs!$C$49)+Inputs!$C$47*0.137))+0.35*COS(2*PI()*(((Inputs!$C$6)/Inputs!$C$50)+Inputs!$C$47*0.173))+0.2*SIN(2*PI()*(((Model_Data!A6)+(Inputs!$C$6))/(0.5*(Inputs!$C$49+Inputs!$C$50))+Inputs!$C$47*0.097)))+0.3*(2*((SIN(((Model_Data!A6)*12.9898+(Inputs!$C$6)*78.233+Inputs!$C$47*37.719))*43758.5453)-INT((SIN(((Model_Data!A6)*12.9898+(Inputs!$C$6)*78.233+Inputs!$C$47*37.719))*43758.5453)))-1))))/1000)^2)</f>
        <v>408.52938010862908</v>
      </c>
      <c r="AB6" s="9">
        <f>1000*(AA7-AA5)/(Z7-Z5)*Inputs!$C$11</f>
        <v>-1095.1144085115629</v>
      </c>
      <c r="AC6" s="9">
        <f>-2*AB6/Inputs!$C$13</f>
        <v>438.04576340462518</v>
      </c>
      <c r="AD6" s="9">
        <f>-2*AB6/Inputs!$C$14</f>
        <v>65.772637147841621</v>
      </c>
    </row>
    <row r="7" spans="1:30">
      <c r="A7" s="9">
        <f>Model_Data!A7</f>
        <v>-57.5</v>
      </c>
      <c r="B7" s="9">
        <f>((SQRT((Model_Data!A7)^2+Inputs!$C$6^2+Inputs!$C$5^2)-Inputs!$C$5)*1000/Inputs!$C$12)</f>
        <v>2743.956582224499</v>
      </c>
      <c r="C7" s="9">
        <f>Model_Data!F7</f>
        <v>2719.2825461397751</v>
      </c>
      <c r="D7" s="9">
        <f>(((SQRT((Model_Data!A7)^2+Inputs!$C$6^2+((Model_Data!B7)-((Inputs!$C$51*(115*EXP(-(((Inputs!$C$6)-25)^2)/(4.5^2))+70*EXP(-(((Inputs!$C$6)+38)^2)/(7^2))*(0.55+0.45*SIN(2*PI()*(Model_Data!A7)/45))+24*SIN(2*PI()*(Inputs!$C$6)/9+(Model_Data!A7)/18)*EXP(-(((Inputs!$C$6)+5)^2)/(22^2))+18*SIN(2*PI()*(Model_Data!A7)/70))+Inputs!$C$28*EXP(-(((Model_Data!A7)-Inputs!$C$29)^2)/(2*Inputs!$C$31^2))*EXP(-(((Inputs!$C$6)-Inputs!$C$30)^2)/(2*Inputs!$C$32^2))+-Inputs!$C$33*EXP(-(((((Model_Data!A7)-Inputs!$C$34)^2)+(((Inputs!$C$6)-Inputs!$C$35)^2))/(2*Inputs!$C$36^2)))+Inputs!$C$37*(0.55*SIN(2*PI()*(Model_Data!A7)/Inputs!$C$39)+0.35*COS(2*PI()*(Inputs!$C$6)/Inputs!$C$40)+0.2*SIN(2*PI()*((Model_Data!A7)+(Inputs!$C$6))/(0.5*(Inputs!$C$39+Inputs!$C$40))))+Inputs!$C$38*SIN(2*PI()*(Model_Data!A7)/Inputs!$C$39)*SIN(2*PI()*(Inputs!$C$6)/Inputs!$C$40)+-Inputs!$C$41*EXP(-(((Inputs!$C$6)-Inputs!$C$43)^2)/(2*Inputs!$C$44^2))*EXP(-(((Model_Data!A7)-Inputs!$C$42)^2)/(2*Inputs!$C$45^2))+Inputs!$C$48*(0.7*(0.45*SIN(2*PI()*(((Model_Data!A7)/Inputs!$C$49)+Inputs!$C$47*0.137))+0.35*COS(2*PI()*(((Inputs!$C$6)/Inputs!$C$50)+Inputs!$C$47*0.173))+0.2*SIN(2*PI()*(((Model_Data!A7)+(Inputs!$C$6))/(0.5*(Inputs!$C$49+Inputs!$C$50))+Inputs!$C$47*0.097)))+0.3*(2*((SIN(((Model_Data!A7)*12.9898+(Inputs!$C$6)*78.233+Inputs!$C$47*37.719))*43758.5453)-INT((SIN(((Model_Data!A7)*12.9898+(Inputs!$C$6)*78.233+Inputs!$C$47*37.719))*43758.5453)))-1))))/1000)^2))-(((Model_Data!B7)-((Inputs!$C$51*(115*EXP(-(((0)-25)^2)/(4.5^2))+70*EXP(-(((0)+38)^2)/(7^2))*(0.55+0.45*SIN(2*PI()*(Model_Data!A7)/45))+24*SIN(2*PI()*(0)/9+(Model_Data!A7)/18)*EXP(-(((0)+5)^2)/(22^2))+18*SIN(2*PI()*(Model_Data!A7)/70))+Inputs!$C$28*EXP(-(((Model_Data!A7)-Inputs!$C$29)^2)/(2*Inputs!$C$31^2))*EXP(-(((0)-Inputs!$C$30)^2)/(2*Inputs!$C$32^2))+-Inputs!$C$33*EXP(-(((((Model_Data!A7)-Inputs!$C$34)^2)+(((0)-Inputs!$C$35)^2))/(2*Inputs!$C$36^2)))+Inputs!$C$37*(0.55*SIN(2*PI()*(Model_Data!A7)/Inputs!$C$39)+0.35*COS(2*PI()*(0)/Inputs!$C$40)+0.2*SIN(2*PI()*((Model_Data!A7)+(0))/(0.5*(Inputs!$C$39+Inputs!$C$40))))+Inputs!$C$38*SIN(2*PI()*(Model_Data!A7)/Inputs!$C$39)*SIN(2*PI()*(0)/Inputs!$C$40)+-Inputs!$C$41*EXP(-(((0)-Inputs!$C$43)^2)/(2*Inputs!$C$44^2))*EXP(-(((Model_Data!A7)-Inputs!$C$42)^2)/(2*Inputs!$C$45^2))+Inputs!$C$48*(0.7*(0.45*SIN(2*PI()*(((Model_Data!A7)/Inputs!$C$49)+Inputs!$C$47*0.137))+0.35*COS(2*PI()*(((0)/Inputs!$C$50)+Inputs!$C$47*0.173))+0.2*SIN(2*PI()*(((Model_Data!A7)+(0))/(0.5*(Inputs!$C$49+Inputs!$C$50))+Inputs!$C$47*0.097)))+0.3*(2*((SIN(((Model_Data!A7)*12.9898+(0)*78.233+Inputs!$C$47*37.719))*43758.5453)-INT((SIN(((Model_Data!A7)*12.9898+(0)*78.233+Inputs!$C$47*37.719))*43758.5453)))-1))))/1000)))*1000/Inputs!$C$12)</f>
        <v>2661.6034336635566</v>
      </c>
      <c r="E7" s="9">
        <f>Model_Data!A7</f>
        <v>-57.5</v>
      </c>
      <c r="F7" s="9">
        <f>(Inputs!$C$51*(115*EXP(-(((Inputs!$C$6)-25)^2)/(4.5^2))+70*EXP(-(((Inputs!$C$6)+38)^2)/(7^2))*(0.55+0.45*SIN(2*PI()*(Model_Data!A7)/45))+24*SIN(2*PI()*(Inputs!$C$6)/9+(Model_Data!A7)/18)*EXP(-(((Inputs!$C$6)+5)^2)/(22^2))+18*SIN(2*PI()*(Model_Data!A7)/70))+Inputs!$C$28*EXP(-(((Model_Data!A7)-Inputs!$C$29)^2)/(2*Inputs!$C$31^2))*EXP(-(((Inputs!$C$6)-Inputs!$C$30)^2)/(2*Inputs!$C$32^2))+-Inputs!$C$33*EXP(-(((((Model_Data!A7)-Inputs!$C$34)^2)+(((Inputs!$C$6)-Inputs!$C$35)^2))/(2*Inputs!$C$36^2)))+Inputs!$C$37*(0.55*SIN(2*PI()*(Model_Data!A7)/Inputs!$C$39)+0.35*COS(2*PI()*(Inputs!$C$6)/Inputs!$C$40)+0.2*SIN(2*PI()*((Model_Data!A7)+(Inputs!$C$6))/(0.5*(Inputs!$C$39+Inputs!$C$40))))+Inputs!$C$38*SIN(2*PI()*(Model_Data!A7)/Inputs!$C$39)*SIN(2*PI()*(Inputs!$C$6)/Inputs!$C$40)+-Inputs!$C$41*EXP(-(((Inputs!$C$6)-Inputs!$C$43)^2)/(2*Inputs!$C$44^2))*EXP(-(((Model_Data!A7)-Inputs!$C$42)^2)/(2*Inputs!$C$45^2))+Inputs!$C$48*(0.7*(0.45*SIN(2*PI()*(((Model_Data!A7)/Inputs!$C$49)+Inputs!$C$47*0.137))+0.35*COS(2*PI()*(((Inputs!$C$6)/Inputs!$C$50)+Inputs!$C$47*0.173))+0.2*SIN(2*PI()*(((Model_Data!A7)+(Inputs!$C$6))/(0.5*(Inputs!$C$49+Inputs!$C$50))+Inputs!$C$47*0.097)))+0.3*(2*((SIN(((Model_Data!A7)*12.9898+(Inputs!$C$6)*78.233+Inputs!$C$47*37.719))*43758.5453)-INT((SIN(((Model_Data!A7)*12.9898+(Inputs!$C$6)*78.233+Inputs!$C$47*37.719))*43758.5453)))-1)))</f>
        <v>138.90151425445745</v>
      </c>
      <c r="G7" s="9">
        <f>(Inputs!$C$51*(115*EXP(-(((0)-25)^2)/(4.5^2))+70*EXP(-(((0)+38)^2)/(7^2))*(0.55+0.45*SIN(2*PI()*(Model_Data!A7)/45))+24*SIN(2*PI()*(0)/9+(Model_Data!A7)/18)*EXP(-(((0)+5)^2)/(22^2))+18*SIN(2*PI()*(Model_Data!A7)/70))+Inputs!$C$28*EXP(-(((Model_Data!A7)-Inputs!$C$29)^2)/(2*Inputs!$C$31^2))*EXP(-(((0)-Inputs!$C$30)^2)/(2*Inputs!$C$32^2))+-Inputs!$C$33*EXP(-(((((Model_Data!A7)-Inputs!$C$34)^2)+(((0)-Inputs!$C$35)^2))/(2*Inputs!$C$36^2)))+Inputs!$C$37*(0.55*SIN(2*PI()*(Model_Data!A7)/Inputs!$C$39)+0.35*COS(2*PI()*(0)/Inputs!$C$40)+0.2*SIN(2*PI()*((Model_Data!A7)+(0))/(0.5*(Inputs!$C$39+Inputs!$C$40))))+Inputs!$C$38*SIN(2*PI()*(Model_Data!A7)/Inputs!$C$39)*SIN(2*PI()*(0)/Inputs!$C$40)+-Inputs!$C$41*EXP(-(((0)-Inputs!$C$43)^2)/(2*Inputs!$C$44^2))*EXP(-(((Model_Data!A7)-Inputs!$C$42)^2)/(2*Inputs!$C$45^2))+Inputs!$C$48*(0.7*(0.45*SIN(2*PI()*(((Model_Data!A7)/Inputs!$C$49)+Inputs!$C$47*0.137))+0.35*COS(2*PI()*(((0)/Inputs!$C$50)+Inputs!$C$47*0.173))+0.2*SIN(2*PI()*(((Model_Data!A7)+(0))/(0.5*(Inputs!$C$49+Inputs!$C$50))+Inputs!$C$47*0.097)))+0.3*(2*((SIN(((Model_Data!A7)*12.9898+(0)*78.233+Inputs!$C$47*37.719))*43758.5453)-INT((SIN(((Model_Data!A7)*12.9898+(0)*78.233+Inputs!$C$47*37.719))*43758.5453)))-1)))</f>
        <v>34.586347487973264</v>
      </c>
      <c r="H7" s="10"/>
      <c r="I7" s="9">
        <f>Model_Data!A7</f>
        <v>-57.5</v>
      </c>
      <c r="J7" s="9">
        <f>(Inputs!$C$51*(115*EXP(-(((Inputs!$C$6)-25)^2)/(4.5^2))+70*EXP(-(((Inputs!$C$6)+38)^2)/(7^2))*(0.55+0.45*SIN(2*PI()*(Model_Data!A7)/45))+24*SIN(2*PI()*(Inputs!$C$6)/9+(Model_Data!A7)/18)*EXP(-(((Inputs!$C$6)+5)^2)/(22^2))+18*SIN(2*PI()*(Model_Data!A7)/70))+Inputs!$C$28*EXP(-(((Model_Data!A7)-Inputs!$C$29)^2)/(2*Inputs!$C$31^2))*EXP(-(((Inputs!$C$6)-Inputs!$C$30)^2)/(2*Inputs!$C$32^2))+-Inputs!$C$33*EXP(-(((((Model_Data!A7)-Inputs!$C$34)^2)+(((Inputs!$C$6)-Inputs!$C$35)^2))/(2*Inputs!$C$36^2)))+Inputs!$C$37*(0.55*SIN(2*PI()*(Model_Data!A7)/Inputs!$C$39)+0.35*COS(2*PI()*(Inputs!$C$6)/Inputs!$C$40)+0.2*SIN(2*PI()*((Model_Data!A7)+(Inputs!$C$6))/(0.5*(Inputs!$C$39+Inputs!$C$40))))+Inputs!$C$38*SIN(2*PI()*(Model_Data!A7)/Inputs!$C$39)*SIN(2*PI()*(Inputs!$C$6)/Inputs!$C$40)+-Inputs!$C$41*EXP(-(((Inputs!$C$6)-Inputs!$C$43)^2)/(2*Inputs!$C$44^2))*EXP(-(((Model_Data!A7)-Inputs!$C$42)^2)/(2*Inputs!$C$45^2))+Inputs!$C$48*(0.7*(0.45*SIN(2*PI()*(((Model_Data!A7)/Inputs!$C$49)+Inputs!$C$47*0.137))+0.35*COS(2*PI()*(((Inputs!$C$6)/Inputs!$C$50)+Inputs!$C$47*0.173))+0.2*SIN(2*PI()*(((Model_Data!A7)+(Inputs!$C$6))/(0.5*(Inputs!$C$49+Inputs!$C$50))+Inputs!$C$47*0.097)))+0.3*(2*((SIN(((Model_Data!A7)*12.9898+(Inputs!$C$6)*78.233+Inputs!$C$47*37.719))*43758.5453)-INT((SIN(((Model_Data!A7)*12.9898+(Inputs!$C$6)*78.233+Inputs!$C$47*37.719))*43758.5453)))-1)))</f>
        <v>138.90151425445745</v>
      </c>
      <c r="K7" s="9">
        <f>-((((SQRT((Model_Data!A7)^2+Inputs!$C$6^2+((Model_Data!B7)-((Inputs!$C$51*(115*EXP(-(((Inputs!$C$6)-25)^2)/(4.5^2))+70*EXP(-(((Inputs!$C$6)+38)^2)/(7^2))*(0.55+0.45*SIN(2*PI()*(Model_Data!A7)/45))+24*SIN(2*PI()*(Inputs!$C$6)/9+(Model_Data!A7)/18)*EXP(-(((Inputs!$C$6)+5)^2)/(22^2))+18*SIN(2*PI()*(Model_Data!A7)/70))+Inputs!$C$28*EXP(-(((Model_Data!A7)-Inputs!$C$29)^2)/(2*Inputs!$C$31^2))*EXP(-(((Inputs!$C$6)-Inputs!$C$30)^2)/(2*Inputs!$C$32^2))+-Inputs!$C$33*EXP(-(((((Model_Data!A7)-Inputs!$C$34)^2)+(((Inputs!$C$6)-Inputs!$C$35)^2))/(2*Inputs!$C$36^2)))+Inputs!$C$37*(0.55*SIN(2*PI()*(Model_Data!A7)/Inputs!$C$39)+0.35*COS(2*PI()*(Inputs!$C$6)/Inputs!$C$40)+0.2*SIN(2*PI()*((Model_Data!A7)+(Inputs!$C$6))/(0.5*(Inputs!$C$39+Inputs!$C$40))))+Inputs!$C$38*SIN(2*PI()*(Model_Data!A7)/Inputs!$C$39)*SIN(2*PI()*(Inputs!$C$6)/Inputs!$C$40)+-Inputs!$C$41*EXP(-(((Inputs!$C$6)-Inputs!$C$43)^2)/(2*Inputs!$C$44^2))*EXP(-(((Model_Data!A7)-Inputs!$C$42)^2)/(2*Inputs!$C$45^2))+Inputs!$C$48*(0.7*(0.45*SIN(2*PI()*(((Model_Data!A7)/Inputs!$C$49)+Inputs!$C$47*0.137))+0.35*COS(2*PI()*(((Inputs!$C$6)/Inputs!$C$50)+Inputs!$C$47*0.173))+0.2*SIN(2*PI()*(((Model_Data!A7)+(Inputs!$C$6))/(0.5*(Inputs!$C$49+Inputs!$C$50))+Inputs!$C$47*0.097)))+0.3*(2*((SIN(((Model_Data!A7)*12.9898+(Inputs!$C$6)*78.233+Inputs!$C$47*37.719))*43758.5453)-INT((SIN(((Model_Data!A7)*12.9898+(Inputs!$C$6)*78.233+Inputs!$C$47*37.719))*43758.5453)))-1))))/1000)^2))-(((Model_Data!B7)-((Inputs!$C$51*(115*EXP(-(((0)-25)^2)/(4.5^2))+70*EXP(-(((0)+38)^2)/(7^2))*(0.55+0.45*SIN(2*PI()*(Model_Data!A7)/45))+24*SIN(2*PI()*(0)/9+(Model_Data!A7)/18)*EXP(-(((0)+5)^2)/(22^2))+18*SIN(2*PI()*(Model_Data!A7)/70))+Inputs!$C$28*EXP(-(((Model_Data!A7)-Inputs!$C$29)^2)/(2*Inputs!$C$31^2))*EXP(-(((0)-Inputs!$C$30)^2)/(2*Inputs!$C$32^2))+-Inputs!$C$33*EXP(-(((((Model_Data!A7)-Inputs!$C$34)^2)+(((0)-Inputs!$C$35)^2))/(2*Inputs!$C$36^2)))+Inputs!$C$37*(0.55*SIN(2*PI()*(Model_Data!A7)/Inputs!$C$39)+0.35*COS(2*PI()*(0)/Inputs!$C$40)+0.2*SIN(2*PI()*((Model_Data!A7)+(0))/(0.5*(Inputs!$C$39+Inputs!$C$40))))+Inputs!$C$38*SIN(2*PI()*(Model_Data!A7)/Inputs!$C$39)*SIN(2*PI()*(0)/Inputs!$C$40)+-Inputs!$C$41*EXP(-(((0)-Inputs!$C$43)^2)/(2*Inputs!$C$44^2))*EXP(-(((Model_Data!A7)-Inputs!$C$42)^2)/(2*Inputs!$C$45^2))+Inputs!$C$48*(0.7*(0.45*SIN(2*PI()*(((Model_Data!A7)/Inputs!$C$49)+Inputs!$C$47*0.137))+0.35*COS(2*PI()*(((0)/Inputs!$C$50)+Inputs!$C$47*0.173))+0.2*SIN(2*PI()*(((Model_Data!A7)+(0))/(0.5*(Inputs!$C$49+Inputs!$C$50))+Inputs!$C$47*0.097)))+0.3*(2*((SIN(((Model_Data!A7)*12.9898+(0)*78.233+Inputs!$C$47*37.719))*43758.5453)-INT((SIN(((Model_Data!A7)*12.9898+(0)*78.233+Inputs!$C$47*37.719))*43758.5453)))-1))))/1000)))*1000/Inputs!$C$12)-Model_Data!F7)</f>
        <v>57.679112476218506</v>
      </c>
      <c r="L7" s="10"/>
      <c r="M7" s="9">
        <f>Model_Data!A7</f>
        <v>-57.5</v>
      </c>
      <c r="N7" s="9">
        <f>Model_Data!P7</f>
        <v>427.22857806368108</v>
      </c>
      <c r="O7" s="9">
        <f t="shared" si="0"/>
        <v>454.80118196119292</v>
      </c>
      <c r="P7" s="9">
        <f>Model_Data!Q7</f>
        <v>64.148435144696862</v>
      </c>
      <c r="Q7" s="9">
        <f t="shared" si="1"/>
        <v>68.288465759938887</v>
      </c>
      <c r="R7" s="10"/>
      <c r="S7" s="9">
        <f>Model_Data!A7</f>
        <v>-57.5</v>
      </c>
      <c r="T7" s="9">
        <f>Model_Data!B7-Inputs!$C$5</f>
        <v>3.6736111111110858</v>
      </c>
      <c r="U7" s="10"/>
      <c r="V7" s="9">
        <f>Model_Data!A7</f>
        <v>-57.5</v>
      </c>
      <c r="W7" s="9">
        <f>((SQRT((Model_Data!A7)^2+Inputs!$C$6^2+Inputs!$C$5^2)-Inputs!$C$5)*1000/Inputs!$C$12)</f>
        <v>2743.956582224499</v>
      </c>
      <c r="X7" s="9">
        <f>Model_Data!F7</f>
        <v>2719.2825461397751</v>
      </c>
      <c r="Y7" s="10"/>
      <c r="Z7" s="9">
        <f>Model_Data!A7</f>
        <v>-57.5</v>
      </c>
      <c r="AA7" s="9">
        <f>SQRT((Model_Data!A7)^2+Inputs!$C$6^2+((Model_Data!B7)-((Inputs!$C$51*(115*EXP(-(((Inputs!$C$6)-25)^2)/(4.5^2))+70*EXP(-(((Inputs!$C$6)+38)^2)/(7^2))*(0.55+0.45*SIN(2*PI()*(Model_Data!A7)/45))+24*SIN(2*PI()*(Inputs!$C$6)/9+(Model_Data!A7)/18)*EXP(-(((Inputs!$C$6)+5)^2)/(22^2))+18*SIN(2*PI()*(Model_Data!A7)/70))+Inputs!$C$28*EXP(-(((Model_Data!A7)-Inputs!$C$29)^2)/(2*Inputs!$C$31^2))*EXP(-(((Inputs!$C$6)-Inputs!$C$30)^2)/(2*Inputs!$C$32^2))+-Inputs!$C$33*EXP(-(((((Model_Data!A7)-Inputs!$C$34)^2)+(((Inputs!$C$6)-Inputs!$C$35)^2))/(2*Inputs!$C$36^2)))+Inputs!$C$37*(0.55*SIN(2*PI()*(Model_Data!A7)/Inputs!$C$39)+0.35*COS(2*PI()*(Inputs!$C$6)/Inputs!$C$40)+0.2*SIN(2*PI()*((Model_Data!A7)+(Inputs!$C$6))/(0.5*(Inputs!$C$39+Inputs!$C$40))))+Inputs!$C$38*SIN(2*PI()*(Model_Data!A7)/Inputs!$C$39)*SIN(2*PI()*(Inputs!$C$6)/Inputs!$C$40)+-Inputs!$C$41*EXP(-(((Inputs!$C$6)-Inputs!$C$43)^2)/(2*Inputs!$C$44^2))*EXP(-(((Model_Data!A7)-Inputs!$C$42)^2)/(2*Inputs!$C$45^2))+Inputs!$C$48*(0.7*(0.45*SIN(2*PI()*(((Model_Data!A7)/Inputs!$C$49)+Inputs!$C$47*0.137))+0.35*COS(2*PI()*(((Inputs!$C$6)/Inputs!$C$50)+Inputs!$C$47*0.173))+0.2*SIN(2*PI()*(((Model_Data!A7)+(Inputs!$C$6))/(0.5*(Inputs!$C$49+Inputs!$C$50))+Inputs!$C$47*0.097)))+0.3*(2*((SIN(((Model_Data!A7)*12.9898+(Inputs!$C$6)*78.233+Inputs!$C$47*37.719))*43758.5453)-INT((SIN(((Model_Data!A7)*12.9898+(Inputs!$C$6)*78.233+Inputs!$C$47*37.719))*43758.5453)))-1))))/1000)^2)</f>
        <v>408.37667887554426</v>
      </c>
      <c r="AB7" s="9">
        <f>1000*(AA8-AA6)/(Z8-Z6)*Inputs!$C$11</f>
        <v>-1137.0029549029823</v>
      </c>
      <c r="AC7" s="9">
        <f>-2*AB7/Inputs!$C$13</f>
        <v>454.80118196119292</v>
      </c>
      <c r="AD7" s="9">
        <f>-2*AB7/Inputs!$C$14</f>
        <v>68.288465759938887</v>
      </c>
    </row>
    <row r="8" spans="1:30">
      <c r="A8" s="9">
        <f>Model_Data!A8</f>
        <v>-57</v>
      </c>
      <c r="B8" s="9">
        <f>((SQRT((Model_Data!A8)^2+Inputs!$C$6^2+Inputs!$C$5^2)-Inputs!$C$5)*1000/Inputs!$C$12)</f>
        <v>2704.2344511514057</v>
      </c>
      <c r="C8" s="9">
        <f>Model_Data!F8</f>
        <v>2680.3308461757451</v>
      </c>
      <c r="D8" s="9">
        <f>(((SQRT((Model_Data!A8)^2+Inputs!$C$6^2+((Model_Data!B8)-((Inputs!$C$51*(115*EXP(-(((Inputs!$C$6)-25)^2)/(4.5^2))+70*EXP(-(((Inputs!$C$6)+38)^2)/(7^2))*(0.55+0.45*SIN(2*PI()*(Model_Data!A8)/45))+24*SIN(2*PI()*(Inputs!$C$6)/9+(Model_Data!A8)/18)*EXP(-(((Inputs!$C$6)+5)^2)/(22^2))+18*SIN(2*PI()*(Model_Data!A8)/70))+Inputs!$C$28*EXP(-(((Model_Data!A8)-Inputs!$C$29)^2)/(2*Inputs!$C$31^2))*EXP(-(((Inputs!$C$6)-Inputs!$C$30)^2)/(2*Inputs!$C$32^2))+-Inputs!$C$33*EXP(-(((((Model_Data!A8)-Inputs!$C$34)^2)+(((Inputs!$C$6)-Inputs!$C$35)^2))/(2*Inputs!$C$36^2)))+Inputs!$C$37*(0.55*SIN(2*PI()*(Model_Data!A8)/Inputs!$C$39)+0.35*COS(2*PI()*(Inputs!$C$6)/Inputs!$C$40)+0.2*SIN(2*PI()*((Model_Data!A8)+(Inputs!$C$6))/(0.5*(Inputs!$C$39+Inputs!$C$40))))+Inputs!$C$38*SIN(2*PI()*(Model_Data!A8)/Inputs!$C$39)*SIN(2*PI()*(Inputs!$C$6)/Inputs!$C$40)+-Inputs!$C$41*EXP(-(((Inputs!$C$6)-Inputs!$C$43)^2)/(2*Inputs!$C$44^2))*EXP(-(((Model_Data!A8)-Inputs!$C$42)^2)/(2*Inputs!$C$45^2))+Inputs!$C$48*(0.7*(0.45*SIN(2*PI()*(((Model_Data!A8)/Inputs!$C$49)+Inputs!$C$47*0.137))+0.35*COS(2*PI()*(((Inputs!$C$6)/Inputs!$C$50)+Inputs!$C$47*0.173))+0.2*SIN(2*PI()*(((Model_Data!A8)+(Inputs!$C$6))/(0.5*(Inputs!$C$49+Inputs!$C$50))+Inputs!$C$47*0.097)))+0.3*(2*((SIN(((Model_Data!A8)*12.9898+(Inputs!$C$6)*78.233+Inputs!$C$47*37.719))*43758.5453)-INT((SIN(((Model_Data!A8)*12.9898+(Inputs!$C$6)*78.233+Inputs!$C$47*37.719))*43758.5453)))-1))))/1000)^2))-(((Model_Data!B8)-((Inputs!$C$51*(115*EXP(-(((0)-25)^2)/(4.5^2))+70*EXP(-(((0)+38)^2)/(7^2))*(0.55+0.45*SIN(2*PI()*(Model_Data!A8)/45))+24*SIN(2*PI()*(0)/9+(Model_Data!A8)/18)*EXP(-(((0)+5)^2)/(22^2))+18*SIN(2*PI()*(Model_Data!A8)/70))+Inputs!$C$28*EXP(-(((Model_Data!A8)-Inputs!$C$29)^2)/(2*Inputs!$C$31^2))*EXP(-(((0)-Inputs!$C$30)^2)/(2*Inputs!$C$32^2))+-Inputs!$C$33*EXP(-(((((Model_Data!A8)-Inputs!$C$34)^2)+(((0)-Inputs!$C$35)^2))/(2*Inputs!$C$36^2)))+Inputs!$C$37*(0.55*SIN(2*PI()*(Model_Data!A8)/Inputs!$C$39)+0.35*COS(2*PI()*(0)/Inputs!$C$40)+0.2*SIN(2*PI()*((Model_Data!A8)+(0))/(0.5*(Inputs!$C$39+Inputs!$C$40))))+Inputs!$C$38*SIN(2*PI()*(Model_Data!A8)/Inputs!$C$39)*SIN(2*PI()*(0)/Inputs!$C$40)+-Inputs!$C$41*EXP(-(((0)-Inputs!$C$43)^2)/(2*Inputs!$C$44^2))*EXP(-(((Model_Data!A8)-Inputs!$C$42)^2)/(2*Inputs!$C$45^2))+Inputs!$C$48*(0.7*(0.45*SIN(2*PI()*(((Model_Data!A8)/Inputs!$C$49)+Inputs!$C$47*0.137))+0.35*COS(2*PI()*(((0)/Inputs!$C$50)+Inputs!$C$47*0.173))+0.2*SIN(2*PI()*(((Model_Data!A8)+(0))/(0.5*(Inputs!$C$49+Inputs!$C$50))+Inputs!$C$47*0.097)))+0.3*(2*((SIN(((Model_Data!A8)*12.9898+(0)*78.233+Inputs!$C$47*37.719))*43758.5453)-INT((SIN(((Model_Data!A8)*12.9898+(0)*78.233+Inputs!$C$47*37.719))*43758.5453)))-1))))/1000)))*1000/Inputs!$C$12)</f>
        <v>2635.15182749512</v>
      </c>
      <c r="E8" s="9">
        <f>Model_Data!A8</f>
        <v>-57</v>
      </c>
      <c r="F8" s="9">
        <f>(Inputs!$C$51*(115*EXP(-(((Inputs!$C$6)-25)^2)/(4.5^2))+70*EXP(-(((Inputs!$C$6)+38)^2)/(7^2))*(0.55+0.45*SIN(2*PI()*(Model_Data!A8)/45))+24*SIN(2*PI()*(Inputs!$C$6)/9+(Model_Data!A8)/18)*EXP(-(((Inputs!$C$6)+5)^2)/(22^2))+18*SIN(2*PI()*(Model_Data!A8)/70))+Inputs!$C$28*EXP(-(((Model_Data!A8)-Inputs!$C$29)^2)/(2*Inputs!$C$31^2))*EXP(-(((Inputs!$C$6)-Inputs!$C$30)^2)/(2*Inputs!$C$32^2))+-Inputs!$C$33*EXP(-(((((Model_Data!A8)-Inputs!$C$34)^2)+(((Inputs!$C$6)-Inputs!$C$35)^2))/(2*Inputs!$C$36^2)))+Inputs!$C$37*(0.55*SIN(2*PI()*(Model_Data!A8)/Inputs!$C$39)+0.35*COS(2*PI()*(Inputs!$C$6)/Inputs!$C$40)+0.2*SIN(2*PI()*((Model_Data!A8)+(Inputs!$C$6))/(0.5*(Inputs!$C$39+Inputs!$C$40))))+Inputs!$C$38*SIN(2*PI()*(Model_Data!A8)/Inputs!$C$39)*SIN(2*PI()*(Inputs!$C$6)/Inputs!$C$40)+-Inputs!$C$41*EXP(-(((Inputs!$C$6)-Inputs!$C$43)^2)/(2*Inputs!$C$44^2))*EXP(-(((Model_Data!A8)-Inputs!$C$42)^2)/(2*Inputs!$C$45^2))+Inputs!$C$48*(0.7*(0.45*SIN(2*PI()*(((Model_Data!A8)/Inputs!$C$49)+Inputs!$C$47*0.137))+0.35*COS(2*PI()*(((Inputs!$C$6)/Inputs!$C$50)+Inputs!$C$47*0.173))+0.2*SIN(2*PI()*(((Model_Data!A8)+(Inputs!$C$6))/(0.5*(Inputs!$C$49+Inputs!$C$50))+Inputs!$C$47*0.097)))+0.3*(2*((SIN(((Model_Data!A8)*12.9898+(Inputs!$C$6)*78.233+Inputs!$C$47*37.719))*43758.5453)-INT((SIN(((Model_Data!A8)*12.9898+(Inputs!$C$6)*78.233+Inputs!$C$47*37.719))*43758.5453)))-1)))</f>
        <v>137.46604725484156</v>
      </c>
      <c r="G8" s="9">
        <f>(Inputs!$C$51*(115*EXP(-(((0)-25)^2)/(4.5^2))+70*EXP(-(((0)+38)^2)/(7^2))*(0.55+0.45*SIN(2*PI()*(Model_Data!A8)/45))+24*SIN(2*PI()*(0)/9+(Model_Data!A8)/18)*EXP(-(((0)+5)^2)/(22^2))+18*SIN(2*PI()*(Model_Data!A8)/70))+Inputs!$C$28*EXP(-(((Model_Data!A8)-Inputs!$C$29)^2)/(2*Inputs!$C$31^2))*EXP(-(((0)-Inputs!$C$30)^2)/(2*Inputs!$C$32^2))+-Inputs!$C$33*EXP(-(((((Model_Data!A8)-Inputs!$C$34)^2)+(((0)-Inputs!$C$35)^2))/(2*Inputs!$C$36^2)))+Inputs!$C$37*(0.55*SIN(2*PI()*(Model_Data!A8)/Inputs!$C$39)+0.35*COS(2*PI()*(0)/Inputs!$C$40)+0.2*SIN(2*PI()*((Model_Data!A8)+(0))/(0.5*(Inputs!$C$39+Inputs!$C$40))))+Inputs!$C$38*SIN(2*PI()*(Model_Data!A8)/Inputs!$C$39)*SIN(2*PI()*(0)/Inputs!$C$40)+-Inputs!$C$41*EXP(-(((0)-Inputs!$C$43)^2)/(2*Inputs!$C$44^2))*EXP(-(((Model_Data!A8)-Inputs!$C$42)^2)/(2*Inputs!$C$45^2))+Inputs!$C$48*(0.7*(0.45*SIN(2*PI()*(((Model_Data!A8)/Inputs!$C$49)+Inputs!$C$47*0.137))+0.35*COS(2*PI()*(((0)/Inputs!$C$50)+Inputs!$C$47*0.173))+0.2*SIN(2*PI()*(((Model_Data!A8)+(0))/(0.5*(Inputs!$C$49+Inputs!$C$50))+Inputs!$C$47*0.097)))+0.3*(2*((SIN(((Model_Data!A8)*12.9898+(0)*78.233+Inputs!$C$47*37.719))*43758.5453)-INT((SIN(((Model_Data!A8)*12.9898+(0)*78.233+Inputs!$C$47*37.719))*43758.5453)))-1)))</f>
        <v>55.440883037993757</v>
      </c>
      <c r="H8" s="10"/>
      <c r="I8" s="9">
        <f>Model_Data!A8</f>
        <v>-57</v>
      </c>
      <c r="J8" s="9">
        <f>(Inputs!$C$51*(115*EXP(-(((Inputs!$C$6)-25)^2)/(4.5^2))+70*EXP(-(((Inputs!$C$6)+38)^2)/(7^2))*(0.55+0.45*SIN(2*PI()*(Model_Data!A8)/45))+24*SIN(2*PI()*(Inputs!$C$6)/9+(Model_Data!A8)/18)*EXP(-(((Inputs!$C$6)+5)^2)/(22^2))+18*SIN(2*PI()*(Model_Data!A8)/70))+Inputs!$C$28*EXP(-(((Model_Data!A8)-Inputs!$C$29)^2)/(2*Inputs!$C$31^2))*EXP(-(((Inputs!$C$6)-Inputs!$C$30)^2)/(2*Inputs!$C$32^2))+-Inputs!$C$33*EXP(-(((((Model_Data!A8)-Inputs!$C$34)^2)+(((Inputs!$C$6)-Inputs!$C$35)^2))/(2*Inputs!$C$36^2)))+Inputs!$C$37*(0.55*SIN(2*PI()*(Model_Data!A8)/Inputs!$C$39)+0.35*COS(2*PI()*(Inputs!$C$6)/Inputs!$C$40)+0.2*SIN(2*PI()*((Model_Data!A8)+(Inputs!$C$6))/(0.5*(Inputs!$C$39+Inputs!$C$40))))+Inputs!$C$38*SIN(2*PI()*(Model_Data!A8)/Inputs!$C$39)*SIN(2*PI()*(Inputs!$C$6)/Inputs!$C$40)+-Inputs!$C$41*EXP(-(((Inputs!$C$6)-Inputs!$C$43)^2)/(2*Inputs!$C$44^2))*EXP(-(((Model_Data!A8)-Inputs!$C$42)^2)/(2*Inputs!$C$45^2))+Inputs!$C$48*(0.7*(0.45*SIN(2*PI()*(((Model_Data!A8)/Inputs!$C$49)+Inputs!$C$47*0.137))+0.35*COS(2*PI()*(((Inputs!$C$6)/Inputs!$C$50)+Inputs!$C$47*0.173))+0.2*SIN(2*PI()*(((Model_Data!A8)+(Inputs!$C$6))/(0.5*(Inputs!$C$49+Inputs!$C$50))+Inputs!$C$47*0.097)))+0.3*(2*((SIN(((Model_Data!A8)*12.9898+(Inputs!$C$6)*78.233+Inputs!$C$47*37.719))*43758.5453)-INT((SIN(((Model_Data!A8)*12.9898+(Inputs!$C$6)*78.233+Inputs!$C$47*37.719))*43758.5453)))-1)))</f>
        <v>137.46604725484156</v>
      </c>
      <c r="K8" s="9">
        <f>-((((SQRT((Model_Data!A8)^2+Inputs!$C$6^2+((Model_Data!B8)-((Inputs!$C$51*(115*EXP(-(((Inputs!$C$6)-25)^2)/(4.5^2))+70*EXP(-(((Inputs!$C$6)+38)^2)/(7^2))*(0.55+0.45*SIN(2*PI()*(Model_Data!A8)/45))+24*SIN(2*PI()*(Inputs!$C$6)/9+(Model_Data!A8)/18)*EXP(-(((Inputs!$C$6)+5)^2)/(22^2))+18*SIN(2*PI()*(Model_Data!A8)/70))+Inputs!$C$28*EXP(-(((Model_Data!A8)-Inputs!$C$29)^2)/(2*Inputs!$C$31^2))*EXP(-(((Inputs!$C$6)-Inputs!$C$30)^2)/(2*Inputs!$C$32^2))+-Inputs!$C$33*EXP(-(((((Model_Data!A8)-Inputs!$C$34)^2)+(((Inputs!$C$6)-Inputs!$C$35)^2))/(2*Inputs!$C$36^2)))+Inputs!$C$37*(0.55*SIN(2*PI()*(Model_Data!A8)/Inputs!$C$39)+0.35*COS(2*PI()*(Inputs!$C$6)/Inputs!$C$40)+0.2*SIN(2*PI()*((Model_Data!A8)+(Inputs!$C$6))/(0.5*(Inputs!$C$39+Inputs!$C$40))))+Inputs!$C$38*SIN(2*PI()*(Model_Data!A8)/Inputs!$C$39)*SIN(2*PI()*(Inputs!$C$6)/Inputs!$C$40)+-Inputs!$C$41*EXP(-(((Inputs!$C$6)-Inputs!$C$43)^2)/(2*Inputs!$C$44^2))*EXP(-(((Model_Data!A8)-Inputs!$C$42)^2)/(2*Inputs!$C$45^2))+Inputs!$C$48*(0.7*(0.45*SIN(2*PI()*(((Model_Data!A8)/Inputs!$C$49)+Inputs!$C$47*0.137))+0.35*COS(2*PI()*(((Inputs!$C$6)/Inputs!$C$50)+Inputs!$C$47*0.173))+0.2*SIN(2*PI()*(((Model_Data!A8)+(Inputs!$C$6))/(0.5*(Inputs!$C$49+Inputs!$C$50))+Inputs!$C$47*0.097)))+0.3*(2*((SIN(((Model_Data!A8)*12.9898+(Inputs!$C$6)*78.233+Inputs!$C$47*37.719))*43758.5453)-INT((SIN(((Model_Data!A8)*12.9898+(Inputs!$C$6)*78.233+Inputs!$C$47*37.719))*43758.5453)))-1))))/1000)^2))-(((Model_Data!B8)-((Inputs!$C$51*(115*EXP(-(((0)-25)^2)/(4.5^2))+70*EXP(-(((0)+38)^2)/(7^2))*(0.55+0.45*SIN(2*PI()*(Model_Data!A8)/45))+24*SIN(2*PI()*(0)/9+(Model_Data!A8)/18)*EXP(-(((0)+5)^2)/(22^2))+18*SIN(2*PI()*(Model_Data!A8)/70))+Inputs!$C$28*EXP(-(((Model_Data!A8)-Inputs!$C$29)^2)/(2*Inputs!$C$31^2))*EXP(-(((0)-Inputs!$C$30)^2)/(2*Inputs!$C$32^2))+-Inputs!$C$33*EXP(-(((((Model_Data!A8)-Inputs!$C$34)^2)+(((0)-Inputs!$C$35)^2))/(2*Inputs!$C$36^2)))+Inputs!$C$37*(0.55*SIN(2*PI()*(Model_Data!A8)/Inputs!$C$39)+0.35*COS(2*PI()*(0)/Inputs!$C$40)+0.2*SIN(2*PI()*((Model_Data!A8)+(0))/(0.5*(Inputs!$C$39+Inputs!$C$40))))+Inputs!$C$38*SIN(2*PI()*(Model_Data!A8)/Inputs!$C$39)*SIN(2*PI()*(0)/Inputs!$C$40)+-Inputs!$C$41*EXP(-(((0)-Inputs!$C$43)^2)/(2*Inputs!$C$44^2))*EXP(-(((Model_Data!A8)-Inputs!$C$42)^2)/(2*Inputs!$C$45^2))+Inputs!$C$48*(0.7*(0.45*SIN(2*PI()*(((Model_Data!A8)/Inputs!$C$49)+Inputs!$C$47*0.137))+0.35*COS(2*PI()*(((0)/Inputs!$C$50)+Inputs!$C$47*0.173))+0.2*SIN(2*PI()*(((Model_Data!A8)+(0))/(0.5*(Inputs!$C$49+Inputs!$C$50))+Inputs!$C$47*0.097)))+0.3*(2*((SIN(((Model_Data!A8)*12.9898+(0)*78.233+Inputs!$C$47*37.719))*43758.5453)-INT((SIN(((Model_Data!A8)*12.9898+(0)*78.233+Inputs!$C$47*37.719))*43758.5453)))-1))))/1000)))*1000/Inputs!$C$12)-Model_Data!F8)</f>
        <v>45.179018680625177</v>
      </c>
      <c r="L8" s="10"/>
      <c r="M8" s="9">
        <f>Model_Data!A8</f>
        <v>-57</v>
      </c>
      <c r="N8" s="9">
        <f>Model_Data!P8</f>
        <v>423.61985017150721</v>
      </c>
      <c r="O8" s="9">
        <f t="shared" si="0"/>
        <v>427.73268682194612</v>
      </c>
      <c r="P8" s="9">
        <f>Model_Data!Q8</f>
        <v>63.606584109835921</v>
      </c>
      <c r="Q8" s="9">
        <f t="shared" si="1"/>
        <v>64.224127150442371</v>
      </c>
      <c r="R8" s="10"/>
      <c r="S8" s="9">
        <f>Model_Data!A8</f>
        <v>-57</v>
      </c>
      <c r="T8" s="9">
        <f>Model_Data!B8-Inputs!$C$5</f>
        <v>3.6100000000000136</v>
      </c>
      <c r="U8" s="10"/>
      <c r="V8" s="9">
        <f>Model_Data!A8</f>
        <v>-57</v>
      </c>
      <c r="W8" s="9">
        <f>((SQRT((Model_Data!A8)^2+Inputs!$C$6^2+Inputs!$C$5^2)-Inputs!$C$5)*1000/Inputs!$C$12)</f>
        <v>2704.2344511514057</v>
      </c>
      <c r="X8" s="9">
        <f>Model_Data!F8</f>
        <v>2680.3308461757451</v>
      </c>
      <c r="Y8" s="10"/>
      <c r="Z8" s="9">
        <f>Model_Data!A8</f>
        <v>-57</v>
      </c>
      <c r="AA8" s="9">
        <f>SQRT((Model_Data!A8)^2+Inputs!$C$6^2+((Model_Data!B8)-((Inputs!$C$51*(115*EXP(-(((Inputs!$C$6)-25)^2)/(4.5^2))+70*EXP(-(((Inputs!$C$6)+38)^2)/(7^2))*(0.55+0.45*SIN(2*PI()*(Model_Data!A8)/45))+24*SIN(2*PI()*(Inputs!$C$6)/9+(Model_Data!A8)/18)*EXP(-(((Inputs!$C$6)+5)^2)/(22^2))+18*SIN(2*PI()*(Model_Data!A8)/70))+Inputs!$C$28*EXP(-(((Model_Data!A8)-Inputs!$C$29)^2)/(2*Inputs!$C$31^2))*EXP(-(((Inputs!$C$6)-Inputs!$C$30)^2)/(2*Inputs!$C$32^2))+-Inputs!$C$33*EXP(-(((((Model_Data!A8)-Inputs!$C$34)^2)+(((Inputs!$C$6)-Inputs!$C$35)^2))/(2*Inputs!$C$36^2)))+Inputs!$C$37*(0.55*SIN(2*PI()*(Model_Data!A8)/Inputs!$C$39)+0.35*COS(2*PI()*(Inputs!$C$6)/Inputs!$C$40)+0.2*SIN(2*PI()*((Model_Data!A8)+(Inputs!$C$6))/(0.5*(Inputs!$C$39+Inputs!$C$40))))+Inputs!$C$38*SIN(2*PI()*(Model_Data!A8)/Inputs!$C$39)*SIN(2*PI()*(Inputs!$C$6)/Inputs!$C$40)+-Inputs!$C$41*EXP(-(((Inputs!$C$6)-Inputs!$C$43)^2)/(2*Inputs!$C$44^2))*EXP(-(((Model_Data!A8)-Inputs!$C$42)^2)/(2*Inputs!$C$45^2))+Inputs!$C$48*(0.7*(0.45*SIN(2*PI()*(((Model_Data!A8)/Inputs!$C$49)+Inputs!$C$47*0.137))+0.35*COS(2*PI()*(((Inputs!$C$6)/Inputs!$C$50)+Inputs!$C$47*0.173))+0.2*SIN(2*PI()*(((Model_Data!A8)+(Inputs!$C$6))/(0.5*(Inputs!$C$49+Inputs!$C$50))+Inputs!$C$47*0.097)))+0.3*(2*((SIN(((Model_Data!A8)*12.9898+(Inputs!$C$6)*78.233+Inputs!$C$47*37.719))*43758.5453)-INT((SIN(((Model_Data!A8)*12.9898+(Inputs!$C$6)*78.233+Inputs!$C$47*37.719))*43758.5453)))-1))))/1000)^2)</f>
        <v>408.24512936990334</v>
      </c>
      <c r="AB8" s="9">
        <f>1000*(AA9-AA7)/(Z9-Z7)*Inputs!$C$11</f>
        <v>-1069.3317170548653</v>
      </c>
      <c r="AC8" s="9">
        <f>-2*AB8/Inputs!$C$13</f>
        <v>427.73268682194612</v>
      </c>
      <c r="AD8" s="9">
        <f>-2*AB8/Inputs!$C$14</f>
        <v>64.224127150442371</v>
      </c>
    </row>
    <row r="9" spans="1:30">
      <c r="A9" s="9">
        <f>Model_Data!A9</f>
        <v>-56.5</v>
      </c>
      <c r="B9" s="9">
        <f>((SQRT((Model_Data!A9)^2+Inputs!$C$6^2+Inputs!$C$5^2)-Inputs!$C$5)*1000/Inputs!$C$12)</f>
        <v>2664.8523897608998</v>
      </c>
      <c r="C9" s="9">
        <f>Model_Data!F9</f>
        <v>2641.700826955916</v>
      </c>
      <c r="D9" s="9">
        <f>(((SQRT((Model_Data!A9)^2+Inputs!$C$6^2+((Model_Data!B9)-((Inputs!$C$51*(115*EXP(-(((Inputs!$C$6)-25)^2)/(4.5^2))+70*EXP(-(((Inputs!$C$6)+38)^2)/(7^2))*(0.55+0.45*SIN(2*PI()*(Model_Data!A9)/45))+24*SIN(2*PI()*(Inputs!$C$6)/9+(Model_Data!A9)/18)*EXP(-(((Inputs!$C$6)+5)^2)/(22^2))+18*SIN(2*PI()*(Model_Data!A9)/70))+Inputs!$C$28*EXP(-(((Model_Data!A9)-Inputs!$C$29)^2)/(2*Inputs!$C$31^2))*EXP(-(((Inputs!$C$6)-Inputs!$C$30)^2)/(2*Inputs!$C$32^2))+-Inputs!$C$33*EXP(-(((((Model_Data!A9)-Inputs!$C$34)^2)+(((Inputs!$C$6)-Inputs!$C$35)^2))/(2*Inputs!$C$36^2)))+Inputs!$C$37*(0.55*SIN(2*PI()*(Model_Data!A9)/Inputs!$C$39)+0.35*COS(2*PI()*(Inputs!$C$6)/Inputs!$C$40)+0.2*SIN(2*PI()*((Model_Data!A9)+(Inputs!$C$6))/(0.5*(Inputs!$C$39+Inputs!$C$40))))+Inputs!$C$38*SIN(2*PI()*(Model_Data!A9)/Inputs!$C$39)*SIN(2*PI()*(Inputs!$C$6)/Inputs!$C$40)+-Inputs!$C$41*EXP(-(((Inputs!$C$6)-Inputs!$C$43)^2)/(2*Inputs!$C$44^2))*EXP(-(((Model_Data!A9)-Inputs!$C$42)^2)/(2*Inputs!$C$45^2))+Inputs!$C$48*(0.7*(0.45*SIN(2*PI()*(((Model_Data!A9)/Inputs!$C$49)+Inputs!$C$47*0.137))+0.35*COS(2*PI()*(((Inputs!$C$6)/Inputs!$C$50)+Inputs!$C$47*0.173))+0.2*SIN(2*PI()*(((Model_Data!A9)+(Inputs!$C$6))/(0.5*(Inputs!$C$49+Inputs!$C$50))+Inputs!$C$47*0.097)))+0.3*(2*((SIN(((Model_Data!A9)*12.9898+(Inputs!$C$6)*78.233+Inputs!$C$47*37.719))*43758.5453)-INT((SIN(((Model_Data!A9)*12.9898+(Inputs!$C$6)*78.233+Inputs!$C$47*37.719))*43758.5453)))-1))))/1000)^2))-(((Model_Data!B9)-((Inputs!$C$51*(115*EXP(-(((0)-25)^2)/(4.5^2))+70*EXP(-(((0)+38)^2)/(7^2))*(0.55+0.45*SIN(2*PI()*(Model_Data!A9)/45))+24*SIN(2*PI()*(0)/9+(Model_Data!A9)/18)*EXP(-(((0)+5)^2)/(22^2))+18*SIN(2*PI()*(Model_Data!A9)/70))+Inputs!$C$28*EXP(-(((Model_Data!A9)-Inputs!$C$29)^2)/(2*Inputs!$C$31^2))*EXP(-(((0)-Inputs!$C$30)^2)/(2*Inputs!$C$32^2))+-Inputs!$C$33*EXP(-(((((Model_Data!A9)-Inputs!$C$34)^2)+(((0)-Inputs!$C$35)^2))/(2*Inputs!$C$36^2)))+Inputs!$C$37*(0.55*SIN(2*PI()*(Model_Data!A9)/Inputs!$C$39)+0.35*COS(2*PI()*(0)/Inputs!$C$40)+0.2*SIN(2*PI()*((Model_Data!A9)+(0))/(0.5*(Inputs!$C$39+Inputs!$C$40))))+Inputs!$C$38*SIN(2*PI()*(Model_Data!A9)/Inputs!$C$39)*SIN(2*PI()*(0)/Inputs!$C$40)+-Inputs!$C$41*EXP(-(((0)-Inputs!$C$43)^2)/(2*Inputs!$C$44^2))*EXP(-(((Model_Data!A9)-Inputs!$C$42)^2)/(2*Inputs!$C$45^2))+Inputs!$C$48*(0.7*(0.45*SIN(2*PI()*(((Model_Data!A9)/Inputs!$C$49)+Inputs!$C$47*0.137))+0.35*COS(2*PI()*(((0)/Inputs!$C$50)+Inputs!$C$47*0.173))+0.2*SIN(2*PI()*(((Model_Data!A9)+(0))/(0.5*(Inputs!$C$49+Inputs!$C$50))+Inputs!$C$47*0.097)))+0.3*(2*((SIN(((Model_Data!A9)*12.9898+(0)*78.233+Inputs!$C$47*37.719))*43758.5453)-INT((SIN(((Model_Data!A9)*12.9898+(0)*78.233+Inputs!$C$47*37.719))*43758.5453)))-1))))/1000)))*1000/Inputs!$C$12)</f>
        <v>2595.3523309634957</v>
      </c>
      <c r="E9" s="9">
        <f>Model_Data!A9</f>
        <v>-56.5</v>
      </c>
      <c r="F9" s="9">
        <f>(Inputs!$C$51*(115*EXP(-(((Inputs!$C$6)-25)^2)/(4.5^2))+70*EXP(-(((Inputs!$C$6)+38)^2)/(7^2))*(0.55+0.45*SIN(2*PI()*(Model_Data!A9)/45))+24*SIN(2*PI()*(Inputs!$C$6)/9+(Model_Data!A9)/18)*EXP(-(((Inputs!$C$6)+5)^2)/(22^2))+18*SIN(2*PI()*(Model_Data!A9)/70))+Inputs!$C$28*EXP(-(((Model_Data!A9)-Inputs!$C$29)^2)/(2*Inputs!$C$31^2))*EXP(-(((Inputs!$C$6)-Inputs!$C$30)^2)/(2*Inputs!$C$32^2))+-Inputs!$C$33*EXP(-(((((Model_Data!A9)-Inputs!$C$34)^2)+(((Inputs!$C$6)-Inputs!$C$35)^2))/(2*Inputs!$C$36^2)))+Inputs!$C$37*(0.55*SIN(2*PI()*(Model_Data!A9)/Inputs!$C$39)+0.35*COS(2*PI()*(Inputs!$C$6)/Inputs!$C$40)+0.2*SIN(2*PI()*((Model_Data!A9)+(Inputs!$C$6))/(0.5*(Inputs!$C$39+Inputs!$C$40))))+Inputs!$C$38*SIN(2*PI()*(Model_Data!A9)/Inputs!$C$39)*SIN(2*PI()*(Inputs!$C$6)/Inputs!$C$40)+-Inputs!$C$41*EXP(-(((Inputs!$C$6)-Inputs!$C$43)^2)/(2*Inputs!$C$44^2))*EXP(-(((Model_Data!A9)-Inputs!$C$42)^2)/(2*Inputs!$C$45^2))+Inputs!$C$48*(0.7*(0.45*SIN(2*PI()*(((Model_Data!A9)/Inputs!$C$49)+Inputs!$C$47*0.137))+0.35*COS(2*PI()*(((Inputs!$C$6)/Inputs!$C$50)+Inputs!$C$47*0.173))+0.2*SIN(2*PI()*(((Model_Data!A9)+(Inputs!$C$6))/(0.5*(Inputs!$C$49+Inputs!$C$50))+Inputs!$C$47*0.097)))+0.3*(2*((SIN(((Model_Data!A9)*12.9898+(Inputs!$C$6)*78.233+Inputs!$C$47*37.719))*43758.5453)-INT((SIN(((Model_Data!A9)*12.9898+(Inputs!$C$6)*78.233+Inputs!$C$47*37.719))*43758.5453)))-1)))</f>
        <v>141.45582449409375</v>
      </c>
      <c r="G9" s="9">
        <f>(Inputs!$C$51*(115*EXP(-(((0)-25)^2)/(4.5^2))+70*EXP(-(((0)+38)^2)/(7^2))*(0.55+0.45*SIN(2*PI()*(Model_Data!A9)/45))+24*SIN(2*PI()*(0)/9+(Model_Data!A9)/18)*EXP(-(((0)+5)^2)/(22^2))+18*SIN(2*PI()*(Model_Data!A9)/70))+Inputs!$C$28*EXP(-(((Model_Data!A9)-Inputs!$C$29)^2)/(2*Inputs!$C$31^2))*EXP(-(((0)-Inputs!$C$30)^2)/(2*Inputs!$C$32^2))+-Inputs!$C$33*EXP(-(((((Model_Data!A9)-Inputs!$C$34)^2)+(((0)-Inputs!$C$35)^2))/(2*Inputs!$C$36^2)))+Inputs!$C$37*(0.55*SIN(2*PI()*(Model_Data!A9)/Inputs!$C$39)+0.35*COS(2*PI()*(0)/Inputs!$C$40)+0.2*SIN(2*PI()*((Model_Data!A9)+(0))/(0.5*(Inputs!$C$39+Inputs!$C$40))))+Inputs!$C$38*SIN(2*PI()*(Model_Data!A9)/Inputs!$C$39)*SIN(2*PI()*(0)/Inputs!$C$40)+-Inputs!$C$41*EXP(-(((0)-Inputs!$C$43)^2)/(2*Inputs!$C$44^2))*EXP(-(((Model_Data!A9)-Inputs!$C$42)^2)/(2*Inputs!$C$45^2))+Inputs!$C$48*(0.7*(0.45*SIN(2*PI()*(((Model_Data!A9)/Inputs!$C$49)+Inputs!$C$47*0.137))+0.35*COS(2*PI()*(((0)/Inputs!$C$50)+Inputs!$C$47*0.173))+0.2*SIN(2*PI()*(((Model_Data!A9)+(0))/(0.5*(Inputs!$C$49+Inputs!$C$50))+Inputs!$C$47*0.097)))+0.3*(2*((SIN(((Model_Data!A9)*12.9898+(0)*78.233+Inputs!$C$47*37.719))*43758.5453)-INT((SIN(((Model_Data!A9)*12.9898+(0)*78.233+Inputs!$C$47*37.719))*43758.5453)))-1)))</f>
        <v>57.325647278919931</v>
      </c>
      <c r="H9" s="10"/>
      <c r="I9" s="9">
        <f>Model_Data!A9</f>
        <v>-56.5</v>
      </c>
      <c r="J9" s="9">
        <f>(Inputs!$C$51*(115*EXP(-(((Inputs!$C$6)-25)^2)/(4.5^2))+70*EXP(-(((Inputs!$C$6)+38)^2)/(7^2))*(0.55+0.45*SIN(2*PI()*(Model_Data!A9)/45))+24*SIN(2*PI()*(Inputs!$C$6)/9+(Model_Data!A9)/18)*EXP(-(((Inputs!$C$6)+5)^2)/(22^2))+18*SIN(2*PI()*(Model_Data!A9)/70))+Inputs!$C$28*EXP(-(((Model_Data!A9)-Inputs!$C$29)^2)/(2*Inputs!$C$31^2))*EXP(-(((Inputs!$C$6)-Inputs!$C$30)^2)/(2*Inputs!$C$32^2))+-Inputs!$C$33*EXP(-(((((Model_Data!A9)-Inputs!$C$34)^2)+(((Inputs!$C$6)-Inputs!$C$35)^2))/(2*Inputs!$C$36^2)))+Inputs!$C$37*(0.55*SIN(2*PI()*(Model_Data!A9)/Inputs!$C$39)+0.35*COS(2*PI()*(Inputs!$C$6)/Inputs!$C$40)+0.2*SIN(2*PI()*((Model_Data!A9)+(Inputs!$C$6))/(0.5*(Inputs!$C$39+Inputs!$C$40))))+Inputs!$C$38*SIN(2*PI()*(Model_Data!A9)/Inputs!$C$39)*SIN(2*PI()*(Inputs!$C$6)/Inputs!$C$40)+-Inputs!$C$41*EXP(-(((Inputs!$C$6)-Inputs!$C$43)^2)/(2*Inputs!$C$44^2))*EXP(-(((Model_Data!A9)-Inputs!$C$42)^2)/(2*Inputs!$C$45^2))+Inputs!$C$48*(0.7*(0.45*SIN(2*PI()*(((Model_Data!A9)/Inputs!$C$49)+Inputs!$C$47*0.137))+0.35*COS(2*PI()*(((Inputs!$C$6)/Inputs!$C$50)+Inputs!$C$47*0.173))+0.2*SIN(2*PI()*(((Model_Data!A9)+(Inputs!$C$6))/(0.5*(Inputs!$C$49+Inputs!$C$50))+Inputs!$C$47*0.097)))+0.3*(2*((SIN(((Model_Data!A9)*12.9898+(Inputs!$C$6)*78.233+Inputs!$C$47*37.719))*43758.5453)-INT((SIN(((Model_Data!A9)*12.9898+(Inputs!$C$6)*78.233+Inputs!$C$47*37.719))*43758.5453)))-1)))</f>
        <v>141.45582449409375</v>
      </c>
      <c r="K9" s="9">
        <f>-((((SQRT((Model_Data!A9)^2+Inputs!$C$6^2+((Model_Data!B9)-((Inputs!$C$51*(115*EXP(-(((Inputs!$C$6)-25)^2)/(4.5^2))+70*EXP(-(((Inputs!$C$6)+38)^2)/(7^2))*(0.55+0.45*SIN(2*PI()*(Model_Data!A9)/45))+24*SIN(2*PI()*(Inputs!$C$6)/9+(Model_Data!A9)/18)*EXP(-(((Inputs!$C$6)+5)^2)/(22^2))+18*SIN(2*PI()*(Model_Data!A9)/70))+Inputs!$C$28*EXP(-(((Model_Data!A9)-Inputs!$C$29)^2)/(2*Inputs!$C$31^2))*EXP(-(((Inputs!$C$6)-Inputs!$C$30)^2)/(2*Inputs!$C$32^2))+-Inputs!$C$33*EXP(-(((((Model_Data!A9)-Inputs!$C$34)^2)+(((Inputs!$C$6)-Inputs!$C$35)^2))/(2*Inputs!$C$36^2)))+Inputs!$C$37*(0.55*SIN(2*PI()*(Model_Data!A9)/Inputs!$C$39)+0.35*COS(2*PI()*(Inputs!$C$6)/Inputs!$C$40)+0.2*SIN(2*PI()*((Model_Data!A9)+(Inputs!$C$6))/(0.5*(Inputs!$C$39+Inputs!$C$40))))+Inputs!$C$38*SIN(2*PI()*(Model_Data!A9)/Inputs!$C$39)*SIN(2*PI()*(Inputs!$C$6)/Inputs!$C$40)+-Inputs!$C$41*EXP(-(((Inputs!$C$6)-Inputs!$C$43)^2)/(2*Inputs!$C$44^2))*EXP(-(((Model_Data!A9)-Inputs!$C$42)^2)/(2*Inputs!$C$45^2))+Inputs!$C$48*(0.7*(0.45*SIN(2*PI()*(((Model_Data!A9)/Inputs!$C$49)+Inputs!$C$47*0.137))+0.35*COS(2*PI()*(((Inputs!$C$6)/Inputs!$C$50)+Inputs!$C$47*0.173))+0.2*SIN(2*PI()*(((Model_Data!A9)+(Inputs!$C$6))/(0.5*(Inputs!$C$49+Inputs!$C$50))+Inputs!$C$47*0.097)))+0.3*(2*((SIN(((Model_Data!A9)*12.9898+(Inputs!$C$6)*78.233+Inputs!$C$47*37.719))*43758.5453)-INT((SIN(((Model_Data!A9)*12.9898+(Inputs!$C$6)*78.233+Inputs!$C$47*37.719))*43758.5453)))-1))))/1000)^2))-(((Model_Data!B9)-((Inputs!$C$51*(115*EXP(-(((0)-25)^2)/(4.5^2))+70*EXP(-(((0)+38)^2)/(7^2))*(0.55+0.45*SIN(2*PI()*(Model_Data!A9)/45))+24*SIN(2*PI()*(0)/9+(Model_Data!A9)/18)*EXP(-(((0)+5)^2)/(22^2))+18*SIN(2*PI()*(Model_Data!A9)/70))+Inputs!$C$28*EXP(-(((Model_Data!A9)-Inputs!$C$29)^2)/(2*Inputs!$C$31^2))*EXP(-(((0)-Inputs!$C$30)^2)/(2*Inputs!$C$32^2))+-Inputs!$C$33*EXP(-(((((Model_Data!A9)-Inputs!$C$34)^2)+(((0)-Inputs!$C$35)^2))/(2*Inputs!$C$36^2)))+Inputs!$C$37*(0.55*SIN(2*PI()*(Model_Data!A9)/Inputs!$C$39)+0.35*COS(2*PI()*(0)/Inputs!$C$40)+0.2*SIN(2*PI()*((Model_Data!A9)+(0))/(0.5*(Inputs!$C$39+Inputs!$C$40))))+Inputs!$C$38*SIN(2*PI()*(Model_Data!A9)/Inputs!$C$39)*SIN(2*PI()*(0)/Inputs!$C$40)+-Inputs!$C$41*EXP(-(((0)-Inputs!$C$43)^2)/(2*Inputs!$C$44^2))*EXP(-(((Model_Data!A9)-Inputs!$C$42)^2)/(2*Inputs!$C$45^2))+Inputs!$C$48*(0.7*(0.45*SIN(2*PI()*(((Model_Data!A9)/Inputs!$C$49)+Inputs!$C$47*0.137))+0.35*COS(2*PI()*(((0)/Inputs!$C$50)+Inputs!$C$47*0.173))+0.2*SIN(2*PI()*(((Model_Data!A9)+(0))/(0.5*(Inputs!$C$49+Inputs!$C$50))+Inputs!$C$47*0.097)))+0.3*(2*((SIN(((Model_Data!A9)*12.9898+(0)*78.233+Inputs!$C$47*37.719))*43758.5453)-INT((SIN(((Model_Data!A9)*12.9898+(0)*78.233+Inputs!$C$47*37.719))*43758.5453)))-1))))/1000)))*1000/Inputs!$C$12)-Model_Data!F9)</f>
        <v>46.348495992420339</v>
      </c>
      <c r="L9" s="10"/>
      <c r="M9" s="9">
        <f>Model_Data!A9</f>
        <v>-56.5</v>
      </c>
      <c r="N9" s="9">
        <f>Model_Data!P9</f>
        <v>420.00843866758021</v>
      </c>
      <c r="O9" s="9">
        <f t="shared" si="0"/>
        <v>466.97982813939234</v>
      </c>
      <c r="P9" s="9">
        <f>Model_Data!Q9</f>
        <v>63.064330130267308</v>
      </c>
      <c r="Q9" s="9">
        <f t="shared" si="1"/>
        <v>70.117091312221078</v>
      </c>
      <c r="R9" s="10"/>
      <c r="S9" s="9">
        <f>Model_Data!A9</f>
        <v>-56.5</v>
      </c>
      <c r="T9" s="9">
        <f>Model_Data!B9-Inputs!$C$5</f>
        <v>3.5469444444444207</v>
      </c>
      <c r="U9" s="10"/>
      <c r="V9" s="9">
        <f>Model_Data!A9</f>
        <v>-56.5</v>
      </c>
      <c r="W9" s="9">
        <f>((SQRT((Model_Data!A9)^2+Inputs!$C$6^2+Inputs!$C$5^2)-Inputs!$C$5)*1000/Inputs!$C$12)</f>
        <v>2664.8523897608998</v>
      </c>
      <c r="X9" s="9">
        <f>Model_Data!F9</f>
        <v>2641.700826955916</v>
      </c>
      <c r="Y9" s="10"/>
      <c r="Z9" s="9">
        <f>Model_Data!A9</f>
        <v>-56.5</v>
      </c>
      <c r="AA9" s="9">
        <f>SQRT((Model_Data!A9)^2+Inputs!$C$6^2+((Model_Data!B9)-((Inputs!$C$51*(115*EXP(-(((Inputs!$C$6)-25)^2)/(4.5^2))+70*EXP(-(((Inputs!$C$6)+38)^2)/(7^2))*(0.55+0.45*SIN(2*PI()*(Model_Data!A9)/45))+24*SIN(2*PI()*(Inputs!$C$6)/9+(Model_Data!A9)/18)*EXP(-(((Inputs!$C$6)+5)^2)/(22^2))+18*SIN(2*PI()*(Model_Data!A9)/70))+Inputs!$C$28*EXP(-(((Model_Data!A9)-Inputs!$C$29)^2)/(2*Inputs!$C$31^2))*EXP(-(((Inputs!$C$6)-Inputs!$C$30)^2)/(2*Inputs!$C$32^2))+-Inputs!$C$33*EXP(-(((((Model_Data!A9)-Inputs!$C$34)^2)+(((Inputs!$C$6)-Inputs!$C$35)^2))/(2*Inputs!$C$36^2)))+Inputs!$C$37*(0.55*SIN(2*PI()*(Model_Data!A9)/Inputs!$C$39)+0.35*COS(2*PI()*(Inputs!$C$6)/Inputs!$C$40)+0.2*SIN(2*PI()*((Model_Data!A9)+(Inputs!$C$6))/(0.5*(Inputs!$C$39+Inputs!$C$40))))+Inputs!$C$38*SIN(2*PI()*(Model_Data!A9)/Inputs!$C$39)*SIN(2*PI()*(Inputs!$C$6)/Inputs!$C$40)+-Inputs!$C$41*EXP(-(((Inputs!$C$6)-Inputs!$C$43)^2)/(2*Inputs!$C$44^2))*EXP(-(((Model_Data!A9)-Inputs!$C$42)^2)/(2*Inputs!$C$45^2))+Inputs!$C$48*(0.7*(0.45*SIN(2*PI()*(((Model_Data!A9)/Inputs!$C$49)+Inputs!$C$47*0.137))+0.35*COS(2*PI()*(((Inputs!$C$6)/Inputs!$C$50)+Inputs!$C$47*0.173))+0.2*SIN(2*PI()*(((Model_Data!A9)+(Inputs!$C$6))/(0.5*(Inputs!$C$49+Inputs!$C$50))+Inputs!$C$47*0.097)))+0.3*(2*((SIN(((Model_Data!A9)*12.9898+(Inputs!$C$6)*78.233+Inputs!$C$47*37.719))*43758.5453)-INT((SIN(((Model_Data!A9)*12.9898+(Inputs!$C$6)*78.233+Inputs!$C$47*37.719))*43758.5453)))-1))))/1000)^2)</f>
        <v>408.10934594628054</v>
      </c>
      <c r="AB9" s="9">
        <f>1000*(AA10-AA8)/(Z10-Z8)*Inputs!$C$11</f>
        <v>-1167.4495703484808</v>
      </c>
      <c r="AC9" s="9">
        <f>-2*AB9/Inputs!$C$13</f>
        <v>466.97982813939234</v>
      </c>
      <c r="AD9" s="9">
        <f>-2*AB9/Inputs!$C$14</f>
        <v>70.117091312221078</v>
      </c>
    </row>
    <row r="10" spans="1:30">
      <c r="A10" s="9">
        <f>Model_Data!A10</f>
        <v>-56</v>
      </c>
      <c r="B10" s="9">
        <f>((SQRT((Model_Data!A10)^2+Inputs!$C$6^2+Inputs!$C$5^2)-Inputs!$C$5)*1000/Inputs!$C$12)</f>
        <v>2625.8105747797149</v>
      </c>
      <c r="C10" s="9">
        <f>Model_Data!F10</f>
        <v>2603.3929579329656</v>
      </c>
      <c r="D10" s="9">
        <f>(((SQRT((Model_Data!A10)^2+Inputs!$C$6^2+((Model_Data!B10)-((Inputs!$C$51*(115*EXP(-(((Inputs!$C$6)-25)^2)/(4.5^2))+70*EXP(-(((Inputs!$C$6)+38)^2)/(7^2))*(0.55+0.45*SIN(2*PI()*(Model_Data!A10)/45))+24*SIN(2*PI()*(Inputs!$C$6)/9+(Model_Data!A10)/18)*EXP(-(((Inputs!$C$6)+5)^2)/(22^2))+18*SIN(2*PI()*(Model_Data!A10)/70))+Inputs!$C$28*EXP(-(((Model_Data!A10)-Inputs!$C$29)^2)/(2*Inputs!$C$31^2))*EXP(-(((Inputs!$C$6)-Inputs!$C$30)^2)/(2*Inputs!$C$32^2))+-Inputs!$C$33*EXP(-(((((Model_Data!A10)-Inputs!$C$34)^2)+(((Inputs!$C$6)-Inputs!$C$35)^2))/(2*Inputs!$C$36^2)))+Inputs!$C$37*(0.55*SIN(2*PI()*(Model_Data!A10)/Inputs!$C$39)+0.35*COS(2*PI()*(Inputs!$C$6)/Inputs!$C$40)+0.2*SIN(2*PI()*((Model_Data!A10)+(Inputs!$C$6))/(0.5*(Inputs!$C$39+Inputs!$C$40))))+Inputs!$C$38*SIN(2*PI()*(Model_Data!A10)/Inputs!$C$39)*SIN(2*PI()*(Inputs!$C$6)/Inputs!$C$40)+-Inputs!$C$41*EXP(-(((Inputs!$C$6)-Inputs!$C$43)^2)/(2*Inputs!$C$44^2))*EXP(-(((Model_Data!A10)-Inputs!$C$42)^2)/(2*Inputs!$C$45^2))+Inputs!$C$48*(0.7*(0.45*SIN(2*PI()*(((Model_Data!A10)/Inputs!$C$49)+Inputs!$C$47*0.137))+0.35*COS(2*PI()*(((Inputs!$C$6)/Inputs!$C$50)+Inputs!$C$47*0.173))+0.2*SIN(2*PI()*(((Model_Data!A10)+(Inputs!$C$6))/(0.5*(Inputs!$C$49+Inputs!$C$50))+Inputs!$C$47*0.097)))+0.3*(2*((SIN(((Model_Data!A10)*12.9898+(Inputs!$C$6)*78.233+Inputs!$C$47*37.719))*43758.5453)-INT((SIN(((Model_Data!A10)*12.9898+(Inputs!$C$6)*78.233+Inputs!$C$47*37.719))*43758.5453)))-1))))/1000)^2))-(((Model_Data!B10)-((Inputs!$C$51*(115*EXP(-(((0)-25)^2)/(4.5^2))+70*EXP(-(((0)+38)^2)/(7^2))*(0.55+0.45*SIN(2*PI()*(Model_Data!A10)/45))+24*SIN(2*PI()*(0)/9+(Model_Data!A10)/18)*EXP(-(((0)+5)^2)/(22^2))+18*SIN(2*PI()*(Model_Data!A10)/70))+Inputs!$C$28*EXP(-(((Model_Data!A10)-Inputs!$C$29)^2)/(2*Inputs!$C$31^2))*EXP(-(((0)-Inputs!$C$30)^2)/(2*Inputs!$C$32^2))+-Inputs!$C$33*EXP(-(((((Model_Data!A10)-Inputs!$C$34)^2)+(((0)-Inputs!$C$35)^2))/(2*Inputs!$C$36^2)))+Inputs!$C$37*(0.55*SIN(2*PI()*(Model_Data!A10)/Inputs!$C$39)+0.35*COS(2*PI()*(0)/Inputs!$C$40)+0.2*SIN(2*PI()*((Model_Data!A10)+(0))/(0.5*(Inputs!$C$39+Inputs!$C$40))))+Inputs!$C$38*SIN(2*PI()*(Model_Data!A10)/Inputs!$C$39)*SIN(2*PI()*(0)/Inputs!$C$40)+-Inputs!$C$41*EXP(-(((0)-Inputs!$C$43)^2)/(2*Inputs!$C$44^2))*EXP(-(((Model_Data!A10)-Inputs!$C$42)^2)/(2*Inputs!$C$45^2))+Inputs!$C$48*(0.7*(0.45*SIN(2*PI()*(((Model_Data!A10)/Inputs!$C$49)+Inputs!$C$47*0.137))+0.35*COS(2*PI()*(((0)/Inputs!$C$50)+Inputs!$C$47*0.173))+0.2*SIN(2*PI()*(((Model_Data!A10)+(0))/(0.5*(Inputs!$C$49+Inputs!$C$50))+Inputs!$C$47*0.097)))+0.3*(2*((SIN(((Model_Data!A10)*12.9898+(0)*78.233+Inputs!$C$47*37.719))*43758.5453)-INT((SIN(((Model_Data!A10)*12.9898+(0)*78.233+Inputs!$C$47*37.719))*43758.5453)))-1))))/1000)))*1000/Inputs!$C$12)</f>
        <v>2545.1584838335834</v>
      </c>
      <c r="E10" s="9">
        <f>Model_Data!A10</f>
        <v>-56</v>
      </c>
      <c r="F10" s="9">
        <f>(Inputs!$C$51*(115*EXP(-(((Inputs!$C$6)-25)^2)/(4.5^2))+70*EXP(-(((Inputs!$C$6)+38)^2)/(7^2))*(0.55+0.45*SIN(2*PI()*(Model_Data!A10)/45))+24*SIN(2*PI()*(Inputs!$C$6)/9+(Model_Data!A10)/18)*EXP(-(((Inputs!$C$6)+5)^2)/(22^2))+18*SIN(2*PI()*(Model_Data!A10)/70))+Inputs!$C$28*EXP(-(((Model_Data!A10)-Inputs!$C$29)^2)/(2*Inputs!$C$31^2))*EXP(-(((Inputs!$C$6)-Inputs!$C$30)^2)/(2*Inputs!$C$32^2))+-Inputs!$C$33*EXP(-(((((Model_Data!A10)-Inputs!$C$34)^2)+(((Inputs!$C$6)-Inputs!$C$35)^2))/(2*Inputs!$C$36^2)))+Inputs!$C$37*(0.55*SIN(2*PI()*(Model_Data!A10)/Inputs!$C$39)+0.35*COS(2*PI()*(Inputs!$C$6)/Inputs!$C$40)+0.2*SIN(2*PI()*((Model_Data!A10)+(Inputs!$C$6))/(0.5*(Inputs!$C$39+Inputs!$C$40))))+Inputs!$C$38*SIN(2*PI()*(Model_Data!A10)/Inputs!$C$39)*SIN(2*PI()*(Inputs!$C$6)/Inputs!$C$40)+-Inputs!$C$41*EXP(-(((Inputs!$C$6)-Inputs!$C$43)^2)/(2*Inputs!$C$44^2))*EXP(-(((Model_Data!A10)-Inputs!$C$42)^2)/(2*Inputs!$C$45^2))+Inputs!$C$48*(0.7*(0.45*SIN(2*PI()*(((Model_Data!A10)/Inputs!$C$49)+Inputs!$C$47*0.137))+0.35*COS(2*PI()*(((Inputs!$C$6)/Inputs!$C$50)+Inputs!$C$47*0.173))+0.2*SIN(2*PI()*(((Model_Data!A10)+(Inputs!$C$6))/(0.5*(Inputs!$C$49+Inputs!$C$50))+Inputs!$C$47*0.097)))+0.3*(2*((SIN(((Model_Data!A10)*12.9898+(Inputs!$C$6)*78.233+Inputs!$C$47*37.719))*43758.5453)-INT((SIN(((Model_Data!A10)*12.9898+(Inputs!$C$6)*78.233+Inputs!$C$47*37.719))*43758.5453)))-1)))</f>
        <v>167.11523893481203</v>
      </c>
      <c r="G10" s="9">
        <f>(Inputs!$C$51*(115*EXP(-(((0)-25)^2)/(4.5^2))+70*EXP(-(((0)+38)^2)/(7^2))*(0.55+0.45*SIN(2*PI()*(Model_Data!A10)/45))+24*SIN(2*PI()*(0)/9+(Model_Data!A10)/18)*EXP(-(((0)+5)^2)/(22^2))+18*SIN(2*PI()*(Model_Data!A10)/70))+Inputs!$C$28*EXP(-(((Model_Data!A10)-Inputs!$C$29)^2)/(2*Inputs!$C$31^2))*EXP(-(((0)-Inputs!$C$30)^2)/(2*Inputs!$C$32^2))+-Inputs!$C$33*EXP(-(((((Model_Data!A10)-Inputs!$C$34)^2)+(((0)-Inputs!$C$35)^2))/(2*Inputs!$C$36^2)))+Inputs!$C$37*(0.55*SIN(2*PI()*(Model_Data!A10)/Inputs!$C$39)+0.35*COS(2*PI()*(0)/Inputs!$C$40)+0.2*SIN(2*PI()*((Model_Data!A10)+(0))/(0.5*(Inputs!$C$39+Inputs!$C$40))))+Inputs!$C$38*SIN(2*PI()*(Model_Data!A10)/Inputs!$C$39)*SIN(2*PI()*(0)/Inputs!$C$40)+-Inputs!$C$41*EXP(-(((0)-Inputs!$C$43)^2)/(2*Inputs!$C$44^2))*EXP(-(((Model_Data!A10)-Inputs!$C$42)^2)/(2*Inputs!$C$45^2))+Inputs!$C$48*(0.7*(0.45*SIN(2*PI()*(((Model_Data!A10)/Inputs!$C$49)+Inputs!$C$47*0.137))+0.35*COS(2*PI()*(((0)/Inputs!$C$50)+Inputs!$C$47*0.173))+0.2*SIN(2*PI()*(((Model_Data!A10)+(0))/(0.5*(Inputs!$C$49+Inputs!$C$50))+Inputs!$C$47*0.097)))+0.3*(2*((SIN(((Model_Data!A10)*12.9898+(0)*78.233+Inputs!$C$47*37.719))*43758.5453)-INT((SIN(((Model_Data!A10)*12.9898+(0)*78.233+Inputs!$C$47*37.719))*43758.5453)))-1)))</f>
        <v>61.559568351968792</v>
      </c>
      <c r="H10" s="10"/>
      <c r="I10" s="9">
        <f>Model_Data!A10</f>
        <v>-56</v>
      </c>
      <c r="J10" s="9">
        <f>(Inputs!$C$51*(115*EXP(-(((Inputs!$C$6)-25)^2)/(4.5^2))+70*EXP(-(((Inputs!$C$6)+38)^2)/(7^2))*(0.55+0.45*SIN(2*PI()*(Model_Data!A10)/45))+24*SIN(2*PI()*(Inputs!$C$6)/9+(Model_Data!A10)/18)*EXP(-(((Inputs!$C$6)+5)^2)/(22^2))+18*SIN(2*PI()*(Model_Data!A10)/70))+Inputs!$C$28*EXP(-(((Model_Data!A10)-Inputs!$C$29)^2)/(2*Inputs!$C$31^2))*EXP(-(((Inputs!$C$6)-Inputs!$C$30)^2)/(2*Inputs!$C$32^2))+-Inputs!$C$33*EXP(-(((((Model_Data!A10)-Inputs!$C$34)^2)+(((Inputs!$C$6)-Inputs!$C$35)^2))/(2*Inputs!$C$36^2)))+Inputs!$C$37*(0.55*SIN(2*PI()*(Model_Data!A10)/Inputs!$C$39)+0.35*COS(2*PI()*(Inputs!$C$6)/Inputs!$C$40)+0.2*SIN(2*PI()*((Model_Data!A10)+(Inputs!$C$6))/(0.5*(Inputs!$C$39+Inputs!$C$40))))+Inputs!$C$38*SIN(2*PI()*(Model_Data!A10)/Inputs!$C$39)*SIN(2*PI()*(Inputs!$C$6)/Inputs!$C$40)+-Inputs!$C$41*EXP(-(((Inputs!$C$6)-Inputs!$C$43)^2)/(2*Inputs!$C$44^2))*EXP(-(((Model_Data!A10)-Inputs!$C$42)^2)/(2*Inputs!$C$45^2))+Inputs!$C$48*(0.7*(0.45*SIN(2*PI()*(((Model_Data!A10)/Inputs!$C$49)+Inputs!$C$47*0.137))+0.35*COS(2*PI()*(((Inputs!$C$6)/Inputs!$C$50)+Inputs!$C$47*0.173))+0.2*SIN(2*PI()*(((Model_Data!A10)+(Inputs!$C$6))/(0.5*(Inputs!$C$49+Inputs!$C$50))+Inputs!$C$47*0.097)))+0.3*(2*((SIN(((Model_Data!A10)*12.9898+(Inputs!$C$6)*78.233+Inputs!$C$47*37.719))*43758.5453)-INT((SIN(((Model_Data!A10)*12.9898+(Inputs!$C$6)*78.233+Inputs!$C$47*37.719))*43758.5453)))-1)))</f>
        <v>167.11523893481203</v>
      </c>
      <c r="K10" s="9">
        <f>-((((SQRT((Model_Data!A10)^2+Inputs!$C$6^2+((Model_Data!B10)-((Inputs!$C$51*(115*EXP(-(((Inputs!$C$6)-25)^2)/(4.5^2))+70*EXP(-(((Inputs!$C$6)+38)^2)/(7^2))*(0.55+0.45*SIN(2*PI()*(Model_Data!A10)/45))+24*SIN(2*PI()*(Inputs!$C$6)/9+(Model_Data!A10)/18)*EXP(-(((Inputs!$C$6)+5)^2)/(22^2))+18*SIN(2*PI()*(Model_Data!A10)/70))+Inputs!$C$28*EXP(-(((Model_Data!A10)-Inputs!$C$29)^2)/(2*Inputs!$C$31^2))*EXP(-(((Inputs!$C$6)-Inputs!$C$30)^2)/(2*Inputs!$C$32^2))+-Inputs!$C$33*EXP(-(((((Model_Data!A10)-Inputs!$C$34)^2)+(((Inputs!$C$6)-Inputs!$C$35)^2))/(2*Inputs!$C$36^2)))+Inputs!$C$37*(0.55*SIN(2*PI()*(Model_Data!A10)/Inputs!$C$39)+0.35*COS(2*PI()*(Inputs!$C$6)/Inputs!$C$40)+0.2*SIN(2*PI()*((Model_Data!A10)+(Inputs!$C$6))/(0.5*(Inputs!$C$39+Inputs!$C$40))))+Inputs!$C$38*SIN(2*PI()*(Model_Data!A10)/Inputs!$C$39)*SIN(2*PI()*(Inputs!$C$6)/Inputs!$C$40)+-Inputs!$C$41*EXP(-(((Inputs!$C$6)-Inputs!$C$43)^2)/(2*Inputs!$C$44^2))*EXP(-(((Model_Data!A10)-Inputs!$C$42)^2)/(2*Inputs!$C$45^2))+Inputs!$C$48*(0.7*(0.45*SIN(2*PI()*(((Model_Data!A10)/Inputs!$C$49)+Inputs!$C$47*0.137))+0.35*COS(2*PI()*(((Inputs!$C$6)/Inputs!$C$50)+Inputs!$C$47*0.173))+0.2*SIN(2*PI()*(((Model_Data!A10)+(Inputs!$C$6))/(0.5*(Inputs!$C$49+Inputs!$C$50))+Inputs!$C$47*0.097)))+0.3*(2*((SIN(((Model_Data!A10)*12.9898+(Inputs!$C$6)*78.233+Inputs!$C$47*37.719))*43758.5453)-INT((SIN(((Model_Data!A10)*12.9898+(Inputs!$C$6)*78.233+Inputs!$C$47*37.719))*43758.5453)))-1))))/1000)^2))-(((Model_Data!B10)-((Inputs!$C$51*(115*EXP(-(((0)-25)^2)/(4.5^2))+70*EXP(-(((0)+38)^2)/(7^2))*(0.55+0.45*SIN(2*PI()*(Model_Data!A10)/45))+24*SIN(2*PI()*(0)/9+(Model_Data!A10)/18)*EXP(-(((0)+5)^2)/(22^2))+18*SIN(2*PI()*(Model_Data!A10)/70))+Inputs!$C$28*EXP(-(((Model_Data!A10)-Inputs!$C$29)^2)/(2*Inputs!$C$31^2))*EXP(-(((0)-Inputs!$C$30)^2)/(2*Inputs!$C$32^2))+-Inputs!$C$33*EXP(-(((((Model_Data!A10)-Inputs!$C$34)^2)+(((0)-Inputs!$C$35)^2))/(2*Inputs!$C$36^2)))+Inputs!$C$37*(0.55*SIN(2*PI()*(Model_Data!A10)/Inputs!$C$39)+0.35*COS(2*PI()*(0)/Inputs!$C$40)+0.2*SIN(2*PI()*((Model_Data!A10)+(0))/(0.5*(Inputs!$C$39+Inputs!$C$40))))+Inputs!$C$38*SIN(2*PI()*(Model_Data!A10)/Inputs!$C$39)*SIN(2*PI()*(0)/Inputs!$C$40)+-Inputs!$C$41*EXP(-(((0)-Inputs!$C$43)^2)/(2*Inputs!$C$44^2))*EXP(-(((Model_Data!A10)-Inputs!$C$42)^2)/(2*Inputs!$C$45^2))+Inputs!$C$48*(0.7*(0.45*SIN(2*PI()*(((Model_Data!A10)/Inputs!$C$49)+Inputs!$C$47*0.137))+0.35*COS(2*PI()*(((0)/Inputs!$C$50)+Inputs!$C$47*0.173))+0.2*SIN(2*PI()*(((Model_Data!A10)+(0))/(0.5*(Inputs!$C$49+Inputs!$C$50))+Inputs!$C$47*0.097)))+0.3*(2*((SIN(((Model_Data!A10)*12.9898+(0)*78.233+Inputs!$C$47*37.719))*43758.5453)-INT((SIN(((Model_Data!A10)*12.9898+(0)*78.233+Inputs!$C$47*37.719))*43758.5453)))-1))))/1000)))*1000/Inputs!$C$12)-Model_Data!F10)</f>
        <v>58.234474099382169</v>
      </c>
      <c r="L10" s="10"/>
      <c r="M10" s="9">
        <f>Model_Data!A10</f>
        <v>-56</v>
      </c>
      <c r="N10" s="9">
        <f>Model_Data!P10</f>
        <v>416.39436278764407</v>
      </c>
      <c r="O10" s="9">
        <f t="shared" si="0"/>
        <v>446.7226709037277</v>
      </c>
      <c r="P10" s="9">
        <f>Model_Data!Q10</f>
        <v>62.521676094240853</v>
      </c>
      <c r="Q10" s="9">
        <f t="shared" si="1"/>
        <v>67.075476111670838</v>
      </c>
      <c r="R10" s="10"/>
      <c r="S10" s="9">
        <f>Model_Data!A10</f>
        <v>-56</v>
      </c>
      <c r="T10" s="9">
        <f>Model_Data!B10-Inputs!$C$5</f>
        <v>3.4844444444444207</v>
      </c>
      <c r="U10" s="10"/>
      <c r="V10" s="9">
        <f>Model_Data!A10</f>
        <v>-56</v>
      </c>
      <c r="W10" s="9">
        <f>((SQRT((Model_Data!A10)^2+Inputs!$C$6^2+Inputs!$C$5^2)-Inputs!$C$5)*1000/Inputs!$C$12)</f>
        <v>2625.8105747797149</v>
      </c>
      <c r="X10" s="9">
        <f>Model_Data!F10</f>
        <v>2603.3929579329656</v>
      </c>
      <c r="Y10" s="10"/>
      <c r="Z10" s="9">
        <f>Model_Data!A10</f>
        <v>-56</v>
      </c>
      <c r="AA10" s="9">
        <f>SQRT((Model_Data!A10)^2+Inputs!$C$6^2+((Model_Data!B10)-((Inputs!$C$51*(115*EXP(-(((Inputs!$C$6)-25)^2)/(4.5^2))+70*EXP(-(((Inputs!$C$6)+38)^2)/(7^2))*(0.55+0.45*SIN(2*PI()*(Model_Data!A10)/45))+24*SIN(2*PI()*(Inputs!$C$6)/9+(Model_Data!A10)/18)*EXP(-(((Inputs!$C$6)+5)^2)/(22^2))+18*SIN(2*PI()*(Model_Data!A10)/70))+Inputs!$C$28*EXP(-(((Model_Data!A10)-Inputs!$C$29)^2)/(2*Inputs!$C$31^2))*EXP(-(((Inputs!$C$6)-Inputs!$C$30)^2)/(2*Inputs!$C$32^2))+-Inputs!$C$33*EXP(-(((((Model_Data!A10)-Inputs!$C$34)^2)+(((Inputs!$C$6)-Inputs!$C$35)^2))/(2*Inputs!$C$36^2)))+Inputs!$C$37*(0.55*SIN(2*PI()*(Model_Data!A10)/Inputs!$C$39)+0.35*COS(2*PI()*(Inputs!$C$6)/Inputs!$C$40)+0.2*SIN(2*PI()*((Model_Data!A10)+(Inputs!$C$6))/(0.5*(Inputs!$C$39+Inputs!$C$40))))+Inputs!$C$38*SIN(2*PI()*(Model_Data!A10)/Inputs!$C$39)*SIN(2*PI()*(Inputs!$C$6)/Inputs!$C$40)+-Inputs!$C$41*EXP(-(((Inputs!$C$6)-Inputs!$C$43)^2)/(2*Inputs!$C$44^2))*EXP(-(((Model_Data!A10)-Inputs!$C$42)^2)/(2*Inputs!$C$45^2))+Inputs!$C$48*(0.7*(0.45*SIN(2*PI()*(((Model_Data!A10)/Inputs!$C$49)+Inputs!$C$47*0.137))+0.35*COS(2*PI()*(((Inputs!$C$6)/Inputs!$C$50)+Inputs!$C$47*0.173))+0.2*SIN(2*PI()*(((Model_Data!A10)+(Inputs!$C$6))/(0.5*(Inputs!$C$49+Inputs!$C$50))+Inputs!$C$47*0.097)))+0.3*(2*((SIN(((Model_Data!A10)*12.9898+(Inputs!$C$6)*78.233+Inputs!$C$47*37.719))*43758.5453)-INT((SIN(((Model_Data!A10)*12.9898+(Inputs!$C$6)*78.233+Inputs!$C$47*37.719))*43758.5453)))-1))))/1000)^2)</f>
        <v>407.95326697731622</v>
      </c>
      <c r="AB10" s="9">
        <f>1000*(AA11-AA9)/(Z11-Z9)*Inputs!$C$11</f>
        <v>-1116.8066772593193</v>
      </c>
      <c r="AC10" s="9">
        <f>-2*AB10/Inputs!$C$13</f>
        <v>446.7226709037277</v>
      </c>
      <c r="AD10" s="9">
        <f>-2*AB10/Inputs!$C$14</f>
        <v>67.075476111670838</v>
      </c>
    </row>
    <row r="11" spans="1:30">
      <c r="A11" s="9">
        <f>Model_Data!A11</f>
        <v>-55.5</v>
      </c>
      <c r="B11" s="9">
        <f>((SQRT((Model_Data!A11)^2+Inputs!$C$6^2+Inputs!$C$5^2)-Inputs!$C$5)*1000/Inputs!$C$12)</f>
        <v>2587.1091815287296</v>
      </c>
      <c r="C11" s="9">
        <f>Model_Data!F11</f>
        <v>2565.4077051733684</v>
      </c>
      <c r="D11" s="9">
        <f>(((SQRT((Model_Data!A11)^2+Inputs!$C$6^2+((Model_Data!B11)-((Inputs!$C$51*(115*EXP(-(((Inputs!$C$6)-25)^2)/(4.5^2))+70*EXP(-(((Inputs!$C$6)+38)^2)/(7^2))*(0.55+0.45*SIN(2*PI()*(Model_Data!A11)/45))+24*SIN(2*PI()*(Inputs!$C$6)/9+(Model_Data!A11)/18)*EXP(-(((Inputs!$C$6)+5)^2)/(22^2))+18*SIN(2*PI()*(Model_Data!A11)/70))+Inputs!$C$28*EXP(-(((Model_Data!A11)-Inputs!$C$29)^2)/(2*Inputs!$C$31^2))*EXP(-(((Inputs!$C$6)-Inputs!$C$30)^2)/(2*Inputs!$C$32^2))+-Inputs!$C$33*EXP(-(((((Model_Data!A11)-Inputs!$C$34)^2)+(((Inputs!$C$6)-Inputs!$C$35)^2))/(2*Inputs!$C$36^2)))+Inputs!$C$37*(0.55*SIN(2*PI()*(Model_Data!A11)/Inputs!$C$39)+0.35*COS(2*PI()*(Inputs!$C$6)/Inputs!$C$40)+0.2*SIN(2*PI()*((Model_Data!A11)+(Inputs!$C$6))/(0.5*(Inputs!$C$39+Inputs!$C$40))))+Inputs!$C$38*SIN(2*PI()*(Model_Data!A11)/Inputs!$C$39)*SIN(2*PI()*(Inputs!$C$6)/Inputs!$C$40)+-Inputs!$C$41*EXP(-(((Inputs!$C$6)-Inputs!$C$43)^2)/(2*Inputs!$C$44^2))*EXP(-(((Model_Data!A11)-Inputs!$C$42)^2)/(2*Inputs!$C$45^2))+Inputs!$C$48*(0.7*(0.45*SIN(2*PI()*(((Model_Data!A11)/Inputs!$C$49)+Inputs!$C$47*0.137))+0.35*COS(2*PI()*(((Inputs!$C$6)/Inputs!$C$50)+Inputs!$C$47*0.173))+0.2*SIN(2*PI()*(((Model_Data!A11)+(Inputs!$C$6))/(0.5*(Inputs!$C$49+Inputs!$C$50))+Inputs!$C$47*0.097)))+0.3*(2*((SIN(((Model_Data!A11)*12.9898+(Inputs!$C$6)*78.233+Inputs!$C$47*37.719))*43758.5453)-INT((SIN(((Model_Data!A11)*12.9898+(Inputs!$C$6)*78.233+Inputs!$C$47*37.719))*43758.5453)))-1))))/1000)^2))-(((Model_Data!B11)-((Inputs!$C$51*(115*EXP(-(((0)-25)^2)/(4.5^2))+70*EXP(-(((0)+38)^2)/(7^2))*(0.55+0.45*SIN(2*PI()*(Model_Data!A11)/45))+24*SIN(2*PI()*(0)/9+(Model_Data!A11)/18)*EXP(-(((0)+5)^2)/(22^2))+18*SIN(2*PI()*(Model_Data!A11)/70))+Inputs!$C$28*EXP(-(((Model_Data!A11)-Inputs!$C$29)^2)/(2*Inputs!$C$31^2))*EXP(-(((0)-Inputs!$C$30)^2)/(2*Inputs!$C$32^2))+-Inputs!$C$33*EXP(-(((((Model_Data!A11)-Inputs!$C$34)^2)+(((0)-Inputs!$C$35)^2))/(2*Inputs!$C$36^2)))+Inputs!$C$37*(0.55*SIN(2*PI()*(Model_Data!A11)/Inputs!$C$39)+0.35*COS(2*PI()*(0)/Inputs!$C$40)+0.2*SIN(2*PI()*((Model_Data!A11)+(0))/(0.5*(Inputs!$C$39+Inputs!$C$40))))+Inputs!$C$38*SIN(2*PI()*(Model_Data!A11)/Inputs!$C$39)*SIN(2*PI()*(0)/Inputs!$C$40)+-Inputs!$C$41*EXP(-(((0)-Inputs!$C$43)^2)/(2*Inputs!$C$44^2))*EXP(-(((Model_Data!A11)-Inputs!$C$42)^2)/(2*Inputs!$C$45^2))+Inputs!$C$48*(0.7*(0.45*SIN(2*PI()*(((Model_Data!A11)/Inputs!$C$49)+Inputs!$C$47*0.137))+0.35*COS(2*PI()*(((0)/Inputs!$C$50)+Inputs!$C$47*0.173))+0.2*SIN(2*PI()*(((Model_Data!A11)+(0))/(0.5*(Inputs!$C$49+Inputs!$C$50))+Inputs!$C$47*0.097)))+0.3*(2*((SIN(((Model_Data!A11)*12.9898+(0)*78.233+Inputs!$C$47*37.719))*43758.5453)-INT((SIN(((Model_Data!A11)*12.9898+(0)*78.233+Inputs!$C$47*37.719))*43758.5453)))-1))))/1000)))*1000/Inputs!$C$12)</f>
        <v>2497.8319433324009</v>
      </c>
      <c r="E11" s="9">
        <f>Model_Data!A11</f>
        <v>-55.5</v>
      </c>
      <c r="F11" s="9">
        <f>(Inputs!$C$51*(115*EXP(-(((Inputs!$C$6)-25)^2)/(4.5^2))+70*EXP(-(((Inputs!$C$6)+38)^2)/(7^2))*(0.55+0.45*SIN(2*PI()*(Model_Data!A11)/45))+24*SIN(2*PI()*(Inputs!$C$6)/9+(Model_Data!A11)/18)*EXP(-(((Inputs!$C$6)+5)^2)/(22^2))+18*SIN(2*PI()*(Model_Data!A11)/70))+Inputs!$C$28*EXP(-(((Model_Data!A11)-Inputs!$C$29)^2)/(2*Inputs!$C$31^2))*EXP(-(((Inputs!$C$6)-Inputs!$C$30)^2)/(2*Inputs!$C$32^2))+-Inputs!$C$33*EXP(-(((((Model_Data!A11)-Inputs!$C$34)^2)+(((Inputs!$C$6)-Inputs!$C$35)^2))/(2*Inputs!$C$36^2)))+Inputs!$C$37*(0.55*SIN(2*PI()*(Model_Data!A11)/Inputs!$C$39)+0.35*COS(2*PI()*(Inputs!$C$6)/Inputs!$C$40)+0.2*SIN(2*PI()*((Model_Data!A11)+(Inputs!$C$6))/(0.5*(Inputs!$C$39+Inputs!$C$40))))+Inputs!$C$38*SIN(2*PI()*(Model_Data!A11)/Inputs!$C$39)*SIN(2*PI()*(Inputs!$C$6)/Inputs!$C$40)+-Inputs!$C$41*EXP(-(((Inputs!$C$6)-Inputs!$C$43)^2)/(2*Inputs!$C$44^2))*EXP(-(((Model_Data!A11)-Inputs!$C$42)^2)/(2*Inputs!$C$45^2))+Inputs!$C$48*(0.7*(0.45*SIN(2*PI()*(((Model_Data!A11)/Inputs!$C$49)+Inputs!$C$47*0.137))+0.35*COS(2*PI()*(((Inputs!$C$6)/Inputs!$C$50)+Inputs!$C$47*0.173))+0.2*SIN(2*PI()*(((Model_Data!A11)+(Inputs!$C$6))/(0.5*(Inputs!$C$49+Inputs!$C$50))+Inputs!$C$47*0.097)))+0.3*(2*((SIN(((Model_Data!A11)*12.9898+(Inputs!$C$6)*78.233+Inputs!$C$47*37.719))*43758.5453)-INT((SIN(((Model_Data!A11)*12.9898+(Inputs!$C$6)*78.233+Inputs!$C$47*37.719))*43758.5453)))-1)))</f>
        <v>160.57943103446084</v>
      </c>
      <c r="G11" s="9">
        <f>(Inputs!$C$51*(115*EXP(-(((0)-25)^2)/(4.5^2))+70*EXP(-(((0)+38)^2)/(7^2))*(0.55+0.45*SIN(2*PI()*(Model_Data!A11)/45))+24*SIN(2*PI()*(0)/9+(Model_Data!A11)/18)*EXP(-(((0)+5)^2)/(22^2))+18*SIN(2*PI()*(Model_Data!A11)/70))+Inputs!$C$28*EXP(-(((Model_Data!A11)-Inputs!$C$29)^2)/(2*Inputs!$C$31^2))*EXP(-(((0)-Inputs!$C$30)^2)/(2*Inputs!$C$32^2))+-Inputs!$C$33*EXP(-(((((Model_Data!A11)-Inputs!$C$34)^2)+(((0)-Inputs!$C$35)^2))/(2*Inputs!$C$36^2)))+Inputs!$C$37*(0.55*SIN(2*PI()*(Model_Data!A11)/Inputs!$C$39)+0.35*COS(2*PI()*(0)/Inputs!$C$40)+0.2*SIN(2*PI()*((Model_Data!A11)+(0))/(0.5*(Inputs!$C$39+Inputs!$C$40))))+Inputs!$C$38*SIN(2*PI()*(Model_Data!A11)/Inputs!$C$39)*SIN(2*PI()*(0)/Inputs!$C$40)+-Inputs!$C$41*EXP(-(((0)-Inputs!$C$43)^2)/(2*Inputs!$C$44^2))*EXP(-(((Model_Data!A11)-Inputs!$C$42)^2)/(2*Inputs!$C$45^2))+Inputs!$C$48*(0.7*(0.45*SIN(2*PI()*(((Model_Data!A11)/Inputs!$C$49)+Inputs!$C$47*0.137))+0.35*COS(2*PI()*(((0)/Inputs!$C$50)+Inputs!$C$47*0.173))+0.2*SIN(2*PI()*(((Model_Data!A11)+(0))/(0.5*(Inputs!$C$49+Inputs!$C$50))+Inputs!$C$47*0.097)))+0.3*(2*((SIN(((Model_Data!A11)*12.9898+(0)*78.233+Inputs!$C$47*37.719))*43758.5453)-INT((SIN(((Model_Data!A11)*12.9898+(0)*78.233+Inputs!$C$47*37.719))*43758.5453)))-1)))</f>
        <v>38.496582165951239</v>
      </c>
      <c r="H11" s="10"/>
      <c r="I11" s="9">
        <f>Model_Data!A11</f>
        <v>-55.5</v>
      </c>
      <c r="J11" s="9">
        <f>(Inputs!$C$51*(115*EXP(-(((Inputs!$C$6)-25)^2)/(4.5^2))+70*EXP(-(((Inputs!$C$6)+38)^2)/(7^2))*(0.55+0.45*SIN(2*PI()*(Model_Data!A11)/45))+24*SIN(2*PI()*(Inputs!$C$6)/9+(Model_Data!A11)/18)*EXP(-(((Inputs!$C$6)+5)^2)/(22^2))+18*SIN(2*PI()*(Model_Data!A11)/70))+Inputs!$C$28*EXP(-(((Model_Data!A11)-Inputs!$C$29)^2)/(2*Inputs!$C$31^2))*EXP(-(((Inputs!$C$6)-Inputs!$C$30)^2)/(2*Inputs!$C$32^2))+-Inputs!$C$33*EXP(-(((((Model_Data!A11)-Inputs!$C$34)^2)+(((Inputs!$C$6)-Inputs!$C$35)^2))/(2*Inputs!$C$36^2)))+Inputs!$C$37*(0.55*SIN(2*PI()*(Model_Data!A11)/Inputs!$C$39)+0.35*COS(2*PI()*(Inputs!$C$6)/Inputs!$C$40)+0.2*SIN(2*PI()*((Model_Data!A11)+(Inputs!$C$6))/(0.5*(Inputs!$C$39+Inputs!$C$40))))+Inputs!$C$38*SIN(2*PI()*(Model_Data!A11)/Inputs!$C$39)*SIN(2*PI()*(Inputs!$C$6)/Inputs!$C$40)+-Inputs!$C$41*EXP(-(((Inputs!$C$6)-Inputs!$C$43)^2)/(2*Inputs!$C$44^2))*EXP(-(((Model_Data!A11)-Inputs!$C$42)^2)/(2*Inputs!$C$45^2))+Inputs!$C$48*(0.7*(0.45*SIN(2*PI()*(((Model_Data!A11)/Inputs!$C$49)+Inputs!$C$47*0.137))+0.35*COS(2*PI()*(((Inputs!$C$6)/Inputs!$C$50)+Inputs!$C$47*0.173))+0.2*SIN(2*PI()*(((Model_Data!A11)+(Inputs!$C$6))/(0.5*(Inputs!$C$49+Inputs!$C$50))+Inputs!$C$47*0.097)))+0.3*(2*((SIN(((Model_Data!A11)*12.9898+(Inputs!$C$6)*78.233+Inputs!$C$47*37.719))*43758.5453)-INT((SIN(((Model_Data!A11)*12.9898+(Inputs!$C$6)*78.233+Inputs!$C$47*37.719))*43758.5453)))-1)))</f>
        <v>160.57943103446084</v>
      </c>
      <c r="K11" s="9">
        <f>-((((SQRT((Model_Data!A11)^2+Inputs!$C$6^2+((Model_Data!B11)-((Inputs!$C$51*(115*EXP(-(((Inputs!$C$6)-25)^2)/(4.5^2))+70*EXP(-(((Inputs!$C$6)+38)^2)/(7^2))*(0.55+0.45*SIN(2*PI()*(Model_Data!A11)/45))+24*SIN(2*PI()*(Inputs!$C$6)/9+(Model_Data!A11)/18)*EXP(-(((Inputs!$C$6)+5)^2)/(22^2))+18*SIN(2*PI()*(Model_Data!A11)/70))+Inputs!$C$28*EXP(-(((Model_Data!A11)-Inputs!$C$29)^2)/(2*Inputs!$C$31^2))*EXP(-(((Inputs!$C$6)-Inputs!$C$30)^2)/(2*Inputs!$C$32^2))+-Inputs!$C$33*EXP(-(((((Model_Data!A11)-Inputs!$C$34)^2)+(((Inputs!$C$6)-Inputs!$C$35)^2))/(2*Inputs!$C$36^2)))+Inputs!$C$37*(0.55*SIN(2*PI()*(Model_Data!A11)/Inputs!$C$39)+0.35*COS(2*PI()*(Inputs!$C$6)/Inputs!$C$40)+0.2*SIN(2*PI()*((Model_Data!A11)+(Inputs!$C$6))/(0.5*(Inputs!$C$39+Inputs!$C$40))))+Inputs!$C$38*SIN(2*PI()*(Model_Data!A11)/Inputs!$C$39)*SIN(2*PI()*(Inputs!$C$6)/Inputs!$C$40)+-Inputs!$C$41*EXP(-(((Inputs!$C$6)-Inputs!$C$43)^2)/(2*Inputs!$C$44^2))*EXP(-(((Model_Data!A11)-Inputs!$C$42)^2)/(2*Inputs!$C$45^2))+Inputs!$C$48*(0.7*(0.45*SIN(2*PI()*(((Model_Data!A11)/Inputs!$C$49)+Inputs!$C$47*0.137))+0.35*COS(2*PI()*(((Inputs!$C$6)/Inputs!$C$50)+Inputs!$C$47*0.173))+0.2*SIN(2*PI()*(((Model_Data!A11)+(Inputs!$C$6))/(0.5*(Inputs!$C$49+Inputs!$C$50))+Inputs!$C$47*0.097)))+0.3*(2*((SIN(((Model_Data!A11)*12.9898+(Inputs!$C$6)*78.233+Inputs!$C$47*37.719))*43758.5453)-INT((SIN(((Model_Data!A11)*12.9898+(Inputs!$C$6)*78.233+Inputs!$C$47*37.719))*43758.5453)))-1))))/1000)^2))-(((Model_Data!B11)-((Inputs!$C$51*(115*EXP(-(((0)-25)^2)/(4.5^2))+70*EXP(-(((0)+38)^2)/(7^2))*(0.55+0.45*SIN(2*PI()*(Model_Data!A11)/45))+24*SIN(2*PI()*(0)/9+(Model_Data!A11)/18)*EXP(-(((0)+5)^2)/(22^2))+18*SIN(2*PI()*(Model_Data!A11)/70))+Inputs!$C$28*EXP(-(((Model_Data!A11)-Inputs!$C$29)^2)/(2*Inputs!$C$31^2))*EXP(-(((0)-Inputs!$C$30)^2)/(2*Inputs!$C$32^2))+-Inputs!$C$33*EXP(-(((((Model_Data!A11)-Inputs!$C$34)^2)+(((0)-Inputs!$C$35)^2))/(2*Inputs!$C$36^2)))+Inputs!$C$37*(0.55*SIN(2*PI()*(Model_Data!A11)/Inputs!$C$39)+0.35*COS(2*PI()*(0)/Inputs!$C$40)+0.2*SIN(2*PI()*((Model_Data!A11)+(0))/(0.5*(Inputs!$C$39+Inputs!$C$40))))+Inputs!$C$38*SIN(2*PI()*(Model_Data!A11)/Inputs!$C$39)*SIN(2*PI()*(0)/Inputs!$C$40)+-Inputs!$C$41*EXP(-(((0)-Inputs!$C$43)^2)/(2*Inputs!$C$44^2))*EXP(-(((Model_Data!A11)-Inputs!$C$42)^2)/(2*Inputs!$C$45^2))+Inputs!$C$48*(0.7*(0.45*SIN(2*PI()*(((Model_Data!A11)/Inputs!$C$49)+Inputs!$C$47*0.137))+0.35*COS(2*PI()*(((0)/Inputs!$C$50)+Inputs!$C$47*0.173))+0.2*SIN(2*PI()*(((Model_Data!A11)+(0))/(0.5*(Inputs!$C$49+Inputs!$C$50))+Inputs!$C$47*0.097)))+0.3*(2*((SIN(((Model_Data!A11)*12.9898+(0)*78.233+Inputs!$C$47*37.719))*43758.5453)-INT((SIN(((Model_Data!A11)*12.9898+(0)*78.233+Inputs!$C$47*37.719))*43758.5453)))-1))))/1000)))*1000/Inputs!$C$12)-Model_Data!F11)</f>
        <v>67.575761840967516</v>
      </c>
      <c r="L11" s="10"/>
      <c r="M11" s="9">
        <f>Model_Data!A11</f>
        <v>-55.5</v>
      </c>
      <c r="N11" s="9">
        <f>Model_Data!P11</f>
        <v>412.77764187212813</v>
      </c>
      <c r="O11" s="9">
        <f t="shared" si="0"/>
        <v>427.09594019206634</v>
      </c>
      <c r="P11" s="9">
        <f>Model_Data!Q11</f>
        <v>61.978624905724956</v>
      </c>
      <c r="Q11" s="9">
        <f t="shared" si="1"/>
        <v>64.128519548358312</v>
      </c>
      <c r="R11" s="10"/>
      <c r="S11" s="9">
        <f>Model_Data!A11</f>
        <v>-55.5</v>
      </c>
      <c r="T11" s="9">
        <f>Model_Data!B11-Inputs!$C$5</f>
        <v>3.4225000000000136</v>
      </c>
      <c r="U11" s="10"/>
      <c r="V11" s="9">
        <f>Model_Data!A11</f>
        <v>-55.5</v>
      </c>
      <c r="W11" s="9">
        <f>((SQRT((Model_Data!A11)^2+Inputs!$C$6^2+Inputs!$C$5^2)-Inputs!$C$5)*1000/Inputs!$C$12)</f>
        <v>2587.1091815287296</v>
      </c>
      <c r="X11" s="9">
        <f>Model_Data!F11</f>
        <v>2565.4077051733684</v>
      </c>
      <c r="Y11" s="10"/>
      <c r="Z11" s="9">
        <f>Model_Data!A11</f>
        <v>-55.5</v>
      </c>
      <c r="AA11" s="9">
        <f>SQRT((Model_Data!A11)^2+Inputs!$C$6^2+((Model_Data!B11)-((Inputs!$C$51*(115*EXP(-(((Inputs!$C$6)-25)^2)/(4.5^2))+70*EXP(-(((Inputs!$C$6)+38)^2)/(7^2))*(0.55+0.45*SIN(2*PI()*(Model_Data!A11)/45))+24*SIN(2*PI()*(Inputs!$C$6)/9+(Model_Data!A11)/18)*EXP(-(((Inputs!$C$6)+5)^2)/(22^2))+18*SIN(2*PI()*(Model_Data!A11)/70))+Inputs!$C$28*EXP(-(((Model_Data!A11)-Inputs!$C$29)^2)/(2*Inputs!$C$31^2))*EXP(-(((Inputs!$C$6)-Inputs!$C$30)^2)/(2*Inputs!$C$32^2))+-Inputs!$C$33*EXP(-(((((Model_Data!A11)-Inputs!$C$34)^2)+(((Inputs!$C$6)-Inputs!$C$35)^2))/(2*Inputs!$C$36^2)))+Inputs!$C$37*(0.55*SIN(2*PI()*(Model_Data!A11)/Inputs!$C$39)+0.35*COS(2*PI()*(Inputs!$C$6)/Inputs!$C$40)+0.2*SIN(2*PI()*((Model_Data!A11)+(Inputs!$C$6))/(0.5*(Inputs!$C$39+Inputs!$C$40))))+Inputs!$C$38*SIN(2*PI()*(Model_Data!A11)/Inputs!$C$39)*SIN(2*PI()*(Inputs!$C$6)/Inputs!$C$40)+-Inputs!$C$41*EXP(-(((Inputs!$C$6)-Inputs!$C$43)^2)/(2*Inputs!$C$44^2))*EXP(-(((Model_Data!A11)-Inputs!$C$42)^2)/(2*Inputs!$C$45^2))+Inputs!$C$48*(0.7*(0.45*SIN(2*PI()*(((Model_Data!A11)/Inputs!$C$49)+Inputs!$C$47*0.137))+0.35*COS(2*PI()*(((Inputs!$C$6)/Inputs!$C$50)+Inputs!$C$47*0.173))+0.2*SIN(2*PI()*(((Model_Data!A11)+(Inputs!$C$6))/(0.5*(Inputs!$C$49+Inputs!$C$50))+Inputs!$C$47*0.097)))+0.3*(2*((SIN(((Model_Data!A11)*12.9898+(Inputs!$C$6)*78.233+Inputs!$C$47*37.719))*43758.5453)-INT((SIN(((Model_Data!A11)*12.9898+(Inputs!$C$6)*78.233+Inputs!$C$47*37.719))*43758.5453)))-1))))/1000)^2)</f>
        <v>407.83014427696571</v>
      </c>
      <c r="AB11" s="9">
        <f>1000*(AA12-AA10)/(Z12-Z10)*Inputs!$C$11</f>
        <v>-1067.7398504801658</v>
      </c>
      <c r="AC11" s="9">
        <f>-2*AB11/Inputs!$C$13</f>
        <v>427.09594019206634</v>
      </c>
      <c r="AD11" s="9">
        <f>-2*AB11/Inputs!$C$14</f>
        <v>64.128519548358312</v>
      </c>
    </row>
    <row r="12" spans="1:30">
      <c r="A12" s="9">
        <f>Model_Data!A12</f>
        <v>-55</v>
      </c>
      <c r="B12" s="9">
        <f>((SQRT((Model_Data!A12)^2+Inputs!$C$6^2+Inputs!$C$5^2)-Inputs!$C$5)*1000/Inputs!$C$12)</f>
        <v>2548.7483839189476</v>
      </c>
      <c r="C12" s="9">
        <f>Model_Data!F12</f>
        <v>2527.745531338961</v>
      </c>
      <c r="D12" s="9">
        <f>(((SQRT((Model_Data!A12)^2+Inputs!$C$6^2+((Model_Data!B12)-((Inputs!$C$51*(115*EXP(-(((Inputs!$C$6)-25)^2)/(4.5^2))+70*EXP(-(((Inputs!$C$6)+38)^2)/(7^2))*(0.55+0.45*SIN(2*PI()*(Model_Data!A12)/45))+24*SIN(2*PI()*(Inputs!$C$6)/9+(Model_Data!A12)/18)*EXP(-(((Inputs!$C$6)+5)^2)/(22^2))+18*SIN(2*PI()*(Model_Data!A12)/70))+Inputs!$C$28*EXP(-(((Model_Data!A12)-Inputs!$C$29)^2)/(2*Inputs!$C$31^2))*EXP(-(((Inputs!$C$6)-Inputs!$C$30)^2)/(2*Inputs!$C$32^2))+-Inputs!$C$33*EXP(-(((((Model_Data!A12)-Inputs!$C$34)^2)+(((Inputs!$C$6)-Inputs!$C$35)^2))/(2*Inputs!$C$36^2)))+Inputs!$C$37*(0.55*SIN(2*PI()*(Model_Data!A12)/Inputs!$C$39)+0.35*COS(2*PI()*(Inputs!$C$6)/Inputs!$C$40)+0.2*SIN(2*PI()*((Model_Data!A12)+(Inputs!$C$6))/(0.5*(Inputs!$C$39+Inputs!$C$40))))+Inputs!$C$38*SIN(2*PI()*(Model_Data!A12)/Inputs!$C$39)*SIN(2*PI()*(Inputs!$C$6)/Inputs!$C$40)+-Inputs!$C$41*EXP(-(((Inputs!$C$6)-Inputs!$C$43)^2)/(2*Inputs!$C$44^2))*EXP(-(((Model_Data!A12)-Inputs!$C$42)^2)/(2*Inputs!$C$45^2))+Inputs!$C$48*(0.7*(0.45*SIN(2*PI()*(((Model_Data!A12)/Inputs!$C$49)+Inputs!$C$47*0.137))+0.35*COS(2*PI()*(((Inputs!$C$6)/Inputs!$C$50)+Inputs!$C$47*0.173))+0.2*SIN(2*PI()*(((Model_Data!A12)+(Inputs!$C$6))/(0.5*(Inputs!$C$49+Inputs!$C$50))+Inputs!$C$47*0.097)))+0.3*(2*((SIN(((Model_Data!A12)*12.9898+(Inputs!$C$6)*78.233+Inputs!$C$47*37.719))*43758.5453)-INT((SIN(((Model_Data!A12)*12.9898+(Inputs!$C$6)*78.233+Inputs!$C$47*37.719))*43758.5453)))-1))))/1000)^2))-(((Model_Data!B12)-((Inputs!$C$51*(115*EXP(-(((0)-25)^2)/(4.5^2))+70*EXP(-(((0)+38)^2)/(7^2))*(0.55+0.45*SIN(2*PI()*(Model_Data!A12)/45))+24*SIN(2*PI()*(0)/9+(Model_Data!A12)/18)*EXP(-(((0)+5)^2)/(22^2))+18*SIN(2*PI()*(Model_Data!A12)/70))+Inputs!$C$28*EXP(-(((Model_Data!A12)-Inputs!$C$29)^2)/(2*Inputs!$C$31^2))*EXP(-(((0)-Inputs!$C$30)^2)/(2*Inputs!$C$32^2))+-Inputs!$C$33*EXP(-(((((Model_Data!A12)-Inputs!$C$34)^2)+(((0)-Inputs!$C$35)^2))/(2*Inputs!$C$36^2)))+Inputs!$C$37*(0.55*SIN(2*PI()*(Model_Data!A12)/Inputs!$C$39)+0.35*COS(2*PI()*(0)/Inputs!$C$40)+0.2*SIN(2*PI()*((Model_Data!A12)+(0))/(0.5*(Inputs!$C$39+Inputs!$C$40))))+Inputs!$C$38*SIN(2*PI()*(Model_Data!A12)/Inputs!$C$39)*SIN(2*PI()*(0)/Inputs!$C$40)+-Inputs!$C$41*EXP(-(((0)-Inputs!$C$43)^2)/(2*Inputs!$C$44^2))*EXP(-(((Model_Data!A12)-Inputs!$C$42)^2)/(2*Inputs!$C$45^2))+Inputs!$C$48*(0.7*(0.45*SIN(2*PI()*(((Model_Data!A12)/Inputs!$C$49)+Inputs!$C$47*0.137))+0.35*COS(2*PI()*(((0)/Inputs!$C$50)+Inputs!$C$47*0.173))+0.2*SIN(2*PI()*(((Model_Data!A12)+(0))/(0.5*(Inputs!$C$49+Inputs!$C$50))+Inputs!$C$47*0.097)))+0.3*(2*((SIN(((Model_Data!A12)*12.9898+(0)*78.233+Inputs!$C$47*37.719))*43758.5453)-INT((SIN(((Model_Data!A12)*12.9898+(0)*78.233+Inputs!$C$47*37.719))*43758.5453)))-1))))/1000)))*1000/Inputs!$C$12)</f>
        <v>2456.0296963577753</v>
      </c>
      <c r="E12" s="9">
        <f>Model_Data!A12</f>
        <v>-55</v>
      </c>
      <c r="F12" s="9">
        <f>(Inputs!$C$51*(115*EXP(-(((Inputs!$C$6)-25)^2)/(4.5^2))+70*EXP(-(((Inputs!$C$6)+38)^2)/(7^2))*(0.55+0.45*SIN(2*PI()*(Model_Data!A12)/45))+24*SIN(2*PI()*(Inputs!$C$6)/9+(Model_Data!A12)/18)*EXP(-(((Inputs!$C$6)+5)^2)/(22^2))+18*SIN(2*PI()*(Model_Data!A12)/70))+Inputs!$C$28*EXP(-(((Model_Data!A12)-Inputs!$C$29)^2)/(2*Inputs!$C$31^2))*EXP(-(((Inputs!$C$6)-Inputs!$C$30)^2)/(2*Inputs!$C$32^2))+-Inputs!$C$33*EXP(-(((((Model_Data!A12)-Inputs!$C$34)^2)+(((Inputs!$C$6)-Inputs!$C$35)^2))/(2*Inputs!$C$36^2)))+Inputs!$C$37*(0.55*SIN(2*PI()*(Model_Data!A12)/Inputs!$C$39)+0.35*COS(2*PI()*(Inputs!$C$6)/Inputs!$C$40)+0.2*SIN(2*PI()*((Model_Data!A12)+(Inputs!$C$6))/(0.5*(Inputs!$C$39+Inputs!$C$40))))+Inputs!$C$38*SIN(2*PI()*(Model_Data!A12)/Inputs!$C$39)*SIN(2*PI()*(Inputs!$C$6)/Inputs!$C$40)+-Inputs!$C$41*EXP(-(((Inputs!$C$6)-Inputs!$C$43)^2)/(2*Inputs!$C$44^2))*EXP(-(((Model_Data!A12)-Inputs!$C$42)^2)/(2*Inputs!$C$45^2))+Inputs!$C$48*(0.7*(0.45*SIN(2*PI()*(((Model_Data!A12)/Inputs!$C$49)+Inputs!$C$47*0.137))+0.35*COS(2*PI()*(((Inputs!$C$6)/Inputs!$C$50)+Inputs!$C$47*0.173))+0.2*SIN(2*PI()*(((Model_Data!A12)+(Inputs!$C$6))/(0.5*(Inputs!$C$49+Inputs!$C$50))+Inputs!$C$47*0.097)))+0.3*(2*((SIN(((Model_Data!A12)*12.9898+(Inputs!$C$6)*78.233+Inputs!$C$47*37.719))*43758.5453)-INT((SIN(((Model_Data!A12)*12.9898+(Inputs!$C$6)*78.233+Inputs!$C$47*37.719))*43758.5453)))-1)))</f>
        <v>176.10976359434375</v>
      </c>
      <c r="G12" s="9">
        <f>(Inputs!$C$51*(115*EXP(-(((0)-25)^2)/(4.5^2))+70*EXP(-(((0)+38)^2)/(7^2))*(0.55+0.45*SIN(2*PI()*(Model_Data!A12)/45))+24*SIN(2*PI()*(0)/9+(Model_Data!A12)/18)*EXP(-(((0)+5)^2)/(22^2))+18*SIN(2*PI()*(Model_Data!A12)/70))+Inputs!$C$28*EXP(-(((Model_Data!A12)-Inputs!$C$29)^2)/(2*Inputs!$C$31^2))*EXP(-(((0)-Inputs!$C$30)^2)/(2*Inputs!$C$32^2))+-Inputs!$C$33*EXP(-(((((Model_Data!A12)-Inputs!$C$34)^2)+(((0)-Inputs!$C$35)^2))/(2*Inputs!$C$36^2)))+Inputs!$C$37*(0.55*SIN(2*PI()*(Model_Data!A12)/Inputs!$C$39)+0.35*COS(2*PI()*(0)/Inputs!$C$40)+0.2*SIN(2*PI()*((Model_Data!A12)+(0))/(0.5*(Inputs!$C$39+Inputs!$C$40))))+Inputs!$C$38*SIN(2*PI()*(Model_Data!A12)/Inputs!$C$39)*SIN(2*PI()*(0)/Inputs!$C$40)+-Inputs!$C$41*EXP(-(((0)-Inputs!$C$43)^2)/(2*Inputs!$C$44^2))*EXP(-(((Model_Data!A12)-Inputs!$C$42)^2)/(2*Inputs!$C$45^2))+Inputs!$C$48*(0.7*(0.45*SIN(2*PI()*(((Model_Data!A12)/Inputs!$C$49)+Inputs!$C$47*0.137))+0.35*COS(2*PI()*(((0)/Inputs!$C$50)+Inputs!$C$47*0.173))+0.2*SIN(2*PI()*(((Model_Data!A12)+(0))/(0.5*(Inputs!$C$49+Inputs!$C$50))+Inputs!$C$47*0.097)))+0.3*(2*((SIN(((Model_Data!A12)*12.9898+(0)*78.233+Inputs!$C$47*37.719))*43758.5453)-INT((SIN(((Model_Data!A12)*12.9898+(0)*78.233+Inputs!$C$47*37.719))*43758.5453)))-1)))</f>
        <v>46.511955931760568</v>
      </c>
      <c r="H12" s="10"/>
      <c r="I12" s="9">
        <f>Model_Data!A12</f>
        <v>-55</v>
      </c>
      <c r="J12" s="9">
        <f>(Inputs!$C$51*(115*EXP(-(((Inputs!$C$6)-25)^2)/(4.5^2))+70*EXP(-(((Inputs!$C$6)+38)^2)/(7^2))*(0.55+0.45*SIN(2*PI()*(Model_Data!A12)/45))+24*SIN(2*PI()*(Inputs!$C$6)/9+(Model_Data!A12)/18)*EXP(-(((Inputs!$C$6)+5)^2)/(22^2))+18*SIN(2*PI()*(Model_Data!A12)/70))+Inputs!$C$28*EXP(-(((Model_Data!A12)-Inputs!$C$29)^2)/(2*Inputs!$C$31^2))*EXP(-(((Inputs!$C$6)-Inputs!$C$30)^2)/(2*Inputs!$C$32^2))+-Inputs!$C$33*EXP(-(((((Model_Data!A12)-Inputs!$C$34)^2)+(((Inputs!$C$6)-Inputs!$C$35)^2))/(2*Inputs!$C$36^2)))+Inputs!$C$37*(0.55*SIN(2*PI()*(Model_Data!A12)/Inputs!$C$39)+0.35*COS(2*PI()*(Inputs!$C$6)/Inputs!$C$40)+0.2*SIN(2*PI()*((Model_Data!A12)+(Inputs!$C$6))/(0.5*(Inputs!$C$39+Inputs!$C$40))))+Inputs!$C$38*SIN(2*PI()*(Model_Data!A12)/Inputs!$C$39)*SIN(2*PI()*(Inputs!$C$6)/Inputs!$C$40)+-Inputs!$C$41*EXP(-(((Inputs!$C$6)-Inputs!$C$43)^2)/(2*Inputs!$C$44^2))*EXP(-(((Model_Data!A12)-Inputs!$C$42)^2)/(2*Inputs!$C$45^2))+Inputs!$C$48*(0.7*(0.45*SIN(2*PI()*(((Model_Data!A12)/Inputs!$C$49)+Inputs!$C$47*0.137))+0.35*COS(2*PI()*(((Inputs!$C$6)/Inputs!$C$50)+Inputs!$C$47*0.173))+0.2*SIN(2*PI()*(((Model_Data!A12)+(Inputs!$C$6))/(0.5*(Inputs!$C$49+Inputs!$C$50))+Inputs!$C$47*0.097)))+0.3*(2*((SIN(((Model_Data!A12)*12.9898+(Inputs!$C$6)*78.233+Inputs!$C$47*37.719))*43758.5453)-INT((SIN(((Model_Data!A12)*12.9898+(Inputs!$C$6)*78.233+Inputs!$C$47*37.719))*43758.5453)))-1)))</f>
        <v>176.10976359434375</v>
      </c>
      <c r="K12" s="9">
        <f>-((((SQRT((Model_Data!A12)^2+Inputs!$C$6^2+((Model_Data!B12)-((Inputs!$C$51*(115*EXP(-(((Inputs!$C$6)-25)^2)/(4.5^2))+70*EXP(-(((Inputs!$C$6)+38)^2)/(7^2))*(0.55+0.45*SIN(2*PI()*(Model_Data!A12)/45))+24*SIN(2*PI()*(Inputs!$C$6)/9+(Model_Data!A12)/18)*EXP(-(((Inputs!$C$6)+5)^2)/(22^2))+18*SIN(2*PI()*(Model_Data!A12)/70))+Inputs!$C$28*EXP(-(((Model_Data!A12)-Inputs!$C$29)^2)/(2*Inputs!$C$31^2))*EXP(-(((Inputs!$C$6)-Inputs!$C$30)^2)/(2*Inputs!$C$32^2))+-Inputs!$C$33*EXP(-(((((Model_Data!A12)-Inputs!$C$34)^2)+(((Inputs!$C$6)-Inputs!$C$35)^2))/(2*Inputs!$C$36^2)))+Inputs!$C$37*(0.55*SIN(2*PI()*(Model_Data!A12)/Inputs!$C$39)+0.35*COS(2*PI()*(Inputs!$C$6)/Inputs!$C$40)+0.2*SIN(2*PI()*((Model_Data!A12)+(Inputs!$C$6))/(0.5*(Inputs!$C$39+Inputs!$C$40))))+Inputs!$C$38*SIN(2*PI()*(Model_Data!A12)/Inputs!$C$39)*SIN(2*PI()*(Inputs!$C$6)/Inputs!$C$40)+-Inputs!$C$41*EXP(-(((Inputs!$C$6)-Inputs!$C$43)^2)/(2*Inputs!$C$44^2))*EXP(-(((Model_Data!A12)-Inputs!$C$42)^2)/(2*Inputs!$C$45^2))+Inputs!$C$48*(0.7*(0.45*SIN(2*PI()*(((Model_Data!A12)/Inputs!$C$49)+Inputs!$C$47*0.137))+0.35*COS(2*PI()*(((Inputs!$C$6)/Inputs!$C$50)+Inputs!$C$47*0.173))+0.2*SIN(2*PI()*(((Model_Data!A12)+(Inputs!$C$6))/(0.5*(Inputs!$C$49+Inputs!$C$50))+Inputs!$C$47*0.097)))+0.3*(2*((SIN(((Model_Data!A12)*12.9898+(Inputs!$C$6)*78.233+Inputs!$C$47*37.719))*43758.5453)-INT((SIN(((Model_Data!A12)*12.9898+(Inputs!$C$6)*78.233+Inputs!$C$47*37.719))*43758.5453)))-1))))/1000)^2))-(((Model_Data!B12)-((Inputs!$C$51*(115*EXP(-(((0)-25)^2)/(4.5^2))+70*EXP(-(((0)+38)^2)/(7^2))*(0.55+0.45*SIN(2*PI()*(Model_Data!A12)/45))+24*SIN(2*PI()*(0)/9+(Model_Data!A12)/18)*EXP(-(((0)+5)^2)/(22^2))+18*SIN(2*PI()*(Model_Data!A12)/70))+Inputs!$C$28*EXP(-(((Model_Data!A12)-Inputs!$C$29)^2)/(2*Inputs!$C$31^2))*EXP(-(((0)-Inputs!$C$30)^2)/(2*Inputs!$C$32^2))+-Inputs!$C$33*EXP(-(((((Model_Data!A12)-Inputs!$C$34)^2)+(((0)-Inputs!$C$35)^2))/(2*Inputs!$C$36^2)))+Inputs!$C$37*(0.55*SIN(2*PI()*(Model_Data!A12)/Inputs!$C$39)+0.35*COS(2*PI()*(0)/Inputs!$C$40)+0.2*SIN(2*PI()*((Model_Data!A12)+(0))/(0.5*(Inputs!$C$39+Inputs!$C$40))))+Inputs!$C$38*SIN(2*PI()*(Model_Data!A12)/Inputs!$C$39)*SIN(2*PI()*(0)/Inputs!$C$40)+-Inputs!$C$41*EXP(-(((0)-Inputs!$C$43)^2)/(2*Inputs!$C$44^2))*EXP(-(((Model_Data!A12)-Inputs!$C$42)^2)/(2*Inputs!$C$45^2))+Inputs!$C$48*(0.7*(0.45*SIN(2*PI()*(((Model_Data!A12)/Inputs!$C$49)+Inputs!$C$47*0.137))+0.35*COS(2*PI()*(((0)/Inputs!$C$50)+Inputs!$C$47*0.173))+0.2*SIN(2*PI()*(((Model_Data!A12)+(0))/(0.5*(Inputs!$C$49+Inputs!$C$50))+Inputs!$C$47*0.097)))+0.3*(2*((SIN(((Model_Data!A12)*12.9898+(0)*78.233+Inputs!$C$47*37.719))*43758.5453)-INT((SIN(((Model_Data!A12)*12.9898+(0)*78.233+Inputs!$C$47*37.719))*43758.5453)))-1))))/1000)))*1000/Inputs!$C$12)-Model_Data!F12)</f>
        <v>71.715834981185708</v>
      </c>
      <c r="L12" s="10"/>
      <c r="M12" s="9">
        <f>Model_Data!A12</f>
        <v>-55</v>
      </c>
      <c r="N12" s="9">
        <f>Model_Data!P12</f>
        <v>409.15829536560034</v>
      </c>
      <c r="O12" s="9">
        <f t="shared" si="0"/>
        <v>462.77938259827351</v>
      </c>
      <c r="P12" s="9">
        <f>Model_Data!Q12</f>
        <v>61.435179484324379</v>
      </c>
      <c r="Q12" s="9">
        <f t="shared" si="1"/>
        <v>69.486393783524562</v>
      </c>
      <c r="R12" s="10"/>
      <c r="S12" s="9">
        <f>Model_Data!A12</f>
        <v>-55</v>
      </c>
      <c r="T12" s="9">
        <f>Model_Data!B12-Inputs!$C$5</f>
        <v>3.3611111111110858</v>
      </c>
      <c r="U12" s="10"/>
      <c r="V12" s="9">
        <f>Model_Data!A12</f>
        <v>-55</v>
      </c>
      <c r="W12" s="9">
        <f>((SQRT((Model_Data!A12)^2+Inputs!$C$6^2+Inputs!$C$5^2)-Inputs!$C$5)*1000/Inputs!$C$12)</f>
        <v>2548.7483839189476</v>
      </c>
      <c r="X12" s="9">
        <f>Model_Data!F12</f>
        <v>2527.745531338961</v>
      </c>
      <c r="Y12" s="10"/>
      <c r="Z12" s="9">
        <f>Model_Data!A12</f>
        <v>-55</v>
      </c>
      <c r="AA12" s="9">
        <f>SQRT((Model_Data!A12)^2+Inputs!$C$6^2+((Model_Data!B12)-((Inputs!$C$51*(115*EXP(-(((Inputs!$C$6)-25)^2)/(4.5^2))+70*EXP(-(((Inputs!$C$6)+38)^2)/(7^2))*(0.55+0.45*SIN(2*PI()*(Model_Data!A12)/45))+24*SIN(2*PI()*(Inputs!$C$6)/9+(Model_Data!A12)/18)*EXP(-(((Inputs!$C$6)+5)^2)/(22^2))+18*SIN(2*PI()*(Model_Data!A12)/70))+Inputs!$C$28*EXP(-(((Model_Data!A12)-Inputs!$C$29)^2)/(2*Inputs!$C$31^2))*EXP(-(((Inputs!$C$6)-Inputs!$C$30)^2)/(2*Inputs!$C$32^2))+-Inputs!$C$33*EXP(-(((((Model_Data!A12)-Inputs!$C$34)^2)+(((Inputs!$C$6)-Inputs!$C$35)^2))/(2*Inputs!$C$36^2)))+Inputs!$C$37*(0.55*SIN(2*PI()*(Model_Data!A12)/Inputs!$C$39)+0.35*COS(2*PI()*(Inputs!$C$6)/Inputs!$C$40)+0.2*SIN(2*PI()*((Model_Data!A12)+(Inputs!$C$6))/(0.5*(Inputs!$C$39+Inputs!$C$40))))+Inputs!$C$38*SIN(2*PI()*(Model_Data!A12)/Inputs!$C$39)*SIN(2*PI()*(Inputs!$C$6)/Inputs!$C$40)+-Inputs!$C$41*EXP(-(((Inputs!$C$6)-Inputs!$C$43)^2)/(2*Inputs!$C$44^2))*EXP(-(((Model_Data!A12)-Inputs!$C$42)^2)/(2*Inputs!$C$45^2))+Inputs!$C$48*(0.7*(0.45*SIN(2*PI()*(((Model_Data!A12)/Inputs!$C$49)+Inputs!$C$47*0.137))+0.35*COS(2*PI()*(((Inputs!$C$6)/Inputs!$C$50)+Inputs!$C$47*0.173))+0.2*SIN(2*PI()*(((Model_Data!A12)+(Inputs!$C$6))/(0.5*(Inputs!$C$49+Inputs!$C$50))+Inputs!$C$47*0.097)))+0.3*(2*((SIN(((Model_Data!A12)*12.9898+(Inputs!$C$6)*78.233+Inputs!$C$47*37.719))*43758.5453)-INT((SIN(((Model_Data!A12)*12.9898+(Inputs!$C$6)*78.233+Inputs!$C$47*37.719))*43758.5453)))-1))))/1000)^2)</f>
        <v>407.68633201469618</v>
      </c>
      <c r="AB12" s="9">
        <f>1000*(AA13-AA11)/(Z13-Z11)*Inputs!$C$11</f>
        <v>-1156.9484564956838</v>
      </c>
      <c r="AC12" s="9">
        <f>-2*AB12/Inputs!$C$13</f>
        <v>462.77938259827351</v>
      </c>
      <c r="AD12" s="9">
        <f>-2*AB12/Inputs!$C$14</f>
        <v>69.486393783524562</v>
      </c>
    </row>
    <row r="13" spans="1:30">
      <c r="A13" s="9">
        <f>Model_Data!A13</f>
        <v>-54.5</v>
      </c>
      <c r="B13" s="9">
        <f>((SQRT((Model_Data!A13)^2+Inputs!$C$6^2+Inputs!$C$5^2)-Inputs!$C$5)*1000/Inputs!$C$12)</f>
        <v>2510.7283544477896</v>
      </c>
      <c r="C13" s="9">
        <f>Model_Data!F13</f>
        <v>2490.406895668812</v>
      </c>
      <c r="D13" s="9">
        <f>(((SQRT((Model_Data!A13)^2+Inputs!$C$6^2+((Model_Data!B13)-((Inputs!$C$51*(115*EXP(-(((Inputs!$C$6)-25)^2)/(4.5^2))+70*EXP(-(((Inputs!$C$6)+38)^2)/(7^2))*(0.55+0.45*SIN(2*PI()*(Model_Data!A13)/45))+24*SIN(2*PI()*(Inputs!$C$6)/9+(Model_Data!A13)/18)*EXP(-(((Inputs!$C$6)+5)^2)/(22^2))+18*SIN(2*PI()*(Model_Data!A13)/70))+Inputs!$C$28*EXP(-(((Model_Data!A13)-Inputs!$C$29)^2)/(2*Inputs!$C$31^2))*EXP(-(((Inputs!$C$6)-Inputs!$C$30)^2)/(2*Inputs!$C$32^2))+-Inputs!$C$33*EXP(-(((((Model_Data!A13)-Inputs!$C$34)^2)+(((Inputs!$C$6)-Inputs!$C$35)^2))/(2*Inputs!$C$36^2)))+Inputs!$C$37*(0.55*SIN(2*PI()*(Model_Data!A13)/Inputs!$C$39)+0.35*COS(2*PI()*(Inputs!$C$6)/Inputs!$C$40)+0.2*SIN(2*PI()*((Model_Data!A13)+(Inputs!$C$6))/(0.5*(Inputs!$C$39+Inputs!$C$40))))+Inputs!$C$38*SIN(2*PI()*(Model_Data!A13)/Inputs!$C$39)*SIN(2*PI()*(Inputs!$C$6)/Inputs!$C$40)+-Inputs!$C$41*EXP(-(((Inputs!$C$6)-Inputs!$C$43)^2)/(2*Inputs!$C$44^2))*EXP(-(((Model_Data!A13)-Inputs!$C$42)^2)/(2*Inputs!$C$45^2))+Inputs!$C$48*(0.7*(0.45*SIN(2*PI()*(((Model_Data!A13)/Inputs!$C$49)+Inputs!$C$47*0.137))+0.35*COS(2*PI()*(((Inputs!$C$6)/Inputs!$C$50)+Inputs!$C$47*0.173))+0.2*SIN(2*PI()*(((Model_Data!A13)+(Inputs!$C$6))/(0.5*(Inputs!$C$49+Inputs!$C$50))+Inputs!$C$47*0.097)))+0.3*(2*((SIN(((Model_Data!A13)*12.9898+(Inputs!$C$6)*78.233+Inputs!$C$47*37.719))*43758.5453)-INT((SIN(((Model_Data!A13)*12.9898+(Inputs!$C$6)*78.233+Inputs!$C$47*37.719))*43758.5453)))-1))))/1000)^2))-(((Model_Data!B13)-((Inputs!$C$51*(115*EXP(-(((0)-25)^2)/(4.5^2))+70*EXP(-(((0)+38)^2)/(7^2))*(0.55+0.45*SIN(2*PI()*(Model_Data!A13)/45))+24*SIN(2*PI()*(0)/9+(Model_Data!A13)/18)*EXP(-(((0)+5)^2)/(22^2))+18*SIN(2*PI()*(Model_Data!A13)/70))+Inputs!$C$28*EXP(-(((Model_Data!A13)-Inputs!$C$29)^2)/(2*Inputs!$C$31^2))*EXP(-(((0)-Inputs!$C$30)^2)/(2*Inputs!$C$32^2))+-Inputs!$C$33*EXP(-(((((Model_Data!A13)-Inputs!$C$34)^2)+(((0)-Inputs!$C$35)^2))/(2*Inputs!$C$36^2)))+Inputs!$C$37*(0.55*SIN(2*PI()*(Model_Data!A13)/Inputs!$C$39)+0.35*COS(2*PI()*(0)/Inputs!$C$40)+0.2*SIN(2*PI()*((Model_Data!A13)+(0))/(0.5*(Inputs!$C$39+Inputs!$C$40))))+Inputs!$C$38*SIN(2*PI()*(Model_Data!A13)/Inputs!$C$39)*SIN(2*PI()*(0)/Inputs!$C$40)+-Inputs!$C$41*EXP(-(((0)-Inputs!$C$43)^2)/(2*Inputs!$C$44^2))*EXP(-(((Model_Data!A13)-Inputs!$C$42)^2)/(2*Inputs!$C$45^2))+Inputs!$C$48*(0.7*(0.45*SIN(2*PI()*(((Model_Data!A13)/Inputs!$C$49)+Inputs!$C$47*0.137))+0.35*COS(2*PI()*(((0)/Inputs!$C$50)+Inputs!$C$47*0.173))+0.2*SIN(2*PI()*(((Model_Data!A13)+(0))/(0.5*(Inputs!$C$49+Inputs!$C$50))+Inputs!$C$47*0.097)))+0.3*(2*((SIN(((Model_Data!A13)*12.9898+(0)*78.233+Inputs!$C$47*37.719))*43758.5453)-INT((SIN(((Model_Data!A13)*12.9898+(0)*78.233+Inputs!$C$47*37.719))*43758.5453)))-1))))/1000)))*1000/Inputs!$C$12)</f>
        <v>2410.3393699320941</v>
      </c>
      <c r="E13" s="9">
        <f>Model_Data!A13</f>
        <v>-54.5</v>
      </c>
      <c r="F13" s="9">
        <f>(Inputs!$C$51*(115*EXP(-(((Inputs!$C$6)-25)^2)/(4.5^2))+70*EXP(-(((Inputs!$C$6)+38)^2)/(7^2))*(0.55+0.45*SIN(2*PI()*(Model_Data!A13)/45))+24*SIN(2*PI()*(Inputs!$C$6)/9+(Model_Data!A13)/18)*EXP(-(((Inputs!$C$6)+5)^2)/(22^2))+18*SIN(2*PI()*(Model_Data!A13)/70))+Inputs!$C$28*EXP(-(((Model_Data!A13)-Inputs!$C$29)^2)/(2*Inputs!$C$31^2))*EXP(-(((Inputs!$C$6)-Inputs!$C$30)^2)/(2*Inputs!$C$32^2))+-Inputs!$C$33*EXP(-(((((Model_Data!A13)-Inputs!$C$34)^2)+(((Inputs!$C$6)-Inputs!$C$35)^2))/(2*Inputs!$C$36^2)))+Inputs!$C$37*(0.55*SIN(2*PI()*(Model_Data!A13)/Inputs!$C$39)+0.35*COS(2*PI()*(Inputs!$C$6)/Inputs!$C$40)+0.2*SIN(2*PI()*((Model_Data!A13)+(Inputs!$C$6))/(0.5*(Inputs!$C$39+Inputs!$C$40))))+Inputs!$C$38*SIN(2*PI()*(Model_Data!A13)/Inputs!$C$39)*SIN(2*PI()*(Inputs!$C$6)/Inputs!$C$40)+-Inputs!$C$41*EXP(-(((Inputs!$C$6)-Inputs!$C$43)^2)/(2*Inputs!$C$44^2))*EXP(-(((Model_Data!A13)-Inputs!$C$42)^2)/(2*Inputs!$C$45^2))+Inputs!$C$48*(0.7*(0.45*SIN(2*PI()*(((Model_Data!A13)/Inputs!$C$49)+Inputs!$C$47*0.137))+0.35*COS(2*PI()*(((Inputs!$C$6)/Inputs!$C$50)+Inputs!$C$47*0.173))+0.2*SIN(2*PI()*(((Model_Data!A13)+(Inputs!$C$6))/(0.5*(Inputs!$C$49+Inputs!$C$50))+Inputs!$C$47*0.097)))+0.3*(2*((SIN(((Model_Data!A13)*12.9898+(Inputs!$C$6)*78.233+Inputs!$C$47*37.719))*43758.5453)-INT((SIN(((Model_Data!A13)*12.9898+(Inputs!$C$6)*78.233+Inputs!$C$47*37.719))*43758.5453)))-1)))</f>
        <v>194.40953580826846</v>
      </c>
      <c r="G13" s="9">
        <f>(Inputs!$C$51*(115*EXP(-(((0)-25)^2)/(4.5^2))+70*EXP(-(((0)+38)^2)/(7^2))*(0.55+0.45*SIN(2*PI()*(Model_Data!A13)/45))+24*SIN(2*PI()*(0)/9+(Model_Data!A13)/18)*EXP(-(((0)+5)^2)/(22^2))+18*SIN(2*PI()*(Model_Data!A13)/70))+Inputs!$C$28*EXP(-(((Model_Data!A13)-Inputs!$C$29)^2)/(2*Inputs!$C$31^2))*EXP(-(((0)-Inputs!$C$30)^2)/(2*Inputs!$C$32^2))+-Inputs!$C$33*EXP(-(((((Model_Data!A13)-Inputs!$C$34)^2)+(((0)-Inputs!$C$35)^2))/(2*Inputs!$C$36^2)))+Inputs!$C$37*(0.55*SIN(2*PI()*(Model_Data!A13)/Inputs!$C$39)+0.35*COS(2*PI()*(0)/Inputs!$C$40)+0.2*SIN(2*PI()*((Model_Data!A13)+(0))/(0.5*(Inputs!$C$39+Inputs!$C$40))))+Inputs!$C$38*SIN(2*PI()*(Model_Data!A13)/Inputs!$C$39)*SIN(2*PI()*(0)/Inputs!$C$40)+-Inputs!$C$41*EXP(-(((0)-Inputs!$C$43)^2)/(2*Inputs!$C$44^2))*EXP(-(((Model_Data!A13)-Inputs!$C$42)^2)/(2*Inputs!$C$45^2))+Inputs!$C$48*(0.7*(0.45*SIN(2*PI()*(((Model_Data!A13)/Inputs!$C$49)+Inputs!$C$47*0.137))+0.35*COS(2*PI()*(((0)/Inputs!$C$50)+Inputs!$C$47*0.173))+0.2*SIN(2*PI()*(((Model_Data!A13)+(0))/(0.5*(Inputs!$C$49+Inputs!$C$50))+Inputs!$C$47*0.097)))+0.3*(2*((SIN(((Model_Data!A13)*12.9898+(0)*78.233+Inputs!$C$47*37.719))*43758.5453)-INT((SIN(((Model_Data!A13)*12.9898+(0)*78.233+Inputs!$C$47*37.719))*43758.5453)))-1)))</f>
        <v>49.774693415091853</v>
      </c>
      <c r="H13" s="10"/>
      <c r="I13" s="9">
        <f>Model_Data!A13</f>
        <v>-54.5</v>
      </c>
      <c r="J13" s="9">
        <f>(Inputs!$C$51*(115*EXP(-(((Inputs!$C$6)-25)^2)/(4.5^2))+70*EXP(-(((Inputs!$C$6)+38)^2)/(7^2))*(0.55+0.45*SIN(2*PI()*(Model_Data!A13)/45))+24*SIN(2*PI()*(Inputs!$C$6)/9+(Model_Data!A13)/18)*EXP(-(((Inputs!$C$6)+5)^2)/(22^2))+18*SIN(2*PI()*(Model_Data!A13)/70))+Inputs!$C$28*EXP(-(((Model_Data!A13)-Inputs!$C$29)^2)/(2*Inputs!$C$31^2))*EXP(-(((Inputs!$C$6)-Inputs!$C$30)^2)/(2*Inputs!$C$32^2))+-Inputs!$C$33*EXP(-(((((Model_Data!A13)-Inputs!$C$34)^2)+(((Inputs!$C$6)-Inputs!$C$35)^2))/(2*Inputs!$C$36^2)))+Inputs!$C$37*(0.55*SIN(2*PI()*(Model_Data!A13)/Inputs!$C$39)+0.35*COS(2*PI()*(Inputs!$C$6)/Inputs!$C$40)+0.2*SIN(2*PI()*((Model_Data!A13)+(Inputs!$C$6))/(0.5*(Inputs!$C$39+Inputs!$C$40))))+Inputs!$C$38*SIN(2*PI()*(Model_Data!A13)/Inputs!$C$39)*SIN(2*PI()*(Inputs!$C$6)/Inputs!$C$40)+-Inputs!$C$41*EXP(-(((Inputs!$C$6)-Inputs!$C$43)^2)/(2*Inputs!$C$44^2))*EXP(-(((Model_Data!A13)-Inputs!$C$42)^2)/(2*Inputs!$C$45^2))+Inputs!$C$48*(0.7*(0.45*SIN(2*PI()*(((Model_Data!A13)/Inputs!$C$49)+Inputs!$C$47*0.137))+0.35*COS(2*PI()*(((Inputs!$C$6)/Inputs!$C$50)+Inputs!$C$47*0.173))+0.2*SIN(2*PI()*(((Model_Data!A13)+(Inputs!$C$6))/(0.5*(Inputs!$C$49+Inputs!$C$50))+Inputs!$C$47*0.097)))+0.3*(2*((SIN(((Model_Data!A13)*12.9898+(Inputs!$C$6)*78.233+Inputs!$C$47*37.719))*43758.5453)-INT((SIN(((Model_Data!A13)*12.9898+(Inputs!$C$6)*78.233+Inputs!$C$47*37.719))*43758.5453)))-1)))</f>
        <v>194.40953580826846</v>
      </c>
      <c r="K13" s="9">
        <f>-((((SQRT((Model_Data!A13)^2+Inputs!$C$6^2+((Model_Data!B13)-((Inputs!$C$51*(115*EXP(-(((Inputs!$C$6)-25)^2)/(4.5^2))+70*EXP(-(((Inputs!$C$6)+38)^2)/(7^2))*(0.55+0.45*SIN(2*PI()*(Model_Data!A13)/45))+24*SIN(2*PI()*(Inputs!$C$6)/9+(Model_Data!A13)/18)*EXP(-(((Inputs!$C$6)+5)^2)/(22^2))+18*SIN(2*PI()*(Model_Data!A13)/70))+Inputs!$C$28*EXP(-(((Model_Data!A13)-Inputs!$C$29)^2)/(2*Inputs!$C$31^2))*EXP(-(((Inputs!$C$6)-Inputs!$C$30)^2)/(2*Inputs!$C$32^2))+-Inputs!$C$33*EXP(-(((((Model_Data!A13)-Inputs!$C$34)^2)+(((Inputs!$C$6)-Inputs!$C$35)^2))/(2*Inputs!$C$36^2)))+Inputs!$C$37*(0.55*SIN(2*PI()*(Model_Data!A13)/Inputs!$C$39)+0.35*COS(2*PI()*(Inputs!$C$6)/Inputs!$C$40)+0.2*SIN(2*PI()*((Model_Data!A13)+(Inputs!$C$6))/(0.5*(Inputs!$C$39+Inputs!$C$40))))+Inputs!$C$38*SIN(2*PI()*(Model_Data!A13)/Inputs!$C$39)*SIN(2*PI()*(Inputs!$C$6)/Inputs!$C$40)+-Inputs!$C$41*EXP(-(((Inputs!$C$6)-Inputs!$C$43)^2)/(2*Inputs!$C$44^2))*EXP(-(((Model_Data!A13)-Inputs!$C$42)^2)/(2*Inputs!$C$45^2))+Inputs!$C$48*(0.7*(0.45*SIN(2*PI()*(((Model_Data!A13)/Inputs!$C$49)+Inputs!$C$47*0.137))+0.35*COS(2*PI()*(((Inputs!$C$6)/Inputs!$C$50)+Inputs!$C$47*0.173))+0.2*SIN(2*PI()*(((Model_Data!A13)+(Inputs!$C$6))/(0.5*(Inputs!$C$49+Inputs!$C$50))+Inputs!$C$47*0.097)))+0.3*(2*((SIN(((Model_Data!A13)*12.9898+(Inputs!$C$6)*78.233+Inputs!$C$47*37.719))*43758.5453)-INT((SIN(((Model_Data!A13)*12.9898+(Inputs!$C$6)*78.233+Inputs!$C$47*37.719))*43758.5453)))-1))))/1000)^2))-(((Model_Data!B13)-((Inputs!$C$51*(115*EXP(-(((0)-25)^2)/(4.5^2))+70*EXP(-(((0)+38)^2)/(7^2))*(0.55+0.45*SIN(2*PI()*(Model_Data!A13)/45))+24*SIN(2*PI()*(0)/9+(Model_Data!A13)/18)*EXP(-(((0)+5)^2)/(22^2))+18*SIN(2*PI()*(Model_Data!A13)/70))+Inputs!$C$28*EXP(-(((Model_Data!A13)-Inputs!$C$29)^2)/(2*Inputs!$C$31^2))*EXP(-(((0)-Inputs!$C$30)^2)/(2*Inputs!$C$32^2))+-Inputs!$C$33*EXP(-(((((Model_Data!A13)-Inputs!$C$34)^2)+(((0)-Inputs!$C$35)^2))/(2*Inputs!$C$36^2)))+Inputs!$C$37*(0.55*SIN(2*PI()*(Model_Data!A13)/Inputs!$C$39)+0.35*COS(2*PI()*(0)/Inputs!$C$40)+0.2*SIN(2*PI()*((Model_Data!A13)+(0))/(0.5*(Inputs!$C$39+Inputs!$C$40))))+Inputs!$C$38*SIN(2*PI()*(Model_Data!A13)/Inputs!$C$39)*SIN(2*PI()*(0)/Inputs!$C$40)+-Inputs!$C$41*EXP(-(((0)-Inputs!$C$43)^2)/(2*Inputs!$C$44^2))*EXP(-(((Model_Data!A13)-Inputs!$C$42)^2)/(2*Inputs!$C$45^2))+Inputs!$C$48*(0.7*(0.45*SIN(2*PI()*(((Model_Data!A13)/Inputs!$C$49)+Inputs!$C$47*0.137))+0.35*COS(2*PI()*(((0)/Inputs!$C$50)+Inputs!$C$47*0.173))+0.2*SIN(2*PI()*(((Model_Data!A13)+(0))/(0.5*(Inputs!$C$49+Inputs!$C$50))+Inputs!$C$47*0.097)))+0.3*(2*((SIN(((Model_Data!A13)*12.9898+(0)*78.233+Inputs!$C$47*37.719))*43758.5453)-INT((SIN(((Model_Data!A13)*12.9898+(0)*78.233+Inputs!$C$47*37.719))*43758.5453)))-1))))/1000)))*1000/Inputs!$C$12)-Model_Data!F13)</f>
        <v>80.067525736717926</v>
      </c>
      <c r="L13" s="10"/>
      <c r="M13" s="9">
        <f>Model_Data!A13</f>
        <v>-54.5</v>
      </c>
      <c r="N13" s="9">
        <f>Model_Data!P13</f>
        <v>405.5363428162093</v>
      </c>
      <c r="O13" s="9">
        <f t="shared" si="0"/>
        <v>437.73589107295265</v>
      </c>
      <c r="P13" s="9">
        <f>Model_Data!Q13</f>
        <v>60.891342765196597</v>
      </c>
      <c r="Q13" s="9">
        <f t="shared" si="1"/>
        <v>65.72610977071362</v>
      </c>
      <c r="R13" s="10"/>
      <c r="S13" s="9">
        <f>Model_Data!A13</f>
        <v>-54.5</v>
      </c>
      <c r="T13" s="9">
        <f>Model_Data!B13-Inputs!$C$5</f>
        <v>3.300277777777751</v>
      </c>
      <c r="U13" s="10"/>
      <c r="V13" s="9">
        <f>Model_Data!A13</f>
        <v>-54.5</v>
      </c>
      <c r="W13" s="9">
        <f>((SQRT((Model_Data!A13)^2+Inputs!$C$6^2+Inputs!$C$5^2)-Inputs!$C$5)*1000/Inputs!$C$12)</f>
        <v>2510.7283544477896</v>
      </c>
      <c r="X13" s="9">
        <f>Model_Data!F13</f>
        <v>2490.406895668812</v>
      </c>
      <c r="Y13" s="10"/>
      <c r="Z13" s="9">
        <f>Model_Data!A13</f>
        <v>-54.5</v>
      </c>
      <c r="AA13" s="9">
        <f>SQRT((Model_Data!A13)^2+Inputs!$C$6^2+((Model_Data!B13)-((Inputs!$C$51*(115*EXP(-(((Inputs!$C$6)-25)^2)/(4.5^2))+70*EXP(-(((Inputs!$C$6)+38)^2)/(7^2))*(0.55+0.45*SIN(2*PI()*(Model_Data!A13)/45))+24*SIN(2*PI()*(Inputs!$C$6)/9+(Model_Data!A13)/18)*EXP(-(((Inputs!$C$6)+5)^2)/(22^2))+18*SIN(2*PI()*(Model_Data!A13)/70))+Inputs!$C$28*EXP(-(((Model_Data!A13)-Inputs!$C$29)^2)/(2*Inputs!$C$31^2))*EXP(-(((Inputs!$C$6)-Inputs!$C$30)^2)/(2*Inputs!$C$32^2))+-Inputs!$C$33*EXP(-(((((Model_Data!A13)-Inputs!$C$34)^2)+(((Inputs!$C$6)-Inputs!$C$35)^2))/(2*Inputs!$C$36^2)))+Inputs!$C$37*(0.55*SIN(2*PI()*(Model_Data!A13)/Inputs!$C$39)+0.35*COS(2*PI()*(Inputs!$C$6)/Inputs!$C$40)+0.2*SIN(2*PI()*((Model_Data!A13)+(Inputs!$C$6))/(0.5*(Inputs!$C$39+Inputs!$C$40))))+Inputs!$C$38*SIN(2*PI()*(Model_Data!A13)/Inputs!$C$39)*SIN(2*PI()*(Inputs!$C$6)/Inputs!$C$40)+-Inputs!$C$41*EXP(-(((Inputs!$C$6)-Inputs!$C$43)^2)/(2*Inputs!$C$44^2))*EXP(-(((Model_Data!A13)-Inputs!$C$42)^2)/(2*Inputs!$C$45^2))+Inputs!$C$48*(0.7*(0.45*SIN(2*PI()*(((Model_Data!A13)/Inputs!$C$49)+Inputs!$C$47*0.137))+0.35*COS(2*PI()*(((Inputs!$C$6)/Inputs!$C$50)+Inputs!$C$47*0.173))+0.2*SIN(2*PI()*(((Model_Data!A13)+(Inputs!$C$6))/(0.5*(Inputs!$C$49+Inputs!$C$50))+Inputs!$C$47*0.097)))+0.3*(2*((SIN(((Model_Data!A13)*12.9898+(Inputs!$C$6)*78.233+Inputs!$C$47*37.719))*43758.5453)-INT((SIN(((Model_Data!A13)*12.9898+(Inputs!$C$6)*78.233+Inputs!$C$47*37.719))*43758.5453)))-1))))/1000)^2)</f>
        <v>407.54090716284179</v>
      </c>
      <c r="AB13" s="9">
        <f>1000*(AA14-AA12)/(Z14-Z12)*Inputs!$C$11</f>
        <v>-1094.3397276823816</v>
      </c>
      <c r="AC13" s="9">
        <f>-2*AB13/Inputs!$C$13</f>
        <v>437.73589107295265</v>
      </c>
      <c r="AD13" s="9">
        <f>-2*AB13/Inputs!$C$14</f>
        <v>65.72610977071362</v>
      </c>
    </row>
    <row r="14" spans="1:30">
      <c r="A14" s="9">
        <f>Model_Data!A14</f>
        <v>-54</v>
      </c>
      <c r="B14" s="9">
        <f>((SQRT((Model_Data!A14)^2+Inputs!$C$6^2+Inputs!$C$5^2)-Inputs!$C$5)*1000/Inputs!$C$12)</f>
        <v>2473.0492641952978</v>
      </c>
      <c r="C14" s="9">
        <f>Model_Data!F14</f>
        <v>2453.3922539609484</v>
      </c>
      <c r="D14" s="9">
        <f>(((SQRT((Model_Data!A14)^2+Inputs!$C$6^2+((Model_Data!B14)-((Inputs!$C$51*(115*EXP(-(((Inputs!$C$6)-25)^2)/(4.5^2))+70*EXP(-(((Inputs!$C$6)+38)^2)/(7^2))*(0.55+0.45*SIN(2*PI()*(Model_Data!A14)/45))+24*SIN(2*PI()*(Inputs!$C$6)/9+(Model_Data!A14)/18)*EXP(-(((Inputs!$C$6)+5)^2)/(22^2))+18*SIN(2*PI()*(Model_Data!A14)/70))+Inputs!$C$28*EXP(-(((Model_Data!A14)-Inputs!$C$29)^2)/(2*Inputs!$C$31^2))*EXP(-(((Inputs!$C$6)-Inputs!$C$30)^2)/(2*Inputs!$C$32^2))+-Inputs!$C$33*EXP(-(((((Model_Data!A14)-Inputs!$C$34)^2)+(((Inputs!$C$6)-Inputs!$C$35)^2))/(2*Inputs!$C$36^2)))+Inputs!$C$37*(0.55*SIN(2*PI()*(Model_Data!A14)/Inputs!$C$39)+0.35*COS(2*PI()*(Inputs!$C$6)/Inputs!$C$40)+0.2*SIN(2*PI()*((Model_Data!A14)+(Inputs!$C$6))/(0.5*(Inputs!$C$39+Inputs!$C$40))))+Inputs!$C$38*SIN(2*PI()*(Model_Data!A14)/Inputs!$C$39)*SIN(2*PI()*(Inputs!$C$6)/Inputs!$C$40)+-Inputs!$C$41*EXP(-(((Inputs!$C$6)-Inputs!$C$43)^2)/(2*Inputs!$C$44^2))*EXP(-(((Model_Data!A14)-Inputs!$C$42)^2)/(2*Inputs!$C$45^2))+Inputs!$C$48*(0.7*(0.45*SIN(2*PI()*(((Model_Data!A14)/Inputs!$C$49)+Inputs!$C$47*0.137))+0.35*COS(2*PI()*(((Inputs!$C$6)/Inputs!$C$50)+Inputs!$C$47*0.173))+0.2*SIN(2*PI()*(((Model_Data!A14)+(Inputs!$C$6))/(0.5*(Inputs!$C$49+Inputs!$C$50))+Inputs!$C$47*0.097)))+0.3*(2*((SIN(((Model_Data!A14)*12.9898+(Inputs!$C$6)*78.233+Inputs!$C$47*37.719))*43758.5453)-INT((SIN(((Model_Data!A14)*12.9898+(Inputs!$C$6)*78.233+Inputs!$C$47*37.719))*43758.5453)))-1))))/1000)^2))-(((Model_Data!B14)-((Inputs!$C$51*(115*EXP(-(((0)-25)^2)/(4.5^2))+70*EXP(-(((0)+38)^2)/(7^2))*(0.55+0.45*SIN(2*PI()*(Model_Data!A14)/45))+24*SIN(2*PI()*(0)/9+(Model_Data!A14)/18)*EXP(-(((0)+5)^2)/(22^2))+18*SIN(2*PI()*(Model_Data!A14)/70))+Inputs!$C$28*EXP(-(((Model_Data!A14)-Inputs!$C$29)^2)/(2*Inputs!$C$31^2))*EXP(-(((0)-Inputs!$C$30)^2)/(2*Inputs!$C$32^2))+-Inputs!$C$33*EXP(-(((((Model_Data!A14)-Inputs!$C$34)^2)+(((0)-Inputs!$C$35)^2))/(2*Inputs!$C$36^2)))+Inputs!$C$37*(0.55*SIN(2*PI()*(Model_Data!A14)/Inputs!$C$39)+0.35*COS(2*PI()*(0)/Inputs!$C$40)+0.2*SIN(2*PI()*((Model_Data!A14)+(0))/(0.5*(Inputs!$C$39+Inputs!$C$40))))+Inputs!$C$38*SIN(2*PI()*(Model_Data!A14)/Inputs!$C$39)*SIN(2*PI()*(0)/Inputs!$C$40)+-Inputs!$C$41*EXP(-(((0)-Inputs!$C$43)^2)/(2*Inputs!$C$44^2))*EXP(-(((Model_Data!A14)-Inputs!$C$42)^2)/(2*Inputs!$C$45^2))+Inputs!$C$48*(0.7*(0.45*SIN(2*PI()*(((Model_Data!A14)/Inputs!$C$49)+Inputs!$C$47*0.137))+0.35*COS(2*PI()*(((0)/Inputs!$C$50)+Inputs!$C$47*0.173))+0.2*SIN(2*PI()*(((Model_Data!A14)+(0))/(0.5*(Inputs!$C$49+Inputs!$C$50))+Inputs!$C$47*0.097)))+0.3*(2*((SIN(((Model_Data!A14)*12.9898+(0)*78.233+Inputs!$C$47*37.719))*43758.5453)-INT((SIN(((Model_Data!A14)*12.9898+(0)*78.233+Inputs!$C$47*37.719))*43758.5453)))-1))))/1000)))*1000/Inputs!$C$12)</f>
        <v>2365.540880248765</v>
      </c>
      <c r="E14" s="9">
        <f>Model_Data!A14</f>
        <v>-54</v>
      </c>
      <c r="F14" s="9">
        <f>(Inputs!$C$51*(115*EXP(-(((Inputs!$C$6)-25)^2)/(4.5^2))+70*EXP(-(((Inputs!$C$6)+38)^2)/(7^2))*(0.55+0.45*SIN(2*PI()*(Model_Data!A14)/45))+24*SIN(2*PI()*(Inputs!$C$6)/9+(Model_Data!A14)/18)*EXP(-(((Inputs!$C$6)+5)^2)/(22^2))+18*SIN(2*PI()*(Model_Data!A14)/70))+Inputs!$C$28*EXP(-(((Model_Data!A14)-Inputs!$C$29)^2)/(2*Inputs!$C$31^2))*EXP(-(((Inputs!$C$6)-Inputs!$C$30)^2)/(2*Inputs!$C$32^2))+-Inputs!$C$33*EXP(-(((((Model_Data!A14)-Inputs!$C$34)^2)+(((Inputs!$C$6)-Inputs!$C$35)^2))/(2*Inputs!$C$36^2)))+Inputs!$C$37*(0.55*SIN(2*PI()*(Model_Data!A14)/Inputs!$C$39)+0.35*COS(2*PI()*(Inputs!$C$6)/Inputs!$C$40)+0.2*SIN(2*PI()*((Model_Data!A14)+(Inputs!$C$6))/(0.5*(Inputs!$C$39+Inputs!$C$40))))+Inputs!$C$38*SIN(2*PI()*(Model_Data!A14)/Inputs!$C$39)*SIN(2*PI()*(Inputs!$C$6)/Inputs!$C$40)+-Inputs!$C$41*EXP(-(((Inputs!$C$6)-Inputs!$C$43)^2)/(2*Inputs!$C$44^2))*EXP(-(((Model_Data!A14)-Inputs!$C$42)^2)/(2*Inputs!$C$45^2))+Inputs!$C$48*(0.7*(0.45*SIN(2*PI()*(((Model_Data!A14)/Inputs!$C$49)+Inputs!$C$47*0.137))+0.35*COS(2*PI()*(((Inputs!$C$6)/Inputs!$C$50)+Inputs!$C$47*0.173))+0.2*SIN(2*PI()*(((Model_Data!A14)+(Inputs!$C$6))/(0.5*(Inputs!$C$49+Inputs!$C$50))+Inputs!$C$47*0.097)))+0.3*(2*((SIN(((Model_Data!A14)*12.9898+(Inputs!$C$6)*78.233+Inputs!$C$47*37.719))*43758.5453)-INT((SIN(((Model_Data!A14)*12.9898+(Inputs!$C$6)*78.233+Inputs!$C$47*37.719))*43758.5453)))-1)))</f>
        <v>196.39629745562698</v>
      </c>
      <c r="G14" s="9">
        <f>(Inputs!$C$51*(115*EXP(-(((0)-25)^2)/(4.5^2))+70*EXP(-(((0)+38)^2)/(7^2))*(0.55+0.45*SIN(2*PI()*(Model_Data!A14)/45))+24*SIN(2*PI()*(0)/9+(Model_Data!A14)/18)*EXP(-(((0)+5)^2)/(22^2))+18*SIN(2*PI()*(Model_Data!A14)/70))+Inputs!$C$28*EXP(-(((Model_Data!A14)-Inputs!$C$29)^2)/(2*Inputs!$C$31^2))*EXP(-(((0)-Inputs!$C$30)^2)/(2*Inputs!$C$32^2))+-Inputs!$C$33*EXP(-(((((Model_Data!A14)-Inputs!$C$34)^2)+(((0)-Inputs!$C$35)^2))/(2*Inputs!$C$36^2)))+Inputs!$C$37*(0.55*SIN(2*PI()*(Model_Data!A14)/Inputs!$C$39)+0.35*COS(2*PI()*(0)/Inputs!$C$40)+0.2*SIN(2*PI()*((Model_Data!A14)+(0))/(0.5*(Inputs!$C$39+Inputs!$C$40))))+Inputs!$C$38*SIN(2*PI()*(Model_Data!A14)/Inputs!$C$39)*SIN(2*PI()*(0)/Inputs!$C$40)+-Inputs!$C$41*EXP(-(((0)-Inputs!$C$43)^2)/(2*Inputs!$C$44^2))*EXP(-(((Model_Data!A14)-Inputs!$C$42)^2)/(2*Inputs!$C$45^2))+Inputs!$C$48*(0.7*(0.45*SIN(2*PI()*(((Model_Data!A14)/Inputs!$C$49)+Inputs!$C$47*0.137))+0.35*COS(2*PI()*(((0)/Inputs!$C$50)+Inputs!$C$47*0.173))+0.2*SIN(2*PI()*(((Model_Data!A14)+(0))/(0.5*(Inputs!$C$49+Inputs!$C$50))+Inputs!$C$47*0.097)))+0.3*(2*((SIN(((Model_Data!A14)*12.9898+(0)*78.233+Inputs!$C$47*37.719))*43758.5453)-INT((SIN(((Model_Data!A14)*12.9898+(0)*78.233+Inputs!$C$47*37.719))*43758.5453)))-1)))</f>
        <v>37.915684067232107</v>
      </c>
      <c r="H14" s="10"/>
      <c r="I14" s="9">
        <f>Model_Data!A14</f>
        <v>-54</v>
      </c>
      <c r="J14" s="9">
        <f>(Inputs!$C$51*(115*EXP(-(((Inputs!$C$6)-25)^2)/(4.5^2))+70*EXP(-(((Inputs!$C$6)+38)^2)/(7^2))*(0.55+0.45*SIN(2*PI()*(Model_Data!A14)/45))+24*SIN(2*PI()*(Inputs!$C$6)/9+(Model_Data!A14)/18)*EXP(-(((Inputs!$C$6)+5)^2)/(22^2))+18*SIN(2*PI()*(Model_Data!A14)/70))+Inputs!$C$28*EXP(-(((Model_Data!A14)-Inputs!$C$29)^2)/(2*Inputs!$C$31^2))*EXP(-(((Inputs!$C$6)-Inputs!$C$30)^2)/(2*Inputs!$C$32^2))+-Inputs!$C$33*EXP(-(((((Model_Data!A14)-Inputs!$C$34)^2)+(((Inputs!$C$6)-Inputs!$C$35)^2))/(2*Inputs!$C$36^2)))+Inputs!$C$37*(0.55*SIN(2*PI()*(Model_Data!A14)/Inputs!$C$39)+0.35*COS(2*PI()*(Inputs!$C$6)/Inputs!$C$40)+0.2*SIN(2*PI()*((Model_Data!A14)+(Inputs!$C$6))/(0.5*(Inputs!$C$39+Inputs!$C$40))))+Inputs!$C$38*SIN(2*PI()*(Model_Data!A14)/Inputs!$C$39)*SIN(2*PI()*(Inputs!$C$6)/Inputs!$C$40)+-Inputs!$C$41*EXP(-(((Inputs!$C$6)-Inputs!$C$43)^2)/(2*Inputs!$C$44^2))*EXP(-(((Model_Data!A14)-Inputs!$C$42)^2)/(2*Inputs!$C$45^2))+Inputs!$C$48*(0.7*(0.45*SIN(2*PI()*(((Model_Data!A14)/Inputs!$C$49)+Inputs!$C$47*0.137))+0.35*COS(2*PI()*(((Inputs!$C$6)/Inputs!$C$50)+Inputs!$C$47*0.173))+0.2*SIN(2*PI()*(((Model_Data!A14)+(Inputs!$C$6))/(0.5*(Inputs!$C$49+Inputs!$C$50))+Inputs!$C$47*0.097)))+0.3*(2*((SIN(((Model_Data!A14)*12.9898+(Inputs!$C$6)*78.233+Inputs!$C$47*37.719))*43758.5453)-INT((SIN(((Model_Data!A14)*12.9898+(Inputs!$C$6)*78.233+Inputs!$C$47*37.719))*43758.5453)))-1)))</f>
        <v>196.39629745562698</v>
      </c>
      <c r="K14" s="9">
        <f>-((((SQRT((Model_Data!A14)^2+Inputs!$C$6^2+((Model_Data!B14)-((Inputs!$C$51*(115*EXP(-(((Inputs!$C$6)-25)^2)/(4.5^2))+70*EXP(-(((Inputs!$C$6)+38)^2)/(7^2))*(0.55+0.45*SIN(2*PI()*(Model_Data!A14)/45))+24*SIN(2*PI()*(Inputs!$C$6)/9+(Model_Data!A14)/18)*EXP(-(((Inputs!$C$6)+5)^2)/(22^2))+18*SIN(2*PI()*(Model_Data!A14)/70))+Inputs!$C$28*EXP(-(((Model_Data!A14)-Inputs!$C$29)^2)/(2*Inputs!$C$31^2))*EXP(-(((Inputs!$C$6)-Inputs!$C$30)^2)/(2*Inputs!$C$32^2))+-Inputs!$C$33*EXP(-(((((Model_Data!A14)-Inputs!$C$34)^2)+(((Inputs!$C$6)-Inputs!$C$35)^2))/(2*Inputs!$C$36^2)))+Inputs!$C$37*(0.55*SIN(2*PI()*(Model_Data!A14)/Inputs!$C$39)+0.35*COS(2*PI()*(Inputs!$C$6)/Inputs!$C$40)+0.2*SIN(2*PI()*((Model_Data!A14)+(Inputs!$C$6))/(0.5*(Inputs!$C$39+Inputs!$C$40))))+Inputs!$C$38*SIN(2*PI()*(Model_Data!A14)/Inputs!$C$39)*SIN(2*PI()*(Inputs!$C$6)/Inputs!$C$40)+-Inputs!$C$41*EXP(-(((Inputs!$C$6)-Inputs!$C$43)^2)/(2*Inputs!$C$44^2))*EXP(-(((Model_Data!A14)-Inputs!$C$42)^2)/(2*Inputs!$C$45^2))+Inputs!$C$48*(0.7*(0.45*SIN(2*PI()*(((Model_Data!A14)/Inputs!$C$49)+Inputs!$C$47*0.137))+0.35*COS(2*PI()*(((Inputs!$C$6)/Inputs!$C$50)+Inputs!$C$47*0.173))+0.2*SIN(2*PI()*(((Model_Data!A14)+(Inputs!$C$6))/(0.5*(Inputs!$C$49+Inputs!$C$50))+Inputs!$C$47*0.097)))+0.3*(2*((SIN(((Model_Data!A14)*12.9898+(Inputs!$C$6)*78.233+Inputs!$C$47*37.719))*43758.5453)-INT((SIN(((Model_Data!A14)*12.9898+(Inputs!$C$6)*78.233+Inputs!$C$47*37.719))*43758.5453)))-1))))/1000)^2))-(((Model_Data!B14)-((Inputs!$C$51*(115*EXP(-(((0)-25)^2)/(4.5^2))+70*EXP(-(((0)+38)^2)/(7^2))*(0.55+0.45*SIN(2*PI()*(Model_Data!A14)/45))+24*SIN(2*PI()*(0)/9+(Model_Data!A14)/18)*EXP(-(((0)+5)^2)/(22^2))+18*SIN(2*PI()*(Model_Data!A14)/70))+Inputs!$C$28*EXP(-(((Model_Data!A14)-Inputs!$C$29)^2)/(2*Inputs!$C$31^2))*EXP(-(((0)-Inputs!$C$30)^2)/(2*Inputs!$C$32^2))+-Inputs!$C$33*EXP(-(((((Model_Data!A14)-Inputs!$C$34)^2)+(((0)-Inputs!$C$35)^2))/(2*Inputs!$C$36^2)))+Inputs!$C$37*(0.55*SIN(2*PI()*(Model_Data!A14)/Inputs!$C$39)+0.35*COS(2*PI()*(0)/Inputs!$C$40)+0.2*SIN(2*PI()*((Model_Data!A14)+(0))/(0.5*(Inputs!$C$39+Inputs!$C$40))))+Inputs!$C$38*SIN(2*PI()*(Model_Data!A14)/Inputs!$C$39)*SIN(2*PI()*(0)/Inputs!$C$40)+-Inputs!$C$41*EXP(-(((0)-Inputs!$C$43)^2)/(2*Inputs!$C$44^2))*EXP(-(((Model_Data!A14)-Inputs!$C$42)^2)/(2*Inputs!$C$45^2))+Inputs!$C$48*(0.7*(0.45*SIN(2*PI()*(((Model_Data!A14)/Inputs!$C$49)+Inputs!$C$47*0.137))+0.35*COS(2*PI()*(((0)/Inputs!$C$50)+Inputs!$C$47*0.173))+0.2*SIN(2*PI()*(((Model_Data!A14)+(0))/(0.5*(Inputs!$C$49+Inputs!$C$50))+Inputs!$C$47*0.097)))+0.3*(2*((SIN(((Model_Data!A14)*12.9898+(0)*78.233+Inputs!$C$47*37.719))*43758.5453)-INT((SIN(((Model_Data!A14)*12.9898+(0)*78.233+Inputs!$C$47*37.719))*43758.5453)))-1))))/1000)))*1000/Inputs!$C$12)-Model_Data!F14)</f>
        <v>87.851373712183431</v>
      </c>
      <c r="L14" s="10"/>
      <c r="M14" s="9">
        <f>Model_Data!A14</f>
        <v>-54</v>
      </c>
      <c r="N14" s="9">
        <f>Model_Data!P14</f>
        <v>401.91180387511952</v>
      </c>
      <c r="O14" s="9">
        <f t="shared" si="0"/>
        <v>434.677397512678</v>
      </c>
      <c r="P14" s="9">
        <f>Model_Data!Q14</f>
        <v>60.347117698966905</v>
      </c>
      <c r="Q14" s="9">
        <f t="shared" si="1"/>
        <v>65.266876503405115</v>
      </c>
      <c r="R14" s="10"/>
      <c r="S14" s="9">
        <f>Model_Data!A14</f>
        <v>-54</v>
      </c>
      <c r="T14" s="9">
        <f>Model_Data!B14-Inputs!$C$5</f>
        <v>3.2400000000000091</v>
      </c>
      <c r="U14" s="10"/>
      <c r="V14" s="9">
        <f>Model_Data!A14</f>
        <v>-54</v>
      </c>
      <c r="W14" s="9">
        <f>((SQRT((Model_Data!A14)^2+Inputs!$C$6^2+Inputs!$C$5^2)-Inputs!$C$5)*1000/Inputs!$C$12)</f>
        <v>2473.0492641952978</v>
      </c>
      <c r="X14" s="9">
        <f>Model_Data!F14</f>
        <v>2453.3922539609484</v>
      </c>
      <c r="Y14" s="10"/>
      <c r="Z14" s="9">
        <f>Model_Data!A14</f>
        <v>-54</v>
      </c>
      <c r="AA14" s="9">
        <f>SQRT((Model_Data!A14)^2+Inputs!$C$6^2+((Model_Data!B14)-((Inputs!$C$51*(115*EXP(-(((Inputs!$C$6)-25)^2)/(4.5^2))+70*EXP(-(((Inputs!$C$6)+38)^2)/(7^2))*(0.55+0.45*SIN(2*PI()*(Model_Data!A14)/45))+24*SIN(2*PI()*(Inputs!$C$6)/9+(Model_Data!A14)/18)*EXP(-(((Inputs!$C$6)+5)^2)/(22^2))+18*SIN(2*PI()*(Model_Data!A14)/70))+Inputs!$C$28*EXP(-(((Model_Data!A14)-Inputs!$C$29)^2)/(2*Inputs!$C$31^2))*EXP(-(((Inputs!$C$6)-Inputs!$C$30)^2)/(2*Inputs!$C$32^2))+-Inputs!$C$33*EXP(-(((((Model_Data!A14)-Inputs!$C$34)^2)+(((Inputs!$C$6)-Inputs!$C$35)^2))/(2*Inputs!$C$36^2)))+Inputs!$C$37*(0.55*SIN(2*PI()*(Model_Data!A14)/Inputs!$C$39)+0.35*COS(2*PI()*(Inputs!$C$6)/Inputs!$C$40)+0.2*SIN(2*PI()*((Model_Data!A14)+(Inputs!$C$6))/(0.5*(Inputs!$C$39+Inputs!$C$40))))+Inputs!$C$38*SIN(2*PI()*(Model_Data!A14)/Inputs!$C$39)*SIN(2*PI()*(Inputs!$C$6)/Inputs!$C$40)+-Inputs!$C$41*EXP(-(((Inputs!$C$6)-Inputs!$C$43)^2)/(2*Inputs!$C$44^2))*EXP(-(((Model_Data!A14)-Inputs!$C$42)^2)/(2*Inputs!$C$45^2))+Inputs!$C$48*(0.7*(0.45*SIN(2*PI()*(((Model_Data!A14)/Inputs!$C$49)+Inputs!$C$47*0.137))+0.35*COS(2*PI()*(((Inputs!$C$6)/Inputs!$C$50)+Inputs!$C$47*0.173))+0.2*SIN(2*PI()*(((Model_Data!A14)+(Inputs!$C$6))/(0.5*(Inputs!$C$49+Inputs!$C$50))+Inputs!$C$47*0.097)))+0.3*(2*((SIN(((Model_Data!A14)*12.9898+(Inputs!$C$6)*78.233+Inputs!$C$47*37.719))*43758.5453)-INT((SIN(((Model_Data!A14)*12.9898+(Inputs!$C$6)*78.233+Inputs!$C$47*37.719))*43758.5453)))-1))))/1000)^2)</f>
        <v>407.41274708277558</v>
      </c>
      <c r="AB14" s="9">
        <f>1000*(AA15-AA13)/(Z15-Z13)*Inputs!$C$11</f>
        <v>-1086.693493781695</v>
      </c>
      <c r="AC14" s="9">
        <f>-2*AB14/Inputs!$C$13</f>
        <v>434.677397512678</v>
      </c>
      <c r="AD14" s="9">
        <f>-2*AB14/Inputs!$C$14</f>
        <v>65.266876503405115</v>
      </c>
    </row>
    <row r="15" spans="1:30">
      <c r="A15" s="9">
        <f>Model_Data!A15</f>
        <v>-53.5</v>
      </c>
      <c r="B15" s="9">
        <f>((SQRT((Model_Data!A15)^2+Inputs!$C$6^2+Inputs!$C$5^2)-Inputs!$C$5)*1000/Inputs!$C$12)</f>
        <v>2435.7112828204276</v>
      </c>
      <c r="C15" s="9">
        <f>Model_Data!F15</f>
        <v>2416.7020585545083</v>
      </c>
      <c r="D15" s="9">
        <f>(((SQRT((Model_Data!A15)^2+Inputs!$C$6^2+((Model_Data!B15)-((Inputs!$C$51*(115*EXP(-(((Inputs!$C$6)-25)^2)/(4.5^2))+70*EXP(-(((Inputs!$C$6)+38)^2)/(7^2))*(0.55+0.45*SIN(2*PI()*(Model_Data!A15)/45))+24*SIN(2*PI()*(Inputs!$C$6)/9+(Model_Data!A15)/18)*EXP(-(((Inputs!$C$6)+5)^2)/(22^2))+18*SIN(2*PI()*(Model_Data!A15)/70))+Inputs!$C$28*EXP(-(((Model_Data!A15)-Inputs!$C$29)^2)/(2*Inputs!$C$31^2))*EXP(-(((Inputs!$C$6)-Inputs!$C$30)^2)/(2*Inputs!$C$32^2))+-Inputs!$C$33*EXP(-(((((Model_Data!A15)-Inputs!$C$34)^2)+(((Inputs!$C$6)-Inputs!$C$35)^2))/(2*Inputs!$C$36^2)))+Inputs!$C$37*(0.55*SIN(2*PI()*(Model_Data!A15)/Inputs!$C$39)+0.35*COS(2*PI()*(Inputs!$C$6)/Inputs!$C$40)+0.2*SIN(2*PI()*((Model_Data!A15)+(Inputs!$C$6))/(0.5*(Inputs!$C$39+Inputs!$C$40))))+Inputs!$C$38*SIN(2*PI()*(Model_Data!A15)/Inputs!$C$39)*SIN(2*PI()*(Inputs!$C$6)/Inputs!$C$40)+-Inputs!$C$41*EXP(-(((Inputs!$C$6)-Inputs!$C$43)^2)/(2*Inputs!$C$44^2))*EXP(-(((Model_Data!A15)-Inputs!$C$42)^2)/(2*Inputs!$C$45^2))+Inputs!$C$48*(0.7*(0.45*SIN(2*PI()*(((Model_Data!A15)/Inputs!$C$49)+Inputs!$C$47*0.137))+0.35*COS(2*PI()*(((Inputs!$C$6)/Inputs!$C$50)+Inputs!$C$47*0.173))+0.2*SIN(2*PI()*(((Model_Data!A15)+(Inputs!$C$6))/(0.5*(Inputs!$C$49+Inputs!$C$50))+Inputs!$C$47*0.097)))+0.3*(2*((SIN(((Model_Data!A15)*12.9898+(Inputs!$C$6)*78.233+Inputs!$C$47*37.719))*43758.5453)-INT((SIN(((Model_Data!A15)*12.9898+(Inputs!$C$6)*78.233+Inputs!$C$47*37.719))*43758.5453)))-1))))/1000)^2))-(((Model_Data!B15)-((Inputs!$C$51*(115*EXP(-(((0)-25)^2)/(4.5^2))+70*EXP(-(((0)+38)^2)/(7^2))*(0.55+0.45*SIN(2*PI()*(Model_Data!A15)/45))+24*SIN(2*PI()*(0)/9+(Model_Data!A15)/18)*EXP(-(((0)+5)^2)/(22^2))+18*SIN(2*PI()*(Model_Data!A15)/70))+Inputs!$C$28*EXP(-(((Model_Data!A15)-Inputs!$C$29)^2)/(2*Inputs!$C$31^2))*EXP(-(((0)-Inputs!$C$30)^2)/(2*Inputs!$C$32^2))+-Inputs!$C$33*EXP(-(((((Model_Data!A15)-Inputs!$C$34)^2)+(((0)-Inputs!$C$35)^2))/(2*Inputs!$C$36^2)))+Inputs!$C$37*(0.55*SIN(2*PI()*(Model_Data!A15)/Inputs!$C$39)+0.35*COS(2*PI()*(0)/Inputs!$C$40)+0.2*SIN(2*PI()*((Model_Data!A15)+(0))/(0.5*(Inputs!$C$39+Inputs!$C$40))))+Inputs!$C$38*SIN(2*PI()*(Model_Data!A15)/Inputs!$C$39)*SIN(2*PI()*(0)/Inputs!$C$40)+-Inputs!$C$41*EXP(-(((0)-Inputs!$C$43)^2)/(2*Inputs!$C$44^2))*EXP(-(((Model_Data!A15)-Inputs!$C$42)^2)/(2*Inputs!$C$45^2))+Inputs!$C$48*(0.7*(0.45*SIN(2*PI()*(((Model_Data!A15)/Inputs!$C$49)+Inputs!$C$47*0.137))+0.35*COS(2*PI()*(((0)/Inputs!$C$50)+Inputs!$C$47*0.173))+0.2*SIN(2*PI()*(((Model_Data!A15)+(0))/(0.5*(Inputs!$C$49+Inputs!$C$50))+Inputs!$C$47*0.097)))+0.3*(2*((SIN(((Model_Data!A15)*12.9898+(0)*78.233+Inputs!$C$47*37.719))*43758.5453)-INT((SIN(((Model_Data!A15)*12.9898+(0)*78.233+Inputs!$C$47*37.719))*43758.5453)))-1))))/1000)))*1000/Inputs!$C$12)</f>
        <v>2324.8661258158404</v>
      </c>
      <c r="E15" s="9">
        <f>Model_Data!A15</f>
        <v>-53.5</v>
      </c>
      <c r="F15" s="9">
        <f>(Inputs!$C$51*(115*EXP(-(((Inputs!$C$6)-25)^2)/(4.5^2))+70*EXP(-(((Inputs!$C$6)+38)^2)/(7^2))*(0.55+0.45*SIN(2*PI()*(Model_Data!A15)/45))+24*SIN(2*PI()*(Inputs!$C$6)/9+(Model_Data!A15)/18)*EXP(-(((Inputs!$C$6)+5)^2)/(22^2))+18*SIN(2*PI()*(Model_Data!A15)/70))+Inputs!$C$28*EXP(-(((Model_Data!A15)-Inputs!$C$29)^2)/(2*Inputs!$C$31^2))*EXP(-(((Inputs!$C$6)-Inputs!$C$30)^2)/(2*Inputs!$C$32^2))+-Inputs!$C$33*EXP(-(((((Model_Data!A15)-Inputs!$C$34)^2)+(((Inputs!$C$6)-Inputs!$C$35)^2))/(2*Inputs!$C$36^2)))+Inputs!$C$37*(0.55*SIN(2*PI()*(Model_Data!A15)/Inputs!$C$39)+0.35*COS(2*PI()*(Inputs!$C$6)/Inputs!$C$40)+0.2*SIN(2*PI()*((Model_Data!A15)+(Inputs!$C$6))/(0.5*(Inputs!$C$39+Inputs!$C$40))))+Inputs!$C$38*SIN(2*PI()*(Model_Data!A15)/Inputs!$C$39)*SIN(2*PI()*(Inputs!$C$6)/Inputs!$C$40)+-Inputs!$C$41*EXP(-(((Inputs!$C$6)-Inputs!$C$43)^2)/(2*Inputs!$C$44^2))*EXP(-(((Model_Data!A15)-Inputs!$C$42)^2)/(2*Inputs!$C$45^2))+Inputs!$C$48*(0.7*(0.45*SIN(2*PI()*(((Model_Data!A15)/Inputs!$C$49)+Inputs!$C$47*0.137))+0.35*COS(2*PI()*(((Inputs!$C$6)/Inputs!$C$50)+Inputs!$C$47*0.173))+0.2*SIN(2*PI()*(((Model_Data!A15)+(Inputs!$C$6))/(0.5*(Inputs!$C$49+Inputs!$C$50))+Inputs!$C$47*0.097)))+0.3*(2*((SIN(((Model_Data!A15)*12.9898+(Inputs!$C$6)*78.233+Inputs!$C$47*37.719))*43758.5453)-INT((SIN(((Model_Data!A15)*12.9898+(Inputs!$C$6)*78.233+Inputs!$C$47*37.719))*43758.5453)))-1)))</f>
        <v>215.04504497494062</v>
      </c>
      <c r="G15" s="9">
        <f>(Inputs!$C$51*(115*EXP(-(((0)-25)^2)/(4.5^2))+70*EXP(-(((0)+38)^2)/(7^2))*(0.55+0.45*SIN(2*PI()*(Model_Data!A15)/45))+24*SIN(2*PI()*(0)/9+(Model_Data!A15)/18)*EXP(-(((0)+5)^2)/(22^2))+18*SIN(2*PI()*(Model_Data!A15)/70))+Inputs!$C$28*EXP(-(((Model_Data!A15)-Inputs!$C$29)^2)/(2*Inputs!$C$31^2))*EXP(-(((0)-Inputs!$C$30)^2)/(2*Inputs!$C$32^2))+-Inputs!$C$33*EXP(-(((((Model_Data!A15)-Inputs!$C$34)^2)+(((0)-Inputs!$C$35)^2))/(2*Inputs!$C$36^2)))+Inputs!$C$37*(0.55*SIN(2*PI()*(Model_Data!A15)/Inputs!$C$39)+0.35*COS(2*PI()*(0)/Inputs!$C$40)+0.2*SIN(2*PI()*((Model_Data!A15)+(0))/(0.5*(Inputs!$C$39+Inputs!$C$40))))+Inputs!$C$38*SIN(2*PI()*(Model_Data!A15)/Inputs!$C$39)*SIN(2*PI()*(0)/Inputs!$C$40)+-Inputs!$C$41*EXP(-(((0)-Inputs!$C$43)^2)/(2*Inputs!$C$44^2))*EXP(-(((Model_Data!A15)-Inputs!$C$42)^2)/(2*Inputs!$C$45^2))+Inputs!$C$48*(0.7*(0.45*SIN(2*PI()*(((Model_Data!A15)/Inputs!$C$49)+Inputs!$C$47*0.137))+0.35*COS(2*PI()*(((0)/Inputs!$C$50)+Inputs!$C$47*0.173))+0.2*SIN(2*PI()*(((Model_Data!A15)+(0))/(0.5*(Inputs!$C$49+Inputs!$C$50))+Inputs!$C$47*0.097)))+0.3*(2*((SIN(((Model_Data!A15)*12.9898+(0)*78.233+Inputs!$C$47*37.719))*43758.5453)-INT((SIN(((Model_Data!A15)*12.9898+(0)*78.233+Inputs!$C$47*37.719))*43758.5453)))-1)))</f>
        <v>49.305692333608725</v>
      </c>
      <c r="H15" s="10"/>
      <c r="I15" s="9">
        <f>Model_Data!A15</f>
        <v>-53.5</v>
      </c>
      <c r="J15" s="9">
        <f>(Inputs!$C$51*(115*EXP(-(((Inputs!$C$6)-25)^2)/(4.5^2))+70*EXP(-(((Inputs!$C$6)+38)^2)/(7^2))*(0.55+0.45*SIN(2*PI()*(Model_Data!A15)/45))+24*SIN(2*PI()*(Inputs!$C$6)/9+(Model_Data!A15)/18)*EXP(-(((Inputs!$C$6)+5)^2)/(22^2))+18*SIN(2*PI()*(Model_Data!A15)/70))+Inputs!$C$28*EXP(-(((Model_Data!A15)-Inputs!$C$29)^2)/(2*Inputs!$C$31^2))*EXP(-(((Inputs!$C$6)-Inputs!$C$30)^2)/(2*Inputs!$C$32^2))+-Inputs!$C$33*EXP(-(((((Model_Data!A15)-Inputs!$C$34)^2)+(((Inputs!$C$6)-Inputs!$C$35)^2))/(2*Inputs!$C$36^2)))+Inputs!$C$37*(0.55*SIN(2*PI()*(Model_Data!A15)/Inputs!$C$39)+0.35*COS(2*PI()*(Inputs!$C$6)/Inputs!$C$40)+0.2*SIN(2*PI()*((Model_Data!A15)+(Inputs!$C$6))/(0.5*(Inputs!$C$39+Inputs!$C$40))))+Inputs!$C$38*SIN(2*PI()*(Model_Data!A15)/Inputs!$C$39)*SIN(2*PI()*(Inputs!$C$6)/Inputs!$C$40)+-Inputs!$C$41*EXP(-(((Inputs!$C$6)-Inputs!$C$43)^2)/(2*Inputs!$C$44^2))*EXP(-(((Model_Data!A15)-Inputs!$C$42)^2)/(2*Inputs!$C$45^2))+Inputs!$C$48*(0.7*(0.45*SIN(2*PI()*(((Model_Data!A15)/Inputs!$C$49)+Inputs!$C$47*0.137))+0.35*COS(2*PI()*(((Inputs!$C$6)/Inputs!$C$50)+Inputs!$C$47*0.173))+0.2*SIN(2*PI()*(((Model_Data!A15)+(Inputs!$C$6))/(0.5*(Inputs!$C$49+Inputs!$C$50))+Inputs!$C$47*0.097)))+0.3*(2*((SIN(((Model_Data!A15)*12.9898+(Inputs!$C$6)*78.233+Inputs!$C$47*37.719))*43758.5453)-INT((SIN(((Model_Data!A15)*12.9898+(Inputs!$C$6)*78.233+Inputs!$C$47*37.719))*43758.5453)))-1)))</f>
        <v>215.04504497494062</v>
      </c>
      <c r="K15" s="9">
        <f>-((((SQRT((Model_Data!A15)^2+Inputs!$C$6^2+((Model_Data!B15)-((Inputs!$C$51*(115*EXP(-(((Inputs!$C$6)-25)^2)/(4.5^2))+70*EXP(-(((Inputs!$C$6)+38)^2)/(7^2))*(0.55+0.45*SIN(2*PI()*(Model_Data!A15)/45))+24*SIN(2*PI()*(Inputs!$C$6)/9+(Model_Data!A15)/18)*EXP(-(((Inputs!$C$6)+5)^2)/(22^2))+18*SIN(2*PI()*(Model_Data!A15)/70))+Inputs!$C$28*EXP(-(((Model_Data!A15)-Inputs!$C$29)^2)/(2*Inputs!$C$31^2))*EXP(-(((Inputs!$C$6)-Inputs!$C$30)^2)/(2*Inputs!$C$32^2))+-Inputs!$C$33*EXP(-(((((Model_Data!A15)-Inputs!$C$34)^2)+(((Inputs!$C$6)-Inputs!$C$35)^2))/(2*Inputs!$C$36^2)))+Inputs!$C$37*(0.55*SIN(2*PI()*(Model_Data!A15)/Inputs!$C$39)+0.35*COS(2*PI()*(Inputs!$C$6)/Inputs!$C$40)+0.2*SIN(2*PI()*((Model_Data!A15)+(Inputs!$C$6))/(0.5*(Inputs!$C$39+Inputs!$C$40))))+Inputs!$C$38*SIN(2*PI()*(Model_Data!A15)/Inputs!$C$39)*SIN(2*PI()*(Inputs!$C$6)/Inputs!$C$40)+-Inputs!$C$41*EXP(-(((Inputs!$C$6)-Inputs!$C$43)^2)/(2*Inputs!$C$44^2))*EXP(-(((Model_Data!A15)-Inputs!$C$42)^2)/(2*Inputs!$C$45^2))+Inputs!$C$48*(0.7*(0.45*SIN(2*PI()*(((Model_Data!A15)/Inputs!$C$49)+Inputs!$C$47*0.137))+0.35*COS(2*PI()*(((Inputs!$C$6)/Inputs!$C$50)+Inputs!$C$47*0.173))+0.2*SIN(2*PI()*(((Model_Data!A15)+(Inputs!$C$6))/(0.5*(Inputs!$C$49+Inputs!$C$50))+Inputs!$C$47*0.097)))+0.3*(2*((SIN(((Model_Data!A15)*12.9898+(Inputs!$C$6)*78.233+Inputs!$C$47*37.719))*43758.5453)-INT((SIN(((Model_Data!A15)*12.9898+(Inputs!$C$6)*78.233+Inputs!$C$47*37.719))*43758.5453)))-1))))/1000)^2))-(((Model_Data!B15)-((Inputs!$C$51*(115*EXP(-(((0)-25)^2)/(4.5^2))+70*EXP(-(((0)+38)^2)/(7^2))*(0.55+0.45*SIN(2*PI()*(Model_Data!A15)/45))+24*SIN(2*PI()*(0)/9+(Model_Data!A15)/18)*EXP(-(((0)+5)^2)/(22^2))+18*SIN(2*PI()*(Model_Data!A15)/70))+Inputs!$C$28*EXP(-(((Model_Data!A15)-Inputs!$C$29)^2)/(2*Inputs!$C$31^2))*EXP(-(((0)-Inputs!$C$30)^2)/(2*Inputs!$C$32^2))+-Inputs!$C$33*EXP(-(((((Model_Data!A15)-Inputs!$C$34)^2)+(((0)-Inputs!$C$35)^2))/(2*Inputs!$C$36^2)))+Inputs!$C$37*(0.55*SIN(2*PI()*(Model_Data!A15)/Inputs!$C$39)+0.35*COS(2*PI()*(0)/Inputs!$C$40)+0.2*SIN(2*PI()*((Model_Data!A15)+(0))/(0.5*(Inputs!$C$39+Inputs!$C$40))))+Inputs!$C$38*SIN(2*PI()*(Model_Data!A15)/Inputs!$C$39)*SIN(2*PI()*(0)/Inputs!$C$40)+-Inputs!$C$41*EXP(-(((0)-Inputs!$C$43)^2)/(2*Inputs!$C$44^2))*EXP(-(((Model_Data!A15)-Inputs!$C$42)^2)/(2*Inputs!$C$45^2))+Inputs!$C$48*(0.7*(0.45*SIN(2*PI()*(((Model_Data!A15)/Inputs!$C$49)+Inputs!$C$47*0.137))+0.35*COS(2*PI()*(((0)/Inputs!$C$50)+Inputs!$C$47*0.173))+0.2*SIN(2*PI()*(((Model_Data!A15)+(0))/(0.5*(Inputs!$C$49+Inputs!$C$50))+Inputs!$C$47*0.097)))+0.3*(2*((SIN(((Model_Data!A15)*12.9898+(0)*78.233+Inputs!$C$47*37.719))*43758.5453)-INT((SIN(((Model_Data!A15)*12.9898+(0)*78.233+Inputs!$C$47*37.719))*43758.5453)))-1))))/1000)))*1000/Inputs!$C$12)-Model_Data!F15)</f>
        <v>91.835932738667907</v>
      </c>
      <c r="L15" s="10"/>
      <c r="M15" s="9">
        <f>Model_Data!A15</f>
        <v>-53.5</v>
      </c>
      <c r="N15" s="9">
        <f>Model_Data!P15</f>
        <v>398.28469829593723</v>
      </c>
      <c r="O15" s="9">
        <f t="shared" si="0"/>
        <v>436.19646507258949</v>
      </c>
      <c r="P15" s="9">
        <f>Model_Data!Q15</f>
        <v>59.802507251642233</v>
      </c>
      <c r="Q15" s="9">
        <f t="shared" si="1"/>
        <v>65.494964725614039</v>
      </c>
      <c r="R15" s="10"/>
      <c r="S15" s="9">
        <f>Model_Data!A15</f>
        <v>-53.5</v>
      </c>
      <c r="T15" s="9">
        <f>Model_Data!B15-Inputs!$C$5</f>
        <v>3.1802777777778033</v>
      </c>
      <c r="U15" s="10"/>
      <c r="V15" s="9">
        <f>Model_Data!A15</f>
        <v>-53.5</v>
      </c>
      <c r="W15" s="9">
        <f>((SQRT((Model_Data!A15)^2+Inputs!$C$6^2+Inputs!$C$5^2)-Inputs!$C$5)*1000/Inputs!$C$12)</f>
        <v>2435.7112828204276</v>
      </c>
      <c r="X15" s="9">
        <f>Model_Data!F15</f>
        <v>2416.7020585545083</v>
      </c>
      <c r="Y15" s="10"/>
      <c r="Z15" s="9">
        <f>Model_Data!A15</f>
        <v>-53.5</v>
      </c>
      <c r="AA15" s="9">
        <f>SQRT((Model_Data!A15)^2+Inputs!$C$6^2+((Model_Data!B15)-((Inputs!$C$51*(115*EXP(-(((Inputs!$C$6)-25)^2)/(4.5^2))+70*EXP(-(((Inputs!$C$6)+38)^2)/(7^2))*(0.55+0.45*SIN(2*PI()*(Model_Data!A15)/45))+24*SIN(2*PI()*(Inputs!$C$6)/9+(Model_Data!A15)/18)*EXP(-(((Inputs!$C$6)+5)^2)/(22^2))+18*SIN(2*PI()*(Model_Data!A15)/70))+Inputs!$C$28*EXP(-(((Model_Data!A15)-Inputs!$C$29)^2)/(2*Inputs!$C$31^2))*EXP(-(((Inputs!$C$6)-Inputs!$C$30)^2)/(2*Inputs!$C$32^2))+-Inputs!$C$33*EXP(-(((((Model_Data!A15)-Inputs!$C$34)^2)+(((Inputs!$C$6)-Inputs!$C$35)^2))/(2*Inputs!$C$36^2)))+Inputs!$C$37*(0.55*SIN(2*PI()*(Model_Data!A15)/Inputs!$C$39)+0.35*COS(2*PI()*(Inputs!$C$6)/Inputs!$C$40)+0.2*SIN(2*PI()*((Model_Data!A15)+(Inputs!$C$6))/(0.5*(Inputs!$C$39+Inputs!$C$40))))+Inputs!$C$38*SIN(2*PI()*(Model_Data!A15)/Inputs!$C$39)*SIN(2*PI()*(Inputs!$C$6)/Inputs!$C$40)+-Inputs!$C$41*EXP(-(((Inputs!$C$6)-Inputs!$C$43)^2)/(2*Inputs!$C$44^2))*EXP(-(((Model_Data!A15)-Inputs!$C$42)^2)/(2*Inputs!$C$45^2))+Inputs!$C$48*(0.7*(0.45*SIN(2*PI()*(((Model_Data!A15)/Inputs!$C$49)+Inputs!$C$47*0.137))+0.35*COS(2*PI()*(((Inputs!$C$6)/Inputs!$C$50)+Inputs!$C$47*0.173))+0.2*SIN(2*PI()*(((Model_Data!A15)+(Inputs!$C$6))/(0.5*(Inputs!$C$49+Inputs!$C$50))+Inputs!$C$47*0.097)))+0.3*(2*((SIN(((Model_Data!A15)*12.9898+(Inputs!$C$6)*78.233+Inputs!$C$47*37.719))*43758.5453)-INT((SIN(((Model_Data!A15)*12.9898+(Inputs!$C$6)*78.233+Inputs!$C$47*37.719))*43758.5453)))-1))))/1000)^2)</f>
        <v>407.26923378939637</v>
      </c>
      <c r="AB15" s="9">
        <f>1000*(AA16-AA14)/(Z16-Z14)*Inputs!$C$11</f>
        <v>-1090.4911626814737</v>
      </c>
      <c r="AC15" s="9">
        <f>-2*AB15/Inputs!$C$13</f>
        <v>436.19646507258949</v>
      </c>
      <c r="AD15" s="9">
        <f>-2*AB15/Inputs!$C$14</f>
        <v>65.494964725614039</v>
      </c>
    </row>
    <row r="16" spans="1:30">
      <c r="A16" s="9">
        <f>Model_Data!A16</f>
        <v>-53</v>
      </c>
      <c r="B16" s="9">
        <f>((SQRT((Model_Data!A16)^2+Inputs!$C$6^2+Inputs!$C$5^2)-Inputs!$C$5)*1000/Inputs!$C$12)</f>
        <v>2398.7145785572161</v>
      </c>
      <c r="C16" s="9">
        <f>Model_Data!F16</f>
        <v>2380.3367583116014</v>
      </c>
      <c r="D16" s="9">
        <f>(((SQRT((Model_Data!A16)^2+Inputs!$C$6^2+((Model_Data!B16)-((Inputs!$C$51*(115*EXP(-(((Inputs!$C$6)-25)^2)/(4.5^2))+70*EXP(-(((Inputs!$C$6)+38)^2)/(7^2))*(0.55+0.45*SIN(2*PI()*(Model_Data!A16)/45))+24*SIN(2*PI()*(Inputs!$C$6)/9+(Model_Data!A16)/18)*EXP(-(((Inputs!$C$6)+5)^2)/(22^2))+18*SIN(2*PI()*(Model_Data!A16)/70))+Inputs!$C$28*EXP(-(((Model_Data!A16)-Inputs!$C$29)^2)/(2*Inputs!$C$31^2))*EXP(-(((Inputs!$C$6)-Inputs!$C$30)^2)/(2*Inputs!$C$32^2))+-Inputs!$C$33*EXP(-(((((Model_Data!A16)-Inputs!$C$34)^2)+(((Inputs!$C$6)-Inputs!$C$35)^2))/(2*Inputs!$C$36^2)))+Inputs!$C$37*(0.55*SIN(2*PI()*(Model_Data!A16)/Inputs!$C$39)+0.35*COS(2*PI()*(Inputs!$C$6)/Inputs!$C$40)+0.2*SIN(2*PI()*((Model_Data!A16)+(Inputs!$C$6))/(0.5*(Inputs!$C$39+Inputs!$C$40))))+Inputs!$C$38*SIN(2*PI()*(Model_Data!A16)/Inputs!$C$39)*SIN(2*PI()*(Inputs!$C$6)/Inputs!$C$40)+-Inputs!$C$41*EXP(-(((Inputs!$C$6)-Inputs!$C$43)^2)/(2*Inputs!$C$44^2))*EXP(-(((Model_Data!A16)-Inputs!$C$42)^2)/(2*Inputs!$C$45^2))+Inputs!$C$48*(0.7*(0.45*SIN(2*PI()*(((Model_Data!A16)/Inputs!$C$49)+Inputs!$C$47*0.137))+0.35*COS(2*PI()*(((Inputs!$C$6)/Inputs!$C$50)+Inputs!$C$47*0.173))+0.2*SIN(2*PI()*(((Model_Data!A16)+(Inputs!$C$6))/(0.5*(Inputs!$C$49+Inputs!$C$50))+Inputs!$C$47*0.097)))+0.3*(2*((SIN(((Model_Data!A16)*12.9898+(Inputs!$C$6)*78.233+Inputs!$C$47*37.719))*43758.5453)-INT((SIN(((Model_Data!A16)*12.9898+(Inputs!$C$6)*78.233+Inputs!$C$47*37.719))*43758.5453)))-1))))/1000)^2))-(((Model_Data!B16)-((Inputs!$C$51*(115*EXP(-(((0)-25)^2)/(4.5^2))+70*EXP(-(((0)+38)^2)/(7^2))*(0.55+0.45*SIN(2*PI()*(Model_Data!A16)/45))+24*SIN(2*PI()*(0)/9+(Model_Data!A16)/18)*EXP(-(((0)+5)^2)/(22^2))+18*SIN(2*PI()*(Model_Data!A16)/70))+Inputs!$C$28*EXP(-(((Model_Data!A16)-Inputs!$C$29)^2)/(2*Inputs!$C$31^2))*EXP(-(((0)-Inputs!$C$30)^2)/(2*Inputs!$C$32^2))+-Inputs!$C$33*EXP(-(((((Model_Data!A16)-Inputs!$C$34)^2)+(((0)-Inputs!$C$35)^2))/(2*Inputs!$C$36^2)))+Inputs!$C$37*(0.55*SIN(2*PI()*(Model_Data!A16)/Inputs!$C$39)+0.35*COS(2*PI()*(0)/Inputs!$C$40)+0.2*SIN(2*PI()*((Model_Data!A16)+(0))/(0.5*(Inputs!$C$39+Inputs!$C$40))))+Inputs!$C$38*SIN(2*PI()*(Model_Data!A16)/Inputs!$C$39)*SIN(2*PI()*(0)/Inputs!$C$40)+-Inputs!$C$41*EXP(-(((0)-Inputs!$C$43)^2)/(2*Inputs!$C$44^2))*EXP(-(((Model_Data!A16)-Inputs!$C$42)^2)/(2*Inputs!$C$45^2))+Inputs!$C$48*(0.7*(0.45*SIN(2*PI()*(((Model_Data!A16)/Inputs!$C$49)+Inputs!$C$47*0.137))+0.35*COS(2*PI()*(((0)/Inputs!$C$50)+Inputs!$C$47*0.173))+0.2*SIN(2*PI()*(((Model_Data!A16)+(0))/(0.5*(Inputs!$C$49+Inputs!$C$50))+Inputs!$C$47*0.097)))+0.3*(2*((SIN(((Model_Data!A16)*12.9898+(0)*78.233+Inputs!$C$47*37.719))*43758.5453)-INT((SIN(((Model_Data!A16)*12.9898+(0)*78.233+Inputs!$C$47*37.719))*43758.5453)))-1))))/1000)))*1000/Inputs!$C$12)</f>
        <v>2288.7500043131167</v>
      </c>
      <c r="E16" s="9">
        <f>Model_Data!A16</f>
        <v>-53</v>
      </c>
      <c r="F16" s="9">
        <f>(Inputs!$C$51*(115*EXP(-(((Inputs!$C$6)-25)^2)/(4.5^2))+70*EXP(-(((Inputs!$C$6)+38)^2)/(7^2))*(0.55+0.45*SIN(2*PI()*(Model_Data!A16)/45))+24*SIN(2*PI()*(Inputs!$C$6)/9+(Model_Data!A16)/18)*EXP(-(((Inputs!$C$6)+5)^2)/(22^2))+18*SIN(2*PI()*(Model_Data!A16)/70))+Inputs!$C$28*EXP(-(((Model_Data!A16)-Inputs!$C$29)^2)/(2*Inputs!$C$31^2))*EXP(-(((Inputs!$C$6)-Inputs!$C$30)^2)/(2*Inputs!$C$32^2))+-Inputs!$C$33*EXP(-(((((Model_Data!A16)-Inputs!$C$34)^2)+(((Inputs!$C$6)-Inputs!$C$35)^2))/(2*Inputs!$C$36^2)))+Inputs!$C$37*(0.55*SIN(2*PI()*(Model_Data!A16)/Inputs!$C$39)+0.35*COS(2*PI()*(Inputs!$C$6)/Inputs!$C$40)+0.2*SIN(2*PI()*((Model_Data!A16)+(Inputs!$C$6))/(0.5*(Inputs!$C$39+Inputs!$C$40))))+Inputs!$C$38*SIN(2*PI()*(Model_Data!A16)/Inputs!$C$39)*SIN(2*PI()*(Inputs!$C$6)/Inputs!$C$40)+-Inputs!$C$41*EXP(-(((Inputs!$C$6)-Inputs!$C$43)^2)/(2*Inputs!$C$44^2))*EXP(-(((Model_Data!A16)-Inputs!$C$42)^2)/(2*Inputs!$C$45^2))+Inputs!$C$48*(0.7*(0.45*SIN(2*PI()*(((Model_Data!A16)/Inputs!$C$49)+Inputs!$C$47*0.137))+0.35*COS(2*PI()*(((Inputs!$C$6)/Inputs!$C$50)+Inputs!$C$47*0.173))+0.2*SIN(2*PI()*(((Model_Data!A16)+(Inputs!$C$6))/(0.5*(Inputs!$C$49+Inputs!$C$50))+Inputs!$C$47*0.097)))+0.3*(2*((SIN(((Model_Data!A16)*12.9898+(Inputs!$C$6)*78.233+Inputs!$C$47*37.719))*43758.5453)-INT((SIN(((Model_Data!A16)*12.9898+(Inputs!$C$6)*78.233+Inputs!$C$47*37.719))*43758.5453)))-1)))</f>
        <v>220.27863667842527</v>
      </c>
      <c r="G16" s="9">
        <f>(Inputs!$C$51*(115*EXP(-(((0)-25)^2)/(4.5^2))+70*EXP(-(((0)+38)^2)/(7^2))*(0.55+0.45*SIN(2*PI()*(Model_Data!A16)/45))+24*SIN(2*PI()*(0)/9+(Model_Data!A16)/18)*EXP(-(((0)+5)^2)/(22^2))+18*SIN(2*PI()*(Model_Data!A16)/70))+Inputs!$C$28*EXP(-(((Model_Data!A16)-Inputs!$C$29)^2)/(2*Inputs!$C$31^2))*EXP(-(((0)-Inputs!$C$30)^2)/(2*Inputs!$C$32^2))+-Inputs!$C$33*EXP(-(((((Model_Data!A16)-Inputs!$C$34)^2)+(((0)-Inputs!$C$35)^2))/(2*Inputs!$C$36^2)))+Inputs!$C$37*(0.55*SIN(2*PI()*(Model_Data!A16)/Inputs!$C$39)+0.35*COS(2*PI()*(0)/Inputs!$C$40)+0.2*SIN(2*PI()*((Model_Data!A16)+(0))/(0.5*(Inputs!$C$39+Inputs!$C$40))))+Inputs!$C$38*SIN(2*PI()*(Model_Data!A16)/Inputs!$C$39)*SIN(2*PI()*(0)/Inputs!$C$40)+-Inputs!$C$41*EXP(-(((0)-Inputs!$C$43)^2)/(2*Inputs!$C$44^2))*EXP(-(((Model_Data!A16)-Inputs!$C$42)^2)/(2*Inputs!$C$45^2))+Inputs!$C$48*(0.7*(0.45*SIN(2*PI()*(((Model_Data!A16)/Inputs!$C$49)+Inputs!$C$47*0.137))+0.35*COS(2*PI()*(((0)/Inputs!$C$50)+Inputs!$C$47*0.173))+0.2*SIN(2*PI()*(((Model_Data!A16)+(0))/(0.5*(Inputs!$C$49+Inputs!$C$50))+Inputs!$C$47*0.097)))+0.3*(2*((SIN(((Model_Data!A16)*12.9898+(0)*78.233+Inputs!$C$47*37.719))*43758.5453)-INT((SIN(((Model_Data!A16)*12.9898+(0)*78.233+Inputs!$C$47*37.719))*43758.5453)))-1)))</f>
        <v>54.961826683264675</v>
      </c>
      <c r="H16" s="10"/>
      <c r="I16" s="9">
        <f>Model_Data!A16</f>
        <v>-53</v>
      </c>
      <c r="J16" s="9">
        <f>(Inputs!$C$51*(115*EXP(-(((Inputs!$C$6)-25)^2)/(4.5^2))+70*EXP(-(((Inputs!$C$6)+38)^2)/(7^2))*(0.55+0.45*SIN(2*PI()*(Model_Data!A16)/45))+24*SIN(2*PI()*(Inputs!$C$6)/9+(Model_Data!A16)/18)*EXP(-(((Inputs!$C$6)+5)^2)/(22^2))+18*SIN(2*PI()*(Model_Data!A16)/70))+Inputs!$C$28*EXP(-(((Model_Data!A16)-Inputs!$C$29)^2)/(2*Inputs!$C$31^2))*EXP(-(((Inputs!$C$6)-Inputs!$C$30)^2)/(2*Inputs!$C$32^2))+-Inputs!$C$33*EXP(-(((((Model_Data!A16)-Inputs!$C$34)^2)+(((Inputs!$C$6)-Inputs!$C$35)^2))/(2*Inputs!$C$36^2)))+Inputs!$C$37*(0.55*SIN(2*PI()*(Model_Data!A16)/Inputs!$C$39)+0.35*COS(2*PI()*(Inputs!$C$6)/Inputs!$C$40)+0.2*SIN(2*PI()*((Model_Data!A16)+(Inputs!$C$6))/(0.5*(Inputs!$C$39+Inputs!$C$40))))+Inputs!$C$38*SIN(2*PI()*(Model_Data!A16)/Inputs!$C$39)*SIN(2*PI()*(Inputs!$C$6)/Inputs!$C$40)+-Inputs!$C$41*EXP(-(((Inputs!$C$6)-Inputs!$C$43)^2)/(2*Inputs!$C$44^2))*EXP(-(((Model_Data!A16)-Inputs!$C$42)^2)/(2*Inputs!$C$45^2))+Inputs!$C$48*(0.7*(0.45*SIN(2*PI()*(((Model_Data!A16)/Inputs!$C$49)+Inputs!$C$47*0.137))+0.35*COS(2*PI()*(((Inputs!$C$6)/Inputs!$C$50)+Inputs!$C$47*0.173))+0.2*SIN(2*PI()*(((Model_Data!A16)+(Inputs!$C$6))/(0.5*(Inputs!$C$49+Inputs!$C$50))+Inputs!$C$47*0.097)))+0.3*(2*((SIN(((Model_Data!A16)*12.9898+(Inputs!$C$6)*78.233+Inputs!$C$47*37.719))*43758.5453)-INT((SIN(((Model_Data!A16)*12.9898+(Inputs!$C$6)*78.233+Inputs!$C$47*37.719))*43758.5453)))-1)))</f>
        <v>220.27863667842527</v>
      </c>
      <c r="K16" s="9">
        <f>-((((SQRT((Model_Data!A16)^2+Inputs!$C$6^2+((Model_Data!B16)-((Inputs!$C$51*(115*EXP(-(((Inputs!$C$6)-25)^2)/(4.5^2))+70*EXP(-(((Inputs!$C$6)+38)^2)/(7^2))*(0.55+0.45*SIN(2*PI()*(Model_Data!A16)/45))+24*SIN(2*PI()*(Inputs!$C$6)/9+(Model_Data!A16)/18)*EXP(-(((Inputs!$C$6)+5)^2)/(22^2))+18*SIN(2*PI()*(Model_Data!A16)/70))+Inputs!$C$28*EXP(-(((Model_Data!A16)-Inputs!$C$29)^2)/(2*Inputs!$C$31^2))*EXP(-(((Inputs!$C$6)-Inputs!$C$30)^2)/(2*Inputs!$C$32^2))+-Inputs!$C$33*EXP(-(((((Model_Data!A16)-Inputs!$C$34)^2)+(((Inputs!$C$6)-Inputs!$C$35)^2))/(2*Inputs!$C$36^2)))+Inputs!$C$37*(0.55*SIN(2*PI()*(Model_Data!A16)/Inputs!$C$39)+0.35*COS(2*PI()*(Inputs!$C$6)/Inputs!$C$40)+0.2*SIN(2*PI()*((Model_Data!A16)+(Inputs!$C$6))/(0.5*(Inputs!$C$39+Inputs!$C$40))))+Inputs!$C$38*SIN(2*PI()*(Model_Data!A16)/Inputs!$C$39)*SIN(2*PI()*(Inputs!$C$6)/Inputs!$C$40)+-Inputs!$C$41*EXP(-(((Inputs!$C$6)-Inputs!$C$43)^2)/(2*Inputs!$C$44^2))*EXP(-(((Model_Data!A16)-Inputs!$C$42)^2)/(2*Inputs!$C$45^2))+Inputs!$C$48*(0.7*(0.45*SIN(2*PI()*(((Model_Data!A16)/Inputs!$C$49)+Inputs!$C$47*0.137))+0.35*COS(2*PI()*(((Inputs!$C$6)/Inputs!$C$50)+Inputs!$C$47*0.173))+0.2*SIN(2*PI()*(((Model_Data!A16)+(Inputs!$C$6))/(0.5*(Inputs!$C$49+Inputs!$C$50))+Inputs!$C$47*0.097)))+0.3*(2*((SIN(((Model_Data!A16)*12.9898+(Inputs!$C$6)*78.233+Inputs!$C$47*37.719))*43758.5453)-INT((SIN(((Model_Data!A16)*12.9898+(Inputs!$C$6)*78.233+Inputs!$C$47*37.719))*43758.5453)))-1))))/1000)^2))-(((Model_Data!B16)-((Inputs!$C$51*(115*EXP(-(((0)-25)^2)/(4.5^2))+70*EXP(-(((0)+38)^2)/(7^2))*(0.55+0.45*SIN(2*PI()*(Model_Data!A16)/45))+24*SIN(2*PI()*(0)/9+(Model_Data!A16)/18)*EXP(-(((0)+5)^2)/(22^2))+18*SIN(2*PI()*(Model_Data!A16)/70))+Inputs!$C$28*EXP(-(((Model_Data!A16)-Inputs!$C$29)^2)/(2*Inputs!$C$31^2))*EXP(-(((0)-Inputs!$C$30)^2)/(2*Inputs!$C$32^2))+-Inputs!$C$33*EXP(-(((((Model_Data!A16)-Inputs!$C$34)^2)+(((0)-Inputs!$C$35)^2))/(2*Inputs!$C$36^2)))+Inputs!$C$37*(0.55*SIN(2*PI()*(Model_Data!A16)/Inputs!$C$39)+0.35*COS(2*PI()*(0)/Inputs!$C$40)+0.2*SIN(2*PI()*((Model_Data!A16)+(0))/(0.5*(Inputs!$C$39+Inputs!$C$40))))+Inputs!$C$38*SIN(2*PI()*(Model_Data!A16)/Inputs!$C$39)*SIN(2*PI()*(0)/Inputs!$C$40)+-Inputs!$C$41*EXP(-(((0)-Inputs!$C$43)^2)/(2*Inputs!$C$44^2))*EXP(-(((Model_Data!A16)-Inputs!$C$42)^2)/(2*Inputs!$C$45^2))+Inputs!$C$48*(0.7*(0.45*SIN(2*PI()*(((Model_Data!A16)/Inputs!$C$49)+Inputs!$C$47*0.137))+0.35*COS(2*PI()*(((0)/Inputs!$C$50)+Inputs!$C$47*0.173))+0.2*SIN(2*PI()*(((Model_Data!A16)+(0))/(0.5*(Inputs!$C$49+Inputs!$C$50))+Inputs!$C$47*0.097)))+0.3*(2*((SIN(((Model_Data!A16)*12.9898+(0)*78.233+Inputs!$C$47*37.719))*43758.5453)-INT((SIN(((Model_Data!A16)*12.9898+(0)*78.233+Inputs!$C$47*37.719))*43758.5453)))-1))))/1000)))*1000/Inputs!$C$12)-Model_Data!F16)</f>
        <v>91.58675399848471</v>
      </c>
      <c r="L16" s="10"/>
      <c r="M16" s="9">
        <f>Model_Data!A16</f>
        <v>-53</v>
      </c>
      <c r="N16" s="9">
        <f>Model_Data!P16</f>
        <v>394.65504593412737</v>
      </c>
      <c r="O16" s="9">
        <f t="shared" si="0"/>
        <v>416.04584139877261</v>
      </c>
      <c r="P16" s="9">
        <f>Model_Data!Q16</f>
        <v>59.257514404523633</v>
      </c>
      <c r="Q16" s="9">
        <f t="shared" si="1"/>
        <v>62.46934555537127</v>
      </c>
      <c r="R16" s="10"/>
      <c r="S16" s="9">
        <f>Model_Data!A16</f>
        <v>-53</v>
      </c>
      <c r="T16" s="9">
        <f>Model_Data!B16-Inputs!$C$5</f>
        <v>3.1211111111111336</v>
      </c>
      <c r="U16" s="10"/>
      <c r="V16" s="9">
        <f>Model_Data!A16</f>
        <v>-53</v>
      </c>
      <c r="W16" s="9">
        <f>((SQRT((Model_Data!A16)^2+Inputs!$C$6^2+Inputs!$C$5^2)-Inputs!$C$5)*1000/Inputs!$C$12)</f>
        <v>2398.7145785572161</v>
      </c>
      <c r="X16" s="9">
        <f>Model_Data!F16</f>
        <v>2380.3367583116014</v>
      </c>
      <c r="Y16" s="10"/>
      <c r="Z16" s="9">
        <f>Model_Data!A16</f>
        <v>-53</v>
      </c>
      <c r="AA16" s="9">
        <f>SQRT((Model_Data!A16)^2+Inputs!$C$6^2+((Model_Data!B16)-((Inputs!$C$51*(115*EXP(-(((Inputs!$C$6)-25)^2)/(4.5^2))+70*EXP(-(((Inputs!$C$6)+38)^2)/(7^2))*(0.55+0.45*SIN(2*PI()*(Model_Data!A16)/45))+24*SIN(2*PI()*(Inputs!$C$6)/9+(Model_Data!A16)/18)*EXP(-(((Inputs!$C$6)+5)^2)/(22^2))+18*SIN(2*PI()*(Model_Data!A16)/70))+Inputs!$C$28*EXP(-(((Model_Data!A16)-Inputs!$C$29)^2)/(2*Inputs!$C$31^2))*EXP(-(((Inputs!$C$6)-Inputs!$C$30)^2)/(2*Inputs!$C$32^2))+-Inputs!$C$33*EXP(-(((((Model_Data!A16)-Inputs!$C$34)^2)+(((Inputs!$C$6)-Inputs!$C$35)^2))/(2*Inputs!$C$36^2)))+Inputs!$C$37*(0.55*SIN(2*PI()*(Model_Data!A16)/Inputs!$C$39)+0.35*COS(2*PI()*(Inputs!$C$6)/Inputs!$C$40)+0.2*SIN(2*PI()*((Model_Data!A16)+(Inputs!$C$6))/(0.5*(Inputs!$C$39+Inputs!$C$40))))+Inputs!$C$38*SIN(2*PI()*(Model_Data!A16)/Inputs!$C$39)*SIN(2*PI()*(Inputs!$C$6)/Inputs!$C$40)+-Inputs!$C$41*EXP(-(((Inputs!$C$6)-Inputs!$C$43)^2)/(2*Inputs!$C$44^2))*EXP(-(((Model_Data!A16)-Inputs!$C$42)^2)/(2*Inputs!$C$45^2))+Inputs!$C$48*(0.7*(0.45*SIN(2*PI()*(((Model_Data!A16)/Inputs!$C$49)+Inputs!$C$47*0.137))+0.35*COS(2*PI()*(((Inputs!$C$6)/Inputs!$C$50)+Inputs!$C$47*0.173))+0.2*SIN(2*PI()*(((Model_Data!A16)+(Inputs!$C$6))/(0.5*(Inputs!$C$49+Inputs!$C$50))+Inputs!$C$47*0.097)))+0.3*(2*((SIN(((Model_Data!A16)*12.9898+(Inputs!$C$6)*78.233+Inputs!$C$47*37.719))*43758.5453)-INT((SIN(((Model_Data!A16)*12.9898+(Inputs!$C$6)*78.233+Inputs!$C$47*37.719))*43758.5453)))-1))))/1000)^2)</f>
        <v>407.14012429210521</v>
      </c>
      <c r="AB16" s="9">
        <f>1000*(AA17-AA15)/(Z17-Z15)*Inputs!$C$11</f>
        <v>-1040.1146034969315</v>
      </c>
      <c r="AC16" s="9">
        <f>-2*AB16/Inputs!$C$13</f>
        <v>416.04584139877261</v>
      </c>
      <c r="AD16" s="9">
        <f>-2*AB16/Inputs!$C$14</f>
        <v>62.46934555537127</v>
      </c>
    </row>
    <row r="17" spans="1:30">
      <c r="A17" s="9">
        <f>Model_Data!A17</f>
        <v>-52.5</v>
      </c>
      <c r="B17" s="9">
        <f>((SQRT((Model_Data!A17)^2+Inputs!$C$6^2+Inputs!$C$5^2)-Inputs!$C$5)*1000/Inputs!$C$12)</f>
        <v>2362.059318211112</v>
      </c>
      <c r="C17" s="9">
        <f>Model_Data!F17</f>
        <v>2344.2967985996152</v>
      </c>
      <c r="D17" s="9">
        <f>(((SQRT((Model_Data!A17)^2+Inputs!$C$6^2+((Model_Data!B17)-((Inputs!$C$51*(115*EXP(-(((Inputs!$C$6)-25)^2)/(4.5^2))+70*EXP(-(((Inputs!$C$6)+38)^2)/(7^2))*(0.55+0.45*SIN(2*PI()*(Model_Data!A17)/45))+24*SIN(2*PI()*(Inputs!$C$6)/9+(Model_Data!A17)/18)*EXP(-(((Inputs!$C$6)+5)^2)/(22^2))+18*SIN(2*PI()*(Model_Data!A17)/70))+Inputs!$C$28*EXP(-(((Model_Data!A17)-Inputs!$C$29)^2)/(2*Inputs!$C$31^2))*EXP(-(((Inputs!$C$6)-Inputs!$C$30)^2)/(2*Inputs!$C$32^2))+-Inputs!$C$33*EXP(-(((((Model_Data!A17)-Inputs!$C$34)^2)+(((Inputs!$C$6)-Inputs!$C$35)^2))/(2*Inputs!$C$36^2)))+Inputs!$C$37*(0.55*SIN(2*PI()*(Model_Data!A17)/Inputs!$C$39)+0.35*COS(2*PI()*(Inputs!$C$6)/Inputs!$C$40)+0.2*SIN(2*PI()*((Model_Data!A17)+(Inputs!$C$6))/(0.5*(Inputs!$C$39+Inputs!$C$40))))+Inputs!$C$38*SIN(2*PI()*(Model_Data!A17)/Inputs!$C$39)*SIN(2*PI()*(Inputs!$C$6)/Inputs!$C$40)+-Inputs!$C$41*EXP(-(((Inputs!$C$6)-Inputs!$C$43)^2)/(2*Inputs!$C$44^2))*EXP(-(((Model_Data!A17)-Inputs!$C$42)^2)/(2*Inputs!$C$45^2))+Inputs!$C$48*(0.7*(0.45*SIN(2*PI()*(((Model_Data!A17)/Inputs!$C$49)+Inputs!$C$47*0.137))+0.35*COS(2*PI()*(((Inputs!$C$6)/Inputs!$C$50)+Inputs!$C$47*0.173))+0.2*SIN(2*PI()*(((Model_Data!A17)+(Inputs!$C$6))/(0.5*(Inputs!$C$49+Inputs!$C$50))+Inputs!$C$47*0.097)))+0.3*(2*((SIN(((Model_Data!A17)*12.9898+(Inputs!$C$6)*78.233+Inputs!$C$47*37.719))*43758.5453)-INT((SIN(((Model_Data!A17)*12.9898+(Inputs!$C$6)*78.233+Inputs!$C$47*37.719))*43758.5453)))-1))))/1000)^2))-(((Model_Data!B17)-((Inputs!$C$51*(115*EXP(-(((0)-25)^2)/(4.5^2))+70*EXP(-(((0)+38)^2)/(7^2))*(0.55+0.45*SIN(2*PI()*(Model_Data!A17)/45))+24*SIN(2*PI()*(0)/9+(Model_Data!A17)/18)*EXP(-(((0)+5)^2)/(22^2))+18*SIN(2*PI()*(Model_Data!A17)/70))+Inputs!$C$28*EXP(-(((Model_Data!A17)-Inputs!$C$29)^2)/(2*Inputs!$C$31^2))*EXP(-(((0)-Inputs!$C$30)^2)/(2*Inputs!$C$32^2))+-Inputs!$C$33*EXP(-(((((Model_Data!A17)-Inputs!$C$34)^2)+(((0)-Inputs!$C$35)^2))/(2*Inputs!$C$36^2)))+Inputs!$C$37*(0.55*SIN(2*PI()*(Model_Data!A17)/Inputs!$C$39)+0.35*COS(2*PI()*(0)/Inputs!$C$40)+0.2*SIN(2*PI()*((Model_Data!A17)+(0))/(0.5*(Inputs!$C$39+Inputs!$C$40))))+Inputs!$C$38*SIN(2*PI()*(Model_Data!A17)/Inputs!$C$39)*SIN(2*PI()*(0)/Inputs!$C$40)+-Inputs!$C$41*EXP(-(((0)-Inputs!$C$43)^2)/(2*Inputs!$C$44^2))*EXP(-(((Model_Data!A17)-Inputs!$C$42)^2)/(2*Inputs!$C$45^2))+Inputs!$C$48*(0.7*(0.45*SIN(2*PI()*(((Model_Data!A17)/Inputs!$C$49)+Inputs!$C$47*0.137))+0.35*COS(2*PI()*(((0)/Inputs!$C$50)+Inputs!$C$47*0.173))+0.2*SIN(2*PI()*(((Model_Data!A17)+(0))/(0.5*(Inputs!$C$49+Inputs!$C$50))+Inputs!$C$47*0.097)))+0.3*(2*((SIN(((Model_Data!A17)*12.9898+(0)*78.233+Inputs!$C$47*37.719))*43758.5453)-INT((SIN(((Model_Data!A17)*12.9898+(0)*78.233+Inputs!$C$47*37.719))*43758.5453)))-1))))/1000)))*1000/Inputs!$C$12)</f>
        <v>2240.7970100836951</v>
      </c>
      <c r="E17" s="9">
        <f>Model_Data!A17</f>
        <v>-52.5</v>
      </c>
      <c r="F17" s="9">
        <f>(Inputs!$C$51*(115*EXP(-(((Inputs!$C$6)-25)^2)/(4.5^2))+70*EXP(-(((Inputs!$C$6)+38)^2)/(7^2))*(0.55+0.45*SIN(2*PI()*(Model_Data!A17)/45))+24*SIN(2*PI()*(Inputs!$C$6)/9+(Model_Data!A17)/18)*EXP(-(((Inputs!$C$6)+5)^2)/(22^2))+18*SIN(2*PI()*(Model_Data!A17)/70))+Inputs!$C$28*EXP(-(((Model_Data!A17)-Inputs!$C$29)^2)/(2*Inputs!$C$31^2))*EXP(-(((Inputs!$C$6)-Inputs!$C$30)^2)/(2*Inputs!$C$32^2))+-Inputs!$C$33*EXP(-(((((Model_Data!A17)-Inputs!$C$34)^2)+(((Inputs!$C$6)-Inputs!$C$35)^2))/(2*Inputs!$C$36^2)))+Inputs!$C$37*(0.55*SIN(2*PI()*(Model_Data!A17)/Inputs!$C$39)+0.35*COS(2*PI()*(Inputs!$C$6)/Inputs!$C$40)+0.2*SIN(2*PI()*((Model_Data!A17)+(Inputs!$C$6))/(0.5*(Inputs!$C$39+Inputs!$C$40))))+Inputs!$C$38*SIN(2*PI()*(Model_Data!A17)/Inputs!$C$39)*SIN(2*PI()*(Inputs!$C$6)/Inputs!$C$40)+-Inputs!$C$41*EXP(-(((Inputs!$C$6)-Inputs!$C$43)^2)/(2*Inputs!$C$44^2))*EXP(-(((Model_Data!A17)-Inputs!$C$42)^2)/(2*Inputs!$C$45^2))+Inputs!$C$48*(0.7*(0.45*SIN(2*PI()*(((Model_Data!A17)/Inputs!$C$49)+Inputs!$C$47*0.137))+0.35*COS(2*PI()*(((Inputs!$C$6)/Inputs!$C$50)+Inputs!$C$47*0.173))+0.2*SIN(2*PI()*(((Model_Data!A17)+(Inputs!$C$6))/(0.5*(Inputs!$C$49+Inputs!$C$50))+Inputs!$C$47*0.097)))+0.3*(2*((SIN(((Model_Data!A17)*12.9898+(Inputs!$C$6)*78.233+Inputs!$C$47*37.719))*43758.5453)-INT((SIN(((Model_Data!A17)*12.9898+(Inputs!$C$6)*78.233+Inputs!$C$47*37.719))*43758.5453)))-1)))</f>
        <v>228.48571186718385</v>
      </c>
      <c r="G17" s="9">
        <f>(Inputs!$C$51*(115*EXP(-(((0)-25)^2)/(4.5^2))+70*EXP(-(((0)+38)^2)/(7^2))*(0.55+0.45*SIN(2*PI()*(Model_Data!A17)/45))+24*SIN(2*PI()*(0)/9+(Model_Data!A17)/18)*EXP(-(((0)+5)^2)/(22^2))+18*SIN(2*PI()*(Model_Data!A17)/70))+Inputs!$C$28*EXP(-(((Model_Data!A17)-Inputs!$C$29)^2)/(2*Inputs!$C$31^2))*EXP(-(((0)-Inputs!$C$30)^2)/(2*Inputs!$C$32^2))+-Inputs!$C$33*EXP(-(((((Model_Data!A17)-Inputs!$C$34)^2)+(((0)-Inputs!$C$35)^2))/(2*Inputs!$C$36^2)))+Inputs!$C$37*(0.55*SIN(2*PI()*(Model_Data!A17)/Inputs!$C$39)+0.35*COS(2*PI()*(0)/Inputs!$C$40)+0.2*SIN(2*PI()*((Model_Data!A17)+(0))/(0.5*(Inputs!$C$39+Inputs!$C$40))))+Inputs!$C$38*SIN(2*PI()*(Model_Data!A17)/Inputs!$C$39)*SIN(2*PI()*(0)/Inputs!$C$40)+-Inputs!$C$41*EXP(-(((0)-Inputs!$C$43)^2)/(2*Inputs!$C$44^2))*EXP(-(((Model_Data!A17)-Inputs!$C$42)^2)/(2*Inputs!$C$45^2))+Inputs!$C$48*(0.7*(0.45*SIN(2*PI()*(((Model_Data!A17)/Inputs!$C$49)+Inputs!$C$47*0.137))+0.35*COS(2*PI()*(((0)/Inputs!$C$50)+Inputs!$C$47*0.173))+0.2*SIN(2*PI()*(((Model_Data!A17)+(0))/(0.5*(Inputs!$C$49+Inputs!$C$50))+Inputs!$C$47*0.097)))+0.3*(2*((SIN(((Model_Data!A17)*12.9898+(0)*78.233+Inputs!$C$47*37.719))*43758.5453)-INT((SIN(((Model_Data!A17)*12.9898+(0)*78.233+Inputs!$C$47*37.719))*43758.5453)))-1)))</f>
        <v>41.913539426844665</v>
      </c>
      <c r="H17" s="10"/>
      <c r="I17" s="9">
        <f>Model_Data!A17</f>
        <v>-52.5</v>
      </c>
      <c r="J17" s="9">
        <f>(Inputs!$C$51*(115*EXP(-(((Inputs!$C$6)-25)^2)/(4.5^2))+70*EXP(-(((Inputs!$C$6)+38)^2)/(7^2))*(0.55+0.45*SIN(2*PI()*(Model_Data!A17)/45))+24*SIN(2*PI()*(Inputs!$C$6)/9+(Model_Data!A17)/18)*EXP(-(((Inputs!$C$6)+5)^2)/(22^2))+18*SIN(2*PI()*(Model_Data!A17)/70))+Inputs!$C$28*EXP(-(((Model_Data!A17)-Inputs!$C$29)^2)/(2*Inputs!$C$31^2))*EXP(-(((Inputs!$C$6)-Inputs!$C$30)^2)/(2*Inputs!$C$32^2))+-Inputs!$C$33*EXP(-(((((Model_Data!A17)-Inputs!$C$34)^2)+(((Inputs!$C$6)-Inputs!$C$35)^2))/(2*Inputs!$C$36^2)))+Inputs!$C$37*(0.55*SIN(2*PI()*(Model_Data!A17)/Inputs!$C$39)+0.35*COS(2*PI()*(Inputs!$C$6)/Inputs!$C$40)+0.2*SIN(2*PI()*((Model_Data!A17)+(Inputs!$C$6))/(0.5*(Inputs!$C$39+Inputs!$C$40))))+Inputs!$C$38*SIN(2*PI()*(Model_Data!A17)/Inputs!$C$39)*SIN(2*PI()*(Inputs!$C$6)/Inputs!$C$40)+-Inputs!$C$41*EXP(-(((Inputs!$C$6)-Inputs!$C$43)^2)/(2*Inputs!$C$44^2))*EXP(-(((Model_Data!A17)-Inputs!$C$42)^2)/(2*Inputs!$C$45^2))+Inputs!$C$48*(0.7*(0.45*SIN(2*PI()*(((Model_Data!A17)/Inputs!$C$49)+Inputs!$C$47*0.137))+0.35*COS(2*PI()*(((Inputs!$C$6)/Inputs!$C$50)+Inputs!$C$47*0.173))+0.2*SIN(2*PI()*(((Model_Data!A17)+(Inputs!$C$6))/(0.5*(Inputs!$C$49+Inputs!$C$50))+Inputs!$C$47*0.097)))+0.3*(2*((SIN(((Model_Data!A17)*12.9898+(Inputs!$C$6)*78.233+Inputs!$C$47*37.719))*43758.5453)-INT((SIN(((Model_Data!A17)*12.9898+(Inputs!$C$6)*78.233+Inputs!$C$47*37.719))*43758.5453)))-1)))</f>
        <v>228.48571186718385</v>
      </c>
      <c r="K17" s="9">
        <f>-((((SQRT((Model_Data!A17)^2+Inputs!$C$6^2+((Model_Data!B17)-((Inputs!$C$51*(115*EXP(-(((Inputs!$C$6)-25)^2)/(4.5^2))+70*EXP(-(((Inputs!$C$6)+38)^2)/(7^2))*(0.55+0.45*SIN(2*PI()*(Model_Data!A17)/45))+24*SIN(2*PI()*(Inputs!$C$6)/9+(Model_Data!A17)/18)*EXP(-(((Inputs!$C$6)+5)^2)/(22^2))+18*SIN(2*PI()*(Model_Data!A17)/70))+Inputs!$C$28*EXP(-(((Model_Data!A17)-Inputs!$C$29)^2)/(2*Inputs!$C$31^2))*EXP(-(((Inputs!$C$6)-Inputs!$C$30)^2)/(2*Inputs!$C$32^2))+-Inputs!$C$33*EXP(-(((((Model_Data!A17)-Inputs!$C$34)^2)+(((Inputs!$C$6)-Inputs!$C$35)^2))/(2*Inputs!$C$36^2)))+Inputs!$C$37*(0.55*SIN(2*PI()*(Model_Data!A17)/Inputs!$C$39)+0.35*COS(2*PI()*(Inputs!$C$6)/Inputs!$C$40)+0.2*SIN(2*PI()*((Model_Data!A17)+(Inputs!$C$6))/(0.5*(Inputs!$C$39+Inputs!$C$40))))+Inputs!$C$38*SIN(2*PI()*(Model_Data!A17)/Inputs!$C$39)*SIN(2*PI()*(Inputs!$C$6)/Inputs!$C$40)+-Inputs!$C$41*EXP(-(((Inputs!$C$6)-Inputs!$C$43)^2)/(2*Inputs!$C$44^2))*EXP(-(((Model_Data!A17)-Inputs!$C$42)^2)/(2*Inputs!$C$45^2))+Inputs!$C$48*(0.7*(0.45*SIN(2*PI()*(((Model_Data!A17)/Inputs!$C$49)+Inputs!$C$47*0.137))+0.35*COS(2*PI()*(((Inputs!$C$6)/Inputs!$C$50)+Inputs!$C$47*0.173))+0.2*SIN(2*PI()*(((Model_Data!A17)+(Inputs!$C$6))/(0.5*(Inputs!$C$49+Inputs!$C$50))+Inputs!$C$47*0.097)))+0.3*(2*((SIN(((Model_Data!A17)*12.9898+(Inputs!$C$6)*78.233+Inputs!$C$47*37.719))*43758.5453)-INT((SIN(((Model_Data!A17)*12.9898+(Inputs!$C$6)*78.233+Inputs!$C$47*37.719))*43758.5453)))-1))))/1000)^2))-(((Model_Data!B17)-((Inputs!$C$51*(115*EXP(-(((0)-25)^2)/(4.5^2))+70*EXP(-(((0)+38)^2)/(7^2))*(0.55+0.45*SIN(2*PI()*(Model_Data!A17)/45))+24*SIN(2*PI()*(0)/9+(Model_Data!A17)/18)*EXP(-(((0)+5)^2)/(22^2))+18*SIN(2*PI()*(Model_Data!A17)/70))+Inputs!$C$28*EXP(-(((Model_Data!A17)-Inputs!$C$29)^2)/(2*Inputs!$C$31^2))*EXP(-(((0)-Inputs!$C$30)^2)/(2*Inputs!$C$32^2))+-Inputs!$C$33*EXP(-(((((Model_Data!A17)-Inputs!$C$34)^2)+(((0)-Inputs!$C$35)^2))/(2*Inputs!$C$36^2)))+Inputs!$C$37*(0.55*SIN(2*PI()*(Model_Data!A17)/Inputs!$C$39)+0.35*COS(2*PI()*(0)/Inputs!$C$40)+0.2*SIN(2*PI()*((Model_Data!A17)+(0))/(0.5*(Inputs!$C$39+Inputs!$C$40))))+Inputs!$C$38*SIN(2*PI()*(Model_Data!A17)/Inputs!$C$39)*SIN(2*PI()*(0)/Inputs!$C$40)+-Inputs!$C$41*EXP(-(((0)-Inputs!$C$43)^2)/(2*Inputs!$C$44^2))*EXP(-(((Model_Data!A17)-Inputs!$C$42)^2)/(2*Inputs!$C$45^2))+Inputs!$C$48*(0.7*(0.45*SIN(2*PI()*(((Model_Data!A17)/Inputs!$C$49)+Inputs!$C$47*0.137))+0.35*COS(2*PI()*(((0)/Inputs!$C$50)+Inputs!$C$47*0.173))+0.2*SIN(2*PI()*(((Model_Data!A17)+(0))/(0.5*(Inputs!$C$49+Inputs!$C$50))+Inputs!$C$47*0.097)))+0.3*(2*((SIN(((Model_Data!A17)*12.9898+(0)*78.233+Inputs!$C$47*37.719))*43758.5453)-INT((SIN(((Model_Data!A17)*12.9898+(0)*78.233+Inputs!$C$47*37.719))*43758.5453)))-1))))/1000)))*1000/Inputs!$C$12)-Model_Data!F17)</f>
        <v>103.49978851592005</v>
      </c>
      <c r="L17" s="10"/>
      <c r="M17" s="9">
        <f>Model_Data!A17</f>
        <v>-52.5</v>
      </c>
      <c r="N17" s="9">
        <f>Model_Data!P17</f>
        <v>391.02286674642266</v>
      </c>
      <c r="O17" s="9">
        <f t="shared" si="0"/>
        <v>424.33636602063416</v>
      </c>
      <c r="P17" s="9">
        <f>Model_Data!Q17</f>
        <v>58.712142154117522</v>
      </c>
      <c r="Q17" s="9">
        <f t="shared" si="1"/>
        <v>63.714169072167294</v>
      </c>
      <c r="R17" s="10"/>
      <c r="S17" s="9">
        <f>Model_Data!A17</f>
        <v>-52.5</v>
      </c>
      <c r="T17" s="9">
        <f>Model_Data!B17-Inputs!$C$5</f>
        <v>3.0625</v>
      </c>
      <c r="U17" s="10"/>
      <c r="V17" s="9">
        <f>Model_Data!A17</f>
        <v>-52.5</v>
      </c>
      <c r="W17" s="9">
        <f>((SQRT((Model_Data!A17)^2+Inputs!$C$6^2+Inputs!$C$5^2)-Inputs!$C$5)*1000/Inputs!$C$12)</f>
        <v>2362.059318211112</v>
      </c>
      <c r="X17" s="9">
        <f>Model_Data!F17</f>
        <v>2344.2967985996152</v>
      </c>
      <c r="Y17" s="10"/>
      <c r="Z17" s="9">
        <f>Model_Data!A17</f>
        <v>-52.5</v>
      </c>
      <c r="AA17" s="9">
        <f>SQRT((Model_Data!A17)^2+Inputs!$C$6^2+((Model_Data!B17)-((Inputs!$C$51*(115*EXP(-(((Inputs!$C$6)-25)^2)/(4.5^2))+70*EXP(-(((Inputs!$C$6)+38)^2)/(7^2))*(0.55+0.45*SIN(2*PI()*(Model_Data!A17)/45))+24*SIN(2*PI()*(Inputs!$C$6)/9+(Model_Data!A17)/18)*EXP(-(((Inputs!$C$6)+5)^2)/(22^2))+18*SIN(2*PI()*(Model_Data!A17)/70))+Inputs!$C$28*EXP(-(((Model_Data!A17)-Inputs!$C$29)^2)/(2*Inputs!$C$31^2))*EXP(-(((Inputs!$C$6)-Inputs!$C$30)^2)/(2*Inputs!$C$32^2))+-Inputs!$C$33*EXP(-(((((Model_Data!A17)-Inputs!$C$34)^2)+(((Inputs!$C$6)-Inputs!$C$35)^2))/(2*Inputs!$C$36^2)))+Inputs!$C$37*(0.55*SIN(2*PI()*(Model_Data!A17)/Inputs!$C$39)+0.35*COS(2*PI()*(Inputs!$C$6)/Inputs!$C$40)+0.2*SIN(2*PI()*((Model_Data!A17)+(Inputs!$C$6))/(0.5*(Inputs!$C$39+Inputs!$C$40))))+Inputs!$C$38*SIN(2*PI()*(Model_Data!A17)/Inputs!$C$39)*SIN(2*PI()*(Inputs!$C$6)/Inputs!$C$40)+-Inputs!$C$41*EXP(-(((Inputs!$C$6)-Inputs!$C$43)^2)/(2*Inputs!$C$44^2))*EXP(-(((Model_Data!A17)-Inputs!$C$42)^2)/(2*Inputs!$C$45^2))+Inputs!$C$48*(0.7*(0.45*SIN(2*PI()*(((Model_Data!A17)/Inputs!$C$49)+Inputs!$C$47*0.137))+0.35*COS(2*PI()*(((Inputs!$C$6)/Inputs!$C$50)+Inputs!$C$47*0.173))+0.2*SIN(2*PI()*(((Model_Data!A17)+(Inputs!$C$6))/(0.5*(Inputs!$C$49+Inputs!$C$50))+Inputs!$C$47*0.097)))+0.3*(2*((SIN(((Model_Data!A17)*12.9898+(Inputs!$C$6)*78.233+Inputs!$C$47*37.719))*43758.5453)-INT((SIN(((Model_Data!A17)*12.9898+(Inputs!$C$6)*78.233+Inputs!$C$47*37.719))*43758.5453)))-1))))/1000)^2)</f>
        <v>407.00920513852213</v>
      </c>
      <c r="AB17" s="9">
        <f>1000*(AA18-AA16)/(Z18-Z16)*Inputs!$C$11</f>
        <v>-1060.8409150515854</v>
      </c>
      <c r="AC17" s="9">
        <f>-2*AB17/Inputs!$C$13</f>
        <v>424.33636602063416</v>
      </c>
      <c r="AD17" s="9">
        <f>-2*AB17/Inputs!$C$14</f>
        <v>63.714169072167294</v>
      </c>
    </row>
    <row r="18" spans="1:30">
      <c r="A18" s="9">
        <f>Model_Data!A18</f>
        <v>-52</v>
      </c>
      <c r="B18" s="9">
        <f>((SQRT((Model_Data!A18)^2+Inputs!$C$6^2+Inputs!$C$5^2)-Inputs!$C$5)*1000/Inputs!$C$12)</f>
        <v>2325.7456671554596</v>
      </c>
      <c r="C18" s="9">
        <f>Model_Data!F18</f>
        <v>2308.5826212735265</v>
      </c>
      <c r="D18" s="9">
        <f>(((SQRT((Model_Data!A18)^2+Inputs!$C$6^2+((Model_Data!B18)-((Inputs!$C$51*(115*EXP(-(((Inputs!$C$6)-25)^2)/(4.5^2))+70*EXP(-(((Inputs!$C$6)+38)^2)/(7^2))*(0.55+0.45*SIN(2*PI()*(Model_Data!A18)/45))+24*SIN(2*PI()*(Inputs!$C$6)/9+(Model_Data!A18)/18)*EXP(-(((Inputs!$C$6)+5)^2)/(22^2))+18*SIN(2*PI()*(Model_Data!A18)/70))+Inputs!$C$28*EXP(-(((Model_Data!A18)-Inputs!$C$29)^2)/(2*Inputs!$C$31^2))*EXP(-(((Inputs!$C$6)-Inputs!$C$30)^2)/(2*Inputs!$C$32^2))+-Inputs!$C$33*EXP(-(((((Model_Data!A18)-Inputs!$C$34)^2)+(((Inputs!$C$6)-Inputs!$C$35)^2))/(2*Inputs!$C$36^2)))+Inputs!$C$37*(0.55*SIN(2*PI()*(Model_Data!A18)/Inputs!$C$39)+0.35*COS(2*PI()*(Inputs!$C$6)/Inputs!$C$40)+0.2*SIN(2*PI()*((Model_Data!A18)+(Inputs!$C$6))/(0.5*(Inputs!$C$39+Inputs!$C$40))))+Inputs!$C$38*SIN(2*PI()*(Model_Data!A18)/Inputs!$C$39)*SIN(2*PI()*(Inputs!$C$6)/Inputs!$C$40)+-Inputs!$C$41*EXP(-(((Inputs!$C$6)-Inputs!$C$43)^2)/(2*Inputs!$C$44^2))*EXP(-(((Model_Data!A18)-Inputs!$C$42)^2)/(2*Inputs!$C$45^2))+Inputs!$C$48*(0.7*(0.45*SIN(2*PI()*(((Model_Data!A18)/Inputs!$C$49)+Inputs!$C$47*0.137))+0.35*COS(2*PI()*(((Inputs!$C$6)/Inputs!$C$50)+Inputs!$C$47*0.173))+0.2*SIN(2*PI()*(((Model_Data!A18)+(Inputs!$C$6))/(0.5*(Inputs!$C$49+Inputs!$C$50))+Inputs!$C$47*0.097)))+0.3*(2*((SIN(((Model_Data!A18)*12.9898+(Inputs!$C$6)*78.233+Inputs!$C$47*37.719))*43758.5453)-INT((SIN(((Model_Data!A18)*12.9898+(Inputs!$C$6)*78.233+Inputs!$C$47*37.719))*43758.5453)))-1))))/1000)^2))-(((Model_Data!B18)-((Inputs!$C$51*(115*EXP(-(((0)-25)^2)/(4.5^2))+70*EXP(-(((0)+38)^2)/(7^2))*(0.55+0.45*SIN(2*PI()*(Model_Data!A18)/45))+24*SIN(2*PI()*(0)/9+(Model_Data!A18)/18)*EXP(-(((0)+5)^2)/(22^2))+18*SIN(2*PI()*(Model_Data!A18)/70))+Inputs!$C$28*EXP(-(((Model_Data!A18)-Inputs!$C$29)^2)/(2*Inputs!$C$31^2))*EXP(-(((0)-Inputs!$C$30)^2)/(2*Inputs!$C$32^2))+-Inputs!$C$33*EXP(-(((((Model_Data!A18)-Inputs!$C$34)^2)+(((0)-Inputs!$C$35)^2))/(2*Inputs!$C$36^2)))+Inputs!$C$37*(0.55*SIN(2*PI()*(Model_Data!A18)/Inputs!$C$39)+0.35*COS(2*PI()*(0)/Inputs!$C$40)+0.2*SIN(2*PI()*((Model_Data!A18)+(0))/(0.5*(Inputs!$C$39+Inputs!$C$40))))+Inputs!$C$38*SIN(2*PI()*(Model_Data!A18)/Inputs!$C$39)*SIN(2*PI()*(0)/Inputs!$C$40)+-Inputs!$C$41*EXP(-(((0)-Inputs!$C$43)^2)/(2*Inputs!$C$44^2))*EXP(-(((Model_Data!A18)-Inputs!$C$42)^2)/(2*Inputs!$C$45^2))+Inputs!$C$48*(0.7*(0.45*SIN(2*PI()*(((Model_Data!A18)/Inputs!$C$49)+Inputs!$C$47*0.137))+0.35*COS(2*PI()*(((0)/Inputs!$C$50)+Inputs!$C$47*0.173))+0.2*SIN(2*PI()*(((Model_Data!A18)+(0))/(0.5*(Inputs!$C$49+Inputs!$C$50))+Inputs!$C$47*0.097)))+0.3*(2*((SIN(((Model_Data!A18)*12.9898+(0)*78.233+Inputs!$C$47*37.719))*43758.5453)-INT((SIN(((Model_Data!A18)*12.9898+(0)*78.233+Inputs!$C$47*37.719))*43758.5453)))-1))))/1000)))*1000/Inputs!$C$12)</f>
        <v>2199.1454286204212</v>
      </c>
      <c r="E18" s="9">
        <f>Model_Data!A18</f>
        <v>-52</v>
      </c>
      <c r="F18" s="9">
        <f>(Inputs!$C$51*(115*EXP(-(((Inputs!$C$6)-25)^2)/(4.5^2))+70*EXP(-(((Inputs!$C$6)+38)^2)/(7^2))*(0.55+0.45*SIN(2*PI()*(Model_Data!A18)/45))+24*SIN(2*PI()*(Inputs!$C$6)/9+(Model_Data!A18)/18)*EXP(-(((Inputs!$C$6)+5)^2)/(22^2))+18*SIN(2*PI()*(Model_Data!A18)/70))+Inputs!$C$28*EXP(-(((Model_Data!A18)-Inputs!$C$29)^2)/(2*Inputs!$C$31^2))*EXP(-(((Inputs!$C$6)-Inputs!$C$30)^2)/(2*Inputs!$C$32^2))+-Inputs!$C$33*EXP(-(((((Model_Data!A18)-Inputs!$C$34)^2)+(((Inputs!$C$6)-Inputs!$C$35)^2))/(2*Inputs!$C$36^2)))+Inputs!$C$37*(0.55*SIN(2*PI()*(Model_Data!A18)/Inputs!$C$39)+0.35*COS(2*PI()*(Inputs!$C$6)/Inputs!$C$40)+0.2*SIN(2*PI()*((Model_Data!A18)+(Inputs!$C$6))/(0.5*(Inputs!$C$39+Inputs!$C$40))))+Inputs!$C$38*SIN(2*PI()*(Model_Data!A18)/Inputs!$C$39)*SIN(2*PI()*(Inputs!$C$6)/Inputs!$C$40)+-Inputs!$C$41*EXP(-(((Inputs!$C$6)-Inputs!$C$43)^2)/(2*Inputs!$C$44^2))*EXP(-(((Model_Data!A18)-Inputs!$C$42)^2)/(2*Inputs!$C$45^2))+Inputs!$C$48*(0.7*(0.45*SIN(2*PI()*(((Model_Data!A18)/Inputs!$C$49)+Inputs!$C$47*0.137))+0.35*COS(2*PI()*(((Inputs!$C$6)/Inputs!$C$50)+Inputs!$C$47*0.173))+0.2*SIN(2*PI()*(((Model_Data!A18)+(Inputs!$C$6))/(0.5*(Inputs!$C$49+Inputs!$C$50))+Inputs!$C$47*0.097)))+0.3*(2*((SIN(((Model_Data!A18)*12.9898+(Inputs!$C$6)*78.233+Inputs!$C$47*37.719))*43758.5453)-INT((SIN(((Model_Data!A18)*12.9898+(Inputs!$C$6)*78.233+Inputs!$C$47*37.719))*43758.5453)))-1)))</f>
        <v>241.24392327938918</v>
      </c>
      <c r="G18" s="9">
        <f>(Inputs!$C$51*(115*EXP(-(((0)-25)^2)/(4.5^2))+70*EXP(-(((0)+38)^2)/(7^2))*(0.55+0.45*SIN(2*PI()*(Model_Data!A18)/45))+24*SIN(2*PI()*(0)/9+(Model_Data!A18)/18)*EXP(-(((0)+5)^2)/(22^2))+18*SIN(2*PI()*(Model_Data!A18)/70))+Inputs!$C$28*EXP(-(((Model_Data!A18)-Inputs!$C$29)^2)/(2*Inputs!$C$31^2))*EXP(-(((0)-Inputs!$C$30)^2)/(2*Inputs!$C$32^2))+-Inputs!$C$33*EXP(-(((((Model_Data!A18)-Inputs!$C$34)^2)+(((0)-Inputs!$C$35)^2))/(2*Inputs!$C$36^2)))+Inputs!$C$37*(0.55*SIN(2*PI()*(Model_Data!A18)/Inputs!$C$39)+0.35*COS(2*PI()*(0)/Inputs!$C$40)+0.2*SIN(2*PI()*((Model_Data!A18)+(0))/(0.5*(Inputs!$C$39+Inputs!$C$40))))+Inputs!$C$38*SIN(2*PI()*(Model_Data!A18)/Inputs!$C$39)*SIN(2*PI()*(0)/Inputs!$C$40)+-Inputs!$C$41*EXP(-(((0)-Inputs!$C$43)^2)/(2*Inputs!$C$44^2))*EXP(-(((Model_Data!A18)-Inputs!$C$42)^2)/(2*Inputs!$C$45^2))+Inputs!$C$48*(0.7*(0.45*SIN(2*PI()*(((Model_Data!A18)/Inputs!$C$49)+Inputs!$C$47*0.137))+0.35*COS(2*PI()*(((0)/Inputs!$C$50)+Inputs!$C$47*0.173))+0.2*SIN(2*PI()*(((Model_Data!A18)+(0))/(0.5*(Inputs!$C$49+Inputs!$C$50))+Inputs!$C$47*0.097)))+0.3*(2*((SIN(((Model_Data!A18)*12.9898+(0)*78.233+Inputs!$C$47*37.719))*43758.5453)-INT((SIN(((Model_Data!A18)*12.9898+(0)*78.233+Inputs!$C$47*37.719))*43758.5453)))-1)))</f>
        <v>44.009244046504797</v>
      </c>
      <c r="H18" s="10"/>
      <c r="I18" s="9">
        <f>Model_Data!A18</f>
        <v>-52</v>
      </c>
      <c r="J18" s="9">
        <f>(Inputs!$C$51*(115*EXP(-(((Inputs!$C$6)-25)^2)/(4.5^2))+70*EXP(-(((Inputs!$C$6)+38)^2)/(7^2))*(0.55+0.45*SIN(2*PI()*(Model_Data!A18)/45))+24*SIN(2*PI()*(Inputs!$C$6)/9+(Model_Data!A18)/18)*EXP(-(((Inputs!$C$6)+5)^2)/(22^2))+18*SIN(2*PI()*(Model_Data!A18)/70))+Inputs!$C$28*EXP(-(((Model_Data!A18)-Inputs!$C$29)^2)/(2*Inputs!$C$31^2))*EXP(-(((Inputs!$C$6)-Inputs!$C$30)^2)/(2*Inputs!$C$32^2))+-Inputs!$C$33*EXP(-(((((Model_Data!A18)-Inputs!$C$34)^2)+(((Inputs!$C$6)-Inputs!$C$35)^2))/(2*Inputs!$C$36^2)))+Inputs!$C$37*(0.55*SIN(2*PI()*(Model_Data!A18)/Inputs!$C$39)+0.35*COS(2*PI()*(Inputs!$C$6)/Inputs!$C$40)+0.2*SIN(2*PI()*((Model_Data!A18)+(Inputs!$C$6))/(0.5*(Inputs!$C$39+Inputs!$C$40))))+Inputs!$C$38*SIN(2*PI()*(Model_Data!A18)/Inputs!$C$39)*SIN(2*PI()*(Inputs!$C$6)/Inputs!$C$40)+-Inputs!$C$41*EXP(-(((Inputs!$C$6)-Inputs!$C$43)^2)/(2*Inputs!$C$44^2))*EXP(-(((Model_Data!A18)-Inputs!$C$42)^2)/(2*Inputs!$C$45^2))+Inputs!$C$48*(0.7*(0.45*SIN(2*PI()*(((Model_Data!A18)/Inputs!$C$49)+Inputs!$C$47*0.137))+0.35*COS(2*PI()*(((Inputs!$C$6)/Inputs!$C$50)+Inputs!$C$47*0.173))+0.2*SIN(2*PI()*(((Model_Data!A18)+(Inputs!$C$6))/(0.5*(Inputs!$C$49+Inputs!$C$50))+Inputs!$C$47*0.097)))+0.3*(2*((SIN(((Model_Data!A18)*12.9898+(Inputs!$C$6)*78.233+Inputs!$C$47*37.719))*43758.5453)-INT((SIN(((Model_Data!A18)*12.9898+(Inputs!$C$6)*78.233+Inputs!$C$47*37.719))*43758.5453)))-1)))</f>
        <v>241.24392327938918</v>
      </c>
      <c r="K18" s="9">
        <f>-((((SQRT((Model_Data!A18)^2+Inputs!$C$6^2+((Model_Data!B18)-((Inputs!$C$51*(115*EXP(-(((Inputs!$C$6)-25)^2)/(4.5^2))+70*EXP(-(((Inputs!$C$6)+38)^2)/(7^2))*(0.55+0.45*SIN(2*PI()*(Model_Data!A18)/45))+24*SIN(2*PI()*(Inputs!$C$6)/9+(Model_Data!A18)/18)*EXP(-(((Inputs!$C$6)+5)^2)/(22^2))+18*SIN(2*PI()*(Model_Data!A18)/70))+Inputs!$C$28*EXP(-(((Model_Data!A18)-Inputs!$C$29)^2)/(2*Inputs!$C$31^2))*EXP(-(((Inputs!$C$6)-Inputs!$C$30)^2)/(2*Inputs!$C$32^2))+-Inputs!$C$33*EXP(-(((((Model_Data!A18)-Inputs!$C$34)^2)+(((Inputs!$C$6)-Inputs!$C$35)^2))/(2*Inputs!$C$36^2)))+Inputs!$C$37*(0.55*SIN(2*PI()*(Model_Data!A18)/Inputs!$C$39)+0.35*COS(2*PI()*(Inputs!$C$6)/Inputs!$C$40)+0.2*SIN(2*PI()*((Model_Data!A18)+(Inputs!$C$6))/(0.5*(Inputs!$C$39+Inputs!$C$40))))+Inputs!$C$38*SIN(2*PI()*(Model_Data!A18)/Inputs!$C$39)*SIN(2*PI()*(Inputs!$C$6)/Inputs!$C$40)+-Inputs!$C$41*EXP(-(((Inputs!$C$6)-Inputs!$C$43)^2)/(2*Inputs!$C$44^2))*EXP(-(((Model_Data!A18)-Inputs!$C$42)^2)/(2*Inputs!$C$45^2))+Inputs!$C$48*(0.7*(0.45*SIN(2*PI()*(((Model_Data!A18)/Inputs!$C$49)+Inputs!$C$47*0.137))+0.35*COS(2*PI()*(((Inputs!$C$6)/Inputs!$C$50)+Inputs!$C$47*0.173))+0.2*SIN(2*PI()*(((Model_Data!A18)+(Inputs!$C$6))/(0.5*(Inputs!$C$49+Inputs!$C$50))+Inputs!$C$47*0.097)))+0.3*(2*((SIN(((Model_Data!A18)*12.9898+(Inputs!$C$6)*78.233+Inputs!$C$47*37.719))*43758.5453)-INT((SIN(((Model_Data!A18)*12.9898+(Inputs!$C$6)*78.233+Inputs!$C$47*37.719))*43758.5453)))-1))))/1000)^2))-(((Model_Data!B18)-((Inputs!$C$51*(115*EXP(-(((0)-25)^2)/(4.5^2))+70*EXP(-(((0)+38)^2)/(7^2))*(0.55+0.45*SIN(2*PI()*(Model_Data!A18)/45))+24*SIN(2*PI()*(0)/9+(Model_Data!A18)/18)*EXP(-(((0)+5)^2)/(22^2))+18*SIN(2*PI()*(Model_Data!A18)/70))+Inputs!$C$28*EXP(-(((Model_Data!A18)-Inputs!$C$29)^2)/(2*Inputs!$C$31^2))*EXP(-(((0)-Inputs!$C$30)^2)/(2*Inputs!$C$32^2))+-Inputs!$C$33*EXP(-(((((Model_Data!A18)-Inputs!$C$34)^2)+(((0)-Inputs!$C$35)^2))/(2*Inputs!$C$36^2)))+Inputs!$C$37*(0.55*SIN(2*PI()*(Model_Data!A18)/Inputs!$C$39)+0.35*COS(2*PI()*(0)/Inputs!$C$40)+0.2*SIN(2*PI()*((Model_Data!A18)+(0))/(0.5*(Inputs!$C$39+Inputs!$C$40))))+Inputs!$C$38*SIN(2*PI()*(Model_Data!A18)/Inputs!$C$39)*SIN(2*PI()*(0)/Inputs!$C$40)+-Inputs!$C$41*EXP(-(((0)-Inputs!$C$43)^2)/(2*Inputs!$C$44^2))*EXP(-(((Model_Data!A18)-Inputs!$C$42)^2)/(2*Inputs!$C$45^2))+Inputs!$C$48*(0.7*(0.45*SIN(2*PI()*(((Model_Data!A18)/Inputs!$C$49)+Inputs!$C$47*0.137))+0.35*COS(2*PI()*(((0)/Inputs!$C$50)+Inputs!$C$47*0.173))+0.2*SIN(2*PI()*(((Model_Data!A18)+(0))/(0.5*(Inputs!$C$49+Inputs!$C$50))+Inputs!$C$47*0.097)))+0.3*(2*((SIN(((Model_Data!A18)*12.9898+(0)*78.233+Inputs!$C$47*37.719))*43758.5453)-INT((SIN(((Model_Data!A18)*12.9898+(0)*78.233+Inputs!$C$47*37.719))*43758.5453)))-1))))/1000)))*1000/Inputs!$C$12)-Model_Data!F18)</f>
        <v>109.43719265310528</v>
      </c>
      <c r="L18" s="10"/>
      <c r="M18" s="9">
        <f>Model_Data!A18</f>
        <v>-52</v>
      </c>
      <c r="N18" s="9">
        <f>Model_Data!P18</f>
        <v>387.38818079022377</v>
      </c>
      <c r="O18" s="9">
        <f t="shared" si="0"/>
        <v>439.63184286694741</v>
      </c>
      <c r="P18" s="9">
        <f>Model_Data!Q18</f>
        <v>58.166393512045616</v>
      </c>
      <c r="Q18" s="9">
        <f t="shared" si="1"/>
        <v>66.010787217259377</v>
      </c>
      <c r="R18" s="10"/>
      <c r="S18" s="9">
        <f>Model_Data!A18</f>
        <v>-52</v>
      </c>
      <c r="T18" s="9">
        <f>Model_Data!B18-Inputs!$C$5</f>
        <v>3.0044444444444594</v>
      </c>
      <c r="U18" s="10"/>
      <c r="V18" s="9">
        <f>Model_Data!A18</f>
        <v>-52</v>
      </c>
      <c r="W18" s="9">
        <f>((SQRT((Model_Data!A18)^2+Inputs!$C$6^2+Inputs!$C$5^2)-Inputs!$C$5)*1000/Inputs!$C$12)</f>
        <v>2325.7456671554596</v>
      </c>
      <c r="X18" s="9">
        <f>Model_Data!F18</f>
        <v>2308.5826212735265</v>
      </c>
      <c r="Y18" s="10"/>
      <c r="Z18" s="9">
        <f>Model_Data!A18</f>
        <v>-52</v>
      </c>
      <c r="AA18" s="9">
        <f>SQRT((Model_Data!A18)^2+Inputs!$C$6^2+((Model_Data!B18)-((Inputs!$C$51*(115*EXP(-(((Inputs!$C$6)-25)^2)/(4.5^2))+70*EXP(-(((Inputs!$C$6)+38)^2)/(7^2))*(0.55+0.45*SIN(2*PI()*(Model_Data!A18)/45))+24*SIN(2*PI()*(Inputs!$C$6)/9+(Model_Data!A18)/18)*EXP(-(((Inputs!$C$6)+5)^2)/(22^2))+18*SIN(2*PI()*(Model_Data!A18)/70))+Inputs!$C$28*EXP(-(((Model_Data!A18)-Inputs!$C$29)^2)/(2*Inputs!$C$31^2))*EXP(-(((Inputs!$C$6)-Inputs!$C$30)^2)/(2*Inputs!$C$32^2))+-Inputs!$C$33*EXP(-(((((Model_Data!A18)-Inputs!$C$34)^2)+(((Inputs!$C$6)-Inputs!$C$35)^2))/(2*Inputs!$C$36^2)))+Inputs!$C$37*(0.55*SIN(2*PI()*(Model_Data!A18)/Inputs!$C$39)+0.35*COS(2*PI()*(Inputs!$C$6)/Inputs!$C$40)+0.2*SIN(2*PI()*((Model_Data!A18)+(Inputs!$C$6))/(0.5*(Inputs!$C$39+Inputs!$C$40))))+Inputs!$C$38*SIN(2*PI()*(Model_Data!A18)/Inputs!$C$39)*SIN(2*PI()*(Inputs!$C$6)/Inputs!$C$40)+-Inputs!$C$41*EXP(-(((Inputs!$C$6)-Inputs!$C$43)^2)/(2*Inputs!$C$44^2))*EXP(-(((Model_Data!A18)-Inputs!$C$42)^2)/(2*Inputs!$C$45^2))+Inputs!$C$48*(0.7*(0.45*SIN(2*PI()*(((Model_Data!A18)/Inputs!$C$49)+Inputs!$C$47*0.137))+0.35*COS(2*PI()*(((Inputs!$C$6)/Inputs!$C$50)+Inputs!$C$47*0.173))+0.2*SIN(2*PI()*(((Model_Data!A18)+(Inputs!$C$6))/(0.5*(Inputs!$C$49+Inputs!$C$50))+Inputs!$C$47*0.097)))+0.3*(2*((SIN(((Model_Data!A18)*12.9898+(Inputs!$C$6)*78.233+Inputs!$C$47*37.719))*43758.5453)-INT((SIN(((Model_Data!A18)*12.9898+(Inputs!$C$6)*78.233+Inputs!$C$47*37.719))*43758.5453)))-1))))/1000)^2)</f>
        <v>406.87491406334232</v>
      </c>
      <c r="AB18" s="9">
        <f>1000*(AA19-AA17)/(Z19-Z17)*Inputs!$C$11</f>
        <v>-1099.0796071673685</v>
      </c>
      <c r="AC18" s="9">
        <f>-2*AB18/Inputs!$C$13</f>
        <v>439.63184286694741</v>
      </c>
      <c r="AD18" s="9">
        <f>-2*AB18/Inputs!$C$14</f>
        <v>66.010787217259377</v>
      </c>
    </row>
    <row r="19" spans="1:30">
      <c r="A19" s="9">
        <f>Model_Data!A19</f>
        <v>-51.5</v>
      </c>
      <c r="B19" s="9">
        <f>((SQRT((Model_Data!A19)^2+Inputs!$C$6^2+Inputs!$C$5^2)-Inputs!$C$5)*1000/Inputs!$C$12)</f>
        <v>2289.7737893275739</v>
      </c>
      <c r="C19" s="9">
        <f>Model_Data!F19</f>
        <v>2273.1946646580468</v>
      </c>
      <c r="D19" s="9">
        <f>(((SQRT((Model_Data!A19)^2+Inputs!$C$6^2+((Model_Data!B19)-((Inputs!$C$51*(115*EXP(-(((Inputs!$C$6)-25)^2)/(4.5^2))+70*EXP(-(((Inputs!$C$6)+38)^2)/(7^2))*(0.55+0.45*SIN(2*PI()*(Model_Data!A19)/45))+24*SIN(2*PI()*(Inputs!$C$6)/9+(Model_Data!A19)/18)*EXP(-(((Inputs!$C$6)+5)^2)/(22^2))+18*SIN(2*PI()*(Model_Data!A19)/70))+Inputs!$C$28*EXP(-(((Model_Data!A19)-Inputs!$C$29)^2)/(2*Inputs!$C$31^2))*EXP(-(((Inputs!$C$6)-Inputs!$C$30)^2)/(2*Inputs!$C$32^2))+-Inputs!$C$33*EXP(-(((((Model_Data!A19)-Inputs!$C$34)^2)+(((Inputs!$C$6)-Inputs!$C$35)^2))/(2*Inputs!$C$36^2)))+Inputs!$C$37*(0.55*SIN(2*PI()*(Model_Data!A19)/Inputs!$C$39)+0.35*COS(2*PI()*(Inputs!$C$6)/Inputs!$C$40)+0.2*SIN(2*PI()*((Model_Data!A19)+(Inputs!$C$6))/(0.5*(Inputs!$C$39+Inputs!$C$40))))+Inputs!$C$38*SIN(2*PI()*(Model_Data!A19)/Inputs!$C$39)*SIN(2*PI()*(Inputs!$C$6)/Inputs!$C$40)+-Inputs!$C$41*EXP(-(((Inputs!$C$6)-Inputs!$C$43)^2)/(2*Inputs!$C$44^2))*EXP(-(((Model_Data!A19)-Inputs!$C$42)^2)/(2*Inputs!$C$45^2))+Inputs!$C$48*(0.7*(0.45*SIN(2*PI()*(((Model_Data!A19)/Inputs!$C$49)+Inputs!$C$47*0.137))+0.35*COS(2*PI()*(((Inputs!$C$6)/Inputs!$C$50)+Inputs!$C$47*0.173))+0.2*SIN(2*PI()*(((Model_Data!A19)+(Inputs!$C$6))/(0.5*(Inputs!$C$49+Inputs!$C$50))+Inputs!$C$47*0.097)))+0.3*(2*((SIN(((Model_Data!A19)*12.9898+(Inputs!$C$6)*78.233+Inputs!$C$47*37.719))*43758.5453)-INT((SIN(((Model_Data!A19)*12.9898+(Inputs!$C$6)*78.233+Inputs!$C$47*37.719))*43758.5453)))-1))))/1000)^2))-(((Model_Data!B19)-((Inputs!$C$51*(115*EXP(-(((0)-25)^2)/(4.5^2))+70*EXP(-(((0)+38)^2)/(7^2))*(0.55+0.45*SIN(2*PI()*(Model_Data!A19)/45))+24*SIN(2*PI()*(0)/9+(Model_Data!A19)/18)*EXP(-(((0)+5)^2)/(22^2))+18*SIN(2*PI()*(Model_Data!A19)/70))+Inputs!$C$28*EXP(-(((Model_Data!A19)-Inputs!$C$29)^2)/(2*Inputs!$C$31^2))*EXP(-(((0)-Inputs!$C$30)^2)/(2*Inputs!$C$32^2))+-Inputs!$C$33*EXP(-(((((Model_Data!A19)-Inputs!$C$34)^2)+(((0)-Inputs!$C$35)^2))/(2*Inputs!$C$36^2)))+Inputs!$C$37*(0.55*SIN(2*PI()*(Model_Data!A19)/Inputs!$C$39)+0.35*COS(2*PI()*(0)/Inputs!$C$40)+0.2*SIN(2*PI()*((Model_Data!A19)+(0))/(0.5*(Inputs!$C$39+Inputs!$C$40))))+Inputs!$C$38*SIN(2*PI()*(Model_Data!A19)/Inputs!$C$39)*SIN(2*PI()*(0)/Inputs!$C$40)+-Inputs!$C$41*EXP(-(((0)-Inputs!$C$43)^2)/(2*Inputs!$C$44^2))*EXP(-(((Model_Data!A19)-Inputs!$C$42)^2)/(2*Inputs!$C$45^2))+Inputs!$C$48*(0.7*(0.45*SIN(2*PI()*(((Model_Data!A19)/Inputs!$C$49)+Inputs!$C$47*0.137))+0.35*COS(2*PI()*(((0)/Inputs!$C$50)+Inputs!$C$47*0.173))+0.2*SIN(2*PI()*(((Model_Data!A19)+(0))/(0.5*(Inputs!$C$49+Inputs!$C$50))+Inputs!$C$47*0.097)))+0.3*(2*((SIN(((Model_Data!A19)*12.9898+(0)*78.233+Inputs!$C$47*37.719))*43758.5453)-INT((SIN(((Model_Data!A19)*12.9898+(0)*78.233+Inputs!$C$47*37.719))*43758.5453)))-1))))/1000)))*1000/Inputs!$C$12)</f>
        <v>2146.0575345893021</v>
      </c>
      <c r="E19" s="9">
        <f>Model_Data!A19</f>
        <v>-51.5</v>
      </c>
      <c r="F19" s="9">
        <f>(Inputs!$C$51*(115*EXP(-(((Inputs!$C$6)-25)^2)/(4.5^2))+70*EXP(-(((Inputs!$C$6)+38)^2)/(7^2))*(0.55+0.45*SIN(2*PI()*(Model_Data!A19)/45))+24*SIN(2*PI()*(Inputs!$C$6)/9+(Model_Data!A19)/18)*EXP(-(((Inputs!$C$6)+5)^2)/(22^2))+18*SIN(2*PI()*(Model_Data!A19)/70))+Inputs!$C$28*EXP(-(((Model_Data!A19)-Inputs!$C$29)^2)/(2*Inputs!$C$31^2))*EXP(-(((Inputs!$C$6)-Inputs!$C$30)^2)/(2*Inputs!$C$32^2))+-Inputs!$C$33*EXP(-(((((Model_Data!A19)-Inputs!$C$34)^2)+(((Inputs!$C$6)-Inputs!$C$35)^2))/(2*Inputs!$C$36^2)))+Inputs!$C$37*(0.55*SIN(2*PI()*(Model_Data!A19)/Inputs!$C$39)+0.35*COS(2*PI()*(Inputs!$C$6)/Inputs!$C$40)+0.2*SIN(2*PI()*((Model_Data!A19)+(Inputs!$C$6))/(0.5*(Inputs!$C$39+Inputs!$C$40))))+Inputs!$C$38*SIN(2*PI()*(Model_Data!A19)/Inputs!$C$39)*SIN(2*PI()*(Inputs!$C$6)/Inputs!$C$40)+-Inputs!$C$41*EXP(-(((Inputs!$C$6)-Inputs!$C$43)^2)/(2*Inputs!$C$44^2))*EXP(-(((Model_Data!A19)-Inputs!$C$42)^2)/(2*Inputs!$C$45^2))+Inputs!$C$48*(0.7*(0.45*SIN(2*PI()*(((Model_Data!A19)/Inputs!$C$49)+Inputs!$C$47*0.137))+0.35*COS(2*PI()*(((Inputs!$C$6)/Inputs!$C$50)+Inputs!$C$47*0.173))+0.2*SIN(2*PI()*(((Model_Data!A19)+(Inputs!$C$6))/(0.5*(Inputs!$C$49+Inputs!$C$50))+Inputs!$C$47*0.097)))+0.3*(2*((SIN(((Model_Data!A19)*12.9898+(Inputs!$C$6)*78.233+Inputs!$C$47*37.719))*43758.5453)-INT((SIN(((Model_Data!A19)*12.9898+(Inputs!$C$6)*78.233+Inputs!$C$47*37.719))*43758.5453)))-1)))</f>
        <v>261.3961473371179</v>
      </c>
      <c r="G19" s="9">
        <f>(Inputs!$C$51*(115*EXP(-(((0)-25)^2)/(4.5^2))+70*EXP(-(((0)+38)^2)/(7^2))*(0.55+0.45*SIN(2*PI()*(Model_Data!A19)/45))+24*SIN(2*PI()*(0)/9+(Model_Data!A19)/18)*EXP(-(((0)+5)^2)/(22^2))+18*SIN(2*PI()*(Model_Data!A19)/70))+Inputs!$C$28*EXP(-(((Model_Data!A19)-Inputs!$C$29)^2)/(2*Inputs!$C$31^2))*EXP(-(((0)-Inputs!$C$30)^2)/(2*Inputs!$C$32^2))+-Inputs!$C$33*EXP(-(((((Model_Data!A19)-Inputs!$C$34)^2)+(((0)-Inputs!$C$35)^2))/(2*Inputs!$C$36^2)))+Inputs!$C$37*(0.55*SIN(2*PI()*(Model_Data!A19)/Inputs!$C$39)+0.35*COS(2*PI()*(0)/Inputs!$C$40)+0.2*SIN(2*PI()*((Model_Data!A19)+(0))/(0.5*(Inputs!$C$39+Inputs!$C$40))))+Inputs!$C$38*SIN(2*PI()*(Model_Data!A19)/Inputs!$C$39)*SIN(2*PI()*(0)/Inputs!$C$40)+-Inputs!$C$41*EXP(-(((0)-Inputs!$C$43)^2)/(2*Inputs!$C$44^2))*EXP(-(((Model_Data!A19)-Inputs!$C$42)^2)/(2*Inputs!$C$45^2))+Inputs!$C$48*(0.7*(0.45*SIN(2*PI()*(((Model_Data!A19)/Inputs!$C$49)+Inputs!$C$47*0.137))+0.35*COS(2*PI()*(((0)/Inputs!$C$50)+Inputs!$C$47*0.173))+0.2*SIN(2*PI()*(((Model_Data!A19)+(0))/(0.5*(Inputs!$C$49+Inputs!$C$50))+Inputs!$C$47*0.097)))+0.3*(2*((SIN(((Model_Data!A19)*12.9898+(0)*78.233+Inputs!$C$47*37.719))*43758.5453)-INT((SIN(((Model_Data!A19)*12.9898+(0)*78.233+Inputs!$C$47*37.719))*43758.5453)))-1)))</f>
        <v>32.491619283106324</v>
      </c>
      <c r="H19" s="10"/>
      <c r="I19" s="9">
        <f>Model_Data!A19</f>
        <v>-51.5</v>
      </c>
      <c r="J19" s="9">
        <f>(Inputs!$C$51*(115*EXP(-(((Inputs!$C$6)-25)^2)/(4.5^2))+70*EXP(-(((Inputs!$C$6)+38)^2)/(7^2))*(0.55+0.45*SIN(2*PI()*(Model_Data!A19)/45))+24*SIN(2*PI()*(Inputs!$C$6)/9+(Model_Data!A19)/18)*EXP(-(((Inputs!$C$6)+5)^2)/(22^2))+18*SIN(2*PI()*(Model_Data!A19)/70))+Inputs!$C$28*EXP(-(((Model_Data!A19)-Inputs!$C$29)^2)/(2*Inputs!$C$31^2))*EXP(-(((Inputs!$C$6)-Inputs!$C$30)^2)/(2*Inputs!$C$32^2))+-Inputs!$C$33*EXP(-(((((Model_Data!A19)-Inputs!$C$34)^2)+(((Inputs!$C$6)-Inputs!$C$35)^2))/(2*Inputs!$C$36^2)))+Inputs!$C$37*(0.55*SIN(2*PI()*(Model_Data!A19)/Inputs!$C$39)+0.35*COS(2*PI()*(Inputs!$C$6)/Inputs!$C$40)+0.2*SIN(2*PI()*((Model_Data!A19)+(Inputs!$C$6))/(0.5*(Inputs!$C$39+Inputs!$C$40))))+Inputs!$C$38*SIN(2*PI()*(Model_Data!A19)/Inputs!$C$39)*SIN(2*PI()*(Inputs!$C$6)/Inputs!$C$40)+-Inputs!$C$41*EXP(-(((Inputs!$C$6)-Inputs!$C$43)^2)/(2*Inputs!$C$44^2))*EXP(-(((Model_Data!A19)-Inputs!$C$42)^2)/(2*Inputs!$C$45^2))+Inputs!$C$48*(0.7*(0.45*SIN(2*PI()*(((Model_Data!A19)/Inputs!$C$49)+Inputs!$C$47*0.137))+0.35*COS(2*PI()*(((Inputs!$C$6)/Inputs!$C$50)+Inputs!$C$47*0.173))+0.2*SIN(2*PI()*(((Model_Data!A19)+(Inputs!$C$6))/(0.5*(Inputs!$C$49+Inputs!$C$50))+Inputs!$C$47*0.097)))+0.3*(2*((SIN(((Model_Data!A19)*12.9898+(Inputs!$C$6)*78.233+Inputs!$C$47*37.719))*43758.5453)-INT((SIN(((Model_Data!A19)*12.9898+(Inputs!$C$6)*78.233+Inputs!$C$47*37.719))*43758.5453)))-1)))</f>
        <v>261.3961473371179</v>
      </c>
      <c r="K19" s="9">
        <f>-((((SQRT((Model_Data!A19)^2+Inputs!$C$6^2+((Model_Data!B19)-((Inputs!$C$51*(115*EXP(-(((Inputs!$C$6)-25)^2)/(4.5^2))+70*EXP(-(((Inputs!$C$6)+38)^2)/(7^2))*(0.55+0.45*SIN(2*PI()*(Model_Data!A19)/45))+24*SIN(2*PI()*(Inputs!$C$6)/9+(Model_Data!A19)/18)*EXP(-(((Inputs!$C$6)+5)^2)/(22^2))+18*SIN(2*PI()*(Model_Data!A19)/70))+Inputs!$C$28*EXP(-(((Model_Data!A19)-Inputs!$C$29)^2)/(2*Inputs!$C$31^2))*EXP(-(((Inputs!$C$6)-Inputs!$C$30)^2)/(2*Inputs!$C$32^2))+-Inputs!$C$33*EXP(-(((((Model_Data!A19)-Inputs!$C$34)^2)+(((Inputs!$C$6)-Inputs!$C$35)^2))/(2*Inputs!$C$36^2)))+Inputs!$C$37*(0.55*SIN(2*PI()*(Model_Data!A19)/Inputs!$C$39)+0.35*COS(2*PI()*(Inputs!$C$6)/Inputs!$C$40)+0.2*SIN(2*PI()*((Model_Data!A19)+(Inputs!$C$6))/(0.5*(Inputs!$C$39+Inputs!$C$40))))+Inputs!$C$38*SIN(2*PI()*(Model_Data!A19)/Inputs!$C$39)*SIN(2*PI()*(Inputs!$C$6)/Inputs!$C$40)+-Inputs!$C$41*EXP(-(((Inputs!$C$6)-Inputs!$C$43)^2)/(2*Inputs!$C$44^2))*EXP(-(((Model_Data!A19)-Inputs!$C$42)^2)/(2*Inputs!$C$45^2))+Inputs!$C$48*(0.7*(0.45*SIN(2*PI()*(((Model_Data!A19)/Inputs!$C$49)+Inputs!$C$47*0.137))+0.35*COS(2*PI()*(((Inputs!$C$6)/Inputs!$C$50)+Inputs!$C$47*0.173))+0.2*SIN(2*PI()*(((Model_Data!A19)+(Inputs!$C$6))/(0.5*(Inputs!$C$49+Inputs!$C$50))+Inputs!$C$47*0.097)))+0.3*(2*((SIN(((Model_Data!A19)*12.9898+(Inputs!$C$6)*78.233+Inputs!$C$47*37.719))*43758.5453)-INT((SIN(((Model_Data!A19)*12.9898+(Inputs!$C$6)*78.233+Inputs!$C$47*37.719))*43758.5453)))-1))))/1000)^2))-(((Model_Data!B19)-((Inputs!$C$51*(115*EXP(-(((0)-25)^2)/(4.5^2))+70*EXP(-(((0)+38)^2)/(7^2))*(0.55+0.45*SIN(2*PI()*(Model_Data!A19)/45))+24*SIN(2*PI()*(0)/9+(Model_Data!A19)/18)*EXP(-(((0)+5)^2)/(22^2))+18*SIN(2*PI()*(Model_Data!A19)/70))+Inputs!$C$28*EXP(-(((Model_Data!A19)-Inputs!$C$29)^2)/(2*Inputs!$C$31^2))*EXP(-(((0)-Inputs!$C$30)^2)/(2*Inputs!$C$32^2))+-Inputs!$C$33*EXP(-(((((Model_Data!A19)-Inputs!$C$34)^2)+(((0)-Inputs!$C$35)^2))/(2*Inputs!$C$36^2)))+Inputs!$C$37*(0.55*SIN(2*PI()*(Model_Data!A19)/Inputs!$C$39)+0.35*COS(2*PI()*(0)/Inputs!$C$40)+0.2*SIN(2*PI()*((Model_Data!A19)+(0))/(0.5*(Inputs!$C$39+Inputs!$C$40))))+Inputs!$C$38*SIN(2*PI()*(Model_Data!A19)/Inputs!$C$39)*SIN(2*PI()*(0)/Inputs!$C$40)+-Inputs!$C$41*EXP(-(((0)-Inputs!$C$43)^2)/(2*Inputs!$C$44^2))*EXP(-(((Model_Data!A19)-Inputs!$C$42)^2)/(2*Inputs!$C$45^2))+Inputs!$C$48*(0.7*(0.45*SIN(2*PI()*(((Model_Data!A19)/Inputs!$C$49)+Inputs!$C$47*0.137))+0.35*COS(2*PI()*(((0)/Inputs!$C$50)+Inputs!$C$47*0.173))+0.2*SIN(2*PI()*(((Model_Data!A19)+(0))/(0.5*(Inputs!$C$49+Inputs!$C$50))+Inputs!$C$47*0.097)))+0.3*(2*((SIN(((Model_Data!A19)*12.9898+(0)*78.233+Inputs!$C$47*37.719))*43758.5453)-INT((SIN(((Model_Data!A19)*12.9898+(0)*78.233+Inputs!$C$47*37.719))*43758.5453)))-1))))/1000)))*1000/Inputs!$C$12)-Model_Data!F19)</f>
        <v>127.13713006874468</v>
      </c>
      <c r="L19" s="10"/>
      <c r="M19" s="9">
        <f>Model_Data!A19</f>
        <v>-51.5</v>
      </c>
      <c r="N19" s="9">
        <f>Model_Data!P19</f>
        <v>383.75100822299083</v>
      </c>
      <c r="O19" s="9">
        <f t="shared" si="0"/>
        <v>400.85658017524111</v>
      </c>
      <c r="P19" s="9">
        <f>Model_Data!Q19</f>
        <v>57.620271504953578</v>
      </c>
      <c r="Q19" s="9">
        <f t="shared" si="1"/>
        <v>60.18867570198816</v>
      </c>
      <c r="R19" s="10"/>
      <c r="S19" s="9">
        <f>Model_Data!A19</f>
        <v>-51.5</v>
      </c>
      <c r="T19" s="9">
        <f>Model_Data!B19-Inputs!$C$5</f>
        <v>2.9469444444444548</v>
      </c>
      <c r="U19" s="10"/>
      <c r="V19" s="9">
        <f>Model_Data!A19</f>
        <v>-51.5</v>
      </c>
      <c r="W19" s="9">
        <f>((SQRT((Model_Data!A19)^2+Inputs!$C$6^2+Inputs!$C$5^2)-Inputs!$C$5)*1000/Inputs!$C$12)</f>
        <v>2289.7737893275739</v>
      </c>
      <c r="X19" s="9">
        <f>Model_Data!F19</f>
        <v>2273.1946646580468</v>
      </c>
      <c r="Y19" s="10"/>
      <c r="Z19" s="9">
        <f>Model_Data!A19</f>
        <v>-51.5</v>
      </c>
      <c r="AA19" s="9">
        <f>SQRT((Model_Data!A19)^2+Inputs!$C$6^2+((Model_Data!B19)-((Inputs!$C$51*(115*EXP(-(((Inputs!$C$6)-25)^2)/(4.5^2))+70*EXP(-(((Inputs!$C$6)+38)^2)/(7^2))*(0.55+0.45*SIN(2*PI()*(Model_Data!A19)/45))+24*SIN(2*PI()*(Inputs!$C$6)/9+(Model_Data!A19)/18)*EXP(-(((Inputs!$C$6)+5)^2)/(22^2))+18*SIN(2*PI()*(Model_Data!A19)/70))+Inputs!$C$28*EXP(-(((Model_Data!A19)-Inputs!$C$29)^2)/(2*Inputs!$C$31^2))*EXP(-(((Inputs!$C$6)-Inputs!$C$30)^2)/(2*Inputs!$C$32^2))+-Inputs!$C$33*EXP(-(((((Model_Data!A19)-Inputs!$C$34)^2)+(((Inputs!$C$6)-Inputs!$C$35)^2))/(2*Inputs!$C$36^2)))+Inputs!$C$37*(0.55*SIN(2*PI()*(Model_Data!A19)/Inputs!$C$39)+0.35*COS(2*PI()*(Inputs!$C$6)/Inputs!$C$40)+0.2*SIN(2*PI()*((Model_Data!A19)+(Inputs!$C$6))/(0.5*(Inputs!$C$39+Inputs!$C$40))))+Inputs!$C$38*SIN(2*PI()*(Model_Data!A19)/Inputs!$C$39)*SIN(2*PI()*(Inputs!$C$6)/Inputs!$C$40)+-Inputs!$C$41*EXP(-(((Inputs!$C$6)-Inputs!$C$43)^2)/(2*Inputs!$C$44^2))*EXP(-(((Model_Data!A19)-Inputs!$C$42)^2)/(2*Inputs!$C$45^2))+Inputs!$C$48*(0.7*(0.45*SIN(2*PI()*(((Model_Data!A19)/Inputs!$C$49)+Inputs!$C$47*0.137))+0.35*COS(2*PI()*(((Inputs!$C$6)/Inputs!$C$50)+Inputs!$C$47*0.173))+0.2*SIN(2*PI()*(((Model_Data!A19)+(Inputs!$C$6))/(0.5*(Inputs!$C$49+Inputs!$C$50))+Inputs!$C$47*0.097)))+0.3*(2*((SIN(((Model_Data!A19)*12.9898+(Inputs!$C$6)*78.233+Inputs!$C$47*37.719))*43758.5453)-INT((SIN(((Model_Data!A19)*12.9898+(Inputs!$C$6)*78.233+Inputs!$C$47*37.719))*43758.5453)))-1))))/1000)^2)</f>
        <v>406.73443523673029</v>
      </c>
      <c r="AB19" s="9">
        <f>1000*(AA20-AA18)/(Z20-Z18)*Inputs!$C$11</f>
        <v>-1002.1414504381028</v>
      </c>
      <c r="AC19" s="9">
        <f>-2*AB19/Inputs!$C$13</f>
        <v>400.85658017524111</v>
      </c>
      <c r="AD19" s="9">
        <f>-2*AB19/Inputs!$C$14</f>
        <v>60.18867570198816</v>
      </c>
    </row>
    <row r="20" spans="1:30">
      <c r="A20" s="9">
        <f>Model_Data!A20</f>
        <v>-51</v>
      </c>
      <c r="B20" s="9">
        <f>((SQRT((Model_Data!A20)^2+Inputs!$C$6^2+Inputs!$C$5^2)-Inputs!$C$5)*1000/Inputs!$C$12)</f>
        <v>2254.1438472253849</v>
      </c>
      <c r="C20" s="9">
        <f>Model_Data!F20</f>
        <v>2238.133363530445</v>
      </c>
      <c r="D20" s="9">
        <f>(((SQRT((Model_Data!A20)^2+Inputs!$C$6^2+((Model_Data!B20)-((Inputs!$C$51*(115*EXP(-(((Inputs!$C$6)-25)^2)/(4.5^2))+70*EXP(-(((Inputs!$C$6)+38)^2)/(7^2))*(0.55+0.45*SIN(2*PI()*(Model_Data!A20)/45))+24*SIN(2*PI()*(Inputs!$C$6)/9+(Model_Data!A20)/18)*EXP(-(((Inputs!$C$6)+5)^2)/(22^2))+18*SIN(2*PI()*(Model_Data!A20)/70))+Inputs!$C$28*EXP(-(((Model_Data!A20)-Inputs!$C$29)^2)/(2*Inputs!$C$31^2))*EXP(-(((Inputs!$C$6)-Inputs!$C$30)^2)/(2*Inputs!$C$32^2))+-Inputs!$C$33*EXP(-(((((Model_Data!A20)-Inputs!$C$34)^2)+(((Inputs!$C$6)-Inputs!$C$35)^2))/(2*Inputs!$C$36^2)))+Inputs!$C$37*(0.55*SIN(2*PI()*(Model_Data!A20)/Inputs!$C$39)+0.35*COS(2*PI()*(Inputs!$C$6)/Inputs!$C$40)+0.2*SIN(2*PI()*((Model_Data!A20)+(Inputs!$C$6))/(0.5*(Inputs!$C$39+Inputs!$C$40))))+Inputs!$C$38*SIN(2*PI()*(Model_Data!A20)/Inputs!$C$39)*SIN(2*PI()*(Inputs!$C$6)/Inputs!$C$40)+-Inputs!$C$41*EXP(-(((Inputs!$C$6)-Inputs!$C$43)^2)/(2*Inputs!$C$44^2))*EXP(-(((Model_Data!A20)-Inputs!$C$42)^2)/(2*Inputs!$C$45^2))+Inputs!$C$48*(0.7*(0.45*SIN(2*PI()*(((Model_Data!A20)/Inputs!$C$49)+Inputs!$C$47*0.137))+0.35*COS(2*PI()*(((Inputs!$C$6)/Inputs!$C$50)+Inputs!$C$47*0.173))+0.2*SIN(2*PI()*(((Model_Data!A20)+(Inputs!$C$6))/(0.5*(Inputs!$C$49+Inputs!$C$50))+Inputs!$C$47*0.097)))+0.3*(2*((SIN(((Model_Data!A20)*12.9898+(Inputs!$C$6)*78.233+Inputs!$C$47*37.719))*43758.5453)-INT((SIN(((Model_Data!A20)*12.9898+(Inputs!$C$6)*78.233+Inputs!$C$47*37.719))*43758.5453)))-1))))/1000)^2))-(((Model_Data!B20)-((Inputs!$C$51*(115*EXP(-(((0)-25)^2)/(4.5^2))+70*EXP(-(((0)+38)^2)/(7^2))*(0.55+0.45*SIN(2*PI()*(Model_Data!A20)/45))+24*SIN(2*PI()*(0)/9+(Model_Data!A20)/18)*EXP(-(((0)+5)^2)/(22^2))+18*SIN(2*PI()*(Model_Data!A20)/70))+Inputs!$C$28*EXP(-(((Model_Data!A20)-Inputs!$C$29)^2)/(2*Inputs!$C$31^2))*EXP(-(((0)-Inputs!$C$30)^2)/(2*Inputs!$C$32^2))+-Inputs!$C$33*EXP(-(((((Model_Data!A20)-Inputs!$C$34)^2)+(((0)-Inputs!$C$35)^2))/(2*Inputs!$C$36^2)))+Inputs!$C$37*(0.55*SIN(2*PI()*(Model_Data!A20)/Inputs!$C$39)+0.35*COS(2*PI()*(0)/Inputs!$C$40)+0.2*SIN(2*PI()*((Model_Data!A20)+(0))/(0.5*(Inputs!$C$39+Inputs!$C$40))))+Inputs!$C$38*SIN(2*PI()*(Model_Data!A20)/Inputs!$C$39)*SIN(2*PI()*(0)/Inputs!$C$40)+-Inputs!$C$41*EXP(-(((0)-Inputs!$C$43)^2)/(2*Inputs!$C$44^2))*EXP(-(((Model_Data!A20)-Inputs!$C$42)^2)/(2*Inputs!$C$45^2))+Inputs!$C$48*(0.7*(0.45*SIN(2*PI()*(((Model_Data!A20)/Inputs!$C$49)+Inputs!$C$47*0.137))+0.35*COS(2*PI()*(((0)/Inputs!$C$50)+Inputs!$C$47*0.173))+0.2*SIN(2*PI()*(((Model_Data!A20)+(0))/(0.5*(Inputs!$C$49+Inputs!$C$50))+Inputs!$C$47*0.097)))+0.3*(2*((SIN(((Model_Data!A20)*12.9898+(0)*78.233+Inputs!$C$47*37.719))*43758.5453)-INT((SIN(((Model_Data!A20)*12.9898+(0)*78.233+Inputs!$C$47*37.719))*43758.5453)))-1))))/1000)))*1000/Inputs!$C$12)</f>
        <v>2119.9368074828944</v>
      </c>
      <c r="E20" s="9">
        <f>Model_Data!A20</f>
        <v>-51</v>
      </c>
      <c r="F20" s="9">
        <f>(Inputs!$C$51*(115*EXP(-(((Inputs!$C$6)-25)^2)/(4.5^2))+70*EXP(-(((Inputs!$C$6)+38)^2)/(7^2))*(0.55+0.45*SIN(2*PI()*(Model_Data!A20)/45))+24*SIN(2*PI()*(Inputs!$C$6)/9+(Model_Data!A20)/18)*EXP(-(((Inputs!$C$6)+5)^2)/(22^2))+18*SIN(2*PI()*(Model_Data!A20)/70))+Inputs!$C$28*EXP(-(((Model_Data!A20)-Inputs!$C$29)^2)/(2*Inputs!$C$31^2))*EXP(-(((Inputs!$C$6)-Inputs!$C$30)^2)/(2*Inputs!$C$32^2))+-Inputs!$C$33*EXP(-(((((Model_Data!A20)-Inputs!$C$34)^2)+(((Inputs!$C$6)-Inputs!$C$35)^2))/(2*Inputs!$C$36^2)))+Inputs!$C$37*(0.55*SIN(2*PI()*(Model_Data!A20)/Inputs!$C$39)+0.35*COS(2*PI()*(Inputs!$C$6)/Inputs!$C$40)+0.2*SIN(2*PI()*((Model_Data!A20)+(Inputs!$C$6))/(0.5*(Inputs!$C$39+Inputs!$C$40))))+Inputs!$C$38*SIN(2*PI()*(Model_Data!A20)/Inputs!$C$39)*SIN(2*PI()*(Inputs!$C$6)/Inputs!$C$40)+-Inputs!$C$41*EXP(-(((Inputs!$C$6)-Inputs!$C$43)^2)/(2*Inputs!$C$44^2))*EXP(-(((Model_Data!A20)-Inputs!$C$42)^2)/(2*Inputs!$C$45^2))+Inputs!$C$48*(0.7*(0.45*SIN(2*PI()*(((Model_Data!A20)/Inputs!$C$49)+Inputs!$C$47*0.137))+0.35*COS(2*PI()*(((Inputs!$C$6)/Inputs!$C$50)+Inputs!$C$47*0.173))+0.2*SIN(2*PI()*(((Model_Data!A20)+(Inputs!$C$6))/(0.5*(Inputs!$C$49+Inputs!$C$50))+Inputs!$C$47*0.097)))+0.3*(2*((SIN(((Model_Data!A20)*12.9898+(Inputs!$C$6)*78.233+Inputs!$C$47*37.719))*43758.5453)-INT((SIN(((Model_Data!A20)*12.9898+(Inputs!$C$6)*78.233+Inputs!$C$47*37.719))*43758.5453)))-1)))</f>
        <v>251.96732827517536</v>
      </c>
      <c r="G20" s="9">
        <f>(Inputs!$C$51*(115*EXP(-(((0)-25)^2)/(4.5^2))+70*EXP(-(((0)+38)^2)/(7^2))*(0.55+0.45*SIN(2*PI()*(Model_Data!A20)/45))+24*SIN(2*PI()*(0)/9+(Model_Data!A20)/18)*EXP(-(((0)+5)^2)/(22^2))+18*SIN(2*PI()*(Model_Data!A20)/70))+Inputs!$C$28*EXP(-(((Model_Data!A20)-Inputs!$C$29)^2)/(2*Inputs!$C$31^2))*EXP(-(((0)-Inputs!$C$30)^2)/(2*Inputs!$C$32^2))+-Inputs!$C$33*EXP(-(((((Model_Data!A20)-Inputs!$C$34)^2)+(((0)-Inputs!$C$35)^2))/(2*Inputs!$C$36^2)))+Inputs!$C$37*(0.55*SIN(2*PI()*(Model_Data!A20)/Inputs!$C$39)+0.35*COS(2*PI()*(0)/Inputs!$C$40)+0.2*SIN(2*PI()*((Model_Data!A20)+(0))/(0.5*(Inputs!$C$39+Inputs!$C$40))))+Inputs!$C$38*SIN(2*PI()*(Model_Data!A20)/Inputs!$C$39)*SIN(2*PI()*(0)/Inputs!$C$40)+-Inputs!$C$41*EXP(-(((0)-Inputs!$C$43)^2)/(2*Inputs!$C$44^2))*EXP(-(((Model_Data!A20)-Inputs!$C$42)^2)/(2*Inputs!$C$45^2))+Inputs!$C$48*(0.7*(0.45*SIN(2*PI()*(((Model_Data!A20)/Inputs!$C$49)+Inputs!$C$47*0.137))+0.35*COS(2*PI()*(((0)/Inputs!$C$50)+Inputs!$C$47*0.173))+0.2*SIN(2*PI()*(((Model_Data!A20)+(0))/(0.5*(Inputs!$C$49+Inputs!$C$50))+Inputs!$C$47*0.097)))+0.3*(2*((SIN(((Model_Data!A20)*12.9898+(0)*78.233+Inputs!$C$47*37.719))*43758.5453)-INT((SIN(((Model_Data!A20)*12.9898+(0)*78.233+Inputs!$C$47*37.719))*43758.5453)))-1)))</f>
        <v>39.108816586772562</v>
      </c>
      <c r="H20" s="10"/>
      <c r="I20" s="9">
        <f>Model_Data!A20</f>
        <v>-51</v>
      </c>
      <c r="J20" s="9">
        <f>(Inputs!$C$51*(115*EXP(-(((Inputs!$C$6)-25)^2)/(4.5^2))+70*EXP(-(((Inputs!$C$6)+38)^2)/(7^2))*(0.55+0.45*SIN(2*PI()*(Model_Data!A20)/45))+24*SIN(2*PI()*(Inputs!$C$6)/9+(Model_Data!A20)/18)*EXP(-(((Inputs!$C$6)+5)^2)/(22^2))+18*SIN(2*PI()*(Model_Data!A20)/70))+Inputs!$C$28*EXP(-(((Model_Data!A20)-Inputs!$C$29)^2)/(2*Inputs!$C$31^2))*EXP(-(((Inputs!$C$6)-Inputs!$C$30)^2)/(2*Inputs!$C$32^2))+-Inputs!$C$33*EXP(-(((((Model_Data!A20)-Inputs!$C$34)^2)+(((Inputs!$C$6)-Inputs!$C$35)^2))/(2*Inputs!$C$36^2)))+Inputs!$C$37*(0.55*SIN(2*PI()*(Model_Data!A20)/Inputs!$C$39)+0.35*COS(2*PI()*(Inputs!$C$6)/Inputs!$C$40)+0.2*SIN(2*PI()*((Model_Data!A20)+(Inputs!$C$6))/(0.5*(Inputs!$C$39+Inputs!$C$40))))+Inputs!$C$38*SIN(2*PI()*(Model_Data!A20)/Inputs!$C$39)*SIN(2*PI()*(Inputs!$C$6)/Inputs!$C$40)+-Inputs!$C$41*EXP(-(((Inputs!$C$6)-Inputs!$C$43)^2)/(2*Inputs!$C$44^2))*EXP(-(((Model_Data!A20)-Inputs!$C$42)^2)/(2*Inputs!$C$45^2))+Inputs!$C$48*(0.7*(0.45*SIN(2*PI()*(((Model_Data!A20)/Inputs!$C$49)+Inputs!$C$47*0.137))+0.35*COS(2*PI()*(((Inputs!$C$6)/Inputs!$C$50)+Inputs!$C$47*0.173))+0.2*SIN(2*PI()*(((Model_Data!A20)+(Inputs!$C$6))/(0.5*(Inputs!$C$49+Inputs!$C$50))+Inputs!$C$47*0.097)))+0.3*(2*((SIN(((Model_Data!A20)*12.9898+(Inputs!$C$6)*78.233+Inputs!$C$47*37.719))*43758.5453)-INT((SIN(((Model_Data!A20)*12.9898+(Inputs!$C$6)*78.233+Inputs!$C$47*37.719))*43758.5453)))-1)))</f>
        <v>251.96732827517536</v>
      </c>
      <c r="K20" s="9">
        <f>-((((SQRT((Model_Data!A20)^2+Inputs!$C$6^2+((Model_Data!B20)-((Inputs!$C$51*(115*EXP(-(((Inputs!$C$6)-25)^2)/(4.5^2))+70*EXP(-(((Inputs!$C$6)+38)^2)/(7^2))*(0.55+0.45*SIN(2*PI()*(Model_Data!A20)/45))+24*SIN(2*PI()*(Inputs!$C$6)/9+(Model_Data!A20)/18)*EXP(-(((Inputs!$C$6)+5)^2)/(22^2))+18*SIN(2*PI()*(Model_Data!A20)/70))+Inputs!$C$28*EXP(-(((Model_Data!A20)-Inputs!$C$29)^2)/(2*Inputs!$C$31^2))*EXP(-(((Inputs!$C$6)-Inputs!$C$30)^2)/(2*Inputs!$C$32^2))+-Inputs!$C$33*EXP(-(((((Model_Data!A20)-Inputs!$C$34)^2)+(((Inputs!$C$6)-Inputs!$C$35)^2))/(2*Inputs!$C$36^2)))+Inputs!$C$37*(0.55*SIN(2*PI()*(Model_Data!A20)/Inputs!$C$39)+0.35*COS(2*PI()*(Inputs!$C$6)/Inputs!$C$40)+0.2*SIN(2*PI()*((Model_Data!A20)+(Inputs!$C$6))/(0.5*(Inputs!$C$39+Inputs!$C$40))))+Inputs!$C$38*SIN(2*PI()*(Model_Data!A20)/Inputs!$C$39)*SIN(2*PI()*(Inputs!$C$6)/Inputs!$C$40)+-Inputs!$C$41*EXP(-(((Inputs!$C$6)-Inputs!$C$43)^2)/(2*Inputs!$C$44^2))*EXP(-(((Model_Data!A20)-Inputs!$C$42)^2)/(2*Inputs!$C$45^2))+Inputs!$C$48*(0.7*(0.45*SIN(2*PI()*(((Model_Data!A20)/Inputs!$C$49)+Inputs!$C$47*0.137))+0.35*COS(2*PI()*(((Inputs!$C$6)/Inputs!$C$50)+Inputs!$C$47*0.173))+0.2*SIN(2*PI()*(((Model_Data!A20)+(Inputs!$C$6))/(0.5*(Inputs!$C$49+Inputs!$C$50))+Inputs!$C$47*0.097)))+0.3*(2*((SIN(((Model_Data!A20)*12.9898+(Inputs!$C$6)*78.233+Inputs!$C$47*37.719))*43758.5453)-INT((SIN(((Model_Data!A20)*12.9898+(Inputs!$C$6)*78.233+Inputs!$C$47*37.719))*43758.5453)))-1))))/1000)^2))-(((Model_Data!B20)-((Inputs!$C$51*(115*EXP(-(((0)-25)^2)/(4.5^2))+70*EXP(-(((0)+38)^2)/(7^2))*(0.55+0.45*SIN(2*PI()*(Model_Data!A20)/45))+24*SIN(2*PI()*(0)/9+(Model_Data!A20)/18)*EXP(-(((0)+5)^2)/(22^2))+18*SIN(2*PI()*(Model_Data!A20)/70))+Inputs!$C$28*EXP(-(((Model_Data!A20)-Inputs!$C$29)^2)/(2*Inputs!$C$31^2))*EXP(-(((0)-Inputs!$C$30)^2)/(2*Inputs!$C$32^2))+-Inputs!$C$33*EXP(-(((((Model_Data!A20)-Inputs!$C$34)^2)+(((0)-Inputs!$C$35)^2))/(2*Inputs!$C$36^2)))+Inputs!$C$37*(0.55*SIN(2*PI()*(Model_Data!A20)/Inputs!$C$39)+0.35*COS(2*PI()*(0)/Inputs!$C$40)+0.2*SIN(2*PI()*((Model_Data!A20)+(0))/(0.5*(Inputs!$C$39+Inputs!$C$40))))+Inputs!$C$38*SIN(2*PI()*(Model_Data!A20)/Inputs!$C$39)*SIN(2*PI()*(0)/Inputs!$C$40)+-Inputs!$C$41*EXP(-(((0)-Inputs!$C$43)^2)/(2*Inputs!$C$44^2))*EXP(-(((Model_Data!A20)-Inputs!$C$42)^2)/(2*Inputs!$C$45^2))+Inputs!$C$48*(0.7*(0.45*SIN(2*PI()*(((Model_Data!A20)/Inputs!$C$49)+Inputs!$C$47*0.137))+0.35*COS(2*PI()*(((0)/Inputs!$C$50)+Inputs!$C$47*0.173))+0.2*SIN(2*PI()*(((Model_Data!A20)+(0))/(0.5*(Inputs!$C$49+Inputs!$C$50))+Inputs!$C$47*0.097)))+0.3*(2*((SIN(((Model_Data!A20)*12.9898+(0)*78.233+Inputs!$C$47*37.719))*43758.5453)-INT((SIN(((Model_Data!A20)*12.9898+(0)*78.233+Inputs!$C$47*37.719))*43758.5453)))-1))))/1000)))*1000/Inputs!$C$12)-Model_Data!F20)</f>
        <v>118.19655604755053</v>
      </c>
      <c r="L20" s="10"/>
      <c r="M20" s="9">
        <f>Model_Data!A20</f>
        <v>-51</v>
      </c>
      <c r="N20" s="9">
        <f>Model_Data!P20</f>
        <v>380.1113693016265</v>
      </c>
      <c r="O20" s="9">
        <f t="shared" si="0"/>
        <v>361.74734576989067</v>
      </c>
      <c r="P20" s="9">
        <f>Model_Data!Q20</f>
        <v>57.073779174418398</v>
      </c>
      <c r="Q20" s="9">
        <f t="shared" si="1"/>
        <v>54.316418283767369</v>
      </c>
      <c r="R20" s="10"/>
      <c r="S20" s="9">
        <f>Model_Data!A20</f>
        <v>-51</v>
      </c>
      <c r="T20" s="9">
        <f>Model_Data!B20-Inputs!$C$5</f>
        <v>2.8899999999999864</v>
      </c>
      <c r="U20" s="10"/>
      <c r="V20" s="9">
        <f>Model_Data!A20</f>
        <v>-51</v>
      </c>
      <c r="W20" s="9">
        <f>((SQRT((Model_Data!A20)^2+Inputs!$C$6^2+Inputs!$C$5^2)-Inputs!$C$5)*1000/Inputs!$C$12)</f>
        <v>2254.1438472253849</v>
      </c>
      <c r="X20" s="9">
        <f>Model_Data!F20</f>
        <v>2238.133363530445</v>
      </c>
      <c r="Y20" s="10"/>
      <c r="Z20" s="9">
        <f>Model_Data!A20</f>
        <v>-51</v>
      </c>
      <c r="AA20" s="9">
        <f>SQRT((Model_Data!A20)^2+Inputs!$C$6^2+((Model_Data!B20)-((Inputs!$C$51*(115*EXP(-(((Inputs!$C$6)-25)^2)/(4.5^2))+70*EXP(-(((Inputs!$C$6)+38)^2)/(7^2))*(0.55+0.45*SIN(2*PI()*(Model_Data!A20)/45))+24*SIN(2*PI()*(Inputs!$C$6)/9+(Model_Data!A20)/18)*EXP(-(((Inputs!$C$6)+5)^2)/(22^2))+18*SIN(2*PI()*(Model_Data!A20)/70))+Inputs!$C$28*EXP(-(((Model_Data!A20)-Inputs!$C$29)^2)/(2*Inputs!$C$31^2))*EXP(-(((Inputs!$C$6)-Inputs!$C$30)^2)/(2*Inputs!$C$32^2))+-Inputs!$C$33*EXP(-(((((Model_Data!A20)-Inputs!$C$34)^2)+(((Inputs!$C$6)-Inputs!$C$35)^2))/(2*Inputs!$C$36^2)))+Inputs!$C$37*(0.55*SIN(2*PI()*(Model_Data!A20)/Inputs!$C$39)+0.35*COS(2*PI()*(Inputs!$C$6)/Inputs!$C$40)+0.2*SIN(2*PI()*((Model_Data!A20)+(Inputs!$C$6))/(0.5*(Inputs!$C$39+Inputs!$C$40))))+Inputs!$C$38*SIN(2*PI()*(Model_Data!A20)/Inputs!$C$39)*SIN(2*PI()*(Inputs!$C$6)/Inputs!$C$40)+-Inputs!$C$41*EXP(-(((Inputs!$C$6)-Inputs!$C$43)^2)/(2*Inputs!$C$44^2))*EXP(-(((Model_Data!A20)-Inputs!$C$42)^2)/(2*Inputs!$C$45^2))+Inputs!$C$48*(0.7*(0.45*SIN(2*PI()*(((Model_Data!A20)/Inputs!$C$49)+Inputs!$C$47*0.137))+0.35*COS(2*PI()*(((Inputs!$C$6)/Inputs!$C$50)+Inputs!$C$47*0.173))+0.2*SIN(2*PI()*(((Model_Data!A20)+(Inputs!$C$6))/(0.5*(Inputs!$C$49+Inputs!$C$50))+Inputs!$C$47*0.097)))+0.3*(2*((SIN(((Model_Data!A20)*12.9898+(Inputs!$C$6)*78.233+Inputs!$C$47*37.719))*43758.5453)-INT((SIN(((Model_Data!A20)*12.9898+(Inputs!$C$6)*78.233+Inputs!$C$47*37.719))*43758.5453)))-1))))/1000)^2)</f>
        <v>406.62437870073279</v>
      </c>
      <c r="AB20" s="9">
        <f>1000*(AA21-AA19)/(Z21-Z19)*Inputs!$C$11</f>
        <v>-904.36836442472668</v>
      </c>
      <c r="AC20" s="9">
        <f>-2*AB20/Inputs!$C$13</f>
        <v>361.74734576989067</v>
      </c>
      <c r="AD20" s="9">
        <f>-2*AB20/Inputs!$C$14</f>
        <v>54.316418283767369</v>
      </c>
    </row>
    <row r="21" spans="1:30">
      <c r="A21" s="9">
        <f>Model_Data!A21</f>
        <v>-50.5</v>
      </c>
      <c r="B21" s="9">
        <f>((SQRT((Model_Data!A21)^2+Inputs!$C$6^2+Inputs!$C$5^2)-Inputs!$C$5)*1000/Inputs!$C$12)</f>
        <v>2218.8560019037022</v>
      </c>
      <c r="C21" s="9">
        <f>Model_Data!F21</f>
        <v>2203.39914910282</v>
      </c>
      <c r="D21" s="9">
        <f>(((SQRT((Model_Data!A21)^2+Inputs!$C$6^2+((Model_Data!B21)-((Inputs!$C$51*(115*EXP(-(((Inputs!$C$6)-25)^2)/(4.5^2))+70*EXP(-(((Inputs!$C$6)+38)^2)/(7^2))*(0.55+0.45*SIN(2*PI()*(Model_Data!A21)/45))+24*SIN(2*PI()*(Inputs!$C$6)/9+(Model_Data!A21)/18)*EXP(-(((Inputs!$C$6)+5)^2)/(22^2))+18*SIN(2*PI()*(Model_Data!A21)/70))+Inputs!$C$28*EXP(-(((Model_Data!A21)-Inputs!$C$29)^2)/(2*Inputs!$C$31^2))*EXP(-(((Inputs!$C$6)-Inputs!$C$30)^2)/(2*Inputs!$C$32^2))+-Inputs!$C$33*EXP(-(((((Model_Data!A21)-Inputs!$C$34)^2)+(((Inputs!$C$6)-Inputs!$C$35)^2))/(2*Inputs!$C$36^2)))+Inputs!$C$37*(0.55*SIN(2*PI()*(Model_Data!A21)/Inputs!$C$39)+0.35*COS(2*PI()*(Inputs!$C$6)/Inputs!$C$40)+0.2*SIN(2*PI()*((Model_Data!A21)+(Inputs!$C$6))/(0.5*(Inputs!$C$39+Inputs!$C$40))))+Inputs!$C$38*SIN(2*PI()*(Model_Data!A21)/Inputs!$C$39)*SIN(2*PI()*(Inputs!$C$6)/Inputs!$C$40)+-Inputs!$C$41*EXP(-(((Inputs!$C$6)-Inputs!$C$43)^2)/(2*Inputs!$C$44^2))*EXP(-(((Model_Data!A21)-Inputs!$C$42)^2)/(2*Inputs!$C$45^2))+Inputs!$C$48*(0.7*(0.45*SIN(2*PI()*(((Model_Data!A21)/Inputs!$C$49)+Inputs!$C$47*0.137))+0.35*COS(2*PI()*(((Inputs!$C$6)/Inputs!$C$50)+Inputs!$C$47*0.173))+0.2*SIN(2*PI()*(((Model_Data!A21)+(Inputs!$C$6))/(0.5*(Inputs!$C$49+Inputs!$C$50))+Inputs!$C$47*0.097)))+0.3*(2*((SIN(((Model_Data!A21)*12.9898+(Inputs!$C$6)*78.233+Inputs!$C$47*37.719))*43758.5453)-INT((SIN(((Model_Data!A21)*12.9898+(Inputs!$C$6)*78.233+Inputs!$C$47*37.719))*43758.5453)))-1))))/1000)^2))-(((Model_Data!B21)-((Inputs!$C$51*(115*EXP(-(((0)-25)^2)/(4.5^2))+70*EXP(-(((0)+38)^2)/(7^2))*(0.55+0.45*SIN(2*PI()*(Model_Data!A21)/45))+24*SIN(2*PI()*(0)/9+(Model_Data!A21)/18)*EXP(-(((0)+5)^2)/(22^2))+18*SIN(2*PI()*(Model_Data!A21)/70))+Inputs!$C$28*EXP(-(((Model_Data!A21)-Inputs!$C$29)^2)/(2*Inputs!$C$31^2))*EXP(-(((0)-Inputs!$C$30)^2)/(2*Inputs!$C$32^2))+-Inputs!$C$33*EXP(-(((((Model_Data!A21)-Inputs!$C$34)^2)+(((0)-Inputs!$C$35)^2))/(2*Inputs!$C$36^2)))+Inputs!$C$37*(0.55*SIN(2*PI()*(Model_Data!A21)/Inputs!$C$39)+0.35*COS(2*PI()*(0)/Inputs!$C$40)+0.2*SIN(2*PI()*((Model_Data!A21)+(0))/(0.5*(Inputs!$C$39+Inputs!$C$40))))+Inputs!$C$38*SIN(2*PI()*(Model_Data!A21)/Inputs!$C$39)*SIN(2*PI()*(0)/Inputs!$C$40)+-Inputs!$C$41*EXP(-(((0)-Inputs!$C$43)^2)/(2*Inputs!$C$44^2))*EXP(-(((Model_Data!A21)-Inputs!$C$42)^2)/(2*Inputs!$C$45^2))+Inputs!$C$48*(0.7*(0.45*SIN(2*PI()*(((Model_Data!A21)/Inputs!$C$49)+Inputs!$C$47*0.137))+0.35*COS(2*PI()*(((0)/Inputs!$C$50)+Inputs!$C$47*0.173))+0.2*SIN(2*PI()*(((Model_Data!A21)+(0))/(0.5*(Inputs!$C$49+Inputs!$C$50))+Inputs!$C$47*0.097)))+0.3*(2*((SIN(((Model_Data!A21)*12.9898+(0)*78.233+Inputs!$C$47*37.719))*43758.5453)-INT((SIN(((Model_Data!A21)*12.9898+(0)*78.233+Inputs!$C$47*37.719))*43758.5453)))-1))))/1000)))*1000/Inputs!$C$12)</f>
        <v>2091.4201495591142</v>
      </c>
      <c r="E21" s="9">
        <f>Model_Data!A21</f>
        <v>-50.5</v>
      </c>
      <c r="F21" s="9">
        <f>(Inputs!$C$51*(115*EXP(-(((Inputs!$C$6)-25)^2)/(4.5^2))+70*EXP(-(((Inputs!$C$6)+38)^2)/(7^2))*(0.55+0.45*SIN(2*PI()*(Model_Data!A21)/45))+24*SIN(2*PI()*(Inputs!$C$6)/9+(Model_Data!A21)/18)*EXP(-(((Inputs!$C$6)+5)^2)/(22^2))+18*SIN(2*PI()*(Model_Data!A21)/70))+Inputs!$C$28*EXP(-(((Model_Data!A21)-Inputs!$C$29)^2)/(2*Inputs!$C$31^2))*EXP(-(((Inputs!$C$6)-Inputs!$C$30)^2)/(2*Inputs!$C$32^2))+-Inputs!$C$33*EXP(-(((((Model_Data!A21)-Inputs!$C$34)^2)+(((Inputs!$C$6)-Inputs!$C$35)^2))/(2*Inputs!$C$36^2)))+Inputs!$C$37*(0.55*SIN(2*PI()*(Model_Data!A21)/Inputs!$C$39)+0.35*COS(2*PI()*(Inputs!$C$6)/Inputs!$C$40)+0.2*SIN(2*PI()*((Model_Data!A21)+(Inputs!$C$6))/(0.5*(Inputs!$C$39+Inputs!$C$40))))+Inputs!$C$38*SIN(2*PI()*(Model_Data!A21)/Inputs!$C$39)*SIN(2*PI()*(Inputs!$C$6)/Inputs!$C$40)+-Inputs!$C$41*EXP(-(((Inputs!$C$6)-Inputs!$C$43)^2)/(2*Inputs!$C$44^2))*EXP(-(((Model_Data!A21)-Inputs!$C$42)^2)/(2*Inputs!$C$45^2))+Inputs!$C$48*(0.7*(0.45*SIN(2*PI()*(((Model_Data!A21)/Inputs!$C$49)+Inputs!$C$47*0.137))+0.35*COS(2*PI()*(((Inputs!$C$6)/Inputs!$C$50)+Inputs!$C$47*0.173))+0.2*SIN(2*PI()*(((Model_Data!A21)+(Inputs!$C$6))/(0.5*(Inputs!$C$49+Inputs!$C$50))+Inputs!$C$47*0.097)))+0.3*(2*((SIN(((Model_Data!A21)*12.9898+(Inputs!$C$6)*78.233+Inputs!$C$47*37.719))*43758.5453)-INT((SIN(((Model_Data!A21)*12.9898+(Inputs!$C$6)*78.233+Inputs!$C$47*37.719))*43758.5453)))-1)))</f>
        <v>249.72786812719846</v>
      </c>
      <c r="G21" s="9">
        <f>(Inputs!$C$51*(115*EXP(-(((0)-25)^2)/(4.5^2))+70*EXP(-(((0)+38)^2)/(7^2))*(0.55+0.45*SIN(2*PI()*(Model_Data!A21)/45))+24*SIN(2*PI()*(0)/9+(Model_Data!A21)/18)*EXP(-(((0)+5)^2)/(22^2))+18*SIN(2*PI()*(Model_Data!A21)/70))+Inputs!$C$28*EXP(-(((Model_Data!A21)-Inputs!$C$29)^2)/(2*Inputs!$C$31^2))*EXP(-(((0)-Inputs!$C$30)^2)/(2*Inputs!$C$32^2))+-Inputs!$C$33*EXP(-(((((Model_Data!A21)-Inputs!$C$34)^2)+(((0)-Inputs!$C$35)^2))/(2*Inputs!$C$36^2)))+Inputs!$C$37*(0.55*SIN(2*PI()*(Model_Data!A21)/Inputs!$C$39)+0.35*COS(2*PI()*(0)/Inputs!$C$40)+0.2*SIN(2*PI()*((Model_Data!A21)+(0))/(0.5*(Inputs!$C$39+Inputs!$C$40))))+Inputs!$C$38*SIN(2*PI()*(Model_Data!A21)/Inputs!$C$39)*SIN(2*PI()*(0)/Inputs!$C$40)+-Inputs!$C$41*EXP(-(((0)-Inputs!$C$43)^2)/(2*Inputs!$C$44^2))*EXP(-(((Model_Data!A21)-Inputs!$C$42)^2)/(2*Inputs!$C$45^2))+Inputs!$C$48*(0.7*(0.45*SIN(2*PI()*(((Model_Data!A21)/Inputs!$C$49)+Inputs!$C$47*0.137))+0.35*COS(2*PI()*(((0)/Inputs!$C$50)+Inputs!$C$47*0.173))+0.2*SIN(2*PI()*(((Model_Data!A21)+(0))/(0.5*(Inputs!$C$49+Inputs!$C$50))+Inputs!$C$47*0.097)))+0.3*(2*((SIN(((Model_Data!A21)*12.9898+(0)*78.233+Inputs!$C$47*37.719))*43758.5453)-INT((SIN(((Model_Data!A21)*12.9898+(0)*78.233+Inputs!$C$47*37.719))*43758.5453)))-1)))</f>
        <v>47.995831702209429</v>
      </c>
      <c r="H21" s="10"/>
      <c r="I21" s="9">
        <f>Model_Data!A21</f>
        <v>-50.5</v>
      </c>
      <c r="J21" s="9">
        <f>(Inputs!$C$51*(115*EXP(-(((Inputs!$C$6)-25)^2)/(4.5^2))+70*EXP(-(((Inputs!$C$6)+38)^2)/(7^2))*(0.55+0.45*SIN(2*PI()*(Model_Data!A21)/45))+24*SIN(2*PI()*(Inputs!$C$6)/9+(Model_Data!A21)/18)*EXP(-(((Inputs!$C$6)+5)^2)/(22^2))+18*SIN(2*PI()*(Model_Data!A21)/70))+Inputs!$C$28*EXP(-(((Model_Data!A21)-Inputs!$C$29)^2)/(2*Inputs!$C$31^2))*EXP(-(((Inputs!$C$6)-Inputs!$C$30)^2)/(2*Inputs!$C$32^2))+-Inputs!$C$33*EXP(-(((((Model_Data!A21)-Inputs!$C$34)^2)+(((Inputs!$C$6)-Inputs!$C$35)^2))/(2*Inputs!$C$36^2)))+Inputs!$C$37*(0.55*SIN(2*PI()*(Model_Data!A21)/Inputs!$C$39)+0.35*COS(2*PI()*(Inputs!$C$6)/Inputs!$C$40)+0.2*SIN(2*PI()*((Model_Data!A21)+(Inputs!$C$6))/(0.5*(Inputs!$C$39+Inputs!$C$40))))+Inputs!$C$38*SIN(2*PI()*(Model_Data!A21)/Inputs!$C$39)*SIN(2*PI()*(Inputs!$C$6)/Inputs!$C$40)+-Inputs!$C$41*EXP(-(((Inputs!$C$6)-Inputs!$C$43)^2)/(2*Inputs!$C$44^2))*EXP(-(((Model_Data!A21)-Inputs!$C$42)^2)/(2*Inputs!$C$45^2))+Inputs!$C$48*(0.7*(0.45*SIN(2*PI()*(((Model_Data!A21)/Inputs!$C$49)+Inputs!$C$47*0.137))+0.35*COS(2*PI()*(((Inputs!$C$6)/Inputs!$C$50)+Inputs!$C$47*0.173))+0.2*SIN(2*PI()*(((Model_Data!A21)+(Inputs!$C$6))/(0.5*(Inputs!$C$49+Inputs!$C$50))+Inputs!$C$47*0.097)))+0.3*(2*((SIN(((Model_Data!A21)*12.9898+(Inputs!$C$6)*78.233+Inputs!$C$47*37.719))*43758.5453)-INT((SIN(((Model_Data!A21)*12.9898+(Inputs!$C$6)*78.233+Inputs!$C$47*37.719))*43758.5453)))-1)))</f>
        <v>249.72786812719846</v>
      </c>
      <c r="K21" s="9">
        <f>-((((SQRT((Model_Data!A21)^2+Inputs!$C$6^2+((Model_Data!B21)-((Inputs!$C$51*(115*EXP(-(((Inputs!$C$6)-25)^2)/(4.5^2))+70*EXP(-(((Inputs!$C$6)+38)^2)/(7^2))*(0.55+0.45*SIN(2*PI()*(Model_Data!A21)/45))+24*SIN(2*PI()*(Inputs!$C$6)/9+(Model_Data!A21)/18)*EXP(-(((Inputs!$C$6)+5)^2)/(22^2))+18*SIN(2*PI()*(Model_Data!A21)/70))+Inputs!$C$28*EXP(-(((Model_Data!A21)-Inputs!$C$29)^2)/(2*Inputs!$C$31^2))*EXP(-(((Inputs!$C$6)-Inputs!$C$30)^2)/(2*Inputs!$C$32^2))+-Inputs!$C$33*EXP(-(((((Model_Data!A21)-Inputs!$C$34)^2)+(((Inputs!$C$6)-Inputs!$C$35)^2))/(2*Inputs!$C$36^2)))+Inputs!$C$37*(0.55*SIN(2*PI()*(Model_Data!A21)/Inputs!$C$39)+0.35*COS(2*PI()*(Inputs!$C$6)/Inputs!$C$40)+0.2*SIN(2*PI()*((Model_Data!A21)+(Inputs!$C$6))/(0.5*(Inputs!$C$39+Inputs!$C$40))))+Inputs!$C$38*SIN(2*PI()*(Model_Data!A21)/Inputs!$C$39)*SIN(2*PI()*(Inputs!$C$6)/Inputs!$C$40)+-Inputs!$C$41*EXP(-(((Inputs!$C$6)-Inputs!$C$43)^2)/(2*Inputs!$C$44^2))*EXP(-(((Model_Data!A21)-Inputs!$C$42)^2)/(2*Inputs!$C$45^2))+Inputs!$C$48*(0.7*(0.45*SIN(2*PI()*(((Model_Data!A21)/Inputs!$C$49)+Inputs!$C$47*0.137))+0.35*COS(2*PI()*(((Inputs!$C$6)/Inputs!$C$50)+Inputs!$C$47*0.173))+0.2*SIN(2*PI()*(((Model_Data!A21)+(Inputs!$C$6))/(0.5*(Inputs!$C$49+Inputs!$C$50))+Inputs!$C$47*0.097)))+0.3*(2*((SIN(((Model_Data!A21)*12.9898+(Inputs!$C$6)*78.233+Inputs!$C$47*37.719))*43758.5453)-INT((SIN(((Model_Data!A21)*12.9898+(Inputs!$C$6)*78.233+Inputs!$C$47*37.719))*43758.5453)))-1))))/1000)^2))-(((Model_Data!B21)-((Inputs!$C$51*(115*EXP(-(((0)-25)^2)/(4.5^2))+70*EXP(-(((0)+38)^2)/(7^2))*(0.55+0.45*SIN(2*PI()*(Model_Data!A21)/45))+24*SIN(2*PI()*(0)/9+(Model_Data!A21)/18)*EXP(-(((0)+5)^2)/(22^2))+18*SIN(2*PI()*(Model_Data!A21)/70))+Inputs!$C$28*EXP(-(((Model_Data!A21)-Inputs!$C$29)^2)/(2*Inputs!$C$31^2))*EXP(-(((0)-Inputs!$C$30)^2)/(2*Inputs!$C$32^2))+-Inputs!$C$33*EXP(-(((((Model_Data!A21)-Inputs!$C$34)^2)+(((0)-Inputs!$C$35)^2))/(2*Inputs!$C$36^2)))+Inputs!$C$37*(0.55*SIN(2*PI()*(Model_Data!A21)/Inputs!$C$39)+0.35*COS(2*PI()*(0)/Inputs!$C$40)+0.2*SIN(2*PI()*((Model_Data!A21)+(0))/(0.5*(Inputs!$C$39+Inputs!$C$40))))+Inputs!$C$38*SIN(2*PI()*(Model_Data!A21)/Inputs!$C$39)*SIN(2*PI()*(0)/Inputs!$C$40)+-Inputs!$C$41*EXP(-(((0)-Inputs!$C$43)^2)/(2*Inputs!$C$44^2))*EXP(-(((Model_Data!A21)-Inputs!$C$42)^2)/(2*Inputs!$C$45^2))+Inputs!$C$48*(0.7*(0.45*SIN(2*PI()*(((Model_Data!A21)/Inputs!$C$49)+Inputs!$C$47*0.137))+0.35*COS(2*PI()*(((0)/Inputs!$C$50)+Inputs!$C$47*0.173))+0.2*SIN(2*PI()*(((Model_Data!A21)+(0))/(0.5*(Inputs!$C$49+Inputs!$C$50))+Inputs!$C$47*0.097)))+0.3*(2*((SIN(((Model_Data!A21)*12.9898+(0)*78.233+Inputs!$C$47*37.719))*43758.5453)-INT((SIN(((Model_Data!A21)*12.9898+(0)*78.233+Inputs!$C$47*37.719))*43758.5453)))-1))))/1000)))*1000/Inputs!$C$12)-Model_Data!F21)</f>
        <v>111.97899954370587</v>
      </c>
      <c r="L21" s="10"/>
      <c r="M21" s="9">
        <f>Model_Data!A21</f>
        <v>-50.5</v>
      </c>
      <c r="N21" s="9">
        <f>Model_Data!P21</f>
        <v>376.46928438185142</v>
      </c>
      <c r="O21" s="9">
        <f t="shared" si="0"/>
        <v>411.05422549080686</v>
      </c>
      <c r="P21" s="9">
        <f>Model_Data!Q21</f>
        <v>56.526919576854574</v>
      </c>
      <c r="Q21" s="9">
        <f t="shared" si="1"/>
        <v>61.719853677298332</v>
      </c>
      <c r="R21" s="10"/>
      <c r="S21" s="9">
        <f>Model_Data!A21</f>
        <v>-50.5</v>
      </c>
      <c r="T21" s="9">
        <f>Model_Data!B21-Inputs!$C$5</f>
        <v>2.8336111111111109</v>
      </c>
      <c r="U21" s="10"/>
      <c r="V21" s="9">
        <f>Model_Data!A21</f>
        <v>-50.5</v>
      </c>
      <c r="W21" s="9">
        <f>((SQRT((Model_Data!A21)^2+Inputs!$C$6^2+Inputs!$C$5^2)-Inputs!$C$5)*1000/Inputs!$C$12)</f>
        <v>2218.8560019037022</v>
      </c>
      <c r="X21" s="9">
        <f>Model_Data!F21</f>
        <v>2203.39914910282</v>
      </c>
      <c r="Y21" s="10"/>
      <c r="Z21" s="9">
        <f>Model_Data!A21</f>
        <v>-50.5</v>
      </c>
      <c r="AA21" s="9">
        <f>SQRT((Model_Data!A21)^2+Inputs!$C$6^2+((Model_Data!B21)-((Inputs!$C$51*(115*EXP(-(((Inputs!$C$6)-25)^2)/(4.5^2))+70*EXP(-(((Inputs!$C$6)+38)^2)/(7^2))*(0.55+0.45*SIN(2*PI()*(Model_Data!A21)/45))+24*SIN(2*PI()*(Inputs!$C$6)/9+(Model_Data!A21)/18)*EXP(-(((Inputs!$C$6)+5)^2)/(22^2))+18*SIN(2*PI()*(Model_Data!A21)/70))+Inputs!$C$28*EXP(-(((Model_Data!A21)-Inputs!$C$29)^2)/(2*Inputs!$C$31^2))*EXP(-(((Inputs!$C$6)-Inputs!$C$30)^2)/(2*Inputs!$C$32^2))+-Inputs!$C$33*EXP(-(((((Model_Data!A21)-Inputs!$C$34)^2)+(((Inputs!$C$6)-Inputs!$C$35)^2))/(2*Inputs!$C$36^2)))+Inputs!$C$37*(0.55*SIN(2*PI()*(Model_Data!A21)/Inputs!$C$39)+0.35*COS(2*PI()*(Inputs!$C$6)/Inputs!$C$40)+0.2*SIN(2*PI()*((Model_Data!A21)+(Inputs!$C$6))/(0.5*(Inputs!$C$39+Inputs!$C$40))))+Inputs!$C$38*SIN(2*PI()*(Model_Data!A21)/Inputs!$C$39)*SIN(2*PI()*(Inputs!$C$6)/Inputs!$C$40)+-Inputs!$C$41*EXP(-(((Inputs!$C$6)-Inputs!$C$43)^2)/(2*Inputs!$C$44^2))*EXP(-(((Model_Data!A21)-Inputs!$C$42)^2)/(2*Inputs!$C$45^2))+Inputs!$C$48*(0.7*(0.45*SIN(2*PI()*(((Model_Data!A21)/Inputs!$C$49)+Inputs!$C$47*0.137))+0.35*COS(2*PI()*(((Inputs!$C$6)/Inputs!$C$50)+Inputs!$C$47*0.173))+0.2*SIN(2*PI()*(((Model_Data!A21)+(Inputs!$C$6))/(0.5*(Inputs!$C$49+Inputs!$C$50))+Inputs!$C$47*0.097)))+0.3*(2*((SIN(((Model_Data!A21)*12.9898+(Inputs!$C$6)*78.233+Inputs!$C$47*37.719))*43758.5453)-INT((SIN(((Model_Data!A21)*12.9898+(Inputs!$C$6)*78.233+Inputs!$C$47*37.719))*43758.5453)))-1))))/1000)^2)</f>
        <v>406.50834314562411</v>
      </c>
      <c r="AB21" s="9">
        <f>1000*(AA22-AA20)/(Z22-Z20)*Inputs!$C$11</f>
        <v>-1027.6355637270171</v>
      </c>
      <c r="AC21" s="9">
        <f>-2*AB21/Inputs!$C$13</f>
        <v>411.05422549080686</v>
      </c>
      <c r="AD21" s="9">
        <f>-2*AB21/Inputs!$C$14</f>
        <v>61.719853677298332</v>
      </c>
    </row>
    <row r="22" spans="1:30">
      <c r="A22" s="9">
        <f>Model_Data!A22</f>
        <v>-50</v>
      </c>
      <c r="B22" s="9">
        <f>((SQRT((Model_Data!A22)^2+Inputs!$C$6^2+Inputs!$C$5^2)-Inputs!$C$5)*1000/Inputs!$C$12)</f>
        <v>2183.9104129706707</v>
      </c>
      <c r="C22" s="9">
        <f>Model_Data!F22</f>
        <v>2168.9924490050507</v>
      </c>
      <c r="D22" s="9">
        <f>(((SQRT((Model_Data!A22)^2+Inputs!$C$6^2+((Model_Data!B22)-((Inputs!$C$51*(115*EXP(-(((Inputs!$C$6)-25)^2)/(4.5^2))+70*EXP(-(((Inputs!$C$6)+38)^2)/(7^2))*(0.55+0.45*SIN(2*PI()*(Model_Data!A22)/45))+24*SIN(2*PI()*(Inputs!$C$6)/9+(Model_Data!A22)/18)*EXP(-(((Inputs!$C$6)+5)^2)/(22^2))+18*SIN(2*PI()*(Model_Data!A22)/70))+Inputs!$C$28*EXP(-(((Model_Data!A22)-Inputs!$C$29)^2)/(2*Inputs!$C$31^2))*EXP(-(((Inputs!$C$6)-Inputs!$C$30)^2)/(2*Inputs!$C$32^2))+-Inputs!$C$33*EXP(-(((((Model_Data!A22)-Inputs!$C$34)^2)+(((Inputs!$C$6)-Inputs!$C$35)^2))/(2*Inputs!$C$36^2)))+Inputs!$C$37*(0.55*SIN(2*PI()*(Model_Data!A22)/Inputs!$C$39)+0.35*COS(2*PI()*(Inputs!$C$6)/Inputs!$C$40)+0.2*SIN(2*PI()*((Model_Data!A22)+(Inputs!$C$6))/(0.5*(Inputs!$C$39+Inputs!$C$40))))+Inputs!$C$38*SIN(2*PI()*(Model_Data!A22)/Inputs!$C$39)*SIN(2*PI()*(Inputs!$C$6)/Inputs!$C$40)+-Inputs!$C$41*EXP(-(((Inputs!$C$6)-Inputs!$C$43)^2)/(2*Inputs!$C$44^2))*EXP(-(((Model_Data!A22)-Inputs!$C$42)^2)/(2*Inputs!$C$45^2))+Inputs!$C$48*(0.7*(0.45*SIN(2*PI()*(((Model_Data!A22)/Inputs!$C$49)+Inputs!$C$47*0.137))+0.35*COS(2*PI()*(((Inputs!$C$6)/Inputs!$C$50)+Inputs!$C$47*0.173))+0.2*SIN(2*PI()*(((Model_Data!A22)+(Inputs!$C$6))/(0.5*(Inputs!$C$49+Inputs!$C$50))+Inputs!$C$47*0.097)))+0.3*(2*((SIN(((Model_Data!A22)*12.9898+(Inputs!$C$6)*78.233+Inputs!$C$47*37.719))*43758.5453)-INT((SIN(((Model_Data!A22)*12.9898+(Inputs!$C$6)*78.233+Inputs!$C$47*37.719))*43758.5453)))-1))))/1000)^2))-(((Model_Data!B22)-((Inputs!$C$51*(115*EXP(-(((0)-25)^2)/(4.5^2))+70*EXP(-(((0)+38)^2)/(7^2))*(0.55+0.45*SIN(2*PI()*(Model_Data!A22)/45))+24*SIN(2*PI()*(0)/9+(Model_Data!A22)/18)*EXP(-(((0)+5)^2)/(22^2))+18*SIN(2*PI()*(Model_Data!A22)/70))+Inputs!$C$28*EXP(-(((Model_Data!A22)-Inputs!$C$29)^2)/(2*Inputs!$C$31^2))*EXP(-(((0)-Inputs!$C$30)^2)/(2*Inputs!$C$32^2))+-Inputs!$C$33*EXP(-(((((Model_Data!A22)-Inputs!$C$34)^2)+(((0)-Inputs!$C$35)^2))/(2*Inputs!$C$36^2)))+Inputs!$C$37*(0.55*SIN(2*PI()*(Model_Data!A22)/Inputs!$C$39)+0.35*COS(2*PI()*(0)/Inputs!$C$40)+0.2*SIN(2*PI()*((Model_Data!A22)+(0))/(0.5*(Inputs!$C$39+Inputs!$C$40))))+Inputs!$C$38*SIN(2*PI()*(Model_Data!A22)/Inputs!$C$39)*SIN(2*PI()*(0)/Inputs!$C$40)+-Inputs!$C$41*EXP(-(((0)-Inputs!$C$43)^2)/(2*Inputs!$C$44^2))*EXP(-(((Model_Data!A22)-Inputs!$C$42)^2)/(2*Inputs!$C$45^2))+Inputs!$C$48*(0.7*(0.45*SIN(2*PI()*(((Model_Data!A22)/Inputs!$C$49)+Inputs!$C$47*0.137))+0.35*COS(2*PI()*(((0)/Inputs!$C$50)+Inputs!$C$47*0.173))+0.2*SIN(2*PI()*(((Model_Data!A22)+(0))/(0.5*(Inputs!$C$49+Inputs!$C$50))+Inputs!$C$47*0.097)))+0.3*(2*((SIN(((Model_Data!A22)*12.9898+(0)*78.233+Inputs!$C$47*37.719))*43758.5453)-INT((SIN(((Model_Data!A22)*12.9898+(0)*78.233+Inputs!$C$47*37.719))*43758.5453)))-1))))/1000)))*1000/Inputs!$C$12)</f>
        <v>2032.992388588583</v>
      </c>
      <c r="E22" s="9">
        <f>Model_Data!A22</f>
        <v>-50</v>
      </c>
      <c r="F22" s="9">
        <f>(Inputs!$C$51*(115*EXP(-(((Inputs!$C$6)-25)^2)/(4.5^2))+70*EXP(-(((Inputs!$C$6)+38)^2)/(7^2))*(0.55+0.45*SIN(2*PI()*(Model_Data!A22)/45))+24*SIN(2*PI()*(Inputs!$C$6)/9+(Model_Data!A22)/18)*EXP(-(((Inputs!$C$6)+5)^2)/(22^2))+18*SIN(2*PI()*(Model_Data!A22)/70))+Inputs!$C$28*EXP(-(((Model_Data!A22)-Inputs!$C$29)^2)/(2*Inputs!$C$31^2))*EXP(-(((Inputs!$C$6)-Inputs!$C$30)^2)/(2*Inputs!$C$32^2))+-Inputs!$C$33*EXP(-(((((Model_Data!A22)-Inputs!$C$34)^2)+(((Inputs!$C$6)-Inputs!$C$35)^2))/(2*Inputs!$C$36^2)))+Inputs!$C$37*(0.55*SIN(2*PI()*(Model_Data!A22)/Inputs!$C$39)+0.35*COS(2*PI()*(Inputs!$C$6)/Inputs!$C$40)+0.2*SIN(2*PI()*((Model_Data!A22)+(Inputs!$C$6))/(0.5*(Inputs!$C$39+Inputs!$C$40))))+Inputs!$C$38*SIN(2*PI()*(Model_Data!A22)/Inputs!$C$39)*SIN(2*PI()*(Inputs!$C$6)/Inputs!$C$40)+-Inputs!$C$41*EXP(-(((Inputs!$C$6)-Inputs!$C$43)^2)/(2*Inputs!$C$44^2))*EXP(-(((Model_Data!A22)-Inputs!$C$42)^2)/(2*Inputs!$C$45^2))+Inputs!$C$48*(0.7*(0.45*SIN(2*PI()*(((Model_Data!A22)/Inputs!$C$49)+Inputs!$C$47*0.137))+0.35*COS(2*PI()*(((Inputs!$C$6)/Inputs!$C$50)+Inputs!$C$47*0.173))+0.2*SIN(2*PI()*(((Model_Data!A22)+(Inputs!$C$6))/(0.5*(Inputs!$C$49+Inputs!$C$50))+Inputs!$C$47*0.097)))+0.3*(2*((SIN(((Model_Data!A22)*12.9898+(Inputs!$C$6)*78.233+Inputs!$C$47*37.719))*43758.5453)-INT((SIN(((Model_Data!A22)*12.9898+(Inputs!$C$6)*78.233+Inputs!$C$47*37.719))*43758.5453)))-1)))</f>
        <v>273.71504099052385</v>
      </c>
      <c r="G22" s="9">
        <f>(Inputs!$C$51*(115*EXP(-(((0)-25)^2)/(4.5^2))+70*EXP(-(((0)+38)^2)/(7^2))*(0.55+0.45*SIN(2*PI()*(Model_Data!A22)/45))+24*SIN(2*PI()*(0)/9+(Model_Data!A22)/18)*EXP(-(((0)+5)^2)/(22^2))+18*SIN(2*PI()*(Model_Data!A22)/70))+Inputs!$C$28*EXP(-(((Model_Data!A22)-Inputs!$C$29)^2)/(2*Inputs!$C$31^2))*EXP(-(((0)-Inputs!$C$30)^2)/(2*Inputs!$C$32^2))+-Inputs!$C$33*EXP(-(((((Model_Data!A22)-Inputs!$C$34)^2)+(((0)-Inputs!$C$35)^2))/(2*Inputs!$C$36^2)))+Inputs!$C$37*(0.55*SIN(2*PI()*(Model_Data!A22)/Inputs!$C$39)+0.35*COS(2*PI()*(0)/Inputs!$C$40)+0.2*SIN(2*PI()*((Model_Data!A22)+(0))/(0.5*(Inputs!$C$39+Inputs!$C$40))))+Inputs!$C$38*SIN(2*PI()*(Model_Data!A22)/Inputs!$C$39)*SIN(2*PI()*(0)/Inputs!$C$40)+-Inputs!$C$41*EXP(-(((0)-Inputs!$C$43)^2)/(2*Inputs!$C$44^2))*EXP(-(((Model_Data!A22)-Inputs!$C$42)^2)/(2*Inputs!$C$45^2))+Inputs!$C$48*(0.7*(0.45*SIN(2*PI()*(((Model_Data!A22)/Inputs!$C$49)+Inputs!$C$47*0.137))+0.35*COS(2*PI()*(((0)/Inputs!$C$50)+Inputs!$C$47*0.173))+0.2*SIN(2*PI()*(((Model_Data!A22)+(0))/(0.5*(Inputs!$C$49+Inputs!$C$50))+Inputs!$C$47*0.097)))+0.3*(2*((SIN(((Model_Data!A22)*12.9898+(0)*78.233+Inputs!$C$47*37.719))*43758.5453)-INT((SIN(((Model_Data!A22)*12.9898+(0)*78.233+Inputs!$C$47*37.719))*43758.5453)))-1)))</f>
        <v>29.034419664389077</v>
      </c>
      <c r="H22" s="10"/>
      <c r="I22" s="9">
        <f>Model_Data!A22</f>
        <v>-50</v>
      </c>
      <c r="J22" s="9">
        <f>(Inputs!$C$51*(115*EXP(-(((Inputs!$C$6)-25)^2)/(4.5^2))+70*EXP(-(((Inputs!$C$6)+38)^2)/(7^2))*(0.55+0.45*SIN(2*PI()*(Model_Data!A22)/45))+24*SIN(2*PI()*(Inputs!$C$6)/9+(Model_Data!A22)/18)*EXP(-(((Inputs!$C$6)+5)^2)/(22^2))+18*SIN(2*PI()*(Model_Data!A22)/70))+Inputs!$C$28*EXP(-(((Model_Data!A22)-Inputs!$C$29)^2)/(2*Inputs!$C$31^2))*EXP(-(((Inputs!$C$6)-Inputs!$C$30)^2)/(2*Inputs!$C$32^2))+-Inputs!$C$33*EXP(-(((((Model_Data!A22)-Inputs!$C$34)^2)+(((Inputs!$C$6)-Inputs!$C$35)^2))/(2*Inputs!$C$36^2)))+Inputs!$C$37*(0.55*SIN(2*PI()*(Model_Data!A22)/Inputs!$C$39)+0.35*COS(2*PI()*(Inputs!$C$6)/Inputs!$C$40)+0.2*SIN(2*PI()*((Model_Data!A22)+(Inputs!$C$6))/(0.5*(Inputs!$C$39+Inputs!$C$40))))+Inputs!$C$38*SIN(2*PI()*(Model_Data!A22)/Inputs!$C$39)*SIN(2*PI()*(Inputs!$C$6)/Inputs!$C$40)+-Inputs!$C$41*EXP(-(((Inputs!$C$6)-Inputs!$C$43)^2)/(2*Inputs!$C$44^2))*EXP(-(((Model_Data!A22)-Inputs!$C$42)^2)/(2*Inputs!$C$45^2))+Inputs!$C$48*(0.7*(0.45*SIN(2*PI()*(((Model_Data!A22)/Inputs!$C$49)+Inputs!$C$47*0.137))+0.35*COS(2*PI()*(((Inputs!$C$6)/Inputs!$C$50)+Inputs!$C$47*0.173))+0.2*SIN(2*PI()*(((Model_Data!A22)+(Inputs!$C$6))/(0.5*(Inputs!$C$49+Inputs!$C$50))+Inputs!$C$47*0.097)))+0.3*(2*((SIN(((Model_Data!A22)*12.9898+(Inputs!$C$6)*78.233+Inputs!$C$47*37.719))*43758.5453)-INT((SIN(((Model_Data!A22)*12.9898+(Inputs!$C$6)*78.233+Inputs!$C$47*37.719))*43758.5453)))-1)))</f>
        <v>273.71504099052385</v>
      </c>
      <c r="K22" s="9">
        <f>-((((SQRT((Model_Data!A22)^2+Inputs!$C$6^2+((Model_Data!B22)-((Inputs!$C$51*(115*EXP(-(((Inputs!$C$6)-25)^2)/(4.5^2))+70*EXP(-(((Inputs!$C$6)+38)^2)/(7^2))*(0.55+0.45*SIN(2*PI()*(Model_Data!A22)/45))+24*SIN(2*PI()*(Inputs!$C$6)/9+(Model_Data!A22)/18)*EXP(-(((Inputs!$C$6)+5)^2)/(22^2))+18*SIN(2*PI()*(Model_Data!A22)/70))+Inputs!$C$28*EXP(-(((Model_Data!A22)-Inputs!$C$29)^2)/(2*Inputs!$C$31^2))*EXP(-(((Inputs!$C$6)-Inputs!$C$30)^2)/(2*Inputs!$C$32^2))+-Inputs!$C$33*EXP(-(((((Model_Data!A22)-Inputs!$C$34)^2)+(((Inputs!$C$6)-Inputs!$C$35)^2))/(2*Inputs!$C$36^2)))+Inputs!$C$37*(0.55*SIN(2*PI()*(Model_Data!A22)/Inputs!$C$39)+0.35*COS(2*PI()*(Inputs!$C$6)/Inputs!$C$40)+0.2*SIN(2*PI()*((Model_Data!A22)+(Inputs!$C$6))/(0.5*(Inputs!$C$39+Inputs!$C$40))))+Inputs!$C$38*SIN(2*PI()*(Model_Data!A22)/Inputs!$C$39)*SIN(2*PI()*(Inputs!$C$6)/Inputs!$C$40)+-Inputs!$C$41*EXP(-(((Inputs!$C$6)-Inputs!$C$43)^2)/(2*Inputs!$C$44^2))*EXP(-(((Model_Data!A22)-Inputs!$C$42)^2)/(2*Inputs!$C$45^2))+Inputs!$C$48*(0.7*(0.45*SIN(2*PI()*(((Model_Data!A22)/Inputs!$C$49)+Inputs!$C$47*0.137))+0.35*COS(2*PI()*(((Inputs!$C$6)/Inputs!$C$50)+Inputs!$C$47*0.173))+0.2*SIN(2*PI()*(((Model_Data!A22)+(Inputs!$C$6))/(0.5*(Inputs!$C$49+Inputs!$C$50))+Inputs!$C$47*0.097)))+0.3*(2*((SIN(((Model_Data!A22)*12.9898+(Inputs!$C$6)*78.233+Inputs!$C$47*37.719))*43758.5453)-INT((SIN(((Model_Data!A22)*12.9898+(Inputs!$C$6)*78.233+Inputs!$C$47*37.719))*43758.5453)))-1))))/1000)^2))-(((Model_Data!B22)-((Inputs!$C$51*(115*EXP(-(((0)-25)^2)/(4.5^2))+70*EXP(-(((0)+38)^2)/(7^2))*(0.55+0.45*SIN(2*PI()*(Model_Data!A22)/45))+24*SIN(2*PI()*(0)/9+(Model_Data!A22)/18)*EXP(-(((0)+5)^2)/(22^2))+18*SIN(2*PI()*(Model_Data!A22)/70))+Inputs!$C$28*EXP(-(((Model_Data!A22)-Inputs!$C$29)^2)/(2*Inputs!$C$31^2))*EXP(-(((0)-Inputs!$C$30)^2)/(2*Inputs!$C$32^2))+-Inputs!$C$33*EXP(-(((((Model_Data!A22)-Inputs!$C$34)^2)+(((0)-Inputs!$C$35)^2))/(2*Inputs!$C$36^2)))+Inputs!$C$37*(0.55*SIN(2*PI()*(Model_Data!A22)/Inputs!$C$39)+0.35*COS(2*PI()*(0)/Inputs!$C$40)+0.2*SIN(2*PI()*((Model_Data!A22)+(0))/(0.5*(Inputs!$C$39+Inputs!$C$40))))+Inputs!$C$38*SIN(2*PI()*(Model_Data!A22)/Inputs!$C$39)*SIN(2*PI()*(0)/Inputs!$C$40)+-Inputs!$C$41*EXP(-(((0)-Inputs!$C$43)^2)/(2*Inputs!$C$44^2))*EXP(-(((Model_Data!A22)-Inputs!$C$42)^2)/(2*Inputs!$C$45^2))+Inputs!$C$48*(0.7*(0.45*SIN(2*PI()*(((Model_Data!A22)/Inputs!$C$49)+Inputs!$C$47*0.137))+0.35*COS(2*PI()*(((0)/Inputs!$C$50)+Inputs!$C$47*0.173))+0.2*SIN(2*PI()*(((Model_Data!A22)+(0))/(0.5*(Inputs!$C$49+Inputs!$C$50))+Inputs!$C$47*0.097)))+0.3*(2*((SIN(((Model_Data!A22)*12.9898+(0)*78.233+Inputs!$C$47*37.719))*43758.5453)-INT((SIN(((Model_Data!A22)*12.9898+(0)*78.233+Inputs!$C$47*37.719))*43758.5453)))-1))))/1000)))*1000/Inputs!$C$12)-Model_Data!F22)</f>
        <v>136.0000604164677</v>
      </c>
      <c r="L22" s="10"/>
      <c r="M22" s="9">
        <f>Model_Data!A22</f>
        <v>-50</v>
      </c>
      <c r="N22" s="9">
        <f>Model_Data!P22</f>
        <v>372.82477391756919</v>
      </c>
      <c r="O22" s="9">
        <f t="shared" si="0"/>
        <v>387.50782081924626</v>
      </c>
      <c r="P22" s="9">
        <f>Model_Data!Q22</f>
        <v>55.979695783418805</v>
      </c>
      <c r="Q22" s="9">
        <f t="shared" si="1"/>
        <v>58.184357480367311</v>
      </c>
      <c r="R22" s="10"/>
      <c r="S22" s="9">
        <f>Model_Data!A22</f>
        <v>-50</v>
      </c>
      <c r="T22" s="9">
        <f>Model_Data!B22-Inputs!$C$5</f>
        <v>2.7777777777777715</v>
      </c>
      <c r="U22" s="10"/>
      <c r="V22" s="9">
        <f>Model_Data!A22</f>
        <v>-50</v>
      </c>
      <c r="W22" s="9">
        <f>((SQRT((Model_Data!A22)^2+Inputs!$C$6^2+Inputs!$C$5^2)-Inputs!$C$5)*1000/Inputs!$C$12)</f>
        <v>2183.9104129706707</v>
      </c>
      <c r="X22" s="9">
        <f>Model_Data!F22</f>
        <v>2168.9924490050507</v>
      </c>
      <c r="Y22" s="10"/>
      <c r="Z22" s="9">
        <f>Model_Data!A22</f>
        <v>-50</v>
      </c>
      <c r="AA22" s="9">
        <f>SQRT((Model_Data!A22)^2+Inputs!$C$6^2+((Model_Data!B22)-((Inputs!$C$51*(115*EXP(-(((Inputs!$C$6)-25)^2)/(4.5^2))+70*EXP(-(((Inputs!$C$6)+38)^2)/(7^2))*(0.55+0.45*SIN(2*PI()*(Model_Data!A22)/45))+24*SIN(2*PI()*(Inputs!$C$6)/9+(Model_Data!A22)/18)*EXP(-(((Inputs!$C$6)+5)^2)/(22^2))+18*SIN(2*PI()*(Model_Data!A22)/70))+Inputs!$C$28*EXP(-(((Model_Data!A22)-Inputs!$C$29)^2)/(2*Inputs!$C$31^2))*EXP(-(((Inputs!$C$6)-Inputs!$C$30)^2)/(2*Inputs!$C$32^2))+-Inputs!$C$33*EXP(-(((((Model_Data!A22)-Inputs!$C$34)^2)+(((Inputs!$C$6)-Inputs!$C$35)^2))/(2*Inputs!$C$36^2)))+Inputs!$C$37*(0.55*SIN(2*PI()*(Model_Data!A22)/Inputs!$C$39)+0.35*COS(2*PI()*(Inputs!$C$6)/Inputs!$C$40)+0.2*SIN(2*PI()*((Model_Data!A22)+(Inputs!$C$6))/(0.5*(Inputs!$C$39+Inputs!$C$40))))+Inputs!$C$38*SIN(2*PI()*(Model_Data!A22)/Inputs!$C$39)*SIN(2*PI()*(Inputs!$C$6)/Inputs!$C$40)+-Inputs!$C$41*EXP(-(((Inputs!$C$6)-Inputs!$C$43)^2)/(2*Inputs!$C$44^2))*EXP(-(((Model_Data!A22)-Inputs!$C$42)^2)/(2*Inputs!$C$45^2))+Inputs!$C$48*(0.7*(0.45*SIN(2*PI()*(((Model_Data!A22)/Inputs!$C$49)+Inputs!$C$47*0.137))+0.35*COS(2*PI()*(((Inputs!$C$6)/Inputs!$C$50)+Inputs!$C$47*0.173))+0.2*SIN(2*PI()*(((Model_Data!A22)+(Inputs!$C$6))/(0.5*(Inputs!$C$49+Inputs!$C$50))+Inputs!$C$47*0.097)))+0.3*(2*((SIN(((Model_Data!A22)*12.9898+(Inputs!$C$6)*78.233+Inputs!$C$47*37.719))*43758.5453)-INT((SIN(((Model_Data!A22)*12.9898+(Inputs!$C$6)*78.233+Inputs!$C$47*37.719))*43758.5453)))-1))))/1000)^2)</f>
        <v>406.36746980980104</v>
      </c>
      <c r="AB22" s="9">
        <f>1000*(AA23-AA21)/(Z23-Z21)*Inputs!$C$11</f>
        <v>-968.76955204811566</v>
      </c>
      <c r="AC22" s="9">
        <f>-2*AB22/Inputs!$C$13</f>
        <v>387.50782081924626</v>
      </c>
      <c r="AD22" s="9">
        <f>-2*AB22/Inputs!$C$14</f>
        <v>58.184357480367311</v>
      </c>
    </row>
    <row r="23" spans="1:30">
      <c r="A23" s="9">
        <f>Model_Data!A23</f>
        <v>-49.5</v>
      </c>
      <c r="B23" s="9">
        <f>((SQRT((Model_Data!A23)^2+Inputs!$C$6^2+Inputs!$C$5^2)-Inputs!$C$5)*1000/Inputs!$C$12)</f>
        <v>2149.3072385843216</v>
      </c>
      <c r="C23" s="9">
        <f>Model_Data!F23</f>
        <v>2134.9136872674544</v>
      </c>
      <c r="D23" s="9">
        <f>(((SQRT((Model_Data!A23)^2+Inputs!$C$6^2+((Model_Data!B23)-((Inputs!$C$51*(115*EXP(-(((Inputs!$C$6)-25)^2)/(4.5^2))+70*EXP(-(((Inputs!$C$6)+38)^2)/(7^2))*(0.55+0.45*SIN(2*PI()*(Model_Data!A23)/45))+24*SIN(2*PI()*(Inputs!$C$6)/9+(Model_Data!A23)/18)*EXP(-(((Inputs!$C$6)+5)^2)/(22^2))+18*SIN(2*PI()*(Model_Data!A23)/70))+Inputs!$C$28*EXP(-(((Model_Data!A23)-Inputs!$C$29)^2)/(2*Inputs!$C$31^2))*EXP(-(((Inputs!$C$6)-Inputs!$C$30)^2)/(2*Inputs!$C$32^2))+-Inputs!$C$33*EXP(-(((((Model_Data!A23)-Inputs!$C$34)^2)+(((Inputs!$C$6)-Inputs!$C$35)^2))/(2*Inputs!$C$36^2)))+Inputs!$C$37*(0.55*SIN(2*PI()*(Model_Data!A23)/Inputs!$C$39)+0.35*COS(2*PI()*(Inputs!$C$6)/Inputs!$C$40)+0.2*SIN(2*PI()*((Model_Data!A23)+(Inputs!$C$6))/(0.5*(Inputs!$C$39+Inputs!$C$40))))+Inputs!$C$38*SIN(2*PI()*(Model_Data!A23)/Inputs!$C$39)*SIN(2*PI()*(Inputs!$C$6)/Inputs!$C$40)+-Inputs!$C$41*EXP(-(((Inputs!$C$6)-Inputs!$C$43)^2)/(2*Inputs!$C$44^2))*EXP(-(((Model_Data!A23)-Inputs!$C$42)^2)/(2*Inputs!$C$45^2))+Inputs!$C$48*(0.7*(0.45*SIN(2*PI()*(((Model_Data!A23)/Inputs!$C$49)+Inputs!$C$47*0.137))+0.35*COS(2*PI()*(((Inputs!$C$6)/Inputs!$C$50)+Inputs!$C$47*0.173))+0.2*SIN(2*PI()*(((Model_Data!A23)+(Inputs!$C$6))/(0.5*(Inputs!$C$49+Inputs!$C$50))+Inputs!$C$47*0.097)))+0.3*(2*((SIN(((Model_Data!A23)*12.9898+(Inputs!$C$6)*78.233+Inputs!$C$47*37.719))*43758.5453)-INT((SIN(((Model_Data!A23)*12.9898+(Inputs!$C$6)*78.233+Inputs!$C$47*37.719))*43758.5453)))-1))))/1000)^2))-(((Model_Data!B23)-((Inputs!$C$51*(115*EXP(-(((0)-25)^2)/(4.5^2))+70*EXP(-(((0)+38)^2)/(7^2))*(0.55+0.45*SIN(2*PI()*(Model_Data!A23)/45))+24*SIN(2*PI()*(0)/9+(Model_Data!A23)/18)*EXP(-(((0)+5)^2)/(22^2))+18*SIN(2*PI()*(Model_Data!A23)/70))+Inputs!$C$28*EXP(-(((Model_Data!A23)-Inputs!$C$29)^2)/(2*Inputs!$C$31^2))*EXP(-(((0)-Inputs!$C$30)^2)/(2*Inputs!$C$32^2))+-Inputs!$C$33*EXP(-(((((Model_Data!A23)-Inputs!$C$34)^2)+(((0)-Inputs!$C$35)^2))/(2*Inputs!$C$36^2)))+Inputs!$C$37*(0.55*SIN(2*PI()*(Model_Data!A23)/Inputs!$C$39)+0.35*COS(2*PI()*(0)/Inputs!$C$40)+0.2*SIN(2*PI()*((Model_Data!A23)+(0))/(0.5*(Inputs!$C$39+Inputs!$C$40))))+Inputs!$C$38*SIN(2*PI()*(Model_Data!A23)/Inputs!$C$39)*SIN(2*PI()*(0)/Inputs!$C$40)+-Inputs!$C$41*EXP(-(((0)-Inputs!$C$43)^2)/(2*Inputs!$C$44^2))*EXP(-(((Model_Data!A23)-Inputs!$C$42)^2)/(2*Inputs!$C$45^2))+Inputs!$C$48*(0.7*(0.45*SIN(2*PI()*(((Model_Data!A23)/Inputs!$C$49)+Inputs!$C$47*0.137))+0.35*COS(2*PI()*(((0)/Inputs!$C$50)+Inputs!$C$47*0.173))+0.2*SIN(2*PI()*(((Model_Data!A23)+(0))/(0.5*(Inputs!$C$49+Inputs!$C$50))+Inputs!$C$47*0.097)))+0.3*(2*((SIN(((Model_Data!A23)*12.9898+(0)*78.233+Inputs!$C$47*37.719))*43758.5453)-INT((SIN(((Model_Data!A23)*12.9898+(0)*78.233+Inputs!$C$47*37.719))*43758.5453)))-1))))/1000)))*1000/Inputs!$C$12)</f>
        <v>2019.9749297193337</v>
      </c>
      <c r="E23" s="9">
        <f>Model_Data!A23</f>
        <v>-49.5</v>
      </c>
      <c r="F23" s="9">
        <f>(Inputs!$C$51*(115*EXP(-(((Inputs!$C$6)-25)^2)/(4.5^2))+70*EXP(-(((Inputs!$C$6)+38)^2)/(7^2))*(0.55+0.45*SIN(2*PI()*(Model_Data!A23)/45))+24*SIN(2*PI()*(Inputs!$C$6)/9+(Model_Data!A23)/18)*EXP(-(((Inputs!$C$6)+5)^2)/(22^2))+18*SIN(2*PI()*(Model_Data!A23)/70))+Inputs!$C$28*EXP(-(((Model_Data!A23)-Inputs!$C$29)^2)/(2*Inputs!$C$31^2))*EXP(-(((Inputs!$C$6)-Inputs!$C$30)^2)/(2*Inputs!$C$32^2))+-Inputs!$C$33*EXP(-(((((Model_Data!A23)-Inputs!$C$34)^2)+(((Inputs!$C$6)-Inputs!$C$35)^2))/(2*Inputs!$C$36^2)))+Inputs!$C$37*(0.55*SIN(2*PI()*(Model_Data!A23)/Inputs!$C$39)+0.35*COS(2*PI()*(Inputs!$C$6)/Inputs!$C$40)+0.2*SIN(2*PI()*((Model_Data!A23)+(Inputs!$C$6))/(0.5*(Inputs!$C$39+Inputs!$C$40))))+Inputs!$C$38*SIN(2*PI()*(Model_Data!A23)/Inputs!$C$39)*SIN(2*PI()*(Inputs!$C$6)/Inputs!$C$40)+-Inputs!$C$41*EXP(-(((Inputs!$C$6)-Inputs!$C$43)^2)/(2*Inputs!$C$44^2))*EXP(-(((Model_Data!A23)-Inputs!$C$42)^2)/(2*Inputs!$C$45^2))+Inputs!$C$48*(0.7*(0.45*SIN(2*PI()*(((Model_Data!A23)/Inputs!$C$49)+Inputs!$C$47*0.137))+0.35*COS(2*PI()*(((Inputs!$C$6)/Inputs!$C$50)+Inputs!$C$47*0.173))+0.2*SIN(2*PI()*(((Model_Data!A23)+(Inputs!$C$6))/(0.5*(Inputs!$C$49+Inputs!$C$50))+Inputs!$C$47*0.097)))+0.3*(2*((SIN(((Model_Data!A23)*12.9898+(Inputs!$C$6)*78.233+Inputs!$C$47*37.719))*43758.5453)-INT((SIN(((Model_Data!A23)*12.9898+(Inputs!$C$6)*78.233+Inputs!$C$47*37.719))*43758.5453)))-1)))</f>
        <v>258.91748425640003</v>
      </c>
      <c r="G23" s="9">
        <f>(Inputs!$C$51*(115*EXP(-(((0)-25)^2)/(4.5^2))+70*EXP(-(((0)+38)^2)/(7^2))*(0.55+0.45*SIN(2*PI()*(Model_Data!A23)/45))+24*SIN(2*PI()*(0)/9+(Model_Data!A23)/18)*EXP(-(((0)+5)^2)/(22^2))+18*SIN(2*PI()*(Model_Data!A23)/70))+Inputs!$C$28*EXP(-(((Model_Data!A23)-Inputs!$C$29)^2)/(2*Inputs!$C$31^2))*EXP(-(((0)-Inputs!$C$30)^2)/(2*Inputs!$C$32^2))+-Inputs!$C$33*EXP(-(((((Model_Data!A23)-Inputs!$C$34)^2)+(((0)-Inputs!$C$35)^2))/(2*Inputs!$C$36^2)))+Inputs!$C$37*(0.55*SIN(2*PI()*(Model_Data!A23)/Inputs!$C$39)+0.35*COS(2*PI()*(0)/Inputs!$C$40)+0.2*SIN(2*PI()*((Model_Data!A23)+(0))/(0.5*(Inputs!$C$39+Inputs!$C$40))))+Inputs!$C$38*SIN(2*PI()*(Model_Data!A23)/Inputs!$C$39)*SIN(2*PI()*(0)/Inputs!$C$40)+-Inputs!$C$41*EXP(-(((0)-Inputs!$C$43)^2)/(2*Inputs!$C$44^2))*EXP(-(((Model_Data!A23)-Inputs!$C$42)^2)/(2*Inputs!$C$45^2))+Inputs!$C$48*(0.7*(0.45*SIN(2*PI()*(((Model_Data!A23)/Inputs!$C$49)+Inputs!$C$47*0.137))+0.35*COS(2*PI()*(((0)/Inputs!$C$50)+Inputs!$C$47*0.173))+0.2*SIN(2*PI()*(((Model_Data!A23)+(0))/(0.5*(Inputs!$C$49+Inputs!$C$50))+Inputs!$C$47*0.097)))+0.3*(2*((SIN(((Model_Data!A23)*12.9898+(0)*78.233+Inputs!$C$47*37.719))*43758.5453)-INT((SIN(((Model_Data!A23)*12.9898+(0)*78.233+Inputs!$C$47*37.719))*43758.5453)))-1)))</f>
        <v>51.904617288379008</v>
      </c>
      <c r="H23" s="10"/>
      <c r="I23" s="9">
        <f>Model_Data!A23</f>
        <v>-49.5</v>
      </c>
      <c r="J23" s="9">
        <f>(Inputs!$C$51*(115*EXP(-(((Inputs!$C$6)-25)^2)/(4.5^2))+70*EXP(-(((Inputs!$C$6)+38)^2)/(7^2))*(0.55+0.45*SIN(2*PI()*(Model_Data!A23)/45))+24*SIN(2*PI()*(Inputs!$C$6)/9+(Model_Data!A23)/18)*EXP(-(((Inputs!$C$6)+5)^2)/(22^2))+18*SIN(2*PI()*(Model_Data!A23)/70))+Inputs!$C$28*EXP(-(((Model_Data!A23)-Inputs!$C$29)^2)/(2*Inputs!$C$31^2))*EXP(-(((Inputs!$C$6)-Inputs!$C$30)^2)/(2*Inputs!$C$32^2))+-Inputs!$C$33*EXP(-(((((Model_Data!A23)-Inputs!$C$34)^2)+(((Inputs!$C$6)-Inputs!$C$35)^2))/(2*Inputs!$C$36^2)))+Inputs!$C$37*(0.55*SIN(2*PI()*(Model_Data!A23)/Inputs!$C$39)+0.35*COS(2*PI()*(Inputs!$C$6)/Inputs!$C$40)+0.2*SIN(2*PI()*((Model_Data!A23)+(Inputs!$C$6))/(0.5*(Inputs!$C$39+Inputs!$C$40))))+Inputs!$C$38*SIN(2*PI()*(Model_Data!A23)/Inputs!$C$39)*SIN(2*PI()*(Inputs!$C$6)/Inputs!$C$40)+-Inputs!$C$41*EXP(-(((Inputs!$C$6)-Inputs!$C$43)^2)/(2*Inputs!$C$44^2))*EXP(-(((Model_Data!A23)-Inputs!$C$42)^2)/(2*Inputs!$C$45^2))+Inputs!$C$48*(0.7*(0.45*SIN(2*PI()*(((Model_Data!A23)/Inputs!$C$49)+Inputs!$C$47*0.137))+0.35*COS(2*PI()*(((Inputs!$C$6)/Inputs!$C$50)+Inputs!$C$47*0.173))+0.2*SIN(2*PI()*(((Model_Data!A23)+(Inputs!$C$6))/(0.5*(Inputs!$C$49+Inputs!$C$50))+Inputs!$C$47*0.097)))+0.3*(2*((SIN(((Model_Data!A23)*12.9898+(Inputs!$C$6)*78.233+Inputs!$C$47*37.719))*43758.5453)-INT((SIN(((Model_Data!A23)*12.9898+(Inputs!$C$6)*78.233+Inputs!$C$47*37.719))*43758.5453)))-1)))</f>
        <v>258.91748425640003</v>
      </c>
      <c r="K23" s="9">
        <f>-((((SQRT((Model_Data!A23)^2+Inputs!$C$6^2+((Model_Data!B23)-((Inputs!$C$51*(115*EXP(-(((Inputs!$C$6)-25)^2)/(4.5^2))+70*EXP(-(((Inputs!$C$6)+38)^2)/(7^2))*(0.55+0.45*SIN(2*PI()*(Model_Data!A23)/45))+24*SIN(2*PI()*(Inputs!$C$6)/9+(Model_Data!A23)/18)*EXP(-(((Inputs!$C$6)+5)^2)/(22^2))+18*SIN(2*PI()*(Model_Data!A23)/70))+Inputs!$C$28*EXP(-(((Model_Data!A23)-Inputs!$C$29)^2)/(2*Inputs!$C$31^2))*EXP(-(((Inputs!$C$6)-Inputs!$C$30)^2)/(2*Inputs!$C$32^2))+-Inputs!$C$33*EXP(-(((((Model_Data!A23)-Inputs!$C$34)^2)+(((Inputs!$C$6)-Inputs!$C$35)^2))/(2*Inputs!$C$36^2)))+Inputs!$C$37*(0.55*SIN(2*PI()*(Model_Data!A23)/Inputs!$C$39)+0.35*COS(2*PI()*(Inputs!$C$6)/Inputs!$C$40)+0.2*SIN(2*PI()*((Model_Data!A23)+(Inputs!$C$6))/(0.5*(Inputs!$C$39+Inputs!$C$40))))+Inputs!$C$38*SIN(2*PI()*(Model_Data!A23)/Inputs!$C$39)*SIN(2*PI()*(Inputs!$C$6)/Inputs!$C$40)+-Inputs!$C$41*EXP(-(((Inputs!$C$6)-Inputs!$C$43)^2)/(2*Inputs!$C$44^2))*EXP(-(((Model_Data!A23)-Inputs!$C$42)^2)/(2*Inputs!$C$45^2))+Inputs!$C$48*(0.7*(0.45*SIN(2*PI()*(((Model_Data!A23)/Inputs!$C$49)+Inputs!$C$47*0.137))+0.35*COS(2*PI()*(((Inputs!$C$6)/Inputs!$C$50)+Inputs!$C$47*0.173))+0.2*SIN(2*PI()*(((Model_Data!A23)+(Inputs!$C$6))/(0.5*(Inputs!$C$49+Inputs!$C$50))+Inputs!$C$47*0.097)))+0.3*(2*((SIN(((Model_Data!A23)*12.9898+(Inputs!$C$6)*78.233+Inputs!$C$47*37.719))*43758.5453)-INT((SIN(((Model_Data!A23)*12.9898+(Inputs!$C$6)*78.233+Inputs!$C$47*37.719))*43758.5453)))-1))))/1000)^2))-(((Model_Data!B23)-((Inputs!$C$51*(115*EXP(-(((0)-25)^2)/(4.5^2))+70*EXP(-(((0)+38)^2)/(7^2))*(0.55+0.45*SIN(2*PI()*(Model_Data!A23)/45))+24*SIN(2*PI()*(0)/9+(Model_Data!A23)/18)*EXP(-(((0)+5)^2)/(22^2))+18*SIN(2*PI()*(Model_Data!A23)/70))+Inputs!$C$28*EXP(-(((Model_Data!A23)-Inputs!$C$29)^2)/(2*Inputs!$C$31^2))*EXP(-(((0)-Inputs!$C$30)^2)/(2*Inputs!$C$32^2))+-Inputs!$C$33*EXP(-(((((Model_Data!A23)-Inputs!$C$34)^2)+(((0)-Inputs!$C$35)^2))/(2*Inputs!$C$36^2)))+Inputs!$C$37*(0.55*SIN(2*PI()*(Model_Data!A23)/Inputs!$C$39)+0.35*COS(2*PI()*(0)/Inputs!$C$40)+0.2*SIN(2*PI()*((Model_Data!A23)+(0))/(0.5*(Inputs!$C$39+Inputs!$C$40))))+Inputs!$C$38*SIN(2*PI()*(Model_Data!A23)/Inputs!$C$39)*SIN(2*PI()*(0)/Inputs!$C$40)+-Inputs!$C$41*EXP(-(((0)-Inputs!$C$43)^2)/(2*Inputs!$C$44^2))*EXP(-(((Model_Data!A23)-Inputs!$C$42)^2)/(2*Inputs!$C$45^2))+Inputs!$C$48*(0.7*(0.45*SIN(2*PI()*(((Model_Data!A23)/Inputs!$C$49)+Inputs!$C$47*0.137))+0.35*COS(2*PI()*(((0)/Inputs!$C$50)+Inputs!$C$47*0.173))+0.2*SIN(2*PI()*(((Model_Data!A23)+(0))/(0.5*(Inputs!$C$49+Inputs!$C$50))+Inputs!$C$47*0.097)))+0.3*(2*((SIN(((Model_Data!A23)*12.9898+(0)*78.233+Inputs!$C$47*37.719))*43758.5453)-INT((SIN(((Model_Data!A23)*12.9898+(0)*78.233+Inputs!$C$47*37.719))*43758.5453)))-1))))/1000)))*1000/Inputs!$C$12)-Model_Data!F23)</f>
        <v>114.93875754812075</v>
      </c>
      <c r="L23" s="10"/>
      <c r="M23" s="9">
        <f>Model_Data!A23</f>
        <v>-49.5</v>
      </c>
      <c r="N23" s="9">
        <f>Model_Data!P23</f>
        <v>369.17785846022554</v>
      </c>
      <c r="O23" s="9">
        <f t="shared" si="0"/>
        <v>361.50227130256098</v>
      </c>
      <c r="P23" s="9">
        <f>Model_Data!Q23</f>
        <v>55.432110879913751</v>
      </c>
      <c r="Q23" s="9">
        <f t="shared" si="1"/>
        <v>54.279620315699852</v>
      </c>
      <c r="R23" s="10"/>
      <c r="S23" s="9">
        <f>Model_Data!A23</f>
        <v>-49.5</v>
      </c>
      <c r="T23" s="9">
        <f>Model_Data!B23-Inputs!$C$5</f>
        <v>2.722500000000025</v>
      </c>
      <c r="U23" s="10"/>
      <c r="V23" s="9">
        <f>Model_Data!A23</f>
        <v>-49.5</v>
      </c>
      <c r="W23" s="9">
        <f>((SQRT((Model_Data!A23)^2+Inputs!$C$6^2+Inputs!$C$5^2)-Inputs!$C$5)*1000/Inputs!$C$12)</f>
        <v>2149.3072385843216</v>
      </c>
      <c r="X23" s="9">
        <f>Model_Data!F23</f>
        <v>2134.9136872674544</v>
      </c>
      <c r="Y23" s="10"/>
      <c r="Z23" s="9">
        <f>Model_Data!A23</f>
        <v>-49.5</v>
      </c>
      <c r="AA23" s="9">
        <f>SQRT((Model_Data!A23)^2+Inputs!$C$6^2+((Model_Data!B23)-((Inputs!$C$51*(115*EXP(-(((Inputs!$C$6)-25)^2)/(4.5^2))+70*EXP(-(((Inputs!$C$6)+38)^2)/(7^2))*(0.55+0.45*SIN(2*PI()*(Model_Data!A23)/45))+24*SIN(2*PI()*(Inputs!$C$6)/9+(Model_Data!A23)/18)*EXP(-(((Inputs!$C$6)+5)^2)/(22^2))+18*SIN(2*PI()*(Model_Data!A23)/70))+Inputs!$C$28*EXP(-(((Model_Data!A23)-Inputs!$C$29)^2)/(2*Inputs!$C$31^2))*EXP(-(((Inputs!$C$6)-Inputs!$C$30)^2)/(2*Inputs!$C$32^2))+-Inputs!$C$33*EXP(-(((((Model_Data!A23)-Inputs!$C$34)^2)+(((Inputs!$C$6)-Inputs!$C$35)^2))/(2*Inputs!$C$36^2)))+Inputs!$C$37*(0.55*SIN(2*PI()*(Model_Data!A23)/Inputs!$C$39)+0.35*COS(2*PI()*(Inputs!$C$6)/Inputs!$C$40)+0.2*SIN(2*PI()*((Model_Data!A23)+(Inputs!$C$6))/(0.5*(Inputs!$C$39+Inputs!$C$40))))+Inputs!$C$38*SIN(2*PI()*(Model_Data!A23)/Inputs!$C$39)*SIN(2*PI()*(Inputs!$C$6)/Inputs!$C$40)+-Inputs!$C$41*EXP(-(((Inputs!$C$6)-Inputs!$C$43)^2)/(2*Inputs!$C$44^2))*EXP(-(((Model_Data!A23)-Inputs!$C$42)^2)/(2*Inputs!$C$45^2))+Inputs!$C$48*(0.7*(0.45*SIN(2*PI()*(((Model_Data!A23)/Inputs!$C$49)+Inputs!$C$47*0.137))+0.35*COS(2*PI()*(((Inputs!$C$6)/Inputs!$C$50)+Inputs!$C$47*0.173))+0.2*SIN(2*PI()*(((Model_Data!A23)+(Inputs!$C$6))/(0.5*(Inputs!$C$49+Inputs!$C$50))+Inputs!$C$47*0.097)))+0.3*(2*((SIN(((Model_Data!A23)*12.9898+(Inputs!$C$6)*78.233+Inputs!$C$47*37.719))*43758.5453)-INT((SIN(((Model_Data!A23)*12.9898+(Inputs!$C$6)*78.233+Inputs!$C$47*37.719))*43758.5453)))-1))))/1000)^2)</f>
        <v>406.26615075761208</v>
      </c>
      <c r="AB23" s="9">
        <f>1000*(AA24-AA22)/(Z24-Z22)*Inputs!$C$11</f>
        <v>-903.75567825640246</v>
      </c>
      <c r="AC23" s="9">
        <f>-2*AB23/Inputs!$C$13</f>
        <v>361.50227130256098</v>
      </c>
      <c r="AD23" s="9">
        <f>-2*AB23/Inputs!$C$14</f>
        <v>54.279620315699852</v>
      </c>
    </row>
    <row r="24" spans="1:30">
      <c r="A24" s="9">
        <f>Model_Data!A24</f>
        <v>-49</v>
      </c>
      <c r="B24" s="9">
        <f>((SQRT((Model_Data!A24)^2+Inputs!$C$6^2+Inputs!$C$5^2)-Inputs!$C$5)*1000/Inputs!$C$12)</f>
        <v>2115.0466354489636</v>
      </c>
      <c r="C24" s="9">
        <f>Model_Data!F24</f>
        <v>2101.1632843038606</v>
      </c>
      <c r="D24" s="9">
        <f>(((SQRT((Model_Data!A24)^2+Inputs!$C$6^2+((Model_Data!B24)-((Inputs!$C$51*(115*EXP(-(((Inputs!$C$6)-25)^2)/(4.5^2))+70*EXP(-(((Inputs!$C$6)+38)^2)/(7^2))*(0.55+0.45*SIN(2*PI()*(Model_Data!A24)/45))+24*SIN(2*PI()*(Inputs!$C$6)/9+(Model_Data!A24)/18)*EXP(-(((Inputs!$C$6)+5)^2)/(22^2))+18*SIN(2*PI()*(Model_Data!A24)/70))+Inputs!$C$28*EXP(-(((Model_Data!A24)-Inputs!$C$29)^2)/(2*Inputs!$C$31^2))*EXP(-(((Inputs!$C$6)-Inputs!$C$30)^2)/(2*Inputs!$C$32^2))+-Inputs!$C$33*EXP(-(((((Model_Data!A24)-Inputs!$C$34)^2)+(((Inputs!$C$6)-Inputs!$C$35)^2))/(2*Inputs!$C$36^2)))+Inputs!$C$37*(0.55*SIN(2*PI()*(Model_Data!A24)/Inputs!$C$39)+0.35*COS(2*PI()*(Inputs!$C$6)/Inputs!$C$40)+0.2*SIN(2*PI()*((Model_Data!A24)+(Inputs!$C$6))/(0.5*(Inputs!$C$39+Inputs!$C$40))))+Inputs!$C$38*SIN(2*PI()*(Model_Data!A24)/Inputs!$C$39)*SIN(2*PI()*(Inputs!$C$6)/Inputs!$C$40)+-Inputs!$C$41*EXP(-(((Inputs!$C$6)-Inputs!$C$43)^2)/(2*Inputs!$C$44^2))*EXP(-(((Model_Data!A24)-Inputs!$C$42)^2)/(2*Inputs!$C$45^2))+Inputs!$C$48*(0.7*(0.45*SIN(2*PI()*(((Model_Data!A24)/Inputs!$C$49)+Inputs!$C$47*0.137))+0.35*COS(2*PI()*(((Inputs!$C$6)/Inputs!$C$50)+Inputs!$C$47*0.173))+0.2*SIN(2*PI()*(((Model_Data!A24)+(Inputs!$C$6))/(0.5*(Inputs!$C$49+Inputs!$C$50))+Inputs!$C$47*0.097)))+0.3*(2*((SIN(((Model_Data!A24)*12.9898+(Inputs!$C$6)*78.233+Inputs!$C$47*37.719))*43758.5453)-INT((SIN(((Model_Data!A24)*12.9898+(Inputs!$C$6)*78.233+Inputs!$C$47*37.719))*43758.5453)))-1))))/1000)^2))-(((Model_Data!B24)-((Inputs!$C$51*(115*EXP(-(((0)-25)^2)/(4.5^2))+70*EXP(-(((0)+38)^2)/(7^2))*(0.55+0.45*SIN(2*PI()*(Model_Data!A24)/45))+24*SIN(2*PI()*(0)/9+(Model_Data!A24)/18)*EXP(-(((0)+5)^2)/(22^2))+18*SIN(2*PI()*(Model_Data!A24)/70))+Inputs!$C$28*EXP(-(((Model_Data!A24)-Inputs!$C$29)^2)/(2*Inputs!$C$31^2))*EXP(-(((0)-Inputs!$C$30)^2)/(2*Inputs!$C$32^2))+-Inputs!$C$33*EXP(-(((((Model_Data!A24)-Inputs!$C$34)^2)+(((0)-Inputs!$C$35)^2))/(2*Inputs!$C$36^2)))+Inputs!$C$37*(0.55*SIN(2*PI()*(Model_Data!A24)/Inputs!$C$39)+0.35*COS(2*PI()*(0)/Inputs!$C$40)+0.2*SIN(2*PI()*((Model_Data!A24)+(0))/(0.5*(Inputs!$C$39+Inputs!$C$40))))+Inputs!$C$38*SIN(2*PI()*(Model_Data!A24)/Inputs!$C$39)*SIN(2*PI()*(0)/Inputs!$C$40)+-Inputs!$C$41*EXP(-(((0)-Inputs!$C$43)^2)/(2*Inputs!$C$44^2))*EXP(-(((Model_Data!A24)-Inputs!$C$42)^2)/(2*Inputs!$C$45^2))+Inputs!$C$48*(0.7*(0.45*SIN(2*PI()*(((Model_Data!A24)/Inputs!$C$49)+Inputs!$C$47*0.137))+0.35*COS(2*PI()*(((0)/Inputs!$C$50)+Inputs!$C$47*0.173))+0.2*SIN(2*PI()*(((Model_Data!A24)+(0))/(0.5*(Inputs!$C$49+Inputs!$C$50))+Inputs!$C$47*0.097)))+0.3*(2*((SIN(((Model_Data!A24)*12.9898+(0)*78.233+Inputs!$C$47*37.719))*43758.5453)-INT((SIN(((Model_Data!A24)*12.9898+(0)*78.233+Inputs!$C$47*37.719))*43758.5453)))-1))))/1000)))*1000/Inputs!$C$12)</f>
        <v>1973.818042417631</v>
      </c>
      <c r="E24" s="9">
        <f>Model_Data!A24</f>
        <v>-49</v>
      </c>
      <c r="F24" s="9">
        <f>(Inputs!$C$51*(115*EXP(-(((Inputs!$C$6)-25)^2)/(4.5^2))+70*EXP(-(((Inputs!$C$6)+38)^2)/(7^2))*(0.55+0.45*SIN(2*PI()*(Model_Data!A24)/45))+24*SIN(2*PI()*(Inputs!$C$6)/9+(Model_Data!A24)/18)*EXP(-(((Inputs!$C$6)+5)^2)/(22^2))+18*SIN(2*PI()*(Model_Data!A24)/70))+Inputs!$C$28*EXP(-(((Model_Data!A24)-Inputs!$C$29)^2)/(2*Inputs!$C$31^2))*EXP(-(((Inputs!$C$6)-Inputs!$C$30)^2)/(2*Inputs!$C$32^2))+-Inputs!$C$33*EXP(-(((((Model_Data!A24)-Inputs!$C$34)^2)+(((Inputs!$C$6)-Inputs!$C$35)^2))/(2*Inputs!$C$36^2)))+Inputs!$C$37*(0.55*SIN(2*PI()*(Model_Data!A24)/Inputs!$C$39)+0.35*COS(2*PI()*(Inputs!$C$6)/Inputs!$C$40)+0.2*SIN(2*PI()*((Model_Data!A24)+(Inputs!$C$6))/(0.5*(Inputs!$C$39+Inputs!$C$40))))+Inputs!$C$38*SIN(2*PI()*(Model_Data!A24)/Inputs!$C$39)*SIN(2*PI()*(Inputs!$C$6)/Inputs!$C$40)+-Inputs!$C$41*EXP(-(((Inputs!$C$6)-Inputs!$C$43)^2)/(2*Inputs!$C$44^2))*EXP(-(((Model_Data!A24)-Inputs!$C$42)^2)/(2*Inputs!$C$45^2))+Inputs!$C$48*(0.7*(0.45*SIN(2*PI()*(((Model_Data!A24)/Inputs!$C$49)+Inputs!$C$47*0.137))+0.35*COS(2*PI()*(((Inputs!$C$6)/Inputs!$C$50)+Inputs!$C$47*0.173))+0.2*SIN(2*PI()*(((Model_Data!A24)+(Inputs!$C$6))/(0.5*(Inputs!$C$49+Inputs!$C$50))+Inputs!$C$47*0.097)))+0.3*(2*((SIN(((Model_Data!A24)*12.9898+(Inputs!$C$6)*78.233+Inputs!$C$47*37.719))*43758.5453)-INT((SIN(((Model_Data!A24)*12.9898+(Inputs!$C$6)*78.233+Inputs!$C$47*37.719))*43758.5453)))-1)))</f>
        <v>268.79279662092654</v>
      </c>
      <c r="G24" s="9">
        <f>(Inputs!$C$51*(115*EXP(-(((0)-25)^2)/(4.5^2))+70*EXP(-(((0)+38)^2)/(7^2))*(0.55+0.45*SIN(2*PI()*(Model_Data!A24)/45))+24*SIN(2*PI()*(0)/9+(Model_Data!A24)/18)*EXP(-(((0)+5)^2)/(22^2))+18*SIN(2*PI()*(Model_Data!A24)/70))+Inputs!$C$28*EXP(-(((Model_Data!A24)-Inputs!$C$29)^2)/(2*Inputs!$C$31^2))*EXP(-(((0)-Inputs!$C$30)^2)/(2*Inputs!$C$32^2))+-Inputs!$C$33*EXP(-(((((Model_Data!A24)-Inputs!$C$34)^2)+(((0)-Inputs!$C$35)^2))/(2*Inputs!$C$36^2)))+Inputs!$C$37*(0.55*SIN(2*PI()*(Model_Data!A24)/Inputs!$C$39)+0.35*COS(2*PI()*(0)/Inputs!$C$40)+0.2*SIN(2*PI()*((Model_Data!A24)+(0))/(0.5*(Inputs!$C$39+Inputs!$C$40))))+Inputs!$C$38*SIN(2*PI()*(Model_Data!A24)/Inputs!$C$39)*SIN(2*PI()*(0)/Inputs!$C$40)+-Inputs!$C$41*EXP(-(((0)-Inputs!$C$43)^2)/(2*Inputs!$C$44^2))*EXP(-(((Model_Data!A24)-Inputs!$C$42)^2)/(2*Inputs!$C$45^2))+Inputs!$C$48*(0.7*(0.45*SIN(2*PI()*(((Model_Data!A24)/Inputs!$C$49)+Inputs!$C$47*0.137))+0.35*COS(2*PI()*(((0)/Inputs!$C$50)+Inputs!$C$47*0.173))+0.2*SIN(2*PI()*(((Model_Data!A24)+(0))/(0.5*(Inputs!$C$49+Inputs!$C$50))+Inputs!$C$47*0.097)))+0.3*(2*((SIN(((Model_Data!A24)*12.9898+(0)*78.233+Inputs!$C$47*37.719))*43758.5453)-INT((SIN(((Model_Data!A24)*12.9898+(0)*78.233+Inputs!$C$47*37.719))*43758.5453)))-1)))</f>
        <v>39.643003044215533</v>
      </c>
      <c r="H24" s="10"/>
      <c r="I24" s="9">
        <f>Model_Data!A24</f>
        <v>-49</v>
      </c>
      <c r="J24" s="9">
        <f>(Inputs!$C$51*(115*EXP(-(((Inputs!$C$6)-25)^2)/(4.5^2))+70*EXP(-(((Inputs!$C$6)+38)^2)/(7^2))*(0.55+0.45*SIN(2*PI()*(Model_Data!A24)/45))+24*SIN(2*PI()*(Inputs!$C$6)/9+(Model_Data!A24)/18)*EXP(-(((Inputs!$C$6)+5)^2)/(22^2))+18*SIN(2*PI()*(Model_Data!A24)/70))+Inputs!$C$28*EXP(-(((Model_Data!A24)-Inputs!$C$29)^2)/(2*Inputs!$C$31^2))*EXP(-(((Inputs!$C$6)-Inputs!$C$30)^2)/(2*Inputs!$C$32^2))+-Inputs!$C$33*EXP(-(((((Model_Data!A24)-Inputs!$C$34)^2)+(((Inputs!$C$6)-Inputs!$C$35)^2))/(2*Inputs!$C$36^2)))+Inputs!$C$37*(0.55*SIN(2*PI()*(Model_Data!A24)/Inputs!$C$39)+0.35*COS(2*PI()*(Inputs!$C$6)/Inputs!$C$40)+0.2*SIN(2*PI()*((Model_Data!A24)+(Inputs!$C$6))/(0.5*(Inputs!$C$39+Inputs!$C$40))))+Inputs!$C$38*SIN(2*PI()*(Model_Data!A24)/Inputs!$C$39)*SIN(2*PI()*(Inputs!$C$6)/Inputs!$C$40)+-Inputs!$C$41*EXP(-(((Inputs!$C$6)-Inputs!$C$43)^2)/(2*Inputs!$C$44^2))*EXP(-(((Model_Data!A24)-Inputs!$C$42)^2)/(2*Inputs!$C$45^2))+Inputs!$C$48*(0.7*(0.45*SIN(2*PI()*(((Model_Data!A24)/Inputs!$C$49)+Inputs!$C$47*0.137))+0.35*COS(2*PI()*(((Inputs!$C$6)/Inputs!$C$50)+Inputs!$C$47*0.173))+0.2*SIN(2*PI()*(((Model_Data!A24)+(Inputs!$C$6))/(0.5*(Inputs!$C$49+Inputs!$C$50))+Inputs!$C$47*0.097)))+0.3*(2*((SIN(((Model_Data!A24)*12.9898+(Inputs!$C$6)*78.233+Inputs!$C$47*37.719))*43758.5453)-INT((SIN(((Model_Data!A24)*12.9898+(Inputs!$C$6)*78.233+Inputs!$C$47*37.719))*43758.5453)))-1)))</f>
        <v>268.79279662092654</v>
      </c>
      <c r="K24" s="9">
        <f>-((((SQRT((Model_Data!A24)^2+Inputs!$C$6^2+((Model_Data!B24)-((Inputs!$C$51*(115*EXP(-(((Inputs!$C$6)-25)^2)/(4.5^2))+70*EXP(-(((Inputs!$C$6)+38)^2)/(7^2))*(0.55+0.45*SIN(2*PI()*(Model_Data!A24)/45))+24*SIN(2*PI()*(Inputs!$C$6)/9+(Model_Data!A24)/18)*EXP(-(((Inputs!$C$6)+5)^2)/(22^2))+18*SIN(2*PI()*(Model_Data!A24)/70))+Inputs!$C$28*EXP(-(((Model_Data!A24)-Inputs!$C$29)^2)/(2*Inputs!$C$31^2))*EXP(-(((Inputs!$C$6)-Inputs!$C$30)^2)/(2*Inputs!$C$32^2))+-Inputs!$C$33*EXP(-(((((Model_Data!A24)-Inputs!$C$34)^2)+(((Inputs!$C$6)-Inputs!$C$35)^2))/(2*Inputs!$C$36^2)))+Inputs!$C$37*(0.55*SIN(2*PI()*(Model_Data!A24)/Inputs!$C$39)+0.35*COS(2*PI()*(Inputs!$C$6)/Inputs!$C$40)+0.2*SIN(2*PI()*((Model_Data!A24)+(Inputs!$C$6))/(0.5*(Inputs!$C$39+Inputs!$C$40))))+Inputs!$C$38*SIN(2*PI()*(Model_Data!A24)/Inputs!$C$39)*SIN(2*PI()*(Inputs!$C$6)/Inputs!$C$40)+-Inputs!$C$41*EXP(-(((Inputs!$C$6)-Inputs!$C$43)^2)/(2*Inputs!$C$44^2))*EXP(-(((Model_Data!A24)-Inputs!$C$42)^2)/(2*Inputs!$C$45^2))+Inputs!$C$48*(0.7*(0.45*SIN(2*PI()*(((Model_Data!A24)/Inputs!$C$49)+Inputs!$C$47*0.137))+0.35*COS(2*PI()*(((Inputs!$C$6)/Inputs!$C$50)+Inputs!$C$47*0.173))+0.2*SIN(2*PI()*(((Model_Data!A24)+(Inputs!$C$6))/(0.5*(Inputs!$C$49+Inputs!$C$50))+Inputs!$C$47*0.097)))+0.3*(2*((SIN(((Model_Data!A24)*12.9898+(Inputs!$C$6)*78.233+Inputs!$C$47*37.719))*43758.5453)-INT((SIN(((Model_Data!A24)*12.9898+(Inputs!$C$6)*78.233+Inputs!$C$47*37.719))*43758.5453)))-1))))/1000)^2))-(((Model_Data!B24)-((Inputs!$C$51*(115*EXP(-(((0)-25)^2)/(4.5^2))+70*EXP(-(((0)+38)^2)/(7^2))*(0.55+0.45*SIN(2*PI()*(Model_Data!A24)/45))+24*SIN(2*PI()*(0)/9+(Model_Data!A24)/18)*EXP(-(((0)+5)^2)/(22^2))+18*SIN(2*PI()*(Model_Data!A24)/70))+Inputs!$C$28*EXP(-(((Model_Data!A24)-Inputs!$C$29)^2)/(2*Inputs!$C$31^2))*EXP(-(((0)-Inputs!$C$30)^2)/(2*Inputs!$C$32^2))+-Inputs!$C$33*EXP(-(((((Model_Data!A24)-Inputs!$C$34)^2)+(((0)-Inputs!$C$35)^2))/(2*Inputs!$C$36^2)))+Inputs!$C$37*(0.55*SIN(2*PI()*(Model_Data!A24)/Inputs!$C$39)+0.35*COS(2*PI()*(0)/Inputs!$C$40)+0.2*SIN(2*PI()*((Model_Data!A24)+(0))/(0.5*(Inputs!$C$39+Inputs!$C$40))))+Inputs!$C$38*SIN(2*PI()*(Model_Data!A24)/Inputs!$C$39)*SIN(2*PI()*(0)/Inputs!$C$40)+-Inputs!$C$41*EXP(-(((0)-Inputs!$C$43)^2)/(2*Inputs!$C$44^2))*EXP(-(((Model_Data!A24)-Inputs!$C$42)^2)/(2*Inputs!$C$45^2))+Inputs!$C$48*(0.7*(0.45*SIN(2*PI()*(((Model_Data!A24)/Inputs!$C$49)+Inputs!$C$47*0.137))+0.35*COS(2*PI()*(((0)/Inputs!$C$50)+Inputs!$C$47*0.173))+0.2*SIN(2*PI()*(((Model_Data!A24)+(0))/(0.5*(Inputs!$C$49+Inputs!$C$50))+Inputs!$C$47*0.097)))+0.3*(2*((SIN(((Model_Data!A24)*12.9898+(0)*78.233+Inputs!$C$47*37.719))*43758.5453)-INT((SIN(((Model_Data!A24)*12.9898+(0)*78.233+Inputs!$C$47*37.719))*43758.5453)))-1))))/1000)))*1000/Inputs!$C$12)-Model_Data!F24)</f>
        <v>127.34524188622959</v>
      </c>
      <c r="L24" s="10"/>
      <c r="M24" s="9">
        <f>Model_Data!A24</f>
        <v>-49</v>
      </c>
      <c r="N24" s="9">
        <f>Model_Data!P24</f>
        <v>365.52855865815678</v>
      </c>
      <c r="O24" s="9">
        <f t="shared" si="0"/>
        <v>376.05665981418497</v>
      </c>
      <c r="P24" s="9">
        <f>Model_Data!Q24</f>
        <v>54.884167966690214</v>
      </c>
      <c r="Q24" s="9">
        <f t="shared" si="1"/>
        <v>56.46496393606381</v>
      </c>
      <c r="R24" s="10"/>
      <c r="S24" s="9">
        <f>Model_Data!A24</f>
        <v>-49</v>
      </c>
      <c r="T24" s="9">
        <f>Model_Data!B24-Inputs!$C$5</f>
        <v>2.6677777777777578</v>
      </c>
      <c r="U24" s="10"/>
      <c r="V24" s="9">
        <f>Model_Data!A24</f>
        <v>-49</v>
      </c>
      <c r="W24" s="9">
        <f>((SQRT((Model_Data!A24)^2+Inputs!$C$6^2+Inputs!$C$5^2)-Inputs!$C$5)*1000/Inputs!$C$12)</f>
        <v>2115.0466354489636</v>
      </c>
      <c r="X24" s="9">
        <f>Model_Data!F24</f>
        <v>2101.1632843038606</v>
      </c>
      <c r="Y24" s="10"/>
      <c r="Z24" s="9">
        <f>Model_Data!A24</f>
        <v>-49</v>
      </c>
      <c r="AA24" s="9">
        <f>SQRT((Model_Data!A24)^2+Inputs!$C$6^2+((Model_Data!B24)-((Inputs!$C$51*(115*EXP(-(((Inputs!$C$6)-25)^2)/(4.5^2))+70*EXP(-(((Inputs!$C$6)+38)^2)/(7^2))*(0.55+0.45*SIN(2*PI()*(Model_Data!A24)/45))+24*SIN(2*PI()*(Inputs!$C$6)/9+(Model_Data!A24)/18)*EXP(-(((Inputs!$C$6)+5)^2)/(22^2))+18*SIN(2*PI()*(Model_Data!A24)/70))+Inputs!$C$28*EXP(-(((Model_Data!A24)-Inputs!$C$29)^2)/(2*Inputs!$C$31^2))*EXP(-(((Inputs!$C$6)-Inputs!$C$30)^2)/(2*Inputs!$C$32^2))+-Inputs!$C$33*EXP(-(((((Model_Data!A24)-Inputs!$C$34)^2)+(((Inputs!$C$6)-Inputs!$C$35)^2))/(2*Inputs!$C$36^2)))+Inputs!$C$37*(0.55*SIN(2*PI()*(Model_Data!A24)/Inputs!$C$39)+0.35*COS(2*PI()*(Inputs!$C$6)/Inputs!$C$40)+0.2*SIN(2*PI()*((Model_Data!A24)+(Inputs!$C$6))/(0.5*(Inputs!$C$39+Inputs!$C$40))))+Inputs!$C$38*SIN(2*PI()*(Model_Data!A24)/Inputs!$C$39)*SIN(2*PI()*(Inputs!$C$6)/Inputs!$C$40)+-Inputs!$C$41*EXP(-(((Inputs!$C$6)-Inputs!$C$43)^2)/(2*Inputs!$C$44^2))*EXP(-(((Model_Data!A24)-Inputs!$C$42)^2)/(2*Inputs!$C$45^2))+Inputs!$C$48*(0.7*(0.45*SIN(2*PI()*(((Model_Data!A24)/Inputs!$C$49)+Inputs!$C$47*0.137))+0.35*COS(2*PI()*(((Inputs!$C$6)/Inputs!$C$50)+Inputs!$C$47*0.173))+0.2*SIN(2*PI()*(((Model_Data!A24)+(Inputs!$C$6))/(0.5*(Inputs!$C$49+Inputs!$C$50))+Inputs!$C$47*0.097)))+0.3*(2*((SIN(((Model_Data!A24)*12.9898+(Inputs!$C$6)*78.233+Inputs!$C$47*37.719))*43758.5453)-INT((SIN(((Model_Data!A24)*12.9898+(Inputs!$C$6)*78.233+Inputs!$C$47*37.719))*43758.5453)))-1))))/1000)^2)</f>
        <v>406.14153089023694</v>
      </c>
      <c r="AB24" s="9">
        <f>1000*(AA25-AA23)/(Z25-Z23)*Inputs!$C$11</f>
        <v>-940.14164953546242</v>
      </c>
      <c r="AC24" s="9">
        <f>-2*AB24/Inputs!$C$13</f>
        <v>376.05665981418497</v>
      </c>
      <c r="AD24" s="9">
        <f>-2*AB24/Inputs!$C$14</f>
        <v>56.46496393606381</v>
      </c>
    </row>
    <row r="25" spans="1:30">
      <c r="A25" s="9">
        <f>Model_Data!A25</f>
        <v>-48.5</v>
      </c>
      <c r="B25" s="9">
        <f>((SQRT((Model_Data!A25)^2+Inputs!$C$6^2+Inputs!$C$5^2)-Inputs!$C$5)*1000/Inputs!$C$12)</f>
        <v>2081.1287588117648</v>
      </c>
      <c r="C25" s="9">
        <f>Model_Data!F25</f>
        <v>2067.7416568945596</v>
      </c>
      <c r="D25" s="9">
        <f>(((SQRT((Model_Data!A25)^2+Inputs!$C$6^2+((Model_Data!B25)-((Inputs!$C$51*(115*EXP(-(((Inputs!$C$6)-25)^2)/(4.5^2))+70*EXP(-(((Inputs!$C$6)+38)^2)/(7^2))*(0.55+0.45*SIN(2*PI()*(Model_Data!A25)/45))+24*SIN(2*PI()*(Inputs!$C$6)/9+(Model_Data!A25)/18)*EXP(-(((Inputs!$C$6)+5)^2)/(22^2))+18*SIN(2*PI()*(Model_Data!A25)/70))+Inputs!$C$28*EXP(-(((Model_Data!A25)-Inputs!$C$29)^2)/(2*Inputs!$C$31^2))*EXP(-(((Inputs!$C$6)-Inputs!$C$30)^2)/(2*Inputs!$C$32^2))+-Inputs!$C$33*EXP(-(((((Model_Data!A25)-Inputs!$C$34)^2)+(((Inputs!$C$6)-Inputs!$C$35)^2))/(2*Inputs!$C$36^2)))+Inputs!$C$37*(0.55*SIN(2*PI()*(Model_Data!A25)/Inputs!$C$39)+0.35*COS(2*PI()*(Inputs!$C$6)/Inputs!$C$40)+0.2*SIN(2*PI()*((Model_Data!A25)+(Inputs!$C$6))/(0.5*(Inputs!$C$39+Inputs!$C$40))))+Inputs!$C$38*SIN(2*PI()*(Model_Data!A25)/Inputs!$C$39)*SIN(2*PI()*(Inputs!$C$6)/Inputs!$C$40)+-Inputs!$C$41*EXP(-(((Inputs!$C$6)-Inputs!$C$43)^2)/(2*Inputs!$C$44^2))*EXP(-(((Model_Data!A25)-Inputs!$C$42)^2)/(2*Inputs!$C$45^2))+Inputs!$C$48*(0.7*(0.45*SIN(2*PI()*(((Model_Data!A25)/Inputs!$C$49)+Inputs!$C$47*0.137))+0.35*COS(2*PI()*(((Inputs!$C$6)/Inputs!$C$50)+Inputs!$C$47*0.173))+0.2*SIN(2*PI()*(((Model_Data!A25)+(Inputs!$C$6))/(0.5*(Inputs!$C$49+Inputs!$C$50))+Inputs!$C$47*0.097)))+0.3*(2*((SIN(((Model_Data!A25)*12.9898+(Inputs!$C$6)*78.233+Inputs!$C$47*37.719))*43758.5453)-INT((SIN(((Model_Data!A25)*12.9898+(Inputs!$C$6)*78.233+Inputs!$C$47*37.719))*43758.5453)))-1))))/1000)^2))-(((Model_Data!B25)-((Inputs!$C$51*(115*EXP(-(((0)-25)^2)/(4.5^2))+70*EXP(-(((0)+38)^2)/(7^2))*(0.55+0.45*SIN(2*PI()*(Model_Data!A25)/45))+24*SIN(2*PI()*(0)/9+(Model_Data!A25)/18)*EXP(-(((0)+5)^2)/(22^2))+18*SIN(2*PI()*(Model_Data!A25)/70))+Inputs!$C$28*EXP(-(((Model_Data!A25)-Inputs!$C$29)^2)/(2*Inputs!$C$31^2))*EXP(-(((0)-Inputs!$C$30)^2)/(2*Inputs!$C$32^2))+-Inputs!$C$33*EXP(-(((((Model_Data!A25)-Inputs!$C$34)^2)+(((0)-Inputs!$C$35)^2))/(2*Inputs!$C$36^2)))+Inputs!$C$37*(0.55*SIN(2*PI()*(Model_Data!A25)/Inputs!$C$39)+0.35*COS(2*PI()*(0)/Inputs!$C$40)+0.2*SIN(2*PI()*((Model_Data!A25)+(0))/(0.5*(Inputs!$C$39+Inputs!$C$40))))+Inputs!$C$38*SIN(2*PI()*(Model_Data!A25)/Inputs!$C$39)*SIN(2*PI()*(0)/Inputs!$C$40)+-Inputs!$C$41*EXP(-(((0)-Inputs!$C$43)^2)/(2*Inputs!$C$44^2))*EXP(-(((Model_Data!A25)-Inputs!$C$42)^2)/(2*Inputs!$C$45^2))+Inputs!$C$48*(0.7*(0.45*SIN(2*PI()*(((Model_Data!A25)/Inputs!$C$49)+Inputs!$C$47*0.137))+0.35*COS(2*PI()*(((0)/Inputs!$C$50)+Inputs!$C$47*0.173))+0.2*SIN(2*PI()*(((Model_Data!A25)+(0))/(0.5*(Inputs!$C$49+Inputs!$C$50))+Inputs!$C$47*0.097)))+0.3*(2*((SIN(((Model_Data!A25)*12.9898+(0)*78.233+Inputs!$C$47*37.719))*43758.5453)-INT((SIN(((Model_Data!A25)*12.9898+(0)*78.233+Inputs!$C$47*37.719))*43758.5453)))-1))))/1000)))*1000/Inputs!$C$12)</f>
        <v>1942.6031428676506</v>
      </c>
      <c r="E25" s="9">
        <f>Model_Data!A25</f>
        <v>-48.5</v>
      </c>
      <c r="F25" s="9">
        <f>(Inputs!$C$51*(115*EXP(-(((Inputs!$C$6)-25)^2)/(4.5^2))+70*EXP(-(((Inputs!$C$6)+38)^2)/(7^2))*(0.55+0.45*SIN(2*PI()*(Model_Data!A25)/45))+24*SIN(2*PI()*(Inputs!$C$6)/9+(Model_Data!A25)/18)*EXP(-(((Inputs!$C$6)+5)^2)/(22^2))+18*SIN(2*PI()*(Model_Data!A25)/70))+Inputs!$C$28*EXP(-(((Model_Data!A25)-Inputs!$C$29)^2)/(2*Inputs!$C$31^2))*EXP(-(((Inputs!$C$6)-Inputs!$C$30)^2)/(2*Inputs!$C$32^2))+-Inputs!$C$33*EXP(-(((((Model_Data!A25)-Inputs!$C$34)^2)+(((Inputs!$C$6)-Inputs!$C$35)^2))/(2*Inputs!$C$36^2)))+Inputs!$C$37*(0.55*SIN(2*PI()*(Model_Data!A25)/Inputs!$C$39)+0.35*COS(2*PI()*(Inputs!$C$6)/Inputs!$C$40)+0.2*SIN(2*PI()*((Model_Data!A25)+(Inputs!$C$6))/(0.5*(Inputs!$C$39+Inputs!$C$40))))+Inputs!$C$38*SIN(2*PI()*(Model_Data!A25)/Inputs!$C$39)*SIN(2*PI()*(Inputs!$C$6)/Inputs!$C$40)+-Inputs!$C$41*EXP(-(((Inputs!$C$6)-Inputs!$C$43)^2)/(2*Inputs!$C$44^2))*EXP(-(((Model_Data!A25)-Inputs!$C$42)^2)/(2*Inputs!$C$45^2))+Inputs!$C$48*(0.7*(0.45*SIN(2*PI()*(((Model_Data!A25)/Inputs!$C$49)+Inputs!$C$47*0.137))+0.35*COS(2*PI()*(((Inputs!$C$6)/Inputs!$C$50)+Inputs!$C$47*0.173))+0.2*SIN(2*PI()*(((Model_Data!A25)+(Inputs!$C$6))/(0.5*(Inputs!$C$49+Inputs!$C$50))+Inputs!$C$47*0.097)))+0.3*(2*((SIN(((Model_Data!A25)*12.9898+(Inputs!$C$6)*78.233+Inputs!$C$47*37.719))*43758.5453)-INT((SIN(((Model_Data!A25)*12.9898+(Inputs!$C$6)*78.233+Inputs!$C$47*37.719))*43758.5453)))-1)))</f>
        <v>265.4824606971452</v>
      </c>
      <c r="G25" s="9">
        <f>(Inputs!$C$51*(115*EXP(-(((0)-25)^2)/(4.5^2))+70*EXP(-(((0)+38)^2)/(7^2))*(0.55+0.45*SIN(2*PI()*(Model_Data!A25)/45))+24*SIN(2*PI()*(0)/9+(Model_Data!A25)/18)*EXP(-(((0)+5)^2)/(22^2))+18*SIN(2*PI()*(Model_Data!A25)/70))+Inputs!$C$28*EXP(-(((Model_Data!A25)-Inputs!$C$29)^2)/(2*Inputs!$C$31^2))*EXP(-(((0)-Inputs!$C$30)^2)/(2*Inputs!$C$32^2))+-Inputs!$C$33*EXP(-(((((Model_Data!A25)-Inputs!$C$34)^2)+(((0)-Inputs!$C$35)^2))/(2*Inputs!$C$36^2)))+Inputs!$C$37*(0.55*SIN(2*PI()*(Model_Data!A25)/Inputs!$C$39)+0.35*COS(2*PI()*(0)/Inputs!$C$40)+0.2*SIN(2*PI()*((Model_Data!A25)+(0))/(0.5*(Inputs!$C$39+Inputs!$C$40))))+Inputs!$C$38*SIN(2*PI()*(Model_Data!A25)/Inputs!$C$39)*SIN(2*PI()*(0)/Inputs!$C$40)+-Inputs!$C$41*EXP(-(((0)-Inputs!$C$43)^2)/(2*Inputs!$C$44^2))*EXP(-(((Model_Data!A25)-Inputs!$C$42)^2)/(2*Inputs!$C$45^2))+Inputs!$C$48*(0.7*(0.45*SIN(2*PI()*(((Model_Data!A25)/Inputs!$C$49)+Inputs!$C$47*0.137))+0.35*COS(2*PI()*(((0)/Inputs!$C$50)+Inputs!$C$47*0.173))+0.2*SIN(2*PI()*(((Model_Data!A25)+(0))/(0.5*(Inputs!$C$49+Inputs!$C$50))+Inputs!$C$47*0.097)))+0.3*(2*((SIN(((Model_Data!A25)*12.9898+(0)*78.233+Inputs!$C$47*37.719))*43758.5453)-INT((SIN(((Model_Data!A25)*12.9898+(0)*78.233+Inputs!$C$47*37.719))*43758.5453)))-1)))</f>
        <v>40.329360187280464</v>
      </c>
      <c r="H25" s="10"/>
      <c r="I25" s="9">
        <f>Model_Data!A25</f>
        <v>-48.5</v>
      </c>
      <c r="J25" s="9">
        <f>(Inputs!$C$51*(115*EXP(-(((Inputs!$C$6)-25)^2)/(4.5^2))+70*EXP(-(((Inputs!$C$6)+38)^2)/(7^2))*(0.55+0.45*SIN(2*PI()*(Model_Data!A25)/45))+24*SIN(2*PI()*(Inputs!$C$6)/9+(Model_Data!A25)/18)*EXP(-(((Inputs!$C$6)+5)^2)/(22^2))+18*SIN(2*PI()*(Model_Data!A25)/70))+Inputs!$C$28*EXP(-(((Model_Data!A25)-Inputs!$C$29)^2)/(2*Inputs!$C$31^2))*EXP(-(((Inputs!$C$6)-Inputs!$C$30)^2)/(2*Inputs!$C$32^2))+-Inputs!$C$33*EXP(-(((((Model_Data!A25)-Inputs!$C$34)^2)+(((Inputs!$C$6)-Inputs!$C$35)^2))/(2*Inputs!$C$36^2)))+Inputs!$C$37*(0.55*SIN(2*PI()*(Model_Data!A25)/Inputs!$C$39)+0.35*COS(2*PI()*(Inputs!$C$6)/Inputs!$C$40)+0.2*SIN(2*PI()*((Model_Data!A25)+(Inputs!$C$6))/(0.5*(Inputs!$C$39+Inputs!$C$40))))+Inputs!$C$38*SIN(2*PI()*(Model_Data!A25)/Inputs!$C$39)*SIN(2*PI()*(Inputs!$C$6)/Inputs!$C$40)+-Inputs!$C$41*EXP(-(((Inputs!$C$6)-Inputs!$C$43)^2)/(2*Inputs!$C$44^2))*EXP(-(((Model_Data!A25)-Inputs!$C$42)^2)/(2*Inputs!$C$45^2))+Inputs!$C$48*(0.7*(0.45*SIN(2*PI()*(((Model_Data!A25)/Inputs!$C$49)+Inputs!$C$47*0.137))+0.35*COS(2*PI()*(((Inputs!$C$6)/Inputs!$C$50)+Inputs!$C$47*0.173))+0.2*SIN(2*PI()*(((Model_Data!A25)+(Inputs!$C$6))/(0.5*(Inputs!$C$49+Inputs!$C$50))+Inputs!$C$47*0.097)))+0.3*(2*((SIN(((Model_Data!A25)*12.9898+(Inputs!$C$6)*78.233+Inputs!$C$47*37.719))*43758.5453)-INT((SIN(((Model_Data!A25)*12.9898+(Inputs!$C$6)*78.233+Inputs!$C$47*37.719))*43758.5453)))-1)))</f>
        <v>265.4824606971452</v>
      </c>
      <c r="K25" s="9">
        <f>-((((SQRT((Model_Data!A25)^2+Inputs!$C$6^2+((Model_Data!B25)-((Inputs!$C$51*(115*EXP(-(((Inputs!$C$6)-25)^2)/(4.5^2))+70*EXP(-(((Inputs!$C$6)+38)^2)/(7^2))*(0.55+0.45*SIN(2*PI()*(Model_Data!A25)/45))+24*SIN(2*PI()*(Inputs!$C$6)/9+(Model_Data!A25)/18)*EXP(-(((Inputs!$C$6)+5)^2)/(22^2))+18*SIN(2*PI()*(Model_Data!A25)/70))+Inputs!$C$28*EXP(-(((Model_Data!A25)-Inputs!$C$29)^2)/(2*Inputs!$C$31^2))*EXP(-(((Inputs!$C$6)-Inputs!$C$30)^2)/(2*Inputs!$C$32^2))+-Inputs!$C$33*EXP(-(((((Model_Data!A25)-Inputs!$C$34)^2)+(((Inputs!$C$6)-Inputs!$C$35)^2))/(2*Inputs!$C$36^2)))+Inputs!$C$37*(0.55*SIN(2*PI()*(Model_Data!A25)/Inputs!$C$39)+0.35*COS(2*PI()*(Inputs!$C$6)/Inputs!$C$40)+0.2*SIN(2*PI()*((Model_Data!A25)+(Inputs!$C$6))/(0.5*(Inputs!$C$39+Inputs!$C$40))))+Inputs!$C$38*SIN(2*PI()*(Model_Data!A25)/Inputs!$C$39)*SIN(2*PI()*(Inputs!$C$6)/Inputs!$C$40)+-Inputs!$C$41*EXP(-(((Inputs!$C$6)-Inputs!$C$43)^2)/(2*Inputs!$C$44^2))*EXP(-(((Model_Data!A25)-Inputs!$C$42)^2)/(2*Inputs!$C$45^2))+Inputs!$C$48*(0.7*(0.45*SIN(2*PI()*(((Model_Data!A25)/Inputs!$C$49)+Inputs!$C$47*0.137))+0.35*COS(2*PI()*(((Inputs!$C$6)/Inputs!$C$50)+Inputs!$C$47*0.173))+0.2*SIN(2*PI()*(((Model_Data!A25)+(Inputs!$C$6))/(0.5*(Inputs!$C$49+Inputs!$C$50))+Inputs!$C$47*0.097)))+0.3*(2*((SIN(((Model_Data!A25)*12.9898+(Inputs!$C$6)*78.233+Inputs!$C$47*37.719))*43758.5453)-INT((SIN(((Model_Data!A25)*12.9898+(Inputs!$C$6)*78.233+Inputs!$C$47*37.719))*43758.5453)))-1))))/1000)^2))-(((Model_Data!B25)-((Inputs!$C$51*(115*EXP(-(((0)-25)^2)/(4.5^2))+70*EXP(-(((0)+38)^2)/(7^2))*(0.55+0.45*SIN(2*PI()*(Model_Data!A25)/45))+24*SIN(2*PI()*(0)/9+(Model_Data!A25)/18)*EXP(-(((0)+5)^2)/(22^2))+18*SIN(2*PI()*(Model_Data!A25)/70))+Inputs!$C$28*EXP(-(((Model_Data!A25)-Inputs!$C$29)^2)/(2*Inputs!$C$31^2))*EXP(-(((0)-Inputs!$C$30)^2)/(2*Inputs!$C$32^2))+-Inputs!$C$33*EXP(-(((((Model_Data!A25)-Inputs!$C$34)^2)+(((0)-Inputs!$C$35)^2))/(2*Inputs!$C$36^2)))+Inputs!$C$37*(0.55*SIN(2*PI()*(Model_Data!A25)/Inputs!$C$39)+0.35*COS(2*PI()*(0)/Inputs!$C$40)+0.2*SIN(2*PI()*((Model_Data!A25)+(0))/(0.5*(Inputs!$C$39+Inputs!$C$40))))+Inputs!$C$38*SIN(2*PI()*(Model_Data!A25)/Inputs!$C$39)*SIN(2*PI()*(0)/Inputs!$C$40)+-Inputs!$C$41*EXP(-(((0)-Inputs!$C$43)^2)/(2*Inputs!$C$44^2))*EXP(-(((Model_Data!A25)-Inputs!$C$42)^2)/(2*Inputs!$C$45^2))+Inputs!$C$48*(0.7*(0.45*SIN(2*PI()*(((Model_Data!A25)/Inputs!$C$49)+Inputs!$C$47*0.137))+0.35*COS(2*PI()*(((0)/Inputs!$C$50)+Inputs!$C$47*0.173))+0.2*SIN(2*PI()*(((Model_Data!A25)+(0))/(0.5*(Inputs!$C$49+Inputs!$C$50))+Inputs!$C$47*0.097)))+0.3*(2*((SIN(((Model_Data!A25)*12.9898+(0)*78.233+Inputs!$C$47*37.719))*43758.5453)-INT((SIN(((Model_Data!A25)*12.9898+(0)*78.233+Inputs!$C$47*37.719))*43758.5453)))-1))))/1000)))*1000/Inputs!$C$12)-Model_Data!F25)</f>
        <v>125.13851402690898</v>
      </c>
      <c r="L25" s="10"/>
      <c r="M25" s="9">
        <f>Model_Data!A25</f>
        <v>-48.5</v>
      </c>
      <c r="N25" s="9">
        <f>Model_Data!P25</f>
        <v>361.87689525593146</v>
      </c>
      <c r="O25" s="9">
        <f t="shared" si="0"/>
        <v>337.96699265003554</v>
      </c>
      <c r="P25" s="9">
        <f>Model_Data!Q25</f>
        <v>54.335870158548275</v>
      </c>
      <c r="Q25" s="9">
        <f t="shared" si="1"/>
        <v>50.745794692197535</v>
      </c>
      <c r="R25" s="10"/>
      <c r="S25" s="9">
        <f>Model_Data!A25</f>
        <v>-48.5</v>
      </c>
      <c r="T25" s="9">
        <f>Model_Data!B25-Inputs!$C$5</f>
        <v>2.6136111111110836</v>
      </c>
      <c r="U25" s="10"/>
      <c r="V25" s="9">
        <f>Model_Data!A25</f>
        <v>-48.5</v>
      </c>
      <c r="W25" s="9">
        <f>((SQRT((Model_Data!A25)^2+Inputs!$C$6^2+Inputs!$C$5^2)-Inputs!$C$5)*1000/Inputs!$C$12)</f>
        <v>2081.1287588117648</v>
      </c>
      <c r="X25" s="9">
        <f>Model_Data!F25</f>
        <v>2067.7416568945596</v>
      </c>
      <c r="Y25" s="10"/>
      <c r="Z25" s="9">
        <f>Model_Data!A25</f>
        <v>-48.5</v>
      </c>
      <c r="AA25" s="9">
        <f>SQRT((Model_Data!A25)^2+Inputs!$C$6^2+((Model_Data!B25)-((Inputs!$C$51*(115*EXP(-(((Inputs!$C$6)-25)^2)/(4.5^2))+70*EXP(-(((Inputs!$C$6)+38)^2)/(7^2))*(0.55+0.45*SIN(2*PI()*(Model_Data!A25)/45))+24*SIN(2*PI()*(Inputs!$C$6)/9+(Model_Data!A25)/18)*EXP(-(((Inputs!$C$6)+5)^2)/(22^2))+18*SIN(2*PI()*(Model_Data!A25)/70))+Inputs!$C$28*EXP(-(((Model_Data!A25)-Inputs!$C$29)^2)/(2*Inputs!$C$31^2))*EXP(-(((Inputs!$C$6)-Inputs!$C$30)^2)/(2*Inputs!$C$32^2))+-Inputs!$C$33*EXP(-(((((Model_Data!A25)-Inputs!$C$34)^2)+(((Inputs!$C$6)-Inputs!$C$35)^2))/(2*Inputs!$C$36^2)))+Inputs!$C$37*(0.55*SIN(2*PI()*(Model_Data!A25)/Inputs!$C$39)+0.35*COS(2*PI()*(Inputs!$C$6)/Inputs!$C$40)+0.2*SIN(2*PI()*((Model_Data!A25)+(Inputs!$C$6))/(0.5*(Inputs!$C$39+Inputs!$C$40))))+Inputs!$C$38*SIN(2*PI()*(Model_Data!A25)/Inputs!$C$39)*SIN(2*PI()*(Inputs!$C$6)/Inputs!$C$40)+-Inputs!$C$41*EXP(-(((Inputs!$C$6)-Inputs!$C$43)^2)/(2*Inputs!$C$44^2))*EXP(-(((Model_Data!A25)-Inputs!$C$42)^2)/(2*Inputs!$C$45^2))+Inputs!$C$48*(0.7*(0.45*SIN(2*PI()*(((Model_Data!A25)/Inputs!$C$49)+Inputs!$C$47*0.137))+0.35*COS(2*PI()*(((Inputs!$C$6)/Inputs!$C$50)+Inputs!$C$47*0.173))+0.2*SIN(2*PI()*(((Model_Data!A25)+(Inputs!$C$6))/(0.5*(Inputs!$C$49+Inputs!$C$50))+Inputs!$C$47*0.097)))+0.3*(2*((SIN(((Model_Data!A25)*12.9898+(Inputs!$C$6)*78.233+Inputs!$C$47*37.719))*43758.5453)-INT((SIN(((Model_Data!A25)*12.9898+(Inputs!$C$6)*78.233+Inputs!$C$47*37.719))*43758.5453)))-1))))/1000)^2)</f>
        <v>406.03111534522822</v>
      </c>
      <c r="AB25" s="9">
        <f>1000*(AA26-AA24)/(Z26-Z24)*Inputs!$C$11</f>
        <v>-844.91748162508884</v>
      </c>
      <c r="AC25" s="9">
        <f>-2*AB25/Inputs!$C$13</f>
        <v>337.96699265003554</v>
      </c>
      <c r="AD25" s="9">
        <f>-2*AB25/Inputs!$C$14</f>
        <v>50.745794692197535</v>
      </c>
    </row>
    <row r="26" spans="1:30">
      <c r="A26" s="9">
        <f>Model_Data!A26</f>
        <v>-48</v>
      </c>
      <c r="B26" s="9">
        <f>((SQRT((Model_Data!A26)^2+Inputs!$C$6^2+Inputs!$C$5^2)-Inputs!$C$5)*1000/Inputs!$C$12)</f>
        <v>2047.5537624593067</v>
      </c>
      <c r="C26" s="9">
        <f>Model_Data!F26</f>
        <v>2034.6492181694086</v>
      </c>
      <c r="D26" s="9">
        <f>(((SQRT((Model_Data!A26)^2+Inputs!$C$6^2+((Model_Data!B26)-((Inputs!$C$51*(115*EXP(-(((Inputs!$C$6)-25)^2)/(4.5^2))+70*EXP(-(((Inputs!$C$6)+38)^2)/(7^2))*(0.55+0.45*SIN(2*PI()*(Model_Data!A26)/45))+24*SIN(2*PI()*(Inputs!$C$6)/9+(Model_Data!A26)/18)*EXP(-(((Inputs!$C$6)+5)^2)/(22^2))+18*SIN(2*PI()*(Model_Data!A26)/70))+Inputs!$C$28*EXP(-(((Model_Data!A26)-Inputs!$C$29)^2)/(2*Inputs!$C$31^2))*EXP(-(((Inputs!$C$6)-Inputs!$C$30)^2)/(2*Inputs!$C$32^2))+-Inputs!$C$33*EXP(-(((((Model_Data!A26)-Inputs!$C$34)^2)+(((Inputs!$C$6)-Inputs!$C$35)^2))/(2*Inputs!$C$36^2)))+Inputs!$C$37*(0.55*SIN(2*PI()*(Model_Data!A26)/Inputs!$C$39)+0.35*COS(2*PI()*(Inputs!$C$6)/Inputs!$C$40)+0.2*SIN(2*PI()*((Model_Data!A26)+(Inputs!$C$6))/(0.5*(Inputs!$C$39+Inputs!$C$40))))+Inputs!$C$38*SIN(2*PI()*(Model_Data!A26)/Inputs!$C$39)*SIN(2*PI()*(Inputs!$C$6)/Inputs!$C$40)+-Inputs!$C$41*EXP(-(((Inputs!$C$6)-Inputs!$C$43)^2)/(2*Inputs!$C$44^2))*EXP(-(((Model_Data!A26)-Inputs!$C$42)^2)/(2*Inputs!$C$45^2))+Inputs!$C$48*(0.7*(0.45*SIN(2*PI()*(((Model_Data!A26)/Inputs!$C$49)+Inputs!$C$47*0.137))+0.35*COS(2*PI()*(((Inputs!$C$6)/Inputs!$C$50)+Inputs!$C$47*0.173))+0.2*SIN(2*PI()*(((Model_Data!A26)+(Inputs!$C$6))/(0.5*(Inputs!$C$49+Inputs!$C$50))+Inputs!$C$47*0.097)))+0.3*(2*((SIN(((Model_Data!A26)*12.9898+(Inputs!$C$6)*78.233+Inputs!$C$47*37.719))*43758.5453)-INT((SIN(((Model_Data!A26)*12.9898+(Inputs!$C$6)*78.233+Inputs!$C$47*37.719))*43758.5453)))-1))))/1000)^2))-(((Model_Data!B26)-((Inputs!$C$51*(115*EXP(-(((0)-25)^2)/(4.5^2))+70*EXP(-(((0)+38)^2)/(7^2))*(0.55+0.45*SIN(2*PI()*(Model_Data!A26)/45))+24*SIN(2*PI()*(0)/9+(Model_Data!A26)/18)*EXP(-(((0)+5)^2)/(22^2))+18*SIN(2*PI()*(Model_Data!A26)/70))+Inputs!$C$28*EXP(-(((Model_Data!A26)-Inputs!$C$29)^2)/(2*Inputs!$C$31^2))*EXP(-(((0)-Inputs!$C$30)^2)/(2*Inputs!$C$32^2))+-Inputs!$C$33*EXP(-(((((Model_Data!A26)-Inputs!$C$34)^2)+(((0)-Inputs!$C$35)^2))/(2*Inputs!$C$36^2)))+Inputs!$C$37*(0.55*SIN(2*PI()*(Model_Data!A26)/Inputs!$C$39)+0.35*COS(2*PI()*(0)/Inputs!$C$40)+0.2*SIN(2*PI()*((Model_Data!A26)+(0))/(0.5*(Inputs!$C$39+Inputs!$C$40))))+Inputs!$C$38*SIN(2*PI()*(Model_Data!A26)/Inputs!$C$39)*SIN(2*PI()*(0)/Inputs!$C$40)+-Inputs!$C$41*EXP(-(((0)-Inputs!$C$43)^2)/(2*Inputs!$C$44^2))*EXP(-(((Model_Data!A26)-Inputs!$C$42)^2)/(2*Inputs!$C$45^2))+Inputs!$C$48*(0.7*(0.45*SIN(2*PI()*(((Model_Data!A26)/Inputs!$C$49)+Inputs!$C$47*0.137))+0.35*COS(2*PI()*(((0)/Inputs!$C$50)+Inputs!$C$47*0.173))+0.2*SIN(2*PI()*(((Model_Data!A26)+(0))/(0.5*(Inputs!$C$49+Inputs!$C$50))+Inputs!$C$47*0.097)))+0.3*(2*((SIN(((Model_Data!A26)*12.9898+(0)*78.233+Inputs!$C$47*37.719))*43758.5453)-INT((SIN(((Model_Data!A26)*12.9898+(0)*78.233+Inputs!$C$47*37.719))*43758.5453)))-1))))/1000)))*1000/Inputs!$C$12)</f>
        <v>1924.7070639529716</v>
      </c>
      <c r="E26" s="9">
        <f>Model_Data!A26</f>
        <v>-48</v>
      </c>
      <c r="F26" s="9">
        <f>(Inputs!$C$51*(115*EXP(-(((Inputs!$C$6)-25)^2)/(4.5^2))+70*EXP(-(((Inputs!$C$6)+38)^2)/(7^2))*(0.55+0.45*SIN(2*PI()*(Model_Data!A26)/45))+24*SIN(2*PI()*(Inputs!$C$6)/9+(Model_Data!A26)/18)*EXP(-(((Inputs!$C$6)+5)^2)/(22^2))+18*SIN(2*PI()*(Model_Data!A26)/70))+Inputs!$C$28*EXP(-(((Model_Data!A26)-Inputs!$C$29)^2)/(2*Inputs!$C$31^2))*EXP(-(((Inputs!$C$6)-Inputs!$C$30)^2)/(2*Inputs!$C$32^2))+-Inputs!$C$33*EXP(-(((((Model_Data!A26)-Inputs!$C$34)^2)+(((Inputs!$C$6)-Inputs!$C$35)^2))/(2*Inputs!$C$36^2)))+Inputs!$C$37*(0.55*SIN(2*PI()*(Model_Data!A26)/Inputs!$C$39)+0.35*COS(2*PI()*(Inputs!$C$6)/Inputs!$C$40)+0.2*SIN(2*PI()*((Model_Data!A26)+(Inputs!$C$6))/(0.5*(Inputs!$C$39+Inputs!$C$40))))+Inputs!$C$38*SIN(2*PI()*(Model_Data!A26)/Inputs!$C$39)*SIN(2*PI()*(Inputs!$C$6)/Inputs!$C$40)+-Inputs!$C$41*EXP(-(((Inputs!$C$6)-Inputs!$C$43)^2)/(2*Inputs!$C$44^2))*EXP(-(((Model_Data!A26)-Inputs!$C$42)^2)/(2*Inputs!$C$45^2))+Inputs!$C$48*(0.7*(0.45*SIN(2*PI()*(((Model_Data!A26)/Inputs!$C$49)+Inputs!$C$47*0.137))+0.35*COS(2*PI()*(((Inputs!$C$6)/Inputs!$C$50)+Inputs!$C$47*0.173))+0.2*SIN(2*PI()*(((Model_Data!A26)+(Inputs!$C$6))/(0.5*(Inputs!$C$49+Inputs!$C$50))+Inputs!$C$47*0.097)))+0.3*(2*((SIN(((Model_Data!A26)*12.9898+(Inputs!$C$6)*78.233+Inputs!$C$47*37.719))*43758.5453)-INT((SIN(((Model_Data!A26)*12.9898+(Inputs!$C$6)*78.233+Inputs!$C$47*37.719))*43758.5453)))-1)))</f>
        <v>253.63702275276361</v>
      </c>
      <c r="G26" s="9">
        <f>(Inputs!$C$51*(115*EXP(-(((0)-25)^2)/(4.5^2))+70*EXP(-(((0)+38)^2)/(7^2))*(0.55+0.45*SIN(2*PI()*(Model_Data!A26)/45))+24*SIN(2*PI()*(0)/9+(Model_Data!A26)/18)*EXP(-(((0)+5)^2)/(22^2))+18*SIN(2*PI()*(Model_Data!A26)/70))+Inputs!$C$28*EXP(-(((Model_Data!A26)-Inputs!$C$29)^2)/(2*Inputs!$C$31^2))*EXP(-(((0)-Inputs!$C$30)^2)/(2*Inputs!$C$32^2))+-Inputs!$C$33*EXP(-(((((Model_Data!A26)-Inputs!$C$34)^2)+(((0)-Inputs!$C$35)^2))/(2*Inputs!$C$36^2)))+Inputs!$C$37*(0.55*SIN(2*PI()*(Model_Data!A26)/Inputs!$C$39)+0.35*COS(2*PI()*(0)/Inputs!$C$40)+0.2*SIN(2*PI()*((Model_Data!A26)+(0))/(0.5*(Inputs!$C$39+Inputs!$C$40))))+Inputs!$C$38*SIN(2*PI()*(Model_Data!A26)/Inputs!$C$39)*SIN(2*PI()*(0)/Inputs!$C$40)+-Inputs!$C$41*EXP(-(((0)-Inputs!$C$43)^2)/(2*Inputs!$C$44^2))*EXP(-(((Model_Data!A26)-Inputs!$C$42)^2)/(2*Inputs!$C$45^2))+Inputs!$C$48*(0.7*(0.45*SIN(2*PI()*(((Model_Data!A26)/Inputs!$C$49)+Inputs!$C$47*0.137))+0.35*COS(2*PI()*(((0)/Inputs!$C$50)+Inputs!$C$47*0.173))+0.2*SIN(2*PI()*(((Model_Data!A26)+(0))/(0.5*(Inputs!$C$49+Inputs!$C$50))+Inputs!$C$47*0.097)))+0.3*(2*((SIN(((Model_Data!A26)*12.9898+(0)*78.233+Inputs!$C$47*37.719))*43758.5453)-INT((SIN(((Model_Data!A26)*12.9898+(0)*78.233+Inputs!$C$47*37.719))*43758.5453)))-1)))</f>
        <v>55.677054005633387</v>
      </c>
      <c r="H26" s="10"/>
      <c r="I26" s="9">
        <f>Model_Data!A26</f>
        <v>-48</v>
      </c>
      <c r="J26" s="9">
        <f>(Inputs!$C$51*(115*EXP(-(((Inputs!$C$6)-25)^2)/(4.5^2))+70*EXP(-(((Inputs!$C$6)+38)^2)/(7^2))*(0.55+0.45*SIN(2*PI()*(Model_Data!A26)/45))+24*SIN(2*PI()*(Inputs!$C$6)/9+(Model_Data!A26)/18)*EXP(-(((Inputs!$C$6)+5)^2)/(22^2))+18*SIN(2*PI()*(Model_Data!A26)/70))+Inputs!$C$28*EXP(-(((Model_Data!A26)-Inputs!$C$29)^2)/(2*Inputs!$C$31^2))*EXP(-(((Inputs!$C$6)-Inputs!$C$30)^2)/(2*Inputs!$C$32^2))+-Inputs!$C$33*EXP(-(((((Model_Data!A26)-Inputs!$C$34)^2)+(((Inputs!$C$6)-Inputs!$C$35)^2))/(2*Inputs!$C$36^2)))+Inputs!$C$37*(0.55*SIN(2*PI()*(Model_Data!A26)/Inputs!$C$39)+0.35*COS(2*PI()*(Inputs!$C$6)/Inputs!$C$40)+0.2*SIN(2*PI()*((Model_Data!A26)+(Inputs!$C$6))/(0.5*(Inputs!$C$39+Inputs!$C$40))))+Inputs!$C$38*SIN(2*PI()*(Model_Data!A26)/Inputs!$C$39)*SIN(2*PI()*(Inputs!$C$6)/Inputs!$C$40)+-Inputs!$C$41*EXP(-(((Inputs!$C$6)-Inputs!$C$43)^2)/(2*Inputs!$C$44^2))*EXP(-(((Model_Data!A26)-Inputs!$C$42)^2)/(2*Inputs!$C$45^2))+Inputs!$C$48*(0.7*(0.45*SIN(2*PI()*(((Model_Data!A26)/Inputs!$C$49)+Inputs!$C$47*0.137))+0.35*COS(2*PI()*(((Inputs!$C$6)/Inputs!$C$50)+Inputs!$C$47*0.173))+0.2*SIN(2*PI()*(((Model_Data!A26)+(Inputs!$C$6))/(0.5*(Inputs!$C$49+Inputs!$C$50))+Inputs!$C$47*0.097)))+0.3*(2*((SIN(((Model_Data!A26)*12.9898+(Inputs!$C$6)*78.233+Inputs!$C$47*37.719))*43758.5453)-INT((SIN(((Model_Data!A26)*12.9898+(Inputs!$C$6)*78.233+Inputs!$C$47*37.719))*43758.5453)))-1)))</f>
        <v>253.63702275276361</v>
      </c>
      <c r="K26" s="9">
        <f>-((((SQRT((Model_Data!A26)^2+Inputs!$C$6^2+((Model_Data!B26)-((Inputs!$C$51*(115*EXP(-(((Inputs!$C$6)-25)^2)/(4.5^2))+70*EXP(-(((Inputs!$C$6)+38)^2)/(7^2))*(0.55+0.45*SIN(2*PI()*(Model_Data!A26)/45))+24*SIN(2*PI()*(Inputs!$C$6)/9+(Model_Data!A26)/18)*EXP(-(((Inputs!$C$6)+5)^2)/(22^2))+18*SIN(2*PI()*(Model_Data!A26)/70))+Inputs!$C$28*EXP(-(((Model_Data!A26)-Inputs!$C$29)^2)/(2*Inputs!$C$31^2))*EXP(-(((Inputs!$C$6)-Inputs!$C$30)^2)/(2*Inputs!$C$32^2))+-Inputs!$C$33*EXP(-(((((Model_Data!A26)-Inputs!$C$34)^2)+(((Inputs!$C$6)-Inputs!$C$35)^2))/(2*Inputs!$C$36^2)))+Inputs!$C$37*(0.55*SIN(2*PI()*(Model_Data!A26)/Inputs!$C$39)+0.35*COS(2*PI()*(Inputs!$C$6)/Inputs!$C$40)+0.2*SIN(2*PI()*((Model_Data!A26)+(Inputs!$C$6))/(0.5*(Inputs!$C$39+Inputs!$C$40))))+Inputs!$C$38*SIN(2*PI()*(Model_Data!A26)/Inputs!$C$39)*SIN(2*PI()*(Inputs!$C$6)/Inputs!$C$40)+-Inputs!$C$41*EXP(-(((Inputs!$C$6)-Inputs!$C$43)^2)/(2*Inputs!$C$44^2))*EXP(-(((Model_Data!A26)-Inputs!$C$42)^2)/(2*Inputs!$C$45^2))+Inputs!$C$48*(0.7*(0.45*SIN(2*PI()*(((Model_Data!A26)/Inputs!$C$49)+Inputs!$C$47*0.137))+0.35*COS(2*PI()*(((Inputs!$C$6)/Inputs!$C$50)+Inputs!$C$47*0.173))+0.2*SIN(2*PI()*(((Model_Data!A26)+(Inputs!$C$6))/(0.5*(Inputs!$C$49+Inputs!$C$50))+Inputs!$C$47*0.097)))+0.3*(2*((SIN(((Model_Data!A26)*12.9898+(Inputs!$C$6)*78.233+Inputs!$C$47*37.719))*43758.5453)-INT((SIN(((Model_Data!A26)*12.9898+(Inputs!$C$6)*78.233+Inputs!$C$47*37.719))*43758.5453)))-1))))/1000)^2))-(((Model_Data!B26)-((Inputs!$C$51*(115*EXP(-(((0)-25)^2)/(4.5^2))+70*EXP(-(((0)+38)^2)/(7^2))*(0.55+0.45*SIN(2*PI()*(Model_Data!A26)/45))+24*SIN(2*PI()*(0)/9+(Model_Data!A26)/18)*EXP(-(((0)+5)^2)/(22^2))+18*SIN(2*PI()*(Model_Data!A26)/70))+Inputs!$C$28*EXP(-(((Model_Data!A26)-Inputs!$C$29)^2)/(2*Inputs!$C$31^2))*EXP(-(((0)-Inputs!$C$30)^2)/(2*Inputs!$C$32^2))+-Inputs!$C$33*EXP(-(((((Model_Data!A26)-Inputs!$C$34)^2)+(((0)-Inputs!$C$35)^2))/(2*Inputs!$C$36^2)))+Inputs!$C$37*(0.55*SIN(2*PI()*(Model_Data!A26)/Inputs!$C$39)+0.35*COS(2*PI()*(0)/Inputs!$C$40)+0.2*SIN(2*PI()*((Model_Data!A26)+(0))/(0.5*(Inputs!$C$39+Inputs!$C$40))))+Inputs!$C$38*SIN(2*PI()*(Model_Data!A26)/Inputs!$C$39)*SIN(2*PI()*(0)/Inputs!$C$40)+-Inputs!$C$41*EXP(-(((0)-Inputs!$C$43)^2)/(2*Inputs!$C$44^2))*EXP(-(((Model_Data!A26)-Inputs!$C$42)^2)/(2*Inputs!$C$45^2))+Inputs!$C$48*(0.7*(0.45*SIN(2*PI()*(((Model_Data!A26)/Inputs!$C$49)+Inputs!$C$47*0.137))+0.35*COS(2*PI()*(((0)/Inputs!$C$50)+Inputs!$C$47*0.173))+0.2*SIN(2*PI()*(((Model_Data!A26)+(0))/(0.5*(Inputs!$C$49+Inputs!$C$50))+Inputs!$C$47*0.097)))+0.3*(2*((SIN(((Model_Data!A26)*12.9898+(0)*78.233+Inputs!$C$47*37.719))*43758.5453)-INT((SIN(((Model_Data!A26)*12.9898+(0)*78.233+Inputs!$C$47*37.719))*43758.5453)))-1))))/1000)))*1000/Inputs!$C$12)-Model_Data!F26)</f>
        <v>109.94215421643707</v>
      </c>
      <c r="L26" s="10"/>
      <c r="M26" s="9">
        <f>Model_Data!A26</f>
        <v>-48</v>
      </c>
      <c r="N26" s="9">
        <f>Model_Data!P26</f>
        <v>358.22288909368314</v>
      </c>
      <c r="O26" s="9">
        <f t="shared" si="0"/>
        <v>354.01723719560323</v>
      </c>
      <c r="P26" s="9">
        <f>Model_Data!Q26</f>
        <v>53.787220584637112</v>
      </c>
      <c r="Q26" s="9">
        <f t="shared" si="1"/>
        <v>53.15574132066115</v>
      </c>
      <c r="R26" s="10"/>
      <c r="S26" s="9">
        <f>Model_Data!A26</f>
        <v>-48</v>
      </c>
      <c r="T26" s="9">
        <f>Model_Data!B26-Inputs!$C$5</f>
        <v>2.5600000000000023</v>
      </c>
      <c r="U26" s="10"/>
      <c r="V26" s="9">
        <f>Model_Data!A26</f>
        <v>-48</v>
      </c>
      <c r="W26" s="9">
        <f>((SQRT((Model_Data!A26)^2+Inputs!$C$6^2+Inputs!$C$5^2)-Inputs!$C$5)*1000/Inputs!$C$12)</f>
        <v>2047.5537624593067</v>
      </c>
      <c r="X26" s="9">
        <f>Model_Data!F26</f>
        <v>2034.6492181694086</v>
      </c>
      <c r="Y26" s="10"/>
      <c r="Z26" s="9">
        <f>Model_Data!A26</f>
        <v>-48</v>
      </c>
      <c r="AA26" s="9">
        <f>SQRT((Model_Data!A26)^2+Inputs!$C$6^2+((Model_Data!B26)-((Inputs!$C$51*(115*EXP(-(((Inputs!$C$6)-25)^2)/(4.5^2))+70*EXP(-(((Inputs!$C$6)+38)^2)/(7^2))*(0.55+0.45*SIN(2*PI()*(Model_Data!A26)/45))+24*SIN(2*PI()*(Inputs!$C$6)/9+(Model_Data!A26)/18)*EXP(-(((Inputs!$C$6)+5)^2)/(22^2))+18*SIN(2*PI()*(Model_Data!A26)/70))+Inputs!$C$28*EXP(-(((Model_Data!A26)-Inputs!$C$29)^2)/(2*Inputs!$C$31^2))*EXP(-(((Inputs!$C$6)-Inputs!$C$30)^2)/(2*Inputs!$C$32^2))+-Inputs!$C$33*EXP(-(((((Model_Data!A26)-Inputs!$C$34)^2)+(((Inputs!$C$6)-Inputs!$C$35)^2))/(2*Inputs!$C$36^2)))+Inputs!$C$37*(0.55*SIN(2*PI()*(Model_Data!A26)/Inputs!$C$39)+0.35*COS(2*PI()*(Inputs!$C$6)/Inputs!$C$40)+0.2*SIN(2*PI()*((Model_Data!A26)+(Inputs!$C$6))/(0.5*(Inputs!$C$39+Inputs!$C$40))))+Inputs!$C$38*SIN(2*PI()*(Model_Data!A26)/Inputs!$C$39)*SIN(2*PI()*(Inputs!$C$6)/Inputs!$C$40)+-Inputs!$C$41*EXP(-(((Inputs!$C$6)-Inputs!$C$43)^2)/(2*Inputs!$C$44^2))*EXP(-(((Model_Data!A26)-Inputs!$C$42)^2)/(2*Inputs!$C$45^2))+Inputs!$C$48*(0.7*(0.45*SIN(2*PI()*(((Model_Data!A26)/Inputs!$C$49)+Inputs!$C$47*0.137))+0.35*COS(2*PI()*(((Inputs!$C$6)/Inputs!$C$50)+Inputs!$C$47*0.173))+0.2*SIN(2*PI()*(((Model_Data!A26)+(Inputs!$C$6))/(0.5*(Inputs!$C$49+Inputs!$C$50))+Inputs!$C$47*0.097)))+0.3*(2*((SIN(((Model_Data!A26)*12.9898+(Inputs!$C$6)*78.233+Inputs!$C$47*37.719))*43758.5453)-INT((SIN(((Model_Data!A26)*12.9898+(Inputs!$C$6)*78.233+Inputs!$C$47*37.719))*43758.5453)))-1))))/1000)^2)</f>
        <v>405.93030151983066</v>
      </c>
      <c r="AB26" s="9">
        <f>1000*(AA27-AA25)/(Z27-Z25)*Inputs!$C$11</f>
        <v>-885.04309298900807</v>
      </c>
      <c r="AC26" s="9">
        <f>-2*AB26/Inputs!$C$13</f>
        <v>354.01723719560323</v>
      </c>
      <c r="AD26" s="9">
        <f>-2*AB26/Inputs!$C$14</f>
        <v>53.15574132066115</v>
      </c>
    </row>
    <row r="27" spans="1:30">
      <c r="A27" s="9">
        <f>Model_Data!A27</f>
        <v>-47.5</v>
      </c>
      <c r="B27" s="9">
        <f>((SQRT((Model_Data!A27)^2+Inputs!$C$6^2+Inputs!$C$5^2)-Inputs!$C$5)*1000/Inputs!$C$12)</f>
        <v>2014.3217987140999</v>
      </c>
      <c r="C27" s="9">
        <f>Model_Data!F27</f>
        <v>2001.8863775912891</v>
      </c>
      <c r="D27" s="9">
        <f>(((SQRT((Model_Data!A27)^2+Inputs!$C$6^2+((Model_Data!B27)-((Inputs!$C$51*(115*EXP(-(((Inputs!$C$6)-25)^2)/(4.5^2))+70*EXP(-(((Inputs!$C$6)+38)^2)/(7^2))*(0.55+0.45*SIN(2*PI()*(Model_Data!A27)/45))+24*SIN(2*PI()*(Inputs!$C$6)/9+(Model_Data!A27)/18)*EXP(-(((Inputs!$C$6)+5)^2)/(22^2))+18*SIN(2*PI()*(Model_Data!A27)/70))+Inputs!$C$28*EXP(-(((Model_Data!A27)-Inputs!$C$29)^2)/(2*Inputs!$C$31^2))*EXP(-(((Inputs!$C$6)-Inputs!$C$30)^2)/(2*Inputs!$C$32^2))+-Inputs!$C$33*EXP(-(((((Model_Data!A27)-Inputs!$C$34)^2)+(((Inputs!$C$6)-Inputs!$C$35)^2))/(2*Inputs!$C$36^2)))+Inputs!$C$37*(0.55*SIN(2*PI()*(Model_Data!A27)/Inputs!$C$39)+0.35*COS(2*PI()*(Inputs!$C$6)/Inputs!$C$40)+0.2*SIN(2*PI()*((Model_Data!A27)+(Inputs!$C$6))/(0.5*(Inputs!$C$39+Inputs!$C$40))))+Inputs!$C$38*SIN(2*PI()*(Model_Data!A27)/Inputs!$C$39)*SIN(2*PI()*(Inputs!$C$6)/Inputs!$C$40)+-Inputs!$C$41*EXP(-(((Inputs!$C$6)-Inputs!$C$43)^2)/(2*Inputs!$C$44^2))*EXP(-(((Model_Data!A27)-Inputs!$C$42)^2)/(2*Inputs!$C$45^2))+Inputs!$C$48*(0.7*(0.45*SIN(2*PI()*(((Model_Data!A27)/Inputs!$C$49)+Inputs!$C$47*0.137))+0.35*COS(2*PI()*(((Inputs!$C$6)/Inputs!$C$50)+Inputs!$C$47*0.173))+0.2*SIN(2*PI()*(((Model_Data!A27)+(Inputs!$C$6))/(0.5*(Inputs!$C$49+Inputs!$C$50))+Inputs!$C$47*0.097)))+0.3*(2*((SIN(((Model_Data!A27)*12.9898+(Inputs!$C$6)*78.233+Inputs!$C$47*37.719))*43758.5453)-INT((SIN(((Model_Data!A27)*12.9898+(Inputs!$C$6)*78.233+Inputs!$C$47*37.719))*43758.5453)))-1))))/1000)^2))-(((Model_Data!B27)-((Inputs!$C$51*(115*EXP(-(((0)-25)^2)/(4.5^2))+70*EXP(-(((0)+38)^2)/(7^2))*(0.55+0.45*SIN(2*PI()*(Model_Data!A27)/45))+24*SIN(2*PI()*(0)/9+(Model_Data!A27)/18)*EXP(-(((0)+5)^2)/(22^2))+18*SIN(2*PI()*(Model_Data!A27)/70))+Inputs!$C$28*EXP(-(((Model_Data!A27)-Inputs!$C$29)^2)/(2*Inputs!$C$31^2))*EXP(-(((0)-Inputs!$C$30)^2)/(2*Inputs!$C$32^2))+-Inputs!$C$33*EXP(-(((((Model_Data!A27)-Inputs!$C$34)^2)+(((0)-Inputs!$C$35)^2))/(2*Inputs!$C$36^2)))+Inputs!$C$37*(0.55*SIN(2*PI()*(Model_Data!A27)/Inputs!$C$39)+0.35*COS(2*PI()*(0)/Inputs!$C$40)+0.2*SIN(2*PI()*((Model_Data!A27)+(0))/(0.5*(Inputs!$C$39+Inputs!$C$40))))+Inputs!$C$38*SIN(2*PI()*(Model_Data!A27)/Inputs!$C$39)*SIN(2*PI()*(0)/Inputs!$C$40)+-Inputs!$C$41*EXP(-(((0)-Inputs!$C$43)^2)/(2*Inputs!$C$44^2))*EXP(-(((Model_Data!A27)-Inputs!$C$42)^2)/(2*Inputs!$C$45^2))+Inputs!$C$48*(0.7*(0.45*SIN(2*PI()*(((Model_Data!A27)/Inputs!$C$49)+Inputs!$C$47*0.137))+0.35*COS(2*PI()*(((0)/Inputs!$C$50)+Inputs!$C$47*0.173))+0.2*SIN(2*PI()*(((Model_Data!A27)+(0))/(0.5*(Inputs!$C$49+Inputs!$C$50))+Inputs!$C$47*0.097)))+0.3*(2*((SIN(((Model_Data!A27)*12.9898+(0)*78.233+Inputs!$C$47*37.719))*43758.5453)-INT((SIN(((Model_Data!A27)*12.9898+(0)*78.233+Inputs!$C$47*37.719))*43758.5453)))-1))))/1000)))*1000/Inputs!$C$12)</f>
        <v>1885.8904981584919</v>
      </c>
      <c r="E27" s="9">
        <f>Model_Data!A27</f>
        <v>-47.5</v>
      </c>
      <c r="F27" s="9">
        <f>(Inputs!$C$51*(115*EXP(-(((Inputs!$C$6)-25)^2)/(4.5^2))+70*EXP(-(((Inputs!$C$6)+38)^2)/(7^2))*(0.55+0.45*SIN(2*PI()*(Model_Data!A27)/45))+24*SIN(2*PI()*(Inputs!$C$6)/9+(Model_Data!A27)/18)*EXP(-(((Inputs!$C$6)+5)^2)/(22^2))+18*SIN(2*PI()*(Model_Data!A27)/70))+Inputs!$C$28*EXP(-(((Model_Data!A27)-Inputs!$C$29)^2)/(2*Inputs!$C$31^2))*EXP(-(((Inputs!$C$6)-Inputs!$C$30)^2)/(2*Inputs!$C$32^2))+-Inputs!$C$33*EXP(-(((((Model_Data!A27)-Inputs!$C$34)^2)+(((Inputs!$C$6)-Inputs!$C$35)^2))/(2*Inputs!$C$36^2)))+Inputs!$C$37*(0.55*SIN(2*PI()*(Model_Data!A27)/Inputs!$C$39)+0.35*COS(2*PI()*(Inputs!$C$6)/Inputs!$C$40)+0.2*SIN(2*PI()*((Model_Data!A27)+(Inputs!$C$6))/(0.5*(Inputs!$C$39+Inputs!$C$40))))+Inputs!$C$38*SIN(2*PI()*(Model_Data!A27)/Inputs!$C$39)*SIN(2*PI()*(Inputs!$C$6)/Inputs!$C$40)+-Inputs!$C$41*EXP(-(((Inputs!$C$6)-Inputs!$C$43)^2)/(2*Inputs!$C$44^2))*EXP(-(((Model_Data!A27)-Inputs!$C$42)^2)/(2*Inputs!$C$45^2))+Inputs!$C$48*(0.7*(0.45*SIN(2*PI()*(((Model_Data!A27)/Inputs!$C$49)+Inputs!$C$47*0.137))+0.35*COS(2*PI()*(((Inputs!$C$6)/Inputs!$C$50)+Inputs!$C$47*0.173))+0.2*SIN(2*PI()*(((Model_Data!A27)+(Inputs!$C$6))/(0.5*(Inputs!$C$49+Inputs!$C$50))+Inputs!$C$47*0.097)))+0.3*(2*((SIN(((Model_Data!A27)*12.9898+(Inputs!$C$6)*78.233+Inputs!$C$47*37.719))*43758.5453)-INT((SIN(((Model_Data!A27)*12.9898+(Inputs!$C$6)*78.233+Inputs!$C$47*37.719))*43758.5453)))-1)))</f>
        <v>262.75484348528926</v>
      </c>
      <c r="G27" s="9">
        <f>(Inputs!$C$51*(115*EXP(-(((0)-25)^2)/(4.5^2))+70*EXP(-(((0)+38)^2)/(7^2))*(0.55+0.45*SIN(2*PI()*(Model_Data!A27)/45))+24*SIN(2*PI()*(0)/9+(Model_Data!A27)/18)*EXP(-(((0)+5)^2)/(22^2))+18*SIN(2*PI()*(Model_Data!A27)/70))+Inputs!$C$28*EXP(-(((Model_Data!A27)-Inputs!$C$29)^2)/(2*Inputs!$C$31^2))*EXP(-(((0)-Inputs!$C$30)^2)/(2*Inputs!$C$32^2))+-Inputs!$C$33*EXP(-(((((Model_Data!A27)-Inputs!$C$34)^2)+(((0)-Inputs!$C$35)^2))/(2*Inputs!$C$36^2)))+Inputs!$C$37*(0.55*SIN(2*PI()*(Model_Data!A27)/Inputs!$C$39)+0.35*COS(2*PI()*(0)/Inputs!$C$40)+0.2*SIN(2*PI()*((Model_Data!A27)+(0))/(0.5*(Inputs!$C$39+Inputs!$C$40))))+Inputs!$C$38*SIN(2*PI()*(Model_Data!A27)/Inputs!$C$39)*SIN(2*PI()*(0)/Inputs!$C$40)+-Inputs!$C$41*EXP(-(((0)-Inputs!$C$43)^2)/(2*Inputs!$C$44^2))*EXP(-(((Model_Data!A27)-Inputs!$C$42)^2)/(2*Inputs!$C$45^2))+Inputs!$C$48*(0.7*(0.45*SIN(2*PI()*(((Model_Data!A27)/Inputs!$C$49)+Inputs!$C$47*0.137))+0.35*COS(2*PI()*(((0)/Inputs!$C$50)+Inputs!$C$47*0.173))+0.2*SIN(2*PI()*(((Model_Data!A27)+(0))/(0.5*(Inputs!$C$49+Inputs!$C$50))+Inputs!$C$47*0.097)))+0.3*(2*((SIN(((Model_Data!A27)*12.9898+(0)*78.233+Inputs!$C$47*37.719))*43758.5453)-INT((SIN(((Model_Data!A27)*12.9898+(0)*78.233+Inputs!$C$47*37.719))*43758.5453)))-1)))</f>
        <v>53.974959185609514</v>
      </c>
      <c r="H27" s="10"/>
      <c r="I27" s="9">
        <f>Model_Data!A27</f>
        <v>-47.5</v>
      </c>
      <c r="J27" s="9">
        <f>(Inputs!$C$51*(115*EXP(-(((Inputs!$C$6)-25)^2)/(4.5^2))+70*EXP(-(((Inputs!$C$6)+38)^2)/(7^2))*(0.55+0.45*SIN(2*PI()*(Model_Data!A27)/45))+24*SIN(2*PI()*(Inputs!$C$6)/9+(Model_Data!A27)/18)*EXP(-(((Inputs!$C$6)+5)^2)/(22^2))+18*SIN(2*PI()*(Model_Data!A27)/70))+Inputs!$C$28*EXP(-(((Model_Data!A27)-Inputs!$C$29)^2)/(2*Inputs!$C$31^2))*EXP(-(((Inputs!$C$6)-Inputs!$C$30)^2)/(2*Inputs!$C$32^2))+-Inputs!$C$33*EXP(-(((((Model_Data!A27)-Inputs!$C$34)^2)+(((Inputs!$C$6)-Inputs!$C$35)^2))/(2*Inputs!$C$36^2)))+Inputs!$C$37*(0.55*SIN(2*PI()*(Model_Data!A27)/Inputs!$C$39)+0.35*COS(2*PI()*(Inputs!$C$6)/Inputs!$C$40)+0.2*SIN(2*PI()*((Model_Data!A27)+(Inputs!$C$6))/(0.5*(Inputs!$C$39+Inputs!$C$40))))+Inputs!$C$38*SIN(2*PI()*(Model_Data!A27)/Inputs!$C$39)*SIN(2*PI()*(Inputs!$C$6)/Inputs!$C$40)+-Inputs!$C$41*EXP(-(((Inputs!$C$6)-Inputs!$C$43)^2)/(2*Inputs!$C$44^2))*EXP(-(((Model_Data!A27)-Inputs!$C$42)^2)/(2*Inputs!$C$45^2))+Inputs!$C$48*(0.7*(0.45*SIN(2*PI()*(((Model_Data!A27)/Inputs!$C$49)+Inputs!$C$47*0.137))+0.35*COS(2*PI()*(((Inputs!$C$6)/Inputs!$C$50)+Inputs!$C$47*0.173))+0.2*SIN(2*PI()*(((Model_Data!A27)+(Inputs!$C$6))/(0.5*(Inputs!$C$49+Inputs!$C$50))+Inputs!$C$47*0.097)))+0.3*(2*((SIN(((Model_Data!A27)*12.9898+(Inputs!$C$6)*78.233+Inputs!$C$47*37.719))*43758.5453)-INT((SIN(((Model_Data!A27)*12.9898+(Inputs!$C$6)*78.233+Inputs!$C$47*37.719))*43758.5453)))-1)))</f>
        <v>262.75484348528926</v>
      </c>
      <c r="K27" s="9">
        <f>-((((SQRT((Model_Data!A27)^2+Inputs!$C$6^2+((Model_Data!B27)-((Inputs!$C$51*(115*EXP(-(((Inputs!$C$6)-25)^2)/(4.5^2))+70*EXP(-(((Inputs!$C$6)+38)^2)/(7^2))*(0.55+0.45*SIN(2*PI()*(Model_Data!A27)/45))+24*SIN(2*PI()*(Inputs!$C$6)/9+(Model_Data!A27)/18)*EXP(-(((Inputs!$C$6)+5)^2)/(22^2))+18*SIN(2*PI()*(Model_Data!A27)/70))+Inputs!$C$28*EXP(-(((Model_Data!A27)-Inputs!$C$29)^2)/(2*Inputs!$C$31^2))*EXP(-(((Inputs!$C$6)-Inputs!$C$30)^2)/(2*Inputs!$C$32^2))+-Inputs!$C$33*EXP(-(((((Model_Data!A27)-Inputs!$C$34)^2)+(((Inputs!$C$6)-Inputs!$C$35)^2))/(2*Inputs!$C$36^2)))+Inputs!$C$37*(0.55*SIN(2*PI()*(Model_Data!A27)/Inputs!$C$39)+0.35*COS(2*PI()*(Inputs!$C$6)/Inputs!$C$40)+0.2*SIN(2*PI()*((Model_Data!A27)+(Inputs!$C$6))/(0.5*(Inputs!$C$39+Inputs!$C$40))))+Inputs!$C$38*SIN(2*PI()*(Model_Data!A27)/Inputs!$C$39)*SIN(2*PI()*(Inputs!$C$6)/Inputs!$C$40)+-Inputs!$C$41*EXP(-(((Inputs!$C$6)-Inputs!$C$43)^2)/(2*Inputs!$C$44^2))*EXP(-(((Model_Data!A27)-Inputs!$C$42)^2)/(2*Inputs!$C$45^2))+Inputs!$C$48*(0.7*(0.45*SIN(2*PI()*(((Model_Data!A27)/Inputs!$C$49)+Inputs!$C$47*0.137))+0.35*COS(2*PI()*(((Inputs!$C$6)/Inputs!$C$50)+Inputs!$C$47*0.173))+0.2*SIN(2*PI()*(((Model_Data!A27)+(Inputs!$C$6))/(0.5*(Inputs!$C$49+Inputs!$C$50))+Inputs!$C$47*0.097)))+0.3*(2*((SIN(((Model_Data!A27)*12.9898+(Inputs!$C$6)*78.233+Inputs!$C$47*37.719))*43758.5453)-INT((SIN(((Model_Data!A27)*12.9898+(Inputs!$C$6)*78.233+Inputs!$C$47*37.719))*43758.5453)))-1))))/1000)^2))-(((Model_Data!B27)-((Inputs!$C$51*(115*EXP(-(((0)-25)^2)/(4.5^2))+70*EXP(-(((0)+38)^2)/(7^2))*(0.55+0.45*SIN(2*PI()*(Model_Data!A27)/45))+24*SIN(2*PI()*(0)/9+(Model_Data!A27)/18)*EXP(-(((0)+5)^2)/(22^2))+18*SIN(2*PI()*(Model_Data!A27)/70))+Inputs!$C$28*EXP(-(((Model_Data!A27)-Inputs!$C$29)^2)/(2*Inputs!$C$31^2))*EXP(-(((0)-Inputs!$C$30)^2)/(2*Inputs!$C$32^2))+-Inputs!$C$33*EXP(-(((((Model_Data!A27)-Inputs!$C$34)^2)+(((0)-Inputs!$C$35)^2))/(2*Inputs!$C$36^2)))+Inputs!$C$37*(0.55*SIN(2*PI()*(Model_Data!A27)/Inputs!$C$39)+0.35*COS(2*PI()*(0)/Inputs!$C$40)+0.2*SIN(2*PI()*((Model_Data!A27)+(0))/(0.5*(Inputs!$C$39+Inputs!$C$40))))+Inputs!$C$38*SIN(2*PI()*(Model_Data!A27)/Inputs!$C$39)*SIN(2*PI()*(0)/Inputs!$C$40)+-Inputs!$C$41*EXP(-(((0)-Inputs!$C$43)^2)/(2*Inputs!$C$44^2))*EXP(-(((Model_Data!A27)-Inputs!$C$42)^2)/(2*Inputs!$C$45^2))+Inputs!$C$48*(0.7*(0.45*SIN(2*PI()*(((Model_Data!A27)/Inputs!$C$49)+Inputs!$C$47*0.137))+0.35*COS(2*PI()*(((0)/Inputs!$C$50)+Inputs!$C$47*0.173))+0.2*SIN(2*PI()*(((Model_Data!A27)+(0))/(0.5*(Inputs!$C$49+Inputs!$C$50))+Inputs!$C$47*0.097)))+0.3*(2*((SIN(((Model_Data!A27)*12.9898+(0)*78.233+Inputs!$C$47*37.719))*43758.5453)-INT((SIN(((Model_Data!A27)*12.9898+(0)*78.233+Inputs!$C$47*37.719))*43758.5453)))-1))))/1000)))*1000/Inputs!$C$12)-Model_Data!F27)</f>
        <v>115.99587943279721</v>
      </c>
      <c r="L27" s="10"/>
      <c r="M27" s="9">
        <f>Model_Data!A27</f>
        <v>-47.5</v>
      </c>
      <c r="N27" s="9">
        <f>Model_Data!P27</f>
        <v>354.56656110643479</v>
      </c>
      <c r="O27" s="9">
        <f t="shared" si="0"/>
        <v>355.12089693938833</v>
      </c>
      <c r="P27" s="9">
        <f>Model_Data!Q27</f>
        <v>53.238222388353577</v>
      </c>
      <c r="Q27" s="9">
        <f t="shared" si="1"/>
        <v>53.321455996905158</v>
      </c>
      <c r="R27" s="10"/>
      <c r="S27" s="9">
        <f>Model_Data!A27</f>
        <v>-47.5</v>
      </c>
      <c r="T27" s="9">
        <f>Model_Data!B27-Inputs!$C$5</f>
        <v>2.5069444444444571</v>
      </c>
      <c r="U27" s="10"/>
      <c r="V27" s="9">
        <f>Model_Data!A27</f>
        <v>-47.5</v>
      </c>
      <c r="W27" s="9">
        <f>((SQRT((Model_Data!A27)^2+Inputs!$C$6^2+Inputs!$C$5^2)-Inputs!$C$5)*1000/Inputs!$C$12)</f>
        <v>2014.3217987140999</v>
      </c>
      <c r="X27" s="9">
        <f>Model_Data!F27</f>
        <v>2001.8863775912891</v>
      </c>
      <c r="Y27" s="10"/>
      <c r="Z27" s="9">
        <f>Model_Data!A27</f>
        <v>-47.5</v>
      </c>
      <c r="AA27" s="9">
        <f>SQRT((Model_Data!A27)^2+Inputs!$C$6^2+((Model_Data!B27)-((Inputs!$C$51*(115*EXP(-(((Inputs!$C$6)-25)^2)/(4.5^2))+70*EXP(-(((Inputs!$C$6)+38)^2)/(7^2))*(0.55+0.45*SIN(2*PI()*(Model_Data!A27)/45))+24*SIN(2*PI()*(Inputs!$C$6)/9+(Model_Data!A27)/18)*EXP(-(((Inputs!$C$6)+5)^2)/(22^2))+18*SIN(2*PI()*(Model_Data!A27)/70))+Inputs!$C$28*EXP(-(((Model_Data!A27)-Inputs!$C$29)^2)/(2*Inputs!$C$31^2))*EXP(-(((Inputs!$C$6)-Inputs!$C$30)^2)/(2*Inputs!$C$32^2))+-Inputs!$C$33*EXP(-(((((Model_Data!A27)-Inputs!$C$34)^2)+(((Inputs!$C$6)-Inputs!$C$35)^2))/(2*Inputs!$C$36^2)))+Inputs!$C$37*(0.55*SIN(2*PI()*(Model_Data!A27)/Inputs!$C$39)+0.35*COS(2*PI()*(Inputs!$C$6)/Inputs!$C$40)+0.2*SIN(2*PI()*((Model_Data!A27)+(Inputs!$C$6))/(0.5*(Inputs!$C$39+Inputs!$C$40))))+Inputs!$C$38*SIN(2*PI()*(Model_Data!A27)/Inputs!$C$39)*SIN(2*PI()*(Inputs!$C$6)/Inputs!$C$40)+-Inputs!$C$41*EXP(-(((Inputs!$C$6)-Inputs!$C$43)^2)/(2*Inputs!$C$44^2))*EXP(-(((Model_Data!A27)-Inputs!$C$42)^2)/(2*Inputs!$C$45^2))+Inputs!$C$48*(0.7*(0.45*SIN(2*PI()*(((Model_Data!A27)/Inputs!$C$49)+Inputs!$C$47*0.137))+0.35*COS(2*PI()*(((Inputs!$C$6)/Inputs!$C$50)+Inputs!$C$47*0.173))+0.2*SIN(2*PI()*(((Model_Data!A27)+(Inputs!$C$6))/(0.5*(Inputs!$C$49+Inputs!$C$50))+Inputs!$C$47*0.097)))+0.3*(2*((SIN(((Model_Data!A27)*12.9898+(Inputs!$C$6)*78.233+Inputs!$C$47*37.719))*43758.5453)-INT((SIN(((Model_Data!A27)*12.9898+(Inputs!$C$6)*78.233+Inputs!$C$47*37.719))*43758.5453)))-1))))/1000)^2)</f>
        <v>405.80985457198096</v>
      </c>
      <c r="AB27" s="9">
        <f>1000*(AA28-AA26)/(Z28-Z26)*Inputs!$C$11</f>
        <v>-887.80224234847083</v>
      </c>
      <c r="AC27" s="9">
        <f>-2*AB27/Inputs!$C$13</f>
        <v>355.12089693938833</v>
      </c>
      <c r="AD27" s="9">
        <f>-2*AB27/Inputs!$C$14</f>
        <v>53.321455996905158</v>
      </c>
    </row>
    <row r="28" spans="1:30">
      <c r="A28" s="9">
        <f>Model_Data!A28</f>
        <v>-47</v>
      </c>
      <c r="B28" s="9">
        <f>((SQRT((Model_Data!A28)^2+Inputs!$C$6^2+Inputs!$C$5^2)-Inputs!$C$5)*1000/Inputs!$C$12)</f>
        <v>1981.4330184313289</v>
      </c>
      <c r="C28" s="9">
        <f>Model_Data!F28</f>
        <v>1969.4535409394057</v>
      </c>
      <c r="D28" s="9">
        <f>(((SQRT((Model_Data!A28)^2+Inputs!$C$6^2+((Model_Data!B28)-((Inputs!$C$51*(115*EXP(-(((Inputs!$C$6)-25)^2)/(4.5^2))+70*EXP(-(((Inputs!$C$6)+38)^2)/(7^2))*(0.55+0.45*SIN(2*PI()*(Model_Data!A28)/45))+24*SIN(2*PI()*(Inputs!$C$6)/9+(Model_Data!A28)/18)*EXP(-(((Inputs!$C$6)+5)^2)/(22^2))+18*SIN(2*PI()*(Model_Data!A28)/70))+Inputs!$C$28*EXP(-(((Model_Data!A28)-Inputs!$C$29)^2)/(2*Inputs!$C$31^2))*EXP(-(((Inputs!$C$6)-Inputs!$C$30)^2)/(2*Inputs!$C$32^2))+-Inputs!$C$33*EXP(-(((((Model_Data!A28)-Inputs!$C$34)^2)+(((Inputs!$C$6)-Inputs!$C$35)^2))/(2*Inputs!$C$36^2)))+Inputs!$C$37*(0.55*SIN(2*PI()*(Model_Data!A28)/Inputs!$C$39)+0.35*COS(2*PI()*(Inputs!$C$6)/Inputs!$C$40)+0.2*SIN(2*PI()*((Model_Data!A28)+(Inputs!$C$6))/(0.5*(Inputs!$C$39+Inputs!$C$40))))+Inputs!$C$38*SIN(2*PI()*(Model_Data!A28)/Inputs!$C$39)*SIN(2*PI()*(Inputs!$C$6)/Inputs!$C$40)+-Inputs!$C$41*EXP(-(((Inputs!$C$6)-Inputs!$C$43)^2)/(2*Inputs!$C$44^2))*EXP(-(((Model_Data!A28)-Inputs!$C$42)^2)/(2*Inputs!$C$45^2))+Inputs!$C$48*(0.7*(0.45*SIN(2*PI()*(((Model_Data!A28)/Inputs!$C$49)+Inputs!$C$47*0.137))+0.35*COS(2*PI()*(((Inputs!$C$6)/Inputs!$C$50)+Inputs!$C$47*0.173))+0.2*SIN(2*PI()*(((Model_Data!A28)+(Inputs!$C$6))/(0.5*(Inputs!$C$49+Inputs!$C$50))+Inputs!$C$47*0.097)))+0.3*(2*((SIN(((Model_Data!A28)*12.9898+(Inputs!$C$6)*78.233+Inputs!$C$47*37.719))*43758.5453)-INT((SIN(((Model_Data!A28)*12.9898+(Inputs!$C$6)*78.233+Inputs!$C$47*37.719))*43758.5453)))-1))))/1000)^2))-(((Model_Data!B28)-((Inputs!$C$51*(115*EXP(-(((0)-25)^2)/(4.5^2))+70*EXP(-(((0)+38)^2)/(7^2))*(0.55+0.45*SIN(2*PI()*(Model_Data!A28)/45))+24*SIN(2*PI()*(0)/9+(Model_Data!A28)/18)*EXP(-(((0)+5)^2)/(22^2))+18*SIN(2*PI()*(Model_Data!A28)/70))+Inputs!$C$28*EXP(-(((Model_Data!A28)-Inputs!$C$29)^2)/(2*Inputs!$C$31^2))*EXP(-(((0)-Inputs!$C$30)^2)/(2*Inputs!$C$32^2))+-Inputs!$C$33*EXP(-(((((Model_Data!A28)-Inputs!$C$34)^2)+(((0)-Inputs!$C$35)^2))/(2*Inputs!$C$36^2)))+Inputs!$C$37*(0.55*SIN(2*PI()*(Model_Data!A28)/Inputs!$C$39)+0.35*COS(2*PI()*(0)/Inputs!$C$40)+0.2*SIN(2*PI()*((Model_Data!A28)+(0))/(0.5*(Inputs!$C$39+Inputs!$C$40))))+Inputs!$C$38*SIN(2*PI()*(Model_Data!A28)/Inputs!$C$39)*SIN(2*PI()*(0)/Inputs!$C$40)+-Inputs!$C$41*EXP(-(((0)-Inputs!$C$43)^2)/(2*Inputs!$C$44^2))*EXP(-(((Model_Data!A28)-Inputs!$C$42)^2)/(2*Inputs!$C$45^2))+Inputs!$C$48*(0.7*(0.45*SIN(2*PI()*(((Model_Data!A28)/Inputs!$C$49)+Inputs!$C$47*0.137))+0.35*COS(2*PI()*(((0)/Inputs!$C$50)+Inputs!$C$47*0.173))+0.2*SIN(2*PI()*(((Model_Data!A28)+(0))/(0.5*(Inputs!$C$49+Inputs!$C$50))+Inputs!$C$47*0.097)))+0.3*(2*((SIN(((Model_Data!A28)*12.9898+(0)*78.233+Inputs!$C$47*37.719))*43758.5453)-INT((SIN(((Model_Data!A28)*12.9898+(0)*78.233+Inputs!$C$47*37.719))*43758.5453)))-1))))/1000)))*1000/Inputs!$C$12)</f>
        <v>1862.4269424420615</v>
      </c>
      <c r="E28" s="9">
        <f>Model_Data!A28</f>
        <v>-47</v>
      </c>
      <c r="F28" s="9">
        <f>(Inputs!$C$51*(115*EXP(-(((Inputs!$C$6)-25)^2)/(4.5^2))+70*EXP(-(((Inputs!$C$6)+38)^2)/(7^2))*(0.55+0.45*SIN(2*PI()*(Model_Data!A28)/45))+24*SIN(2*PI()*(Inputs!$C$6)/9+(Model_Data!A28)/18)*EXP(-(((Inputs!$C$6)+5)^2)/(22^2))+18*SIN(2*PI()*(Model_Data!A28)/70))+Inputs!$C$28*EXP(-(((Model_Data!A28)-Inputs!$C$29)^2)/(2*Inputs!$C$31^2))*EXP(-(((Inputs!$C$6)-Inputs!$C$30)^2)/(2*Inputs!$C$32^2))+-Inputs!$C$33*EXP(-(((((Model_Data!A28)-Inputs!$C$34)^2)+(((Inputs!$C$6)-Inputs!$C$35)^2))/(2*Inputs!$C$36^2)))+Inputs!$C$37*(0.55*SIN(2*PI()*(Model_Data!A28)/Inputs!$C$39)+0.35*COS(2*PI()*(Inputs!$C$6)/Inputs!$C$40)+0.2*SIN(2*PI()*((Model_Data!A28)+(Inputs!$C$6))/(0.5*(Inputs!$C$39+Inputs!$C$40))))+Inputs!$C$38*SIN(2*PI()*(Model_Data!A28)/Inputs!$C$39)*SIN(2*PI()*(Inputs!$C$6)/Inputs!$C$40)+-Inputs!$C$41*EXP(-(((Inputs!$C$6)-Inputs!$C$43)^2)/(2*Inputs!$C$44^2))*EXP(-(((Model_Data!A28)-Inputs!$C$42)^2)/(2*Inputs!$C$45^2))+Inputs!$C$48*(0.7*(0.45*SIN(2*PI()*(((Model_Data!A28)/Inputs!$C$49)+Inputs!$C$47*0.137))+0.35*COS(2*PI()*(((Inputs!$C$6)/Inputs!$C$50)+Inputs!$C$47*0.173))+0.2*SIN(2*PI()*(((Model_Data!A28)+(Inputs!$C$6))/(0.5*(Inputs!$C$49+Inputs!$C$50))+Inputs!$C$47*0.097)))+0.3*(2*((SIN(((Model_Data!A28)*12.9898+(Inputs!$C$6)*78.233+Inputs!$C$47*37.719))*43758.5453)-INT((SIN(((Model_Data!A28)*12.9898+(Inputs!$C$6)*78.233+Inputs!$C$47*37.719))*43758.5453)))-1)))</f>
        <v>253.91481019754531</v>
      </c>
      <c r="G28" s="9">
        <f>(Inputs!$C$51*(115*EXP(-(((0)-25)^2)/(4.5^2))+70*EXP(-(((0)+38)^2)/(7^2))*(0.55+0.45*SIN(2*PI()*(Model_Data!A28)/45))+24*SIN(2*PI()*(0)/9+(Model_Data!A28)/18)*EXP(-(((0)+5)^2)/(22^2))+18*SIN(2*PI()*(Model_Data!A28)/70))+Inputs!$C$28*EXP(-(((Model_Data!A28)-Inputs!$C$29)^2)/(2*Inputs!$C$31^2))*EXP(-(((0)-Inputs!$C$30)^2)/(2*Inputs!$C$32^2))+-Inputs!$C$33*EXP(-(((((Model_Data!A28)-Inputs!$C$34)^2)+(((0)-Inputs!$C$35)^2))/(2*Inputs!$C$36^2)))+Inputs!$C$37*(0.55*SIN(2*PI()*(Model_Data!A28)/Inputs!$C$39)+0.35*COS(2*PI()*(0)/Inputs!$C$40)+0.2*SIN(2*PI()*((Model_Data!A28)+(0))/(0.5*(Inputs!$C$39+Inputs!$C$40))))+Inputs!$C$38*SIN(2*PI()*(Model_Data!A28)/Inputs!$C$39)*SIN(2*PI()*(0)/Inputs!$C$40)+-Inputs!$C$41*EXP(-(((0)-Inputs!$C$43)^2)/(2*Inputs!$C$44^2))*EXP(-(((Model_Data!A28)-Inputs!$C$42)^2)/(2*Inputs!$C$45^2))+Inputs!$C$48*(0.7*(0.45*SIN(2*PI()*(((Model_Data!A28)/Inputs!$C$49)+Inputs!$C$47*0.137))+0.35*COS(2*PI()*(((0)/Inputs!$C$50)+Inputs!$C$47*0.173))+0.2*SIN(2*PI()*(((Model_Data!A28)+(0))/(0.5*(Inputs!$C$49+Inputs!$C$50))+Inputs!$C$47*0.097)))+0.3*(2*((SIN(((Model_Data!A28)*12.9898+(0)*78.233+Inputs!$C$47*37.719))*43758.5453)-INT((SIN(((Model_Data!A28)*12.9898+(0)*78.233+Inputs!$C$47*37.719))*43758.5453)))-1)))</f>
        <v>61.213442747759345</v>
      </c>
      <c r="H28" s="10"/>
      <c r="I28" s="9">
        <f>Model_Data!A28</f>
        <v>-47</v>
      </c>
      <c r="J28" s="9">
        <f>(Inputs!$C$51*(115*EXP(-(((Inputs!$C$6)-25)^2)/(4.5^2))+70*EXP(-(((Inputs!$C$6)+38)^2)/(7^2))*(0.55+0.45*SIN(2*PI()*(Model_Data!A28)/45))+24*SIN(2*PI()*(Inputs!$C$6)/9+(Model_Data!A28)/18)*EXP(-(((Inputs!$C$6)+5)^2)/(22^2))+18*SIN(2*PI()*(Model_Data!A28)/70))+Inputs!$C$28*EXP(-(((Model_Data!A28)-Inputs!$C$29)^2)/(2*Inputs!$C$31^2))*EXP(-(((Inputs!$C$6)-Inputs!$C$30)^2)/(2*Inputs!$C$32^2))+-Inputs!$C$33*EXP(-(((((Model_Data!A28)-Inputs!$C$34)^2)+(((Inputs!$C$6)-Inputs!$C$35)^2))/(2*Inputs!$C$36^2)))+Inputs!$C$37*(0.55*SIN(2*PI()*(Model_Data!A28)/Inputs!$C$39)+0.35*COS(2*PI()*(Inputs!$C$6)/Inputs!$C$40)+0.2*SIN(2*PI()*((Model_Data!A28)+(Inputs!$C$6))/(0.5*(Inputs!$C$39+Inputs!$C$40))))+Inputs!$C$38*SIN(2*PI()*(Model_Data!A28)/Inputs!$C$39)*SIN(2*PI()*(Inputs!$C$6)/Inputs!$C$40)+-Inputs!$C$41*EXP(-(((Inputs!$C$6)-Inputs!$C$43)^2)/(2*Inputs!$C$44^2))*EXP(-(((Model_Data!A28)-Inputs!$C$42)^2)/(2*Inputs!$C$45^2))+Inputs!$C$48*(0.7*(0.45*SIN(2*PI()*(((Model_Data!A28)/Inputs!$C$49)+Inputs!$C$47*0.137))+0.35*COS(2*PI()*(((Inputs!$C$6)/Inputs!$C$50)+Inputs!$C$47*0.173))+0.2*SIN(2*PI()*(((Model_Data!A28)+(Inputs!$C$6))/(0.5*(Inputs!$C$49+Inputs!$C$50))+Inputs!$C$47*0.097)))+0.3*(2*((SIN(((Model_Data!A28)*12.9898+(Inputs!$C$6)*78.233+Inputs!$C$47*37.719))*43758.5453)-INT((SIN(((Model_Data!A28)*12.9898+(Inputs!$C$6)*78.233+Inputs!$C$47*37.719))*43758.5453)))-1)))</f>
        <v>253.91481019754531</v>
      </c>
      <c r="K28" s="9">
        <f>-((((SQRT((Model_Data!A28)^2+Inputs!$C$6^2+((Model_Data!B28)-((Inputs!$C$51*(115*EXP(-(((Inputs!$C$6)-25)^2)/(4.5^2))+70*EXP(-(((Inputs!$C$6)+38)^2)/(7^2))*(0.55+0.45*SIN(2*PI()*(Model_Data!A28)/45))+24*SIN(2*PI()*(Inputs!$C$6)/9+(Model_Data!A28)/18)*EXP(-(((Inputs!$C$6)+5)^2)/(22^2))+18*SIN(2*PI()*(Model_Data!A28)/70))+Inputs!$C$28*EXP(-(((Model_Data!A28)-Inputs!$C$29)^2)/(2*Inputs!$C$31^2))*EXP(-(((Inputs!$C$6)-Inputs!$C$30)^2)/(2*Inputs!$C$32^2))+-Inputs!$C$33*EXP(-(((((Model_Data!A28)-Inputs!$C$34)^2)+(((Inputs!$C$6)-Inputs!$C$35)^2))/(2*Inputs!$C$36^2)))+Inputs!$C$37*(0.55*SIN(2*PI()*(Model_Data!A28)/Inputs!$C$39)+0.35*COS(2*PI()*(Inputs!$C$6)/Inputs!$C$40)+0.2*SIN(2*PI()*((Model_Data!A28)+(Inputs!$C$6))/(0.5*(Inputs!$C$39+Inputs!$C$40))))+Inputs!$C$38*SIN(2*PI()*(Model_Data!A28)/Inputs!$C$39)*SIN(2*PI()*(Inputs!$C$6)/Inputs!$C$40)+-Inputs!$C$41*EXP(-(((Inputs!$C$6)-Inputs!$C$43)^2)/(2*Inputs!$C$44^2))*EXP(-(((Model_Data!A28)-Inputs!$C$42)^2)/(2*Inputs!$C$45^2))+Inputs!$C$48*(0.7*(0.45*SIN(2*PI()*(((Model_Data!A28)/Inputs!$C$49)+Inputs!$C$47*0.137))+0.35*COS(2*PI()*(((Inputs!$C$6)/Inputs!$C$50)+Inputs!$C$47*0.173))+0.2*SIN(2*PI()*(((Model_Data!A28)+(Inputs!$C$6))/(0.5*(Inputs!$C$49+Inputs!$C$50))+Inputs!$C$47*0.097)))+0.3*(2*((SIN(((Model_Data!A28)*12.9898+(Inputs!$C$6)*78.233+Inputs!$C$47*37.719))*43758.5453)-INT((SIN(((Model_Data!A28)*12.9898+(Inputs!$C$6)*78.233+Inputs!$C$47*37.719))*43758.5453)))-1))))/1000)^2))-(((Model_Data!B28)-((Inputs!$C$51*(115*EXP(-(((0)-25)^2)/(4.5^2))+70*EXP(-(((0)+38)^2)/(7^2))*(0.55+0.45*SIN(2*PI()*(Model_Data!A28)/45))+24*SIN(2*PI()*(0)/9+(Model_Data!A28)/18)*EXP(-(((0)+5)^2)/(22^2))+18*SIN(2*PI()*(Model_Data!A28)/70))+Inputs!$C$28*EXP(-(((Model_Data!A28)-Inputs!$C$29)^2)/(2*Inputs!$C$31^2))*EXP(-(((0)-Inputs!$C$30)^2)/(2*Inputs!$C$32^2))+-Inputs!$C$33*EXP(-(((((Model_Data!A28)-Inputs!$C$34)^2)+(((0)-Inputs!$C$35)^2))/(2*Inputs!$C$36^2)))+Inputs!$C$37*(0.55*SIN(2*PI()*(Model_Data!A28)/Inputs!$C$39)+0.35*COS(2*PI()*(0)/Inputs!$C$40)+0.2*SIN(2*PI()*((Model_Data!A28)+(0))/(0.5*(Inputs!$C$39+Inputs!$C$40))))+Inputs!$C$38*SIN(2*PI()*(Model_Data!A28)/Inputs!$C$39)*SIN(2*PI()*(0)/Inputs!$C$40)+-Inputs!$C$41*EXP(-(((0)-Inputs!$C$43)^2)/(2*Inputs!$C$44^2))*EXP(-(((Model_Data!A28)-Inputs!$C$42)^2)/(2*Inputs!$C$45^2))+Inputs!$C$48*(0.7*(0.45*SIN(2*PI()*(((Model_Data!A28)/Inputs!$C$49)+Inputs!$C$47*0.137))+0.35*COS(2*PI()*(((0)/Inputs!$C$50)+Inputs!$C$47*0.173))+0.2*SIN(2*PI()*(((Model_Data!A28)+(0))/(0.5*(Inputs!$C$49+Inputs!$C$50))+Inputs!$C$47*0.097)))+0.3*(2*((SIN(((Model_Data!A28)*12.9898+(0)*78.233+Inputs!$C$47*37.719))*43758.5453)-INT((SIN(((Model_Data!A28)*12.9898+(0)*78.233+Inputs!$C$47*37.719))*43758.5453)))-1))))/1000)))*1000/Inputs!$C$12)-Model_Data!F28)</f>
        <v>107.02659849734414</v>
      </c>
      <c r="L28" s="10"/>
      <c r="M28" s="9">
        <f>Model_Data!A28</f>
        <v>-47</v>
      </c>
      <c r="N28" s="9">
        <f>Model_Data!P28</f>
        <v>350.90793232341497</v>
      </c>
      <c r="O28" s="9">
        <f t="shared" si="0"/>
        <v>336.73665814785636</v>
      </c>
      <c r="P28" s="9">
        <f>Model_Data!Q28</f>
        <v>52.688878727239491</v>
      </c>
      <c r="Q28" s="9">
        <f t="shared" si="1"/>
        <v>50.561059781960417</v>
      </c>
      <c r="R28" s="10"/>
      <c r="S28" s="9">
        <f>Model_Data!A28</f>
        <v>-47</v>
      </c>
      <c r="T28" s="9">
        <f>Model_Data!B28-Inputs!$C$5</f>
        <v>2.454444444444448</v>
      </c>
      <c r="U28" s="10"/>
      <c r="V28" s="9">
        <f>Model_Data!A28</f>
        <v>-47</v>
      </c>
      <c r="W28" s="9">
        <f>((SQRT((Model_Data!A28)^2+Inputs!$C$6^2+Inputs!$C$5^2)-Inputs!$C$5)*1000/Inputs!$C$12)</f>
        <v>1981.4330184313289</v>
      </c>
      <c r="X28" s="9">
        <f>Model_Data!F28</f>
        <v>1969.4535409394057</v>
      </c>
      <c r="Y28" s="10"/>
      <c r="Z28" s="9">
        <f>Model_Data!A28</f>
        <v>-47</v>
      </c>
      <c r="AA28" s="9">
        <f>SQRT((Model_Data!A28)^2+Inputs!$C$6^2+((Model_Data!B28)-((Inputs!$C$51*(115*EXP(-(((Inputs!$C$6)-25)^2)/(4.5^2))+70*EXP(-(((Inputs!$C$6)+38)^2)/(7^2))*(0.55+0.45*SIN(2*PI()*(Model_Data!A28)/45))+24*SIN(2*PI()*(Inputs!$C$6)/9+(Model_Data!A28)/18)*EXP(-(((Inputs!$C$6)+5)^2)/(22^2))+18*SIN(2*PI()*(Model_Data!A28)/70))+Inputs!$C$28*EXP(-(((Model_Data!A28)-Inputs!$C$29)^2)/(2*Inputs!$C$31^2))*EXP(-(((Inputs!$C$6)-Inputs!$C$30)^2)/(2*Inputs!$C$32^2))+-Inputs!$C$33*EXP(-(((((Model_Data!A28)-Inputs!$C$34)^2)+(((Inputs!$C$6)-Inputs!$C$35)^2))/(2*Inputs!$C$36^2)))+Inputs!$C$37*(0.55*SIN(2*PI()*(Model_Data!A28)/Inputs!$C$39)+0.35*COS(2*PI()*(Inputs!$C$6)/Inputs!$C$40)+0.2*SIN(2*PI()*((Model_Data!A28)+(Inputs!$C$6))/(0.5*(Inputs!$C$39+Inputs!$C$40))))+Inputs!$C$38*SIN(2*PI()*(Model_Data!A28)/Inputs!$C$39)*SIN(2*PI()*(Inputs!$C$6)/Inputs!$C$40)+-Inputs!$C$41*EXP(-(((Inputs!$C$6)-Inputs!$C$43)^2)/(2*Inputs!$C$44^2))*EXP(-(((Model_Data!A28)-Inputs!$C$42)^2)/(2*Inputs!$C$45^2))+Inputs!$C$48*(0.7*(0.45*SIN(2*PI()*(((Model_Data!A28)/Inputs!$C$49)+Inputs!$C$47*0.137))+0.35*COS(2*PI()*(((Inputs!$C$6)/Inputs!$C$50)+Inputs!$C$47*0.173))+0.2*SIN(2*PI()*(((Model_Data!A28)+(Inputs!$C$6))/(0.5*(Inputs!$C$49+Inputs!$C$50))+Inputs!$C$47*0.097)))+0.3*(2*((SIN(((Model_Data!A28)*12.9898+(Inputs!$C$6)*78.233+Inputs!$C$47*37.719))*43758.5453)-INT((SIN(((Model_Data!A28)*12.9898+(Inputs!$C$6)*78.233+Inputs!$C$47*37.719))*43758.5453)))-1))))/1000)^2)</f>
        <v>405.70835095924355</v>
      </c>
      <c r="AB28" s="9">
        <f>1000*(AA29-AA27)/(Z29-Z27)*Inputs!$C$11</f>
        <v>-841.8416453696409</v>
      </c>
      <c r="AC28" s="9">
        <f>-2*AB28/Inputs!$C$13</f>
        <v>336.73665814785636</v>
      </c>
      <c r="AD28" s="9">
        <f>-2*AB28/Inputs!$C$14</f>
        <v>50.561059781960417</v>
      </c>
    </row>
    <row r="29" spans="1:30">
      <c r="A29" s="9">
        <f>Model_Data!A29</f>
        <v>-46.5</v>
      </c>
      <c r="B29" s="9">
        <f>((SQRT((Model_Data!A29)^2+Inputs!$C$6^2+Inputs!$C$5^2)-Inputs!$C$5)*1000/Inputs!$C$12)</f>
        <v>1948.887570995307</v>
      </c>
      <c r="C29" s="9">
        <f>Model_Data!F29</f>
        <v>1937.3511102927434</v>
      </c>
      <c r="D29" s="9">
        <f>(((SQRT((Model_Data!A29)^2+Inputs!$C$6^2+((Model_Data!B29)-((Inputs!$C$51*(115*EXP(-(((Inputs!$C$6)-25)^2)/(4.5^2))+70*EXP(-(((Inputs!$C$6)+38)^2)/(7^2))*(0.55+0.45*SIN(2*PI()*(Model_Data!A29)/45))+24*SIN(2*PI()*(Inputs!$C$6)/9+(Model_Data!A29)/18)*EXP(-(((Inputs!$C$6)+5)^2)/(22^2))+18*SIN(2*PI()*(Model_Data!A29)/70))+Inputs!$C$28*EXP(-(((Model_Data!A29)-Inputs!$C$29)^2)/(2*Inputs!$C$31^2))*EXP(-(((Inputs!$C$6)-Inputs!$C$30)^2)/(2*Inputs!$C$32^2))+-Inputs!$C$33*EXP(-(((((Model_Data!A29)-Inputs!$C$34)^2)+(((Inputs!$C$6)-Inputs!$C$35)^2))/(2*Inputs!$C$36^2)))+Inputs!$C$37*(0.55*SIN(2*PI()*(Model_Data!A29)/Inputs!$C$39)+0.35*COS(2*PI()*(Inputs!$C$6)/Inputs!$C$40)+0.2*SIN(2*PI()*((Model_Data!A29)+(Inputs!$C$6))/(0.5*(Inputs!$C$39+Inputs!$C$40))))+Inputs!$C$38*SIN(2*PI()*(Model_Data!A29)/Inputs!$C$39)*SIN(2*PI()*(Inputs!$C$6)/Inputs!$C$40)+-Inputs!$C$41*EXP(-(((Inputs!$C$6)-Inputs!$C$43)^2)/(2*Inputs!$C$44^2))*EXP(-(((Model_Data!A29)-Inputs!$C$42)^2)/(2*Inputs!$C$45^2))+Inputs!$C$48*(0.7*(0.45*SIN(2*PI()*(((Model_Data!A29)/Inputs!$C$49)+Inputs!$C$47*0.137))+0.35*COS(2*PI()*(((Inputs!$C$6)/Inputs!$C$50)+Inputs!$C$47*0.173))+0.2*SIN(2*PI()*(((Model_Data!A29)+(Inputs!$C$6))/(0.5*(Inputs!$C$49+Inputs!$C$50))+Inputs!$C$47*0.097)))+0.3*(2*((SIN(((Model_Data!A29)*12.9898+(Inputs!$C$6)*78.233+Inputs!$C$47*37.719))*43758.5453)-INT((SIN(((Model_Data!A29)*12.9898+(Inputs!$C$6)*78.233+Inputs!$C$47*37.719))*43758.5453)))-1))))/1000)^2))-(((Model_Data!B29)-((Inputs!$C$51*(115*EXP(-(((0)-25)^2)/(4.5^2))+70*EXP(-(((0)+38)^2)/(7^2))*(0.55+0.45*SIN(2*PI()*(Model_Data!A29)/45))+24*SIN(2*PI()*(0)/9+(Model_Data!A29)/18)*EXP(-(((0)+5)^2)/(22^2))+18*SIN(2*PI()*(Model_Data!A29)/70))+Inputs!$C$28*EXP(-(((Model_Data!A29)-Inputs!$C$29)^2)/(2*Inputs!$C$31^2))*EXP(-(((0)-Inputs!$C$30)^2)/(2*Inputs!$C$32^2))+-Inputs!$C$33*EXP(-(((((Model_Data!A29)-Inputs!$C$34)^2)+(((0)-Inputs!$C$35)^2))/(2*Inputs!$C$36^2)))+Inputs!$C$37*(0.55*SIN(2*PI()*(Model_Data!A29)/Inputs!$C$39)+0.35*COS(2*PI()*(0)/Inputs!$C$40)+0.2*SIN(2*PI()*((Model_Data!A29)+(0))/(0.5*(Inputs!$C$39+Inputs!$C$40))))+Inputs!$C$38*SIN(2*PI()*(Model_Data!A29)/Inputs!$C$39)*SIN(2*PI()*(0)/Inputs!$C$40)+-Inputs!$C$41*EXP(-(((0)-Inputs!$C$43)^2)/(2*Inputs!$C$44^2))*EXP(-(((Model_Data!A29)-Inputs!$C$42)^2)/(2*Inputs!$C$45^2))+Inputs!$C$48*(0.7*(0.45*SIN(2*PI()*(((Model_Data!A29)/Inputs!$C$49)+Inputs!$C$47*0.137))+0.35*COS(2*PI()*(((0)/Inputs!$C$50)+Inputs!$C$47*0.173))+0.2*SIN(2*PI()*(((Model_Data!A29)+(0))/(0.5*(Inputs!$C$49+Inputs!$C$50))+Inputs!$C$47*0.097)))+0.3*(2*((SIN(((Model_Data!A29)*12.9898+(0)*78.233+Inputs!$C$47*37.719))*43758.5453)-INT((SIN(((Model_Data!A29)*12.9898+(0)*78.233+Inputs!$C$47*37.719))*43758.5453)))-1))))/1000)))*1000/Inputs!$C$12)</f>
        <v>1828.3280794055704</v>
      </c>
      <c r="E29" s="9">
        <f>Model_Data!A29</f>
        <v>-46.5</v>
      </c>
      <c r="F29" s="9">
        <f>(Inputs!$C$51*(115*EXP(-(((Inputs!$C$6)-25)^2)/(4.5^2))+70*EXP(-(((Inputs!$C$6)+38)^2)/(7^2))*(0.55+0.45*SIN(2*PI()*(Model_Data!A29)/45))+24*SIN(2*PI()*(Inputs!$C$6)/9+(Model_Data!A29)/18)*EXP(-(((Inputs!$C$6)+5)^2)/(22^2))+18*SIN(2*PI()*(Model_Data!A29)/70))+Inputs!$C$28*EXP(-(((Model_Data!A29)-Inputs!$C$29)^2)/(2*Inputs!$C$31^2))*EXP(-(((Inputs!$C$6)-Inputs!$C$30)^2)/(2*Inputs!$C$32^2))+-Inputs!$C$33*EXP(-(((((Model_Data!A29)-Inputs!$C$34)^2)+(((Inputs!$C$6)-Inputs!$C$35)^2))/(2*Inputs!$C$36^2)))+Inputs!$C$37*(0.55*SIN(2*PI()*(Model_Data!A29)/Inputs!$C$39)+0.35*COS(2*PI()*(Inputs!$C$6)/Inputs!$C$40)+0.2*SIN(2*PI()*((Model_Data!A29)+(Inputs!$C$6))/(0.5*(Inputs!$C$39+Inputs!$C$40))))+Inputs!$C$38*SIN(2*PI()*(Model_Data!A29)/Inputs!$C$39)*SIN(2*PI()*(Inputs!$C$6)/Inputs!$C$40)+-Inputs!$C$41*EXP(-(((Inputs!$C$6)-Inputs!$C$43)^2)/(2*Inputs!$C$44^2))*EXP(-(((Model_Data!A29)-Inputs!$C$42)^2)/(2*Inputs!$C$45^2))+Inputs!$C$48*(0.7*(0.45*SIN(2*PI()*(((Model_Data!A29)/Inputs!$C$49)+Inputs!$C$47*0.137))+0.35*COS(2*PI()*(((Inputs!$C$6)/Inputs!$C$50)+Inputs!$C$47*0.173))+0.2*SIN(2*PI()*(((Model_Data!A29)+(Inputs!$C$6))/(0.5*(Inputs!$C$49+Inputs!$C$50))+Inputs!$C$47*0.097)))+0.3*(2*((SIN(((Model_Data!A29)*12.9898+(Inputs!$C$6)*78.233+Inputs!$C$47*37.719))*43758.5453)-INT((SIN(((Model_Data!A29)*12.9898+(Inputs!$C$6)*78.233+Inputs!$C$47*37.719))*43758.5453)))-1)))</f>
        <v>253.748238320312</v>
      </c>
      <c r="G29" s="9">
        <f>(Inputs!$C$51*(115*EXP(-(((0)-25)^2)/(4.5^2))+70*EXP(-(((0)+38)^2)/(7^2))*(0.55+0.45*SIN(2*PI()*(Model_Data!A29)/45))+24*SIN(2*PI()*(0)/9+(Model_Data!A29)/18)*EXP(-(((0)+5)^2)/(22^2))+18*SIN(2*PI()*(Model_Data!A29)/70))+Inputs!$C$28*EXP(-(((Model_Data!A29)-Inputs!$C$29)^2)/(2*Inputs!$C$31^2))*EXP(-(((0)-Inputs!$C$30)^2)/(2*Inputs!$C$32^2))+-Inputs!$C$33*EXP(-(((((Model_Data!A29)-Inputs!$C$34)^2)+(((0)-Inputs!$C$35)^2))/(2*Inputs!$C$36^2)))+Inputs!$C$37*(0.55*SIN(2*PI()*(Model_Data!A29)/Inputs!$C$39)+0.35*COS(2*PI()*(0)/Inputs!$C$40)+0.2*SIN(2*PI()*((Model_Data!A29)+(0))/(0.5*(Inputs!$C$39+Inputs!$C$40))))+Inputs!$C$38*SIN(2*PI()*(Model_Data!A29)/Inputs!$C$39)*SIN(2*PI()*(0)/Inputs!$C$40)+-Inputs!$C$41*EXP(-(((0)-Inputs!$C$43)^2)/(2*Inputs!$C$44^2))*EXP(-(((Model_Data!A29)-Inputs!$C$42)^2)/(2*Inputs!$C$45^2))+Inputs!$C$48*(0.7*(0.45*SIN(2*PI()*(((Model_Data!A29)/Inputs!$C$49)+Inputs!$C$47*0.137))+0.35*COS(2*PI()*(((0)/Inputs!$C$50)+Inputs!$C$47*0.173))+0.2*SIN(2*PI()*(((Model_Data!A29)+(0))/(0.5*(Inputs!$C$49+Inputs!$C$50))+Inputs!$C$47*0.097)))+0.3*(2*((SIN(((Model_Data!A29)*12.9898+(0)*78.233+Inputs!$C$47*37.719))*43758.5453)-INT((SIN(((Model_Data!A29)*12.9898+(0)*78.233+Inputs!$C$47*37.719))*43758.5453)))-1)))</f>
        <v>57.529820703344001</v>
      </c>
      <c r="H29" s="10"/>
      <c r="I29" s="9">
        <f>Model_Data!A29</f>
        <v>-46.5</v>
      </c>
      <c r="J29" s="9">
        <f>(Inputs!$C$51*(115*EXP(-(((Inputs!$C$6)-25)^2)/(4.5^2))+70*EXP(-(((Inputs!$C$6)+38)^2)/(7^2))*(0.55+0.45*SIN(2*PI()*(Model_Data!A29)/45))+24*SIN(2*PI()*(Inputs!$C$6)/9+(Model_Data!A29)/18)*EXP(-(((Inputs!$C$6)+5)^2)/(22^2))+18*SIN(2*PI()*(Model_Data!A29)/70))+Inputs!$C$28*EXP(-(((Model_Data!A29)-Inputs!$C$29)^2)/(2*Inputs!$C$31^2))*EXP(-(((Inputs!$C$6)-Inputs!$C$30)^2)/(2*Inputs!$C$32^2))+-Inputs!$C$33*EXP(-(((((Model_Data!A29)-Inputs!$C$34)^2)+(((Inputs!$C$6)-Inputs!$C$35)^2))/(2*Inputs!$C$36^2)))+Inputs!$C$37*(0.55*SIN(2*PI()*(Model_Data!A29)/Inputs!$C$39)+0.35*COS(2*PI()*(Inputs!$C$6)/Inputs!$C$40)+0.2*SIN(2*PI()*((Model_Data!A29)+(Inputs!$C$6))/(0.5*(Inputs!$C$39+Inputs!$C$40))))+Inputs!$C$38*SIN(2*PI()*(Model_Data!A29)/Inputs!$C$39)*SIN(2*PI()*(Inputs!$C$6)/Inputs!$C$40)+-Inputs!$C$41*EXP(-(((Inputs!$C$6)-Inputs!$C$43)^2)/(2*Inputs!$C$44^2))*EXP(-(((Model_Data!A29)-Inputs!$C$42)^2)/(2*Inputs!$C$45^2))+Inputs!$C$48*(0.7*(0.45*SIN(2*PI()*(((Model_Data!A29)/Inputs!$C$49)+Inputs!$C$47*0.137))+0.35*COS(2*PI()*(((Inputs!$C$6)/Inputs!$C$50)+Inputs!$C$47*0.173))+0.2*SIN(2*PI()*(((Model_Data!A29)+(Inputs!$C$6))/(0.5*(Inputs!$C$49+Inputs!$C$50))+Inputs!$C$47*0.097)))+0.3*(2*((SIN(((Model_Data!A29)*12.9898+(Inputs!$C$6)*78.233+Inputs!$C$47*37.719))*43758.5453)-INT((SIN(((Model_Data!A29)*12.9898+(Inputs!$C$6)*78.233+Inputs!$C$47*37.719))*43758.5453)))-1)))</f>
        <v>253.748238320312</v>
      </c>
      <c r="K29" s="9">
        <f>-((((SQRT((Model_Data!A29)^2+Inputs!$C$6^2+((Model_Data!B29)-((Inputs!$C$51*(115*EXP(-(((Inputs!$C$6)-25)^2)/(4.5^2))+70*EXP(-(((Inputs!$C$6)+38)^2)/(7^2))*(0.55+0.45*SIN(2*PI()*(Model_Data!A29)/45))+24*SIN(2*PI()*(Inputs!$C$6)/9+(Model_Data!A29)/18)*EXP(-(((Inputs!$C$6)+5)^2)/(22^2))+18*SIN(2*PI()*(Model_Data!A29)/70))+Inputs!$C$28*EXP(-(((Model_Data!A29)-Inputs!$C$29)^2)/(2*Inputs!$C$31^2))*EXP(-(((Inputs!$C$6)-Inputs!$C$30)^2)/(2*Inputs!$C$32^2))+-Inputs!$C$33*EXP(-(((((Model_Data!A29)-Inputs!$C$34)^2)+(((Inputs!$C$6)-Inputs!$C$35)^2))/(2*Inputs!$C$36^2)))+Inputs!$C$37*(0.55*SIN(2*PI()*(Model_Data!A29)/Inputs!$C$39)+0.35*COS(2*PI()*(Inputs!$C$6)/Inputs!$C$40)+0.2*SIN(2*PI()*((Model_Data!A29)+(Inputs!$C$6))/(0.5*(Inputs!$C$39+Inputs!$C$40))))+Inputs!$C$38*SIN(2*PI()*(Model_Data!A29)/Inputs!$C$39)*SIN(2*PI()*(Inputs!$C$6)/Inputs!$C$40)+-Inputs!$C$41*EXP(-(((Inputs!$C$6)-Inputs!$C$43)^2)/(2*Inputs!$C$44^2))*EXP(-(((Model_Data!A29)-Inputs!$C$42)^2)/(2*Inputs!$C$45^2))+Inputs!$C$48*(0.7*(0.45*SIN(2*PI()*(((Model_Data!A29)/Inputs!$C$49)+Inputs!$C$47*0.137))+0.35*COS(2*PI()*(((Inputs!$C$6)/Inputs!$C$50)+Inputs!$C$47*0.173))+0.2*SIN(2*PI()*(((Model_Data!A29)+(Inputs!$C$6))/(0.5*(Inputs!$C$49+Inputs!$C$50))+Inputs!$C$47*0.097)))+0.3*(2*((SIN(((Model_Data!A29)*12.9898+(Inputs!$C$6)*78.233+Inputs!$C$47*37.719))*43758.5453)-INT((SIN(((Model_Data!A29)*12.9898+(Inputs!$C$6)*78.233+Inputs!$C$47*37.719))*43758.5453)))-1))))/1000)^2))-(((Model_Data!B29)-((Inputs!$C$51*(115*EXP(-(((0)-25)^2)/(4.5^2))+70*EXP(-(((0)+38)^2)/(7^2))*(0.55+0.45*SIN(2*PI()*(Model_Data!A29)/45))+24*SIN(2*PI()*(0)/9+(Model_Data!A29)/18)*EXP(-(((0)+5)^2)/(22^2))+18*SIN(2*PI()*(Model_Data!A29)/70))+Inputs!$C$28*EXP(-(((Model_Data!A29)-Inputs!$C$29)^2)/(2*Inputs!$C$31^2))*EXP(-(((0)-Inputs!$C$30)^2)/(2*Inputs!$C$32^2))+-Inputs!$C$33*EXP(-(((((Model_Data!A29)-Inputs!$C$34)^2)+(((0)-Inputs!$C$35)^2))/(2*Inputs!$C$36^2)))+Inputs!$C$37*(0.55*SIN(2*PI()*(Model_Data!A29)/Inputs!$C$39)+0.35*COS(2*PI()*(0)/Inputs!$C$40)+0.2*SIN(2*PI()*((Model_Data!A29)+(0))/(0.5*(Inputs!$C$39+Inputs!$C$40))))+Inputs!$C$38*SIN(2*PI()*(Model_Data!A29)/Inputs!$C$39)*SIN(2*PI()*(0)/Inputs!$C$40)+-Inputs!$C$41*EXP(-(((0)-Inputs!$C$43)^2)/(2*Inputs!$C$44^2))*EXP(-(((Model_Data!A29)-Inputs!$C$42)^2)/(2*Inputs!$C$45^2))+Inputs!$C$48*(0.7*(0.45*SIN(2*PI()*(((Model_Data!A29)/Inputs!$C$49)+Inputs!$C$47*0.137))+0.35*COS(2*PI()*(((0)/Inputs!$C$50)+Inputs!$C$47*0.173))+0.2*SIN(2*PI()*(((Model_Data!A29)+(0))/(0.5*(Inputs!$C$49+Inputs!$C$50))+Inputs!$C$47*0.097)))+0.3*(2*((SIN(((Model_Data!A29)*12.9898+(0)*78.233+Inputs!$C$47*37.719))*43758.5453)-INT((SIN(((Model_Data!A29)*12.9898+(0)*78.233+Inputs!$C$47*37.719))*43758.5453)))-1))))/1000)))*1000/Inputs!$C$12)-Model_Data!F29)</f>
        <v>109.02303088717304</v>
      </c>
      <c r="L29" s="10"/>
      <c r="M29" s="9">
        <f>Model_Data!A29</f>
        <v>-46.5</v>
      </c>
      <c r="N29" s="9">
        <f>Model_Data!P29</f>
        <v>347.24702386736629</v>
      </c>
      <c r="O29" s="9">
        <f t="shared" si="0"/>
        <v>321.16359744250076</v>
      </c>
      <c r="P29" s="9">
        <f>Model_Data!Q29</f>
        <v>52.139192772877827</v>
      </c>
      <c r="Q29" s="9">
        <f t="shared" si="1"/>
        <v>48.22276237875387</v>
      </c>
      <c r="R29" s="10"/>
      <c r="S29" s="9">
        <f>Model_Data!A29</f>
        <v>-46.5</v>
      </c>
      <c r="T29" s="9">
        <f>Model_Data!B29-Inputs!$C$5</f>
        <v>2.402499999999975</v>
      </c>
      <c r="U29" s="10"/>
      <c r="V29" s="9">
        <f>Model_Data!A29</f>
        <v>-46.5</v>
      </c>
      <c r="W29" s="9">
        <f>((SQRT((Model_Data!A29)^2+Inputs!$C$6^2+Inputs!$C$5^2)-Inputs!$C$5)*1000/Inputs!$C$12)</f>
        <v>1948.887570995307</v>
      </c>
      <c r="X29" s="9">
        <f>Model_Data!F29</f>
        <v>1937.3511102927434</v>
      </c>
      <c r="Y29" s="10"/>
      <c r="Z29" s="9">
        <f>Model_Data!A29</f>
        <v>-46.5</v>
      </c>
      <c r="AA29" s="9">
        <f>SQRT((Model_Data!A29)^2+Inputs!$C$6^2+((Model_Data!B29)-((Inputs!$C$51*(115*EXP(-(((Inputs!$C$6)-25)^2)/(4.5^2))+70*EXP(-(((Inputs!$C$6)+38)^2)/(7^2))*(0.55+0.45*SIN(2*PI()*(Model_Data!A29)/45))+24*SIN(2*PI()*(Inputs!$C$6)/9+(Model_Data!A29)/18)*EXP(-(((Inputs!$C$6)+5)^2)/(22^2))+18*SIN(2*PI()*(Model_Data!A29)/70))+Inputs!$C$28*EXP(-(((Model_Data!A29)-Inputs!$C$29)^2)/(2*Inputs!$C$31^2))*EXP(-(((Inputs!$C$6)-Inputs!$C$30)^2)/(2*Inputs!$C$32^2))+-Inputs!$C$33*EXP(-(((((Model_Data!A29)-Inputs!$C$34)^2)+(((Inputs!$C$6)-Inputs!$C$35)^2))/(2*Inputs!$C$36^2)))+Inputs!$C$37*(0.55*SIN(2*PI()*(Model_Data!A29)/Inputs!$C$39)+0.35*COS(2*PI()*(Inputs!$C$6)/Inputs!$C$40)+0.2*SIN(2*PI()*((Model_Data!A29)+(Inputs!$C$6))/(0.5*(Inputs!$C$39+Inputs!$C$40))))+Inputs!$C$38*SIN(2*PI()*(Model_Data!A29)/Inputs!$C$39)*SIN(2*PI()*(Inputs!$C$6)/Inputs!$C$40)+-Inputs!$C$41*EXP(-(((Inputs!$C$6)-Inputs!$C$43)^2)/(2*Inputs!$C$44^2))*EXP(-(((Model_Data!A29)-Inputs!$C$42)^2)/(2*Inputs!$C$45^2))+Inputs!$C$48*(0.7*(0.45*SIN(2*PI()*(((Model_Data!A29)/Inputs!$C$49)+Inputs!$C$47*0.137))+0.35*COS(2*PI()*(((Inputs!$C$6)/Inputs!$C$50)+Inputs!$C$47*0.173))+0.2*SIN(2*PI()*(((Model_Data!A29)+(Inputs!$C$6))/(0.5*(Inputs!$C$49+Inputs!$C$50))+Inputs!$C$47*0.097)))+0.3*(2*((SIN(((Model_Data!A29)*12.9898+(Inputs!$C$6)*78.233+Inputs!$C$47*37.719))*43758.5453)-INT((SIN(((Model_Data!A29)*12.9898+(Inputs!$C$6)*78.233+Inputs!$C$47*37.719))*43758.5453)))-1))))/1000)^2)</f>
        <v>405.59939416063855</v>
      </c>
      <c r="AB29" s="9">
        <f>1000*(AA30-AA28)/(Z30-Z28)*Inputs!$C$11</f>
        <v>-802.9089936062519</v>
      </c>
      <c r="AC29" s="9">
        <f>-2*AB29/Inputs!$C$13</f>
        <v>321.16359744250076</v>
      </c>
      <c r="AD29" s="9">
        <f>-2*AB29/Inputs!$C$14</f>
        <v>48.22276237875387</v>
      </c>
    </row>
    <row r="30" spans="1:30">
      <c r="A30" s="9">
        <f>Model_Data!A30</f>
        <v>-46</v>
      </c>
      <c r="B30" s="9">
        <f>((SQRT((Model_Data!A30)^2+Inputs!$C$6^2+Inputs!$C$5^2)-Inputs!$C$5)*1000/Inputs!$C$12)</f>
        <v>1916.6856043164103</v>
      </c>
      <c r="C30" s="9">
        <f>Model_Data!F30</f>
        <v>1905.5794840138458</v>
      </c>
      <c r="D30" s="9">
        <f>(((SQRT((Model_Data!A30)^2+Inputs!$C$6^2+((Model_Data!B30)-((Inputs!$C$51*(115*EXP(-(((Inputs!$C$6)-25)^2)/(4.5^2))+70*EXP(-(((Inputs!$C$6)+38)^2)/(7^2))*(0.55+0.45*SIN(2*PI()*(Model_Data!A30)/45))+24*SIN(2*PI()*(Inputs!$C$6)/9+(Model_Data!A30)/18)*EXP(-(((Inputs!$C$6)+5)^2)/(22^2))+18*SIN(2*PI()*(Model_Data!A30)/70))+Inputs!$C$28*EXP(-(((Model_Data!A30)-Inputs!$C$29)^2)/(2*Inputs!$C$31^2))*EXP(-(((Inputs!$C$6)-Inputs!$C$30)^2)/(2*Inputs!$C$32^2))+-Inputs!$C$33*EXP(-(((((Model_Data!A30)-Inputs!$C$34)^2)+(((Inputs!$C$6)-Inputs!$C$35)^2))/(2*Inputs!$C$36^2)))+Inputs!$C$37*(0.55*SIN(2*PI()*(Model_Data!A30)/Inputs!$C$39)+0.35*COS(2*PI()*(Inputs!$C$6)/Inputs!$C$40)+0.2*SIN(2*PI()*((Model_Data!A30)+(Inputs!$C$6))/(0.5*(Inputs!$C$39+Inputs!$C$40))))+Inputs!$C$38*SIN(2*PI()*(Model_Data!A30)/Inputs!$C$39)*SIN(2*PI()*(Inputs!$C$6)/Inputs!$C$40)+-Inputs!$C$41*EXP(-(((Inputs!$C$6)-Inputs!$C$43)^2)/(2*Inputs!$C$44^2))*EXP(-(((Model_Data!A30)-Inputs!$C$42)^2)/(2*Inputs!$C$45^2))+Inputs!$C$48*(0.7*(0.45*SIN(2*PI()*(((Model_Data!A30)/Inputs!$C$49)+Inputs!$C$47*0.137))+0.35*COS(2*PI()*(((Inputs!$C$6)/Inputs!$C$50)+Inputs!$C$47*0.173))+0.2*SIN(2*PI()*(((Model_Data!A30)+(Inputs!$C$6))/(0.5*(Inputs!$C$49+Inputs!$C$50))+Inputs!$C$47*0.097)))+0.3*(2*((SIN(((Model_Data!A30)*12.9898+(Inputs!$C$6)*78.233+Inputs!$C$47*37.719))*43758.5453)-INT((SIN(((Model_Data!A30)*12.9898+(Inputs!$C$6)*78.233+Inputs!$C$47*37.719))*43758.5453)))-1))))/1000)^2))-(((Model_Data!B30)-((Inputs!$C$51*(115*EXP(-(((0)-25)^2)/(4.5^2))+70*EXP(-(((0)+38)^2)/(7^2))*(0.55+0.45*SIN(2*PI()*(Model_Data!A30)/45))+24*SIN(2*PI()*(0)/9+(Model_Data!A30)/18)*EXP(-(((0)+5)^2)/(22^2))+18*SIN(2*PI()*(Model_Data!A30)/70))+Inputs!$C$28*EXP(-(((Model_Data!A30)-Inputs!$C$29)^2)/(2*Inputs!$C$31^2))*EXP(-(((0)-Inputs!$C$30)^2)/(2*Inputs!$C$32^2))+-Inputs!$C$33*EXP(-(((((Model_Data!A30)-Inputs!$C$34)^2)+(((0)-Inputs!$C$35)^2))/(2*Inputs!$C$36^2)))+Inputs!$C$37*(0.55*SIN(2*PI()*(Model_Data!A30)/Inputs!$C$39)+0.35*COS(2*PI()*(0)/Inputs!$C$40)+0.2*SIN(2*PI()*((Model_Data!A30)+(0))/(0.5*(Inputs!$C$39+Inputs!$C$40))))+Inputs!$C$38*SIN(2*PI()*(Model_Data!A30)/Inputs!$C$39)*SIN(2*PI()*(0)/Inputs!$C$40)+-Inputs!$C$41*EXP(-(((0)-Inputs!$C$43)^2)/(2*Inputs!$C$44^2))*EXP(-(((Model_Data!A30)-Inputs!$C$42)^2)/(2*Inputs!$C$45^2))+Inputs!$C$48*(0.7*(0.45*SIN(2*PI()*(((Model_Data!A30)/Inputs!$C$49)+Inputs!$C$47*0.137))+0.35*COS(2*PI()*(((0)/Inputs!$C$50)+Inputs!$C$47*0.173))+0.2*SIN(2*PI()*(((Model_Data!A30)+(0))/(0.5*(Inputs!$C$49+Inputs!$C$50))+Inputs!$C$47*0.097)))+0.3*(2*((SIN(((Model_Data!A30)*12.9898+(0)*78.233+Inputs!$C$47*37.719))*43758.5453)-INT((SIN(((Model_Data!A30)*12.9898+(0)*78.233+Inputs!$C$47*37.719))*43758.5453)))-1))))/1000)))*1000/Inputs!$C$12)</f>
        <v>1801.1529327998296</v>
      </c>
      <c r="E30" s="9">
        <f>Model_Data!A30</f>
        <v>-46</v>
      </c>
      <c r="F30" s="9">
        <f>(Inputs!$C$51*(115*EXP(-(((Inputs!$C$6)-25)^2)/(4.5^2))+70*EXP(-(((Inputs!$C$6)+38)^2)/(7^2))*(0.55+0.45*SIN(2*PI()*(Model_Data!A30)/45))+24*SIN(2*PI()*(Inputs!$C$6)/9+(Model_Data!A30)/18)*EXP(-(((Inputs!$C$6)+5)^2)/(22^2))+18*SIN(2*PI()*(Model_Data!A30)/70))+Inputs!$C$28*EXP(-(((Model_Data!A30)-Inputs!$C$29)^2)/(2*Inputs!$C$31^2))*EXP(-(((Inputs!$C$6)-Inputs!$C$30)^2)/(2*Inputs!$C$32^2))+-Inputs!$C$33*EXP(-(((((Model_Data!A30)-Inputs!$C$34)^2)+(((Inputs!$C$6)-Inputs!$C$35)^2))/(2*Inputs!$C$36^2)))+Inputs!$C$37*(0.55*SIN(2*PI()*(Model_Data!A30)/Inputs!$C$39)+0.35*COS(2*PI()*(Inputs!$C$6)/Inputs!$C$40)+0.2*SIN(2*PI()*((Model_Data!A30)+(Inputs!$C$6))/(0.5*(Inputs!$C$39+Inputs!$C$40))))+Inputs!$C$38*SIN(2*PI()*(Model_Data!A30)/Inputs!$C$39)*SIN(2*PI()*(Inputs!$C$6)/Inputs!$C$40)+-Inputs!$C$41*EXP(-(((Inputs!$C$6)-Inputs!$C$43)^2)/(2*Inputs!$C$44^2))*EXP(-(((Model_Data!A30)-Inputs!$C$42)^2)/(2*Inputs!$C$45^2))+Inputs!$C$48*(0.7*(0.45*SIN(2*PI()*(((Model_Data!A30)/Inputs!$C$49)+Inputs!$C$47*0.137))+0.35*COS(2*PI()*(((Inputs!$C$6)/Inputs!$C$50)+Inputs!$C$47*0.173))+0.2*SIN(2*PI()*(((Model_Data!A30)+(Inputs!$C$6))/(0.5*(Inputs!$C$49+Inputs!$C$50))+Inputs!$C$47*0.097)))+0.3*(2*((SIN(((Model_Data!A30)*12.9898+(Inputs!$C$6)*78.233+Inputs!$C$47*37.719))*43758.5453)-INT((SIN(((Model_Data!A30)*12.9898+(Inputs!$C$6)*78.233+Inputs!$C$47*37.719))*43758.5453)))-1)))</f>
        <v>237.40469511010875</v>
      </c>
      <c r="G30" s="9">
        <f>(Inputs!$C$51*(115*EXP(-(((0)-25)^2)/(4.5^2))+70*EXP(-(((0)+38)^2)/(7^2))*(0.55+0.45*SIN(2*PI()*(Model_Data!A30)/45))+24*SIN(2*PI()*(0)/9+(Model_Data!A30)/18)*EXP(-(((0)+5)^2)/(22^2))+18*SIN(2*PI()*(Model_Data!A30)/70))+Inputs!$C$28*EXP(-(((Model_Data!A30)-Inputs!$C$29)^2)/(2*Inputs!$C$31^2))*EXP(-(((0)-Inputs!$C$30)^2)/(2*Inputs!$C$32^2))+-Inputs!$C$33*EXP(-(((((Model_Data!A30)-Inputs!$C$34)^2)+(((0)-Inputs!$C$35)^2))/(2*Inputs!$C$36^2)))+Inputs!$C$37*(0.55*SIN(2*PI()*(Model_Data!A30)/Inputs!$C$39)+0.35*COS(2*PI()*(0)/Inputs!$C$40)+0.2*SIN(2*PI()*((Model_Data!A30)+(0))/(0.5*(Inputs!$C$39+Inputs!$C$40))))+Inputs!$C$38*SIN(2*PI()*(Model_Data!A30)/Inputs!$C$39)*SIN(2*PI()*(0)/Inputs!$C$40)+-Inputs!$C$41*EXP(-(((0)-Inputs!$C$43)^2)/(2*Inputs!$C$44^2))*EXP(-(((Model_Data!A30)-Inputs!$C$42)^2)/(2*Inputs!$C$45^2))+Inputs!$C$48*(0.7*(0.45*SIN(2*PI()*(((Model_Data!A30)/Inputs!$C$49)+Inputs!$C$47*0.137))+0.35*COS(2*PI()*(((0)/Inputs!$C$50)+Inputs!$C$47*0.173))+0.2*SIN(2*PI()*(((Model_Data!A30)+(0))/(0.5*(Inputs!$C$49+Inputs!$C$50))+Inputs!$C$47*0.097)))+0.3*(2*((SIN(((Model_Data!A30)*12.9898+(0)*78.233+Inputs!$C$47*37.719))*43758.5453)-INT((SIN(((Model_Data!A30)*12.9898+(0)*78.233+Inputs!$C$47*37.719))*43758.5453)))-1)))</f>
        <v>49.539620652832568</v>
      </c>
      <c r="H30" s="10"/>
      <c r="I30" s="9">
        <f>Model_Data!A30</f>
        <v>-46</v>
      </c>
      <c r="J30" s="9">
        <f>(Inputs!$C$51*(115*EXP(-(((Inputs!$C$6)-25)^2)/(4.5^2))+70*EXP(-(((Inputs!$C$6)+38)^2)/(7^2))*(0.55+0.45*SIN(2*PI()*(Model_Data!A30)/45))+24*SIN(2*PI()*(Inputs!$C$6)/9+(Model_Data!A30)/18)*EXP(-(((Inputs!$C$6)+5)^2)/(22^2))+18*SIN(2*PI()*(Model_Data!A30)/70))+Inputs!$C$28*EXP(-(((Model_Data!A30)-Inputs!$C$29)^2)/(2*Inputs!$C$31^2))*EXP(-(((Inputs!$C$6)-Inputs!$C$30)^2)/(2*Inputs!$C$32^2))+-Inputs!$C$33*EXP(-(((((Model_Data!A30)-Inputs!$C$34)^2)+(((Inputs!$C$6)-Inputs!$C$35)^2))/(2*Inputs!$C$36^2)))+Inputs!$C$37*(0.55*SIN(2*PI()*(Model_Data!A30)/Inputs!$C$39)+0.35*COS(2*PI()*(Inputs!$C$6)/Inputs!$C$40)+0.2*SIN(2*PI()*((Model_Data!A30)+(Inputs!$C$6))/(0.5*(Inputs!$C$39+Inputs!$C$40))))+Inputs!$C$38*SIN(2*PI()*(Model_Data!A30)/Inputs!$C$39)*SIN(2*PI()*(Inputs!$C$6)/Inputs!$C$40)+-Inputs!$C$41*EXP(-(((Inputs!$C$6)-Inputs!$C$43)^2)/(2*Inputs!$C$44^2))*EXP(-(((Model_Data!A30)-Inputs!$C$42)^2)/(2*Inputs!$C$45^2))+Inputs!$C$48*(0.7*(0.45*SIN(2*PI()*(((Model_Data!A30)/Inputs!$C$49)+Inputs!$C$47*0.137))+0.35*COS(2*PI()*(((Inputs!$C$6)/Inputs!$C$50)+Inputs!$C$47*0.173))+0.2*SIN(2*PI()*(((Model_Data!A30)+(Inputs!$C$6))/(0.5*(Inputs!$C$49+Inputs!$C$50))+Inputs!$C$47*0.097)))+0.3*(2*((SIN(((Model_Data!A30)*12.9898+(Inputs!$C$6)*78.233+Inputs!$C$47*37.719))*43758.5453)-INT((SIN(((Model_Data!A30)*12.9898+(Inputs!$C$6)*78.233+Inputs!$C$47*37.719))*43758.5453)))-1)))</f>
        <v>237.40469511010875</v>
      </c>
      <c r="K30" s="9">
        <f>-((((SQRT((Model_Data!A30)^2+Inputs!$C$6^2+((Model_Data!B30)-((Inputs!$C$51*(115*EXP(-(((Inputs!$C$6)-25)^2)/(4.5^2))+70*EXP(-(((Inputs!$C$6)+38)^2)/(7^2))*(0.55+0.45*SIN(2*PI()*(Model_Data!A30)/45))+24*SIN(2*PI()*(Inputs!$C$6)/9+(Model_Data!A30)/18)*EXP(-(((Inputs!$C$6)+5)^2)/(22^2))+18*SIN(2*PI()*(Model_Data!A30)/70))+Inputs!$C$28*EXP(-(((Model_Data!A30)-Inputs!$C$29)^2)/(2*Inputs!$C$31^2))*EXP(-(((Inputs!$C$6)-Inputs!$C$30)^2)/(2*Inputs!$C$32^2))+-Inputs!$C$33*EXP(-(((((Model_Data!A30)-Inputs!$C$34)^2)+(((Inputs!$C$6)-Inputs!$C$35)^2))/(2*Inputs!$C$36^2)))+Inputs!$C$37*(0.55*SIN(2*PI()*(Model_Data!A30)/Inputs!$C$39)+0.35*COS(2*PI()*(Inputs!$C$6)/Inputs!$C$40)+0.2*SIN(2*PI()*((Model_Data!A30)+(Inputs!$C$6))/(0.5*(Inputs!$C$39+Inputs!$C$40))))+Inputs!$C$38*SIN(2*PI()*(Model_Data!A30)/Inputs!$C$39)*SIN(2*PI()*(Inputs!$C$6)/Inputs!$C$40)+-Inputs!$C$41*EXP(-(((Inputs!$C$6)-Inputs!$C$43)^2)/(2*Inputs!$C$44^2))*EXP(-(((Model_Data!A30)-Inputs!$C$42)^2)/(2*Inputs!$C$45^2))+Inputs!$C$48*(0.7*(0.45*SIN(2*PI()*(((Model_Data!A30)/Inputs!$C$49)+Inputs!$C$47*0.137))+0.35*COS(2*PI()*(((Inputs!$C$6)/Inputs!$C$50)+Inputs!$C$47*0.173))+0.2*SIN(2*PI()*(((Model_Data!A30)+(Inputs!$C$6))/(0.5*(Inputs!$C$49+Inputs!$C$50))+Inputs!$C$47*0.097)))+0.3*(2*((SIN(((Model_Data!A30)*12.9898+(Inputs!$C$6)*78.233+Inputs!$C$47*37.719))*43758.5453)-INT((SIN(((Model_Data!A30)*12.9898+(Inputs!$C$6)*78.233+Inputs!$C$47*37.719))*43758.5453)))-1))))/1000)^2))-(((Model_Data!B30)-((Inputs!$C$51*(115*EXP(-(((0)-25)^2)/(4.5^2))+70*EXP(-(((0)+38)^2)/(7^2))*(0.55+0.45*SIN(2*PI()*(Model_Data!A30)/45))+24*SIN(2*PI()*(0)/9+(Model_Data!A30)/18)*EXP(-(((0)+5)^2)/(22^2))+18*SIN(2*PI()*(Model_Data!A30)/70))+Inputs!$C$28*EXP(-(((Model_Data!A30)-Inputs!$C$29)^2)/(2*Inputs!$C$31^2))*EXP(-(((0)-Inputs!$C$30)^2)/(2*Inputs!$C$32^2))+-Inputs!$C$33*EXP(-(((((Model_Data!A30)-Inputs!$C$34)^2)+(((0)-Inputs!$C$35)^2))/(2*Inputs!$C$36^2)))+Inputs!$C$37*(0.55*SIN(2*PI()*(Model_Data!A30)/Inputs!$C$39)+0.35*COS(2*PI()*(0)/Inputs!$C$40)+0.2*SIN(2*PI()*((Model_Data!A30)+(0))/(0.5*(Inputs!$C$39+Inputs!$C$40))))+Inputs!$C$38*SIN(2*PI()*(Model_Data!A30)/Inputs!$C$39)*SIN(2*PI()*(0)/Inputs!$C$40)+-Inputs!$C$41*EXP(-(((0)-Inputs!$C$43)^2)/(2*Inputs!$C$44^2))*EXP(-(((Model_Data!A30)-Inputs!$C$42)^2)/(2*Inputs!$C$45^2))+Inputs!$C$48*(0.7*(0.45*SIN(2*PI()*(((Model_Data!A30)/Inputs!$C$49)+Inputs!$C$47*0.137))+0.35*COS(2*PI()*(((0)/Inputs!$C$50)+Inputs!$C$47*0.173))+0.2*SIN(2*PI()*(((Model_Data!A30)+(0))/(0.5*(Inputs!$C$49+Inputs!$C$50))+Inputs!$C$47*0.097)))+0.3*(2*((SIN(((Model_Data!A30)*12.9898+(0)*78.233+Inputs!$C$47*37.719))*43758.5453)-INT((SIN(((Model_Data!A30)*12.9898+(0)*78.233+Inputs!$C$47*37.719))*43758.5453)))-1))))/1000)))*1000/Inputs!$C$12)-Model_Data!F30)</f>
        <v>104.42655121401617</v>
      </c>
      <c r="L30" s="10"/>
      <c r="M30" s="9">
        <f>Model_Data!A30</f>
        <v>-46</v>
      </c>
      <c r="N30" s="9">
        <f>Model_Data!P30</f>
        <v>343.58385695384493</v>
      </c>
      <c r="O30" s="9">
        <f t="shared" si="0"/>
        <v>306.06610506720244</v>
      </c>
      <c r="P30" s="9">
        <f>Model_Data!Q30</f>
        <v>51.589167710787528</v>
      </c>
      <c r="Q30" s="9">
        <f t="shared" si="1"/>
        <v>45.955871631712085</v>
      </c>
      <c r="R30" s="10"/>
      <c r="S30" s="9">
        <f>Model_Data!A30</f>
        <v>-46</v>
      </c>
      <c r="T30" s="9">
        <f>Model_Data!B30-Inputs!$C$5</f>
        <v>2.3511111111110949</v>
      </c>
      <c r="U30" s="10"/>
      <c r="V30" s="9">
        <f>Model_Data!A30</f>
        <v>-46</v>
      </c>
      <c r="W30" s="9">
        <f>((SQRT((Model_Data!A30)^2+Inputs!$C$6^2+Inputs!$C$5^2)-Inputs!$C$5)*1000/Inputs!$C$12)</f>
        <v>1916.6856043164103</v>
      </c>
      <c r="X30" s="9">
        <f>Model_Data!F30</f>
        <v>1905.5794840138458</v>
      </c>
      <c r="Y30" s="10"/>
      <c r="Z30" s="9">
        <f>Model_Data!A30</f>
        <v>-46</v>
      </c>
      <c r="AA30" s="9">
        <f>SQRT((Model_Data!A30)^2+Inputs!$C$6^2+((Model_Data!B30)-((Inputs!$C$51*(115*EXP(-(((Inputs!$C$6)-25)^2)/(4.5^2))+70*EXP(-(((Inputs!$C$6)+38)^2)/(7^2))*(0.55+0.45*SIN(2*PI()*(Model_Data!A30)/45))+24*SIN(2*PI()*(Inputs!$C$6)/9+(Model_Data!A30)/18)*EXP(-(((Inputs!$C$6)+5)^2)/(22^2))+18*SIN(2*PI()*(Model_Data!A30)/70))+Inputs!$C$28*EXP(-(((Model_Data!A30)-Inputs!$C$29)^2)/(2*Inputs!$C$31^2))*EXP(-(((Inputs!$C$6)-Inputs!$C$30)^2)/(2*Inputs!$C$32^2))+-Inputs!$C$33*EXP(-(((((Model_Data!A30)-Inputs!$C$34)^2)+(((Inputs!$C$6)-Inputs!$C$35)^2))/(2*Inputs!$C$36^2)))+Inputs!$C$37*(0.55*SIN(2*PI()*(Model_Data!A30)/Inputs!$C$39)+0.35*COS(2*PI()*(Inputs!$C$6)/Inputs!$C$40)+0.2*SIN(2*PI()*((Model_Data!A30)+(Inputs!$C$6))/(0.5*(Inputs!$C$39+Inputs!$C$40))))+Inputs!$C$38*SIN(2*PI()*(Model_Data!A30)/Inputs!$C$39)*SIN(2*PI()*(Inputs!$C$6)/Inputs!$C$40)+-Inputs!$C$41*EXP(-(((Inputs!$C$6)-Inputs!$C$43)^2)/(2*Inputs!$C$44^2))*EXP(-(((Model_Data!A30)-Inputs!$C$42)^2)/(2*Inputs!$C$45^2))+Inputs!$C$48*(0.7*(0.45*SIN(2*PI()*(((Model_Data!A30)/Inputs!$C$49)+Inputs!$C$47*0.137))+0.35*COS(2*PI()*(((Inputs!$C$6)/Inputs!$C$50)+Inputs!$C$47*0.173))+0.2*SIN(2*PI()*(((Model_Data!A30)+(Inputs!$C$6))/(0.5*(Inputs!$C$49+Inputs!$C$50))+Inputs!$C$47*0.097)))+0.3*(2*((SIN(((Model_Data!A30)*12.9898+(Inputs!$C$6)*78.233+Inputs!$C$47*37.719))*43758.5453)-INT((SIN(((Model_Data!A30)*12.9898+(Inputs!$C$6)*78.233+Inputs!$C$47*37.719))*43758.5453)))-1))))/1000)^2)</f>
        <v>405.50762371084198</v>
      </c>
      <c r="AB30" s="9">
        <f>1000*(AA31-AA29)/(Z31-Z29)*Inputs!$C$11</f>
        <v>-765.16526266800611</v>
      </c>
      <c r="AC30" s="9">
        <f>-2*AB30/Inputs!$C$13</f>
        <v>306.06610506720244</v>
      </c>
      <c r="AD30" s="9">
        <f>-2*AB30/Inputs!$C$14</f>
        <v>45.955871631712085</v>
      </c>
    </row>
    <row r="31" spans="1:30">
      <c r="A31" s="9">
        <f>Model_Data!A31</f>
        <v>-45.5</v>
      </c>
      <c r="B31" s="9">
        <f>((SQRT((Model_Data!A31)^2+Inputs!$C$6^2+Inputs!$C$5^2)-Inputs!$C$5)*1000/Inputs!$C$12)</f>
        <v>1884.8272648274692</v>
      </c>
      <c r="C31" s="9">
        <f>Model_Data!F31</f>
        <v>1874.1390567325279</v>
      </c>
      <c r="D31" s="9">
        <f>(((SQRT((Model_Data!A31)^2+Inputs!$C$6^2+((Model_Data!B31)-((Inputs!$C$51*(115*EXP(-(((Inputs!$C$6)-25)^2)/(4.5^2))+70*EXP(-(((Inputs!$C$6)+38)^2)/(7^2))*(0.55+0.45*SIN(2*PI()*(Model_Data!A31)/45))+24*SIN(2*PI()*(Inputs!$C$6)/9+(Model_Data!A31)/18)*EXP(-(((Inputs!$C$6)+5)^2)/(22^2))+18*SIN(2*PI()*(Model_Data!A31)/70))+Inputs!$C$28*EXP(-(((Model_Data!A31)-Inputs!$C$29)^2)/(2*Inputs!$C$31^2))*EXP(-(((Inputs!$C$6)-Inputs!$C$30)^2)/(2*Inputs!$C$32^2))+-Inputs!$C$33*EXP(-(((((Model_Data!A31)-Inputs!$C$34)^2)+(((Inputs!$C$6)-Inputs!$C$35)^2))/(2*Inputs!$C$36^2)))+Inputs!$C$37*(0.55*SIN(2*PI()*(Model_Data!A31)/Inputs!$C$39)+0.35*COS(2*PI()*(Inputs!$C$6)/Inputs!$C$40)+0.2*SIN(2*PI()*((Model_Data!A31)+(Inputs!$C$6))/(0.5*(Inputs!$C$39+Inputs!$C$40))))+Inputs!$C$38*SIN(2*PI()*(Model_Data!A31)/Inputs!$C$39)*SIN(2*PI()*(Inputs!$C$6)/Inputs!$C$40)+-Inputs!$C$41*EXP(-(((Inputs!$C$6)-Inputs!$C$43)^2)/(2*Inputs!$C$44^2))*EXP(-(((Model_Data!A31)-Inputs!$C$42)^2)/(2*Inputs!$C$45^2))+Inputs!$C$48*(0.7*(0.45*SIN(2*PI()*(((Model_Data!A31)/Inputs!$C$49)+Inputs!$C$47*0.137))+0.35*COS(2*PI()*(((Inputs!$C$6)/Inputs!$C$50)+Inputs!$C$47*0.173))+0.2*SIN(2*PI()*(((Model_Data!A31)+(Inputs!$C$6))/(0.5*(Inputs!$C$49+Inputs!$C$50))+Inputs!$C$47*0.097)))+0.3*(2*((SIN(((Model_Data!A31)*12.9898+(Inputs!$C$6)*78.233+Inputs!$C$47*37.719))*43758.5453)-INT((SIN(((Model_Data!A31)*12.9898+(Inputs!$C$6)*78.233+Inputs!$C$47*37.719))*43758.5453)))-1))))/1000)^2))-(((Model_Data!B31)-((Inputs!$C$51*(115*EXP(-(((0)-25)^2)/(4.5^2))+70*EXP(-(((0)+38)^2)/(7^2))*(0.55+0.45*SIN(2*PI()*(Model_Data!A31)/45))+24*SIN(2*PI()*(0)/9+(Model_Data!A31)/18)*EXP(-(((0)+5)^2)/(22^2))+18*SIN(2*PI()*(Model_Data!A31)/70))+Inputs!$C$28*EXP(-(((Model_Data!A31)-Inputs!$C$29)^2)/(2*Inputs!$C$31^2))*EXP(-(((0)-Inputs!$C$30)^2)/(2*Inputs!$C$32^2))+-Inputs!$C$33*EXP(-(((((Model_Data!A31)-Inputs!$C$34)^2)+(((0)-Inputs!$C$35)^2))/(2*Inputs!$C$36^2)))+Inputs!$C$37*(0.55*SIN(2*PI()*(Model_Data!A31)/Inputs!$C$39)+0.35*COS(2*PI()*(0)/Inputs!$C$40)+0.2*SIN(2*PI()*((Model_Data!A31)+(0))/(0.5*(Inputs!$C$39+Inputs!$C$40))))+Inputs!$C$38*SIN(2*PI()*(Model_Data!A31)/Inputs!$C$39)*SIN(2*PI()*(0)/Inputs!$C$40)+-Inputs!$C$41*EXP(-(((0)-Inputs!$C$43)^2)/(2*Inputs!$C$44^2))*EXP(-(((Model_Data!A31)-Inputs!$C$42)^2)/(2*Inputs!$C$45^2))+Inputs!$C$48*(0.7*(0.45*SIN(2*PI()*(((Model_Data!A31)/Inputs!$C$49)+Inputs!$C$47*0.137))+0.35*COS(2*PI()*(((0)/Inputs!$C$50)+Inputs!$C$47*0.173))+0.2*SIN(2*PI()*(((Model_Data!A31)+(0))/(0.5*(Inputs!$C$49+Inputs!$C$50))+Inputs!$C$47*0.097)))+0.3*(2*((SIN(((Model_Data!A31)*12.9898+(0)*78.233+Inputs!$C$47*37.719))*43758.5453)-INT((SIN(((Model_Data!A31)*12.9898+(0)*78.233+Inputs!$C$47*37.719))*43758.5453)))-1))))/1000)))*1000/Inputs!$C$12)</f>
        <v>1766.6898796078883</v>
      </c>
      <c r="E31" s="9">
        <f>Model_Data!A31</f>
        <v>-45.5</v>
      </c>
      <c r="F31" s="9">
        <f>(Inputs!$C$51*(115*EXP(-(((Inputs!$C$6)-25)^2)/(4.5^2))+70*EXP(-(((Inputs!$C$6)+38)^2)/(7^2))*(0.55+0.45*SIN(2*PI()*(Model_Data!A31)/45))+24*SIN(2*PI()*(Inputs!$C$6)/9+(Model_Data!A31)/18)*EXP(-(((Inputs!$C$6)+5)^2)/(22^2))+18*SIN(2*PI()*(Model_Data!A31)/70))+Inputs!$C$28*EXP(-(((Model_Data!A31)-Inputs!$C$29)^2)/(2*Inputs!$C$31^2))*EXP(-(((Inputs!$C$6)-Inputs!$C$30)^2)/(2*Inputs!$C$32^2))+-Inputs!$C$33*EXP(-(((((Model_Data!A31)-Inputs!$C$34)^2)+(((Inputs!$C$6)-Inputs!$C$35)^2))/(2*Inputs!$C$36^2)))+Inputs!$C$37*(0.55*SIN(2*PI()*(Model_Data!A31)/Inputs!$C$39)+0.35*COS(2*PI()*(Inputs!$C$6)/Inputs!$C$40)+0.2*SIN(2*PI()*((Model_Data!A31)+(Inputs!$C$6))/(0.5*(Inputs!$C$39+Inputs!$C$40))))+Inputs!$C$38*SIN(2*PI()*(Model_Data!A31)/Inputs!$C$39)*SIN(2*PI()*(Inputs!$C$6)/Inputs!$C$40)+-Inputs!$C$41*EXP(-(((Inputs!$C$6)-Inputs!$C$43)^2)/(2*Inputs!$C$44^2))*EXP(-(((Model_Data!A31)-Inputs!$C$42)^2)/(2*Inputs!$C$45^2))+Inputs!$C$48*(0.7*(0.45*SIN(2*PI()*(((Model_Data!A31)/Inputs!$C$49)+Inputs!$C$47*0.137))+0.35*COS(2*PI()*(((Inputs!$C$6)/Inputs!$C$50)+Inputs!$C$47*0.173))+0.2*SIN(2*PI()*(((Model_Data!A31)+(Inputs!$C$6))/(0.5*(Inputs!$C$49+Inputs!$C$50))+Inputs!$C$47*0.097)))+0.3*(2*((SIN(((Model_Data!A31)*12.9898+(Inputs!$C$6)*78.233+Inputs!$C$47*37.719))*43758.5453)-INT((SIN(((Model_Data!A31)*12.9898+(Inputs!$C$6)*78.233+Inputs!$C$47*37.719))*43758.5453)))-1)))</f>
        <v>230.03534200748854</v>
      </c>
      <c r="G31" s="9">
        <f>(Inputs!$C$51*(115*EXP(-(((0)-25)^2)/(4.5^2))+70*EXP(-(((0)+38)^2)/(7^2))*(0.55+0.45*SIN(2*PI()*(Model_Data!A31)/45))+24*SIN(2*PI()*(0)/9+(Model_Data!A31)/18)*EXP(-(((0)+5)^2)/(22^2))+18*SIN(2*PI()*(Model_Data!A31)/70))+Inputs!$C$28*EXP(-(((Model_Data!A31)-Inputs!$C$29)^2)/(2*Inputs!$C$31^2))*EXP(-(((0)-Inputs!$C$30)^2)/(2*Inputs!$C$32^2))+-Inputs!$C$33*EXP(-(((((Model_Data!A31)-Inputs!$C$34)^2)+(((0)-Inputs!$C$35)^2))/(2*Inputs!$C$36^2)))+Inputs!$C$37*(0.55*SIN(2*PI()*(Model_Data!A31)/Inputs!$C$39)+0.35*COS(2*PI()*(0)/Inputs!$C$40)+0.2*SIN(2*PI()*((Model_Data!A31)+(0))/(0.5*(Inputs!$C$39+Inputs!$C$40))))+Inputs!$C$38*SIN(2*PI()*(Model_Data!A31)/Inputs!$C$39)*SIN(2*PI()*(0)/Inputs!$C$40)+-Inputs!$C$41*EXP(-(((0)-Inputs!$C$43)^2)/(2*Inputs!$C$44^2))*EXP(-(((Model_Data!A31)-Inputs!$C$42)^2)/(2*Inputs!$C$45^2))+Inputs!$C$48*(0.7*(0.45*SIN(2*PI()*(((Model_Data!A31)/Inputs!$C$49)+Inputs!$C$47*0.137))+0.35*COS(2*PI()*(((0)/Inputs!$C$50)+Inputs!$C$47*0.173))+0.2*SIN(2*PI()*(((Model_Data!A31)+(0))/(0.5*(Inputs!$C$49+Inputs!$C$50))+Inputs!$C$47*0.097)))+0.3*(2*((SIN(((Model_Data!A31)*12.9898+(0)*78.233+Inputs!$C$47*37.719))*43758.5453)-INT((SIN(((Model_Data!A31)*12.9898+(0)*78.233+Inputs!$C$47*37.719))*43758.5453)))-1)))</f>
        <v>36.882918508215923</v>
      </c>
      <c r="H31" s="10"/>
      <c r="I31" s="9">
        <f>Model_Data!A31</f>
        <v>-45.5</v>
      </c>
      <c r="J31" s="9">
        <f>(Inputs!$C$51*(115*EXP(-(((Inputs!$C$6)-25)^2)/(4.5^2))+70*EXP(-(((Inputs!$C$6)+38)^2)/(7^2))*(0.55+0.45*SIN(2*PI()*(Model_Data!A31)/45))+24*SIN(2*PI()*(Inputs!$C$6)/9+(Model_Data!A31)/18)*EXP(-(((Inputs!$C$6)+5)^2)/(22^2))+18*SIN(2*PI()*(Model_Data!A31)/70))+Inputs!$C$28*EXP(-(((Model_Data!A31)-Inputs!$C$29)^2)/(2*Inputs!$C$31^2))*EXP(-(((Inputs!$C$6)-Inputs!$C$30)^2)/(2*Inputs!$C$32^2))+-Inputs!$C$33*EXP(-(((((Model_Data!A31)-Inputs!$C$34)^2)+(((Inputs!$C$6)-Inputs!$C$35)^2))/(2*Inputs!$C$36^2)))+Inputs!$C$37*(0.55*SIN(2*PI()*(Model_Data!A31)/Inputs!$C$39)+0.35*COS(2*PI()*(Inputs!$C$6)/Inputs!$C$40)+0.2*SIN(2*PI()*((Model_Data!A31)+(Inputs!$C$6))/(0.5*(Inputs!$C$39+Inputs!$C$40))))+Inputs!$C$38*SIN(2*PI()*(Model_Data!A31)/Inputs!$C$39)*SIN(2*PI()*(Inputs!$C$6)/Inputs!$C$40)+-Inputs!$C$41*EXP(-(((Inputs!$C$6)-Inputs!$C$43)^2)/(2*Inputs!$C$44^2))*EXP(-(((Model_Data!A31)-Inputs!$C$42)^2)/(2*Inputs!$C$45^2))+Inputs!$C$48*(0.7*(0.45*SIN(2*PI()*(((Model_Data!A31)/Inputs!$C$49)+Inputs!$C$47*0.137))+0.35*COS(2*PI()*(((Inputs!$C$6)/Inputs!$C$50)+Inputs!$C$47*0.173))+0.2*SIN(2*PI()*(((Model_Data!A31)+(Inputs!$C$6))/(0.5*(Inputs!$C$49+Inputs!$C$50))+Inputs!$C$47*0.097)))+0.3*(2*((SIN(((Model_Data!A31)*12.9898+(Inputs!$C$6)*78.233+Inputs!$C$47*37.719))*43758.5453)-INT((SIN(((Model_Data!A31)*12.9898+(Inputs!$C$6)*78.233+Inputs!$C$47*37.719))*43758.5453)))-1)))</f>
        <v>230.03534200748854</v>
      </c>
      <c r="K31" s="9">
        <f>-((((SQRT((Model_Data!A31)^2+Inputs!$C$6^2+((Model_Data!B31)-((Inputs!$C$51*(115*EXP(-(((Inputs!$C$6)-25)^2)/(4.5^2))+70*EXP(-(((Inputs!$C$6)+38)^2)/(7^2))*(0.55+0.45*SIN(2*PI()*(Model_Data!A31)/45))+24*SIN(2*PI()*(Inputs!$C$6)/9+(Model_Data!A31)/18)*EXP(-(((Inputs!$C$6)+5)^2)/(22^2))+18*SIN(2*PI()*(Model_Data!A31)/70))+Inputs!$C$28*EXP(-(((Model_Data!A31)-Inputs!$C$29)^2)/(2*Inputs!$C$31^2))*EXP(-(((Inputs!$C$6)-Inputs!$C$30)^2)/(2*Inputs!$C$32^2))+-Inputs!$C$33*EXP(-(((((Model_Data!A31)-Inputs!$C$34)^2)+(((Inputs!$C$6)-Inputs!$C$35)^2))/(2*Inputs!$C$36^2)))+Inputs!$C$37*(0.55*SIN(2*PI()*(Model_Data!A31)/Inputs!$C$39)+0.35*COS(2*PI()*(Inputs!$C$6)/Inputs!$C$40)+0.2*SIN(2*PI()*((Model_Data!A31)+(Inputs!$C$6))/(0.5*(Inputs!$C$39+Inputs!$C$40))))+Inputs!$C$38*SIN(2*PI()*(Model_Data!A31)/Inputs!$C$39)*SIN(2*PI()*(Inputs!$C$6)/Inputs!$C$40)+-Inputs!$C$41*EXP(-(((Inputs!$C$6)-Inputs!$C$43)^2)/(2*Inputs!$C$44^2))*EXP(-(((Model_Data!A31)-Inputs!$C$42)^2)/(2*Inputs!$C$45^2))+Inputs!$C$48*(0.7*(0.45*SIN(2*PI()*(((Model_Data!A31)/Inputs!$C$49)+Inputs!$C$47*0.137))+0.35*COS(2*PI()*(((Inputs!$C$6)/Inputs!$C$50)+Inputs!$C$47*0.173))+0.2*SIN(2*PI()*(((Model_Data!A31)+(Inputs!$C$6))/(0.5*(Inputs!$C$49+Inputs!$C$50))+Inputs!$C$47*0.097)))+0.3*(2*((SIN(((Model_Data!A31)*12.9898+(Inputs!$C$6)*78.233+Inputs!$C$47*37.719))*43758.5453)-INT((SIN(((Model_Data!A31)*12.9898+(Inputs!$C$6)*78.233+Inputs!$C$47*37.719))*43758.5453)))-1))))/1000)^2))-(((Model_Data!B31)-((Inputs!$C$51*(115*EXP(-(((0)-25)^2)/(4.5^2))+70*EXP(-(((0)+38)^2)/(7^2))*(0.55+0.45*SIN(2*PI()*(Model_Data!A31)/45))+24*SIN(2*PI()*(0)/9+(Model_Data!A31)/18)*EXP(-(((0)+5)^2)/(22^2))+18*SIN(2*PI()*(Model_Data!A31)/70))+Inputs!$C$28*EXP(-(((Model_Data!A31)-Inputs!$C$29)^2)/(2*Inputs!$C$31^2))*EXP(-(((0)-Inputs!$C$30)^2)/(2*Inputs!$C$32^2))+-Inputs!$C$33*EXP(-(((((Model_Data!A31)-Inputs!$C$34)^2)+(((0)-Inputs!$C$35)^2))/(2*Inputs!$C$36^2)))+Inputs!$C$37*(0.55*SIN(2*PI()*(Model_Data!A31)/Inputs!$C$39)+0.35*COS(2*PI()*(0)/Inputs!$C$40)+0.2*SIN(2*PI()*((Model_Data!A31)+(0))/(0.5*(Inputs!$C$39+Inputs!$C$40))))+Inputs!$C$38*SIN(2*PI()*(Model_Data!A31)/Inputs!$C$39)*SIN(2*PI()*(0)/Inputs!$C$40)+-Inputs!$C$41*EXP(-(((0)-Inputs!$C$43)^2)/(2*Inputs!$C$44^2))*EXP(-(((Model_Data!A31)-Inputs!$C$42)^2)/(2*Inputs!$C$45^2))+Inputs!$C$48*(0.7*(0.45*SIN(2*PI()*(((Model_Data!A31)/Inputs!$C$49)+Inputs!$C$47*0.137))+0.35*COS(2*PI()*(((0)/Inputs!$C$50)+Inputs!$C$47*0.173))+0.2*SIN(2*PI()*(((Model_Data!A31)+(0))/(0.5*(Inputs!$C$49+Inputs!$C$50))+Inputs!$C$47*0.097)))+0.3*(2*((SIN(((Model_Data!A31)*12.9898+(0)*78.233+Inputs!$C$47*37.719))*43758.5453)-INT((SIN(((Model_Data!A31)*12.9898+(0)*78.233+Inputs!$C$47*37.719))*43758.5453)))-1))))/1000)))*1000/Inputs!$C$12)-Model_Data!F31)</f>
        <v>107.44917712463962</v>
      </c>
      <c r="L31" s="10"/>
      <c r="M31" s="9">
        <f>Model_Data!A31</f>
        <v>-45.5</v>
      </c>
      <c r="N31" s="9">
        <f>Model_Data!P31</f>
        <v>339.91845289051281</v>
      </c>
      <c r="O31" s="9">
        <f t="shared" si="0"/>
        <v>294.65885962363245</v>
      </c>
      <c r="P31" s="9">
        <f>Model_Data!Q31</f>
        <v>51.038806740317241</v>
      </c>
      <c r="Q31" s="9">
        <f t="shared" si="1"/>
        <v>44.243072015560429</v>
      </c>
      <c r="R31" s="10"/>
      <c r="S31" s="9">
        <f>Model_Data!A31</f>
        <v>-45.5</v>
      </c>
      <c r="T31" s="9">
        <f>Model_Data!B31-Inputs!$C$5</f>
        <v>2.300277777777751</v>
      </c>
      <c r="U31" s="10"/>
      <c r="V31" s="9">
        <f>Model_Data!A31</f>
        <v>-45.5</v>
      </c>
      <c r="W31" s="9">
        <f>((SQRT((Model_Data!A31)^2+Inputs!$C$6^2+Inputs!$C$5^2)-Inputs!$C$5)*1000/Inputs!$C$12)</f>
        <v>1884.8272648274692</v>
      </c>
      <c r="X31" s="9">
        <f>Model_Data!F31</f>
        <v>1874.1390567325279</v>
      </c>
      <c r="Y31" s="10"/>
      <c r="Z31" s="9">
        <f>Model_Data!A31</f>
        <v>-45.5</v>
      </c>
      <c r="AA31" s="9">
        <f>SQRT((Model_Data!A31)^2+Inputs!$C$6^2+((Model_Data!B31)-((Inputs!$C$51*(115*EXP(-(((Inputs!$C$6)-25)^2)/(4.5^2))+70*EXP(-(((Inputs!$C$6)+38)^2)/(7^2))*(0.55+0.45*SIN(2*PI()*(Model_Data!A31)/45))+24*SIN(2*PI()*(Inputs!$C$6)/9+(Model_Data!A31)/18)*EXP(-(((Inputs!$C$6)+5)^2)/(22^2))+18*SIN(2*PI()*(Model_Data!A31)/70))+Inputs!$C$28*EXP(-(((Model_Data!A31)-Inputs!$C$29)^2)/(2*Inputs!$C$31^2))*EXP(-(((Inputs!$C$6)-Inputs!$C$30)^2)/(2*Inputs!$C$32^2))+-Inputs!$C$33*EXP(-(((((Model_Data!A31)-Inputs!$C$34)^2)+(((Inputs!$C$6)-Inputs!$C$35)^2))/(2*Inputs!$C$36^2)))+Inputs!$C$37*(0.55*SIN(2*PI()*(Model_Data!A31)/Inputs!$C$39)+0.35*COS(2*PI()*(Inputs!$C$6)/Inputs!$C$40)+0.2*SIN(2*PI()*((Model_Data!A31)+(Inputs!$C$6))/(0.5*(Inputs!$C$39+Inputs!$C$40))))+Inputs!$C$38*SIN(2*PI()*(Model_Data!A31)/Inputs!$C$39)*SIN(2*PI()*(Inputs!$C$6)/Inputs!$C$40)+-Inputs!$C$41*EXP(-(((Inputs!$C$6)-Inputs!$C$43)^2)/(2*Inputs!$C$44^2))*EXP(-(((Model_Data!A31)-Inputs!$C$42)^2)/(2*Inputs!$C$45^2))+Inputs!$C$48*(0.7*(0.45*SIN(2*PI()*(((Model_Data!A31)/Inputs!$C$49)+Inputs!$C$47*0.137))+0.35*COS(2*PI()*(((Inputs!$C$6)/Inputs!$C$50)+Inputs!$C$47*0.173))+0.2*SIN(2*PI()*(((Model_Data!A31)+(Inputs!$C$6))/(0.5*(Inputs!$C$49+Inputs!$C$50))+Inputs!$C$47*0.097)))+0.3*(2*((SIN(((Model_Data!A31)*12.9898+(Inputs!$C$6)*78.233+Inputs!$C$47*37.719))*43758.5453)-INT((SIN(((Model_Data!A31)*12.9898+(Inputs!$C$6)*78.233+Inputs!$C$47*37.719))*43758.5453)))-1))))/1000)^2)</f>
        <v>405.40810284497155</v>
      </c>
      <c r="AB31" s="9">
        <f>1000*(AA32-AA30)/(Z32-Z30)*Inputs!$C$11</f>
        <v>-736.64714905908113</v>
      </c>
      <c r="AC31" s="9">
        <f>-2*AB31/Inputs!$C$13</f>
        <v>294.65885962363245</v>
      </c>
      <c r="AD31" s="9">
        <f>-2*AB31/Inputs!$C$14</f>
        <v>44.243072015560429</v>
      </c>
    </row>
    <row r="32" spans="1:30">
      <c r="A32" s="9">
        <f>Model_Data!A32</f>
        <v>-45</v>
      </c>
      <c r="B32" s="9">
        <f>((SQRT((Model_Data!A32)^2+Inputs!$C$6^2+Inputs!$C$5^2)-Inputs!$C$5)*1000/Inputs!$C$12)</f>
        <v>1853.3126974807026</v>
      </c>
      <c r="C32" s="9">
        <f>Model_Data!F32</f>
        <v>1843.0302193297173</v>
      </c>
      <c r="D32" s="9">
        <f>(((SQRT((Model_Data!A32)^2+Inputs!$C$6^2+((Model_Data!B32)-((Inputs!$C$51*(115*EXP(-(((Inputs!$C$6)-25)^2)/(4.5^2))+70*EXP(-(((Inputs!$C$6)+38)^2)/(7^2))*(0.55+0.45*SIN(2*PI()*(Model_Data!A32)/45))+24*SIN(2*PI()*(Inputs!$C$6)/9+(Model_Data!A32)/18)*EXP(-(((Inputs!$C$6)+5)^2)/(22^2))+18*SIN(2*PI()*(Model_Data!A32)/70))+Inputs!$C$28*EXP(-(((Model_Data!A32)-Inputs!$C$29)^2)/(2*Inputs!$C$31^2))*EXP(-(((Inputs!$C$6)-Inputs!$C$30)^2)/(2*Inputs!$C$32^2))+-Inputs!$C$33*EXP(-(((((Model_Data!A32)-Inputs!$C$34)^2)+(((Inputs!$C$6)-Inputs!$C$35)^2))/(2*Inputs!$C$36^2)))+Inputs!$C$37*(0.55*SIN(2*PI()*(Model_Data!A32)/Inputs!$C$39)+0.35*COS(2*PI()*(Inputs!$C$6)/Inputs!$C$40)+0.2*SIN(2*PI()*((Model_Data!A32)+(Inputs!$C$6))/(0.5*(Inputs!$C$39+Inputs!$C$40))))+Inputs!$C$38*SIN(2*PI()*(Model_Data!A32)/Inputs!$C$39)*SIN(2*PI()*(Inputs!$C$6)/Inputs!$C$40)+-Inputs!$C$41*EXP(-(((Inputs!$C$6)-Inputs!$C$43)^2)/(2*Inputs!$C$44^2))*EXP(-(((Model_Data!A32)-Inputs!$C$42)^2)/(2*Inputs!$C$45^2))+Inputs!$C$48*(0.7*(0.45*SIN(2*PI()*(((Model_Data!A32)/Inputs!$C$49)+Inputs!$C$47*0.137))+0.35*COS(2*PI()*(((Inputs!$C$6)/Inputs!$C$50)+Inputs!$C$47*0.173))+0.2*SIN(2*PI()*(((Model_Data!A32)+(Inputs!$C$6))/(0.5*(Inputs!$C$49+Inputs!$C$50))+Inputs!$C$47*0.097)))+0.3*(2*((SIN(((Model_Data!A32)*12.9898+(Inputs!$C$6)*78.233+Inputs!$C$47*37.719))*43758.5453)-INT((SIN(((Model_Data!A32)*12.9898+(Inputs!$C$6)*78.233+Inputs!$C$47*37.719))*43758.5453)))-1))))/1000)^2))-(((Model_Data!B32)-((Inputs!$C$51*(115*EXP(-(((0)-25)^2)/(4.5^2))+70*EXP(-(((0)+38)^2)/(7^2))*(0.55+0.45*SIN(2*PI()*(Model_Data!A32)/45))+24*SIN(2*PI()*(0)/9+(Model_Data!A32)/18)*EXP(-(((0)+5)^2)/(22^2))+18*SIN(2*PI()*(Model_Data!A32)/70))+Inputs!$C$28*EXP(-(((Model_Data!A32)-Inputs!$C$29)^2)/(2*Inputs!$C$31^2))*EXP(-(((0)-Inputs!$C$30)^2)/(2*Inputs!$C$32^2))+-Inputs!$C$33*EXP(-(((((Model_Data!A32)-Inputs!$C$34)^2)+(((0)-Inputs!$C$35)^2))/(2*Inputs!$C$36^2)))+Inputs!$C$37*(0.55*SIN(2*PI()*(Model_Data!A32)/Inputs!$C$39)+0.35*COS(2*PI()*(0)/Inputs!$C$40)+0.2*SIN(2*PI()*((Model_Data!A32)+(0))/(0.5*(Inputs!$C$39+Inputs!$C$40))))+Inputs!$C$38*SIN(2*PI()*(Model_Data!A32)/Inputs!$C$39)*SIN(2*PI()*(0)/Inputs!$C$40)+-Inputs!$C$41*EXP(-(((0)-Inputs!$C$43)^2)/(2*Inputs!$C$44^2))*EXP(-(((Model_Data!A32)-Inputs!$C$42)^2)/(2*Inputs!$C$45^2))+Inputs!$C$48*(0.7*(0.45*SIN(2*PI()*(((Model_Data!A32)/Inputs!$C$49)+Inputs!$C$47*0.137))+0.35*COS(2*PI()*(((0)/Inputs!$C$50)+Inputs!$C$47*0.173))+0.2*SIN(2*PI()*(((Model_Data!A32)+(0))/(0.5*(Inputs!$C$49+Inputs!$C$50))+Inputs!$C$47*0.097)))+0.3*(2*((SIN(((Model_Data!A32)*12.9898+(0)*78.233+Inputs!$C$47*37.719))*43758.5453)-INT((SIN(((Model_Data!A32)*12.9898+(0)*78.233+Inputs!$C$47*37.719))*43758.5453)))-1))))/1000)))*1000/Inputs!$C$12)</f>
        <v>1752.8433156914214</v>
      </c>
      <c r="E32" s="9">
        <f>Model_Data!A32</f>
        <v>-45</v>
      </c>
      <c r="F32" s="9">
        <f>(Inputs!$C$51*(115*EXP(-(((Inputs!$C$6)-25)^2)/(4.5^2))+70*EXP(-(((Inputs!$C$6)+38)^2)/(7^2))*(0.55+0.45*SIN(2*PI()*(Model_Data!A32)/45))+24*SIN(2*PI()*(Inputs!$C$6)/9+(Model_Data!A32)/18)*EXP(-(((Inputs!$C$6)+5)^2)/(22^2))+18*SIN(2*PI()*(Model_Data!A32)/70))+Inputs!$C$28*EXP(-(((Model_Data!A32)-Inputs!$C$29)^2)/(2*Inputs!$C$31^2))*EXP(-(((Inputs!$C$6)-Inputs!$C$30)^2)/(2*Inputs!$C$32^2))+-Inputs!$C$33*EXP(-(((((Model_Data!A32)-Inputs!$C$34)^2)+(((Inputs!$C$6)-Inputs!$C$35)^2))/(2*Inputs!$C$36^2)))+Inputs!$C$37*(0.55*SIN(2*PI()*(Model_Data!A32)/Inputs!$C$39)+0.35*COS(2*PI()*(Inputs!$C$6)/Inputs!$C$40)+0.2*SIN(2*PI()*((Model_Data!A32)+(Inputs!$C$6))/(0.5*(Inputs!$C$39+Inputs!$C$40))))+Inputs!$C$38*SIN(2*PI()*(Model_Data!A32)/Inputs!$C$39)*SIN(2*PI()*(Inputs!$C$6)/Inputs!$C$40)+-Inputs!$C$41*EXP(-(((Inputs!$C$6)-Inputs!$C$43)^2)/(2*Inputs!$C$44^2))*EXP(-(((Model_Data!A32)-Inputs!$C$42)^2)/(2*Inputs!$C$45^2))+Inputs!$C$48*(0.7*(0.45*SIN(2*PI()*(((Model_Data!A32)/Inputs!$C$49)+Inputs!$C$47*0.137))+0.35*COS(2*PI()*(((Inputs!$C$6)/Inputs!$C$50)+Inputs!$C$47*0.173))+0.2*SIN(2*PI()*(((Model_Data!A32)+(Inputs!$C$6))/(0.5*(Inputs!$C$49+Inputs!$C$50))+Inputs!$C$47*0.097)))+0.3*(2*((SIN(((Model_Data!A32)*12.9898+(Inputs!$C$6)*78.233+Inputs!$C$47*37.719))*43758.5453)-INT((SIN(((Model_Data!A32)*12.9898+(Inputs!$C$6)*78.233+Inputs!$C$47*37.719))*43758.5453)))-1)))</f>
        <v>208.8220272535724</v>
      </c>
      <c r="G32" s="9">
        <f>(Inputs!$C$51*(115*EXP(-(((0)-25)^2)/(4.5^2))+70*EXP(-(((0)+38)^2)/(7^2))*(0.55+0.45*SIN(2*PI()*(Model_Data!A32)/45))+24*SIN(2*PI()*(0)/9+(Model_Data!A32)/18)*EXP(-(((0)+5)^2)/(22^2))+18*SIN(2*PI()*(Model_Data!A32)/70))+Inputs!$C$28*EXP(-(((Model_Data!A32)-Inputs!$C$29)^2)/(2*Inputs!$C$31^2))*EXP(-(((0)-Inputs!$C$30)^2)/(2*Inputs!$C$32^2))+-Inputs!$C$33*EXP(-(((((Model_Data!A32)-Inputs!$C$34)^2)+(((0)-Inputs!$C$35)^2))/(2*Inputs!$C$36^2)))+Inputs!$C$37*(0.55*SIN(2*PI()*(Model_Data!A32)/Inputs!$C$39)+0.35*COS(2*PI()*(0)/Inputs!$C$40)+0.2*SIN(2*PI()*((Model_Data!A32)+(0))/(0.5*(Inputs!$C$39+Inputs!$C$40))))+Inputs!$C$38*SIN(2*PI()*(Model_Data!A32)/Inputs!$C$39)*SIN(2*PI()*(0)/Inputs!$C$40)+-Inputs!$C$41*EXP(-(((0)-Inputs!$C$43)^2)/(2*Inputs!$C$44^2))*EXP(-(((Model_Data!A32)-Inputs!$C$42)^2)/(2*Inputs!$C$45^2))+Inputs!$C$48*(0.7*(0.45*SIN(2*PI()*(((Model_Data!A32)/Inputs!$C$49)+Inputs!$C$47*0.137))+0.35*COS(2*PI()*(((0)/Inputs!$C$50)+Inputs!$C$47*0.173))+0.2*SIN(2*PI()*(((Model_Data!A32)+(0))/(0.5*(Inputs!$C$49+Inputs!$C$50))+Inputs!$C$47*0.097)))+0.3*(2*((SIN(((Model_Data!A32)*12.9898+(0)*78.233+Inputs!$C$47*37.719))*43758.5453)-INT((SIN(((Model_Data!A32)*12.9898+(0)*78.233+Inputs!$C$47*37.719))*43758.5453)))-1)))</f>
        <v>46.599178353528217</v>
      </c>
      <c r="H32" s="10"/>
      <c r="I32" s="9">
        <f>Model_Data!A32</f>
        <v>-45</v>
      </c>
      <c r="J32" s="9">
        <f>(Inputs!$C$51*(115*EXP(-(((Inputs!$C$6)-25)^2)/(4.5^2))+70*EXP(-(((Inputs!$C$6)+38)^2)/(7^2))*(0.55+0.45*SIN(2*PI()*(Model_Data!A32)/45))+24*SIN(2*PI()*(Inputs!$C$6)/9+(Model_Data!A32)/18)*EXP(-(((Inputs!$C$6)+5)^2)/(22^2))+18*SIN(2*PI()*(Model_Data!A32)/70))+Inputs!$C$28*EXP(-(((Model_Data!A32)-Inputs!$C$29)^2)/(2*Inputs!$C$31^2))*EXP(-(((Inputs!$C$6)-Inputs!$C$30)^2)/(2*Inputs!$C$32^2))+-Inputs!$C$33*EXP(-(((((Model_Data!A32)-Inputs!$C$34)^2)+(((Inputs!$C$6)-Inputs!$C$35)^2))/(2*Inputs!$C$36^2)))+Inputs!$C$37*(0.55*SIN(2*PI()*(Model_Data!A32)/Inputs!$C$39)+0.35*COS(2*PI()*(Inputs!$C$6)/Inputs!$C$40)+0.2*SIN(2*PI()*((Model_Data!A32)+(Inputs!$C$6))/(0.5*(Inputs!$C$39+Inputs!$C$40))))+Inputs!$C$38*SIN(2*PI()*(Model_Data!A32)/Inputs!$C$39)*SIN(2*PI()*(Inputs!$C$6)/Inputs!$C$40)+-Inputs!$C$41*EXP(-(((Inputs!$C$6)-Inputs!$C$43)^2)/(2*Inputs!$C$44^2))*EXP(-(((Model_Data!A32)-Inputs!$C$42)^2)/(2*Inputs!$C$45^2))+Inputs!$C$48*(0.7*(0.45*SIN(2*PI()*(((Model_Data!A32)/Inputs!$C$49)+Inputs!$C$47*0.137))+0.35*COS(2*PI()*(((Inputs!$C$6)/Inputs!$C$50)+Inputs!$C$47*0.173))+0.2*SIN(2*PI()*(((Model_Data!A32)+(Inputs!$C$6))/(0.5*(Inputs!$C$49+Inputs!$C$50))+Inputs!$C$47*0.097)))+0.3*(2*((SIN(((Model_Data!A32)*12.9898+(Inputs!$C$6)*78.233+Inputs!$C$47*37.719))*43758.5453)-INT((SIN(((Model_Data!A32)*12.9898+(Inputs!$C$6)*78.233+Inputs!$C$47*37.719))*43758.5453)))-1)))</f>
        <v>208.8220272535724</v>
      </c>
      <c r="K32" s="9">
        <f>-((((SQRT((Model_Data!A32)^2+Inputs!$C$6^2+((Model_Data!B32)-((Inputs!$C$51*(115*EXP(-(((Inputs!$C$6)-25)^2)/(4.5^2))+70*EXP(-(((Inputs!$C$6)+38)^2)/(7^2))*(0.55+0.45*SIN(2*PI()*(Model_Data!A32)/45))+24*SIN(2*PI()*(Inputs!$C$6)/9+(Model_Data!A32)/18)*EXP(-(((Inputs!$C$6)+5)^2)/(22^2))+18*SIN(2*PI()*(Model_Data!A32)/70))+Inputs!$C$28*EXP(-(((Model_Data!A32)-Inputs!$C$29)^2)/(2*Inputs!$C$31^2))*EXP(-(((Inputs!$C$6)-Inputs!$C$30)^2)/(2*Inputs!$C$32^2))+-Inputs!$C$33*EXP(-(((((Model_Data!A32)-Inputs!$C$34)^2)+(((Inputs!$C$6)-Inputs!$C$35)^2))/(2*Inputs!$C$36^2)))+Inputs!$C$37*(0.55*SIN(2*PI()*(Model_Data!A32)/Inputs!$C$39)+0.35*COS(2*PI()*(Inputs!$C$6)/Inputs!$C$40)+0.2*SIN(2*PI()*((Model_Data!A32)+(Inputs!$C$6))/(0.5*(Inputs!$C$39+Inputs!$C$40))))+Inputs!$C$38*SIN(2*PI()*(Model_Data!A32)/Inputs!$C$39)*SIN(2*PI()*(Inputs!$C$6)/Inputs!$C$40)+-Inputs!$C$41*EXP(-(((Inputs!$C$6)-Inputs!$C$43)^2)/(2*Inputs!$C$44^2))*EXP(-(((Model_Data!A32)-Inputs!$C$42)^2)/(2*Inputs!$C$45^2))+Inputs!$C$48*(0.7*(0.45*SIN(2*PI()*(((Model_Data!A32)/Inputs!$C$49)+Inputs!$C$47*0.137))+0.35*COS(2*PI()*(((Inputs!$C$6)/Inputs!$C$50)+Inputs!$C$47*0.173))+0.2*SIN(2*PI()*(((Model_Data!A32)+(Inputs!$C$6))/(0.5*(Inputs!$C$49+Inputs!$C$50))+Inputs!$C$47*0.097)))+0.3*(2*((SIN(((Model_Data!A32)*12.9898+(Inputs!$C$6)*78.233+Inputs!$C$47*37.719))*43758.5453)-INT((SIN(((Model_Data!A32)*12.9898+(Inputs!$C$6)*78.233+Inputs!$C$47*37.719))*43758.5453)))-1))))/1000)^2))-(((Model_Data!B32)-((Inputs!$C$51*(115*EXP(-(((0)-25)^2)/(4.5^2))+70*EXP(-(((0)+38)^2)/(7^2))*(0.55+0.45*SIN(2*PI()*(Model_Data!A32)/45))+24*SIN(2*PI()*(0)/9+(Model_Data!A32)/18)*EXP(-(((0)+5)^2)/(22^2))+18*SIN(2*PI()*(Model_Data!A32)/70))+Inputs!$C$28*EXP(-(((Model_Data!A32)-Inputs!$C$29)^2)/(2*Inputs!$C$31^2))*EXP(-(((0)-Inputs!$C$30)^2)/(2*Inputs!$C$32^2))+-Inputs!$C$33*EXP(-(((((Model_Data!A32)-Inputs!$C$34)^2)+(((0)-Inputs!$C$35)^2))/(2*Inputs!$C$36^2)))+Inputs!$C$37*(0.55*SIN(2*PI()*(Model_Data!A32)/Inputs!$C$39)+0.35*COS(2*PI()*(0)/Inputs!$C$40)+0.2*SIN(2*PI()*((Model_Data!A32)+(0))/(0.5*(Inputs!$C$39+Inputs!$C$40))))+Inputs!$C$38*SIN(2*PI()*(Model_Data!A32)/Inputs!$C$39)*SIN(2*PI()*(0)/Inputs!$C$40)+-Inputs!$C$41*EXP(-(((0)-Inputs!$C$43)^2)/(2*Inputs!$C$44^2))*EXP(-(((Model_Data!A32)-Inputs!$C$42)^2)/(2*Inputs!$C$45^2))+Inputs!$C$48*(0.7*(0.45*SIN(2*PI()*(((Model_Data!A32)/Inputs!$C$49)+Inputs!$C$47*0.137))+0.35*COS(2*PI()*(((0)/Inputs!$C$50)+Inputs!$C$47*0.173))+0.2*SIN(2*PI()*(((Model_Data!A32)+(0))/(0.5*(Inputs!$C$49+Inputs!$C$50))+Inputs!$C$47*0.097)))+0.3*(2*((SIN(((Model_Data!A32)*12.9898+(0)*78.233+Inputs!$C$47*37.719))*43758.5453)-INT((SIN(((Model_Data!A32)*12.9898+(0)*78.233+Inputs!$C$47*37.719))*43758.5453)))-1))))/1000)))*1000/Inputs!$C$12)-Model_Data!F32)</f>
        <v>90.186903638295917</v>
      </c>
      <c r="L32" s="10"/>
      <c r="M32" s="9">
        <f>Model_Data!A32</f>
        <v>-45</v>
      </c>
      <c r="N32" s="9">
        <f>Model_Data!P32</f>
        <v>336.25083307642097</v>
      </c>
      <c r="O32" s="9">
        <f t="shared" si="0"/>
        <v>291.31673931651676</v>
      </c>
      <c r="P32" s="9">
        <f>Model_Data!Q32</f>
        <v>50.488113074537686</v>
      </c>
      <c r="Q32" s="9">
        <f t="shared" si="1"/>
        <v>43.741252149627144</v>
      </c>
      <c r="R32" s="10"/>
      <c r="S32" s="9">
        <f>Model_Data!A32</f>
        <v>-45</v>
      </c>
      <c r="T32" s="9">
        <f>Model_Data!B32-Inputs!$C$5</f>
        <v>2.25</v>
      </c>
      <c r="U32" s="10"/>
      <c r="V32" s="9">
        <f>Model_Data!A32</f>
        <v>-45</v>
      </c>
      <c r="W32" s="9">
        <f>((SQRT((Model_Data!A32)^2+Inputs!$C$6^2+Inputs!$C$5^2)-Inputs!$C$5)*1000/Inputs!$C$12)</f>
        <v>1853.3126974807026</v>
      </c>
      <c r="X32" s="9">
        <f>Model_Data!F32</f>
        <v>1843.0302193297173</v>
      </c>
      <c r="Y32" s="10"/>
      <c r="Z32" s="9">
        <f>Model_Data!A32</f>
        <v>-45</v>
      </c>
      <c r="AA32" s="9">
        <f>SQRT((Model_Data!A32)^2+Inputs!$C$6^2+((Model_Data!B32)-((Inputs!$C$51*(115*EXP(-(((Inputs!$C$6)-25)^2)/(4.5^2))+70*EXP(-(((Inputs!$C$6)+38)^2)/(7^2))*(0.55+0.45*SIN(2*PI()*(Model_Data!A32)/45))+24*SIN(2*PI()*(Inputs!$C$6)/9+(Model_Data!A32)/18)*EXP(-(((Inputs!$C$6)+5)^2)/(22^2))+18*SIN(2*PI()*(Model_Data!A32)/70))+Inputs!$C$28*EXP(-(((Model_Data!A32)-Inputs!$C$29)^2)/(2*Inputs!$C$31^2))*EXP(-(((Inputs!$C$6)-Inputs!$C$30)^2)/(2*Inputs!$C$32^2))+-Inputs!$C$33*EXP(-(((((Model_Data!A32)-Inputs!$C$34)^2)+(((Inputs!$C$6)-Inputs!$C$35)^2))/(2*Inputs!$C$36^2)))+Inputs!$C$37*(0.55*SIN(2*PI()*(Model_Data!A32)/Inputs!$C$39)+0.35*COS(2*PI()*(Inputs!$C$6)/Inputs!$C$40)+0.2*SIN(2*PI()*((Model_Data!A32)+(Inputs!$C$6))/(0.5*(Inputs!$C$39+Inputs!$C$40))))+Inputs!$C$38*SIN(2*PI()*(Model_Data!A32)/Inputs!$C$39)*SIN(2*PI()*(Inputs!$C$6)/Inputs!$C$40)+-Inputs!$C$41*EXP(-(((Inputs!$C$6)-Inputs!$C$43)^2)/(2*Inputs!$C$44^2))*EXP(-(((Model_Data!A32)-Inputs!$C$42)^2)/(2*Inputs!$C$45^2))+Inputs!$C$48*(0.7*(0.45*SIN(2*PI()*(((Model_Data!A32)/Inputs!$C$49)+Inputs!$C$47*0.137))+0.35*COS(2*PI()*(((Inputs!$C$6)/Inputs!$C$50)+Inputs!$C$47*0.173))+0.2*SIN(2*PI()*(((Model_Data!A32)+(Inputs!$C$6))/(0.5*(Inputs!$C$49+Inputs!$C$50))+Inputs!$C$47*0.097)))+0.3*(2*((SIN(((Model_Data!A32)*12.9898+(Inputs!$C$6)*78.233+Inputs!$C$47*37.719))*43758.5453)-INT((SIN(((Model_Data!A32)*12.9898+(Inputs!$C$6)*78.233+Inputs!$C$47*37.719))*43758.5453)))-1))))/1000)^2)</f>
        <v>405.32346192357721</v>
      </c>
      <c r="AB32" s="9">
        <f>1000*(AA33-AA31)/(Z33-Z31)*Inputs!$C$11</f>
        <v>-728.2918482912919</v>
      </c>
      <c r="AC32" s="9">
        <f>-2*AB32/Inputs!$C$13</f>
        <v>291.31673931651676</v>
      </c>
      <c r="AD32" s="9">
        <f>-2*AB32/Inputs!$C$14</f>
        <v>43.741252149627144</v>
      </c>
    </row>
    <row r="33" spans="1:30">
      <c r="A33" s="9">
        <f>Model_Data!A33</f>
        <v>-44.5</v>
      </c>
      <c r="B33" s="9">
        <f>((SQRT((Model_Data!A33)^2+Inputs!$C$6^2+Inputs!$C$5^2)-Inputs!$C$5)*1000/Inputs!$C$12)</f>
        <v>1822.142045744429</v>
      </c>
      <c r="C33" s="9">
        <f>Model_Data!F33</f>
        <v>1812.2533589215191</v>
      </c>
      <c r="D33" s="9">
        <f>(((SQRT((Model_Data!A33)^2+Inputs!$C$6^2+((Model_Data!B33)-((Inputs!$C$51*(115*EXP(-(((Inputs!$C$6)-25)^2)/(4.5^2))+70*EXP(-(((Inputs!$C$6)+38)^2)/(7^2))*(0.55+0.45*SIN(2*PI()*(Model_Data!A33)/45))+24*SIN(2*PI()*(Inputs!$C$6)/9+(Model_Data!A33)/18)*EXP(-(((Inputs!$C$6)+5)^2)/(22^2))+18*SIN(2*PI()*(Model_Data!A33)/70))+Inputs!$C$28*EXP(-(((Model_Data!A33)-Inputs!$C$29)^2)/(2*Inputs!$C$31^2))*EXP(-(((Inputs!$C$6)-Inputs!$C$30)^2)/(2*Inputs!$C$32^2))+-Inputs!$C$33*EXP(-(((((Model_Data!A33)-Inputs!$C$34)^2)+(((Inputs!$C$6)-Inputs!$C$35)^2))/(2*Inputs!$C$36^2)))+Inputs!$C$37*(0.55*SIN(2*PI()*(Model_Data!A33)/Inputs!$C$39)+0.35*COS(2*PI()*(Inputs!$C$6)/Inputs!$C$40)+0.2*SIN(2*PI()*((Model_Data!A33)+(Inputs!$C$6))/(0.5*(Inputs!$C$39+Inputs!$C$40))))+Inputs!$C$38*SIN(2*PI()*(Model_Data!A33)/Inputs!$C$39)*SIN(2*PI()*(Inputs!$C$6)/Inputs!$C$40)+-Inputs!$C$41*EXP(-(((Inputs!$C$6)-Inputs!$C$43)^2)/(2*Inputs!$C$44^2))*EXP(-(((Model_Data!A33)-Inputs!$C$42)^2)/(2*Inputs!$C$45^2))+Inputs!$C$48*(0.7*(0.45*SIN(2*PI()*(((Model_Data!A33)/Inputs!$C$49)+Inputs!$C$47*0.137))+0.35*COS(2*PI()*(((Inputs!$C$6)/Inputs!$C$50)+Inputs!$C$47*0.173))+0.2*SIN(2*PI()*(((Model_Data!A33)+(Inputs!$C$6))/(0.5*(Inputs!$C$49+Inputs!$C$50))+Inputs!$C$47*0.097)))+0.3*(2*((SIN(((Model_Data!A33)*12.9898+(Inputs!$C$6)*78.233+Inputs!$C$47*37.719))*43758.5453)-INT((SIN(((Model_Data!A33)*12.9898+(Inputs!$C$6)*78.233+Inputs!$C$47*37.719))*43758.5453)))-1))))/1000)^2))-(((Model_Data!B33)-((Inputs!$C$51*(115*EXP(-(((0)-25)^2)/(4.5^2))+70*EXP(-(((0)+38)^2)/(7^2))*(0.55+0.45*SIN(2*PI()*(Model_Data!A33)/45))+24*SIN(2*PI()*(0)/9+(Model_Data!A33)/18)*EXP(-(((0)+5)^2)/(22^2))+18*SIN(2*PI()*(Model_Data!A33)/70))+Inputs!$C$28*EXP(-(((Model_Data!A33)-Inputs!$C$29)^2)/(2*Inputs!$C$31^2))*EXP(-(((0)-Inputs!$C$30)^2)/(2*Inputs!$C$32^2))+-Inputs!$C$33*EXP(-(((((Model_Data!A33)-Inputs!$C$34)^2)+(((0)-Inputs!$C$35)^2))/(2*Inputs!$C$36^2)))+Inputs!$C$37*(0.55*SIN(2*PI()*(Model_Data!A33)/Inputs!$C$39)+0.35*COS(2*PI()*(0)/Inputs!$C$40)+0.2*SIN(2*PI()*((Model_Data!A33)+(0))/(0.5*(Inputs!$C$39+Inputs!$C$40))))+Inputs!$C$38*SIN(2*PI()*(Model_Data!A33)/Inputs!$C$39)*SIN(2*PI()*(0)/Inputs!$C$40)+-Inputs!$C$41*EXP(-(((0)-Inputs!$C$43)^2)/(2*Inputs!$C$44^2))*EXP(-(((Model_Data!A33)-Inputs!$C$42)^2)/(2*Inputs!$C$45^2))+Inputs!$C$48*(0.7*(0.45*SIN(2*PI()*(((Model_Data!A33)/Inputs!$C$49)+Inputs!$C$47*0.137))+0.35*COS(2*PI()*(((0)/Inputs!$C$50)+Inputs!$C$47*0.173))+0.2*SIN(2*PI()*(((Model_Data!A33)+(0))/(0.5*(Inputs!$C$49+Inputs!$C$50))+Inputs!$C$47*0.097)))+0.3*(2*((SIN(((Model_Data!A33)*12.9898+(0)*78.233+Inputs!$C$47*37.719))*43758.5453)-INT((SIN(((Model_Data!A33)*12.9898+(0)*78.233+Inputs!$C$47*37.719))*43758.5453)))-1))))/1000)))*1000/Inputs!$C$12)</f>
        <v>1715.5434962561048</v>
      </c>
      <c r="E33" s="9">
        <f>Model_Data!A33</f>
        <v>-44.5</v>
      </c>
      <c r="F33" s="9">
        <f>(Inputs!$C$51*(115*EXP(-(((Inputs!$C$6)-25)^2)/(4.5^2))+70*EXP(-(((Inputs!$C$6)+38)^2)/(7^2))*(0.55+0.45*SIN(2*PI()*(Model_Data!A33)/45))+24*SIN(2*PI()*(Inputs!$C$6)/9+(Model_Data!A33)/18)*EXP(-(((Inputs!$C$6)+5)^2)/(22^2))+18*SIN(2*PI()*(Model_Data!A33)/70))+Inputs!$C$28*EXP(-(((Model_Data!A33)-Inputs!$C$29)^2)/(2*Inputs!$C$31^2))*EXP(-(((Inputs!$C$6)-Inputs!$C$30)^2)/(2*Inputs!$C$32^2))+-Inputs!$C$33*EXP(-(((((Model_Data!A33)-Inputs!$C$34)^2)+(((Inputs!$C$6)-Inputs!$C$35)^2))/(2*Inputs!$C$36^2)))+Inputs!$C$37*(0.55*SIN(2*PI()*(Model_Data!A33)/Inputs!$C$39)+0.35*COS(2*PI()*(Inputs!$C$6)/Inputs!$C$40)+0.2*SIN(2*PI()*((Model_Data!A33)+(Inputs!$C$6))/(0.5*(Inputs!$C$39+Inputs!$C$40))))+Inputs!$C$38*SIN(2*PI()*(Model_Data!A33)/Inputs!$C$39)*SIN(2*PI()*(Inputs!$C$6)/Inputs!$C$40)+-Inputs!$C$41*EXP(-(((Inputs!$C$6)-Inputs!$C$43)^2)/(2*Inputs!$C$44^2))*EXP(-(((Model_Data!A33)-Inputs!$C$42)^2)/(2*Inputs!$C$45^2))+Inputs!$C$48*(0.7*(0.45*SIN(2*PI()*(((Model_Data!A33)/Inputs!$C$49)+Inputs!$C$47*0.137))+0.35*COS(2*PI()*(((Inputs!$C$6)/Inputs!$C$50)+Inputs!$C$47*0.173))+0.2*SIN(2*PI()*(((Model_Data!A33)+(Inputs!$C$6))/(0.5*(Inputs!$C$49+Inputs!$C$50))+Inputs!$C$47*0.097)))+0.3*(2*((SIN(((Model_Data!A33)*12.9898+(Inputs!$C$6)*78.233+Inputs!$C$47*37.719))*43758.5453)-INT((SIN(((Model_Data!A33)*12.9898+(Inputs!$C$6)*78.233+Inputs!$C$47*37.719))*43758.5453)))-1)))</f>
        <v>201.66422960156285</v>
      </c>
      <c r="G33" s="9">
        <f>(Inputs!$C$51*(115*EXP(-(((0)-25)^2)/(4.5^2))+70*EXP(-(((0)+38)^2)/(7^2))*(0.55+0.45*SIN(2*PI()*(Model_Data!A33)/45))+24*SIN(2*PI()*(0)/9+(Model_Data!A33)/18)*EXP(-(((0)+5)^2)/(22^2))+18*SIN(2*PI()*(Model_Data!A33)/70))+Inputs!$C$28*EXP(-(((Model_Data!A33)-Inputs!$C$29)^2)/(2*Inputs!$C$31^2))*EXP(-(((0)-Inputs!$C$30)^2)/(2*Inputs!$C$32^2))+-Inputs!$C$33*EXP(-(((((Model_Data!A33)-Inputs!$C$34)^2)+(((0)-Inputs!$C$35)^2))/(2*Inputs!$C$36^2)))+Inputs!$C$37*(0.55*SIN(2*PI()*(Model_Data!A33)/Inputs!$C$39)+0.35*COS(2*PI()*(0)/Inputs!$C$40)+0.2*SIN(2*PI()*((Model_Data!A33)+(0))/(0.5*(Inputs!$C$39+Inputs!$C$40))))+Inputs!$C$38*SIN(2*PI()*(Model_Data!A33)/Inputs!$C$39)*SIN(2*PI()*(0)/Inputs!$C$40)+-Inputs!$C$41*EXP(-(((0)-Inputs!$C$43)^2)/(2*Inputs!$C$44^2))*EXP(-(((Model_Data!A33)-Inputs!$C$42)^2)/(2*Inputs!$C$45^2))+Inputs!$C$48*(0.7*(0.45*SIN(2*PI()*(((Model_Data!A33)/Inputs!$C$49)+Inputs!$C$47*0.137))+0.35*COS(2*PI()*(((0)/Inputs!$C$50)+Inputs!$C$47*0.173))+0.2*SIN(2*PI()*(((Model_Data!A33)+(0))/(0.5*(Inputs!$C$49+Inputs!$C$50))+Inputs!$C$47*0.097)))+0.3*(2*((SIN(((Model_Data!A33)*12.9898+(0)*78.233+Inputs!$C$47*37.719))*43758.5453)-INT((SIN(((Model_Data!A33)*12.9898+(0)*78.233+Inputs!$C$47*37.719))*43758.5453)))-1)))</f>
        <v>27.915318214934121</v>
      </c>
      <c r="H33" s="10"/>
      <c r="I33" s="9">
        <f>Model_Data!A33</f>
        <v>-44.5</v>
      </c>
      <c r="J33" s="9">
        <f>(Inputs!$C$51*(115*EXP(-(((Inputs!$C$6)-25)^2)/(4.5^2))+70*EXP(-(((Inputs!$C$6)+38)^2)/(7^2))*(0.55+0.45*SIN(2*PI()*(Model_Data!A33)/45))+24*SIN(2*PI()*(Inputs!$C$6)/9+(Model_Data!A33)/18)*EXP(-(((Inputs!$C$6)+5)^2)/(22^2))+18*SIN(2*PI()*(Model_Data!A33)/70))+Inputs!$C$28*EXP(-(((Model_Data!A33)-Inputs!$C$29)^2)/(2*Inputs!$C$31^2))*EXP(-(((Inputs!$C$6)-Inputs!$C$30)^2)/(2*Inputs!$C$32^2))+-Inputs!$C$33*EXP(-(((((Model_Data!A33)-Inputs!$C$34)^2)+(((Inputs!$C$6)-Inputs!$C$35)^2))/(2*Inputs!$C$36^2)))+Inputs!$C$37*(0.55*SIN(2*PI()*(Model_Data!A33)/Inputs!$C$39)+0.35*COS(2*PI()*(Inputs!$C$6)/Inputs!$C$40)+0.2*SIN(2*PI()*((Model_Data!A33)+(Inputs!$C$6))/(0.5*(Inputs!$C$39+Inputs!$C$40))))+Inputs!$C$38*SIN(2*PI()*(Model_Data!A33)/Inputs!$C$39)*SIN(2*PI()*(Inputs!$C$6)/Inputs!$C$40)+-Inputs!$C$41*EXP(-(((Inputs!$C$6)-Inputs!$C$43)^2)/(2*Inputs!$C$44^2))*EXP(-(((Model_Data!A33)-Inputs!$C$42)^2)/(2*Inputs!$C$45^2))+Inputs!$C$48*(0.7*(0.45*SIN(2*PI()*(((Model_Data!A33)/Inputs!$C$49)+Inputs!$C$47*0.137))+0.35*COS(2*PI()*(((Inputs!$C$6)/Inputs!$C$50)+Inputs!$C$47*0.173))+0.2*SIN(2*PI()*(((Model_Data!A33)+(Inputs!$C$6))/(0.5*(Inputs!$C$49+Inputs!$C$50))+Inputs!$C$47*0.097)))+0.3*(2*((SIN(((Model_Data!A33)*12.9898+(Inputs!$C$6)*78.233+Inputs!$C$47*37.719))*43758.5453)-INT((SIN(((Model_Data!A33)*12.9898+(Inputs!$C$6)*78.233+Inputs!$C$47*37.719))*43758.5453)))-1)))</f>
        <v>201.66422960156285</v>
      </c>
      <c r="K33" s="9">
        <f>-((((SQRT((Model_Data!A33)^2+Inputs!$C$6^2+((Model_Data!B33)-((Inputs!$C$51*(115*EXP(-(((Inputs!$C$6)-25)^2)/(4.5^2))+70*EXP(-(((Inputs!$C$6)+38)^2)/(7^2))*(0.55+0.45*SIN(2*PI()*(Model_Data!A33)/45))+24*SIN(2*PI()*(Inputs!$C$6)/9+(Model_Data!A33)/18)*EXP(-(((Inputs!$C$6)+5)^2)/(22^2))+18*SIN(2*PI()*(Model_Data!A33)/70))+Inputs!$C$28*EXP(-(((Model_Data!A33)-Inputs!$C$29)^2)/(2*Inputs!$C$31^2))*EXP(-(((Inputs!$C$6)-Inputs!$C$30)^2)/(2*Inputs!$C$32^2))+-Inputs!$C$33*EXP(-(((((Model_Data!A33)-Inputs!$C$34)^2)+(((Inputs!$C$6)-Inputs!$C$35)^2))/(2*Inputs!$C$36^2)))+Inputs!$C$37*(0.55*SIN(2*PI()*(Model_Data!A33)/Inputs!$C$39)+0.35*COS(2*PI()*(Inputs!$C$6)/Inputs!$C$40)+0.2*SIN(2*PI()*((Model_Data!A33)+(Inputs!$C$6))/(0.5*(Inputs!$C$39+Inputs!$C$40))))+Inputs!$C$38*SIN(2*PI()*(Model_Data!A33)/Inputs!$C$39)*SIN(2*PI()*(Inputs!$C$6)/Inputs!$C$40)+-Inputs!$C$41*EXP(-(((Inputs!$C$6)-Inputs!$C$43)^2)/(2*Inputs!$C$44^2))*EXP(-(((Model_Data!A33)-Inputs!$C$42)^2)/(2*Inputs!$C$45^2))+Inputs!$C$48*(0.7*(0.45*SIN(2*PI()*(((Model_Data!A33)/Inputs!$C$49)+Inputs!$C$47*0.137))+0.35*COS(2*PI()*(((Inputs!$C$6)/Inputs!$C$50)+Inputs!$C$47*0.173))+0.2*SIN(2*PI()*(((Model_Data!A33)+(Inputs!$C$6))/(0.5*(Inputs!$C$49+Inputs!$C$50))+Inputs!$C$47*0.097)))+0.3*(2*((SIN(((Model_Data!A33)*12.9898+(Inputs!$C$6)*78.233+Inputs!$C$47*37.719))*43758.5453)-INT((SIN(((Model_Data!A33)*12.9898+(Inputs!$C$6)*78.233+Inputs!$C$47*37.719))*43758.5453)))-1))))/1000)^2))-(((Model_Data!B33)-((Inputs!$C$51*(115*EXP(-(((0)-25)^2)/(4.5^2))+70*EXP(-(((0)+38)^2)/(7^2))*(0.55+0.45*SIN(2*PI()*(Model_Data!A33)/45))+24*SIN(2*PI()*(0)/9+(Model_Data!A33)/18)*EXP(-(((0)+5)^2)/(22^2))+18*SIN(2*PI()*(Model_Data!A33)/70))+Inputs!$C$28*EXP(-(((Model_Data!A33)-Inputs!$C$29)^2)/(2*Inputs!$C$31^2))*EXP(-(((0)-Inputs!$C$30)^2)/(2*Inputs!$C$32^2))+-Inputs!$C$33*EXP(-(((((Model_Data!A33)-Inputs!$C$34)^2)+(((0)-Inputs!$C$35)^2))/(2*Inputs!$C$36^2)))+Inputs!$C$37*(0.55*SIN(2*PI()*(Model_Data!A33)/Inputs!$C$39)+0.35*COS(2*PI()*(0)/Inputs!$C$40)+0.2*SIN(2*PI()*((Model_Data!A33)+(0))/(0.5*(Inputs!$C$39+Inputs!$C$40))))+Inputs!$C$38*SIN(2*PI()*(Model_Data!A33)/Inputs!$C$39)*SIN(2*PI()*(0)/Inputs!$C$40)+-Inputs!$C$41*EXP(-(((0)-Inputs!$C$43)^2)/(2*Inputs!$C$44^2))*EXP(-(((Model_Data!A33)-Inputs!$C$42)^2)/(2*Inputs!$C$45^2))+Inputs!$C$48*(0.7*(0.45*SIN(2*PI()*(((Model_Data!A33)/Inputs!$C$49)+Inputs!$C$47*0.137))+0.35*COS(2*PI()*(((0)/Inputs!$C$50)+Inputs!$C$47*0.173))+0.2*SIN(2*PI()*(((Model_Data!A33)+(0))/(0.5*(Inputs!$C$49+Inputs!$C$50))+Inputs!$C$47*0.097)))+0.3*(2*((SIN(((Model_Data!A33)*12.9898+(0)*78.233+Inputs!$C$47*37.719))*43758.5453)-INT((SIN(((Model_Data!A33)*12.9898+(0)*78.233+Inputs!$C$47*37.719))*43758.5453)))-1))))/1000)))*1000/Inputs!$C$12)-Model_Data!F33)</f>
        <v>96.709862665414221</v>
      </c>
      <c r="L33" s="10"/>
      <c r="M33" s="9">
        <f>Model_Data!A33</f>
        <v>-44.5</v>
      </c>
      <c r="N33" s="9">
        <f>Model_Data!P33</f>
        <v>332.58101900128577</v>
      </c>
      <c r="O33" s="9">
        <f t="shared" si="0"/>
        <v>318.8497561442091</v>
      </c>
      <c r="P33" s="9">
        <f>Model_Data!Q33</f>
        <v>49.937089940132999</v>
      </c>
      <c r="Q33" s="9">
        <f t="shared" si="1"/>
        <v>47.875338760391763</v>
      </c>
      <c r="R33" s="10"/>
      <c r="S33" s="9">
        <f>Model_Data!A33</f>
        <v>-44.5</v>
      </c>
      <c r="T33" s="9">
        <f>Model_Data!B33-Inputs!$C$5</f>
        <v>2.2002777777777851</v>
      </c>
      <c r="U33" s="10"/>
      <c r="V33" s="9">
        <f>Model_Data!A33</f>
        <v>-44.5</v>
      </c>
      <c r="W33" s="9">
        <f>((SQRT((Model_Data!A33)^2+Inputs!$C$6^2+Inputs!$C$5^2)-Inputs!$C$5)*1000/Inputs!$C$12)</f>
        <v>1822.142045744429</v>
      </c>
      <c r="X33" s="9">
        <f>Model_Data!F33</f>
        <v>1812.2533589215191</v>
      </c>
      <c r="Y33" s="10"/>
      <c r="Z33" s="9">
        <f>Model_Data!A33</f>
        <v>-44.5</v>
      </c>
      <c r="AA33" s="9">
        <f>SQRT((Model_Data!A33)^2+Inputs!$C$6^2+((Model_Data!B33)-((Inputs!$C$51*(115*EXP(-(((Inputs!$C$6)-25)^2)/(4.5^2))+70*EXP(-(((Inputs!$C$6)+38)^2)/(7^2))*(0.55+0.45*SIN(2*PI()*(Model_Data!A33)/45))+24*SIN(2*PI()*(Inputs!$C$6)/9+(Model_Data!A33)/18)*EXP(-(((Inputs!$C$6)+5)^2)/(22^2))+18*SIN(2*PI()*(Model_Data!A33)/70))+Inputs!$C$28*EXP(-(((Model_Data!A33)-Inputs!$C$29)^2)/(2*Inputs!$C$31^2))*EXP(-(((Inputs!$C$6)-Inputs!$C$30)^2)/(2*Inputs!$C$32^2))+-Inputs!$C$33*EXP(-(((((Model_Data!A33)-Inputs!$C$34)^2)+(((Inputs!$C$6)-Inputs!$C$35)^2))/(2*Inputs!$C$36^2)))+Inputs!$C$37*(0.55*SIN(2*PI()*(Model_Data!A33)/Inputs!$C$39)+0.35*COS(2*PI()*(Inputs!$C$6)/Inputs!$C$40)+0.2*SIN(2*PI()*((Model_Data!A33)+(Inputs!$C$6))/(0.5*(Inputs!$C$39+Inputs!$C$40))))+Inputs!$C$38*SIN(2*PI()*(Model_Data!A33)/Inputs!$C$39)*SIN(2*PI()*(Inputs!$C$6)/Inputs!$C$40)+-Inputs!$C$41*EXP(-(((Inputs!$C$6)-Inputs!$C$43)^2)/(2*Inputs!$C$44^2))*EXP(-(((Model_Data!A33)-Inputs!$C$42)^2)/(2*Inputs!$C$45^2))+Inputs!$C$48*(0.7*(0.45*SIN(2*PI()*(((Model_Data!A33)/Inputs!$C$49)+Inputs!$C$47*0.137))+0.35*COS(2*PI()*(((Inputs!$C$6)/Inputs!$C$50)+Inputs!$C$47*0.173))+0.2*SIN(2*PI()*(((Model_Data!A33)+(Inputs!$C$6))/(0.5*(Inputs!$C$49+Inputs!$C$50))+Inputs!$C$47*0.097)))+0.3*(2*((SIN(((Model_Data!A33)*12.9898+(Inputs!$C$6)*78.233+Inputs!$C$47*37.719))*43758.5453)-INT((SIN(((Model_Data!A33)*12.9898+(Inputs!$C$6)*78.233+Inputs!$C$47*37.719))*43758.5453)))-1))))/1000)^2)</f>
        <v>405.22602988289873</v>
      </c>
      <c r="AB33" s="9">
        <f>1000*(AA34-AA32)/(Z34-Z32)*Inputs!$C$11</f>
        <v>-797.12439036052274</v>
      </c>
      <c r="AC33" s="9">
        <f>-2*AB33/Inputs!$C$13</f>
        <v>318.8497561442091</v>
      </c>
      <c r="AD33" s="9">
        <f>-2*AB33/Inputs!$C$14</f>
        <v>47.875338760391763</v>
      </c>
    </row>
    <row r="34" spans="1:30">
      <c r="A34" s="9">
        <f>Model_Data!A34</f>
        <v>-44</v>
      </c>
      <c r="B34" s="9">
        <f>((SQRT((Model_Data!A34)^2+Inputs!$C$6^2+Inputs!$C$5^2)-Inputs!$C$5)*1000/Inputs!$C$12)</f>
        <v>1791.3154515998726</v>
      </c>
      <c r="C34" s="9">
        <f>Model_Data!F34</f>
        <v>1781.8088588434077</v>
      </c>
      <c r="D34" s="9">
        <f>(((SQRT((Model_Data!A34)^2+Inputs!$C$6^2+((Model_Data!B34)-((Inputs!$C$51*(115*EXP(-(((Inputs!$C$6)-25)^2)/(4.5^2))+70*EXP(-(((Inputs!$C$6)+38)^2)/(7^2))*(0.55+0.45*SIN(2*PI()*(Model_Data!A34)/45))+24*SIN(2*PI()*(Inputs!$C$6)/9+(Model_Data!A34)/18)*EXP(-(((Inputs!$C$6)+5)^2)/(22^2))+18*SIN(2*PI()*(Model_Data!A34)/70))+Inputs!$C$28*EXP(-(((Model_Data!A34)-Inputs!$C$29)^2)/(2*Inputs!$C$31^2))*EXP(-(((Inputs!$C$6)-Inputs!$C$30)^2)/(2*Inputs!$C$32^2))+-Inputs!$C$33*EXP(-(((((Model_Data!A34)-Inputs!$C$34)^2)+(((Inputs!$C$6)-Inputs!$C$35)^2))/(2*Inputs!$C$36^2)))+Inputs!$C$37*(0.55*SIN(2*PI()*(Model_Data!A34)/Inputs!$C$39)+0.35*COS(2*PI()*(Inputs!$C$6)/Inputs!$C$40)+0.2*SIN(2*PI()*((Model_Data!A34)+(Inputs!$C$6))/(0.5*(Inputs!$C$39+Inputs!$C$40))))+Inputs!$C$38*SIN(2*PI()*(Model_Data!A34)/Inputs!$C$39)*SIN(2*PI()*(Inputs!$C$6)/Inputs!$C$40)+-Inputs!$C$41*EXP(-(((Inputs!$C$6)-Inputs!$C$43)^2)/(2*Inputs!$C$44^2))*EXP(-(((Model_Data!A34)-Inputs!$C$42)^2)/(2*Inputs!$C$45^2))+Inputs!$C$48*(0.7*(0.45*SIN(2*PI()*(((Model_Data!A34)/Inputs!$C$49)+Inputs!$C$47*0.137))+0.35*COS(2*PI()*(((Inputs!$C$6)/Inputs!$C$50)+Inputs!$C$47*0.173))+0.2*SIN(2*PI()*(((Model_Data!A34)+(Inputs!$C$6))/(0.5*(Inputs!$C$49+Inputs!$C$50))+Inputs!$C$47*0.097)))+0.3*(2*((SIN(((Model_Data!A34)*12.9898+(Inputs!$C$6)*78.233+Inputs!$C$47*37.719))*43758.5453)-INT((SIN(((Model_Data!A34)*12.9898+(Inputs!$C$6)*78.233+Inputs!$C$47*37.719))*43758.5453)))-1))))/1000)^2))-(((Model_Data!B34)-((Inputs!$C$51*(115*EXP(-(((0)-25)^2)/(4.5^2))+70*EXP(-(((0)+38)^2)/(7^2))*(0.55+0.45*SIN(2*PI()*(Model_Data!A34)/45))+24*SIN(2*PI()*(0)/9+(Model_Data!A34)/18)*EXP(-(((0)+5)^2)/(22^2))+18*SIN(2*PI()*(Model_Data!A34)/70))+Inputs!$C$28*EXP(-(((Model_Data!A34)-Inputs!$C$29)^2)/(2*Inputs!$C$31^2))*EXP(-(((0)-Inputs!$C$30)^2)/(2*Inputs!$C$32^2))+-Inputs!$C$33*EXP(-(((((Model_Data!A34)-Inputs!$C$34)^2)+(((0)-Inputs!$C$35)^2))/(2*Inputs!$C$36^2)))+Inputs!$C$37*(0.55*SIN(2*PI()*(Model_Data!A34)/Inputs!$C$39)+0.35*COS(2*PI()*(0)/Inputs!$C$40)+0.2*SIN(2*PI()*((Model_Data!A34)+(0))/(0.5*(Inputs!$C$39+Inputs!$C$40))))+Inputs!$C$38*SIN(2*PI()*(Model_Data!A34)/Inputs!$C$39)*SIN(2*PI()*(0)/Inputs!$C$40)+-Inputs!$C$41*EXP(-(((0)-Inputs!$C$43)^2)/(2*Inputs!$C$44^2))*EXP(-(((Model_Data!A34)-Inputs!$C$42)^2)/(2*Inputs!$C$45^2))+Inputs!$C$48*(0.7*(0.45*SIN(2*PI()*(((Model_Data!A34)/Inputs!$C$49)+Inputs!$C$47*0.137))+0.35*COS(2*PI()*(((0)/Inputs!$C$50)+Inputs!$C$47*0.173))+0.2*SIN(2*PI()*(((Model_Data!A34)+(0))/(0.5*(Inputs!$C$49+Inputs!$C$50))+Inputs!$C$47*0.097)))+0.3*(2*((SIN(((Model_Data!A34)*12.9898+(0)*78.233+Inputs!$C$47*37.719))*43758.5453)-INT((SIN(((Model_Data!A34)*12.9898+(0)*78.233+Inputs!$C$47*37.719))*43758.5453)))-1))))/1000)))*1000/Inputs!$C$12)</f>
        <v>1680.8399476888469</v>
      </c>
      <c r="E34" s="9">
        <f>Model_Data!A34</f>
        <v>-44</v>
      </c>
      <c r="F34" s="9">
        <f>(Inputs!$C$51*(115*EXP(-(((Inputs!$C$6)-25)^2)/(4.5^2))+70*EXP(-(((Inputs!$C$6)+38)^2)/(7^2))*(0.55+0.45*SIN(2*PI()*(Model_Data!A34)/45))+24*SIN(2*PI()*(Inputs!$C$6)/9+(Model_Data!A34)/18)*EXP(-(((Inputs!$C$6)+5)^2)/(22^2))+18*SIN(2*PI()*(Model_Data!A34)/70))+Inputs!$C$28*EXP(-(((Model_Data!A34)-Inputs!$C$29)^2)/(2*Inputs!$C$31^2))*EXP(-(((Inputs!$C$6)-Inputs!$C$30)^2)/(2*Inputs!$C$32^2))+-Inputs!$C$33*EXP(-(((((Model_Data!A34)-Inputs!$C$34)^2)+(((Inputs!$C$6)-Inputs!$C$35)^2))/(2*Inputs!$C$36^2)))+Inputs!$C$37*(0.55*SIN(2*PI()*(Model_Data!A34)/Inputs!$C$39)+0.35*COS(2*PI()*(Inputs!$C$6)/Inputs!$C$40)+0.2*SIN(2*PI()*((Model_Data!A34)+(Inputs!$C$6))/(0.5*(Inputs!$C$39+Inputs!$C$40))))+Inputs!$C$38*SIN(2*PI()*(Model_Data!A34)/Inputs!$C$39)*SIN(2*PI()*(Inputs!$C$6)/Inputs!$C$40)+-Inputs!$C$41*EXP(-(((Inputs!$C$6)-Inputs!$C$43)^2)/(2*Inputs!$C$44^2))*EXP(-(((Model_Data!A34)-Inputs!$C$42)^2)/(2*Inputs!$C$45^2))+Inputs!$C$48*(0.7*(0.45*SIN(2*PI()*(((Model_Data!A34)/Inputs!$C$49)+Inputs!$C$47*0.137))+0.35*COS(2*PI()*(((Inputs!$C$6)/Inputs!$C$50)+Inputs!$C$47*0.173))+0.2*SIN(2*PI()*(((Model_Data!A34)+(Inputs!$C$6))/(0.5*(Inputs!$C$49+Inputs!$C$50))+Inputs!$C$47*0.097)))+0.3*(2*((SIN(((Model_Data!A34)*12.9898+(Inputs!$C$6)*78.233+Inputs!$C$47*37.719))*43758.5453)-INT((SIN(((Model_Data!A34)*12.9898+(Inputs!$C$6)*78.233+Inputs!$C$47*37.719))*43758.5453)))-1)))</f>
        <v>200.11672258234324</v>
      </c>
      <c r="G34" s="9">
        <f>(Inputs!$C$51*(115*EXP(-(((0)-25)^2)/(4.5^2))+70*EXP(-(((0)+38)^2)/(7^2))*(0.55+0.45*SIN(2*PI()*(Model_Data!A34)/45))+24*SIN(2*PI()*(0)/9+(Model_Data!A34)/18)*EXP(-(((0)+5)^2)/(22^2))+18*SIN(2*PI()*(Model_Data!A34)/70))+Inputs!$C$28*EXP(-(((Model_Data!A34)-Inputs!$C$29)^2)/(2*Inputs!$C$31^2))*EXP(-(((0)-Inputs!$C$30)^2)/(2*Inputs!$C$32^2))+-Inputs!$C$33*EXP(-(((((Model_Data!A34)-Inputs!$C$34)^2)+(((0)-Inputs!$C$35)^2))/(2*Inputs!$C$36^2)))+Inputs!$C$37*(0.55*SIN(2*PI()*(Model_Data!A34)/Inputs!$C$39)+0.35*COS(2*PI()*(0)/Inputs!$C$40)+0.2*SIN(2*PI()*((Model_Data!A34)+(0))/(0.5*(Inputs!$C$39+Inputs!$C$40))))+Inputs!$C$38*SIN(2*PI()*(Model_Data!A34)/Inputs!$C$39)*SIN(2*PI()*(0)/Inputs!$C$40)+-Inputs!$C$41*EXP(-(((0)-Inputs!$C$43)^2)/(2*Inputs!$C$44^2))*EXP(-(((Model_Data!A34)-Inputs!$C$42)^2)/(2*Inputs!$C$45^2))+Inputs!$C$48*(0.7*(0.45*SIN(2*PI()*(((Model_Data!A34)/Inputs!$C$49)+Inputs!$C$47*0.137))+0.35*COS(2*PI()*(((0)/Inputs!$C$50)+Inputs!$C$47*0.173))+0.2*SIN(2*PI()*(((Model_Data!A34)+(0))/(0.5*(Inputs!$C$49+Inputs!$C$50))+Inputs!$C$47*0.097)))+0.3*(2*((SIN(((Model_Data!A34)*12.9898+(0)*78.233+Inputs!$C$47*37.719))*43758.5453)-INT((SIN(((Model_Data!A34)*12.9898+(0)*78.233+Inputs!$C$47*37.719))*43758.5453)))-1)))</f>
        <v>18.825392010190029</v>
      </c>
      <c r="H34" s="10"/>
      <c r="I34" s="9">
        <f>Model_Data!A34</f>
        <v>-44</v>
      </c>
      <c r="J34" s="9">
        <f>(Inputs!$C$51*(115*EXP(-(((Inputs!$C$6)-25)^2)/(4.5^2))+70*EXP(-(((Inputs!$C$6)+38)^2)/(7^2))*(0.55+0.45*SIN(2*PI()*(Model_Data!A34)/45))+24*SIN(2*PI()*(Inputs!$C$6)/9+(Model_Data!A34)/18)*EXP(-(((Inputs!$C$6)+5)^2)/(22^2))+18*SIN(2*PI()*(Model_Data!A34)/70))+Inputs!$C$28*EXP(-(((Model_Data!A34)-Inputs!$C$29)^2)/(2*Inputs!$C$31^2))*EXP(-(((Inputs!$C$6)-Inputs!$C$30)^2)/(2*Inputs!$C$32^2))+-Inputs!$C$33*EXP(-(((((Model_Data!A34)-Inputs!$C$34)^2)+(((Inputs!$C$6)-Inputs!$C$35)^2))/(2*Inputs!$C$36^2)))+Inputs!$C$37*(0.55*SIN(2*PI()*(Model_Data!A34)/Inputs!$C$39)+0.35*COS(2*PI()*(Inputs!$C$6)/Inputs!$C$40)+0.2*SIN(2*PI()*((Model_Data!A34)+(Inputs!$C$6))/(0.5*(Inputs!$C$39+Inputs!$C$40))))+Inputs!$C$38*SIN(2*PI()*(Model_Data!A34)/Inputs!$C$39)*SIN(2*PI()*(Inputs!$C$6)/Inputs!$C$40)+-Inputs!$C$41*EXP(-(((Inputs!$C$6)-Inputs!$C$43)^2)/(2*Inputs!$C$44^2))*EXP(-(((Model_Data!A34)-Inputs!$C$42)^2)/(2*Inputs!$C$45^2))+Inputs!$C$48*(0.7*(0.45*SIN(2*PI()*(((Model_Data!A34)/Inputs!$C$49)+Inputs!$C$47*0.137))+0.35*COS(2*PI()*(((Inputs!$C$6)/Inputs!$C$50)+Inputs!$C$47*0.173))+0.2*SIN(2*PI()*(((Model_Data!A34)+(Inputs!$C$6))/(0.5*(Inputs!$C$49+Inputs!$C$50))+Inputs!$C$47*0.097)))+0.3*(2*((SIN(((Model_Data!A34)*12.9898+(Inputs!$C$6)*78.233+Inputs!$C$47*37.719))*43758.5453)-INT((SIN(((Model_Data!A34)*12.9898+(Inputs!$C$6)*78.233+Inputs!$C$47*37.719))*43758.5453)))-1)))</f>
        <v>200.11672258234324</v>
      </c>
      <c r="K34" s="9">
        <f>-((((SQRT((Model_Data!A34)^2+Inputs!$C$6^2+((Model_Data!B34)-((Inputs!$C$51*(115*EXP(-(((Inputs!$C$6)-25)^2)/(4.5^2))+70*EXP(-(((Inputs!$C$6)+38)^2)/(7^2))*(0.55+0.45*SIN(2*PI()*(Model_Data!A34)/45))+24*SIN(2*PI()*(Inputs!$C$6)/9+(Model_Data!A34)/18)*EXP(-(((Inputs!$C$6)+5)^2)/(22^2))+18*SIN(2*PI()*(Model_Data!A34)/70))+Inputs!$C$28*EXP(-(((Model_Data!A34)-Inputs!$C$29)^2)/(2*Inputs!$C$31^2))*EXP(-(((Inputs!$C$6)-Inputs!$C$30)^2)/(2*Inputs!$C$32^2))+-Inputs!$C$33*EXP(-(((((Model_Data!A34)-Inputs!$C$34)^2)+(((Inputs!$C$6)-Inputs!$C$35)^2))/(2*Inputs!$C$36^2)))+Inputs!$C$37*(0.55*SIN(2*PI()*(Model_Data!A34)/Inputs!$C$39)+0.35*COS(2*PI()*(Inputs!$C$6)/Inputs!$C$40)+0.2*SIN(2*PI()*((Model_Data!A34)+(Inputs!$C$6))/(0.5*(Inputs!$C$39+Inputs!$C$40))))+Inputs!$C$38*SIN(2*PI()*(Model_Data!A34)/Inputs!$C$39)*SIN(2*PI()*(Inputs!$C$6)/Inputs!$C$40)+-Inputs!$C$41*EXP(-(((Inputs!$C$6)-Inputs!$C$43)^2)/(2*Inputs!$C$44^2))*EXP(-(((Model_Data!A34)-Inputs!$C$42)^2)/(2*Inputs!$C$45^2))+Inputs!$C$48*(0.7*(0.45*SIN(2*PI()*(((Model_Data!A34)/Inputs!$C$49)+Inputs!$C$47*0.137))+0.35*COS(2*PI()*(((Inputs!$C$6)/Inputs!$C$50)+Inputs!$C$47*0.173))+0.2*SIN(2*PI()*(((Model_Data!A34)+(Inputs!$C$6))/(0.5*(Inputs!$C$49+Inputs!$C$50))+Inputs!$C$47*0.097)))+0.3*(2*((SIN(((Model_Data!A34)*12.9898+(Inputs!$C$6)*78.233+Inputs!$C$47*37.719))*43758.5453)-INT((SIN(((Model_Data!A34)*12.9898+(Inputs!$C$6)*78.233+Inputs!$C$47*37.719))*43758.5453)))-1))))/1000)^2))-(((Model_Data!B34)-((Inputs!$C$51*(115*EXP(-(((0)-25)^2)/(4.5^2))+70*EXP(-(((0)+38)^2)/(7^2))*(0.55+0.45*SIN(2*PI()*(Model_Data!A34)/45))+24*SIN(2*PI()*(0)/9+(Model_Data!A34)/18)*EXP(-(((0)+5)^2)/(22^2))+18*SIN(2*PI()*(Model_Data!A34)/70))+Inputs!$C$28*EXP(-(((Model_Data!A34)-Inputs!$C$29)^2)/(2*Inputs!$C$31^2))*EXP(-(((0)-Inputs!$C$30)^2)/(2*Inputs!$C$32^2))+-Inputs!$C$33*EXP(-(((((Model_Data!A34)-Inputs!$C$34)^2)+(((0)-Inputs!$C$35)^2))/(2*Inputs!$C$36^2)))+Inputs!$C$37*(0.55*SIN(2*PI()*(Model_Data!A34)/Inputs!$C$39)+0.35*COS(2*PI()*(0)/Inputs!$C$40)+0.2*SIN(2*PI()*((Model_Data!A34)+(0))/(0.5*(Inputs!$C$39+Inputs!$C$40))))+Inputs!$C$38*SIN(2*PI()*(Model_Data!A34)/Inputs!$C$39)*SIN(2*PI()*(0)/Inputs!$C$40)+-Inputs!$C$41*EXP(-(((0)-Inputs!$C$43)^2)/(2*Inputs!$C$44^2))*EXP(-(((Model_Data!A34)-Inputs!$C$42)^2)/(2*Inputs!$C$45^2))+Inputs!$C$48*(0.7*(0.45*SIN(2*PI()*(((Model_Data!A34)/Inputs!$C$49)+Inputs!$C$47*0.137))+0.35*COS(2*PI()*(((0)/Inputs!$C$50)+Inputs!$C$47*0.173))+0.2*SIN(2*PI()*(((Model_Data!A34)+(0))/(0.5*(Inputs!$C$49+Inputs!$C$50))+Inputs!$C$47*0.097)))+0.3*(2*((SIN(((Model_Data!A34)*12.9898+(0)*78.233+Inputs!$C$47*37.719))*43758.5453)-INT((SIN(((Model_Data!A34)*12.9898+(0)*78.233+Inputs!$C$47*37.719))*43758.5453)))-1))))/1000)))*1000/Inputs!$C$12)-Model_Data!F34)</f>
        <v>100.96891115456083</v>
      </c>
      <c r="L34" s="10"/>
      <c r="M34" s="9">
        <f>Model_Data!A34</f>
        <v>-44</v>
      </c>
      <c r="N34" s="9">
        <f>Model_Data!P34</f>
        <v>328.90903224475579</v>
      </c>
      <c r="O34" s="9">
        <f t="shared" si="0"/>
        <v>343.57472241035794</v>
      </c>
      <c r="P34" s="9">
        <f>Model_Data!Q34</f>
        <v>49.385740577290662</v>
      </c>
      <c r="Q34" s="9">
        <f t="shared" si="1"/>
        <v>51.587796157711409</v>
      </c>
      <c r="R34" s="10"/>
      <c r="S34" s="9">
        <f>Model_Data!A34</f>
        <v>-44</v>
      </c>
      <c r="T34" s="9">
        <f>Model_Data!B34-Inputs!$C$5</f>
        <v>2.1511111111111063</v>
      </c>
      <c r="U34" s="10"/>
      <c r="V34" s="9">
        <f>Model_Data!A34</f>
        <v>-44</v>
      </c>
      <c r="W34" s="9">
        <f>((SQRT((Model_Data!A34)^2+Inputs!$C$6^2+Inputs!$C$5^2)-Inputs!$C$5)*1000/Inputs!$C$12)</f>
        <v>1791.3154515998726</v>
      </c>
      <c r="X34" s="9">
        <f>Model_Data!F34</f>
        <v>1781.8088588434077</v>
      </c>
      <c r="Y34" s="10"/>
      <c r="Z34" s="9">
        <f>Model_Data!A34</f>
        <v>-44</v>
      </c>
      <c r="AA34" s="9">
        <f>SQRT((Model_Data!A34)^2+Inputs!$C$6^2+((Model_Data!B34)-((Inputs!$C$51*(115*EXP(-(((Inputs!$C$6)-25)^2)/(4.5^2))+70*EXP(-(((Inputs!$C$6)+38)^2)/(7^2))*(0.55+0.45*SIN(2*PI()*(Model_Data!A34)/45))+24*SIN(2*PI()*(Inputs!$C$6)/9+(Model_Data!A34)/18)*EXP(-(((Inputs!$C$6)+5)^2)/(22^2))+18*SIN(2*PI()*(Model_Data!A34)/70))+Inputs!$C$28*EXP(-(((Model_Data!A34)-Inputs!$C$29)^2)/(2*Inputs!$C$31^2))*EXP(-(((Inputs!$C$6)-Inputs!$C$30)^2)/(2*Inputs!$C$32^2))+-Inputs!$C$33*EXP(-(((((Model_Data!A34)-Inputs!$C$34)^2)+(((Inputs!$C$6)-Inputs!$C$35)^2))/(2*Inputs!$C$36^2)))+Inputs!$C$37*(0.55*SIN(2*PI()*(Model_Data!A34)/Inputs!$C$39)+0.35*COS(2*PI()*(Inputs!$C$6)/Inputs!$C$40)+0.2*SIN(2*PI()*((Model_Data!A34)+(Inputs!$C$6))/(0.5*(Inputs!$C$39+Inputs!$C$40))))+Inputs!$C$38*SIN(2*PI()*(Model_Data!A34)/Inputs!$C$39)*SIN(2*PI()*(Inputs!$C$6)/Inputs!$C$40)+-Inputs!$C$41*EXP(-(((Inputs!$C$6)-Inputs!$C$43)^2)/(2*Inputs!$C$44^2))*EXP(-(((Model_Data!A34)-Inputs!$C$42)^2)/(2*Inputs!$C$45^2))+Inputs!$C$48*(0.7*(0.45*SIN(2*PI()*(((Model_Data!A34)/Inputs!$C$49)+Inputs!$C$47*0.137))+0.35*COS(2*PI()*(((Inputs!$C$6)/Inputs!$C$50)+Inputs!$C$47*0.173))+0.2*SIN(2*PI()*(((Model_Data!A34)+(Inputs!$C$6))/(0.5*(Inputs!$C$49+Inputs!$C$50))+Inputs!$C$47*0.097)))+0.3*(2*((SIN(((Model_Data!A34)*12.9898+(Inputs!$C$6)*78.233+Inputs!$C$47*37.719))*43758.5453)-INT((SIN(((Model_Data!A34)*12.9898+(Inputs!$C$6)*78.233+Inputs!$C$47*37.719))*43758.5453)))-1))))/1000)^2)</f>
        <v>405.12418082598708</v>
      </c>
      <c r="AB34" s="9">
        <f>1000*(AA35-AA33)/(Z35-Z33)*Inputs!$C$11</f>
        <v>-858.93680602589484</v>
      </c>
      <c r="AC34" s="9">
        <f>-2*AB34/Inputs!$C$13</f>
        <v>343.57472241035794</v>
      </c>
      <c r="AD34" s="9">
        <f>-2*AB34/Inputs!$C$14</f>
        <v>51.587796157711409</v>
      </c>
    </row>
    <row r="35" spans="1:30">
      <c r="A35" s="9">
        <f>Model_Data!A35</f>
        <v>-43.5</v>
      </c>
      <c r="B35" s="9">
        <f>((SQRT((Model_Data!A35)^2+Inputs!$C$6^2+Inputs!$C$5^2)-Inputs!$C$5)*1000/Inputs!$C$12)</f>
        <v>1760.8330555379382</v>
      </c>
      <c r="C35" s="9">
        <f>Model_Data!F35</f>
        <v>1751.6970986344204</v>
      </c>
      <c r="D35" s="9">
        <f>(((SQRT((Model_Data!A35)^2+Inputs!$C$6^2+((Model_Data!B35)-((Inputs!$C$51*(115*EXP(-(((Inputs!$C$6)-25)^2)/(4.5^2))+70*EXP(-(((Inputs!$C$6)+38)^2)/(7^2))*(0.55+0.45*SIN(2*PI()*(Model_Data!A35)/45))+24*SIN(2*PI()*(Inputs!$C$6)/9+(Model_Data!A35)/18)*EXP(-(((Inputs!$C$6)+5)^2)/(22^2))+18*SIN(2*PI()*(Model_Data!A35)/70))+Inputs!$C$28*EXP(-(((Model_Data!A35)-Inputs!$C$29)^2)/(2*Inputs!$C$31^2))*EXP(-(((Inputs!$C$6)-Inputs!$C$30)^2)/(2*Inputs!$C$32^2))+-Inputs!$C$33*EXP(-(((((Model_Data!A35)-Inputs!$C$34)^2)+(((Inputs!$C$6)-Inputs!$C$35)^2))/(2*Inputs!$C$36^2)))+Inputs!$C$37*(0.55*SIN(2*PI()*(Model_Data!A35)/Inputs!$C$39)+0.35*COS(2*PI()*(Inputs!$C$6)/Inputs!$C$40)+0.2*SIN(2*PI()*((Model_Data!A35)+(Inputs!$C$6))/(0.5*(Inputs!$C$39+Inputs!$C$40))))+Inputs!$C$38*SIN(2*PI()*(Model_Data!A35)/Inputs!$C$39)*SIN(2*PI()*(Inputs!$C$6)/Inputs!$C$40)+-Inputs!$C$41*EXP(-(((Inputs!$C$6)-Inputs!$C$43)^2)/(2*Inputs!$C$44^2))*EXP(-(((Model_Data!A35)-Inputs!$C$42)^2)/(2*Inputs!$C$45^2))+Inputs!$C$48*(0.7*(0.45*SIN(2*PI()*(((Model_Data!A35)/Inputs!$C$49)+Inputs!$C$47*0.137))+0.35*COS(2*PI()*(((Inputs!$C$6)/Inputs!$C$50)+Inputs!$C$47*0.173))+0.2*SIN(2*PI()*(((Model_Data!A35)+(Inputs!$C$6))/(0.5*(Inputs!$C$49+Inputs!$C$50))+Inputs!$C$47*0.097)))+0.3*(2*((SIN(((Model_Data!A35)*12.9898+(Inputs!$C$6)*78.233+Inputs!$C$47*37.719))*43758.5453)-INT((SIN(((Model_Data!A35)*12.9898+(Inputs!$C$6)*78.233+Inputs!$C$47*37.719))*43758.5453)))-1))))/1000)^2))-(((Model_Data!B35)-((Inputs!$C$51*(115*EXP(-(((0)-25)^2)/(4.5^2))+70*EXP(-(((0)+38)^2)/(7^2))*(0.55+0.45*SIN(2*PI()*(Model_Data!A35)/45))+24*SIN(2*PI()*(0)/9+(Model_Data!A35)/18)*EXP(-(((0)+5)^2)/(22^2))+18*SIN(2*PI()*(Model_Data!A35)/70))+Inputs!$C$28*EXP(-(((Model_Data!A35)-Inputs!$C$29)^2)/(2*Inputs!$C$31^2))*EXP(-(((0)-Inputs!$C$30)^2)/(2*Inputs!$C$32^2))+-Inputs!$C$33*EXP(-(((((Model_Data!A35)-Inputs!$C$34)^2)+(((0)-Inputs!$C$35)^2))/(2*Inputs!$C$36^2)))+Inputs!$C$37*(0.55*SIN(2*PI()*(Model_Data!A35)/Inputs!$C$39)+0.35*COS(2*PI()*(0)/Inputs!$C$40)+0.2*SIN(2*PI()*((Model_Data!A35)+(0))/(0.5*(Inputs!$C$39+Inputs!$C$40))))+Inputs!$C$38*SIN(2*PI()*(Model_Data!A35)/Inputs!$C$39)*SIN(2*PI()*(0)/Inputs!$C$40)+-Inputs!$C$41*EXP(-(((0)-Inputs!$C$43)^2)/(2*Inputs!$C$44^2))*EXP(-(((Model_Data!A35)-Inputs!$C$42)^2)/(2*Inputs!$C$45^2))+Inputs!$C$48*(0.7*(0.45*SIN(2*PI()*(((Model_Data!A35)/Inputs!$C$49)+Inputs!$C$47*0.137))+0.35*COS(2*PI()*(((0)/Inputs!$C$50)+Inputs!$C$47*0.173))+0.2*SIN(2*PI()*(((Model_Data!A35)+(0))/(0.5*(Inputs!$C$49+Inputs!$C$50))+Inputs!$C$47*0.097)))+0.3*(2*((SIN(((Model_Data!A35)*12.9898+(0)*78.233+Inputs!$C$47*37.719))*43758.5453)-INT((SIN(((Model_Data!A35)*12.9898+(0)*78.233+Inputs!$C$47*37.719))*43758.5453)))-1))))/1000)))*1000/Inputs!$C$12)</f>
        <v>1646.8261172972273</v>
      </c>
      <c r="E35" s="9">
        <f>Model_Data!A35</f>
        <v>-43.5</v>
      </c>
      <c r="F35" s="9">
        <f>(Inputs!$C$51*(115*EXP(-(((Inputs!$C$6)-25)^2)/(4.5^2))+70*EXP(-(((Inputs!$C$6)+38)^2)/(7^2))*(0.55+0.45*SIN(2*PI()*(Model_Data!A35)/45))+24*SIN(2*PI()*(Inputs!$C$6)/9+(Model_Data!A35)/18)*EXP(-(((Inputs!$C$6)+5)^2)/(22^2))+18*SIN(2*PI()*(Model_Data!A35)/70))+Inputs!$C$28*EXP(-(((Model_Data!A35)-Inputs!$C$29)^2)/(2*Inputs!$C$31^2))*EXP(-(((Inputs!$C$6)-Inputs!$C$30)^2)/(2*Inputs!$C$32^2))+-Inputs!$C$33*EXP(-(((((Model_Data!A35)-Inputs!$C$34)^2)+(((Inputs!$C$6)-Inputs!$C$35)^2))/(2*Inputs!$C$36^2)))+Inputs!$C$37*(0.55*SIN(2*PI()*(Model_Data!A35)/Inputs!$C$39)+0.35*COS(2*PI()*(Inputs!$C$6)/Inputs!$C$40)+0.2*SIN(2*PI()*((Model_Data!A35)+(Inputs!$C$6))/(0.5*(Inputs!$C$39+Inputs!$C$40))))+Inputs!$C$38*SIN(2*PI()*(Model_Data!A35)/Inputs!$C$39)*SIN(2*PI()*(Inputs!$C$6)/Inputs!$C$40)+-Inputs!$C$41*EXP(-(((Inputs!$C$6)-Inputs!$C$43)^2)/(2*Inputs!$C$44^2))*EXP(-(((Model_Data!A35)-Inputs!$C$42)^2)/(2*Inputs!$C$45^2))+Inputs!$C$48*(0.7*(0.45*SIN(2*PI()*(((Model_Data!A35)/Inputs!$C$49)+Inputs!$C$47*0.137))+0.35*COS(2*PI()*(((Inputs!$C$6)/Inputs!$C$50)+Inputs!$C$47*0.173))+0.2*SIN(2*PI()*(((Model_Data!A35)+(Inputs!$C$6))/(0.5*(Inputs!$C$49+Inputs!$C$50))+Inputs!$C$47*0.097)))+0.3*(2*((SIN(((Model_Data!A35)*12.9898+(Inputs!$C$6)*78.233+Inputs!$C$47*37.719))*43758.5453)-INT((SIN(((Model_Data!A35)*12.9898+(Inputs!$C$6)*78.233+Inputs!$C$47*37.719))*43758.5453)))-1)))</f>
        <v>210.84839534160349</v>
      </c>
      <c r="G35" s="9">
        <f>(Inputs!$C$51*(115*EXP(-(((0)-25)^2)/(4.5^2))+70*EXP(-(((0)+38)^2)/(7^2))*(0.55+0.45*SIN(2*PI()*(Model_Data!A35)/45))+24*SIN(2*PI()*(0)/9+(Model_Data!A35)/18)*EXP(-(((0)+5)^2)/(22^2))+18*SIN(2*PI()*(Model_Data!A35)/70))+Inputs!$C$28*EXP(-(((Model_Data!A35)-Inputs!$C$29)^2)/(2*Inputs!$C$31^2))*EXP(-(((0)-Inputs!$C$30)^2)/(2*Inputs!$C$32^2))+-Inputs!$C$33*EXP(-(((((Model_Data!A35)-Inputs!$C$34)^2)+(((0)-Inputs!$C$35)^2))/(2*Inputs!$C$36^2)))+Inputs!$C$37*(0.55*SIN(2*PI()*(Model_Data!A35)/Inputs!$C$39)+0.35*COS(2*PI()*(0)/Inputs!$C$40)+0.2*SIN(2*PI()*((Model_Data!A35)+(0))/(0.5*(Inputs!$C$39+Inputs!$C$40))))+Inputs!$C$38*SIN(2*PI()*(Model_Data!A35)/Inputs!$C$39)*SIN(2*PI()*(0)/Inputs!$C$40)+-Inputs!$C$41*EXP(-(((0)-Inputs!$C$43)^2)/(2*Inputs!$C$44^2))*EXP(-(((Model_Data!A35)-Inputs!$C$42)^2)/(2*Inputs!$C$45^2))+Inputs!$C$48*(0.7*(0.45*SIN(2*PI()*(((Model_Data!A35)/Inputs!$C$49)+Inputs!$C$47*0.137))+0.35*COS(2*PI()*(((0)/Inputs!$C$50)+Inputs!$C$47*0.173))+0.2*SIN(2*PI()*(((Model_Data!A35)+(0))/(0.5*(Inputs!$C$49+Inputs!$C$50))+Inputs!$C$47*0.097)))+0.3*(2*((SIN(((Model_Data!A35)*12.9898+(0)*78.233+Inputs!$C$47*37.719))*43758.5453)-INT((SIN(((Model_Data!A35)*12.9898+(0)*78.233+Inputs!$C$47*37.719))*43758.5453)))-1)))</f>
        <v>22.55480739682735</v>
      </c>
      <c r="H35" s="10"/>
      <c r="I35" s="9">
        <f>Model_Data!A35</f>
        <v>-43.5</v>
      </c>
      <c r="J35" s="9">
        <f>(Inputs!$C$51*(115*EXP(-(((Inputs!$C$6)-25)^2)/(4.5^2))+70*EXP(-(((Inputs!$C$6)+38)^2)/(7^2))*(0.55+0.45*SIN(2*PI()*(Model_Data!A35)/45))+24*SIN(2*PI()*(Inputs!$C$6)/9+(Model_Data!A35)/18)*EXP(-(((Inputs!$C$6)+5)^2)/(22^2))+18*SIN(2*PI()*(Model_Data!A35)/70))+Inputs!$C$28*EXP(-(((Model_Data!A35)-Inputs!$C$29)^2)/(2*Inputs!$C$31^2))*EXP(-(((Inputs!$C$6)-Inputs!$C$30)^2)/(2*Inputs!$C$32^2))+-Inputs!$C$33*EXP(-(((((Model_Data!A35)-Inputs!$C$34)^2)+(((Inputs!$C$6)-Inputs!$C$35)^2))/(2*Inputs!$C$36^2)))+Inputs!$C$37*(0.55*SIN(2*PI()*(Model_Data!A35)/Inputs!$C$39)+0.35*COS(2*PI()*(Inputs!$C$6)/Inputs!$C$40)+0.2*SIN(2*PI()*((Model_Data!A35)+(Inputs!$C$6))/(0.5*(Inputs!$C$39+Inputs!$C$40))))+Inputs!$C$38*SIN(2*PI()*(Model_Data!A35)/Inputs!$C$39)*SIN(2*PI()*(Inputs!$C$6)/Inputs!$C$40)+-Inputs!$C$41*EXP(-(((Inputs!$C$6)-Inputs!$C$43)^2)/(2*Inputs!$C$44^2))*EXP(-(((Model_Data!A35)-Inputs!$C$42)^2)/(2*Inputs!$C$45^2))+Inputs!$C$48*(0.7*(0.45*SIN(2*PI()*(((Model_Data!A35)/Inputs!$C$49)+Inputs!$C$47*0.137))+0.35*COS(2*PI()*(((Inputs!$C$6)/Inputs!$C$50)+Inputs!$C$47*0.173))+0.2*SIN(2*PI()*(((Model_Data!A35)+(Inputs!$C$6))/(0.5*(Inputs!$C$49+Inputs!$C$50))+Inputs!$C$47*0.097)))+0.3*(2*((SIN(((Model_Data!A35)*12.9898+(Inputs!$C$6)*78.233+Inputs!$C$47*37.719))*43758.5453)-INT((SIN(((Model_Data!A35)*12.9898+(Inputs!$C$6)*78.233+Inputs!$C$47*37.719))*43758.5453)))-1)))</f>
        <v>210.84839534160349</v>
      </c>
      <c r="K35" s="9">
        <f>-((((SQRT((Model_Data!A35)^2+Inputs!$C$6^2+((Model_Data!B35)-((Inputs!$C$51*(115*EXP(-(((Inputs!$C$6)-25)^2)/(4.5^2))+70*EXP(-(((Inputs!$C$6)+38)^2)/(7^2))*(0.55+0.45*SIN(2*PI()*(Model_Data!A35)/45))+24*SIN(2*PI()*(Inputs!$C$6)/9+(Model_Data!A35)/18)*EXP(-(((Inputs!$C$6)+5)^2)/(22^2))+18*SIN(2*PI()*(Model_Data!A35)/70))+Inputs!$C$28*EXP(-(((Model_Data!A35)-Inputs!$C$29)^2)/(2*Inputs!$C$31^2))*EXP(-(((Inputs!$C$6)-Inputs!$C$30)^2)/(2*Inputs!$C$32^2))+-Inputs!$C$33*EXP(-(((((Model_Data!A35)-Inputs!$C$34)^2)+(((Inputs!$C$6)-Inputs!$C$35)^2))/(2*Inputs!$C$36^2)))+Inputs!$C$37*(0.55*SIN(2*PI()*(Model_Data!A35)/Inputs!$C$39)+0.35*COS(2*PI()*(Inputs!$C$6)/Inputs!$C$40)+0.2*SIN(2*PI()*((Model_Data!A35)+(Inputs!$C$6))/(0.5*(Inputs!$C$39+Inputs!$C$40))))+Inputs!$C$38*SIN(2*PI()*(Model_Data!A35)/Inputs!$C$39)*SIN(2*PI()*(Inputs!$C$6)/Inputs!$C$40)+-Inputs!$C$41*EXP(-(((Inputs!$C$6)-Inputs!$C$43)^2)/(2*Inputs!$C$44^2))*EXP(-(((Model_Data!A35)-Inputs!$C$42)^2)/(2*Inputs!$C$45^2))+Inputs!$C$48*(0.7*(0.45*SIN(2*PI()*(((Model_Data!A35)/Inputs!$C$49)+Inputs!$C$47*0.137))+0.35*COS(2*PI()*(((Inputs!$C$6)/Inputs!$C$50)+Inputs!$C$47*0.173))+0.2*SIN(2*PI()*(((Model_Data!A35)+(Inputs!$C$6))/(0.5*(Inputs!$C$49+Inputs!$C$50))+Inputs!$C$47*0.097)))+0.3*(2*((SIN(((Model_Data!A35)*12.9898+(Inputs!$C$6)*78.233+Inputs!$C$47*37.719))*43758.5453)-INT((SIN(((Model_Data!A35)*12.9898+(Inputs!$C$6)*78.233+Inputs!$C$47*37.719))*43758.5453)))-1))))/1000)^2))-(((Model_Data!B35)-((Inputs!$C$51*(115*EXP(-(((0)-25)^2)/(4.5^2))+70*EXP(-(((0)+38)^2)/(7^2))*(0.55+0.45*SIN(2*PI()*(Model_Data!A35)/45))+24*SIN(2*PI()*(0)/9+(Model_Data!A35)/18)*EXP(-(((0)+5)^2)/(22^2))+18*SIN(2*PI()*(Model_Data!A35)/70))+Inputs!$C$28*EXP(-(((Model_Data!A35)-Inputs!$C$29)^2)/(2*Inputs!$C$31^2))*EXP(-(((0)-Inputs!$C$30)^2)/(2*Inputs!$C$32^2))+-Inputs!$C$33*EXP(-(((((Model_Data!A35)-Inputs!$C$34)^2)+(((0)-Inputs!$C$35)^2))/(2*Inputs!$C$36^2)))+Inputs!$C$37*(0.55*SIN(2*PI()*(Model_Data!A35)/Inputs!$C$39)+0.35*COS(2*PI()*(0)/Inputs!$C$40)+0.2*SIN(2*PI()*((Model_Data!A35)+(0))/(0.5*(Inputs!$C$39+Inputs!$C$40))))+Inputs!$C$38*SIN(2*PI()*(Model_Data!A35)/Inputs!$C$39)*SIN(2*PI()*(0)/Inputs!$C$40)+-Inputs!$C$41*EXP(-(((0)-Inputs!$C$43)^2)/(2*Inputs!$C$44^2))*EXP(-(((Model_Data!A35)-Inputs!$C$42)^2)/(2*Inputs!$C$45^2))+Inputs!$C$48*(0.7*(0.45*SIN(2*PI()*(((Model_Data!A35)/Inputs!$C$49)+Inputs!$C$47*0.137))+0.35*COS(2*PI()*(((0)/Inputs!$C$50)+Inputs!$C$47*0.173))+0.2*SIN(2*PI()*(((Model_Data!A35)+(0))/(0.5*(Inputs!$C$49+Inputs!$C$50))+Inputs!$C$47*0.097)))+0.3*(2*((SIN(((Model_Data!A35)*12.9898+(0)*78.233+Inputs!$C$47*37.719))*43758.5453)-INT((SIN(((Model_Data!A35)*12.9898+(0)*78.233+Inputs!$C$47*37.719))*43758.5453)))-1))))/1000)))*1000/Inputs!$C$12)-Model_Data!F35)</f>
        <v>104.87098133719314</v>
      </c>
      <c r="L35" s="10"/>
      <c r="M35" s="9">
        <f>Model_Data!A35</f>
        <v>-43.5</v>
      </c>
      <c r="N35" s="9">
        <f>Model_Data!P35</f>
        <v>325.23489447567232</v>
      </c>
      <c r="O35" s="9">
        <f t="shared" si="0"/>
        <v>294.26089693251924</v>
      </c>
      <c r="P35" s="9">
        <f>Model_Data!Q35</f>
        <v>48.834068239590444</v>
      </c>
      <c r="Q35" s="9">
        <f t="shared" si="1"/>
        <v>44.183317857735624</v>
      </c>
      <c r="R35" s="10"/>
      <c r="S35" s="9">
        <f>Model_Data!A35</f>
        <v>-43.5</v>
      </c>
      <c r="T35" s="9">
        <f>Model_Data!B35-Inputs!$C$5</f>
        <v>2.1025000000000205</v>
      </c>
      <c r="U35" s="10"/>
      <c r="V35" s="9">
        <f>Model_Data!A35</f>
        <v>-43.5</v>
      </c>
      <c r="W35" s="9">
        <f>((SQRT((Model_Data!A35)^2+Inputs!$C$6^2+Inputs!$C$5^2)-Inputs!$C$5)*1000/Inputs!$C$12)</f>
        <v>1760.8330555379382</v>
      </c>
      <c r="X35" s="9">
        <f>Model_Data!F35</f>
        <v>1751.6970986344204</v>
      </c>
      <c r="Y35" s="10"/>
      <c r="Z35" s="9">
        <f>Model_Data!A35</f>
        <v>-43.5</v>
      </c>
      <c r="AA35" s="9">
        <f>SQRT((Model_Data!A35)^2+Inputs!$C$6^2+((Model_Data!B35)-((Inputs!$C$51*(115*EXP(-(((Inputs!$C$6)-25)^2)/(4.5^2))+70*EXP(-(((Inputs!$C$6)+38)^2)/(7^2))*(0.55+0.45*SIN(2*PI()*(Model_Data!A35)/45))+24*SIN(2*PI()*(Inputs!$C$6)/9+(Model_Data!A35)/18)*EXP(-(((Inputs!$C$6)+5)^2)/(22^2))+18*SIN(2*PI()*(Model_Data!A35)/70))+Inputs!$C$28*EXP(-(((Model_Data!A35)-Inputs!$C$29)^2)/(2*Inputs!$C$31^2))*EXP(-(((Inputs!$C$6)-Inputs!$C$30)^2)/(2*Inputs!$C$32^2))+-Inputs!$C$33*EXP(-(((((Model_Data!A35)-Inputs!$C$34)^2)+(((Inputs!$C$6)-Inputs!$C$35)^2))/(2*Inputs!$C$36^2)))+Inputs!$C$37*(0.55*SIN(2*PI()*(Model_Data!A35)/Inputs!$C$39)+0.35*COS(2*PI()*(Inputs!$C$6)/Inputs!$C$40)+0.2*SIN(2*PI()*((Model_Data!A35)+(Inputs!$C$6))/(0.5*(Inputs!$C$39+Inputs!$C$40))))+Inputs!$C$38*SIN(2*PI()*(Model_Data!A35)/Inputs!$C$39)*SIN(2*PI()*(Inputs!$C$6)/Inputs!$C$40)+-Inputs!$C$41*EXP(-(((Inputs!$C$6)-Inputs!$C$43)^2)/(2*Inputs!$C$44^2))*EXP(-(((Model_Data!A35)-Inputs!$C$42)^2)/(2*Inputs!$C$45^2))+Inputs!$C$48*(0.7*(0.45*SIN(2*PI()*(((Model_Data!A35)/Inputs!$C$49)+Inputs!$C$47*0.137))+0.35*COS(2*PI()*(((Inputs!$C$6)/Inputs!$C$50)+Inputs!$C$47*0.173))+0.2*SIN(2*PI()*(((Model_Data!A35)+(Inputs!$C$6))/(0.5*(Inputs!$C$49+Inputs!$C$50))+Inputs!$C$47*0.097)))+0.3*(2*((SIN(((Model_Data!A35)*12.9898+(Inputs!$C$6)*78.233+Inputs!$C$47*37.719))*43758.5453)-INT((SIN(((Model_Data!A35)*12.9898+(Inputs!$C$6)*78.233+Inputs!$C$47*37.719))*43758.5453)))-1))))/1000)^2)</f>
        <v>405.01129568139226</v>
      </c>
      <c r="AB35" s="9">
        <f>1000*(AA36-AA34)/(Z36-Z34)*Inputs!$C$11</f>
        <v>-735.65224233129811</v>
      </c>
      <c r="AC35" s="9">
        <f>-2*AB35/Inputs!$C$13</f>
        <v>294.26089693251924</v>
      </c>
      <c r="AD35" s="9">
        <f>-2*AB35/Inputs!$C$14</f>
        <v>44.183317857735624</v>
      </c>
    </row>
    <row r="36" spans="1:30">
      <c r="A36" s="9">
        <f>Model_Data!A36</f>
        <v>-43</v>
      </c>
      <c r="B36" s="9">
        <f>((SQRT((Model_Data!A36)^2+Inputs!$C$6^2+Inputs!$C$5^2)-Inputs!$C$5)*1000/Inputs!$C$12)</f>
        <v>1730.6949965560814</v>
      </c>
      <c r="C36" s="9">
        <f>Model_Data!F36</f>
        <v>1721.9184540215401</v>
      </c>
      <c r="D36" s="9">
        <f>(((SQRT((Model_Data!A36)^2+Inputs!$C$6^2+((Model_Data!B36)-((Inputs!$C$51*(115*EXP(-(((Inputs!$C$6)-25)^2)/(4.5^2))+70*EXP(-(((Inputs!$C$6)+38)^2)/(7^2))*(0.55+0.45*SIN(2*PI()*(Model_Data!A36)/45))+24*SIN(2*PI()*(Inputs!$C$6)/9+(Model_Data!A36)/18)*EXP(-(((Inputs!$C$6)+5)^2)/(22^2))+18*SIN(2*PI()*(Model_Data!A36)/70))+Inputs!$C$28*EXP(-(((Model_Data!A36)-Inputs!$C$29)^2)/(2*Inputs!$C$31^2))*EXP(-(((Inputs!$C$6)-Inputs!$C$30)^2)/(2*Inputs!$C$32^2))+-Inputs!$C$33*EXP(-(((((Model_Data!A36)-Inputs!$C$34)^2)+(((Inputs!$C$6)-Inputs!$C$35)^2))/(2*Inputs!$C$36^2)))+Inputs!$C$37*(0.55*SIN(2*PI()*(Model_Data!A36)/Inputs!$C$39)+0.35*COS(2*PI()*(Inputs!$C$6)/Inputs!$C$40)+0.2*SIN(2*PI()*((Model_Data!A36)+(Inputs!$C$6))/(0.5*(Inputs!$C$39+Inputs!$C$40))))+Inputs!$C$38*SIN(2*PI()*(Model_Data!A36)/Inputs!$C$39)*SIN(2*PI()*(Inputs!$C$6)/Inputs!$C$40)+-Inputs!$C$41*EXP(-(((Inputs!$C$6)-Inputs!$C$43)^2)/(2*Inputs!$C$44^2))*EXP(-(((Model_Data!A36)-Inputs!$C$42)^2)/(2*Inputs!$C$45^2))+Inputs!$C$48*(0.7*(0.45*SIN(2*PI()*(((Model_Data!A36)/Inputs!$C$49)+Inputs!$C$47*0.137))+0.35*COS(2*PI()*(((Inputs!$C$6)/Inputs!$C$50)+Inputs!$C$47*0.173))+0.2*SIN(2*PI()*(((Model_Data!A36)+(Inputs!$C$6))/(0.5*(Inputs!$C$49+Inputs!$C$50))+Inputs!$C$47*0.097)))+0.3*(2*((SIN(((Model_Data!A36)*12.9898+(Inputs!$C$6)*78.233+Inputs!$C$47*37.719))*43758.5453)-INT((SIN(((Model_Data!A36)*12.9898+(Inputs!$C$6)*78.233+Inputs!$C$47*37.719))*43758.5453)))-1))))/1000)^2))-(((Model_Data!B36)-((Inputs!$C$51*(115*EXP(-(((0)-25)^2)/(4.5^2))+70*EXP(-(((0)+38)^2)/(7^2))*(0.55+0.45*SIN(2*PI()*(Model_Data!A36)/45))+24*SIN(2*PI()*(0)/9+(Model_Data!A36)/18)*EXP(-(((0)+5)^2)/(22^2))+18*SIN(2*PI()*(Model_Data!A36)/70))+Inputs!$C$28*EXP(-(((Model_Data!A36)-Inputs!$C$29)^2)/(2*Inputs!$C$31^2))*EXP(-(((0)-Inputs!$C$30)^2)/(2*Inputs!$C$32^2))+-Inputs!$C$33*EXP(-(((((Model_Data!A36)-Inputs!$C$34)^2)+(((0)-Inputs!$C$35)^2))/(2*Inputs!$C$36^2)))+Inputs!$C$37*(0.55*SIN(2*PI()*(Model_Data!A36)/Inputs!$C$39)+0.35*COS(2*PI()*(0)/Inputs!$C$40)+0.2*SIN(2*PI()*((Model_Data!A36)+(0))/(0.5*(Inputs!$C$39+Inputs!$C$40))))+Inputs!$C$38*SIN(2*PI()*(Model_Data!A36)/Inputs!$C$39)*SIN(2*PI()*(0)/Inputs!$C$40)+-Inputs!$C$41*EXP(-(((0)-Inputs!$C$43)^2)/(2*Inputs!$C$44^2))*EXP(-(((Model_Data!A36)-Inputs!$C$42)^2)/(2*Inputs!$C$45^2))+Inputs!$C$48*(0.7*(0.45*SIN(2*PI()*(((Model_Data!A36)/Inputs!$C$49)+Inputs!$C$47*0.137))+0.35*COS(2*PI()*(((0)/Inputs!$C$50)+Inputs!$C$47*0.173))+0.2*SIN(2*PI()*(((Model_Data!A36)+(0))/(0.5*(Inputs!$C$49+Inputs!$C$50))+Inputs!$C$47*0.097)))+0.3*(2*((SIN(((Model_Data!A36)*12.9898+(0)*78.233+Inputs!$C$47*37.719))*43758.5453)-INT((SIN(((Model_Data!A36)*12.9898+(0)*78.233+Inputs!$C$47*37.719))*43758.5453)))-1))))/1000)))*1000/Inputs!$C$12)</f>
        <v>1623.3247817969609</v>
      </c>
      <c r="E36" s="9">
        <f>Model_Data!A36</f>
        <v>-43</v>
      </c>
      <c r="F36" s="9">
        <f>(Inputs!$C$51*(115*EXP(-(((Inputs!$C$6)-25)^2)/(4.5^2))+70*EXP(-(((Inputs!$C$6)+38)^2)/(7^2))*(0.55+0.45*SIN(2*PI()*(Model_Data!A36)/45))+24*SIN(2*PI()*(Inputs!$C$6)/9+(Model_Data!A36)/18)*EXP(-(((Inputs!$C$6)+5)^2)/(22^2))+18*SIN(2*PI()*(Model_Data!A36)/70))+Inputs!$C$28*EXP(-(((Model_Data!A36)-Inputs!$C$29)^2)/(2*Inputs!$C$31^2))*EXP(-(((Inputs!$C$6)-Inputs!$C$30)^2)/(2*Inputs!$C$32^2))+-Inputs!$C$33*EXP(-(((((Model_Data!A36)-Inputs!$C$34)^2)+(((Inputs!$C$6)-Inputs!$C$35)^2))/(2*Inputs!$C$36^2)))+Inputs!$C$37*(0.55*SIN(2*PI()*(Model_Data!A36)/Inputs!$C$39)+0.35*COS(2*PI()*(Inputs!$C$6)/Inputs!$C$40)+0.2*SIN(2*PI()*((Model_Data!A36)+(Inputs!$C$6))/(0.5*(Inputs!$C$39+Inputs!$C$40))))+Inputs!$C$38*SIN(2*PI()*(Model_Data!A36)/Inputs!$C$39)*SIN(2*PI()*(Inputs!$C$6)/Inputs!$C$40)+-Inputs!$C$41*EXP(-(((Inputs!$C$6)-Inputs!$C$43)^2)/(2*Inputs!$C$44^2))*EXP(-(((Model_Data!A36)-Inputs!$C$42)^2)/(2*Inputs!$C$45^2))+Inputs!$C$48*(0.7*(0.45*SIN(2*PI()*(((Model_Data!A36)/Inputs!$C$49)+Inputs!$C$47*0.137))+0.35*COS(2*PI()*(((Inputs!$C$6)/Inputs!$C$50)+Inputs!$C$47*0.173))+0.2*SIN(2*PI()*(((Model_Data!A36)+(Inputs!$C$6))/(0.5*(Inputs!$C$49+Inputs!$C$50))+Inputs!$C$47*0.097)))+0.3*(2*((SIN(((Model_Data!A36)*12.9898+(Inputs!$C$6)*78.233+Inputs!$C$47*37.719))*43758.5453)-INT((SIN(((Model_Data!A36)*12.9898+(Inputs!$C$6)*78.233+Inputs!$C$47*37.719))*43758.5453)))-1)))</f>
        <v>180.5581841932563</v>
      </c>
      <c r="G36" s="9">
        <f>(Inputs!$C$51*(115*EXP(-(((0)-25)^2)/(4.5^2))+70*EXP(-(((0)+38)^2)/(7^2))*(0.55+0.45*SIN(2*PI()*(Model_Data!A36)/45))+24*SIN(2*PI()*(0)/9+(Model_Data!A36)/18)*EXP(-(((0)+5)^2)/(22^2))+18*SIN(2*PI()*(Model_Data!A36)/70))+Inputs!$C$28*EXP(-(((Model_Data!A36)-Inputs!$C$29)^2)/(2*Inputs!$C$31^2))*EXP(-(((0)-Inputs!$C$30)^2)/(2*Inputs!$C$32^2))+-Inputs!$C$33*EXP(-(((((Model_Data!A36)-Inputs!$C$34)^2)+(((0)-Inputs!$C$35)^2))/(2*Inputs!$C$36^2)))+Inputs!$C$37*(0.55*SIN(2*PI()*(Model_Data!A36)/Inputs!$C$39)+0.35*COS(2*PI()*(0)/Inputs!$C$40)+0.2*SIN(2*PI()*((Model_Data!A36)+(0))/(0.5*(Inputs!$C$39+Inputs!$C$40))))+Inputs!$C$38*SIN(2*PI()*(Model_Data!A36)/Inputs!$C$39)*SIN(2*PI()*(0)/Inputs!$C$40)+-Inputs!$C$41*EXP(-(((0)-Inputs!$C$43)^2)/(2*Inputs!$C$44^2))*EXP(-(((Model_Data!A36)-Inputs!$C$42)^2)/(2*Inputs!$C$45^2))+Inputs!$C$48*(0.7*(0.45*SIN(2*PI()*(((Model_Data!A36)/Inputs!$C$49)+Inputs!$C$47*0.137))+0.35*COS(2*PI()*(((0)/Inputs!$C$50)+Inputs!$C$47*0.173))+0.2*SIN(2*PI()*(((Model_Data!A36)+(0))/(0.5*(Inputs!$C$49+Inputs!$C$50))+Inputs!$C$47*0.097)))+0.3*(2*((SIN(((Model_Data!A36)*12.9898+(0)*78.233+Inputs!$C$47*37.719))*43758.5453)-INT((SIN(((Model_Data!A36)*12.9898+(0)*78.233+Inputs!$C$47*37.719))*43758.5453)))-1)))</f>
        <v>3.69479063881065</v>
      </c>
      <c r="H36" s="10"/>
      <c r="I36" s="9">
        <f>Model_Data!A36</f>
        <v>-43</v>
      </c>
      <c r="J36" s="9">
        <f>(Inputs!$C$51*(115*EXP(-(((Inputs!$C$6)-25)^2)/(4.5^2))+70*EXP(-(((Inputs!$C$6)+38)^2)/(7^2))*(0.55+0.45*SIN(2*PI()*(Model_Data!A36)/45))+24*SIN(2*PI()*(Inputs!$C$6)/9+(Model_Data!A36)/18)*EXP(-(((Inputs!$C$6)+5)^2)/(22^2))+18*SIN(2*PI()*(Model_Data!A36)/70))+Inputs!$C$28*EXP(-(((Model_Data!A36)-Inputs!$C$29)^2)/(2*Inputs!$C$31^2))*EXP(-(((Inputs!$C$6)-Inputs!$C$30)^2)/(2*Inputs!$C$32^2))+-Inputs!$C$33*EXP(-(((((Model_Data!A36)-Inputs!$C$34)^2)+(((Inputs!$C$6)-Inputs!$C$35)^2))/(2*Inputs!$C$36^2)))+Inputs!$C$37*(0.55*SIN(2*PI()*(Model_Data!A36)/Inputs!$C$39)+0.35*COS(2*PI()*(Inputs!$C$6)/Inputs!$C$40)+0.2*SIN(2*PI()*((Model_Data!A36)+(Inputs!$C$6))/(0.5*(Inputs!$C$39+Inputs!$C$40))))+Inputs!$C$38*SIN(2*PI()*(Model_Data!A36)/Inputs!$C$39)*SIN(2*PI()*(Inputs!$C$6)/Inputs!$C$40)+-Inputs!$C$41*EXP(-(((Inputs!$C$6)-Inputs!$C$43)^2)/(2*Inputs!$C$44^2))*EXP(-(((Model_Data!A36)-Inputs!$C$42)^2)/(2*Inputs!$C$45^2))+Inputs!$C$48*(0.7*(0.45*SIN(2*PI()*(((Model_Data!A36)/Inputs!$C$49)+Inputs!$C$47*0.137))+0.35*COS(2*PI()*(((Inputs!$C$6)/Inputs!$C$50)+Inputs!$C$47*0.173))+0.2*SIN(2*PI()*(((Model_Data!A36)+(Inputs!$C$6))/(0.5*(Inputs!$C$49+Inputs!$C$50))+Inputs!$C$47*0.097)))+0.3*(2*((SIN(((Model_Data!A36)*12.9898+(Inputs!$C$6)*78.233+Inputs!$C$47*37.719))*43758.5453)-INT((SIN(((Model_Data!A36)*12.9898+(Inputs!$C$6)*78.233+Inputs!$C$47*37.719))*43758.5453)))-1)))</f>
        <v>180.5581841932563</v>
      </c>
      <c r="K36" s="9">
        <f>-((((SQRT((Model_Data!A36)^2+Inputs!$C$6^2+((Model_Data!B36)-((Inputs!$C$51*(115*EXP(-(((Inputs!$C$6)-25)^2)/(4.5^2))+70*EXP(-(((Inputs!$C$6)+38)^2)/(7^2))*(0.55+0.45*SIN(2*PI()*(Model_Data!A36)/45))+24*SIN(2*PI()*(Inputs!$C$6)/9+(Model_Data!A36)/18)*EXP(-(((Inputs!$C$6)+5)^2)/(22^2))+18*SIN(2*PI()*(Model_Data!A36)/70))+Inputs!$C$28*EXP(-(((Model_Data!A36)-Inputs!$C$29)^2)/(2*Inputs!$C$31^2))*EXP(-(((Inputs!$C$6)-Inputs!$C$30)^2)/(2*Inputs!$C$32^2))+-Inputs!$C$33*EXP(-(((((Model_Data!A36)-Inputs!$C$34)^2)+(((Inputs!$C$6)-Inputs!$C$35)^2))/(2*Inputs!$C$36^2)))+Inputs!$C$37*(0.55*SIN(2*PI()*(Model_Data!A36)/Inputs!$C$39)+0.35*COS(2*PI()*(Inputs!$C$6)/Inputs!$C$40)+0.2*SIN(2*PI()*((Model_Data!A36)+(Inputs!$C$6))/(0.5*(Inputs!$C$39+Inputs!$C$40))))+Inputs!$C$38*SIN(2*PI()*(Model_Data!A36)/Inputs!$C$39)*SIN(2*PI()*(Inputs!$C$6)/Inputs!$C$40)+-Inputs!$C$41*EXP(-(((Inputs!$C$6)-Inputs!$C$43)^2)/(2*Inputs!$C$44^2))*EXP(-(((Model_Data!A36)-Inputs!$C$42)^2)/(2*Inputs!$C$45^2))+Inputs!$C$48*(0.7*(0.45*SIN(2*PI()*(((Model_Data!A36)/Inputs!$C$49)+Inputs!$C$47*0.137))+0.35*COS(2*PI()*(((Inputs!$C$6)/Inputs!$C$50)+Inputs!$C$47*0.173))+0.2*SIN(2*PI()*(((Model_Data!A36)+(Inputs!$C$6))/(0.5*(Inputs!$C$49+Inputs!$C$50))+Inputs!$C$47*0.097)))+0.3*(2*((SIN(((Model_Data!A36)*12.9898+(Inputs!$C$6)*78.233+Inputs!$C$47*37.719))*43758.5453)-INT((SIN(((Model_Data!A36)*12.9898+(Inputs!$C$6)*78.233+Inputs!$C$47*37.719))*43758.5453)))-1))))/1000)^2))-(((Model_Data!B36)-((Inputs!$C$51*(115*EXP(-(((0)-25)^2)/(4.5^2))+70*EXP(-(((0)+38)^2)/(7^2))*(0.55+0.45*SIN(2*PI()*(Model_Data!A36)/45))+24*SIN(2*PI()*(0)/9+(Model_Data!A36)/18)*EXP(-(((0)+5)^2)/(22^2))+18*SIN(2*PI()*(Model_Data!A36)/70))+Inputs!$C$28*EXP(-(((Model_Data!A36)-Inputs!$C$29)^2)/(2*Inputs!$C$31^2))*EXP(-(((0)-Inputs!$C$30)^2)/(2*Inputs!$C$32^2))+-Inputs!$C$33*EXP(-(((((Model_Data!A36)-Inputs!$C$34)^2)+(((0)-Inputs!$C$35)^2))/(2*Inputs!$C$36^2)))+Inputs!$C$37*(0.55*SIN(2*PI()*(Model_Data!A36)/Inputs!$C$39)+0.35*COS(2*PI()*(0)/Inputs!$C$40)+0.2*SIN(2*PI()*((Model_Data!A36)+(0))/(0.5*(Inputs!$C$39+Inputs!$C$40))))+Inputs!$C$38*SIN(2*PI()*(Model_Data!A36)/Inputs!$C$39)*SIN(2*PI()*(0)/Inputs!$C$40)+-Inputs!$C$41*EXP(-(((0)-Inputs!$C$43)^2)/(2*Inputs!$C$44^2))*EXP(-(((Model_Data!A36)-Inputs!$C$42)^2)/(2*Inputs!$C$45^2))+Inputs!$C$48*(0.7*(0.45*SIN(2*PI()*(((Model_Data!A36)/Inputs!$C$49)+Inputs!$C$47*0.137))+0.35*COS(2*PI()*(((0)/Inputs!$C$50)+Inputs!$C$47*0.173))+0.2*SIN(2*PI()*(((Model_Data!A36)+(0))/(0.5*(Inputs!$C$49+Inputs!$C$50))+Inputs!$C$47*0.097)))+0.3*(2*((SIN(((Model_Data!A36)*12.9898+(0)*78.233+Inputs!$C$47*37.719))*43758.5453)-INT((SIN(((Model_Data!A36)*12.9898+(0)*78.233+Inputs!$C$47*37.719))*43758.5453)))-1))))/1000)))*1000/Inputs!$C$12)-Model_Data!F36)</f>
        <v>98.593672224579223</v>
      </c>
      <c r="L36" s="10"/>
      <c r="M36" s="9">
        <f>Model_Data!A36</f>
        <v>-43</v>
      </c>
      <c r="N36" s="9">
        <f>Model_Data!P36</f>
        <v>321.55862745132083</v>
      </c>
      <c r="O36" s="9">
        <f t="shared" si="0"/>
        <v>275.40097239234456</v>
      </c>
      <c r="P36" s="9">
        <f>Model_Data!Q36</f>
        <v>48.282076193892024</v>
      </c>
      <c r="Q36" s="9">
        <f t="shared" si="1"/>
        <v>41.351497356207894</v>
      </c>
      <c r="R36" s="10"/>
      <c r="S36" s="9">
        <f>Model_Data!A36</f>
        <v>-43</v>
      </c>
      <c r="T36" s="9">
        <f>Model_Data!B36-Inputs!$C$5</f>
        <v>2.0544444444444707</v>
      </c>
      <c r="U36" s="10"/>
      <c r="V36" s="9">
        <f>Model_Data!A36</f>
        <v>-43</v>
      </c>
      <c r="W36" s="9">
        <f>((SQRT((Model_Data!A36)^2+Inputs!$C$6^2+Inputs!$C$5^2)-Inputs!$C$5)*1000/Inputs!$C$12)</f>
        <v>1730.6949965560814</v>
      </c>
      <c r="X36" s="9">
        <f>Model_Data!F36</f>
        <v>1721.9184540215401</v>
      </c>
      <c r="Y36" s="10"/>
      <c r="Z36" s="9">
        <f>Model_Data!A36</f>
        <v>-43</v>
      </c>
      <c r="AA36" s="9">
        <f>SQRT((Model_Data!A36)^2+Inputs!$C$6^2+((Model_Data!B36)-((Inputs!$C$51*(115*EXP(-(((Inputs!$C$6)-25)^2)/(4.5^2))+70*EXP(-(((Inputs!$C$6)+38)^2)/(7^2))*(0.55+0.45*SIN(2*PI()*(Model_Data!A36)/45))+24*SIN(2*PI()*(Inputs!$C$6)/9+(Model_Data!A36)/18)*EXP(-(((Inputs!$C$6)+5)^2)/(22^2))+18*SIN(2*PI()*(Model_Data!A36)/70))+Inputs!$C$28*EXP(-(((Model_Data!A36)-Inputs!$C$29)^2)/(2*Inputs!$C$31^2))*EXP(-(((Inputs!$C$6)-Inputs!$C$30)^2)/(2*Inputs!$C$32^2))+-Inputs!$C$33*EXP(-(((((Model_Data!A36)-Inputs!$C$34)^2)+(((Inputs!$C$6)-Inputs!$C$35)^2))/(2*Inputs!$C$36^2)))+Inputs!$C$37*(0.55*SIN(2*PI()*(Model_Data!A36)/Inputs!$C$39)+0.35*COS(2*PI()*(Inputs!$C$6)/Inputs!$C$40)+0.2*SIN(2*PI()*((Model_Data!A36)+(Inputs!$C$6))/(0.5*(Inputs!$C$39+Inputs!$C$40))))+Inputs!$C$38*SIN(2*PI()*(Model_Data!A36)/Inputs!$C$39)*SIN(2*PI()*(Inputs!$C$6)/Inputs!$C$40)+-Inputs!$C$41*EXP(-(((Inputs!$C$6)-Inputs!$C$43)^2)/(2*Inputs!$C$44^2))*EXP(-(((Model_Data!A36)-Inputs!$C$42)^2)/(2*Inputs!$C$45^2))+Inputs!$C$48*(0.7*(0.45*SIN(2*PI()*(((Model_Data!A36)/Inputs!$C$49)+Inputs!$C$47*0.137))+0.35*COS(2*PI()*(((Inputs!$C$6)/Inputs!$C$50)+Inputs!$C$47*0.173))+0.2*SIN(2*PI()*(((Model_Data!A36)+(Inputs!$C$6))/(0.5*(Inputs!$C$49+Inputs!$C$50))+Inputs!$C$47*0.097)))+0.3*(2*((SIN(((Model_Data!A36)*12.9898+(Inputs!$C$6)*78.233+Inputs!$C$47*37.719))*43758.5453)-INT((SIN(((Model_Data!A36)*12.9898+(Inputs!$C$6)*78.233+Inputs!$C$47*37.719))*43758.5453)))-1))))/1000)^2)</f>
        <v>404.94026776540426</v>
      </c>
      <c r="AB36" s="9">
        <f>1000*(AA37-AA35)/(Z37-Z35)*Inputs!$C$11</f>
        <v>-688.50243098086139</v>
      </c>
      <c r="AC36" s="9">
        <f>-2*AB36/Inputs!$C$13</f>
        <v>275.40097239234456</v>
      </c>
      <c r="AD36" s="9">
        <f>-2*AB36/Inputs!$C$14</f>
        <v>41.351497356207894</v>
      </c>
    </row>
    <row r="37" spans="1:30">
      <c r="A37" s="9">
        <f>Model_Data!A37</f>
        <v>-42.5</v>
      </c>
      <c r="B37" s="9">
        <f>((SQRT((Model_Data!A37)^2+Inputs!$C$6^2+Inputs!$C$5^2)-Inputs!$C$5)*1000/Inputs!$C$12)</f>
        <v>1700.9014121552116</v>
      </c>
      <c r="C37" s="9">
        <f>Model_Data!F37</f>
        <v>1692.4732969044633</v>
      </c>
      <c r="D37" s="9">
        <f>(((SQRT((Model_Data!A37)^2+Inputs!$C$6^2+((Model_Data!B37)-((Inputs!$C$51*(115*EXP(-(((Inputs!$C$6)-25)^2)/(4.5^2))+70*EXP(-(((Inputs!$C$6)+38)^2)/(7^2))*(0.55+0.45*SIN(2*PI()*(Model_Data!A37)/45))+24*SIN(2*PI()*(Inputs!$C$6)/9+(Model_Data!A37)/18)*EXP(-(((Inputs!$C$6)+5)^2)/(22^2))+18*SIN(2*PI()*(Model_Data!A37)/70))+Inputs!$C$28*EXP(-(((Model_Data!A37)-Inputs!$C$29)^2)/(2*Inputs!$C$31^2))*EXP(-(((Inputs!$C$6)-Inputs!$C$30)^2)/(2*Inputs!$C$32^2))+-Inputs!$C$33*EXP(-(((((Model_Data!A37)-Inputs!$C$34)^2)+(((Inputs!$C$6)-Inputs!$C$35)^2))/(2*Inputs!$C$36^2)))+Inputs!$C$37*(0.55*SIN(2*PI()*(Model_Data!A37)/Inputs!$C$39)+0.35*COS(2*PI()*(Inputs!$C$6)/Inputs!$C$40)+0.2*SIN(2*PI()*((Model_Data!A37)+(Inputs!$C$6))/(0.5*(Inputs!$C$39+Inputs!$C$40))))+Inputs!$C$38*SIN(2*PI()*(Model_Data!A37)/Inputs!$C$39)*SIN(2*PI()*(Inputs!$C$6)/Inputs!$C$40)+-Inputs!$C$41*EXP(-(((Inputs!$C$6)-Inputs!$C$43)^2)/(2*Inputs!$C$44^2))*EXP(-(((Model_Data!A37)-Inputs!$C$42)^2)/(2*Inputs!$C$45^2))+Inputs!$C$48*(0.7*(0.45*SIN(2*PI()*(((Model_Data!A37)/Inputs!$C$49)+Inputs!$C$47*0.137))+0.35*COS(2*PI()*(((Inputs!$C$6)/Inputs!$C$50)+Inputs!$C$47*0.173))+0.2*SIN(2*PI()*(((Model_Data!A37)+(Inputs!$C$6))/(0.5*(Inputs!$C$49+Inputs!$C$50))+Inputs!$C$47*0.097)))+0.3*(2*((SIN(((Model_Data!A37)*12.9898+(Inputs!$C$6)*78.233+Inputs!$C$47*37.719))*43758.5453)-INT((SIN(((Model_Data!A37)*12.9898+(Inputs!$C$6)*78.233+Inputs!$C$47*37.719))*43758.5453)))-1))))/1000)^2))-(((Model_Data!B37)-((Inputs!$C$51*(115*EXP(-(((0)-25)^2)/(4.5^2))+70*EXP(-(((0)+38)^2)/(7^2))*(0.55+0.45*SIN(2*PI()*(Model_Data!A37)/45))+24*SIN(2*PI()*(0)/9+(Model_Data!A37)/18)*EXP(-(((0)+5)^2)/(22^2))+18*SIN(2*PI()*(Model_Data!A37)/70))+Inputs!$C$28*EXP(-(((Model_Data!A37)-Inputs!$C$29)^2)/(2*Inputs!$C$31^2))*EXP(-(((0)-Inputs!$C$30)^2)/(2*Inputs!$C$32^2))+-Inputs!$C$33*EXP(-(((((Model_Data!A37)-Inputs!$C$34)^2)+(((0)-Inputs!$C$35)^2))/(2*Inputs!$C$36^2)))+Inputs!$C$37*(0.55*SIN(2*PI()*(Model_Data!A37)/Inputs!$C$39)+0.35*COS(2*PI()*(0)/Inputs!$C$40)+0.2*SIN(2*PI()*((Model_Data!A37)+(0))/(0.5*(Inputs!$C$39+Inputs!$C$40))))+Inputs!$C$38*SIN(2*PI()*(Model_Data!A37)/Inputs!$C$39)*SIN(2*PI()*(0)/Inputs!$C$40)+-Inputs!$C$41*EXP(-(((0)-Inputs!$C$43)^2)/(2*Inputs!$C$44^2))*EXP(-(((Model_Data!A37)-Inputs!$C$42)^2)/(2*Inputs!$C$45^2))+Inputs!$C$48*(0.7*(0.45*SIN(2*PI()*(((Model_Data!A37)/Inputs!$C$49)+Inputs!$C$47*0.137))+0.35*COS(2*PI()*(((0)/Inputs!$C$50)+Inputs!$C$47*0.173))+0.2*SIN(2*PI()*(((Model_Data!A37)+(0))/(0.5*(Inputs!$C$49+Inputs!$C$50))+Inputs!$C$47*0.097)))+0.3*(2*((SIN(((Model_Data!A37)*12.9898+(0)*78.233+Inputs!$C$47*37.719))*43758.5453)-INT((SIN(((Model_Data!A37)*12.9898+(0)*78.233+Inputs!$C$47*37.719))*43758.5453)))-1))))/1000)))*1000/Inputs!$C$12)</f>
        <v>1596.4624599420724</v>
      </c>
      <c r="E37" s="9">
        <f>Model_Data!A37</f>
        <v>-42.5</v>
      </c>
      <c r="F37" s="9">
        <f>(Inputs!$C$51*(115*EXP(-(((Inputs!$C$6)-25)^2)/(4.5^2))+70*EXP(-(((Inputs!$C$6)+38)^2)/(7^2))*(0.55+0.45*SIN(2*PI()*(Model_Data!A37)/45))+24*SIN(2*PI()*(Inputs!$C$6)/9+(Model_Data!A37)/18)*EXP(-(((Inputs!$C$6)+5)^2)/(22^2))+18*SIN(2*PI()*(Model_Data!A37)/70))+Inputs!$C$28*EXP(-(((Model_Data!A37)-Inputs!$C$29)^2)/(2*Inputs!$C$31^2))*EXP(-(((Inputs!$C$6)-Inputs!$C$30)^2)/(2*Inputs!$C$32^2))+-Inputs!$C$33*EXP(-(((((Model_Data!A37)-Inputs!$C$34)^2)+(((Inputs!$C$6)-Inputs!$C$35)^2))/(2*Inputs!$C$36^2)))+Inputs!$C$37*(0.55*SIN(2*PI()*(Model_Data!A37)/Inputs!$C$39)+0.35*COS(2*PI()*(Inputs!$C$6)/Inputs!$C$40)+0.2*SIN(2*PI()*((Model_Data!A37)+(Inputs!$C$6))/(0.5*(Inputs!$C$39+Inputs!$C$40))))+Inputs!$C$38*SIN(2*PI()*(Model_Data!A37)/Inputs!$C$39)*SIN(2*PI()*(Inputs!$C$6)/Inputs!$C$40)+-Inputs!$C$41*EXP(-(((Inputs!$C$6)-Inputs!$C$43)^2)/(2*Inputs!$C$44^2))*EXP(-(((Model_Data!A37)-Inputs!$C$42)^2)/(2*Inputs!$C$45^2))+Inputs!$C$48*(0.7*(0.45*SIN(2*PI()*(((Model_Data!A37)/Inputs!$C$49)+Inputs!$C$47*0.137))+0.35*COS(2*PI()*(((Inputs!$C$6)/Inputs!$C$50)+Inputs!$C$47*0.173))+0.2*SIN(2*PI()*(((Model_Data!A37)+(Inputs!$C$6))/(0.5*(Inputs!$C$49+Inputs!$C$50))+Inputs!$C$47*0.097)))+0.3*(2*((SIN(((Model_Data!A37)*12.9898+(Inputs!$C$6)*78.233+Inputs!$C$47*37.719))*43758.5453)-INT((SIN(((Model_Data!A37)*12.9898+(Inputs!$C$6)*78.233+Inputs!$C$47*37.719))*43758.5453)))-1)))</f>
        <v>181.72917551772019</v>
      </c>
      <c r="G37" s="9">
        <f>(Inputs!$C$51*(115*EXP(-(((0)-25)^2)/(4.5^2))+70*EXP(-(((0)+38)^2)/(7^2))*(0.55+0.45*SIN(2*PI()*(Model_Data!A37)/45))+24*SIN(2*PI()*(0)/9+(Model_Data!A37)/18)*EXP(-(((0)+5)^2)/(22^2))+18*SIN(2*PI()*(Model_Data!A37)/70))+Inputs!$C$28*EXP(-(((Model_Data!A37)-Inputs!$C$29)^2)/(2*Inputs!$C$31^2))*EXP(-(((0)-Inputs!$C$30)^2)/(2*Inputs!$C$32^2))+-Inputs!$C$33*EXP(-(((((Model_Data!A37)-Inputs!$C$34)^2)+(((0)-Inputs!$C$35)^2))/(2*Inputs!$C$36^2)))+Inputs!$C$37*(0.55*SIN(2*PI()*(Model_Data!A37)/Inputs!$C$39)+0.35*COS(2*PI()*(0)/Inputs!$C$40)+0.2*SIN(2*PI()*((Model_Data!A37)+(0))/(0.5*(Inputs!$C$39+Inputs!$C$40))))+Inputs!$C$38*SIN(2*PI()*(Model_Data!A37)/Inputs!$C$39)*SIN(2*PI()*(0)/Inputs!$C$40)+-Inputs!$C$41*EXP(-(((0)-Inputs!$C$43)^2)/(2*Inputs!$C$44^2))*EXP(-(((Model_Data!A37)-Inputs!$C$42)^2)/(2*Inputs!$C$45^2))+Inputs!$C$48*(0.7*(0.45*SIN(2*PI()*(((Model_Data!A37)/Inputs!$C$49)+Inputs!$C$47*0.137))+0.35*COS(2*PI()*(((0)/Inputs!$C$50)+Inputs!$C$47*0.173))+0.2*SIN(2*PI()*(((Model_Data!A37)+(0))/(0.5*(Inputs!$C$49+Inputs!$C$50))+Inputs!$C$47*0.097)))+0.3*(2*((SIN(((Model_Data!A37)*12.9898+(0)*78.233+Inputs!$C$47*37.719))*43758.5453)-INT((SIN(((Model_Data!A37)*12.9898+(0)*78.233+Inputs!$C$47*37.719))*43758.5453)))-1)))</f>
        <v>9.4775494942885228</v>
      </c>
      <c r="H37" s="10"/>
      <c r="I37" s="9">
        <f>Model_Data!A37</f>
        <v>-42.5</v>
      </c>
      <c r="J37" s="9">
        <f>(Inputs!$C$51*(115*EXP(-(((Inputs!$C$6)-25)^2)/(4.5^2))+70*EXP(-(((Inputs!$C$6)+38)^2)/(7^2))*(0.55+0.45*SIN(2*PI()*(Model_Data!A37)/45))+24*SIN(2*PI()*(Inputs!$C$6)/9+(Model_Data!A37)/18)*EXP(-(((Inputs!$C$6)+5)^2)/(22^2))+18*SIN(2*PI()*(Model_Data!A37)/70))+Inputs!$C$28*EXP(-(((Model_Data!A37)-Inputs!$C$29)^2)/(2*Inputs!$C$31^2))*EXP(-(((Inputs!$C$6)-Inputs!$C$30)^2)/(2*Inputs!$C$32^2))+-Inputs!$C$33*EXP(-(((((Model_Data!A37)-Inputs!$C$34)^2)+(((Inputs!$C$6)-Inputs!$C$35)^2))/(2*Inputs!$C$36^2)))+Inputs!$C$37*(0.55*SIN(2*PI()*(Model_Data!A37)/Inputs!$C$39)+0.35*COS(2*PI()*(Inputs!$C$6)/Inputs!$C$40)+0.2*SIN(2*PI()*((Model_Data!A37)+(Inputs!$C$6))/(0.5*(Inputs!$C$39+Inputs!$C$40))))+Inputs!$C$38*SIN(2*PI()*(Model_Data!A37)/Inputs!$C$39)*SIN(2*PI()*(Inputs!$C$6)/Inputs!$C$40)+-Inputs!$C$41*EXP(-(((Inputs!$C$6)-Inputs!$C$43)^2)/(2*Inputs!$C$44^2))*EXP(-(((Model_Data!A37)-Inputs!$C$42)^2)/(2*Inputs!$C$45^2))+Inputs!$C$48*(0.7*(0.45*SIN(2*PI()*(((Model_Data!A37)/Inputs!$C$49)+Inputs!$C$47*0.137))+0.35*COS(2*PI()*(((Inputs!$C$6)/Inputs!$C$50)+Inputs!$C$47*0.173))+0.2*SIN(2*PI()*(((Model_Data!A37)+(Inputs!$C$6))/(0.5*(Inputs!$C$49+Inputs!$C$50))+Inputs!$C$47*0.097)))+0.3*(2*((SIN(((Model_Data!A37)*12.9898+(Inputs!$C$6)*78.233+Inputs!$C$47*37.719))*43758.5453)-INT((SIN(((Model_Data!A37)*12.9898+(Inputs!$C$6)*78.233+Inputs!$C$47*37.719))*43758.5453)))-1)))</f>
        <v>181.72917551772019</v>
      </c>
      <c r="K37" s="9">
        <f>-((((SQRT((Model_Data!A37)^2+Inputs!$C$6^2+((Model_Data!B37)-((Inputs!$C$51*(115*EXP(-(((Inputs!$C$6)-25)^2)/(4.5^2))+70*EXP(-(((Inputs!$C$6)+38)^2)/(7^2))*(0.55+0.45*SIN(2*PI()*(Model_Data!A37)/45))+24*SIN(2*PI()*(Inputs!$C$6)/9+(Model_Data!A37)/18)*EXP(-(((Inputs!$C$6)+5)^2)/(22^2))+18*SIN(2*PI()*(Model_Data!A37)/70))+Inputs!$C$28*EXP(-(((Model_Data!A37)-Inputs!$C$29)^2)/(2*Inputs!$C$31^2))*EXP(-(((Inputs!$C$6)-Inputs!$C$30)^2)/(2*Inputs!$C$32^2))+-Inputs!$C$33*EXP(-(((((Model_Data!A37)-Inputs!$C$34)^2)+(((Inputs!$C$6)-Inputs!$C$35)^2))/(2*Inputs!$C$36^2)))+Inputs!$C$37*(0.55*SIN(2*PI()*(Model_Data!A37)/Inputs!$C$39)+0.35*COS(2*PI()*(Inputs!$C$6)/Inputs!$C$40)+0.2*SIN(2*PI()*((Model_Data!A37)+(Inputs!$C$6))/(0.5*(Inputs!$C$39+Inputs!$C$40))))+Inputs!$C$38*SIN(2*PI()*(Model_Data!A37)/Inputs!$C$39)*SIN(2*PI()*(Inputs!$C$6)/Inputs!$C$40)+-Inputs!$C$41*EXP(-(((Inputs!$C$6)-Inputs!$C$43)^2)/(2*Inputs!$C$44^2))*EXP(-(((Model_Data!A37)-Inputs!$C$42)^2)/(2*Inputs!$C$45^2))+Inputs!$C$48*(0.7*(0.45*SIN(2*PI()*(((Model_Data!A37)/Inputs!$C$49)+Inputs!$C$47*0.137))+0.35*COS(2*PI()*(((Inputs!$C$6)/Inputs!$C$50)+Inputs!$C$47*0.173))+0.2*SIN(2*PI()*(((Model_Data!A37)+(Inputs!$C$6))/(0.5*(Inputs!$C$49+Inputs!$C$50))+Inputs!$C$47*0.097)))+0.3*(2*((SIN(((Model_Data!A37)*12.9898+(Inputs!$C$6)*78.233+Inputs!$C$47*37.719))*43758.5453)-INT((SIN(((Model_Data!A37)*12.9898+(Inputs!$C$6)*78.233+Inputs!$C$47*37.719))*43758.5453)))-1))))/1000)^2))-(((Model_Data!B37)-((Inputs!$C$51*(115*EXP(-(((0)-25)^2)/(4.5^2))+70*EXP(-(((0)+38)^2)/(7^2))*(0.55+0.45*SIN(2*PI()*(Model_Data!A37)/45))+24*SIN(2*PI()*(0)/9+(Model_Data!A37)/18)*EXP(-(((0)+5)^2)/(22^2))+18*SIN(2*PI()*(Model_Data!A37)/70))+Inputs!$C$28*EXP(-(((Model_Data!A37)-Inputs!$C$29)^2)/(2*Inputs!$C$31^2))*EXP(-(((0)-Inputs!$C$30)^2)/(2*Inputs!$C$32^2))+-Inputs!$C$33*EXP(-(((((Model_Data!A37)-Inputs!$C$34)^2)+(((0)-Inputs!$C$35)^2))/(2*Inputs!$C$36^2)))+Inputs!$C$37*(0.55*SIN(2*PI()*(Model_Data!A37)/Inputs!$C$39)+0.35*COS(2*PI()*(0)/Inputs!$C$40)+0.2*SIN(2*PI()*((Model_Data!A37)+(0))/(0.5*(Inputs!$C$39+Inputs!$C$40))))+Inputs!$C$38*SIN(2*PI()*(Model_Data!A37)/Inputs!$C$39)*SIN(2*PI()*(0)/Inputs!$C$40)+-Inputs!$C$41*EXP(-(((0)-Inputs!$C$43)^2)/(2*Inputs!$C$44^2))*EXP(-(((Model_Data!A37)-Inputs!$C$42)^2)/(2*Inputs!$C$45^2))+Inputs!$C$48*(0.7*(0.45*SIN(2*PI()*(((Model_Data!A37)/Inputs!$C$49)+Inputs!$C$47*0.137))+0.35*COS(2*PI()*(((0)/Inputs!$C$50)+Inputs!$C$47*0.173))+0.2*SIN(2*PI()*(((Model_Data!A37)+(0))/(0.5*(Inputs!$C$49+Inputs!$C$50))+Inputs!$C$47*0.097)))+0.3*(2*((SIN(((Model_Data!A37)*12.9898+(0)*78.233+Inputs!$C$47*37.719))*43758.5453)-INT((SIN(((Model_Data!A37)*12.9898+(0)*78.233+Inputs!$C$47*37.719))*43758.5453)))-1))))/1000)))*1000/Inputs!$C$12)-Model_Data!F37)</f>
        <v>96.01083696239084</v>
      </c>
      <c r="L37" s="10"/>
      <c r="M37" s="9">
        <f>Model_Data!A37</f>
        <v>-42.5</v>
      </c>
      <c r="N37" s="9">
        <f>Model_Data!P37</f>
        <v>317.88025301667517</v>
      </c>
      <c r="O37" s="9">
        <f t="shared" si="0"/>
        <v>302.18148472740722</v>
      </c>
      <c r="P37" s="9">
        <f>Model_Data!Q37</f>
        <v>47.729767720221503</v>
      </c>
      <c r="Q37" s="9">
        <f t="shared" si="1"/>
        <v>45.372595304415505</v>
      </c>
      <c r="R37" s="10"/>
      <c r="S37" s="9">
        <f>Model_Data!A37</f>
        <v>-42.5</v>
      </c>
      <c r="T37" s="9">
        <f>Model_Data!B37-Inputs!$C$5</f>
        <v>2.0069444444444571</v>
      </c>
      <c r="U37" s="10"/>
      <c r="V37" s="9">
        <f>Model_Data!A37</f>
        <v>-42.5</v>
      </c>
      <c r="W37" s="9">
        <f>((SQRT((Model_Data!A37)^2+Inputs!$C$6^2+Inputs!$C$5^2)-Inputs!$C$5)*1000/Inputs!$C$12)</f>
        <v>1700.9014121552116</v>
      </c>
      <c r="X37" s="9">
        <f>Model_Data!F37</f>
        <v>1692.4732969044633</v>
      </c>
      <c r="Y37" s="10"/>
      <c r="Z37" s="9">
        <f>Model_Data!A37</f>
        <v>-42.5</v>
      </c>
      <c r="AA37" s="9">
        <f>SQRT((Model_Data!A37)^2+Inputs!$C$6^2+((Model_Data!B37)-((Inputs!$C$51*(115*EXP(-(((Inputs!$C$6)-25)^2)/(4.5^2))+70*EXP(-(((Inputs!$C$6)+38)^2)/(7^2))*(0.55+0.45*SIN(2*PI()*(Model_Data!A37)/45))+24*SIN(2*PI()*(Inputs!$C$6)/9+(Model_Data!A37)/18)*EXP(-(((Inputs!$C$6)+5)^2)/(22^2))+18*SIN(2*PI()*(Model_Data!A37)/70))+Inputs!$C$28*EXP(-(((Model_Data!A37)-Inputs!$C$29)^2)/(2*Inputs!$C$31^2))*EXP(-(((Inputs!$C$6)-Inputs!$C$30)^2)/(2*Inputs!$C$32^2))+-Inputs!$C$33*EXP(-(((((Model_Data!A37)-Inputs!$C$34)^2)+(((Inputs!$C$6)-Inputs!$C$35)^2))/(2*Inputs!$C$36^2)))+Inputs!$C$37*(0.55*SIN(2*PI()*(Model_Data!A37)/Inputs!$C$39)+0.35*COS(2*PI()*(Inputs!$C$6)/Inputs!$C$40)+0.2*SIN(2*PI()*((Model_Data!A37)+(Inputs!$C$6))/(0.5*(Inputs!$C$39+Inputs!$C$40))))+Inputs!$C$38*SIN(2*PI()*(Model_Data!A37)/Inputs!$C$39)*SIN(2*PI()*(Inputs!$C$6)/Inputs!$C$40)+-Inputs!$C$41*EXP(-(((Inputs!$C$6)-Inputs!$C$43)^2)/(2*Inputs!$C$44^2))*EXP(-(((Model_Data!A37)-Inputs!$C$42)^2)/(2*Inputs!$C$45^2))+Inputs!$C$48*(0.7*(0.45*SIN(2*PI()*(((Model_Data!A37)/Inputs!$C$49)+Inputs!$C$47*0.137))+0.35*COS(2*PI()*(((Inputs!$C$6)/Inputs!$C$50)+Inputs!$C$47*0.173))+0.2*SIN(2*PI()*(((Model_Data!A37)+(Inputs!$C$6))/(0.5*(Inputs!$C$49+Inputs!$C$50))+Inputs!$C$47*0.097)))+0.3*(2*((SIN(((Model_Data!A37)*12.9898+(Inputs!$C$6)*78.233+Inputs!$C$47*37.719))*43758.5453)-INT((SIN(((Model_Data!A37)*12.9898+(Inputs!$C$6)*78.233+Inputs!$C$47*37.719))*43758.5453)))-1))))/1000)^2)</f>
        <v>404.83917007364704</v>
      </c>
      <c r="AB37" s="9">
        <f>1000*(AA38-AA36)/(Z38-Z36)*Inputs!$C$11</f>
        <v>-755.45371181851806</v>
      </c>
      <c r="AC37" s="9">
        <f>-2*AB37/Inputs!$C$13</f>
        <v>302.18148472740722</v>
      </c>
      <c r="AD37" s="9">
        <f>-2*AB37/Inputs!$C$14</f>
        <v>45.372595304415505</v>
      </c>
    </row>
    <row r="38" spans="1:30">
      <c r="A38" s="9">
        <f>Model_Data!A38</f>
        <v>-42</v>
      </c>
      <c r="B38" s="9">
        <f>((SQRT((Model_Data!A38)^2+Inputs!$C$6^2+Inputs!$C$5^2)-Inputs!$C$5)*1000/Inputs!$C$12)</f>
        <v>1671.4524383365294</v>
      </c>
      <c r="C38" s="9">
        <f>Model_Data!F38</f>
        <v>1663.3619953398884</v>
      </c>
      <c r="D38" s="9">
        <f>(((SQRT((Model_Data!A38)^2+Inputs!$C$6^2+((Model_Data!B38)-((Inputs!$C$51*(115*EXP(-(((Inputs!$C$6)-25)^2)/(4.5^2))+70*EXP(-(((Inputs!$C$6)+38)^2)/(7^2))*(0.55+0.45*SIN(2*PI()*(Model_Data!A38)/45))+24*SIN(2*PI()*(Inputs!$C$6)/9+(Model_Data!A38)/18)*EXP(-(((Inputs!$C$6)+5)^2)/(22^2))+18*SIN(2*PI()*(Model_Data!A38)/70))+Inputs!$C$28*EXP(-(((Model_Data!A38)-Inputs!$C$29)^2)/(2*Inputs!$C$31^2))*EXP(-(((Inputs!$C$6)-Inputs!$C$30)^2)/(2*Inputs!$C$32^2))+-Inputs!$C$33*EXP(-(((((Model_Data!A38)-Inputs!$C$34)^2)+(((Inputs!$C$6)-Inputs!$C$35)^2))/(2*Inputs!$C$36^2)))+Inputs!$C$37*(0.55*SIN(2*PI()*(Model_Data!A38)/Inputs!$C$39)+0.35*COS(2*PI()*(Inputs!$C$6)/Inputs!$C$40)+0.2*SIN(2*PI()*((Model_Data!A38)+(Inputs!$C$6))/(0.5*(Inputs!$C$39+Inputs!$C$40))))+Inputs!$C$38*SIN(2*PI()*(Model_Data!A38)/Inputs!$C$39)*SIN(2*PI()*(Inputs!$C$6)/Inputs!$C$40)+-Inputs!$C$41*EXP(-(((Inputs!$C$6)-Inputs!$C$43)^2)/(2*Inputs!$C$44^2))*EXP(-(((Model_Data!A38)-Inputs!$C$42)^2)/(2*Inputs!$C$45^2))+Inputs!$C$48*(0.7*(0.45*SIN(2*PI()*(((Model_Data!A38)/Inputs!$C$49)+Inputs!$C$47*0.137))+0.35*COS(2*PI()*(((Inputs!$C$6)/Inputs!$C$50)+Inputs!$C$47*0.173))+0.2*SIN(2*PI()*(((Model_Data!A38)+(Inputs!$C$6))/(0.5*(Inputs!$C$49+Inputs!$C$50))+Inputs!$C$47*0.097)))+0.3*(2*((SIN(((Model_Data!A38)*12.9898+(Inputs!$C$6)*78.233+Inputs!$C$47*37.719))*43758.5453)-INT((SIN(((Model_Data!A38)*12.9898+(Inputs!$C$6)*78.233+Inputs!$C$47*37.719))*43758.5453)))-1))))/1000)^2))-(((Model_Data!B38)-((Inputs!$C$51*(115*EXP(-(((0)-25)^2)/(4.5^2))+70*EXP(-(((0)+38)^2)/(7^2))*(0.55+0.45*SIN(2*PI()*(Model_Data!A38)/45))+24*SIN(2*PI()*(0)/9+(Model_Data!A38)/18)*EXP(-(((0)+5)^2)/(22^2))+18*SIN(2*PI()*(Model_Data!A38)/70))+Inputs!$C$28*EXP(-(((Model_Data!A38)-Inputs!$C$29)^2)/(2*Inputs!$C$31^2))*EXP(-(((0)-Inputs!$C$30)^2)/(2*Inputs!$C$32^2))+-Inputs!$C$33*EXP(-(((((Model_Data!A38)-Inputs!$C$34)^2)+(((0)-Inputs!$C$35)^2))/(2*Inputs!$C$36^2)))+Inputs!$C$37*(0.55*SIN(2*PI()*(Model_Data!A38)/Inputs!$C$39)+0.35*COS(2*PI()*(0)/Inputs!$C$40)+0.2*SIN(2*PI()*((Model_Data!A38)+(0))/(0.5*(Inputs!$C$39+Inputs!$C$40))))+Inputs!$C$38*SIN(2*PI()*(Model_Data!A38)/Inputs!$C$39)*SIN(2*PI()*(0)/Inputs!$C$40)+-Inputs!$C$41*EXP(-(((0)-Inputs!$C$43)^2)/(2*Inputs!$C$44^2))*EXP(-(((Model_Data!A38)-Inputs!$C$42)^2)/(2*Inputs!$C$45^2))+Inputs!$C$48*(0.7*(0.45*SIN(2*PI()*(((Model_Data!A38)/Inputs!$C$49)+Inputs!$C$47*0.137))+0.35*COS(2*PI()*(((0)/Inputs!$C$50)+Inputs!$C$47*0.173))+0.2*SIN(2*PI()*(((Model_Data!A38)+(0))/(0.5*(Inputs!$C$49+Inputs!$C$50))+Inputs!$C$47*0.097)))+0.3*(2*((SIN(((Model_Data!A38)*12.9898+(0)*78.233+Inputs!$C$47*37.719))*43758.5453)-INT((SIN(((Model_Data!A38)*12.9898+(0)*78.233+Inputs!$C$47*37.719))*43758.5453)))-1))))/1000)))*1000/Inputs!$C$12)</f>
        <v>1563.3219291705852</v>
      </c>
      <c r="E38" s="9">
        <f>Model_Data!A38</f>
        <v>-42</v>
      </c>
      <c r="F38" s="9">
        <f>(Inputs!$C$51*(115*EXP(-(((Inputs!$C$6)-25)^2)/(4.5^2))+70*EXP(-(((Inputs!$C$6)+38)^2)/(7^2))*(0.55+0.45*SIN(2*PI()*(Model_Data!A38)/45))+24*SIN(2*PI()*(Inputs!$C$6)/9+(Model_Data!A38)/18)*EXP(-(((Inputs!$C$6)+5)^2)/(22^2))+18*SIN(2*PI()*(Model_Data!A38)/70))+Inputs!$C$28*EXP(-(((Model_Data!A38)-Inputs!$C$29)^2)/(2*Inputs!$C$31^2))*EXP(-(((Inputs!$C$6)-Inputs!$C$30)^2)/(2*Inputs!$C$32^2))+-Inputs!$C$33*EXP(-(((((Model_Data!A38)-Inputs!$C$34)^2)+(((Inputs!$C$6)-Inputs!$C$35)^2))/(2*Inputs!$C$36^2)))+Inputs!$C$37*(0.55*SIN(2*PI()*(Model_Data!A38)/Inputs!$C$39)+0.35*COS(2*PI()*(Inputs!$C$6)/Inputs!$C$40)+0.2*SIN(2*PI()*((Model_Data!A38)+(Inputs!$C$6))/(0.5*(Inputs!$C$39+Inputs!$C$40))))+Inputs!$C$38*SIN(2*PI()*(Model_Data!A38)/Inputs!$C$39)*SIN(2*PI()*(Inputs!$C$6)/Inputs!$C$40)+-Inputs!$C$41*EXP(-(((Inputs!$C$6)-Inputs!$C$43)^2)/(2*Inputs!$C$44^2))*EXP(-(((Model_Data!A38)-Inputs!$C$42)^2)/(2*Inputs!$C$45^2))+Inputs!$C$48*(0.7*(0.45*SIN(2*PI()*(((Model_Data!A38)/Inputs!$C$49)+Inputs!$C$47*0.137))+0.35*COS(2*PI()*(((Inputs!$C$6)/Inputs!$C$50)+Inputs!$C$47*0.173))+0.2*SIN(2*PI()*(((Model_Data!A38)+(Inputs!$C$6))/(0.5*(Inputs!$C$49+Inputs!$C$50))+Inputs!$C$47*0.097)))+0.3*(2*((SIN(((Model_Data!A38)*12.9898+(Inputs!$C$6)*78.233+Inputs!$C$47*37.719))*43758.5453)-INT((SIN(((Model_Data!A38)*12.9898+(Inputs!$C$6)*78.233+Inputs!$C$47*37.719))*43758.5453)))-1)))</f>
        <v>170.62817299702391</v>
      </c>
      <c r="G38" s="9">
        <f>(Inputs!$C$51*(115*EXP(-(((0)-25)^2)/(4.5^2))+70*EXP(-(((0)+38)^2)/(7^2))*(0.55+0.45*SIN(2*PI()*(Model_Data!A38)/45))+24*SIN(2*PI()*(0)/9+(Model_Data!A38)/18)*EXP(-(((0)+5)^2)/(22^2))+18*SIN(2*PI()*(Model_Data!A38)/70))+Inputs!$C$28*EXP(-(((Model_Data!A38)-Inputs!$C$29)^2)/(2*Inputs!$C$31^2))*EXP(-(((0)-Inputs!$C$30)^2)/(2*Inputs!$C$32^2))+-Inputs!$C$33*EXP(-(((((Model_Data!A38)-Inputs!$C$34)^2)+(((0)-Inputs!$C$35)^2))/(2*Inputs!$C$36^2)))+Inputs!$C$37*(0.55*SIN(2*PI()*(Model_Data!A38)/Inputs!$C$39)+0.35*COS(2*PI()*(0)/Inputs!$C$40)+0.2*SIN(2*PI()*((Model_Data!A38)+(0))/(0.5*(Inputs!$C$39+Inputs!$C$40))))+Inputs!$C$38*SIN(2*PI()*(Model_Data!A38)/Inputs!$C$39)*SIN(2*PI()*(0)/Inputs!$C$40)+-Inputs!$C$41*EXP(-(((0)-Inputs!$C$43)^2)/(2*Inputs!$C$44^2))*EXP(-(((Model_Data!A38)-Inputs!$C$42)^2)/(2*Inputs!$C$45^2))+Inputs!$C$48*(0.7*(0.45*SIN(2*PI()*(((Model_Data!A38)/Inputs!$C$49)+Inputs!$C$47*0.137))+0.35*COS(2*PI()*(((0)/Inputs!$C$50)+Inputs!$C$47*0.173))+0.2*SIN(2*PI()*(((Model_Data!A38)+(0))/(0.5*(Inputs!$C$49+Inputs!$C$50))+Inputs!$C$47*0.097)))+0.3*(2*((SIN(((Model_Data!A38)*12.9898+(0)*78.233+Inputs!$C$47*37.719))*43758.5453)-INT((SIN(((Model_Data!A38)*12.9898+(0)*78.233+Inputs!$C$47*37.719))*43758.5453)))-1)))</f>
        <v>-8.6913035259942717</v>
      </c>
      <c r="H38" s="10"/>
      <c r="I38" s="9">
        <f>Model_Data!A38</f>
        <v>-42</v>
      </c>
      <c r="J38" s="9">
        <f>(Inputs!$C$51*(115*EXP(-(((Inputs!$C$6)-25)^2)/(4.5^2))+70*EXP(-(((Inputs!$C$6)+38)^2)/(7^2))*(0.55+0.45*SIN(2*PI()*(Model_Data!A38)/45))+24*SIN(2*PI()*(Inputs!$C$6)/9+(Model_Data!A38)/18)*EXP(-(((Inputs!$C$6)+5)^2)/(22^2))+18*SIN(2*PI()*(Model_Data!A38)/70))+Inputs!$C$28*EXP(-(((Model_Data!A38)-Inputs!$C$29)^2)/(2*Inputs!$C$31^2))*EXP(-(((Inputs!$C$6)-Inputs!$C$30)^2)/(2*Inputs!$C$32^2))+-Inputs!$C$33*EXP(-(((((Model_Data!A38)-Inputs!$C$34)^2)+(((Inputs!$C$6)-Inputs!$C$35)^2))/(2*Inputs!$C$36^2)))+Inputs!$C$37*(0.55*SIN(2*PI()*(Model_Data!A38)/Inputs!$C$39)+0.35*COS(2*PI()*(Inputs!$C$6)/Inputs!$C$40)+0.2*SIN(2*PI()*((Model_Data!A38)+(Inputs!$C$6))/(0.5*(Inputs!$C$39+Inputs!$C$40))))+Inputs!$C$38*SIN(2*PI()*(Model_Data!A38)/Inputs!$C$39)*SIN(2*PI()*(Inputs!$C$6)/Inputs!$C$40)+-Inputs!$C$41*EXP(-(((Inputs!$C$6)-Inputs!$C$43)^2)/(2*Inputs!$C$44^2))*EXP(-(((Model_Data!A38)-Inputs!$C$42)^2)/(2*Inputs!$C$45^2))+Inputs!$C$48*(0.7*(0.45*SIN(2*PI()*(((Model_Data!A38)/Inputs!$C$49)+Inputs!$C$47*0.137))+0.35*COS(2*PI()*(((Inputs!$C$6)/Inputs!$C$50)+Inputs!$C$47*0.173))+0.2*SIN(2*PI()*(((Model_Data!A38)+(Inputs!$C$6))/(0.5*(Inputs!$C$49+Inputs!$C$50))+Inputs!$C$47*0.097)))+0.3*(2*((SIN(((Model_Data!A38)*12.9898+(Inputs!$C$6)*78.233+Inputs!$C$47*37.719))*43758.5453)-INT((SIN(((Model_Data!A38)*12.9898+(Inputs!$C$6)*78.233+Inputs!$C$47*37.719))*43758.5453)))-1)))</f>
        <v>170.62817299702391</v>
      </c>
      <c r="K38" s="9">
        <f>-((((SQRT((Model_Data!A38)^2+Inputs!$C$6^2+((Model_Data!B38)-((Inputs!$C$51*(115*EXP(-(((Inputs!$C$6)-25)^2)/(4.5^2))+70*EXP(-(((Inputs!$C$6)+38)^2)/(7^2))*(0.55+0.45*SIN(2*PI()*(Model_Data!A38)/45))+24*SIN(2*PI()*(Inputs!$C$6)/9+(Model_Data!A38)/18)*EXP(-(((Inputs!$C$6)+5)^2)/(22^2))+18*SIN(2*PI()*(Model_Data!A38)/70))+Inputs!$C$28*EXP(-(((Model_Data!A38)-Inputs!$C$29)^2)/(2*Inputs!$C$31^2))*EXP(-(((Inputs!$C$6)-Inputs!$C$30)^2)/(2*Inputs!$C$32^2))+-Inputs!$C$33*EXP(-(((((Model_Data!A38)-Inputs!$C$34)^2)+(((Inputs!$C$6)-Inputs!$C$35)^2))/(2*Inputs!$C$36^2)))+Inputs!$C$37*(0.55*SIN(2*PI()*(Model_Data!A38)/Inputs!$C$39)+0.35*COS(2*PI()*(Inputs!$C$6)/Inputs!$C$40)+0.2*SIN(2*PI()*((Model_Data!A38)+(Inputs!$C$6))/(0.5*(Inputs!$C$39+Inputs!$C$40))))+Inputs!$C$38*SIN(2*PI()*(Model_Data!A38)/Inputs!$C$39)*SIN(2*PI()*(Inputs!$C$6)/Inputs!$C$40)+-Inputs!$C$41*EXP(-(((Inputs!$C$6)-Inputs!$C$43)^2)/(2*Inputs!$C$44^2))*EXP(-(((Model_Data!A38)-Inputs!$C$42)^2)/(2*Inputs!$C$45^2))+Inputs!$C$48*(0.7*(0.45*SIN(2*PI()*(((Model_Data!A38)/Inputs!$C$49)+Inputs!$C$47*0.137))+0.35*COS(2*PI()*(((Inputs!$C$6)/Inputs!$C$50)+Inputs!$C$47*0.173))+0.2*SIN(2*PI()*(((Model_Data!A38)+(Inputs!$C$6))/(0.5*(Inputs!$C$49+Inputs!$C$50))+Inputs!$C$47*0.097)))+0.3*(2*((SIN(((Model_Data!A38)*12.9898+(Inputs!$C$6)*78.233+Inputs!$C$47*37.719))*43758.5453)-INT((SIN(((Model_Data!A38)*12.9898+(Inputs!$C$6)*78.233+Inputs!$C$47*37.719))*43758.5453)))-1))))/1000)^2))-(((Model_Data!B38)-((Inputs!$C$51*(115*EXP(-(((0)-25)^2)/(4.5^2))+70*EXP(-(((0)+38)^2)/(7^2))*(0.55+0.45*SIN(2*PI()*(Model_Data!A38)/45))+24*SIN(2*PI()*(0)/9+(Model_Data!A38)/18)*EXP(-(((0)+5)^2)/(22^2))+18*SIN(2*PI()*(Model_Data!A38)/70))+Inputs!$C$28*EXP(-(((Model_Data!A38)-Inputs!$C$29)^2)/(2*Inputs!$C$31^2))*EXP(-(((0)-Inputs!$C$30)^2)/(2*Inputs!$C$32^2))+-Inputs!$C$33*EXP(-(((((Model_Data!A38)-Inputs!$C$34)^2)+(((0)-Inputs!$C$35)^2))/(2*Inputs!$C$36^2)))+Inputs!$C$37*(0.55*SIN(2*PI()*(Model_Data!A38)/Inputs!$C$39)+0.35*COS(2*PI()*(0)/Inputs!$C$40)+0.2*SIN(2*PI()*((Model_Data!A38)+(0))/(0.5*(Inputs!$C$39+Inputs!$C$40))))+Inputs!$C$38*SIN(2*PI()*(Model_Data!A38)/Inputs!$C$39)*SIN(2*PI()*(0)/Inputs!$C$40)+-Inputs!$C$41*EXP(-(((0)-Inputs!$C$43)^2)/(2*Inputs!$C$44^2))*EXP(-(((Model_Data!A38)-Inputs!$C$42)^2)/(2*Inputs!$C$45^2))+Inputs!$C$48*(0.7*(0.45*SIN(2*PI()*(((Model_Data!A38)/Inputs!$C$49)+Inputs!$C$47*0.137))+0.35*COS(2*PI()*(((0)/Inputs!$C$50)+Inputs!$C$47*0.173))+0.2*SIN(2*PI()*(((Model_Data!A38)+(0))/(0.5*(Inputs!$C$49+Inputs!$C$50))+Inputs!$C$47*0.097)))+0.3*(2*((SIN(((Model_Data!A38)*12.9898+(0)*78.233+Inputs!$C$47*37.719))*43758.5453)-INT((SIN(((Model_Data!A38)*12.9898+(0)*78.233+Inputs!$C$47*37.719))*43758.5453)))-1))))/1000)))*1000/Inputs!$C$12)-Model_Data!F38)</f>
        <v>100.04006616930315</v>
      </c>
      <c r="L38" s="10"/>
      <c r="M38" s="9">
        <f>Model_Data!A38</f>
        <v>-42</v>
      </c>
      <c r="N38" s="9">
        <f>Model_Data!P38</f>
        <v>314.1997931036334</v>
      </c>
      <c r="O38" s="9">
        <f t="shared" si="0"/>
        <v>297.84173845764599</v>
      </c>
      <c r="P38" s="9">
        <f>Model_Data!Q38</f>
        <v>47.177146111656668</v>
      </c>
      <c r="Q38" s="9">
        <f t="shared" si="1"/>
        <v>44.7209817503973</v>
      </c>
      <c r="R38" s="10"/>
      <c r="S38" s="9">
        <f>Model_Data!A38</f>
        <v>-42</v>
      </c>
      <c r="T38" s="9">
        <f>Model_Data!B38-Inputs!$C$5</f>
        <v>1.9599999999999795</v>
      </c>
      <c r="U38" s="10"/>
      <c r="V38" s="9">
        <f>Model_Data!A38</f>
        <v>-42</v>
      </c>
      <c r="W38" s="9">
        <f>((SQRT((Model_Data!A38)^2+Inputs!$C$6^2+Inputs!$C$5^2)-Inputs!$C$5)*1000/Inputs!$C$12)</f>
        <v>1671.4524383365294</v>
      </c>
      <c r="X38" s="9">
        <f>Model_Data!F38</f>
        <v>1663.3619953398884</v>
      </c>
      <c r="Y38" s="10"/>
      <c r="Z38" s="9">
        <f>Model_Data!A38</f>
        <v>-42</v>
      </c>
      <c r="AA38" s="9">
        <f>SQRT((Model_Data!A38)^2+Inputs!$C$6^2+((Model_Data!B38)-((Inputs!$C$51*(115*EXP(-(((Inputs!$C$6)-25)^2)/(4.5^2))+70*EXP(-(((Inputs!$C$6)+38)^2)/(7^2))*(0.55+0.45*SIN(2*PI()*(Model_Data!A38)/45))+24*SIN(2*PI()*(Inputs!$C$6)/9+(Model_Data!A38)/18)*EXP(-(((Inputs!$C$6)+5)^2)/(22^2))+18*SIN(2*PI()*(Model_Data!A38)/70))+Inputs!$C$28*EXP(-(((Model_Data!A38)-Inputs!$C$29)^2)/(2*Inputs!$C$31^2))*EXP(-(((Inputs!$C$6)-Inputs!$C$30)^2)/(2*Inputs!$C$32^2))+-Inputs!$C$33*EXP(-(((((Model_Data!A38)-Inputs!$C$34)^2)+(((Inputs!$C$6)-Inputs!$C$35)^2))/(2*Inputs!$C$36^2)))+Inputs!$C$37*(0.55*SIN(2*PI()*(Model_Data!A38)/Inputs!$C$39)+0.35*COS(2*PI()*(Inputs!$C$6)/Inputs!$C$40)+0.2*SIN(2*PI()*((Model_Data!A38)+(Inputs!$C$6))/(0.5*(Inputs!$C$39+Inputs!$C$40))))+Inputs!$C$38*SIN(2*PI()*(Model_Data!A38)/Inputs!$C$39)*SIN(2*PI()*(Inputs!$C$6)/Inputs!$C$40)+-Inputs!$C$41*EXP(-(((Inputs!$C$6)-Inputs!$C$43)^2)/(2*Inputs!$C$44^2))*EXP(-(((Model_Data!A38)-Inputs!$C$42)^2)/(2*Inputs!$C$45^2))+Inputs!$C$48*(0.7*(0.45*SIN(2*PI()*(((Model_Data!A38)/Inputs!$C$49)+Inputs!$C$47*0.137))+0.35*COS(2*PI()*(((Inputs!$C$6)/Inputs!$C$50)+Inputs!$C$47*0.173))+0.2*SIN(2*PI()*(((Model_Data!A38)+(Inputs!$C$6))/(0.5*(Inputs!$C$49+Inputs!$C$50))+Inputs!$C$47*0.097)))+0.3*(2*((SIN(((Model_Data!A38)*12.9898+(Inputs!$C$6)*78.233+Inputs!$C$47*37.719))*43758.5453)-INT((SIN(((Model_Data!A38)*12.9898+(Inputs!$C$6)*78.233+Inputs!$C$47*37.719))*43758.5453)))-1))))/1000)^2)</f>
        <v>404.75140433744963</v>
      </c>
      <c r="AB38" s="9">
        <f>1000*(AA39-AA37)/(Z39-Z37)*Inputs!$C$11</f>
        <v>-744.60434614411497</v>
      </c>
      <c r="AC38" s="9">
        <f>-2*AB38/Inputs!$C$13</f>
        <v>297.84173845764599</v>
      </c>
      <c r="AD38" s="9">
        <f>-2*AB38/Inputs!$C$14</f>
        <v>44.7209817503973</v>
      </c>
    </row>
    <row r="39" spans="1:30">
      <c r="A39" s="9">
        <f>Model_Data!A39</f>
        <v>-41.5</v>
      </c>
      <c r="B39" s="9">
        <f>((SQRT((Model_Data!A39)^2+Inputs!$C$6^2+Inputs!$C$5^2)-Inputs!$C$5)*1000/Inputs!$C$12)</f>
        <v>1642.3482095986215</v>
      </c>
      <c r="C39" s="9">
        <f>Model_Data!F39</f>
        <v>1634.5849135267295</v>
      </c>
      <c r="D39" s="9">
        <f>(((SQRT((Model_Data!A39)^2+Inputs!$C$6^2+((Model_Data!B39)-((Inputs!$C$51*(115*EXP(-(((Inputs!$C$6)-25)^2)/(4.5^2))+70*EXP(-(((Inputs!$C$6)+38)^2)/(7^2))*(0.55+0.45*SIN(2*PI()*(Model_Data!A39)/45))+24*SIN(2*PI()*(Inputs!$C$6)/9+(Model_Data!A39)/18)*EXP(-(((Inputs!$C$6)+5)^2)/(22^2))+18*SIN(2*PI()*(Model_Data!A39)/70))+Inputs!$C$28*EXP(-(((Model_Data!A39)-Inputs!$C$29)^2)/(2*Inputs!$C$31^2))*EXP(-(((Inputs!$C$6)-Inputs!$C$30)^2)/(2*Inputs!$C$32^2))+-Inputs!$C$33*EXP(-(((((Model_Data!A39)-Inputs!$C$34)^2)+(((Inputs!$C$6)-Inputs!$C$35)^2))/(2*Inputs!$C$36^2)))+Inputs!$C$37*(0.55*SIN(2*PI()*(Model_Data!A39)/Inputs!$C$39)+0.35*COS(2*PI()*(Inputs!$C$6)/Inputs!$C$40)+0.2*SIN(2*PI()*((Model_Data!A39)+(Inputs!$C$6))/(0.5*(Inputs!$C$39+Inputs!$C$40))))+Inputs!$C$38*SIN(2*PI()*(Model_Data!A39)/Inputs!$C$39)*SIN(2*PI()*(Inputs!$C$6)/Inputs!$C$40)+-Inputs!$C$41*EXP(-(((Inputs!$C$6)-Inputs!$C$43)^2)/(2*Inputs!$C$44^2))*EXP(-(((Model_Data!A39)-Inputs!$C$42)^2)/(2*Inputs!$C$45^2))+Inputs!$C$48*(0.7*(0.45*SIN(2*PI()*(((Model_Data!A39)/Inputs!$C$49)+Inputs!$C$47*0.137))+0.35*COS(2*PI()*(((Inputs!$C$6)/Inputs!$C$50)+Inputs!$C$47*0.173))+0.2*SIN(2*PI()*(((Model_Data!A39)+(Inputs!$C$6))/(0.5*(Inputs!$C$49+Inputs!$C$50))+Inputs!$C$47*0.097)))+0.3*(2*((SIN(((Model_Data!A39)*12.9898+(Inputs!$C$6)*78.233+Inputs!$C$47*37.719))*43758.5453)-INT((SIN(((Model_Data!A39)*12.9898+(Inputs!$C$6)*78.233+Inputs!$C$47*37.719))*43758.5453)))-1))))/1000)^2))-(((Model_Data!B39)-((Inputs!$C$51*(115*EXP(-(((0)-25)^2)/(4.5^2))+70*EXP(-(((0)+38)^2)/(7^2))*(0.55+0.45*SIN(2*PI()*(Model_Data!A39)/45))+24*SIN(2*PI()*(0)/9+(Model_Data!A39)/18)*EXP(-(((0)+5)^2)/(22^2))+18*SIN(2*PI()*(Model_Data!A39)/70))+Inputs!$C$28*EXP(-(((Model_Data!A39)-Inputs!$C$29)^2)/(2*Inputs!$C$31^2))*EXP(-(((0)-Inputs!$C$30)^2)/(2*Inputs!$C$32^2))+-Inputs!$C$33*EXP(-(((((Model_Data!A39)-Inputs!$C$34)^2)+(((0)-Inputs!$C$35)^2))/(2*Inputs!$C$36^2)))+Inputs!$C$37*(0.55*SIN(2*PI()*(Model_Data!A39)/Inputs!$C$39)+0.35*COS(2*PI()*(0)/Inputs!$C$40)+0.2*SIN(2*PI()*((Model_Data!A39)+(0))/(0.5*(Inputs!$C$39+Inputs!$C$40))))+Inputs!$C$38*SIN(2*PI()*(Model_Data!A39)/Inputs!$C$39)*SIN(2*PI()*(0)/Inputs!$C$40)+-Inputs!$C$41*EXP(-(((0)-Inputs!$C$43)^2)/(2*Inputs!$C$44^2))*EXP(-(((Model_Data!A39)-Inputs!$C$42)^2)/(2*Inputs!$C$45^2))+Inputs!$C$48*(0.7*(0.45*SIN(2*PI()*(((Model_Data!A39)/Inputs!$C$49)+Inputs!$C$47*0.137))+0.35*COS(2*PI()*(((0)/Inputs!$C$50)+Inputs!$C$47*0.173))+0.2*SIN(2*PI()*(((Model_Data!A39)+(0))/(0.5*(Inputs!$C$49+Inputs!$C$50))+Inputs!$C$47*0.097)))+0.3*(2*((SIN(((Model_Data!A39)*12.9898+(0)*78.233+Inputs!$C$47*37.719))*43758.5453)-INT((SIN(((Model_Data!A39)*12.9898+(0)*78.233+Inputs!$C$47*37.719))*43758.5453)))-1))))/1000)))*1000/Inputs!$C$12)</f>
        <v>1530.1209666208808</v>
      </c>
      <c r="E39" s="9">
        <f>Model_Data!A39</f>
        <v>-41.5</v>
      </c>
      <c r="F39" s="9">
        <f>(Inputs!$C$51*(115*EXP(-(((Inputs!$C$6)-25)^2)/(4.5^2))+70*EXP(-(((Inputs!$C$6)+38)^2)/(7^2))*(0.55+0.45*SIN(2*PI()*(Model_Data!A39)/45))+24*SIN(2*PI()*(Inputs!$C$6)/9+(Model_Data!A39)/18)*EXP(-(((Inputs!$C$6)+5)^2)/(22^2))+18*SIN(2*PI()*(Model_Data!A39)/70))+Inputs!$C$28*EXP(-(((Model_Data!A39)-Inputs!$C$29)^2)/(2*Inputs!$C$31^2))*EXP(-(((Inputs!$C$6)-Inputs!$C$30)^2)/(2*Inputs!$C$32^2))+-Inputs!$C$33*EXP(-(((((Model_Data!A39)-Inputs!$C$34)^2)+(((Inputs!$C$6)-Inputs!$C$35)^2))/(2*Inputs!$C$36^2)))+Inputs!$C$37*(0.55*SIN(2*PI()*(Model_Data!A39)/Inputs!$C$39)+0.35*COS(2*PI()*(Inputs!$C$6)/Inputs!$C$40)+0.2*SIN(2*PI()*((Model_Data!A39)+(Inputs!$C$6))/(0.5*(Inputs!$C$39+Inputs!$C$40))))+Inputs!$C$38*SIN(2*PI()*(Model_Data!A39)/Inputs!$C$39)*SIN(2*PI()*(Inputs!$C$6)/Inputs!$C$40)+-Inputs!$C$41*EXP(-(((Inputs!$C$6)-Inputs!$C$43)^2)/(2*Inputs!$C$44^2))*EXP(-(((Model_Data!A39)-Inputs!$C$42)^2)/(2*Inputs!$C$45^2))+Inputs!$C$48*(0.7*(0.45*SIN(2*PI()*(((Model_Data!A39)/Inputs!$C$49)+Inputs!$C$47*0.137))+0.35*COS(2*PI()*(((Inputs!$C$6)/Inputs!$C$50)+Inputs!$C$47*0.173))+0.2*SIN(2*PI()*(((Model_Data!A39)+(Inputs!$C$6))/(0.5*(Inputs!$C$49+Inputs!$C$50))+Inputs!$C$47*0.097)))+0.3*(2*((SIN(((Model_Data!A39)*12.9898+(Inputs!$C$6)*78.233+Inputs!$C$47*37.719))*43758.5453)-INT((SIN(((Model_Data!A39)*12.9898+(Inputs!$C$6)*78.233+Inputs!$C$47*37.719))*43758.5453)))-1)))</f>
        <v>171.38557913738282</v>
      </c>
      <c r="G39" s="9">
        <f>(Inputs!$C$51*(115*EXP(-(((0)-25)^2)/(4.5^2))+70*EXP(-(((0)+38)^2)/(7^2))*(0.55+0.45*SIN(2*PI()*(Model_Data!A39)/45))+24*SIN(2*PI()*(0)/9+(Model_Data!A39)/18)*EXP(-(((0)+5)^2)/(22^2))+18*SIN(2*PI()*(Model_Data!A39)/70))+Inputs!$C$28*EXP(-(((Model_Data!A39)-Inputs!$C$29)^2)/(2*Inputs!$C$31^2))*EXP(-(((0)-Inputs!$C$30)^2)/(2*Inputs!$C$32^2))+-Inputs!$C$33*EXP(-(((((Model_Data!A39)-Inputs!$C$34)^2)+(((0)-Inputs!$C$35)^2))/(2*Inputs!$C$36^2)))+Inputs!$C$37*(0.55*SIN(2*PI()*(Model_Data!A39)/Inputs!$C$39)+0.35*COS(2*PI()*(0)/Inputs!$C$40)+0.2*SIN(2*PI()*((Model_Data!A39)+(0))/(0.5*(Inputs!$C$39+Inputs!$C$40))))+Inputs!$C$38*SIN(2*PI()*(Model_Data!A39)/Inputs!$C$39)*SIN(2*PI()*(0)/Inputs!$C$40)+-Inputs!$C$41*EXP(-(((0)-Inputs!$C$43)^2)/(2*Inputs!$C$44^2))*EXP(-(((Model_Data!A39)-Inputs!$C$42)^2)/(2*Inputs!$C$45^2))+Inputs!$C$48*(0.7*(0.45*SIN(2*PI()*(((Model_Data!A39)/Inputs!$C$49)+Inputs!$C$47*0.137))+0.35*COS(2*PI()*(((0)/Inputs!$C$50)+Inputs!$C$47*0.173))+0.2*SIN(2*PI()*(((Model_Data!A39)+(0))/(0.5*(Inputs!$C$49+Inputs!$C$50))+Inputs!$C$47*0.097)))+0.3*(2*((SIN(((Model_Data!A39)*12.9898+(0)*78.233+Inputs!$C$47*37.719))*43758.5453)-INT((SIN(((Model_Data!A39)*12.9898+(0)*78.233+Inputs!$C$47*37.719))*43758.5453)))-1)))</f>
        <v>-15.792555414769886</v>
      </c>
      <c r="H39" s="10"/>
      <c r="I39" s="9">
        <f>Model_Data!A39</f>
        <v>-41.5</v>
      </c>
      <c r="J39" s="9">
        <f>(Inputs!$C$51*(115*EXP(-(((Inputs!$C$6)-25)^2)/(4.5^2))+70*EXP(-(((Inputs!$C$6)+38)^2)/(7^2))*(0.55+0.45*SIN(2*PI()*(Model_Data!A39)/45))+24*SIN(2*PI()*(Inputs!$C$6)/9+(Model_Data!A39)/18)*EXP(-(((Inputs!$C$6)+5)^2)/(22^2))+18*SIN(2*PI()*(Model_Data!A39)/70))+Inputs!$C$28*EXP(-(((Model_Data!A39)-Inputs!$C$29)^2)/(2*Inputs!$C$31^2))*EXP(-(((Inputs!$C$6)-Inputs!$C$30)^2)/(2*Inputs!$C$32^2))+-Inputs!$C$33*EXP(-(((((Model_Data!A39)-Inputs!$C$34)^2)+(((Inputs!$C$6)-Inputs!$C$35)^2))/(2*Inputs!$C$36^2)))+Inputs!$C$37*(0.55*SIN(2*PI()*(Model_Data!A39)/Inputs!$C$39)+0.35*COS(2*PI()*(Inputs!$C$6)/Inputs!$C$40)+0.2*SIN(2*PI()*((Model_Data!A39)+(Inputs!$C$6))/(0.5*(Inputs!$C$39+Inputs!$C$40))))+Inputs!$C$38*SIN(2*PI()*(Model_Data!A39)/Inputs!$C$39)*SIN(2*PI()*(Inputs!$C$6)/Inputs!$C$40)+-Inputs!$C$41*EXP(-(((Inputs!$C$6)-Inputs!$C$43)^2)/(2*Inputs!$C$44^2))*EXP(-(((Model_Data!A39)-Inputs!$C$42)^2)/(2*Inputs!$C$45^2))+Inputs!$C$48*(0.7*(0.45*SIN(2*PI()*(((Model_Data!A39)/Inputs!$C$49)+Inputs!$C$47*0.137))+0.35*COS(2*PI()*(((Inputs!$C$6)/Inputs!$C$50)+Inputs!$C$47*0.173))+0.2*SIN(2*PI()*(((Model_Data!A39)+(Inputs!$C$6))/(0.5*(Inputs!$C$49+Inputs!$C$50))+Inputs!$C$47*0.097)))+0.3*(2*((SIN(((Model_Data!A39)*12.9898+(Inputs!$C$6)*78.233+Inputs!$C$47*37.719))*43758.5453)-INT((SIN(((Model_Data!A39)*12.9898+(Inputs!$C$6)*78.233+Inputs!$C$47*37.719))*43758.5453)))-1)))</f>
        <v>171.38557913738282</v>
      </c>
      <c r="K39" s="9">
        <f>-((((SQRT((Model_Data!A39)^2+Inputs!$C$6^2+((Model_Data!B39)-((Inputs!$C$51*(115*EXP(-(((Inputs!$C$6)-25)^2)/(4.5^2))+70*EXP(-(((Inputs!$C$6)+38)^2)/(7^2))*(0.55+0.45*SIN(2*PI()*(Model_Data!A39)/45))+24*SIN(2*PI()*(Inputs!$C$6)/9+(Model_Data!A39)/18)*EXP(-(((Inputs!$C$6)+5)^2)/(22^2))+18*SIN(2*PI()*(Model_Data!A39)/70))+Inputs!$C$28*EXP(-(((Model_Data!A39)-Inputs!$C$29)^2)/(2*Inputs!$C$31^2))*EXP(-(((Inputs!$C$6)-Inputs!$C$30)^2)/(2*Inputs!$C$32^2))+-Inputs!$C$33*EXP(-(((((Model_Data!A39)-Inputs!$C$34)^2)+(((Inputs!$C$6)-Inputs!$C$35)^2))/(2*Inputs!$C$36^2)))+Inputs!$C$37*(0.55*SIN(2*PI()*(Model_Data!A39)/Inputs!$C$39)+0.35*COS(2*PI()*(Inputs!$C$6)/Inputs!$C$40)+0.2*SIN(2*PI()*((Model_Data!A39)+(Inputs!$C$6))/(0.5*(Inputs!$C$39+Inputs!$C$40))))+Inputs!$C$38*SIN(2*PI()*(Model_Data!A39)/Inputs!$C$39)*SIN(2*PI()*(Inputs!$C$6)/Inputs!$C$40)+-Inputs!$C$41*EXP(-(((Inputs!$C$6)-Inputs!$C$43)^2)/(2*Inputs!$C$44^2))*EXP(-(((Model_Data!A39)-Inputs!$C$42)^2)/(2*Inputs!$C$45^2))+Inputs!$C$48*(0.7*(0.45*SIN(2*PI()*(((Model_Data!A39)/Inputs!$C$49)+Inputs!$C$47*0.137))+0.35*COS(2*PI()*(((Inputs!$C$6)/Inputs!$C$50)+Inputs!$C$47*0.173))+0.2*SIN(2*PI()*(((Model_Data!A39)+(Inputs!$C$6))/(0.5*(Inputs!$C$49+Inputs!$C$50))+Inputs!$C$47*0.097)))+0.3*(2*((SIN(((Model_Data!A39)*12.9898+(Inputs!$C$6)*78.233+Inputs!$C$47*37.719))*43758.5453)-INT((SIN(((Model_Data!A39)*12.9898+(Inputs!$C$6)*78.233+Inputs!$C$47*37.719))*43758.5453)))-1))))/1000)^2))-(((Model_Data!B39)-((Inputs!$C$51*(115*EXP(-(((0)-25)^2)/(4.5^2))+70*EXP(-(((0)+38)^2)/(7^2))*(0.55+0.45*SIN(2*PI()*(Model_Data!A39)/45))+24*SIN(2*PI()*(0)/9+(Model_Data!A39)/18)*EXP(-(((0)+5)^2)/(22^2))+18*SIN(2*PI()*(Model_Data!A39)/70))+Inputs!$C$28*EXP(-(((Model_Data!A39)-Inputs!$C$29)^2)/(2*Inputs!$C$31^2))*EXP(-(((0)-Inputs!$C$30)^2)/(2*Inputs!$C$32^2))+-Inputs!$C$33*EXP(-(((((Model_Data!A39)-Inputs!$C$34)^2)+(((0)-Inputs!$C$35)^2))/(2*Inputs!$C$36^2)))+Inputs!$C$37*(0.55*SIN(2*PI()*(Model_Data!A39)/Inputs!$C$39)+0.35*COS(2*PI()*(0)/Inputs!$C$40)+0.2*SIN(2*PI()*((Model_Data!A39)+(0))/(0.5*(Inputs!$C$39+Inputs!$C$40))))+Inputs!$C$38*SIN(2*PI()*(Model_Data!A39)/Inputs!$C$39)*SIN(2*PI()*(0)/Inputs!$C$40)+-Inputs!$C$41*EXP(-(((0)-Inputs!$C$43)^2)/(2*Inputs!$C$44^2))*EXP(-(((Model_Data!A39)-Inputs!$C$42)^2)/(2*Inputs!$C$45^2))+Inputs!$C$48*(0.7*(0.45*SIN(2*PI()*(((Model_Data!A39)/Inputs!$C$49)+Inputs!$C$47*0.137))+0.35*COS(2*PI()*(((0)/Inputs!$C$50)+Inputs!$C$47*0.173))+0.2*SIN(2*PI()*(((Model_Data!A39)+(0))/(0.5*(Inputs!$C$49+Inputs!$C$50))+Inputs!$C$47*0.097)))+0.3*(2*((SIN(((Model_Data!A39)*12.9898+(0)*78.233+Inputs!$C$47*37.719))*43758.5453)-INT((SIN(((Model_Data!A39)*12.9898+(0)*78.233+Inputs!$C$47*37.719))*43758.5453)))-1))))/1000)))*1000/Inputs!$C$12)-Model_Data!F39)</f>
        <v>104.46394690584862</v>
      </c>
      <c r="L39" s="10"/>
      <c r="M39" s="9">
        <f>Model_Data!A39</f>
        <v>-41.5</v>
      </c>
      <c r="N39" s="9">
        <f>Model_Data!P39</f>
        <v>310.51726973024654</v>
      </c>
      <c r="O39" s="9">
        <f t="shared" si="0"/>
        <v>320.17731147589075</v>
      </c>
      <c r="P39" s="9">
        <f>Model_Data!Q39</f>
        <v>46.624214674211196</v>
      </c>
      <c r="Q39" s="9">
        <f t="shared" si="1"/>
        <v>48.074671392776395</v>
      </c>
      <c r="R39" s="10"/>
      <c r="S39" s="9">
        <f>Model_Data!A39</f>
        <v>-41.5</v>
      </c>
      <c r="T39" s="9">
        <f>Model_Data!B39-Inputs!$C$5</f>
        <v>1.9136111111110949</v>
      </c>
      <c r="U39" s="10"/>
      <c r="V39" s="9">
        <f>Model_Data!A39</f>
        <v>-41.5</v>
      </c>
      <c r="W39" s="9">
        <f>((SQRT((Model_Data!A39)^2+Inputs!$C$6^2+Inputs!$C$5^2)-Inputs!$C$5)*1000/Inputs!$C$12)</f>
        <v>1642.3482095986215</v>
      </c>
      <c r="X39" s="9">
        <f>Model_Data!F39</f>
        <v>1634.5849135267295</v>
      </c>
      <c r="Y39" s="10"/>
      <c r="Z39" s="9">
        <f>Model_Data!A39</f>
        <v>-41.5</v>
      </c>
      <c r="AA39" s="9">
        <f>SQRT((Model_Data!A39)^2+Inputs!$C$6^2+((Model_Data!B39)-((Inputs!$C$51*(115*EXP(-(((Inputs!$C$6)-25)^2)/(4.5^2))+70*EXP(-(((Inputs!$C$6)+38)^2)/(7^2))*(0.55+0.45*SIN(2*PI()*(Model_Data!A39)/45))+24*SIN(2*PI()*(Inputs!$C$6)/9+(Model_Data!A39)/18)*EXP(-(((Inputs!$C$6)+5)^2)/(22^2))+18*SIN(2*PI()*(Model_Data!A39)/70))+Inputs!$C$28*EXP(-(((Model_Data!A39)-Inputs!$C$29)^2)/(2*Inputs!$C$31^2))*EXP(-(((Inputs!$C$6)-Inputs!$C$30)^2)/(2*Inputs!$C$32^2))+-Inputs!$C$33*EXP(-(((((Model_Data!A39)-Inputs!$C$34)^2)+(((Inputs!$C$6)-Inputs!$C$35)^2))/(2*Inputs!$C$36^2)))+Inputs!$C$37*(0.55*SIN(2*PI()*(Model_Data!A39)/Inputs!$C$39)+0.35*COS(2*PI()*(Inputs!$C$6)/Inputs!$C$40)+0.2*SIN(2*PI()*((Model_Data!A39)+(Inputs!$C$6))/(0.5*(Inputs!$C$39+Inputs!$C$40))))+Inputs!$C$38*SIN(2*PI()*(Model_Data!A39)/Inputs!$C$39)*SIN(2*PI()*(Inputs!$C$6)/Inputs!$C$40)+-Inputs!$C$41*EXP(-(((Inputs!$C$6)-Inputs!$C$43)^2)/(2*Inputs!$C$44^2))*EXP(-(((Model_Data!A39)-Inputs!$C$42)^2)/(2*Inputs!$C$45^2))+Inputs!$C$48*(0.7*(0.45*SIN(2*PI()*(((Model_Data!A39)/Inputs!$C$49)+Inputs!$C$47*0.137))+0.35*COS(2*PI()*(((Inputs!$C$6)/Inputs!$C$50)+Inputs!$C$47*0.173))+0.2*SIN(2*PI()*(((Model_Data!A39)+(Inputs!$C$6))/(0.5*(Inputs!$C$49+Inputs!$C$50))+Inputs!$C$47*0.097)))+0.3*(2*((SIN(((Model_Data!A39)*12.9898+(Inputs!$C$6)*78.233+Inputs!$C$47*37.719))*43758.5453)-INT((SIN(((Model_Data!A39)*12.9898+(Inputs!$C$6)*78.233+Inputs!$C$47*37.719))*43758.5453)))-1))))/1000)^2)</f>
        <v>404.65301898711101</v>
      </c>
      <c r="AB39" s="9">
        <f>1000*(AA40-AA38)/(Z40-Z38)*Inputs!$C$11</f>
        <v>-800.44327868972687</v>
      </c>
      <c r="AC39" s="9">
        <f>-2*AB39/Inputs!$C$13</f>
        <v>320.17731147589075</v>
      </c>
      <c r="AD39" s="9">
        <f>-2*AB39/Inputs!$C$14</f>
        <v>48.074671392776395</v>
      </c>
    </row>
    <row r="40" spans="1:30">
      <c r="A40" s="9">
        <f>Model_Data!A40</f>
        <v>-41</v>
      </c>
      <c r="B40" s="9">
        <f>((SQRT((Model_Data!A40)^2+Inputs!$C$6^2+Inputs!$C$5^2)-Inputs!$C$5)*1000/Inputs!$C$12)</f>
        <v>1613.5888589342665</v>
      </c>
      <c r="C40" s="9">
        <f>Model_Data!F40</f>
        <v>1606.1424117907243</v>
      </c>
      <c r="D40" s="9">
        <f>(((SQRT((Model_Data!A40)^2+Inputs!$C$6^2+((Model_Data!B40)-((Inputs!$C$51*(115*EXP(-(((Inputs!$C$6)-25)^2)/(4.5^2))+70*EXP(-(((Inputs!$C$6)+38)^2)/(7^2))*(0.55+0.45*SIN(2*PI()*(Model_Data!A40)/45))+24*SIN(2*PI()*(Inputs!$C$6)/9+(Model_Data!A40)/18)*EXP(-(((Inputs!$C$6)+5)^2)/(22^2))+18*SIN(2*PI()*(Model_Data!A40)/70))+Inputs!$C$28*EXP(-(((Model_Data!A40)-Inputs!$C$29)^2)/(2*Inputs!$C$31^2))*EXP(-(((Inputs!$C$6)-Inputs!$C$30)^2)/(2*Inputs!$C$32^2))+-Inputs!$C$33*EXP(-(((((Model_Data!A40)-Inputs!$C$34)^2)+(((Inputs!$C$6)-Inputs!$C$35)^2))/(2*Inputs!$C$36^2)))+Inputs!$C$37*(0.55*SIN(2*PI()*(Model_Data!A40)/Inputs!$C$39)+0.35*COS(2*PI()*(Inputs!$C$6)/Inputs!$C$40)+0.2*SIN(2*PI()*((Model_Data!A40)+(Inputs!$C$6))/(0.5*(Inputs!$C$39+Inputs!$C$40))))+Inputs!$C$38*SIN(2*PI()*(Model_Data!A40)/Inputs!$C$39)*SIN(2*PI()*(Inputs!$C$6)/Inputs!$C$40)+-Inputs!$C$41*EXP(-(((Inputs!$C$6)-Inputs!$C$43)^2)/(2*Inputs!$C$44^2))*EXP(-(((Model_Data!A40)-Inputs!$C$42)^2)/(2*Inputs!$C$45^2))+Inputs!$C$48*(0.7*(0.45*SIN(2*PI()*(((Model_Data!A40)/Inputs!$C$49)+Inputs!$C$47*0.137))+0.35*COS(2*PI()*(((Inputs!$C$6)/Inputs!$C$50)+Inputs!$C$47*0.173))+0.2*SIN(2*PI()*(((Model_Data!A40)+(Inputs!$C$6))/(0.5*(Inputs!$C$49+Inputs!$C$50))+Inputs!$C$47*0.097)))+0.3*(2*((SIN(((Model_Data!A40)*12.9898+(Inputs!$C$6)*78.233+Inputs!$C$47*37.719))*43758.5453)-INT((SIN(((Model_Data!A40)*12.9898+(Inputs!$C$6)*78.233+Inputs!$C$47*37.719))*43758.5453)))-1))))/1000)^2))-(((Model_Data!B40)-((Inputs!$C$51*(115*EXP(-(((0)-25)^2)/(4.5^2))+70*EXP(-(((0)+38)^2)/(7^2))*(0.55+0.45*SIN(2*PI()*(Model_Data!A40)/45))+24*SIN(2*PI()*(0)/9+(Model_Data!A40)/18)*EXP(-(((0)+5)^2)/(22^2))+18*SIN(2*PI()*(Model_Data!A40)/70))+Inputs!$C$28*EXP(-(((Model_Data!A40)-Inputs!$C$29)^2)/(2*Inputs!$C$31^2))*EXP(-(((0)-Inputs!$C$30)^2)/(2*Inputs!$C$32^2))+-Inputs!$C$33*EXP(-(((((Model_Data!A40)-Inputs!$C$34)^2)+(((0)-Inputs!$C$35)^2))/(2*Inputs!$C$36^2)))+Inputs!$C$37*(0.55*SIN(2*PI()*(Model_Data!A40)/Inputs!$C$39)+0.35*COS(2*PI()*(0)/Inputs!$C$40)+0.2*SIN(2*PI()*((Model_Data!A40)+(0))/(0.5*(Inputs!$C$39+Inputs!$C$40))))+Inputs!$C$38*SIN(2*PI()*(Model_Data!A40)/Inputs!$C$39)*SIN(2*PI()*(0)/Inputs!$C$40)+-Inputs!$C$41*EXP(-(((0)-Inputs!$C$43)^2)/(2*Inputs!$C$44^2))*EXP(-(((Model_Data!A40)-Inputs!$C$42)^2)/(2*Inputs!$C$45^2))+Inputs!$C$48*(0.7*(0.45*SIN(2*PI()*(((Model_Data!A40)/Inputs!$C$49)+Inputs!$C$47*0.137))+0.35*COS(2*PI()*(((0)/Inputs!$C$50)+Inputs!$C$47*0.173))+0.2*SIN(2*PI()*(((Model_Data!A40)+(0))/(0.5*(Inputs!$C$49+Inputs!$C$50))+Inputs!$C$47*0.097)))+0.3*(2*((SIN(((Model_Data!A40)*12.9898+(0)*78.233+Inputs!$C$47*37.719))*43758.5453)-INT((SIN(((Model_Data!A40)*12.9898+(0)*78.233+Inputs!$C$47*37.719))*43758.5453)))-1))))/1000)))*1000/Inputs!$C$12)</f>
        <v>1497.5446477543235</v>
      </c>
      <c r="E40" s="9">
        <f>Model_Data!A40</f>
        <v>-41</v>
      </c>
      <c r="F40" s="9">
        <f>(Inputs!$C$51*(115*EXP(-(((Inputs!$C$6)-25)^2)/(4.5^2))+70*EXP(-(((Inputs!$C$6)+38)^2)/(7^2))*(0.55+0.45*SIN(2*PI()*(Model_Data!A40)/45))+24*SIN(2*PI()*(Inputs!$C$6)/9+(Model_Data!A40)/18)*EXP(-(((Inputs!$C$6)+5)^2)/(22^2))+18*SIN(2*PI()*(Model_Data!A40)/70))+Inputs!$C$28*EXP(-(((Model_Data!A40)-Inputs!$C$29)^2)/(2*Inputs!$C$31^2))*EXP(-(((Inputs!$C$6)-Inputs!$C$30)^2)/(2*Inputs!$C$32^2))+-Inputs!$C$33*EXP(-(((((Model_Data!A40)-Inputs!$C$34)^2)+(((Inputs!$C$6)-Inputs!$C$35)^2))/(2*Inputs!$C$36^2)))+Inputs!$C$37*(0.55*SIN(2*PI()*(Model_Data!A40)/Inputs!$C$39)+0.35*COS(2*PI()*(Inputs!$C$6)/Inputs!$C$40)+0.2*SIN(2*PI()*((Model_Data!A40)+(Inputs!$C$6))/(0.5*(Inputs!$C$39+Inputs!$C$40))))+Inputs!$C$38*SIN(2*PI()*(Model_Data!A40)/Inputs!$C$39)*SIN(2*PI()*(Inputs!$C$6)/Inputs!$C$40)+-Inputs!$C$41*EXP(-(((Inputs!$C$6)-Inputs!$C$43)^2)/(2*Inputs!$C$44^2))*EXP(-(((Model_Data!A40)-Inputs!$C$42)^2)/(2*Inputs!$C$45^2))+Inputs!$C$48*(0.7*(0.45*SIN(2*PI()*(((Model_Data!A40)/Inputs!$C$49)+Inputs!$C$47*0.137))+0.35*COS(2*PI()*(((Inputs!$C$6)/Inputs!$C$50)+Inputs!$C$47*0.173))+0.2*SIN(2*PI()*(((Model_Data!A40)+(Inputs!$C$6))/(0.5*(Inputs!$C$49+Inputs!$C$50))+Inputs!$C$47*0.097)))+0.3*(2*((SIN(((Model_Data!A40)*12.9898+(Inputs!$C$6)*78.233+Inputs!$C$47*37.719))*43758.5453)-INT((SIN(((Model_Data!A40)*12.9898+(Inputs!$C$6)*78.233+Inputs!$C$47*37.719))*43758.5453)))-1)))</f>
        <v>176.66624192778235</v>
      </c>
      <c r="G40" s="9">
        <f>(Inputs!$C$51*(115*EXP(-(((0)-25)^2)/(4.5^2))+70*EXP(-(((0)+38)^2)/(7^2))*(0.55+0.45*SIN(2*PI()*(Model_Data!A40)/45))+24*SIN(2*PI()*(0)/9+(Model_Data!A40)/18)*EXP(-(((0)+5)^2)/(22^2))+18*SIN(2*PI()*(Model_Data!A40)/70))+Inputs!$C$28*EXP(-(((Model_Data!A40)-Inputs!$C$29)^2)/(2*Inputs!$C$31^2))*EXP(-(((0)-Inputs!$C$30)^2)/(2*Inputs!$C$32^2))+-Inputs!$C$33*EXP(-(((((Model_Data!A40)-Inputs!$C$34)^2)+(((0)-Inputs!$C$35)^2))/(2*Inputs!$C$36^2)))+Inputs!$C$37*(0.55*SIN(2*PI()*(Model_Data!A40)/Inputs!$C$39)+0.35*COS(2*PI()*(0)/Inputs!$C$40)+0.2*SIN(2*PI()*((Model_Data!A40)+(0))/(0.5*(Inputs!$C$39+Inputs!$C$40))))+Inputs!$C$38*SIN(2*PI()*(Model_Data!A40)/Inputs!$C$39)*SIN(2*PI()*(0)/Inputs!$C$40)+-Inputs!$C$41*EXP(-(((0)-Inputs!$C$43)^2)/(2*Inputs!$C$44^2))*EXP(-(((Model_Data!A40)-Inputs!$C$42)^2)/(2*Inputs!$C$45^2))+Inputs!$C$48*(0.7*(0.45*SIN(2*PI()*(((Model_Data!A40)/Inputs!$C$49)+Inputs!$C$47*0.137))+0.35*COS(2*PI()*(((0)/Inputs!$C$50)+Inputs!$C$47*0.173))+0.2*SIN(2*PI()*(((Model_Data!A40)+(0))/(0.5*(Inputs!$C$49+Inputs!$C$50))+Inputs!$C$47*0.097)))+0.3*(2*((SIN(((Model_Data!A40)*12.9898+(0)*78.233+Inputs!$C$47*37.719))*43758.5453)-INT((SIN(((Model_Data!A40)*12.9898+(0)*78.233+Inputs!$C$47*37.719))*43758.5453)))-1)))</f>
        <v>-17.886266996681616</v>
      </c>
      <c r="H40" s="10"/>
      <c r="I40" s="9">
        <f>Model_Data!A40</f>
        <v>-41</v>
      </c>
      <c r="J40" s="9">
        <f>(Inputs!$C$51*(115*EXP(-(((Inputs!$C$6)-25)^2)/(4.5^2))+70*EXP(-(((Inputs!$C$6)+38)^2)/(7^2))*(0.55+0.45*SIN(2*PI()*(Model_Data!A40)/45))+24*SIN(2*PI()*(Inputs!$C$6)/9+(Model_Data!A40)/18)*EXP(-(((Inputs!$C$6)+5)^2)/(22^2))+18*SIN(2*PI()*(Model_Data!A40)/70))+Inputs!$C$28*EXP(-(((Model_Data!A40)-Inputs!$C$29)^2)/(2*Inputs!$C$31^2))*EXP(-(((Inputs!$C$6)-Inputs!$C$30)^2)/(2*Inputs!$C$32^2))+-Inputs!$C$33*EXP(-(((((Model_Data!A40)-Inputs!$C$34)^2)+(((Inputs!$C$6)-Inputs!$C$35)^2))/(2*Inputs!$C$36^2)))+Inputs!$C$37*(0.55*SIN(2*PI()*(Model_Data!A40)/Inputs!$C$39)+0.35*COS(2*PI()*(Inputs!$C$6)/Inputs!$C$40)+0.2*SIN(2*PI()*((Model_Data!A40)+(Inputs!$C$6))/(0.5*(Inputs!$C$39+Inputs!$C$40))))+Inputs!$C$38*SIN(2*PI()*(Model_Data!A40)/Inputs!$C$39)*SIN(2*PI()*(Inputs!$C$6)/Inputs!$C$40)+-Inputs!$C$41*EXP(-(((Inputs!$C$6)-Inputs!$C$43)^2)/(2*Inputs!$C$44^2))*EXP(-(((Model_Data!A40)-Inputs!$C$42)^2)/(2*Inputs!$C$45^2))+Inputs!$C$48*(0.7*(0.45*SIN(2*PI()*(((Model_Data!A40)/Inputs!$C$49)+Inputs!$C$47*0.137))+0.35*COS(2*PI()*(((Inputs!$C$6)/Inputs!$C$50)+Inputs!$C$47*0.173))+0.2*SIN(2*PI()*(((Model_Data!A40)+(Inputs!$C$6))/(0.5*(Inputs!$C$49+Inputs!$C$50))+Inputs!$C$47*0.097)))+0.3*(2*((SIN(((Model_Data!A40)*12.9898+(Inputs!$C$6)*78.233+Inputs!$C$47*37.719))*43758.5453)-INT((SIN(((Model_Data!A40)*12.9898+(Inputs!$C$6)*78.233+Inputs!$C$47*37.719))*43758.5453)))-1)))</f>
        <v>176.66624192778235</v>
      </c>
      <c r="K40" s="9">
        <f>-((((SQRT((Model_Data!A40)^2+Inputs!$C$6^2+((Model_Data!B40)-((Inputs!$C$51*(115*EXP(-(((Inputs!$C$6)-25)^2)/(4.5^2))+70*EXP(-(((Inputs!$C$6)+38)^2)/(7^2))*(0.55+0.45*SIN(2*PI()*(Model_Data!A40)/45))+24*SIN(2*PI()*(Inputs!$C$6)/9+(Model_Data!A40)/18)*EXP(-(((Inputs!$C$6)+5)^2)/(22^2))+18*SIN(2*PI()*(Model_Data!A40)/70))+Inputs!$C$28*EXP(-(((Model_Data!A40)-Inputs!$C$29)^2)/(2*Inputs!$C$31^2))*EXP(-(((Inputs!$C$6)-Inputs!$C$30)^2)/(2*Inputs!$C$32^2))+-Inputs!$C$33*EXP(-(((((Model_Data!A40)-Inputs!$C$34)^2)+(((Inputs!$C$6)-Inputs!$C$35)^2))/(2*Inputs!$C$36^2)))+Inputs!$C$37*(0.55*SIN(2*PI()*(Model_Data!A40)/Inputs!$C$39)+0.35*COS(2*PI()*(Inputs!$C$6)/Inputs!$C$40)+0.2*SIN(2*PI()*((Model_Data!A40)+(Inputs!$C$6))/(0.5*(Inputs!$C$39+Inputs!$C$40))))+Inputs!$C$38*SIN(2*PI()*(Model_Data!A40)/Inputs!$C$39)*SIN(2*PI()*(Inputs!$C$6)/Inputs!$C$40)+-Inputs!$C$41*EXP(-(((Inputs!$C$6)-Inputs!$C$43)^2)/(2*Inputs!$C$44^2))*EXP(-(((Model_Data!A40)-Inputs!$C$42)^2)/(2*Inputs!$C$45^2))+Inputs!$C$48*(0.7*(0.45*SIN(2*PI()*(((Model_Data!A40)/Inputs!$C$49)+Inputs!$C$47*0.137))+0.35*COS(2*PI()*(((Inputs!$C$6)/Inputs!$C$50)+Inputs!$C$47*0.173))+0.2*SIN(2*PI()*(((Model_Data!A40)+(Inputs!$C$6))/(0.5*(Inputs!$C$49+Inputs!$C$50))+Inputs!$C$47*0.097)))+0.3*(2*((SIN(((Model_Data!A40)*12.9898+(Inputs!$C$6)*78.233+Inputs!$C$47*37.719))*43758.5453)-INT((SIN(((Model_Data!A40)*12.9898+(Inputs!$C$6)*78.233+Inputs!$C$47*37.719))*43758.5453)))-1))))/1000)^2))-(((Model_Data!B40)-((Inputs!$C$51*(115*EXP(-(((0)-25)^2)/(4.5^2))+70*EXP(-(((0)+38)^2)/(7^2))*(0.55+0.45*SIN(2*PI()*(Model_Data!A40)/45))+24*SIN(2*PI()*(0)/9+(Model_Data!A40)/18)*EXP(-(((0)+5)^2)/(22^2))+18*SIN(2*PI()*(Model_Data!A40)/70))+Inputs!$C$28*EXP(-(((Model_Data!A40)-Inputs!$C$29)^2)/(2*Inputs!$C$31^2))*EXP(-(((0)-Inputs!$C$30)^2)/(2*Inputs!$C$32^2))+-Inputs!$C$33*EXP(-(((((Model_Data!A40)-Inputs!$C$34)^2)+(((0)-Inputs!$C$35)^2))/(2*Inputs!$C$36^2)))+Inputs!$C$37*(0.55*SIN(2*PI()*(Model_Data!A40)/Inputs!$C$39)+0.35*COS(2*PI()*(0)/Inputs!$C$40)+0.2*SIN(2*PI()*((Model_Data!A40)+(0))/(0.5*(Inputs!$C$39+Inputs!$C$40))))+Inputs!$C$38*SIN(2*PI()*(Model_Data!A40)/Inputs!$C$39)*SIN(2*PI()*(0)/Inputs!$C$40)+-Inputs!$C$41*EXP(-(((0)-Inputs!$C$43)^2)/(2*Inputs!$C$44^2))*EXP(-(((Model_Data!A40)-Inputs!$C$42)^2)/(2*Inputs!$C$45^2))+Inputs!$C$48*(0.7*(0.45*SIN(2*PI()*(((Model_Data!A40)/Inputs!$C$49)+Inputs!$C$47*0.137))+0.35*COS(2*PI()*(((0)/Inputs!$C$50)+Inputs!$C$47*0.173))+0.2*SIN(2*PI()*(((Model_Data!A40)+(0))/(0.5*(Inputs!$C$49+Inputs!$C$50))+Inputs!$C$47*0.097)))+0.3*(2*((SIN(((Model_Data!A40)*12.9898+(0)*78.233+Inputs!$C$47*37.719))*43758.5453)-INT((SIN(((Model_Data!A40)*12.9898+(0)*78.233+Inputs!$C$47*37.719))*43758.5453)))-1))))/1000)))*1000/Inputs!$C$12)-Model_Data!F40)</f>
        <v>108.5977640364008</v>
      </c>
      <c r="L40" s="10"/>
      <c r="M40" s="9">
        <f>Model_Data!A40</f>
        <v>-41</v>
      </c>
      <c r="N40" s="9">
        <f>Model_Data!P40</f>
        <v>306.83270499993921</v>
      </c>
      <c r="O40" s="9">
        <f t="shared" si="0"/>
        <v>338.45638786051495</v>
      </c>
      <c r="P40" s="9">
        <f>Model_Data!Q40</f>
        <v>46.070976726717596</v>
      </c>
      <c r="Q40" s="9">
        <f t="shared" si="1"/>
        <v>50.819277456533783</v>
      </c>
      <c r="R40" s="10"/>
      <c r="S40" s="9">
        <f>Model_Data!A40</f>
        <v>-41</v>
      </c>
      <c r="T40" s="9">
        <f>Model_Data!B40-Inputs!$C$5</f>
        <v>1.8677777777778033</v>
      </c>
      <c r="U40" s="10"/>
      <c r="V40" s="9">
        <f>Model_Data!A40</f>
        <v>-41</v>
      </c>
      <c r="W40" s="9">
        <f>((SQRT((Model_Data!A40)^2+Inputs!$C$6^2+Inputs!$C$5^2)-Inputs!$C$5)*1000/Inputs!$C$12)</f>
        <v>1613.5888589342665</v>
      </c>
      <c r="X40" s="9">
        <f>Model_Data!F40</f>
        <v>1606.1424117907243</v>
      </c>
      <c r="Y40" s="10"/>
      <c r="Z40" s="9">
        <f>Model_Data!A40</f>
        <v>-41</v>
      </c>
      <c r="AA40" s="9">
        <f>SQRT((Model_Data!A40)^2+Inputs!$C$6^2+((Model_Data!B40)-((Inputs!$C$51*(115*EXP(-(((Inputs!$C$6)-25)^2)/(4.5^2))+70*EXP(-(((Inputs!$C$6)+38)^2)/(7^2))*(0.55+0.45*SIN(2*PI()*(Model_Data!A40)/45))+24*SIN(2*PI()*(Inputs!$C$6)/9+(Model_Data!A40)/18)*EXP(-(((Inputs!$C$6)+5)^2)/(22^2))+18*SIN(2*PI()*(Model_Data!A40)/70))+Inputs!$C$28*EXP(-(((Model_Data!A40)-Inputs!$C$29)^2)/(2*Inputs!$C$31^2))*EXP(-(((Inputs!$C$6)-Inputs!$C$30)^2)/(2*Inputs!$C$32^2))+-Inputs!$C$33*EXP(-(((((Model_Data!A40)-Inputs!$C$34)^2)+(((Inputs!$C$6)-Inputs!$C$35)^2))/(2*Inputs!$C$36^2)))+Inputs!$C$37*(0.55*SIN(2*PI()*(Model_Data!A40)/Inputs!$C$39)+0.35*COS(2*PI()*(Inputs!$C$6)/Inputs!$C$40)+0.2*SIN(2*PI()*((Model_Data!A40)+(Inputs!$C$6))/(0.5*(Inputs!$C$39+Inputs!$C$40))))+Inputs!$C$38*SIN(2*PI()*(Model_Data!A40)/Inputs!$C$39)*SIN(2*PI()*(Inputs!$C$6)/Inputs!$C$40)+-Inputs!$C$41*EXP(-(((Inputs!$C$6)-Inputs!$C$43)^2)/(2*Inputs!$C$44^2))*EXP(-(((Model_Data!A40)-Inputs!$C$42)^2)/(2*Inputs!$C$45^2))+Inputs!$C$48*(0.7*(0.45*SIN(2*PI()*(((Model_Data!A40)/Inputs!$C$49)+Inputs!$C$47*0.137))+0.35*COS(2*PI()*(((Inputs!$C$6)/Inputs!$C$50)+Inputs!$C$47*0.173))+0.2*SIN(2*PI()*(((Model_Data!A40)+(Inputs!$C$6))/(0.5*(Inputs!$C$49+Inputs!$C$50))+Inputs!$C$47*0.097)))+0.3*(2*((SIN(((Model_Data!A40)*12.9898+(Inputs!$C$6)*78.233+Inputs!$C$47*37.719))*43758.5453)-INT((SIN(((Model_Data!A40)*12.9898+(Inputs!$C$6)*78.233+Inputs!$C$47*37.719))*43758.5453)))-1))))/1000)^2)</f>
        <v>404.5512935177772</v>
      </c>
      <c r="AB40" s="9">
        <f>1000*(AA41-AA39)/(Z41-Z39)*Inputs!$C$11</f>
        <v>-846.14096965128738</v>
      </c>
      <c r="AC40" s="9">
        <f>-2*AB40/Inputs!$C$13</f>
        <v>338.45638786051495</v>
      </c>
      <c r="AD40" s="9">
        <f>-2*AB40/Inputs!$C$14</f>
        <v>50.819277456533783</v>
      </c>
    </row>
    <row r="41" spans="1:30">
      <c r="A41" s="9">
        <f>Model_Data!A41</f>
        <v>-40.5</v>
      </c>
      <c r="B41" s="9">
        <f>((SQRT((Model_Data!A41)^2+Inputs!$C$6^2+Inputs!$C$5^2)-Inputs!$C$5)*1000/Inputs!$C$12)</f>
        <v>1585.1745178275614</v>
      </c>
      <c r="C41" s="9">
        <f>Model_Data!F41</f>
        <v>1578.0348465697127</v>
      </c>
      <c r="D41" s="9">
        <f>(((SQRT((Model_Data!A41)^2+Inputs!$C$6^2+((Model_Data!B41)-((Inputs!$C$51*(115*EXP(-(((Inputs!$C$6)-25)^2)/(4.5^2))+70*EXP(-(((Inputs!$C$6)+38)^2)/(7^2))*(0.55+0.45*SIN(2*PI()*(Model_Data!A41)/45))+24*SIN(2*PI()*(Inputs!$C$6)/9+(Model_Data!A41)/18)*EXP(-(((Inputs!$C$6)+5)^2)/(22^2))+18*SIN(2*PI()*(Model_Data!A41)/70))+Inputs!$C$28*EXP(-(((Model_Data!A41)-Inputs!$C$29)^2)/(2*Inputs!$C$31^2))*EXP(-(((Inputs!$C$6)-Inputs!$C$30)^2)/(2*Inputs!$C$32^2))+-Inputs!$C$33*EXP(-(((((Model_Data!A41)-Inputs!$C$34)^2)+(((Inputs!$C$6)-Inputs!$C$35)^2))/(2*Inputs!$C$36^2)))+Inputs!$C$37*(0.55*SIN(2*PI()*(Model_Data!A41)/Inputs!$C$39)+0.35*COS(2*PI()*(Inputs!$C$6)/Inputs!$C$40)+0.2*SIN(2*PI()*((Model_Data!A41)+(Inputs!$C$6))/(0.5*(Inputs!$C$39+Inputs!$C$40))))+Inputs!$C$38*SIN(2*PI()*(Model_Data!A41)/Inputs!$C$39)*SIN(2*PI()*(Inputs!$C$6)/Inputs!$C$40)+-Inputs!$C$41*EXP(-(((Inputs!$C$6)-Inputs!$C$43)^2)/(2*Inputs!$C$44^2))*EXP(-(((Model_Data!A41)-Inputs!$C$42)^2)/(2*Inputs!$C$45^2))+Inputs!$C$48*(0.7*(0.45*SIN(2*PI()*(((Model_Data!A41)/Inputs!$C$49)+Inputs!$C$47*0.137))+0.35*COS(2*PI()*(((Inputs!$C$6)/Inputs!$C$50)+Inputs!$C$47*0.173))+0.2*SIN(2*PI()*(((Model_Data!A41)+(Inputs!$C$6))/(0.5*(Inputs!$C$49+Inputs!$C$50))+Inputs!$C$47*0.097)))+0.3*(2*((SIN(((Model_Data!A41)*12.9898+(Inputs!$C$6)*78.233+Inputs!$C$47*37.719))*43758.5453)-INT((SIN(((Model_Data!A41)*12.9898+(Inputs!$C$6)*78.233+Inputs!$C$47*37.719))*43758.5453)))-1))))/1000)^2))-(((Model_Data!B41)-((Inputs!$C$51*(115*EXP(-(((0)-25)^2)/(4.5^2))+70*EXP(-(((0)+38)^2)/(7^2))*(0.55+0.45*SIN(2*PI()*(Model_Data!A41)/45))+24*SIN(2*PI()*(0)/9+(Model_Data!A41)/18)*EXP(-(((0)+5)^2)/(22^2))+18*SIN(2*PI()*(Model_Data!A41)/70))+Inputs!$C$28*EXP(-(((Model_Data!A41)-Inputs!$C$29)^2)/(2*Inputs!$C$31^2))*EXP(-(((0)-Inputs!$C$30)^2)/(2*Inputs!$C$32^2))+-Inputs!$C$33*EXP(-(((((Model_Data!A41)-Inputs!$C$34)^2)+(((0)-Inputs!$C$35)^2))/(2*Inputs!$C$36^2)))+Inputs!$C$37*(0.55*SIN(2*PI()*(Model_Data!A41)/Inputs!$C$39)+0.35*COS(2*PI()*(0)/Inputs!$C$40)+0.2*SIN(2*PI()*((Model_Data!A41)+(0))/(0.5*(Inputs!$C$39+Inputs!$C$40))))+Inputs!$C$38*SIN(2*PI()*(Model_Data!A41)/Inputs!$C$39)*SIN(2*PI()*(0)/Inputs!$C$40)+-Inputs!$C$41*EXP(-(((0)-Inputs!$C$43)^2)/(2*Inputs!$C$44^2))*EXP(-(((Model_Data!A41)-Inputs!$C$42)^2)/(2*Inputs!$C$45^2))+Inputs!$C$48*(0.7*(0.45*SIN(2*PI()*(((Model_Data!A41)/Inputs!$C$49)+Inputs!$C$47*0.137))+0.35*COS(2*PI()*(((0)/Inputs!$C$50)+Inputs!$C$47*0.173))+0.2*SIN(2*PI()*(((Model_Data!A41)+(0))/(0.5*(Inputs!$C$49+Inputs!$C$50))+Inputs!$C$47*0.097)))+0.3*(2*((SIN(((Model_Data!A41)*12.9898+(0)*78.233+Inputs!$C$47*37.719))*43758.5453)-INT((SIN(((Model_Data!A41)*12.9898+(0)*78.233+Inputs!$C$47*37.719))*43758.5453)))-1))))/1000)))*1000/Inputs!$C$12)</f>
        <v>1462.8880714740951</v>
      </c>
      <c r="E41" s="9">
        <f>Model_Data!A41</f>
        <v>-40.5</v>
      </c>
      <c r="F41" s="9">
        <f>(Inputs!$C$51*(115*EXP(-(((Inputs!$C$6)-25)^2)/(4.5^2))+70*EXP(-(((Inputs!$C$6)+38)^2)/(7^2))*(0.55+0.45*SIN(2*PI()*(Model_Data!A41)/45))+24*SIN(2*PI()*(Inputs!$C$6)/9+(Model_Data!A41)/18)*EXP(-(((Inputs!$C$6)+5)^2)/(22^2))+18*SIN(2*PI()*(Model_Data!A41)/70))+Inputs!$C$28*EXP(-(((Model_Data!A41)-Inputs!$C$29)^2)/(2*Inputs!$C$31^2))*EXP(-(((Inputs!$C$6)-Inputs!$C$30)^2)/(2*Inputs!$C$32^2))+-Inputs!$C$33*EXP(-(((((Model_Data!A41)-Inputs!$C$34)^2)+(((Inputs!$C$6)-Inputs!$C$35)^2))/(2*Inputs!$C$36^2)))+Inputs!$C$37*(0.55*SIN(2*PI()*(Model_Data!A41)/Inputs!$C$39)+0.35*COS(2*PI()*(Inputs!$C$6)/Inputs!$C$40)+0.2*SIN(2*PI()*((Model_Data!A41)+(Inputs!$C$6))/(0.5*(Inputs!$C$39+Inputs!$C$40))))+Inputs!$C$38*SIN(2*PI()*(Model_Data!A41)/Inputs!$C$39)*SIN(2*PI()*(Inputs!$C$6)/Inputs!$C$40)+-Inputs!$C$41*EXP(-(((Inputs!$C$6)-Inputs!$C$43)^2)/(2*Inputs!$C$44^2))*EXP(-(((Model_Data!A41)-Inputs!$C$42)^2)/(2*Inputs!$C$45^2))+Inputs!$C$48*(0.7*(0.45*SIN(2*PI()*(((Model_Data!A41)/Inputs!$C$49)+Inputs!$C$47*0.137))+0.35*COS(2*PI()*(((Inputs!$C$6)/Inputs!$C$50)+Inputs!$C$47*0.173))+0.2*SIN(2*PI()*(((Model_Data!A41)+(Inputs!$C$6))/(0.5*(Inputs!$C$49+Inputs!$C$50))+Inputs!$C$47*0.097)))+0.3*(2*((SIN(((Model_Data!A41)*12.9898+(Inputs!$C$6)*78.233+Inputs!$C$47*37.719))*43758.5453)-INT((SIN(((Model_Data!A41)*12.9898+(Inputs!$C$6)*78.233+Inputs!$C$47*37.719))*43758.5453)))-1)))</f>
        <v>191.24651788741608</v>
      </c>
      <c r="G41" s="9">
        <f>(Inputs!$C$51*(115*EXP(-(((0)-25)^2)/(4.5^2))+70*EXP(-(((0)+38)^2)/(7^2))*(0.55+0.45*SIN(2*PI()*(Model_Data!A41)/45))+24*SIN(2*PI()*(0)/9+(Model_Data!A41)/18)*EXP(-(((0)+5)^2)/(22^2))+18*SIN(2*PI()*(Model_Data!A41)/70))+Inputs!$C$28*EXP(-(((Model_Data!A41)-Inputs!$C$29)^2)/(2*Inputs!$C$31^2))*EXP(-(((0)-Inputs!$C$30)^2)/(2*Inputs!$C$32^2))+-Inputs!$C$33*EXP(-(((((Model_Data!A41)-Inputs!$C$34)^2)+(((0)-Inputs!$C$35)^2))/(2*Inputs!$C$36^2)))+Inputs!$C$37*(0.55*SIN(2*PI()*(Model_Data!A41)/Inputs!$C$39)+0.35*COS(2*PI()*(0)/Inputs!$C$40)+0.2*SIN(2*PI()*((Model_Data!A41)+(0))/(0.5*(Inputs!$C$39+Inputs!$C$40))))+Inputs!$C$38*SIN(2*PI()*(Model_Data!A41)/Inputs!$C$39)*SIN(2*PI()*(0)/Inputs!$C$40)+-Inputs!$C$41*EXP(-(((0)-Inputs!$C$43)^2)/(2*Inputs!$C$44^2))*EXP(-(((Model_Data!A41)-Inputs!$C$42)^2)/(2*Inputs!$C$45^2))+Inputs!$C$48*(0.7*(0.45*SIN(2*PI()*(((Model_Data!A41)/Inputs!$C$49)+Inputs!$C$47*0.137))+0.35*COS(2*PI()*(((0)/Inputs!$C$50)+Inputs!$C$47*0.173))+0.2*SIN(2*PI()*(((Model_Data!A41)+(0))/(0.5*(Inputs!$C$49+Inputs!$C$50))+Inputs!$C$47*0.097)))+0.3*(2*((SIN(((Model_Data!A41)*12.9898+(0)*78.233+Inputs!$C$47*37.719))*43758.5453)-INT((SIN(((Model_Data!A41)*12.9898+(0)*78.233+Inputs!$C$47*37.719))*43758.5453)))-1)))</f>
        <v>-15.042977474303433</v>
      </c>
      <c r="H41" s="10"/>
      <c r="I41" s="9">
        <f>Model_Data!A41</f>
        <v>-40.5</v>
      </c>
      <c r="J41" s="9">
        <f>(Inputs!$C$51*(115*EXP(-(((Inputs!$C$6)-25)^2)/(4.5^2))+70*EXP(-(((Inputs!$C$6)+38)^2)/(7^2))*(0.55+0.45*SIN(2*PI()*(Model_Data!A41)/45))+24*SIN(2*PI()*(Inputs!$C$6)/9+(Model_Data!A41)/18)*EXP(-(((Inputs!$C$6)+5)^2)/(22^2))+18*SIN(2*PI()*(Model_Data!A41)/70))+Inputs!$C$28*EXP(-(((Model_Data!A41)-Inputs!$C$29)^2)/(2*Inputs!$C$31^2))*EXP(-(((Inputs!$C$6)-Inputs!$C$30)^2)/(2*Inputs!$C$32^2))+-Inputs!$C$33*EXP(-(((((Model_Data!A41)-Inputs!$C$34)^2)+(((Inputs!$C$6)-Inputs!$C$35)^2))/(2*Inputs!$C$36^2)))+Inputs!$C$37*(0.55*SIN(2*PI()*(Model_Data!A41)/Inputs!$C$39)+0.35*COS(2*PI()*(Inputs!$C$6)/Inputs!$C$40)+0.2*SIN(2*PI()*((Model_Data!A41)+(Inputs!$C$6))/(0.5*(Inputs!$C$39+Inputs!$C$40))))+Inputs!$C$38*SIN(2*PI()*(Model_Data!A41)/Inputs!$C$39)*SIN(2*PI()*(Inputs!$C$6)/Inputs!$C$40)+-Inputs!$C$41*EXP(-(((Inputs!$C$6)-Inputs!$C$43)^2)/(2*Inputs!$C$44^2))*EXP(-(((Model_Data!A41)-Inputs!$C$42)^2)/(2*Inputs!$C$45^2))+Inputs!$C$48*(0.7*(0.45*SIN(2*PI()*(((Model_Data!A41)/Inputs!$C$49)+Inputs!$C$47*0.137))+0.35*COS(2*PI()*(((Inputs!$C$6)/Inputs!$C$50)+Inputs!$C$47*0.173))+0.2*SIN(2*PI()*(((Model_Data!A41)+(Inputs!$C$6))/(0.5*(Inputs!$C$49+Inputs!$C$50))+Inputs!$C$47*0.097)))+0.3*(2*((SIN(((Model_Data!A41)*12.9898+(Inputs!$C$6)*78.233+Inputs!$C$47*37.719))*43758.5453)-INT((SIN(((Model_Data!A41)*12.9898+(Inputs!$C$6)*78.233+Inputs!$C$47*37.719))*43758.5453)))-1)))</f>
        <v>191.24651788741608</v>
      </c>
      <c r="K41" s="9">
        <f>-((((SQRT((Model_Data!A41)^2+Inputs!$C$6^2+((Model_Data!B41)-((Inputs!$C$51*(115*EXP(-(((Inputs!$C$6)-25)^2)/(4.5^2))+70*EXP(-(((Inputs!$C$6)+38)^2)/(7^2))*(0.55+0.45*SIN(2*PI()*(Model_Data!A41)/45))+24*SIN(2*PI()*(Inputs!$C$6)/9+(Model_Data!A41)/18)*EXP(-(((Inputs!$C$6)+5)^2)/(22^2))+18*SIN(2*PI()*(Model_Data!A41)/70))+Inputs!$C$28*EXP(-(((Model_Data!A41)-Inputs!$C$29)^2)/(2*Inputs!$C$31^2))*EXP(-(((Inputs!$C$6)-Inputs!$C$30)^2)/(2*Inputs!$C$32^2))+-Inputs!$C$33*EXP(-(((((Model_Data!A41)-Inputs!$C$34)^2)+(((Inputs!$C$6)-Inputs!$C$35)^2))/(2*Inputs!$C$36^2)))+Inputs!$C$37*(0.55*SIN(2*PI()*(Model_Data!A41)/Inputs!$C$39)+0.35*COS(2*PI()*(Inputs!$C$6)/Inputs!$C$40)+0.2*SIN(2*PI()*((Model_Data!A41)+(Inputs!$C$6))/(0.5*(Inputs!$C$39+Inputs!$C$40))))+Inputs!$C$38*SIN(2*PI()*(Model_Data!A41)/Inputs!$C$39)*SIN(2*PI()*(Inputs!$C$6)/Inputs!$C$40)+-Inputs!$C$41*EXP(-(((Inputs!$C$6)-Inputs!$C$43)^2)/(2*Inputs!$C$44^2))*EXP(-(((Model_Data!A41)-Inputs!$C$42)^2)/(2*Inputs!$C$45^2))+Inputs!$C$48*(0.7*(0.45*SIN(2*PI()*(((Model_Data!A41)/Inputs!$C$49)+Inputs!$C$47*0.137))+0.35*COS(2*PI()*(((Inputs!$C$6)/Inputs!$C$50)+Inputs!$C$47*0.173))+0.2*SIN(2*PI()*(((Model_Data!A41)+(Inputs!$C$6))/(0.5*(Inputs!$C$49+Inputs!$C$50))+Inputs!$C$47*0.097)))+0.3*(2*((SIN(((Model_Data!A41)*12.9898+(Inputs!$C$6)*78.233+Inputs!$C$47*37.719))*43758.5453)-INT((SIN(((Model_Data!A41)*12.9898+(Inputs!$C$6)*78.233+Inputs!$C$47*37.719))*43758.5453)))-1))))/1000)^2))-(((Model_Data!B41)-((Inputs!$C$51*(115*EXP(-(((0)-25)^2)/(4.5^2))+70*EXP(-(((0)+38)^2)/(7^2))*(0.55+0.45*SIN(2*PI()*(Model_Data!A41)/45))+24*SIN(2*PI()*(0)/9+(Model_Data!A41)/18)*EXP(-(((0)+5)^2)/(22^2))+18*SIN(2*PI()*(Model_Data!A41)/70))+Inputs!$C$28*EXP(-(((Model_Data!A41)-Inputs!$C$29)^2)/(2*Inputs!$C$31^2))*EXP(-(((0)-Inputs!$C$30)^2)/(2*Inputs!$C$32^2))+-Inputs!$C$33*EXP(-(((((Model_Data!A41)-Inputs!$C$34)^2)+(((0)-Inputs!$C$35)^2))/(2*Inputs!$C$36^2)))+Inputs!$C$37*(0.55*SIN(2*PI()*(Model_Data!A41)/Inputs!$C$39)+0.35*COS(2*PI()*(0)/Inputs!$C$40)+0.2*SIN(2*PI()*((Model_Data!A41)+(0))/(0.5*(Inputs!$C$39+Inputs!$C$40))))+Inputs!$C$38*SIN(2*PI()*(Model_Data!A41)/Inputs!$C$39)*SIN(2*PI()*(0)/Inputs!$C$40)+-Inputs!$C$41*EXP(-(((0)-Inputs!$C$43)^2)/(2*Inputs!$C$44^2))*EXP(-(((Model_Data!A41)-Inputs!$C$42)^2)/(2*Inputs!$C$45^2))+Inputs!$C$48*(0.7*(0.45*SIN(2*PI()*(((Model_Data!A41)/Inputs!$C$49)+Inputs!$C$47*0.137))+0.35*COS(2*PI()*(((0)/Inputs!$C$50)+Inputs!$C$47*0.173))+0.2*SIN(2*PI()*(((Model_Data!A41)+(0))/(0.5*(Inputs!$C$49+Inputs!$C$50))+Inputs!$C$47*0.097)))+0.3*(2*((SIN(((Model_Data!A41)*12.9898+(0)*78.233+Inputs!$C$47*37.719))*43758.5453)-INT((SIN(((Model_Data!A41)*12.9898+(0)*78.233+Inputs!$C$47*37.719))*43758.5453)))-1))))/1000)))*1000/Inputs!$C$12)-Model_Data!F41)</f>
        <v>115.14677509561761</v>
      </c>
      <c r="L41" s="10"/>
      <c r="M41" s="9">
        <f>Model_Data!A41</f>
        <v>-40.5</v>
      </c>
      <c r="N41" s="9">
        <f>Model_Data!P41</f>
        <v>303.14612110072255</v>
      </c>
      <c r="O41" s="9">
        <f t="shared" si="0"/>
        <v>336.58391333319742</v>
      </c>
      <c r="P41" s="9">
        <f>Model_Data!Q41</f>
        <v>45.517435600709099</v>
      </c>
      <c r="Q41" s="9">
        <f t="shared" si="1"/>
        <v>50.53812512510472</v>
      </c>
      <c r="R41" s="10"/>
      <c r="S41" s="9">
        <f>Model_Data!A41</f>
        <v>-40.5</v>
      </c>
      <c r="T41" s="9">
        <f>Model_Data!B41-Inputs!$C$5</f>
        <v>1.8224999999999909</v>
      </c>
      <c r="U41" s="10"/>
      <c r="V41" s="9">
        <f>Model_Data!A41</f>
        <v>-40.5</v>
      </c>
      <c r="W41" s="9">
        <f>((SQRT((Model_Data!A41)^2+Inputs!$C$6^2+Inputs!$C$5^2)-Inputs!$C$5)*1000/Inputs!$C$12)</f>
        <v>1585.1745178275614</v>
      </c>
      <c r="X41" s="9">
        <f>Model_Data!F41</f>
        <v>1578.0348465697127</v>
      </c>
      <c r="Y41" s="10"/>
      <c r="Z41" s="9">
        <f>Model_Data!A41</f>
        <v>-40.5</v>
      </c>
      <c r="AA41" s="9">
        <f>SQRT((Model_Data!A41)^2+Inputs!$C$6^2+((Model_Data!B41)-((Inputs!$C$51*(115*EXP(-(((Inputs!$C$6)-25)^2)/(4.5^2))+70*EXP(-(((Inputs!$C$6)+38)^2)/(7^2))*(0.55+0.45*SIN(2*PI()*(Model_Data!A41)/45))+24*SIN(2*PI()*(Inputs!$C$6)/9+(Model_Data!A41)/18)*EXP(-(((Inputs!$C$6)+5)^2)/(22^2))+18*SIN(2*PI()*(Model_Data!A41)/70))+Inputs!$C$28*EXP(-(((Model_Data!A41)-Inputs!$C$29)^2)/(2*Inputs!$C$31^2))*EXP(-(((Inputs!$C$6)-Inputs!$C$30)^2)/(2*Inputs!$C$32^2))+-Inputs!$C$33*EXP(-(((((Model_Data!A41)-Inputs!$C$34)^2)+(((Inputs!$C$6)-Inputs!$C$35)^2))/(2*Inputs!$C$36^2)))+Inputs!$C$37*(0.55*SIN(2*PI()*(Model_Data!A41)/Inputs!$C$39)+0.35*COS(2*PI()*(Inputs!$C$6)/Inputs!$C$40)+0.2*SIN(2*PI()*((Model_Data!A41)+(Inputs!$C$6))/(0.5*(Inputs!$C$39+Inputs!$C$40))))+Inputs!$C$38*SIN(2*PI()*(Model_Data!A41)/Inputs!$C$39)*SIN(2*PI()*(Inputs!$C$6)/Inputs!$C$40)+-Inputs!$C$41*EXP(-(((Inputs!$C$6)-Inputs!$C$43)^2)/(2*Inputs!$C$44^2))*EXP(-(((Model_Data!A41)-Inputs!$C$42)^2)/(2*Inputs!$C$45^2))+Inputs!$C$48*(0.7*(0.45*SIN(2*PI()*(((Model_Data!A41)/Inputs!$C$49)+Inputs!$C$47*0.137))+0.35*COS(2*PI()*(((Inputs!$C$6)/Inputs!$C$50)+Inputs!$C$47*0.173))+0.2*SIN(2*PI()*(((Model_Data!A41)+(Inputs!$C$6))/(0.5*(Inputs!$C$49+Inputs!$C$50))+Inputs!$C$47*0.097)))+0.3*(2*((SIN(((Model_Data!A41)*12.9898+(Inputs!$C$6)*78.233+Inputs!$C$47*37.719))*43758.5453)-INT((SIN(((Model_Data!A41)*12.9898+(Inputs!$C$6)*78.233+Inputs!$C$47*37.719))*43758.5453)))-1))))/1000)^2)</f>
        <v>404.44148374469819</v>
      </c>
      <c r="AB41" s="9">
        <f>1000*(AA42-AA40)/(Z42-Z40)*Inputs!$C$11</f>
        <v>-841.45978333299354</v>
      </c>
      <c r="AC41" s="9">
        <f>-2*AB41/Inputs!$C$13</f>
        <v>336.58391333319742</v>
      </c>
      <c r="AD41" s="9">
        <f>-2*AB41/Inputs!$C$14</f>
        <v>50.53812512510472</v>
      </c>
    </row>
    <row r="42" spans="1:30">
      <c r="A42" s="9">
        <f>Model_Data!A42</f>
        <v>-40</v>
      </c>
      <c r="B42" s="9">
        <f>((SQRT((Model_Data!A42)^2+Inputs!$C$6^2+Inputs!$C$5^2)-Inputs!$C$5)*1000/Inputs!$C$12)</f>
        <v>1557.1053162508879</v>
      </c>
      <c r="C42" s="9">
        <f>Model_Data!F42</f>
        <v>1550.2625703988499</v>
      </c>
      <c r="D42" s="9">
        <f>(((SQRT((Model_Data!A42)^2+Inputs!$C$6^2+((Model_Data!B42)-((Inputs!$C$51*(115*EXP(-(((Inputs!$C$6)-25)^2)/(4.5^2))+70*EXP(-(((Inputs!$C$6)+38)^2)/(7^2))*(0.55+0.45*SIN(2*PI()*(Model_Data!A42)/45))+24*SIN(2*PI()*(Inputs!$C$6)/9+(Model_Data!A42)/18)*EXP(-(((Inputs!$C$6)+5)^2)/(22^2))+18*SIN(2*PI()*(Model_Data!A42)/70))+Inputs!$C$28*EXP(-(((Model_Data!A42)-Inputs!$C$29)^2)/(2*Inputs!$C$31^2))*EXP(-(((Inputs!$C$6)-Inputs!$C$30)^2)/(2*Inputs!$C$32^2))+-Inputs!$C$33*EXP(-(((((Model_Data!A42)-Inputs!$C$34)^2)+(((Inputs!$C$6)-Inputs!$C$35)^2))/(2*Inputs!$C$36^2)))+Inputs!$C$37*(0.55*SIN(2*PI()*(Model_Data!A42)/Inputs!$C$39)+0.35*COS(2*PI()*(Inputs!$C$6)/Inputs!$C$40)+0.2*SIN(2*PI()*((Model_Data!A42)+(Inputs!$C$6))/(0.5*(Inputs!$C$39+Inputs!$C$40))))+Inputs!$C$38*SIN(2*PI()*(Model_Data!A42)/Inputs!$C$39)*SIN(2*PI()*(Inputs!$C$6)/Inputs!$C$40)+-Inputs!$C$41*EXP(-(((Inputs!$C$6)-Inputs!$C$43)^2)/(2*Inputs!$C$44^2))*EXP(-(((Model_Data!A42)-Inputs!$C$42)^2)/(2*Inputs!$C$45^2))+Inputs!$C$48*(0.7*(0.45*SIN(2*PI()*(((Model_Data!A42)/Inputs!$C$49)+Inputs!$C$47*0.137))+0.35*COS(2*PI()*(((Inputs!$C$6)/Inputs!$C$50)+Inputs!$C$47*0.173))+0.2*SIN(2*PI()*(((Model_Data!A42)+(Inputs!$C$6))/(0.5*(Inputs!$C$49+Inputs!$C$50))+Inputs!$C$47*0.097)))+0.3*(2*((SIN(((Model_Data!A42)*12.9898+(Inputs!$C$6)*78.233+Inputs!$C$47*37.719))*43758.5453)-INT((SIN(((Model_Data!A42)*12.9898+(Inputs!$C$6)*78.233+Inputs!$C$47*37.719))*43758.5453)))-1))))/1000)^2))-(((Model_Data!B42)-((Inputs!$C$51*(115*EXP(-(((0)-25)^2)/(4.5^2))+70*EXP(-(((0)+38)^2)/(7^2))*(0.55+0.45*SIN(2*PI()*(Model_Data!A42)/45))+24*SIN(2*PI()*(0)/9+(Model_Data!A42)/18)*EXP(-(((0)+5)^2)/(22^2))+18*SIN(2*PI()*(Model_Data!A42)/70))+Inputs!$C$28*EXP(-(((Model_Data!A42)-Inputs!$C$29)^2)/(2*Inputs!$C$31^2))*EXP(-(((0)-Inputs!$C$30)^2)/(2*Inputs!$C$32^2))+-Inputs!$C$33*EXP(-(((((Model_Data!A42)-Inputs!$C$34)^2)+(((0)-Inputs!$C$35)^2))/(2*Inputs!$C$36^2)))+Inputs!$C$37*(0.55*SIN(2*PI()*(Model_Data!A42)/Inputs!$C$39)+0.35*COS(2*PI()*(0)/Inputs!$C$40)+0.2*SIN(2*PI()*((Model_Data!A42)+(0))/(0.5*(Inputs!$C$39+Inputs!$C$40))))+Inputs!$C$38*SIN(2*PI()*(Model_Data!A42)/Inputs!$C$39)*SIN(2*PI()*(0)/Inputs!$C$40)+-Inputs!$C$41*EXP(-(((0)-Inputs!$C$43)^2)/(2*Inputs!$C$44^2))*EXP(-(((Model_Data!A42)-Inputs!$C$42)^2)/(2*Inputs!$C$45^2))+Inputs!$C$48*(0.7*(0.45*SIN(2*PI()*(((Model_Data!A42)/Inputs!$C$49)+Inputs!$C$47*0.137))+0.35*COS(2*PI()*(((0)/Inputs!$C$50)+Inputs!$C$47*0.173))+0.2*SIN(2*PI()*(((Model_Data!A42)+(0))/(0.5*(Inputs!$C$49+Inputs!$C$50))+Inputs!$C$47*0.097)))+0.3*(2*((SIN(((Model_Data!A42)*12.9898+(0)*78.233+Inputs!$C$47*37.719))*43758.5453)-INT((SIN(((Model_Data!A42)*12.9898+(0)*78.233+Inputs!$C$47*37.719))*43758.5453)))-1))))/1000)))*1000/Inputs!$C$12)</f>
        <v>1422.426451180849</v>
      </c>
      <c r="E42" s="9">
        <f>Model_Data!A42</f>
        <v>-40</v>
      </c>
      <c r="F42" s="9">
        <f>(Inputs!$C$51*(115*EXP(-(((Inputs!$C$6)-25)^2)/(4.5^2))+70*EXP(-(((Inputs!$C$6)+38)^2)/(7^2))*(0.55+0.45*SIN(2*PI()*(Model_Data!A42)/45))+24*SIN(2*PI()*(Inputs!$C$6)/9+(Model_Data!A42)/18)*EXP(-(((Inputs!$C$6)+5)^2)/(22^2))+18*SIN(2*PI()*(Model_Data!A42)/70))+Inputs!$C$28*EXP(-(((Model_Data!A42)-Inputs!$C$29)^2)/(2*Inputs!$C$31^2))*EXP(-(((Inputs!$C$6)-Inputs!$C$30)^2)/(2*Inputs!$C$32^2))+-Inputs!$C$33*EXP(-(((((Model_Data!A42)-Inputs!$C$34)^2)+(((Inputs!$C$6)-Inputs!$C$35)^2))/(2*Inputs!$C$36^2)))+Inputs!$C$37*(0.55*SIN(2*PI()*(Model_Data!A42)/Inputs!$C$39)+0.35*COS(2*PI()*(Inputs!$C$6)/Inputs!$C$40)+0.2*SIN(2*PI()*((Model_Data!A42)+(Inputs!$C$6))/(0.5*(Inputs!$C$39+Inputs!$C$40))))+Inputs!$C$38*SIN(2*PI()*(Model_Data!A42)/Inputs!$C$39)*SIN(2*PI()*(Inputs!$C$6)/Inputs!$C$40)+-Inputs!$C$41*EXP(-(((Inputs!$C$6)-Inputs!$C$43)^2)/(2*Inputs!$C$44^2))*EXP(-(((Model_Data!A42)-Inputs!$C$42)^2)/(2*Inputs!$C$45^2))+Inputs!$C$48*(0.7*(0.45*SIN(2*PI()*(((Model_Data!A42)/Inputs!$C$49)+Inputs!$C$47*0.137))+0.35*COS(2*PI()*(((Inputs!$C$6)/Inputs!$C$50)+Inputs!$C$47*0.173))+0.2*SIN(2*PI()*(((Model_Data!A42)+(Inputs!$C$6))/(0.5*(Inputs!$C$49+Inputs!$C$50))+Inputs!$C$47*0.097)))+0.3*(2*((SIN(((Model_Data!A42)*12.9898+(Inputs!$C$6)*78.233+Inputs!$C$47*37.719))*43758.5453)-INT((SIN(((Model_Data!A42)*12.9898+(Inputs!$C$6)*78.233+Inputs!$C$47*37.719))*43758.5453)))-1)))</f>
        <v>197.66557297517377</v>
      </c>
      <c r="G42" s="9">
        <f>(Inputs!$C$51*(115*EXP(-(((0)-25)^2)/(4.5^2))+70*EXP(-(((0)+38)^2)/(7^2))*(0.55+0.45*SIN(2*PI()*(Model_Data!A42)/45))+24*SIN(2*PI()*(0)/9+(Model_Data!A42)/18)*EXP(-(((0)+5)^2)/(22^2))+18*SIN(2*PI()*(Model_Data!A42)/70))+Inputs!$C$28*EXP(-(((Model_Data!A42)-Inputs!$C$29)^2)/(2*Inputs!$C$31^2))*EXP(-(((0)-Inputs!$C$30)^2)/(2*Inputs!$C$32^2))+-Inputs!$C$33*EXP(-(((((Model_Data!A42)-Inputs!$C$34)^2)+(((0)-Inputs!$C$35)^2))/(2*Inputs!$C$36^2)))+Inputs!$C$37*(0.55*SIN(2*PI()*(Model_Data!A42)/Inputs!$C$39)+0.35*COS(2*PI()*(0)/Inputs!$C$40)+0.2*SIN(2*PI()*((Model_Data!A42)+(0))/(0.5*(Inputs!$C$39+Inputs!$C$40))))+Inputs!$C$38*SIN(2*PI()*(Model_Data!A42)/Inputs!$C$39)*SIN(2*PI()*(0)/Inputs!$C$40)+-Inputs!$C$41*EXP(-(((0)-Inputs!$C$43)^2)/(2*Inputs!$C$44^2))*EXP(-(((Model_Data!A42)-Inputs!$C$42)^2)/(2*Inputs!$C$45^2))+Inputs!$C$48*(0.7*(0.45*SIN(2*PI()*(((Model_Data!A42)/Inputs!$C$49)+Inputs!$C$47*0.137))+0.35*COS(2*PI()*(((0)/Inputs!$C$50)+Inputs!$C$47*0.173))+0.2*SIN(2*PI()*(((Model_Data!A42)+(0))/(0.5*(Inputs!$C$49+Inputs!$C$50))+Inputs!$C$47*0.097)))+0.3*(2*((SIN(((Model_Data!A42)*12.9898+(0)*78.233+Inputs!$C$47*37.719))*43758.5453)-INT((SIN(((Model_Data!A42)*12.9898+(0)*78.233+Inputs!$C$47*37.719))*43758.5453)))-1)))</f>
        <v>-31.231711064274894</v>
      </c>
      <c r="H42" s="10"/>
      <c r="I42" s="9">
        <f>Model_Data!A42</f>
        <v>-40</v>
      </c>
      <c r="J42" s="9">
        <f>(Inputs!$C$51*(115*EXP(-(((Inputs!$C$6)-25)^2)/(4.5^2))+70*EXP(-(((Inputs!$C$6)+38)^2)/(7^2))*(0.55+0.45*SIN(2*PI()*(Model_Data!A42)/45))+24*SIN(2*PI()*(Inputs!$C$6)/9+(Model_Data!A42)/18)*EXP(-(((Inputs!$C$6)+5)^2)/(22^2))+18*SIN(2*PI()*(Model_Data!A42)/70))+Inputs!$C$28*EXP(-(((Model_Data!A42)-Inputs!$C$29)^2)/(2*Inputs!$C$31^2))*EXP(-(((Inputs!$C$6)-Inputs!$C$30)^2)/(2*Inputs!$C$32^2))+-Inputs!$C$33*EXP(-(((((Model_Data!A42)-Inputs!$C$34)^2)+(((Inputs!$C$6)-Inputs!$C$35)^2))/(2*Inputs!$C$36^2)))+Inputs!$C$37*(0.55*SIN(2*PI()*(Model_Data!A42)/Inputs!$C$39)+0.35*COS(2*PI()*(Inputs!$C$6)/Inputs!$C$40)+0.2*SIN(2*PI()*((Model_Data!A42)+(Inputs!$C$6))/(0.5*(Inputs!$C$39+Inputs!$C$40))))+Inputs!$C$38*SIN(2*PI()*(Model_Data!A42)/Inputs!$C$39)*SIN(2*PI()*(Inputs!$C$6)/Inputs!$C$40)+-Inputs!$C$41*EXP(-(((Inputs!$C$6)-Inputs!$C$43)^2)/(2*Inputs!$C$44^2))*EXP(-(((Model_Data!A42)-Inputs!$C$42)^2)/(2*Inputs!$C$45^2))+Inputs!$C$48*(0.7*(0.45*SIN(2*PI()*(((Model_Data!A42)/Inputs!$C$49)+Inputs!$C$47*0.137))+0.35*COS(2*PI()*(((Inputs!$C$6)/Inputs!$C$50)+Inputs!$C$47*0.173))+0.2*SIN(2*PI()*(((Model_Data!A42)+(Inputs!$C$6))/(0.5*(Inputs!$C$49+Inputs!$C$50))+Inputs!$C$47*0.097)))+0.3*(2*((SIN(((Model_Data!A42)*12.9898+(Inputs!$C$6)*78.233+Inputs!$C$47*37.719))*43758.5453)-INT((SIN(((Model_Data!A42)*12.9898+(Inputs!$C$6)*78.233+Inputs!$C$47*37.719))*43758.5453)))-1)))</f>
        <v>197.66557297517377</v>
      </c>
      <c r="K42" s="9">
        <f>-((((SQRT((Model_Data!A42)^2+Inputs!$C$6^2+((Model_Data!B42)-((Inputs!$C$51*(115*EXP(-(((Inputs!$C$6)-25)^2)/(4.5^2))+70*EXP(-(((Inputs!$C$6)+38)^2)/(7^2))*(0.55+0.45*SIN(2*PI()*(Model_Data!A42)/45))+24*SIN(2*PI()*(Inputs!$C$6)/9+(Model_Data!A42)/18)*EXP(-(((Inputs!$C$6)+5)^2)/(22^2))+18*SIN(2*PI()*(Model_Data!A42)/70))+Inputs!$C$28*EXP(-(((Model_Data!A42)-Inputs!$C$29)^2)/(2*Inputs!$C$31^2))*EXP(-(((Inputs!$C$6)-Inputs!$C$30)^2)/(2*Inputs!$C$32^2))+-Inputs!$C$33*EXP(-(((((Model_Data!A42)-Inputs!$C$34)^2)+(((Inputs!$C$6)-Inputs!$C$35)^2))/(2*Inputs!$C$36^2)))+Inputs!$C$37*(0.55*SIN(2*PI()*(Model_Data!A42)/Inputs!$C$39)+0.35*COS(2*PI()*(Inputs!$C$6)/Inputs!$C$40)+0.2*SIN(2*PI()*((Model_Data!A42)+(Inputs!$C$6))/(0.5*(Inputs!$C$39+Inputs!$C$40))))+Inputs!$C$38*SIN(2*PI()*(Model_Data!A42)/Inputs!$C$39)*SIN(2*PI()*(Inputs!$C$6)/Inputs!$C$40)+-Inputs!$C$41*EXP(-(((Inputs!$C$6)-Inputs!$C$43)^2)/(2*Inputs!$C$44^2))*EXP(-(((Model_Data!A42)-Inputs!$C$42)^2)/(2*Inputs!$C$45^2))+Inputs!$C$48*(0.7*(0.45*SIN(2*PI()*(((Model_Data!A42)/Inputs!$C$49)+Inputs!$C$47*0.137))+0.35*COS(2*PI()*(((Inputs!$C$6)/Inputs!$C$50)+Inputs!$C$47*0.173))+0.2*SIN(2*PI()*(((Model_Data!A42)+(Inputs!$C$6))/(0.5*(Inputs!$C$49+Inputs!$C$50))+Inputs!$C$47*0.097)))+0.3*(2*((SIN(((Model_Data!A42)*12.9898+(Inputs!$C$6)*78.233+Inputs!$C$47*37.719))*43758.5453)-INT((SIN(((Model_Data!A42)*12.9898+(Inputs!$C$6)*78.233+Inputs!$C$47*37.719))*43758.5453)))-1))))/1000)^2))-(((Model_Data!B42)-((Inputs!$C$51*(115*EXP(-(((0)-25)^2)/(4.5^2))+70*EXP(-(((0)+38)^2)/(7^2))*(0.55+0.45*SIN(2*PI()*(Model_Data!A42)/45))+24*SIN(2*PI()*(0)/9+(Model_Data!A42)/18)*EXP(-(((0)+5)^2)/(22^2))+18*SIN(2*PI()*(Model_Data!A42)/70))+Inputs!$C$28*EXP(-(((Model_Data!A42)-Inputs!$C$29)^2)/(2*Inputs!$C$31^2))*EXP(-(((0)-Inputs!$C$30)^2)/(2*Inputs!$C$32^2))+-Inputs!$C$33*EXP(-(((((Model_Data!A42)-Inputs!$C$34)^2)+(((0)-Inputs!$C$35)^2))/(2*Inputs!$C$36^2)))+Inputs!$C$37*(0.55*SIN(2*PI()*(Model_Data!A42)/Inputs!$C$39)+0.35*COS(2*PI()*(0)/Inputs!$C$40)+0.2*SIN(2*PI()*((Model_Data!A42)+(0))/(0.5*(Inputs!$C$39+Inputs!$C$40))))+Inputs!$C$38*SIN(2*PI()*(Model_Data!A42)/Inputs!$C$39)*SIN(2*PI()*(0)/Inputs!$C$40)+-Inputs!$C$41*EXP(-(((0)-Inputs!$C$43)^2)/(2*Inputs!$C$44^2))*EXP(-(((Model_Data!A42)-Inputs!$C$42)^2)/(2*Inputs!$C$45^2))+Inputs!$C$48*(0.7*(0.45*SIN(2*PI()*(((Model_Data!A42)/Inputs!$C$49)+Inputs!$C$47*0.137))+0.35*COS(2*PI()*(((0)/Inputs!$C$50)+Inputs!$C$47*0.173))+0.2*SIN(2*PI()*(((Model_Data!A42)+(0))/(0.5*(Inputs!$C$49+Inputs!$C$50))+Inputs!$C$47*0.097)))+0.3*(2*((SIN(((Model_Data!A42)*12.9898+(0)*78.233+Inputs!$C$47*37.719))*43758.5453)-INT((SIN(((Model_Data!A42)*12.9898+(0)*78.233+Inputs!$C$47*37.719))*43758.5453)))-1))))/1000)))*1000/Inputs!$C$12)-Model_Data!F42)</f>
        <v>127.83611921800093</v>
      </c>
      <c r="L42" s="10"/>
      <c r="M42" s="9">
        <f>Model_Data!A42</f>
        <v>-40</v>
      </c>
      <c r="N42" s="9">
        <f>Model_Data!P42</f>
        <v>299.45754030440003</v>
      </c>
      <c r="O42" s="9">
        <f t="shared" si="0"/>
        <v>315.00254796983427</v>
      </c>
      <c r="P42" s="9">
        <f>Model_Data!Q42</f>
        <v>44.963594640300308</v>
      </c>
      <c r="Q42" s="9">
        <f t="shared" si="1"/>
        <v>47.297679875350497</v>
      </c>
      <c r="R42" s="10"/>
      <c r="S42" s="9">
        <f>Model_Data!A42</f>
        <v>-40</v>
      </c>
      <c r="T42" s="9">
        <f>Model_Data!B42-Inputs!$C$5</f>
        <v>1.7777777777777715</v>
      </c>
      <c r="U42" s="10"/>
      <c r="V42" s="9">
        <f>Model_Data!A42</f>
        <v>-40</v>
      </c>
      <c r="W42" s="9">
        <f>((SQRT((Model_Data!A42)^2+Inputs!$C$6^2+Inputs!$C$5^2)-Inputs!$C$5)*1000/Inputs!$C$12)</f>
        <v>1557.1053162508879</v>
      </c>
      <c r="X42" s="9">
        <f>Model_Data!F42</f>
        <v>1550.2625703988499</v>
      </c>
      <c r="Y42" s="10"/>
      <c r="Z42" s="9">
        <f>Model_Data!A42</f>
        <v>-40</v>
      </c>
      <c r="AA42" s="9">
        <f>SQRT((Model_Data!A42)^2+Inputs!$C$6^2+((Model_Data!B42)-((Inputs!$C$51*(115*EXP(-(((Inputs!$C$6)-25)^2)/(4.5^2))+70*EXP(-(((Inputs!$C$6)+38)^2)/(7^2))*(0.55+0.45*SIN(2*PI()*(Model_Data!A42)/45))+24*SIN(2*PI()*(Inputs!$C$6)/9+(Model_Data!A42)/18)*EXP(-(((Inputs!$C$6)+5)^2)/(22^2))+18*SIN(2*PI()*(Model_Data!A42)/70))+Inputs!$C$28*EXP(-(((Model_Data!A42)-Inputs!$C$29)^2)/(2*Inputs!$C$31^2))*EXP(-(((Inputs!$C$6)-Inputs!$C$30)^2)/(2*Inputs!$C$32^2))+-Inputs!$C$33*EXP(-(((((Model_Data!A42)-Inputs!$C$34)^2)+(((Inputs!$C$6)-Inputs!$C$35)^2))/(2*Inputs!$C$36^2)))+Inputs!$C$37*(0.55*SIN(2*PI()*(Model_Data!A42)/Inputs!$C$39)+0.35*COS(2*PI()*(Inputs!$C$6)/Inputs!$C$40)+0.2*SIN(2*PI()*((Model_Data!A42)+(Inputs!$C$6))/(0.5*(Inputs!$C$39+Inputs!$C$40))))+Inputs!$C$38*SIN(2*PI()*(Model_Data!A42)/Inputs!$C$39)*SIN(2*PI()*(Inputs!$C$6)/Inputs!$C$40)+-Inputs!$C$41*EXP(-(((Inputs!$C$6)-Inputs!$C$43)^2)/(2*Inputs!$C$44^2))*EXP(-(((Model_Data!A42)-Inputs!$C$42)^2)/(2*Inputs!$C$45^2))+Inputs!$C$48*(0.7*(0.45*SIN(2*PI()*(((Model_Data!A42)/Inputs!$C$49)+Inputs!$C$47*0.137))+0.35*COS(2*PI()*(((Inputs!$C$6)/Inputs!$C$50)+Inputs!$C$47*0.173))+0.2*SIN(2*PI()*(((Model_Data!A42)+(Inputs!$C$6))/(0.5*(Inputs!$C$49+Inputs!$C$50))+Inputs!$C$47*0.097)))+0.3*(2*((SIN(((Model_Data!A42)*12.9898+(Inputs!$C$6)*78.233+Inputs!$C$47*37.719))*43758.5453)-INT((SIN(((Model_Data!A42)*12.9898+(Inputs!$C$6)*78.233+Inputs!$C$47*37.719))*43758.5453)))-1))))/1000)^2)</f>
        <v>404.34092857194395</v>
      </c>
      <c r="AB42" s="9">
        <f>1000*(AA43-AA41)/(Z43-Z41)*Inputs!$C$11</f>
        <v>-787.50636992458567</v>
      </c>
      <c r="AC42" s="9">
        <f>-2*AB42/Inputs!$C$13</f>
        <v>315.00254796983427</v>
      </c>
      <c r="AD42" s="9">
        <f>-2*AB42/Inputs!$C$14</f>
        <v>47.297679875350497</v>
      </c>
    </row>
    <row r="43" spans="1:30">
      <c r="A43" s="9">
        <f>Model_Data!A43</f>
        <v>-39.5</v>
      </c>
      <c r="B43" s="9">
        <f>((SQRT((Model_Data!A43)^2+Inputs!$C$6^2+Inputs!$C$5^2)-Inputs!$C$5)*1000/Inputs!$C$12)</f>
        <v>1529.3813826619735</v>
      </c>
      <c r="C43" s="9">
        <f>Model_Data!F43</f>
        <v>1522.8259318957901</v>
      </c>
      <c r="D43" s="9">
        <f>(((SQRT((Model_Data!A43)^2+Inputs!$C$6^2+((Model_Data!B43)-((Inputs!$C$51*(115*EXP(-(((Inputs!$C$6)-25)^2)/(4.5^2))+70*EXP(-(((Inputs!$C$6)+38)^2)/(7^2))*(0.55+0.45*SIN(2*PI()*(Model_Data!A43)/45))+24*SIN(2*PI()*(Inputs!$C$6)/9+(Model_Data!A43)/18)*EXP(-(((Inputs!$C$6)+5)^2)/(22^2))+18*SIN(2*PI()*(Model_Data!A43)/70))+Inputs!$C$28*EXP(-(((Model_Data!A43)-Inputs!$C$29)^2)/(2*Inputs!$C$31^2))*EXP(-(((Inputs!$C$6)-Inputs!$C$30)^2)/(2*Inputs!$C$32^2))+-Inputs!$C$33*EXP(-(((((Model_Data!A43)-Inputs!$C$34)^2)+(((Inputs!$C$6)-Inputs!$C$35)^2))/(2*Inputs!$C$36^2)))+Inputs!$C$37*(0.55*SIN(2*PI()*(Model_Data!A43)/Inputs!$C$39)+0.35*COS(2*PI()*(Inputs!$C$6)/Inputs!$C$40)+0.2*SIN(2*PI()*((Model_Data!A43)+(Inputs!$C$6))/(0.5*(Inputs!$C$39+Inputs!$C$40))))+Inputs!$C$38*SIN(2*PI()*(Model_Data!A43)/Inputs!$C$39)*SIN(2*PI()*(Inputs!$C$6)/Inputs!$C$40)+-Inputs!$C$41*EXP(-(((Inputs!$C$6)-Inputs!$C$43)^2)/(2*Inputs!$C$44^2))*EXP(-(((Model_Data!A43)-Inputs!$C$42)^2)/(2*Inputs!$C$45^2))+Inputs!$C$48*(0.7*(0.45*SIN(2*PI()*(((Model_Data!A43)/Inputs!$C$49)+Inputs!$C$47*0.137))+0.35*COS(2*PI()*(((Inputs!$C$6)/Inputs!$C$50)+Inputs!$C$47*0.173))+0.2*SIN(2*PI()*(((Model_Data!A43)+(Inputs!$C$6))/(0.5*(Inputs!$C$49+Inputs!$C$50))+Inputs!$C$47*0.097)))+0.3*(2*((SIN(((Model_Data!A43)*12.9898+(Inputs!$C$6)*78.233+Inputs!$C$47*37.719))*43758.5453)-INT((SIN(((Model_Data!A43)*12.9898+(Inputs!$C$6)*78.233+Inputs!$C$47*37.719))*43758.5453)))-1))))/1000)^2))-(((Model_Data!B43)-((Inputs!$C$51*(115*EXP(-(((0)-25)^2)/(4.5^2))+70*EXP(-(((0)+38)^2)/(7^2))*(0.55+0.45*SIN(2*PI()*(Model_Data!A43)/45))+24*SIN(2*PI()*(0)/9+(Model_Data!A43)/18)*EXP(-(((0)+5)^2)/(22^2))+18*SIN(2*PI()*(Model_Data!A43)/70))+Inputs!$C$28*EXP(-(((Model_Data!A43)-Inputs!$C$29)^2)/(2*Inputs!$C$31^2))*EXP(-(((0)-Inputs!$C$30)^2)/(2*Inputs!$C$32^2))+-Inputs!$C$33*EXP(-(((((Model_Data!A43)-Inputs!$C$34)^2)+(((0)-Inputs!$C$35)^2))/(2*Inputs!$C$36^2)))+Inputs!$C$37*(0.55*SIN(2*PI()*(Model_Data!A43)/Inputs!$C$39)+0.35*COS(2*PI()*(0)/Inputs!$C$40)+0.2*SIN(2*PI()*((Model_Data!A43)+(0))/(0.5*(Inputs!$C$39+Inputs!$C$40))))+Inputs!$C$38*SIN(2*PI()*(Model_Data!A43)/Inputs!$C$39)*SIN(2*PI()*(0)/Inputs!$C$40)+-Inputs!$C$41*EXP(-(((0)-Inputs!$C$43)^2)/(2*Inputs!$C$44^2))*EXP(-(((Model_Data!A43)-Inputs!$C$42)^2)/(2*Inputs!$C$45^2))+Inputs!$C$48*(0.7*(0.45*SIN(2*PI()*(((Model_Data!A43)/Inputs!$C$49)+Inputs!$C$47*0.137))+0.35*COS(2*PI()*(((0)/Inputs!$C$50)+Inputs!$C$47*0.173))+0.2*SIN(2*PI()*(((Model_Data!A43)+(0))/(0.5*(Inputs!$C$49+Inputs!$C$50))+Inputs!$C$47*0.097)))+0.3*(2*((SIN(((Model_Data!A43)*12.9898+(0)*78.233+Inputs!$C$47*37.719))*43758.5453)-INT((SIN(((Model_Data!A43)*12.9898+(0)*78.233+Inputs!$C$47*37.719))*43758.5453)))-1))))/1000)))*1000/Inputs!$C$12)</f>
        <v>1391.9971290898168</v>
      </c>
      <c r="E43" s="9">
        <f>Model_Data!A43</f>
        <v>-39.5</v>
      </c>
      <c r="F43" s="9">
        <f>(Inputs!$C$51*(115*EXP(-(((Inputs!$C$6)-25)^2)/(4.5^2))+70*EXP(-(((Inputs!$C$6)+38)^2)/(7^2))*(0.55+0.45*SIN(2*PI()*(Model_Data!A43)/45))+24*SIN(2*PI()*(Inputs!$C$6)/9+(Model_Data!A43)/18)*EXP(-(((Inputs!$C$6)+5)^2)/(22^2))+18*SIN(2*PI()*(Model_Data!A43)/70))+Inputs!$C$28*EXP(-(((Model_Data!A43)-Inputs!$C$29)^2)/(2*Inputs!$C$31^2))*EXP(-(((Inputs!$C$6)-Inputs!$C$30)^2)/(2*Inputs!$C$32^2))+-Inputs!$C$33*EXP(-(((((Model_Data!A43)-Inputs!$C$34)^2)+(((Inputs!$C$6)-Inputs!$C$35)^2))/(2*Inputs!$C$36^2)))+Inputs!$C$37*(0.55*SIN(2*PI()*(Model_Data!A43)/Inputs!$C$39)+0.35*COS(2*PI()*(Inputs!$C$6)/Inputs!$C$40)+0.2*SIN(2*PI()*((Model_Data!A43)+(Inputs!$C$6))/(0.5*(Inputs!$C$39+Inputs!$C$40))))+Inputs!$C$38*SIN(2*PI()*(Model_Data!A43)/Inputs!$C$39)*SIN(2*PI()*(Inputs!$C$6)/Inputs!$C$40)+-Inputs!$C$41*EXP(-(((Inputs!$C$6)-Inputs!$C$43)^2)/(2*Inputs!$C$44^2))*EXP(-(((Model_Data!A43)-Inputs!$C$42)^2)/(2*Inputs!$C$45^2))+Inputs!$C$48*(0.7*(0.45*SIN(2*PI()*(((Model_Data!A43)/Inputs!$C$49)+Inputs!$C$47*0.137))+0.35*COS(2*PI()*(((Inputs!$C$6)/Inputs!$C$50)+Inputs!$C$47*0.173))+0.2*SIN(2*PI()*(((Model_Data!A43)+(Inputs!$C$6))/(0.5*(Inputs!$C$49+Inputs!$C$50))+Inputs!$C$47*0.097)))+0.3*(2*((SIN(((Model_Data!A43)*12.9898+(Inputs!$C$6)*78.233+Inputs!$C$47*37.719))*43758.5453)-INT((SIN(((Model_Data!A43)*12.9898+(Inputs!$C$6)*78.233+Inputs!$C$47*37.719))*43758.5453)))-1)))</f>
        <v>200.98178735327417</v>
      </c>
      <c r="G43" s="9">
        <f>(Inputs!$C$51*(115*EXP(-(((0)-25)^2)/(4.5^2))+70*EXP(-(((0)+38)^2)/(7^2))*(0.55+0.45*SIN(2*PI()*(Model_Data!A43)/45))+24*SIN(2*PI()*(0)/9+(Model_Data!A43)/18)*EXP(-(((0)+5)^2)/(22^2))+18*SIN(2*PI()*(Model_Data!A43)/70))+Inputs!$C$28*EXP(-(((Model_Data!A43)-Inputs!$C$29)^2)/(2*Inputs!$C$31^2))*EXP(-(((0)-Inputs!$C$30)^2)/(2*Inputs!$C$32^2))+-Inputs!$C$33*EXP(-(((((Model_Data!A43)-Inputs!$C$34)^2)+(((0)-Inputs!$C$35)^2))/(2*Inputs!$C$36^2)))+Inputs!$C$37*(0.55*SIN(2*PI()*(Model_Data!A43)/Inputs!$C$39)+0.35*COS(2*PI()*(0)/Inputs!$C$40)+0.2*SIN(2*PI()*((Model_Data!A43)+(0))/(0.5*(Inputs!$C$39+Inputs!$C$40))))+Inputs!$C$38*SIN(2*PI()*(Model_Data!A43)/Inputs!$C$39)*SIN(2*PI()*(0)/Inputs!$C$40)+-Inputs!$C$41*EXP(-(((0)-Inputs!$C$43)^2)/(2*Inputs!$C$44^2))*EXP(-(((Model_Data!A43)-Inputs!$C$42)^2)/(2*Inputs!$C$45^2))+Inputs!$C$48*(0.7*(0.45*SIN(2*PI()*(((Model_Data!A43)/Inputs!$C$49)+Inputs!$C$47*0.137))+0.35*COS(2*PI()*(((0)/Inputs!$C$50)+Inputs!$C$47*0.173))+0.2*SIN(2*PI()*(((Model_Data!A43)+(0))/(0.5*(Inputs!$C$49+Inputs!$C$50))+Inputs!$C$47*0.097)))+0.3*(2*((SIN(((Model_Data!A43)*12.9898+(0)*78.233+Inputs!$C$47*37.719))*43758.5453)-INT((SIN(((Model_Data!A43)*12.9898+(0)*78.233+Inputs!$C$47*37.719))*43758.5453)))-1)))</f>
        <v>-33.241151326098546</v>
      </c>
      <c r="H43" s="10"/>
      <c r="I43" s="9">
        <f>Model_Data!A43</f>
        <v>-39.5</v>
      </c>
      <c r="J43" s="9">
        <f>(Inputs!$C$51*(115*EXP(-(((Inputs!$C$6)-25)^2)/(4.5^2))+70*EXP(-(((Inputs!$C$6)+38)^2)/(7^2))*(0.55+0.45*SIN(2*PI()*(Model_Data!A43)/45))+24*SIN(2*PI()*(Inputs!$C$6)/9+(Model_Data!A43)/18)*EXP(-(((Inputs!$C$6)+5)^2)/(22^2))+18*SIN(2*PI()*(Model_Data!A43)/70))+Inputs!$C$28*EXP(-(((Model_Data!A43)-Inputs!$C$29)^2)/(2*Inputs!$C$31^2))*EXP(-(((Inputs!$C$6)-Inputs!$C$30)^2)/(2*Inputs!$C$32^2))+-Inputs!$C$33*EXP(-(((((Model_Data!A43)-Inputs!$C$34)^2)+(((Inputs!$C$6)-Inputs!$C$35)^2))/(2*Inputs!$C$36^2)))+Inputs!$C$37*(0.55*SIN(2*PI()*(Model_Data!A43)/Inputs!$C$39)+0.35*COS(2*PI()*(Inputs!$C$6)/Inputs!$C$40)+0.2*SIN(2*PI()*((Model_Data!A43)+(Inputs!$C$6))/(0.5*(Inputs!$C$39+Inputs!$C$40))))+Inputs!$C$38*SIN(2*PI()*(Model_Data!A43)/Inputs!$C$39)*SIN(2*PI()*(Inputs!$C$6)/Inputs!$C$40)+-Inputs!$C$41*EXP(-(((Inputs!$C$6)-Inputs!$C$43)^2)/(2*Inputs!$C$44^2))*EXP(-(((Model_Data!A43)-Inputs!$C$42)^2)/(2*Inputs!$C$45^2))+Inputs!$C$48*(0.7*(0.45*SIN(2*PI()*(((Model_Data!A43)/Inputs!$C$49)+Inputs!$C$47*0.137))+0.35*COS(2*PI()*(((Inputs!$C$6)/Inputs!$C$50)+Inputs!$C$47*0.173))+0.2*SIN(2*PI()*(((Model_Data!A43)+(Inputs!$C$6))/(0.5*(Inputs!$C$49+Inputs!$C$50))+Inputs!$C$47*0.097)))+0.3*(2*((SIN(((Model_Data!A43)*12.9898+(Inputs!$C$6)*78.233+Inputs!$C$47*37.719))*43758.5453)-INT((SIN(((Model_Data!A43)*12.9898+(Inputs!$C$6)*78.233+Inputs!$C$47*37.719))*43758.5453)))-1)))</f>
        <v>200.98178735327417</v>
      </c>
      <c r="K43" s="9">
        <f>-((((SQRT((Model_Data!A43)^2+Inputs!$C$6^2+((Model_Data!B43)-((Inputs!$C$51*(115*EXP(-(((Inputs!$C$6)-25)^2)/(4.5^2))+70*EXP(-(((Inputs!$C$6)+38)^2)/(7^2))*(0.55+0.45*SIN(2*PI()*(Model_Data!A43)/45))+24*SIN(2*PI()*(Inputs!$C$6)/9+(Model_Data!A43)/18)*EXP(-(((Inputs!$C$6)+5)^2)/(22^2))+18*SIN(2*PI()*(Model_Data!A43)/70))+Inputs!$C$28*EXP(-(((Model_Data!A43)-Inputs!$C$29)^2)/(2*Inputs!$C$31^2))*EXP(-(((Inputs!$C$6)-Inputs!$C$30)^2)/(2*Inputs!$C$32^2))+-Inputs!$C$33*EXP(-(((((Model_Data!A43)-Inputs!$C$34)^2)+(((Inputs!$C$6)-Inputs!$C$35)^2))/(2*Inputs!$C$36^2)))+Inputs!$C$37*(0.55*SIN(2*PI()*(Model_Data!A43)/Inputs!$C$39)+0.35*COS(2*PI()*(Inputs!$C$6)/Inputs!$C$40)+0.2*SIN(2*PI()*((Model_Data!A43)+(Inputs!$C$6))/(0.5*(Inputs!$C$39+Inputs!$C$40))))+Inputs!$C$38*SIN(2*PI()*(Model_Data!A43)/Inputs!$C$39)*SIN(2*PI()*(Inputs!$C$6)/Inputs!$C$40)+-Inputs!$C$41*EXP(-(((Inputs!$C$6)-Inputs!$C$43)^2)/(2*Inputs!$C$44^2))*EXP(-(((Model_Data!A43)-Inputs!$C$42)^2)/(2*Inputs!$C$45^2))+Inputs!$C$48*(0.7*(0.45*SIN(2*PI()*(((Model_Data!A43)/Inputs!$C$49)+Inputs!$C$47*0.137))+0.35*COS(2*PI()*(((Inputs!$C$6)/Inputs!$C$50)+Inputs!$C$47*0.173))+0.2*SIN(2*PI()*(((Model_Data!A43)+(Inputs!$C$6))/(0.5*(Inputs!$C$49+Inputs!$C$50))+Inputs!$C$47*0.097)))+0.3*(2*((SIN(((Model_Data!A43)*12.9898+(Inputs!$C$6)*78.233+Inputs!$C$47*37.719))*43758.5453)-INT((SIN(((Model_Data!A43)*12.9898+(Inputs!$C$6)*78.233+Inputs!$C$47*37.719))*43758.5453)))-1))))/1000)^2))-(((Model_Data!B43)-((Inputs!$C$51*(115*EXP(-(((0)-25)^2)/(4.5^2))+70*EXP(-(((0)+38)^2)/(7^2))*(0.55+0.45*SIN(2*PI()*(Model_Data!A43)/45))+24*SIN(2*PI()*(0)/9+(Model_Data!A43)/18)*EXP(-(((0)+5)^2)/(22^2))+18*SIN(2*PI()*(Model_Data!A43)/70))+Inputs!$C$28*EXP(-(((Model_Data!A43)-Inputs!$C$29)^2)/(2*Inputs!$C$31^2))*EXP(-(((0)-Inputs!$C$30)^2)/(2*Inputs!$C$32^2))+-Inputs!$C$33*EXP(-(((((Model_Data!A43)-Inputs!$C$34)^2)+(((0)-Inputs!$C$35)^2))/(2*Inputs!$C$36^2)))+Inputs!$C$37*(0.55*SIN(2*PI()*(Model_Data!A43)/Inputs!$C$39)+0.35*COS(2*PI()*(0)/Inputs!$C$40)+0.2*SIN(2*PI()*((Model_Data!A43)+(0))/(0.5*(Inputs!$C$39+Inputs!$C$40))))+Inputs!$C$38*SIN(2*PI()*(Model_Data!A43)/Inputs!$C$39)*SIN(2*PI()*(0)/Inputs!$C$40)+-Inputs!$C$41*EXP(-(((0)-Inputs!$C$43)^2)/(2*Inputs!$C$44^2))*EXP(-(((Model_Data!A43)-Inputs!$C$42)^2)/(2*Inputs!$C$45^2))+Inputs!$C$48*(0.7*(0.45*SIN(2*PI()*(((Model_Data!A43)/Inputs!$C$49)+Inputs!$C$47*0.137))+0.35*COS(2*PI()*(((0)/Inputs!$C$50)+Inputs!$C$47*0.173))+0.2*SIN(2*PI()*(((Model_Data!A43)+(0))/(0.5*(Inputs!$C$49+Inputs!$C$50))+Inputs!$C$47*0.097)))+0.3*(2*((SIN(((Model_Data!A43)*12.9898+(0)*78.233+Inputs!$C$47*37.719))*43758.5453)-INT((SIN(((Model_Data!A43)*12.9898+(0)*78.233+Inputs!$C$47*37.719))*43758.5453)))-1))))/1000)))*1000/Inputs!$C$12)-Model_Data!F43)</f>
        <v>130.82880280597328</v>
      </c>
      <c r="L43" s="10"/>
      <c r="M43" s="9">
        <f>Model_Data!A43</f>
        <v>-39.5</v>
      </c>
      <c r="N43" s="9">
        <f>Model_Data!P43</f>
        <v>295.766984965765</v>
      </c>
      <c r="O43" s="9">
        <f t="shared" si="0"/>
        <v>274.98581879772246</v>
      </c>
      <c r="P43" s="9">
        <f>Model_Data!Q43</f>
        <v>44.409457202066818</v>
      </c>
      <c r="Q43" s="9">
        <f t="shared" si="1"/>
        <v>41.289161981640014</v>
      </c>
      <c r="R43" s="10"/>
      <c r="S43" s="9">
        <f>Model_Data!A43</f>
        <v>-39.5</v>
      </c>
      <c r="T43" s="9">
        <f>Model_Data!B43-Inputs!$C$5</f>
        <v>1.7336111111110881</v>
      </c>
      <c r="U43" s="10"/>
      <c r="V43" s="9">
        <f>Model_Data!A43</f>
        <v>-39.5</v>
      </c>
      <c r="W43" s="9">
        <f>((SQRT((Model_Data!A43)^2+Inputs!$C$6^2+Inputs!$C$5^2)-Inputs!$C$5)*1000/Inputs!$C$12)</f>
        <v>1529.3813826619735</v>
      </c>
      <c r="X43" s="9">
        <f>Model_Data!F43</f>
        <v>1522.8259318957901</v>
      </c>
      <c r="Y43" s="10"/>
      <c r="Z43" s="9">
        <f>Model_Data!A43</f>
        <v>-39.5</v>
      </c>
      <c r="AA43" s="9">
        <f>SQRT((Model_Data!A43)^2+Inputs!$C$6^2+((Model_Data!B43)-((Inputs!$C$51*(115*EXP(-(((Inputs!$C$6)-25)^2)/(4.5^2))+70*EXP(-(((Inputs!$C$6)+38)^2)/(7^2))*(0.55+0.45*SIN(2*PI()*(Model_Data!A43)/45))+24*SIN(2*PI()*(Inputs!$C$6)/9+(Model_Data!A43)/18)*EXP(-(((Inputs!$C$6)+5)^2)/(22^2))+18*SIN(2*PI()*(Model_Data!A43)/70))+Inputs!$C$28*EXP(-(((Model_Data!A43)-Inputs!$C$29)^2)/(2*Inputs!$C$31^2))*EXP(-(((Inputs!$C$6)-Inputs!$C$30)^2)/(2*Inputs!$C$32^2))+-Inputs!$C$33*EXP(-(((((Model_Data!A43)-Inputs!$C$34)^2)+(((Inputs!$C$6)-Inputs!$C$35)^2))/(2*Inputs!$C$36^2)))+Inputs!$C$37*(0.55*SIN(2*PI()*(Model_Data!A43)/Inputs!$C$39)+0.35*COS(2*PI()*(Inputs!$C$6)/Inputs!$C$40)+0.2*SIN(2*PI()*((Model_Data!A43)+(Inputs!$C$6))/(0.5*(Inputs!$C$39+Inputs!$C$40))))+Inputs!$C$38*SIN(2*PI()*(Model_Data!A43)/Inputs!$C$39)*SIN(2*PI()*(Inputs!$C$6)/Inputs!$C$40)+-Inputs!$C$41*EXP(-(((Inputs!$C$6)-Inputs!$C$43)^2)/(2*Inputs!$C$44^2))*EXP(-(((Model_Data!A43)-Inputs!$C$42)^2)/(2*Inputs!$C$45^2))+Inputs!$C$48*(0.7*(0.45*SIN(2*PI()*(((Model_Data!A43)/Inputs!$C$49)+Inputs!$C$47*0.137))+0.35*COS(2*PI()*(((Inputs!$C$6)/Inputs!$C$50)+Inputs!$C$47*0.173))+0.2*SIN(2*PI()*(((Model_Data!A43)+(Inputs!$C$6))/(0.5*(Inputs!$C$49+Inputs!$C$50))+Inputs!$C$47*0.097)))+0.3*(2*((SIN(((Model_Data!A43)*12.9898+(Inputs!$C$6)*78.233+Inputs!$C$47*37.719))*43758.5453)-INT((SIN(((Model_Data!A43)*12.9898+(Inputs!$C$6)*78.233+Inputs!$C$47*37.719))*43758.5453)))-1))))/1000)^2)</f>
        <v>404.24460715221704</v>
      </c>
      <c r="AB43" s="9">
        <f>1000*(AA44-AA42)/(Z44-Z42)*Inputs!$C$11</f>
        <v>-687.46454699430615</v>
      </c>
      <c r="AC43" s="9">
        <f>-2*AB43/Inputs!$C$13</f>
        <v>274.98581879772246</v>
      </c>
      <c r="AD43" s="9">
        <f>-2*AB43/Inputs!$C$14</f>
        <v>41.289161981640014</v>
      </c>
    </row>
    <row r="44" spans="1:30">
      <c r="A44" s="9">
        <f>Model_Data!A44</f>
        <v>-39</v>
      </c>
      <c r="B44" s="9">
        <f>((SQRT((Model_Data!A44)^2+Inputs!$C$6^2+Inputs!$C$5^2)-Inputs!$C$5)*1000/Inputs!$C$12)</f>
        <v>1502.0028440010826</v>
      </c>
      <c r="C44" s="9">
        <f>Model_Data!F44</f>
        <v>1495.7252757464753</v>
      </c>
      <c r="D44" s="9">
        <f>(((SQRT((Model_Data!A44)^2+Inputs!$C$6^2+((Model_Data!B44)-((Inputs!$C$51*(115*EXP(-(((Inputs!$C$6)-25)^2)/(4.5^2))+70*EXP(-(((Inputs!$C$6)+38)^2)/(7^2))*(0.55+0.45*SIN(2*PI()*(Model_Data!A44)/45))+24*SIN(2*PI()*(Inputs!$C$6)/9+(Model_Data!A44)/18)*EXP(-(((Inputs!$C$6)+5)^2)/(22^2))+18*SIN(2*PI()*(Model_Data!A44)/70))+Inputs!$C$28*EXP(-(((Model_Data!A44)-Inputs!$C$29)^2)/(2*Inputs!$C$31^2))*EXP(-(((Inputs!$C$6)-Inputs!$C$30)^2)/(2*Inputs!$C$32^2))+-Inputs!$C$33*EXP(-(((((Model_Data!A44)-Inputs!$C$34)^2)+(((Inputs!$C$6)-Inputs!$C$35)^2))/(2*Inputs!$C$36^2)))+Inputs!$C$37*(0.55*SIN(2*PI()*(Model_Data!A44)/Inputs!$C$39)+0.35*COS(2*PI()*(Inputs!$C$6)/Inputs!$C$40)+0.2*SIN(2*PI()*((Model_Data!A44)+(Inputs!$C$6))/(0.5*(Inputs!$C$39+Inputs!$C$40))))+Inputs!$C$38*SIN(2*PI()*(Model_Data!A44)/Inputs!$C$39)*SIN(2*PI()*(Inputs!$C$6)/Inputs!$C$40)+-Inputs!$C$41*EXP(-(((Inputs!$C$6)-Inputs!$C$43)^2)/(2*Inputs!$C$44^2))*EXP(-(((Model_Data!A44)-Inputs!$C$42)^2)/(2*Inputs!$C$45^2))+Inputs!$C$48*(0.7*(0.45*SIN(2*PI()*(((Model_Data!A44)/Inputs!$C$49)+Inputs!$C$47*0.137))+0.35*COS(2*PI()*(((Inputs!$C$6)/Inputs!$C$50)+Inputs!$C$47*0.173))+0.2*SIN(2*PI()*(((Model_Data!A44)+(Inputs!$C$6))/(0.5*(Inputs!$C$49+Inputs!$C$50))+Inputs!$C$47*0.097)))+0.3*(2*((SIN(((Model_Data!A44)*12.9898+(Inputs!$C$6)*78.233+Inputs!$C$47*37.719))*43758.5453)-INT((SIN(((Model_Data!A44)*12.9898+(Inputs!$C$6)*78.233+Inputs!$C$47*37.719))*43758.5453)))-1))))/1000)^2))-(((Model_Data!B44)-((Inputs!$C$51*(115*EXP(-(((0)-25)^2)/(4.5^2))+70*EXP(-(((0)+38)^2)/(7^2))*(0.55+0.45*SIN(2*PI()*(Model_Data!A44)/45))+24*SIN(2*PI()*(0)/9+(Model_Data!A44)/18)*EXP(-(((0)+5)^2)/(22^2))+18*SIN(2*PI()*(Model_Data!A44)/70))+Inputs!$C$28*EXP(-(((Model_Data!A44)-Inputs!$C$29)^2)/(2*Inputs!$C$31^2))*EXP(-(((0)-Inputs!$C$30)^2)/(2*Inputs!$C$32^2))+-Inputs!$C$33*EXP(-(((((Model_Data!A44)-Inputs!$C$34)^2)+(((0)-Inputs!$C$35)^2))/(2*Inputs!$C$36^2)))+Inputs!$C$37*(0.55*SIN(2*PI()*(Model_Data!A44)/Inputs!$C$39)+0.35*COS(2*PI()*(0)/Inputs!$C$40)+0.2*SIN(2*PI()*((Model_Data!A44)+(0))/(0.5*(Inputs!$C$39+Inputs!$C$40))))+Inputs!$C$38*SIN(2*PI()*(Model_Data!A44)/Inputs!$C$39)*SIN(2*PI()*(0)/Inputs!$C$40)+-Inputs!$C$41*EXP(-(((0)-Inputs!$C$43)^2)/(2*Inputs!$C$44^2))*EXP(-(((Model_Data!A44)-Inputs!$C$42)^2)/(2*Inputs!$C$45^2))+Inputs!$C$48*(0.7*(0.45*SIN(2*PI()*(((Model_Data!A44)/Inputs!$C$49)+Inputs!$C$47*0.137))+0.35*COS(2*PI()*(((0)/Inputs!$C$50)+Inputs!$C$47*0.173))+0.2*SIN(2*PI()*(((Model_Data!A44)+(0))/(0.5*(Inputs!$C$49+Inputs!$C$50))+Inputs!$C$47*0.097)))+0.3*(2*((SIN(((Model_Data!A44)*12.9898+(0)*78.233+Inputs!$C$47*37.719))*43758.5453)-INT((SIN(((Model_Data!A44)*12.9898+(0)*78.233+Inputs!$C$47*37.719))*43758.5453)))-1))))/1000)))*1000/Inputs!$C$12)</f>
        <v>1374.7428279945518</v>
      </c>
      <c r="E44" s="9">
        <f>Model_Data!A44</f>
        <v>-39</v>
      </c>
      <c r="F44" s="9">
        <f>(Inputs!$C$51*(115*EXP(-(((Inputs!$C$6)-25)^2)/(4.5^2))+70*EXP(-(((Inputs!$C$6)+38)^2)/(7^2))*(0.55+0.45*SIN(2*PI()*(Model_Data!A44)/45))+24*SIN(2*PI()*(Inputs!$C$6)/9+(Model_Data!A44)/18)*EXP(-(((Inputs!$C$6)+5)^2)/(22^2))+18*SIN(2*PI()*(Model_Data!A44)/70))+Inputs!$C$28*EXP(-(((Model_Data!A44)-Inputs!$C$29)^2)/(2*Inputs!$C$31^2))*EXP(-(((Inputs!$C$6)-Inputs!$C$30)^2)/(2*Inputs!$C$32^2))+-Inputs!$C$33*EXP(-(((((Model_Data!A44)-Inputs!$C$34)^2)+(((Inputs!$C$6)-Inputs!$C$35)^2))/(2*Inputs!$C$36^2)))+Inputs!$C$37*(0.55*SIN(2*PI()*(Model_Data!A44)/Inputs!$C$39)+0.35*COS(2*PI()*(Inputs!$C$6)/Inputs!$C$40)+0.2*SIN(2*PI()*((Model_Data!A44)+(Inputs!$C$6))/(0.5*(Inputs!$C$39+Inputs!$C$40))))+Inputs!$C$38*SIN(2*PI()*(Model_Data!A44)/Inputs!$C$39)*SIN(2*PI()*(Inputs!$C$6)/Inputs!$C$40)+-Inputs!$C$41*EXP(-(((Inputs!$C$6)-Inputs!$C$43)^2)/(2*Inputs!$C$44^2))*EXP(-(((Model_Data!A44)-Inputs!$C$42)^2)/(2*Inputs!$C$45^2))+Inputs!$C$48*(0.7*(0.45*SIN(2*PI()*(((Model_Data!A44)/Inputs!$C$49)+Inputs!$C$47*0.137))+0.35*COS(2*PI()*(((Inputs!$C$6)/Inputs!$C$50)+Inputs!$C$47*0.173))+0.2*SIN(2*PI()*(((Model_Data!A44)+(Inputs!$C$6))/(0.5*(Inputs!$C$49+Inputs!$C$50))+Inputs!$C$47*0.097)))+0.3*(2*((SIN(((Model_Data!A44)*12.9898+(Inputs!$C$6)*78.233+Inputs!$C$47*37.719))*43758.5453)-INT((SIN(((Model_Data!A44)*12.9898+(Inputs!$C$6)*78.233+Inputs!$C$47*37.719))*43758.5453)))-1)))</f>
        <v>184.54420924136062</v>
      </c>
      <c r="G44" s="9">
        <f>(Inputs!$C$51*(115*EXP(-(((0)-25)^2)/(4.5^2))+70*EXP(-(((0)+38)^2)/(7^2))*(0.55+0.45*SIN(2*PI()*(Model_Data!A44)/45))+24*SIN(2*PI()*(0)/9+(Model_Data!A44)/18)*EXP(-(((0)+5)^2)/(22^2))+18*SIN(2*PI()*(Model_Data!A44)/70))+Inputs!$C$28*EXP(-(((Model_Data!A44)-Inputs!$C$29)^2)/(2*Inputs!$C$31^2))*EXP(-(((0)-Inputs!$C$30)^2)/(2*Inputs!$C$32^2))+-Inputs!$C$33*EXP(-(((((Model_Data!A44)-Inputs!$C$34)^2)+(((0)-Inputs!$C$35)^2))/(2*Inputs!$C$36^2)))+Inputs!$C$37*(0.55*SIN(2*PI()*(Model_Data!A44)/Inputs!$C$39)+0.35*COS(2*PI()*(0)/Inputs!$C$40)+0.2*SIN(2*PI()*((Model_Data!A44)+(0))/(0.5*(Inputs!$C$39+Inputs!$C$40))))+Inputs!$C$38*SIN(2*PI()*(Model_Data!A44)/Inputs!$C$39)*SIN(2*PI()*(0)/Inputs!$C$40)+-Inputs!$C$41*EXP(-(((0)-Inputs!$C$43)^2)/(2*Inputs!$C$44^2))*EXP(-(((Model_Data!A44)-Inputs!$C$42)^2)/(2*Inputs!$C$45^2))+Inputs!$C$48*(0.7*(0.45*SIN(2*PI()*(((Model_Data!A44)/Inputs!$C$49)+Inputs!$C$47*0.137))+0.35*COS(2*PI()*(((0)/Inputs!$C$50)+Inputs!$C$47*0.173))+0.2*SIN(2*PI()*(((Model_Data!A44)+(0))/(0.5*(Inputs!$C$49+Inputs!$C$50))+Inputs!$C$47*0.097)))+0.3*(2*((SIN(((Model_Data!A44)*12.9898+(0)*78.233+Inputs!$C$47*37.719))*43758.5453)-INT((SIN(((Model_Data!A44)*12.9898+(0)*78.233+Inputs!$C$47*37.719))*43758.5453)))-1)))</f>
        <v>-32.020201365077646</v>
      </c>
      <c r="H44" s="10"/>
      <c r="I44" s="9">
        <f>Model_Data!A44</f>
        <v>-39</v>
      </c>
      <c r="J44" s="9">
        <f>(Inputs!$C$51*(115*EXP(-(((Inputs!$C$6)-25)^2)/(4.5^2))+70*EXP(-(((Inputs!$C$6)+38)^2)/(7^2))*(0.55+0.45*SIN(2*PI()*(Model_Data!A44)/45))+24*SIN(2*PI()*(Inputs!$C$6)/9+(Model_Data!A44)/18)*EXP(-(((Inputs!$C$6)+5)^2)/(22^2))+18*SIN(2*PI()*(Model_Data!A44)/70))+Inputs!$C$28*EXP(-(((Model_Data!A44)-Inputs!$C$29)^2)/(2*Inputs!$C$31^2))*EXP(-(((Inputs!$C$6)-Inputs!$C$30)^2)/(2*Inputs!$C$32^2))+-Inputs!$C$33*EXP(-(((((Model_Data!A44)-Inputs!$C$34)^2)+(((Inputs!$C$6)-Inputs!$C$35)^2))/(2*Inputs!$C$36^2)))+Inputs!$C$37*(0.55*SIN(2*PI()*(Model_Data!A44)/Inputs!$C$39)+0.35*COS(2*PI()*(Inputs!$C$6)/Inputs!$C$40)+0.2*SIN(2*PI()*((Model_Data!A44)+(Inputs!$C$6))/(0.5*(Inputs!$C$39+Inputs!$C$40))))+Inputs!$C$38*SIN(2*PI()*(Model_Data!A44)/Inputs!$C$39)*SIN(2*PI()*(Inputs!$C$6)/Inputs!$C$40)+-Inputs!$C$41*EXP(-(((Inputs!$C$6)-Inputs!$C$43)^2)/(2*Inputs!$C$44^2))*EXP(-(((Model_Data!A44)-Inputs!$C$42)^2)/(2*Inputs!$C$45^2))+Inputs!$C$48*(0.7*(0.45*SIN(2*PI()*(((Model_Data!A44)/Inputs!$C$49)+Inputs!$C$47*0.137))+0.35*COS(2*PI()*(((Inputs!$C$6)/Inputs!$C$50)+Inputs!$C$47*0.173))+0.2*SIN(2*PI()*(((Model_Data!A44)+(Inputs!$C$6))/(0.5*(Inputs!$C$49+Inputs!$C$50))+Inputs!$C$47*0.097)))+0.3*(2*((SIN(((Model_Data!A44)*12.9898+(Inputs!$C$6)*78.233+Inputs!$C$47*37.719))*43758.5453)-INT((SIN(((Model_Data!A44)*12.9898+(Inputs!$C$6)*78.233+Inputs!$C$47*37.719))*43758.5453)))-1)))</f>
        <v>184.54420924136062</v>
      </c>
      <c r="K44" s="9">
        <f>-((((SQRT((Model_Data!A44)^2+Inputs!$C$6^2+((Model_Data!B44)-((Inputs!$C$51*(115*EXP(-(((Inputs!$C$6)-25)^2)/(4.5^2))+70*EXP(-(((Inputs!$C$6)+38)^2)/(7^2))*(0.55+0.45*SIN(2*PI()*(Model_Data!A44)/45))+24*SIN(2*PI()*(Inputs!$C$6)/9+(Model_Data!A44)/18)*EXP(-(((Inputs!$C$6)+5)^2)/(22^2))+18*SIN(2*PI()*(Model_Data!A44)/70))+Inputs!$C$28*EXP(-(((Model_Data!A44)-Inputs!$C$29)^2)/(2*Inputs!$C$31^2))*EXP(-(((Inputs!$C$6)-Inputs!$C$30)^2)/(2*Inputs!$C$32^2))+-Inputs!$C$33*EXP(-(((((Model_Data!A44)-Inputs!$C$34)^2)+(((Inputs!$C$6)-Inputs!$C$35)^2))/(2*Inputs!$C$36^2)))+Inputs!$C$37*(0.55*SIN(2*PI()*(Model_Data!A44)/Inputs!$C$39)+0.35*COS(2*PI()*(Inputs!$C$6)/Inputs!$C$40)+0.2*SIN(2*PI()*((Model_Data!A44)+(Inputs!$C$6))/(0.5*(Inputs!$C$39+Inputs!$C$40))))+Inputs!$C$38*SIN(2*PI()*(Model_Data!A44)/Inputs!$C$39)*SIN(2*PI()*(Inputs!$C$6)/Inputs!$C$40)+-Inputs!$C$41*EXP(-(((Inputs!$C$6)-Inputs!$C$43)^2)/(2*Inputs!$C$44^2))*EXP(-(((Model_Data!A44)-Inputs!$C$42)^2)/(2*Inputs!$C$45^2))+Inputs!$C$48*(0.7*(0.45*SIN(2*PI()*(((Model_Data!A44)/Inputs!$C$49)+Inputs!$C$47*0.137))+0.35*COS(2*PI()*(((Inputs!$C$6)/Inputs!$C$50)+Inputs!$C$47*0.173))+0.2*SIN(2*PI()*(((Model_Data!A44)+(Inputs!$C$6))/(0.5*(Inputs!$C$49+Inputs!$C$50))+Inputs!$C$47*0.097)))+0.3*(2*((SIN(((Model_Data!A44)*12.9898+(Inputs!$C$6)*78.233+Inputs!$C$47*37.719))*43758.5453)-INT((SIN(((Model_Data!A44)*12.9898+(Inputs!$C$6)*78.233+Inputs!$C$47*37.719))*43758.5453)))-1))))/1000)^2))-(((Model_Data!B44)-((Inputs!$C$51*(115*EXP(-(((0)-25)^2)/(4.5^2))+70*EXP(-(((0)+38)^2)/(7^2))*(0.55+0.45*SIN(2*PI()*(Model_Data!A44)/45))+24*SIN(2*PI()*(0)/9+(Model_Data!A44)/18)*EXP(-(((0)+5)^2)/(22^2))+18*SIN(2*PI()*(Model_Data!A44)/70))+Inputs!$C$28*EXP(-(((Model_Data!A44)-Inputs!$C$29)^2)/(2*Inputs!$C$31^2))*EXP(-(((0)-Inputs!$C$30)^2)/(2*Inputs!$C$32^2))+-Inputs!$C$33*EXP(-(((((Model_Data!A44)-Inputs!$C$34)^2)+(((0)-Inputs!$C$35)^2))/(2*Inputs!$C$36^2)))+Inputs!$C$37*(0.55*SIN(2*PI()*(Model_Data!A44)/Inputs!$C$39)+0.35*COS(2*PI()*(0)/Inputs!$C$40)+0.2*SIN(2*PI()*((Model_Data!A44)+(0))/(0.5*(Inputs!$C$39+Inputs!$C$40))))+Inputs!$C$38*SIN(2*PI()*(Model_Data!A44)/Inputs!$C$39)*SIN(2*PI()*(0)/Inputs!$C$40)+-Inputs!$C$41*EXP(-(((0)-Inputs!$C$43)^2)/(2*Inputs!$C$44^2))*EXP(-(((Model_Data!A44)-Inputs!$C$42)^2)/(2*Inputs!$C$45^2))+Inputs!$C$48*(0.7*(0.45*SIN(2*PI()*(((Model_Data!A44)/Inputs!$C$49)+Inputs!$C$47*0.137))+0.35*COS(2*PI()*(((0)/Inputs!$C$50)+Inputs!$C$47*0.173))+0.2*SIN(2*PI()*(((Model_Data!A44)+(0))/(0.5*(Inputs!$C$49+Inputs!$C$50))+Inputs!$C$47*0.097)))+0.3*(2*((SIN(((Model_Data!A44)*12.9898+(0)*78.233+Inputs!$C$47*37.719))*43758.5453)-INT((SIN(((Model_Data!A44)*12.9898+(0)*78.233+Inputs!$C$47*37.719))*43758.5453)))-1))))/1000)))*1000/Inputs!$C$12)-Model_Data!F44)</f>
        <v>120.98244775192347</v>
      </c>
      <c r="L44" s="10"/>
      <c r="M44" s="9">
        <f>Model_Data!A44</f>
        <v>-39</v>
      </c>
      <c r="N44" s="9">
        <f>Model_Data!P44</f>
        <v>292.07447752179121</v>
      </c>
      <c r="O44" s="9">
        <f t="shared" si="0"/>
        <v>309.08317080575216</v>
      </c>
      <c r="P44" s="9">
        <f>Model_Data!Q44</f>
        <v>43.855026654923606</v>
      </c>
      <c r="Q44" s="9">
        <f t="shared" si="1"/>
        <v>46.408884505368199</v>
      </c>
      <c r="R44" s="10"/>
      <c r="S44" s="9">
        <f>Model_Data!A44</f>
        <v>-39</v>
      </c>
      <c r="T44" s="9">
        <f>Model_Data!B44-Inputs!$C$5</f>
        <v>1.6899999999999977</v>
      </c>
      <c r="U44" s="10"/>
      <c r="V44" s="9">
        <f>Model_Data!A44</f>
        <v>-39</v>
      </c>
      <c r="W44" s="9">
        <f>((SQRT((Model_Data!A44)^2+Inputs!$C$6^2+Inputs!$C$5^2)-Inputs!$C$5)*1000/Inputs!$C$12)</f>
        <v>1502.0028440010826</v>
      </c>
      <c r="X44" s="9">
        <f>Model_Data!F44</f>
        <v>1495.7252757464753</v>
      </c>
      <c r="Y44" s="10"/>
      <c r="Z44" s="9">
        <f>Model_Data!A44</f>
        <v>-39</v>
      </c>
      <c r="AA44" s="9">
        <f>SQRT((Model_Data!A44)^2+Inputs!$C$6^2+((Model_Data!B44)-((Inputs!$C$51*(115*EXP(-(((Inputs!$C$6)-25)^2)/(4.5^2))+70*EXP(-(((Inputs!$C$6)+38)^2)/(7^2))*(0.55+0.45*SIN(2*PI()*(Model_Data!A44)/45))+24*SIN(2*PI()*(Inputs!$C$6)/9+(Model_Data!A44)/18)*EXP(-(((Inputs!$C$6)+5)^2)/(22^2))+18*SIN(2*PI()*(Model_Data!A44)/70))+Inputs!$C$28*EXP(-(((Model_Data!A44)-Inputs!$C$29)^2)/(2*Inputs!$C$31^2))*EXP(-(((Inputs!$C$6)-Inputs!$C$30)^2)/(2*Inputs!$C$32^2))+-Inputs!$C$33*EXP(-(((((Model_Data!A44)-Inputs!$C$34)^2)+(((Inputs!$C$6)-Inputs!$C$35)^2))/(2*Inputs!$C$36^2)))+Inputs!$C$37*(0.55*SIN(2*PI()*(Model_Data!A44)/Inputs!$C$39)+0.35*COS(2*PI()*(Inputs!$C$6)/Inputs!$C$40)+0.2*SIN(2*PI()*((Model_Data!A44)+(Inputs!$C$6))/(0.5*(Inputs!$C$39+Inputs!$C$40))))+Inputs!$C$38*SIN(2*PI()*(Model_Data!A44)/Inputs!$C$39)*SIN(2*PI()*(Inputs!$C$6)/Inputs!$C$40)+-Inputs!$C$41*EXP(-(((Inputs!$C$6)-Inputs!$C$43)^2)/(2*Inputs!$C$44^2))*EXP(-(((Model_Data!A44)-Inputs!$C$42)^2)/(2*Inputs!$C$45^2))+Inputs!$C$48*(0.7*(0.45*SIN(2*PI()*(((Model_Data!A44)/Inputs!$C$49)+Inputs!$C$47*0.137))+0.35*COS(2*PI()*(((Inputs!$C$6)/Inputs!$C$50)+Inputs!$C$47*0.173))+0.2*SIN(2*PI()*(((Model_Data!A44)+(Inputs!$C$6))/(0.5*(Inputs!$C$49+Inputs!$C$50))+Inputs!$C$47*0.097)))+0.3*(2*((SIN(((Model_Data!A44)*12.9898+(Inputs!$C$6)*78.233+Inputs!$C$47*37.719))*43758.5453)-INT((SIN(((Model_Data!A44)*12.9898+(Inputs!$C$6)*78.233+Inputs!$C$47*37.719))*43758.5453)))-1))))/1000)^2)</f>
        <v>404.16906243519537</v>
      </c>
      <c r="AB44" s="9">
        <f>1000*(AA45-AA43)/(Z45-Z43)*Inputs!$C$11</f>
        <v>-772.7079270143804</v>
      </c>
      <c r="AC44" s="9">
        <f>-2*AB44/Inputs!$C$13</f>
        <v>309.08317080575216</v>
      </c>
      <c r="AD44" s="9">
        <f>-2*AB44/Inputs!$C$14</f>
        <v>46.408884505368199</v>
      </c>
    </row>
    <row r="45" spans="1:30">
      <c r="A45" s="9">
        <f>Model_Data!A45</f>
        <v>-38.5</v>
      </c>
      <c r="B45" s="9">
        <f>((SQRT((Model_Data!A45)^2+Inputs!$C$6^2+Inputs!$C$5^2)-Inputs!$C$5)*1000/Inputs!$C$12)</f>
        <v>1474.9698256880454</v>
      </c>
      <c r="C45" s="9">
        <f>Model_Data!F45</f>
        <v>1468.9609426904447</v>
      </c>
      <c r="D45" s="9">
        <f>(((SQRT((Model_Data!A45)^2+Inputs!$C$6^2+((Model_Data!B45)-((Inputs!$C$51*(115*EXP(-(((Inputs!$C$6)-25)^2)/(4.5^2))+70*EXP(-(((Inputs!$C$6)+38)^2)/(7^2))*(0.55+0.45*SIN(2*PI()*(Model_Data!A45)/45))+24*SIN(2*PI()*(Inputs!$C$6)/9+(Model_Data!A45)/18)*EXP(-(((Inputs!$C$6)+5)^2)/(22^2))+18*SIN(2*PI()*(Model_Data!A45)/70))+Inputs!$C$28*EXP(-(((Model_Data!A45)-Inputs!$C$29)^2)/(2*Inputs!$C$31^2))*EXP(-(((Inputs!$C$6)-Inputs!$C$30)^2)/(2*Inputs!$C$32^2))+-Inputs!$C$33*EXP(-(((((Model_Data!A45)-Inputs!$C$34)^2)+(((Inputs!$C$6)-Inputs!$C$35)^2))/(2*Inputs!$C$36^2)))+Inputs!$C$37*(0.55*SIN(2*PI()*(Model_Data!A45)/Inputs!$C$39)+0.35*COS(2*PI()*(Inputs!$C$6)/Inputs!$C$40)+0.2*SIN(2*PI()*((Model_Data!A45)+(Inputs!$C$6))/(0.5*(Inputs!$C$39+Inputs!$C$40))))+Inputs!$C$38*SIN(2*PI()*(Model_Data!A45)/Inputs!$C$39)*SIN(2*PI()*(Inputs!$C$6)/Inputs!$C$40)+-Inputs!$C$41*EXP(-(((Inputs!$C$6)-Inputs!$C$43)^2)/(2*Inputs!$C$44^2))*EXP(-(((Model_Data!A45)-Inputs!$C$42)^2)/(2*Inputs!$C$45^2))+Inputs!$C$48*(0.7*(0.45*SIN(2*PI()*(((Model_Data!A45)/Inputs!$C$49)+Inputs!$C$47*0.137))+0.35*COS(2*PI()*(((Inputs!$C$6)/Inputs!$C$50)+Inputs!$C$47*0.173))+0.2*SIN(2*PI()*(((Model_Data!A45)+(Inputs!$C$6))/(0.5*(Inputs!$C$49+Inputs!$C$50))+Inputs!$C$47*0.097)))+0.3*(2*((SIN(((Model_Data!A45)*12.9898+(Inputs!$C$6)*78.233+Inputs!$C$47*37.719))*43758.5453)-INT((SIN(((Model_Data!A45)*12.9898+(Inputs!$C$6)*78.233+Inputs!$C$47*37.719))*43758.5453)))-1))))/1000)^2))-(((Model_Data!B45)-((Inputs!$C$51*(115*EXP(-(((0)-25)^2)/(4.5^2))+70*EXP(-(((0)+38)^2)/(7^2))*(0.55+0.45*SIN(2*PI()*(Model_Data!A45)/45))+24*SIN(2*PI()*(0)/9+(Model_Data!A45)/18)*EXP(-(((0)+5)^2)/(22^2))+18*SIN(2*PI()*(Model_Data!A45)/70))+Inputs!$C$28*EXP(-(((Model_Data!A45)-Inputs!$C$29)^2)/(2*Inputs!$C$31^2))*EXP(-(((0)-Inputs!$C$30)^2)/(2*Inputs!$C$32^2))+-Inputs!$C$33*EXP(-(((((Model_Data!A45)-Inputs!$C$34)^2)+(((0)-Inputs!$C$35)^2))/(2*Inputs!$C$36^2)))+Inputs!$C$37*(0.55*SIN(2*PI()*(Model_Data!A45)/Inputs!$C$39)+0.35*COS(2*PI()*(0)/Inputs!$C$40)+0.2*SIN(2*PI()*((Model_Data!A45)+(0))/(0.5*(Inputs!$C$39+Inputs!$C$40))))+Inputs!$C$38*SIN(2*PI()*(Model_Data!A45)/Inputs!$C$39)*SIN(2*PI()*(0)/Inputs!$C$40)+-Inputs!$C$41*EXP(-(((0)-Inputs!$C$43)^2)/(2*Inputs!$C$44^2))*EXP(-(((Model_Data!A45)-Inputs!$C$42)^2)/(2*Inputs!$C$45^2))+Inputs!$C$48*(0.7*(0.45*SIN(2*PI()*(((Model_Data!A45)/Inputs!$C$49)+Inputs!$C$47*0.137))+0.35*COS(2*PI()*(((0)/Inputs!$C$50)+Inputs!$C$47*0.173))+0.2*SIN(2*PI()*(((Model_Data!A45)+(0))/(0.5*(Inputs!$C$49+Inputs!$C$50))+Inputs!$C$47*0.097)))+0.3*(2*((SIN(((Model_Data!A45)*12.9898+(0)*78.233+Inputs!$C$47*37.719))*43758.5453)-INT((SIN(((Model_Data!A45)*12.9898+(0)*78.233+Inputs!$C$47*37.719))*43758.5453)))-1))))/1000)))*1000/Inputs!$C$12)</f>
        <v>1331.5676077927096</v>
      </c>
      <c r="E45" s="9">
        <f>Model_Data!A45</f>
        <v>-38.5</v>
      </c>
      <c r="F45" s="9">
        <f>(Inputs!$C$51*(115*EXP(-(((Inputs!$C$6)-25)^2)/(4.5^2))+70*EXP(-(((Inputs!$C$6)+38)^2)/(7^2))*(0.55+0.45*SIN(2*PI()*(Model_Data!A45)/45))+24*SIN(2*PI()*(Inputs!$C$6)/9+(Model_Data!A45)/18)*EXP(-(((Inputs!$C$6)+5)^2)/(22^2))+18*SIN(2*PI()*(Model_Data!A45)/70))+Inputs!$C$28*EXP(-(((Model_Data!A45)-Inputs!$C$29)^2)/(2*Inputs!$C$31^2))*EXP(-(((Inputs!$C$6)-Inputs!$C$30)^2)/(2*Inputs!$C$32^2))+-Inputs!$C$33*EXP(-(((((Model_Data!A45)-Inputs!$C$34)^2)+(((Inputs!$C$6)-Inputs!$C$35)^2))/(2*Inputs!$C$36^2)))+Inputs!$C$37*(0.55*SIN(2*PI()*(Model_Data!A45)/Inputs!$C$39)+0.35*COS(2*PI()*(Inputs!$C$6)/Inputs!$C$40)+0.2*SIN(2*PI()*((Model_Data!A45)+(Inputs!$C$6))/(0.5*(Inputs!$C$39+Inputs!$C$40))))+Inputs!$C$38*SIN(2*PI()*(Model_Data!A45)/Inputs!$C$39)*SIN(2*PI()*(Inputs!$C$6)/Inputs!$C$40)+-Inputs!$C$41*EXP(-(((Inputs!$C$6)-Inputs!$C$43)^2)/(2*Inputs!$C$44^2))*EXP(-(((Model_Data!A45)-Inputs!$C$42)^2)/(2*Inputs!$C$45^2))+Inputs!$C$48*(0.7*(0.45*SIN(2*PI()*(((Model_Data!A45)/Inputs!$C$49)+Inputs!$C$47*0.137))+0.35*COS(2*PI()*(((Inputs!$C$6)/Inputs!$C$50)+Inputs!$C$47*0.173))+0.2*SIN(2*PI()*(((Model_Data!A45)+(Inputs!$C$6))/(0.5*(Inputs!$C$49+Inputs!$C$50))+Inputs!$C$47*0.097)))+0.3*(2*((SIN(((Model_Data!A45)*12.9898+(Inputs!$C$6)*78.233+Inputs!$C$47*37.719))*43758.5453)-INT((SIN(((Model_Data!A45)*12.9898+(Inputs!$C$6)*78.233+Inputs!$C$47*37.719))*43758.5453)))-1)))</f>
        <v>211.63430992610967</v>
      </c>
      <c r="G45" s="9">
        <f>(Inputs!$C$51*(115*EXP(-(((0)-25)^2)/(4.5^2))+70*EXP(-(((0)+38)^2)/(7^2))*(0.55+0.45*SIN(2*PI()*(Model_Data!A45)/45))+24*SIN(2*PI()*(0)/9+(Model_Data!A45)/18)*EXP(-(((0)+5)^2)/(22^2))+18*SIN(2*PI()*(Model_Data!A45)/70))+Inputs!$C$28*EXP(-(((Model_Data!A45)-Inputs!$C$29)^2)/(2*Inputs!$C$31^2))*EXP(-(((0)-Inputs!$C$30)^2)/(2*Inputs!$C$32^2))+-Inputs!$C$33*EXP(-(((((Model_Data!A45)-Inputs!$C$34)^2)+(((0)-Inputs!$C$35)^2))/(2*Inputs!$C$36^2)))+Inputs!$C$37*(0.55*SIN(2*PI()*(Model_Data!A45)/Inputs!$C$39)+0.35*COS(2*PI()*(0)/Inputs!$C$40)+0.2*SIN(2*PI()*((Model_Data!A45)+(0))/(0.5*(Inputs!$C$39+Inputs!$C$40))))+Inputs!$C$38*SIN(2*PI()*(Model_Data!A45)/Inputs!$C$39)*SIN(2*PI()*(0)/Inputs!$C$40)+-Inputs!$C$41*EXP(-(((0)-Inputs!$C$43)^2)/(2*Inputs!$C$44^2))*EXP(-(((Model_Data!A45)-Inputs!$C$42)^2)/(2*Inputs!$C$45^2))+Inputs!$C$48*(0.7*(0.45*SIN(2*PI()*(((Model_Data!A45)/Inputs!$C$49)+Inputs!$C$47*0.137))+0.35*COS(2*PI()*(((0)/Inputs!$C$50)+Inputs!$C$47*0.173))+0.2*SIN(2*PI()*(((Model_Data!A45)+(0))/(0.5*(Inputs!$C$49+Inputs!$C$50))+Inputs!$C$47*0.097)))+0.3*(2*((SIN(((Model_Data!A45)*12.9898+(0)*78.233+Inputs!$C$47*37.719))*43758.5453)-INT((SIN(((Model_Data!A45)*12.9898+(0)*78.233+Inputs!$C$47*37.719))*43758.5453)))-1)))</f>
        <v>-34.295384147954024</v>
      </c>
      <c r="H45" s="10"/>
      <c r="I45" s="9">
        <f>Model_Data!A45</f>
        <v>-38.5</v>
      </c>
      <c r="J45" s="9">
        <f>(Inputs!$C$51*(115*EXP(-(((Inputs!$C$6)-25)^2)/(4.5^2))+70*EXP(-(((Inputs!$C$6)+38)^2)/(7^2))*(0.55+0.45*SIN(2*PI()*(Model_Data!A45)/45))+24*SIN(2*PI()*(Inputs!$C$6)/9+(Model_Data!A45)/18)*EXP(-(((Inputs!$C$6)+5)^2)/(22^2))+18*SIN(2*PI()*(Model_Data!A45)/70))+Inputs!$C$28*EXP(-(((Model_Data!A45)-Inputs!$C$29)^2)/(2*Inputs!$C$31^2))*EXP(-(((Inputs!$C$6)-Inputs!$C$30)^2)/(2*Inputs!$C$32^2))+-Inputs!$C$33*EXP(-(((((Model_Data!A45)-Inputs!$C$34)^2)+(((Inputs!$C$6)-Inputs!$C$35)^2))/(2*Inputs!$C$36^2)))+Inputs!$C$37*(0.55*SIN(2*PI()*(Model_Data!A45)/Inputs!$C$39)+0.35*COS(2*PI()*(Inputs!$C$6)/Inputs!$C$40)+0.2*SIN(2*PI()*((Model_Data!A45)+(Inputs!$C$6))/(0.5*(Inputs!$C$39+Inputs!$C$40))))+Inputs!$C$38*SIN(2*PI()*(Model_Data!A45)/Inputs!$C$39)*SIN(2*PI()*(Inputs!$C$6)/Inputs!$C$40)+-Inputs!$C$41*EXP(-(((Inputs!$C$6)-Inputs!$C$43)^2)/(2*Inputs!$C$44^2))*EXP(-(((Model_Data!A45)-Inputs!$C$42)^2)/(2*Inputs!$C$45^2))+Inputs!$C$48*(0.7*(0.45*SIN(2*PI()*(((Model_Data!A45)/Inputs!$C$49)+Inputs!$C$47*0.137))+0.35*COS(2*PI()*(((Inputs!$C$6)/Inputs!$C$50)+Inputs!$C$47*0.173))+0.2*SIN(2*PI()*(((Model_Data!A45)+(Inputs!$C$6))/(0.5*(Inputs!$C$49+Inputs!$C$50))+Inputs!$C$47*0.097)))+0.3*(2*((SIN(((Model_Data!A45)*12.9898+(Inputs!$C$6)*78.233+Inputs!$C$47*37.719))*43758.5453)-INT((SIN(((Model_Data!A45)*12.9898+(Inputs!$C$6)*78.233+Inputs!$C$47*37.719))*43758.5453)))-1)))</f>
        <v>211.63430992610967</v>
      </c>
      <c r="K45" s="9">
        <f>-((((SQRT((Model_Data!A45)^2+Inputs!$C$6^2+((Model_Data!B45)-((Inputs!$C$51*(115*EXP(-(((Inputs!$C$6)-25)^2)/(4.5^2))+70*EXP(-(((Inputs!$C$6)+38)^2)/(7^2))*(0.55+0.45*SIN(2*PI()*(Model_Data!A45)/45))+24*SIN(2*PI()*(Inputs!$C$6)/9+(Model_Data!A45)/18)*EXP(-(((Inputs!$C$6)+5)^2)/(22^2))+18*SIN(2*PI()*(Model_Data!A45)/70))+Inputs!$C$28*EXP(-(((Model_Data!A45)-Inputs!$C$29)^2)/(2*Inputs!$C$31^2))*EXP(-(((Inputs!$C$6)-Inputs!$C$30)^2)/(2*Inputs!$C$32^2))+-Inputs!$C$33*EXP(-(((((Model_Data!A45)-Inputs!$C$34)^2)+(((Inputs!$C$6)-Inputs!$C$35)^2))/(2*Inputs!$C$36^2)))+Inputs!$C$37*(0.55*SIN(2*PI()*(Model_Data!A45)/Inputs!$C$39)+0.35*COS(2*PI()*(Inputs!$C$6)/Inputs!$C$40)+0.2*SIN(2*PI()*((Model_Data!A45)+(Inputs!$C$6))/(0.5*(Inputs!$C$39+Inputs!$C$40))))+Inputs!$C$38*SIN(2*PI()*(Model_Data!A45)/Inputs!$C$39)*SIN(2*PI()*(Inputs!$C$6)/Inputs!$C$40)+-Inputs!$C$41*EXP(-(((Inputs!$C$6)-Inputs!$C$43)^2)/(2*Inputs!$C$44^2))*EXP(-(((Model_Data!A45)-Inputs!$C$42)^2)/(2*Inputs!$C$45^2))+Inputs!$C$48*(0.7*(0.45*SIN(2*PI()*(((Model_Data!A45)/Inputs!$C$49)+Inputs!$C$47*0.137))+0.35*COS(2*PI()*(((Inputs!$C$6)/Inputs!$C$50)+Inputs!$C$47*0.173))+0.2*SIN(2*PI()*(((Model_Data!A45)+(Inputs!$C$6))/(0.5*(Inputs!$C$49+Inputs!$C$50))+Inputs!$C$47*0.097)))+0.3*(2*((SIN(((Model_Data!A45)*12.9898+(Inputs!$C$6)*78.233+Inputs!$C$47*37.719))*43758.5453)-INT((SIN(((Model_Data!A45)*12.9898+(Inputs!$C$6)*78.233+Inputs!$C$47*37.719))*43758.5453)))-1))))/1000)^2))-(((Model_Data!B45)-((Inputs!$C$51*(115*EXP(-(((0)-25)^2)/(4.5^2))+70*EXP(-(((0)+38)^2)/(7^2))*(0.55+0.45*SIN(2*PI()*(Model_Data!A45)/45))+24*SIN(2*PI()*(0)/9+(Model_Data!A45)/18)*EXP(-(((0)+5)^2)/(22^2))+18*SIN(2*PI()*(Model_Data!A45)/70))+Inputs!$C$28*EXP(-(((Model_Data!A45)-Inputs!$C$29)^2)/(2*Inputs!$C$31^2))*EXP(-(((0)-Inputs!$C$30)^2)/(2*Inputs!$C$32^2))+-Inputs!$C$33*EXP(-(((((Model_Data!A45)-Inputs!$C$34)^2)+(((0)-Inputs!$C$35)^2))/(2*Inputs!$C$36^2)))+Inputs!$C$37*(0.55*SIN(2*PI()*(Model_Data!A45)/Inputs!$C$39)+0.35*COS(2*PI()*(0)/Inputs!$C$40)+0.2*SIN(2*PI()*((Model_Data!A45)+(0))/(0.5*(Inputs!$C$39+Inputs!$C$40))))+Inputs!$C$38*SIN(2*PI()*(Model_Data!A45)/Inputs!$C$39)*SIN(2*PI()*(0)/Inputs!$C$40)+-Inputs!$C$41*EXP(-(((0)-Inputs!$C$43)^2)/(2*Inputs!$C$44^2))*EXP(-(((Model_Data!A45)-Inputs!$C$42)^2)/(2*Inputs!$C$45^2))+Inputs!$C$48*(0.7*(0.45*SIN(2*PI()*(((Model_Data!A45)/Inputs!$C$49)+Inputs!$C$47*0.137))+0.35*COS(2*PI()*(((0)/Inputs!$C$50)+Inputs!$C$47*0.173))+0.2*SIN(2*PI()*(((Model_Data!A45)+(0))/(0.5*(Inputs!$C$49+Inputs!$C$50))+Inputs!$C$47*0.097)))+0.3*(2*((SIN(((Model_Data!A45)*12.9898+(0)*78.233+Inputs!$C$47*37.719))*43758.5453)-INT((SIN(((Model_Data!A45)*12.9898+(0)*78.233+Inputs!$C$47*37.719))*43758.5453)))-1))))/1000)))*1000/Inputs!$C$12)-Model_Data!F45)</f>
        <v>137.39333489773503</v>
      </c>
      <c r="L45" s="10"/>
      <c r="M45" s="9">
        <f>Model_Data!A45</f>
        <v>-38.5</v>
      </c>
      <c r="N45" s="9">
        <f>Model_Data!P45</f>
        <v>288.38004049081604</v>
      </c>
      <c r="O45" s="9">
        <f t="shared" si="0"/>
        <v>317.6887163272113</v>
      </c>
      <c r="P45" s="9">
        <f>Model_Data!Q45</f>
        <v>43.300306380002411</v>
      </c>
      <c r="Q45" s="9">
        <f t="shared" si="1"/>
        <v>47.701008457539238</v>
      </c>
      <c r="R45" s="10"/>
      <c r="S45" s="9">
        <f>Model_Data!A45</f>
        <v>-38.5</v>
      </c>
      <c r="T45" s="9">
        <f>Model_Data!B45-Inputs!$C$5</f>
        <v>1.6469444444444434</v>
      </c>
      <c r="U45" s="10"/>
      <c r="V45" s="9">
        <f>Model_Data!A45</f>
        <v>-38.5</v>
      </c>
      <c r="W45" s="9">
        <f>((SQRT((Model_Data!A45)^2+Inputs!$C$6^2+Inputs!$C$5^2)-Inputs!$C$5)*1000/Inputs!$C$12)</f>
        <v>1474.9698256880454</v>
      </c>
      <c r="X45" s="9">
        <f>Model_Data!F45</f>
        <v>1468.9609426904447</v>
      </c>
      <c r="Y45" s="10"/>
      <c r="Z45" s="9">
        <f>Model_Data!A45</f>
        <v>-38.5</v>
      </c>
      <c r="AA45" s="9">
        <f>SQRT((Model_Data!A45)^2+Inputs!$C$6^2+((Model_Data!B45)-((Inputs!$C$51*(115*EXP(-(((Inputs!$C$6)-25)^2)/(4.5^2))+70*EXP(-(((Inputs!$C$6)+38)^2)/(7^2))*(0.55+0.45*SIN(2*PI()*(Model_Data!A45)/45))+24*SIN(2*PI()*(Inputs!$C$6)/9+(Model_Data!A45)/18)*EXP(-(((Inputs!$C$6)+5)^2)/(22^2))+18*SIN(2*PI()*(Model_Data!A45)/70))+Inputs!$C$28*EXP(-(((Model_Data!A45)-Inputs!$C$29)^2)/(2*Inputs!$C$31^2))*EXP(-(((Inputs!$C$6)-Inputs!$C$30)^2)/(2*Inputs!$C$32^2))+-Inputs!$C$33*EXP(-(((((Model_Data!A45)-Inputs!$C$34)^2)+(((Inputs!$C$6)-Inputs!$C$35)^2))/(2*Inputs!$C$36^2)))+Inputs!$C$37*(0.55*SIN(2*PI()*(Model_Data!A45)/Inputs!$C$39)+0.35*COS(2*PI()*(Inputs!$C$6)/Inputs!$C$40)+0.2*SIN(2*PI()*((Model_Data!A45)+(Inputs!$C$6))/(0.5*(Inputs!$C$39+Inputs!$C$40))))+Inputs!$C$38*SIN(2*PI()*(Model_Data!A45)/Inputs!$C$39)*SIN(2*PI()*(Inputs!$C$6)/Inputs!$C$40)+-Inputs!$C$41*EXP(-(((Inputs!$C$6)-Inputs!$C$43)^2)/(2*Inputs!$C$44^2))*EXP(-(((Model_Data!A45)-Inputs!$C$42)^2)/(2*Inputs!$C$45^2))+Inputs!$C$48*(0.7*(0.45*SIN(2*PI()*(((Model_Data!A45)/Inputs!$C$49)+Inputs!$C$47*0.137))+0.35*COS(2*PI()*(((Inputs!$C$6)/Inputs!$C$50)+Inputs!$C$47*0.173))+0.2*SIN(2*PI()*(((Model_Data!A45)+(Inputs!$C$6))/(0.5*(Inputs!$C$49+Inputs!$C$50))+Inputs!$C$47*0.097)))+0.3*(2*((SIN(((Model_Data!A45)*12.9898+(Inputs!$C$6)*78.233+Inputs!$C$47*37.719))*43758.5453)-INT((SIN(((Model_Data!A45)*12.9898+(Inputs!$C$6)*78.233+Inputs!$C$47*37.719))*43758.5453)))-1))))/1000)^2)</f>
        <v>404.05143017046345</v>
      </c>
      <c r="AB45" s="9">
        <f>1000*(AA46-AA44)/(Z46-Z44)*Inputs!$C$11</f>
        <v>-794.22179081802824</v>
      </c>
      <c r="AC45" s="9">
        <f>-2*AB45/Inputs!$C$13</f>
        <v>317.6887163272113</v>
      </c>
      <c r="AD45" s="9">
        <f>-2*AB45/Inputs!$C$14</f>
        <v>47.701008457539238</v>
      </c>
    </row>
    <row r="46" spans="1:30">
      <c r="A46" s="9">
        <f>Model_Data!A46</f>
        <v>-38</v>
      </c>
      <c r="B46" s="9">
        <f>((SQRT((Model_Data!A46)^2+Inputs!$C$6^2+Inputs!$C$5^2)-Inputs!$C$5)*1000/Inputs!$C$12)</f>
        <v>1448.2824516194801</v>
      </c>
      <c r="C46" s="9">
        <f>Model_Data!F46</f>
        <v>1442.533269506944</v>
      </c>
      <c r="D46" s="9">
        <f>(((SQRT((Model_Data!A46)^2+Inputs!$C$6^2+((Model_Data!B46)-((Inputs!$C$51*(115*EXP(-(((Inputs!$C$6)-25)^2)/(4.5^2))+70*EXP(-(((Inputs!$C$6)+38)^2)/(7^2))*(0.55+0.45*SIN(2*PI()*(Model_Data!A46)/45))+24*SIN(2*PI()*(Inputs!$C$6)/9+(Model_Data!A46)/18)*EXP(-(((Inputs!$C$6)+5)^2)/(22^2))+18*SIN(2*PI()*(Model_Data!A46)/70))+Inputs!$C$28*EXP(-(((Model_Data!A46)-Inputs!$C$29)^2)/(2*Inputs!$C$31^2))*EXP(-(((Inputs!$C$6)-Inputs!$C$30)^2)/(2*Inputs!$C$32^2))+-Inputs!$C$33*EXP(-(((((Model_Data!A46)-Inputs!$C$34)^2)+(((Inputs!$C$6)-Inputs!$C$35)^2))/(2*Inputs!$C$36^2)))+Inputs!$C$37*(0.55*SIN(2*PI()*(Model_Data!A46)/Inputs!$C$39)+0.35*COS(2*PI()*(Inputs!$C$6)/Inputs!$C$40)+0.2*SIN(2*PI()*((Model_Data!A46)+(Inputs!$C$6))/(0.5*(Inputs!$C$39+Inputs!$C$40))))+Inputs!$C$38*SIN(2*PI()*(Model_Data!A46)/Inputs!$C$39)*SIN(2*PI()*(Inputs!$C$6)/Inputs!$C$40)+-Inputs!$C$41*EXP(-(((Inputs!$C$6)-Inputs!$C$43)^2)/(2*Inputs!$C$44^2))*EXP(-(((Model_Data!A46)-Inputs!$C$42)^2)/(2*Inputs!$C$45^2))+Inputs!$C$48*(0.7*(0.45*SIN(2*PI()*(((Model_Data!A46)/Inputs!$C$49)+Inputs!$C$47*0.137))+0.35*COS(2*PI()*(((Inputs!$C$6)/Inputs!$C$50)+Inputs!$C$47*0.173))+0.2*SIN(2*PI()*(((Model_Data!A46)+(Inputs!$C$6))/(0.5*(Inputs!$C$49+Inputs!$C$50))+Inputs!$C$47*0.097)))+0.3*(2*((SIN(((Model_Data!A46)*12.9898+(Inputs!$C$6)*78.233+Inputs!$C$47*37.719))*43758.5453)-INT((SIN(((Model_Data!A46)*12.9898+(Inputs!$C$6)*78.233+Inputs!$C$47*37.719))*43758.5453)))-1))))/1000)^2))-(((Model_Data!B46)-((Inputs!$C$51*(115*EXP(-(((0)-25)^2)/(4.5^2))+70*EXP(-(((0)+38)^2)/(7^2))*(0.55+0.45*SIN(2*PI()*(Model_Data!A46)/45))+24*SIN(2*PI()*(0)/9+(Model_Data!A46)/18)*EXP(-(((0)+5)^2)/(22^2))+18*SIN(2*PI()*(Model_Data!A46)/70))+Inputs!$C$28*EXP(-(((Model_Data!A46)-Inputs!$C$29)^2)/(2*Inputs!$C$31^2))*EXP(-(((0)-Inputs!$C$30)^2)/(2*Inputs!$C$32^2))+-Inputs!$C$33*EXP(-(((((Model_Data!A46)-Inputs!$C$34)^2)+(((0)-Inputs!$C$35)^2))/(2*Inputs!$C$36^2)))+Inputs!$C$37*(0.55*SIN(2*PI()*(Model_Data!A46)/Inputs!$C$39)+0.35*COS(2*PI()*(0)/Inputs!$C$40)+0.2*SIN(2*PI()*((Model_Data!A46)+(0))/(0.5*(Inputs!$C$39+Inputs!$C$40))))+Inputs!$C$38*SIN(2*PI()*(Model_Data!A46)/Inputs!$C$39)*SIN(2*PI()*(0)/Inputs!$C$40)+-Inputs!$C$41*EXP(-(((0)-Inputs!$C$43)^2)/(2*Inputs!$C$44^2))*EXP(-(((Model_Data!A46)-Inputs!$C$42)^2)/(2*Inputs!$C$45^2))+Inputs!$C$48*(0.7*(0.45*SIN(2*PI()*(((Model_Data!A46)/Inputs!$C$49)+Inputs!$C$47*0.137))+0.35*COS(2*PI()*(((0)/Inputs!$C$50)+Inputs!$C$47*0.173))+0.2*SIN(2*PI()*(((Model_Data!A46)+(0))/(0.5*(Inputs!$C$49+Inputs!$C$50))+Inputs!$C$47*0.097)))+0.3*(2*((SIN(((Model_Data!A46)*12.9898+(0)*78.233+Inputs!$C$47*37.719))*43758.5453)-INT((SIN(((Model_Data!A46)*12.9898+(0)*78.233+Inputs!$C$47*37.719))*43758.5453)))-1))))/1000)))*1000/Inputs!$C$12)</f>
        <v>1317.3624516769046</v>
      </c>
      <c r="E46" s="9">
        <f>Model_Data!A46</f>
        <v>-38</v>
      </c>
      <c r="F46" s="9">
        <f>(Inputs!$C$51*(115*EXP(-(((Inputs!$C$6)-25)^2)/(4.5^2))+70*EXP(-(((Inputs!$C$6)+38)^2)/(7^2))*(0.55+0.45*SIN(2*PI()*(Model_Data!A46)/45))+24*SIN(2*PI()*(Inputs!$C$6)/9+(Model_Data!A46)/18)*EXP(-(((Inputs!$C$6)+5)^2)/(22^2))+18*SIN(2*PI()*(Model_Data!A46)/70))+Inputs!$C$28*EXP(-(((Model_Data!A46)-Inputs!$C$29)^2)/(2*Inputs!$C$31^2))*EXP(-(((Inputs!$C$6)-Inputs!$C$30)^2)/(2*Inputs!$C$32^2))+-Inputs!$C$33*EXP(-(((((Model_Data!A46)-Inputs!$C$34)^2)+(((Inputs!$C$6)-Inputs!$C$35)^2))/(2*Inputs!$C$36^2)))+Inputs!$C$37*(0.55*SIN(2*PI()*(Model_Data!A46)/Inputs!$C$39)+0.35*COS(2*PI()*(Inputs!$C$6)/Inputs!$C$40)+0.2*SIN(2*PI()*((Model_Data!A46)+(Inputs!$C$6))/(0.5*(Inputs!$C$39+Inputs!$C$40))))+Inputs!$C$38*SIN(2*PI()*(Model_Data!A46)/Inputs!$C$39)*SIN(2*PI()*(Inputs!$C$6)/Inputs!$C$40)+-Inputs!$C$41*EXP(-(((Inputs!$C$6)-Inputs!$C$43)^2)/(2*Inputs!$C$44^2))*EXP(-(((Model_Data!A46)-Inputs!$C$42)^2)/(2*Inputs!$C$45^2))+Inputs!$C$48*(0.7*(0.45*SIN(2*PI()*(((Model_Data!A46)/Inputs!$C$49)+Inputs!$C$47*0.137))+0.35*COS(2*PI()*(((Inputs!$C$6)/Inputs!$C$50)+Inputs!$C$47*0.173))+0.2*SIN(2*PI()*(((Model_Data!A46)+(Inputs!$C$6))/(0.5*(Inputs!$C$49+Inputs!$C$50))+Inputs!$C$47*0.097)))+0.3*(2*((SIN(((Model_Data!A46)*12.9898+(Inputs!$C$6)*78.233+Inputs!$C$47*37.719))*43758.5453)-INT((SIN(((Model_Data!A46)*12.9898+(Inputs!$C$6)*78.233+Inputs!$C$47*37.719))*43758.5453)))-1)))</f>
        <v>202.93658014849487</v>
      </c>
      <c r="G46" s="9">
        <f>(Inputs!$C$51*(115*EXP(-(((0)-25)^2)/(4.5^2))+70*EXP(-(((0)+38)^2)/(7^2))*(0.55+0.45*SIN(2*PI()*(Model_Data!A46)/45))+24*SIN(2*PI()*(0)/9+(Model_Data!A46)/18)*EXP(-(((0)+5)^2)/(22^2))+18*SIN(2*PI()*(Model_Data!A46)/70))+Inputs!$C$28*EXP(-(((Model_Data!A46)-Inputs!$C$29)^2)/(2*Inputs!$C$31^2))*EXP(-(((0)-Inputs!$C$30)^2)/(2*Inputs!$C$32^2))+-Inputs!$C$33*EXP(-(((((Model_Data!A46)-Inputs!$C$34)^2)+(((0)-Inputs!$C$35)^2))/(2*Inputs!$C$36^2)))+Inputs!$C$37*(0.55*SIN(2*PI()*(Model_Data!A46)/Inputs!$C$39)+0.35*COS(2*PI()*(0)/Inputs!$C$40)+0.2*SIN(2*PI()*((Model_Data!A46)+(0))/(0.5*(Inputs!$C$39+Inputs!$C$40))))+Inputs!$C$38*SIN(2*PI()*(Model_Data!A46)/Inputs!$C$39)*SIN(2*PI()*(0)/Inputs!$C$40)+-Inputs!$C$41*EXP(-(((0)-Inputs!$C$43)^2)/(2*Inputs!$C$44^2))*EXP(-(((Model_Data!A46)-Inputs!$C$42)^2)/(2*Inputs!$C$45^2))+Inputs!$C$48*(0.7*(0.45*SIN(2*PI()*(((Model_Data!A46)/Inputs!$C$49)+Inputs!$C$47*0.137))+0.35*COS(2*PI()*(((0)/Inputs!$C$50)+Inputs!$C$47*0.173))+0.2*SIN(2*PI()*(((Model_Data!A46)+(0))/(0.5*(Inputs!$C$49+Inputs!$C$50))+Inputs!$C$47*0.097)))+0.3*(2*((SIN(((Model_Data!A46)*12.9898+(0)*78.233+Inputs!$C$47*37.719))*43758.5453)-INT((SIN(((Model_Data!A46)*12.9898+(0)*78.233+Inputs!$C$47*37.719))*43758.5453)))-1)))</f>
        <v>-21.157379061522128</v>
      </c>
      <c r="H46" s="10"/>
      <c r="I46" s="9">
        <f>Model_Data!A46</f>
        <v>-38</v>
      </c>
      <c r="J46" s="9">
        <f>(Inputs!$C$51*(115*EXP(-(((Inputs!$C$6)-25)^2)/(4.5^2))+70*EXP(-(((Inputs!$C$6)+38)^2)/(7^2))*(0.55+0.45*SIN(2*PI()*(Model_Data!A46)/45))+24*SIN(2*PI()*(Inputs!$C$6)/9+(Model_Data!A46)/18)*EXP(-(((Inputs!$C$6)+5)^2)/(22^2))+18*SIN(2*PI()*(Model_Data!A46)/70))+Inputs!$C$28*EXP(-(((Model_Data!A46)-Inputs!$C$29)^2)/(2*Inputs!$C$31^2))*EXP(-(((Inputs!$C$6)-Inputs!$C$30)^2)/(2*Inputs!$C$32^2))+-Inputs!$C$33*EXP(-(((((Model_Data!A46)-Inputs!$C$34)^2)+(((Inputs!$C$6)-Inputs!$C$35)^2))/(2*Inputs!$C$36^2)))+Inputs!$C$37*(0.55*SIN(2*PI()*(Model_Data!A46)/Inputs!$C$39)+0.35*COS(2*PI()*(Inputs!$C$6)/Inputs!$C$40)+0.2*SIN(2*PI()*((Model_Data!A46)+(Inputs!$C$6))/(0.5*(Inputs!$C$39+Inputs!$C$40))))+Inputs!$C$38*SIN(2*PI()*(Model_Data!A46)/Inputs!$C$39)*SIN(2*PI()*(Inputs!$C$6)/Inputs!$C$40)+-Inputs!$C$41*EXP(-(((Inputs!$C$6)-Inputs!$C$43)^2)/(2*Inputs!$C$44^2))*EXP(-(((Model_Data!A46)-Inputs!$C$42)^2)/(2*Inputs!$C$45^2))+Inputs!$C$48*(0.7*(0.45*SIN(2*PI()*(((Model_Data!A46)/Inputs!$C$49)+Inputs!$C$47*0.137))+0.35*COS(2*PI()*(((Inputs!$C$6)/Inputs!$C$50)+Inputs!$C$47*0.173))+0.2*SIN(2*PI()*(((Model_Data!A46)+(Inputs!$C$6))/(0.5*(Inputs!$C$49+Inputs!$C$50))+Inputs!$C$47*0.097)))+0.3*(2*((SIN(((Model_Data!A46)*12.9898+(Inputs!$C$6)*78.233+Inputs!$C$47*37.719))*43758.5453)-INT((SIN(((Model_Data!A46)*12.9898+(Inputs!$C$6)*78.233+Inputs!$C$47*37.719))*43758.5453)))-1)))</f>
        <v>202.93658014849487</v>
      </c>
      <c r="K46" s="9">
        <f>-((((SQRT((Model_Data!A46)^2+Inputs!$C$6^2+((Model_Data!B46)-((Inputs!$C$51*(115*EXP(-(((Inputs!$C$6)-25)^2)/(4.5^2))+70*EXP(-(((Inputs!$C$6)+38)^2)/(7^2))*(0.55+0.45*SIN(2*PI()*(Model_Data!A46)/45))+24*SIN(2*PI()*(Inputs!$C$6)/9+(Model_Data!A46)/18)*EXP(-(((Inputs!$C$6)+5)^2)/(22^2))+18*SIN(2*PI()*(Model_Data!A46)/70))+Inputs!$C$28*EXP(-(((Model_Data!A46)-Inputs!$C$29)^2)/(2*Inputs!$C$31^2))*EXP(-(((Inputs!$C$6)-Inputs!$C$30)^2)/(2*Inputs!$C$32^2))+-Inputs!$C$33*EXP(-(((((Model_Data!A46)-Inputs!$C$34)^2)+(((Inputs!$C$6)-Inputs!$C$35)^2))/(2*Inputs!$C$36^2)))+Inputs!$C$37*(0.55*SIN(2*PI()*(Model_Data!A46)/Inputs!$C$39)+0.35*COS(2*PI()*(Inputs!$C$6)/Inputs!$C$40)+0.2*SIN(2*PI()*((Model_Data!A46)+(Inputs!$C$6))/(0.5*(Inputs!$C$39+Inputs!$C$40))))+Inputs!$C$38*SIN(2*PI()*(Model_Data!A46)/Inputs!$C$39)*SIN(2*PI()*(Inputs!$C$6)/Inputs!$C$40)+-Inputs!$C$41*EXP(-(((Inputs!$C$6)-Inputs!$C$43)^2)/(2*Inputs!$C$44^2))*EXP(-(((Model_Data!A46)-Inputs!$C$42)^2)/(2*Inputs!$C$45^2))+Inputs!$C$48*(0.7*(0.45*SIN(2*PI()*(((Model_Data!A46)/Inputs!$C$49)+Inputs!$C$47*0.137))+0.35*COS(2*PI()*(((Inputs!$C$6)/Inputs!$C$50)+Inputs!$C$47*0.173))+0.2*SIN(2*PI()*(((Model_Data!A46)+(Inputs!$C$6))/(0.5*(Inputs!$C$49+Inputs!$C$50))+Inputs!$C$47*0.097)))+0.3*(2*((SIN(((Model_Data!A46)*12.9898+(Inputs!$C$6)*78.233+Inputs!$C$47*37.719))*43758.5453)-INT((SIN(((Model_Data!A46)*12.9898+(Inputs!$C$6)*78.233+Inputs!$C$47*37.719))*43758.5453)))-1))))/1000)^2))-(((Model_Data!B46)-((Inputs!$C$51*(115*EXP(-(((0)-25)^2)/(4.5^2))+70*EXP(-(((0)+38)^2)/(7^2))*(0.55+0.45*SIN(2*PI()*(Model_Data!A46)/45))+24*SIN(2*PI()*(0)/9+(Model_Data!A46)/18)*EXP(-(((0)+5)^2)/(22^2))+18*SIN(2*PI()*(Model_Data!A46)/70))+Inputs!$C$28*EXP(-(((Model_Data!A46)-Inputs!$C$29)^2)/(2*Inputs!$C$31^2))*EXP(-(((0)-Inputs!$C$30)^2)/(2*Inputs!$C$32^2))+-Inputs!$C$33*EXP(-(((((Model_Data!A46)-Inputs!$C$34)^2)+(((0)-Inputs!$C$35)^2))/(2*Inputs!$C$36^2)))+Inputs!$C$37*(0.55*SIN(2*PI()*(Model_Data!A46)/Inputs!$C$39)+0.35*COS(2*PI()*(0)/Inputs!$C$40)+0.2*SIN(2*PI()*((Model_Data!A46)+(0))/(0.5*(Inputs!$C$39+Inputs!$C$40))))+Inputs!$C$38*SIN(2*PI()*(Model_Data!A46)/Inputs!$C$39)*SIN(2*PI()*(0)/Inputs!$C$40)+-Inputs!$C$41*EXP(-(((0)-Inputs!$C$43)^2)/(2*Inputs!$C$44^2))*EXP(-(((Model_Data!A46)-Inputs!$C$42)^2)/(2*Inputs!$C$45^2))+Inputs!$C$48*(0.7*(0.45*SIN(2*PI()*(((Model_Data!A46)/Inputs!$C$49)+Inputs!$C$47*0.137))+0.35*COS(2*PI()*(((0)/Inputs!$C$50)+Inputs!$C$47*0.173))+0.2*SIN(2*PI()*(((Model_Data!A46)+(0))/(0.5*(Inputs!$C$49+Inputs!$C$50))+Inputs!$C$47*0.097)))+0.3*(2*((SIN(((Model_Data!A46)*12.9898+(0)*78.233+Inputs!$C$47*37.719))*43758.5453)-INT((SIN(((Model_Data!A46)*12.9898+(0)*78.233+Inputs!$C$47*37.719))*43758.5453)))-1))))/1000)))*1000/Inputs!$C$12)-Model_Data!F46)</f>
        <v>125.17081783003937</v>
      </c>
      <c r="L46" s="10"/>
      <c r="M46" s="9">
        <f>Model_Data!A46</f>
        <v>-38</v>
      </c>
      <c r="N46" s="9">
        <f>Model_Data!P46</f>
        <v>284.68369647171596</v>
      </c>
      <c r="O46" s="9">
        <f t="shared" si="0"/>
        <v>328.56996611108116</v>
      </c>
      <c r="P46" s="9">
        <f>Model_Data!Q46</f>
        <v>42.745299770527922</v>
      </c>
      <c r="Q46" s="9">
        <f t="shared" si="1"/>
        <v>49.334829746408587</v>
      </c>
      <c r="R46" s="10"/>
      <c r="S46" s="9">
        <f>Model_Data!A46</f>
        <v>-38</v>
      </c>
      <c r="T46" s="9">
        <f>Model_Data!B46-Inputs!$C$5</f>
        <v>1.6044444444444252</v>
      </c>
      <c r="U46" s="10"/>
      <c r="V46" s="9">
        <f>Model_Data!A46</f>
        <v>-38</v>
      </c>
      <c r="W46" s="9">
        <f>((SQRT((Model_Data!A46)^2+Inputs!$C$6^2+Inputs!$C$5^2)-Inputs!$C$5)*1000/Inputs!$C$12)</f>
        <v>1448.2824516194801</v>
      </c>
      <c r="X46" s="9">
        <f>Model_Data!F46</f>
        <v>1442.533269506944</v>
      </c>
      <c r="Y46" s="10"/>
      <c r="Z46" s="9">
        <f>Model_Data!A46</f>
        <v>-38</v>
      </c>
      <c r="AA46" s="9">
        <f>SQRT((Model_Data!A46)^2+Inputs!$C$6^2+((Model_Data!B46)-((Inputs!$C$51*(115*EXP(-(((Inputs!$C$6)-25)^2)/(4.5^2))+70*EXP(-(((Inputs!$C$6)+38)^2)/(7^2))*(0.55+0.45*SIN(2*PI()*(Model_Data!A46)/45))+24*SIN(2*PI()*(Inputs!$C$6)/9+(Model_Data!A46)/18)*EXP(-(((Inputs!$C$6)+5)^2)/(22^2))+18*SIN(2*PI()*(Model_Data!A46)/70))+Inputs!$C$28*EXP(-(((Model_Data!A46)-Inputs!$C$29)^2)/(2*Inputs!$C$31^2))*EXP(-(((Inputs!$C$6)-Inputs!$C$30)^2)/(2*Inputs!$C$32^2))+-Inputs!$C$33*EXP(-(((((Model_Data!A46)-Inputs!$C$34)^2)+(((Inputs!$C$6)-Inputs!$C$35)^2))/(2*Inputs!$C$36^2)))+Inputs!$C$37*(0.55*SIN(2*PI()*(Model_Data!A46)/Inputs!$C$39)+0.35*COS(2*PI()*(Inputs!$C$6)/Inputs!$C$40)+0.2*SIN(2*PI()*((Model_Data!A46)+(Inputs!$C$6))/(0.5*(Inputs!$C$39+Inputs!$C$40))))+Inputs!$C$38*SIN(2*PI()*(Model_Data!A46)/Inputs!$C$39)*SIN(2*PI()*(Inputs!$C$6)/Inputs!$C$40)+-Inputs!$C$41*EXP(-(((Inputs!$C$6)-Inputs!$C$43)^2)/(2*Inputs!$C$44^2))*EXP(-(((Model_Data!A46)-Inputs!$C$42)^2)/(2*Inputs!$C$45^2))+Inputs!$C$48*(0.7*(0.45*SIN(2*PI()*(((Model_Data!A46)/Inputs!$C$49)+Inputs!$C$47*0.137))+0.35*COS(2*PI()*(((Inputs!$C$6)/Inputs!$C$50)+Inputs!$C$47*0.173))+0.2*SIN(2*PI()*(((Model_Data!A46)+(Inputs!$C$6))/(0.5*(Inputs!$C$49+Inputs!$C$50))+Inputs!$C$47*0.097)))+0.3*(2*((SIN(((Model_Data!A46)*12.9898+(Inputs!$C$6)*78.233+Inputs!$C$47*37.719))*43758.5453)-INT((SIN(((Model_Data!A46)*12.9898+(Inputs!$C$6)*78.233+Inputs!$C$47*37.719))*43758.5453)))-1))))/1000)^2)</f>
        <v>403.97050698749086</v>
      </c>
      <c r="AB46" s="9">
        <f>1000*(AA47-AA45)/(Z47-Z45)*Inputs!$C$11</f>
        <v>-821.42491527770289</v>
      </c>
      <c r="AC46" s="9">
        <f>-2*AB46/Inputs!$C$13</f>
        <v>328.56996611108116</v>
      </c>
      <c r="AD46" s="9">
        <f>-2*AB46/Inputs!$C$14</f>
        <v>49.334829746408587</v>
      </c>
    </row>
    <row r="47" spans="1:30">
      <c r="A47" s="9">
        <f>Model_Data!A47</f>
        <v>-37.5</v>
      </c>
      <c r="B47" s="9">
        <f>((SQRT((Model_Data!A47)^2+Inputs!$C$6^2+Inputs!$C$5^2)-Inputs!$C$5)*1000/Inputs!$C$12)</f>
        <v>1421.9408441659828</v>
      </c>
      <c r="C47" s="9">
        <f>Model_Data!F47</f>
        <v>1416.4425890006503</v>
      </c>
      <c r="D47" s="9">
        <f>(((SQRT((Model_Data!A47)^2+Inputs!$C$6^2+((Model_Data!B47)-((Inputs!$C$51*(115*EXP(-(((Inputs!$C$6)-25)^2)/(4.5^2))+70*EXP(-(((Inputs!$C$6)+38)^2)/(7^2))*(0.55+0.45*SIN(2*PI()*(Model_Data!A47)/45))+24*SIN(2*PI()*(Inputs!$C$6)/9+(Model_Data!A47)/18)*EXP(-(((Inputs!$C$6)+5)^2)/(22^2))+18*SIN(2*PI()*(Model_Data!A47)/70))+Inputs!$C$28*EXP(-(((Model_Data!A47)-Inputs!$C$29)^2)/(2*Inputs!$C$31^2))*EXP(-(((Inputs!$C$6)-Inputs!$C$30)^2)/(2*Inputs!$C$32^2))+-Inputs!$C$33*EXP(-(((((Model_Data!A47)-Inputs!$C$34)^2)+(((Inputs!$C$6)-Inputs!$C$35)^2))/(2*Inputs!$C$36^2)))+Inputs!$C$37*(0.55*SIN(2*PI()*(Model_Data!A47)/Inputs!$C$39)+0.35*COS(2*PI()*(Inputs!$C$6)/Inputs!$C$40)+0.2*SIN(2*PI()*((Model_Data!A47)+(Inputs!$C$6))/(0.5*(Inputs!$C$39+Inputs!$C$40))))+Inputs!$C$38*SIN(2*PI()*(Model_Data!A47)/Inputs!$C$39)*SIN(2*PI()*(Inputs!$C$6)/Inputs!$C$40)+-Inputs!$C$41*EXP(-(((Inputs!$C$6)-Inputs!$C$43)^2)/(2*Inputs!$C$44^2))*EXP(-(((Model_Data!A47)-Inputs!$C$42)^2)/(2*Inputs!$C$45^2))+Inputs!$C$48*(0.7*(0.45*SIN(2*PI()*(((Model_Data!A47)/Inputs!$C$49)+Inputs!$C$47*0.137))+0.35*COS(2*PI()*(((Inputs!$C$6)/Inputs!$C$50)+Inputs!$C$47*0.173))+0.2*SIN(2*PI()*(((Model_Data!A47)+(Inputs!$C$6))/(0.5*(Inputs!$C$49+Inputs!$C$50))+Inputs!$C$47*0.097)))+0.3*(2*((SIN(((Model_Data!A47)*12.9898+(Inputs!$C$6)*78.233+Inputs!$C$47*37.719))*43758.5453)-INT((SIN(((Model_Data!A47)*12.9898+(Inputs!$C$6)*78.233+Inputs!$C$47*37.719))*43758.5453)))-1))))/1000)^2))-(((Model_Data!B47)-((Inputs!$C$51*(115*EXP(-(((0)-25)^2)/(4.5^2))+70*EXP(-(((0)+38)^2)/(7^2))*(0.55+0.45*SIN(2*PI()*(Model_Data!A47)/45))+24*SIN(2*PI()*(0)/9+(Model_Data!A47)/18)*EXP(-(((0)+5)^2)/(22^2))+18*SIN(2*PI()*(Model_Data!A47)/70))+Inputs!$C$28*EXP(-(((Model_Data!A47)-Inputs!$C$29)^2)/(2*Inputs!$C$31^2))*EXP(-(((0)-Inputs!$C$30)^2)/(2*Inputs!$C$32^2))+-Inputs!$C$33*EXP(-(((((Model_Data!A47)-Inputs!$C$34)^2)+(((0)-Inputs!$C$35)^2))/(2*Inputs!$C$36^2)))+Inputs!$C$37*(0.55*SIN(2*PI()*(Model_Data!A47)/Inputs!$C$39)+0.35*COS(2*PI()*(0)/Inputs!$C$40)+0.2*SIN(2*PI()*((Model_Data!A47)+(0))/(0.5*(Inputs!$C$39+Inputs!$C$40))))+Inputs!$C$38*SIN(2*PI()*(Model_Data!A47)/Inputs!$C$39)*SIN(2*PI()*(0)/Inputs!$C$40)+-Inputs!$C$41*EXP(-(((0)-Inputs!$C$43)^2)/(2*Inputs!$C$44^2))*EXP(-(((Model_Data!A47)-Inputs!$C$42)^2)/(2*Inputs!$C$45^2))+Inputs!$C$48*(0.7*(0.45*SIN(2*PI()*(((Model_Data!A47)/Inputs!$C$49)+Inputs!$C$47*0.137))+0.35*COS(2*PI()*(((0)/Inputs!$C$50)+Inputs!$C$47*0.173))+0.2*SIN(2*PI()*(((Model_Data!A47)+(0))/(0.5*(Inputs!$C$49+Inputs!$C$50))+Inputs!$C$47*0.097)))+0.3*(2*((SIN(((Model_Data!A47)*12.9898+(0)*78.233+Inputs!$C$47*37.719))*43758.5453)-INT((SIN(((Model_Data!A47)*12.9898+(0)*78.233+Inputs!$C$47*37.719))*43758.5453)))-1))))/1000)))*1000/Inputs!$C$12)</f>
        <v>1272.4047921177939</v>
      </c>
      <c r="E47" s="9">
        <f>Model_Data!A47</f>
        <v>-37.5</v>
      </c>
      <c r="F47" s="9">
        <f>(Inputs!$C$51*(115*EXP(-(((Inputs!$C$6)-25)^2)/(4.5^2))+70*EXP(-(((Inputs!$C$6)+38)^2)/(7^2))*(0.55+0.45*SIN(2*PI()*(Model_Data!A47)/45))+24*SIN(2*PI()*(Inputs!$C$6)/9+(Model_Data!A47)/18)*EXP(-(((Inputs!$C$6)+5)^2)/(22^2))+18*SIN(2*PI()*(Model_Data!A47)/70))+Inputs!$C$28*EXP(-(((Model_Data!A47)-Inputs!$C$29)^2)/(2*Inputs!$C$31^2))*EXP(-(((Inputs!$C$6)-Inputs!$C$30)^2)/(2*Inputs!$C$32^2))+-Inputs!$C$33*EXP(-(((((Model_Data!A47)-Inputs!$C$34)^2)+(((Inputs!$C$6)-Inputs!$C$35)^2))/(2*Inputs!$C$36^2)))+Inputs!$C$37*(0.55*SIN(2*PI()*(Model_Data!A47)/Inputs!$C$39)+0.35*COS(2*PI()*(Inputs!$C$6)/Inputs!$C$40)+0.2*SIN(2*PI()*((Model_Data!A47)+(Inputs!$C$6))/(0.5*(Inputs!$C$39+Inputs!$C$40))))+Inputs!$C$38*SIN(2*PI()*(Model_Data!A47)/Inputs!$C$39)*SIN(2*PI()*(Inputs!$C$6)/Inputs!$C$40)+-Inputs!$C$41*EXP(-(((Inputs!$C$6)-Inputs!$C$43)^2)/(2*Inputs!$C$44^2))*EXP(-(((Model_Data!A47)-Inputs!$C$42)^2)/(2*Inputs!$C$45^2))+Inputs!$C$48*(0.7*(0.45*SIN(2*PI()*(((Model_Data!A47)/Inputs!$C$49)+Inputs!$C$47*0.137))+0.35*COS(2*PI()*(((Inputs!$C$6)/Inputs!$C$50)+Inputs!$C$47*0.173))+0.2*SIN(2*PI()*(((Model_Data!A47)+(Inputs!$C$6))/(0.5*(Inputs!$C$49+Inputs!$C$50))+Inputs!$C$47*0.097)))+0.3*(2*((SIN(((Model_Data!A47)*12.9898+(Inputs!$C$6)*78.233+Inputs!$C$47*37.719))*43758.5453)-INT((SIN(((Model_Data!A47)*12.9898+(Inputs!$C$6)*78.233+Inputs!$C$47*37.719))*43758.5453)))-1)))</f>
        <v>239.18714852881689</v>
      </c>
      <c r="G47" s="9">
        <f>(Inputs!$C$51*(115*EXP(-(((0)-25)^2)/(4.5^2))+70*EXP(-(((0)+38)^2)/(7^2))*(0.55+0.45*SIN(2*PI()*(Model_Data!A47)/45))+24*SIN(2*PI()*(0)/9+(Model_Data!A47)/18)*EXP(-(((0)+5)^2)/(22^2))+18*SIN(2*PI()*(Model_Data!A47)/70))+Inputs!$C$28*EXP(-(((Model_Data!A47)-Inputs!$C$29)^2)/(2*Inputs!$C$31^2))*EXP(-(((0)-Inputs!$C$30)^2)/(2*Inputs!$C$32^2))+-Inputs!$C$33*EXP(-(((((Model_Data!A47)-Inputs!$C$34)^2)+(((0)-Inputs!$C$35)^2))/(2*Inputs!$C$36^2)))+Inputs!$C$37*(0.55*SIN(2*PI()*(Model_Data!A47)/Inputs!$C$39)+0.35*COS(2*PI()*(0)/Inputs!$C$40)+0.2*SIN(2*PI()*((Model_Data!A47)+(0))/(0.5*(Inputs!$C$39+Inputs!$C$40))))+Inputs!$C$38*SIN(2*PI()*(Model_Data!A47)/Inputs!$C$39)*SIN(2*PI()*(0)/Inputs!$C$40)+-Inputs!$C$41*EXP(-(((0)-Inputs!$C$43)^2)/(2*Inputs!$C$44^2))*EXP(-(((Model_Data!A47)-Inputs!$C$42)^2)/(2*Inputs!$C$45^2))+Inputs!$C$48*(0.7*(0.45*SIN(2*PI()*(((Model_Data!A47)/Inputs!$C$49)+Inputs!$C$47*0.137))+0.35*COS(2*PI()*(((0)/Inputs!$C$50)+Inputs!$C$47*0.173))+0.2*SIN(2*PI()*(((Model_Data!A47)+(0))/(0.5*(Inputs!$C$49+Inputs!$C$50))+Inputs!$C$47*0.097)))+0.3*(2*((SIN(((Model_Data!A47)*12.9898+(0)*78.233+Inputs!$C$47*37.719))*43758.5453)-INT((SIN(((Model_Data!A47)*12.9898+(0)*78.233+Inputs!$C$47*37.719))*43758.5453)))-1)))</f>
        <v>-18.69341167436205</v>
      </c>
      <c r="H47" s="10"/>
      <c r="I47" s="9">
        <f>Model_Data!A47</f>
        <v>-37.5</v>
      </c>
      <c r="J47" s="9">
        <f>(Inputs!$C$51*(115*EXP(-(((Inputs!$C$6)-25)^2)/(4.5^2))+70*EXP(-(((Inputs!$C$6)+38)^2)/(7^2))*(0.55+0.45*SIN(2*PI()*(Model_Data!A47)/45))+24*SIN(2*PI()*(Inputs!$C$6)/9+(Model_Data!A47)/18)*EXP(-(((Inputs!$C$6)+5)^2)/(22^2))+18*SIN(2*PI()*(Model_Data!A47)/70))+Inputs!$C$28*EXP(-(((Model_Data!A47)-Inputs!$C$29)^2)/(2*Inputs!$C$31^2))*EXP(-(((Inputs!$C$6)-Inputs!$C$30)^2)/(2*Inputs!$C$32^2))+-Inputs!$C$33*EXP(-(((((Model_Data!A47)-Inputs!$C$34)^2)+(((Inputs!$C$6)-Inputs!$C$35)^2))/(2*Inputs!$C$36^2)))+Inputs!$C$37*(0.55*SIN(2*PI()*(Model_Data!A47)/Inputs!$C$39)+0.35*COS(2*PI()*(Inputs!$C$6)/Inputs!$C$40)+0.2*SIN(2*PI()*((Model_Data!A47)+(Inputs!$C$6))/(0.5*(Inputs!$C$39+Inputs!$C$40))))+Inputs!$C$38*SIN(2*PI()*(Model_Data!A47)/Inputs!$C$39)*SIN(2*PI()*(Inputs!$C$6)/Inputs!$C$40)+-Inputs!$C$41*EXP(-(((Inputs!$C$6)-Inputs!$C$43)^2)/(2*Inputs!$C$44^2))*EXP(-(((Model_Data!A47)-Inputs!$C$42)^2)/(2*Inputs!$C$45^2))+Inputs!$C$48*(0.7*(0.45*SIN(2*PI()*(((Model_Data!A47)/Inputs!$C$49)+Inputs!$C$47*0.137))+0.35*COS(2*PI()*(((Inputs!$C$6)/Inputs!$C$50)+Inputs!$C$47*0.173))+0.2*SIN(2*PI()*(((Model_Data!A47)+(Inputs!$C$6))/(0.5*(Inputs!$C$49+Inputs!$C$50))+Inputs!$C$47*0.097)))+0.3*(2*((SIN(((Model_Data!A47)*12.9898+(Inputs!$C$6)*78.233+Inputs!$C$47*37.719))*43758.5453)-INT((SIN(((Model_Data!A47)*12.9898+(Inputs!$C$6)*78.233+Inputs!$C$47*37.719))*43758.5453)))-1)))</f>
        <v>239.18714852881689</v>
      </c>
      <c r="K47" s="9">
        <f>-((((SQRT((Model_Data!A47)^2+Inputs!$C$6^2+((Model_Data!B47)-((Inputs!$C$51*(115*EXP(-(((Inputs!$C$6)-25)^2)/(4.5^2))+70*EXP(-(((Inputs!$C$6)+38)^2)/(7^2))*(0.55+0.45*SIN(2*PI()*(Model_Data!A47)/45))+24*SIN(2*PI()*(Inputs!$C$6)/9+(Model_Data!A47)/18)*EXP(-(((Inputs!$C$6)+5)^2)/(22^2))+18*SIN(2*PI()*(Model_Data!A47)/70))+Inputs!$C$28*EXP(-(((Model_Data!A47)-Inputs!$C$29)^2)/(2*Inputs!$C$31^2))*EXP(-(((Inputs!$C$6)-Inputs!$C$30)^2)/(2*Inputs!$C$32^2))+-Inputs!$C$33*EXP(-(((((Model_Data!A47)-Inputs!$C$34)^2)+(((Inputs!$C$6)-Inputs!$C$35)^2))/(2*Inputs!$C$36^2)))+Inputs!$C$37*(0.55*SIN(2*PI()*(Model_Data!A47)/Inputs!$C$39)+0.35*COS(2*PI()*(Inputs!$C$6)/Inputs!$C$40)+0.2*SIN(2*PI()*((Model_Data!A47)+(Inputs!$C$6))/(0.5*(Inputs!$C$39+Inputs!$C$40))))+Inputs!$C$38*SIN(2*PI()*(Model_Data!A47)/Inputs!$C$39)*SIN(2*PI()*(Inputs!$C$6)/Inputs!$C$40)+-Inputs!$C$41*EXP(-(((Inputs!$C$6)-Inputs!$C$43)^2)/(2*Inputs!$C$44^2))*EXP(-(((Model_Data!A47)-Inputs!$C$42)^2)/(2*Inputs!$C$45^2))+Inputs!$C$48*(0.7*(0.45*SIN(2*PI()*(((Model_Data!A47)/Inputs!$C$49)+Inputs!$C$47*0.137))+0.35*COS(2*PI()*(((Inputs!$C$6)/Inputs!$C$50)+Inputs!$C$47*0.173))+0.2*SIN(2*PI()*(((Model_Data!A47)+(Inputs!$C$6))/(0.5*(Inputs!$C$49+Inputs!$C$50))+Inputs!$C$47*0.097)))+0.3*(2*((SIN(((Model_Data!A47)*12.9898+(Inputs!$C$6)*78.233+Inputs!$C$47*37.719))*43758.5453)-INT((SIN(((Model_Data!A47)*12.9898+(Inputs!$C$6)*78.233+Inputs!$C$47*37.719))*43758.5453)))-1))))/1000)^2))-(((Model_Data!B47)-((Inputs!$C$51*(115*EXP(-(((0)-25)^2)/(4.5^2))+70*EXP(-(((0)+38)^2)/(7^2))*(0.55+0.45*SIN(2*PI()*(Model_Data!A47)/45))+24*SIN(2*PI()*(0)/9+(Model_Data!A47)/18)*EXP(-(((0)+5)^2)/(22^2))+18*SIN(2*PI()*(Model_Data!A47)/70))+Inputs!$C$28*EXP(-(((Model_Data!A47)-Inputs!$C$29)^2)/(2*Inputs!$C$31^2))*EXP(-(((0)-Inputs!$C$30)^2)/(2*Inputs!$C$32^2))+-Inputs!$C$33*EXP(-(((((Model_Data!A47)-Inputs!$C$34)^2)+(((0)-Inputs!$C$35)^2))/(2*Inputs!$C$36^2)))+Inputs!$C$37*(0.55*SIN(2*PI()*(Model_Data!A47)/Inputs!$C$39)+0.35*COS(2*PI()*(0)/Inputs!$C$40)+0.2*SIN(2*PI()*((Model_Data!A47)+(0))/(0.5*(Inputs!$C$39+Inputs!$C$40))))+Inputs!$C$38*SIN(2*PI()*(Model_Data!A47)/Inputs!$C$39)*SIN(2*PI()*(0)/Inputs!$C$40)+-Inputs!$C$41*EXP(-(((0)-Inputs!$C$43)^2)/(2*Inputs!$C$44^2))*EXP(-(((Model_Data!A47)-Inputs!$C$42)^2)/(2*Inputs!$C$45^2))+Inputs!$C$48*(0.7*(0.45*SIN(2*PI()*(((Model_Data!A47)/Inputs!$C$49)+Inputs!$C$47*0.137))+0.35*COS(2*PI()*(((0)/Inputs!$C$50)+Inputs!$C$47*0.173))+0.2*SIN(2*PI()*(((Model_Data!A47)+(0))/(0.5*(Inputs!$C$49+Inputs!$C$50))+Inputs!$C$47*0.097)))+0.3*(2*((SIN(((Model_Data!A47)*12.9898+(0)*78.233+Inputs!$C$47*37.719))*43758.5453)-INT((SIN(((Model_Data!A47)*12.9898+(0)*78.233+Inputs!$C$47*37.719))*43758.5453)))-1))))/1000)))*1000/Inputs!$C$12)-Model_Data!F47)</f>
        <v>144.03779688285636</v>
      </c>
      <c r="L47" s="10"/>
      <c r="M47" s="9">
        <f>Model_Data!A47</f>
        <v>-37.5</v>
      </c>
      <c r="N47" s="9">
        <f>Model_Data!P47</f>
        <v>280.98546814307457</v>
      </c>
      <c r="O47" s="9">
        <f t="shared" si="0"/>
        <v>333.93554114127255</v>
      </c>
      <c r="P47" s="9">
        <f>Model_Data!Q47</f>
        <v>42.190010231692881</v>
      </c>
      <c r="Q47" s="9">
        <f t="shared" si="1"/>
        <v>50.140471642833724</v>
      </c>
      <c r="R47" s="10"/>
      <c r="S47" s="9">
        <f>Model_Data!A47</f>
        <v>-37.5</v>
      </c>
      <c r="T47" s="9">
        <f>Model_Data!B47-Inputs!$C$5</f>
        <v>1.5625</v>
      </c>
      <c r="U47" s="10"/>
      <c r="V47" s="9">
        <f>Model_Data!A47</f>
        <v>-37.5</v>
      </c>
      <c r="W47" s="9">
        <f>((SQRT((Model_Data!A47)^2+Inputs!$C$6^2+Inputs!$C$5^2)-Inputs!$C$5)*1000/Inputs!$C$12)</f>
        <v>1421.9408441659828</v>
      </c>
      <c r="X47" s="9">
        <f>Model_Data!F47</f>
        <v>1416.4425890006503</v>
      </c>
      <c r="Y47" s="10"/>
      <c r="Z47" s="9">
        <f>Model_Data!A47</f>
        <v>-37.5</v>
      </c>
      <c r="AA47" s="9">
        <f>SQRT((Model_Data!A47)^2+Inputs!$C$6^2+((Model_Data!B47)-((Inputs!$C$51*(115*EXP(-(((Inputs!$C$6)-25)^2)/(4.5^2))+70*EXP(-(((Inputs!$C$6)+38)^2)/(7^2))*(0.55+0.45*SIN(2*PI()*(Model_Data!A47)/45))+24*SIN(2*PI()*(Inputs!$C$6)/9+(Model_Data!A47)/18)*EXP(-(((Inputs!$C$6)+5)^2)/(22^2))+18*SIN(2*PI()*(Model_Data!A47)/70))+Inputs!$C$28*EXP(-(((Model_Data!A47)-Inputs!$C$29)^2)/(2*Inputs!$C$31^2))*EXP(-(((Inputs!$C$6)-Inputs!$C$30)^2)/(2*Inputs!$C$32^2))+-Inputs!$C$33*EXP(-(((((Model_Data!A47)-Inputs!$C$34)^2)+(((Inputs!$C$6)-Inputs!$C$35)^2))/(2*Inputs!$C$36^2)))+Inputs!$C$37*(0.55*SIN(2*PI()*(Model_Data!A47)/Inputs!$C$39)+0.35*COS(2*PI()*(Inputs!$C$6)/Inputs!$C$40)+0.2*SIN(2*PI()*((Model_Data!A47)+(Inputs!$C$6))/(0.5*(Inputs!$C$39+Inputs!$C$40))))+Inputs!$C$38*SIN(2*PI()*(Model_Data!A47)/Inputs!$C$39)*SIN(2*PI()*(Inputs!$C$6)/Inputs!$C$40)+-Inputs!$C$41*EXP(-(((Inputs!$C$6)-Inputs!$C$43)^2)/(2*Inputs!$C$44^2))*EXP(-(((Model_Data!A47)-Inputs!$C$42)^2)/(2*Inputs!$C$45^2))+Inputs!$C$48*(0.7*(0.45*SIN(2*PI()*(((Model_Data!A47)/Inputs!$C$49)+Inputs!$C$47*0.137))+0.35*COS(2*PI()*(((Inputs!$C$6)/Inputs!$C$50)+Inputs!$C$47*0.173))+0.2*SIN(2*PI()*(((Model_Data!A47)+(Inputs!$C$6))/(0.5*(Inputs!$C$49+Inputs!$C$50))+Inputs!$C$47*0.097)))+0.3*(2*((SIN(((Model_Data!A47)*12.9898+(Inputs!$C$6)*78.233+Inputs!$C$47*37.719))*43758.5453)-INT((SIN(((Model_Data!A47)*12.9898+(Inputs!$C$6)*78.233+Inputs!$C$47*37.719))*43758.5453)))-1))))/1000)^2)</f>
        <v>403.84607394164402</v>
      </c>
      <c r="AB47" s="9">
        <f>1000*(AA48-AA46)/(Z48-Z46)*Inputs!$C$11</f>
        <v>-834.83885285318138</v>
      </c>
      <c r="AC47" s="9">
        <f>-2*AB47/Inputs!$C$13</f>
        <v>333.93554114127255</v>
      </c>
      <c r="AD47" s="9">
        <f>-2*AB47/Inputs!$C$14</f>
        <v>50.140471642833724</v>
      </c>
    </row>
    <row r="48" spans="1:30">
      <c r="A48" s="9">
        <f>Model_Data!A48</f>
        <v>-37</v>
      </c>
      <c r="B48" s="9">
        <f>((SQRT((Model_Data!A48)^2+Inputs!$C$6^2+Inputs!$C$5^2)-Inputs!$C$5)*1000/Inputs!$C$12)</f>
        <v>1395.9451241693491</v>
      </c>
      <c r="C48" s="9">
        <f>Model_Data!F48</f>
        <v>1390.6892299877491</v>
      </c>
      <c r="D48" s="9">
        <f>(((SQRT((Model_Data!A48)^2+Inputs!$C$6^2+((Model_Data!B48)-((Inputs!$C$51*(115*EXP(-(((Inputs!$C$6)-25)^2)/(4.5^2))+70*EXP(-(((Inputs!$C$6)+38)^2)/(7^2))*(0.55+0.45*SIN(2*PI()*(Model_Data!A48)/45))+24*SIN(2*PI()*(Inputs!$C$6)/9+(Model_Data!A48)/18)*EXP(-(((Inputs!$C$6)+5)^2)/(22^2))+18*SIN(2*PI()*(Model_Data!A48)/70))+Inputs!$C$28*EXP(-(((Model_Data!A48)-Inputs!$C$29)^2)/(2*Inputs!$C$31^2))*EXP(-(((Inputs!$C$6)-Inputs!$C$30)^2)/(2*Inputs!$C$32^2))+-Inputs!$C$33*EXP(-(((((Model_Data!A48)-Inputs!$C$34)^2)+(((Inputs!$C$6)-Inputs!$C$35)^2))/(2*Inputs!$C$36^2)))+Inputs!$C$37*(0.55*SIN(2*PI()*(Model_Data!A48)/Inputs!$C$39)+0.35*COS(2*PI()*(Inputs!$C$6)/Inputs!$C$40)+0.2*SIN(2*PI()*((Model_Data!A48)+(Inputs!$C$6))/(0.5*(Inputs!$C$39+Inputs!$C$40))))+Inputs!$C$38*SIN(2*PI()*(Model_Data!A48)/Inputs!$C$39)*SIN(2*PI()*(Inputs!$C$6)/Inputs!$C$40)+-Inputs!$C$41*EXP(-(((Inputs!$C$6)-Inputs!$C$43)^2)/(2*Inputs!$C$44^2))*EXP(-(((Model_Data!A48)-Inputs!$C$42)^2)/(2*Inputs!$C$45^2))+Inputs!$C$48*(0.7*(0.45*SIN(2*PI()*(((Model_Data!A48)/Inputs!$C$49)+Inputs!$C$47*0.137))+0.35*COS(2*PI()*(((Inputs!$C$6)/Inputs!$C$50)+Inputs!$C$47*0.173))+0.2*SIN(2*PI()*(((Model_Data!A48)+(Inputs!$C$6))/(0.5*(Inputs!$C$49+Inputs!$C$50))+Inputs!$C$47*0.097)))+0.3*(2*((SIN(((Model_Data!A48)*12.9898+(Inputs!$C$6)*78.233+Inputs!$C$47*37.719))*43758.5453)-INT((SIN(((Model_Data!A48)*12.9898+(Inputs!$C$6)*78.233+Inputs!$C$47*37.719))*43758.5453)))-1))))/1000)^2))-(((Model_Data!B48)-((Inputs!$C$51*(115*EXP(-(((0)-25)^2)/(4.5^2))+70*EXP(-(((0)+38)^2)/(7^2))*(0.55+0.45*SIN(2*PI()*(Model_Data!A48)/45))+24*SIN(2*PI()*(0)/9+(Model_Data!A48)/18)*EXP(-(((0)+5)^2)/(22^2))+18*SIN(2*PI()*(Model_Data!A48)/70))+Inputs!$C$28*EXP(-(((Model_Data!A48)-Inputs!$C$29)^2)/(2*Inputs!$C$31^2))*EXP(-(((0)-Inputs!$C$30)^2)/(2*Inputs!$C$32^2))+-Inputs!$C$33*EXP(-(((((Model_Data!A48)-Inputs!$C$34)^2)+(((0)-Inputs!$C$35)^2))/(2*Inputs!$C$36^2)))+Inputs!$C$37*(0.55*SIN(2*PI()*(Model_Data!A48)/Inputs!$C$39)+0.35*COS(2*PI()*(0)/Inputs!$C$40)+0.2*SIN(2*PI()*((Model_Data!A48)+(0))/(0.5*(Inputs!$C$39+Inputs!$C$40))))+Inputs!$C$38*SIN(2*PI()*(Model_Data!A48)/Inputs!$C$39)*SIN(2*PI()*(0)/Inputs!$C$40)+-Inputs!$C$41*EXP(-(((0)-Inputs!$C$43)^2)/(2*Inputs!$C$44^2))*EXP(-(((Model_Data!A48)-Inputs!$C$42)^2)/(2*Inputs!$C$45^2))+Inputs!$C$48*(0.7*(0.45*SIN(2*PI()*(((Model_Data!A48)/Inputs!$C$49)+Inputs!$C$47*0.137))+0.35*COS(2*PI()*(((0)/Inputs!$C$50)+Inputs!$C$47*0.173))+0.2*SIN(2*PI()*(((Model_Data!A48)+(0))/(0.5*(Inputs!$C$49+Inputs!$C$50))+Inputs!$C$47*0.097)))+0.3*(2*((SIN(((Model_Data!A48)*12.9898+(0)*78.233+Inputs!$C$47*37.719))*43758.5453)-INT((SIN(((Model_Data!A48)*12.9898+(0)*78.233+Inputs!$C$47*37.719))*43758.5453)))-1))))/1000)))*1000/Inputs!$C$12)</f>
        <v>1244.2969103264895</v>
      </c>
      <c r="E48" s="9">
        <f>Model_Data!A48</f>
        <v>-37</v>
      </c>
      <c r="F48" s="9">
        <f>(Inputs!$C$51*(115*EXP(-(((Inputs!$C$6)-25)^2)/(4.5^2))+70*EXP(-(((Inputs!$C$6)+38)^2)/(7^2))*(0.55+0.45*SIN(2*PI()*(Model_Data!A48)/45))+24*SIN(2*PI()*(Inputs!$C$6)/9+(Model_Data!A48)/18)*EXP(-(((Inputs!$C$6)+5)^2)/(22^2))+18*SIN(2*PI()*(Model_Data!A48)/70))+Inputs!$C$28*EXP(-(((Model_Data!A48)-Inputs!$C$29)^2)/(2*Inputs!$C$31^2))*EXP(-(((Inputs!$C$6)-Inputs!$C$30)^2)/(2*Inputs!$C$32^2))+-Inputs!$C$33*EXP(-(((((Model_Data!A48)-Inputs!$C$34)^2)+(((Inputs!$C$6)-Inputs!$C$35)^2))/(2*Inputs!$C$36^2)))+Inputs!$C$37*(0.55*SIN(2*PI()*(Model_Data!A48)/Inputs!$C$39)+0.35*COS(2*PI()*(Inputs!$C$6)/Inputs!$C$40)+0.2*SIN(2*PI()*((Model_Data!A48)+(Inputs!$C$6))/(0.5*(Inputs!$C$39+Inputs!$C$40))))+Inputs!$C$38*SIN(2*PI()*(Model_Data!A48)/Inputs!$C$39)*SIN(2*PI()*(Inputs!$C$6)/Inputs!$C$40)+-Inputs!$C$41*EXP(-(((Inputs!$C$6)-Inputs!$C$43)^2)/(2*Inputs!$C$44^2))*EXP(-(((Model_Data!A48)-Inputs!$C$42)^2)/(2*Inputs!$C$45^2))+Inputs!$C$48*(0.7*(0.45*SIN(2*PI()*(((Model_Data!A48)/Inputs!$C$49)+Inputs!$C$47*0.137))+0.35*COS(2*PI()*(((Inputs!$C$6)/Inputs!$C$50)+Inputs!$C$47*0.173))+0.2*SIN(2*PI()*(((Model_Data!A48)+(Inputs!$C$6))/(0.5*(Inputs!$C$49+Inputs!$C$50))+Inputs!$C$47*0.097)))+0.3*(2*((SIN(((Model_Data!A48)*12.9898+(Inputs!$C$6)*78.233+Inputs!$C$47*37.719))*43758.5453)-INT((SIN(((Model_Data!A48)*12.9898+(Inputs!$C$6)*78.233+Inputs!$C$47*37.719))*43758.5453)))-1)))</f>
        <v>236.18872035541293</v>
      </c>
      <c r="G48" s="9">
        <f>(Inputs!$C$51*(115*EXP(-(((0)-25)^2)/(4.5^2))+70*EXP(-(((0)+38)^2)/(7^2))*(0.55+0.45*SIN(2*PI()*(Model_Data!A48)/45))+24*SIN(2*PI()*(0)/9+(Model_Data!A48)/18)*EXP(-(((0)+5)^2)/(22^2))+18*SIN(2*PI()*(Model_Data!A48)/70))+Inputs!$C$28*EXP(-(((Model_Data!A48)-Inputs!$C$29)^2)/(2*Inputs!$C$31^2))*EXP(-(((0)-Inputs!$C$30)^2)/(2*Inputs!$C$32^2))+-Inputs!$C$33*EXP(-(((((Model_Data!A48)-Inputs!$C$34)^2)+(((0)-Inputs!$C$35)^2))/(2*Inputs!$C$36^2)))+Inputs!$C$37*(0.55*SIN(2*PI()*(Model_Data!A48)/Inputs!$C$39)+0.35*COS(2*PI()*(0)/Inputs!$C$40)+0.2*SIN(2*PI()*((Model_Data!A48)+(0))/(0.5*(Inputs!$C$39+Inputs!$C$40))))+Inputs!$C$38*SIN(2*PI()*(Model_Data!A48)/Inputs!$C$39)*SIN(2*PI()*(0)/Inputs!$C$40)+-Inputs!$C$41*EXP(-(((0)-Inputs!$C$43)^2)/(2*Inputs!$C$44^2))*EXP(-(((Model_Data!A48)-Inputs!$C$42)^2)/(2*Inputs!$C$45^2))+Inputs!$C$48*(0.7*(0.45*SIN(2*PI()*(((Model_Data!A48)/Inputs!$C$49)+Inputs!$C$47*0.137))+0.35*COS(2*PI()*(((0)/Inputs!$C$50)+Inputs!$C$47*0.173))+0.2*SIN(2*PI()*(((Model_Data!A48)+(0))/(0.5*(Inputs!$C$49+Inputs!$C$50))+Inputs!$C$47*0.097)))+0.3*(2*((SIN(((Model_Data!A48)*12.9898+(0)*78.233+Inputs!$C$47*37.719))*43758.5453)-INT((SIN(((Model_Data!A48)*12.9898+(0)*78.233+Inputs!$C$47*37.719))*43758.5453)))-1)))</f>
        <v>-25.837662785318539</v>
      </c>
      <c r="H48" s="10"/>
      <c r="I48" s="9">
        <f>Model_Data!A48</f>
        <v>-37</v>
      </c>
      <c r="J48" s="9">
        <f>(Inputs!$C$51*(115*EXP(-(((Inputs!$C$6)-25)^2)/(4.5^2))+70*EXP(-(((Inputs!$C$6)+38)^2)/(7^2))*(0.55+0.45*SIN(2*PI()*(Model_Data!A48)/45))+24*SIN(2*PI()*(Inputs!$C$6)/9+(Model_Data!A48)/18)*EXP(-(((Inputs!$C$6)+5)^2)/(22^2))+18*SIN(2*PI()*(Model_Data!A48)/70))+Inputs!$C$28*EXP(-(((Model_Data!A48)-Inputs!$C$29)^2)/(2*Inputs!$C$31^2))*EXP(-(((Inputs!$C$6)-Inputs!$C$30)^2)/(2*Inputs!$C$32^2))+-Inputs!$C$33*EXP(-(((((Model_Data!A48)-Inputs!$C$34)^2)+(((Inputs!$C$6)-Inputs!$C$35)^2))/(2*Inputs!$C$36^2)))+Inputs!$C$37*(0.55*SIN(2*PI()*(Model_Data!A48)/Inputs!$C$39)+0.35*COS(2*PI()*(Inputs!$C$6)/Inputs!$C$40)+0.2*SIN(2*PI()*((Model_Data!A48)+(Inputs!$C$6))/(0.5*(Inputs!$C$39+Inputs!$C$40))))+Inputs!$C$38*SIN(2*PI()*(Model_Data!A48)/Inputs!$C$39)*SIN(2*PI()*(Inputs!$C$6)/Inputs!$C$40)+-Inputs!$C$41*EXP(-(((Inputs!$C$6)-Inputs!$C$43)^2)/(2*Inputs!$C$44^2))*EXP(-(((Model_Data!A48)-Inputs!$C$42)^2)/(2*Inputs!$C$45^2))+Inputs!$C$48*(0.7*(0.45*SIN(2*PI()*(((Model_Data!A48)/Inputs!$C$49)+Inputs!$C$47*0.137))+0.35*COS(2*PI()*(((Inputs!$C$6)/Inputs!$C$50)+Inputs!$C$47*0.173))+0.2*SIN(2*PI()*(((Model_Data!A48)+(Inputs!$C$6))/(0.5*(Inputs!$C$49+Inputs!$C$50))+Inputs!$C$47*0.097)))+0.3*(2*((SIN(((Model_Data!A48)*12.9898+(Inputs!$C$6)*78.233+Inputs!$C$47*37.719))*43758.5453)-INT((SIN(((Model_Data!A48)*12.9898+(Inputs!$C$6)*78.233+Inputs!$C$47*37.719))*43758.5453)))-1)))</f>
        <v>236.18872035541293</v>
      </c>
      <c r="K48" s="9">
        <f>-((((SQRT((Model_Data!A48)^2+Inputs!$C$6^2+((Model_Data!B48)-((Inputs!$C$51*(115*EXP(-(((Inputs!$C$6)-25)^2)/(4.5^2))+70*EXP(-(((Inputs!$C$6)+38)^2)/(7^2))*(0.55+0.45*SIN(2*PI()*(Model_Data!A48)/45))+24*SIN(2*PI()*(Inputs!$C$6)/9+(Model_Data!A48)/18)*EXP(-(((Inputs!$C$6)+5)^2)/(22^2))+18*SIN(2*PI()*(Model_Data!A48)/70))+Inputs!$C$28*EXP(-(((Model_Data!A48)-Inputs!$C$29)^2)/(2*Inputs!$C$31^2))*EXP(-(((Inputs!$C$6)-Inputs!$C$30)^2)/(2*Inputs!$C$32^2))+-Inputs!$C$33*EXP(-(((((Model_Data!A48)-Inputs!$C$34)^2)+(((Inputs!$C$6)-Inputs!$C$35)^2))/(2*Inputs!$C$36^2)))+Inputs!$C$37*(0.55*SIN(2*PI()*(Model_Data!A48)/Inputs!$C$39)+0.35*COS(2*PI()*(Inputs!$C$6)/Inputs!$C$40)+0.2*SIN(2*PI()*((Model_Data!A48)+(Inputs!$C$6))/(0.5*(Inputs!$C$39+Inputs!$C$40))))+Inputs!$C$38*SIN(2*PI()*(Model_Data!A48)/Inputs!$C$39)*SIN(2*PI()*(Inputs!$C$6)/Inputs!$C$40)+-Inputs!$C$41*EXP(-(((Inputs!$C$6)-Inputs!$C$43)^2)/(2*Inputs!$C$44^2))*EXP(-(((Model_Data!A48)-Inputs!$C$42)^2)/(2*Inputs!$C$45^2))+Inputs!$C$48*(0.7*(0.45*SIN(2*PI()*(((Model_Data!A48)/Inputs!$C$49)+Inputs!$C$47*0.137))+0.35*COS(2*PI()*(((Inputs!$C$6)/Inputs!$C$50)+Inputs!$C$47*0.173))+0.2*SIN(2*PI()*(((Model_Data!A48)+(Inputs!$C$6))/(0.5*(Inputs!$C$49+Inputs!$C$50))+Inputs!$C$47*0.097)))+0.3*(2*((SIN(((Model_Data!A48)*12.9898+(Inputs!$C$6)*78.233+Inputs!$C$47*37.719))*43758.5453)-INT((SIN(((Model_Data!A48)*12.9898+(Inputs!$C$6)*78.233+Inputs!$C$47*37.719))*43758.5453)))-1))))/1000)^2))-(((Model_Data!B48)-((Inputs!$C$51*(115*EXP(-(((0)-25)^2)/(4.5^2))+70*EXP(-(((0)+38)^2)/(7^2))*(0.55+0.45*SIN(2*PI()*(Model_Data!A48)/45))+24*SIN(2*PI()*(0)/9+(Model_Data!A48)/18)*EXP(-(((0)+5)^2)/(22^2))+18*SIN(2*PI()*(Model_Data!A48)/70))+Inputs!$C$28*EXP(-(((Model_Data!A48)-Inputs!$C$29)^2)/(2*Inputs!$C$31^2))*EXP(-(((0)-Inputs!$C$30)^2)/(2*Inputs!$C$32^2))+-Inputs!$C$33*EXP(-(((((Model_Data!A48)-Inputs!$C$34)^2)+(((0)-Inputs!$C$35)^2))/(2*Inputs!$C$36^2)))+Inputs!$C$37*(0.55*SIN(2*PI()*(Model_Data!A48)/Inputs!$C$39)+0.35*COS(2*PI()*(0)/Inputs!$C$40)+0.2*SIN(2*PI()*((Model_Data!A48)+(0))/(0.5*(Inputs!$C$39+Inputs!$C$40))))+Inputs!$C$38*SIN(2*PI()*(Model_Data!A48)/Inputs!$C$39)*SIN(2*PI()*(0)/Inputs!$C$40)+-Inputs!$C$41*EXP(-(((0)-Inputs!$C$43)^2)/(2*Inputs!$C$44^2))*EXP(-(((Model_Data!A48)-Inputs!$C$42)^2)/(2*Inputs!$C$45^2))+Inputs!$C$48*(0.7*(0.45*SIN(2*PI()*(((Model_Data!A48)/Inputs!$C$49)+Inputs!$C$47*0.137))+0.35*COS(2*PI()*(((0)/Inputs!$C$50)+Inputs!$C$47*0.173))+0.2*SIN(2*PI()*(((Model_Data!A48)+(0))/(0.5*(Inputs!$C$49+Inputs!$C$50))+Inputs!$C$47*0.097)))+0.3*(2*((SIN(((Model_Data!A48)*12.9898+(0)*78.233+Inputs!$C$47*37.719))*43758.5453)-INT((SIN(((Model_Data!A48)*12.9898+(0)*78.233+Inputs!$C$47*37.719))*43758.5453)))-1))))/1000)))*1000/Inputs!$C$12)-Model_Data!F48)</f>
        <v>146.39231966125953</v>
      </c>
      <c r="L48" s="10"/>
      <c r="M48" s="9">
        <f>Model_Data!A48</f>
        <v>-37</v>
      </c>
      <c r="N48" s="9">
        <f>Model_Data!P48</f>
        <v>277.28537826234452</v>
      </c>
      <c r="O48" s="9">
        <f t="shared" si="0"/>
        <v>318.18926568348616</v>
      </c>
      <c r="P48" s="9">
        <f>Model_Data!Q48</f>
        <v>41.634441180532214</v>
      </c>
      <c r="Q48" s="9">
        <f t="shared" si="1"/>
        <v>47.776166018541467</v>
      </c>
      <c r="R48" s="10"/>
      <c r="S48" s="9">
        <f>Model_Data!A48</f>
        <v>-37</v>
      </c>
      <c r="T48" s="9">
        <f>Model_Data!B48-Inputs!$C$5</f>
        <v>1.5211111111111109</v>
      </c>
      <c r="U48" s="10"/>
      <c r="V48" s="9">
        <f>Model_Data!A48</f>
        <v>-37</v>
      </c>
      <c r="W48" s="9">
        <f>((SQRT((Model_Data!A48)^2+Inputs!$C$6^2+Inputs!$C$5^2)-Inputs!$C$5)*1000/Inputs!$C$12)</f>
        <v>1395.9451241693491</v>
      </c>
      <c r="X48" s="9">
        <f>Model_Data!F48</f>
        <v>1390.6892299877491</v>
      </c>
      <c r="Y48" s="10"/>
      <c r="Z48" s="9">
        <f>Model_Data!A48</f>
        <v>-37</v>
      </c>
      <c r="AA48" s="9">
        <f>SQRT((Model_Data!A48)^2+Inputs!$C$6^2+((Model_Data!B48)-((Inputs!$C$51*(115*EXP(-(((Inputs!$C$6)-25)^2)/(4.5^2))+70*EXP(-(((Inputs!$C$6)+38)^2)/(7^2))*(0.55+0.45*SIN(2*PI()*(Model_Data!A48)/45))+24*SIN(2*PI()*(Inputs!$C$6)/9+(Model_Data!A48)/18)*EXP(-(((Inputs!$C$6)+5)^2)/(22^2))+18*SIN(2*PI()*(Model_Data!A48)/70))+Inputs!$C$28*EXP(-(((Model_Data!A48)-Inputs!$C$29)^2)/(2*Inputs!$C$31^2))*EXP(-(((Inputs!$C$6)-Inputs!$C$30)^2)/(2*Inputs!$C$32^2))+-Inputs!$C$33*EXP(-(((((Model_Data!A48)-Inputs!$C$34)^2)+(((Inputs!$C$6)-Inputs!$C$35)^2))/(2*Inputs!$C$36^2)))+Inputs!$C$37*(0.55*SIN(2*PI()*(Model_Data!A48)/Inputs!$C$39)+0.35*COS(2*PI()*(Inputs!$C$6)/Inputs!$C$40)+0.2*SIN(2*PI()*((Model_Data!A48)+(Inputs!$C$6))/(0.5*(Inputs!$C$39+Inputs!$C$40))))+Inputs!$C$38*SIN(2*PI()*(Model_Data!A48)/Inputs!$C$39)*SIN(2*PI()*(Inputs!$C$6)/Inputs!$C$40)+-Inputs!$C$41*EXP(-(((Inputs!$C$6)-Inputs!$C$43)^2)/(2*Inputs!$C$44^2))*EXP(-(((Model_Data!A48)-Inputs!$C$42)^2)/(2*Inputs!$C$45^2))+Inputs!$C$48*(0.7*(0.45*SIN(2*PI()*(((Model_Data!A48)/Inputs!$C$49)+Inputs!$C$47*0.137))+0.35*COS(2*PI()*(((Inputs!$C$6)/Inputs!$C$50)+Inputs!$C$47*0.173))+0.2*SIN(2*PI()*(((Model_Data!A48)+(Inputs!$C$6))/(0.5*(Inputs!$C$49+Inputs!$C$50))+Inputs!$C$47*0.097)))+0.3*(2*((SIN(((Model_Data!A48)*12.9898+(Inputs!$C$6)*78.233+Inputs!$C$47*37.719))*43758.5453)-INT((SIN(((Model_Data!A48)*12.9898+(Inputs!$C$6)*78.233+Inputs!$C$47*37.719))*43758.5453)))-1))))/1000)^2)</f>
        <v>403.76179727427757</v>
      </c>
      <c r="AB48" s="9">
        <f>1000*(AA49-AA47)/(Z49-Z47)*Inputs!$C$11</f>
        <v>-795.47316420871539</v>
      </c>
      <c r="AC48" s="9">
        <f>-2*AB48/Inputs!$C$13</f>
        <v>318.18926568348616</v>
      </c>
      <c r="AD48" s="9">
        <f>-2*AB48/Inputs!$C$14</f>
        <v>47.776166018541467</v>
      </c>
    </row>
    <row r="49" spans="1:30">
      <c r="A49" s="9">
        <f>Model_Data!A49</f>
        <v>-36.5</v>
      </c>
      <c r="B49" s="9">
        <f>((SQRT((Model_Data!A49)^2+Inputs!$C$6^2+Inputs!$C$5^2)-Inputs!$C$5)*1000/Inputs!$C$12)</f>
        <v>1370.2954109397635</v>
      </c>
      <c r="C49" s="9">
        <f>Model_Data!F49</f>
        <v>1365.2735172823614</v>
      </c>
      <c r="D49" s="9">
        <f>(((SQRT((Model_Data!A49)^2+Inputs!$C$6^2+((Model_Data!B49)-((Inputs!$C$51*(115*EXP(-(((Inputs!$C$6)-25)^2)/(4.5^2))+70*EXP(-(((Inputs!$C$6)+38)^2)/(7^2))*(0.55+0.45*SIN(2*PI()*(Model_Data!A49)/45))+24*SIN(2*PI()*(Inputs!$C$6)/9+(Model_Data!A49)/18)*EXP(-(((Inputs!$C$6)+5)^2)/(22^2))+18*SIN(2*PI()*(Model_Data!A49)/70))+Inputs!$C$28*EXP(-(((Model_Data!A49)-Inputs!$C$29)^2)/(2*Inputs!$C$31^2))*EXP(-(((Inputs!$C$6)-Inputs!$C$30)^2)/(2*Inputs!$C$32^2))+-Inputs!$C$33*EXP(-(((((Model_Data!A49)-Inputs!$C$34)^2)+(((Inputs!$C$6)-Inputs!$C$35)^2))/(2*Inputs!$C$36^2)))+Inputs!$C$37*(0.55*SIN(2*PI()*(Model_Data!A49)/Inputs!$C$39)+0.35*COS(2*PI()*(Inputs!$C$6)/Inputs!$C$40)+0.2*SIN(2*PI()*((Model_Data!A49)+(Inputs!$C$6))/(0.5*(Inputs!$C$39+Inputs!$C$40))))+Inputs!$C$38*SIN(2*PI()*(Model_Data!A49)/Inputs!$C$39)*SIN(2*PI()*(Inputs!$C$6)/Inputs!$C$40)+-Inputs!$C$41*EXP(-(((Inputs!$C$6)-Inputs!$C$43)^2)/(2*Inputs!$C$44^2))*EXP(-(((Model_Data!A49)-Inputs!$C$42)^2)/(2*Inputs!$C$45^2))+Inputs!$C$48*(0.7*(0.45*SIN(2*PI()*(((Model_Data!A49)/Inputs!$C$49)+Inputs!$C$47*0.137))+0.35*COS(2*PI()*(((Inputs!$C$6)/Inputs!$C$50)+Inputs!$C$47*0.173))+0.2*SIN(2*PI()*(((Model_Data!A49)+(Inputs!$C$6))/(0.5*(Inputs!$C$49+Inputs!$C$50))+Inputs!$C$47*0.097)))+0.3*(2*((SIN(((Model_Data!A49)*12.9898+(Inputs!$C$6)*78.233+Inputs!$C$47*37.719))*43758.5453)-INT((SIN(((Model_Data!A49)*12.9898+(Inputs!$C$6)*78.233+Inputs!$C$47*37.719))*43758.5453)))-1))))/1000)^2))-(((Model_Data!B49)-((Inputs!$C$51*(115*EXP(-(((0)-25)^2)/(4.5^2))+70*EXP(-(((0)+38)^2)/(7^2))*(0.55+0.45*SIN(2*PI()*(Model_Data!A49)/45))+24*SIN(2*PI()*(0)/9+(Model_Data!A49)/18)*EXP(-(((0)+5)^2)/(22^2))+18*SIN(2*PI()*(Model_Data!A49)/70))+Inputs!$C$28*EXP(-(((Model_Data!A49)-Inputs!$C$29)^2)/(2*Inputs!$C$31^2))*EXP(-(((0)-Inputs!$C$30)^2)/(2*Inputs!$C$32^2))+-Inputs!$C$33*EXP(-(((((Model_Data!A49)-Inputs!$C$34)^2)+(((0)-Inputs!$C$35)^2))/(2*Inputs!$C$36^2)))+Inputs!$C$37*(0.55*SIN(2*PI()*(Model_Data!A49)/Inputs!$C$39)+0.35*COS(2*PI()*(0)/Inputs!$C$40)+0.2*SIN(2*PI()*((Model_Data!A49)+(0))/(0.5*(Inputs!$C$39+Inputs!$C$40))))+Inputs!$C$38*SIN(2*PI()*(Model_Data!A49)/Inputs!$C$39)*SIN(2*PI()*(0)/Inputs!$C$40)+-Inputs!$C$41*EXP(-(((0)-Inputs!$C$43)^2)/(2*Inputs!$C$44^2))*EXP(-(((Model_Data!A49)-Inputs!$C$42)^2)/(2*Inputs!$C$45^2))+Inputs!$C$48*(0.7*(0.45*SIN(2*PI()*(((Model_Data!A49)/Inputs!$C$49)+Inputs!$C$47*0.137))+0.35*COS(2*PI()*(((0)/Inputs!$C$50)+Inputs!$C$47*0.173))+0.2*SIN(2*PI()*(((Model_Data!A49)+(0))/(0.5*(Inputs!$C$49+Inputs!$C$50))+Inputs!$C$47*0.097)))+0.3*(2*((SIN(((Model_Data!A49)*12.9898+(0)*78.233+Inputs!$C$47*37.719))*43758.5453)-INT((SIN(((Model_Data!A49)*12.9898+(0)*78.233+Inputs!$C$47*37.719))*43758.5453)))-1))))/1000)))*1000/Inputs!$C$12)</f>
        <v>1205.2695716241051</v>
      </c>
      <c r="E49" s="9">
        <f>Model_Data!A49</f>
        <v>-36.5</v>
      </c>
      <c r="F49" s="9">
        <f>(Inputs!$C$51*(115*EXP(-(((Inputs!$C$6)-25)^2)/(4.5^2))+70*EXP(-(((Inputs!$C$6)+38)^2)/(7^2))*(0.55+0.45*SIN(2*PI()*(Model_Data!A49)/45))+24*SIN(2*PI()*(Inputs!$C$6)/9+(Model_Data!A49)/18)*EXP(-(((Inputs!$C$6)+5)^2)/(22^2))+18*SIN(2*PI()*(Model_Data!A49)/70))+Inputs!$C$28*EXP(-(((Model_Data!A49)-Inputs!$C$29)^2)/(2*Inputs!$C$31^2))*EXP(-(((Inputs!$C$6)-Inputs!$C$30)^2)/(2*Inputs!$C$32^2))+-Inputs!$C$33*EXP(-(((((Model_Data!A49)-Inputs!$C$34)^2)+(((Inputs!$C$6)-Inputs!$C$35)^2))/(2*Inputs!$C$36^2)))+Inputs!$C$37*(0.55*SIN(2*PI()*(Model_Data!A49)/Inputs!$C$39)+0.35*COS(2*PI()*(Inputs!$C$6)/Inputs!$C$40)+0.2*SIN(2*PI()*((Model_Data!A49)+(Inputs!$C$6))/(0.5*(Inputs!$C$39+Inputs!$C$40))))+Inputs!$C$38*SIN(2*PI()*(Model_Data!A49)/Inputs!$C$39)*SIN(2*PI()*(Inputs!$C$6)/Inputs!$C$40)+-Inputs!$C$41*EXP(-(((Inputs!$C$6)-Inputs!$C$43)^2)/(2*Inputs!$C$44^2))*EXP(-(((Model_Data!A49)-Inputs!$C$42)^2)/(2*Inputs!$C$45^2))+Inputs!$C$48*(0.7*(0.45*SIN(2*PI()*(((Model_Data!A49)/Inputs!$C$49)+Inputs!$C$47*0.137))+0.35*COS(2*PI()*(((Inputs!$C$6)/Inputs!$C$50)+Inputs!$C$47*0.173))+0.2*SIN(2*PI()*(((Model_Data!A49)+(Inputs!$C$6))/(0.5*(Inputs!$C$49+Inputs!$C$50))+Inputs!$C$47*0.097)))+0.3*(2*((SIN(((Model_Data!A49)*12.9898+(Inputs!$C$6)*78.233+Inputs!$C$47*37.719))*43758.5453)-INT((SIN(((Model_Data!A49)*12.9898+(Inputs!$C$6)*78.233+Inputs!$C$47*37.719))*43758.5453)))-1)))</f>
        <v>264.8535608975177</v>
      </c>
      <c r="G49" s="9">
        <f>(Inputs!$C$51*(115*EXP(-(((0)-25)^2)/(4.5^2))+70*EXP(-(((0)+38)^2)/(7^2))*(0.55+0.45*SIN(2*PI()*(Model_Data!A49)/45))+24*SIN(2*PI()*(0)/9+(Model_Data!A49)/18)*EXP(-(((0)+5)^2)/(22^2))+18*SIN(2*PI()*(Model_Data!A49)/70))+Inputs!$C$28*EXP(-(((Model_Data!A49)-Inputs!$C$29)^2)/(2*Inputs!$C$31^2))*EXP(-(((0)-Inputs!$C$30)^2)/(2*Inputs!$C$32^2))+-Inputs!$C$33*EXP(-(((((Model_Data!A49)-Inputs!$C$34)^2)+(((0)-Inputs!$C$35)^2))/(2*Inputs!$C$36^2)))+Inputs!$C$37*(0.55*SIN(2*PI()*(Model_Data!A49)/Inputs!$C$39)+0.35*COS(2*PI()*(0)/Inputs!$C$40)+0.2*SIN(2*PI()*((Model_Data!A49)+(0))/(0.5*(Inputs!$C$39+Inputs!$C$40))))+Inputs!$C$38*SIN(2*PI()*(Model_Data!A49)/Inputs!$C$39)*SIN(2*PI()*(0)/Inputs!$C$40)+-Inputs!$C$41*EXP(-(((0)-Inputs!$C$43)^2)/(2*Inputs!$C$44^2))*EXP(-(((Model_Data!A49)-Inputs!$C$42)^2)/(2*Inputs!$C$45^2))+Inputs!$C$48*(0.7*(0.45*SIN(2*PI()*(((Model_Data!A49)/Inputs!$C$49)+Inputs!$C$47*0.137))+0.35*COS(2*PI()*(((0)/Inputs!$C$50)+Inputs!$C$47*0.173))+0.2*SIN(2*PI()*(((Model_Data!A49)+(0))/(0.5*(Inputs!$C$49+Inputs!$C$50))+Inputs!$C$47*0.097)))+0.3*(2*((SIN(((Model_Data!A49)*12.9898+(0)*78.233+Inputs!$C$47*37.719))*43758.5453)-INT((SIN(((Model_Data!A49)*12.9898+(0)*78.233+Inputs!$C$47*37.719))*43758.5453)))-1)))</f>
        <v>-21.548035323184823</v>
      </c>
      <c r="H49" s="10"/>
      <c r="I49" s="9">
        <f>Model_Data!A49</f>
        <v>-36.5</v>
      </c>
      <c r="J49" s="9">
        <f>(Inputs!$C$51*(115*EXP(-(((Inputs!$C$6)-25)^2)/(4.5^2))+70*EXP(-(((Inputs!$C$6)+38)^2)/(7^2))*(0.55+0.45*SIN(2*PI()*(Model_Data!A49)/45))+24*SIN(2*PI()*(Inputs!$C$6)/9+(Model_Data!A49)/18)*EXP(-(((Inputs!$C$6)+5)^2)/(22^2))+18*SIN(2*PI()*(Model_Data!A49)/70))+Inputs!$C$28*EXP(-(((Model_Data!A49)-Inputs!$C$29)^2)/(2*Inputs!$C$31^2))*EXP(-(((Inputs!$C$6)-Inputs!$C$30)^2)/(2*Inputs!$C$32^2))+-Inputs!$C$33*EXP(-(((((Model_Data!A49)-Inputs!$C$34)^2)+(((Inputs!$C$6)-Inputs!$C$35)^2))/(2*Inputs!$C$36^2)))+Inputs!$C$37*(0.55*SIN(2*PI()*(Model_Data!A49)/Inputs!$C$39)+0.35*COS(2*PI()*(Inputs!$C$6)/Inputs!$C$40)+0.2*SIN(2*PI()*((Model_Data!A49)+(Inputs!$C$6))/(0.5*(Inputs!$C$39+Inputs!$C$40))))+Inputs!$C$38*SIN(2*PI()*(Model_Data!A49)/Inputs!$C$39)*SIN(2*PI()*(Inputs!$C$6)/Inputs!$C$40)+-Inputs!$C$41*EXP(-(((Inputs!$C$6)-Inputs!$C$43)^2)/(2*Inputs!$C$44^2))*EXP(-(((Model_Data!A49)-Inputs!$C$42)^2)/(2*Inputs!$C$45^2))+Inputs!$C$48*(0.7*(0.45*SIN(2*PI()*(((Model_Data!A49)/Inputs!$C$49)+Inputs!$C$47*0.137))+0.35*COS(2*PI()*(((Inputs!$C$6)/Inputs!$C$50)+Inputs!$C$47*0.173))+0.2*SIN(2*PI()*(((Model_Data!A49)+(Inputs!$C$6))/(0.5*(Inputs!$C$49+Inputs!$C$50))+Inputs!$C$47*0.097)))+0.3*(2*((SIN(((Model_Data!A49)*12.9898+(Inputs!$C$6)*78.233+Inputs!$C$47*37.719))*43758.5453)-INT((SIN(((Model_Data!A49)*12.9898+(Inputs!$C$6)*78.233+Inputs!$C$47*37.719))*43758.5453)))-1)))</f>
        <v>264.8535608975177</v>
      </c>
      <c r="K49" s="9">
        <f>-((((SQRT((Model_Data!A49)^2+Inputs!$C$6^2+((Model_Data!B49)-((Inputs!$C$51*(115*EXP(-(((Inputs!$C$6)-25)^2)/(4.5^2))+70*EXP(-(((Inputs!$C$6)+38)^2)/(7^2))*(0.55+0.45*SIN(2*PI()*(Model_Data!A49)/45))+24*SIN(2*PI()*(Inputs!$C$6)/9+(Model_Data!A49)/18)*EXP(-(((Inputs!$C$6)+5)^2)/(22^2))+18*SIN(2*PI()*(Model_Data!A49)/70))+Inputs!$C$28*EXP(-(((Model_Data!A49)-Inputs!$C$29)^2)/(2*Inputs!$C$31^2))*EXP(-(((Inputs!$C$6)-Inputs!$C$30)^2)/(2*Inputs!$C$32^2))+-Inputs!$C$33*EXP(-(((((Model_Data!A49)-Inputs!$C$34)^2)+(((Inputs!$C$6)-Inputs!$C$35)^2))/(2*Inputs!$C$36^2)))+Inputs!$C$37*(0.55*SIN(2*PI()*(Model_Data!A49)/Inputs!$C$39)+0.35*COS(2*PI()*(Inputs!$C$6)/Inputs!$C$40)+0.2*SIN(2*PI()*((Model_Data!A49)+(Inputs!$C$6))/(0.5*(Inputs!$C$39+Inputs!$C$40))))+Inputs!$C$38*SIN(2*PI()*(Model_Data!A49)/Inputs!$C$39)*SIN(2*PI()*(Inputs!$C$6)/Inputs!$C$40)+-Inputs!$C$41*EXP(-(((Inputs!$C$6)-Inputs!$C$43)^2)/(2*Inputs!$C$44^2))*EXP(-(((Model_Data!A49)-Inputs!$C$42)^2)/(2*Inputs!$C$45^2))+Inputs!$C$48*(0.7*(0.45*SIN(2*PI()*(((Model_Data!A49)/Inputs!$C$49)+Inputs!$C$47*0.137))+0.35*COS(2*PI()*(((Inputs!$C$6)/Inputs!$C$50)+Inputs!$C$47*0.173))+0.2*SIN(2*PI()*(((Model_Data!A49)+(Inputs!$C$6))/(0.5*(Inputs!$C$49+Inputs!$C$50))+Inputs!$C$47*0.097)))+0.3*(2*((SIN(((Model_Data!A49)*12.9898+(Inputs!$C$6)*78.233+Inputs!$C$47*37.719))*43758.5453)-INT((SIN(((Model_Data!A49)*12.9898+(Inputs!$C$6)*78.233+Inputs!$C$47*37.719))*43758.5453)))-1))))/1000)^2))-(((Model_Data!B49)-((Inputs!$C$51*(115*EXP(-(((0)-25)^2)/(4.5^2))+70*EXP(-(((0)+38)^2)/(7^2))*(0.55+0.45*SIN(2*PI()*(Model_Data!A49)/45))+24*SIN(2*PI()*(0)/9+(Model_Data!A49)/18)*EXP(-(((0)+5)^2)/(22^2))+18*SIN(2*PI()*(Model_Data!A49)/70))+Inputs!$C$28*EXP(-(((Model_Data!A49)-Inputs!$C$29)^2)/(2*Inputs!$C$31^2))*EXP(-(((0)-Inputs!$C$30)^2)/(2*Inputs!$C$32^2))+-Inputs!$C$33*EXP(-(((((Model_Data!A49)-Inputs!$C$34)^2)+(((0)-Inputs!$C$35)^2))/(2*Inputs!$C$36^2)))+Inputs!$C$37*(0.55*SIN(2*PI()*(Model_Data!A49)/Inputs!$C$39)+0.35*COS(2*PI()*(0)/Inputs!$C$40)+0.2*SIN(2*PI()*((Model_Data!A49)+(0))/(0.5*(Inputs!$C$39+Inputs!$C$40))))+Inputs!$C$38*SIN(2*PI()*(Model_Data!A49)/Inputs!$C$39)*SIN(2*PI()*(0)/Inputs!$C$40)+-Inputs!$C$41*EXP(-(((0)-Inputs!$C$43)^2)/(2*Inputs!$C$44^2))*EXP(-(((Model_Data!A49)-Inputs!$C$42)^2)/(2*Inputs!$C$45^2))+Inputs!$C$48*(0.7*(0.45*SIN(2*PI()*(((Model_Data!A49)/Inputs!$C$49)+Inputs!$C$47*0.137))+0.35*COS(2*PI()*(((0)/Inputs!$C$50)+Inputs!$C$47*0.173))+0.2*SIN(2*PI()*(((Model_Data!A49)+(0))/(0.5*(Inputs!$C$49+Inputs!$C$50))+Inputs!$C$47*0.097)))+0.3*(2*((SIN(((Model_Data!A49)*12.9898+(0)*78.233+Inputs!$C$47*37.719))*43758.5453)-INT((SIN(((Model_Data!A49)*12.9898+(0)*78.233+Inputs!$C$47*37.719))*43758.5453)))-1))))/1000)))*1000/Inputs!$C$12)-Model_Data!F49)</f>
        <v>160.00394565825627</v>
      </c>
      <c r="L49" s="10"/>
      <c r="M49" s="9">
        <f>Model_Data!A49</f>
        <v>-36.5</v>
      </c>
      <c r="N49" s="9">
        <f>Model_Data!P49</f>
        <v>273.5834496650001</v>
      </c>
      <c r="O49" s="9">
        <f t="shared" si="0"/>
        <v>332.60743761138656</v>
      </c>
      <c r="P49" s="9">
        <f>Model_Data!Q49</f>
        <v>41.07859604579582</v>
      </c>
      <c r="Q49" s="9">
        <f t="shared" si="1"/>
        <v>49.941056698406392</v>
      </c>
      <c r="R49" s="10"/>
      <c r="S49" s="9">
        <f>Model_Data!A49</f>
        <v>-36.5</v>
      </c>
      <c r="T49" s="9">
        <f>Model_Data!B49-Inputs!$C$5</f>
        <v>1.4802777777777578</v>
      </c>
      <c r="U49" s="10"/>
      <c r="V49" s="9">
        <f>Model_Data!A49</f>
        <v>-36.5</v>
      </c>
      <c r="W49" s="9">
        <f>((SQRT((Model_Data!A49)^2+Inputs!$C$6^2+Inputs!$C$5^2)-Inputs!$C$5)*1000/Inputs!$C$12)</f>
        <v>1370.2954109397635</v>
      </c>
      <c r="X49" s="9">
        <f>Model_Data!F49</f>
        <v>1365.2735172823614</v>
      </c>
      <c r="Y49" s="10"/>
      <c r="Z49" s="9">
        <f>Model_Data!A49</f>
        <v>-36.5</v>
      </c>
      <c r="AA49" s="9">
        <f>SQRT((Model_Data!A49)^2+Inputs!$C$6^2+((Model_Data!B49)-((Inputs!$C$51*(115*EXP(-(((Inputs!$C$6)-25)^2)/(4.5^2))+70*EXP(-(((Inputs!$C$6)+38)^2)/(7^2))*(0.55+0.45*SIN(2*PI()*(Model_Data!A49)/45))+24*SIN(2*PI()*(Inputs!$C$6)/9+(Model_Data!A49)/18)*EXP(-(((Inputs!$C$6)+5)^2)/(22^2))+18*SIN(2*PI()*(Model_Data!A49)/70))+Inputs!$C$28*EXP(-(((Model_Data!A49)-Inputs!$C$29)^2)/(2*Inputs!$C$31^2))*EXP(-(((Inputs!$C$6)-Inputs!$C$30)^2)/(2*Inputs!$C$32^2))+-Inputs!$C$33*EXP(-(((((Model_Data!A49)-Inputs!$C$34)^2)+(((Inputs!$C$6)-Inputs!$C$35)^2))/(2*Inputs!$C$36^2)))+Inputs!$C$37*(0.55*SIN(2*PI()*(Model_Data!A49)/Inputs!$C$39)+0.35*COS(2*PI()*(Inputs!$C$6)/Inputs!$C$40)+0.2*SIN(2*PI()*((Model_Data!A49)+(Inputs!$C$6))/(0.5*(Inputs!$C$39+Inputs!$C$40))))+Inputs!$C$38*SIN(2*PI()*(Model_Data!A49)/Inputs!$C$39)*SIN(2*PI()*(Inputs!$C$6)/Inputs!$C$40)+-Inputs!$C$41*EXP(-(((Inputs!$C$6)-Inputs!$C$43)^2)/(2*Inputs!$C$44^2))*EXP(-(((Model_Data!A49)-Inputs!$C$42)^2)/(2*Inputs!$C$45^2))+Inputs!$C$48*(0.7*(0.45*SIN(2*PI()*(((Model_Data!A49)/Inputs!$C$49)+Inputs!$C$47*0.137))+0.35*COS(2*PI()*(((Inputs!$C$6)/Inputs!$C$50)+Inputs!$C$47*0.173))+0.2*SIN(2*PI()*(((Model_Data!A49)+(Inputs!$C$6))/(0.5*(Inputs!$C$49+Inputs!$C$50))+Inputs!$C$47*0.097)))+0.3*(2*((SIN(((Model_Data!A49)*12.9898+(Inputs!$C$6)*78.233+Inputs!$C$47*37.719))*43758.5453)-INT((SIN(((Model_Data!A49)*12.9898+(Inputs!$C$6)*78.233+Inputs!$C$47*37.719))*43758.5453)))-1))))/1000)^2)</f>
        <v>403.64720565059184</v>
      </c>
      <c r="AB49" s="9">
        <f>1000*(AA50-AA48)/(Z50-Z48)*Inputs!$C$11</f>
        <v>-831.5185940284664</v>
      </c>
      <c r="AC49" s="9">
        <f>-2*AB49/Inputs!$C$13</f>
        <v>332.60743761138656</v>
      </c>
      <c r="AD49" s="9">
        <f>-2*AB49/Inputs!$C$14</f>
        <v>49.941056698406392</v>
      </c>
    </row>
    <row r="50" spans="1:30">
      <c r="A50" s="9">
        <f>Model_Data!A50</f>
        <v>-36</v>
      </c>
      <c r="B50" s="9">
        <f>((SQRT((Model_Data!A50)^2+Inputs!$C$6^2+Inputs!$C$5^2)-Inputs!$C$5)*1000/Inputs!$C$12)</f>
        <v>1344.9918222533095</v>
      </c>
      <c r="C50" s="9">
        <f>Model_Data!F50</f>
        <v>1340.1957716827169</v>
      </c>
      <c r="D50" s="9">
        <f>(((SQRT((Model_Data!A50)^2+Inputs!$C$6^2+((Model_Data!B50)-((Inputs!$C$51*(115*EXP(-(((Inputs!$C$6)-25)^2)/(4.5^2))+70*EXP(-(((Inputs!$C$6)+38)^2)/(7^2))*(0.55+0.45*SIN(2*PI()*(Model_Data!A50)/45))+24*SIN(2*PI()*(Inputs!$C$6)/9+(Model_Data!A50)/18)*EXP(-(((Inputs!$C$6)+5)^2)/(22^2))+18*SIN(2*PI()*(Model_Data!A50)/70))+Inputs!$C$28*EXP(-(((Model_Data!A50)-Inputs!$C$29)^2)/(2*Inputs!$C$31^2))*EXP(-(((Inputs!$C$6)-Inputs!$C$30)^2)/(2*Inputs!$C$32^2))+-Inputs!$C$33*EXP(-(((((Model_Data!A50)-Inputs!$C$34)^2)+(((Inputs!$C$6)-Inputs!$C$35)^2))/(2*Inputs!$C$36^2)))+Inputs!$C$37*(0.55*SIN(2*PI()*(Model_Data!A50)/Inputs!$C$39)+0.35*COS(2*PI()*(Inputs!$C$6)/Inputs!$C$40)+0.2*SIN(2*PI()*((Model_Data!A50)+(Inputs!$C$6))/(0.5*(Inputs!$C$39+Inputs!$C$40))))+Inputs!$C$38*SIN(2*PI()*(Model_Data!A50)/Inputs!$C$39)*SIN(2*PI()*(Inputs!$C$6)/Inputs!$C$40)+-Inputs!$C$41*EXP(-(((Inputs!$C$6)-Inputs!$C$43)^2)/(2*Inputs!$C$44^2))*EXP(-(((Model_Data!A50)-Inputs!$C$42)^2)/(2*Inputs!$C$45^2))+Inputs!$C$48*(0.7*(0.45*SIN(2*PI()*(((Model_Data!A50)/Inputs!$C$49)+Inputs!$C$47*0.137))+0.35*COS(2*PI()*(((Inputs!$C$6)/Inputs!$C$50)+Inputs!$C$47*0.173))+0.2*SIN(2*PI()*(((Model_Data!A50)+(Inputs!$C$6))/(0.5*(Inputs!$C$49+Inputs!$C$50))+Inputs!$C$47*0.097)))+0.3*(2*((SIN(((Model_Data!A50)*12.9898+(Inputs!$C$6)*78.233+Inputs!$C$47*37.719))*43758.5453)-INT((SIN(((Model_Data!A50)*12.9898+(Inputs!$C$6)*78.233+Inputs!$C$47*37.719))*43758.5453)))-1))))/1000)^2))-(((Model_Data!B50)-((Inputs!$C$51*(115*EXP(-(((0)-25)^2)/(4.5^2))+70*EXP(-(((0)+38)^2)/(7^2))*(0.55+0.45*SIN(2*PI()*(Model_Data!A50)/45))+24*SIN(2*PI()*(0)/9+(Model_Data!A50)/18)*EXP(-(((0)+5)^2)/(22^2))+18*SIN(2*PI()*(Model_Data!A50)/70))+Inputs!$C$28*EXP(-(((Model_Data!A50)-Inputs!$C$29)^2)/(2*Inputs!$C$31^2))*EXP(-(((0)-Inputs!$C$30)^2)/(2*Inputs!$C$32^2))+-Inputs!$C$33*EXP(-(((((Model_Data!A50)-Inputs!$C$34)^2)+(((0)-Inputs!$C$35)^2))/(2*Inputs!$C$36^2)))+Inputs!$C$37*(0.55*SIN(2*PI()*(Model_Data!A50)/Inputs!$C$39)+0.35*COS(2*PI()*(0)/Inputs!$C$40)+0.2*SIN(2*PI()*((Model_Data!A50)+(0))/(0.5*(Inputs!$C$39+Inputs!$C$40))))+Inputs!$C$38*SIN(2*PI()*(Model_Data!A50)/Inputs!$C$39)*SIN(2*PI()*(0)/Inputs!$C$40)+-Inputs!$C$41*EXP(-(((0)-Inputs!$C$43)^2)/(2*Inputs!$C$44^2))*EXP(-(((Model_Data!A50)-Inputs!$C$42)^2)/(2*Inputs!$C$45^2))+Inputs!$C$48*(0.7*(0.45*SIN(2*PI()*(((Model_Data!A50)/Inputs!$C$49)+Inputs!$C$47*0.137))+0.35*COS(2*PI()*(((0)/Inputs!$C$50)+Inputs!$C$47*0.173))+0.2*SIN(2*PI()*(((Model_Data!A50)+(0))/(0.5*(Inputs!$C$49+Inputs!$C$50))+Inputs!$C$47*0.097)))+0.3*(2*((SIN(((Model_Data!A50)*12.9898+(0)*78.233+Inputs!$C$47*37.719))*43758.5453)-INT((SIN(((Model_Data!A50)*12.9898+(0)*78.233+Inputs!$C$47*37.719))*43758.5453)))-1))))/1000)))*1000/Inputs!$C$12)</f>
        <v>1186.3095300921568</v>
      </c>
      <c r="E50" s="9">
        <f>Model_Data!A50</f>
        <v>-36</v>
      </c>
      <c r="F50" s="9">
        <f>(Inputs!$C$51*(115*EXP(-(((Inputs!$C$6)-25)^2)/(4.5^2))+70*EXP(-(((Inputs!$C$6)+38)^2)/(7^2))*(0.55+0.45*SIN(2*PI()*(Model_Data!A50)/45))+24*SIN(2*PI()*(Inputs!$C$6)/9+(Model_Data!A50)/18)*EXP(-(((Inputs!$C$6)+5)^2)/(22^2))+18*SIN(2*PI()*(Model_Data!A50)/70))+Inputs!$C$28*EXP(-(((Model_Data!A50)-Inputs!$C$29)^2)/(2*Inputs!$C$31^2))*EXP(-(((Inputs!$C$6)-Inputs!$C$30)^2)/(2*Inputs!$C$32^2))+-Inputs!$C$33*EXP(-(((((Model_Data!A50)-Inputs!$C$34)^2)+(((Inputs!$C$6)-Inputs!$C$35)^2))/(2*Inputs!$C$36^2)))+Inputs!$C$37*(0.55*SIN(2*PI()*(Model_Data!A50)/Inputs!$C$39)+0.35*COS(2*PI()*(Inputs!$C$6)/Inputs!$C$40)+0.2*SIN(2*PI()*((Model_Data!A50)+(Inputs!$C$6))/(0.5*(Inputs!$C$39+Inputs!$C$40))))+Inputs!$C$38*SIN(2*PI()*(Model_Data!A50)/Inputs!$C$39)*SIN(2*PI()*(Inputs!$C$6)/Inputs!$C$40)+-Inputs!$C$41*EXP(-(((Inputs!$C$6)-Inputs!$C$43)^2)/(2*Inputs!$C$44^2))*EXP(-(((Model_Data!A50)-Inputs!$C$42)^2)/(2*Inputs!$C$45^2))+Inputs!$C$48*(0.7*(0.45*SIN(2*PI()*(((Model_Data!A50)/Inputs!$C$49)+Inputs!$C$47*0.137))+0.35*COS(2*PI()*(((Inputs!$C$6)/Inputs!$C$50)+Inputs!$C$47*0.173))+0.2*SIN(2*PI()*(((Model_Data!A50)+(Inputs!$C$6))/(0.5*(Inputs!$C$49+Inputs!$C$50))+Inputs!$C$47*0.097)))+0.3*(2*((SIN(((Model_Data!A50)*12.9898+(Inputs!$C$6)*78.233+Inputs!$C$47*37.719))*43758.5453)-INT((SIN(((Model_Data!A50)*12.9898+(Inputs!$C$6)*78.233+Inputs!$C$47*37.719))*43758.5453)))-1)))</f>
        <v>273.24610443212225</v>
      </c>
      <c r="G50" s="9">
        <f>(Inputs!$C$51*(115*EXP(-(((0)-25)^2)/(4.5^2))+70*EXP(-(((0)+38)^2)/(7^2))*(0.55+0.45*SIN(2*PI()*(Model_Data!A50)/45))+24*SIN(2*PI()*(0)/9+(Model_Data!A50)/18)*EXP(-(((0)+5)^2)/(22^2))+18*SIN(2*PI()*(Model_Data!A50)/70))+Inputs!$C$28*EXP(-(((Model_Data!A50)-Inputs!$C$29)^2)/(2*Inputs!$C$31^2))*EXP(-(((0)-Inputs!$C$30)^2)/(2*Inputs!$C$32^2))+-Inputs!$C$33*EXP(-(((((Model_Data!A50)-Inputs!$C$34)^2)+(((0)-Inputs!$C$35)^2))/(2*Inputs!$C$36^2)))+Inputs!$C$37*(0.55*SIN(2*PI()*(Model_Data!A50)/Inputs!$C$39)+0.35*COS(2*PI()*(0)/Inputs!$C$40)+0.2*SIN(2*PI()*((Model_Data!A50)+(0))/(0.5*(Inputs!$C$39+Inputs!$C$40))))+Inputs!$C$38*SIN(2*PI()*(Model_Data!A50)/Inputs!$C$39)*SIN(2*PI()*(0)/Inputs!$C$40)+-Inputs!$C$41*EXP(-(((0)-Inputs!$C$43)^2)/(2*Inputs!$C$44^2))*EXP(-(((Model_Data!A50)-Inputs!$C$42)^2)/(2*Inputs!$C$45^2))+Inputs!$C$48*(0.7*(0.45*SIN(2*PI()*(((Model_Data!A50)/Inputs!$C$49)+Inputs!$C$47*0.137))+0.35*COS(2*PI()*(((0)/Inputs!$C$50)+Inputs!$C$47*0.173))+0.2*SIN(2*PI()*(((Model_Data!A50)+(0))/(0.5*(Inputs!$C$49+Inputs!$C$50))+Inputs!$C$47*0.097)))+0.3*(2*((SIN(((Model_Data!A50)*12.9898+(0)*78.233+Inputs!$C$47*37.719))*43758.5453)-INT((SIN(((Model_Data!A50)*12.9898+(0)*78.233+Inputs!$C$47*37.719))*43758.5453)))-1)))</f>
        <v>-2.2866622063925579</v>
      </c>
      <c r="H50" s="10"/>
      <c r="I50" s="9">
        <f>Model_Data!A50</f>
        <v>-36</v>
      </c>
      <c r="J50" s="9">
        <f>(Inputs!$C$51*(115*EXP(-(((Inputs!$C$6)-25)^2)/(4.5^2))+70*EXP(-(((Inputs!$C$6)+38)^2)/(7^2))*(0.55+0.45*SIN(2*PI()*(Model_Data!A50)/45))+24*SIN(2*PI()*(Inputs!$C$6)/9+(Model_Data!A50)/18)*EXP(-(((Inputs!$C$6)+5)^2)/(22^2))+18*SIN(2*PI()*(Model_Data!A50)/70))+Inputs!$C$28*EXP(-(((Model_Data!A50)-Inputs!$C$29)^2)/(2*Inputs!$C$31^2))*EXP(-(((Inputs!$C$6)-Inputs!$C$30)^2)/(2*Inputs!$C$32^2))+-Inputs!$C$33*EXP(-(((((Model_Data!A50)-Inputs!$C$34)^2)+(((Inputs!$C$6)-Inputs!$C$35)^2))/(2*Inputs!$C$36^2)))+Inputs!$C$37*(0.55*SIN(2*PI()*(Model_Data!A50)/Inputs!$C$39)+0.35*COS(2*PI()*(Inputs!$C$6)/Inputs!$C$40)+0.2*SIN(2*PI()*((Model_Data!A50)+(Inputs!$C$6))/(0.5*(Inputs!$C$39+Inputs!$C$40))))+Inputs!$C$38*SIN(2*PI()*(Model_Data!A50)/Inputs!$C$39)*SIN(2*PI()*(Inputs!$C$6)/Inputs!$C$40)+-Inputs!$C$41*EXP(-(((Inputs!$C$6)-Inputs!$C$43)^2)/(2*Inputs!$C$44^2))*EXP(-(((Model_Data!A50)-Inputs!$C$42)^2)/(2*Inputs!$C$45^2))+Inputs!$C$48*(0.7*(0.45*SIN(2*PI()*(((Model_Data!A50)/Inputs!$C$49)+Inputs!$C$47*0.137))+0.35*COS(2*PI()*(((Inputs!$C$6)/Inputs!$C$50)+Inputs!$C$47*0.173))+0.2*SIN(2*PI()*(((Model_Data!A50)+(Inputs!$C$6))/(0.5*(Inputs!$C$49+Inputs!$C$50))+Inputs!$C$47*0.097)))+0.3*(2*((SIN(((Model_Data!A50)*12.9898+(Inputs!$C$6)*78.233+Inputs!$C$47*37.719))*43758.5453)-INT((SIN(((Model_Data!A50)*12.9898+(Inputs!$C$6)*78.233+Inputs!$C$47*37.719))*43758.5453)))-1)))</f>
        <v>273.24610443212225</v>
      </c>
      <c r="K50" s="9">
        <f>-((((SQRT((Model_Data!A50)^2+Inputs!$C$6^2+((Model_Data!B50)-((Inputs!$C$51*(115*EXP(-(((Inputs!$C$6)-25)^2)/(4.5^2))+70*EXP(-(((Inputs!$C$6)+38)^2)/(7^2))*(0.55+0.45*SIN(2*PI()*(Model_Data!A50)/45))+24*SIN(2*PI()*(Inputs!$C$6)/9+(Model_Data!A50)/18)*EXP(-(((Inputs!$C$6)+5)^2)/(22^2))+18*SIN(2*PI()*(Model_Data!A50)/70))+Inputs!$C$28*EXP(-(((Model_Data!A50)-Inputs!$C$29)^2)/(2*Inputs!$C$31^2))*EXP(-(((Inputs!$C$6)-Inputs!$C$30)^2)/(2*Inputs!$C$32^2))+-Inputs!$C$33*EXP(-(((((Model_Data!A50)-Inputs!$C$34)^2)+(((Inputs!$C$6)-Inputs!$C$35)^2))/(2*Inputs!$C$36^2)))+Inputs!$C$37*(0.55*SIN(2*PI()*(Model_Data!A50)/Inputs!$C$39)+0.35*COS(2*PI()*(Inputs!$C$6)/Inputs!$C$40)+0.2*SIN(2*PI()*((Model_Data!A50)+(Inputs!$C$6))/(0.5*(Inputs!$C$39+Inputs!$C$40))))+Inputs!$C$38*SIN(2*PI()*(Model_Data!A50)/Inputs!$C$39)*SIN(2*PI()*(Inputs!$C$6)/Inputs!$C$40)+-Inputs!$C$41*EXP(-(((Inputs!$C$6)-Inputs!$C$43)^2)/(2*Inputs!$C$44^2))*EXP(-(((Model_Data!A50)-Inputs!$C$42)^2)/(2*Inputs!$C$45^2))+Inputs!$C$48*(0.7*(0.45*SIN(2*PI()*(((Model_Data!A50)/Inputs!$C$49)+Inputs!$C$47*0.137))+0.35*COS(2*PI()*(((Inputs!$C$6)/Inputs!$C$50)+Inputs!$C$47*0.173))+0.2*SIN(2*PI()*(((Model_Data!A50)+(Inputs!$C$6))/(0.5*(Inputs!$C$49+Inputs!$C$50))+Inputs!$C$47*0.097)))+0.3*(2*((SIN(((Model_Data!A50)*12.9898+(Inputs!$C$6)*78.233+Inputs!$C$47*37.719))*43758.5453)-INT((SIN(((Model_Data!A50)*12.9898+(Inputs!$C$6)*78.233+Inputs!$C$47*37.719))*43758.5453)))-1))))/1000)^2))-(((Model_Data!B50)-((Inputs!$C$51*(115*EXP(-(((0)-25)^2)/(4.5^2))+70*EXP(-(((0)+38)^2)/(7^2))*(0.55+0.45*SIN(2*PI()*(Model_Data!A50)/45))+24*SIN(2*PI()*(0)/9+(Model_Data!A50)/18)*EXP(-(((0)+5)^2)/(22^2))+18*SIN(2*PI()*(Model_Data!A50)/70))+Inputs!$C$28*EXP(-(((Model_Data!A50)-Inputs!$C$29)^2)/(2*Inputs!$C$31^2))*EXP(-(((0)-Inputs!$C$30)^2)/(2*Inputs!$C$32^2))+-Inputs!$C$33*EXP(-(((((Model_Data!A50)-Inputs!$C$34)^2)+(((0)-Inputs!$C$35)^2))/(2*Inputs!$C$36^2)))+Inputs!$C$37*(0.55*SIN(2*PI()*(Model_Data!A50)/Inputs!$C$39)+0.35*COS(2*PI()*(0)/Inputs!$C$40)+0.2*SIN(2*PI()*((Model_Data!A50)+(0))/(0.5*(Inputs!$C$39+Inputs!$C$40))))+Inputs!$C$38*SIN(2*PI()*(Model_Data!A50)/Inputs!$C$39)*SIN(2*PI()*(0)/Inputs!$C$40)+-Inputs!$C$41*EXP(-(((0)-Inputs!$C$43)^2)/(2*Inputs!$C$44^2))*EXP(-(((Model_Data!A50)-Inputs!$C$42)^2)/(2*Inputs!$C$45^2))+Inputs!$C$48*(0.7*(0.45*SIN(2*PI()*(((Model_Data!A50)/Inputs!$C$49)+Inputs!$C$47*0.137))+0.35*COS(2*PI()*(((0)/Inputs!$C$50)+Inputs!$C$47*0.173))+0.2*SIN(2*PI()*(((Model_Data!A50)+(0))/(0.5*(Inputs!$C$49+Inputs!$C$50))+Inputs!$C$47*0.097)))+0.3*(2*((SIN(((Model_Data!A50)*12.9898+(0)*78.233+Inputs!$C$47*37.719))*43758.5453)-INT((SIN(((Model_Data!A50)*12.9898+(0)*78.233+Inputs!$C$47*37.719))*43758.5453)))-1))))/1000)))*1000/Inputs!$C$12)-Model_Data!F50)</f>
        <v>153.88624159056008</v>
      </c>
      <c r="L50" s="10"/>
      <c r="M50" s="9">
        <f>Model_Data!A50</f>
        <v>-36</v>
      </c>
      <c r="N50" s="9">
        <f>Model_Data!P50</f>
        <v>269.87970526368542</v>
      </c>
      <c r="O50" s="9">
        <f t="shared" si="0"/>
        <v>301.94302632980907</v>
      </c>
      <c r="P50" s="9">
        <f>Model_Data!Q50</f>
        <v>40.522478267820638</v>
      </c>
      <c r="Q50" s="9">
        <f t="shared" si="1"/>
        <v>45.336790740211576</v>
      </c>
      <c r="R50" s="10"/>
      <c r="S50" s="9">
        <f>Model_Data!A50</f>
        <v>-36</v>
      </c>
      <c r="T50" s="9">
        <f>Model_Data!B50-Inputs!$C$5</f>
        <v>1.4399999999999977</v>
      </c>
      <c r="U50" s="10"/>
      <c r="V50" s="9">
        <f>Model_Data!A50</f>
        <v>-36</v>
      </c>
      <c r="W50" s="9">
        <f>((SQRT((Model_Data!A50)^2+Inputs!$C$6^2+Inputs!$C$5^2)-Inputs!$C$5)*1000/Inputs!$C$12)</f>
        <v>1344.9918222533095</v>
      </c>
      <c r="X50" s="9">
        <f>Model_Data!F50</f>
        <v>1340.1957716827169</v>
      </c>
      <c r="Y50" s="10"/>
      <c r="Z50" s="9">
        <f>Model_Data!A50</f>
        <v>-36</v>
      </c>
      <c r="AA50" s="9">
        <f>SQRT((Model_Data!A50)^2+Inputs!$C$6^2+((Model_Data!B50)-((Inputs!$C$51*(115*EXP(-(((Inputs!$C$6)-25)^2)/(4.5^2))+70*EXP(-(((Inputs!$C$6)+38)^2)/(7^2))*(0.55+0.45*SIN(2*PI()*(Model_Data!A50)/45))+24*SIN(2*PI()*(Inputs!$C$6)/9+(Model_Data!A50)/18)*EXP(-(((Inputs!$C$6)+5)^2)/(22^2))+18*SIN(2*PI()*(Model_Data!A50)/70))+Inputs!$C$28*EXP(-(((Model_Data!A50)-Inputs!$C$29)^2)/(2*Inputs!$C$31^2))*EXP(-(((Inputs!$C$6)-Inputs!$C$30)^2)/(2*Inputs!$C$32^2))+-Inputs!$C$33*EXP(-(((((Model_Data!A50)-Inputs!$C$34)^2)+(((Inputs!$C$6)-Inputs!$C$35)^2))/(2*Inputs!$C$36^2)))+Inputs!$C$37*(0.55*SIN(2*PI()*(Model_Data!A50)/Inputs!$C$39)+0.35*COS(2*PI()*(Inputs!$C$6)/Inputs!$C$40)+0.2*SIN(2*PI()*((Model_Data!A50)+(Inputs!$C$6))/(0.5*(Inputs!$C$39+Inputs!$C$40))))+Inputs!$C$38*SIN(2*PI()*(Model_Data!A50)/Inputs!$C$39)*SIN(2*PI()*(Inputs!$C$6)/Inputs!$C$40)+-Inputs!$C$41*EXP(-(((Inputs!$C$6)-Inputs!$C$43)^2)/(2*Inputs!$C$44^2))*EXP(-(((Model_Data!A50)-Inputs!$C$42)^2)/(2*Inputs!$C$45^2))+Inputs!$C$48*(0.7*(0.45*SIN(2*PI()*(((Model_Data!A50)/Inputs!$C$49)+Inputs!$C$47*0.137))+0.35*COS(2*PI()*(((Inputs!$C$6)/Inputs!$C$50)+Inputs!$C$47*0.173))+0.2*SIN(2*PI()*(((Model_Data!A50)+(Inputs!$C$6))/(0.5*(Inputs!$C$49+Inputs!$C$50))+Inputs!$C$47*0.097)))+0.3*(2*((SIN(((Model_Data!A50)*12.9898+(Inputs!$C$6)*78.233+Inputs!$C$47*37.719))*43758.5453)-INT((SIN(((Model_Data!A50)*12.9898+(Inputs!$C$6)*78.233+Inputs!$C$47*37.719))*43758.5453)))-1))))/1000)^2)</f>
        <v>403.55391762577045</v>
      </c>
      <c r="AB50" s="9">
        <f>1000*(AA51-AA49)/(Z51-Z49)*Inputs!$C$11</f>
        <v>-754.85756582452268</v>
      </c>
      <c r="AC50" s="9">
        <f>-2*AB50/Inputs!$C$13</f>
        <v>301.94302632980907</v>
      </c>
      <c r="AD50" s="9">
        <f>-2*AB50/Inputs!$C$14</f>
        <v>45.336790740211576</v>
      </c>
    </row>
    <row r="51" spans="1:30">
      <c r="A51" s="9">
        <f>Model_Data!A51</f>
        <v>-35.5</v>
      </c>
      <c r="B51" s="9">
        <f>((SQRT((Model_Data!A51)^2+Inputs!$C$6^2+Inputs!$C$5^2)-Inputs!$C$5)*1000/Inputs!$C$12)</f>
        <v>1320.0344743489659</v>
      </c>
      <c r="C51" s="9">
        <f>Model_Data!F51</f>
        <v>1315.4563099576765</v>
      </c>
      <c r="D51" s="9">
        <f>(((SQRT((Model_Data!A51)^2+Inputs!$C$6^2+((Model_Data!B51)-((Inputs!$C$51*(115*EXP(-(((Inputs!$C$6)-25)^2)/(4.5^2))+70*EXP(-(((Inputs!$C$6)+38)^2)/(7^2))*(0.55+0.45*SIN(2*PI()*(Model_Data!A51)/45))+24*SIN(2*PI()*(Inputs!$C$6)/9+(Model_Data!A51)/18)*EXP(-(((Inputs!$C$6)+5)^2)/(22^2))+18*SIN(2*PI()*(Model_Data!A51)/70))+Inputs!$C$28*EXP(-(((Model_Data!A51)-Inputs!$C$29)^2)/(2*Inputs!$C$31^2))*EXP(-(((Inputs!$C$6)-Inputs!$C$30)^2)/(2*Inputs!$C$32^2))+-Inputs!$C$33*EXP(-(((((Model_Data!A51)-Inputs!$C$34)^2)+(((Inputs!$C$6)-Inputs!$C$35)^2))/(2*Inputs!$C$36^2)))+Inputs!$C$37*(0.55*SIN(2*PI()*(Model_Data!A51)/Inputs!$C$39)+0.35*COS(2*PI()*(Inputs!$C$6)/Inputs!$C$40)+0.2*SIN(2*PI()*((Model_Data!A51)+(Inputs!$C$6))/(0.5*(Inputs!$C$39+Inputs!$C$40))))+Inputs!$C$38*SIN(2*PI()*(Model_Data!A51)/Inputs!$C$39)*SIN(2*PI()*(Inputs!$C$6)/Inputs!$C$40)+-Inputs!$C$41*EXP(-(((Inputs!$C$6)-Inputs!$C$43)^2)/(2*Inputs!$C$44^2))*EXP(-(((Model_Data!A51)-Inputs!$C$42)^2)/(2*Inputs!$C$45^2))+Inputs!$C$48*(0.7*(0.45*SIN(2*PI()*(((Model_Data!A51)/Inputs!$C$49)+Inputs!$C$47*0.137))+0.35*COS(2*PI()*(((Inputs!$C$6)/Inputs!$C$50)+Inputs!$C$47*0.173))+0.2*SIN(2*PI()*(((Model_Data!A51)+(Inputs!$C$6))/(0.5*(Inputs!$C$49+Inputs!$C$50))+Inputs!$C$47*0.097)))+0.3*(2*((SIN(((Model_Data!A51)*12.9898+(Inputs!$C$6)*78.233+Inputs!$C$47*37.719))*43758.5453)-INT((SIN(((Model_Data!A51)*12.9898+(Inputs!$C$6)*78.233+Inputs!$C$47*37.719))*43758.5453)))-1))))/1000)^2))-(((Model_Data!B51)-((Inputs!$C$51*(115*EXP(-(((0)-25)^2)/(4.5^2))+70*EXP(-(((0)+38)^2)/(7^2))*(0.55+0.45*SIN(2*PI()*(Model_Data!A51)/45))+24*SIN(2*PI()*(0)/9+(Model_Data!A51)/18)*EXP(-(((0)+5)^2)/(22^2))+18*SIN(2*PI()*(Model_Data!A51)/70))+Inputs!$C$28*EXP(-(((Model_Data!A51)-Inputs!$C$29)^2)/(2*Inputs!$C$31^2))*EXP(-(((0)-Inputs!$C$30)^2)/(2*Inputs!$C$32^2))+-Inputs!$C$33*EXP(-(((((Model_Data!A51)-Inputs!$C$34)^2)+(((0)-Inputs!$C$35)^2))/(2*Inputs!$C$36^2)))+Inputs!$C$37*(0.55*SIN(2*PI()*(Model_Data!A51)/Inputs!$C$39)+0.35*COS(2*PI()*(0)/Inputs!$C$40)+0.2*SIN(2*PI()*((Model_Data!A51)+(0))/(0.5*(Inputs!$C$39+Inputs!$C$40))))+Inputs!$C$38*SIN(2*PI()*(Model_Data!A51)/Inputs!$C$39)*SIN(2*PI()*(0)/Inputs!$C$40)+-Inputs!$C$41*EXP(-(((0)-Inputs!$C$43)^2)/(2*Inputs!$C$44^2))*EXP(-(((Model_Data!A51)-Inputs!$C$42)^2)/(2*Inputs!$C$45^2))+Inputs!$C$48*(0.7*(0.45*SIN(2*PI()*(((Model_Data!A51)/Inputs!$C$49)+Inputs!$C$47*0.137))+0.35*COS(2*PI()*(((0)/Inputs!$C$50)+Inputs!$C$47*0.173))+0.2*SIN(2*PI()*(((Model_Data!A51)+(0))/(0.5*(Inputs!$C$49+Inputs!$C$50))+Inputs!$C$47*0.097)))+0.3*(2*((SIN(((Model_Data!A51)*12.9898+(0)*78.233+Inputs!$C$47*37.719))*43758.5453)-INT((SIN(((Model_Data!A51)*12.9898+(0)*78.233+Inputs!$C$47*37.719))*43758.5453)))-1))))/1000)))*1000/Inputs!$C$12)</f>
        <v>1155.943544661126</v>
      </c>
      <c r="E51" s="9">
        <f>Model_Data!A51</f>
        <v>-35.5</v>
      </c>
      <c r="F51" s="9">
        <f>(Inputs!$C$51*(115*EXP(-(((Inputs!$C$6)-25)^2)/(4.5^2))+70*EXP(-(((Inputs!$C$6)+38)^2)/(7^2))*(0.55+0.45*SIN(2*PI()*(Model_Data!A51)/45))+24*SIN(2*PI()*(Inputs!$C$6)/9+(Model_Data!A51)/18)*EXP(-(((Inputs!$C$6)+5)^2)/(22^2))+18*SIN(2*PI()*(Model_Data!A51)/70))+Inputs!$C$28*EXP(-(((Model_Data!A51)-Inputs!$C$29)^2)/(2*Inputs!$C$31^2))*EXP(-(((Inputs!$C$6)-Inputs!$C$30)^2)/(2*Inputs!$C$32^2))+-Inputs!$C$33*EXP(-(((((Model_Data!A51)-Inputs!$C$34)^2)+(((Inputs!$C$6)-Inputs!$C$35)^2))/(2*Inputs!$C$36^2)))+Inputs!$C$37*(0.55*SIN(2*PI()*(Model_Data!A51)/Inputs!$C$39)+0.35*COS(2*PI()*(Inputs!$C$6)/Inputs!$C$40)+0.2*SIN(2*PI()*((Model_Data!A51)+(Inputs!$C$6))/(0.5*(Inputs!$C$39+Inputs!$C$40))))+Inputs!$C$38*SIN(2*PI()*(Model_Data!A51)/Inputs!$C$39)*SIN(2*PI()*(Inputs!$C$6)/Inputs!$C$40)+-Inputs!$C$41*EXP(-(((Inputs!$C$6)-Inputs!$C$43)^2)/(2*Inputs!$C$44^2))*EXP(-(((Model_Data!A51)-Inputs!$C$42)^2)/(2*Inputs!$C$45^2))+Inputs!$C$48*(0.7*(0.45*SIN(2*PI()*(((Model_Data!A51)/Inputs!$C$49)+Inputs!$C$47*0.137))+0.35*COS(2*PI()*(((Inputs!$C$6)/Inputs!$C$50)+Inputs!$C$47*0.173))+0.2*SIN(2*PI()*(((Model_Data!A51)+(Inputs!$C$6))/(0.5*(Inputs!$C$49+Inputs!$C$50))+Inputs!$C$47*0.097)))+0.3*(2*((SIN(((Model_Data!A51)*12.9898+(Inputs!$C$6)*78.233+Inputs!$C$47*37.719))*43758.5453)-INT((SIN(((Model_Data!A51)*12.9898+(Inputs!$C$6)*78.233+Inputs!$C$47*37.719))*43758.5453)))-1)))</f>
        <v>284.9525044866856</v>
      </c>
      <c r="G51" s="9">
        <f>(Inputs!$C$51*(115*EXP(-(((0)-25)^2)/(4.5^2))+70*EXP(-(((0)+38)^2)/(7^2))*(0.55+0.45*SIN(2*PI()*(Model_Data!A51)/45))+24*SIN(2*PI()*(0)/9+(Model_Data!A51)/18)*EXP(-(((0)+5)^2)/(22^2))+18*SIN(2*PI()*(Model_Data!A51)/70))+Inputs!$C$28*EXP(-(((Model_Data!A51)-Inputs!$C$29)^2)/(2*Inputs!$C$31^2))*EXP(-(((0)-Inputs!$C$30)^2)/(2*Inputs!$C$32^2))+-Inputs!$C$33*EXP(-(((((Model_Data!A51)-Inputs!$C$34)^2)+(((0)-Inputs!$C$35)^2))/(2*Inputs!$C$36^2)))+Inputs!$C$37*(0.55*SIN(2*PI()*(Model_Data!A51)/Inputs!$C$39)+0.35*COS(2*PI()*(0)/Inputs!$C$40)+0.2*SIN(2*PI()*((Model_Data!A51)+(0))/(0.5*(Inputs!$C$39+Inputs!$C$40))))+Inputs!$C$38*SIN(2*PI()*(Model_Data!A51)/Inputs!$C$39)*SIN(2*PI()*(0)/Inputs!$C$40)+-Inputs!$C$41*EXP(-(((0)-Inputs!$C$43)^2)/(2*Inputs!$C$44^2))*EXP(-(((Model_Data!A51)-Inputs!$C$42)^2)/(2*Inputs!$C$45^2))+Inputs!$C$48*(0.7*(0.45*SIN(2*PI()*(((Model_Data!A51)/Inputs!$C$49)+Inputs!$C$47*0.137))+0.35*COS(2*PI()*(((0)/Inputs!$C$50)+Inputs!$C$47*0.173))+0.2*SIN(2*PI()*(((Model_Data!A51)+(0))/(0.5*(Inputs!$C$49+Inputs!$C$50))+Inputs!$C$47*0.097)))+0.3*(2*((SIN(((Model_Data!A51)*12.9898+(0)*78.233+Inputs!$C$47*37.719))*43758.5453)-INT((SIN(((Model_Data!A51)*12.9898+(0)*78.233+Inputs!$C$47*37.719))*43758.5453)))-1)))</f>
        <v>-0.63397186114618087</v>
      </c>
      <c r="H51" s="10"/>
      <c r="I51" s="9">
        <f>Model_Data!A51</f>
        <v>-35.5</v>
      </c>
      <c r="J51" s="9">
        <f>(Inputs!$C$51*(115*EXP(-(((Inputs!$C$6)-25)^2)/(4.5^2))+70*EXP(-(((Inputs!$C$6)+38)^2)/(7^2))*(0.55+0.45*SIN(2*PI()*(Model_Data!A51)/45))+24*SIN(2*PI()*(Inputs!$C$6)/9+(Model_Data!A51)/18)*EXP(-(((Inputs!$C$6)+5)^2)/(22^2))+18*SIN(2*PI()*(Model_Data!A51)/70))+Inputs!$C$28*EXP(-(((Model_Data!A51)-Inputs!$C$29)^2)/(2*Inputs!$C$31^2))*EXP(-(((Inputs!$C$6)-Inputs!$C$30)^2)/(2*Inputs!$C$32^2))+-Inputs!$C$33*EXP(-(((((Model_Data!A51)-Inputs!$C$34)^2)+(((Inputs!$C$6)-Inputs!$C$35)^2))/(2*Inputs!$C$36^2)))+Inputs!$C$37*(0.55*SIN(2*PI()*(Model_Data!A51)/Inputs!$C$39)+0.35*COS(2*PI()*(Inputs!$C$6)/Inputs!$C$40)+0.2*SIN(2*PI()*((Model_Data!A51)+(Inputs!$C$6))/(0.5*(Inputs!$C$39+Inputs!$C$40))))+Inputs!$C$38*SIN(2*PI()*(Model_Data!A51)/Inputs!$C$39)*SIN(2*PI()*(Inputs!$C$6)/Inputs!$C$40)+-Inputs!$C$41*EXP(-(((Inputs!$C$6)-Inputs!$C$43)^2)/(2*Inputs!$C$44^2))*EXP(-(((Model_Data!A51)-Inputs!$C$42)^2)/(2*Inputs!$C$45^2))+Inputs!$C$48*(0.7*(0.45*SIN(2*PI()*(((Model_Data!A51)/Inputs!$C$49)+Inputs!$C$47*0.137))+0.35*COS(2*PI()*(((Inputs!$C$6)/Inputs!$C$50)+Inputs!$C$47*0.173))+0.2*SIN(2*PI()*(((Model_Data!A51)+(Inputs!$C$6))/(0.5*(Inputs!$C$49+Inputs!$C$50))+Inputs!$C$47*0.097)))+0.3*(2*((SIN(((Model_Data!A51)*12.9898+(Inputs!$C$6)*78.233+Inputs!$C$47*37.719))*43758.5453)-INT((SIN(((Model_Data!A51)*12.9898+(Inputs!$C$6)*78.233+Inputs!$C$47*37.719))*43758.5453)))-1)))</f>
        <v>284.9525044866856</v>
      </c>
      <c r="K51" s="9">
        <f>-((((SQRT((Model_Data!A51)^2+Inputs!$C$6^2+((Model_Data!B51)-((Inputs!$C$51*(115*EXP(-(((Inputs!$C$6)-25)^2)/(4.5^2))+70*EXP(-(((Inputs!$C$6)+38)^2)/(7^2))*(0.55+0.45*SIN(2*PI()*(Model_Data!A51)/45))+24*SIN(2*PI()*(Inputs!$C$6)/9+(Model_Data!A51)/18)*EXP(-(((Inputs!$C$6)+5)^2)/(22^2))+18*SIN(2*PI()*(Model_Data!A51)/70))+Inputs!$C$28*EXP(-(((Model_Data!A51)-Inputs!$C$29)^2)/(2*Inputs!$C$31^2))*EXP(-(((Inputs!$C$6)-Inputs!$C$30)^2)/(2*Inputs!$C$32^2))+-Inputs!$C$33*EXP(-(((((Model_Data!A51)-Inputs!$C$34)^2)+(((Inputs!$C$6)-Inputs!$C$35)^2))/(2*Inputs!$C$36^2)))+Inputs!$C$37*(0.55*SIN(2*PI()*(Model_Data!A51)/Inputs!$C$39)+0.35*COS(2*PI()*(Inputs!$C$6)/Inputs!$C$40)+0.2*SIN(2*PI()*((Model_Data!A51)+(Inputs!$C$6))/(0.5*(Inputs!$C$39+Inputs!$C$40))))+Inputs!$C$38*SIN(2*PI()*(Model_Data!A51)/Inputs!$C$39)*SIN(2*PI()*(Inputs!$C$6)/Inputs!$C$40)+-Inputs!$C$41*EXP(-(((Inputs!$C$6)-Inputs!$C$43)^2)/(2*Inputs!$C$44^2))*EXP(-(((Model_Data!A51)-Inputs!$C$42)^2)/(2*Inputs!$C$45^2))+Inputs!$C$48*(0.7*(0.45*SIN(2*PI()*(((Model_Data!A51)/Inputs!$C$49)+Inputs!$C$47*0.137))+0.35*COS(2*PI()*(((Inputs!$C$6)/Inputs!$C$50)+Inputs!$C$47*0.173))+0.2*SIN(2*PI()*(((Model_Data!A51)+(Inputs!$C$6))/(0.5*(Inputs!$C$49+Inputs!$C$50))+Inputs!$C$47*0.097)))+0.3*(2*((SIN(((Model_Data!A51)*12.9898+(Inputs!$C$6)*78.233+Inputs!$C$47*37.719))*43758.5453)-INT((SIN(((Model_Data!A51)*12.9898+(Inputs!$C$6)*78.233+Inputs!$C$47*37.719))*43758.5453)))-1))))/1000)^2))-(((Model_Data!B51)-((Inputs!$C$51*(115*EXP(-(((0)-25)^2)/(4.5^2))+70*EXP(-(((0)+38)^2)/(7^2))*(0.55+0.45*SIN(2*PI()*(Model_Data!A51)/45))+24*SIN(2*PI()*(0)/9+(Model_Data!A51)/18)*EXP(-(((0)+5)^2)/(22^2))+18*SIN(2*PI()*(Model_Data!A51)/70))+Inputs!$C$28*EXP(-(((Model_Data!A51)-Inputs!$C$29)^2)/(2*Inputs!$C$31^2))*EXP(-(((0)-Inputs!$C$30)^2)/(2*Inputs!$C$32^2))+-Inputs!$C$33*EXP(-(((((Model_Data!A51)-Inputs!$C$34)^2)+(((0)-Inputs!$C$35)^2))/(2*Inputs!$C$36^2)))+Inputs!$C$37*(0.55*SIN(2*PI()*(Model_Data!A51)/Inputs!$C$39)+0.35*COS(2*PI()*(0)/Inputs!$C$40)+0.2*SIN(2*PI()*((Model_Data!A51)+(0))/(0.5*(Inputs!$C$39+Inputs!$C$40))))+Inputs!$C$38*SIN(2*PI()*(Model_Data!A51)/Inputs!$C$39)*SIN(2*PI()*(0)/Inputs!$C$40)+-Inputs!$C$41*EXP(-(((0)-Inputs!$C$43)^2)/(2*Inputs!$C$44^2))*EXP(-(((Model_Data!A51)-Inputs!$C$42)^2)/(2*Inputs!$C$45^2))+Inputs!$C$48*(0.7*(0.45*SIN(2*PI()*(((Model_Data!A51)/Inputs!$C$49)+Inputs!$C$47*0.137))+0.35*COS(2*PI()*(((0)/Inputs!$C$50)+Inputs!$C$47*0.173))+0.2*SIN(2*PI()*(((Model_Data!A51)+(0))/(0.5*(Inputs!$C$49+Inputs!$C$50))+Inputs!$C$47*0.097)))+0.3*(2*((SIN(((Model_Data!A51)*12.9898+(0)*78.233+Inputs!$C$47*37.719))*43758.5453)-INT((SIN(((Model_Data!A51)*12.9898+(0)*78.233+Inputs!$C$47*37.719))*43758.5453)))-1))))/1000)))*1000/Inputs!$C$12)-Model_Data!F51)</f>
        <v>159.51276529655047</v>
      </c>
      <c r="L51" s="10"/>
      <c r="M51" s="9">
        <f>Model_Data!A51</f>
        <v>-35.5</v>
      </c>
      <c r="N51" s="9">
        <f>Model_Data!P51</f>
        <v>266.17416804735291</v>
      </c>
      <c r="O51" s="9">
        <f t="shared" si="0"/>
        <v>278.14723146866527</v>
      </c>
      <c r="P51" s="9">
        <f>Model_Data!Q51</f>
        <v>39.966091298401338</v>
      </c>
      <c r="Q51" s="9">
        <f t="shared" si="1"/>
        <v>41.76384856886866</v>
      </c>
      <c r="R51" s="10"/>
      <c r="S51" s="9">
        <f>Model_Data!A51</f>
        <v>-35.5</v>
      </c>
      <c r="T51" s="9">
        <f>Model_Data!B51-Inputs!$C$5</f>
        <v>1.4002777777777737</v>
      </c>
      <c r="U51" s="10"/>
      <c r="V51" s="9">
        <f>Model_Data!A51</f>
        <v>-35.5</v>
      </c>
      <c r="W51" s="9">
        <f>((SQRT((Model_Data!A51)^2+Inputs!$C$6^2+Inputs!$C$5^2)-Inputs!$C$5)*1000/Inputs!$C$12)</f>
        <v>1320.0344743489659</v>
      </c>
      <c r="X51" s="9">
        <f>Model_Data!F51</f>
        <v>1315.4563099576765</v>
      </c>
      <c r="Y51" s="10"/>
      <c r="Z51" s="9">
        <f>Model_Data!A51</f>
        <v>-35.5</v>
      </c>
      <c r="AA51" s="9">
        <f>SQRT((Model_Data!A51)^2+Inputs!$C$6^2+((Model_Data!B51)-((Inputs!$C$51*(115*EXP(-(((Inputs!$C$6)-25)^2)/(4.5^2))+70*EXP(-(((Inputs!$C$6)+38)^2)/(7^2))*(0.55+0.45*SIN(2*PI()*(Model_Data!A51)/45))+24*SIN(2*PI()*(Inputs!$C$6)/9+(Model_Data!A51)/18)*EXP(-(((Inputs!$C$6)+5)^2)/(22^2))+18*SIN(2*PI()*(Model_Data!A51)/70))+Inputs!$C$28*EXP(-(((Model_Data!A51)-Inputs!$C$29)^2)/(2*Inputs!$C$31^2))*EXP(-(((Inputs!$C$6)-Inputs!$C$30)^2)/(2*Inputs!$C$32^2))+-Inputs!$C$33*EXP(-(((((Model_Data!A51)-Inputs!$C$34)^2)+(((Inputs!$C$6)-Inputs!$C$35)^2))/(2*Inputs!$C$36^2)))+Inputs!$C$37*(0.55*SIN(2*PI()*(Model_Data!A51)/Inputs!$C$39)+0.35*COS(2*PI()*(Inputs!$C$6)/Inputs!$C$40)+0.2*SIN(2*PI()*((Model_Data!A51)+(Inputs!$C$6))/(0.5*(Inputs!$C$39+Inputs!$C$40))))+Inputs!$C$38*SIN(2*PI()*(Model_Data!A51)/Inputs!$C$39)*SIN(2*PI()*(Inputs!$C$6)/Inputs!$C$40)+-Inputs!$C$41*EXP(-(((Inputs!$C$6)-Inputs!$C$43)^2)/(2*Inputs!$C$44^2))*EXP(-(((Model_Data!A51)-Inputs!$C$42)^2)/(2*Inputs!$C$45^2))+Inputs!$C$48*(0.7*(0.45*SIN(2*PI()*(((Model_Data!A51)/Inputs!$C$49)+Inputs!$C$47*0.137))+0.35*COS(2*PI()*(((Inputs!$C$6)/Inputs!$C$50)+Inputs!$C$47*0.173))+0.2*SIN(2*PI()*(((Model_Data!A51)+(Inputs!$C$6))/(0.5*(Inputs!$C$49+Inputs!$C$50))+Inputs!$C$47*0.097)))+0.3*(2*((SIN(((Model_Data!A51)*12.9898+(Inputs!$C$6)*78.233+Inputs!$C$47*37.719))*43758.5453)-INT((SIN(((Model_Data!A51)*12.9898+(Inputs!$C$6)*78.233+Inputs!$C$47*37.719))*43758.5453)))-1))))/1000)^2)</f>
        <v>403.45849125913571</v>
      </c>
      <c r="AB51" s="9">
        <f>1000*(AA52-AA50)/(Z52-Z50)*Inputs!$C$11</f>
        <v>-695.36807867166317</v>
      </c>
      <c r="AC51" s="9">
        <f>-2*AB51/Inputs!$C$13</f>
        <v>278.14723146866527</v>
      </c>
      <c r="AD51" s="9">
        <f>-2*AB51/Inputs!$C$14</f>
        <v>41.76384856886866</v>
      </c>
    </row>
    <row r="52" spans="1:30">
      <c r="A52" s="9">
        <f>Model_Data!A52</f>
        <v>-35</v>
      </c>
      <c r="B52" s="9">
        <f>((SQRT((Model_Data!A52)^2+Inputs!$C$6^2+Inputs!$C$5^2)-Inputs!$C$5)*1000/Inputs!$C$12)</f>
        <v>1295.4234819262779</v>
      </c>
      <c r="C52" s="9">
        <f>Model_Data!F52</f>
        <v>1291.0554448335768</v>
      </c>
      <c r="D52" s="9">
        <f>(((SQRT((Model_Data!A52)^2+Inputs!$C$6^2+((Model_Data!B52)-((Inputs!$C$51*(115*EXP(-(((Inputs!$C$6)-25)^2)/(4.5^2))+70*EXP(-(((Inputs!$C$6)+38)^2)/(7^2))*(0.55+0.45*SIN(2*PI()*(Model_Data!A52)/45))+24*SIN(2*PI()*(Inputs!$C$6)/9+(Model_Data!A52)/18)*EXP(-(((Inputs!$C$6)+5)^2)/(22^2))+18*SIN(2*PI()*(Model_Data!A52)/70))+Inputs!$C$28*EXP(-(((Model_Data!A52)-Inputs!$C$29)^2)/(2*Inputs!$C$31^2))*EXP(-(((Inputs!$C$6)-Inputs!$C$30)^2)/(2*Inputs!$C$32^2))+-Inputs!$C$33*EXP(-(((((Model_Data!A52)-Inputs!$C$34)^2)+(((Inputs!$C$6)-Inputs!$C$35)^2))/(2*Inputs!$C$36^2)))+Inputs!$C$37*(0.55*SIN(2*PI()*(Model_Data!A52)/Inputs!$C$39)+0.35*COS(2*PI()*(Inputs!$C$6)/Inputs!$C$40)+0.2*SIN(2*PI()*((Model_Data!A52)+(Inputs!$C$6))/(0.5*(Inputs!$C$39+Inputs!$C$40))))+Inputs!$C$38*SIN(2*PI()*(Model_Data!A52)/Inputs!$C$39)*SIN(2*PI()*(Inputs!$C$6)/Inputs!$C$40)+-Inputs!$C$41*EXP(-(((Inputs!$C$6)-Inputs!$C$43)^2)/(2*Inputs!$C$44^2))*EXP(-(((Model_Data!A52)-Inputs!$C$42)^2)/(2*Inputs!$C$45^2))+Inputs!$C$48*(0.7*(0.45*SIN(2*PI()*(((Model_Data!A52)/Inputs!$C$49)+Inputs!$C$47*0.137))+0.35*COS(2*PI()*(((Inputs!$C$6)/Inputs!$C$50)+Inputs!$C$47*0.173))+0.2*SIN(2*PI()*(((Model_Data!A52)+(Inputs!$C$6))/(0.5*(Inputs!$C$49+Inputs!$C$50))+Inputs!$C$47*0.097)))+0.3*(2*((SIN(((Model_Data!A52)*12.9898+(Inputs!$C$6)*78.233+Inputs!$C$47*37.719))*43758.5453)-INT((SIN(((Model_Data!A52)*12.9898+(Inputs!$C$6)*78.233+Inputs!$C$47*37.719))*43758.5453)))-1))))/1000)^2))-(((Model_Data!B52)-((Inputs!$C$51*(115*EXP(-(((0)-25)^2)/(4.5^2))+70*EXP(-(((0)+38)^2)/(7^2))*(0.55+0.45*SIN(2*PI()*(Model_Data!A52)/45))+24*SIN(2*PI()*(0)/9+(Model_Data!A52)/18)*EXP(-(((0)+5)^2)/(22^2))+18*SIN(2*PI()*(Model_Data!A52)/70))+Inputs!$C$28*EXP(-(((Model_Data!A52)-Inputs!$C$29)^2)/(2*Inputs!$C$31^2))*EXP(-(((0)-Inputs!$C$30)^2)/(2*Inputs!$C$32^2))+-Inputs!$C$33*EXP(-(((((Model_Data!A52)-Inputs!$C$34)^2)+(((0)-Inputs!$C$35)^2))/(2*Inputs!$C$36^2)))+Inputs!$C$37*(0.55*SIN(2*PI()*(Model_Data!A52)/Inputs!$C$39)+0.35*COS(2*PI()*(0)/Inputs!$C$40)+0.2*SIN(2*PI()*((Model_Data!A52)+(0))/(0.5*(Inputs!$C$39+Inputs!$C$40))))+Inputs!$C$38*SIN(2*PI()*(Model_Data!A52)/Inputs!$C$39)*SIN(2*PI()*(0)/Inputs!$C$40)+-Inputs!$C$41*EXP(-(((0)-Inputs!$C$43)^2)/(2*Inputs!$C$44^2))*EXP(-(((Model_Data!A52)-Inputs!$C$42)^2)/(2*Inputs!$C$45^2))+Inputs!$C$48*(0.7*(0.45*SIN(2*PI()*(((Model_Data!A52)/Inputs!$C$49)+Inputs!$C$47*0.137))+0.35*COS(2*PI()*(((0)/Inputs!$C$50)+Inputs!$C$47*0.173))+0.2*SIN(2*PI()*(((Model_Data!A52)+(0))/(0.5*(Inputs!$C$49+Inputs!$C$50))+Inputs!$C$47*0.097)))+0.3*(2*((SIN(((Model_Data!A52)*12.9898+(0)*78.233+Inputs!$C$47*37.719))*43758.5453)-INT((SIN(((Model_Data!A52)*12.9898+(0)*78.233+Inputs!$C$47*37.719))*43758.5453)))-1))))/1000)))*1000/Inputs!$C$12)</f>
        <v>1128.7954861009457</v>
      </c>
      <c r="E52" s="9">
        <f>Model_Data!A52</f>
        <v>-35</v>
      </c>
      <c r="F52" s="9">
        <f>(Inputs!$C$51*(115*EXP(-(((Inputs!$C$6)-25)^2)/(4.5^2))+70*EXP(-(((Inputs!$C$6)+38)^2)/(7^2))*(0.55+0.45*SIN(2*PI()*(Model_Data!A52)/45))+24*SIN(2*PI()*(Inputs!$C$6)/9+(Model_Data!A52)/18)*EXP(-(((Inputs!$C$6)+5)^2)/(22^2))+18*SIN(2*PI()*(Model_Data!A52)/70))+Inputs!$C$28*EXP(-(((Model_Data!A52)-Inputs!$C$29)^2)/(2*Inputs!$C$31^2))*EXP(-(((Inputs!$C$6)-Inputs!$C$30)^2)/(2*Inputs!$C$32^2))+-Inputs!$C$33*EXP(-(((((Model_Data!A52)-Inputs!$C$34)^2)+(((Inputs!$C$6)-Inputs!$C$35)^2))/(2*Inputs!$C$36^2)))+Inputs!$C$37*(0.55*SIN(2*PI()*(Model_Data!A52)/Inputs!$C$39)+0.35*COS(2*PI()*(Inputs!$C$6)/Inputs!$C$40)+0.2*SIN(2*PI()*((Model_Data!A52)+(Inputs!$C$6))/(0.5*(Inputs!$C$39+Inputs!$C$40))))+Inputs!$C$38*SIN(2*PI()*(Model_Data!A52)/Inputs!$C$39)*SIN(2*PI()*(Inputs!$C$6)/Inputs!$C$40)+-Inputs!$C$41*EXP(-(((Inputs!$C$6)-Inputs!$C$43)^2)/(2*Inputs!$C$44^2))*EXP(-(((Model_Data!A52)-Inputs!$C$42)^2)/(2*Inputs!$C$45^2))+Inputs!$C$48*(0.7*(0.45*SIN(2*PI()*(((Model_Data!A52)/Inputs!$C$49)+Inputs!$C$47*0.137))+0.35*COS(2*PI()*(((Inputs!$C$6)/Inputs!$C$50)+Inputs!$C$47*0.173))+0.2*SIN(2*PI()*(((Model_Data!A52)+(Inputs!$C$6))/(0.5*(Inputs!$C$49+Inputs!$C$50))+Inputs!$C$47*0.097)))+0.3*(2*((SIN(((Model_Data!A52)*12.9898+(Inputs!$C$6)*78.233+Inputs!$C$47*37.719))*43758.5453)-INT((SIN(((Model_Data!A52)*12.9898+(Inputs!$C$6)*78.233+Inputs!$C$47*37.719))*43758.5453)))-1)))</f>
        <v>280.71344003936963</v>
      </c>
      <c r="G52" s="9">
        <f>(Inputs!$C$51*(115*EXP(-(((0)-25)^2)/(4.5^2))+70*EXP(-(((0)+38)^2)/(7^2))*(0.55+0.45*SIN(2*PI()*(Model_Data!A52)/45))+24*SIN(2*PI()*(0)/9+(Model_Data!A52)/18)*EXP(-(((0)+5)^2)/(22^2))+18*SIN(2*PI()*(Model_Data!A52)/70))+Inputs!$C$28*EXP(-(((Model_Data!A52)-Inputs!$C$29)^2)/(2*Inputs!$C$31^2))*EXP(-(((0)-Inputs!$C$30)^2)/(2*Inputs!$C$32^2))+-Inputs!$C$33*EXP(-(((((Model_Data!A52)-Inputs!$C$34)^2)+(((0)-Inputs!$C$35)^2))/(2*Inputs!$C$36^2)))+Inputs!$C$37*(0.55*SIN(2*PI()*(Model_Data!A52)/Inputs!$C$39)+0.35*COS(2*PI()*(0)/Inputs!$C$40)+0.2*SIN(2*PI()*((Model_Data!A52)+(0))/(0.5*(Inputs!$C$39+Inputs!$C$40))))+Inputs!$C$38*SIN(2*PI()*(Model_Data!A52)/Inputs!$C$39)*SIN(2*PI()*(0)/Inputs!$C$40)+-Inputs!$C$41*EXP(-(((0)-Inputs!$C$43)^2)/(2*Inputs!$C$44^2))*EXP(-(((Model_Data!A52)-Inputs!$C$42)^2)/(2*Inputs!$C$45^2))+Inputs!$C$48*(0.7*(0.45*SIN(2*PI()*(((Model_Data!A52)/Inputs!$C$49)+Inputs!$C$47*0.137))+0.35*COS(2*PI()*(((0)/Inputs!$C$50)+Inputs!$C$47*0.173))+0.2*SIN(2*PI()*(((Model_Data!A52)+(0))/(0.5*(Inputs!$C$49+Inputs!$C$50))+Inputs!$C$47*0.097)))+0.3*(2*((SIN(((Model_Data!A52)*12.9898+(0)*78.233+Inputs!$C$47*37.719))*43758.5453)-INT((SIN(((Model_Data!A52)*12.9898+(0)*78.233+Inputs!$C$47*37.719))*43758.5453)))-1)))</f>
        <v>-9.7085297317811534</v>
      </c>
      <c r="H52" s="10"/>
      <c r="I52" s="9">
        <f>Model_Data!A52</f>
        <v>-35</v>
      </c>
      <c r="J52" s="9">
        <f>(Inputs!$C$51*(115*EXP(-(((Inputs!$C$6)-25)^2)/(4.5^2))+70*EXP(-(((Inputs!$C$6)+38)^2)/(7^2))*(0.55+0.45*SIN(2*PI()*(Model_Data!A52)/45))+24*SIN(2*PI()*(Inputs!$C$6)/9+(Model_Data!A52)/18)*EXP(-(((Inputs!$C$6)+5)^2)/(22^2))+18*SIN(2*PI()*(Model_Data!A52)/70))+Inputs!$C$28*EXP(-(((Model_Data!A52)-Inputs!$C$29)^2)/(2*Inputs!$C$31^2))*EXP(-(((Inputs!$C$6)-Inputs!$C$30)^2)/(2*Inputs!$C$32^2))+-Inputs!$C$33*EXP(-(((((Model_Data!A52)-Inputs!$C$34)^2)+(((Inputs!$C$6)-Inputs!$C$35)^2))/(2*Inputs!$C$36^2)))+Inputs!$C$37*(0.55*SIN(2*PI()*(Model_Data!A52)/Inputs!$C$39)+0.35*COS(2*PI()*(Inputs!$C$6)/Inputs!$C$40)+0.2*SIN(2*PI()*((Model_Data!A52)+(Inputs!$C$6))/(0.5*(Inputs!$C$39+Inputs!$C$40))))+Inputs!$C$38*SIN(2*PI()*(Model_Data!A52)/Inputs!$C$39)*SIN(2*PI()*(Inputs!$C$6)/Inputs!$C$40)+-Inputs!$C$41*EXP(-(((Inputs!$C$6)-Inputs!$C$43)^2)/(2*Inputs!$C$44^2))*EXP(-(((Model_Data!A52)-Inputs!$C$42)^2)/(2*Inputs!$C$45^2))+Inputs!$C$48*(0.7*(0.45*SIN(2*PI()*(((Model_Data!A52)/Inputs!$C$49)+Inputs!$C$47*0.137))+0.35*COS(2*PI()*(((Inputs!$C$6)/Inputs!$C$50)+Inputs!$C$47*0.173))+0.2*SIN(2*PI()*(((Model_Data!A52)+(Inputs!$C$6))/(0.5*(Inputs!$C$49+Inputs!$C$50))+Inputs!$C$47*0.097)))+0.3*(2*((SIN(((Model_Data!A52)*12.9898+(Inputs!$C$6)*78.233+Inputs!$C$47*37.719))*43758.5453)-INT((SIN(((Model_Data!A52)*12.9898+(Inputs!$C$6)*78.233+Inputs!$C$47*37.719))*43758.5453)))-1)))</f>
        <v>280.71344003936963</v>
      </c>
      <c r="K52" s="9">
        <f>-((((SQRT((Model_Data!A52)^2+Inputs!$C$6^2+((Model_Data!B52)-((Inputs!$C$51*(115*EXP(-(((Inputs!$C$6)-25)^2)/(4.5^2))+70*EXP(-(((Inputs!$C$6)+38)^2)/(7^2))*(0.55+0.45*SIN(2*PI()*(Model_Data!A52)/45))+24*SIN(2*PI()*(Inputs!$C$6)/9+(Model_Data!A52)/18)*EXP(-(((Inputs!$C$6)+5)^2)/(22^2))+18*SIN(2*PI()*(Model_Data!A52)/70))+Inputs!$C$28*EXP(-(((Model_Data!A52)-Inputs!$C$29)^2)/(2*Inputs!$C$31^2))*EXP(-(((Inputs!$C$6)-Inputs!$C$30)^2)/(2*Inputs!$C$32^2))+-Inputs!$C$33*EXP(-(((((Model_Data!A52)-Inputs!$C$34)^2)+(((Inputs!$C$6)-Inputs!$C$35)^2))/(2*Inputs!$C$36^2)))+Inputs!$C$37*(0.55*SIN(2*PI()*(Model_Data!A52)/Inputs!$C$39)+0.35*COS(2*PI()*(Inputs!$C$6)/Inputs!$C$40)+0.2*SIN(2*PI()*((Model_Data!A52)+(Inputs!$C$6))/(0.5*(Inputs!$C$39+Inputs!$C$40))))+Inputs!$C$38*SIN(2*PI()*(Model_Data!A52)/Inputs!$C$39)*SIN(2*PI()*(Inputs!$C$6)/Inputs!$C$40)+-Inputs!$C$41*EXP(-(((Inputs!$C$6)-Inputs!$C$43)^2)/(2*Inputs!$C$44^2))*EXP(-(((Model_Data!A52)-Inputs!$C$42)^2)/(2*Inputs!$C$45^2))+Inputs!$C$48*(0.7*(0.45*SIN(2*PI()*(((Model_Data!A52)/Inputs!$C$49)+Inputs!$C$47*0.137))+0.35*COS(2*PI()*(((Inputs!$C$6)/Inputs!$C$50)+Inputs!$C$47*0.173))+0.2*SIN(2*PI()*(((Model_Data!A52)+(Inputs!$C$6))/(0.5*(Inputs!$C$49+Inputs!$C$50))+Inputs!$C$47*0.097)))+0.3*(2*((SIN(((Model_Data!A52)*12.9898+(Inputs!$C$6)*78.233+Inputs!$C$47*37.719))*43758.5453)-INT((SIN(((Model_Data!A52)*12.9898+(Inputs!$C$6)*78.233+Inputs!$C$47*37.719))*43758.5453)))-1))))/1000)^2))-(((Model_Data!B52)-((Inputs!$C$51*(115*EXP(-(((0)-25)^2)/(4.5^2))+70*EXP(-(((0)+38)^2)/(7^2))*(0.55+0.45*SIN(2*PI()*(Model_Data!A52)/45))+24*SIN(2*PI()*(0)/9+(Model_Data!A52)/18)*EXP(-(((0)+5)^2)/(22^2))+18*SIN(2*PI()*(Model_Data!A52)/70))+Inputs!$C$28*EXP(-(((Model_Data!A52)-Inputs!$C$29)^2)/(2*Inputs!$C$31^2))*EXP(-(((0)-Inputs!$C$30)^2)/(2*Inputs!$C$32^2))+-Inputs!$C$33*EXP(-(((((Model_Data!A52)-Inputs!$C$34)^2)+(((0)-Inputs!$C$35)^2))/(2*Inputs!$C$36^2)))+Inputs!$C$37*(0.55*SIN(2*PI()*(Model_Data!A52)/Inputs!$C$39)+0.35*COS(2*PI()*(0)/Inputs!$C$40)+0.2*SIN(2*PI()*((Model_Data!A52)+(0))/(0.5*(Inputs!$C$39+Inputs!$C$40))))+Inputs!$C$38*SIN(2*PI()*(Model_Data!A52)/Inputs!$C$39)*SIN(2*PI()*(0)/Inputs!$C$40)+-Inputs!$C$41*EXP(-(((0)-Inputs!$C$43)^2)/(2*Inputs!$C$44^2))*EXP(-(((Model_Data!A52)-Inputs!$C$42)^2)/(2*Inputs!$C$45^2))+Inputs!$C$48*(0.7*(0.45*SIN(2*PI()*(((Model_Data!A52)/Inputs!$C$49)+Inputs!$C$47*0.137))+0.35*COS(2*PI()*(((0)/Inputs!$C$50)+Inputs!$C$47*0.173))+0.2*SIN(2*PI()*(((Model_Data!A52)+(0))/(0.5*(Inputs!$C$49+Inputs!$C$50))+Inputs!$C$47*0.097)))+0.3*(2*((SIN(((Model_Data!A52)*12.9898+(0)*78.233+Inputs!$C$47*37.719))*43758.5453)-INT((SIN(((Model_Data!A52)*12.9898+(0)*78.233+Inputs!$C$47*37.719))*43758.5453)))-1))))/1000)))*1000/Inputs!$C$12)-Model_Data!F52)</f>
        <v>162.25995873263105</v>
      </c>
      <c r="L52" s="10"/>
      <c r="M52" s="9">
        <f>Model_Data!A52</f>
        <v>-35</v>
      </c>
      <c r="N52" s="9">
        <f>Model_Data!P52</f>
        <v>262.46686108039677</v>
      </c>
      <c r="O52" s="9">
        <f t="shared" si="0"/>
        <v>312.46198385997559</v>
      </c>
      <c r="P52" s="9">
        <f>Model_Data!Q52</f>
        <v>39.409438600660174</v>
      </c>
      <c r="Q52" s="9">
        <f t="shared" si="1"/>
        <v>46.916213792789129</v>
      </c>
      <c r="R52" s="10"/>
      <c r="S52" s="9">
        <f>Model_Data!A52</f>
        <v>-35</v>
      </c>
      <c r="T52" s="9">
        <f>Model_Data!B52-Inputs!$C$5</f>
        <v>1.3611111111110858</v>
      </c>
      <c r="U52" s="10"/>
      <c r="V52" s="9">
        <f>Model_Data!A52</f>
        <v>-35</v>
      </c>
      <c r="W52" s="9">
        <f>((SQRT((Model_Data!A52)^2+Inputs!$C$6^2+Inputs!$C$5^2)-Inputs!$C$5)*1000/Inputs!$C$12)</f>
        <v>1295.4234819262779</v>
      </c>
      <c r="X52" s="9">
        <f>Model_Data!F52</f>
        <v>1291.0554448335768</v>
      </c>
      <c r="Y52" s="10"/>
      <c r="Z52" s="9">
        <f>Model_Data!A52</f>
        <v>-35</v>
      </c>
      <c r="AA52" s="9">
        <f>SQRT((Model_Data!A52)^2+Inputs!$C$6^2+((Model_Data!B52)-((Inputs!$C$51*(115*EXP(-(((Inputs!$C$6)-25)^2)/(4.5^2))+70*EXP(-(((Inputs!$C$6)+38)^2)/(7^2))*(0.55+0.45*SIN(2*PI()*(Model_Data!A52)/45))+24*SIN(2*PI()*(Inputs!$C$6)/9+(Model_Data!A52)/18)*EXP(-(((Inputs!$C$6)+5)^2)/(22^2))+18*SIN(2*PI()*(Model_Data!A52)/70))+Inputs!$C$28*EXP(-(((Model_Data!A52)-Inputs!$C$29)^2)/(2*Inputs!$C$31^2))*EXP(-(((Inputs!$C$6)-Inputs!$C$30)^2)/(2*Inputs!$C$32^2))+-Inputs!$C$33*EXP(-(((((Model_Data!A52)-Inputs!$C$34)^2)+(((Inputs!$C$6)-Inputs!$C$35)^2))/(2*Inputs!$C$36^2)))+Inputs!$C$37*(0.55*SIN(2*PI()*(Model_Data!A52)/Inputs!$C$39)+0.35*COS(2*PI()*(Inputs!$C$6)/Inputs!$C$40)+0.2*SIN(2*PI()*((Model_Data!A52)+(Inputs!$C$6))/(0.5*(Inputs!$C$39+Inputs!$C$40))))+Inputs!$C$38*SIN(2*PI()*(Model_Data!A52)/Inputs!$C$39)*SIN(2*PI()*(Inputs!$C$6)/Inputs!$C$40)+-Inputs!$C$41*EXP(-(((Inputs!$C$6)-Inputs!$C$43)^2)/(2*Inputs!$C$44^2))*EXP(-(((Model_Data!A52)-Inputs!$C$42)^2)/(2*Inputs!$C$45^2))+Inputs!$C$48*(0.7*(0.45*SIN(2*PI()*(((Model_Data!A52)/Inputs!$C$49)+Inputs!$C$47*0.137))+0.35*COS(2*PI()*(((Inputs!$C$6)/Inputs!$C$50)+Inputs!$C$47*0.173))+0.2*SIN(2*PI()*(((Model_Data!A52)+(Inputs!$C$6))/(0.5*(Inputs!$C$49+Inputs!$C$50))+Inputs!$C$47*0.097)))+0.3*(2*((SIN(((Model_Data!A52)*12.9898+(Inputs!$C$6)*78.233+Inputs!$C$47*37.719))*43758.5453)-INT((SIN(((Model_Data!A52)*12.9898+(Inputs!$C$6)*78.233+Inputs!$C$47*37.719))*43758.5453)))-1))))/1000)^2)</f>
        <v>403.38007560610254</v>
      </c>
      <c r="AB52" s="9">
        <f>1000*(AA53-AA51)/(Z53-Z51)*Inputs!$C$11</f>
        <v>-781.15495964993897</v>
      </c>
      <c r="AC52" s="9">
        <f>-2*AB52/Inputs!$C$13</f>
        <v>312.46198385997559</v>
      </c>
      <c r="AD52" s="9">
        <f>-2*AB52/Inputs!$C$14</f>
        <v>46.916213792789129</v>
      </c>
    </row>
    <row r="53" spans="1:30">
      <c r="A53" s="9">
        <f>Model_Data!A53</f>
        <v>-34.5</v>
      </c>
      <c r="B53" s="9">
        <f>((SQRT((Model_Data!A53)^2+Inputs!$C$6^2+Inputs!$C$5^2)-Inputs!$C$5)*1000/Inputs!$C$12)</f>
        <v>1271.158958142609</v>
      </c>
      <c r="C53" s="9">
        <f>Model_Data!F53</f>
        <v>1266.9934849810077</v>
      </c>
      <c r="D53" s="9">
        <f>(((SQRT((Model_Data!A53)^2+Inputs!$C$6^2+((Model_Data!B53)-((Inputs!$C$51*(115*EXP(-(((Inputs!$C$6)-25)^2)/(4.5^2))+70*EXP(-(((Inputs!$C$6)+38)^2)/(7^2))*(0.55+0.45*SIN(2*PI()*(Model_Data!A53)/45))+24*SIN(2*PI()*(Inputs!$C$6)/9+(Model_Data!A53)/18)*EXP(-(((Inputs!$C$6)+5)^2)/(22^2))+18*SIN(2*PI()*(Model_Data!A53)/70))+Inputs!$C$28*EXP(-(((Model_Data!A53)-Inputs!$C$29)^2)/(2*Inputs!$C$31^2))*EXP(-(((Inputs!$C$6)-Inputs!$C$30)^2)/(2*Inputs!$C$32^2))+-Inputs!$C$33*EXP(-(((((Model_Data!A53)-Inputs!$C$34)^2)+(((Inputs!$C$6)-Inputs!$C$35)^2))/(2*Inputs!$C$36^2)))+Inputs!$C$37*(0.55*SIN(2*PI()*(Model_Data!A53)/Inputs!$C$39)+0.35*COS(2*PI()*(Inputs!$C$6)/Inputs!$C$40)+0.2*SIN(2*PI()*((Model_Data!A53)+(Inputs!$C$6))/(0.5*(Inputs!$C$39+Inputs!$C$40))))+Inputs!$C$38*SIN(2*PI()*(Model_Data!A53)/Inputs!$C$39)*SIN(2*PI()*(Inputs!$C$6)/Inputs!$C$40)+-Inputs!$C$41*EXP(-(((Inputs!$C$6)-Inputs!$C$43)^2)/(2*Inputs!$C$44^2))*EXP(-(((Model_Data!A53)-Inputs!$C$42)^2)/(2*Inputs!$C$45^2))+Inputs!$C$48*(0.7*(0.45*SIN(2*PI()*(((Model_Data!A53)/Inputs!$C$49)+Inputs!$C$47*0.137))+0.35*COS(2*PI()*(((Inputs!$C$6)/Inputs!$C$50)+Inputs!$C$47*0.173))+0.2*SIN(2*PI()*(((Model_Data!A53)+(Inputs!$C$6))/(0.5*(Inputs!$C$49+Inputs!$C$50))+Inputs!$C$47*0.097)))+0.3*(2*((SIN(((Model_Data!A53)*12.9898+(Inputs!$C$6)*78.233+Inputs!$C$47*37.719))*43758.5453)-INT((SIN(((Model_Data!A53)*12.9898+(Inputs!$C$6)*78.233+Inputs!$C$47*37.719))*43758.5453)))-1))))/1000)^2))-(((Model_Data!B53)-((Inputs!$C$51*(115*EXP(-(((0)-25)^2)/(4.5^2))+70*EXP(-(((0)+38)^2)/(7^2))*(0.55+0.45*SIN(2*PI()*(Model_Data!A53)/45))+24*SIN(2*PI()*(0)/9+(Model_Data!A53)/18)*EXP(-(((0)+5)^2)/(22^2))+18*SIN(2*PI()*(Model_Data!A53)/70))+Inputs!$C$28*EXP(-(((Model_Data!A53)-Inputs!$C$29)^2)/(2*Inputs!$C$31^2))*EXP(-(((0)-Inputs!$C$30)^2)/(2*Inputs!$C$32^2))+-Inputs!$C$33*EXP(-(((((Model_Data!A53)-Inputs!$C$34)^2)+(((0)-Inputs!$C$35)^2))/(2*Inputs!$C$36^2)))+Inputs!$C$37*(0.55*SIN(2*PI()*(Model_Data!A53)/Inputs!$C$39)+0.35*COS(2*PI()*(0)/Inputs!$C$40)+0.2*SIN(2*PI()*((Model_Data!A53)+(0))/(0.5*(Inputs!$C$39+Inputs!$C$40))))+Inputs!$C$38*SIN(2*PI()*(Model_Data!A53)/Inputs!$C$39)*SIN(2*PI()*(0)/Inputs!$C$40)+-Inputs!$C$41*EXP(-(((0)-Inputs!$C$43)^2)/(2*Inputs!$C$44^2))*EXP(-(((Model_Data!A53)-Inputs!$C$42)^2)/(2*Inputs!$C$45^2))+Inputs!$C$48*(0.7*(0.45*SIN(2*PI()*(((Model_Data!A53)/Inputs!$C$49)+Inputs!$C$47*0.137))+0.35*COS(2*PI()*(((0)/Inputs!$C$50)+Inputs!$C$47*0.173))+0.2*SIN(2*PI()*(((Model_Data!A53)+(0))/(0.5*(Inputs!$C$49+Inputs!$C$50))+Inputs!$C$47*0.097)))+0.3*(2*((SIN(((Model_Data!A53)*12.9898+(0)*78.233+Inputs!$C$47*37.719))*43758.5453)-INT((SIN(((Model_Data!A53)*12.9898+(0)*78.233+Inputs!$C$47*37.719))*43758.5453)))-1))))/1000)))*1000/Inputs!$C$12)</f>
        <v>1084.7431844923497</v>
      </c>
      <c r="E53" s="9">
        <f>Model_Data!A53</f>
        <v>-34.5</v>
      </c>
      <c r="F53" s="9">
        <f>(Inputs!$C$51*(115*EXP(-(((Inputs!$C$6)-25)^2)/(4.5^2))+70*EXP(-(((Inputs!$C$6)+38)^2)/(7^2))*(0.55+0.45*SIN(2*PI()*(Model_Data!A53)/45))+24*SIN(2*PI()*(Inputs!$C$6)/9+(Model_Data!A53)/18)*EXP(-(((Inputs!$C$6)+5)^2)/(22^2))+18*SIN(2*PI()*(Model_Data!A53)/70))+Inputs!$C$28*EXP(-(((Model_Data!A53)-Inputs!$C$29)^2)/(2*Inputs!$C$31^2))*EXP(-(((Inputs!$C$6)-Inputs!$C$30)^2)/(2*Inputs!$C$32^2))+-Inputs!$C$33*EXP(-(((((Model_Data!A53)-Inputs!$C$34)^2)+(((Inputs!$C$6)-Inputs!$C$35)^2))/(2*Inputs!$C$36^2)))+Inputs!$C$37*(0.55*SIN(2*PI()*(Model_Data!A53)/Inputs!$C$39)+0.35*COS(2*PI()*(Inputs!$C$6)/Inputs!$C$40)+0.2*SIN(2*PI()*((Model_Data!A53)+(Inputs!$C$6))/(0.5*(Inputs!$C$39+Inputs!$C$40))))+Inputs!$C$38*SIN(2*PI()*(Model_Data!A53)/Inputs!$C$39)*SIN(2*PI()*(Inputs!$C$6)/Inputs!$C$40)+-Inputs!$C$41*EXP(-(((Inputs!$C$6)-Inputs!$C$43)^2)/(2*Inputs!$C$44^2))*EXP(-(((Model_Data!A53)-Inputs!$C$42)^2)/(2*Inputs!$C$45^2))+Inputs!$C$48*(0.7*(0.45*SIN(2*PI()*(((Model_Data!A53)/Inputs!$C$49)+Inputs!$C$47*0.137))+0.35*COS(2*PI()*(((Inputs!$C$6)/Inputs!$C$50)+Inputs!$C$47*0.173))+0.2*SIN(2*PI()*(((Model_Data!A53)+(Inputs!$C$6))/(0.5*(Inputs!$C$49+Inputs!$C$50))+Inputs!$C$47*0.097)))+0.3*(2*((SIN(((Model_Data!A53)*12.9898+(Inputs!$C$6)*78.233+Inputs!$C$47*37.719))*43758.5453)-INT((SIN(((Model_Data!A53)*12.9898+(Inputs!$C$6)*78.233+Inputs!$C$47*37.719))*43758.5453)))-1)))</f>
        <v>316.31487804948046</v>
      </c>
      <c r="G53" s="9">
        <f>(Inputs!$C$51*(115*EXP(-(((0)-25)^2)/(4.5^2))+70*EXP(-(((0)+38)^2)/(7^2))*(0.55+0.45*SIN(2*PI()*(Model_Data!A53)/45))+24*SIN(2*PI()*(0)/9+(Model_Data!A53)/18)*EXP(-(((0)+5)^2)/(22^2))+18*SIN(2*PI()*(Model_Data!A53)/70))+Inputs!$C$28*EXP(-(((Model_Data!A53)-Inputs!$C$29)^2)/(2*Inputs!$C$31^2))*EXP(-(((0)-Inputs!$C$30)^2)/(2*Inputs!$C$32^2))+-Inputs!$C$33*EXP(-(((((Model_Data!A53)-Inputs!$C$34)^2)+(((0)-Inputs!$C$35)^2))/(2*Inputs!$C$36^2)))+Inputs!$C$37*(0.55*SIN(2*PI()*(Model_Data!A53)/Inputs!$C$39)+0.35*COS(2*PI()*(0)/Inputs!$C$40)+0.2*SIN(2*PI()*((Model_Data!A53)+(0))/(0.5*(Inputs!$C$39+Inputs!$C$40))))+Inputs!$C$38*SIN(2*PI()*(Model_Data!A53)/Inputs!$C$39)*SIN(2*PI()*(0)/Inputs!$C$40)+-Inputs!$C$41*EXP(-(((0)-Inputs!$C$43)^2)/(2*Inputs!$C$44^2))*EXP(-(((Model_Data!A53)-Inputs!$C$42)^2)/(2*Inputs!$C$45^2))+Inputs!$C$48*(0.7*(0.45*SIN(2*PI()*(((Model_Data!A53)/Inputs!$C$49)+Inputs!$C$47*0.137))+0.35*COS(2*PI()*(((0)/Inputs!$C$50)+Inputs!$C$47*0.173))+0.2*SIN(2*PI()*(((Model_Data!A53)+(0))/(0.5*(Inputs!$C$49+Inputs!$C$50))+Inputs!$C$47*0.097)))+0.3*(2*((SIN(((Model_Data!A53)*12.9898+(0)*78.233+Inputs!$C$47*37.719))*43758.5453)-INT((SIN(((Model_Data!A53)*12.9898+(0)*78.233+Inputs!$C$47*37.719))*43758.5453)))-1)))</f>
        <v>-9.8596508268729295</v>
      </c>
      <c r="H53" s="10"/>
      <c r="I53" s="9">
        <f>Model_Data!A53</f>
        <v>-34.5</v>
      </c>
      <c r="J53" s="9">
        <f>(Inputs!$C$51*(115*EXP(-(((Inputs!$C$6)-25)^2)/(4.5^2))+70*EXP(-(((Inputs!$C$6)+38)^2)/(7^2))*(0.55+0.45*SIN(2*PI()*(Model_Data!A53)/45))+24*SIN(2*PI()*(Inputs!$C$6)/9+(Model_Data!A53)/18)*EXP(-(((Inputs!$C$6)+5)^2)/(22^2))+18*SIN(2*PI()*(Model_Data!A53)/70))+Inputs!$C$28*EXP(-(((Model_Data!A53)-Inputs!$C$29)^2)/(2*Inputs!$C$31^2))*EXP(-(((Inputs!$C$6)-Inputs!$C$30)^2)/(2*Inputs!$C$32^2))+-Inputs!$C$33*EXP(-(((((Model_Data!A53)-Inputs!$C$34)^2)+(((Inputs!$C$6)-Inputs!$C$35)^2))/(2*Inputs!$C$36^2)))+Inputs!$C$37*(0.55*SIN(2*PI()*(Model_Data!A53)/Inputs!$C$39)+0.35*COS(2*PI()*(Inputs!$C$6)/Inputs!$C$40)+0.2*SIN(2*PI()*((Model_Data!A53)+(Inputs!$C$6))/(0.5*(Inputs!$C$39+Inputs!$C$40))))+Inputs!$C$38*SIN(2*PI()*(Model_Data!A53)/Inputs!$C$39)*SIN(2*PI()*(Inputs!$C$6)/Inputs!$C$40)+-Inputs!$C$41*EXP(-(((Inputs!$C$6)-Inputs!$C$43)^2)/(2*Inputs!$C$44^2))*EXP(-(((Model_Data!A53)-Inputs!$C$42)^2)/(2*Inputs!$C$45^2))+Inputs!$C$48*(0.7*(0.45*SIN(2*PI()*(((Model_Data!A53)/Inputs!$C$49)+Inputs!$C$47*0.137))+0.35*COS(2*PI()*(((Inputs!$C$6)/Inputs!$C$50)+Inputs!$C$47*0.173))+0.2*SIN(2*PI()*(((Model_Data!A53)+(Inputs!$C$6))/(0.5*(Inputs!$C$49+Inputs!$C$50))+Inputs!$C$47*0.097)))+0.3*(2*((SIN(((Model_Data!A53)*12.9898+(Inputs!$C$6)*78.233+Inputs!$C$47*37.719))*43758.5453)-INT((SIN(((Model_Data!A53)*12.9898+(Inputs!$C$6)*78.233+Inputs!$C$47*37.719))*43758.5453)))-1)))</f>
        <v>316.31487804948046</v>
      </c>
      <c r="K53" s="9">
        <f>-((((SQRT((Model_Data!A53)^2+Inputs!$C$6^2+((Model_Data!B53)-((Inputs!$C$51*(115*EXP(-(((Inputs!$C$6)-25)^2)/(4.5^2))+70*EXP(-(((Inputs!$C$6)+38)^2)/(7^2))*(0.55+0.45*SIN(2*PI()*(Model_Data!A53)/45))+24*SIN(2*PI()*(Inputs!$C$6)/9+(Model_Data!A53)/18)*EXP(-(((Inputs!$C$6)+5)^2)/(22^2))+18*SIN(2*PI()*(Model_Data!A53)/70))+Inputs!$C$28*EXP(-(((Model_Data!A53)-Inputs!$C$29)^2)/(2*Inputs!$C$31^2))*EXP(-(((Inputs!$C$6)-Inputs!$C$30)^2)/(2*Inputs!$C$32^2))+-Inputs!$C$33*EXP(-(((((Model_Data!A53)-Inputs!$C$34)^2)+(((Inputs!$C$6)-Inputs!$C$35)^2))/(2*Inputs!$C$36^2)))+Inputs!$C$37*(0.55*SIN(2*PI()*(Model_Data!A53)/Inputs!$C$39)+0.35*COS(2*PI()*(Inputs!$C$6)/Inputs!$C$40)+0.2*SIN(2*PI()*((Model_Data!A53)+(Inputs!$C$6))/(0.5*(Inputs!$C$39+Inputs!$C$40))))+Inputs!$C$38*SIN(2*PI()*(Model_Data!A53)/Inputs!$C$39)*SIN(2*PI()*(Inputs!$C$6)/Inputs!$C$40)+-Inputs!$C$41*EXP(-(((Inputs!$C$6)-Inputs!$C$43)^2)/(2*Inputs!$C$44^2))*EXP(-(((Model_Data!A53)-Inputs!$C$42)^2)/(2*Inputs!$C$45^2))+Inputs!$C$48*(0.7*(0.45*SIN(2*PI()*(((Model_Data!A53)/Inputs!$C$49)+Inputs!$C$47*0.137))+0.35*COS(2*PI()*(((Inputs!$C$6)/Inputs!$C$50)+Inputs!$C$47*0.173))+0.2*SIN(2*PI()*(((Model_Data!A53)+(Inputs!$C$6))/(0.5*(Inputs!$C$49+Inputs!$C$50))+Inputs!$C$47*0.097)))+0.3*(2*((SIN(((Model_Data!A53)*12.9898+(Inputs!$C$6)*78.233+Inputs!$C$47*37.719))*43758.5453)-INT((SIN(((Model_Data!A53)*12.9898+(Inputs!$C$6)*78.233+Inputs!$C$47*37.719))*43758.5453)))-1))))/1000)^2))-(((Model_Data!B53)-((Inputs!$C$51*(115*EXP(-(((0)-25)^2)/(4.5^2))+70*EXP(-(((0)+38)^2)/(7^2))*(0.55+0.45*SIN(2*PI()*(Model_Data!A53)/45))+24*SIN(2*PI()*(0)/9+(Model_Data!A53)/18)*EXP(-(((0)+5)^2)/(22^2))+18*SIN(2*PI()*(Model_Data!A53)/70))+Inputs!$C$28*EXP(-(((Model_Data!A53)-Inputs!$C$29)^2)/(2*Inputs!$C$31^2))*EXP(-(((0)-Inputs!$C$30)^2)/(2*Inputs!$C$32^2))+-Inputs!$C$33*EXP(-(((((Model_Data!A53)-Inputs!$C$34)^2)+(((0)-Inputs!$C$35)^2))/(2*Inputs!$C$36^2)))+Inputs!$C$37*(0.55*SIN(2*PI()*(Model_Data!A53)/Inputs!$C$39)+0.35*COS(2*PI()*(0)/Inputs!$C$40)+0.2*SIN(2*PI()*((Model_Data!A53)+(0))/(0.5*(Inputs!$C$39+Inputs!$C$40))))+Inputs!$C$38*SIN(2*PI()*(Model_Data!A53)/Inputs!$C$39)*SIN(2*PI()*(0)/Inputs!$C$40)+-Inputs!$C$41*EXP(-(((0)-Inputs!$C$43)^2)/(2*Inputs!$C$44^2))*EXP(-(((Model_Data!A53)-Inputs!$C$42)^2)/(2*Inputs!$C$45^2))+Inputs!$C$48*(0.7*(0.45*SIN(2*PI()*(((Model_Data!A53)/Inputs!$C$49)+Inputs!$C$47*0.137))+0.35*COS(2*PI()*(((0)/Inputs!$C$50)+Inputs!$C$47*0.173))+0.2*SIN(2*PI()*(((Model_Data!A53)+(0))/(0.5*(Inputs!$C$49+Inputs!$C$50))+Inputs!$C$47*0.097)))+0.3*(2*((SIN(((Model_Data!A53)*12.9898+(0)*78.233+Inputs!$C$47*37.719))*43758.5453)-INT((SIN(((Model_Data!A53)*12.9898+(0)*78.233+Inputs!$C$47*37.719))*43758.5453)))-1))))/1000)))*1000/Inputs!$C$12)-Model_Data!F53)</f>
        <v>182.25030048865801</v>
      </c>
      <c r="L53" s="10"/>
      <c r="M53" s="9">
        <f>Model_Data!A53</f>
        <v>-34.5</v>
      </c>
      <c r="N53" s="9">
        <f>Model_Data!P53</f>
        <v>258.75780750177796</v>
      </c>
      <c r="O53" s="9">
        <f t="shared" si="0"/>
        <v>320.43401522751083</v>
      </c>
      <c r="P53" s="9">
        <f>Model_Data!Q53</f>
        <v>38.852523648915614</v>
      </c>
      <c r="Q53" s="9">
        <f t="shared" si="1"/>
        <v>48.113215499626257</v>
      </c>
      <c r="R53" s="10"/>
      <c r="S53" s="9">
        <f>Model_Data!A53</f>
        <v>-34.5</v>
      </c>
      <c r="T53" s="9">
        <f>Model_Data!B53-Inputs!$C$5</f>
        <v>1.3224999999999909</v>
      </c>
      <c r="U53" s="10"/>
      <c r="V53" s="9">
        <f>Model_Data!A53</f>
        <v>-34.5</v>
      </c>
      <c r="W53" s="9">
        <f>((SQRT((Model_Data!A53)^2+Inputs!$C$6^2+Inputs!$C$5^2)-Inputs!$C$5)*1000/Inputs!$C$12)</f>
        <v>1271.158958142609</v>
      </c>
      <c r="X53" s="9">
        <f>Model_Data!F53</f>
        <v>1266.9934849810077</v>
      </c>
      <c r="Y53" s="10"/>
      <c r="Z53" s="9">
        <f>Model_Data!A53</f>
        <v>-34.5</v>
      </c>
      <c r="AA53" s="9">
        <f>SQRT((Model_Data!A53)^2+Inputs!$C$6^2+((Model_Data!B53)-((Inputs!$C$51*(115*EXP(-(((Inputs!$C$6)-25)^2)/(4.5^2))+70*EXP(-(((Inputs!$C$6)+38)^2)/(7^2))*(0.55+0.45*SIN(2*PI()*(Model_Data!A53)/45))+24*SIN(2*PI()*(Inputs!$C$6)/9+(Model_Data!A53)/18)*EXP(-(((Inputs!$C$6)+5)^2)/(22^2))+18*SIN(2*PI()*(Model_Data!A53)/70))+Inputs!$C$28*EXP(-(((Model_Data!A53)-Inputs!$C$29)^2)/(2*Inputs!$C$31^2))*EXP(-(((Inputs!$C$6)-Inputs!$C$30)^2)/(2*Inputs!$C$32^2))+-Inputs!$C$33*EXP(-(((((Model_Data!A53)-Inputs!$C$34)^2)+(((Inputs!$C$6)-Inputs!$C$35)^2))/(2*Inputs!$C$36^2)))+Inputs!$C$37*(0.55*SIN(2*PI()*(Model_Data!A53)/Inputs!$C$39)+0.35*COS(2*PI()*(Inputs!$C$6)/Inputs!$C$40)+0.2*SIN(2*PI()*((Model_Data!A53)+(Inputs!$C$6))/(0.5*(Inputs!$C$39+Inputs!$C$40))))+Inputs!$C$38*SIN(2*PI()*(Model_Data!A53)/Inputs!$C$39)*SIN(2*PI()*(Inputs!$C$6)/Inputs!$C$40)+-Inputs!$C$41*EXP(-(((Inputs!$C$6)-Inputs!$C$43)^2)/(2*Inputs!$C$44^2))*EXP(-(((Model_Data!A53)-Inputs!$C$42)^2)/(2*Inputs!$C$45^2))+Inputs!$C$48*(0.7*(0.45*SIN(2*PI()*(((Model_Data!A53)/Inputs!$C$49)+Inputs!$C$47*0.137))+0.35*COS(2*PI()*(((Inputs!$C$6)/Inputs!$C$50)+Inputs!$C$47*0.173))+0.2*SIN(2*PI()*(((Model_Data!A53)+(Inputs!$C$6))/(0.5*(Inputs!$C$49+Inputs!$C$50))+Inputs!$C$47*0.097)))+0.3*(2*((SIN(((Model_Data!A53)*12.9898+(Inputs!$C$6)*78.233+Inputs!$C$47*37.719))*43758.5453)-INT((SIN(((Model_Data!A53)*12.9898+(Inputs!$C$6)*78.233+Inputs!$C$47*37.719))*43758.5453)))-1))))/1000)^2)</f>
        <v>403.26320251922323</v>
      </c>
      <c r="AB53" s="9">
        <f>1000*(AA54-AA52)/(Z54-Z52)*Inputs!$C$11</f>
        <v>-801.08503806877707</v>
      </c>
      <c r="AC53" s="9">
        <f>-2*AB53/Inputs!$C$13</f>
        <v>320.43401522751083</v>
      </c>
      <c r="AD53" s="9">
        <f>-2*AB53/Inputs!$C$14</f>
        <v>48.113215499626257</v>
      </c>
    </row>
    <row r="54" spans="1:30">
      <c r="A54" s="9">
        <f>Model_Data!A54</f>
        <v>-34</v>
      </c>
      <c r="B54" s="9">
        <f>((SQRT((Model_Data!A54)^2+Inputs!$C$6^2+Inputs!$C$5^2)-Inputs!$C$5)*1000/Inputs!$C$12)</f>
        <v>1247.2410146105549</v>
      </c>
      <c r="C54" s="9">
        <f>Model_Data!F54</f>
        <v>1243.2707350015928</v>
      </c>
      <c r="D54" s="9">
        <f>(((SQRT((Model_Data!A54)^2+Inputs!$C$6^2+((Model_Data!B54)-((Inputs!$C$51*(115*EXP(-(((Inputs!$C$6)-25)^2)/(4.5^2))+70*EXP(-(((Inputs!$C$6)+38)^2)/(7^2))*(0.55+0.45*SIN(2*PI()*(Model_Data!A54)/45))+24*SIN(2*PI()*(Inputs!$C$6)/9+(Model_Data!A54)/18)*EXP(-(((Inputs!$C$6)+5)^2)/(22^2))+18*SIN(2*PI()*(Model_Data!A54)/70))+Inputs!$C$28*EXP(-(((Model_Data!A54)-Inputs!$C$29)^2)/(2*Inputs!$C$31^2))*EXP(-(((Inputs!$C$6)-Inputs!$C$30)^2)/(2*Inputs!$C$32^2))+-Inputs!$C$33*EXP(-(((((Model_Data!A54)-Inputs!$C$34)^2)+(((Inputs!$C$6)-Inputs!$C$35)^2))/(2*Inputs!$C$36^2)))+Inputs!$C$37*(0.55*SIN(2*PI()*(Model_Data!A54)/Inputs!$C$39)+0.35*COS(2*PI()*(Inputs!$C$6)/Inputs!$C$40)+0.2*SIN(2*PI()*((Model_Data!A54)+(Inputs!$C$6))/(0.5*(Inputs!$C$39+Inputs!$C$40))))+Inputs!$C$38*SIN(2*PI()*(Model_Data!A54)/Inputs!$C$39)*SIN(2*PI()*(Inputs!$C$6)/Inputs!$C$40)+-Inputs!$C$41*EXP(-(((Inputs!$C$6)-Inputs!$C$43)^2)/(2*Inputs!$C$44^2))*EXP(-(((Model_Data!A54)-Inputs!$C$42)^2)/(2*Inputs!$C$45^2))+Inputs!$C$48*(0.7*(0.45*SIN(2*PI()*(((Model_Data!A54)/Inputs!$C$49)+Inputs!$C$47*0.137))+0.35*COS(2*PI()*(((Inputs!$C$6)/Inputs!$C$50)+Inputs!$C$47*0.173))+0.2*SIN(2*PI()*(((Model_Data!A54)+(Inputs!$C$6))/(0.5*(Inputs!$C$49+Inputs!$C$50))+Inputs!$C$47*0.097)))+0.3*(2*((SIN(((Model_Data!A54)*12.9898+(Inputs!$C$6)*78.233+Inputs!$C$47*37.719))*43758.5453)-INT((SIN(((Model_Data!A54)*12.9898+(Inputs!$C$6)*78.233+Inputs!$C$47*37.719))*43758.5453)))-1))))/1000)^2))-(((Model_Data!B54)-((Inputs!$C$51*(115*EXP(-(((0)-25)^2)/(4.5^2))+70*EXP(-(((0)+38)^2)/(7^2))*(0.55+0.45*SIN(2*PI()*(Model_Data!A54)/45))+24*SIN(2*PI()*(0)/9+(Model_Data!A54)/18)*EXP(-(((0)+5)^2)/(22^2))+18*SIN(2*PI()*(Model_Data!A54)/70))+Inputs!$C$28*EXP(-(((Model_Data!A54)-Inputs!$C$29)^2)/(2*Inputs!$C$31^2))*EXP(-(((0)-Inputs!$C$30)^2)/(2*Inputs!$C$32^2))+-Inputs!$C$33*EXP(-(((((Model_Data!A54)-Inputs!$C$34)^2)+(((0)-Inputs!$C$35)^2))/(2*Inputs!$C$36^2)))+Inputs!$C$37*(0.55*SIN(2*PI()*(Model_Data!A54)/Inputs!$C$39)+0.35*COS(2*PI()*(0)/Inputs!$C$40)+0.2*SIN(2*PI()*((Model_Data!A54)+(0))/(0.5*(Inputs!$C$39+Inputs!$C$40))))+Inputs!$C$38*SIN(2*PI()*(Model_Data!A54)/Inputs!$C$39)*SIN(2*PI()*(0)/Inputs!$C$40)+-Inputs!$C$41*EXP(-(((0)-Inputs!$C$43)^2)/(2*Inputs!$C$44^2))*EXP(-(((Model_Data!A54)-Inputs!$C$42)^2)/(2*Inputs!$C$45^2))+Inputs!$C$48*(0.7*(0.45*SIN(2*PI()*(((Model_Data!A54)/Inputs!$C$49)+Inputs!$C$47*0.137))+0.35*COS(2*PI()*(((0)/Inputs!$C$50)+Inputs!$C$47*0.173))+0.2*SIN(2*PI()*(((Model_Data!A54)+(0))/(0.5*(Inputs!$C$49+Inputs!$C$50))+Inputs!$C$47*0.097)))+0.3*(2*((SIN(((Model_Data!A54)*12.9898+(0)*78.233+Inputs!$C$47*37.719))*43758.5453)-INT((SIN(((Model_Data!A54)*12.9898+(0)*78.233+Inputs!$C$47*37.719))*43758.5453)))-1))))/1000)))*1000/Inputs!$C$12)</f>
        <v>1064.939955704323</v>
      </c>
      <c r="E54" s="9">
        <f>Model_Data!A54</f>
        <v>-34</v>
      </c>
      <c r="F54" s="9">
        <f>(Inputs!$C$51*(115*EXP(-(((Inputs!$C$6)-25)^2)/(4.5^2))+70*EXP(-(((Inputs!$C$6)+38)^2)/(7^2))*(0.55+0.45*SIN(2*PI()*(Model_Data!A54)/45))+24*SIN(2*PI()*(Inputs!$C$6)/9+(Model_Data!A54)/18)*EXP(-(((Inputs!$C$6)+5)^2)/(22^2))+18*SIN(2*PI()*(Model_Data!A54)/70))+Inputs!$C$28*EXP(-(((Model_Data!A54)-Inputs!$C$29)^2)/(2*Inputs!$C$31^2))*EXP(-(((Inputs!$C$6)-Inputs!$C$30)^2)/(2*Inputs!$C$32^2))+-Inputs!$C$33*EXP(-(((((Model_Data!A54)-Inputs!$C$34)^2)+(((Inputs!$C$6)-Inputs!$C$35)^2))/(2*Inputs!$C$36^2)))+Inputs!$C$37*(0.55*SIN(2*PI()*(Model_Data!A54)/Inputs!$C$39)+0.35*COS(2*PI()*(Inputs!$C$6)/Inputs!$C$40)+0.2*SIN(2*PI()*((Model_Data!A54)+(Inputs!$C$6))/(0.5*(Inputs!$C$39+Inputs!$C$40))))+Inputs!$C$38*SIN(2*PI()*(Model_Data!A54)/Inputs!$C$39)*SIN(2*PI()*(Inputs!$C$6)/Inputs!$C$40)+-Inputs!$C$41*EXP(-(((Inputs!$C$6)-Inputs!$C$43)^2)/(2*Inputs!$C$44^2))*EXP(-(((Model_Data!A54)-Inputs!$C$42)^2)/(2*Inputs!$C$45^2))+Inputs!$C$48*(0.7*(0.45*SIN(2*PI()*(((Model_Data!A54)/Inputs!$C$49)+Inputs!$C$47*0.137))+0.35*COS(2*PI()*(((Inputs!$C$6)/Inputs!$C$50)+Inputs!$C$47*0.173))+0.2*SIN(2*PI()*(((Model_Data!A54)+(Inputs!$C$6))/(0.5*(Inputs!$C$49+Inputs!$C$50))+Inputs!$C$47*0.097)))+0.3*(2*((SIN(((Model_Data!A54)*12.9898+(Inputs!$C$6)*78.233+Inputs!$C$47*37.719))*43758.5453)-INT((SIN(((Model_Data!A54)*12.9898+(Inputs!$C$6)*78.233+Inputs!$C$47*37.719))*43758.5453)))-1)))</f>
        <v>319.41525492664545</v>
      </c>
      <c r="G54" s="9">
        <f>(Inputs!$C$51*(115*EXP(-(((0)-25)^2)/(4.5^2))+70*EXP(-(((0)+38)^2)/(7^2))*(0.55+0.45*SIN(2*PI()*(Model_Data!A54)/45))+24*SIN(2*PI()*(0)/9+(Model_Data!A54)/18)*EXP(-(((0)+5)^2)/(22^2))+18*SIN(2*PI()*(Model_Data!A54)/70))+Inputs!$C$28*EXP(-(((Model_Data!A54)-Inputs!$C$29)^2)/(2*Inputs!$C$31^2))*EXP(-(((0)-Inputs!$C$30)^2)/(2*Inputs!$C$32^2))+-Inputs!$C$33*EXP(-(((((Model_Data!A54)-Inputs!$C$34)^2)+(((0)-Inputs!$C$35)^2))/(2*Inputs!$C$36^2)))+Inputs!$C$37*(0.55*SIN(2*PI()*(Model_Data!A54)/Inputs!$C$39)+0.35*COS(2*PI()*(0)/Inputs!$C$40)+0.2*SIN(2*PI()*((Model_Data!A54)+(0))/(0.5*(Inputs!$C$39+Inputs!$C$40))))+Inputs!$C$38*SIN(2*PI()*(Model_Data!A54)/Inputs!$C$39)*SIN(2*PI()*(0)/Inputs!$C$40)+-Inputs!$C$41*EXP(-(((0)-Inputs!$C$43)^2)/(2*Inputs!$C$44^2))*EXP(-(((Model_Data!A54)-Inputs!$C$42)^2)/(2*Inputs!$C$45^2))+Inputs!$C$48*(0.7*(0.45*SIN(2*PI()*(((Model_Data!A54)/Inputs!$C$49)+Inputs!$C$47*0.137))+0.35*COS(2*PI()*(((0)/Inputs!$C$50)+Inputs!$C$47*0.173))+0.2*SIN(2*PI()*(((Model_Data!A54)+(0))/(0.5*(Inputs!$C$49+Inputs!$C$50))+Inputs!$C$47*0.097)))+0.3*(2*((SIN(((Model_Data!A54)*12.9898+(0)*78.233+Inputs!$C$47*37.719))*43758.5453)-INT((SIN(((Model_Data!A54)*12.9898+(0)*78.233+Inputs!$C$47*37.719))*43758.5453)))-1)))</f>
        <v>0.233219012771956</v>
      </c>
      <c r="H54" s="10"/>
      <c r="I54" s="9">
        <f>Model_Data!A54</f>
        <v>-34</v>
      </c>
      <c r="J54" s="9">
        <f>(Inputs!$C$51*(115*EXP(-(((Inputs!$C$6)-25)^2)/(4.5^2))+70*EXP(-(((Inputs!$C$6)+38)^2)/(7^2))*(0.55+0.45*SIN(2*PI()*(Model_Data!A54)/45))+24*SIN(2*PI()*(Inputs!$C$6)/9+(Model_Data!A54)/18)*EXP(-(((Inputs!$C$6)+5)^2)/(22^2))+18*SIN(2*PI()*(Model_Data!A54)/70))+Inputs!$C$28*EXP(-(((Model_Data!A54)-Inputs!$C$29)^2)/(2*Inputs!$C$31^2))*EXP(-(((Inputs!$C$6)-Inputs!$C$30)^2)/(2*Inputs!$C$32^2))+-Inputs!$C$33*EXP(-(((((Model_Data!A54)-Inputs!$C$34)^2)+(((Inputs!$C$6)-Inputs!$C$35)^2))/(2*Inputs!$C$36^2)))+Inputs!$C$37*(0.55*SIN(2*PI()*(Model_Data!A54)/Inputs!$C$39)+0.35*COS(2*PI()*(Inputs!$C$6)/Inputs!$C$40)+0.2*SIN(2*PI()*((Model_Data!A54)+(Inputs!$C$6))/(0.5*(Inputs!$C$39+Inputs!$C$40))))+Inputs!$C$38*SIN(2*PI()*(Model_Data!A54)/Inputs!$C$39)*SIN(2*PI()*(Inputs!$C$6)/Inputs!$C$40)+-Inputs!$C$41*EXP(-(((Inputs!$C$6)-Inputs!$C$43)^2)/(2*Inputs!$C$44^2))*EXP(-(((Model_Data!A54)-Inputs!$C$42)^2)/(2*Inputs!$C$45^2))+Inputs!$C$48*(0.7*(0.45*SIN(2*PI()*(((Model_Data!A54)/Inputs!$C$49)+Inputs!$C$47*0.137))+0.35*COS(2*PI()*(((Inputs!$C$6)/Inputs!$C$50)+Inputs!$C$47*0.173))+0.2*SIN(2*PI()*(((Model_Data!A54)+(Inputs!$C$6))/(0.5*(Inputs!$C$49+Inputs!$C$50))+Inputs!$C$47*0.097)))+0.3*(2*((SIN(((Model_Data!A54)*12.9898+(Inputs!$C$6)*78.233+Inputs!$C$47*37.719))*43758.5453)-INT((SIN(((Model_Data!A54)*12.9898+(Inputs!$C$6)*78.233+Inputs!$C$47*37.719))*43758.5453)))-1)))</f>
        <v>319.41525492664545</v>
      </c>
      <c r="K54" s="9">
        <f>-((((SQRT((Model_Data!A54)^2+Inputs!$C$6^2+((Model_Data!B54)-((Inputs!$C$51*(115*EXP(-(((Inputs!$C$6)-25)^2)/(4.5^2))+70*EXP(-(((Inputs!$C$6)+38)^2)/(7^2))*(0.55+0.45*SIN(2*PI()*(Model_Data!A54)/45))+24*SIN(2*PI()*(Inputs!$C$6)/9+(Model_Data!A54)/18)*EXP(-(((Inputs!$C$6)+5)^2)/(22^2))+18*SIN(2*PI()*(Model_Data!A54)/70))+Inputs!$C$28*EXP(-(((Model_Data!A54)-Inputs!$C$29)^2)/(2*Inputs!$C$31^2))*EXP(-(((Inputs!$C$6)-Inputs!$C$30)^2)/(2*Inputs!$C$32^2))+-Inputs!$C$33*EXP(-(((((Model_Data!A54)-Inputs!$C$34)^2)+(((Inputs!$C$6)-Inputs!$C$35)^2))/(2*Inputs!$C$36^2)))+Inputs!$C$37*(0.55*SIN(2*PI()*(Model_Data!A54)/Inputs!$C$39)+0.35*COS(2*PI()*(Inputs!$C$6)/Inputs!$C$40)+0.2*SIN(2*PI()*((Model_Data!A54)+(Inputs!$C$6))/(0.5*(Inputs!$C$39+Inputs!$C$40))))+Inputs!$C$38*SIN(2*PI()*(Model_Data!A54)/Inputs!$C$39)*SIN(2*PI()*(Inputs!$C$6)/Inputs!$C$40)+-Inputs!$C$41*EXP(-(((Inputs!$C$6)-Inputs!$C$43)^2)/(2*Inputs!$C$44^2))*EXP(-(((Model_Data!A54)-Inputs!$C$42)^2)/(2*Inputs!$C$45^2))+Inputs!$C$48*(0.7*(0.45*SIN(2*PI()*(((Model_Data!A54)/Inputs!$C$49)+Inputs!$C$47*0.137))+0.35*COS(2*PI()*(((Inputs!$C$6)/Inputs!$C$50)+Inputs!$C$47*0.173))+0.2*SIN(2*PI()*(((Model_Data!A54)+(Inputs!$C$6))/(0.5*(Inputs!$C$49+Inputs!$C$50))+Inputs!$C$47*0.097)))+0.3*(2*((SIN(((Model_Data!A54)*12.9898+(Inputs!$C$6)*78.233+Inputs!$C$47*37.719))*43758.5453)-INT((SIN(((Model_Data!A54)*12.9898+(Inputs!$C$6)*78.233+Inputs!$C$47*37.719))*43758.5453)))-1))))/1000)^2))-(((Model_Data!B54)-((Inputs!$C$51*(115*EXP(-(((0)-25)^2)/(4.5^2))+70*EXP(-(((0)+38)^2)/(7^2))*(0.55+0.45*SIN(2*PI()*(Model_Data!A54)/45))+24*SIN(2*PI()*(0)/9+(Model_Data!A54)/18)*EXP(-(((0)+5)^2)/(22^2))+18*SIN(2*PI()*(Model_Data!A54)/70))+Inputs!$C$28*EXP(-(((Model_Data!A54)-Inputs!$C$29)^2)/(2*Inputs!$C$31^2))*EXP(-(((0)-Inputs!$C$30)^2)/(2*Inputs!$C$32^2))+-Inputs!$C$33*EXP(-(((((Model_Data!A54)-Inputs!$C$34)^2)+(((0)-Inputs!$C$35)^2))/(2*Inputs!$C$36^2)))+Inputs!$C$37*(0.55*SIN(2*PI()*(Model_Data!A54)/Inputs!$C$39)+0.35*COS(2*PI()*(0)/Inputs!$C$40)+0.2*SIN(2*PI()*((Model_Data!A54)+(0))/(0.5*(Inputs!$C$39+Inputs!$C$40))))+Inputs!$C$38*SIN(2*PI()*(Model_Data!A54)/Inputs!$C$39)*SIN(2*PI()*(0)/Inputs!$C$40)+-Inputs!$C$41*EXP(-(((0)-Inputs!$C$43)^2)/(2*Inputs!$C$44^2))*EXP(-(((Model_Data!A54)-Inputs!$C$42)^2)/(2*Inputs!$C$45^2))+Inputs!$C$48*(0.7*(0.45*SIN(2*PI()*(((Model_Data!A54)/Inputs!$C$49)+Inputs!$C$47*0.137))+0.35*COS(2*PI()*(((0)/Inputs!$C$50)+Inputs!$C$47*0.173))+0.2*SIN(2*PI()*(((Model_Data!A54)+(0))/(0.5*(Inputs!$C$49+Inputs!$C$50))+Inputs!$C$47*0.097)))+0.3*(2*((SIN(((Model_Data!A54)*12.9898+(0)*78.233+Inputs!$C$47*37.719))*43758.5453)-INT((SIN(((Model_Data!A54)*12.9898+(0)*78.233+Inputs!$C$47*37.719))*43758.5453)))-1))))/1000)))*1000/Inputs!$C$12)-Model_Data!F54)</f>
        <v>178.33077929726983</v>
      </c>
      <c r="L54" s="10"/>
      <c r="M54" s="9">
        <f>Model_Data!A54</f>
        <v>-34</v>
      </c>
      <c r="N54" s="9">
        <f>Model_Data!P54</f>
        <v>255.04703052414416</v>
      </c>
      <c r="O54" s="9">
        <f t="shared" si="0"/>
        <v>274.45415602614958</v>
      </c>
      <c r="P54" s="9">
        <f>Model_Data!Q54</f>
        <v>38.295349928550174</v>
      </c>
      <c r="Q54" s="9">
        <f t="shared" si="1"/>
        <v>41.2093327366591</v>
      </c>
      <c r="R54" s="10"/>
      <c r="S54" s="9">
        <f>Model_Data!A54</f>
        <v>-34</v>
      </c>
      <c r="T54" s="9">
        <f>Model_Data!B54-Inputs!$C$5</f>
        <v>1.2844444444444321</v>
      </c>
      <c r="U54" s="10"/>
      <c r="V54" s="9">
        <f>Model_Data!A54</f>
        <v>-34</v>
      </c>
      <c r="W54" s="9">
        <f>((SQRT((Model_Data!A54)^2+Inputs!$C$6^2+Inputs!$C$5^2)-Inputs!$C$5)*1000/Inputs!$C$12)</f>
        <v>1247.2410146105549</v>
      </c>
      <c r="X54" s="9">
        <f>Model_Data!F54</f>
        <v>1243.2707350015928</v>
      </c>
      <c r="Y54" s="10"/>
      <c r="Z54" s="9">
        <f>Model_Data!A54</f>
        <v>-34</v>
      </c>
      <c r="AA54" s="9">
        <f>SQRT((Model_Data!A54)^2+Inputs!$C$6^2+((Model_Data!B54)-((Inputs!$C$51*(115*EXP(-(((Inputs!$C$6)-25)^2)/(4.5^2))+70*EXP(-(((Inputs!$C$6)+38)^2)/(7^2))*(0.55+0.45*SIN(2*PI()*(Model_Data!A54)/45))+24*SIN(2*PI()*(Inputs!$C$6)/9+(Model_Data!A54)/18)*EXP(-(((Inputs!$C$6)+5)^2)/(22^2))+18*SIN(2*PI()*(Model_Data!A54)/70))+Inputs!$C$28*EXP(-(((Model_Data!A54)-Inputs!$C$29)^2)/(2*Inputs!$C$31^2))*EXP(-(((Inputs!$C$6)-Inputs!$C$30)^2)/(2*Inputs!$C$32^2))+-Inputs!$C$33*EXP(-(((((Model_Data!A54)-Inputs!$C$34)^2)+(((Inputs!$C$6)-Inputs!$C$35)^2))/(2*Inputs!$C$36^2)))+Inputs!$C$37*(0.55*SIN(2*PI()*(Model_Data!A54)/Inputs!$C$39)+0.35*COS(2*PI()*(Inputs!$C$6)/Inputs!$C$40)+0.2*SIN(2*PI()*((Model_Data!A54)+(Inputs!$C$6))/(0.5*(Inputs!$C$39+Inputs!$C$40))))+Inputs!$C$38*SIN(2*PI()*(Model_Data!A54)/Inputs!$C$39)*SIN(2*PI()*(Inputs!$C$6)/Inputs!$C$40)+-Inputs!$C$41*EXP(-(((Inputs!$C$6)-Inputs!$C$43)^2)/(2*Inputs!$C$44^2))*EXP(-(((Model_Data!A54)-Inputs!$C$42)^2)/(2*Inputs!$C$45^2))+Inputs!$C$48*(0.7*(0.45*SIN(2*PI()*(((Model_Data!A54)/Inputs!$C$49)+Inputs!$C$47*0.137))+0.35*COS(2*PI()*(((Inputs!$C$6)/Inputs!$C$50)+Inputs!$C$47*0.173))+0.2*SIN(2*PI()*(((Model_Data!A54)+(Inputs!$C$6))/(0.5*(Inputs!$C$49+Inputs!$C$50))+Inputs!$C$47*0.097)))+0.3*(2*((SIN(((Model_Data!A54)*12.9898+(Inputs!$C$6)*78.233+Inputs!$C$47*37.719))*43758.5453)-INT((SIN(((Model_Data!A54)*12.9898+(Inputs!$C$6)*78.233+Inputs!$C$47*37.719))*43758.5453)))-1))))/1000)^2)</f>
        <v>403.17980434658534</v>
      </c>
      <c r="AB54" s="9">
        <f>1000*(AA55-AA53)/(Z55-Z53)*Inputs!$C$11</f>
        <v>-686.13539006537394</v>
      </c>
      <c r="AC54" s="9">
        <f>-2*AB54/Inputs!$C$13</f>
        <v>274.45415602614958</v>
      </c>
      <c r="AD54" s="9">
        <f>-2*AB54/Inputs!$C$14</f>
        <v>41.2093327366591</v>
      </c>
    </row>
    <row r="55" spans="1:30">
      <c r="A55" s="9">
        <f>Model_Data!A55</f>
        <v>-33.5</v>
      </c>
      <c r="B55" s="9">
        <f>((SQRT((Model_Data!A55)^2+Inputs!$C$6^2+Inputs!$C$5^2)-Inputs!$C$5)*1000/Inputs!$C$12)</f>
        <v>1223.6697613953572</v>
      </c>
      <c r="C55" s="9">
        <f>Model_Data!F55</f>
        <v>1219.8874954154699</v>
      </c>
      <c r="D55" s="9">
        <f>(((SQRT((Model_Data!A55)^2+Inputs!$C$6^2+((Model_Data!B55)-((Inputs!$C$51*(115*EXP(-(((Inputs!$C$6)-25)^2)/(4.5^2))+70*EXP(-(((Inputs!$C$6)+38)^2)/(7^2))*(0.55+0.45*SIN(2*PI()*(Model_Data!A55)/45))+24*SIN(2*PI()*(Inputs!$C$6)/9+(Model_Data!A55)/18)*EXP(-(((Inputs!$C$6)+5)^2)/(22^2))+18*SIN(2*PI()*(Model_Data!A55)/70))+Inputs!$C$28*EXP(-(((Model_Data!A55)-Inputs!$C$29)^2)/(2*Inputs!$C$31^2))*EXP(-(((Inputs!$C$6)-Inputs!$C$30)^2)/(2*Inputs!$C$32^2))+-Inputs!$C$33*EXP(-(((((Model_Data!A55)-Inputs!$C$34)^2)+(((Inputs!$C$6)-Inputs!$C$35)^2))/(2*Inputs!$C$36^2)))+Inputs!$C$37*(0.55*SIN(2*PI()*(Model_Data!A55)/Inputs!$C$39)+0.35*COS(2*PI()*(Inputs!$C$6)/Inputs!$C$40)+0.2*SIN(2*PI()*((Model_Data!A55)+(Inputs!$C$6))/(0.5*(Inputs!$C$39+Inputs!$C$40))))+Inputs!$C$38*SIN(2*PI()*(Model_Data!A55)/Inputs!$C$39)*SIN(2*PI()*(Inputs!$C$6)/Inputs!$C$40)+-Inputs!$C$41*EXP(-(((Inputs!$C$6)-Inputs!$C$43)^2)/(2*Inputs!$C$44^2))*EXP(-(((Model_Data!A55)-Inputs!$C$42)^2)/(2*Inputs!$C$45^2))+Inputs!$C$48*(0.7*(0.45*SIN(2*PI()*(((Model_Data!A55)/Inputs!$C$49)+Inputs!$C$47*0.137))+0.35*COS(2*PI()*(((Inputs!$C$6)/Inputs!$C$50)+Inputs!$C$47*0.173))+0.2*SIN(2*PI()*(((Model_Data!A55)+(Inputs!$C$6))/(0.5*(Inputs!$C$49+Inputs!$C$50))+Inputs!$C$47*0.097)))+0.3*(2*((SIN(((Model_Data!A55)*12.9898+(Inputs!$C$6)*78.233+Inputs!$C$47*37.719))*43758.5453)-INT((SIN(((Model_Data!A55)*12.9898+(Inputs!$C$6)*78.233+Inputs!$C$47*37.719))*43758.5453)))-1))))/1000)^2))-(((Model_Data!B55)-((Inputs!$C$51*(115*EXP(-(((0)-25)^2)/(4.5^2))+70*EXP(-(((0)+38)^2)/(7^2))*(0.55+0.45*SIN(2*PI()*(Model_Data!A55)/45))+24*SIN(2*PI()*(0)/9+(Model_Data!A55)/18)*EXP(-(((0)+5)^2)/(22^2))+18*SIN(2*PI()*(Model_Data!A55)/70))+Inputs!$C$28*EXP(-(((Model_Data!A55)-Inputs!$C$29)^2)/(2*Inputs!$C$31^2))*EXP(-(((0)-Inputs!$C$30)^2)/(2*Inputs!$C$32^2))+-Inputs!$C$33*EXP(-(((((Model_Data!A55)-Inputs!$C$34)^2)+(((0)-Inputs!$C$35)^2))/(2*Inputs!$C$36^2)))+Inputs!$C$37*(0.55*SIN(2*PI()*(Model_Data!A55)/Inputs!$C$39)+0.35*COS(2*PI()*(0)/Inputs!$C$40)+0.2*SIN(2*PI()*((Model_Data!A55)+(0))/(0.5*(Inputs!$C$39+Inputs!$C$40))))+Inputs!$C$38*SIN(2*PI()*(Model_Data!A55)/Inputs!$C$39)*SIN(2*PI()*(0)/Inputs!$C$40)+-Inputs!$C$41*EXP(-(((0)-Inputs!$C$43)^2)/(2*Inputs!$C$44^2))*EXP(-(((Model_Data!A55)-Inputs!$C$42)^2)/(2*Inputs!$C$45^2))+Inputs!$C$48*(0.7*(0.45*SIN(2*PI()*(((Model_Data!A55)/Inputs!$C$49)+Inputs!$C$47*0.137))+0.35*COS(2*PI()*(((0)/Inputs!$C$50)+Inputs!$C$47*0.173))+0.2*SIN(2*PI()*(((Model_Data!A55)+(0))/(0.5*(Inputs!$C$49+Inputs!$C$50))+Inputs!$C$47*0.097)))+0.3*(2*((SIN(((Model_Data!A55)*12.9898+(0)*78.233+Inputs!$C$47*37.719))*43758.5453)-INT((SIN(((Model_Data!A55)*12.9898+(0)*78.233+Inputs!$C$47*37.719))*43758.5453)))-1))))/1000)))*1000/Inputs!$C$12)</f>
        <v>1041.1373161965391</v>
      </c>
      <c r="E55" s="9">
        <f>Model_Data!A55</f>
        <v>-33.5</v>
      </c>
      <c r="F55" s="9">
        <f>(Inputs!$C$51*(115*EXP(-(((Inputs!$C$6)-25)^2)/(4.5^2))+70*EXP(-(((Inputs!$C$6)+38)^2)/(7^2))*(0.55+0.45*SIN(2*PI()*(Model_Data!A55)/45))+24*SIN(2*PI()*(Inputs!$C$6)/9+(Model_Data!A55)/18)*EXP(-(((Inputs!$C$6)+5)^2)/(22^2))+18*SIN(2*PI()*(Model_Data!A55)/70))+Inputs!$C$28*EXP(-(((Model_Data!A55)-Inputs!$C$29)^2)/(2*Inputs!$C$31^2))*EXP(-(((Inputs!$C$6)-Inputs!$C$30)^2)/(2*Inputs!$C$32^2))+-Inputs!$C$33*EXP(-(((((Model_Data!A55)-Inputs!$C$34)^2)+(((Inputs!$C$6)-Inputs!$C$35)^2))/(2*Inputs!$C$36^2)))+Inputs!$C$37*(0.55*SIN(2*PI()*(Model_Data!A55)/Inputs!$C$39)+0.35*COS(2*PI()*(Inputs!$C$6)/Inputs!$C$40)+0.2*SIN(2*PI()*((Model_Data!A55)+(Inputs!$C$6))/(0.5*(Inputs!$C$39+Inputs!$C$40))))+Inputs!$C$38*SIN(2*PI()*(Model_Data!A55)/Inputs!$C$39)*SIN(2*PI()*(Inputs!$C$6)/Inputs!$C$40)+-Inputs!$C$41*EXP(-(((Inputs!$C$6)-Inputs!$C$43)^2)/(2*Inputs!$C$44^2))*EXP(-(((Model_Data!A55)-Inputs!$C$42)^2)/(2*Inputs!$C$45^2))+Inputs!$C$48*(0.7*(0.45*SIN(2*PI()*(((Model_Data!A55)/Inputs!$C$49)+Inputs!$C$47*0.137))+0.35*COS(2*PI()*(((Inputs!$C$6)/Inputs!$C$50)+Inputs!$C$47*0.173))+0.2*SIN(2*PI()*(((Model_Data!A55)+(Inputs!$C$6))/(0.5*(Inputs!$C$49+Inputs!$C$50))+Inputs!$C$47*0.097)))+0.3*(2*((SIN(((Model_Data!A55)*12.9898+(Inputs!$C$6)*78.233+Inputs!$C$47*37.719))*43758.5453)-INT((SIN(((Model_Data!A55)*12.9898+(Inputs!$C$6)*78.233+Inputs!$C$47*37.719))*43758.5453)))-1)))</f>
        <v>328.44480575089858</v>
      </c>
      <c r="G55" s="9">
        <f>(Inputs!$C$51*(115*EXP(-(((0)-25)^2)/(4.5^2))+70*EXP(-(((0)+38)^2)/(7^2))*(0.55+0.45*SIN(2*PI()*(Model_Data!A55)/45))+24*SIN(2*PI()*(0)/9+(Model_Data!A55)/18)*EXP(-(((0)+5)^2)/(22^2))+18*SIN(2*PI()*(Model_Data!A55)/70))+Inputs!$C$28*EXP(-(((Model_Data!A55)-Inputs!$C$29)^2)/(2*Inputs!$C$31^2))*EXP(-(((0)-Inputs!$C$30)^2)/(2*Inputs!$C$32^2))+-Inputs!$C$33*EXP(-(((((Model_Data!A55)-Inputs!$C$34)^2)+(((0)-Inputs!$C$35)^2))/(2*Inputs!$C$36^2)))+Inputs!$C$37*(0.55*SIN(2*PI()*(Model_Data!A55)/Inputs!$C$39)+0.35*COS(2*PI()*(0)/Inputs!$C$40)+0.2*SIN(2*PI()*((Model_Data!A55)+(0))/(0.5*(Inputs!$C$39+Inputs!$C$40))))+Inputs!$C$38*SIN(2*PI()*(Model_Data!A55)/Inputs!$C$39)*SIN(2*PI()*(0)/Inputs!$C$40)+-Inputs!$C$41*EXP(-(((0)-Inputs!$C$43)^2)/(2*Inputs!$C$44^2))*EXP(-(((Model_Data!A55)-Inputs!$C$42)^2)/(2*Inputs!$C$45^2))+Inputs!$C$48*(0.7*(0.45*SIN(2*PI()*(((Model_Data!A55)/Inputs!$C$49)+Inputs!$C$47*0.137))+0.35*COS(2*PI()*(((0)/Inputs!$C$50)+Inputs!$C$47*0.173))+0.2*SIN(2*PI()*(((Model_Data!A55)+(0))/(0.5*(Inputs!$C$49+Inputs!$C$50))+Inputs!$C$47*0.097)))+0.3*(2*((SIN(((Model_Data!A55)*12.9898+(0)*78.233+Inputs!$C$47*37.719))*43758.5453)-INT((SIN(((Model_Data!A55)*12.9898+(0)*78.233+Inputs!$C$47*37.719))*43758.5453)))-1)))</f>
        <v>8.5001955674394374</v>
      </c>
      <c r="H55" s="10"/>
      <c r="I55" s="9">
        <f>Model_Data!A55</f>
        <v>-33.5</v>
      </c>
      <c r="J55" s="9">
        <f>(Inputs!$C$51*(115*EXP(-(((Inputs!$C$6)-25)^2)/(4.5^2))+70*EXP(-(((Inputs!$C$6)+38)^2)/(7^2))*(0.55+0.45*SIN(2*PI()*(Model_Data!A55)/45))+24*SIN(2*PI()*(Inputs!$C$6)/9+(Model_Data!A55)/18)*EXP(-(((Inputs!$C$6)+5)^2)/(22^2))+18*SIN(2*PI()*(Model_Data!A55)/70))+Inputs!$C$28*EXP(-(((Model_Data!A55)-Inputs!$C$29)^2)/(2*Inputs!$C$31^2))*EXP(-(((Inputs!$C$6)-Inputs!$C$30)^2)/(2*Inputs!$C$32^2))+-Inputs!$C$33*EXP(-(((((Model_Data!A55)-Inputs!$C$34)^2)+(((Inputs!$C$6)-Inputs!$C$35)^2))/(2*Inputs!$C$36^2)))+Inputs!$C$37*(0.55*SIN(2*PI()*(Model_Data!A55)/Inputs!$C$39)+0.35*COS(2*PI()*(Inputs!$C$6)/Inputs!$C$40)+0.2*SIN(2*PI()*((Model_Data!A55)+(Inputs!$C$6))/(0.5*(Inputs!$C$39+Inputs!$C$40))))+Inputs!$C$38*SIN(2*PI()*(Model_Data!A55)/Inputs!$C$39)*SIN(2*PI()*(Inputs!$C$6)/Inputs!$C$40)+-Inputs!$C$41*EXP(-(((Inputs!$C$6)-Inputs!$C$43)^2)/(2*Inputs!$C$44^2))*EXP(-(((Model_Data!A55)-Inputs!$C$42)^2)/(2*Inputs!$C$45^2))+Inputs!$C$48*(0.7*(0.45*SIN(2*PI()*(((Model_Data!A55)/Inputs!$C$49)+Inputs!$C$47*0.137))+0.35*COS(2*PI()*(((Inputs!$C$6)/Inputs!$C$50)+Inputs!$C$47*0.173))+0.2*SIN(2*PI()*(((Model_Data!A55)+(Inputs!$C$6))/(0.5*(Inputs!$C$49+Inputs!$C$50))+Inputs!$C$47*0.097)))+0.3*(2*((SIN(((Model_Data!A55)*12.9898+(Inputs!$C$6)*78.233+Inputs!$C$47*37.719))*43758.5453)-INT((SIN(((Model_Data!A55)*12.9898+(Inputs!$C$6)*78.233+Inputs!$C$47*37.719))*43758.5453)))-1)))</f>
        <v>328.44480575089858</v>
      </c>
      <c r="K55" s="9">
        <f>-((((SQRT((Model_Data!A55)^2+Inputs!$C$6^2+((Model_Data!B55)-((Inputs!$C$51*(115*EXP(-(((Inputs!$C$6)-25)^2)/(4.5^2))+70*EXP(-(((Inputs!$C$6)+38)^2)/(7^2))*(0.55+0.45*SIN(2*PI()*(Model_Data!A55)/45))+24*SIN(2*PI()*(Inputs!$C$6)/9+(Model_Data!A55)/18)*EXP(-(((Inputs!$C$6)+5)^2)/(22^2))+18*SIN(2*PI()*(Model_Data!A55)/70))+Inputs!$C$28*EXP(-(((Model_Data!A55)-Inputs!$C$29)^2)/(2*Inputs!$C$31^2))*EXP(-(((Inputs!$C$6)-Inputs!$C$30)^2)/(2*Inputs!$C$32^2))+-Inputs!$C$33*EXP(-(((((Model_Data!A55)-Inputs!$C$34)^2)+(((Inputs!$C$6)-Inputs!$C$35)^2))/(2*Inputs!$C$36^2)))+Inputs!$C$37*(0.55*SIN(2*PI()*(Model_Data!A55)/Inputs!$C$39)+0.35*COS(2*PI()*(Inputs!$C$6)/Inputs!$C$40)+0.2*SIN(2*PI()*((Model_Data!A55)+(Inputs!$C$6))/(0.5*(Inputs!$C$39+Inputs!$C$40))))+Inputs!$C$38*SIN(2*PI()*(Model_Data!A55)/Inputs!$C$39)*SIN(2*PI()*(Inputs!$C$6)/Inputs!$C$40)+-Inputs!$C$41*EXP(-(((Inputs!$C$6)-Inputs!$C$43)^2)/(2*Inputs!$C$44^2))*EXP(-(((Model_Data!A55)-Inputs!$C$42)^2)/(2*Inputs!$C$45^2))+Inputs!$C$48*(0.7*(0.45*SIN(2*PI()*(((Model_Data!A55)/Inputs!$C$49)+Inputs!$C$47*0.137))+0.35*COS(2*PI()*(((Inputs!$C$6)/Inputs!$C$50)+Inputs!$C$47*0.173))+0.2*SIN(2*PI()*(((Model_Data!A55)+(Inputs!$C$6))/(0.5*(Inputs!$C$49+Inputs!$C$50))+Inputs!$C$47*0.097)))+0.3*(2*((SIN(((Model_Data!A55)*12.9898+(Inputs!$C$6)*78.233+Inputs!$C$47*37.719))*43758.5453)-INT((SIN(((Model_Data!A55)*12.9898+(Inputs!$C$6)*78.233+Inputs!$C$47*37.719))*43758.5453)))-1))))/1000)^2))-(((Model_Data!B55)-((Inputs!$C$51*(115*EXP(-(((0)-25)^2)/(4.5^2))+70*EXP(-(((0)+38)^2)/(7^2))*(0.55+0.45*SIN(2*PI()*(Model_Data!A55)/45))+24*SIN(2*PI()*(0)/9+(Model_Data!A55)/18)*EXP(-(((0)+5)^2)/(22^2))+18*SIN(2*PI()*(Model_Data!A55)/70))+Inputs!$C$28*EXP(-(((Model_Data!A55)-Inputs!$C$29)^2)/(2*Inputs!$C$31^2))*EXP(-(((0)-Inputs!$C$30)^2)/(2*Inputs!$C$32^2))+-Inputs!$C$33*EXP(-(((((Model_Data!A55)-Inputs!$C$34)^2)+(((0)-Inputs!$C$35)^2))/(2*Inputs!$C$36^2)))+Inputs!$C$37*(0.55*SIN(2*PI()*(Model_Data!A55)/Inputs!$C$39)+0.35*COS(2*PI()*(0)/Inputs!$C$40)+0.2*SIN(2*PI()*((Model_Data!A55)+(0))/(0.5*(Inputs!$C$39+Inputs!$C$40))))+Inputs!$C$38*SIN(2*PI()*(Model_Data!A55)/Inputs!$C$39)*SIN(2*PI()*(0)/Inputs!$C$40)+-Inputs!$C$41*EXP(-(((0)-Inputs!$C$43)^2)/(2*Inputs!$C$44^2))*EXP(-(((Model_Data!A55)-Inputs!$C$42)^2)/(2*Inputs!$C$45^2))+Inputs!$C$48*(0.7*(0.45*SIN(2*PI()*(((Model_Data!A55)/Inputs!$C$49)+Inputs!$C$47*0.137))+0.35*COS(2*PI()*(((0)/Inputs!$C$50)+Inputs!$C$47*0.173))+0.2*SIN(2*PI()*(((Model_Data!A55)+(0))/(0.5*(Inputs!$C$49+Inputs!$C$50))+Inputs!$C$47*0.097)))+0.3*(2*((SIN(((Model_Data!A55)*12.9898+(0)*78.233+Inputs!$C$47*37.719))*43758.5453)-INT((SIN(((Model_Data!A55)*12.9898+(0)*78.233+Inputs!$C$47*37.719))*43758.5453)))-1))))/1000)))*1000/Inputs!$C$12)-Model_Data!F55)</f>
        <v>178.75017921893073</v>
      </c>
      <c r="L55" s="10"/>
      <c r="M55" s="9">
        <f>Model_Data!A55</f>
        <v>-33.5</v>
      </c>
      <c r="N55" s="9">
        <f>Model_Data!P55</f>
        <v>251.33455343294068</v>
      </c>
      <c r="O55" s="9">
        <f t="shared" si="0"/>
        <v>287.47330004625837</v>
      </c>
      <c r="P55" s="9">
        <f>Model_Data!Q55</f>
        <v>37.737920935876978</v>
      </c>
      <c r="Q55" s="9">
        <f t="shared" si="1"/>
        <v>43.164159166104866</v>
      </c>
      <c r="R55" s="10"/>
      <c r="S55" s="9">
        <f>Model_Data!A55</f>
        <v>-33.5</v>
      </c>
      <c r="T55" s="9">
        <f>Model_Data!B55-Inputs!$C$5</f>
        <v>1.2469444444444662</v>
      </c>
      <c r="U55" s="10"/>
      <c r="V55" s="9">
        <f>Model_Data!A55</f>
        <v>-33.5</v>
      </c>
      <c r="W55" s="9">
        <f>((SQRT((Model_Data!A55)^2+Inputs!$C$6^2+Inputs!$C$5^2)-Inputs!$C$5)*1000/Inputs!$C$12)</f>
        <v>1223.6697613953572</v>
      </c>
      <c r="X55" s="9">
        <f>Model_Data!F55</f>
        <v>1219.8874954154699</v>
      </c>
      <c r="Y55" s="10"/>
      <c r="Z55" s="9">
        <f>Model_Data!A55</f>
        <v>-33.5</v>
      </c>
      <c r="AA55" s="9">
        <f>SQRT((Model_Data!A55)^2+Inputs!$C$6^2+((Model_Data!B55)-((Inputs!$C$51*(115*EXP(-(((Inputs!$C$6)-25)^2)/(4.5^2))+70*EXP(-(((Inputs!$C$6)+38)^2)/(7^2))*(0.55+0.45*SIN(2*PI()*(Model_Data!A55)/45))+24*SIN(2*PI()*(Inputs!$C$6)/9+(Model_Data!A55)/18)*EXP(-(((Inputs!$C$6)+5)^2)/(22^2))+18*SIN(2*PI()*(Model_Data!A55)/70))+Inputs!$C$28*EXP(-(((Model_Data!A55)-Inputs!$C$29)^2)/(2*Inputs!$C$31^2))*EXP(-(((Inputs!$C$6)-Inputs!$C$30)^2)/(2*Inputs!$C$32^2))+-Inputs!$C$33*EXP(-(((((Model_Data!A55)-Inputs!$C$34)^2)+(((Inputs!$C$6)-Inputs!$C$35)^2))/(2*Inputs!$C$36^2)))+Inputs!$C$37*(0.55*SIN(2*PI()*(Model_Data!A55)/Inputs!$C$39)+0.35*COS(2*PI()*(Inputs!$C$6)/Inputs!$C$40)+0.2*SIN(2*PI()*((Model_Data!A55)+(Inputs!$C$6))/(0.5*(Inputs!$C$39+Inputs!$C$40))))+Inputs!$C$38*SIN(2*PI()*(Model_Data!A55)/Inputs!$C$39)*SIN(2*PI()*(Inputs!$C$6)/Inputs!$C$40)+-Inputs!$C$41*EXP(-(((Inputs!$C$6)-Inputs!$C$43)^2)/(2*Inputs!$C$44^2))*EXP(-(((Model_Data!A55)-Inputs!$C$42)^2)/(2*Inputs!$C$45^2))+Inputs!$C$48*(0.7*(0.45*SIN(2*PI()*(((Model_Data!A55)/Inputs!$C$49)+Inputs!$C$47*0.137))+0.35*COS(2*PI()*(((Inputs!$C$6)/Inputs!$C$50)+Inputs!$C$47*0.173))+0.2*SIN(2*PI()*(((Model_Data!A55)+(Inputs!$C$6))/(0.5*(Inputs!$C$49+Inputs!$C$50))+Inputs!$C$47*0.097)))+0.3*(2*((SIN(((Model_Data!A55)*12.9898+(Inputs!$C$6)*78.233+Inputs!$C$47*37.719))*43758.5453)-INT((SIN(((Model_Data!A55)*12.9898+(Inputs!$C$6)*78.233+Inputs!$C$47*37.719))*43758.5453)))-1))))/1000)^2)</f>
        <v>403.09166867170688</v>
      </c>
      <c r="AB55" s="9">
        <f>1000*(AA56-AA54)/(Z56-Z54)*Inputs!$C$11</f>
        <v>-718.68325011564593</v>
      </c>
      <c r="AC55" s="9">
        <f>-2*AB55/Inputs!$C$13</f>
        <v>287.47330004625837</v>
      </c>
      <c r="AD55" s="9">
        <f>-2*AB55/Inputs!$C$14</f>
        <v>43.164159166104866</v>
      </c>
    </row>
    <row r="56" spans="1:30">
      <c r="A56" s="9">
        <f>Model_Data!A56</f>
        <v>-33</v>
      </c>
      <c r="B56" s="9">
        <f>((SQRT((Model_Data!A56)^2+Inputs!$C$6^2+Inputs!$C$5^2)-Inputs!$C$5)*1000/Inputs!$C$12)</f>
        <v>1200.4453070126031</v>
      </c>
      <c r="C56" s="9">
        <f>Model_Data!F56</f>
        <v>1196.8440626483268</v>
      </c>
      <c r="D56" s="9">
        <f>(((SQRT((Model_Data!A56)^2+Inputs!$C$6^2+((Model_Data!B56)-((Inputs!$C$51*(115*EXP(-(((Inputs!$C$6)-25)^2)/(4.5^2))+70*EXP(-(((Inputs!$C$6)+38)^2)/(7^2))*(0.55+0.45*SIN(2*PI()*(Model_Data!A56)/45))+24*SIN(2*PI()*(Inputs!$C$6)/9+(Model_Data!A56)/18)*EXP(-(((Inputs!$C$6)+5)^2)/(22^2))+18*SIN(2*PI()*(Model_Data!A56)/70))+Inputs!$C$28*EXP(-(((Model_Data!A56)-Inputs!$C$29)^2)/(2*Inputs!$C$31^2))*EXP(-(((Inputs!$C$6)-Inputs!$C$30)^2)/(2*Inputs!$C$32^2))+-Inputs!$C$33*EXP(-(((((Model_Data!A56)-Inputs!$C$34)^2)+(((Inputs!$C$6)-Inputs!$C$35)^2))/(2*Inputs!$C$36^2)))+Inputs!$C$37*(0.55*SIN(2*PI()*(Model_Data!A56)/Inputs!$C$39)+0.35*COS(2*PI()*(Inputs!$C$6)/Inputs!$C$40)+0.2*SIN(2*PI()*((Model_Data!A56)+(Inputs!$C$6))/(0.5*(Inputs!$C$39+Inputs!$C$40))))+Inputs!$C$38*SIN(2*PI()*(Model_Data!A56)/Inputs!$C$39)*SIN(2*PI()*(Inputs!$C$6)/Inputs!$C$40)+-Inputs!$C$41*EXP(-(((Inputs!$C$6)-Inputs!$C$43)^2)/(2*Inputs!$C$44^2))*EXP(-(((Model_Data!A56)-Inputs!$C$42)^2)/(2*Inputs!$C$45^2))+Inputs!$C$48*(0.7*(0.45*SIN(2*PI()*(((Model_Data!A56)/Inputs!$C$49)+Inputs!$C$47*0.137))+0.35*COS(2*PI()*(((Inputs!$C$6)/Inputs!$C$50)+Inputs!$C$47*0.173))+0.2*SIN(2*PI()*(((Model_Data!A56)+(Inputs!$C$6))/(0.5*(Inputs!$C$49+Inputs!$C$50))+Inputs!$C$47*0.097)))+0.3*(2*((SIN(((Model_Data!A56)*12.9898+(Inputs!$C$6)*78.233+Inputs!$C$47*37.719))*43758.5453)-INT((SIN(((Model_Data!A56)*12.9898+(Inputs!$C$6)*78.233+Inputs!$C$47*37.719))*43758.5453)))-1))))/1000)^2))-(((Model_Data!B56)-((Inputs!$C$51*(115*EXP(-(((0)-25)^2)/(4.5^2))+70*EXP(-(((0)+38)^2)/(7^2))*(0.55+0.45*SIN(2*PI()*(Model_Data!A56)/45))+24*SIN(2*PI()*(0)/9+(Model_Data!A56)/18)*EXP(-(((0)+5)^2)/(22^2))+18*SIN(2*PI()*(Model_Data!A56)/70))+Inputs!$C$28*EXP(-(((Model_Data!A56)-Inputs!$C$29)^2)/(2*Inputs!$C$31^2))*EXP(-(((0)-Inputs!$C$30)^2)/(2*Inputs!$C$32^2))+-Inputs!$C$33*EXP(-(((((Model_Data!A56)-Inputs!$C$34)^2)+(((0)-Inputs!$C$35)^2))/(2*Inputs!$C$36^2)))+Inputs!$C$37*(0.55*SIN(2*PI()*(Model_Data!A56)/Inputs!$C$39)+0.35*COS(2*PI()*(0)/Inputs!$C$40)+0.2*SIN(2*PI()*((Model_Data!A56)+(0))/(0.5*(Inputs!$C$39+Inputs!$C$40))))+Inputs!$C$38*SIN(2*PI()*(Model_Data!A56)/Inputs!$C$39)*SIN(2*PI()*(0)/Inputs!$C$40)+-Inputs!$C$41*EXP(-(((0)-Inputs!$C$43)^2)/(2*Inputs!$C$44^2))*EXP(-(((Model_Data!A56)-Inputs!$C$42)^2)/(2*Inputs!$C$45^2))+Inputs!$C$48*(0.7*(0.45*SIN(2*PI()*(((Model_Data!A56)/Inputs!$C$49)+Inputs!$C$47*0.137))+0.35*COS(2*PI()*(((0)/Inputs!$C$50)+Inputs!$C$47*0.173))+0.2*SIN(2*PI()*(((Model_Data!A56)+(0))/(0.5*(Inputs!$C$49+Inputs!$C$50))+Inputs!$C$47*0.097)))+0.3*(2*((SIN(((Model_Data!A56)*12.9898+(0)*78.233+Inputs!$C$47*37.719))*43758.5453)-INT((SIN(((Model_Data!A56)*12.9898+(0)*78.233+Inputs!$C$47*37.719))*43758.5453)))-1))))/1000)))*1000/Inputs!$C$12)</f>
        <v>1012.9317453223404</v>
      </c>
      <c r="E56" s="9">
        <f>Model_Data!A56</f>
        <v>-33</v>
      </c>
      <c r="F56" s="9">
        <f>(Inputs!$C$51*(115*EXP(-(((Inputs!$C$6)-25)^2)/(4.5^2))+70*EXP(-(((Inputs!$C$6)+38)^2)/(7^2))*(0.55+0.45*SIN(2*PI()*(Model_Data!A56)/45))+24*SIN(2*PI()*(Inputs!$C$6)/9+(Model_Data!A56)/18)*EXP(-(((Inputs!$C$6)+5)^2)/(22^2))+18*SIN(2*PI()*(Model_Data!A56)/70))+Inputs!$C$28*EXP(-(((Model_Data!A56)-Inputs!$C$29)^2)/(2*Inputs!$C$31^2))*EXP(-(((Inputs!$C$6)-Inputs!$C$30)^2)/(2*Inputs!$C$32^2))+-Inputs!$C$33*EXP(-(((((Model_Data!A56)-Inputs!$C$34)^2)+(((Inputs!$C$6)-Inputs!$C$35)^2))/(2*Inputs!$C$36^2)))+Inputs!$C$37*(0.55*SIN(2*PI()*(Model_Data!A56)/Inputs!$C$39)+0.35*COS(2*PI()*(Inputs!$C$6)/Inputs!$C$40)+0.2*SIN(2*PI()*((Model_Data!A56)+(Inputs!$C$6))/(0.5*(Inputs!$C$39+Inputs!$C$40))))+Inputs!$C$38*SIN(2*PI()*(Model_Data!A56)/Inputs!$C$39)*SIN(2*PI()*(Inputs!$C$6)/Inputs!$C$40)+-Inputs!$C$41*EXP(-(((Inputs!$C$6)-Inputs!$C$43)^2)/(2*Inputs!$C$44^2))*EXP(-(((Model_Data!A56)-Inputs!$C$42)^2)/(2*Inputs!$C$45^2))+Inputs!$C$48*(0.7*(0.45*SIN(2*PI()*(((Model_Data!A56)/Inputs!$C$49)+Inputs!$C$47*0.137))+0.35*COS(2*PI()*(((Inputs!$C$6)/Inputs!$C$50)+Inputs!$C$47*0.173))+0.2*SIN(2*PI()*(((Model_Data!A56)+(Inputs!$C$6))/(0.5*(Inputs!$C$49+Inputs!$C$50))+Inputs!$C$47*0.097)))+0.3*(2*((SIN(((Model_Data!A56)*12.9898+(Inputs!$C$6)*78.233+Inputs!$C$47*37.719))*43758.5453)-INT((SIN(((Model_Data!A56)*12.9898+(Inputs!$C$6)*78.233+Inputs!$C$47*37.719))*43758.5453)))-1)))</f>
        <v>342.05712046848419</v>
      </c>
      <c r="G56" s="9">
        <f>(Inputs!$C$51*(115*EXP(-(((0)-25)^2)/(4.5^2))+70*EXP(-(((0)+38)^2)/(7^2))*(0.55+0.45*SIN(2*PI()*(Model_Data!A56)/45))+24*SIN(2*PI()*(0)/9+(Model_Data!A56)/18)*EXP(-(((0)+5)^2)/(22^2))+18*SIN(2*PI()*(Model_Data!A56)/70))+Inputs!$C$28*EXP(-(((Model_Data!A56)-Inputs!$C$29)^2)/(2*Inputs!$C$31^2))*EXP(-(((0)-Inputs!$C$30)^2)/(2*Inputs!$C$32^2))+-Inputs!$C$33*EXP(-(((((Model_Data!A56)-Inputs!$C$34)^2)+(((0)-Inputs!$C$35)^2))/(2*Inputs!$C$36^2)))+Inputs!$C$37*(0.55*SIN(2*PI()*(Model_Data!A56)/Inputs!$C$39)+0.35*COS(2*PI()*(0)/Inputs!$C$40)+0.2*SIN(2*PI()*((Model_Data!A56)+(0))/(0.5*(Inputs!$C$39+Inputs!$C$40))))+Inputs!$C$38*SIN(2*PI()*(Model_Data!A56)/Inputs!$C$39)*SIN(2*PI()*(0)/Inputs!$C$40)+-Inputs!$C$41*EXP(-(((0)-Inputs!$C$43)^2)/(2*Inputs!$C$44^2))*EXP(-(((Model_Data!A56)-Inputs!$C$42)^2)/(2*Inputs!$C$45^2))+Inputs!$C$48*(0.7*(0.45*SIN(2*PI()*(((Model_Data!A56)/Inputs!$C$49)+Inputs!$C$47*0.137))+0.35*COS(2*PI()*(((0)/Inputs!$C$50)+Inputs!$C$47*0.173))+0.2*SIN(2*PI()*(((Model_Data!A56)+(0))/(0.5*(Inputs!$C$49+Inputs!$C$50))+Inputs!$C$47*0.097)))+0.3*(2*((SIN(((Model_Data!A56)*12.9898+(0)*78.233+Inputs!$C$47*37.719))*43758.5453)-INT((SIN(((Model_Data!A56)*12.9898+(0)*78.233+Inputs!$C$47*37.719))*43758.5453)))-1)))</f>
        <v>12.884972617306985</v>
      </c>
      <c r="H56" s="10"/>
      <c r="I56" s="9">
        <f>Model_Data!A56</f>
        <v>-33</v>
      </c>
      <c r="J56" s="9">
        <f>(Inputs!$C$51*(115*EXP(-(((Inputs!$C$6)-25)^2)/(4.5^2))+70*EXP(-(((Inputs!$C$6)+38)^2)/(7^2))*(0.55+0.45*SIN(2*PI()*(Model_Data!A56)/45))+24*SIN(2*PI()*(Inputs!$C$6)/9+(Model_Data!A56)/18)*EXP(-(((Inputs!$C$6)+5)^2)/(22^2))+18*SIN(2*PI()*(Model_Data!A56)/70))+Inputs!$C$28*EXP(-(((Model_Data!A56)-Inputs!$C$29)^2)/(2*Inputs!$C$31^2))*EXP(-(((Inputs!$C$6)-Inputs!$C$30)^2)/(2*Inputs!$C$32^2))+-Inputs!$C$33*EXP(-(((((Model_Data!A56)-Inputs!$C$34)^2)+(((Inputs!$C$6)-Inputs!$C$35)^2))/(2*Inputs!$C$36^2)))+Inputs!$C$37*(0.55*SIN(2*PI()*(Model_Data!A56)/Inputs!$C$39)+0.35*COS(2*PI()*(Inputs!$C$6)/Inputs!$C$40)+0.2*SIN(2*PI()*((Model_Data!A56)+(Inputs!$C$6))/(0.5*(Inputs!$C$39+Inputs!$C$40))))+Inputs!$C$38*SIN(2*PI()*(Model_Data!A56)/Inputs!$C$39)*SIN(2*PI()*(Inputs!$C$6)/Inputs!$C$40)+-Inputs!$C$41*EXP(-(((Inputs!$C$6)-Inputs!$C$43)^2)/(2*Inputs!$C$44^2))*EXP(-(((Model_Data!A56)-Inputs!$C$42)^2)/(2*Inputs!$C$45^2))+Inputs!$C$48*(0.7*(0.45*SIN(2*PI()*(((Model_Data!A56)/Inputs!$C$49)+Inputs!$C$47*0.137))+0.35*COS(2*PI()*(((Inputs!$C$6)/Inputs!$C$50)+Inputs!$C$47*0.173))+0.2*SIN(2*PI()*(((Model_Data!A56)+(Inputs!$C$6))/(0.5*(Inputs!$C$49+Inputs!$C$50))+Inputs!$C$47*0.097)))+0.3*(2*((SIN(((Model_Data!A56)*12.9898+(Inputs!$C$6)*78.233+Inputs!$C$47*37.719))*43758.5453)-INT((SIN(((Model_Data!A56)*12.9898+(Inputs!$C$6)*78.233+Inputs!$C$47*37.719))*43758.5453)))-1)))</f>
        <v>342.05712046848419</v>
      </c>
      <c r="K56" s="9">
        <f>-((((SQRT((Model_Data!A56)^2+Inputs!$C$6^2+((Model_Data!B56)-((Inputs!$C$51*(115*EXP(-(((Inputs!$C$6)-25)^2)/(4.5^2))+70*EXP(-(((Inputs!$C$6)+38)^2)/(7^2))*(0.55+0.45*SIN(2*PI()*(Model_Data!A56)/45))+24*SIN(2*PI()*(Inputs!$C$6)/9+(Model_Data!A56)/18)*EXP(-(((Inputs!$C$6)+5)^2)/(22^2))+18*SIN(2*PI()*(Model_Data!A56)/70))+Inputs!$C$28*EXP(-(((Model_Data!A56)-Inputs!$C$29)^2)/(2*Inputs!$C$31^2))*EXP(-(((Inputs!$C$6)-Inputs!$C$30)^2)/(2*Inputs!$C$32^2))+-Inputs!$C$33*EXP(-(((((Model_Data!A56)-Inputs!$C$34)^2)+(((Inputs!$C$6)-Inputs!$C$35)^2))/(2*Inputs!$C$36^2)))+Inputs!$C$37*(0.55*SIN(2*PI()*(Model_Data!A56)/Inputs!$C$39)+0.35*COS(2*PI()*(Inputs!$C$6)/Inputs!$C$40)+0.2*SIN(2*PI()*((Model_Data!A56)+(Inputs!$C$6))/(0.5*(Inputs!$C$39+Inputs!$C$40))))+Inputs!$C$38*SIN(2*PI()*(Model_Data!A56)/Inputs!$C$39)*SIN(2*PI()*(Inputs!$C$6)/Inputs!$C$40)+-Inputs!$C$41*EXP(-(((Inputs!$C$6)-Inputs!$C$43)^2)/(2*Inputs!$C$44^2))*EXP(-(((Model_Data!A56)-Inputs!$C$42)^2)/(2*Inputs!$C$45^2))+Inputs!$C$48*(0.7*(0.45*SIN(2*PI()*(((Model_Data!A56)/Inputs!$C$49)+Inputs!$C$47*0.137))+0.35*COS(2*PI()*(((Inputs!$C$6)/Inputs!$C$50)+Inputs!$C$47*0.173))+0.2*SIN(2*PI()*(((Model_Data!A56)+(Inputs!$C$6))/(0.5*(Inputs!$C$49+Inputs!$C$50))+Inputs!$C$47*0.097)))+0.3*(2*((SIN(((Model_Data!A56)*12.9898+(Inputs!$C$6)*78.233+Inputs!$C$47*37.719))*43758.5453)-INT((SIN(((Model_Data!A56)*12.9898+(Inputs!$C$6)*78.233+Inputs!$C$47*37.719))*43758.5453)))-1))))/1000)^2))-(((Model_Data!B56)-((Inputs!$C$51*(115*EXP(-(((0)-25)^2)/(4.5^2))+70*EXP(-(((0)+38)^2)/(7^2))*(0.55+0.45*SIN(2*PI()*(Model_Data!A56)/45))+24*SIN(2*PI()*(0)/9+(Model_Data!A56)/18)*EXP(-(((0)+5)^2)/(22^2))+18*SIN(2*PI()*(Model_Data!A56)/70))+Inputs!$C$28*EXP(-(((Model_Data!A56)-Inputs!$C$29)^2)/(2*Inputs!$C$31^2))*EXP(-(((0)-Inputs!$C$30)^2)/(2*Inputs!$C$32^2))+-Inputs!$C$33*EXP(-(((((Model_Data!A56)-Inputs!$C$34)^2)+(((0)-Inputs!$C$35)^2))/(2*Inputs!$C$36^2)))+Inputs!$C$37*(0.55*SIN(2*PI()*(Model_Data!A56)/Inputs!$C$39)+0.35*COS(2*PI()*(0)/Inputs!$C$40)+0.2*SIN(2*PI()*((Model_Data!A56)+(0))/(0.5*(Inputs!$C$39+Inputs!$C$40))))+Inputs!$C$38*SIN(2*PI()*(Model_Data!A56)/Inputs!$C$39)*SIN(2*PI()*(0)/Inputs!$C$40)+-Inputs!$C$41*EXP(-(((0)-Inputs!$C$43)^2)/(2*Inputs!$C$44^2))*EXP(-(((Model_Data!A56)-Inputs!$C$42)^2)/(2*Inputs!$C$45^2))+Inputs!$C$48*(0.7*(0.45*SIN(2*PI()*(((Model_Data!A56)/Inputs!$C$49)+Inputs!$C$47*0.137))+0.35*COS(2*PI()*(((0)/Inputs!$C$50)+Inputs!$C$47*0.173))+0.2*SIN(2*PI()*(((Model_Data!A56)+(0))/(0.5*(Inputs!$C$49+Inputs!$C$50))+Inputs!$C$47*0.097)))+0.3*(2*((SIN(((Model_Data!A56)*12.9898+(0)*78.233+Inputs!$C$47*37.719))*43758.5453)-INT((SIN(((Model_Data!A56)*12.9898+(0)*78.233+Inputs!$C$47*37.719))*43758.5453)))-1))))/1000)))*1000/Inputs!$C$12)-Model_Data!F56)</f>
        <v>183.91231732598646</v>
      </c>
      <c r="L56" s="10"/>
      <c r="M56" s="9">
        <f>Model_Data!A56</f>
        <v>-33</v>
      </c>
      <c r="N56" s="9">
        <f>Model_Data!P56</f>
        <v>247.62039958551682</v>
      </c>
      <c r="O56" s="9">
        <f t="shared" si="0"/>
        <v>283.49622463410924</v>
      </c>
      <c r="P56" s="9">
        <f>Model_Data!Q56</f>
        <v>37.180240178005533</v>
      </c>
      <c r="Q56" s="9">
        <f t="shared" si="1"/>
        <v>42.567000695812204</v>
      </c>
      <c r="R56" s="10"/>
      <c r="S56" s="9">
        <f>Model_Data!A56</f>
        <v>-33</v>
      </c>
      <c r="T56" s="9">
        <f>Model_Data!B56-Inputs!$C$5</f>
        <v>1.2099999999999795</v>
      </c>
      <c r="U56" s="10"/>
      <c r="V56" s="9">
        <f>Model_Data!A56</f>
        <v>-33</v>
      </c>
      <c r="W56" s="9">
        <f>((SQRT((Model_Data!A56)^2+Inputs!$C$6^2+Inputs!$C$5^2)-Inputs!$C$5)*1000/Inputs!$C$12)</f>
        <v>1200.4453070126031</v>
      </c>
      <c r="X56" s="9">
        <f>Model_Data!F56</f>
        <v>1196.8440626483268</v>
      </c>
      <c r="Y56" s="10"/>
      <c r="Z56" s="9">
        <f>Model_Data!A56</f>
        <v>-33</v>
      </c>
      <c r="AA56" s="9">
        <f>SQRT((Model_Data!A56)^2+Inputs!$C$6^2+((Model_Data!B56)-((Inputs!$C$51*(115*EXP(-(((Inputs!$C$6)-25)^2)/(4.5^2))+70*EXP(-(((Inputs!$C$6)+38)^2)/(7^2))*(0.55+0.45*SIN(2*PI()*(Model_Data!A56)/45))+24*SIN(2*PI()*(Inputs!$C$6)/9+(Model_Data!A56)/18)*EXP(-(((Inputs!$C$6)+5)^2)/(22^2))+18*SIN(2*PI()*(Model_Data!A56)/70))+Inputs!$C$28*EXP(-(((Model_Data!A56)-Inputs!$C$29)^2)/(2*Inputs!$C$31^2))*EXP(-(((Inputs!$C$6)-Inputs!$C$30)^2)/(2*Inputs!$C$32^2))+-Inputs!$C$33*EXP(-(((((Model_Data!A56)-Inputs!$C$34)^2)+(((Inputs!$C$6)-Inputs!$C$35)^2))/(2*Inputs!$C$36^2)))+Inputs!$C$37*(0.55*SIN(2*PI()*(Model_Data!A56)/Inputs!$C$39)+0.35*COS(2*PI()*(Inputs!$C$6)/Inputs!$C$40)+0.2*SIN(2*PI()*((Model_Data!A56)+(Inputs!$C$6))/(0.5*(Inputs!$C$39+Inputs!$C$40))))+Inputs!$C$38*SIN(2*PI()*(Model_Data!A56)/Inputs!$C$39)*SIN(2*PI()*(Inputs!$C$6)/Inputs!$C$40)+-Inputs!$C$41*EXP(-(((Inputs!$C$6)-Inputs!$C$43)^2)/(2*Inputs!$C$44^2))*EXP(-(((Model_Data!A56)-Inputs!$C$42)^2)/(2*Inputs!$C$45^2))+Inputs!$C$48*(0.7*(0.45*SIN(2*PI()*(((Model_Data!A56)/Inputs!$C$49)+Inputs!$C$47*0.137))+0.35*COS(2*PI()*(((Inputs!$C$6)/Inputs!$C$50)+Inputs!$C$47*0.173))+0.2*SIN(2*PI()*(((Model_Data!A56)+(Inputs!$C$6))/(0.5*(Inputs!$C$49+Inputs!$C$50))+Inputs!$C$47*0.097)))+0.3*(2*((SIN(((Model_Data!A56)*12.9898+(Inputs!$C$6)*78.233+Inputs!$C$47*37.719))*43758.5453)-INT((SIN(((Model_Data!A56)*12.9898+(Inputs!$C$6)*78.233+Inputs!$C$47*37.719))*43758.5453)))-1))))/1000)^2)</f>
        <v>403.00013353405643</v>
      </c>
      <c r="AB56" s="9">
        <f>1000*(AA57-AA55)/(Z57-Z55)*Inputs!$C$11</f>
        <v>-708.7405615852731</v>
      </c>
      <c r="AC56" s="9">
        <f>-2*AB56/Inputs!$C$13</f>
        <v>283.49622463410924</v>
      </c>
      <c r="AD56" s="9">
        <f>-2*AB56/Inputs!$C$14</f>
        <v>42.567000695812204</v>
      </c>
    </row>
    <row r="57" spans="1:30">
      <c r="A57" s="9">
        <f>Model_Data!A57</f>
        <v>-32.5</v>
      </c>
      <c r="B57" s="9">
        <f>((SQRT((Model_Data!A57)^2+Inputs!$C$6^2+Inputs!$C$5^2)-Inputs!$C$5)*1000/Inputs!$C$12)</f>
        <v>1177.5677584254802</v>
      </c>
      <c r="C57" s="9">
        <f>Model_Data!F57</f>
        <v>1174.1407290190098</v>
      </c>
      <c r="D57" s="9">
        <f>(((SQRT((Model_Data!A57)^2+Inputs!$C$6^2+((Model_Data!B57)-((Inputs!$C$51*(115*EXP(-(((Inputs!$C$6)-25)^2)/(4.5^2))+70*EXP(-(((Inputs!$C$6)+38)^2)/(7^2))*(0.55+0.45*SIN(2*PI()*(Model_Data!A57)/45))+24*SIN(2*PI()*(Inputs!$C$6)/9+(Model_Data!A57)/18)*EXP(-(((Inputs!$C$6)+5)^2)/(22^2))+18*SIN(2*PI()*(Model_Data!A57)/70))+Inputs!$C$28*EXP(-(((Model_Data!A57)-Inputs!$C$29)^2)/(2*Inputs!$C$31^2))*EXP(-(((Inputs!$C$6)-Inputs!$C$30)^2)/(2*Inputs!$C$32^2))+-Inputs!$C$33*EXP(-(((((Model_Data!A57)-Inputs!$C$34)^2)+(((Inputs!$C$6)-Inputs!$C$35)^2))/(2*Inputs!$C$36^2)))+Inputs!$C$37*(0.55*SIN(2*PI()*(Model_Data!A57)/Inputs!$C$39)+0.35*COS(2*PI()*(Inputs!$C$6)/Inputs!$C$40)+0.2*SIN(2*PI()*((Model_Data!A57)+(Inputs!$C$6))/(0.5*(Inputs!$C$39+Inputs!$C$40))))+Inputs!$C$38*SIN(2*PI()*(Model_Data!A57)/Inputs!$C$39)*SIN(2*PI()*(Inputs!$C$6)/Inputs!$C$40)+-Inputs!$C$41*EXP(-(((Inputs!$C$6)-Inputs!$C$43)^2)/(2*Inputs!$C$44^2))*EXP(-(((Model_Data!A57)-Inputs!$C$42)^2)/(2*Inputs!$C$45^2))+Inputs!$C$48*(0.7*(0.45*SIN(2*PI()*(((Model_Data!A57)/Inputs!$C$49)+Inputs!$C$47*0.137))+0.35*COS(2*PI()*(((Inputs!$C$6)/Inputs!$C$50)+Inputs!$C$47*0.173))+0.2*SIN(2*PI()*(((Model_Data!A57)+(Inputs!$C$6))/(0.5*(Inputs!$C$49+Inputs!$C$50))+Inputs!$C$47*0.097)))+0.3*(2*((SIN(((Model_Data!A57)*12.9898+(Inputs!$C$6)*78.233+Inputs!$C$47*37.719))*43758.5453)-INT((SIN(((Model_Data!A57)*12.9898+(Inputs!$C$6)*78.233+Inputs!$C$47*37.719))*43758.5453)))-1))))/1000)^2))-(((Model_Data!B57)-((Inputs!$C$51*(115*EXP(-(((0)-25)^2)/(4.5^2))+70*EXP(-(((0)+38)^2)/(7^2))*(0.55+0.45*SIN(2*PI()*(Model_Data!A57)/45))+24*SIN(2*PI()*(0)/9+(Model_Data!A57)/18)*EXP(-(((0)+5)^2)/(22^2))+18*SIN(2*PI()*(Model_Data!A57)/70))+Inputs!$C$28*EXP(-(((Model_Data!A57)-Inputs!$C$29)^2)/(2*Inputs!$C$31^2))*EXP(-(((0)-Inputs!$C$30)^2)/(2*Inputs!$C$32^2))+-Inputs!$C$33*EXP(-(((((Model_Data!A57)-Inputs!$C$34)^2)+(((0)-Inputs!$C$35)^2))/(2*Inputs!$C$36^2)))+Inputs!$C$37*(0.55*SIN(2*PI()*(Model_Data!A57)/Inputs!$C$39)+0.35*COS(2*PI()*(0)/Inputs!$C$40)+0.2*SIN(2*PI()*((Model_Data!A57)+(0))/(0.5*(Inputs!$C$39+Inputs!$C$40))))+Inputs!$C$38*SIN(2*PI()*(Model_Data!A57)/Inputs!$C$39)*SIN(2*PI()*(0)/Inputs!$C$40)+-Inputs!$C$41*EXP(-(((0)-Inputs!$C$43)^2)/(2*Inputs!$C$44^2))*EXP(-(((Model_Data!A57)-Inputs!$C$42)^2)/(2*Inputs!$C$45^2))+Inputs!$C$48*(0.7*(0.45*SIN(2*PI()*(((Model_Data!A57)/Inputs!$C$49)+Inputs!$C$47*0.137))+0.35*COS(2*PI()*(((0)/Inputs!$C$50)+Inputs!$C$47*0.173))+0.2*SIN(2*PI()*(((Model_Data!A57)+(0))/(0.5*(Inputs!$C$49+Inputs!$C$50))+Inputs!$C$47*0.097)))+0.3*(2*((SIN(((Model_Data!A57)*12.9898+(0)*78.233+Inputs!$C$47*37.719))*43758.5453)-INT((SIN(((Model_Data!A57)*12.9898+(0)*78.233+Inputs!$C$47*37.719))*43758.5453)))-1))))/1000)))*1000/Inputs!$C$12)</f>
        <v>985.99400391284928</v>
      </c>
      <c r="E57" s="9">
        <f>Model_Data!A57</f>
        <v>-32.5</v>
      </c>
      <c r="F57" s="9">
        <f>(Inputs!$C$51*(115*EXP(-(((Inputs!$C$6)-25)^2)/(4.5^2))+70*EXP(-(((Inputs!$C$6)+38)^2)/(7^2))*(0.55+0.45*SIN(2*PI()*(Model_Data!A57)/45))+24*SIN(2*PI()*(Inputs!$C$6)/9+(Model_Data!A57)/18)*EXP(-(((Inputs!$C$6)+5)^2)/(22^2))+18*SIN(2*PI()*(Model_Data!A57)/70))+Inputs!$C$28*EXP(-(((Model_Data!A57)-Inputs!$C$29)^2)/(2*Inputs!$C$31^2))*EXP(-(((Inputs!$C$6)-Inputs!$C$30)^2)/(2*Inputs!$C$32^2))+-Inputs!$C$33*EXP(-(((((Model_Data!A57)-Inputs!$C$34)^2)+(((Inputs!$C$6)-Inputs!$C$35)^2))/(2*Inputs!$C$36^2)))+Inputs!$C$37*(0.55*SIN(2*PI()*(Model_Data!A57)/Inputs!$C$39)+0.35*COS(2*PI()*(Inputs!$C$6)/Inputs!$C$40)+0.2*SIN(2*PI()*((Model_Data!A57)+(Inputs!$C$6))/(0.5*(Inputs!$C$39+Inputs!$C$40))))+Inputs!$C$38*SIN(2*PI()*(Model_Data!A57)/Inputs!$C$39)*SIN(2*PI()*(Inputs!$C$6)/Inputs!$C$40)+-Inputs!$C$41*EXP(-(((Inputs!$C$6)-Inputs!$C$43)^2)/(2*Inputs!$C$44^2))*EXP(-(((Model_Data!A57)-Inputs!$C$42)^2)/(2*Inputs!$C$45^2))+Inputs!$C$48*(0.7*(0.45*SIN(2*PI()*(((Model_Data!A57)/Inputs!$C$49)+Inputs!$C$47*0.137))+0.35*COS(2*PI()*(((Inputs!$C$6)/Inputs!$C$50)+Inputs!$C$47*0.173))+0.2*SIN(2*PI()*(((Model_Data!A57)+(Inputs!$C$6))/(0.5*(Inputs!$C$49+Inputs!$C$50))+Inputs!$C$47*0.097)))+0.3*(2*((SIN(((Model_Data!A57)*12.9898+(Inputs!$C$6)*78.233+Inputs!$C$47*37.719))*43758.5453)-INT((SIN(((Model_Data!A57)*12.9898+(Inputs!$C$6)*78.233+Inputs!$C$47*37.719))*43758.5453)))-1)))</f>
        <v>350.91834122472949</v>
      </c>
      <c r="G57" s="9">
        <f>(Inputs!$C$51*(115*EXP(-(((0)-25)^2)/(4.5^2))+70*EXP(-(((0)+38)^2)/(7^2))*(0.55+0.45*SIN(2*PI()*(Model_Data!A57)/45))+24*SIN(2*PI()*(0)/9+(Model_Data!A57)/18)*EXP(-(((0)+5)^2)/(22^2))+18*SIN(2*PI()*(Model_Data!A57)/70))+Inputs!$C$28*EXP(-(((Model_Data!A57)-Inputs!$C$29)^2)/(2*Inputs!$C$31^2))*EXP(-(((0)-Inputs!$C$30)^2)/(2*Inputs!$C$32^2))+-Inputs!$C$33*EXP(-(((((Model_Data!A57)-Inputs!$C$34)^2)+(((0)-Inputs!$C$35)^2))/(2*Inputs!$C$36^2)))+Inputs!$C$37*(0.55*SIN(2*PI()*(Model_Data!A57)/Inputs!$C$39)+0.35*COS(2*PI()*(0)/Inputs!$C$40)+0.2*SIN(2*PI()*((Model_Data!A57)+(0))/(0.5*(Inputs!$C$39+Inputs!$C$40))))+Inputs!$C$38*SIN(2*PI()*(Model_Data!A57)/Inputs!$C$39)*SIN(2*PI()*(0)/Inputs!$C$40)+-Inputs!$C$41*EXP(-(((0)-Inputs!$C$43)^2)/(2*Inputs!$C$44^2))*EXP(-(((Model_Data!A57)-Inputs!$C$42)^2)/(2*Inputs!$C$45^2))+Inputs!$C$48*(0.7*(0.45*SIN(2*PI()*(((Model_Data!A57)/Inputs!$C$49)+Inputs!$C$47*0.137))+0.35*COS(2*PI()*(((0)/Inputs!$C$50)+Inputs!$C$47*0.173))+0.2*SIN(2*PI()*(((Model_Data!A57)+(0))/(0.5*(Inputs!$C$49+Inputs!$C$50))+Inputs!$C$47*0.097)))+0.3*(2*((SIN(((Model_Data!A57)*12.9898+(0)*78.233+Inputs!$C$47*37.719))*43758.5453)-INT((SIN(((Model_Data!A57)*12.9898+(0)*78.233+Inputs!$C$47*37.719))*43758.5453)))-1)))</f>
        <v>14.196906765365963</v>
      </c>
      <c r="H57" s="10"/>
      <c r="I57" s="9">
        <f>Model_Data!A57</f>
        <v>-32.5</v>
      </c>
      <c r="J57" s="9">
        <f>(Inputs!$C$51*(115*EXP(-(((Inputs!$C$6)-25)^2)/(4.5^2))+70*EXP(-(((Inputs!$C$6)+38)^2)/(7^2))*(0.55+0.45*SIN(2*PI()*(Model_Data!A57)/45))+24*SIN(2*PI()*(Inputs!$C$6)/9+(Model_Data!A57)/18)*EXP(-(((Inputs!$C$6)+5)^2)/(22^2))+18*SIN(2*PI()*(Model_Data!A57)/70))+Inputs!$C$28*EXP(-(((Model_Data!A57)-Inputs!$C$29)^2)/(2*Inputs!$C$31^2))*EXP(-(((Inputs!$C$6)-Inputs!$C$30)^2)/(2*Inputs!$C$32^2))+-Inputs!$C$33*EXP(-(((((Model_Data!A57)-Inputs!$C$34)^2)+(((Inputs!$C$6)-Inputs!$C$35)^2))/(2*Inputs!$C$36^2)))+Inputs!$C$37*(0.55*SIN(2*PI()*(Model_Data!A57)/Inputs!$C$39)+0.35*COS(2*PI()*(Inputs!$C$6)/Inputs!$C$40)+0.2*SIN(2*PI()*((Model_Data!A57)+(Inputs!$C$6))/(0.5*(Inputs!$C$39+Inputs!$C$40))))+Inputs!$C$38*SIN(2*PI()*(Model_Data!A57)/Inputs!$C$39)*SIN(2*PI()*(Inputs!$C$6)/Inputs!$C$40)+-Inputs!$C$41*EXP(-(((Inputs!$C$6)-Inputs!$C$43)^2)/(2*Inputs!$C$44^2))*EXP(-(((Model_Data!A57)-Inputs!$C$42)^2)/(2*Inputs!$C$45^2))+Inputs!$C$48*(0.7*(0.45*SIN(2*PI()*(((Model_Data!A57)/Inputs!$C$49)+Inputs!$C$47*0.137))+0.35*COS(2*PI()*(((Inputs!$C$6)/Inputs!$C$50)+Inputs!$C$47*0.173))+0.2*SIN(2*PI()*(((Model_Data!A57)+(Inputs!$C$6))/(0.5*(Inputs!$C$49+Inputs!$C$50))+Inputs!$C$47*0.097)))+0.3*(2*((SIN(((Model_Data!A57)*12.9898+(Inputs!$C$6)*78.233+Inputs!$C$47*37.719))*43758.5453)-INT((SIN(((Model_Data!A57)*12.9898+(Inputs!$C$6)*78.233+Inputs!$C$47*37.719))*43758.5453)))-1)))</f>
        <v>350.91834122472949</v>
      </c>
      <c r="K57" s="9">
        <f>-((((SQRT((Model_Data!A57)^2+Inputs!$C$6^2+((Model_Data!B57)-((Inputs!$C$51*(115*EXP(-(((Inputs!$C$6)-25)^2)/(4.5^2))+70*EXP(-(((Inputs!$C$6)+38)^2)/(7^2))*(0.55+0.45*SIN(2*PI()*(Model_Data!A57)/45))+24*SIN(2*PI()*(Inputs!$C$6)/9+(Model_Data!A57)/18)*EXP(-(((Inputs!$C$6)+5)^2)/(22^2))+18*SIN(2*PI()*(Model_Data!A57)/70))+Inputs!$C$28*EXP(-(((Model_Data!A57)-Inputs!$C$29)^2)/(2*Inputs!$C$31^2))*EXP(-(((Inputs!$C$6)-Inputs!$C$30)^2)/(2*Inputs!$C$32^2))+-Inputs!$C$33*EXP(-(((((Model_Data!A57)-Inputs!$C$34)^2)+(((Inputs!$C$6)-Inputs!$C$35)^2))/(2*Inputs!$C$36^2)))+Inputs!$C$37*(0.55*SIN(2*PI()*(Model_Data!A57)/Inputs!$C$39)+0.35*COS(2*PI()*(Inputs!$C$6)/Inputs!$C$40)+0.2*SIN(2*PI()*((Model_Data!A57)+(Inputs!$C$6))/(0.5*(Inputs!$C$39+Inputs!$C$40))))+Inputs!$C$38*SIN(2*PI()*(Model_Data!A57)/Inputs!$C$39)*SIN(2*PI()*(Inputs!$C$6)/Inputs!$C$40)+-Inputs!$C$41*EXP(-(((Inputs!$C$6)-Inputs!$C$43)^2)/(2*Inputs!$C$44^2))*EXP(-(((Model_Data!A57)-Inputs!$C$42)^2)/(2*Inputs!$C$45^2))+Inputs!$C$48*(0.7*(0.45*SIN(2*PI()*(((Model_Data!A57)/Inputs!$C$49)+Inputs!$C$47*0.137))+0.35*COS(2*PI()*(((Inputs!$C$6)/Inputs!$C$50)+Inputs!$C$47*0.173))+0.2*SIN(2*PI()*(((Model_Data!A57)+(Inputs!$C$6))/(0.5*(Inputs!$C$49+Inputs!$C$50))+Inputs!$C$47*0.097)))+0.3*(2*((SIN(((Model_Data!A57)*12.9898+(Inputs!$C$6)*78.233+Inputs!$C$47*37.719))*43758.5453)-INT((SIN(((Model_Data!A57)*12.9898+(Inputs!$C$6)*78.233+Inputs!$C$47*37.719))*43758.5453)))-1))))/1000)^2))-(((Model_Data!B57)-((Inputs!$C$51*(115*EXP(-(((0)-25)^2)/(4.5^2))+70*EXP(-(((0)+38)^2)/(7^2))*(0.55+0.45*SIN(2*PI()*(Model_Data!A57)/45))+24*SIN(2*PI()*(0)/9+(Model_Data!A57)/18)*EXP(-(((0)+5)^2)/(22^2))+18*SIN(2*PI()*(Model_Data!A57)/70))+Inputs!$C$28*EXP(-(((Model_Data!A57)-Inputs!$C$29)^2)/(2*Inputs!$C$31^2))*EXP(-(((0)-Inputs!$C$30)^2)/(2*Inputs!$C$32^2))+-Inputs!$C$33*EXP(-(((((Model_Data!A57)-Inputs!$C$34)^2)+(((0)-Inputs!$C$35)^2))/(2*Inputs!$C$36^2)))+Inputs!$C$37*(0.55*SIN(2*PI()*(Model_Data!A57)/Inputs!$C$39)+0.35*COS(2*PI()*(0)/Inputs!$C$40)+0.2*SIN(2*PI()*((Model_Data!A57)+(0))/(0.5*(Inputs!$C$39+Inputs!$C$40))))+Inputs!$C$38*SIN(2*PI()*(Model_Data!A57)/Inputs!$C$39)*SIN(2*PI()*(0)/Inputs!$C$40)+-Inputs!$C$41*EXP(-(((0)-Inputs!$C$43)^2)/(2*Inputs!$C$44^2))*EXP(-(((Model_Data!A57)-Inputs!$C$42)^2)/(2*Inputs!$C$45^2))+Inputs!$C$48*(0.7*(0.45*SIN(2*PI()*(((Model_Data!A57)/Inputs!$C$49)+Inputs!$C$47*0.137))+0.35*COS(2*PI()*(((0)/Inputs!$C$50)+Inputs!$C$47*0.173))+0.2*SIN(2*PI()*(((Model_Data!A57)+(0))/(0.5*(Inputs!$C$49+Inputs!$C$50))+Inputs!$C$47*0.097)))+0.3*(2*((SIN(((Model_Data!A57)*12.9898+(0)*78.233+Inputs!$C$47*37.719))*43758.5453)-INT((SIN(((Model_Data!A57)*12.9898+(0)*78.233+Inputs!$C$47*37.719))*43758.5453)))-1))))/1000)))*1000/Inputs!$C$12)-Model_Data!F57)</f>
        <v>188.14672510616049</v>
      </c>
      <c r="L57" s="10"/>
      <c r="M57" s="9">
        <f>Model_Data!A57</f>
        <v>-32.5</v>
      </c>
      <c r="N57" s="9">
        <f>Model_Data!P57</f>
        <v>243.90459241022381</v>
      </c>
      <c r="O57" s="9">
        <f t="shared" si="0"/>
        <v>242.19700942894633</v>
      </c>
      <c r="P57" s="9">
        <f>Model_Data!Q57</f>
        <v>36.622311172706283</v>
      </c>
      <c r="Q57" s="9">
        <f t="shared" si="1"/>
        <v>36.365917331673629</v>
      </c>
      <c r="R57" s="10"/>
      <c r="S57" s="9">
        <f>Model_Data!A57</f>
        <v>-32.5</v>
      </c>
      <c r="T57" s="9">
        <f>Model_Data!B57-Inputs!$C$5</f>
        <v>1.1736111111110858</v>
      </c>
      <c r="U57" s="10"/>
      <c r="V57" s="9">
        <f>Model_Data!A57</f>
        <v>-32.5</v>
      </c>
      <c r="W57" s="9">
        <f>((SQRT((Model_Data!A57)^2+Inputs!$C$6^2+Inputs!$C$5^2)-Inputs!$C$5)*1000/Inputs!$C$12)</f>
        <v>1177.5677584254802</v>
      </c>
      <c r="X57" s="9">
        <f>Model_Data!F57</f>
        <v>1174.1407290190098</v>
      </c>
      <c r="Y57" s="10"/>
      <c r="Z57" s="9">
        <f>Model_Data!A57</f>
        <v>-32.5</v>
      </c>
      <c r="AA57" s="9">
        <f>SQRT((Model_Data!A57)^2+Inputs!$C$6^2+((Model_Data!B57)-((Inputs!$C$51*(115*EXP(-(((Inputs!$C$6)-25)^2)/(4.5^2))+70*EXP(-(((Inputs!$C$6)+38)^2)/(7^2))*(0.55+0.45*SIN(2*PI()*(Model_Data!A57)/45))+24*SIN(2*PI()*(Inputs!$C$6)/9+(Model_Data!A57)/18)*EXP(-(((Inputs!$C$6)+5)^2)/(22^2))+18*SIN(2*PI()*(Model_Data!A57)/70))+Inputs!$C$28*EXP(-(((Model_Data!A57)-Inputs!$C$29)^2)/(2*Inputs!$C$31^2))*EXP(-(((Inputs!$C$6)-Inputs!$C$30)^2)/(2*Inputs!$C$32^2))+-Inputs!$C$33*EXP(-(((((Model_Data!A57)-Inputs!$C$34)^2)+(((Inputs!$C$6)-Inputs!$C$35)^2))/(2*Inputs!$C$36^2)))+Inputs!$C$37*(0.55*SIN(2*PI()*(Model_Data!A57)/Inputs!$C$39)+0.35*COS(2*PI()*(Inputs!$C$6)/Inputs!$C$40)+0.2*SIN(2*PI()*((Model_Data!A57)+(Inputs!$C$6))/(0.5*(Inputs!$C$39+Inputs!$C$40))))+Inputs!$C$38*SIN(2*PI()*(Model_Data!A57)/Inputs!$C$39)*SIN(2*PI()*(Inputs!$C$6)/Inputs!$C$40)+-Inputs!$C$41*EXP(-(((Inputs!$C$6)-Inputs!$C$43)^2)/(2*Inputs!$C$44^2))*EXP(-(((Model_Data!A57)-Inputs!$C$42)^2)/(2*Inputs!$C$45^2))+Inputs!$C$48*(0.7*(0.45*SIN(2*PI()*(((Model_Data!A57)/Inputs!$C$49)+Inputs!$C$47*0.137))+0.35*COS(2*PI()*(((Inputs!$C$6)/Inputs!$C$50)+Inputs!$C$47*0.173))+0.2*SIN(2*PI()*(((Model_Data!A57)+(Inputs!$C$6))/(0.5*(Inputs!$C$49+Inputs!$C$50))+Inputs!$C$47*0.097)))+0.3*(2*((SIN(((Model_Data!A57)*12.9898+(Inputs!$C$6)*78.233+Inputs!$C$47*37.719))*43758.5453)-INT((SIN(((Model_Data!A57)*12.9898+(Inputs!$C$6)*78.233+Inputs!$C$47*37.719))*43758.5453)))-1))))/1000)^2)</f>
        <v>402.91448353131057</v>
      </c>
      <c r="AB57" s="9">
        <f>1000*(AA58-AA56)/(Z58-Z56)*Inputs!$C$11</f>
        <v>-605.49252357236583</v>
      </c>
      <c r="AC57" s="9">
        <f>-2*AB57/Inputs!$C$13</f>
        <v>242.19700942894633</v>
      </c>
      <c r="AD57" s="9">
        <f>-2*AB57/Inputs!$C$14</f>
        <v>36.365917331673629</v>
      </c>
    </row>
    <row r="58" spans="1:30">
      <c r="A58" s="9">
        <f>Model_Data!A58</f>
        <v>-32</v>
      </c>
      <c r="B58" s="9">
        <f>((SQRT((Model_Data!A58)^2+Inputs!$C$6^2+Inputs!$C$5^2)-Inputs!$C$5)*1000/Inputs!$C$12)</f>
        <v>1155.0372210426042</v>
      </c>
      <c r="C58" s="9">
        <f>Model_Data!F58</f>
        <v>1151.7777827269733</v>
      </c>
      <c r="D58" s="9">
        <f>(((SQRT((Model_Data!A58)^2+Inputs!$C$6^2+((Model_Data!B58)-((Inputs!$C$51*(115*EXP(-(((Inputs!$C$6)-25)^2)/(4.5^2))+70*EXP(-(((Inputs!$C$6)+38)^2)/(7^2))*(0.55+0.45*SIN(2*PI()*(Model_Data!A58)/45))+24*SIN(2*PI()*(Inputs!$C$6)/9+(Model_Data!A58)/18)*EXP(-(((Inputs!$C$6)+5)^2)/(22^2))+18*SIN(2*PI()*(Model_Data!A58)/70))+Inputs!$C$28*EXP(-(((Model_Data!A58)-Inputs!$C$29)^2)/(2*Inputs!$C$31^2))*EXP(-(((Inputs!$C$6)-Inputs!$C$30)^2)/(2*Inputs!$C$32^2))+-Inputs!$C$33*EXP(-(((((Model_Data!A58)-Inputs!$C$34)^2)+(((Inputs!$C$6)-Inputs!$C$35)^2))/(2*Inputs!$C$36^2)))+Inputs!$C$37*(0.55*SIN(2*PI()*(Model_Data!A58)/Inputs!$C$39)+0.35*COS(2*PI()*(Inputs!$C$6)/Inputs!$C$40)+0.2*SIN(2*PI()*((Model_Data!A58)+(Inputs!$C$6))/(0.5*(Inputs!$C$39+Inputs!$C$40))))+Inputs!$C$38*SIN(2*PI()*(Model_Data!A58)/Inputs!$C$39)*SIN(2*PI()*(Inputs!$C$6)/Inputs!$C$40)+-Inputs!$C$41*EXP(-(((Inputs!$C$6)-Inputs!$C$43)^2)/(2*Inputs!$C$44^2))*EXP(-(((Model_Data!A58)-Inputs!$C$42)^2)/(2*Inputs!$C$45^2))+Inputs!$C$48*(0.7*(0.45*SIN(2*PI()*(((Model_Data!A58)/Inputs!$C$49)+Inputs!$C$47*0.137))+0.35*COS(2*PI()*(((Inputs!$C$6)/Inputs!$C$50)+Inputs!$C$47*0.173))+0.2*SIN(2*PI()*(((Model_Data!A58)+(Inputs!$C$6))/(0.5*(Inputs!$C$49+Inputs!$C$50))+Inputs!$C$47*0.097)))+0.3*(2*((SIN(((Model_Data!A58)*12.9898+(Inputs!$C$6)*78.233+Inputs!$C$47*37.719))*43758.5453)-INT((SIN(((Model_Data!A58)*12.9898+(Inputs!$C$6)*78.233+Inputs!$C$47*37.719))*43758.5453)))-1))))/1000)^2))-(((Model_Data!B58)-((Inputs!$C$51*(115*EXP(-(((0)-25)^2)/(4.5^2))+70*EXP(-(((0)+38)^2)/(7^2))*(0.55+0.45*SIN(2*PI()*(Model_Data!A58)/45))+24*SIN(2*PI()*(0)/9+(Model_Data!A58)/18)*EXP(-(((0)+5)^2)/(22^2))+18*SIN(2*PI()*(Model_Data!A58)/70))+Inputs!$C$28*EXP(-(((Model_Data!A58)-Inputs!$C$29)^2)/(2*Inputs!$C$31^2))*EXP(-(((0)-Inputs!$C$30)^2)/(2*Inputs!$C$32^2))+-Inputs!$C$33*EXP(-(((((Model_Data!A58)-Inputs!$C$34)^2)+(((0)-Inputs!$C$35)^2))/(2*Inputs!$C$36^2)))+Inputs!$C$37*(0.55*SIN(2*PI()*(Model_Data!A58)/Inputs!$C$39)+0.35*COS(2*PI()*(0)/Inputs!$C$40)+0.2*SIN(2*PI()*((Model_Data!A58)+(0))/(0.5*(Inputs!$C$39+Inputs!$C$40))))+Inputs!$C$38*SIN(2*PI()*(Model_Data!A58)/Inputs!$C$39)*SIN(2*PI()*(0)/Inputs!$C$40)+-Inputs!$C$41*EXP(-(((0)-Inputs!$C$43)^2)/(2*Inputs!$C$44^2))*EXP(-(((Model_Data!A58)-Inputs!$C$42)^2)/(2*Inputs!$C$45^2))+Inputs!$C$48*(0.7*(0.45*SIN(2*PI()*(((Model_Data!A58)/Inputs!$C$49)+Inputs!$C$47*0.137))+0.35*COS(2*PI()*(((0)/Inputs!$C$50)+Inputs!$C$47*0.173))+0.2*SIN(2*PI()*(((Model_Data!A58)+(0))/(0.5*(Inputs!$C$49+Inputs!$C$50))+Inputs!$C$47*0.097)))+0.3*(2*((SIN(((Model_Data!A58)*12.9898+(0)*78.233+Inputs!$C$47*37.719))*43758.5453)-INT((SIN(((Model_Data!A58)*12.9898+(0)*78.233+Inputs!$C$47*37.719))*43758.5453)))-1))))/1000)))*1000/Inputs!$C$12)</f>
        <v>964.4457595683615</v>
      </c>
      <c r="E58" s="9">
        <f>Model_Data!A58</f>
        <v>-32</v>
      </c>
      <c r="F58" s="9">
        <f>(Inputs!$C$51*(115*EXP(-(((Inputs!$C$6)-25)^2)/(4.5^2))+70*EXP(-(((Inputs!$C$6)+38)^2)/(7^2))*(0.55+0.45*SIN(2*PI()*(Model_Data!A58)/45))+24*SIN(2*PI()*(Inputs!$C$6)/9+(Model_Data!A58)/18)*EXP(-(((Inputs!$C$6)+5)^2)/(22^2))+18*SIN(2*PI()*(Model_Data!A58)/70))+Inputs!$C$28*EXP(-(((Model_Data!A58)-Inputs!$C$29)^2)/(2*Inputs!$C$31^2))*EXP(-(((Inputs!$C$6)-Inputs!$C$30)^2)/(2*Inputs!$C$32^2))+-Inputs!$C$33*EXP(-(((((Model_Data!A58)-Inputs!$C$34)^2)+(((Inputs!$C$6)-Inputs!$C$35)^2))/(2*Inputs!$C$36^2)))+Inputs!$C$37*(0.55*SIN(2*PI()*(Model_Data!A58)/Inputs!$C$39)+0.35*COS(2*PI()*(Inputs!$C$6)/Inputs!$C$40)+0.2*SIN(2*PI()*((Model_Data!A58)+(Inputs!$C$6))/(0.5*(Inputs!$C$39+Inputs!$C$40))))+Inputs!$C$38*SIN(2*PI()*(Model_Data!A58)/Inputs!$C$39)*SIN(2*PI()*(Inputs!$C$6)/Inputs!$C$40)+-Inputs!$C$41*EXP(-(((Inputs!$C$6)-Inputs!$C$43)^2)/(2*Inputs!$C$44^2))*EXP(-(((Model_Data!A58)-Inputs!$C$42)^2)/(2*Inputs!$C$45^2))+Inputs!$C$48*(0.7*(0.45*SIN(2*PI()*(((Model_Data!A58)/Inputs!$C$49)+Inputs!$C$47*0.137))+0.35*COS(2*PI()*(((Inputs!$C$6)/Inputs!$C$50)+Inputs!$C$47*0.173))+0.2*SIN(2*PI()*(((Model_Data!A58)+(Inputs!$C$6))/(0.5*(Inputs!$C$49+Inputs!$C$50))+Inputs!$C$47*0.097)))+0.3*(2*((SIN(((Model_Data!A58)*12.9898+(Inputs!$C$6)*78.233+Inputs!$C$47*37.719))*43758.5453)-INT((SIN(((Model_Data!A58)*12.9898+(Inputs!$C$6)*78.233+Inputs!$C$47*37.719))*43758.5453)))-1)))</f>
        <v>340.91681406553505</v>
      </c>
      <c r="G58" s="9">
        <f>(Inputs!$C$51*(115*EXP(-(((0)-25)^2)/(4.5^2))+70*EXP(-(((0)+38)^2)/(7^2))*(0.55+0.45*SIN(2*PI()*(Model_Data!A58)/45))+24*SIN(2*PI()*(0)/9+(Model_Data!A58)/18)*EXP(-(((0)+5)^2)/(22^2))+18*SIN(2*PI()*(Model_Data!A58)/70))+Inputs!$C$28*EXP(-(((Model_Data!A58)-Inputs!$C$29)^2)/(2*Inputs!$C$31^2))*EXP(-(((0)-Inputs!$C$30)^2)/(2*Inputs!$C$32^2))+-Inputs!$C$33*EXP(-(((((Model_Data!A58)-Inputs!$C$34)^2)+(((0)-Inputs!$C$35)^2))/(2*Inputs!$C$36^2)))+Inputs!$C$37*(0.55*SIN(2*PI()*(Model_Data!A58)/Inputs!$C$39)+0.35*COS(2*PI()*(0)/Inputs!$C$40)+0.2*SIN(2*PI()*((Model_Data!A58)+(0))/(0.5*(Inputs!$C$39+Inputs!$C$40))))+Inputs!$C$38*SIN(2*PI()*(Model_Data!A58)/Inputs!$C$39)*SIN(2*PI()*(0)/Inputs!$C$40)+-Inputs!$C$41*EXP(-(((0)-Inputs!$C$43)^2)/(2*Inputs!$C$44^2))*EXP(-(((Model_Data!A58)-Inputs!$C$42)^2)/(2*Inputs!$C$45^2))+Inputs!$C$48*(0.7*(0.45*SIN(2*PI()*(((Model_Data!A58)/Inputs!$C$49)+Inputs!$C$47*0.137))+0.35*COS(2*PI()*(((0)/Inputs!$C$50)+Inputs!$C$47*0.173))+0.2*SIN(2*PI()*(((Model_Data!A58)+(0))/(0.5*(Inputs!$C$49+Inputs!$C$50))+Inputs!$C$47*0.097)))+0.3*(2*((SIN(((Model_Data!A58)*12.9898+(0)*78.233+Inputs!$C$47*37.719))*43758.5453)-INT((SIN(((Model_Data!A58)*12.9898+(0)*78.233+Inputs!$C$47*37.719))*43758.5453)))-1)))</f>
        <v>5.7308266461344264</v>
      </c>
      <c r="H58" s="10"/>
      <c r="I58" s="9">
        <f>Model_Data!A58</f>
        <v>-32</v>
      </c>
      <c r="J58" s="9">
        <f>(Inputs!$C$51*(115*EXP(-(((Inputs!$C$6)-25)^2)/(4.5^2))+70*EXP(-(((Inputs!$C$6)+38)^2)/(7^2))*(0.55+0.45*SIN(2*PI()*(Model_Data!A58)/45))+24*SIN(2*PI()*(Inputs!$C$6)/9+(Model_Data!A58)/18)*EXP(-(((Inputs!$C$6)+5)^2)/(22^2))+18*SIN(2*PI()*(Model_Data!A58)/70))+Inputs!$C$28*EXP(-(((Model_Data!A58)-Inputs!$C$29)^2)/(2*Inputs!$C$31^2))*EXP(-(((Inputs!$C$6)-Inputs!$C$30)^2)/(2*Inputs!$C$32^2))+-Inputs!$C$33*EXP(-(((((Model_Data!A58)-Inputs!$C$34)^2)+(((Inputs!$C$6)-Inputs!$C$35)^2))/(2*Inputs!$C$36^2)))+Inputs!$C$37*(0.55*SIN(2*PI()*(Model_Data!A58)/Inputs!$C$39)+0.35*COS(2*PI()*(Inputs!$C$6)/Inputs!$C$40)+0.2*SIN(2*PI()*((Model_Data!A58)+(Inputs!$C$6))/(0.5*(Inputs!$C$39+Inputs!$C$40))))+Inputs!$C$38*SIN(2*PI()*(Model_Data!A58)/Inputs!$C$39)*SIN(2*PI()*(Inputs!$C$6)/Inputs!$C$40)+-Inputs!$C$41*EXP(-(((Inputs!$C$6)-Inputs!$C$43)^2)/(2*Inputs!$C$44^2))*EXP(-(((Model_Data!A58)-Inputs!$C$42)^2)/(2*Inputs!$C$45^2))+Inputs!$C$48*(0.7*(0.45*SIN(2*PI()*(((Model_Data!A58)/Inputs!$C$49)+Inputs!$C$47*0.137))+0.35*COS(2*PI()*(((Inputs!$C$6)/Inputs!$C$50)+Inputs!$C$47*0.173))+0.2*SIN(2*PI()*(((Model_Data!A58)+(Inputs!$C$6))/(0.5*(Inputs!$C$49+Inputs!$C$50))+Inputs!$C$47*0.097)))+0.3*(2*((SIN(((Model_Data!A58)*12.9898+(Inputs!$C$6)*78.233+Inputs!$C$47*37.719))*43758.5453)-INT((SIN(((Model_Data!A58)*12.9898+(Inputs!$C$6)*78.233+Inputs!$C$47*37.719))*43758.5453)))-1)))</f>
        <v>340.91681406553505</v>
      </c>
      <c r="K58" s="9">
        <f>-((((SQRT((Model_Data!A58)^2+Inputs!$C$6^2+((Model_Data!B58)-((Inputs!$C$51*(115*EXP(-(((Inputs!$C$6)-25)^2)/(4.5^2))+70*EXP(-(((Inputs!$C$6)+38)^2)/(7^2))*(0.55+0.45*SIN(2*PI()*(Model_Data!A58)/45))+24*SIN(2*PI()*(Inputs!$C$6)/9+(Model_Data!A58)/18)*EXP(-(((Inputs!$C$6)+5)^2)/(22^2))+18*SIN(2*PI()*(Model_Data!A58)/70))+Inputs!$C$28*EXP(-(((Model_Data!A58)-Inputs!$C$29)^2)/(2*Inputs!$C$31^2))*EXP(-(((Inputs!$C$6)-Inputs!$C$30)^2)/(2*Inputs!$C$32^2))+-Inputs!$C$33*EXP(-(((((Model_Data!A58)-Inputs!$C$34)^2)+(((Inputs!$C$6)-Inputs!$C$35)^2))/(2*Inputs!$C$36^2)))+Inputs!$C$37*(0.55*SIN(2*PI()*(Model_Data!A58)/Inputs!$C$39)+0.35*COS(2*PI()*(Inputs!$C$6)/Inputs!$C$40)+0.2*SIN(2*PI()*((Model_Data!A58)+(Inputs!$C$6))/(0.5*(Inputs!$C$39+Inputs!$C$40))))+Inputs!$C$38*SIN(2*PI()*(Model_Data!A58)/Inputs!$C$39)*SIN(2*PI()*(Inputs!$C$6)/Inputs!$C$40)+-Inputs!$C$41*EXP(-(((Inputs!$C$6)-Inputs!$C$43)^2)/(2*Inputs!$C$44^2))*EXP(-(((Model_Data!A58)-Inputs!$C$42)^2)/(2*Inputs!$C$45^2))+Inputs!$C$48*(0.7*(0.45*SIN(2*PI()*(((Model_Data!A58)/Inputs!$C$49)+Inputs!$C$47*0.137))+0.35*COS(2*PI()*(((Inputs!$C$6)/Inputs!$C$50)+Inputs!$C$47*0.173))+0.2*SIN(2*PI()*(((Model_Data!A58)+(Inputs!$C$6))/(0.5*(Inputs!$C$49+Inputs!$C$50))+Inputs!$C$47*0.097)))+0.3*(2*((SIN(((Model_Data!A58)*12.9898+(Inputs!$C$6)*78.233+Inputs!$C$47*37.719))*43758.5453)-INT((SIN(((Model_Data!A58)*12.9898+(Inputs!$C$6)*78.233+Inputs!$C$47*37.719))*43758.5453)))-1))))/1000)^2))-(((Model_Data!B58)-((Inputs!$C$51*(115*EXP(-(((0)-25)^2)/(4.5^2))+70*EXP(-(((0)+38)^2)/(7^2))*(0.55+0.45*SIN(2*PI()*(Model_Data!A58)/45))+24*SIN(2*PI()*(0)/9+(Model_Data!A58)/18)*EXP(-(((0)+5)^2)/(22^2))+18*SIN(2*PI()*(Model_Data!A58)/70))+Inputs!$C$28*EXP(-(((Model_Data!A58)-Inputs!$C$29)^2)/(2*Inputs!$C$31^2))*EXP(-(((0)-Inputs!$C$30)^2)/(2*Inputs!$C$32^2))+-Inputs!$C$33*EXP(-(((((Model_Data!A58)-Inputs!$C$34)^2)+(((0)-Inputs!$C$35)^2))/(2*Inputs!$C$36^2)))+Inputs!$C$37*(0.55*SIN(2*PI()*(Model_Data!A58)/Inputs!$C$39)+0.35*COS(2*PI()*(0)/Inputs!$C$40)+0.2*SIN(2*PI()*((Model_Data!A58)+(0))/(0.5*(Inputs!$C$39+Inputs!$C$40))))+Inputs!$C$38*SIN(2*PI()*(Model_Data!A58)/Inputs!$C$39)*SIN(2*PI()*(0)/Inputs!$C$40)+-Inputs!$C$41*EXP(-(((0)-Inputs!$C$43)^2)/(2*Inputs!$C$44^2))*EXP(-(((Model_Data!A58)-Inputs!$C$42)^2)/(2*Inputs!$C$45^2))+Inputs!$C$48*(0.7*(0.45*SIN(2*PI()*(((Model_Data!A58)/Inputs!$C$49)+Inputs!$C$47*0.137))+0.35*COS(2*PI()*(((0)/Inputs!$C$50)+Inputs!$C$47*0.173))+0.2*SIN(2*PI()*(((Model_Data!A58)+(0))/(0.5*(Inputs!$C$49+Inputs!$C$50))+Inputs!$C$47*0.097)))+0.3*(2*((SIN(((Model_Data!A58)*12.9898+(0)*78.233+Inputs!$C$47*37.719))*43758.5453)-INT((SIN(((Model_Data!A58)*12.9898+(0)*78.233+Inputs!$C$47*37.719))*43758.5453)))-1))))/1000)))*1000/Inputs!$C$12)-Model_Data!F58)</f>
        <v>187.33202315861183</v>
      </c>
      <c r="L58" s="10"/>
      <c r="M58" s="9">
        <f>Model_Data!A58</f>
        <v>-32</v>
      </c>
      <c r="N58" s="9">
        <f>Model_Data!P58</f>
        <v>240.18715540550747</v>
      </c>
      <c r="O58" s="9">
        <f t="shared" si="0"/>
        <v>247.03626042373799</v>
      </c>
      <c r="P58" s="9">
        <f>Model_Data!Q58</f>
        <v>36.064137448274401</v>
      </c>
      <c r="Q58" s="9">
        <f t="shared" si="1"/>
        <v>37.092531595155855</v>
      </c>
      <c r="R58" s="10"/>
      <c r="S58" s="9">
        <f>Model_Data!A58</f>
        <v>-32</v>
      </c>
      <c r="T58" s="9">
        <f>Model_Data!B58-Inputs!$C$5</f>
        <v>1.1377777777777851</v>
      </c>
      <c r="U58" s="10"/>
      <c r="V58" s="9">
        <f>Model_Data!A58</f>
        <v>-32</v>
      </c>
      <c r="W58" s="9">
        <f>((SQRT((Model_Data!A58)^2+Inputs!$C$6^2+Inputs!$C$5^2)-Inputs!$C$5)*1000/Inputs!$C$12)</f>
        <v>1155.0372210426042</v>
      </c>
      <c r="X58" s="9">
        <f>Model_Data!F58</f>
        <v>1151.7777827269733</v>
      </c>
      <c r="Y58" s="10"/>
      <c r="Z58" s="9">
        <f>Model_Data!A58</f>
        <v>-32</v>
      </c>
      <c r="AA58" s="9">
        <f>SQRT((Model_Data!A58)^2+Inputs!$C$6^2+((Model_Data!B58)-((Inputs!$C$51*(115*EXP(-(((Inputs!$C$6)-25)^2)/(4.5^2))+70*EXP(-(((Inputs!$C$6)+38)^2)/(7^2))*(0.55+0.45*SIN(2*PI()*(Model_Data!A58)/45))+24*SIN(2*PI()*(Inputs!$C$6)/9+(Model_Data!A58)/18)*EXP(-(((Inputs!$C$6)+5)^2)/(22^2))+18*SIN(2*PI()*(Model_Data!A58)/70))+Inputs!$C$28*EXP(-(((Model_Data!A58)-Inputs!$C$29)^2)/(2*Inputs!$C$31^2))*EXP(-(((Inputs!$C$6)-Inputs!$C$30)^2)/(2*Inputs!$C$32^2))+-Inputs!$C$33*EXP(-(((((Model_Data!A58)-Inputs!$C$34)^2)+(((Inputs!$C$6)-Inputs!$C$35)^2))/(2*Inputs!$C$36^2)))+Inputs!$C$37*(0.55*SIN(2*PI()*(Model_Data!A58)/Inputs!$C$39)+0.35*COS(2*PI()*(Inputs!$C$6)/Inputs!$C$40)+0.2*SIN(2*PI()*((Model_Data!A58)+(Inputs!$C$6))/(0.5*(Inputs!$C$39+Inputs!$C$40))))+Inputs!$C$38*SIN(2*PI()*(Model_Data!A58)/Inputs!$C$39)*SIN(2*PI()*(Inputs!$C$6)/Inputs!$C$40)+-Inputs!$C$41*EXP(-(((Inputs!$C$6)-Inputs!$C$43)^2)/(2*Inputs!$C$44^2))*EXP(-(((Model_Data!A58)-Inputs!$C$42)^2)/(2*Inputs!$C$45^2))+Inputs!$C$48*(0.7*(0.45*SIN(2*PI()*(((Model_Data!A58)/Inputs!$C$49)+Inputs!$C$47*0.137))+0.35*COS(2*PI()*(((Inputs!$C$6)/Inputs!$C$50)+Inputs!$C$47*0.173))+0.2*SIN(2*PI()*(((Model_Data!A58)+(Inputs!$C$6))/(0.5*(Inputs!$C$49+Inputs!$C$50))+Inputs!$C$47*0.097)))+0.3*(2*((SIN(((Model_Data!A58)*12.9898+(Inputs!$C$6)*78.233+Inputs!$C$47*37.719))*43758.5453)-INT((SIN(((Model_Data!A58)*12.9898+(Inputs!$C$6)*78.233+Inputs!$C$47*37.719))*43758.5453)))-1))))/1000)^2)</f>
        <v>402.84876040316334</v>
      </c>
      <c r="AB58" s="9">
        <f>1000*(AA59-AA57)/(Z59-Z57)*Inputs!$C$11</f>
        <v>-617.59065105934496</v>
      </c>
      <c r="AC58" s="9">
        <f>-2*AB58/Inputs!$C$13</f>
        <v>247.03626042373799</v>
      </c>
      <c r="AD58" s="9">
        <f>-2*AB58/Inputs!$C$14</f>
        <v>37.092531595155855</v>
      </c>
    </row>
    <row r="59" spans="1:30">
      <c r="A59" s="9">
        <f>Model_Data!A59</f>
        <v>-31.5</v>
      </c>
      <c r="B59" s="9">
        <f>((SQRT((Model_Data!A59)^2+Inputs!$C$6^2+Inputs!$C$5^2)-Inputs!$C$5)*1000/Inputs!$C$12)</f>
        <v>1132.8537987153045</v>
      </c>
      <c r="C59" s="9">
        <f>Model_Data!F59</f>
        <v>1129.7555078402418</v>
      </c>
      <c r="D59" s="9">
        <f>(((SQRT((Model_Data!A59)^2+Inputs!$C$6^2+((Model_Data!B59)-((Inputs!$C$51*(115*EXP(-(((Inputs!$C$6)-25)^2)/(4.5^2))+70*EXP(-(((Inputs!$C$6)+38)^2)/(7^2))*(0.55+0.45*SIN(2*PI()*(Model_Data!A59)/45))+24*SIN(2*PI()*(Inputs!$C$6)/9+(Model_Data!A59)/18)*EXP(-(((Inputs!$C$6)+5)^2)/(22^2))+18*SIN(2*PI()*(Model_Data!A59)/70))+Inputs!$C$28*EXP(-(((Model_Data!A59)-Inputs!$C$29)^2)/(2*Inputs!$C$31^2))*EXP(-(((Inputs!$C$6)-Inputs!$C$30)^2)/(2*Inputs!$C$32^2))+-Inputs!$C$33*EXP(-(((((Model_Data!A59)-Inputs!$C$34)^2)+(((Inputs!$C$6)-Inputs!$C$35)^2))/(2*Inputs!$C$36^2)))+Inputs!$C$37*(0.55*SIN(2*PI()*(Model_Data!A59)/Inputs!$C$39)+0.35*COS(2*PI()*(Inputs!$C$6)/Inputs!$C$40)+0.2*SIN(2*PI()*((Model_Data!A59)+(Inputs!$C$6))/(0.5*(Inputs!$C$39+Inputs!$C$40))))+Inputs!$C$38*SIN(2*PI()*(Model_Data!A59)/Inputs!$C$39)*SIN(2*PI()*(Inputs!$C$6)/Inputs!$C$40)+-Inputs!$C$41*EXP(-(((Inputs!$C$6)-Inputs!$C$43)^2)/(2*Inputs!$C$44^2))*EXP(-(((Model_Data!A59)-Inputs!$C$42)^2)/(2*Inputs!$C$45^2))+Inputs!$C$48*(0.7*(0.45*SIN(2*PI()*(((Model_Data!A59)/Inputs!$C$49)+Inputs!$C$47*0.137))+0.35*COS(2*PI()*(((Inputs!$C$6)/Inputs!$C$50)+Inputs!$C$47*0.173))+0.2*SIN(2*PI()*(((Model_Data!A59)+(Inputs!$C$6))/(0.5*(Inputs!$C$49+Inputs!$C$50))+Inputs!$C$47*0.097)))+0.3*(2*((SIN(((Model_Data!A59)*12.9898+(Inputs!$C$6)*78.233+Inputs!$C$47*37.719))*43758.5453)-INT((SIN(((Model_Data!A59)*12.9898+(Inputs!$C$6)*78.233+Inputs!$C$47*37.719))*43758.5453)))-1))))/1000)^2))-(((Model_Data!B59)-((Inputs!$C$51*(115*EXP(-(((0)-25)^2)/(4.5^2))+70*EXP(-(((0)+38)^2)/(7^2))*(0.55+0.45*SIN(2*PI()*(Model_Data!A59)/45))+24*SIN(2*PI()*(0)/9+(Model_Data!A59)/18)*EXP(-(((0)+5)^2)/(22^2))+18*SIN(2*PI()*(Model_Data!A59)/70))+Inputs!$C$28*EXP(-(((Model_Data!A59)-Inputs!$C$29)^2)/(2*Inputs!$C$31^2))*EXP(-(((0)-Inputs!$C$30)^2)/(2*Inputs!$C$32^2))+-Inputs!$C$33*EXP(-(((((Model_Data!A59)-Inputs!$C$34)^2)+(((0)-Inputs!$C$35)^2))/(2*Inputs!$C$36^2)))+Inputs!$C$37*(0.55*SIN(2*PI()*(Model_Data!A59)/Inputs!$C$39)+0.35*COS(2*PI()*(0)/Inputs!$C$40)+0.2*SIN(2*PI()*((Model_Data!A59)+(0))/(0.5*(Inputs!$C$39+Inputs!$C$40))))+Inputs!$C$38*SIN(2*PI()*(Model_Data!A59)/Inputs!$C$39)*SIN(2*PI()*(0)/Inputs!$C$40)+-Inputs!$C$41*EXP(-(((0)-Inputs!$C$43)^2)/(2*Inputs!$C$44^2))*EXP(-(((Model_Data!A59)-Inputs!$C$42)^2)/(2*Inputs!$C$45^2))+Inputs!$C$48*(0.7*(0.45*SIN(2*PI()*(((Model_Data!A59)/Inputs!$C$49)+Inputs!$C$47*0.137))+0.35*COS(2*PI()*(((0)/Inputs!$C$50)+Inputs!$C$47*0.173))+0.2*SIN(2*PI()*(((Model_Data!A59)+(0))/(0.5*(Inputs!$C$49+Inputs!$C$50))+Inputs!$C$47*0.097)))+0.3*(2*((SIN(((Model_Data!A59)*12.9898+(0)*78.233+Inputs!$C$47*37.719))*43758.5453)-INT((SIN(((Model_Data!A59)*12.9898+(0)*78.233+Inputs!$C$47*37.719))*43758.5453)))-1))))/1000)))*1000/Inputs!$C$12)</f>
        <v>936.45038520299863</v>
      </c>
      <c r="E59" s="9">
        <f>Model_Data!A59</f>
        <v>-31.5</v>
      </c>
      <c r="F59" s="9">
        <f>(Inputs!$C$51*(115*EXP(-(((Inputs!$C$6)-25)^2)/(4.5^2))+70*EXP(-(((Inputs!$C$6)+38)^2)/(7^2))*(0.55+0.45*SIN(2*PI()*(Model_Data!A59)/45))+24*SIN(2*PI()*(Inputs!$C$6)/9+(Model_Data!A59)/18)*EXP(-(((Inputs!$C$6)+5)^2)/(22^2))+18*SIN(2*PI()*(Model_Data!A59)/70))+Inputs!$C$28*EXP(-(((Model_Data!A59)-Inputs!$C$29)^2)/(2*Inputs!$C$31^2))*EXP(-(((Inputs!$C$6)-Inputs!$C$30)^2)/(2*Inputs!$C$32^2))+-Inputs!$C$33*EXP(-(((((Model_Data!A59)-Inputs!$C$34)^2)+(((Inputs!$C$6)-Inputs!$C$35)^2))/(2*Inputs!$C$36^2)))+Inputs!$C$37*(0.55*SIN(2*PI()*(Model_Data!A59)/Inputs!$C$39)+0.35*COS(2*PI()*(Inputs!$C$6)/Inputs!$C$40)+0.2*SIN(2*PI()*((Model_Data!A59)+(Inputs!$C$6))/(0.5*(Inputs!$C$39+Inputs!$C$40))))+Inputs!$C$38*SIN(2*PI()*(Model_Data!A59)/Inputs!$C$39)*SIN(2*PI()*(Inputs!$C$6)/Inputs!$C$40)+-Inputs!$C$41*EXP(-(((Inputs!$C$6)-Inputs!$C$43)^2)/(2*Inputs!$C$44^2))*EXP(-(((Model_Data!A59)-Inputs!$C$42)^2)/(2*Inputs!$C$45^2))+Inputs!$C$48*(0.7*(0.45*SIN(2*PI()*(((Model_Data!A59)/Inputs!$C$49)+Inputs!$C$47*0.137))+0.35*COS(2*PI()*(((Inputs!$C$6)/Inputs!$C$50)+Inputs!$C$47*0.173))+0.2*SIN(2*PI()*(((Model_Data!A59)+(Inputs!$C$6))/(0.5*(Inputs!$C$49+Inputs!$C$50))+Inputs!$C$47*0.097)))+0.3*(2*((SIN(((Model_Data!A59)*12.9898+(Inputs!$C$6)*78.233+Inputs!$C$47*37.719))*43758.5453)-INT((SIN(((Model_Data!A59)*12.9898+(Inputs!$C$6)*78.233+Inputs!$C$47*37.719))*43758.5453)))-1)))</f>
        <v>355.15219987006986</v>
      </c>
      <c r="G59" s="9">
        <f>(Inputs!$C$51*(115*EXP(-(((0)-25)^2)/(4.5^2))+70*EXP(-(((0)+38)^2)/(7^2))*(0.55+0.45*SIN(2*PI()*(Model_Data!A59)/45))+24*SIN(2*PI()*(0)/9+(Model_Data!A59)/18)*EXP(-(((0)+5)^2)/(22^2))+18*SIN(2*PI()*(Model_Data!A59)/70))+Inputs!$C$28*EXP(-(((Model_Data!A59)-Inputs!$C$29)^2)/(2*Inputs!$C$31^2))*EXP(-(((0)-Inputs!$C$30)^2)/(2*Inputs!$C$32^2))+-Inputs!$C$33*EXP(-(((((Model_Data!A59)-Inputs!$C$34)^2)+(((0)-Inputs!$C$35)^2))/(2*Inputs!$C$36^2)))+Inputs!$C$37*(0.55*SIN(2*PI()*(Model_Data!A59)/Inputs!$C$39)+0.35*COS(2*PI()*(0)/Inputs!$C$40)+0.2*SIN(2*PI()*((Model_Data!A59)+(0))/(0.5*(Inputs!$C$39+Inputs!$C$40))))+Inputs!$C$38*SIN(2*PI()*(Model_Data!A59)/Inputs!$C$39)*SIN(2*PI()*(0)/Inputs!$C$40)+-Inputs!$C$41*EXP(-(((0)-Inputs!$C$43)^2)/(2*Inputs!$C$44^2))*EXP(-(((Model_Data!A59)-Inputs!$C$42)^2)/(2*Inputs!$C$45^2))+Inputs!$C$48*(0.7*(0.45*SIN(2*PI()*(((Model_Data!A59)/Inputs!$C$49)+Inputs!$C$47*0.137))+0.35*COS(2*PI()*(((0)/Inputs!$C$50)+Inputs!$C$47*0.173))+0.2*SIN(2*PI()*(((Model_Data!A59)+(0))/(0.5*(Inputs!$C$49+Inputs!$C$50))+Inputs!$C$47*0.097)))+0.3*(2*((SIN(((Model_Data!A59)*12.9898+(0)*78.233+Inputs!$C$47*37.719))*43758.5453)-INT((SIN(((Model_Data!A59)*12.9898+(0)*78.233+Inputs!$C$47*37.719))*43758.5453)))-1)))</f>
        <v>9.2958171156023646</v>
      </c>
      <c r="H59" s="10"/>
      <c r="I59" s="9">
        <f>Model_Data!A59</f>
        <v>-31.5</v>
      </c>
      <c r="J59" s="9">
        <f>(Inputs!$C$51*(115*EXP(-(((Inputs!$C$6)-25)^2)/(4.5^2))+70*EXP(-(((Inputs!$C$6)+38)^2)/(7^2))*(0.55+0.45*SIN(2*PI()*(Model_Data!A59)/45))+24*SIN(2*PI()*(Inputs!$C$6)/9+(Model_Data!A59)/18)*EXP(-(((Inputs!$C$6)+5)^2)/(22^2))+18*SIN(2*PI()*(Model_Data!A59)/70))+Inputs!$C$28*EXP(-(((Model_Data!A59)-Inputs!$C$29)^2)/(2*Inputs!$C$31^2))*EXP(-(((Inputs!$C$6)-Inputs!$C$30)^2)/(2*Inputs!$C$32^2))+-Inputs!$C$33*EXP(-(((((Model_Data!A59)-Inputs!$C$34)^2)+(((Inputs!$C$6)-Inputs!$C$35)^2))/(2*Inputs!$C$36^2)))+Inputs!$C$37*(0.55*SIN(2*PI()*(Model_Data!A59)/Inputs!$C$39)+0.35*COS(2*PI()*(Inputs!$C$6)/Inputs!$C$40)+0.2*SIN(2*PI()*((Model_Data!A59)+(Inputs!$C$6))/(0.5*(Inputs!$C$39+Inputs!$C$40))))+Inputs!$C$38*SIN(2*PI()*(Model_Data!A59)/Inputs!$C$39)*SIN(2*PI()*(Inputs!$C$6)/Inputs!$C$40)+-Inputs!$C$41*EXP(-(((Inputs!$C$6)-Inputs!$C$43)^2)/(2*Inputs!$C$44^2))*EXP(-(((Model_Data!A59)-Inputs!$C$42)^2)/(2*Inputs!$C$45^2))+Inputs!$C$48*(0.7*(0.45*SIN(2*PI()*(((Model_Data!A59)/Inputs!$C$49)+Inputs!$C$47*0.137))+0.35*COS(2*PI()*(((Inputs!$C$6)/Inputs!$C$50)+Inputs!$C$47*0.173))+0.2*SIN(2*PI()*(((Model_Data!A59)+(Inputs!$C$6))/(0.5*(Inputs!$C$49+Inputs!$C$50))+Inputs!$C$47*0.097)))+0.3*(2*((SIN(((Model_Data!A59)*12.9898+(Inputs!$C$6)*78.233+Inputs!$C$47*37.719))*43758.5453)-INT((SIN(((Model_Data!A59)*12.9898+(Inputs!$C$6)*78.233+Inputs!$C$47*37.719))*43758.5453)))-1)))</f>
        <v>355.15219987006986</v>
      </c>
      <c r="K59" s="9">
        <f>-((((SQRT((Model_Data!A59)^2+Inputs!$C$6^2+((Model_Data!B59)-((Inputs!$C$51*(115*EXP(-(((Inputs!$C$6)-25)^2)/(4.5^2))+70*EXP(-(((Inputs!$C$6)+38)^2)/(7^2))*(0.55+0.45*SIN(2*PI()*(Model_Data!A59)/45))+24*SIN(2*PI()*(Inputs!$C$6)/9+(Model_Data!A59)/18)*EXP(-(((Inputs!$C$6)+5)^2)/(22^2))+18*SIN(2*PI()*(Model_Data!A59)/70))+Inputs!$C$28*EXP(-(((Model_Data!A59)-Inputs!$C$29)^2)/(2*Inputs!$C$31^2))*EXP(-(((Inputs!$C$6)-Inputs!$C$30)^2)/(2*Inputs!$C$32^2))+-Inputs!$C$33*EXP(-(((((Model_Data!A59)-Inputs!$C$34)^2)+(((Inputs!$C$6)-Inputs!$C$35)^2))/(2*Inputs!$C$36^2)))+Inputs!$C$37*(0.55*SIN(2*PI()*(Model_Data!A59)/Inputs!$C$39)+0.35*COS(2*PI()*(Inputs!$C$6)/Inputs!$C$40)+0.2*SIN(2*PI()*((Model_Data!A59)+(Inputs!$C$6))/(0.5*(Inputs!$C$39+Inputs!$C$40))))+Inputs!$C$38*SIN(2*PI()*(Model_Data!A59)/Inputs!$C$39)*SIN(2*PI()*(Inputs!$C$6)/Inputs!$C$40)+-Inputs!$C$41*EXP(-(((Inputs!$C$6)-Inputs!$C$43)^2)/(2*Inputs!$C$44^2))*EXP(-(((Model_Data!A59)-Inputs!$C$42)^2)/(2*Inputs!$C$45^2))+Inputs!$C$48*(0.7*(0.45*SIN(2*PI()*(((Model_Data!A59)/Inputs!$C$49)+Inputs!$C$47*0.137))+0.35*COS(2*PI()*(((Inputs!$C$6)/Inputs!$C$50)+Inputs!$C$47*0.173))+0.2*SIN(2*PI()*(((Model_Data!A59)+(Inputs!$C$6))/(0.5*(Inputs!$C$49+Inputs!$C$50))+Inputs!$C$47*0.097)))+0.3*(2*((SIN(((Model_Data!A59)*12.9898+(Inputs!$C$6)*78.233+Inputs!$C$47*37.719))*43758.5453)-INT((SIN(((Model_Data!A59)*12.9898+(Inputs!$C$6)*78.233+Inputs!$C$47*37.719))*43758.5453)))-1))))/1000)^2))-(((Model_Data!B59)-((Inputs!$C$51*(115*EXP(-(((0)-25)^2)/(4.5^2))+70*EXP(-(((0)+38)^2)/(7^2))*(0.55+0.45*SIN(2*PI()*(Model_Data!A59)/45))+24*SIN(2*PI()*(0)/9+(Model_Data!A59)/18)*EXP(-(((0)+5)^2)/(22^2))+18*SIN(2*PI()*(Model_Data!A59)/70))+Inputs!$C$28*EXP(-(((Model_Data!A59)-Inputs!$C$29)^2)/(2*Inputs!$C$31^2))*EXP(-(((0)-Inputs!$C$30)^2)/(2*Inputs!$C$32^2))+-Inputs!$C$33*EXP(-(((((Model_Data!A59)-Inputs!$C$34)^2)+(((0)-Inputs!$C$35)^2))/(2*Inputs!$C$36^2)))+Inputs!$C$37*(0.55*SIN(2*PI()*(Model_Data!A59)/Inputs!$C$39)+0.35*COS(2*PI()*(0)/Inputs!$C$40)+0.2*SIN(2*PI()*((Model_Data!A59)+(0))/(0.5*(Inputs!$C$39+Inputs!$C$40))))+Inputs!$C$38*SIN(2*PI()*(Model_Data!A59)/Inputs!$C$39)*SIN(2*PI()*(0)/Inputs!$C$40)+-Inputs!$C$41*EXP(-(((0)-Inputs!$C$43)^2)/(2*Inputs!$C$44^2))*EXP(-(((Model_Data!A59)-Inputs!$C$42)^2)/(2*Inputs!$C$45^2))+Inputs!$C$48*(0.7*(0.45*SIN(2*PI()*(((Model_Data!A59)/Inputs!$C$49)+Inputs!$C$47*0.137))+0.35*COS(2*PI()*(((0)/Inputs!$C$50)+Inputs!$C$47*0.173))+0.2*SIN(2*PI()*(((Model_Data!A59)+(0))/(0.5*(Inputs!$C$49+Inputs!$C$50))+Inputs!$C$47*0.097)))+0.3*(2*((SIN(((Model_Data!A59)*12.9898+(0)*78.233+Inputs!$C$47*37.719))*43758.5453)-INT((SIN(((Model_Data!A59)*12.9898+(0)*78.233+Inputs!$C$47*37.719))*43758.5453)))-1))))/1000)))*1000/Inputs!$C$12)-Model_Data!F59)</f>
        <v>193.30512263724313</v>
      </c>
      <c r="L59" s="10"/>
      <c r="M59" s="9">
        <f>Model_Data!A59</f>
        <v>-31.5</v>
      </c>
      <c r="N59" s="9">
        <f>Model_Data!P59</f>
        <v>236.46811213899355</v>
      </c>
      <c r="O59" s="9">
        <f t="shared" si="0"/>
        <v>256.22609239208032</v>
      </c>
      <c r="P59" s="9">
        <f>Model_Data!Q59</f>
        <v>35.50572254339243</v>
      </c>
      <c r="Q59" s="9">
        <f t="shared" si="1"/>
        <v>38.472386245057109</v>
      </c>
      <c r="R59" s="10"/>
      <c r="S59" s="9">
        <f>Model_Data!A59</f>
        <v>-31.5</v>
      </c>
      <c r="T59" s="9">
        <f>Model_Data!B59-Inputs!$C$5</f>
        <v>1.1025000000000205</v>
      </c>
      <c r="U59" s="10"/>
      <c r="V59" s="9">
        <f>Model_Data!A59</f>
        <v>-31.5</v>
      </c>
      <c r="W59" s="9">
        <f>((SQRT((Model_Data!A59)^2+Inputs!$C$6^2+Inputs!$C$5^2)-Inputs!$C$5)*1000/Inputs!$C$12)</f>
        <v>1132.8537987153045</v>
      </c>
      <c r="X59" s="9">
        <f>Model_Data!F59</f>
        <v>1129.7555078402418</v>
      </c>
      <c r="Y59" s="10"/>
      <c r="Z59" s="9">
        <f>Model_Data!A59</f>
        <v>-31.5</v>
      </c>
      <c r="AA59" s="9">
        <f>SQRT((Model_Data!A59)^2+Inputs!$C$6^2+((Model_Data!B59)-((Inputs!$C$51*(115*EXP(-(((Inputs!$C$6)-25)^2)/(4.5^2))+70*EXP(-(((Inputs!$C$6)+38)^2)/(7^2))*(0.55+0.45*SIN(2*PI()*(Model_Data!A59)/45))+24*SIN(2*PI()*(Inputs!$C$6)/9+(Model_Data!A59)/18)*EXP(-(((Inputs!$C$6)+5)^2)/(22^2))+18*SIN(2*PI()*(Model_Data!A59)/70))+Inputs!$C$28*EXP(-(((Model_Data!A59)-Inputs!$C$29)^2)/(2*Inputs!$C$31^2))*EXP(-(((Inputs!$C$6)-Inputs!$C$30)^2)/(2*Inputs!$C$32^2))+-Inputs!$C$33*EXP(-(((((Model_Data!A59)-Inputs!$C$34)^2)+(((Inputs!$C$6)-Inputs!$C$35)^2))/(2*Inputs!$C$36^2)))+Inputs!$C$37*(0.55*SIN(2*PI()*(Model_Data!A59)/Inputs!$C$39)+0.35*COS(2*PI()*(Inputs!$C$6)/Inputs!$C$40)+0.2*SIN(2*PI()*((Model_Data!A59)+(Inputs!$C$6))/(0.5*(Inputs!$C$39+Inputs!$C$40))))+Inputs!$C$38*SIN(2*PI()*(Model_Data!A59)/Inputs!$C$39)*SIN(2*PI()*(Inputs!$C$6)/Inputs!$C$40)+-Inputs!$C$41*EXP(-(((Inputs!$C$6)-Inputs!$C$43)^2)/(2*Inputs!$C$44^2))*EXP(-(((Model_Data!A59)-Inputs!$C$42)^2)/(2*Inputs!$C$45^2))+Inputs!$C$48*(0.7*(0.45*SIN(2*PI()*(((Model_Data!A59)/Inputs!$C$49)+Inputs!$C$47*0.137))+0.35*COS(2*PI()*(((Inputs!$C$6)/Inputs!$C$50)+Inputs!$C$47*0.173))+0.2*SIN(2*PI()*(((Model_Data!A59)+(Inputs!$C$6))/(0.5*(Inputs!$C$49+Inputs!$C$50))+Inputs!$C$47*0.097)))+0.3*(2*((SIN(((Model_Data!A59)*12.9898+(Inputs!$C$6)*78.233+Inputs!$C$47*37.719))*43758.5453)-INT((SIN(((Model_Data!A59)*12.9898+(Inputs!$C$6)*78.233+Inputs!$C$47*37.719))*43758.5453)))-1))))/1000)^2)</f>
        <v>402.76008586854573</v>
      </c>
      <c r="AB59" s="9">
        <f>1000*(AA60-AA58)/(Z60-Z58)*Inputs!$C$11</f>
        <v>-640.56523098020079</v>
      </c>
      <c r="AC59" s="9">
        <f>-2*AB59/Inputs!$C$13</f>
        <v>256.22609239208032</v>
      </c>
      <c r="AD59" s="9">
        <f>-2*AB59/Inputs!$C$14</f>
        <v>38.472386245057109</v>
      </c>
    </row>
    <row r="60" spans="1:30">
      <c r="A60" s="9">
        <f>Model_Data!A60</f>
        <v>-31</v>
      </c>
      <c r="B60" s="9">
        <f>((SQRT((Model_Data!A60)^2+Inputs!$C$6^2+Inputs!$C$5^2)-Inputs!$C$5)*1000/Inputs!$C$12)</f>
        <v>1111.0175937355809</v>
      </c>
      <c r="C60" s="9">
        <f>Model_Data!F60</f>
        <v>1108.0741842832733</v>
      </c>
      <c r="D60" s="9">
        <f>(((SQRT((Model_Data!A60)^2+Inputs!$C$6^2+((Model_Data!B60)-((Inputs!$C$51*(115*EXP(-(((Inputs!$C$6)-25)^2)/(4.5^2))+70*EXP(-(((Inputs!$C$6)+38)^2)/(7^2))*(0.55+0.45*SIN(2*PI()*(Model_Data!A60)/45))+24*SIN(2*PI()*(Inputs!$C$6)/9+(Model_Data!A60)/18)*EXP(-(((Inputs!$C$6)+5)^2)/(22^2))+18*SIN(2*PI()*(Model_Data!A60)/70))+Inputs!$C$28*EXP(-(((Model_Data!A60)-Inputs!$C$29)^2)/(2*Inputs!$C$31^2))*EXP(-(((Inputs!$C$6)-Inputs!$C$30)^2)/(2*Inputs!$C$32^2))+-Inputs!$C$33*EXP(-(((((Model_Data!A60)-Inputs!$C$34)^2)+(((Inputs!$C$6)-Inputs!$C$35)^2))/(2*Inputs!$C$36^2)))+Inputs!$C$37*(0.55*SIN(2*PI()*(Model_Data!A60)/Inputs!$C$39)+0.35*COS(2*PI()*(Inputs!$C$6)/Inputs!$C$40)+0.2*SIN(2*PI()*((Model_Data!A60)+(Inputs!$C$6))/(0.5*(Inputs!$C$39+Inputs!$C$40))))+Inputs!$C$38*SIN(2*PI()*(Model_Data!A60)/Inputs!$C$39)*SIN(2*PI()*(Inputs!$C$6)/Inputs!$C$40)+-Inputs!$C$41*EXP(-(((Inputs!$C$6)-Inputs!$C$43)^2)/(2*Inputs!$C$44^2))*EXP(-(((Model_Data!A60)-Inputs!$C$42)^2)/(2*Inputs!$C$45^2))+Inputs!$C$48*(0.7*(0.45*SIN(2*PI()*(((Model_Data!A60)/Inputs!$C$49)+Inputs!$C$47*0.137))+0.35*COS(2*PI()*(((Inputs!$C$6)/Inputs!$C$50)+Inputs!$C$47*0.173))+0.2*SIN(2*PI()*(((Model_Data!A60)+(Inputs!$C$6))/(0.5*(Inputs!$C$49+Inputs!$C$50))+Inputs!$C$47*0.097)))+0.3*(2*((SIN(((Model_Data!A60)*12.9898+(Inputs!$C$6)*78.233+Inputs!$C$47*37.719))*43758.5453)-INT((SIN(((Model_Data!A60)*12.9898+(Inputs!$C$6)*78.233+Inputs!$C$47*37.719))*43758.5453)))-1))))/1000)^2))-(((Model_Data!B60)-((Inputs!$C$51*(115*EXP(-(((0)-25)^2)/(4.5^2))+70*EXP(-(((0)+38)^2)/(7^2))*(0.55+0.45*SIN(2*PI()*(Model_Data!A60)/45))+24*SIN(2*PI()*(0)/9+(Model_Data!A60)/18)*EXP(-(((0)+5)^2)/(22^2))+18*SIN(2*PI()*(Model_Data!A60)/70))+Inputs!$C$28*EXP(-(((Model_Data!A60)-Inputs!$C$29)^2)/(2*Inputs!$C$31^2))*EXP(-(((0)-Inputs!$C$30)^2)/(2*Inputs!$C$32^2))+-Inputs!$C$33*EXP(-(((((Model_Data!A60)-Inputs!$C$34)^2)+(((0)-Inputs!$C$35)^2))/(2*Inputs!$C$36^2)))+Inputs!$C$37*(0.55*SIN(2*PI()*(Model_Data!A60)/Inputs!$C$39)+0.35*COS(2*PI()*(0)/Inputs!$C$40)+0.2*SIN(2*PI()*((Model_Data!A60)+(0))/(0.5*(Inputs!$C$39+Inputs!$C$40))))+Inputs!$C$38*SIN(2*PI()*(Model_Data!A60)/Inputs!$C$39)*SIN(2*PI()*(0)/Inputs!$C$40)+-Inputs!$C$41*EXP(-(((0)-Inputs!$C$43)^2)/(2*Inputs!$C$44^2))*EXP(-(((Model_Data!A60)-Inputs!$C$42)^2)/(2*Inputs!$C$45^2))+Inputs!$C$48*(0.7*(0.45*SIN(2*PI()*(((Model_Data!A60)/Inputs!$C$49)+Inputs!$C$47*0.137))+0.35*COS(2*PI()*(((0)/Inputs!$C$50)+Inputs!$C$47*0.173))+0.2*SIN(2*PI()*(((Model_Data!A60)+(0))/(0.5*(Inputs!$C$49+Inputs!$C$50))+Inputs!$C$47*0.097)))+0.3*(2*((SIN(((Model_Data!A60)*12.9898+(0)*78.233+Inputs!$C$47*37.719))*43758.5453)-INT((SIN(((Model_Data!A60)*12.9898+(0)*78.233+Inputs!$C$47*37.719))*43758.5453)))-1))))/1000)))*1000/Inputs!$C$12)</f>
        <v>903.17513200295446</v>
      </c>
      <c r="E60" s="9">
        <f>Model_Data!A60</f>
        <v>-31</v>
      </c>
      <c r="F60" s="9">
        <f>(Inputs!$C$51*(115*EXP(-(((Inputs!$C$6)-25)^2)/(4.5^2))+70*EXP(-(((Inputs!$C$6)+38)^2)/(7^2))*(0.55+0.45*SIN(2*PI()*(Model_Data!A60)/45))+24*SIN(2*PI()*(Inputs!$C$6)/9+(Model_Data!A60)/18)*EXP(-(((Inputs!$C$6)+5)^2)/(22^2))+18*SIN(2*PI()*(Model_Data!A60)/70))+Inputs!$C$28*EXP(-(((Model_Data!A60)-Inputs!$C$29)^2)/(2*Inputs!$C$31^2))*EXP(-(((Inputs!$C$6)-Inputs!$C$30)^2)/(2*Inputs!$C$32^2))+-Inputs!$C$33*EXP(-(((((Model_Data!A60)-Inputs!$C$34)^2)+(((Inputs!$C$6)-Inputs!$C$35)^2))/(2*Inputs!$C$36^2)))+Inputs!$C$37*(0.55*SIN(2*PI()*(Model_Data!A60)/Inputs!$C$39)+0.35*COS(2*PI()*(Inputs!$C$6)/Inputs!$C$40)+0.2*SIN(2*PI()*((Model_Data!A60)+(Inputs!$C$6))/(0.5*(Inputs!$C$39+Inputs!$C$40))))+Inputs!$C$38*SIN(2*PI()*(Model_Data!A60)/Inputs!$C$39)*SIN(2*PI()*(Inputs!$C$6)/Inputs!$C$40)+-Inputs!$C$41*EXP(-(((Inputs!$C$6)-Inputs!$C$43)^2)/(2*Inputs!$C$44^2))*EXP(-(((Model_Data!A60)-Inputs!$C$42)^2)/(2*Inputs!$C$45^2))+Inputs!$C$48*(0.7*(0.45*SIN(2*PI()*(((Model_Data!A60)/Inputs!$C$49)+Inputs!$C$47*0.137))+0.35*COS(2*PI()*(((Inputs!$C$6)/Inputs!$C$50)+Inputs!$C$47*0.173))+0.2*SIN(2*PI()*(((Model_Data!A60)+(Inputs!$C$6))/(0.5*(Inputs!$C$49+Inputs!$C$50))+Inputs!$C$47*0.097)))+0.3*(2*((SIN(((Model_Data!A60)*12.9898+(Inputs!$C$6)*78.233+Inputs!$C$47*37.719))*43758.5453)-INT((SIN(((Model_Data!A60)*12.9898+(Inputs!$C$6)*78.233+Inputs!$C$47*37.719))*43758.5453)))-1)))</f>
        <v>353.26100932469092</v>
      </c>
      <c r="G60" s="9">
        <f>(Inputs!$C$51*(115*EXP(-(((0)-25)^2)/(4.5^2))+70*EXP(-(((0)+38)^2)/(7^2))*(0.55+0.45*SIN(2*PI()*(Model_Data!A60)/45))+24*SIN(2*PI()*(0)/9+(Model_Data!A60)/18)*EXP(-(((0)+5)^2)/(22^2))+18*SIN(2*PI()*(Model_Data!A60)/70))+Inputs!$C$28*EXP(-(((Model_Data!A60)-Inputs!$C$29)^2)/(2*Inputs!$C$31^2))*EXP(-(((0)-Inputs!$C$30)^2)/(2*Inputs!$C$32^2))+-Inputs!$C$33*EXP(-(((((Model_Data!A60)-Inputs!$C$34)^2)+(((0)-Inputs!$C$35)^2))/(2*Inputs!$C$36^2)))+Inputs!$C$37*(0.55*SIN(2*PI()*(Model_Data!A60)/Inputs!$C$39)+0.35*COS(2*PI()*(0)/Inputs!$C$40)+0.2*SIN(2*PI()*((Model_Data!A60)+(0))/(0.5*(Inputs!$C$39+Inputs!$C$40))))+Inputs!$C$38*SIN(2*PI()*(Model_Data!A60)/Inputs!$C$39)*SIN(2*PI()*(0)/Inputs!$C$40)+-Inputs!$C$41*EXP(-(((0)-Inputs!$C$43)^2)/(2*Inputs!$C$44^2))*EXP(-(((Model_Data!A60)-Inputs!$C$42)^2)/(2*Inputs!$C$45^2))+Inputs!$C$48*(0.7*(0.45*SIN(2*PI()*(((Model_Data!A60)/Inputs!$C$49)+Inputs!$C$47*0.137))+0.35*COS(2*PI()*(((0)/Inputs!$C$50)+Inputs!$C$47*0.173))+0.2*SIN(2*PI()*(((Model_Data!A60)+(0))/(0.5*(Inputs!$C$49+Inputs!$C$50))+Inputs!$C$47*0.097)))+0.3*(2*((SIN(((Model_Data!A60)*12.9898+(0)*78.233+Inputs!$C$47*37.719))*43758.5453)-INT((SIN(((Model_Data!A60)*12.9898+(0)*78.233+Inputs!$C$47*37.719))*43758.5453)))-1)))</f>
        <v>-13.18958267522941</v>
      </c>
      <c r="H60" s="10"/>
      <c r="I60" s="9">
        <f>Model_Data!A60</f>
        <v>-31</v>
      </c>
      <c r="J60" s="9">
        <f>(Inputs!$C$51*(115*EXP(-(((Inputs!$C$6)-25)^2)/(4.5^2))+70*EXP(-(((Inputs!$C$6)+38)^2)/(7^2))*(0.55+0.45*SIN(2*PI()*(Model_Data!A60)/45))+24*SIN(2*PI()*(Inputs!$C$6)/9+(Model_Data!A60)/18)*EXP(-(((Inputs!$C$6)+5)^2)/(22^2))+18*SIN(2*PI()*(Model_Data!A60)/70))+Inputs!$C$28*EXP(-(((Model_Data!A60)-Inputs!$C$29)^2)/(2*Inputs!$C$31^2))*EXP(-(((Inputs!$C$6)-Inputs!$C$30)^2)/(2*Inputs!$C$32^2))+-Inputs!$C$33*EXP(-(((((Model_Data!A60)-Inputs!$C$34)^2)+(((Inputs!$C$6)-Inputs!$C$35)^2))/(2*Inputs!$C$36^2)))+Inputs!$C$37*(0.55*SIN(2*PI()*(Model_Data!A60)/Inputs!$C$39)+0.35*COS(2*PI()*(Inputs!$C$6)/Inputs!$C$40)+0.2*SIN(2*PI()*((Model_Data!A60)+(Inputs!$C$6))/(0.5*(Inputs!$C$39+Inputs!$C$40))))+Inputs!$C$38*SIN(2*PI()*(Model_Data!A60)/Inputs!$C$39)*SIN(2*PI()*(Inputs!$C$6)/Inputs!$C$40)+-Inputs!$C$41*EXP(-(((Inputs!$C$6)-Inputs!$C$43)^2)/(2*Inputs!$C$44^2))*EXP(-(((Model_Data!A60)-Inputs!$C$42)^2)/(2*Inputs!$C$45^2))+Inputs!$C$48*(0.7*(0.45*SIN(2*PI()*(((Model_Data!A60)/Inputs!$C$49)+Inputs!$C$47*0.137))+0.35*COS(2*PI()*(((Inputs!$C$6)/Inputs!$C$50)+Inputs!$C$47*0.173))+0.2*SIN(2*PI()*(((Model_Data!A60)+(Inputs!$C$6))/(0.5*(Inputs!$C$49+Inputs!$C$50))+Inputs!$C$47*0.097)))+0.3*(2*((SIN(((Model_Data!A60)*12.9898+(Inputs!$C$6)*78.233+Inputs!$C$47*37.719))*43758.5453)-INT((SIN(((Model_Data!A60)*12.9898+(Inputs!$C$6)*78.233+Inputs!$C$47*37.719))*43758.5453)))-1)))</f>
        <v>353.26100932469092</v>
      </c>
      <c r="K60" s="9">
        <f>-((((SQRT((Model_Data!A60)^2+Inputs!$C$6^2+((Model_Data!B60)-((Inputs!$C$51*(115*EXP(-(((Inputs!$C$6)-25)^2)/(4.5^2))+70*EXP(-(((Inputs!$C$6)+38)^2)/(7^2))*(0.55+0.45*SIN(2*PI()*(Model_Data!A60)/45))+24*SIN(2*PI()*(Inputs!$C$6)/9+(Model_Data!A60)/18)*EXP(-(((Inputs!$C$6)+5)^2)/(22^2))+18*SIN(2*PI()*(Model_Data!A60)/70))+Inputs!$C$28*EXP(-(((Model_Data!A60)-Inputs!$C$29)^2)/(2*Inputs!$C$31^2))*EXP(-(((Inputs!$C$6)-Inputs!$C$30)^2)/(2*Inputs!$C$32^2))+-Inputs!$C$33*EXP(-(((((Model_Data!A60)-Inputs!$C$34)^2)+(((Inputs!$C$6)-Inputs!$C$35)^2))/(2*Inputs!$C$36^2)))+Inputs!$C$37*(0.55*SIN(2*PI()*(Model_Data!A60)/Inputs!$C$39)+0.35*COS(2*PI()*(Inputs!$C$6)/Inputs!$C$40)+0.2*SIN(2*PI()*((Model_Data!A60)+(Inputs!$C$6))/(0.5*(Inputs!$C$39+Inputs!$C$40))))+Inputs!$C$38*SIN(2*PI()*(Model_Data!A60)/Inputs!$C$39)*SIN(2*PI()*(Inputs!$C$6)/Inputs!$C$40)+-Inputs!$C$41*EXP(-(((Inputs!$C$6)-Inputs!$C$43)^2)/(2*Inputs!$C$44^2))*EXP(-(((Model_Data!A60)-Inputs!$C$42)^2)/(2*Inputs!$C$45^2))+Inputs!$C$48*(0.7*(0.45*SIN(2*PI()*(((Model_Data!A60)/Inputs!$C$49)+Inputs!$C$47*0.137))+0.35*COS(2*PI()*(((Inputs!$C$6)/Inputs!$C$50)+Inputs!$C$47*0.173))+0.2*SIN(2*PI()*(((Model_Data!A60)+(Inputs!$C$6))/(0.5*(Inputs!$C$49+Inputs!$C$50))+Inputs!$C$47*0.097)))+0.3*(2*((SIN(((Model_Data!A60)*12.9898+(Inputs!$C$6)*78.233+Inputs!$C$47*37.719))*43758.5453)-INT((SIN(((Model_Data!A60)*12.9898+(Inputs!$C$6)*78.233+Inputs!$C$47*37.719))*43758.5453)))-1))))/1000)^2))-(((Model_Data!B60)-((Inputs!$C$51*(115*EXP(-(((0)-25)^2)/(4.5^2))+70*EXP(-(((0)+38)^2)/(7^2))*(0.55+0.45*SIN(2*PI()*(Model_Data!A60)/45))+24*SIN(2*PI()*(0)/9+(Model_Data!A60)/18)*EXP(-(((0)+5)^2)/(22^2))+18*SIN(2*PI()*(Model_Data!A60)/70))+Inputs!$C$28*EXP(-(((Model_Data!A60)-Inputs!$C$29)^2)/(2*Inputs!$C$31^2))*EXP(-(((0)-Inputs!$C$30)^2)/(2*Inputs!$C$32^2))+-Inputs!$C$33*EXP(-(((((Model_Data!A60)-Inputs!$C$34)^2)+(((0)-Inputs!$C$35)^2))/(2*Inputs!$C$36^2)))+Inputs!$C$37*(0.55*SIN(2*PI()*(Model_Data!A60)/Inputs!$C$39)+0.35*COS(2*PI()*(0)/Inputs!$C$40)+0.2*SIN(2*PI()*((Model_Data!A60)+(0))/(0.5*(Inputs!$C$39+Inputs!$C$40))))+Inputs!$C$38*SIN(2*PI()*(Model_Data!A60)/Inputs!$C$39)*SIN(2*PI()*(0)/Inputs!$C$40)+-Inputs!$C$41*EXP(-(((0)-Inputs!$C$43)^2)/(2*Inputs!$C$44^2))*EXP(-(((Model_Data!A60)-Inputs!$C$42)^2)/(2*Inputs!$C$45^2))+Inputs!$C$48*(0.7*(0.45*SIN(2*PI()*(((Model_Data!A60)/Inputs!$C$49)+Inputs!$C$47*0.137))+0.35*COS(2*PI()*(((0)/Inputs!$C$50)+Inputs!$C$47*0.173))+0.2*SIN(2*PI()*(((Model_Data!A60)+(0))/(0.5*(Inputs!$C$49+Inputs!$C$50))+Inputs!$C$47*0.097)))+0.3*(2*((SIN(((Model_Data!A60)*12.9898+(0)*78.233+Inputs!$C$47*37.719))*43758.5453)-INT((SIN(((Model_Data!A60)*12.9898+(0)*78.233+Inputs!$C$47*37.719))*43758.5453)))-1))))/1000)))*1000/Inputs!$C$12)-Model_Data!F60)</f>
        <v>204.89905228031887</v>
      </c>
      <c r="L60" s="10"/>
      <c r="M60" s="9">
        <f>Model_Data!A60</f>
        <v>-31</v>
      </c>
      <c r="N60" s="9">
        <f>Model_Data!P60</f>
        <v>232.74748624656678</v>
      </c>
      <c r="O60" s="9">
        <f t="shared" si="0"/>
        <v>206.58911870077645</v>
      </c>
      <c r="P60" s="9">
        <f>Model_Data!Q60</f>
        <v>34.947070006992007</v>
      </c>
      <c r="Q60" s="9">
        <f t="shared" si="1"/>
        <v>31.01938719230878</v>
      </c>
      <c r="R60" s="10"/>
      <c r="S60" s="9">
        <f>Model_Data!A60</f>
        <v>-31</v>
      </c>
      <c r="T60" s="9">
        <f>Model_Data!B60-Inputs!$C$5</f>
        <v>1.0677777777777919</v>
      </c>
      <c r="U60" s="10"/>
      <c r="V60" s="9">
        <f>Model_Data!A60</f>
        <v>-31</v>
      </c>
      <c r="W60" s="9">
        <f>((SQRT((Model_Data!A60)^2+Inputs!$C$6^2+Inputs!$C$5^2)-Inputs!$C$5)*1000/Inputs!$C$12)</f>
        <v>1111.0175937355809</v>
      </c>
      <c r="X60" s="9">
        <f>Model_Data!F60</f>
        <v>1108.0741842832733</v>
      </c>
      <c r="Y60" s="10"/>
      <c r="Z60" s="9">
        <f>Model_Data!A60</f>
        <v>-31</v>
      </c>
      <c r="AA60" s="9">
        <f>SQRT((Model_Data!A60)^2+Inputs!$C$6^2+((Model_Data!B60)-((Inputs!$C$51*(115*EXP(-(((Inputs!$C$6)-25)^2)/(4.5^2))+70*EXP(-(((Inputs!$C$6)+38)^2)/(7^2))*(0.55+0.45*SIN(2*PI()*(Model_Data!A60)/45))+24*SIN(2*PI()*(Inputs!$C$6)/9+(Model_Data!A60)/18)*EXP(-(((Inputs!$C$6)+5)^2)/(22^2))+18*SIN(2*PI()*(Model_Data!A60)/70))+Inputs!$C$28*EXP(-(((Model_Data!A60)-Inputs!$C$29)^2)/(2*Inputs!$C$31^2))*EXP(-(((Inputs!$C$6)-Inputs!$C$30)^2)/(2*Inputs!$C$32^2))+-Inputs!$C$33*EXP(-(((((Model_Data!A60)-Inputs!$C$34)^2)+(((Inputs!$C$6)-Inputs!$C$35)^2))/(2*Inputs!$C$36^2)))+Inputs!$C$37*(0.55*SIN(2*PI()*(Model_Data!A60)/Inputs!$C$39)+0.35*COS(2*PI()*(Inputs!$C$6)/Inputs!$C$40)+0.2*SIN(2*PI()*((Model_Data!A60)+(Inputs!$C$6))/(0.5*(Inputs!$C$39+Inputs!$C$40))))+Inputs!$C$38*SIN(2*PI()*(Model_Data!A60)/Inputs!$C$39)*SIN(2*PI()*(Inputs!$C$6)/Inputs!$C$40)+-Inputs!$C$41*EXP(-(((Inputs!$C$6)-Inputs!$C$43)^2)/(2*Inputs!$C$44^2))*EXP(-(((Model_Data!A60)-Inputs!$C$42)^2)/(2*Inputs!$C$45^2))+Inputs!$C$48*(0.7*(0.45*SIN(2*PI()*(((Model_Data!A60)/Inputs!$C$49)+Inputs!$C$47*0.137))+0.35*COS(2*PI()*(((Inputs!$C$6)/Inputs!$C$50)+Inputs!$C$47*0.173))+0.2*SIN(2*PI()*(((Model_Data!A60)+(Inputs!$C$6))/(0.5*(Inputs!$C$49+Inputs!$C$50))+Inputs!$C$47*0.097)))+0.3*(2*((SIN(((Model_Data!A60)*12.9898+(Inputs!$C$6)*78.233+Inputs!$C$47*37.719))*43758.5453)-INT((SIN(((Model_Data!A60)*12.9898+(Inputs!$C$6)*78.233+Inputs!$C$47*37.719))*43758.5453)))-1))))/1000)^2)</f>
        <v>402.68861909541829</v>
      </c>
      <c r="AB60" s="9">
        <f>1000*(AA61-AA59)/(Z61-Z59)*Inputs!$C$11</f>
        <v>-516.47279675194113</v>
      </c>
      <c r="AC60" s="9">
        <f>-2*AB60/Inputs!$C$13</f>
        <v>206.58911870077645</v>
      </c>
      <c r="AD60" s="9">
        <f>-2*AB60/Inputs!$C$14</f>
        <v>31.01938719230878</v>
      </c>
    </row>
    <row r="61" spans="1:30">
      <c r="A61" s="9">
        <f>Model_Data!A61</f>
        <v>-30.5</v>
      </c>
      <c r="B61" s="9">
        <f>((SQRT((Model_Data!A61)^2+Inputs!$C$6^2+Inputs!$C$5^2)-Inputs!$C$5)*1000/Inputs!$C$12)</f>
        <v>1089.528706833516</v>
      </c>
      <c r="C61" s="9">
        <f>Model_Data!F61</f>
        <v>1086.7340878249845</v>
      </c>
      <c r="D61" s="9">
        <f>(((SQRT((Model_Data!A61)^2+Inputs!$C$6^2+((Model_Data!B61)-((Inputs!$C$51*(115*EXP(-(((Inputs!$C$6)-25)^2)/(4.5^2))+70*EXP(-(((Inputs!$C$6)+38)^2)/(7^2))*(0.55+0.45*SIN(2*PI()*(Model_Data!A61)/45))+24*SIN(2*PI()*(Inputs!$C$6)/9+(Model_Data!A61)/18)*EXP(-(((Inputs!$C$6)+5)^2)/(22^2))+18*SIN(2*PI()*(Model_Data!A61)/70))+Inputs!$C$28*EXP(-(((Model_Data!A61)-Inputs!$C$29)^2)/(2*Inputs!$C$31^2))*EXP(-(((Inputs!$C$6)-Inputs!$C$30)^2)/(2*Inputs!$C$32^2))+-Inputs!$C$33*EXP(-(((((Model_Data!A61)-Inputs!$C$34)^2)+(((Inputs!$C$6)-Inputs!$C$35)^2))/(2*Inputs!$C$36^2)))+Inputs!$C$37*(0.55*SIN(2*PI()*(Model_Data!A61)/Inputs!$C$39)+0.35*COS(2*PI()*(Inputs!$C$6)/Inputs!$C$40)+0.2*SIN(2*PI()*((Model_Data!A61)+(Inputs!$C$6))/(0.5*(Inputs!$C$39+Inputs!$C$40))))+Inputs!$C$38*SIN(2*PI()*(Model_Data!A61)/Inputs!$C$39)*SIN(2*PI()*(Inputs!$C$6)/Inputs!$C$40)+-Inputs!$C$41*EXP(-(((Inputs!$C$6)-Inputs!$C$43)^2)/(2*Inputs!$C$44^2))*EXP(-(((Model_Data!A61)-Inputs!$C$42)^2)/(2*Inputs!$C$45^2))+Inputs!$C$48*(0.7*(0.45*SIN(2*PI()*(((Model_Data!A61)/Inputs!$C$49)+Inputs!$C$47*0.137))+0.35*COS(2*PI()*(((Inputs!$C$6)/Inputs!$C$50)+Inputs!$C$47*0.173))+0.2*SIN(2*PI()*(((Model_Data!A61)+(Inputs!$C$6))/(0.5*(Inputs!$C$49+Inputs!$C$50))+Inputs!$C$47*0.097)))+0.3*(2*((SIN(((Model_Data!A61)*12.9898+(Inputs!$C$6)*78.233+Inputs!$C$47*37.719))*43758.5453)-INT((SIN(((Model_Data!A61)*12.9898+(Inputs!$C$6)*78.233+Inputs!$C$47*37.719))*43758.5453)))-1))))/1000)^2))-(((Model_Data!B61)-((Inputs!$C$51*(115*EXP(-(((0)-25)^2)/(4.5^2))+70*EXP(-(((0)+38)^2)/(7^2))*(0.55+0.45*SIN(2*PI()*(Model_Data!A61)/45))+24*SIN(2*PI()*(0)/9+(Model_Data!A61)/18)*EXP(-(((0)+5)^2)/(22^2))+18*SIN(2*PI()*(Model_Data!A61)/70))+Inputs!$C$28*EXP(-(((Model_Data!A61)-Inputs!$C$29)^2)/(2*Inputs!$C$31^2))*EXP(-(((0)-Inputs!$C$30)^2)/(2*Inputs!$C$32^2))+-Inputs!$C$33*EXP(-(((((Model_Data!A61)-Inputs!$C$34)^2)+(((0)-Inputs!$C$35)^2))/(2*Inputs!$C$36^2)))+Inputs!$C$37*(0.55*SIN(2*PI()*(Model_Data!A61)/Inputs!$C$39)+0.35*COS(2*PI()*(0)/Inputs!$C$40)+0.2*SIN(2*PI()*((Model_Data!A61)+(0))/(0.5*(Inputs!$C$39+Inputs!$C$40))))+Inputs!$C$38*SIN(2*PI()*(Model_Data!A61)/Inputs!$C$39)*SIN(2*PI()*(0)/Inputs!$C$40)+-Inputs!$C$41*EXP(-(((0)-Inputs!$C$43)^2)/(2*Inputs!$C$44^2))*EXP(-(((Model_Data!A61)-Inputs!$C$42)^2)/(2*Inputs!$C$45^2))+Inputs!$C$48*(0.7*(0.45*SIN(2*PI()*(((Model_Data!A61)/Inputs!$C$49)+Inputs!$C$47*0.137))+0.35*COS(2*PI()*(((0)/Inputs!$C$50)+Inputs!$C$47*0.173))+0.2*SIN(2*PI()*(((Model_Data!A61)+(0))/(0.5*(Inputs!$C$49+Inputs!$C$50))+Inputs!$C$47*0.097)))+0.3*(2*((SIN(((Model_Data!A61)*12.9898+(0)*78.233+Inputs!$C$47*37.719))*43758.5453)-INT((SIN(((Model_Data!A61)*12.9898+(0)*78.233+Inputs!$C$47*37.719))*43758.5453)))-1))))/1000)))*1000/Inputs!$C$12)</f>
        <v>893.19620236457706</v>
      </c>
      <c r="E61" s="9">
        <f>Model_Data!A61</f>
        <v>-30.5</v>
      </c>
      <c r="F61" s="9">
        <f>(Inputs!$C$51*(115*EXP(-(((Inputs!$C$6)-25)^2)/(4.5^2))+70*EXP(-(((Inputs!$C$6)+38)^2)/(7^2))*(0.55+0.45*SIN(2*PI()*(Model_Data!A61)/45))+24*SIN(2*PI()*(Inputs!$C$6)/9+(Model_Data!A61)/18)*EXP(-(((Inputs!$C$6)+5)^2)/(22^2))+18*SIN(2*PI()*(Model_Data!A61)/70))+Inputs!$C$28*EXP(-(((Model_Data!A61)-Inputs!$C$29)^2)/(2*Inputs!$C$31^2))*EXP(-(((Inputs!$C$6)-Inputs!$C$30)^2)/(2*Inputs!$C$32^2))+-Inputs!$C$33*EXP(-(((((Model_Data!A61)-Inputs!$C$34)^2)+(((Inputs!$C$6)-Inputs!$C$35)^2))/(2*Inputs!$C$36^2)))+Inputs!$C$37*(0.55*SIN(2*PI()*(Model_Data!A61)/Inputs!$C$39)+0.35*COS(2*PI()*(Inputs!$C$6)/Inputs!$C$40)+0.2*SIN(2*PI()*((Model_Data!A61)+(Inputs!$C$6))/(0.5*(Inputs!$C$39+Inputs!$C$40))))+Inputs!$C$38*SIN(2*PI()*(Model_Data!A61)/Inputs!$C$39)*SIN(2*PI()*(Inputs!$C$6)/Inputs!$C$40)+-Inputs!$C$41*EXP(-(((Inputs!$C$6)-Inputs!$C$43)^2)/(2*Inputs!$C$44^2))*EXP(-(((Model_Data!A61)-Inputs!$C$42)^2)/(2*Inputs!$C$45^2))+Inputs!$C$48*(0.7*(0.45*SIN(2*PI()*(((Model_Data!A61)/Inputs!$C$49)+Inputs!$C$47*0.137))+0.35*COS(2*PI()*(((Inputs!$C$6)/Inputs!$C$50)+Inputs!$C$47*0.173))+0.2*SIN(2*PI()*(((Model_Data!A61)+(Inputs!$C$6))/(0.5*(Inputs!$C$49+Inputs!$C$50))+Inputs!$C$47*0.097)))+0.3*(2*((SIN(((Model_Data!A61)*12.9898+(Inputs!$C$6)*78.233+Inputs!$C$47*37.719))*43758.5453)-INT((SIN(((Model_Data!A61)*12.9898+(Inputs!$C$6)*78.233+Inputs!$C$47*37.719))*43758.5453)))-1)))</f>
        <v>338.65715440925169</v>
      </c>
      <c r="G61" s="9">
        <f>(Inputs!$C$51*(115*EXP(-(((0)-25)^2)/(4.5^2))+70*EXP(-(((0)+38)^2)/(7^2))*(0.55+0.45*SIN(2*PI()*(Model_Data!A61)/45))+24*SIN(2*PI()*(0)/9+(Model_Data!A61)/18)*EXP(-(((0)+5)^2)/(22^2))+18*SIN(2*PI()*(Model_Data!A61)/70))+Inputs!$C$28*EXP(-(((Model_Data!A61)-Inputs!$C$29)^2)/(2*Inputs!$C$31^2))*EXP(-(((0)-Inputs!$C$30)^2)/(2*Inputs!$C$32^2))+-Inputs!$C$33*EXP(-(((((Model_Data!A61)-Inputs!$C$34)^2)+(((0)-Inputs!$C$35)^2))/(2*Inputs!$C$36^2)))+Inputs!$C$37*(0.55*SIN(2*PI()*(Model_Data!A61)/Inputs!$C$39)+0.35*COS(2*PI()*(0)/Inputs!$C$40)+0.2*SIN(2*PI()*((Model_Data!A61)+(0))/(0.5*(Inputs!$C$39+Inputs!$C$40))))+Inputs!$C$38*SIN(2*PI()*(Model_Data!A61)/Inputs!$C$39)*SIN(2*PI()*(0)/Inputs!$C$40)+-Inputs!$C$41*EXP(-(((0)-Inputs!$C$43)^2)/(2*Inputs!$C$44^2))*EXP(-(((Model_Data!A61)-Inputs!$C$42)^2)/(2*Inputs!$C$45^2))+Inputs!$C$48*(0.7*(0.45*SIN(2*PI()*(((Model_Data!A61)/Inputs!$C$49)+Inputs!$C$47*0.137))+0.35*COS(2*PI()*(((0)/Inputs!$C$50)+Inputs!$C$47*0.173))+0.2*SIN(2*PI()*(((Model_Data!A61)+(0))/(0.5*(Inputs!$C$49+Inputs!$C$50))+Inputs!$C$47*0.097)))+0.3*(2*((SIN(((Model_Data!A61)*12.9898+(0)*78.233+Inputs!$C$47*37.719))*43758.5453)-INT((SIN(((Model_Data!A61)*12.9898+(0)*78.233+Inputs!$C$47*37.719))*43758.5453)))-1)))</f>
        <v>-7.4673180377006023</v>
      </c>
      <c r="H61" s="10"/>
      <c r="I61" s="9">
        <f>Model_Data!A61</f>
        <v>-30.5</v>
      </c>
      <c r="J61" s="9">
        <f>(Inputs!$C$51*(115*EXP(-(((Inputs!$C$6)-25)^2)/(4.5^2))+70*EXP(-(((Inputs!$C$6)+38)^2)/(7^2))*(0.55+0.45*SIN(2*PI()*(Model_Data!A61)/45))+24*SIN(2*PI()*(Inputs!$C$6)/9+(Model_Data!A61)/18)*EXP(-(((Inputs!$C$6)+5)^2)/(22^2))+18*SIN(2*PI()*(Model_Data!A61)/70))+Inputs!$C$28*EXP(-(((Model_Data!A61)-Inputs!$C$29)^2)/(2*Inputs!$C$31^2))*EXP(-(((Inputs!$C$6)-Inputs!$C$30)^2)/(2*Inputs!$C$32^2))+-Inputs!$C$33*EXP(-(((((Model_Data!A61)-Inputs!$C$34)^2)+(((Inputs!$C$6)-Inputs!$C$35)^2))/(2*Inputs!$C$36^2)))+Inputs!$C$37*(0.55*SIN(2*PI()*(Model_Data!A61)/Inputs!$C$39)+0.35*COS(2*PI()*(Inputs!$C$6)/Inputs!$C$40)+0.2*SIN(2*PI()*((Model_Data!A61)+(Inputs!$C$6))/(0.5*(Inputs!$C$39+Inputs!$C$40))))+Inputs!$C$38*SIN(2*PI()*(Model_Data!A61)/Inputs!$C$39)*SIN(2*PI()*(Inputs!$C$6)/Inputs!$C$40)+-Inputs!$C$41*EXP(-(((Inputs!$C$6)-Inputs!$C$43)^2)/(2*Inputs!$C$44^2))*EXP(-(((Model_Data!A61)-Inputs!$C$42)^2)/(2*Inputs!$C$45^2))+Inputs!$C$48*(0.7*(0.45*SIN(2*PI()*(((Model_Data!A61)/Inputs!$C$49)+Inputs!$C$47*0.137))+0.35*COS(2*PI()*(((Inputs!$C$6)/Inputs!$C$50)+Inputs!$C$47*0.173))+0.2*SIN(2*PI()*(((Model_Data!A61)+(Inputs!$C$6))/(0.5*(Inputs!$C$49+Inputs!$C$50))+Inputs!$C$47*0.097)))+0.3*(2*((SIN(((Model_Data!A61)*12.9898+(Inputs!$C$6)*78.233+Inputs!$C$47*37.719))*43758.5453)-INT((SIN(((Model_Data!A61)*12.9898+(Inputs!$C$6)*78.233+Inputs!$C$47*37.719))*43758.5453)))-1)))</f>
        <v>338.65715440925169</v>
      </c>
      <c r="K61" s="9">
        <f>-((((SQRT((Model_Data!A61)^2+Inputs!$C$6^2+((Model_Data!B61)-((Inputs!$C$51*(115*EXP(-(((Inputs!$C$6)-25)^2)/(4.5^2))+70*EXP(-(((Inputs!$C$6)+38)^2)/(7^2))*(0.55+0.45*SIN(2*PI()*(Model_Data!A61)/45))+24*SIN(2*PI()*(Inputs!$C$6)/9+(Model_Data!A61)/18)*EXP(-(((Inputs!$C$6)+5)^2)/(22^2))+18*SIN(2*PI()*(Model_Data!A61)/70))+Inputs!$C$28*EXP(-(((Model_Data!A61)-Inputs!$C$29)^2)/(2*Inputs!$C$31^2))*EXP(-(((Inputs!$C$6)-Inputs!$C$30)^2)/(2*Inputs!$C$32^2))+-Inputs!$C$33*EXP(-(((((Model_Data!A61)-Inputs!$C$34)^2)+(((Inputs!$C$6)-Inputs!$C$35)^2))/(2*Inputs!$C$36^2)))+Inputs!$C$37*(0.55*SIN(2*PI()*(Model_Data!A61)/Inputs!$C$39)+0.35*COS(2*PI()*(Inputs!$C$6)/Inputs!$C$40)+0.2*SIN(2*PI()*((Model_Data!A61)+(Inputs!$C$6))/(0.5*(Inputs!$C$39+Inputs!$C$40))))+Inputs!$C$38*SIN(2*PI()*(Model_Data!A61)/Inputs!$C$39)*SIN(2*PI()*(Inputs!$C$6)/Inputs!$C$40)+-Inputs!$C$41*EXP(-(((Inputs!$C$6)-Inputs!$C$43)^2)/(2*Inputs!$C$44^2))*EXP(-(((Model_Data!A61)-Inputs!$C$42)^2)/(2*Inputs!$C$45^2))+Inputs!$C$48*(0.7*(0.45*SIN(2*PI()*(((Model_Data!A61)/Inputs!$C$49)+Inputs!$C$47*0.137))+0.35*COS(2*PI()*(((Inputs!$C$6)/Inputs!$C$50)+Inputs!$C$47*0.173))+0.2*SIN(2*PI()*(((Model_Data!A61)+(Inputs!$C$6))/(0.5*(Inputs!$C$49+Inputs!$C$50))+Inputs!$C$47*0.097)))+0.3*(2*((SIN(((Model_Data!A61)*12.9898+(Inputs!$C$6)*78.233+Inputs!$C$47*37.719))*43758.5453)-INT((SIN(((Model_Data!A61)*12.9898+(Inputs!$C$6)*78.233+Inputs!$C$47*37.719))*43758.5453)))-1))))/1000)^2))-(((Model_Data!B61)-((Inputs!$C$51*(115*EXP(-(((0)-25)^2)/(4.5^2))+70*EXP(-(((0)+38)^2)/(7^2))*(0.55+0.45*SIN(2*PI()*(Model_Data!A61)/45))+24*SIN(2*PI()*(0)/9+(Model_Data!A61)/18)*EXP(-(((0)+5)^2)/(22^2))+18*SIN(2*PI()*(Model_Data!A61)/70))+Inputs!$C$28*EXP(-(((Model_Data!A61)-Inputs!$C$29)^2)/(2*Inputs!$C$31^2))*EXP(-(((0)-Inputs!$C$30)^2)/(2*Inputs!$C$32^2))+-Inputs!$C$33*EXP(-(((((Model_Data!A61)-Inputs!$C$34)^2)+(((0)-Inputs!$C$35)^2))/(2*Inputs!$C$36^2)))+Inputs!$C$37*(0.55*SIN(2*PI()*(Model_Data!A61)/Inputs!$C$39)+0.35*COS(2*PI()*(0)/Inputs!$C$40)+0.2*SIN(2*PI()*((Model_Data!A61)+(0))/(0.5*(Inputs!$C$39+Inputs!$C$40))))+Inputs!$C$38*SIN(2*PI()*(Model_Data!A61)/Inputs!$C$39)*SIN(2*PI()*(0)/Inputs!$C$40)+-Inputs!$C$41*EXP(-(((0)-Inputs!$C$43)^2)/(2*Inputs!$C$44^2))*EXP(-(((Model_Data!A61)-Inputs!$C$42)^2)/(2*Inputs!$C$45^2))+Inputs!$C$48*(0.7*(0.45*SIN(2*PI()*(((Model_Data!A61)/Inputs!$C$49)+Inputs!$C$47*0.137))+0.35*COS(2*PI()*(((0)/Inputs!$C$50)+Inputs!$C$47*0.173))+0.2*SIN(2*PI()*(((Model_Data!A61)+(0))/(0.5*(Inputs!$C$49+Inputs!$C$50))+Inputs!$C$47*0.097)))+0.3*(2*((SIN(((Model_Data!A61)*12.9898+(0)*78.233+Inputs!$C$47*37.719))*43758.5453)-INT((SIN(((Model_Data!A61)*12.9898+(0)*78.233+Inputs!$C$47*37.719))*43758.5453)))-1))))/1000)))*1000/Inputs!$C$12)-Model_Data!F61)</f>
        <v>193.53788546040744</v>
      </c>
      <c r="L61" s="10"/>
      <c r="M61" s="9">
        <f>Model_Data!A61</f>
        <v>-30.5</v>
      </c>
      <c r="N61" s="9">
        <f>Model_Data!P61</f>
        <v>229.02530143144403</v>
      </c>
      <c r="O61" s="9">
        <f t="shared" si="0"/>
        <v>203.19747059711517</v>
      </c>
      <c r="P61" s="9">
        <f>Model_Data!Q61</f>
        <v>34.388183398114727</v>
      </c>
      <c r="Q61" s="9">
        <f t="shared" si="1"/>
        <v>30.510130720287567</v>
      </c>
      <c r="R61" s="10"/>
      <c r="S61" s="9">
        <f>Model_Data!A61</f>
        <v>-30.5</v>
      </c>
      <c r="T61" s="9">
        <f>Model_Data!B61-Inputs!$C$5</f>
        <v>1.0336111111110995</v>
      </c>
      <c r="U61" s="10"/>
      <c r="V61" s="9">
        <f>Model_Data!A61</f>
        <v>-30.5</v>
      </c>
      <c r="W61" s="9">
        <f>((SQRT((Model_Data!A61)^2+Inputs!$C$6^2+Inputs!$C$5^2)-Inputs!$C$5)*1000/Inputs!$C$12)</f>
        <v>1089.528706833516</v>
      </c>
      <c r="X61" s="9">
        <f>Model_Data!F61</f>
        <v>1086.7340878249845</v>
      </c>
      <c r="Y61" s="10"/>
      <c r="Z61" s="9">
        <f>Model_Data!A61</f>
        <v>-30.5</v>
      </c>
      <c r="AA61" s="9">
        <f>SQRT((Model_Data!A61)^2+Inputs!$C$6^2+((Model_Data!B61)-((Inputs!$C$51*(115*EXP(-(((Inputs!$C$6)-25)^2)/(4.5^2))+70*EXP(-(((Inputs!$C$6)+38)^2)/(7^2))*(0.55+0.45*SIN(2*PI()*(Model_Data!A61)/45))+24*SIN(2*PI()*(Inputs!$C$6)/9+(Model_Data!A61)/18)*EXP(-(((Inputs!$C$6)+5)^2)/(22^2))+18*SIN(2*PI()*(Model_Data!A61)/70))+Inputs!$C$28*EXP(-(((Model_Data!A61)-Inputs!$C$29)^2)/(2*Inputs!$C$31^2))*EXP(-(((Inputs!$C$6)-Inputs!$C$30)^2)/(2*Inputs!$C$32^2))+-Inputs!$C$33*EXP(-(((((Model_Data!A61)-Inputs!$C$34)^2)+(((Inputs!$C$6)-Inputs!$C$35)^2))/(2*Inputs!$C$36^2)))+Inputs!$C$37*(0.55*SIN(2*PI()*(Model_Data!A61)/Inputs!$C$39)+0.35*COS(2*PI()*(Inputs!$C$6)/Inputs!$C$40)+0.2*SIN(2*PI()*((Model_Data!A61)+(Inputs!$C$6))/(0.5*(Inputs!$C$39+Inputs!$C$40))))+Inputs!$C$38*SIN(2*PI()*(Model_Data!A61)/Inputs!$C$39)*SIN(2*PI()*(Inputs!$C$6)/Inputs!$C$40)+-Inputs!$C$41*EXP(-(((Inputs!$C$6)-Inputs!$C$43)^2)/(2*Inputs!$C$44^2))*EXP(-(((Model_Data!A61)-Inputs!$C$42)^2)/(2*Inputs!$C$45^2))+Inputs!$C$48*(0.7*(0.45*SIN(2*PI()*(((Model_Data!A61)/Inputs!$C$49)+Inputs!$C$47*0.137))+0.35*COS(2*PI()*(((Inputs!$C$6)/Inputs!$C$50)+Inputs!$C$47*0.173))+0.2*SIN(2*PI()*(((Model_Data!A61)+(Inputs!$C$6))/(0.5*(Inputs!$C$49+Inputs!$C$50))+Inputs!$C$47*0.097)))+0.3*(2*((SIN(((Model_Data!A61)*12.9898+(Inputs!$C$6)*78.233+Inputs!$C$47*37.719))*43758.5453)-INT((SIN(((Model_Data!A61)*12.9898+(Inputs!$C$6)*78.233+Inputs!$C$47*37.719))*43758.5453)))-1))))/1000)^2)</f>
        <v>402.63096766935774</v>
      </c>
      <c r="AB61" s="9">
        <f>1000*(AA62-AA60)/(Z62-Z60)*Inputs!$C$11</f>
        <v>-507.99367649278793</v>
      </c>
      <c r="AC61" s="9">
        <f>-2*AB61/Inputs!$C$13</f>
        <v>203.19747059711517</v>
      </c>
      <c r="AD61" s="9">
        <f>-2*AB61/Inputs!$C$14</f>
        <v>30.510130720287567</v>
      </c>
    </row>
    <row r="62" spans="1:30">
      <c r="A62" s="9">
        <f>Model_Data!A62</f>
        <v>-30</v>
      </c>
      <c r="B62" s="9">
        <f>((SQRT((Model_Data!A62)^2+Inputs!$C$6^2+Inputs!$C$5^2)-Inputs!$C$5)*1000/Inputs!$C$12)</f>
        <v>1068.3872371751047</v>
      </c>
      <c r="C62" s="9">
        <f>Model_Data!F62</f>
        <v>1065.7354900670628</v>
      </c>
      <c r="D62" s="9">
        <f>(((SQRT((Model_Data!A62)^2+Inputs!$C$6^2+((Model_Data!B62)-((Inputs!$C$51*(115*EXP(-(((Inputs!$C$6)-25)^2)/(4.5^2))+70*EXP(-(((Inputs!$C$6)+38)^2)/(7^2))*(0.55+0.45*SIN(2*PI()*(Model_Data!A62)/45))+24*SIN(2*PI()*(Inputs!$C$6)/9+(Model_Data!A62)/18)*EXP(-(((Inputs!$C$6)+5)^2)/(22^2))+18*SIN(2*PI()*(Model_Data!A62)/70))+Inputs!$C$28*EXP(-(((Model_Data!A62)-Inputs!$C$29)^2)/(2*Inputs!$C$31^2))*EXP(-(((Inputs!$C$6)-Inputs!$C$30)^2)/(2*Inputs!$C$32^2))+-Inputs!$C$33*EXP(-(((((Model_Data!A62)-Inputs!$C$34)^2)+(((Inputs!$C$6)-Inputs!$C$35)^2))/(2*Inputs!$C$36^2)))+Inputs!$C$37*(0.55*SIN(2*PI()*(Model_Data!A62)/Inputs!$C$39)+0.35*COS(2*PI()*(Inputs!$C$6)/Inputs!$C$40)+0.2*SIN(2*PI()*((Model_Data!A62)+(Inputs!$C$6))/(0.5*(Inputs!$C$39+Inputs!$C$40))))+Inputs!$C$38*SIN(2*PI()*(Model_Data!A62)/Inputs!$C$39)*SIN(2*PI()*(Inputs!$C$6)/Inputs!$C$40)+-Inputs!$C$41*EXP(-(((Inputs!$C$6)-Inputs!$C$43)^2)/(2*Inputs!$C$44^2))*EXP(-(((Model_Data!A62)-Inputs!$C$42)^2)/(2*Inputs!$C$45^2))+Inputs!$C$48*(0.7*(0.45*SIN(2*PI()*(((Model_Data!A62)/Inputs!$C$49)+Inputs!$C$47*0.137))+0.35*COS(2*PI()*(((Inputs!$C$6)/Inputs!$C$50)+Inputs!$C$47*0.173))+0.2*SIN(2*PI()*(((Model_Data!A62)+(Inputs!$C$6))/(0.5*(Inputs!$C$49+Inputs!$C$50))+Inputs!$C$47*0.097)))+0.3*(2*((SIN(((Model_Data!A62)*12.9898+(Inputs!$C$6)*78.233+Inputs!$C$47*37.719))*43758.5453)-INT((SIN(((Model_Data!A62)*12.9898+(Inputs!$C$6)*78.233+Inputs!$C$47*37.719))*43758.5453)))-1))))/1000)^2))-(((Model_Data!B62)-((Inputs!$C$51*(115*EXP(-(((0)-25)^2)/(4.5^2))+70*EXP(-(((0)+38)^2)/(7^2))*(0.55+0.45*SIN(2*PI()*(Model_Data!A62)/45))+24*SIN(2*PI()*(0)/9+(Model_Data!A62)/18)*EXP(-(((0)+5)^2)/(22^2))+18*SIN(2*PI()*(Model_Data!A62)/70))+Inputs!$C$28*EXP(-(((Model_Data!A62)-Inputs!$C$29)^2)/(2*Inputs!$C$31^2))*EXP(-(((0)-Inputs!$C$30)^2)/(2*Inputs!$C$32^2))+-Inputs!$C$33*EXP(-(((((Model_Data!A62)-Inputs!$C$34)^2)+(((0)-Inputs!$C$35)^2))/(2*Inputs!$C$36^2)))+Inputs!$C$37*(0.55*SIN(2*PI()*(Model_Data!A62)/Inputs!$C$39)+0.35*COS(2*PI()*(0)/Inputs!$C$40)+0.2*SIN(2*PI()*((Model_Data!A62)+(0))/(0.5*(Inputs!$C$39+Inputs!$C$40))))+Inputs!$C$38*SIN(2*PI()*(Model_Data!A62)/Inputs!$C$39)*SIN(2*PI()*(0)/Inputs!$C$40)+-Inputs!$C$41*EXP(-(((0)-Inputs!$C$43)^2)/(2*Inputs!$C$44^2))*EXP(-(((Model_Data!A62)-Inputs!$C$42)^2)/(2*Inputs!$C$45^2))+Inputs!$C$48*(0.7*(0.45*SIN(2*PI()*(((Model_Data!A62)/Inputs!$C$49)+Inputs!$C$47*0.137))+0.35*COS(2*PI()*(((0)/Inputs!$C$50)+Inputs!$C$47*0.173))+0.2*SIN(2*PI()*(((Model_Data!A62)+(0))/(0.5*(Inputs!$C$49+Inputs!$C$50))+Inputs!$C$47*0.097)))+0.3*(2*((SIN(((Model_Data!A62)*12.9898+(0)*78.233+Inputs!$C$47*37.719))*43758.5453)-INT((SIN(((Model_Data!A62)*12.9898+(0)*78.233+Inputs!$C$47*37.719))*43758.5453)))-1))))/1000)))*1000/Inputs!$C$12)</f>
        <v>867.47340587718998</v>
      </c>
      <c r="E62" s="9">
        <f>Model_Data!A62</f>
        <v>-30</v>
      </c>
      <c r="F62" s="9">
        <f>(Inputs!$C$51*(115*EXP(-(((Inputs!$C$6)-25)^2)/(4.5^2))+70*EXP(-(((Inputs!$C$6)+38)^2)/(7^2))*(0.55+0.45*SIN(2*PI()*(Model_Data!A62)/45))+24*SIN(2*PI()*(Inputs!$C$6)/9+(Model_Data!A62)/18)*EXP(-(((Inputs!$C$6)+5)^2)/(22^2))+18*SIN(2*PI()*(Model_Data!A62)/70))+Inputs!$C$28*EXP(-(((Model_Data!A62)-Inputs!$C$29)^2)/(2*Inputs!$C$31^2))*EXP(-(((Inputs!$C$6)-Inputs!$C$30)^2)/(2*Inputs!$C$32^2))+-Inputs!$C$33*EXP(-(((((Model_Data!A62)-Inputs!$C$34)^2)+(((Inputs!$C$6)-Inputs!$C$35)^2))/(2*Inputs!$C$36^2)))+Inputs!$C$37*(0.55*SIN(2*PI()*(Model_Data!A62)/Inputs!$C$39)+0.35*COS(2*PI()*(Inputs!$C$6)/Inputs!$C$40)+0.2*SIN(2*PI()*((Model_Data!A62)+(Inputs!$C$6))/(0.5*(Inputs!$C$39+Inputs!$C$40))))+Inputs!$C$38*SIN(2*PI()*(Model_Data!A62)/Inputs!$C$39)*SIN(2*PI()*(Inputs!$C$6)/Inputs!$C$40)+-Inputs!$C$41*EXP(-(((Inputs!$C$6)-Inputs!$C$43)^2)/(2*Inputs!$C$44^2))*EXP(-(((Model_Data!A62)-Inputs!$C$42)^2)/(2*Inputs!$C$45^2))+Inputs!$C$48*(0.7*(0.45*SIN(2*PI()*(((Model_Data!A62)/Inputs!$C$49)+Inputs!$C$47*0.137))+0.35*COS(2*PI()*(((Inputs!$C$6)/Inputs!$C$50)+Inputs!$C$47*0.173))+0.2*SIN(2*PI()*(((Model_Data!A62)+(Inputs!$C$6))/(0.5*(Inputs!$C$49+Inputs!$C$50))+Inputs!$C$47*0.097)))+0.3*(2*((SIN(((Model_Data!A62)*12.9898+(Inputs!$C$6)*78.233+Inputs!$C$47*37.719))*43758.5453)-INT((SIN(((Model_Data!A62)*12.9898+(Inputs!$C$6)*78.233+Inputs!$C$47*37.719))*43758.5453)))-1)))</f>
        <v>336.97644838088075</v>
      </c>
      <c r="G62" s="9">
        <f>(Inputs!$C$51*(115*EXP(-(((0)-25)^2)/(4.5^2))+70*EXP(-(((0)+38)^2)/(7^2))*(0.55+0.45*SIN(2*PI()*(Model_Data!A62)/45))+24*SIN(2*PI()*(0)/9+(Model_Data!A62)/18)*EXP(-(((0)+5)^2)/(22^2))+18*SIN(2*PI()*(Model_Data!A62)/70))+Inputs!$C$28*EXP(-(((Model_Data!A62)-Inputs!$C$29)^2)/(2*Inputs!$C$31^2))*EXP(-(((0)-Inputs!$C$30)^2)/(2*Inputs!$C$32^2))+-Inputs!$C$33*EXP(-(((((Model_Data!A62)-Inputs!$C$34)^2)+(((0)-Inputs!$C$35)^2))/(2*Inputs!$C$36^2)))+Inputs!$C$37*(0.55*SIN(2*PI()*(Model_Data!A62)/Inputs!$C$39)+0.35*COS(2*PI()*(0)/Inputs!$C$40)+0.2*SIN(2*PI()*((Model_Data!A62)+(0))/(0.5*(Inputs!$C$39+Inputs!$C$40))))+Inputs!$C$38*SIN(2*PI()*(Model_Data!A62)/Inputs!$C$39)*SIN(2*PI()*(0)/Inputs!$C$40)+-Inputs!$C$41*EXP(-(((0)-Inputs!$C$43)^2)/(2*Inputs!$C$44^2))*EXP(-(((Model_Data!A62)-Inputs!$C$42)^2)/(2*Inputs!$C$45^2))+Inputs!$C$48*(0.7*(0.45*SIN(2*PI()*(((Model_Data!A62)/Inputs!$C$49)+Inputs!$C$47*0.137))+0.35*COS(2*PI()*(((0)/Inputs!$C$50)+Inputs!$C$47*0.173))+0.2*SIN(2*PI()*(((Model_Data!A62)+(0))/(0.5*(Inputs!$C$49+Inputs!$C$50))+Inputs!$C$47*0.097)))+0.3*(2*((SIN(((Model_Data!A62)*12.9898+(0)*78.233+Inputs!$C$47*37.719))*43758.5453)-INT((SIN(((Model_Data!A62)*12.9898+(0)*78.233+Inputs!$C$47*37.719))*43758.5453)))-1)))</f>
        <v>-17.518013833672008</v>
      </c>
      <c r="H62" s="10"/>
      <c r="I62" s="9">
        <f>Model_Data!A62</f>
        <v>-30</v>
      </c>
      <c r="J62" s="9">
        <f>(Inputs!$C$51*(115*EXP(-(((Inputs!$C$6)-25)^2)/(4.5^2))+70*EXP(-(((Inputs!$C$6)+38)^2)/(7^2))*(0.55+0.45*SIN(2*PI()*(Model_Data!A62)/45))+24*SIN(2*PI()*(Inputs!$C$6)/9+(Model_Data!A62)/18)*EXP(-(((Inputs!$C$6)+5)^2)/(22^2))+18*SIN(2*PI()*(Model_Data!A62)/70))+Inputs!$C$28*EXP(-(((Model_Data!A62)-Inputs!$C$29)^2)/(2*Inputs!$C$31^2))*EXP(-(((Inputs!$C$6)-Inputs!$C$30)^2)/(2*Inputs!$C$32^2))+-Inputs!$C$33*EXP(-(((((Model_Data!A62)-Inputs!$C$34)^2)+(((Inputs!$C$6)-Inputs!$C$35)^2))/(2*Inputs!$C$36^2)))+Inputs!$C$37*(0.55*SIN(2*PI()*(Model_Data!A62)/Inputs!$C$39)+0.35*COS(2*PI()*(Inputs!$C$6)/Inputs!$C$40)+0.2*SIN(2*PI()*((Model_Data!A62)+(Inputs!$C$6))/(0.5*(Inputs!$C$39+Inputs!$C$40))))+Inputs!$C$38*SIN(2*PI()*(Model_Data!A62)/Inputs!$C$39)*SIN(2*PI()*(Inputs!$C$6)/Inputs!$C$40)+-Inputs!$C$41*EXP(-(((Inputs!$C$6)-Inputs!$C$43)^2)/(2*Inputs!$C$44^2))*EXP(-(((Model_Data!A62)-Inputs!$C$42)^2)/(2*Inputs!$C$45^2))+Inputs!$C$48*(0.7*(0.45*SIN(2*PI()*(((Model_Data!A62)/Inputs!$C$49)+Inputs!$C$47*0.137))+0.35*COS(2*PI()*(((Inputs!$C$6)/Inputs!$C$50)+Inputs!$C$47*0.173))+0.2*SIN(2*PI()*(((Model_Data!A62)+(Inputs!$C$6))/(0.5*(Inputs!$C$49+Inputs!$C$50))+Inputs!$C$47*0.097)))+0.3*(2*((SIN(((Model_Data!A62)*12.9898+(Inputs!$C$6)*78.233+Inputs!$C$47*37.719))*43758.5453)-INT((SIN(((Model_Data!A62)*12.9898+(Inputs!$C$6)*78.233+Inputs!$C$47*37.719))*43758.5453)))-1)))</f>
        <v>336.97644838088075</v>
      </c>
      <c r="K62" s="9">
        <f>-((((SQRT((Model_Data!A62)^2+Inputs!$C$6^2+((Model_Data!B62)-((Inputs!$C$51*(115*EXP(-(((Inputs!$C$6)-25)^2)/(4.5^2))+70*EXP(-(((Inputs!$C$6)+38)^2)/(7^2))*(0.55+0.45*SIN(2*PI()*(Model_Data!A62)/45))+24*SIN(2*PI()*(Inputs!$C$6)/9+(Model_Data!A62)/18)*EXP(-(((Inputs!$C$6)+5)^2)/(22^2))+18*SIN(2*PI()*(Model_Data!A62)/70))+Inputs!$C$28*EXP(-(((Model_Data!A62)-Inputs!$C$29)^2)/(2*Inputs!$C$31^2))*EXP(-(((Inputs!$C$6)-Inputs!$C$30)^2)/(2*Inputs!$C$32^2))+-Inputs!$C$33*EXP(-(((((Model_Data!A62)-Inputs!$C$34)^2)+(((Inputs!$C$6)-Inputs!$C$35)^2))/(2*Inputs!$C$36^2)))+Inputs!$C$37*(0.55*SIN(2*PI()*(Model_Data!A62)/Inputs!$C$39)+0.35*COS(2*PI()*(Inputs!$C$6)/Inputs!$C$40)+0.2*SIN(2*PI()*((Model_Data!A62)+(Inputs!$C$6))/(0.5*(Inputs!$C$39+Inputs!$C$40))))+Inputs!$C$38*SIN(2*PI()*(Model_Data!A62)/Inputs!$C$39)*SIN(2*PI()*(Inputs!$C$6)/Inputs!$C$40)+-Inputs!$C$41*EXP(-(((Inputs!$C$6)-Inputs!$C$43)^2)/(2*Inputs!$C$44^2))*EXP(-(((Model_Data!A62)-Inputs!$C$42)^2)/(2*Inputs!$C$45^2))+Inputs!$C$48*(0.7*(0.45*SIN(2*PI()*(((Model_Data!A62)/Inputs!$C$49)+Inputs!$C$47*0.137))+0.35*COS(2*PI()*(((Inputs!$C$6)/Inputs!$C$50)+Inputs!$C$47*0.173))+0.2*SIN(2*PI()*(((Model_Data!A62)+(Inputs!$C$6))/(0.5*(Inputs!$C$49+Inputs!$C$50))+Inputs!$C$47*0.097)))+0.3*(2*((SIN(((Model_Data!A62)*12.9898+(Inputs!$C$6)*78.233+Inputs!$C$47*37.719))*43758.5453)-INT((SIN(((Model_Data!A62)*12.9898+(Inputs!$C$6)*78.233+Inputs!$C$47*37.719))*43758.5453)))-1))))/1000)^2))-(((Model_Data!B62)-((Inputs!$C$51*(115*EXP(-(((0)-25)^2)/(4.5^2))+70*EXP(-(((0)+38)^2)/(7^2))*(0.55+0.45*SIN(2*PI()*(Model_Data!A62)/45))+24*SIN(2*PI()*(0)/9+(Model_Data!A62)/18)*EXP(-(((0)+5)^2)/(22^2))+18*SIN(2*PI()*(Model_Data!A62)/70))+Inputs!$C$28*EXP(-(((Model_Data!A62)-Inputs!$C$29)^2)/(2*Inputs!$C$31^2))*EXP(-(((0)-Inputs!$C$30)^2)/(2*Inputs!$C$32^2))+-Inputs!$C$33*EXP(-(((((Model_Data!A62)-Inputs!$C$34)^2)+(((0)-Inputs!$C$35)^2))/(2*Inputs!$C$36^2)))+Inputs!$C$37*(0.55*SIN(2*PI()*(Model_Data!A62)/Inputs!$C$39)+0.35*COS(2*PI()*(0)/Inputs!$C$40)+0.2*SIN(2*PI()*((Model_Data!A62)+(0))/(0.5*(Inputs!$C$39+Inputs!$C$40))))+Inputs!$C$38*SIN(2*PI()*(Model_Data!A62)/Inputs!$C$39)*SIN(2*PI()*(0)/Inputs!$C$40)+-Inputs!$C$41*EXP(-(((0)-Inputs!$C$43)^2)/(2*Inputs!$C$44^2))*EXP(-(((Model_Data!A62)-Inputs!$C$42)^2)/(2*Inputs!$C$45^2))+Inputs!$C$48*(0.7*(0.45*SIN(2*PI()*(((Model_Data!A62)/Inputs!$C$49)+Inputs!$C$47*0.137))+0.35*COS(2*PI()*(((0)/Inputs!$C$50)+Inputs!$C$47*0.173))+0.2*SIN(2*PI()*(((Model_Data!A62)+(0))/(0.5*(Inputs!$C$49+Inputs!$C$50))+Inputs!$C$47*0.097)))+0.3*(2*((SIN(((Model_Data!A62)*12.9898+(0)*78.233+Inputs!$C$47*37.719))*43758.5453)-INT((SIN(((Model_Data!A62)*12.9898+(0)*78.233+Inputs!$C$47*37.719))*43758.5453)))-1))))/1000)))*1000/Inputs!$C$12)-Model_Data!F62)</f>
        <v>198.26208418987278</v>
      </c>
      <c r="L62" s="10"/>
      <c r="M62" s="9">
        <f>Model_Data!A62</f>
        <v>-30</v>
      </c>
      <c r="N62" s="9">
        <f>Model_Data!P62</f>
        <v>225.30158146324067</v>
      </c>
      <c r="O62" s="9">
        <f t="shared" si="0"/>
        <v>205.63635574180807</v>
      </c>
      <c r="P62" s="9">
        <f>Model_Data!Q62</f>
        <v>33.829066285771873</v>
      </c>
      <c r="Q62" s="9">
        <f t="shared" si="1"/>
        <v>30.876329690962176</v>
      </c>
      <c r="R62" s="10"/>
      <c r="S62" s="9">
        <f>Model_Data!A62</f>
        <v>-30</v>
      </c>
      <c r="T62" s="9">
        <f>Model_Data!B62-Inputs!$C$5</f>
        <v>1</v>
      </c>
      <c r="U62" s="10"/>
      <c r="V62" s="9">
        <f>Model_Data!A62</f>
        <v>-30</v>
      </c>
      <c r="W62" s="9">
        <f>((SQRT((Model_Data!A62)^2+Inputs!$C$6^2+Inputs!$C$5^2)-Inputs!$C$5)*1000/Inputs!$C$12)</f>
        <v>1068.3872371751047</v>
      </c>
      <c r="X62" s="9">
        <f>Model_Data!F62</f>
        <v>1065.7354900670628</v>
      </c>
      <c r="Y62" s="10"/>
      <c r="Z62" s="9">
        <f>Model_Data!A62</f>
        <v>-30</v>
      </c>
      <c r="AA62" s="9">
        <f>SQRT((Model_Data!A62)^2+Inputs!$C$6^2+((Model_Data!B62)-((Inputs!$C$51*(115*EXP(-(((Inputs!$C$6)-25)^2)/(4.5^2))+70*EXP(-(((Inputs!$C$6)+38)^2)/(7^2))*(0.55+0.45*SIN(2*PI()*(Model_Data!A62)/45))+24*SIN(2*PI()*(Inputs!$C$6)/9+(Model_Data!A62)/18)*EXP(-(((Inputs!$C$6)+5)^2)/(22^2))+18*SIN(2*PI()*(Model_Data!A62)/70))+Inputs!$C$28*EXP(-(((Model_Data!A62)-Inputs!$C$29)^2)/(2*Inputs!$C$31^2))*EXP(-(((Inputs!$C$6)-Inputs!$C$30)^2)/(2*Inputs!$C$32^2))+-Inputs!$C$33*EXP(-(((((Model_Data!A62)-Inputs!$C$34)^2)+(((Inputs!$C$6)-Inputs!$C$35)^2))/(2*Inputs!$C$36^2)))+Inputs!$C$37*(0.55*SIN(2*PI()*(Model_Data!A62)/Inputs!$C$39)+0.35*COS(2*PI()*(Inputs!$C$6)/Inputs!$C$40)+0.2*SIN(2*PI()*((Model_Data!A62)+(Inputs!$C$6))/(0.5*(Inputs!$C$39+Inputs!$C$40))))+Inputs!$C$38*SIN(2*PI()*(Model_Data!A62)/Inputs!$C$39)*SIN(2*PI()*(Inputs!$C$6)/Inputs!$C$40)+-Inputs!$C$41*EXP(-(((Inputs!$C$6)-Inputs!$C$43)^2)/(2*Inputs!$C$44^2))*EXP(-(((Model_Data!A62)-Inputs!$C$42)^2)/(2*Inputs!$C$45^2))+Inputs!$C$48*(0.7*(0.45*SIN(2*PI()*(((Model_Data!A62)/Inputs!$C$49)+Inputs!$C$47*0.137))+0.35*COS(2*PI()*(((Inputs!$C$6)/Inputs!$C$50)+Inputs!$C$47*0.173))+0.2*SIN(2*PI()*(((Model_Data!A62)+(Inputs!$C$6))/(0.5*(Inputs!$C$49+Inputs!$C$50))+Inputs!$C$47*0.097)))+0.3*(2*((SIN(((Model_Data!A62)*12.9898+(Inputs!$C$6)*78.233+Inputs!$C$47*37.719))*43758.5453)-INT((SIN(((Model_Data!A62)*12.9898+(Inputs!$C$6)*78.233+Inputs!$C$47*37.719))*43758.5453)))-1))))/1000)^2)</f>
        <v>402.56162067629509</v>
      </c>
      <c r="AB62" s="9">
        <f>1000*(AA63-AA61)/(Z63-Z61)*Inputs!$C$11</f>
        <v>-514.09088935452019</v>
      </c>
      <c r="AC62" s="9">
        <f>-2*AB62/Inputs!$C$13</f>
        <v>205.63635574180807</v>
      </c>
      <c r="AD62" s="9">
        <f>-2*AB62/Inputs!$C$14</f>
        <v>30.876329690962176</v>
      </c>
    </row>
    <row r="63" spans="1:30">
      <c r="A63" s="9">
        <f>Model_Data!A63</f>
        <v>-29.5</v>
      </c>
      <c r="B63" s="9">
        <f>((SQRT((Model_Data!A63)^2+Inputs!$C$6^2+Inputs!$C$5^2)-Inputs!$C$5)*1000/Inputs!$C$12)</f>
        <v>1047.5932823598905</v>
      </c>
      <c r="C63" s="9">
        <f>Model_Data!F63</f>
        <v>1045.0786584324383</v>
      </c>
      <c r="D63" s="9">
        <f>(((SQRT((Model_Data!A63)^2+Inputs!$C$6^2+((Model_Data!B63)-((Inputs!$C$51*(115*EXP(-(((Inputs!$C$6)-25)^2)/(4.5^2))+70*EXP(-(((Inputs!$C$6)+38)^2)/(7^2))*(0.55+0.45*SIN(2*PI()*(Model_Data!A63)/45))+24*SIN(2*PI()*(Inputs!$C$6)/9+(Model_Data!A63)/18)*EXP(-(((Inputs!$C$6)+5)^2)/(22^2))+18*SIN(2*PI()*(Model_Data!A63)/70))+Inputs!$C$28*EXP(-(((Model_Data!A63)-Inputs!$C$29)^2)/(2*Inputs!$C$31^2))*EXP(-(((Inputs!$C$6)-Inputs!$C$30)^2)/(2*Inputs!$C$32^2))+-Inputs!$C$33*EXP(-(((((Model_Data!A63)-Inputs!$C$34)^2)+(((Inputs!$C$6)-Inputs!$C$35)^2))/(2*Inputs!$C$36^2)))+Inputs!$C$37*(0.55*SIN(2*PI()*(Model_Data!A63)/Inputs!$C$39)+0.35*COS(2*PI()*(Inputs!$C$6)/Inputs!$C$40)+0.2*SIN(2*PI()*((Model_Data!A63)+(Inputs!$C$6))/(0.5*(Inputs!$C$39+Inputs!$C$40))))+Inputs!$C$38*SIN(2*PI()*(Model_Data!A63)/Inputs!$C$39)*SIN(2*PI()*(Inputs!$C$6)/Inputs!$C$40)+-Inputs!$C$41*EXP(-(((Inputs!$C$6)-Inputs!$C$43)^2)/(2*Inputs!$C$44^2))*EXP(-(((Model_Data!A63)-Inputs!$C$42)^2)/(2*Inputs!$C$45^2))+Inputs!$C$48*(0.7*(0.45*SIN(2*PI()*(((Model_Data!A63)/Inputs!$C$49)+Inputs!$C$47*0.137))+0.35*COS(2*PI()*(((Inputs!$C$6)/Inputs!$C$50)+Inputs!$C$47*0.173))+0.2*SIN(2*PI()*(((Model_Data!A63)+(Inputs!$C$6))/(0.5*(Inputs!$C$49+Inputs!$C$50))+Inputs!$C$47*0.097)))+0.3*(2*((SIN(((Model_Data!A63)*12.9898+(Inputs!$C$6)*78.233+Inputs!$C$47*37.719))*43758.5453)-INT((SIN(((Model_Data!A63)*12.9898+(Inputs!$C$6)*78.233+Inputs!$C$47*37.719))*43758.5453)))-1))))/1000)^2))-(((Model_Data!B63)-((Inputs!$C$51*(115*EXP(-(((0)-25)^2)/(4.5^2))+70*EXP(-(((0)+38)^2)/(7^2))*(0.55+0.45*SIN(2*PI()*(Model_Data!A63)/45))+24*SIN(2*PI()*(0)/9+(Model_Data!A63)/18)*EXP(-(((0)+5)^2)/(22^2))+18*SIN(2*PI()*(Model_Data!A63)/70))+Inputs!$C$28*EXP(-(((Model_Data!A63)-Inputs!$C$29)^2)/(2*Inputs!$C$31^2))*EXP(-(((0)-Inputs!$C$30)^2)/(2*Inputs!$C$32^2))+-Inputs!$C$33*EXP(-(((((Model_Data!A63)-Inputs!$C$34)^2)+(((0)-Inputs!$C$35)^2))/(2*Inputs!$C$36^2)))+Inputs!$C$37*(0.55*SIN(2*PI()*(Model_Data!A63)/Inputs!$C$39)+0.35*COS(2*PI()*(0)/Inputs!$C$40)+0.2*SIN(2*PI()*((Model_Data!A63)+(0))/(0.5*(Inputs!$C$39+Inputs!$C$40))))+Inputs!$C$38*SIN(2*PI()*(Model_Data!A63)/Inputs!$C$39)*SIN(2*PI()*(0)/Inputs!$C$40)+-Inputs!$C$41*EXP(-(((0)-Inputs!$C$43)^2)/(2*Inputs!$C$44^2))*EXP(-(((Model_Data!A63)-Inputs!$C$42)^2)/(2*Inputs!$C$45^2))+Inputs!$C$48*(0.7*(0.45*SIN(2*PI()*(((Model_Data!A63)/Inputs!$C$49)+Inputs!$C$47*0.137))+0.35*COS(2*PI()*(((0)/Inputs!$C$50)+Inputs!$C$47*0.173))+0.2*SIN(2*PI()*(((Model_Data!A63)+(0))/(0.5*(Inputs!$C$49+Inputs!$C$50))+Inputs!$C$47*0.097)))+0.3*(2*((SIN(((Model_Data!A63)*12.9898+(0)*78.233+Inputs!$C$47*37.719))*43758.5453)-INT((SIN(((Model_Data!A63)*12.9898+(0)*78.233+Inputs!$C$47*37.719))*43758.5453)))-1))))/1000)))*1000/Inputs!$C$12)</f>
        <v>842.32169903197587</v>
      </c>
      <c r="E63" s="9">
        <f>Model_Data!A63</f>
        <v>-29.5</v>
      </c>
      <c r="F63" s="9">
        <f>(Inputs!$C$51*(115*EXP(-(((Inputs!$C$6)-25)^2)/(4.5^2))+70*EXP(-(((Inputs!$C$6)+38)^2)/(7^2))*(0.55+0.45*SIN(2*PI()*(Model_Data!A63)/45))+24*SIN(2*PI()*(Inputs!$C$6)/9+(Model_Data!A63)/18)*EXP(-(((Inputs!$C$6)+5)^2)/(22^2))+18*SIN(2*PI()*(Model_Data!A63)/70))+Inputs!$C$28*EXP(-(((Model_Data!A63)-Inputs!$C$29)^2)/(2*Inputs!$C$31^2))*EXP(-(((Inputs!$C$6)-Inputs!$C$30)^2)/(2*Inputs!$C$32^2))+-Inputs!$C$33*EXP(-(((((Model_Data!A63)-Inputs!$C$34)^2)+(((Inputs!$C$6)-Inputs!$C$35)^2))/(2*Inputs!$C$36^2)))+Inputs!$C$37*(0.55*SIN(2*PI()*(Model_Data!A63)/Inputs!$C$39)+0.35*COS(2*PI()*(Inputs!$C$6)/Inputs!$C$40)+0.2*SIN(2*PI()*((Model_Data!A63)+(Inputs!$C$6))/(0.5*(Inputs!$C$39+Inputs!$C$40))))+Inputs!$C$38*SIN(2*PI()*(Model_Data!A63)/Inputs!$C$39)*SIN(2*PI()*(Inputs!$C$6)/Inputs!$C$40)+-Inputs!$C$41*EXP(-(((Inputs!$C$6)-Inputs!$C$43)^2)/(2*Inputs!$C$44^2))*EXP(-(((Model_Data!A63)-Inputs!$C$42)^2)/(2*Inputs!$C$45^2))+Inputs!$C$48*(0.7*(0.45*SIN(2*PI()*(((Model_Data!A63)/Inputs!$C$49)+Inputs!$C$47*0.137))+0.35*COS(2*PI()*(((Inputs!$C$6)/Inputs!$C$50)+Inputs!$C$47*0.173))+0.2*SIN(2*PI()*(((Model_Data!A63)+(Inputs!$C$6))/(0.5*(Inputs!$C$49+Inputs!$C$50))+Inputs!$C$47*0.097)))+0.3*(2*((SIN(((Model_Data!A63)*12.9898+(Inputs!$C$6)*78.233+Inputs!$C$47*37.719))*43758.5453)-INT((SIN(((Model_Data!A63)*12.9898+(Inputs!$C$6)*78.233+Inputs!$C$47*37.719))*43758.5453)))-1)))</f>
        <v>326.24732503276135</v>
      </c>
      <c r="G63" s="9">
        <f>(Inputs!$C$51*(115*EXP(-(((0)-25)^2)/(4.5^2))+70*EXP(-(((0)+38)^2)/(7^2))*(0.55+0.45*SIN(2*PI()*(Model_Data!A63)/45))+24*SIN(2*PI()*(0)/9+(Model_Data!A63)/18)*EXP(-(((0)+5)^2)/(22^2))+18*SIN(2*PI()*(Model_Data!A63)/70))+Inputs!$C$28*EXP(-(((Model_Data!A63)-Inputs!$C$29)^2)/(2*Inputs!$C$31^2))*EXP(-(((0)-Inputs!$C$30)^2)/(2*Inputs!$C$32^2))+-Inputs!$C$33*EXP(-(((((Model_Data!A63)-Inputs!$C$34)^2)+(((0)-Inputs!$C$35)^2))/(2*Inputs!$C$36^2)))+Inputs!$C$37*(0.55*SIN(2*PI()*(Model_Data!A63)/Inputs!$C$39)+0.35*COS(2*PI()*(0)/Inputs!$C$40)+0.2*SIN(2*PI()*((Model_Data!A63)+(0))/(0.5*(Inputs!$C$39+Inputs!$C$40))))+Inputs!$C$38*SIN(2*PI()*(Model_Data!A63)/Inputs!$C$39)*SIN(2*PI()*(0)/Inputs!$C$40)+-Inputs!$C$41*EXP(-(((0)-Inputs!$C$43)^2)/(2*Inputs!$C$44^2))*EXP(-(((Model_Data!A63)-Inputs!$C$42)^2)/(2*Inputs!$C$45^2))+Inputs!$C$48*(0.7*(0.45*SIN(2*PI()*(((Model_Data!A63)/Inputs!$C$49)+Inputs!$C$47*0.137))+0.35*COS(2*PI()*(((0)/Inputs!$C$50)+Inputs!$C$47*0.173))+0.2*SIN(2*PI()*(((Model_Data!A63)+(0))/(0.5*(Inputs!$C$49+Inputs!$C$50))+Inputs!$C$47*0.097)))+0.3*(2*((SIN(((Model_Data!A63)*12.9898+(0)*78.233+Inputs!$C$47*37.719))*43758.5453)-INT((SIN(((Model_Data!A63)*12.9898+(0)*78.233+Inputs!$C$47*37.719))*43758.5453)))-1)))</f>
        <v>-36.167878297776255</v>
      </c>
      <c r="H63" s="10"/>
      <c r="I63" s="9">
        <f>Model_Data!A63</f>
        <v>-29.5</v>
      </c>
      <c r="J63" s="9">
        <f>(Inputs!$C$51*(115*EXP(-(((Inputs!$C$6)-25)^2)/(4.5^2))+70*EXP(-(((Inputs!$C$6)+38)^2)/(7^2))*(0.55+0.45*SIN(2*PI()*(Model_Data!A63)/45))+24*SIN(2*PI()*(Inputs!$C$6)/9+(Model_Data!A63)/18)*EXP(-(((Inputs!$C$6)+5)^2)/(22^2))+18*SIN(2*PI()*(Model_Data!A63)/70))+Inputs!$C$28*EXP(-(((Model_Data!A63)-Inputs!$C$29)^2)/(2*Inputs!$C$31^2))*EXP(-(((Inputs!$C$6)-Inputs!$C$30)^2)/(2*Inputs!$C$32^2))+-Inputs!$C$33*EXP(-(((((Model_Data!A63)-Inputs!$C$34)^2)+(((Inputs!$C$6)-Inputs!$C$35)^2))/(2*Inputs!$C$36^2)))+Inputs!$C$37*(0.55*SIN(2*PI()*(Model_Data!A63)/Inputs!$C$39)+0.35*COS(2*PI()*(Inputs!$C$6)/Inputs!$C$40)+0.2*SIN(2*PI()*((Model_Data!A63)+(Inputs!$C$6))/(0.5*(Inputs!$C$39+Inputs!$C$40))))+Inputs!$C$38*SIN(2*PI()*(Model_Data!A63)/Inputs!$C$39)*SIN(2*PI()*(Inputs!$C$6)/Inputs!$C$40)+-Inputs!$C$41*EXP(-(((Inputs!$C$6)-Inputs!$C$43)^2)/(2*Inputs!$C$44^2))*EXP(-(((Model_Data!A63)-Inputs!$C$42)^2)/(2*Inputs!$C$45^2))+Inputs!$C$48*(0.7*(0.45*SIN(2*PI()*(((Model_Data!A63)/Inputs!$C$49)+Inputs!$C$47*0.137))+0.35*COS(2*PI()*(((Inputs!$C$6)/Inputs!$C$50)+Inputs!$C$47*0.173))+0.2*SIN(2*PI()*(((Model_Data!A63)+(Inputs!$C$6))/(0.5*(Inputs!$C$49+Inputs!$C$50))+Inputs!$C$47*0.097)))+0.3*(2*((SIN(((Model_Data!A63)*12.9898+(Inputs!$C$6)*78.233+Inputs!$C$47*37.719))*43758.5453)-INT((SIN(((Model_Data!A63)*12.9898+(Inputs!$C$6)*78.233+Inputs!$C$47*37.719))*43758.5453)))-1)))</f>
        <v>326.24732503276135</v>
      </c>
      <c r="K63" s="9">
        <f>-((((SQRT((Model_Data!A63)^2+Inputs!$C$6^2+((Model_Data!B63)-((Inputs!$C$51*(115*EXP(-(((Inputs!$C$6)-25)^2)/(4.5^2))+70*EXP(-(((Inputs!$C$6)+38)^2)/(7^2))*(0.55+0.45*SIN(2*PI()*(Model_Data!A63)/45))+24*SIN(2*PI()*(Inputs!$C$6)/9+(Model_Data!A63)/18)*EXP(-(((Inputs!$C$6)+5)^2)/(22^2))+18*SIN(2*PI()*(Model_Data!A63)/70))+Inputs!$C$28*EXP(-(((Model_Data!A63)-Inputs!$C$29)^2)/(2*Inputs!$C$31^2))*EXP(-(((Inputs!$C$6)-Inputs!$C$30)^2)/(2*Inputs!$C$32^2))+-Inputs!$C$33*EXP(-(((((Model_Data!A63)-Inputs!$C$34)^2)+(((Inputs!$C$6)-Inputs!$C$35)^2))/(2*Inputs!$C$36^2)))+Inputs!$C$37*(0.55*SIN(2*PI()*(Model_Data!A63)/Inputs!$C$39)+0.35*COS(2*PI()*(Inputs!$C$6)/Inputs!$C$40)+0.2*SIN(2*PI()*((Model_Data!A63)+(Inputs!$C$6))/(0.5*(Inputs!$C$39+Inputs!$C$40))))+Inputs!$C$38*SIN(2*PI()*(Model_Data!A63)/Inputs!$C$39)*SIN(2*PI()*(Inputs!$C$6)/Inputs!$C$40)+-Inputs!$C$41*EXP(-(((Inputs!$C$6)-Inputs!$C$43)^2)/(2*Inputs!$C$44^2))*EXP(-(((Model_Data!A63)-Inputs!$C$42)^2)/(2*Inputs!$C$45^2))+Inputs!$C$48*(0.7*(0.45*SIN(2*PI()*(((Model_Data!A63)/Inputs!$C$49)+Inputs!$C$47*0.137))+0.35*COS(2*PI()*(((Inputs!$C$6)/Inputs!$C$50)+Inputs!$C$47*0.173))+0.2*SIN(2*PI()*(((Model_Data!A63)+(Inputs!$C$6))/(0.5*(Inputs!$C$49+Inputs!$C$50))+Inputs!$C$47*0.097)))+0.3*(2*((SIN(((Model_Data!A63)*12.9898+(Inputs!$C$6)*78.233+Inputs!$C$47*37.719))*43758.5453)-INT((SIN(((Model_Data!A63)*12.9898+(Inputs!$C$6)*78.233+Inputs!$C$47*37.719))*43758.5453)))-1))))/1000)^2))-(((Model_Data!B63)-((Inputs!$C$51*(115*EXP(-(((0)-25)^2)/(4.5^2))+70*EXP(-(((0)+38)^2)/(7^2))*(0.55+0.45*SIN(2*PI()*(Model_Data!A63)/45))+24*SIN(2*PI()*(0)/9+(Model_Data!A63)/18)*EXP(-(((0)+5)^2)/(22^2))+18*SIN(2*PI()*(Model_Data!A63)/70))+Inputs!$C$28*EXP(-(((Model_Data!A63)-Inputs!$C$29)^2)/(2*Inputs!$C$31^2))*EXP(-(((0)-Inputs!$C$30)^2)/(2*Inputs!$C$32^2))+-Inputs!$C$33*EXP(-(((((Model_Data!A63)-Inputs!$C$34)^2)+(((0)-Inputs!$C$35)^2))/(2*Inputs!$C$36^2)))+Inputs!$C$37*(0.55*SIN(2*PI()*(Model_Data!A63)/Inputs!$C$39)+0.35*COS(2*PI()*(0)/Inputs!$C$40)+0.2*SIN(2*PI()*((Model_Data!A63)+(0))/(0.5*(Inputs!$C$39+Inputs!$C$40))))+Inputs!$C$38*SIN(2*PI()*(Model_Data!A63)/Inputs!$C$39)*SIN(2*PI()*(0)/Inputs!$C$40)+-Inputs!$C$41*EXP(-(((0)-Inputs!$C$43)^2)/(2*Inputs!$C$44^2))*EXP(-(((Model_Data!A63)-Inputs!$C$42)^2)/(2*Inputs!$C$45^2))+Inputs!$C$48*(0.7*(0.45*SIN(2*PI()*(((Model_Data!A63)/Inputs!$C$49)+Inputs!$C$47*0.137))+0.35*COS(2*PI()*(((0)/Inputs!$C$50)+Inputs!$C$47*0.173))+0.2*SIN(2*PI()*(((Model_Data!A63)+(0))/(0.5*(Inputs!$C$49+Inputs!$C$50))+Inputs!$C$47*0.097)))+0.3*(2*((SIN(((Model_Data!A63)*12.9898+(0)*78.233+Inputs!$C$47*37.719))*43758.5453)-INT((SIN(((Model_Data!A63)*12.9898+(0)*78.233+Inputs!$C$47*37.719))*43758.5453)))-1))))/1000)))*1000/Inputs!$C$12)-Model_Data!F63)</f>
        <v>202.75695940046239</v>
      </c>
      <c r="L63" s="10"/>
      <c r="M63" s="9">
        <f>Model_Data!A63</f>
        <v>-29.5</v>
      </c>
      <c r="N63" s="9">
        <f>Model_Data!P63</f>
        <v>221.57635017703063</v>
      </c>
      <c r="O63" s="9">
        <f t="shared" si="0"/>
        <v>213.55140798368666</v>
      </c>
      <c r="P63" s="9">
        <f>Model_Data!Q63</f>
        <v>33.269722248803404</v>
      </c>
      <c r="Q63" s="9">
        <f t="shared" si="1"/>
        <v>32.06477597352653</v>
      </c>
      <c r="R63" s="10"/>
      <c r="S63" s="9">
        <f>Model_Data!A63</f>
        <v>-29.5</v>
      </c>
      <c r="T63" s="9">
        <f>Model_Data!B63-Inputs!$C$5</f>
        <v>0.96694444444443661</v>
      </c>
      <c r="U63" s="10"/>
      <c r="V63" s="9">
        <f>Model_Data!A63</f>
        <v>-29.5</v>
      </c>
      <c r="W63" s="9">
        <f>((SQRT((Model_Data!A63)^2+Inputs!$C$6^2+Inputs!$C$5^2)-Inputs!$C$5)*1000/Inputs!$C$12)</f>
        <v>1047.5932823598905</v>
      </c>
      <c r="X63" s="9">
        <f>Model_Data!F63</f>
        <v>1045.0786584324383</v>
      </c>
      <c r="Y63" s="10"/>
      <c r="Z63" s="9">
        <f>Model_Data!A63</f>
        <v>-29.5</v>
      </c>
      <c r="AA63" s="9">
        <f>SQRT((Model_Data!A63)^2+Inputs!$C$6^2+((Model_Data!B63)-((Inputs!$C$51*(115*EXP(-(((Inputs!$C$6)-25)^2)/(4.5^2))+70*EXP(-(((Inputs!$C$6)+38)^2)/(7^2))*(0.55+0.45*SIN(2*PI()*(Model_Data!A63)/45))+24*SIN(2*PI()*(Inputs!$C$6)/9+(Model_Data!A63)/18)*EXP(-(((Inputs!$C$6)+5)^2)/(22^2))+18*SIN(2*PI()*(Model_Data!A63)/70))+Inputs!$C$28*EXP(-(((Model_Data!A63)-Inputs!$C$29)^2)/(2*Inputs!$C$31^2))*EXP(-(((Inputs!$C$6)-Inputs!$C$30)^2)/(2*Inputs!$C$32^2))+-Inputs!$C$33*EXP(-(((((Model_Data!A63)-Inputs!$C$34)^2)+(((Inputs!$C$6)-Inputs!$C$35)^2))/(2*Inputs!$C$36^2)))+Inputs!$C$37*(0.55*SIN(2*PI()*(Model_Data!A63)/Inputs!$C$39)+0.35*COS(2*PI()*(Inputs!$C$6)/Inputs!$C$40)+0.2*SIN(2*PI()*((Model_Data!A63)+(Inputs!$C$6))/(0.5*(Inputs!$C$39+Inputs!$C$40))))+Inputs!$C$38*SIN(2*PI()*(Model_Data!A63)/Inputs!$C$39)*SIN(2*PI()*(Inputs!$C$6)/Inputs!$C$40)+-Inputs!$C$41*EXP(-(((Inputs!$C$6)-Inputs!$C$43)^2)/(2*Inputs!$C$44^2))*EXP(-(((Model_Data!A63)-Inputs!$C$42)^2)/(2*Inputs!$C$45^2))+Inputs!$C$48*(0.7*(0.45*SIN(2*PI()*(((Model_Data!A63)/Inputs!$C$49)+Inputs!$C$47*0.137))+0.35*COS(2*PI()*(((Inputs!$C$6)/Inputs!$C$50)+Inputs!$C$47*0.173))+0.2*SIN(2*PI()*(((Model_Data!A63)+(Inputs!$C$6))/(0.5*(Inputs!$C$49+Inputs!$C$50))+Inputs!$C$47*0.097)))+0.3*(2*((SIN(((Model_Data!A63)*12.9898+(Inputs!$C$6)*78.233+Inputs!$C$47*37.719))*43758.5453)-INT((SIN(((Model_Data!A63)*12.9898+(Inputs!$C$6)*78.233+Inputs!$C$47*37.719))*43758.5453)))-1))))/1000)^2)</f>
        <v>402.50244494701911</v>
      </c>
      <c r="AB63" s="9">
        <f>1000*(AA64-AA62)/(Z64-Z62)*Inputs!$C$11</f>
        <v>-533.87851995921665</v>
      </c>
      <c r="AC63" s="9">
        <f>-2*AB63/Inputs!$C$13</f>
        <v>213.55140798368666</v>
      </c>
      <c r="AD63" s="9">
        <f>-2*AB63/Inputs!$C$14</f>
        <v>32.06477597352653</v>
      </c>
    </row>
    <row r="64" spans="1:30">
      <c r="A64" s="9">
        <f>Model_Data!A64</f>
        <v>-29</v>
      </c>
      <c r="B64" s="9">
        <f>((SQRT((Model_Data!A64)^2+Inputs!$C$6^2+Inputs!$C$5^2)-Inputs!$C$5)*1000/Inputs!$C$12)</f>
        <v>1027.146938418826</v>
      </c>
      <c r="C64" s="9">
        <f>Model_Data!F64</f>
        <v>1024.763856153882</v>
      </c>
      <c r="D64" s="9">
        <f>(((SQRT((Model_Data!A64)^2+Inputs!$C$6^2+((Model_Data!B64)-((Inputs!$C$51*(115*EXP(-(((Inputs!$C$6)-25)^2)/(4.5^2))+70*EXP(-(((Inputs!$C$6)+38)^2)/(7^2))*(0.55+0.45*SIN(2*PI()*(Model_Data!A64)/45))+24*SIN(2*PI()*(Inputs!$C$6)/9+(Model_Data!A64)/18)*EXP(-(((Inputs!$C$6)+5)^2)/(22^2))+18*SIN(2*PI()*(Model_Data!A64)/70))+Inputs!$C$28*EXP(-(((Model_Data!A64)-Inputs!$C$29)^2)/(2*Inputs!$C$31^2))*EXP(-(((Inputs!$C$6)-Inputs!$C$30)^2)/(2*Inputs!$C$32^2))+-Inputs!$C$33*EXP(-(((((Model_Data!A64)-Inputs!$C$34)^2)+(((Inputs!$C$6)-Inputs!$C$35)^2))/(2*Inputs!$C$36^2)))+Inputs!$C$37*(0.55*SIN(2*PI()*(Model_Data!A64)/Inputs!$C$39)+0.35*COS(2*PI()*(Inputs!$C$6)/Inputs!$C$40)+0.2*SIN(2*PI()*((Model_Data!A64)+(Inputs!$C$6))/(0.5*(Inputs!$C$39+Inputs!$C$40))))+Inputs!$C$38*SIN(2*PI()*(Model_Data!A64)/Inputs!$C$39)*SIN(2*PI()*(Inputs!$C$6)/Inputs!$C$40)+-Inputs!$C$41*EXP(-(((Inputs!$C$6)-Inputs!$C$43)^2)/(2*Inputs!$C$44^2))*EXP(-(((Model_Data!A64)-Inputs!$C$42)^2)/(2*Inputs!$C$45^2))+Inputs!$C$48*(0.7*(0.45*SIN(2*PI()*(((Model_Data!A64)/Inputs!$C$49)+Inputs!$C$47*0.137))+0.35*COS(2*PI()*(((Inputs!$C$6)/Inputs!$C$50)+Inputs!$C$47*0.173))+0.2*SIN(2*PI()*(((Model_Data!A64)+(Inputs!$C$6))/(0.5*(Inputs!$C$49+Inputs!$C$50))+Inputs!$C$47*0.097)))+0.3*(2*((SIN(((Model_Data!A64)*12.9898+(Inputs!$C$6)*78.233+Inputs!$C$47*37.719))*43758.5453)-INT((SIN(((Model_Data!A64)*12.9898+(Inputs!$C$6)*78.233+Inputs!$C$47*37.719))*43758.5453)))-1))))/1000)^2))-(((Model_Data!B64)-((Inputs!$C$51*(115*EXP(-(((0)-25)^2)/(4.5^2))+70*EXP(-(((0)+38)^2)/(7^2))*(0.55+0.45*SIN(2*PI()*(Model_Data!A64)/45))+24*SIN(2*PI()*(0)/9+(Model_Data!A64)/18)*EXP(-(((0)+5)^2)/(22^2))+18*SIN(2*PI()*(Model_Data!A64)/70))+Inputs!$C$28*EXP(-(((Model_Data!A64)-Inputs!$C$29)^2)/(2*Inputs!$C$31^2))*EXP(-(((0)-Inputs!$C$30)^2)/(2*Inputs!$C$32^2))+-Inputs!$C$33*EXP(-(((((Model_Data!A64)-Inputs!$C$34)^2)+(((0)-Inputs!$C$35)^2))/(2*Inputs!$C$36^2)))+Inputs!$C$37*(0.55*SIN(2*PI()*(Model_Data!A64)/Inputs!$C$39)+0.35*COS(2*PI()*(0)/Inputs!$C$40)+0.2*SIN(2*PI()*((Model_Data!A64)+(0))/(0.5*(Inputs!$C$39+Inputs!$C$40))))+Inputs!$C$38*SIN(2*PI()*(Model_Data!A64)/Inputs!$C$39)*SIN(2*PI()*(0)/Inputs!$C$40)+-Inputs!$C$41*EXP(-(((0)-Inputs!$C$43)^2)/(2*Inputs!$C$44^2))*EXP(-(((Model_Data!A64)-Inputs!$C$42)^2)/(2*Inputs!$C$45^2))+Inputs!$C$48*(0.7*(0.45*SIN(2*PI()*(((Model_Data!A64)/Inputs!$C$49)+Inputs!$C$47*0.137))+0.35*COS(2*PI()*(((0)/Inputs!$C$50)+Inputs!$C$47*0.173))+0.2*SIN(2*PI()*(((Model_Data!A64)+(0))/(0.5*(Inputs!$C$49+Inputs!$C$50))+Inputs!$C$47*0.097)))+0.3*(2*((SIN(((Model_Data!A64)*12.9898+(0)*78.233+Inputs!$C$47*37.719))*43758.5453)-INT((SIN(((Model_Data!A64)*12.9898+(0)*78.233+Inputs!$C$47*37.719))*43758.5453)))-1))))/1000)))*1000/Inputs!$C$12)</f>
        <v>826.31616859821202</v>
      </c>
      <c r="E64" s="9">
        <f>Model_Data!A64</f>
        <v>-29</v>
      </c>
      <c r="F64" s="9">
        <f>(Inputs!$C$51*(115*EXP(-(((Inputs!$C$6)-25)^2)/(4.5^2))+70*EXP(-(((Inputs!$C$6)+38)^2)/(7^2))*(0.55+0.45*SIN(2*PI()*(Model_Data!A64)/45))+24*SIN(2*PI()*(Inputs!$C$6)/9+(Model_Data!A64)/18)*EXP(-(((Inputs!$C$6)+5)^2)/(22^2))+18*SIN(2*PI()*(Model_Data!A64)/70))+Inputs!$C$28*EXP(-(((Model_Data!A64)-Inputs!$C$29)^2)/(2*Inputs!$C$31^2))*EXP(-(((Inputs!$C$6)-Inputs!$C$30)^2)/(2*Inputs!$C$32^2))+-Inputs!$C$33*EXP(-(((((Model_Data!A64)-Inputs!$C$34)^2)+(((Inputs!$C$6)-Inputs!$C$35)^2))/(2*Inputs!$C$36^2)))+Inputs!$C$37*(0.55*SIN(2*PI()*(Model_Data!A64)/Inputs!$C$39)+0.35*COS(2*PI()*(Inputs!$C$6)/Inputs!$C$40)+0.2*SIN(2*PI()*((Model_Data!A64)+(Inputs!$C$6))/(0.5*(Inputs!$C$39+Inputs!$C$40))))+Inputs!$C$38*SIN(2*PI()*(Model_Data!A64)/Inputs!$C$39)*SIN(2*PI()*(Inputs!$C$6)/Inputs!$C$40)+-Inputs!$C$41*EXP(-(((Inputs!$C$6)-Inputs!$C$43)^2)/(2*Inputs!$C$44^2))*EXP(-(((Model_Data!A64)-Inputs!$C$42)^2)/(2*Inputs!$C$45^2))+Inputs!$C$48*(0.7*(0.45*SIN(2*PI()*(((Model_Data!A64)/Inputs!$C$49)+Inputs!$C$47*0.137))+0.35*COS(2*PI()*(((Inputs!$C$6)/Inputs!$C$50)+Inputs!$C$47*0.173))+0.2*SIN(2*PI()*(((Model_Data!A64)+(Inputs!$C$6))/(0.5*(Inputs!$C$49+Inputs!$C$50))+Inputs!$C$47*0.097)))+0.3*(2*((SIN(((Model_Data!A64)*12.9898+(Inputs!$C$6)*78.233+Inputs!$C$47*37.719))*43758.5453)-INT((SIN(((Model_Data!A64)*12.9898+(Inputs!$C$6)*78.233+Inputs!$C$47*37.719))*43758.5453)))-1)))</f>
        <v>331.87736012346193</v>
      </c>
      <c r="G64" s="9">
        <f>(Inputs!$C$51*(115*EXP(-(((0)-25)^2)/(4.5^2))+70*EXP(-(((0)+38)^2)/(7^2))*(0.55+0.45*SIN(2*PI()*(Model_Data!A64)/45))+24*SIN(2*PI()*(0)/9+(Model_Data!A64)/18)*EXP(-(((0)+5)^2)/(22^2))+18*SIN(2*PI()*(Model_Data!A64)/70))+Inputs!$C$28*EXP(-(((Model_Data!A64)-Inputs!$C$29)^2)/(2*Inputs!$C$31^2))*EXP(-(((0)-Inputs!$C$30)^2)/(2*Inputs!$C$32^2))+-Inputs!$C$33*EXP(-(((((Model_Data!A64)-Inputs!$C$34)^2)+(((0)-Inputs!$C$35)^2))/(2*Inputs!$C$36^2)))+Inputs!$C$37*(0.55*SIN(2*PI()*(Model_Data!A64)/Inputs!$C$39)+0.35*COS(2*PI()*(0)/Inputs!$C$40)+0.2*SIN(2*PI()*((Model_Data!A64)+(0))/(0.5*(Inputs!$C$39+Inputs!$C$40))))+Inputs!$C$38*SIN(2*PI()*(Model_Data!A64)/Inputs!$C$39)*SIN(2*PI()*(0)/Inputs!$C$40)+-Inputs!$C$41*EXP(-(((0)-Inputs!$C$43)^2)/(2*Inputs!$C$44^2))*EXP(-(((Model_Data!A64)-Inputs!$C$42)^2)/(2*Inputs!$C$45^2))+Inputs!$C$48*(0.7*(0.45*SIN(2*PI()*(((Model_Data!A64)/Inputs!$C$49)+Inputs!$C$47*0.137))+0.35*COS(2*PI()*(((0)/Inputs!$C$50)+Inputs!$C$47*0.173))+0.2*SIN(2*PI()*(((Model_Data!A64)+(0))/(0.5*(Inputs!$C$49+Inputs!$C$50))+Inputs!$C$47*0.097)))+0.3*(2*((SIN(((Model_Data!A64)*12.9898+(0)*78.233+Inputs!$C$47*37.719))*43758.5453)-INT((SIN(((Model_Data!A64)*12.9898+(0)*78.233+Inputs!$C$47*37.719))*43758.5453)))-1)))</f>
        <v>-22.863821755996071</v>
      </c>
      <c r="H64" s="10"/>
      <c r="I64" s="9">
        <f>Model_Data!A64</f>
        <v>-29</v>
      </c>
      <c r="J64" s="9">
        <f>(Inputs!$C$51*(115*EXP(-(((Inputs!$C$6)-25)^2)/(4.5^2))+70*EXP(-(((Inputs!$C$6)+38)^2)/(7^2))*(0.55+0.45*SIN(2*PI()*(Model_Data!A64)/45))+24*SIN(2*PI()*(Inputs!$C$6)/9+(Model_Data!A64)/18)*EXP(-(((Inputs!$C$6)+5)^2)/(22^2))+18*SIN(2*PI()*(Model_Data!A64)/70))+Inputs!$C$28*EXP(-(((Model_Data!A64)-Inputs!$C$29)^2)/(2*Inputs!$C$31^2))*EXP(-(((Inputs!$C$6)-Inputs!$C$30)^2)/(2*Inputs!$C$32^2))+-Inputs!$C$33*EXP(-(((((Model_Data!A64)-Inputs!$C$34)^2)+(((Inputs!$C$6)-Inputs!$C$35)^2))/(2*Inputs!$C$36^2)))+Inputs!$C$37*(0.55*SIN(2*PI()*(Model_Data!A64)/Inputs!$C$39)+0.35*COS(2*PI()*(Inputs!$C$6)/Inputs!$C$40)+0.2*SIN(2*PI()*((Model_Data!A64)+(Inputs!$C$6))/(0.5*(Inputs!$C$39+Inputs!$C$40))))+Inputs!$C$38*SIN(2*PI()*(Model_Data!A64)/Inputs!$C$39)*SIN(2*PI()*(Inputs!$C$6)/Inputs!$C$40)+-Inputs!$C$41*EXP(-(((Inputs!$C$6)-Inputs!$C$43)^2)/(2*Inputs!$C$44^2))*EXP(-(((Model_Data!A64)-Inputs!$C$42)^2)/(2*Inputs!$C$45^2))+Inputs!$C$48*(0.7*(0.45*SIN(2*PI()*(((Model_Data!A64)/Inputs!$C$49)+Inputs!$C$47*0.137))+0.35*COS(2*PI()*(((Inputs!$C$6)/Inputs!$C$50)+Inputs!$C$47*0.173))+0.2*SIN(2*PI()*(((Model_Data!A64)+(Inputs!$C$6))/(0.5*(Inputs!$C$49+Inputs!$C$50))+Inputs!$C$47*0.097)))+0.3*(2*((SIN(((Model_Data!A64)*12.9898+(Inputs!$C$6)*78.233+Inputs!$C$47*37.719))*43758.5453)-INT((SIN(((Model_Data!A64)*12.9898+(Inputs!$C$6)*78.233+Inputs!$C$47*37.719))*43758.5453)))-1)))</f>
        <v>331.87736012346193</v>
      </c>
      <c r="K64" s="9">
        <f>-((((SQRT((Model_Data!A64)^2+Inputs!$C$6^2+((Model_Data!B64)-((Inputs!$C$51*(115*EXP(-(((Inputs!$C$6)-25)^2)/(4.5^2))+70*EXP(-(((Inputs!$C$6)+38)^2)/(7^2))*(0.55+0.45*SIN(2*PI()*(Model_Data!A64)/45))+24*SIN(2*PI()*(Inputs!$C$6)/9+(Model_Data!A64)/18)*EXP(-(((Inputs!$C$6)+5)^2)/(22^2))+18*SIN(2*PI()*(Model_Data!A64)/70))+Inputs!$C$28*EXP(-(((Model_Data!A64)-Inputs!$C$29)^2)/(2*Inputs!$C$31^2))*EXP(-(((Inputs!$C$6)-Inputs!$C$30)^2)/(2*Inputs!$C$32^2))+-Inputs!$C$33*EXP(-(((((Model_Data!A64)-Inputs!$C$34)^2)+(((Inputs!$C$6)-Inputs!$C$35)^2))/(2*Inputs!$C$36^2)))+Inputs!$C$37*(0.55*SIN(2*PI()*(Model_Data!A64)/Inputs!$C$39)+0.35*COS(2*PI()*(Inputs!$C$6)/Inputs!$C$40)+0.2*SIN(2*PI()*((Model_Data!A64)+(Inputs!$C$6))/(0.5*(Inputs!$C$39+Inputs!$C$40))))+Inputs!$C$38*SIN(2*PI()*(Model_Data!A64)/Inputs!$C$39)*SIN(2*PI()*(Inputs!$C$6)/Inputs!$C$40)+-Inputs!$C$41*EXP(-(((Inputs!$C$6)-Inputs!$C$43)^2)/(2*Inputs!$C$44^2))*EXP(-(((Model_Data!A64)-Inputs!$C$42)^2)/(2*Inputs!$C$45^2))+Inputs!$C$48*(0.7*(0.45*SIN(2*PI()*(((Model_Data!A64)/Inputs!$C$49)+Inputs!$C$47*0.137))+0.35*COS(2*PI()*(((Inputs!$C$6)/Inputs!$C$50)+Inputs!$C$47*0.173))+0.2*SIN(2*PI()*(((Model_Data!A64)+(Inputs!$C$6))/(0.5*(Inputs!$C$49+Inputs!$C$50))+Inputs!$C$47*0.097)))+0.3*(2*((SIN(((Model_Data!A64)*12.9898+(Inputs!$C$6)*78.233+Inputs!$C$47*37.719))*43758.5453)-INT((SIN(((Model_Data!A64)*12.9898+(Inputs!$C$6)*78.233+Inputs!$C$47*37.719))*43758.5453)))-1))))/1000)^2))-(((Model_Data!B64)-((Inputs!$C$51*(115*EXP(-(((0)-25)^2)/(4.5^2))+70*EXP(-(((0)+38)^2)/(7^2))*(0.55+0.45*SIN(2*PI()*(Model_Data!A64)/45))+24*SIN(2*PI()*(0)/9+(Model_Data!A64)/18)*EXP(-(((0)+5)^2)/(22^2))+18*SIN(2*PI()*(Model_Data!A64)/70))+Inputs!$C$28*EXP(-(((Model_Data!A64)-Inputs!$C$29)^2)/(2*Inputs!$C$31^2))*EXP(-(((0)-Inputs!$C$30)^2)/(2*Inputs!$C$32^2))+-Inputs!$C$33*EXP(-(((((Model_Data!A64)-Inputs!$C$34)^2)+(((0)-Inputs!$C$35)^2))/(2*Inputs!$C$36^2)))+Inputs!$C$37*(0.55*SIN(2*PI()*(Model_Data!A64)/Inputs!$C$39)+0.35*COS(2*PI()*(0)/Inputs!$C$40)+0.2*SIN(2*PI()*((Model_Data!A64)+(0))/(0.5*(Inputs!$C$39+Inputs!$C$40))))+Inputs!$C$38*SIN(2*PI()*(Model_Data!A64)/Inputs!$C$39)*SIN(2*PI()*(0)/Inputs!$C$40)+-Inputs!$C$41*EXP(-(((0)-Inputs!$C$43)^2)/(2*Inputs!$C$44^2))*EXP(-(((Model_Data!A64)-Inputs!$C$42)^2)/(2*Inputs!$C$45^2))+Inputs!$C$48*(0.7*(0.45*SIN(2*PI()*(((Model_Data!A64)/Inputs!$C$49)+Inputs!$C$47*0.137))+0.35*COS(2*PI()*(((0)/Inputs!$C$50)+Inputs!$C$47*0.173))+0.2*SIN(2*PI()*(((Model_Data!A64)+(0))/(0.5*(Inputs!$C$49+Inputs!$C$50))+Inputs!$C$47*0.097)))+0.3*(2*((SIN(((Model_Data!A64)*12.9898+(0)*78.233+Inputs!$C$47*37.719))*43758.5453)-INT((SIN(((Model_Data!A64)*12.9898+(0)*78.233+Inputs!$C$47*37.719))*43758.5453)))-1))))/1000)))*1000/Inputs!$C$12)-Model_Data!F64)</f>
        <v>198.44768755566997</v>
      </c>
      <c r="L64" s="10"/>
      <c r="M64" s="9">
        <f>Model_Data!A64</f>
        <v>-29</v>
      </c>
      <c r="N64" s="9">
        <f>Model_Data!P64</f>
        <v>217.849631472401</v>
      </c>
      <c r="O64" s="9">
        <f t="shared" si="0"/>
        <v>192.4477545989248</v>
      </c>
      <c r="P64" s="9">
        <f>Model_Data!Q64</f>
        <v>32.710154875735888</v>
      </c>
      <c r="Q64" s="9">
        <f t="shared" si="1"/>
        <v>28.896059249087809</v>
      </c>
      <c r="R64" s="10"/>
      <c r="S64" s="9">
        <f>Model_Data!A64</f>
        <v>-29</v>
      </c>
      <c r="T64" s="9">
        <f>Model_Data!B64-Inputs!$C$5</f>
        <v>0.93444444444446617</v>
      </c>
      <c r="U64" s="10"/>
      <c r="V64" s="9">
        <f>Model_Data!A64</f>
        <v>-29</v>
      </c>
      <c r="W64" s="9">
        <f>((SQRT((Model_Data!A64)^2+Inputs!$C$6^2+Inputs!$C$5^2)-Inputs!$C$5)*1000/Inputs!$C$12)</f>
        <v>1027.146938418826</v>
      </c>
      <c r="X64" s="9">
        <f>Model_Data!F64</f>
        <v>1024.763856153882</v>
      </c>
      <c r="Y64" s="10"/>
      <c r="Z64" s="9">
        <f>Model_Data!A64</f>
        <v>-29</v>
      </c>
      <c r="AA64" s="9">
        <f>SQRT((Model_Data!A64)^2+Inputs!$C$6^2+((Model_Data!B64)-((Inputs!$C$51*(115*EXP(-(((Inputs!$C$6)-25)^2)/(4.5^2))+70*EXP(-(((Inputs!$C$6)+38)^2)/(7^2))*(0.55+0.45*SIN(2*PI()*(Model_Data!A64)/45))+24*SIN(2*PI()*(Inputs!$C$6)/9+(Model_Data!A64)/18)*EXP(-(((Inputs!$C$6)+5)^2)/(22^2))+18*SIN(2*PI()*(Model_Data!A64)/70))+Inputs!$C$28*EXP(-(((Model_Data!A64)-Inputs!$C$29)^2)/(2*Inputs!$C$31^2))*EXP(-(((Inputs!$C$6)-Inputs!$C$30)^2)/(2*Inputs!$C$32^2))+-Inputs!$C$33*EXP(-(((((Model_Data!A64)-Inputs!$C$34)^2)+(((Inputs!$C$6)-Inputs!$C$35)^2))/(2*Inputs!$C$36^2)))+Inputs!$C$37*(0.55*SIN(2*PI()*(Model_Data!A64)/Inputs!$C$39)+0.35*COS(2*PI()*(Inputs!$C$6)/Inputs!$C$40)+0.2*SIN(2*PI()*((Model_Data!A64)+(Inputs!$C$6))/(0.5*(Inputs!$C$39+Inputs!$C$40))))+Inputs!$C$38*SIN(2*PI()*(Model_Data!A64)/Inputs!$C$39)*SIN(2*PI()*(Inputs!$C$6)/Inputs!$C$40)+-Inputs!$C$41*EXP(-(((Inputs!$C$6)-Inputs!$C$43)^2)/(2*Inputs!$C$44^2))*EXP(-(((Model_Data!A64)-Inputs!$C$42)^2)/(2*Inputs!$C$45^2))+Inputs!$C$48*(0.7*(0.45*SIN(2*PI()*(((Model_Data!A64)/Inputs!$C$49)+Inputs!$C$47*0.137))+0.35*COS(2*PI()*(((Inputs!$C$6)/Inputs!$C$50)+Inputs!$C$47*0.173))+0.2*SIN(2*PI()*(((Model_Data!A64)+(Inputs!$C$6))/(0.5*(Inputs!$C$49+Inputs!$C$50))+Inputs!$C$47*0.097)))+0.3*(2*((SIN(((Model_Data!A64)*12.9898+(Inputs!$C$6)*78.233+Inputs!$C$47*37.719))*43758.5453)-INT((SIN(((Model_Data!A64)*12.9898+(Inputs!$C$6)*78.233+Inputs!$C$47*37.719))*43758.5453)))-1))))/1000)^2)</f>
        <v>402.42815104630529</v>
      </c>
      <c r="AB64" s="9">
        <f>1000*(AA65-AA63)/(Z65-Z63)*Inputs!$C$11</f>
        <v>-481.11938649731201</v>
      </c>
      <c r="AC64" s="9">
        <f>-2*AB64/Inputs!$C$13</f>
        <v>192.4477545989248</v>
      </c>
      <c r="AD64" s="9">
        <f>-2*AB64/Inputs!$C$14</f>
        <v>28.896059249087809</v>
      </c>
    </row>
    <row r="65" spans="1:30">
      <c r="A65" s="9">
        <f>Model_Data!A65</f>
        <v>-28.5</v>
      </c>
      <c r="B65" s="9">
        <f>((SQRT((Model_Data!A65)^2+Inputs!$C$6^2+Inputs!$C$5^2)-Inputs!$C$5)*1000/Inputs!$C$12)</f>
        <v>1007.0482998120052</v>
      </c>
      <c r="C65" s="9">
        <f>Model_Data!F65</f>
        <v>1004.7913422626065</v>
      </c>
      <c r="D65" s="9">
        <f>(((SQRT((Model_Data!A65)^2+Inputs!$C$6^2+((Model_Data!B65)-((Inputs!$C$51*(115*EXP(-(((Inputs!$C$6)-25)^2)/(4.5^2))+70*EXP(-(((Inputs!$C$6)+38)^2)/(7^2))*(0.55+0.45*SIN(2*PI()*(Model_Data!A65)/45))+24*SIN(2*PI()*(Inputs!$C$6)/9+(Model_Data!A65)/18)*EXP(-(((Inputs!$C$6)+5)^2)/(22^2))+18*SIN(2*PI()*(Model_Data!A65)/70))+Inputs!$C$28*EXP(-(((Model_Data!A65)-Inputs!$C$29)^2)/(2*Inputs!$C$31^2))*EXP(-(((Inputs!$C$6)-Inputs!$C$30)^2)/(2*Inputs!$C$32^2))+-Inputs!$C$33*EXP(-(((((Model_Data!A65)-Inputs!$C$34)^2)+(((Inputs!$C$6)-Inputs!$C$35)^2))/(2*Inputs!$C$36^2)))+Inputs!$C$37*(0.55*SIN(2*PI()*(Model_Data!A65)/Inputs!$C$39)+0.35*COS(2*PI()*(Inputs!$C$6)/Inputs!$C$40)+0.2*SIN(2*PI()*((Model_Data!A65)+(Inputs!$C$6))/(0.5*(Inputs!$C$39+Inputs!$C$40))))+Inputs!$C$38*SIN(2*PI()*(Model_Data!A65)/Inputs!$C$39)*SIN(2*PI()*(Inputs!$C$6)/Inputs!$C$40)+-Inputs!$C$41*EXP(-(((Inputs!$C$6)-Inputs!$C$43)^2)/(2*Inputs!$C$44^2))*EXP(-(((Model_Data!A65)-Inputs!$C$42)^2)/(2*Inputs!$C$45^2))+Inputs!$C$48*(0.7*(0.45*SIN(2*PI()*(((Model_Data!A65)/Inputs!$C$49)+Inputs!$C$47*0.137))+0.35*COS(2*PI()*(((Inputs!$C$6)/Inputs!$C$50)+Inputs!$C$47*0.173))+0.2*SIN(2*PI()*(((Model_Data!A65)+(Inputs!$C$6))/(0.5*(Inputs!$C$49+Inputs!$C$50))+Inputs!$C$47*0.097)))+0.3*(2*((SIN(((Model_Data!A65)*12.9898+(Inputs!$C$6)*78.233+Inputs!$C$47*37.719))*43758.5453)-INT((SIN(((Model_Data!A65)*12.9898+(Inputs!$C$6)*78.233+Inputs!$C$47*37.719))*43758.5453)))-1))))/1000)^2))-(((Model_Data!B65)-((Inputs!$C$51*(115*EXP(-(((0)-25)^2)/(4.5^2))+70*EXP(-(((0)+38)^2)/(7^2))*(0.55+0.45*SIN(2*PI()*(Model_Data!A65)/45))+24*SIN(2*PI()*(0)/9+(Model_Data!A65)/18)*EXP(-(((0)+5)^2)/(22^2))+18*SIN(2*PI()*(Model_Data!A65)/70))+Inputs!$C$28*EXP(-(((Model_Data!A65)-Inputs!$C$29)^2)/(2*Inputs!$C$31^2))*EXP(-(((0)-Inputs!$C$30)^2)/(2*Inputs!$C$32^2))+-Inputs!$C$33*EXP(-(((((Model_Data!A65)-Inputs!$C$34)^2)+(((0)-Inputs!$C$35)^2))/(2*Inputs!$C$36^2)))+Inputs!$C$37*(0.55*SIN(2*PI()*(Model_Data!A65)/Inputs!$C$39)+0.35*COS(2*PI()*(0)/Inputs!$C$40)+0.2*SIN(2*PI()*((Model_Data!A65)+(0))/(0.5*(Inputs!$C$39+Inputs!$C$40))))+Inputs!$C$38*SIN(2*PI()*(Model_Data!A65)/Inputs!$C$39)*SIN(2*PI()*(0)/Inputs!$C$40)+-Inputs!$C$41*EXP(-(((0)-Inputs!$C$43)^2)/(2*Inputs!$C$44^2))*EXP(-(((Model_Data!A65)-Inputs!$C$42)^2)/(2*Inputs!$C$45^2))+Inputs!$C$48*(0.7*(0.45*SIN(2*PI()*(((Model_Data!A65)/Inputs!$C$49)+Inputs!$C$47*0.137))+0.35*COS(2*PI()*(((0)/Inputs!$C$50)+Inputs!$C$47*0.173))+0.2*SIN(2*PI()*(((Model_Data!A65)+(0))/(0.5*(Inputs!$C$49+Inputs!$C$50))+Inputs!$C$47*0.097)))+0.3*(2*((SIN(((Model_Data!A65)*12.9898+(0)*78.233+Inputs!$C$47*37.719))*43758.5453)-INT((SIN(((Model_Data!A65)*12.9898+(0)*78.233+Inputs!$C$47*37.719))*43758.5453)))-1))))/1000)))*1000/Inputs!$C$12)</f>
        <v>814.56950891827523</v>
      </c>
      <c r="E65" s="9">
        <f>Model_Data!A65</f>
        <v>-28.5</v>
      </c>
      <c r="F65" s="9">
        <f>(Inputs!$C$51*(115*EXP(-(((Inputs!$C$6)-25)^2)/(4.5^2))+70*EXP(-(((Inputs!$C$6)+38)^2)/(7^2))*(0.55+0.45*SIN(2*PI()*(Model_Data!A65)/45))+24*SIN(2*PI()*(Inputs!$C$6)/9+(Model_Data!A65)/18)*EXP(-(((Inputs!$C$6)+5)^2)/(22^2))+18*SIN(2*PI()*(Model_Data!A65)/70))+Inputs!$C$28*EXP(-(((Model_Data!A65)-Inputs!$C$29)^2)/(2*Inputs!$C$31^2))*EXP(-(((Inputs!$C$6)-Inputs!$C$30)^2)/(2*Inputs!$C$32^2))+-Inputs!$C$33*EXP(-(((((Model_Data!A65)-Inputs!$C$34)^2)+(((Inputs!$C$6)-Inputs!$C$35)^2))/(2*Inputs!$C$36^2)))+Inputs!$C$37*(0.55*SIN(2*PI()*(Model_Data!A65)/Inputs!$C$39)+0.35*COS(2*PI()*(Inputs!$C$6)/Inputs!$C$40)+0.2*SIN(2*PI()*((Model_Data!A65)+(Inputs!$C$6))/(0.5*(Inputs!$C$39+Inputs!$C$40))))+Inputs!$C$38*SIN(2*PI()*(Model_Data!A65)/Inputs!$C$39)*SIN(2*PI()*(Inputs!$C$6)/Inputs!$C$40)+-Inputs!$C$41*EXP(-(((Inputs!$C$6)-Inputs!$C$43)^2)/(2*Inputs!$C$44^2))*EXP(-(((Model_Data!A65)-Inputs!$C$42)^2)/(2*Inputs!$C$45^2))+Inputs!$C$48*(0.7*(0.45*SIN(2*PI()*(((Model_Data!A65)/Inputs!$C$49)+Inputs!$C$47*0.137))+0.35*COS(2*PI()*(((Inputs!$C$6)/Inputs!$C$50)+Inputs!$C$47*0.173))+0.2*SIN(2*PI()*(((Model_Data!A65)+(Inputs!$C$6))/(0.5*(Inputs!$C$49+Inputs!$C$50))+Inputs!$C$47*0.097)))+0.3*(2*((SIN(((Model_Data!A65)*12.9898+(Inputs!$C$6)*78.233+Inputs!$C$47*37.719))*43758.5453)-INT((SIN(((Model_Data!A65)*12.9898+(Inputs!$C$6)*78.233+Inputs!$C$47*37.719))*43758.5453)))-1)))</f>
        <v>310.24247262167495</v>
      </c>
      <c r="G65" s="9">
        <f>(Inputs!$C$51*(115*EXP(-(((0)-25)^2)/(4.5^2))+70*EXP(-(((0)+38)^2)/(7^2))*(0.55+0.45*SIN(2*PI()*(Model_Data!A65)/45))+24*SIN(2*PI()*(0)/9+(Model_Data!A65)/18)*EXP(-(((0)+5)^2)/(22^2))+18*SIN(2*PI()*(Model_Data!A65)/70))+Inputs!$C$28*EXP(-(((Model_Data!A65)-Inputs!$C$29)^2)/(2*Inputs!$C$31^2))*EXP(-(((0)-Inputs!$C$30)^2)/(2*Inputs!$C$32^2))+-Inputs!$C$33*EXP(-(((((Model_Data!A65)-Inputs!$C$34)^2)+(((0)-Inputs!$C$35)^2))/(2*Inputs!$C$36^2)))+Inputs!$C$37*(0.55*SIN(2*PI()*(Model_Data!A65)/Inputs!$C$39)+0.35*COS(2*PI()*(0)/Inputs!$C$40)+0.2*SIN(2*PI()*((Model_Data!A65)+(0))/(0.5*(Inputs!$C$39+Inputs!$C$40))))+Inputs!$C$38*SIN(2*PI()*(Model_Data!A65)/Inputs!$C$39)*SIN(2*PI()*(0)/Inputs!$C$40)+-Inputs!$C$41*EXP(-(((0)-Inputs!$C$43)^2)/(2*Inputs!$C$44^2))*EXP(-(((Model_Data!A65)-Inputs!$C$42)^2)/(2*Inputs!$C$45^2))+Inputs!$C$48*(0.7*(0.45*SIN(2*PI()*(((Model_Data!A65)/Inputs!$C$49)+Inputs!$C$47*0.137))+0.35*COS(2*PI()*(((0)/Inputs!$C$50)+Inputs!$C$47*0.173))+0.2*SIN(2*PI()*(((Model_Data!A65)+(0))/(0.5*(Inputs!$C$49+Inputs!$C$50))+Inputs!$C$47*0.097)))+0.3*(2*((SIN(((Model_Data!A65)*12.9898+(0)*78.233+Inputs!$C$47*37.719))*43758.5453)-INT((SIN(((Model_Data!A65)*12.9898+(0)*78.233+Inputs!$C$47*37.719))*43758.5453)))-1)))</f>
        <v>-29.731374520275047</v>
      </c>
      <c r="H65" s="10"/>
      <c r="I65" s="9">
        <f>Model_Data!A65</f>
        <v>-28.5</v>
      </c>
      <c r="J65" s="9">
        <f>(Inputs!$C$51*(115*EXP(-(((Inputs!$C$6)-25)^2)/(4.5^2))+70*EXP(-(((Inputs!$C$6)+38)^2)/(7^2))*(0.55+0.45*SIN(2*PI()*(Model_Data!A65)/45))+24*SIN(2*PI()*(Inputs!$C$6)/9+(Model_Data!A65)/18)*EXP(-(((Inputs!$C$6)+5)^2)/(22^2))+18*SIN(2*PI()*(Model_Data!A65)/70))+Inputs!$C$28*EXP(-(((Model_Data!A65)-Inputs!$C$29)^2)/(2*Inputs!$C$31^2))*EXP(-(((Inputs!$C$6)-Inputs!$C$30)^2)/(2*Inputs!$C$32^2))+-Inputs!$C$33*EXP(-(((((Model_Data!A65)-Inputs!$C$34)^2)+(((Inputs!$C$6)-Inputs!$C$35)^2))/(2*Inputs!$C$36^2)))+Inputs!$C$37*(0.55*SIN(2*PI()*(Model_Data!A65)/Inputs!$C$39)+0.35*COS(2*PI()*(Inputs!$C$6)/Inputs!$C$40)+0.2*SIN(2*PI()*((Model_Data!A65)+(Inputs!$C$6))/(0.5*(Inputs!$C$39+Inputs!$C$40))))+Inputs!$C$38*SIN(2*PI()*(Model_Data!A65)/Inputs!$C$39)*SIN(2*PI()*(Inputs!$C$6)/Inputs!$C$40)+-Inputs!$C$41*EXP(-(((Inputs!$C$6)-Inputs!$C$43)^2)/(2*Inputs!$C$44^2))*EXP(-(((Model_Data!A65)-Inputs!$C$42)^2)/(2*Inputs!$C$45^2))+Inputs!$C$48*(0.7*(0.45*SIN(2*PI()*(((Model_Data!A65)/Inputs!$C$49)+Inputs!$C$47*0.137))+0.35*COS(2*PI()*(((Inputs!$C$6)/Inputs!$C$50)+Inputs!$C$47*0.173))+0.2*SIN(2*PI()*(((Model_Data!A65)+(Inputs!$C$6))/(0.5*(Inputs!$C$49+Inputs!$C$50))+Inputs!$C$47*0.097)))+0.3*(2*((SIN(((Model_Data!A65)*12.9898+(Inputs!$C$6)*78.233+Inputs!$C$47*37.719))*43758.5453)-INT((SIN(((Model_Data!A65)*12.9898+(Inputs!$C$6)*78.233+Inputs!$C$47*37.719))*43758.5453)))-1)))</f>
        <v>310.24247262167495</v>
      </c>
      <c r="K65" s="9">
        <f>-((((SQRT((Model_Data!A65)^2+Inputs!$C$6^2+((Model_Data!B65)-((Inputs!$C$51*(115*EXP(-(((Inputs!$C$6)-25)^2)/(4.5^2))+70*EXP(-(((Inputs!$C$6)+38)^2)/(7^2))*(0.55+0.45*SIN(2*PI()*(Model_Data!A65)/45))+24*SIN(2*PI()*(Inputs!$C$6)/9+(Model_Data!A65)/18)*EXP(-(((Inputs!$C$6)+5)^2)/(22^2))+18*SIN(2*PI()*(Model_Data!A65)/70))+Inputs!$C$28*EXP(-(((Model_Data!A65)-Inputs!$C$29)^2)/(2*Inputs!$C$31^2))*EXP(-(((Inputs!$C$6)-Inputs!$C$30)^2)/(2*Inputs!$C$32^2))+-Inputs!$C$33*EXP(-(((((Model_Data!A65)-Inputs!$C$34)^2)+(((Inputs!$C$6)-Inputs!$C$35)^2))/(2*Inputs!$C$36^2)))+Inputs!$C$37*(0.55*SIN(2*PI()*(Model_Data!A65)/Inputs!$C$39)+0.35*COS(2*PI()*(Inputs!$C$6)/Inputs!$C$40)+0.2*SIN(2*PI()*((Model_Data!A65)+(Inputs!$C$6))/(0.5*(Inputs!$C$39+Inputs!$C$40))))+Inputs!$C$38*SIN(2*PI()*(Model_Data!A65)/Inputs!$C$39)*SIN(2*PI()*(Inputs!$C$6)/Inputs!$C$40)+-Inputs!$C$41*EXP(-(((Inputs!$C$6)-Inputs!$C$43)^2)/(2*Inputs!$C$44^2))*EXP(-(((Model_Data!A65)-Inputs!$C$42)^2)/(2*Inputs!$C$45^2))+Inputs!$C$48*(0.7*(0.45*SIN(2*PI()*(((Model_Data!A65)/Inputs!$C$49)+Inputs!$C$47*0.137))+0.35*COS(2*PI()*(((Inputs!$C$6)/Inputs!$C$50)+Inputs!$C$47*0.173))+0.2*SIN(2*PI()*(((Model_Data!A65)+(Inputs!$C$6))/(0.5*(Inputs!$C$49+Inputs!$C$50))+Inputs!$C$47*0.097)))+0.3*(2*((SIN(((Model_Data!A65)*12.9898+(Inputs!$C$6)*78.233+Inputs!$C$47*37.719))*43758.5453)-INT((SIN(((Model_Data!A65)*12.9898+(Inputs!$C$6)*78.233+Inputs!$C$47*37.719))*43758.5453)))-1))))/1000)^2))-(((Model_Data!B65)-((Inputs!$C$51*(115*EXP(-(((0)-25)^2)/(4.5^2))+70*EXP(-(((0)+38)^2)/(7^2))*(0.55+0.45*SIN(2*PI()*(Model_Data!A65)/45))+24*SIN(2*PI()*(0)/9+(Model_Data!A65)/18)*EXP(-(((0)+5)^2)/(22^2))+18*SIN(2*PI()*(Model_Data!A65)/70))+Inputs!$C$28*EXP(-(((Model_Data!A65)-Inputs!$C$29)^2)/(2*Inputs!$C$31^2))*EXP(-(((0)-Inputs!$C$30)^2)/(2*Inputs!$C$32^2))+-Inputs!$C$33*EXP(-(((((Model_Data!A65)-Inputs!$C$34)^2)+(((0)-Inputs!$C$35)^2))/(2*Inputs!$C$36^2)))+Inputs!$C$37*(0.55*SIN(2*PI()*(Model_Data!A65)/Inputs!$C$39)+0.35*COS(2*PI()*(0)/Inputs!$C$40)+0.2*SIN(2*PI()*((Model_Data!A65)+(0))/(0.5*(Inputs!$C$39+Inputs!$C$40))))+Inputs!$C$38*SIN(2*PI()*(Model_Data!A65)/Inputs!$C$39)*SIN(2*PI()*(0)/Inputs!$C$40)+-Inputs!$C$41*EXP(-(((0)-Inputs!$C$43)^2)/(2*Inputs!$C$44^2))*EXP(-(((Model_Data!A65)-Inputs!$C$42)^2)/(2*Inputs!$C$45^2))+Inputs!$C$48*(0.7*(0.45*SIN(2*PI()*(((Model_Data!A65)/Inputs!$C$49)+Inputs!$C$47*0.137))+0.35*COS(2*PI()*(((0)/Inputs!$C$50)+Inputs!$C$47*0.173))+0.2*SIN(2*PI()*(((Model_Data!A65)+(0))/(0.5*(Inputs!$C$49+Inputs!$C$50))+Inputs!$C$47*0.097)))+0.3*(2*((SIN(((Model_Data!A65)*12.9898+(0)*78.233+Inputs!$C$47*37.719))*43758.5453)-INT((SIN(((Model_Data!A65)*12.9898+(0)*78.233+Inputs!$C$47*37.719))*43758.5453)))-1))))/1000)))*1000/Inputs!$C$12)-Model_Data!F65)</f>
        <v>190.22183334433123</v>
      </c>
      <c r="L65" s="10"/>
      <c r="M65" s="9">
        <f>Model_Data!A65</f>
        <v>-28.5</v>
      </c>
      <c r="N65" s="9">
        <f>Model_Data!P65</f>
        <v>214.12144931249978</v>
      </c>
      <c r="O65" s="9">
        <f t="shared" si="0"/>
        <v>184.59254696199423</v>
      </c>
      <c r="P65" s="9">
        <f>Model_Data!Q65</f>
        <v>32.150367764639611</v>
      </c>
      <c r="Q65" s="9">
        <f t="shared" si="1"/>
        <v>27.716598642942078</v>
      </c>
      <c r="R65" s="10"/>
      <c r="S65" s="9">
        <f>Model_Data!A65</f>
        <v>-28.5</v>
      </c>
      <c r="T65" s="9">
        <f>Model_Data!B65-Inputs!$C$5</f>
        <v>0.90249999999997499</v>
      </c>
      <c r="U65" s="10"/>
      <c r="V65" s="9">
        <f>Model_Data!A65</f>
        <v>-28.5</v>
      </c>
      <c r="W65" s="9">
        <f>((SQRT((Model_Data!A65)^2+Inputs!$C$6^2+Inputs!$C$5^2)-Inputs!$C$5)*1000/Inputs!$C$12)</f>
        <v>1007.0482998120052</v>
      </c>
      <c r="X65" s="9">
        <f>Model_Data!F65</f>
        <v>1004.7913422626065</v>
      </c>
      <c r="Y65" s="10"/>
      <c r="Z65" s="9">
        <f>Model_Data!A65</f>
        <v>-28.5</v>
      </c>
      <c r="AA65" s="9">
        <f>SQRT((Model_Data!A65)^2+Inputs!$C$6^2+((Model_Data!B65)-((Inputs!$C$51*(115*EXP(-(((Inputs!$C$6)-25)^2)/(4.5^2))+70*EXP(-(((Inputs!$C$6)+38)^2)/(7^2))*(0.55+0.45*SIN(2*PI()*(Model_Data!A65)/45))+24*SIN(2*PI()*(Inputs!$C$6)/9+(Model_Data!A65)/18)*EXP(-(((Inputs!$C$6)+5)^2)/(22^2))+18*SIN(2*PI()*(Model_Data!A65)/70))+Inputs!$C$28*EXP(-(((Model_Data!A65)-Inputs!$C$29)^2)/(2*Inputs!$C$31^2))*EXP(-(((Inputs!$C$6)-Inputs!$C$30)^2)/(2*Inputs!$C$32^2))+-Inputs!$C$33*EXP(-(((((Model_Data!A65)-Inputs!$C$34)^2)+(((Inputs!$C$6)-Inputs!$C$35)^2))/(2*Inputs!$C$36^2)))+Inputs!$C$37*(0.55*SIN(2*PI()*(Model_Data!A65)/Inputs!$C$39)+0.35*COS(2*PI()*(Inputs!$C$6)/Inputs!$C$40)+0.2*SIN(2*PI()*((Model_Data!A65)+(Inputs!$C$6))/(0.5*(Inputs!$C$39+Inputs!$C$40))))+Inputs!$C$38*SIN(2*PI()*(Model_Data!A65)/Inputs!$C$39)*SIN(2*PI()*(Inputs!$C$6)/Inputs!$C$40)+-Inputs!$C$41*EXP(-(((Inputs!$C$6)-Inputs!$C$43)^2)/(2*Inputs!$C$44^2))*EXP(-(((Model_Data!A65)-Inputs!$C$42)^2)/(2*Inputs!$C$45^2))+Inputs!$C$48*(0.7*(0.45*SIN(2*PI()*(((Model_Data!A65)/Inputs!$C$49)+Inputs!$C$47*0.137))+0.35*COS(2*PI()*(((Inputs!$C$6)/Inputs!$C$50)+Inputs!$C$47*0.173))+0.2*SIN(2*PI()*(((Model_Data!A65)+(Inputs!$C$6))/(0.5*(Inputs!$C$49+Inputs!$C$50))+Inputs!$C$47*0.097)))+0.3*(2*((SIN(((Model_Data!A65)*12.9898+(Inputs!$C$6)*78.233+Inputs!$C$47*37.719))*43758.5453)-INT((SIN(((Model_Data!A65)*12.9898+(Inputs!$C$6)*78.233+Inputs!$C$47*37.719))*43758.5453)))-1))))/1000)^2)</f>
        <v>402.38216510039479</v>
      </c>
      <c r="AB65" s="9">
        <f>1000*(AA66-AA64)/(Z66-Z64)*Inputs!$C$11</f>
        <v>-461.48136740498558</v>
      </c>
      <c r="AC65" s="9">
        <f>-2*AB65/Inputs!$C$13</f>
        <v>184.59254696199423</v>
      </c>
      <c r="AD65" s="9">
        <f>-2*AB65/Inputs!$C$14</f>
        <v>27.716598642942078</v>
      </c>
    </row>
    <row r="66" spans="1:30">
      <c r="A66" s="9">
        <f>Model_Data!A66</f>
        <v>-28</v>
      </c>
      <c r="B66" s="9">
        <f>((SQRT((Model_Data!A66)^2+Inputs!$C$6^2+Inputs!$C$5^2)-Inputs!$C$5)*1000/Inputs!$C$12)</f>
        <v>987.29745942652437</v>
      </c>
      <c r="C66" s="9">
        <f>Model_Data!F66</f>
        <v>985.1613715773758</v>
      </c>
      <c r="D66" s="9">
        <f>(((SQRT((Model_Data!A66)^2+Inputs!$C$6^2+((Model_Data!B66)-((Inputs!$C$51*(115*EXP(-(((Inputs!$C$6)-25)^2)/(4.5^2))+70*EXP(-(((Inputs!$C$6)+38)^2)/(7^2))*(0.55+0.45*SIN(2*PI()*(Model_Data!A66)/45))+24*SIN(2*PI()*(Inputs!$C$6)/9+(Model_Data!A66)/18)*EXP(-(((Inputs!$C$6)+5)^2)/(22^2))+18*SIN(2*PI()*(Model_Data!A66)/70))+Inputs!$C$28*EXP(-(((Model_Data!A66)-Inputs!$C$29)^2)/(2*Inputs!$C$31^2))*EXP(-(((Inputs!$C$6)-Inputs!$C$30)^2)/(2*Inputs!$C$32^2))+-Inputs!$C$33*EXP(-(((((Model_Data!A66)-Inputs!$C$34)^2)+(((Inputs!$C$6)-Inputs!$C$35)^2))/(2*Inputs!$C$36^2)))+Inputs!$C$37*(0.55*SIN(2*PI()*(Model_Data!A66)/Inputs!$C$39)+0.35*COS(2*PI()*(Inputs!$C$6)/Inputs!$C$40)+0.2*SIN(2*PI()*((Model_Data!A66)+(Inputs!$C$6))/(0.5*(Inputs!$C$39+Inputs!$C$40))))+Inputs!$C$38*SIN(2*PI()*(Model_Data!A66)/Inputs!$C$39)*SIN(2*PI()*(Inputs!$C$6)/Inputs!$C$40)+-Inputs!$C$41*EXP(-(((Inputs!$C$6)-Inputs!$C$43)^2)/(2*Inputs!$C$44^2))*EXP(-(((Model_Data!A66)-Inputs!$C$42)^2)/(2*Inputs!$C$45^2))+Inputs!$C$48*(0.7*(0.45*SIN(2*PI()*(((Model_Data!A66)/Inputs!$C$49)+Inputs!$C$47*0.137))+0.35*COS(2*PI()*(((Inputs!$C$6)/Inputs!$C$50)+Inputs!$C$47*0.173))+0.2*SIN(2*PI()*(((Model_Data!A66)+(Inputs!$C$6))/(0.5*(Inputs!$C$49+Inputs!$C$50))+Inputs!$C$47*0.097)))+0.3*(2*((SIN(((Model_Data!A66)*12.9898+(Inputs!$C$6)*78.233+Inputs!$C$47*37.719))*43758.5453)-INT((SIN(((Model_Data!A66)*12.9898+(Inputs!$C$6)*78.233+Inputs!$C$47*37.719))*43758.5453)))-1))))/1000)^2))-(((Model_Data!B66)-((Inputs!$C$51*(115*EXP(-(((0)-25)^2)/(4.5^2))+70*EXP(-(((0)+38)^2)/(7^2))*(0.55+0.45*SIN(2*PI()*(Model_Data!A66)/45))+24*SIN(2*PI()*(0)/9+(Model_Data!A66)/18)*EXP(-(((0)+5)^2)/(22^2))+18*SIN(2*PI()*(Model_Data!A66)/70))+Inputs!$C$28*EXP(-(((Model_Data!A66)-Inputs!$C$29)^2)/(2*Inputs!$C$31^2))*EXP(-(((0)-Inputs!$C$30)^2)/(2*Inputs!$C$32^2))+-Inputs!$C$33*EXP(-(((((Model_Data!A66)-Inputs!$C$34)^2)+(((0)-Inputs!$C$35)^2))/(2*Inputs!$C$36^2)))+Inputs!$C$37*(0.55*SIN(2*PI()*(Model_Data!A66)/Inputs!$C$39)+0.35*COS(2*PI()*(0)/Inputs!$C$40)+0.2*SIN(2*PI()*((Model_Data!A66)+(0))/(0.5*(Inputs!$C$39+Inputs!$C$40))))+Inputs!$C$38*SIN(2*PI()*(Model_Data!A66)/Inputs!$C$39)*SIN(2*PI()*(0)/Inputs!$C$40)+-Inputs!$C$41*EXP(-(((0)-Inputs!$C$43)^2)/(2*Inputs!$C$44^2))*EXP(-(((Model_Data!A66)-Inputs!$C$42)^2)/(2*Inputs!$C$45^2))+Inputs!$C$48*(0.7*(0.45*SIN(2*PI()*(((Model_Data!A66)/Inputs!$C$49)+Inputs!$C$47*0.137))+0.35*COS(2*PI()*(((0)/Inputs!$C$50)+Inputs!$C$47*0.173))+0.2*SIN(2*PI()*(((Model_Data!A66)+(0))/(0.5*(Inputs!$C$49+Inputs!$C$50))+Inputs!$C$47*0.097)))+0.3*(2*((SIN(((Model_Data!A66)*12.9898+(0)*78.233+Inputs!$C$47*37.719))*43758.5453)-INT((SIN(((Model_Data!A66)*12.9898+(0)*78.233+Inputs!$C$47*37.719))*43758.5453)))-1))))/1000)))*1000/Inputs!$C$12)</f>
        <v>780.14161520554114</v>
      </c>
      <c r="E66" s="9">
        <f>Model_Data!A66</f>
        <v>-28</v>
      </c>
      <c r="F66" s="9">
        <f>(Inputs!$C$51*(115*EXP(-(((Inputs!$C$6)-25)^2)/(4.5^2))+70*EXP(-(((Inputs!$C$6)+38)^2)/(7^2))*(0.55+0.45*SIN(2*PI()*(Model_Data!A66)/45))+24*SIN(2*PI()*(Inputs!$C$6)/9+(Model_Data!A66)/18)*EXP(-(((Inputs!$C$6)+5)^2)/(22^2))+18*SIN(2*PI()*(Model_Data!A66)/70))+Inputs!$C$28*EXP(-(((Model_Data!A66)-Inputs!$C$29)^2)/(2*Inputs!$C$31^2))*EXP(-(((Inputs!$C$6)-Inputs!$C$30)^2)/(2*Inputs!$C$32^2))+-Inputs!$C$33*EXP(-(((((Model_Data!A66)-Inputs!$C$34)^2)+(((Inputs!$C$6)-Inputs!$C$35)^2))/(2*Inputs!$C$36^2)))+Inputs!$C$37*(0.55*SIN(2*PI()*(Model_Data!A66)/Inputs!$C$39)+0.35*COS(2*PI()*(Inputs!$C$6)/Inputs!$C$40)+0.2*SIN(2*PI()*((Model_Data!A66)+(Inputs!$C$6))/(0.5*(Inputs!$C$39+Inputs!$C$40))))+Inputs!$C$38*SIN(2*PI()*(Model_Data!A66)/Inputs!$C$39)*SIN(2*PI()*(Inputs!$C$6)/Inputs!$C$40)+-Inputs!$C$41*EXP(-(((Inputs!$C$6)-Inputs!$C$43)^2)/(2*Inputs!$C$44^2))*EXP(-(((Model_Data!A66)-Inputs!$C$42)^2)/(2*Inputs!$C$45^2))+Inputs!$C$48*(0.7*(0.45*SIN(2*PI()*(((Model_Data!A66)/Inputs!$C$49)+Inputs!$C$47*0.137))+0.35*COS(2*PI()*(((Inputs!$C$6)/Inputs!$C$50)+Inputs!$C$47*0.173))+0.2*SIN(2*PI()*(((Model_Data!A66)+(Inputs!$C$6))/(0.5*(Inputs!$C$49+Inputs!$C$50))+Inputs!$C$47*0.097)))+0.3*(2*((SIN(((Model_Data!A66)*12.9898+(Inputs!$C$6)*78.233+Inputs!$C$47*37.719))*43758.5453)-INT((SIN(((Model_Data!A66)*12.9898+(Inputs!$C$6)*78.233+Inputs!$C$47*37.719))*43758.5453)))-1)))</f>
        <v>313.28317842657691</v>
      </c>
      <c r="G66" s="9">
        <f>(Inputs!$C$51*(115*EXP(-(((0)-25)^2)/(4.5^2))+70*EXP(-(((0)+38)^2)/(7^2))*(0.55+0.45*SIN(2*PI()*(Model_Data!A66)/45))+24*SIN(2*PI()*(0)/9+(Model_Data!A66)/18)*EXP(-(((0)+5)^2)/(22^2))+18*SIN(2*PI()*(Model_Data!A66)/70))+Inputs!$C$28*EXP(-(((Model_Data!A66)-Inputs!$C$29)^2)/(2*Inputs!$C$31^2))*EXP(-(((0)-Inputs!$C$30)^2)/(2*Inputs!$C$32^2))+-Inputs!$C$33*EXP(-(((((Model_Data!A66)-Inputs!$C$34)^2)+(((0)-Inputs!$C$35)^2))/(2*Inputs!$C$36^2)))+Inputs!$C$37*(0.55*SIN(2*PI()*(Model_Data!A66)/Inputs!$C$39)+0.35*COS(2*PI()*(0)/Inputs!$C$40)+0.2*SIN(2*PI()*((Model_Data!A66)+(0))/(0.5*(Inputs!$C$39+Inputs!$C$40))))+Inputs!$C$38*SIN(2*PI()*(Model_Data!A66)/Inputs!$C$39)*SIN(2*PI()*(0)/Inputs!$C$40)+-Inputs!$C$41*EXP(-(((0)-Inputs!$C$43)^2)/(2*Inputs!$C$44^2))*EXP(-(((Model_Data!A66)-Inputs!$C$42)^2)/(2*Inputs!$C$45^2))+Inputs!$C$48*(0.7*(0.45*SIN(2*PI()*(((Model_Data!A66)/Inputs!$C$49)+Inputs!$C$47*0.137))+0.35*COS(2*PI()*(((0)/Inputs!$C$50)+Inputs!$C$47*0.173))+0.2*SIN(2*PI()*(((Model_Data!A66)+(0))/(0.5*(Inputs!$C$49+Inputs!$C$50))+Inputs!$C$47*0.097)))+0.3*(2*((SIN(((Model_Data!A66)*12.9898+(0)*78.233+Inputs!$C$47*37.719))*43758.5453)-INT((SIN(((Model_Data!A66)*12.9898+(0)*78.233+Inputs!$C$47*37.719))*43758.5453)))-1)))</f>
        <v>-53.017518277040161</v>
      </c>
      <c r="H66" s="10"/>
      <c r="I66" s="9">
        <f>Model_Data!A66</f>
        <v>-28</v>
      </c>
      <c r="J66" s="9">
        <f>(Inputs!$C$51*(115*EXP(-(((Inputs!$C$6)-25)^2)/(4.5^2))+70*EXP(-(((Inputs!$C$6)+38)^2)/(7^2))*(0.55+0.45*SIN(2*PI()*(Model_Data!A66)/45))+24*SIN(2*PI()*(Inputs!$C$6)/9+(Model_Data!A66)/18)*EXP(-(((Inputs!$C$6)+5)^2)/(22^2))+18*SIN(2*PI()*(Model_Data!A66)/70))+Inputs!$C$28*EXP(-(((Model_Data!A66)-Inputs!$C$29)^2)/(2*Inputs!$C$31^2))*EXP(-(((Inputs!$C$6)-Inputs!$C$30)^2)/(2*Inputs!$C$32^2))+-Inputs!$C$33*EXP(-(((((Model_Data!A66)-Inputs!$C$34)^2)+(((Inputs!$C$6)-Inputs!$C$35)^2))/(2*Inputs!$C$36^2)))+Inputs!$C$37*(0.55*SIN(2*PI()*(Model_Data!A66)/Inputs!$C$39)+0.35*COS(2*PI()*(Inputs!$C$6)/Inputs!$C$40)+0.2*SIN(2*PI()*((Model_Data!A66)+(Inputs!$C$6))/(0.5*(Inputs!$C$39+Inputs!$C$40))))+Inputs!$C$38*SIN(2*PI()*(Model_Data!A66)/Inputs!$C$39)*SIN(2*PI()*(Inputs!$C$6)/Inputs!$C$40)+-Inputs!$C$41*EXP(-(((Inputs!$C$6)-Inputs!$C$43)^2)/(2*Inputs!$C$44^2))*EXP(-(((Model_Data!A66)-Inputs!$C$42)^2)/(2*Inputs!$C$45^2))+Inputs!$C$48*(0.7*(0.45*SIN(2*PI()*(((Model_Data!A66)/Inputs!$C$49)+Inputs!$C$47*0.137))+0.35*COS(2*PI()*(((Inputs!$C$6)/Inputs!$C$50)+Inputs!$C$47*0.173))+0.2*SIN(2*PI()*(((Model_Data!A66)+(Inputs!$C$6))/(0.5*(Inputs!$C$49+Inputs!$C$50))+Inputs!$C$47*0.097)))+0.3*(2*((SIN(((Model_Data!A66)*12.9898+(Inputs!$C$6)*78.233+Inputs!$C$47*37.719))*43758.5453)-INT((SIN(((Model_Data!A66)*12.9898+(Inputs!$C$6)*78.233+Inputs!$C$47*37.719))*43758.5453)))-1)))</f>
        <v>313.28317842657691</v>
      </c>
      <c r="K66" s="9">
        <f>-((((SQRT((Model_Data!A66)^2+Inputs!$C$6^2+((Model_Data!B66)-((Inputs!$C$51*(115*EXP(-(((Inputs!$C$6)-25)^2)/(4.5^2))+70*EXP(-(((Inputs!$C$6)+38)^2)/(7^2))*(0.55+0.45*SIN(2*PI()*(Model_Data!A66)/45))+24*SIN(2*PI()*(Inputs!$C$6)/9+(Model_Data!A66)/18)*EXP(-(((Inputs!$C$6)+5)^2)/(22^2))+18*SIN(2*PI()*(Model_Data!A66)/70))+Inputs!$C$28*EXP(-(((Model_Data!A66)-Inputs!$C$29)^2)/(2*Inputs!$C$31^2))*EXP(-(((Inputs!$C$6)-Inputs!$C$30)^2)/(2*Inputs!$C$32^2))+-Inputs!$C$33*EXP(-(((((Model_Data!A66)-Inputs!$C$34)^2)+(((Inputs!$C$6)-Inputs!$C$35)^2))/(2*Inputs!$C$36^2)))+Inputs!$C$37*(0.55*SIN(2*PI()*(Model_Data!A66)/Inputs!$C$39)+0.35*COS(2*PI()*(Inputs!$C$6)/Inputs!$C$40)+0.2*SIN(2*PI()*((Model_Data!A66)+(Inputs!$C$6))/(0.5*(Inputs!$C$39+Inputs!$C$40))))+Inputs!$C$38*SIN(2*PI()*(Model_Data!A66)/Inputs!$C$39)*SIN(2*PI()*(Inputs!$C$6)/Inputs!$C$40)+-Inputs!$C$41*EXP(-(((Inputs!$C$6)-Inputs!$C$43)^2)/(2*Inputs!$C$44^2))*EXP(-(((Model_Data!A66)-Inputs!$C$42)^2)/(2*Inputs!$C$45^2))+Inputs!$C$48*(0.7*(0.45*SIN(2*PI()*(((Model_Data!A66)/Inputs!$C$49)+Inputs!$C$47*0.137))+0.35*COS(2*PI()*(((Inputs!$C$6)/Inputs!$C$50)+Inputs!$C$47*0.173))+0.2*SIN(2*PI()*(((Model_Data!A66)+(Inputs!$C$6))/(0.5*(Inputs!$C$49+Inputs!$C$50))+Inputs!$C$47*0.097)))+0.3*(2*((SIN(((Model_Data!A66)*12.9898+(Inputs!$C$6)*78.233+Inputs!$C$47*37.719))*43758.5453)-INT((SIN(((Model_Data!A66)*12.9898+(Inputs!$C$6)*78.233+Inputs!$C$47*37.719))*43758.5453)))-1))))/1000)^2))-(((Model_Data!B66)-((Inputs!$C$51*(115*EXP(-(((0)-25)^2)/(4.5^2))+70*EXP(-(((0)+38)^2)/(7^2))*(0.55+0.45*SIN(2*PI()*(Model_Data!A66)/45))+24*SIN(2*PI()*(0)/9+(Model_Data!A66)/18)*EXP(-(((0)+5)^2)/(22^2))+18*SIN(2*PI()*(Model_Data!A66)/70))+Inputs!$C$28*EXP(-(((Model_Data!A66)-Inputs!$C$29)^2)/(2*Inputs!$C$31^2))*EXP(-(((0)-Inputs!$C$30)^2)/(2*Inputs!$C$32^2))+-Inputs!$C$33*EXP(-(((((Model_Data!A66)-Inputs!$C$34)^2)+(((0)-Inputs!$C$35)^2))/(2*Inputs!$C$36^2)))+Inputs!$C$37*(0.55*SIN(2*PI()*(Model_Data!A66)/Inputs!$C$39)+0.35*COS(2*PI()*(0)/Inputs!$C$40)+0.2*SIN(2*PI()*((Model_Data!A66)+(0))/(0.5*(Inputs!$C$39+Inputs!$C$40))))+Inputs!$C$38*SIN(2*PI()*(Model_Data!A66)/Inputs!$C$39)*SIN(2*PI()*(0)/Inputs!$C$40)+-Inputs!$C$41*EXP(-(((0)-Inputs!$C$43)^2)/(2*Inputs!$C$44^2))*EXP(-(((Model_Data!A66)-Inputs!$C$42)^2)/(2*Inputs!$C$45^2))+Inputs!$C$48*(0.7*(0.45*SIN(2*PI()*(((Model_Data!A66)/Inputs!$C$49)+Inputs!$C$47*0.137))+0.35*COS(2*PI()*(((0)/Inputs!$C$50)+Inputs!$C$47*0.173))+0.2*SIN(2*PI()*(((Model_Data!A66)+(0))/(0.5*(Inputs!$C$49+Inputs!$C$50))+Inputs!$C$47*0.097)))+0.3*(2*((SIN(((Model_Data!A66)*12.9898+(0)*78.233+Inputs!$C$47*37.719))*43758.5453)-INT((SIN(((Model_Data!A66)*12.9898+(0)*78.233+Inputs!$C$47*37.719))*43758.5453)))-1))))/1000)))*1000/Inputs!$C$12)-Model_Data!F66)</f>
        <v>205.01975637183466</v>
      </c>
      <c r="L66" s="10"/>
      <c r="M66" s="9">
        <f>Model_Data!A66</f>
        <v>-28</v>
      </c>
      <c r="N66" s="9">
        <f>Model_Data!P66</f>
        <v>210.39182772307828</v>
      </c>
      <c r="O66" s="9">
        <f t="shared" ref="O66:O129" si="2">AC66</f>
        <v>189.13011186068616</v>
      </c>
      <c r="P66" s="9">
        <f>Model_Data!Q66</f>
        <v>31.590364522984729</v>
      </c>
      <c r="Q66" s="9">
        <f t="shared" ref="Q66:Q129" si="3">AD66</f>
        <v>28.397914693796722</v>
      </c>
      <c r="R66" s="10"/>
      <c r="S66" s="9">
        <f>Model_Data!A66</f>
        <v>-28</v>
      </c>
      <c r="T66" s="9">
        <f>Model_Data!B66-Inputs!$C$5</f>
        <v>0.8711111111111336</v>
      </c>
      <c r="U66" s="10"/>
      <c r="V66" s="9">
        <f>Model_Data!A66</f>
        <v>-28</v>
      </c>
      <c r="W66" s="9">
        <f>((SQRT((Model_Data!A66)^2+Inputs!$C$6^2+Inputs!$C$5^2)-Inputs!$C$5)*1000/Inputs!$C$12)</f>
        <v>987.29745942652437</v>
      </c>
      <c r="X66" s="9">
        <f>Model_Data!F66</f>
        <v>985.1613715773758</v>
      </c>
      <c r="Y66" s="10"/>
      <c r="Z66" s="9">
        <f>Model_Data!A66</f>
        <v>-28</v>
      </c>
      <c r="AA66" s="9">
        <f>SQRT((Model_Data!A66)^2+Inputs!$C$6^2+((Model_Data!B66)-((Inputs!$C$51*(115*EXP(-(((Inputs!$C$6)-25)^2)/(4.5^2))+70*EXP(-(((Inputs!$C$6)+38)^2)/(7^2))*(0.55+0.45*SIN(2*PI()*(Model_Data!A66)/45))+24*SIN(2*PI()*(Inputs!$C$6)/9+(Model_Data!A66)/18)*EXP(-(((Inputs!$C$6)+5)^2)/(22^2))+18*SIN(2*PI()*(Model_Data!A66)/70))+Inputs!$C$28*EXP(-(((Model_Data!A66)-Inputs!$C$29)^2)/(2*Inputs!$C$31^2))*EXP(-(((Inputs!$C$6)-Inputs!$C$30)^2)/(2*Inputs!$C$32^2))+-Inputs!$C$33*EXP(-(((((Model_Data!A66)-Inputs!$C$34)^2)+(((Inputs!$C$6)-Inputs!$C$35)^2))/(2*Inputs!$C$36^2)))+Inputs!$C$37*(0.55*SIN(2*PI()*(Model_Data!A66)/Inputs!$C$39)+0.35*COS(2*PI()*(Inputs!$C$6)/Inputs!$C$40)+0.2*SIN(2*PI()*((Model_Data!A66)+(Inputs!$C$6))/(0.5*(Inputs!$C$39+Inputs!$C$40))))+Inputs!$C$38*SIN(2*PI()*(Model_Data!A66)/Inputs!$C$39)*SIN(2*PI()*(Inputs!$C$6)/Inputs!$C$40)+-Inputs!$C$41*EXP(-(((Inputs!$C$6)-Inputs!$C$43)^2)/(2*Inputs!$C$44^2))*EXP(-(((Model_Data!A66)-Inputs!$C$42)^2)/(2*Inputs!$C$45^2))+Inputs!$C$48*(0.7*(0.45*SIN(2*PI()*(((Model_Data!A66)/Inputs!$C$49)+Inputs!$C$47*0.137))+0.35*COS(2*PI()*(((Inputs!$C$6)/Inputs!$C$50)+Inputs!$C$47*0.173))+0.2*SIN(2*PI()*(((Model_Data!A66)+(Inputs!$C$6))/(0.5*(Inputs!$C$49+Inputs!$C$50))+Inputs!$C$47*0.097)))+0.3*(2*((SIN(((Model_Data!A66)*12.9898+(Inputs!$C$6)*78.233+Inputs!$C$47*37.719))*43758.5453)-INT((SIN(((Model_Data!A66)*12.9898+(Inputs!$C$6)*78.233+Inputs!$C$47*37.719))*43758.5453)))-1))))/1000)^2)</f>
        <v>402.31278070445404</v>
      </c>
      <c r="AB66" s="9">
        <f>1000*(AA67-AA65)/(Z67-Z65)*Inputs!$C$11</f>
        <v>-472.82527965171539</v>
      </c>
      <c r="AC66" s="9">
        <f>-2*AB66/Inputs!$C$13</f>
        <v>189.13011186068616</v>
      </c>
      <c r="AD66" s="9">
        <f>-2*AB66/Inputs!$C$14</f>
        <v>28.397914693796722</v>
      </c>
    </row>
    <row r="67" spans="1:30">
      <c r="A67" s="9">
        <f>Model_Data!A67</f>
        <v>-27.5</v>
      </c>
      <c r="B67" s="9">
        <f>((SQRT((Model_Data!A67)^2+Inputs!$C$6^2+Inputs!$C$5^2)-Inputs!$C$5)*1000/Inputs!$C$12)</f>
        <v>967.89450857437419</v>
      </c>
      <c r="C67" s="9">
        <f>Model_Data!F67</f>
        <v>965.87419469348754</v>
      </c>
      <c r="D67" s="9">
        <f>(((SQRT((Model_Data!A67)^2+Inputs!$C$6^2+((Model_Data!B67)-((Inputs!$C$51*(115*EXP(-(((Inputs!$C$6)-25)^2)/(4.5^2))+70*EXP(-(((Inputs!$C$6)+38)^2)/(7^2))*(0.55+0.45*SIN(2*PI()*(Model_Data!A67)/45))+24*SIN(2*PI()*(Inputs!$C$6)/9+(Model_Data!A67)/18)*EXP(-(((Inputs!$C$6)+5)^2)/(22^2))+18*SIN(2*PI()*(Model_Data!A67)/70))+Inputs!$C$28*EXP(-(((Model_Data!A67)-Inputs!$C$29)^2)/(2*Inputs!$C$31^2))*EXP(-(((Inputs!$C$6)-Inputs!$C$30)^2)/(2*Inputs!$C$32^2))+-Inputs!$C$33*EXP(-(((((Model_Data!A67)-Inputs!$C$34)^2)+(((Inputs!$C$6)-Inputs!$C$35)^2))/(2*Inputs!$C$36^2)))+Inputs!$C$37*(0.55*SIN(2*PI()*(Model_Data!A67)/Inputs!$C$39)+0.35*COS(2*PI()*(Inputs!$C$6)/Inputs!$C$40)+0.2*SIN(2*PI()*((Model_Data!A67)+(Inputs!$C$6))/(0.5*(Inputs!$C$39+Inputs!$C$40))))+Inputs!$C$38*SIN(2*PI()*(Model_Data!A67)/Inputs!$C$39)*SIN(2*PI()*(Inputs!$C$6)/Inputs!$C$40)+-Inputs!$C$41*EXP(-(((Inputs!$C$6)-Inputs!$C$43)^2)/(2*Inputs!$C$44^2))*EXP(-(((Model_Data!A67)-Inputs!$C$42)^2)/(2*Inputs!$C$45^2))+Inputs!$C$48*(0.7*(0.45*SIN(2*PI()*(((Model_Data!A67)/Inputs!$C$49)+Inputs!$C$47*0.137))+0.35*COS(2*PI()*(((Inputs!$C$6)/Inputs!$C$50)+Inputs!$C$47*0.173))+0.2*SIN(2*PI()*(((Model_Data!A67)+(Inputs!$C$6))/(0.5*(Inputs!$C$49+Inputs!$C$50))+Inputs!$C$47*0.097)))+0.3*(2*((SIN(((Model_Data!A67)*12.9898+(Inputs!$C$6)*78.233+Inputs!$C$47*37.719))*43758.5453)-INT((SIN(((Model_Data!A67)*12.9898+(Inputs!$C$6)*78.233+Inputs!$C$47*37.719))*43758.5453)))-1))))/1000)^2))-(((Model_Data!B67)-((Inputs!$C$51*(115*EXP(-(((0)-25)^2)/(4.5^2))+70*EXP(-(((0)+38)^2)/(7^2))*(0.55+0.45*SIN(2*PI()*(Model_Data!A67)/45))+24*SIN(2*PI()*(0)/9+(Model_Data!A67)/18)*EXP(-(((0)+5)^2)/(22^2))+18*SIN(2*PI()*(Model_Data!A67)/70))+Inputs!$C$28*EXP(-(((Model_Data!A67)-Inputs!$C$29)^2)/(2*Inputs!$C$31^2))*EXP(-(((0)-Inputs!$C$30)^2)/(2*Inputs!$C$32^2))+-Inputs!$C$33*EXP(-(((((Model_Data!A67)-Inputs!$C$34)^2)+(((0)-Inputs!$C$35)^2))/(2*Inputs!$C$36^2)))+Inputs!$C$37*(0.55*SIN(2*PI()*(Model_Data!A67)/Inputs!$C$39)+0.35*COS(2*PI()*(0)/Inputs!$C$40)+0.2*SIN(2*PI()*((Model_Data!A67)+(0))/(0.5*(Inputs!$C$39+Inputs!$C$40))))+Inputs!$C$38*SIN(2*PI()*(Model_Data!A67)/Inputs!$C$39)*SIN(2*PI()*(0)/Inputs!$C$40)+-Inputs!$C$41*EXP(-(((0)-Inputs!$C$43)^2)/(2*Inputs!$C$44^2))*EXP(-(((Model_Data!A67)-Inputs!$C$42)^2)/(2*Inputs!$C$45^2))+Inputs!$C$48*(0.7*(0.45*SIN(2*PI()*(((Model_Data!A67)/Inputs!$C$49)+Inputs!$C$47*0.137))+0.35*COS(2*PI()*(((0)/Inputs!$C$50)+Inputs!$C$47*0.173))+0.2*SIN(2*PI()*(((Model_Data!A67)+(0))/(0.5*(Inputs!$C$49+Inputs!$C$50))+Inputs!$C$47*0.097)))+0.3*(2*((SIN(((Model_Data!A67)*12.9898+(0)*78.233+Inputs!$C$47*37.719))*43758.5453)-INT((SIN(((Model_Data!A67)*12.9898+(0)*78.233+Inputs!$C$47*37.719))*43758.5453)))-1))))/1000)))*1000/Inputs!$C$12)</f>
        <v>764.41568357033498</v>
      </c>
      <c r="E67" s="9">
        <f>Model_Data!A67</f>
        <v>-27.5</v>
      </c>
      <c r="F67" s="9">
        <f>(Inputs!$C$51*(115*EXP(-(((Inputs!$C$6)-25)^2)/(4.5^2))+70*EXP(-(((Inputs!$C$6)+38)^2)/(7^2))*(0.55+0.45*SIN(2*PI()*(Model_Data!A67)/45))+24*SIN(2*PI()*(Inputs!$C$6)/9+(Model_Data!A67)/18)*EXP(-(((Inputs!$C$6)+5)^2)/(22^2))+18*SIN(2*PI()*(Model_Data!A67)/70))+Inputs!$C$28*EXP(-(((Model_Data!A67)-Inputs!$C$29)^2)/(2*Inputs!$C$31^2))*EXP(-(((Inputs!$C$6)-Inputs!$C$30)^2)/(2*Inputs!$C$32^2))+-Inputs!$C$33*EXP(-(((((Model_Data!A67)-Inputs!$C$34)^2)+(((Inputs!$C$6)-Inputs!$C$35)^2))/(2*Inputs!$C$36^2)))+Inputs!$C$37*(0.55*SIN(2*PI()*(Model_Data!A67)/Inputs!$C$39)+0.35*COS(2*PI()*(Inputs!$C$6)/Inputs!$C$40)+0.2*SIN(2*PI()*((Model_Data!A67)+(Inputs!$C$6))/(0.5*(Inputs!$C$39+Inputs!$C$40))))+Inputs!$C$38*SIN(2*PI()*(Model_Data!A67)/Inputs!$C$39)*SIN(2*PI()*(Inputs!$C$6)/Inputs!$C$40)+-Inputs!$C$41*EXP(-(((Inputs!$C$6)-Inputs!$C$43)^2)/(2*Inputs!$C$44^2))*EXP(-(((Model_Data!A67)-Inputs!$C$42)^2)/(2*Inputs!$C$45^2))+Inputs!$C$48*(0.7*(0.45*SIN(2*PI()*(((Model_Data!A67)/Inputs!$C$49)+Inputs!$C$47*0.137))+0.35*COS(2*PI()*(((Inputs!$C$6)/Inputs!$C$50)+Inputs!$C$47*0.173))+0.2*SIN(2*PI()*(((Model_Data!A67)+(Inputs!$C$6))/(0.5*(Inputs!$C$49+Inputs!$C$50))+Inputs!$C$47*0.097)))+0.3*(2*((SIN(((Model_Data!A67)*12.9898+(Inputs!$C$6)*78.233+Inputs!$C$47*37.719))*43758.5453)-INT((SIN(((Model_Data!A67)*12.9898+(Inputs!$C$6)*78.233+Inputs!$C$47*37.719))*43758.5453)))-1)))</f>
        <v>296.84376125916674</v>
      </c>
      <c r="G67" s="9">
        <f>(Inputs!$C$51*(115*EXP(-(((0)-25)^2)/(4.5^2))+70*EXP(-(((0)+38)^2)/(7^2))*(0.55+0.45*SIN(2*PI()*(Model_Data!A67)/45))+24*SIN(2*PI()*(0)/9+(Model_Data!A67)/18)*EXP(-(((0)+5)^2)/(22^2))+18*SIN(2*PI()*(Model_Data!A67)/70))+Inputs!$C$28*EXP(-(((Model_Data!A67)-Inputs!$C$29)^2)/(2*Inputs!$C$31^2))*EXP(-(((0)-Inputs!$C$30)^2)/(2*Inputs!$C$32^2))+-Inputs!$C$33*EXP(-(((((Model_Data!A67)-Inputs!$C$34)^2)+(((0)-Inputs!$C$35)^2))/(2*Inputs!$C$36^2)))+Inputs!$C$37*(0.55*SIN(2*PI()*(Model_Data!A67)/Inputs!$C$39)+0.35*COS(2*PI()*(0)/Inputs!$C$40)+0.2*SIN(2*PI()*((Model_Data!A67)+(0))/(0.5*(Inputs!$C$39+Inputs!$C$40))))+Inputs!$C$38*SIN(2*PI()*(Model_Data!A67)/Inputs!$C$39)*SIN(2*PI()*(0)/Inputs!$C$40)+-Inputs!$C$41*EXP(-(((0)-Inputs!$C$43)^2)/(2*Inputs!$C$44^2))*EXP(-(((Model_Data!A67)-Inputs!$C$42)^2)/(2*Inputs!$C$45^2))+Inputs!$C$48*(0.7*(0.45*SIN(2*PI()*(((Model_Data!A67)/Inputs!$C$49)+Inputs!$C$47*0.137))+0.35*COS(2*PI()*(((0)/Inputs!$C$50)+Inputs!$C$47*0.173))+0.2*SIN(2*PI()*(((Model_Data!A67)+(0))/(0.5*(Inputs!$C$49+Inputs!$C$50))+Inputs!$C$47*0.097)))+0.3*(2*((SIN(((Model_Data!A67)*12.9898+(0)*78.233+Inputs!$C$47*37.719))*43758.5453)-INT((SIN(((Model_Data!A67)*12.9898+(0)*78.233+Inputs!$C$47*37.719))*43758.5453)))-1)))</f>
        <v>-63.021085948892313</v>
      </c>
      <c r="H67" s="10"/>
      <c r="I67" s="9">
        <f>Model_Data!A67</f>
        <v>-27.5</v>
      </c>
      <c r="J67" s="9">
        <f>(Inputs!$C$51*(115*EXP(-(((Inputs!$C$6)-25)^2)/(4.5^2))+70*EXP(-(((Inputs!$C$6)+38)^2)/(7^2))*(0.55+0.45*SIN(2*PI()*(Model_Data!A67)/45))+24*SIN(2*PI()*(Inputs!$C$6)/9+(Model_Data!A67)/18)*EXP(-(((Inputs!$C$6)+5)^2)/(22^2))+18*SIN(2*PI()*(Model_Data!A67)/70))+Inputs!$C$28*EXP(-(((Model_Data!A67)-Inputs!$C$29)^2)/(2*Inputs!$C$31^2))*EXP(-(((Inputs!$C$6)-Inputs!$C$30)^2)/(2*Inputs!$C$32^2))+-Inputs!$C$33*EXP(-(((((Model_Data!A67)-Inputs!$C$34)^2)+(((Inputs!$C$6)-Inputs!$C$35)^2))/(2*Inputs!$C$36^2)))+Inputs!$C$37*(0.55*SIN(2*PI()*(Model_Data!A67)/Inputs!$C$39)+0.35*COS(2*PI()*(Inputs!$C$6)/Inputs!$C$40)+0.2*SIN(2*PI()*((Model_Data!A67)+(Inputs!$C$6))/(0.5*(Inputs!$C$39+Inputs!$C$40))))+Inputs!$C$38*SIN(2*PI()*(Model_Data!A67)/Inputs!$C$39)*SIN(2*PI()*(Inputs!$C$6)/Inputs!$C$40)+-Inputs!$C$41*EXP(-(((Inputs!$C$6)-Inputs!$C$43)^2)/(2*Inputs!$C$44^2))*EXP(-(((Model_Data!A67)-Inputs!$C$42)^2)/(2*Inputs!$C$45^2))+Inputs!$C$48*(0.7*(0.45*SIN(2*PI()*(((Model_Data!A67)/Inputs!$C$49)+Inputs!$C$47*0.137))+0.35*COS(2*PI()*(((Inputs!$C$6)/Inputs!$C$50)+Inputs!$C$47*0.173))+0.2*SIN(2*PI()*(((Model_Data!A67)+(Inputs!$C$6))/(0.5*(Inputs!$C$49+Inputs!$C$50))+Inputs!$C$47*0.097)))+0.3*(2*((SIN(((Model_Data!A67)*12.9898+(Inputs!$C$6)*78.233+Inputs!$C$47*37.719))*43758.5453)-INT((SIN(((Model_Data!A67)*12.9898+(Inputs!$C$6)*78.233+Inputs!$C$47*37.719))*43758.5453)))-1)))</f>
        <v>296.84376125916674</v>
      </c>
      <c r="K67" s="9">
        <f>-((((SQRT((Model_Data!A67)^2+Inputs!$C$6^2+((Model_Data!B67)-((Inputs!$C$51*(115*EXP(-(((Inputs!$C$6)-25)^2)/(4.5^2))+70*EXP(-(((Inputs!$C$6)+38)^2)/(7^2))*(0.55+0.45*SIN(2*PI()*(Model_Data!A67)/45))+24*SIN(2*PI()*(Inputs!$C$6)/9+(Model_Data!A67)/18)*EXP(-(((Inputs!$C$6)+5)^2)/(22^2))+18*SIN(2*PI()*(Model_Data!A67)/70))+Inputs!$C$28*EXP(-(((Model_Data!A67)-Inputs!$C$29)^2)/(2*Inputs!$C$31^2))*EXP(-(((Inputs!$C$6)-Inputs!$C$30)^2)/(2*Inputs!$C$32^2))+-Inputs!$C$33*EXP(-(((((Model_Data!A67)-Inputs!$C$34)^2)+(((Inputs!$C$6)-Inputs!$C$35)^2))/(2*Inputs!$C$36^2)))+Inputs!$C$37*(0.55*SIN(2*PI()*(Model_Data!A67)/Inputs!$C$39)+0.35*COS(2*PI()*(Inputs!$C$6)/Inputs!$C$40)+0.2*SIN(2*PI()*((Model_Data!A67)+(Inputs!$C$6))/(0.5*(Inputs!$C$39+Inputs!$C$40))))+Inputs!$C$38*SIN(2*PI()*(Model_Data!A67)/Inputs!$C$39)*SIN(2*PI()*(Inputs!$C$6)/Inputs!$C$40)+-Inputs!$C$41*EXP(-(((Inputs!$C$6)-Inputs!$C$43)^2)/(2*Inputs!$C$44^2))*EXP(-(((Model_Data!A67)-Inputs!$C$42)^2)/(2*Inputs!$C$45^2))+Inputs!$C$48*(0.7*(0.45*SIN(2*PI()*(((Model_Data!A67)/Inputs!$C$49)+Inputs!$C$47*0.137))+0.35*COS(2*PI()*(((Inputs!$C$6)/Inputs!$C$50)+Inputs!$C$47*0.173))+0.2*SIN(2*PI()*(((Model_Data!A67)+(Inputs!$C$6))/(0.5*(Inputs!$C$49+Inputs!$C$50))+Inputs!$C$47*0.097)))+0.3*(2*((SIN(((Model_Data!A67)*12.9898+(Inputs!$C$6)*78.233+Inputs!$C$47*37.719))*43758.5453)-INT((SIN(((Model_Data!A67)*12.9898+(Inputs!$C$6)*78.233+Inputs!$C$47*37.719))*43758.5453)))-1))))/1000)^2))-(((Model_Data!B67)-((Inputs!$C$51*(115*EXP(-(((0)-25)^2)/(4.5^2))+70*EXP(-(((0)+38)^2)/(7^2))*(0.55+0.45*SIN(2*PI()*(Model_Data!A67)/45))+24*SIN(2*PI()*(0)/9+(Model_Data!A67)/18)*EXP(-(((0)+5)^2)/(22^2))+18*SIN(2*PI()*(Model_Data!A67)/70))+Inputs!$C$28*EXP(-(((Model_Data!A67)-Inputs!$C$29)^2)/(2*Inputs!$C$31^2))*EXP(-(((0)-Inputs!$C$30)^2)/(2*Inputs!$C$32^2))+-Inputs!$C$33*EXP(-(((((Model_Data!A67)-Inputs!$C$34)^2)+(((0)-Inputs!$C$35)^2))/(2*Inputs!$C$36^2)))+Inputs!$C$37*(0.55*SIN(2*PI()*(Model_Data!A67)/Inputs!$C$39)+0.35*COS(2*PI()*(0)/Inputs!$C$40)+0.2*SIN(2*PI()*((Model_Data!A67)+(0))/(0.5*(Inputs!$C$39+Inputs!$C$40))))+Inputs!$C$38*SIN(2*PI()*(Model_Data!A67)/Inputs!$C$39)*SIN(2*PI()*(0)/Inputs!$C$40)+-Inputs!$C$41*EXP(-(((0)-Inputs!$C$43)^2)/(2*Inputs!$C$44^2))*EXP(-(((Model_Data!A67)-Inputs!$C$42)^2)/(2*Inputs!$C$45^2))+Inputs!$C$48*(0.7*(0.45*SIN(2*PI()*(((Model_Data!A67)/Inputs!$C$49)+Inputs!$C$47*0.137))+0.35*COS(2*PI()*(((0)/Inputs!$C$50)+Inputs!$C$47*0.173))+0.2*SIN(2*PI()*(((Model_Data!A67)+(0))/(0.5*(Inputs!$C$49+Inputs!$C$50))+Inputs!$C$47*0.097)))+0.3*(2*((SIN(((Model_Data!A67)*12.9898+(0)*78.233+Inputs!$C$47*37.719))*43758.5453)-INT((SIN(((Model_Data!A67)*12.9898+(0)*78.233+Inputs!$C$47*37.719))*43758.5453)))-1))))/1000)))*1000/Inputs!$C$12)-Model_Data!F67)</f>
        <v>201.45851112315256</v>
      </c>
      <c r="L67" s="10"/>
      <c r="M67" s="9">
        <f>Model_Data!A67</f>
        <v>-27.5</v>
      </c>
      <c r="N67" s="9">
        <f>Model_Data!P67</f>
        <v>206.66079079152723</v>
      </c>
      <c r="O67" s="9">
        <f t="shared" si="2"/>
        <v>168.59986845947788</v>
      </c>
      <c r="P67" s="9">
        <f>Model_Data!Q67</f>
        <v>31.030148767496584</v>
      </c>
      <c r="Q67" s="9">
        <f t="shared" si="3"/>
        <v>25.315295564486171</v>
      </c>
      <c r="R67" s="10"/>
      <c r="S67" s="9">
        <f>Model_Data!A67</f>
        <v>-27.5</v>
      </c>
      <c r="T67" s="9">
        <f>Model_Data!B67-Inputs!$C$5</f>
        <v>0.84027777777777146</v>
      </c>
      <c r="U67" s="10"/>
      <c r="V67" s="9">
        <f>Model_Data!A67</f>
        <v>-27.5</v>
      </c>
      <c r="W67" s="9">
        <f>((SQRT((Model_Data!A67)^2+Inputs!$C$6^2+Inputs!$C$5^2)-Inputs!$C$5)*1000/Inputs!$C$12)</f>
        <v>967.89450857437419</v>
      </c>
      <c r="X67" s="9">
        <f>Model_Data!F67</f>
        <v>965.87419469348754</v>
      </c>
      <c r="Y67" s="10"/>
      <c r="Z67" s="9">
        <f>Model_Data!A67</f>
        <v>-27.5</v>
      </c>
      <c r="AA67" s="9">
        <f>SQRT((Model_Data!A67)^2+Inputs!$C$6^2+((Model_Data!B67)-((Inputs!$C$51*(115*EXP(-(((Inputs!$C$6)-25)^2)/(4.5^2))+70*EXP(-(((Inputs!$C$6)+38)^2)/(7^2))*(0.55+0.45*SIN(2*PI()*(Model_Data!A67)/45))+24*SIN(2*PI()*(Inputs!$C$6)/9+(Model_Data!A67)/18)*EXP(-(((Inputs!$C$6)+5)^2)/(22^2))+18*SIN(2*PI()*(Model_Data!A67)/70))+Inputs!$C$28*EXP(-(((Model_Data!A67)-Inputs!$C$29)^2)/(2*Inputs!$C$31^2))*EXP(-(((Inputs!$C$6)-Inputs!$C$30)^2)/(2*Inputs!$C$32^2))+-Inputs!$C$33*EXP(-(((((Model_Data!A67)-Inputs!$C$34)^2)+(((Inputs!$C$6)-Inputs!$C$35)^2))/(2*Inputs!$C$36^2)))+Inputs!$C$37*(0.55*SIN(2*PI()*(Model_Data!A67)/Inputs!$C$39)+0.35*COS(2*PI()*(Inputs!$C$6)/Inputs!$C$40)+0.2*SIN(2*PI()*((Model_Data!A67)+(Inputs!$C$6))/(0.5*(Inputs!$C$39+Inputs!$C$40))))+Inputs!$C$38*SIN(2*PI()*(Model_Data!A67)/Inputs!$C$39)*SIN(2*PI()*(Inputs!$C$6)/Inputs!$C$40)+-Inputs!$C$41*EXP(-(((Inputs!$C$6)-Inputs!$C$43)^2)/(2*Inputs!$C$44^2))*EXP(-(((Model_Data!A67)-Inputs!$C$42)^2)/(2*Inputs!$C$45^2))+Inputs!$C$48*(0.7*(0.45*SIN(2*PI()*(((Model_Data!A67)/Inputs!$C$49)+Inputs!$C$47*0.137))+0.35*COS(2*PI()*(((Inputs!$C$6)/Inputs!$C$50)+Inputs!$C$47*0.173))+0.2*SIN(2*PI()*(((Model_Data!A67)+(Inputs!$C$6))/(0.5*(Inputs!$C$49+Inputs!$C$50))+Inputs!$C$47*0.097)))+0.3*(2*((SIN(((Model_Data!A67)*12.9898+(Inputs!$C$6)*78.233+Inputs!$C$47*37.719))*43758.5453)-INT((SIN(((Model_Data!A67)*12.9898+(Inputs!$C$6)*78.233+Inputs!$C$47*37.719))*43758.5453)))-1))))/1000)^2)</f>
        <v>402.26395878048186</v>
      </c>
      <c r="AB67" s="9">
        <f>1000*(AA68-AA66)/(Z68-Z66)*Inputs!$C$11</f>
        <v>-421.49967114869469</v>
      </c>
      <c r="AC67" s="9">
        <f>-2*AB67/Inputs!$C$13</f>
        <v>168.59986845947788</v>
      </c>
      <c r="AD67" s="9">
        <f>-2*AB67/Inputs!$C$14</f>
        <v>25.315295564486171</v>
      </c>
    </row>
    <row r="68" spans="1:30">
      <c r="A68" s="9">
        <f>Model_Data!A68</f>
        <v>-27</v>
      </c>
      <c r="B68" s="9">
        <f>((SQRT((Model_Data!A68)^2+Inputs!$C$6^2+Inputs!$C$5^2)-Inputs!$C$5)*1000/Inputs!$C$12)</f>
        <v>948.83953699023641</v>
      </c>
      <c r="C68" s="9">
        <f>Model_Data!F68</f>
        <v>946.93005797213948</v>
      </c>
      <c r="D68" s="9">
        <f>(((SQRT((Model_Data!A68)^2+Inputs!$C$6^2+((Model_Data!B68)-((Inputs!$C$51*(115*EXP(-(((Inputs!$C$6)-25)^2)/(4.5^2))+70*EXP(-(((Inputs!$C$6)+38)^2)/(7^2))*(0.55+0.45*SIN(2*PI()*(Model_Data!A68)/45))+24*SIN(2*PI()*(Inputs!$C$6)/9+(Model_Data!A68)/18)*EXP(-(((Inputs!$C$6)+5)^2)/(22^2))+18*SIN(2*PI()*(Model_Data!A68)/70))+Inputs!$C$28*EXP(-(((Model_Data!A68)-Inputs!$C$29)^2)/(2*Inputs!$C$31^2))*EXP(-(((Inputs!$C$6)-Inputs!$C$30)^2)/(2*Inputs!$C$32^2))+-Inputs!$C$33*EXP(-(((((Model_Data!A68)-Inputs!$C$34)^2)+(((Inputs!$C$6)-Inputs!$C$35)^2))/(2*Inputs!$C$36^2)))+Inputs!$C$37*(0.55*SIN(2*PI()*(Model_Data!A68)/Inputs!$C$39)+0.35*COS(2*PI()*(Inputs!$C$6)/Inputs!$C$40)+0.2*SIN(2*PI()*((Model_Data!A68)+(Inputs!$C$6))/(0.5*(Inputs!$C$39+Inputs!$C$40))))+Inputs!$C$38*SIN(2*PI()*(Model_Data!A68)/Inputs!$C$39)*SIN(2*PI()*(Inputs!$C$6)/Inputs!$C$40)+-Inputs!$C$41*EXP(-(((Inputs!$C$6)-Inputs!$C$43)^2)/(2*Inputs!$C$44^2))*EXP(-(((Model_Data!A68)-Inputs!$C$42)^2)/(2*Inputs!$C$45^2))+Inputs!$C$48*(0.7*(0.45*SIN(2*PI()*(((Model_Data!A68)/Inputs!$C$49)+Inputs!$C$47*0.137))+0.35*COS(2*PI()*(((Inputs!$C$6)/Inputs!$C$50)+Inputs!$C$47*0.173))+0.2*SIN(2*PI()*(((Model_Data!A68)+(Inputs!$C$6))/(0.5*(Inputs!$C$49+Inputs!$C$50))+Inputs!$C$47*0.097)))+0.3*(2*((SIN(((Model_Data!A68)*12.9898+(Inputs!$C$6)*78.233+Inputs!$C$47*37.719))*43758.5453)-INT((SIN(((Model_Data!A68)*12.9898+(Inputs!$C$6)*78.233+Inputs!$C$47*37.719))*43758.5453)))-1))))/1000)^2))-(((Model_Data!B68)-((Inputs!$C$51*(115*EXP(-(((0)-25)^2)/(4.5^2))+70*EXP(-(((0)+38)^2)/(7^2))*(0.55+0.45*SIN(2*PI()*(Model_Data!A68)/45))+24*SIN(2*PI()*(0)/9+(Model_Data!A68)/18)*EXP(-(((0)+5)^2)/(22^2))+18*SIN(2*PI()*(Model_Data!A68)/70))+Inputs!$C$28*EXP(-(((Model_Data!A68)-Inputs!$C$29)^2)/(2*Inputs!$C$31^2))*EXP(-(((0)-Inputs!$C$30)^2)/(2*Inputs!$C$32^2))+-Inputs!$C$33*EXP(-(((((Model_Data!A68)-Inputs!$C$34)^2)+(((0)-Inputs!$C$35)^2))/(2*Inputs!$C$36^2)))+Inputs!$C$37*(0.55*SIN(2*PI()*(Model_Data!A68)/Inputs!$C$39)+0.35*COS(2*PI()*(0)/Inputs!$C$40)+0.2*SIN(2*PI()*((Model_Data!A68)+(0))/(0.5*(Inputs!$C$39+Inputs!$C$40))))+Inputs!$C$38*SIN(2*PI()*(Model_Data!A68)/Inputs!$C$39)*SIN(2*PI()*(0)/Inputs!$C$40)+-Inputs!$C$41*EXP(-(((0)-Inputs!$C$43)^2)/(2*Inputs!$C$44^2))*EXP(-(((Model_Data!A68)-Inputs!$C$42)^2)/(2*Inputs!$C$45^2))+Inputs!$C$48*(0.7*(0.45*SIN(2*PI()*(((Model_Data!A68)/Inputs!$C$49)+Inputs!$C$47*0.137))+0.35*COS(2*PI()*(((0)/Inputs!$C$50)+Inputs!$C$47*0.173))+0.2*SIN(2*PI()*(((Model_Data!A68)+(0))/(0.5*(Inputs!$C$49+Inputs!$C$50))+Inputs!$C$47*0.097)))+0.3*(2*((SIN(((Model_Data!A68)*12.9898+(0)*78.233+Inputs!$C$47*37.719))*43758.5453)-INT((SIN(((Model_Data!A68)*12.9898+(0)*78.233+Inputs!$C$47*37.719))*43758.5453)))-1))))/1000)))*1000/Inputs!$C$12)</f>
        <v>745.91811650716306</v>
      </c>
      <c r="E68" s="9">
        <f>Model_Data!A68</f>
        <v>-27</v>
      </c>
      <c r="F68" s="9">
        <f>(Inputs!$C$51*(115*EXP(-(((Inputs!$C$6)-25)^2)/(4.5^2))+70*EXP(-(((Inputs!$C$6)+38)^2)/(7^2))*(0.55+0.45*SIN(2*PI()*(Model_Data!A68)/45))+24*SIN(2*PI()*(Inputs!$C$6)/9+(Model_Data!A68)/18)*EXP(-(((Inputs!$C$6)+5)^2)/(22^2))+18*SIN(2*PI()*(Model_Data!A68)/70))+Inputs!$C$28*EXP(-(((Model_Data!A68)-Inputs!$C$29)^2)/(2*Inputs!$C$31^2))*EXP(-(((Inputs!$C$6)-Inputs!$C$30)^2)/(2*Inputs!$C$32^2))+-Inputs!$C$33*EXP(-(((((Model_Data!A68)-Inputs!$C$34)^2)+(((Inputs!$C$6)-Inputs!$C$35)^2))/(2*Inputs!$C$36^2)))+Inputs!$C$37*(0.55*SIN(2*PI()*(Model_Data!A68)/Inputs!$C$39)+0.35*COS(2*PI()*(Inputs!$C$6)/Inputs!$C$40)+0.2*SIN(2*PI()*((Model_Data!A68)+(Inputs!$C$6))/(0.5*(Inputs!$C$39+Inputs!$C$40))))+Inputs!$C$38*SIN(2*PI()*(Model_Data!A68)/Inputs!$C$39)*SIN(2*PI()*(Inputs!$C$6)/Inputs!$C$40)+-Inputs!$C$41*EXP(-(((Inputs!$C$6)-Inputs!$C$43)^2)/(2*Inputs!$C$44^2))*EXP(-(((Model_Data!A68)-Inputs!$C$42)^2)/(2*Inputs!$C$45^2))+Inputs!$C$48*(0.7*(0.45*SIN(2*PI()*(((Model_Data!A68)/Inputs!$C$49)+Inputs!$C$47*0.137))+0.35*COS(2*PI()*(((Inputs!$C$6)/Inputs!$C$50)+Inputs!$C$47*0.173))+0.2*SIN(2*PI()*(((Model_Data!A68)+(Inputs!$C$6))/(0.5*(Inputs!$C$49+Inputs!$C$50))+Inputs!$C$47*0.097)))+0.3*(2*((SIN(((Model_Data!A68)*12.9898+(Inputs!$C$6)*78.233+Inputs!$C$47*37.719))*43758.5453)-INT((SIN(((Model_Data!A68)*12.9898+(Inputs!$C$6)*78.233+Inputs!$C$47*37.719))*43758.5453)))-1)))</f>
        <v>289.34226854100302</v>
      </c>
      <c r="G68" s="9">
        <f>(Inputs!$C$51*(115*EXP(-(((0)-25)^2)/(4.5^2))+70*EXP(-(((0)+38)^2)/(7^2))*(0.55+0.45*SIN(2*PI()*(Model_Data!A68)/45))+24*SIN(2*PI()*(0)/9+(Model_Data!A68)/18)*EXP(-(((0)+5)^2)/(22^2))+18*SIN(2*PI()*(Model_Data!A68)/70))+Inputs!$C$28*EXP(-(((Model_Data!A68)-Inputs!$C$29)^2)/(2*Inputs!$C$31^2))*EXP(-(((0)-Inputs!$C$30)^2)/(2*Inputs!$C$32^2))+-Inputs!$C$33*EXP(-(((((Model_Data!A68)-Inputs!$C$34)^2)+(((0)-Inputs!$C$35)^2))/(2*Inputs!$C$36^2)))+Inputs!$C$37*(0.55*SIN(2*PI()*(Model_Data!A68)/Inputs!$C$39)+0.35*COS(2*PI()*(0)/Inputs!$C$40)+0.2*SIN(2*PI()*((Model_Data!A68)+(0))/(0.5*(Inputs!$C$39+Inputs!$C$40))))+Inputs!$C$38*SIN(2*PI()*(Model_Data!A68)/Inputs!$C$39)*SIN(2*PI()*(0)/Inputs!$C$40)+-Inputs!$C$41*EXP(-(((0)-Inputs!$C$43)^2)/(2*Inputs!$C$44^2))*EXP(-(((Model_Data!A68)-Inputs!$C$42)^2)/(2*Inputs!$C$45^2))+Inputs!$C$48*(0.7*(0.45*SIN(2*PI()*(((Model_Data!A68)/Inputs!$C$49)+Inputs!$C$47*0.137))+0.35*COS(2*PI()*(((0)/Inputs!$C$50)+Inputs!$C$47*0.173))+0.2*SIN(2*PI()*(((Model_Data!A68)+(0))/(0.5*(Inputs!$C$49+Inputs!$C$50))+Inputs!$C$47*0.097)))+0.3*(2*((SIN(((Model_Data!A68)*12.9898+(0)*78.233+Inputs!$C$47*37.719))*43758.5453)-INT((SIN(((Model_Data!A68)*12.9898+(0)*78.233+Inputs!$C$47*37.719))*43758.5453)))-1)))</f>
        <v>-69.671539284115184</v>
      </c>
      <c r="H68" s="10"/>
      <c r="I68" s="9">
        <f>Model_Data!A68</f>
        <v>-27</v>
      </c>
      <c r="J68" s="9">
        <f>(Inputs!$C$51*(115*EXP(-(((Inputs!$C$6)-25)^2)/(4.5^2))+70*EXP(-(((Inputs!$C$6)+38)^2)/(7^2))*(0.55+0.45*SIN(2*PI()*(Model_Data!A68)/45))+24*SIN(2*PI()*(Inputs!$C$6)/9+(Model_Data!A68)/18)*EXP(-(((Inputs!$C$6)+5)^2)/(22^2))+18*SIN(2*PI()*(Model_Data!A68)/70))+Inputs!$C$28*EXP(-(((Model_Data!A68)-Inputs!$C$29)^2)/(2*Inputs!$C$31^2))*EXP(-(((Inputs!$C$6)-Inputs!$C$30)^2)/(2*Inputs!$C$32^2))+-Inputs!$C$33*EXP(-(((((Model_Data!A68)-Inputs!$C$34)^2)+(((Inputs!$C$6)-Inputs!$C$35)^2))/(2*Inputs!$C$36^2)))+Inputs!$C$37*(0.55*SIN(2*PI()*(Model_Data!A68)/Inputs!$C$39)+0.35*COS(2*PI()*(Inputs!$C$6)/Inputs!$C$40)+0.2*SIN(2*PI()*((Model_Data!A68)+(Inputs!$C$6))/(0.5*(Inputs!$C$39+Inputs!$C$40))))+Inputs!$C$38*SIN(2*PI()*(Model_Data!A68)/Inputs!$C$39)*SIN(2*PI()*(Inputs!$C$6)/Inputs!$C$40)+-Inputs!$C$41*EXP(-(((Inputs!$C$6)-Inputs!$C$43)^2)/(2*Inputs!$C$44^2))*EXP(-(((Model_Data!A68)-Inputs!$C$42)^2)/(2*Inputs!$C$45^2))+Inputs!$C$48*(0.7*(0.45*SIN(2*PI()*(((Model_Data!A68)/Inputs!$C$49)+Inputs!$C$47*0.137))+0.35*COS(2*PI()*(((Inputs!$C$6)/Inputs!$C$50)+Inputs!$C$47*0.173))+0.2*SIN(2*PI()*(((Model_Data!A68)+(Inputs!$C$6))/(0.5*(Inputs!$C$49+Inputs!$C$50))+Inputs!$C$47*0.097)))+0.3*(2*((SIN(((Model_Data!A68)*12.9898+(Inputs!$C$6)*78.233+Inputs!$C$47*37.719))*43758.5453)-INT((SIN(((Model_Data!A68)*12.9898+(Inputs!$C$6)*78.233+Inputs!$C$47*37.719))*43758.5453)))-1)))</f>
        <v>289.34226854100302</v>
      </c>
      <c r="K68" s="9">
        <f>-((((SQRT((Model_Data!A68)^2+Inputs!$C$6^2+((Model_Data!B68)-((Inputs!$C$51*(115*EXP(-(((Inputs!$C$6)-25)^2)/(4.5^2))+70*EXP(-(((Inputs!$C$6)+38)^2)/(7^2))*(0.55+0.45*SIN(2*PI()*(Model_Data!A68)/45))+24*SIN(2*PI()*(Inputs!$C$6)/9+(Model_Data!A68)/18)*EXP(-(((Inputs!$C$6)+5)^2)/(22^2))+18*SIN(2*PI()*(Model_Data!A68)/70))+Inputs!$C$28*EXP(-(((Model_Data!A68)-Inputs!$C$29)^2)/(2*Inputs!$C$31^2))*EXP(-(((Inputs!$C$6)-Inputs!$C$30)^2)/(2*Inputs!$C$32^2))+-Inputs!$C$33*EXP(-(((((Model_Data!A68)-Inputs!$C$34)^2)+(((Inputs!$C$6)-Inputs!$C$35)^2))/(2*Inputs!$C$36^2)))+Inputs!$C$37*(0.55*SIN(2*PI()*(Model_Data!A68)/Inputs!$C$39)+0.35*COS(2*PI()*(Inputs!$C$6)/Inputs!$C$40)+0.2*SIN(2*PI()*((Model_Data!A68)+(Inputs!$C$6))/(0.5*(Inputs!$C$39+Inputs!$C$40))))+Inputs!$C$38*SIN(2*PI()*(Model_Data!A68)/Inputs!$C$39)*SIN(2*PI()*(Inputs!$C$6)/Inputs!$C$40)+-Inputs!$C$41*EXP(-(((Inputs!$C$6)-Inputs!$C$43)^2)/(2*Inputs!$C$44^2))*EXP(-(((Model_Data!A68)-Inputs!$C$42)^2)/(2*Inputs!$C$45^2))+Inputs!$C$48*(0.7*(0.45*SIN(2*PI()*(((Model_Data!A68)/Inputs!$C$49)+Inputs!$C$47*0.137))+0.35*COS(2*PI()*(((Inputs!$C$6)/Inputs!$C$50)+Inputs!$C$47*0.173))+0.2*SIN(2*PI()*(((Model_Data!A68)+(Inputs!$C$6))/(0.5*(Inputs!$C$49+Inputs!$C$50))+Inputs!$C$47*0.097)))+0.3*(2*((SIN(((Model_Data!A68)*12.9898+(Inputs!$C$6)*78.233+Inputs!$C$47*37.719))*43758.5453)-INT((SIN(((Model_Data!A68)*12.9898+(Inputs!$C$6)*78.233+Inputs!$C$47*37.719))*43758.5453)))-1))))/1000)^2))-(((Model_Data!B68)-((Inputs!$C$51*(115*EXP(-(((0)-25)^2)/(4.5^2))+70*EXP(-(((0)+38)^2)/(7^2))*(0.55+0.45*SIN(2*PI()*(Model_Data!A68)/45))+24*SIN(2*PI()*(0)/9+(Model_Data!A68)/18)*EXP(-(((0)+5)^2)/(22^2))+18*SIN(2*PI()*(Model_Data!A68)/70))+Inputs!$C$28*EXP(-(((Model_Data!A68)-Inputs!$C$29)^2)/(2*Inputs!$C$31^2))*EXP(-(((0)-Inputs!$C$30)^2)/(2*Inputs!$C$32^2))+-Inputs!$C$33*EXP(-(((((Model_Data!A68)-Inputs!$C$34)^2)+(((0)-Inputs!$C$35)^2))/(2*Inputs!$C$36^2)))+Inputs!$C$37*(0.55*SIN(2*PI()*(Model_Data!A68)/Inputs!$C$39)+0.35*COS(2*PI()*(0)/Inputs!$C$40)+0.2*SIN(2*PI()*((Model_Data!A68)+(0))/(0.5*(Inputs!$C$39+Inputs!$C$40))))+Inputs!$C$38*SIN(2*PI()*(Model_Data!A68)/Inputs!$C$39)*SIN(2*PI()*(0)/Inputs!$C$40)+-Inputs!$C$41*EXP(-(((0)-Inputs!$C$43)^2)/(2*Inputs!$C$44^2))*EXP(-(((Model_Data!A68)-Inputs!$C$42)^2)/(2*Inputs!$C$45^2))+Inputs!$C$48*(0.7*(0.45*SIN(2*PI()*(((Model_Data!A68)/Inputs!$C$49)+Inputs!$C$47*0.137))+0.35*COS(2*PI()*(((0)/Inputs!$C$50)+Inputs!$C$47*0.173))+0.2*SIN(2*PI()*(((Model_Data!A68)+(0))/(0.5*(Inputs!$C$49+Inputs!$C$50))+Inputs!$C$47*0.097)))+0.3*(2*((SIN(((Model_Data!A68)*12.9898+(0)*78.233+Inputs!$C$47*37.719))*43758.5453)-INT((SIN(((Model_Data!A68)*12.9898+(0)*78.233+Inputs!$C$47*37.719))*43758.5453)))-1))))/1000)))*1000/Inputs!$C$12)-Model_Data!F68)</f>
        <v>201.01194146497642</v>
      </c>
      <c r="L68" s="10"/>
      <c r="M68" s="9">
        <f>Model_Data!A68</f>
        <v>-27</v>
      </c>
      <c r="N68" s="9">
        <f>Model_Data!P68</f>
        <v>202.92836266590731</v>
      </c>
      <c r="O68" s="9">
        <f t="shared" si="2"/>
        <v>192.99339721810611</v>
      </c>
      <c r="P68" s="9">
        <f>Model_Data!Q68</f>
        <v>30.46972412401011</v>
      </c>
      <c r="Q68" s="9">
        <f t="shared" si="3"/>
        <v>28.977987570286206</v>
      </c>
      <c r="R68" s="10"/>
      <c r="S68" s="9">
        <f>Model_Data!A68</f>
        <v>-27</v>
      </c>
      <c r="T68" s="9">
        <f>Model_Data!B68-Inputs!$C$5</f>
        <v>0.81000000000000227</v>
      </c>
      <c r="U68" s="10"/>
      <c r="V68" s="9">
        <f>Model_Data!A68</f>
        <v>-27</v>
      </c>
      <c r="W68" s="9">
        <f>((SQRT((Model_Data!A68)^2+Inputs!$C$6^2+Inputs!$C$5^2)-Inputs!$C$5)*1000/Inputs!$C$12)</f>
        <v>948.83953699023641</v>
      </c>
      <c r="X68" s="9">
        <f>Model_Data!F68</f>
        <v>946.93005797213948</v>
      </c>
      <c r="Y68" s="10"/>
      <c r="Z68" s="9">
        <f>Model_Data!A68</f>
        <v>-27</v>
      </c>
      <c r="AA68" s="9">
        <f>SQRT((Model_Data!A68)^2+Inputs!$C$6^2+((Model_Data!B68)-((Inputs!$C$51*(115*EXP(-(((Inputs!$C$6)-25)^2)/(4.5^2))+70*EXP(-(((Inputs!$C$6)+38)^2)/(7^2))*(0.55+0.45*SIN(2*PI()*(Model_Data!A68)/45))+24*SIN(2*PI()*(Inputs!$C$6)/9+(Model_Data!A68)/18)*EXP(-(((Inputs!$C$6)+5)^2)/(22^2))+18*SIN(2*PI()*(Model_Data!A68)/70))+Inputs!$C$28*EXP(-(((Model_Data!A68)-Inputs!$C$29)^2)/(2*Inputs!$C$31^2))*EXP(-(((Inputs!$C$6)-Inputs!$C$30)^2)/(2*Inputs!$C$32^2))+-Inputs!$C$33*EXP(-(((((Model_Data!A68)-Inputs!$C$34)^2)+(((Inputs!$C$6)-Inputs!$C$35)^2))/(2*Inputs!$C$36^2)))+Inputs!$C$37*(0.55*SIN(2*PI()*(Model_Data!A68)/Inputs!$C$39)+0.35*COS(2*PI()*(Inputs!$C$6)/Inputs!$C$40)+0.2*SIN(2*PI()*((Model_Data!A68)+(Inputs!$C$6))/(0.5*(Inputs!$C$39+Inputs!$C$40))))+Inputs!$C$38*SIN(2*PI()*(Model_Data!A68)/Inputs!$C$39)*SIN(2*PI()*(Inputs!$C$6)/Inputs!$C$40)+-Inputs!$C$41*EXP(-(((Inputs!$C$6)-Inputs!$C$43)^2)/(2*Inputs!$C$44^2))*EXP(-(((Model_Data!A68)-Inputs!$C$42)^2)/(2*Inputs!$C$45^2))+Inputs!$C$48*(0.7*(0.45*SIN(2*PI()*(((Model_Data!A68)/Inputs!$C$49)+Inputs!$C$47*0.137))+0.35*COS(2*PI()*(((Inputs!$C$6)/Inputs!$C$50)+Inputs!$C$47*0.173))+0.2*SIN(2*PI()*(((Model_Data!A68)+(Inputs!$C$6))/(0.5*(Inputs!$C$49+Inputs!$C$50))+Inputs!$C$47*0.097)))+0.3*(2*((SIN(((Model_Data!A68)*12.9898+(Inputs!$C$6)*78.233+Inputs!$C$47*37.719))*43758.5453)-INT((SIN(((Model_Data!A68)*12.9898+(Inputs!$C$6)*78.233+Inputs!$C$47*37.719))*43758.5453)))-1))))/1000)^2)</f>
        <v>402.20740578666687</v>
      </c>
      <c r="AB68" s="9">
        <f>1000*(AA69-AA67)/(Z69-Z67)*Inputs!$C$11</f>
        <v>-482.48349304526528</v>
      </c>
      <c r="AC68" s="9">
        <f>-2*AB68/Inputs!$C$13</f>
        <v>192.99339721810611</v>
      </c>
      <c r="AD68" s="9">
        <f>-2*AB68/Inputs!$C$14</f>
        <v>28.977987570286206</v>
      </c>
    </row>
    <row r="69" spans="1:30">
      <c r="A69" s="9">
        <f>Model_Data!A69</f>
        <v>-26.5</v>
      </c>
      <c r="B69" s="9">
        <f>((SQRT((Model_Data!A69)^2+Inputs!$C$6^2+Inputs!$C$5^2)-Inputs!$C$5)*1000/Inputs!$C$12)</f>
        <v>930.13263282956723</v>
      </c>
      <c r="C69" s="9">
        <f>Model_Data!F69</f>
        <v>928.32920352969882</v>
      </c>
      <c r="D69" s="9">
        <f>(((SQRT((Model_Data!A69)^2+Inputs!$C$6^2+((Model_Data!B69)-((Inputs!$C$51*(115*EXP(-(((Inputs!$C$6)-25)^2)/(4.5^2))+70*EXP(-(((Inputs!$C$6)+38)^2)/(7^2))*(0.55+0.45*SIN(2*PI()*(Model_Data!A69)/45))+24*SIN(2*PI()*(Inputs!$C$6)/9+(Model_Data!A69)/18)*EXP(-(((Inputs!$C$6)+5)^2)/(22^2))+18*SIN(2*PI()*(Model_Data!A69)/70))+Inputs!$C$28*EXP(-(((Model_Data!A69)-Inputs!$C$29)^2)/(2*Inputs!$C$31^2))*EXP(-(((Inputs!$C$6)-Inputs!$C$30)^2)/(2*Inputs!$C$32^2))+-Inputs!$C$33*EXP(-(((((Model_Data!A69)-Inputs!$C$34)^2)+(((Inputs!$C$6)-Inputs!$C$35)^2))/(2*Inputs!$C$36^2)))+Inputs!$C$37*(0.55*SIN(2*PI()*(Model_Data!A69)/Inputs!$C$39)+0.35*COS(2*PI()*(Inputs!$C$6)/Inputs!$C$40)+0.2*SIN(2*PI()*((Model_Data!A69)+(Inputs!$C$6))/(0.5*(Inputs!$C$39+Inputs!$C$40))))+Inputs!$C$38*SIN(2*PI()*(Model_Data!A69)/Inputs!$C$39)*SIN(2*PI()*(Inputs!$C$6)/Inputs!$C$40)+-Inputs!$C$41*EXP(-(((Inputs!$C$6)-Inputs!$C$43)^2)/(2*Inputs!$C$44^2))*EXP(-(((Model_Data!A69)-Inputs!$C$42)^2)/(2*Inputs!$C$45^2))+Inputs!$C$48*(0.7*(0.45*SIN(2*PI()*(((Model_Data!A69)/Inputs!$C$49)+Inputs!$C$47*0.137))+0.35*COS(2*PI()*(((Inputs!$C$6)/Inputs!$C$50)+Inputs!$C$47*0.173))+0.2*SIN(2*PI()*(((Model_Data!A69)+(Inputs!$C$6))/(0.5*(Inputs!$C$49+Inputs!$C$50))+Inputs!$C$47*0.097)))+0.3*(2*((SIN(((Model_Data!A69)*12.9898+(Inputs!$C$6)*78.233+Inputs!$C$47*37.719))*43758.5453)-INT((SIN(((Model_Data!A69)*12.9898+(Inputs!$C$6)*78.233+Inputs!$C$47*37.719))*43758.5453)))-1))))/1000)^2))-(((Model_Data!B69)-((Inputs!$C$51*(115*EXP(-(((0)-25)^2)/(4.5^2))+70*EXP(-(((0)+38)^2)/(7^2))*(0.55+0.45*SIN(2*PI()*(Model_Data!A69)/45))+24*SIN(2*PI()*(0)/9+(Model_Data!A69)/18)*EXP(-(((0)+5)^2)/(22^2))+18*SIN(2*PI()*(Model_Data!A69)/70))+Inputs!$C$28*EXP(-(((Model_Data!A69)-Inputs!$C$29)^2)/(2*Inputs!$C$31^2))*EXP(-(((0)-Inputs!$C$30)^2)/(2*Inputs!$C$32^2))+-Inputs!$C$33*EXP(-(((((Model_Data!A69)-Inputs!$C$34)^2)+(((0)-Inputs!$C$35)^2))/(2*Inputs!$C$36^2)))+Inputs!$C$37*(0.55*SIN(2*PI()*(Model_Data!A69)/Inputs!$C$39)+0.35*COS(2*PI()*(0)/Inputs!$C$40)+0.2*SIN(2*PI()*((Model_Data!A69)+(0))/(0.5*(Inputs!$C$39+Inputs!$C$40))))+Inputs!$C$38*SIN(2*PI()*(Model_Data!A69)/Inputs!$C$39)*SIN(2*PI()*(0)/Inputs!$C$40)+-Inputs!$C$41*EXP(-(((0)-Inputs!$C$43)^2)/(2*Inputs!$C$44^2))*EXP(-(((Model_Data!A69)-Inputs!$C$42)^2)/(2*Inputs!$C$45^2))+Inputs!$C$48*(0.7*(0.45*SIN(2*PI()*(((Model_Data!A69)/Inputs!$C$49)+Inputs!$C$47*0.137))+0.35*COS(2*PI()*(((0)/Inputs!$C$50)+Inputs!$C$47*0.173))+0.2*SIN(2*PI()*(((Model_Data!A69)+(0))/(0.5*(Inputs!$C$49+Inputs!$C$50))+Inputs!$C$47*0.097)))+0.3*(2*((SIN(((Model_Data!A69)*12.9898+(0)*78.233+Inputs!$C$47*37.719))*43758.5453)-INT((SIN(((Model_Data!A69)*12.9898+(0)*78.233+Inputs!$C$47*37.719))*43758.5453)))-1))))/1000)))*1000/Inputs!$C$12)</f>
        <v>721.87680304163803</v>
      </c>
      <c r="E69" s="9">
        <f>Model_Data!A69</f>
        <v>-26.5</v>
      </c>
      <c r="F69" s="9">
        <f>(Inputs!$C$51*(115*EXP(-(((Inputs!$C$6)-25)^2)/(4.5^2))+70*EXP(-(((Inputs!$C$6)+38)^2)/(7^2))*(0.55+0.45*SIN(2*PI()*(Model_Data!A69)/45))+24*SIN(2*PI()*(Inputs!$C$6)/9+(Model_Data!A69)/18)*EXP(-(((Inputs!$C$6)+5)^2)/(22^2))+18*SIN(2*PI()*(Model_Data!A69)/70))+Inputs!$C$28*EXP(-(((Model_Data!A69)-Inputs!$C$29)^2)/(2*Inputs!$C$31^2))*EXP(-(((Inputs!$C$6)-Inputs!$C$30)^2)/(2*Inputs!$C$32^2))+-Inputs!$C$33*EXP(-(((((Model_Data!A69)-Inputs!$C$34)^2)+(((Inputs!$C$6)-Inputs!$C$35)^2))/(2*Inputs!$C$36^2)))+Inputs!$C$37*(0.55*SIN(2*PI()*(Model_Data!A69)/Inputs!$C$39)+0.35*COS(2*PI()*(Inputs!$C$6)/Inputs!$C$40)+0.2*SIN(2*PI()*((Model_Data!A69)+(Inputs!$C$6))/(0.5*(Inputs!$C$39+Inputs!$C$40))))+Inputs!$C$38*SIN(2*PI()*(Model_Data!A69)/Inputs!$C$39)*SIN(2*PI()*(Inputs!$C$6)/Inputs!$C$40)+-Inputs!$C$41*EXP(-(((Inputs!$C$6)-Inputs!$C$43)^2)/(2*Inputs!$C$44^2))*EXP(-(((Model_Data!A69)-Inputs!$C$42)^2)/(2*Inputs!$C$45^2))+Inputs!$C$48*(0.7*(0.45*SIN(2*PI()*(((Model_Data!A69)/Inputs!$C$49)+Inputs!$C$47*0.137))+0.35*COS(2*PI()*(((Inputs!$C$6)/Inputs!$C$50)+Inputs!$C$47*0.173))+0.2*SIN(2*PI()*(((Model_Data!A69)+(Inputs!$C$6))/(0.5*(Inputs!$C$49+Inputs!$C$50))+Inputs!$C$47*0.097)))+0.3*(2*((SIN(((Model_Data!A69)*12.9898+(Inputs!$C$6)*78.233+Inputs!$C$47*37.719))*43758.5453)-INT((SIN(((Model_Data!A69)*12.9898+(Inputs!$C$6)*78.233+Inputs!$C$47*37.719))*43758.5453)))-1)))</f>
        <v>290.55977847511139</v>
      </c>
      <c r="G69" s="9">
        <f>(Inputs!$C$51*(115*EXP(-(((0)-25)^2)/(4.5^2))+70*EXP(-(((0)+38)^2)/(7^2))*(0.55+0.45*SIN(2*PI()*(Model_Data!A69)/45))+24*SIN(2*PI()*(0)/9+(Model_Data!A69)/18)*EXP(-(((0)+5)^2)/(22^2))+18*SIN(2*PI()*(Model_Data!A69)/70))+Inputs!$C$28*EXP(-(((Model_Data!A69)-Inputs!$C$29)^2)/(2*Inputs!$C$31^2))*EXP(-(((0)-Inputs!$C$30)^2)/(2*Inputs!$C$32^2))+-Inputs!$C$33*EXP(-(((((Model_Data!A69)-Inputs!$C$34)^2)+(((0)-Inputs!$C$35)^2))/(2*Inputs!$C$36^2)))+Inputs!$C$37*(0.55*SIN(2*PI()*(Model_Data!A69)/Inputs!$C$39)+0.35*COS(2*PI()*(0)/Inputs!$C$40)+0.2*SIN(2*PI()*((Model_Data!A69)+(0))/(0.5*(Inputs!$C$39+Inputs!$C$40))))+Inputs!$C$38*SIN(2*PI()*(Model_Data!A69)/Inputs!$C$39)*SIN(2*PI()*(0)/Inputs!$C$40)+-Inputs!$C$41*EXP(-(((0)-Inputs!$C$43)^2)/(2*Inputs!$C$44^2))*EXP(-(((Model_Data!A69)-Inputs!$C$42)^2)/(2*Inputs!$C$45^2))+Inputs!$C$48*(0.7*(0.45*SIN(2*PI()*(((Model_Data!A69)/Inputs!$C$49)+Inputs!$C$47*0.137))+0.35*COS(2*PI()*(((0)/Inputs!$C$50)+Inputs!$C$47*0.173))+0.2*SIN(2*PI()*(((Model_Data!A69)+(0))/(0.5*(Inputs!$C$49+Inputs!$C$50))+Inputs!$C$47*0.097)))+0.3*(2*((SIN(((Model_Data!A69)*12.9898+(0)*78.233+Inputs!$C$47*37.719))*43758.5453)-INT((SIN(((Model_Data!A69)*12.9898+(0)*78.233+Inputs!$C$47*37.719))*43758.5453)))-1)))</f>
        <v>-78.119420028637307</v>
      </c>
      <c r="H69" s="10"/>
      <c r="I69" s="9">
        <f>Model_Data!A69</f>
        <v>-26.5</v>
      </c>
      <c r="J69" s="9">
        <f>(Inputs!$C$51*(115*EXP(-(((Inputs!$C$6)-25)^2)/(4.5^2))+70*EXP(-(((Inputs!$C$6)+38)^2)/(7^2))*(0.55+0.45*SIN(2*PI()*(Model_Data!A69)/45))+24*SIN(2*PI()*(Inputs!$C$6)/9+(Model_Data!A69)/18)*EXP(-(((Inputs!$C$6)+5)^2)/(22^2))+18*SIN(2*PI()*(Model_Data!A69)/70))+Inputs!$C$28*EXP(-(((Model_Data!A69)-Inputs!$C$29)^2)/(2*Inputs!$C$31^2))*EXP(-(((Inputs!$C$6)-Inputs!$C$30)^2)/(2*Inputs!$C$32^2))+-Inputs!$C$33*EXP(-(((((Model_Data!A69)-Inputs!$C$34)^2)+(((Inputs!$C$6)-Inputs!$C$35)^2))/(2*Inputs!$C$36^2)))+Inputs!$C$37*(0.55*SIN(2*PI()*(Model_Data!A69)/Inputs!$C$39)+0.35*COS(2*PI()*(Inputs!$C$6)/Inputs!$C$40)+0.2*SIN(2*PI()*((Model_Data!A69)+(Inputs!$C$6))/(0.5*(Inputs!$C$39+Inputs!$C$40))))+Inputs!$C$38*SIN(2*PI()*(Model_Data!A69)/Inputs!$C$39)*SIN(2*PI()*(Inputs!$C$6)/Inputs!$C$40)+-Inputs!$C$41*EXP(-(((Inputs!$C$6)-Inputs!$C$43)^2)/(2*Inputs!$C$44^2))*EXP(-(((Model_Data!A69)-Inputs!$C$42)^2)/(2*Inputs!$C$45^2))+Inputs!$C$48*(0.7*(0.45*SIN(2*PI()*(((Model_Data!A69)/Inputs!$C$49)+Inputs!$C$47*0.137))+0.35*COS(2*PI()*(((Inputs!$C$6)/Inputs!$C$50)+Inputs!$C$47*0.173))+0.2*SIN(2*PI()*(((Model_Data!A69)+(Inputs!$C$6))/(0.5*(Inputs!$C$49+Inputs!$C$50))+Inputs!$C$47*0.097)))+0.3*(2*((SIN(((Model_Data!A69)*12.9898+(Inputs!$C$6)*78.233+Inputs!$C$47*37.719))*43758.5453)-INT((SIN(((Model_Data!A69)*12.9898+(Inputs!$C$6)*78.233+Inputs!$C$47*37.719))*43758.5453)))-1)))</f>
        <v>290.55977847511139</v>
      </c>
      <c r="K69" s="9">
        <f>-((((SQRT((Model_Data!A69)^2+Inputs!$C$6^2+((Model_Data!B69)-((Inputs!$C$51*(115*EXP(-(((Inputs!$C$6)-25)^2)/(4.5^2))+70*EXP(-(((Inputs!$C$6)+38)^2)/(7^2))*(0.55+0.45*SIN(2*PI()*(Model_Data!A69)/45))+24*SIN(2*PI()*(Inputs!$C$6)/9+(Model_Data!A69)/18)*EXP(-(((Inputs!$C$6)+5)^2)/(22^2))+18*SIN(2*PI()*(Model_Data!A69)/70))+Inputs!$C$28*EXP(-(((Model_Data!A69)-Inputs!$C$29)^2)/(2*Inputs!$C$31^2))*EXP(-(((Inputs!$C$6)-Inputs!$C$30)^2)/(2*Inputs!$C$32^2))+-Inputs!$C$33*EXP(-(((((Model_Data!A69)-Inputs!$C$34)^2)+(((Inputs!$C$6)-Inputs!$C$35)^2))/(2*Inputs!$C$36^2)))+Inputs!$C$37*(0.55*SIN(2*PI()*(Model_Data!A69)/Inputs!$C$39)+0.35*COS(2*PI()*(Inputs!$C$6)/Inputs!$C$40)+0.2*SIN(2*PI()*((Model_Data!A69)+(Inputs!$C$6))/(0.5*(Inputs!$C$39+Inputs!$C$40))))+Inputs!$C$38*SIN(2*PI()*(Model_Data!A69)/Inputs!$C$39)*SIN(2*PI()*(Inputs!$C$6)/Inputs!$C$40)+-Inputs!$C$41*EXP(-(((Inputs!$C$6)-Inputs!$C$43)^2)/(2*Inputs!$C$44^2))*EXP(-(((Model_Data!A69)-Inputs!$C$42)^2)/(2*Inputs!$C$45^2))+Inputs!$C$48*(0.7*(0.45*SIN(2*PI()*(((Model_Data!A69)/Inputs!$C$49)+Inputs!$C$47*0.137))+0.35*COS(2*PI()*(((Inputs!$C$6)/Inputs!$C$50)+Inputs!$C$47*0.173))+0.2*SIN(2*PI()*(((Model_Data!A69)+(Inputs!$C$6))/(0.5*(Inputs!$C$49+Inputs!$C$50))+Inputs!$C$47*0.097)))+0.3*(2*((SIN(((Model_Data!A69)*12.9898+(Inputs!$C$6)*78.233+Inputs!$C$47*37.719))*43758.5453)-INT((SIN(((Model_Data!A69)*12.9898+(Inputs!$C$6)*78.233+Inputs!$C$47*37.719))*43758.5453)))-1))))/1000)^2))-(((Model_Data!B69)-((Inputs!$C$51*(115*EXP(-(((0)-25)^2)/(4.5^2))+70*EXP(-(((0)+38)^2)/(7^2))*(0.55+0.45*SIN(2*PI()*(Model_Data!A69)/45))+24*SIN(2*PI()*(0)/9+(Model_Data!A69)/18)*EXP(-(((0)+5)^2)/(22^2))+18*SIN(2*PI()*(Model_Data!A69)/70))+Inputs!$C$28*EXP(-(((Model_Data!A69)-Inputs!$C$29)^2)/(2*Inputs!$C$31^2))*EXP(-(((0)-Inputs!$C$30)^2)/(2*Inputs!$C$32^2))+-Inputs!$C$33*EXP(-(((((Model_Data!A69)-Inputs!$C$34)^2)+(((0)-Inputs!$C$35)^2))/(2*Inputs!$C$36^2)))+Inputs!$C$37*(0.55*SIN(2*PI()*(Model_Data!A69)/Inputs!$C$39)+0.35*COS(2*PI()*(0)/Inputs!$C$40)+0.2*SIN(2*PI()*((Model_Data!A69)+(0))/(0.5*(Inputs!$C$39+Inputs!$C$40))))+Inputs!$C$38*SIN(2*PI()*(Model_Data!A69)/Inputs!$C$39)*SIN(2*PI()*(0)/Inputs!$C$40)+-Inputs!$C$41*EXP(-(((0)-Inputs!$C$43)^2)/(2*Inputs!$C$44^2))*EXP(-(((Model_Data!A69)-Inputs!$C$42)^2)/(2*Inputs!$C$45^2))+Inputs!$C$48*(0.7*(0.45*SIN(2*PI()*(((Model_Data!A69)/Inputs!$C$49)+Inputs!$C$47*0.137))+0.35*COS(2*PI()*(((0)/Inputs!$C$50)+Inputs!$C$47*0.173))+0.2*SIN(2*PI()*(((Model_Data!A69)+(0))/(0.5*(Inputs!$C$49+Inputs!$C$50))+Inputs!$C$47*0.097)))+0.3*(2*((SIN(((Model_Data!A69)*12.9898+(0)*78.233+Inputs!$C$47*37.719))*43758.5453)-INT((SIN(((Model_Data!A69)*12.9898+(0)*78.233+Inputs!$C$47*37.719))*43758.5453)))-1))))/1000)))*1000/Inputs!$C$12)-Model_Data!F69)</f>
        <v>206.45240048806079</v>
      </c>
      <c r="L69" s="10"/>
      <c r="M69" s="9">
        <f>Model_Data!A69</f>
        <v>-26.5</v>
      </c>
      <c r="N69" s="9">
        <f>Model_Data!P69</f>
        <v>199.1945675539738</v>
      </c>
      <c r="O69" s="9">
        <f t="shared" si="2"/>
        <v>171.22482067206874</v>
      </c>
      <c r="P69" s="9">
        <f>Model_Data!Q69</f>
        <v>29.909094227323397</v>
      </c>
      <c r="Q69" s="9">
        <f t="shared" si="3"/>
        <v>25.709432533343659</v>
      </c>
      <c r="R69" s="10"/>
      <c r="S69" s="9">
        <f>Model_Data!A69</f>
        <v>-26.5</v>
      </c>
      <c r="T69" s="9">
        <f>Model_Data!B69-Inputs!$C$5</f>
        <v>0.78027777777776919</v>
      </c>
      <c r="U69" s="10"/>
      <c r="V69" s="9">
        <f>Model_Data!A69</f>
        <v>-26.5</v>
      </c>
      <c r="W69" s="9">
        <f>((SQRT((Model_Data!A69)^2+Inputs!$C$6^2+Inputs!$C$5^2)-Inputs!$C$5)*1000/Inputs!$C$12)</f>
        <v>930.13263282956723</v>
      </c>
      <c r="X69" s="9">
        <f>Model_Data!F69</f>
        <v>928.32920352969882</v>
      </c>
      <c r="Y69" s="10"/>
      <c r="Z69" s="9">
        <f>Model_Data!A69</f>
        <v>-26.5</v>
      </c>
      <c r="AA69" s="9">
        <f>SQRT((Model_Data!A69)^2+Inputs!$C$6^2+((Model_Data!B69)-((Inputs!$C$51*(115*EXP(-(((Inputs!$C$6)-25)^2)/(4.5^2))+70*EXP(-(((Inputs!$C$6)+38)^2)/(7^2))*(0.55+0.45*SIN(2*PI()*(Model_Data!A69)/45))+24*SIN(2*PI()*(Inputs!$C$6)/9+(Model_Data!A69)/18)*EXP(-(((Inputs!$C$6)+5)^2)/(22^2))+18*SIN(2*PI()*(Model_Data!A69)/70))+Inputs!$C$28*EXP(-(((Model_Data!A69)-Inputs!$C$29)^2)/(2*Inputs!$C$31^2))*EXP(-(((Inputs!$C$6)-Inputs!$C$30)^2)/(2*Inputs!$C$32^2))+-Inputs!$C$33*EXP(-(((((Model_Data!A69)-Inputs!$C$34)^2)+(((Inputs!$C$6)-Inputs!$C$35)^2))/(2*Inputs!$C$36^2)))+Inputs!$C$37*(0.55*SIN(2*PI()*(Model_Data!A69)/Inputs!$C$39)+0.35*COS(2*PI()*(Inputs!$C$6)/Inputs!$C$40)+0.2*SIN(2*PI()*((Model_Data!A69)+(Inputs!$C$6))/(0.5*(Inputs!$C$39+Inputs!$C$40))))+Inputs!$C$38*SIN(2*PI()*(Model_Data!A69)/Inputs!$C$39)*SIN(2*PI()*(Inputs!$C$6)/Inputs!$C$40)+-Inputs!$C$41*EXP(-(((Inputs!$C$6)-Inputs!$C$43)^2)/(2*Inputs!$C$44^2))*EXP(-(((Model_Data!A69)-Inputs!$C$42)^2)/(2*Inputs!$C$45^2))+Inputs!$C$48*(0.7*(0.45*SIN(2*PI()*(((Model_Data!A69)/Inputs!$C$49)+Inputs!$C$47*0.137))+0.35*COS(2*PI()*(((Inputs!$C$6)/Inputs!$C$50)+Inputs!$C$47*0.173))+0.2*SIN(2*PI()*(((Model_Data!A69)+(Inputs!$C$6))/(0.5*(Inputs!$C$49+Inputs!$C$50))+Inputs!$C$47*0.097)))+0.3*(2*((SIN(((Model_Data!A69)*12.9898+(Inputs!$C$6)*78.233+Inputs!$C$47*37.719))*43758.5453)-INT((SIN(((Model_Data!A69)*12.9898+(Inputs!$C$6)*78.233+Inputs!$C$47*37.719))*43758.5453)))-1))))/1000)^2)</f>
        <v>402.14333790722054</v>
      </c>
      <c r="AB69" s="9">
        <f>1000*(AA70-AA68)/(Z70-Z68)*Inputs!$C$11</f>
        <v>-428.06205168017186</v>
      </c>
      <c r="AC69" s="9">
        <f>-2*AB69/Inputs!$C$13</f>
        <v>171.22482067206874</v>
      </c>
      <c r="AD69" s="9">
        <f>-2*AB69/Inputs!$C$14</f>
        <v>25.709432533343659</v>
      </c>
    </row>
    <row r="70" spans="1:30">
      <c r="A70" s="9">
        <f>Model_Data!A70</f>
        <v>-26</v>
      </c>
      <c r="B70" s="9">
        <f>((SQRT((Model_Data!A70)^2+Inputs!$C$6^2+Inputs!$C$5^2)-Inputs!$C$5)*1000/Inputs!$C$12)</f>
        <v>911.77388266642674</v>
      </c>
      <c r="C70" s="9">
        <f>Model_Data!F70</f>
        <v>910.07186922748394</v>
      </c>
      <c r="D70" s="9">
        <f>(((SQRT((Model_Data!A70)^2+Inputs!$C$6^2+((Model_Data!B70)-((Inputs!$C$51*(115*EXP(-(((Inputs!$C$6)-25)^2)/(4.5^2))+70*EXP(-(((Inputs!$C$6)+38)^2)/(7^2))*(0.55+0.45*SIN(2*PI()*(Model_Data!A70)/45))+24*SIN(2*PI()*(Inputs!$C$6)/9+(Model_Data!A70)/18)*EXP(-(((Inputs!$C$6)+5)^2)/(22^2))+18*SIN(2*PI()*(Model_Data!A70)/70))+Inputs!$C$28*EXP(-(((Model_Data!A70)-Inputs!$C$29)^2)/(2*Inputs!$C$31^2))*EXP(-(((Inputs!$C$6)-Inputs!$C$30)^2)/(2*Inputs!$C$32^2))+-Inputs!$C$33*EXP(-(((((Model_Data!A70)-Inputs!$C$34)^2)+(((Inputs!$C$6)-Inputs!$C$35)^2))/(2*Inputs!$C$36^2)))+Inputs!$C$37*(0.55*SIN(2*PI()*(Model_Data!A70)/Inputs!$C$39)+0.35*COS(2*PI()*(Inputs!$C$6)/Inputs!$C$40)+0.2*SIN(2*PI()*((Model_Data!A70)+(Inputs!$C$6))/(0.5*(Inputs!$C$39+Inputs!$C$40))))+Inputs!$C$38*SIN(2*PI()*(Model_Data!A70)/Inputs!$C$39)*SIN(2*PI()*(Inputs!$C$6)/Inputs!$C$40)+-Inputs!$C$41*EXP(-(((Inputs!$C$6)-Inputs!$C$43)^2)/(2*Inputs!$C$44^2))*EXP(-(((Model_Data!A70)-Inputs!$C$42)^2)/(2*Inputs!$C$45^2))+Inputs!$C$48*(0.7*(0.45*SIN(2*PI()*(((Model_Data!A70)/Inputs!$C$49)+Inputs!$C$47*0.137))+0.35*COS(2*PI()*(((Inputs!$C$6)/Inputs!$C$50)+Inputs!$C$47*0.173))+0.2*SIN(2*PI()*(((Model_Data!A70)+(Inputs!$C$6))/(0.5*(Inputs!$C$49+Inputs!$C$50))+Inputs!$C$47*0.097)))+0.3*(2*((SIN(((Model_Data!A70)*12.9898+(Inputs!$C$6)*78.233+Inputs!$C$47*37.719))*43758.5453)-INT((SIN(((Model_Data!A70)*12.9898+(Inputs!$C$6)*78.233+Inputs!$C$47*37.719))*43758.5453)))-1))))/1000)^2))-(((Model_Data!B70)-((Inputs!$C$51*(115*EXP(-(((0)-25)^2)/(4.5^2))+70*EXP(-(((0)+38)^2)/(7^2))*(0.55+0.45*SIN(2*PI()*(Model_Data!A70)/45))+24*SIN(2*PI()*(0)/9+(Model_Data!A70)/18)*EXP(-(((0)+5)^2)/(22^2))+18*SIN(2*PI()*(Model_Data!A70)/70))+Inputs!$C$28*EXP(-(((Model_Data!A70)-Inputs!$C$29)^2)/(2*Inputs!$C$31^2))*EXP(-(((0)-Inputs!$C$30)^2)/(2*Inputs!$C$32^2))+-Inputs!$C$33*EXP(-(((((Model_Data!A70)-Inputs!$C$34)^2)+(((0)-Inputs!$C$35)^2))/(2*Inputs!$C$36^2)))+Inputs!$C$37*(0.55*SIN(2*PI()*(Model_Data!A70)/Inputs!$C$39)+0.35*COS(2*PI()*(0)/Inputs!$C$40)+0.2*SIN(2*PI()*((Model_Data!A70)+(0))/(0.5*(Inputs!$C$39+Inputs!$C$40))))+Inputs!$C$38*SIN(2*PI()*(Model_Data!A70)/Inputs!$C$39)*SIN(2*PI()*(0)/Inputs!$C$40)+-Inputs!$C$41*EXP(-(((0)-Inputs!$C$43)^2)/(2*Inputs!$C$44^2))*EXP(-(((Model_Data!A70)-Inputs!$C$42)^2)/(2*Inputs!$C$45^2))+Inputs!$C$48*(0.7*(0.45*SIN(2*PI()*(((Model_Data!A70)/Inputs!$C$49)+Inputs!$C$47*0.137))+0.35*COS(2*PI()*(((0)/Inputs!$C$50)+Inputs!$C$47*0.173))+0.2*SIN(2*PI()*(((Model_Data!A70)+(0))/(0.5*(Inputs!$C$49+Inputs!$C$50))+Inputs!$C$47*0.097)))+0.3*(2*((SIN(((Model_Data!A70)*12.9898+(0)*78.233+Inputs!$C$47*37.719))*43758.5453)-INT((SIN(((Model_Data!A70)*12.9898+(0)*78.233+Inputs!$C$47*37.719))*43758.5453)))-1))))/1000)))*1000/Inputs!$C$12)</f>
        <v>711.85711697521936</v>
      </c>
      <c r="E70" s="9">
        <f>Model_Data!A70</f>
        <v>-26</v>
      </c>
      <c r="F70" s="9">
        <f>(Inputs!$C$51*(115*EXP(-(((Inputs!$C$6)-25)^2)/(4.5^2))+70*EXP(-(((Inputs!$C$6)+38)^2)/(7^2))*(0.55+0.45*SIN(2*PI()*(Model_Data!A70)/45))+24*SIN(2*PI()*(Inputs!$C$6)/9+(Model_Data!A70)/18)*EXP(-(((Inputs!$C$6)+5)^2)/(22^2))+18*SIN(2*PI()*(Model_Data!A70)/70))+Inputs!$C$28*EXP(-(((Model_Data!A70)-Inputs!$C$29)^2)/(2*Inputs!$C$31^2))*EXP(-(((Inputs!$C$6)-Inputs!$C$30)^2)/(2*Inputs!$C$32^2))+-Inputs!$C$33*EXP(-(((((Model_Data!A70)-Inputs!$C$34)^2)+(((Inputs!$C$6)-Inputs!$C$35)^2))/(2*Inputs!$C$36^2)))+Inputs!$C$37*(0.55*SIN(2*PI()*(Model_Data!A70)/Inputs!$C$39)+0.35*COS(2*PI()*(Inputs!$C$6)/Inputs!$C$40)+0.2*SIN(2*PI()*((Model_Data!A70)+(Inputs!$C$6))/(0.5*(Inputs!$C$39+Inputs!$C$40))))+Inputs!$C$38*SIN(2*PI()*(Model_Data!A70)/Inputs!$C$39)*SIN(2*PI()*(Inputs!$C$6)/Inputs!$C$40)+-Inputs!$C$41*EXP(-(((Inputs!$C$6)-Inputs!$C$43)^2)/(2*Inputs!$C$44^2))*EXP(-(((Model_Data!A70)-Inputs!$C$42)^2)/(2*Inputs!$C$45^2))+Inputs!$C$48*(0.7*(0.45*SIN(2*PI()*(((Model_Data!A70)/Inputs!$C$49)+Inputs!$C$47*0.137))+0.35*COS(2*PI()*(((Inputs!$C$6)/Inputs!$C$50)+Inputs!$C$47*0.173))+0.2*SIN(2*PI()*(((Model_Data!A70)+(Inputs!$C$6))/(0.5*(Inputs!$C$49+Inputs!$C$50))+Inputs!$C$47*0.097)))+0.3*(2*((SIN(((Model_Data!A70)*12.9898+(Inputs!$C$6)*78.233+Inputs!$C$47*37.719))*43758.5453)-INT((SIN(((Model_Data!A70)*12.9898+(Inputs!$C$6)*78.233+Inputs!$C$47*37.719))*43758.5453)))-1)))</f>
        <v>271.74352983421755</v>
      </c>
      <c r="G70" s="9">
        <f>(Inputs!$C$51*(115*EXP(-(((0)-25)^2)/(4.5^2))+70*EXP(-(((0)+38)^2)/(7^2))*(0.55+0.45*SIN(2*PI()*(Model_Data!A70)/45))+24*SIN(2*PI()*(0)/9+(Model_Data!A70)/18)*EXP(-(((0)+5)^2)/(22^2))+18*SIN(2*PI()*(Model_Data!A70)/70))+Inputs!$C$28*EXP(-(((Model_Data!A70)-Inputs!$C$29)^2)/(2*Inputs!$C$31^2))*EXP(-(((0)-Inputs!$C$30)^2)/(2*Inputs!$C$32^2))+-Inputs!$C$33*EXP(-(((((Model_Data!A70)-Inputs!$C$34)^2)+(((0)-Inputs!$C$35)^2))/(2*Inputs!$C$36^2)))+Inputs!$C$37*(0.55*SIN(2*PI()*(Model_Data!A70)/Inputs!$C$39)+0.35*COS(2*PI()*(0)/Inputs!$C$40)+0.2*SIN(2*PI()*((Model_Data!A70)+(0))/(0.5*(Inputs!$C$39+Inputs!$C$40))))+Inputs!$C$38*SIN(2*PI()*(Model_Data!A70)/Inputs!$C$39)*SIN(2*PI()*(0)/Inputs!$C$40)+-Inputs!$C$41*EXP(-(((0)-Inputs!$C$43)^2)/(2*Inputs!$C$44^2))*EXP(-(((Model_Data!A70)-Inputs!$C$42)^2)/(2*Inputs!$C$45^2))+Inputs!$C$48*(0.7*(0.45*SIN(2*PI()*(((Model_Data!A70)/Inputs!$C$49)+Inputs!$C$47*0.137))+0.35*COS(2*PI()*(((0)/Inputs!$C$50)+Inputs!$C$47*0.173))+0.2*SIN(2*PI()*(((Model_Data!A70)+(0))/(0.5*(Inputs!$C$49+Inputs!$C$50))+Inputs!$C$47*0.097)))+0.3*(2*((SIN(((Model_Data!A70)*12.9898+(0)*78.233+Inputs!$C$47*37.719))*43758.5453)-INT((SIN(((Model_Data!A70)*12.9898+(0)*78.233+Inputs!$C$47*37.719))*43758.5453)))-1)))</f>
        <v>-82.173494419788938</v>
      </c>
      <c r="H70" s="10"/>
      <c r="I70" s="9">
        <f>Model_Data!A70</f>
        <v>-26</v>
      </c>
      <c r="J70" s="9">
        <f>(Inputs!$C$51*(115*EXP(-(((Inputs!$C$6)-25)^2)/(4.5^2))+70*EXP(-(((Inputs!$C$6)+38)^2)/(7^2))*(0.55+0.45*SIN(2*PI()*(Model_Data!A70)/45))+24*SIN(2*PI()*(Inputs!$C$6)/9+(Model_Data!A70)/18)*EXP(-(((Inputs!$C$6)+5)^2)/(22^2))+18*SIN(2*PI()*(Model_Data!A70)/70))+Inputs!$C$28*EXP(-(((Model_Data!A70)-Inputs!$C$29)^2)/(2*Inputs!$C$31^2))*EXP(-(((Inputs!$C$6)-Inputs!$C$30)^2)/(2*Inputs!$C$32^2))+-Inputs!$C$33*EXP(-(((((Model_Data!A70)-Inputs!$C$34)^2)+(((Inputs!$C$6)-Inputs!$C$35)^2))/(2*Inputs!$C$36^2)))+Inputs!$C$37*(0.55*SIN(2*PI()*(Model_Data!A70)/Inputs!$C$39)+0.35*COS(2*PI()*(Inputs!$C$6)/Inputs!$C$40)+0.2*SIN(2*PI()*((Model_Data!A70)+(Inputs!$C$6))/(0.5*(Inputs!$C$39+Inputs!$C$40))))+Inputs!$C$38*SIN(2*PI()*(Model_Data!A70)/Inputs!$C$39)*SIN(2*PI()*(Inputs!$C$6)/Inputs!$C$40)+-Inputs!$C$41*EXP(-(((Inputs!$C$6)-Inputs!$C$43)^2)/(2*Inputs!$C$44^2))*EXP(-(((Model_Data!A70)-Inputs!$C$42)^2)/(2*Inputs!$C$45^2))+Inputs!$C$48*(0.7*(0.45*SIN(2*PI()*(((Model_Data!A70)/Inputs!$C$49)+Inputs!$C$47*0.137))+0.35*COS(2*PI()*(((Inputs!$C$6)/Inputs!$C$50)+Inputs!$C$47*0.173))+0.2*SIN(2*PI()*(((Model_Data!A70)+(Inputs!$C$6))/(0.5*(Inputs!$C$49+Inputs!$C$50))+Inputs!$C$47*0.097)))+0.3*(2*((SIN(((Model_Data!A70)*12.9898+(Inputs!$C$6)*78.233+Inputs!$C$47*37.719))*43758.5453)-INT((SIN(((Model_Data!A70)*12.9898+(Inputs!$C$6)*78.233+Inputs!$C$47*37.719))*43758.5453)))-1)))</f>
        <v>271.74352983421755</v>
      </c>
      <c r="K70" s="9">
        <f>-((((SQRT((Model_Data!A70)^2+Inputs!$C$6^2+((Model_Data!B70)-((Inputs!$C$51*(115*EXP(-(((Inputs!$C$6)-25)^2)/(4.5^2))+70*EXP(-(((Inputs!$C$6)+38)^2)/(7^2))*(0.55+0.45*SIN(2*PI()*(Model_Data!A70)/45))+24*SIN(2*PI()*(Inputs!$C$6)/9+(Model_Data!A70)/18)*EXP(-(((Inputs!$C$6)+5)^2)/(22^2))+18*SIN(2*PI()*(Model_Data!A70)/70))+Inputs!$C$28*EXP(-(((Model_Data!A70)-Inputs!$C$29)^2)/(2*Inputs!$C$31^2))*EXP(-(((Inputs!$C$6)-Inputs!$C$30)^2)/(2*Inputs!$C$32^2))+-Inputs!$C$33*EXP(-(((((Model_Data!A70)-Inputs!$C$34)^2)+(((Inputs!$C$6)-Inputs!$C$35)^2))/(2*Inputs!$C$36^2)))+Inputs!$C$37*(0.55*SIN(2*PI()*(Model_Data!A70)/Inputs!$C$39)+0.35*COS(2*PI()*(Inputs!$C$6)/Inputs!$C$40)+0.2*SIN(2*PI()*((Model_Data!A70)+(Inputs!$C$6))/(0.5*(Inputs!$C$39+Inputs!$C$40))))+Inputs!$C$38*SIN(2*PI()*(Model_Data!A70)/Inputs!$C$39)*SIN(2*PI()*(Inputs!$C$6)/Inputs!$C$40)+-Inputs!$C$41*EXP(-(((Inputs!$C$6)-Inputs!$C$43)^2)/(2*Inputs!$C$44^2))*EXP(-(((Model_Data!A70)-Inputs!$C$42)^2)/(2*Inputs!$C$45^2))+Inputs!$C$48*(0.7*(0.45*SIN(2*PI()*(((Model_Data!A70)/Inputs!$C$49)+Inputs!$C$47*0.137))+0.35*COS(2*PI()*(((Inputs!$C$6)/Inputs!$C$50)+Inputs!$C$47*0.173))+0.2*SIN(2*PI()*(((Model_Data!A70)+(Inputs!$C$6))/(0.5*(Inputs!$C$49+Inputs!$C$50))+Inputs!$C$47*0.097)))+0.3*(2*((SIN(((Model_Data!A70)*12.9898+(Inputs!$C$6)*78.233+Inputs!$C$47*37.719))*43758.5453)-INT((SIN(((Model_Data!A70)*12.9898+(Inputs!$C$6)*78.233+Inputs!$C$47*37.719))*43758.5453)))-1))))/1000)^2))-(((Model_Data!B70)-((Inputs!$C$51*(115*EXP(-(((0)-25)^2)/(4.5^2))+70*EXP(-(((0)+38)^2)/(7^2))*(0.55+0.45*SIN(2*PI()*(Model_Data!A70)/45))+24*SIN(2*PI()*(0)/9+(Model_Data!A70)/18)*EXP(-(((0)+5)^2)/(22^2))+18*SIN(2*PI()*(Model_Data!A70)/70))+Inputs!$C$28*EXP(-(((Model_Data!A70)-Inputs!$C$29)^2)/(2*Inputs!$C$31^2))*EXP(-(((0)-Inputs!$C$30)^2)/(2*Inputs!$C$32^2))+-Inputs!$C$33*EXP(-(((((Model_Data!A70)-Inputs!$C$34)^2)+(((0)-Inputs!$C$35)^2))/(2*Inputs!$C$36^2)))+Inputs!$C$37*(0.55*SIN(2*PI()*(Model_Data!A70)/Inputs!$C$39)+0.35*COS(2*PI()*(0)/Inputs!$C$40)+0.2*SIN(2*PI()*((Model_Data!A70)+(0))/(0.5*(Inputs!$C$39+Inputs!$C$40))))+Inputs!$C$38*SIN(2*PI()*(Model_Data!A70)/Inputs!$C$39)*SIN(2*PI()*(0)/Inputs!$C$40)+-Inputs!$C$41*EXP(-(((0)-Inputs!$C$43)^2)/(2*Inputs!$C$44^2))*EXP(-(((Model_Data!A70)-Inputs!$C$42)^2)/(2*Inputs!$C$45^2))+Inputs!$C$48*(0.7*(0.45*SIN(2*PI()*(((Model_Data!A70)/Inputs!$C$49)+Inputs!$C$47*0.137))+0.35*COS(2*PI()*(((0)/Inputs!$C$50)+Inputs!$C$47*0.173))+0.2*SIN(2*PI()*(((Model_Data!A70)+(0))/(0.5*(Inputs!$C$49+Inputs!$C$50))+Inputs!$C$47*0.097)))+0.3*(2*((SIN(((Model_Data!A70)*12.9898+(0)*78.233+Inputs!$C$47*37.719))*43758.5453)-INT((SIN(((Model_Data!A70)*12.9898+(0)*78.233+Inputs!$C$47*37.719))*43758.5453)))-1))))/1000)))*1000/Inputs!$C$12)-Model_Data!F70)</f>
        <v>198.21475225226459</v>
      </c>
      <c r="L70" s="10"/>
      <c r="M70" s="9">
        <f>Model_Data!A70</f>
        <v>-26</v>
      </c>
      <c r="N70" s="9">
        <f>Model_Data!P70</f>
        <v>195.45942972219569</v>
      </c>
      <c r="O70" s="9">
        <f t="shared" si="2"/>
        <v>165.51300571591128</v>
      </c>
      <c r="P70" s="9">
        <f>Model_Data!Q70</f>
        <v>29.348262721050407</v>
      </c>
      <c r="Q70" s="9">
        <f t="shared" si="3"/>
        <v>24.85180266004674</v>
      </c>
      <c r="R70" s="10"/>
      <c r="S70" s="9">
        <f>Model_Data!A70</f>
        <v>-26</v>
      </c>
      <c r="T70" s="9">
        <f>Model_Data!B70-Inputs!$C$5</f>
        <v>0.75111111111112905</v>
      </c>
      <c r="U70" s="10"/>
      <c r="V70" s="9">
        <f>Model_Data!A70</f>
        <v>-26</v>
      </c>
      <c r="W70" s="9">
        <f>((SQRT((Model_Data!A70)^2+Inputs!$C$6^2+Inputs!$C$5^2)-Inputs!$C$5)*1000/Inputs!$C$12)</f>
        <v>911.77388266642674</v>
      </c>
      <c r="X70" s="9">
        <f>Model_Data!F70</f>
        <v>910.07186922748394</v>
      </c>
      <c r="Y70" s="10"/>
      <c r="Z70" s="9">
        <f>Model_Data!A70</f>
        <v>-26</v>
      </c>
      <c r="AA70" s="9">
        <f>SQRT((Model_Data!A70)^2+Inputs!$C$6^2+((Model_Data!B70)-((Inputs!$C$51*(115*EXP(-(((Inputs!$C$6)-25)^2)/(4.5^2))+70*EXP(-(((Inputs!$C$6)+38)^2)/(7^2))*(0.55+0.45*SIN(2*PI()*(Model_Data!A70)/45))+24*SIN(2*PI()*(Inputs!$C$6)/9+(Model_Data!A70)/18)*EXP(-(((Inputs!$C$6)+5)^2)/(22^2))+18*SIN(2*PI()*(Model_Data!A70)/70))+Inputs!$C$28*EXP(-(((Model_Data!A70)-Inputs!$C$29)^2)/(2*Inputs!$C$31^2))*EXP(-(((Inputs!$C$6)-Inputs!$C$30)^2)/(2*Inputs!$C$32^2))+-Inputs!$C$33*EXP(-(((((Model_Data!A70)-Inputs!$C$34)^2)+(((Inputs!$C$6)-Inputs!$C$35)^2))/(2*Inputs!$C$36^2)))+Inputs!$C$37*(0.55*SIN(2*PI()*(Model_Data!A70)/Inputs!$C$39)+0.35*COS(2*PI()*(Inputs!$C$6)/Inputs!$C$40)+0.2*SIN(2*PI()*((Model_Data!A70)+(Inputs!$C$6))/(0.5*(Inputs!$C$39+Inputs!$C$40))))+Inputs!$C$38*SIN(2*PI()*(Model_Data!A70)/Inputs!$C$39)*SIN(2*PI()*(Inputs!$C$6)/Inputs!$C$40)+-Inputs!$C$41*EXP(-(((Inputs!$C$6)-Inputs!$C$43)^2)/(2*Inputs!$C$44^2))*EXP(-(((Model_Data!A70)-Inputs!$C$42)^2)/(2*Inputs!$C$45^2))+Inputs!$C$48*(0.7*(0.45*SIN(2*PI()*(((Model_Data!A70)/Inputs!$C$49)+Inputs!$C$47*0.137))+0.35*COS(2*PI()*(((Inputs!$C$6)/Inputs!$C$50)+Inputs!$C$47*0.173))+0.2*SIN(2*PI()*(((Model_Data!A70)+(Inputs!$C$6))/(0.5*(Inputs!$C$49+Inputs!$C$50))+Inputs!$C$47*0.097)))+0.3*(2*((SIN(((Model_Data!A70)*12.9898+(Inputs!$C$6)*78.233+Inputs!$C$47*37.719))*43758.5453)-INT((SIN(((Model_Data!A70)*12.9898+(Inputs!$C$6)*78.233+Inputs!$C$47*37.719))*43758.5453)))-1))))/1000)^2)</f>
        <v>402.10039027374683</v>
      </c>
      <c r="AB70" s="9">
        <f>1000*(AA71-AA69)/(Z71-Z69)*Inputs!$C$11</f>
        <v>-413.78251428977819</v>
      </c>
      <c r="AC70" s="9">
        <f>-2*AB70/Inputs!$C$13</f>
        <v>165.51300571591128</v>
      </c>
      <c r="AD70" s="9">
        <f>-2*AB70/Inputs!$C$14</f>
        <v>24.85180266004674</v>
      </c>
    </row>
    <row r="71" spans="1:30">
      <c r="A71" s="9">
        <f>Model_Data!A71</f>
        <v>-25.5</v>
      </c>
      <c r="B71" s="9">
        <f>((SQRT((Model_Data!A71)^2+Inputs!$C$6^2+Inputs!$C$5^2)-Inputs!$C$5)*1000/Inputs!$C$12)</f>
        <v>893.76337149168944</v>
      </c>
      <c r="C71" s="9">
        <f>Model_Data!F71</f>
        <v>892.1582886614168</v>
      </c>
      <c r="D71" s="9">
        <f>(((SQRT((Model_Data!A71)^2+Inputs!$C$6^2+((Model_Data!B71)-((Inputs!$C$51*(115*EXP(-(((Inputs!$C$6)-25)^2)/(4.5^2))+70*EXP(-(((Inputs!$C$6)+38)^2)/(7^2))*(0.55+0.45*SIN(2*PI()*(Model_Data!A71)/45))+24*SIN(2*PI()*(Inputs!$C$6)/9+(Model_Data!A71)/18)*EXP(-(((Inputs!$C$6)+5)^2)/(22^2))+18*SIN(2*PI()*(Model_Data!A71)/70))+Inputs!$C$28*EXP(-(((Model_Data!A71)-Inputs!$C$29)^2)/(2*Inputs!$C$31^2))*EXP(-(((Inputs!$C$6)-Inputs!$C$30)^2)/(2*Inputs!$C$32^2))+-Inputs!$C$33*EXP(-(((((Model_Data!A71)-Inputs!$C$34)^2)+(((Inputs!$C$6)-Inputs!$C$35)^2))/(2*Inputs!$C$36^2)))+Inputs!$C$37*(0.55*SIN(2*PI()*(Model_Data!A71)/Inputs!$C$39)+0.35*COS(2*PI()*(Inputs!$C$6)/Inputs!$C$40)+0.2*SIN(2*PI()*((Model_Data!A71)+(Inputs!$C$6))/(0.5*(Inputs!$C$39+Inputs!$C$40))))+Inputs!$C$38*SIN(2*PI()*(Model_Data!A71)/Inputs!$C$39)*SIN(2*PI()*(Inputs!$C$6)/Inputs!$C$40)+-Inputs!$C$41*EXP(-(((Inputs!$C$6)-Inputs!$C$43)^2)/(2*Inputs!$C$44^2))*EXP(-(((Model_Data!A71)-Inputs!$C$42)^2)/(2*Inputs!$C$45^2))+Inputs!$C$48*(0.7*(0.45*SIN(2*PI()*(((Model_Data!A71)/Inputs!$C$49)+Inputs!$C$47*0.137))+0.35*COS(2*PI()*(((Inputs!$C$6)/Inputs!$C$50)+Inputs!$C$47*0.173))+0.2*SIN(2*PI()*(((Model_Data!A71)+(Inputs!$C$6))/(0.5*(Inputs!$C$49+Inputs!$C$50))+Inputs!$C$47*0.097)))+0.3*(2*((SIN(((Model_Data!A71)*12.9898+(Inputs!$C$6)*78.233+Inputs!$C$47*37.719))*43758.5453)-INT((SIN(((Model_Data!A71)*12.9898+(Inputs!$C$6)*78.233+Inputs!$C$47*37.719))*43758.5453)))-1))))/1000)^2))-(((Model_Data!B71)-((Inputs!$C$51*(115*EXP(-(((0)-25)^2)/(4.5^2))+70*EXP(-(((0)+38)^2)/(7^2))*(0.55+0.45*SIN(2*PI()*(Model_Data!A71)/45))+24*SIN(2*PI()*(0)/9+(Model_Data!A71)/18)*EXP(-(((0)+5)^2)/(22^2))+18*SIN(2*PI()*(Model_Data!A71)/70))+Inputs!$C$28*EXP(-(((Model_Data!A71)-Inputs!$C$29)^2)/(2*Inputs!$C$31^2))*EXP(-(((0)-Inputs!$C$30)^2)/(2*Inputs!$C$32^2))+-Inputs!$C$33*EXP(-(((((Model_Data!A71)-Inputs!$C$34)^2)+(((0)-Inputs!$C$35)^2))/(2*Inputs!$C$36^2)))+Inputs!$C$37*(0.55*SIN(2*PI()*(Model_Data!A71)/Inputs!$C$39)+0.35*COS(2*PI()*(0)/Inputs!$C$40)+0.2*SIN(2*PI()*((Model_Data!A71)+(0))/(0.5*(Inputs!$C$39+Inputs!$C$40))))+Inputs!$C$38*SIN(2*PI()*(Model_Data!A71)/Inputs!$C$39)*SIN(2*PI()*(0)/Inputs!$C$40)+-Inputs!$C$41*EXP(-(((0)-Inputs!$C$43)^2)/(2*Inputs!$C$44^2))*EXP(-(((Model_Data!A71)-Inputs!$C$42)^2)/(2*Inputs!$C$45^2))+Inputs!$C$48*(0.7*(0.45*SIN(2*PI()*(((Model_Data!A71)/Inputs!$C$49)+Inputs!$C$47*0.137))+0.35*COS(2*PI()*(((0)/Inputs!$C$50)+Inputs!$C$47*0.173))+0.2*SIN(2*PI()*(((Model_Data!A71)+(0))/(0.5*(Inputs!$C$49+Inputs!$C$50))+Inputs!$C$47*0.097)))+0.3*(2*((SIN(((Model_Data!A71)*12.9898+(0)*78.233+Inputs!$C$47*37.719))*43758.5453)-INT((SIN(((Model_Data!A71)*12.9898+(0)*78.233+Inputs!$C$47*37.719))*43758.5453)))-1))))/1000)))*1000/Inputs!$C$12)</f>
        <v>681.50232675774976</v>
      </c>
      <c r="E71" s="9">
        <f>Model_Data!A71</f>
        <v>-25.5</v>
      </c>
      <c r="F71" s="9">
        <f>(Inputs!$C$51*(115*EXP(-(((Inputs!$C$6)-25)^2)/(4.5^2))+70*EXP(-(((Inputs!$C$6)+38)^2)/(7^2))*(0.55+0.45*SIN(2*PI()*(Model_Data!A71)/45))+24*SIN(2*PI()*(Inputs!$C$6)/9+(Model_Data!A71)/18)*EXP(-(((Inputs!$C$6)+5)^2)/(22^2))+18*SIN(2*PI()*(Model_Data!A71)/70))+Inputs!$C$28*EXP(-(((Model_Data!A71)-Inputs!$C$29)^2)/(2*Inputs!$C$31^2))*EXP(-(((Inputs!$C$6)-Inputs!$C$30)^2)/(2*Inputs!$C$32^2))+-Inputs!$C$33*EXP(-(((((Model_Data!A71)-Inputs!$C$34)^2)+(((Inputs!$C$6)-Inputs!$C$35)^2))/(2*Inputs!$C$36^2)))+Inputs!$C$37*(0.55*SIN(2*PI()*(Model_Data!A71)/Inputs!$C$39)+0.35*COS(2*PI()*(Inputs!$C$6)/Inputs!$C$40)+0.2*SIN(2*PI()*((Model_Data!A71)+(Inputs!$C$6))/(0.5*(Inputs!$C$39+Inputs!$C$40))))+Inputs!$C$38*SIN(2*PI()*(Model_Data!A71)/Inputs!$C$39)*SIN(2*PI()*(Inputs!$C$6)/Inputs!$C$40)+-Inputs!$C$41*EXP(-(((Inputs!$C$6)-Inputs!$C$43)^2)/(2*Inputs!$C$44^2))*EXP(-(((Model_Data!A71)-Inputs!$C$42)^2)/(2*Inputs!$C$45^2))+Inputs!$C$48*(0.7*(0.45*SIN(2*PI()*(((Model_Data!A71)/Inputs!$C$49)+Inputs!$C$47*0.137))+0.35*COS(2*PI()*(((Inputs!$C$6)/Inputs!$C$50)+Inputs!$C$47*0.173))+0.2*SIN(2*PI()*(((Model_Data!A71)+(Inputs!$C$6))/(0.5*(Inputs!$C$49+Inputs!$C$50))+Inputs!$C$47*0.097)))+0.3*(2*((SIN(((Model_Data!A71)*12.9898+(Inputs!$C$6)*78.233+Inputs!$C$47*37.719))*43758.5453)-INT((SIN(((Model_Data!A71)*12.9898+(Inputs!$C$6)*78.233+Inputs!$C$47*37.719))*43758.5453)))-1)))</f>
        <v>271.72277085419893</v>
      </c>
      <c r="G71" s="9">
        <f>(Inputs!$C$51*(115*EXP(-(((0)-25)^2)/(4.5^2))+70*EXP(-(((0)+38)^2)/(7^2))*(0.55+0.45*SIN(2*PI()*(Model_Data!A71)/45))+24*SIN(2*PI()*(0)/9+(Model_Data!A71)/18)*EXP(-(((0)+5)^2)/(22^2))+18*SIN(2*PI()*(Model_Data!A71)/70))+Inputs!$C$28*EXP(-(((Model_Data!A71)-Inputs!$C$29)^2)/(2*Inputs!$C$31^2))*EXP(-(((0)-Inputs!$C$30)^2)/(2*Inputs!$C$32^2))+-Inputs!$C$33*EXP(-(((((Model_Data!A71)-Inputs!$C$34)^2)+(((0)-Inputs!$C$35)^2))/(2*Inputs!$C$36^2)))+Inputs!$C$37*(0.55*SIN(2*PI()*(Model_Data!A71)/Inputs!$C$39)+0.35*COS(2*PI()*(0)/Inputs!$C$40)+0.2*SIN(2*PI()*((Model_Data!A71)+(0))/(0.5*(Inputs!$C$39+Inputs!$C$40))))+Inputs!$C$38*SIN(2*PI()*(Model_Data!A71)/Inputs!$C$39)*SIN(2*PI()*(0)/Inputs!$C$40)+-Inputs!$C$41*EXP(-(((0)-Inputs!$C$43)^2)/(2*Inputs!$C$44^2))*EXP(-(((Model_Data!A71)-Inputs!$C$42)^2)/(2*Inputs!$C$45^2))+Inputs!$C$48*(0.7*(0.45*SIN(2*PI()*(((Model_Data!A71)/Inputs!$C$49)+Inputs!$C$47*0.137))+0.35*COS(2*PI()*(((0)/Inputs!$C$50)+Inputs!$C$47*0.173))+0.2*SIN(2*PI()*(((Model_Data!A71)+(0))/(0.5*(Inputs!$C$49+Inputs!$C$50))+Inputs!$C$47*0.097)))+0.3*(2*((SIN(((Model_Data!A71)*12.9898+(0)*78.233+Inputs!$C$47*37.719))*43758.5453)-INT((SIN(((Model_Data!A71)*12.9898+(0)*78.233+Inputs!$C$47*37.719))*43758.5453)))-1)))</f>
        <v>-104.31813701930129</v>
      </c>
      <c r="H71" s="10"/>
      <c r="I71" s="9">
        <f>Model_Data!A71</f>
        <v>-25.5</v>
      </c>
      <c r="J71" s="9">
        <f>(Inputs!$C$51*(115*EXP(-(((Inputs!$C$6)-25)^2)/(4.5^2))+70*EXP(-(((Inputs!$C$6)+38)^2)/(7^2))*(0.55+0.45*SIN(2*PI()*(Model_Data!A71)/45))+24*SIN(2*PI()*(Inputs!$C$6)/9+(Model_Data!A71)/18)*EXP(-(((Inputs!$C$6)+5)^2)/(22^2))+18*SIN(2*PI()*(Model_Data!A71)/70))+Inputs!$C$28*EXP(-(((Model_Data!A71)-Inputs!$C$29)^2)/(2*Inputs!$C$31^2))*EXP(-(((Inputs!$C$6)-Inputs!$C$30)^2)/(2*Inputs!$C$32^2))+-Inputs!$C$33*EXP(-(((((Model_Data!A71)-Inputs!$C$34)^2)+(((Inputs!$C$6)-Inputs!$C$35)^2))/(2*Inputs!$C$36^2)))+Inputs!$C$37*(0.55*SIN(2*PI()*(Model_Data!A71)/Inputs!$C$39)+0.35*COS(2*PI()*(Inputs!$C$6)/Inputs!$C$40)+0.2*SIN(2*PI()*((Model_Data!A71)+(Inputs!$C$6))/(0.5*(Inputs!$C$39+Inputs!$C$40))))+Inputs!$C$38*SIN(2*PI()*(Model_Data!A71)/Inputs!$C$39)*SIN(2*PI()*(Inputs!$C$6)/Inputs!$C$40)+-Inputs!$C$41*EXP(-(((Inputs!$C$6)-Inputs!$C$43)^2)/(2*Inputs!$C$44^2))*EXP(-(((Model_Data!A71)-Inputs!$C$42)^2)/(2*Inputs!$C$45^2))+Inputs!$C$48*(0.7*(0.45*SIN(2*PI()*(((Model_Data!A71)/Inputs!$C$49)+Inputs!$C$47*0.137))+0.35*COS(2*PI()*(((Inputs!$C$6)/Inputs!$C$50)+Inputs!$C$47*0.173))+0.2*SIN(2*PI()*(((Model_Data!A71)+(Inputs!$C$6))/(0.5*(Inputs!$C$49+Inputs!$C$50))+Inputs!$C$47*0.097)))+0.3*(2*((SIN(((Model_Data!A71)*12.9898+(Inputs!$C$6)*78.233+Inputs!$C$47*37.719))*43758.5453)-INT((SIN(((Model_Data!A71)*12.9898+(Inputs!$C$6)*78.233+Inputs!$C$47*37.719))*43758.5453)))-1)))</f>
        <v>271.72277085419893</v>
      </c>
      <c r="K71" s="9">
        <f>-((((SQRT((Model_Data!A71)^2+Inputs!$C$6^2+((Model_Data!B71)-((Inputs!$C$51*(115*EXP(-(((Inputs!$C$6)-25)^2)/(4.5^2))+70*EXP(-(((Inputs!$C$6)+38)^2)/(7^2))*(0.55+0.45*SIN(2*PI()*(Model_Data!A71)/45))+24*SIN(2*PI()*(Inputs!$C$6)/9+(Model_Data!A71)/18)*EXP(-(((Inputs!$C$6)+5)^2)/(22^2))+18*SIN(2*PI()*(Model_Data!A71)/70))+Inputs!$C$28*EXP(-(((Model_Data!A71)-Inputs!$C$29)^2)/(2*Inputs!$C$31^2))*EXP(-(((Inputs!$C$6)-Inputs!$C$30)^2)/(2*Inputs!$C$32^2))+-Inputs!$C$33*EXP(-(((((Model_Data!A71)-Inputs!$C$34)^2)+(((Inputs!$C$6)-Inputs!$C$35)^2))/(2*Inputs!$C$36^2)))+Inputs!$C$37*(0.55*SIN(2*PI()*(Model_Data!A71)/Inputs!$C$39)+0.35*COS(2*PI()*(Inputs!$C$6)/Inputs!$C$40)+0.2*SIN(2*PI()*((Model_Data!A71)+(Inputs!$C$6))/(0.5*(Inputs!$C$39+Inputs!$C$40))))+Inputs!$C$38*SIN(2*PI()*(Model_Data!A71)/Inputs!$C$39)*SIN(2*PI()*(Inputs!$C$6)/Inputs!$C$40)+-Inputs!$C$41*EXP(-(((Inputs!$C$6)-Inputs!$C$43)^2)/(2*Inputs!$C$44^2))*EXP(-(((Model_Data!A71)-Inputs!$C$42)^2)/(2*Inputs!$C$45^2))+Inputs!$C$48*(0.7*(0.45*SIN(2*PI()*(((Model_Data!A71)/Inputs!$C$49)+Inputs!$C$47*0.137))+0.35*COS(2*PI()*(((Inputs!$C$6)/Inputs!$C$50)+Inputs!$C$47*0.173))+0.2*SIN(2*PI()*(((Model_Data!A71)+(Inputs!$C$6))/(0.5*(Inputs!$C$49+Inputs!$C$50))+Inputs!$C$47*0.097)))+0.3*(2*((SIN(((Model_Data!A71)*12.9898+(Inputs!$C$6)*78.233+Inputs!$C$47*37.719))*43758.5453)-INT((SIN(((Model_Data!A71)*12.9898+(Inputs!$C$6)*78.233+Inputs!$C$47*37.719))*43758.5453)))-1))))/1000)^2))-(((Model_Data!B71)-((Inputs!$C$51*(115*EXP(-(((0)-25)^2)/(4.5^2))+70*EXP(-(((0)+38)^2)/(7^2))*(0.55+0.45*SIN(2*PI()*(Model_Data!A71)/45))+24*SIN(2*PI()*(0)/9+(Model_Data!A71)/18)*EXP(-(((0)+5)^2)/(22^2))+18*SIN(2*PI()*(Model_Data!A71)/70))+Inputs!$C$28*EXP(-(((Model_Data!A71)-Inputs!$C$29)^2)/(2*Inputs!$C$31^2))*EXP(-(((0)-Inputs!$C$30)^2)/(2*Inputs!$C$32^2))+-Inputs!$C$33*EXP(-(((((Model_Data!A71)-Inputs!$C$34)^2)+(((0)-Inputs!$C$35)^2))/(2*Inputs!$C$36^2)))+Inputs!$C$37*(0.55*SIN(2*PI()*(Model_Data!A71)/Inputs!$C$39)+0.35*COS(2*PI()*(0)/Inputs!$C$40)+0.2*SIN(2*PI()*((Model_Data!A71)+(0))/(0.5*(Inputs!$C$39+Inputs!$C$40))))+Inputs!$C$38*SIN(2*PI()*(Model_Data!A71)/Inputs!$C$39)*SIN(2*PI()*(0)/Inputs!$C$40)+-Inputs!$C$41*EXP(-(((0)-Inputs!$C$43)^2)/(2*Inputs!$C$44^2))*EXP(-(((Model_Data!A71)-Inputs!$C$42)^2)/(2*Inputs!$C$45^2))+Inputs!$C$48*(0.7*(0.45*SIN(2*PI()*(((Model_Data!A71)/Inputs!$C$49)+Inputs!$C$47*0.137))+0.35*COS(2*PI()*(((0)/Inputs!$C$50)+Inputs!$C$47*0.173))+0.2*SIN(2*PI()*(((Model_Data!A71)+(0))/(0.5*(Inputs!$C$49+Inputs!$C$50))+Inputs!$C$47*0.097)))+0.3*(2*((SIN(((Model_Data!A71)*12.9898+(0)*78.233+Inputs!$C$47*37.719))*43758.5453)-INT((SIN(((Model_Data!A71)*12.9898+(0)*78.233+Inputs!$C$47*37.719))*43758.5453)))-1))))/1000)))*1000/Inputs!$C$12)-Model_Data!F71)</f>
        <v>210.65596190366705</v>
      </c>
      <c r="L71" s="10"/>
      <c r="M71" s="9">
        <f>Model_Data!A71</f>
        <v>-25.5</v>
      </c>
      <c r="N71" s="9">
        <f>Model_Data!P71</f>
        <v>191.72297349476912</v>
      </c>
      <c r="O71" s="9">
        <f t="shared" si="2"/>
        <v>173.50624958571643</v>
      </c>
      <c r="P71" s="9">
        <f>Model_Data!Q71</f>
        <v>28.787233257472842</v>
      </c>
      <c r="Q71" s="9">
        <f t="shared" si="3"/>
        <v>26.051989427284752</v>
      </c>
      <c r="R71" s="10"/>
      <c r="S71" s="9">
        <f>Model_Data!A71</f>
        <v>-25.5</v>
      </c>
      <c r="T71" s="9">
        <f>Model_Data!B71-Inputs!$C$5</f>
        <v>0.72250000000002501</v>
      </c>
      <c r="U71" s="10"/>
      <c r="V71" s="9">
        <f>Model_Data!A71</f>
        <v>-25.5</v>
      </c>
      <c r="W71" s="9">
        <f>((SQRT((Model_Data!A71)^2+Inputs!$C$6^2+Inputs!$C$5^2)-Inputs!$C$5)*1000/Inputs!$C$12)</f>
        <v>893.76337149168944</v>
      </c>
      <c r="X71" s="9">
        <f>Model_Data!F71</f>
        <v>892.1582886614168</v>
      </c>
      <c r="Y71" s="10"/>
      <c r="Z71" s="9">
        <f>Model_Data!A71</f>
        <v>-25.5</v>
      </c>
      <c r="AA71" s="9">
        <f>SQRT((Model_Data!A71)^2+Inputs!$C$6^2+((Model_Data!B71)-((Inputs!$C$51*(115*EXP(-(((Inputs!$C$6)-25)^2)/(4.5^2))+70*EXP(-(((Inputs!$C$6)+38)^2)/(7^2))*(0.55+0.45*SIN(2*PI()*(Model_Data!A71)/45))+24*SIN(2*PI()*(Inputs!$C$6)/9+(Model_Data!A71)/18)*EXP(-(((Inputs!$C$6)+5)^2)/(22^2))+18*SIN(2*PI()*(Model_Data!A71)/70))+Inputs!$C$28*EXP(-(((Model_Data!A71)-Inputs!$C$29)^2)/(2*Inputs!$C$31^2))*EXP(-(((Inputs!$C$6)-Inputs!$C$30)^2)/(2*Inputs!$C$32^2))+-Inputs!$C$33*EXP(-(((((Model_Data!A71)-Inputs!$C$34)^2)+(((Inputs!$C$6)-Inputs!$C$35)^2))/(2*Inputs!$C$36^2)))+Inputs!$C$37*(0.55*SIN(2*PI()*(Model_Data!A71)/Inputs!$C$39)+0.35*COS(2*PI()*(Inputs!$C$6)/Inputs!$C$40)+0.2*SIN(2*PI()*((Model_Data!A71)+(Inputs!$C$6))/(0.5*(Inputs!$C$39+Inputs!$C$40))))+Inputs!$C$38*SIN(2*PI()*(Model_Data!A71)/Inputs!$C$39)*SIN(2*PI()*(Inputs!$C$6)/Inputs!$C$40)+-Inputs!$C$41*EXP(-(((Inputs!$C$6)-Inputs!$C$43)^2)/(2*Inputs!$C$44^2))*EXP(-(((Model_Data!A71)-Inputs!$C$42)^2)/(2*Inputs!$C$45^2))+Inputs!$C$48*(0.7*(0.45*SIN(2*PI()*(((Model_Data!A71)/Inputs!$C$49)+Inputs!$C$47*0.137))+0.35*COS(2*PI()*(((Inputs!$C$6)/Inputs!$C$50)+Inputs!$C$47*0.173))+0.2*SIN(2*PI()*(((Model_Data!A71)+(Inputs!$C$6))/(0.5*(Inputs!$C$49+Inputs!$C$50))+Inputs!$C$47*0.097)))+0.3*(2*((SIN(((Model_Data!A71)*12.9898+(Inputs!$C$6)*78.233+Inputs!$C$47*37.719))*43758.5453)-INT((SIN(((Model_Data!A71)*12.9898+(Inputs!$C$6)*78.233+Inputs!$C$47*37.719))*43758.5453)))-1))))/1000)^2)</f>
        <v>402.0398922786481</v>
      </c>
      <c r="AB71" s="9">
        <f>1000*(AA72-AA70)/(Z72-Z70)*Inputs!$C$11</f>
        <v>-433.76562396429108</v>
      </c>
      <c r="AC71" s="9">
        <f>-2*AB71/Inputs!$C$13</f>
        <v>173.50624958571643</v>
      </c>
      <c r="AD71" s="9">
        <f>-2*AB71/Inputs!$C$14</f>
        <v>26.051989427284752</v>
      </c>
    </row>
    <row r="72" spans="1:30">
      <c r="A72" s="9">
        <f>Model_Data!A72</f>
        <v>-25</v>
      </c>
      <c r="B72" s="9">
        <f>((SQRT((Model_Data!A72)^2+Inputs!$C$6^2+Inputs!$C$5^2)-Inputs!$C$5)*1000/Inputs!$C$12)</f>
        <v>876.10118271080978</v>
      </c>
      <c r="C72" s="9">
        <f>Model_Data!F72</f>
        <v>874.588691152092</v>
      </c>
      <c r="D72" s="9">
        <f>(((SQRT((Model_Data!A72)^2+Inputs!$C$6^2+((Model_Data!B72)-((Inputs!$C$51*(115*EXP(-(((Inputs!$C$6)-25)^2)/(4.5^2))+70*EXP(-(((Inputs!$C$6)+38)^2)/(7^2))*(0.55+0.45*SIN(2*PI()*(Model_Data!A72)/45))+24*SIN(2*PI()*(Inputs!$C$6)/9+(Model_Data!A72)/18)*EXP(-(((Inputs!$C$6)+5)^2)/(22^2))+18*SIN(2*PI()*(Model_Data!A72)/70))+Inputs!$C$28*EXP(-(((Model_Data!A72)-Inputs!$C$29)^2)/(2*Inputs!$C$31^2))*EXP(-(((Inputs!$C$6)-Inputs!$C$30)^2)/(2*Inputs!$C$32^2))+-Inputs!$C$33*EXP(-(((((Model_Data!A72)-Inputs!$C$34)^2)+(((Inputs!$C$6)-Inputs!$C$35)^2))/(2*Inputs!$C$36^2)))+Inputs!$C$37*(0.55*SIN(2*PI()*(Model_Data!A72)/Inputs!$C$39)+0.35*COS(2*PI()*(Inputs!$C$6)/Inputs!$C$40)+0.2*SIN(2*PI()*((Model_Data!A72)+(Inputs!$C$6))/(0.5*(Inputs!$C$39+Inputs!$C$40))))+Inputs!$C$38*SIN(2*PI()*(Model_Data!A72)/Inputs!$C$39)*SIN(2*PI()*(Inputs!$C$6)/Inputs!$C$40)+-Inputs!$C$41*EXP(-(((Inputs!$C$6)-Inputs!$C$43)^2)/(2*Inputs!$C$44^2))*EXP(-(((Model_Data!A72)-Inputs!$C$42)^2)/(2*Inputs!$C$45^2))+Inputs!$C$48*(0.7*(0.45*SIN(2*PI()*(((Model_Data!A72)/Inputs!$C$49)+Inputs!$C$47*0.137))+0.35*COS(2*PI()*(((Inputs!$C$6)/Inputs!$C$50)+Inputs!$C$47*0.173))+0.2*SIN(2*PI()*(((Model_Data!A72)+(Inputs!$C$6))/(0.5*(Inputs!$C$49+Inputs!$C$50))+Inputs!$C$47*0.097)))+0.3*(2*((SIN(((Model_Data!A72)*12.9898+(Inputs!$C$6)*78.233+Inputs!$C$47*37.719))*43758.5453)-INT((SIN(((Model_Data!A72)*12.9898+(Inputs!$C$6)*78.233+Inputs!$C$47*37.719))*43758.5453)))-1))))/1000)^2))-(((Model_Data!B72)-((Inputs!$C$51*(115*EXP(-(((0)-25)^2)/(4.5^2))+70*EXP(-(((0)+38)^2)/(7^2))*(0.55+0.45*SIN(2*PI()*(Model_Data!A72)/45))+24*SIN(2*PI()*(0)/9+(Model_Data!A72)/18)*EXP(-(((0)+5)^2)/(22^2))+18*SIN(2*PI()*(Model_Data!A72)/70))+Inputs!$C$28*EXP(-(((Model_Data!A72)-Inputs!$C$29)^2)/(2*Inputs!$C$31^2))*EXP(-(((0)-Inputs!$C$30)^2)/(2*Inputs!$C$32^2))+-Inputs!$C$33*EXP(-(((((Model_Data!A72)-Inputs!$C$34)^2)+(((0)-Inputs!$C$35)^2))/(2*Inputs!$C$36^2)))+Inputs!$C$37*(0.55*SIN(2*PI()*(Model_Data!A72)/Inputs!$C$39)+0.35*COS(2*PI()*(0)/Inputs!$C$40)+0.2*SIN(2*PI()*((Model_Data!A72)+(0))/(0.5*(Inputs!$C$39+Inputs!$C$40))))+Inputs!$C$38*SIN(2*PI()*(Model_Data!A72)/Inputs!$C$39)*SIN(2*PI()*(0)/Inputs!$C$40)+-Inputs!$C$41*EXP(-(((0)-Inputs!$C$43)^2)/(2*Inputs!$C$44^2))*EXP(-(((Model_Data!A72)-Inputs!$C$42)^2)/(2*Inputs!$C$45^2))+Inputs!$C$48*(0.7*(0.45*SIN(2*PI()*(((Model_Data!A72)/Inputs!$C$49)+Inputs!$C$47*0.137))+0.35*COS(2*PI()*(((0)/Inputs!$C$50)+Inputs!$C$47*0.173))+0.2*SIN(2*PI()*(((Model_Data!A72)+(0))/(0.5*(Inputs!$C$49+Inputs!$C$50))+Inputs!$C$47*0.097)))+0.3*(2*((SIN(((Model_Data!A72)*12.9898+(0)*78.233+Inputs!$C$47*37.719))*43758.5453)-INT((SIN(((Model_Data!A72)*12.9898+(0)*78.233+Inputs!$C$47*37.719))*43758.5453)))-1))))/1000)))*1000/Inputs!$C$12)</f>
        <v>674.13002664479563</v>
      </c>
      <c r="E72" s="9">
        <f>Model_Data!A72</f>
        <v>-25</v>
      </c>
      <c r="F72" s="9">
        <f>(Inputs!$C$51*(115*EXP(-(((Inputs!$C$6)-25)^2)/(4.5^2))+70*EXP(-(((Inputs!$C$6)+38)^2)/(7^2))*(0.55+0.45*SIN(2*PI()*(Model_Data!A72)/45))+24*SIN(2*PI()*(Inputs!$C$6)/9+(Model_Data!A72)/18)*EXP(-(((Inputs!$C$6)+5)^2)/(22^2))+18*SIN(2*PI()*(Model_Data!A72)/70))+Inputs!$C$28*EXP(-(((Model_Data!A72)-Inputs!$C$29)^2)/(2*Inputs!$C$31^2))*EXP(-(((Inputs!$C$6)-Inputs!$C$30)^2)/(2*Inputs!$C$32^2))+-Inputs!$C$33*EXP(-(((((Model_Data!A72)-Inputs!$C$34)^2)+(((Inputs!$C$6)-Inputs!$C$35)^2))/(2*Inputs!$C$36^2)))+Inputs!$C$37*(0.55*SIN(2*PI()*(Model_Data!A72)/Inputs!$C$39)+0.35*COS(2*PI()*(Inputs!$C$6)/Inputs!$C$40)+0.2*SIN(2*PI()*((Model_Data!A72)+(Inputs!$C$6))/(0.5*(Inputs!$C$39+Inputs!$C$40))))+Inputs!$C$38*SIN(2*PI()*(Model_Data!A72)/Inputs!$C$39)*SIN(2*PI()*(Inputs!$C$6)/Inputs!$C$40)+-Inputs!$C$41*EXP(-(((Inputs!$C$6)-Inputs!$C$43)^2)/(2*Inputs!$C$44^2))*EXP(-(((Model_Data!A72)-Inputs!$C$42)^2)/(2*Inputs!$C$45^2))+Inputs!$C$48*(0.7*(0.45*SIN(2*PI()*(((Model_Data!A72)/Inputs!$C$49)+Inputs!$C$47*0.137))+0.35*COS(2*PI()*(((Inputs!$C$6)/Inputs!$C$50)+Inputs!$C$47*0.173))+0.2*SIN(2*PI()*(((Model_Data!A72)+(Inputs!$C$6))/(0.5*(Inputs!$C$49+Inputs!$C$50))+Inputs!$C$47*0.097)))+0.3*(2*((SIN(((Model_Data!A72)*12.9898+(Inputs!$C$6)*78.233+Inputs!$C$47*37.719))*43758.5453)-INT((SIN(((Model_Data!A72)*12.9898+(Inputs!$C$6)*78.233+Inputs!$C$47*37.719))*43758.5453)))-1)))</f>
        <v>260.27138413189709</v>
      </c>
      <c r="G72" s="9">
        <f>(Inputs!$C$51*(115*EXP(-(((0)-25)^2)/(4.5^2))+70*EXP(-(((0)+38)^2)/(7^2))*(0.55+0.45*SIN(2*PI()*(Model_Data!A72)/45))+24*SIN(2*PI()*(0)/9+(Model_Data!A72)/18)*EXP(-(((0)+5)^2)/(22^2))+18*SIN(2*PI()*(Model_Data!A72)/70))+Inputs!$C$28*EXP(-(((Model_Data!A72)-Inputs!$C$29)^2)/(2*Inputs!$C$31^2))*EXP(-(((0)-Inputs!$C$30)^2)/(2*Inputs!$C$32^2))+-Inputs!$C$33*EXP(-(((((Model_Data!A72)-Inputs!$C$34)^2)+(((0)-Inputs!$C$35)^2))/(2*Inputs!$C$36^2)))+Inputs!$C$37*(0.55*SIN(2*PI()*(Model_Data!A72)/Inputs!$C$39)+0.35*COS(2*PI()*(0)/Inputs!$C$40)+0.2*SIN(2*PI()*((Model_Data!A72)+(0))/(0.5*(Inputs!$C$39+Inputs!$C$40))))+Inputs!$C$38*SIN(2*PI()*(Model_Data!A72)/Inputs!$C$39)*SIN(2*PI()*(0)/Inputs!$C$40)+-Inputs!$C$41*EXP(-(((0)-Inputs!$C$43)^2)/(2*Inputs!$C$44^2))*EXP(-(((Model_Data!A72)-Inputs!$C$42)^2)/(2*Inputs!$C$45^2))+Inputs!$C$48*(0.7*(0.45*SIN(2*PI()*(((Model_Data!A72)/Inputs!$C$49)+Inputs!$C$47*0.137))+0.35*COS(2*PI()*(((0)/Inputs!$C$50)+Inputs!$C$47*0.173))+0.2*SIN(2*PI()*(((Model_Data!A72)+(0))/(0.5*(Inputs!$C$49+Inputs!$C$50))+Inputs!$C$47*0.097)))+0.3*(2*((SIN(((Model_Data!A72)*12.9898+(0)*78.233+Inputs!$C$47*37.719))*43758.5453)-INT((SIN(((Model_Data!A72)*12.9898+(0)*78.233+Inputs!$C$47*37.719))*43758.5453)))-1)))</f>
        <v>-97.552975883581098</v>
      </c>
      <c r="H72" s="10"/>
      <c r="I72" s="9">
        <f>Model_Data!A72</f>
        <v>-25</v>
      </c>
      <c r="J72" s="9">
        <f>(Inputs!$C$51*(115*EXP(-(((Inputs!$C$6)-25)^2)/(4.5^2))+70*EXP(-(((Inputs!$C$6)+38)^2)/(7^2))*(0.55+0.45*SIN(2*PI()*(Model_Data!A72)/45))+24*SIN(2*PI()*(Inputs!$C$6)/9+(Model_Data!A72)/18)*EXP(-(((Inputs!$C$6)+5)^2)/(22^2))+18*SIN(2*PI()*(Model_Data!A72)/70))+Inputs!$C$28*EXP(-(((Model_Data!A72)-Inputs!$C$29)^2)/(2*Inputs!$C$31^2))*EXP(-(((Inputs!$C$6)-Inputs!$C$30)^2)/(2*Inputs!$C$32^2))+-Inputs!$C$33*EXP(-(((((Model_Data!A72)-Inputs!$C$34)^2)+(((Inputs!$C$6)-Inputs!$C$35)^2))/(2*Inputs!$C$36^2)))+Inputs!$C$37*(0.55*SIN(2*PI()*(Model_Data!A72)/Inputs!$C$39)+0.35*COS(2*PI()*(Inputs!$C$6)/Inputs!$C$40)+0.2*SIN(2*PI()*((Model_Data!A72)+(Inputs!$C$6))/(0.5*(Inputs!$C$39+Inputs!$C$40))))+Inputs!$C$38*SIN(2*PI()*(Model_Data!A72)/Inputs!$C$39)*SIN(2*PI()*(Inputs!$C$6)/Inputs!$C$40)+-Inputs!$C$41*EXP(-(((Inputs!$C$6)-Inputs!$C$43)^2)/(2*Inputs!$C$44^2))*EXP(-(((Model_Data!A72)-Inputs!$C$42)^2)/(2*Inputs!$C$45^2))+Inputs!$C$48*(0.7*(0.45*SIN(2*PI()*(((Model_Data!A72)/Inputs!$C$49)+Inputs!$C$47*0.137))+0.35*COS(2*PI()*(((Inputs!$C$6)/Inputs!$C$50)+Inputs!$C$47*0.173))+0.2*SIN(2*PI()*(((Model_Data!A72)+(Inputs!$C$6))/(0.5*(Inputs!$C$49+Inputs!$C$50))+Inputs!$C$47*0.097)))+0.3*(2*((SIN(((Model_Data!A72)*12.9898+(Inputs!$C$6)*78.233+Inputs!$C$47*37.719))*43758.5453)-INT((SIN(((Model_Data!A72)*12.9898+(Inputs!$C$6)*78.233+Inputs!$C$47*37.719))*43758.5453)))-1)))</f>
        <v>260.27138413189709</v>
      </c>
      <c r="K72" s="9">
        <f>-((((SQRT((Model_Data!A72)^2+Inputs!$C$6^2+((Model_Data!B72)-((Inputs!$C$51*(115*EXP(-(((Inputs!$C$6)-25)^2)/(4.5^2))+70*EXP(-(((Inputs!$C$6)+38)^2)/(7^2))*(0.55+0.45*SIN(2*PI()*(Model_Data!A72)/45))+24*SIN(2*PI()*(Inputs!$C$6)/9+(Model_Data!A72)/18)*EXP(-(((Inputs!$C$6)+5)^2)/(22^2))+18*SIN(2*PI()*(Model_Data!A72)/70))+Inputs!$C$28*EXP(-(((Model_Data!A72)-Inputs!$C$29)^2)/(2*Inputs!$C$31^2))*EXP(-(((Inputs!$C$6)-Inputs!$C$30)^2)/(2*Inputs!$C$32^2))+-Inputs!$C$33*EXP(-(((((Model_Data!A72)-Inputs!$C$34)^2)+(((Inputs!$C$6)-Inputs!$C$35)^2))/(2*Inputs!$C$36^2)))+Inputs!$C$37*(0.55*SIN(2*PI()*(Model_Data!A72)/Inputs!$C$39)+0.35*COS(2*PI()*(Inputs!$C$6)/Inputs!$C$40)+0.2*SIN(2*PI()*((Model_Data!A72)+(Inputs!$C$6))/(0.5*(Inputs!$C$39+Inputs!$C$40))))+Inputs!$C$38*SIN(2*PI()*(Model_Data!A72)/Inputs!$C$39)*SIN(2*PI()*(Inputs!$C$6)/Inputs!$C$40)+-Inputs!$C$41*EXP(-(((Inputs!$C$6)-Inputs!$C$43)^2)/(2*Inputs!$C$44^2))*EXP(-(((Model_Data!A72)-Inputs!$C$42)^2)/(2*Inputs!$C$45^2))+Inputs!$C$48*(0.7*(0.45*SIN(2*PI()*(((Model_Data!A72)/Inputs!$C$49)+Inputs!$C$47*0.137))+0.35*COS(2*PI()*(((Inputs!$C$6)/Inputs!$C$50)+Inputs!$C$47*0.173))+0.2*SIN(2*PI()*(((Model_Data!A72)+(Inputs!$C$6))/(0.5*(Inputs!$C$49+Inputs!$C$50))+Inputs!$C$47*0.097)))+0.3*(2*((SIN(((Model_Data!A72)*12.9898+(Inputs!$C$6)*78.233+Inputs!$C$47*37.719))*43758.5453)-INT((SIN(((Model_Data!A72)*12.9898+(Inputs!$C$6)*78.233+Inputs!$C$47*37.719))*43758.5453)))-1))))/1000)^2))-(((Model_Data!B72)-((Inputs!$C$51*(115*EXP(-(((0)-25)^2)/(4.5^2))+70*EXP(-(((0)+38)^2)/(7^2))*(0.55+0.45*SIN(2*PI()*(Model_Data!A72)/45))+24*SIN(2*PI()*(0)/9+(Model_Data!A72)/18)*EXP(-(((0)+5)^2)/(22^2))+18*SIN(2*PI()*(Model_Data!A72)/70))+Inputs!$C$28*EXP(-(((Model_Data!A72)-Inputs!$C$29)^2)/(2*Inputs!$C$31^2))*EXP(-(((0)-Inputs!$C$30)^2)/(2*Inputs!$C$32^2))+-Inputs!$C$33*EXP(-(((((Model_Data!A72)-Inputs!$C$34)^2)+(((0)-Inputs!$C$35)^2))/(2*Inputs!$C$36^2)))+Inputs!$C$37*(0.55*SIN(2*PI()*(Model_Data!A72)/Inputs!$C$39)+0.35*COS(2*PI()*(0)/Inputs!$C$40)+0.2*SIN(2*PI()*((Model_Data!A72)+(0))/(0.5*(Inputs!$C$39+Inputs!$C$40))))+Inputs!$C$38*SIN(2*PI()*(Model_Data!A72)/Inputs!$C$39)*SIN(2*PI()*(0)/Inputs!$C$40)+-Inputs!$C$41*EXP(-(((0)-Inputs!$C$43)^2)/(2*Inputs!$C$44^2))*EXP(-(((Model_Data!A72)-Inputs!$C$42)^2)/(2*Inputs!$C$45^2))+Inputs!$C$48*(0.7*(0.45*SIN(2*PI()*(((Model_Data!A72)/Inputs!$C$49)+Inputs!$C$47*0.137))+0.35*COS(2*PI()*(((0)/Inputs!$C$50)+Inputs!$C$47*0.173))+0.2*SIN(2*PI()*(((Model_Data!A72)+(0))/(0.5*(Inputs!$C$49+Inputs!$C$50))+Inputs!$C$47*0.097)))+0.3*(2*((SIN(((Model_Data!A72)*12.9898+(0)*78.233+Inputs!$C$47*37.719))*43758.5453)-INT((SIN(((Model_Data!A72)*12.9898+(0)*78.233+Inputs!$C$47*37.719))*43758.5453)))-1))))/1000)))*1000/Inputs!$C$12)-Model_Data!F72)</f>
        <v>200.45866450729636</v>
      </c>
      <c r="L72" s="10"/>
      <c r="M72" s="9">
        <f>Model_Data!A72</f>
        <v>-25</v>
      </c>
      <c r="N72" s="9">
        <f>Model_Data!P72</f>
        <v>187.98522325262562</v>
      </c>
      <c r="O72" s="9">
        <f t="shared" si="2"/>
        <v>195.65588342975389</v>
      </c>
      <c r="P72" s="9">
        <f>Model_Data!Q72</f>
        <v>28.226009497391235</v>
      </c>
      <c r="Q72" s="9">
        <f t="shared" si="3"/>
        <v>29.377760274737824</v>
      </c>
      <c r="R72" s="10"/>
      <c r="S72" s="9">
        <f>Model_Data!A72</f>
        <v>-25</v>
      </c>
      <c r="T72" s="9">
        <f>Model_Data!B72-Inputs!$C$5</f>
        <v>0.69444444444445708</v>
      </c>
      <c r="U72" s="10"/>
      <c r="V72" s="9">
        <f>Model_Data!A72</f>
        <v>-25</v>
      </c>
      <c r="W72" s="9">
        <f>((SQRT((Model_Data!A72)^2+Inputs!$C$6^2+Inputs!$C$5^2)-Inputs!$C$5)*1000/Inputs!$C$12)</f>
        <v>876.10118271080978</v>
      </c>
      <c r="X72" s="9">
        <f>Model_Data!F72</f>
        <v>874.588691152092</v>
      </c>
      <c r="Y72" s="10"/>
      <c r="Z72" s="9">
        <f>Model_Data!A72</f>
        <v>-25</v>
      </c>
      <c r="AA72" s="9">
        <f>SQRT((Model_Data!A72)^2+Inputs!$C$6^2+((Model_Data!B72)-((Inputs!$C$51*(115*EXP(-(((Inputs!$C$6)-25)^2)/(4.5^2))+70*EXP(-(((Inputs!$C$6)+38)^2)/(7^2))*(0.55+0.45*SIN(2*PI()*(Model_Data!A72)/45))+24*SIN(2*PI()*(Inputs!$C$6)/9+(Model_Data!A72)/18)*EXP(-(((Inputs!$C$6)+5)^2)/(22^2))+18*SIN(2*PI()*(Model_Data!A72)/70))+Inputs!$C$28*EXP(-(((Model_Data!A72)-Inputs!$C$29)^2)/(2*Inputs!$C$31^2))*EXP(-(((Inputs!$C$6)-Inputs!$C$30)^2)/(2*Inputs!$C$32^2))+-Inputs!$C$33*EXP(-(((((Model_Data!A72)-Inputs!$C$34)^2)+(((Inputs!$C$6)-Inputs!$C$35)^2))/(2*Inputs!$C$36^2)))+Inputs!$C$37*(0.55*SIN(2*PI()*(Model_Data!A72)/Inputs!$C$39)+0.35*COS(2*PI()*(Inputs!$C$6)/Inputs!$C$40)+0.2*SIN(2*PI()*((Model_Data!A72)+(Inputs!$C$6))/(0.5*(Inputs!$C$39+Inputs!$C$40))))+Inputs!$C$38*SIN(2*PI()*(Model_Data!A72)/Inputs!$C$39)*SIN(2*PI()*(Inputs!$C$6)/Inputs!$C$40)+-Inputs!$C$41*EXP(-(((Inputs!$C$6)-Inputs!$C$43)^2)/(2*Inputs!$C$44^2))*EXP(-(((Model_Data!A72)-Inputs!$C$42)^2)/(2*Inputs!$C$45^2))+Inputs!$C$48*(0.7*(0.45*SIN(2*PI()*(((Model_Data!A72)/Inputs!$C$49)+Inputs!$C$47*0.137))+0.35*COS(2*PI()*(((Inputs!$C$6)/Inputs!$C$50)+Inputs!$C$47*0.173))+0.2*SIN(2*PI()*(((Model_Data!A72)+(Inputs!$C$6))/(0.5*(Inputs!$C$49+Inputs!$C$50))+Inputs!$C$47*0.097)))+0.3*(2*((SIN(((Model_Data!A72)*12.9898+(Inputs!$C$6)*78.233+Inputs!$C$47*37.719))*43758.5453)-INT((SIN(((Model_Data!A72)*12.9898+(Inputs!$C$6)*78.233+Inputs!$C$47*37.719))*43758.5453)))-1))))/1000)^2)</f>
        <v>401.99194886775575</v>
      </c>
      <c r="AB72" s="9">
        <f>1000*(AA73-AA71)/(Z73-Z71)*Inputs!$C$11</f>
        <v>-489.13970857438471</v>
      </c>
      <c r="AC72" s="9">
        <f>-2*AB72/Inputs!$C$13</f>
        <v>195.65588342975389</v>
      </c>
      <c r="AD72" s="9">
        <f>-2*AB72/Inputs!$C$14</f>
        <v>29.377760274737824</v>
      </c>
    </row>
    <row r="73" spans="1:30">
      <c r="A73" s="9">
        <f>Model_Data!A73</f>
        <v>-24.5</v>
      </c>
      <c r="B73" s="9">
        <f>((SQRT((Model_Data!A73)^2+Inputs!$C$6^2+Inputs!$C$5^2)-Inputs!$C$5)*1000/Inputs!$C$12)</f>
        <v>858.78739814219307</v>
      </c>
      <c r="C73" s="9">
        <f>Model_Data!F73</f>
        <v>857.36330173478075</v>
      </c>
      <c r="D73" s="9">
        <f>(((SQRT((Model_Data!A73)^2+Inputs!$C$6^2+((Model_Data!B73)-((Inputs!$C$51*(115*EXP(-(((Inputs!$C$6)-25)^2)/(4.5^2))+70*EXP(-(((Inputs!$C$6)+38)^2)/(7^2))*(0.55+0.45*SIN(2*PI()*(Model_Data!A73)/45))+24*SIN(2*PI()*(Inputs!$C$6)/9+(Model_Data!A73)/18)*EXP(-(((Inputs!$C$6)+5)^2)/(22^2))+18*SIN(2*PI()*(Model_Data!A73)/70))+Inputs!$C$28*EXP(-(((Model_Data!A73)-Inputs!$C$29)^2)/(2*Inputs!$C$31^2))*EXP(-(((Inputs!$C$6)-Inputs!$C$30)^2)/(2*Inputs!$C$32^2))+-Inputs!$C$33*EXP(-(((((Model_Data!A73)-Inputs!$C$34)^2)+(((Inputs!$C$6)-Inputs!$C$35)^2))/(2*Inputs!$C$36^2)))+Inputs!$C$37*(0.55*SIN(2*PI()*(Model_Data!A73)/Inputs!$C$39)+0.35*COS(2*PI()*(Inputs!$C$6)/Inputs!$C$40)+0.2*SIN(2*PI()*((Model_Data!A73)+(Inputs!$C$6))/(0.5*(Inputs!$C$39+Inputs!$C$40))))+Inputs!$C$38*SIN(2*PI()*(Model_Data!A73)/Inputs!$C$39)*SIN(2*PI()*(Inputs!$C$6)/Inputs!$C$40)+-Inputs!$C$41*EXP(-(((Inputs!$C$6)-Inputs!$C$43)^2)/(2*Inputs!$C$44^2))*EXP(-(((Model_Data!A73)-Inputs!$C$42)^2)/(2*Inputs!$C$45^2))+Inputs!$C$48*(0.7*(0.45*SIN(2*PI()*(((Model_Data!A73)/Inputs!$C$49)+Inputs!$C$47*0.137))+0.35*COS(2*PI()*(((Inputs!$C$6)/Inputs!$C$50)+Inputs!$C$47*0.173))+0.2*SIN(2*PI()*(((Model_Data!A73)+(Inputs!$C$6))/(0.5*(Inputs!$C$49+Inputs!$C$50))+Inputs!$C$47*0.097)))+0.3*(2*((SIN(((Model_Data!A73)*12.9898+(Inputs!$C$6)*78.233+Inputs!$C$47*37.719))*43758.5453)-INT((SIN(((Model_Data!A73)*12.9898+(Inputs!$C$6)*78.233+Inputs!$C$47*37.719))*43758.5453)))-1))))/1000)^2))-(((Model_Data!B73)-((Inputs!$C$51*(115*EXP(-(((0)-25)^2)/(4.5^2))+70*EXP(-(((0)+38)^2)/(7^2))*(0.55+0.45*SIN(2*PI()*(Model_Data!A73)/45))+24*SIN(2*PI()*(0)/9+(Model_Data!A73)/18)*EXP(-(((0)+5)^2)/(22^2))+18*SIN(2*PI()*(Model_Data!A73)/70))+Inputs!$C$28*EXP(-(((Model_Data!A73)-Inputs!$C$29)^2)/(2*Inputs!$C$31^2))*EXP(-(((0)-Inputs!$C$30)^2)/(2*Inputs!$C$32^2))+-Inputs!$C$33*EXP(-(((((Model_Data!A73)-Inputs!$C$34)^2)+(((0)-Inputs!$C$35)^2))/(2*Inputs!$C$36^2)))+Inputs!$C$37*(0.55*SIN(2*PI()*(Model_Data!A73)/Inputs!$C$39)+0.35*COS(2*PI()*(0)/Inputs!$C$40)+0.2*SIN(2*PI()*((Model_Data!A73)+(0))/(0.5*(Inputs!$C$39+Inputs!$C$40))))+Inputs!$C$38*SIN(2*PI()*(Model_Data!A73)/Inputs!$C$39)*SIN(2*PI()*(0)/Inputs!$C$40)+-Inputs!$C$41*EXP(-(((0)-Inputs!$C$43)^2)/(2*Inputs!$C$44^2))*EXP(-(((Model_Data!A73)-Inputs!$C$42)^2)/(2*Inputs!$C$45^2))+Inputs!$C$48*(0.7*(0.45*SIN(2*PI()*(((Model_Data!A73)/Inputs!$C$49)+Inputs!$C$47*0.137))+0.35*COS(2*PI()*(((0)/Inputs!$C$50)+Inputs!$C$47*0.173))+0.2*SIN(2*PI()*(((Model_Data!A73)+(0))/(0.5*(Inputs!$C$49+Inputs!$C$50))+Inputs!$C$47*0.097)))+0.3*(2*((SIN(((Model_Data!A73)*12.9898+(0)*78.233+Inputs!$C$47*37.719))*43758.5453)-INT((SIN(((Model_Data!A73)*12.9898+(0)*78.233+Inputs!$C$47*37.719))*43758.5453)))-1))))/1000)))*1000/Inputs!$C$12)</f>
        <v>638.790493562233</v>
      </c>
      <c r="E73" s="9">
        <f>Model_Data!A73</f>
        <v>-24.5</v>
      </c>
      <c r="F73" s="9">
        <f>(Inputs!$C$51*(115*EXP(-(((Inputs!$C$6)-25)^2)/(4.5^2))+70*EXP(-(((Inputs!$C$6)+38)^2)/(7^2))*(0.55+0.45*SIN(2*PI()*(Model_Data!A73)/45))+24*SIN(2*PI()*(Inputs!$C$6)/9+(Model_Data!A73)/18)*EXP(-(((Inputs!$C$6)+5)^2)/(22^2))+18*SIN(2*PI()*(Model_Data!A73)/70))+Inputs!$C$28*EXP(-(((Model_Data!A73)-Inputs!$C$29)^2)/(2*Inputs!$C$31^2))*EXP(-(((Inputs!$C$6)-Inputs!$C$30)^2)/(2*Inputs!$C$32^2))+-Inputs!$C$33*EXP(-(((((Model_Data!A73)-Inputs!$C$34)^2)+(((Inputs!$C$6)-Inputs!$C$35)^2))/(2*Inputs!$C$36^2)))+Inputs!$C$37*(0.55*SIN(2*PI()*(Model_Data!A73)/Inputs!$C$39)+0.35*COS(2*PI()*(Inputs!$C$6)/Inputs!$C$40)+0.2*SIN(2*PI()*((Model_Data!A73)+(Inputs!$C$6))/(0.5*(Inputs!$C$39+Inputs!$C$40))))+Inputs!$C$38*SIN(2*PI()*(Model_Data!A73)/Inputs!$C$39)*SIN(2*PI()*(Inputs!$C$6)/Inputs!$C$40)+-Inputs!$C$41*EXP(-(((Inputs!$C$6)-Inputs!$C$43)^2)/(2*Inputs!$C$44^2))*EXP(-(((Model_Data!A73)-Inputs!$C$42)^2)/(2*Inputs!$C$45^2))+Inputs!$C$48*(0.7*(0.45*SIN(2*PI()*(((Model_Data!A73)/Inputs!$C$49)+Inputs!$C$47*0.137))+0.35*COS(2*PI()*(((Inputs!$C$6)/Inputs!$C$50)+Inputs!$C$47*0.173))+0.2*SIN(2*PI()*(((Model_Data!A73)+(Inputs!$C$6))/(0.5*(Inputs!$C$49+Inputs!$C$50))+Inputs!$C$47*0.097)))+0.3*(2*((SIN(((Model_Data!A73)*12.9898+(Inputs!$C$6)*78.233+Inputs!$C$47*37.719))*43758.5453)-INT((SIN(((Model_Data!A73)*12.9898+(Inputs!$C$6)*78.233+Inputs!$C$47*37.719))*43758.5453)))-1)))</f>
        <v>276.49363528969542</v>
      </c>
      <c r="G73" s="9">
        <f>(Inputs!$C$51*(115*EXP(-(((0)-25)^2)/(4.5^2))+70*EXP(-(((0)+38)^2)/(7^2))*(0.55+0.45*SIN(2*PI()*(Model_Data!A73)/45))+24*SIN(2*PI()*(0)/9+(Model_Data!A73)/18)*EXP(-(((0)+5)^2)/(22^2))+18*SIN(2*PI()*(Model_Data!A73)/70))+Inputs!$C$28*EXP(-(((Model_Data!A73)-Inputs!$C$29)^2)/(2*Inputs!$C$31^2))*EXP(-(((0)-Inputs!$C$30)^2)/(2*Inputs!$C$32^2))+-Inputs!$C$33*EXP(-(((((Model_Data!A73)-Inputs!$C$34)^2)+(((0)-Inputs!$C$35)^2))/(2*Inputs!$C$36^2)))+Inputs!$C$37*(0.55*SIN(2*PI()*(Model_Data!A73)/Inputs!$C$39)+0.35*COS(2*PI()*(0)/Inputs!$C$40)+0.2*SIN(2*PI()*((Model_Data!A73)+(0))/(0.5*(Inputs!$C$39+Inputs!$C$40))))+Inputs!$C$38*SIN(2*PI()*(Model_Data!A73)/Inputs!$C$39)*SIN(2*PI()*(0)/Inputs!$C$40)+-Inputs!$C$41*EXP(-(((0)-Inputs!$C$43)^2)/(2*Inputs!$C$44^2))*EXP(-(((Model_Data!A73)-Inputs!$C$42)^2)/(2*Inputs!$C$45^2))+Inputs!$C$48*(0.7*(0.45*SIN(2*PI()*(((Model_Data!A73)/Inputs!$C$49)+Inputs!$C$47*0.137))+0.35*COS(2*PI()*(((0)/Inputs!$C$50)+Inputs!$C$47*0.173))+0.2*SIN(2*PI()*(((Model_Data!A73)+(0))/(0.5*(Inputs!$C$49+Inputs!$C$50))+Inputs!$C$47*0.097)))+0.3*(2*((SIN(((Model_Data!A73)*12.9898+(0)*78.233+Inputs!$C$47*37.719))*43758.5453)-INT((SIN(((Model_Data!A73)*12.9898+(0)*78.233+Inputs!$C$47*37.719))*43758.5453)))-1)))</f>
        <v>-113.61582851930044</v>
      </c>
      <c r="H73" s="10"/>
      <c r="I73" s="9">
        <f>Model_Data!A73</f>
        <v>-24.5</v>
      </c>
      <c r="J73" s="9">
        <f>(Inputs!$C$51*(115*EXP(-(((Inputs!$C$6)-25)^2)/(4.5^2))+70*EXP(-(((Inputs!$C$6)+38)^2)/(7^2))*(0.55+0.45*SIN(2*PI()*(Model_Data!A73)/45))+24*SIN(2*PI()*(Inputs!$C$6)/9+(Model_Data!A73)/18)*EXP(-(((Inputs!$C$6)+5)^2)/(22^2))+18*SIN(2*PI()*(Model_Data!A73)/70))+Inputs!$C$28*EXP(-(((Model_Data!A73)-Inputs!$C$29)^2)/(2*Inputs!$C$31^2))*EXP(-(((Inputs!$C$6)-Inputs!$C$30)^2)/(2*Inputs!$C$32^2))+-Inputs!$C$33*EXP(-(((((Model_Data!A73)-Inputs!$C$34)^2)+(((Inputs!$C$6)-Inputs!$C$35)^2))/(2*Inputs!$C$36^2)))+Inputs!$C$37*(0.55*SIN(2*PI()*(Model_Data!A73)/Inputs!$C$39)+0.35*COS(2*PI()*(Inputs!$C$6)/Inputs!$C$40)+0.2*SIN(2*PI()*((Model_Data!A73)+(Inputs!$C$6))/(0.5*(Inputs!$C$39+Inputs!$C$40))))+Inputs!$C$38*SIN(2*PI()*(Model_Data!A73)/Inputs!$C$39)*SIN(2*PI()*(Inputs!$C$6)/Inputs!$C$40)+-Inputs!$C$41*EXP(-(((Inputs!$C$6)-Inputs!$C$43)^2)/(2*Inputs!$C$44^2))*EXP(-(((Model_Data!A73)-Inputs!$C$42)^2)/(2*Inputs!$C$45^2))+Inputs!$C$48*(0.7*(0.45*SIN(2*PI()*(((Model_Data!A73)/Inputs!$C$49)+Inputs!$C$47*0.137))+0.35*COS(2*PI()*(((Inputs!$C$6)/Inputs!$C$50)+Inputs!$C$47*0.173))+0.2*SIN(2*PI()*(((Model_Data!A73)+(Inputs!$C$6))/(0.5*(Inputs!$C$49+Inputs!$C$50))+Inputs!$C$47*0.097)))+0.3*(2*((SIN(((Model_Data!A73)*12.9898+(Inputs!$C$6)*78.233+Inputs!$C$47*37.719))*43758.5453)-INT((SIN(((Model_Data!A73)*12.9898+(Inputs!$C$6)*78.233+Inputs!$C$47*37.719))*43758.5453)))-1)))</f>
        <v>276.49363528969542</v>
      </c>
      <c r="K73" s="9">
        <f>-((((SQRT((Model_Data!A73)^2+Inputs!$C$6^2+((Model_Data!B73)-((Inputs!$C$51*(115*EXP(-(((Inputs!$C$6)-25)^2)/(4.5^2))+70*EXP(-(((Inputs!$C$6)+38)^2)/(7^2))*(0.55+0.45*SIN(2*PI()*(Model_Data!A73)/45))+24*SIN(2*PI()*(Inputs!$C$6)/9+(Model_Data!A73)/18)*EXP(-(((Inputs!$C$6)+5)^2)/(22^2))+18*SIN(2*PI()*(Model_Data!A73)/70))+Inputs!$C$28*EXP(-(((Model_Data!A73)-Inputs!$C$29)^2)/(2*Inputs!$C$31^2))*EXP(-(((Inputs!$C$6)-Inputs!$C$30)^2)/(2*Inputs!$C$32^2))+-Inputs!$C$33*EXP(-(((((Model_Data!A73)-Inputs!$C$34)^2)+(((Inputs!$C$6)-Inputs!$C$35)^2))/(2*Inputs!$C$36^2)))+Inputs!$C$37*(0.55*SIN(2*PI()*(Model_Data!A73)/Inputs!$C$39)+0.35*COS(2*PI()*(Inputs!$C$6)/Inputs!$C$40)+0.2*SIN(2*PI()*((Model_Data!A73)+(Inputs!$C$6))/(0.5*(Inputs!$C$39+Inputs!$C$40))))+Inputs!$C$38*SIN(2*PI()*(Model_Data!A73)/Inputs!$C$39)*SIN(2*PI()*(Inputs!$C$6)/Inputs!$C$40)+-Inputs!$C$41*EXP(-(((Inputs!$C$6)-Inputs!$C$43)^2)/(2*Inputs!$C$44^2))*EXP(-(((Model_Data!A73)-Inputs!$C$42)^2)/(2*Inputs!$C$45^2))+Inputs!$C$48*(0.7*(0.45*SIN(2*PI()*(((Model_Data!A73)/Inputs!$C$49)+Inputs!$C$47*0.137))+0.35*COS(2*PI()*(((Inputs!$C$6)/Inputs!$C$50)+Inputs!$C$47*0.173))+0.2*SIN(2*PI()*(((Model_Data!A73)+(Inputs!$C$6))/(0.5*(Inputs!$C$49+Inputs!$C$50))+Inputs!$C$47*0.097)))+0.3*(2*((SIN(((Model_Data!A73)*12.9898+(Inputs!$C$6)*78.233+Inputs!$C$47*37.719))*43758.5453)-INT((SIN(((Model_Data!A73)*12.9898+(Inputs!$C$6)*78.233+Inputs!$C$47*37.719))*43758.5453)))-1))))/1000)^2))-(((Model_Data!B73)-((Inputs!$C$51*(115*EXP(-(((0)-25)^2)/(4.5^2))+70*EXP(-(((0)+38)^2)/(7^2))*(0.55+0.45*SIN(2*PI()*(Model_Data!A73)/45))+24*SIN(2*PI()*(0)/9+(Model_Data!A73)/18)*EXP(-(((0)+5)^2)/(22^2))+18*SIN(2*PI()*(Model_Data!A73)/70))+Inputs!$C$28*EXP(-(((Model_Data!A73)-Inputs!$C$29)^2)/(2*Inputs!$C$31^2))*EXP(-(((0)-Inputs!$C$30)^2)/(2*Inputs!$C$32^2))+-Inputs!$C$33*EXP(-(((((Model_Data!A73)-Inputs!$C$34)^2)+(((0)-Inputs!$C$35)^2))/(2*Inputs!$C$36^2)))+Inputs!$C$37*(0.55*SIN(2*PI()*(Model_Data!A73)/Inputs!$C$39)+0.35*COS(2*PI()*(0)/Inputs!$C$40)+0.2*SIN(2*PI()*((Model_Data!A73)+(0))/(0.5*(Inputs!$C$39+Inputs!$C$40))))+Inputs!$C$38*SIN(2*PI()*(Model_Data!A73)/Inputs!$C$39)*SIN(2*PI()*(0)/Inputs!$C$40)+-Inputs!$C$41*EXP(-(((0)-Inputs!$C$43)^2)/(2*Inputs!$C$44^2))*EXP(-(((Model_Data!A73)-Inputs!$C$42)^2)/(2*Inputs!$C$45^2))+Inputs!$C$48*(0.7*(0.45*SIN(2*PI()*(((Model_Data!A73)/Inputs!$C$49)+Inputs!$C$47*0.137))+0.35*COS(2*PI()*(((0)/Inputs!$C$50)+Inputs!$C$47*0.173))+0.2*SIN(2*PI()*(((Model_Data!A73)+(0))/(0.5*(Inputs!$C$49+Inputs!$C$50))+Inputs!$C$47*0.097)))+0.3*(2*((SIN(((Model_Data!A73)*12.9898+(0)*78.233+Inputs!$C$47*37.719))*43758.5453)-INT((SIN(((Model_Data!A73)*12.9898+(0)*78.233+Inputs!$C$47*37.719))*43758.5453)))-1))))/1000)))*1000/Inputs!$C$12)-Model_Data!F73)</f>
        <v>218.57280817254775</v>
      </c>
      <c r="L73" s="10"/>
      <c r="M73" s="9">
        <f>Model_Data!A73</f>
        <v>-24.5</v>
      </c>
      <c r="N73" s="9">
        <f>Model_Data!P73</f>
        <v>184.2462034324345</v>
      </c>
      <c r="O73" s="9">
        <f t="shared" si="2"/>
        <v>197.55139251892615</v>
      </c>
      <c r="P73" s="9">
        <f>Model_Data!Q73</f>
        <v>27.664595109975153</v>
      </c>
      <c r="Q73" s="9">
        <f t="shared" si="3"/>
        <v>29.662371249088014</v>
      </c>
      <c r="R73" s="10"/>
      <c r="S73" s="9">
        <f>Model_Data!A73</f>
        <v>-24.5</v>
      </c>
      <c r="T73" s="9">
        <f>Model_Data!B73-Inputs!$C$5</f>
        <v>0.66694444444442524</v>
      </c>
      <c r="U73" s="10"/>
      <c r="V73" s="9">
        <f>Model_Data!A73</f>
        <v>-24.5</v>
      </c>
      <c r="W73" s="9">
        <f>((SQRT((Model_Data!A73)^2+Inputs!$C$6^2+Inputs!$C$5^2)-Inputs!$C$5)*1000/Inputs!$C$12)</f>
        <v>858.78739814219307</v>
      </c>
      <c r="X73" s="9">
        <f>Model_Data!F73</f>
        <v>857.36330173478075</v>
      </c>
      <c r="Y73" s="10"/>
      <c r="Z73" s="9">
        <f>Model_Data!A73</f>
        <v>-24.5</v>
      </c>
      <c r="AA73" s="9">
        <f>SQRT((Model_Data!A73)^2+Inputs!$C$6^2+((Model_Data!B73)-((Inputs!$C$51*(115*EXP(-(((Inputs!$C$6)-25)^2)/(4.5^2))+70*EXP(-(((Inputs!$C$6)+38)^2)/(7^2))*(0.55+0.45*SIN(2*PI()*(Model_Data!A73)/45))+24*SIN(2*PI()*(Inputs!$C$6)/9+(Model_Data!A73)/18)*EXP(-(((Inputs!$C$6)+5)^2)/(22^2))+18*SIN(2*PI()*(Model_Data!A73)/70))+Inputs!$C$28*EXP(-(((Model_Data!A73)-Inputs!$C$29)^2)/(2*Inputs!$C$31^2))*EXP(-(((Inputs!$C$6)-Inputs!$C$30)^2)/(2*Inputs!$C$32^2))+-Inputs!$C$33*EXP(-(((((Model_Data!A73)-Inputs!$C$34)^2)+(((Inputs!$C$6)-Inputs!$C$35)^2))/(2*Inputs!$C$36^2)))+Inputs!$C$37*(0.55*SIN(2*PI()*(Model_Data!A73)/Inputs!$C$39)+0.35*COS(2*PI()*(Inputs!$C$6)/Inputs!$C$40)+0.2*SIN(2*PI()*((Model_Data!A73)+(Inputs!$C$6))/(0.5*(Inputs!$C$39+Inputs!$C$40))))+Inputs!$C$38*SIN(2*PI()*(Model_Data!A73)/Inputs!$C$39)*SIN(2*PI()*(Inputs!$C$6)/Inputs!$C$40)+-Inputs!$C$41*EXP(-(((Inputs!$C$6)-Inputs!$C$43)^2)/(2*Inputs!$C$44^2))*EXP(-(((Model_Data!A73)-Inputs!$C$42)^2)/(2*Inputs!$C$45^2))+Inputs!$C$48*(0.7*(0.45*SIN(2*PI()*(((Model_Data!A73)/Inputs!$C$49)+Inputs!$C$47*0.137))+0.35*COS(2*PI()*(((Inputs!$C$6)/Inputs!$C$50)+Inputs!$C$47*0.173))+0.2*SIN(2*PI()*(((Model_Data!A73)+(Inputs!$C$6))/(0.5*(Inputs!$C$49+Inputs!$C$50))+Inputs!$C$47*0.097)))+0.3*(2*((SIN(((Model_Data!A73)*12.9898+(Inputs!$C$6)*78.233+Inputs!$C$47*37.719))*43758.5453)-INT((SIN(((Model_Data!A73)*12.9898+(Inputs!$C$6)*78.233+Inputs!$C$47*37.719))*43758.5453)))-1))))/1000)^2)</f>
        <v>401.9176073515045</v>
      </c>
      <c r="AB73" s="9">
        <f>1000*(AA74-AA72)/(Z74-Z72)*Inputs!$C$11</f>
        <v>-493.87848129731537</v>
      </c>
      <c r="AC73" s="9">
        <f>-2*AB73/Inputs!$C$13</f>
        <v>197.55139251892615</v>
      </c>
      <c r="AD73" s="9">
        <f>-2*AB73/Inputs!$C$14</f>
        <v>29.662371249088014</v>
      </c>
    </row>
    <row r="74" spans="1:30">
      <c r="A74" s="9">
        <f>Model_Data!A74</f>
        <v>-24</v>
      </c>
      <c r="B74" s="9">
        <f>((SQRT((Model_Data!A74)^2+Inputs!$C$6^2+Inputs!$C$5^2)-Inputs!$C$5)*1000/Inputs!$C$12)</f>
        <v>841.8220980150237</v>
      </c>
      <c r="C74" s="9">
        <f>Model_Data!F74</f>
        <v>840.48234114978698</v>
      </c>
      <c r="D74" s="9">
        <f>(((SQRT((Model_Data!A74)^2+Inputs!$C$6^2+((Model_Data!B74)-((Inputs!$C$51*(115*EXP(-(((Inputs!$C$6)-25)^2)/(4.5^2))+70*EXP(-(((Inputs!$C$6)+38)^2)/(7^2))*(0.55+0.45*SIN(2*PI()*(Model_Data!A74)/45))+24*SIN(2*PI()*(Inputs!$C$6)/9+(Model_Data!A74)/18)*EXP(-(((Inputs!$C$6)+5)^2)/(22^2))+18*SIN(2*PI()*(Model_Data!A74)/70))+Inputs!$C$28*EXP(-(((Model_Data!A74)-Inputs!$C$29)^2)/(2*Inputs!$C$31^2))*EXP(-(((Inputs!$C$6)-Inputs!$C$30)^2)/(2*Inputs!$C$32^2))+-Inputs!$C$33*EXP(-(((((Model_Data!A74)-Inputs!$C$34)^2)+(((Inputs!$C$6)-Inputs!$C$35)^2))/(2*Inputs!$C$36^2)))+Inputs!$C$37*(0.55*SIN(2*PI()*(Model_Data!A74)/Inputs!$C$39)+0.35*COS(2*PI()*(Inputs!$C$6)/Inputs!$C$40)+0.2*SIN(2*PI()*((Model_Data!A74)+(Inputs!$C$6))/(0.5*(Inputs!$C$39+Inputs!$C$40))))+Inputs!$C$38*SIN(2*PI()*(Model_Data!A74)/Inputs!$C$39)*SIN(2*PI()*(Inputs!$C$6)/Inputs!$C$40)+-Inputs!$C$41*EXP(-(((Inputs!$C$6)-Inputs!$C$43)^2)/(2*Inputs!$C$44^2))*EXP(-(((Model_Data!A74)-Inputs!$C$42)^2)/(2*Inputs!$C$45^2))+Inputs!$C$48*(0.7*(0.45*SIN(2*PI()*(((Model_Data!A74)/Inputs!$C$49)+Inputs!$C$47*0.137))+0.35*COS(2*PI()*(((Inputs!$C$6)/Inputs!$C$50)+Inputs!$C$47*0.173))+0.2*SIN(2*PI()*(((Model_Data!A74)+(Inputs!$C$6))/(0.5*(Inputs!$C$49+Inputs!$C$50))+Inputs!$C$47*0.097)))+0.3*(2*((SIN(((Model_Data!A74)*12.9898+(Inputs!$C$6)*78.233+Inputs!$C$47*37.719))*43758.5453)-INT((SIN(((Model_Data!A74)*12.9898+(Inputs!$C$6)*78.233+Inputs!$C$47*37.719))*43758.5453)))-1))))/1000)^2))-(((Model_Data!B74)-((Inputs!$C$51*(115*EXP(-(((0)-25)^2)/(4.5^2))+70*EXP(-(((0)+38)^2)/(7^2))*(0.55+0.45*SIN(2*PI()*(Model_Data!A74)/45))+24*SIN(2*PI()*(0)/9+(Model_Data!A74)/18)*EXP(-(((0)+5)^2)/(22^2))+18*SIN(2*PI()*(Model_Data!A74)/70))+Inputs!$C$28*EXP(-(((Model_Data!A74)-Inputs!$C$29)^2)/(2*Inputs!$C$31^2))*EXP(-(((0)-Inputs!$C$30)^2)/(2*Inputs!$C$32^2))+-Inputs!$C$33*EXP(-(((((Model_Data!A74)-Inputs!$C$34)^2)+(((0)-Inputs!$C$35)^2))/(2*Inputs!$C$36^2)))+Inputs!$C$37*(0.55*SIN(2*PI()*(Model_Data!A74)/Inputs!$C$39)+0.35*COS(2*PI()*(0)/Inputs!$C$40)+0.2*SIN(2*PI()*((Model_Data!A74)+(0))/(0.5*(Inputs!$C$39+Inputs!$C$40))))+Inputs!$C$38*SIN(2*PI()*(Model_Data!A74)/Inputs!$C$39)*SIN(2*PI()*(0)/Inputs!$C$40)+-Inputs!$C$41*EXP(-(((0)-Inputs!$C$43)^2)/(2*Inputs!$C$44^2))*EXP(-(((Model_Data!A74)-Inputs!$C$42)^2)/(2*Inputs!$C$45^2))+Inputs!$C$48*(0.7*(0.45*SIN(2*PI()*(((Model_Data!A74)/Inputs!$C$49)+Inputs!$C$47*0.137))+0.35*COS(2*PI()*(((0)/Inputs!$C$50)+Inputs!$C$47*0.173))+0.2*SIN(2*PI()*(((Model_Data!A74)+(0))/(0.5*(Inputs!$C$49+Inputs!$C$50))+Inputs!$C$47*0.097)))+0.3*(2*((SIN(((Model_Data!A74)*12.9898+(0)*78.233+Inputs!$C$47*37.719))*43758.5453)-INT((SIN(((Model_Data!A74)*12.9898+(0)*78.233+Inputs!$C$47*37.719))*43758.5453)))-1))))/1000)))*1000/Inputs!$C$12)</f>
        <v>627.52287108107055</v>
      </c>
      <c r="E74" s="9">
        <f>Model_Data!A74</f>
        <v>-24</v>
      </c>
      <c r="F74" s="9">
        <f>(Inputs!$C$51*(115*EXP(-(((Inputs!$C$6)-25)^2)/(4.5^2))+70*EXP(-(((Inputs!$C$6)+38)^2)/(7^2))*(0.55+0.45*SIN(2*PI()*(Model_Data!A74)/45))+24*SIN(2*PI()*(Inputs!$C$6)/9+(Model_Data!A74)/18)*EXP(-(((Inputs!$C$6)+5)^2)/(22^2))+18*SIN(2*PI()*(Model_Data!A74)/70))+Inputs!$C$28*EXP(-(((Model_Data!A74)-Inputs!$C$29)^2)/(2*Inputs!$C$31^2))*EXP(-(((Inputs!$C$6)-Inputs!$C$30)^2)/(2*Inputs!$C$32^2))+-Inputs!$C$33*EXP(-(((((Model_Data!A74)-Inputs!$C$34)^2)+(((Inputs!$C$6)-Inputs!$C$35)^2))/(2*Inputs!$C$36^2)))+Inputs!$C$37*(0.55*SIN(2*PI()*(Model_Data!A74)/Inputs!$C$39)+0.35*COS(2*PI()*(Inputs!$C$6)/Inputs!$C$40)+0.2*SIN(2*PI()*((Model_Data!A74)+(Inputs!$C$6))/(0.5*(Inputs!$C$39+Inputs!$C$40))))+Inputs!$C$38*SIN(2*PI()*(Model_Data!A74)/Inputs!$C$39)*SIN(2*PI()*(Inputs!$C$6)/Inputs!$C$40)+-Inputs!$C$41*EXP(-(((Inputs!$C$6)-Inputs!$C$43)^2)/(2*Inputs!$C$44^2))*EXP(-(((Model_Data!A74)-Inputs!$C$42)^2)/(2*Inputs!$C$45^2))+Inputs!$C$48*(0.7*(0.45*SIN(2*PI()*(((Model_Data!A74)/Inputs!$C$49)+Inputs!$C$47*0.137))+0.35*COS(2*PI()*(((Inputs!$C$6)/Inputs!$C$50)+Inputs!$C$47*0.173))+0.2*SIN(2*PI()*(((Model_Data!A74)+(Inputs!$C$6))/(0.5*(Inputs!$C$49+Inputs!$C$50))+Inputs!$C$47*0.097)))+0.3*(2*((SIN(((Model_Data!A74)*12.9898+(Inputs!$C$6)*78.233+Inputs!$C$47*37.719))*43758.5453)-INT((SIN(((Model_Data!A74)*12.9898+(Inputs!$C$6)*78.233+Inputs!$C$47*37.719))*43758.5453)))-1)))</f>
        <v>268.57917598156757</v>
      </c>
      <c r="G74" s="9">
        <f>(Inputs!$C$51*(115*EXP(-(((0)-25)^2)/(4.5^2))+70*EXP(-(((0)+38)^2)/(7^2))*(0.55+0.45*SIN(2*PI()*(Model_Data!A74)/45))+24*SIN(2*PI()*(0)/9+(Model_Data!A74)/18)*EXP(-(((0)+5)^2)/(22^2))+18*SIN(2*PI()*(Model_Data!A74)/70))+Inputs!$C$28*EXP(-(((Model_Data!A74)-Inputs!$C$29)^2)/(2*Inputs!$C$31^2))*EXP(-(((0)-Inputs!$C$30)^2)/(2*Inputs!$C$32^2))+-Inputs!$C$33*EXP(-(((((Model_Data!A74)-Inputs!$C$34)^2)+(((0)-Inputs!$C$35)^2))/(2*Inputs!$C$36^2)))+Inputs!$C$37*(0.55*SIN(2*PI()*(Model_Data!A74)/Inputs!$C$39)+0.35*COS(2*PI()*(0)/Inputs!$C$40)+0.2*SIN(2*PI()*((Model_Data!A74)+(0))/(0.5*(Inputs!$C$39+Inputs!$C$40))))+Inputs!$C$38*SIN(2*PI()*(Model_Data!A74)/Inputs!$C$39)*SIN(2*PI()*(0)/Inputs!$C$40)+-Inputs!$C$41*EXP(-(((0)-Inputs!$C$43)^2)/(2*Inputs!$C$44^2))*EXP(-(((Model_Data!A74)-Inputs!$C$42)^2)/(2*Inputs!$C$45^2))+Inputs!$C$48*(0.7*(0.45*SIN(2*PI()*(((Model_Data!A74)/Inputs!$C$49)+Inputs!$C$47*0.137))+0.35*COS(2*PI()*(((0)/Inputs!$C$50)+Inputs!$C$47*0.173))+0.2*SIN(2*PI()*(((Model_Data!A74)+(0))/(0.5*(Inputs!$C$49+Inputs!$C$50))+Inputs!$C$47*0.097)))+0.3*(2*((SIN(((Model_Data!A74)*12.9898+(0)*78.233+Inputs!$C$47*37.719))*43758.5453)-INT((SIN(((Model_Data!A74)*12.9898+(0)*78.233+Inputs!$C$47*37.719))*43758.5453)))-1)))</f>
        <v>-111.48853690711687</v>
      </c>
      <c r="H74" s="10"/>
      <c r="I74" s="9">
        <f>Model_Data!A74</f>
        <v>-24</v>
      </c>
      <c r="J74" s="9">
        <f>(Inputs!$C$51*(115*EXP(-(((Inputs!$C$6)-25)^2)/(4.5^2))+70*EXP(-(((Inputs!$C$6)+38)^2)/(7^2))*(0.55+0.45*SIN(2*PI()*(Model_Data!A74)/45))+24*SIN(2*PI()*(Inputs!$C$6)/9+(Model_Data!A74)/18)*EXP(-(((Inputs!$C$6)+5)^2)/(22^2))+18*SIN(2*PI()*(Model_Data!A74)/70))+Inputs!$C$28*EXP(-(((Model_Data!A74)-Inputs!$C$29)^2)/(2*Inputs!$C$31^2))*EXP(-(((Inputs!$C$6)-Inputs!$C$30)^2)/(2*Inputs!$C$32^2))+-Inputs!$C$33*EXP(-(((((Model_Data!A74)-Inputs!$C$34)^2)+(((Inputs!$C$6)-Inputs!$C$35)^2))/(2*Inputs!$C$36^2)))+Inputs!$C$37*(0.55*SIN(2*PI()*(Model_Data!A74)/Inputs!$C$39)+0.35*COS(2*PI()*(Inputs!$C$6)/Inputs!$C$40)+0.2*SIN(2*PI()*((Model_Data!A74)+(Inputs!$C$6))/(0.5*(Inputs!$C$39+Inputs!$C$40))))+Inputs!$C$38*SIN(2*PI()*(Model_Data!A74)/Inputs!$C$39)*SIN(2*PI()*(Inputs!$C$6)/Inputs!$C$40)+-Inputs!$C$41*EXP(-(((Inputs!$C$6)-Inputs!$C$43)^2)/(2*Inputs!$C$44^2))*EXP(-(((Model_Data!A74)-Inputs!$C$42)^2)/(2*Inputs!$C$45^2))+Inputs!$C$48*(0.7*(0.45*SIN(2*PI()*(((Model_Data!A74)/Inputs!$C$49)+Inputs!$C$47*0.137))+0.35*COS(2*PI()*(((Inputs!$C$6)/Inputs!$C$50)+Inputs!$C$47*0.173))+0.2*SIN(2*PI()*(((Model_Data!A74)+(Inputs!$C$6))/(0.5*(Inputs!$C$49+Inputs!$C$50))+Inputs!$C$47*0.097)))+0.3*(2*((SIN(((Model_Data!A74)*12.9898+(Inputs!$C$6)*78.233+Inputs!$C$47*37.719))*43758.5453)-INT((SIN(((Model_Data!A74)*12.9898+(Inputs!$C$6)*78.233+Inputs!$C$47*37.719))*43758.5453)))-1)))</f>
        <v>268.57917598156757</v>
      </c>
      <c r="K74" s="9">
        <f>-((((SQRT((Model_Data!A74)^2+Inputs!$C$6^2+((Model_Data!B74)-((Inputs!$C$51*(115*EXP(-(((Inputs!$C$6)-25)^2)/(4.5^2))+70*EXP(-(((Inputs!$C$6)+38)^2)/(7^2))*(0.55+0.45*SIN(2*PI()*(Model_Data!A74)/45))+24*SIN(2*PI()*(Inputs!$C$6)/9+(Model_Data!A74)/18)*EXP(-(((Inputs!$C$6)+5)^2)/(22^2))+18*SIN(2*PI()*(Model_Data!A74)/70))+Inputs!$C$28*EXP(-(((Model_Data!A74)-Inputs!$C$29)^2)/(2*Inputs!$C$31^2))*EXP(-(((Inputs!$C$6)-Inputs!$C$30)^2)/(2*Inputs!$C$32^2))+-Inputs!$C$33*EXP(-(((((Model_Data!A74)-Inputs!$C$34)^2)+(((Inputs!$C$6)-Inputs!$C$35)^2))/(2*Inputs!$C$36^2)))+Inputs!$C$37*(0.55*SIN(2*PI()*(Model_Data!A74)/Inputs!$C$39)+0.35*COS(2*PI()*(Inputs!$C$6)/Inputs!$C$40)+0.2*SIN(2*PI()*((Model_Data!A74)+(Inputs!$C$6))/(0.5*(Inputs!$C$39+Inputs!$C$40))))+Inputs!$C$38*SIN(2*PI()*(Model_Data!A74)/Inputs!$C$39)*SIN(2*PI()*(Inputs!$C$6)/Inputs!$C$40)+-Inputs!$C$41*EXP(-(((Inputs!$C$6)-Inputs!$C$43)^2)/(2*Inputs!$C$44^2))*EXP(-(((Model_Data!A74)-Inputs!$C$42)^2)/(2*Inputs!$C$45^2))+Inputs!$C$48*(0.7*(0.45*SIN(2*PI()*(((Model_Data!A74)/Inputs!$C$49)+Inputs!$C$47*0.137))+0.35*COS(2*PI()*(((Inputs!$C$6)/Inputs!$C$50)+Inputs!$C$47*0.173))+0.2*SIN(2*PI()*(((Model_Data!A74)+(Inputs!$C$6))/(0.5*(Inputs!$C$49+Inputs!$C$50))+Inputs!$C$47*0.097)))+0.3*(2*((SIN(((Model_Data!A74)*12.9898+(Inputs!$C$6)*78.233+Inputs!$C$47*37.719))*43758.5453)-INT((SIN(((Model_Data!A74)*12.9898+(Inputs!$C$6)*78.233+Inputs!$C$47*37.719))*43758.5453)))-1))))/1000)^2))-(((Model_Data!B74)-((Inputs!$C$51*(115*EXP(-(((0)-25)^2)/(4.5^2))+70*EXP(-(((0)+38)^2)/(7^2))*(0.55+0.45*SIN(2*PI()*(Model_Data!A74)/45))+24*SIN(2*PI()*(0)/9+(Model_Data!A74)/18)*EXP(-(((0)+5)^2)/(22^2))+18*SIN(2*PI()*(Model_Data!A74)/70))+Inputs!$C$28*EXP(-(((Model_Data!A74)-Inputs!$C$29)^2)/(2*Inputs!$C$31^2))*EXP(-(((0)-Inputs!$C$30)^2)/(2*Inputs!$C$32^2))+-Inputs!$C$33*EXP(-(((((Model_Data!A74)-Inputs!$C$34)^2)+(((0)-Inputs!$C$35)^2))/(2*Inputs!$C$36^2)))+Inputs!$C$37*(0.55*SIN(2*PI()*(Model_Data!A74)/Inputs!$C$39)+0.35*COS(2*PI()*(0)/Inputs!$C$40)+0.2*SIN(2*PI()*((Model_Data!A74)+(0))/(0.5*(Inputs!$C$39+Inputs!$C$40))))+Inputs!$C$38*SIN(2*PI()*(Model_Data!A74)/Inputs!$C$39)*SIN(2*PI()*(0)/Inputs!$C$40)+-Inputs!$C$41*EXP(-(((0)-Inputs!$C$43)^2)/(2*Inputs!$C$44^2))*EXP(-(((Model_Data!A74)-Inputs!$C$42)^2)/(2*Inputs!$C$45^2))+Inputs!$C$48*(0.7*(0.45*SIN(2*PI()*(((Model_Data!A74)/Inputs!$C$49)+Inputs!$C$47*0.137))+0.35*COS(2*PI()*(((0)/Inputs!$C$50)+Inputs!$C$47*0.173))+0.2*SIN(2*PI()*(((Model_Data!A74)+(0))/(0.5*(Inputs!$C$49+Inputs!$C$50))+Inputs!$C$47*0.097)))+0.3*(2*((SIN(((Model_Data!A74)*12.9898+(0)*78.233+Inputs!$C$47*37.719))*43758.5453)-INT((SIN(((Model_Data!A74)*12.9898+(0)*78.233+Inputs!$C$47*37.719))*43758.5453)))-1))))/1000)))*1000/Inputs!$C$12)-Model_Data!F74)</f>
        <v>212.95947006871643</v>
      </c>
      <c r="L74" s="10"/>
      <c r="M74" s="9">
        <f>Model_Data!A74</f>
        <v>-24</v>
      </c>
      <c r="N74" s="9">
        <f>Model_Data!P74</f>
        <v>180.50593852560041</v>
      </c>
      <c r="O74" s="9">
        <f t="shared" si="2"/>
        <v>176.49125140769684</v>
      </c>
      <c r="P74" s="9">
        <f>Model_Data!Q74</f>
        <v>27.102993772612678</v>
      </c>
      <c r="Q74" s="9">
        <f t="shared" si="3"/>
        <v>26.500187899053582</v>
      </c>
      <c r="R74" s="10"/>
      <c r="S74" s="9">
        <f>Model_Data!A74</f>
        <v>-24</v>
      </c>
      <c r="T74" s="9">
        <f>Model_Data!B74-Inputs!$C$5</f>
        <v>0.63999999999998636</v>
      </c>
      <c r="U74" s="10"/>
      <c r="V74" s="9">
        <f>Model_Data!A74</f>
        <v>-24</v>
      </c>
      <c r="W74" s="9">
        <f>((SQRT((Model_Data!A74)^2+Inputs!$C$6^2+Inputs!$C$5^2)-Inputs!$C$5)*1000/Inputs!$C$12)</f>
        <v>841.8220980150237</v>
      </c>
      <c r="X74" s="9">
        <f>Model_Data!F74</f>
        <v>840.48234114978698</v>
      </c>
      <c r="Y74" s="10"/>
      <c r="Z74" s="9">
        <f>Model_Data!A74</f>
        <v>-24</v>
      </c>
      <c r="AA74" s="9">
        <f>SQRT((Model_Data!A74)^2+Inputs!$C$6^2+((Model_Data!B74)-((Inputs!$C$51*(115*EXP(-(((Inputs!$C$6)-25)^2)/(4.5^2))+70*EXP(-(((Inputs!$C$6)+38)^2)/(7^2))*(0.55+0.45*SIN(2*PI()*(Model_Data!A74)/45))+24*SIN(2*PI()*(Inputs!$C$6)/9+(Model_Data!A74)/18)*EXP(-(((Inputs!$C$6)+5)^2)/(22^2))+18*SIN(2*PI()*(Model_Data!A74)/70))+Inputs!$C$28*EXP(-(((Model_Data!A74)-Inputs!$C$29)^2)/(2*Inputs!$C$31^2))*EXP(-(((Inputs!$C$6)-Inputs!$C$30)^2)/(2*Inputs!$C$32^2))+-Inputs!$C$33*EXP(-(((((Model_Data!A74)-Inputs!$C$34)^2)+(((Inputs!$C$6)-Inputs!$C$35)^2))/(2*Inputs!$C$36^2)))+Inputs!$C$37*(0.55*SIN(2*PI()*(Model_Data!A74)/Inputs!$C$39)+0.35*COS(2*PI()*(Inputs!$C$6)/Inputs!$C$40)+0.2*SIN(2*PI()*((Model_Data!A74)+(Inputs!$C$6))/(0.5*(Inputs!$C$39+Inputs!$C$40))))+Inputs!$C$38*SIN(2*PI()*(Model_Data!A74)/Inputs!$C$39)*SIN(2*PI()*(Inputs!$C$6)/Inputs!$C$40)+-Inputs!$C$41*EXP(-(((Inputs!$C$6)-Inputs!$C$43)^2)/(2*Inputs!$C$44^2))*EXP(-(((Model_Data!A74)-Inputs!$C$42)^2)/(2*Inputs!$C$45^2))+Inputs!$C$48*(0.7*(0.45*SIN(2*PI()*(((Model_Data!A74)/Inputs!$C$49)+Inputs!$C$47*0.137))+0.35*COS(2*PI()*(((Inputs!$C$6)/Inputs!$C$50)+Inputs!$C$47*0.173))+0.2*SIN(2*PI()*(((Model_Data!A74)+(Inputs!$C$6))/(0.5*(Inputs!$C$49+Inputs!$C$50))+Inputs!$C$47*0.097)))+0.3*(2*((SIN(((Model_Data!A74)*12.9898+(Inputs!$C$6)*78.233+Inputs!$C$47*37.719))*43758.5453)-INT((SIN(((Model_Data!A74)*12.9898+(Inputs!$C$6)*78.233+Inputs!$C$47*37.719))*43758.5453)))-1))))/1000)^2)</f>
        <v>401.86847924743142</v>
      </c>
      <c r="AB74" s="9">
        <f>1000*(AA75-AA73)/(Z75-Z73)*Inputs!$C$11</f>
        <v>-441.22812851924209</v>
      </c>
      <c r="AC74" s="9">
        <f>-2*AB74/Inputs!$C$13</f>
        <v>176.49125140769684</v>
      </c>
      <c r="AD74" s="9">
        <f>-2*AB74/Inputs!$C$14</f>
        <v>26.500187899053582</v>
      </c>
    </row>
    <row r="75" spans="1:30">
      <c r="A75" s="9">
        <f>Model_Data!A75</f>
        <v>-23.5</v>
      </c>
      <c r="B75" s="9">
        <f>((SQRT((Model_Data!A75)^2+Inputs!$C$6^2+Inputs!$C$5^2)-Inputs!$C$5)*1000/Inputs!$C$12)</f>
        <v>825.20536096770104</v>
      </c>
      <c r="C75" s="9">
        <f>Model_Data!F75</f>
        <v>823.94602583296285</v>
      </c>
      <c r="D75" s="9">
        <f>(((SQRT((Model_Data!A75)^2+Inputs!$C$6^2+((Model_Data!B75)-((Inputs!$C$51*(115*EXP(-(((Inputs!$C$6)-25)^2)/(4.5^2))+70*EXP(-(((Inputs!$C$6)+38)^2)/(7^2))*(0.55+0.45*SIN(2*PI()*(Model_Data!A75)/45))+24*SIN(2*PI()*(Inputs!$C$6)/9+(Model_Data!A75)/18)*EXP(-(((Inputs!$C$6)+5)^2)/(22^2))+18*SIN(2*PI()*(Model_Data!A75)/70))+Inputs!$C$28*EXP(-(((Model_Data!A75)-Inputs!$C$29)^2)/(2*Inputs!$C$31^2))*EXP(-(((Inputs!$C$6)-Inputs!$C$30)^2)/(2*Inputs!$C$32^2))+-Inputs!$C$33*EXP(-(((((Model_Data!A75)-Inputs!$C$34)^2)+(((Inputs!$C$6)-Inputs!$C$35)^2))/(2*Inputs!$C$36^2)))+Inputs!$C$37*(0.55*SIN(2*PI()*(Model_Data!A75)/Inputs!$C$39)+0.35*COS(2*PI()*(Inputs!$C$6)/Inputs!$C$40)+0.2*SIN(2*PI()*((Model_Data!A75)+(Inputs!$C$6))/(0.5*(Inputs!$C$39+Inputs!$C$40))))+Inputs!$C$38*SIN(2*PI()*(Model_Data!A75)/Inputs!$C$39)*SIN(2*PI()*(Inputs!$C$6)/Inputs!$C$40)+-Inputs!$C$41*EXP(-(((Inputs!$C$6)-Inputs!$C$43)^2)/(2*Inputs!$C$44^2))*EXP(-(((Model_Data!A75)-Inputs!$C$42)^2)/(2*Inputs!$C$45^2))+Inputs!$C$48*(0.7*(0.45*SIN(2*PI()*(((Model_Data!A75)/Inputs!$C$49)+Inputs!$C$47*0.137))+0.35*COS(2*PI()*(((Inputs!$C$6)/Inputs!$C$50)+Inputs!$C$47*0.173))+0.2*SIN(2*PI()*(((Model_Data!A75)+(Inputs!$C$6))/(0.5*(Inputs!$C$49+Inputs!$C$50))+Inputs!$C$47*0.097)))+0.3*(2*((SIN(((Model_Data!A75)*12.9898+(Inputs!$C$6)*78.233+Inputs!$C$47*37.719))*43758.5453)-INT((SIN(((Model_Data!A75)*12.9898+(Inputs!$C$6)*78.233+Inputs!$C$47*37.719))*43758.5453)))-1))))/1000)^2))-(((Model_Data!B75)-((Inputs!$C$51*(115*EXP(-(((0)-25)^2)/(4.5^2))+70*EXP(-(((0)+38)^2)/(7^2))*(0.55+0.45*SIN(2*PI()*(Model_Data!A75)/45))+24*SIN(2*PI()*(0)/9+(Model_Data!A75)/18)*EXP(-(((0)+5)^2)/(22^2))+18*SIN(2*PI()*(Model_Data!A75)/70))+Inputs!$C$28*EXP(-(((Model_Data!A75)-Inputs!$C$29)^2)/(2*Inputs!$C$31^2))*EXP(-(((0)-Inputs!$C$30)^2)/(2*Inputs!$C$32^2))+-Inputs!$C$33*EXP(-(((((Model_Data!A75)-Inputs!$C$34)^2)+(((0)-Inputs!$C$35)^2))/(2*Inputs!$C$36^2)))+Inputs!$C$37*(0.55*SIN(2*PI()*(Model_Data!A75)/Inputs!$C$39)+0.35*COS(2*PI()*(0)/Inputs!$C$40)+0.2*SIN(2*PI()*((Model_Data!A75)+(0))/(0.5*(Inputs!$C$39+Inputs!$C$40))))+Inputs!$C$38*SIN(2*PI()*(Model_Data!A75)/Inputs!$C$39)*SIN(2*PI()*(0)/Inputs!$C$40)+-Inputs!$C$41*EXP(-(((0)-Inputs!$C$43)^2)/(2*Inputs!$C$44^2))*EXP(-(((Model_Data!A75)-Inputs!$C$42)^2)/(2*Inputs!$C$45^2))+Inputs!$C$48*(0.7*(0.45*SIN(2*PI()*(((Model_Data!A75)/Inputs!$C$49)+Inputs!$C$47*0.137))+0.35*COS(2*PI()*(((0)/Inputs!$C$50)+Inputs!$C$47*0.173))+0.2*SIN(2*PI()*(((Model_Data!A75)+(0))/(0.5*(Inputs!$C$49+Inputs!$C$50))+Inputs!$C$47*0.097)))+0.3*(2*((SIN(((Model_Data!A75)*12.9898+(0)*78.233+Inputs!$C$47*37.719))*43758.5453)-INT((SIN(((Model_Data!A75)*12.9898+(0)*78.233+Inputs!$C$47*37.719))*43758.5453)))-1))))/1000)))*1000/Inputs!$C$12)</f>
        <v>600.02111253771841</v>
      </c>
      <c r="E75" s="9">
        <f>Model_Data!A75</f>
        <v>-23.5</v>
      </c>
      <c r="F75" s="9">
        <f>(Inputs!$C$51*(115*EXP(-(((Inputs!$C$6)-25)^2)/(4.5^2))+70*EXP(-(((Inputs!$C$6)+38)^2)/(7^2))*(0.55+0.45*SIN(2*PI()*(Model_Data!A75)/45))+24*SIN(2*PI()*(Inputs!$C$6)/9+(Model_Data!A75)/18)*EXP(-(((Inputs!$C$6)+5)^2)/(22^2))+18*SIN(2*PI()*(Model_Data!A75)/70))+Inputs!$C$28*EXP(-(((Model_Data!A75)-Inputs!$C$29)^2)/(2*Inputs!$C$31^2))*EXP(-(((Inputs!$C$6)-Inputs!$C$30)^2)/(2*Inputs!$C$32^2))+-Inputs!$C$33*EXP(-(((((Model_Data!A75)-Inputs!$C$34)^2)+(((Inputs!$C$6)-Inputs!$C$35)^2))/(2*Inputs!$C$36^2)))+Inputs!$C$37*(0.55*SIN(2*PI()*(Model_Data!A75)/Inputs!$C$39)+0.35*COS(2*PI()*(Inputs!$C$6)/Inputs!$C$40)+0.2*SIN(2*PI()*((Model_Data!A75)+(Inputs!$C$6))/(0.5*(Inputs!$C$39+Inputs!$C$40))))+Inputs!$C$38*SIN(2*PI()*(Model_Data!A75)/Inputs!$C$39)*SIN(2*PI()*(Inputs!$C$6)/Inputs!$C$40)+-Inputs!$C$41*EXP(-(((Inputs!$C$6)-Inputs!$C$43)^2)/(2*Inputs!$C$44^2))*EXP(-(((Model_Data!A75)-Inputs!$C$42)^2)/(2*Inputs!$C$45^2))+Inputs!$C$48*(0.7*(0.45*SIN(2*PI()*(((Model_Data!A75)/Inputs!$C$49)+Inputs!$C$47*0.137))+0.35*COS(2*PI()*(((Inputs!$C$6)/Inputs!$C$50)+Inputs!$C$47*0.173))+0.2*SIN(2*PI()*(((Model_Data!A75)+(Inputs!$C$6))/(0.5*(Inputs!$C$49+Inputs!$C$50))+Inputs!$C$47*0.097)))+0.3*(2*((SIN(((Model_Data!A75)*12.9898+(Inputs!$C$6)*78.233+Inputs!$C$47*37.719))*43758.5453)-INT((SIN(((Model_Data!A75)*12.9898+(Inputs!$C$6)*78.233+Inputs!$C$47*37.719))*43758.5453)))-1)))</f>
        <v>273.93459884711217</v>
      </c>
      <c r="G75" s="9">
        <f>(Inputs!$C$51*(115*EXP(-(((0)-25)^2)/(4.5^2))+70*EXP(-(((0)+38)^2)/(7^2))*(0.55+0.45*SIN(2*PI()*(Model_Data!A75)/45))+24*SIN(2*PI()*(0)/9+(Model_Data!A75)/18)*EXP(-(((0)+5)^2)/(22^2))+18*SIN(2*PI()*(Model_Data!A75)/70))+Inputs!$C$28*EXP(-(((Model_Data!A75)-Inputs!$C$29)^2)/(2*Inputs!$C$31^2))*EXP(-(((0)-Inputs!$C$30)^2)/(2*Inputs!$C$32^2))+-Inputs!$C$33*EXP(-(((((Model_Data!A75)-Inputs!$C$34)^2)+(((0)-Inputs!$C$35)^2))/(2*Inputs!$C$36^2)))+Inputs!$C$37*(0.55*SIN(2*PI()*(Model_Data!A75)/Inputs!$C$39)+0.35*COS(2*PI()*(0)/Inputs!$C$40)+0.2*SIN(2*PI()*((Model_Data!A75)+(0))/(0.5*(Inputs!$C$39+Inputs!$C$40))))+Inputs!$C$38*SIN(2*PI()*(Model_Data!A75)/Inputs!$C$39)*SIN(2*PI()*(0)/Inputs!$C$40)+-Inputs!$C$41*EXP(-(((0)-Inputs!$C$43)^2)/(2*Inputs!$C$44^2))*EXP(-(((Model_Data!A75)-Inputs!$C$42)^2)/(2*Inputs!$C$45^2))+Inputs!$C$48*(0.7*(0.45*SIN(2*PI()*(((Model_Data!A75)/Inputs!$C$49)+Inputs!$C$47*0.137))+0.35*COS(2*PI()*(((0)/Inputs!$C$50)+Inputs!$C$47*0.173))+0.2*SIN(2*PI()*(((Model_Data!A75)+(0))/(0.5*(Inputs!$C$49+Inputs!$C$50))+Inputs!$C$47*0.097)))+0.3*(2*((SIN(((Model_Data!A75)*12.9898+(0)*78.233+Inputs!$C$47*37.719))*43758.5453)-INT((SIN(((Model_Data!A75)*12.9898+(0)*78.233+Inputs!$C$47*37.719))*43758.5453)))-1)))</f>
        <v>-125.65162794647964</v>
      </c>
      <c r="H75" s="10"/>
      <c r="I75" s="9">
        <f>Model_Data!A75</f>
        <v>-23.5</v>
      </c>
      <c r="J75" s="9">
        <f>(Inputs!$C$51*(115*EXP(-(((Inputs!$C$6)-25)^2)/(4.5^2))+70*EXP(-(((Inputs!$C$6)+38)^2)/(7^2))*(0.55+0.45*SIN(2*PI()*(Model_Data!A75)/45))+24*SIN(2*PI()*(Inputs!$C$6)/9+(Model_Data!A75)/18)*EXP(-(((Inputs!$C$6)+5)^2)/(22^2))+18*SIN(2*PI()*(Model_Data!A75)/70))+Inputs!$C$28*EXP(-(((Model_Data!A75)-Inputs!$C$29)^2)/(2*Inputs!$C$31^2))*EXP(-(((Inputs!$C$6)-Inputs!$C$30)^2)/(2*Inputs!$C$32^2))+-Inputs!$C$33*EXP(-(((((Model_Data!A75)-Inputs!$C$34)^2)+(((Inputs!$C$6)-Inputs!$C$35)^2))/(2*Inputs!$C$36^2)))+Inputs!$C$37*(0.55*SIN(2*PI()*(Model_Data!A75)/Inputs!$C$39)+0.35*COS(2*PI()*(Inputs!$C$6)/Inputs!$C$40)+0.2*SIN(2*PI()*((Model_Data!A75)+(Inputs!$C$6))/(0.5*(Inputs!$C$39+Inputs!$C$40))))+Inputs!$C$38*SIN(2*PI()*(Model_Data!A75)/Inputs!$C$39)*SIN(2*PI()*(Inputs!$C$6)/Inputs!$C$40)+-Inputs!$C$41*EXP(-(((Inputs!$C$6)-Inputs!$C$43)^2)/(2*Inputs!$C$44^2))*EXP(-(((Model_Data!A75)-Inputs!$C$42)^2)/(2*Inputs!$C$45^2))+Inputs!$C$48*(0.7*(0.45*SIN(2*PI()*(((Model_Data!A75)/Inputs!$C$49)+Inputs!$C$47*0.137))+0.35*COS(2*PI()*(((Inputs!$C$6)/Inputs!$C$50)+Inputs!$C$47*0.173))+0.2*SIN(2*PI()*(((Model_Data!A75)+(Inputs!$C$6))/(0.5*(Inputs!$C$49+Inputs!$C$50))+Inputs!$C$47*0.097)))+0.3*(2*((SIN(((Model_Data!A75)*12.9898+(Inputs!$C$6)*78.233+Inputs!$C$47*37.719))*43758.5453)-INT((SIN(((Model_Data!A75)*12.9898+(Inputs!$C$6)*78.233+Inputs!$C$47*37.719))*43758.5453)))-1)))</f>
        <v>273.93459884711217</v>
      </c>
      <c r="K75" s="9">
        <f>-((((SQRT((Model_Data!A75)^2+Inputs!$C$6^2+((Model_Data!B75)-((Inputs!$C$51*(115*EXP(-(((Inputs!$C$6)-25)^2)/(4.5^2))+70*EXP(-(((Inputs!$C$6)+38)^2)/(7^2))*(0.55+0.45*SIN(2*PI()*(Model_Data!A75)/45))+24*SIN(2*PI()*(Inputs!$C$6)/9+(Model_Data!A75)/18)*EXP(-(((Inputs!$C$6)+5)^2)/(22^2))+18*SIN(2*PI()*(Model_Data!A75)/70))+Inputs!$C$28*EXP(-(((Model_Data!A75)-Inputs!$C$29)^2)/(2*Inputs!$C$31^2))*EXP(-(((Inputs!$C$6)-Inputs!$C$30)^2)/(2*Inputs!$C$32^2))+-Inputs!$C$33*EXP(-(((((Model_Data!A75)-Inputs!$C$34)^2)+(((Inputs!$C$6)-Inputs!$C$35)^2))/(2*Inputs!$C$36^2)))+Inputs!$C$37*(0.55*SIN(2*PI()*(Model_Data!A75)/Inputs!$C$39)+0.35*COS(2*PI()*(Inputs!$C$6)/Inputs!$C$40)+0.2*SIN(2*PI()*((Model_Data!A75)+(Inputs!$C$6))/(0.5*(Inputs!$C$39+Inputs!$C$40))))+Inputs!$C$38*SIN(2*PI()*(Model_Data!A75)/Inputs!$C$39)*SIN(2*PI()*(Inputs!$C$6)/Inputs!$C$40)+-Inputs!$C$41*EXP(-(((Inputs!$C$6)-Inputs!$C$43)^2)/(2*Inputs!$C$44^2))*EXP(-(((Model_Data!A75)-Inputs!$C$42)^2)/(2*Inputs!$C$45^2))+Inputs!$C$48*(0.7*(0.45*SIN(2*PI()*(((Model_Data!A75)/Inputs!$C$49)+Inputs!$C$47*0.137))+0.35*COS(2*PI()*(((Inputs!$C$6)/Inputs!$C$50)+Inputs!$C$47*0.173))+0.2*SIN(2*PI()*(((Model_Data!A75)+(Inputs!$C$6))/(0.5*(Inputs!$C$49+Inputs!$C$50))+Inputs!$C$47*0.097)))+0.3*(2*((SIN(((Model_Data!A75)*12.9898+(Inputs!$C$6)*78.233+Inputs!$C$47*37.719))*43758.5453)-INT((SIN(((Model_Data!A75)*12.9898+(Inputs!$C$6)*78.233+Inputs!$C$47*37.719))*43758.5453)))-1))))/1000)^2))-(((Model_Data!B75)-((Inputs!$C$51*(115*EXP(-(((0)-25)^2)/(4.5^2))+70*EXP(-(((0)+38)^2)/(7^2))*(0.55+0.45*SIN(2*PI()*(Model_Data!A75)/45))+24*SIN(2*PI()*(0)/9+(Model_Data!A75)/18)*EXP(-(((0)+5)^2)/(22^2))+18*SIN(2*PI()*(Model_Data!A75)/70))+Inputs!$C$28*EXP(-(((Model_Data!A75)-Inputs!$C$29)^2)/(2*Inputs!$C$31^2))*EXP(-(((0)-Inputs!$C$30)^2)/(2*Inputs!$C$32^2))+-Inputs!$C$33*EXP(-(((((Model_Data!A75)-Inputs!$C$34)^2)+(((0)-Inputs!$C$35)^2))/(2*Inputs!$C$36^2)))+Inputs!$C$37*(0.55*SIN(2*PI()*(Model_Data!A75)/Inputs!$C$39)+0.35*COS(2*PI()*(0)/Inputs!$C$40)+0.2*SIN(2*PI()*((Model_Data!A75)+(0))/(0.5*(Inputs!$C$39+Inputs!$C$40))))+Inputs!$C$38*SIN(2*PI()*(Model_Data!A75)/Inputs!$C$39)*SIN(2*PI()*(0)/Inputs!$C$40)+-Inputs!$C$41*EXP(-(((0)-Inputs!$C$43)^2)/(2*Inputs!$C$44^2))*EXP(-(((Model_Data!A75)-Inputs!$C$42)^2)/(2*Inputs!$C$45^2))+Inputs!$C$48*(0.7*(0.45*SIN(2*PI()*(((Model_Data!A75)/Inputs!$C$49)+Inputs!$C$47*0.137))+0.35*COS(2*PI()*(((0)/Inputs!$C$50)+Inputs!$C$47*0.173))+0.2*SIN(2*PI()*(((Model_Data!A75)+(0))/(0.5*(Inputs!$C$49+Inputs!$C$50))+Inputs!$C$47*0.097)))+0.3*(2*((SIN(((Model_Data!A75)*12.9898+(0)*78.233+Inputs!$C$47*37.719))*43758.5453)-INT((SIN(((Model_Data!A75)*12.9898+(0)*78.233+Inputs!$C$47*37.719))*43758.5453)))-1))))/1000)))*1000/Inputs!$C$12)-Model_Data!F75)</f>
        <v>223.92491329524444</v>
      </c>
      <c r="L75" s="10"/>
      <c r="M75" s="9">
        <f>Model_Data!A75</f>
        <v>-23.5</v>
      </c>
      <c r="N75" s="9">
        <f>Model_Data!P75</f>
        <v>176.76445307725538</v>
      </c>
      <c r="O75" s="9">
        <f t="shared" si="2"/>
        <v>194.3259677502283</v>
      </c>
      <c r="P75" s="9">
        <f>Model_Data!Q75</f>
        <v>26.541209170759071</v>
      </c>
      <c r="Q75" s="9">
        <f t="shared" si="3"/>
        <v>29.178073235770018</v>
      </c>
      <c r="R75" s="10"/>
      <c r="S75" s="9">
        <f>Model_Data!A75</f>
        <v>-23.5</v>
      </c>
      <c r="T75" s="9">
        <f>Model_Data!B75-Inputs!$C$5</f>
        <v>0.61361111111108357</v>
      </c>
      <c r="U75" s="10"/>
      <c r="V75" s="9">
        <f>Model_Data!A75</f>
        <v>-23.5</v>
      </c>
      <c r="W75" s="9">
        <f>((SQRT((Model_Data!A75)^2+Inputs!$C$6^2+Inputs!$C$5^2)-Inputs!$C$5)*1000/Inputs!$C$12)</f>
        <v>825.20536096770104</v>
      </c>
      <c r="X75" s="9">
        <f>Model_Data!F75</f>
        <v>823.94602583296285</v>
      </c>
      <c r="Y75" s="10"/>
      <c r="Z75" s="9">
        <f>Model_Data!A75</f>
        <v>-23.5</v>
      </c>
      <c r="AA75" s="9">
        <f>SQRT((Model_Data!A75)^2+Inputs!$C$6^2+((Model_Data!B75)-((Inputs!$C$51*(115*EXP(-(((Inputs!$C$6)-25)^2)/(4.5^2))+70*EXP(-(((Inputs!$C$6)+38)^2)/(7^2))*(0.55+0.45*SIN(2*PI()*(Model_Data!A75)/45))+24*SIN(2*PI()*(Inputs!$C$6)/9+(Model_Data!A75)/18)*EXP(-(((Inputs!$C$6)+5)^2)/(22^2))+18*SIN(2*PI()*(Model_Data!A75)/70))+Inputs!$C$28*EXP(-(((Model_Data!A75)-Inputs!$C$29)^2)/(2*Inputs!$C$31^2))*EXP(-(((Inputs!$C$6)-Inputs!$C$30)^2)/(2*Inputs!$C$32^2))+-Inputs!$C$33*EXP(-(((((Model_Data!A75)-Inputs!$C$34)^2)+(((Inputs!$C$6)-Inputs!$C$35)^2))/(2*Inputs!$C$36^2)))+Inputs!$C$37*(0.55*SIN(2*PI()*(Model_Data!A75)/Inputs!$C$39)+0.35*COS(2*PI()*(Inputs!$C$6)/Inputs!$C$40)+0.2*SIN(2*PI()*((Model_Data!A75)+(Inputs!$C$6))/(0.5*(Inputs!$C$39+Inputs!$C$40))))+Inputs!$C$38*SIN(2*PI()*(Model_Data!A75)/Inputs!$C$39)*SIN(2*PI()*(Inputs!$C$6)/Inputs!$C$40)+-Inputs!$C$41*EXP(-(((Inputs!$C$6)-Inputs!$C$43)^2)/(2*Inputs!$C$44^2))*EXP(-(((Model_Data!A75)-Inputs!$C$42)^2)/(2*Inputs!$C$45^2))+Inputs!$C$48*(0.7*(0.45*SIN(2*PI()*(((Model_Data!A75)/Inputs!$C$49)+Inputs!$C$47*0.137))+0.35*COS(2*PI()*(((Inputs!$C$6)/Inputs!$C$50)+Inputs!$C$47*0.173))+0.2*SIN(2*PI()*(((Model_Data!A75)+(Inputs!$C$6))/(0.5*(Inputs!$C$49+Inputs!$C$50))+Inputs!$C$47*0.097)))+0.3*(2*((SIN(((Model_Data!A75)*12.9898+(Inputs!$C$6)*78.233+Inputs!$C$47*37.719))*43758.5453)-INT((SIN(((Model_Data!A75)*12.9898+(Inputs!$C$6)*78.233+Inputs!$C$47*37.719))*43758.5453)))-1))))/1000)^2)</f>
        <v>401.80730031937469</v>
      </c>
      <c r="AB75" s="9">
        <f>1000*(AA76-AA74)/(Z76-Z74)*Inputs!$C$11</f>
        <v>-485.81491937557075</v>
      </c>
      <c r="AC75" s="9">
        <f>-2*AB75/Inputs!$C$13</f>
        <v>194.3259677502283</v>
      </c>
      <c r="AD75" s="9">
        <f>-2*AB75/Inputs!$C$14</f>
        <v>29.178073235770018</v>
      </c>
    </row>
    <row r="76" spans="1:30">
      <c r="A76" s="9">
        <f>Model_Data!A76</f>
        <v>-23</v>
      </c>
      <c r="B76" s="9">
        <f>((SQRT((Model_Data!A76)^2+Inputs!$C$6^2+Inputs!$C$5^2)-Inputs!$C$5)*1000/Inputs!$C$12)</f>
        <v>808.9372640457949</v>
      </c>
      <c r="C76" s="9">
        <f>Model_Data!F76</f>
        <v>807.75456790628766</v>
      </c>
      <c r="D76" s="9">
        <f>(((SQRT((Model_Data!A76)^2+Inputs!$C$6^2+((Model_Data!B76)-((Inputs!$C$51*(115*EXP(-(((Inputs!$C$6)-25)^2)/(4.5^2))+70*EXP(-(((Inputs!$C$6)+38)^2)/(7^2))*(0.55+0.45*SIN(2*PI()*(Model_Data!A76)/45))+24*SIN(2*PI()*(Inputs!$C$6)/9+(Model_Data!A76)/18)*EXP(-(((Inputs!$C$6)+5)^2)/(22^2))+18*SIN(2*PI()*(Model_Data!A76)/70))+Inputs!$C$28*EXP(-(((Model_Data!A76)-Inputs!$C$29)^2)/(2*Inputs!$C$31^2))*EXP(-(((Inputs!$C$6)-Inputs!$C$30)^2)/(2*Inputs!$C$32^2))+-Inputs!$C$33*EXP(-(((((Model_Data!A76)-Inputs!$C$34)^2)+(((Inputs!$C$6)-Inputs!$C$35)^2))/(2*Inputs!$C$36^2)))+Inputs!$C$37*(0.55*SIN(2*PI()*(Model_Data!A76)/Inputs!$C$39)+0.35*COS(2*PI()*(Inputs!$C$6)/Inputs!$C$40)+0.2*SIN(2*PI()*((Model_Data!A76)+(Inputs!$C$6))/(0.5*(Inputs!$C$39+Inputs!$C$40))))+Inputs!$C$38*SIN(2*PI()*(Model_Data!A76)/Inputs!$C$39)*SIN(2*PI()*(Inputs!$C$6)/Inputs!$C$40)+-Inputs!$C$41*EXP(-(((Inputs!$C$6)-Inputs!$C$43)^2)/(2*Inputs!$C$44^2))*EXP(-(((Model_Data!A76)-Inputs!$C$42)^2)/(2*Inputs!$C$45^2))+Inputs!$C$48*(0.7*(0.45*SIN(2*PI()*(((Model_Data!A76)/Inputs!$C$49)+Inputs!$C$47*0.137))+0.35*COS(2*PI()*(((Inputs!$C$6)/Inputs!$C$50)+Inputs!$C$47*0.173))+0.2*SIN(2*PI()*(((Model_Data!A76)+(Inputs!$C$6))/(0.5*(Inputs!$C$49+Inputs!$C$50))+Inputs!$C$47*0.097)))+0.3*(2*((SIN(((Model_Data!A76)*12.9898+(Inputs!$C$6)*78.233+Inputs!$C$47*37.719))*43758.5453)-INT((SIN(((Model_Data!A76)*12.9898+(Inputs!$C$6)*78.233+Inputs!$C$47*37.719))*43758.5453)))-1))))/1000)^2))-(((Model_Data!B76)-((Inputs!$C$51*(115*EXP(-(((0)-25)^2)/(4.5^2))+70*EXP(-(((0)+38)^2)/(7^2))*(0.55+0.45*SIN(2*PI()*(Model_Data!A76)/45))+24*SIN(2*PI()*(0)/9+(Model_Data!A76)/18)*EXP(-(((0)+5)^2)/(22^2))+18*SIN(2*PI()*(Model_Data!A76)/70))+Inputs!$C$28*EXP(-(((Model_Data!A76)-Inputs!$C$29)^2)/(2*Inputs!$C$31^2))*EXP(-(((0)-Inputs!$C$30)^2)/(2*Inputs!$C$32^2))+-Inputs!$C$33*EXP(-(((((Model_Data!A76)-Inputs!$C$34)^2)+(((0)-Inputs!$C$35)^2))/(2*Inputs!$C$36^2)))+Inputs!$C$37*(0.55*SIN(2*PI()*(Model_Data!A76)/Inputs!$C$39)+0.35*COS(2*PI()*(0)/Inputs!$C$40)+0.2*SIN(2*PI()*((Model_Data!A76)+(0))/(0.5*(Inputs!$C$39+Inputs!$C$40))))+Inputs!$C$38*SIN(2*PI()*(Model_Data!A76)/Inputs!$C$39)*SIN(2*PI()*(0)/Inputs!$C$40)+-Inputs!$C$41*EXP(-(((0)-Inputs!$C$43)^2)/(2*Inputs!$C$44^2))*EXP(-(((Model_Data!A76)-Inputs!$C$42)^2)/(2*Inputs!$C$45^2))+Inputs!$C$48*(0.7*(0.45*SIN(2*PI()*(((Model_Data!A76)/Inputs!$C$49)+Inputs!$C$47*0.137))+0.35*COS(2*PI()*(((0)/Inputs!$C$50)+Inputs!$C$47*0.173))+0.2*SIN(2*PI()*(((Model_Data!A76)+(0))/(0.5*(Inputs!$C$49+Inputs!$C$50))+Inputs!$C$47*0.097)))+0.3*(2*((SIN(((Model_Data!A76)*12.9898+(0)*78.233+Inputs!$C$47*37.719))*43758.5453)-INT((SIN(((Model_Data!A76)*12.9898+(0)*78.233+Inputs!$C$47*37.719))*43758.5453)))-1))))/1000)))*1000/Inputs!$C$12)</f>
        <v>576.79884829612638</v>
      </c>
      <c r="E76" s="9">
        <f>Model_Data!A76</f>
        <v>-23</v>
      </c>
      <c r="F76" s="9">
        <f>(Inputs!$C$51*(115*EXP(-(((Inputs!$C$6)-25)^2)/(4.5^2))+70*EXP(-(((Inputs!$C$6)+38)^2)/(7^2))*(0.55+0.45*SIN(2*PI()*(Model_Data!A76)/45))+24*SIN(2*PI()*(Inputs!$C$6)/9+(Model_Data!A76)/18)*EXP(-(((Inputs!$C$6)+5)^2)/(22^2))+18*SIN(2*PI()*(Model_Data!A76)/70))+Inputs!$C$28*EXP(-(((Model_Data!A76)-Inputs!$C$29)^2)/(2*Inputs!$C$31^2))*EXP(-(((Inputs!$C$6)-Inputs!$C$30)^2)/(2*Inputs!$C$32^2))+-Inputs!$C$33*EXP(-(((((Model_Data!A76)-Inputs!$C$34)^2)+(((Inputs!$C$6)-Inputs!$C$35)^2))/(2*Inputs!$C$36^2)))+Inputs!$C$37*(0.55*SIN(2*PI()*(Model_Data!A76)/Inputs!$C$39)+0.35*COS(2*PI()*(Inputs!$C$6)/Inputs!$C$40)+0.2*SIN(2*PI()*((Model_Data!A76)+(Inputs!$C$6))/(0.5*(Inputs!$C$39+Inputs!$C$40))))+Inputs!$C$38*SIN(2*PI()*(Model_Data!A76)/Inputs!$C$39)*SIN(2*PI()*(Inputs!$C$6)/Inputs!$C$40)+-Inputs!$C$41*EXP(-(((Inputs!$C$6)-Inputs!$C$43)^2)/(2*Inputs!$C$44^2))*EXP(-(((Model_Data!A76)-Inputs!$C$42)^2)/(2*Inputs!$C$45^2))+Inputs!$C$48*(0.7*(0.45*SIN(2*PI()*(((Model_Data!A76)/Inputs!$C$49)+Inputs!$C$47*0.137))+0.35*COS(2*PI()*(((Inputs!$C$6)/Inputs!$C$50)+Inputs!$C$47*0.173))+0.2*SIN(2*PI()*(((Model_Data!A76)+(Inputs!$C$6))/(0.5*(Inputs!$C$49+Inputs!$C$50))+Inputs!$C$47*0.097)))+0.3*(2*((SIN(((Model_Data!A76)*12.9898+(Inputs!$C$6)*78.233+Inputs!$C$47*37.719))*43758.5453)-INT((SIN(((Model_Data!A76)*12.9898+(Inputs!$C$6)*78.233+Inputs!$C$47*37.719))*43758.5453)))-1)))</f>
        <v>279.55588840772998</v>
      </c>
      <c r="G76" s="9">
        <f>(Inputs!$C$51*(115*EXP(-(((0)-25)^2)/(4.5^2))+70*EXP(-(((0)+38)^2)/(7^2))*(0.55+0.45*SIN(2*PI()*(Model_Data!A76)/45))+24*SIN(2*PI()*(0)/9+(Model_Data!A76)/18)*EXP(-(((0)+5)^2)/(22^2))+18*SIN(2*PI()*(Model_Data!A76)/70))+Inputs!$C$28*EXP(-(((Model_Data!A76)-Inputs!$C$29)^2)/(2*Inputs!$C$31^2))*EXP(-(((0)-Inputs!$C$30)^2)/(2*Inputs!$C$32^2))+-Inputs!$C$33*EXP(-(((((Model_Data!A76)-Inputs!$C$34)^2)+(((0)-Inputs!$C$35)^2))/(2*Inputs!$C$36^2)))+Inputs!$C$37*(0.55*SIN(2*PI()*(Model_Data!A76)/Inputs!$C$39)+0.35*COS(2*PI()*(0)/Inputs!$C$40)+0.2*SIN(2*PI()*((Model_Data!A76)+(0))/(0.5*(Inputs!$C$39+Inputs!$C$40))))+Inputs!$C$38*SIN(2*PI()*(Model_Data!A76)/Inputs!$C$39)*SIN(2*PI()*(0)/Inputs!$C$40)+-Inputs!$C$41*EXP(-(((0)-Inputs!$C$43)^2)/(2*Inputs!$C$44^2))*EXP(-(((Model_Data!A76)-Inputs!$C$42)^2)/(2*Inputs!$C$45^2))+Inputs!$C$48*(0.7*(0.45*SIN(2*PI()*(((Model_Data!A76)/Inputs!$C$49)+Inputs!$C$47*0.137))+0.35*COS(2*PI()*(((0)/Inputs!$C$50)+Inputs!$C$47*0.173))+0.2*SIN(2*PI()*(((Model_Data!A76)+(0))/(0.5*(Inputs!$C$49+Inputs!$C$50))+Inputs!$C$47*0.097)))+0.3*(2*((SIN(((Model_Data!A76)*12.9898+(0)*78.233+Inputs!$C$47*37.719))*43758.5453)-INT((SIN(((Model_Data!A76)*12.9898+(0)*78.233+Inputs!$C$47*37.719))*43758.5453)))-1)))</f>
        <v>-132.54578984267809</v>
      </c>
      <c r="H76" s="10"/>
      <c r="I76" s="9">
        <f>Model_Data!A76</f>
        <v>-23</v>
      </c>
      <c r="J76" s="9">
        <f>(Inputs!$C$51*(115*EXP(-(((Inputs!$C$6)-25)^2)/(4.5^2))+70*EXP(-(((Inputs!$C$6)+38)^2)/(7^2))*(0.55+0.45*SIN(2*PI()*(Model_Data!A76)/45))+24*SIN(2*PI()*(Inputs!$C$6)/9+(Model_Data!A76)/18)*EXP(-(((Inputs!$C$6)+5)^2)/(22^2))+18*SIN(2*PI()*(Model_Data!A76)/70))+Inputs!$C$28*EXP(-(((Model_Data!A76)-Inputs!$C$29)^2)/(2*Inputs!$C$31^2))*EXP(-(((Inputs!$C$6)-Inputs!$C$30)^2)/(2*Inputs!$C$32^2))+-Inputs!$C$33*EXP(-(((((Model_Data!A76)-Inputs!$C$34)^2)+(((Inputs!$C$6)-Inputs!$C$35)^2))/(2*Inputs!$C$36^2)))+Inputs!$C$37*(0.55*SIN(2*PI()*(Model_Data!A76)/Inputs!$C$39)+0.35*COS(2*PI()*(Inputs!$C$6)/Inputs!$C$40)+0.2*SIN(2*PI()*((Model_Data!A76)+(Inputs!$C$6))/(0.5*(Inputs!$C$39+Inputs!$C$40))))+Inputs!$C$38*SIN(2*PI()*(Model_Data!A76)/Inputs!$C$39)*SIN(2*PI()*(Inputs!$C$6)/Inputs!$C$40)+-Inputs!$C$41*EXP(-(((Inputs!$C$6)-Inputs!$C$43)^2)/(2*Inputs!$C$44^2))*EXP(-(((Model_Data!A76)-Inputs!$C$42)^2)/(2*Inputs!$C$45^2))+Inputs!$C$48*(0.7*(0.45*SIN(2*PI()*(((Model_Data!A76)/Inputs!$C$49)+Inputs!$C$47*0.137))+0.35*COS(2*PI()*(((Inputs!$C$6)/Inputs!$C$50)+Inputs!$C$47*0.173))+0.2*SIN(2*PI()*(((Model_Data!A76)+(Inputs!$C$6))/(0.5*(Inputs!$C$49+Inputs!$C$50))+Inputs!$C$47*0.097)))+0.3*(2*((SIN(((Model_Data!A76)*12.9898+(Inputs!$C$6)*78.233+Inputs!$C$47*37.719))*43758.5453)-INT((SIN(((Model_Data!A76)*12.9898+(Inputs!$C$6)*78.233+Inputs!$C$47*37.719))*43758.5453)))-1)))</f>
        <v>279.55588840772998</v>
      </c>
      <c r="K76" s="9">
        <f>-((((SQRT((Model_Data!A76)^2+Inputs!$C$6^2+((Model_Data!B76)-((Inputs!$C$51*(115*EXP(-(((Inputs!$C$6)-25)^2)/(4.5^2))+70*EXP(-(((Inputs!$C$6)+38)^2)/(7^2))*(0.55+0.45*SIN(2*PI()*(Model_Data!A76)/45))+24*SIN(2*PI()*(Inputs!$C$6)/9+(Model_Data!A76)/18)*EXP(-(((Inputs!$C$6)+5)^2)/(22^2))+18*SIN(2*PI()*(Model_Data!A76)/70))+Inputs!$C$28*EXP(-(((Model_Data!A76)-Inputs!$C$29)^2)/(2*Inputs!$C$31^2))*EXP(-(((Inputs!$C$6)-Inputs!$C$30)^2)/(2*Inputs!$C$32^2))+-Inputs!$C$33*EXP(-(((((Model_Data!A76)-Inputs!$C$34)^2)+(((Inputs!$C$6)-Inputs!$C$35)^2))/(2*Inputs!$C$36^2)))+Inputs!$C$37*(0.55*SIN(2*PI()*(Model_Data!A76)/Inputs!$C$39)+0.35*COS(2*PI()*(Inputs!$C$6)/Inputs!$C$40)+0.2*SIN(2*PI()*((Model_Data!A76)+(Inputs!$C$6))/(0.5*(Inputs!$C$39+Inputs!$C$40))))+Inputs!$C$38*SIN(2*PI()*(Model_Data!A76)/Inputs!$C$39)*SIN(2*PI()*(Inputs!$C$6)/Inputs!$C$40)+-Inputs!$C$41*EXP(-(((Inputs!$C$6)-Inputs!$C$43)^2)/(2*Inputs!$C$44^2))*EXP(-(((Model_Data!A76)-Inputs!$C$42)^2)/(2*Inputs!$C$45^2))+Inputs!$C$48*(0.7*(0.45*SIN(2*PI()*(((Model_Data!A76)/Inputs!$C$49)+Inputs!$C$47*0.137))+0.35*COS(2*PI()*(((Inputs!$C$6)/Inputs!$C$50)+Inputs!$C$47*0.173))+0.2*SIN(2*PI()*(((Model_Data!A76)+(Inputs!$C$6))/(0.5*(Inputs!$C$49+Inputs!$C$50))+Inputs!$C$47*0.097)))+0.3*(2*((SIN(((Model_Data!A76)*12.9898+(Inputs!$C$6)*78.233+Inputs!$C$47*37.719))*43758.5453)-INT((SIN(((Model_Data!A76)*12.9898+(Inputs!$C$6)*78.233+Inputs!$C$47*37.719))*43758.5453)))-1))))/1000)^2))-(((Model_Data!B76)-((Inputs!$C$51*(115*EXP(-(((0)-25)^2)/(4.5^2))+70*EXP(-(((0)+38)^2)/(7^2))*(0.55+0.45*SIN(2*PI()*(Model_Data!A76)/45))+24*SIN(2*PI()*(0)/9+(Model_Data!A76)/18)*EXP(-(((0)+5)^2)/(22^2))+18*SIN(2*PI()*(Model_Data!A76)/70))+Inputs!$C$28*EXP(-(((Model_Data!A76)-Inputs!$C$29)^2)/(2*Inputs!$C$31^2))*EXP(-(((0)-Inputs!$C$30)^2)/(2*Inputs!$C$32^2))+-Inputs!$C$33*EXP(-(((((Model_Data!A76)-Inputs!$C$34)^2)+(((0)-Inputs!$C$35)^2))/(2*Inputs!$C$36^2)))+Inputs!$C$37*(0.55*SIN(2*PI()*(Model_Data!A76)/Inputs!$C$39)+0.35*COS(2*PI()*(0)/Inputs!$C$40)+0.2*SIN(2*PI()*((Model_Data!A76)+(0))/(0.5*(Inputs!$C$39+Inputs!$C$40))))+Inputs!$C$38*SIN(2*PI()*(Model_Data!A76)/Inputs!$C$39)*SIN(2*PI()*(0)/Inputs!$C$40)+-Inputs!$C$41*EXP(-(((0)-Inputs!$C$43)^2)/(2*Inputs!$C$44^2))*EXP(-(((Model_Data!A76)-Inputs!$C$42)^2)/(2*Inputs!$C$45^2))+Inputs!$C$48*(0.7*(0.45*SIN(2*PI()*(((Model_Data!A76)/Inputs!$C$49)+Inputs!$C$47*0.137))+0.35*COS(2*PI()*(((0)/Inputs!$C$50)+Inputs!$C$47*0.173))+0.2*SIN(2*PI()*(((Model_Data!A76)+(0))/(0.5*(Inputs!$C$49+Inputs!$C$50))+Inputs!$C$47*0.097)))+0.3*(2*((SIN(((Model_Data!A76)*12.9898+(0)*78.233+Inputs!$C$47*37.719))*43758.5453)-INT((SIN(((Model_Data!A76)*12.9898+(0)*78.233+Inputs!$C$47*37.719))*43758.5453)))-1))))/1000)))*1000/Inputs!$C$12)-Model_Data!F76)</f>
        <v>230.95571961016128</v>
      </c>
      <c r="L76" s="10"/>
      <c r="M76" s="9">
        <f>Model_Data!A76</f>
        <v>-23</v>
      </c>
      <c r="N76" s="9">
        <f>Model_Data!P76</f>
        <v>173.02177168524585</v>
      </c>
      <c r="O76" s="9">
        <f t="shared" si="2"/>
        <v>193.43527354676553</v>
      </c>
      <c r="P76" s="9">
        <f>Model_Data!Q76</f>
        <v>25.979244997784665</v>
      </c>
      <c r="Q76" s="9">
        <f t="shared" si="3"/>
        <v>29.044335367382214</v>
      </c>
      <c r="R76" s="10"/>
      <c r="S76" s="9">
        <f>Model_Data!A76</f>
        <v>-23</v>
      </c>
      <c r="T76" s="9">
        <f>Model_Data!B76-Inputs!$C$5</f>
        <v>0.58777777777777374</v>
      </c>
      <c r="U76" s="10"/>
      <c r="V76" s="9">
        <f>Model_Data!A76</f>
        <v>-23</v>
      </c>
      <c r="W76" s="9">
        <f>((SQRT((Model_Data!A76)^2+Inputs!$C$6^2+Inputs!$C$5^2)-Inputs!$C$5)*1000/Inputs!$C$12)</f>
        <v>808.9372640457949</v>
      </c>
      <c r="X76" s="9">
        <f>Model_Data!F76</f>
        <v>807.75456790628766</v>
      </c>
      <c r="Y76" s="10"/>
      <c r="Z76" s="9">
        <f>Model_Data!A76</f>
        <v>-23</v>
      </c>
      <c r="AA76" s="9">
        <f>SQRT((Model_Data!A76)^2+Inputs!$C$6^2+((Model_Data!B76)-((Inputs!$C$51*(115*EXP(-(((Inputs!$C$6)-25)^2)/(4.5^2))+70*EXP(-(((Inputs!$C$6)+38)^2)/(7^2))*(0.55+0.45*SIN(2*PI()*(Model_Data!A76)/45))+24*SIN(2*PI()*(Inputs!$C$6)/9+(Model_Data!A76)/18)*EXP(-(((Inputs!$C$6)+5)^2)/(22^2))+18*SIN(2*PI()*(Model_Data!A76)/70))+Inputs!$C$28*EXP(-(((Model_Data!A76)-Inputs!$C$29)^2)/(2*Inputs!$C$31^2))*EXP(-(((Inputs!$C$6)-Inputs!$C$30)^2)/(2*Inputs!$C$32^2))+-Inputs!$C$33*EXP(-(((((Model_Data!A76)-Inputs!$C$34)^2)+(((Inputs!$C$6)-Inputs!$C$35)^2))/(2*Inputs!$C$36^2)))+Inputs!$C$37*(0.55*SIN(2*PI()*(Model_Data!A76)/Inputs!$C$39)+0.35*COS(2*PI()*(Inputs!$C$6)/Inputs!$C$40)+0.2*SIN(2*PI()*((Model_Data!A76)+(Inputs!$C$6))/(0.5*(Inputs!$C$39+Inputs!$C$40))))+Inputs!$C$38*SIN(2*PI()*(Model_Data!A76)/Inputs!$C$39)*SIN(2*PI()*(Inputs!$C$6)/Inputs!$C$40)+-Inputs!$C$41*EXP(-(((Inputs!$C$6)-Inputs!$C$43)^2)/(2*Inputs!$C$44^2))*EXP(-(((Model_Data!A76)-Inputs!$C$42)^2)/(2*Inputs!$C$45^2))+Inputs!$C$48*(0.7*(0.45*SIN(2*PI()*(((Model_Data!A76)/Inputs!$C$49)+Inputs!$C$47*0.137))+0.35*COS(2*PI()*(((Inputs!$C$6)/Inputs!$C$50)+Inputs!$C$47*0.173))+0.2*SIN(2*PI()*(((Model_Data!A76)+(Inputs!$C$6))/(0.5*(Inputs!$C$49+Inputs!$C$50))+Inputs!$C$47*0.097)))+0.3*(2*((SIN(((Model_Data!A76)*12.9898+(Inputs!$C$6)*78.233+Inputs!$C$47*37.719))*43758.5453)-INT((SIN(((Model_Data!A76)*12.9898+(Inputs!$C$6)*78.233+Inputs!$C$47*37.719))*43758.5453)))-1))))/1000)^2)</f>
        <v>401.74702551758753</v>
      </c>
      <c r="AB76" s="9">
        <f>1000*(AA77-AA75)/(Z77-Z75)*Inputs!$C$11</f>
        <v>-483.58818386691382</v>
      </c>
      <c r="AC76" s="9">
        <f>-2*AB76/Inputs!$C$13</f>
        <v>193.43527354676553</v>
      </c>
      <c r="AD76" s="9">
        <f>-2*AB76/Inputs!$C$14</f>
        <v>29.044335367382214</v>
      </c>
    </row>
    <row r="77" spans="1:30">
      <c r="A77" s="9">
        <f>Model_Data!A77</f>
        <v>-22.5</v>
      </c>
      <c r="B77" s="9">
        <f>((SQRT((Model_Data!A77)^2+Inputs!$C$6^2+Inputs!$C$5^2)-Inputs!$C$5)*1000/Inputs!$C$12)</f>
        <v>793.01788270038537</v>
      </c>
      <c r="C77" s="9">
        <f>Model_Data!F77</f>
        <v>791.90817516879872</v>
      </c>
      <c r="D77" s="9">
        <f>(((SQRT((Model_Data!A77)^2+Inputs!$C$6^2+((Model_Data!B77)-((Inputs!$C$51*(115*EXP(-(((Inputs!$C$6)-25)^2)/(4.5^2))+70*EXP(-(((Inputs!$C$6)+38)^2)/(7^2))*(0.55+0.45*SIN(2*PI()*(Model_Data!A77)/45))+24*SIN(2*PI()*(Inputs!$C$6)/9+(Model_Data!A77)/18)*EXP(-(((Inputs!$C$6)+5)^2)/(22^2))+18*SIN(2*PI()*(Model_Data!A77)/70))+Inputs!$C$28*EXP(-(((Model_Data!A77)-Inputs!$C$29)^2)/(2*Inputs!$C$31^2))*EXP(-(((Inputs!$C$6)-Inputs!$C$30)^2)/(2*Inputs!$C$32^2))+-Inputs!$C$33*EXP(-(((((Model_Data!A77)-Inputs!$C$34)^2)+(((Inputs!$C$6)-Inputs!$C$35)^2))/(2*Inputs!$C$36^2)))+Inputs!$C$37*(0.55*SIN(2*PI()*(Model_Data!A77)/Inputs!$C$39)+0.35*COS(2*PI()*(Inputs!$C$6)/Inputs!$C$40)+0.2*SIN(2*PI()*((Model_Data!A77)+(Inputs!$C$6))/(0.5*(Inputs!$C$39+Inputs!$C$40))))+Inputs!$C$38*SIN(2*PI()*(Model_Data!A77)/Inputs!$C$39)*SIN(2*PI()*(Inputs!$C$6)/Inputs!$C$40)+-Inputs!$C$41*EXP(-(((Inputs!$C$6)-Inputs!$C$43)^2)/(2*Inputs!$C$44^2))*EXP(-(((Model_Data!A77)-Inputs!$C$42)^2)/(2*Inputs!$C$45^2))+Inputs!$C$48*(0.7*(0.45*SIN(2*PI()*(((Model_Data!A77)/Inputs!$C$49)+Inputs!$C$47*0.137))+0.35*COS(2*PI()*(((Inputs!$C$6)/Inputs!$C$50)+Inputs!$C$47*0.173))+0.2*SIN(2*PI()*(((Model_Data!A77)+(Inputs!$C$6))/(0.5*(Inputs!$C$49+Inputs!$C$50))+Inputs!$C$47*0.097)))+0.3*(2*((SIN(((Model_Data!A77)*12.9898+(Inputs!$C$6)*78.233+Inputs!$C$47*37.719))*43758.5453)-INT((SIN(((Model_Data!A77)*12.9898+(Inputs!$C$6)*78.233+Inputs!$C$47*37.719))*43758.5453)))-1))))/1000)^2))-(((Model_Data!B77)-((Inputs!$C$51*(115*EXP(-(((0)-25)^2)/(4.5^2))+70*EXP(-(((0)+38)^2)/(7^2))*(0.55+0.45*SIN(2*PI()*(Model_Data!A77)/45))+24*SIN(2*PI()*(0)/9+(Model_Data!A77)/18)*EXP(-(((0)+5)^2)/(22^2))+18*SIN(2*PI()*(Model_Data!A77)/70))+Inputs!$C$28*EXP(-(((Model_Data!A77)-Inputs!$C$29)^2)/(2*Inputs!$C$31^2))*EXP(-(((0)-Inputs!$C$30)^2)/(2*Inputs!$C$32^2))+-Inputs!$C$33*EXP(-(((((Model_Data!A77)-Inputs!$C$34)^2)+(((0)-Inputs!$C$35)^2))/(2*Inputs!$C$36^2)))+Inputs!$C$37*(0.55*SIN(2*PI()*(Model_Data!A77)/Inputs!$C$39)+0.35*COS(2*PI()*(0)/Inputs!$C$40)+0.2*SIN(2*PI()*((Model_Data!A77)+(0))/(0.5*(Inputs!$C$39+Inputs!$C$40))))+Inputs!$C$38*SIN(2*PI()*(Model_Data!A77)/Inputs!$C$39)*SIN(2*PI()*(0)/Inputs!$C$40)+-Inputs!$C$41*EXP(-(((0)-Inputs!$C$43)^2)/(2*Inputs!$C$44^2))*EXP(-(((Model_Data!A77)-Inputs!$C$42)^2)/(2*Inputs!$C$45^2))+Inputs!$C$48*(0.7*(0.45*SIN(2*PI()*(((Model_Data!A77)/Inputs!$C$49)+Inputs!$C$47*0.137))+0.35*COS(2*PI()*(((0)/Inputs!$C$50)+Inputs!$C$47*0.173))+0.2*SIN(2*PI()*(((Model_Data!A77)+(0))/(0.5*(Inputs!$C$49+Inputs!$C$50))+Inputs!$C$47*0.097)))+0.3*(2*((SIN(((Model_Data!A77)*12.9898+(0)*78.233+Inputs!$C$47*37.719))*43758.5453)-INT((SIN(((Model_Data!A77)*12.9898+(0)*78.233+Inputs!$C$47*37.719))*43758.5453)))-1))))/1000)))*1000/Inputs!$C$12)</f>
        <v>553.71254310317408</v>
      </c>
      <c r="E77" s="9">
        <f>Model_Data!A77</f>
        <v>-22.5</v>
      </c>
      <c r="F77" s="9">
        <f>(Inputs!$C$51*(115*EXP(-(((Inputs!$C$6)-25)^2)/(4.5^2))+70*EXP(-(((Inputs!$C$6)+38)^2)/(7^2))*(0.55+0.45*SIN(2*PI()*(Model_Data!A77)/45))+24*SIN(2*PI()*(Inputs!$C$6)/9+(Model_Data!A77)/18)*EXP(-(((Inputs!$C$6)+5)^2)/(22^2))+18*SIN(2*PI()*(Model_Data!A77)/70))+Inputs!$C$28*EXP(-(((Model_Data!A77)-Inputs!$C$29)^2)/(2*Inputs!$C$31^2))*EXP(-(((Inputs!$C$6)-Inputs!$C$30)^2)/(2*Inputs!$C$32^2))+-Inputs!$C$33*EXP(-(((((Model_Data!A77)-Inputs!$C$34)^2)+(((Inputs!$C$6)-Inputs!$C$35)^2))/(2*Inputs!$C$36^2)))+Inputs!$C$37*(0.55*SIN(2*PI()*(Model_Data!A77)/Inputs!$C$39)+0.35*COS(2*PI()*(Inputs!$C$6)/Inputs!$C$40)+0.2*SIN(2*PI()*((Model_Data!A77)+(Inputs!$C$6))/(0.5*(Inputs!$C$39+Inputs!$C$40))))+Inputs!$C$38*SIN(2*PI()*(Model_Data!A77)/Inputs!$C$39)*SIN(2*PI()*(Inputs!$C$6)/Inputs!$C$40)+-Inputs!$C$41*EXP(-(((Inputs!$C$6)-Inputs!$C$43)^2)/(2*Inputs!$C$44^2))*EXP(-(((Model_Data!A77)-Inputs!$C$42)^2)/(2*Inputs!$C$45^2))+Inputs!$C$48*(0.7*(0.45*SIN(2*PI()*(((Model_Data!A77)/Inputs!$C$49)+Inputs!$C$47*0.137))+0.35*COS(2*PI()*(((Inputs!$C$6)/Inputs!$C$50)+Inputs!$C$47*0.173))+0.2*SIN(2*PI()*(((Model_Data!A77)+(Inputs!$C$6))/(0.5*(Inputs!$C$49+Inputs!$C$50))+Inputs!$C$47*0.097)))+0.3*(2*((SIN(((Model_Data!A77)*12.9898+(Inputs!$C$6)*78.233+Inputs!$C$47*37.719))*43758.5453)-INT((SIN(((Model_Data!A77)*12.9898+(Inputs!$C$6)*78.233+Inputs!$C$47*37.719))*43758.5453)))-1)))</f>
        <v>286.69936407981004</v>
      </c>
      <c r="G77" s="9">
        <f>(Inputs!$C$51*(115*EXP(-(((0)-25)^2)/(4.5^2))+70*EXP(-(((0)+38)^2)/(7^2))*(0.55+0.45*SIN(2*PI()*(Model_Data!A77)/45))+24*SIN(2*PI()*(0)/9+(Model_Data!A77)/18)*EXP(-(((0)+5)^2)/(22^2))+18*SIN(2*PI()*(Model_Data!A77)/70))+Inputs!$C$28*EXP(-(((Model_Data!A77)-Inputs!$C$29)^2)/(2*Inputs!$C$31^2))*EXP(-(((0)-Inputs!$C$30)^2)/(2*Inputs!$C$32^2))+-Inputs!$C$33*EXP(-(((((Model_Data!A77)-Inputs!$C$34)^2)+(((0)-Inputs!$C$35)^2))/(2*Inputs!$C$36^2)))+Inputs!$C$37*(0.55*SIN(2*PI()*(Model_Data!A77)/Inputs!$C$39)+0.35*COS(2*PI()*(0)/Inputs!$C$40)+0.2*SIN(2*PI()*((Model_Data!A77)+(0))/(0.5*(Inputs!$C$39+Inputs!$C$40))))+Inputs!$C$38*SIN(2*PI()*(Model_Data!A77)/Inputs!$C$39)*SIN(2*PI()*(0)/Inputs!$C$40)+-Inputs!$C$41*EXP(-(((0)-Inputs!$C$43)^2)/(2*Inputs!$C$44^2))*EXP(-(((Model_Data!A77)-Inputs!$C$42)^2)/(2*Inputs!$C$45^2))+Inputs!$C$48*(0.7*(0.45*SIN(2*PI()*(((Model_Data!A77)/Inputs!$C$49)+Inputs!$C$47*0.137))+0.35*COS(2*PI()*(((0)/Inputs!$C$50)+Inputs!$C$47*0.173))+0.2*SIN(2*PI()*(((Model_Data!A77)+(0))/(0.5*(Inputs!$C$49+Inputs!$C$50))+Inputs!$C$47*0.097)))+0.3*(2*((SIN(((Model_Data!A77)*12.9898+(0)*78.233+Inputs!$C$47*37.719))*43758.5453)-INT((SIN(((Model_Data!A77)*12.9898+(0)*78.233+Inputs!$C$47*37.719))*43758.5453)))-1)))</f>
        <v>-138.29494668428998</v>
      </c>
      <c r="H77" s="10"/>
      <c r="I77" s="9">
        <f>Model_Data!A77</f>
        <v>-22.5</v>
      </c>
      <c r="J77" s="9">
        <f>(Inputs!$C$51*(115*EXP(-(((Inputs!$C$6)-25)^2)/(4.5^2))+70*EXP(-(((Inputs!$C$6)+38)^2)/(7^2))*(0.55+0.45*SIN(2*PI()*(Model_Data!A77)/45))+24*SIN(2*PI()*(Inputs!$C$6)/9+(Model_Data!A77)/18)*EXP(-(((Inputs!$C$6)+5)^2)/(22^2))+18*SIN(2*PI()*(Model_Data!A77)/70))+Inputs!$C$28*EXP(-(((Model_Data!A77)-Inputs!$C$29)^2)/(2*Inputs!$C$31^2))*EXP(-(((Inputs!$C$6)-Inputs!$C$30)^2)/(2*Inputs!$C$32^2))+-Inputs!$C$33*EXP(-(((((Model_Data!A77)-Inputs!$C$34)^2)+(((Inputs!$C$6)-Inputs!$C$35)^2))/(2*Inputs!$C$36^2)))+Inputs!$C$37*(0.55*SIN(2*PI()*(Model_Data!A77)/Inputs!$C$39)+0.35*COS(2*PI()*(Inputs!$C$6)/Inputs!$C$40)+0.2*SIN(2*PI()*((Model_Data!A77)+(Inputs!$C$6))/(0.5*(Inputs!$C$39+Inputs!$C$40))))+Inputs!$C$38*SIN(2*PI()*(Model_Data!A77)/Inputs!$C$39)*SIN(2*PI()*(Inputs!$C$6)/Inputs!$C$40)+-Inputs!$C$41*EXP(-(((Inputs!$C$6)-Inputs!$C$43)^2)/(2*Inputs!$C$44^2))*EXP(-(((Model_Data!A77)-Inputs!$C$42)^2)/(2*Inputs!$C$45^2))+Inputs!$C$48*(0.7*(0.45*SIN(2*PI()*(((Model_Data!A77)/Inputs!$C$49)+Inputs!$C$47*0.137))+0.35*COS(2*PI()*(((Inputs!$C$6)/Inputs!$C$50)+Inputs!$C$47*0.173))+0.2*SIN(2*PI()*(((Model_Data!A77)+(Inputs!$C$6))/(0.5*(Inputs!$C$49+Inputs!$C$50))+Inputs!$C$47*0.097)))+0.3*(2*((SIN(((Model_Data!A77)*12.9898+(Inputs!$C$6)*78.233+Inputs!$C$47*37.719))*43758.5453)-INT((SIN(((Model_Data!A77)*12.9898+(Inputs!$C$6)*78.233+Inputs!$C$47*37.719))*43758.5453)))-1)))</f>
        <v>286.69936407981004</v>
      </c>
      <c r="K77" s="9">
        <f>-((((SQRT((Model_Data!A77)^2+Inputs!$C$6^2+((Model_Data!B77)-((Inputs!$C$51*(115*EXP(-(((Inputs!$C$6)-25)^2)/(4.5^2))+70*EXP(-(((Inputs!$C$6)+38)^2)/(7^2))*(0.55+0.45*SIN(2*PI()*(Model_Data!A77)/45))+24*SIN(2*PI()*(Inputs!$C$6)/9+(Model_Data!A77)/18)*EXP(-(((Inputs!$C$6)+5)^2)/(22^2))+18*SIN(2*PI()*(Model_Data!A77)/70))+Inputs!$C$28*EXP(-(((Model_Data!A77)-Inputs!$C$29)^2)/(2*Inputs!$C$31^2))*EXP(-(((Inputs!$C$6)-Inputs!$C$30)^2)/(2*Inputs!$C$32^2))+-Inputs!$C$33*EXP(-(((((Model_Data!A77)-Inputs!$C$34)^2)+(((Inputs!$C$6)-Inputs!$C$35)^2))/(2*Inputs!$C$36^2)))+Inputs!$C$37*(0.55*SIN(2*PI()*(Model_Data!A77)/Inputs!$C$39)+0.35*COS(2*PI()*(Inputs!$C$6)/Inputs!$C$40)+0.2*SIN(2*PI()*((Model_Data!A77)+(Inputs!$C$6))/(0.5*(Inputs!$C$39+Inputs!$C$40))))+Inputs!$C$38*SIN(2*PI()*(Model_Data!A77)/Inputs!$C$39)*SIN(2*PI()*(Inputs!$C$6)/Inputs!$C$40)+-Inputs!$C$41*EXP(-(((Inputs!$C$6)-Inputs!$C$43)^2)/(2*Inputs!$C$44^2))*EXP(-(((Model_Data!A77)-Inputs!$C$42)^2)/(2*Inputs!$C$45^2))+Inputs!$C$48*(0.7*(0.45*SIN(2*PI()*(((Model_Data!A77)/Inputs!$C$49)+Inputs!$C$47*0.137))+0.35*COS(2*PI()*(((Inputs!$C$6)/Inputs!$C$50)+Inputs!$C$47*0.173))+0.2*SIN(2*PI()*(((Model_Data!A77)+(Inputs!$C$6))/(0.5*(Inputs!$C$49+Inputs!$C$50))+Inputs!$C$47*0.097)))+0.3*(2*((SIN(((Model_Data!A77)*12.9898+(Inputs!$C$6)*78.233+Inputs!$C$47*37.719))*43758.5453)-INT((SIN(((Model_Data!A77)*12.9898+(Inputs!$C$6)*78.233+Inputs!$C$47*37.719))*43758.5453)))-1))))/1000)^2))-(((Model_Data!B77)-((Inputs!$C$51*(115*EXP(-(((0)-25)^2)/(4.5^2))+70*EXP(-(((0)+38)^2)/(7^2))*(0.55+0.45*SIN(2*PI()*(Model_Data!A77)/45))+24*SIN(2*PI()*(0)/9+(Model_Data!A77)/18)*EXP(-(((0)+5)^2)/(22^2))+18*SIN(2*PI()*(Model_Data!A77)/70))+Inputs!$C$28*EXP(-(((Model_Data!A77)-Inputs!$C$29)^2)/(2*Inputs!$C$31^2))*EXP(-(((0)-Inputs!$C$30)^2)/(2*Inputs!$C$32^2))+-Inputs!$C$33*EXP(-(((((Model_Data!A77)-Inputs!$C$34)^2)+(((0)-Inputs!$C$35)^2))/(2*Inputs!$C$36^2)))+Inputs!$C$37*(0.55*SIN(2*PI()*(Model_Data!A77)/Inputs!$C$39)+0.35*COS(2*PI()*(0)/Inputs!$C$40)+0.2*SIN(2*PI()*((Model_Data!A77)+(0))/(0.5*(Inputs!$C$39+Inputs!$C$40))))+Inputs!$C$38*SIN(2*PI()*(Model_Data!A77)/Inputs!$C$39)*SIN(2*PI()*(0)/Inputs!$C$40)+-Inputs!$C$41*EXP(-(((0)-Inputs!$C$43)^2)/(2*Inputs!$C$44^2))*EXP(-(((Model_Data!A77)-Inputs!$C$42)^2)/(2*Inputs!$C$45^2))+Inputs!$C$48*(0.7*(0.45*SIN(2*PI()*(((Model_Data!A77)/Inputs!$C$49)+Inputs!$C$47*0.137))+0.35*COS(2*PI()*(((0)/Inputs!$C$50)+Inputs!$C$47*0.173))+0.2*SIN(2*PI()*(((Model_Data!A77)+(0))/(0.5*(Inputs!$C$49+Inputs!$C$50))+Inputs!$C$47*0.097)))+0.3*(2*((SIN(((Model_Data!A77)*12.9898+(0)*78.233+Inputs!$C$47*37.719))*43758.5453)-INT((SIN(((Model_Data!A77)*12.9898+(0)*78.233+Inputs!$C$47*37.719))*43758.5453)))-1))))/1000)))*1000/Inputs!$C$12)-Model_Data!F77)</f>
        <v>238.19563206562464</v>
      </c>
      <c r="L77" s="10"/>
      <c r="M77" s="9">
        <f>Model_Data!A77</f>
        <v>-22.5</v>
      </c>
      <c r="N77" s="9">
        <f>Model_Data!P77</f>
        <v>169.27791899911472</v>
      </c>
      <c r="O77" s="9">
        <f t="shared" si="2"/>
        <v>228.41900845887722</v>
      </c>
      <c r="P77" s="9">
        <f>Model_Data!Q77</f>
        <v>25.417104954822033</v>
      </c>
      <c r="Q77" s="9">
        <f t="shared" si="3"/>
        <v>34.297148417248835</v>
      </c>
      <c r="R77" s="10"/>
      <c r="S77" s="9">
        <f>Model_Data!A77</f>
        <v>-22.5</v>
      </c>
      <c r="T77" s="9">
        <f>Model_Data!B77-Inputs!$C$5</f>
        <v>0.5625</v>
      </c>
      <c r="U77" s="10"/>
      <c r="V77" s="9">
        <f>Model_Data!A77</f>
        <v>-22.5</v>
      </c>
      <c r="W77" s="9">
        <f>((SQRT((Model_Data!A77)^2+Inputs!$C$6^2+Inputs!$C$5^2)-Inputs!$C$5)*1000/Inputs!$C$12)</f>
        <v>793.01788270038537</v>
      </c>
      <c r="X77" s="9">
        <f>Model_Data!F77</f>
        <v>791.90817516879872</v>
      </c>
      <c r="Y77" s="10"/>
      <c r="Z77" s="9">
        <f>Model_Data!A77</f>
        <v>-22.5</v>
      </c>
      <c r="AA77" s="9">
        <f>SQRT((Model_Data!A77)^2+Inputs!$C$6^2+((Model_Data!B77)-((Inputs!$C$51*(115*EXP(-(((Inputs!$C$6)-25)^2)/(4.5^2))+70*EXP(-(((Inputs!$C$6)+38)^2)/(7^2))*(0.55+0.45*SIN(2*PI()*(Model_Data!A77)/45))+24*SIN(2*PI()*(Inputs!$C$6)/9+(Model_Data!A77)/18)*EXP(-(((Inputs!$C$6)+5)^2)/(22^2))+18*SIN(2*PI()*(Model_Data!A77)/70))+Inputs!$C$28*EXP(-(((Model_Data!A77)-Inputs!$C$29)^2)/(2*Inputs!$C$31^2))*EXP(-(((Inputs!$C$6)-Inputs!$C$30)^2)/(2*Inputs!$C$32^2))+-Inputs!$C$33*EXP(-(((((Model_Data!A77)-Inputs!$C$34)^2)+(((Inputs!$C$6)-Inputs!$C$35)^2))/(2*Inputs!$C$36^2)))+Inputs!$C$37*(0.55*SIN(2*PI()*(Model_Data!A77)/Inputs!$C$39)+0.35*COS(2*PI()*(Inputs!$C$6)/Inputs!$C$40)+0.2*SIN(2*PI()*((Model_Data!A77)+(Inputs!$C$6))/(0.5*(Inputs!$C$39+Inputs!$C$40))))+Inputs!$C$38*SIN(2*PI()*(Model_Data!A77)/Inputs!$C$39)*SIN(2*PI()*(Inputs!$C$6)/Inputs!$C$40)+-Inputs!$C$41*EXP(-(((Inputs!$C$6)-Inputs!$C$43)^2)/(2*Inputs!$C$44^2))*EXP(-(((Model_Data!A77)-Inputs!$C$42)^2)/(2*Inputs!$C$45^2))+Inputs!$C$48*(0.7*(0.45*SIN(2*PI()*(((Model_Data!A77)/Inputs!$C$49)+Inputs!$C$47*0.137))+0.35*COS(2*PI()*(((Inputs!$C$6)/Inputs!$C$50)+Inputs!$C$47*0.173))+0.2*SIN(2*PI()*(((Model_Data!A77)+(Inputs!$C$6))/(0.5*(Inputs!$C$49+Inputs!$C$50))+Inputs!$C$47*0.097)))+0.3*(2*((SIN(((Model_Data!A77)*12.9898+(Inputs!$C$6)*78.233+Inputs!$C$47*37.719))*43758.5453)-INT((SIN(((Model_Data!A77)*12.9898+(Inputs!$C$6)*78.233+Inputs!$C$47*37.719))*43758.5453)))-1))))/1000)^2)</f>
        <v>401.68640327340796</v>
      </c>
      <c r="AB77" s="9">
        <f>1000*(AA78-AA76)/(Z78-Z76)*Inputs!$C$11</f>
        <v>-571.04752114719304</v>
      </c>
      <c r="AC77" s="9">
        <f>-2*AB77/Inputs!$C$13</f>
        <v>228.41900845887722</v>
      </c>
      <c r="AD77" s="9">
        <f>-2*AB77/Inputs!$C$14</f>
        <v>34.297148417248835</v>
      </c>
    </row>
    <row r="78" spans="1:30">
      <c r="A78" s="9">
        <f>Model_Data!A78</f>
        <v>-22</v>
      </c>
      <c r="B78" s="9">
        <f>((SQRT((Model_Data!A78)^2+Inputs!$C$6^2+Inputs!$C$5^2)-Inputs!$C$5)*1000/Inputs!$C$12)</f>
        <v>777.44729078630644</v>
      </c>
      <c r="C78" s="9">
        <f>Model_Data!F78</f>
        <v>776.40705108752229</v>
      </c>
      <c r="D78" s="9">
        <f>(((SQRT((Model_Data!A78)^2+Inputs!$C$6^2+((Model_Data!B78)-((Inputs!$C$51*(115*EXP(-(((Inputs!$C$6)-25)^2)/(4.5^2))+70*EXP(-(((Inputs!$C$6)+38)^2)/(7^2))*(0.55+0.45*SIN(2*PI()*(Model_Data!A78)/45))+24*SIN(2*PI()*(Inputs!$C$6)/9+(Model_Data!A78)/18)*EXP(-(((Inputs!$C$6)+5)^2)/(22^2))+18*SIN(2*PI()*(Model_Data!A78)/70))+Inputs!$C$28*EXP(-(((Model_Data!A78)-Inputs!$C$29)^2)/(2*Inputs!$C$31^2))*EXP(-(((Inputs!$C$6)-Inputs!$C$30)^2)/(2*Inputs!$C$32^2))+-Inputs!$C$33*EXP(-(((((Model_Data!A78)-Inputs!$C$34)^2)+(((Inputs!$C$6)-Inputs!$C$35)^2))/(2*Inputs!$C$36^2)))+Inputs!$C$37*(0.55*SIN(2*PI()*(Model_Data!A78)/Inputs!$C$39)+0.35*COS(2*PI()*(Inputs!$C$6)/Inputs!$C$40)+0.2*SIN(2*PI()*((Model_Data!A78)+(Inputs!$C$6))/(0.5*(Inputs!$C$39+Inputs!$C$40))))+Inputs!$C$38*SIN(2*PI()*(Model_Data!A78)/Inputs!$C$39)*SIN(2*PI()*(Inputs!$C$6)/Inputs!$C$40)+-Inputs!$C$41*EXP(-(((Inputs!$C$6)-Inputs!$C$43)^2)/(2*Inputs!$C$44^2))*EXP(-(((Model_Data!A78)-Inputs!$C$42)^2)/(2*Inputs!$C$45^2))+Inputs!$C$48*(0.7*(0.45*SIN(2*PI()*(((Model_Data!A78)/Inputs!$C$49)+Inputs!$C$47*0.137))+0.35*COS(2*PI()*(((Inputs!$C$6)/Inputs!$C$50)+Inputs!$C$47*0.173))+0.2*SIN(2*PI()*(((Model_Data!A78)+(Inputs!$C$6))/(0.5*(Inputs!$C$49+Inputs!$C$50))+Inputs!$C$47*0.097)))+0.3*(2*((SIN(((Model_Data!A78)*12.9898+(Inputs!$C$6)*78.233+Inputs!$C$47*37.719))*43758.5453)-INT((SIN(((Model_Data!A78)*12.9898+(Inputs!$C$6)*78.233+Inputs!$C$47*37.719))*43758.5453)))-1))))/1000)^2))-(((Model_Data!B78)-((Inputs!$C$51*(115*EXP(-(((0)-25)^2)/(4.5^2))+70*EXP(-(((0)+38)^2)/(7^2))*(0.55+0.45*SIN(2*PI()*(Model_Data!A78)/45))+24*SIN(2*PI()*(0)/9+(Model_Data!A78)/18)*EXP(-(((0)+5)^2)/(22^2))+18*SIN(2*PI()*(Model_Data!A78)/70))+Inputs!$C$28*EXP(-(((Model_Data!A78)-Inputs!$C$29)^2)/(2*Inputs!$C$31^2))*EXP(-(((0)-Inputs!$C$30)^2)/(2*Inputs!$C$32^2))+-Inputs!$C$33*EXP(-(((((Model_Data!A78)-Inputs!$C$34)^2)+(((0)-Inputs!$C$35)^2))/(2*Inputs!$C$36^2)))+Inputs!$C$37*(0.55*SIN(2*PI()*(Model_Data!A78)/Inputs!$C$39)+0.35*COS(2*PI()*(0)/Inputs!$C$40)+0.2*SIN(2*PI()*((Model_Data!A78)+(0))/(0.5*(Inputs!$C$39+Inputs!$C$40))))+Inputs!$C$38*SIN(2*PI()*(Model_Data!A78)/Inputs!$C$39)*SIN(2*PI()*(0)/Inputs!$C$40)+-Inputs!$C$41*EXP(-(((0)-Inputs!$C$43)^2)/(2*Inputs!$C$44^2))*EXP(-(((Model_Data!A78)-Inputs!$C$42)^2)/(2*Inputs!$C$45^2))+Inputs!$C$48*(0.7*(0.45*SIN(2*PI()*(((Model_Data!A78)/Inputs!$C$49)+Inputs!$C$47*0.137))+0.35*COS(2*PI()*(((0)/Inputs!$C$50)+Inputs!$C$47*0.173))+0.2*SIN(2*PI()*(((Model_Data!A78)+(0))/(0.5*(Inputs!$C$49+Inputs!$C$50))+Inputs!$C$47*0.097)))+0.3*(2*((SIN(((Model_Data!A78)*12.9898+(0)*78.233+Inputs!$C$47*37.719))*43758.5453)-INT((SIN(((Model_Data!A78)*12.9898+(0)*78.233+Inputs!$C$47*37.719))*43758.5453)))-1))))/1000)))*1000/Inputs!$C$12)</f>
        <v>518.1947366169976</v>
      </c>
      <c r="E78" s="9">
        <f>Model_Data!A78</f>
        <v>-22</v>
      </c>
      <c r="F78" s="9">
        <f>(Inputs!$C$51*(115*EXP(-(((Inputs!$C$6)-25)^2)/(4.5^2))+70*EXP(-(((Inputs!$C$6)+38)^2)/(7^2))*(0.55+0.45*SIN(2*PI()*(Model_Data!A78)/45))+24*SIN(2*PI()*(Inputs!$C$6)/9+(Model_Data!A78)/18)*EXP(-(((Inputs!$C$6)+5)^2)/(22^2))+18*SIN(2*PI()*(Model_Data!A78)/70))+Inputs!$C$28*EXP(-(((Model_Data!A78)-Inputs!$C$29)^2)/(2*Inputs!$C$31^2))*EXP(-(((Inputs!$C$6)-Inputs!$C$30)^2)/(2*Inputs!$C$32^2))+-Inputs!$C$33*EXP(-(((((Model_Data!A78)-Inputs!$C$34)^2)+(((Inputs!$C$6)-Inputs!$C$35)^2))/(2*Inputs!$C$36^2)))+Inputs!$C$37*(0.55*SIN(2*PI()*(Model_Data!A78)/Inputs!$C$39)+0.35*COS(2*PI()*(Inputs!$C$6)/Inputs!$C$40)+0.2*SIN(2*PI()*((Model_Data!A78)+(Inputs!$C$6))/(0.5*(Inputs!$C$39+Inputs!$C$40))))+Inputs!$C$38*SIN(2*PI()*(Model_Data!A78)/Inputs!$C$39)*SIN(2*PI()*(Inputs!$C$6)/Inputs!$C$40)+-Inputs!$C$41*EXP(-(((Inputs!$C$6)-Inputs!$C$43)^2)/(2*Inputs!$C$44^2))*EXP(-(((Model_Data!A78)-Inputs!$C$42)^2)/(2*Inputs!$C$45^2))+Inputs!$C$48*(0.7*(0.45*SIN(2*PI()*(((Model_Data!A78)/Inputs!$C$49)+Inputs!$C$47*0.137))+0.35*COS(2*PI()*(((Inputs!$C$6)/Inputs!$C$50)+Inputs!$C$47*0.173))+0.2*SIN(2*PI()*(((Model_Data!A78)+(Inputs!$C$6))/(0.5*(Inputs!$C$49+Inputs!$C$50))+Inputs!$C$47*0.097)))+0.3*(2*((SIN(((Model_Data!A78)*12.9898+(Inputs!$C$6)*78.233+Inputs!$C$47*37.719))*43758.5453)-INT((SIN(((Model_Data!A78)*12.9898+(Inputs!$C$6)*78.233+Inputs!$C$47*37.719))*43758.5453)))-1)))</f>
        <v>316.60820817766938</v>
      </c>
      <c r="G78" s="9">
        <f>(Inputs!$C$51*(115*EXP(-(((0)-25)^2)/(4.5^2))+70*EXP(-(((0)+38)^2)/(7^2))*(0.55+0.45*SIN(2*PI()*(Model_Data!A78)/45))+24*SIN(2*PI()*(0)/9+(Model_Data!A78)/18)*EXP(-(((0)+5)^2)/(22^2))+18*SIN(2*PI()*(Model_Data!A78)/70))+Inputs!$C$28*EXP(-(((Model_Data!A78)-Inputs!$C$29)^2)/(2*Inputs!$C$31^2))*EXP(-(((0)-Inputs!$C$30)^2)/(2*Inputs!$C$32^2))+-Inputs!$C$33*EXP(-(((((Model_Data!A78)-Inputs!$C$34)^2)+(((0)-Inputs!$C$35)^2))/(2*Inputs!$C$36^2)))+Inputs!$C$37*(0.55*SIN(2*PI()*(Model_Data!A78)/Inputs!$C$39)+0.35*COS(2*PI()*(0)/Inputs!$C$40)+0.2*SIN(2*PI()*((Model_Data!A78)+(0))/(0.5*(Inputs!$C$39+Inputs!$C$40))))+Inputs!$C$38*SIN(2*PI()*(Model_Data!A78)/Inputs!$C$39)*SIN(2*PI()*(0)/Inputs!$C$40)+-Inputs!$C$41*EXP(-(((0)-Inputs!$C$43)^2)/(2*Inputs!$C$44^2))*EXP(-(((Model_Data!A78)-Inputs!$C$42)^2)/(2*Inputs!$C$45^2))+Inputs!$C$48*(0.7*(0.45*SIN(2*PI()*(((Model_Data!A78)/Inputs!$C$49)+Inputs!$C$47*0.137))+0.35*COS(2*PI()*(((0)/Inputs!$C$50)+Inputs!$C$47*0.173))+0.2*SIN(2*PI()*(((Model_Data!A78)+(0))/(0.5*(Inputs!$C$49+Inputs!$C$50))+Inputs!$C$47*0.097)))+0.3*(2*((SIN(((Model_Data!A78)*12.9898+(0)*78.233+Inputs!$C$47*37.719))*43758.5453)-INT((SIN(((Model_Data!A78)*12.9898+(0)*78.233+Inputs!$C$47*37.719))*43758.5453)))-1)))</f>
        <v>-144.0992283446906</v>
      </c>
      <c r="H78" s="10"/>
      <c r="I78" s="9">
        <f>Model_Data!A78</f>
        <v>-22</v>
      </c>
      <c r="J78" s="9">
        <f>(Inputs!$C$51*(115*EXP(-(((Inputs!$C$6)-25)^2)/(4.5^2))+70*EXP(-(((Inputs!$C$6)+38)^2)/(7^2))*(0.55+0.45*SIN(2*PI()*(Model_Data!A78)/45))+24*SIN(2*PI()*(Inputs!$C$6)/9+(Model_Data!A78)/18)*EXP(-(((Inputs!$C$6)+5)^2)/(22^2))+18*SIN(2*PI()*(Model_Data!A78)/70))+Inputs!$C$28*EXP(-(((Model_Data!A78)-Inputs!$C$29)^2)/(2*Inputs!$C$31^2))*EXP(-(((Inputs!$C$6)-Inputs!$C$30)^2)/(2*Inputs!$C$32^2))+-Inputs!$C$33*EXP(-(((((Model_Data!A78)-Inputs!$C$34)^2)+(((Inputs!$C$6)-Inputs!$C$35)^2))/(2*Inputs!$C$36^2)))+Inputs!$C$37*(0.55*SIN(2*PI()*(Model_Data!A78)/Inputs!$C$39)+0.35*COS(2*PI()*(Inputs!$C$6)/Inputs!$C$40)+0.2*SIN(2*PI()*((Model_Data!A78)+(Inputs!$C$6))/(0.5*(Inputs!$C$39+Inputs!$C$40))))+Inputs!$C$38*SIN(2*PI()*(Model_Data!A78)/Inputs!$C$39)*SIN(2*PI()*(Inputs!$C$6)/Inputs!$C$40)+-Inputs!$C$41*EXP(-(((Inputs!$C$6)-Inputs!$C$43)^2)/(2*Inputs!$C$44^2))*EXP(-(((Model_Data!A78)-Inputs!$C$42)^2)/(2*Inputs!$C$45^2))+Inputs!$C$48*(0.7*(0.45*SIN(2*PI()*(((Model_Data!A78)/Inputs!$C$49)+Inputs!$C$47*0.137))+0.35*COS(2*PI()*(((Inputs!$C$6)/Inputs!$C$50)+Inputs!$C$47*0.173))+0.2*SIN(2*PI()*(((Model_Data!A78)+(Inputs!$C$6))/(0.5*(Inputs!$C$49+Inputs!$C$50))+Inputs!$C$47*0.097)))+0.3*(2*((SIN(((Model_Data!A78)*12.9898+(Inputs!$C$6)*78.233+Inputs!$C$47*37.719))*43758.5453)-INT((SIN(((Model_Data!A78)*12.9898+(Inputs!$C$6)*78.233+Inputs!$C$47*37.719))*43758.5453)))-1)))</f>
        <v>316.60820817766938</v>
      </c>
      <c r="K78" s="9">
        <f>-((((SQRT((Model_Data!A78)^2+Inputs!$C$6^2+((Model_Data!B78)-((Inputs!$C$51*(115*EXP(-(((Inputs!$C$6)-25)^2)/(4.5^2))+70*EXP(-(((Inputs!$C$6)+38)^2)/(7^2))*(0.55+0.45*SIN(2*PI()*(Model_Data!A78)/45))+24*SIN(2*PI()*(Inputs!$C$6)/9+(Model_Data!A78)/18)*EXP(-(((Inputs!$C$6)+5)^2)/(22^2))+18*SIN(2*PI()*(Model_Data!A78)/70))+Inputs!$C$28*EXP(-(((Model_Data!A78)-Inputs!$C$29)^2)/(2*Inputs!$C$31^2))*EXP(-(((Inputs!$C$6)-Inputs!$C$30)^2)/(2*Inputs!$C$32^2))+-Inputs!$C$33*EXP(-(((((Model_Data!A78)-Inputs!$C$34)^2)+(((Inputs!$C$6)-Inputs!$C$35)^2))/(2*Inputs!$C$36^2)))+Inputs!$C$37*(0.55*SIN(2*PI()*(Model_Data!A78)/Inputs!$C$39)+0.35*COS(2*PI()*(Inputs!$C$6)/Inputs!$C$40)+0.2*SIN(2*PI()*((Model_Data!A78)+(Inputs!$C$6))/(0.5*(Inputs!$C$39+Inputs!$C$40))))+Inputs!$C$38*SIN(2*PI()*(Model_Data!A78)/Inputs!$C$39)*SIN(2*PI()*(Inputs!$C$6)/Inputs!$C$40)+-Inputs!$C$41*EXP(-(((Inputs!$C$6)-Inputs!$C$43)^2)/(2*Inputs!$C$44^2))*EXP(-(((Model_Data!A78)-Inputs!$C$42)^2)/(2*Inputs!$C$45^2))+Inputs!$C$48*(0.7*(0.45*SIN(2*PI()*(((Model_Data!A78)/Inputs!$C$49)+Inputs!$C$47*0.137))+0.35*COS(2*PI()*(((Inputs!$C$6)/Inputs!$C$50)+Inputs!$C$47*0.173))+0.2*SIN(2*PI()*(((Model_Data!A78)+(Inputs!$C$6))/(0.5*(Inputs!$C$49+Inputs!$C$50))+Inputs!$C$47*0.097)))+0.3*(2*((SIN(((Model_Data!A78)*12.9898+(Inputs!$C$6)*78.233+Inputs!$C$47*37.719))*43758.5453)-INT((SIN(((Model_Data!A78)*12.9898+(Inputs!$C$6)*78.233+Inputs!$C$47*37.719))*43758.5453)))-1))))/1000)^2))-(((Model_Data!B78)-((Inputs!$C$51*(115*EXP(-(((0)-25)^2)/(4.5^2))+70*EXP(-(((0)+38)^2)/(7^2))*(0.55+0.45*SIN(2*PI()*(Model_Data!A78)/45))+24*SIN(2*PI()*(0)/9+(Model_Data!A78)/18)*EXP(-(((0)+5)^2)/(22^2))+18*SIN(2*PI()*(Model_Data!A78)/70))+Inputs!$C$28*EXP(-(((Model_Data!A78)-Inputs!$C$29)^2)/(2*Inputs!$C$31^2))*EXP(-(((0)-Inputs!$C$30)^2)/(2*Inputs!$C$32^2))+-Inputs!$C$33*EXP(-(((((Model_Data!A78)-Inputs!$C$34)^2)+(((0)-Inputs!$C$35)^2))/(2*Inputs!$C$36^2)))+Inputs!$C$37*(0.55*SIN(2*PI()*(Model_Data!A78)/Inputs!$C$39)+0.35*COS(2*PI()*(0)/Inputs!$C$40)+0.2*SIN(2*PI()*((Model_Data!A78)+(0))/(0.5*(Inputs!$C$39+Inputs!$C$40))))+Inputs!$C$38*SIN(2*PI()*(Model_Data!A78)/Inputs!$C$39)*SIN(2*PI()*(0)/Inputs!$C$40)+-Inputs!$C$41*EXP(-(((0)-Inputs!$C$43)^2)/(2*Inputs!$C$44^2))*EXP(-(((Model_Data!A78)-Inputs!$C$42)^2)/(2*Inputs!$C$45^2))+Inputs!$C$48*(0.7*(0.45*SIN(2*PI()*(((Model_Data!A78)/Inputs!$C$49)+Inputs!$C$47*0.137))+0.35*COS(2*PI()*(((0)/Inputs!$C$50)+Inputs!$C$47*0.173))+0.2*SIN(2*PI()*(((Model_Data!A78)+(0))/(0.5*(Inputs!$C$49+Inputs!$C$50))+Inputs!$C$47*0.097)))+0.3*(2*((SIN(((Model_Data!A78)*12.9898+(0)*78.233+Inputs!$C$47*37.719))*43758.5453)-INT((SIN(((Model_Data!A78)*12.9898+(0)*78.233+Inputs!$C$47*37.719))*43758.5453)))-1))))/1000)))*1000/Inputs!$C$12)-Model_Data!F78)</f>
        <v>258.21231447052469</v>
      </c>
      <c r="L78" s="10"/>
      <c r="M78" s="9">
        <f>Model_Data!A78</f>
        <v>-22</v>
      </c>
      <c r="N78" s="9">
        <f>Model_Data!P78</f>
        <v>165.53291971907839</v>
      </c>
      <c r="O78" s="9">
        <f t="shared" si="2"/>
        <v>238.54763498729881</v>
      </c>
      <c r="P78" s="9">
        <f>Model_Data!Q78</f>
        <v>24.854792750612372</v>
      </c>
      <c r="Q78" s="9">
        <f t="shared" si="3"/>
        <v>35.817963211306129</v>
      </c>
      <c r="R78" s="10"/>
      <c r="S78" s="9">
        <f>Model_Data!A78</f>
        <v>-22</v>
      </c>
      <c r="T78" s="9">
        <f>Model_Data!B78-Inputs!$C$5</f>
        <v>0.53777777777776237</v>
      </c>
      <c r="U78" s="10"/>
      <c r="V78" s="9">
        <f>Model_Data!A78</f>
        <v>-22</v>
      </c>
      <c r="W78" s="9">
        <f>((SQRT((Model_Data!A78)^2+Inputs!$C$6^2+Inputs!$C$5^2)-Inputs!$C$5)*1000/Inputs!$C$12)</f>
        <v>777.44729078630644</v>
      </c>
      <c r="X78" s="9">
        <f>Model_Data!F78</f>
        <v>776.40705108752229</v>
      </c>
      <c r="Y78" s="10"/>
      <c r="Z78" s="9">
        <f>Model_Data!A78</f>
        <v>-22</v>
      </c>
      <c r="AA78" s="9">
        <f>SQRT((Model_Data!A78)^2+Inputs!$C$6^2+((Model_Data!B78)-((Inputs!$C$51*(115*EXP(-(((Inputs!$C$6)-25)^2)/(4.5^2))+70*EXP(-(((Inputs!$C$6)+38)^2)/(7^2))*(0.55+0.45*SIN(2*PI()*(Model_Data!A78)/45))+24*SIN(2*PI()*(Inputs!$C$6)/9+(Model_Data!A78)/18)*EXP(-(((Inputs!$C$6)+5)^2)/(22^2))+18*SIN(2*PI()*(Model_Data!A78)/70))+Inputs!$C$28*EXP(-(((Model_Data!A78)-Inputs!$C$29)^2)/(2*Inputs!$C$31^2))*EXP(-(((Inputs!$C$6)-Inputs!$C$30)^2)/(2*Inputs!$C$32^2))+-Inputs!$C$33*EXP(-(((((Model_Data!A78)-Inputs!$C$34)^2)+(((Inputs!$C$6)-Inputs!$C$35)^2))/(2*Inputs!$C$36^2)))+Inputs!$C$37*(0.55*SIN(2*PI()*(Model_Data!A78)/Inputs!$C$39)+0.35*COS(2*PI()*(Inputs!$C$6)/Inputs!$C$40)+0.2*SIN(2*PI()*((Model_Data!A78)+(Inputs!$C$6))/(0.5*(Inputs!$C$39+Inputs!$C$40))))+Inputs!$C$38*SIN(2*PI()*(Model_Data!A78)/Inputs!$C$39)*SIN(2*PI()*(Inputs!$C$6)/Inputs!$C$40)+-Inputs!$C$41*EXP(-(((Inputs!$C$6)-Inputs!$C$43)^2)/(2*Inputs!$C$44^2))*EXP(-(((Model_Data!A78)-Inputs!$C$42)^2)/(2*Inputs!$C$45^2))+Inputs!$C$48*(0.7*(0.45*SIN(2*PI()*(((Model_Data!A78)/Inputs!$C$49)+Inputs!$C$47*0.137))+0.35*COS(2*PI()*(((Inputs!$C$6)/Inputs!$C$50)+Inputs!$C$47*0.173))+0.2*SIN(2*PI()*(((Model_Data!A78)+(Inputs!$C$6))/(0.5*(Inputs!$C$49+Inputs!$C$50))+Inputs!$C$47*0.097)))+0.3*(2*((SIN(((Model_Data!A78)*12.9898+(Inputs!$C$6)*78.233+Inputs!$C$47*37.719))*43758.5453)-INT((SIN(((Model_Data!A78)*12.9898+(Inputs!$C$6)*78.233+Inputs!$C$47*37.719))*43758.5453)))-1))))/1000)^2)</f>
        <v>401.60426363730073</v>
      </c>
      <c r="AB78" s="9">
        <f>1000*(AA79-AA77)/(Z79-Z77)*Inputs!$C$11</f>
        <v>-596.36908746824702</v>
      </c>
      <c r="AC78" s="9">
        <f>-2*AB78/Inputs!$C$13</f>
        <v>238.54763498729881</v>
      </c>
      <c r="AD78" s="9">
        <f>-2*AB78/Inputs!$C$14</f>
        <v>35.817963211306129</v>
      </c>
    </row>
    <row r="79" spans="1:30">
      <c r="A79" s="9">
        <f>Model_Data!A79</f>
        <v>-21.5</v>
      </c>
      <c r="B79" s="9">
        <f>((SQRT((Model_Data!A79)^2+Inputs!$C$6^2+Inputs!$C$5^2)-Inputs!$C$5)*1000/Inputs!$C$12)</f>
        <v>762.225560560453</v>
      </c>
      <c r="C79" s="9">
        <f>Model_Data!F79</f>
        <v>761.25139478869073</v>
      </c>
      <c r="D79" s="9">
        <f>(((SQRT((Model_Data!A79)^2+Inputs!$C$6^2+((Model_Data!B79)-((Inputs!$C$51*(115*EXP(-(((Inputs!$C$6)-25)^2)/(4.5^2))+70*EXP(-(((Inputs!$C$6)+38)^2)/(7^2))*(0.55+0.45*SIN(2*PI()*(Model_Data!A79)/45))+24*SIN(2*PI()*(Inputs!$C$6)/9+(Model_Data!A79)/18)*EXP(-(((Inputs!$C$6)+5)^2)/(22^2))+18*SIN(2*PI()*(Model_Data!A79)/70))+Inputs!$C$28*EXP(-(((Model_Data!A79)-Inputs!$C$29)^2)/(2*Inputs!$C$31^2))*EXP(-(((Inputs!$C$6)-Inputs!$C$30)^2)/(2*Inputs!$C$32^2))+-Inputs!$C$33*EXP(-(((((Model_Data!A79)-Inputs!$C$34)^2)+(((Inputs!$C$6)-Inputs!$C$35)^2))/(2*Inputs!$C$36^2)))+Inputs!$C$37*(0.55*SIN(2*PI()*(Model_Data!A79)/Inputs!$C$39)+0.35*COS(2*PI()*(Inputs!$C$6)/Inputs!$C$40)+0.2*SIN(2*PI()*((Model_Data!A79)+(Inputs!$C$6))/(0.5*(Inputs!$C$39+Inputs!$C$40))))+Inputs!$C$38*SIN(2*PI()*(Model_Data!A79)/Inputs!$C$39)*SIN(2*PI()*(Inputs!$C$6)/Inputs!$C$40)+-Inputs!$C$41*EXP(-(((Inputs!$C$6)-Inputs!$C$43)^2)/(2*Inputs!$C$44^2))*EXP(-(((Model_Data!A79)-Inputs!$C$42)^2)/(2*Inputs!$C$45^2))+Inputs!$C$48*(0.7*(0.45*SIN(2*PI()*(((Model_Data!A79)/Inputs!$C$49)+Inputs!$C$47*0.137))+0.35*COS(2*PI()*(((Inputs!$C$6)/Inputs!$C$50)+Inputs!$C$47*0.173))+0.2*SIN(2*PI()*(((Model_Data!A79)+(Inputs!$C$6))/(0.5*(Inputs!$C$49+Inputs!$C$50))+Inputs!$C$47*0.097)))+0.3*(2*((SIN(((Model_Data!A79)*12.9898+(Inputs!$C$6)*78.233+Inputs!$C$47*37.719))*43758.5453)-INT((SIN(((Model_Data!A79)*12.9898+(Inputs!$C$6)*78.233+Inputs!$C$47*37.719))*43758.5453)))-1))))/1000)^2))-(((Model_Data!B79)-((Inputs!$C$51*(115*EXP(-(((0)-25)^2)/(4.5^2))+70*EXP(-(((0)+38)^2)/(7^2))*(0.55+0.45*SIN(2*PI()*(Model_Data!A79)/45))+24*SIN(2*PI()*(0)/9+(Model_Data!A79)/18)*EXP(-(((0)+5)^2)/(22^2))+18*SIN(2*PI()*(Model_Data!A79)/70))+Inputs!$C$28*EXP(-(((Model_Data!A79)-Inputs!$C$29)^2)/(2*Inputs!$C$31^2))*EXP(-(((0)-Inputs!$C$30)^2)/(2*Inputs!$C$32^2))+-Inputs!$C$33*EXP(-(((((Model_Data!A79)-Inputs!$C$34)^2)+(((0)-Inputs!$C$35)^2))/(2*Inputs!$C$36^2)))+Inputs!$C$37*(0.55*SIN(2*PI()*(Model_Data!A79)/Inputs!$C$39)+0.35*COS(2*PI()*(0)/Inputs!$C$40)+0.2*SIN(2*PI()*((Model_Data!A79)+(0))/(0.5*(Inputs!$C$39+Inputs!$C$40))))+Inputs!$C$38*SIN(2*PI()*(Model_Data!A79)/Inputs!$C$39)*SIN(2*PI()*(0)/Inputs!$C$40)+-Inputs!$C$41*EXP(-(((0)-Inputs!$C$43)^2)/(2*Inputs!$C$44^2))*EXP(-(((Model_Data!A79)-Inputs!$C$42)^2)/(2*Inputs!$C$45^2))+Inputs!$C$48*(0.7*(0.45*SIN(2*PI()*(((Model_Data!A79)/Inputs!$C$49)+Inputs!$C$47*0.137))+0.35*COS(2*PI()*(((0)/Inputs!$C$50)+Inputs!$C$47*0.173))+0.2*SIN(2*PI()*(((Model_Data!A79)+(0))/(0.5*(Inputs!$C$49+Inputs!$C$50))+Inputs!$C$47*0.097)))+0.3*(2*((SIN(((Model_Data!A79)*12.9898+(0)*78.233+Inputs!$C$47*37.719))*43758.5453)-INT((SIN(((Model_Data!A79)*12.9898+(0)*78.233+Inputs!$C$47*37.719))*43758.5453)))-1))))/1000)))*1000/Inputs!$C$12)</f>
        <v>486.94682150377622</v>
      </c>
      <c r="E79" s="9">
        <f>Model_Data!A79</f>
        <v>-21.5</v>
      </c>
      <c r="F79" s="9">
        <f>(Inputs!$C$51*(115*EXP(-(((Inputs!$C$6)-25)^2)/(4.5^2))+70*EXP(-(((Inputs!$C$6)+38)^2)/(7^2))*(0.55+0.45*SIN(2*PI()*(Model_Data!A79)/45))+24*SIN(2*PI()*(Inputs!$C$6)/9+(Model_Data!A79)/18)*EXP(-(((Inputs!$C$6)+5)^2)/(22^2))+18*SIN(2*PI()*(Model_Data!A79)/70))+Inputs!$C$28*EXP(-(((Model_Data!A79)-Inputs!$C$29)^2)/(2*Inputs!$C$31^2))*EXP(-(((Inputs!$C$6)-Inputs!$C$30)^2)/(2*Inputs!$C$32^2))+-Inputs!$C$33*EXP(-(((((Model_Data!A79)-Inputs!$C$34)^2)+(((Inputs!$C$6)-Inputs!$C$35)^2))/(2*Inputs!$C$36^2)))+Inputs!$C$37*(0.55*SIN(2*PI()*(Model_Data!A79)/Inputs!$C$39)+0.35*COS(2*PI()*(Inputs!$C$6)/Inputs!$C$40)+0.2*SIN(2*PI()*((Model_Data!A79)+(Inputs!$C$6))/(0.5*(Inputs!$C$39+Inputs!$C$40))))+Inputs!$C$38*SIN(2*PI()*(Model_Data!A79)/Inputs!$C$39)*SIN(2*PI()*(Inputs!$C$6)/Inputs!$C$40)+-Inputs!$C$41*EXP(-(((Inputs!$C$6)-Inputs!$C$43)^2)/(2*Inputs!$C$44^2))*EXP(-(((Model_Data!A79)-Inputs!$C$42)^2)/(2*Inputs!$C$45^2))+Inputs!$C$48*(0.7*(0.45*SIN(2*PI()*(((Model_Data!A79)/Inputs!$C$49)+Inputs!$C$47*0.137))+0.35*COS(2*PI()*(((Inputs!$C$6)/Inputs!$C$50)+Inputs!$C$47*0.173))+0.2*SIN(2*PI()*(((Model_Data!A79)+(Inputs!$C$6))/(0.5*(Inputs!$C$49+Inputs!$C$50))+Inputs!$C$47*0.097)))+0.3*(2*((SIN(((Model_Data!A79)*12.9898+(Inputs!$C$6)*78.233+Inputs!$C$47*37.719))*43758.5453)-INT((SIN(((Model_Data!A79)*12.9898+(Inputs!$C$6)*78.233+Inputs!$C$47*37.719))*43758.5453)))-1)))</f>
        <v>332.44947759769417</v>
      </c>
      <c r="G79" s="9">
        <f>(Inputs!$C$51*(115*EXP(-(((0)-25)^2)/(4.5^2))+70*EXP(-(((0)+38)^2)/(7^2))*(0.55+0.45*SIN(2*PI()*(Model_Data!A79)/45))+24*SIN(2*PI()*(0)/9+(Model_Data!A79)/18)*EXP(-(((0)+5)^2)/(22^2))+18*SIN(2*PI()*(Model_Data!A79)/70))+Inputs!$C$28*EXP(-(((Model_Data!A79)-Inputs!$C$29)^2)/(2*Inputs!$C$31^2))*EXP(-(((0)-Inputs!$C$30)^2)/(2*Inputs!$C$32^2))+-Inputs!$C$33*EXP(-(((((Model_Data!A79)-Inputs!$C$34)^2)+(((0)-Inputs!$C$35)^2))/(2*Inputs!$C$36^2)))+Inputs!$C$37*(0.55*SIN(2*PI()*(Model_Data!A79)/Inputs!$C$39)+0.35*COS(2*PI()*(0)/Inputs!$C$40)+0.2*SIN(2*PI()*((Model_Data!A79)+(0))/(0.5*(Inputs!$C$39+Inputs!$C$40))))+Inputs!$C$38*SIN(2*PI()*(Model_Data!A79)/Inputs!$C$39)*SIN(2*PI()*(0)/Inputs!$C$40)+-Inputs!$C$41*EXP(-(((0)-Inputs!$C$43)^2)/(2*Inputs!$C$44^2))*EXP(-(((Model_Data!A79)-Inputs!$C$42)^2)/(2*Inputs!$C$45^2))+Inputs!$C$48*(0.7*(0.45*SIN(2*PI()*(((Model_Data!A79)/Inputs!$C$49)+Inputs!$C$47*0.137))+0.35*COS(2*PI()*(((0)/Inputs!$C$50)+Inputs!$C$47*0.173))+0.2*SIN(2*PI()*(((Model_Data!A79)+(0))/(0.5*(Inputs!$C$49+Inputs!$C$50))+Inputs!$C$47*0.097)))+0.3*(2*((SIN(((Model_Data!A79)*12.9898+(0)*78.233+Inputs!$C$47*37.719))*43758.5453)-INT((SIN(((Model_Data!A79)*12.9898+(0)*78.233+Inputs!$C$47*37.719))*43758.5453)))-1)))</f>
        <v>-156.9345481530768</v>
      </c>
      <c r="H79" s="10"/>
      <c r="I79" s="9">
        <f>Model_Data!A79</f>
        <v>-21.5</v>
      </c>
      <c r="J79" s="9">
        <f>(Inputs!$C$51*(115*EXP(-(((Inputs!$C$6)-25)^2)/(4.5^2))+70*EXP(-(((Inputs!$C$6)+38)^2)/(7^2))*(0.55+0.45*SIN(2*PI()*(Model_Data!A79)/45))+24*SIN(2*PI()*(Inputs!$C$6)/9+(Model_Data!A79)/18)*EXP(-(((Inputs!$C$6)+5)^2)/(22^2))+18*SIN(2*PI()*(Model_Data!A79)/70))+Inputs!$C$28*EXP(-(((Model_Data!A79)-Inputs!$C$29)^2)/(2*Inputs!$C$31^2))*EXP(-(((Inputs!$C$6)-Inputs!$C$30)^2)/(2*Inputs!$C$32^2))+-Inputs!$C$33*EXP(-(((((Model_Data!A79)-Inputs!$C$34)^2)+(((Inputs!$C$6)-Inputs!$C$35)^2))/(2*Inputs!$C$36^2)))+Inputs!$C$37*(0.55*SIN(2*PI()*(Model_Data!A79)/Inputs!$C$39)+0.35*COS(2*PI()*(Inputs!$C$6)/Inputs!$C$40)+0.2*SIN(2*PI()*((Model_Data!A79)+(Inputs!$C$6))/(0.5*(Inputs!$C$39+Inputs!$C$40))))+Inputs!$C$38*SIN(2*PI()*(Model_Data!A79)/Inputs!$C$39)*SIN(2*PI()*(Inputs!$C$6)/Inputs!$C$40)+-Inputs!$C$41*EXP(-(((Inputs!$C$6)-Inputs!$C$43)^2)/(2*Inputs!$C$44^2))*EXP(-(((Model_Data!A79)-Inputs!$C$42)^2)/(2*Inputs!$C$45^2))+Inputs!$C$48*(0.7*(0.45*SIN(2*PI()*(((Model_Data!A79)/Inputs!$C$49)+Inputs!$C$47*0.137))+0.35*COS(2*PI()*(((Inputs!$C$6)/Inputs!$C$50)+Inputs!$C$47*0.173))+0.2*SIN(2*PI()*(((Model_Data!A79)+(Inputs!$C$6))/(0.5*(Inputs!$C$49+Inputs!$C$50))+Inputs!$C$47*0.097)))+0.3*(2*((SIN(((Model_Data!A79)*12.9898+(Inputs!$C$6)*78.233+Inputs!$C$47*37.719))*43758.5453)-INT((SIN(((Model_Data!A79)*12.9898+(Inputs!$C$6)*78.233+Inputs!$C$47*37.719))*43758.5453)))-1)))</f>
        <v>332.44947759769417</v>
      </c>
      <c r="K79" s="9">
        <f>-((((SQRT((Model_Data!A79)^2+Inputs!$C$6^2+((Model_Data!B79)-((Inputs!$C$51*(115*EXP(-(((Inputs!$C$6)-25)^2)/(4.5^2))+70*EXP(-(((Inputs!$C$6)+38)^2)/(7^2))*(0.55+0.45*SIN(2*PI()*(Model_Data!A79)/45))+24*SIN(2*PI()*(Inputs!$C$6)/9+(Model_Data!A79)/18)*EXP(-(((Inputs!$C$6)+5)^2)/(22^2))+18*SIN(2*PI()*(Model_Data!A79)/70))+Inputs!$C$28*EXP(-(((Model_Data!A79)-Inputs!$C$29)^2)/(2*Inputs!$C$31^2))*EXP(-(((Inputs!$C$6)-Inputs!$C$30)^2)/(2*Inputs!$C$32^2))+-Inputs!$C$33*EXP(-(((((Model_Data!A79)-Inputs!$C$34)^2)+(((Inputs!$C$6)-Inputs!$C$35)^2))/(2*Inputs!$C$36^2)))+Inputs!$C$37*(0.55*SIN(2*PI()*(Model_Data!A79)/Inputs!$C$39)+0.35*COS(2*PI()*(Inputs!$C$6)/Inputs!$C$40)+0.2*SIN(2*PI()*((Model_Data!A79)+(Inputs!$C$6))/(0.5*(Inputs!$C$39+Inputs!$C$40))))+Inputs!$C$38*SIN(2*PI()*(Model_Data!A79)/Inputs!$C$39)*SIN(2*PI()*(Inputs!$C$6)/Inputs!$C$40)+-Inputs!$C$41*EXP(-(((Inputs!$C$6)-Inputs!$C$43)^2)/(2*Inputs!$C$44^2))*EXP(-(((Model_Data!A79)-Inputs!$C$42)^2)/(2*Inputs!$C$45^2))+Inputs!$C$48*(0.7*(0.45*SIN(2*PI()*(((Model_Data!A79)/Inputs!$C$49)+Inputs!$C$47*0.137))+0.35*COS(2*PI()*(((Inputs!$C$6)/Inputs!$C$50)+Inputs!$C$47*0.173))+0.2*SIN(2*PI()*(((Model_Data!A79)+(Inputs!$C$6))/(0.5*(Inputs!$C$49+Inputs!$C$50))+Inputs!$C$47*0.097)))+0.3*(2*((SIN(((Model_Data!A79)*12.9898+(Inputs!$C$6)*78.233+Inputs!$C$47*37.719))*43758.5453)-INT((SIN(((Model_Data!A79)*12.9898+(Inputs!$C$6)*78.233+Inputs!$C$47*37.719))*43758.5453)))-1))))/1000)^2))-(((Model_Data!B79)-((Inputs!$C$51*(115*EXP(-(((0)-25)^2)/(4.5^2))+70*EXP(-(((0)+38)^2)/(7^2))*(0.55+0.45*SIN(2*PI()*(Model_Data!A79)/45))+24*SIN(2*PI()*(0)/9+(Model_Data!A79)/18)*EXP(-(((0)+5)^2)/(22^2))+18*SIN(2*PI()*(Model_Data!A79)/70))+Inputs!$C$28*EXP(-(((Model_Data!A79)-Inputs!$C$29)^2)/(2*Inputs!$C$31^2))*EXP(-(((0)-Inputs!$C$30)^2)/(2*Inputs!$C$32^2))+-Inputs!$C$33*EXP(-(((((Model_Data!A79)-Inputs!$C$34)^2)+(((0)-Inputs!$C$35)^2))/(2*Inputs!$C$36^2)))+Inputs!$C$37*(0.55*SIN(2*PI()*(Model_Data!A79)/Inputs!$C$39)+0.35*COS(2*PI()*(0)/Inputs!$C$40)+0.2*SIN(2*PI()*((Model_Data!A79)+(0))/(0.5*(Inputs!$C$39+Inputs!$C$40))))+Inputs!$C$38*SIN(2*PI()*(Model_Data!A79)/Inputs!$C$39)*SIN(2*PI()*(0)/Inputs!$C$40)+-Inputs!$C$41*EXP(-(((0)-Inputs!$C$43)^2)/(2*Inputs!$C$44^2))*EXP(-(((Model_Data!A79)-Inputs!$C$42)^2)/(2*Inputs!$C$45^2))+Inputs!$C$48*(0.7*(0.45*SIN(2*PI()*(((Model_Data!A79)/Inputs!$C$49)+Inputs!$C$47*0.137))+0.35*COS(2*PI()*(((0)/Inputs!$C$50)+Inputs!$C$47*0.173))+0.2*SIN(2*PI()*(((Model_Data!A79)+(0))/(0.5*(Inputs!$C$49+Inputs!$C$50))+Inputs!$C$47*0.097)))+0.3*(2*((SIN(((Model_Data!A79)*12.9898+(0)*78.233+Inputs!$C$47*37.719))*43758.5453)-INT((SIN(((Model_Data!A79)*12.9898+(0)*78.233+Inputs!$C$47*37.719))*43758.5453)))-1))))/1000)))*1000/Inputs!$C$12)-Model_Data!F79)</f>
        <v>274.30457328491451</v>
      </c>
      <c r="L79" s="10"/>
      <c r="M79" s="9">
        <f>Model_Data!A79</f>
        <v>-21.5</v>
      </c>
      <c r="N79" s="9">
        <f>Model_Data!P79</f>
        <v>161.78679859499886</v>
      </c>
      <c r="O79" s="9">
        <f t="shared" si="2"/>
        <v>163.94240570289185</v>
      </c>
      <c r="P79" s="9">
        <f>Model_Data!Q79</f>
        <v>24.292312101351179</v>
      </c>
      <c r="Q79" s="9">
        <f t="shared" si="3"/>
        <v>24.615976832266046</v>
      </c>
      <c r="R79" s="10"/>
      <c r="S79" s="9">
        <f>Model_Data!A79</f>
        <v>-21.5</v>
      </c>
      <c r="T79" s="9">
        <f>Model_Data!B79-Inputs!$C$5</f>
        <v>0.51361111111111768</v>
      </c>
      <c r="U79" s="10"/>
      <c r="V79" s="9">
        <f>Model_Data!A79</f>
        <v>-21.5</v>
      </c>
      <c r="W79" s="9">
        <f>((SQRT((Model_Data!A79)^2+Inputs!$C$6^2+Inputs!$C$5^2)-Inputs!$C$5)*1000/Inputs!$C$12)</f>
        <v>762.225560560453</v>
      </c>
      <c r="X79" s="9">
        <f>Model_Data!F79</f>
        <v>761.25139478869073</v>
      </c>
      <c r="Y79" s="10"/>
      <c r="Z79" s="9">
        <f>Model_Data!A79</f>
        <v>-21.5</v>
      </c>
      <c r="AA79" s="9">
        <f>SQRT((Model_Data!A79)^2+Inputs!$C$6^2+((Model_Data!B79)-((Inputs!$C$51*(115*EXP(-(((Inputs!$C$6)-25)^2)/(4.5^2))+70*EXP(-(((Inputs!$C$6)+38)^2)/(7^2))*(0.55+0.45*SIN(2*PI()*(Model_Data!A79)/45))+24*SIN(2*PI()*(Inputs!$C$6)/9+(Model_Data!A79)/18)*EXP(-(((Inputs!$C$6)+5)^2)/(22^2))+18*SIN(2*PI()*(Model_Data!A79)/70))+Inputs!$C$28*EXP(-(((Model_Data!A79)-Inputs!$C$29)^2)/(2*Inputs!$C$31^2))*EXP(-(((Inputs!$C$6)-Inputs!$C$30)^2)/(2*Inputs!$C$32^2))+-Inputs!$C$33*EXP(-(((((Model_Data!A79)-Inputs!$C$34)^2)+(((Inputs!$C$6)-Inputs!$C$35)^2))/(2*Inputs!$C$36^2)))+Inputs!$C$37*(0.55*SIN(2*PI()*(Model_Data!A79)/Inputs!$C$39)+0.35*COS(2*PI()*(Inputs!$C$6)/Inputs!$C$40)+0.2*SIN(2*PI()*((Model_Data!A79)+(Inputs!$C$6))/(0.5*(Inputs!$C$39+Inputs!$C$40))))+Inputs!$C$38*SIN(2*PI()*(Model_Data!A79)/Inputs!$C$39)*SIN(2*PI()*(Inputs!$C$6)/Inputs!$C$40)+-Inputs!$C$41*EXP(-(((Inputs!$C$6)-Inputs!$C$43)^2)/(2*Inputs!$C$44^2))*EXP(-(((Model_Data!A79)-Inputs!$C$42)^2)/(2*Inputs!$C$45^2))+Inputs!$C$48*(0.7*(0.45*SIN(2*PI()*(((Model_Data!A79)/Inputs!$C$49)+Inputs!$C$47*0.137))+0.35*COS(2*PI()*(((Inputs!$C$6)/Inputs!$C$50)+Inputs!$C$47*0.173))+0.2*SIN(2*PI()*(((Model_Data!A79)+(Inputs!$C$6))/(0.5*(Inputs!$C$49+Inputs!$C$50))+Inputs!$C$47*0.097)))+0.3*(2*((SIN(((Model_Data!A79)*12.9898+(Inputs!$C$6)*78.233+Inputs!$C$47*37.719))*43758.5453)-INT((SIN(((Model_Data!A79)*12.9898+(Inputs!$C$6)*78.233+Inputs!$C$47*37.719))*43758.5453)))-1))))/1000)^2)</f>
        <v>401.5373110015409</v>
      </c>
      <c r="AB79" s="9">
        <f>1000*(AA80-AA78)/(Z80-Z78)*Inputs!$C$11</f>
        <v>-409.85601425722962</v>
      </c>
      <c r="AC79" s="9">
        <f>-2*AB79/Inputs!$C$13</f>
        <v>163.94240570289185</v>
      </c>
      <c r="AD79" s="9">
        <f>-2*AB79/Inputs!$C$14</f>
        <v>24.615976832266046</v>
      </c>
    </row>
    <row r="80" spans="1:30">
      <c r="A80" s="9">
        <f>Model_Data!A80</f>
        <v>-21</v>
      </c>
      <c r="B80" s="9">
        <f>((SQRT((Model_Data!A80)^2+Inputs!$C$6^2+Inputs!$C$5^2)-Inputs!$C$5)*1000/Inputs!$C$12)</f>
        <v>747.35276268002508</v>
      </c>
      <c r="C80" s="9">
        <f>Model_Data!F80</f>
        <v>746.44140104912105</v>
      </c>
      <c r="D80" s="9">
        <f>(((SQRT((Model_Data!A80)^2+Inputs!$C$6^2+((Model_Data!B80)-((Inputs!$C$51*(115*EXP(-(((Inputs!$C$6)-25)^2)/(4.5^2))+70*EXP(-(((Inputs!$C$6)+38)^2)/(7^2))*(0.55+0.45*SIN(2*PI()*(Model_Data!A80)/45))+24*SIN(2*PI()*(Inputs!$C$6)/9+(Model_Data!A80)/18)*EXP(-(((Inputs!$C$6)+5)^2)/(22^2))+18*SIN(2*PI()*(Model_Data!A80)/70))+Inputs!$C$28*EXP(-(((Model_Data!A80)-Inputs!$C$29)^2)/(2*Inputs!$C$31^2))*EXP(-(((Inputs!$C$6)-Inputs!$C$30)^2)/(2*Inputs!$C$32^2))+-Inputs!$C$33*EXP(-(((((Model_Data!A80)-Inputs!$C$34)^2)+(((Inputs!$C$6)-Inputs!$C$35)^2))/(2*Inputs!$C$36^2)))+Inputs!$C$37*(0.55*SIN(2*PI()*(Model_Data!A80)/Inputs!$C$39)+0.35*COS(2*PI()*(Inputs!$C$6)/Inputs!$C$40)+0.2*SIN(2*PI()*((Model_Data!A80)+(Inputs!$C$6))/(0.5*(Inputs!$C$39+Inputs!$C$40))))+Inputs!$C$38*SIN(2*PI()*(Model_Data!A80)/Inputs!$C$39)*SIN(2*PI()*(Inputs!$C$6)/Inputs!$C$40)+-Inputs!$C$41*EXP(-(((Inputs!$C$6)-Inputs!$C$43)^2)/(2*Inputs!$C$44^2))*EXP(-(((Model_Data!A80)-Inputs!$C$42)^2)/(2*Inputs!$C$45^2))+Inputs!$C$48*(0.7*(0.45*SIN(2*PI()*(((Model_Data!A80)/Inputs!$C$49)+Inputs!$C$47*0.137))+0.35*COS(2*PI()*(((Inputs!$C$6)/Inputs!$C$50)+Inputs!$C$47*0.173))+0.2*SIN(2*PI()*(((Model_Data!A80)+(Inputs!$C$6))/(0.5*(Inputs!$C$49+Inputs!$C$50))+Inputs!$C$47*0.097)))+0.3*(2*((SIN(((Model_Data!A80)*12.9898+(Inputs!$C$6)*78.233+Inputs!$C$47*37.719))*43758.5453)-INT((SIN(((Model_Data!A80)*12.9898+(Inputs!$C$6)*78.233+Inputs!$C$47*37.719))*43758.5453)))-1))))/1000)^2))-(((Model_Data!B80)-((Inputs!$C$51*(115*EXP(-(((0)-25)^2)/(4.5^2))+70*EXP(-(((0)+38)^2)/(7^2))*(0.55+0.45*SIN(2*PI()*(Model_Data!A80)/45))+24*SIN(2*PI()*(0)/9+(Model_Data!A80)/18)*EXP(-(((0)+5)^2)/(22^2))+18*SIN(2*PI()*(Model_Data!A80)/70))+Inputs!$C$28*EXP(-(((Model_Data!A80)-Inputs!$C$29)^2)/(2*Inputs!$C$31^2))*EXP(-(((0)-Inputs!$C$30)^2)/(2*Inputs!$C$32^2))+-Inputs!$C$33*EXP(-(((((Model_Data!A80)-Inputs!$C$34)^2)+(((0)-Inputs!$C$35)^2))/(2*Inputs!$C$36^2)))+Inputs!$C$37*(0.55*SIN(2*PI()*(Model_Data!A80)/Inputs!$C$39)+0.35*COS(2*PI()*(0)/Inputs!$C$40)+0.2*SIN(2*PI()*((Model_Data!A80)+(0))/(0.5*(Inputs!$C$39+Inputs!$C$40))))+Inputs!$C$38*SIN(2*PI()*(Model_Data!A80)/Inputs!$C$39)*SIN(2*PI()*(0)/Inputs!$C$40)+-Inputs!$C$41*EXP(-(((0)-Inputs!$C$43)^2)/(2*Inputs!$C$44^2))*EXP(-(((Model_Data!A80)-Inputs!$C$42)^2)/(2*Inputs!$C$45^2))+Inputs!$C$48*(0.7*(0.45*SIN(2*PI()*(((Model_Data!A80)/Inputs!$C$49)+Inputs!$C$47*0.137))+0.35*COS(2*PI()*(((0)/Inputs!$C$50)+Inputs!$C$47*0.173))+0.2*SIN(2*PI()*(((Model_Data!A80)+(0))/(0.5*(Inputs!$C$49+Inputs!$C$50))+Inputs!$C$47*0.097)))+0.3*(2*((SIN(((Model_Data!A80)*12.9898+(0)*78.233+Inputs!$C$47*37.719))*43758.5453)-INT((SIN(((Model_Data!A80)*12.9898+(0)*78.233+Inputs!$C$47*37.719))*43758.5453)))-1))))/1000)))*1000/Inputs!$C$12)</f>
        <v>488.43914821035793</v>
      </c>
      <c r="E80" s="9">
        <f>Model_Data!A80</f>
        <v>-21</v>
      </c>
      <c r="F80" s="9">
        <f>(Inputs!$C$51*(115*EXP(-(((Inputs!$C$6)-25)^2)/(4.5^2))+70*EXP(-(((Inputs!$C$6)+38)^2)/(7^2))*(0.55+0.45*SIN(2*PI()*(Model_Data!A80)/45))+24*SIN(2*PI()*(Inputs!$C$6)/9+(Model_Data!A80)/18)*EXP(-(((Inputs!$C$6)+5)^2)/(22^2))+18*SIN(2*PI()*(Model_Data!A80)/70))+Inputs!$C$28*EXP(-(((Model_Data!A80)-Inputs!$C$29)^2)/(2*Inputs!$C$31^2))*EXP(-(((Inputs!$C$6)-Inputs!$C$30)^2)/(2*Inputs!$C$32^2))+-Inputs!$C$33*EXP(-(((((Model_Data!A80)-Inputs!$C$34)^2)+(((Inputs!$C$6)-Inputs!$C$35)^2))/(2*Inputs!$C$36^2)))+Inputs!$C$37*(0.55*SIN(2*PI()*(Model_Data!A80)/Inputs!$C$39)+0.35*COS(2*PI()*(Inputs!$C$6)/Inputs!$C$40)+0.2*SIN(2*PI()*((Model_Data!A80)+(Inputs!$C$6))/(0.5*(Inputs!$C$39+Inputs!$C$40))))+Inputs!$C$38*SIN(2*PI()*(Model_Data!A80)/Inputs!$C$39)*SIN(2*PI()*(Inputs!$C$6)/Inputs!$C$40)+-Inputs!$C$41*EXP(-(((Inputs!$C$6)-Inputs!$C$43)^2)/(2*Inputs!$C$44^2))*EXP(-(((Model_Data!A80)-Inputs!$C$42)^2)/(2*Inputs!$C$45^2))+Inputs!$C$48*(0.7*(0.45*SIN(2*PI()*(((Model_Data!A80)/Inputs!$C$49)+Inputs!$C$47*0.137))+0.35*COS(2*PI()*(((Inputs!$C$6)/Inputs!$C$50)+Inputs!$C$47*0.173))+0.2*SIN(2*PI()*(((Model_Data!A80)+(Inputs!$C$6))/(0.5*(Inputs!$C$49+Inputs!$C$50))+Inputs!$C$47*0.097)))+0.3*(2*((SIN(((Model_Data!A80)*12.9898+(Inputs!$C$6)*78.233+Inputs!$C$47*37.719))*43758.5453)-INT((SIN(((Model_Data!A80)*12.9898+(Inputs!$C$6)*78.233+Inputs!$C$47*37.719))*43758.5453)))-1)))</f>
        <v>317.91812880175183</v>
      </c>
      <c r="G80" s="9">
        <f>(Inputs!$C$51*(115*EXP(-(((0)-25)^2)/(4.5^2))+70*EXP(-(((0)+38)^2)/(7^2))*(0.55+0.45*SIN(2*PI()*(Model_Data!A80)/45))+24*SIN(2*PI()*(0)/9+(Model_Data!A80)/18)*EXP(-(((0)+5)^2)/(22^2))+18*SIN(2*PI()*(Model_Data!A80)/70))+Inputs!$C$28*EXP(-(((Model_Data!A80)-Inputs!$C$29)^2)/(2*Inputs!$C$31^2))*EXP(-(((0)-Inputs!$C$30)^2)/(2*Inputs!$C$32^2))+-Inputs!$C$33*EXP(-(((((Model_Data!A80)-Inputs!$C$34)^2)+(((0)-Inputs!$C$35)^2))/(2*Inputs!$C$36^2)))+Inputs!$C$37*(0.55*SIN(2*PI()*(Model_Data!A80)/Inputs!$C$39)+0.35*COS(2*PI()*(0)/Inputs!$C$40)+0.2*SIN(2*PI()*((Model_Data!A80)+(0))/(0.5*(Inputs!$C$39+Inputs!$C$40))))+Inputs!$C$38*SIN(2*PI()*(Model_Data!A80)/Inputs!$C$39)*SIN(2*PI()*(0)/Inputs!$C$40)+-Inputs!$C$41*EXP(-(((0)-Inputs!$C$43)^2)/(2*Inputs!$C$44^2))*EXP(-(((Model_Data!A80)-Inputs!$C$42)^2)/(2*Inputs!$C$45^2))+Inputs!$C$48*(0.7*(0.45*SIN(2*PI()*(((Model_Data!A80)/Inputs!$C$49)+Inputs!$C$47*0.137))+0.35*COS(2*PI()*(((0)/Inputs!$C$50)+Inputs!$C$47*0.173))+0.2*SIN(2*PI()*(((Model_Data!A80)+(0))/(0.5*(Inputs!$C$49+Inputs!$C$50))+Inputs!$C$47*0.097)))+0.3*(2*((SIN(((Model_Data!A80)*12.9898+(0)*78.233+Inputs!$C$47*37.719))*43758.5453)-INT((SIN(((Model_Data!A80)*12.9898+(0)*78.233+Inputs!$C$47*37.719))*43758.5453)))-1)))</f>
        <v>-142.37794992196604</v>
      </c>
      <c r="H80" s="10"/>
      <c r="I80" s="9">
        <f>Model_Data!A80</f>
        <v>-21</v>
      </c>
      <c r="J80" s="9">
        <f>(Inputs!$C$51*(115*EXP(-(((Inputs!$C$6)-25)^2)/(4.5^2))+70*EXP(-(((Inputs!$C$6)+38)^2)/(7^2))*(0.55+0.45*SIN(2*PI()*(Model_Data!A80)/45))+24*SIN(2*PI()*(Inputs!$C$6)/9+(Model_Data!A80)/18)*EXP(-(((Inputs!$C$6)+5)^2)/(22^2))+18*SIN(2*PI()*(Model_Data!A80)/70))+Inputs!$C$28*EXP(-(((Model_Data!A80)-Inputs!$C$29)^2)/(2*Inputs!$C$31^2))*EXP(-(((Inputs!$C$6)-Inputs!$C$30)^2)/(2*Inputs!$C$32^2))+-Inputs!$C$33*EXP(-(((((Model_Data!A80)-Inputs!$C$34)^2)+(((Inputs!$C$6)-Inputs!$C$35)^2))/(2*Inputs!$C$36^2)))+Inputs!$C$37*(0.55*SIN(2*PI()*(Model_Data!A80)/Inputs!$C$39)+0.35*COS(2*PI()*(Inputs!$C$6)/Inputs!$C$40)+0.2*SIN(2*PI()*((Model_Data!A80)+(Inputs!$C$6))/(0.5*(Inputs!$C$39+Inputs!$C$40))))+Inputs!$C$38*SIN(2*PI()*(Model_Data!A80)/Inputs!$C$39)*SIN(2*PI()*(Inputs!$C$6)/Inputs!$C$40)+-Inputs!$C$41*EXP(-(((Inputs!$C$6)-Inputs!$C$43)^2)/(2*Inputs!$C$44^2))*EXP(-(((Model_Data!A80)-Inputs!$C$42)^2)/(2*Inputs!$C$45^2))+Inputs!$C$48*(0.7*(0.45*SIN(2*PI()*(((Model_Data!A80)/Inputs!$C$49)+Inputs!$C$47*0.137))+0.35*COS(2*PI()*(((Inputs!$C$6)/Inputs!$C$50)+Inputs!$C$47*0.173))+0.2*SIN(2*PI()*(((Model_Data!A80)+(Inputs!$C$6))/(0.5*(Inputs!$C$49+Inputs!$C$50))+Inputs!$C$47*0.097)))+0.3*(2*((SIN(((Model_Data!A80)*12.9898+(Inputs!$C$6)*78.233+Inputs!$C$47*37.719))*43758.5453)-INT((SIN(((Model_Data!A80)*12.9898+(Inputs!$C$6)*78.233+Inputs!$C$47*37.719))*43758.5453)))-1)))</f>
        <v>317.91812880175183</v>
      </c>
      <c r="K80" s="9">
        <f>-((((SQRT((Model_Data!A80)^2+Inputs!$C$6^2+((Model_Data!B80)-((Inputs!$C$51*(115*EXP(-(((Inputs!$C$6)-25)^2)/(4.5^2))+70*EXP(-(((Inputs!$C$6)+38)^2)/(7^2))*(0.55+0.45*SIN(2*PI()*(Model_Data!A80)/45))+24*SIN(2*PI()*(Inputs!$C$6)/9+(Model_Data!A80)/18)*EXP(-(((Inputs!$C$6)+5)^2)/(22^2))+18*SIN(2*PI()*(Model_Data!A80)/70))+Inputs!$C$28*EXP(-(((Model_Data!A80)-Inputs!$C$29)^2)/(2*Inputs!$C$31^2))*EXP(-(((Inputs!$C$6)-Inputs!$C$30)^2)/(2*Inputs!$C$32^2))+-Inputs!$C$33*EXP(-(((((Model_Data!A80)-Inputs!$C$34)^2)+(((Inputs!$C$6)-Inputs!$C$35)^2))/(2*Inputs!$C$36^2)))+Inputs!$C$37*(0.55*SIN(2*PI()*(Model_Data!A80)/Inputs!$C$39)+0.35*COS(2*PI()*(Inputs!$C$6)/Inputs!$C$40)+0.2*SIN(2*PI()*((Model_Data!A80)+(Inputs!$C$6))/(0.5*(Inputs!$C$39+Inputs!$C$40))))+Inputs!$C$38*SIN(2*PI()*(Model_Data!A80)/Inputs!$C$39)*SIN(2*PI()*(Inputs!$C$6)/Inputs!$C$40)+-Inputs!$C$41*EXP(-(((Inputs!$C$6)-Inputs!$C$43)^2)/(2*Inputs!$C$44^2))*EXP(-(((Model_Data!A80)-Inputs!$C$42)^2)/(2*Inputs!$C$45^2))+Inputs!$C$48*(0.7*(0.45*SIN(2*PI()*(((Model_Data!A80)/Inputs!$C$49)+Inputs!$C$47*0.137))+0.35*COS(2*PI()*(((Inputs!$C$6)/Inputs!$C$50)+Inputs!$C$47*0.173))+0.2*SIN(2*PI()*(((Model_Data!A80)+(Inputs!$C$6))/(0.5*(Inputs!$C$49+Inputs!$C$50))+Inputs!$C$47*0.097)))+0.3*(2*((SIN(((Model_Data!A80)*12.9898+(Inputs!$C$6)*78.233+Inputs!$C$47*37.719))*43758.5453)-INT((SIN(((Model_Data!A80)*12.9898+(Inputs!$C$6)*78.233+Inputs!$C$47*37.719))*43758.5453)))-1))))/1000)^2))-(((Model_Data!B80)-((Inputs!$C$51*(115*EXP(-(((0)-25)^2)/(4.5^2))+70*EXP(-(((0)+38)^2)/(7^2))*(0.55+0.45*SIN(2*PI()*(Model_Data!A80)/45))+24*SIN(2*PI()*(0)/9+(Model_Data!A80)/18)*EXP(-(((0)+5)^2)/(22^2))+18*SIN(2*PI()*(Model_Data!A80)/70))+Inputs!$C$28*EXP(-(((Model_Data!A80)-Inputs!$C$29)^2)/(2*Inputs!$C$31^2))*EXP(-(((0)-Inputs!$C$30)^2)/(2*Inputs!$C$32^2))+-Inputs!$C$33*EXP(-(((((Model_Data!A80)-Inputs!$C$34)^2)+(((0)-Inputs!$C$35)^2))/(2*Inputs!$C$36^2)))+Inputs!$C$37*(0.55*SIN(2*PI()*(Model_Data!A80)/Inputs!$C$39)+0.35*COS(2*PI()*(0)/Inputs!$C$40)+0.2*SIN(2*PI()*((Model_Data!A80)+(0))/(0.5*(Inputs!$C$39+Inputs!$C$40))))+Inputs!$C$38*SIN(2*PI()*(Model_Data!A80)/Inputs!$C$39)*SIN(2*PI()*(0)/Inputs!$C$40)+-Inputs!$C$41*EXP(-(((0)-Inputs!$C$43)^2)/(2*Inputs!$C$44^2))*EXP(-(((Model_Data!A80)-Inputs!$C$42)^2)/(2*Inputs!$C$45^2))+Inputs!$C$48*(0.7*(0.45*SIN(2*PI()*(((Model_Data!A80)/Inputs!$C$49)+Inputs!$C$47*0.137))+0.35*COS(2*PI()*(((0)/Inputs!$C$50)+Inputs!$C$47*0.173))+0.2*SIN(2*PI()*(((Model_Data!A80)+(0))/(0.5*(Inputs!$C$49+Inputs!$C$50))+Inputs!$C$47*0.097)))+0.3*(2*((SIN(((Model_Data!A80)*12.9898+(0)*78.233+Inputs!$C$47*37.719))*43758.5453)-INT((SIN(((Model_Data!A80)*12.9898+(0)*78.233+Inputs!$C$47*37.719))*43758.5453)))-1))))/1000)))*1000/Inputs!$C$12)-Model_Data!F80)</f>
        <v>258.00225283876313</v>
      </c>
      <c r="L80" s="10"/>
      <c r="M80" s="9">
        <f>Model_Data!A80</f>
        <v>-21</v>
      </c>
      <c r="N80" s="9">
        <f>Model_Data!P80</f>
        <v>158.03958042535135</v>
      </c>
      <c r="O80" s="9">
        <f t="shared" si="2"/>
        <v>175.53981596211088</v>
      </c>
      <c r="P80" s="9">
        <f>Model_Data!Q80</f>
        <v>23.729666730533236</v>
      </c>
      <c r="Q80" s="9">
        <f t="shared" si="3"/>
        <v>26.357329724040675</v>
      </c>
      <c r="R80" s="10"/>
      <c r="S80" s="9">
        <f>Model_Data!A80</f>
        <v>-21</v>
      </c>
      <c r="T80" s="9">
        <f>Model_Data!B80-Inputs!$C$5</f>
        <v>0.49000000000000909</v>
      </c>
      <c r="U80" s="10"/>
      <c r="V80" s="9">
        <f>Model_Data!A80</f>
        <v>-21</v>
      </c>
      <c r="W80" s="9">
        <f>((SQRT((Model_Data!A80)^2+Inputs!$C$6^2+Inputs!$C$5^2)-Inputs!$C$5)*1000/Inputs!$C$12)</f>
        <v>747.35276268002508</v>
      </c>
      <c r="X80" s="9">
        <f>Model_Data!F80</f>
        <v>746.44140104912105</v>
      </c>
      <c r="Y80" s="10"/>
      <c r="Z80" s="9">
        <f>Model_Data!A80</f>
        <v>-21</v>
      </c>
      <c r="AA80" s="9">
        <f>SQRT((Model_Data!A80)^2+Inputs!$C$6^2+((Model_Data!B80)-((Inputs!$C$51*(115*EXP(-(((Inputs!$C$6)-25)^2)/(4.5^2))+70*EXP(-(((Inputs!$C$6)+38)^2)/(7^2))*(0.55+0.45*SIN(2*PI()*(Model_Data!A80)/45))+24*SIN(2*PI()*(Inputs!$C$6)/9+(Model_Data!A80)/18)*EXP(-(((Inputs!$C$6)+5)^2)/(22^2))+18*SIN(2*PI()*(Model_Data!A80)/70))+Inputs!$C$28*EXP(-(((Model_Data!A80)-Inputs!$C$29)^2)/(2*Inputs!$C$31^2))*EXP(-(((Inputs!$C$6)-Inputs!$C$30)^2)/(2*Inputs!$C$32^2))+-Inputs!$C$33*EXP(-(((((Model_Data!A80)-Inputs!$C$34)^2)+(((Inputs!$C$6)-Inputs!$C$35)^2))/(2*Inputs!$C$36^2)))+Inputs!$C$37*(0.55*SIN(2*PI()*(Model_Data!A80)/Inputs!$C$39)+0.35*COS(2*PI()*(Inputs!$C$6)/Inputs!$C$40)+0.2*SIN(2*PI()*((Model_Data!A80)+(Inputs!$C$6))/(0.5*(Inputs!$C$39+Inputs!$C$40))))+Inputs!$C$38*SIN(2*PI()*(Model_Data!A80)/Inputs!$C$39)*SIN(2*PI()*(Inputs!$C$6)/Inputs!$C$40)+-Inputs!$C$41*EXP(-(((Inputs!$C$6)-Inputs!$C$43)^2)/(2*Inputs!$C$44^2))*EXP(-(((Model_Data!A80)-Inputs!$C$42)^2)/(2*Inputs!$C$45^2))+Inputs!$C$48*(0.7*(0.45*SIN(2*PI()*(((Model_Data!A80)/Inputs!$C$49)+Inputs!$C$47*0.137))+0.35*COS(2*PI()*(((Inputs!$C$6)/Inputs!$C$50)+Inputs!$C$47*0.173))+0.2*SIN(2*PI()*(((Model_Data!A80)+(Inputs!$C$6))/(0.5*(Inputs!$C$49+Inputs!$C$50))+Inputs!$C$47*0.097)))+0.3*(2*((SIN(((Model_Data!A80)*12.9898+(Inputs!$C$6)*78.233+Inputs!$C$47*37.719))*43758.5453)-INT((SIN(((Model_Data!A80)*12.9898+(Inputs!$C$6)*78.233+Inputs!$C$47*37.719))*43758.5453)))-1))))/1000)^2)</f>
        <v>401.50179963373643</v>
      </c>
      <c r="AB80" s="9">
        <f>1000*(AA81-AA79)/(Z81-Z79)*Inputs!$C$11</f>
        <v>-438.8495399052772</v>
      </c>
      <c r="AC80" s="9">
        <f>-2*AB80/Inputs!$C$13</f>
        <v>175.53981596211088</v>
      </c>
      <c r="AD80" s="9">
        <f>-2*AB80/Inputs!$C$14</f>
        <v>26.357329724040675</v>
      </c>
    </row>
    <row r="81" spans="1:30">
      <c r="A81" s="9">
        <f>Model_Data!A81</f>
        <v>-20.5</v>
      </c>
      <c r="B81" s="9">
        <f>((SQRT((Model_Data!A81)^2+Inputs!$C$6^2+Inputs!$C$5^2)-Inputs!$C$5)*1000/Inputs!$C$12)</f>
        <v>732.82896620099473</v>
      </c>
      <c r="C81" s="9">
        <f>Model_Data!F81</f>
        <v>731.97726028781562</v>
      </c>
      <c r="D81" s="9">
        <f>(((SQRT((Model_Data!A81)^2+Inputs!$C$6^2+((Model_Data!B81)-((Inputs!$C$51*(115*EXP(-(((Inputs!$C$6)-25)^2)/(4.5^2))+70*EXP(-(((Inputs!$C$6)+38)^2)/(7^2))*(0.55+0.45*SIN(2*PI()*(Model_Data!A81)/45))+24*SIN(2*PI()*(Inputs!$C$6)/9+(Model_Data!A81)/18)*EXP(-(((Inputs!$C$6)+5)^2)/(22^2))+18*SIN(2*PI()*(Model_Data!A81)/70))+Inputs!$C$28*EXP(-(((Model_Data!A81)-Inputs!$C$29)^2)/(2*Inputs!$C$31^2))*EXP(-(((Inputs!$C$6)-Inputs!$C$30)^2)/(2*Inputs!$C$32^2))+-Inputs!$C$33*EXP(-(((((Model_Data!A81)-Inputs!$C$34)^2)+(((Inputs!$C$6)-Inputs!$C$35)^2))/(2*Inputs!$C$36^2)))+Inputs!$C$37*(0.55*SIN(2*PI()*(Model_Data!A81)/Inputs!$C$39)+0.35*COS(2*PI()*(Inputs!$C$6)/Inputs!$C$40)+0.2*SIN(2*PI()*((Model_Data!A81)+(Inputs!$C$6))/(0.5*(Inputs!$C$39+Inputs!$C$40))))+Inputs!$C$38*SIN(2*PI()*(Model_Data!A81)/Inputs!$C$39)*SIN(2*PI()*(Inputs!$C$6)/Inputs!$C$40)+-Inputs!$C$41*EXP(-(((Inputs!$C$6)-Inputs!$C$43)^2)/(2*Inputs!$C$44^2))*EXP(-(((Model_Data!A81)-Inputs!$C$42)^2)/(2*Inputs!$C$45^2))+Inputs!$C$48*(0.7*(0.45*SIN(2*PI()*(((Model_Data!A81)/Inputs!$C$49)+Inputs!$C$47*0.137))+0.35*COS(2*PI()*(((Inputs!$C$6)/Inputs!$C$50)+Inputs!$C$47*0.173))+0.2*SIN(2*PI()*(((Model_Data!A81)+(Inputs!$C$6))/(0.5*(Inputs!$C$49+Inputs!$C$50))+Inputs!$C$47*0.097)))+0.3*(2*((SIN(((Model_Data!A81)*12.9898+(Inputs!$C$6)*78.233+Inputs!$C$47*37.719))*43758.5453)-INT((SIN(((Model_Data!A81)*12.9898+(Inputs!$C$6)*78.233+Inputs!$C$47*37.719))*43758.5453)))-1))))/1000)^2))-(((Model_Data!B81)-((Inputs!$C$51*(115*EXP(-(((0)-25)^2)/(4.5^2))+70*EXP(-(((0)+38)^2)/(7^2))*(0.55+0.45*SIN(2*PI()*(Model_Data!A81)/45))+24*SIN(2*PI()*(0)/9+(Model_Data!A81)/18)*EXP(-(((0)+5)^2)/(22^2))+18*SIN(2*PI()*(Model_Data!A81)/70))+Inputs!$C$28*EXP(-(((Model_Data!A81)-Inputs!$C$29)^2)/(2*Inputs!$C$31^2))*EXP(-(((0)-Inputs!$C$30)^2)/(2*Inputs!$C$32^2))+-Inputs!$C$33*EXP(-(((((Model_Data!A81)-Inputs!$C$34)^2)+(((0)-Inputs!$C$35)^2))/(2*Inputs!$C$36^2)))+Inputs!$C$37*(0.55*SIN(2*PI()*(Model_Data!A81)/Inputs!$C$39)+0.35*COS(2*PI()*(0)/Inputs!$C$40)+0.2*SIN(2*PI()*((Model_Data!A81)+(0))/(0.5*(Inputs!$C$39+Inputs!$C$40))))+Inputs!$C$38*SIN(2*PI()*(Model_Data!A81)/Inputs!$C$39)*SIN(2*PI()*(0)/Inputs!$C$40)+-Inputs!$C$41*EXP(-(((0)-Inputs!$C$43)^2)/(2*Inputs!$C$44^2))*EXP(-(((Model_Data!A81)-Inputs!$C$42)^2)/(2*Inputs!$C$45^2))+Inputs!$C$48*(0.7*(0.45*SIN(2*PI()*(((Model_Data!A81)/Inputs!$C$49)+Inputs!$C$47*0.137))+0.35*COS(2*PI()*(((0)/Inputs!$C$50)+Inputs!$C$47*0.173))+0.2*SIN(2*PI()*(((Model_Data!A81)+(0))/(0.5*(Inputs!$C$49+Inputs!$C$50))+Inputs!$C$47*0.097)))+0.3*(2*((SIN(((Model_Data!A81)*12.9898+(0)*78.233+Inputs!$C$47*37.719))*43758.5453)-INT((SIN(((Model_Data!A81)*12.9898+(0)*78.233+Inputs!$C$47*37.719))*43758.5453)))-1))))/1000)))*1000/Inputs!$C$12)</f>
        <v>460.73219494622134</v>
      </c>
      <c r="E81" s="9">
        <f>Model_Data!A81</f>
        <v>-20.5</v>
      </c>
      <c r="F81" s="9">
        <f>(Inputs!$C$51*(115*EXP(-(((Inputs!$C$6)-25)^2)/(4.5^2))+70*EXP(-(((Inputs!$C$6)+38)^2)/(7^2))*(0.55+0.45*SIN(2*PI()*(Model_Data!A81)/45))+24*SIN(2*PI()*(Inputs!$C$6)/9+(Model_Data!A81)/18)*EXP(-(((Inputs!$C$6)+5)^2)/(22^2))+18*SIN(2*PI()*(Model_Data!A81)/70))+Inputs!$C$28*EXP(-(((Model_Data!A81)-Inputs!$C$29)^2)/(2*Inputs!$C$31^2))*EXP(-(((Inputs!$C$6)-Inputs!$C$30)^2)/(2*Inputs!$C$32^2))+-Inputs!$C$33*EXP(-(((((Model_Data!A81)-Inputs!$C$34)^2)+(((Inputs!$C$6)-Inputs!$C$35)^2))/(2*Inputs!$C$36^2)))+Inputs!$C$37*(0.55*SIN(2*PI()*(Model_Data!A81)/Inputs!$C$39)+0.35*COS(2*PI()*(Inputs!$C$6)/Inputs!$C$40)+0.2*SIN(2*PI()*((Model_Data!A81)+(Inputs!$C$6))/(0.5*(Inputs!$C$39+Inputs!$C$40))))+Inputs!$C$38*SIN(2*PI()*(Model_Data!A81)/Inputs!$C$39)*SIN(2*PI()*(Inputs!$C$6)/Inputs!$C$40)+-Inputs!$C$41*EXP(-(((Inputs!$C$6)-Inputs!$C$43)^2)/(2*Inputs!$C$44^2))*EXP(-(((Model_Data!A81)-Inputs!$C$42)^2)/(2*Inputs!$C$45^2))+Inputs!$C$48*(0.7*(0.45*SIN(2*PI()*(((Model_Data!A81)/Inputs!$C$49)+Inputs!$C$47*0.137))+0.35*COS(2*PI()*(((Inputs!$C$6)/Inputs!$C$50)+Inputs!$C$47*0.173))+0.2*SIN(2*PI()*(((Model_Data!A81)+(Inputs!$C$6))/(0.5*(Inputs!$C$49+Inputs!$C$50))+Inputs!$C$47*0.097)))+0.3*(2*((SIN(((Model_Data!A81)*12.9898+(Inputs!$C$6)*78.233+Inputs!$C$47*37.719))*43758.5453)-INT((SIN(((Model_Data!A81)*12.9898+(Inputs!$C$6)*78.233+Inputs!$C$47*37.719))*43758.5453)))-1)))</f>
        <v>343.37986587370784</v>
      </c>
      <c r="G81" s="9">
        <f>(Inputs!$C$51*(115*EXP(-(((0)-25)^2)/(4.5^2))+70*EXP(-(((0)+38)^2)/(7^2))*(0.55+0.45*SIN(2*PI()*(Model_Data!A81)/45))+24*SIN(2*PI()*(0)/9+(Model_Data!A81)/18)*EXP(-(((0)+5)^2)/(22^2))+18*SIN(2*PI()*(Model_Data!A81)/70))+Inputs!$C$28*EXP(-(((Model_Data!A81)-Inputs!$C$29)^2)/(2*Inputs!$C$31^2))*EXP(-(((0)-Inputs!$C$30)^2)/(2*Inputs!$C$32^2))+-Inputs!$C$33*EXP(-(((((Model_Data!A81)-Inputs!$C$34)^2)+(((0)-Inputs!$C$35)^2))/(2*Inputs!$C$36^2)))+Inputs!$C$37*(0.55*SIN(2*PI()*(Model_Data!A81)/Inputs!$C$39)+0.35*COS(2*PI()*(0)/Inputs!$C$40)+0.2*SIN(2*PI()*((Model_Data!A81)+(0))/(0.5*(Inputs!$C$39+Inputs!$C$40))))+Inputs!$C$38*SIN(2*PI()*(Model_Data!A81)/Inputs!$C$39)*SIN(2*PI()*(0)/Inputs!$C$40)+-Inputs!$C$41*EXP(-(((0)-Inputs!$C$43)^2)/(2*Inputs!$C$44^2))*EXP(-(((Model_Data!A81)-Inputs!$C$42)^2)/(2*Inputs!$C$45^2))+Inputs!$C$48*(0.7*(0.45*SIN(2*PI()*(((Model_Data!A81)/Inputs!$C$49)+Inputs!$C$47*0.137))+0.35*COS(2*PI()*(((0)/Inputs!$C$50)+Inputs!$C$47*0.173))+0.2*SIN(2*PI()*(((Model_Data!A81)+(0))/(0.5*(Inputs!$C$49+Inputs!$C$50))+Inputs!$C$47*0.097)))+0.3*(2*((SIN(((Model_Data!A81)*12.9898+(0)*78.233+Inputs!$C$47*37.719))*43758.5453)-INT((SIN(((Model_Data!A81)*12.9898+(0)*78.233+Inputs!$C$47*37.719))*43758.5453)))-1)))</f>
        <v>-140.55086511584989</v>
      </c>
      <c r="H81" s="10"/>
      <c r="I81" s="9">
        <f>Model_Data!A81</f>
        <v>-20.5</v>
      </c>
      <c r="J81" s="9">
        <f>(Inputs!$C$51*(115*EXP(-(((Inputs!$C$6)-25)^2)/(4.5^2))+70*EXP(-(((Inputs!$C$6)+38)^2)/(7^2))*(0.55+0.45*SIN(2*PI()*(Model_Data!A81)/45))+24*SIN(2*PI()*(Inputs!$C$6)/9+(Model_Data!A81)/18)*EXP(-(((Inputs!$C$6)+5)^2)/(22^2))+18*SIN(2*PI()*(Model_Data!A81)/70))+Inputs!$C$28*EXP(-(((Model_Data!A81)-Inputs!$C$29)^2)/(2*Inputs!$C$31^2))*EXP(-(((Inputs!$C$6)-Inputs!$C$30)^2)/(2*Inputs!$C$32^2))+-Inputs!$C$33*EXP(-(((((Model_Data!A81)-Inputs!$C$34)^2)+(((Inputs!$C$6)-Inputs!$C$35)^2))/(2*Inputs!$C$36^2)))+Inputs!$C$37*(0.55*SIN(2*PI()*(Model_Data!A81)/Inputs!$C$39)+0.35*COS(2*PI()*(Inputs!$C$6)/Inputs!$C$40)+0.2*SIN(2*PI()*((Model_Data!A81)+(Inputs!$C$6))/(0.5*(Inputs!$C$39+Inputs!$C$40))))+Inputs!$C$38*SIN(2*PI()*(Model_Data!A81)/Inputs!$C$39)*SIN(2*PI()*(Inputs!$C$6)/Inputs!$C$40)+-Inputs!$C$41*EXP(-(((Inputs!$C$6)-Inputs!$C$43)^2)/(2*Inputs!$C$44^2))*EXP(-(((Model_Data!A81)-Inputs!$C$42)^2)/(2*Inputs!$C$45^2))+Inputs!$C$48*(0.7*(0.45*SIN(2*PI()*(((Model_Data!A81)/Inputs!$C$49)+Inputs!$C$47*0.137))+0.35*COS(2*PI()*(((Inputs!$C$6)/Inputs!$C$50)+Inputs!$C$47*0.173))+0.2*SIN(2*PI()*(((Model_Data!A81)+(Inputs!$C$6))/(0.5*(Inputs!$C$49+Inputs!$C$50))+Inputs!$C$47*0.097)))+0.3*(2*((SIN(((Model_Data!A81)*12.9898+(Inputs!$C$6)*78.233+Inputs!$C$47*37.719))*43758.5453)-INT((SIN(((Model_Data!A81)*12.9898+(Inputs!$C$6)*78.233+Inputs!$C$47*37.719))*43758.5453)))-1)))</f>
        <v>343.37986587370784</v>
      </c>
      <c r="K81" s="9">
        <f>-((((SQRT((Model_Data!A81)^2+Inputs!$C$6^2+((Model_Data!B81)-((Inputs!$C$51*(115*EXP(-(((Inputs!$C$6)-25)^2)/(4.5^2))+70*EXP(-(((Inputs!$C$6)+38)^2)/(7^2))*(0.55+0.45*SIN(2*PI()*(Model_Data!A81)/45))+24*SIN(2*PI()*(Inputs!$C$6)/9+(Model_Data!A81)/18)*EXP(-(((Inputs!$C$6)+5)^2)/(22^2))+18*SIN(2*PI()*(Model_Data!A81)/70))+Inputs!$C$28*EXP(-(((Model_Data!A81)-Inputs!$C$29)^2)/(2*Inputs!$C$31^2))*EXP(-(((Inputs!$C$6)-Inputs!$C$30)^2)/(2*Inputs!$C$32^2))+-Inputs!$C$33*EXP(-(((((Model_Data!A81)-Inputs!$C$34)^2)+(((Inputs!$C$6)-Inputs!$C$35)^2))/(2*Inputs!$C$36^2)))+Inputs!$C$37*(0.55*SIN(2*PI()*(Model_Data!A81)/Inputs!$C$39)+0.35*COS(2*PI()*(Inputs!$C$6)/Inputs!$C$40)+0.2*SIN(2*PI()*((Model_Data!A81)+(Inputs!$C$6))/(0.5*(Inputs!$C$39+Inputs!$C$40))))+Inputs!$C$38*SIN(2*PI()*(Model_Data!A81)/Inputs!$C$39)*SIN(2*PI()*(Inputs!$C$6)/Inputs!$C$40)+-Inputs!$C$41*EXP(-(((Inputs!$C$6)-Inputs!$C$43)^2)/(2*Inputs!$C$44^2))*EXP(-(((Model_Data!A81)-Inputs!$C$42)^2)/(2*Inputs!$C$45^2))+Inputs!$C$48*(0.7*(0.45*SIN(2*PI()*(((Model_Data!A81)/Inputs!$C$49)+Inputs!$C$47*0.137))+0.35*COS(2*PI()*(((Inputs!$C$6)/Inputs!$C$50)+Inputs!$C$47*0.173))+0.2*SIN(2*PI()*(((Model_Data!A81)+(Inputs!$C$6))/(0.5*(Inputs!$C$49+Inputs!$C$50))+Inputs!$C$47*0.097)))+0.3*(2*((SIN(((Model_Data!A81)*12.9898+(Inputs!$C$6)*78.233+Inputs!$C$47*37.719))*43758.5453)-INT((SIN(((Model_Data!A81)*12.9898+(Inputs!$C$6)*78.233+Inputs!$C$47*37.719))*43758.5453)))-1))))/1000)^2))-(((Model_Data!B81)-((Inputs!$C$51*(115*EXP(-(((0)-25)^2)/(4.5^2))+70*EXP(-(((0)+38)^2)/(7^2))*(0.55+0.45*SIN(2*PI()*(Model_Data!A81)/45))+24*SIN(2*PI()*(0)/9+(Model_Data!A81)/18)*EXP(-(((0)+5)^2)/(22^2))+18*SIN(2*PI()*(Model_Data!A81)/70))+Inputs!$C$28*EXP(-(((Model_Data!A81)-Inputs!$C$29)^2)/(2*Inputs!$C$31^2))*EXP(-(((0)-Inputs!$C$30)^2)/(2*Inputs!$C$32^2))+-Inputs!$C$33*EXP(-(((((Model_Data!A81)-Inputs!$C$34)^2)+(((0)-Inputs!$C$35)^2))/(2*Inputs!$C$36^2)))+Inputs!$C$37*(0.55*SIN(2*PI()*(Model_Data!A81)/Inputs!$C$39)+0.35*COS(2*PI()*(0)/Inputs!$C$40)+0.2*SIN(2*PI()*((Model_Data!A81)+(0))/(0.5*(Inputs!$C$39+Inputs!$C$40))))+Inputs!$C$38*SIN(2*PI()*(Model_Data!A81)/Inputs!$C$39)*SIN(2*PI()*(0)/Inputs!$C$40)+-Inputs!$C$41*EXP(-(((0)-Inputs!$C$43)^2)/(2*Inputs!$C$44^2))*EXP(-(((Model_Data!A81)-Inputs!$C$42)^2)/(2*Inputs!$C$45^2))+Inputs!$C$48*(0.7*(0.45*SIN(2*PI()*(((Model_Data!A81)/Inputs!$C$49)+Inputs!$C$47*0.137))+0.35*COS(2*PI()*(((0)/Inputs!$C$50)+Inputs!$C$47*0.173))+0.2*SIN(2*PI()*(((Model_Data!A81)+(0))/(0.5*(Inputs!$C$49+Inputs!$C$50))+Inputs!$C$47*0.097)))+0.3*(2*((SIN(((Model_Data!A81)*12.9898+(0)*78.233+Inputs!$C$47*37.719))*43758.5453)-INT((SIN(((Model_Data!A81)*12.9898+(0)*78.233+Inputs!$C$47*37.719))*43758.5453)))-1))))/1000)))*1000/Inputs!$C$12)-Model_Data!F81)</f>
        <v>271.24506534159428</v>
      </c>
      <c r="L81" s="10"/>
      <c r="M81" s="9">
        <f>Model_Data!A81</f>
        <v>-20.5</v>
      </c>
      <c r="N81" s="9">
        <f>Model_Data!P81</f>
        <v>154.29129005618699</v>
      </c>
      <c r="O81" s="9">
        <f t="shared" si="2"/>
        <v>186.63629259490335</v>
      </c>
      <c r="P81" s="9">
        <f>Model_Data!Q81</f>
        <v>23.166860368796847</v>
      </c>
      <c r="Q81" s="9">
        <f t="shared" si="3"/>
        <v>28.023467356592096</v>
      </c>
      <c r="R81" s="10"/>
      <c r="S81" s="9">
        <f>Model_Data!A81</f>
        <v>-20.5</v>
      </c>
      <c r="T81" s="9">
        <f>Model_Data!B81-Inputs!$C$5</f>
        <v>0.46694444444443661</v>
      </c>
      <c r="U81" s="10"/>
      <c r="V81" s="9">
        <f>Model_Data!A81</f>
        <v>-20.5</v>
      </c>
      <c r="W81" s="9">
        <f>((SQRT((Model_Data!A81)^2+Inputs!$C$6^2+Inputs!$C$5^2)-Inputs!$C$5)*1000/Inputs!$C$12)</f>
        <v>732.82896620099473</v>
      </c>
      <c r="X81" s="9">
        <f>Model_Data!F81</f>
        <v>731.97726028781562</v>
      </c>
      <c r="Y81" s="10"/>
      <c r="Z81" s="9">
        <f>Model_Data!A81</f>
        <v>-20.5</v>
      </c>
      <c r="AA81" s="9">
        <f>SQRT((Model_Data!A81)^2+Inputs!$C$6^2+((Model_Data!B81)-((Inputs!$C$51*(115*EXP(-(((Inputs!$C$6)-25)^2)/(4.5^2))+70*EXP(-(((Inputs!$C$6)+38)^2)/(7^2))*(0.55+0.45*SIN(2*PI()*(Model_Data!A81)/45))+24*SIN(2*PI()*(Inputs!$C$6)/9+(Model_Data!A81)/18)*EXP(-(((Inputs!$C$6)+5)^2)/(22^2))+18*SIN(2*PI()*(Model_Data!A81)/70))+Inputs!$C$28*EXP(-(((Model_Data!A81)-Inputs!$C$29)^2)/(2*Inputs!$C$31^2))*EXP(-(((Inputs!$C$6)-Inputs!$C$30)^2)/(2*Inputs!$C$32^2))+-Inputs!$C$33*EXP(-(((((Model_Data!A81)-Inputs!$C$34)^2)+(((Inputs!$C$6)-Inputs!$C$35)^2))/(2*Inputs!$C$36^2)))+Inputs!$C$37*(0.55*SIN(2*PI()*(Model_Data!A81)/Inputs!$C$39)+0.35*COS(2*PI()*(Inputs!$C$6)/Inputs!$C$40)+0.2*SIN(2*PI()*((Model_Data!A81)+(Inputs!$C$6))/(0.5*(Inputs!$C$39+Inputs!$C$40))))+Inputs!$C$38*SIN(2*PI()*(Model_Data!A81)/Inputs!$C$39)*SIN(2*PI()*(Inputs!$C$6)/Inputs!$C$40)+-Inputs!$C$41*EXP(-(((Inputs!$C$6)-Inputs!$C$43)^2)/(2*Inputs!$C$44^2))*EXP(-(((Model_Data!A81)-Inputs!$C$42)^2)/(2*Inputs!$C$45^2))+Inputs!$C$48*(0.7*(0.45*SIN(2*PI()*(((Model_Data!A81)/Inputs!$C$49)+Inputs!$C$47*0.137))+0.35*COS(2*PI()*(((Inputs!$C$6)/Inputs!$C$50)+Inputs!$C$47*0.173))+0.2*SIN(2*PI()*(((Model_Data!A81)+(Inputs!$C$6))/(0.5*(Inputs!$C$49+Inputs!$C$50))+Inputs!$C$47*0.097)))+0.3*(2*((SIN(((Model_Data!A81)*12.9898+(Inputs!$C$6)*78.233+Inputs!$C$47*37.719))*43758.5453)-INT((SIN(((Model_Data!A81)*12.9898+(Inputs!$C$6)*78.233+Inputs!$C$47*37.719))*43758.5453)))-1))))/1000)^2)</f>
        <v>401.42759861656458</v>
      </c>
      <c r="AB81" s="9">
        <f>1000*(AA82-AA80)/(Z82-Z80)*Inputs!$C$11</f>
        <v>-466.59073148725838</v>
      </c>
      <c r="AC81" s="9">
        <f>-2*AB81/Inputs!$C$13</f>
        <v>186.63629259490335</v>
      </c>
      <c r="AD81" s="9">
        <f>-2*AB81/Inputs!$C$14</f>
        <v>28.023467356592096</v>
      </c>
    </row>
    <row r="82" spans="1:30">
      <c r="A82" s="9">
        <f>Model_Data!A82</f>
        <v>-20</v>
      </c>
      <c r="B82" s="9">
        <f>((SQRT((Model_Data!A82)^2+Inputs!$C$6^2+Inputs!$C$5^2)-Inputs!$C$5)*1000/Inputs!$C$12)</f>
        <v>718.65423857647704</v>
      </c>
      <c r="C82" s="9">
        <f>Model_Data!F82</f>
        <v>717.85915855759561</v>
      </c>
      <c r="D82" s="9">
        <f>(((SQRT((Model_Data!A82)^2+Inputs!$C$6^2+((Model_Data!B82)-((Inputs!$C$51*(115*EXP(-(((Inputs!$C$6)-25)^2)/(4.5^2))+70*EXP(-(((Inputs!$C$6)+38)^2)/(7^2))*(0.55+0.45*SIN(2*PI()*(Model_Data!A82)/45))+24*SIN(2*PI()*(Inputs!$C$6)/9+(Model_Data!A82)/18)*EXP(-(((Inputs!$C$6)+5)^2)/(22^2))+18*SIN(2*PI()*(Model_Data!A82)/70))+Inputs!$C$28*EXP(-(((Model_Data!A82)-Inputs!$C$29)^2)/(2*Inputs!$C$31^2))*EXP(-(((Inputs!$C$6)-Inputs!$C$30)^2)/(2*Inputs!$C$32^2))+-Inputs!$C$33*EXP(-(((((Model_Data!A82)-Inputs!$C$34)^2)+(((Inputs!$C$6)-Inputs!$C$35)^2))/(2*Inputs!$C$36^2)))+Inputs!$C$37*(0.55*SIN(2*PI()*(Model_Data!A82)/Inputs!$C$39)+0.35*COS(2*PI()*(Inputs!$C$6)/Inputs!$C$40)+0.2*SIN(2*PI()*((Model_Data!A82)+(Inputs!$C$6))/(0.5*(Inputs!$C$39+Inputs!$C$40))))+Inputs!$C$38*SIN(2*PI()*(Model_Data!A82)/Inputs!$C$39)*SIN(2*PI()*(Inputs!$C$6)/Inputs!$C$40)+-Inputs!$C$41*EXP(-(((Inputs!$C$6)-Inputs!$C$43)^2)/(2*Inputs!$C$44^2))*EXP(-(((Model_Data!A82)-Inputs!$C$42)^2)/(2*Inputs!$C$45^2))+Inputs!$C$48*(0.7*(0.45*SIN(2*PI()*(((Model_Data!A82)/Inputs!$C$49)+Inputs!$C$47*0.137))+0.35*COS(2*PI()*(((Inputs!$C$6)/Inputs!$C$50)+Inputs!$C$47*0.173))+0.2*SIN(2*PI()*(((Model_Data!A82)+(Inputs!$C$6))/(0.5*(Inputs!$C$49+Inputs!$C$50))+Inputs!$C$47*0.097)))+0.3*(2*((SIN(((Model_Data!A82)*12.9898+(Inputs!$C$6)*78.233+Inputs!$C$47*37.719))*43758.5453)-INT((SIN(((Model_Data!A82)*12.9898+(Inputs!$C$6)*78.233+Inputs!$C$47*37.719))*43758.5453)))-1))))/1000)^2))-(((Model_Data!B82)-((Inputs!$C$51*(115*EXP(-(((0)-25)^2)/(4.5^2))+70*EXP(-(((0)+38)^2)/(7^2))*(0.55+0.45*SIN(2*PI()*(Model_Data!A82)/45))+24*SIN(2*PI()*(0)/9+(Model_Data!A82)/18)*EXP(-(((0)+5)^2)/(22^2))+18*SIN(2*PI()*(Model_Data!A82)/70))+Inputs!$C$28*EXP(-(((Model_Data!A82)-Inputs!$C$29)^2)/(2*Inputs!$C$31^2))*EXP(-(((0)-Inputs!$C$30)^2)/(2*Inputs!$C$32^2))+-Inputs!$C$33*EXP(-(((((Model_Data!A82)-Inputs!$C$34)^2)+(((0)-Inputs!$C$35)^2))/(2*Inputs!$C$36^2)))+Inputs!$C$37*(0.55*SIN(2*PI()*(Model_Data!A82)/Inputs!$C$39)+0.35*COS(2*PI()*(0)/Inputs!$C$40)+0.2*SIN(2*PI()*((Model_Data!A82)+(0))/(0.5*(Inputs!$C$39+Inputs!$C$40))))+Inputs!$C$38*SIN(2*PI()*(Model_Data!A82)/Inputs!$C$39)*SIN(2*PI()*(0)/Inputs!$C$40)+-Inputs!$C$41*EXP(-(((0)-Inputs!$C$43)^2)/(2*Inputs!$C$44^2))*EXP(-(((Model_Data!A82)-Inputs!$C$42)^2)/(2*Inputs!$C$45^2))+Inputs!$C$48*(0.7*(0.45*SIN(2*PI()*(((Model_Data!A82)/Inputs!$C$49)+Inputs!$C$47*0.137))+0.35*COS(2*PI()*(((0)/Inputs!$C$50)+Inputs!$C$47*0.173))+0.2*SIN(2*PI()*(((Model_Data!A82)+(0))/(0.5*(Inputs!$C$49+Inputs!$C$50))+Inputs!$C$47*0.097)))+0.3*(2*((SIN(((Model_Data!A82)*12.9898+(0)*78.233+Inputs!$C$47*37.719))*43758.5453)-INT((SIN(((Model_Data!A82)*12.9898+(0)*78.233+Inputs!$C$47*37.719))*43758.5453)))-1))))/1000)))*1000/Inputs!$C$12)</f>
        <v>446.2804969375739</v>
      </c>
      <c r="E82" s="9">
        <f>Model_Data!A82</f>
        <v>-20</v>
      </c>
      <c r="F82" s="9">
        <f>(Inputs!$C$51*(115*EXP(-(((Inputs!$C$6)-25)^2)/(4.5^2))+70*EXP(-(((Inputs!$C$6)+38)^2)/(7^2))*(0.55+0.45*SIN(2*PI()*(Model_Data!A82)/45))+24*SIN(2*PI()*(Inputs!$C$6)/9+(Model_Data!A82)/18)*EXP(-(((Inputs!$C$6)+5)^2)/(22^2))+18*SIN(2*PI()*(Model_Data!A82)/70))+Inputs!$C$28*EXP(-(((Model_Data!A82)-Inputs!$C$29)^2)/(2*Inputs!$C$31^2))*EXP(-(((Inputs!$C$6)-Inputs!$C$30)^2)/(2*Inputs!$C$32^2))+-Inputs!$C$33*EXP(-(((((Model_Data!A82)-Inputs!$C$34)^2)+(((Inputs!$C$6)-Inputs!$C$35)^2))/(2*Inputs!$C$36^2)))+Inputs!$C$37*(0.55*SIN(2*PI()*(Model_Data!A82)/Inputs!$C$39)+0.35*COS(2*PI()*(Inputs!$C$6)/Inputs!$C$40)+0.2*SIN(2*PI()*((Model_Data!A82)+(Inputs!$C$6))/(0.5*(Inputs!$C$39+Inputs!$C$40))))+Inputs!$C$38*SIN(2*PI()*(Model_Data!A82)/Inputs!$C$39)*SIN(2*PI()*(Inputs!$C$6)/Inputs!$C$40)+-Inputs!$C$41*EXP(-(((Inputs!$C$6)-Inputs!$C$43)^2)/(2*Inputs!$C$44^2))*EXP(-(((Model_Data!A82)-Inputs!$C$42)^2)/(2*Inputs!$C$45^2))+Inputs!$C$48*(0.7*(0.45*SIN(2*PI()*(((Model_Data!A82)/Inputs!$C$49)+Inputs!$C$47*0.137))+0.35*COS(2*PI()*(((Inputs!$C$6)/Inputs!$C$50)+Inputs!$C$47*0.173))+0.2*SIN(2*PI()*(((Model_Data!A82)+(Inputs!$C$6))/(0.5*(Inputs!$C$49+Inputs!$C$50))+Inputs!$C$47*0.097)))+0.3*(2*((SIN(((Model_Data!A82)*12.9898+(Inputs!$C$6)*78.233+Inputs!$C$47*37.719))*43758.5453)-INT((SIN(((Model_Data!A82)*12.9898+(Inputs!$C$6)*78.233+Inputs!$C$47*37.719))*43758.5453)))-1)))</f>
        <v>338.15830709982725</v>
      </c>
      <c r="G82" s="9">
        <f>(Inputs!$C$51*(115*EXP(-(((0)-25)^2)/(4.5^2))+70*EXP(-(((0)+38)^2)/(7^2))*(0.55+0.45*SIN(2*PI()*(Model_Data!A82)/45))+24*SIN(2*PI()*(0)/9+(Model_Data!A82)/18)*EXP(-(((0)+5)^2)/(22^2))+18*SIN(2*PI()*(Model_Data!A82)/70))+Inputs!$C$28*EXP(-(((Model_Data!A82)-Inputs!$C$29)^2)/(2*Inputs!$C$31^2))*EXP(-(((0)-Inputs!$C$30)^2)/(2*Inputs!$C$32^2))+-Inputs!$C$33*EXP(-(((((Model_Data!A82)-Inputs!$C$34)^2)+(((0)-Inputs!$C$35)^2))/(2*Inputs!$C$36^2)))+Inputs!$C$37*(0.55*SIN(2*PI()*(Model_Data!A82)/Inputs!$C$39)+0.35*COS(2*PI()*(0)/Inputs!$C$40)+0.2*SIN(2*PI()*((Model_Data!A82)+(0))/(0.5*(Inputs!$C$39+Inputs!$C$40))))+Inputs!$C$38*SIN(2*PI()*(Model_Data!A82)/Inputs!$C$39)*SIN(2*PI()*(0)/Inputs!$C$40)+-Inputs!$C$41*EXP(-(((0)-Inputs!$C$43)^2)/(2*Inputs!$C$44^2))*EXP(-(((Model_Data!A82)-Inputs!$C$42)^2)/(2*Inputs!$C$45^2))+Inputs!$C$48*(0.7*(0.45*SIN(2*PI()*(((Model_Data!A82)/Inputs!$C$49)+Inputs!$C$47*0.137))+0.35*COS(2*PI()*(((0)/Inputs!$C$50)+Inputs!$C$47*0.173))+0.2*SIN(2*PI()*(((Model_Data!A82)+(0))/(0.5*(Inputs!$C$49+Inputs!$C$50))+Inputs!$C$47*0.097)))+0.3*(2*((SIN(((Model_Data!A82)*12.9898+(0)*78.233+Inputs!$C$47*37.719))*43758.5453)-INT((SIN(((Model_Data!A82)*12.9898+(0)*78.233+Inputs!$C$47*37.719))*43758.5453)))-1)))</f>
        <v>-146.32822187126578</v>
      </c>
      <c r="H82" s="10"/>
      <c r="I82" s="9">
        <f>Model_Data!A82</f>
        <v>-20</v>
      </c>
      <c r="J82" s="9">
        <f>(Inputs!$C$51*(115*EXP(-(((Inputs!$C$6)-25)^2)/(4.5^2))+70*EXP(-(((Inputs!$C$6)+38)^2)/(7^2))*(0.55+0.45*SIN(2*PI()*(Model_Data!A82)/45))+24*SIN(2*PI()*(Inputs!$C$6)/9+(Model_Data!A82)/18)*EXP(-(((Inputs!$C$6)+5)^2)/(22^2))+18*SIN(2*PI()*(Model_Data!A82)/70))+Inputs!$C$28*EXP(-(((Model_Data!A82)-Inputs!$C$29)^2)/(2*Inputs!$C$31^2))*EXP(-(((Inputs!$C$6)-Inputs!$C$30)^2)/(2*Inputs!$C$32^2))+-Inputs!$C$33*EXP(-(((((Model_Data!A82)-Inputs!$C$34)^2)+(((Inputs!$C$6)-Inputs!$C$35)^2))/(2*Inputs!$C$36^2)))+Inputs!$C$37*(0.55*SIN(2*PI()*(Model_Data!A82)/Inputs!$C$39)+0.35*COS(2*PI()*(Inputs!$C$6)/Inputs!$C$40)+0.2*SIN(2*PI()*((Model_Data!A82)+(Inputs!$C$6))/(0.5*(Inputs!$C$39+Inputs!$C$40))))+Inputs!$C$38*SIN(2*PI()*(Model_Data!A82)/Inputs!$C$39)*SIN(2*PI()*(Inputs!$C$6)/Inputs!$C$40)+-Inputs!$C$41*EXP(-(((Inputs!$C$6)-Inputs!$C$43)^2)/(2*Inputs!$C$44^2))*EXP(-(((Model_Data!A82)-Inputs!$C$42)^2)/(2*Inputs!$C$45^2))+Inputs!$C$48*(0.7*(0.45*SIN(2*PI()*(((Model_Data!A82)/Inputs!$C$49)+Inputs!$C$47*0.137))+0.35*COS(2*PI()*(((Inputs!$C$6)/Inputs!$C$50)+Inputs!$C$47*0.173))+0.2*SIN(2*PI()*(((Model_Data!A82)+(Inputs!$C$6))/(0.5*(Inputs!$C$49+Inputs!$C$50))+Inputs!$C$47*0.097)))+0.3*(2*((SIN(((Model_Data!A82)*12.9898+(Inputs!$C$6)*78.233+Inputs!$C$47*37.719))*43758.5453)-INT((SIN(((Model_Data!A82)*12.9898+(Inputs!$C$6)*78.233+Inputs!$C$47*37.719))*43758.5453)))-1)))</f>
        <v>338.15830709982725</v>
      </c>
      <c r="K82" s="9">
        <f>-((((SQRT((Model_Data!A82)^2+Inputs!$C$6^2+((Model_Data!B82)-((Inputs!$C$51*(115*EXP(-(((Inputs!$C$6)-25)^2)/(4.5^2))+70*EXP(-(((Inputs!$C$6)+38)^2)/(7^2))*(0.55+0.45*SIN(2*PI()*(Model_Data!A82)/45))+24*SIN(2*PI()*(Inputs!$C$6)/9+(Model_Data!A82)/18)*EXP(-(((Inputs!$C$6)+5)^2)/(22^2))+18*SIN(2*PI()*(Model_Data!A82)/70))+Inputs!$C$28*EXP(-(((Model_Data!A82)-Inputs!$C$29)^2)/(2*Inputs!$C$31^2))*EXP(-(((Inputs!$C$6)-Inputs!$C$30)^2)/(2*Inputs!$C$32^2))+-Inputs!$C$33*EXP(-(((((Model_Data!A82)-Inputs!$C$34)^2)+(((Inputs!$C$6)-Inputs!$C$35)^2))/(2*Inputs!$C$36^2)))+Inputs!$C$37*(0.55*SIN(2*PI()*(Model_Data!A82)/Inputs!$C$39)+0.35*COS(2*PI()*(Inputs!$C$6)/Inputs!$C$40)+0.2*SIN(2*PI()*((Model_Data!A82)+(Inputs!$C$6))/(0.5*(Inputs!$C$39+Inputs!$C$40))))+Inputs!$C$38*SIN(2*PI()*(Model_Data!A82)/Inputs!$C$39)*SIN(2*PI()*(Inputs!$C$6)/Inputs!$C$40)+-Inputs!$C$41*EXP(-(((Inputs!$C$6)-Inputs!$C$43)^2)/(2*Inputs!$C$44^2))*EXP(-(((Model_Data!A82)-Inputs!$C$42)^2)/(2*Inputs!$C$45^2))+Inputs!$C$48*(0.7*(0.45*SIN(2*PI()*(((Model_Data!A82)/Inputs!$C$49)+Inputs!$C$47*0.137))+0.35*COS(2*PI()*(((Inputs!$C$6)/Inputs!$C$50)+Inputs!$C$47*0.173))+0.2*SIN(2*PI()*(((Model_Data!A82)+(Inputs!$C$6))/(0.5*(Inputs!$C$49+Inputs!$C$50))+Inputs!$C$47*0.097)))+0.3*(2*((SIN(((Model_Data!A82)*12.9898+(Inputs!$C$6)*78.233+Inputs!$C$47*37.719))*43758.5453)-INT((SIN(((Model_Data!A82)*12.9898+(Inputs!$C$6)*78.233+Inputs!$C$47*37.719))*43758.5453)))-1))))/1000)^2))-(((Model_Data!B82)-((Inputs!$C$51*(115*EXP(-(((0)-25)^2)/(4.5^2))+70*EXP(-(((0)+38)^2)/(7^2))*(0.55+0.45*SIN(2*PI()*(Model_Data!A82)/45))+24*SIN(2*PI()*(0)/9+(Model_Data!A82)/18)*EXP(-(((0)+5)^2)/(22^2))+18*SIN(2*PI()*(Model_Data!A82)/70))+Inputs!$C$28*EXP(-(((Model_Data!A82)-Inputs!$C$29)^2)/(2*Inputs!$C$31^2))*EXP(-(((0)-Inputs!$C$30)^2)/(2*Inputs!$C$32^2))+-Inputs!$C$33*EXP(-(((((Model_Data!A82)-Inputs!$C$34)^2)+(((0)-Inputs!$C$35)^2))/(2*Inputs!$C$36^2)))+Inputs!$C$37*(0.55*SIN(2*PI()*(Model_Data!A82)/Inputs!$C$39)+0.35*COS(2*PI()*(0)/Inputs!$C$40)+0.2*SIN(2*PI()*((Model_Data!A82)+(0))/(0.5*(Inputs!$C$39+Inputs!$C$40))))+Inputs!$C$38*SIN(2*PI()*(Model_Data!A82)/Inputs!$C$39)*SIN(2*PI()*(0)/Inputs!$C$40)+-Inputs!$C$41*EXP(-(((0)-Inputs!$C$43)^2)/(2*Inputs!$C$44^2))*EXP(-(((Model_Data!A82)-Inputs!$C$42)^2)/(2*Inputs!$C$45^2))+Inputs!$C$48*(0.7*(0.45*SIN(2*PI()*(((Model_Data!A82)/Inputs!$C$49)+Inputs!$C$47*0.137))+0.35*COS(2*PI()*(((0)/Inputs!$C$50)+Inputs!$C$47*0.173))+0.2*SIN(2*PI()*(((Model_Data!A82)+(0))/(0.5*(Inputs!$C$49+Inputs!$C$50))+Inputs!$C$47*0.097)))+0.3*(2*((SIN(((Model_Data!A82)*12.9898+(0)*78.233+Inputs!$C$47*37.719))*43758.5453)-INT((SIN(((Model_Data!A82)*12.9898+(0)*78.233+Inputs!$C$47*37.719))*43758.5453)))-1))))/1000)))*1000/Inputs!$C$12)-Model_Data!F82)</f>
        <v>271.57866162002171</v>
      </c>
      <c r="L82" s="10"/>
      <c r="M82" s="9">
        <f>Model_Data!A82</f>
        <v>-20</v>
      </c>
      <c r="N82" s="9">
        <f>Model_Data!P82</f>
        <v>150.54195238009106</v>
      </c>
      <c r="O82" s="9">
        <f t="shared" si="2"/>
        <v>183.20261364697217</v>
      </c>
      <c r="P82" s="9">
        <f>Model_Data!Q82</f>
        <v>22.60389675376743</v>
      </c>
      <c r="Q82" s="9">
        <f t="shared" si="3"/>
        <v>27.507899946992822</v>
      </c>
      <c r="R82" s="10"/>
      <c r="S82" s="9">
        <f>Model_Data!A82</f>
        <v>-20</v>
      </c>
      <c r="T82" s="9">
        <f>Model_Data!B82-Inputs!$C$5</f>
        <v>0.44444444444445708</v>
      </c>
      <c r="U82" s="10"/>
      <c r="V82" s="9">
        <f>Model_Data!A82</f>
        <v>-20</v>
      </c>
      <c r="W82" s="9">
        <f>((SQRT((Model_Data!A82)^2+Inputs!$C$6^2+Inputs!$C$5^2)-Inputs!$C$5)*1000/Inputs!$C$12)</f>
        <v>718.65423857647704</v>
      </c>
      <c r="X82" s="9">
        <f>Model_Data!F82</f>
        <v>717.85915855759561</v>
      </c>
      <c r="Y82" s="10"/>
      <c r="Z82" s="9">
        <f>Model_Data!A82</f>
        <v>-20</v>
      </c>
      <c r="AA82" s="9">
        <f>SQRT((Model_Data!A82)^2+Inputs!$C$6^2+((Model_Data!B82)-((Inputs!$C$51*(115*EXP(-(((Inputs!$C$6)-25)^2)/(4.5^2))+70*EXP(-(((Inputs!$C$6)+38)^2)/(7^2))*(0.55+0.45*SIN(2*PI()*(Model_Data!A82)/45))+24*SIN(2*PI()*(Inputs!$C$6)/9+(Model_Data!A82)/18)*EXP(-(((Inputs!$C$6)+5)^2)/(22^2))+18*SIN(2*PI()*(Model_Data!A82)/70))+Inputs!$C$28*EXP(-(((Model_Data!A82)-Inputs!$C$29)^2)/(2*Inputs!$C$31^2))*EXP(-(((Inputs!$C$6)-Inputs!$C$30)^2)/(2*Inputs!$C$32^2))+-Inputs!$C$33*EXP(-(((((Model_Data!A82)-Inputs!$C$34)^2)+(((Inputs!$C$6)-Inputs!$C$35)^2))/(2*Inputs!$C$36^2)))+Inputs!$C$37*(0.55*SIN(2*PI()*(Model_Data!A82)/Inputs!$C$39)+0.35*COS(2*PI()*(Inputs!$C$6)/Inputs!$C$40)+0.2*SIN(2*PI()*((Model_Data!A82)+(Inputs!$C$6))/(0.5*(Inputs!$C$39+Inputs!$C$40))))+Inputs!$C$38*SIN(2*PI()*(Model_Data!A82)/Inputs!$C$39)*SIN(2*PI()*(Inputs!$C$6)/Inputs!$C$40)+-Inputs!$C$41*EXP(-(((Inputs!$C$6)-Inputs!$C$43)^2)/(2*Inputs!$C$44^2))*EXP(-(((Model_Data!A82)-Inputs!$C$42)^2)/(2*Inputs!$C$45^2))+Inputs!$C$48*(0.7*(0.45*SIN(2*PI()*(((Model_Data!A82)/Inputs!$C$49)+Inputs!$C$47*0.137))+0.35*COS(2*PI()*(((Inputs!$C$6)/Inputs!$C$50)+Inputs!$C$47*0.173))+0.2*SIN(2*PI()*(((Model_Data!A82)+(Inputs!$C$6))/(0.5*(Inputs!$C$49+Inputs!$C$50))+Inputs!$C$47*0.097)))+0.3*(2*((SIN(((Model_Data!A82)*12.9898+(Inputs!$C$6)*78.233+Inputs!$C$47*37.719))*43758.5453)-INT((SIN(((Model_Data!A82)*12.9898+(Inputs!$C$6)*78.233+Inputs!$C$47*37.719))*43758.5453)))-1))))/1000)^2)</f>
        <v>401.38515195086461</v>
      </c>
      <c r="AB82" s="9">
        <f>1000*(AA83-AA81)/(Z83-Z81)*Inputs!$C$11</f>
        <v>-458.00653411743042</v>
      </c>
      <c r="AC82" s="9">
        <f>-2*AB82/Inputs!$C$13</f>
        <v>183.20261364697217</v>
      </c>
      <c r="AD82" s="9">
        <f>-2*AB82/Inputs!$C$14</f>
        <v>27.507899946992822</v>
      </c>
    </row>
    <row r="83" spans="1:30">
      <c r="A83" s="9">
        <f>Model_Data!A83</f>
        <v>-19.5</v>
      </c>
      <c r="B83" s="9">
        <f>((SQRT((Model_Data!A83)^2+Inputs!$C$6^2+Inputs!$C$5^2)-Inputs!$C$5)*1000/Inputs!$C$12)</f>
        <v>704.82864565513387</v>
      </c>
      <c r="C83" s="9">
        <f>Model_Data!F83</f>
        <v>704.08727753711707</v>
      </c>
      <c r="D83" s="9">
        <f>(((SQRT((Model_Data!A83)^2+Inputs!$C$6^2+((Model_Data!B83)-((Inputs!$C$51*(115*EXP(-(((Inputs!$C$6)-25)^2)/(4.5^2))+70*EXP(-(((Inputs!$C$6)+38)^2)/(7^2))*(0.55+0.45*SIN(2*PI()*(Model_Data!A83)/45))+24*SIN(2*PI()*(Inputs!$C$6)/9+(Model_Data!A83)/18)*EXP(-(((Inputs!$C$6)+5)^2)/(22^2))+18*SIN(2*PI()*(Model_Data!A83)/70))+Inputs!$C$28*EXP(-(((Model_Data!A83)-Inputs!$C$29)^2)/(2*Inputs!$C$31^2))*EXP(-(((Inputs!$C$6)-Inputs!$C$30)^2)/(2*Inputs!$C$32^2))+-Inputs!$C$33*EXP(-(((((Model_Data!A83)-Inputs!$C$34)^2)+(((Inputs!$C$6)-Inputs!$C$35)^2))/(2*Inputs!$C$36^2)))+Inputs!$C$37*(0.55*SIN(2*PI()*(Model_Data!A83)/Inputs!$C$39)+0.35*COS(2*PI()*(Inputs!$C$6)/Inputs!$C$40)+0.2*SIN(2*PI()*((Model_Data!A83)+(Inputs!$C$6))/(0.5*(Inputs!$C$39+Inputs!$C$40))))+Inputs!$C$38*SIN(2*PI()*(Model_Data!A83)/Inputs!$C$39)*SIN(2*PI()*(Inputs!$C$6)/Inputs!$C$40)+-Inputs!$C$41*EXP(-(((Inputs!$C$6)-Inputs!$C$43)^2)/(2*Inputs!$C$44^2))*EXP(-(((Model_Data!A83)-Inputs!$C$42)^2)/(2*Inputs!$C$45^2))+Inputs!$C$48*(0.7*(0.45*SIN(2*PI()*(((Model_Data!A83)/Inputs!$C$49)+Inputs!$C$47*0.137))+0.35*COS(2*PI()*(((Inputs!$C$6)/Inputs!$C$50)+Inputs!$C$47*0.173))+0.2*SIN(2*PI()*(((Model_Data!A83)+(Inputs!$C$6))/(0.5*(Inputs!$C$49+Inputs!$C$50))+Inputs!$C$47*0.097)))+0.3*(2*((SIN(((Model_Data!A83)*12.9898+(Inputs!$C$6)*78.233+Inputs!$C$47*37.719))*43758.5453)-INT((SIN(((Model_Data!A83)*12.9898+(Inputs!$C$6)*78.233+Inputs!$C$47*37.719))*43758.5453)))-1))))/1000)^2))-(((Model_Data!B83)-((Inputs!$C$51*(115*EXP(-(((0)-25)^2)/(4.5^2))+70*EXP(-(((0)+38)^2)/(7^2))*(0.55+0.45*SIN(2*PI()*(Model_Data!A83)/45))+24*SIN(2*PI()*(0)/9+(Model_Data!A83)/18)*EXP(-(((0)+5)^2)/(22^2))+18*SIN(2*PI()*(Model_Data!A83)/70))+Inputs!$C$28*EXP(-(((Model_Data!A83)-Inputs!$C$29)^2)/(2*Inputs!$C$31^2))*EXP(-(((0)-Inputs!$C$30)^2)/(2*Inputs!$C$32^2))+-Inputs!$C$33*EXP(-(((((Model_Data!A83)-Inputs!$C$34)^2)+(((0)-Inputs!$C$35)^2))/(2*Inputs!$C$36^2)))+Inputs!$C$37*(0.55*SIN(2*PI()*(Model_Data!A83)/Inputs!$C$39)+0.35*COS(2*PI()*(0)/Inputs!$C$40)+0.2*SIN(2*PI()*((Model_Data!A83)+(0))/(0.5*(Inputs!$C$39+Inputs!$C$40))))+Inputs!$C$38*SIN(2*PI()*(Model_Data!A83)/Inputs!$C$39)*SIN(2*PI()*(0)/Inputs!$C$40)+-Inputs!$C$41*EXP(-(((0)-Inputs!$C$43)^2)/(2*Inputs!$C$44^2))*EXP(-(((Model_Data!A83)-Inputs!$C$42)^2)/(2*Inputs!$C$45^2))+Inputs!$C$48*(0.7*(0.45*SIN(2*PI()*(((Model_Data!A83)/Inputs!$C$49)+Inputs!$C$47*0.137))+0.35*COS(2*PI()*(((0)/Inputs!$C$50)+Inputs!$C$47*0.173))+0.2*SIN(2*PI()*(((Model_Data!A83)+(0))/(0.5*(Inputs!$C$49+Inputs!$C$50))+Inputs!$C$47*0.097)))+0.3*(2*((SIN(((Model_Data!A83)*12.9898+(0)*78.233+Inputs!$C$47*37.719))*43758.5453)-INT((SIN(((Model_Data!A83)*12.9898+(0)*78.233+Inputs!$C$47*37.719))*43758.5453)))-1))))/1000)))*1000/Inputs!$C$12)</f>
        <v>421.65654208235225</v>
      </c>
      <c r="E83" s="9">
        <f>Model_Data!A83</f>
        <v>-19.5</v>
      </c>
      <c r="F83" s="9">
        <f>(Inputs!$C$51*(115*EXP(-(((Inputs!$C$6)-25)^2)/(4.5^2))+70*EXP(-(((Inputs!$C$6)+38)^2)/(7^2))*(0.55+0.45*SIN(2*PI()*(Model_Data!A83)/45))+24*SIN(2*PI()*(Inputs!$C$6)/9+(Model_Data!A83)/18)*EXP(-(((Inputs!$C$6)+5)^2)/(22^2))+18*SIN(2*PI()*(Model_Data!A83)/70))+Inputs!$C$28*EXP(-(((Model_Data!A83)-Inputs!$C$29)^2)/(2*Inputs!$C$31^2))*EXP(-(((Inputs!$C$6)-Inputs!$C$30)^2)/(2*Inputs!$C$32^2))+-Inputs!$C$33*EXP(-(((((Model_Data!A83)-Inputs!$C$34)^2)+(((Inputs!$C$6)-Inputs!$C$35)^2))/(2*Inputs!$C$36^2)))+Inputs!$C$37*(0.55*SIN(2*PI()*(Model_Data!A83)/Inputs!$C$39)+0.35*COS(2*PI()*(Inputs!$C$6)/Inputs!$C$40)+0.2*SIN(2*PI()*((Model_Data!A83)+(Inputs!$C$6))/(0.5*(Inputs!$C$39+Inputs!$C$40))))+Inputs!$C$38*SIN(2*PI()*(Model_Data!A83)/Inputs!$C$39)*SIN(2*PI()*(Inputs!$C$6)/Inputs!$C$40)+-Inputs!$C$41*EXP(-(((Inputs!$C$6)-Inputs!$C$43)^2)/(2*Inputs!$C$44^2))*EXP(-(((Model_Data!A83)-Inputs!$C$42)^2)/(2*Inputs!$C$45^2))+Inputs!$C$48*(0.7*(0.45*SIN(2*PI()*(((Model_Data!A83)/Inputs!$C$49)+Inputs!$C$47*0.137))+0.35*COS(2*PI()*(((Inputs!$C$6)/Inputs!$C$50)+Inputs!$C$47*0.173))+0.2*SIN(2*PI()*(((Model_Data!A83)+(Inputs!$C$6))/(0.5*(Inputs!$C$49+Inputs!$C$50))+Inputs!$C$47*0.097)))+0.3*(2*((SIN(((Model_Data!A83)*12.9898+(Inputs!$C$6)*78.233+Inputs!$C$47*37.719))*43758.5453)-INT((SIN(((Model_Data!A83)*12.9898+(Inputs!$C$6)*78.233+Inputs!$C$47*37.719))*43758.5453)))-1)))</f>
        <v>363.81454233492502</v>
      </c>
      <c r="G83" s="9">
        <f>(Inputs!$C$51*(115*EXP(-(((0)-25)^2)/(4.5^2))+70*EXP(-(((0)+38)^2)/(7^2))*(0.55+0.45*SIN(2*PI()*(Model_Data!A83)/45))+24*SIN(2*PI()*(0)/9+(Model_Data!A83)/18)*EXP(-(((0)+5)^2)/(22^2))+18*SIN(2*PI()*(Model_Data!A83)/70))+Inputs!$C$28*EXP(-(((Model_Data!A83)-Inputs!$C$29)^2)/(2*Inputs!$C$31^2))*EXP(-(((0)-Inputs!$C$30)^2)/(2*Inputs!$C$32^2))+-Inputs!$C$33*EXP(-(((((Model_Data!A83)-Inputs!$C$34)^2)+(((0)-Inputs!$C$35)^2))/(2*Inputs!$C$36^2)))+Inputs!$C$37*(0.55*SIN(2*PI()*(Model_Data!A83)/Inputs!$C$39)+0.35*COS(2*PI()*(0)/Inputs!$C$40)+0.2*SIN(2*PI()*((Model_Data!A83)+(0))/(0.5*(Inputs!$C$39+Inputs!$C$40))))+Inputs!$C$38*SIN(2*PI()*(Model_Data!A83)/Inputs!$C$39)*SIN(2*PI()*(0)/Inputs!$C$40)+-Inputs!$C$41*EXP(-(((0)-Inputs!$C$43)^2)/(2*Inputs!$C$44^2))*EXP(-(((Model_Data!A83)-Inputs!$C$42)^2)/(2*Inputs!$C$45^2))+Inputs!$C$48*(0.7*(0.45*SIN(2*PI()*(((Model_Data!A83)/Inputs!$C$49)+Inputs!$C$47*0.137))+0.35*COS(2*PI()*(((0)/Inputs!$C$50)+Inputs!$C$47*0.173))+0.2*SIN(2*PI()*(((Model_Data!A83)+(0))/(0.5*(Inputs!$C$49+Inputs!$C$50))+Inputs!$C$47*0.097)))+0.3*(2*((SIN(((Model_Data!A83)*12.9898+(0)*78.233+Inputs!$C$47*37.719))*43758.5453)-INT((SIN(((Model_Data!A83)*12.9898+(0)*78.233+Inputs!$C$47*37.719))*43758.5453)))-1)))</f>
        <v>-140.04833812864371</v>
      </c>
      <c r="H83" s="10"/>
      <c r="I83" s="9">
        <f>Model_Data!A83</f>
        <v>-19.5</v>
      </c>
      <c r="J83" s="9">
        <f>(Inputs!$C$51*(115*EXP(-(((Inputs!$C$6)-25)^2)/(4.5^2))+70*EXP(-(((Inputs!$C$6)+38)^2)/(7^2))*(0.55+0.45*SIN(2*PI()*(Model_Data!A83)/45))+24*SIN(2*PI()*(Inputs!$C$6)/9+(Model_Data!A83)/18)*EXP(-(((Inputs!$C$6)+5)^2)/(22^2))+18*SIN(2*PI()*(Model_Data!A83)/70))+Inputs!$C$28*EXP(-(((Model_Data!A83)-Inputs!$C$29)^2)/(2*Inputs!$C$31^2))*EXP(-(((Inputs!$C$6)-Inputs!$C$30)^2)/(2*Inputs!$C$32^2))+-Inputs!$C$33*EXP(-(((((Model_Data!A83)-Inputs!$C$34)^2)+(((Inputs!$C$6)-Inputs!$C$35)^2))/(2*Inputs!$C$36^2)))+Inputs!$C$37*(0.55*SIN(2*PI()*(Model_Data!A83)/Inputs!$C$39)+0.35*COS(2*PI()*(Inputs!$C$6)/Inputs!$C$40)+0.2*SIN(2*PI()*((Model_Data!A83)+(Inputs!$C$6))/(0.5*(Inputs!$C$39+Inputs!$C$40))))+Inputs!$C$38*SIN(2*PI()*(Model_Data!A83)/Inputs!$C$39)*SIN(2*PI()*(Inputs!$C$6)/Inputs!$C$40)+-Inputs!$C$41*EXP(-(((Inputs!$C$6)-Inputs!$C$43)^2)/(2*Inputs!$C$44^2))*EXP(-(((Model_Data!A83)-Inputs!$C$42)^2)/(2*Inputs!$C$45^2))+Inputs!$C$48*(0.7*(0.45*SIN(2*PI()*(((Model_Data!A83)/Inputs!$C$49)+Inputs!$C$47*0.137))+0.35*COS(2*PI()*(((Inputs!$C$6)/Inputs!$C$50)+Inputs!$C$47*0.173))+0.2*SIN(2*PI()*(((Model_Data!A83)+(Inputs!$C$6))/(0.5*(Inputs!$C$49+Inputs!$C$50))+Inputs!$C$47*0.097)))+0.3*(2*((SIN(((Model_Data!A83)*12.9898+(Inputs!$C$6)*78.233+Inputs!$C$47*37.719))*43758.5453)-INT((SIN(((Model_Data!A83)*12.9898+(Inputs!$C$6)*78.233+Inputs!$C$47*37.719))*43758.5453)))-1)))</f>
        <v>363.81454233492502</v>
      </c>
      <c r="K83" s="9">
        <f>-((((SQRT((Model_Data!A83)^2+Inputs!$C$6^2+((Model_Data!B83)-((Inputs!$C$51*(115*EXP(-(((Inputs!$C$6)-25)^2)/(4.5^2))+70*EXP(-(((Inputs!$C$6)+38)^2)/(7^2))*(0.55+0.45*SIN(2*PI()*(Model_Data!A83)/45))+24*SIN(2*PI()*(Inputs!$C$6)/9+(Model_Data!A83)/18)*EXP(-(((Inputs!$C$6)+5)^2)/(22^2))+18*SIN(2*PI()*(Model_Data!A83)/70))+Inputs!$C$28*EXP(-(((Model_Data!A83)-Inputs!$C$29)^2)/(2*Inputs!$C$31^2))*EXP(-(((Inputs!$C$6)-Inputs!$C$30)^2)/(2*Inputs!$C$32^2))+-Inputs!$C$33*EXP(-(((((Model_Data!A83)-Inputs!$C$34)^2)+(((Inputs!$C$6)-Inputs!$C$35)^2))/(2*Inputs!$C$36^2)))+Inputs!$C$37*(0.55*SIN(2*PI()*(Model_Data!A83)/Inputs!$C$39)+0.35*COS(2*PI()*(Inputs!$C$6)/Inputs!$C$40)+0.2*SIN(2*PI()*((Model_Data!A83)+(Inputs!$C$6))/(0.5*(Inputs!$C$39+Inputs!$C$40))))+Inputs!$C$38*SIN(2*PI()*(Model_Data!A83)/Inputs!$C$39)*SIN(2*PI()*(Inputs!$C$6)/Inputs!$C$40)+-Inputs!$C$41*EXP(-(((Inputs!$C$6)-Inputs!$C$43)^2)/(2*Inputs!$C$44^2))*EXP(-(((Model_Data!A83)-Inputs!$C$42)^2)/(2*Inputs!$C$45^2))+Inputs!$C$48*(0.7*(0.45*SIN(2*PI()*(((Model_Data!A83)/Inputs!$C$49)+Inputs!$C$47*0.137))+0.35*COS(2*PI()*(((Inputs!$C$6)/Inputs!$C$50)+Inputs!$C$47*0.173))+0.2*SIN(2*PI()*(((Model_Data!A83)+(Inputs!$C$6))/(0.5*(Inputs!$C$49+Inputs!$C$50))+Inputs!$C$47*0.097)))+0.3*(2*((SIN(((Model_Data!A83)*12.9898+(Inputs!$C$6)*78.233+Inputs!$C$47*37.719))*43758.5453)-INT((SIN(((Model_Data!A83)*12.9898+(Inputs!$C$6)*78.233+Inputs!$C$47*37.719))*43758.5453)))-1))))/1000)^2))-(((Model_Data!B83)-((Inputs!$C$51*(115*EXP(-(((0)-25)^2)/(4.5^2))+70*EXP(-(((0)+38)^2)/(7^2))*(0.55+0.45*SIN(2*PI()*(Model_Data!A83)/45))+24*SIN(2*PI()*(0)/9+(Model_Data!A83)/18)*EXP(-(((0)+5)^2)/(22^2))+18*SIN(2*PI()*(Model_Data!A83)/70))+Inputs!$C$28*EXP(-(((Model_Data!A83)-Inputs!$C$29)^2)/(2*Inputs!$C$31^2))*EXP(-(((0)-Inputs!$C$30)^2)/(2*Inputs!$C$32^2))+-Inputs!$C$33*EXP(-(((((Model_Data!A83)-Inputs!$C$34)^2)+(((0)-Inputs!$C$35)^2))/(2*Inputs!$C$36^2)))+Inputs!$C$37*(0.55*SIN(2*PI()*(Model_Data!A83)/Inputs!$C$39)+0.35*COS(2*PI()*(0)/Inputs!$C$40)+0.2*SIN(2*PI()*((Model_Data!A83)+(0))/(0.5*(Inputs!$C$39+Inputs!$C$40))))+Inputs!$C$38*SIN(2*PI()*(Model_Data!A83)/Inputs!$C$39)*SIN(2*PI()*(0)/Inputs!$C$40)+-Inputs!$C$41*EXP(-(((0)-Inputs!$C$43)^2)/(2*Inputs!$C$44^2))*EXP(-(((Model_Data!A83)-Inputs!$C$42)^2)/(2*Inputs!$C$45^2))+Inputs!$C$48*(0.7*(0.45*SIN(2*PI()*(((Model_Data!A83)/Inputs!$C$49)+Inputs!$C$47*0.137))+0.35*COS(2*PI()*(((0)/Inputs!$C$50)+Inputs!$C$47*0.173))+0.2*SIN(2*PI()*(((Model_Data!A83)+(0))/(0.5*(Inputs!$C$49+Inputs!$C$50))+Inputs!$C$47*0.097)))+0.3*(2*((SIN(((Model_Data!A83)*12.9898+(0)*78.233+Inputs!$C$47*37.719))*43758.5453)-INT((SIN(((Model_Data!A83)*12.9898+(0)*78.233+Inputs!$C$47*37.719))*43758.5453)))-1))))/1000)))*1000/Inputs!$C$12)-Model_Data!F83)</f>
        <v>282.43073545476483</v>
      </c>
      <c r="L83" s="10"/>
      <c r="M83" s="9">
        <f>Model_Data!A83</f>
        <v>-19.5</v>
      </c>
      <c r="N83" s="9">
        <f>Model_Data!P83</f>
        <v>146.79159233513664</v>
      </c>
      <c r="O83" s="9">
        <f t="shared" si="2"/>
        <v>199.53924205174189</v>
      </c>
      <c r="P83" s="9">
        <f>Model_Data!Q83</f>
        <v>22.040779629900399</v>
      </c>
      <c r="Q83" s="9">
        <f t="shared" si="3"/>
        <v>29.960847154916202</v>
      </c>
      <c r="R83" s="10"/>
      <c r="S83" s="9">
        <f>Model_Data!A83</f>
        <v>-19.5</v>
      </c>
      <c r="T83" s="9">
        <f>Model_Data!B83-Inputs!$C$5</f>
        <v>0.42250000000001364</v>
      </c>
      <c r="U83" s="10"/>
      <c r="V83" s="9">
        <f>Model_Data!A83</f>
        <v>-19.5</v>
      </c>
      <c r="W83" s="9">
        <f>((SQRT((Model_Data!A83)^2+Inputs!$C$6^2+Inputs!$C$5^2)-Inputs!$C$5)*1000/Inputs!$C$12)</f>
        <v>704.82864565513387</v>
      </c>
      <c r="X83" s="9">
        <f>Model_Data!F83</f>
        <v>704.08727753711707</v>
      </c>
      <c r="Y83" s="10"/>
      <c r="Z83" s="9">
        <f>Model_Data!A83</f>
        <v>-19.5</v>
      </c>
      <c r="AA83" s="9">
        <f>SQRT((Model_Data!A83)^2+Inputs!$C$6^2+((Model_Data!B83)-((Inputs!$C$51*(115*EXP(-(((Inputs!$C$6)-25)^2)/(4.5^2))+70*EXP(-(((Inputs!$C$6)+38)^2)/(7^2))*(0.55+0.45*SIN(2*PI()*(Model_Data!A83)/45))+24*SIN(2*PI()*(Inputs!$C$6)/9+(Model_Data!A83)/18)*EXP(-(((Inputs!$C$6)+5)^2)/(22^2))+18*SIN(2*PI()*(Model_Data!A83)/70))+Inputs!$C$28*EXP(-(((Model_Data!A83)-Inputs!$C$29)^2)/(2*Inputs!$C$31^2))*EXP(-(((Inputs!$C$6)-Inputs!$C$30)^2)/(2*Inputs!$C$32^2))+-Inputs!$C$33*EXP(-(((((Model_Data!A83)-Inputs!$C$34)^2)+(((Inputs!$C$6)-Inputs!$C$35)^2))/(2*Inputs!$C$36^2)))+Inputs!$C$37*(0.55*SIN(2*PI()*(Model_Data!A83)/Inputs!$C$39)+0.35*COS(2*PI()*(Inputs!$C$6)/Inputs!$C$40)+0.2*SIN(2*PI()*((Model_Data!A83)+(Inputs!$C$6))/(0.5*(Inputs!$C$39+Inputs!$C$40))))+Inputs!$C$38*SIN(2*PI()*(Model_Data!A83)/Inputs!$C$39)*SIN(2*PI()*(Inputs!$C$6)/Inputs!$C$40)+-Inputs!$C$41*EXP(-(((Inputs!$C$6)-Inputs!$C$43)^2)/(2*Inputs!$C$44^2))*EXP(-(((Model_Data!A83)-Inputs!$C$42)^2)/(2*Inputs!$C$45^2))+Inputs!$C$48*(0.7*(0.45*SIN(2*PI()*(((Model_Data!A83)/Inputs!$C$49)+Inputs!$C$47*0.137))+0.35*COS(2*PI()*(((Inputs!$C$6)/Inputs!$C$50)+Inputs!$C$47*0.173))+0.2*SIN(2*PI()*(((Model_Data!A83)+(Inputs!$C$6))/(0.5*(Inputs!$C$49+Inputs!$C$50))+Inputs!$C$47*0.097)))+0.3*(2*((SIN(((Model_Data!A83)*12.9898+(Inputs!$C$6)*78.233+Inputs!$C$47*37.719))*43758.5453)-INT((SIN(((Model_Data!A83)*12.9898+(Inputs!$C$6)*78.233+Inputs!$C$47*37.719))*43758.5453)))-1))))/1000)^2)</f>
        <v>401.31309698303522</v>
      </c>
      <c r="AB83" s="9">
        <f>1000*(AA84-AA82)/(Z84-Z82)*Inputs!$C$11</f>
        <v>-498.84810512935474</v>
      </c>
      <c r="AC83" s="9">
        <f>-2*AB83/Inputs!$C$13</f>
        <v>199.53924205174189</v>
      </c>
      <c r="AD83" s="9">
        <f>-2*AB83/Inputs!$C$14</f>
        <v>29.960847154916202</v>
      </c>
    </row>
    <row r="84" spans="1:30">
      <c r="A84" s="9">
        <f>Model_Data!A84</f>
        <v>-19</v>
      </c>
      <c r="B84" s="9">
        <f>((SQRT((Model_Data!A84)^2+Inputs!$C$6^2+Inputs!$C$5^2)-Inputs!$C$5)*1000/Inputs!$C$12)</f>
        <v>691.35225167970475</v>
      </c>
      <c r="C84" s="9">
        <f>Model_Data!F84</f>
        <v>690.66179452298343</v>
      </c>
      <c r="D84" s="9">
        <f>(((SQRT((Model_Data!A84)^2+Inputs!$C$6^2+((Model_Data!B84)-((Inputs!$C$51*(115*EXP(-(((Inputs!$C$6)-25)^2)/(4.5^2))+70*EXP(-(((Inputs!$C$6)+38)^2)/(7^2))*(0.55+0.45*SIN(2*PI()*(Model_Data!A84)/45))+24*SIN(2*PI()*(Inputs!$C$6)/9+(Model_Data!A84)/18)*EXP(-(((Inputs!$C$6)+5)^2)/(22^2))+18*SIN(2*PI()*(Model_Data!A84)/70))+Inputs!$C$28*EXP(-(((Model_Data!A84)-Inputs!$C$29)^2)/(2*Inputs!$C$31^2))*EXP(-(((Inputs!$C$6)-Inputs!$C$30)^2)/(2*Inputs!$C$32^2))+-Inputs!$C$33*EXP(-(((((Model_Data!A84)-Inputs!$C$34)^2)+(((Inputs!$C$6)-Inputs!$C$35)^2))/(2*Inputs!$C$36^2)))+Inputs!$C$37*(0.55*SIN(2*PI()*(Model_Data!A84)/Inputs!$C$39)+0.35*COS(2*PI()*(Inputs!$C$6)/Inputs!$C$40)+0.2*SIN(2*PI()*((Model_Data!A84)+(Inputs!$C$6))/(0.5*(Inputs!$C$39+Inputs!$C$40))))+Inputs!$C$38*SIN(2*PI()*(Model_Data!A84)/Inputs!$C$39)*SIN(2*PI()*(Inputs!$C$6)/Inputs!$C$40)+-Inputs!$C$41*EXP(-(((Inputs!$C$6)-Inputs!$C$43)^2)/(2*Inputs!$C$44^2))*EXP(-(((Model_Data!A84)-Inputs!$C$42)^2)/(2*Inputs!$C$45^2))+Inputs!$C$48*(0.7*(0.45*SIN(2*PI()*(((Model_Data!A84)/Inputs!$C$49)+Inputs!$C$47*0.137))+0.35*COS(2*PI()*(((Inputs!$C$6)/Inputs!$C$50)+Inputs!$C$47*0.173))+0.2*SIN(2*PI()*(((Model_Data!A84)+(Inputs!$C$6))/(0.5*(Inputs!$C$49+Inputs!$C$50))+Inputs!$C$47*0.097)))+0.3*(2*((SIN(((Model_Data!A84)*12.9898+(Inputs!$C$6)*78.233+Inputs!$C$47*37.719))*43758.5453)-INT((SIN(((Model_Data!A84)*12.9898+(Inputs!$C$6)*78.233+Inputs!$C$47*37.719))*43758.5453)))-1))))/1000)^2))-(((Model_Data!B84)-((Inputs!$C$51*(115*EXP(-(((0)-25)^2)/(4.5^2))+70*EXP(-(((0)+38)^2)/(7^2))*(0.55+0.45*SIN(2*PI()*(Model_Data!A84)/45))+24*SIN(2*PI()*(0)/9+(Model_Data!A84)/18)*EXP(-(((0)+5)^2)/(22^2))+18*SIN(2*PI()*(Model_Data!A84)/70))+Inputs!$C$28*EXP(-(((Model_Data!A84)-Inputs!$C$29)^2)/(2*Inputs!$C$31^2))*EXP(-(((0)-Inputs!$C$30)^2)/(2*Inputs!$C$32^2))+-Inputs!$C$33*EXP(-(((((Model_Data!A84)-Inputs!$C$34)^2)+(((0)-Inputs!$C$35)^2))/(2*Inputs!$C$36^2)))+Inputs!$C$37*(0.55*SIN(2*PI()*(Model_Data!A84)/Inputs!$C$39)+0.35*COS(2*PI()*(0)/Inputs!$C$40)+0.2*SIN(2*PI()*((Model_Data!A84)+(0))/(0.5*(Inputs!$C$39+Inputs!$C$40))))+Inputs!$C$38*SIN(2*PI()*(Model_Data!A84)/Inputs!$C$39)*SIN(2*PI()*(0)/Inputs!$C$40)+-Inputs!$C$41*EXP(-(((0)-Inputs!$C$43)^2)/(2*Inputs!$C$44^2))*EXP(-(((Model_Data!A84)-Inputs!$C$42)^2)/(2*Inputs!$C$45^2))+Inputs!$C$48*(0.7*(0.45*SIN(2*PI()*(((Model_Data!A84)/Inputs!$C$49)+Inputs!$C$47*0.137))+0.35*COS(2*PI()*(((0)/Inputs!$C$50)+Inputs!$C$47*0.173))+0.2*SIN(2*PI()*(((Model_Data!A84)+(0))/(0.5*(Inputs!$C$49+Inputs!$C$50))+Inputs!$C$47*0.097)))+0.3*(2*((SIN(((Model_Data!A84)*12.9898+(0)*78.233+Inputs!$C$47*37.719))*43758.5453)-INT((SIN(((Model_Data!A84)*12.9898+(0)*78.233+Inputs!$C$47*37.719))*43758.5453)))-1))))/1000)))*1000/Inputs!$C$12)</f>
        <v>401.37375863557071</v>
      </c>
      <c r="E84" s="9">
        <f>Model_Data!A84</f>
        <v>-19</v>
      </c>
      <c r="F84" s="9">
        <f>(Inputs!$C$51*(115*EXP(-(((Inputs!$C$6)-25)^2)/(4.5^2))+70*EXP(-(((Inputs!$C$6)+38)^2)/(7^2))*(0.55+0.45*SIN(2*PI()*(Model_Data!A84)/45))+24*SIN(2*PI()*(Inputs!$C$6)/9+(Model_Data!A84)/18)*EXP(-(((Inputs!$C$6)+5)^2)/(22^2))+18*SIN(2*PI()*(Model_Data!A84)/70))+Inputs!$C$28*EXP(-(((Model_Data!A84)-Inputs!$C$29)^2)/(2*Inputs!$C$31^2))*EXP(-(((Inputs!$C$6)-Inputs!$C$30)^2)/(2*Inputs!$C$32^2))+-Inputs!$C$33*EXP(-(((((Model_Data!A84)-Inputs!$C$34)^2)+(((Inputs!$C$6)-Inputs!$C$35)^2))/(2*Inputs!$C$36^2)))+Inputs!$C$37*(0.55*SIN(2*PI()*(Model_Data!A84)/Inputs!$C$39)+0.35*COS(2*PI()*(Inputs!$C$6)/Inputs!$C$40)+0.2*SIN(2*PI()*((Model_Data!A84)+(Inputs!$C$6))/(0.5*(Inputs!$C$39+Inputs!$C$40))))+Inputs!$C$38*SIN(2*PI()*(Model_Data!A84)/Inputs!$C$39)*SIN(2*PI()*(Inputs!$C$6)/Inputs!$C$40)+-Inputs!$C$41*EXP(-(((Inputs!$C$6)-Inputs!$C$43)^2)/(2*Inputs!$C$44^2))*EXP(-(((Model_Data!A84)-Inputs!$C$42)^2)/(2*Inputs!$C$45^2))+Inputs!$C$48*(0.7*(0.45*SIN(2*PI()*(((Model_Data!A84)/Inputs!$C$49)+Inputs!$C$47*0.137))+0.35*COS(2*PI()*(((Inputs!$C$6)/Inputs!$C$50)+Inputs!$C$47*0.173))+0.2*SIN(2*PI()*(((Model_Data!A84)+(Inputs!$C$6))/(0.5*(Inputs!$C$49+Inputs!$C$50))+Inputs!$C$47*0.097)))+0.3*(2*((SIN(((Model_Data!A84)*12.9898+(Inputs!$C$6)*78.233+Inputs!$C$47*37.719))*43758.5453)-INT((SIN(((Model_Data!A84)*12.9898+(Inputs!$C$6)*78.233+Inputs!$C$47*37.719))*43758.5453)))-1)))</f>
        <v>371.18641988342398</v>
      </c>
      <c r="G84" s="9">
        <f>(Inputs!$C$51*(115*EXP(-(((0)-25)^2)/(4.5^2))+70*EXP(-(((0)+38)^2)/(7^2))*(0.55+0.45*SIN(2*PI()*(Model_Data!A84)/45))+24*SIN(2*PI()*(0)/9+(Model_Data!A84)/18)*EXP(-(((0)+5)^2)/(22^2))+18*SIN(2*PI()*(Model_Data!A84)/70))+Inputs!$C$28*EXP(-(((Model_Data!A84)-Inputs!$C$29)^2)/(2*Inputs!$C$31^2))*EXP(-(((0)-Inputs!$C$30)^2)/(2*Inputs!$C$32^2))+-Inputs!$C$33*EXP(-(((((Model_Data!A84)-Inputs!$C$34)^2)+(((0)-Inputs!$C$35)^2))/(2*Inputs!$C$36^2)))+Inputs!$C$37*(0.55*SIN(2*PI()*(Model_Data!A84)/Inputs!$C$39)+0.35*COS(2*PI()*(0)/Inputs!$C$40)+0.2*SIN(2*PI()*((Model_Data!A84)+(0))/(0.5*(Inputs!$C$39+Inputs!$C$40))))+Inputs!$C$38*SIN(2*PI()*(Model_Data!A84)/Inputs!$C$39)*SIN(2*PI()*(0)/Inputs!$C$40)+-Inputs!$C$41*EXP(-(((0)-Inputs!$C$43)^2)/(2*Inputs!$C$44^2))*EXP(-(((Model_Data!A84)-Inputs!$C$42)^2)/(2*Inputs!$C$45^2))+Inputs!$C$48*(0.7*(0.45*SIN(2*PI()*(((Model_Data!A84)/Inputs!$C$49)+Inputs!$C$47*0.137))+0.35*COS(2*PI()*(((0)/Inputs!$C$50)+Inputs!$C$47*0.173))+0.2*SIN(2*PI()*(((Model_Data!A84)+(0))/(0.5*(Inputs!$C$49+Inputs!$C$50))+Inputs!$C$47*0.097)))+0.3*(2*((SIN(((Model_Data!A84)*12.9898+(0)*78.233+Inputs!$C$47*37.719))*43758.5453)-INT((SIN(((Model_Data!A84)*12.9898+(0)*78.233+Inputs!$C$47*37.719))*43758.5453)))-1)))</f>
        <v>-144.88352309984418</v>
      </c>
      <c r="H84" s="10"/>
      <c r="I84" s="9">
        <f>Model_Data!A84</f>
        <v>-19</v>
      </c>
      <c r="J84" s="9">
        <f>(Inputs!$C$51*(115*EXP(-(((Inputs!$C$6)-25)^2)/(4.5^2))+70*EXP(-(((Inputs!$C$6)+38)^2)/(7^2))*(0.55+0.45*SIN(2*PI()*(Model_Data!A84)/45))+24*SIN(2*PI()*(Inputs!$C$6)/9+(Model_Data!A84)/18)*EXP(-(((Inputs!$C$6)+5)^2)/(22^2))+18*SIN(2*PI()*(Model_Data!A84)/70))+Inputs!$C$28*EXP(-(((Model_Data!A84)-Inputs!$C$29)^2)/(2*Inputs!$C$31^2))*EXP(-(((Inputs!$C$6)-Inputs!$C$30)^2)/(2*Inputs!$C$32^2))+-Inputs!$C$33*EXP(-(((((Model_Data!A84)-Inputs!$C$34)^2)+(((Inputs!$C$6)-Inputs!$C$35)^2))/(2*Inputs!$C$36^2)))+Inputs!$C$37*(0.55*SIN(2*PI()*(Model_Data!A84)/Inputs!$C$39)+0.35*COS(2*PI()*(Inputs!$C$6)/Inputs!$C$40)+0.2*SIN(2*PI()*((Model_Data!A84)+(Inputs!$C$6))/(0.5*(Inputs!$C$39+Inputs!$C$40))))+Inputs!$C$38*SIN(2*PI()*(Model_Data!A84)/Inputs!$C$39)*SIN(2*PI()*(Inputs!$C$6)/Inputs!$C$40)+-Inputs!$C$41*EXP(-(((Inputs!$C$6)-Inputs!$C$43)^2)/(2*Inputs!$C$44^2))*EXP(-(((Model_Data!A84)-Inputs!$C$42)^2)/(2*Inputs!$C$45^2))+Inputs!$C$48*(0.7*(0.45*SIN(2*PI()*(((Model_Data!A84)/Inputs!$C$49)+Inputs!$C$47*0.137))+0.35*COS(2*PI()*(((Inputs!$C$6)/Inputs!$C$50)+Inputs!$C$47*0.173))+0.2*SIN(2*PI()*(((Model_Data!A84)+(Inputs!$C$6))/(0.5*(Inputs!$C$49+Inputs!$C$50))+Inputs!$C$47*0.097)))+0.3*(2*((SIN(((Model_Data!A84)*12.9898+(Inputs!$C$6)*78.233+Inputs!$C$47*37.719))*43758.5453)-INT((SIN(((Model_Data!A84)*12.9898+(Inputs!$C$6)*78.233+Inputs!$C$47*37.719))*43758.5453)))-1)))</f>
        <v>371.18641988342398</v>
      </c>
      <c r="K84" s="9">
        <f>-((((SQRT((Model_Data!A84)^2+Inputs!$C$6^2+((Model_Data!B84)-((Inputs!$C$51*(115*EXP(-(((Inputs!$C$6)-25)^2)/(4.5^2))+70*EXP(-(((Inputs!$C$6)+38)^2)/(7^2))*(0.55+0.45*SIN(2*PI()*(Model_Data!A84)/45))+24*SIN(2*PI()*(Inputs!$C$6)/9+(Model_Data!A84)/18)*EXP(-(((Inputs!$C$6)+5)^2)/(22^2))+18*SIN(2*PI()*(Model_Data!A84)/70))+Inputs!$C$28*EXP(-(((Model_Data!A84)-Inputs!$C$29)^2)/(2*Inputs!$C$31^2))*EXP(-(((Inputs!$C$6)-Inputs!$C$30)^2)/(2*Inputs!$C$32^2))+-Inputs!$C$33*EXP(-(((((Model_Data!A84)-Inputs!$C$34)^2)+(((Inputs!$C$6)-Inputs!$C$35)^2))/(2*Inputs!$C$36^2)))+Inputs!$C$37*(0.55*SIN(2*PI()*(Model_Data!A84)/Inputs!$C$39)+0.35*COS(2*PI()*(Inputs!$C$6)/Inputs!$C$40)+0.2*SIN(2*PI()*((Model_Data!A84)+(Inputs!$C$6))/(0.5*(Inputs!$C$39+Inputs!$C$40))))+Inputs!$C$38*SIN(2*PI()*(Model_Data!A84)/Inputs!$C$39)*SIN(2*PI()*(Inputs!$C$6)/Inputs!$C$40)+-Inputs!$C$41*EXP(-(((Inputs!$C$6)-Inputs!$C$43)^2)/(2*Inputs!$C$44^2))*EXP(-(((Model_Data!A84)-Inputs!$C$42)^2)/(2*Inputs!$C$45^2))+Inputs!$C$48*(0.7*(0.45*SIN(2*PI()*(((Model_Data!A84)/Inputs!$C$49)+Inputs!$C$47*0.137))+0.35*COS(2*PI()*(((Inputs!$C$6)/Inputs!$C$50)+Inputs!$C$47*0.173))+0.2*SIN(2*PI()*(((Model_Data!A84)+(Inputs!$C$6))/(0.5*(Inputs!$C$49+Inputs!$C$50))+Inputs!$C$47*0.097)))+0.3*(2*((SIN(((Model_Data!A84)*12.9898+(Inputs!$C$6)*78.233+Inputs!$C$47*37.719))*43758.5453)-INT((SIN(((Model_Data!A84)*12.9898+(Inputs!$C$6)*78.233+Inputs!$C$47*37.719))*43758.5453)))-1))))/1000)^2))-(((Model_Data!B84)-((Inputs!$C$51*(115*EXP(-(((0)-25)^2)/(4.5^2))+70*EXP(-(((0)+38)^2)/(7^2))*(0.55+0.45*SIN(2*PI()*(Model_Data!A84)/45))+24*SIN(2*PI()*(0)/9+(Model_Data!A84)/18)*EXP(-(((0)+5)^2)/(22^2))+18*SIN(2*PI()*(Model_Data!A84)/70))+Inputs!$C$28*EXP(-(((Model_Data!A84)-Inputs!$C$29)^2)/(2*Inputs!$C$31^2))*EXP(-(((0)-Inputs!$C$30)^2)/(2*Inputs!$C$32^2))+-Inputs!$C$33*EXP(-(((((Model_Data!A84)-Inputs!$C$34)^2)+(((0)-Inputs!$C$35)^2))/(2*Inputs!$C$36^2)))+Inputs!$C$37*(0.55*SIN(2*PI()*(Model_Data!A84)/Inputs!$C$39)+0.35*COS(2*PI()*(0)/Inputs!$C$40)+0.2*SIN(2*PI()*((Model_Data!A84)+(0))/(0.5*(Inputs!$C$39+Inputs!$C$40))))+Inputs!$C$38*SIN(2*PI()*(Model_Data!A84)/Inputs!$C$39)*SIN(2*PI()*(0)/Inputs!$C$40)+-Inputs!$C$41*EXP(-(((0)-Inputs!$C$43)^2)/(2*Inputs!$C$44^2))*EXP(-(((Model_Data!A84)-Inputs!$C$42)^2)/(2*Inputs!$C$45^2))+Inputs!$C$48*(0.7*(0.45*SIN(2*PI()*(((Model_Data!A84)/Inputs!$C$49)+Inputs!$C$47*0.137))+0.35*COS(2*PI()*(((0)/Inputs!$C$50)+Inputs!$C$47*0.173))+0.2*SIN(2*PI()*(((Model_Data!A84)+(0))/(0.5*(Inputs!$C$49+Inputs!$C$50))+Inputs!$C$47*0.097)))+0.3*(2*((SIN(((Model_Data!A84)*12.9898+(0)*78.233+Inputs!$C$47*37.719))*43758.5453)-INT((SIN(((Model_Data!A84)*12.9898+(0)*78.233+Inputs!$C$47*37.719))*43758.5453)))-1))))/1000)))*1000/Inputs!$C$12)-Model_Data!F84)</f>
        <v>289.28803588741272</v>
      </c>
      <c r="L84" s="10"/>
      <c r="M84" s="9">
        <f>Model_Data!A84</f>
        <v>-19</v>
      </c>
      <c r="N84" s="9">
        <f>Model_Data!P84</f>
        <v>143.04023490383426</v>
      </c>
      <c r="O84" s="9">
        <f t="shared" si="2"/>
        <v>146.09732442668246</v>
      </c>
      <c r="P84" s="9">
        <f>Model_Data!Q84</f>
        <v>21.477512748323466</v>
      </c>
      <c r="Q84" s="9">
        <f t="shared" si="3"/>
        <v>21.936535199201572</v>
      </c>
      <c r="R84" s="10"/>
      <c r="S84" s="9">
        <f>Model_Data!A84</f>
        <v>-19</v>
      </c>
      <c r="T84" s="9">
        <f>Model_Data!B84-Inputs!$C$5</f>
        <v>0.40111111111110631</v>
      </c>
      <c r="U84" s="10"/>
      <c r="V84" s="9">
        <f>Model_Data!A84</f>
        <v>-19</v>
      </c>
      <c r="W84" s="9">
        <f>((SQRT((Model_Data!A84)^2+Inputs!$C$6^2+Inputs!$C$5^2)-Inputs!$C$5)*1000/Inputs!$C$12)</f>
        <v>691.35225167970475</v>
      </c>
      <c r="X84" s="9">
        <f>Model_Data!F84</f>
        <v>690.66179452298343</v>
      </c>
      <c r="Y84" s="10"/>
      <c r="Z84" s="9">
        <f>Model_Data!A84</f>
        <v>-19</v>
      </c>
      <c r="AA84" s="9">
        <f>SQRT((Model_Data!A84)^2+Inputs!$C$6^2+((Model_Data!B84)-((Inputs!$C$51*(115*EXP(-(((Inputs!$C$6)-25)^2)/(4.5^2))+70*EXP(-(((Inputs!$C$6)+38)^2)/(7^2))*(0.55+0.45*SIN(2*PI()*(Model_Data!A84)/45))+24*SIN(2*PI()*(Inputs!$C$6)/9+(Model_Data!A84)/18)*EXP(-(((Inputs!$C$6)+5)^2)/(22^2))+18*SIN(2*PI()*(Model_Data!A84)/70))+Inputs!$C$28*EXP(-(((Model_Data!A84)-Inputs!$C$29)^2)/(2*Inputs!$C$31^2))*EXP(-(((Inputs!$C$6)-Inputs!$C$30)^2)/(2*Inputs!$C$32^2))+-Inputs!$C$33*EXP(-(((((Model_Data!A84)-Inputs!$C$34)^2)+(((Inputs!$C$6)-Inputs!$C$35)^2))/(2*Inputs!$C$36^2)))+Inputs!$C$37*(0.55*SIN(2*PI()*(Model_Data!A84)/Inputs!$C$39)+0.35*COS(2*PI()*(Inputs!$C$6)/Inputs!$C$40)+0.2*SIN(2*PI()*((Model_Data!A84)+(Inputs!$C$6))/(0.5*(Inputs!$C$39+Inputs!$C$40))))+Inputs!$C$38*SIN(2*PI()*(Model_Data!A84)/Inputs!$C$39)*SIN(2*PI()*(Inputs!$C$6)/Inputs!$C$40)+-Inputs!$C$41*EXP(-(((Inputs!$C$6)-Inputs!$C$43)^2)/(2*Inputs!$C$44^2))*EXP(-(((Model_Data!A84)-Inputs!$C$42)^2)/(2*Inputs!$C$45^2))+Inputs!$C$48*(0.7*(0.45*SIN(2*PI()*(((Model_Data!A84)/Inputs!$C$49)+Inputs!$C$47*0.137))+0.35*COS(2*PI()*(((Inputs!$C$6)/Inputs!$C$50)+Inputs!$C$47*0.173))+0.2*SIN(2*PI()*(((Model_Data!A84)+(Inputs!$C$6))/(0.5*(Inputs!$C$49+Inputs!$C$50))+Inputs!$C$47*0.097)))+0.3*(2*((SIN(((Model_Data!A84)*12.9898+(Inputs!$C$6)*78.233+Inputs!$C$47*37.719))*43758.5453)-INT((SIN(((Model_Data!A84)*12.9898+(Inputs!$C$6)*78.233+Inputs!$C$47*37.719))*43758.5453)))-1))))/1000)^2)</f>
        <v>401.26043992458227</v>
      </c>
      <c r="AB84" s="9">
        <f>1000*(AA85-AA83)/(Z85-Z83)*Inputs!$C$11</f>
        <v>-365.24331106670616</v>
      </c>
      <c r="AC84" s="9">
        <f>-2*AB84/Inputs!$C$13</f>
        <v>146.09732442668246</v>
      </c>
      <c r="AD84" s="9">
        <f>-2*AB84/Inputs!$C$14</f>
        <v>21.936535199201572</v>
      </c>
    </row>
    <row r="85" spans="1:30">
      <c r="A85" s="9">
        <f>Model_Data!A85</f>
        <v>-18.5</v>
      </c>
      <c r="B85" s="9">
        <f>((SQRT((Model_Data!A85)^2+Inputs!$C$6^2+Inputs!$C$5^2)-Inputs!$C$5)*1000/Inputs!$C$12)</f>
        <v>678.22511928547397</v>
      </c>
      <c r="C85" s="9">
        <f>Model_Data!F85</f>
        <v>677.58288242198512</v>
      </c>
      <c r="D85" s="9">
        <f>(((SQRT((Model_Data!A85)^2+Inputs!$C$6^2+((Model_Data!B85)-((Inputs!$C$51*(115*EXP(-(((Inputs!$C$6)-25)^2)/(4.5^2))+70*EXP(-(((Inputs!$C$6)+38)^2)/(7^2))*(0.55+0.45*SIN(2*PI()*(Model_Data!A85)/45))+24*SIN(2*PI()*(Inputs!$C$6)/9+(Model_Data!A85)/18)*EXP(-(((Inputs!$C$6)+5)^2)/(22^2))+18*SIN(2*PI()*(Model_Data!A85)/70))+Inputs!$C$28*EXP(-(((Model_Data!A85)-Inputs!$C$29)^2)/(2*Inputs!$C$31^2))*EXP(-(((Inputs!$C$6)-Inputs!$C$30)^2)/(2*Inputs!$C$32^2))+-Inputs!$C$33*EXP(-(((((Model_Data!A85)-Inputs!$C$34)^2)+(((Inputs!$C$6)-Inputs!$C$35)^2))/(2*Inputs!$C$36^2)))+Inputs!$C$37*(0.55*SIN(2*PI()*(Model_Data!A85)/Inputs!$C$39)+0.35*COS(2*PI()*(Inputs!$C$6)/Inputs!$C$40)+0.2*SIN(2*PI()*((Model_Data!A85)+(Inputs!$C$6))/(0.5*(Inputs!$C$39+Inputs!$C$40))))+Inputs!$C$38*SIN(2*PI()*(Model_Data!A85)/Inputs!$C$39)*SIN(2*PI()*(Inputs!$C$6)/Inputs!$C$40)+-Inputs!$C$41*EXP(-(((Inputs!$C$6)-Inputs!$C$43)^2)/(2*Inputs!$C$44^2))*EXP(-(((Model_Data!A85)-Inputs!$C$42)^2)/(2*Inputs!$C$45^2))+Inputs!$C$48*(0.7*(0.45*SIN(2*PI()*(((Model_Data!A85)/Inputs!$C$49)+Inputs!$C$47*0.137))+0.35*COS(2*PI()*(((Inputs!$C$6)/Inputs!$C$50)+Inputs!$C$47*0.173))+0.2*SIN(2*PI()*(((Model_Data!A85)+(Inputs!$C$6))/(0.5*(Inputs!$C$49+Inputs!$C$50))+Inputs!$C$47*0.097)))+0.3*(2*((SIN(((Model_Data!A85)*12.9898+(Inputs!$C$6)*78.233+Inputs!$C$47*37.719))*43758.5453)-INT((SIN(((Model_Data!A85)*12.9898+(Inputs!$C$6)*78.233+Inputs!$C$47*37.719))*43758.5453)))-1))))/1000)^2))-(((Model_Data!B85)-((Inputs!$C$51*(115*EXP(-(((0)-25)^2)/(4.5^2))+70*EXP(-(((0)+38)^2)/(7^2))*(0.55+0.45*SIN(2*PI()*(Model_Data!A85)/45))+24*SIN(2*PI()*(0)/9+(Model_Data!A85)/18)*EXP(-(((0)+5)^2)/(22^2))+18*SIN(2*PI()*(Model_Data!A85)/70))+Inputs!$C$28*EXP(-(((Model_Data!A85)-Inputs!$C$29)^2)/(2*Inputs!$C$31^2))*EXP(-(((0)-Inputs!$C$30)^2)/(2*Inputs!$C$32^2))+-Inputs!$C$33*EXP(-(((((Model_Data!A85)-Inputs!$C$34)^2)+(((0)-Inputs!$C$35)^2))/(2*Inputs!$C$36^2)))+Inputs!$C$37*(0.55*SIN(2*PI()*(Model_Data!A85)/Inputs!$C$39)+0.35*COS(2*PI()*(0)/Inputs!$C$40)+0.2*SIN(2*PI()*((Model_Data!A85)+(0))/(0.5*(Inputs!$C$39+Inputs!$C$40))))+Inputs!$C$38*SIN(2*PI()*(Model_Data!A85)/Inputs!$C$39)*SIN(2*PI()*(0)/Inputs!$C$40)+-Inputs!$C$41*EXP(-(((0)-Inputs!$C$43)^2)/(2*Inputs!$C$44^2))*EXP(-(((Model_Data!A85)-Inputs!$C$42)^2)/(2*Inputs!$C$45^2))+Inputs!$C$48*(0.7*(0.45*SIN(2*PI()*(((Model_Data!A85)/Inputs!$C$49)+Inputs!$C$47*0.137))+0.35*COS(2*PI()*(((0)/Inputs!$C$50)+Inputs!$C$47*0.173))+0.2*SIN(2*PI()*(((Model_Data!A85)+(0))/(0.5*(Inputs!$C$49+Inputs!$C$50))+Inputs!$C$47*0.097)))+0.3*(2*((SIN(((Model_Data!A85)*12.9898+(0)*78.233+Inputs!$C$47*37.719))*43758.5453)-INT((SIN(((Model_Data!A85)*12.9898+(0)*78.233+Inputs!$C$47*37.719))*43758.5453)))-1))))/1000)))*1000/Inputs!$C$12)</f>
        <v>395.98017521693998</v>
      </c>
      <c r="E85" s="9">
        <f>Model_Data!A85</f>
        <v>-18.5</v>
      </c>
      <c r="F85" s="9">
        <f>(Inputs!$C$51*(115*EXP(-(((Inputs!$C$6)-25)^2)/(4.5^2))+70*EXP(-(((Inputs!$C$6)+38)^2)/(7^2))*(0.55+0.45*SIN(2*PI()*(Model_Data!A85)/45))+24*SIN(2*PI()*(Inputs!$C$6)/9+(Model_Data!A85)/18)*EXP(-(((Inputs!$C$6)+5)^2)/(22^2))+18*SIN(2*PI()*(Model_Data!A85)/70))+Inputs!$C$28*EXP(-(((Model_Data!A85)-Inputs!$C$29)^2)/(2*Inputs!$C$31^2))*EXP(-(((Inputs!$C$6)-Inputs!$C$30)^2)/(2*Inputs!$C$32^2))+-Inputs!$C$33*EXP(-(((((Model_Data!A85)-Inputs!$C$34)^2)+(((Inputs!$C$6)-Inputs!$C$35)^2))/(2*Inputs!$C$36^2)))+Inputs!$C$37*(0.55*SIN(2*PI()*(Model_Data!A85)/Inputs!$C$39)+0.35*COS(2*PI()*(Inputs!$C$6)/Inputs!$C$40)+0.2*SIN(2*PI()*((Model_Data!A85)+(Inputs!$C$6))/(0.5*(Inputs!$C$39+Inputs!$C$40))))+Inputs!$C$38*SIN(2*PI()*(Model_Data!A85)/Inputs!$C$39)*SIN(2*PI()*(Inputs!$C$6)/Inputs!$C$40)+-Inputs!$C$41*EXP(-(((Inputs!$C$6)-Inputs!$C$43)^2)/(2*Inputs!$C$44^2))*EXP(-(((Model_Data!A85)-Inputs!$C$42)^2)/(2*Inputs!$C$45^2))+Inputs!$C$48*(0.7*(0.45*SIN(2*PI()*(((Model_Data!A85)/Inputs!$C$49)+Inputs!$C$47*0.137))+0.35*COS(2*PI()*(((Inputs!$C$6)/Inputs!$C$50)+Inputs!$C$47*0.173))+0.2*SIN(2*PI()*(((Model_Data!A85)+(Inputs!$C$6))/(0.5*(Inputs!$C$49+Inputs!$C$50))+Inputs!$C$47*0.097)))+0.3*(2*((SIN(((Model_Data!A85)*12.9898+(Inputs!$C$6)*78.233+Inputs!$C$47*37.719))*43758.5453)-INT((SIN(((Model_Data!A85)*12.9898+(Inputs!$C$6)*78.233+Inputs!$C$47*37.719))*43758.5453)))-1)))</f>
        <v>365.6884368087795</v>
      </c>
      <c r="G85" s="9">
        <f>(Inputs!$C$51*(115*EXP(-(((0)-25)^2)/(4.5^2))+70*EXP(-(((0)+38)^2)/(7^2))*(0.55+0.45*SIN(2*PI()*(Model_Data!A85)/45))+24*SIN(2*PI()*(0)/9+(Model_Data!A85)/18)*EXP(-(((0)+5)^2)/(22^2))+18*SIN(2*PI()*(Model_Data!A85)/70))+Inputs!$C$28*EXP(-(((Model_Data!A85)-Inputs!$C$29)^2)/(2*Inputs!$C$31^2))*EXP(-(((0)-Inputs!$C$30)^2)/(2*Inputs!$C$32^2))+-Inputs!$C$33*EXP(-(((((Model_Data!A85)-Inputs!$C$34)^2)+(((0)-Inputs!$C$35)^2))/(2*Inputs!$C$36^2)))+Inputs!$C$37*(0.55*SIN(2*PI()*(Model_Data!A85)/Inputs!$C$39)+0.35*COS(2*PI()*(0)/Inputs!$C$40)+0.2*SIN(2*PI()*((Model_Data!A85)+(0))/(0.5*(Inputs!$C$39+Inputs!$C$40))))+Inputs!$C$38*SIN(2*PI()*(Model_Data!A85)/Inputs!$C$39)*SIN(2*PI()*(0)/Inputs!$C$40)+-Inputs!$C$41*EXP(-(((0)-Inputs!$C$43)^2)/(2*Inputs!$C$44^2))*EXP(-(((Model_Data!A85)-Inputs!$C$42)^2)/(2*Inputs!$C$45^2))+Inputs!$C$48*(0.7*(0.45*SIN(2*PI()*(((Model_Data!A85)/Inputs!$C$49)+Inputs!$C$47*0.137))+0.35*COS(2*PI()*(((0)/Inputs!$C$50)+Inputs!$C$47*0.173))+0.2*SIN(2*PI()*(((Model_Data!A85)+(0))/(0.5*(Inputs!$C$49+Inputs!$C$50))+Inputs!$C$47*0.097)))+0.3*(2*((SIN(((Model_Data!A85)*12.9898+(0)*78.233+Inputs!$C$47*37.719))*43758.5453)-INT((SIN(((Model_Data!A85)*12.9898+(0)*78.233+Inputs!$C$47*37.719))*43758.5453)))-1)))</f>
        <v>-136.66366560462208</v>
      </c>
      <c r="H85" s="10"/>
      <c r="I85" s="9">
        <f>Model_Data!A85</f>
        <v>-18.5</v>
      </c>
      <c r="J85" s="9">
        <f>(Inputs!$C$51*(115*EXP(-(((Inputs!$C$6)-25)^2)/(4.5^2))+70*EXP(-(((Inputs!$C$6)+38)^2)/(7^2))*(0.55+0.45*SIN(2*PI()*(Model_Data!A85)/45))+24*SIN(2*PI()*(Inputs!$C$6)/9+(Model_Data!A85)/18)*EXP(-(((Inputs!$C$6)+5)^2)/(22^2))+18*SIN(2*PI()*(Model_Data!A85)/70))+Inputs!$C$28*EXP(-(((Model_Data!A85)-Inputs!$C$29)^2)/(2*Inputs!$C$31^2))*EXP(-(((Inputs!$C$6)-Inputs!$C$30)^2)/(2*Inputs!$C$32^2))+-Inputs!$C$33*EXP(-(((((Model_Data!A85)-Inputs!$C$34)^2)+(((Inputs!$C$6)-Inputs!$C$35)^2))/(2*Inputs!$C$36^2)))+Inputs!$C$37*(0.55*SIN(2*PI()*(Model_Data!A85)/Inputs!$C$39)+0.35*COS(2*PI()*(Inputs!$C$6)/Inputs!$C$40)+0.2*SIN(2*PI()*((Model_Data!A85)+(Inputs!$C$6))/(0.5*(Inputs!$C$39+Inputs!$C$40))))+Inputs!$C$38*SIN(2*PI()*(Model_Data!A85)/Inputs!$C$39)*SIN(2*PI()*(Inputs!$C$6)/Inputs!$C$40)+-Inputs!$C$41*EXP(-(((Inputs!$C$6)-Inputs!$C$43)^2)/(2*Inputs!$C$44^2))*EXP(-(((Model_Data!A85)-Inputs!$C$42)^2)/(2*Inputs!$C$45^2))+Inputs!$C$48*(0.7*(0.45*SIN(2*PI()*(((Model_Data!A85)/Inputs!$C$49)+Inputs!$C$47*0.137))+0.35*COS(2*PI()*(((Inputs!$C$6)/Inputs!$C$50)+Inputs!$C$47*0.173))+0.2*SIN(2*PI()*(((Model_Data!A85)+(Inputs!$C$6))/(0.5*(Inputs!$C$49+Inputs!$C$50))+Inputs!$C$47*0.097)))+0.3*(2*((SIN(((Model_Data!A85)*12.9898+(Inputs!$C$6)*78.233+Inputs!$C$47*37.719))*43758.5453)-INT((SIN(((Model_Data!A85)*12.9898+(Inputs!$C$6)*78.233+Inputs!$C$47*37.719))*43758.5453)))-1)))</f>
        <v>365.6884368087795</v>
      </c>
      <c r="K85" s="9">
        <f>-((((SQRT((Model_Data!A85)^2+Inputs!$C$6^2+((Model_Data!B85)-((Inputs!$C$51*(115*EXP(-(((Inputs!$C$6)-25)^2)/(4.5^2))+70*EXP(-(((Inputs!$C$6)+38)^2)/(7^2))*(0.55+0.45*SIN(2*PI()*(Model_Data!A85)/45))+24*SIN(2*PI()*(Inputs!$C$6)/9+(Model_Data!A85)/18)*EXP(-(((Inputs!$C$6)+5)^2)/(22^2))+18*SIN(2*PI()*(Model_Data!A85)/70))+Inputs!$C$28*EXP(-(((Model_Data!A85)-Inputs!$C$29)^2)/(2*Inputs!$C$31^2))*EXP(-(((Inputs!$C$6)-Inputs!$C$30)^2)/(2*Inputs!$C$32^2))+-Inputs!$C$33*EXP(-(((((Model_Data!A85)-Inputs!$C$34)^2)+(((Inputs!$C$6)-Inputs!$C$35)^2))/(2*Inputs!$C$36^2)))+Inputs!$C$37*(0.55*SIN(2*PI()*(Model_Data!A85)/Inputs!$C$39)+0.35*COS(2*PI()*(Inputs!$C$6)/Inputs!$C$40)+0.2*SIN(2*PI()*((Model_Data!A85)+(Inputs!$C$6))/(0.5*(Inputs!$C$39+Inputs!$C$40))))+Inputs!$C$38*SIN(2*PI()*(Model_Data!A85)/Inputs!$C$39)*SIN(2*PI()*(Inputs!$C$6)/Inputs!$C$40)+-Inputs!$C$41*EXP(-(((Inputs!$C$6)-Inputs!$C$43)^2)/(2*Inputs!$C$44^2))*EXP(-(((Model_Data!A85)-Inputs!$C$42)^2)/(2*Inputs!$C$45^2))+Inputs!$C$48*(0.7*(0.45*SIN(2*PI()*(((Model_Data!A85)/Inputs!$C$49)+Inputs!$C$47*0.137))+0.35*COS(2*PI()*(((Inputs!$C$6)/Inputs!$C$50)+Inputs!$C$47*0.173))+0.2*SIN(2*PI()*(((Model_Data!A85)+(Inputs!$C$6))/(0.5*(Inputs!$C$49+Inputs!$C$50))+Inputs!$C$47*0.097)))+0.3*(2*((SIN(((Model_Data!A85)*12.9898+(Inputs!$C$6)*78.233+Inputs!$C$47*37.719))*43758.5453)-INT((SIN(((Model_Data!A85)*12.9898+(Inputs!$C$6)*78.233+Inputs!$C$47*37.719))*43758.5453)))-1))))/1000)^2))-(((Model_Data!B85)-((Inputs!$C$51*(115*EXP(-(((0)-25)^2)/(4.5^2))+70*EXP(-(((0)+38)^2)/(7^2))*(0.55+0.45*SIN(2*PI()*(Model_Data!A85)/45))+24*SIN(2*PI()*(0)/9+(Model_Data!A85)/18)*EXP(-(((0)+5)^2)/(22^2))+18*SIN(2*PI()*(Model_Data!A85)/70))+Inputs!$C$28*EXP(-(((Model_Data!A85)-Inputs!$C$29)^2)/(2*Inputs!$C$31^2))*EXP(-(((0)-Inputs!$C$30)^2)/(2*Inputs!$C$32^2))+-Inputs!$C$33*EXP(-(((((Model_Data!A85)-Inputs!$C$34)^2)+(((0)-Inputs!$C$35)^2))/(2*Inputs!$C$36^2)))+Inputs!$C$37*(0.55*SIN(2*PI()*(Model_Data!A85)/Inputs!$C$39)+0.35*COS(2*PI()*(0)/Inputs!$C$40)+0.2*SIN(2*PI()*((Model_Data!A85)+(0))/(0.5*(Inputs!$C$39+Inputs!$C$40))))+Inputs!$C$38*SIN(2*PI()*(Model_Data!A85)/Inputs!$C$39)*SIN(2*PI()*(0)/Inputs!$C$40)+-Inputs!$C$41*EXP(-(((0)-Inputs!$C$43)^2)/(2*Inputs!$C$44^2))*EXP(-(((Model_Data!A85)-Inputs!$C$42)^2)/(2*Inputs!$C$45^2))+Inputs!$C$48*(0.7*(0.45*SIN(2*PI()*(((Model_Data!A85)/Inputs!$C$49)+Inputs!$C$47*0.137))+0.35*COS(2*PI()*(((0)/Inputs!$C$50)+Inputs!$C$47*0.173))+0.2*SIN(2*PI()*(((Model_Data!A85)+(0))/(0.5*(Inputs!$C$49+Inputs!$C$50))+Inputs!$C$47*0.097)))+0.3*(2*((SIN(((Model_Data!A85)*12.9898+(0)*78.233+Inputs!$C$47*37.719))*43758.5453)-INT((SIN(((Model_Data!A85)*12.9898+(0)*78.233+Inputs!$C$47*37.719))*43758.5453)))-1))))/1000)))*1000/Inputs!$C$12)-Model_Data!F85)</f>
        <v>281.60270720504514</v>
      </c>
      <c r="L85" s="10"/>
      <c r="M85" s="9">
        <f>Model_Data!A85</f>
        <v>-18.5</v>
      </c>
      <c r="N85" s="9">
        <f>Model_Data!P85</f>
        <v>139.28790511207666</v>
      </c>
      <c r="O85" s="9">
        <f t="shared" si="2"/>
        <v>172.5939444128926</v>
      </c>
      <c r="P85" s="9">
        <f>Model_Data!Q85</f>
        <v>20.914099866678182</v>
      </c>
      <c r="Q85" s="9">
        <f t="shared" si="3"/>
        <v>25.915006668602494</v>
      </c>
      <c r="R85" s="10"/>
      <c r="S85" s="9">
        <f>Model_Data!A85</f>
        <v>-18.5</v>
      </c>
      <c r="T85" s="9">
        <f>Model_Data!B85-Inputs!$C$5</f>
        <v>0.38027777777779193</v>
      </c>
      <c r="U85" s="10"/>
      <c r="V85" s="9">
        <f>Model_Data!A85</f>
        <v>-18.5</v>
      </c>
      <c r="W85" s="9">
        <f>((SQRT((Model_Data!A85)^2+Inputs!$C$6^2+Inputs!$C$5^2)-Inputs!$C$5)*1000/Inputs!$C$12)</f>
        <v>678.22511928547397</v>
      </c>
      <c r="X85" s="9">
        <f>Model_Data!F85</f>
        <v>677.58288242198512</v>
      </c>
      <c r="Y85" s="10"/>
      <c r="Z85" s="9">
        <f>Model_Data!A85</f>
        <v>-18.5</v>
      </c>
      <c r="AA85" s="9">
        <f>SQRT((Model_Data!A85)^2+Inputs!$C$6^2+((Model_Data!B85)-((Inputs!$C$51*(115*EXP(-(((Inputs!$C$6)-25)^2)/(4.5^2))+70*EXP(-(((Inputs!$C$6)+38)^2)/(7^2))*(0.55+0.45*SIN(2*PI()*(Model_Data!A85)/45))+24*SIN(2*PI()*(Inputs!$C$6)/9+(Model_Data!A85)/18)*EXP(-(((Inputs!$C$6)+5)^2)/(22^2))+18*SIN(2*PI()*(Model_Data!A85)/70))+Inputs!$C$28*EXP(-(((Model_Data!A85)-Inputs!$C$29)^2)/(2*Inputs!$C$31^2))*EXP(-(((Inputs!$C$6)-Inputs!$C$30)^2)/(2*Inputs!$C$32^2))+-Inputs!$C$33*EXP(-(((((Model_Data!A85)-Inputs!$C$34)^2)+(((Inputs!$C$6)-Inputs!$C$35)^2))/(2*Inputs!$C$36^2)))+Inputs!$C$37*(0.55*SIN(2*PI()*(Model_Data!A85)/Inputs!$C$39)+0.35*COS(2*PI()*(Inputs!$C$6)/Inputs!$C$40)+0.2*SIN(2*PI()*((Model_Data!A85)+(Inputs!$C$6))/(0.5*(Inputs!$C$39+Inputs!$C$40))))+Inputs!$C$38*SIN(2*PI()*(Model_Data!A85)/Inputs!$C$39)*SIN(2*PI()*(Inputs!$C$6)/Inputs!$C$40)+-Inputs!$C$41*EXP(-(((Inputs!$C$6)-Inputs!$C$43)^2)/(2*Inputs!$C$44^2))*EXP(-(((Model_Data!A85)-Inputs!$C$42)^2)/(2*Inputs!$C$45^2))+Inputs!$C$48*(0.7*(0.45*SIN(2*PI()*(((Model_Data!A85)/Inputs!$C$49)+Inputs!$C$47*0.137))+0.35*COS(2*PI()*(((Inputs!$C$6)/Inputs!$C$50)+Inputs!$C$47*0.173))+0.2*SIN(2*PI()*(((Model_Data!A85)+(Inputs!$C$6))/(0.5*(Inputs!$C$49+Inputs!$C$50))+Inputs!$C$47*0.097)))+0.3*(2*((SIN(((Model_Data!A85)*12.9898+(Inputs!$C$6)*78.233+Inputs!$C$47*37.719))*43758.5453)-INT((SIN(((Model_Data!A85)*12.9898+(Inputs!$C$6)*78.233+Inputs!$C$47*37.719))*43758.5453)))-1))))/1000)^2)</f>
        <v>401.22178615526855</v>
      </c>
      <c r="AB85" s="9">
        <f>1000*(AA86-AA84)/(Z86-Z84)*Inputs!$C$11</f>
        <v>-431.48486103223149</v>
      </c>
      <c r="AC85" s="9">
        <f>-2*AB85/Inputs!$C$13</f>
        <v>172.5939444128926</v>
      </c>
      <c r="AD85" s="9">
        <f>-2*AB85/Inputs!$C$14</f>
        <v>25.915006668602494</v>
      </c>
    </row>
    <row r="86" spans="1:30">
      <c r="A86" s="9">
        <f>Model_Data!A86</f>
        <v>-18</v>
      </c>
      <c r="B86" s="9">
        <f>((SQRT((Model_Data!A86)^2+Inputs!$C$6^2+Inputs!$C$5^2)-Inputs!$C$5)*1000/Inputs!$C$12)</f>
        <v>665.44730949883331</v>
      </c>
      <c r="C86" s="9">
        <f>Model_Data!F86</f>
        <v>664.85070974349935</v>
      </c>
      <c r="D86" s="9">
        <f>(((SQRT((Model_Data!A86)^2+Inputs!$C$6^2+((Model_Data!B86)-((Inputs!$C$51*(115*EXP(-(((Inputs!$C$6)-25)^2)/(4.5^2))+70*EXP(-(((Inputs!$C$6)+38)^2)/(7^2))*(0.55+0.45*SIN(2*PI()*(Model_Data!A86)/45))+24*SIN(2*PI()*(Inputs!$C$6)/9+(Model_Data!A86)/18)*EXP(-(((Inputs!$C$6)+5)^2)/(22^2))+18*SIN(2*PI()*(Model_Data!A86)/70))+Inputs!$C$28*EXP(-(((Model_Data!A86)-Inputs!$C$29)^2)/(2*Inputs!$C$31^2))*EXP(-(((Inputs!$C$6)-Inputs!$C$30)^2)/(2*Inputs!$C$32^2))+-Inputs!$C$33*EXP(-(((((Model_Data!A86)-Inputs!$C$34)^2)+(((Inputs!$C$6)-Inputs!$C$35)^2))/(2*Inputs!$C$36^2)))+Inputs!$C$37*(0.55*SIN(2*PI()*(Model_Data!A86)/Inputs!$C$39)+0.35*COS(2*PI()*(Inputs!$C$6)/Inputs!$C$40)+0.2*SIN(2*PI()*((Model_Data!A86)+(Inputs!$C$6))/(0.5*(Inputs!$C$39+Inputs!$C$40))))+Inputs!$C$38*SIN(2*PI()*(Model_Data!A86)/Inputs!$C$39)*SIN(2*PI()*(Inputs!$C$6)/Inputs!$C$40)+-Inputs!$C$41*EXP(-(((Inputs!$C$6)-Inputs!$C$43)^2)/(2*Inputs!$C$44^2))*EXP(-(((Model_Data!A86)-Inputs!$C$42)^2)/(2*Inputs!$C$45^2))+Inputs!$C$48*(0.7*(0.45*SIN(2*PI()*(((Model_Data!A86)/Inputs!$C$49)+Inputs!$C$47*0.137))+0.35*COS(2*PI()*(((Inputs!$C$6)/Inputs!$C$50)+Inputs!$C$47*0.173))+0.2*SIN(2*PI()*(((Model_Data!A86)+(Inputs!$C$6))/(0.5*(Inputs!$C$49+Inputs!$C$50))+Inputs!$C$47*0.097)))+0.3*(2*((SIN(((Model_Data!A86)*12.9898+(Inputs!$C$6)*78.233+Inputs!$C$47*37.719))*43758.5453)-INT((SIN(((Model_Data!A86)*12.9898+(Inputs!$C$6)*78.233+Inputs!$C$47*37.719))*43758.5453)))-1))))/1000)^2))-(((Model_Data!B86)-((Inputs!$C$51*(115*EXP(-(((0)-25)^2)/(4.5^2))+70*EXP(-(((0)+38)^2)/(7^2))*(0.55+0.45*SIN(2*PI()*(Model_Data!A86)/45))+24*SIN(2*PI()*(0)/9+(Model_Data!A86)/18)*EXP(-(((0)+5)^2)/(22^2))+18*SIN(2*PI()*(Model_Data!A86)/70))+Inputs!$C$28*EXP(-(((Model_Data!A86)-Inputs!$C$29)^2)/(2*Inputs!$C$31^2))*EXP(-(((0)-Inputs!$C$30)^2)/(2*Inputs!$C$32^2))+-Inputs!$C$33*EXP(-(((((Model_Data!A86)-Inputs!$C$34)^2)+(((0)-Inputs!$C$35)^2))/(2*Inputs!$C$36^2)))+Inputs!$C$37*(0.55*SIN(2*PI()*(Model_Data!A86)/Inputs!$C$39)+0.35*COS(2*PI()*(0)/Inputs!$C$40)+0.2*SIN(2*PI()*((Model_Data!A86)+(0))/(0.5*(Inputs!$C$39+Inputs!$C$40))))+Inputs!$C$38*SIN(2*PI()*(Model_Data!A86)/Inputs!$C$39)*SIN(2*PI()*(0)/Inputs!$C$40)+-Inputs!$C$41*EXP(-(((0)-Inputs!$C$43)^2)/(2*Inputs!$C$44^2))*EXP(-(((Model_Data!A86)-Inputs!$C$42)^2)/(2*Inputs!$C$45^2))+Inputs!$C$48*(0.7*(0.45*SIN(2*PI()*(((Model_Data!A86)/Inputs!$C$49)+Inputs!$C$47*0.137))+0.35*COS(2*PI()*(((0)/Inputs!$C$50)+Inputs!$C$47*0.173))+0.2*SIN(2*PI()*(((Model_Data!A86)+(0))/(0.5*(Inputs!$C$49+Inputs!$C$50))+Inputs!$C$47*0.097)))+0.3*(2*((SIN(((Model_Data!A86)*12.9898+(0)*78.233+Inputs!$C$47*37.719))*43758.5453)-INT((SIN(((Model_Data!A86)*12.9898+(0)*78.233+Inputs!$C$47*37.719))*43758.5453)))-1))))/1000)))*1000/Inputs!$C$12)</f>
        <v>361.48657896024417</v>
      </c>
      <c r="E86" s="9">
        <f>Model_Data!A86</f>
        <v>-18</v>
      </c>
      <c r="F86" s="9">
        <f>(Inputs!$C$51*(115*EXP(-(((Inputs!$C$6)-25)^2)/(4.5^2))+70*EXP(-(((Inputs!$C$6)+38)^2)/(7^2))*(0.55+0.45*SIN(2*PI()*(Model_Data!A86)/45))+24*SIN(2*PI()*(Inputs!$C$6)/9+(Model_Data!A86)/18)*EXP(-(((Inputs!$C$6)+5)^2)/(22^2))+18*SIN(2*PI()*(Model_Data!A86)/70))+Inputs!$C$28*EXP(-(((Model_Data!A86)-Inputs!$C$29)^2)/(2*Inputs!$C$31^2))*EXP(-(((Inputs!$C$6)-Inputs!$C$30)^2)/(2*Inputs!$C$32^2))+-Inputs!$C$33*EXP(-(((((Model_Data!A86)-Inputs!$C$34)^2)+(((Inputs!$C$6)-Inputs!$C$35)^2))/(2*Inputs!$C$36^2)))+Inputs!$C$37*(0.55*SIN(2*PI()*(Model_Data!A86)/Inputs!$C$39)+0.35*COS(2*PI()*(Inputs!$C$6)/Inputs!$C$40)+0.2*SIN(2*PI()*((Model_Data!A86)+(Inputs!$C$6))/(0.5*(Inputs!$C$39+Inputs!$C$40))))+Inputs!$C$38*SIN(2*PI()*(Model_Data!A86)/Inputs!$C$39)*SIN(2*PI()*(Inputs!$C$6)/Inputs!$C$40)+-Inputs!$C$41*EXP(-(((Inputs!$C$6)-Inputs!$C$43)^2)/(2*Inputs!$C$44^2))*EXP(-(((Model_Data!A86)-Inputs!$C$42)^2)/(2*Inputs!$C$45^2))+Inputs!$C$48*(0.7*(0.45*SIN(2*PI()*(((Model_Data!A86)/Inputs!$C$49)+Inputs!$C$47*0.137))+0.35*COS(2*PI()*(((Inputs!$C$6)/Inputs!$C$50)+Inputs!$C$47*0.173))+0.2*SIN(2*PI()*(((Model_Data!A86)+(Inputs!$C$6))/(0.5*(Inputs!$C$49+Inputs!$C$50))+Inputs!$C$47*0.097)))+0.3*(2*((SIN(((Model_Data!A86)*12.9898+(Inputs!$C$6)*78.233+Inputs!$C$47*37.719))*43758.5453)-INT((SIN(((Model_Data!A86)*12.9898+(Inputs!$C$6)*78.233+Inputs!$C$47*37.719))*43758.5453)))-1)))</f>
        <v>392.02205415360987</v>
      </c>
      <c r="G86" s="9">
        <f>(Inputs!$C$51*(115*EXP(-(((0)-25)^2)/(4.5^2))+70*EXP(-(((0)+38)^2)/(7^2))*(0.55+0.45*SIN(2*PI()*(Model_Data!A86)/45))+24*SIN(2*PI()*(0)/9+(Model_Data!A86)/18)*EXP(-(((0)+5)^2)/(22^2))+18*SIN(2*PI()*(Model_Data!A86)/70))+Inputs!$C$28*EXP(-(((Model_Data!A86)-Inputs!$C$29)^2)/(2*Inputs!$C$31^2))*EXP(-(((0)-Inputs!$C$30)^2)/(2*Inputs!$C$32^2))+-Inputs!$C$33*EXP(-(((((Model_Data!A86)-Inputs!$C$34)^2)+(((0)-Inputs!$C$35)^2))/(2*Inputs!$C$36^2)))+Inputs!$C$37*(0.55*SIN(2*PI()*(Model_Data!A86)/Inputs!$C$39)+0.35*COS(2*PI()*(0)/Inputs!$C$40)+0.2*SIN(2*PI()*((Model_Data!A86)+(0))/(0.5*(Inputs!$C$39+Inputs!$C$40))))+Inputs!$C$38*SIN(2*PI()*(Model_Data!A86)/Inputs!$C$39)*SIN(2*PI()*(0)/Inputs!$C$40)+-Inputs!$C$41*EXP(-(((0)-Inputs!$C$43)^2)/(2*Inputs!$C$44^2))*EXP(-(((Model_Data!A86)-Inputs!$C$42)^2)/(2*Inputs!$C$45^2))+Inputs!$C$48*(0.7*(0.45*SIN(2*PI()*(((Model_Data!A86)/Inputs!$C$49)+Inputs!$C$47*0.137))+0.35*COS(2*PI()*(((0)/Inputs!$C$50)+Inputs!$C$47*0.173))+0.2*SIN(2*PI()*(((Model_Data!A86)+(0))/(0.5*(Inputs!$C$49+Inputs!$C$50))+Inputs!$C$47*0.097)))+0.3*(2*((SIN(((Model_Data!A86)*12.9898+(0)*78.233+Inputs!$C$47*37.719))*43758.5453)-INT((SIN(((Model_Data!A86)*12.9898+(0)*78.233+Inputs!$C$47*37.719))*43758.5453)))-1)))</f>
        <v>-149.12259877495586</v>
      </c>
      <c r="H86" s="10"/>
      <c r="I86" s="9">
        <f>Model_Data!A86</f>
        <v>-18</v>
      </c>
      <c r="J86" s="9">
        <f>(Inputs!$C$51*(115*EXP(-(((Inputs!$C$6)-25)^2)/(4.5^2))+70*EXP(-(((Inputs!$C$6)+38)^2)/(7^2))*(0.55+0.45*SIN(2*PI()*(Model_Data!A86)/45))+24*SIN(2*PI()*(Inputs!$C$6)/9+(Model_Data!A86)/18)*EXP(-(((Inputs!$C$6)+5)^2)/(22^2))+18*SIN(2*PI()*(Model_Data!A86)/70))+Inputs!$C$28*EXP(-(((Model_Data!A86)-Inputs!$C$29)^2)/(2*Inputs!$C$31^2))*EXP(-(((Inputs!$C$6)-Inputs!$C$30)^2)/(2*Inputs!$C$32^2))+-Inputs!$C$33*EXP(-(((((Model_Data!A86)-Inputs!$C$34)^2)+(((Inputs!$C$6)-Inputs!$C$35)^2))/(2*Inputs!$C$36^2)))+Inputs!$C$37*(0.55*SIN(2*PI()*(Model_Data!A86)/Inputs!$C$39)+0.35*COS(2*PI()*(Inputs!$C$6)/Inputs!$C$40)+0.2*SIN(2*PI()*((Model_Data!A86)+(Inputs!$C$6))/(0.5*(Inputs!$C$39+Inputs!$C$40))))+Inputs!$C$38*SIN(2*PI()*(Model_Data!A86)/Inputs!$C$39)*SIN(2*PI()*(Inputs!$C$6)/Inputs!$C$40)+-Inputs!$C$41*EXP(-(((Inputs!$C$6)-Inputs!$C$43)^2)/(2*Inputs!$C$44^2))*EXP(-(((Model_Data!A86)-Inputs!$C$42)^2)/(2*Inputs!$C$45^2))+Inputs!$C$48*(0.7*(0.45*SIN(2*PI()*(((Model_Data!A86)/Inputs!$C$49)+Inputs!$C$47*0.137))+0.35*COS(2*PI()*(((Inputs!$C$6)/Inputs!$C$50)+Inputs!$C$47*0.173))+0.2*SIN(2*PI()*(((Model_Data!A86)+(Inputs!$C$6))/(0.5*(Inputs!$C$49+Inputs!$C$50))+Inputs!$C$47*0.097)))+0.3*(2*((SIN(((Model_Data!A86)*12.9898+(Inputs!$C$6)*78.233+Inputs!$C$47*37.719))*43758.5453)-INT((SIN(((Model_Data!A86)*12.9898+(Inputs!$C$6)*78.233+Inputs!$C$47*37.719))*43758.5453)))-1)))</f>
        <v>392.02205415360987</v>
      </c>
      <c r="K86" s="9">
        <f>-((((SQRT((Model_Data!A86)^2+Inputs!$C$6^2+((Model_Data!B86)-((Inputs!$C$51*(115*EXP(-(((Inputs!$C$6)-25)^2)/(4.5^2))+70*EXP(-(((Inputs!$C$6)+38)^2)/(7^2))*(0.55+0.45*SIN(2*PI()*(Model_Data!A86)/45))+24*SIN(2*PI()*(Inputs!$C$6)/9+(Model_Data!A86)/18)*EXP(-(((Inputs!$C$6)+5)^2)/(22^2))+18*SIN(2*PI()*(Model_Data!A86)/70))+Inputs!$C$28*EXP(-(((Model_Data!A86)-Inputs!$C$29)^2)/(2*Inputs!$C$31^2))*EXP(-(((Inputs!$C$6)-Inputs!$C$30)^2)/(2*Inputs!$C$32^2))+-Inputs!$C$33*EXP(-(((((Model_Data!A86)-Inputs!$C$34)^2)+(((Inputs!$C$6)-Inputs!$C$35)^2))/(2*Inputs!$C$36^2)))+Inputs!$C$37*(0.55*SIN(2*PI()*(Model_Data!A86)/Inputs!$C$39)+0.35*COS(2*PI()*(Inputs!$C$6)/Inputs!$C$40)+0.2*SIN(2*PI()*((Model_Data!A86)+(Inputs!$C$6))/(0.5*(Inputs!$C$39+Inputs!$C$40))))+Inputs!$C$38*SIN(2*PI()*(Model_Data!A86)/Inputs!$C$39)*SIN(2*PI()*(Inputs!$C$6)/Inputs!$C$40)+-Inputs!$C$41*EXP(-(((Inputs!$C$6)-Inputs!$C$43)^2)/(2*Inputs!$C$44^2))*EXP(-(((Model_Data!A86)-Inputs!$C$42)^2)/(2*Inputs!$C$45^2))+Inputs!$C$48*(0.7*(0.45*SIN(2*PI()*(((Model_Data!A86)/Inputs!$C$49)+Inputs!$C$47*0.137))+0.35*COS(2*PI()*(((Inputs!$C$6)/Inputs!$C$50)+Inputs!$C$47*0.173))+0.2*SIN(2*PI()*(((Model_Data!A86)+(Inputs!$C$6))/(0.5*(Inputs!$C$49+Inputs!$C$50))+Inputs!$C$47*0.097)))+0.3*(2*((SIN(((Model_Data!A86)*12.9898+(Inputs!$C$6)*78.233+Inputs!$C$47*37.719))*43758.5453)-INT((SIN(((Model_Data!A86)*12.9898+(Inputs!$C$6)*78.233+Inputs!$C$47*37.719))*43758.5453)))-1))))/1000)^2))-(((Model_Data!B86)-((Inputs!$C$51*(115*EXP(-(((0)-25)^2)/(4.5^2))+70*EXP(-(((0)+38)^2)/(7^2))*(0.55+0.45*SIN(2*PI()*(Model_Data!A86)/45))+24*SIN(2*PI()*(0)/9+(Model_Data!A86)/18)*EXP(-(((0)+5)^2)/(22^2))+18*SIN(2*PI()*(Model_Data!A86)/70))+Inputs!$C$28*EXP(-(((Model_Data!A86)-Inputs!$C$29)^2)/(2*Inputs!$C$31^2))*EXP(-(((0)-Inputs!$C$30)^2)/(2*Inputs!$C$32^2))+-Inputs!$C$33*EXP(-(((((Model_Data!A86)-Inputs!$C$34)^2)+(((0)-Inputs!$C$35)^2))/(2*Inputs!$C$36^2)))+Inputs!$C$37*(0.55*SIN(2*PI()*(Model_Data!A86)/Inputs!$C$39)+0.35*COS(2*PI()*(0)/Inputs!$C$40)+0.2*SIN(2*PI()*((Model_Data!A86)+(0))/(0.5*(Inputs!$C$39+Inputs!$C$40))))+Inputs!$C$38*SIN(2*PI()*(Model_Data!A86)/Inputs!$C$39)*SIN(2*PI()*(0)/Inputs!$C$40)+-Inputs!$C$41*EXP(-(((0)-Inputs!$C$43)^2)/(2*Inputs!$C$44^2))*EXP(-(((Model_Data!A86)-Inputs!$C$42)^2)/(2*Inputs!$C$45^2))+Inputs!$C$48*(0.7*(0.45*SIN(2*PI()*(((Model_Data!A86)/Inputs!$C$49)+Inputs!$C$47*0.137))+0.35*COS(2*PI()*(((0)/Inputs!$C$50)+Inputs!$C$47*0.173))+0.2*SIN(2*PI()*(((Model_Data!A86)+(0))/(0.5*(Inputs!$C$49+Inputs!$C$50))+Inputs!$C$47*0.097)))+0.3*(2*((SIN(((Model_Data!A86)*12.9898+(0)*78.233+Inputs!$C$47*37.719))*43758.5453)-INT((SIN(((Model_Data!A86)*12.9898+(0)*78.233+Inputs!$C$47*37.719))*43758.5453)))-1))))/1000)))*1000/Inputs!$C$12)-Model_Data!F86)</f>
        <v>303.36413078325518</v>
      </c>
      <c r="L86" s="10"/>
      <c r="M86" s="9">
        <f>Model_Data!A86</f>
        <v>-18</v>
      </c>
      <c r="N86" s="9">
        <f>Model_Data!P86</f>
        <v>135.53462802807991</v>
      </c>
      <c r="O86" s="9">
        <f t="shared" si="2"/>
        <v>185.66584997206519</v>
      </c>
      <c r="P86" s="9">
        <f>Model_Data!Q86</f>
        <v>20.350544748960946</v>
      </c>
      <c r="Q86" s="9">
        <f t="shared" si="3"/>
        <v>27.87775525106084</v>
      </c>
      <c r="R86" s="10"/>
      <c r="S86" s="9">
        <f>Model_Data!A86</f>
        <v>-18</v>
      </c>
      <c r="T86" s="9">
        <f>Model_Data!B86-Inputs!$C$5</f>
        <v>0.36000000000001364</v>
      </c>
      <c r="U86" s="10"/>
      <c r="V86" s="9">
        <f>Model_Data!A86</f>
        <v>-18</v>
      </c>
      <c r="W86" s="9">
        <f>((SQRT((Model_Data!A86)^2+Inputs!$C$6^2+Inputs!$C$5^2)-Inputs!$C$5)*1000/Inputs!$C$12)</f>
        <v>665.44730949883331</v>
      </c>
      <c r="X86" s="9">
        <f>Model_Data!F86</f>
        <v>664.85070974349935</v>
      </c>
      <c r="Y86" s="10"/>
      <c r="Z86" s="9">
        <f>Model_Data!A86</f>
        <v>-18</v>
      </c>
      <c r="AA86" s="9">
        <f>SQRT((Model_Data!A86)^2+Inputs!$C$6^2+((Model_Data!B86)-((Inputs!$C$51*(115*EXP(-(((Inputs!$C$6)-25)^2)/(4.5^2))+70*EXP(-(((Inputs!$C$6)+38)^2)/(7^2))*(0.55+0.45*SIN(2*PI()*(Model_Data!A86)/45))+24*SIN(2*PI()*(Inputs!$C$6)/9+(Model_Data!A86)/18)*EXP(-(((Inputs!$C$6)+5)^2)/(22^2))+18*SIN(2*PI()*(Model_Data!A86)/70))+Inputs!$C$28*EXP(-(((Model_Data!A86)-Inputs!$C$29)^2)/(2*Inputs!$C$31^2))*EXP(-(((Inputs!$C$6)-Inputs!$C$30)^2)/(2*Inputs!$C$32^2))+-Inputs!$C$33*EXP(-(((((Model_Data!A86)-Inputs!$C$34)^2)+(((Inputs!$C$6)-Inputs!$C$35)^2))/(2*Inputs!$C$36^2)))+Inputs!$C$37*(0.55*SIN(2*PI()*(Model_Data!A86)/Inputs!$C$39)+0.35*COS(2*PI()*(Inputs!$C$6)/Inputs!$C$40)+0.2*SIN(2*PI()*((Model_Data!A86)+(Inputs!$C$6))/(0.5*(Inputs!$C$39+Inputs!$C$40))))+Inputs!$C$38*SIN(2*PI()*(Model_Data!A86)/Inputs!$C$39)*SIN(2*PI()*(Inputs!$C$6)/Inputs!$C$40)+-Inputs!$C$41*EXP(-(((Inputs!$C$6)-Inputs!$C$43)^2)/(2*Inputs!$C$44^2))*EXP(-(((Model_Data!A86)-Inputs!$C$42)^2)/(2*Inputs!$C$45^2))+Inputs!$C$48*(0.7*(0.45*SIN(2*PI()*(((Model_Data!A86)/Inputs!$C$49)+Inputs!$C$47*0.137))+0.35*COS(2*PI()*(((Inputs!$C$6)/Inputs!$C$50)+Inputs!$C$47*0.173))+0.2*SIN(2*PI()*(((Model_Data!A86)+(Inputs!$C$6))/(0.5*(Inputs!$C$49+Inputs!$C$50))+Inputs!$C$47*0.097)))+0.3*(2*((SIN(((Model_Data!A86)*12.9898+(Inputs!$C$6)*78.233+Inputs!$C$47*37.719))*43758.5453)-INT((SIN(((Model_Data!A86)*12.9898+(Inputs!$C$6)*78.233+Inputs!$C$47*37.719))*43758.5453)))-1))))/1000)^2)</f>
        <v>401.15256870932421</v>
      </c>
      <c r="AB86" s="9">
        <f>1000*(AA87-AA85)/(Z87-Z85)*Inputs!$C$11</f>
        <v>-464.16462493016297</v>
      </c>
      <c r="AC86" s="9">
        <f>-2*AB86/Inputs!$C$13</f>
        <v>185.66584997206519</v>
      </c>
      <c r="AD86" s="9">
        <f>-2*AB86/Inputs!$C$14</f>
        <v>27.87775525106084</v>
      </c>
    </row>
    <row r="87" spans="1:30">
      <c r="A87" s="9">
        <f>Model_Data!A87</f>
        <v>-17.5</v>
      </c>
      <c r="B87" s="9">
        <f>((SQRT((Model_Data!A87)^2+Inputs!$C$6^2+Inputs!$C$5^2)-Inputs!$C$5)*1000/Inputs!$C$12)</f>
        <v>653.01888173594125</v>
      </c>
      <c r="C87" s="9">
        <f>Model_Data!F87</f>
        <v>652.46544059236885</v>
      </c>
      <c r="D87" s="9">
        <f>(((SQRT((Model_Data!A87)^2+Inputs!$C$6^2+((Model_Data!B87)-((Inputs!$C$51*(115*EXP(-(((Inputs!$C$6)-25)^2)/(4.5^2))+70*EXP(-(((Inputs!$C$6)+38)^2)/(7^2))*(0.55+0.45*SIN(2*PI()*(Model_Data!A87)/45))+24*SIN(2*PI()*(Inputs!$C$6)/9+(Model_Data!A87)/18)*EXP(-(((Inputs!$C$6)+5)^2)/(22^2))+18*SIN(2*PI()*(Model_Data!A87)/70))+Inputs!$C$28*EXP(-(((Model_Data!A87)-Inputs!$C$29)^2)/(2*Inputs!$C$31^2))*EXP(-(((Inputs!$C$6)-Inputs!$C$30)^2)/(2*Inputs!$C$32^2))+-Inputs!$C$33*EXP(-(((((Model_Data!A87)-Inputs!$C$34)^2)+(((Inputs!$C$6)-Inputs!$C$35)^2))/(2*Inputs!$C$36^2)))+Inputs!$C$37*(0.55*SIN(2*PI()*(Model_Data!A87)/Inputs!$C$39)+0.35*COS(2*PI()*(Inputs!$C$6)/Inputs!$C$40)+0.2*SIN(2*PI()*((Model_Data!A87)+(Inputs!$C$6))/(0.5*(Inputs!$C$39+Inputs!$C$40))))+Inputs!$C$38*SIN(2*PI()*(Model_Data!A87)/Inputs!$C$39)*SIN(2*PI()*(Inputs!$C$6)/Inputs!$C$40)+-Inputs!$C$41*EXP(-(((Inputs!$C$6)-Inputs!$C$43)^2)/(2*Inputs!$C$44^2))*EXP(-(((Model_Data!A87)-Inputs!$C$42)^2)/(2*Inputs!$C$45^2))+Inputs!$C$48*(0.7*(0.45*SIN(2*PI()*(((Model_Data!A87)/Inputs!$C$49)+Inputs!$C$47*0.137))+0.35*COS(2*PI()*(((Inputs!$C$6)/Inputs!$C$50)+Inputs!$C$47*0.173))+0.2*SIN(2*PI()*(((Model_Data!A87)+(Inputs!$C$6))/(0.5*(Inputs!$C$49+Inputs!$C$50))+Inputs!$C$47*0.097)))+0.3*(2*((SIN(((Model_Data!A87)*12.9898+(Inputs!$C$6)*78.233+Inputs!$C$47*37.719))*43758.5453)-INT((SIN(((Model_Data!A87)*12.9898+(Inputs!$C$6)*78.233+Inputs!$C$47*37.719))*43758.5453)))-1))))/1000)^2))-(((Model_Data!B87)-((Inputs!$C$51*(115*EXP(-(((0)-25)^2)/(4.5^2))+70*EXP(-(((0)+38)^2)/(7^2))*(0.55+0.45*SIN(2*PI()*(Model_Data!A87)/45))+24*SIN(2*PI()*(0)/9+(Model_Data!A87)/18)*EXP(-(((0)+5)^2)/(22^2))+18*SIN(2*PI()*(Model_Data!A87)/70))+Inputs!$C$28*EXP(-(((Model_Data!A87)-Inputs!$C$29)^2)/(2*Inputs!$C$31^2))*EXP(-(((0)-Inputs!$C$30)^2)/(2*Inputs!$C$32^2))+-Inputs!$C$33*EXP(-(((((Model_Data!A87)-Inputs!$C$34)^2)+(((0)-Inputs!$C$35)^2))/(2*Inputs!$C$36^2)))+Inputs!$C$37*(0.55*SIN(2*PI()*(Model_Data!A87)/Inputs!$C$39)+0.35*COS(2*PI()*(0)/Inputs!$C$40)+0.2*SIN(2*PI()*((Model_Data!A87)+(0))/(0.5*(Inputs!$C$39+Inputs!$C$40))))+Inputs!$C$38*SIN(2*PI()*(Model_Data!A87)/Inputs!$C$39)*SIN(2*PI()*(0)/Inputs!$C$40)+-Inputs!$C$41*EXP(-(((0)-Inputs!$C$43)^2)/(2*Inputs!$C$44^2))*EXP(-(((Model_Data!A87)-Inputs!$C$42)^2)/(2*Inputs!$C$45^2))+Inputs!$C$48*(0.7*(0.45*SIN(2*PI()*(((Model_Data!A87)/Inputs!$C$49)+Inputs!$C$47*0.137))+0.35*COS(2*PI()*(((0)/Inputs!$C$50)+Inputs!$C$47*0.173))+0.2*SIN(2*PI()*(((Model_Data!A87)+(0))/(0.5*(Inputs!$C$49+Inputs!$C$50))+Inputs!$C$47*0.097)))+0.3*(2*((SIN(((Model_Data!A87)*12.9898+(0)*78.233+Inputs!$C$47*37.719))*43758.5453)-INT((SIN(((Model_Data!A87)*12.9898+(0)*78.233+Inputs!$C$47*37.719))*43758.5453)))-1))))/1000)))*1000/Inputs!$C$12)</f>
        <v>351.9067925736224</v>
      </c>
      <c r="E87" s="9">
        <f>Model_Data!A87</f>
        <v>-17.5</v>
      </c>
      <c r="F87" s="9">
        <f>(Inputs!$C$51*(115*EXP(-(((Inputs!$C$6)-25)^2)/(4.5^2))+70*EXP(-(((Inputs!$C$6)+38)^2)/(7^2))*(0.55+0.45*SIN(2*PI()*(Model_Data!A87)/45))+24*SIN(2*PI()*(Inputs!$C$6)/9+(Model_Data!A87)/18)*EXP(-(((Inputs!$C$6)+5)^2)/(22^2))+18*SIN(2*PI()*(Model_Data!A87)/70))+Inputs!$C$28*EXP(-(((Model_Data!A87)-Inputs!$C$29)^2)/(2*Inputs!$C$31^2))*EXP(-(((Inputs!$C$6)-Inputs!$C$30)^2)/(2*Inputs!$C$32^2))+-Inputs!$C$33*EXP(-(((((Model_Data!A87)-Inputs!$C$34)^2)+(((Inputs!$C$6)-Inputs!$C$35)^2))/(2*Inputs!$C$36^2)))+Inputs!$C$37*(0.55*SIN(2*PI()*(Model_Data!A87)/Inputs!$C$39)+0.35*COS(2*PI()*(Inputs!$C$6)/Inputs!$C$40)+0.2*SIN(2*PI()*((Model_Data!A87)+(Inputs!$C$6))/(0.5*(Inputs!$C$39+Inputs!$C$40))))+Inputs!$C$38*SIN(2*PI()*(Model_Data!A87)/Inputs!$C$39)*SIN(2*PI()*(Inputs!$C$6)/Inputs!$C$40)+-Inputs!$C$41*EXP(-(((Inputs!$C$6)-Inputs!$C$43)^2)/(2*Inputs!$C$44^2))*EXP(-(((Model_Data!A87)-Inputs!$C$42)^2)/(2*Inputs!$C$45^2))+Inputs!$C$48*(0.7*(0.45*SIN(2*PI()*(((Model_Data!A87)/Inputs!$C$49)+Inputs!$C$47*0.137))+0.35*COS(2*PI()*(((Inputs!$C$6)/Inputs!$C$50)+Inputs!$C$47*0.173))+0.2*SIN(2*PI()*(((Model_Data!A87)+(Inputs!$C$6))/(0.5*(Inputs!$C$49+Inputs!$C$50))+Inputs!$C$47*0.097)))+0.3*(2*((SIN(((Model_Data!A87)*12.9898+(Inputs!$C$6)*78.233+Inputs!$C$47*37.719))*43758.5453)-INT((SIN(((Model_Data!A87)*12.9898+(Inputs!$C$6)*78.233+Inputs!$C$47*37.719))*43758.5453)))-1)))</f>
        <v>397.07097057156574</v>
      </c>
      <c r="G87" s="9">
        <f>(Inputs!$C$51*(115*EXP(-(((0)-25)^2)/(4.5^2))+70*EXP(-(((0)+38)^2)/(7^2))*(0.55+0.45*SIN(2*PI()*(Model_Data!A87)/45))+24*SIN(2*PI()*(0)/9+(Model_Data!A87)/18)*EXP(-(((0)+5)^2)/(22^2))+18*SIN(2*PI()*(Model_Data!A87)/70))+Inputs!$C$28*EXP(-(((Model_Data!A87)-Inputs!$C$29)^2)/(2*Inputs!$C$31^2))*EXP(-(((0)-Inputs!$C$30)^2)/(2*Inputs!$C$32^2))+-Inputs!$C$33*EXP(-(((((Model_Data!A87)-Inputs!$C$34)^2)+(((0)-Inputs!$C$35)^2))/(2*Inputs!$C$36^2)))+Inputs!$C$37*(0.55*SIN(2*PI()*(Model_Data!A87)/Inputs!$C$39)+0.35*COS(2*PI()*(0)/Inputs!$C$40)+0.2*SIN(2*PI()*((Model_Data!A87)+(0))/(0.5*(Inputs!$C$39+Inputs!$C$40))))+Inputs!$C$38*SIN(2*PI()*(Model_Data!A87)/Inputs!$C$39)*SIN(2*PI()*(0)/Inputs!$C$40)+-Inputs!$C$41*EXP(-(((0)-Inputs!$C$43)^2)/(2*Inputs!$C$44^2))*EXP(-(((Model_Data!A87)-Inputs!$C$42)^2)/(2*Inputs!$C$45^2))+Inputs!$C$48*(0.7*(0.45*SIN(2*PI()*(((Model_Data!A87)/Inputs!$C$49)+Inputs!$C$47*0.137))+0.35*COS(2*PI()*(((0)/Inputs!$C$50)+Inputs!$C$47*0.173))+0.2*SIN(2*PI()*(((Model_Data!A87)+(0))/(0.5*(Inputs!$C$49+Inputs!$C$50))+Inputs!$C$47*0.097)))+0.3*(2*((SIN(((Model_Data!A87)*12.9898+(0)*78.233+Inputs!$C$47*37.719))*43758.5453)-INT((SIN(((Model_Data!A87)*12.9898+(0)*78.233+Inputs!$C$47*37.719))*43758.5453)))-1)))</f>
        <v>-139.0731304771746</v>
      </c>
      <c r="H87" s="10"/>
      <c r="I87" s="9">
        <f>Model_Data!A87</f>
        <v>-17.5</v>
      </c>
      <c r="J87" s="9">
        <f>(Inputs!$C$51*(115*EXP(-(((Inputs!$C$6)-25)^2)/(4.5^2))+70*EXP(-(((Inputs!$C$6)+38)^2)/(7^2))*(0.55+0.45*SIN(2*PI()*(Model_Data!A87)/45))+24*SIN(2*PI()*(Inputs!$C$6)/9+(Model_Data!A87)/18)*EXP(-(((Inputs!$C$6)+5)^2)/(22^2))+18*SIN(2*PI()*(Model_Data!A87)/70))+Inputs!$C$28*EXP(-(((Model_Data!A87)-Inputs!$C$29)^2)/(2*Inputs!$C$31^2))*EXP(-(((Inputs!$C$6)-Inputs!$C$30)^2)/(2*Inputs!$C$32^2))+-Inputs!$C$33*EXP(-(((((Model_Data!A87)-Inputs!$C$34)^2)+(((Inputs!$C$6)-Inputs!$C$35)^2))/(2*Inputs!$C$36^2)))+Inputs!$C$37*(0.55*SIN(2*PI()*(Model_Data!A87)/Inputs!$C$39)+0.35*COS(2*PI()*(Inputs!$C$6)/Inputs!$C$40)+0.2*SIN(2*PI()*((Model_Data!A87)+(Inputs!$C$6))/(0.5*(Inputs!$C$39+Inputs!$C$40))))+Inputs!$C$38*SIN(2*PI()*(Model_Data!A87)/Inputs!$C$39)*SIN(2*PI()*(Inputs!$C$6)/Inputs!$C$40)+-Inputs!$C$41*EXP(-(((Inputs!$C$6)-Inputs!$C$43)^2)/(2*Inputs!$C$44^2))*EXP(-(((Model_Data!A87)-Inputs!$C$42)^2)/(2*Inputs!$C$45^2))+Inputs!$C$48*(0.7*(0.45*SIN(2*PI()*(((Model_Data!A87)/Inputs!$C$49)+Inputs!$C$47*0.137))+0.35*COS(2*PI()*(((Inputs!$C$6)/Inputs!$C$50)+Inputs!$C$47*0.173))+0.2*SIN(2*PI()*(((Model_Data!A87)+(Inputs!$C$6))/(0.5*(Inputs!$C$49+Inputs!$C$50))+Inputs!$C$47*0.097)))+0.3*(2*((SIN(((Model_Data!A87)*12.9898+(Inputs!$C$6)*78.233+Inputs!$C$47*37.719))*43758.5453)-INT((SIN(((Model_Data!A87)*12.9898+(Inputs!$C$6)*78.233+Inputs!$C$47*37.719))*43758.5453)))-1)))</f>
        <v>397.07097057156574</v>
      </c>
      <c r="K87" s="9">
        <f>-((((SQRT((Model_Data!A87)^2+Inputs!$C$6^2+((Model_Data!B87)-((Inputs!$C$51*(115*EXP(-(((Inputs!$C$6)-25)^2)/(4.5^2))+70*EXP(-(((Inputs!$C$6)+38)^2)/(7^2))*(0.55+0.45*SIN(2*PI()*(Model_Data!A87)/45))+24*SIN(2*PI()*(Inputs!$C$6)/9+(Model_Data!A87)/18)*EXP(-(((Inputs!$C$6)+5)^2)/(22^2))+18*SIN(2*PI()*(Model_Data!A87)/70))+Inputs!$C$28*EXP(-(((Model_Data!A87)-Inputs!$C$29)^2)/(2*Inputs!$C$31^2))*EXP(-(((Inputs!$C$6)-Inputs!$C$30)^2)/(2*Inputs!$C$32^2))+-Inputs!$C$33*EXP(-(((((Model_Data!A87)-Inputs!$C$34)^2)+(((Inputs!$C$6)-Inputs!$C$35)^2))/(2*Inputs!$C$36^2)))+Inputs!$C$37*(0.55*SIN(2*PI()*(Model_Data!A87)/Inputs!$C$39)+0.35*COS(2*PI()*(Inputs!$C$6)/Inputs!$C$40)+0.2*SIN(2*PI()*((Model_Data!A87)+(Inputs!$C$6))/(0.5*(Inputs!$C$39+Inputs!$C$40))))+Inputs!$C$38*SIN(2*PI()*(Model_Data!A87)/Inputs!$C$39)*SIN(2*PI()*(Inputs!$C$6)/Inputs!$C$40)+-Inputs!$C$41*EXP(-(((Inputs!$C$6)-Inputs!$C$43)^2)/(2*Inputs!$C$44^2))*EXP(-(((Model_Data!A87)-Inputs!$C$42)^2)/(2*Inputs!$C$45^2))+Inputs!$C$48*(0.7*(0.45*SIN(2*PI()*(((Model_Data!A87)/Inputs!$C$49)+Inputs!$C$47*0.137))+0.35*COS(2*PI()*(((Inputs!$C$6)/Inputs!$C$50)+Inputs!$C$47*0.173))+0.2*SIN(2*PI()*(((Model_Data!A87)+(Inputs!$C$6))/(0.5*(Inputs!$C$49+Inputs!$C$50))+Inputs!$C$47*0.097)))+0.3*(2*((SIN(((Model_Data!A87)*12.9898+(Inputs!$C$6)*78.233+Inputs!$C$47*37.719))*43758.5453)-INT((SIN(((Model_Data!A87)*12.9898+(Inputs!$C$6)*78.233+Inputs!$C$47*37.719))*43758.5453)))-1))))/1000)^2))-(((Model_Data!B87)-((Inputs!$C$51*(115*EXP(-(((0)-25)^2)/(4.5^2))+70*EXP(-(((0)+38)^2)/(7^2))*(0.55+0.45*SIN(2*PI()*(Model_Data!A87)/45))+24*SIN(2*PI()*(0)/9+(Model_Data!A87)/18)*EXP(-(((0)+5)^2)/(22^2))+18*SIN(2*PI()*(Model_Data!A87)/70))+Inputs!$C$28*EXP(-(((Model_Data!A87)-Inputs!$C$29)^2)/(2*Inputs!$C$31^2))*EXP(-(((0)-Inputs!$C$30)^2)/(2*Inputs!$C$32^2))+-Inputs!$C$33*EXP(-(((((Model_Data!A87)-Inputs!$C$34)^2)+(((0)-Inputs!$C$35)^2))/(2*Inputs!$C$36^2)))+Inputs!$C$37*(0.55*SIN(2*PI()*(Model_Data!A87)/Inputs!$C$39)+0.35*COS(2*PI()*(0)/Inputs!$C$40)+0.2*SIN(2*PI()*((Model_Data!A87)+(0))/(0.5*(Inputs!$C$39+Inputs!$C$40))))+Inputs!$C$38*SIN(2*PI()*(Model_Data!A87)/Inputs!$C$39)*SIN(2*PI()*(0)/Inputs!$C$40)+-Inputs!$C$41*EXP(-(((0)-Inputs!$C$43)^2)/(2*Inputs!$C$44^2))*EXP(-(((Model_Data!A87)-Inputs!$C$42)^2)/(2*Inputs!$C$45^2))+Inputs!$C$48*(0.7*(0.45*SIN(2*PI()*(((Model_Data!A87)/Inputs!$C$49)+Inputs!$C$47*0.137))+0.35*COS(2*PI()*(((0)/Inputs!$C$50)+Inputs!$C$47*0.173))+0.2*SIN(2*PI()*(((Model_Data!A87)+(0))/(0.5*(Inputs!$C$49+Inputs!$C$50))+Inputs!$C$47*0.097)))+0.3*(2*((SIN(((Model_Data!A87)*12.9898+(0)*78.233+Inputs!$C$47*37.719))*43758.5453)-INT((SIN(((Model_Data!A87)*12.9898+(0)*78.233+Inputs!$C$47*37.719))*43758.5453)))-1))))/1000)))*1000/Inputs!$C$12)-Model_Data!F87)</f>
        <v>300.55864801874645</v>
      </c>
      <c r="L87" s="10"/>
      <c r="M87" s="9">
        <f>Model_Data!A87</f>
        <v>-17.5</v>
      </c>
      <c r="N87" s="9">
        <f>Model_Data!P87</f>
        <v>131.78042876132014</v>
      </c>
      <c r="O87" s="9">
        <f t="shared" si="2"/>
        <v>114.85803941759514</v>
      </c>
      <c r="P87" s="9">
        <f>Model_Data!Q87</f>
        <v>19.786851165363387</v>
      </c>
      <c r="Q87" s="9">
        <f t="shared" si="3"/>
        <v>17.245951864503777</v>
      </c>
      <c r="R87" s="10"/>
      <c r="S87" s="9">
        <f>Model_Data!A87</f>
        <v>-17.5</v>
      </c>
      <c r="T87" s="9">
        <f>Model_Data!B87-Inputs!$C$5</f>
        <v>0.34027777777777146</v>
      </c>
      <c r="U87" s="10"/>
      <c r="V87" s="9">
        <f>Model_Data!A87</f>
        <v>-17.5</v>
      </c>
      <c r="W87" s="9">
        <f>((SQRT((Model_Data!A87)^2+Inputs!$C$6^2+Inputs!$C$5^2)-Inputs!$C$5)*1000/Inputs!$C$12)</f>
        <v>653.01888173594125</v>
      </c>
      <c r="X87" s="9">
        <f>Model_Data!F87</f>
        <v>652.46544059236885</v>
      </c>
      <c r="Y87" s="10"/>
      <c r="Z87" s="9">
        <f>Model_Data!A87</f>
        <v>-17.5</v>
      </c>
      <c r="AA87" s="9">
        <f>SQRT((Model_Data!A87)^2+Inputs!$C$6^2+((Model_Data!B87)-((Inputs!$C$51*(115*EXP(-(((Inputs!$C$6)-25)^2)/(4.5^2))+70*EXP(-(((Inputs!$C$6)+38)^2)/(7^2))*(0.55+0.45*SIN(2*PI()*(Model_Data!A87)/45))+24*SIN(2*PI()*(Inputs!$C$6)/9+(Model_Data!A87)/18)*EXP(-(((Inputs!$C$6)+5)^2)/(22^2))+18*SIN(2*PI()*(Model_Data!A87)/70))+Inputs!$C$28*EXP(-(((Model_Data!A87)-Inputs!$C$29)^2)/(2*Inputs!$C$31^2))*EXP(-(((Inputs!$C$6)-Inputs!$C$30)^2)/(2*Inputs!$C$32^2))+-Inputs!$C$33*EXP(-(((((Model_Data!A87)-Inputs!$C$34)^2)+(((Inputs!$C$6)-Inputs!$C$35)^2))/(2*Inputs!$C$36^2)))+Inputs!$C$37*(0.55*SIN(2*PI()*(Model_Data!A87)/Inputs!$C$39)+0.35*COS(2*PI()*(Inputs!$C$6)/Inputs!$C$40)+0.2*SIN(2*PI()*((Model_Data!A87)+(Inputs!$C$6))/(0.5*(Inputs!$C$39+Inputs!$C$40))))+Inputs!$C$38*SIN(2*PI()*(Model_Data!A87)/Inputs!$C$39)*SIN(2*PI()*(Inputs!$C$6)/Inputs!$C$40)+-Inputs!$C$41*EXP(-(((Inputs!$C$6)-Inputs!$C$43)^2)/(2*Inputs!$C$44^2))*EXP(-(((Model_Data!A87)-Inputs!$C$42)^2)/(2*Inputs!$C$45^2))+Inputs!$C$48*(0.7*(0.45*SIN(2*PI()*(((Model_Data!A87)/Inputs!$C$49)+Inputs!$C$47*0.137))+0.35*COS(2*PI()*(((Inputs!$C$6)/Inputs!$C$50)+Inputs!$C$47*0.173))+0.2*SIN(2*PI()*(((Model_Data!A87)+(Inputs!$C$6))/(0.5*(Inputs!$C$49+Inputs!$C$50))+Inputs!$C$47*0.097)))+0.3*(2*((SIN(((Model_Data!A87)*12.9898+(Inputs!$C$6)*78.233+Inputs!$C$47*37.719))*43758.5453)-INT((SIN(((Model_Data!A87)*12.9898+(Inputs!$C$6)*78.233+Inputs!$C$47*37.719))*43758.5453)))-1))))/1000)^2)</f>
        <v>401.10574499903601</v>
      </c>
      <c r="AB87" s="9">
        <f>1000*(AA88-AA86)/(Z88-Z86)*Inputs!$C$11</f>
        <v>-287.14509854398784</v>
      </c>
      <c r="AC87" s="9">
        <f>-2*AB87/Inputs!$C$13</f>
        <v>114.85803941759514</v>
      </c>
      <c r="AD87" s="9">
        <f>-2*AB87/Inputs!$C$14</f>
        <v>17.245951864503777</v>
      </c>
    </row>
    <row r="88" spans="1:30">
      <c r="A88" s="9">
        <f>Model_Data!A88</f>
        <v>-17</v>
      </c>
      <c r="B88" s="9">
        <f>((SQRT((Model_Data!A88)^2+Inputs!$C$6^2+Inputs!$C$5^2)-Inputs!$C$5)*1000/Inputs!$C$12)</f>
        <v>640.93989380115784</v>
      </c>
      <c r="C88" s="9">
        <f>Model_Data!F88</f>
        <v>640.42723466155655</v>
      </c>
      <c r="D88" s="9">
        <f>(((SQRT((Model_Data!A88)^2+Inputs!$C$6^2+((Model_Data!B88)-((Inputs!$C$51*(115*EXP(-(((Inputs!$C$6)-25)^2)/(4.5^2))+70*EXP(-(((Inputs!$C$6)+38)^2)/(7^2))*(0.55+0.45*SIN(2*PI()*(Model_Data!A88)/45))+24*SIN(2*PI()*(Inputs!$C$6)/9+(Model_Data!A88)/18)*EXP(-(((Inputs!$C$6)+5)^2)/(22^2))+18*SIN(2*PI()*(Model_Data!A88)/70))+Inputs!$C$28*EXP(-(((Model_Data!A88)-Inputs!$C$29)^2)/(2*Inputs!$C$31^2))*EXP(-(((Inputs!$C$6)-Inputs!$C$30)^2)/(2*Inputs!$C$32^2))+-Inputs!$C$33*EXP(-(((((Model_Data!A88)-Inputs!$C$34)^2)+(((Inputs!$C$6)-Inputs!$C$35)^2))/(2*Inputs!$C$36^2)))+Inputs!$C$37*(0.55*SIN(2*PI()*(Model_Data!A88)/Inputs!$C$39)+0.35*COS(2*PI()*(Inputs!$C$6)/Inputs!$C$40)+0.2*SIN(2*PI()*((Model_Data!A88)+(Inputs!$C$6))/(0.5*(Inputs!$C$39+Inputs!$C$40))))+Inputs!$C$38*SIN(2*PI()*(Model_Data!A88)/Inputs!$C$39)*SIN(2*PI()*(Inputs!$C$6)/Inputs!$C$40)+-Inputs!$C$41*EXP(-(((Inputs!$C$6)-Inputs!$C$43)^2)/(2*Inputs!$C$44^2))*EXP(-(((Model_Data!A88)-Inputs!$C$42)^2)/(2*Inputs!$C$45^2))+Inputs!$C$48*(0.7*(0.45*SIN(2*PI()*(((Model_Data!A88)/Inputs!$C$49)+Inputs!$C$47*0.137))+0.35*COS(2*PI()*(((Inputs!$C$6)/Inputs!$C$50)+Inputs!$C$47*0.173))+0.2*SIN(2*PI()*(((Model_Data!A88)+(Inputs!$C$6))/(0.5*(Inputs!$C$49+Inputs!$C$50))+Inputs!$C$47*0.097)))+0.3*(2*((SIN(((Model_Data!A88)*12.9898+(Inputs!$C$6)*78.233+Inputs!$C$47*37.719))*43758.5453)-INT((SIN(((Model_Data!A88)*12.9898+(Inputs!$C$6)*78.233+Inputs!$C$47*37.719))*43758.5453)))-1))))/1000)^2))-(((Model_Data!B88)-((Inputs!$C$51*(115*EXP(-(((0)-25)^2)/(4.5^2))+70*EXP(-(((0)+38)^2)/(7^2))*(0.55+0.45*SIN(2*PI()*(Model_Data!A88)/45))+24*SIN(2*PI()*(0)/9+(Model_Data!A88)/18)*EXP(-(((0)+5)^2)/(22^2))+18*SIN(2*PI()*(Model_Data!A88)/70))+Inputs!$C$28*EXP(-(((Model_Data!A88)-Inputs!$C$29)^2)/(2*Inputs!$C$31^2))*EXP(-(((0)-Inputs!$C$30)^2)/(2*Inputs!$C$32^2))+-Inputs!$C$33*EXP(-(((((Model_Data!A88)-Inputs!$C$34)^2)+(((0)-Inputs!$C$35)^2))/(2*Inputs!$C$36^2)))+Inputs!$C$37*(0.55*SIN(2*PI()*(Model_Data!A88)/Inputs!$C$39)+0.35*COS(2*PI()*(0)/Inputs!$C$40)+0.2*SIN(2*PI()*((Model_Data!A88)+(0))/(0.5*(Inputs!$C$39+Inputs!$C$40))))+Inputs!$C$38*SIN(2*PI()*(Model_Data!A88)/Inputs!$C$39)*SIN(2*PI()*(0)/Inputs!$C$40)+-Inputs!$C$41*EXP(-(((0)-Inputs!$C$43)^2)/(2*Inputs!$C$44^2))*EXP(-(((Model_Data!A88)-Inputs!$C$42)^2)/(2*Inputs!$C$45^2))+Inputs!$C$48*(0.7*(0.45*SIN(2*PI()*(((Model_Data!A88)/Inputs!$C$49)+Inputs!$C$47*0.137))+0.35*COS(2*PI()*(((0)/Inputs!$C$50)+Inputs!$C$47*0.173))+0.2*SIN(2*PI()*(((Model_Data!A88)+(0))/(0.5*(Inputs!$C$49+Inputs!$C$50))+Inputs!$C$47*0.097)))+0.3*(2*((SIN(((Model_Data!A88)*12.9898+(0)*78.233+Inputs!$C$47*37.719))*43758.5453)-INT((SIN(((Model_Data!A88)*12.9898+(0)*78.233+Inputs!$C$47*37.719))*43758.5453)))-1))))/1000)))*1000/Inputs!$C$12)</f>
        <v>356.15874976330042</v>
      </c>
      <c r="E88" s="9">
        <f>Model_Data!A88</f>
        <v>-17</v>
      </c>
      <c r="F88" s="9">
        <f>(Inputs!$C$51*(115*EXP(-(((Inputs!$C$6)-25)^2)/(4.5^2))+70*EXP(-(((Inputs!$C$6)+38)^2)/(7^2))*(0.55+0.45*SIN(2*PI()*(Model_Data!A88)/45))+24*SIN(2*PI()*(Inputs!$C$6)/9+(Model_Data!A88)/18)*EXP(-(((Inputs!$C$6)+5)^2)/(22^2))+18*SIN(2*PI()*(Model_Data!A88)/70))+Inputs!$C$28*EXP(-(((Model_Data!A88)-Inputs!$C$29)^2)/(2*Inputs!$C$31^2))*EXP(-(((Inputs!$C$6)-Inputs!$C$30)^2)/(2*Inputs!$C$32^2))+-Inputs!$C$33*EXP(-(((((Model_Data!A88)-Inputs!$C$34)^2)+(((Inputs!$C$6)-Inputs!$C$35)^2))/(2*Inputs!$C$36^2)))+Inputs!$C$37*(0.55*SIN(2*PI()*(Model_Data!A88)/Inputs!$C$39)+0.35*COS(2*PI()*(Inputs!$C$6)/Inputs!$C$40)+0.2*SIN(2*PI()*((Model_Data!A88)+(Inputs!$C$6))/(0.5*(Inputs!$C$39+Inputs!$C$40))))+Inputs!$C$38*SIN(2*PI()*(Model_Data!A88)/Inputs!$C$39)*SIN(2*PI()*(Inputs!$C$6)/Inputs!$C$40)+-Inputs!$C$41*EXP(-(((Inputs!$C$6)-Inputs!$C$43)^2)/(2*Inputs!$C$44^2))*EXP(-(((Model_Data!A88)-Inputs!$C$42)^2)/(2*Inputs!$C$45^2))+Inputs!$C$48*(0.7*(0.45*SIN(2*PI()*(((Model_Data!A88)/Inputs!$C$49)+Inputs!$C$47*0.137))+0.35*COS(2*PI()*(((Inputs!$C$6)/Inputs!$C$50)+Inputs!$C$47*0.173))+0.2*SIN(2*PI()*(((Model_Data!A88)+(Inputs!$C$6))/(0.5*(Inputs!$C$49+Inputs!$C$50))+Inputs!$C$47*0.097)))+0.3*(2*((SIN(((Model_Data!A88)*12.9898+(Inputs!$C$6)*78.233+Inputs!$C$47*37.719))*43758.5453)-INT((SIN(((Model_Data!A88)*12.9898+(Inputs!$C$6)*78.233+Inputs!$C$47*37.719))*43758.5453)))-1)))</f>
        <v>381.37310246850825</v>
      </c>
      <c r="G88" s="9">
        <f>(Inputs!$C$51*(115*EXP(-(((0)-25)^2)/(4.5^2))+70*EXP(-(((0)+38)^2)/(7^2))*(0.55+0.45*SIN(2*PI()*(Model_Data!A88)/45))+24*SIN(2*PI()*(0)/9+(Model_Data!A88)/18)*EXP(-(((0)+5)^2)/(22^2))+18*SIN(2*PI()*(Model_Data!A88)/70))+Inputs!$C$28*EXP(-(((Model_Data!A88)-Inputs!$C$29)^2)/(2*Inputs!$C$31^2))*EXP(-(((0)-Inputs!$C$30)^2)/(2*Inputs!$C$32^2))+-Inputs!$C$33*EXP(-(((((Model_Data!A88)-Inputs!$C$34)^2)+(((0)-Inputs!$C$35)^2))/(2*Inputs!$C$36^2)))+Inputs!$C$37*(0.55*SIN(2*PI()*(Model_Data!A88)/Inputs!$C$39)+0.35*COS(2*PI()*(0)/Inputs!$C$40)+0.2*SIN(2*PI()*((Model_Data!A88)+(0))/(0.5*(Inputs!$C$39+Inputs!$C$40))))+Inputs!$C$38*SIN(2*PI()*(Model_Data!A88)/Inputs!$C$39)*SIN(2*PI()*(0)/Inputs!$C$40)+-Inputs!$C$41*EXP(-(((0)-Inputs!$C$43)^2)/(2*Inputs!$C$44^2))*EXP(-(((Model_Data!A88)-Inputs!$C$42)^2)/(2*Inputs!$C$45^2))+Inputs!$C$48*(0.7*(0.45*SIN(2*PI()*(((Model_Data!A88)/Inputs!$C$49)+Inputs!$C$47*0.137))+0.35*COS(2*PI()*(((0)/Inputs!$C$50)+Inputs!$C$47*0.173))+0.2*SIN(2*PI()*(((Model_Data!A88)+(0))/(0.5*(Inputs!$C$49+Inputs!$C$50))+Inputs!$C$47*0.097)))+0.3*(2*((SIN(((Model_Data!A88)*12.9898+(0)*78.233+Inputs!$C$47*37.719))*43758.5453)-INT((SIN(((Model_Data!A88)*12.9898+(0)*78.233+Inputs!$C$47*37.719))*43758.5453)))-1)))</f>
        <v>-125.70874899839603</v>
      </c>
      <c r="H88" s="10"/>
      <c r="I88" s="9">
        <f>Model_Data!A88</f>
        <v>-17</v>
      </c>
      <c r="J88" s="9">
        <f>(Inputs!$C$51*(115*EXP(-(((Inputs!$C$6)-25)^2)/(4.5^2))+70*EXP(-(((Inputs!$C$6)+38)^2)/(7^2))*(0.55+0.45*SIN(2*PI()*(Model_Data!A88)/45))+24*SIN(2*PI()*(Inputs!$C$6)/9+(Model_Data!A88)/18)*EXP(-(((Inputs!$C$6)+5)^2)/(22^2))+18*SIN(2*PI()*(Model_Data!A88)/70))+Inputs!$C$28*EXP(-(((Model_Data!A88)-Inputs!$C$29)^2)/(2*Inputs!$C$31^2))*EXP(-(((Inputs!$C$6)-Inputs!$C$30)^2)/(2*Inputs!$C$32^2))+-Inputs!$C$33*EXP(-(((((Model_Data!A88)-Inputs!$C$34)^2)+(((Inputs!$C$6)-Inputs!$C$35)^2))/(2*Inputs!$C$36^2)))+Inputs!$C$37*(0.55*SIN(2*PI()*(Model_Data!A88)/Inputs!$C$39)+0.35*COS(2*PI()*(Inputs!$C$6)/Inputs!$C$40)+0.2*SIN(2*PI()*((Model_Data!A88)+(Inputs!$C$6))/(0.5*(Inputs!$C$39+Inputs!$C$40))))+Inputs!$C$38*SIN(2*PI()*(Model_Data!A88)/Inputs!$C$39)*SIN(2*PI()*(Inputs!$C$6)/Inputs!$C$40)+-Inputs!$C$41*EXP(-(((Inputs!$C$6)-Inputs!$C$43)^2)/(2*Inputs!$C$44^2))*EXP(-(((Model_Data!A88)-Inputs!$C$42)^2)/(2*Inputs!$C$45^2))+Inputs!$C$48*(0.7*(0.45*SIN(2*PI()*(((Model_Data!A88)/Inputs!$C$49)+Inputs!$C$47*0.137))+0.35*COS(2*PI()*(((Inputs!$C$6)/Inputs!$C$50)+Inputs!$C$47*0.173))+0.2*SIN(2*PI()*(((Model_Data!A88)+(Inputs!$C$6))/(0.5*(Inputs!$C$49+Inputs!$C$50))+Inputs!$C$47*0.097)))+0.3*(2*((SIN(((Model_Data!A88)*12.9898+(Inputs!$C$6)*78.233+Inputs!$C$47*37.719))*43758.5453)-INT((SIN(((Model_Data!A88)*12.9898+(Inputs!$C$6)*78.233+Inputs!$C$47*37.719))*43758.5453)))-1)))</f>
        <v>381.37310246850825</v>
      </c>
      <c r="K88" s="9">
        <f>-((((SQRT((Model_Data!A88)^2+Inputs!$C$6^2+((Model_Data!B88)-((Inputs!$C$51*(115*EXP(-(((Inputs!$C$6)-25)^2)/(4.5^2))+70*EXP(-(((Inputs!$C$6)+38)^2)/(7^2))*(0.55+0.45*SIN(2*PI()*(Model_Data!A88)/45))+24*SIN(2*PI()*(Inputs!$C$6)/9+(Model_Data!A88)/18)*EXP(-(((Inputs!$C$6)+5)^2)/(22^2))+18*SIN(2*PI()*(Model_Data!A88)/70))+Inputs!$C$28*EXP(-(((Model_Data!A88)-Inputs!$C$29)^2)/(2*Inputs!$C$31^2))*EXP(-(((Inputs!$C$6)-Inputs!$C$30)^2)/(2*Inputs!$C$32^2))+-Inputs!$C$33*EXP(-(((((Model_Data!A88)-Inputs!$C$34)^2)+(((Inputs!$C$6)-Inputs!$C$35)^2))/(2*Inputs!$C$36^2)))+Inputs!$C$37*(0.55*SIN(2*PI()*(Model_Data!A88)/Inputs!$C$39)+0.35*COS(2*PI()*(Inputs!$C$6)/Inputs!$C$40)+0.2*SIN(2*PI()*((Model_Data!A88)+(Inputs!$C$6))/(0.5*(Inputs!$C$39+Inputs!$C$40))))+Inputs!$C$38*SIN(2*PI()*(Model_Data!A88)/Inputs!$C$39)*SIN(2*PI()*(Inputs!$C$6)/Inputs!$C$40)+-Inputs!$C$41*EXP(-(((Inputs!$C$6)-Inputs!$C$43)^2)/(2*Inputs!$C$44^2))*EXP(-(((Model_Data!A88)-Inputs!$C$42)^2)/(2*Inputs!$C$45^2))+Inputs!$C$48*(0.7*(0.45*SIN(2*PI()*(((Model_Data!A88)/Inputs!$C$49)+Inputs!$C$47*0.137))+0.35*COS(2*PI()*(((Inputs!$C$6)/Inputs!$C$50)+Inputs!$C$47*0.173))+0.2*SIN(2*PI()*(((Model_Data!A88)+(Inputs!$C$6))/(0.5*(Inputs!$C$49+Inputs!$C$50))+Inputs!$C$47*0.097)))+0.3*(2*((SIN(((Model_Data!A88)*12.9898+(Inputs!$C$6)*78.233+Inputs!$C$47*37.719))*43758.5453)-INT((SIN(((Model_Data!A88)*12.9898+(Inputs!$C$6)*78.233+Inputs!$C$47*37.719))*43758.5453)))-1))))/1000)^2))-(((Model_Data!B88)-((Inputs!$C$51*(115*EXP(-(((0)-25)^2)/(4.5^2))+70*EXP(-(((0)+38)^2)/(7^2))*(0.55+0.45*SIN(2*PI()*(Model_Data!A88)/45))+24*SIN(2*PI()*(0)/9+(Model_Data!A88)/18)*EXP(-(((0)+5)^2)/(22^2))+18*SIN(2*PI()*(Model_Data!A88)/70))+Inputs!$C$28*EXP(-(((Model_Data!A88)-Inputs!$C$29)^2)/(2*Inputs!$C$31^2))*EXP(-(((0)-Inputs!$C$30)^2)/(2*Inputs!$C$32^2))+-Inputs!$C$33*EXP(-(((((Model_Data!A88)-Inputs!$C$34)^2)+(((0)-Inputs!$C$35)^2))/(2*Inputs!$C$36^2)))+Inputs!$C$37*(0.55*SIN(2*PI()*(Model_Data!A88)/Inputs!$C$39)+0.35*COS(2*PI()*(0)/Inputs!$C$40)+0.2*SIN(2*PI()*((Model_Data!A88)+(0))/(0.5*(Inputs!$C$39+Inputs!$C$40))))+Inputs!$C$38*SIN(2*PI()*(Model_Data!A88)/Inputs!$C$39)*SIN(2*PI()*(0)/Inputs!$C$40)+-Inputs!$C$41*EXP(-(((0)-Inputs!$C$43)^2)/(2*Inputs!$C$44^2))*EXP(-(((Model_Data!A88)-Inputs!$C$42)^2)/(2*Inputs!$C$45^2))+Inputs!$C$48*(0.7*(0.45*SIN(2*PI()*(((Model_Data!A88)/Inputs!$C$49)+Inputs!$C$47*0.137))+0.35*COS(2*PI()*(((0)/Inputs!$C$50)+Inputs!$C$47*0.173))+0.2*SIN(2*PI()*(((Model_Data!A88)+(0))/(0.5*(Inputs!$C$49+Inputs!$C$50))+Inputs!$C$47*0.097)))+0.3*(2*((SIN(((Model_Data!A88)*12.9898+(0)*78.233+Inputs!$C$47*37.719))*43758.5453)-INT((SIN(((Model_Data!A88)*12.9898+(0)*78.233+Inputs!$C$47*37.719))*43758.5453)))-1))))/1000)))*1000/Inputs!$C$12)-Model_Data!F88)</f>
        <v>284.26848489825613</v>
      </c>
      <c r="L88" s="10"/>
      <c r="M88" s="9">
        <f>Model_Data!A88</f>
        <v>-17</v>
      </c>
      <c r="N88" s="9">
        <f>Model_Data!P88</f>
        <v>128.02533246146646</v>
      </c>
      <c r="O88" s="9">
        <f t="shared" si="2"/>
        <v>112.25152310571502</v>
      </c>
      <c r="P88" s="9">
        <f>Model_Data!Q88</f>
        <v>19.223022892112084</v>
      </c>
      <c r="Q88" s="9">
        <f t="shared" si="3"/>
        <v>16.854583048906161</v>
      </c>
      <c r="R88" s="10"/>
      <c r="S88" s="9">
        <f>Model_Data!A88</f>
        <v>-17</v>
      </c>
      <c r="T88" s="9">
        <f>Model_Data!B88-Inputs!$C$5</f>
        <v>0.32111111111112223</v>
      </c>
      <c r="U88" s="10"/>
      <c r="V88" s="9">
        <f>Model_Data!A88</f>
        <v>-17</v>
      </c>
      <c r="W88" s="9">
        <f>((SQRT((Model_Data!A88)^2+Inputs!$C$6^2+Inputs!$C$5^2)-Inputs!$C$5)*1000/Inputs!$C$12)</f>
        <v>640.93989380115784</v>
      </c>
      <c r="X88" s="9">
        <f>Model_Data!F88</f>
        <v>640.42723466155655</v>
      </c>
      <c r="Y88" s="10"/>
      <c r="Z88" s="9">
        <f>Model_Data!A88</f>
        <v>-17</v>
      </c>
      <c r="AA88" s="9">
        <f>SQRT((Model_Data!A88)^2+Inputs!$C$6^2+((Model_Data!B88)-((Inputs!$C$51*(115*EXP(-(((Inputs!$C$6)-25)^2)/(4.5^2))+70*EXP(-(((Inputs!$C$6)+38)^2)/(7^2))*(0.55+0.45*SIN(2*PI()*(Model_Data!A88)/45))+24*SIN(2*PI()*(Inputs!$C$6)/9+(Model_Data!A88)/18)*EXP(-(((Inputs!$C$6)+5)^2)/(22^2))+18*SIN(2*PI()*(Model_Data!A88)/70))+Inputs!$C$28*EXP(-(((Model_Data!A88)-Inputs!$C$29)^2)/(2*Inputs!$C$31^2))*EXP(-(((Inputs!$C$6)-Inputs!$C$30)^2)/(2*Inputs!$C$32^2))+-Inputs!$C$33*EXP(-(((((Model_Data!A88)-Inputs!$C$34)^2)+(((Inputs!$C$6)-Inputs!$C$35)^2))/(2*Inputs!$C$36^2)))+Inputs!$C$37*(0.55*SIN(2*PI()*(Model_Data!A88)/Inputs!$C$39)+0.35*COS(2*PI()*(Inputs!$C$6)/Inputs!$C$40)+0.2*SIN(2*PI()*((Model_Data!A88)+(Inputs!$C$6))/(0.5*(Inputs!$C$39+Inputs!$C$40))))+Inputs!$C$38*SIN(2*PI()*(Model_Data!A88)/Inputs!$C$39)*SIN(2*PI()*(Inputs!$C$6)/Inputs!$C$40)+-Inputs!$C$41*EXP(-(((Inputs!$C$6)-Inputs!$C$43)^2)/(2*Inputs!$C$44^2))*EXP(-(((Model_Data!A88)-Inputs!$C$42)^2)/(2*Inputs!$C$45^2))+Inputs!$C$48*(0.7*(0.45*SIN(2*PI()*(((Model_Data!A88)/Inputs!$C$49)+Inputs!$C$47*0.137))+0.35*COS(2*PI()*(((Inputs!$C$6)/Inputs!$C$50)+Inputs!$C$47*0.173))+0.2*SIN(2*PI()*(((Model_Data!A88)+(Inputs!$C$6))/(0.5*(Inputs!$C$49+Inputs!$C$50))+Inputs!$C$47*0.097)))+0.3*(2*((SIN(((Model_Data!A88)*12.9898+(Inputs!$C$6)*78.233+Inputs!$C$47*37.719))*43758.5453)-INT((SIN(((Model_Data!A88)*12.9898+(Inputs!$C$6)*78.233+Inputs!$C$47*37.719))*43758.5453)))-1))))/1000)^2)</f>
        <v>401.08078243468822</v>
      </c>
      <c r="AB88" s="9">
        <f>1000*(AA89-AA87)/(Z89-Z87)*Inputs!$C$11</f>
        <v>-280.62880776428756</v>
      </c>
      <c r="AC88" s="9">
        <f>-2*AB88/Inputs!$C$13</f>
        <v>112.25152310571502</v>
      </c>
      <c r="AD88" s="9">
        <f>-2*AB88/Inputs!$C$14</f>
        <v>16.854583048906161</v>
      </c>
    </row>
    <row r="89" spans="1:30">
      <c r="A89" s="9">
        <f>Model_Data!A89</f>
        <v>-16.5</v>
      </c>
      <c r="B89" s="9">
        <f>((SQRT((Model_Data!A89)^2+Inputs!$C$6^2+Inputs!$C$5^2)-Inputs!$C$5)*1000/Inputs!$C$12)</f>
        <v>629.21040188592701</v>
      </c>
      <c r="C89" s="9">
        <f>Model_Data!F89</f>
        <v>628.73624722527984</v>
      </c>
      <c r="D89" s="9">
        <f>(((SQRT((Model_Data!A89)^2+Inputs!$C$6^2+((Model_Data!B89)-((Inputs!$C$51*(115*EXP(-(((Inputs!$C$6)-25)^2)/(4.5^2))+70*EXP(-(((Inputs!$C$6)+38)^2)/(7^2))*(0.55+0.45*SIN(2*PI()*(Model_Data!A89)/45))+24*SIN(2*PI()*(Inputs!$C$6)/9+(Model_Data!A89)/18)*EXP(-(((Inputs!$C$6)+5)^2)/(22^2))+18*SIN(2*PI()*(Model_Data!A89)/70))+Inputs!$C$28*EXP(-(((Model_Data!A89)-Inputs!$C$29)^2)/(2*Inputs!$C$31^2))*EXP(-(((Inputs!$C$6)-Inputs!$C$30)^2)/(2*Inputs!$C$32^2))+-Inputs!$C$33*EXP(-(((((Model_Data!A89)-Inputs!$C$34)^2)+(((Inputs!$C$6)-Inputs!$C$35)^2))/(2*Inputs!$C$36^2)))+Inputs!$C$37*(0.55*SIN(2*PI()*(Model_Data!A89)/Inputs!$C$39)+0.35*COS(2*PI()*(Inputs!$C$6)/Inputs!$C$40)+0.2*SIN(2*PI()*((Model_Data!A89)+(Inputs!$C$6))/(0.5*(Inputs!$C$39+Inputs!$C$40))))+Inputs!$C$38*SIN(2*PI()*(Model_Data!A89)/Inputs!$C$39)*SIN(2*PI()*(Inputs!$C$6)/Inputs!$C$40)+-Inputs!$C$41*EXP(-(((Inputs!$C$6)-Inputs!$C$43)^2)/(2*Inputs!$C$44^2))*EXP(-(((Model_Data!A89)-Inputs!$C$42)^2)/(2*Inputs!$C$45^2))+Inputs!$C$48*(0.7*(0.45*SIN(2*PI()*(((Model_Data!A89)/Inputs!$C$49)+Inputs!$C$47*0.137))+0.35*COS(2*PI()*(((Inputs!$C$6)/Inputs!$C$50)+Inputs!$C$47*0.173))+0.2*SIN(2*PI()*(((Model_Data!A89)+(Inputs!$C$6))/(0.5*(Inputs!$C$49+Inputs!$C$50))+Inputs!$C$47*0.097)))+0.3*(2*((SIN(((Model_Data!A89)*12.9898+(Inputs!$C$6)*78.233+Inputs!$C$47*37.719))*43758.5453)-INT((SIN(((Model_Data!A89)*12.9898+(Inputs!$C$6)*78.233+Inputs!$C$47*37.719))*43758.5453)))-1))))/1000)^2))-(((Model_Data!B89)-((Inputs!$C$51*(115*EXP(-(((0)-25)^2)/(4.5^2))+70*EXP(-(((0)+38)^2)/(7^2))*(0.55+0.45*SIN(2*PI()*(Model_Data!A89)/45))+24*SIN(2*PI()*(0)/9+(Model_Data!A89)/18)*EXP(-(((0)+5)^2)/(22^2))+18*SIN(2*PI()*(Model_Data!A89)/70))+Inputs!$C$28*EXP(-(((Model_Data!A89)-Inputs!$C$29)^2)/(2*Inputs!$C$31^2))*EXP(-(((0)-Inputs!$C$30)^2)/(2*Inputs!$C$32^2))+-Inputs!$C$33*EXP(-(((((Model_Data!A89)-Inputs!$C$34)^2)+(((0)-Inputs!$C$35)^2))/(2*Inputs!$C$36^2)))+Inputs!$C$37*(0.55*SIN(2*PI()*(Model_Data!A89)/Inputs!$C$39)+0.35*COS(2*PI()*(0)/Inputs!$C$40)+0.2*SIN(2*PI()*((Model_Data!A89)+(0))/(0.5*(Inputs!$C$39+Inputs!$C$40))))+Inputs!$C$38*SIN(2*PI()*(Model_Data!A89)/Inputs!$C$39)*SIN(2*PI()*(0)/Inputs!$C$40)+-Inputs!$C$41*EXP(-(((0)-Inputs!$C$43)^2)/(2*Inputs!$C$44^2))*EXP(-(((Model_Data!A89)-Inputs!$C$42)^2)/(2*Inputs!$C$45^2))+Inputs!$C$48*(0.7*(0.45*SIN(2*PI()*(((Model_Data!A89)/Inputs!$C$49)+Inputs!$C$47*0.137))+0.35*COS(2*PI()*(((0)/Inputs!$C$50)+Inputs!$C$47*0.173))+0.2*SIN(2*PI()*(((Model_Data!A89)+(0))/(0.5*(Inputs!$C$49+Inputs!$C$50))+Inputs!$C$47*0.097)))+0.3*(2*((SIN(((Model_Data!A89)*12.9898+(0)*78.233+Inputs!$C$47*37.719))*43758.5453)-INT((SIN(((Model_Data!A89)*12.9898+(0)*78.233+Inputs!$C$47*37.719))*43758.5453)))-1))))/1000)))*1000/Inputs!$C$12)</f>
        <v>342.25796827109826</v>
      </c>
      <c r="E89" s="9">
        <f>Model_Data!A89</f>
        <v>-16.5</v>
      </c>
      <c r="F89" s="9">
        <f>(Inputs!$C$51*(115*EXP(-(((Inputs!$C$6)-25)^2)/(4.5^2))+70*EXP(-(((Inputs!$C$6)+38)^2)/(7^2))*(0.55+0.45*SIN(2*PI()*(Model_Data!A89)/45))+24*SIN(2*PI()*(Inputs!$C$6)/9+(Model_Data!A89)/18)*EXP(-(((Inputs!$C$6)+5)^2)/(22^2))+18*SIN(2*PI()*(Model_Data!A89)/70))+Inputs!$C$28*EXP(-(((Model_Data!A89)-Inputs!$C$29)^2)/(2*Inputs!$C$31^2))*EXP(-(((Inputs!$C$6)-Inputs!$C$30)^2)/(2*Inputs!$C$32^2))+-Inputs!$C$33*EXP(-(((((Model_Data!A89)-Inputs!$C$34)^2)+(((Inputs!$C$6)-Inputs!$C$35)^2))/(2*Inputs!$C$36^2)))+Inputs!$C$37*(0.55*SIN(2*PI()*(Model_Data!A89)/Inputs!$C$39)+0.35*COS(2*PI()*(Inputs!$C$6)/Inputs!$C$40)+0.2*SIN(2*PI()*((Model_Data!A89)+(Inputs!$C$6))/(0.5*(Inputs!$C$39+Inputs!$C$40))))+Inputs!$C$38*SIN(2*PI()*(Model_Data!A89)/Inputs!$C$39)*SIN(2*PI()*(Inputs!$C$6)/Inputs!$C$40)+-Inputs!$C$41*EXP(-(((Inputs!$C$6)-Inputs!$C$43)^2)/(2*Inputs!$C$44^2))*EXP(-(((Model_Data!A89)-Inputs!$C$42)^2)/(2*Inputs!$C$45^2))+Inputs!$C$48*(0.7*(0.45*SIN(2*PI()*(((Model_Data!A89)/Inputs!$C$49)+Inputs!$C$47*0.137))+0.35*COS(2*PI()*(((Inputs!$C$6)/Inputs!$C$50)+Inputs!$C$47*0.173))+0.2*SIN(2*PI()*(((Model_Data!A89)+(Inputs!$C$6))/(0.5*(Inputs!$C$49+Inputs!$C$50))+Inputs!$C$47*0.097)))+0.3*(2*((SIN(((Model_Data!A89)*12.9898+(Inputs!$C$6)*78.233+Inputs!$C$47*37.719))*43758.5453)-INT((SIN(((Model_Data!A89)*12.9898+(Inputs!$C$6)*78.233+Inputs!$C$47*37.719))*43758.5453)))-1)))</f>
        <v>387.14310586746348</v>
      </c>
      <c r="G89" s="9">
        <f>(Inputs!$C$51*(115*EXP(-(((0)-25)^2)/(4.5^2))+70*EXP(-(((0)+38)^2)/(7^2))*(0.55+0.45*SIN(2*PI()*(Model_Data!A89)/45))+24*SIN(2*PI()*(0)/9+(Model_Data!A89)/18)*EXP(-(((0)+5)^2)/(22^2))+18*SIN(2*PI()*(Model_Data!A89)/70))+Inputs!$C$28*EXP(-(((Model_Data!A89)-Inputs!$C$29)^2)/(2*Inputs!$C$31^2))*EXP(-(((0)-Inputs!$C$30)^2)/(2*Inputs!$C$32^2))+-Inputs!$C$33*EXP(-(((((Model_Data!A89)-Inputs!$C$34)^2)+(((0)-Inputs!$C$35)^2))/(2*Inputs!$C$36^2)))+Inputs!$C$37*(0.55*SIN(2*PI()*(Model_Data!A89)/Inputs!$C$39)+0.35*COS(2*PI()*(0)/Inputs!$C$40)+0.2*SIN(2*PI()*((Model_Data!A89)+(0))/(0.5*(Inputs!$C$39+Inputs!$C$40))))+Inputs!$C$38*SIN(2*PI()*(Model_Data!A89)/Inputs!$C$39)*SIN(2*PI()*(0)/Inputs!$C$40)+-Inputs!$C$41*EXP(-(((0)-Inputs!$C$43)^2)/(2*Inputs!$C$44^2))*EXP(-(((Model_Data!A89)-Inputs!$C$42)^2)/(2*Inputs!$C$45^2))+Inputs!$C$48*(0.7*(0.45*SIN(2*PI()*(((Model_Data!A89)/Inputs!$C$49)+Inputs!$C$47*0.137))+0.35*COS(2*PI()*(((0)/Inputs!$C$50)+Inputs!$C$47*0.173))+0.2*SIN(2*PI()*(((Model_Data!A89)+(0))/(0.5*(Inputs!$C$49+Inputs!$C$50))+Inputs!$C$47*0.097)))+0.3*(2*((SIN(((Model_Data!A89)*12.9898+(0)*78.233+Inputs!$C$47*37.719))*43758.5453)-INT((SIN(((Model_Data!A89)*12.9898+(0)*78.233+Inputs!$C$47*37.719))*43758.5453)))-1)))</f>
        <v>-123.86861357235706</v>
      </c>
      <c r="H89" s="10"/>
      <c r="I89" s="9">
        <f>Model_Data!A89</f>
        <v>-16.5</v>
      </c>
      <c r="J89" s="9">
        <f>(Inputs!$C$51*(115*EXP(-(((Inputs!$C$6)-25)^2)/(4.5^2))+70*EXP(-(((Inputs!$C$6)+38)^2)/(7^2))*(0.55+0.45*SIN(2*PI()*(Model_Data!A89)/45))+24*SIN(2*PI()*(Inputs!$C$6)/9+(Model_Data!A89)/18)*EXP(-(((Inputs!$C$6)+5)^2)/(22^2))+18*SIN(2*PI()*(Model_Data!A89)/70))+Inputs!$C$28*EXP(-(((Model_Data!A89)-Inputs!$C$29)^2)/(2*Inputs!$C$31^2))*EXP(-(((Inputs!$C$6)-Inputs!$C$30)^2)/(2*Inputs!$C$32^2))+-Inputs!$C$33*EXP(-(((((Model_Data!A89)-Inputs!$C$34)^2)+(((Inputs!$C$6)-Inputs!$C$35)^2))/(2*Inputs!$C$36^2)))+Inputs!$C$37*(0.55*SIN(2*PI()*(Model_Data!A89)/Inputs!$C$39)+0.35*COS(2*PI()*(Inputs!$C$6)/Inputs!$C$40)+0.2*SIN(2*PI()*((Model_Data!A89)+(Inputs!$C$6))/(0.5*(Inputs!$C$39+Inputs!$C$40))))+Inputs!$C$38*SIN(2*PI()*(Model_Data!A89)/Inputs!$C$39)*SIN(2*PI()*(Inputs!$C$6)/Inputs!$C$40)+-Inputs!$C$41*EXP(-(((Inputs!$C$6)-Inputs!$C$43)^2)/(2*Inputs!$C$44^2))*EXP(-(((Model_Data!A89)-Inputs!$C$42)^2)/(2*Inputs!$C$45^2))+Inputs!$C$48*(0.7*(0.45*SIN(2*PI()*(((Model_Data!A89)/Inputs!$C$49)+Inputs!$C$47*0.137))+0.35*COS(2*PI()*(((Inputs!$C$6)/Inputs!$C$50)+Inputs!$C$47*0.173))+0.2*SIN(2*PI()*(((Model_Data!A89)+(Inputs!$C$6))/(0.5*(Inputs!$C$49+Inputs!$C$50))+Inputs!$C$47*0.097)))+0.3*(2*((SIN(((Model_Data!A89)*12.9898+(Inputs!$C$6)*78.233+Inputs!$C$47*37.719))*43758.5453)-INT((SIN(((Model_Data!A89)*12.9898+(Inputs!$C$6)*78.233+Inputs!$C$47*37.719))*43758.5453)))-1)))</f>
        <v>387.14310586746348</v>
      </c>
      <c r="K89" s="9">
        <f>-((((SQRT((Model_Data!A89)^2+Inputs!$C$6^2+((Model_Data!B89)-((Inputs!$C$51*(115*EXP(-(((Inputs!$C$6)-25)^2)/(4.5^2))+70*EXP(-(((Inputs!$C$6)+38)^2)/(7^2))*(0.55+0.45*SIN(2*PI()*(Model_Data!A89)/45))+24*SIN(2*PI()*(Inputs!$C$6)/9+(Model_Data!A89)/18)*EXP(-(((Inputs!$C$6)+5)^2)/(22^2))+18*SIN(2*PI()*(Model_Data!A89)/70))+Inputs!$C$28*EXP(-(((Model_Data!A89)-Inputs!$C$29)^2)/(2*Inputs!$C$31^2))*EXP(-(((Inputs!$C$6)-Inputs!$C$30)^2)/(2*Inputs!$C$32^2))+-Inputs!$C$33*EXP(-(((((Model_Data!A89)-Inputs!$C$34)^2)+(((Inputs!$C$6)-Inputs!$C$35)^2))/(2*Inputs!$C$36^2)))+Inputs!$C$37*(0.55*SIN(2*PI()*(Model_Data!A89)/Inputs!$C$39)+0.35*COS(2*PI()*(Inputs!$C$6)/Inputs!$C$40)+0.2*SIN(2*PI()*((Model_Data!A89)+(Inputs!$C$6))/(0.5*(Inputs!$C$39+Inputs!$C$40))))+Inputs!$C$38*SIN(2*PI()*(Model_Data!A89)/Inputs!$C$39)*SIN(2*PI()*(Inputs!$C$6)/Inputs!$C$40)+-Inputs!$C$41*EXP(-(((Inputs!$C$6)-Inputs!$C$43)^2)/(2*Inputs!$C$44^2))*EXP(-(((Model_Data!A89)-Inputs!$C$42)^2)/(2*Inputs!$C$45^2))+Inputs!$C$48*(0.7*(0.45*SIN(2*PI()*(((Model_Data!A89)/Inputs!$C$49)+Inputs!$C$47*0.137))+0.35*COS(2*PI()*(((Inputs!$C$6)/Inputs!$C$50)+Inputs!$C$47*0.173))+0.2*SIN(2*PI()*(((Model_Data!A89)+(Inputs!$C$6))/(0.5*(Inputs!$C$49+Inputs!$C$50))+Inputs!$C$47*0.097)))+0.3*(2*((SIN(((Model_Data!A89)*12.9898+(Inputs!$C$6)*78.233+Inputs!$C$47*37.719))*43758.5453)-INT((SIN(((Model_Data!A89)*12.9898+(Inputs!$C$6)*78.233+Inputs!$C$47*37.719))*43758.5453)))-1))))/1000)^2))-(((Model_Data!B89)-((Inputs!$C$51*(115*EXP(-(((0)-25)^2)/(4.5^2))+70*EXP(-(((0)+38)^2)/(7^2))*(0.55+0.45*SIN(2*PI()*(Model_Data!A89)/45))+24*SIN(2*PI()*(0)/9+(Model_Data!A89)/18)*EXP(-(((0)+5)^2)/(22^2))+18*SIN(2*PI()*(Model_Data!A89)/70))+Inputs!$C$28*EXP(-(((Model_Data!A89)-Inputs!$C$29)^2)/(2*Inputs!$C$31^2))*EXP(-(((0)-Inputs!$C$30)^2)/(2*Inputs!$C$32^2))+-Inputs!$C$33*EXP(-(((((Model_Data!A89)-Inputs!$C$34)^2)+(((0)-Inputs!$C$35)^2))/(2*Inputs!$C$36^2)))+Inputs!$C$37*(0.55*SIN(2*PI()*(Model_Data!A89)/Inputs!$C$39)+0.35*COS(2*PI()*(0)/Inputs!$C$40)+0.2*SIN(2*PI()*((Model_Data!A89)+(0))/(0.5*(Inputs!$C$39+Inputs!$C$40))))+Inputs!$C$38*SIN(2*PI()*(Model_Data!A89)/Inputs!$C$39)*SIN(2*PI()*(0)/Inputs!$C$40)+-Inputs!$C$41*EXP(-(((0)-Inputs!$C$43)^2)/(2*Inputs!$C$44^2))*EXP(-(((Model_Data!A89)-Inputs!$C$42)^2)/(2*Inputs!$C$45^2))+Inputs!$C$48*(0.7*(0.45*SIN(2*PI()*(((Model_Data!A89)/Inputs!$C$49)+Inputs!$C$47*0.137))+0.35*COS(2*PI()*(((0)/Inputs!$C$50)+Inputs!$C$47*0.173))+0.2*SIN(2*PI()*(((Model_Data!A89)+(0))/(0.5*(Inputs!$C$49+Inputs!$C$50))+Inputs!$C$47*0.097)))+0.3*(2*((SIN(((Model_Data!A89)*12.9898+(0)*78.233+Inputs!$C$47*37.719))*43758.5453)-INT((SIN(((Model_Data!A89)*12.9898+(0)*78.233+Inputs!$C$47*37.719))*43758.5453)))-1))))/1000)))*1000/Inputs!$C$12)-Model_Data!F89)</f>
        <v>286.47827895418158</v>
      </c>
      <c r="L89" s="10"/>
      <c r="M89" s="9">
        <f>Model_Data!A89</f>
        <v>-16.5</v>
      </c>
      <c r="N89" s="9">
        <f>Model_Data!P89</f>
        <v>124.26936431730996</v>
      </c>
      <c r="O89" s="9">
        <f t="shared" si="2"/>
        <v>175.26717893979367</v>
      </c>
      <c r="P89" s="9">
        <f>Model_Data!Q89</f>
        <v>18.659063711307805</v>
      </c>
      <c r="Q89" s="9">
        <f t="shared" si="3"/>
        <v>26.316393234203254</v>
      </c>
      <c r="R89" s="10"/>
      <c r="S89" s="9">
        <f>Model_Data!A89</f>
        <v>-16.5</v>
      </c>
      <c r="T89" s="9">
        <f>Model_Data!B89-Inputs!$C$5</f>
        <v>0.30250000000000909</v>
      </c>
      <c r="U89" s="10"/>
      <c r="V89" s="9">
        <f>Model_Data!A89</f>
        <v>-16.5</v>
      </c>
      <c r="W89" s="9">
        <f>((SQRT((Model_Data!A89)^2+Inputs!$C$6^2+Inputs!$C$5^2)-Inputs!$C$5)*1000/Inputs!$C$12)</f>
        <v>629.21040188592701</v>
      </c>
      <c r="X89" s="9">
        <f>Model_Data!F89</f>
        <v>628.73624722527984</v>
      </c>
      <c r="Y89" s="10"/>
      <c r="Z89" s="9">
        <f>Model_Data!A89</f>
        <v>-16.5</v>
      </c>
      <c r="AA89" s="9">
        <f>SQRT((Model_Data!A89)^2+Inputs!$C$6^2+((Model_Data!B89)-((Inputs!$C$51*(115*EXP(-(((Inputs!$C$6)-25)^2)/(4.5^2))+70*EXP(-(((Inputs!$C$6)+38)^2)/(7^2))*(0.55+0.45*SIN(2*PI()*(Model_Data!A89)/45))+24*SIN(2*PI()*(Inputs!$C$6)/9+(Model_Data!A89)/18)*EXP(-(((Inputs!$C$6)+5)^2)/(22^2))+18*SIN(2*PI()*(Model_Data!A89)/70))+Inputs!$C$28*EXP(-(((Model_Data!A89)-Inputs!$C$29)^2)/(2*Inputs!$C$31^2))*EXP(-(((Inputs!$C$6)-Inputs!$C$30)^2)/(2*Inputs!$C$32^2))+-Inputs!$C$33*EXP(-(((((Model_Data!A89)-Inputs!$C$34)^2)+(((Inputs!$C$6)-Inputs!$C$35)^2))/(2*Inputs!$C$36^2)))+Inputs!$C$37*(0.55*SIN(2*PI()*(Model_Data!A89)/Inputs!$C$39)+0.35*COS(2*PI()*(Inputs!$C$6)/Inputs!$C$40)+0.2*SIN(2*PI()*((Model_Data!A89)+(Inputs!$C$6))/(0.5*(Inputs!$C$39+Inputs!$C$40))))+Inputs!$C$38*SIN(2*PI()*(Model_Data!A89)/Inputs!$C$39)*SIN(2*PI()*(Inputs!$C$6)/Inputs!$C$40)+-Inputs!$C$41*EXP(-(((Inputs!$C$6)-Inputs!$C$43)^2)/(2*Inputs!$C$44^2))*EXP(-(((Model_Data!A89)-Inputs!$C$42)^2)/(2*Inputs!$C$45^2))+Inputs!$C$48*(0.7*(0.45*SIN(2*PI()*(((Model_Data!A89)/Inputs!$C$49)+Inputs!$C$47*0.137))+0.35*COS(2*PI()*(((Inputs!$C$6)/Inputs!$C$50)+Inputs!$C$47*0.173))+0.2*SIN(2*PI()*(((Model_Data!A89)+(Inputs!$C$6))/(0.5*(Inputs!$C$49+Inputs!$C$50))+Inputs!$C$47*0.097)))+0.3*(2*((SIN(((Model_Data!A89)*12.9898+(Inputs!$C$6)*78.233+Inputs!$C$47*37.719))*43758.5453)-INT((SIN(((Model_Data!A89)*12.9898+(Inputs!$C$6)*78.233+Inputs!$C$47*37.719))*43758.5453)))-1))))/1000)^2)</f>
        <v>401.03558779709493</v>
      </c>
      <c r="AB89" s="9">
        <f>1000*(AA90-AA88)/(Z90-Z88)*Inputs!$C$11</f>
        <v>-438.16794734948417</v>
      </c>
      <c r="AC89" s="9">
        <f>-2*AB89/Inputs!$C$13</f>
        <v>175.26717893979367</v>
      </c>
      <c r="AD89" s="9">
        <f>-2*AB89/Inputs!$C$14</f>
        <v>26.316393234203254</v>
      </c>
    </row>
    <row r="90" spans="1:30">
      <c r="A90" s="9">
        <f>Model_Data!A90</f>
        <v>-16</v>
      </c>
      <c r="B90" s="9">
        <f>((SQRT((Model_Data!A90)^2+Inputs!$C$6^2+Inputs!$C$5^2)-Inputs!$C$5)*1000/Inputs!$C$12)</f>
        <v>617.83046056733986</v>
      </c>
      <c r="C90" s="9">
        <f>Model_Data!F90</f>
        <v>617.39262913220864</v>
      </c>
      <c r="D90" s="9">
        <f>(((SQRT((Model_Data!A90)^2+Inputs!$C$6^2+((Model_Data!B90)-((Inputs!$C$51*(115*EXP(-(((Inputs!$C$6)-25)^2)/(4.5^2))+70*EXP(-(((Inputs!$C$6)+38)^2)/(7^2))*(0.55+0.45*SIN(2*PI()*(Model_Data!A90)/45))+24*SIN(2*PI()*(Inputs!$C$6)/9+(Model_Data!A90)/18)*EXP(-(((Inputs!$C$6)+5)^2)/(22^2))+18*SIN(2*PI()*(Model_Data!A90)/70))+Inputs!$C$28*EXP(-(((Model_Data!A90)-Inputs!$C$29)^2)/(2*Inputs!$C$31^2))*EXP(-(((Inputs!$C$6)-Inputs!$C$30)^2)/(2*Inputs!$C$32^2))+-Inputs!$C$33*EXP(-(((((Model_Data!A90)-Inputs!$C$34)^2)+(((Inputs!$C$6)-Inputs!$C$35)^2))/(2*Inputs!$C$36^2)))+Inputs!$C$37*(0.55*SIN(2*PI()*(Model_Data!A90)/Inputs!$C$39)+0.35*COS(2*PI()*(Inputs!$C$6)/Inputs!$C$40)+0.2*SIN(2*PI()*((Model_Data!A90)+(Inputs!$C$6))/(0.5*(Inputs!$C$39+Inputs!$C$40))))+Inputs!$C$38*SIN(2*PI()*(Model_Data!A90)/Inputs!$C$39)*SIN(2*PI()*(Inputs!$C$6)/Inputs!$C$40)+-Inputs!$C$41*EXP(-(((Inputs!$C$6)-Inputs!$C$43)^2)/(2*Inputs!$C$44^2))*EXP(-(((Model_Data!A90)-Inputs!$C$42)^2)/(2*Inputs!$C$45^2))+Inputs!$C$48*(0.7*(0.45*SIN(2*PI()*(((Model_Data!A90)/Inputs!$C$49)+Inputs!$C$47*0.137))+0.35*COS(2*PI()*(((Inputs!$C$6)/Inputs!$C$50)+Inputs!$C$47*0.173))+0.2*SIN(2*PI()*(((Model_Data!A90)+(Inputs!$C$6))/(0.5*(Inputs!$C$49+Inputs!$C$50))+Inputs!$C$47*0.097)))+0.3*(2*((SIN(((Model_Data!A90)*12.9898+(Inputs!$C$6)*78.233+Inputs!$C$47*37.719))*43758.5453)-INT((SIN(((Model_Data!A90)*12.9898+(Inputs!$C$6)*78.233+Inputs!$C$47*37.719))*43758.5453)))-1))))/1000)^2))-(((Model_Data!B90)-((Inputs!$C$51*(115*EXP(-(((0)-25)^2)/(4.5^2))+70*EXP(-(((0)+38)^2)/(7^2))*(0.55+0.45*SIN(2*PI()*(Model_Data!A90)/45))+24*SIN(2*PI()*(0)/9+(Model_Data!A90)/18)*EXP(-(((0)+5)^2)/(22^2))+18*SIN(2*PI()*(Model_Data!A90)/70))+Inputs!$C$28*EXP(-(((Model_Data!A90)-Inputs!$C$29)^2)/(2*Inputs!$C$31^2))*EXP(-(((0)-Inputs!$C$30)^2)/(2*Inputs!$C$32^2))+-Inputs!$C$33*EXP(-(((((Model_Data!A90)-Inputs!$C$34)^2)+(((0)-Inputs!$C$35)^2))/(2*Inputs!$C$36^2)))+Inputs!$C$37*(0.55*SIN(2*PI()*(Model_Data!A90)/Inputs!$C$39)+0.35*COS(2*PI()*(0)/Inputs!$C$40)+0.2*SIN(2*PI()*((Model_Data!A90)+(0))/(0.5*(Inputs!$C$39+Inputs!$C$40))))+Inputs!$C$38*SIN(2*PI()*(Model_Data!A90)/Inputs!$C$39)*SIN(2*PI()*(0)/Inputs!$C$40)+-Inputs!$C$41*EXP(-(((0)-Inputs!$C$43)^2)/(2*Inputs!$C$44^2))*EXP(-(((Model_Data!A90)-Inputs!$C$42)^2)/(2*Inputs!$C$45^2))+Inputs!$C$48*(0.7*(0.45*SIN(2*PI()*(((Model_Data!A90)/Inputs!$C$49)+Inputs!$C$47*0.137))+0.35*COS(2*PI()*(((0)/Inputs!$C$50)+Inputs!$C$47*0.173))+0.2*SIN(2*PI()*(((Model_Data!A90)+(0))/(0.5*(Inputs!$C$49+Inputs!$C$50))+Inputs!$C$47*0.097)))+0.3*(2*((SIN(((Model_Data!A90)*12.9898+(0)*78.233+Inputs!$C$47*37.719))*43758.5453)-INT((SIN(((Model_Data!A90)*12.9898+(0)*78.233+Inputs!$C$47*37.719))*43758.5453)))-1))))/1000)))*1000/Inputs!$C$12)</f>
        <v>331.07619631573726</v>
      </c>
      <c r="E90" s="9">
        <f>Model_Data!A90</f>
        <v>-16</v>
      </c>
      <c r="F90" s="9">
        <f>(Inputs!$C$51*(115*EXP(-(((Inputs!$C$6)-25)^2)/(4.5^2))+70*EXP(-(((Inputs!$C$6)+38)^2)/(7^2))*(0.55+0.45*SIN(2*PI()*(Model_Data!A90)/45))+24*SIN(2*PI()*(Inputs!$C$6)/9+(Model_Data!A90)/18)*EXP(-(((Inputs!$C$6)+5)^2)/(22^2))+18*SIN(2*PI()*(Model_Data!A90)/70))+Inputs!$C$28*EXP(-(((Model_Data!A90)-Inputs!$C$29)^2)/(2*Inputs!$C$31^2))*EXP(-(((Inputs!$C$6)-Inputs!$C$30)^2)/(2*Inputs!$C$32^2))+-Inputs!$C$33*EXP(-(((((Model_Data!A90)-Inputs!$C$34)^2)+(((Inputs!$C$6)-Inputs!$C$35)^2))/(2*Inputs!$C$36^2)))+Inputs!$C$37*(0.55*SIN(2*PI()*(Model_Data!A90)/Inputs!$C$39)+0.35*COS(2*PI()*(Inputs!$C$6)/Inputs!$C$40)+0.2*SIN(2*PI()*((Model_Data!A90)+(Inputs!$C$6))/(0.5*(Inputs!$C$39+Inputs!$C$40))))+Inputs!$C$38*SIN(2*PI()*(Model_Data!A90)/Inputs!$C$39)*SIN(2*PI()*(Inputs!$C$6)/Inputs!$C$40)+-Inputs!$C$41*EXP(-(((Inputs!$C$6)-Inputs!$C$43)^2)/(2*Inputs!$C$44^2))*EXP(-(((Model_Data!A90)-Inputs!$C$42)^2)/(2*Inputs!$C$45^2))+Inputs!$C$48*(0.7*(0.45*SIN(2*PI()*(((Model_Data!A90)/Inputs!$C$49)+Inputs!$C$47*0.137))+0.35*COS(2*PI()*(((Inputs!$C$6)/Inputs!$C$50)+Inputs!$C$47*0.173))+0.2*SIN(2*PI()*(((Model_Data!A90)+(Inputs!$C$6))/(0.5*(Inputs!$C$49+Inputs!$C$50))+Inputs!$C$47*0.097)))+0.3*(2*((SIN(((Model_Data!A90)*12.9898+(Inputs!$C$6)*78.233+Inputs!$C$47*37.719))*43758.5453)-INT((SIN(((Model_Data!A90)*12.9898+(Inputs!$C$6)*78.233+Inputs!$C$47*37.719))*43758.5453)))-1)))</f>
        <v>413.29561486427639</v>
      </c>
      <c r="G90" s="9">
        <f>(Inputs!$C$51*(115*EXP(-(((0)-25)^2)/(4.5^2))+70*EXP(-(((0)+38)^2)/(7^2))*(0.55+0.45*SIN(2*PI()*(Model_Data!A90)/45))+24*SIN(2*PI()*(0)/9+(Model_Data!A90)/18)*EXP(-(((0)+5)^2)/(22^2))+18*SIN(2*PI()*(Model_Data!A90)/70))+Inputs!$C$28*EXP(-(((Model_Data!A90)-Inputs!$C$29)^2)/(2*Inputs!$C$31^2))*EXP(-(((0)-Inputs!$C$30)^2)/(2*Inputs!$C$32^2))+-Inputs!$C$33*EXP(-(((((Model_Data!A90)-Inputs!$C$34)^2)+(((0)-Inputs!$C$35)^2))/(2*Inputs!$C$36^2)))+Inputs!$C$37*(0.55*SIN(2*PI()*(Model_Data!A90)/Inputs!$C$39)+0.35*COS(2*PI()*(0)/Inputs!$C$40)+0.2*SIN(2*PI()*((Model_Data!A90)+(0))/(0.5*(Inputs!$C$39+Inputs!$C$40))))+Inputs!$C$38*SIN(2*PI()*(Model_Data!A90)/Inputs!$C$39)*SIN(2*PI()*(0)/Inputs!$C$40)+-Inputs!$C$41*EXP(-(((0)-Inputs!$C$43)^2)/(2*Inputs!$C$44^2))*EXP(-(((Model_Data!A90)-Inputs!$C$42)^2)/(2*Inputs!$C$45^2))+Inputs!$C$48*(0.7*(0.45*SIN(2*PI()*(((Model_Data!A90)/Inputs!$C$49)+Inputs!$C$47*0.137))+0.35*COS(2*PI()*(((0)/Inputs!$C$50)+Inputs!$C$47*0.173))+0.2*SIN(2*PI()*(((Model_Data!A90)+(0))/(0.5*(Inputs!$C$49+Inputs!$C$50))+Inputs!$C$47*0.097)))+0.3*(2*((SIN(((Model_Data!A90)*12.9898+(0)*78.233+Inputs!$C$47*37.719))*43758.5453)-INT((SIN(((Model_Data!A90)*12.9898+(0)*78.233+Inputs!$C$47*37.719))*43758.5453)))-1)))</f>
        <v>-97.48037396441562</v>
      </c>
      <c r="H90" s="10"/>
      <c r="I90" s="9">
        <f>Model_Data!A90</f>
        <v>-16</v>
      </c>
      <c r="J90" s="9">
        <f>(Inputs!$C$51*(115*EXP(-(((Inputs!$C$6)-25)^2)/(4.5^2))+70*EXP(-(((Inputs!$C$6)+38)^2)/(7^2))*(0.55+0.45*SIN(2*PI()*(Model_Data!A90)/45))+24*SIN(2*PI()*(Inputs!$C$6)/9+(Model_Data!A90)/18)*EXP(-(((Inputs!$C$6)+5)^2)/(22^2))+18*SIN(2*PI()*(Model_Data!A90)/70))+Inputs!$C$28*EXP(-(((Model_Data!A90)-Inputs!$C$29)^2)/(2*Inputs!$C$31^2))*EXP(-(((Inputs!$C$6)-Inputs!$C$30)^2)/(2*Inputs!$C$32^2))+-Inputs!$C$33*EXP(-(((((Model_Data!A90)-Inputs!$C$34)^2)+(((Inputs!$C$6)-Inputs!$C$35)^2))/(2*Inputs!$C$36^2)))+Inputs!$C$37*(0.55*SIN(2*PI()*(Model_Data!A90)/Inputs!$C$39)+0.35*COS(2*PI()*(Inputs!$C$6)/Inputs!$C$40)+0.2*SIN(2*PI()*((Model_Data!A90)+(Inputs!$C$6))/(0.5*(Inputs!$C$39+Inputs!$C$40))))+Inputs!$C$38*SIN(2*PI()*(Model_Data!A90)/Inputs!$C$39)*SIN(2*PI()*(Inputs!$C$6)/Inputs!$C$40)+-Inputs!$C$41*EXP(-(((Inputs!$C$6)-Inputs!$C$43)^2)/(2*Inputs!$C$44^2))*EXP(-(((Model_Data!A90)-Inputs!$C$42)^2)/(2*Inputs!$C$45^2))+Inputs!$C$48*(0.7*(0.45*SIN(2*PI()*(((Model_Data!A90)/Inputs!$C$49)+Inputs!$C$47*0.137))+0.35*COS(2*PI()*(((Inputs!$C$6)/Inputs!$C$50)+Inputs!$C$47*0.173))+0.2*SIN(2*PI()*(((Model_Data!A90)+(Inputs!$C$6))/(0.5*(Inputs!$C$49+Inputs!$C$50))+Inputs!$C$47*0.097)))+0.3*(2*((SIN(((Model_Data!A90)*12.9898+(Inputs!$C$6)*78.233+Inputs!$C$47*37.719))*43758.5453)-INT((SIN(((Model_Data!A90)*12.9898+(Inputs!$C$6)*78.233+Inputs!$C$47*37.719))*43758.5453)))-1)))</f>
        <v>413.29561486427639</v>
      </c>
      <c r="K90" s="9">
        <f>-((((SQRT((Model_Data!A90)^2+Inputs!$C$6^2+((Model_Data!B90)-((Inputs!$C$51*(115*EXP(-(((Inputs!$C$6)-25)^2)/(4.5^2))+70*EXP(-(((Inputs!$C$6)+38)^2)/(7^2))*(0.55+0.45*SIN(2*PI()*(Model_Data!A90)/45))+24*SIN(2*PI()*(Inputs!$C$6)/9+(Model_Data!A90)/18)*EXP(-(((Inputs!$C$6)+5)^2)/(22^2))+18*SIN(2*PI()*(Model_Data!A90)/70))+Inputs!$C$28*EXP(-(((Model_Data!A90)-Inputs!$C$29)^2)/(2*Inputs!$C$31^2))*EXP(-(((Inputs!$C$6)-Inputs!$C$30)^2)/(2*Inputs!$C$32^2))+-Inputs!$C$33*EXP(-(((((Model_Data!A90)-Inputs!$C$34)^2)+(((Inputs!$C$6)-Inputs!$C$35)^2))/(2*Inputs!$C$36^2)))+Inputs!$C$37*(0.55*SIN(2*PI()*(Model_Data!A90)/Inputs!$C$39)+0.35*COS(2*PI()*(Inputs!$C$6)/Inputs!$C$40)+0.2*SIN(2*PI()*((Model_Data!A90)+(Inputs!$C$6))/(0.5*(Inputs!$C$39+Inputs!$C$40))))+Inputs!$C$38*SIN(2*PI()*(Model_Data!A90)/Inputs!$C$39)*SIN(2*PI()*(Inputs!$C$6)/Inputs!$C$40)+-Inputs!$C$41*EXP(-(((Inputs!$C$6)-Inputs!$C$43)^2)/(2*Inputs!$C$44^2))*EXP(-(((Model_Data!A90)-Inputs!$C$42)^2)/(2*Inputs!$C$45^2))+Inputs!$C$48*(0.7*(0.45*SIN(2*PI()*(((Model_Data!A90)/Inputs!$C$49)+Inputs!$C$47*0.137))+0.35*COS(2*PI()*(((Inputs!$C$6)/Inputs!$C$50)+Inputs!$C$47*0.173))+0.2*SIN(2*PI()*(((Model_Data!A90)+(Inputs!$C$6))/(0.5*(Inputs!$C$49+Inputs!$C$50))+Inputs!$C$47*0.097)))+0.3*(2*((SIN(((Model_Data!A90)*12.9898+(Inputs!$C$6)*78.233+Inputs!$C$47*37.719))*43758.5453)-INT((SIN(((Model_Data!A90)*12.9898+(Inputs!$C$6)*78.233+Inputs!$C$47*37.719))*43758.5453)))-1))))/1000)^2))-(((Model_Data!B90)-((Inputs!$C$51*(115*EXP(-(((0)-25)^2)/(4.5^2))+70*EXP(-(((0)+38)^2)/(7^2))*(0.55+0.45*SIN(2*PI()*(Model_Data!A90)/45))+24*SIN(2*PI()*(0)/9+(Model_Data!A90)/18)*EXP(-(((0)+5)^2)/(22^2))+18*SIN(2*PI()*(Model_Data!A90)/70))+Inputs!$C$28*EXP(-(((Model_Data!A90)-Inputs!$C$29)^2)/(2*Inputs!$C$31^2))*EXP(-(((0)-Inputs!$C$30)^2)/(2*Inputs!$C$32^2))+-Inputs!$C$33*EXP(-(((((Model_Data!A90)-Inputs!$C$34)^2)+(((0)-Inputs!$C$35)^2))/(2*Inputs!$C$36^2)))+Inputs!$C$37*(0.55*SIN(2*PI()*(Model_Data!A90)/Inputs!$C$39)+0.35*COS(2*PI()*(0)/Inputs!$C$40)+0.2*SIN(2*PI()*((Model_Data!A90)+(0))/(0.5*(Inputs!$C$39+Inputs!$C$40))))+Inputs!$C$38*SIN(2*PI()*(Model_Data!A90)/Inputs!$C$39)*SIN(2*PI()*(0)/Inputs!$C$40)+-Inputs!$C$41*EXP(-(((0)-Inputs!$C$43)^2)/(2*Inputs!$C$44^2))*EXP(-(((Model_Data!A90)-Inputs!$C$42)^2)/(2*Inputs!$C$45^2))+Inputs!$C$48*(0.7*(0.45*SIN(2*PI()*(((Model_Data!A90)/Inputs!$C$49)+Inputs!$C$47*0.137))+0.35*COS(2*PI()*(((0)/Inputs!$C$50)+Inputs!$C$47*0.173))+0.2*SIN(2*PI()*(((Model_Data!A90)+(0))/(0.5*(Inputs!$C$49+Inputs!$C$50))+Inputs!$C$47*0.097)))+0.3*(2*((SIN(((Model_Data!A90)*12.9898+(0)*78.233+Inputs!$C$47*37.719))*43758.5453)-INT((SIN(((Model_Data!A90)*12.9898+(0)*78.233+Inputs!$C$47*37.719))*43758.5453)))-1))))/1000)))*1000/Inputs!$C$12)-Model_Data!F90)</f>
        <v>286.31643281647138</v>
      </c>
      <c r="L90" s="10"/>
      <c r="M90" s="9">
        <f>Model_Data!A90</f>
        <v>-16</v>
      </c>
      <c r="N90" s="9">
        <f>Model_Data!P90</f>
        <v>120.51254955568859</v>
      </c>
      <c r="O90" s="9">
        <f t="shared" si="2"/>
        <v>149.3537428842501</v>
      </c>
      <c r="P90" s="9">
        <f>Model_Data!Q90</f>
        <v>18.094977410764052</v>
      </c>
      <c r="Q90" s="9">
        <f t="shared" si="3"/>
        <v>22.425486919557073</v>
      </c>
      <c r="R90" s="10"/>
      <c r="S90" s="9">
        <f>Model_Data!A90</f>
        <v>-16</v>
      </c>
      <c r="T90" s="9">
        <f>Model_Data!B90-Inputs!$C$5</f>
        <v>0.28444444444443207</v>
      </c>
      <c r="U90" s="10"/>
      <c r="V90" s="9">
        <f>Model_Data!A90</f>
        <v>-16</v>
      </c>
      <c r="W90" s="9">
        <f>((SQRT((Model_Data!A90)^2+Inputs!$C$6^2+Inputs!$C$5^2)-Inputs!$C$5)*1000/Inputs!$C$12)</f>
        <v>617.83046056733986</v>
      </c>
      <c r="X90" s="9">
        <f>Model_Data!F90</f>
        <v>617.39262913220864</v>
      </c>
      <c r="Y90" s="10"/>
      <c r="Z90" s="9">
        <f>Model_Data!A90</f>
        <v>-16</v>
      </c>
      <c r="AA90" s="9">
        <f>SQRT((Model_Data!A90)^2+Inputs!$C$6^2+((Model_Data!B90)-((Inputs!$C$51*(115*EXP(-(((Inputs!$C$6)-25)^2)/(4.5^2))+70*EXP(-(((Inputs!$C$6)+38)^2)/(7^2))*(0.55+0.45*SIN(2*PI()*(Model_Data!A90)/45))+24*SIN(2*PI()*(Inputs!$C$6)/9+(Model_Data!A90)/18)*EXP(-(((Inputs!$C$6)+5)^2)/(22^2))+18*SIN(2*PI()*(Model_Data!A90)/70))+Inputs!$C$28*EXP(-(((Model_Data!A90)-Inputs!$C$29)^2)/(2*Inputs!$C$31^2))*EXP(-(((Inputs!$C$6)-Inputs!$C$30)^2)/(2*Inputs!$C$32^2))+-Inputs!$C$33*EXP(-(((((Model_Data!A90)-Inputs!$C$34)^2)+(((Inputs!$C$6)-Inputs!$C$35)^2))/(2*Inputs!$C$36^2)))+Inputs!$C$37*(0.55*SIN(2*PI()*(Model_Data!A90)/Inputs!$C$39)+0.35*COS(2*PI()*(Inputs!$C$6)/Inputs!$C$40)+0.2*SIN(2*PI()*((Model_Data!A90)+(Inputs!$C$6))/(0.5*(Inputs!$C$39+Inputs!$C$40))))+Inputs!$C$38*SIN(2*PI()*(Model_Data!A90)/Inputs!$C$39)*SIN(2*PI()*(Inputs!$C$6)/Inputs!$C$40)+-Inputs!$C$41*EXP(-(((Inputs!$C$6)-Inputs!$C$43)^2)/(2*Inputs!$C$44^2))*EXP(-(((Model_Data!A90)-Inputs!$C$42)^2)/(2*Inputs!$C$45^2))+Inputs!$C$48*(0.7*(0.45*SIN(2*PI()*(((Model_Data!A90)/Inputs!$C$49)+Inputs!$C$47*0.137))+0.35*COS(2*PI()*(((Inputs!$C$6)/Inputs!$C$50)+Inputs!$C$47*0.173))+0.2*SIN(2*PI()*(((Model_Data!A90)+(Inputs!$C$6))/(0.5*(Inputs!$C$49+Inputs!$C$50))+Inputs!$C$47*0.097)))+0.3*(2*((SIN(((Model_Data!A90)*12.9898+(Inputs!$C$6)*78.233+Inputs!$C$47*37.719))*43758.5453)-INT((SIN(((Model_Data!A90)*12.9898+(Inputs!$C$6)*78.233+Inputs!$C$47*37.719))*43758.5453)))-1))))/1000)^2)</f>
        <v>400.97124044785085</v>
      </c>
      <c r="AB90" s="9">
        <f>1000*(AA91-AA89)/(Z91-Z89)*Inputs!$C$11</f>
        <v>-373.38435721062524</v>
      </c>
      <c r="AC90" s="9">
        <f>-2*AB90/Inputs!$C$13</f>
        <v>149.3537428842501</v>
      </c>
      <c r="AD90" s="9">
        <f>-2*AB90/Inputs!$C$14</f>
        <v>22.425486919557073</v>
      </c>
    </row>
    <row r="91" spans="1:30">
      <c r="A91" s="9">
        <f>Model_Data!A91</f>
        <v>-15.5</v>
      </c>
      <c r="B91" s="9">
        <f>((SQRT((Model_Data!A91)^2+Inputs!$C$6^2+Inputs!$C$5^2)-Inputs!$C$5)*1000/Inputs!$C$12)</f>
        <v>606.80012280685651</v>
      </c>
      <c r="C91" s="9">
        <f>Model_Data!F91</f>
        <v>606.39652679891867</v>
      </c>
      <c r="D91" s="9">
        <f>(((SQRT((Model_Data!A91)^2+Inputs!$C$6^2+((Model_Data!B91)-((Inputs!$C$51*(115*EXP(-(((Inputs!$C$6)-25)^2)/(4.5^2))+70*EXP(-(((Inputs!$C$6)+38)^2)/(7^2))*(0.55+0.45*SIN(2*PI()*(Model_Data!A91)/45))+24*SIN(2*PI()*(Inputs!$C$6)/9+(Model_Data!A91)/18)*EXP(-(((Inputs!$C$6)+5)^2)/(22^2))+18*SIN(2*PI()*(Model_Data!A91)/70))+Inputs!$C$28*EXP(-(((Model_Data!A91)-Inputs!$C$29)^2)/(2*Inputs!$C$31^2))*EXP(-(((Inputs!$C$6)-Inputs!$C$30)^2)/(2*Inputs!$C$32^2))+-Inputs!$C$33*EXP(-(((((Model_Data!A91)-Inputs!$C$34)^2)+(((Inputs!$C$6)-Inputs!$C$35)^2))/(2*Inputs!$C$36^2)))+Inputs!$C$37*(0.55*SIN(2*PI()*(Model_Data!A91)/Inputs!$C$39)+0.35*COS(2*PI()*(Inputs!$C$6)/Inputs!$C$40)+0.2*SIN(2*PI()*((Model_Data!A91)+(Inputs!$C$6))/(0.5*(Inputs!$C$39+Inputs!$C$40))))+Inputs!$C$38*SIN(2*PI()*(Model_Data!A91)/Inputs!$C$39)*SIN(2*PI()*(Inputs!$C$6)/Inputs!$C$40)+-Inputs!$C$41*EXP(-(((Inputs!$C$6)-Inputs!$C$43)^2)/(2*Inputs!$C$44^2))*EXP(-(((Model_Data!A91)-Inputs!$C$42)^2)/(2*Inputs!$C$45^2))+Inputs!$C$48*(0.7*(0.45*SIN(2*PI()*(((Model_Data!A91)/Inputs!$C$49)+Inputs!$C$47*0.137))+0.35*COS(2*PI()*(((Inputs!$C$6)/Inputs!$C$50)+Inputs!$C$47*0.173))+0.2*SIN(2*PI()*(((Model_Data!A91)+(Inputs!$C$6))/(0.5*(Inputs!$C$49+Inputs!$C$50))+Inputs!$C$47*0.097)))+0.3*(2*((SIN(((Model_Data!A91)*12.9898+(Inputs!$C$6)*78.233+Inputs!$C$47*37.719))*43758.5453)-INT((SIN(((Model_Data!A91)*12.9898+(Inputs!$C$6)*78.233+Inputs!$C$47*37.719))*43758.5453)))-1))))/1000)^2))-(((Model_Data!B91)-((Inputs!$C$51*(115*EXP(-(((0)-25)^2)/(4.5^2))+70*EXP(-(((0)+38)^2)/(7^2))*(0.55+0.45*SIN(2*PI()*(Model_Data!A91)/45))+24*SIN(2*PI()*(0)/9+(Model_Data!A91)/18)*EXP(-(((0)+5)^2)/(22^2))+18*SIN(2*PI()*(Model_Data!A91)/70))+Inputs!$C$28*EXP(-(((Model_Data!A91)-Inputs!$C$29)^2)/(2*Inputs!$C$31^2))*EXP(-(((0)-Inputs!$C$30)^2)/(2*Inputs!$C$32^2))+-Inputs!$C$33*EXP(-(((((Model_Data!A91)-Inputs!$C$34)^2)+(((0)-Inputs!$C$35)^2))/(2*Inputs!$C$36^2)))+Inputs!$C$37*(0.55*SIN(2*PI()*(Model_Data!A91)/Inputs!$C$39)+0.35*COS(2*PI()*(0)/Inputs!$C$40)+0.2*SIN(2*PI()*((Model_Data!A91)+(0))/(0.5*(Inputs!$C$39+Inputs!$C$40))))+Inputs!$C$38*SIN(2*PI()*(Model_Data!A91)/Inputs!$C$39)*SIN(2*PI()*(0)/Inputs!$C$40)+-Inputs!$C$41*EXP(-(((0)-Inputs!$C$43)^2)/(2*Inputs!$C$44^2))*EXP(-(((Model_Data!A91)-Inputs!$C$42)^2)/(2*Inputs!$C$45^2))+Inputs!$C$48*(0.7*(0.45*SIN(2*PI()*(((Model_Data!A91)/Inputs!$C$49)+Inputs!$C$47*0.137))+0.35*COS(2*PI()*(((0)/Inputs!$C$50)+Inputs!$C$47*0.173))+0.2*SIN(2*PI()*(((Model_Data!A91)+(0))/(0.5*(Inputs!$C$49+Inputs!$C$50))+Inputs!$C$47*0.097)))+0.3*(2*((SIN(((Model_Data!A91)*12.9898+(0)*78.233+Inputs!$C$47*37.719))*43758.5453)-INT((SIN(((Model_Data!A91)*12.9898+(0)*78.233+Inputs!$C$47*37.719))*43758.5453)))-1))))/1000)))*1000/Inputs!$C$12)</f>
        <v>317.966367206256</v>
      </c>
      <c r="E91" s="9">
        <f>Model_Data!A91</f>
        <v>-15.5</v>
      </c>
      <c r="F91" s="9">
        <f>(Inputs!$C$51*(115*EXP(-(((Inputs!$C$6)-25)^2)/(4.5^2))+70*EXP(-(((Inputs!$C$6)+38)^2)/(7^2))*(0.55+0.45*SIN(2*PI()*(Model_Data!A91)/45))+24*SIN(2*PI()*(Inputs!$C$6)/9+(Model_Data!A91)/18)*EXP(-(((Inputs!$C$6)+5)^2)/(22^2))+18*SIN(2*PI()*(Model_Data!A91)/70))+Inputs!$C$28*EXP(-(((Model_Data!A91)-Inputs!$C$29)^2)/(2*Inputs!$C$31^2))*EXP(-(((Inputs!$C$6)-Inputs!$C$30)^2)/(2*Inputs!$C$32^2))+-Inputs!$C$33*EXP(-(((((Model_Data!A91)-Inputs!$C$34)^2)+(((Inputs!$C$6)-Inputs!$C$35)^2))/(2*Inputs!$C$36^2)))+Inputs!$C$37*(0.55*SIN(2*PI()*(Model_Data!A91)/Inputs!$C$39)+0.35*COS(2*PI()*(Inputs!$C$6)/Inputs!$C$40)+0.2*SIN(2*PI()*((Model_Data!A91)+(Inputs!$C$6))/(0.5*(Inputs!$C$39+Inputs!$C$40))))+Inputs!$C$38*SIN(2*PI()*(Model_Data!A91)/Inputs!$C$39)*SIN(2*PI()*(Inputs!$C$6)/Inputs!$C$40)+-Inputs!$C$41*EXP(-(((Inputs!$C$6)-Inputs!$C$43)^2)/(2*Inputs!$C$44^2))*EXP(-(((Model_Data!A91)-Inputs!$C$42)^2)/(2*Inputs!$C$45^2))+Inputs!$C$48*(0.7*(0.45*SIN(2*PI()*(((Model_Data!A91)/Inputs!$C$49)+Inputs!$C$47*0.137))+0.35*COS(2*PI()*(((Inputs!$C$6)/Inputs!$C$50)+Inputs!$C$47*0.173))+0.2*SIN(2*PI()*(((Model_Data!A91)+(Inputs!$C$6))/(0.5*(Inputs!$C$49+Inputs!$C$50))+Inputs!$C$47*0.097)))+0.3*(2*((SIN(((Model_Data!A91)*12.9898+(Inputs!$C$6)*78.233+Inputs!$C$47*37.719))*43758.5453)-INT((SIN(((Model_Data!A91)*12.9898+(Inputs!$C$6)*78.233+Inputs!$C$47*37.719))*43758.5453)))-1)))</f>
        <v>405.17934846817269</v>
      </c>
      <c r="G91" s="9">
        <f>(Inputs!$C$51*(115*EXP(-(((0)-25)^2)/(4.5^2))+70*EXP(-(((0)+38)^2)/(7^2))*(0.55+0.45*SIN(2*PI()*(Model_Data!A91)/45))+24*SIN(2*PI()*(0)/9+(Model_Data!A91)/18)*EXP(-(((0)+5)^2)/(22^2))+18*SIN(2*PI()*(Model_Data!A91)/70))+Inputs!$C$28*EXP(-(((Model_Data!A91)-Inputs!$C$29)^2)/(2*Inputs!$C$31^2))*EXP(-(((0)-Inputs!$C$30)^2)/(2*Inputs!$C$32^2))+-Inputs!$C$33*EXP(-(((((Model_Data!A91)-Inputs!$C$34)^2)+(((0)-Inputs!$C$35)^2))/(2*Inputs!$C$36^2)))+Inputs!$C$37*(0.55*SIN(2*PI()*(Model_Data!A91)/Inputs!$C$39)+0.35*COS(2*PI()*(0)/Inputs!$C$40)+0.2*SIN(2*PI()*((Model_Data!A91)+(0))/(0.5*(Inputs!$C$39+Inputs!$C$40))))+Inputs!$C$38*SIN(2*PI()*(Model_Data!A91)/Inputs!$C$39)*SIN(2*PI()*(0)/Inputs!$C$40)+-Inputs!$C$41*EXP(-(((0)-Inputs!$C$43)^2)/(2*Inputs!$C$44^2))*EXP(-(((Model_Data!A91)-Inputs!$C$42)^2)/(2*Inputs!$C$45^2))+Inputs!$C$48*(0.7*(0.45*SIN(2*PI()*(((Model_Data!A91)/Inputs!$C$49)+Inputs!$C$47*0.137))+0.35*COS(2*PI()*(((0)/Inputs!$C$50)+Inputs!$C$47*0.173))+0.2*SIN(2*PI()*(((Model_Data!A91)+(0))/(0.5*(Inputs!$C$49+Inputs!$C$50))+Inputs!$C$47*0.097)))+0.3*(2*((SIN(((Model_Data!A91)*12.9898+(0)*78.233+Inputs!$C$47*37.719))*43758.5453)-INT((SIN(((Model_Data!A91)*12.9898+(0)*78.233+Inputs!$C$47*37.719))*43758.5453)))-1)))</f>
        <v>-109.31712972071381</v>
      </c>
      <c r="H91" s="10"/>
      <c r="I91" s="9">
        <f>Model_Data!A91</f>
        <v>-15.5</v>
      </c>
      <c r="J91" s="9">
        <f>(Inputs!$C$51*(115*EXP(-(((Inputs!$C$6)-25)^2)/(4.5^2))+70*EXP(-(((Inputs!$C$6)+38)^2)/(7^2))*(0.55+0.45*SIN(2*PI()*(Model_Data!A91)/45))+24*SIN(2*PI()*(Inputs!$C$6)/9+(Model_Data!A91)/18)*EXP(-(((Inputs!$C$6)+5)^2)/(22^2))+18*SIN(2*PI()*(Model_Data!A91)/70))+Inputs!$C$28*EXP(-(((Model_Data!A91)-Inputs!$C$29)^2)/(2*Inputs!$C$31^2))*EXP(-(((Inputs!$C$6)-Inputs!$C$30)^2)/(2*Inputs!$C$32^2))+-Inputs!$C$33*EXP(-(((((Model_Data!A91)-Inputs!$C$34)^2)+(((Inputs!$C$6)-Inputs!$C$35)^2))/(2*Inputs!$C$36^2)))+Inputs!$C$37*(0.55*SIN(2*PI()*(Model_Data!A91)/Inputs!$C$39)+0.35*COS(2*PI()*(Inputs!$C$6)/Inputs!$C$40)+0.2*SIN(2*PI()*((Model_Data!A91)+(Inputs!$C$6))/(0.5*(Inputs!$C$39+Inputs!$C$40))))+Inputs!$C$38*SIN(2*PI()*(Model_Data!A91)/Inputs!$C$39)*SIN(2*PI()*(Inputs!$C$6)/Inputs!$C$40)+-Inputs!$C$41*EXP(-(((Inputs!$C$6)-Inputs!$C$43)^2)/(2*Inputs!$C$44^2))*EXP(-(((Model_Data!A91)-Inputs!$C$42)^2)/(2*Inputs!$C$45^2))+Inputs!$C$48*(0.7*(0.45*SIN(2*PI()*(((Model_Data!A91)/Inputs!$C$49)+Inputs!$C$47*0.137))+0.35*COS(2*PI()*(((Inputs!$C$6)/Inputs!$C$50)+Inputs!$C$47*0.173))+0.2*SIN(2*PI()*(((Model_Data!A91)+(Inputs!$C$6))/(0.5*(Inputs!$C$49+Inputs!$C$50))+Inputs!$C$47*0.097)))+0.3*(2*((SIN(((Model_Data!A91)*12.9898+(Inputs!$C$6)*78.233+Inputs!$C$47*37.719))*43758.5453)-INT((SIN(((Model_Data!A91)*12.9898+(Inputs!$C$6)*78.233+Inputs!$C$47*37.719))*43758.5453)))-1)))</f>
        <v>405.17934846817269</v>
      </c>
      <c r="K91" s="9">
        <f>-((((SQRT((Model_Data!A91)^2+Inputs!$C$6^2+((Model_Data!B91)-((Inputs!$C$51*(115*EXP(-(((Inputs!$C$6)-25)^2)/(4.5^2))+70*EXP(-(((Inputs!$C$6)+38)^2)/(7^2))*(0.55+0.45*SIN(2*PI()*(Model_Data!A91)/45))+24*SIN(2*PI()*(Inputs!$C$6)/9+(Model_Data!A91)/18)*EXP(-(((Inputs!$C$6)+5)^2)/(22^2))+18*SIN(2*PI()*(Model_Data!A91)/70))+Inputs!$C$28*EXP(-(((Model_Data!A91)-Inputs!$C$29)^2)/(2*Inputs!$C$31^2))*EXP(-(((Inputs!$C$6)-Inputs!$C$30)^2)/(2*Inputs!$C$32^2))+-Inputs!$C$33*EXP(-(((((Model_Data!A91)-Inputs!$C$34)^2)+(((Inputs!$C$6)-Inputs!$C$35)^2))/(2*Inputs!$C$36^2)))+Inputs!$C$37*(0.55*SIN(2*PI()*(Model_Data!A91)/Inputs!$C$39)+0.35*COS(2*PI()*(Inputs!$C$6)/Inputs!$C$40)+0.2*SIN(2*PI()*((Model_Data!A91)+(Inputs!$C$6))/(0.5*(Inputs!$C$39+Inputs!$C$40))))+Inputs!$C$38*SIN(2*PI()*(Model_Data!A91)/Inputs!$C$39)*SIN(2*PI()*(Inputs!$C$6)/Inputs!$C$40)+-Inputs!$C$41*EXP(-(((Inputs!$C$6)-Inputs!$C$43)^2)/(2*Inputs!$C$44^2))*EXP(-(((Model_Data!A91)-Inputs!$C$42)^2)/(2*Inputs!$C$45^2))+Inputs!$C$48*(0.7*(0.45*SIN(2*PI()*(((Model_Data!A91)/Inputs!$C$49)+Inputs!$C$47*0.137))+0.35*COS(2*PI()*(((Inputs!$C$6)/Inputs!$C$50)+Inputs!$C$47*0.173))+0.2*SIN(2*PI()*(((Model_Data!A91)+(Inputs!$C$6))/(0.5*(Inputs!$C$49+Inputs!$C$50))+Inputs!$C$47*0.097)))+0.3*(2*((SIN(((Model_Data!A91)*12.9898+(Inputs!$C$6)*78.233+Inputs!$C$47*37.719))*43758.5453)-INT((SIN(((Model_Data!A91)*12.9898+(Inputs!$C$6)*78.233+Inputs!$C$47*37.719))*43758.5453)))-1))))/1000)^2))-(((Model_Data!B91)-((Inputs!$C$51*(115*EXP(-(((0)-25)^2)/(4.5^2))+70*EXP(-(((0)+38)^2)/(7^2))*(0.55+0.45*SIN(2*PI()*(Model_Data!A91)/45))+24*SIN(2*PI()*(0)/9+(Model_Data!A91)/18)*EXP(-(((0)+5)^2)/(22^2))+18*SIN(2*PI()*(Model_Data!A91)/70))+Inputs!$C$28*EXP(-(((Model_Data!A91)-Inputs!$C$29)^2)/(2*Inputs!$C$31^2))*EXP(-(((0)-Inputs!$C$30)^2)/(2*Inputs!$C$32^2))+-Inputs!$C$33*EXP(-(((((Model_Data!A91)-Inputs!$C$34)^2)+(((0)-Inputs!$C$35)^2))/(2*Inputs!$C$36^2)))+Inputs!$C$37*(0.55*SIN(2*PI()*(Model_Data!A91)/Inputs!$C$39)+0.35*COS(2*PI()*(0)/Inputs!$C$40)+0.2*SIN(2*PI()*((Model_Data!A91)+(0))/(0.5*(Inputs!$C$39+Inputs!$C$40))))+Inputs!$C$38*SIN(2*PI()*(Model_Data!A91)/Inputs!$C$39)*SIN(2*PI()*(0)/Inputs!$C$40)+-Inputs!$C$41*EXP(-(((0)-Inputs!$C$43)^2)/(2*Inputs!$C$44^2))*EXP(-(((Model_Data!A91)-Inputs!$C$42)^2)/(2*Inputs!$C$45^2))+Inputs!$C$48*(0.7*(0.45*SIN(2*PI()*(((Model_Data!A91)/Inputs!$C$49)+Inputs!$C$47*0.137))+0.35*COS(2*PI()*(((0)/Inputs!$C$50)+Inputs!$C$47*0.173))+0.2*SIN(2*PI()*(((Model_Data!A91)+(0))/(0.5*(Inputs!$C$49+Inputs!$C$50))+Inputs!$C$47*0.097)))+0.3*(2*((SIN(((Model_Data!A91)*12.9898+(0)*78.233+Inputs!$C$47*37.719))*43758.5453)-INT((SIN(((Model_Data!A91)*12.9898+(0)*78.233+Inputs!$C$47*37.719))*43758.5453)))-1))))/1000)))*1000/Inputs!$C$12)-Model_Data!F91)</f>
        <v>288.43015959266268</v>
      </c>
      <c r="L91" s="10"/>
      <c r="M91" s="9">
        <f>Model_Data!A91</f>
        <v>-15.5</v>
      </c>
      <c r="N91" s="9">
        <f>Model_Data!P91</f>
        <v>116.754913440409</v>
      </c>
      <c r="O91" s="9">
        <f t="shared" si="2"/>
        <v>122.13927358234287</v>
      </c>
      <c r="P91" s="9">
        <f>Model_Data!Q91</f>
        <v>17.530767783845196</v>
      </c>
      <c r="Q91" s="9">
        <f t="shared" si="3"/>
        <v>18.339230267619051</v>
      </c>
      <c r="R91" s="10"/>
      <c r="S91" s="9">
        <f>Model_Data!A91</f>
        <v>-15.5</v>
      </c>
      <c r="T91" s="9">
        <f>Model_Data!B91-Inputs!$C$5</f>
        <v>0.26694444444444798</v>
      </c>
      <c r="U91" s="10"/>
      <c r="V91" s="9">
        <f>Model_Data!A91</f>
        <v>-15.5</v>
      </c>
      <c r="W91" s="9">
        <f>((SQRT((Model_Data!A91)^2+Inputs!$C$6^2+Inputs!$C$5^2)-Inputs!$C$5)*1000/Inputs!$C$12)</f>
        <v>606.80012280685651</v>
      </c>
      <c r="X91" s="9">
        <f>Model_Data!F91</f>
        <v>606.39652679891867</v>
      </c>
      <c r="Y91" s="10"/>
      <c r="Z91" s="9">
        <f>Model_Data!A91</f>
        <v>-15.5</v>
      </c>
      <c r="AA91" s="9">
        <f>SQRT((Model_Data!A91)^2+Inputs!$C$6^2+((Model_Data!B91)-((Inputs!$C$51*(115*EXP(-(((Inputs!$C$6)-25)^2)/(4.5^2))+70*EXP(-(((Inputs!$C$6)+38)^2)/(7^2))*(0.55+0.45*SIN(2*PI()*(Model_Data!A91)/45))+24*SIN(2*PI()*(Inputs!$C$6)/9+(Model_Data!A91)/18)*EXP(-(((Inputs!$C$6)+5)^2)/(22^2))+18*SIN(2*PI()*(Model_Data!A91)/70))+Inputs!$C$28*EXP(-(((Model_Data!A91)-Inputs!$C$29)^2)/(2*Inputs!$C$31^2))*EXP(-(((Inputs!$C$6)-Inputs!$C$30)^2)/(2*Inputs!$C$32^2))+-Inputs!$C$33*EXP(-(((((Model_Data!A91)-Inputs!$C$34)^2)+(((Inputs!$C$6)-Inputs!$C$35)^2))/(2*Inputs!$C$36^2)))+Inputs!$C$37*(0.55*SIN(2*PI()*(Model_Data!A91)/Inputs!$C$39)+0.35*COS(2*PI()*(Inputs!$C$6)/Inputs!$C$40)+0.2*SIN(2*PI()*((Model_Data!A91)+(Inputs!$C$6))/(0.5*(Inputs!$C$39+Inputs!$C$40))))+Inputs!$C$38*SIN(2*PI()*(Model_Data!A91)/Inputs!$C$39)*SIN(2*PI()*(Inputs!$C$6)/Inputs!$C$40)+-Inputs!$C$41*EXP(-(((Inputs!$C$6)-Inputs!$C$43)^2)/(2*Inputs!$C$44^2))*EXP(-(((Model_Data!A91)-Inputs!$C$42)^2)/(2*Inputs!$C$45^2))+Inputs!$C$48*(0.7*(0.45*SIN(2*PI()*(((Model_Data!A91)/Inputs!$C$49)+Inputs!$C$47*0.137))+0.35*COS(2*PI()*(((Inputs!$C$6)/Inputs!$C$50)+Inputs!$C$47*0.173))+0.2*SIN(2*PI()*(((Model_Data!A91)+(Inputs!$C$6))/(0.5*(Inputs!$C$49+Inputs!$C$50))+Inputs!$C$47*0.097)))+0.3*(2*((SIN(((Model_Data!A91)*12.9898+(Inputs!$C$6)*78.233+Inputs!$C$47*37.719))*43758.5453)-INT((SIN(((Model_Data!A91)*12.9898+(Inputs!$C$6)*78.233+Inputs!$C$47*37.719))*43758.5453)))-1))))/1000)^2)</f>
        <v>400.94224170779228</v>
      </c>
      <c r="AB91" s="9">
        <f>1000*(AA92-AA90)/(Z92-Z90)*Inputs!$C$11</f>
        <v>-305.34818395585717</v>
      </c>
      <c r="AC91" s="9">
        <f>-2*AB91/Inputs!$C$13</f>
        <v>122.13927358234287</v>
      </c>
      <c r="AD91" s="9">
        <f>-2*AB91/Inputs!$C$14</f>
        <v>18.339230267619051</v>
      </c>
    </row>
    <row r="92" spans="1:30">
      <c r="A92" s="9">
        <f>Model_Data!A92</f>
        <v>-15</v>
      </c>
      <c r="B92" s="9">
        <f>((SQRT((Model_Data!A92)^2+Inputs!$C$6^2+Inputs!$C$5^2)-Inputs!$C$5)*1000/Inputs!$C$12)</f>
        <v>596.11943994918954</v>
      </c>
      <c r="C92" s="9">
        <f>Model_Data!F92</f>
        <v>595.74808220334489</v>
      </c>
      <c r="D92" s="9">
        <f>(((SQRT((Model_Data!A92)^2+Inputs!$C$6^2+((Model_Data!B92)-((Inputs!$C$51*(115*EXP(-(((Inputs!$C$6)-25)^2)/(4.5^2))+70*EXP(-(((Inputs!$C$6)+38)^2)/(7^2))*(0.55+0.45*SIN(2*PI()*(Model_Data!A92)/45))+24*SIN(2*PI()*(Inputs!$C$6)/9+(Model_Data!A92)/18)*EXP(-(((Inputs!$C$6)+5)^2)/(22^2))+18*SIN(2*PI()*(Model_Data!A92)/70))+Inputs!$C$28*EXP(-(((Model_Data!A92)-Inputs!$C$29)^2)/(2*Inputs!$C$31^2))*EXP(-(((Inputs!$C$6)-Inputs!$C$30)^2)/(2*Inputs!$C$32^2))+-Inputs!$C$33*EXP(-(((((Model_Data!A92)-Inputs!$C$34)^2)+(((Inputs!$C$6)-Inputs!$C$35)^2))/(2*Inputs!$C$36^2)))+Inputs!$C$37*(0.55*SIN(2*PI()*(Model_Data!A92)/Inputs!$C$39)+0.35*COS(2*PI()*(Inputs!$C$6)/Inputs!$C$40)+0.2*SIN(2*PI()*((Model_Data!A92)+(Inputs!$C$6))/(0.5*(Inputs!$C$39+Inputs!$C$40))))+Inputs!$C$38*SIN(2*PI()*(Model_Data!A92)/Inputs!$C$39)*SIN(2*PI()*(Inputs!$C$6)/Inputs!$C$40)+-Inputs!$C$41*EXP(-(((Inputs!$C$6)-Inputs!$C$43)^2)/(2*Inputs!$C$44^2))*EXP(-(((Model_Data!A92)-Inputs!$C$42)^2)/(2*Inputs!$C$45^2))+Inputs!$C$48*(0.7*(0.45*SIN(2*PI()*(((Model_Data!A92)/Inputs!$C$49)+Inputs!$C$47*0.137))+0.35*COS(2*PI()*(((Inputs!$C$6)/Inputs!$C$50)+Inputs!$C$47*0.173))+0.2*SIN(2*PI()*(((Model_Data!A92)+(Inputs!$C$6))/(0.5*(Inputs!$C$49+Inputs!$C$50))+Inputs!$C$47*0.097)))+0.3*(2*((SIN(((Model_Data!A92)*12.9898+(Inputs!$C$6)*78.233+Inputs!$C$47*37.719))*43758.5453)-INT((SIN(((Model_Data!A92)*12.9898+(Inputs!$C$6)*78.233+Inputs!$C$47*37.719))*43758.5453)))-1))))/1000)^2))-(((Model_Data!B92)-((Inputs!$C$51*(115*EXP(-(((0)-25)^2)/(4.5^2))+70*EXP(-(((0)+38)^2)/(7^2))*(0.55+0.45*SIN(2*PI()*(Model_Data!A92)/45))+24*SIN(2*PI()*(0)/9+(Model_Data!A92)/18)*EXP(-(((0)+5)^2)/(22^2))+18*SIN(2*PI()*(Model_Data!A92)/70))+Inputs!$C$28*EXP(-(((Model_Data!A92)-Inputs!$C$29)^2)/(2*Inputs!$C$31^2))*EXP(-(((0)-Inputs!$C$30)^2)/(2*Inputs!$C$32^2))+-Inputs!$C$33*EXP(-(((((Model_Data!A92)-Inputs!$C$34)^2)+(((0)-Inputs!$C$35)^2))/(2*Inputs!$C$36^2)))+Inputs!$C$37*(0.55*SIN(2*PI()*(Model_Data!A92)/Inputs!$C$39)+0.35*COS(2*PI()*(0)/Inputs!$C$40)+0.2*SIN(2*PI()*((Model_Data!A92)+(0))/(0.5*(Inputs!$C$39+Inputs!$C$40))))+Inputs!$C$38*SIN(2*PI()*(Model_Data!A92)/Inputs!$C$39)*SIN(2*PI()*(0)/Inputs!$C$40)+-Inputs!$C$41*EXP(-(((0)-Inputs!$C$43)^2)/(2*Inputs!$C$44^2))*EXP(-(((Model_Data!A92)-Inputs!$C$42)^2)/(2*Inputs!$C$45^2))+Inputs!$C$48*(0.7*(0.45*SIN(2*PI()*(((Model_Data!A92)/Inputs!$C$49)+Inputs!$C$47*0.137))+0.35*COS(2*PI()*(((0)/Inputs!$C$50)+Inputs!$C$47*0.173))+0.2*SIN(2*PI()*(((Model_Data!A92)+(0))/(0.5*(Inputs!$C$49+Inputs!$C$50))+Inputs!$C$47*0.097)))+0.3*(2*((SIN(((Model_Data!A92)*12.9898+(0)*78.233+Inputs!$C$47*37.719))*43758.5453)-INT((SIN(((Model_Data!A92)*12.9898+(0)*78.233+Inputs!$C$47*37.719))*43758.5453)))-1))))/1000)))*1000/Inputs!$C$12)</f>
        <v>311.4652206923775</v>
      </c>
      <c r="E92" s="9">
        <f>Model_Data!A92</f>
        <v>-15</v>
      </c>
      <c r="F92" s="9">
        <f>(Inputs!$C$51*(115*EXP(-(((Inputs!$C$6)-25)^2)/(4.5^2))+70*EXP(-(((Inputs!$C$6)+38)^2)/(7^2))*(0.55+0.45*SIN(2*PI()*(Model_Data!A92)/45))+24*SIN(2*PI()*(Inputs!$C$6)/9+(Model_Data!A92)/18)*EXP(-(((Inputs!$C$6)+5)^2)/(22^2))+18*SIN(2*PI()*(Model_Data!A92)/70))+Inputs!$C$28*EXP(-(((Model_Data!A92)-Inputs!$C$29)^2)/(2*Inputs!$C$31^2))*EXP(-(((Inputs!$C$6)-Inputs!$C$30)^2)/(2*Inputs!$C$32^2))+-Inputs!$C$33*EXP(-(((((Model_Data!A92)-Inputs!$C$34)^2)+(((Inputs!$C$6)-Inputs!$C$35)^2))/(2*Inputs!$C$36^2)))+Inputs!$C$37*(0.55*SIN(2*PI()*(Model_Data!A92)/Inputs!$C$39)+0.35*COS(2*PI()*(Inputs!$C$6)/Inputs!$C$40)+0.2*SIN(2*PI()*((Model_Data!A92)+(Inputs!$C$6))/(0.5*(Inputs!$C$39+Inputs!$C$40))))+Inputs!$C$38*SIN(2*PI()*(Model_Data!A92)/Inputs!$C$39)*SIN(2*PI()*(Inputs!$C$6)/Inputs!$C$40)+-Inputs!$C$41*EXP(-(((Inputs!$C$6)-Inputs!$C$43)^2)/(2*Inputs!$C$44^2))*EXP(-(((Model_Data!A92)-Inputs!$C$42)^2)/(2*Inputs!$C$45^2))+Inputs!$C$48*(0.7*(0.45*SIN(2*PI()*(((Model_Data!A92)/Inputs!$C$49)+Inputs!$C$47*0.137))+0.35*COS(2*PI()*(((Inputs!$C$6)/Inputs!$C$50)+Inputs!$C$47*0.173))+0.2*SIN(2*PI()*(((Model_Data!A92)+(Inputs!$C$6))/(0.5*(Inputs!$C$49+Inputs!$C$50))+Inputs!$C$47*0.097)))+0.3*(2*((SIN(((Model_Data!A92)*12.9898+(Inputs!$C$6)*78.233+Inputs!$C$47*37.719))*43758.5453)-INT((SIN(((Model_Data!A92)*12.9898+(Inputs!$C$6)*78.233+Inputs!$C$47*37.719))*43758.5453)))-1)))</f>
        <v>416.63024006091615</v>
      </c>
      <c r="G92" s="9">
        <f>(Inputs!$C$51*(115*EXP(-(((0)-25)^2)/(4.5^2))+70*EXP(-(((0)+38)^2)/(7^2))*(0.55+0.45*SIN(2*PI()*(Model_Data!A92)/45))+24*SIN(2*PI()*(0)/9+(Model_Data!A92)/18)*EXP(-(((0)+5)^2)/(22^2))+18*SIN(2*PI()*(Model_Data!A92)/70))+Inputs!$C$28*EXP(-(((Model_Data!A92)-Inputs!$C$29)^2)/(2*Inputs!$C$31^2))*EXP(-(((0)-Inputs!$C$30)^2)/(2*Inputs!$C$32^2))+-Inputs!$C$33*EXP(-(((((Model_Data!A92)-Inputs!$C$34)^2)+(((0)-Inputs!$C$35)^2))/(2*Inputs!$C$36^2)))+Inputs!$C$37*(0.55*SIN(2*PI()*(Model_Data!A92)/Inputs!$C$39)+0.35*COS(2*PI()*(0)/Inputs!$C$40)+0.2*SIN(2*PI()*((Model_Data!A92)+(0))/(0.5*(Inputs!$C$39+Inputs!$C$40))))+Inputs!$C$38*SIN(2*PI()*(Model_Data!A92)/Inputs!$C$39)*SIN(2*PI()*(0)/Inputs!$C$40)+-Inputs!$C$41*EXP(-(((0)-Inputs!$C$43)^2)/(2*Inputs!$C$44^2))*EXP(-(((Model_Data!A92)-Inputs!$C$42)^2)/(2*Inputs!$C$45^2))+Inputs!$C$48*(0.7*(0.45*SIN(2*PI()*(((Model_Data!A92)/Inputs!$C$49)+Inputs!$C$47*0.137))+0.35*COS(2*PI()*(((0)/Inputs!$C$50)+Inputs!$C$47*0.173))+0.2*SIN(2*PI()*(((Model_Data!A92)+(0))/(0.5*(Inputs!$C$49+Inputs!$C$50))+Inputs!$C$47*0.097)))+0.3*(2*((SIN(((Model_Data!A92)*12.9898+(0)*78.233+Inputs!$C$47*37.719))*43758.5453)-INT((SIN(((Model_Data!A92)*12.9898+(0)*78.233+Inputs!$C$47*37.719))*43758.5453)))-1)))</f>
        <v>-90.495309029444954</v>
      </c>
      <c r="H92" s="10"/>
      <c r="I92" s="9">
        <f>Model_Data!A92</f>
        <v>-15</v>
      </c>
      <c r="J92" s="9">
        <f>(Inputs!$C$51*(115*EXP(-(((Inputs!$C$6)-25)^2)/(4.5^2))+70*EXP(-(((Inputs!$C$6)+38)^2)/(7^2))*(0.55+0.45*SIN(2*PI()*(Model_Data!A92)/45))+24*SIN(2*PI()*(Inputs!$C$6)/9+(Model_Data!A92)/18)*EXP(-(((Inputs!$C$6)+5)^2)/(22^2))+18*SIN(2*PI()*(Model_Data!A92)/70))+Inputs!$C$28*EXP(-(((Model_Data!A92)-Inputs!$C$29)^2)/(2*Inputs!$C$31^2))*EXP(-(((Inputs!$C$6)-Inputs!$C$30)^2)/(2*Inputs!$C$32^2))+-Inputs!$C$33*EXP(-(((((Model_Data!A92)-Inputs!$C$34)^2)+(((Inputs!$C$6)-Inputs!$C$35)^2))/(2*Inputs!$C$36^2)))+Inputs!$C$37*(0.55*SIN(2*PI()*(Model_Data!A92)/Inputs!$C$39)+0.35*COS(2*PI()*(Inputs!$C$6)/Inputs!$C$40)+0.2*SIN(2*PI()*((Model_Data!A92)+(Inputs!$C$6))/(0.5*(Inputs!$C$39+Inputs!$C$40))))+Inputs!$C$38*SIN(2*PI()*(Model_Data!A92)/Inputs!$C$39)*SIN(2*PI()*(Inputs!$C$6)/Inputs!$C$40)+-Inputs!$C$41*EXP(-(((Inputs!$C$6)-Inputs!$C$43)^2)/(2*Inputs!$C$44^2))*EXP(-(((Model_Data!A92)-Inputs!$C$42)^2)/(2*Inputs!$C$45^2))+Inputs!$C$48*(0.7*(0.45*SIN(2*PI()*(((Model_Data!A92)/Inputs!$C$49)+Inputs!$C$47*0.137))+0.35*COS(2*PI()*(((Inputs!$C$6)/Inputs!$C$50)+Inputs!$C$47*0.173))+0.2*SIN(2*PI()*(((Model_Data!A92)+(Inputs!$C$6))/(0.5*(Inputs!$C$49+Inputs!$C$50))+Inputs!$C$47*0.097)))+0.3*(2*((SIN(((Model_Data!A92)*12.9898+(Inputs!$C$6)*78.233+Inputs!$C$47*37.719))*43758.5453)-INT((SIN(((Model_Data!A92)*12.9898+(Inputs!$C$6)*78.233+Inputs!$C$47*37.719))*43758.5453)))-1)))</f>
        <v>416.63024006091615</v>
      </c>
      <c r="K92" s="9">
        <f>-((((SQRT((Model_Data!A92)^2+Inputs!$C$6^2+((Model_Data!B92)-((Inputs!$C$51*(115*EXP(-(((Inputs!$C$6)-25)^2)/(4.5^2))+70*EXP(-(((Inputs!$C$6)+38)^2)/(7^2))*(0.55+0.45*SIN(2*PI()*(Model_Data!A92)/45))+24*SIN(2*PI()*(Inputs!$C$6)/9+(Model_Data!A92)/18)*EXP(-(((Inputs!$C$6)+5)^2)/(22^2))+18*SIN(2*PI()*(Model_Data!A92)/70))+Inputs!$C$28*EXP(-(((Model_Data!A92)-Inputs!$C$29)^2)/(2*Inputs!$C$31^2))*EXP(-(((Inputs!$C$6)-Inputs!$C$30)^2)/(2*Inputs!$C$32^2))+-Inputs!$C$33*EXP(-(((((Model_Data!A92)-Inputs!$C$34)^2)+(((Inputs!$C$6)-Inputs!$C$35)^2))/(2*Inputs!$C$36^2)))+Inputs!$C$37*(0.55*SIN(2*PI()*(Model_Data!A92)/Inputs!$C$39)+0.35*COS(2*PI()*(Inputs!$C$6)/Inputs!$C$40)+0.2*SIN(2*PI()*((Model_Data!A92)+(Inputs!$C$6))/(0.5*(Inputs!$C$39+Inputs!$C$40))))+Inputs!$C$38*SIN(2*PI()*(Model_Data!A92)/Inputs!$C$39)*SIN(2*PI()*(Inputs!$C$6)/Inputs!$C$40)+-Inputs!$C$41*EXP(-(((Inputs!$C$6)-Inputs!$C$43)^2)/(2*Inputs!$C$44^2))*EXP(-(((Model_Data!A92)-Inputs!$C$42)^2)/(2*Inputs!$C$45^2))+Inputs!$C$48*(0.7*(0.45*SIN(2*PI()*(((Model_Data!A92)/Inputs!$C$49)+Inputs!$C$47*0.137))+0.35*COS(2*PI()*(((Inputs!$C$6)/Inputs!$C$50)+Inputs!$C$47*0.173))+0.2*SIN(2*PI()*(((Model_Data!A92)+(Inputs!$C$6))/(0.5*(Inputs!$C$49+Inputs!$C$50))+Inputs!$C$47*0.097)))+0.3*(2*((SIN(((Model_Data!A92)*12.9898+(Inputs!$C$6)*78.233+Inputs!$C$47*37.719))*43758.5453)-INT((SIN(((Model_Data!A92)*12.9898+(Inputs!$C$6)*78.233+Inputs!$C$47*37.719))*43758.5453)))-1))))/1000)^2))-(((Model_Data!B92)-((Inputs!$C$51*(115*EXP(-(((0)-25)^2)/(4.5^2))+70*EXP(-(((0)+38)^2)/(7^2))*(0.55+0.45*SIN(2*PI()*(Model_Data!A92)/45))+24*SIN(2*PI()*(0)/9+(Model_Data!A92)/18)*EXP(-(((0)+5)^2)/(22^2))+18*SIN(2*PI()*(Model_Data!A92)/70))+Inputs!$C$28*EXP(-(((Model_Data!A92)-Inputs!$C$29)^2)/(2*Inputs!$C$31^2))*EXP(-(((0)-Inputs!$C$30)^2)/(2*Inputs!$C$32^2))+-Inputs!$C$33*EXP(-(((((Model_Data!A92)-Inputs!$C$34)^2)+(((0)-Inputs!$C$35)^2))/(2*Inputs!$C$36^2)))+Inputs!$C$37*(0.55*SIN(2*PI()*(Model_Data!A92)/Inputs!$C$39)+0.35*COS(2*PI()*(0)/Inputs!$C$40)+0.2*SIN(2*PI()*((Model_Data!A92)+(0))/(0.5*(Inputs!$C$39+Inputs!$C$40))))+Inputs!$C$38*SIN(2*PI()*(Model_Data!A92)/Inputs!$C$39)*SIN(2*PI()*(0)/Inputs!$C$40)+-Inputs!$C$41*EXP(-(((0)-Inputs!$C$43)^2)/(2*Inputs!$C$44^2))*EXP(-(((Model_Data!A92)-Inputs!$C$42)^2)/(2*Inputs!$C$45^2))+Inputs!$C$48*(0.7*(0.45*SIN(2*PI()*(((Model_Data!A92)/Inputs!$C$49)+Inputs!$C$47*0.137))+0.35*COS(2*PI()*(((0)/Inputs!$C$50)+Inputs!$C$47*0.173))+0.2*SIN(2*PI()*(((Model_Data!A92)+(0))/(0.5*(Inputs!$C$49+Inputs!$C$50))+Inputs!$C$47*0.097)))+0.3*(2*((SIN(((Model_Data!A92)*12.9898+(0)*78.233+Inputs!$C$47*37.719))*43758.5453)-INT((SIN(((Model_Data!A92)*12.9898+(0)*78.233+Inputs!$C$47*37.719))*43758.5453)))-1))))/1000)))*1000/Inputs!$C$12)-Model_Data!F92)</f>
        <v>284.28286151096739</v>
      </c>
      <c r="L92" s="10"/>
      <c r="M92" s="9">
        <f>Model_Data!A92</f>
        <v>-15</v>
      </c>
      <c r="N92" s="9">
        <f>Model_Data!P92</f>
        <v>112.99648127116424</v>
      </c>
      <c r="O92" s="9">
        <f t="shared" si="2"/>
        <v>145.18753774073048</v>
      </c>
      <c r="P92" s="9">
        <f>Model_Data!Q92</f>
        <v>16.966438629303944</v>
      </c>
      <c r="Q92" s="9">
        <f t="shared" si="3"/>
        <v>21.799930591701276</v>
      </c>
      <c r="R92" s="10"/>
      <c r="S92" s="9">
        <f>Model_Data!A92</f>
        <v>-15</v>
      </c>
      <c r="T92" s="9">
        <f>Model_Data!B92-Inputs!$C$5</f>
        <v>0.25</v>
      </c>
      <c r="U92" s="10"/>
      <c r="V92" s="9">
        <f>Model_Data!A92</f>
        <v>-15</v>
      </c>
      <c r="W92" s="9">
        <f>((SQRT((Model_Data!A92)^2+Inputs!$C$6^2+Inputs!$C$5^2)-Inputs!$C$5)*1000/Inputs!$C$12)</f>
        <v>596.11943994918954</v>
      </c>
      <c r="X92" s="9">
        <f>Model_Data!F92</f>
        <v>595.74808220334489</v>
      </c>
      <c r="Y92" s="10"/>
      <c r="Z92" s="9">
        <f>Model_Data!A92</f>
        <v>-15</v>
      </c>
      <c r="AA92" s="9">
        <f>SQRT((Model_Data!A92)^2+Inputs!$C$6^2+((Model_Data!B92)-((Inputs!$C$51*(115*EXP(-(((Inputs!$C$6)-25)^2)/(4.5^2))+70*EXP(-(((Inputs!$C$6)+38)^2)/(7^2))*(0.55+0.45*SIN(2*PI()*(Model_Data!A92)/45))+24*SIN(2*PI()*(Inputs!$C$6)/9+(Model_Data!A92)/18)*EXP(-(((Inputs!$C$6)+5)^2)/(22^2))+18*SIN(2*PI()*(Model_Data!A92)/70))+Inputs!$C$28*EXP(-(((Model_Data!A92)-Inputs!$C$29)^2)/(2*Inputs!$C$31^2))*EXP(-(((Inputs!$C$6)-Inputs!$C$30)^2)/(2*Inputs!$C$32^2))+-Inputs!$C$33*EXP(-(((((Model_Data!A92)-Inputs!$C$34)^2)+(((Inputs!$C$6)-Inputs!$C$35)^2))/(2*Inputs!$C$36^2)))+Inputs!$C$37*(0.55*SIN(2*PI()*(Model_Data!A92)/Inputs!$C$39)+0.35*COS(2*PI()*(Inputs!$C$6)/Inputs!$C$40)+0.2*SIN(2*PI()*((Model_Data!A92)+(Inputs!$C$6))/(0.5*(Inputs!$C$39+Inputs!$C$40))))+Inputs!$C$38*SIN(2*PI()*(Model_Data!A92)/Inputs!$C$39)*SIN(2*PI()*(Inputs!$C$6)/Inputs!$C$40)+-Inputs!$C$41*EXP(-(((Inputs!$C$6)-Inputs!$C$43)^2)/(2*Inputs!$C$44^2))*EXP(-(((Model_Data!A92)-Inputs!$C$42)^2)/(2*Inputs!$C$45^2))+Inputs!$C$48*(0.7*(0.45*SIN(2*PI()*(((Model_Data!A92)/Inputs!$C$49)+Inputs!$C$47*0.137))+0.35*COS(2*PI()*(((Inputs!$C$6)/Inputs!$C$50)+Inputs!$C$47*0.173))+0.2*SIN(2*PI()*(((Model_Data!A92)+(Inputs!$C$6))/(0.5*(Inputs!$C$49+Inputs!$C$50))+Inputs!$C$47*0.097)))+0.3*(2*((SIN(((Model_Data!A92)*12.9898+(Inputs!$C$6)*78.233+Inputs!$C$47*37.719))*43758.5453)-INT((SIN(((Model_Data!A92)*12.9898+(Inputs!$C$6)*78.233+Inputs!$C$47*37.719))*43758.5453)))-1))))/1000)^2)</f>
        <v>400.89490340186188</v>
      </c>
      <c r="AB92" s="9">
        <f>1000*(AA93-AA91)/(Z93-Z91)*Inputs!$C$11</f>
        <v>-362.96884435182619</v>
      </c>
      <c r="AC92" s="9">
        <f>-2*AB92/Inputs!$C$13</f>
        <v>145.18753774073048</v>
      </c>
      <c r="AD92" s="9">
        <f>-2*AB92/Inputs!$C$14</f>
        <v>21.799930591701276</v>
      </c>
    </row>
    <row r="93" spans="1:30">
      <c r="A93" s="9">
        <f>Model_Data!A93</f>
        <v>-14.5</v>
      </c>
      <c r="B93" s="9">
        <f>((SQRT((Model_Data!A93)^2+Inputs!$C$6^2+Inputs!$C$5^2)-Inputs!$C$5)*1000/Inputs!$C$12)</f>
        <v>585.7884617209296</v>
      </c>
      <c r="C93" s="9">
        <f>Model_Data!F93</f>
        <v>585.44743287884194</v>
      </c>
      <c r="D93" s="9">
        <f>(((SQRT((Model_Data!A93)^2+Inputs!$C$6^2+((Model_Data!B93)-((Inputs!$C$51*(115*EXP(-(((Inputs!$C$6)-25)^2)/(4.5^2))+70*EXP(-(((Inputs!$C$6)+38)^2)/(7^2))*(0.55+0.45*SIN(2*PI()*(Model_Data!A93)/45))+24*SIN(2*PI()*(Inputs!$C$6)/9+(Model_Data!A93)/18)*EXP(-(((Inputs!$C$6)+5)^2)/(22^2))+18*SIN(2*PI()*(Model_Data!A93)/70))+Inputs!$C$28*EXP(-(((Model_Data!A93)-Inputs!$C$29)^2)/(2*Inputs!$C$31^2))*EXP(-(((Inputs!$C$6)-Inputs!$C$30)^2)/(2*Inputs!$C$32^2))+-Inputs!$C$33*EXP(-(((((Model_Data!A93)-Inputs!$C$34)^2)+(((Inputs!$C$6)-Inputs!$C$35)^2))/(2*Inputs!$C$36^2)))+Inputs!$C$37*(0.55*SIN(2*PI()*(Model_Data!A93)/Inputs!$C$39)+0.35*COS(2*PI()*(Inputs!$C$6)/Inputs!$C$40)+0.2*SIN(2*PI()*((Model_Data!A93)+(Inputs!$C$6))/(0.5*(Inputs!$C$39+Inputs!$C$40))))+Inputs!$C$38*SIN(2*PI()*(Model_Data!A93)/Inputs!$C$39)*SIN(2*PI()*(Inputs!$C$6)/Inputs!$C$40)+-Inputs!$C$41*EXP(-(((Inputs!$C$6)-Inputs!$C$43)^2)/(2*Inputs!$C$44^2))*EXP(-(((Model_Data!A93)-Inputs!$C$42)^2)/(2*Inputs!$C$45^2))+Inputs!$C$48*(0.7*(0.45*SIN(2*PI()*(((Model_Data!A93)/Inputs!$C$49)+Inputs!$C$47*0.137))+0.35*COS(2*PI()*(((Inputs!$C$6)/Inputs!$C$50)+Inputs!$C$47*0.173))+0.2*SIN(2*PI()*(((Model_Data!A93)+(Inputs!$C$6))/(0.5*(Inputs!$C$49+Inputs!$C$50))+Inputs!$C$47*0.097)))+0.3*(2*((SIN(((Model_Data!A93)*12.9898+(Inputs!$C$6)*78.233+Inputs!$C$47*37.719))*43758.5453)-INT((SIN(((Model_Data!A93)*12.9898+(Inputs!$C$6)*78.233+Inputs!$C$47*37.719))*43758.5453)))-1))))/1000)^2))-(((Model_Data!B93)-((Inputs!$C$51*(115*EXP(-(((0)-25)^2)/(4.5^2))+70*EXP(-(((0)+38)^2)/(7^2))*(0.55+0.45*SIN(2*PI()*(Model_Data!A93)/45))+24*SIN(2*PI()*(0)/9+(Model_Data!A93)/18)*EXP(-(((0)+5)^2)/(22^2))+18*SIN(2*PI()*(Model_Data!A93)/70))+Inputs!$C$28*EXP(-(((Model_Data!A93)-Inputs!$C$29)^2)/(2*Inputs!$C$31^2))*EXP(-(((0)-Inputs!$C$30)^2)/(2*Inputs!$C$32^2))+-Inputs!$C$33*EXP(-(((((Model_Data!A93)-Inputs!$C$34)^2)+(((0)-Inputs!$C$35)^2))/(2*Inputs!$C$36^2)))+Inputs!$C$37*(0.55*SIN(2*PI()*(Model_Data!A93)/Inputs!$C$39)+0.35*COS(2*PI()*(0)/Inputs!$C$40)+0.2*SIN(2*PI()*((Model_Data!A93)+(0))/(0.5*(Inputs!$C$39+Inputs!$C$40))))+Inputs!$C$38*SIN(2*PI()*(Model_Data!A93)/Inputs!$C$39)*SIN(2*PI()*(0)/Inputs!$C$40)+-Inputs!$C$41*EXP(-(((0)-Inputs!$C$43)^2)/(2*Inputs!$C$44^2))*EXP(-(((Model_Data!A93)-Inputs!$C$42)^2)/(2*Inputs!$C$45^2))+Inputs!$C$48*(0.7*(0.45*SIN(2*PI()*(((Model_Data!A93)/Inputs!$C$49)+Inputs!$C$47*0.137))+0.35*COS(2*PI()*(((0)/Inputs!$C$50)+Inputs!$C$47*0.173))+0.2*SIN(2*PI()*(((Model_Data!A93)+(0))/(0.5*(Inputs!$C$49+Inputs!$C$50))+Inputs!$C$47*0.097)))+0.3*(2*((SIN(((Model_Data!A93)*12.9898+(0)*78.233+Inputs!$C$47*37.719))*43758.5453)-INT((SIN(((Model_Data!A93)*12.9898+(0)*78.233+Inputs!$C$47*37.719))*43758.5453)))-1))))/1000)))*1000/Inputs!$C$12)</f>
        <v>298.44713526204083</v>
      </c>
      <c r="E93" s="9">
        <f>Model_Data!A93</f>
        <v>-14.5</v>
      </c>
      <c r="F93" s="9">
        <f>(Inputs!$C$51*(115*EXP(-(((Inputs!$C$6)-25)^2)/(4.5^2))+70*EXP(-(((Inputs!$C$6)+38)^2)/(7^2))*(0.55+0.45*SIN(2*PI()*(Model_Data!A93)/45))+24*SIN(2*PI()*(Inputs!$C$6)/9+(Model_Data!A93)/18)*EXP(-(((Inputs!$C$6)+5)^2)/(22^2))+18*SIN(2*PI()*(Model_Data!A93)/70))+Inputs!$C$28*EXP(-(((Model_Data!A93)-Inputs!$C$29)^2)/(2*Inputs!$C$31^2))*EXP(-(((Inputs!$C$6)-Inputs!$C$30)^2)/(2*Inputs!$C$32^2))+-Inputs!$C$33*EXP(-(((((Model_Data!A93)-Inputs!$C$34)^2)+(((Inputs!$C$6)-Inputs!$C$35)^2))/(2*Inputs!$C$36^2)))+Inputs!$C$37*(0.55*SIN(2*PI()*(Model_Data!A93)/Inputs!$C$39)+0.35*COS(2*PI()*(Inputs!$C$6)/Inputs!$C$40)+0.2*SIN(2*PI()*((Model_Data!A93)+(Inputs!$C$6))/(0.5*(Inputs!$C$39+Inputs!$C$40))))+Inputs!$C$38*SIN(2*PI()*(Model_Data!A93)/Inputs!$C$39)*SIN(2*PI()*(Inputs!$C$6)/Inputs!$C$40)+-Inputs!$C$41*EXP(-(((Inputs!$C$6)-Inputs!$C$43)^2)/(2*Inputs!$C$44^2))*EXP(-(((Model_Data!A93)-Inputs!$C$42)^2)/(2*Inputs!$C$45^2))+Inputs!$C$48*(0.7*(0.45*SIN(2*PI()*(((Model_Data!A93)/Inputs!$C$49)+Inputs!$C$47*0.137))+0.35*COS(2*PI()*(((Inputs!$C$6)/Inputs!$C$50)+Inputs!$C$47*0.173))+0.2*SIN(2*PI()*(((Model_Data!A93)+(Inputs!$C$6))/(0.5*(Inputs!$C$49+Inputs!$C$50))+Inputs!$C$47*0.097)))+0.3*(2*((SIN(((Model_Data!A93)*12.9898+(Inputs!$C$6)*78.233+Inputs!$C$47*37.719))*43758.5453)-INT((SIN(((Model_Data!A93)*12.9898+(Inputs!$C$6)*78.233+Inputs!$C$47*37.719))*43758.5453)))-1)))</f>
        <v>425.31373753688456</v>
      </c>
      <c r="G93" s="9">
        <f>(Inputs!$C$51*(115*EXP(-(((0)-25)^2)/(4.5^2))+70*EXP(-(((0)+38)^2)/(7^2))*(0.55+0.45*SIN(2*PI()*(Model_Data!A93)/45))+24*SIN(2*PI()*(0)/9+(Model_Data!A93)/18)*EXP(-(((0)+5)^2)/(22^2))+18*SIN(2*PI()*(Model_Data!A93)/70))+Inputs!$C$28*EXP(-(((Model_Data!A93)-Inputs!$C$29)^2)/(2*Inputs!$C$31^2))*EXP(-(((0)-Inputs!$C$30)^2)/(2*Inputs!$C$32^2))+-Inputs!$C$33*EXP(-(((((Model_Data!A93)-Inputs!$C$34)^2)+(((0)-Inputs!$C$35)^2))/(2*Inputs!$C$36^2)))+Inputs!$C$37*(0.55*SIN(2*PI()*(Model_Data!A93)/Inputs!$C$39)+0.35*COS(2*PI()*(0)/Inputs!$C$40)+0.2*SIN(2*PI()*((Model_Data!A93)+(0))/(0.5*(Inputs!$C$39+Inputs!$C$40))))+Inputs!$C$38*SIN(2*PI()*(Model_Data!A93)/Inputs!$C$39)*SIN(2*PI()*(0)/Inputs!$C$40)+-Inputs!$C$41*EXP(-(((0)-Inputs!$C$43)^2)/(2*Inputs!$C$44^2))*EXP(-(((Model_Data!A93)-Inputs!$C$42)^2)/(2*Inputs!$C$45^2))+Inputs!$C$48*(0.7*(0.45*SIN(2*PI()*(((Model_Data!A93)/Inputs!$C$49)+Inputs!$C$47*0.137))+0.35*COS(2*PI()*(((0)/Inputs!$C$50)+Inputs!$C$47*0.173))+0.2*SIN(2*PI()*(((Model_Data!A93)+(0))/(0.5*(Inputs!$C$49+Inputs!$C$50))+Inputs!$C$47*0.097)))+0.3*(2*((SIN(((Model_Data!A93)*12.9898+(0)*78.233+Inputs!$C$47*37.719))*43758.5453)-INT((SIN(((Model_Data!A93)*12.9898+(0)*78.233+Inputs!$C$47*37.719))*43758.5453)))-1)))</f>
        <v>-86.652484826799366</v>
      </c>
      <c r="H93" s="10"/>
      <c r="I93" s="9">
        <f>Model_Data!A93</f>
        <v>-14.5</v>
      </c>
      <c r="J93" s="9">
        <f>(Inputs!$C$51*(115*EXP(-(((Inputs!$C$6)-25)^2)/(4.5^2))+70*EXP(-(((Inputs!$C$6)+38)^2)/(7^2))*(0.55+0.45*SIN(2*PI()*(Model_Data!A93)/45))+24*SIN(2*PI()*(Inputs!$C$6)/9+(Model_Data!A93)/18)*EXP(-(((Inputs!$C$6)+5)^2)/(22^2))+18*SIN(2*PI()*(Model_Data!A93)/70))+Inputs!$C$28*EXP(-(((Model_Data!A93)-Inputs!$C$29)^2)/(2*Inputs!$C$31^2))*EXP(-(((Inputs!$C$6)-Inputs!$C$30)^2)/(2*Inputs!$C$32^2))+-Inputs!$C$33*EXP(-(((((Model_Data!A93)-Inputs!$C$34)^2)+(((Inputs!$C$6)-Inputs!$C$35)^2))/(2*Inputs!$C$36^2)))+Inputs!$C$37*(0.55*SIN(2*PI()*(Model_Data!A93)/Inputs!$C$39)+0.35*COS(2*PI()*(Inputs!$C$6)/Inputs!$C$40)+0.2*SIN(2*PI()*((Model_Data!A93)+(Inputs!$C$6))/(0.5*(Inputs!$C$39+Inputs!$C$40))))+Inputs!$C$38*SIN(2*PI()*(Model_Data!A93)/Inputs!$C$39)*SIN(2*PI()*(Inputs!$C$6)/Inputs!$C$40)+-Inputs!$C$41*EXP(-(((Inputs!$C$6)-Inputs!$C$43)^2)/(2*Inputs!$C$44^2))*EXP(-(((Model_Data!A93)-Inputs!$C$42)^2)/(2*Inputs!$C$45^2))+Inputs!$C$48*(0.7*(0.45*SIN(2*PI()*(((Model_Data!A93)/Inputs!$C$49)+Inputs!$C$47*0.137))+0.35*COS(2*PI()*(((Inputs!$C$6)/Inputs!$C$50)+Inputs!$C$47*0.173))+0.2*SIN(2*PI()*(((Model_Data!A93)+(Inputs!$C$6))/(0.5*(Inputs!$C$49+Inputs!$C$50))+Inputs!$C$47*0.097)))+0.3*(2*((SIN(((Model_Data!A93)*12.9898+(Inputs!$C$6)*78.233+Inputs!$C$47*37.719))*43758.5453)-INT((SIN(((Model_Data!A93)*12.9898+(Inputs!$C$6)*78.233+Inputs!$C$47*37.719))*43758.5453)))-1)))</f>
        <v>425.31373753688456</v>
      </c>
      <c r="K93" s="9">
        <f>-((((SQRT((Model_Data!A93)^2+Inputs!$C$6^2+((Model_Data!B93)-((Inputs!$C$51*(115*EXP(-(((Inputs!$C$6)-25)^2)/(4.5^2))+70*EXP(-(((Inputs!$C$6)+38)^2)/(7^2))*(0.55+0.45*SIN(2*PI()*(Model_Data!A93)/45))+24*SIN(2*PI()*(Inputs!$C$6)/9+(Model_Data!A93)/18)*EXP(-(((Inputs!$C$6)+5)^2)/(22^2))+18*SIN(2*PI()*(Model_Data!A93)/70))+Inputs!$C$28*EXP(-(((Model_Data!A93)-Inputs!$C$29)^2)/(2*Inputs!$C$31^2))*EXP(-(((Inputs!$C$6)-Inputs!$C$30)^2)/(2*Inputs!$C$32^2))+-Inputs!$C$33*EXP(-(((((Model_Data!A93)-Inputs!$C$34)^2)+(((Inputs!$C$6)-Inputs!$C$35)^2))/(2*Inputs!$C$36^2)))+Inputs!$C$37*(0.55*SIN(2*PI()*(Model_Data!A93)/Inputs!$C$39)+0.35*COS(2*PI()*(Inputs!$C$6)/Inputs!$C$40)+0.2*SIN(2*PI()*((Model_Data!A93)+(Inputs!$C$6))/(0.5*(Inputs!$C$39+Inputs!$C$40))))+Inputs!$C$38*SIN(2*PI()*(Model_Data!A93)/Inputs!$C$39)*SIN(2*PI()*(Inputs!$C$6)/Inputs!$C$40)+-Inputs!$C$41*EXP(-(((Inputs!$C$6)-Inputs!$C$43)^2)/(2*Inputs!$C$44^2))*EXP(-(((Model_Data!A93)-Inputs!$C$42)^2)/(2*Inputs!$C$45^2))+Inputs!$C$48*(0.7*(0.45*SIN(2*PI()*(((Model_Data!A93)/Inputs!$C$49)+Inputs!$C$47*0.137))+0.35*COS(2*PI()*(((Inputs!$C$6)/Inputs!$C$50)+Inputs!$C$47*0.173))+0.2*SIN(2*PI()*(((Model_Data!A93)+(Inputs!$C$6))/(0.5*(Inputs!$C$49+Inputs!$C$50))+Inputs!$C$47*0.097)))+0.3*(2*((SIN(((Model_Data!A93)*12.9898+(Inputs!$C$6)*78.233+Inputs!$C$47*37.719))*43758.5453)-INT((SIN(((Model_Data!A93)*12.9898+(Inputs!$C$6)*78.233+Inputs!$C$47*37.719))*43758.5453)))-1))))/1000)^2))-(((Model_Data!B93)-((Inputs!$C$51*(115*EXP(-(((0)-25)^2)/(4.5^2))+70*EXP(-(((0)+38)^2)/(7^2))*(0.55+0.45*SIN(2*PI()*(Model_Data!A93)/45))+24*SIN(2*PI()*(0)/9+(Model_Data!A93)/18)*EXP(-(((0)+5)^2)/(22^2))+18*SIN(2*PI()*(Model_Data!A93)/70))+Inputs!$C$28*EXP(-(((Model_Data!A93)-Inputs!$C$29)^2)/(2*Inputs!$C$31^2))*EXP(-(((0)-Inputs!$C$30)^2)/(2*Inputs!$C$32^2))+-Inputs!$C$33*EXP(-(((((Model_Data!A93)-Inputs!$C$34)^2)+(((0)-Inputs!$C$35)^2))/(2*Inputs!$C$36^2)))+Inputs!$C$37*(0.55*SIN(2*PI()*(Model_Data!A93)/Inputs!$C$39)+0.35*COS(2*PI()*(0)/Inputs!$C$40)+0.2*SIN(2*PI()*((Model_Data!A93)+(0))/(0.5*(Inputs!$C$39+Inputs!$C$40))))+Inputs!$C$38*SIN(2*PI()*(Model_Data!A93)/Inputs!$C$39)*SIN(2*PI()*(0)/Inputs!$C$40)+-Inputs!$C$41*EXP(-(((0)-Inputs!$C$43)^2)/(2*Inputs!$C$44^2))*EXP(-(((Model_Data!A93)-Inputs!$C$42)^2)/(2*Inputs!$C$45^2))+Inputs!$C$48*(0.7*(0.45*SIN(2*PI()*(((Model_Data!A93)/Inputs!$C$49)+Inputs!$C$47*0.137))+0.35*COS(2*PI()*(((0)/Inputs!$C$50)+Inputs!$C$47*0.173))+0.2*SIN(2*PI()*(((Model_Data!A93)+(0))/(0.5*(Inputs!$C$49+Inputs!$C$50))+Inputs!$C$47*0.097)))+0.3*(2*((SIN(((Model_Data!A93)*12.9898+(0)*78.233+Inputs!$C$47*37.719))*43758.5453)-INT((SIN(((Model_Data!A93)*12.9898+(0)*78.233+Inputs!$C$47*37.719))*43758.5453)))-1))))/1000)))*1000/Inputs!$C$12)-Model_Data!F93)</f>
        <v>287.00029761680111</v>
      </c>
      <c r="L93" s="10"/>
      <c r="M93" s="9">
        <f>Model_Data!A93</f>
        <v>-14.5</v>
      </c>
      <c r="N93" s="9">
        <f>Model_Data!P93</f>
        <v>109.23727838244822</v>
      </c>
      <c r="O93" s="9">
        <f t="shared" si="2"/>
        <v>116.20286074248725</v>
      </c>
      <c r="P93" s="9">
        <f>Model_Data!Q93</f>
        <v>16.401993751118354</v>
      </c>
      <c r="Q93" s="9">
        <f t="shared" si="3"/>
        <v>17.44787698836145</v>
      </c>
      <c r="R93" s="10"/>
      <c r="S93" s="9">
        <f>Model_Data!A93</f>
        <v>-14.5</v>
      </c>
      <c r="T93" s="9">
        <f>Model_Data!B93-Inputs!$C$5</f>
        <v>0.23361111111108812</v>
      </c>
      <c r="U93" s="10"/>
      <c r="V93" s="9">
        <f>Model_Data!A93</f>
        <v>-14.5</v>
      </c>
      <c r="W93" s="9">
        <f>((SQRT((Model_Data!A93)^2+Inputs!$C$6^2+Inputs!$C$5^2)-Inputs!$C$5)*1000/Inputs!$C$12)</f>
        <v>585.7884617209296</v>
      </c>
      <c r="X93" s="9">
        <f>Model_Data!F93</f>
        <v>585.44743287884194</v>
      </c>
      <c r="Y93" s="10"/>
      <c r="Z93" s="9">
        <f>Model_Data!A93</f>
        <v>-14.5</v>
      </c>
      <c r="AA93" s="9">
        <f>SQRT((Model_Data!A93)^2+Inputs!$C$6^2+((Model_Data!B93)-((Inputs!$C$51*(115*EXP(-(((Inputs!$C$6)-25)^2)/(4.5^2))+70*EXP(-(((Inputs!$C$6)+38)^2)/(7^2))*(0.55+0.45*SIN(2*PI()*(Model_Data!A93)/45))+24*SIN(2*PI()*(Inputs!$C$6)/9+(Model_Data!A93)/18)*EXP(-(((Inputs!$C$6)+5)^2)/(22^2))+18*SIN(2*PI()*(Model_Data!A93)/70))+Inputs!$C$28*EXP(-(((Model_Data!A93)-Inputs!$C$29)^2)/(2*Inputs!$C$31^2))*EXP(-(((Inputs!$C$6)-Inputs!$C$30)^2)/(2*Inputs!$C$32^2))+-Inputs!$C$33*EXP(-(((((Model_Data!A93)-Inputs!$C$34)^2)+(((Inputs!$C$6)-Inputs!$C$35)^2))/(2*Inputs!$C$36^2)))+Inputs!$C$37*(0.55*SIN(2*PI()*(Model_Data!A93)/Inputs!$C$39)+0.35*COS(2*PI()*(Inputs!$C$6)/Inputs!$C$40)+0.2*SIN(2*PI()*((Model_Data!A93)+(Inputs!$C$6))/(0.5*(Inputs!$C$39+Inputs!$C$40))))+Inputs!$C$38*SIN(2*PI()*(Model_Data!A93)/Inputs!$C$39)*SIN(2*PI()*(Inputs!$C$6)/Inputs!$C$40)+-Inputs!$C$41*EXP(-(((Inputs!$C$6)-Inputs!$C$43)^2)/(2*Inputs!$C$44^2))*EXP(-(((Model_Data!A93)-Inputs!$C$42)^2)/(2*Inputs!$C$45^2))+Inputs!$C$48*(0.7*(0.45*SIN(2*PI()*(((Model_Data!A93)/Inputs!$C$49)+Inputs!$C$47*0.137))+0.35*COS(2*PI()*(((Inputs!$C$6)/Inputs!$C$50)+Inputs!$C$47*0.173))+0.2*SIN(2*PI()*(((Model_Data!A93)+(Inputs!$C$6))/(0.5*(Inputs!$C$49+Inputs!$C$50))+Inputs!$C$47*0.097)))+0.3*(2*((SIN(((Model_Data!A93)*12.9898+(Inputs!$C$6)*78.233+Inputs!$C$47*37.719))*43758.5453)-INT((SIN(((Model_Data!A93)*12.9898+(Inputs!$C$6)*78.233+Inputs!$C$47*37.719))*43758.5453)))-1))))/1000)^2)</f>
        <v>400.85149949670432</v>
      </c>
      <c r="AB93" s="9">
        <f>1000*(AA94-AA92)/(Z94-Z92)*Inputs!$C$11</f>
        <v>-290.50715185621812</v>
      </c>
      <c r="AC93" s="9">
        <f>-2*AB93/Inputs!$C$13</f>
        <v>116.20286074248725</v>
      </c>
      <c r="AD93" s="9">
        <f>-2*AB93/Inputs!$C$14</f>
        <v>17.44787698836145</v>
      </c>
    </row>
    <row r="94" spans="1:30">
      <c r="A94" s="9">
        <f>Model_Data!A94</f>
        <v>-14</v>
      </c>
      <c r="B94" s="9">
        <f>((SQRT((Model_Data!A94)^2+Inputs!$C$6^2+Inputs!$C$5^2)-Inputs!$C$5)*1000/Inputs!$C$12)</f>
        <v>575.80723622965218</v>
      </c>
      <c r="C94" s="9">
        <f>Model_Data!F94</f>
        <v>575.49471190789268</v>
      </c>
      <c r="D94" s="9">
        <f>(((SQRT((Model_Data!A94)^2+Inputs!$C$6^2+((Model_Data!B94)-((Inputs!$C$51*(115*EXP(-(((Inputs!$C$6)-25)^2)/(4.5^2))+70*EXP(-(((Inputs!$C$6)+38)^2)/(7^2))*(0.55+0.45*SIN(2*PI()*(Model_Data!A94)/45))+24*SIN(2*PI()*(Inputs!$C$6)/9+(Model_Data!A94)/18)*EXP(-(((Inputs!$C$6)+5)^2)/(22^2))+18*SIN(2*PI()*(Model_Data!A94)/70))+Inputs!$C$28*EXP(-(((Model_Data!A94)-Inputs!$C$29)^2)/(2*Inputs!$C$31^2))*EXP(-(((Inputs!$C$6)-Inputs!$C$30)^2)/(2*Inputs!$C$32^2))+-Inputs!$C$33*EXP(-(((((Model_Data!A94)-Inputs!$C$34)^2)+(((Inputs!$C$6)-Inputs!$C$35)^2))/(2*Inputs!$C$36^2)))+Inputs!$C$37*(0.55*SIN(2*PI()*(Model_Data!A94)/Inputs!$C$39)+0.35*COS(2*PI()*(Inputs!$C$6)/Inputs!$C$40)+0.2*SIN(2*PI()*((Model_Data!A94)+(Inputs!$C$6))/(0.5*(Inputs!$C$39+Inputs!$C$40))))+Inputs!$C$38*SIN(2*PI()*(Model_Data!A94)/Inputs!$C$39)*SIN(2*PI()*(Inputs!$C$6)/Inputs!$C$40)+-Inputs!$C$41*EXP(-(((Inputs!$C$6)-Inputs!$C$43)^2)/(2*Inputs!$C$44^2))*EXP(-(((Model_Data!A94)-Inputs!$C$42)^2)/(2*Inputs!$C$45^2))+Inputs!$C$48*(0.7*(0.45*SIN(2*PI()*(((Model_Data!A94)/Inputs!$C$49)+Inputs!$C$47*0.137))+0.35*COS(2*PI()*(((Inputs!$C$6)/Inputs!$C$50)+Inputs!$C$47*0.173))+0.2*SIN(2*PI()*(((Model_Data!A94)+(Inputs!$C$6))/(0.5*(Inputs!$C$49+Inputs!$C$50))+Inputs!$C$47*0.097)))+0.3*(2*((SIN(((Model_Data!A94)*12.9898+(Inputs!$C$6)*78.233+Inputs!$C$47*37.719))*43758.5453)-INT((SIN(((Model_Data!A94)*12.9898+(Inputs!$C$6)*78.233+Inputs!$C$47*37.719))*43758.5453)))-1))))/1000)^2))-(((Model_Data!B94)-((Inputs!$C$51*(115*EXP(-(((0)-25)^2)/(4.5^2))+70*EXP(-(((0)+38)^2)/(7^2))*(0.55+0.45*SIN(2*PI()*(Model_Data!A94)/45))+24*SIN(2*PI()*(0)/9+(Model_Data!A94)/18)*EXP(-(((0)+5)^2)/(22^2))+18*SIN(2*PI()*(Model_Data!A94)/70))+Inputs!$C$28*EXP(-(((Model_Data!A94)-Inputs!$C$29)^2)/(2*Inputs!$C$31^2))*EXP(-(((0)-Inputs!$C$30)^2)/(2*Inputs!$C$32^2))+-Inputs!$C$33*EXP(-(((((Model_Data!A94)-Inputs!$C$34)^2)+(((0)-Inputs!$C$35)^2))/(2*Inputs!$C$36^2)))+Inputs!$C$37*(0.55*SIN(2*PI()*(Model_Data!A94)/Inputs!$C$39)+0.35*COS(2*PI()*(0)/Inputs!$C$40)+0.2*SIN(2*PI()*((Model_Data!A94)+(0))/(0.5*(Inputs!$C$39+Inputs!$C$40))))+Inputs!$C$38*SIN(2*PI()*(Model_Data!A94)/Inputs!$C$39)*SIN(2*PI()*(0)/Inputs!$C$40)+-Inputs!$C$41*EXP(-(((0)-Inputs!$C$43)^2)/(2*Inputs!$C$44^2))*EXP(-(((Model_Data!A94)-Inputs!$C$42)^2)/(2*Inputs!$C$45^2))+Inputs!$C$48*(0.7*(0.45*SIN(2*PI()*(((Model_Data!A94)/Inputs!$C$49)+Inputs!$C$47*0.137))+0.35*COS(2*PI()*(((0)/Inputs!$C$50)+Inputs!$C$47*0.173))+0.2*SIN(2*PI()*(((Model_Data!A94)+(0))/(0.5*(Inputs!$C$49+Inputs!$C$50))+Inputs!$C$47*0.097)))+0.3*(2*((SIN(((Model_Data!A94)*12.9898+(0)*78.233+Inputs!$C$47*37.719))*43758.5453)-INT((SIN(((Model_Data!A94)*12.9898+(0)*78.233+Inputs!$C$47*37.719))*43758.5453)))-1))))/1000)))*1000/Inputs!$C$12)</f>
        <v>292.20947389812528</v>
      </c>
      <c r="E94" s="9">
        <f>Model_Data!A94</f>
        <v>-14</v>
      </c>
      <c r="F94" s="9">
        <f>(Inputs!$C$51*(115*EXP(-(((Inputs!$C$6)-25)^2)/(4.5^2))+70*EXP(-(((Inputs!$C$6)+38)^2)/(7^2))*(0.55+0.45*SIN(2*PI()*(Model_Data!A94)/45))+24*SIN(2*PI()*(Inputs!$C$6)/9+(Model_Data!A94)/18)*EXP(-(((Inputs!$C$6)+5)^2)/(22^2))+18*SIN(2*PI()*(Model_Data!A94)/70))+Inputs!$C$28*EXP(-(((Model_Data!A94)-Inputs!$C$29)^2)/(2*Inputs!$C$31^2))*EXP(-(((Inputs!$C$6)-Inputs!$C$30)^2)/(2*Inputs!$C$32^2))+-Inputs!$C$33*EXP(-(((((Model_Data!A94)-Inputs!$C$34)^2)+(((Inputs!$C$6)-Inputs!$C$35)^2))/(2*Inputs!$C$36^2)))+Inputs!$C$37*(0.55*SIN(2*PI()*(Model_Data!A94)/Inputs!$C$39)+0.35*COS(2*PI()*(Inputs!$C$6)/Inputs!$C$40)+0.2*SIN(2*PI()*((Model_Data!A94)+(Inputs!$C$6))/(0.5*(Inputs!$C$39+Inputs!$C$40))))+Inputs!$C$38*SIN(2*PI()*(Model_Data!A94)/Inputs!$C$39)*SIN(2*PI()*(Inputs!$C$6)/Inputs!$C$40)+-Inputs!$C$41*EXP(-(((Inputs!$C$6)-Inputs!$C$43)^2)/(2*Inputs!$C$44^2))*EXP(-(((Model_Data!A94)-Inputs!$C$42)^2)/(2*Inputs!$C$45^2))+Inputs!$C$48*(0.7*(0.45*SIN(2*PI()*(((Model_Data!A94)/Inputs!$C$49)+Inputs!$C$47*0.137))+0.35*COS(2*PI()*(((Inputs!$C$6)/Inputs!$C$50)+Inputs!$C$47*0.173))+0.2*SIN(2*PI()*(((Model_Data!A94)+(Inputs!$C$6))/(0.5*(Inputs!$C$49+Inputs!$C$50))+Inputs!$C$47*0.097)))+0.3*(2*((SIN(((Model_Data!A94)*12.9898+(Inputs!$C$6)*78.233+Inputs!$C$47*37.719))*43758.5453)-INT((SIN(((Model_Data!A94)*12.9898+(Inputs!$C$6)*78.233+Inputs!$C$47*37.719))*43758.5453)))-1)))</f>
        <v>420.95759288927439</v>
      </c>
      <c r="G94" s="9">
        <f>(Inputs!$C$51*(115*EXP(-(((0)-25)^2)/(4.5^2))+70*EXP(-(((0)+38)^2)/(7^2))*(0.55+0.45*SIN(2*PI()*(Model_Data!A94)/45))+24*SIN(2*PI()*(0)/9+(Model_Data!A94)/18)*EXP(-(((0)+5)^2)/(22^2))+18*SIN(2*PI()*(Model_Data!A94)/70))+Inputs!$C$28*EXP(-(((Model_Data!A94)-Inputs!$C$29)^2)/(2*Inputs!$C$31^2))*EXP(-(((0)-Inputs!$C$30)^2)/(2*Inputs!$C$32^2))+-Inputs!$C$33*EXP(-(((((Model_Data!A94)-Inputs!$C$34)^2)+(((0)-Inputs!$C$35)^2))/(2*Inputs!$C$36^2)))+Inputs!$C$37*(0.55*SIN(2*PI()*(Model_Data!A94)/Inputs!$C$39)+0.35*COS(2*PI()*(0)/Inputs!$C$40)+0.2*SIN(2*PI()*((Model_Data!A94)+(0))/(0.5*(Inputs!$C$39+Inputs!$C$40))))+Inputs!$C$38*SIN(2*PI()*(Model_Data!A94)/Inputs!$C$39)*SIN(2*PI()*(0)/Inputs!$C$40)+-Inputs!$C$41*EXP(-(((0)-Inputs!$C$43)^2)/(2*Inputs!$C$44^2))*EXP(-(((Model_Data!A94)-Inputs!$C$42)^2)/(2*Inputs!$C$45^2))+Inputs!$C$48*(0.7*(0.45*SIN(2*PI()*(((Model_Data!A94)/Inputs!$C$49)+Inputs!$C$47*0.137))+0.35*COS(2*PI()*(((0)/Inputs!$C$50)+Inputs!$C$47*0.173))+0.2*SIN(2*PI()*(((Model_Data!A94)+(0))/(0.5*(Inputs!$C$49+Inputs!$C$50))+Inputs!$C$47*0.097)))+0.3*(2*((SIN(((Model_Data!A94)*12.9898+(0)*78.233+Inputs!$C$47*37.719))*43758.5453)-INT((SIN(((Model_Data!A94)*12.9898+(0)*78.233+Inputs!$C$47*37.719))*43758.5453)))-1)))</f>
        <v>-84.365972581405018</v>
      </c>
      <c r="H94" s="10"/>
      <c r="I94" s="9">
        <f>Model_Data!A94</f>
        <v>-14</v>
      </c>
      <c r="J94" s="9">
        <f>(Inputs!$C$51*(115*EXP(-(((Inputs!$C$6)-25)^2)/(4.5^2))+70*EXP(-(((Inputs!$C$6)+38)^2)/(7^2))*(0.55+0.45*SIN(2*PI()*(Model_Data!A94)/45))+24*SIN(2*PI()*(Inputs!$C$6)/9+(Model_Data!A94)/18)*EXP(-(((Inputs!$C$6)+5)^2)/(22^2))+18*SIN(2*PI()*(Model_Data!A94)/70))+Inputs!$C$28*EXP(-(((Model_Data!A94)-Inputs!$C$29)^2)/(2*Inputs!$C$31^2))*EXP(-(((Inputs!$C$6)-Inputs!$C$30)^2)/(2*Inputs!$C$32^2))+-Inputs!$C$33*EXP(-(((((Model_Data!A94)-Inputs!$C$34)^2)+(((Inputs!$C$6)-Inputs!$C$35)^2))/(2*Inputs!$C$36^2)))+Inputs!$C$37*(0.55*SIN(2*PI()*(Model_Data!A94)/Inputs!$C$39)+0.35*COS(2*PI()*(Inputs!$C$6)/Inputs!$C$40)+0.2*SIN(2*PI()*((Model_Data!A94)+(Inputs!$C$6))/(0.5*(Inputs!$C$39+Inputs!$C$40))))+Inputs!$C$38*SIN(2*PI()*(Model_Data!A94)/Inputs!$C$39)*SIN(2*PI()*(Inputs!$C$6)/Inputs!$C$40)+-Inputs!$C$41*EXP(-(((Inputs!$C$6)-Inputs!$C$43)^2)/(2*Inputs!$C$44^2))*EXP(-(((Model_Data!A94)-Inputs!$C$42)^2)/(2*Inputs!$C$45^2))+Inputs!$C$48*(0.7*(0.45*SIN(2*PI()*(((Model_Data!A94)/Inputs!$C$49)+Inputs!$C$47*0.137))+0.35*COS(2*PI()*(((Inputs!$C$6)/Inputs!$C$50)+Inputs!$C$47*0.173))+0.2*SIN(2*PI()*(((Model_Data!A94)+(Inputs!$C$6))/(0.5*(Inputs!$C$49+Inputs!$C$50))+Inputs!$C$47*0.097)))+0.3*(2*((SIN(((Model_Data!A94)*12.9898+(Inputs!$C$6)*78.233+Inputs!$C$47*37.719))*43758.5453)-INT((SIN(((Model_Data!A94)*12.9898+(Inputs!$C$6)*78.233+Inputs!$C$47*37.719))*43758.5453)))-1)))</f>
        <v>420.95759288927439</v>
      </c>
      <c r="K94" s="9">
        <f>-((((SQRT((Model_Data!A94)^2+Inputs!$C$6^2+((Model_Data!B94)-((Inputs!$C$51*(115*EXP(-(((Inputs!$C$6)-25)^2)/(4.5^2))+70*EXP(-(((Inputs!$C$6)+38)^2)/(7^2))*(0.55+0.45*SIN(2*PI()*(Model_Data!A94)/45))+24*SIN(2*PI()*(Inputs!$C$6)/9+(Model_Data!A94)/18)*EXP(-(((Inputs!$C$6)+5)^2)/(22^2))+18*SIN(2*PI()*(Model_Data!A94)/70))+Inputs!$C$28*EXP(-(((Model_Data!A94)-Inputs!$C$29)^2)/(2*Inputs!$C$31^2))*EXP(-(((Inputs!$C$6)-Inputs!$C$30)^2)/(2*Inputs!$C$32^2))+-Inputs!$C$33*EXP(-(((((Model_Data!A94)-Inputs!$C$34)^2)+(((Inputs!$C$6)-Inputs!$C$35)^2))/(2*Inputs!$C$36^2)))+Inputs!$C$37*(0.55*SIN(2*PI()*(Model_Data!A94)/Inputs!$C$39)+0.35*COS(2*PI()*(Inputs!$C$6)/Inputs!$C$40)+0.2*SIN(2*PI()*((Model_Data!A94)+(Inputs!$C$6))/(0.5*(Inputs!$C$39+Inputs!$C$40))))+Inputs!$C$38*SIN(2*PI()*(Model_Data!A94)/Inputs!$C$39)*SIN(2*PI()*(Inputs!$C$6)/Inputs!$C$40)+-Inputs!$C$41*EXP(-(((Inputs!$C$6)-Inputs!$C$43)^2)/(2*Inputs!$C$44^2))*EXP(-(((Model_Data!A94)-Inputs!$C$42)^2)/(2*Inputs!$C$45^2))+Inputs!$C$48*(0.7*(0.45*SIN(2*PI()*(((Model_Data!A94)/Inputs!$C$49)+Inputs!$C$47*0.137))+0.35*COS(2*PI()*(((Inputs!$C$6)/Inputs!$C$50)+Inputs!$C$47*0.173))+0.2*SIN(2*PI()*(((Model_Data!A94)+(Inputs!$C$6))/(0.5*(Inputs!$C$49+Inputs!$C$50))+Inputs!$C$47*0.097)))+0.3*(2*((SIN(((Model_Data!A94)*12.9898+(Inputs!$C$6)*78.233+Inputs!$C$47*37.719))*43758.5453)-INT((SIN(((Model_Data!A94)*12.9898+(Inputs!$C$6)*78.233+Inputs!$C$47*37.719))*43758.5453)))-1))))/1000)^2))-(((Model_Data!B94)-((Inputs!$C$51*(115*EXP(-(((0)-25)^2)/(4.5^2))+70*EXP(-(((0)+38)^2)/(7^2))*(0.55+0.45*SIN(2*PI()*(Model_Data!A94)/45))+24*SIN(2*PI()*(0)/9+(Model_Data!A94)/18)*EXP(-(((0)+5)^2)/(22^2))+18*SIN(2*PI()*(Model_Data!A94)/70))+Inputs!$C$28*EXP(-(((Model_Data!A94)-Inputs!$C$29)^2)/(2*Inputs!$C$31^2))*EXP(-(((0)-Inputs!$C$30)^2)/(2*Inputs!$C$32^2))+-Inputs!$C$33*EXP(-(((((Model_Data!A94)-Inputs!$C$34)^2)+(((0)-Inputs!$C$35)^2))/(2*Inputs!$C$36^2)))+Inputs!$C$37*(0.55*SIN(2*PI()*(Model_Data!A94)/Inputs!$C$39)+0.35*COS(2*PI()*(0)/Inputs!$C$40)+0.2*SIN(2*PI()*((Model_Data!A94)+(0))/(0.5*(Inputs!$C$39+Inputs!$C$40))))+Inputs!$C$38*SIN(2*PI()*(Model_Data!A94)/Inputs!$C$39)*SIN(2*PI()*(0)/Inputs!$C$40)+-Inputs!$C$41*EXP(-(((0)-Inputs!$C$43)^2)/(2*Inputs!$C$44^2))*EXP(-(((Model_Data!A94)-Inputs!$C$42)^2)/(2*Inputs!$C$45^2))+Inputs!$C$48*(0.7*(0.45*SIN(2*PI()*(((Model_Data!A94)/Inputs!$C$49)+Inputs!$C$47*0.137))+0.35*COS(2*PI()*(((0)/Inputs!$C$50)+Inputs!$C$47*0.173))+0.2*SIN(2*PI()*(((Model_Data!A94)+(0))/(0.5*(Inputs!$C$49+Inputs!$C$50))+Inputs!$C$47*0.097)))+0.3*(2*((SIN(((Model_Data!A94)*12.9898+(0)*78.233+Inputs!$C$47*37.719))*43758.5453)-INT((SIN(((Model_Data!A94)*12.9898+(0)*78.233+Inputs!$C$47*37.719))*43758.5453)))-1))))/1000)))*1000/Inputs!$C$12)-Model_Data!F94)</f>
        <v>283.2852380097674</v>
      </c>
      <c r="L94" s="10"/>
      <c r="M94" s="9">
        <f>Model_Data!A94</f>
        <v>-14</v>
      </c>
      <c r="N94" s="9">
        <f>Model_Data!P94</f>
        <v>105.47733014246676</v>
      </c>
      <c r="O94" s="9">
        <f t="shared" si="2"/>
        <v>95.09241734904208</v>
      </c>
      <c r="P94" s="9">
        <f>Model_Data!Q94</f>
        <v>15.837436958328343</v>
      </c>
      <c r="Q94" s="9">
        <f t="shared" si="3"/>
        <v>14.278140743099412</v>
      </c>
      <c r="R94" s="10"/>
      <c r="S94" s="9">
        <f>Model_Data!A94</f>
        <v>-14</v>
      </c>
      <c r="T94" s="9">
        <f>Model_Data!B94-Inputs!$C$5</f>
        <v>0.21777777777776919</v>
      </c>
      <c r="U94" s="10"/>
      <c r="V94" s="9">
        <f>Model_Data!A94</f>
        <v>-14</v>
      </c>
      <c r="W94" s="9">
        <f>((SQRT((Model_Data!A94)^2+Inputs!$C$6^2+Inputs!$C$5^2)-Inputs!$C$5)*1000/Inputs!$C$12)</f>
        <v>575.80723622965218</v>
      </c>
      <c r="X94" s="9">
        <f>Model_Data!F94</f>
        <v>575.49471190789268</v>
      </c>
      <c r="Y94" s="10"/>
      <c r="Z94" s="9">
        <f>Model_Data!A94</f>
        <v>-14</v>
      </c>
      <c r="AA94" s="9">
        <f>SQRT((Model_Data!A94)^2+Inputs!$C$6^2+((Model_Data!B94)-((Inputs!$C$51*(115*EXP(-(((Inputs!$C$6)-25)^2)/(4.5^2))+70*EXP(-(((Inputs!$C$6)+38)^2)/(7^2))*(0.55+0.45*SIN(2*PI()*(Model_Data!A94)/45))+24*SIN(2*PI()*(Inputs!$C$6)/9+(Model_Data!A94)/18)*EXP(-(((Inputs!$C$6)+5)^2)/(22^2))+18*SIN(2*PI()*(Model_Data!A94)/70))+Inputs!$C$28*EXP(-(((Model_Data!A94)-Inputs!$C$29)^2)/(2*Inputs!$C$31^2))*EXP(-(((Inputs!$C$6)-Inputs!$C$30)^2)/(2*Inputs!$C$32^2))+-Inputs!$C$33*EXP(-(((((Model_Data!A94)-Inputs!$C$34)^2)+(((Inputs!$C$6)-Inputs!$C$35)^2))/(2*Inputs!$C$36^2)))+Inputs!$C$37*(0.55*SIN(2*PI()*(Model_Data!A94)/Inputs!$C$39)+0.35*COS(2*PI()*(Inputs!$C$6)/Inputs!$C$40)+0.2*SIN(2*PI()*((Model_Data!A94)+(Inputs!$C$6))/(0.5*(Inputs!$C$39+Inputs!$C$40))))+Inputs!$C$38*SIN(2*PI()*(Model_Data!A94)/Inputs!$C$39)*SIN(2*PI()*(Inputs!$C$6)/Inputs!$C$40)+-Inputs!$C$41*EXP(-(((Inputs!$C$6)-Inputs!$C$43)^2)/(2*Inputs!$C$44^2))*EXP(-(((Model_Data!A94)-Inputs!$C$42)^2)/(2*Inputs!$C$45^2))+Inputs!$C$48*(0.7*(0.45*SIN(2*PI()*(((Model_Data!A94)/Inputs!$C$49)+Inputs!$C$47*0.137))+0.35*COS(2*PI()*(((Inputs!$C$6)/Inputs!$C$50)+Inputs!$C$47*0.173))+0.2*SIN(2*PI()*(((Model_Data!A94)+(Inputs!$C$6))/(0.5*(Inputs!$C$49+Inputs!$C$50))+Inputs!$C$47*0.097)))+0.3*(2*((SIN(((Model_Data!A94)*12.9898+(Inputs!$C$6)*78.233+Inputs!$C$47*37.719))*43758.5453)-INT((SIN(((Model_Data!A94)*12.9898+(Inputs!$C$6)*78.233+Inputs!$C$47*37.719))*43758.5453)))-1))))/1000)^2)</f>
        <v>400.82227661389783</v>
      </c>
      <c r="AB94" s="9">
        <f>1000*(AA95-AA93)/(Z95-Z93)*Inputs!$C$11</f>
        <v>-237.7310433726052</v>
      </c>
      <c r="AC94" s="9">
        <f>-2*AB94/Inputs!$C$13</f>
        <v>95.09241734904208</v>
      </c>
      <c r="AD94" s="9">
        <f>-2*AB94/Inputs!$C$14</f>
        <v>14.278140743099412</v>
      </c>
    </row>
    <row r="95" spans="1:30">
      <c r="A95" s="9">
        <f>Model_Data!A95</f>
        <v>-13.5</v>
      </c>
      <c r="B95" s="9">
        <f>((SQRT((Model_Data!A95)^2+Inputs!$C$6^2+Inputs!$C$5^2)-Inputs!$C$5)*1000/Inputs!$C$12)</f>
        <v>566.17580996248</v>
      </c>
      <c r="C95" s="9">
        <f>Model_Data!F95</f>
        <v>565.89004791648767</v>
      </c>
      <c r="D95" s="9">
        <f>(((SQRT((Model_Data!A95)^2+Inputs!$C$6^2+((Model_Data!B95)-((Inputs!$C$51*(115*EXP(-(((Inputs!$C$6)-25)^2)/(4.5^2))+70*EXP(-(((Inputs!$C$6)+38)^2)/(7^2))*(0.55+0.45*SIN(2*PI()*(Model_Data!A95)/45))+24*SIN(2*PI()*(Inputs!$C$6)/9+(Model_Data!A95)/18)*EXP(-(((Inputs!$C$6)+5)^2)/(22^2))+18*SIN(2*PI()*(Model_Data!A95)/70))+Inputs!$C$28*EXP(-(((Model_Data!A95)-Inputs!$C$29)^2)/(2*Inputs!$C$31^2))*EXP(-(((Inputs!$C$6)-Inputs!$C$30)^2)/(2*Inputs!$C$32^2))+-Inputs!$C$33*EXP(-(((((Model_Data!A95)-Inputs!$C$34)^2)+(((Inputs!$C$6)-Inputs!$C$35)^2))/(2*Inputs!$C$36^2)))+Inputs!$C$37*(0.55*SIN(2*PI()*(Model_Data!A95)/Inputs!$C$39)+0.35*COS(2*PI()*(Inputs!$C$6)/Inputs!$C$40)+0.2*SIN(2*PI()*((Model_Data!A95)+(Inputs!$C$6))/(0.5*(Inputs!$C$39+Inputs!$C$40))))+Inputs!$C$38*SIN(2*PI()*(Model_Data!A95)/Inputs!$C$39)*SIN(2*PI()*(Inputs!$C$6)/Inputs!$C$40)+-Inputs!$C$41*EXP(-(((Inputs!$C$6)-Inputs!$C$43)^2)/(2*Inputs!$C$44^2))*EXP(-(((Model_Data!A95)-Inputs!$C$42)^2)/(2*Inputs!$C$45^2))+Inputs!$C$48*(0.7*(0.45*SIN(2*PI()*(((Model_Data!A95)/Inputs!$C$49)+Inputs!$C$47*0.137))+0.35*COS(2*PI()*(((Inputs!$C$6)/Inputs!$C$50)+Inputs!$C$47*0.173))+0.2*SIN(2*PI()*(((Model_Data!A95)+(Inputs!$C$6))/(0.5*(Inputs!$C$49+Inputs!$C$50))+Inputs!$C$47*0.097)))+0.3*(2*((SIN(((Model_Data!A95)*12.9898+(Inputs!$C$6)*78.233+Inputs!$C$47*37.719))*43758.5453)-INT((SIN(((Model_Data!A95)*12.9898+(Inputs!$C$6)*78.233+Inputs!$C$47*37.719))*43758.5453)))-1))))/1000)^2))-(((Model_Data!B95)-((Inputs!$C$51*(115*EXP(-(((0)-25)^2)/(4.5^2))+70*EXP(-(((0)+38)^2)/(7^2))*(0.55+0.45*SIN(2*PI()*(Model_Data!A95)/45))+24*SIN(2*PI()*(0)/9+(Model_Data!A95)/18)*EXP(-(((0)+5)^2)/(22^2))+18*SIN(2*PI()*(Model_Data!A95)/70))+Inputs!$C$28*EXP(-(((Model_Data!A95)-Inputs!$C$29)^2)/(2*Inputs!$C$31^2))*EXP(-(((0)-Inputs!$C$30)^2)/(2*Inputs!$C$32^2))+-Inputs!$C$33*EXP(-(((((Model_Data!A95)-Inputs!$C$34)^2)+(((0)-Inputs!$C$35)^2))/(2*Inputs!$C$36^2)))+Inputs!$C$37*(0.55*SIN(2*PI()*(Model_Data!A95)/Inputs!$C$39)+0.35*COS(2*PI()*(0)/Inputs!$C$40)+0.2*SIN(2*PI()*((Model_Data!A95)+(0))/(0.5*(Inputs!$C$39+Inputs!$C$40))))+Inputs!$C$38*SIN(2*PI()*(Model_Data!A95)/Inputs!$C$39)*SIN(2*PI()*(0)/Inputs!$C$40)+-Inputs!$C$41*EXP(-(((0)-Inputs!$C$43)^2)/(2*Inputs!$C$44^2))*EXP(-(((Model_Data!A95)-Inputs!$C$42)^2)/(2*Inputs!$C$45^2))+Inputs!$C$48*(0.7*(0.45*SIN(2*PI()*(((Model_Data!A95)/Inputs!$C$49)+Inputs!$C$47*0.137))+0.35*COS(2*PI()*(((0)/Inputs!$C$50)+Inputs!$C$47*0.173))+0.2*SIN(2*PI()*(((Model_Data!A95)+(0))/(0.5*(Inputs!$C$49+Inputs!$C$50))+Inputs!$C$47*0.097)))+0.3*(2*((SIN(((Model_Data!A95)*12.9898+(0)*78.233+Inputs!$C$47*37.719))*43758.5453)-INT((SIN(((Model_Data!A95)*12.9898+(0)*78.233+Inputs!$C$47*37.719))*43758.5453)))-1))))/1000)))*1000/Inputs!$C$12)</f>
        <v>296.92959602676109</v>
      </c>
      <c r="E95" s="9">
        <f>Model_Data!A95</f>
        <v>-13.5</v>
      </c>
      <c r="F95" s="9">
        <f>(Inputs!$C$51*(115*EXP(-(((Inputs!$C$6)-25)^2)/(4.5^2))+70*EXP(-(((Inputs!$C$6)+38)^2)/(7^2))*(0.55+0.45*SIN(2*PI()*(Model_Data!A95)/45))+24*SIN(2*PI()*(Inputs!$C$6)/9+(Model_Data!A95)/18)*EXP(-(((Inputs!$C$6)+5)^2)/(22^2))+18*SIN(2*PI()*(Model_Data!A95)/70))+Inputs!$C$28*EXP(-(((Model_Data!A95)-Inputs!$C$29)^2)/(2*Inputs!$C$31^2))*EXP(-(((Inputs!$C$6)-Inputs!$C$30)^2)/(2*Inputs!$C$32^2))+-Inputs!$C$33*EXP(-(((((Model_Data!A95)-Inputs!$C$34)^2)+(((Inputs!$C$6)-Inputs!$C$35)^2))/(2*Inputs!$C$36^2)))+Inputs!$C$37*(0.55*SIN(2*PI()*(Model_Data!A95)/Inputs!$C$39)+0.35*COS(2*PI()*(Inputs!$C$6)/Inputs!$C$40)+0.2*SIN(2*PI()*((Model_Data!A95)+(Inputs!$C$6))/(0.5*(Inputs!$C$39+Inputs!$C$40))))+Inputs!$C$38*SIN(2*PI()*(Model_Data!A95)/Inputs!$C$39)*SIN(2*PI()*(Inputs!$C$6)/Inputs!$C$40)+-Inputs!$C$41*EXP(-(((Inputs!$C$6)-Inputs!$C$43)^2)/(2*Inputs!$C$44^2))*EXP(-(((Model_Data!A95)-Inputs!$C$42)^2)/(2*Inputs!$C$45^2))+Inputs!$C$48*(0.7*(0.45*SIN(2*PI()*(((Model_Data!A95)/Inputs!$C$49)+Inputs!$C$47*0.137))+0.35*COS(2*PI()*(((Inputs!$C$6)/Inputs!$C$50)+Inputs!$C$47*0.173))+0.2*SIN(2*PI()*(((Model_Data!A95)+(Inputs!$C$6))/(0.5*(Inputs!$C$49+Inputs!$C$50))+Inputs!$C$47*0.097)))+0.3*(2*((SIN(((Model_Data!A95)*12.9898+(Inputs!$C$6)*78.233+Inputs!$C$47*37.719))*43758.5453)-INT((SIN(((Model_Data!A95)*12.9898+(Inputs!$C$6)*78.233+Inputs!$C$47*37.719))*43758.5453)))-1)))</f>
        <v>418.77001789703809</v>
      </c>
      <c r="G95" s="9">
        <f>(Inputs!$C$51*(115*EXP(-(((0)-25)^2)/(4.5^2))+70*EXP(-(((0)+38)^2)/(7^2))*(0.55+0.45*SIN(2*PI()*(Model_Data!A95)/45))+24*SIN(2*PI()*(0)/9+(Model_Data!A95)/18)*EXP(-(((0)+5)^2)/(22^2))+18*SIN(2*PI()*(Model_Data!A95)/70))+Inputs!$C$28*EXP(-(((Model_Data!A95)-Inputs!$C$29)^2)/(2*Inputs!$C$31^2))*EXP(-(((0)-Inputs!$C$30)^2)/(2*Inputs!$C$32^2))+-Inputs!$C$33*EXP(-(((((Model_Data!A95)-Inputs!$C$34)^2)+(((0)-Inputs!$C$35)^2))/(2*Inputs!$C$36^2)))+Inputs!$C$37*(0.55*SIN(2*PI()*(Model_Data!A95)/Inputs!$C$39)+0.35*COS(2*PI()*(0)/Inputs!$C$40)+0.2*SIN(2*PI()*((Model_Data!A95)+(0))/(0.5*(Inputs!$C$39+Inputs!$C$40))))+Inputs!$C$38*SIN(2*PI()*(Model_Data!A95)/Inputs!$C$39)*SIN(2*PI()*(0)/Inputs!$C$40)+-Inputs!$C$41*EXP(-(((0)-Inputs!$C$43)^2)/(2*Inputs!$C$44^2))*EXP(-(((Model_Data!A95)-Inputs!$C$42)^2)/(2*Inputs!$C$45^2))+Inputs!$C$48*(0.7*(0.45*SIN(2*PI()*(((Model_Data!A95)/Inputs!$C$49)+Inputs!$C$47*0.137))+0.35*COS(2*PI()*(((0)/Inputs!$C$50)+Inputs!$C$47*0.173))+0.2*SIN(2*PI()*(((Model_Data!A95)+(0))/(0.5*(Inputs!$C$49+Inputs!$C$50))+Inputs!$C$47*0.097)))+0.3*(2*((SIN(((Model_Data!A95)*12.9898+(0)*78.233+Inputs!$C$47*37.719))*43758.5453)-INT((SIN(((Model_Data!A95)*12.9898+(0)*78.233+Inputs!$C$47*37.719))*43758.5453)))-1)))</f>
        <v>-61.032054933534482</v>
      </c>
      <c r="H95" s="10"/>
      <c r="I95" s="9">
        <f>Model_Data!A95</f>
        <v>-13.5</v>
      </c>
      <c r="J95" s="9">
        <f>(Inputs!$C$51*(115*EXP(-(((Inputs!$C$6)-25)^2)/(4.5^2))+70*EXP(-(((Inputs!$C$6)+38)^2)/(7^2))*(0.55+0.45*SIN(2*PI()*(Model_Data!A95)/45))+24*SIN(2*PI()*(Inputs!$C$6)/9+(Model_Data!A95)/18)*EXP(-(((Inputs!$C$6)+5)^2)/(22^2))+18*SIN(2*PI()*(Model_Data!A95)/70))+Inputs!$C$28*EXP(-(((Model_Data!A95)-Inputs!$C$29)^2)/(2*Inputs!$C$31^2))*EXP(-(((Inputs!$C$6)-Inputs!$C$30)^2)/(2*Inputs!$C$32^2))+-Inputs!$C$33*EXP(-(((((Model_Data!A95)-Inputs!$C$34)^2)+(((Inputs!$C$6)-Inputs!$C$35)^2))/(2*Inputs!$C$36^2)))+Inputs!$C$37*(0.55*SIN(2*PI()*(Model_Data!A95)/Inputs!$C$39)+0.35*COS(2*PI()*(Inputs!$C$6)/Inputs!$C$40)+0.2*SIN(2*PI()*((Model_Data!A95)+(Inputs!$C$6))/(0.5*(Inputs!$C$39+Inputs!$C$40))))+Inputs!$C$38*SIN(2*PI()*(Model_Data!A95)/Inputs!$C$39)*SIN(2*PI()*(Inputs!$C$6)/Inputs!$C$40)+-Inputs!$C$41*EXP(-(((Inputs!$C$6)-Inputs!$C$43)^2)/(2*Inputs!$C$44^2))*EXP(-(((Model_Data!A95)-Inputs!$C$42)^2)/(2*Inputs!$C$45^2))+Inputs!$C$48*(0.7*(0.45*SIN(2*PI()*(((Model_Data!A95)/Inputs!$C$49)+Inputs!$C$47*0.137))+0.35*COS(2*PI()*(((Inputs!$C$6)/Inputs!$C$50)+Inputs!$C$47*0.173))+0.2*SIN(2*PI()*(((Model_Data!A95)+(Inputs!$C$6))/(0.5*(Inputs!$C$49+Inputs!$C$50))+Inputs!$C$47*0.097)))+0.3*(2*((SIN(((Model_Data!A95)*12.9898+(Inputs!$C$6)*78.233+Inputs!$C$47*37.719))*43758.5453)-INT((SIN(((Model_Data!A95)*12.9898+(Inputs!$C$6)*78.233+Inputs!$C$47*37.719))*43758.5453)))-1)))</f>
        <v>418.77001789703809</v>
      </c>
      <c r="K95" s="9">
        <f>-((((SQRT((Model_Data!A95)^2+Inputs!$C$6^2+((Model_Data!B95)-((Inputs!$C$51*(115*EXP(-(((Inputs!$C$6)-25)^2)/(4.5^2))+70*EXP(-(((Inputs!$C$6)+38)^2)/(7^2))*(0.55+0.45*SIN(2*PI()*(Model_Data!A95)/45))+24*SIN(2*PI()*(Inputs!$C$6)/9+(Model_Data!A95)/18)*EXP(-(((Inputs!$C$6)+5)^2)/(22^2))+18*SIN(2*PI()*(Model_Data!A95)/70))+Inputs!$C$28*EXP(-(((Model_Data!A95)-Inputs!$C$29)^2)/(2*Inputs!$C$31^2))*EXP(-(((Inputs!$C$6)-Inputs!$C$30)^2)/(2*Inputs!$C$32^2))+-Inputs!$C$33*EXP(-(((((Model_Data!A95)-Inputs!$C$34)^2)+(((Inputs!$C$6)-Inputs!$C$35)^2))/(2*Inputs!$C$36^2)))+Inputs!$C$37*(0.55*SIN(2*PI()*(Model_Data!A95)/Inputs!$C$39)+0.35*COS(2*PI()*(Inputs!$C$6)/Inputs!$C$40)+0.2*SIN(2*PI()*((Model_Data!A95)+(Inputs!$C$6))/(0.5*(Inputs!$C$39+Inputs!$C$40))))+Inputs!$C$38*SIN(2*PI()*(Model_Data!A95)/Inputs!$C$39)*SIN(2*PI()*(Inputs!$C$6)/Inputs!$C$40)+-Inputs!$C$41*EXP(-(((Inputs!$C$6)-Inputs!$C$43)^2)/(2*Inputs!$C$44^2))*EXP(-(((Model_Data!A95)-Inputs!$C$42)^2)/(2*Inputs!$C$45^2))+Inputs!$C$48*(0.7*(0.45*SIN(2*PI()*(((Model_Data!A95)/Inputs!$C$49)+Inputs!$C$47*0.137))+0.35*COS(2*PI()*(((Inputs!$C$6)/Inputs!$C$50)+Inputs!$C$47*0.173))+0.2*SIN(2*PI()*(((Model_Data!A95)+(Inputs!$C$6))/(0.5*(Inputs!$C$49+Inputs!$C$50))+Inputs!$C$47*0.097)))+0.3*(2*((SIN(((Model_Data!A95)*12.9898+(Inputs!$C$6)*78.233+Inputs!$C$47*37.719))*43758.5453)-INT((SIN(((Model_Data!A95)*12.9898+(Inputs!$C$6)*78.233+Inputs!$C$47*37.719))*43758.5453)))-1))))/1000)^2))-(((Model_Data!B95)-((Inputs!$C$51*(115*EXP(-(((0)-25)^2)/(4.5^2))+70*EXP(-(((0)+38)^2)/(7^2))*(0.55+0.45*SIN(2*PI()*(Model_Data!A95)/45))+24*SIN(2*PI()*(0)/9+(Model_Data!A95)/18)*EXP(-(((0)+5)^2)/(22^2))+18*SIN(2*PI()*(Model_Data!A95)/70))+Inputs!$C$28*EXP(-(((Model_Data!A95)-Inputs!$C$29)^2)/(2*Inputs!$C$31^2))*EXP(-(((0)-Inputs!$C$30)^2)/(2*Inputs!$C$32^2))+-Inputs!$C$33*EXP(-(((((Model_Data!A95)-Inputs!$C$34)^2)+(((0)-Inputs!$C$35)^2))/(2*Inputs!$C$36^2)))+Inputs!$C$37*(0.55*SIN(2*PI()*(Model_Data!A95)/Inputs!$C$39)+0.35*COS(2*PI()*(0)/Inputs!$C$40)+0.2*SIN(2*PI()*((Model_Data!A95)+(0))/(0.5*(Inputs!$C$39+Inputs!$C$40))))+Inputs!$C$38*SIN(2*PI()*(Model_Data!A95)/Inputs!$C$39)*SIN(2*PI()*(0)/Inputs!$C$40)+-Inputs!$C$41*EXP(-(((0)-Inputs!$C$43)^2)/(2*Inputs!$C$44^2))*EXP(-(((Model_Data!A95)-Inputs!$C$42)^2)/(2*Inputs!$C$45^2))+Inputs!$C$48*(0.7*(0.45*SIN(2*PI()*(((Model_Data!A95)/Inputs!$C$49)+Inputs!$C$47*0.137))+0.35*COS(2*PI()*(((0)/Inputs!$C$50)+Inputs!$C$47*0.173))+0.2*SIN(2*PI()*(((Model_Data!A95)+(0))/(0.5*(Inputs!$C$49+Inputs!$C$50))+Inputs!$C$47*0.097)))+0.3*(2*((SIN(((Model_Data!A95)*12.9898+(0)*78.233+Inputs!$C$47*37.719))*43758.5453)-INT((SIN(((Model_Data!A95)*12.9898+(0)*78.233+Inputs!$C$47*37.719))*43758.5453)))-1))))/1000)))*1000/Inputs!$C$12)-Model_Data!F95)</f>
        <v>268.96045188972658</v>
      </c>
      <c r="L95" s="10"/>
      <c r="M95" s="9">
        <f>Model_Data!A95</f>
        <v>-13.5</v>
      </c>
      <c r="N95" s="9">
        <f>Model_Data!P95</f>
        <v>101.71666195204531</v>
      </c>
      <c r="O95" s="9">
        <f t="shared" si="2"/>
        <v>120.80843143594393</v>
      </c>
      <c r="P95" s="9">
        <f>Model_Data!Q95</f>
        <v>15.27277206487167</v>
      </c>
      <c r="Q95" s="9">
        <f t="shared" si="3"/>
        <v>18.139404119511102</v>
      </c>
      <c r="R95" s="10"/>
      <c r="S95" s="9">
        <f>Model_Data!A95</f>
        <v>-13.5</v>
      </c>
      <c r="T95" s="9">
        <f>Model_Data!B95-Inputs!$C$5</f>
        <v>0.20249999999998636</v>
      </c>
      <c r="U95" s="10"/>
      <c r="V95" s="9">
        <f>Model_Data!A95</f>
        <v>-13.5</v>
      </c>
      <c r="W95" s="9">
        <f>((SQRT((Model_Data!A95)^2+Inputs!$C$6^2+Inputs!$C$5^2)-Inputs!$C$5)*1000/Inputs!$C$12)</f>
        <v>566.17580996248</v>
      </c>
      <c r="X95" s="9">
        <f>Model_Data!F95</f>
        <v>565.89004791648767</v>
      </c>
      <c r="Y95" s="10"/>
      <c r="Z95" s="9">
        <f>Model_Data!A95</f>
        <v>-13.5</v>
      </c>
      <c r="AA95" s="9">
        <f>SQRT((Model_Data!A95)^2+Inputs!$C$6^2+((Model_Data!B95)-((Inputs!$C$51*(115*EXP(-(((Inputs!$C$6)-25)^2)/(4.5^2))+70*EXP(-(((Inputs!$C$6)+38)^2)/(7^2))*(0.55+0.45*SIN(2*PI()*(Model_Data!A95)/45))+24*SIN(2*PI()*(Inputs!$C$6)/9+(Model_Data!A95)/18)*EXP(-(((Inputs!$C$6)+5)^2)/(22^2))+18*SIN(2*PI()*(Model_Data!A95)/70))+Inputs!$C$28*EXP(-(((Model_Data!A95)-Inputs!$C$29)^2)/(2*Inputs!$C$31^2))*EXP(-(((Inputs!$C$6)-Inputs!$C$30)^2)/(2*Inputs!$C$32^2))+-Inputs!$C$33*EXP(-(((((Model_Data!A95)-Inputs!$C$34)^2)+(((Inputs!$C$6)-Inputs!$C$35)^2))/(2*Inputs!$C$36^2)))+Inputs!$C$37*(0.55*SIN(2*PI()*(Model_Data!A95)/Inputs!$C$39)+0.35*COS(2*PI()*(Inputs!$C$6)/Inputs!$C$40)+0.2*SIN(2*PI()*((Model_Data!A95)+(Inputs!$C$6))/(0.5*(Inputs!$C$39+Inputs!$C$40))))+Inputs!$C$38*SIN(2*PI()*(Model_Data!A95)/Inputs!$C$39)*SIN(2*PI()*(Inputs!$C$6)/Inputs!$C$40)+-Inputs!$C$41*EXP(-(((Inputs!$C$6)-Inputs!$C$43)^2)/(2*Inputs!$C$44^2))*EXP(-(((Model_Data!A95)-Inputs!$C$42)^2)/(2*Inputs!$C$45^2))+Inputs!$C$48*(0.7*(0.45*SIN(2*PI()*(((Model_Data!A95)/Inputs!$C$49)+Inputs!$C$47*0.137))+0.35*COS(2*PI()*(((Inputs!$C$6)/Inputs!$C$50)+Inputs!$C$47*0.173))+0.2*SIN(2*PI()*(((Model_Data!A95)+(Inputs!$C$6))/(0.5*(Inputs!$C$49+Inputs!$C$50))+Inputs!$C$47*0.097)))+0.3*(2*((SIN(((Model_Data!A95)*12.9898+(Inputs!$C$6)*78.233+Inputs!$C$47*37.719))*43758.5453)-INT((SIN(((Model_Data!A95)*12.9898+(Inputs!$C$6)*78.233+Inputs!$C$47*37.719))*43758.5453)))-1))))/1000)^2)</f>
        <v>400.79206673586117</v>
      </c>
      <c r="AB95" s="9">
        <f>1000*(AA96-AA94)/(Z96-Z94)*Inputs!$C$11</f>
        <v>-302.02107858985983</v>
      </c>
      <c r="AC95" s="9">
        <f>-2*AB95/Inputs!$C$13</f>
        <v>120.80843143594393</v>
      </c>
      <c r="AD95" s="9">
        <f>-2*AB95/Inputs!$C$14</f>
        <v>18.139404119511102</v>
      </c>
    </row>
    <row r="96" spans="1:30">
      <c r="A96" s="9">
        <f>Model_Data!A96</f>
        <v>-13</v>
      </c>
      <c r="B96" s="9">
        <f>((SQRT((Model_Data!A96)^2+Inputs!$C$6^2+Inputs!$C$5^2)-Inputs!$C$5)*1000/Inputs!$C$12)</f>
        <v>556.89422778531673</v>
      </c>
      <c r="C96" s="9">
        <f>Model_Data!F96</f>
        <v>556.63356506837761</v>
      </c>
      <c r="D96" s="9">
        <f>(((SQRT((Model_Data!A96)^2+Inputs!$C$6^2+((Model_Data!B96)-((Inputs!$C$51*(115*EXP(-(((Inputs!$C$6)-25)^2)/(4.5^2))+70*EXP(-(((Inputs!$C$6)+38)^2)/(7^2))*(0.55+0.45*SIN(2*PI()*(Model_Data!A96)/45))+24*SIN(2*PI()*(Inputs!$C$6)/9+(Model_Data!A96)/18)*EXP(-(((Inputs!$C$6)+5)^2)/(22^2))+18*SIN(2*PI()*(Model_Data!A96)/70))+Inputs!$C$28*EXP(-(((Model_Data!A96)-Inputs!$C$29)^2)/(2*Inputs!$C$31^2))*EXP(-(((Inputs!$C$6)-Inputs!$C$30)^2)/(2*Inputs!$C$32^2))+-Inputs!$C$33*EXP(-(((((Model_Data!A96)-Inputs!$C$34)^2)+(((Inputs!$C$6)-Inputs!$C$35)^2))/(2*Inputs!$C$36^2)))+Inputs!$C$37*(0.55*SIN(2*PI()*(Model_Data!A96)/Inputs!$C$39)+0.35*COS(2*PI()*(Inputs!$C$6)/Inputs!$C$40)+0.2*SIN(2*PI()*((Model_Data!A96)+(Inputs!$C$6))/(0.5*(Inputs!$C$39+Inputs!$C$40))))+Inputs!$C$38*SIN(2*PI()*(Model_Data!A96)/Inputs!$C$39)*SIN(2*PI()*(Inputs!$C$6)/Inputs!$C$40)+-Inputs!$C$41*EXP(-(((Inputs!$C$6)-Inputs!$C$43)^2)/(2*Inputs!$C$44^2))*EXP(-(((Model_Data!A96)-Inputs!$C$42)^2)/(2*Inputs!$C$45^2))+Inputs!$C$48*(0.7*(0.45*SIN(2*PI()*(((Model_Data!A96)/Inputs!$C$49)+Inputs!$C$47*0.137))+0.35*COS(2*PI()*(((Inputs!$C$6)/Inputs!$C$50)+Inputs!$C$47*0.173))+0.2*SIN(2*PI()*(((Model_Data!A96)+(Inputs!$C$6))/(0.5*(Inputs!$C$49+Inputs!$C$50))+Inputs!$C$47*0.097)))+0.3*(2*((SIN(((Model_Data!A96)*12.9898+(Inputs!$C$6)*78.233+Inputs!$C$47*37.719))*43758.5453)-INT((SIN(((Model_Data!A96)*12.9898+(Inputs!$C$6)*78.233+Inputs!$C$47*37.719))*43758.5453)))-1))))/1000)^2))-(((Model_Data!B96)-((Inputs!$C$51*(115*EXP(-(((0)-25)^2)/(4.5^2))+70*EXP(-(((0)+38)^2)/(7^2))*(0.55+0.45*SIN(2*PI()*(Model_Data!A96)/45))+24*SIN(2*PI()*(0)/9+(Model_Data!A96)/18)*EXP(-(((0)+5)^2)/(22^2))+18*SIN(2*PI()*(Model_Data!A96)/70))+Inputs!$C$28*EXP(-(((Model_Data!A96)-Inputs!$C$29)^2)/(2*Inputs!$C$31^2))*EXP(-(((0)-Inputs!$C$30)^2)/(2*Inputs!$C$32^2))+-Inputs!$C$33*EXP(-(((((Model_Data!A96)-Inputs!$C$34)^2)+(((0)-Inputs!$C$35)^2))/(2*Inputs!$C$36^2)))+Inputs!$C$37*(0.55*SIN(2*PI()*(Model_Data!A96)/Inputs!$C$39)+0.35*COS(2*PI()*(0)/Inputs!$C$40)+0.2*SIN(2*PI()*((Model_Data!A96)+(0))/(0.5*(Inputs!$C$39+Inputs!$C$40))))+Inputs!$C$38*SIN(2*PI()*(Model_Data!A96)/Inputs!$C$39)*SIN(2*PI()*(0)/Inputs!$C$40)+-Inputs!$C$41*EXP(-(((0)-Inputs!$C$43)^2)/(2*Inputs!$C$44^2))*EXP(-(((Model_Data!A96)-Inputs!$C$42)^2)/(2*Inputs!$C$45^2))+Inputs!$C$48*(0.7*(0.45*SIN(2*PI()*(((Model_Data!A96)/Inputs!$C$49)+Inputs!$C$47*0.137))+0.35*COS(2*PI()*(((0)/Inputs!$C$50)+Inputs!$C$47*0.173))+0.2*SIN(2*PI()*(((Model_Data!A96)+(0))/(0.5*(Inputs!$C$49+Inputs!$C$50))+Inputs!$C$47*0.097)))+0.3*(2*((SIN(((Model_Data!A96)*12.9898+(0)*78.233+Inputs!$C$47*37.719))*43758.5453)-INT((SIN(((Model_Data!A96)*12.9898+(0)*78.233+Inputs!$C$47*37.719))*43758.5453)))-1))))/1000)))*1000/Inputs!$C$12)</f>
        <v>278.0343436226114</v>
      </c>
      <c r="E96" s="9">
        <f>Model_Data!A96</f>
        <v>-13</v>
      </c>
      <c r="F96" s="9">
        <f>(Inputs!$C$51*(115*EXP(-(((Inputs!$C$6)-25)^2)/(4.5^2))+70*EXP(-(((Inputs!$C$6)+38)^2)/(7^2))*(0.55+0.45*SIN(2*PI()*(Model_Data!A96)/45))+24*SIN(2*PI()*(Inputs!$C$6)/9+(Model_Data!A96)/18)*EXP(-(((Inputs!$C$6)+5)^2)/(22^2))+18*SIN(2*PI()*(Model_Data!A96)/70))+Inputs!$C$28*EXP(-(((Model_Data!A96)-Inputs!$C$29)^2)/(2*Inputs!$C$31^2))*EXP(-(((Inputs!$C$6)-Inputs!$C$30)^2)/(2*Inputs!$C$32^2))+-Inputs!$C$33*EXP(-(((((Model_Data!A96)-Inputs!$C$34)^2)+(((Inputs!$C$6)-Inputs!$C$35)^2))/(2*Inputs!$C$36^2)))+Inputs!$C$37*(0.55*SIN(2*PI()*(Model_Data!A96)/Inputs!$C$39)+0.35*COS(2*PI()*(Inputs!$C$6)/Inputs!$C$40)+0.2*SIN(2*PI()*((Model_Data!A96)+(Inputs!$C$6))/(0.5*(Inputs!$C$39+Inputs!$C$40))))+Inputs!$C$38*SIN(2*PI()*(Model_Data!A96)/Inputs!$C$39)*SIN(2*PI()*(Inputs!$C$6)/Inputs!$C$40)+-Inputs!$C$41*EXP(-(((Inputs!$C$6)-Inputs!$C$43)^2)/(2*Inputs!$C$44^2))*EXP(-(((Model_Data!A96)-Inputs!$C$42)^2)/(2*Inputs!$C$45^2))+Inputs!$C$48*(0.7*(0.45*SIN(2*PI()*(((Model_Data!A96)/Inputs!$C$49)+Inputs!$C$47*0.137))+0.35*COS(2*PI()*(((Inputs!$C$6)/Inputs!$C$50)+Inputs!$C$47*0.173))+0.2*SIN(2*PI()*(((Model_Data!A96)+(Inputs!$C$6))/(0.5*(Inputs!$C$49+Inputs!$C$50))+Inputs!$C$47*0.097)))+0.3*(2*((SIN(((Model_Data!A96)*12.9898+(Inputs!$C$6)*78.233+Inputs!$C$47*37.719))*43758.5453)-INT((SIN(((Model_Data!A96)*12.9898+(Inputs!$C$6)*78.233+Inputs!$C$47*37.719))*43758.5453)))-1)))</f>
        <v>432.88444582509743</v>
      </c>
      <c r="G96" s="9">
        <f>(Inputs!$C$51*(115*EXP(-(((0)-25)^2)/(4.5^2))+70*EXP(-(((0)+38)^2)/(7^2))*(0.55+0.45*SIN(2*PI()*(Model_Data!A96)/45))+24*SIN(2*PI()*(0)/9+(Model_Data!A96)/18)*EXP(-(((0)+5)^2)/(22^2))+18*SIN(2*PI()*(Model_Data!A96)/70))+Inputs!$C$28*EXP(-(((Model_Data!A96)-Inputs!$C$29)^2)/(2*Inputs!$C$31^2))*EXP(-(((0)-Inputs!$C$30)^2)/(2*Inputs!$C$32^2))+-Inputs!$C$33*EXP(-(((((Model_Data!A96)-Inputs!$C$34)^2)+(((0)-Inputs!$C$35)^2))/(2*Inputs!$C$36^2)))+Inputs!$C$37*(0.55*SIN(2*PI()*(Model_Data!A96)/Inputs!$C$39)+0.35*COS(2*PI()*(0)/Inputs!$C$40)+0.2*SIN(2*PI()*((Model_Data!A96)+(0))/(0.5*(Inputs!$C$39+Inputs!$C$40))))+Inputs!$C$38*SIN(2*PI()*(Model_Data!A96)/Inputs!$C$39)*SIN(2*PI()*(0)/Inputs!$C$40)+-Inputs!$C$41*EXP(-(((0)-Inputs!$C$43)^2)/(2*Inputs!$C$44^2))*EXP(-(((Model_Data!A96)-Inputs!$C$42)^2)/(2*Inputs!$C$45^2))+Inputs!$C$48*(0.7*(0.45*SIN(2*PI()*(((Model_Data!A96)/Inputs!$C$49)+Inputs!$C$47*0.137))+0.35*COS(2*PI()*(((0)/Inputs!$C$50)+Inputs!$C$47*0.173))+0.2*SIN(2*PI()*(((Model_Data!A96)+(0))/(0.5*(Inputs!$C$49+Inputs!$C$50))+Inputs!$C$47*0.097)))+0.3*(2*((SIN(((Model_Data!A96)*12.9898+(0)*78.233+Inputs!$C$47*37.719))*43758.5453)-INT((SIN(((Model_Data!A96)*12.9898+(0)*78.233+Inputs!$C$47*37.719))*43758.5453)))-1)))</f>
        <v>-64.092434824295424</v>
      </c>
      <c r="H96" s="10"/>
      <c r="I96" s="9">
        <f>Model_Data!A96</f>
        <v>-13</v>
      </c>
      <c r="J96" s="9">
        <f>(Inputs!$C$51*(115*EXP(-(((Inputs!$C$6)-25)^2)/(4.5^2))+70*EXP(-(((Inputs!$C$6)+38)^2)/(7^2))*(0.55+0.45*SIN(2*PI()*(Model_Data!A96)/45))+24*SIN(2*PI()*(Inputs!$C$6)/9+(Model_Data!A96)/18)*EXP(-(((Inputs!$C$6)+5)^2)/(22^2))+18*SIN(2*PI()*(Model_Data!A96)/70))+Inputs!$C$28*EXP(-(((Model_Data!A96)-Inputs!$C$29)^2)/(2*Inputs!$C$31^2))*EXP(-(((Inputs!$C$6)-Inputs!$C$30)^2)/(2*Inputs!$C$32^2))+-Inputs!$C$33*EXP(-(((((Model_Data!A96)-Inputs!$C$34)^2)+(((Inputs!$C$6)-Inputs!$C$35)^2))/(2*Inputs!$C$36^2)))+Inputs!$C$37*(0.55*SIN(2*PI()*(Model_Data!A96)/Inputs!$C$39)+0.35*COS(2*PI()*(Inputs!$C$6)/Inputs!$C$40)+0.2*SIN(2*PI()*((Model_Data!A96)+(Inputs!$C$6))/(0.5*(Inputs!$C$39+Inputs!$C$40))))+Inputs!$C$38*SIN(2*PI()*(Model_Data!A96)/Inputs!$C$39)*SIN(2*PI()*(Inputs!$C$6)/Inputs!$C$40)+-Inputs!$C$41*EXP(-(((Inputs!$C$6)-Inputs!$C$43)^2)/(2*Inputs!$C$44^2))*EXP(-(((Model_Data!A96)-Inputs!$C$42)^2)/(2*Inputs!$C$45^2))+Inputs!$C$48*(0.7*(0.45*SIN(2*PI()*(((Model_Data!A96)/Inputs!$C$49)+Inputs!$C$47*0.137))+0.35*COS(2*PI()*(((Inputs!$C$6)/Inputs!$C$50)+Inputs!$C$47*0.173))+0.2*SIN(2*PI()*(((Model_Data!A96)+(Inputs!$C$6))/(0.5*(Inputs!$C$49+Inputs!$C$50))+Inputs!$C$47*0.097)))+0.3*(2*((SIN(((Model_Data!A96)*12.9898+(Inputs!$C$6)*78.233+Inputs!$C$47*37.719))*43758.5453)-INT((SIN(((Model_Data!A96)*12.9898+(Inputs!$C$6)*78.233+Inputs!$C$47*37.719))*43758.5453)))-1)))</f>
        <v>432.88444582509743</v>
      </c>
      <c r="K96" s="9">
        <f>-((((SQRT((Model_Data!A96)^2+Inputs!$C$6^2+((Model_Data!B96)-((Inputs!$C$51*(115*EXP(-(((Inputs!$C$6)-25)^2)/(4.5^2))+70*EXP(-(((Inputs!$C$6)+38)^2)/(7^2))*(0.55+0.45*SIN(2*PI()*(Model_Data!A96)/45))+24*SIN(2*PI()*(Inputs!$C$6)/9+(Model_Data!A96)/18)*EXP(-(((Inputs!$C$6)+5)^2)/(22^2))+18*SIN(2*PI()*(Model_Data!A96)/70))+Inputs!$C$28*EXP(-(((Model_Data!A96)-Inputs!$C$29)^2)/(2*Inputs!$C$31^2))*EXP(-(((Inputs!$C$6)-Inputs!$C$30)^2)/(2*Inputs!$C$32^2))+-Inputs!$C$33*EXP(-(((((Model_Data!A96)-Inputs!$C$34)^2)+(((Inputs!$C$6)-Inputs!$C$35)^2))/(2*Inputs!$C$36^2)))+Inputs!$C$37*(0.55*SIN(2*PI()*(Model_Data!A96)/Inputs!$C$39)+0.35*COS(2*PI()*(Inputs!$C$6)/Inputs!$C$40)+0.2*SIN(2*PI()*((Model_Data!A96)+(Inputs!$C$6))/(0.5*(Inputs!$C$39+Inputs!$C$40))))+Inputs!$C$38*SIN(2*PI()*(Model_Data!A96)/Inputs!$C$39)*SIN(2*PI()*(Inputs!$C$6)/Inputs!$C$40)+-Inputs!$C$41*EXP(-(((Inputs!$C$6)-Inputs!$C$43)^2)/(2*Inputs!$C$44^2))*EXP(-(((Model_Data!A96)-Inputs!$C$42)^2)/(2*Inputs!$C$45^2))+Inputs!$C$48*(0.7*(0.45*SIN(2*PI()*(((Model_Data!A96)/Inputs!$C$49)+Inputs!$C$47*0.137))+0.35*COS(2*PI()*(((Inputs!$C$6)/Inputs!$C$50)+Inputs!$C$47*0.173))+0.2*SIN(2*PI()*(((Model_Data!A96)+(Inputs!$C$6))/(0.5*(Inputs!$C$49+Inputs!$C$50))+Inputs!$C$47*0.097)))+0.3*(2*((SIN(((Model_Data!A96)*12.9898+(Inputs!$C$6)*78.233+Inputs!$C$47*37.719))*43758.5453)-INT((SIN(((Model_Data!A96)*12.9898+(Inputs!$C$6)*78.233+Inputs!$C$47*37.719))*43758.5453)))-1))))/1000)^2))-(((Model_Data!B96)-((Inputs!$C$51*(115*EXP(-(((0)-25)^2)/(4.5^2))+70*EXP(-(((0)+38)^2)/(7^2))*(0.55+0.45*SIN(2*PI()*(Model_Data!A96)/45))+24*SIN(2*PI()*(0)/9+(Model_Data!A96)/18)*EXP(-(((0)+5)^2)/(22^2))+18*SIN(2*PI()*(Model_Data!A96)/70))+Inputs!$C$28*EXP(-(((Model_Data!A96)-Inputs!$C$29)^2)/(2*Inputs!$C$31^2))*EXP(-(((0)-Inputs!$C$30)^2)/(2*Inputs!$C$32^2))+-Inputs!$C$33*EXP(-(((((Model_Data!A96)-Inputs!$C$34)^2)+(((0)-Inputs!$C$35)^2))/(2*Inputs!$C$36^2)))+Inputs!$C$37*(0.55*SIN(2*PI()*(Model_Data!A96)/Inputs!$C$39)+0.35*COS(2*PI()*(0)/Inputs!$C$40)+0.2*SIN(2*PI()*((Model_Data!A96)+(0))/(0.5*(Inputs!$C$39+Inputs!$C$40))))+Inputs!$C$38*SIN(2*PI()*(Model_Data!A96)/Inputs!$C$39)*SIN(2*PI()*(0)/Inputs!$C$40)+-Inputs!$C$41*EXP(-(((0)-Inputs!$C$43)^2)/(2*Inputs!$C$44^2))*EXP(-(((Model_Data!A96)-Inputs!$C$42)^2)/(2*Inputs!$C$45^2))+Inputs!$C$48*(0.7*(0.45*SIN(2*PI()*(((Model_Data!A96)/Inputs!$C$49)+Inputs!$C$47*0.137))+0.35*COS(2*PI()*(((0)/Inputs!$C$50)+Inputs!$C$47*0.173))+0.2*SIN(2*PI()*(((Model_Data!A96)+(0))/(0.5*(Inputs!$C$49+Inputs!$C$50))+Inputs!$C$47*0.097)))+0.3*(2*((SIN(((Model_Data!A96)*12.9898+(0)*78.233+Inputs!$C$47*37.719))*43758.5453)-INT((SIN(((Model_Data!A96)*12.9898+(0)*78.233+Inputs!$C$47*37.719))*43758.5453)))-1))))/1000)))*1000/Inputs!$C$12)-Model_Data!F96)</f>
        <v>278.5992214457662</v>
      </c>
      <c r="L96" s="10"/>
      <c r="M96" s="9">
        <f>Model_Data!A96</f>
        <v>-13</v>
      </c>
      <c r="N96" s="9">
        <f>Model_Data!P96</f>
        <v>97.955299243533602</v>
      </c>
      <c r="O96" s="9">
        <f t="shared" si="2"/>
        <v>146.04897473391247</v>
      </c>
      <c r="P96" s="9">
        <f>Model_Data!Q96</f>
        <v>14.708002889419461</v>
      </c>
      <c r="Q96" s="9">
        <f t="shared" si="3"/>
        <v>21.929275485572447</v>
      </c>
      <c r="R96" s="10"/>
      <c r="S96" s="9">
        <f>Model_Data!A96</f>
        <v>-13</v>
      </c>
      <c r="T96" s="9">
        <f>Model_Data!B96-Inputs!$C$5</f>
        <v>0.18777777777779647</v>
      </c>
      <c r="U96" s="10"/>
      <c r="V96" s="9">
        <f>Model_Data!A96</f>
        <v>-13</v>
      </c>
      <c r="W96" s="9">
        <f>((SQRT((Model_Data!A96)^2+Inputs!$C$6^2+Inputs!$C$5^2)-Inputs!$C$5)*1000/Inputs!$C$12)</f>
        <v>556.89422778531673</v>
      </c>
      <c r="X96" s="9">
        <f>Model_Data!F96</f>
        <v>556.63356506837761</v>
      </c>
      <c r="Y96" s="10"/>
      <c r="Z96" s="9">
        <f>Model_Data!A96</f>
        <v>-13</v>
      </c>
      <c r="AA96" s="9">
        <f>SQRT((Model_Data!A96)^2+Inputs!$C$6^2+((Model_Data!B96)-((Inputs!$C$51*(115*EXP(-(((Inputs!$C$6)-25)^2)/(4.5^2))+70*EXP(-(((Inputs!$C$6)+38)^2)/(7^2))*(0.55+0.45*SIN(2*PI()*(Model_Data!A96)/45))+24*SIN(2*PI()*(Inputs!$C$6)/9+(Model_Data!A96)/18)*EXP(-(((Inputs!$C$6)+5)^2)/(22^2))+18*SIN(2*PI()*(Model_Data!A96)/70))+Inputs!$C$28*EXP(-(((Model_Data!A96)-Inputs!$C$29)^2)/(2*Inputs!$C$31^2))*EXP(-(((Inputs!$C$6)-Inputs!$C$30)^2)/(2*Inputs!$C$32^2))+-Inputs!$C$33*EXP(-(((((Model_Data!A96)-Inputs!$C$34)^2)+(((Inputs!$C$6)-Inputs!$C$35)^2))/(2*Inputs!$C$36^2)))+Inputs!$C$37*(0.55*SIN(2*PI()*(Model_Data!A96)/Inputs!$C$39)+0.35*COS(2*PI()*(Inputs!$C$6)/Inputs!$C$40)+0.2*SIN(2*PI()*((Model_Data!A96)+(Inputs!$C$6))/(0.5*(Inputs!$C$39+Inputs!$C$40))))+Inputs!$C$38*SIN(2*PI()*(Model_Data!A96)/Inputs!$C$39)*SIN(2*PI()*(Inputs!$C$6)/Inputs!$C$40)+-Inputs!$C$41*EXP(-(((Inputs!$C$6)-Inputs!$C$43)^2)/(2*Inputs!$C$44^2))*EXP(-(((Model_Data!A96)-Inputs!$C$42)^2)/(2*Inputs!$C$45^2))+Inputs!$C$48*(0.7*(0.45*SIN(2*PI()*(((Model_Data!A96)/Inputs!$C$49)+Inputs!$C$47*0.137))+0.35*COS(2*PI()*(((Inputs!$C$6)/Inputs!$C$50)+Inputs!$C$47*0.173))+0.2*SIN(2*PI()*(((Model_Data!A96)+(Inputs!$C$6))/(0.5*(Inputs!$C$49+Inputs!$C$50))+Inputs!$C$47*0.097)))+0.3*(2*((SIN(((Model_Data!A96)*12.9898+(Inputs!$C$6)*78.233+Inputs!$C$47*37.719))*43758.5453)-INT((SIN(((Model_Data!A96)*12.9898+(Inputs!$C$6)*78.233+Inputs!$C$47*37.719))*43758.5453)))-1))))/1000)^2)</f>
        <v>400.74677134425036</v>
      </c>
      <c r="AB96" s="9">
        <f>1000*(AA97-AA95)/(Z97-Z95)*Inputs!$C$11</f>
        <v>-365.12243683478118</v>
      </c>
      <c r="AC96" s="9">
        <f>-2*AB96/Inputs!$C$13</f>
        <v>146.04897473391247</v>
      </c>
      <c r="AD96" s="9">
        <f>-2*AB96/Inputs!$C$14</f>
        <v>21.929275485572447</v>
      </c>
    </row>
    <row r="97" spans="1:30">
      <c r="A97" s="9">
        <f>Model_Data!A97</f>
        <v>-12.5</v>
      </c>
      <c r="B97" s="9">
        <f>((SQRT((Model_Data!A97)^2+Inputs!$C$6^2+Inputs!$C$5^2)-Inputs!$C$5)*1000/Inputs!$C$12)</f>
        <v>547.96253294156986</v>
      </c>
      <c r="C97" s="9">
        <f>Model_Data!F97</f>
        <v>547.72538305977127</v>
      </c>
      <c r="D97" s="9">
        <f>(((SQRT((Model_Data!A97)^2+Inputs!$C$6^2+((Model_Data!B97)-((Inputs!$C$51*(115*EXP(-(((Inputs!$C$6)-25)^2)/(4.5^2))+70*EXP(-(((Inputs!$C$6)+38)^2)/(7^2))*(0.55+0.45*SIN(2*PI()*(Model_Data!A97)/45))+24*SIN(2*PI()*(Inputs!$C$6)/9+(Model_Data!A97)/18)*EXP(-(((Inputs!$C$6)+5)^2)/(22^2))+18*SIN(2*PI()*(Model_Data!A97)/70))+Inputs!$C$28*EXP(-(((Model_Data!A97)-Inputs!$C$29)^2)/(2*Inputs!$C$31^2))*EXP(-(((Inputs!$C$6)-Inputs!$C$30)^2)/(2*Inputs!$C$32^2))+-Inputs!$C$33*EXP(-(((((Model_Data!A97)-Inputs!$C$34)^2)+(((Inputs!$C$6)-Inputs!$C$35)^2))/(2*Inputs!$C$36^2)))+Inputs!$C$37*(0.55*SIN(2*PI()*(Model_Data!A97)/Inputs!$C$39)+0.35*COS(2*PI()*(Inputs!$C$6)/Inputs!$C$40)+0.2*SIN(2*PI()*((Model_Data!A97)+(Inputs!$C$6))/(0.5*(Inputs!$C$39+Inputs!$C$40))))+Inputs!$C$38*SIN(2*PI()*(Model_Data!A97)/Inputs!$C$39)*SIN(2*PI()*(Inputs!$C$6)/Inputs!$C$40)+-Inputs!$C$41*EXP(-(((Inputs!$C$6)-Inputs!$C$43)^2)/(2*Inputs!$C$44^2))*EXP(-(((Model_Data!A97)-Inputs!$C$42)^2)/(2*Inputs!$C$45^2))+Inputs!$C$48*(0.7*(0.45*SIN(2*PI()*(((Model_Data!A97)/Inputs!$C$49)+Inputs!$C$47*0.137))+0.35*COS(2*PI()*(((Inputs!$C$6)/Inputs!$C$50)+Inputs!$C$47*0.173))+0.2*SIN(2*PI()*(((Model_Data!A97)+(Inputs!$C$6))/(0.5*(Inputs!$C$49+Inputs!$C$50))+Inputs!$C$47*0.097)))+0.3*(2*((SIN(((Model_Data!A97)*12.9898+(Inputs!$C$6)*78.233+Inputs!$C$47*37.719))*43758.5453)-INT((SIN(((Model_Data!A97)*12.9898+(Inputs!$C$6)*78.233+Inputs!$C$47*37.719))*43758.5453)))-1))))/1000)^2))-(((Model_Data!B97)-((Inputs!$C$51*(115*EXP(-(((0)-25)^2)/(4.5^2))+70*EXP(-(((0)+38)^2)/(7^2))*(0.55+0.45*SIN(2*PI()*(Model_Data!A97)/45))+24*SIN(2*PI()*(0)/9+(Model_Data!A97)/18)*EXP(-(((0)+5)^2)/(22^2))+18*SIN(2*PI()*(Model_Data!A97)/70))+Inputs!$C$28*EXP(-(((Model_Data!A97)-Inputs!$C$29)^2)/(2*Inputs!$C$31^2))*EXP(-(((0)-Inputs!$C$30)^2)/(2*Inputs!$C$32^2))+-Inputs!$C$33*EXP(-(((((Model_Data!A97)-Inputs!$C$34)^2)+(((0)-Inputs!$C$35)^2))/(2*Inputs!$C$36^2)))+Inputs!$C$37*(0.55*SIN(2*PI()*(Model_Data!A97)/Inputs!$C$39)+0.35*COS(2*PI()*(0)/Inputs!$C$40)+0.2*SIN(2*PI()*((Model_Data!A97)+(0))/(0.5*(Inputs!$C$39+Inputs!$C$40))))+Inputs!$C$38*SIN(2*PI()*(Model_Data!A97)/Inputs!$C$39)*SIN(2*PI()*(0)/Inputs!$C$40)+-Inputs!$C$41*EXP(-(((0)-Inputs!$C$43)^2)/(2*Inputs!$C$44^2))*EXP(-(((Model_Data!A97)-Inputs!$C$42)^2)/(2*Inputs!$C$45^2))+Inputs!$C$48*(0.7*(0.45*SIN(2*PI()*(((Model_Data!A97)/Inputs!$C$49)+Inputs!$C$47*0.137))+0.35*COS(2*PI()*(((0)/Inputs!$C$50)+Inputs!$C$47*0.173))+0.2*SIN(2*PI()*(((Model_Data!A97)+(0))/(0.5*(Inputs!$C$49+Inputs!$C$50))+Inputs!$C$47*0.097)))+0.3*(2*((SIN(((Model_Data!A97)*12.9898+(0)*78.233+Inputs!$C$47*37.719))*43758.5453)-INT((SIN(((Model_Data!A97)*12.9898+(0)*78.233+Inputs!$C$47*37.719))*43758.5453)))-1))))/1000)))*1000/Inputs!$C$12)</f>
        <v>256.73656924722349</v>
      </c>
      <c r="E97" s="9">
        <f>Model_Data!A97</f>
        <v>-12.5</v>
      </c>
      <c r="F97" s="9">
        <f>(Inputs!$C$51*(115*EXP(-(((Inputs!$C$6)-25)^2)/(4.5^2))+70*EXP(-(((Inputs!$C$6)+38)^2)/(7^2))*(0.55+0.45*SIN(2*PI()*(Model_Data!A97)/45))+24*SIN(2*PI()*(Inputs!$C$6)/9+(Model_Data!A97)/18)*EXP(-(((Inputs!$C$6)+5)^2)/(22^2))+18*SIN(2*PI()*(Model_Data!A97)/70))+Inputs!$C$28*EXP(-(((Model_Data!A97)-Inputs!$C$29)^2)/(2*Inputs!$C$31^2))*EXP(-(((Inputs!$C$6)-Inputs!$C$30)^2)/(2*Inputs!$C$32^2))+-Inputs!$C$33*EXP(-(((((Model_Data!A97)-Inputs!$C$34)^2)+(((Inputs!$C$6)-Inputs!$C$35)^2))/(2*Inputs!$C$36^2)))+Inputs!$C$37*(0.55*SIN(2*PI()*(Model_Data!A97)/Inputs!$C$39)+0.35*COS(2*PI()*(Inputs!$C$6)/Inputs!$C$40)+0.2*SIN(2*PI()*((Model_Data!A97)+(Inputs!$C$6))/(0.5*(Inputs!$C$39+Inputs!$C$40))))+Inputs!$C$38*SIN(2*PI()*(Model_Data!A97)/Inputs!$C$39)*SIN(2*PI()*(Inputs!$C$6)/Inputs!$C$40)+-Inputs!$C$41*EXP(-(((Inputs!$C$6)-Inputs!$C$43)^2)/(2*Inputs!$C$44^2))*EXP(-(((Model_Data!A97)-Inputs!$C$42)^2)/(2*Inputs!$C$45^2))+Inputs!$C$48*(0.7*(0.45*SIN(2*PI()*(((Model_Data!A97)/Inputs!$C$49)+Inputs!$C$47*0.137))+0.35*COS(2*PI()*(((Inputs!$C$6)/Inputs!$C$50)+Inputs!$C$47*0.173))+0.2*SIN(2*PI()*(((Model_Data!A97)+(Inputs!$C$6))/(0.5*(Inputs!$C$49+Inputs!$C$50))+Inputs!$C$47*0.097)))+0.3*(2*((SIN(((Model_Data!A97)*12.9898+(Inputs!$C$6)*78.233+Inputs!$C$47*37.719))*43758.5453)-INT((SIN(((Model_Data!A97)*12.9898+(Inputs!$C$6)*78.233+Inputs!$C$47*37.719))*43758.5453)))-1)))</f>
        <v>448.86831612559951</v>
      </c>
      <c r="G97" s="9">
        <f>(Inputs!$C$51*(115*EXP(-(((0)-25)^2)/(4.5^2))+70*EXP(-(((0)+38)^2)/(7^2))*(0.55+0.45*SIN(2*PI()*(Model_Data!A97)/45))+24*SIN(2*PI()*(0)/9+(Model_Data!A97)/18)*EXP(-(((0)+5)^2)/(22^2))+18*SIN(2*PI()*(Model_Data!A97)/70))+Inputs!$C$28*EXP(-(((Model_Data!A97)-Inputs!$C$29)^2)/(2*Inputs!$C$31^2))*EXP(-(((0)-Inputs!$C$30)^2)/(2*Inputs!$C$32^2))+-Inputs!$C$33*EXP(-(((((Model_Data!A97)-Inputs!$C$34)^2)+(((0)-Inputs!$C$35)^2))/(2*Inputs!$C$36^2)))+Inputs!$C$37*(0.55*SIN(2*PI()*(Model_Data!A97)/Inputs!$C$39)+0.35*COS(2*PI()*(0)/Inputs!$C$40)+0.2*SIN(2*PI()*((Model_Data!A97)+(0))/(0.5*(Inputs!$C$39+Inputs!$C$40))))+Inputs!$C$38*SIN(2*PI()*(Model_Data!A97)/Inputs!$C$39)*SIN(2*PI()*(0)/Inputs!$C$40)+-Inputs!$C$41*EXP(-(((0)-Inputs!$C$43)^2)/(2*Inputs!$C$44^2))*EXP(-(((Model_Data!A97)-Inputs!$C$42)^2)/(2*Inputs!$C$45^2))+Inputs!$C$48*(0.7*(0.45*SIN(2*PI()*(((Model_Data!A97)/Inputs!$C$49)+Inputs!$C$47*0.137))+0.35*COS(2*PI()*(((0)/Inputs!$C$50)+Inputs!$C$47*0.173))+0.2*SIN(2*PI()*(((Model_Data!A97)+(0))/(0.5*(Inputs!$C$49+Inputs!$C$50))+Inputs!$C$47*0.097)))+0.3*(2*((SIN(((Model_Data!A97)*12.9898+(0)*78.233+Inputs!$C$47*37.719))*43758.5453)-INT((SIN(((Model_Data!A97)*12.9898+(0)*78.233+Inputs!$C$47*37.719))*43758.5453)))-1)))</f>
        <v>-70.183922281311382</v>
      </c>
      <c r="H97" s="10"/>
      <c r="I97" s="9">
        <f>Model_Data!A97</f>
        <v>-12.5</v>
      </c>
      <c r="J97" s="9">
        <f>(Inputs!$C$51*(115*EXP(-(((Inputs!$C$6)-25)^2)/(4.5^2))+70*EXP(-(((Inputs!$C$6)+38)^2)/(7^2))*(0.55+0.45*SIN(2*PI()*(Model_Data!A97)/45))+24*SIN(2*PI()*(Inputs!$C$6)/9+(Model_Data!A97)/18)*EXP(-(((Inputs!$C$6)+5)^2)/(22^2))+18*SIN(2*PI()*(Model_Data!A97)/70))+Inputs!$C$28*EXP(-(((Model_Data!A97)-Inputs!$C$29)^2)/(2*Inputs!$C$31^2))*EXP(-(((Inputs!$C$6)-Inputs!$C$30)^2)/(2*Inputs!$C$32^2))+-Inputs!$C$33*EXP(-(((((Model_Data!A97)-Inputs!$C$34)^2)+(((Inputs!$C$6)-Inputs!$C$35)^2))/(2*Inputs!$C$36^2)))+Inputs!$C$37*(0.55*SIN(2*PI()*(Model_Data!A97)/Inputs!$C$39)+0.35*COS(2*PI()*(Inputs!$C$6)/Inputs!$C$40)+0.2*SIN(2*PI()*((Model_Data!A97)+(Inputs!$C$6))/(0.5*(Inputs!$C$39+Inputs!$C$40))))+Inputs!$C$38*SIN(2*PI()*(Model_Data!A97)/Inputs!$C$39)*SIN(2*PI()*(Inputs!$C$6)/Inputs!$C$40)+-Inputs!$C$41*EXP(-(((Inputs!$C$6)-Inputs!$C$43)^2)/(2*Inputs!$C$44^2))*EXP(-(((Model_Data!A97)-Inputs!$C$42)^2)/(2*Inputs!$C$45^2))+Inputs!$C$48*(0.7*(0.45*SIN(2*PI()*(((Model_Data!A97)/Inputs!$C$49)+Inputs!$C$47*0.137))+0.35*COS(2*PI()*(((Inputs!$C$6)/Inputs!$C$50)+Inputs!$C$47*0.173))+0.2*SIN(2*PI()*(((Model_Data!A97)+(Inputs!$C$6))/(0.5*(Inputs!$C$49+Inputs!$C$50))+Inputs!$C$47*0.097)))+0.3*(2*((SIN(((Model_Data!A97)*12.9898+(Inputs!$C$6)*78.233+Inputs!$C$47*37.719))*43758.5453)-INT((SIN(((Model_Data!A97)*12.9898+(Inputs!$C$6)*78.233+Inputs!$C$47*37.719))*43758.5453)))-1)))</f>
        <v>448.86831612559951</v>
      </c>
      <c r="K97" s="9">
        <f>-((((SQRT((Model_Data!A97)^2+Inputs!$C$6^2+((Model_Data!B97)-((Inputs!$C$51*(115*EXP(-(((Inputs!$C$6)-25)^2)/(4.5^2))+70*EXP(-(((Inputs!$C$6)+38)^2)/(7^2))*(0.55+0.45*SIN(2*PI()*(Model_Data!A97)/45))+24*SIN(2*PI()*(Inputs!$C$6)/9+(Model_Data!A97)/18)*EXP(-(((Inputs!$C$6)+5)^2)/(22^2))+18*SIN(2*PI()*(Model_Data!A97)/70))+Inputs!$C$28*EXP(-(((Model_Data!A97)-Inputs!$C$29)^2)/(2*Inputs!$C$31^2))*EXP(-(((Inputs!$C$6)-Inputs!$C$30)^2)/(2*Inputs!$C$32^2))+-Inputs!$C$33*EXP(-(((((Model_Data!A97)-Inputs!$C$34)^2)+(((Inputs!$C$6)-Inputs!$C$35)^2))/(2*Inputs!$C$36^2)))+Inputs!$C$37*(0.55*SIN(2*PI()*(Model_Data!A97)/Inputs!$C$39)+0.35*COS(2*PI()*(Inputs!$C$6)/Inputs!$C$40)+0.2*SIN(2*PI()*((Model_Data!A97)+(Inputs!$C$6))/(0.5*(Inputs!$C$39+Inputs!$C$40))))+Inputs!$C$38*SIN(2*PI()*(Model_Data!A97)/Inputs!$C$39)*SIN(2*PI()*(Inputs!$C$6)/Inputs!$C$40)+-Inputs!$C$41*EXP(-(((Inputs!$C$6)-Inputs!$C$43)^2)/(2*Inputs!$C$44^2))*EXP(-(((Model_Data!A97)-Inputs!$C$42)^2)/(2*Inputs!$C$45^2))+Inputs!$C$48*(0.7*(0.45*SIN(2*PI()*(((Model_Data!A97)/Inputs!$C$49)+Inputs!$C$47*0.137))+0.35*COS(2*PI()*(((Inputs!$C$6)/Inputs!$C$50)+Inputs!$C$47*0.173))+0.2*SIN(2*PI()*(((Model_Data!A97)+(Inputs!$C$6))/(0.5*(Inputs!$C$49+Inputs!$C$50))+Inputs!$C$47*0.097)))+0.3*(2*((SIN(((Model_Data!A97)*12.9898+(Inputs!$C$6)*78.233+Inputs!$C$47*37.719))*43758.5453)-INT((SIN(((Model_Data!A97)*12.9898+(Inputs!$C$6)*78.233+Inputs!$C$47*37.719))*43758.5453)))-1))))/1000)^2))-(((Model_Data!B97)-((Inputs!$C$51*(115*EXP(-(((0)-25)^2)/(4.5^2))+70*EXP(-(((0)+38)^2)/(7^2))*(0.55+0.45*SIN(2*PI()*(Model_Data!A97)/45))+24*SIN(2*PI()*(0)/9+(Model_Data!A97)/18)*EXP(-(((0)+5)^2)/(22^2))+18*SIN(2*PI()*(Model_Data!A97)/70))+Inputs!$C$28*EXP(-(((Model_Data!A97)-Inputs!$C$29)^2)/(2*Inputs!$C$31^2))*EXP(-(((0)-Inputs!$C$30)^2)/(2*Inputs!$C$32^2))+-Inputs!$C$33*EXP(-(((((Model_Data!A97)-Inputs!$C$34)^2)+(((0)-Inputs!$C$35)^2))/(2*Inputs!$C$36^2)))+Inputs!$C$37*(0.55*SIN(2*PI()*(Model_Data!A97)/Inputs!$C$39)+0.35*COS(2*PI()*(0)/Inputs!$C$40)+0.2*SIN(2*PI()*((Model_Data!A97)+(0))/(0.5*(Inputs!$C$39+Inputs!$C$40))))+Inputs!$C$38*SIN(2*PI()*(Model_Data!A97)/Inputs!$C$39)*SIN(2*PI()*(0)/Inputs!$C$40)+-Inputs!$C$41*EXP(-(((0)-Inputs!$C$43)^2)/(2*Inputs!$C$44^2))*EXP(-(((Model_Data!A97)-Inputs!$C$42)^2)/(2*Inputs!$C$45^2))+Inputs!$C$48*(0.7*(0.45*SIN(2*PI()*(((Model_Data!A97)/Inputs!$C$49)+Inputs!$C$47*0.137))+0.35*COS(2*PI()*(((0)/Inputs!$C$50)+Inputs!$C$47*0.173))+0.2*SIN(2*PI()*(((Model_Data!A97)+(0))/(0.5*(Inputs!$C$49+Inputs!$C$50))+Inputs!$C$47*0.097)))+0.3*(2*((SIN(((Model_Data!A97)*12.9898+(0)*78.233+Inputs!$C$47*37.719))*43758.5453)-INT((SIN(((Model_Data!A97)*12.9898+(0)*78.233+Inputs!$C$47*37.719))*43758.5453)))-1))))/1000)))*1000/Inputs!$C$12)-Model_Data!F97)</f>
        <v>290.98881381254779</v>
      </c>
      <c r="L97" s="10"/>
      <c r="M97" s="9">
        <f>Model_Data!A97</f>
        <v>-12.5</v>
      </c>
      <c r="N97" s="9">
        <f>Model_Data!P97</f>
        <v>94.193267479707089</v>
      </c>
      <c r="O97" s="9">
        <f t="shared" si="2"/>
        <v>102.39898585250558</v>
      </c>
      <c r="P97" s="9">
        <f>Model_Data!Q97</f>
        <v>14.143133255211277</v>
      </c>
      <c r="Q97" s="9">
        <f t="shared" si="3"/>
        <v>15.375223100976815</v>
      </c>
      <c r="R97" s="10"/>
      <c r="S97" s="9">
        <f>Model_Data!A97</f>
        <v>-12.5</v>
      </c>
      <c r="T97" s="9">
        <f>Model_Data!B97-Inputs!$C$5</f>
        <v>0.17361111111108585</v>
      </c>
      <c r="U97" s="10"/>
      <c r="V97" s="9">
        <f>Model_Data!A97</f>
        <v>-12.5</v>
      </c>
      <c r="W97" s="9">
        <f>((SQRT((Model_Data!A97)^2+Inputs!$C$6^2+Inputs!$C$5^2)-Inputs!$C$5)*1000/Inputs!$C$12)</f>
        <v>547.96253294156986</v>
      </c>
      <c r="X97" s="9">
        <f>Model_Data!F97</f>
        <v>547.72538305977127</v>
      </c>
      <c r="Y97" s="10"/>
      <c r="Z97" s="9">
        <f>Model_Data!A97</f>
        <v>-12.5</v>
      </c>
      <c r="AA97" s="9">
        <f>SQRT((Model_Data!A97)^2+Inputs!$C$6^2+((Model_Data!B97)-((Inputs!$C$51*(115*EXP(-(((Inputs!$C$6)-25)^2)/(4.5^2))+70*EXP(-(((Inputs!$C$6)+38)^2)/(7^2))*(0.55+0.45*SIN(2*PI()*(Model_Data!A97)/45))+24*SIN(2*PI()*(Inputs!$C$6)/9+(Model_Data!A97)/18)*EXP(-(((Inputs!$C$6)+5)^2)/(22^2))+18*SIN(2*PI()*(Model_Data!A97)/70))+Inputs!$C$28*EXP(-(((Model_Data!A97)-Inputs!$C$29)^2)/(2*Inputs!$C$31^2))*EXP(-(((Inputs!$C$6)-Inputs!$C$30)^2)/(2*Inputs!$C$32^2))+-Inputs!$C$33*EXP(-(((((Model_Data!A97)-Inputs!$C$34)^2)+(((Inputs!$C$6)-Inputs!$C$35)^2))/(2*Inputs!$C$36^2)))+Inputs!$C$37*(0.55*SIN(2*PI()*(Model_Data!A97)/Inputs!$C$39)+0.35*COS(2*PI()*(Inputs!$C$6)/Inputs!$C$40)+0.2*SIN(2*PI()*((Model_Data!A97)+(Inputs!$C$6))/(0.5*(Inputs!$C$39+Inputs!$C$40))))+Inputs!$C$38*SIN(2*PI()*(Model_Data!A97)/Inputs!$C$39)*SIN(2*PI()*(Inputs!$C$6)/Inputs!$C$40)+-Inputs!$C$41*EXP(-(((Inputs!$C$6)-Inputs!$C$43)^2)/(2*Inputs!$C$44^2))*EXP(-(((Model_Data!A97)-Inputs!$C$42)^2)/(2*Inputs!$C$45^2))+Inputs!$C$48*(0.7*(0.45*SIN(2*PI()*(((Model_Data!A97)/Inputs!$C$49)+Inputs!$C$47*0.137))+0.35*COS(2*PI()*(((Inputs!$C$6)/Inputs!$C$50)+Inputs!$C$47*0.173))+0.2*SIN(2*PI()*(((Model_Data!A97)+(Inputs!$C$6))/(0.5*(Inputs!$C$49+Inputs!$C$50))+Inputs!$C$47*0.097)))+0.3*(2*((SIN(((Model_Data!A97)*12.9898+(Inputs!$C$6)*78.233+Inputs!$C$47*37.719))*43758.5453)-INT((SIN(((Model_Data!A97)*12.9898+(Inputs!$C$6)*78.233+Inputs!$C$47*37.719))*43758.5453)))-1))))/1000)^2)</f>
        <v>400.70078612665247</v>
      </c>
      <c r="AB97" s="9">
        <f>1000*(AA98-AA96)/(Z98-Z96)*Inputs!$C$11</f>
        <v>-255.99746463126394</v>
      </c>
      <c r="AC97" s="9">
        <f>-2*AB97/Inputs!$C$13</f>
        <v>102.39898585250558</v>
      </c>
      <c r="AD97" s="9">
        <f>-2*AB97/Inputs!$C$14</f>
        <v>15.375223100976815</v>
      </c>
    </row>
    <row r="98" spans="1:30">
      <c r="A98" s="9">
        <f>Model_Data!A98</f>
        <v>-12</v>
      </c>
      <c r="B98" s="9">
        <f>((SQRT((Model_Data!A98)^2+Inputs!$C$6^2+Inputs!$C$5^2)-Inputs!$C$5)*1000/Inputs!$C$12)</f>
        <v>539.38076705125616</v>
      </c>
      <c r="C98" s="9">
        <f>Model_Data!F98</f>
        <v>539.16561711384361</v>
      </c>
      <c r="D98" s="9">
        <f>(((SQRT((Model_Data!A98)^2+Inputs!$C$6^2+((Model_Data!B98)-((Inputs!$C$51*(115*EXP(-(((Inputs!$C$6)-25)^2)/(4.5^2))+70*EXP(-(((Inputs!$C$6)+38)^2)/(7^2))*(0.55+0.45*SIN(2*PI()*(Model_Data!A98)/45))+24*SIN(2*PI()*(Inputs!$C$6)/9+(Model_Data!A98)/18)*EXP(-(((Inputs!$C$6)+5)^2)/(22^2))+18*SIN(2*PI()*(Model_Data!A98)/70))+Inputs!$C$28*EXP(-(((Model_Data!A98)-Inputs!$C$29)^2)/(2*Inputs!$C$31^2))*EXP(-(((Inputs!$C$6)-Inputs!$C$30)^2)/(2*Inputs!$C$32^2))+-Inputs!$C$33*EXP(-(((((Model_Data!A98)-Inputs!$C$34)^2)+(((Inputs!$C$6)-Inputs!$C$35)^2))/(2*Inputs!$C$36^2)))+Inputs!$C$37*(0.55*SIN(2*PI()*(Model_Data!A98)/Inputs!$C$39)+0.35*COS(2*PI()*(Inputs!$C$6)/Inputs!$C$40)+0.2*SIN(2*PI()*((Model_Data!A98)+(Inputs!$C$6))/(0.5*(Inputs!$C$39+Inputs!$C$40))))+Inputs!$C$38*SIN(2*PI()*(Model_Data!A98)/Inputs!$C$39)*SIN(2*PI()*(Inputs!$C$6)/Inputs!$C$40)+-Inputs!$C$41*EXP(-(((Inputs!$C$6)-Inputs!$C$43)^2)/(2*Inputs!$C$44^2))*EXP(-(((Model_Data!A98)-Inputs!$C$42)^2)/(2*Inputs!$C$45^2))+Inputs!$C$48*(0.7*(0.45*SIN(2*PI()*(((Model_Data!A98)/Inputs!$C$49)+Inputs!$C$47*0.137))+0.35*COS(2*PI()*(((Inputs!$C$6)/Inputs!$C$50)+Inputs!$C$47*0.173))+0.2*SIN(2*PI()*(((Model_Data!A98)+(Inputs!$C$6))/(0.5*(Inputs!$C$49+Inputs!$C$50))+Inputs!$C$47*0.097)))+0.3*(2*((SIN(((Model_Data!A98)*12.9898+(Inputs!$C$6)*78.233+Inputs!$C$47*37.719))*43758.5453)-INT((SIN(((Model_Data!A98)*12.9898+(Inputs!$C$6)*78.233+Inputs!$C$47*37.719))*43758.5453)))-1))))/1000)^2))-(((Model_Data!B98)-((Inputs!$C$51*(115*EXP(-(((0)-25)^2)/(4.5^2))+70*EXP(-(((0)+38)^2)/(7^2))*(0.55+0.45*SIN(2*PI()*(Model_Data!A98)/45))+24*SIN(2*PI()*(0)/9+(Model_Data!A98)/18)*EXP(-(((0)+5)^2)/(22^2))+18*SIN(2*PI()*(Model_Data!A98)/70))+Inputs!$C$28*EXP(-(((Model_Data!A98)-Inputs!$C$29)^2)/(2*Inputs!$C$31^2))*EXP(-(((0)-Inputs!$C$30)^2)/(2*Inputs!$C$32^2))+-Inputs!$C$33*EXP(-(((((Model_Data!A98)-Inputs!$C$34)^2)+(((0)-Inputs!$C$35)^2))/(2*Inputs!$C$36^2)))+Inputs!$C$37*(0.55*SIN(2*PI()*(Model_Data!A98)/Inputs!$C$39)+0.35*COS(2*PI()*(0)/Inputs!$C$40)+0.2*SIN(2*PI()*((Model_Data!A98)+(0))/(0.5*(Inputs!$C$39+Inputs!$C$40))))+Inputs!$C$38*SIN(2*PI()*(Model_Data!A98)/Inputs!$C$39)*SIN(2*PI()*(0)/Inputs!$C$40)+-Inputs!$C$41*EXP(-(((0)-Inputs!$C$43)^2)/(2*Inputs!$C$44^2))*EXP(-(((Model_Data!A98)-Inputs!$C$42)^2)/(2*Inputs!$C$45^2))+Inputs!$C$48*(0.7*(0.45*SIN(2*PI()*(((Model_Data!A98)/Inputs!$C$49)+Inputs!$C$47*0.137))+0.35*COS(2*PI()*(((0)/Inputs!$C$50)+Inputs!$C$47*0.173))+0.2*SIN(2*PI()*(((Model_Data!A98)+(0))/(0.5*(Inputs!$C$49+Inputs!$C$50))+Inputs!$C$47*0.097)))+0.3*(2*((SIN(((Model_Data!A98)*12.9898+(0)*78.233+Inputs!$C$47*37.719))*43758.5453)-INT((SIN(((Model_Data!A98)*12.9898+(0)*78.233+Inputs!$C$47*37.719))*43758.5453)))-1))))/1000)))*1000/Inputs!$C$12)</f>
        <v>266.97417559714438</v>
      </c>
      <c r="E98" s="9">
        <f>Model_Data!A98</f>
        <v>-12</v>
      </c>
      <c r="F98" s="9">
        <f>(Inputs!$C$51*(115*EXP(-(((Inputs!$C$6)-25)^2)/(4.5^2))+70*EXP(-(((Inputs!$C$6)+38)^2)/(7^2))*(0.55+0.45*SIN(2*PI()*(Model_Data!A98)/45))+24*SIN(2*PI()*(Inputs!$C$6)/9+(Model_Data!A98)/18)*EXP(-(((Inputs!$C$6)+5)^2)/(22^2))+18*SIN(2*PI()*(Model_Data!A98)/70))+Inputs!$C$28*EXP(-(((Model_Data!A98)-Inputs!$C$29)^2)/(2*Inputs!$C$31^2))*EXP(-(((Inputs!$C$6)-Inputs!$C$30)^2)/(2*Inputs!$C$32^2))+-Inputs!$C$33*EXP(-(((((Model_Data!A98)-Inputs!$C$34)^2)+(((Inputs!$C$6)-Inputs!$C$35)^2))/(2*Inputs!$C$36^2)))+Inputs!$C$37*(0.55*SIN(2*PI()*(Model_Data!A98)/Inputs!$C$39)+0.35*COS(2*PI()*(Inputs!$C$6)/Inputs!$C$40)+0.2*SIN(2*PI()*((Model_Data!A98)+(Inputs!$C$6))/(0.5*(Inputs!$C$39+Inputs!$C$40))))+Inputs!$C$38*SIN(2*PI()*(Model_Data!A98)/Inputs!$C$39)*SIN(2*PI()*(Inputs!$C$6)/Inputs!$C$40)+-Inputs!$C$41*EXP(-(((Inputs!$C$6)-Inputs!$C$43)^2)/(2*Inputs!$C$44^2))*EXP(-(((Model_Data!A98)-Inputs!$C$42)^2)/(2*Inputs!$C$45^2))+Inputs!$C$48*(0.7*(0.45*SIN(2*PI()*(((Model_Data!A98)/Inputs!$C$49)+Inputs!$C$47*0.137))+0.35*COS(2*PI()*(((Inputs!$C$6)/Inputs!$C$50)+Inputs!$C$47*0.173))+0.2*SIN(2*PI()*(((Model_Data!A98)+(Inputs!$C$6))/(0.5*(Inputs!$C$49+Inputs!$C$50))+Inputs!$C$47*0.097)))+0.3*(2*((SIN(((Model_Data!A98)*12.9898+(Inputs!$C$6)*78.233+Inputs!$C$47*37.719))*43758.5453)-INT((SIN(((Model_Data!A98)*12.9898+(Inputs!$C$6)*78.233+Inputs!$C$47*37.719))*43758.5453)))-1)))</f>
        <v>437.99189931001791</v>
      </c>
      <c r="G98" s="9">
        <f>(Inputs!$C$51*(115*EXP(-(((0)-25)^2)/(4.5^2))+70*EXP(-(((0)+38)^2)/(7^2))*(0.55+0.45*SIN(2*PI()*(Model_Data!A98)/45))+24*SIN(2*PI()*(0)/9+(Model_Data!A98)/18)*EXP(-(((0)+5)^2)/(22^2))+18*SIN(2*PI()*(Model_Data!A98)/70))+Inputs!$C$28*EXP(-(((Model_Data!A98)-Inputs!$C$29)^2)/(2*Inputs!$C$31^2))*EXP(-(((0)-Inputs!$C$30)^2)/(2*Inputs!$C$32^2))+-Inputs!$C$33*EXP(-(((((Model_Data!A98)-Inputs!$C$34)^2)+(((0)-Inputs!$C$35)^2))/(2*Inputs!$C$36^2)))+Inputs!$C$37*(0.55*SIN(2*PI()*(Model_Data!A98)/Inputs!$C$39)+0.35*COS(2*PI()*(0)/Inputs!$C$40)+0.2*SIN(2*PI()*((Model_Data!A98)+(0))/(0.5*(Inputs!$C$39+Inputs!$C$40))))+Inputs!$C$38*SIN(2*PI()*(Model_Data!A98)/Inputs!$C$39)*SIN(2*PI()*(0)/Inputs!$C$40)+-Inputs!$C$41*EXP(-(((0)-Inputs!$C$43)^2)/(2*Inputs!$C$44^2))*EXP(-(((Model_Data!A98)-Inputs!$C$42)^2)/(2*Inputs!$C$45^2))+Inputs!$C$48*(0.7*(0.45*SIN(2*PI()*(((Model_Data!A98)/Inputs!$C$49)+Inputs!$C$47*0.137))+0.35*COS(2*PI()*(((0)/Inputs!$C$50)+Inputs!$C$47*0.173))+0.2*SIN(2*PI()*(((Model_Data!A98)+(0))/(0.5*(Inputs!$C$49+Inputs!$C$50))+Inputs!$C$47*0.097)))+0.3*(2*((SIN(((Model_Data!A98)*12.9898+(0)*78.233+Inputs!$C$47*37.719))*43758.5453)-INT((SIN(((Model_Data!A98)*12.9898+(0)*78.233+Inputs!$C$47*37.719))*43758.5453)))-1)))</f>
        <v>-47.557945529629748</v>
      </c>
      <c r="H98" s="10"/>
      <c r="I98" s="9">
        <f>Model_Data!A98</f>
        <v>-12</v>
      </c>
      <c r="J98" s="9">
        <f>(Inputs!$C$51*(115*EXP(-(((Inputs!$C$6)-25)^2)/(4.5^2))+70*EXP(-(((Inputs!$C$6)+38)^2)/(7^2))*(0.55+0.45*SIN(2*PI()*(Model_Data!A98)/45))+24*SIN(2*PI()*(Inputs!$C$6)/9+(Model_Data!A98)/18)*EXP(-(((Inputs!$C$6)+5)^2)/(22^2))+18*SIN(2*PI()*(Model_Data!A98)/70))+Inputs!$C$28*EXP(-(((Model_Data!A98)-Inputs!$C$29)^2)/(2*Inputs!$C$31^2))*EXP(-(((Inputs!$C$6)-Inputs!$C$30)^2)/(2*Inputs!$C$32^2))+-Inputs!$C$33*EXP(-(((((Model_Data!A98)-Inputs!$C$34)^2)+(((Inputs!$C$6)-Inputs!$C$35)^2))/(2*Inputs!$C$36^2)))+Inputs!$C$37*(0.55*SIN(2*PI()*(Model_Data!A98)/Inputs!$C$39)+0.35*COS(2*PI()*(Inputs!$C$6)/Inputs!$C$40)+0.2*SIN(2*PI()*((Model_Data!A98)+(Inputs!$C$6))/(0.5*(Inputs!$C$39+Inputs!$C$40))))+Inputs!$C$38*SIN(2*PI()*(Model_Data!A98)/Inputs!$C$39)*SIN(2*PI()*(Inputs!$C$6)/Inputs!$C$40)+-Inputs!$C$41*EXP(-(((Inputs!$C$6)-Inputs!$C$43)^2)/(2*Inputs!$C$44^2))*EXP(-(((Model_Data!A98)-Inputs!$C$42)^2)/(2*Inputs!$C$45^2))+Inputs!$C$48*(0.7*(0.45*SIN(2*PI()*(((Model_Data!A98)/Inputs!$C$49)+Inputs!$C$47*0.137))+0.35*COS(2*PI()*(((Inputs!$C$6)/Inputs!$C$50)+Inputs!$C$47*0.173))+0.2*SIN(2*PI()*(((Model_Data!A98)+(Inputs!$C$6))/(0.5*(Inputs!$C$49+Inputs!$C$50))+Inputs!$C$47*0.097)))+0.3*(2*((SIN(((Model_Data!A98)*12.9898+(Inputs!$C$6)*78.233+Inputs!$C$47*37.719))*43758.5453)-INT((SIN(((Model_Data!A98)*12.9898+(Inputs!$C$6)*78.233+Inputs!$C$47*37.719))*43758.5453)))-1)))</f>
        <v>437.99189931001791</v>
      </c>
      <c r="K98" s="9">
        <f>-((((SQRT((Model_Data!A98)^2+Inputs!$C$6^2+((Model_Data!B98)-((Inputs!$C$51*(115*EXP(-(((Inputs!$C$6)-25)^2)/(4.5^2))+70*EXP(-(((Inputs!$C$6)+38)^2)/(7^2))*(0.55+0.45*SIN(2*PI()*(Model_Data!A98)/45))+24*SIN(2*PI()*(Inputs!$C$6)/9+(Model_Data!A98)/18)*EXP(-(((Inputs!$C$6)+5)^2)/(22^2))+18*SIN(2*PI()*(Model_Data!A98)/70))+Inputs!$C$28*EXP(-(((Model_Data!A98)-Inputs!$C$29)^2)/(2*Inputs!$C$31^2))*EXP(-(((Inputs!$C$6)-Inputs!$C$30)^2)/(2*Inputs!$C$32^2))+-Inputs!$C$33*EXP(-(((((Model_Data!A98)-Inputs!$C$34)^2)+(((Inputs!$C$6)-Inputs!$C$35)^2))/(2*Inputs!$C$36^2)))+Inputs!$C$37*(0.55*SIN(2*PI()*(Model_Data!A98)/Inputs!$C$39)+0.35*COS(2*PI()*(Inputs!$C$6)/Inputs!$C$40)+0.2*SIN(2*PI()*((Model_Data!A98)+(Inputs!$C$6))/(0.5*(Inputs!$C$39+Inputs!$C$40))))+Inputs!$C$38*SIN(2*PI()*(Model_Data!A98)/Inputs!$C$39)*SIN(2*PI()*(Inputs!$C$6)/Inputs!$C$40)+-Inputs!$C$41*EXP(-(((Inputs!$C$6)-Inputs!$C$43)^2)/(2*Inputs!$C$44^2))*EXP(-(((Model_Data!A98)-Inputs!$C$42)^2)/(2*Inputs!$C$45^2))+Inputs!$C$48*(0.7*(0.45*SIN(2*PI()*(((Model_Data!A98)/Inputs!$C$49)+Inputs!$C$47*0.137))+0.35*COS(2*PI()*(((Inputs!$C$6)/Inputs!$C$50)+Inputs!$C$47*0.173))+0.2*SIN(2*PI()*(((Model_Data!A98)+(Inputs!$C$6))/(0.5*(Inputs!$C$49+Inputs!$C$50))+Inputs!$C$47*0.097)))+0.3*(2*((SIN(((Model_Data!A98)*12.9898+(Inputs!$C$6)*78.233+Inputs!$C$47*37.719))*43758.5453)-INT((SIN(((Model_Data!A98)*12.9898+(Inputs!$C$6)*78.233+Inputs!$C$47*37.719))*43758.5453)))-1))))/1000)^2))-(((Model_Data!B98)-((Inputs!$C$51*(115*EXP(-(((0)-25)^2)/(4.5^2))+70*EXP(-(((0)+38)^2)/(7^2))*(0.55+0.45*SIN(2*PI()*(Model_Data!A98)/45))+24*SIN(2*PI()*(0)/9+(Model_Data!A98)/18)*EXP(-(((0)+5)^2)/(22^2))+18*SIN(2*PI()*(Model_Data!A98)/70))+Inputs!$C$28*EXP(-(((Model_Data!A98)-Inputs!$C$29)^2)/(2*Inputs!$C$31^2))*EXP(-(((0)-Inputs!$C$30)^2)/(2*Inputs!$C$32^2))+-Inputs!$C$33*EXP(-(((((Model_Data!A98)-Inputs!$C$34)^2)+(((0)-Inputs!$C$35)^2))/(2*Inputs!$C$36^2)))+Inputs!$C$37*(0.55*SIN(2*PI()*(Model_Data!A98)/Inputs!$C$39)+0.35*COS(2*PI()*(0)/Inputs!$C$40)+0.2*SIN(2*PI()*((Model_Data!A98)+(0))/(0.5*(Inputs!$C$39+Inputs!$C$40))))+Inputs!$C$38*SIN(2*PI()*(Model_Data!A98)/Inputs!$C$39)*SIN(2*PI()*(0)/Inputs!$C$40)+-Inputs!$C$41*EXP(-(((0)-Inputs!$C$43)^2)/(2*Inputs!$C$44^2))*EXP(-(((Model_Data!A98)-Inputs!$C$42)^2)/(2*Inputs!$C$45^2))+Inputs!$C$48*(0.7*(0.45*SIN(2*PI()*(((Model_Data!A98)/Inputs!$C$49)+Inputs!$C$47*0.137))+0.35*COS(2*PI()*(((0)/Inputs!$C$50)+Inputs!$C$47*0.173))+0.2*SIN(2*PI()*(((Model_Data!A98)+(0))/(0.5*(Inputs!$C$49+Inputs!$C$50))+Inputs!$C$47*0.097)))+0.3*(2*((SIN(((Model_Data!A98)*12.9898+(0)*78.233+Inputs!$C$47*37.719))*43758.5453)-INT((SIN(((Model_Data!A98)*12.9898+(0)*78.233+Inputs!$C$47*37.719))*43758.5453)))-1))))/1000)))*1000/Inputs!$C$12)-Model_Data!F98)</f>
        <v>272.19144151669923</v>
      </c>
      <c r="L98" s="10"/>
      <c r="M98" s="9">
        <f>Model_Data!A98</f>
        <v>-12</v>
      </c>
      <c r="N98" s="9">
        <f>Model_Data!P98</f>
        <v>90.430592152665639</v>
      </c>
      <c r="O98" s="9">
        <f t="shared" si="2"/>
        <v>106.51392889330964</v>
      </c>
      <c r="P98" s="9">
        <f>Model_Data!Q98</f>
        <v>13.578166989889736</v>
      </c>
      <c r="Q98" s="9">
        <f t="shared" si="3"/>
        <v>15.993082416412861</v>
      </c>
      <c r="R98" s="10"/>
      <c r="S98" s="9">
        <f>Model_Data!A98</f>
        <v>-12</v>
      </c>
      <c r="T98" s="9">
        <f>Model_Data!B98-Inputs!$C$5</f>
        <v>0.16000000000002501</v>
      </c>
      <c r="U98" s="10"/>
      <c r="V98" s="9">
        <f>Model_Data!A98</f>
        <v>-12</v>
      </c>
      <c r="W98" s="9">
        <f>((SQRT((Model_Data!A98)^2+Inputs!$C$6^2+Inputs!$C$5^2)-Inputs!$C$5)*1000/Inputs!$C$12)</f>
        <v>539.38076705125616</v>
      </c>
      <c r="X98" s="9">
        <f>Model_Data!F98</f>
        <v>539.16561711384361</v>
      </c>
      <c r="Y98" s="10"/>
      <c r="Z98" s="9">
        <f>Model_Data!A98</f>
        <v>-12</v>
      </c>
      <c r="AA98" s="9">
        <f>SQRT((Model_Data!A98)^2+Inputs!$C$6^2+((Model_Data!B98)-((Inputs!$C$51*(115*EXP(-(((Inputs!$C$6)-25)^2)/(4.5^2))+70*EXP(-(((Inputs!$C$6)+38)^2)/(7^2))*(0.55+0.45*SIN(2*PI()*(Model_Data!A98)/45))+24*SIN(2*PI()*(Inputs!$C$6)/9+(Model_Data!A98)/18)*EXP(-(((Inputs!$C$6)+5)^2)/(22^2))+18*SIN(2*PI()*(Model_Data!A98)/70))+Inputs!$C$28*EXP(-(((Model_Data!A98)-Inputs!$C$29)^2)/(2*Inputs!$C$31^2))*EXP(-(((Inputs!$C$6)-Inputs!$C$30)^2)/(2*Inputs!$C$32^2))+-Inputs!$C$33*EXP(-(((((Model_Data!A98)-Inputs!$C$34)^2)+(((Inputs!$C$6)-Inputs!$C$35)^2))/(2*Inputs!$C$36^2)))+Inputs!$C$37*(0.55*SIN(2*PI()*(Model_Data!A98)/Inputs!$C$39)+0.35*COS(2*PI()*(Inputs!$C$6)/Inputs!$C$40)+0.2*SIN(2*PI()*((Model_Data!A98)+(Inputs!$C$6))/(0.5*(Inputs!$C$39+Inputs!$C$40))))+Inputs!$C$38*SIN(2*PI()*(Model_Data!A98)/Inputs!$C$39)*SIN(2*PI()*(Inputs!$C$6)/Inputs!$C$40)+-Inputs!$C$41*EXP(-(((Inputs!$C$6)-Inputs!$C$43)^2)/(2*Inputs!$C$44^2))*EXP(-(((Model_Data!A98)-Inputs!$C$42)^2)/(2*Inputs!$C$45^2))+Inputs!$C$48*(0.7*(0.45*SIN(2*PI()*(((Model_Data!A98)/Inputs!$C$49)+Inputs!$C$47*0.137))+0.35*COS(2*PI()*(((Inputs!$C$6)/Inputs!$C$50)+Inputs!$C$47*0.173))+0.2*SIN(2*PI()*(((Model_Data!A98)+(Inputs!$C$6))/(0.5*(Inputs!$C$49+Inputs!$C$50))+Inputs!$C$47*0.097)))+0.3*(2*((SIN(((Model_Data!A98)*12.9898+(Inputs!$C$6)*78.233+Inputs!$C$47*37.719))*43758.5453)-INT((SIN(((Model_Data!A98)*12.9898+(Inputs!$C$6)*78.233+Inputs!$C$47*37.719))*43758.5453)))-1))))/1000)^2)</f>
        <v>400.68277197809255</v>
      </c>
      <c r="AB98" s="9">
        <f>1000*(AA99-AA97)/(Z99-Z97)*Inputs!$C$11</f>
        <v>-266.2848222332741</v>
      </c>
      <c r="AC98" s="9">
        <f>-2*AB98/Inputs!$C$13</f>
        <v>106.51392889330964</v>
      </c>
      <c r="AD98" s="9">
        <f>-2*AB98/Inputs!$C$14</f>
        <v>15.993082416412861</v>
      </c>
    </row>
    <row r="99" spans="1:30">
      <c r="A99" s="9">
        <f>Model_Data!A99</f>
        <v>-11.5</v>
      </c>
      <c r="B99" s="9">
        <f>((SQRT((Model_Data!A99)^2+Inputs!$C$6^2+Inputs!$C$5^2)-Inputs!$C$5)*1000/Inputs!$C$12)</f>
        <v>531.14897010994798</v>
      </c>
      <c r="C99" s="9">
        <f>Model_Data!F99</f>
        <v>530.95437797594514</v>
      </c>
      <c r="D99" s="9">
        <f>(((SQRT((Model_Data!A99)^2+Inputs!$C$6^2+((Model_Data!B99)-((Inputs!$C$51*(115*EXP(-(((Inputs!$C$6)-25)^2)/(4.5^2))+70*EXP(-(((Inputs!$C$6)+38)^2)/(7^2))*(0.55+0.45*SIN(2*PI()*(Model_Data!A99)/45))+24*SIN(2*PI()*(Inputs!$C$6)/9+(Model_Data!A99)/18)*EXP(-(((Inputs!$C$6)+5)^2)/(22^2))+18*SIN(2*PI()*(Model_Data!A99)/70))+Inputs!$C$28*EXP(-(((Model_Data!A99)-Inputs!$C$29)^2)/(2*Inputs!$C$31^2))*EXP(-(((Inputs!$C$6)-Inputs!$C$30)^2)/(2*Inputs!$C$32^2))+-Inputs!$C$33*EXP(-(((((Model_Data!A99)-Inputs!$C$34)^2)+(((Inputs!$C$6)-Inputs!$C$35)^2))/(2*Inputs!$C$36^2)))+Inputs!$C$37*(0.55*SIN(2*PI()*(Model_Data!A99)/Inputs!$C$39)+0.35*COS(2*PI()*(Inputs!$C$6)/Inputs!$C$40)+0.2*SIN(2*PI()*((Model_Data!A99)+(Inputs!$C$6))/(0.5*(Inputs!$C$39+Inputs!$C$40))))+Inputs!$C$38*SIN(2*PI()*(Model_Data!A99)/Inputs!$C$39)*SIN(2*PI()*(Inputs!$C$6)/Inputs!$C$40)+-Inputs!$C$41*EXP(-(((Inputs!$C$6)-Inputs!$C$43)^2)/(2*Inputs!$C$44^2))*EXP(-(((Model_Data!A99)-Inputs!$C$42)^2)/(2*Inputs!$C$45^2))+Inputs!$C$48*(0.7*(0.45*SIN(2*PI()*(((Model_Data!A99)/Inputs!$C$49)+Inputs!$C$47*0.137))+0.35*COS(2*PI()*(((Inputs!$C$6)/Inputs!$C$50)+Inputs!$C$47*0.173))+0.2*SIN(2*PI()*(((Model_Data!A99)+(Inputs!$C$6))/(0.5*(Inputs!$C$49+Inputs!$C$50))+Inputs!$C$47*0.097)))+0.3*(2*((SIN(((Model_Data!A99)*12.9898+(Inputs!$C$6)*78.233+Inputs!$C$47*37.719))*43758.5453)-INT((SIN(((Model_Data!A99)*12.9898+(Inputs!$C$6)*78.233+Inputs!$C$47*37.719))*43758.5453)))-1))))/1000)^2))-(((Model_Data!B99)-((Inputs!$C$51*(115*EXP(-(((0)-25)^2)/(4.5^2))+70*EXP(-(((0)+38)^2)/(7^2))*(0.55+0.45*SIN(2*PI()*(Model_Data!A99)/45))+24*SIN(2*PI()*(0)/9+(Model_Data!A99)/18)*EXP(-(((0)+5)^2)/(22^2))+18*SIN(2*PI()*(Model_Data!A99)/70))+Inputs!$C$28*EXP(-(((Model_Data!A99)-Inputs!$C$29)^2)/(2*Inputs!$C$31^2))*EXP(-(((0)-Inputs!$C$30)^2)/(2*Inputs!$C$32^2))+-Inputs!$C$33*EXP(-(((((Model_Data!A99)-Inputs!$C$34)^2)+(((0)-Inputs!$C$35)^2))/(2*Inputs!$C$36^2)))+Inputs!$C$37*(0.55*SIN(2*PI()*(Model_Data!A99)/Inputs!$C$39)+0.35*COS(2*PI()*(0)/Inputs!$C$40)+0.2*SIN(2*PI()*((Model_Data!A99)+(0))/(0.5*(Inputs!$C$39+Inputs!$C$40))))+Inputs!$C$38*SIN(2*PI()*(Model_Data!A99)/Inputs!$C$39)*SIN(2*PI()*(0)/Inputs!$C$40)+-Inputs!$C$41*EXP(-(((0)-Inputs!$C$43)^2)/(2*Inputs!$C$44^2))*EXP(-(((Model_Data!A99)-Inputs!$C$42)^2)/(2*Inputs!$C$45^2))+Inputs!$C$48*(0.7*(0.45*SIN(2*PI()*(((Model_Data!A99)/Inputs!$C$49)+Inputs!$C$47*0.137))+0.35*COS(2*PI()*(((0)/Inputs!$C$50)+Inputs!$C$47*0.173))+0.2*SIN(2*PI()*(((Model_Data!A99)+(0))/(0.5*(Inputs!$C$49+Inputs!$C$50))+Inputs!$C$47*0.097)))+0.3*(2*((SIN(((Model_Data!A99)*12.9898+(0)*78.233+Inputs!$C$47*37.719))*43758.5453)-INT((SIN(((Model_Data!A99)*12.9898+(0)*78.233+Inputs!$C$47*37.719))*43758.5453)))-1))))/1000)))*1000/Inputs!$C$12)</f>
        <v>246.74307221026879</v>
      </c>
      <c r="E99" s="9">
        <f>Model_Data!A99</f>
        <v>-11.5</v>
      </c>
      <c r="F99" s="9">
        <f>(Inputs!$C$51*(115*EXP(-(((Inputs!$C$6)-25)^2)/(4.5^2))+70*EXP(-(((Inputs!$C$6)+38)^2)/(7^2))*(0.55+0.45*SIN(2*PI()*(Model_Data!A99)/45))+24*SIN(2*PI()*(Inputs!$C$6)/9+(Model_Data!A99)/18)*EXP(-(((Inputs!$C$6)+5)^2)/(22^2))+18*SIN(2*PI()*(Model_Data!A99)/70))+Inputs!$C$28*EXP(-(((Model_Data!A99)-Inputs!$C$29)^2)/(2*Inputs!$C$31^2))*EXP(-(((Inputs!$C$6)-Inputs!$C$30)^2)/(2*Inputs!$C$32^2))+-Inputs!$C$33*EXP(-(((((Model_Data!A99)-Inputs!$C$34)^2)+(((Inputs!$C$6)-Inputs!$C$35)^2))/(2*Inputs!$C$36^2)))+Inputs!$C$37*(0.55*SIN(2*PI()*(Model_Data!A99)/Inputs!$C$39)+0.35*COS(2*PI()*(Inputs!$C$6)/Inputs!$C$40)+0.2*SIN(2*PI()*((Model_Data!A99)+(Inputs!$C$6))/(0.5*(Inputs!$C$39+Inputs!$C$40))))+Inputs!$C$38*SIN(2*PI()*(Model_Data!A99)/Inputs!$C$39)*SIN(2*PI()*(Inputs!$C$6)/Inputs!$C$40)+-Inputs!$C$41*EXP(-(((Inputs!$C$6)-Inputs!$C$43)^2)/(2*Inputs!$C$44^2))*EXP(-(((Model_Data!A99)-Inputs!$C$42)^2)/(2*Inputs!$C$45^2))+Inputs!$C$48*(0.7*(0.45*SIN(2*PI()*(((Model_Data!A99)/Inputs!$C$49)+Inputs!$C$47*0.137))+0.35*COS(2*PI()*(((Inputs!$C$6)/Inputs!$C$50)+Inputs!$C$47*0.173))+0.2*SIN(2*PI()*(((Model_Data!A99)+(Inputs!$C$6))/(0.5*(Inputs!$C$49+Inputs!$C$50))+Inputs!$C$47*0.097)))+0.3*(2*((SIN(((Model_Data!A99)*12.9898+(Inputs!$C$6)*78.233+Inputs!$C$47*37.719))*43758.5453)-INT((SIN(((Model_Data!A99)*12.9898+(Inputs!$C$6)*78.233+Inputs!$C$47*37.719))*43758.5453)))-1)))</f>
        <v>458.91089147275255</v>
      </c>
      <c r="G99" s="9">
        <f>(Inputs!$C$51*(115*EXP(-(((0)-25)^2)/(4.5^2))+70*EXP(-(((0)+38)^2)/(7^2))*(0.55+0.45*SIN(2*PI()*(Model_Data!A99)/45))+24*SIN(2*PI()*(0)/9+(Model_Data!A99)/18)*EXP(-(((0)+5)^2)/(22^2))+18*SIN(2*PI()*(Model_Data!A99)/70))+Inputs!$C$28*EXP(-(((Model_Data!A99)-Inputs!$C$29)^2)/(2*Inputs!$C$31^2))*EXP(-(((0)-Inputs!$C$30)^2)/(2*Inputs!$C$32^2))+-Inputs!$C$33*EXP(-(((((Model_Data!A99)-Inputs!$C$34)^2)+(((0)-Inputs!$C$35)^2))/(2*Inputs!$C$36^2)))+Inputs!$C$37*(0.55*SIN(2*PI()*(Model_Data!A99)/Inputs!$C$39)+0.35*COS(2*PI()*(0)/Inputs!$C$40)+0.2*SIN(2*PI()*((Model_Data!A99)+(0))/(0.5*(Inputs!$C$39+Inputs!$C$40))))+Inputs!$C$38*SIN(2*PI()*(Model_Data!A99)/Inputs!$C$39)*SIN(2*PI()*(0)/Inputs!$C$40)+-Inputs!$C$41*EXP(-(((0)-Inputs!$C$43)^2)/(2*Inputs!$C$44^2))*EXP(-(((Model_Data!A99)-Inputs!$C$42)^2)/(2*Inputs!$C$45^2))+Inputs!$C$48*(0.7*(0.45*SIN(2*PI()*(((Model_Data!A99)/Inputs!$C$49)+Inputs!$C$47*0.137))+0.35*COS(2*PI()*(((0)/Inputs!$C$50)+Inputs!$C$47*0.173))+0.2*SIN(2*PI()*(((Model_Data!A99)+(0))/(0.5*(Inputs!$C$49+Inputs!$C$50))+Inputs!$C$47*0.097)))+0.3*(2*((SIN(((Model_Data!A99)*12.9898+(0)*78.233+Inputs!$C$47*37.719))*43758.5453)-INT((SIN(((Model_Data!A99)*12.9898+(0)*78.233+Inputs!$C$47*37.719))*43758.5453)))-1)))</f>
        <v>-48.067808115448663</v>
      </c>
      <c r="H99" s="10"/>
      <c r="I99" s="9">
        <f>Model_Data!A99</f>
        <v>-11.5</v>
      </c>
      <c r="J99" s="9">
        <f>(Inputs!$C$51*(115*EXP(-(((Inputs!$C$6)-25)^2)/(4.5^2))+70*EXP(-(((Inputs!$C$6)+38)^2)/(7^2))*(0.55+0.45*SIN(2*PI()*(Model_Data!A99)/45))+24*SIN(2*PI()*(Inputs!$C$6)/9+(Model_Data!A99)/18)*EXP(-(((Inputs!$C$6)+5)^2)/(22^2))+18*SIN(2*PI()*(Model_Data!A99)/70))+Inputs!$C$28*EXP(-(((Model_Data!A99)-Inputs!$C$29)^2)/(2*Inputs!$C$31^2))*EXP(-(((Inputs!$C$6)-Inputs!$C$30)^2)/(2*Inputs!$C$32^2))+-Inputs!$C$33*EXP(-(((((Model_Data!A99)-Inputs!$C$34)^2)+(((Inputs!$C$6)-Inputs!$C$35)^2))/(2*Inputs!$C$36^2)))+Inputs!$C$37*(0.55*SIN(2*PI()*(Model_Data!A99)/Inputs!$C$39)+0.35*COS(2*PI()*(Inputs!$C$6)/Inputs!$C$40)+0.2*SIN(2*PI()*((Model_Data!A99)+(Inputs!$C$6))/(0.5*(Inputs!$C$39+Inputs!$C$40))))+Inputs!$C$38*SIN(2*PI()*(Model_Data!A99)/Inputs!$C$39)*SIN(2*PI()*(Inputs!$C$6)/Inputs!$C$40)+-Inputs!$C$41*EXP(-(((Inputs!$C$6)-Inputs!$C$43)^2)/(2*Inputs!$C$44^2))*EXP(-(((Model_Data!A99)-Inputs!$C$42)^2)/(2*Inputs!$C$45^2))+Inputs!$C$48*(0.7*(0.45*SIN(2*PI()*(((Model_Data!A99)/Inputs!$C$49)+Inputs!$C$47*0.137))+0.35*COS(2*PI()*(((Inputs!$C$6)/Inputs!$C$50)+Inputs!$C$47*0.173))+0.2*SIN(2*PI()*(((Model_Data!A99)+(Inputs!$C$6))/(0.5*(Inputs!$C$49+Inputs!$C$50))+Inputs!$C$47*0.097)))+0.3*(2*((SIN(((Model_Data!A99)*12.9898+(Inputs!$C$6)*78.233+Inputs!$C$47*37.719))*43758.5453)-INT((SIN(((Model_Data!A99)*12.9898+(Inputs!$C$6)*78.233+Inputs!$C$47*37.719))*43758.5453)))-1)))</f>
        <v>458.91089147275255</v>
      </c>
      <c r="K99" s="9">
        <f>-((((SQRT((Model_Data!A99)^2+Inputs!$C$6^2+((Model_Data!B99)-((Inputs!$C$51*(115*EXP(-(((Inputs!$C$6)-25)^2)/(4.5^2))+70*EXP(-(((Inputs!$C$6)+38)^2)/(7^2))*(0.55+0.45*SIN(2*PI()*(Model_Data!A99)/45))+24*SIN(2*PI()*(Inputs!$C$6)/9+(Model_Data!A99)/18)*EXP(-(((Inputs!$C$6)+5)^2)/(22^2))+18*SIN(2*PI()*(Model_Data!A99)/70))+Inputs!$C$28*EXP(-(((Model_Data!A99)-Inputs!$C$29)^2)/(2*Inputs!$C$31^2))*EXP(-(((Inputs!$C$6)-Inputs!$C$30)^2)/(2*Inputs!$C$32^2))+-Inputs!$C$33*EXP(-(((((Model_Data!A99)-Inputs!$C$34)^2)+(((Inputs!$C$6)-Inputs!$C$35)^2))/(2*Inputs!$C$36^2)))+Inputs!$C$37*(0.55*SIN(2*PI()*(Model_Data!A99)/Inputs!$C$39)+0.35*COS(2*PI()*(Inputs!$C$6)/Inputs!$C$40)+0.2*SIN(2*PI()*((Model_Data!A99)+(Inputs!$C$6))/(0.5*(Inputs!$C$39+Inputs!$C$40))))+Inputs!$C$38*SIN(2*PI()*(Model_Data!A99)/Inputs!$C$39)*SIN(2*PI()*(Inputs!$C$6)/Inputs!$C$40)+-Inputs!$C$41*EXP(-(((Inputs!$C$6)-Inputs!$C$43)^2)/(2*Inputs!$C$44^2))*EXP(-(((Model_Data!A99)-Inputs!$C$42)^2)/(2*Inputs!$C$45^2))+Inputs!$C$48*(0.7*(0.45*SIN(2*PI()*(((Model_Data!A99)/Inputs!$C$49)+Inputs!$C$47*0.137))+0.35*COS(2*PI()*(((Inputs!$C$6)/Inputs!$C$50)+Inputs!$C$47*0.173))+0.2*SIN(2*PI()*(((Model_Data!A99)+(Inputs!$C$6))/(0.5*(Inputs!$C$49+Inputs!$C$50))+Inputs!$C$47*0.097)))+0.3*(2*((SIN(((Model_Data!A99)*12.9898+(Inputs!$C$6)*78.233+Inputs!$C$47*37.719))*43758.5453)-INT((SIN(((Model_Data!A99)*12.9898+(Inputs!$C$6)*78.233+Inputs!$C$47*37.719))*43758.5453)))-1))))/1000)^2))-(((Model_Data!B99)-((Inputs!$C$51*(115*EXP(-(((0)-25)^2)/(4.5^2))+70*EXP(-(((0)+38)^2)/(7^2))*(0.55+0.45*SIN(2*PI()*(Model_Data!A99)/45))+24*SIN(2*PI()*(0)/9+(Model_Data!A99)/18)*EXP(-(((0)+5)^2)/(22^2))+18*SIN(2*PI()*(Model_Data!A99)/70))+Inputs!$C$28*EXP(-(((Model_Data!A99)-Inputs!$C$29)^2)/(2*Inputs!$C$31^2))*EXP(-(((0)-Inputs!$C$30)^2)/(2*Inputs!$C$32^2))+-Inputs!$C$33*EXP(-(((((Model_Data!A99)-Inputs!$C$34)^2)+(((0)-Inputs!$C$35)^2))/(2*Inputs!$C$36^2)))+Inputs!$C$37*(0.55*SIN(2*PI()*(Model_Data!A99)/Inputs!$C$39)+0.35*COS(2*PI()*(0)/Inputs!$C$40)+0.2*SIN(2*PI()*((Model_Data!A99)+(0))/(0.5*(Inputs!$C$39+Inputs!$C$40))))+Inputs!$C$38*SIN(2*PI()*(Model_Data!A99)/Inputs!$C$39)*SIN(2*PI()*(0)/Inputs!$C$40)+-Inputs!$C$41*EXP(-(((0)-Inputs!$C$43)^2)/(2*Inputs!$C$44^2))*EXP(-(((Model_Data!A99)-Inputs!$C$42)^2)/(2*Inputs!$C$45^2))+Inputs!$C$48*(0.7*(0.45*SIN(2*PI()*(((Model_Data!A99)/Inputs!$C$49)+Inputs!$C$47*0.137))+0.35*COS(2*PI()*(((0)/Inputs!$C$50)+Inputs!$C$47*0.173))+0.2*SIN(2*PI()*(((Model_Data!A99)+(0))/(0.5*(Inputs!$C$49+Inputs!$C$50))+Inputs!$C$47*0.097)))+0.3*(2*((SIN(((Model_Data!A99)*12.9898+(0)*78.233+Inputs!$C$47*37.719))*43758.5453)-INT((SIN(((Model_Data!A99)*12.9898+(0)*78.233+Inputs!$C$47*37.719))*43758.5453)))-1))))/1000)))*1000/Inputs!$C$12)-Model_Data!F99)</f>
        <v>284.21130576567634</v>
      </c>
      <c r="L99" s="10"/>
      <c r="M99" s="9">
        <f>Model_Data!A99</f>
        <v>-11.5</v>
      </c>
      <c r="N99" s="9">
        <f>Model_Data!P99</f>
        <v>86.66729878272902</v>
      </c>
      <c r="O99" s="9">
        <f t="shared" si="2"/>
        <v>125.90458684826444</v>
      </c>
      <c r="P99" s="9">
        <f>Model_Data!Q99</f>
        <v>13.013107925334689</v>
      </c>
      <c r="Q99" s="9">
        <f t="shared" si="3"/>
        <v>18.904592619859528</v>
      </c>
      <c r="R99" s="10"/>
      <c r="S99" s="9">
        <f>Model_Data!A99</f>
        <v>-11.5</v>
      </c>
      <c r="T99" s="9">
        <f>Model_Data!B99-Inputs!$C$5</f>
        <v>0.14694444444444343</v>
      </c>
      <c r="U99" s="10"/>
      <c r="V99" s="9">
        <f>Model_Data!A99</f>
        <v>-11.5</v>
      </c>
      <c r="W99" s="9">
        <f>((SQRT((Model_Data!A99)^2+Inputs!$C$6^2+Inputs!$C$5^2)-Inputs!$C$5)*1000/Inputs!$C$12)</f>
        <v>531.14897010994798</v>
      </c>
      <c r="X99" s="9">
        <f>Model_Data!F99</f>
        <v>530.95437797594514</v>
      </c>
      <c r="Y99" s="10"/>
      <c r="Z99" s="9">
        <f>Model_Data!A99</f>
        <v>-11.5</v>
      </c>
      <c r="AA99" s="9">
        <f>SQRT((Model_Data!A99)^2+Inputs!$C$6^2+((Model_Data!B99)-((Inputs!$C$51*(115*EXP(-(((Inputs!$C$6)-25)^2)/(4.5^2))+70*EXP(-(((Inputs!$C$6)+38)^2)/(7^2))*(0.55+0.45*SIN(2*PI()*(Model_Data!A99)/45))+24*SIN(2*PI()*(Inputs!$C$6)/9+(Model_Data!A99)/18)*EXP(-(((Inputs!$C$6)+5)^2)/(22^2))+18*SIN(2*PI()*(Model_Data!A99)/70))+Inputs!$C$28*EXP(-(((Model_Data!A99)-Inputs!$C$29)^2)/(2*Inputs!$C$31^2))*EXP(-(((Inputs!$C$6)-Inputs!$C$30)^2)/(2*Inputs!$C$32^2))+-Inputs!$C$33*EXP(-(((((Model_Data!A99)-Inputs!$C$34)^2)+(((Inputs!$C$6)-Inputs!$C$35)^2))/(2*Inputs!$C$36^2)))+Inputs!$C$37*(0.55*SIN(2*PI()*(Model_Data!A99)/Inputs!$C$39)+0.35*COS(2*PI()*(Inputs!$C$6)/Inputs!$C$40)+0.2*SIN(2*PI()*((Model_Data!A99)+(Inputs!$C$6))/(0.5*(Inputs!$C$39+Inputs!$C$40))))+Inputs!$C$38*SIN(2*PI()*(Model_Data!A99)/Inputs!$C$39)*SIN(2*PI()*(Inputs!$C$6)/Inputs!$C$40)+-Inputs!$C$41*EXP(-(((Inputs!$C$6)-Inputs!$C$43)^2)/(2*Inputs!$C$44^2))*EXP(-(((Model_Data!A99)-Inputs!$C$42)^2)/(2*Inputs!$C$45^2))+Inputs!$C$48*(0.7*(0.45*SIN(2*PI()*(((Model_Data!A99)/Inputs!$C$49)+Inputs!$C$47*0.137))+0.35*COS(2*PI()*(((Inputs!$C$6)/Inputs!$C$50)+Inputs!$C$47*0.173))+0.2*SIN(2*PI()*(((Model_Data!A99)+(Inputs!$C$6))/(0.5*(Inputs!$C$49+Inputs!$C$50))+Inputs!$C$47*0.097)))+0.3*(2*((SIN(((Model_Data!A99)*12.9898+(Inputs!$C$6)*78.233+Inputs!$C$47*37.719))*43758.5453)-INT((SIN(((Model_Data!A99)*12.9898+(Inputs!$C$6)*78.233+Inputs!$C$47*37.719))*43758.5453)))-1))))/1000)^2)</f>
        <v>400.63421492109416</v>
      </c>
      <c r="AB99" s="9">
        <f>1000*(AA100-AA98)/(Z100-Z98)*Inputs!$C$11</f>
        <v>-314.76146712066111</v>
      </c>
      <c r="AC99" s="9">
        <f>-2*AB99/Inputs!$C$13</f>
        <v>125.90458684826444</v>
      </c>
      <c r="AD99" s="9">
        <f>-2*AB99/Inputs!$C$14</f>
        <v>18.904592619859528</v>
      </c>
    </row>
    <row r="100" spans="1:30">
      <c r="A100" s="9">
        <f>Model_Data!A100</f>
        <v>-11</v>
      </c>
      <c r="B100" s="9">
        <f>((SQRT((Model_Data!A100)^2+Inputs!$C$6^2+Inputs!$C$5^2)-Inputs!$C$5)*1000/Inputs!$C$12)</f>
        <v>523.26718048803878</v>
      </c>
      <c r="C100" s="9">
        <f>Model_Data!F100</f>
        <v>523.09177190861999</v>
      </c>
      <c r="D100" s="9">
        <f>(((SQRT((Model_Data!A100)^2+Inputs!$C$6^2+((Model_Data!B100)-((Inputs!$C$51*(115*EXP(-(((Inputs!$C$6)-25)^2)/(4.5^2))+70*EXP(-(((Inputs!$C$6)+38)^2)/(7^2))*(0.55+0.45*SIN(2*PI()*(Model_Data!A100)/45))+24*SIN(2*PI()*(Inputs!$C$6)/9+(Model_Data!A100)/18)*EXP(-(((Inputs!$C$6)+5)^2)/(22^2))+18*SIN(2*PI()*(Model_Data!A100)/70))+Inputs!$C$28*EXP(-(((Model_Data!A100)-Inputs!$C$29)^2)/(2*Inputs!$C$31^2))*EXP(-(((Inputs!$C$6)-Inputs!$C$30)^2)/(2*Inputs!$C$32^2))+-Inputs!$C$33*EXP(-(((((Model_Data!A100)-Inputs!$C$34)^2)+(((Inputs!$C$6)-Inputs!$C$35)^2))/(2*Inputs!$C$36^2)))+Inputs!$C$37*(0.55*SIN(2*PI()*(Model_Data!A100)/Inputs!$C$39)+0.35*COS(2*PI()*(Inputs!$C$6)/Inputs!$C$40)+0.2*SIN(2*PI()*((Model_Data!A100)+(Inputs!$C$6))/(0.5*(Inputs!$C$39+Inputs!$C$40))))+Inputs!$C$38*SIN(2*PI()*(Model_Data!A100)/Inputs!$C$39)*SIN(2*PI()*(Inputs!$C$6)/Inputs!$C$40)+-Inputs!$C$41*EXP(-(((Inputs!$C$6)-Inputs!$C$43)^2)/(2*Inputs!$C$44^2))*EXP(-(((Model_Data!A100)-Inputs!$C$42)^2)/(2*Inputs!$C$45^2))+Inputs!$C$48*(0.7*(0.45*SIN(2*PI()*(((Model_Data!A100)/Inputs!$C$49)+Inputs!$C$47*0.137))+0.35*COS(2*PI()*(((Inputs!$C$6)/Inputs!$C$50)+Inputs!$C$47*0.173))+0.2*SIN(2*PI()*(((Model_Data!A100)+(Inputs!$C$6))/(0.5*(Inputs!$C$49+Inputs!$C$50))+Inputs!$C$47*0.097)))+0.3*(2*((SIN(((Model_Data!A100)*12.9898+(Inputs!$C$6)*78.233+Inputs!$C$47*37.719))*43758.5453)-INT((SIN(((Model_Data!A100)*12.9898+(Inputs!$C$6)*78.233+Inputs!$C$47*37.719))*43758.5453)))-1))))/1000)^2))-(((Model_Data!B100)-((Inputs!$C$51*(115*EXP(-(((0)-25)^2)/(4.5^2))+70*EXP(-(((0)+38)^2)/(7^2))*(0.55+0.45*SIN(2*PI()*(Model_Data!A100)/45))+24*SIN(2*PI()*(0)/9+(Model_Data!A100)/18)*EXP(-(((0)+5)^2)/(22^2))+18*SIN(2*PI()*(Model_Data!A100)/70))+Inputs!$C$28*EXP(-(((Model_Data!A100)-Inputs!$C$29)^2)/(2*Inputs!$C$31^2))*EXP(-(((0)-Inputs!$C$30)^2)/(2*Inputs!$C$32^2))+-Inputs!$C$33*EXP(-(((((Model_Data!A100)-Inputs!$C$34)^2)+(((0)-Inputs!$C$35)^2))/(2*Inputs!$C$36^2)))+Inputs!$C$37*(0.55*SIN(2*PI()*(Model_Data!A100)/Inputs!$C$39)+0.35*COS(2*PI()*(0)/Inputs!$C$40)+0.2*SIN(2*PI()*((Model_Data!A100)+(0))/(0.5*(Inputs!$C$39+Inputs!$C$40))))+Inputs!$C$38*SIN(2*PI()*(Model_Data!A100)/Inputs!$C$39)*SIN(2*PI()*(0)/Inputs!$C$40)+-Inputs!$C$41*EXP(-(((0)-Inputs!$C$43)^2)/(2*Inputs!$C$44^2))*EXP(-(((Model_Data!A100)-Inputs!$C$42)^2)/(2*Inputs!$C$45^2))+Inputs!$C$48*(0.7*(0.45*SIN(2*PI()*(((Model_Data!A100)/Inputs!$C$49)+Inputs!$C$47*0.137))+0.35*COS(2*PI()*(((0)/Inputs!$C$50)+Inputs!$C$47*0.173))+0.2*SIN(2*PI()*(((Model_Data!A100)+(0))/(0.5*(Inputs!$C$49+Inputs!$C$50))+Inputs!$C$47*0.097)))+0.3*(2*((SIN(((Model_Data!A100)*12.9898+(0)*78.233+Inputs!$C$47*37.719))*43758.5453)-INT((SIN(((Model_Data!A100)*12.9898+(0)*78.233+Inputs!$C$47*37.719))*43758.5453)))-1))))/1000)))*1000/Inputs!$C$12)</f>
        <v>239.52097263741996</v>
      </c>
      <c r="E100" s="9">
        <f>Model_Data!A100</f>
        <v>-11</v>
      </c>
      <c r="F100" s="9">
        <f>(Inputs!$C$51*(115*EXP(-(((Inputs!$C$6)-25)^2)/(4.5^2))+70*EXP(-(((Inputs!$C$6)+38)^2)/(7^2))*(0.55+0.45*SIN(2*PI()*(Model_Data!A100)/45))+24*SIN(2*PI()*(Inputs!$C$6)/9+(Model_Data!A100)/18)*EXP(-(((Inputs!$C$6)+5)^2)/(22^2))+18*SIN(2*PI()*(Model_Data!A100)/70))+Inputs!$C$28*EXP(-(((Model_Data!A100)-Inputs!$C$29)^2)/(2*Inputs!$C$31^2))*EXP(-(((Inputs!$C$6)-Inputs!$C$30)^2)/(2*Inputs!$C$32^2))+-Inputs!$C$33*EXP(-(((((Model_Data!A100)-Inputs!$C$34)^2)+(((Inputs!$C$6)-Inputs!$C$35)^2))/(2*Inputs!$C$36^2)))+Inputs!$C$37*(0.55*SIN(2*PI()*(Model_Data!A100)/Inputs!$C$39)+0.35*COS(2*PI()*(Inputs!$C$6)/Inputs!$C$40)+0.2*SIN(2*PI()*((Model_Data!A100)+(Inputs!$C$6))/(0.5*(Inputs!$C$39+Inputs!$C$40))))+Inputs!$C$38*SIN(2*PI()*(Model_Data!A100)/Inputs!$C$39)*SIN(2*PI()*(Inputs!$C$6)/Inputs!$C$40)+-Inputs!$C$41*EXP(-(((Inputs!$C$6)-Inputs!$C$43)^2)/(2*Inputs!$C$44^2))*EXP(-(((Model_Data!A100)-Inputs!$C$42)^2)/(2*Inputs!$C$45^2))+Inputs!$C$48*(0.7*(0.45*SIN(2*PI()*(((Model_Data!A100)/Inputs!$C$49)+Inputs!$C$47*0.137))+0.35*COS(2*PI()*(((Inputs!$C$6)/Inputs!$C$50)+Inputs!$C$47*0.173))+0.2*SIN(2*PI()*(((Model_Data!A100)+(Inputs!$C$6))/(0.5*(Inputs!$C$49+Inputs!$C$50))+Inputs!$C$47*0.097)))+0.3*(2*((SIN(((Model_Data!A100)*12.9898+(Inputs!$C$6)*78.233+Inputs!$C$47*37.719))*43758.5453)-INT((SIN(((Model_Data!A100)*12.9898+(Inputs!$C$6)*78.233+Inputs!$C$47*37.719))*43758.5453)))-1)))</f>
        <v>462.54124928234683</v>
      </c>
      <c r="G100" s="9">
        <f>(Inputs!$C$51*(115*EXP(-(((0)-25)^2)/(4.5^2))+70*EXP(-(((0)+38)^2)/(7^2))*(0.55+0.45*SIN(2*PI()*(Model_Data!A100)/45))+24*SIN(2*PI()*(0)/9+(Model_Data!A100)/18)*EXP(-(((0)+5)^2)/(22^2))+18*SIN(2*PI()*(Model_Data!A100)/70))+Inputs!$C$28*EXP(-(((Model_Data!A100)-Inputs!$C$29)^2)/(2*Inputs!$C$31^2))*EXP(-(((0)-Inputs!$C$30)^2)/(2*Inputs!$C$32^2))+-Inputs!$C$33*EXP(-(((((Model_Data!A100)-Inputs!$C$34)^2)+(((0)-Inputs!$C$35)^2))/(2*Inputs!$C$36^2)))+Inputs!$C$37*(0.55*SIN(2*PI()*(Model_Data!A100)/Inputs!$C$39)+0.35*COS(2*PI()*(0)/Inputs!$C$40)+0.2*SIN(2*PI()*((Model_Data!A100)+(0))/(0.5*(Inputs!$C$39+Inputs!$C$40))))+Inputs!$C$38*SIN(2*PI()*(Model_Data!A100)/Inputs!$C$39)*SIN(2*PI()*(0)/Inputs!$C$40)+-Inputs!$C$41*EXP(-(((0)-Inputs!$C$43)^2)/(2*Inputs!$C$44^2))*EXP(-(((Model_Data!A100)-Inputs!$C$42)^2)/(2*Inputs!$C$45^2))+Inputs!$C$48*(0.7*(0.45*SIN(2*PI()*(((Model_Data!A100)/Inputs!$C$49)+Inputs!$C$47*0.137))+0.35*COS(2*PI()*(((0)/Inputs!$C$50)+Inputs!$C$47*0.173))+0.2*SIN(2*PI()*(((Model_Data!A100)+(0))/(0.5*(Inputs!$C$49+Inputs!$C$50))+Inputs!$C$47*0.097)))+0.3*(2*((SIN(((Model_Data!A100)*12.9898+(0)*78.233+Inputs!$C$47*37.719))*43758.5453)-INT((SIN(((Model_Data!A100)*12.9898+(0)*78.233+Inputs!$C$47*37.719))*43758.5453)))-1)))</f>
        <v>-43.289835573332148</v>
      </c>
      <c r="H100" s="10"/>
      <c r="I100" s="9">
        <f>Model_Data!A100</f>
        <v>-11</v>
      </c>
      <c r="J100" s="9">
        <f>(Inputs!$C$51*(115*EXP(-(((Inputs!$C$6)-25)^2)/(4.5^2))+70*EXP(-(((Inputs!$C$6)+38)^2)/(7^2))*(0.55+0.45*SIN(2*PI()*(Model_Data!A100)/45))+24*SIN(2*PI()*(Inputs!$C$6)/9+(Model_Data!A100)/18)*EXP(-(((Inputs!$C$6)+5)^2)/(22^2))+18*SIN(2*PI()*(Model_Data!A100)/70))+Inputs!$C$28*EXP(-(((Model_Data!A100)-Inputs!$C$29)^2)/(2*Inputs!$C$31^2))*EXP(-(((Inputs!$C$6)-Inputs!$C$30)^2)/(2*Inputs!$C$32^2))+-Inputs!$C$33*EXP(-(((((Model_Data!A100)-Inputs!$C$34)^2)+(((Inputs!$C$6)-Inputs!$C$35)^2))/(2*Inputs!$C$36^2)))+Inputs!$C$37*(0.55*SIN(2*PI()*(Model_Data!A100)/Inputs!$C$39)+0.35*COS(2*PI()*(Inputs!$C$6)/Inputs!$C$40)+0.2*SIN(2*PI()*((Model_Data!A100)+(Inputs!$C$6))/(0.5*(Inputs!$C$39+Inputs!$C$40))))+Inputs!$C$38*SIN(2*PI()*(Model_Data!A100)/Inputs!$C$39)*SIN(2*PI()*(Inputs!$C$6)/Inputs!$C$40)+-Inputs!$C$41*EXP(-(((Inputs!$C$6)-Inputs!$C$43)^2)/(2*Inputs!$C$44^2))*EXP(-(((Model_Data!A100)-Inputs!$C$42)^2)/(2*Inputs!$C$45^2))+Inputs!$C$48*(0.7*(0.45*SIN(2*PI()*(((Model_Data!A100)/Inputs!$C$49)+Inputs!$C$47*0.137))+0.35*COS(2*PI()*(((Inputs!$C$6)/Inputs!$C$50)+Inputs!$C$47*0.173))+0.2*SIN(2*PI()*(((Model_Data!A100)+(Inputs!$C$6))/(0.5*(Inputs!$C$49+Inputs!$C$50))+Inputs!$C$47*0.097)))+0.3*(2*((SIN(((Model_Data!A100)*12.9898+(Inputs!$C$6)*78.233+Inputs!$C$47*37.719))*43758.5453)-INT((SIN(((Model_Data!A100)*12.9898+(Inputs!$C$6)*78.233+Inputs!$C$47*37.719))*43758.5453)))-1)))</f>
        <v>462.54124928234683</v>
      </c>
      <c r="K100" s="9">
        <f>-((((SQRT((Model_Data!A100)^2+Inputs!$C$6^2+((Model_Data!B100)-((Inputs!$C$51*(115*EXP(-(((Inputs!$C$6)-25)^2)/(4.5^2))+70*EXP(-(((Inputs!$C$6)+38)^2)/(7^2))*(0.55+0.45*SIN(2*PI()*(Model_Data!A100)/45))+24*SIN(2*PI()*(Inputs!$C$6)/9+(Model_Data!A100)/18)*EXP(-(((Inputs!$C$6)+5)^2)/(22^2))+18*SIN(2*PI()*(Model_Data!A100)/70))+Inputs!$C$28*EXP(-(((Model_Data!A100)-Inputs!$C$29)^2)/(2*Inputs!$C$31^2))*EXP(-(((Inputs!$C$6)-Inputs!$C$30)^2)/(2*Inputs!$C$32^2))+-Inputs!$C$33*EXP(-(((((Model_Data!A100)-Inputs!$C$34)^2)+(((Inputs!$C$6)-Inputs!$C$35)^2))/(2*Inputs!$C$36^2)))+Inputs!$C$37*(0.55*SIN(2*PI()*(Model_Data!A100)/Inputs!$C$39)+0.35*COS(2*PI()*(Inputs!$C$6)/Inputs!$C$40)+0.2*SIN(2*PI()*((Model_Data!A100)+(Inputs!$C$6))/(0.5*(Inputs!$C$39+Inputs!$C$40))))+Inputs!$C$38*SIN(2*PI()*(Model_Data!A100)/Inputs!$C$39)*SIN(2*PI()*(Inputs!$C$6)/Inputs!$C$40)+-Inputs!$C$41*EXP(-(((Inputs!$C$6)-Inputs!$C$43)^2)/(2*Inputs!$C$44^2))*EXP(-(((Model_Data!A100)-Inputs!$C$42)^2)/(2*Inputs!$C$45^2))+Inputs!$C$48*(0.7*(0.45*SIN(2*PI()*(((Model_Data!A100)/Inputs!$C$49)+Inputs!$C$47*0.137))+0.35*COS(2*PI()*(((Inputs!$C$6)/Inputs!$C$50)+Inputs!$C$47*0.173))+0.2*SIN(2*PI()*(((Model_Data!A100)+(Inputs!$C$6))/(0.5*(Inputs!$C$49+Inputs!$C$50))+Inputs!$C$47*0.097)))+0.3*(2*((SIN(((Model_Data!A100)*12.9898+(Inputs!$C$6)*78.233+Inputs!$C$47*37.719))*43758.5453)-INT((SIN(((Model_Data!A100)*12.9898+(Inputs!$C$6)*78.233+Inputs!$C$47*37.719))*43758.5453)))-1))))/1000)^2))-(((Model_Data!B100)-((Inputs!$C$51*(115*EXP(-(((0)-25)^2)/(4.5^2))+70*EXP(-(((0)+38)^2)/(7^2))*(0.55+0.45*SIN(2*PI()*(Model_Data!A100)/45))+24*SIN(2*PI()*(0)/9+(Model_Data!A100)/18)*EXP(-(((0)+5)^2)/(22^2))+18*SIN(2*PI()*(Model_Data!A100)/70))+Inputs!$C$28*EXP(-(((Model_Data!A100)-Inputs!$C$29)^2)/(2*Inputs!$C$31^2))*EXP(-(((0)-Inputs!$C$30)^2)/(2*Inputs!$C$32^2))+-Inputs!$C$33*EXP(-(((((Model_Data!A100)-Inputs!$C$34)^2)+(((0)-Inputs!$C$35)^2))/(2*Inputs!$C$36^2)))+Inputs!$C$37*(0.55*SIN(2*PI()*(Model_Data!A100)/Inputs!$C$39)+0.35*COS(2*PI()*(0)/Inputs!$C$40)+0.2*SIN(2*PI()*((Model_Data!A100)+(0))/(0.5*(Inputs!$C$39+Inputs!$C$40))))+Inputs!$C$38*SIN(2*PI()*(Model_Data!A100)/Inputs!$C$39)*SIN(2*PI()*(0)/Inputs!$C$40)+-Inputs!$C$41*EXP(-(((0)-Inputs!$C$43)^2)/(2*Inputs!$C$44^2))*EXP(-(((Model_Data!A100)-Inputs!$C$42)^2)/(2*Inputs!$C$45^2))+Inputs!$C$48*(0.7*(0.45*SIN(2*PI()*(((Model_Data!A100)/Inputs!$C$49)+Inputs!$C$47*0.137))+0.35*COS(2*PI()*(((0)/Inputs!$C$50)+Inputs!$C$47*0.173))+0.2*SIN(2*PI()*(((Model_Data!A100)+(0))/(0.5*(Inputs!$C$49+Inputs!$C$50))+Inputs!$C$47*0.097)))+0.3*(2*((SIN(((Model_Data!A100)*12.9898+(0)*78.233+Inputs!$C$47*37.719))*43758.5453)-INT((SIN(((Model_Data!A100)*12.9898+(0)*78.233+Inputs!$C$47*37.719))*43758.5453)))-1))))/1000)))*1000/Inputs!$C$12)-Model_Data!F100)</f>
        <v>283.57079927120003</v>
      </c>
      <c r="L100" s="10"/>
      <c r="M100" s="9">
        <f>Model_Data!A100</f>
        <v>-11</v>
      </c>
      <c r="N100" s="9">
        <f>Model_Data!P100</f>
        <v>82.903412917330044</v>
      </c>
      <c r="O100" s="9">
        <f t="shared" si="2"/>
        <v>100.81737923310357</v>
      </c>
      <c r="P100" s="9">
        <f>Model_Data!Q100</f>
        <v>12.447959897497006</v>
      </c>
      <c r="Q100" s="9">
        <f t="shared" si="3"/>
        <v>15.137744629595131</v>
      </c>
      <c r="R100" s="10"/>
      <c r="S100" s="9">
        <f>Model_Data!A100</f>
        <v>-11</v>
      </c>
      <c r="T100" s="9">
        <f>Model_Data!B100-Inputs!$C$5</f>
        <v>0.1344444444444548</v>
      </c>
      <c r="U100" s="10"/>
      <c r="V100" s="9">
        <f>Model_Data!A100</f>
        <v>-11</v>
      </c>
      <c r="W100" s="9">
        <f>((SQRT((Model_Data!A100)^2+Inputs!$C$6^2+Inputs!$C$5^2)-Inputs!$C$5)*1000/Inputs!$C$12)</f>
        <v>523.26718048803878</v>
      </c>
      <c r="X100" s="9">
        <f>Model_Data!F100</f>
        <v>523.09177190861999</v>
      </c>
      <c r="Y100" s="10"/>
      <c r="Z100" s="9">
        <f>Model_Data!A100</f>
        <v>-11</v>
      </c>
      <c r="AA100" s="9">
        <f>SQRT((Model_Data!A100)^2+Inputs!$C$6^2+((Model_Data!B100)-((Inputs!$C$51*(115*EXP(-(((Inputs!$C$6)-25)^2)/(4.5^2))+70*EXP(-(((Inputs!$C$6)+38)^2)/(7^2))*(0.55+0.45*SIN(2*PI()*(Model_Data!A100)/45))+24*SIN(2*PI()*(Inputs!$C$6)/9+(Model_Data!A100)/18)*EXP(-(((Inputs!$C$6)+5)^2)/(22^2))+18*SIN(2*PI()*(Model_Data!A100)/70))+Inputs!$C$28*EXP(-(((Model_Data!A100)-Inputs!$C$29)^2)/(2*Inputs!$C$31^2))*EXP(-(((Inputs!$C$6)-Inputs!$C$30)^2)/(2*Inputs!$C$32^2))+-Inputs!$C$33*EXP(-(((((Model_Data!A100)-Inputs!$C$34)^2)+(((Inputs!$C$6)-Inputs!$C$35)^2))/(2*Inputs!$C$36^2)))+Inputs!$C$37*(0.55*SIN(2*PI()*(Model_Data!A100)/Inputs!$C$39)+0.35*COS(2*PI()*(Inputs!$C$6)/Inputs!$C$40)+0.2*SIN(2*PI()*((Model_Data!A100)+(Inputs!$C$6))/(0.5*(Inputs!$C$39+Inputs!$C$40))))+Inputs!$C$38*SIN(2*PI()*(Model_Data!A100)/Inputs!$C$39)*SIN(2*PI()*(Inputs!$C$6)/Inputs!$C$40)+-Inputs!$C$41*EXP(-(((Inputs!$C$6)-Inputs!$C$43)^2)/(2*Inputs!$C$44^2))*EXP(-(((Model_Data!A100)-Inputs!$C$42)^2)/(2*Inputs!$C$45^2))+Inputs!$C$48*(0.7*(0.45*SIN(2*PI()*(((Model_Data!A100)/Inputs!$C$49)+Inputs!$C$47*0.137))+0.35*COS(2*PI()*(((Inputs!$C$6)/Inputs!$C$50)+Inputs!$C$47*0.173))+0.2*SIN(2*PI()*(((Model_Data!A100)+(Inputs!$C$6))/(0.5*(Inputs!$C$49+Inputs!$C$50))+Inputs!$C$47*0.097)))+0.3*(2*((SIN(((Model_Data!A100)*12.9898+(Inputs!$C$6)*78.233+Inputs!$C$47*37.719))*43758.5453)-INT((SIN(((Model_Data!A100)*12.9898+(Inputs!$C$6)*78.233+Inputs!$C$47*37.719))*43758.5453)))-1))))/1000)^2)</f>
        <v>400.60408161131238</v>
      </c>
      <c r="AB100" s="9">
        <f>1000*(AA101-AA99)/(Z101-Z99)*Inputs!$C$11</f>
        <v>-252.04344808275891</v>
      </c>
      <c r="AC100" s="9">
        <f>-2*AB100/Inputs!$C$13</f>
        <v>100.81737923310357</v>
      </c>
      <c r="AD100" s="9">
        <f>-2*AB100/Inputs!$C$14</f>
        <v>15.137744629595131</v>
      </c>
    </row>
    <row r="101" spans="1:30">
      <c r="A101" s="9">
        <f>Model_Data!A101</f>
        <v>-10.5</v>
      </c>
      <c r="B101" s="9">
        <f>((SQRT((Model_Data!A101)^2+Inputs!$C$6^2+Inputs!$C$5^2)-Inputs!$C$5)*1000/Inputs!$C$12)</f>
        <v>515.73543492959368</v>
      </c>
      <c r="C101" s="9">
        <f>Model_Data!F101</f>
        <v>515.57790068694419</v>
      </c>
      <c r="D101" s="9">
        <f>(((SQRT((Model_Data!A101)^2+Inputs!$C$6^2+((Model_Data!B101)-((Inputs!$C$51*(115*EXP(-(((Inputs!$C$6)-25)^2)/(4.5^2))+70*EXP(-(((Inputs!$C$6)+38)^2)/(7^2))*(0.55+0.45*SIN(2*PI()*(Model_Data!A101)/45))+24*SIN(2*PI()*(Inputs!$C$6)/9+(Model_Data!A101)/18)*EXP(-(((Inputs!$C$6)+5)^2)/(22^2))+18*SIN(2*PI()*(Model_Data!A101)/70))+Inputs!$C$28*EXP(-(((Model_Data!A101)-Inputs!$C$29)^2)/(2*Inputs!$C$31^2))*EXP(-(((Inputs!$C$6)-Inputs!$C$30)^2)/(2*Inputs!$C$32^2))+-Inputs!$C$33*EXP(-(((((Model_Data!A101)-Inputs!$C$34)^2)+(((Inputs!$C$6)-Inputs!$C$35)^2))/(2*Inputs!$C$36^2)))+Inputs!$C$37*(0.55*SIN(2*PI()*(Model_Data!A101)/Inputs!$C$39)+0.35*COS(2*PI()*(Inputs!$C$6)/Inputs!$C$40)+0.2*SIN(2*PI()*((Model_Data!A101)+(Inputs!$C$6))/(0.5*(Inputs!$C$39+Inputs!$C$40))))+Inputs!$C$38*SIN(2*PI()*(Model_Data!A101)/Inputs!$C$39)*SIN(2*PI()*(Inputs!$C$6)/Inputs!$C$40)+-Inputs!$C$41*EXP(-(((Inputs!$C$6)-Inputs!$C$43)^2)/(2*Inputs!$C$44^2))*EXP(-(((Model_Data!A101)-Inputs!$C$42)^2)/(2*Inputs!$C$45^2))+Inputs!$C$48*(0.7*(0.45*SIN(2*PI()*(((Model_Data!A101)/Inputs!$C$49)+Inputs!$C$47*0.137))+0.35*COS(2*PI()*(((Inputs!$C$6)/Inputs!$C$50)+Inputs!$C$47*0.173))+0.2*SIN(2*PI()*(((Model_Data!A101)+(Inputs!$C$6))/(0.5*(Inputs!$C$49+Inputs!$C$50))+Inputs!$C$47*0.097)))+0.3*(2*((SIN(((Model_Data!A101)*12.9898+(Inputs!$C$6)*78.233+Inputs!$C$47*37.719))*43758.5453)-INT((SIN(((Model_Data!A101)*12.9898+(Inputs!$C$6)*78.233+Inputs!$C$47*37.719))*43758.5453)))-1))))/1000)^2))-(((Model_Data!B101)-((Inputs!$C$51*(115*EXP(-(((0)-25)^2)/(4.5^2))+70*EXP(-(((0)+38)^2)/(7^2))*(0.55+0.45*SIN(2*PI()*(Model_Data!A101)/45))+24*SIN(2*PI()*(0)/9+(Model_Data!A101)/18)*EXP(-(((0)+5)^2)/(22^2))+18*SIN(2*PI()*(Model_Data!A101)/70))+Inputs!$C$28*EXP(-(((Model_Data!A101)-Inputs!$C$29)^2)/(2*Inputs!$C$31^2))*EXP(-(((0)-Inputs!$C$30)^2)/(2*Inputs!$C$32^2))+-Inputs!$C$33*EXP(-(((((Model_Data!A101)-Inputs!$C$34)^2)+(((0)-Inputs!$C$35)^2))/(2*Inputs!$C$36^2)))+Inputs!$C$37*(0.55*SIN(2*PI()*(Model_Data!A101)/Inputs!$C$39)+0.35*COS(2*PI()*(0)/Inputs!$C$40)+0.2*SIN(2*PI()*((Model_Data!A101)+(0))/(0.5*(Inputs!$C$39+Inputs!$C$40))))+Inputs!$C$38*SIN(2*PI()*(Model_Data!A101)/Inputs!$C$39)*SIN(2*PI()*(0)/Inputs!$C$40)+-Inputs!$C$41*EXP(-(((0)-Inputs!$C$43)^2)/(2*Inputs!$C$44^2))*EXP(-(((Model_Data!A101)-Inputs!$C$42)^2)/(2*Inputs!$C$45^2))+Inputs!$C$48*(0.7*(0.45*SIN(2*PI()*(((Model_Data!A101)/Inputs!$C$49)+Inputs!$C$47*0.137))+0.35*COS(2*PI()*(((0)/Inputs!$C$50)+Inputs!$C$47*0.173))+0.2*SIN(2*PI()*(((Model_Data!A101)+(0))/(0.5*(Inputs!$C$49+Inputs!$C$50))+Inputs!$C$47*0.097)))+0.3*(2*((SIN(((Model_Data!A101)*12.9898+(0)*78.233+Inputs!$C$47*37.719))*43758.5453)-INT((SIN(((Model_Data!A101)*12.9898+(0)*78.233+Inputs!$C$47*37.719))*43758.5453)))-1))))/1000)))*1000/Inputs!$C$12)</f>
        <v>222.81333957128768</v>
      </c>
      <c r="E101" s="9">
        <f>Model_Data!A101</f>
        <v>-10.5</v>
      </c>
      <c r="F101" s="9">
        <f>(Inputs!$C$51*(115*EXP(-(((Inputs!$C$6)-25)^2)/(4.5^2))+70*EXP(-(((Inputs!$C$6)+38)^2)/(7^2))*(0.55+0.45*SIN(2*PI()*(Model_Data!A101)/45))+24*SIN(2*PI()*(Inputs!$C$6)/9+(Model_Data!A101)/18)*EXP(-(((Inputs!$C$6)+5)^2)/(22^2))+18*SIN(2*PI()*(Model_Data!A101)/70))+Inputs!$C$28*EXP(-(((Model_Data!A101)-Inputs!$C$29)^2)/(2*Inputs!$C$31^2))*EXP(-(((Inputs!$C$6)-Inputs!$C$30)^2)/(2*Inputs!$C$32^2))+-Inputs!$C$33*EXP(-(((((Model_Data!A101)-Inputs!$C$34)^2)+(((Inputs!$C$6)-Inputs!$C$35)^2))/(2*Inputs!$C$36^2)))+Inputs!$C$37*(0.55*SIN(2*PI()*(Model_Data!A101)/Inputs!$C$39)+0.35*COS(2*PI()*(Inputs!$C$6)/Inputs!$C$40)+0.2*SIN(2*PI()*((Model_Data!A101)+(Inputs!$C$6))/(0.5*(Inputs!$C$39+Inputs!$C$40))))+Inputs!$C$38*SIN(2*PI()*(Model_Data!A101)/Inputs!$C$39)*SIN(2*PI()*(Inputs!$C$6)/Inputs!$C$40)+-Inputs!$C$41*EXP(-(((Inputs!$C$6)-Inputs!$C$43)^2)/(2*Inputs!$C$44^2))*EXP(-(((Model_Data!A101)-Inputs!$C$42)^2)/(2*Inputs!$C$45^2))+Inputs!$C$48*(0.7*(0.45*SIN(2*PI()*(((Model_Data!A101)/Inputs!$C$49)+Inputs!$C$47*0.137))+0.35*COS(2*PI()*(((Inputs!$C$6)/Inputs!$C$50)+Inputs!$C$47*0.173))+0.2*SIN(2*PI()*(((Model_Data!A101)+(Inputs!$C$6))/(0.5*(Inputs!$C$49+Inputs!$C$50))+Inputs!$C$47*0.097)))+0.3*(2*((SIN(((Model_Data!A101)*12.9898+(Inputs!$C$6)*78.233+Inputs!$C$47*37.719))*43758.5453)-INT((SIN(((Model_Data!A101)*12.9898+(Inputs!$C$6)*78.233+Inputs!$C$47*37.719))*43758.5453)))-1)))</f>
        <v>470.10163194835405</v>
      </c>
      <c r="G101" s="9">
        <f>(Inputs!$C$51*(115*EXP(-(((0)-25)^2)/(4.5^2))+70*EXP(-(((0)+38)^2)/(7^2))*(0.55+0.45*SIN(2*PI()*(Model_Data!A101)/45))+24*SIN(2*PI()*(0)/9+(Model_Data!A101)/18)*EXP(-(((0)+5)^2)/(22^2))+18*SIN(2*PI()*(Model_Data!A101)/70))+Inputs!$C$28*EXP(-(((Model_Data!A101)-Inputs!$C$29)^2)/(2*Inputs!$C$31^2))*EXP(-(((0)-Inputs!$C$30)^2)/(2*Inputs!$C$32^2))+-Inputs!$C$33*EXP(-(((((Model_Data!A101)-Inputs!$C$34)^2)+(((0)-Inputs!$C$35)^2))/(2*Inputs!$C$36^2)))+Inputs!$C$37*(0.55*SIN(2*PI()*(Model_Data!A101)/Inputs!$C$39)+0.35*COS(2*PI()*(0)/Inputs!$C$40)+0.2*SIN(2*PI()*((Model_Data!A101)+(0))/(0.5*(Inputs!$C$39+Inputs!$C$40))))+Inputs!$C$38*SIN(2*PI()*(Model_Data!A101)/Inputs!$C$39)*SIN(2*PI()*(0)/Inputs!$C$40)+-Inputs!$C$41*EXP(-(((0)-Inputs!$C$43)^2)/(2*Inputs!$C$44^2))*EXP(-(((Model_Data!A101)-Inputs!$C$42)^2)/(2*Inputs!$C$45^2))+Inputs!$C$48*(0.7*(0.45*SIN(2*PI()*(((Model_Data!A101)/Inputs!$C$49)+Inputs!$C$47*0.137))+0.35*COS(2*PI()*(((0)/Inputs!$C$50)+Inputs!$C$47*0.173))+0.2*SIN(2*PI()*(((Model_Data!A101)+(0))/(0.5*(Inputs!$C$49+Inputs!$C$50))+Inputs!$C$47*0.097)))+0.3*(2*((SIN(((Model_Data!A101)*12.9898+(0)*78.233+Inputs!$C$47*37.719))*43758.5453)-INT((SIN(((Model_Data!A101)*12.9898+(0)*78.233+Inputs!$C$47*37.719))*43758.5453)))-1)))</f>
        <v>-52.096314636551988</v>
      </c>
      <c r="H101" s="10"/>
      <c r="I101" s="9">
        <f>Model_Data!A101</f>
        <v>-10.5</v>
      </c>
      <c r="J101" s="9">
        <f>(Inputs!$C$51*(115*EXP(-(((Inputs!$C$6)-25)^2)/(4.5^2))+70*EXP(-(((Inputs!$C$6)+38)^2)/(7^2))*(0.55+0.45*SIN(2*PI()*(Model_Data!A101)/45))+24*SIN(2*PI()*(Inputs!$C$6)/9+(Model_Data!A101)/18)*EXP(-(((Inputs!$C$6)+5)^2)/(22^2))+18*SIN(2*PI()*(Model_Data!A101)/70))+Inputs!$C$28*EXP(-(((Model_Data!A101)-Inputs!$C$29)^2)/(2*Inputs!$C$31^2))*EXP(-(((Inputs!$C$6)-Inputs!$C$30)^2)/(2*Inputs!$C$32^2))+-Inputs!$C$33*EXP(-(((((Model_Data!A101)-Inputs!$C$34)^2)+(((Inputs!$C$6)-Inputs!$C$35)^2))/(2*Inputs!$C$36^2)))+Inputs!$C$37*(0.55*SIN(2*PI()*(Model_Data!A101)/Inputs!$C$39)+0.35*COS(2*PI()*(Inputs!$C$6)/Inputs!$C$40)+0.2*SIN(2*PI()*((Model_Data!A101)+(Inputs!$C$6))/(0.5*(Inputs!$C$39+Inputs!$C$40))))+Inputs!$C$38*SIN(2*PI()*(Model_Data!A101)/Inputs!$C$39)*SIN(2*PI()*(Inputs!$C$6)/Inputs!$C$40)+-Inputs!$C$41*EXP(-(((Inputs!$C$6)-Inputs!$C$43)^2)/(2*Inputs!$C$44^2))*EXP(-(((Model_Data!A101)-Inputs!$C$42)^2)/(2*Inputs!$C$45^2))+Inputs!$C$48*(0.7*(0.45*SIN(2*PI()*(((Model_Data!A101)/Inputs!$C$49)+Inputs!$C$47*0.137))+0.35*COS(2*PI()*(((Inputs!$C$6)/Inputs!$C$50)+Inputs!$C$47*0.173))+0.2*SIN(2*PI()*(((Model_Data!A101)+(Inputs!$C$6))/(0.5*(Inputs!$C$49+Inputs!$C$50))+Inputs!$C$47*0.097)))+0.3*(2*((SIN(((Model_Data!A101)*12.9898+(Inputs!$C$6)*78.233+Inputs!$C$47*37.719))*43758.5453)-INT((SIN(((Model_Data!A101)*12.9898+(Inputs!$C$6)*78.233+Inputs!$C$47*37.719))*43758.5453)))-1)))</f>
        <v>470.10163194835405</v>
      </c>
      <c r="K101" s="9">
        <f>-((((SQRT((Model_Data!A101)^2+Inputs!$C$6^2+((Model_Data!B101)-((Inputs!$C$51*(115*EXP(-(((Inputs!$C$6)-25)^2)/(4.5^2))+70*EXP(-(((Inputs!$C$6)+38)^2)/(7^2))*(0.55+0.45*SIN(2*PI()*(Model_Data!A101)/45))+24*SIN(2*PI()*(Inputs!$C$6)/9+(Model_Data!A101)/18)*EXP(-(((Inputs!$C$6)+5)^2)/(22^2))+18*SIN(2*PI()*(Model_Data!A101)/70))+Inputs!$C$28*EXP(-(((Model_Data!A101)-Inputs!$C$29)^2)/(2*Inputs!$C$31^2))*EXP(-(((Inputs!$C$6)-Inputs!$C$30)^2)/(2*Inputs!$C$32^2))+-Inputs!$C$33*EXP(-(((((Model_Data!A101)-Inputs!$C$34)^2)+(((Inputs!$C$6)-Inputs!$C$35)^2))/(2*Inputs!$C$36^2)))+Inputs!$C$37*(0.55*SIN(2*PI()*(Model_Data!A101)/Inputs!$C$39)+0.35*COS(2*PI()*(Inputs!$C$6)/Inputs!$C$40)+0.2*SIN(2*PI()*((Model_Data!A101)+(Inputs!$C$6))/(0.5*(Inputs!$C$39+Inputs!$C$40))))+Inputs!$C$38*SIN(2*PI()*(Model_Data!A101)/Inputs!$C$39)*SIN(2*PI()*(Inputs!$C$6)/Inputs!$C$40)+-Inputs!$C$41*EXP(-(((Inputs!$C$6)-Inputs!$C$43)^2)/(2*Inputs!$C$44^2))*EXP(-(((Model_Data!A101)-Inputs!$C$42)^2)/(2*Inputs!$C$45^2))+Inputs!$C$48*(0.7*(0.45*SIN(2*PI()*(((Model_Data!A101)/Inputs!$C$49)+Inputs!$C$47*0.137))+0.35*COS(2*PI()*(((Inputs!$C$6)/Inputs!$C$50)+Inputs!$C$47*0.173))+0.2*SIN(2*PI()*(((Model_Data!A101)+(Inputs!$C$6))/(0.5*(Inputs!$C$49+Inputs!$C$50))+Inputs!$C$47*0.097)))+0.3*(2*((SIN(((Model_Data!A101)*12.9898+(Inputs!$C$6)*78.233+Inputs!$C$47*37.719))*43758.5453)-INT((SIN(((Model_Data!A101)*12.9898+(Inputs!$C$6)*78.233+Inputs!$C$47*37.719))*43758.5453)))-1))))/1000)^2))-(((Model_Data!B101)-((Inputs!$C$51*(115*EXP(-(((0)-25)^2)/(4.5^2))+70*EXP(-(((0)+38)^2)/(7^2))*(0.55+0.45*SIN(2*PI()*(Model_Data!A101)/45))+24*SIN(2*PI()*(0)/9+(Model_Data!A101)/18)*EXP(-(((0)+5)^2)/(22^2))+18*SIN(2*PI()*(Model_Data!A101)/70))+Inputs!$C$28*EXP(-(((Model_Data!A101)-Inputs!$C$29)^2)/(2*Inputs!$C$31^2))*EXP(-(((0)-Inputs!$C$30)^2)/(2*Inputs!$C$32^2))+-Inputs!$C$33*EXP(-(((((Model_Data!A101)-Inputs!$C$34)^2)+(((0)-Inputs!$C$35)^2))/(2*Inputs!$C$36^2)))+Inputs!$C$37*(0.55*SIN(2*PI()*(Model_Data!A101)/Inputs!$C$39)+0.35*COS(2*PI()*(0)/Inputs!$C$40)+0.2*SIN(2*PI()*((Model_Data!A101)+(0))/(0.5*(Inputs!$C$39+Inputs!$C$40))))+Inputs!$C$38*SIN(2*PI()*(Model_Data!A101)/Inputs!$C$39)*SIN(2*PI()*(0)/Inputs!$C$40)+-Inputs!$C$41*EXP(-(((0)-Inputs!$C$43)^2)/(2*Inputs!$C$44^2))*EXP(-(((Model_Data!A101)-Inputs!$C$42)^2)/(2*Inputs!$C$45^2))+Inputs!$C$48*(0.7*(0.45*SIN(2*PI()*(((Model_Data!A101)/Inputs!$C$49)+Inputs!$C$47*0.137))+0.35*COS(2*PI()*(((0)/Inputs!$C$50)+Inputs!$C$47*0.173))+0.2*SIN(2*PI()*(((Model_Data!A101)+(0))/(0.5*(Inputs!$C$49+Inputs!$C$50))+Inputs!$C$47*0.097)))+0.3*(2*((SIN(((Model_Data!A101)*12.9898+(0)*78.233+Inputs!$C$47*37.719))*43758.5453)-INT((SIN(((Model_Data!A101)*12.9898+(0)*78.233+Inputs!$C$47*37.719))*43758.5453)))-1))))/1000)))*1000/Inputs!$C$12)-Model_Data!F101)</f>
        <v>292.76456111565653</v>
      </c>
      <c r="L101" s="10"/>
      <c r="M101" s="9">
        <f>Model_Data!A101</f>
        <v>-10.5</v>
      </c>
      <c r="N101" s="9">
        <f>Model_Data!P101</f>
        <v>79.138960129904746</v>
      </c>
      <c r="O101" s="9">
        <f t="shared" si="2"/>
        <v>93.51163407382046</v>
      </c>
      <c r="P101" s="9">
        <f>Model_Data!Q101</f>
        <v>11.882726746231945</v>
      </c>
      <c r="Q101" s="9">
        <f t="shared" si="3"/>
        <v>14.040785896970041</v>
      </c>
      <c r="R101" s="10"/>
      <c r="S101" s="9">
        <f>Model_Data!A101</f>
        <v>-10.5</v>
      </c>
      <c r="T101" s="9">
        <f>Model_Data!B101-Inputs!$C$5</f>
        <v>0.12250000000000227</v>
      </c>
      <c r="U101" s="10"/>
      <c r="V101" s="9">
        <f>Model_Data!A101</f>
        <v>-10.5</v>
      </c>
      <c r="W101" s="9">
        <f>((SQRT((Model_Data!A101)^2+Inputs!$C$6^2+Inputs!$C$5^2)-Inputs!$C$5)*1000/Inputs!$C$12)</f>
        <v>515.73543492959368</v>
      </c>
      <c r="X101" s="9">
        <f>Model_Data!F101</f>
        <v>515.57790068694419</v>
      </c>
      <c r="Y101" s="10"/>
      <c r="Z101" s="9">
        <f>Model_Data!A101</f>
        <v>-10.5</v>
      </c>
      <c r="AA101" s="9">
        <f>SQRT((Model_Data!A101)^2+Inputs!$C$6^2+((Model_Data!B101)-((Inputs!$C$51*(115*EXP(-(((Inputs!$C$6)-25)^2)/(4.5^2))+70*EXP(-(((Inputs!$C$6)+38)^2)/(7^2))*(0.55+0.45*SIN(2*PI()*(Model_Data!A101)/45))+24*SIN(2*PI()*(Inputs!$C$6)/9+(Model_Data!A101)/18)*EXP(-(((Inputs!$C$6)+5)^2)/(22^2))+18*SIN(2*PI()*(Model_Data!A101)/70))+Inputs!$C$28*EXP(-(((Model_Data!A101)-Inputs!$C$29)^2)/(2*Inputs!$C$31^2))*EXP(-(((Inputs!$C$6)-Inputs!$C$30)^2)/(2*Inputs!$C$32^2))+-Inputs!$C$33*EXP(-(((((Model_Data!A101)-Inputs!$C$34)^2)+(((Inputs!$C$6)-Inputs!$C$35)^2))/(2*Inputs!$C$36^2)))+Inputs!$C$37*(0.55*SIN(2*PI()*(Model_Data!A101)/Inputs!$C$39)+0.35*COS(2*PI()*(Inputs!$C$6)/Inputs!$C$40)+0.2*SIN(2*PI()*((Model_Data!A101)+(Inputs!$C$6))/(0.5*(Inputs!$C$39+Inputs!$C$40))))+Inputs!$C$38*SIN(2*PI()*(Model_Data!A101)/Inputs!$C$39)*SIN(2*PI()*(Inputs!$C$6)/Inputs!$C$40)+-Inputs!$C$41*EXP(-(((Inputs!$C$6)-Inputs!$C$43)^2)/(2*Inputs!$C$44^2))*EXP(-(((Model_Data!A101)-Inputs!$C$42)^2)/(2*Inputs!$C$45^2))+Inputs!$C$48*(0.7*(0.45*SIN(2*PI()*(((Model_Data!A101)/Inputs!$C$49)+Inputs!$C$47*0.137))+0.35*COS(2*PI()*(((Inputs!$C$6)/Inputs!$C$50)+Inputs!$C$47*0.173))+0.2*SIN(2*PI()*(((Model_Data!A101)+(Inputs!$C$6))/(0.5*(Inputs!$C$49+Inputs!$C$50))+Inputs!$C$47*0.097)))+0.3*(2*((SIN(((Model_Data!A101)*12.9898+(Inputs!$C$6)*78.233+Inputs!$C$47*37.719))*43758.5453)-INT((SIN(((Model_Data!A101)*12.9898+(Inputs!$C$6)*78.233+Inputs!$C$47*37.719))*43758.5453)))-1))))/1000)^2)</f>
        <v>400.57120405907347</v>
      </c>
      <c r="AB101" s="9">
        <f>1000*(AA102-AA100)/(Z102-Z100)*Inputs!$C$11</f>
        <v>-233.77908518455115</v>
      </c>
      <c r="AC101" s="9">
        <f>-2*AB101/Inputs!$C$13</f>
        <v>93.51163407382046</v>
      </c>
      <c r="AD101" s="9">
        <f>-2*AB101/Inputs!$C$14</f>
        <v>14.040785896970041</v>
      </c>
    </row>
    <row r="102" spans="1:30">
      <c r="A102" s="9">
        <f>Model_Data!A102</f>
        <v>-10</v>
      </c>
      <c r="B102" s="9">
        <f>((SQRT((Model_Data!A102)^2+Inputs!$C$6^2+Inputs!$C$5^2)-Inputs!$C$5)*1000/Inputs!$C$12)</f>
        <v>508.55376855164639</v>
      </c>
      <c r="C102" s="9">
        <f>Model_Data!F102</f>
        <v>508.41286159408577</v>
      </c>
      <c r="D102" s="9">
        <f>(((SQRT((Model_Data!A102)^2+Inputs!$C$6^2+((Model_Data!B102)-((Inputs!$C$51*(115*EXP(-(((Inputs!$C$6)-25)^2)/(4.5^2))+70*EXP(-(((Inputs!$C$6)+38)^2)/(7^2))*(0.55+0.45*SIN(2*PI()*(Model_Data!A102)/45))+24*SIN(2*PI()*(Inputs!$C$6)/9+(Model_Data!A102)/18)*EXP(-(((Inputs!$C$6)+5)^2)/(22^2))+18*SIN(2*PI()*(Model_Data!A102)/70))+Inputs!$C$28*EXP(-(((Model_Data!A102)-Inputs!$C$29)^2)/(2*Inputs!$C$31^2))*EXP(-(((Inputs!$C$6)-Inputs!$C$30)^2)/(2*Inputs!$C$32^2))+-Inputs!$C$33*EXP(-(((((Model_Data!A102)-Inputs!$C$34)^2)+(((Inputs!$C$6)-Inputs!$C$35)^2))/(2*Inputs!$C$36^2)))+Inputs!$C$37*(0.55*SIN(2*PI()*(Model_Data!A102)/Inputs!$C$39)+0.35*COS(2*PI()*(Inputs!$C$6)/Inputs!$C$40)+0.2*SIN(2*PI()*((Model_Data!A102)+(Inputs!$C$6))/(0.5*(Inputs!$C$39+Inputs!$C$40))))+Inputs!$C$38*SIN(2*PI()*(Model_Data!A102)/Inputs!$C$39)*SIN(2*PI()*(Inputs!$C$6)/Inputs!$C$40)+-Inputs!$C$41*EXP(-(((Inputs!$C$6)-Inputs!$C$43)^2)/(2*Inputs!$C$44^2))*EXP(-(((Model_Data!A102)-Inputs!$C$42)^2)/(2*Inputs!$C$45^2))+Inputs!$C$48*(0.7*(0.45*SIN(2*PI()*(((Model_Data!A102)/Inputs!$C$49)+Inputs!$C$47*0.137))+0.35*COS(2*PI()*(((Inputs!$C$6)/Inputs!$C$50)+Inputs!$C$47*0.173))+0.2*SIN(2*PI()*(((Model_Data!A102)+(Inputs!$C$6))/(0.5*(Inputs!$C$49+Inputs!$C$50))+Inputs!$C$47*0.097)))+0.3*(2*((SIN(((Model_Data!A102)*12.9898+(Inputs!$C$6)*78.233+Inputs!$C$47*37.719))*43758.5453)-INT((SIN(((Model_Data!A102)*12.9898+(Inputs!$C$6)*78.233+Inputs!$C$47*37.719))*43758.5453)))-1))))/1000)^2))-(((Model_Data!B102)-((Inputs!$C$51*(115*EXP(-(((0)-25)^2)/(4.5^2))+70*EXP(-(((0)+38)^2)/(7^2))*(0.55+0.45*SIN(2*PI()*(Model_Data!A102)/45))+24*SIN(2*PI()*(0)/9+(Model_Data!A102)/18)*EXP(-(((0)+5)^2)/(22^2))+18*SIN(2*PI()*(Model_Data!A102)/70))+Inputs!$C$28*EXP(-(((Model_Data!A102)-Inputs!$C$29)^2)/(2*Inputs!$C$31^2))*EXP(-(((0)-Inputs!$C$30)^2)/(2*Inputs!$C$32^2))+-Inputs!$C$33*EXP(-(((((Model_Data!A102)-Inputs!$C$34)^2)+(((0)-Inputs!$C$35)^2))/(2*Inputs!$C$36^2)))+Inputs!$C$37*(0.55*SIN(2*PI()*(Model_Data!A102)/Inputs!$C$39)+0.35*COS(2*PI()*(0)/Inputs!$C$40)+0.2*SIN(2*PI()*((Model_Data!A102)+(0))/(0.5*(Inputs!$C$39+Inputs!$C$40))))+Inputs!$C$38*SIN(2*PI()*(Model_Data!A102)/Inputs!$C$39)*SIN(2*PI()*(0)/Inputs!$C$40)+-Inputs!$C$41*EXP(-(((0)-Inputs!$C$43)^2)/(2*Inputs!$C$44^2))*EXP(-(((Model_Data!A102)-Inputs!$C$42)^2)/(2*Inputs!$C$45^2))+Inputs!$C$48*(0.7*(0.45*SIN(2*PI()*(((Model_Data!A102)/Inputs!$C$49)+Inputs!$C$47*0.137))+0.35*COS(2*PI()*(((0)/Inputs!$C$50)+Inputs!$C$47*0.173))+0.2*SIN(2*PI()*(((Model_Data!A102)+(0))/(0.5*(Inputs!$C$49+Inputs!$C$50))+Inputs!$C$47*0.097)))+0.3*(2*((SIN(((Model_Data!A102)*12.9898+(0)*78.233+Inputs!$C$47*37.719))*43758.5453)-INT((SIN(((Model_Data!A102)*12.9898+(0)*78.233+Inputs!$C$47*37.719))*43758.5453)))-1))))/1000)))*1000/Inputs!$C$12)</f>
        <v>216.34977381126282</v>
      </c>
      <c r="E102" s="9">
        <f>Model_Data!A102</f>
        <v>-10</v>
      </c>
      <c r="F102" s="9">
        <f>(Inputs!$C$51*(115*EXP(-(((Inputs!$C$6)-25)^2)/(4.5^2))+70*EXP(-(((Inputs!$C$6)+38)^2)/(7^2))*(0.55+0.45*SIN(2*PI()*(Model_Data!A102)/45))+24*SIN(2*PI()*(Inputs!$C$6)/9+(Model_Data!A102)/18)*EXP(-(((Inputs!$C$6)+5)^2)/(22^2))+18*SIN(2*PI()*(Model_Data!A102)/70))+Inputs!$C$28*EXP(-(((Model_Data!A102)-Inputs!$C$29)^2)/(2*Inputs!$C$31^2))*EXP(-(((Inputs!$C$6)-Inputs!$C$30)^2)/(2*Inputs!$C$32^2))+-Inputs!$C$33*EXP(-(((((Model_Data!A102)-Inputs!$C$34)^2)+(((Inputs!$C$6)-Inputs!$C$35)^2))/(2*Inputs!$C$36^2)))+Inputs!$C$37*(0.55*SIN(2*PI()*(Model_Data!A102)/Inputs!$C$39)+0.35*COS(2*PI()*(Inputs!$C$6)/Inputs!$C$40)+0.2*SIN(2*PI()*((Model_Data!A102)+(Inputs!$C$6))/(0.5*(Inputs!$C$39+Inputs!$C$40))))+Inputs!$C$38*SIN(2*PI()*(Model_Data!A102)/Inputs!$C$39)*SIN(2*PI()*(Inputs!$C$6)/Inputs!$C$40)+-Inputs!$C$41*EXP(-(((Inputs!$C$6)-Inputs!$C$43)^2)/(2*Inputs!$C$44^2))*EXP(-(((Model_Data!A102)-Inputs!$C$42)^2)/(2*Inputs!$C$45^2))+Inputs!$C$48*(0.7*(0.45*SIN(2*PI()*(((Model_Data!A102)/Inputs!$C$49)+Inputs!$C$47*0.137))+0.35*COS(2*PI()*(((Inputs!$C$6)/Inputs!$C$50)+Inputs!$C$47*0.173))+0.2*SIN(2*PI()*(((Model_Data!A102)+(Inputs!$C$6))/(0.5*(Inputs!$C$49+Inputs!$C$50))+Inputs!$C$47*0.097)))+0.3*(2*((SIN(((Model_Data!A102)*12.9898+(Inputs!$C$6)*78.233+Inputs!$C$47*37.719))*43758.5453)-INT((SIN(((Model_Data!A102)*12.9898+(Inputs!$C$6)*78.233+Inputs!$C$47*37.719))*43758.5453)))-1)))</f>
        <v>471.51448488312155</v>
      </c>
      <c r="G102" s="9">
        <f>(Inputs!$C$51*(115*EXP(-(((0)-25)^2)/(4.5^2))+70*EXP(-(((0)+38)^2)/(7^2))*(0.55+0.45*SIN(2*PI()*(Model_Data!A102)/45))+24*SIN(2*PI()*(0)/9+(Model_Data!A102)/18)*EXP(-(((0)+5)^2)/(22^2))+18*SIN(2*PI()*(Model_Data!A102)/70))+Inputs!$C$28*EXP(-(((Model_Data!A102)-Inputs!$C$29)^2)/(2*Inputs!$C$31^2))*EXP(-(((0)-Inputs!$C$30)^2)/(2*Inputs!$C$32^2))+-Inputs!$C$33*EXP(-(((((Model_Data!A102)-Inputs!$C$34)^2)+(((0)-Inputs!$C$35)^2))/(2*Inputs!$C$36^2)))+Inputs!$C$37*(0.55*SIN(2*PI()*(Model_Data!A102)/Inputs!$C$39)+0.35*COS(2*PI()*(0)/Inputs!$C$40)+0.2*SIN(2*PI()*((Model_Data!A102)+(0))/(0.5*(Inputs!$C$39+Inputs!$C$40))))+Inputs!$C$38*SIN(2*PI()*(Model_Data!A102)/Inputs!$C$39)*SIN(2*PI()*(0)/Inputs!$C$40)+-Inputs!$C$41*EXP(-(((0)-Inputs!$C$43)^2)/(2*Inputs!$C$44^2))*EXP(-(((Model_Data!A102)-Inputs!$C$42)^2)/(2*Inputs!$C$45^2))+Inputs!$C$48*(0.7*(0.45*SIN(2*PI()*(((Model_Data!A102)/Inputs!$C$49)+Inputs!$C$47*0.137))+0.35*COS(2*PI()*(((0)/Inputs!$C$50)+Inputs!$C$47*0.173))+0.2*SIN(2*PI()*(((Model_Data!A102)+(0))/(0.5*(Inputs!$C$49+Inputs!$C$50))+Inputs!$C$47*0.097)))+0.3*(2*((SIN(((Model_Data!A102)*12.9898+(0)*78.233+Inputs!$C$47*37.719))*43758.5453)-INT((SIN(((Model_Data!A102)*12.9898+(0)*78.233+Inputs!$C$47*37.719))*43758.5453)))-1)))</f>
        <v>-49.423131521111884</v>
      </c>
      <c r="H102" s="10"/>
      <c r="I102" s="9">
        <f>Model_Data!A102</f>
        <v>-10</v>
      </c>
      <c r="J102" s="9">
        <f>(Inputs!$C$51*(115*EXP(-(((Inputs!$C$6)-25)^2)/(4.5^2))+70*EXP(-(((Inputs!$C$6)+38)^2)/(7^2))*(0.55+0.45*SIN(2*PI()*(Model_Data!A102)/45))+24*SIN(2*PI()*(Inputs!$C$6)/9+(Model_Data!A102)/18)*EXP(-(((Inputs!$C$6)+5)^2)/(22^2))+18*SIN(2*PI()*(Model_Data!A102)/70))+Inputs!$C$28*EXP(-(((Model_Data!A102)-Inputs!$C$29)^2)/(2*Inputs!$C$31^2))*EXP(-(((Inputs!$C$6)-Inputs!$C$30)^2)/(2*Inputs!$C$32^2))+-Inputs!$C$33*EXP(-(((((Model_Data!A102)-Inputs!$C$34)^2)+(((Inputs!$C$6)-Inputs!$C$35)^2))/(2*Inputs!$C$36^2)))+Inputs!$C$37*(0.55*SIN(2*PI()*(Model_Data!A102)/Inputs!$C$39)+0.35*COS(2*PI()*(Inputs!$C$6)/Inputs!$C$40)+0.2*SIN(2*PI()*((Model_Data!A102)+(Inputs!$C$6))/(0.5*(Inputs!$C$39+Inputs!$C$40))))+Inputs!$C$38*SIN(2*PI()*(Model_Data!A102)/Inputs!$C$39)*SIN(2*PI()*(Inputs!$C$6)/Inputs!$C$40)+-Inputs!$C$41*EXP(-(((Inputs!$C$6)-Inputs!$C$43)^2)/(2*Inputs!$C$44^2))*EXP(-(((Model_Data!A102)-Inputs!$C$42)^2)/(2*Inputs!$C$45^2))+Inputs!$C$48*(0.7*(0.45*SIN(2*PI()*(((Model_Data!A102)/Inputs!$C$49)+Inputs!$C$47*0.137))+0.35*COS(2*PI()*(((Inputs!$C$6)/Inputs!$C$50)+Inputs!$C$47*0.173))+0.2*SIN(2*PI()*(((Model_Data!A102)+(Inputs!$C$6))/(0.5*(Inputs!$C$49+Inputs!$C$50))+Inputs!$C$47*0.097)))+0.3*(2*((SIN(((Model_Data!A102)*12.9898+(Inputs!$C$6)*78.233+Inputs!$C$47*37.719))*43758.5453)-INT((SIN(((Model_Data!A102)*12.9898+(Inputs!$C$6)*78.233+Inputs!$C$47*37.719))*43758.5453)))-1)))</f>
        <v>471.51448488312155</v>
      </c>
      <c r="K102" s="9">
        <f>-((((SQRT((Model_Data!A102)^2+Inputs!$C$6^2+((Model_Data!B102)-((Inputs!$C$51*(115*EXP(-(((Inputs!$C$6)-25)^2)/(4.5^2))+70*EXP(-(((Inputs!$C$6)+38)^2)/(7^2))*(0.55+0.45*SIN(2*PI()*(Model_Data!A102)/45))+24*SIN(2*PI()*(Inputs!$C$6)/9+(Model_Data!A102)/18)*EXP(-(((Inputs!$C$6)+5)^2)/(22^2))+18*SIN(2*PI()*(Model_Data!A102)/70))+Inputs!$C$28*EXP(-(((Model_Data!A102)-Inputs!$C$29)^2)/(2*Inputs!$C$31^2))*EXP(-(((Inputs!$C$6)-Inputs!$C$30)^2)/(2*Inputs!$C$32^2))+-Inputs!$C$33*EXP(-(((((Model_Data!A102)-Inputs!$C$34)^2)+(((Inputs!$C$6)-Inputs!$C$35)^2))/(2*Inputs!$C$36^2)))+Inputs!$C$37*(0.55*SIN(2*PI()*(Model_Data!A102)/Inputs!$C$39)+0.35*COS(2*PI()*(Inputs!$C$6)/Inputs!$C$40)+0.2*SIN(2*PI()*((Model_Data!A102)+(Inputs!$C$6))/(0.5*(Inputs!$C$39+Inputs!$C$40))))+Inputs!$C$38*SIN(2*PI()*(Model_Data!A102)/Inputs!$C$39)*SIN(2*PI()*(Inputs!$C$6)/Inputs!$C$40)+-Inputs!$C$41*EXP(-(((Inputs!$C$6)-Inputs!$C$43)^2)/(2*Inputs!$C$44^2))*EXP(-(((Model_Data!A102)-Inputs!$C$42)^2)/(2*Inputs!$C$45^2))+Inputs!$C$48*(0.7*(0.45*SIN(2*PI()*(((Model_Data!A102)/Inputs!$C$49)+Inputs!$C$47*0.137))+0.35*COS(2*PI()*(((Inputs!$C$6)/Inputs!$C$50)+Inputs!$C$47*0.173))+0.2*SIN(2*PI()*(((Model_Data!A102)+(Inputs!$C$6))/(0.5*(Inputs!$C$49+Inputs!$C$50))+Inputs!$C$47*0.097)))+0.3*(2*((SIN(((Model_Data!A102)*12.9898+(Inputs!$C$6)*78.233+Inputs!$C$47*37.719))*43758.5453)-INT((SIN(((Model_Data!A102)*12.9898+(Inputs!$C$6)*78.233+Inputs!$C$47*37.719))*43758.5453)))-1))))/1000)^2))-(((Model_Data!B102)-((Inputs!$C$51*(115*EXP(-(((0)-25)^2)/(4.5^2))+70*EXP(-(((0)+38)^2)/(7^2))*(0.55+0.45*SIN(2*PI()*(Model_Data!A102)/45))+24*SIN(2*PI()*(0)/9+(Model_Data!A102)/18)*EXP(-(((0)+5)^2)/(22^2))+18*SIN(2*PI()*(Model_Data!A102)/70))+Inputs!$C$28*EXP(-(((Model_Data!A102)-Inputs!$C$29)^2)/(2*Inputs!$C$31^2))*EXP(-(((0)-Inputs!$C$30)^2)/(2*Inputs!$C$32^2))+-Inputs!$C$33*EXP(-(((((Model_Data!A102)-Inputs!$C$34)^2)+(((0)-Inputs!$C$35)^2))/(2*Inputs!$C$36^2)))+Inputs!$C$37*(0.55*SIN(2*PI()*(Model_Data!A102)/Inputs!$C$39)+0.35*COS(2*PI()*(0)/Inputs!$C$40)+0.2*SIN(2*PI()*((Model_Data!A102)+(0))/(0.5*(Inputs!$C$39+Inputs!$C$40))))+Inputs!$C$38*SIN(2*PI()*(Model_Data!A102)/Inputs!$C$39)*SIN(2*PI()*(0)/Inputs!$C$40)+-Inputs!$C$41*EXP(-(((0)-Inputs!$C$43)^2)/(2*Inputs!$C$44^2))*EXP(-(((Model_Data!A102)-Inputs!$C$42)^2)/(2*Inputs!$C$45^2))+Inputs!$C$48*(0.7*(0.45*SIN(2*PI()*(((Model_Data!A102)/Inputs!$C$49)+Inputs!$C$47*0.137))+0.35*COS(2*PI()*(((0)/Inputs!$C$50)+Inputs!$C$47*0.173))+0.2*SIN(2*PI()*(((Model_Data!A102)+(0))/(0.5*(Inputs!$C$49+Inputs!$C$50))+Inputs!$C$47*0.097)))+0.3*(2*((SIN(((Model_Data!A102)*12.9898+(0)*78.233+Inputs!$C$47*37.719))*43758.5453)-INT((SIN(((Model_Data!A102)*12.9898+(0)*78.233+Inputs!$C$47*37.719))*43758.5453)))-1))))/1000)))*1000/Inputs!$C$12)-Model_Data!F102)</f>
        <v>292.06308778282295</v>
      </c>
      <c r="L102" s="10"/>
      <c r="M102" s="9">
        <f>Model_Data!A102</f>
        <v>-10</v>
      </c>
      <c r="N102" s="9">
        <f>Model_Data!P102</f>
        <v>75.373966018780237</v>
      </c>
      <c r="O102" s="9">
        <f t="shared" si="2"/>
        <v>76.186605972179677</v>
      </c>
      <c r="P102" s="9">
        <f>Model_Data!Q102</f>
        <v>11.317412315132168</v>
      </c>
      <c r="Q102" s="9">
        <f t="shared" si="3"/>
        <v>11.439430326153106</v>
      </c>
      <c r="R102" s="10"/>
      <c r="S102" s="9">
        <f>Model_Data!A102</f>
        <v>-10</v>
      </c>
      <c r="T102" s="9">
        <f>Model_Data!B102-Inputs!$C$5</f>
        <v>0.11111111111108585</v>
      </c>
      <c r="U102" s="10"/>
      <c r="V102" s="9">
        <f>Model_Data!A102</f>
        <v>-10</v>
      </c>
      <c r="W102" s="9">
        <f>((SQRT((Model_Data!A102)^2+Inputs!$C$6^2+Inputs!$C$5^2)-Inputs!$C$5)*1000/Inputs!$C$12)</f>
        <v>508.55376855164639</v>
      </c>
      <c r="X102" s="9">
        <f>Model_Data!F102</f>
        <v>508.41286159408577</v>
      </c>
      <c r="Y102" s="10"/>
      <c r="Z102" s="9">
        <f>Model_Data!A102</f>
        <v>-10</v>
      </c>
      <c r="AA102" s="9">
        <f>SQRT((Model_Data!A102)^2+Inputs!$C$6^2+((Model_Data!B102)-((Inputs!$C$51*(115*EXP(-(((Inputs!$C$6)-25)^2)/(4.5^2))+70*EXP(-(((Inputs!$C$6)+38)^2)/(7^2))*(0.55+0.45*SIN(2*PI()*(Model_Data!A102)/45))+24*SIN(2*PI()*(Inputs!$C$6)/9+(Model_Data!A102)/18)*EXP(-(((Inputs!$C$6)+5)^2)/(22^2))+18*SIN(2*PI()*(Model_Data!A102)/70))+Inputs!$C$28*EXP(-(((Model_Data!A102)-Inputs!$C$29)^2)/(2*Inputs!$C$31^2))*EXP(-(((Inputs!$C$6)-Inputs!$C$30)^2)/(2*Inputs!$C$32^2))+-Inputs!$C$33*EXP(-(((((Model_Data!A102)-Inputs!$C$34)^2)+(((Inputs!$C$6)-Inputs!$C$35)^2))/(2*Inputs!$C$36^2)))+Inputs!$C$37*(0.55*SIN(2*PI()*(Model_Data!A102)/Inputs!$C$39)+0.35*COS(2*PI()*(Inputs!$C$6)/Inputs!$C$40)+0.2*SIN(2*PI()*((Model_Data!A102)+(Inputs!$C$6))/(0.5*(Inputs!$C$39+Inputs!$C$40))))+Inputs!$C$38*SIN(2*PI()*(Model_Data!A102)/Inputs!$C$39)*SIN(2*PI()*(Inputs!$C$6)/Inputs!$C$40)+-Inputs!$C$41*EXP(-(((Inputs!$C$6)-Inputs!$C$43)^2)/(2*Inputs!$C$44^2))*EXP(-(((Model_Data!A102)-Inputs!$C$42)^2)/(2*Inputs!$C$45^2))+Inputs!$C$48*(0.7*(0.45*SIN(2*PI()*(((Model_Data!A102)/Inputs!$C$49)+Inputs!$C$47*0.137))+0.35*COS(2*PI()*(((Inputs!$C$6)/Inputs!$C$50)+Inputs!$C$47*0.173))+0.2*SIN(2*PI()*(((Model_Data!A102)+(Inputs!$C$6))/(0.5*(Inputs!$C$49+Inputs!$C$50))+Inputs!$C$47*0.097)))+0.3*(2*((SIN(((Model_Data!A102)*12.9898+(Inputs!$C$6)*78.233+Inputs!$C$47*37.719))*43758.5453)-INT((SIN(((Model_Data!A102)*12.9898+(Inputs!$C$6)*78.233+Inputs!$C$47*37.719))*43758.5453)))-1))))/1000)^2)</f>
        <v>400.54563684001624</v>
      </c>
      <c r="AB102" s="9">
        <f>1000*(AA103-AA101)/(Z103-Z101)*Inputs!$C$11</f>
        <v>-190.46651493044919</v>
      </c>
      <c r="AC102" s="9">
        <f>-2*AB102/Inputs!$C$13</f>
        <v>76.186605972179677</v>
      </c>
      <c r="AD102" s="9">
        <f>-2*AB102/Inputs!$C$14</f>
        <v>11.439430326153106</v>
      </c>
    </row>
    <row r="103" spans="1:30">
      <c r="A103" s="9">
        <f>Model_Data!A103</f>
        <v>-9.5</v>
      </c>
      <c r="B103" s="9">
        <f>((SQRT((Model_Data!A103)^2+Inputs!$C$6^2+Inputs!$C$5^2)-Inputs!$C$5)*1000/Inputs!$C$12)</f>
        <v>501.7222148433695</v>
      </c>
      <c r="C103" s="9">
        <f>Model_Data!F103</f>
        <v>501.5967474169945</v>
      </c>
      <c r="D103" s="9">
        <f>(((SQRT((Model_Data!A103)^2+Inputs!$C$6^2+((Model_Data!B103)-((Inputs!$C$51*(115*EXP(-(((Inputs!$C$6)-25)^2)/(4.5^2))+70*EXP(-(((Inputs!$C$6)+38)^2)/(7^2))*(0.55+0.45*SIN(2*PI()*(Model_Data!A103)/45))+24*SIN(2*PI()*(Inputs!$C$6)/9+(Model_Data!A103)/18)*EXP(-(((Inputs!$C$6)+5)^2)/(22^2))+18*SIN(2*PI()*(Model_Data!A103)/70))+Inputs!$C$28*EXP(-(((Model_Data!A103)-Inputs!$C$29)^2)/(2*Inputs!$C$31^2))*EXP(-(((Inputs!$C$6)-Inputs!$C$30)^2)/(2*Inputs!$C$32^2))+-Inputs!$C$33*EXP(-(((((Model_Data!A103)-Inputs!$C$34)^2)+(((Inputs!$C$6)-Inputs!$C$35)^2))/(2*Inputs!$C$36^2)))+Inputs!$C$37*(0.55*SIN(2*PI()*(Model_Data!A103)/Inputs!$C$39)+0.35*COS(2*PI()*(Inputs!$C$6)/Inputs!$C$40)+0.2*SIN(2*PI()*((Model_Data!A103)+(Inputs!$C$6))/(0.5*(Inputs!$C$39+Inputs!$C$40))))+Inputs!$C$38*SIN(2*PI()*(Model_Data!A103)/Inputs!$C$39)*SIN(2*PI()*(Inputs!$C$6)/Inputs!$C$40)+-Inputs!$C$41*EXP(-(((Inputs!$C$6)-Inputs!$C$43)^2)/(2*Inputs!$C$44^2))*EXP(-(((Model_Data!A103)-Inputs!$C$42)^2)/(2*Inputs!$C$45^2))+Inputs!$C$48*(0.7*(0.45*SIN(2*PI()*(((Model_Data!A103)/Inputs!$C$49)+Inputs!$C$47*0.137))+0.35*COS(2*PI()*(((Inputs!$C$6)/Inputs!$C$50)+Inputs!$C$47*0.173))+0.2*SIN(2*PI()*(((Model_Data!A103)+(Inputs!$C$6))/(0.5*(Inputs!$C$49+Inputs!$C$50))+Inputs!$C$47*0.097)))+0.3*(2*((SIN(((Model_Data!A103)*12.9898+(Inputs!$C$6)*78.233+Inputs!$C$47*37.719))*43758.5453)-INT((SIN(((Model_Data!A103)*12.9898+(Inputs!$C$6)*78.233+Inputs!$C$47*37.719))*43758.5453)))-1))))/1000)^2))-(((Model_Data!B103)-((Inputs!$C$51*(115*EXP(-(((0)-25)^2)/(4.5^2))+70*EXP(-(((0)+38)^2)/(7^2))*(0.55+0.45*SIN(2*PI()*(Model_Data!A103)/45))+24*SIN(2*PI()*(0)/9+(Model_Data!A103)/18)*EXP(-(((0)+5)^2)/(22^2))+18*SIN(2*PI()*(Model_Data!A103)/70))+Inputs!$C$28*EXP(-(((Model_Data!A103)-Inputs!$C$29)^2)/(2*Inputs!$C$31^2))*EXP(-(((0)-Inputs!$C$30)^2)/(2*Inputs!$C$32^2))+-Inputs!$C$33*EXP(-(((((Model_Data!A103)-Inputs!$C$34)^2)+(((0)-Inputs!$C$35)^2))/(2*Inputs!$C$36^2)))+Inputs!$C$37*(0.55*SIN(2*PI()*(Model_Data!A103)/Inputs!$C$39)+0.35*COS(2*PI()*(0)/Inputs!$C$40)+0.2*SIN(2*PI()*((Model_Data!A103)+(0))/(0.5*(Inputs!$C$39+Inputs!$C$40))))+Inputs!$C$38*SIN(2*PI()*(Model_Data!A103)/Inputs!$C$39)*SIN(2*PI()*(0)/Inputs!$C$40)+-Inputs!$C$41*EXP(-(((0)-Inputs!$C$43)^2)/(2*Inputs!$C$44^2))*EXP(-(((Model_Data!A103)-Inputs!$C$42)^2)/(2*Inputs!$C$45^2))+Inputs!$C$48*(0.7*(0.45*SIN(2*PI()*(((Model_Data!A103)/Inputs!$C$49)+Inputs!$C$47*0.137))+0.35*COS(2*PI()*(((0)/Inputs!$C$50)+Inputs!$C$47*0.173))+0.2*SIN(2*PI()*(((Model_Data!A103)+(0))/(0.5*(Inputs!$C$49+Inputs!$C$50))+Inputs!$C$47*0.097)))+0.3*(2*((SIN(((Model_Data!A103)*12.9898+(0)*78.233+Inputs!$C$47*37.719))*43758.5453)-INT((SIN(((Model_Data!A103)*12.9898+(0)*78.233+Inputs!$C$47*37.719))*43758.5453)))-1))))/1000)))*1000/Inputs!$C$12)</f>
        <v>219.68095201573766</v>
      </c>
      <c r="E103" s="9">
        <f>Model_Data!A103</f>
        <v>-9.5</v>
      </c>
      <c r="F103" s="9">
        <f>(Inputs!$C$51*(115*EXP(-(((Inputs!$C$6)-25)^2)/(4.5^2))+70*EXP(-(((Inputs!$C$6)+38)^2)/(7^2))*(0.55+0.45*SIN(2*PI()*(Model_Data!A103)/45))+24*SIN(2*PI()*(Inputs!$C$6)/9+(Model_Data!A103)/18)*EXP(-(((Inputs!$C$6)+5)^2)/(22^2))+18*SIN(2*PI()*(Model_Data!A103)/70))+Inputs!$C$28*EXP(-(((Model_Data!A103)-Inputs!$C$29)^2)/(2*Inputs!$C$31^2))*EXP(-(((Inputs!$C$6)-Inputs!$C$30)^2)/(2*Inputs!$C$32^2))+-Inputs!$C$33*EXP(-(((((Model_Data!A103)-Inputs!$C$34)^2)+(((Inputs!$C$6)-Inputs!$C$35)^2))/(2*Inputs!$C$36^2)))+Inputs!$C$37*(0.55*SIN(2*PI()*(Model_Data!A103)/Inputs!$C$39)+0.35*COS(2*PI()*(Inputs!$C$6)/Inputs!$C$40)+0.2*SIN(2*PI()*((Model_Data!A103)+(Inputs!$C$6))/(0.5*(Inputs!$C$39+Inputs!$C$40))))+Inputs!$C$38*SIN(2*PI()*(Model_Data!A103)/Inputs!$C$39)*SIN(2*PI()*(Inputs!$C$6)/Inputs!$C$40)+-Inputs!$C$41*EXP(-(((Inputs!$C$6)-Inputs!$C$43)^2)/(2*Inputs!$C$44^2))*EXP(-(((Model_Data!A103)-Inputs!$C$42)^2)/(2*Inputs!$C$45^2))+Inputs!$C$48*(0.7*(0.45*SIN(2*PI()*(((Model_Data!A103)/Inputs!$C$49)+Inputs!$C$47*0.137))+0.35*COS(2*PI()*(((Inputs!$C$6)/Inputs!$C$50)+Inputs!$C$47*0.173))+0.2*SIN(2*PI()*(((Model_Data!A103)+(Inputs!$C$6))/(0.5*(Inputs!$C$49+Inputs!$C$50))+Inputs!$C$47*0.097)))+0.3*(2*((SIN(((Model_Data!A103)*12.9898+(Inputs!$C$6)*78.233+Inputs!$C$47*37.719))*43758.5453)-INT((SIN(((Model_Data!A103)*12.9898+(Inputs!$C$6)*78.233+Inputs!$C$47*37.719))*43758.5453)))-1)))</f>
        <v>470.58157381705621</v>
      </c>
      <c r="G103" s="9">
        <f>(Inputs!$C$51*(115*EXP(-(((0)-25)^2)/(4.5^2))+70*EXP(-(((0)+38)^2)/(7^2))*(0.55+0.45*SIN(2*PI()*(Model_Data!A103)/45))+24*SIN(2*PI()*(0)/9+(Model_Data!A103)/18)*EXP(-(((0)+5)^2)/(22^2))+18*SIN(2*PI()*(Model_Data!A103)/70))+Inputs!$C$28*EXP(-(((Model_Data!A103)-Inputs!$C$29)^2)/(2*Inputs!$C$31^2))*EXP(-(((0)-Inputs!$C$30)^2)/(2*Inputs!$C$32^2))+-Inputs!$C$33*EXP(-(((((Model_Data!A103)-Inputs!$C$34)^2)+(((0)-Inputs!$C$35)^2))/(2*Inputs!$C$36^2)))+Inputs!$C$37*(0.55*SIN(2*PI()*(Model_Data!A103)/Inputs!$C$39)+0.35*COS(2*PI()*(0)/Inputs!$C$40)+0.2*SIN(2*PI()*((Model_Data!A103)+(0))/(0.5*(Inputs!$C$39+Inputs!$C$40))))+Inputs!$C$38*SIN(2*PI()*(Model_Data!A103)/Inputs!$C$39)*SIN(2*PI()*(0)/Inputs!$C$40)+-Inputs!$C$41*EXP(-(((0)-Inputs!$C$43)^2)/(2*Inputs!$C$44^2))*EXP(-(((Model_Data!A103)-Inputs!$C$42)^2)/(2*Inputs!$C$45^2))+Inputs!$C$48*(0.7*(0.45*SIN(2*PI()*(((Model_Data!A103)/Inputs!$C$49)+Inputs!$C$47*0.137))+0.35*COS(2*PI()*(((0)/Inputs!$C$50)+Inputs!$C$47*0.173))+0.2*SIN(2*PI()*(((Model_Data!A103)+(0))/(0.5*(Inputs!$C$49+Inputs!$C$50))+Inputs!$C$47*0.097)))+0.3*(2*((SIN(((Model_Data!A103)*12.9898+(0)*78.233+Inputs!$C$47*37.719))*43758.5453)-INT((SIN(((Model_Data!A103)*12.9898+(0)*78.233+Inputs!$C$47*37.719))*43758.5453)))-1)))</f>
        <v>-32.277557975083496</v>
      </c>
      <c r="H103" s="10"/>
      <c r="I103" s="9">
        <f>Model_Data!A103</f>
        <v>-9.5</v>
      </c>
      <c r="J103" s="9">
        <f>(Inputs!$C$51*(115*EXP(-(((Inputs!$C$6)-25)^2)/(4.5^2))+70*EXP(-(((Inputs!$C$6)+38)^2)/(7^2))*(0.55+0.45*SIN(2*PI()*(Model_Data!A103)/45))+24*SIN(2*PI()*(Inputs!$C$6)/9+(Model_Data!A103)/18)*EXP(-(((Inputs!$C$6)+5)^2)/(22^2))+18*SIN(2*PI()*(Model_Data!A103)/70))+Inputs!$C$28*EXP(-(((Model_Data!A103)-Inputs!$C$29)^2)/(2*Inputs!$C$31^2))*EXP(-(((Inputs!$C$6)-Inputs!$C$30)^2)/(2*Inputs!$C$32^2))+-Inputs!$C$33*EXP(-(((((Model_Data!A103)-Inputs!$C$34)^2)+(((Inputs!$C$6)-Inputs!$C$35)^2))/(2*Inputs!$C$36^2)))+Inputs!$C$37*(0.55*SIN(2*PI()*(Model_Data!A103)/Inputs!$C$39)+0.35*COS(2*PI()*(Inputs!$C$6)/Inputs!$C$40)+0.2*SIN(2*PI()*((Model_Data!A103)+(Inputs!$C$6))/(0.5*(Inputs!$C$39+Inputs!$C$40))))+Inputs!$C$38*SIN(2*PI()*(Model_Data!A103)/Inputs!$C$39)*SIN(2*PI()*(Inputs!$C$6)/Inputs!$C$40)+-Inputs!$C$41*EXP(-(((Inputs!$C$6)-Inputs!$C$43)^2)/(2*Inputs!$C$44^2))*EXP(-(((Model_Data!A103)-Inputs!$C$42)^2)/(2*Inputs!$C$45^2))+Inputs!$C$48*(0.7*(0.45*SIN(2*PI()*(((Model_Data!A103)/Inputs!$C$49)+Inputs!$C$47*0.137))+0.35*COS(2*PI()*(((Inputs!$C$6)/Inputs!$C$50)+Inputs!$C$47*0.173))+0.2*SIN(2*PI()*(((Model_Data!A103)+(Inputs!$C$6))/(0.5*(Inputs!$C$49+Inputs!$C$50))+Inputs!$C$47*0.097)))+0.3*(2*((SIN(((Model_Data!A103)*12.9898+(Inputs!$C$6)*78.233+Inputs!$C$47*37.719))*43758.5453)-INT((SIN(((Model_Data!A103)*12.9898+(Inputs!$C$6)*78.233+Inputs!$C$47*37.719))*43758.5453)))-1)))</f>
        <v>470.58157381705621</v>
      </c>
      <c r="K103" s="9">
        <f>-((((SQRT((Model_Data!A103)^2+Inputs!$C$6^2+((Model_Data!B103)-((Inputs!$C$51*(115*EXP(-(((Inputs!$C$6)-25)^2)/(4.5^2))+70*EXP(-(((Inputs!$C$6)+38)^2)/(7^2))*(0.55+0.45*SIN(2*PI()*(Model_Data!A103)/45))+24*SIN(2*PI()*(Inputs!$C$6)/9+(Model_Data!A103)/18)*EXP(-(((Inputs!$C$6)+5)^2)/(22^2))+18*SIN(2*PI()*(Model_Data!A103)/70))+Inputs!$C$28*EXP(-(((Model_Data!A103)-Inputs!$C$29)^2)/(2*Inputs!$C$31^2))*EXP(-(((Inputs!$C$6)-Inputs!$C$30)^2)/(2*Inputs!$C$32^2))+-Inputs!$C$33*EXP(-(((((Model_Data!A103)-Inputs!$C$34)^2)+(((Inputs!$C$6)-Inputs!$C$35)^2))/(2*Inputs!$C$36^2)))+Inputs!$C$37*(0.55*SIN(2*PI()*(Model_Data!A103)/Inputs!$C$39)+0.35*COS(2*PI()*(Inputs!$C$6)/Inputs!$C$40)+0.2*SIN(2*PI()*((Model_Data!A103)+(Inputs!$C$6))/(0.5*(Inputs!$C$39+Inputs!$C$40))))+Inputs!$C$38*SIN(2*PI()*(Model_Data!A103)/Inputs!$C$39)*SIN(2*PI()*(Inputs!$C$6)/Inputs!$C$40)+-Inputs!$C$41*EXP(-(((Inputs!$C$6)-Inputs!$C$43)^2)/(2*Inputs!$C$44^2))*EXP(-(((Model_Data!A103)-Inputs!$C$42)^2)/(2*Inputs!$C$45^2))+Inputs!$C$48*(0.7*(0.45*SIN(2*PI()*(((Model_Data!A103)/Inputs!$C$49)+Inputs!$C$47*0.137))+0.35*COS(2*PI()*(((Inputs!$C$6)/Inputs!$C$50)+Inputs!$C$47*0.173))+0.2*SIN(2*PI()*(((Model_Data!A103)+(Inputs!$C$6))/(0.5*(Inputs!$C$49+Inputs!$C$50))+Inputs!$C$47*0.097)))+0.3*(2*((SIN(((Model_Data!A103)*12.9898+(Inputs!$C$6)*78.233+Inputs!$C$47*37.719))*43758.5453)-INT((SIN(((Model_Data!A103)*12.9898+(Inputs!$C$6)*78.233+Inputs!$C$47*37.719))*43758.5453)))-1))))/1000)^2))-(((Model_Data!B103)-((Inputs!$C$51*(115*EXP(-(((0)-25)^2)/(4.5^2))+70*EXP(-(((0)+38)^2)/(7^2))*(0.55+0.45*SIN(2*PI()*(Model_Data!A103)/45))+24*SIN(2*PI()*(0)/9+(Model_Data!A103)/18)*EXP(-(((0)+5)^2)/(22^2))+18*SIN(2*PI()*(Model_Data!A103)/70))+Inputs!$C$28*EXP(-(((Model_Data!A103)-Inputs!$C$29)^2)/(2*Inputs!$C$31^2))*EXP(-(((0)-Inputs!$C$30)^2)/(2*Inputs!$C$32^2))+-Inputs!$C$33*EXP(-(((((Model_Data!A103)-Inputs!$C$34)^2)+(((0)-Inputs!$C$35)^2))/(2*Inputs!$C$36^2)))+Inputs!$C$37*(0.55*SIN(2*PI()*(Model_Data!A103)/Inputs!$C$39)+0.35*COS(2*PI()*(0)/Inputs!$C$40)+0.2*SIN(2*PI()*((Model_Data!A103)+(0))/(0.5*(Inputs!$C$39+Inputs!$C$40))))+Inputs!$C$38*SIN(2*PI()*(Model_Data!A103)/Inputs!$C$39)*SIN(2*PI()*(0)/Inputs!$C$40)+-Inputs!$C$41*EXP(-(((0)-Inputs!$C$43)^2)/(2*Inputs!$C$44^2))*EXP(-(((Model_Data!A103)-Inputs!$C$42)^2)/(2*Inputs!$C$45^2))+Inputs!$C$48*(0.7*(0.45*SIN(2*PI()*(((Model_Data!A103)/Inputs!$C$49)+Inputs!$C$47*0.137))+0.35*COS(2*PI()*(((0)/Inputs!$C$50)+Inputs!$C$47*0.173))+0.2*SIN(2*PI()*(((Model_Data!A103)+(0))/(0.5*(Inputs!$C$49+Inputs!$C$50))+Inputs!$C$47*0.097)))+0.3*(2*((SIN(((Model_Data!A103)*12.9898+(0)*78.233+Inputs!$C$47*37.719))*43758.5453)-INT((SIN(((Model_Data!A103)*12.9898+(0)*78.233+Inputs!$C$47*37.719))*43758.5453)))-1))))/1000)))*1000/Inputs!$C$12)-Model_Data!F103)</f>
        <v>281.91579540125684</v>
      </c>
      <c r="L103" s="10"/>
      <c r="M103" s="9">
        <f>Model_Data!A103</f>
        <v>-9.5</v>
      </c>
      <c r="N103" s="9">
        <f>Model_Data!P103</f>
        <v>71.608456206059969</v>
      </c>
      <c r="O103" s="9">
        <f t="shared" si="2"/>
        <v>86.186711567825114</v>
      </c>
      <c r="P103" s="9">
        <f>Model_Data!Q103</f>
        <v>10.752020451360357</v>
      </c>
      <c r="Q103" s="9">
        <f t="shared" si="3"/>
        <v>12.940947682856624</v>
      </c>
      <c r="R103" s="10"/>
      <c r="S103" s="9">
        <f>Model_Data!A103</f>
        <v>-9.5</v>
      </c>
      <c r="T103" s="9">
        <f>Model_Data!B103-Inputs!$C$5</f>
        <v>0.10027777777776237</v>
      </c>
      <c r="U103" s="10"/>
      <c r="V103" s="9">
        <f>Model_Data!A103</f>
        <v>-9.5</v>
      </c>
      <c r="W103" s="9">
        <f>((SQRT((Model_Data!A103)^2+Inputs!$C$6^2+Inputs!$C$5^2)-Inputs!$C$5)*1000/Inputs!$C$12)</f>
        <v>501.7222148433695</v>
      </c>
      <c r="X103" s="9">
        <f>Model_Data!F103</f>
        <v>501.5967474169945</v>
      </c>
      <c r="Y103" s="10"/>
      <c r="Z103" s="9">
        <f>Model_Data!A103</f>
        <v>-9.5</v>
      </c>
      <c r="AA103" s="9">
        <f>SQRT((Model_Data!A103)^2+Inputs!$C$6^2+((Model_Data!B103)-((Inputs!$C$51*(115*EXP(-(((Inputs!$C$6)-25)^2)/(4.5^2))+70*EXP(-(((Inputs!$C$6)+38)^2)/(7^2))*(0.55+0.45*SIN(2*PI()*(Model_Data!A103)/45))+24*SIN(2*PI()*(Inputs!$C$6)/9+(Model_Data!A103)/18)*EXP(-(((Inputs!$C$6)+5)^2)/(22^2))+18*SIN(2*PI()*(Model_Data!A103)/70))+Inputs!$C$28*EXP(-(((Model_Data!A103)-Inputs!$C$29)^2)/(2*Inputs!$C$31^2))*EXP(-(((Inputs!$C$6)-Inputs!$C$30)^2)/(2*Inputs!$C$32^2))+-Inputs!$C$33*EXP(-(((((Model_Data!A103)-Inputs!$C$34)^2)+(((Inputs!$C$6)-Inputs!$C$35)^2))/(2*Inputs!$C$36^2)))+Inputs!$C$37*(0.55*SIN(2*PI()*(Model_Data!A103)/Inputs!$C$39)+0.35*COS(2*PI()*(Inputs!$C$6)/Inputs!$C$40)+0.2*SIN(2*PI()*((Model_Data!A103)+(Inputs!$C$6))/(0.5*(Inputs!$C$39+Inputs!$C$40))))+Inputs!$C$38*SIN(2*PI()*(Model_Data!A103)/Inputs!$C$39)*SIN(2*PI()*(Inputs!$C$6)/Inputs!$C$40)+-Inputs!$C$41*EXP(-(((Inputs!$C$6)-Inputs!$C$43)^2)/(2*Inputs!$C$44^2))*EXP(-(((Model_Data!A103)-Inputs!$C$42)^2)/(2*Inputs!$C$45^2))+Inputs!$C$48*(0.7*(0.45*SIN(2*PI()*(((Model_Data!A103)/Inputs!$C$49)+Inputs!$C$47*0.137))+0.35*COS(2*PI()*(((Inputs!$C$6)/Inputs!$C$50)+Inputs!$C$47*0.173))+0.2*SIN(2*PI()*(((Model_Data!A103)+(Inputs!$C$6))/(0.5*(Inputs!$C$49+Inputs!$C$50))+Inputs!$C$47*0.097)))+0.3*(2*((SIN(((Model_Data!A103)*12.9898+(Inputs!$C$6)*78.233+Inputs!$C$47*37.719))*43758.5453)-INT((SIN(((Model_Data!A103)*12.9898+(Inputs!$C$6)*78.233+Inputs!$C$47*37.719))*43758.5453)))-1))))/1000)^2)</f>
        <v>400.52358743034085</v>
      </c>
      <c r="AB103" s="9">
        <f>1000*(AA104-AA102)/(Z104-Z102)*Inputs!$C$11</f>
        <v>-215.46677891956278</v>
      </c>
      <c r="AC103" s="9">
        <f>-2*AB103/Inputs!$C$13</f>
        <v>86.186711567825114</v>
      </c>
      <c r="AD103" s="9">
        <f>-2*AB103/Inputs!$C$14</f>
        <v>12.940947682856624</v>
      </c>
    </row>
    <row r="104" spans="1:30">
      <c r="A104" s="9">
        <f>Model_Data!A104</f>
        <v>-9</v>
      </c>
      <c r="B104" s="9">
        <f>((SQRT((Model_Data!A104)^2+Inputs!$C$6^2+Inputs!$C$5^2)-Inputs!$C$5)*1000/Inputs!$C$12)</f>
        <v>495.24080566524378</v>
      </c>
      <c r="C104" s="9">
        <f>Model_Data!F104</f>
        <v>495.12964644237769</v>
      </c>
      <c r="D104" s="9">
        <f>(((SQRT((Model_Data!A104)^2+Inputs!$C$6^2+((Model_Data!B104)-((Inputs!$C$51*(115*EXP(-(((Inputs!$C$6)-25)^2)/(4.5^2))+70*EXP(-(((Inputs!$C$6)+38)^2)/(7^2))*(0.55+0.45*SIN(2*PI()*(Model_Data!A104)/45))+24*SIN(2*PI()*(Inputs!$C$6)/9+(Model_Data!A104)/18)*EXP(-(((Inputs!$C$6)+5)^2)/(22^2))+18*SIN(2*PI()*(Model_Data!A104)/70))+Inputs!$C$28*EXP(-(((Model_Data!A104)-Inputs!$C$29)^2)/(2*Inputs!$C$31^2))*EXP(-(((Inputs!$C$6)-Inputs!$C$30)^2)/(2*Inputs!$C$32^2))+-Inputs!$C$33*EXP(-(((((Model_Data!A104)-Inputs!$C$34)^2)+(((Inputs!$C$6)-Inputs!$C$35)^2))/(2*Inputs!$C$36^2)))+Inputs!$C$37*(0.55*SIN(2*PI()*(Model_Data!A104)/Inputs!$C$39)+0.35*COS(2*PI()*(Inputs!$C$6)/Inputs!$C$40)+0.2*SIN(2*PI()*((Model_Data!A104)+(Inputs!$C$6))/(0.5*(Inputs!$C$39+Inputs!$C$40))))+Inputs!$C$38*SIN(2*PI()*(Model_Data!A104)/Inputs!$C$39)*SIN(2*PI()*(Inputs!$C$6)/Inputs!$C$40)+-Inputs!$C$41*EXP(-(((Inputs!$C$6)-Inputs!$C$43)^2)/(2*Inputs!$C$44^2))*EXP(-(((Model_Data!A104)-Inputs!$C$42)^2)/(2*Inputs!$C$45^2))+Inputs!$C$48*(0.7*(0.45*SIN(2*PI()*(((Model_Data!A104)/Inputs!$C$49)+Inputs!$C$47*0.137))+0.35*COS(2*PI()*(((Inputs!$C$6)/Inputs!$C$50)+Inputs!$C$47*0.173))+0.2*SIN(2*PI()*(((Model_Data!A104)+(Inputs!$C$6))/(0.5*(Inputs!$C$49+Inputs!$C$50))+Inputs!$C$47*0.097)))+0.3*(2*((SIN(((Model_Data!A104)*12.9898+(Inputs!$C$6)*78.233+Inputs!$C$47*37.719))*43758.5453)-INT((SIN(((Model_Data!A104)*12.9898+(Inputs!$C$6)*78.233+Inputs!$C$47*37.719))*43758.5453)))-1))))/1000)^2))-(((Model_Data!B104)-((Inputs!$C$51*(115*EXP(-(((0)-25)^2)/(4.5^2))+70*EXP(-(((0)+38)^2)/(7^2))*(0.55+0.45*SIN(2*PI()*(Model_Data!A104)/45))+24*SIN(2*PI()*(0)/9+(Model_Data!A104)/18)*EXP(-(((0)+5)^2)/(22^2))+18*SIN(2*PI()*(Model_Data!A104)/70))+Inputs!$C$28*EXP(-(((Model_Data!A104)-Inputs!$C$29)^2)/(2*Inputs!$C$31^2))*EXP(-(((0)-Inputs!$C$30)^2)/(2*Inputs!$C$32^2))+-Inputs!$C$33*EXP(-(((((Model_Data!A104)-Inputs!$C$34)^2)+(((0)-Inputs!$C$35)^2))/(2*Inputs!$C$36^2)))+Inputs!$C$37*(0.55*SIN(2*PI()*(Model_Data!A104)/Inputs!$C$39)+0.35*COS(2*PI()*(0)/Inputs!$C$40)+0.2*SIN(2*PI()*((Model_Data!A104)+(0))/(0.5*(Inputs!$C$39+Inputs!$C$40))))+Inputs!$C$38*SIN(2*PI()*(Model_Data!A104)/Inputs!$C$39)*SIN(2*PI()*(0)/Inputs!$C$40)+-Inputs!$C$41*EXP(-(((0)-Inputs!$C$43)^2)/(2*Inputs!$C$44^2))*EXP(-(((Model_Data!A104)-Inputs!$C$42)^2)/(2*Inputs!$C$45^2))+Inputs!$C$48*(0.7*(0.45*SIN(2*PI()*(((Model_Data!A104)/Inputs!$C$49)+Inputs!$C$47*0.137))+0.35*COS(2*PI()*(((0)/Inputs!$C$50)+Inputs!$C$47*0.173))+0.2*SIN(2*PI()*(((Model_Data!A104)+(0))/(0.5*(Inputs!$C$49+Inputs!$C$50))+Inputs!$C$47*0.097)))+0.3*(2*((SIN(((Model_Data!A104)*12.9898+(0)*78.233+Inputs!$C$47*37.719))*43758.5453)-INT((SIN(((Model_Data!A104)*12.9898+(0)*78.233+Inputs!$C$47*37.719))*43758.5453)))-1))))/1000)))*1000/Inputs!$C$12)</f>
        <v>199.07228676851793</v>
      </c>
      <c r="E104" s="9">
        <f>Model_Data!A104</f>
        <v>-9</v>
      </c>
      <c r="F104" s="9">
        <f>(Inputs!$C$51*(115*EXP(-(((Inputs!$C$6)-25)^2)/(4.5^2))+70*EXP(-(((Inputs!$C$6)+38)^2)/(7^2))*(0.55+0.45*SIN(2*PI()*(Model_Data!A104)/45))+24*SIN(2*PI()*(Inputs!$C$6)/9+(Model_Data!A104)/18)*EXP(-(((Inputs!$C$6)+5)^2)/(22^2))+18*SIN(2*PI()*(Model_Data!A104)/70))+Inputs!$C$28*EXP(-(((Model_Data!A104)-Inputs!$C$29)^2)/(2*Inputs!$C$31^2))*EXP(-(((Inputs!$C$6)-Inputs!$C$30)^2)/(2*Inputs!$C$32^2))+-Inputs!$C$33*EXP(-(((((Model_Data!A104)-Inputs!$C$34)^2)+(((Inputs!$C$6)-Inputs!$C$35)^2))/(2*Inputs!$C$36^2)))+Inputs!$C$37*(0.55*SIN(2*PI()*(Model_Data!A104)/Inputs!$C$39)+0.35*COS(2*PI()*(Inputs!$C$6)/Inputs!$C$40)+0.2*SIN(2*PI()*((Model_Data!A104)+(Inputs!$C$6))/(0.5*(Inputs!$C$39+Inputs!$C$40))))+Inputs!$C$38*SIN(2*PI()*(Model_Data!A104)/Inputs!$C$39)*SIN(2*PI()*(Inputs!$C$6)/Inputs!$C$40)+-Inputs!$C$41*EXP(-(((Inputs!$C$6)-Inputs!$C$43)^2)/(2*Inputs!$C$44^2))*EXP(-(((Model_Data!A104)-Inputs!$C$42)^2)/(2*Inputs!$C$45^2))+Inputs!$C$48*(0.7*(0.45*SIN(2*PI()*(((Model_Data!A104)/Inputs!$C$49)+Inputs!$C$47*0.137))+0.35*COS(2*PI()*(((Inputs!$C$6)/Inputs!$C$50)+Inputs!$C$47*0.173))+0.2*SIN(2*PI()*(((Model_Data!A104)+(Inputs!$C$6))/(0.5*(Inputs!$C$49+Inputs!$C$50))+Inputs!$C$47*0.097)))+0.3*(2*((SIN(((Model_Data!A104)*12.9898+(Inputs!$C$6)*78.233+Inputs!$C$47*37.719))*43758.5453)-INT((SIN(((Model_Data!A104)*12.9898+(Inputs!$C$6)*78.233+Inputs!$C$47*37.719))*43758.5453)))-1)))</f>
        <v>480.61828567521798</v>
      </c>
      <c r="G104" s="9">
        <f>(Inputs!$C$51*(115*EXP(-(((0)-25)^2)/(4.5^2))+70*EXP(-(((0)+38)^2)/(7^2))*(0.55+0.45*SIN(2*PI()*(Model_Data!A104)/45))+24*SIN(2*PI()*(0)/9+(Model_Data!A104)/18)*EXP(-(((0)+5)^2)/(22^2))+18*SIN(2*PI()*(Model_Data!A104)/70))+Inputs!$C$28*EXP(-(((Model_Data!A104)-Inputs!$C$29)^2)/(2*Inputs!$C$31^2))*EXP(-(((0)-Inputs!$C$30)^2)/(2*Inputs!$C$32^2))+-Inputs!$C$33*EXP(-(((((Model_Data!A104)-Inputs!$C$34)^2)+(((0)-Inputs!$C$35)^2))/(2*Inputs!$C$36^2)))+Inputs!$C$37*(0.55*SIN(2*PI()*(Model_Data!A104)/Inputs!$C$39)+0.35*COS(2*PI()*(0)/Inputs!$C$40)+0.2*SIN(2*PI()*((Model_Data!A104)+(0))/(0.5*(Inputs!$C$39+Inputs!$C$40))))+Inputs!$C$38*SIN(2*PI()*(Model_Data!A104)/Inputs!$C$39)*SIN(2*PI()*(0)/Inputs!$C$40)+-Inputs!$C$41*EXP(-(((0)-Inputs!$C$43)^2)/(2*Inputs!$C$44^2))*EXP(-(((Model_Data!A104)-Inputs!$C$42)^2)/(2*Inputs!$C$45^2))+Inputs!$C$48*(0.7*(0.45*SIN(2*PI()*(((Model_Data!A104)/Inputs!$C$49)+Inputs!$C$47*0.137))+0.35*COS(2*PI()*(((0)/Inputs!$C$50)+Inputs!$C$47*0.173))+0.2*SIN(2*PI()*(((Model_Data!A104)+(0))/(0.5*(Inputs!$C$49+Inputs!$C$50))+Inputs!$C$47*0.097)))+0.3*(2*((SIN(((Model_Data!A104)*12.9898+(0)*78.233+Inputs!$C$47*37.719))*43758.5453)-INT((SIN(((Model_Data!A104)*12.9898+(0)*78.233+Inputs!$C$47*37.719))*43758.5453)))-1)))</f>
        <v>-47.421474838397501</v>
      </c>
      <c r="H104" s="10"/>
      <c r="I104" s="9">
        <f>Model_Data!A104</f>
        <v>-9</v>
      </c>
      <c r="J104" s="9">
        <f>(Inputs!$C$51*(115*EXP(-(((Inputs!$C$6)-25)^2)/(4.5^2))+70*EXP(-(((Inputs!$C$6)+38)^2)/(7^2))*(0.55+0.45*SIN(2*PI()*(Model_Data!A104)/45))+24*SIN(2*PI()*(Inputs!$C$6)/9+(Model_Data!A104)/18)*EXP(-(((Inputs!$C$6)+5)^2)/(22^2))+18*SIN(2*PI()*(Model_Data!A104)/70))+Inputs!$C$28*EXP(-(((Model_Data!A104)-Inputs!$C$29)^2)/(2*Inputs!$C$31^2))*EXP(-(((Inputs!$C$6)-Inputs!$C$30)^2)/(2*Inputs!$C$32^2))+-Inputs!$C$33*EXP(-(((((Model_Data!A104)-Inputs!$C$34)^2)+(((Inputs!$C$6)-Inputs!$C$35)^2))/(2*Inputs!$C$36^2)))+Inputs!$C$37*(0.55*SIN(2*PI()*(Model_Data!A104)/Inputs!$C$39)+0.35*COS(2*PI()*(Inputs!$C$6)/Inputs!$C$40)+0.2*SIN(2*PI()*((Model_Data!A104)+(Inputs!$C$6))/(0.5*(Inputs!$C$39+Inputs!$C$40))))+Inputs!$C$38*SIN(2*PI()*(Model_Data!A104)/Inputs!$C$39)*SIN(2*PI()*(Inputs!$C$6)/Inputs!$C$40)+-Inputs!$C$41*EXP(-(((Inputs!$C$6)-Inputs!$C$43)^2)/(2*Inputs!$C$44^2))*EXP(-(((Model_Data!A104)-Inputs!$C$42)^2)/(2*Inputs!$C$45^2))+Inputs!$C$48*(0.7*(0.45*SIN(2*PI()*(((Model_Data!A104)/Inputs!$C$49)+Inputs!$C$47*0.137))+0.35*COS(2*PI()*(((Inputs!$C$6)/Inputs!$C$50)+Inputs!$C$47*0.173))+0.2*SIN(2*PI()*(((Model_Data!A104)+(Inputs!$C$6))/(0.5*(Inputs!$C$49+Inputs!$C$50))+Inputs!$C$47*0.097)))+0.3*(2*((SIN(((Model_Data!A104)*12.9898+(Inputs!$C$6)*78.233+Inputs!$C$47*37.719))*43758.5453)-INT((SIN(((Model_Data!A104)*12.9898+(Inputs!$C$6)*78.233+Inputs!$C$47*37.719))*43758.5453)))-1)))</f>
        <v>480.61828567521798</v>
      </c>
      <c r="K104" s="9">
        <f>-((((SQRT((Model_Data!A104)^2+Inputs!$C$6^2+((Model_Data!B104)-((Inputs!$C$51*(115*EXP(-(((Inputs!$C$6)-25)^2)/(4.5^2))+70*EXP(-(((Inputs!$C$6)+38)^2)/(7^2))*(0.55+0.45*SIN(2*PI()*(Model_Data!A104)/45))+24*SIN(2*PI()*(Inputs!$C$6)/9+(Model_Data!A104)/18)*EXP(-(((Inputs!$C$6)+5)^2)/(22^2))+18*SIN(2*PI()*(Model_Data!A104)/70))+Inputs!$C$28*EXP(-(((Model_Data!A104)-Inputs!$C$29)^2)/(2*Inputs!$C$31^2))*EXP(-(((Inputs!$C$6)-Inputs!$C$30)^2)/(2*Inputs!$C$32^2))+-Inputs!$C$33*EXP(-(((((Model_Data!A104)-Inputs!$C$34)^2)+(((Inputs!$C$6)-Inputs!$C$35)^2))/(2*Inputs!$C$36^2)))+Inputs!$C$37*(0.55*SIN(2*PI()*(Model_Data!A104)/Inputs!$C$39)+0.35*COS(2*PI()*(Inputs!$C$6)/Inputs!$C$40)+0.2*SIN(2*PI()*((Model_Data!A104)+(Inputs!$C$6))/(0.5*(Inputs!$C$39+Inputs!$C$40))))+Inputs!$C$38*SIN(2*PI()*(Model_Data!A104)/Inputs!$C$39)*SIN(2*PI()*(Inputs!$C$6)/Inputs!$C$40)+-Inputs!$C$41*EXP(-(((Inputs!$C$6)-Inputs!$C$43)^2)/(2*Inputs!$C$44^2))*EXP(-(((Model_Data!A104)-Inputs!$C$42)^2)/(2*Inputs!$C$45^2))+Inputs!$C$48*(0.7*(0.45*SIN(2*PI()*(((Model_Data!A104)/Inputs!$C$49)+Inputs!$C$47*0.137))+0.35*COS(2*PI()*(((Inputs!$C$6)/Inputs!$C$50)+Inputs!$C$47*0.173))+0.2*SIN(2*PI()*(((Model_Data!A104)+(Inputs!$C$6))/(0.5*(Inputs!$C$49+Inputs!$C$50))+Inputs!$C$47*0.097)))+0.3*(2*((SIN(((Model_Data!A104)*12.9898+(Inputs!$C$6)*78.233+Inputs!$C$47*37.719))*43758.5453)-INT((SIN(((Model_Data!A104)*12.9898+(Inputs!$C$6)*78.233+Inputs!$C$47*37.719))*43758.5453)))-1))))/1000)^2))-(((Model_Data!B104)-((Inputs!$C$51*(115*EXP(-(((0)-25)^2)/(4.5^2))+70*EXP(-(((0)+38)^2)/(7^2))*(0.55+0.45*SIN(2*PI()*(Model_Data!A104)/45))+24*SIN(2*PI()*(0)/9+(Model_Data!A104)/18)*EXP(-(((0)+5)^2)/(22^2))+18*SIN(2*PI()*(Model_Data!A104)/70))+Inputs!$C$28*EXP(-(((Model_Data!A104)-Inputs!$C$29)^2)/(2*Inputs!$C$31^2))*EXP(-(((0)-Inputs!$C$30)^2)/(2*Inputs!$C$32^2))+-Inputs!$C$33*EXP(-(((((Model_Data!A104)-Inputs!$C$34)^2)+(((0)-Inputs!$C$35)^2))/(2*Inputs!$C$36^2)))+Inputs!$C$37*(0.55*SIN(2*PI()*(Model_Data!A104)/Inputs!$C$39)+0.35*COS(2*PI()*(0)/Inputs!$C$40)+0.2*SIN(2*PI()*((Model_Data!A104)+(0))/(0.5*(Inputs!$C$39+Inputs!$C$40))))+Inputs!$C$38*SIN(2*PI()*(Model_Data!A104)/Inputs!$C$39)*SIN(2*PI()*(0)/Inputs!$C$40)+-Inputs!$C$41*EXP(-(((0)-Inputs!$C$43)^2)/(2*Inputs!$C$44^2))*EXP(-(((Model_Data!A104)-Inputs!$C$42)^2)/(2*Inputs!$C$45^2))+Inputs!$C$48*(0.7*(0.45*SIN(2*PI()*(((Model_Data!A104)/Inputs!$C$49)+Inputs!$C$47*0.137))+0.35*COS(2*PI()*(((0)/Inputs!$C$50)+Inputs!$C$47*0.173))+0.2*SIN(2*PI()*(((Model_Data!A104)+(0))/(0.5*(Inputs!$C$49+Inputs!$C$50))+Inputs!$C$47*0.097)))+0.3*(2*((SIN(((Model_Data!A104)*12.9898+(0)*78.233+Inputs!$C$47*37.719))*43758.5453)-INT((SIN(((Model_Data!A104)*12.9898+(0)*78.233+Inputs!$C$47*37.719))*43758.5453)))-1))))/1000)))*1000/Inputs!$C$12)-Model_Data!F104)</f>
        <v>296.05735967385976</v>
      </c>
      <c r="L104" s="10"/>
      <c r="M104" s="9">
        <f>Model_Data!A104</f>
        <v>-9</v>
      </c>
      <c r="N104" s="9">
        <f>Model_Data!P104</f>
        <v>67.842456336506729</v>
      </c>
      <c r="O104" s="9">
        <f t="shared" si="2"/>
        <v>51.981456519297353</v>
      </c>
      <c r="P104" s="9">
        <f>Model_Data!Q104</f>
        <v>10.186555005481491</v>
      </c>
      <c r="Q104" s="9">
        <f t="shared" si="3"/>
        <v>7.8050235013959997</v>
      </c>
      <c r="R104" s="10"/>
      <c r="S104" s="9">
        <f>Model_Data!A104</f>
        <v>-9</v>
      </c>
      <c r="T104" s="9">
        <f>Model_Data!B104-Inputs!$C$5</f>
        <v>8.9999999999974989E-2</v>
      </c>
      <c r="U104" s="10"/>
      <c r="V104" s="9">
        <f>Model_Data!A104</f>
        <v>-9</v>
      </c>
      <c r="W104" s="9">
        <f>((SQRT((Model_Data!A104)^2+Inputs!$C$6^2+Inputs!$C$5^2)-Inputs!$C$5)*1000/Inputs!$C$12)</f>
        <v>495.24080566524378</v>
      </c>
      <c r="X104" s="9">
        <f>Model_Data!F104</f>
        <v>495.12964644237769</v>
      </c>
      <c r="Y104" s="10"/>
      <c r="Z104" s="9">
        <f>Model_Data!A104</f>
        <v>-9</v>
      </c>
      <c r="AA104" s="9">
        <f>SQRT((Model_Data!A104)^2+Inputs!$C$6^2+((Model_Data!B104)-((Inputs!$C$51*(115*EXP(-(((Inputs!$C$6)-25)^2)/(4.5^2))+70*EXP(-(((Inputs!$C$6)+38)^2)/(7^2))*(0.55+0.45*SIN(2*PI()*(Model_Data!A104)/45))+24*SIN(2*PI()*(Inputs!$C$6)/9+(Model_Data!A104)/18)*EXP(-(((Inputs!$C$6)+5)^2)/(22^2))+18*SIN(2*PI()*(Model_Data!A104)/70))+Inputs!$C$28*EXP(-(((Model_Data!A104)-Inputs!$C$29)^2)/(2*Inputs!$C$31^2))*EXP(-(((Inputs!$C$6)-Inputs!$C$30)^2)/(2*Inputs!$C$32^2))+-Inputs!$C$33*EXP(-(((((Model_Data!A104)-Inputs!$C$34)^2)+(((Inputs!$C$6)-Inputs!$C$35)^2))/(2*Inputs!$C$36^2)))+Inputs!$C$37*(0.55*SIN(2*PI()*(Model_Data!A104)/Inputs!$C$39)+0.35*COS(2*PI()*(Inputs!$C$6)/Inputs!$C$40)+0.2*SIN(2*PI()*((Model_Data!A104)+(Inputs!$C$6))/(0.5*(Inputs!$C$39+Inputs!$C$40))))+Inputs!$C$38*SIN(2*PI()*(Model_Data!A104)/Inputs!$C$39)*SIN(2*PI()*(Inputs!$C$6)/Inputs!$C$40)+-Inputs!$C$41*EXP(-(((Inputs!$C$6)-Inputs!$C$43)^2)/(2*Inputs!$C$44^2))*EXP(-(((Model_Data!A104)-Inputs!$C$42)^2)/(2*Inputs!$C$45^2))+Inputs!$C$48*(0.7*(0.45*SIN(2*PI()*(((Model_Data!A104)/Inputs!$C$49)+Inputs!$C$47*0.137))+0.35*COS(2*PI()*(((Inputs!$C$6)/Inputs!$C$50)+Inputs!$C$47*0.173))+0.2*SIN(2*PI()*(((Model_Data!A104)+(Inputs!$C$6))/(0.5*(Inputs!$C$49+Inputs!$C$50))+Inputs!$C$47*0.097)))+0.3*(2*((SIN(((Model_Data!A104)*12.9898+(Inputs!$C$6)*78.233+Inputs!$C$47*37.719))*43758.5453)-INT((SIN(((Model_Data!A104)*12.9898+(Inputs!$C$6)*78.233+Inputs!$C$47*37.719))*43758.5453)))-1))))/1000)^2)</f>
        <v>400.49177014528635</v>
      </c>
      <c r="AB104" s="9">
        <f>1000*(AA105-AA103)/(Z105-Z103)*Inputs!$C$11</f>
        <v>-129.95364129824338</v>
      </c>
      <c r="AC104" s="9">
        <f>-2*AB104/Inputs!$C$13</f>
        <v>51.981456519297353</v>
      </c>
      <c r="AD104" s="9">
        <f>-2*AB104/Inputs!$C$14</f>
        <v>7.8050235013959997</v>
      </c>
    </row>
    <row r="105" spans="1:30">
      <c r="A105" s="9">
        <f>Model_Data!A105</f>
        <v>-8.5</v>
      </c>
      <c r="B105" s="9">
        <f>((SQRT((Model_Data!A105)^2+Inputs!$C$6^2+Inputs!$C$5^2)-Inputs!$C$5)*1000/Inputs!$C$12)</f>
        <v>489.10957124835579</v>
      </c>
      <c r="C105" s="9">
        <f>Model_Data!F105</f>
        <v>489.01164245280415</v>
      </c>
      <c r="D105" s="9">
        <f>(((SQRT((Model_Data!A105)^2+Inputs!$C$6^2+((Model_Data!B105)-((Inputs!$C$51*(115*EXP(-(((Inputs!$C$6)-25)^2)/(4.5^2))+70*EXP(-(((Inputs!$C$6)+38)^2)/(7^2))*(0.55+0.45*SIN(2*PI()*(Model_Data!A105)/45))+24*SIN(2*PI()*(Inputs!$C$6)/9+(Model_Data!A105)/18)*EXP(-(((Inputs!$C$6)+5)^2)/(22^2))+18*SIN(2*PI()*(Model_Data!A105)/70))+Inputs!$C$28*EXP(-(((Model_Data!A105)-Inputs!$C$29)^2)/(2*Inputs!$C$31^2))*EXP(-(((Inputs!$C$6)-Inputs!$C$30)^2)/(2*Inputs!$C$32^2))+-Inputs!$C$33*EXP(-(((((Model_Data!A105)-Inputs!$C$34)^2)+(((Inputs!$C$6)-Inputs!$C$35)^2))/(2*Inputs!$C$36^2)))+Inputs!$C$37*(0.55*SIN(2*PI()*(Model_Data!A105)/Inputs!$C$39)+0.35*COS(2*PI()*(Inputs!$C$6)/Inputs!$C$40)+0.2*SIN(2*PI()*((Model_Data!A105)+(Inputs!$C$6))/(0.5*(Inputs!$C$39+Inputs!$C$40))))+Inputs!$C$38*SIN(2*PI()*(Model_Data!A105)/Inputs!$C$39)*SIN(2*PI()*(Inputs!$C$6)/Inputs!$C$40)+-Inputs!$C$41*EXP(-(((Inputs!$C$6)-Inputs!$C$43)^2)/(2*Inputs!$C$44^2))*EXP(-(((Model_Data!A105)-Inputs!$C$42)^2)/(2*Inputs!$C$45^2))+Inputs!$C$48*(0.7*(0.45*SIN(2*PI()*(((Model_Data!A105)/Inputs!$C$49)+Inputs!$C$47*0.137))+0.35*COS(2*PI()*(((Inputs!$C$6)/Inputs!$C$50)+Inputs!$C$47*0.173))+0.2*SIN(2*PI()*(((Model_Data!A105)+(Inputs!$C$6))/(0.5*(Inputs!$C$49+Inputs!$C$50))+Inputs!$C$47*0.097)))+0.3*(2*((SIN(((Model_Data!A105)*12.9898+(Inputs!$C$6)*78.233+Inputs!$C$47*37.719))*43758.5453)-INT((SIN(((Model_Data!A105)*12.9898+(Inputs!$C$6)*78.233+Inputs!$C$47*37.719))*43758.5453)))-1))))/1000)^2))-(((Model_Data!B105)-((Inputs!$C$51*(115*EXP(-(((0)-25)^2)/(4.5^2))+70*EXP(-(((0)+38)^2)/(7^2))*(0.55+0.45*SIN(2*PI()*(Model_Data!A105)/45))+24*SIN(2*PI()*(0)/9+(Model_Data!A105)/18)*EXP(-(((0)+5)^2)/(22^2))+18*SIN(2*PI()*(Model_Data!A105)/70))+Inputs!$C$28*EXP(-(((Model_Data!A105)-Inputs!$C$29)^2)/(2*Inputs!$C$31^2))*EXP(-(((0)-Inputs!$C$30)^2)/(2*Inputs!$C$32^2))+-Inputs!$C$33*EXP(-(((((Model_Data!A105)-Inputs!$C$34)^2)+(((0)-Inputs!$C$35)^2))/(2*Inputs!$C$36^2)))+Inputs!$C$37*(0.55*SIN(2*PI()*(Model_Data!A105)/Inputs!$C$39)+0.35*COS(2*PI()*(0)/Inputs!$C$40)+0.2*SIN(2*PI()*((Model_Data!A105)+(0))/(0.5*(Inputs!$C$39+Inputs!$C$40))))+Inputs!$C$38*SIN(2*PI()*(Model_Data!A105)/Inputs!$C$39)*SIN(2*PI()*(0)/Inputs!$C$40)+-Inputs!$C$41*EXP(-(((0)-Inputs!$C$43)^2)/(2*Inputs!$C$44^2))*EXP(-(((Model_Data!A105)-Inputs!$C$42)^2)/(2*Inputs!$C$45^2))+Inputs!$C$48*(0.7*(0.45*SIN(2*PI()*(((Model_Data!A105)/Inputs!$C$49)+Inputs!$C$47*0.137))+0.35*COS(2*PI()*(((0)/Inputs!$C$50)+Inputs!$C$47*0.173))+0.2*SIN(2*PI()*(((Model_Data!A105)+(0))/(0.5*(Inputs!$C$49+Inputs!$C$50))+Inputs!$C$47*0.097)))+0.3*(2*((SIN(((Model_Data!A105)*12.9898+(0)*78.233+Inputs!$C$47*37.719))*43758.5453)-INT((SIN(((Model_Data!A105)*12.9898+(0)*78.233+Inputs!$C$47*37.719))*43758.5453)))-1))))/1000)))*1000/Inputs!$C$12)</f>
        <v>196.05220188026033</v>
      </c>
      <c r="E105" s="9">
        <f>Model_Data!A105</f>
        <v>-8.5</v>
      </c>
      <c r="F105" s="9">
        <f>(Inputs!$C$51*(115*EXP(-(((Inputs!$C$6)-25)^2)/(4.5^2))+70*EXP(-(((Inputs!$C$6)+38)^2)/(7^2))*(0.55+0.45*SIN(2*PI()*(Model_Data!A105)/45))+24*SIN(2*PI()*(Inputs!$C$6)/9+(Model_Data!A105)/18)*EXP(-(((Inputs!$C$6)+5)^2)/(22^2))+18*SIN(2*PI()*(Model_Data!A105)/70))+Inputs!$C$28*EXP(-(((Model_Data!A105)-Inputs!$C$29)^2)/(2*Inputs!$C$31^2))*EXP(-(((Inputs!$C$6)-Inputs!$C$30)^2)/(2*Inputs!$C$32^2))+-Inputs!$C$33*EXP(-(((((Model_Data!A105)-Inputs!$C$34)^2)+(((Inputs!$C$6)-Inputs!$C$35)^2))/(2*Inputs!$C$36^2)))+Inputs!$C$37*(0.55*SIN(2*PI()*(Model_Data!A105)/Inputs!$C$39)+0.35*COS(2*PI()*(Inputs!$C$6)/Inputs!$C$40)+0.2*SIN(2*PI()*((Model_Data!A105)+(Inputs!$C$6))/(0.5*(Inputs!$C$39+Inputs!$C$40))))+Inputs!$C$38*SIN(2*PI()*(Model_Data!A105)/Inputs!$C$39)*SIN(2*PI()*(Inputs!$C$6)/Inputs!$C$40)+-Inputs!$C$41*EXP(-(((Inputs!$C$6)-Inputs!$C$43)^2)/(2*Inputs!$C$44^2))*EXP(-(((Model_Data!A105)-Inputs!$C$42)^2)/(2*Inputs!$C$45^2))+Inputs!$C$48*(0.7*(0.45*SIN(2*PI()*(((Model_Data!A105)/Inputs!$C$49)+Inputs!$C$47*0.137))+0.35*COS(2*PI()*(((Inputs!$C$6)/Inputs!$C$50)+Inputs!$C$47*0.173))+0.2*SIN(2*PI()*(((Model_Data!A105)+(Inputs!$C$6))/(0.5*(Inputs!$C$49+Inputs!$C$50))+Inputs!$C$47*0.097)))+0.3*(2*((SIN(((Model_Data!A105)*12.9898+(Inputs!$C$6)*78.233+Inputs!$C$47*37.719))*43758.5453)-INT((SIN(((Model_Data!A105)*12.9898+(Inputs!$C$6)*78.233+Inputs!$C$47*37.719))*43758.5453)))-1)))</f>
        <v>460.62061079043809</v>
      </c>
      <c r="G105" s="9">
        <f>(Inputs!$C$51*(115*EXP(-(((0)-25)^2)/(4.5^2))+70*EXP(-(((0)+38)^2)/(7^2))*(0.55+0.45*SIN(2*PI()*(Model_Data!A105)/45))+24*SIN(2*PI()*(0)/9+(Model_Data!A105)/18)*EXP(-(((0)+5)^2)/(22^2))+18*SIN(2*PI()*(Model_Data!A105)/70))+Inputs!$C$28*EXP(-(((Model_Data!A105)-Inputs!$C$29)^2)/(2*Inputs!$C$31^2))*EXP(-(((0)-Inputs!$C$30)^2)/(2*Inputs!$C$32^2))+-Inputs!$C$33*EXP(-(((((Model_Data!A105)-Inputs!$C$34)^2)+(((0)-Inputs!$C$35)^2))/(2*Inputs!$C$36^2)))+Inputs!$C$37*(0.55*SIN(2*PI()*(Model_Data!A105)/Inputs!$C$39)+0.35*COS(2*PI()*(0)/Inputs!$C$40)+0.2*SIN(2*PI()*((Model_Data!A105)+(0))/(0.5*(Inputs!$C$39+Inputs!$C$40))))+Inputs!$C$38*SIN(2*PI()*(Model_Data!A105)/Inputs!$C$39)*SIN(2*PI()*(0)/Inputs!$C$40)+-Inputs!$C$41*EXP(-(((0)-Inputs!$C$43)^2)/(2*Inputs!$C$44^2))*EXP(-(((Model_Data!A105)-Inputs!$C$42)^2)/(2*Inputs!$C$45^2))+Inputs!$C$48*(0.7*(0.45*SIN(2*PI()*(((Model_Data!A105)/Inputs!$C$49)+Inputs!$C$47*0.137))+0.35*COS(2*PI()*(((0)/Inputs!$C$50)+Inputs!$C$47*0.173))+0.2*SIN(2*PI()*(((Model_Data!A105)+(0))/(0.5*(Inputs!$C$49+Inputs!$C$50))+Inputs!$C$47*0.097)))+0.3*(2*((SIN(((Model_Data!A105)*12.9898+(0)*78.233+Inputs!$C$47*37.719))*43758.5453)-INT((SIN(((Model_Data!A105)*12.9898+(0)*78.233+Inputs!$C$47*37.719))*43758.5453)))-1)))</f>
        <v>-61.848322891668573</v>
      </c>
      <c r="H105" s="10"/>
      <c r="I105" s="9">
        <f>Model_Data!A105</f>
        <v>-8.5</v>
      </c>
      <c r="J105" s="9">
        <f>(Inputs!$C$51*(115*EXP(-(((Inputs!$C$6)-25)^2)/(4.5^2))+70*EXP(-(((Inputs!$C$6)+38)^2)/(7^2))*(0.55+0.45*SIN(2*PI()*(Model_Data!A105)/45))+24*SIN(2*PI()*(Inputs!$C$6)/9+(Model_Data!A105)/18)*EXP(-(((Inputs!$C$6)+5)^2)/(22^2))+18*SIN(2*PI()*(Model_Data!A105)/70))+Inputs!$C$28*EXP(-(((Model_Data!A105)-Inputs!$C$29)^2)/(2*Inputs!$C$31^2))*EXP(-(((Inputs!$C$6)-Inputs!$C$30)^2)/(2*Inputs!$C$32^2))+-Inputs!$C$33*EXP(-(((((Model_Data!A105)-Inputs!$C$34)^2)+(((Inputs!$C$6)-Inputs!$C$35)^2))/(2*Inputs!$C$36^2)))+Inputs!$C$37*(0.55*SIN(2*PI()*(Model_Data!A105)/Inputs!$C$39)+0.35*COS(2*PI()*(Inputs!$C$6)/Inputs!$C$40)+0.2*SIN(2*PI()*((Model_Data!A105)+(Inputs!$C$6))/(0.5*(Inputs!$C$39+Inputs!$C$40))))+Inputs!$C$38*SIN(2*PI()*(Model_Data!A105)/Inputs!$C$39)*SIN(2*PI()*(Inputs!$C$6)/Inputs!$C$40)+-Inputs!$C$41*EXP(-(((Inputs!$C$6)-Inputs!$C$43)^2)/(2*Inputs!$C$44^2))*EXP(-(((Model_Data!A105)-Inputs!$C$42)^2)/(2*Inputs!$C$45^2))+Inputs!$C$48*(0.7*(0.45*SIN(2*PI()*(((Model_Data!A105)/Inputs!$C$49)+Inputs!$C$47*0.137))+0.35*COS(2*PI()*(((Inputs!$C$6)/Inputs!$C$50)+Inputs!$C$47*0.173))+0.2*SIN(2*PI()*(((Model_Data!A105)+(Inputs!$C$6))/(0.5*(Inputs!$C$49+Inputs!$C$50))+Inputs!$C$47*0.097)))+0.3*(2*((SIN(((Model_Data!A105)*12.9898+(Inputs!$C$6)*78.233+Inputs!$C$47*37.719))*43758.5453)-INT((SIN(((Model_Data!A105)*12.9898+(Inputs!$C$6)*78.233+Inputs!$C$47*37.719))*43758.5453)))-1)))</f>
        <v>460.62061079043809</v>
      </c>
      <c r="K105" s="9">
        <f>-((((SQRT((Model_Data!A105)^2+Inputs!$C$6^2+((Model_Data!B105)-((Inputs!$C$51*(115*EXP(-(((Inputs!$C$6)-25)^2)/(4.5^2))+70*EXP(-(((Inputs!$C$6)+38)^2)/(7^2))*(0.55+0.45*SIN(2*PI()*(Model_Data!A105)/45))+24*SIN(2*PI()*(Inputs!$C$6)/9+(Model_Data!A105)/18)*EXP(-(((Inputs!$C$6)+5)^2)/(22^2))+18*SIN(2*PI()*(Model_Data!A105)/70))+Inputs!$C$28*EXP(-(((Model_Data!A105)-Inputs!$C$29)^2)/(2*Inputs!$C$31^2))*EXP(-(((Inputs!$C$6)-Inputs!$C$30)^2)/(2*Inputs!$C$32^2))+-Inputs!$C$33*EXP(-(((((Model_Data!A105)-Inputs!$C$34)^2)+(((Inputs!$C$6)-Inputs!$C$35)^2))/(2*Inputs!$C$36^2)))+Inputs!$C$37*(0.55*SIN(2*PI()*(Model_Data!A105)/Inputs!$C$39)+0.35*COS(2*PI()*(Inputs!$C$6)/Inputs!$C$40)+0.2*SIN(2*PI()*((Model_Data!A105)+(Inputs!$C$6))/(0.5*(Inputs!$C$39+Inputs!$C$40))))+Inputs!$C$38*SIN(2*PI()*(Model_Data!A105)/Inputs!$C$39)*SIN(2*PI()*(Inputs!$C$6)/Inputs!$C$40)+-Inputs!$C$41*EXP(-(((Inputs!$C$6)-Inputs!$C$43)^2)/(2*Inputs!$C$44^2))*EXP(-(((Model_Data!A105)-Inputs!$C$42)^2)/(2*Inputs!$C$45^2))+Inputs!$C$48*(0.7*(0.45*SIN(2*PI()*(((Model_Data!A105)/Inputs!$C$49)+Inputs!$C$47*0.137))+0.35*COS(2*PI()*(((Inputs!$C$6)/Inputs!$C$50)+Inputs!$C$47*0.173))+0.2*SIN(2*PI()*(((Model_Data!A105)+(Inputs!$C$6))/(0.5*(Inputs!$C$49+Inputs!$C$50))+Inputs!$C$47*0.097)))+0.3*(2*((SIN(((Model_Data!A105)*12.9898+(Inputs!$C$6)*78.233+Inputs!$C$47*37.719))*43758.5453)-INT((SIN(((Model_Data!A105)*12.9898+(Inputs!$C$6)*78.233+Inputs!$C$47*37.719))*43758.5453)))-1))))/1000)^2))-(((Model_Data!B105)-((Inputs!$C$51*(115*EXP(-(((0)-25)^2)/(4.5^2))+70*EXP(-(((0)+38)^2)/(7^2))*(0.55+0.45*SIN(2*PI()*(Model_Data!A105)/45))+24*SIN(2*PI()*(0)/9+(Model_Data!A105)/18)*EXP(-(((0)+5)^2)/(22^2))+18*SIN(2*PI()*(Model_Data!A105)/70))+Inputs!$C$28*EXP(-(((Model_Data!A105)-Inputs!$C$29)^2)/(2*Inputs!$C$31^2))*EXP(-(((0)-Inputs!$C$30)^2)/(2*Inputs!$C$32^2))+-Inputs!$C$33*EXP(-(((((Model_Data!A105)-Inputs!$C$34)^2)+(((0)-Inputs!$C$35)^2))/(2*Inputs!$C$36^2)))+Inputs!$C$37*(0.55*SIN(2*PI()*(Model_Data!A105)/Inputs!$C$39)+0.35*COS(2*PI()*(0)/Inputs!$C$40)+0.2*SIN(2*PI()*((Model_Data!A105)+(0))/(0.5*(Inputs!$C$39+Inputs!$C$40))))+Inputs!$C$38*SIN(2*PI()*(Model_Data!A105)/Inputs!$C$39)*SIN(2*PI()*(0)/Inputs!$C$40)+-Inputs!$C$41*EXP(-(((0)-Inputs!$C$43)^2)/(2*Inputs!$C$44^2))*EXP(-(((Model_Data!A105)-Inputs!$C$42)^2)/(2*Inputs!$C$45^2))+Inputs!$C$48*(0.7*(0.45*SIN(2*PI()*(((Model_Data!A105)/Inputs!$C$49)+Inputs!$C$47*0.137))+0.35*COS(2*PI()*(((0)/Inputs!$C$50)+Inputs!$C$47*0.173))+0.2*SIN(2*PI()*(((Model_Data!A105)+(0))/(0.5*(Inputs!$C$49+Inputs!$C$50))+Inputs!$C$47*0.097)))+0.3*(2*((SIN(((Model_Data!A105)*12.9898+(0)*78.233+Inputs!$C$47*37.719))*43758.5453)-INT((SIN(((Model_Data!A105)*12.9898+(0)*78.233+Inputs!$C$47*37.719))*43758.5453)))-1))))/1000)))*1000/Inputs!$C$12)-Model_Data!F105)</f>
        <v>292.95944057254383</v>
      </c>
      <c r="L105" s="10"/>
      <c r="M105" s="9">
        <f>Model_Data!A105</f>
        <v>-8.5</v>
      </c>
      <c r="N105" s="9">
        <f>Model_Data!P105</f>
        <v>64.075992076423447</v>
      </c>
      <c r="O105" s="9">
        <f t="shared" si="2"/>
        <v>56.209639896314911</v>
      </c>
      <c r="P105" s="9">
        <f>Model_Data!Q105</f>
        <v>9.621019831294813</v>
      </c>
      <c r="Q105" s="9">
        <f t="shared" si="3"/>
        <v>8.4398858703175552</v>
      </c>
      <c r="R105" s="10"/>
      <c r="S105" s="9">
        <f>Model_Data!A105</f>
        <v>-8.5</v>
      </c>
      <c r="T105" s="9">
        <f>Model_Data!B105-Inputs!$C$5</f>
        <v>8.0277777777780557E-2</v>
      </c>
      <c r="U105" s="10"/>
      <c r="V105" s="9">
        <f>Model_Data!A105</f>
        <v>-8.5</v>
      </c>
      <c r="W105" s="9">
        <f>((SQRT((Model_Data!A105)^2+Inputs!$C$6^2+Inputs!$C$5^2)-Inputs!$C$5)*1000/Inputs!$C$12)</f>
        <v>489.10957124835579</v>
      </c>
      <c r="X105" s="9">
        <f>Model_Data!F105</f>
        <v>489.01164245280415</v>
      </c>
      <c r="Y105" s="10"/>
      <c r="Z105" s="9">
        <f>Model_Data!A105</f>
        <v>-8.5</v>
      </c>
      <c r="AA105" s="9">
        <f>SQRT((Model_Data!A105)^2+Inputs!$C$6^2+((Model_Data!B105)-((Inputs!$C$51*(115*EXP(-(((Inputs!$C$6)-25)^2)/(4.5^2))+70*EXP(-(((Inputs!$C$6)+38)^2)/(7^2))*(0.55+0.45*SIN(2*PI()*(Model_Data!A105)/45))+24*SIN(2*PI()*(Inputs!$C$6)/9+(Model_Data!A105)/18)*EXP(-(((Inputs!$C$6)+5)^2)/(22^2))+18*SIN(2*PI()*(Model_Data!A105)/70))+Inputs!$C$28*EXP(-(((Model_Data!A105)-Inputs!$C$29)^2)/(2*Inputs!$C$31^2))*EXP(-(((Inputs!$C$6)-Inputs!$C$30)^2)/(2*Inputs!$C$32^2))+-Inputs!$C$33*EXP(-(((((Model_Data!A105)-Inputs!$C$34)^2)+(((Inputs!$C$6)-Inputs!$C$35)^2))/(2*Inputs!$C$36^2)))+Inputs!$C$37*(0.55*SIN(2*PI()*(Model_Data!A105)/Inputs!$C$39)+0.35*COS(2*PI()*(Inputs!$C$6)/Inputs!$C$40)+0.2*SIN(2*PI()*((Model_Data!A105)+(Inputs!$C$6))/(0.5*(Inputs!$C$39+Inputs!$C$40))))+Inputs!$C$38*SIN(2*PI()*(Model_Data!A105)/Inputs!$C$39)*SIN(2*PI()*(Inputs!$C$6)/Inputs!$C$40)+-Inputs!$C$41*EXP(-(((Inputs!$C$6)-Inputs!$C$43)^2)/(2*Inputs!$C$44^2))*EXP(-(((Model_Data!A105)-Inputs!$C$42)^2)/(2*Inputs!$C$45^2))+Inputs!$C$48*(0.7*(0.45*SIN(2*PI()*(((Model_Data!A105)/Inputs!$C$49)+Inputs!$C$47*0.137))+0.35*COS(2*PI()*(((Inputs!$C$6)/Inputs!$C$50)+Inputs!$C$47*0.173))+0.2*SIN(2*PI()*(((Model_Data!A105)+(Inputs!$C$6))/(0.5*(Inputs!$C$49+Inputs!$C$50))+Inputs!$C$47*0.097)))+0.3*(2*((SIN(((Model_Data!A105)*12.9898+(Inputs!$C$6)*78.233+Inputs!$C$47*37.719))*43758.5453)-INT((SIN(((Model_Data!A105)*12.9898+(Inputs!$C$6)*78.233+Inputs!$C$47*37.719))*43758.5453)))-1))))/1000)^2)</f>
        <v>400.49109902001629</v>
      </c>
      <c r="AB105" s="9">
        <f>1000*(AA106-AA104)/(Z106-Z104)*Inputs!$C$11</f>
        <v>-140.52409974078728</v>
      </c>
      <c r="AC105" s="9">
        <f>-2*AB105/Inputs!$C$13</f>
        <v>56.209639896314911</v>
      </c>
      <c r="AD105" s="9">
        <f>-2*AB105/Inputs!$C$14</f>
        <v>8.4398858703175552</v>
      </c>
    </row>
    <row r="106" spans="1:30">
      <c r="A106" s="9">
        <f>Model_Data!A106</f>
        <v>-8</v>
      </c>
      <c r="B106" s="9">
        <f>((SQRT((Model_Data!A106)^2+Inputs!$C$6^2+Inputs!$C$5^2)-Inputs!$C$5)*1000/Inputs!$C$12)</f>
        <v>483.32854019372718</v>
      </c>
      <c r="C106" s="9">
        <f>Model_Data!F106</f>
        <v>483.24281472300015</v>
      </c>
      <c r="D106" s="9">
        <f>(((SQRT((Model_Data!A106)^2+Inputs!$C$6^2+((Model_Data!B106)-((Inputs!$C$51*(115*EXP(-(((Inputs!$C$6)-25)^2)/(4.5^2))+70*EXP(-(((Inputs!$C$6)+38)^2)/(7^2))*(0.55+0.45*SIN(2*PI()*(Model_Data!A106)/45))+24*SIN(2*PI()*(Inputs!$C$6)/9+(Model_Data!A106)/18)*EXP(-(((Inputs!$C$6)+5)^2)/(22^2))+18*SIN(2*PI()*(Model_Data!A106)/70))+Inputs!$C$28*EXP(-(((Model_Data!A106)-Inputs!$C$29)^2)/(2*Inputs!$C$31^2))*EXP(-(((Inputs!$C$6)-Inputs!$C$30)^2)/(2*Inputs!$C$32^2))+-Inputs!$C$33*EXP(-(((((Model_Data!A106)-Inputs!$C$34)^2)+(((Inputs!$C$6)-Inputs!$C$35)^2))/(2*Inputs!$C$36^2)))+Inputs!$C$37*(0.55*SIN(2*PI()*(Model_Data!A106)/Inputs!$C$39)+0.35*COS(2*PI()*(Inputs!$C$6)/Inputs!$C$40)+0.2*SIN(2*PI()*((Model_Data!A106)+(Inputs!$C$6))/(0.5*(Inputs!$C$39+Inputs!$C$40))))+Inputs!$C$38*SIN(2*PI()*(Model_Data!A106)/Inputs!$C$39)*SIN(2*PI()*(Inputs!$C$6)/Inputs!$C$40)+-Inputs!$C$41*EXP(-(((Inputs!$C$6)-Inputs!$C$43)^2)/(2*Inputs!$C$44^2))*EXP(-(((Model_Data!A106)-Inputs!$C$42)^2)/(2*Inputs!$C$45^2))+Inputs!$C$48*(0.7*(0.45*SIN(2*PI()*(((Model_Data!A106)/Inputs!$C$49)+Inputs!$C$47*0.137))+0.35*COS(2*PI()*(((Inputs!$C$6)/Inputs!$C$50)+Inputs!$C$47*0.173))+0.2*SIN(2*PI()*(((Model_Data!A106)+(Inputs!$C$6))/(0.5*(Inputs!$C$49+Inputs!$C$50))+Inputs!$C$47*0.097)))+0.3*(2*((SIN(((Model_Data!A106)*12.9898+(Inputs!$C$6)*78.233+Inputs!$C$47*37.719))*43758.5453)-INT((SIN(((Model_Data!A106)*12.9898+(Inputs!$C$6)*78.233+Inputs!$C$47*37.719))*43758.5453)))-1))))/1000)^2))-(((Model_Data!B106)-((Inputs!$C$51*(115*EXP(-(((0)-25)^2)/(4.5^2))+70*EXP(-(((0)+38)^2)/(7^2))*(0.55+0.45*SIN(2*PI()*(Model_Data!A106)/45))+24*SIN(2*PI()*(0)/9+(Model_Data!A106)/18)*EXP(-(((0)+5)^2)/(22^2))+18*SIN(2*PI()*(Model_Data!A106)/70))+Inputs!$C$28*EXP(-(((Model_Data!A106)-Inputs!$C$29)^2)/(2*Inputs!$C$31^2))*EXP(-(((0)-Inputs!$C$30)^2)/(2*Inputs!$C$32^2))+-Inputs!$C$33*EXP(-(((((Model_Data!A106)-Inputs!$C$34)^2)+(((0)-Inputs!$C$35)^2))/(2*Inputs!$C$36^2)))+Inputs!$C$37*(0.55*SIN(2*PI()*(Model_Data!A106)/Inputs!$C$39)+0.35*COS(2*PI()*(0)/Inputs!$C$40)+0.2*SIN(2*PI()*((Model_Data!A106)+(0))/(0.5*(Inputs!$C$39+Inputs!$C$40))))+Inputs!$C$38*SIN(2*PI()*(Model_Data!A106)/Inputs!$C$39)*SIN(2*PI()*(0)/Inputs!$C$40)+-Inputs!$C$41*EXP(-(((0)-Inputs!$C$43)^2)/(2*Inputs!$C$44^2))*EXP(-(((Model_Data!A106)-Inputs!$C$42)^2)/(2*Inputs!$C$45^2))+Inputs!$C$48*(0.7*(0.45*SIN(2*PI()*(((Model_Data!A106)/Inputs!$C$49)+Inputs!$C$47*0.137))+0.35*COS(2*PI()*(((0)/Inputs!$C$50)+Inputs!$C$47*0.173))+0.2*SIN(2*PI()*(((Model_Data!A106)+(0))/(0.5*(Inputs!$C$49+Inputs!$C$50))+Inputs!$C$47*0.097)))+0.3*(2*((SIN(((Model_Data!A106)*12.9898+(0)*78.233+Inputs!$C$47*37.719))*43758.5453)-INT((SIN(((Model_Data!A106)*12.9898+(0)*78.233+Inputs!$C$47*37.719))*43758.5453)))-1))))/1000)))*1000/Inputs!$C$12)</f>
        <v>194.48708621890989</v>
      </c>
      <c r="E106" s="9">
        <f>Model_Data!A106</f>
        <v>-8</v>
      </c>
      <c r="F106" s="9">
        <f>(Inputs!$C$51*(115*EXP(-(((Inputs!$C$6)-25)^2)/(4.5^2))+70*EXP(-(((Inputs!$C$6)+38)^2)/(7^2))*(0.55+0.45*SIN(2*PI()*(Model_Data!A106)/45))+24*SIN(2*PI()*(Inputs!$C$6)/9+(Model_Data!A106)/18)*EXP(-(((Inputs!$C$6)+5)^2)/(22^2))+18*SIN(2*PI()*(Model_Data!A106)/70))+Inputs!$C$28*EXP(-(((Model_Data!A106)-Inputs!$C$29)^2)/(2*Inputs!$C$31^2))*EXP(-(((Inputs!$C$6)-Inputs!$C$30)^2)/(2*Inputs!$C$32^2))+-Inputs!$C$33*EXP(-(((((Model_Data!A106)-Inputs!$C$34)^2)+(((Inputs!$C$6)-Inputs!$C$35)^2))/(2*Inputs!$C$36^2)))+Inputs!$C$37*(0.55*SIN(2*PI()*(Model_Data!A106)/Inputs!$C$39)+0.35*COS(2*PI()*(Inputs!$C$6)/Inputs!$C$40)+0.2*SIN(2*PI()*((Model_Data!A106)+(Inputs!$C$6))/(0.5*(Inputs!$C$39+Inputs!$C$40))))+Inputs!$C$38*SIN(2*PI()*(Model_Data!A106)/Inputs!$C$39)*SIN(2*PI()*(Inputs!$C$6)/Inputs!$C$40)+-Inputs!$C$41*EXP(-(((Inputs!$C$6)-Inputs!$C$43)^2)/(2*Inputs!$C$44^2))*EXP(-(((Model_Data!A106)-Inputs!$C$42)^2)/(2*Inputs!$C$45^2))+Inputs!$C$48*(0.7*(0.45*SIN(2*PI()*(((Model_Data!A106)/Inputs!$C$49)+Inputs!$C$47*0.137))+0.35*COS(2*PI()*(((Inputs!$C$6)/Inputs!$C$50)+Inputs!$C$47*0.173))+0.2*SIN(2*PI()*(((Model_Data!A106)+(Inputs!$C$6))/(0.5*(Inputs!$C$49+Inputs!$C$50))+Inputs!$C$47*0.097)))+0.3*(2*((SIN(((Model_Data!A106)*12.9898+(Inputs!$C$6)*78.233+Inputs!$C$47*37.719))*43758.5453)-INT((SIN(((Model_Data!A106)*12.9898+(Inputs!$C$6)*78.233+Inputs!$C$47*37.719))*43758.5453)))-1)))</f>
        <v>475.66592239631382</v>
      </c>
      <c r="G106" s="9">
        <f>(Inputs!$C$51*(115*EXP(-(((0)-25)^2)/(4.5^2))+70*EXP(-(((0)+38)^2)/(7^2))*(0.55+0.45*SIN(2*PI()*(Model_Data!A106)/45))+24*SIN(2*PI()*(0)/9+(Model_Data!A106)/18)*EXP(-(((0)+5)^2)/(22^2))+18*SIN(2*PI()*(Model_Data!A106)/70))+Inputs!$C$28*EXP(-(((Model_Data!A106)-Inputs!$C$29)^2)/(2*Inputs!$C$31^2))*EXP(-(((0)-Inputs!$C$30)^2)/(2*Inputs!$C$32^2))+-Inputs!$C$33*EXP(-(((((Model_Data!A106)-Inputs!$C$34)^2)+(((0)-Inputs!$C$35)^2))/(2*Inputs!$C$36^2)))+Inputs!$C$37*(0.55*SIN(2*PI()*(Model_Data!A106)/Inputs!$C$39)+0.35*COS(2*PI()*(0)/Inputs!$C$40)+0.2*SIN(2*PI()*((Model_Data!A106)+(0))/(0.5*(Inputs!$C$39+Inputs!$C$40))))+Inputs!$C$38*SIN(2*PI()*(Model_Data!A106)/Inputs!$C$39)*SIN(2*PI()*(0)/Inputs!$C$40)+-Inputs!$C$41*EXP(-(((0)-Inputs!$C$43)^2)/(2*Inputs!$C$44^2))*EXP(-(((Model_Data!A106)-Inputs!$C$42)^2)/(2*Inputs!$C$45^2))+Inputs!$C$48*(0.7*(0.45*SIN(2*PI()*(((Model_Data!A106)/Inputs!$C$49)+Inputs!$C$47*0.137))+0.35*COS(2*PI()*(((0)/Inputs!$C$50)+Inputs!$C$47*0.173))+0.2*SIN(2*PI()*(((Model_Data!A106)+(0))/(0.5*(Inputs!$C$49+Inputs!$C$50))+Inputs!$C$47*0.097)))+0.3*(2*((SIN(((Model_Data!A106)*12.9898+(0)*78.233+Inputs!$C$47*37.719))*43758.5453)-INT((SIN(((Model_Data!A106)*12.9898+(0)*78.233+Inputs!$C$47*37.719))*43758.5453)))-1)))</f>
        <v>-39.340995770370029</v>
      </c>
      <c r="H106" s="10"/>
      <c r="I106" s="9">
        <f>Model_Data!A106</f>
        <v>-8</v>
      </c>
      <c r="J106" s="9">
        <f>(Inputs!$C$51*(115*EXP(-(((Inputs!$C$6)-25)^2)/(4.5^2))+70*EXP(-(((Inputs!$C$6)+38)^2)/(7^2))*(0.55+0.45*SIN(2*PI()*(Model_Data!A106)/45))+24*SIN(2*PI()*(Inputs!$C$6)/9+(Model_Data!A106)/18)*EXP(-(((Inputs!$C$6)+5)^2)/(22^2))+18*SIN(2*PI()*(Model_Data!A106)/70))+Inputs!$C$28*EXP(-(((Model_Data!A106)-Inputs!$C$29)^2)/(2*Inputs!$C$31^2))*EXP(-(((Inputs!$C$6)-Inputs!$C$30)^2)/(2*Inputs!$C$32^2))+-Inputs!$C$33*EXP(-(((((Model_Data!A106)-Inputs!$C$34)^2)+(((Inputs!$C$6)-Inputs!$C$35)^2))/(2*Inputs!$C$36^2)))+Inputs!$C$37*(0.55*SIN(2*PI()*(Model_Data!A106)/Inputs!$C$39)+0.35*COS(2*PI()*(Inputs!$C$6)/Inputs!$C$40)+0.2*SIN(2*PI()*((Model_Data!A106)+(Inputs!$C$6))/(0.5*(Inputs!$C$39+Inputs!$C$40))))+Inputs!$C$38*SIN(2*PI()*(Model_Data!A106)/Inputs!$C$39)*SIN(2*PI()*(Inputs!$C$6)/Inputs!$C$40)+-Inputs!$C$41*EXP(-(((Inputs!$C$6)-Inputs!$C$43)^2)/(2*Inputs!$C$44^2))*EXP(-(((Model_Data!A106)-Inputs!$C$42)^2)/(2*Inputs!$C$45^2))+Inputs!$C$48*(0.7*(0.45*SIN(2*PI()*(((Model_Data!A106)/Inputs!$C$49)+Inputs!$C$47*0.137))+0.35*COS(2*PI()*(((Inputs!$C$6)/Inputs!$C$50)+Inputs!$C$47*0.173))+0.2*SIN(2*PI()*(((Model_Data!A106)+(Inputs!$C$6))/(0.5*(Inputs!$C$49+Inputs!$C$50))+Inputs!$C$47*0.097)))+0.3*(2*((SIN(((Model_Data!A106)*12.9898+(Inputs!$C$6)*78.233+Inputs!$C$47*37.719))*43758.5453)-INT((SIN(((Model_Data!A106)*12.9898+(Inputs!$C$6)*78.233+Inputs!$C$47*37.719))*43758.5453)))-1)))</f>
        <v>475.66592239631382</v>
      </c>
      <c r="K106" s="9">
        <f>-((((SQRT((Model_Data!A106)^2+Inputs!$C$6^2+((Model_Data!B106)-((Inputs!$C$51*(115*EXP(-(((Inputs!$C$6)-25)^2)/(4.5^2))+70*EXP(-(((Inputs!$C$6)+38)^2)/(7^2))*(0.55+0.45*SIN(2*PI()*(Model_Data!A106)/45))+24*SIN(2*PI()*(Inputs!$C$6)/9+(Model_Data!A106)/18)*EXP(-(((Inputs!$C$6)+5)^2)/(22^2))+18*SIN(2*PI()*(Model_Data!A106)/70))+Inputs!$C$28*EXP(-(((Model_Data!A106)-Inputs!$C$29)^2)/(2*Inputs!$C$31^2))*EXP(-(((Inputs!$C$6)-Inputs!$C$30)^2)/(2*Inputs!$C$32^2))+-Inputs!$C$33*EXP(-(((((Model_Data!A106)-Inputs!$C$34)^2)+(((Inputs!$C$6)-Inputs!$C$35)^2))/(2*Inputs!$C$36^2)))+Inputs!$C$37*(0.55*SIN(2*PI()*(Model_Data!A106)/Inputs!$C$39)+0.35*COS(2*PI()*(Inputs!$C$6)/Inputs!$C$40)+0.2*SIN(2*PI()*((Model_Data!A106)+(Inputs!$C$6))/(0.5*(Inputs!$C$39+Inputs!$C$40))))+Inputs!$C$38*SIN(2*PI()*(Model_Data!A106)/Inputs!$C$39)*SIN(2*PI()*(Inputs!$C$6)/Inputs!$C$40)+-Inputs!$C$41*EXP(-(((Inputs!$C$6)-Inputs!$C$43)^2)/(2*Inputs!$C$44^2))*EXP(-(((Model_Data!A106)-Inputs!$C$42)^2)/(2*Inputs!$C$45^2))+Inputs!$C$48*(0.7*(0.45*SIN(2*PI()*(((Model_Data!A106)/Inputs!$C$49)+Inputs!$C$47*0.137))+0.35*COS(2*PI()*(((Inputs!$C$6)/Inputs!$C$50)+Inputs!$C$47*0.173))+0.2*SIN(2*PI()*(((Model_Data!A106)+(Inputs!$C$6))/(0.5*(Inputs!$C$49+Inputs!$C$50))+Inputs!$C$47*0.097)))+0.3*(2*((SIN(((Model_Data!A106)*12.9898+(Inputs!$C$6)*78.233+Inputs!$C$47*37.719))*43758.5453)-INT((SIN(((Model_Data!A106)*12.9898+(Inputs!$C$6)*78.233+Inputs!$C$47*37.719))*43758.5453)))-1))))/1000)^2))-(((Model_Data!B106)-((Inputs!$C$51*(115*EXP(-(((0)-25)^2)/(4.5^2))+70*EXP(-(((0)+38)^2)/(7^2))*(0.55+0.45*SIN(2*PI()*(Model_Data!A106)/45))+24*SIN(2*PI()*(0)/9+(Model_Data!A106)/18)*EXP(-(((0)+5)^2)/(22^2))+18*SIN(2*PI()*(Model_Data!A106)/70))+Inputs!$C$28*EXP(-(((Model_Data!A106)-Inputs!$C$29)^2)/(2*Inputs!$C$31^2))*EXP(-(((0)-Inputs!$C$30)^2)/(2*Inputs!$C$32^2))+-Inputs!$C$33*EXP(-(((((Model_Data!A106)-Inputs!$C$34)^2)+(((0)-Inputs!$C$35)^2))/(2*Inputs!$C$36^2)))+Inputs!$C$37*(0.55*SIN(2*PI()*(Model_Data!A106)/Inputs!$C$39)+0.35*COS(2*PI()*(0)/Inputs!$C$40)+0.2*SIN(2*PI()*((Model_Data!A106)+(0))/(0.5*(Inputs!$C$39+Inputs!$C$40))))+Inputs!$C$38*SIN(2*PI()*(Model_Data!A106)/Inputs!$C$39)*SIN(2*PI()*(0)/Inputs!$C$40)+-Inputs!$C$41*EXP(-(((0)-Inputs!$C$43)^2)/(2*Inputs!$C$44^2))*EXP(-(((Model_Data!A106)-Inputs!$C$42)^2)/(2*Inputs!$C$45^2))+Inputs!$C$48*(0.7*(0.45*SIN(2*PI()*(((Model_Data!A106)/Inputs!$C$49)+Inputs!$C$47*0.137))+0.35*COS(2*PI()*(((0)/Inputs!$C$50)+Inputs!$C$47*0.173))+0.2*SIN(2*PI()*(((Model_Data!A106)+(0))/(0.5*(Inputs!$C$49+Inputs!$C$50))+Inputs!$C$47*0.097)))+0.3*(2*((SIN(((Model_Data!A106)*12.9898+(0)*78.233+Inputs!$C$47*37.719))*43758.5453)-INT((SIN(((Model_Data!A106)*12.9898+(0)*78.233+Inputs!$C$47*37.719))*43758.5453)))-1))))/1000)))*1000/Inputs!$C$12)-Model_Data!F106)</f>
        <v>288.75572850409026</v>
      </c>
      <c r="L106" s="10"/>
      <c r="M106" s="9">
        <f>Model_Data!A106</f>
        <v>-8</v>
      </c>
      <c r="N106" s="9">
        <f>Model_Data!P106</f>
        <v>60.309089112531943</v>
      </c>
      <c r="O106" s="9">
        <f t="shared" si="2"/>
        <v>75.742287177672551</v>
      </c>
      <c r="P106" s="9">
        <f>Model_Data!Q106</f>
        <v>9.0554187856654575</v>
      </c>
      <c r="Q106" s="9">
        <f t="shared" si="3"/>
        <v>11.372715792443326</v>
      </c>
      <c r="R106" s="10"/>
      <c r="S106" s="9">
        <f>Model_Data!A106</f>
        <v>-8</v>
      </c>
      <c r="T106" s="9">
        <f>Model_Data!B106-Inputs!$C$5</f>
        <v>7.1111111111122227E-2</v>
      </c>
      <c r="U106" s="10"/>
      <c r="V106" s="9">
        <f>Model_Data!A106</f>
        <v>-8</v>
      </c>
      <c r="W106" s="9">
        <f>((SQRT((Model_Data!A106)^2+Inputs!$C$6^2+Inputs!$C$5^2)-Inputs!$C$5)*1000/Inputs!$C$12)</f>
        <v>483.32854019372718</v>
      </c>
      <c r="X106" s="9">
        <f>Model_Data!F106</f>
        <v>483.24281472300015</v>
      </c>
      <c r="Y106" s="10"/>
      <c r="Z106" s="9">
        <f>Model_Data!A106</f>
        <v>-8</v>
      </c>
      <c r="AA106" s="9">
        <f>SQRT((Model_Data!A106)^2+Inputs!$C$6^2+((Model_Data!B106)-((Inputs!$C$51*(115*EXP(-(((Inputs!$C$6)-25)^2)/(4.5^2))+70*EXP(-(((Inputs!$C$6)+38)^2)/(7^2))*(0.55+0.45*SIN(2*PI()*(Model_Data!A106)/45))+24*SIN(2*PI()*(Inputs!$C$6)/9+(Model_Data!A106)/18)*EXP(-(((Inputs!$C$6)+5)^2)/(22^2))+18*SIN(2*PI()*(Model_Data!A106)/70))+Inputs!$C$28*EXP(-(((Model_Data!A106)-Inputs!$C$29)^2)/(2*Inputs!$C$31^2))*EXP(-(((Inputs!$C$6)-Inputs!$C$30)^2)/(2*Inputs!$C$32^2))+-Inputs!$C$33*EXP(-(((((Model_Data!A106)-Inputs!$C$34)^2)+(((Inputs!$C$6)-Inputs!$C$35)^2))/(2*Inputs!$C$36^2)))+Inputs!$C$37*(0.55*SIN(2*PI()*(Model_Data!A106)/Inputs!$C$39)+0.35*COS(2*PI()*(Inputs!$C$6)/Inputs!$C$40)+0.2*SIN(2*PI()*((Model_Data!A106)+(Inputs!$C$6))/(0.5*(Inputs!$C$39+Inputs!$C$40))))+Inputs!$C$38*SIN(2*PI()*(Model_Data!A106)/Inputs!$C$39)*SIN(2*PI()*(Inputs!$C$6)/Inputs!$C$40)+-Inputs!$C$41*EXP(-(((Inputs!$C$6)-Inputs!$C$43)^2)/(2*Inputs!$C$44^2))*EXP(-(((Model_Data!A106)-Inputs!$C$42)^2)/(2*Inputs!$C$45^2))+Inputs!$C$48*(0.7*(0.45*SIN(2*PI()*(((Model_Data!A106)/Inputs!$C$49)+Inputs!$C$47*0.137))+0.35*COS(2*PI()*(((Inputs!$C$6)/Inputs!$C$50)+Inputs!$C$47*0.173))+0.2*SIN(2*PI()*(((Model_Data!A106)+(Inputs!$C$6))/(0.5*(Inputs!$C$49+Inputs!$C$50))+Inputs!$C$47*0.097)))+0.3*(2*((SIN(((Model_Data!A106)*12.9898+(Inputs!$C$6)*78.233+Inputs!$C$47*37.719))*43758.5453)-INT((SIN(((Model_Data!A106)*12.9898+(Inputs!$C$6)*78.233+Inputs!$C$47*37.719))*43758.5453)))-1))))/1000)^2)</f>
        <v>400.45663912035116</v>
      </c>
      <c r="AB106" s="9">
        <f>1000*(AA107-AA105)/(Z107-Z105)*Inputs!$C$11</f>
        <v>-189.35571794418138</v>
      </c>
      <c r="AC106" s="9">
        <f>-2*AB106/Inputs!$C$13</f>
        <v>75.742287177672551</v>
      </c>
      <c r="AD106" s="9">
        <f>-2*AB106/Inputs!$C$14</f>
        <v>11.372715792443326</v>
      </c>
    </row>
    <row r="107" spans="1:30">
      <c r="A107" s="9">
        <f>Model_Data!A107</f>
        <v>-7.5</v>
      </c>
      <c r="B107" s="9">
        <f>((SQRT((Model_Data!A107)^2+Inputs!$C$6^2+Inputs!$C$5^2)-Inputs!$C$5)*1000/Inputs!$C$12)</f>
        <v>477.89773947151639</v>
      </c>
      <c r="C107" s="9">
        <f>Model_Data!F107</f>
        <v>477.82323801636795</v>
      </c>
      <c r="D107" s="9">
        <f>(((SQRT((Model_Data!A107)^2+Inputs!$C$6^2+((Model_Data!B107)-((Inputs!$C$51*(115*EXP(-(((Inputs!$C$6)-25)^2)/(4.5^2))+70*EXP(-(((Inputs!$C$6)+38)^2)/(7^2))*(0.55+0.45*SIN(2*PI()*(Model_Data!A107)/45))+24*SIN(2*PI()*(Inputs!$C$6)/9+(Model_Data!A107)/18)*EXP(-(((Inputs!$C$6)+5)^2)/(22^2))+18*SIN(2*PI()*(Model_Data!A107)/70))+Inputs!$C$28*EXP(-(((Model_Data!A107)-Inputs!$C$29)^2)/(2*Inputs!$C$31^2))*EXP(-(((Inputs!$C$6)-Inputs!$C$30)^2)/(2*Inputs!$C$32^2))+-Inputs!$C$33*EXP(-(((((Model_Data!A107)-Inputs!$C$34)^2)+(((Inputs!$C$6)-Inputs!$C$35)^2))/(2*Inputs!$C$36^2)))+Inputs!$C$37*(0.55*SIN(2*PI()*(Model_Data!A107)/Inputs!$C$39)+0.35*COS(2*PI()*(Inputs!$C$6)/Inputs!$C$40)+0.2*SIN(2*PI()*((Model_Data!A107)+(Inputs!$C$6))/(0.5*(Inputs!$C$39+Inputs!$C$40))))+Inputs!$C$38*SIN(2*PI()*(Model_Data!A107)/Inputs!$C$39)*SIN(2*PI()*(Inputs!$C$6)/Inputs!$C$40)+-Inputs!$C$41*EXP(-(((Inputs!$C$6)-Inputs!$C$43)^2)/(2*Inputs!$C$44^2))*EXP(-(((Model_Data!A107)-Inputs!$C$42)^2)/(2*Inputs!$C$45^2))+Inputs!$C$48*(0.7*(0.45*SIN(2*PI()*(((Model_Data!A107)/Inputs!$C$49)+Inputs!$C$47*0.137))+0.35*COS(2*PI()*(((Inputs!$C$6)/Inputs!$C$50)+Inputs!$C$47*0.173))+0.2*SIN(2*PI()*(((Model_Data!A107)+(Inputs!$C$6))/(0.5*(Inputs!$C$49+Inputs!$C$50))+Inputs!$C$47*0.097)))+0.3*(2*((SIN(((Model_Data!A107)*12.9898+(Inputs!$C$6)*78.233+Inputs!$C$47*37.719))*43758.5453)-INT((SIN(((Model_Data!A107)*12.9898+(Inputs!$C$6)*78.233+Inputs!$C$47*37.719))*43758.5453)))-1))))/1000)^2))-(((Model_Data!B107)-((Inputs!$C$51*(115*EXP(-(((0)-25)^2)/(4.5^2))+70*EXP(-(((0)+38)^2)/(7^2))*(0.55+0.45*SIN(2*PI()*(Model_Data!A107)/45))+24*SIN(2*PI()*(0)/9+(Model_Data!A107)/18)*EXP(-(((0)+5)^2)/(22^2))+18*SIN(2*PI()*(Model_Data!A107)/70))+Inputs!$C$28*EXP(-(((Model_Data!A107)-Inputs!$C$29)^2)/(2*Inputs!$C$31^2))*EXP(-(((0)-Inputs!$C$30)^2)/(2*Inputs!$C$32^2))+-Inputs!$C$33*EXP(-(((((Model_Data!A107)-Inputs!$C$34)^2)+(((0)-Inputs!$C$35)^2))/(2*Inputs!$C$36^2)))+Inputs!$C$37*(0.55*SIN(2*PI()*(Model_Data!A107)/Inputs!$C$39)+0.35*COS(2*PI()*(0)/Inputs!$C$40)+0.2*SIN(2*PI()*((Model_Data!A107)+(0))/(0.5*(Inputs!$C$39+Inputs!$C$40))))+Inputs!$C$38*SIN(2*PI()*(Model_Data!A107)/Inputs!$C$39)*SIN(2*PI()*(0)/Inputs!$C$40)+-Inputs!$C$41*EXP(-(((0)-Inputs!$C$43)^2)/(2*Inputs!$C$44^2))*EXP(-(((Model_Data!A107)-Inputs!$C$42)^2)/(2*Inputs!$C$45^2))+Inputs!$C$48*(0.7*(0.45*SIN(2*PI()*(((Model_Data!A107)/Inputs!$C$49)+Inputs!$C$47*0.137))+0.35*COS(2*PI()*(((0)/Inputs!$C$50)+Inputs!$C$47*0.173))+0.2*SIN(2*PI()*(((Model_Data!A107)+(0))/(0.5*(Inputs!$C$49+Inputs!$C$50))+Inputs!$C$47*0.097)))+0.3*(2*((SIN(((Model_Data!A107)*12.9898+(0)*78.233+Inputs!$C$47*37.719))*43758.5453)-INT((SIN(((Model_Data!A107)*12.9898+(0)*78.233+Inputs!$C$47*37.719))*43758.5453)))-1))))/1000)))*1000/Inputs!$C$12)</f>
        <v>189.90802195427415</v>
      </c>
      <c r="E107" s="9">
        <f>Model_Data!A107</f>
        <v>-7.5</v>
      </c>
      <c r="F107" s="9">
        <f>(Inputs!$C$51*(115*EXP(-(((Inputs!$C$6)-25)^2)/(4.5^2))+70*EXP(-(((Inputs!$C$6)+38)^2)/(7^2))*(0.55+0.45*SIN(2*PI()*(Model_Data!A107)/45))+24*SIN(2*PI()*(Inputs!$C$6)/9+(Model_Data!A107)/18)*EXP(-(((Inputs!$C$6)+5)^2)/(22^2))+18*SIN(2*PI()*(Model_Data!A107)/70))+Inputs!$C$28*EXP(-(((Model_Data!A107)-Inputs!$C$29)^2)/(2*Inputs!$C$31^2))*EXP(-(((Inputs!$C$6)-Inputs!$C$30)^2)/(2*Inputs!$C$32^2))+-Inputs!$C$33*EXP(-(((((Model_Data!A107)-Inputs!$C$34)^2)+(((Inputs!$C$6)-Inputs!$C$35)^2))/(2*Inputs!$C$36^2)))+Inputs!$C$37*(0.55*SIN(2*PI()*(Model_Data!A107)/Inputs!$C$39)+0.35*COS(2*PI()*(Inputs!$C$6)/Inputs!$C$40)+0.2*SIN(2*PI()*((Model_Data!A107)+(Inputs!$C$6))/(0.5*(Inputs!$C$39+Inputs!$C$40))))+Inputs!$C$38*SIN(2*PI()*(Model_Data!A107)/Inputs!$C$39)*SIN(2*PI()*(Inputs!$C$6)/Inputs!$C$40)+-Inputs!$C$41*EXP(-(((Inputs!$C$6)-Inputs!$C$43)^2)/(2*Inputs!$C$44^2))*EXP(-(((Model_Data!A107)-Inputs!$C$42)^2)/(2*Inputs!$C$45^2))+Inputs!$C$48*(0.7*(0.45*SIN(2*PI()*(((Model_Data!A107)/Inputs!$C$49)+Inputs!$C$47*0.137))+0.35*COS(2*PI()*(((Inputs!$C$6)/Inputs!$C$50)+Inputs!$C$47*0.173))+0.2*SIN(2*PI()*(((Model_Data!A107)+(Inputs!$C$6))/(0.5*(Inputs!$C$49+Inputs!$C$50))+Inputs!$C$47*0.097)))+0.3*(2*((SIN(((Model_Data!A107)*12.9898+(Inputs!$C$6)*78.233+Inputs!$C$47*37.719))*43758.5453)-INT((SIN(((Model_Data!A107)*12.9898+(Inputs!$C$6)*78.233+Inputs!$C$47*37.719))*43758.5453)))-1)))</f>
        <v>470.26409514391321</v>
      </c>
      <c r="G107" s="9">
        <f>(Inputs!$C$51*(115*EXP(-(((0)-25)^2)/(4.5^2))+70*EXP(-(((0)+38)^2)/(7^2))*(0.55+0.45*SIN(2*PI()*(Model_Data!A107)/45))+24*SIN(2*PI()*(0)/9+(Model_Data!A107)/18)*EXP(-(((0)+5)^2)/(22^2))+18*SIN(2*PI()*(Model_Data!A107)/70))+Inputs!$C$28*EXP(-(((Model_Data!A107)-Inputs!$C$29)^2)/(2*Inputs!$C$31^2))*EXP(-(((0)-Inputs!$C$30)^2)/(2*Inputs!$C$32^2))+-Inputs!$C$33*EXP(-(((((Model_Data!A107)-Inputs!$C$34)^2)+(((0)-Inputs!$C$35)^2))/(2*Inputs!$C$36^2)))+Inputs!$C$37*(0.55*SIN(2*PI()*(Model_Data!A107)/Inputs!$C$39)+0.35*COS(2*PI()*(0)/Inputs!$C$40)+0.2*SIN(2*PI()*((Model_Data!A107)+(0))/(0.5*(Inputs!$C$39+Inputs!$C$40))))+Inputs!$C$38*SIN(2*PI()*(Model_Data!A107)/Inputs!$C$39)*SIN(2*PI()*(0)/Inputs!$C$40)+-Inputs!$C$41*EXP(-(((0)-Inputs!$C$43)^2)/(2*Inputs!$C$44^2))*EXP(-(((Model_Data!A107)-Inputs!$C$42)^2)/(2*Inputs!$C$45^2))+Inputs!$C$48*(0.7*(0.45*SIN(2*PI()*(((Model_Data!A107)/Inputs!$C$49)+Inputs!$C$47*0.137))+0.35*COS(2*PI()*(((0)/Inputs!$C$50)+Inputs!$C$47*0.173))+0.2*SIN(2*PI()*(((Model_Data!A107)+(0))/(0.5*(Inputs!$C$49+Inputs!$C$50))+Inputs!$C$47*0.097)))+0.3*(2*((SIN(((Model_Data!A107)*12.9898+(0)*78.233+Inputs!$C$47*37.719))*43758.5453)-INT((SIN(((Model_Data!A107)*12.9898+(0)*78.233+Inputs!$C$47*37.719))*43758.5453)))-1)))</f>
        <v>-43.223811451652651</v>
      </c>
      <c r="H107" s="10"/>
      <c r="I107" s="9">
        <f>Model_Data!A107</f>
        <v>-7.5</v>
      </c>
      <c r="J107" s="9">
        <f>(Inputs!$C$51*(115*EXP(-(((Inputs!$C$6)-25)^2)/(4.5^2))+70*EXP(-(((Inputs!$C$6)+38)^2)/(7^2))*(0.55+0.45*SIN(2*PI()*(Model_Data!A107)/45))+24*SIN(2*PI()*(Inputs!$C$6)/9+(Model_Data!A107)/18)*EXP(-(((Inputs!$C$6)+5)^2)/(22^2))+18*SIN(2*PI()*(Model_Data!A107)/70))+Inputs!$C$28*EXP(-(((Model_Data!A107)-Inputs!$C$29)^2)/(2*Inputs!$C$31^2))*EXP(-(((Inputs!$C$6)-Inputs!$C$30)^2)/(2*Inputs!$C$32^2))+-Inputs!$C$33*EXP(-(((((Model_Data!A107)-Inputs!$C$34)^2)+(((Inputs!$C$6)-Inputs!$C$35)^2))/(2*Inputs!$C$36^2)))+Inputs!$C$37*(0.55*SIN(2*PI()*(Model_Data!A107)/Inputs!$C$39)+0.35*COS(2*PI()*(Inputs!$C$6)/Inputs!$C$40)+0.2*SIN(2*PI()*((Model_Data!A107)+(Inputs!$C$6))/(0.5*(Inputs!$C$39+Inputs!$C$40))))+Inputs!$C$38*SIN(2*PI()*(Model_Data!A107)/Inputs!$C$39)*SIN(2*PI()*(Inputs!$C$6)/Inputs!$C$40)+-Inputs!$C$41*EXP(-(((Inputs!$C$6)-Inputs!$C$43)^2)/(2*Inputs!$C$44^2))*EXP(-(((Model_Data!A107)-Inputs!$C$42)^2)/(2*Inputs!$C$45^2))+Inputs!$C$48*(0.7*(0.45*SIN(2*PI()*(((Model_Data!A107)/Inputs!$C$49)+Inputs!$C$47*0.137))+0.35*COS(2*PI()*(((Inputs!$C$6)/Inputs!$C$50)+Inputs!$C$47*0.173))+0.2*SIN(2*PI()*(((Model_Data!A107)+(Inputs!$C$6))/(0.5*(Inputs!$C$49+Inputs!$C$50))+Inputs!$C$47*0.097)))+0.3*(2*((SIN(((Model_Data!A107)*12.9898+(Inputs!$C$6)*78.233+Inputs!$C$47*37.719))*43758.5453)-INT((SIN(((Model_Data!A107)*12.9898+(Inputs!$C$6)*78.233+Inputs!$C$47*37.719))*43758.5453)))-1)))</f>
        <v>470.26409514391321</v>
      </c>
      <c r="K107" s="9">
        <f>-((((SQRT((Model_Data!A107)^2+Inputs!$C$6^2+((Model_Data!B107)-((Inputs!$C$51*(115*EXP(-(((Inputs!$C$6)-25)^2)/(4.5^2))+70*EXP(-(((Inputs!$C$6)+38)^2)/(7^2))*(0.55+0.45*SIN(2*PI()*(Model_Data!A107)/45))+24*SIN(2*PI()*(Inputs!$C$6)/9+(Model_Data!A107)/18)*EXP(-(((Inputs!$C$6)+5)^2)/(22^2))+18*SIN(2*PI()*(Model_Data!A107)/70))+Inputs!$C$28*EXP(-(((Model_Data!A107)-Inputs!$C$29)^2)/(2*Inputs!$C$31^2))*EXP(-(((Inputs!$C$6)-Inputs!$C$30)^2)/(2*Inputs!$C$32^2))+-Inputs!$C$33*EXP(-(((((Model_Data!A107)-Inputs!$C$34)^2)+(((Inputs!$C$6)-Inputs!$C$35)^2))/(2*Inputs!$C$36^2)))+Inputs!$C$37*(0.55*SIN(2*PI()*(Model_Data!A107)/Inputs!$C$39)+0.35*COS(2*PI()*(Inputs!$C$6)/Inputs!$C$40)+0.2*SIN(2*PI()*((Model_Data!A107)+(Inputs!$C$6))/(0.5*(Inputs!$C$39+Inputs!$C$40))))+Inputs!$C$38*SIN(2*PI()*(Model_Data!A107)/Inputs!$C$39)*SIN(2*PI()*(Inputs!$C$6)/Inputs!$C$40)+-Inputs!$C$41*EXP(-(((Inputs!$C$6)-Inputs!$C$43)^2)/(2*Inputs!$C$44^2))*EXP(-(((Model_Data!A107)-Inputs!$C$42)^2)/(2*Inputs!$C$45^2))+Inputs!$C$48*(0.7*(0.45*SIN(2*PI()*(((Model_Data!A107)/Inputs!$C$49)+Inputs!$C$47*0.137))+0.35*COS(2*PI()*(((Inputs!$C$6)/Inputs!$C$50)+Inputs!$C$47*0.173))+0.2*SIN(2*PI()*(((Model_Data!A107)+(Inputs!$C$6))/(0.5*(Inputs!$C$49+Inputs!$C$50))+Inputs!$C$47*0.097)))+0.3*(2*((SIN(((Model_Data!A107)*12.9898+(Inputs!$C$6)*78.233+Inputs!$C$47*37.719))*43758.5453)-INT((SIN(((Model_Data!A107)*12.9898+(Inputs!$C$6)*78.233+Inputs!$C$47*37.719))*43758.5453)))-1))))/1000)^2))-(((Model_Data!B107)-((Inputs!$C$51*(115*EXP(-(((0)-25)^2)/(4.5^2))+70*EXP(-(((0)+38)^2)/(7^2))*(0.55+0.45*SIN(2*PI()*(Model_Data!A107)/45))+24*SIN(2*PI()*(0)/9+(Model_Data!A107)/18)*EXP(-(((0)+5)^2)/(22^2))+18*SIN(2*PI()*(Model_Data!A107)/70))+Inputs!$C$28*EXP(-(((Model_Data!A107)-Inputs!$C$29)^2)/(2*Inputs!$C$31^2))*EXP(-(((0)-Inputs!$C$30)^2)/(2*Inputs!$C$32^2))+-Inputs!$C$33*EXP(-(((((Model_Data!A107)-Inputs!$C$34)^2)+(((0)-Inputs!$C$35)^2))/(2*Inputs!$C$36^2)))+Inputs!$C$37*(0.55*SIN(2*PI()*(Model_Data!A107)/Inputs!$C$39)+0.35*COS(2*PI()*(0)/Inputs!$C$40)+0.2*SIN(2*PI()*((Model_Data!A107)+(0))/(0.5*(Inputs!$C$39+Inputs!$C$40))))+Inputs!$C$38*SIN(2*PI()*(Model_Data!A107)/Inputs!$C$39)*SIN(2*PI()*(0)/Inputs!$C$40)+-Inputs!$C$41*EXP(-(((0)-Inputs!$C$43)^2)/(2*Inputs!$C$44^2))*EXP(-(((Model_Data!A107)-Inputs!$C$42)^2)/(2*Inputs!$C$45^2))+Inputs!$C$48*(0.7*(0.45*SIN(2*PI()*(((Model_Data!A107)/Inputs!$C$49)+Inputs!$C$47*0.137))+0.35*COS(2*PI()*(((0)/Inputs!$C$50)+Inputs!$C$47*0.173))+0.2*SIN(2*PI()*(((Model_Data!A107)+(0))/(0.5*(Inputs!$C$49+Inputs!$C$50))+Inputs!$C$47*0.097)))+0.3*(2*((SIN(((Model_Data!A107)*12.9898+(0)*78.233+Inputs!$C$47*37.719))*43758.5453)-INT((SIN(((Model_Data!A107)*12.9898+(0)*78.233+Inputs!$C$47*37.719))*43758.5453)))-1))))/1000)))*1000/Inputs!$C$12)-Model_Data!F107)</f>
        <v>287.9152160620938</v>
      </c>
      <c r="L107" s="10"/>
      <c r="M107" s="9">
        <f>Model_Data!A107</f>
        <v>-7.5</v>
      </c>
      <c r="N107" s="9">
        <f>Model_Data!P107</f>
        <v>56.541773150849451</v>
      </c>
      <c r="O107" s="9">
        <f t="shared" si="2"/>
        <v>4.3530116269721475</v>
      </c>
      <c r="P107" s="9">
        <f>Model_Data!Q107</f>
        <v>8.4897557283557745</v>
      </c>
      <c r="Q107" s="9">
        <f t="shared" si="3"/>
        <v>0.65360534939521742</v>
      </c>
      <c r="R107" s="10"/>
      <c r="S107" s="9">
        <f>Model_Data!A107</f>
        <v>-7.5</v>
      </c>
      <c r="T107" s="9">
        <f>Model_Data!B107-Inputs!$C$5</f>
        <v>6.25E-2</v>
      </c>
      <c r="U107" s="10"/>
      <c r="V107" s="9">
        <f>Model_Data!A107</f>
        <v>-7.5</v>
      </c>
      <c r="W107" s="9">
        <f>((SQRT((Model_Data!A107)^2+Inputs!$C$6^2+Inputs!$C$5^2)-Inputs!$C$5)*1000/Inputs!$C$12)</f>
        <v>477.89773947151639</v>
      </c>
      <c r="X107" s="9">
        <f>Model_Data!F107</f>
        <v>477.82323801636795</v>
      </c>
      <c r="Y107" s="10"/>
      <c r="Z107" s="9">
        <f>Model_Data!A107</f>
        <v>-7.5</v>
      </c>
      <c r="AA107" s="9">
        <f>SQRT((Model_Data!A107)^2+Inputs!$C$6^2+((Model_Data!B107)-((Inputs!$C$51*(115*EXP(-(((Inputs!$C$6)-25)^2)/(4.5^2))+70*EXP(-(((Inputs!$C$6)+38)^2)/(7^2))*(0.55+0.45*SIN(2*PI()*(Model_Data!A107)/45))+24*SIN(2*PI()*(Inputs!$C$6)/9+(Model_Data!A107)/18)*EXP(-(((Inputs!$C$6)+5)^2)/(22^2))+18*SIN(2*PI()*(Model_Data!A107)/70))+Inputs!$C$28*EXP(-(((Model_Data!A107)-Inputs!$C$29)^2)/(2*Inputs!$C$31^2))*EXP(-(((Inputs!$C$6)-Inputs!$C$30)^2)/(2*Inputs!$C$32^2))+-Inputs!$C$33*EXP(-(((((Model_Data!A107)-Inputs!$C$34)^2)+(((Inputs!$C$6)-Inputs!$C$35)^2))/(2*Inputs!$C$36^2)))+Inputs!$C$37*(0.55*SIN(2*PI()*(Model_Data!A107)/Inputs!$C$39)+0.35*COS(2*PI()*(Inputs!$C$6)/Inputs!$C$40)+0.2*SIN(2*PI()*((Model_Data!A107)+(Inputs!$C$6))/(0.5*(Inputs!$C$39+Inputs!$C$40))))+Inputs!$C$38*SIN(2*PI()*(Model_Data!A107)/Inputs!$C$39)*SIN(2*PI()*(Inputs!$C$6)/Inputs!$C$40)+-Inputs!$C$41*EXP(-(((Inputs!$C$6)-Inputs!$C$43)^2)/(2*Inputs!$C$44^2))*EXP(-(((Model_Data!A107)-Inputs!$C$42)^2)/(2*Inputs!$C$45^2))+Inputs!$C$48*(0.7*(0.45*SIN(2*PI()*(((Model_Data!A107)/Inputs!$C$49)+Inputs!$C$47*0.137))+0.35*COS(2*PI()*(((Inputs!$C$6)/Inputs!$C$50)+Inputs!$C$47*0.173))+0.2*SIN(2*PI()*(((Model_Data!A107)+(Inputs!$C$6))/(0.5*(Inputs!$C$49+Inputs!$C$50))+Inputs!$C$47*0.097)))+0.3*(2*((SIN(((Model_Data!A107)*12.9898+(Inputs!$C$6)*78.233+Inputs!$C$47*37.719))*43758.5453)-INT((SIN(((Model_Data!A107)*12.9898+(Inputs!$C$6)*78.233+Inputs!$C$47*37.719))*43758.5453)))-1))))/1000)^2)</f>
        <v>400.44376009053025</v>
      </c>
      <c r="AB107" s="9">
        <f>1000*(AA108-AA106)/(Z108-Z106)*Inputs!$C$11</f>
        <v>-10.882529067430369</v>
      </c>
      <c r="AC107" s="9">
        <f>-2*AB107/Inputs!$C$13</f>
        <v>4.3530116269721475</v>
      </c>
      <c r="AD107" s="9">
        <f>-2*AB107/Inputs!$C$14</f>
        <v>0.65360534939521742</v>
      </c>
    </row>
    <row r="108" spans="1:30">
      <c r="A108" s="9">
        <f>Model_Data!A108</f>
        <v>-7</v>
      </c>
      <c r="B108" s="9">
        <f>((SQRT((Model_Data!A108)^2+Inputs!$C$6^2+Inputs!$C$5^2)-Inputs!$C$5)*1000/Inputs!$C$12)</f>
        <v>472.81719442053964</v>
      </c>
      <c r="C108" s="9">
        <f>Model_Data!F108</f>
        <v>472.75298258166532</v>
      </c>
      <c r="D108" s="9">
        <f>(((SQRT((Model_Data!A108)^2+Inputs!$C$6^2+((Model_Data!B108)-((Inputs!$C$51*(115*EXP(-(((Inputs!$C$6)-25)^2)/(4.5^2))+70*EXP(-(((Inputs!$C$6)+38)^2)/(7^2))*(0.55+0.45*SIN(2*PI()*(Model_Data!A108)/45))+24*SIN(2*PI()*(Inputs!$C$6)/9+(Model_Data!A108)/18)*EXP(-(((Inputs!$C$6)+5)^2)/(22^2))+18*SIN(2*PI()*(Model_Data!A108)/70))+Inputs!$C$28*EXP(-(((Model_Data!A108)-Inputs!$C$29)^2)/(2*Inputs!$C$31^2))*EXP(-(((Inputs!$C$6)-Inputs!$C$30)^2)/(2*Inputs!$C$32^2))+-Inputs!$C$33*EXP(-(((((Model_Data!A108)-Inputs!$C$34)^2)+(((Inputs!$C$6)-Inputs!$C$35)^2))/(2*Inputs!$C$36^2)))+Inputs!$C$37*(0.55*SIN(2*PI()*(Model_Data!A108)/Inputs!$C$39)+0.35*COS(2*PI()*(Inputs!$C$6)/Inputs!$C$40)+0.2*SIN(2*PI()*((Model_Data!A108)+(Inputs!$C$6))/(0.5*(Inputs!$C$39+Inputs!$C$40))))+Inputs!$C$38*SIN(2*PI()*(Model_Data!A108)/Inputs!$C$39)*SIN(2*PI()*(Inputs!$C$6)/Inputs!$C$40)+-Inputs!$C$41*EXP(-(((Inputs!$C$6)-Inputs!$C$43)^2)/(2*Inputs!$C$44^2))*EXP(-(((Model_Data!A108)-Inputs!$C$42)^2)/(2*Inputs!$C$45^2))+Inputs!$C$48*(0.7*(0.45*SIN(2*PI()*(((Model_Data!A108)/Inputs!$C$49)+Inputs!$C$47*0.137))+0.35*COS(2*PI()*(((Inputs!$C$6)/Inputs!$C$50)+Inputs!$C$47*0.173))+0.2*SIN(2*PI()*(((Model_Data!A108)+(Inputs!$C$6))/(0.5*(Inputs!$C$49+Inputs!$C$50))+Inputs!$C$47*0.097)))+0.3*(2*((SIN(((Model_Data!A108)*12.9898+(Inputs!$C$6)*78.233+Inputs!$C$47*37.719))*43758.5453)-INT((SIN(((Model_Data!A108)*12.9898+(Inputs!$C$6)*78.233+Inputs!$C$47*37.719))*43758.5453)))-1))))/1000)^2))-(((Model_Data!B108)-((Inputs!$C$51*(115*EXP(-(((0)-25)^2)/(4.5^2))+70*EXP(-(((0)+38)^2)/(7^2))*(0.55+0.45*SIN(2*PI()*(Model_Data!A108)/45))+24*SIN(2*PI()*(0)/9+(Model_Data!A108)/18)*EXP(-(((0)+5)^2)/(22^2))+18*SIN(2*PI()*(Model_Data!A108)/70))+Inputs!$C$28*EXP(-(((Model_Data!A108)-Inputs!$C$29)^2)/(2*Inputs!$C$31^2))*EXP(-(((0)-Inputs!$C$30)^2)/(2*Inputs!$C$32^2))+-Inputs!$C$33*EXP(-(((((Model_Data!A108)-Inputs!$C$34)^2)+(((0)-Inputs!$C$35)^2))/(2*Inputs!$C$36^2)))+Inputs!$C$37*(0.55*SIN(2*PI()*(Model_Data!A108)/Inputs!$C$39)+0.35*COS(2*PI()*(0)/Inputs!$C$40)+0.2*SIN(2*PI()*((Model_Data!A108)+(0))/(0.5*(Inputs!$C$39+Inputs!$C$40))))+Inputs!$C$38*SIN(2*PI()*(Model_Data!A108)/Inputs!$C$39)*SIN(2*PI()*(0)/Inputs!$C$40)+-Inputs!$C$41*EXP(-(((0)-Inputs!$C$43)^2)/(2*Inputs!$C$44^2))*EXP(-(((Model_Data!A108)-Inputs!$C$42)^2)/(2*Inputs!$C$45^2))+Inputs!$C$48*(0.7*(0.45*SIN(2*PI()*(((Model_Data!A108)/Inputs!$C$49)+Inputs!$C$47*0.137))+0.35*COS(2*PI()*(((0)/Inputs!$C$50)+Inputs!$C$47*0.173))+0.2*SIN(2*PI()*(((Model_Data!A108)+(0))/(0.5*(Inputs!$C$49+Inputs!$C$50))+Inputs!$C$47*0.097)))+0.3*(2*((SIN(((Model_Data!A108)*12.9898+(0)*78.233+Inputs!$C$47*37.719))*43758.5453)-INT((SIN(((Model_Data!A108)*12.9898+(0)*78.233+Inputs!$C$47*37.719))*43758.5453)))-1))))/1000)))*1000/Inputs!$C$12)</f>
        <v>197.4312941163607</v>
      </c>
      <c r="E108" s="9">
        <f>Model_Data!A108</f>
        <v>-7</v>
      </c>
      <c r="F108" s="9">
        <f>(Inputs!$C$51*(115*EXP(-(((Inputs!$C$6)-25)^2)/(4.5^2))+70*EXP(-(((Inputs!$C$6)+38)^2)/(7^2))*(0.55+0.45*SIN(2*PI()*(Model_Data!A108)/45))+24*SIN(2*PI()*(Inputs!$C$6)/9+(Model_Data!A108)/18)*EXP(-(((Inputs!$C$6)+5)^2)/(22^2))+18*SIN(2*PI()*(Model_Data!A108)/70))+Inputs!$C$28*EXP(-(((Model_Data!A108)-Inputs!$C$29)^2)/(2*Inputs!$C$31^2))*EXP(-(((Inputs!$C$6)-Inputs!$C$30)^2)/(2*Inputs!$C$32^2))+-Inputs!$C$33*EXP(-(((((Model_Data!A108)-Inputs!$C$34)^2)+(((Inputs!$C$6)-Inputs!$C$35)^2))/(2*Inputs!$C$36^2)))+Inputs!$C$37*(0.55*SIN(2*PI()*(Model_Data!A108)/Inputs!$C$39)+0.35*COS(2*PI()*(Inputs!$C$6)/Inputs!$C$40)+0.2*SIN(2*PI()*((Model_Data!A108)+(Inputs!$C$6))/(0.5*(Inputs!$C$39+Inputs!$C$40))))+Inputs!$C$38*SIN(2*PI()*(Model_Data!A108)/Inputs!$C$39)*SIN(2*PI()*(Inputs!$C$6)/Inputs!$C$40)+-Inputs!$C$41*EXP(-(((Inputs!$C$6)-Inputs!$C$43)^2)/(2*Inputs!$C$44^2))*EXP(-(((Model_Data!A108)-Inputs!$C$42)^2)/(2*Inputs!$C$45^2))+Inputs!$C$48*(0.7*(0.45*SIN(2*PI()*(((Model_Data!A108)/Inputs!$C$49)+Inputs!$C$47*0.137))+0.35*COS(2*PI()*(((Inputs!$C$6)/Inputs!$C$50)+Inputs!$C$47*0.173))+0.2*SIN(2*PI()*(((Model_Data!A108)+(Inputs!$C$6))/(0.5*(Inputs!$C$49+Inputs!$C$50))+Inputs!$C$47*0.097)))+0.3*(2*((SIN(((Model_Data!A108)*12.9898+(Inputs!$C$6)*78.233+Inputs!$C$47*37.719))*43758.5453)-INT((SIN(((Model_Data!A108)*12.9898+(Inputs!$C$6)*78.233+Inputs!$C$47*37.719))*43758.5453)))-1)))</f>
        <v>442.95708145426426</v>
      </c>
      <c r="G108" s="9">
        <f>(Inputs!$C$51*(115*EXP(-(((0)-25)^2)/(4.5^2))+70*EXP(-(((0)+38)^2)/(7^2))*(0.55+0.45*SIN(2*PI()*(Model_Data!A108)/45))+24*SIN(2*PI()*(0)/9+(Model_Data!A108)/18)*EXP(-(((0)+5)^2)/(22^2))+18*SIN(2*PI()*(Model_Data!A108)/70))+Inputs!$C$28*EXP(-(((Model_Data!A108)-Inputs!$C$29)^2)/(2*Inputs!$C$31^2))*EXP(-(((0)-Inputs!$C$30)^2)/(2*Inputs!$C$32^2))+-Inputs!$C$33*EXP(-(((((Model_Data!A108)-Inputs!$C$34)^2)+(((0)-Inputs!$C$35)^2))/(2*Inputs!$C$36^2)))+Inputs!$C$37*(0.55*SIN(2*PI()*(Model_Data!A108)/Inputs!$C$39)+0.35*COS(2*PI()*(0)/Inputs!$C$40)+0.2*SIN(2*PI()*((Model_Data!A108)+(0))/(0.5*(Inputs!$C$39+Inputs!$C$40))))+Inputs!$C$38*SIN(2*PI()*(Model_Data!A108)/Inputs!$C$39)*SIN(2*PI()*(0)/Inputs!$C$40)+-Inputs!$C$41*EXP(-(((0)-Inputs!$C$43)^2)/(2*Inputs!$C$44^2))*EXP(-(((Model_Data!A108)-Inputs!$C$42)^2)/(2*Inputs!$C$45^2))+Inputs!$C$48*(0.7*(0.45*SIN(2*PI()*(((Model_Data!A108)/Inputs!$C$49)+Inputs!$C$47*0.137))+0.35*COS(2*PI()*(((0)/Inputs!$C$50)+Inputs!$C$47*0.173))+0.2*SIN(2*PI()*(((Model_Data!A108)+(0))/(0.5*(Inputs!$C$49+Inputs!$C$50))+Inputs!$C$47*0.097)))+0.3*(2*((SIN(((Model_Data!A108)*12.9898+(0)*78.233+Inputs!$C$47*37.719))*43758.5453)-INT((SIN(((Model_Data!A108)*12.9898+(0)*78.233+Inputs!$C$47*37.719))*43758.5453)))-1)))</f>
        <v>-48.04634011268098</v>
      </c>
      <c r="H108" s="10"/>
      <c r="I108" s="9">
        <f>Model_Data!A108</f>
        <v>-7</v>
      </c>
      <c r="J108" s="9">
        <f>(Inputs!$C$51*(115*EXP(-(((Inputs!$C$6)-25)^2)/(4.5^2))+70*EXP(-(((Inputs!$C$6)+38)^2)/(7^2))*(0.55+0.45*SIN(2*PI()*(Model_Data!A108)/45))+24*SIN(2*PI()*(Inputs!$C$6)/9+(Model_Data!A108)/18)*EXP(-(((Inputs!$C$6)+5)^2)/(22^2))+18*SIN(2*PI()*(Model_Data!A108)/70))+Inputs!$C$28*EXP(-(((Model_Data!A108)-Inputs!$C$29)^2)/(2*Inputs!$C$31^2))*EXP(-(((Inputs!$C$6)-Inputs!$C$30)^2)/(2*Inputs!$C$32^2))+-Inputs!$C$33*EXP(-(((((Model_Data!A108)-Inputs!$C$34)^2)+(((Inputs!$C$6)-Inputs!$C$35)^2))/(2*Inputs!$C$36^2)))+Inputs!$C$37*(0.55*SIN(2*PI()*(Model_Data!A108)/Inputs!$C$39)+0.35*COS(2*PI()*(Inputs!$C$6)/Inputs!$C$40)+0.2*SIN(2*PI()*((Model_Data!A108)+(Inputs!$C$6))/(0.5*(Inputs!$C$39+Inputs!$C$40))))+Inputs!$C$38*SIN(2*PI()*(Model_Data!A108)/Inputs!$C$39)*SIN(2*PI()*(Inputs!$C$6)/Inputs!$C$40)+-Inputs!$C$41*EXP(-(((Inputs!$C$6)-Inputs!$C$43)^2)/(2*Inputs!$C$44^2))*EXP(-(((Model_Data!A108)-Inputs!$C$42)^2)/(2*Inputs!$C$45^2))+Inputs!$C$48*(0.7*(0.45*SIN(2*PI()*(((Model_Data!A108)/Inputs!$C$49)+Inputs!$C$47*0.137))+0.35*COS(2*PI()*(((Inputs!$C$6)/Inputs!$C$50)+Inputs!$C$47*0.173))+0.2*SIN(2*PI()*(((Model_Data!A108)+(Inputs!$C$6))/(0.5*(Inputs!$C$49+Inputs!$C$50))+Inputs!$C$47*0.097)))+0.3*(2*((SIN(((Model_Data!A108)*12.9898+(Inputs!$C$6)*78.233+Inputs!$C$47*37.719))*43758.5453)-INT((SIN(((Model_Data!A108)*12.9898+(Inputs!$C$6)*78.233+Inputs!$C$47*37.719))*43758.5453)))-1)))</f>
        <v>442.95708145426426</v>
      </c>
      <c r="K108" s="9">
        <f>-((((SQRT((Model_Data!A108)^2+Inputs!$C$6^2+((Model_Data!B108)-((Inputs!$C$51*(115*EXP(-(((Inputs!$C$6)-25)^2)/(4.5^2))+70*EXP(-(((Inputs!$C$6)+38)^2)/(7^2))*(0.55+0.45*SIN(2*PI()*(Model_Data!A108)/45))+24*SIN(2*PI()*(Inputs!$C$6)/9+(Model_Data!A108)/18)*EXP(-(((Inputs!$C$6)+5)^2)/(22^2))+18*SIN(2*PI()*(Model_Data!A108)/70))+Inputs!$C$28*EXP(-(((Model_Data!A108)-Inputs!$C$29)^2)/(2*Inputs!$C$31^2))*EXP(-(((Inputs!$C$6)-Inputs!$C$30)^2)/(2*Inputs!$C$32^2))+-Inputs!$C$33*EXP(-(((((Model_Data!A108)-Inputs!$C$34)^2)+(((Inputs!$C$6)-Inputs!$C$35)^2))/(2*Inputs!$C$36^2)))+Inputs!$C$37*(0.55*SIN(2*PI()*(Model_Data!A108)/Inputs!$C$39)+0.35*COS(2*PI()*(Inputs!$C$6)/Inputs!$C$40)+0.2*SIN(2*PI()*((Model_Data!A108)+(Inputs!$C$6))/(0.5*(Inputs!$C$39+Inputs!$C$40))))+Inputs!$C$38*SIN(2*PI()*(Model_Data!A108)/Inputs!$C$39)*SIN(2*PI()*(Inputs!$C$6)/Inputs!$C$40)+-Inputs!$C$41*EXP(-(((Inputs!$C$6)-Inputs!$C$43)^2)/(2*Inputs!$C$44^2))*EXP(-(((Model_Data!A108)-Inputs!$C$42)^2)/(2*Inputs!$C$45^2))+Inputs!$C$48*(0.7*(0.45*SIN(2*PI()*(((Model_Data!A108)/Inputs!$C$49)+Inputs!$C$47*0.137))+0.35*COS(2*PI()*(((Inputs!$C$6)/Inputs!$C$50)+Inputs!$C$47*0.173))+0.2*SIN(2*PI()*(((Model_Data!A108)+(Inputs!$C$6))/(0.5*(Inputs!$C$49+Inputs!$C$50))+Inputs!$C$47*0.097)))+0.3*(2*((SIN(((Model_Data!A108)*12.9898+(Inputs!$C$6)*78.233+Inputs!$C$47*37.719))*43758.5453)-INT((SIN(((Model_Data!A108)*12.9898+(Inputs!$C$6)*78.233+Inputs!$C$47*37.719))*43758.5453)))-1))))/1000)^2))-(((Model_Data!B108)-((Inputs!$C$51*(115*EXP(-(((0)-25)^2)/(4.5^2))+70*EXP(-(((0)+38)^2)/(7^2))*(0.55+0.45*SIN(2*PI()*(Model_Data!A108)/45))+24*SIN(2*PI()*(0)/9+(Model_Data!A108)/18)*EXP(-(((0)+5)^2)/(22^2))+18*SIN(2*PI()*(Model_Data!A108)/70))+Inputs!$C$28*EXP(-(((Model_Data!A108)-Inputs!$C$29)^2)/(2*Inputs!$C$31^2))*EXP(-(((0)-Inputs!$C$30)^2)/(2*Inputs!$C$32^2))+-Inputs!$C$33*EXP(-(((((Model_Data!A108)-Inputs!$C$34)^2)+(((0)-Inputs!$C$35)^2))/(2*Inputs!$C$36^2)))+Inputs!$C$37*(0.55*SIN(2*PI()*(Model_Data!A108)/Inputs!$C$39)+0.35*COS(2*PI()*(0)/Inputs!$C$40)+0.2*SIN(2*PI()*((Model_Data!A108)+(0))/(0.5*(Inputs!$C$39+Inputs!$C$40))))+Inputs!$C$38*SIN(2*PI()*(Model_Data!A108)/Inputs!$C$39)*SIN(2*PI()*(0)/Inputs!$C$40)+-Inputs!$C$41*EXP(-(((0)-Inputs!$C$43)^2)/(2*Inputs!$C$44^2))*EXP(-(((Model_Data!A108)-Inputs!$C$42)^2)/(2*Inputs!$C$45^2))+Inputs!$C$48*(0.7*(0.45*SIN(2*PI()*(((Model_Data!A108)/Inputs!$C$49)+Inputs!$C$47*0.137))+0.35*COS(2*PI()*(((0)/Inputs!$C$50)+Inputs!$C$47*0.173))+0.2*SIN(2*PI()*(((Model_Data!A108)+(0))/(0.5*(Inputs!$C$49+Inputs!$C$50))+Inputs!$C$47*0.097)))+0.3*(2*((SIN(((Model_Data!A108)*12.9898+(0)*78.233+Inputs!$C$47*37.719))*43758.5453)-INT((SIN(((Model_Data!A108)*12.9898+(0)*78.233+Inputs!$C$47*37.719))*43758.5453)))-1))))/1000)))*1000/Inputs!$C$12)-Model_Data!F108)</f>
        <v>275.32168846530465</v>
      </c>
      <c r="L108" s="10"/>
      <c r="M108" s="9">
        <f>Model_Data!A108</f>
        <v>-7</v>
      </c>
      <c r="N108" s="9">
        <f>Model_Data!P108</f>
        <v>52.774069915563587</v>
      </c>
      <c r="O108" s="9">
        <f t="shared" si="2"/>
        <v>29.728324004281603</v>
      </c>
      <c r="P108" s="9">
        <f>Model_Data!Q108</f>
        <v>7.9240345218563952</v>
      </c>
      <c r="Q108" s="9">
        <f t="shared" si="3"/>
        <v>4.4637123129551961</v>
      </c>
      <c r="R108" s="10"/>
      <c r="S108" s="9">
        <f>Model_Data!A108</f>
        <v>-7</v>
      </c>
      <c r="T108" s="9">
        <f>Model_Data!B108-Inputs!$C$5</f>
        <v>5.4444444444470719E-2</v>
      </c>
      <c r="U108" s="10"/>
      <c r="V108" s="9">
        <f>Model_Data!A108</f>
        <v>-7</v>
      </c>
      <c r="W108" s="9">
        <f>((SQRT((Model_Data!A108)^2+Inputs!$C$6^2+Inputs!$C$5^2)-Inputs!$C$5)*1000/Inputs!$C$12)</f>
        <v>472.81719442053964</v>
      </c>
      <c r="X108" s="9">
        <f>Model_Data!F108</f>
        <v>472.75298258166532</v>
      </c>
      <c r="Y108" s="10"/>
      <c r="Z108" s="9">
        <f>Model_Data!A108</f>
        <v>-7</v>
      </c>
      <c r="AA108" s="9">
        <f>SQRT((Model_Data!A108)^2+Inputs!$C$6^2+((Model_Data!B108)-((Inputs!$C$51*(115*EXP(-(((Inputs!$C$6)-25)^2)/(4.5^2))+70*EXP(-(((Inputs!$C$6)+38)^2)/(7^2))*(0.55+0.45*SIN(2*PI()*(Model_Data!A108)/45))+24*SIN(2*PI()*(Inputs!$C$6)/9+(Model_Data!A108)/18)*EXP(-(((Inputs!$C$6)+5)^2)/(22^2))+18*SIN(2*PI()*(Model_Data!A108)/70))+Inputs!$C$28*EXP(-(((Model_Data!A108)-Inputs!$C$29)^2)/(2*Inputs!$C$31^2))*EXP(-(((Inputs!$C$6)-Inputs!$C$30)^2)/(2*Inputs!$C$32^2))+-Inputs!$C$33*EXP(-(((((Model_Data!A108)-Inputs!$C$34)^2)+(((Inputs!$C$6)-Inputs!$C$35)^2))/(2*Inputs!$C$36^2)))+Inputs!$C$37*(0.55*SIN(2*PI()*(Model_Data!A108)/Inputs!$C$39)+0.35*COS(2*PI()*(Inputs!$C$6)/Inputs!$C$40)+0.2*SIN(2*PI()*((Model_Data!A108)+(Inputs!$C$6))/(0.5*(Inputs!$C$39+Inputs!$C$40))))+Inputs!$C$38*SIN(2*PI()*(Model_Data!A108)/Inputs!$C$39)*SIN(2*PI()*(Inputs!$C$6)/Inputs!$C$40)+-Inputs!$C$41*EXP(-(((Inputs!$C$6)-Inputs!$C$43)^2)/(2*Inputs!$C$44^2))*EXP(-(((Model_Data!A108)-Inputs!$C$42)^2)/(2*Inputs!$C$45^2))+Inputs!$C$48*(0.7*(0.45*SIN(2*PI()*(((Model_Data!A108)/Inputs!$C$49)+Inputs!$C$47*0.137))+0.35*COS(2*PI()*(((Inputs!$C$6)/Inputs!$C$50)+Inputs!$C$47*0.173))+0.2*SIN(2*PI()*(((Model_Data!A108)+(Inputs!$C$6))/(0.5*(Inputs!$C$49+Inputs!$C$50))+Inputs!$C$47*0.097)))+0.3*(2*((SIN(((Model_Data!A108)*12.9898+(Inputs!$C$6)*78.233+Inputs!$C$47*37.719))*43758.5453)-INT((SIN(((Model_Data!A108)*12.9898+(Inputs!$C$6)*78.233+Inputs!$C$47*37.719))*43758.5453)))-1))))/1000)^2)</f>
        <v>400.4539184880843</v>
      </c>
      <c r="AB108" s="9">
        <f>1000*(AA109-AA107)/(Z109-Z107)*Inputs!$C$11</f>
        <v>-74.320810010704008</v>
      </c>
      <c r="AC108" s="9">
        <f>-2*AB108/Inputs!$C$13</f>
        <v>29.728324004281603</v>
      </c>
      <c r="AD108" s="9">
        <f>-2*AB108/Inputs!$C$14</f>
        <v>4.4637123129551961</v>
      </c>
    </row>
    <row r="109" spans="1:30">
      <c r="A109" s="9">
        <f>Model_Data!A109</f>
        <v>-6.5</v>
      </c>
      <c r="B109" s="9">
        <f>((SQRT((Model_Data!A109)^2+Inputs!$C$6^2+Inputs!$C$5^2)-Inputs!$C$5)*1000/Inputs!$C$12)</f>
        <v>468.0869287476321</v>
      </c>
      <c r="C109" s="9">
        <f>Model_Data!F109</f>
        <v>468.03211415006706</v>
      </c>
      <c r="D109" s="9">
        <f>(((SQRT((Model_Data!A109)^2+Inputs!$C$6^2+((Model_Data!B109)-((Inputs!$C$51*(115*EXP(-(((Inputs!$C$6)-25)^2)/(4.5^2))+70*EXP(-(((Inputs!$C$6)+38)^2)/(7^2))*(0.55+0.45*SIN(2*PI()*(Model_Data!A109)/45))+24*SIN(2*PI()*(Inputs!$C$6)/9+(Model_Data!A109)/18)*EXP(-(((Inputs!$C$6)+5)^2)/(22^2))+18*SIN(2*PI()*(Model_Data!A109)/70))+Inputs!$C$28*EXP(-(((Model_Data!A109)-Inputs!$C$29)^2)/(2*Inputs!$C$31^2))*EXP(-(((Inputs!$C$6)-Inputs!$C$30)^2)/(2*Inputs!$C$32^2))+-Inputs!$C$33*EXP(-(((((Model_Data!A109)-Inputs!$C$34)^2)+(((Inputs!$C$6)-Inputs!$C$35)^2))/(2*Inputs!$C$36^2)))+Inputs!$C$37*(0.55*SIN(2*PI()*(Model_Data!A109)/Inputs!$C$39)+0.35*COS(2*PI()*(Inputs!$C$6)/Inputs!$C$40)+0.2*SIN(2*PI()*((Model_Data!A109)+(Inputs!$C$6))/(0.5*(Inputs!$C$39+Inputs!$C$40))))+Inputs!$C$38*SIN(2*PI()*(Model_Data!A109)/Inputs!$C$39)*SIN(2*PI()*(Inputs!$C$6)/Inputs!$C$40)+-Inputs!$C$41*EXP(-(((Inputs!$C$6)-Inputs!$C$43)^2)/(2*Inputs!$C$44^2))*EXP(-(((Model_Data!A109)-Inputs!$C$42)^2)/(2*Inputs!$C$45^2))+Inputs!$C$48*(0.7*(0.45*SIN(2*PI()*(((Model_Data!A109)/Inputs!$C$49)+Inputs!$C$47*0.137))+0.35*COS(2*PI()*(((Inputs!$C$6)/Inputs!$C$50)+Inputs!$C$47*0.173))+0.2*SIN(2*PI()*(((Model_Data!A109)+(Inputs!$C$6))/(0.5*(Inputs!$C$49+Inputs!$C$50))+Inputs!$C$47*0.097)))+0.3*(2*((SIN(((Model_Data!A109)*12.9898+(Inputs!$C$6)*78.233+Inputs!$C$47*37.719))*43758.5453)-INT((SIN(((Model_Data!A109)*12.9898+(Inputs!$C$6)*78.233+Inputs!$C$47*37.719))*43758.5453)))-1))))/1000)^2))-(((Model_Data!B109)-((Inputs!$C$51*(115*EXP(-(((0)-25)^2)/(4.5^2))+70*EXP(-(((0)+38)^2)/(7^2))*(0.55+0.45*SIN(2*PI()*(Model_Data!A109)/45))+24*SIN(2*PI()*(0)/9+(Model_Data!A109)/18)*EXP(-(((0)+5)^2)/(22^2))+18*SIN(2*PI()*(Model_Data!A109)/70))+Inputs!$C$28*EXP(-(((Model_Data!A109)-Inputs!$C$29)^2)/(2*Inputs!$C$31^2))*EXP(-(((0)-Inputs!$C$30)^2)/(2*Inputs!$C$32^2))+-Inputs!$C$33*EXP(-(((((Model_Data!A109)-Inputs!$C$34)^2)+(((0)-Inputs!$C$35)^2))/(2*Inputs!$C$36^2)))+Inputs!$C$37*(0.55*SIN(2*PI()*(Model_Data!A109)/Inputs!$C$39)+0.35*COS(2*PI()*(0)/Inputs!$C$40)+0.2*SIN(2*PI()*((Model_Data!A109)+(0))/(0.5*(Inputs!$C$39+Inputs!$C$40))))+Inputs!$C$38*SIN(2*PI()*(Model_Data!A109)/Inputs!$C$39)*SIN(2*PI()*(0)/Inputs!$C$40)+-Inputs!$C$41*EXP(-(((0)-Inputs!$C$43)^2)/(2*Inputs!$C$44^2))*EXP(-(((Model_Data!A109)-Inputs!$C$42)^2)/(2*Inputs!$C$45^2))+Inputs!$C$48*(0.7*(0.45*SIN(2*PI()*(((Model_Data!A109)/Inputs!$C$49)+Inputs!$C$47*0.137))+0.35*COS(2*PI()*(((0)/Inputs!$C$50)+Inputs!$C$47*0.173))+0.2*SIN(2*PI()*(((Model_Data!A109)+(0))/(0.5*(Inputs!$C$49+Inputs!$C$50))+Inputs!$C$47*0.097)))+0.3*(2*((SIN(((Model_Data!A109)*12.9898+(0)*78.233+Inputs!$C$47*37.719))*43758.5453)-INT((SIN(((Model_Data!A109)*12.9898+(0)*78.233+Inputs!$C$47*37.719))*43758.5453)))-1))))/1000)))*1000/Inputs!$C$12)</f>
        <v>179.0837864761537</v>
      </c>
      <c r="E109" s="9">
        <f>Model_Data!A109</f>
        <v>-6.5</v>
      </c>
      <c r="F109" s="9">
        <f>(Inputs!$C$51*(115*EXP(-(((Inputs!$C$6)-25)^2)/(4.5^2))+70*EXP(-(((Inputs!$C$6)+38)^2)/(7^2))*(0.55+0.45*SIN(2*PI()*(Model_Data!A109)/45))+24*SIN(2*PI()*(Inputs!$C$6)/9+(Model_Data!A109)/18)*EXP(-(((Inputs!$C$6)+5)^2)/(22^2))+18*SIN(2*PI()*(Model_Data!A109)/70))+Inputs!$C$28*EXP(-(((Model_Data!A109)-Inputs!$C$29)^2)/(2*Inputs!$C$31^2))*EXP(-(((Inputs!$C$6)-Inputs!$C$30)^2)/(2*Inputs!$C$32^2))+-Inputs!$C$33*EXP(-(((((Model_Data!A109)-Inputs!$C$34)^2)+(((Inputs!$C$6)-Inputs!$C$35)^2))/(2*Inputs!$C$36^2)))+Inputs!$C$37*(0.55*SIN(2*PI()*(Model_Data!A109)/Inputs!$C$39)+0.35*COS(2*PI()*(Inputs!$C$6)/Inputs!$C$40)+0.2*SIN(2*PI()*((Model_Data!A109)+(Inputs!$C$6))/(0.5*(Inputs!$C$39+Inputs!$C$40))))+Inputs!$C$38*SIN(2*PI()*(Model_Data!A109)/Inputs!$C$39)*SIN(2*PI()*(Inputs!$C$6)/Inputs!$C$40)+-Inputs!$C$41*EXP(-(((Inputs!$C$6)-Inputs!$C$43)^2)/(2*Inputs!$C$44^2))*EXP(-(((Model_Data!A109)-Inputs!$C$42)^2)/(2*Inputs!$C$45^2))+Inputs!$C$48*(0.7*(0.45*SIN(2*PI()*(((Model_Data!A109)/Inputs!$C$49)+Inputs!$C$47*0.137))+0.35*COS(2*PI()*(((Inputs!$C$6)/Inputs!$C$50)+Inputs!$C$47*0.173))+0.2*SIN(2*PI()*(((Model_Data!A109)+(Inputs!$C$6))/(0.5*(Inputs!$C$49+Inputs!$C$50))+Inputs!$C$47*0.097)))+0.3*(2*((SIN(((Model_Data!A109)*12.9898+(Inputs!$C$6)*78.233+Inputs!$C$47*37.719))*43758.5453)-INT((SIN(((Model_Data!A109)*12.9898+(Inputs!$C$6)*78.233+Inputs!$C$47*37.719))*43758.5453)))-1)))</f>
        <v>455.81004784744528</v>
      </c>
      <c r="G109" s="9">
        <f>(Inputs!$C$51*(115*EXP(-(((0)-25)^2)/(4.5^2))+70*EXP(-(((0)+38)^2)/(7^2))*(0.55+0.45*SIN(2*PI()*(Model_Data!A109)/45))+24*SIN(2*PI()*(0)/9+(Model_Data!A109)/18)*EXP(-(((0)+5)^2)/(22^2))+18*SIN(2*PI()*(Model_Data!A109)/70))+Inputs!$C$28*EXP(-(((Model_Data!A109)-Inputs!$C$29)^2)/(2*Inputs!$C$31^2))*EXP(-(((0)-Inputs!$C$30)^2)/(2*Inputs!$C$32^2))+-Inputs!$C$33*EXP(-(((((Model_Data!A109)-Inputs!$C$34)^2)+(((0)-Inputs!$C$35)^2))/(2*Inputs!$C$36^2)))+Inputs!$C$37*(0.55*SIN(2*PI()*(Model_Data!A109)/Inputs!$C$39)+0.35*COS(2*PI()*(0)/Inputs!$C$40)+0.2*SIN(2*PI()*((Model_Data!A109)+(0))/(0.5*(Inputs!$C$39+Inputs!$C$40))))+Inputs!$C$38*SIN(2*PI()*(Model_Data!A109)/Inputs!$C$39)*SIN(2*PI()*(0)/Inputs!$C$40)+-Inputs!$C$41*EXP(-(((0)-Inputs!$C$43)^2)/(2*Inputs!$C$44^2))*EXP(-(((Model_Data!A109)-Inputs!$C$42)^2)/(2*Inputs!$C$45^2))+Inputs!$C$48*(0.7*(0.45*SIN(2*PI()*(((Model_Data!A109)/Inputs!$C$49)+Inputs!$C$47*0.137))+0.35*COS(2*PI()*(((0)/Inputs!$C$50)+Inputs!$C$47*0.173))+0.2*SIN(2*PI()*(((Model_Data!A109)+(0))/(0.5*(Inputs!$C$49+Inputs!$C$50))+Inputs!$C$47*0.097)))+0.3*(2*((SIN(((Model_Data!A109)*12.9898+(0)*78.233+Inputs!$C$47*37.719))*43758.5453)-INT((SIN(((Model_Data!A109)*12.9898+(0)*78.233+Inputs!$C$47*37.719))*43758.5453)))-1)))</f>
        <v>-59.466303655605586</v>
      </c>
      <c r="H109" s="10"/>
      <c r="I109" s="9">
        <f>Model_Data!A109</f>
        <v>-6.5</v>
      </c>
      <c r="J109" s="9">
        <f>(Inputs!$C$51*(115*EXP(-(((Inputs!$C$6)-25)^2)/(4.5^2))+70*EXP(-(((Inputs!$C$6)+38)^2)/(7^2))*(0.55+0.45*SIN(2*PI()*(Model_Data!A109)/45))+24*SIN(2*PI()*(Inputs!$C$6)/9+(Model_Data!A109)/18)*EXP(-(((Inputs!$C$6)+5)^2)/(22^2))+18*SIN(2*PI()*(Model_Data!A109)/70))+Inputs!$C$28*EXP(-(((Model_Data!A109)-Inputs!$C$29)^2)/(2*Inputs!$C$31^2))*EXP(-(((Inputs!$C$6)-Inputs!$C$30)^2)/(2*Inputs!$C$32^2))+-Inputs!$C$33*EXP(-(((((Model_Data!A109)-Inputs!$C$34)^2)+(((Inputs!$C$6)-Inputs!$C$35)^2))/(2*Inputs!$C$36^2)))+Inputs!$C$37*(0.55*SIN(2*PI()*(Model_Data!A109)/Inputs!$C$39)+0.35*COS(2*PI()*(Inputs!$C$6)/Inputs!$C$40)+0.2*SIN(2*PI()*((Model_Data!A109)+(Inputs!$C$6))/(0.5*(Inputs!$C$39+Inputs!$C$40))))+Inputs!$C$38*SIN(2*PI()*(Model_Data!A109)/Inputs!$C$39)*SIN(2*PI()*(Inputs!$C$6)/Inputs!$C$40)+-Inputs!$C$41*EXP(-(((Inputs!$C$6)-Inputs!$C$43)^2)/(2*Inputs!$C$44^2))*EXP(-(((Model_Data!A109)-Inputs!$C$42)^2)/(2*Inputs!$C$45^2))+Inputs!$C$48*(0.7*(0.45*SIN(2*PI()*(((Model_Data!A109)/Inputs!$C$49)+Inputs!$C$47*0.137))+0.35*COS(2*PI()*(((Inputs!$C$6)/Inputs!$C$50)+Inputs!$C$47*0.173))+0.2*SIN(2*PI()*(((Model_Data!A109)+(Inputs!$C$6))/(0.5*(Inputs!$C$49+Inputs!$C$50))+Inputs!$C$47*0.097)))+0.3*(2*((SIN(((Model_Data!A109)*12.9898+(Inputs!$C$6)*78.233+Inputs!$C$47*37.719))*43758.5453)-INT((SIN(((Model_Data!A109)*12.9898+(Inputs!$C$6)*78.233+Inputs!$C$47*37.719))*43758.5453)))-1)))</f>
        <v>455.81004784744528</v>
      </c>
      <c r="K109" s="9">
        <f>-((((SQRT((Model_Data!A109)^2+Inputs!$C$6^2+((Model_Data!B109)-((Inputs!$C$51*(115*EXP(-(((Inputs!$C$6)-25)^2)/(4.5^2))+70*EXP(-(((Inputs!$C$6)+38)^2)/(7^2))*(0.55+0.45*SIN(2*PI()*(Model_Data!A109)/45))+24*SIN(2*PI()*(Inputs!$C$6)/9+(Model_Data!A109)/18)*EXP(-(((Inputs!$C$6)+5)^2)/(22^2))+18*SIN(2*PI()*(Model_Data!A109)/70))+Inputs!$C$28*EXP(-(((Model_Data!A109)-Inputs!$C$29)^2)/(2*Inputs!$C$31^2))*EXP(-(((Inputs!$C$6)-Inputs!$C$30)^2)/(2*Inputs!$C$32^2))+-Inputs!$C$33*EXP(-(((((Model_Data!A109)-Inputs!$C$34)^2)+(((Inputs!$C$6)-Inputs!$C$35)^2))/(2*Inputs!$C$36^2)))+Inputs!$C$37*(0.55*SIN(2*PI()*(Model_Data!A109)/Inputs!$C$39)+0.35*COS(2*PI()*(Inputs!$C$6)/Inputs!$C$40)+0.2*SIN(2*PI()*((Model_Data!A109)+(Inputs!$C$6))/(0.5*(Inputs!$C$39+Inputs!$C$40))))+Inputs!$C$38*SIN(2*PI()*(Model_Data!A109)/Inputs!$C$39)*SIN(2*PI()*(Inputs!$C$6)/Inputs!$C$40)+-Inputs!$C$41*EXP(-(((Inputs!$C$6)-Inputs!$C$43)^2)/(2*Inputs!$C$44^2))*EXP(-(((Model_Data!A109)-Inputs!$C$42)^2)/(2*Inputs!$C$45^2))+Inputs!$C$48*(0.7*(0.45*SIN(2*PI()*(((Model_Data!A109)/Inputs!$C$49)+Inputs!$C$47*0.137))+0.35*COS(2*PI()*(((Inputs!$C$6)/Inputs!$C$50)+Inputs!$C$47*0.173))+0.2*SIN(2*PI()*(((Model_Data!A109)+(Inputs!$C$6))/(0.5*(Inputs!$C$49+Inputs!$C$50))+Inputs!$C$47*0.097)))+0.3*(2*((SIN(((Model_Data!A109)*12.9898+(Inputs!$C$6)*78.233+Inputs!$C$47*37.719))*43758.5453)-INT((SIN(((Model_Data!A109)*12.9898+(Inputs!$C$6)*78.233+Inputs!$C$47*37.719))*43758.5453)))-1))))/1000)^2))-(((Model_Data!B109)-((Inputs!$C$51*(115*EXP(-(((0)-25)^2)/(4.5^2))+70*EXP(-(((0)+38)^2)/(7^2))*(0.55+0.45*SIN(2*PI()*(Model_Data!A109)/45))+24*SIN(2*PI()*(0)/9+(Model_Data!A109)/18)*EXP(-(((0)+5)^2)/(22^2))+18*SIN(2*PI()*(Model_Data!A109)/70))+Inputs!$C$28*EXP(-(((Model_Data!A109)-Inputs!$C$29)^2)/(2*Inputs!$C$31^2))*EXP(-(((0)-Inputs!$C$30)^2)/(2*Inputs!$C$32^2))+-Inputs!$C$33*EXP(-(((((Model_Data!A109)-Inputs!$C$34)^2)+(((0)-Inputs!$C$35)^2))/(2*Inputs!$C$36^2)))+Inputs!$C$37*(0.55*SIN(2*PI()*(Model_Data!A109)/Inputs!$C$39)+0.35*COS(2*PI()*(0)/Inputs!$C$40)+0.2*SIN(2*PI()*((Model_Data!A109)+(0))/(0.5*(Inputs!$C$39+Inputs!$C$40))))+Inputs!$C$38*SIN(2*PI()*(Model_Data!A109)/Inputs!$C$39)*SIN(2*PI()*(0)/Inputs!$C$40)+-Inputs!$C$41*EXP(-(((0)-Inputs!$C$43)^2)/(2*Inputs!$C$44^2))*EXP(-(((Model_Data!A109)-Inputs!$C$42)^2)/(2*Inputs!$C$45^2))+Inputs!$C$48*(0.7*(0.45*SIN(2*PI()*(((Model_Data!A109)/Inputs!$C$49)+Inputs!$C$47*0.137))+0.35*COS(2*PI()*(((0)/Inputs!$C$50)+Inputs!$C$47*0.173))+0.2*SIN(2*PI()*(((Model_Data!A109)+(0))/(0.5*(Inputs!$C$49+Inputs!$C$50))+Inputs!$C$47*0.097)))+0.3*(2*((SIN(((Model_Data!A109)*12.9898+(0)*78.233+Inputs!$C$47*37.719))*43758.5453)-INT((SIN(((Model_Data!A109)*12.9898+(0)*78.233+Inputs!$C$47*37.719))*43758.5453)))-1))))/1000)))*1000/Inputs!$C$12)-Model_Data!F109)</f>
        <v>288.94832767391335</v>
      </c>
      <c r="L109" s="10"/>
      <c r="M109" s="9">
        <f>Model_Data!A109</f>
        <v>-6.5</v>
      </c>
      <c r="N109" s="9">
        <f>Model_Data!P109</f>
        <v>49.006005147905213</v>
      </c>
      <c r="O109" s="9">
        <f t="shared" si="2"/>
        <v>56.692823732555553</v>
      </c>
      <c r="P109" s="9">
        <f>Model_Data!Q109</f>
        <v>7.358259031217</v>
      </c>
      <c r="Q109" s="9">
        <f t="shared" si="3"/>
        <v>8.5124359958792137</v>
      </c>
      <c r="R109" s="10"/>
      <c r="S109" s="9">
        <f>Model_Data!A109</f>
        <v>-6.5</v>
      </c>
      <c r="T109" s="9">
        <f>Model_Data!B109-Inputs!$C$5</f>
        <v>4.6944444444420697E-2</v>
      </c>
      <c r="U109" s="10"/>
      <c r="V109" s="9">
        <f>Model_Data!A109</f>
        <v>-6.5</v>
      </c>
      <c r="W109" s="9">
        <f>((SQRT((Model_Data!A109)^2+Inputs!$C$6^2+Inputs!$C$5^2)-Inputs!$C$5)*1000/Inputs!$C$12)</f>
        <v>468.0869287476321</v>
      </c>
      <c r="X109" s="9">
        <f>Model_Data!F109</f>
        <v>468.03211415006706</v>
      </c>
      <c r="Y109" s="10"/>
      <c r="Z109" s="9">
        <f>Model_Data!A109</f>
        <v>-6.5</v>
      </c>
      <c r="AA109" s="9">
        <f>SQRT((Model_Data!A109)^2+Inputs!$C$6^2+((Model_Data!B109)-((Inputs!$C$51*(115*EXP(-(((Inputs!$C$6)-25)^2)/(4.5^2))+70*EXP(-(((Inputs!$C$6)+38)^2)/(7^2))*(0.55+0.45*SIN(2*PI()*(Model_Data!A109)/45))+24*SIN(2*PI()*(Inputs!$C$6)/9+(Model_Data!A109)/18)*EXP(-(((Inputs!$C$6)+5)^2)/(22^2))+18*SIN(2*PI()*(Model_Data!A109)/70))+Inputs!$C$28*EXP(-(((Model_Data!A109)-Inputs!$C$29)^2)/(2*Inputs!$C$31^2))*EXP(-(((Inputs!$C$6)-Inputs!$C$30)^2)/(2*Inputs!$C$32^2))+-Inputs!$C$33*EXP(-(((((Model_Data!A109)-Inputs!$C$34)^2)+(((Inputs!$C$6)-Inputs!$C$35)^2))/(2*Inputs!$C$36^2)))+Inputs!$C$37*(0.55*SIN(2*PI()*(Model_Data!A109)/Inputs!$C$39)+0.35*COS(2*PI()*(Inputs!$C$6)/Inputs!$C$40)+0.2*SIN(2*PI()*((Model_Data!A109)+(Inputs!$C$6))/(0.5*(Inputs!$C$39+Inputs!$C$40))))+Inputs!$C$38*SIN(2*PI()*(Model_Data!A109)/Inputs!$C$39)*SIN(2*PI()*(Inputs!$C$6)/Inputs!$C$40)+-Inputs!$C$41*EXP(-(((Inputs!$C$6)-Inputs!$C$43)^2)/(2*Inputs!$C$44^2))*EXP(-(((Model_Data!A109)-Inputs!$C$42)^2)/(2*Inputs!$C$45^2))+Inputs!$C$48*(0.7*(0.45*SIN(2*PI()*(((Model_Data!A109)/Inputs!$C$49)+Inputs!$C$47*0.137))+0.35*COS(2*PI()*(((Inputs!$C$6)/Inputs!$C$50)+Inputs!$C$47*0.173))+0.2*SIN(2*PI()*(((Model_Data!A109)+(Inputs!$C$6))/(0.5*(Inputs!$C$49+Inputs!$C$50))+Inputs!$C$47*0.097)))+0.3*(2*((SIN(((Model_Data!A109)*12.9898+(Inputs!$C$6)*78.233+Inputs!$C$47*37.719))*43758.5453)-INT((SIN(((Model_Data!A109)*12.9898+(Inputs!$C$6)*78.233+Inputs!$C$47*37.719))*43758.5453)))-1))))/1000)^2)</f>
        <v>400.42517988802757</v>
      </c>
      <c r="AB109" s="9">
        <f>1000*(AA110-AA108)/(Z110-Z108)*Inputs!$C$11</f>
        <v>-141.73205933138888</v>
      </c>
      <c r="AC109" s="9">
        <f>-2*AB109/Inputs!$C$13</f>
        <v>56.692823732555553</v>
      </c>
      <c r="AD109" s="9">
        <f>-2*AB109/Inputs!$C$14</f>
        <v>8.5124359958792137</v>
      </c>
    </row>
    <row r="110" spans="1:30">
      <c r="A110" s="9">
        <f>Model_Data!A110</f>
        <v>-6</v>
      </c>
      <c r="B110" s="9">
        <f>((SQRT((Model_Data!A110)^2+Inputs!$C$6^2+Inputs!$C$5^2)-Inputs!$C$5)*1000/Inputs!$C$12)</f>
        <v>463.70696452700952</v>
      </c>
      <c r="C110" s="9">
        <f>Model_Data!F110</f>
        <v>463.66069393203549</v>
      </c>
      <c r="D110" s="9">
        <f>(((SQRT((Model_Data!A110)^2+Inputs!$C$6^2+((Model_Data!B110)-((Inputs!$C$51*(115*EXP(-(((Inputs!$C$6)-25)^2)/(4.5^2))+70*EXP(-(((Inputs!$C$6)+38)^2)/(7^2))*(0.55+0.45*SIN(2*PI()*(Model_Data!A110)/45))+24*SIN(2*PI()*(Inputs!$C$6)/9+(Model_Data!A110)/18)*EXP(-(((Inputs!$C$6)+5)^2)/(22^2))+18*SIN(2*PI()*(Model_Data!A110)/70))+Inputs!$C$28*EXP(-(((Model_Data!A110)-Inputs!$C$29)^2)/(2*Inputs!$C$31^2))*EXP(-(((Inputs!$C$6)-Inputs!$C$30)^2)/(2*Inputs!$C$32^2))+-Inputs!$C$33*EXP(-(((((Model_Data!A110)-Inputs!$C$34)^2)+(((Inputs!$C$6)-Inputs!$C$35)^2))/(2*Inputs!$C$36^2)))+Inputs!$C$37*(0.55*SIN(2*PI()*(Model_Data!A110)/Inputs!$C$39)+0.35*COS(2*PI()*(Inputs!$C$6)/Inputs!$C$40)+0.2*SIN(2*PI()*((Model_Data!A110)+(Inputs!$C$6))/(0.5*(Inputs!$C$39+Inputs!$C$40))))+Inputs!$C$38*SIN(2*PI()*(Model_Data!A110)/Inputs!$C$39)*SIN(2*PI()*(Inputs!$C$6)/Inputs!$C$40)+-Inputs!$C$41*EXP(-(((Inputs!$C$6)-Inputs!$C$43)^2)/(2*Inputs!$C$44^2))*EXP(-(((Model_Data!A110)-Inputs!$C$42)^2)/(2*Inputs!$C$45^2))+Inputs!$C$48*(0.7*(0.45*SIN(2*PI()*(((Model_Data!A110)/Inputs!$C$49)+Inputs!$C$47*0.137))+0.35*COS(2*PI()*(((Inputs!$C$6)/Inputs!$C$50)+Inputs!$C$47*0.173))+0.2*SIN(2*PI()*(((Model_Data!A110)+(Inputs!$C$6))/(0.5*(Inputs!$C$49+Inputs!$C$50))+Inputs!$C$47*0.097)))+0.3*(2*((SIN(((Model_Data!A110)*12.9898+(Inputs!$C$6)*78.233+Inputs!$C$47*37.719))*43758.5453)-INT((SIN(((Model_Data!A110)*12.9898+(Inputs!$C$6)*78.233+Inputs!$C$47*37.719))*43758.5453)))-1))))/1000)^2))-(((Model_Data!B110)-((Inputs!$C$51*(115*EXP(-(((0)-25)^2)/(4.5^2))+70*EXP(-(((0)+38)^2)/(7^2))*(0.55+0.45*SIN(2*PI()*(Model_Data!A110)/45))+24*SIN(2*PI()*(0)/9+(Model_Data!A110)/18)*EXP(-(((0)+5)^2)/(22^2))+18*SIN(2*PI()*(Model_Data!A110)/70))+Inputs!$C$28*EXP(-(((Model_Data!A110)-Inputs!$C$29)^2)/(2*Inputs!$C$31^2))*EXP(-(((0)-Inputs!$C$30)^2)/(2*Inputs!$C$32^2))+-Inputs!$C$33*EXP(-(((((Model_Data!A110)-Inputs!$C$34)^2)+(((0)-Inputs!$C$35)^2))/(2*Inputs!$C$36^2)))+Inputs!$C$37*(0.55*SIN(2*PI()*(Model_Data!A110)/Inputs!$C$39)+0.35*COS(2*PI()*(0)/Inputs!$C$40)+0.2*SIN(2*PI()*((Model_Data!A110)+(0))/(0.5*(Inputs!$C$39+Inputs!$C$40))))+Inputs!$C$38*SIN(2*PI()*(Model_Data!A110)/Inputs!$C$39)*SIN(2*PI()*(0)/Inputs!$C$40)+-Inputs!$C$41*EXP(-(((0)-Inputs!$C$43)^2)/(2*Inputs!$C$44^2))*EXP(-(((Model_Data!A110)-Inputs!$C$42)^2)/(2*Inputs!$C$45^2))+Inputs!$C$48*(0.7*(0.45*SIN(2*PI()*(((Model_Data!A110)/Inputs!$C$49)+Inputs!$C$47*0.137))+0.35*COS(2*PI()*(((0)/Inputs!$C$50)+Inputs!$C$47*0.173))+0.2*SIN(2*PI()*(((Model_Data!A110)+(0))/(0.5*(Inputs!$C$49+Inputs!$C$50))+Inputs!$C$47*0.097)))+0.3*(2*((SIN(((Model_Data!A110)*12.9898+(0)*78.233+Inputs!$C$47*37.719))*43758.5453)-INT((SIN(((Model_Data!A110)*12.9898+(0)*78.233+Inputs!$C$47*37.719))*43758.5453)))-1))))/1000)))*1000/Inputs!$C$12)</f>
        <v>178.30720668016102</v>
      </c>
      <c r="E110" s="9">
        <f>Model_Data!A110</f>
        <v>-6</v>
      </c>
      <c r="F110" s="9">
        <f>(Inputs!$C$51*(115*EXP(-(((Inputs!$C$6)-25)^2)/(4.5^2))+70*EXP(-(((Inputs!$C$6)+38)^2)/(7^2))*(0.55+0.45*SIN(2*PI()*(Model_Data!A110)/45))+24*SIN(2*PI()*(Inputs!$C$6)/9+(Model_Data!A110)/18)*EXP(-(((Inputs!$C$6)+5)^2)/(22^2))+18*SIN(2*PI()*(Model_Data!A110)/70))+Inputs!$C$28*EXP(-(((Model_Data!A110)-Inputs!$C$29)^2)/(2*Inputs!$C$31^2))*EXP(-(((Inputs!$C$6)-Inputs!$C$30)^2)/(2*Inputs!$C$32^2))+-Inputs!$C$33*EXP(-(((((Model_Data!A110)-Inputs!$C$34)^2)+(((Inputs!$C$6)-Inputs!$C$35)^2))/(2*Inputs!$C$36^2)))+Inputs!$C$37*(0.55*SIN(2*PI()*(Model_Data!A110)/Inputs!$C$39)+0.35*COS(2*PI()*(Inputs!$C$6)/Inputs!$C$40)+0.2*SIN(2*PI()*((Model_Data!A110)+(Inputs!$C$6))/(0.5*(Inputs!$C$39+Inputs!$C$40))))+Inputs!$C$38*SIN(2*PI()*(Model_Data!A110)/Inputs!$C$39)*SIN(2*PI()*(Inputs!$C$6)/Inputs!$C$40)+-Inputs!$C$41*EXP(-(((Inputs!$C$6)-Inputs!$C$43)^2)/(2*Inputs!$C$44^2))*EXP(-(((Model_Data!A110)-Inputs!$C$42)^2)/(2*Inputs!$C$45^2))+Inputs!$C$48*(0.7*(0.45*SIN(2*PI()*(((Model_Data!A110)/Inputs!$C$49)+Inputs!$C$47*0.137))+0.35*COS(2*PI()*(((Inputs!$C$6)/Inputs!$C$50)+Inputs!$C$47*0.173))+0.2*SIN(2*PI()*(((Model_Data!A110)+(Inputs!$C$6))/(0.5*(Inputs!$C$49+Inputs!$C$50))+Inputs!$C$47*0.097)))+0.3*(2*((SIN(((Model_Data!A110)*12.9898+(Inputs!$C$6)*78.233+Inputs!$C$47*37.719))*43758.5453)-INT((SIN(((Model_Data!A110)*12.9898+(Inputs!$C$6)*78.233+Inputs!$C$47*37.719))*43758.5453)))-1)))</f>
        <v>447.75344272198197</v>
      </c>
      <c r="G110" s="9">
        <f>(Inputs!$C$51*(115*EXP(-(((0)-25)^2)/(4.5^2))+70*EXP(-(((0)+38)^2)/(7^2))*(0.55+0.45*SIN(2*PI()*(Model_Data!A110)/45))+24*SIN(2*PI()*(0)/9+(Model_Data!A110)/18)*EXP(-(((0)+5)^2)/(22^2))+18*SIN(2*PI()*(Model_Data!A110)/70))+Inputs!$C$28*EXP(-(((Model_Data!A110)-Inputs!$C$29)^2)/(2*Inputs!$C$31^2))*EXP(-(((0)-Inputs!$C$30)^2)/(2*Inputs!$C$32^2))+-Inputs!$C$33*EXP(-(((((Model_Data!A110)-Inputs!$C$34)^2)+(((0)-Inputs!$C$35)^2))/(2*Inputs!$C$36^2)))+Inputs!$C$37*(0.55*SIN(2*PI()*(Model_Data!A110)/Inputs!$C$39)+0.35*COS(2*PI()*(0)/Inputs!$C$40)+0.2*SIN(2*PI()*((Model_Data!A110)+(0))/(0.5*(Inputs!$C$39+Inputs!$C$40))))+Inputs!$C$38*SIN(2*PI()*(Model_Data!A110)/Inputs!$C$39)*SIN(2*PI()*(0)/Inputs!$C$40)+-Inputs!$C$41*EXP(-(((0)-Inputs!$C$43)^2)/(2*Inputs!$C$44^2))*EXP(-(((Model_Data!A110)-Inputs!$C$42)^2)/(2*Inputs!$C$45^2))+Inputs!$C$48*(0.7*(0.45*SIN(2*PI()*(((Model_Data!A110)/Inputs!$C$49)+Inputs!$C$47*0.137))+0.35*COS(2*PI()*(((0)/Inputs!$C$50)+Inputs!$C$47*0.173))+0.2*SIN(2*PI()*(((Model_Data!A110)+(0))/(0.5*(Inputs!$C$49+Inputs!$C$50))+Inputs!$C$47*0.097)))+0.3*(2*((SIN(((Model_Data!A110)*12.9898+(0)*78.233+Inputs!$C$47*37.719))*43758.5453)-INT((SIN(((Model_Data!A110)*12.9898+(0)*78.233+Inputs!$C$47*37.719))*43758.5453)))-1)))</f>
        <v>-61.098645360716475</v>
      </c>
      <c r="H110" s="10"/>
      <c r="I110" s="9">
        <f>Model_Data!A110</f>
        <v>-6</v>
      </c>
      <c r="J110" s="9">
        <f>(Inputs!$C$51*(115*EXP(-(((Inputs!$C$6)-25)^2)/(4.5^2))+70*EXP(-(((Inputs!$C$6)+38)^2)/(7^2))*(0.55+0.45*SIN(2*PI()*(Model_Data!A110)/45))+24*SIN(2*PI()*(Inputs!$C$6)/9+(Model_Data!A110)/18)*EXP(-(((Inputs!$C$6)+5)^2)/(22^2))+18*SIN(2*PI()*(Model_Data!A110)/70))+Inputs!$C$28*EXP(-(((Model_Data!A110)-Inputs!$C$29)^2)/(2*Inputs!$C$31^2))*EXP(-(((Inputs!$C$6)-Inputs!$C$30)^2)/(2*Inputs!$C$32^2))+-Inputs!$C$33*EXP(-(((((Model_Data!A110)-Inputs!$C$34)^2)+(((Inputs!$C$6)-Inputs!$C$35)^2))/(2*Inputs!$C$36^2)))+Inputs!$C$37*(0.55*SIN(2*PI()*(Model_Data!A110)/Inputs!$C$39)+0.35*COS(2*PI()*(Inputs!$C$6)/Inputs!$C$40)+0.2*SIN(2*PI()*((Model_Data!A110)+(Inputs!$C$6))/(0.5*(Inputs!$C$39+Inputs!$C$40))))+Inputs!$C$38*SIN(2*PI()*(Model_Data!A110)/Inputs!$C$39)*SIN(2*PI()*(Inputs!$C$6)/Inputs!$C$40)+-Inputs!$C$41*EXP(-(((Inputs!$C$6)-Inputs!$C$43)^2)/(2*Inputs!$C$44^2))*EXP(-(((Model_Data!A110)-Inputs!$C$42)^2)/(2*Inputs!$C$45^2))+Inputs!$C$48*(0.7*(0.45*SIN(2*PI()*(((Model_Data!A110)/Inputs!$C$49)+Inputs!$C$47*0.137))+0.35*COS(2*PI()*(((Inputs!$C$6)/Inputs!$C$50)+Inputs!$C$47*0.173))+0.2*SIN(2*PI()*(((Model_Data!A110)+(Inputs!$C$6))/(0.5*(Inputs!$C$49+Inputs!$C$50))+Inputs!$C$47*0.097)))+0.3*(2*((SIN(((Model_Data!A110)*12.9898+(Inputs!$C$6)*78.233+Inputs!$C$47*37.719))*43758.5453)-INT((SIN(((Model_Data!A110)*12.9898+(Inputs!$C$6)*78.233+Inputs!$C$47*37.719))*43758.5453)))-1)))</f>
        <v>447.75344272198197</v>
      </c>
      <c r="K110" s="9">
        <f>-((((SQRT((Model_Data!A110)^2+Inputs!$C$6^2+((Model_Data!B110)-((Inputs!$C$51*(115*EXP(-(((Inputs!$C$6)-25)^2)/(4.5^2))+70*EXP(-(((Inputs!$C$6)+38)^2)/(7^2))*(0.55+0.45*SIN(2*PI()*(Model_Data!A110)/45))+24*SIN(2*PI()*(Inputs!$C$6)/9+(Model_Data!A110)/18)*EXP(-(((Inputs!$C$6)+5)^2)/(22^2))+18*SIN(2*PI()*(Model_Data!A110)/70))+Inputs!$C$28*EXP(-(((Model_Data!A110)-Inputs!$C$29)^2)/(2*Inputs!$C$31^2))*EXP(-(((Inputs!$C$6)-Inputs!$C$30)^2)/(2*Inputs!$C$32^2))+-Inputs!$C$33*EXP(-(((((Model_Data!A110)-Inputs!$C$34)^2)+(((Inputs!$C$6)-Inputs!$C$35)^2))/(2*Inputs!$C$36^2)))+Inputs!$C$37*(0.55*SIN(2*PI()*(Model_Data!A110)/Inputs!$C$39)+0.35*COS(2*PI()*(Inputs!$C$6)/Inputs!$C$40)+0.2*SIN(2*PI()*((Model_Data!A110)+(Inputs!$C$6))/(0.5*(Inputs!$C$39+Inputs!$C$40))))+Inputs!$C$38*SIN(2*PI()*(Model_Data!A110)/Inputs!$C$39)*SIN(2*PI()*(Inputs!$C$6)/Inputs!$C$40)+-Inputs!$C$41*EXP(-(((Inputs!$C$6)-Inputs!$C$43)^2)/(2*Inputs!$C$44^2))*EXP(-(((Model_Data!A110)-Inputs!$C$42)^2)/(2*Inputs!$C$45^2))+Inputs!$C$48*(0.7*(0.45*SIN(2*PI()*(((Model_Data!A110)/Inputs!$C$49)+Inputs!$C$47*0.137))+0.35*COS(2*PI()*(((Inputs!$C$6)/Inputs!$C$50)+Inputs!$C$47*0.173))+0.2*SIN(2*PI()*(((Model_Data!A110)+(Inputs!$C$6))/(0.5*(Inputs!$C$49+Inputs!$C$50))+Inputs!$C$47*0.097)))+0.3*(2*((SIN(((Model_Data!A110)*12.9898+(Inputs!$C$6)*78.233+Inputs!$C$47*37.719))*43758.5453)-INT((SIN(((Model_Data!A110)*12.9898+(Inputs!$C$6)*78.233+Inputs!$C$47*37.719))*43758.5453)))-1))))/1000)^2))-(((Model_Data!B110)-((Inputs!$C$51*(115*EXP(-(((0)-25)^2)/(4.5^2))+70*EXP(-(((0)+38)^2)/(7^2))*(0.55+0.45*SIN(2*PI()*(Model_Data!A110)/45))+24*SIN(2*PI()*(0)/9+(Model_Data!A110)/18)*EXP(-(((0)+5)^2)/(22^2))+18*SIN(2*PI()*(Model_Data!A110)/70))+Inputs!$C$28*EXP(-(((Model_Data!A110)-Inputs!$C$29)^2)/(2*Inputs!$C$31^2))*EXP(-(((0)-Inputs!$C$30)^2)/(2*Inputs!$C$32^2))+-Inputs!$C$33*EXP(-(((((Model_Data!A110)-Inputs!$C$34)^2)+(((0)-Inputs!$C$35)^2))/(2*Inputs!$C$36^2)))+Inputs!$C$37*(0.55*SIN(2*PI()*(Model_Data!A110)/Inputs!$C$39)+0.35*COS(2*PI()*(0)/Inputs!$C$40)+0.2*SIN(2*PI()*((Model_Data!A110)+(0))/(0.5*(Inputs!$C$39+Inputs!$C$40))))+Inputs!$C$38*SIN(2*PI()*(Model_Data!A110)/Inputs!$C$39)*SIN(2*PI()*(0)/Inputs!$C$40)+-Inputs!$C$41*EXP(-(((0)-Inputs!$C$43)^2)/(2*Inputs!$C$44^2))*EXP(-(((Model_Data!A110)-Inputs!$C$42)^2)/(2*Inputs!$C$45^2))+Inputs!$C$48*(0.7*(0.45*SIN(2*PI()*(((Model_Data!A110)/Inputs!$C$49)+Inputs!$C$47*0.137))+0.35*COS(2*PI()*(((0)/Inputs!$C$50)+Inputs!$C$47*0.173))+0.2*SIN(2*PI()*(((Model_Data!A110)+(0))/(0.5*(Inputs!$C$49+Inputs!$C$50))+Inputs!$C$47*0.097)))+0.3*(2*((SIN(((Model_Data!A110)*12.9898+(0)*78.233+Inputs!$C$47*37.719))*43758.5453)-INT((SIN(((Model_Data!A110)*12.9898+(0)*78.233+Inputs!$C$47*37.719))*43758.5453)))-1))))/1000)))*1000/Inputs!$C$12)-Model_Data!F110)</f>
        <v>285.35348725187447</v>
      </c>
      <c r="L110" s="10"/>
      <c r="M110" s="9">
        <f>Model_Data!A110</f>
        <v>-6</v>
      </c>
      <c r="N110" s="9">
        <f>Model_Data!P110</f>
        <v>45.237604605019868</v>
      </c>
      <c r="O110" s="9">
        <f t="shared" si="2"/>
        <v>15.600638162050018</v>
      </c>
      <c r="P110" s="9">
        <f>Model_Data!Q110</f>
        <v>6.792433123876858</v>
      </c>
      <c r="Q110" s="9">
        <f t="shared" si="3"/>
        <v>2.3424381624699731</v>
      </c>
      <c r="R110" s="10"/>
      <c r="S110" s="9">
        <f>Model_Data!A110</f>
        <v>-6</v>
      </c>
      <c r="T110" s="9">
        <f>Model_Data!B110-Inputs!$C$5</f>
        <v>4.0000000000020464E-2</v>
      </c>
      <c r="U110" s="10"/>
      <c r="V110" s="9">
        <f>Model_Data!A110</f>
        <v>-6</v>
      </c>
      <c r="W110" s="9">
        <f>((SQRT((Model_Data!A110)^2+Inputs!$C$6^2+Inputs!$C$5^2)-Inputs!$C$5)*1000/Inputs!$C$12)</f>
        <v>463.70696452700952</v>
      </c>
      <c r="X110" s="9">
        <f>Model_Data!F110</f>
        <v>463.66069393203549</v>
      </c>
      <c r="Y110" s="10"/>
      <c r="Z110" s="9">
        <f>Model_Data!A110</f>
        <v>-6</v>
      </c>
      <c r="AA110" s="9">
        <f>SQRT((Model_Data!A110)^2+Inputs!$C$6^2+((Model_Data!B110)-((Inputs!$C$51*(115*EXP(-(((Inputs!$C$6)-25)^2)/(4.5^2))+70*EXP(-(((Inputs!$C$6)+38)^2)/(7^2))*(0.55+0.45*SIN(2*PI()*(Model_Data!A110)/45))+24*SIN(2*PI()*(Inputs!$C$6)/9+(Model_Data!A110)/18)*EXP(-(((Inputs!$C$6)+5)^2)/(22^2))+18*SIN(2*PI()*(Model_Data!A110)/70))+Inputs!$C$28*EXP(-(((Model_Data!A110)-Inputs!$C$29)^2)/(2*Inputs!$C$31^2))*EXP(-(((Inputs!$C$6)-Inputs!$C$30)^2)/(2*Inputs!$C$32^2))+-Inputs!$C$33*EXP(-(((((Model_Data!A110)-Inputs!$C$34)^2)+(((Inputs!$C$6)-Inputs!$C$35)^2))/(2*Inputs!$C$36^2)))+Inputs!$C$37*(0.55*SIN(2*PI()*(Model_Data!A110)/Inputs!$C$39)+0.35*COS(2*PI()*(Inputs!$C$6)/Inputs!$C$40)+0.2*SIN(2*PI()*((Model_Data!A110)+(Inputs!$C$6))/(0.5*(Inputs!$C$39+Inputs!$C$40))))+Inputs!$C$38*SIN(2*PI()*(Model_Data!A110)/Inputs!$C$39)*SIN(2*PI()*(Inputs!$C$6)/Inputs!$C$40)+-Inputs!$C$41*EXP(-(((Inputs!$C$6)-Inputs!$C$43)^2)/(2*Inputs!$C$44^2))*EXP(-(((Model_Data!A110)-Inputs!$C$42)^2)/(2*Inputs!$C$45^2))+Inputs!$C$48*(0.7*(0.45*SIN(2*PI()*(((Model_Data!A110)/Inputs!$C$49)+Inputs!$C$47*0.137))+0.35*COS(2*PI()*(((Inputs!$C$6)/Inputs!$C$50)+Inputs!$C$47*0.173))+0.2*SIN(2*PI()*(((Model_Data!A110)+(Inputs!$C$6))/(0.5*(Inputs!$C$49+Inputs!$C$50))+Inputs!$C$47*0.097)))+0.3*(2*((SIN(((Model_Data!A110)*12.9898+(Inputs!$C$6)*78.233+Inputs!$C$47*37.719))*43758.5453)-INT((SIN(((Model_Data!A110)*12.9898+(Inputs!$C$6)*78.233+Inputs!$C$47*37.719))*43758.5453)))-1))))/1000)^2)</f>
        <v>400.41848547325145</v>
      </c>
      <c r="AB110" s="9">
        <f>1000*(AA111-AA109)/(Z111-Z109)*Inputs!$C$11</f>
        <v>-39.001595405125045</v>
      </c>
      <c r="AC110" s="9">
        <f>-2*AB110/Inputs!$C$13</f>
        <v>15.600638162050018</v>
      </c>
      <c r="AD110" s="9">
        <f>-2*AB110/Inputs!$C$14</f>
        <v>2.3424381624699731</v>
      </c>
    </row>
    <row r="111" spans="1:30">
      <c r="A111" s="9">
        <f>Model_Data!A111</f>
        <v>-5.5</v>
      </c>
      <c r="B111" s="9">
        <f>((SQRT((Model_Data!A111)^2+Inputs!$C$6^2+Inputs!$C$5^2)-Inputs!$C$5)*1000/Inputs!$C$12)</f>
        <v>459.67732219988454</v>
      </c>
      <c r="C111" s="9">
        <f>Model_Data!F111</f>
        <v>459.63877861482985</v>
      </c>
      <c r="D111" s="9">
        <f>(((SQRT((Model_Data!A111)^2+Inputs!$C$6^2+((Model_Data!B111)-((Inputs!$C$51*(115*EXP(-(((Inputs!$C$6)-25)^2)/(4.5^2))+70*EXP(-(((Inputs!$C$6)+38)^2)/(7^2))*(0.55+0.45*SIN(2*PI()*(Model_Data!A111)/45))+24*SIN(2*PI()*(Inputs!$C$6)/9+(Model_Data!A111)/18)*EXP(-(((Inputs!$C$6)+5)^2)/(22^2))+18*SIN(2*PI()*(Model_Data!A111)/70))+Inputs!$C$28*EXP(-(((Model_Data!A111)-Inputs!$C$29)^2)/(2*Inputs!$C$31^2))*EXP(-(((Inputs!$C$6)-Inputs!$C$30)^2)/(2*Inputs!$C$32^2))+-Inputs!$C$33*EXP(-(((((Model_Data!A111)-Inputs!$C$34)^2)+(((Inputs!$C$6)-Inputs!$C$35)^2))/(2*Inputs!$C$36^2)))+Inputs!$C$37*(0.55*SIN(2*PI()*(Model_Data!A111)/Inputs!$C$39)+0.35*COS(2*PI()*(Inputs!$C$6)/Inputs!$C$40)+0.2*SIN(2*PI()*((Model_Data!A111)+(Inputs!$C$6))/(0.5*(Inputs!$C$39+Inputs!$C$40))))+Inputs!$C$38*SIN(2*PI()*(Model_Data!A111)/Inputs!$C$39)*SIN(2*PI()*(Inputs!$C$6)/Inputs!$C$40)+-Inputs!$C$41*EXP(-(((Inputs!$C$6)-Inputs!$C$43)^2)/(2*Inputs!$C$44^2))*EXP(-(((Model_Data!A111)-Inputs!$C$42)^2)/(2*Inputs!$C$45^2))+Inputs!$C$48*(0.7*(0.45*SIN(2*PI()*(((Model_Data!A111)/Inputs!$C$49)+Inputs!$C$47*0.137))+0.35*COS(2*PI()*(((Inputs!$C$6)/Inputs!$C$50)+Inputs!$C$47*0.173))+0.2*SIN(2*PI()*(((Model_Data!A111)+(Inputs!$C$6))/(0.5*(Inputs!$C$49+Inputs!$C$50))+Inputs!$C$47*0.097)))+0.3*(2*((SIN(((Model_Data!A111)*12.9898+(Inputs!$C$6)*78.233+Inputs!$C$47*37.719))*43758.5453)-INT((SIN(((Model_Data!A111)*12.9898+(Inputs!$C$6)*78.233+Inputs!$C$47*37.719))*43758.5453)))-1))))/1000)^2))-(((Model_Data!B111)-((Inputs!$C$51*(115*EXP(-(((0)-25)^2)/(4.5^2))+70*EXP(-(((0)+38)^2)/(7^2))*(0.55+0.45*SIN(2*PI()*(Model_Data!A111)/45))+24*SIN(2*PI()*(0)/9+(Model_Data!A111)/18)*EXP(-(((0)+5)^2)/(22^2))+18*SIN(2*PI()*(Model_Data!A111)/70))+Inputs!$C$28*EXP(-(((Model_Data!A111)-Inputs!$C$29)^2)/(2*Inputs!$C$31^2))*EXP(-(((0)-Inputs!$C$30)^2)/(2*Inputs!$C$32^2))+-Inputs!$C$33*EXP(-(((((Model_Data!A111)-Inputs!$C$34)^2)+(((0)-Inputs!$C$35)^2))/(2*Inputs!$C$36^2)))+Inputs!$C$37*(0.55*SIN(2*PI()*(Model_Data!A111)/Inputs!$C$39)+0.35*COS(2*PI()*(0)/Inputs!$C$40)+0.2*SIN(2*PI()*((Model_Data!A111)+(0))/(0.5*(Inputs!$C$39+Inputs!$C$40))))+Inputs!$C$38*SIN(2*PI()*(Model_Data!A111)/Inputs!$C$39)*SIN(2*PI()*(0)/Inputs!$C$40)+-Inputs!$C$41*EXP(-(((0)-Inputs!$C$43)^2)/(2*Inputs!$C$44^2))*EXP(-(((Model_Data!A111)-Inputs!$C$42)^2)/(2*Inputs!$C$45^2))+Inputs!$C$48*(0.7*(0.45*SIN(2*PI()*(((Model_Data!A111)/Inputs!$C$49)+Inputs!$C$47*0.137))+0.35*COS(2*PI()*(((0)/Inputs!$C$50)+Inputs!$C$47*0.173))+0.2*SIN(2*PI()*(((Model_Data!A111)+(0))/(0.5*(Inputs!$C$49+Inputs!$C$50))+Inputs!$C$47*0.097)))+0.3*(2*((SIN(((Model_Data!A111)*12.9898+(0)*78.233+Inputs!$C$47*37.719))*43758.5453)-INT((SIN(((Model_Data!A111)*12.9898+(0)*78.233+Inputs!$C$47*37.719))*43758.5453)))-1))))/1000)))*1000/Inputs!$C$12)</f>
        <v>178.77968186463463</v>
      </c>
      <c r="E111" s="9">
        <f>Model_Data!A111</f>
        <v>-5.5</v>
      </c>
      <c r="F111" s="9">
        <f>(Inputs!$C$51*(115*EXP(-(((Inputs!$C$6)-25)^2)/(4.5^2))+70*EXP(-(((Inputs!$C$6)+38)^2)/(7^2))*(0.55+0.45*SIN(2*PI()*(Model_Data!A111)/45))+24*SIN(2*PI()*(Inputs!$C$6)/9+(Model_Data!A111)/18)*EXP(-(((Inputs!$C$6)+5)^2)/(22^2))+18*SIN(2*PI()*(Model_Data!A111)/70))+Inputs!$C$28*EXP(-(((Model_Data!A111)-Inputs!$C$29)^2)/(2*Inputs!$C$31^2))*EXP(-(((Inputs!$C$6)-Inputs!$C$30)^2)/(2*Inputs!$C$32^2))+-Inputs!$C$33*EXP(-(((((Model_Data!A111)-Inputs!$C$34)^2)+(((Inputs!$C$6)-Inputs!$C$35)^2))/(2*Inputs!$C$36^2)))+Inputs!$C$37*(0.55*SIN(2*PI()*(Model_Data!A111)/Inputs!$C$39)+0.35*COS(2*PI()*(Inputs!$C$6)/Inputs!$C$40)+0.2*SIN(2*PI()*((Model_Data!A111)+(Inputs!$C$6))/(0.5*(Inputs!$C$39+Inputs!$C$40))))+Inputs!$C$38*SIN(2*PI()*(Model_Data!A111)/Inputs!$C$39)*SIN(2*PI()*(Inputs!$C$6)/Inputs!$C$40)+-Inputs!$C$41*EXP(-(((Inputs!$C$6)-Inputs!$C$43)^2)/(2*Inputs!$C$44^2))*EXP(-(((Model_Data!A111)-Inputs!$C$42)^2)/(2*Inputs!$C$45^2))+Inputs!$C$48*(0.7*(0.45*SIN(2*PI()*(((Model_Data!A111)/Inputs!$C$49)+Inputs!$C$47*0.137))+0.35*COS(2*PI()*(((Inputs!$C$6)/Inputs!$C$50)+Inputs!$C$47*0.173))+0.2*SIN(2*PI()*(((Model_Data!A111)+(Inputs!$C$6))/(0.5*(Inputs!$C$49+Inputs!$C$50))+Inputs!$C$47*0.097)))+0.3*(2*((SIN(((Model_Data!A111)*12.9898+(Inputs!$C$6)*78.233+Inputs!$C$47*37.719))*43758.5453)-INT((SIN(((Model_Data!A111)*12.9898+(Inputs!$C$6)*78.233+Inputs!$C$47*37.719))*43758.5453)))-1)))</f>
        <v>437.23203216912464</v>
      </c>
      <c r="G111" s="9">
        <f>(Inputs!$C$51*(115*EXP(-(((0)-25)^2)/(4.5^2))+70*EXP(-(((0)+38)^2)/(7^2))*(0.55+0.45*SIN(2*PI()*(Model_Data!A111)/45))+24*SIN(2*PI()*(0)/9+(Model_Data!A111)/18)*EXP(-(((0)+5)^2)/(22^2))+18*SIN(2*PI()*(Model_Data!A111)/70))+Inputs!$C$28*EXP(-(((Model_Data!A111)-Inputs!$C$29)^2)/(2*Inputs!$C$31^2))*EXP(-(((0)-Inputs!$C$30)^2)/(2*Inputs!$C$32^2))+-Inputs!$C$33*EXP(-(((((Model_Data!A111)-Inputs!$C$34)^2)+(((0)-Inputs!$C$35)^2))/(2*Inputs!$C$36^2)))+Inputs!$C$37*(0.55*SIN(2*PI()*(Model_Data!A111)/Inputs!$C$39)+0.35*COS(2*PI()*(0)/Inputs!$C$40)+0.2*SIN(2*PI()*((Model_Data!A111)+(0))/(0.5*(Inputs!$C$39+Inputs!$C$40))))+Inputs!$C$38*SIN(2*PI()*(Model_Data!A111)/Inputs!$C$39)*SIN(2*PI()*(0)/Inputs!$C$40)+-Inputs!$C$41*EXP(-(((0)-Inputs!$C$43)^2)/(2*Inputs!$C$44^2))*EXP(-(((Model_Data!A111)-Inputs!$C$42)^2)/(2*Inputs!$C$45^2))+Inputs!$C$48*(0.7*(0.45*SIN(2*PI()*(((Model_Data!A111)/Inputs!$C$49)+Inputs!$C$47*0.137))+0.35*COS(2*PI()*(((0)/Inputs!$C$50)+Inputs!$C$47*0.173))+0.2*SIN(2*PI()*(((Model_Data!A111)+(0))/(0.5*(Inputs!$C$49+Inputs!$C$50))+Inputs!$C$47*0.097)))+0.3*(2*((SIN(((Model_Data!A111)*12.9898+(0)*78.233+Inputs!$C$47*37.719))*43758.5453)-INT((SIN(((Model_Data!A111)*12.9898+(0)*78.233+Inputs!$C$47*37.719))*43758.5453)))-1)))</f>
        <v>-63.59054434613801</v>
      </c>
      <c r="H111" s="10"/>
      <c r="I111" s="9">
        <f>Model_Data!A111</f>
        <v>-5.5</v>
      </c>
      <c r="J111" s="9">
        <f>(Inputs!$C$51*(115*EXP(-(((Inputs!$C$6)-25)^2)/(4.5^2))+70*EXP(-(((Inputs!$C$6)+38)^2)/(7^2))*(0.55+0.45*SIN(2*PI()*(Model_Data!A111)/45))+24*SIN(2*PI()*(Inputs!$C$6)/9+(Model_Data!A111)/18)*EXP(-(((Inputs!$C$6)+5)^2)/(22^2))+18*SIN(2*PI()*(Model_Data!A111)/70))+Inputs!$C$28*EXP(-(((Model_Data!A111)-Inputs!$C$29)^2)/(2*Inputs!$C$31^2))*EXP(-(((Inputs!$C$6)-Inputs!$C$30)^2)/(2*Inputs!$C$32^2))+-Inputs!$C$33*EXP(-(((((Model_Data!A111)-Inputs!$C$34)^2)+(((Inputs!$C$6)-Inputs!$C$35)^2))/(2*Inputs!$C$36^2)))+Inputs!$C$37*(0.55*SIN(2*PI()*(Model_Data!A111)/Inputs!$C$39)+0.35*COS(2*PI()*(Inputs!$C$6)/Inputs!$C$40)+0.2*SIN(2*PI()*((Model_Data!A111)+(Inputs!$C$6))/(0.5*(Inputs!$C$39+Inputs!$C$40))))+Inputs!$C$38*SIN(2*PI()*(Model_Data!A111)/Inputs!$C$39)*SIN(2*PI()*(Inputs!$C$6)/Inputs!$C$40)+-Inputs!$C$41*EXP(-(((Inputs!$C$6)-Inputs!$C$43)^2)/(2*Inputs!$C$44^2))*EXP(-(((Model_Data!A111)-Inputs!$C$42)^2)/(2*Inputs!$C$45^2))+Inputs!$C$48*(0.7*(0.45*SIN(2*PI()*(((Model_Data!A111)/Inputs!$C$49)+Inputs!$C$47*0.137))+0.35*COS(2*PI()*(((Inputs!$C$6)/Inputs!$C$50)+Inputs!$C$47*0.173))+0.2*SIN(2*PI()*(((Model_Data!A111)+(Inputs!$C$6))/(0.5*(Inputs!$C$49+Inputs!$C$50))+Inputs!$C$47*0.097)))+0.3*(2*((SIN(((Model_Data!A111)*12.9898+(Inputs!$C$6)*78.233+Inputs!$C$47*37.719))*43758.5453)-INT((SIN(((Model_Data!A111)*12.9898+(Inputs!$C$6)*78.233+Inputs!$C$47*37.719))*43758.5453)))-1)))</f>
        <v>437.23203216912464</v>
      </c>
      <c r="K111" s="9">
        <f>-((((SQRT((Model_Data!A111)^2+Inputs!$C$6^2+((Model_Data!B111)-((Inputs!$C$51*(115*EXP(-(((Inputs!$C$6)-25)^2)/(4.5^2))+70*EXP(-(((Inputs!$C$6)+38)^2)/(7^2))*(0.55+0.45*SIN(2*PI()*(Model_Data!A111)/45))+24*SIN(2*PI()*(Inputs!$C$6)/9+(Model_Data!A111)/18)*EXP(-(((Inputs!$C$6)+5)^2)/(22^2))+18*SIN(2*PI()*(Model_Data!A111)/70))+Inputs!$C$28*EXP(-(((Model_Data!A111)-Inputs!$C$29)^2)/(2*Inputs!$C$31^2))*EXP(-(((Inputs!$C$6)-Inputs!$C$30)^2)/(2*Inputs!$C$32^2))+-Inputs!$C$33*EXP(-(((((Model_Data!A111)-Inputs!$C$34)^2)+(((Inputs!$C$6)-Inputs!$C$35)^2))/(2*Inputs!$C$36^2)))+Inputs!$C$37*(0.55*SIN(2*PI()*(Model_Data!A111)/Inputs!$C$39)+0.35*COS(2*PI()*(Inputs!$C$6)/Inputs!$C$40)+0.2*SIN(2*PI()*((Model_Data!A111)+(Inputs!$C$6))/(0.5*(Inputs!$C$39+Inputs!$C$40))))+Inputs!$C$38*SIN(2*PI()*(Model_Data!A111)/Inputs!$C$39)*SIN(2*PI()*(Inputs!$C$6)/Inputs!$C$40)+-Inputs!$C$41*EXP(-(((Inputs!$C$6)-Inputs!$C$43)^2)/(2*Inputs!$C$44^2))*EXP(-(((Model_Data!A111)-Inputs!$C$42)^2)/(2*Inputs!$C$45^2))+Inputs!$C$48*(0.7*(0.45*SIN(2*PI()*(((Model_Data!A111)/Inputs!$C$49)+Inputs!$C$47*0.137))+0.35*COS(2*PI()*(((Inputs!$C$6)/Inputs!$C$50)+Inputs!$C$47*0.173))+0.2*SIN(2*PI()*(((Model_Data!A111)+(Inputs!$C$6))/(0.5*(Inputs!$C$49+Inputs!$C$50))+Inputs!$C$47*0.097)))+0.3*(2*((SIN(((Model_Data!A111)*12.9898+(Inputs!$C$6)*78.233+Inputs!$C$47*37.719))*43758.5453)-INT((SIN(((Model_Data!A111)*12.9898+(Inputs!$C$6)*78.233+Inputs!$C$47*37.719))*43758.5453)))-1))))/1000)^2))-(((Model_Data!B111)-((Inputs!$C$51*(115*EXP(-(((0)-25)^2)/(4.5^2))+70*EXP(-(((0)+38)^2)/(7^2))*(0.55+0.45*SIN(2*PI()*(Model_Data!A111)/45))+24*SIN(2*PI()*(0)/9+(Model_Data!A111)/18)*EXP(-(((0)+5)^2)/(22^2))+18*SIN(2*PI()*(Model_Data!A111)/70))+Inputs!$C$28*EXP(-(((Model_Data!A111)-Inputs!$C$29)^2)/(2*Inputs!$C$31^2))*EXP(-(((0)-Inputs!$C$30)^2)/(2*Inputs!$C$32^2))+-Inputs!$C$33*EXP(-(((((Model_Data!A111)-Inputs!$C$34)^2)+(((0)-Inputs!$C$35)^2))/(2*Inputs!$C$36^2)))+Inputs!$C$37*(0.55*SIN(2*PI()*(Model_Data!A111)/Inputs!$C$39)+0.35*COS(2*PI()*(0)/Inputs!$C$40)+0.2*SIN(2*PI()*((Model_Data!A111)+(0))/(0.5*(Inputs!$C$39+Inputs!$C$40))))+Inputs!$C$38*SIN(2*PI()*(Model_Data!A111)/Inputs!$C$39)*SIN(2*PI()*(0)/Inputs!$C$40)+-Inputs!$C$41*EXP(-(((0)-Inputs!$C$43)^2)/(2*Inputs!$C$44^2))*EXP(-(((Model_Data!A111)-Inputs!$C$42)^2)/(2*Inputs!$C$45^2))+Inputs!$C$48*(0.7*(0.45*SIN(2*PI()*(((Model_Data!A111)/Inputs!$C$49)+Inputs!$C$47*0.137))+0.35*COS(2*PI()*(((0)/Inputs!$C$50)+Inputs!$C$47*0.173))+0.2*SIN(2*PI()*(((Model_Data!A111)+(0))/(0.5*(Inputs!$C$49+Inputs!$C$50))+Inputs!$C$47*0.097)))+0.3*(2*((SIN(((Model_Data!A111)*12.9898+(0)*78.233+Inputs!$C$47*37.719))*43758.5453)-INT((SIN(((Model_Data!A111)*12.9898+(0)*78.233+Inputs!$C$47*37.719))*43758.5453)))-1))))/1000)))*1000/Inputs!$C$12)-Model_Data!F111)</f>
        <v>280.85909675019525</v>
      </c>
      <c r="L111" s="10"/>
      <c r="M111" s="9">
        <f>Model_Data!A111</f>
        <v>-5.5</v>
      </c>
      <c r="N111" s="9">
        <f>Model_Data!P111</f>
        <v>41.468894058837513</v>
      </c>
      <c r="O111" s="9">
        <f t="shared" si="2"/>
        <v>7.5489276494408841</v>
      </c>
      <c r="P111" s="9">
        <f>Model_Data!Q111</f>
        <v>6.2265606694951225</v>
      </c>
      <c r="Q111" s="9">
        <f t="shared" si="3"/>
        <v>1.1334726200361689</v>
      </c>
      <c r="R111" s="10"/>
      <c r="S111" s="9">
        <f>Model_Data!A111</f>
        <v>-5.5</v>
      </c>
      <c r="T111" s="9">
        <f>Model_Data!B111-Inputs!$C$5</f>
        <v>3.361111111109949E-2</v>
      </c>
      <c r="U111" s="10"/>
      <c r="V111" s="9">
        <f>Model_Data!A111</f>
        <v>-5.5</v>
      </c>
      <c r="W111" s="9">
        <f>((SQRT((Model_Data!A111)^2+Inputs!$C$6^2+Inputs!$C$5^2)-Inputs!$C$5)*1000/Inputs!$C$12)</f>
        <v>459.67732219988454</v>
      </c>
      <c r="X111" s="9">
        <f>Model_Data!F111</f>
        <v>459.63877861482985</v>
      </c>
      <c r="Y111" s="10"/>
      <c r="Z111" s="9">
        <f>Model_Data!A111</f>
        <v>-5.5</v>
      </c>
      <c r="AA111" s="9">
        <f>SQRT((Model_Data!A111)^2+Inputs!$C$6^2+((Model_Data!B111)-((Inputs!$C$51*(115*EXP(-(((Inputs!$C$6)-25)^2)/(4.5^2))+70*EXP(-(((Inputs!$C$6)+38)^2)/(7^2))*(0.55+0.45*SIN(2*PI()*(Model_Data!A111)/45))+24*SIN(2*PI()*(Inputs!$C$6)/9+(Model_Data!A111)/18)*EXP(-(((Inputs!$C$6)+5)^2)/(22^2))+18*SIN(2*PI()*(Model_Data!A111)/70))+Inputs!$C$28*EXP(-(((Model_Data!A111)-Inputs!$C$29)^2)/(2*Inputs!$C$31^2))*EXP(-(((Inputs!$C$6)-Inputs!$C$30)^2)/(2*Inputs!$C$32^2))+-Inputs!$C$33*EXP(-(((((Model_Data!A111)-Inputs!$C$34)^2)+(((Inputs!$C$6)-Inputs!$C$35)^2))/(2*Inputs!$C$36^2)))+Inputs!$C$37*(0.55*SIN(2*PI()*(Model_Data!A111)/Inputs!$C$39)+0.35*COS(2*PI()*(Inputs!$C$6)/Inputs!$C$40)+0.2*SIN(2*PI()*((Model_Data!A111)+(Inputs!$C$6))/(0.5*(Inputs!$C$39+Inputs!$C$40))))+Inputs!$C$38*SIN(2*PI()*(Model_Data!A111)/Inputs!$C$39)*SIN(2*PI()*(Inputs!$C$6)/Inputs!$C$40)+-Inputs!$C$41*EXP(-(((Inputs!$C$6)-Inputs!$C$43)^2)/(2*Inputs!$C$44^2))*EXP(-(((Model_Data!A111)-Inputs!$C$42)^2)/(2*Inputs!$C$45^2))+Inputs!$C$48*(0.7*(0.45*SIN(2*PI()*(((Model_Data!A111)/Inputs!$C$49)+Inputs!$C$47*0.137))+0.35*COS(2*PI()*(((Inputs!$C$6)/Inputs!$C$50)+Inputs!$C$47*0.173))+0.2*SIN(2*PI()*(((Model_Data!A111)+(Inputs!$C$6))/(0.5*(Inputs!$C$49+Inputs!$C$50))+Inputs!$C$47*0.097)))+0.3*(2*((SIN(((Model_Data!A111)*12.9898+(Inputs!$C$6)*78.233+Inputs!$C$47*37.719))*43758.5453)-INT((SIN(((Model_Data!A111)*12.9898+(Inputs!$C$6)*78.233+Inputs!$C$47*37.719))*43758.5453)))-1))))/1000)^2)</f>
        <v>400.41542948917629</v>
      </c>
      <c r="AB111" s="9">
        <f>1000*(AA112-AA110)/(Z112-Z110)*Inputs!$C$11</f>
        <v>-18.87231912360221</v>
      </c>
      <c r="AC111" s="9">
        <f>-2*AB111/Inputs!$C$13</f>
        <v>7.5489276494408841</v>
      </c>
      <c r="AD111" s="9">
        <f>-2*AB111/Inputs!$C$14</f>
        <v>1.1334726200361689</v>
      </c>
    </row>
    <row r="112" spans="1:30">
      <c r="A112" s="9">
        <f>Model_Data!A112</f>
        <v>-5</v>
      </c>
      <c r="B112" s="9">
        <f>((SQRT((Model_Data!A112)^2+Inputs!$C$6^2+Inputs!$C$5^2)-Inputs!$C$5)*1000/Inputs!$C$12)</f>
        <v>455.99802057395618</v>
      </c>
      <c r="C112" s="9">
        <f>Model_Data!F112</f>
        <v>455.96642035985531</v>
      </c>
      <c r="D112" s="9">
        <f>(((SQRT((Model_Data!A112)^2+Inputs!$C$6^2+((Model_Data!B112)-((Inputs!$C$51*(115*EXP(-(((Inputs!$C$6)-25)^2)/(4.5^2))+70*EXP(-(((Inputs!$C$6)+38)^2)/(7^2))*(0.55+0.45*SIN(2*PI()*(Model_Data!A112)/45))+24*SIN(2*PI()*(Inputs!$C$6)/9+(Model_Data!A112)/18)*EXP(-(((Inputs!$C$6)+5)^2)/(22^2))+18*SIN(2*PI()*(Model_Data!A112)/70))+Inputs!$C$28*EXP(-(((Model_Data!A112)-Inputs!$C$29)^2)/(2*Inputs!$C$31^2))*EXP(-(((Inputs!$C$6)-Inputs!$C$30)^2)/(2*Inputs!$C$32^2))+-Inputs!$C$33*EXP(-(((((Model_Data!A112)-Inputs!$C$34)^2)+(((Inputs!$C$6)-Inputs!$C$35)^2))/(2*Inputs!$C$36^2)))+Inputs!$C$37*(0.55*SIN(2*PI()*(Model_Data!A112)/Inputs!$C$39)+0.35*COS(2*PI()*(Inputs!$C$6)/Inputs!$C$40)+0.2*SIN(2*PI()*((Model_Data!A112)+(Inputs!$C$6))/(0.5*(Inputs!$C$39+Inputs!$C$40))))+Inputs!$C$38*SIN(2*PI()*(Model_Data!A112)/Inputs!$C$39)*SIN(2*PI()*(Inputs!$C$6)/Inputs!$C$40)+-Inputs!$C$41*EXP(-(((Inputs!$C$6)-Inputs!$C$43)^2)/(2*Inputs!$C$44^2))*EXP(-(((Model_Data!A112)-Inputs!$C$42)^2)/(2*Inputs!$C$45^2))+Inputs!$C$48*(0.7*(0.45*SIN(2*PI()*(((Model_Data!A112)/Inputs!$C$49)+Inputs!$C$47*0.137))+0.35*COS(2*PI()*(((Inputs!$C$6)/Inputs!$C$50)+Inputs!$C$47*0.173))+0.2*SIN(2*PI()*(((Model_Data!A112)+(Inputs!$C$6))/(0.5*(Inputs!$C$49+Inputs!$C$50))+Inputs!$C$47*0.097)))+0.3*(2*((SIN(((Model_Data!A112)*12.9898+(Inputs!$C$6)*78.233+Inputs!$C$47*37.719))*43758.5453)-INT((SIN(((Model_Data!A112)*12.9898+(Inputs!$C$6)*78.233+Inputs!$C$47*37.719))*43758.5453)))-1))))/1000)^2))-(((Model_Data!B112)-((Inputs!$C$51*(115*EXP(-(((0)-25)^2)/(4.5^2))+70*EXP(-(((0)+38)^2)/(7^2))*(0.55+0.45*SIN(2*PI()*(Model_Data!A112)/45))+24*SIN(2*PI()*(0)/9+(Model_Data!A112)/18)*EXP(-(((0)+5)^2)/(22^2))+18*SIN(2*PI()*(Model_Data!A112)/70))+Inputs!$C$28*EXP(-(((Model_Data!A112)-Inputs!$C$29)^2)/(2*Inputs!$C$31^2))*EXP(-(((0)-Inputs!$C$30)^2)/(2*Inputs!$C$32^2))+-Inputs!$C$33*EXP(-(((((Model_Data!A112)-Inputs!$C$34)^2)+(((0)-Inputs!$C$35)^2))/(2*Inputs!$C$36^2)))+Inputs!$C$37*(0.55*SIN(2*PI()*(Model_Data!A112)/Inputs!$C$39)+0.35*COS(2*PI()*(0)/Inputs!$C$40)+0.2*SIN(2*PI()*((Model_Data!A112)+(0))/(0.5*(Inputs!$C$39+Inputs!$C$40))))+Inputs!$C$38*SIN(2*PI()*(Model_Data!A112)/Inputs!$C$39)*SIN(2*PI()*(0)/Inputs!$C$40)+-Inputs!$C$41*EXP(-(((0)-Inputs!$C$43)^2)/(2*Inputs!$C$44^2))*EXP(-(((Model_Data!A112)-Inputs!$C$42)^2)/(2*Inputs!$C$45^2))+Inputs!$C$48*(0.7*(0.45*SIN(2*PI()*(((Model_Data!A112)/Inputs!$C$49)+Inputs!$C$47*0.137))+0.35*COS(2*PI()*(((0)/Inputs!$C$50)+Inputs!$C$47*0.173))+0.2*SIN(2*PI()*(((Model_Data!A112)+(0))/(0.5*(Inputs!$C$49+Inputs!$C$50))+Inputs!$C$47*0.097)))+0.3*(2*((SIN(((Model_Data!A112)*12.9898+(0)*78.233+Inputs!$C$47*37.719))*43758.5453)-INT((SIN(((Model_Data!A112)*12.9898+(0)*78.233+Inputs!$C$47*37.719))*43758.5453)))-1))))/1000)))*1000/Inputs!$C$12)</f>
        <v>175.474163614936</v>
      </c>
      <c r="E112" s="9">
        <f>Model_Data!A112</f>
        <v>-5</v>
      </c>
      <c r="F112" s="9">
        <f>(Inputs!$C$51*(115*EXP(-(((Inputs!$C$6)-25)^2)/(4.5^2))+70*EXP(-(((Inputs!$C$6)+38)^2)/(7^2))*(0.55+0.45*SIN(2*PI()*(Model_Data!A112)/45))+24*SIN(2*PI()*(Inputs!$C$6)/9+(Model_Data!A112)/18)*EXP(-(((Inputs!$C$6)+5)^2)/(22^2))+18*SIN(2*PI()*(Model_Data!A112)/70))+Inputs!$C$28*EXP(-(((Model_Data!A112)-Inputs!$C$29)^2)/(2*Inputs!$C$31^2))*EXP(-(((Inputs!$C$6)-Inputs!$C$30)^2)/(2*Inputs!$C$32^2))+-Inputs!$C$33*EXP(-(((((Model_Data!A112)-Inputs!$C$34)^2)+(((Inputs!$C$6)-Inputs!$C$35)^2))/(2*Inputs!$C$36^2)))+Inputs!$C$37*(0.55*SIN(2*PI()*(Model_Data!A112)/Inputs!$C$39)+0.35*COS(2*PI()*(Inputs!$C$6)/Inputs!$C$40)+0.2*SIN(2*PI()*((Model_Data!A112)+(Inputs!$C$6))/(0.5*(Inputs!$C$39+Inputs!$C$40))))+Inputs!$C$38*SIN(2*PI()*(Model_Data!A112)/Inputs!$C$39)*SIN(2*PI()*(Inputs!$C$6)/Inputs!$C$40)+-Inputs!$C$41*EXP(-(((Inputs!$C$6)-Inputs!$C$43)^2)/(2*Inputs!$C$44^2))*EXP(-(((Model_Data!A112)-Inputs!$C$42)^2)/(2*Inputs!$C$45^2))+Inputs!$C$48*(0.7*(0.45*SIN(2*PI()*(((Model_Data!A112)/Inputs!$C$49)+Inputs!$C$47*0.137))+0.35*COS(2*PI()*(((Inputs!$C$6)/Inputs!$C$50)+Inputs!$C$47*0.173))+0.2*SIN(2*PI()*(((Model_Data!A112)+(Inputs!$C$6))/(0.5*(Inputs!$C$49+Inputs!$C$50))+Inputs!$C$47*0.097)))+0.3*(2*((SIN(((Model_Data!A112)*12.9898+(Inputs!$C$6)*78.233+Inputs!$C$47*37.719))*43758.5453)-INT((SIN(((Model_Data!A112)*12.9898+(Inputs!$C$6)*78.233+Inputs!$C$47*37.719))*43758.5453)))-1)))</f>
        <v>426.49509936551561</v>
      </c>
      <c r="G112" s="9">
        <f>(Inputs!$C$51*(115*EXP(-(((0)-25)^2)/(4.5^2))+70*EXP(-(((0)+38)^2)/(7^2))*(0.55+0.45*SIN(2*PI()*(Model_Data!A112)/45))+24*SIN(2*PI()*(0)/9+(Model_Data!A112)/18)*EXP(-(((0)+5)^2)/(22^2))+18*SIN(2*PI()*(Model_Data!A112)/70))+Inputs!$C$28*EXP(-(((Model_Data!A112)-Inputs!$C$29)^2)/(2*Inputs!$C$31^2))*EXP(-(((0)-Inputs!$C$30)^2)/(2*Inputs!$C$32^2))+-Inputs!$C$33*EXP(-(((((Model_Data!A112)-Inputs!$C$34)^2)+(((0)-Inputs!$C$35)^2))/(2*Inputs!$C$36^2)))+Inputs!$C$37*(0.55*SIN(2*PI()*(Model_Data!A112)/Inputs!$C$39)+0.35*COS(2*PI()*(0)/Inputs!$C$40)+0.2*SIN(2*PI()*((Model_Data!A112)+(0))/(0.5*(Inputs!$C$39+Inputs!$C$40))))+Inputs!$C$38*SIN(2*PI()*(Model_Data!A112)/Inputs!$C$39)*SIN(2*PI()*(0)/Inputs!$C$40)+-Inputs!$C$41*EXP(-(((0)-Inputs!$C$43)^2)/(2*Inputs!$C$44^2))*EXP(-(((Model_Data!A112)-Inputs!$C$42)^2)/(2*Inputs!$C$45^2))+Inputs!$C$48*(0.7*(0.45*SIN(2*PI()*(((Model_Data!A112)/Inputs!$C$49)+Inputs!$C$47*0.137))+0.35*COS(2*PI()*(((0)/Inputs!$C$50)+Inputs!$C$47*0.173))+0.2*SIN(2*PI()*(((Model_Data!A112)+(0))/(0.5*(Inputs!$C$49+Inputs!$C$50))+Inputs!$C$47*0.097)))+0.3*(2*((SIN(((Model_Data!A112)*12.9898+(0)*78.233+Inputs!$C$47*37.719))*43758.5453)-INT((SIN(((Model_Data!A112)*12.9898+(0)*78.233+Inputs!$C$47*37.719))*43758.5453)))-1)))</f>
        <v>-73.645604458171718</v>
      </c>
      <c r="H112" s="10"/>
      <c r="I112" s="9">
        <f>Model_Data!A112</f>
        <v>-5</v>
      </c>
      <c r="J112" s="9">
        <f>(Inputs!$C$51*(115*EXP(-(((Inputs!$C$6)-25)^2)/(4.5^2))+70*EXP(-(((Inputs!$C$6)+38)^2)/(7^2))*(0.55+0.45*SIN(2*PI()*(Model_Data!A112)/45))+24*SIN(2*PI()*(Inputs!$C$6)/9+(Model_Data!A112)/18)*EXP(-(((Inputs!$C$6)+5)^2)/(22^2))+18*SIN(2*PI()*(Model_Data!A112)/70))+Inputs!$C$28*EXP(-(((Model_Data!A112)-Inputs!$C$29)^2)/(2*Inputs!$C$31^2))*EXP(-(((Inputs!$C$6)-Inputs!$C$30)^2)/(2*Inputs!$C$32^2))+-Inputs!$C$33*EXP(-(((((Model_Data!A112)-Inputs!$C$34)^2)+(((Inputs!$C$6)-Inputs!$C$35)^2))/(2*Inputs!$C$36^2)))+Inputs!$C$37*(0.55*SIN(2*PI()*(Model_Data!A112)/Inputs!$C$39)+0.35*COS(2*PI()*(Inputs!$C$6)/Inputs!$C$40)+0.2*SIN(2*PI()*((Model_Data!A112)+(Inputs!$C$6))/(0.5*(Inputs!$C$39+Inputs!$C$40))))+Inputs!$C$38*SIN(2*PI()*(Model_Data!A112)/Inputs!$C$39)*SIN(2*PI()*(Inputs!$C$6)/Inputs!$C$40)+-Inputs!$C$41*EXP(-(((Inputs!$C$6)-Inputs!$C$43)^2)/(2*Inputs!$C$44^2))*EXP(-(((Model_Data!A112)-Inputs!$C$42)^2)/(2*Inputs!$C$45^2))+Inputs!$C$48*(0.7*(0.45*SIN(2*PI()*(((Model_Data!A112)/Inputs!$C$49)+Inputs!$C$47*0.137))+0.35*COS(2*PI()*(((Inputs!$C$6)/Inputs!$C$50)+Inputs!$C$47*0.173))+0.2*SIN(2*PI()*(((Model_Data!A112)+(Inputs!$C$6))/(0.5*(Inputs!$C$49+Inputs!$C$50))+Inputs!$C$47*0.097)))+0.3*(2*((SIN(((Model_Data!A112)*12.9898+(Inputs!$C$6)*78.233+Inputs!$C$47*37.719))*43758.5453)-INT((SIN(((Model_Data!A112)*12.9898+(Inputs!$C$6)*78.233+Inputs!$C$47*37.719))*43758.5453)))-1)))</f>
        <v>426.49509936551561</v>
      </c>
      <c r="K112" s="9">
        <f>-((((SQRT((Model_Data!A112)^2+Inputs!$C$6^2+((Model_Data!B112)-((Inputs!$C$51*(115*EXP(-(((Inputs!$C$6)-25)^2)/(4.5^2))+70*EXP(-(((Inputs!$C$6)+38)^2)/(7^2))*(0.55+0.45*SIN(2*PI()*(Model_Data!A112)/45))+24*SIN(2*PI()*(Inputs!$C$6)/9+(Model_Data!A112)/18)*EXP(-(((Inputs!$C$6)+5)^2)/(22^2))+18*SIN(2*PI()*(Model_Data!A112)/70))+Inputs!$C$28*EXP(-(((Model_Data!A112)-Inputs!$C$29)^2)/(2*Inputs!$C$31^2))*EXP(-(((Inputs!$C$6)-Inputs!$C$30)^2)/(2*Inputs!$C$32^2))+-Inputs!$C$33*EXP(-(((((Model_Data!A112)-Inputs!$C$34)^2)+(((Inputs!$C$6)-Inputs!$C$35)^2))/(2*Inputs!$C$36^2)))+Inputs!$C$37*(0.55*SIN(2*PI()*(Model_Data!A112)/Inputs!$C$39)+0.35*COS(2*PI()*(Inputs!$C$6)/Inputs!$C$40)+0.2*SIN(2*PI()*((Model_Data!A112)+(Inputs!$C$6))/(0.5*(Inputs!$C$39+Inputs!$C$40))))+Inputs!$C$38*SIN(2*PI()*(Model_Data!A112)/Inputs!$C$39)*SIN(2*PI()*(Inputs!$C$6)/Inputs!$C$40)+-Inputs!$C$41*EXP(-(((Inputs!$C$6)-Inputs!$C$43)^2)/(2*Inputs!$C$44^2))*EXP(-(((Model_Data!A112)-Inputs!$C$42)^2)/(2*Inputs!$C$45^2))+Inputs!$C$48*(0.7*(0.45*SIN(2*PI()*(((Model_Data!A112)/Inputs!$C$49)+Inputs!$C$47*0.137))+0.35*COS(2*PI()*(((Inputs!$C$6)/Inputs!$C$50)+Inputs!$C$47*0.173))+0.2*SIN(2*PI()*(((Model_Data!A112)+(Inputs!$C$6))/(0.5*(Inputs!$C$49+Inputs!$C$50))+Inputs!$C$47*0.097)))+0.3*(2*((SIN(((Model_Data!A112)*12.9898+(Inputs!$C$6)*78.233+Inputs!$C$47*37.719))*43758.5453)-INT((SIN(((Model_Data!A112)*12.9898+(Inputs!$C$6)*78.233+Inputs!$C$47*37.719))*43758.5453)))-1))))/1000)^2))-(((Model_Data!B112)-((Inputs!$C$51*(115*EXP(-(((0)-25)^2)/(4.5^2))+70*EXP(-(((0)+38)^2)/(7^2))*(0.55+0.45*SIN(2*PI()*(Model_Data!A112)/45))+24*SIN(2*PI()*(0)/9+(Model_Data!A112)/18)*EXP(-(((0)+5)^2)/(22^2))+18*SIN(2*PI()*(Model_Data!A112)/70))+Inputs!$C$28*EXP(-(((Model_Data!A112)-Inputs!$C$29)^2)/(2*Inputs!$C$31^2))*EXP(-(((0)-Inputs!$C$30)^2)/(2*Inputs!$C$32^2))+-Inputs!$C$33*EXP(-(((((Model_Data!A112)-Inputs!$C$34)^2)+(((0)-Inputs!$C$35)^2))/(2*Inputs!$C$36^2)))+Inputs!$C$37*(0.55*SIN(2*PI()*(Model_Data!A112)/Inputs!$C$39)+0.35*COS(2*PI()*(0)/Inputs!$C$40)+0.2*SIN(2*PI()*((Model_Data!A112)+(0))/(0.5*(Inputs!$C$39+Inputs!$C$40))))+Inputs!$C$38*SIN(2*PI()*(Model_Data!A112)/Inputs!$C$39)*SIN(2*PI()*(0)/Inputs!$C$40)+-Inputs!$C$41*EXP(-(((0)-Inputs!$C$43)^2)/(2*Inputs!$C$44^2))*EXP(-(((Model_Data!A112)-Inputs!$C$42)^2)/(2*Inputs!$C$45^2))+Inputs!$C$48*(0.7*(0.45*SIN(2*PI()*(((Model_Data!A112)/Inputs!$C$49)+Inputs!$C$47*0.137))+0.35*COS(2*PI()*(((0)/Inputs!$C$50)+Inputs!$C$47*0.173))+0.2*SIN(2*PI()*(((Model_Data!A112)+(0))/(0.5*(Inputs!$C$49+Inputs!$C$50))+Inputs!$C$47*0.097)))+0.3*(2*((SIN(((Model_Data!A112)*12.9898+(0)*78.233+Inputs!$C$47*37.719))*43758.5453)-INT((SIN(((Model_Data!A112)*12.9898+(0)*78.233+Inputs!$C$47*37.719))*43758.5453)))-1))))/1000)))*1000/Inputs!$C$12)-Model_Data!F112)</f>
        <v>280.4922567449193</v>
      </c>
      <c r="L112" s="10"/>
      <c r="M112" s="9">
        <f>Model_Data!A112</f>
        <v>-5</v>
      </c>
      <c r="N112" s="9">
        <f>Model_Data!P112</f>
        <v>37.699899294940856</v>
      </c>
      <c r="O112" s="9">
        <f t="shared" si="2"/>
        <v>15.484250027111557</v>
      </c>
      <c r="P112" s="9">
        <f>Model_Data!Q112</f>
        <v>5.6606455397809095</v>
      </c>
      <c r="Q112" s="9">
        <f t="shared" si="3"/>
        <v>2.3249624665332669</v>
      </c>
      <c r="R112" s="10"/>
      <c r="S112" s="9">
        <f>Model_Data!A112</f>
        <v>-5</v>
      </c>
      <c r="T112" s="9">
        <f>Model_Data!B112-Inputs!$C$5</f>
        <v>2.7777777777771462E-2</v>
      </c>
      <c r="U112" s="10"/>
      <c r="V112" s="9">
        <f>Model_Data!A112</f>
        <v>-5</v>
      </c>
      <c r="W112" s="9">
        <f>((SQRT((Model_Data!A112)^2+Inputs!$C$6^2+Inputs!$C$5^2)-Inputs!$C$5)*1000/Inputs!$C$12)</f>
        <v>455.99802057395618</v>
      </c>
      <c r="X112" s="9">
        <f>Model_Data!F112</f>
        <v>455.96642035985531</v>
      </c>
      <c r="Y112" s="10"/>
      <c r="Z112" s="9">
        <f>Model_Data!A112</f>
        <v>-5</v>
      </c>
      <c r="AA112" s="9">
        <f>SQRT((Model_Data!A112)^2+Inputs!$C$6^2+((Model_Data!B112)-((Inputs!$C$51*(115*EXP(-(((Inputs!$C$6)-25)^2)/(4.5^2))+70*EXP(-(((Inputs!$C$6)+38)^2)/(7^2))*(0.55+0.45*SIN(2*PI()*(Model_Data!A112)/45))+24*SIN(2*PI()*(Inputs!$C$6)/9+(Model_Data!A112)/18)*EXP(-(((Inputs!$C$6)+5)^2)/(22^2))+18*SIN(2*PI()*(Model_Data!A112)/70))+Inputs!$C$28*EXP(-(((Model_Data!A112)-Inputs!$C$29)^2)/(2*Inputs!$C$31^2))*EXP(-(((Inputs!$C$6)-Inputs!$C$30)^2)/(2*Inputs!$C$32^2))+-Inputs!$C$33*EXP(-(((((Model_Data!A112)-Inputs!$C$34)^2)+(((Inputs!$C$6)-Inputs!$C$35)^2))/(2*Inputs!$C$36^2)))+Inputs!$C$37*(0.55*SIN(2*PI()*(Model_Data!A112)/Inputs!$C$39)+0.35*COS(2*PI()*(Inputs!$C$6)/Inputs!$C$40)+0.2*SIN(2*PI()*((Model_Data!A112)+(Inputs!$C$6))/(0.5*(Inputs!$C$39+Inputs!$C$40))))+Inputs!$C$38*SIN(2*PI()*(Model_Data!A112)/Inputs!$C$39)*SIN(2*PI()*(Inputs!$C$6)/Inputs!$C$40)+-Inputs!$C$41*EXP(-(((Inputs!$C$6)-Inputs!$C$43)^2)/(2*Inputs!$C$44^2))*EXP(-(((Model_Data!A112)-Inputs!$C$42)^2)/(2*Inputs!$C$45^2))+Inputs!$C$48*(0.7*(0.45*SIN(2*PI()*(((Model_Data!A112)/Inputs!$C$49)+Inputs!$C$47*0.137))+0.35*COS(2*PI()*(((Inputs!$C$6)/Inputs!$C$50)+Inputs!$C$47*0.173))+0.2*SIN(2*PI()*(((Model_Data!A112)+(Inputs!$C$6))/(0.5*(Inputs!$C$49+Inputs!$C$50))+Inputs!$C$47*0.097)))+0.3*(2*((SIN(((Model_Data!A112)*12.9898+(Inputs!$C$6)*78.233+Inputs!$C$47*37.719))*43758.5453)-INT((SIN(((Model_Data!A112)*12.9898+(Inputs!$C$6)*78.233+Inputs!$C$47*37.719))*43758.5453)))-1))))/1000)^2)</f>
        <v>400.41376739347055</v>
      </c>
      <c r="AB112" s="9">
        <f>1000*(AA113-AA111)/(Z113-Z111)*Inputs!$C$11</f>
        <v>-38.710625067778892</v>
      </c>
      <c r="AC112" s="9">
        <f>-2*AB112/Inputs!$C$13</f>
        <v>15.484250027111557</v>
      </c>
      <c r="AD112" s="9">
        <f>-2*AB112/Inputs!$C$14</f>
        <v>2.3249624665332669</v>
      </c>
    </row>
    <row r="113" spans="1:30">
      <c r="A113" s="9">
        <f>Model_Data!A113</f>
        <v>-4.5</v>
      </c>
      <c r="B113" s="9">
        <f>((SQRT((Model_Data!A113)^2+Inputs!$C$6^2+Inputs!$C$5^2)-Inputs!$C$5)*1000/Inputs!$C$12)</f>
        <v>452.66907682283477</v>
      </c>
      <c r="C113" s="9">
        <f>Model_Data!F113</f>
        <v>452.64366680049187</v>
      </c>
      <c r="D113" s="9">
        <f>(((SQRT((Model_Data!A113)^2+Inputs!$C$6^2+((Model_Data!B113)-((Inputs!$C$51*(115*EXP(-(((Inputs!$C$6)-25)^2)/(4.5^2))+70*EXP(-(((Inputs!$C$6)+38)^2)/(7^2))*(0.55+0.45*SIN(2*PI()*(Model_Data!A113)/45))+24*SIN(2*PI()*(Inputs!$C$6)/9+(Model_Data!A113)/18)*EXP(-(((Inputs!$C$6)+5)^2)/(22^2))+18*SIN(2*PI()*(Model_Data!A113)/70))+Inputs!$C$28*EXP(-(((Model_Data!A113)-Inputs!$C$29)^2)/(2*Inputs!$C$31^2))*EXP(-(((Inputs!$C$6)-Inputs!$C$30)^2)/(2*Inputs!$C$32^2))+-Inputs!$C$33*EXP(-(((((Model_Data!A113)-Inputs!$C$34)^2)+(((Inputs!$C$6)-Inputs!$C$35)^2))/(2*Inputs!$C$36^2)))+Inputs!$C$37*(0.55*SIN(2*PI()*(Model_Data!A113)/Inputs!$C$39)+0.35*COS(2*PI()*(Inputs!$C$6)/Inputs!$C$40)+0.2*SIN(2*PI()*((Model_Data!A113)+(Inputs!$C$6))/(0.5*(Inputs!$C$39+Inputs!$C$40))))+Inputs!$C$38*SIN(2*PI()*(Model_Data!A113)/Inputs!$C$39)*SIN(2*PI()*(Inputs!$C$6)/Inputs!$C$40)+-Inputs!$C$41*EXP(-(((Inputs!$C$6)-Inputs!$C$43)^2)/(2*Inputs!$C$44^2))*EXP(-(((Model_Data!A113)-Inputs!$C$42)^2)/(2*Inputs!$C$45^2))+Inputs!$C$48*(0.7*(0.45*SIN(2*PI()*(((Model_Data!A113)/Inputs!$C$49)+Inputs!$C$47*0.137))+0.35*COS(2*PI()*(((Inputs!$C$6)/Inputs!$C$50)+Inputs!$C$47*0.173))+0.2*SIN(2*PI()*(((Model_Data!A113)+(Inputs!$C$6))/(0.5*(Inputs!$C$49+Inputs!$C$50))+Inputs!$C$47*0.097)))+0.3*(2*((SIN(((Model_Data!A113)*12.9898+(Inputs!$C$6)*78.233+Inputs!$C$47*37.719))*43758.5453)-INT((SIN(((Model_Data!A113)*12.9898+(Inputs!$C$6)*78.233+Inputs!$C$47*37.719))*43758.5453)))-1))))/1000)^2))-(((Model_Data!B113)-((Inputs!$C$51*(115*EXP(-(((0)-25)^2)/(4.5^2))+70*EXP(-(((0)+38)^2)/(7^2))*(0.55+0.45*SIN(2*PI()*(Model_Data!A113)/45))+24*SIN(2*PI()*(0)/9+(Model_Data!A113)/18)*EXP(-(((0)+5)^2)/(22^2))+18*SIN(2*PI()*(Model_Data!A113)/70))+Inputs!$C$28*EXP(-(((Model_Data!A113)-Inputs!$C$29)^2)/(2*Inputs!$C$31^2))*EXP(-(((0)-Inputs!$C$30)^2)/(2*Inputs!$C$32^2))+-Inputs!$C$33*EXP(-(((((Model_Data!A113)-Inputs!$C$34)^2)+(((0)-Inputs!$C$35)^2))/(2*Inputs!$C$36^2)))+Inputs!$C$37*(0.55*SIN(2*PI()*(Model_Data!A113)/Inputs!$C$39)+0.35*COS(2*PI()*(0)/Inputs!$C$40)+0.2*SIN(2*PI()*((Model_Data!A113)+(0))/(0.5*(Inputs!$C$39+Inputs!$C$40))))+Inputs!$C$38*SIN(2*PI()*(Model_Data!A113)/Inputs!$C$39)*SIN(2*PI()*(0)/Inputs!$C$40)+-Inputs!$C$41*EXP(-(((0)-Inputs!$C$43)^2)/(2*Inputs!$C$44^2))*EXP(-(((Model_Data!A113)-Inputs!$C$42)^2)/(2*Inputs!$C$45^2))+Inputs!$C$48*(0.7*(0.45*SIN(2*PI()*(((Model_Data!A113)/Inputs!$C$49)+Inputs!$C$47*0.137))+0.35*COS(2*PI()*(((0)/Inputs!$C$50)+Inputs!$C$47*0.173))+0.2*SIN(2*PI()*(((Model_Data!A113)+(0))/(0.5*(Inputs!$C$49+Inputs!$C$50))+Inputs!$C$47*0.097)))+0.3*(2*((SIN(((Model_Data!A113)*12.9898+(0)*78.233+Inputs!$C$47*37.719))*43758.5453)-INT((SIN(((Model_Data!A113)*12.9898+(0)*78.233+Inputs!$C$47*37.719))*43758.5453)))-1))))/1000)))*1000/Inputs!$C$12)</f>
        <v>174.24858540868826</v>
      </c>
      <c r="E113" s="9">
        <f>Model_Data!A113</f>
        <v>-4.5</v>
      </c>
      <c r="F113" s="9">
        <f>(Inputs!$C$51*(115*EXP(-(((Inputs!$C$6)-25)^2)/(4.5^2))+70*EXP(-(((Inputs!$C$6)+38)^2)/(7^2))*(0.55+0.45*SIN(2*PI()*(Model_Data!A113)/45))+24*SIN(2*PI()*(Inputs!$C$6)/9+(Model_Data!A113)/18)*EXP(-(((Inputs!$C$6)+5)^2)/(22^2))+18*SIN(2*PI()*(Model_Data!A113)/70))+Inputs!$C$28*EXP(-(((Model_Data!A113)-Inputs!$C$29)^2)/(2*Inputs!$C$31^2))*EXP(-(((Inputs!$C$6)-Inputs!$C$30)^2)/(2*Inputs!$C$32^2))+-Inputs!$C$33*EXP(-(((((Model_Data!A113)-Inputs!$C$34)^2)+(((Inputs!$C$6)-Inputs!$C$35)^2))/(2*Inputs!$C$36^2)))+Inputs!$C$37*(0.55*SIN(2*PI()*(Model_Data!A113)/Inputs!$C$39)+0.35*COS(2*PI()*(Inputs!$C$6)/Inputs!$C$40)+0.2*SIN(2*PI()*((Model_Data!A113)+(Inputs!$C$6))/(0.5*(Inputs!$C$39+Inputs!$C$40))))+Inputs!$C$38*SIN(2*PI()*(Model_Data!A113)/Inputs!$C$39)*SIN(2*PI()*(Inputs!$C$6)/Inputs!$C$40)+-Inputs!$C$41*EXP(-(((Inputs!$C$6)-Inputs!$C$43)^2)/(2*Inputs!$C$44^2))*EXP(-(((Model_Data!A113)-Inputs!$C$42)^2)/(2*Inputs!$C$45^2))+Inputs!$C$48*(0.7*(0.45*SIN(2*PI()*(((Model_Data!A113)/Inputs!$C$49)+Inputs!$C$47*0.137))+0.35*COS(2*PI()*(((Inputs!$C$6)/Inputs!$C$50)+Inputs!$C$47*0.173))+0.2*SIN(2*PI()*(((Model_Data!A113)+(Inputs!$C$6))/(0.5*(Inputs!$C$49+Inputs!$C$50))+Inputs!$C$47*0.097)))+0.3*(2*((SIN(((Model_Data!A113)*12.9898+(Inputs!$C$6)*78.233+Inputs!$C$47*37.719))*43758.5453)-INT((SIN(((Model_Data!A113)*12.9898+(Inputs!$C$6)*78.233+Inputs!$C$47*37.719))*43758.5453)))-1)))</f>
        <v>423.30568039506915</v>
      </c>
      <c r="G113" s="9">
        <f>(Inputs!$C$51*(115*EXP(-(((0)-25)^2)/(4.5^2))+70*EXP(-(((0)+38)^2)/(7^2))*(0.55+0.45*SIN(2*PI()*(Model_Data!A113)/45))+24*SIN(2*PI()*(0)/9+(Model_Data!A113)/18)*EXP(-(((0)+5)^2)/(22^2))+18*SIN(2*PI()*(Model_Data!A113)/70))+Inputs!$C$28*EXP(-(((Model_Data!A113)-Inputs!$C$29)^2)/(2*Inputs!$C$31^2))*EXP(-(((0)-Inputs!$C$30)^2)/(2*Inputs!$C$32^2))+-Inputs!$C$33*EXP(-(((((Model_Data!A113)-Inputs!$C$34)^2)+(((0)-Inputs!$C$35)^2))/(2*Inputs!$C$36^2)))+Inputs!$C$37*(0.55*SIN(2*PI()*(Model_Data!A113)/Inputs!$C$39)+0.35*COS(2*PI()*(0)/Inputs!$C$40)+0.2*SIN(2*PI()*((Model_Data!A113)+(0))/(0.5*(Inputs!$C$39+Inputs!$C$40))))+Inputs!$C$38*SIN(2*PI()*(Model_Data!A113)/Inputs!$C$39)*SIN(2*PI()*(0)/Inputs!$C$40)+-Inputs!$C$41*EXP(-(((0)-Inputs!$C$43)^2)/(2*Inputs!$C$44^2))*EXP(-(((Model_Data!A113)-Inputs!$C$42)^2)/(2*Inputs!$C$45^2))+Inputs!$C$48*(0.7*(0.45*SIN(2*PI()*(((Model_Data!A113)/Inputs!$C$49)+Inputs!$C$47*0.137))+0.35*COS(2*PI()*(((0)/Inputs!$C$50)+Inputs!$C$47*0.173))+0.2*SIN(2*PI()*(((Model_Data!A113)+(0))/(0.5*(Inputs!$C$49+Inputs!$C$50))+Inputs!$C$47*0.097)))+0.3*(2*((SIN(((Model_Data!A113)*12.9898+(0)*78.233+Inputs!$C$47*37.719))*43758.5453)-INT((SIN(((Model_Data!A113)*12.9898+(0)*78.233+Inputs!$C$47*37.719))*43758.5453)))-1)))</f>
        <v>-73.089350881891278</v>
      </c>
      <c r="H113" s="10"/>
      <c r="I113" s="9">
        <f>Model_Data!A113</f>
        <v>-4.5</v>
      </c>
      <c r="J113" s="9">
        <f>(Inputs!$C$51*(115*EXP(-(((Inputs!$C$6)-25)^2)/(4.5^2))+70*EXP(-(((Inputs!$C$6)+38)^2)/(7^2))*(0.55+0.45*SIN(2*PI()*(Model_Data!A113)/45))+24*SIN(2*PI()*(Inputs!$C$6)/9+(Model_Data!A113)/18)*EXP(-(((Inputs!$C$6)+5)^2)/(22^2))+18*SIN(2*PI()*(Model_Data!A113)/70))+Inputs!$C$28*EXP(-(((Model_Data!A113)-Inputs!$C$29)^2)/(2*Inputs!$C$31^2))*EXP(-(((Inputs!$C$6)-Inputs!$C$30)^2)/(2*Inputs!$C$32^2))+-Inputs!$C$33*EXP(-(((((Model_Data!A113)-Inputs!$C$34)^2)+(((Inputs!$C$6)-Inputs!$C$35)^2))/(2*Inputs!$C$36^2)))+Inputs!$C$37*(0.55*SIN(2*PI()*(Model_Data!A113)/Inputs!$C$39)+0.35*COS(2*PI()*(Inputs!$C$6)/Inputs!$C$40)+0.2*SIN(2*PI()*((Model_Data!A113)+(Inputs!$C$6))/(0.5*(Inputs!$C$39+Inputs!$C$40))))+Inputs!$C$38*SIN(2*PI()*(Model_Data!A113)/Inputs!$C$39)*SIN(2*PI()*(Inputs!$C$6)/Inputs!$C$40)+-Inputs!$C$41*EXP(-(((Inputs!$C$6)-Inputs!$C$43)^2)/(2*Inputs!$C$44^2))*EXP(-(((Model_Data!A113)-Inputs!$C$42)^2)/(2*Inputs!$C$45^2))+Inputs!$C$48*(0.7*(0.45*SIN(2*PI()*(((Model_Data!A113)/Inputs!$C$49)+Inputs!$C$47*0.137))+0.35*COS(2*PI()*(((Inputs!$C$6)/Inputs!$C$50)+Inputs!$C$47*0.173))+0.2*SIN(2*PI()*(((Model_Data!A113)+(Inputs!$C$6))/(0.5*(Inputs!$C$49+Inputs!$C$50))+Inputs!$C$47*0.097)))+0.3*(2*((SIN(((Model_Data!A113)*12.9898+(Inputs!$C$6)*78.233+Inputs!$C$47*37.719))*43758.5453)-INT((SIN(((Model_Data!A113)*12.9898+(Inputs!$C$6)*78.233+Inputs!$C$47*37.719))*43758.5453)))-1)))</f>
        <v>423.30568039506915</v>
      </c>
      <c r="K113" s="9">
        <f>-((((SQRT((Model_Data!A113)^2+Inputs!$C$6^2+((Model_Data!B113)-((Inputs!$C$51*(115*EXP(-(((Inputs!$C$6)-25)^2)/(4.5^2))+70*EXP(-(((Inputs!$C$6)+38)^2)/(7^2))*(0.55+0.45*SIN(2*PI()*(Model_Data!A113)/45))+24*SIN(2*PI()*(Inputs!$C$6)/9+(Model_Data!A113)/18)*EXP(-(((Inputs!$C$6)+5)^2)/(22^2))+18*SIN(2*PI()*(Model_Data!A113)/70))+Inputs!$C$28*EXP(-(((Model_Data!A113)-Inputs!$C$29)^2)/(2*Inputs!$C$31^2))*EXP(-(((Inputs!$C$6)-Inputs!$C$30)^2)/(2*Inputs!$C$32^2))+-Inputs!$C$33*EXP(-(((((Model_Data!A113)-Inputs!$C$34)^2)+(((Inputs!$C$6)-Inputs!$C$35)^2))/(2*Inputs!$C$36^2)))+Inputs!$C$37*(0.55*SIN(2*PI()*(Model_Data!A113)/Inputs!$C$39)+0.35*COS(2*PI()*(Inputs!$C$6)/Inputs!$C$40)+0.2*SIN(2*PI()*((Model_Data!A113)+(Inputs!$C$6))/(0.5*(Inputs!$C$39+Inputs!$C$40))))+Inputs!$C$38*SIN(2*PI()*(Model_Data!A113)/Inputs!$C$39)*SIN(2*PI()*(Inputs!$C$6)/Inputs!$C$40)+-Inputs!$C$41*EXP(-(((Inputs!$C$6)-Inputs!$C$43)^2)/(2*Inputs!$C$44^2))*EXP(-(((Model_Data!A113)-Inputs!$C$42)^2)/(2*Inputs!$C$45^2))+Inputs!$C$48*(0.7*(0.45*SIN(2*PI()*(((Model_Data!A113)/Inputs!$C$49)+Inputs!$C$47*0.137))+0.35*COS(2*PI()*(((Inputs!$C$6)/Inputs!$C$50)+Inputs!$C$47*0.173))+0.2*SIN(2*PI()*(((Model_Data!A113)+(Inputs!$C$6))/(0.5*(Inputs!$C$49+Inputs!$C$50))+Inputs!$C$47*0.097)))+0.3*(2*((SIN(((Model_Data!A113)*12.9898+(Inputs!$C$6)*78.233+Inputs!$C$47*37.719))*43758.5453)-INT((SIN(((Model_Data!A113)*12.9898+(Inputs!$C$6)*78.233+Inputs!$C$47*37.719))*43758.5453)))-1))))/1000)^2))-(((Model_Data!B113)-((Inputs!$C$51*(115*EXP(-(((0)-25)^2)/(4.5^2))+70*EXP(-(((0)+38)^2)/(7^2))*(0.55+0.45*SIN(2*PI()*(Model_Data!A113)/45))+24*SIN(2*PI()*(0)/9+(Model_Data!A113)/18)*EXP(-(((0)+5)^2)/(22^2))+18*SIN(2*PI()*(Model_Data!A113)/70))+Inputs!$C$28*EXP(-(((Model_Data!A113)-Inputs!$C$29)^2)/(2*Inputs!$C$31^2))*EXP(-(((0)-Inputs!$C$30)^2)/(2*Inputs!$C$32^2))+-Inputs!$C$33*EXP(-(((((Model_Data!A113)-Inputs!$C$34)^2)+(((0)-Inputs!$C$35)^2))/(2*Inputs!$C$36^2)))+Inputs!$C$37*(0.55*SIN(2*PI()*(Model_Data!A113)/Inputs!$C$39)+0.35*COS(2*PI()*(0)/Inputs!$C$40)+0.2*SIN(2*PI()*((Model_Data!A113)+(0))/(0.5*(Inputs!$C$39+Inputs!$C$40))))+Inputs!$C$38*SIN(2*PI()*(Model_Data!A113)/Inputs!$C$39)*SIN(2*PI()*(0)/Inputs!$C$40)+-Inputs!$C$41*EXP(-(((0)-Inputs!$C$43)^2)/(2*Inputs!$C$44^2))*EXP(-(((Model_Data!A113)-Inputs!$C$42)^2)/(2*Inputs!$C$45^2))+Inputs!$C$48*(0.7*(0.45*SIN(2*PI()*(((Model_Data!A113)/Inputs!$C$49)+Inputs!$C$47*0.137))+0.35*COS(2*PI()*(((0)/Inputs!$C$50)+Inputs!$C$47*0.173))+0.2*SIN(2*PI()*(((Model_Data!A113)+(0))/(0.5*(Inputs!$C$49+Inputs!$C$50))+Inputs!$C$47*0.097)))+0.3*(2*((SIN(((Model_Data!A113)*12.9898+(0)*78.233+Inputs!$C$47*37.719))*43758.5453)-INT((SIN(((Model_Data!A113)*12.9898+(0)*78.233+Inputs!$C$47*37.719))*43758.5453)))-1))))/1000)))*1000/Inputs!$C$12)-Model_Data!F113)</f>
        <v>278.39508139180361</v>
      </c>
      <c r="L113" s="10"/>
      <c r="M113" s="9">
        <f>Model_Data!A113</f>
        <v>-4.5</v>
      </c>
      <c r="N113" s="9">
        <f>Model_Data!P113</f>
        <v>33.930646111432324</v>
      </c>
      <c r="O113" s="9">
        <f t="shared" si="2"/>
        <v>33.182607505113992</v>
      </c>
      <c r="P113" s="9">
        <f>Model_Data!Q113</f>
        <v>5.0946916083231724</v>
      </c>
      <c r="Q113" s="9">
        <f t="shared" si="3"/>
        <v>4.982373499266366</v>
      </c>
      <c r="R113" s="10"/>
      <c r="S113" s="9">
        <f>Model_Data!A113</f>
        <v>-4.5</v>
      </c>
      <c r="T113" s="9">
        <f>Model_Data!B113-Inputs!$C$5</f>
        <v>2.2499999999979536E-2</v>
      </c>
      <c r="U113" s="10"/>
      <c r="V113" s="9">
        <f>Model_Data!A113</f>
        <v>-4.5</v>
      </c>
      <c r="W113" s="9">
        <f>((SQRT((Model_Data!A113)^2+Inputs!$C$6^2+Inputs!$C$5^2)-Inputs!$C$5)*1000/Inputs!$C$12)</f>
        <v>452.66907682283477</v>
      </c>
      <c r="X113" s="9">
        <f>Model_Data!F113</f>
        <v>452.64366680049187</v>
      </c>
      <c r="Y113" s="10"/>
      <c r="Z113" s="9">
        <f>Model_Data!A113</f>
        <v>-4.5</v>
      </c>
      <c r="AA113" s="9">
        <f>SQRT((Model_Data!A113)^2+Inputs!$C$6^2+((Model_Data!B113)-((Inputs!$C$51*(115*EXP(-(((Inputs!$C$6)-25)^2)/(4.5^2))+70*EXP(-(((Inputs!$C$6)+38)^2)/(7^2))*(0.55+0.45*SIN(2*PI()*(Model_Data!A113)/45))+24*SIN(2*PI()*(Inputs!$C$6)/9+(Model_Data!A113)/18)*EXP(-(((Inputs!$C$6)+5)^2)/(22^2))+18*SIN(2*PI()*(Model_Data!A113)/70))+Inputs!$C$28*EXP(-(((Model_Data!A113)-Inputs!$C$29)^2)/(2*Inputs!$C$31^2))*EXP(-(((Inputs!$C$6)-Inputs!$C$30)^2)/(2*Inputs!$C$32^2))+-Inputs!$C$33*EXP(-(((((Model_Data!A113)-Inputs!$C$34)^2)+(((Inputs!$C$6)-Inputs!$C$35)^2))/(2*Inputs!$C$36^2)))+Inputs!$C$37*(0.55*SIN(2*PI()*(Model_Data!A113)/Inputs!$C$39)+0.35*COS(2*PI()*(Inputs!$C$6)/Inputs!$C$40)+0.2*SIN(2*PI()*((Model_Data!A113)+(Inputs!$C$6))/(0.5*(Inputs!$C$39+Inputs!$C$40))))+Inputs!$C$38*SIN(2*PI()*(Model_Data!A113)/Inputs!$C$39)*SIN(2*PI()*(Inputs!$C$6)/Inputs!$C$40)+-Inputs!$C$41*EXP(-(((Inputs!$C$6)-Inputs!$C$43)^2)/(2*Inputs!$C$44^2))*EXP(-(((Model_Data!A113)-Inputs!$C$42)^2)/(2*Inputs!$C$45^2))+Inputs!$C$48*(0.7*(0.45*SIN(2*PI()*(((Model_Data!A113)/Inputs!$C$49)+Inputs!$C$47*0.137))+0.35*COS(2*PI()*(((Inputs!$C$6)/Inputs!$C$50)+Inputs!$C$47*0.173))+0.2*SIN(2*PI()*(((Model_Data!A113)+(Inputs!$C$6))/(0.5*(Inputs!$C$49+Inputs!$C$50))+Inputs!$C$47*0.097)))+0.3*(2*((SIN(((Model_Data!A113)*12.9898+(Inputs!$C$6)*78.233+Inputs!$C$47*37.719))*43758.5453)-INT((SIN(((Model_Data!A113)*12.9898+(Inputs!$C$6)*78.233+Inputs!$C$47*37.719))*43758.5453)))-1))))/1000)^2)</f>
        <v>400.40575183290935</v>
      </c>
      <c r="AB113" s="9">
        <f>1000*(AA114-AA112)/(Z114-Z112)*Inputs!$C$11</f>
        <v>-82.956518762784981</v>
      </c>
      <c r="AC113" s="9">
        <f>-2*AB113/Inputs!$C$13</f>
        <v>33.182607505113992</v>
      </c>
      <c r="AD113" s="9">
        <f>-2*AB113/Inputs!$C$14</f>
        <v>4.982373499266366</v>
      </c>
    </row>
    <row r="114" spans="1:30">
      <c r="A114" s="9">
        <f>Model_Data!A114</f>
        <v>-4</v>
      </c>
      <c r="B114" s="9">
        <f>((SQRT((Model_Data!A114)^2+Inputs!$C$6^2+Inputs!$C$5^2)-Inputs!$C$5)*1000/Inputs!$C$12)</f>
        <v>449.69050648585045</v>
      </c>
      <c r="C114" s="9">
        <f>Model_Data!F114</f>
        <v>449.67056103995435</v>
      </c>
      <c r="D114" s="9">
        <f>(((SQRT((Model_Data!A114)^2+Inputs!$C$6^2+((Model_Data!B114)-((Inputs!$C$51*(115*EXP(-(((Inputs!$C$6)-25)^2)/(4.5^2))+70*EXP(-(((Inputs!$C$6)+38)^2)/(7^2))*(0.55+0.45*SIN(2*PI()*(Model_Data!A114)/45))+24*SIN(2*PI()*(Inputs!$C$6)/9+(Model_Data!A114)/18)*EXP(-(((Inputs!$C$6)+5)^2)/(22^2))+18*SIN(2*PI()*(Model_Data!A114)/70))+Inputs!$C$28*EXP(-(((Model_Data!A114)-Inputs!$C$29)^2)/(2*Inputs!$C$31^2))*EXP(-(((Inputs!$C$6)-Inputs!$C$30)^2)/(2*Inputs!$C$32^2))+-Inputs!$C$33*EXP(-(((((Model_Data!A114)-Inputs!$C$34)^2)+(((Inputs!$C$6)-Inputs!$C$35)^2))/(2*Inputs!$C$36^2)))+Inputs!$C$37*(0.55*SIN(2*PI()*(Model_Data!A114)/Inputs!$C$39)+0.35*COS(2*PI()*(Inputs!$C$6)/Inputs!$C$40)+0.2*SIN(2*PI()*((Model_Data!A114)+(Inputs!$C$6))/(0.5*(Inputs!$C$39+Inputs!$C$40))))+Inputs!$C$38*SIN(2*PI()*(Model_Data!A114)/Inputs!$C$39)*SIN(2*PI()*(Inputs!$C$6)/Inputs!$C$40)+-Inputs!$C$41*EXP(-(((Inputs!$C$6)-Inputs!$C$43)^2)/(2*Inputs!$C$44^2))*EXP(-(((Model_Data!A114)-Inputs!$C$42)^2)/(2*Inputs!$C$45^2))+Inputs!$C$48*(0.7*(0.45*SIN(2*PI()*(((Model_Data!A114)/Inputs!$C$49)+Inputs!$C$47*0.137))+0.35*COS(2*PI()*(((Inputs!$C$6)/Inputs!$C$50)+Inputs!$C$47*0.173))+0.2*SIN(2*PI()*(((Model_Data!A114)+(Inputs!$C$6))/(0.5*(Inputs!$C$49+Inputs!$C$50))+Inputs!$C$47*0.097)))+0.3*(2*((SIN(((Model_Data!A114)*12.9898+(Inputs!$C$6)*78.233+Inputs!$C$47*37.719))*43758.5453)-INT((SIN(((Model_Data!A114)*12.9898+(Inputs!$C$6)*78.233+Inputs!$C$47*37.719))*43758.5453)))-1))))/1000)^2))-(((Model_Data!B114)-((Inputs!$C$51*(115*EXP(-(((0)-25)^2)/(4.5^2))+70*EXP(-(((0)+38)^2)/(7^2))*(0.55+0.45*SIN(2*PI()*(Model_Data!A114)/45))+24*SIN(2*PI()*(0)/9+(Model_Data!A114)/18)*EXP(-(((0)+5)^2)/(22^2))+18*SIN(2*PI()*(Model_Data!A114)/70))+Inputs!$C$28*EXP(-(((Model_Data!A114)-Inputs!$C$29)^2)/(2*Inputs!$C$31^2))*EXP(-(((0)-Inputs!$C$30)^2)/(2*Inputs!$C$32^2))+-Inputs!$C$33*EXP(-(((((Model_Data!A114)-Inputs!$C$34)^2)+(((0)-Inputs!$C$35)^2))/(2*Inputs!$C$36^2)))+Inputs!$C$37*(0.55*SIN(2*PI()*(Model_Data!A114)/Inputs!$C$39)+0.35*COS(2*PI()*(0)/Inputs!$C$40)+0.2*SIN(2*PI()*((Model_Data!A114)+(0))/(0.5*(Inputs!$C$39+Inputs!$C$40))))+Inputs!$C$38*SIN(2*PI()*(Model_Data!A114)/Inputs!$C$39)*SIN(2*PI()*(0)/Inputs!$C$40)+-Inputs!$C$41*EXP(-(((0)-Inputs!$C$43)^2)/(2*Inputs!$C$44^2))*EXP(-(((Model_Data!A114)-Inputs!$C$42)^2)/(2*Inputs!$C$45^2))+Inputs!$C$48*(0.7*(0.45*SIN(2*PI()*(((Model_Data!A114)/Inputs!$C$49)+Inputs!$C$47*0.137))+0.35*COS(2*PI()*(((0)/Inputs!$C$50)+Inputs!$C$47*0.173))+0.2*SIN(2*PI()*(((Model_Data!A114)+(0))/(0.5*(Inputs!$C$49+Inputs!$C$50))+Inputs!$C$47*0.097)))+0.3*(2*((SIN(((Model_Data!A114)*12.9898+(0)*78.233+Inputs!$C$47*37.719))*43758.5453)-INT((SIN(((Model_Data!A114)*12.9898+(0)*78.233+Inputs!$C$47*37.719))*43758.5453)))-1))))/1000)))*1000/Inputs!$C$12)</f>
        <v>169.10885113850071</v>
      </c>
      <c r="E114" s="9">
        <f>Model_Data!A114</f>
        <v>-4</v>
      </c>
      <c r="F114" s="9">
        <f>(Inputs!$C$51*(115*EXP(-(((Inputs!$C$6)-25)^2)/(4.5^2))+70*EXP(-(((Inputs!$C$6)+38)^2)/(7^2))*(0.55+0.45*SIN(2*PI()*(Model_Data!A114)/45))+24*SIN(2*PI()*(Inputs!$C$6)/9+(Model_Data!A114)/18)*EXP(-(((Inputs!$C$6)+5)^2)/(22^2))+18*SIN(2*PI()*(Model_Data!A114)/70))+Inputs!$C$28*EXP(-(((Model_Data!A114)-Inputs!$C$29)^2)/(2*Inputs!$C$31^2))*EXP(-(((Inputs!$C$6)-Inputs!$C$30)^2)/(2*Inputs!$C$32^2))+-Inputs!$C$33*EXP(-(((((Model_Data!A114)-Inputs!$C$34)^2)+(((Inputs!$C$6)-Inputs!$C$35)^2))/(2*Inputs!$C$36^2)))+Inputs!$C$37*(0.55*SIN(2*PI()*(Model_Data!A114)/Inputs!$C$39)+0.35*COS(2*PI()*(Inputs!$C$6)/Inputs!$C$40)+0.2*SIN(2*PI()*((Model_Data!A114)+(Inputs!$C$6))/(0.5*(Inputs!$C$39+Inputs!$C$40))))+Inputs!$C$38*SIN(2*PI()*(Model_Data!A114)/Inputs!$C$39)*SIN(2*PI()*(Inputs!$C$6)/Inputs!$C$40)+-Inputs!$C$41*EXP(-(((Inputs!$C$6)-Inputs!$C$43)^2)/(2*Inputs!$C$44^2))*EXP(-(((Model_Data!A114)-Inputs!$C$42)^2)/(2*Inputs!$C$45^2))+Inputs!$C$48*(0.7*(0.45*SIN(2*PI()*(((Model_Data!A114)/Inputs!$C$49)+Inputs!$C$47*0.137))+0.35*COS(2*PI()*(((Inputs!$C$6)/Inputs!$C$50)+Inputs!$C$47*0.173))+0.2*SIN(2*PI()*(((Model_Data!A114)+(Inputs!$C$6))/(0.5*(Inputs!$C$49+Inputs!$C$50))+Inputs!$C$47*0.097)))+0.3*(2*((SIN(((Model_Data!A114)*12.9898+(Inputs!$C$6)*78.233+Inputs!$C$47*37.719))*43758.5453)-INT((SIN(((Model_Data!A114)*12.9898+(Inputs!$C$6)*78.233+Inputs!$C$47*37.719))*43758.5453)))-1)))</f>
        <v>426.01474675634427</v>
      </c>
      <c r="G114" s="9">
        <f>(Inputs!$C$51*(115*EXP(-(((0)-25)^2)/(4.5^2))+70*EXP(-(((0)+38)^2)/(7^2))*(0.55+0.45*SIN(2*PI()*(Model_Data!A114)/45))+24*SIN(2*PI()*(0)/9+(Model_Data!A114)/18)*EXP(-(((0)+5)^2)/(22^2))+18*SIN(2*PI()*(Model_Data!A114)/70))+Inputs!$C$28*EXP(-(((Model_Data!A114)-Inputs!$C$29)^2)/(2*Inputs!$C$31^2))*EXP(-(((0)-Inputs!$C$30)^2)/(2*Inputs!$C$32^2))+-Inputs!$C$33*EXP(-(((((Model_Data!A114)-Inputs!$C$34)^2)+(((0)-Inputs!$C$35)^2))/(2*Inputs!$C$36^2)))+Inputs!$C$37*(0.55*SIN(2*PI()*(Model_Data!A114)/Inputs!$C$39)+0.35*COS(2*PI()*(0)/Inputs!$C$40)+0.2*SIN(2*PI()*((Model_Data!A114)+(0))/(0.5*(Inputs!$C$39+Inputs!$C$40))))+Inputs!$C$38*SIN(2*PI()*(Model_Data!A114)/Inputs!$C$39)*SIN(2*PI()*(0)/Inputs!$C$40)+-Inputs!$C$41*EXP(-(((0)-Inputs!$C$43)^2)/(2*Inputs!$C$44^2))*EXP(-(((Model_Data!A114)-Inputs!$C$42)^2)/(2*Inputs!$C$45^2))+Inputs!$C$48*(0.7*(0.45*SIN(2*PI()*(((Model_Data!A114)/Inputs!$C$49)+Inputs!$C$47*0.137))+0.35*COS(2*PI()*(((0)/Inputs!$C$50)+Inputs!$C$47*0.173))+0.2*SIN(2*PI()*(((Model_Data!A114)+(0))/(0.5*(Inputs!$C$49+Inputs!$C$50))+Inputs!$C$47*0.097)))+0.3*(2*((SIN(((Model_Data!A114)*12.9898+(0)*78.233+Inputs!$C$47*37.719))*43758.5453)-INT((SIN(((Model_Data!A114)*12.9898+(0)*78.233+Inputs!$C$47*37.719))*43758.5453)))-1)))</f>
        <v>-74.236730975515414</v>
      </c>
      <c r="H114" s="10"/>
      <c r="I114" s="9">
        <f>Model_Data!A114</f>
        <v>-4</v>
      </c>
      <c r="J114" s="9">
        <f>(Inputs!$C$51*(115*EXP(-(((Inputs!$C$6)-25)^2)/(4.5^2))+70*EXP(-(((Inputs!$C$6)+38)^2)/(7^2))*(0.55+0.45*SIN(2*PI()*(Model_Data!A114)/45))+24*SIN(2*PI()*(Inputs!$C$6)/9+(Model_Data!A114)/18)*EXP(-(((Inputs!$C$6)+5)^2)/(22^2))+18*SIN(2*PI()*(Model_Data!A114)/70))+Inputs!$C$28*EXP(-(((Model_Data!A114)-Inputs!$C$29)^2)/(2*Inputs!$C$31^2))*EXP(-(((Inputs!$C$6)-Inputs!$C$30)^2)/(2*Inputs!$C$32^2))+-Inputs!$C$33*EXP(-(((((Model_Data!A114)-Inputs!$C$34)^2)+(((Inputs!$C$6)-Inputs!$C$35)^2))/(2*Inputs!$C$36^2)))+Inputs!$C$37*(0.55*SIN(2*PI()*(Model_Data!A114)/Inputs!$C$39)+0.35*COS(2*PI()*(Inputs!$C$6)/Inputs!$C$40)+0.2*SIN(2*PI()*((Model_Data!A114)+(Inputs!$C$6))/(0.5*(Inputs!$C$39+Inputs!$C$40))))+Inputs!$C$38*SIN(2*PI()*(Model_Data!A114)/Inputs!$C$39)*SIN(2*PI()*(Inputs!$C$6)/Inputs!$C$40)+-Inputs!$C$41*EXP(-(((Inputs!$C$6)-Inputs!$C$43)^2)/(2*Inputs!$C$44^2))*EXP(-(((Model_Data!A114)-Inputs!$C$42)^2)/(2*Inputs!$C$45^2))+Inputs!$C$48*(0.7*(0.45*SIN(2*PI()*(((Model_Data!A114)/Inputs!$C$49)+Inputs!$C$47*0.137))+0.35*COS(2*PI()*(((Inputs!$C$6)/Inputs!$C$50)+Inputs!$C$47*0.173))+0.2*SIN(2*PI()*(((Model_Data!A114)+(Inputs!$C$6))/(0.5*(Inputs!$C$49+Inputs!$C$50))+Inputs!$C$47*0.097)))+0.3*(2*((SIN(((Model_Data!A114)*12.9898+(Inputs!$C$6)*78.233+Inputs!$C$47*37.719))*43758.5453)-INT((SIN(((Model_Data!A114)*12.9898+(Inputs!$C$6)*78.233+Inputs!$C$47*37.719))*43758.5453)))-1)))</f>
        <v>426.01474675634427</v>
      </c>
      <c r="K114" s="9">
        <f>-((((SQRT((Model_Data!A114)^2+Inputs!$C$6^2+((Model_Data!B114)-((Inputs!$C$51*(115*EXP(-(((Inputs!$C$6)-25)^2)/(4.5^2))+70*EXP(-(((Inputs!$C$6)+38)^2)/(7^2))*(0.55+0.45*SIN(2*PI()*(Model_Data!A114)/45))+24*SIN(2*PI()*(Inputs!$C$6)/9+(Model_Data!A114)/18)*EXP(-(((Inputs!$C$6)+5)^2)/(22^2))+18*SIN(2*PI()*(Model_Data!A114)/70))+Inputs!$C$28*EXP(-(((Model_Data!A114)-Inputs!$C$29)^2)/(2*Inputs!$C$31^2))*EXP(-(((Inputs!$C$6)-Inputs!$C$30)^2)/(2*Inputs!$C$32^2))+-Inputs!$C$33*EXP(-(((((Model_Data!A114)-Inputs!$C$34)^2)+(((Inputs!$C$6)-Inputs!$C$35)^2))/(2*Inputs!$C$36^2)))+Inputs!$C$37*(0.55*SIN(2*PI()*(Model_Data!A114)/Inputs!$C$39)+0.35*COS(2*PI()*(Inputs!$C$6)/Inputs!$C$40)+0.2*SIN(2*PI()*((Model_Data!A114)+(Inputs!$C$6))/(0.5*(Inputs!$C$39+Inputs!$C$40))))+Inputs!$C$38*SIN(2*PI()*(Model_Data!A114)/Inputs!$C$39)*SIN(2*PI()*(Inputs!$C$6)/Inputs!$C$40)+-Inputs!$C$41*EXP(-(((Inputs!$C$6)-Inputs!$C$43)^2)/(2*Inputs!$C$44^2))*EXP(-(((Model_Data!A114)-Inputs!$C$42)^2)/(2*Inputs!$C$45^2))+Inputs!$C$48*(0.7*(0.45*SIN(2*PI()*(((Model_Data!A114)/Inputs!$C$49)+Inputs!$C$47*0.137))+0.35*COS(2*PI()*(((Inputs!$C$6)/Inputs!$C$50)+Inputs!$C$47*0.173))+0.2*SIN(2*PI()*(((Model_Data!A114)+(Inputs!$C$6))/(0.5*(Inputs!$C$49+Inputs!$C$50))+Inputs!$C$47*0.097)))+0.3*(2*((SIN(((Model_Data!A114)*12.9898+(Inputs!$C$6)*78.233+Inputs!$C$47*37.719))*43758.5453)-INT((SIN(((Model_Data!A114)*12.9898+(Inputs!$C$6)*78.233+Inputs!$C$47*37.719))*43758.5453)))-1))))/1000)^2))-(((Model_Data!B114)-((Inputs!$C$51*(115*EXP(-(((0)-25)^2)/(4.5^2))+70*EXP(-(((0)+38)^2)/(7^2))*(0.55+0.45*SIN(2*PI()*(Model_Data!A114)/45))+24*SIN(2*PI()*(0)/9+(Model_Data!A114)/18)*EXP(-(((0)+5)^2)/(22^2))+18*SIN(2*PI()*(Model_Data!A114)/70))+Inputs!$C$28*EXP(-(((Model_Data!A114)-Inputs!$C$29)^2)/(2*Inputs!$C$31^2))*EXP(-(((0)-Inputs!$C$30)^2)/(2*Inputs!$C$32^2))+-Inputs!$C$33*EXP(-(((((Model_Data!A114)-Inputs!$C$34)^2)+(((0)-Inputs!$C$35)^2))/(2*Inputs!$C$36^2)))+Inputs!$C$37*(0.55*SIN(2*PI()*(Model_Data!A114)/Inputs!$C$39)+0.35*COS(2*PI()*(0)/Inputs!$C$40)+0.2*SIN(2*PI()*((Model_Data!A114)+(0))/(0.5*(Inputs!$C$39+Inputs!$C$40))))+Inputs!$C$38*SIN(2*PI()*(Model_Data!A114)/Inputs!$C$39)*SIN(2*PI()*(0)/Inputs!$C$40)+-Inputs!$C$41*EXP(-(((0)-Inputs!$C$43)^2)/(2*Inputs!$C$44^2))*EXP(-(((Model_Data!A114)-Inputs!$C$42)^2)/(2*Inputs!$C$45^2))+Inputs!$C$48*(0.7*(0.45*SIN(2*PI()*(((Model_Data!A114)/Inputs!$C$49)+Inputs!$C$47*0.137))+0.35*COS(2*PI()*(((0)/Inputs!$C$50)+Inputs!$C$47*0.173))+0.2*SIN(2*PI()*(((Model_Data!A114)+(0))/(0.5*(Inputs!$C$49+Inputs!$C$50))+Inputs!$C$47*0.097)))+0.3*(2*((SIN(((Model_Data!A114)*12.9898+(0)*78.233+Inputs!$C$47*37.719))*43758.5453)-INT((SIN(((Model_Data!A114)*12.9898+(0)*78.233+Inputs!$C$47*37.719))*43758.5453)))-1))))/1000)))*1000/Inputs!$C$12)-Model_Data!F114)</f>
        <v>280.56170990145364</v>
      </c>
      <c r="L114" s="10"/>
      <c r="M114" s="9">
        <f>Model_Data!A114</f>
        <v>-4</v>
      </c>
      <c r="N114" s="9">
        <f>Model_Data!P114</f>
        <v>30.161160317799876</v>
      </c>
      <c r="O114" s="9">
        <f t="shared" si="2"/>
        <v>0.89128280524164438</v>
      </c>
      <c r="P114" s="9">
        <f>Model_Data!Q114</f>
        <v>4.5287027504204023</v>
      </c>
      <c r="Q114" s="9">
        <f t="shared" si="3"/>
        <v>0.13382624703327994</v>
      </c>
      <c r="R114" s="10"/>
      <c r="S114" s="9">
        <f>Model_Data!A114</f>
        <v>-4</v>
      </c>
      <c r="T114" s="9">
        <f>Model_Data!B114-Inputs!$C$5</f>
        <v>1.7777777777780557E-2</v>
      </c>
      <c r="U114" s="10"/>
      <c r="V114" s="9">
        <f>Model_Data!A114</f>
        <v>-4</v>
      </c>
      <c r="W114" s="9">
        <f>((SQRT((Model_Data!A114)^2+Inputs!$C$6^2+Inputs!$C$5^2)-Inputs!$C$5)*1000/Inputs!$C$12)</f>
        <v>449.69050648585045</v>
      </c>
      <c r="X114" s="9">
        <f>Model_Data!F114</f>
        <v>449.67056103995435</v>
      </c>
      <c r="Y114" s="10"/>
      <c r="Z114" s="9">
        <f>Model_Data!A114</f>
        <v>-4</v>
      </c>
      <c r="AA114" s="9">
        <f>SQRT((Model_Data!A114)^2+Inputs!$C$6^2+((Model_Data!B114)-((Inputs!$C$51*(115*EXP(-(((Inputs!$C$6)-25)^2)/(4.5^2))+70*EXP(-(((Inputs!$C$6)+38)^2)/(7^2))*(0.55+0.45*SIN(2*PI()*(Model_Data!A114)/45))+24*SIN(2*PI()*(Inputs!$C$6)/9+(Model_Data!A114)/18)*EXP(-(((Inputs!$C$6)+5)^2)/(22^2))+18*SIN(2*PI()*(Model_Data!A114)/70))+Inputs!$C$28*EXP(-(((Model_Data!A114)-Inputs!$C$29)^2)/(2*Inputs!$C$31^2))*EXP(-(((Inputs!$C$6)-Inputs!$C$30)^2)/(2*Inputs!$C$32^2))+-Inputs!$C$33*EXP(-(((((Model_Data!A114)-Inputs!$C$34)^2)+(((Inputs!$C$6)-Inputs!$C$35)^2))/(2*Inputs!$C$36^2)))+Inputs!$C$37*(0.55*SIN(2*PI()*(Model_Data!A114)/Inputs!$C$39)+0.35*COS(2*PI()*(Inputs!$C$6)/Inputs!$C$40)+0.2*SIN(2*PI()*((Model_Data!A114)+(Inputs!$C$6))/(0.5*(Inputs!$C$39+Inputs!$C$40))))+Inputs!$C$38*SIN(2*PI()*(Model_Data!A114)/Inputs!$C$39)*SIN(2*PI()*(Inputs!$C$6)/Inputs!$C$40)+-Inputs!$C$41*EXP(-(((Inputs!$C$6)-Inputs!$C$43)^2)/(2*Inputs!$C$44^2))*EXP(-(((Model_Data!A114)-Inputs!$C$42)^2)/(2*Inputs!$C$45^2))+Inputs!$C$48*(0.7*(0.45*SIN(2*PI()*(((Model_Data!A114)/Inputs!$C$49)+Inputs!$C$47*0.137))+0.35*COS(2*PI()*(((Inputs!$C$6)/Inputs!$C$50)+Inputs!$C$47*0.173))+0.2*SIN(2*PI()*(((Model_Data!A114)+(Inputs!$C$6))/(0.5*(Inputs!$C$49+Inputs!$C$50))+Inputs!$C$47*0.097)))+0.3*(2*((SIN(((Model_Data!A114)*12.9898+(Inputs!$C$6)*78.233+Inputs!$C$47*37.719))*43758.5453)-INT((SIN(((Model_Data!A114)*12.9898+(Inputs!$C$6)*78.233+Inputs!$C$47*37.719))*43758.5453)))-1))))/1000)^2)</f>
        <v>400.39302826377985</v>
      </c>
      <c r="AB114" s="9">
        <f>1000*(AA115-AA113)/(Z115-Z113)*Inputs!$C$11</f>
        <v>-2.228207013104111</v>
      </c>
      <c r="AC114" s="9">
        <f>-2*AB114/Inputs!$C$13</f>
        <v>0.89128280524164438</v>
      </c>
      <c r="AD114" s="9">
        <f>-2*AB114/Inputs!$C$14</f>
        <v>0.13382624703327994</v>
      </c>
    </row>
    <row r="115" spans="1:30">
      <c r="A115" s="9">
        <f>Model_Data!A115</f>
        <v>-3.5</v>
      </c>
      <c r="B115" s="9">
        <f>((SQRT((Model_Data!A115)^2+Inputs!$C$6^2+Inputs!$C$5^2)-Inputs!$C$5)*1000/Inputs!$C$12)</f>
        <v>447.06232346754223</v>
      </c>
      <c r="C115" s="9">
        <f>Model_Data!F115</f>
        <v>447.04714164934461</v>
      </c>
      <c r="D115" s="9">
        <f>(((SQRT((Model_Data!A115)^2+Inputs!$C$6^2+((Model_Data!B115)-((Inputs!$C$51*(115*EXP(-(((Inputs!$C$6)-25)^2)/(4.5^2))+70*EXP(-(((Inputs!$C$6)+38)^2)/(7^2))*(0.55+0.45*SIN(2*PI()*(Model_Data!A115)/45))+24*SIN(2*PI()*(Inputs!$C$6)/9+(Model_Data!A115)/18)*EXP(-(((Inputs!$C$6)+5)^2)/(22^2))+18*SIN(2*PI()*(Model_Data!A115)/70))+Inputs!$C$28*EXP(-(((Model_Data!A115)-Inputs!$C$29)^2)/(2*Inputs!$C$31^2))*EXP(-(((Inputs!$C$6)-Inputs!$C$30)^2)/(2*Inputs!$C$32^2))+-Inputs!$C$33*EXP(-(((((Model_Data!A115)-Inputs!$C$34)^2)+(((Inputs!$C$6)-Inputs!$C$35)^2))/(2*Inputs!$C$36^2)))+Inputs!$C$37*(0.55*SIN(2*PI()*(Model_Data!A115)/Inputs!$C$39)+0.35*COS(2*PI()*(Inputs!$C$6)/Inputs!$C$40)+0.2*SIN(2*PI()*((Model_Data!A115)+(Inputs!$C$6))/(0.5*(Inputs!$C$39+Inputs!$C$40))))+Inputs!$C$38*SIN(2*PI()*(Model_Data!A115)/Inputs!$C$39)*SIN(2*PI()*(Inputs!$C$6)/Inputs!$C$40)+-Inputs!$C$41*EXP(-(((Inputs!$C$6)-Inputs!$C$43)^2)/(2*Inputs!$C$44^2))*EXP(-(((Model_Data!A115)-Inputs!$C$42)^2)/(2*Inputs!$C$45^2))+Inputs!$C$48*(0.7*(0.45*SIN(2*PI()*(((Model_Data!A115)/Inputs!$C$49)+Inputs!$C$47*0.137))+0.35*COS(2*PI()*(((Inputs!$C$6)/Inputs!$C$50)+Inputs!$C$47*0.173))+0.2*SIN(2*PI()*(((Model_Data!A115)+(Inputs!$C$6))/(0.5*(Inputs!$C$49+Inputs!$C$50))+Inputs!$C$47*0.097)))+0.3*(2*((SIN(((Model_Data!A115)*12.9898+(Inputs!$C$6)*78.233+Inputs!$C$47*37.719))*43758.5453)-INT((SIN(((Model_Data!A115)*12.9898+(Inputs!$C$6)*78.233+Inputs!$C$47*37.719))*43758.5453)))-1))))/1000)^2))-(((Model_Data!B115)-((Inputs!$C$51*(115*EXP(-(((0)-25)^2)/(4.5^2))+70*EXP(-(((0)+38)^2)/(7^2))*(0.55+0.45*SIN(2*PI()*(Model_Data!A115)/45))+24*SIN(2*PI()*(0)/9+(Model_Data!A115)/18)*EXP(-(((0)+5)^2)/(22^2))+18*SIN(2*PI()*(Model_Data!A115)/70))+Inputs!$C$28*EXP(-(((Model_Data!A115)-Inputs!$C$29)^2)/(2*Inputs!$C$31^2))*EXP(-(((0)-Inputs!$C$30)^2)/(2*Inputs!$C$32^2))+-Inputs!$C$33*EXP(-(((((Model_Data!A115)-Inputs!$C$34)^2)+(((0)-Inputs!$C$35)^2))/(2*Inputs!$C$36^2)))+Inputs!$C$37*(0.55*SIN(2*PI()*(Model_Data!A115)/Inputs!$C$39)+0.35*COS(2*PI()*(0)/Inputs!$C$40)+0.2*SIN(2*PI()*((Model_Data!A115)+(0))/(0.5*(Inputs!$C$39+Inputs!$C$40))))+Inputs!$C$38*SIN(2*PI()*(Model_Data!A115)/Inputs!$C$39)*SIN(2*PI()*(0)/Inputs!$C$40)+-Inputs!$C$41*EXP(-(((0)-Inputs!$C$43)^2)/(2*Inputs!$C$44^2))*EXP(-(((Model_Data!A115)-Inputs!$C$42)^2)/(2*Inputs!$C$45^2))+Inputs!$C$48*(0.7*(0.45*SIN(2*PI()*(((Model_Data!A115)/Inputs!$C$49)+Inputs!$C$47*0.137))+0.35*COS(2*PI()*(((0)/Inputs!$C$50)+Inputs!$C$47*0.173))+0.2*SIN(2*PI()*(((Model_Data!A115)+(0))/(0.5*(Inputs!$C$49+Inputs!$C$50))+Inputs!$C$47*0.097)))+0.3*(2*((SIN(((Model_Data!A115)*12.9898+(0)*78.233+Inputs!$C$47*37.719))*43758.5453)-INT((SIN(((Model_Data!A115)*12.9898+(0)*78.233+Inputs!$C$47*37.719))*43758.5453)))-1))))/1000)))*1000/Inputs!$C$12)</f>
        <v>175.80595615243055</v>
      </c>
      <c r="E115" s="9">
        <f>Model_Data!A115</f>
        <v>-3.5</v>
      </c>
      <c r="F115" s="9">
        <f>(Inputs!$C$51*(115*EXP(-(((Inputs!$C$6)-25)^2)/(4.5^2))+70*EXP(-(((Inputs!$C$6)+38)^2)/(7^2))*(0.55+0.45*SIN(2*PI()*(Model_Data!A115)/45))+24*SIN(2*PI()*(Inputs!$C$6)/9+(Model_Data!A115)/18)*EXP(-(((Inputs!$C$6)+5)^2)/(22^2))+18*SIN(2*PI()*(Model_Data!A115)/70))+Inputs!$C$28*EXP(-(((Model_Data!A115)-Inputs!$C$29)^2)/(2*Inputs!$C$31^2))*EXP(-(((Inputs!$C$6)-Inputs!$C$30)^2)/(2*Inputs!$C$32^2))+-Inputs!$C$33*EXP(-(((((Model_Data!A115)-Inputs!$C$34)^2)+(((Inputs!$C$6)-Inputs!$C$35)^2))/(2*Inputs!$C$36^2)))+Inputs!$C$37*(0.55*SIN(2*PI()*(Model_Data!A115)/Inputs!$C$39)+0.35*COS(2*PI()*(Inputs!$C$6)/Inputs!$C$40)+0.2*SIN(2*PI()*((Model_Data!A115)+(Inputs!$C$6))/(0.5*(Inputs!$C$39+Inputs!$C$40))))+Inputs!$C$38*SIN(2*PI()*(Model_Data!A115)/Inputs!$C$39)*SIN(2*PI()*(Inputs!$C$6)/Inputs!$C$40)+-Inputs!$C$41*EXP(-(((Inputs!$C$6)-Inputs!$C$43)^2)/(2*Inputs!$C$44^2))*EXP(-(((Model_Data!A115)-Inputs!$C$42)^2)/(2*Inputs!$C$45^2))+Inputs!$C$48*(0.7*(0.45*SIN(2*PI()*(((Model_Data!A115)/Inputs!$C$49)+Inputs!$C$47*0.137))+0.35*COS(2*PI()*(((Inputs!$C$6)/Inputs!$C$50)+Inputs!$C$47*0.173))+0.2*SIN(2*PI()*(((Model_Data!A115)+(Inputs!$C$6))/(0.5*(Inputs!$C$49+Inputs!$C$50))+Inputs!$C$47*0.097)))+0.3*(2*((SIN(((Model_Data!A115)*12.9898+(Inputs!$C$6)*78.233+Inputs!$C$47*37.719))*43758.5453)-INT((SIN(((Model_Data!A115)*12.9898+(Inputs!$C$6)*78.233+Inputs!$C$47*37.719))*43758.5453)))-1)))</f>
        <v>404.9650488224043</v>
      </c>
      <c r="G115" s="9">
        <f>(Inputs!$C$51*(115*EXP(-(((0)-25)^2)/(4.5^2))+70*EXP(-(((0)+38)^2)/(7^2))*(0.55+0.45*SIN(2*PI()*(Model_Data!A115)/45))+24*SIN(2*PI()*(0)/9+(Model_Data!A115)/18)*EXP(-(((0)+5)^2)/(22^2))+18*SIN(2*PI()*(Model_Data!A115)/70))+Inputs!$C$28*EXP(-(((Model_Data!A115)-Inputs!$C$29)^2)/(2*Inputs!$C$31^2))*EXP(-(((0)-Inputs!$C$30)^2)/(2*Inputs!$C$32^2))+-Inputs!$C$33*EXP(-(((((Model_Data!A115)-Inputs!$C$34)^2)+(((0)-Inputs!$C$35)^2))/(2*Inputs!$C$36^2)))+Inputs!$C$37*(0.55*SIN(2*PI()*(Model_Data!A115)/Inputs!$C$39)+0.35*COS(2*PI()*(0)/Inputs!$C$40)+0.2*SIN(2*PI()*((Model_Data!A115)+(0))/(0.5*(Inputs!$C$39+Inputs!$C$40))))+Inputs!$C$38*SIN(2*PI()*(Model_Data!A115)/Inputs!$C$39)*SIN(2*PI()*(0)/Inputs!$C$40)+-Inputs!$C$41*EXP(-(((0)-Inputs!$C$43)^2)/(2*Inputs!$C$44^2))*EXP(-(((Model_Data!A115)-Inputs!$C$42)^2)/(2*Inputs!$C$45^2))+Inputs!$C$48*(0.7*(0.45*SIN(2*PI()*(((Model_Data!A115)/Inputs!$C$49)+Inputs!$C$47*0.137))+0.35*COS(2*PI()*(((0)/Inputs!$C$50)+Inputs!$C$47*0.173))+0.2*SIN(2*PI()*(((Model_Data!A115)+(0))/(0.5*(Inputs!$C$49+Inputs!$C$50))+Inputs!$C$47*0.097)))+0.3*(2*((SIN(((Model_Data!A115)*12.9898+(0)*78.233+Inputs!$C$47*37.719))*43758.5453)-INT((SIN(((Model_Data!A115)*12.9898+(0)*78.233+Inputs!$C$47*37.719))*43758.5453)))-1)))</f>
        <v>-78.649068093608037</v>
      </c>
      <c r="H115" s="10"/>
      <c r="I115" s="9">
        <f>Model_Data!A115</f>
        <v>-3.5</v>
      </c>
      <c r="J115" s="9">
        <f>(Inputs!$C$51*(115*EXP(-(((Inputs!$C$6)-25)^2)/(4.5^2))+70*EXP(-(((Inputs!$C$6)+38)^2)/(7^2))*(0.55+0.45*SIN(2*PI()*(Model_Data!A115)/45))+24*SIN(2*PI()*(Inputs!$C$6)/9+(Model_Data!A115)/18)*EXP(-(((Inputs!$C$6)+5)^2)/(22^2))+18*SIN(2*PI()*(Model_Data!A115)/70))+Inputs!$C$28*EXP(-(((Model_Data!A115)-Inputs!$C$29)^2)/(2*Inputs!$C$31^2))*EXP(-(((Inputs!$C$6)-Inputs!$C$30)^2)/(2*Inputs!$C$32^2))+-Inputs!$C$33*EXP(-(((((Model_Data!A115)-Inputs!$C$34)^2)+(((Inputs!$C$6)-Inputs!$C$35)^2))/(2*Inputs!$C$36^2)))+Inputs!$C$37*(0.55*SIN(2*PI()*(Model_Data!A115)/Inputs!$C$39)+0.35*COS(2*PI()*(Inputs!$C$6)/Inputs!$C$40)+0.2*SIN(2*PI()*((Model_Data!A115)+(Inputs!$C$6))/(0.5*(Inputs!$C$39+Inputs!$C$40))))+Inputs!$C$38*SIN(2*PI()*(Model_Data!A115)/Inputs!$C$39)*SIN(2*PI()*(Inputs!$C$6)/Inputs!$C$40)+-Inputs!$C$41*EXP(-(((Inputs!$C$6)-Inputs!$C$43)^2)/(2*Inputs!$C$44^2))*EXP(-(((Model_Data!A115)-Inputs!$C$42)^2)/(2*Inputs!$C$45^2))+Inputs!$C$48*(0.7*(0.45*SIN(2*PI()*(((Model_Data!A115)/Inputs!$C$49)+Inputs!$C$47*0.137))+0.35*COS(2*PI()*(((Inputs!$C$6)/Inputs!$C$50)+Inputs!$C$47*0.173))+0.2*SIN(2*PI()*(((Model_Data!A115)+(Inputs!$C$6))/(0.5*(Inputs!$C$49+Inputs!$C$50))+Inputs!$C$47*0.097)))+0.3*(2*((SIN(((Model_Data!A115)*12.9898+(Inputs!$C$6)*78.233+Inputs!$C$47*37.719))*43758.5453)-INT((SIN(((Model_Data!A115)*12.9898+(Inputs!$C$6)*78.233+Inputs!$C$47*37.719))*43758.5453)))-1)))</f>
        <v>404.9650488224043</v>
      </c>
      <c r="K115" s="9">
        <f>-((((SQRT((Model_Data!A115)^2+Inputs!$C$6^2+((Model_Data!B115)-((Inputs!$C$51*(115*EXP(-(((Inputs!$C$6)-25)^2)/(4.5^2))+70*EXP(-(((Inputs!$C$6)+38)^2)/(7^2))*(0.55+0.45*SIN(2*PI()*(Model_Data!A115)/45))+24*SIN(2*PI()*(Inputs!$C$6)/9+(Model_Data!A115)/18)*EXP(-(((Inputs!$C$6)+5)^2)/(22^2))+18*SIN(2*PI()*(Model_Data!A115)/70))+Inputs!$C$28*EXP(-(((Model_Data!A115)-Inputs!$C$29)^2)/(2*Inputs!$C$31^2))*EXP(-(((Inputs!$C$6)-Inputs!$C$30)^2)/(2*Inputs!$C$32^2))+-Inputs!$C$33*EXP(-(((((Model_Data!A115)-Inputs!$C$34)^2)+(((Inputs!$C$6)-Inputs!$C$35)^2))/(2*Inputs!$C$36^2)))+Inputs!$C$37*(0.55*SIN(2*PI()*(Model_Data!A115)/Inputs!$C$39)+0.35*COS(2*PI()*(Inputs!$C$6)/Inputs!$C$40)+0.2*SIN(2*PI()*((Model_Data!A115)+(Inputs!$C$6))/(0.5*(Inputs!$C$39+Inputs!$C$40))))+Inputs!$C$38*SIN(2*PI()*(Model_Data!A115)/Inputs!$C$39)*SIN(2*PI()*(Inputs!$C$6)/Inputs!$C$40)+-Inputs!$C$41*EXP(-(((Inputs!$C$6)-Inputs!$C$43)^2)/(2*Inputs!$C$44^2))*EXP(-(((Model_Data!A115)-Inputs!$C$42)^2)/(2*Inputs!$C$45^2))+Inputs!$C$48*(0.7*(0.45*SIN(2*PI()*(((Model_Data!A115)/Inputs!$C$49)+Inputs!$C$47*0.137))+0.35*COS(2*PI()*(((Inputs!$C$6)/Inputs!$C$50)+Inputs!$C$47*0.173))+0.2*SIN(2*PI()*(((Model_Data!A115)+(Inputs!$C$6))/(0.5*(Inputs!$C$49+Inputs!$C$50))+Inputs!$C$47*0.097)))+0.3*(2*((SIN(((Model_Data!A115)*12.9898+(Inputs!$C$6)*78.233+Inputs!$C$47*37.719))*43758.5453)-INT((SIN(((Model_Data!A115)*12.9898+(Inputs!$C$6)*78.233+Inputs!$C$47*37.719))*43758.5453)))-1))))/1000)^2))-(((Model_Data!B115)-((Inputs!$C$51*(115*EXP(-(((0)-25)^2)/(4.5^2))+70*EXP(-(((0)+38)^2)/(7^2))*(0.55+0.45*SIN(2*PI()*(Model_Data!A115)/45))+24*SIN(2*PI()*(0)/9+(Model_Data!A115)/18)*EXP(-(((0)+5)^2)/(22^2))+18*SIN(2*PI()*(Model_Data!A115)/70))+Inputs!$C$28*EXP(-(((Model_Data!A115)-Inputs!$C$29)^2)/(2*Inputs!$C$31^2))*EXP(-(((0)-Inputs!$C$30)^2)/(2*Inputs!$C$32^2))+-Inputs!$C$33*EXP(-(((((Model_Data!A115)-Inputs!$C$34)^2)+(((0)-Inputs!$C$35)^2))/(2*Inputs!$C$36^2)))+Inputs!$C$37*(0.55*SIN(2*PI()*(Model_Data!A115)/Inputs!$C$39)+0.35*COS(2*PI()*(0)/Inputs!$C$40)+0.2*SIN(2*PI()*((Model_Data!A115)+(0))/(0.5*(Inputs!$C$39+Inputs!$C$40))))+Inputs!$C$38*SIN(2*PI()*(Model_Data!A115)/Inputs!$C$39)*SIN(2*PI()*(0)/Inputs!$C$40)+-Inputs!$C$41*EXP(-(((0)-Inputs!$C$43)^2)/(2*Inputs!$C$44^2))*EXP(-(((Model_Data!A115)-Inputs!$C$42)^2)/(2*Inputs!$C$45^2))+Inputs!$C$48*(0.7*(0.45*SIN(2*PI()*(((Model_Data!A115)/Inputs!$C$49)+Inputs!$C$47*0.137))+0.35*COS(2*PI()*(((0)/Inputs!$C$50)+Inputs!$C$47*0.173))+0.2*SIN(2*PI()*(((Model_Data!A115)+(0))/(0.5*(Inputs!$C$49+Inputs!$C$50))+Inputs!$C$47*0.097)))+0.3*(2*((SIN(((Model_Data!A115)*12.9898+(0)*78.233+Inputs!$C$47*37.719))*43758.5453)-INT((SIN(((Model_Data!A115)*12.9898+(0)*78.233+Inputs!$C$47*37.719))*43758.5453)))-1))))/1000)))*1000/Inputs!$C$12)-Model_Data!F115)</f>
        <v>271.24118549691406</v>
      </c>
      <c r="L115" s="10"/>
      <c r="M115" s="9">
        <f>Model_Data!A115</f>
        <v>-3.5</v>
      </c>
      <c r="N115" s="9">
        <f>Model_Data!P115</f>
        <v>26.391467733781575</v>
      </c>
      <c r="O115" s="9">
        <f t="shared" si="2"/>
        <v>17.03707963179113</v>
      </c>
      <c r="P115" s="9">
        <f>Model_Data!Q115</f>
        <v>3.9626828429101471</v>
      </c>
      <c r="Q115" s="9">
        <f t="shared" si="3"/>
        <v>2.5581200648335032</v>
      </c>
      <c r="R115" s="10"/>
      <c r="S115" s="9">
        <f>Model_Data!A115</f>
        <v>-3.5</v>
      </c>
      <c r="T115" s="9">
        <f>Model_Data!B115-Inputs!$C$5</f>
        <v>1.361111111111768E-2</v>
      </c>
      <c r="U115" s="10"/>
      <c r="V115" s="9">
        <f>Model_Data!A115</f>
        <v>-3.5</v>
      </c>
      <c r="W115" s="9">
        <f>((SQRT((Model_Data!A115)^2+Inputs!$C$6^2+Inputs!$C$5^2)-Inputs!$C$5)*1000/Inputs!$C$12)</f>
        <v>447.06232346754223</v>
      </c>
      <c r="X115" s="9">
        <f>Model_Data!F115</f>
        <v>447.04714164934461</v>
      </c>
      <c r="Y115" s="10"/>
      <c r="Z115" s="9">
        <f>Model_Data!A115</f>
        <v>-3.5</v>
      </c>
      <c r="AA115" s="9">
        <f>SQRT((Model_Data!A115)^2+Inputs!$C$6^2+((Model_Data!B115)-((Inputs!$C$51*(115*EXP(-(((Inputs!$C$6)-25)^2)/(4.5^2))+70*EXP(-(((Inputs!$C$6)+38)^2)/(7^2))*(0.55+0.45*SIN(2*PI()*(Model_Data!A115)/45))+24*SIN(2*PI()*(Inputs!$C$6)/9+(Model_Data!A115)/18)*EXP(-(((Inputs!$C$6)+5)^2)/(22^2))+18*SIN(2*PI()*(Model_Data!A115)/70))+Inputs!$C$28*EXP(-(((Model_Data!A115)-Inputs!$C$29)^2)/(2*Inputs!$C$31^2))*EXP(-(((Inputs!$C$6)-Inputs!$C$30)^2)/(2*Inputs!$C$32^2))+-Inputs!$C$33*EXP(-(((((Model_Data!A115)-Inputs!$C$34)^2)+(((Inputs!$C$6)-Inputs!$C$35)^2))/(2*Inputs!$C$36^2)))+Inputs!$C$37*(0.55*SIN(2*PI()*(Model_Data!A115)/Inputs!$C$39)+0.35*COS(2*PI()*(Inputs!$C$6)/Inputs!$C$40)+0.2*SIN(2*PI()*((Model_Data!A115)+(Inputs!$C$6))/(0.5*(Inputs!$C$39+Inputs!$C$40))))+Inputs!$C$38*SIN(2*PI()*(Model_Data!A115)/Inputs!$C$39)*SIN(2*PI()*(Inputs!$C$6)/Inputs!$C$40)+-Inputs!$C$41*EXP(-(((Inputs!$C$6)-Inputs!$C$43)^2)/(2*Inputs!$C$44^2))*EXP(-(((Model_Data!A115)-Inputs!$C$42)^2)/(2*Inputs!$C$45^2))+Inputs!$C$48*(0.7*(0.45*SIN(2*PI()*(((Model_Data!A115)/Inputs!$C$49)+Inputs!$C$47*0.137))+0.35*COS(2*PI()*(((Inputs!$C$6)/Inputs!$C$50)+Inputs!$C$47*0.173))+0.2*SIN(2*PI()*(((Model_Data!A115)+(Inputs!$C$6))/(0.5*(Inputs!$C$49+Inputs!$C$50))+Inputs!$C$47*0.097)))+0.3*(2*((SIN(((Model_Data!A115)*12.9898+(Inputs!$C$6)*78.233+Inputs!$C$47*37.719))*43758.5453)-INT((SIN(((Model_Data!A115)*12.9898+(Inputs!$C$6)*78.233+Inputs!$C$47*37.719))*43758.5453)))-1))))/1000)^2)</f>
        <v>400.40519478115607</v>
      </c>
      <c r="AB115" s="9">
        <f>1000*(AA116-AA114)/(Z116-Z114)*Inputs!$C$11</f>
        <v>-42.592699079477825</v>
      </c>
      <c r="AC115" s="9">
        <f>-2*AB115/Inputs!$C$13</f>
        <v>17.03707963179113</v>
      </c>
      <c r="AD115" s="9">
        <f>-2*AB115/Inputs!$C$14</f>
        <v>2.5581200648335032</v>
      </c>
    </row>
    <row r="116" spans="1:30">
      <c r="A116" s="9">
        <f>Model_Data!A116</f>
        <v>-3</v>
      </c>
      <c r="B116" s="9">
        <f>((SQRT((Model_Data!A116)^2+Inputs!$C$6^2+Inputs!$C$5^2)-Inputs!$C$5)*1000/Inputs!$C$12)</f>
        <v>444.78454003743417</v>
      </c>
      <c r="C116" s="9">
        <f>Model_Data!F116</f>
        <v>444.77344266602285</v>
      </c>
      <c r="D116" s="9">
        <f>(((SQRT((Model_Data!A116)^2+Inputs!$C$6^2+((Model_Data!B116)-((Inputs!$C$51*(115*EXP(-(((Inputs!$C$6)-25)^2)/(4.5^2))+70*EXP(-(((Inputs!$C$6)+38)^2)/(7^2))*(0.55+0.45*SIN(2*PI()*(Model_Data!A116)/45))+24*SIN(2*PI()*(Inputs!$C$6)/9+(Model_Data!A116)/18)*EXP(-(((Inputs!$C$6)+5)^2)/(22^2))+18*SIN(2*PI()*(Model_Data!A116)/70))+Inputs!$C$28*EXP(-(((Model_Data!A116)-Inputs!$C$29)^2)/(2*Inputs!$C$31^2))*EXP(-(((Inputs!$C$6)-Inputs!$C$30)^2)/(2*Inputs!$C$32^2))+-Inputs!$C$33*EXP(-(((((Model_Data!A116)-Inputs!$C$34)^2)+(((Inputs!$C$6)-Inputs!$C$35)^2))/(2*Inputs!$C$36^2)))+Inputs!$C$37*(0.55*SIN(2*PI()*(Model_Data!A116)/Inputs!$C$39)+0.35*COS(2*PI()*(Inputs!$C$6)/Inputs!$C$40)+0.2*SIN(2*PI()*((Model_Data!A116)+(Inputs!$C$6))/(0.5*(Inputs!$C$39+Inputs!$C$40))))+Inputs!$C$38*SIN(2*PI()*(Model_Data!A116)/Inputs!$C$39)*SIN(2*PI()*(Inputs!$C$6)/Inputs!$C$40)+-Inputs!$C$41*EXP(-(((Inputs!$C$6)-Inputs!$C$43)^2)/(2*Inputs!$C$44^2))*EXP(-(((Model_Data!A116)-Inputs!$C$42)^2)/(2*Inputs!$C$45^2))+Inputs!$C$48*(0.7*(0.45*SIN(2*PI()*(((Model_Data!A116)/Inputs!$C$49)+Inputs!$C$47*0.137))+0.35*COS(2*PI()*(((Inputs!$C$6)/Inputs!$C$50)+Inputs!$C$47*0.173))+0.2*SIN(2*PI()*(((Model_Data!A116)+(Inputs!$C$6))/(0.5*(Inputs!$C$49+Inputs!$C$50))+Inputs!$C$47*0.097)))+0.3*(2*((SIN(((Model_Data!A116)*12.9898+(Inputs!$C$6)*78.233+Inputs!$C$47*37.719))*43758.5453)-INT((SIN(((Model_Data!A116)*12.9898+(Inputs!$C$6)*78.233+Inputs!$C$47*37.719))*43758.5453)))-1))))/1000)^2))-(((Model_Data!B116)-((Inputs!$C$51*(115*EXP(-(((0)-25)^2)/(4.5^2))+70*EXP(-(((0)+38)^2)/(7^2))*(0.55+0.45*SIN(2*PI()*(Model_Data!A116)/45))+24*SIN(2*PI()*(0)/9+(Model_Data!A116)/18)*EXP(-(((0)+5)^2)/(22^2))+18*SIN(2*PI()*(Model_Data!A116)/70))+Inputs!$C$28*EXP(-(((Model_Data!A116)-Inputs!$C$29)^2)/(2*Inputs!$C$31^2))*EXP(-(((0)-Inputs!$C$30)^2)/(2*Inputs!$C$32^2))+-Inputs!$C$33*EXP(-(((((Model_Data!A116)-Inputs!$C$34)^2)+(((0)-Inputs!$C$35)^2))/(2*Inputs!$C$36^2)))+Inputs!$C$37*(0.55*SIN(2*PI()*(Model_Data!A116)/Inputs!$C$39)+0.35*COS(2*PI()*(0)/Inputs!$C$40)+0.2*SIN(2*PI()*((Model_Data!A116)+(0))/(0.5*(Inputs!$C$39+Inputs!$C$40))))+Inputs!$C$38*SIN(2*PI()*(Model_Data!A116)/Inputs!$C$39)*SIN(2*PI()*(0)/Inputs!$C$40)+-Inputs!$C$41*EXP(-(((0)-Inputs!$C$43)^2)/(2*Inputs!$C$44^2))*EXP(-(((Model_Data!A116)-Inputs!$C$42)^2)/(2*Inputs!$C$45^2))+Inputs!$C$48*(0.7*(0.45*SIN(2*PI()*(((Model_Data!A116)/Inputs!$C$49)+Inputs!$C$47*0.137))+0.35*COS(2*PI()*(((0)/Inputs!$C$50)+Inputs!$C$47*0.173))+0.2*SIN(2*PI()*(((Model_Data!A116)+(0))/(0.5*(Inputs!$C$49+Inputs!$C$50))+Inputs!$C$47*0.097)))+0.3*(2*((SIN(((Model_Data!A116)*12.9898+(0)*78.233+Inputs!$C$47*37.719))*43758.5453)-INT((SIN(((Model_Data!A116)*12.9898+(0)*78.233+Inputs!$C$47*37.719))*43758.5453)))-1))))/1000)))*1000/Inputs!$C$12)</f>
        <v>171.17871439066303</v>
      </c>
      <c r="E116" s="9">
        <f>Model_Data!A116</f>
        <v>-3</v>
      </c>
      <c r="F116" s="9">
        <f>(Inputs!$C$51*(115*EXP(-(((Inputs!$C$6)-25)^2)/(4.5^2))+70*EXP(-(((Inputs!$C$6)+38)^2)/(7^2))*(0.55+0.45*SIN(2*PI()*(Model_Data!A116)/45))+24*SIN(2*PI()*(Inputs!$C$6)/9+(Model_Data!A116)/18)*EXP(-(((Inputs!$C$6)+5)^2)/(22^2))+18*SIN(2*PI()*(Model_Data!A116)/70))+Inputs!$C$28*EXP(-(((Model_Data!A116)-Inputs!$C$29)^2)/(2*Inputs!$C$31^2))*EXP(-(((Inputs!$C$6)-Inputs!$C$30)^2)/(2*Inputs!$C$32^2))+-Inputs!$C$33*EXP(-(((((Model_Data!A116)-Inputs!$C$34)^2)+(((Inputs!$C$6)-Inputs!$C$35)^2))/(2*Inputs!$C$36^2)))+Inputs!$C$37*(0.55*SIN(2*PI()*(Model_Data!A116)/Inputs!$C$39)+0.35*COS(2*PI()*(Inputs!$C$6)/Inputs!$C$40)+0.2*SIN(2*PI()*((Model_Data!A116)+(Inputs!$C$6))/(0.5*(Inputs!$C$39+Inputs!$C$40))))+Inputs!$C$38*SIN(2*PI()*(Model_Data!A116)/Inputs!$C$39)*SIN(2*PI()*(Inputs!$C$6)/Inputs!$C$40)+-Inputs!$C$41*EXP(-(((Inputs!$C$6)-Inputs!$C$43)^2)/(2*Inputs!$C$44^2))*EXP(-(((Model_Data!A116)-Inputs!$C$42)^2)/(2*Inputs!$C$45^2))+Inputs!$C$48*(0.7*(0.45*SIN(2*PI()*(((Model_Data!A116)/Inputs!$C$49)+Inputs!$C$47*0.137))+0.35*COS(2*PI()*(((Inputs!$C$6)/Inputs!$C$50)+Inputs!$C$47*0.173))+0.2*SIN(2*PI()*(((Model_Data!A116)+(Inputs!$C$6))/(0.5*(Inputs!$C$49+Inputs!$C$50))+Inputs!$C$47*0.097)))+0.3*(2*((SIN(((Model_Data!A116)*12.9898+(Inputs!$C$6)*78.233+Inputs!$C$47*37.719))*43758.5453)-INT((SIN(((Model_Data!A116)*12.9898+(Inputs!$C$6)*78.233+Inputs!$C$47*37.719))*43758.5453)))-1)))</f>
        <v>420.14741895597808</v>
      </c>
      <c r="G116" s="9">
        <f>(Inputs!$C$51*(115*EXP(-(((0)-25)^2)/(4.5^2))+70*EXP(-(((0)+38)^2)/(7^2))*(0.55+0.45*SIN(2*PI()*(Model_Data!A116)/45))+24*SIN(2*PI()*(0)/9+(Model_Data!A116)/18)*EXP(-(((0)+5)^2)/(22^2))+18*SIN(2*PI()*(Model_Data!A116)/70))+Inputs!$C$28*EXP(-(((Model_Data!A116)-Inputs!$C$29)^2)/(2*Inputs!$C$31^2))*EXP(-(((0)-Inputs!$C$30)^2)/(2*Inputs!$C$32^2))+-Inputs!$C$33*EXP(-(((((Model_Data!A116)-Inputs!$C$34)^2)+(((0)-Inputs!$C$35)^2))/(2*Inputs!$C$36^2)))+Inputs!$C$37*(0.55*SIN(2*PI()*(Model_Data!A116)/Inputs!$C$39)+0.35*COS(2*PI()*(0)/Inputs!$C$40)+0.2*SIN(2*PI()*((Model_Data!A116)+(0))/(0.5*(Inputs!$C$39+Inputs!$C$40))))+Inputs!$C$38*SIN(2*PI()*(Model_Data!A116)/Inputs!$C$39)*SIN(2*PI()*(0)/Inputs!$C$40)+-Inputs!$C$41*EXP(-(((0)-Inputs!$C$43)^2)/(2*Inputs!$C$44^2))*EXP(-(((Model_Data!A116)-Inputs!$C$42)^2)/(2*Inputs!$C$45^2))+Inputs!$C$48*(0.7*(0.45*SIN(2*PI()*(((Model_Data!A116)/Inputs!$C$49)+Inputs!$C$47*0.137))+0.35*COS(2*PI()*(((0)/Inputs!$C$50)+Inputs!$C$47*0.173))+0.2*SIN(2*PI()*(((Model_Data!A116)+(0))/(0.5*(Inputs!$C$49+Inputs!$C$50))+Inputs!$C$47*0.097)))+0.3*(2*((SIN(((Model_Data!A116)*12.9898+(0)*78.233+Inputs!$C$47*37.719))*43758.5453)-INT((SIN(((Model_Data!A116)*12.9898+(0)*78.233+Inputs!$C$47*37.719))*43758.5453)))-1)))</f>
        <v>-67.681977394603621</v>
      </c>
      <c r="H116" s="10"/>
      <c r="I116" s="9">
        <f>Model_Data!A116</f>
        <v>-3</v>
      </c>
      <c r="J116" s="9">
        <f>(Inputs!$C$51*(115*EXP(-(((Inputs!$C$6)-25)^2)/(4.5^2))+70*EXP(-(((Inputs!$C$6)+38)^2)/(7^2))*(0.55+0.45*SIN(2*PI()*(Model_Data!A116)/45))+24*SIN(2*PI()*(Inputs!$C$6)/9+(Model_Data!A116)/18)*EXP(-(((Inputs!$C$6)+5)^2)/(22^2))+18*SIN(2*PI()*(Model_Data!A116)/70))+Inputs!$C$28*EXP(-(((Model_Data!A116)-Inputs!$C$29)^2)/(2*Inputs!$C$31^2))*EXP(-(((Inputs!$C$6)-Inputs!$C$30)^2)/(2*Inputs!$C$32^2))+-Inputs!$C$33*EXP(-(((((Model_Data!A116)-Inputs!$C$34)^2)+(((Inputs!$C$6)-Inputs!$C$35)^2))/(2*Inputs!$C$36^2)))+Inputs!$C$37*(0.55*SIN(2*PI()*(Model_Data!A116)/Inputs!$C$39)+0.35*COS(2*PI()*(Inputs!$C$6)/Inputs!$C$40)+0.2*SIN(2*PI()*((Model_Data!A116)+(Inputs!$C$6))/(0.5*(Inputs!$C$39+Inputs!$C$40))))+Inputs!$C$38*SIN(2*PI()*(Model_Data!A116)/Inputs!$C$39)*SIN(2*PI()*(Inputs!$C$6)/Inputs!$C$40)+-Inputs!$C$41*EXP(-(((Inputs!$C$6)-Inputs!$C$43)^2)/(2*Inputs!$C$44^2))*EXP(-(((Model_Data!A116)-Inputs!$C$42)^2)/(2*Inputs!$C$45^2))+Inputs!$C$48*(0.7*(0.45*SIN(2*PI()*(((Model_Data!A116)/Inputs!$C$49)+Inputs!$C$47*0.137))+0.35*COS(2*PI()*(((Inputs!$C$6)/Inputs!$C$50)+Inputs!$C$47*0.173))+0.2*SIN(2*PI()*(((Model_Data!A116)+(Inputs!$C$6))/(0.5*(Inputs!$C$49+Inputs!$C$50))+Inputs!$C$47*0.097)))+0.3*(2*((SIN(((Model_Data!A116)*12.9898+(Inputs!$C$6)*78.233+Inputs!$C$47*37.719))*43758.5453)-INT((SIN(((Model_Data!A116)*12.9898+(Inputs!$C$6)*78.233+Inputs!$C$47*37.719))*43758.5453)))-1)))</f>
        <v>420.14741895597808</v>
      </c>
      <c r="K116" s="9">
        <f>-((((SQRT((Model_Data!A116)^2+Inputs!$C$6^2+((Model_Data!B116)-((Inputs!$C$51*(115*EXP(-(((Inputs!$C$6)-25)^2)/(4.5^2))+70*EXP(-(((Inputs!$C$6)+38)^2)/(7^2))*(0.55+0.45*SIN(2*PI()*(Model_Data!A116)/45))+24*SIN(2*PI()*(Inputs!$C$6)/9+(Model_Data!A116)/18)*EXP(-(((Inputs!$C$6)+5)^2)/(22^2))+18*SIN(2*PI()*(Model_Data!A116)/70))+Inputs!$C$28*EXP(-(((Model_Data!A116)-Inputs!$C$29)^2)/(2*Inputs!$C$31^2))*EXP(-(((Inputs!$C$6)-Inputs!$C$30)^2)/(2*Inputs!$C$32^2))+-Inputs!$C$33*EXP(-(((((Model_Data!A116)-Inputs!$C$34)^2)+(((Inputs!$C$6)-Inputs!$C$35)^2))/(2*Inputs!$C$36^2)))+Inputs!$C$37*(0.55*SIN(2*PI()*(Model_Data!A116)/Inputs!$C$39)+0.35*COS(2*PI()*(Inputs!$C$6)/Inputs!$C$40)+0.2*SIN(2*PI()*((Model_Data!A116)+(Inputs!$C$6))/(0.5*(Inputs!$C$39+Inputs!$C$40))))+Inputs!$C$38*SIN(2*PI()*(Model_Data!A116)/Inputs!$C$39)*SIN(2*PI()*(Inputs!$C$6)/Inputs!$C$40)+-Inputs!$C$41*EXP(-(((Inputs!$C$6)-Inputs!$C$43)^2)/(2*Inputs!$C$44^2))*EXP(-(((Model_Data!A116)-Inputs!$C$42)^2)/(2*Inputs!$C$45^2))+Inputs!$C$48*(0.7*(0.45*SIN(2*PI()*(((Model_Data!A116)/Inputs!$C$49)+Inputs!$C$47*0.137))+0.35*COS(2*PI()*(((Inputs!$C$6)/Inputs!$C$50)+Inputs!$C$47*0.173))+0.2*SIN(2*PI()*(((Model_Data!A116)+(Inputs!$C$6))/(0.5*(Inputs!$C$49+Inputs!$C$50))+Inputs!$C$47*0.097)))+0.3*(2*((SIN(((Model_Data!A116)*12.9898+(Inputs!$C$6)*78.233+Inputs!$C$47*37.719))*43758.5453)-INT((SIN(((Model_Data!A116)*12.9898+(Inputs!$C$6)*78.233+Inputs!$C$47*37.719))*43758.5453)))-1))))/1000)^2))-(((Model_Data!B116)-((Inputs!$C$51*(115*EXP(-(((0)-25)^2)/(4.5^2))+70*EXP(-(((0)+38)^2)/(7^2))*(0.55+0.45*SIN(2*PI()*(Model_Data!A116)/45))+24*SIN(2*PI()*(0)/9+(Model_Data!A116)/18)*EXP(-(((0)+5)^2)/(22^2))+18*SIN(2*PI()*(Model_Data!A116)/70))+Inputs!$C$28*EXP(-(((Model_Data!A116)-Inputs!$C$29)^2)/(2*Inputs!$C$31^2))*EXP(-(((0)-Inputs!$C$30)^2)/(2*Inputs!$C$32^2))+-Inputs!$C$33*EXP(-(((((Model_Data!A116)-Inputs!$C$34)^2)+(((0)-Inputs!$C$35)^2))/(2*Inputs!$C$36^2)))+Inputs!$C$37*(0.55*SIN(2*PI()*(Model_Data!A116)/Inputs!$C$39)+0.35*COS(2*PI()*(0)/Inputs!$C$40)+0.2*SIN(2*PI()*((Model_Data!A116)+(0))/(0.5*(Inputs!$C$39+Inputs!$C$40))))+Inputs!$C$38*SIN(2*PI()*(Model_Data!A116)/Inputs!$C$39)*SIN(2*PI()*(0)/Inputs!$C$40)+-Inputs!$C$41*EXP(-(((0)-Inputs!$C$43)^2)/(2*Inputs!$C$44^2))*EXP(-(((Model_Data!A116)-Inputs!$C$42)^2)/(2*Inputs!$C$45^2))+Inputs!$C$48*(0.7*(0.45*SIN(2*PI()*(((Model_Data!A116)/Inputs!$C$49)+Inputs!$C$47*0.137))+0.35*COS(2*PI()*(((0)/Inputs!$C$50)+Inputs!$C$47*0.173))+0.2*SIN(2*PI()*(((Model_Data!A116)+(0))/(0.5*(Inputs!$C$49+Inputs!$C$50))+Inputs!$C$47*0.097)))+0.3*(2*((SIN(((Model_Data!A116)*12.9898+(0)*78.233+Inputs!$C$47*37.719))*43758.5453)-INT((SIN(((Model_Data!A116)*12.9898+(0)*78.233+Inputs!$C$47*37.719))*43758.5453)))-1))))/1000)))*1000/Inputs!$C$12)-Model_Data!F116)</f>
        <v>273.59472827535978</v>
      </c>
      <c r="L116" s="10"/>
      <c r="M116" s="9">
        <f>Model_Data!A116</f>
        <v>-3</v>
      </c>
      <c r="N116" s="9">
        <f>Model_Data!P116</f>
        <v>22.621594188229299</v>
      </c>
      <c r="O116" s="9">
        <f t="shared" si="2"/>
        <v>48.20103514703078</v>
      </c>
      <c r="P116" s="9">
        <f>Model_Data!Q116</f>
        <v>3.3966357639983933</v>
      </c>
      <c r="Q116" s="9">
        <f t="shared" si="3"/>
        <v>7.2373926647193372</v>
      </c>
      <c r="R116" s="10"/>
      <c r="S116" s="9">
        <f>Model_Data!A116</f>
        <v>-3</v>
      </c>
      <c r="T116" s="9">
        <f>Model_Data!B116-Inputs!$C$5</f>
        <v>9.9999999999909051E-3</v>
      </c>
      <c r="U116" s="10"/>
      <c r="V116" s="9">
        <f>Model_Data!A116</f>
        <v>-3</v>
      </c>
      <c r="W116" s="9">
        <f>((SQRT((Model_Data!A116)^2+Inputs!$C$6^2+Inputs!$C$5^2)-Inputs!$C$5)*1000/Inputs!$C$12)</f>
        <v>444.78454003743417</v>
      </c>
      <c r="X116" s="9">
        <f>Model_Data!F116</f>
        <v>444.77344266602285</v>
      </c>
      <c r="Y116" s="10"/>
      <c r="Z116" s="9">
        <f>Model_Data!A116</f>
        <v>-3</v>
      </c>
      <c r="AA116" s="9">
        <f>SQRT((Model_Data!A116)^2+Inputs!$C$6^2+((Model_Data!B116)-((Inputs!$C$51*(115*EXP(-(((Inputs!$C$6)-25)^2)/(4.5^2))+70*EXP(-(((Inputs!$C$6)+38)^2)/(7^2))*(0.55+0.45*SIN(2*PI()*(Model_Data!A116)/45))+24*SIN(2*PI()*(Inputs!$C$6)/9+(Model_Data!A116)/18)*EXP(-(((Inputs!$C$6)+5)^2)/(22^2))+18*SIN(2*PI()*(Model_Data!A116)/70))+Inputs!$C$28*EXP(-(((Model_Data!A116)-Inputs!$C$29)^2)/(2*Inputs!$C$31^2))*EXP(-(((Inputs!$C$6)-Inputs!$C$30)^2)/(2*Inputs!$C$32^2))+-Inputs!$C$33*EXP(-(((((Model_Data!A116)-Inputs!$C$34)^2)+(((Inputs!$C$6)-Inputs!$C$35)^2))/(2*Inputs!$C$36^2)))+Inputs!$C$37*(0.55*SIN(2*PI()*(Model_Data!A116)/Inputs!$C$39)+0.35*COS(2*PI()*(Inputs!$C$6)/Inputs!$C$40)+0.2*SIN(2*PI()*((Model_Data!A116)+(Inputs!$C$6))/(0.5*(Inputs!$C$39+Inputs!$C$40))))+Inputs!$C$38*SIN(2*PI()*(Model_Data!A116)/Inputs!$C$39)*SIN(2*PI()*(Inputs!$C$6)/Inputs!$C$40)+-Inputs!$C$41*EXP(-(((Inputs!$C$6)-Inputs!$C$43)^2)/(2*Inputs!$C$44^2))*EXP(-(((Model_Data!A116)-Inputs!$C$42)^2)/(2*Inputs!$C$45^2))+Inputs!$C$48*(0.7*(0.45*SIN(2*PI()*(((Model_Data!A116)/Inputs!$C$49)+Inputs!$C$47*0.137))+0.35*COS(2*PI()*(((Inputs!$C$6)/Inputs!$C$50)+Inputs!$C$47*0.173))+0.2*SIN(2*PI()*(((Model_Data!A116)+(Inputs!$C$6))/(0.5*(Inputs!$C$49+Inputs!$C$50))+Inputs!$C$47*0.097)))+0.3*(2*((SIN(((Model_Data!A116)*12.9898+(Inputs!$C$6)*78.233+Inputs!$C$47*37.719))*43758.5453)-INT((SIN(((Model_Data!A116)*12.9898+(Inputs!$C$6)*78.233+Inputs!$C$47*37.719))*43758.5453)))-1))))/1000)^2)</f>
        <v>400.38238008900998</v>
      </c>
      <c r="AB116" s="9">
        <f>1000*(AA117-AA115)/(Z117-Z115)*Inputs!$C$11</f>
        <v>-120.50258786757695</v>
      </c>
      <c r="AC116" s="9">
        <f>-2*AB116/Inputs!$C$13</f>
        <v>48.20103514703078</v>
      </c>
      <c r="AD116" s="9">
        <f>-2*AB116/Inputs!$C$14</f>
        <v>7.2373926647193372</v>
      </c>
    </row>
    <row r="117" spans="1:30">
      <c r="A117" s="9">
        <f>Model_Data!A117</f>
        <v>-2.5</v>
      </c>
      <c r="B117" s="9">
        <f>((SQRT((Model_Data!A117)^2+Inputs!$C$6^2+Inputs!$C$5^2)-Inputs!$C$5)*1000/Inputs!$C$12)</f>
        <v>442.85716682962078</v>
      </c>
      <c r="C117" s="9">
        <f>Model_Data!F117</f>
        <v>442.84949359197901</v>
      </c>
      <c r="D117" s="9">
        <f>(((SQRT((Model_Data!A117)^2+Inputs!$C$6^2+((Model_Data!B117)-((Inputs!$C$51*(115*EXP(-(((Inputs!$C$6)-25)^2)/(4.5^2))+70*EXP(-(((Inputs!$C$6)+38)^2)/(7^2))*(0.55+0.45*SIN(2*PI()*(Model_Data!A117)/45))+24*SIN(2*PI()*(Inputs!$C$6)/9+(Model_Data!A117)/18)*EXP(-(((Inputs!$C$6)+5)^2)/(22^2))+18*SIN(2*PI()*(Model_Data!A117)/70))+Inputs!$C$28*EXP(-(((Model_Data!A117)-Inputs!$C$29)^2)/(2*Inputs!$C$31^2))*EXP(-(((Inputs!$C$6)-Inputs!$C$30)^2)/(2*Inputs!$C$32^2))+-Inputs!$C$33*EXP(-(((((Model_Data!A117)-Inputs!$C$34)^2)+(((Inputs!$C$6)-Inputs!$C$35)^2))/(2*Inputs!$C$36^2)))+Inputs!$C$37*(0.55*SIN(2*PI()*(Model_Data!A117)/Inputs!$C$39)+0.35*COS(2*PI()*(Inputs!$C$6)/Inputs!$C$40)+0.2*SIN(2*PI()*((Model_Data!A117)+(Inputs!$C$6))/(0.5*(Inputs!$C$39+Inputs!$C$40))))+Inputs!$C$38*SIN(2*PI()*(Model_Data!A117)/Inputs!$C$39)*SIN(2*PI()*(Inputs!$C$6)/Inputs!$C$40)+-Inputs!$C$41*EXP(-(((Inputs!$C$6)-Inputs!$C$43)^2)/(2*Inputs!$C$44^2))*EXP(-(((Model_Data!A117)-Inputs!$C$42)^2)/(2*Inputs!$C$45^2))+Inputs!$C$48*(0.7*(0.45*SIN(2*PI()*(((Model_Data!A117)/Inputs!$C$49)+Inputs!$C$47*0.137))+0.35*COS(2*PI()*(((Inputs!$C$6)/Inputs!$C$50)+Inputs!$C$47*0.173))+0.2*SIN(2*PI()*(((Model_Data!A117)+(Inputs!$C$6))/(0.5*(Inputs!$C$49+Inputs!$C$50))+Inputs!$C$47*0.097)))+0.3*(2*((SIN(((Model_Data!A117)*12.9898+(Inputs!$C$6)*78.233+Inputs!$C$47*37.719))*43758.5453)-INT((SIN(((Model_Data!A117)*12.9898+(Inputs!$C$6)*78.233+Inputs!$C$47*37.719))*43758.5453)))-1))))/1000)^2))-(((Model_Data!B117)-((Inputs!$C$51*(115*EXP(-(((0)-25)^2)/(4.5^2))+70*EXP(-(((0)+38)^2)/(7^2))*(0.55+0.45*SIN(2*PI()*(Model_Data!A117)/45))+24*SIN(2*PI()*(0)/9+(Model_Data!A117)/18)*EXP(-(((0)+5)^2)/(22^2))+18*SIN(2*PI()*(Model_Data!A117)/70))+Inputs!$C$28*EXP(-(((Model_Data!A117)-Inputs!$C$29)^2)/(2*Inputs!$C$31^2))*EXP(-(((0)-Inputs!$C$30)^2)/(2*Inputs!$C$32^2))+-Inputs!$C$33*EXP(-(((((Model_Data!A117)-Inputs!$C$34)^2)+(((0)-Inputs!$C$35)^2))/(2*Inputs!$C$36^2)))+Inputs!$C$37*(0.55*SIN(2*PI()*(Model_Data!A117)/Inputs!$C$39)+0.35*COS(2*PI()*(0)/Inputs!$C$40)+0.2*SIN(2*PI()*((Model_Data!A117)+(0))/(0.5*(Inputs!$C$39+Inputs!$C$40))))+Inputs!$C$38*SIN(2*PI()*(Model_Data!A117)/Inputs!$C$39)*SIN(2*PI()*(0)/Inputs!$C$40)+-Inputs!$C$41*EXP(-(((0)-Inputs!$C$43)^2)/(2*Inputs!$C$44^2))*EXP(-(((Model_Data!A117)-Inputs!$C$42)^2)/(2*Inputs!$C$45^2))+Inputs!$C$48*(0.7*(0.45*SIN(2*PI()*(((Model_Data!A117)/Inputs!$C$49)+Inputs!$C$47*0.137))+0.35*COS(2*PI()*(((0)/Inputs!$C$50)+Inputs!$C$47*0.173))+0.2*SIN(2*PI()*(((Model_Data!A117)+(0))/(0.5*(Inputs!$C$49+Inputs!$C$50))+Inputs!$C$47*0.097)))+0.3*(2*((SIN(((Model_Data!A117)*12.9898+(0)*78.233+Inputs!$C$47*37.719))*43758.5453)-INT((SIN(((Model_Data!A117)*12.9898+(0)*78.233+Inputs!$C$47*37.719))*43758.5453)))-1))))/1000)))*1000/Inputs!$C$12)</f>
        <v>178.81471729556657</v>
      </c>
      <c r="E117" s="9">
        <f>Model_Data!A117</f>
        <v>-2.5</v>
      </c>
      <c r="F117" s="9">
        <f>(Inputs!$C$51*(115*EXP(-(((Inputs!$C$6)-25)^2)/(4.5^2))+70*EXP(-(((Inputs!$C$6)+38)^2)/(7^2))*(0.55+0.45*SIN(2*PI()*(Model_Data!A117)/45))+24*SIN(2*PI()*(Inputs!$C$6)/9+(Model_Data!A117)/18)*EXP(-(((Inputs!$C$6)+5)^2)/(22^2))+18*SIN(2*PI()*(Model_Data!A117)/70))+Inputs!$C$28*EXP(-(((Model_Data!A117)-Inputs!$C$29)^2)/(2*Inputs!$C$31^2))*EXP(-(((Inputs!$C$6)-Inputs!$C$30)^2)/(2*Inputs!$C$32^2))+-Inputs!$C$33*EXP(-(((((Model_Data!A117)-Inputs!$C$34)^2)+(((Inputs!$C$6)-Inputs!$C$35)^2))/(2*Inputs!$C$36^2)))+Inputs!$C$37*(0.55*SIN(2*PI()*(Model_Data!A117)/Inputs!$C$39)+0.35*COS(2*PI()*(Inputs!$C$6)/Inputs!$C$40)+0.2*SIN(2*PI()*((Model_Data!A117)+(Inputs!$C$6))/(0.5*(Inputs!$C$39+Inputs!$C$40))))+Inputs!$C$38*SIN(2*PI()*(Model_Data!A117)/Inputs!$C$39)*SIN(2*PI()*(Inputs!$C$6)/Inputs!$C$40)+-Inputs!$C$41*EXP(-(((Inputs!$C$6)-Inputs!$C$43)^2)/(2*Inputs!$C$44^2))*EXP(-(((Model_Data!A117)-Inputs!$C$42)^2)/(2*Inputs!$C$45^2))+Inputs!$C$48*(0.7*(0.45*SIN(2*PI()*(((Model_Data!A117)/Inputs!$C$49)+Inputs!$C$47*0.137))+0.35*COS(2*PI()*(((Inputs!$C$6)/Inputs!$C$50)+Inputs!$C$47*0.173))+0.2*SIN(2*PI()*(((Model_Data!A117)+(Inputs!$C$6))/(0.5*(Inputs!$C$49+Inputs!$C$50))+Inputs!$C$47*0.097)))+0.3*(2*((SIN(((Model_Data!A117)*12.9898+(Inputs!$C$6)*78.233+Inputs!$C$47*37.719))*43758.5453)-INT((SIN(((Model_Data!A117)*12.9898+(Inputs!$C$6)*78.233+Inputs!$C$47*37.719))*43758.5453)))-1)))</f>
        <v>420.97624209783453</v>
      </c>
      <c r="G117" s="9">
        <f>(Inputs!$C$51*(115*EXP(-(((0)-25)^2)/(4.5^2))+70*EXP(-(((0)+38)^2)/(7^2))*(0.55+0.45*SIN(2*PI()*(Model_Data!A117)/45))+24*SIN(2*PI()*(0)/9+(Model_Data!A117)/18)*EXP(-(((0)+5)^2)/(22^2))+18*SIN(2*PI()*(Model_Data!A117)/70))+Inputs!$C$28*EXP(-(((Model_Data!A117)-Inputs!$C$29)^2)/(2*Inputs!$C$31^2))*EXP(-(((0)-Inputs!$C$30)^2)/(2*Inputs!$C$32^2))+-Inputs!$C$33*EXP(-(((((Model_Data!A117)-Inputs!$C$34)^2)+(((0)-Inputs!$C$35)^2))/(2*Inputs!$C$36^2)))+Inputs!$C$37*(0.55*SIN(2*PI()*(Model_Data!A117)/Inputs!$C$39)+0.35*COS(2*PI()*(0)/Inputs!$C$40)+0.2*SIN(2*PI()*((Model_Data!A117)+(0))/(0.5*(Inputs!$C$39+Inputs!$C$40))))+Inputs!$C$38*SIN(2*PI()*(Model_Data!A117)/Inputs!$C$39)*SIN(2*PI()*(0)/Inputs!$C$40)+-Inputs!$C$41*EXP(-(((0)-Inputs!$C$43)^2)/(2*Inputs!$C$44^2))*EXP(-(((Model_Data!A117)-Inputs!$C$42)^2)/(2*Inputs!$C$45^2))+Inputs!$C$48*(0.7*(0.45*SIN(2*PI()*(((Model_Data!A117)/Inputs!$C$49)+Inputs!$C$47*0.137))+0.35*COS(2*PI()*(((0)/Inputs!$C$50)+Inputs!$C$47*0.173))+0.2*SIN(2*PI()*(((Model_Data!A117)+(0))/(0.5*(Inputs!$C$49+Inputs!$C$50))+Inputs!$C$47*0.097)))+0.3*(2*((SIN(((Model_Data!A117)*12.9898+(0)*78.233+Inputs!$C$47*37.719))*43758.5453)-INT((SIN(((Model_Data!A117)*12.9898+(0)*78.233+Inputs!$C$47*37.719))*43758.5453)))-1)))</f>
        <v>-49.834492958636119</v>
      </c>
      <c r="H117" s="10"/>
      <c r="I117" s="9">
        <f>Model_Data!A117</f>
        <v>-2.5</v>
      </c>
      <c r="J117" s="9">
        <f>(Inputs!$C$51*(115*EXP(-(((Inputs!$C$6)-25)^2)/(4.5^2))+70*EXP(-(((Inputs!$C$6)+38)^2)/(7^2))*(0.55+0.45*SIN(2*PI()*(Model_Data!A117)/45))+24*SIN(2*PI()*(Inputs!$C$6)/9+(Model_Data!A117)/18)*EXP(-(((Inputs!$C$6)+5)^2)/(22^2))+18*SIN(2*PI()*(Model_Data!A117)/70))+Inputs!$C$28*EXP(-(((Model_Data!A117)-Inputs!$C$29)^2)/(2*Inputs!$C$31^2))*EXP(-(((Inputs!$C$6)-Inputs!$C$30)^2)/(2*Inputs!$C$32^2))+-Inputs!$C$33*EXP(-(((((Model_Data!A117)-Inputs!$C$34)^2)+(((Inputs!$C$6)-Inputs!$C$35)^2))/(2*Inputs!$C$36^2)))+Inputs!$C$37*(0.55*SIN(2*PI()*(Model_Data!A117)/Inputs!$C$39)+0.35*COS(2*PI()*(Inputs!$C$6)/Inputs!$C$40)+0.2*SIN(2*PI()*((Model_Data!A117)+(Inputs!$C$6))/(0.5*(Inputs!$C$39+Inputs!$C$40))))+Inputs!$C$38*SIN(2*PI()*(Model_Data!A117)/Inputs!$C$39)*SIN(2*PI()*(Inputs!$C$6)/Inputs!$C$40)+-Inputs!$C$41*EXP(-(((Inputs!$C$6)-Inputs!$C$43)^2)/(2*Inputs!$C$44^2))*EXP(-(((Model_Data!A117)-Inputs!$C$42)^2)/(2*Inputs!$C$45^2))+Inputs!$C$48*(0.7*(0.45*SIN(2*PI()*(((Model_Data!A117)/Inputs!$C$49)+Inputs!$C$47*0.137))+0.35*COS(2*PI()*(((Inputs!$C$6)/Inputs!$C$50)+Inputs!$C$47*0.173))+0.2*SIN(2*PI()*(((Model_Data!A117)+(Inputs!$C$6))/(0.5*(Inputs!$C$49+Inputs!$C$50))+Inputs!$C$47*0.097)))+0.3*(2*((SIN(((Model_Data!A117)*12.9898+(Inputs!$C$6)*78.233+Inputs!$C$47*37.719))*43758.5453)-INT((SIN(((Model_Data!A117)*12.9898+(Inputs!$C$6)*78.233+Inputs!$C$47*37.719))*43758.5453)))-1)))</f>
        <v>420.97624209783453</v>
      </c>
      <c r="K117" s="9">
        <f>-((((SQRT((Model_Data!A117)^2+Inputs!$C$6^2+((Model_Data!B117)-((Inputs!$C$51*(115*EXP(-(((Inputs!$C$6)-25)^2)/(4.5^2))+70*EXP(-(((Inputs!$C$6)+38)^2)/(7^2))*(0.55+0.45*SIN(2*PI()*(Model_Data!A117)/45))+24*SIN(2*PI()*(Inputs!$C$6)/9+(Model_Data!A117)/18)*EXP(-(((Inputs!$C$6)+5)^2)/(22^2))+18*SIN(2*PI()*(Model_Data!A117)/70))+Inputs!$C$28*EXP(-(((Model_Data!A117)-Inputs!$C$29)^2)/(2*Inputs!$C$31^2))*EXP(-(((Inputs!$C$6)-Inputs!$C$30)^2)/(2*Inputs!$C$32^2))+-Inputs!$C$33*EXP(-(((((Model_Data!A117)-Inputs!$C$34)^2)+(((Inputs!$C$6)-Inputs!$C$35)^2))/(2*Inputs!$C$36^2)))+Inputs!$C$37*(0.55*SIN(2*PI()*(Model_Data!A117)/Inputs!$C$39)+0.35*COS(2*PI()*(Inputs!$C$6)/Inputs!$C$40)+0.2*SIN(2*PI()*((Model_Data!A117)+(Inputs!$C$6))/(0.5*(Inputs!$C$39+Inputs!$C$40))))+Inputs!$C$38*SIN(2*PI()*(Model_Data!A117)/Inputs!$C$39)*SIN(2*PI()*(Inputs!$C$6)/Inputs!$C$40)+-Inputs!$C$41*EXP(-(((Inputs!$C$6)-Inputs!$C$43)^2)/(2*Inputs!$C$44^2))*EXP(-(((Model_Data!A117)-Inputs!$C$42)^2)/(2*Inputs!$C$45^2))+Inputs!$C$48*(0.7*(0.45*SIN(2*PI()*(((Model_Data!A117)/Inputs!$C$49)+Inputs!$C$47*0.137))+0.35*COS(2*PI()*(((Inputs!$C$6)/Inputs!$C$50)+Inputs!$C$47*0.173))+0.2*SIN(2*PI()*(((Model_Data!A117)+(Inputs!$C$6))/(0.5*(Inputs!$C$49+Inputs!$C$50))+Inputs!$C$47*0.097)))+0.3*(2*((SIN(((Model_Data!A117)*12.9898+(Inputs!$C$6)*78.233+Inputs!$C$47*37.719))*43758.5453)-INT((SIN(((Model_Data!A117)*12.9898+(Inputs!$C$6)*78.233+Inputs!$C$47*37.719))*43758.5453)))-1))))/1000)^2))-(((Model_Data!B117)-((Inputs!$C$51*(115*EXP(-(((0)-25)^2)/(4.5^2))+70*EXP(-(((0)+38)^2)/(7^2))*(0.55+0.45*SIN(2*PI()*(Model_Data!A117)/45))+24*SIN(2*PI()*(0)/9+(Model_Data!A117)/18)*EXP(-(((0)+5)^2)/(22^2))+18*SIN(2*PI()*(Model_Data!A117)/70))+Inputs!$C$28*EXP(-(((Model_Data!A117)-Inputs!$C$29)^2)/(2*Inputs!$C$31^2))*EXP(-(((0)-Inputs!$C$30)^2)/(2*Inputs!$C$32^2))+-Inputs!$C$33*EXP(-(((((Model_Data!A117)-Inputs!$C$34)^2)+(((0)-Inputs!$C$35)^2))/(2*Inputs!$C$36^2)))+Inputs!$C$37*(0.55*SIN(2*PI()*(Model_Data!A117)/Inputs!$C$39)+0.35*COS(2*PI()*(0)/Inputs!$C$40)+0.2*SIN(2*PI()*((Model_Data!A117)+(0))/(0.5*(Inputs!$C$39+Inputs!$C$40))))+Inputs!$C$38*SIN(2*PI()*(Model_Data!A117)/Inputs!$C$39)*SIN(2*PI()*(0)/Inputs!$C$40)+-Inputs!$C$41*EXP(-(((0)-Inputs!$C$43)^2)/(2*Inputs!$C$44^2))*EXP(-(((Model_Data!A117)-Inputs!$C$42)^2)/(2*Inputs!$C$45^2))+Inputs!$C$48*(0.7*(0.45*SIN(2*PI()*(((Model_Data!A117)/Inputs!$C$49)+Inputs!$C$47*0.137))+0.35*COS(2*PI()*(((0)/Inputs!$C$50)+Inputs!$C$47*0.173))+0.2*SIN(2*PI()*(((Model_Data!A117)+(0))/(0.5*(Inputs!$C$49+Inputs!$C$50))+Inputs!$C$47*0.097)))+0.3*(2*((SIN(((Model_Data!A117)*12.9898+(0)*78.233+Inputs!$C$47*37.719))*43758.5453)-INT((SIN(((Model_Data!A117)*12.9898+(0)*78.233+Inputs!$C$47*37.719))*43758.5453)))-1))))/1000)))*1000/Inputs!$C$12)-Model_Data!F117)</f>
        <v>264.03477629641247</v>
      </c>
      <c r="L117" s="10"/>
      <c r="M117" s="9">
        <f>Model_Data!A117</f>
        <v>-2.5</v>
      </c>
      <c r="N117" s="9">
        <f>Model_Data!P117</f>
        <v>18.851565517971398</v>
      </c>
      <c r="O117" s="9">
        <f t="shared" si="2"/>
        <v>44.149140922854713</v>
      </c>
      <c r="P117" s="9">
        <f>Model_Data!Q117</f>
        <v>2.8305653930887988</v>
      </c>
      <c r="Q117" s="9">
        <f t="shared" si="3"/>
        <v>6.6290001385667745</v>
      </c>
      <c r="R117" s="10"/>
      <c r="S117" s="9">
        <f>Model_Data!A117</f>
        <v>-2.5</v>
      </c>
      <c r="T117" s="9">
        <f>Model_Data!B117-Inputs!$C$5</f>
        <v>6.9444444444570763E-3</v>
      </c>
      <c r="U117" s="10"/>
      <c r="V117" s="9">
        <f>Model_Data!A117</f>
        <v>-2.5</v>
      </c>
      <c r="W117" s="9">
        <f>((SQRT((Model_Data!A117)^2+Inputs!$C$6^2+Inputs!$C$5^2)-Inputs!$C$5)*1000/Inputs!$C$12)</f>
        <v>442.85716682962078</v>
      </c>
      <c r="X117" s="9">
        <f>Model_Data!F117</f>
        <v>442.84949359197901</v>
      </c>
      <c r="Y117" s="10"/>
      <c r="Z117" s="9">
        <f>Model_Data!A117</f>
        <v>-2.5</v>
      </c>
      <c r="AA117" s="9">
        <f>SQRT((Model_Data!A117)^2+Inputs!$C$6^2+((Model_Data!B117)-((Inputs!$C$51*(115*EXP(-(((Inputs!$C$6)-25)^2)/(4.5^2))+70*EXP(-(((Inputs!$C$6)+38)^2)/(7^2))*(0.55+0.45*SIN(2*PI()*(Model_Data!A117)/45))+24*SIN(2*PI()*(Inputs!$C$6)/9+(Model_Data!A117)/18)*EXP(-(((Inputs!$C$6)+5)^2)/(22^2))+18*SIN(2*PI()*(Model_Data!A117)/70))+Inputs!$C$28*EXP(-(((Model_Data!A117)-Inputs!$C$29)^2)/(2*Inputs!$C$31^2))*EXP(-(((Inputs!$C$6)-Inputs!$C$30)^2)/(2*Inputs!$C$32^2))+-Inputs!$C$33*EXP(-(((((Model_Data!A117)-Inputs!$C$34)^2)+(((Inputs!$C$6)-Inputs!$C$35)^2))/(2*Inputs!$C$36^2)))+Inputs!$C$37*(0.55*SIN(2*PI()*(Model_Data!A117)/Inputs!$C$39)+0.35*COS(2*PI()*(Inputs!$C$6)/Inputs!$C$40)+0.2*SIN(2*PI()*((Model_Data!A117)+(Inputs!$C$6))/(0.5*(Inputs!$C$39+Inputs!$C$40))))+Inputs!$C$38*SIN(2*PI()*(Model_Data!A117)/Inputs!$C$39)*SIN(2*PI()*(Inputs!$C$6)/Inputs!$C$40)+-Inputs!$C$41*EXP(-(((Inputs!$C$6)-Inputs!$C$43)^2)/(2*Inputs!$C$44^2))*EXP(-(((Model_Data!A117)-Inputs!$C$42)^2)/(2*Inputs!$C$45^2))+Inputs!$C$48*(0.7*(0.45*SIN(2*PI()*(((Model_Data!A117)/Inputs!$C$49)+Inputs!$C$47*0.137))+0.35*COS(2*PI()*(((Inputs!$C$6)/Inputs!$C$50)+Inputs!$C$47*0.173))+0.2*SIN(2*PI()*(((Model_Data!A117)+(Inputs!$C$6))/(0.5*(Inputs!$C$49+Inputs!$C$50))+Inputs!$C$47*0.097)))+0.3*(2*((SIN(((Model_Data!A117)*12.9898+(Inputs!$C$6)*78.233+Inputs!$C$47*37.719))*43758.5453)-INT((SIN(((Model_Data!A117)*12.9898+(Inputs!$C$6)*78.233+Inputs!$C$47*37.719))*43758.5453)))-1))))/1000)^2)</f>
        <v>400.37506913418918</v>
      </c>
      <c r="AB117" s="9">
        <f>1000*(AA118-AA116)/(Z118-Z116)*Inputs!$C$11</f>
        <v>-110.37285230713678</v>
      </c>
      <c r="AC117" s="9">
        <f>-2*AB117/Inputs!$C$13</f>
        <v>44.149140922854713</v>
      </c>
      <c r="AD117" s="9">
        <f>-2*AB117/Inputs!$C$14</f>
        <v>6.6290001385667745</v>
      </c>
    </row>
    <row r="118" spans="1:30">
      <c r="A118" s="9">
        <f>Model_Data!A118</f>
        <v>-2</v>
      </c>
      <c r="B118" s="9">
        <f>((SQRT((Model_Data!A118)^2+Inputs!$C$6^2+Inputs!$C$5^2)-Inputs!$C$5)*1000/Inputs!$C$12)</f>
        <v>441.28021284267066</v>
      </c>
      <c r="C118" s="9">
        <f>Model_Data!F118</f>
        <v>441.27531939274672</v>
      </c>
      <c r="D118" s="9">
        <f>(((SQRT((Model_Data!A118)^2+Inputs!$C$6^2+((Model_Data!B118)-((Inputs!$C$51*(115*EXP(-(((Inputs!$C$6)-25)^2)/(4.5^2))+70*EXP(-(((Inputs!$C$6)+38)^2)/(7^2))*(0.55+0.45*SIN(2*PI()*(Model_Data!A118)/45))+24*SIN(2*PI()*(Inputs!$C$6)/9+(Model_Data!A118)/18)*EXP(-(((Inputs!$C$6)+5)^2)/(22^2))+18*SIN(2*PI()*(Model_Data!A118)/70))+Inputs!$C$28*EXP(-(((Model_Data!A118)-Inputs!$C$29)^2)/(2*Inputs!$C$31^2))*EXP(-(((Inputs!$C$6)-Inputs!$C$30)^2)/(2*Inputs!$C$32^2))+-Inputs!$C$33*EXP(-(((((Model_Data!A118)-Inputs!$C$34)^2)+(((Inputs!$C$6)-Inputs!$C$35)^2))/(2*Inputs!$C$36^2)))+Inputs!$C$37*(0.55*SIN(2*PI()*(Model_Data!A118)/Inputs!$C$39)+0.35*COS(2*PI()*(Inputs!$C$6)/Inputs!$C$40)+0.2*SIN(2*PI()*((Model_Data!A118)+(Inputs!$C$6))/(0.5*(Inputs!$C$39+Inputs!$C$40))))+Inputs!$C$38*SIN(2*PI()*(Model_Data!A118)/Inputs!$C$39)*SIN(2*PI()*(Inputs!$C$6)/Inputs!$C$40)+-Inputs!$C$41*EXP(-(((Inputs!$C$6)-Inputs!$C$43)^2)/(2*Inputs!$C$44^2))*EXP(-(((Model_Data!A118)-Inputs!$C$42)^2)/(2*Inputs!$C$45^2))+Inputs!$C$48*(0.7*(0.45*SIN(2*PI()*(((Model_Data!A118)/Inputs!$C$49)+Inputs!$C$47*0.137))+0.35*COS(2*PI()*(((Inputs!$C$6)/Inputs!$C$50)+Inputs!$C$47*0.173))+0.2*SIN(2*PI()*(((Model_Data!A118)+(Inputs!$C$6))/(0.5*(Inputs!$C$49+Inputs!$C$50))+Inputs!$C$47*0.097)))+0.3*(2*((SIN(((Model_Data!A118)*12.9898+(Inputs!$C$6)*78.233+Inputs!$C$47*37.719))*43758.5453)-INT((SIN(((Model_Data!A118)*12.9898+(Inputs!$C$6)*78.233+Inputs!$C$47*37.719))*43758.5453)))-1))))/1000)^2))-(((Model_Data!B118)-((Inputs!$C$51*(115*EXP(-(((0)-25)^2)/(4.5^2))+70*EXP(-(((0)+38)^2)/(7^2))*(0.55+0.45*SIN(2*PI()*(Model_Data!A118)/45))+24*SIN(2*PI()*(0)/9+(Model_Data!A118)/18)*EXP(-(((0)+5)^2)/(22^2))+18*SIN(2*PI()*(Model_Data!A118)/70))+Inputs!$C$28*EXP(-(((Model_Data!A118)-Inputs!$C$29)^2)/(2*Inputs!$C$31^2))*EXP(-(((0)-Inputs!$C$30)^2)/(2*Inputs!$C$32^2))+-Inputs!$C$33*EXP(-(((((Model_Data!A118)-Inputs!$C$34)^2)+(((0)-Inputs!$C$35)^2))/(2*Inputs!$C$36^2)))+Inputs!$C$37*(0.55*SIN(2*PI()*(Model_Data!A118)/Inputs!$C$39)+0.35*COS(2*PI()*(0)/Inputs!$C$40)+0.2*SIN(2*PI()*((Model_Data!A118)+(0))/(0.5*(Inputs!$C$39+Inputs!$C$40))))+Inputs!$C$38*SIN(2*PI()*(Model_Data!A118)/Inputs!$C$39)*SIN(2*PI()*(0)/Inputs!$C$40)+-Inputs!$C$41*EXP(-(((0)-Inputs!$C$43)^2)/(2*Inputs!$C$44^2))*EXP(-(((Model_Data!A118)-Inputs!$C$42)^2)/(2*Inputs!$C$45^2))+Inputs!$C$48*(0.7*(0.45*SIN(2*PI()*(((Model_Data!A118)/Inputs!$C$49)+Inputs!$C$47*0.137))+0.35*COS(2*PI()*(((0)/Inputs!$C$50)+Inputs!$C$47*0.173))+0.2*SIN(2*PI()*(((Model_Data!A118)+(0))/(0.5*(Inputs!$C$49+Inputs!$C$50))+Inputs!$C$47*0.097)))+0.3*(2*((SIN(((Model_Data!A118)*12.9898+(0)*78.233+Inputs!$C$47*37.719))*43758.5453)-INT((SIN(((Model_Data!A118)*12.9898+(0)*78.233+Inputs!$C$47*37.719))*43758.5453)))-1))))/1000)))*1000/Inputs!$C$12)</f>
        <v>163.3343547935643</v>
      </c>
      <c r="E118" s="9">
        <f>Model_Data!A118</f>
        <v>-2</v>
      </c>
      <c r="F118" s="9">
        <f>(Inputs!$C$51*(115*EXP(-(((Inputs!$C$6)-25)^2)/(4.5^2))+70*EXP(-(((Inputs!$C$6)+38)^2)/(7^2))*(0.55+0.45*SIN(2*PI()*(Model_Data!A118)/45))+24*SIN(2*PI()*(Inputs!$C$6)/9+(Model_Data!A118)/18)*EXP(-(((Inputs!$C$6)+5)^2)/(22^2))+18*SIN(2*PI()*(Model_Data!A118)/70))+Inputs!$C$28*EXP(-(((Model_Data!A118)-Inputs!$C$29)^2)/(2*Inputs!$C$31^2))*EXP(-(((Inputs!$C$6)-Inputs!$C$30)^2)/(2*Inputs!$C$32^2))+-Inputs!$C$33*EXP(-(((((Model_Data!A118)-Inputs!$C$34)^2)+(((Inputs!$C$6)-Inputs!$C$35)^2))/(2*Inputs!$C$36^2)))+Inputs!$C$37*(0.55*SIN(2*PI()*(Model_Data!A118)/Inputs!$C$39)+0.35*COS(2*PI()*(Inputs!$C$6)/Inputs!$C$40)+0.2*SIN(2*PI()*((Model_Data!A118)+(Inputs!$C$6))/(0.5*(Inputs!$C$39+Inputs!$C$40))))+Inputs!$C$38*SIN(2*PI()*(Model_Data!A118)/Inputs!$C$39)*SIN(2*PI()*(Inputs!$C$6)/Inputs!$C$40)+-Inputs!$C$41*EXP(-(((Inputs!$C$6)-Inputs!$C$43)^2)/(2*Inputs!$C$44^2))*EXP(-(((Model_Data!A118)-Inputs!$C$42)^2)/(2*Inputs!$C$45^2))+Inputs!$C$48*(0.7*(0.45*SIN(2*PI()*(((Model_Data!A118)/Inputs!$C$49)+Inputs!$C$47*0.137))+0.35*COS(2*PI()*(((Inputs!$C$6)/Inputs!$C$50)+Inputs!$C$47*0.173))+0.2*SIN(2*PI()*(((Model_Data!A118)+(Inputs!$C$6))/(0.5*(Inputs!$C$49+Inputs!$C$50))+Inputs!$C$47*0.097)))+0.3*(2*((SIN(((Model_Data!A118)*12.9898+(Inputs!$C$6)*78.233+Inputs!$C$47*37.719))*43758.5453)-INT((SIN(((Model_Data!A118)*12.9898+(Inputs!$C$6)*78.233+Inputs!$C$47*37.719))*43758.5453)))-1)))</f>
        <v>435.98300826713626</v>
      </c>
      <c r="G118" s="9">
        <f>(Inputs!$C$51*(115*EXP(-(((0)-25)^2)/(4.5^2))+70*EXP(-(((0)+38)^2)/(7^2))*(0.55+0.45*SIN(2*PI()*(Model_Data!A118)/45))+24*SIN(2*PI()*(0)/9+(Model_Data!A118)/18)*EXP(-(((0)+5)^2)/(22^2))+18*SIN(2*PI()*(Model_Data!A118)/70))+Inputs!$C$28*EXP(-(((Model_Data!A118)-Inputs!$C$29)^2)/(2*Inputs!$C$31^2))*EXP(-(((0)-Inputs!$C$30)^2)/(2*Inputs!$C$32^2))+-Inputs!$C$33*EXP(-(((((Model_Data!A118)-Inputs!$C$34)^2)+(((0)-Inputs!$C$35)^2))/(2*Inputs!$C$36^2)))+Inputs!$C$37*(0.55*SIN(2*PI()*(Model_Data!A118)/Inputs!$C$39)+0.35*COS(2*PI()*(0)/Inputs!$C$40)+0.2*SIN(2*PI()*((Model_Data!A118)+(0))/(0.5*(Inputs!$C$39+Inputs!$C$40))))+Inputs!$C$38*SIN(2*PI()*(Model_Data!A118)/Inputs!$C$39)*SIN(2*PI()*(0)/Inputs!$C$40)+-Inputs!$C$41*EXP(-(((0)-Inputs!$C$43)^2)/(2*Inputs!$C$44^2))*EXP(-(((Model_Data!A118)-Inputs!$C$42)^2)/(2*Inputs!$C$45^2))+Inputs!$C$48*(0.7*(0.45*SIN(2*PI()*(((Model_Data!A118)/Inputs!$C$49)+Inputs!$C$47*0.137))+0.35*COS(2*PI()*(((0)/Inputs!$C$50)+Inputs!$C$47*0.173))+0.2*SIN(2*PI()*(((Model_Data!A118)+(0))/(0.5*(Inputs!$C$49+Inputs!$C$50))+Inputs!$C$47*0.097)))+0.3*(2*((SIN(((Model_Data!A118)*12.9898+(0)*78.233+Inputs!$C$47*37.719))*43758.5453)-INT((SIN(((Model_Data!A118)*12.9898+(0)*78.233+Inputs!$C$47*37.719))*43758.5453)))-1)))</f>
        <v>-59.607279956221248</v>
      </c>
      <c r="H118" s="10"/>
      <c r="I118" s="9">
        <f>Model_Data!A118</f>
        <v>-2</v>
      </c>
      <c r="J118" s="9">
        <f>(Inputs!$C$51*(115*EXP(-(((Inputs!$C$6)-25)^2)/(4.5^2))+70*EXP(-(((Inputs!$C$6)+38)^2)/(7^2))*(0.55+0.45*SIN(2*PI()*(Model_Data!A118)/45))+24*SIN(2*PI()*(Inputs!$C$6)/9+(Model_Data!A118)/18)*EXP(-(((Inputs!$C$6)+5)^2)/(22^2))+18*SIN(2*PI()*(Model_Data!A118)/70))+Inputs!$C$28*EXP(-(((Model_Data!A118)-Inputs!$C$29)^2)/(2*Inputs!$C$31^2))*EXP(-(((Inputs!$C$6)-Inputs!$C$30)^2)/(2*Inputs!$C$32^2))+-Inputs!$C$33*EXP(-(((((Model_Data!A118)-Inputs!$C$34)^2)+(((Inputs!$C$6)-Inputs!$C$35)^2))/(2*Inputs!$C$36^2)))+Inputs!$C$37*(0.55*SIN(2*PI()*(Model_Data!A118)/Inputs!$C$39)+0.35*COS(2*PI()*(Inputs!$C$6)/Inputs!$C$40)+0.2*SIN(2*PI()*((Model_Data!A118)+(Inputs!$C$6))/(0.5*(Inputs!$C$39+Inputs!$C$40))))+Inputs!$C$38*SIN(2*PI()*(Model_Data!A118)/Inputs!$C$39)*SIN(2*PI()*(Inputs!$C$6)/Inputs!$C$40)+-Inputs!$C$41*EXP(-(((Inputs!$C$6)-Inputs!$C$43)^2)/(2*Inputs!$C$44^2))*EXP(-(((Model_Data!A118)-Inputs!$C$42)^2)/(2*Inputs!$C$45^2))+Inputs!$C$48*(0.7*(0.45*SIN(2*PI()*(((Model_Data!A118)/Inputs!$C$49)+Inputs!$C$47*0.137))+0.35*COS(2*PI()*(((Inputs!$C$6)/Inputs!$C$50)+Inputs!$C$47*0.173))+0.2*SIN(2*PI()*(((Model_Data!A118)+(Inputs!$C$6))/(0.5*(Inputs!$C$49+Inputs!$C$50))+Inputs!$C$47*0.097)))+0.3*(2*((SIN(((Model_Data!A118)*12.9898+(Inputs!$C$6)*78.233+Inputs!$C$47*37.719))*43758.5453)-INT((SIN(((Model_Data!A118)*12.9898+(Inputs!$C$6)*78.233+Inputs!$C$47*37.719))*43758.5453)))-1)))</f>
        <v>435.98300826713626</v>
      </c>
      <c r="K118" s="9">
        <f>-((((SQRT((Model_Data!A118)^2+Inputs!$C$6^2+((Model_Data!B118)-((Inputs!$C$51*(115*EXP(-(((Inputs!$C$6)-25)^2)/(4.5^2))+70*EXP(-(((Inputs!$C$6)+38)^2)/(7^2))*(0.55+0.45*SIN(2*PI()*(Model_Data!A118)/45))+24*SIN(2*PI()*(Inputs!$C$6)/9+(Model_Data!A118)/18)*EXP(-(((Inputs!$C$6)+5)^2)/(22^2))+18*SIN(2*PI()*(Model_Data!A118)/70))+Inputs!$C$28*EXP(-(((Model_Data!A118)-Inputs!$C$29)^2)/(2*Inputs!$C$31^2))*EXP(-(((Inputs!$C$6)-Inputs!$C$30)^2)/(2*Inputs!$C$32^2))+-Inputs!$C$33*EXP(-(((((Model_Data!A118)-Inputs!$C$34)^2)+(((Inputs!$C$6)-Inputs!$C$35)^2))/(2*Inputs!$C$36^2)))+Inputs!$C$37*(0.55*SIN(2*PI()*(Model_Data!A118)/Inputs!$C$39)+0.35*COS(2*PI()*(Inputs!$C$6)/Inputs!$C$40)+0.2*SIN(2*PI()*((Model_Data!A118)+(Inputs!$C$6))/(0.5*(Inputs!$C$39+Inputs!$C$40))))+Inputs!$C$38*SIN(2*PI()*(Model_Data!A118)/Inputs!$C$39)*SIN(2*PI()*(Inputs!$C$6)/Inputs!$C$40)+-Inputs!$C$41*EXP(-(((Inputs!$C$6)-Inputs!$C$43)^2)/(2*Inputs!$C$44^2))*EXP(-(((Model_Data!A118)-Inputs!$C$42)^2)/(2*Inputs!$C$45^2))+Inputs!$C$48*(0.7*(0.45*SIN(2*PI()*(((Model_Data!A118)/Inputs!$C$49)+Inputs!$C$47*0.137))+0.35*COS(2*PI()*(((Inputs!$C$6)/Inputs!$C$50)+Inputs!$C$47*0.173))+0.2*SIN(2*PI()*(((Model_Data!A118)+(Inputs!$C$6))/(0.5*(Inputs!$C$49+Inputs!$C$50))+Inputs!$C$47*0.097)))+0.3*(2*((SIN(((Model_Data!A118)*12.9898+(Inputs!$C$6)*78.233+Inputs!$C$47*37.719))*43758.5453)-INT((SIN(((Model_Data!A118)*12.9898+(Inputs!$C$6)*78.233+Inputs!$C$47*37.719))*43758.5453)))-1))))/1000)^2))-(((Model_Data!B118)-((Inputs!$C$51*(115*EXP(-(((0)-25)^2)/(4.5^2))+70*EXP(-(((0)+38)^2)/(7^2))*(0.55+0.45*SIN(2*PI()*(Model_Data!A118)/45))+24*SIN(2*PI()*(0)/9+(Model_Data!A118)/18)*EXP(-(((0)+5)^2)/(22^2))+18*SIN(2*PI()*(Model_Data!A118)/70))+Inputs!$C$28*EXP(-(((Model_Data!A118)-Inputs!$C$29)^2)/(2*Inputs!$C$31^2))*EXP(-(((0)-Inputs!$C$30)^2)/(2*Inputs!$C$32^2))+-Inputs!$C$33*EXP(-(((((Model_Data!A118)-Inputs!$C$34)^2)+(((0)-Inputs!$C$35)^2))/(2*Inputs!$C$36^2)))+Inputs!$C$37*(0.55*SIN(2*PI()*(Model_Data!A118)/Inputs!$C$39)+0.35*COS(2*PI()*(0)/Inputs!$C$40)+0.2*SIN(2*PI()*((Model_Data!A118)+(0))/(0.5*(Inputs!$C$39+Inputs!$C$40))))+Inputs!$C$38*SIN(2*PI()*(Model_Data!A118)/Inputs!$C$39)*SIN(2*PI()*(0)/Inputs!$C$40)+-Inputs!$C$41*EXP(-(((0)-Inputs!$C$43)^2)/(2*Inputs!$C$44^2))*EXP(-(((Model_Data!A118)-Inputs!$C$42)^2)/(2*Inputs!$C$45^2))+Inputs!$C$48*(0.7*(0.45*SIN(2*PI()*(((Model_Data!A118)/Inputs!$C$49)+Inputs!$C$47*0.137))+0.35*COS(2*PI()*(((0)/Inputs!$C$50)+Inputs!$C$47*0.173))+0.2*SIN(2*PI()*(((Model_Data!A118)+(0))/(0.5*(Inputs!$C$49+Inputs!$C$50))+Inputs!$C$47*0.097)))+0.3*(2*((SIN(((Model_Data!A118)*12.9898+(0)*78.233+Inputs!$C$47*37.719))*43758.5453)-INT((SIN(((Model_Data!A118)*12.9898+(0)*78.233+Inputs!$C$47*37.719))*43758.5453)))-1))))/1000)))*1000/Inputs!$C$12)-Model_Data!F118)</f>
        <v>277.94096459918239</v>
      </c>
      <c r="L118" s="10"/>
      <c r="M118" s="9">
        <f>Model_Data!A118</f>
        <v>-2</v>
      </c>
      <c r="N118" s="9">
        <f>Model_Data!P118</f>
        <v>15.081407566674704</v>
      </c>
      <c r="O118" s="9">
        <f t="shared" si="2"/>
        <v>31.265300358973036</v>
      </c>
      <c r="P118" s="9">
        <f>Model_Data!Q118</f>
        <v>2.2644756106118176</v>
      </c>
      <c r="Q118" s="9">
        <f t="shared" si="3"/>
        <v>4.694489543389345</v>
      </c>
      <c r="R118" s="10"/>
      <c r="S118" s="9">
        <f>Model_Data!A118</f>
        <v>-2</v>
      </c>
      <c r="T118" s="9">
        <f>Model_Data!B118-Inputs!$C$5</f>
        <v>4.4444444444593501E-3</v>
      </c>
      <c r="U118" s="10"/>
      <c r="V118" s="9">
        <f>Model_Data!A118</f>
        <v>-2</v>
      </c>
      <c r="W118" s="9">
        <f>((SQRT((Model_Data!A118)^2+Inputs!$C$6^2+Inputs!$C$5^2)-Inputs!$C$5)*1000/Inputs!$C$12)</f>
        <v>441.28021284267066</v>
      </c>
      <c r="X118" s="9">
        <f>Model_Data!F118</f>
        <v>441.27531939274672</v>
      </c>
      <c r="Y118" s="10"/>
      <c r="Z118" s="9">
        <f>Model_Data!A118</f>
        <v>-2</v>
      </c>
      <c r="AA118" s="9">
        <f>SQRT((Model_Data!A118)^2+Inputs!$C$6^2+((Model_Data!B118)-((Inputs!$C$51*(115*EXP(-(((Inputs!$C$6)-25)^2)/(4.5^2))+70*EXP(-(((Inputs!$C$6)+38)^2)/(7^2))*(0.55+0.45*SIN(2*PI()*(Model_Data!A118)/45))+24*SIN(2*PI()*(Inputs!$C$6)/9+(Model_Data!A118)/18)*EXP(-(((Inputs!$C$6)+5)^2)/(22^2))+18*SIN(2*PI()*(Model_Data!A118)/70))+Inputs!$C$28*EXP(-(((Model_Data!A118)-Inputs!$C$29)^2)/(2*Inputs!$C$31^2))*EXP(-(((Inputs!$C$6)-Inputs!$C$30)^2)/(2*Inputs!$C$32^2))+-Inputs!$C$33*EXP(-(((((Model_Data!A118)-Inputs!$C$34)^2)+(((Inputs!$C$6)-Inputs!$C$35)^2))/(2*Inputs!$C$36^2)))+Inputs!$C$37*(0.55*SIN(2*PI()*(Model_Data!A118)/Inputs!$C$39)+0.35*COS(2*PI()*(Inputs!$C$6)/Inputs!$C$40)+0.2*SIN(2*PI()*((Model_Data!A118)+(Inputs!$C$6))/(0.5*(Inputs!$C$39+Inputs!$C$40))))+Inputs!$C$38*SIN(2*PI()*(Model_Data!A118)/Inputs!$C$39)*SIN(2*PI()*(Inputs!$C$6)/Inputs!$C$40)+-Inputs!$C$41*EXP(-(((Inputs!$C$6)-Inputs!$C$43)^2)/(2*Inputs!$C$44^2))*EXP(-(((Model_Data!A118)-Inputs!$C$42)^2)/(2*Inputs!$C$45^2))+Inputs!$C$48*(0.7*(0.45*SIN(2*PI()*(((Model_Data!A118)/Inputs!$C$49)+Inputs!$C$47*0.137))+0.35*COS(2*PI()*(((Inputs!$C$6)/Inputs!$C$50)+Inputs!$C$47*0.173))+0.2*SIN(2*PI()*(((Model_Data!A118)+(Inputs!$C$6))/(0.5*(Inputs!$C$49+Inputs!$C$50))+Inputs!$C$47*0.097)))+0.3*(2*((SIN(((Model_Data!A118)*12.9898+(Inputs!$C$6)*78.233+Inputs!$C$47*37.719))*43758.5453)-INT((SIN(((Model_Data!A118)*12.9898+(Inputs!$C$6)*78.233+Inputs!$C$47*37.719))*43758.5453)))-1))))/1000)^2)</f>
        <v>400.3547868759332</v>
      </c>
      <c r="AB118" s="9">
        <f>1000*(AA119-AA117)/(Z119-Z117)*Inputs!$C$11</f>
        <v>-78.16325089743259</v>
      </c>
      <c r="AC118" s="9">
        <f>-2*AB118/Inputs!$C$13</f>
        <v>31.265300358973036</v>
      </c>
      <c r="AD118" s="9">
        <f>-2*AB118/Inputs!$C$14</f>
        <v>4.694489543389345</v>
      </c>
    </row>
    <row r="119" spans="1:30">
      <c r="A119" s="9">
        <f>Model_Data!A119</f>
        <v>-1.5</v>
      </c>
      <c r="B119" s="9">
        <f>((SQRT((Model_Data!A119)^2+Inputs!$C$6^2+Inputs!$C$5^2)-Inputs!$C$5)*1000/Inputs!$C$12)</f>
        <v>440.05368543930746</v>
      </c>
      <c r="C119" s="9">
        <f>Model_Data!F119</f>
        <v>440.05094049615832</v>
      </c>
      <c r="D119" s="9">
        <f>(((SQRT((Model_Data!A119)^2+Inputs!$C$6^2+((Model_Data!B119)-((Inputs!$C$51*(115*EXP(-(((Inputs!$C$6)-25)^2)/(4.5^2))+70*EXP(-(((Inputs!$C$6)+38)^2)/(7^2))*(0.55+0.45*SIN(2*PI()*(Model_Data!A119)/45))+24*SIN(2*PI()*(Inputs!$C$6)/9+(Model_Data!A119)/18)*EXP(-(((Inputs!$C$6)+5)^2)/(22^2))+18*SIN(2*PI()*(Model_Data!A119)/70))+Inputs!$C$28*EXP(-(((Model_Data!A119)-Inputs!$C$29)^2)/(2*Inputs!$C$31^2))*EXP(-(((Inputs!$C$6)-Inputs!$C$30)^2)/(2*Inputs!$C$32^2))+-Inputs!$C$33*EXP(-(((((Model_Data!A119)-Inputs!$C$34)^2)+(((Inputs!$C$6)-Inputs!$C$35)^2))/(2*Inputs!$C$36^2)))+Inputs!$C$37*(0.55*SIN(2*PI()*(Model_Data!A119)/Inputs!$C$39)+0.35*COS(2*PI()*(Inputs!$C$6)/Inputs!$C$40)+0.2*SIN(2*PI()*((Model_Data!A119)+(Inputs!$C$6))/(0.5*(Inputs!$C$39+Inputs!$C$40))))+Inputs!$C$38*SIN(2*PI()*(Model_Data!A119)/Inputs!$C$39)*SIN(2*PI()*(Inputs!$C$6)/Inputs!$C$40)+-Inputs!$C$41*EXP(-(((Inputs!$C$6)-Inputs!$C$43)^2)/(2*Inputs!$C$44^2))*EXP(-(((Model_Data!A119)-Inputs!$C$42)^2)/(2*Inputs!$C$45^2))+Inputs!$C$48*(0.7*(0.45*SIN(2*PI()*(((Model_Data!A119)/Inputs!$C$49)+Inputs!$C$47*0.137))+0.35*COS(2*PI()*(((Inputs!$C$6)/Inputs!$C$50)+Inputs!$C$47*0.173))+0.2*SIN(2*PI()*(((Model_Data!A119)+(Inputs!$C$6))/(0.5*(Inputs!$C$49+Inputs!$C$50))+Inputs!$C$47*0.097)))+0.3*(2*((SIN(((Model_Data!A119)*12.9898+(Inputs!$C$6)*78.233+Inputs!$C$47*37.719))*43758.5453)-INT((SIN(((Model_Data!A119)*12.9898+(Inputs!$C$6)*78.233+Inputs!$C$47*37.719))*43758.5453)))-1))))/1000)^2))-(((Model_Data!B119)-((Inputs!$C$51*(115*EXP(-(((0)-25)^2)/(4.5^2))+70*EXP(-(((0)+38)^2)/(7^2))*(0.55+0.45*SIN(2*PI()*(Model_Data!A119)/45))+24*SIN(2*PI()*(0)/9+(Model_Data!A119)/18)*EXP(-(((0)+5)^2)/(22^2))+18*SIN(2*PI()*(Model_Data!A119)/70))+Inputs!$C$28*EXP(-(((Model_Data!A119)-Inputs!$C$29)^2)/(2*Inputs!$C$31^2))*EXP(-(((0)-Inputs!$C$30)^2)/(2*Inputs!$C$32^2))+-Inputs!$C$33*EXP(-(((((Model_Data!A119)-Inputs!$C$34)^2)+(((0)-Inputs!$C$35)^2))/(2*Inputs!$C$36^2)))+Inputs!$C$37*(0.55*SIN(2*PI()*(Model_Data!A119)/Inputs!$C$39)+0.35*COS(2*PI()*(0)/Inputs!$C$40)+0.2*SIN(2*PI()*((Model_Data!A119)+(0))/(0.5*(Inputs!$C$39+Inputs!$C$40))))+Inputs!$C$38*SIN(2*PI()*(Model_Data!A119)/Inputs!$C$39)*SIN(2*PI()*(0)/Inputs!$C$40)+-Inputs!$C$41*EXP(-(((0)-Inputs!$C$43)^2)/(2*Inputs!$C$44^2))*EXP(-(((Model_Data!A119)-Inputs!$C$42)^2)/(2*Inputs!$C$45^2))+Inputs!$C$48*(0.7*(0.45*SIN(2*PI()*(((Model_Data!A119)/Inputs!$C$49)+Inputs!$C$47*0.137))+0.35*COS(2*PI()*(((0)/Inputs!$C$50)+Inputs!$C$47*0.173))+0.2*SIN(2*PI()*(((Model_Data!A119)+(0))/(0.5*(Inputs!$C$49+Inputs!$C$50))+Inputs!$C$47*0.097)))+0.3*(2*((SIN(((Model_Data!A119)*12.9898+(0)*78.233+Inputs!$C$47*37.719))*43758.5453)-INT((SIN(((Model_Data!A119)*12.9898+(0)*78.233+Inputs!$C$47*37.719))*43758.5453)))-1))))/1000)))*1000/Inputs!$C$12)</f>
        <v>179.14256817259991</v>
      </c>
      <c r="E119" s="9">
        <f>Model_Data!A119</f>
        <v>-1.5</v>
      </c>
      <c r="F119" s="9">
        <f>(Inputs!$C$51*(115*EXP(-(((Inputs!$C$6)-25)^2)/(4.5^2))+70*EXP(-(((Inputs!$C$6)+38)^2)/(7^2))*(0.55+0.45*SIN(2*PI()*(Model_Data!A119)/45))+24*SIN(2*PI()*(Inputs!$C$6)/9+(Model_Data!A119)/18)*EXP(-(((Inputs!$C$6)+5)^2)/(22^2))+18*SIN(2*PI()*(Model_Data!A119)/70))+Inputs!$C$28*EXP(-(((Model_Data!A119)-Inputs!$C$29)^2)/(2*Inputs!$C$31^2))*EXP(-(((Inputs!$C$6)-Inputs!$C$30)^2)/(2*Inputs!$C$32^2))+-Inputs!$C$33*EXP(-(((((Model_Data!A119)-Inputs!$C$34)^2)+(((Inputs!$C$6)-Inputs!$C$35)^2))/(2*Inputs!$C$36^2)))+Inputs!$C$37*(0.55*SIN(2*PI()*(Model_Data!A119)/Inputs!$C$39)+0.35*COS(2*PI()*(Inputs!$C$6)/Inputs!$C$40)+0.2*SIN(2*PI()*((Model_Data!A119)+(Inputs!$C$6))/(0.5*(Inputs!$C$39+Inputs!$C$40))))+Inputs!$C$38*SIN(2*PI()*(Model_Data!A119)/Inputs!$C$39)*SIN(2*PI()*(Inputs!$C$6)/Inputs!$C$40)+-Inputs!$C$41*EXP(-(((Inputs!$C$6)-Inputs!$C$43)^2)/(2*Inputs!$C$44^2))*EXP(-(((Model_Data!A119)-Inputs!$C$42)^2)/(2*Inputs!$C$45^2))+Inputs!$C$48*(0.7*(0.45*SIN(2*PI()*(((Model_Data!A119)/Inputs!$C$49)+Inputs!$C$47*0.137))+0.35*COS(2*PI()*(((Inputs!$C$6)/Inputs!$C$50)+Inputs!$C$47*0.173))+0.2*SIN(2*PI()*(((Model_Data!A119)+(Inputs!$C$6))/(0.5*(Inputs!$C$49+Inputs!$C$50))+Inputs!$C$47*0.097)))+0.3*(2*((SIN(((Model_Data!A119)*12.9898+(Inputs!$C$6)*78.233+Inputs!$C$47*37.719))*43758.5453)-INT((SIN(((Model_Data!A119)*12.9898+(Inputs!$C$6)*78.233+Inputs!$C$47*37.719))*43758.5453)))-1)))</f>
        <v>431.10580672292525</v>
      </c>
      <c r="G119" s="9">
        <f>(Inputs!$C$51*(115*EXP(-(((0)-25)^2)/(4.5^2))+70*EXP(-(((0)+38)^2)/(7^2))*(0.55+0.45*SIN(2*PI()*(Model_Data!A119)/45))+24*SIN(2*PI()*(0)/9+(Model_Data!A119)/18)*EXP(-(((0)+5)^2)/(22^2))+18*SIN(2*PI()*(Model_Data!A119)/70))+Inputs!$C$28*EXP(-(((Model_Data!A119)-Inputs!$C$29)^2)/(2*Inputs!$C$31^2))*EXP(-(((0)-Inputs!$C$30)^2)/(2*Inputs!$C$32^2))+-Inputs!$C$33*EXP(-(((((Model_Data!A119)-Inputs!$C$34)^2)+(((0)-Inputs!$C$35)^2))/(2*Inputs!$C$36^2)))+Inputs!$C$37*(0.55*SIN(2*PI()*(Model_Data!A119)/Inputs!$C$39)+0.35*COS(2*PI()*(0)/Inputs!$C$40)+0.2*SIN(2*PI()*((Model_Data!A119)+(0))/(0.5*(Inputs!$C$39+Inputs!$C$40))))+Inputs!$C$38*SIN(2*PI()*(Model_Data!A119)/Inputs!$C$39)*SIN(2*PI()*(0)/Inputs!$C$40)+-Inputs!$C$41*EXP(-(((0)-Inputs!$C$43)^2)/(2*Inputs!$C$44^2))*EXP(-(((Model_Data!A119)-Inputs!$C$42)^2)/(2*Inputs!$C$45^2))+Inputs!$C$48*(0.7*(0.45*SIN(2*PI()*(((Model_Data!A119)/Inputs!$C$49)+Inputs!$C$47*0.137))+0.35*COS(2*PI()*(((0)/Inputs!$C$50)+Inputs!$C$47*0.173))+0.2*SIN(2*PI()*(((Model_Data!A119)+(0))/(0.5*(Inputs!$C$49+Inputs!$C$50))+Inputs!$C$47*0.097)))+0.3*(2*((SIN(((Model_Data!A119)*12.9898+(0)*78.233+Inputs!$C$47*37.719))*43758.5453)-INT((SIN(((Model_Data!A119)*12.9898+(0)*78.233+Inputs!$C$47*37.719))*43758.5453)))-1)))</f>
        <v>-34.15455011761312</v>
      </c>
      <c r="H119" s="10"/>
      <c r="I119" s="9">
        <f>Model_Data!A119</f>
        <v>-1.5</v>
      </c>
      <c r="J119" s="9">
        <f>(Inputs!$C$51*(115*EXP(-(((Inputs!$C$6)-25)^2)/(4.5^2))+70*EXP(-(((Inputs!$C$6)+38)^2)/(7^2))*(0.55+0.45*SIN(2*PI()*(Model_Data!A119)/45))+24*SIN(2*PI()*(Inputs!$C$6)/9+(Model_Data!A119)/18)*EXP(-(((Inputs!$C$6)+5)^2)/(22^2))+18*SIN(2*PI()*(Model_Data!A119)/70))+Inputs!$C$28*EXP(-(((Model_Data!A119)-Inputs!$C$29)^2)/(2*Inputs!$C$31^2))*EXP(-(((Inputs!$C$6)-Inputs!$C$30)^2)/(2*Inputs!$C$32^2))+-Inputs!$C$33*EXP(-(((((Model_Data!A119)-Inputs!$C$34)^2)+(((Inputs!$C$6)-Inputs!$C$35)^2))/(2*Inputs!$C$36^2)))+Inputs!$C$37*(0.55*SIN(2*PI()*(Model_Data!A119)/Inputs!$C$39)+0.35*COS(2*PI()*(Inputs!$C$6)/Inputs!$C$40)+0.2*SIN(2*PI()*((Model_Data!A119)+(Inputs!$C$6))/(0.5*(Inputs!$C$39+Inputs!$C$40))))+Inputs!$C$38*SIN(2*PI()*(Model_Data!A119)/Inputs!$C$39)*SIN(2*PI()*(Inputs!$C$6)/Inputs!$C$40)+-Inputs!$C$41*EXP(-(((Inputs!$C$6)-Inputs!$C$43)^2)/(2*Inputs!$C$44^2))*EXP(-(((Model_Data!A119)-Inputs!$C$42)^2)/(2*Inputs!$C$45^2))+Inputs!$C$48*(0.7*(0.45*SIN(2*PI()*(((Model_Data!A119)/Inputs!$C$49)+Inputs!$C$47*0.137))+0.35*COS(2*PI()*(((Inputs!$C$6)/Inputs!$C$50)+Inputs!$C$47*0.173))+0.2*SIN(2*PI()*(((Model_Data!A119)+(Inputs!$C$6))/(0.5*(Inputs!$C$49+Inputs!$C$50))+Inputs!$C$47*0.097)))+0.3*(2*((SIN(((Model_Data!A119)*12.9898+(Inputs!$C$6)*78.233+Inputs!$C$47*37.719))*43758.5453)-INT((SIN(((Model_Data!A119)*12.9898+(Inputs!$C$6)*78.233+Inputs!$C$47*37.719))*43758.5453)))-1)))</f>
        <v>431.10580672292525</v>
      </c>
      <c r="K119" s="9">
        <f>-((((SQRT((Model_Data!A119)^2+Inputs!$C$6^2+((Model_Data!B119)-((Inputs!$C$51*(115*EXP(-(((Inputs!$C$6)-25)^2)/(4.5^2))+70*EXP(-(((Inputs!$C$6)+38)^2)/(7^2))*(0.55+0.45*SIN(2*PI()*(Model_Data!A119)/45))+24*SIN(2*PI()*(Inputs!$C$6)/9+(Model_Data!A119)/18)*EXP(-(((Inputs!$C$6)+5)^2)/(22^2))+18*SIN(2*PI()*(Model_Data!A119)/70))+Inputs!$C$28*EXP(-(((Model_Data!A119)-Inputs!$C$29)^2)/(2*Inputs!$C$31^2))*EXP(-(((Inputs!$C$6)-Inputs!$C$30)^2)/(2*Inputs!$C$32^2))+-Inputs!$C$33*EXP(-(((((Model_Data!A119)-Inputs!$C$34)^2)+(((Inputs!$C$6)-Inputs!$C$35)^2))/(2*Inputs!$C$36^2)))+Inputs!$C$37*(0.55*SIN(2*PI()*(Model_Data!A119)/Inputs!$C$39)+0.35*COS(2*PI()*(Inputs!$C$6)/Inputs!$C$40)+0.2*SIN(2*PI()*((Model_Data!A119)+(Inputs!$C$6))/(0.5*(Inputs!$C$39+Inputs!$C$40))))+Inputs!$C$38*SIN(2*PI()*(Model_Data!A119)/Inputs!$C$39)*SIN(2*PI()*(Inputs!$C$6)/Inputs!$C$40)+-Inputs!$C$41*EXP(-(((Inputs!$C$6)-Inputs!$C$43)^2)/(2*Inputs!$C$44^2))*EXP(-(((Model_Data!A119)-Inputs!$C$42)^2)/(2*Inputs!$C$45^2))+Inputs!$C$48*(0.7*(0.45*SIN(2*PI()*(((Model_Data!A119)/Inputs!$C$49)+Inputs!$C$47*0.137))+0.35*COS(2*PI()*(((Inputs!$C$6)/Inputs!$C$50)+Inputs!$C$47*0.173))+0.2*SIN(2*PI()*(((Model_Data!A119)+(Inputs!$C$6))/(0.5*(Inputs!$C$49+Inputs!$C$50))+Inputs!$C$47*0.097)))+0.3*(2*((SIN(((Model_Data!A119)*12.9898+(Inputs!$C$6)*78.233+Inputs!$C$47*37.719))*43758.5453)-INT((SIN(((Model_Data!A119)*12.9898+(Inputs!$C$6)*78.233+Inputs!$C$47*37.719))*43758.5453)))-1))))/1000)^2))-(((Model_Data!B119)-((Inputs!$C$51*(115*EXP(-(((0)-25)^2)/(4.5^2))+70*EXP(-(((0)+38)^2)/(7^2))*(0.55+0.45*SIN(2*PI()*(Model_Data!A119)/45))+24*SIN(2*PI()*(0)/9+(Model_Data!A119)/18)*EXP(-(((0)+5)^2)/(22^2))+18*SIN(2*PI()*(Model_Data!A119)/70))+Inputs!$C$28*EXP(-(((Model_Data!A119)-Inputs!$C$29)^2)/(2*Inputs!$C$31^2))*EXP(-(((0)-Inputs!$C$30)^2)/(2*Inputs!$C$32^2))+-Inputs!$C$33*EXP(-(((((Model_Data!A119)-Inputs!$C$34)^2)+(((0)-Inputs!$C$35)^2))/(2*Inputs!$C$36^2)))+Inputs!$C$37*(0.55*SIN(2*PI()*(Model_Data!A119)/Inputs!$C$39)+0.35*COS(2*PI()*(0)/Inputs!$C$40)+0.2*SIN(2*PI()*((Model_Data!A119)+(0))/(0.5*(Inputs!$C$39+Inputs!$C$40))))+Inputs!$C$38*SIN(2*PI()*(Model_Data!A119)/Inputs!$C$39)*SIN(2*PI()*(0)/Inputs!$C$40)+-Inputs!$C$41*EXP(-(((0)-Inputs!$C$43)^2)/(2*Inputs!$C$44^2))*EXP(-(((Model_Data!A119)-Inputs!$C$42)^2)/(2*Inputs!$C$45^2))+Inputs!$C$48*(0.7*(0.45*SIN(2*PI()*(((Model_Data!A119)/Inputs!$C$49)+Inputs!$C$47*0.137))+0.35*COS(2*PI()*(((0)/Inputs!$C$50)+Inputs!$C$47*0.173))+0.2*SIN(2*PI()*(((Model_Data!A119)+(0))/(0.5*(Inputs!$C$49+Inputs!$C$50))+Inputs!$C$47*0.097)))+0.3*(2*((SIN(((Model_Data!A119)*12.9898+(0)*78.233+Inputs!$C$47*37.719))*43758.5453)-INT((SIN(((Model_Data!A119)*12.9898+(0)*78.233+Inputs!$C$47*37.719))*43758.5453)))-1))))/1000)))*1000/Inputs!$C$12)-Model_Data!F119)</f>
        <v>260.90837232355841</v>
      </c>
      <c r="L119" s="10"/>
      <c r="M119" s="9">
        <f>Model_Data!A119</f>
        <v>-1.5</v>
      </c>
      <c r="N119" s="9">
        <f>Model_Data!P119</f>
        <v>11.311146183705798</v>
      </c>
      <c r="O119" s="9">
        <f t="shared" si="2"/>
        <v>19.320188167421293</v>
      </c>
      <c r="P119" s="9">
        <f>Model_Data!Q119</f>
        <v>1.6983702978537236</v>
      </c>
      <c r="Q119" s="9">
        <f t="shared" si="3"/>
        <v>2.9009291542674616</v>
      </c>
      <c r="R119" s="10"/>
      <c r="S119" s="9">
        <f>Model_Data!A119</f>
        <v>-1.5</v>
      </c>
      <c r="T119" s="9">
        <f>Model_Data!B119-Inputs!$C$5</f>
        <v>2.4999999999977263E-3</v>
      </c>
      <c r="U119" s="10"/>
      <c r="V119" s="9">
        <f>Model_Data!A119</f>
        <v>-1.5</v>
      </c>
      <c r="W119" s="9">
        <f>((SQRT((Model_Data!A119)^2+Inputs!$C$6^2+Inputs!$C$5^2)-Inputs!$C$5)*1000/Inputs!$C$12)</f>
        <v>440.05368543930746</v>
      </c>
      <c r="X119" s="9">
        <f>Model_Data!F119</f>
        <v>440.05094049615832</v>
      </c>
      <c r="Y119" s="10"/>
      <c r="Z119" s="9">
        <f>Model_Data!A119</f>
        <v>-1.5</v>
      </c>
      <c r="AA119" s="9">
        <f>SQRT((Model_Data!A119)^2+Inputs!$C$6^2+((Model_Data!B119)-((Inputs!$C$51*(115*EXP(-(((Inputs!$C$6)-25)^2)/(4.5^2))+70*EXP(-(((Inputs!$C$6)+38)^2)/(7^2))*(0.55+0.45*SIN(2*PI()*(Model_Data!A119)/45))+24*SIN(2*PI()*(Inputs!$C$6)/9+(Model_Data!A119)/18)*EXP(-(((Inputs!$C$6)+5)^2)/(22^2))+18*SIN(2*PI()*(Model_Data!A119)/70))+Inputs!$C$28*EXP(-(((Model_Data!A119)-Inputs!$C$29)^2)/(2*Inputs!$C$31^2))*EXP(-(((Inputs!$C$6)-Inputs!$C$30)^2)/(2*Inputs!$C$32^2))+-Inputs!$C$33*EXP(-(((((Model_Data!A119)-Inputs!$C$34)^2)+(((Inputs!$C$6)-Inputs!$C$35)^2))/(2*Inputs!$C$36^2)))+Inputs!$C$37*(0.55*SIN(2*PI()*(Model_Data!A119)/Inputs!$C$39)+0.35*COS(2*PI()*(Inputs!$C$6)/Inputs!$C$40)+0.2*SIN(2*PI()*((Model_Data!A119)+(Inputs!$C$6))/(0.5*(Inputs!$C$39+Inputs!$C$40))))+Inputs!$C$38*SIN(2*PI()*(Model_Data!A119)/Inputs!$C$39)*SIN(2*PI()*(Inputs!$C$6)/Inputs!$C$40)+-Inputs!$C$41*EXP(-(((Inputs!$C$6)-Inputs!$C$43)^2)/(2*Inputs!$C$44^2))*EXP(-(((Model_Data!A119)-Inputs!$C$42)^2)/(2*Inputs!$C$45^2))+Inputs!$C$48*(0.7*(0.45*SIN(2*PI()*(((Model_Data!A119)/Inputs!$C$49)+Inputs!$C$47*0.137))+0.35*COS(2*PI()*(((Inputs!$C$6)/Inputs!$C$50)+Inputs!$C$47*0.173))+0.2*SIN(2*PI()*(((Model_Data!A119)+(Inputs!$C$6))/(0.5*(Inputs!$C$49+Inputs!$C$50))+Inputs!$C$47*0.097)))+0.3*(2*((SIN(((Model_Data!A119)*12.9898+(Inputs!$C$6)*78.233+Inputs!$C$47*37.719))*43758.5453)-INT((SIN(((Model_Data!A119)*12.9898+(Inputs!$C$6)*78.233+Inputs!$C$47*37.719))*43758.5453)))-1))))/1000)^2)</f>
        <v>400.35552832146482</v>
      </c>
      <c r="AB119" s="9">
        <f>1000*(AA120-AA118)/(Z120-Z118)*Inputs!$C$11</f>
        <v>-48.300470418553232</v>
      </c>
      <c r="AC119" s="9">
        <f>-2*AB119/Inputs!$C$13</f>
        <v>19.320188167421293</v>
      </c>
      <c r="AD119" s="9">
        <f>-2*AB119/Inputs!$C$14</f>
        <v>2.9009291542674616</v>
      </c>
    </row>
    <row r="120" spans="1:30">
      <c r="A120" s="9">
        <f>Model_Data!A120</f>
        <v>-1</v>
      </c>
      <c r="B120" s="9">
        <f>((SQRT((Model_Data!A120)^2+Inputs!$C$6^2+Inputs!$C$5^2)-Inputs!$C$5)*1000/Inputs!$C$12)</f>
        <v>439.17759034625021</v>
      </c>
      <c r="C120" s="9">
        <f>Model_Data!F120</f>
        <v>439.17637279138631</v>
      </c>
      <c r="D120" s="9">
        <f>(((SQRT((Model_Data!A120)^2+Inputs!$C$6^2+((Model_Data!B120)-((Inputs!$C$51*(115*EXP(-(((Inputs!$C$6)-25)^2)/(4.5^2))+70*EXP(-(((Inputs!$C$6)+38)^2)/(7^2))*(0.55+0.45*SIN(2*PI()*(Model_Data!A120)/45))+24*SIN(2*PI()*(Inputs!$C$6)/9+(Model_Data!A120)/18)*EXP(-(((Inputs!$C$6)+5)^2)/(22^2))+18*SIN(2*PI()*(Model_Data!A120)/70))+Inputs!$C$28*EXP(-(((Model_Data!A120)-Inputs!$C$29)^2)/(2*Inputs!$C$31^2))*EXP(-(((Inputs!$C$6)-Inputs!$C$30)^2)/(2*Inputs!$C$32^2))+-Inputs!$C$33*EXP(-(((((Model_Data!A120)-Inputs!$C$34)^2)+(((Inputs!$C$6)-Inputs!$C$35)^2))/(2*Inputs!$C$36^2)))+Inputs!$C$37*(0.55*SIN(2*PI()*(Model_Data!A120)/Inputs!$C$39)+0.35*COS(2*PI()*(Inputs!$C$6)/Inputs!$C$40)+0.2*SIN(2*PI()*((Model_Data!A120)+(Inputs!$C$6))/(0.5*(Inputs!$C$39+Inputs!$C$40))))+Inputs!$C$38*SIN(2*PI()*(Model_Data!A120)/Inputs!$C$39)*SIN(2*PI()*(Inputs!$C$6)/Inputs!$C$40)+-Inputs!$C$41*EXP(-(((Inputs!$C$6)-Inputs!$C$43)^2)/(2*Inputs!$C$44^2))*EXP(-(((Model_Data!A120)-Inputs!$C$42)^2)/(2*Inputs!$C$45^2))+Inputs!$C$48*(0.7*(0.45*SIN(2*PI()*(((Model_Data!A120)/Inputs!$C$49)+Inputs!$C$47*0.137))+0.35*COS(2*PI()*(((Inputs!$C$6)/Inputs!$C$50)+Inputs!$C$47*0.173))+0.2*SIN(2*PI()*(((Model_Data!A120)+(Inputs!$C$6))/(0.5*(Inputs!$C$49+Inputs!$C$50))+Inputs!$C$47*0.097)))+0.3*(2*((SIN(((Model_Data!A120)*12.9898+(Inputs!$C$6)*78.233+Inputs!$C$47*37.719))*43758.5453)-INT((SIN(((Model_Data!A120)*12.9898+(Inputs!$C$6)*78.233+Inputs!$C$47*37.719))*43758.5453)))-1))))/1000)^2))-(((Model_Data!B120)-((Inputs!$C$51*(115*EXP(-(((0)-25)^2)/(4.5^2))+70*EXP(-(((0)+38)^2)/(7^2))*(0.55+0.45*SIN(2*PI()*(Model_Data!A120)/45))+24*SIN(2*PI()*(0)/9+(Model_Data!A120)/18)*EXP(-(((0)+5)^2)/(22^2))+18*SIN(2*PI()*(Model_Data!A120)/70))+Inputs!$C$28*EXP(-(((Model_Data!A120)-Inputs!$C$29)^2)/(2*Inputs!$C$31^2))*EXP(-(((0)-Inputs!$C$30)^2)/(2*Inputs!$C$32^2))+-Inputs!$C$33*EXP(-(((((Model_Data!A120)-Inputs!$C$34)^2)+(((0)-Inputs!$C$35)^2))/(2*Inputs!$C$36^2)))+Inputs!$C$37*(0.55*SIN(2*PI()*(Model_Data!A120)/Inputs!$C$39)+0.35*COS(2*PI()*(0)/Inputs!$C$40)+0.2*SIN(2*PI()*((Model_Data!A120)+(0))/(0.5*(Inputs!$C$39+Inputs!$C$40))))+Inputs!$C$38*SIN(2*PI()*(Model_Data!A120)/Inputs!$C$39)*SIN(2*PI()*(0)/Inputs!$C$40)+-Inputs!$C$41*EXP(-(((0)-Inputs!$C$43)^2)/(2*Inputs!$C$44^2))*EXP(-(((Model_Data!A120)-Inputs!$C$42)^2)/(2*Inputs!$C$45^2))+Inputs!$C$48*(0.7*(0.45*SIN(2*PI()*(((Model_Data!A120)/Inputs!$C$49)+Inputs!$C$47*0.137))+0.35*COS(2*PI()*(((0)/Inputs!$C$50)+Inputs!$C$47*0.173))+0.2*SIN(2*PI()*(((Model_Data!A120)+(0))/(0.5*(Inputs!$C$49+Inputs!$C$50))+Inputs!$C$47*0.097)))+0.3*(2*((SIN(((Model_Data!A120)*12.9898+(0)*78.233+Inputs!$C$47*37.719))*43758.5453)-INT((SIN(((Model_Data!A120)*12.9898+(0)*78.233+Inputs!$C$47*37.719))*43758.5453)))-1))))/1000)))*1000/Inputs!$C$12)</f>
        <v>170.41283951091066</v>
      </c>
      <c r="E120" s="9">
        <f>Model_Data!A120</f>
        <v>-1</v>
      </c>
      <c r="F120" s="9">
        <f>(Inputs!$C$51*(115*EXP(-(((Inputs!$C$6)-25)^2)/(4.5^2))+70*EXP(-(((Inputs!$C$6)+38)^2)/(7^2))*(0.55+0.45*SIN(2*PI()*(Model_Data!A120)/45))+24*SIN(2*PI()*(Inputs!$C$6)/9+(Model_Data!A120)/18)*EXP(-(((Inputs!$C$6)+5)^2)/(22^2))+18*SIN(2*PI()*(Model_Data!A120)/70))+Inputs!$C$28*EXP(-(((Model_Data!A120)-Inputs!$C$29)^2)/(2*Inputs!$C$31^2))*EXP(-(((Inputs!$C$6)-Inputs!$C$30)^2)/(2*Inputs!$C$32^2))+-Inputs!$C$33*EXP(-(((((Model_Data!A120)-Inputs!$C$34)^2)+(((Inputs!$C$6)-Inputs!$C$35)^2))/(2*Inputs!$C$36^2)))+Inputs!$C$37*(0.55*SIN(2*PI()*(Model_Data!A120)/Inputs!$C$39)+0.35*COS(2*PI()*(Inputs!$C$6)/Inputs!$C$40)+0.2*SIN(2*PI()*((Model_Data!A120)+(Inputs!$C$6))/(0.5*(Inputs!$C$39+Inputs!$C$40))))+Inputs!$C$38*SIN(2*PI()*(Model_Data!A120)/Inputs!$C$39)*SIN(2*PI()*(Inputs!$C$6)/Inputs!$C$40)+-Inputs!$C$41*EXP(-(((Inputs!$C$6)-Inputs!$C$43)^2)/(2*Inputs!$C$44^2))*EXP(-(((Model_Data!A120)-Inputs!$C$42)^2)/(2*Inputs!$C$45^2))+Inputs!$C$48*(0.7*(0.45*SIN(2*PI()*(((Model_Data!A120)/Inputs!$C$49)+Inputs!$C$47*0.137))+0.35*COS(2*PI()*(((Inputs!$C$6)/Inputs!$C$50)+Inputs!$C$47*0.173))+0.2*SIN(2*PI()*(((Model_Data!A120)+(Inputs!$C$6))/(0.5*(Inputs!$C$49+Inputs!$C$50))+Inputs!$C$47*0.097)))+0.3*(2*((SIN(((Model_Data!A120)*12.9898+(Inputs!$C$6)*78.233+Inputs!$C$47*37.719))*43758.5453)-INT((SIN(((Model_Data!A120)*12.9898+(Inputs!$C$6)*78.233+Inputs!$C$47*37.719))*43758.5453)))-1)))</f>
        <v>440.99441024200883</v>
      </c>
      <c r="G120" s="9">
        <f>(Inputs!$C$51*(115*EXP(-(((0)-25)^2)/(4.5^2))+70*EXP(-(((0)+38)^2)/(7^2))*(0.55+0.45*SIN(2*PI()*(Model_Data!A120)/45))+24*SIN(2*PI()*(0)/9+(Model_Data!A120)/18)*EXP(-(((0)+5)^2)/(22^2))+18*SIN(2*PI()*(Model_Data!A120)/70))+Inputs!$C$28*EXP(-(((Model_Data!A120)-Inputs!$C$29)^2)/(2*Inputs!$C$31^2))*EXP(-(((0)-Inputs!$C$30)^2)/(2*Inputs!$C$32^2))+-Inputs!$C$33*EXP(-(((((Model_Data!A120)-Inputs!$C$34)^2)+(((0)-Inputs!$C$35)^2))/(2*Inputs!$C$36^2)))+Inputs!$C$37*(0.55*SIN(2*PI()*(Model_Data!A120)/Inputs!$C$39)+0.35*COS(2*PI()*(0)/Inputs!$C$40)+0.2*SIN(2*PI()*((Model_Data!A120)+(0))/(0.5*(Inputs!$C$39+Inputs!$C$40))))+Inputs!$C$38*SIN(2*PI()*(Model_Data!A120)/Inputs!$C$39)*SIN(2*PI()*(0)/Inputs!$C$40)+-Inputs!$C$41*EXP(-(((0)-Inputs!$C$43)^2)/(2*Inputs!$C$44^2))*EXP(-(((Model_Data!A120)-Inputs!$C$42)^2)/(2*Inputs!$C$45^2))+Inputs!$C$48*(0.7*(0.45*SIN(2*PI()*(((Model_Data!A120)/Inputs!$C$49)+Inputs!$C$47*0.137))+0.35*COS(2*PI()*(((0)/Inputs!$C$50)+Inputs!$C$47*0.173))+0.2*SIN(2*PI()*(((Model_Data!A120)+(0))/(0.5*(Inputs!$C$49+Inputs!$C$50))+Inputs!$C$47*0.097)))+0.3*(2*((SIN(((Model_Data!A120)*12.9898+(0)*78.233+Inputs!$C$47*37.719))*43758.5453)-INT((SIN(((Model_Data!A120)*12.9898+(0)*78.233+Inputs!$C$47*37.719))*43758.5453)))-1)))</f>
        <v>-38.265792887993427</v>
      </c>
      <c r="H120" s="10"/>
      <c r="I120" s="9">
        <f>Model_Data!A120</f>
        <v>-1</v>
      </c>
      <c r="J120" s="9">
        <f>(Inputs!$C$51*(115*EXP(-(((Inputs!$C$6)-25)^2)/(4.5^2))+70*EXP(-(((Inputs!$C$6)+38)^2)/(7^2))*(0.55+0.45*SIN(2*PI()*(Model_Data!A120)/45))+24*SIN(2*PI()*(Inputs!$C$6)/9+(Model_Data!A120)/18)*EXP(-(((Inputs!$C$6)+5)^2)/(22^2))+18*SIN(2*PI()*(Model_Data!A120)/70))+Inputs!$C$28*EXP(-(((Model_Data!A120)-Inputs!$C$29)^2)/(2*Inputs!$C$31^2))*EXP(-(((Inputs!$C$6)-Inputs!$C$30)^2)/(2*Inputs!$C$32^2))+-Inputs!$C$33*EXP(-(((((Model_Data!A120)-Inputs!$C$34)^2)+(((Inputs!$C$6)-Inputs!$C$35)^2))/(2*Inputs!$C$36^2)))+Inputs!$C$37*(0.55*SIN(2*PI()*(Model_Data!A120)/Inputs!$C$39)+0.35*COS(2*PI()*(Inputs!$C$6)/Inputs!$C$40)+0.2*SIN(2*PI()*((Model_Data!A120)+(Inputs!$C$6))/(0.5*(Inputs!$C$39+Inputs!$C$40))))+Inputs!$C$38*SIN(2*PI()*(Model_Data!A120)/Inputs!$C$39)*SIN(2*PI()*(Inputs!$C$6)/Inputs!$C$40)+-Inputs!$C$41*EXP(-(((Inputs!$C$6)-Inputs!$C$43)^2)/(2*Inputs!$C$44^2))*EXP(-(((Model_Data!A120)-Inputs!$C$42)^2)/(2*Inputs!$C$45^2))+Inputs!$C$48*(0.7*(0.45*SIN(2*PI()*(((Model_Data!A120)/Inputs!$C$49)+Inputs!$C$47*0.137))+0.35*COS(2*PI()*(((Inputs!$C$6)/Inputs!$C$50)+Inputs!$C$47*0.173))+0.2*SIN(2*PI()*(((Model_Data!A120)+(Inputs!$C$6))/(0.5*(Inputs!$C$49+Inputs!$C$50))+Inputs!$C$47*0.097)))+0.3*(2*((SIN(((Model_Data!A120)*12.9898+(Inputs!$C$6)*78.233+Inputs!$C$47*37.719))*43758.5453)-INT((SIN(((Model_Data!A120)*12.9898+(Inputs!$C$6)*78.233+Inputs!$C$47*37.719))*43758.5453)))-1)))</f>
        <v>440.99441024200883</v>
      </c>
      <c r="K120" s="9">
        <f>-((((SQRT((Model_Data!A120)^2+Inputs!$C$6^2+((Model_Data!B120)-((Inputs!$C$51*(115*EXP(-(((Inputs!$C$6)-25)^2)/(4.5^2))+70*EXP(-(((Inputs!$C$6)+38)^2)/(7^2))*(0.55+0.45*SIN(2*PI()*(Model_Data!A120)/45))+24*SIN(2*PI()*(Inputs!$C$6)/9+(Model_Data!A120)/18)*EXP(-(((Inputs!$C$6)+5)^2)/(22^2))+18*SIN(2*PI()*(Model_Data!A120)/70))+Inputs!$C$28*EXP(-(((Model_Data!A120)-Inputs!$C$29)^2)/(2*Inputs!$C$31^2))*EXP(-(((Inputs!$C$6)-Inputs!$C$30)^2)/(2*Inputs!$C$32^2))+-Inputs!$C$33*EXP(-(((((Model_Data!A120)-Inputs!$C$34)^2)+(((Inputs!$C$6)-Inputs!$C$35)^2))/(2*Inputs!$C$36^2)))+Inputs!$C$37*(0.55*SIN(2*PI()*(Model_Data!A120)/Inputs!$C$39)+0.35*COS(2*PI()*(Inputs!$C$6)/Inputs!$C$40)+0.2*SIN(2*PI()*((Model_Data!A120)+(Inputs!$C$6))/(0.5*(Inputs!$C$39+Inputs!$C$40))))+Inputs!$C$38*SIN(2*PI()*(Model_Data!A120)/Inputs!$C$39)*SIN(2*PI()*(Inputs!$C$6)/Inputs!$C$40)+-Inputs!$C$41*EXP(-(((Inputs!$C$6)-Inputs!$C$43)^2)/(2*Inputs!$C$44^2))*EXP(-(((Model_Data!A120)-Inputs!$C$42)^2)/(2*Inputs!$C$45^2))+Inputs!$C$48*(0.7*(0.45*SIN(2*PI()*(((Model_Data!A120)/Inputs!$C$49)+Inputs!$C$47*0.137))+0.35*COS(2*PI()*(((Inputs!$C$6)/Inputs!$C$50)+Inputs!$C$47*0.173))+0.2*SIN(2*PI()*(((Model_Data!A120)+(Inputs!$C$6))/(0.5*(Inputs!$C$49+Inputs!$C$50))+Inputs!$C$47*0.097)))+0.3*(2*((SIN(((Model_Data!A120)*12.9898+(Inputs!$C$6)*78.233+Inputs!$C$47*37.719))*43758.5453)-INT((SIN(((Model_Data!A120)*12.9898+(Inputs!$C$6)*78.233+Inputs!$C$47*37.719))*43758.5453)))-1))))/1000)^2))-(((Model_Data!B120)-((Inputs!$C$51*(115*EXP(-(((0)-25)^2)/(4.5^2))+70*EXP(-(((0)+38)^2)/(7^2))*(0.55+0.45*SIN(2*PI()*(Model_Data!A120)/45))+24*SIN(2*PI()*(0)/9+(Model_Data!A120)/18)*EXP(-(((0)+5)^2)/(22^2))+18*SIN(2*PI()*(Model_Data!A120)/70))+Inputs!$C$28*EXP(-(((Model_Data!A120)-Inputs!$C$29)^2)/(2*Inputs!$C$31^2))*EXP(-(((0)-Inputs!$C$30)^2)/(2*Inputs!$C$32^2))+-Inputs!$C$33*EXP(-(((((Model_Data!A120)-Inputs!$C$34)^2)+(((0)-Inputs!$C$35)^2))/(2*Inputs!$C$36^2)))+Inputs!$C$37*(0.55*SIN(2*PI()*(Model_Data!A120)/Inputs!$C$39)+0.35*COS(2*PI()*(0)/Inputs!$C$40)+0.2*SIN(2*PI()*((Model_Data!A120)+(0))/(0.5*(Inputs!$C$39+Inputs!$C$40))))+Inputs!$C$38*SIN(2*PI()*(Model_Data!A120)/Inputs!$C$39)*SIN(2*PI()*(0)/Inputs!$C$40)+-Inputs!$C$41*EXP(-(((0)-Inputs!$C$43)^2)/(2*Inputs!$C$44^2))*EXP(-(((Model_Data!A120)-Inputs!$C$42)^2)/(2*Inputs!$C$45^2))+Inputs!$C$48*(0.7*(0.45*SIN(2*PI()*(((Model_Data!A120)/Inputs!$C$49)+Inputs!$C$47*0.137))+0.35*COS(2*PI()*(((0)/Inputs!$C$50)+Inputs!$C$47*0.173))+0.2*SIN(2*PI()*(((Model_Data!A120)+(0))/(0.5*(Inputs!$C$49+Inputs!$C$50))+Inputs!$C$47*0.097)))+0.3*(2*((SIN(((Model_Data!A120)*12.9898+(0)*78.233+Inputs!$C$47*37.719))*43758.5453)-INT((SIN(((Model_Data!A120)*12.9898+(0)*78.233+Inputs!$C$47*37.719))*43758.5453)))-1))))/1000)))*1000/Inputs!$C$12)-Model_Data!F120)</f>
        <v>268.76353328047566</v>
      </c>
      <c r="L120" s="10"/>
      <c r="M120" s="9">
        <f>Model_Data!A120</f>
        <v>-1</v>
      </c>
      <c r="N120" s="9">
        <f>Model_Data!P120</f>
        <v>7.5408072229917336</v>
      </c>
      <c r="O120" s="9">
        <f t="shared" si="2"/>
        <v>76.41350647127183</v>
      </c>
      <c r="P120" s="9">
        <f>Model_Data!Q120</f>
        <v>1.1322533367855456</v>
      </c>
      <c r="Q120" s="9">
        <f t="shared" si="3"/>
        <v>11.473499470160936</v>
      </c>
      <c r="R120" s="10"/>
      <c r="S120" s="9">
        <f>Model_Data!A120</f>
        <v>-1</v>
      </c>
      <c r="T120" s="9">
        <f>Model_Data!B120-Inputs!$C$5</f>
        <v>1.1111111111290484E-3</v>
      </c>
      <c r="U120" s="10"/>
      <c r="V120" s="9">
        <f>Model_Data!A120</f>
        <v>-1</v>
      </c>
      <c r="W120" s="9">
        <f>((SQRT((Model_Data!A120)^2+Inputs!$C$6^2+Inputs!$C$5^2)-Inputs!$C$5)*1000/Inputs!$C$12)</f>
        <v>439.17759034625021</v>
      </c>
      <c r="X120" s="9">
        <f>Model_Data!F120</f>
        <v>439.17637279138631</v>
      </c>
      <c r="Y120" s="10"/>
      <c r="Z120" s="9">
        <f>Model_Data!A120</f>
        <v>-1</v>
      </c>
      <c r="AA120" s="9">
        <f>SQRT((Model_Data!A120)^2+Inputs!$C$6^2+((Model_Data!B120)-((Inputs!$C$51*(115*EXP(-(((Inputs!$C$6)-25)^2)/(4.5^2))+70*EXP(-(((Inputs!$C$6)+38)^2)/(7^2))*(0.55+0.45*SIN(2*PI()*(Model_Data!A120)/45))+24*SIN(2*PI()*(Inputs!$C$6)/9+(Model_Data!A120)/18)*EXP(-(((Inputs!$C$6)+5)^2)/(22^2))+18*SIN(2*PI()*(Model_Data!A120)/70))+Inputs!$C$28*EXP(-(((Model_Data!A120)-Inputs!$C$29)^2)/(2*Inputs!$C$31^2))*EXP(-(((Inputs!$C$6)-Inputs!$C$30)^2)/(2*Inputs!$C$32^2))+-Inputs!$C$33*EXP(-(((((Model_Data!A120)-Inputs!$C$34)^2)+(((Inputs!$C$6)-Inputs!$C$35)^2))/(2*Inputs!$C$36^2)))+Inputs!$C$37*(0.55*SIN(2*PI()*(Model_Data!A120)/Inputs!$C$39)+0.35*COS(2*PI()*(Inputs!$C$6)/Inputs!$C$40)+0.2*SIN(2*PI()*((Model_Data!A120)+(Inputs!$C$6))/(0.5*(Inputs!$C$39+Inputs!$C$40))))+Inputs!$C$38*SIN(2*PI()*(Model_Data!A120)/Inputs!$C$39)*SIN(2*PI()*(Inputs!$C$6)/Inputs!$C$40)+-Inputs!$C$41*EXP(-(((Inputs!$C$6)-Inputs!$C$43)^2)/(2*Inputs!$C$44^2))*EXP(-(((Model_Data!A120)-Inputs!$C$42)^2)/(2*Inputs!$C$45^2))+Inputs!$C$48*(0.7*(0.45*SIN(2*PI()*(((Model_Data!A120)/Inputs!$C$49)+Inputs!$C$47*0.137))+0.35*COS(2*PI()*(((Inputs!$C$6)/Inputs!$C$50)+Inputs!$C$47*0.173))+0.2*SIN(2*PI()*(((Model_Data!A120)+(Inputs!$C$6))/(0.5*(Inputs!$C$49+Inputs!$C$50))+Inputs!$C$47*0.097)))+0.3*(2*((SIN(((Model_Data!A120)*12.9898+(Inputs!$C$6)*78.233+Inputs!$C$47*37.719))*43758.5453)-INT((SIN(((Model_Data!A120)*12.9898+(Inputs!$C$6)*78.233+Inputs!$C$47*37.719))*43758.5453)))-1))))/1000)^2)</f>
        <v>400.34271175832856</v>
      </c>
      <c r="AB120" s="9">
        <f>1000*(AA121-AA119)/(Z121-Z119)*Inputs!$C$11</f>
        <v>-191.03376617817958</v>
      </c>
      <c r="AC120" s="9">
        <f>-2*AB120/Inputs!$C$13</f>
        <v>76.41350647127183</v>
      </c>
      <c r="AD120" s="9">
        <f>-2*AB120/Inputs!$C$14</f>
        <v>11.473499470160936</v>
      </c>
    </row>
    <row r="121" spans="1:30">
      <c r="A121" s="9">
        <f>Model_Data!A121</f>
        <v>-0.5</v>
      </c>
      <c r="B121" s="9">
        <f>((SQRT((Model_Data!A121)^2+Inputs!$C$6^2+Inputs!$C$5^2)-Inputs!$C$5)*1000/Inputs!$C$12)</f>
        <v>438.65193165411739</v>
      </c>
      <c r="C121" s="9">
        <f>Model_Data!F121</f>
        <v>438.65162762840095</v>
      </c>
      <c r="D121" s="9">
        <f>(((SQRT((Model_Data!A121)^2+Inputs!$C$6^2+((Model_Data!B121)-((Inputs!$C$51*(115*EXP(-(((Inputs!$C$6)-25)^2)/(4.5^2))+70*EXP(-(((Inputs!$C$6)+38)^2)/(7^2))*(0.55+0.45*SIN(2*PI()*(Model_Data!A121)/45))+24*SIN(2*PI()*(Inputs!$C$6)/9+(Model_Data!A121)/18)*EXP(-(((Inputs!$C$6)+5)^2)/(22^2))+18*SIN(2*PI()*(Model_Data!A121)/70))+Inputs!$C$28*EXP(-(((Model_Data!A121)-Inputs!$C$29)^2)/(2*Inputs!$C$31^2))*EXP(-(((Inputs!$C$6)-Inputs!$C$30)^2)/(2*Inputs!$C$32^2))+-Inputs!$C$33*EXP(-(((((Model_Data!A121)-Inputs!$C$34)^2)+(((Inputs!$C$6)-Inputs!$C$35)^2))/(2*Inputs!$C$36^2)))+Inputs!$C$37*(0.55*SIN(2*PI()*(Model_Data!A121)/Inputs!$C$39)+0.35*COS(2*PI()*(Inputs!$C$6)/Inputs!$C$40)+0.2*SIN(2*PI()*((Model_Data!A121)+(Inputs!$C$6))/(0.5*(Inputs!$C$39+Inputs!$C$40))))+Inputs!$C$38*SIN(2*PI()*(Model_Data!A121)/Inputs!$C$39)*SIN(2*PI()*(Inputs!$C$6)/Inputs!$C$40)+-Inputs!$C$41*EXP(-(((Inputs!$C$6)-Inputs!$C$43)^2)/(2*Inputs!$C$44^2))*EXP(-(((Model_Data!A121)-Inputs!$C$42)^2)/(2*Inputs!$C$45^2))+Inputs!$C$48*(0.7*(0.45*SIN(2*PI()*(((Model_Data!A121)/Inputs!$C$49)+Inputs!$C$47*0.137))+0.35*COS(2*PI()*(((Inputs!$C$6)/Inputs!$C$50)+Inputs!$C$47*0.173))+0.2*SIN(2*PI()*(((Model_Data!A121)+(Inputs!$C$6))/(0.5*(Inputs!$C$49+Inputs!$C$50))+Inputs!$C$47*0.097)))+0.3*(2*((SIN(((Model_Data!A121)*12.9898+(Inputs!$C$6)*78.233+Inputs!$C$47*37.719))*43758.5453)-INT((SIN(((Model_Data!A121)*12.9898+(Inputs!$C$6)*78.233+Inputs!$C$47*37.719))*43758.5453)))-1))))/1000)^2))-(((Model_Data!B121)-((Inputs!$C$51*(115*EXP(-(((0)-25)^2)/(4.5^2))+70*EXP(-(((0)+38)^2)/(7^2))*(0.55+0.45*SIN(2*PI()*(Model_Data!A121)/45))+24*SIN(2*PI()*(0)/9+(Model_Data!A121)/18)*EXP(-(((0)+5)^2)/(22^2))+18*SIN(2*PI()*(Model_Data!A121)/70))+Inputs!$C$28*EXP(-(((Model_Data!A121)-Inputs!$C$29)^2)/(2*Inputs!$C$31^2))*EXP(-(((0)-Inputs!$C$30)^2)/(2*Inputs!$C$32^2))+-Inputs!$C$33*EXP(-(((((Model_Data!A121)-Inputs!$C$34)^2)+(((0)-Inputs!$C$35)^2))/(2*Inputs!$C$36^2)))+Inputs!$C$37*(0.55*SIN(2*PI()*(Model_Data!A121)/Inputs!$C$39)+0.35*COS(2*PI()*(0)/Inputs!$C$40)+0.2*SIN(2*PI()*((Model_Data!A121)+(0))/(0.5*(Inputs!$C$39+Inputs!$C$40))))+Inputs!$C$38*SIN(2*PI()*(Model_Data!A121)/Inputs!$C$39)*SIN(2*PI()*(0)/Inputs!$C$40)+-Inputs!$C$41*EXP(-(((0)-Inputs!$C$43)^2)/(2*Inputs!$C$44^2))*EXP(-(((Model_Data!A121)-Inputs!$C$42)^2)/(2*Inputs!$C$45^2))+Inputs!$C$48*(0.7*(0.45*SIN(2*PI()*(((Model_Data!A121)/Inputs!$C$49)+Inputs!$C$47*0.137))+0.35*COS(2*PI()*(((0)/Inputs!$C$50)+Inputs!$C$47*0.173))+0.2*SIN(2*PI()*(((Model_Data!A121)+(0))/(0.5*(Inputs!$C$49+Inputs!$C$50))+Inputs!$C$47*0.097)))+0.3*(2*((SIN(((Model_Data!A121)*12.9898+(0)*78.233+Inputs!$C$47*37.719))*43758.5453)-INT((SIN(((Model_Data!A121)*12.9898+(0)*78.233+Inputs!$C$47*37.719))*43758.5453)))-1))))/1000)))*1000/Inputs!$C$12)</f>
        <v>163.78779435225613</v>
      </c>
      <c r="E121" s="9">
        <f>Model_Data!A121</f>
        <v>-0.5</v>
      </c>
      <c r="F121" s="9">
        <f>(Inputs!$C$51*(115*EXP(-(((Inputs!$C$6)-25)^2)/(4.5^2))+70*EXP(-(((Inputs!$C$6)+38)^2)/(7^2))*(0.55+0.45*SIN(2*PI()*(Model_Data!A121)/45))+24*SIN(2*PI()*(Inputs!$C$6)/9+(Model_Data!A121)/18)*EXP(-(((Inputs!$C$6)+5)^2)/(22^2))+18*SIN(2*PI()*(Model_Data!A121)/70))+Inputs!$C$28*EXP(-(((Model_Data!A121)-Inputs!$C$29)^2)/(2*Inputs!$C$31^2))*EXP(-(((Inputs!$C$6)-Inputs!$C$30)^2)/(2*Inputs!$C$32^2))+-Inputs!$C$33*EXP(-(((((Model_Data!A121)-Inputs!$C$34)^2)+(((Inputs!$C$6)-Inputs!$C$35)^2))/(2*Inputs!$C$36^2)))+Inputs!$C$37*(0.55*SIN(2*PI()*(Model_Data!A121)/Inputs!$C$39)+0.35*COS(2*PI()*(Inputs!$C$6)/Inputs!$C$40)+0.2*SIN(2*PI()*((Model_Data!A121)+(Inputs!$C$6))/(0.5*(Inputs!$C$39+Inputs!$C$40))))+Inputs!$C$38*SIN(2*PI()*(Model_Data!A121)/Inputs!$C$39)*SIN(2*PI()*(Inputs!$C$6)/Inputs!$C$40)+-Inputs!$C$41*EXP(-(((Inputs!$C$6)-Inputs!$C$43)^2)/(2*Inputs!$C$44^2))*EXP(-(((Model_Data!A121)-Inputs!$C$42)^2)/(2*Inputs!$C$45^2))+Inputs!$C$48*(0.7*(0.45*SIN(2*PI()*(((Model_Data!A121)/Inputs!$C$49)+Inputs!$C$47*0.137))+0.35*COS(2*PI()*(((Inputs!$C$6)/Inputs!$C$50)+Inputs!$C$47*0.173))+0.2*SIN(2*PI()*(((Model_Data!A121)+(Inputs!$C$6))/(0.5*(Inputs!$C$49+Inputs!$C$50))+Inputs!$C$47*0.097)))+0.3*(2*((SIN(((Model_Data!A121)*12.9898+(Inputs!$C$6)*78.233+Inputs!$C$47*37.719))*43758.5453)-INT((SIN(((Model_Data!A121)*12.9898+(Inputs!$C$6)*78.233+Inputs!$C$47*37.719))*43758.5453)))-1)))</f>
        <v>474.23278667183286</v>
      </c>
      <c r="G121" s="9">
        <f>(Inputs!$C$51*(115*EXP(-(((0)-25)^2)/(4.5^2))+70*EXP(-(((0)+38)^2)/(7^2))*(0.55+0.45*SIN(2*PI()*(Model_Data!A121)/45))+24*SIN(2*PI()*(0)/9+(Model_Data!A121)/18)*EXP(-(((0)+5)^2)/(22^2))+18*SIN(2*PI()*(Model_Data!A121)/70))+Inputs!$C$28*EXP(-(((Model_Data!A121)-Inputs!$C$29)^2)/(2*Inputs!$C$31^2))*EXP(-(((0)-Inputs!$C$30)^2)/(2*Inputs!$C$32^2))+-Inputs!$C$33*EXP(-(((((Model_Data!A121)-Inputs!$C$34)^2)+(((0)-Inputs!$C$35)^2))/(2*Inputs!$C$36^2)))+Inputs!$C$37*(0.55*SIN(2*PI()*(Model_Data!A121)/Inputs!$C$39)+0.35*COS(2*PI()*(0)/Inputs!$C$40)+0.2*SIN(2*PI()*((Model_Data!A121)+(0))/(0.5*(Inputs!$C$39+Inputs!$C$40))))+Inputs!$C$38*SIN(2*PI()*(Model_Data!A121)/Inputs!$C$39)*SIN(2*PI()*(0)/Inputs!$C$40)+-Inputs!$C$41*EXP(-(((0)-Inputs!$C$43)^2)/(2*Inputs!$C$44^2))*EXP(-(((Model_Data!A121)-Inputs!$C$42)^2)/(2*Inputs!$C$45^2))+Inputs!$C$48*(0.7*(0.45*SIN(2*PI()*(((Model_Data!A121)/Inputs!$C$49)+Inputs!$C$47*0.137))+0.35*COS(2*PI()*(((0)/Inputs!$C$50)+Inputs!$C$47*0.173))+0.2*SIN(2*PI()*(((Model_Data!A121)+(0))/(0.5*(Inputs!$C$49+Inputs!$C$50))+Inputs!$C$47*0.097)))+0.3*(2*((SIN(((Model_Data!A121)*12.9898+(0)*78.233+Inputs!$C$47*37.719))*43758.5453)-INT((SIN(((Model_Data!A121)*12.9898+(0)*78.233+Inputs!$C$47*37.719))*43758.5453)))-1)))</f>
        <v>-15.949828195457984</v>
      </c>
      <c r="H121" s="10"/>
      <c r="I121" s="9">
        <f>Model_Data!A121</f>
        <v>-0.5</v>
      </c>
      <c r="J121" s="9">
        <f>(Inputs!$C$51*(115*EXP(-(((Inputs!$C$6)-25)^2)/(4.5^2))+70*EXP(-(((Inputs!$C$6)+38)^2)/(7^2))*(0.55+0.45*SIN(2*PI()*(Model_Data!A121)/45))+24*SIN(2*PI()*(Inputs!$C$6)/9+(Model_Data!A121)/18)*EXP(-(((Inputs!$C$6)+5)^2)/(22^2))+18*SIN(2*PI()*(Model_Data!A121)/70))+Inputs!$C$28*EXP(-(((Model_Data!A121)-Inputs!$C$29)^2)/(2*Inputs!$C$31^2))*EXP(-(((Inputs!$C$6)-Inputs!$C$30)^2)/(2*Inputs!$C$32^2))+-Inputs!$C$33*EXP(-(((((Model_Data!A121)-Inputs!$C$34)^2)+(((Inputs!$C$6)-Inputs!$C$35)^2))/(2*Inputs!$C$36^2)))+Inputs!$C$37*(0.55*SIN(2*PI()*(Model_Data!A121)/Inputs!$C$39)+0.35*COS(2*PI()*(Inputs!$C$6)/Inputs!$C$40)+0.2*SIN(2*PI()*((Model_Data!A121)+(Inputs!$C$6))/(0.5*(Inputs!$C$39+Inputs!$C$40))))+Inputs!$C$38*SIN(2*PI()*(Model_Data!A121)/Inputs!$C$39)*SIN(2*PI()*(Inputs!$C$6)/Inputs!$C$40)+-Inputs!$C$41*EXP(-(((Inputs!$C$6)-Inputs!$C$43)^2)/(2*Inputs!$C$44^2))*EXP(-(((Model_Data!A121)-Inputs!$C$42)^2)/(2*Inputs!$C$45^2))+Inputs!$C$48*(0.7*(0.45*SIN(2*PI()*(((Model_Data!A121)/Inputs!$C$49)+Inputs!$C$47*0.137))+0.35*COS(2*PI()*(((Inputs!$C$6)/Inputs!$C$50)+Inputs!$C$47*0.173))+0.2*SIN(2*PI()*(((Model_Data!A121)+(Inputs!$C$6))/(0.5*(Inputs!$C$49+Inputs!$C$50))+Inputs!$C$47*0.097)))+0.3*(2*((SIN(((Model_Data!A121)*12.9898+(Inputs!$C$6)*78.233+Inputs!$C$47*37.719))*43758.5453)-INT((SIN(((Model_Data!A121)*12.9898+(Inputs!$C$6)*78.233+Inputs!$C$47*37.719))*43758.5453)))-1)))</f>
        <v>474.23278667183286</v>
      </c>
      <c r="K121" s="9">
        <f>-((((SQRT((Model_Data!A121)^2+Inputs!$C$6^2+((Model_Data!B121)-((Inputs!$C$51*(115*EXP(-(((Inputs!$C$6)-25)^2)/(4.5^2))+70*EXP(-(((Inputs!$C$6)+38)^2)/(7^2))*(0.55+0.45*SIN(2*PI()*(Model_Data!A121)/45))+24*SIN(2*PI()*(Inputs!$C$6)/9+(Model_Data!A121)/18)*EXP(-(((Inputs!$C$6)+5)^2)/(22^2))+18*SIN(2*PI()*(Model_Data!A121)/70))+Inputs!$C$28*EXP(-(((Model_Data!A121)-Inputs!$C$29)^2)/(2*Inputs!$C$31^2))*EXP(-(((Inputs!$C$6)-Inputs!$C$30)^2)/(2*Inputs!$C$32^2))+-Inputs!$C$33*EXP(-(((((Model_Data!A121)-Inputs!$C$34)^2)+(((Inputs!$C$6)-Inputs!$C$35)^2))/(2*Inputs!$C$36^2)))+Inputs!$C$37*(0.55*SIN(2*PI()*(Model_Data!A121)/Inputs!$C$39)+0.35*COS(2*PI()*(Inputs!$C$6)/Inputs!$C$40)+0.2*SIN(2*PI()*((Model_Data!A121)+(Inputs!$C$6))/(0.5*(Inputs!$C$39+Inputs!$C$40))))+Inputs!$C$38*SIN(2*PI()*(Model_Data!A121)/Inputs!$C$39)*SIN(2*PI()*(Inputs!$C$6)/Inputs!$C$40)+-Inputs!$C$41*EXP(-(((Inputs!$C$6)-Inputs!$C$43)^2)/(2*Inputs!$C$44^2))*EXP(-(((Model_Data!A121)-Inputs!$C$42)^2)/(2*Inputs!$C$45^2))+Inputs!$C$48*(0.7*(0.45*SIN(2*PI()*(((Model_Data!A121)/Inputs!$C$49)+Inputs!$C$47*0.137))+0.35*COS(2*PI()*(((Inputs!$C$6)/Inputs!$C$50)+Inputs!$C$47*0.173))+0.2*SIN(2*PI()*(((Model_Data!A121)+(Inputs!$C$6))/(0.5*(Inputs!$C$49+Inputs!$C$50))+Inputs!$C$47*0.097)))+0.3*(2*((SIN(((Model_Data!A121)*12.9898+(Inputs!$C$6)*78.233+Inputs!$C$47*37.719))*43758.5453)-INT((SIN(((Model_Data!A121)*12.9898+(Inputs!$C$6)*78.233+Inputs!$C$47*37.719))*43758.5453)))-1))))/1000)^2))-(((Model_Data!B121)-((Inputs!$C$51*(115*EXP(-(((0)-25)^2)/(4.5^2))+70*EXP(-(((0)+38)^2)/(7^2))*(0.55+0.45*SIN(2*PI()*(Model_Data!A121)/45))+24*SIN(2*PI()*(0)/9+(Model_Data!A121)/18)*EXP(-(((0)+5)^2)/(22^2))+18*SIN(2*PI()*(Model_Data!A121)/70))+Inputs!$C$28*EXP(-(((Model_Data!A121)-Inputs!$C$29)^2)/(2*Inputs!$C$31^2))*EXP(-(((0)-Inputs!$C$30)^2)/(2*Inputs!$C$32^2))+-Inputs!$C$33*EXP(-(((((Model_Data!A121)-Inputs!$C$34)^2)+(((0)-Inputs!$C$35)^2))/(2*Inputs!$C$36^2)))+Inputs!$C$37*(0.55*SIN(2*PI()*(Model_Data!A121)/Inputs!$C$39)+0.35*COS(2*PI()*(0)/Inputs!$C$40)+0.2*SIN(2*PI()*((Model_Data!A121)+(0))/(0.5*(Inputs!$C$39+Inputs!$C$40))))+Inputs!$C$38*SIN(2*PI()*(Model_Data!A121)/Inputs!$C$39)*SIN(2*PI()*(0)/Inputs!$C$40)+-Inputs!$C$41*EXP(-(((0)-Inputs!$C$43)^2)/(2*Inputs!$C$44^2))*EXP(-(((Model_Data!A121)-Inputs!$C$42)^2)/(2*Inputs!$C$45^2))+Inputs!$C$48*(0.7*(0.45*SIN(2*PI()*(((Model_Data!A121)/Inputs!$C$49)+Inputs!$C$47*0.137))+0.35*COS(2*PI()*(((0)/Inputs!$C$50)+Inputs!$C$47*0.173))+0.2*SIN(2*PI()*(((Model_Data!A121)+(0))/(0.5*(Inputs!$C$49+Inputs!$C$50))+Inputs!$C$47*0.097)))+0.3*(2*((SIN(((Model_Data!A121)*12.9898+(0)*78.233+Inputs!$C$47*37.719))*43758.5453)-INT((SIN(((Model_Data!A121)*12.9898+(0)*78.233+Inputs!$C$47*37.719))*43758.5453)))-1))))/1000)))*1000/Inputs!$C$12)-Model_Data!F121)</f>
        <v>274.86383327614482</v>
      </c>
      <c r="L121" s="10"/>
      <c r="M121" s="9">
        <f>Model_Data!A121</f>
        <v>-0.5</v>
      </c>
      <c r="N121" s="9">
        <f>Model_Data!P121</f>
        <v>3.7704165418803064</v>
      </c>
      <c r="O121" s="9">
        <f t="shared" si="2"/>
        <v>66.775173092355544</v>
      </c>
      <c r="P121" s="9">
        <f>Model_Data!Q121</f>
        <v>0.56612860989193792</v>
      </c>
      <c r="Q121" s="9">
        <f t="shared" si="3"/>
        <v>10.026302266119451</v>
      </c>
      <c r="R121" s="10"/>
      <c r="S121" s="9">
        <f>Model_Data!A121</f>
        <v>-0.5</v>
      </c>
      <c r="T121" s="9">
        <f>Model_Data!B121-Inputs!$C$5</f>
        <v>2.7777777779647295E-4</v>
      </c>
      <c r="U121" s="10"/>
      <c r="V121" s="9">
        <f>Model_Data!A121</f>
        <v>-0.5</v>
      </c>
      <c r="W121" s="9">
        <f>((SQRT((Model_Data!A121)^2+Inputs!$C$6^2+Inputs!$C$5^2)-Inputs!$C$5)*1000/Inputs!$C$12)</f>
        <v>438.65193165411739</v>
      </c>
      <c r="X121" s="9">
        <f>Model_Data!F121</f>
        <v>438.65162762840095</v>
      </c>
      <c r="Y121" s="10"/>
      <c r="Z121" s="9">
        <f>Model_Data!A121</f>
        <v>-0.5</v>
      </c>
      <c r="AA121" s="9">
        <f>SQRT((Model_Data!A121)^2+Inputs!$C$6^2+((Model_Data!B121)-((Inputs!$C$51*(115*EXP(-(((Inputs!$C$6)-25)^2)/(4.5^2))+70*EXP(-(((Inputs!$C$6)+38)^2)/(7^2))*(0.55+0.45*SIN(2*PI()*(Model_Data!A121)/45))+24*SIN(2*PI()*(Inputs!$C$6)/9+(Model_Data!A121)/18)*EXP(-(((Inputs!$C$6)+5)^2)/(22^2))+18*SIN(2*PI()*(Model_Data!A121)/70))+Inputs!$C$28*EXP(-(((Model_Data!A121)-Inputs!$C$29)^2)/(2*Inputs!$C$31^2))*EXP(-(((Inputs!$C$6)-Inputs!$C$30)^2)/(2*Inputs!$C$32^2))+-Inputs!$C$33*EXP(-(((((Model_Data!A121)-Inputs!$C$34)^2)+(((Inputs!$C$6)-Inputs!$C$35)^2))/(2*Inputs!$C$36^2)))+Inputs!$C$37*(0.55*SIN(2*PI()*(Model_Data!A121)/Inputs!$C$39)+0.35*COS(2*PI()*(Inputs!$C$6)/Inputs!$C$40)+0.2*SIN(2*PI()*((Model_Data!A121)+(Inputs!$C$6))/(0.5*(Inputs!$C$39+Inputs!$C$40))))+Inputs!$C$38*SIN(2*PI()*(Model_Data!A121)/Inputs!$C$39)*SIN(2*PI()*(Inputs!$C$6)/Inputs!$C$40)+-Inputs!$C$41*EXP(-(((Inputs!$C$6)-Inputs!$C$43)^2)/(2*Inputs!$C$44^2))*EXP(-(((Model_Data!A121)-Inputs!$C$42)^2)/(2*Inputs!$C$45^2))+Inputs!$C$48*(0.7*(0.45*SIN(2*PI()*(((Model_Data!A121)/Inputs!$C$49)+Inputs!$C$47*0.137))+0.35*COS(2*PI()*(((Inputs!$C$6)/Inputs!$C$50)+Inputs!$C$47*0.173))+0.2*SIN(2*PI()*(((Model_Data!A121)+(Inputs!$C$6))/(0.5*(Inputs!$C$49+Inputs!$C$50))+Inputs!$C$47*0.097)))+0.3*(2*((SIN(((Model_Data!A121)*12.9898+(Inputs!$C$6)*78.233+Inputs!$C$47*37.719))*43758.5453)-INT((SIN(((Model_Data!A121)*12.9898+(Inputs!$C$6)*78.233+Inputs!$C$47*37.719))*43758.5453)))-1))))/1000)^2)</f>
        <v>400.30776987992027</v>
      </c>
      <c r="AB121" s="9">
        <f>1000*(AA122-AA120)/(Z122-Z120)*Inputs!$C$11</f>
        <v>-166.93793273088886</v>
      </c>
      <c r="AC121" s="9">
        <f>-2*AB121/Inputs!$C$13</f>
        <v>66.775173092355544</v>
      </c>
      <c r="AD121" s="9">
        <f>-2*AB121/Inputs!$C$14</f>
        <v>10.026302266119451</v>
      </c>
    </row>
    <row r="122" spans="1:30">
      <c r="A122" s="9">
        <f>Model_Data!A122</f>
        <v>0</v>
      </c>
      <c r="B122" s="9">
        <f>((SQRT((Model_Data!A122)^2+Inputs!$C$6^2+Inputs!$C$5^2)-Inputs!$C$5)*1000/Inputs!$C$12)</f>
        <v>438.47671181736308</v>
      </c>
      <c r="C122" s="9">
        <f>Model_Data!F122</f>
        <v>438.47671181736308</v>
      </c>
      <c r="D122" s="9">
        <f>(((SQRT((Model_Data!A122)^2+Inputs!$C$6^2+((Model_Data!B122)-((Inputs!$C$51*(115*EXP(-(((Inputs!$C$6)-25)^2)/(4.5^2))+70*EXP(-(((Inputs!$C$6)+38)^2)/(7^2))*(0.55+0.45*SIN(2*PI()*(Model_Data!A122)/45))+24*SIN(2*PI()*(Inputs!$C$6)/9+(Model_Data!A122)/18)*EXP(-(((Inputs!$C$6)+5)^2)/(22^2))+18*SIN(2*PI()*(Model_Data!A122)/70))+Inputs!$C$28*EXP(-(((Model_Data!A122)-Inputs!$C$29)^2)/(2*Inputs!$C$31^2))*EXP(-(((Inputs!$C$6)-Inputs!$C$30)^2)/(2*Inputs!$C$32^2))+-Inputs!$C$33*EXP(-(((((Model_Data!A122)-Inputs!$C$34)^2)+(((Inputs!$C$6)-Inputs!$C$35)^2))/(2*Inputs!$C$36^2)))+Inputs!$C$37*(0.55*SIN(2*PI()*(Model_Data!A122)/Inputs!$C$39)+0.35*COS(2*PI()*(Inputs!$C$6)/Inputs!$C$40)+0.2*SIN(2*PI()*((Model_Data!A122)+(Inputs!$C$6))/(0.5*(Inputs!$C$39+Inputs!$C$40))))+Inputs!$C$38*SIN(2*PI()*(Model_Data!A122)/Inputs!$C$39)*SIN(2*PI()*(Inputs!$C$6)/Inputs!$C$40)+-Inputs!$C$41*EXP(-(((Inputs!$C$6)-Inputs!$C$43)^2)/(2*Inputs!$C$44^2))*EXP(-(((Model_Data!A122)-Inputs!$C$42)^2)/(2*Inputs!$C$45^2))+Inputs!$C$48*(0.7*(0.45*SIN(2*PI()*(((Model_Data!A122)/Inputs!$C$49)+Inputs!$C$47*0.137))+0.35*COS(2*PI()*(((Inputs!$C$6)/Inputs!$C$50)+Inputs!$C$47*0.173))+0.2*SIN(2*PI()*(((Model_Data!A122)+(Inputs!$C$6))/(0.5*(Inputs!$C$49+Inputs!$C$50))+Inputs!$C$47*0.097)))+0.3*(2*((SIN(((Model_Data!A122)*12.9898+(Inputs!$C$6)*78.233+Inputs!$C$47*37.719))*43758.5453)-INT((SIN(((Model_Data!A122)*12.9898+(Inputs!$C$6)*78.233+Inputs!$C$47*37.719))*43758.5453)))-1))))/1000)^2))-(((Model_Data!B122)-((Inputs!$C$51*(115*EXP(-(((0)-25)^2)/(4.5^2))+70*EXP(-(((0)+38)^2)/(7^2))*(0.55+0.45*SIN(2*PI()*(Model_Data!A122)/45))+24*SIN(2*PI()*(0)/9+(Model_Data!A122)/18)*EXP(-(((0)+5)^2)/(22^2))+18*SIN(2*PI()*(Model_Data!A122)/70))+Inputs!$C$28*EXP(-(((Model_Data!A122)-Inputs!$C$29)^2)/(2*Inputs!$C$31^2))*EXP(-(((0)-Inputs!$C$30)^2)/(2*Inputs!$C$32^2))+-Inputs!$C$33*EXP(-(((((Model_Data!A122)-Inputs!$C$34)^2)+(((0)-Inputs!$C$35)^2))/(2*Inputs!$C$36^2)))+Inputs!$C$37*(0.55*SIN(2*PI()*(Model_Data!A122)/Inputs!$C$39)+0.35*COS(2*PI()*(0)/Inputs!$C$40)+0.2*SIN(2*PI()*((Model_Data!A122)+(0))/(0.5*(Inputs!$C$39+Inputs!$C$40))))+Inputs!$C$38*SIN(2*PI()*(Model_Data!A122)/Inputs!$C$39)*SIN(2*PI()*(0)/Inputs!$C$40)+-Inputs!$C$41*EXP(-(((0)-Inputs!$C$43)^2)/(2*Inputs!$C$44^2))*EXP(-(((Model_Data!A122)-Inputs!$C$42)^2)/(2*Inputs!$C$45^2))+Inputs!$C$48*(0.7*(0.45*SIN(2*PI()*(((Model_Data!A122)/Inputs!$C$49)+Inputs!$C$47*0.137))+0.35*COS(2*PI()*(((0)/Inputs!$C$50)+Inputs!$C$47*0.173))+0.2*SIN(2*PI()*(((Model_Data!A122)+(0))/(0.5*(Inputs!$C$49+Inputs!$C$50))+Inputs!$C$47*0.097)))+0.3*(2*((SIN(((Model_Data!A122)*12.9898+(0)*78.233+Inputs!$C$47*37.719))*43758.5453)-INT((SIN(((Model_Data!A122)*12.9898+(0)*78.233+Inputs!$C$47*37.719))*43758.5453)))-1))))/1000)))*1000/Inputs!$C$12)</f>
        <v>166.30850997679889</v>
      </c>
      <c r="E122" s="9">
        <f>Model_Data!A122</f>
        <v>0</v>
      </c>
      <c r="F122" s="9">
        <f>(Inputs!$C$51*(115*EXP(-(((Inputs!$C$6)-25)^2)/(4.5^2))+70*EXP(-(((Inputs!$C$6)+38)^2)/(7^2))*(0.55+0.45*SIN(2*PI()*(Model_Data!A122)/45))+24*SIN(2*PI()*(Inputs!$C$6)/9+(Model_Data!A122)/18)*EXP(-(((Inputs!$C$6)+5)^2)/(22^2))+18*SIN(2*PI()*(Model_Data!A122)/70))+Inputs!$C$28*EXP(-(((Model_Data!A122)-Inputs!$C$29)^2)/(2*Inputs!$C$31^2))*EXP(-(((Inputs!$C$6)-Inputs!$C$30)^2)/(2*Inputs!$C$32^2))+-Inputs!$C$33*EXP(-(((((Model_Data!A122)-Inputs!$C$34)^2)+(((Inputs!$C$6)-Inputs!$C$35)^2))/(2*Inputs!$C$36^2)))+Inputs!$C$37*(0.55*SIN(2*PI()*(Model_Data!A122)/Inputs!$C$39)+0.35*COS(2*PI()*(Inputs!$C$6)/Inputs!$C$40)+0.2*SIN(2*PI()*((Model_Data!A122)+(Inputs!$C$6))/(0.5*(Inputs!$C$39+Inputs!$C$40))))+Inputs!$C$38*SIN(2*PI()*(Model_Data!A122)/Inputs!$C$39)*SIN(2*PI()*(Inputs!$C$6)/Inputs!$C$40)+-Inputs!$C$41*EXP(-(((Inputs!$C$6)-Inputs!$C$43)^2)/(2*Inputs!$C$44^2))*EXP(-(((Model_Data!A122)-Inputs!$C$42)^2)/(2*Inputs!$C$45^2))+Inputs!$C$48*(0.7*(0.45*SIN(2*PI()*(((Model_Data!A122)/Inputs!$C$49)+Inputs!$C$47*0.137))+0.35*COS(2*PI()*(((Inputs!$C$6)/Inputs!$C$50)+Inputs!$C$47*0.173))+0.2*SIN(2*PI()*(((Model_Data!A122)+(Inputs!$C$6))/(0.5*(Inputs!$C$49+Inputs!$C$50))+Inputs!$C$47*0.097)))+0.3*(2*((SIN(((Model_Data!A122)*12.9898+(Inputs!$C$6)*78.233+Inputs!$C$47*37.719))*43758.5453)-INT((SIN(((Model_Data!A122)*12.9898+(Inputs!$C$6)*78.233+Inputs!$C$47*37.719))*43758.5453)))-1)))</f>
        <v>480.44802858922253</v>
      </c>
      <c r="G122" s="9">
        <f>(Inputs!$C$51*(115*EXP(-(((0)-25)^2)/(4.5^2))+70*EXP(-(((0)+38)^2)/(7^2))*(0.55+0.45*SIN(2*PI()*(Model_Data!A122)/45))+24*SIN(2*PI()*(0)/9+(Model_Data!A122)/18)*EXP(-(((0)+5)^2)/(22^2))+18*SIN(2*PI()*(Model_Data!A122)/70))+Inputs!$C$28*EXP(-(((Model_Data!A122)-Inputs!$C$29)^2)/(2*Inputs!$C$31^2))*EXP(-(((0)-Inputs!$C$30)^2)/(2*Inputs!$C$32^2))+-Inputs!$C$33*EXP(-(((((Model_Data!A122)-Inputs!$C$34)^2)+(((0)-Inputs!$C$35)^2))/(2*Inputs!$C$36^2)))+Inputs!$C$37*(0.55*SIN(2*PI()*(Model_Data!A122)/Inputs!$C$39)+0.35*COS(2*PI()*(0)/Inputs!$C$40)+0.2*SIN(2*PI()*((Model_Data!A122)+(0))/(0.5*(Inputs!$C$39+Inputs!$C$40))))+Inputs!$C$38*SIN(2*PI()*(Model_Data!A122)/Inputs!$C$39)*SIN(2*PI()*(0)/Inputs!$C$40)+-Inputs!$C$41*EXP(-(((0)-Inputs!$C$43)^2)/(2*Inputs!$C$44^2))*EXP(-(((Model_Data!A122)-Inputs!$C$42)^2)/(2*Inputs!$C$45^2))+Inputs!$C$48*(0.7*(0.45*SIN(2*PI()*(((Model_Data!A122)/Inputs!$C$49)+Inputs!$C$47*0.137))+0.35*COS(2*PI()*(((0)/Inputs!$C$50)+Inputs!$C$47*0.173))+0.2*SIN(2*PI()*(((Model_Data!A122)+(0))/(0.5*(Inputs!$C$49+Inputs!$C$50))+Inputs!$C$47*0.097)))+0.3*(2*((SIN(((Model_Data!A122)*12.9898+(0)*78.233+Inputs!$C$47*37.719))*43758.5453)-INT((SIN(((Model_Data!A122)*12.9898+(0)*78.233+Inputs!$C$47*37.719))*43758.5453)))-1)))</f>
        <v>-4.948127387128106</v>
      </c>
      <c r="H122" s="10"/>
      <c r="I122" s="9">
        <f>Model_Data!A122</f>
        <v>0</v>
      </c>
      <c r="J122" s="9">
        <f>(Inputs!$C$51*(115*EXP(-(((Inputs!$C$6)-25)^2)/(4.5^2))+70*EXP(-(((Inputs!$C$6)+38)^2)/(7^2))*(0.55+0.45*SIN(2*PI()*(Model_Data!A122)/45))+24*SIN(2*PI()*(Inputs!$C$6)/9+(Model_Data!A122)/18)*EXP(-(((Inputs!$C$6)+5)^2)/(22^2))+18*SIN(2*PI()*(Model_Data!A122)/70))+Inputs!$C$28*EXP(-(((Model_Data!A122)-Inputs!$C$29)^2)/(2*Inputs!$C$31^2))*EXP(-(((Inputs!$C$6)-Inputs!$C$30)^2)/(2*Inputs!$C$32^2))+-Inputs!$C$33*EXP(-(((((Model_Data!A122)-Inputs!$C$34)^2)+(((Inputs!$C$6)-Inputs!$C$35)^2))/(2*Inputs!$C$36^2)))+Inputs!$C$37*(0.55*SIN(2*PI()*(Model_Data!A122)/Inputs!$C$39)+0.35*COS(2*PI()*(Inputs!$C$6)/Inputs!$C$40)+0.2*SIN(2*PI()*((Model_Data!A122)+(Inputs!$C$6))/(0.5*(Inputs!$C$39+Inputs!$C$40))))+Inputs!$C$38*SIN(2*PI()*(Model_Data!A122)/Inputs!$C$39)*SIN(2*PI()*(Inputs!$C$6)/Inputs!$C$40)+-Inputs!$C$41*EXP(-(((Inputs!$C$6)-Inputs!$C$43)^2)/(2*Inputs!$C$44^2))*EXP(-(((Model_Data!A122)-Inputs!$C$42)^2)/(2*Inputs!$C$45^2))+Inputs!$C$48*(0.7*(0.45*SIN(2*PI()*(((Model_Data!A122)/Inputs!$C$49)+Inputs!$C$47*0.137))+0.35*COS(2*PI()*(((Inputs!$C$6)/Inputs!$C$50)+Inputs!$C$47*0.173))+0.2*SIN(2*PI()*(((Model_Data!A122)+(Inputs!$C$6))/(0.5*(Inputs!$C$49+Inputs!$C$50))+Inputs!$C$47*0.097)))+0.3*(2*((SIN(((Model_Data!A122)*12.9898+(Inputs!$C$6)*78.233+Inputs!$C$47*37.719))*43758.5453)-INT((SIN(((Model_Data!A122)*12.9898+(Inputs!$C$6)*78.233+Inputs!$C$47*37.719))*43758.5453)))-1)))</f>
        <v>480.44802858922253</v>
      </c>
      <c r="K122" s="9">
        <f>-((((SQRT((Model_Data!A122)^2+Inputs!$C$6^2+((Model_Data!B122)-((Inputs!$C$51*(115*EXP(-(((Inputs!$C$6)-25)^2)/(4.5^2))+70*EXP(-(((Inputs!$C$6)+38)^2)/(7^2))*(0.55+0.45*SIN(2*PI()*(Model_Data!A122)/45))+24*SIN(2*PI()*(Inputs!$C$6)/9+(Model_Data!A122)/18)*EXP(-(((Inputs!$C$6)+5)^2)/(22^2))+18*SIN(2*PI()*(Model_Data!A122)/70))+Inputs!$C$28*EXP(-(((Model_Data!A122)-Inputs!$C$29)^2)/(2*Inputs!$C$31^2))*EXP(-(((Inputs!$C$6)-Inputs!$C$30)^2)/(2*Inputs!$C$32^2))+-Inputs!$C$33*EXP(-(((((Model_Data!A122)-Inputs!$C$34)^2)+(((Inputs!$C$6)-Inputs!$C$35)^2))/(2*Inputs!$C$36^2)))+Inputs!$C$37*(0.55*SIN(2*PI()*(Model_Data!A122)/Inputs!$C$39)+0.35*COS(2*PI()*(Inputs!$C$6)/Inputs!$C$40)+0.2*SIN(2*PI()*((Model_Data!A122)+(Inputs!$C$6))/(0.5*(Inputs!$C$39+Inputs!$C$40))))+Inputs!$C$38*SIN(2*PI()*(Model_Data!A122)/Inputs!$C$39)*SIN(2*PI()*(Inputs!$C$6)/Inputs!$C$40)+-Inputs!$C$41*EXP(-(((Inputs!$C$6)-Inputs!$C$43)^2)/(2*Inputs!$C$44^2))*EXP(-(((Model_Data!A122)-Inputs!$C$42)^2)/(2*Inputs!$C$45^2))+Inputs!$C$48*(0.7*(0.45*SIN(2*PI()*(((Model_Data!A122)/Inputs!$C$49)+Inputs!$C$47*0.137))+0.35*COS(2*PI()*(((Inputs!$C$6)/Inputs!$C$50)+Inputs!$C$47*0.173))+0.2*SIN(2*PI()*(((Model_Data!A122)+(Inputs!$C$6))/(0.5*(Inputs!$C$49+Inputs!$C$50))+Inputs!$C$47*0.097)))+0.3*(2*((SIN(((Model_Data!A122)*12.9898+(Inputs!$C$6)*78.233+Inputs!$C$47*37.719))*43758.5453)-INT((SIN(((Model_Data!A122)*12.9898+(Inputs!$C$6)*78.233+Inputs!$C$47*37.719))*43758.5453)))-1))))/1000)^2))-(((Model_Data!B122)-((Inputs!$C$51*(115*EXP(-(((0)-25)^2)/(4.5^2))+70*EXP(-(((0)+38)^2)/(7^2))*(0.55+0.45*SIN(2*PI()*(Model_Data!A122)/45))+24*SIN(2*PI()*(0)/9+(Model_Data!A122)/18)*EXP(-(((0)+5)^2)/(22^2))+18*SIN(2*PI()*(Model_Data!A122)/70))+Inputs!$C$28*EXP(-(((Model_Data!A122)-Inputs!$C$29)^2)/(2*Inputs!$C$31^2))*EXP(-(((0)-Inputs!$C$30)^2)/(2*Inputs!$C$32^2))+-Inputs!$C$33*EXP(-(((((Model_Data!A122)-Inputs!$C$34)^2)+(((0)-Inputs!$C$35)^2))/(2*Inputs!$C$36^2)))+Inputs!$C$37*(0.55*SIN(2*PI()*(Model_Data!A122)/Inputs!$C$39)+0.35*COS(2*PI()*(0)/Inputs!$C$40)+0.2*SIN(2*PI()*((Model_Data!A122)+(0))/(0.5*(Inputs!$C$39+Inputs!$C$40))))+Inputs!$C$38*SIN(2*PI()*(Model_Data!A122)/Inputs!$C$39)*SIN(2*PI()*(0)/Inputs!$C$40)+-Inputs!$C$41*EXP(-(((0)-Inputs!$C$43)^2)/(2*Inputs!$C$44^2))*EXP(-(((Model_Data!A122)-Inputs!$C$42)^2)/(2*Inputs!$C$45^2))+Inputs!$C$48*(0.7*(0.45*SIN(2*PI()*(((Model_Data!A122)/Inputs!$C$49)+Inputs!$C$47*0.137))+0.35*COS(2*PI()*(((0)/Inputs!$C$50)+Inputs!$C$47*0.173))+0.2*SIN(2*PI()*(((Model_Data!A122)+(0))/(0.5*(Inputs!$C$49+Inputs!$C$50))+Inputs!$C$47*0.097)))+0.3*(2*((SIN(((Model_Data!A122)*12.9898+(0)*78.233+Inputs!$C$47*37.719))*43758.5453)-INT((SIN(((Model_Data!A122)*12.9898+(0)*78.233+Inputs!$C$47*37.719))*43758.5453)))-1))))/1000)))*1000/Inputs!$C$12)-Model_Data!F122)</f>
        <v>272.16820184056417</v>
      </c>
      <c r="L122" s="10"/>
      <c r="M122" s="9">
        <f>Model_Data!A122</f>
        <v>0</v>
      </c>
      <c r="N122" s="9">
        <f>Model_Data!P122</f>
        <v>0</v>
      </c>
      <c r="O122" s="9">
        <f t="shared" si="2"/>
        <v>13.593233626670553</v>
      </c>
      <c r="P122" s="9">
        <f>Model_Data!Q122</f>
        <v>0</v>
      </c>
      <c r="Q122" s="9">
        <f t="shared" si="3"/>
        <v>2.0410260700706537</v>
      </c>
      <c r="R122" s="10"/>
      <c r="S122" s="9">
        <f>Model_Data!A122</f>
        <v>0</v>
      </c>
      <c r="T122" s="9">
        <f>Model_Data!B122-Inputs!$C$5</f>
        <v>0</v>
      </c>
      <c r="U122" s="10"/>
      <c r="V122" s="9">
        <f>Model_Data!A122</f>
        <v>0</v>
      </c>
      <c r="W122" s="9">
        <f>((SQRT((Model_Data!A122)^2+Inputs!$C$6^2+Inputs!$C$5^2)-Inputs!$C$5)*1000/Inputs!$C$12)</f>
        <v>438.47671181736308</v>
      </c>
      <c r="X122" s="9">
        <f>Model_Data!F122</f>
        <v>438.47671181736308</v>
      </c>
      <c r="Y122" s="10"/>
      <c r="Z122" s="9">
        <f>Model_Data!A122</f>
        <v>0</v>
      </c>
      <c r="AA122" s="9">
        <f>SQRT((Model_Data!A122)^2+Inputs!$C$6^2+((Model_Data!B122)-((Inputs!$C$51*(115*EXP(-(((Inputs!$C$6)-25)^2)/(4.5^2))+70*EXP(-(((Inputs!$C$6)+38)^2)/(7^2))*(0.55+0.45*SIN(2*PI()*(Model_Data!A122)/45))+24*SIN(2*PI()*(Inputs!$C$6)/9+(Model_Data!A122)/18)*EXP(-(((Inputs!$C$6)+5)^2)/(22^2))+18*SIN(2*PI()*(Model_Data!A122)/70))+Inputs!$C$28*EXP(-(((Model_Data!A122)-Inputs!$C$29)^2)/(2*Inputs!$C$31^2))*EXP(-(((Inputs!$C$6)-Inputs!$C$30)^2)/(2*Inputs!$C$32^2))+-Inputs!$C$33*EXP(-(((((Model_Data!A122)-Inputs!$C$34)^2)+(((Inputs!$C$6)-Inputs!$C$35)^2))/(2*Inputs!$C$36^2)))+Inputs!$C$37*(0.55*SIN(2*PI()*(Model_Data!A122)/Inputs!$C$39)+0.35*COS(2*PI()*(Inputs!$C$6)/Inputs!$C$40)+0.2*SIN(2*PI()*((Model_Data!A122)+(Inputs!$C$6))/(0.5*(Inputs!$C$39+Inputs!$C$40))))+Inputs!$C$38*SIN(2*PI()*(Model_Data!A122)/Inputs!$C$39)*SIN(2*PI()*(Inputs!$C$6)/Inputs!$C$40)+-Inputs!$C$41*EXP(-(((Inputs!$C$6)-Inputs!$C$43)^2)/(2*Inputs!$C$44^2))*EXP(-(((Model_Data!A122)-Inputs!$C$42)^2)/(2*Inputs!$C$45^2))+Inputs!$C$48*(0.7*(0.45*SIN(2*PI()*(((Model_Data!A122)/Inputs!$C$49)+Inputs!$C$47*0.137))+0.35*COS(2*PI()*(((Inputs!$C$6)/Inputs!$C$50)+Inputs!$C$47*0.173))+0.2*SIN(2*PI()*(((Model_Data!A122)+(Inputs!$C$6))/(0.5*(Inputs!$C$49+Inputs!$C$50))+Inputs!$C$47*0.097)))+0.3*(2*((SIN(((Model_Data!A122)*12.9898+(Inputs!$C$6)*78.233+Inputs!$C$47*37.719))*43758.5453)-INT((SIN(((Model_Data!A122)*12.9898+(Inputs!$C$6)*78.233+Inputs!$C$47*37.719))*43758.5453)))-1))))/1000)^2)</f>
        <v>400.30097727514584</v>
      </c>
      <c r="AB122" s="9">
        <f>1000*(AA123-AA121)/(Z123-Z121)*Inputs!$C$11</f>
        <v>-33.983084066676383</v>
      </c>
      <c r="AC122" s="9">
        <f>-2*AB122/Inputs!$C$13</f>
        <v>13.593233626670553</v>
      </c>
      <c r="AD122" s="9">
        <f>-2*AB122/Inputs!$C$14</f>
        <v>2.0410260700706537</v>
      </c>
    </row>
    <row r="123" spans="1:30">
      <c r="A123" s="9">
        <f>Model_Data!A123</f>
        <v>0.5</v>
      </c>
      <c r="B123" s="9">
        <f>((SQRT((Model_Data!A123)^2+Inputs!$C$6^2+Inputs!$C$5^2)-Inputs!$C$5)*1000/Inputs!$C$12)</f>
        <v>438.65193165411739</v>
      </c>
      <c r="C123" s="9">
        <f>Model_Data!F123</f>
        <v>438.65162762840095</v>
      </c>
      <c r="D123" s="9">
        <f>(((SQRT((Model_Data!A123)^2+Inputs!$C$6^2+((Model_Data!B123)-((Inputs!$C$51*(115*EXP(-(((Inputs!$C$6)-25)^2)/(4.5^2))+70*EXP(-(((Inputs!$C$6)+38)^2)/(7^2))*(0.55+0.45*SIN(2*PI()*(Model_Data!A123)/45))+24*SIN(2*PI()*(Inputs!$C$6)/9+(Model_Data!A123)/18)*EXP(-(((Inputs!$C$6)+5)^2)/(22^2))+18*SIN(2*PI()*(Model_Data!A123)/70))+Inputs!$C$28*EXP(-(((Model_Data!A123)-Inputs!$C$29)^2)/(2*Inputs!$C$31^2))*EXP(-(((Inputs!$C$6)-Inputs!$C$30)^2)/(2*Inputs!$C$32^2))+-Inputs!$C$33*EXP(-(((((Model_Data!A123)-Inputs!$C$34)^2)+(((Inputs!$C$6)-Inputs!$C$35)^2))/(2*Inputs!$C$36^2)))+Inputs!$C$37*(0.55*SIN(2*PI()*(Model_Data!A123)/Inputs!$C$39)+0.35*COS(2*PI()*(Inputs!$C$6)/Inputs!$C$40)+0.2*SIN(2*PI()*((Model_Data!A123)+(Inputs!$C$6))/(0.5*(Inputs!$C$39+Inputs!$C$40))))+Inputs!$C$38*SIN(2*PI()*(Model_Data!A123)/Inputs!$C$39)*SIN(2*PI()*(Inputs!$C$6)/Inputs!$C$40)+-Inputs!$C$41*EXP(-(((Inputs!$C$6)-Inputs!$C$43)^2)/(2*Inputs!$C$44^2))*EXP(-(((Model_Data!A123)-Inputs!$C$42)^2)/(2*Inputs!$C$45^2))+Inputs!$C$48*(0.7*(0.45*SIN(2*PI()*(((Model_Data!A123)/Inputs!$C$49)+Inputs!$C$47*0.137))+0.35*COS(2*PI()*(((Inputs!$C$6)/Inputs!$C$50)+Inputs!$C$47*0.173))+0.2*SIN(2*PI()*(((Model_Data!A123)+(Inputs!$C$6))/(0.5*(Inputs!$C$49+Inputs!$C$50))+Inputs!$C$47*0.097)))+0.3*(2*((SIN(((Model_Data!A123)*12.9898+(Inputs!$C$6)*78.233+Inputs!$C$47*37.719))*43758.5453)-INT((SIN(((Model_Data!A123)*12.9898+(Inputs!$C$6)*78.233+Inputs!$C$47*37.719))*43758.5453)))-1))))/1000)^2))-(((Model_Data!B123)-((Inputs!$C$51*(115*EXP(-(((0)-25)^2)/(4.5^2))+70*EXP(-(((0)+38)^2)/(7^2))*(0.55+0.45*SIN(2*PI()*(Model_Data!A123)/45))+24*SIN(2*PI()*(0)/9+(Model_Data!A123)/18)*EXP(-(((0)+5)^2)/(22^2))+18*SIN(2*PI()*(Model_Data!A123)/70))+Inputs!$C$28*EXP(-(((Model_Data!A123)-Inputs!$C$29)^2)/(2*Inputs!$C$31^2))*EXP(-(((0)-Inputs!$C$30)^2)/(2*Inputs!$C$32^2))+-Inputs!$C$33*EXP(-(((((Model_Data!A123)-Inputs!$C$34)^2)+(((0)-Inputs!$C$35)^2))/(2*Inputs!$C$36^2)))+Inputs!$C$37*(0.55*SIN(2*PI()*(Model_Data!A123)/Inputs!$C$39)+0.35*COS(2*PI()*(0)/Inputs!$C$40)+0.2*SIN(2*PI()*((Model_Data!A123)+(0))/(0.5*(Inputs!$C$39+Inputs!$C$40))))+Inputs!$C$38*SIN(2*PI()*(Model_Data!A123)/Inputs!$C$39)*SIN(2*PI()*(0)/Inputs!$C$40)+-Inputs!$C$41*EXP(-(((0)-Inputs!$C$43)^2)/(2*Inputs!$C$44^2))*EXP(-(((Model_Data!A123)-Inputs!$C$42)^2)/(2*Inputs!$C$45^2))+Inputs!$C$48*(0.7*(0.45*SIN(2*PI()*(((Model_Data!A123)/Inputs!$C$49)+Inputs!$C$47*0.137))+0.35*COS(2*PI()*(((0)/Inputs!$C$50)+Inputs!$C$47*0.173))+0.2*SIN(2*PI()*(((Model_Data!A123)+(0))/(0.5*(Inputs!$C$49+Inputs!$C$50))+Inputs!$C$47*0.097)))+0.3*(2*((SIN(((Model_Data!A123)*12.9898+(0)*78.233+Inputs!$C$47*37.719))*43758.5453)-INT((SIN(((Model_Data!A123)*12.9898+(0)*78.233+Inputs!$C$47*37.719))*43758.5453)))-1))))/1000)))*1000/Inputs!$C$12)</f>
        <v>169.24488778546458</v>
      </c>
      <c r="E123" s="9">
        <f>Model_Data!A123</f>
        <v>0.5</v>
      </c>
      <c r="F123" s="9">
        <f>(Inputs!$C$51*(115*EXP(-(((Inputs!$C$6)-25)^2)/(4.5^2))+70*EXP(-(((Inputs!$C$6)+38)^2)/(7^2))*(0.55+0.45*SIN(2*PI()*(Model_Data!A123)/45))+24*SIN(2*PI()*(Inputs!$C$6)/9+(Model_Data!A123)/18)*EXP(-(((Inputs!$C$6)+5)^2)/(22^2))+18*SIN(2*PI()*(Model_Data!A123)/70))+Inputs!$C$28*EXP(-(((Model_Data!A123)-Inputs!$C$29)^2)/(2*Inputs!$C$31^2))*EXP(-(((Inputs!$C$6)-Inputs!$C$30)^2)/(2*Inputs!$C$32^2))+-Inputs!$C$33*EXP(-(((((Model_Data!A123)-Inputs!$C$34)^2)+(((Inputs!$C$6)-Inputs!$C$35)^2))/(2*Inputs!$C$36^2)))+Inputs!$C$37*(0.55*SIN(2*PI()*(Model_Data!A123)/Inputs!$C$39)+0.35*COS(2*PI()*(Inputs!$C$6)/Inputs!$C$40)+0.2*SIN(2*PI()*((Model_Data!A123)+(Inputs!$C$6))/(0.5*(Inputs!$C$39+Inputs!$C$40))))+Inputs!$C$38*SIN(2*PI()*(Model_Data!A123)/Inputs!$C$39)*SIN(2*PI()*(Inputs!$C$6)/Inputs!$C$40)+-Inputs!$C$41*EXP(-(((Inputs!$C$6)-Inputs!$C$43)^2)/(2*Inputs!$C$44^2))*EXP(-(((Model_Data!A123)-Inputs!$C$42)^2)/(2*Inputs!$C$45^2))+Inputs!$C$48*(0.7*(0.45*SIN(2*PI()*(((Model_Data!A123)/Inputs!$C$49)+Inputs!$C$47*0.137))+0.35*COS(2*PI()*(((Inputs!$C$6)/Inputs!$C$50)+Inputs!$C$47*0.173))+0.2*SIN(2*PI()*(((Model_Data!A123)+(Inputs!$C$6))/(0.5*(Inputs!$C$49+Inputs!$C$50))+Inputs!$C$47*0.097)))+0.3*(2*((SIN(((Model_Data!A123)*12.9898+(Inputs!$C$6)*78.233+Inputs!$C$47*37.719))*43758.5453)-INT((SIN(((Model_Data!A123)*12.9898+(Inputs!$C$6)*78.233+Inputs!$C$47*37.719))*43758.5453)))-1)))</f>
        <v>482.74518112800712</v>
      </c>
      <c r="G123" s="9">
        <f>(Inputs!$C$51*(115*EXP(-(((0)-25)^2)/(4.5^2))+70*EXP(-(((0)+38)^2)/(7^2))*(0.55+0.45*SIN(2*PI()*(Model_Data!A123)/45))+24*SIN(2*PI()*(0)/9+(Model_Data!A123)/18)*EXP(-(((0)+5)^2)/(22^2))+18*SIN(2*PI()*(Model_Data!A123)/70))+Inputs!$C$28*EXP(-(((Model_Data!A123)-Inputs!$C$29)^2)/(2*Inputs!$C$31^2))*EXP(-(((0)-Inputs!$C$30)^2)/(2*Inputs!$C$32^2))+-Inputs!$C$33*EXP(-(((((Model_Data!A123)-Inputs!$C$34)^2)+(((0)-Inputs!$C$35)^2))/(2*Inputs!$C$36^2)))+Inputs!$C$37*(0.55*SIN(2*PI()*(Model_Data!A123)/Inputs!$C$39)+0.35*COS(2*PI()*(0)/Inputs!$C$40)+0.2*SIN(2*PI()*((Model_Data!A123)+(0))/(0.5*(Inputs!$C$39+Inputs!$C$40))))+Inputs!$C$38*SIN(2*PI()*(Model_Data!A123)/Inputs!$C$39)*SIN(2*PI()*(0)/Inputs!$C$40)+-Inputs!$C$41*EXP(-(((0)-Inputs!$C$43)^2)/(2*Inputs!$C$44^2))*EXP(-(((Model_Data!A123)-Inputs!$C$42)^2)/(2*Inputs!$C$45^2))+Inputs!$C$48*(0.7*(0.45*SIN(2*PI()*(((Model_Data!A123)/Inputs!$C$49)+Inputs!$C$47*0.137))+0.35*COS(2*PI()*(((0)/Inputs!$C$50)+Inputs!$C$47*0.173))+0.2*SIN(2*PI()*(((Model_Data!A123)+(0))/(0.5*(Inputs!$C$49+Inputs!$C$50))+Inputs!$C$47*0.097)))+0.3*(2*((SIN(((Model_Data!A123)*12.9898+(0)*78.233+Inputs!$C$47*37.719))*43758.5453)-INT((SIN(((Model_Data!A123)*12.9898+(0)*78.233+Inputs!$C$47*37.719))*43758.5453)))-1)))</f>
        <v>2.2595691323213032</v>
      </c>
      <c r="H123" s="10"/>
      <c r="I123" s="9">
        <f>Model_Data!A123</f>
        <v>0.5</v>
      </c>
      <c r="J123" s="9">
        <f>(Inputs!$C$51*(115*EXP(-(((Inputs!$C$6)-25)^2)/(4.5^2))+70*EXP(-(((Inputs!$C$6)+38)^2)/(7^2))*(0.55+0.45*SIN(2*PI()*(Model_Data!A123)/45))+24*SIN(2*PI()*(Inputs!$C$6)/9+(Model_Data!A123)/18)*EXP(-(((Inputs!$C$6)+5)^2)/(22^2))+18*SIN(2*PI()*(Model_Data!A123)/70))+Inputs!$C$28*EXP(-(((Model_Data!A123)-Inputs!$C$29)^2)/(2*Inputs!$C$31^2))*EXP(-(((Inputs!$C$6)-Inputs!$C$30)^2)/(2*Inputs!$C$32^2))+-Inputs!$C$33*EXP(-(((((Model_Data!A123)-Inputs!$C$34)^2)+(((Inputs!$C$6)-Inputs!$C$35)^2))/(2*Inputs!$C$36^2)))+Inputs!$C$37*(0.55*SIN(2*PI()*(Model_Data!A123)/Inputs!$C$39)+0.35*COS(2*PI()*(Inputs!$C$6)/Inputs!$C$40)+0.2*SIN(2*PI()*((Model_Data!A123)+(Inputs!$C$6))/(0.5*(Inputs!$C$39+Inputs!$C$40))))+Inputs!$C$38*SIN(2*PI()*(Model_Data!A123)/Inputs!$C$39)*SIN(2*PI()*(Inputs!$C$6)/Inputs!$C$40)+-Inputs!$C$41*EXP(-(((Inputs!$C$6)-Inputs!$C$43)^2)/(2*Inputs!$C$44^2))*EXP(-(((Model_Data!A123)-Inputs!$C$42)^2)/(2*Inputs!$C$45^2))+Inputs!$C$48*(0.7*(0.45*SIN(2*PI()*(((Model_Data!A123)/Inputs!$C$49)+Inputs!$C$47*0.137))+0.35*COS(2*PI()*(((Inputs!$C$6)/Inputs!$C$50)+Inputs!$C$47*0.173))+0.2*SIN(2*PI()*(((Model_Data!A123)+(Inputs!$C$6))/(0.5*(Inputs!$C$49+Inputs!$C$50))+Inputs!$C$47*0.097)))+0.3*(2*((SIN(((Model_Data!A123)*12.9898+(Inputs!$C$6)*78.233+Inputs!$C$47*37.719))*43758.5453)-INT((SIN(((Model_Data!A123)*12.9898+(Inputs!$C$6)*78.233+Inputs!$C$47*37.719))*43758.5453)))-1)))</f>
        <v>482.74518112800712</v>
      </c>
      <c r="K123" s="9">
        <f>-((((SQRT((Model_Data!A123)^2+Inputs!$C$6^2+((Model_Data!B123)-((Inputs!$C$51*(115*EXP(-(((Inputs!$C$6)-25)^2)/(4.5^2))+70*EXP(-(((Inputs!$C$6)+38)^2)/(7^2))*(0.55+0.45*SIN(2*PI()*(Model_Data!A123)/45))+24*SIN(2*PI()*(Inputs!$C$6)/9+(Model_Data!A123)/18)*EXP(-(((Inputs!$C$6)+5)^2)/(22^2))+18*SIN(2*PI()*(Model_Data!A123)/70))+Inputs!$C$28*EXP(-(((Model_Data!A123)-Inputs!$C$29)^2)/(2*Inputs!$C$31^2))*EXP(-(((Inputs!$C$6)-Inputs!$C$30)^2)/(2*Inputs!$C$32^2))+-Inputs!$C$33*EXP(-(((((Model_Data!A123)-Inputs!$C$34)^2)+(((Inputs!$C$6)-Inputs!$C$35)^2))/(2*Inputs!$C$36^2)))+Inputs!$C$37*(0.55*SIN(2*PI()*(Model_Data!A123)/Inputs!$C$39)+0.35*COS(2*PI()*(Inputs!$C$6)/Inputs!$C$40)+0.2*SIN(2*PI()*((Model_Data!A123)+(Inputs!$C$6))/(0.5*(Inputs!$C$39+Inputs!$C$40))))+Inputs!$C$38*SIN(2*PI()*(Model_Data!A123)/Inputs!$C$39)*SIN(2*PI()*(Inputs!$C$6)/Inputs!$C$40)+-Inputs!$C$41*EXP(-(((Inputs!$C$6)-Inputs!$C$43)^2)/(2*Inputs!$C$44^2))*EXP(-(((Model_Data!A123)-Inputs!$C$42)^2)/(2*Inputs!$C$45^2))+Inputs!$C$48*(0.7*(0.45*SIN(2*PI()*(((Model_Data!A123)/Inputs!$C$49)+Inputs!$C$47*0.137))+0.35*COS(2*PI()*(((Inputs!$C$6)/Inputs!$C$50)+Inputs!$C$47*0.173))+0.2*SIN(2*PI()*(((Model_Data!A123)+(Inputs!$C$6))/(0.5*(Inputs!$C$49+Inputs!$C$50))+Inputs!$C$47*0.097)))+0.3*(2*((SIN(((Model_Data!A123)*12.9898+(Inputs!$C$6)*78.233+Inputs!$C$47*37.719))*43758.5453)-INT((SIN(((Model_Data!A123)*12.9898+(Inputs!$C$6)*78.233+Inputs!$C$47*37.719))*43758.5453)))-1))))/1000)^2))-(((Model_Data!B123)-((Inputs!$C$51*(115*EXP(-(((0)-25)^2)/(4.5^2))+70*EXP(-(((0)+38)^2)/(7^2))*(0.55+0.45*SIN(2*PI()*(Model_Data!A123)/45))+24*SIN(2*PI()*(0)/9+(Model_Data!A123)/18)*EXP(-(((0)+5)^2)/(22^2))+18*SIN(2*PI()*(Model_Data!A123)/70))+Inputs!$C$28*EXP(-(((Model_Data!A123)-Inputs!$C$29)^2)/(2*Inputs!$C$31^2))*EXP(-(((0)-Inputs!$C$30)^2)/(2*Inputs!$C$32^2))+-Inputs!$C$33*EXP(-(((((Model_Data!A123)-Inputs!$C$34)^2)+(((0)-Inputs!$C$35)^2))/(2*Inputs!$C$36^2)))+Inputs!$C$37*(0.55*SIN(2*PI()*(Model_Data!A123)/Inputs!$C$39)+0.35*COS(2*PI()*(0)/Inputs!$C$40)+0.2*SIN(2*PI()*((Model_Data!A123)+(0))/(0.5*(Inputs!$C$39+Inputs!$C$40))))+Inputs!$C$38*SIN(2*PI()*(Model_Data!A123)/Inputs!$C$39)*SIN(2*PI()*(0)/Inputs!$C$40)+-Inputs!$C$41*EXP(-(((0)-Inputs!$C$43)^2)/(2*Inputs!$C$44^2))*EXP(-(((Model_Data!A123)-Inputs!$C$42)^2)/(2*Inputs!$C$45^2))+Inputs!$C$48*(0.7*(0.45*SIN(2*PI()*(((Model_Data!A123)/Inputs!$C$49)+Inputs!$C$47*0.137))+0.35*COS(2*PI()*(((0)/Inputs!$C$50)+Inputs!$C$47*0.173))+0.2*SIN(2*PI()*(((Model_Data!A123)+(0))/(0.5*(Inputs!$C$49+Inputs!$C$50))+Inputs!$C$47*0.097)))+0.3*(2*((SIN(((Model_Data!A123)*12.9898+(0)*78.233+Inputs!$C$47*37.719))*43758.5453)-INT((SIN(((Model_Data!A123)*12.9898+(0)*78.233+Inputs!$C$47*37.719))*43758.5453)))-1))))/1000)))*1000/Inputs!$C$12)-Model_Data!F123)</f>
        <v>269.40673984293636</v>
      </c>
      <c r="L123" s="10"/>
      <c r="M123" s="9">
        <f>Model_Data!A123</f>
        <v>0.5</v>
      </c>
      <c r="N123" s="9">
        <f>Model_Data!P123</f>
        <v>-3.7704165418803064</v>
      </c>
      <c r="O123" s="9">
        <f t="shared" si="2"/>
        <v>23.587402612974984</v>
      </c>
      <c r="P123" s="9">
        <f>Model_Data!Q123</f>
        <v>-0.56612860989193792</v>
      </c>
      <c r="Q123" s="9">
        <f t="shared" si="3"/>
        <v>3.5416520439902381</v>
      </c>
      <c r="R123" s="10"/>
      <c r="S123" s="9">
        <f>Model_Data!A123</f>
        <v>0.5</v>
      </c>
      <c r="T123" s="9">
        <f>Model_Data!B123-Inputs!$C$5</f>
        <v>2.7777777779647295E-4</v>
      </c>
      <c r="U123" s="10"/>
      <c r="V123" s="9">
        <f>Model_Data!A123</f>
        <v>0.5</v>
      </c>
      <c r="W123" s="9">
        <f>((SQRT((Model_Data!A123)^2+Inputs!$C$6^2+Inputs!$C$5^2)-Inputs!$C$5)*1000/Inputs!$C$12)</f>
        <v>438.65193165411739</v>
      </c>
      <c r="X123" s="9">
        <f>Model_Data!F123</f>
        <v>438.65162762840095</v>
      </c>
      <c r="Y123" s="10"/>
      <c r="Z123" s="9">
        <f>Model_Data!A123</f>
        <v>0.5</v>
      </c>
      <c r="AA123" s="9">
        <f>SQRT((Model_Data!A123)^2+Inputs!$C$6^2+((Model_Data!B123)-((Inputs!$C$51*(115*EXP(-(((Inputs!$C$6)-25)^2)/(4.5^2))+70*EXP(-(((Inputs!$C$6)+38)^2)/(7^2))*(0.55+0.45*SIN(2*PI()*(Model_Data!A123)/45))+24*SIN(2*PI()*(Inputs!$C$6)/9+(Model_Data!A123)/18)*EXP(-(((Inputs!$C$6)+5)^2)/(22^2))+18*SIN(2*PI()*(Model_Data!A123)/70))+Inputs!$C$28*EXP(-(((Model_Data!A123)-Inputs!$C$29)^2)/(2*Inputs!$C$31^2))*EXP(-(((Inputs!$C$6)-Inputs!$C$30)^2)/(2*Inputs!$C$32^2))+-Inputs!$C$33*EXP(-(((((Model_Data!A123)-Inputs!$C$34)^2)+(((Inputs!$C$6)-Inputs!$C$35)^2))/(2*Inputs!$C$36^2)))+Inputs!$C$37*(0.55*SIN(2*PI()*(Model_Data!A123)/Inputs!$C$39)+0.35*COS(2*PI()*(Inputs!$C$6)/Inputs!$C$40)+0.2*SIN(2*PI()*((Model_Data!A123)+(Inputs!$C$6))/(0.5*(Inputs!$C$39+Inputs!$C$40))))+Inputs!$C$38*SIN(2*PI()*(Model_Data!A123)/Inputs!$C$39)*SIN(2*PI()*(Inputs!$C$6)/Inputs!$C$40)+-Inputs!$C$41*EXP(-(((Inputs!$C$6)-Inputs!$C$43)^2)/(2*Inputs!$C$44^2))*EXP(-(((Model_Data!A123)-Inputs!$C$42)^2)/(2*Inputs!$C$45^2))+Inputs!$C$48*(0.7*(0.45*SIN(2*PI()*(((Model_Data!A123)/Inputs!$C$49)+Inputs!$C$47*0.137))+0.35*COS(2*PI()*(((Inputs!$C$6)/Inputs!$C$50)+Inputs!$C$47*0.173))+0.2*SIN(2*PI()*(((Model_Data!A123)+(Inputs!$C$6))/(0.5*(Inputs!$C$49+Inputs!$C$50))+Inputs!$C$47*0.097)))+0.3*(2*((SIN(((Model_Data!A123)*12.9898+(Inputs!$C$6)*78.233+Inputs!$C$47*37.719))*43758.5453)-INT((SIN(((Model_Data!A123)*12.9898+(Inputs!$C$6)*78.233+Inputs!$C$47*37.719))*43758.5453)))-1))))/1000)^2)</f>
        <v>400.2992741089036</v>
      </c>
      <c r="AB123" s="9">
        <f>1000*(AA124-AA122)/(Z124-Z122)*Inputs!$C$11</f>
        <v>-58.968506532437459</v>
      </c>
      <c r="AC123" s="9">
        <f>-2*AB123/Inputs!$C$13</f>
        <v>23.587402612974984</v>
      </c>
      <c r="AD123" s="9">
        <f>-2*AB123/Inputs!$C$14</f>
        <v>3.5416520439902381</v>
      </c>
    </row>
    <row r="124" spans="1:30">
      <c r="A124" s="9">
        <f>Model_Data!A124</f>
        <v>1</v>
      </c>
      <c r="B124" s="9">
        <f>((SQRT((Model_Data!A124)^2+Inputs!$C$6^2+Inputs!$C$5^2)-Inputs!$C$5)*1000/Inputs!$C$12)</f>
        <v>439.17759034625021</v>
      </c>
      <c r="C124" s="9">
        <f>Model_Data!F124</f>
        <v>439.17637279138631</v>
      </c>
      <c r="D124" s="9">
        <f>(((SQRT((Model_Data!A124)^2+Inputs!$C$6^2+((Model_Data!B124)-((Inputs!$C$51*(115*EXP(-(((Inputs!$C$6)-25)^2)/(4.5^2))+70*EXP(-(((Inputs!$C$6)+38)^2)/(7^2))*(0.55+0.45*SIN(2*PI()*(Model_Data!A124)/45))+24*SIN(2*PI()*(Inputs!$C$6)/9+(Model_Data!A124)/18)*EXP(-(((Inputs!$C$6)+5)^2)/(22^2))+18*SIN(2*PI()*(Model_Data!A124)/70))+Inputs!$C$28*EXP(-(((Model_Data!A124)-Inputs!$C$29)^2)/(2*Inputs!$C$31^2))*EXP(-(((Inputs!$C$6)-Inputs!$C$30)^2)/(2*Inputs!$C$32^2))+-Inputs!$C$33*EXP(-(((((Model_Data!A124)-Inputs!$C$34)^2)+(((Inputs!$C$6)-Inputs!$C$35)^2))/(2*Inputs!$C$36^2)))+Inputs!$C$37*(0.55*SIN(2*PI()*(Model_Data!A124)/Inputs!$C$39)+0.35*COS(2*PI()*(Inputs!$C$6)/Inputs!$C$40)+0.2*SIN(2*PI()*((Model_Data!A124)+(Inputs!$C$6))/(0.5*(Inputs!$C$39+Inputs!$C$40))))+Inputs!$C$38*SIN(2*PI()*(Model_Data!A124)/Inputs!$C$39)*SIN(2*PI()*(Inputs!$C$6)/Inputs!$C$40)+-Inputs!$C$41*EXP(-(((Inputs!$C$6)-Inputs!$C$43)^2)/(2*Inputs!$C$44^2))*EXP(-(((Model_Data!A124)-Inputs!$C$42)^2)/(2*Inputs!$C$45^2))+Inputs!$C$48*(0.7*(0.45*SIN(2*PI()*(((Model_Data!A124)/Inputs!$C$49)+Inputs!$C$47*0.137))+0.35*COS(2*PI()*(((Inputs!$C$6)/Inputs!$C$50)+Inputs!$C$47*0.173))+0.2*SIN(2*PI()*(((Model_Data!A124)+(Inputs!$C$6))/(0.5*(Inputs!$C$49+Inputs!$C$50))+Inputs!$C$47*0.097)))+0.3*(2*((SIN(((Model_Data!A124)*12.9898+(Inputs!$C$6)*78.233+Inputs!$C$47*37.719))*43758.5453)-INT((SIN(((Model_Data!A124)*12.9898+(Inputs!$C$6)*78.233+Inputs!$C$47*37.719))*43758.5453)))-1))))/1000)^2))-(((Model_Data!B124)-((Inputs!$C$51*(115*EXP(-(((0)-25)^2)/(4.5^2))+70*EXP(-(((0)+38)^2)/(7^2))*(0.55+0.45*SIN(2*PI()*(Model_Data!A124)/45))+24*SIN(2*PI()*(0)/9+(Model_Data!A124)/18)*EXP(-(((0)+5)^2)/(22^2))+18*SIN(2*PI()*(Model_Data!A124)/70))+Inputs!$C$28*EXP(-(((Model_Data!A124)-Inputs!$C$29)^2)/(2*Inputs!$C$31^2))*EXP(-(((0)-Inputs!$C$30)^2)/(2*Inputs!$C$32^2))+-Inputs!$C$33*EXP(-(((((Model_Data!A124)-Inputs!$C$34)^2)+(((0)-Inputs!$C$35)^2))/(2*Inputs!$C$36^2)))+Inputs!$C$37*(0.55*SIN(2*PI()*(Model_Data!A124)/Inputs!$C$39)+0.35*COS(2*PI()*(0)/Inputs!$C$40)+0.2*SIN(2*PI()*((Model_Data!A124)+(0))/(0.5*(Inputs!$C$39+Inputs!$C$40))))+Inputs!$C$38*SIN(2*PI()*(Model_Data!A124)/Inputs!$C$39)*SIN(2*PI()*(0)/Inputs!$C$40)+-Inputs!$C$41*EXP(-(((0)-Inputs!$C$43)^2)/(2*Inputs!$C$44^2))*EXP(-(((Model_Data!A124)-Inputs!$C$42)^2)/(2*Inputs!$C$45^2))+Inputs!$C$48*(0.7*(0.45*SIN(2*PI()*(((Model_Data!A124)/Inputs!$C$49)+Inputs!$C$47*0.137))+0.35*COS(2*PI()*(((0)/Inputs!$C$50)+Inputs!$C$47*0.173))+0.2*SIN(2*PI()*(((Model_Data!A124)+(0))/(0.5*(Inputs!$C$49+Inputs!$C$50))+Inputs!$C$47*0.097)))+0.3*(2*((SIN(((Model_Data!A124)*12.9898+(0)*78.233+Inputs!$C$47*37.719))*43758.5453)-INT((SIN(((Model_Data!A124)*12.9898+(0)*78.233+Inputs!$C$47*37.719))*43758.5453)))-1))))/1000)))*1000/Inputs!$C$12)</f>
        <v>184.38229417015694</v>
      </c>
      <c r="E124" s="9">
        <f>Model_Data!A124</f>
        <v>1</v>
      </c>
      <c r="F124" s="9">
        <f>(Inputs!$C$51*(115*EXP(-(((Inputs!$C$6)-25)^2)/(4.5^2))+70*EXP(-(((Inputs!$C$6)+38)^2)/(7^2))*(0.55+0.45*SIN(2*PI()*(Model_Data!A124)/45))+24*SIN(2*PI()*(Inputs!$C$6)/9+(Model_Data!A124)/18)*EXP(-(((Inputs!$C$6)+5)^2)/(22^2))+18*SIN(2*PI()*(Model_Data!A124)/70))+Inputs!$C$28*EXP(-(((Model_Data!A124)-Inputs!$C$29)^2)/(2*Inputs!$C$31^2))*EXP(-(((Inputs!$C$6)-Inputs!$C$30)^2)/(2*Inputs!$C$32^2))+-Inputs!$C$33*EXP(-(((((Model_Data!A124)-Inputs!$C$34)^2)+(((Inputs!$C$6)-Inputs!$C$35)^2))/(2*Inputs!$C$36^2)))+Inputs!$C$37*(0.55*SIN(2*PI()*(Model_Data!A124)/Inputs!$C$39)+0.35*COS(2*PI()*(Inputs!$C$6)/Inputs!$C$40)+0.2*SIN(2*PI()*((Model_Data!A124)+(Inputs!$C$6))/(0.5*(Inputs!$C$39+Inputs!$C$40))))+Inputs!$C$38*SIN(2*PI()*(Model_Data!A124)/Inputs!$C$39)*SIN(2*PI()*(Inputs!$C$6)/Inputs!$C$40)+-Inputs!$C$41*EXP(-(((Inputs!$C$6)-Inputs!$C$43)^2)/(2*Inputs!$C$44^2))*EXP(-(((Model_Data!A124)-Inputs!$C$42)^2)/(2*Inputs!$C$45^2))+Inputs!$C$48*(0.7*(0.45*SIN(2*PI()*(((Model_Data!A124)/Inputs!$C$49)+Inputs!$C$47*0.137))+0.35*COS(2*PI()*(((Inputs!$C$6)/Inputs!$C$50)+Inputs!$C$47*0.173))+0.2*SIN(2*PI()*(((Model_Data!A124)+(Inputs!$C$6))/(0.5*(Inputs!$C$49+Inputs!$C$50))+Inputs!$C$47*0.097)))+0.3*(2*((SIN(((Model_Data!A124)*12.9898+(Inputs!$C$6)*78.233+Inputs!$C$47*37.719))*43758.5453)-INT((SIN(((Model_Data!A124)*12.9898+(Inputs!$C$6)*78.233+Inputs!$C$47*37.719))*43758.5453)))-1)))</f>
        <v>497.58165314697214</v>
      </c>
      <c r="G124" s="9">
        <f>(Inputs!$C$51*(115*EXP(-(((0)-25)^2)/(4.5^2))+70*EXP(-(((0)+38)^2)/(7^2))*(0.55+0.45*SIN(2*PI()*(Model_Data!A124)/45))+24*SIN(2*PI()*(0)/9+(Model_Data!A124)/18)*EXP(-(((0)+5)^2)/(22^2))+18*SIN(2*PI()*(Model_Data!A124)/70))+Inputs!$C$28*EXP(-(((Model_Data!A124)-Inputs!$C$29)^2)/(2*Inputs!$C$31^2))*EXP(-(((0)-Inputs!$C$30)^2)/(2*Inputs!$C$32^2))+-Inputs!$C$33*EXP(-(((((Model_Data!A124)-Inputs!$C$34)^2)+(((0)-Inputs!$C$35)^2))/(2*Inputs!$C$36^2)))+Inputs!$C$37*(0.55*SIN(2*PI()*(Model_Data!A124)/Inputs!$C$39)+0.35*COS(2*PI()*(0)/Inputs!$C$40)+0.2*SIN(2*PI()*((Model_Data!A124)+(0))/(0.5*(Inputs!$C$39+Inputs!$C$40))))+Inputs!$C$38*SIN(2*PI()*(Model_Data!A124)/Inputs!$C$39)*SIN(2*PI()*(0)/Inputs!$C$40)+-Inputs!$C$41*EXP(-(((0)-Inputs!$C$43)^2)/(2*Inputs!$C$44^2))*EXP(-(((Model_Data!A124)-Inputs!$C$42)^2)/(2*Inputs!$C$45^2))+Inputs!$C$48*(0.7*(0.45*SIN(2*PI()*(((Model_Data!A124)/Inputs!$C$49)+Inputs!$C$47*0.137))+0.35*COS(2*PI()*(((0)/Inputs!$C$50)+Inputs!$C$47*0.173))+0.2*SIN(2*PI()*(((Model_Data!A124)+(0))/(0.5*(Inputs!$C$49+Inputs!$C$50))+Inputs!$C$47*0.097)))+0.3*(2*((SIN(((Model_Data!A124)*12.9898+(0)*78.233+Inputs!$C$47*37.719))*43758.5453)-INT((SIN(((Model_Data!A124)*12.9898+(0)*78.233+Inputs!$C$47*37.719))*43758.5453)))-1)))</f>
        <v>43.076446221267872</v>
      </c>
      <c r="H124" s="10"/>
      <c r="I124" s="9">
        <f>Model_Data!A124</f>
        <v>1</v>
      </c>
      <c r="J124" s="9">
        <f>(Inputs!$C$51*(115*EXP(-(((Inputs!$C$6)-25)^2)/(4.5^2))+70*EXP(-(((Inputs!$C$6)+38)^2)/(7^2))*(0.55+0.45*SIN(2*PI()*(Model_Data!A124)/45))+24*SIN(2*PI()*(Inputs!$C$6)/9+(Model_Data!A124)/18)*EXP(-(((Inputs!$C$6)+5)^2)/(22^2))+18*SIN(2*PI()*(Model_Data!A124)/70))+Inputs!$C$28*EXP(-(((Model_Data!A124)-Inputs!$C$29)^2)/(2*Inputs!$C$31^2))*EXP(-(((Inputs!$C$6)-Inputs!$C$30)^2)/(2*Inputs!$C$32^2))+-Inputs!$C$33*EXP(-(((((Model_Data!A124)-Inputs!$C$34)^2)+(((Inputs!$C$6)-Inputs!$C$35)^2))/(2*Inputs!$C$36^2)))+Inputs!$C$37*(0.55*SIN(2*PI()*(Model_Data!A124)/Inputs!$C$39)+0.35*COS(2*PI()*(Inputs!$C$6)/Inputs!$C$40)+0.2*SIN(2*PI()*((Model_Data!A124)+(Inputs!$C$6))/(0.5*(Inputs!$C$39+Inputs!$C$40))))+Inputs!$C$38*SIN(2*PI()*(Model_Data!A124)/Inputs!$C$39)*SIN(2*PI()*(Inputs!$C$6)/Inputs!$C$40)+-Inputs!$C$41*EXP(-(((Inputs!$C$6)-Inputs!$C$43)^2)/(2*Inputs!$C$44^2))*EXP(-(((Model_Data!A124)-Inputs!$C$42)^2)/(2*Inputs!$C$45^2))+Inputs!$C$48*(0.7*(0.45*SIN(2*PI()*(((Model_Data!A124)/Inputs!$C$49)+Inputs!$C$47*0.137))+0.35*COS(2*PI()*(((Inputs!$C$6)/Inputs!$C$50)+Inputs!$C$47*0.173))+0.2*SIN(2*PI()*(((Model_Data!A124)+(Inputs!$C$6))/(0.5*(Inputs!$C$49+Inputs!$C$50))+Inputs!$C$47*0.097)))+0.3*(2*((SIN(((Model_Data!A124)*12.9898+(Inputs!$C$6)*78.233+Inputs!$C$47*37.719))*43758.5453)-INT((SIN(((Model_Data!A124)*12.9898+(Inputs!$C$6)*78.233+Inputs!$C$47*37.719))*43758.5453)))-1)))</f>
        <v>497.58165314697214</v>
      </c>
      <c r="K124" s="9">
        <f>-((((SQRT((Model_Data!A124)^2+Inputs!$C$6^2+((Model_Data!B124)-((Inputs!$C$51*(115*EXP(-(((Inputs!$C$6)-25)^2)/(4.5^2))+70*EXP(-(((Inputs!$C$6)+38)^2)/(7^2))*(0.55+0.45*SIN(2*PI()*(Model_Data!A124)/45))+24*SIN(2*PI()*(Inputs!$C$6)/9+(Model_Data!A124)/18)*EXP(-(((Inputs!$C$6)+5)^2)/(22^2))+18*SIN(2*PI()*(Model_Data!A124)/70))+Inputs!$C$28*EXP(-(((Model_Data!A124)-Inputs!$C$29)^2)/(2*Inputs!$C$31^2))*EXP(-(((Inputs!$C$6)-Inputs!$C$30)^2)/(2*Inputs!$C$32^2))+-Inputs!$C$33*EXP(-(((((Model_Data!A124)-Inputs!$C$34)^2)+(((Inputs!$C$6)-Inputs!$C$35)^2))/(2*Inputs!$C$36^2)))+Inputs!$C$37*(0.55*SIN(2*PI()*(Model_Data!A124)/Inputs!$C$39)+0.35*COS(2*PI()*(Inputs!$C$6)/Inputs!$C$40)+0.2*SIN(2*PI()*((Model_Data!A124)+(Inputs!$C$6))/(0.5*(Inputs!$C$39+Inputs!$C$40))))+Inputs!$C$38*SIN(2*PI()*(Model_Data!A124)/Inputs!$C$39)*SIN(2*PI()*(Inputs!$C$6)/Inputs!$C$40)+-Inputs!$C$41*EXP(-(((Inputs!$C$6)-Inputs!$C$43)^2)/(2*Inputs!$C$44^2))*EXP(-(((Model_Data!A124)-Inputs!$C$42)^2)/(2*Inputs!$C$45^2))+Inputs!$C$48*(0.7*(0.45*SIN(2*PI()*(((Model_Data!A124)/Inputs!$C$49)+Inputs!$C$47*0.137))+0.35*COS(2*PI()*(((Inputs!$C$6)/Inputs!$C$50)+Inputs!$C$47*0.173))+0.2*SIN(2*PI()*(((Model_Data!A124)+(Inputs!$C$6))/(0.5*(Inputs!$C$49+Inputs!$C$50))+Inputs!$C$47*0.097)))+0.3*(2*((SIN(((Model_Data!A124)*12.9898+(Inputs!$C$6)*78.233+Inputs!$C$47*37.719))*43758.5453)-INT((SIN(((Model_Data!A124)*12.9898+(Inputs!$C$6)*78.233+Inputs!$C$47*37.719))*43758.5453)))-1))))/1000)^2))-(((Model_Data!B124)-((Inputs!$C$51*(115*EXP(-(((0)-25)^2)/(4.5^2))+70*EXP(-(((0)+38)^2)/(7^2))*(0.55+0.45*SIN(2*PI()*(Model_Data!A124)/45))+24*SIN(2*PI()*(0)/9+(Model_Data!A124)/18)*EXP(-(((0)+5)^2)/(22^2))+18*SIN(2*PI()*(Model_Data!A124)/70))+Inputs!$C$28*EXP(-(((Model_Data!A124)-Inputs!$C$29)^2)/(2*Inputs!$C$31^2))*EXP(-(((0)-Inputs!$C$30)^2)/(2*Inputs!$C$32^2))+-Inputs!$C$33*EXP(-(((((Model_Data!A124)-Inputs!$C$34)^2)+(((0)-Inputs!$C$35)^2))/(2*Inputs!$C$36^2)))+Inputs!$C$37*(0.55*SIN(2*PI()*(Model_Data!A124)/Inputs!$C$39)+0.35*COS(2*PI()*(0)/Inputs!$C$40)+0.2*SIN(2*PI()*((Model_Data!A124)+(0))/(0.5*(Inputs!$C$39+Inputs!$C$40))))+Inputs!$C$38*SIN(2*PI()*(Model_Data!A124)/Inputs!$C$39)*SIN(2*PI()*(0)/Inputs!$C$40)+-Inputs!$C$41*EXP(-(((0)-Inputs!$C$43)^2)/(2*Inputs!$C$44^2))*EXP(-(((Model_Data!A124)-Inputs!$C$42)^2)/(2*Inputs!$C$45^2))+Inputs!$C$48*(0.7*(0.45*SIN(2*PI()*(((Model_Data!A124)/Inputs!$C$49)+Inputs!$C$47*0.137))+0.35*COS(2*PI()*(((0)/Inputs!$C$50)+Inputs!$C$47*0.173))+0.2*SIN(2*PI()*(((Model_Data!A124)+(0))/(0.5*(Inputs!$C$49+Inputs!$C$50))+Inputs!$C$47*0.097)))+0.3*(2*((SIN(((Model_Data!A124)*12.9898+(0)*78.233+Inputs!$C$47*37.719))*43758.5453)-INT((SIN(((Model_Data!A124)*12.9898+(0)*78.233+Inputs!$C$47*37.719))*43758.5453)))-1))))/1000)))*1000/Inputs!$C$12)-Model_Data!F124)</f>
        <v>254.79407862122937</v>
      </c>
      <c r="L124" s="10"/>
      <c r="M124" s="9">
        <f>Model_Data!A124</f>
        <v>1</v>
      </c>
      <c r="N124" s="9">
        <f>Model_Data!P124</f>
        <v>-7.5408072229917336</v>
      </c>
      <c r="O124" s="9">
        <f t="shared" si="2"/>
        <v>46.937750908273301</v>
      </c>
      <c r="P124" s="9">
        <f>Model_Data!Q124</f>
        <v>-1.1322533367855456</v>
      </c>
      <c r="Q124" s="9">
        <f t="shared" si="3"/>
        <v>7.047710346587583</v>
      </c>
      <c r="R124" s="10"/>
      <c r="S124" s="9">
        <f>Model_Data!A124</f>
        <v>1</v>
      </c>
      <c r="T124" s="9">
        <f>Model_Data!B124-Inputs!$C$5</f>
        <v>1.1111111111290484E-3</v>
      </c>
      <c r="U124" s="10"/>
      <c r="V124" s="9">
        <f>Model_Data!A124</f>
        <v>1</v>
      </c>
      <c r="W124" s="9">
        <f>((SQRT((Model_Data!A124)^2+Inputs!$C$6^2+Inputs!$C$5^2)-Inputs!$C$5)*1000/Inputs!$C$12)</f>
        <v>439.17759034625021</v>
      </c>
      <c r="X124" s="9">
        <f>Model_Data!F124</f>
        <v>439.17637279138631</v>
      </c>
      <c r="Y124" s="10"/>
      <c r="Z124" s="9">
        <f>Model_Data!A124</f>
        <v>1</v>
      </c>
      <c r="AA124" s="9">
        <f>SQRT((Model_Data!A124)^2+Inputs!$C$6^2+((Model_Data!B124)-((Inputs!$C$51*(115*EXP(-(((Inputs!$C$6)-25)^2)/(4.5^2))+70*EXP(-(((Inputs!$C$6)+38)^2)/(7^2))*(0.55+0.45*SIN(2*PI()*(Model_Data!A124)/45))+24*SIN(2*PI()*(Inputs!$C$6)/9+(Model_Data!A124)/18)*EXP(-(((Inputs!$C$6)+5)^2)/(22^2))+18*SIN(2*PI()*(Model_Data!A124)/70))+Inputs!$C$28*EXP(-(((Model_Data!A124)-Inputs!$C$29)^2)/(2*Inputs!$C$31^2))*EXP(-(((Inputs!$C$6)-Inputs!$C$30)^2)/(2*Inputs!$C$32^2))+-Inputs!$C$33*EXP(-(((((Model_Data!A124)-Inputs!$C$34)^2)+(((Inputs!$C$6)-Inputs!$C$35)^2))/(2*Inputs!$C$36^2)))+Inputs!$C$37*(0.55*SIN(2*PI()*(Model_Data!A124)/Inputs!$C$39)+0.35*COS(2*PI()*(Inputs!$C$6)/Inputs!$C$40)+0.2*SIN(2*PI()*((Model_Data!A124)+(Inputs!$C$6))/(0.5*(Inputs!$C$39+Inputs!$C$40))))+Inputs!$C$38*SIN(2*PI()*(Model_Data!A124)/Inputs!$C$39)*SIN(2*PI()*(Inputs!$C$6)/Inputs!$C$40)+-Inputs!$C$41*EXP(-(((Inputs!$C$6)-Inputs!$C$43)^2)/(2*Inputs!$C$44^2))*EXP(-(((Model_Data!A124)-Inputs!$C$42)^2)/(2*Inputs!$C$45^2))+Inputs!$C$48*(0.7*(0.45*SIN(2*PI()*(((Model_Data!A124)/Inputs!$C$49)+Inputs!$C$47*0.137))+0.35*COS(2*PI()*(((Inputs!$C$6)/Inputs!$C$50)+Inputs!$C$47*0.173))+0.2*SIN(2*PI()*(((Model_Data!A124)+(Inputs!$C$6))/(0.5*(Inputs!$C$49+Inputs!$C$50))+Inputs!$C$47*0.097)))+0.3*(2*((SIN(((Model_Data!A124)*12.9898+(Inputs!$C$6)*78.233+Inputs!$C$47*37.719))*43758.5453)-INT((SIN(((Model_Data!A124)*12.9898+(Inputs!$C$6)*78.233+Inputs!$C$47*37.719))*43758.5453)))-1))))/1000)^2)</f>
        <v>400.28623514851273</v>
      </c>
      <c r="AB124" s="9">
        <f>1000*(AA125-AA123)/(Z125-Z123)*Inputs!$C$11</f>
        <v>-117.34437727068325</v>
      </c>
      <c r="AC124" s="9">
        <f>-2*AB124/Inputs!$C$13</f>
        <v>46.937750908273301</v>
      </c>
      <c r="AD124" s="9">
        <f>-2*AB124/Inputs!$C$14</f>
        <v>7.047710346587583</v>
      </c>
    </row>
    <row r="125" spans="1:30">
      <c r="A125" s="9">
        <f>Model_Data!A125</f>
        <v>1.5</v>
      </c>
      <c r="B125" s="9">
        <f>((SQRT((Model_Data!A125)^2+Inputs!$C$6^2+Inputs!$C$5^2)-Inputs!$C$5)*1000/Inputs!$C$12)</f>
        <v>440.05368543930746</v>
      </c>
      <c r="C125" s="9">
        <f>Model_Data!F125</f>
        <v>440.05094049615832</v>
      </c>
      <c r="D125" s="9">
        <f>(((SQRT((Model_Data!A125)^2+Inputs!$C$6^2+((Model_Data!B125)-((Inputs!$C$51*(115*EXP(-(((Inputs!$C$6)-25)^2)/(4.5^2))+70*EXP(-(((Inputs!$C$6)+38)^2)/(7^2))*(0.55+0.45*SIN(2*PI()*(Model_Data!A125)/45))+24*SIN(2*PI()*(Inputs!$C$6)/9+(Model_Data!A125)/18)*EXP(-(((Inputs!$C$6)+5)^2)/(22^2))+18*SIN(2*PI()*(Model_Data!A125)/70))+Inputs!$C$28*EXP(-(((Model_Data!A125)-Inputs!$C$29)^2)/(2*Inputs!$C$31^2))*EXP(-(((Inputs!$C$6)-Inputs!$C$30)^2)/(2*Inputs!$C$32^2))+-Inputs!$C$33*EXP(-(((((Model_Data!A125)-Inputs!$C$34)^2)+(((Inputs!$C$6)-Inputs!$C$35)^2))/(2*Inputs!$C$36^2)))+Inputs!$C$37*(0.55*SIN(2*PI()*(Model_Data!A125)/Inputs!$C$39)+0.35*COS(2*PI()*(Inputs!$C$6)/Inputs!$C$40)+0.2*SIN(2*PI()*((Model_Data!A125)+(Inputs!$C$6))/(0.5*(Inputs!$C$39+Inputs!$C$40))))+Inputs!$C$38*SIN(2*PI()*(Model_Data!A125)/Inputs!$C$39)*SIN(2*PI()*(Inputs!$C$6)/Inputs!$C$40)+-Inputs!$C$41*EXP(-(((Inputs!$C$6)-Inputs!$C$43)^2)/(2*Inputs!$C$44^2))*EXP(-(((Model_Data!A125)-Inputs!$C$42)^2)/(2*Inputs!$C$45^2))+Inputs!$C$48*(0.7*(0.45*SIN(2*PI()*(((Model_Data!A125)/Inputs!$C$49)+Inputs!$C$47*0.137))+0.35*COS(2*PI()*(((Inputs!$C$6)/Inputs!$C$50)+Inputs!$C$47*0.173))+0.2*SIN(2*PI()*(((Model_Data!A125)+(Inputs!$C$6))/(0.5*(Inputs!$C$49+Inputs!$C$50))+Inputs!$C$47*0.097)))+0.3*(2*((SIN(((Model_Data!A125)*12.9898+(Inputs!$C$6)*78.233+Inputs!$C$47*37.719))*43758.5453)-INT((SIN(((Model_Data!A125)*12.9898+(Inputs!$C$6)*78.233+Inputs!$C$47*37.719))*43758.5453)))-1))))/1000)^2))-(((Model_Data!B125)-((Inputs!$C$51*(115*EXP(-(((0)-25)^2)/(4.5^2))+70*EXP(-(((0)+38)^2)/(7^2))*(0.55+0.45*SIN(2*PI()*(Model_Data!A125)/45))+24*SIN(2*PI()*(0)/9+(Model_Data!A125)/18)*EXP(-(((0)+5)^2)/(22^2))+18*SIN(2*PI()*(Model_Data!A125)/70))+Inputs!$C$28*EXP(-(((Model_Data!A125)-Inputs!$C$29)^2)/(2*Inputs!$C$31^2))*EXP(-(((0)-Inputs!$C$30)^2)/(2*Inputs!$C$32^2))+-Inputs!$C$33*EXP(-(((((Model_Data!A125)-Inputs!$C$34)^2)+(((0)-Inputs!$C$35)^2))/(2*Inputs!$C$36^2)))+Inputs!$C$37*(0.55*SIN(2*PI()*(Model_Data!A125)/Inputs!$C$39)+0.35*COS(2*PI()*(0)/Inputs!$C$40)+0.2*SIN(2*PI()*((Model_Data!A125)+(0))/(0.5*(Inputs!$C$39+Inputs!$C$40))))+Inputs!$C$38*SIN(2*PI()*(Model_Data!A125)/Inputs!$C$39)*SIN(2*PI()*(0)/Inputs!$C$40)+-Inputs!$C$41*EXP(-(((0)-Inputs!$C$43)^2)/(2*Inputs!$C$44^2))*EXP(-(((Model_Data!A125)-Inputs!$C$42)^2)/(2*Inputs!$C$45^2))+Inputs!$C$48*(0.7*(0.45*SIN(2*PI()*(((Model_Data!A125)/Inputs!$C$49)+Inputs!$C$47*0.137))+0.35*COS(2*PI()*(((0)/Inputs!$C$50)+Inputs!$C$47*0.173))+0.2*SIN(2*PI()*(((Model_Data!A125)+(0))/(0.5*(Inputs!$C$49+Inputs!$C$50))+Inputs!$C$47*0.097)))+0.3*(2*((SIN(((Model_Data!A125)*12.9898+(0)*78.233+Inputs!$C$47*37.719))*43758.5453)-INT((SIN(((Model_Data!A125)*12.9898+(0)*78.233+Inputs!$C$47*37.719))*43758.5453)))-1))))/1000)))*1000/Inputs!$C$12)</f>
        <v>176.54661203058427</v>
      </c>
      <c r="E125" s="9">
        <f>Model_Data!A125</f>
        <v>1.5</v>
      </c>
      <c r="F125" s="9">
        <f>(Inputs!$C$51*(115*EXP(-(((Inputs!$C$6)-25)^2)/(4.5^2))+70*EXP(-(((Inputs!$C$6)+38)^2)/(7^2))*(0.55+0.45*SIN(2*PI()*(Model_Data!A125)/45))+24*SIN(2*PI()*(Inputs!$C$6)/9+(Model_Data!A125)/18)*EXP(-(((Inputs!$C$6)+5)^2)/(22^2))+18*SIN(2*PI()*(Model_Data!A125)/70))+Inputs!$C$28*EXP(-(((Model_Data!A125)-Inputs!$C$29)^2)/(2*Inputs!$C$31^2))*EXP(-(((Inputs!$C$6)-Inputs!$C$30)^2)/(2*Inputs!$C$32^2))+-Inputs!$C$33*EXP(-(((((Model_Data!A125)-Inputs!$C$34)^2)+(((Inputs!$C$6)-Inputs!$C$35)^2))/(2*Inputs!$C$36^2)))+Inputs!$C$37*(0.55*SIN(2*PI()*(Model_Data!A125)/Inputs!$C$39)+0.35*COS(2*PI()*(Inputs!$C$6)/Inputs!$C$40)+0.2*SIN(2*PI()*((Model_Data!A125)+(Inputs!$C$6))/(0.5*(Inputs!$C$39+Inputs!$C$40))))+Inputs!$C$38*SIN(2*PI()*(Model_Data!A125)/Inputs!$C$39)*SIN(2*PI()*(Inputs!$C$6)/Inputs!$C$40)+-Inputs!$C$41*EXP(-(((Inputs!$C$6)-Inputs!$C$43)^2)/(2*Inputs!$C$44^2))*EXP(-(((Model_Data!A125)-Inputs!$C$42)^2)/(2*Inputs!$C$45^2))+Inputs!$C$48*(0.7*(0.45*SIN(2*PI()*(((Model_Data!A125)/Inputs!$C$49)+Inputs!$C$47*0.137))+0.35*COS(2*PI()*(((Inputs!$C$6)/Inputs!$C$50)+Inputs!$C$47*0.173))+0.2*SIN(2*PI()*(((Model_Data!A125)+(Inputs!$C$6))/(0.5*(Inputs!$C$49+Inputs!$C$50))+Inputs!$C$47*0.097)))+0.3*(2*((SIN(((Model_Data!A125)*12.9898+(Inputs!$C$6)*78.233+Inputs!$C$47*37.719))*43758.5453)-INT((SIN(((Model_Data!A125)*12.9898+(Inputs!$C$6)*78.233+Inputs!$C$47*37.719))*43758.5453)))-1)))</f>
        <v>516.864115303311</v>
      </c>
      <c r="G125" s="9">
        <f>(Inputs!$C$51*(115*EXP(-(((0)-25)^2)/(4.5^2))+70*EXP(-(((0)+38)^2)/(7^2))*(0.55+0.45*SIN(2*PI()*(Model_Data!A125)/45))+24*SIN(2*PI()*(0)/9+(Model_Data!A125)/18)*EXP(-(((0)+5)^2)/(22^2))+18*SIN(2*PI()*(Model_Data!A125)/70))+Inputs!$C$28*EXP(-(((Model_Data!A125)-Inputs!$C$29)^2)/(2*Inputs!$C$31^2))*EXP(-(((0)-Inputs!$C$30)^2)/(2*Inputs!$C$32^2))+-Inputs!$C$33*EXP(-(((((Model_Data!A125)-Inputs!$C$34)^2)+(((0)-Inputs!$C$35)^2))/(2*Inputs!$C$36^2)))+Inputs!$C$37*(0.55*SIN(2*PI()*(Model_Data!A125)/Inputs!$C$39)+0.35*COS(2*PI()*(0)/Inputs!$C$40)+0.2*SIN(2*PI()*((Model_Data!A125)+(0))/(0.5*(Inputs!$C$39+Inputs!$C$40))))+Inputs!$C$38*SIN(2*PI()*(Model_Data!A125)/Inputs!$C$39)*SIN(2*PI()*(0)/Inputs!$C$40)+-Inputs!$C$41*EXP(-(((0)-Inputs!$C$43)^2)/(2*Inputs!$C$44^2))*EXP(-(((Model_Data!A125)-Inputs!$C$42)^2)/(2*Inputs!$C$45^2))+Inputs!$C$48*(0.7*(0.45*SIN(2*PI()*(((Model_Data!A125)/Inputs!$C$49)+Inputs!$C$47*0.137))+0.35*COS(2*PI()*(((0)/Inputs!$C$50)+Inputs!$C$47*0.173))+0.2*SIN(2*PI()*(((Model_Data!A125)+(0))/(0.5*(Inputs!$C$49+Inputs!$C$50))+Inputs!$C$47*0.097)))+0.3*(2*((SIN(((Model_Data!A125)*12.9898+(0)*78.233+Inputs!$C$47*37.719))*43758.5453)-INT((SIN(((Model_Data!A125)*12.9898+(0)*78.233+Inputs!$C$47*37.719))*43758.5453)))-1)))</f>
        <v>46.814954828478903</v>
      </c>
      <c r="H125" s="10"/>
      <c r="I125" s="9">
        <f>Model_Data!A125</f>
        <v>1.5</v>
      </c>
      <c r="J125" s="9">
        <f>(Inputs!$C$51*(115*EXP(-(((Inputs!$C$6)-25)^2)/(4.5^2))+70*EXP(-(((Inputs!$C$6)+38)^2)/(7^2))*(0.55+0.45*SIN(2*PI()*(Model_Data!A125)/45))+24*SIN(2*PI()*(Inputs!$C$6)/9+(Model_Data!A125)/18)*EXP(-(((Inputs!$C$6)+5)^2)/(22^2))+18*SIN(2*PI()*(Model_Data!A125)/70))+Inputs!$C$28*EXP(-(((Model_Data!A125)-Inputs!$C$29)^2)/(2*Inputs!$C$31^2))*EXP(-(((Inputs!$C$6)-Inputs!$C$30)^2)/(2*Inputs!$C$32^2))+-Inputs!$C$33*EXP(-(((((Model_Data!A125)-Inputs!$C$34)^2)+(((Inputs!$C$6)-Inputs!$C$35)^2))/(2*Inputs!$C$36^2)))+Inputs!$C$37*(0.55*SIN(2*PI()*(Model_Data!A125)/Inputs!$C$39)+0.35*COS(2*PI()*(Inputs!$C$6)/Inputs!$C$40)+0.2*SIN(2*PI()*((Model_Data!A125)+(Inputs!$C$6))/(0.5*(Inputs!$C$39+Inputs!$C$40))))+Inputs!$C$38*SIN(2*PI()*(Model_Data!A125)/Inputs!$C$39)*SIN(2*PI()*(Inputs!$C$6)/Inputs!$C$40)+-Inputs!$C$41*EXP(-(((Inputs!$C$6)-Inputs!$C$43)^2)/(2*Inputs!$C$44^2))*EXP(-(((Model_Data!A125)-Inputs!$C$42)^2)/(2*Inputs!$C$45^2))+Inputs!$C$48*(0.7*(0.45*SIN(2*PI()*(((Model_Data!A125)/Inputs!$C$49)+Inputs!$C$47*0.137))+0.35*COS(2*PI()*(((Inputs!$C$6)/Inputs!$C$50)+Inputs!$C$47*0.173))+0.2*SIN(2*PI()*(((Model_Data!A125)+(Inputs!$C$6))/(0.5*(Inputs!$C$49+Inputs!$C$50))+Inputs!$C$47*0.097)))+0.3*(2*((SIN(((Model_Data!A125)*12.9898+(Inputs!$C$6)*78.233+Inputs!$C$47*37.719))*43758.5453)-INT((SIN(((Model_Data!A125)*12.9898+(Inputs!$C$6)*78.233+Inputs!$C$47*37.719))*43758.5453)))-1)))</f>
        <v>516.864115303311</v>
      </c>
      <c r="K125" s="9">
        <f>-((((SQRT((Model_Data!A125)^2+Inputs!$C$6^2+((Model_Data!B125)-((Inputs!$C$51*(115*EXP(-(((Inputs!$C$6)-25)^2)/(4.5^2))+70*EXP(-(((Inputs!$C$6)+38)^2)/(7^2))*(0.55+0.45*SIN(2*PI()*(Model_Data!A125)/45))+24*SIN(2*PI()*(Inputs!$C$6)/9+(Model_Data!A125)/18)*EXP(-(((Inputs!$C$6)+5)^2)/(22^2))+18*SIN(2*PI()*(Model_Data!A125)/70))+Inputs!$C$28*EXP(-(((Model_Data!A125)-Inputs!$C$29)^2)/(2*Inputs!$C$31^2))*EXP(-(((Inputs!$C$6)-Inputs!$C$30)^2)/(2*Inputs!$C$32^2))+-Inputs!$C$33*EXP(-(((((Model_Data!A125)-Inputs!$C$34)^2)+(((Inputs!$C$6)-Inputs!$C$35)^2))/(2*Inputs!$C$36^2)))+Inputs!$C$37*(0.55*SIN(2*PI()*(Model_Data!A125)/Inputs!$C$39)+0.35*COS(2*PI()*(Inputs!$C$6)/Inputs!$C$40)+0.2*SIN(2*PI()*((Model_Data!A125)+(Inputs!$C$6))/(0.5*(Inputs!$C$39+Inputs!$C$40))))+Inputs!$C$38*SIN(2*PI()*(Model_Data!A125)/Inputs!$C$39)*SIN(2*PI()*(Inputs!$C$6)/Inputs!$C$40)+-Inputs!$C$41*EXP(-(((Inputs!$C$6)-Inputs!$C$43)^2)/(2*Inputs!$C$44^2))*EXP(-(((Model_Data!A125)-Inputs!$C$42)^2)/(2*Inputs!$C$45^2))+Inputs!$C$48*(0.7*(0.45*SIN(2*PI()*(((Model_Data!A125)/Inputs!$C$49)+Inputs!$C$47*0.137))+0.35*COS(2*PI()*(((Inputs!$C$6)/Inputs!$C$50)+Inputs!$C$47*0.173))+0.2*SIN(2*PI()*(((Model_Data!A125)+(Inputs!$C$6))/(0.5*(Inputs!$C$49+Inputs!$C$50))+Inputs!$C$47*0.097)))+0.3*(2*((SIN(((Model_Data!A125)*12.9898+(Inputs!$C$6)*78.233+Inputs!$C$47*37.719))*43758.5453)-INT((SIN(((Model_Data!A125)*12.9898+(Inputs!$C$6)*78.233+Inputs!$C$47*37.719))*43758.5453)))-1))))/1000)^2))-(((Model_Data!B125)-((Inputs!$C$51*(115*EXP(-(((0)-25)^2)/(4.5^2))+70*EXP(-(((0)+38)^2)/(7^2))*(0.55+0.45*SIN(2*PI()*(Model_Data!A125)/45))+24*SIN(2*PI()*(0)/9+(Model_Data!A125)/18)*EXP(-(((0)+5)^2)/(22^2))+18*SIN(2*PI()*(Model_Data!A125)/70))+Inputs!$C$28*EXP(-(((Model_Data!A125)-Inputs!$C$29)^2)/(2*Inputs!$C$31^2))*EXP(-(((0)-Inputs!$C$30)^2)/(2*Inputs!$C$32^2))+-Inputs!$C$33*EXP(-(((((Model_Data!A125)-Inputs!$C$34)^2)+(((0)-Inputs!$C$35)^2))/(2*Inputs!$C$36^2)))+Inputs!$C$37*(0.55*SIN(2*PI()*(Model_Data!A125)/Inputs!$C$39)+0.35*COS(2*PI()*(0)/Inputs!$C$40)+0.2*SIN(2*PI()*((Model_Data!A125)+(0))/(0.5*(Inputs!$C$39+Inputs!$C$40))))+Inputs!$C$38*SIN(2*PI()*(Model_Data!A125)/Inputs!$C$39)*SIN(2*PI()*(0)/Inputs!$C$40)+-Inputs!$C$41*EXP(-(((0)-Inputs!$C$43)^2)/(2*Inputs!$C$44^2))*EXP(-(((Model_Data!A125)-Inputs!$C$42)^2)/(2*Inputs!$C$45^2))+Inputs!$C$48*(0.7*(0.45*SIN(2*PI()*(((Model_Data!A125)/Inputs!$C$49)+Inputs!$C$47*0.137))+0.35*COS(2*PI()*(((0)/Inputs!$C$50)+Inputs!$C$47*0.173))+0.2*SIN(2*PI()*(((Model_Data!A125)+(0))/(0.5*(Inputs!$C$49+Inputs!$C$50))+Inputs!$C$47*0.097)))+0.3*(2*((SIN(((Model_Data!A125)*12.9898+(0)*78.233+Inputs!$C$47*37.719))*43758.5453)-INT((SIN(((Model_Data!A125)*12.9898+(0)*78.233+Inputs!$C$47*37.719))*43758.5453)))-1))))/1000)))*1000/Inputs!$C$12)-Model_Data!F125)</f>
        <v>263.50432846557408</v>
      </c>
      <c r="L125" s="10"/>
      <c r="M125" s="9">
        <f>Model_Data!A125</f>
        <v>1.5</v>
      </c>
      <c r="N125" s="9">
        <f>Model_Data!P125</f>
        <v>-11.311146183705798</v>
      </c>
      <c r="O125" s="9">
        <f t="shared" si="2"/>
        <v>47.645109832774324</v>
      </c>
      <c r="P125" s="9">
        <f>Model_Data!Q125</f>
        <v>-1.6983702978537236</v>
      </c>
      <c r="Q125" s="9">
        <f t="shared" si="3"/>
        <v>7.1539203953114603</v>
      </c>
      <c r="R125" s="10"/>
      <c r="S125" s="9">
        <f>Model_Data!A125</f>
        <v>1.5</v>
      </c>
      <c r="T125" s="9">
        <f>Model_Data!B125-Inputs!$C$5</f>
        <v>2.4999999999977263E-3</v>
      </c>
      <c r="U125" s="10"/>
      <c r="V125" s="9">
        <f>Model_Data!A125</f>
        <v>1.5</v>
      </c>
      <c r="W125" s="9">
        <f>((SQRT((Model_Data!A125)^2+Inputs!$C$6^2+Inputs!$C$5^2)-Inputs!$C$5)*1000/Inputs!$C$12)</f>
        <v>440.05368543930746</v>
      </c>
      <c r="X125" s="9">
        <f>Model_Data!F125</f>
        <v>440.05094049615832</v>
      </c>
      <c r="Y125" s="10"/>
      <c r="Z125" s="9">
        <f>Model_Data!A125</f>
        <v>1.5</v>
      </c>
      <c r="AA125" s="9">
        <f>SQRT((Model_Data!A125)^2+Inputs!$C$6^2+((Model_Data!B125)-((Inputs!$C$51*(115*EXP(-(((Inputs!$C$6)-25)^2)/(4.5^2))+70*EXP(-(((Inputs!$C$6)+38)^2)/(7^2))*(0.55+0.45*SIN(2*PI()*(Model_Data!A125)/45))+24*SIN(2*PI()*(Inputs!$C$6)/9+(Model_Data!A125)/18)*EXP(-(((Inputs!$C$6)+5)^2)/(22^2))+18*SIN(2*PI()*(Model_Data!A125)/70))+Inputs!$C$28*EXP(-(((Model_Data!A125)-Inputs!$C$29)^2)/(2*Inputs!$C$31^2))*EXP(-(((Inputs!$C$6)-Inputs!$C$30)^2)/(2*Inputs!$C$32^2))+-Inputs!$C$33*EXP(-(((((Model_Data!A125)-Inputs!$C$34)^2)+(((Inputs!$C$6)-Inputs!$C$35)^2))/(2*Inputs!$C$36^2)))+Inputs!$C$37*(0.55*SIN(2*PI()*(Model_Data!A125)/Inputs!$C$39)+0.35*COS(2*PI()*(Inputs!$C$6)/Inputs!$C$40)+0.2*SIN(2*PI()*((Model_Data!A125)+(Inputs!$C$6))/(0.5*(Inputs!$C$39+Inputs!$C$40))))+Inputs!$C$38*SIN(2*PI()*(Model_Data!A125)/Inputs!$C$39)*SIN(2*PI()*(Inputs!$C$6)/Inputs!$C$40)+-Inputs!$C$41*EXP(-(((Inputs!$C$6)-Inputs!$C$43)^2)/(2*Inputs!$C$44^2))*EXP(-(((Model_Data!A125)-Inputs!$C$42)^2)/(2*Inputs!$C$45^2))+Inputs!$C$48*(0.7*(0.45*SIN(2*PI()*(((Model_Data!A125)/Inputs!$C$49)+Inputs!$C$47*0.137))+0.35*COS(2*PI()*(((Inputs!$C$6)/Inputs!$C$50)+Inputs!$C$47*0.173))+0.2*SIN(2*PI()*(((Model_Data!A125)+(Inputs!$C$6))/(0.5*(Inputs!$C$49+Inputs!$C$50))+Inputs!$C$47*0.097)))+0.3*(2*((SIN(((Model_Data!A125)*12.9898+(Inputs!$C$6)*78.233+Inputs!$C$47*37.719))*43758.5453)-INT((SIN(((Model_Data!A125)*12.9898+(Inputs!$C$6)*78.233+Inputs!$C$47*37.719))*43758.5453)))-1))))/1000)^2)</f>
        <v>400.26993801458593</v>
      </c>
      <c r="AB125" s="9">
        <f>1000*(AA126-AA124)/(Z126-Z124)*Inputs!$C$11</f>
        <v>-119.11277458193581</v>
      </c>
      <c r="AC125" s="9">
        <f>-2*AB125/Inputs!$C$13</f>
        <v>47.645109832774324</v>
      </c>
      <c r="AD125" s="9">
        <f>-2*AB125/Inputs!$C$14</f>
        <v>7.1539203953114603</v>
      </c>
    </row>
    <row r="126" spans="1:30">
      <c r="A126" s="9">
        <f>Model_Data!A126</f>
        <v>2</v>
      </c>
      <c r="B126" s="9">
        <f>((SQRT((Model_Data!A126)^2+Inputs!$C$6^2+Inputs!$C$5^2)-Inputs!$C$5)*1000/Inputs!$C$12)</f>
        <v>441.28021284267066</v>
      </c>
      <c r="C126" s="9">
        <f>Model_Data!F126</f>
        <v>441.27531939274672</v>
      </c>
      <c r="D126" s="9">
        <f>(((SQRT((Model_Data!A126)^2+Inputs!$C$6^2+((Model_Data!B126)-((Inputs!$C$51*(115*EXP(-(((Inputs!$C$6)-25)^2)/(4.5^2))+70*EXP(-(((Inputs!$C$6)+38)^2)/(7^2))*(0.55+0.45*SIN(2*PI()*(Model_Data!A126)/45))+24*SIN(2*PI()*(Inputs!$C$6)/9+(Model_Data!A126)/18)*EXP(-(((Inputs!$C$6)+5)^2)/(22^2))+18*SIN(2*PI()*(Model_Data!A126)/70))+Inputs!$C$28*EXP(-(((Model_Data!A126)-Inputs!$C$29)^2)/(2*Inputs!$C$31^2))*EXP(-(((Inputs!$C$6)-Inputs!$C$30)^2)/(2*Inputs!$C$32^2))+-Inputs!$C$33*EXP(-(((((Model_Data!A126)-Inputs!$C$34)^2)+(((Inputs!$C$6)-Inputs!$C$35)^2))/(2*Inputs!$C$36^2)))+Inputs!$C$37*(0.55*SIN(2*PI()*(Model_Data!A126)/Inputs!$C$39)+0.35*COS(2*PI()*(Inputs!$C$6)/Inputs!$C$40)+0.2*SIN(2*PI()*((Model_Data!A126)+(Inputs!$C$6))/(0.5*(Inputs!$C$39+Inputs!$C$40))))+Inputs!$C$38*SIN(2*PI()*(Model_Data!A126)/Inputs!$C$39)*SIN(2*PI()*(Inputs!$C$6)/Inputs!$C$40)+-Inputs!$C$41*EXP(-(((Inputs!$C$6)-Inputs!$C$43)^2)/(2*Inputs!$C$44^2))*EXP(-(((Model_Data!A126)-Inputs!$C$42)^2)/(2*Inputs!$C$45^2))+Inputs!$C$48*(0.7*(0.45*SIN(2*PI()*(((Model_Data!A126)/Inputs!$C$49)+Inputs!$C$47*0.137))+0.35*COS(2*PI()*(((Inputs!$C$6)/Inputs!$C$50)+Inputs!$C$47*0.173))+0.2*SIN(2*PI()*(((Model_Data!A126)+(Inputs!$C$6))/(0.5*(Inputs!$C$49+Inputs!$C$50))+Inputs!$C$47*0.097)))+0.3*(2*((SIN(((Model_Data!A126)*12.9898+(Inputs!$C$6)*78.233+Inputs!$C$47*37.719))*43758.5453)-INT((SIN(((Model_Data!A126)*12.9898+(Inputs!$C$6)*78.233+Inputs!$C$47*37.719))*43758.5453)))-1))))/1000)^2))-(((Model_Data!B126)-((Inputs!$C$51*(115*EXP(-(((0)-25)^2)/(4.5^2))+70*EXP(-(((0)+38)^2)/(7^2))*(0.55+0.45*SIN(2*PI()*(Model_Data!A126)/45))+24*SIN(2*PI()*(0)/9+(Model_Data!A126)/18)*EXP(-(((0)+5)^2)/(22^2))+18*SIN(2*PI()*(Model_Data!A126)/70))+Inputs!$C$28*EXP(-(((Model_Data!A126)-Inputs!$C$29)^2)/(2*Inputs!$C$31^2))*EXP(-(((0)-Inputs!$C$30)^2)/(2*Inputs!$C$32^2))+-Inputs!$C$33*EXP(-(((((Model_Data!A126)-Inputs!$C$34)^2)+(((0)-Inputs!$C$35)^2))/(2*Inputs!$C$36^2)))+Inputs!$C$37*(0.55*SIN(2*PI()*(Model_Data!A126)/Inputs!$C$39)+0.35*COS(2*PI()*(0)/Inputs!$C$40)+0.2*SIN(2*PI()*((Model_Data!A126)+(0))/(0.5*(Inputs!$C$39+Inputs!$C$40))))+Inputs!$C$38*SIN(2*PI()*(Model_Data!A126)/Inputs!$C$39)*SIN(2*PI()*(0)/Inputs!$C$40)+-Inputs!$C$41*EXP(-(((0)-Inputs!$C$43)^2)/(2*Inputs!$C$44^2))*EXP(-(((Model_Data!A126)-Inputs!$C$42)^2)/(2*Inputs!$C$45^2))+Inputs!$C$48*(0.7*(0.45*SIN(2*PI()*(((Model_Data!A126)/Inputs!$C$49)+Inputs!$C$47*0.137))+0.35*COS(2*PI()*(((0)/Inputs!$C$50)+Inputs!$C$47*0.173))+0.2*SIN(2*PI()*(((Model_Data!A126)+(0))/(0.5*(Inputs!$C$49+Inputs!$C$50))+Inputs!$C$47*0.097)))+0.3*(2*((SIN(((Model_Data!A126)*12.9898+(0)*78.233+Inputs!$C$47*37.719))*43758.5453)-INT((SIN(((Model_Data!A126)*12.9898+(0)*78.233+Inputs!$C$47*37.719))*43758.5453)))-1))))/1000)))*1000/Inputs!$C$12)</f>
        <v>178.41049905954287</v>
      </c>
      <c r="E126" s="9">
        <f>Model_Data!A126</f>
        <v>2</v>
      </c>
      <c r="F126" s="9">
        <f>(Inputs!$C$51*(115*EXP(-(((Inputs!$C$6)-25)^2)/(4.5^2))+70*EXP(-(((Inputs!$C$6)+38)^2)/(7^2))*(0.55+0.45*SIN(2*PI()*(Model_Data!A126)/45))+24*SIN(2*PI()*(Inputs!$C$6)/9+(Model_Data!A126)/18)*EXP(-(((Inputs!$C$6)+5)^2)/(22^2))+18*SIN(2*PI()*(Model_Data!A126)/70))+Inputs!$C$28*EXP(-(((Model_Data!A126)-Inputs!$C$29)^2)/(2*Inputs!$C$31^2))*EXP(-(((Inputs!$C$6)-Inputs!$C$30)^2)/(2*Inputs!$C$32^2))+-Inputs!$C$33*EXP(-(((((Model_Data!A126)-Inputs!$C$34)^2)+(((Inputs!$C$6)-Inputs!$C$35)^2))/(2*Inputs!$C$36^2)))+Inputs!$C$37*(0.55*SIN(2*PI()*(Model_Data!A126)/Inputs!$C$39)+0.35*COS(2*PI()*(Inputs!$C$6)/Inputs!$C$40)+0.2*SIN(2*PI()*((Model_Data!A126)+(Inputs!$C$6))/(0.5*(Inputs!$C$39+Inputs!$C$40))))+Inputs!$C$38*SIN(2*PI()*(Model_Data!A126)/Inputs!$C$39)*SIN(2*PI()*(Inputs!$C$6)/Inputs!$C$40)+-Inputs!$C$41*EXP(-(((Inputs!$C$6)-Inputs!$C$43)^2)/(2*Inputs!$C$44^2))*EXP(-(((Model_Data!A126)-Inputs!$C$42)^2)/(2*Inputs!$C$45^2))+Inputs!$C$48*(0.7*(0.45*SIN(2*PI()*(((Model_Data!A126)/Inputs!$C$49)+Inputs!$C$47*0.137))+0.35*COS(2*PI()*(((Inputs!$C$6)/Inputs!$C$50)+Inputs!$C$47*0.173))+0.2*SIN(2*PI()*(((Model_Data!A126)+(Inputs!$C$6))/(0.5*(Inputs!$C$49+Inputs!$C$50))+Inputs!$C$47*0.097)))+0.3*(2*((SIN(((Model_Data!A126)*12.9898+(Inputs!$C$6)*78.233+Inputs!$C$47*37.719))*43758.5453)-INT((SIN(((Model_Data!A126)*12.9898+(Inputs!$C$6)*78.233+Inputs!$C$47*37.719))*43758.5453)))-1)))</f>
        <v>534.50648407239817</v>
      </c>
      <c r="G126" s="9">
        <f>(Inputs!$C$51*(115*EXP(-(((0)-25)^2)/(4.5^2))+70*EXP(-(((0)+38)^2)/(7^2))*(0.55+0.45*SIN(2*PI()*(Model_Data!A126)/45))+24*SIN(2*PI()*(0)/9+(Model_Data!A126)/18)*EXP(-(((0)+5)^2)/(22^2))+18*SIN(2*PI()*(Model_Data!A126)/70))+Inputs!$C$28*EXP(-(((Model_Data!A126)-Inputs!$C$29)^2)/(2*Inputs!$C$31^2))*EXP(-(((0)-Inputs!$C$30)^2)/(2*Inputs!$C$32^2))+-Inputs!$C$33*EXP(-(((((Model_Data!A126)-Inputs!$C$34)^2)+(((0)-Inputs!$C$35)^2))/(2*Inputs!$C$36^2)))+Inputs!$C$37*(0.55*SIN(2*PI()*(Model_Data!A126)/Inputs!$C$39)+0.35*COS(2*PI()*(0)/Inputs!$C$40)+0.2*SIN(2*PI()*((Model_Data!A126)+(0))/(0.5*(Inputs!$C$39+Inputs!$C$40))))+Inputs!$C$38*SIN(2*PI()*(Model_Data!A126)/Inputs!$C$39)*SIN(2*PI()*(0)/Inputs!$C$40)+-Inputs!$C$41*EXP(-(((0)-Inputs!$C$43)^2)/(2*Inputs!$C$44^2))*EXP(-(((Model_Data!A126)-Inputs!$C$42)^2)/(2*Inputs!$C$45^2))+Inputs!$C$48*(0.7*(0.45*SIN(2*PI()*(((Model_Data!A126)/Inputs!$C$49)+Inputs!$C$47*0.137))+0.35*COS(2*PI()*(((0)/Inputs!$C$50)+Inputs!$C$47*0.173))+0.2*SIN(2*PI()*(((Model_Data!A126)+(0))/(0.5*(Inputs!$C$49+Inputs!$C$50))+Inputs!$C$47*0.097)))+0.3*(2*((SIN(((Model_Data!A126)*12.9898+(0)*78.233+Inputs!$C$47*37.719))*43758.5453)-INT((SIN(((Model_Data!A126)*12.9898+(0)*78.233+Inputs!$C$47*37.719))*43758.5453)))-1)))</f>
        <v>65.558177903204651</v>
      </c>
      <c r="H126" s="10"/>
      <c r="I126" s="9">
        <f>Model_Data!A126</f>
        <v>2</v>
      </c>
      <c r="J126" s="9">
        <f>(Inputs!$C$51*(115*EXP(-(((Inputs!$C$6)-25)^2)/(4.5^2))+70*EXP(-(((Inputs!$C$6)+38)^2)/(7^2))*(0.55+0.45*SIN(2*PI()*(Model_Data!A126)/45))+24*SIN(2*PI()*(Inputs!$C$6)/9+(Model_Data!A126)/18)*EXP(-(((Inputs!$C$6)+5)^2)/(22^2))+18*SIN(2*PI()*(Model_Data!A126)/70))+Inputs!$C$28*EXP(-(((Model_Data!A126)-Inputs!$C$29)^2)/(2*Inputs!$C$31^2))*EXP(-(((Inputs!$C$6)-Inputs!$C$30)^2)/(2*Inputs!$C$32^2))+-Inputs!$C$33*EXP(-(((((Model_Data!A126)-Inputs!$C$34)^2)+(((Inputs!$C$6)-Inputs!$C$35)^2))/(2*Inputs!$C$36^2)))+Inputs!$C$37*(0.55*SIN(2*PI()*(Model_Data!A126)/Inputs!$C$39)+0.35*COS(2*PI()*(Inputs!$C$6)/Inputs!$C$40)+0.2*SIN(2*PI()*((Model_Data!A126)+(Inputs!$C$6))/(0.5*(Inputs!$C$39+Inputs!$C$40))))+Inputs!$C$38*SIN(2*PI()*(Model_Data!A126)/Inputs!$C$39)*SIN(2*PI()*(Inputs!$C$6)/Inputs!$C$40)+-Inputs!$C$41*EXP(-(((Inputs!$C$6)-Inputs!$C$43)^2)/(2*Inputs!$C$44^2))*EXP(-(((Model_Data!A126)-Inputs!$C$42)^2)/(2*Inputs!$C$45^2))+Inputs!$C$48*(0.7*(0.45*SIN(2*PI()*(((Model_Data!A126)/Inputs!$C$49)+Inputs!$C$47*0.137))+0.35*COS(2*PI()*(((Inputs!$C$6)/Inputs!$C$50)+Inputs!$C$47*0.173))+0.2*SIN(2*PI()*(((Model_Data!A126)+(Inputs!$C$6))/(0.5*(Inputs!$C$49+Inputs!$C$50))+Inputs!$C$47*0.097)))+0.3*(2*((SIN(((Model_Data!A126)*12.9898+(Inputs!$C$6)*78.233+Inputs!$C$47*37.719))*43758.5453)-INT((SIN(((Model_Data!A126)*12.9898+(Inputs!$C$6)*78.233+Inputs!$C$47*37.719))*43758.5453)))-1)))</f>
        <v>534.50648407239817</v>
      </c>
      <c r="K126" s="9">
        <f>-((((SQRT((Model_Data!A126)^2+Inputs!$C$6^2+((Model_Data!B126)-((Inputs!$C$51*(115*EXP(-(((Inputs!$C$6)-25)^2)/(4.5^2))+70*EXP(-(((Inputs!$C$6)+38)^2)/(7^2))*(0.55+0.45*SIN(2*PI()*(Model_Data!A126)/45))+24*SIN(2*PI()*(Inputs!$C$6)/9+(Model_Data!A126)/18)*EXP(-(((Inputs!$C$6)+5)^2)/(22^2))+18*SIN(2*PI()*(Model_Data!A126)/70))+Inputs!$C$28*EXP(-(((Model_Data!A126)-Inputs!$C$29)^2)/(2*Inputs!$C$31^2))*EXP(-(((Inputs!$C$6)-Inputs!$C$30)^2)/(2*Inputs!$C$32^2))+-Inputs!$C$33*EXP(-(((((Model_Data!A126)-Inputs!$C$34)^2)+(((Inputs!$C$6)-Inputs!$C$35)^2))/(2*Inputs!$C$36^2)))+Inputs!$C$37*(0.55*SIN(2*PI()*(Model_Data!A126)/Inputs!$C$39)+0.35*COS(2*PI()*(Inputs!$C$6)/Inputs!$C$40)+0.2*SIN(2*PI()*((Model_Data!A126)+(Inputs!$C$6))/(0.5*(Inputs!$C$39+Inputs!$C$40))))+Inputs!$C$38*SIN(2*PI()*(Model_Data!A126)/Inputs!$C$39)*SIN(2*PI()*(Inputs!$C$6)/Inputs!$C$40)+-Inputs!$C$41*EXP(-(((Inputs!$C$6)-Inputs!$C$43)^2)/(2*Inputs!$C$44^2))*EXP(-(((Model_Data!A126)-Inputs!$C$42)^2)/(2*Inputs!$C$45^2))+Inputs!$C$48*(0.7*(0.45*SIN(2*PI()*(((Model_Data!A126)/Inputs!$C$49)+Inputs!$C$47*0.137))+0.35*COS(2*PI()*(((Inputs!$C$6)/Inputs!$C$50)+Inputs!$C$47*0.173))+0.2*SIN(2*PI()*(((Model_Data!A126)+(Inputs!$C$6))/(0.5*(Inputs!$C$49+Inputs!$C$50))+Inputs!$C$47*0.097)))+0.3*(2*((SIN(((Model_Data!A126)*12.9898+(Inputs!$C$6)*78.233+Inputs!$C$47*37.719))*43758.5453)-INT((SIN(((Model_Data!A126)*12.9898+(Inputs!$C$6)*78.233+Inputs!$C$47*37.719))*43758.5453)))-1))))/1000)^2))-(((Model_Data!B126)-((Inputs!$C$51*(115*EXP(-(((0)-25)^2)/(4.5^2))+70*EXP(-(((0)+38)^2)/(7^2))*(0.55+0.45*SIN(2*PI()*(Model_Data!A126)/45))+24*SIN(2*PI()*(0)/9+(Model_Data!A126)/18)*EXP(-(((0)+5)^2)/(22^2))+18*SIN(2*PI()*(Model_Data!A126)/70))+Inputs!$C$28*EXP(-(((Model_Data!A126)-Inputs!$C$29)^2)/(2*Inputs!$C$31^2))*EXP(-(((0)-Inputs!$C$30)^2)/(2*Inputs!$C$32^2))+-Inputs!$C$33*EXP(-(((((Model_Data!A126)-Inputs!$C$34)^2)+(((0)-Inputs!$C$35)^2))/(2*Inputs!$C$36^2)))+Inputs!$C$37*(0.55*SIN(2*PI()*(Model_Data!A126)/Inputs!$C$39)+0.35*COS(2*PI()*(0)/Inputs!$C$40)+0.2*SIN(2*PI()*((Model_Data!A126)+(0))/(0.5*(Inputs!$C$39+Inputs!$C$40))))+Inputs!$C$38*SIN(2*PI()*(Model_Data!A126)/Inputs!$C$39)*SIN(2*PI()*(0)/Inputs!$C$40)+-Inputs!$C$41*EXP(-(((0)-Inputs!$C$43)^2)/(2*Inputs!$C$44^2))*EXP(-(((Model_Data!A126)-Inputs!$C$42)^2)/(2*Inputs!$C$45^2))+Inputs!$C$48*(0.7*(0.45*SIN(2*PI()*(((Model_Data!A126)/Inputs!$C$49)+Inputs!$C$47*0.137))+0.35*COS(2*PI()*(((0)/Inputs!$C$50)+Inputs!$C$47*0.173))+0.2*SIN(2*PI()*(((Model_Data!A126)+(0))/(0.5*(Inputs!$C$49+Inputs!$C$50))+Inputs!$C$47*0.097)))+0.3*(2*((SIN(((Model_Data!A126)*12.9898+(0)*78.233+Inputs!$C$47*37.719))*43758.5453)-INT((SIN(((Model_Data!A126)*12.9898+(0)*78.233+Inputs!$C$47*37.719))*43758.5453)))-1))))/1000)))*1000/Inputs!$C$12)-Model_Data!F126)</f>
        <v>262.86482033320385</v>
      </c>
      <c r="L126" s="10"/>
      <c r="M126" s="9">
        <f>Model_Data!A126</f>
        <v>2</v>
      </c>
      <c r="N126" s="9">
        <f>Model_Data!P126</f>
        <v>-15.081407566674704</v>
      </c>
      <c r="O126" s="9">
        <f t="shared" si="2"/>
        <v>37.391373886930523</v>
      </c>
      <c r="P126" s="9">
        <f>Model_Data!Q126</f>
        <v>-2.2644756106118176</v>
      </c>
      <c r="Q126" s="9">
        <f t="shared" si="3"/>
        <v>5.6143204034430223</v>
      </c>
      <c r="R126" s="10"/>
      <c r="S126" s="9">
        <f>Model_Data!A126</f>
        <v>2</v>
      </c>
      <c r="T126" s="9">
        <f>Model_Data!B126-Inputs!$C$5</f>
        <v>4.4444444444593501E-3</v>
      </c>
      <c r="U126" s="10"/>
      <c r="V126" s="9">
        <f>Model_Data!A126</f>
        <v>2</v>
      </c>
      <c r="W126" s="9">
        <f>((SQRT((Model_Data!A126)^2+Inputs!$C$6^2+Inputs!$C$5^2)-Inputs!$C$5)*1000/Inputs!$C$12)</f>
        <v>441.28021284267066</v>
      </c>
      <c r="X126" s="9">
        <f>Model_Data!F126</f>
        <v>441.27531939274672</v>
      </c>
      <c r="Y126" s="10"/>
      <c r="Z126" s="9">
        <f>Model_Data!A126</f>
        <v>2</v>
      </c>
      <c r="AA126" s="9">
        <f>SQRT((Model_Data!A126)^2+Inputs!$C$6^2+((Model_Data!B126)-((Inputs!$C$51*(115*EXP(-(((Inputs!$C$6)-25)^2)/(4.5^2))+70*EXP(-(((Inputs!$C$6)+38)^2)/(7^2))*(0.55+0.45*SIN(2*PI()*(Model_Data!A126)/45))+24*SIN(2*PI()*(Inputs!$C$6)/9+(Model_Data!A126)/18)*EXP(-(((Inputs!$C$6)+5)^2)/(22^2))+18*SIN(2*PI()*(Model_Data!A126)/70))+Inputs!$C$28*EXP(-(((Model_Data!A126)-Inputs!$C$29)^2)/(2*Inputs!$C$31^2))*EXP(-(((Inputs!$C$6)-Inputs!$C$30)^2)/(2*Inputs!$C$32^2))+-Inputs!$C$33*EXP(-(((((Model_Data!A126)-Inputs!$C$34)^2)+(((Inputs!$C$6)-Inputs!$C$35)^2))/(2*Inputs!$C$36^2)))+Inputs!$C$37*(0.55*SIN(2*PI()*(Model_Data!A126)/Inputs!$C$39)+0.35*COS(2*PI()*(Inputs!$C$6)/Inputs!$C$40)+0.2*SIN(2*PI()*((Model_Data!A126)+(Inputs!$C$6))/(0.5*(Inputs!$C$39+Inputs!$C$40))))+Inputs!$C$38*SIN(2*PI()*(Model_Data!A126)/Inputs!$C$39)*SIN(2*PI()*(Inputs!$C$6)/Inputs!$C$40)+-Inputs!$C$41*EXP(-(((Inputs!$C$6)-Inputs!$C$43)^2)/(2*Inputs!$C$44^2))*EXP(-(((Model_Data!A126)-Inputs!$C$42)^2)/(2*Inputs!$C$45^2))+Inputs!$C$48*(0.7*(0.45*SIN(2*PI()*(((Model_Data!A126)/Inputs!$C$49)+Inputs!$C$47*0.137))+0.35*COS(2*PI()*(((Inputs!$C$6)/Inputs!$C$50)+Inputs!$C$47*0.173))+0.2*SIN(2*PI()*(((Model_Data!A126)+(Inputs!$C$6))/(0.5*(Inputs!$C$49+Inputs!$C$50))+Inputs!$C$47*0.097)))+0.3*(2*((SIN(((Model_Data!A126)*12.9898+(Inputs!$C$6)*78.233+Inputs!$C$47*37.719))*43758.5453)-INT((SIN(((Model_Data!A126)*12.9898+(Inputs!$C$6)*78.233+Inputs!$C$47*37.719))*43758.5453)))-1))))/1000)^2)</f>
        <v>400.25645695486725</v>
      </c>
      <c r="AB126" s="9">
        <f>1000*(AA127-AA125)/(Z127-Z125)*Inputs!$C$11</f>
        <v>-93.478434717326309</v>
      </c>
      <c r="AC126" s="9">
        <f>-2*AB126/Inputs!$C$13</f>
        <v>37.391373886930523</v>
      </c>
      <c r="AD126" s="9">
        <f>-2*AB126/Inputs!$C$14</f>
        <v>5.6143204034430223</v>
      </c>
    </row>
    <row r="127" spans="1:30">
      <c r="A127" s="9">
        <f>Model_Data!A127</f>
        <v>2.5</v>
      </c>
      <c r="B127" s="9">
        <f>((SQRT((Model_Data!A127)^2+Inputs!$C$6^2+Inputs!$C$5^2)-Inputs!$C$5)*1000/Inputs!$C$12)</f>
        <v>442.85716682962078</v>
      </c>
      <c r="C127" s="9">
        <f>Model_Data!F127</f>
        <v>442.84949359197901</v>
      </c>
      <c r="D127" s="9">
        <f>(((SQRT((Model_Data!A127)^2+Inputs!$C$6^2+((Model_Data!B127)-((Inputs!$C$51*(115*EXP(-(((Inputs!$C$6)-25)^2)/(4.5^2))+70*EXP(-(((Inputs!$C$6)+38)^2)/(7^2))*(0.55+0.45*SIN(2*PI()*(Model_Data!A127)/45))+24*SIN(2*PI()*(Inputs!$C$6)/9+(Model_Data!A127)/18)*EXP(-(((Inputs!$C$6)+5)^2)/(22^2))+18*SIN(2*PI()*(Model_Data!A127)/70))+Inputs!$C$28*EXP(-(((Model_Data!A127)-Inputs!$C$29)^2)/(2*Inputs!$C$31^2))*EXP(-(((Inputs!$C$6)-Inputs!$C$30)^2)/(2*Inputs!$C$32^2))+-Inputs!$C$33*EXP(-(((((Model_Data!A127)-Inputs!$C$34)^2)+(((Inputs!$C$6)-Inputs!$C$35)^2))/(2*Inputs!$C$36^2)))+Inputs!$C$37*(0.55*SIN(2*PI()*(Model_Data!A127)/Inputs!$C$39)+0.35*COS(2*PI()*(Inputs!$C$6)/Inputs!$C$40)+0.2*SIN(2*PI()*((Model_Data!A127)+(Inputs!$C$6))/(0.5*(Inputs!$C$39+Inputs!$C$40))))+Inputs!$C$38*SIN(2*PI()*(Model_Data!A127)/Inputs!$C$39)*SIN(2*PI()*(Inputs!$C$6)/Inputs!$C$40)+-Inputs!$C$41*EXP(-(((Inputs!$C$6)-Inputs!$C$43)^2)/(2*Inputs!$C$44^2))*EXP(-(((Model_Data!A127)-Inputs!$C$42)^2)/(2*Inputs!$C$45^2))+Inputs!$C$48*(0.7*(0.45*SIN(2*PI()*(((Model_Data!A127)/Inputs!$C$49)+Inputs!$C$47*0.137))+0.35*COS(2*PI()*(((Inputs!$C$6)/Inputs!$C$50)+Inputs!$C$47*0.173))+0.2*SIN(2*PI()*(((Model_Data!A127)+(Inputs!$C$6))/(0.5*(Inputs!$C$49+Inputs!$C$50))+Inputs!$C$47*0.097)))+0.3*(2*((SIN(((Model_Data!A127)*12.9898+(Inputs!$C$6)*78.233+Inputs!$C$47*37.719))*43758.5453)-INT((SIN(((Model_Data!A127)*12.9898+(Inputs!$C$6)*78.233+Inputs!$C$47*37.719))*43758.5453)))-1))))/1000)^2))-(((Model_Data!B127)-((Inputs!$C$51*(115*EXP(-(((0)-25)^2)/(4.5^2))+70*EXP(-(((0)+38)^2)/(7^2))*(0.55+0.45*SIN(2*PI()*(Model_Data!A127)/45))+24*SIN(2*PI()*(0)/9+(Model_Data!A127)/18)*EXP(-(((0)+5)^2)/(22^2))+18*SIN(2*PI()*(Model_Data!A127)/70))+Inputs!$C$28*EXP(-(((Model_Data!A127)-Inputs!$C$29)^2)/(2*Inputs!$C$31^2))*EXP(-(((0)-Inputs!$C$30)^2)/(2*Inputs!$C$32^2))+-Inputs!$C$33*EXP(-(((((Model_Data!A127)-Inputs!$C$34)^2)+(((0)-Inputs!$C$35)^2))/(2*Inputs!$C$36^2)))+Inputs!$C$37*(0.55*SIN(2*PI()*(Model_Data!A127)/Inputs!$C$39)+0.35*COS(2*PI()*(0)/Inputs!$C$40)+0.2*SIN(2*PI()*((Model_Data!A127)+(0))/(0.5*(Inputs!$C$39+Inputs!$C$40))))+Inputs!$C$38*SIN(2*PI()*(Model_Data!A127)/Inputs!$C$39)*SIN(2*PI()*(0)/Inputs!$C$40)+-Inputs!$C$41*EXP(-(((0)-Inputs!$C$43)^2)/(2*Inputs!$C$44^2))*EXP(-(((Model_Data!A127)-Inputs!$C$42)^2)/(2*Inputs!$C$45^2))+Inputs!$C$48*(0.7*(0.45*SIN(2*PI()*(((Model_Data!A127)/Inputs!$C$49)+Inputs!$C$47*0.137))+0.35*COS(2*PI()*(((0)/Inputs!$C$50)+Inputs!$C$47*0.173))+0.2*SIN(2*PI()*(((Model_Data!A127)+(0))/(0.5*(Inputs!$C$49+Inputs!$C$50))+Inputs!$C$47*0.097)))+0.3*(2*((SIN(((Model_Data!A127)*12.9898+(0)*78.233+Inputs!$C$47*37.719))*43758.5453)-INT((SIN(((Model_Data!A127)*12.9898+(0)*78.233+Inputs!$C$47*37.719))*43758.5453)))-1))))/1000)))*1000/Inputs!$C$12)</f>
        <v>174.45216016216327</v>
      </c>
      <c r="E127" s="9">
        <f>Model_Data!A127</f>
        <v>2.5</v>
      </c>
      <c r="F127" s="9">
        <f>(Inputs!$C$51*(115*EXP(-(((Inputs!$C$6)-25)^2)/(4.5^2))+70*EXP(-(((Inputs!$C$6)+38)^2)/(7^2))*(0.55+0.45*SIN(2*PI()*(Model_Data!A127)/45))+24*SIN(2*PI()*(Inputs!$C$6)/9+(Model_Data!A127)/18)*EXP(-(((Inputs!$C$6)+5)^2)/(22^2))+18*SIN(2*PI()*(Model_Data!A127)/70))+Inputs!$C$28*EXP(-(((Model_Data!A127)-Inputs!$C$29)^2)/(2*Inputs!$C$31^2))*EXP(-(((Inputs!$C$6)-Inputs!$C$30)^2)/(2*Inputs!$C$32^2))+-Inputs!$C$33*EXP(-(((((Model_Data!A127)-Inputs!$C$34)^2)+(((Inputs!$C$6)-Inputs!$C$35)^2))/(2*Inputs!$C$36^2)))+Inputs!$C$37*(0.55*SIN(2*PI()*(Model_Data!A127)/Inputs!$C$39)+0.35*COS(2*PI()*(Inputs!$C$6)/Inputs!$C$40)+0.2*SIN(2*PI()*((Model_Data!A127)+(Inputs!$C$6))/(0.5*(Inputs!$C$39+Inputs!$C$40))))+Inputs!$C$38*SIN(2*PI()*(Model_Data!A127)/Inputs!$C$39)*SIN(2*PI()*(Inputs!$C$6)/Inputs!$C$40)+-Inputs!$C$41*EXP(-(((Inputs!$C$6)-Inputs!$C$43)^2)/(2*Inputs!$C$44^2))*EXP(-(((Model_Data!A127)-Inputs!$C$42)^2)/(2*Inputs!$C$45^2))+Inputs!$C$48*(0.7*(0.45*SIN(2*PI()*(((Model_Data!A127)/Inputs!$C$49)+Inputs!$C$47*0.137))+0.35*COS(2*PI()*(((Inputs!$C$6)/Inputs!$C$50)+Inputs!$C$47*0.173))+0.2*SIN(2*PI()*(((Model_Data!A127)+(Inputs!$C$6))/(0.5*(Inputs!$C$49+Inputs!$C$50))+Inputs!$C$47*0.097)))+0.3*(2*((SIN(((Model_Data!A127)*12.9898+(Inputs!$C$6)*78.233+Inputs!$C$47*37.719))*43758.5453)-INT((SIN(((Model_Data!A127)*12.9898+(Inputs!$C$6)*78.233+Inputs!$C$47*37.719))*43758.5453)))-1)))</f>
        <v>549.73081486924821</v>
      </c>
      <c r="G127" s="9">
        <f>(Inputs!$C$51*(115*EXP(-(((0)-25)^2)/(4.5^2))+70*EXP(-(((0)+38)^2)/(7^2))*(0.55+0.45*SIN(2*PI()*(Model_Data!A127)/45))+24*SIN(2*PI()*(0)/9+(Model_Data!A127)/18)*EXP(-(((0)+5)^2)/(22^2))+18*SIN(2*PI()*(Model_Data!A127)/70))+Inputs!$C$28*EXP(-(((Model_Data!A127)-Inputs!$C$29)^2)/(2*Inputs!$C$31^2))*EXP(-(((0)-Inputs!$C$30)^2)/(2*Inputs!$C$32^2))+-Inputs!$C$33*EXP(-(((((Model_Data!A127)-Inputs!$C$34)^2)+(((0)-Inputs!$C$35)^2))/(2*Inputs!$C$36^2)))+Inputs!$C$37*(0.55*SIN(2*PI()*(Model_Data!A127)/Inputs!$C$39)+0.35*COS(2*PI()*(0)/Inputs!$C$40)+0.2*SIN(2*PI()*((Model_Data!A127)+(0))/(0.5*(Inputs!$C$39+Inputs!$C$40))))+Inputs!$C$38*SIN(2*PI()*(Model_Data!A127)/Inputs!$C$39)*SIN(2*PI()*(0)/Inputs!$C$40)+-Inputs!$C$41*EXP(-(((0)-Inputs!$C$43)^2)/(2*Inputs!$C$44^2))*EXP(-(((Model_Data!A127)-Inputs!$C$42)^2)/(2*Inputs!$C$45^2))+Inputs!$C$48*(0.7*(0.45*SIN(2*PI()*(((Model_Data!A127)/Inputs!$C$49)+Inputs!$C$47*0.137))+0.35*COS(2*PI()*(((0)/Inputs!$C$50)+Inputs!$C$47*0.173))+0.2*SIN(2*PI()*(((Model_Data!A127)+(0))/(0.5*(Inputs!$C$49+Inputs!$C$50))+Inputs!$C$47*0.097)))+0.3*(2*((SIN(((Model_Data!A127)*12.9898+(0)*78.233+Inputs!$C$47*37.719))*43758.5453)-INT((SIN(((Model_Data!A127)*12.9898+(0)*78.233+Inputs!$C$47*37.719))*43758.5453)))-1)))</f>
        <v>70.900883626482283</v>
      </c>
      <c r="H127" s="10"/>
      <c r="I127" s="9">
        <f>Model_Data!A127</f>
        <v>2.5</v>
      </c>
      <c r="J127" s="9">
        <f>(Inputs!$C$51*(115*EXP(-(((Inputs!$C$6)-25)^2)/(4.5^2))+70*EXP(-(((Inputs!$C$6)+38)^2)/(7^2))*(0.55+0.45*SIN(2*PI()*(Model_Data!A127)/45))+24*SIN(2*PI()*(Inputs!$C$6)/9+(Model_Data!A127)/18)*EXP(-(((Inputs!$C$6)+5)^2)/(22^2))+18*SIN(2*PI()*(Model_Data!A127)/70))+Inputs!$C$28*EXP(-(((Model_Data!A127)-Inputs!$C$29)^2)/(2*Inputs!$C$31^2))*EXP(-(((Inputs!$C$6)-Inputs!$C$30)^2)/(2*Inputs!$C$32^2))+-Inputs!$C$33*EXP(-(((((Model_Data!A127)-Inputs!$C$34)^2)+(((Inputs!$C$6)-Inputs!$C$35)^2))/(2*Inputs!$C$36^2)))+Inputs!$C$37*(0.55*SIN(2*PI()*(Model_Data!A127)/Inputs!$C$39)+0.35*COS(2*PI()*(Inputs!$C$6)/Inputs!$C$40)+0.2*SIN(2*PI()*((Model_Data!A127)+(Inputs!$C$6))/(0.5*(Inputs!$C$39+Inputs!$C$40))))+Inputs!$C$38*SIN(2*PI()*(Model_Data!A127)/Inputs!$C$39)*SIN(2*PI()*(Inputs!$C$6)/Inputs!$C$40)+-Inputs!$C$41*EXP(-(((Inputs!$C$6)-Inputs!$C$43)^2)/(2*Inputs!$C$44^2))*EXP(-(((Model_Data!A127)-Inputs!$C$42)^2)/(2*Inputs!$C$45^2))+Inputs!$C$48*(0.7*(0.45*SIN(2*PI()*(((Model_Data!A127)/Inputs!$C$49)+Inputs!$C$47*0.137))+0.35*COS(2*PI()*(((Inputs!$C$6)/Inputs!$C$50)+Inputs!$C$47*0.173))+0.2*SIN(2*PI()*(((Model_Data!A127)+(Inputs!$C$6))/(0.5*(Inputs!$C$49+Inputs!$C$50))+Inputs!$C$47*0.097)))+0.3*(2*((SIN(((Model_Data!A127)*12.9898+(Inputs!$C$6)*78.233+Inputs!$C$47*37.719))*43758.5453)-INT((SIN(((Model_Data!A127)*12.9898+(Inputs!$C$6)*78.233+Inputs!$C$47*37.719))*43758.5453)))-1)))</f>
        <v>549.73081486924821</v>
      </c>
      <c r="K127" s="9">
        <f>-((((SQRT((Model_Data!A127)^2+Inputs!$C$6^2+((Model_Data!B127)-((Inputs!$C$51*(115*EXP(-(((Inputs!$C$6)-25)^2)/(4.5^2))+70*EXP(-(((Inputs!$C$6)+38)^2)/(7^2))*(0.55+0.45*SIN(2*PI()*(Model_Data!A127)/45))+24*SIN(2*PI()*(Inputs!$C$6)/9+(Model_Data!A127)/18)*EXP(-(((Inputs!$C$6)+5)^2)/(22^2))+18*SIN(2*PI()*(Model_Data!A127)/70))+Inputs!$C$28*EXP(-(((Model_Data!A127)-Inputs!$C$29)^2)/(2*Inputs!$C$31^2))*EXP(-(((Inputs!$C$6)-Inputs!$C$30)^2)/(2*Inputs!$C$32^2))+-Inputs!$C$33*EXP(-(((((Model_Data!A127)-Inputs!$C$34)^2)+(((Inputs!$C$6)-Inputs!$C$35)^2))/(2*Inputs!$C$36^2)))+Inputs!$C$37*(0.55*SIN(2*PI()*(Model_Data!A127)/Inputs!$C$39)+0.35*COS(2*PI()*(Inputs!$C$6)/Inputs!$C$40)+0.2*SIN(2*PI()*((Model_Data!A127)+(Inputs!$C$6))/(0.5*(Inputs!$C$39+Inputs!$C$40))))+Inputs!$C$38*SIN(2*PI()*(Model_Data!A127)/Inputs!$C$39)*SIN(2*PI()*(Inputs!$C$6)/Inputs!$C$40)+-Inputs!$C$41*EXP(-(((Inputs!$C$6)-Inputs!$C$43)^2)/(2*Inputs!$C$44^2))*EXP(-(((Model_Data!A127)-Inputs!$C$42)^2)/(2*Inputs!$C$45^2))+Inputs!$C$48*(0.7*(0.45*SIN(2*PI()*(((Model_Data!A127)/Inputs!$C$49)+Inputs!$C$47*0.137))+0.35*COS(2*PI()*(((Inputs!$C$6)/Inputs!$C$50)+Inputs!$C$47*0.173))+0.2*SIN(2*PI()*(((Model_Data!A127)+(Inputs!$C$6))/(0.5*(Inputs!$C$49+Inputs!$C$50))+Inputs!$C$47*0.097)))+0.3*(2*((SIN(((Model_Data!A127)*12.9898+(Inputs!$C$6)*78.233+Inputs!$C$47*37.719))*43758.5453)-INT((SIN(((Model_Data!A127)*12.9898+(Inputs!$C$6)*78.233+Inputs!$C$47*37.719))*43758.5453)))-1))))/1000)^2))-(((Model_Data!B127)-((Inputs!$C$51*(115*EXP(-(((0)-25)^2)/(4.5^2))+70*EXP(-(((0)+38)^2)/(7^2))*(0.55+0.45*SIN(2*PI()*(Model_Data!A127)/45))+24*SIN(2*PI()*(0)/9+(Model_Data!A127)/18)*EXP(-(((0)+5)^2)/(22^2))+18*SIN(2*PI()*(Model_Data!A127)/70))+Inputs!$C$28*EXP(-(((Model_Data!A127)-Inputs!$C$29)^2)/(2*Inputs!$C$31^2))*EXP(-(((0)-Inputs!$C$30)^2)/(2*Inputs!$C$32^2))+-Inputs!$C$33*EXP(-(((((Model_Data!A127)-Inputs!$C$34)^2)+(((0)-Inputs!$C$35)^2))/(2*Inputs!$C$36^2)))+Inputs!$C$37*(0.55*SIN(2*PI()*(Model_Data!A127)/Inputs!$C$39)+0.35*COS(2*PI()*(0)/Inputs!$C$40)+0.2*SIN(2*PI()*((Model_Data!A127)+(0))/(0.5*(Inputs!$C$39+Inputs!$C$40))))+Inputs!$C$38*SIN(2*PI()*(Model_Data!A127)/Inputs!$C$39)*SIN(2*PI()*(0)/Inputs!$C$40)+-Inputs!$C$41*EXP(-(((0)-Inputs!$C$43)^2)/(2*Inputs!$C$44^2))*EXP(-(((Model_Data!A127)-Inputs!$C$42)^2)/(2*Inputs!$C$45^2))+Inputs!$C$48*(0.7*(0.45*SIN(2*PI()*(((Model_Data!A127)/Inputs!$C$49)+Inputs!$C$47*0.137))+0.35*COS(2*PI()*(((0)/Inputs!$C$50)+Inputs!$C$47*0.173))+0.2*SIN(2*PI()*(((Model_Data!A127)+(0))/(0.5*(Inputs!$C$49+Inputs!$C$50))+Inputs!$C$47*0.097)))+0.3*(2*((SIN(((Model_Data!A127)*12.9898+(0)*78.233+Inputs!$C$47*37.719))*43758.5453)-INT((SIN(((Model_Data!A127)*12.9898+(0)*78.233+Inputs!$C$47*37.719))*43758.5453)))-1))))/1000)))*1000/Inputs!$C$12)-Model_Data!F127)</f>
        <v>268.39733342981572</v>
      </c>
      <c r="L127" s="10"/>
      <c r="M127" s="9">
        <f>Model_Data!A127</f>
        <v>2.5</v>
      </c>
      <c r="N127" s="9">
        <f>Model_Data!P127</f>
        <v>-18.851565517971398</v>
      </c>
      <c r="O127" s="9">
        <f t="shared" si="2"/>
        <v>-15.13361089528189</v>
      </c>
      <c r="P127" s="9">
        <f>Model_Data!Q127</f>
        <v>-2.8305653930887988</v>
      </c>
      <c r="Q127" s="9">
        <f t="shared" si="3"/>
        <v>-2.2723139482405244</v>
      </c>
      <c r="R127" s="10"/>
      <c r="S127" s="9">
        <f>Model_Data!A127</f>
        <v>2.5</v>
      </c>
      <c r="T127" s="9">
        <f>Model_Data!B127-Inputs!$C$5</f>
        <v>6.9444444444570763E-3</v>
      </c>
      <c r="U127" s="10"/>
      <c r="V127" s="9">
        <f>Model_Data!A127</f>
        <v>2.5</v>
      </c>
      <c r="W127" s="9">
        <f>((SQRT((Model_Data!A127)^2+Inputs!$C$6^2+Inputs!$C$5^2)-Inputs!$C$5)*1000/Inputs!$C$12)</f>
        <v>442.85716682962078</v>
      </c>
      <c r="X127" s="9">
        <f>Model_Data!F127</f>
        <v>442.84949359197901</v>
      </c>
      <c r="Y127" s="10"/>
      <c r="Z127" s="9">
        <f>Model_Data!A127</f>
        <v>2.5</v>
      </c>
      <c r="AA127" s="9">
        <f>SQRT((Model_Data!A127)^2+Inputs!$C$6^2+((Model_Data!B127)-((Inputs!$C$51*(115*EXP(-(((Inputs!$C$6)-25)^2)/(4.5^2))+70*EXP(-(((Inputs!$C$6)+38)^2)/(7^2))*(0.55+0.45*SIN(2*PI()*(Model_Data!A127)/45))+24*SIN(2*PI()*(Inputs!$C$6)/9+(Model_Data!A127)/18)*EXP(-(((Inputs!$C$6)+5)^2)/(22^2))+18*SIN(2*PI()*(Model_Data!A127)/70))+Inputs!$C$28*EXP(-(((Model_Data!A127)-Inputs!$C$29)^2)/(2*Inputs!$C$31^2))*EXP(-(((Inputs!$C$6)-Inputs!$C$30)^2)/(2*Inputs!$C$32^2))+-Inputs!$C$33*EXP(-(((((Model_Data!A127)-Inputs!$C$34)^2)+(((Inputs!$C$6)-Inputs!$C$35)^2))/(2*Inputs!$C$36^2)))+Inputs!$C$37*(0.55*SIN(2*PI()*(Model_Data!A127)/Inputs!$C$39)+0.35*COS(2*PI()*(Inputs!$C$6)/Inputs!$C$40)+0.2*SIN(2*PI()*((Model_Data!A127)+(Inputs!$C$6))/(0.5*(Inputs!$C$39+Inputs!$C$40))))+Inputs!$C$38*SIN(2*PI()*(Model_Data!A127)/Inputs!$C$39)*SIN(2*PI()*(Inputs!$C$6)/Inputs!$C$40)+-Inputs!$C$41*EXP(-(((Inputs!$C$6)-Inputs!$C$43)^2)/(2*Inputs!$C$44^2))*EXP(-(((Model_Data!A127)-Inputs!$C$42)^2)/(2*Inputs!$C$45^2))+Inputs!$C$48*(0.7*(0.45*SIN(2*PI()*(((Model_Data!A127)/Inputs!$C$49)+Inputs!$C$47*0.137))+0.35*COS(2*PI()*(((Inputs!$C$6)/Inputs!$C$50)+Inputs!$C$47*0.173))+0.2*SIN(2*PI()*(((Model_Data!A127)+(Inputs!$C$6))/(0.5*(Inputs!$C$49+Inputs!$C$50))+Inputs!$C$47*0.097)))+0.3*(2*((SIN(((Model_Data!A127)*12.9898+(Inputs!$C$6)*78.233+Inputs!$C$47*37.719))*43758.5453)-INT((SIN(((Model_Data!A127)*12.9898+(Inputs!$C$6)*78.233+Inputs!$C$47*37.719))*43758.5453)))-1))))/1000)^2)</f>
        <v>400.2465684059066</v>
      </c>
      <c r="AB127" s="9">
        <f>1000*(AA128-AA126)/(Z128-Z126)*Inputs!$C$11</f>
        <v>37.834027238204726</v>
      </c>
      <c r="AC127" s="9">
        <f>-2*AB127/Inputs!$C$13</f>
        <v>-15.13361089528189</v>
      </c>
      <c r="AD127" s="9">
        <f>-2*AB127/Inputs!$C$14</f>
        <v>-2.2723139482405244</v>
      </c>
    </row>
    <row r="128" spans="1:30">
      <c r="A128" s="9">
        <f>Model_Data!A128</f>
        <v>3</v>
      </c>
      <c r="B128" s="9">
        <f>((SQRT((Model_Data!A128)^2+Inputs!$C$6^2+Inputs!$C$5^2)-Inputs!$C$5)*1000/Inputs!$C$12)</f>
        <v>444.78454003743417</v>
      </c>
      <c r="C128" s="9">
        <f>Model_Data!F128</f>
        <v>444.77344266602285</v>
      </c>
      <c r="D128" s="9">
        <f>(((SQRT((Model_Data!A128)^2+Inputs!$C$6^2+((Model_Data!B128)-((Inputs!$C$51*(115*EXP(-(((Inputs!$C$6)-25)^2)/(4.5^2))+70*EXP(-(((Inputs!$C$6)+38)^2)/(7^2))*(0.55+0.45*SIN(2*PI()*(Model_Data!A128)/45))+24*SIN(2*PI()*(Inputs!$C$6)/9+(Model_Data!A128)/18)*EXP(-(((Inputs!$C$6)+5)^2)/(22^2))+18*SIN(2*PI()*(Model_Data!A128)/70))+Inputs!$C$28*EXP(-(((Model_Data!A128)-Inputs!$C$29)^2)/(2*Inputs!$C$31^2))*EXP(-(((Inputs!$C$6)-Inputs!$C$30)^2)/(2*Inputs!$C$32^2))+-Inputs!$C$33*EXP(-(((((Model_Data!A128)-Inputs!$C$34)^2)+(((Inputs!$C$6)-Inputs!$C$35)^2))/(2*Inputs!$C$36^2)))+Inputs!$C$37*(0.55*SIN(2*PI()*(Model_Data!A128)/Inputs!$C$39)+0.35*COS(2*PI()*(Inputs!$C$6)/Inputs!$C$40)+0.2*SIN(2*PI()*((Model_Data!A128)+(Inputs!$C$6))/(0.5*(Inputs!$C$39+Inputs!$C$40))))+Inputs!$C$38*SIN(2*PI()*(Model_Data!A128)/Inputs!$C$39)*SIN(2*PI()*(Inputs!$C$6)/Inputs!$C$40)+-Inputs!$C$41*EXP(-(((Inputs!$C$6)-Inputs!$C$43)^2)/(2*Inputs!$C$44^2))*EXP(-(((Model_Data!A128)-Inputs!$C$42)^2)/(2*Inputs!$C$45^2))+Inputs!$C$48*(0.7*(0.45*SIN(2*PI()*(((Model_Data!A128)/Inputs!$C$49)+Inputs!$C$47*0.137))+0.35*COS(2*PI()*(((Inputs!$C$6)/Inputs!$C$50)+Inputs!$C$47*0.173))+0.2*SIN(2*PI()*(((Model_Data!A128)+(Inputs!$C$6))/(0.5*(Inputs!$C$49+Inputs!$C$50))+Inputs!$C$47*0.097)))+0.3*(2*((SIN(((Model_Data!A128)*12.9898+(Inputs!$C$6)*78.233+Inputs!$C$47*37.719))*43758.5453)-INT((SIN(((Model_Data!A128)*12.9898+(Inputs!$C$6)*78.233+Inputs!$C$47*37.719))*43758.5453)))-1))))/1000)^2))-(((Model_Data!B128)-((Inputs!$C$51*(115*EXP(-(((0)-25)^2)/(4.5^2))+70*EXP(-(((0)+38)^2)/(7^2))*(0.55+0.45*SIN(2*PI()*(Model_Data!A128)/45))+24*SIN(2*PI()*(0)/9+(Model_Data!A128)/18)*EXP(-(((0)+5)^2)/(22^2))+18*SIN(2*PI()*(Model_Data!A128)/70))+Inputs!$C$28*EXP(-(((Model_Data!A128)-Inputs!$C$29)^2)/(2*Inputs!$C$31^2))*EXP(-(((0)-Inputs!$C$30)^2)/(2*Inputs!$C$32^2))+-Inputs!$C$33*EXP(-(((((Model_Data!A128)-Inputs!$C$34)^2)+(((0)-Inputs!$C$35)^2))/(2*Inputs!$C$36^2)))+Inputs!$C$37*(0.55*SIN(2*PI()*(Model_Data!A128)/Inputs!$C$39)+0.35*COS(2*PI()*(0)/Inputs!$C$40)+0.2*SIN(2*PI()*((Model_Data!A128)+(0))/(0.5*(Inputs!$C$39+Inputs!$C$40))))+Inputs!$C$38*SIN(2*PI()*(Model_Data!A128)/Inputs!$C$39)*SIN(2*PI()*(0)/Inputs!$C$40)+-Inputs!$C$41*EXP(-(((0)-Inputs!$C$43)^2)/(2*Inputs!$C$44^2))*EXP(-(((Model_Data!A128)-Inputs!$C$42)^2)/(2*Inputs!$C$45^2))+Inputs!$C$48*(0.7*(0.45*SIN(2*PI()*(((Model_Data!A128)/Inputs!$C$49)+Inputs!$C$47*0.137))+0.35*COS(2*PI()*(((0)/Inputs!$C$50)+Inputs!$C$47*0.173))+0.2*SIN(2*PI()*(((Model_Data!A128)+(0))/(0.5*(Inputs!$C$49+Inputs!$C$50))+Inputs!$C$47*0.097)))+0.3*(2*((SIN(((Model_Data!A128)*12.9898+(0)*78.233+Inputs!$C$47*37.719))*43758.5453)-INT((SIN(((Model_Data!A128)*12.9898+(0)*78.233+Inputs!$C$47*37.719))*43758.5453)))-1))))/1000)))*1000/Inputs!$C$12)</f>
        <v>189.90804918038765</v>
      </c>
      <c r="E128" s="9">
        <f>Model_Data!A128</f>
        <v>3</v>
      </c>
      <c r="F128" s="9">
        <f>(Inputs!$C$51*(115*EXP(-(((Inputs!$C$6)-25)^2)/(4.5^2))+70*EXP(-(((Inputs!$C$6)+38)^2)/(7^2))*(0.55+0.45*SIN(2*PI()*(Model_Data!A128)/45))+24*SIN(2*PI()*(Inputs!$C$6)/9+(Model_Data!A128)/18)*EXP(-(((Inputs!$C$6)+5)^2)/(22^2))+18*SIN(2*PI()*(Model_Data!A128)/70))+Inputs!$C$28*EXP(-(((Model_Data!A128)-Inputs!$C$29)^2)/(2*Inputs!$C$31^2))*EXP(-(((Inputs!$C$6)-Inputs!$C$30)^2)/(2*Inputs!$C$32^2))+-Inputs!$C$33*EXP(-(((((Model_Data!A128)-Inputs!$C$34)^2)+(((Inputs!$C$6)-Inputs!$C$35)^2))/(2*Inputs!$C$36^2)))+Inputs!$C$37*(0.55*SIN(2*PI()*(Model_Data!A128)/Inputs!$C$39)+0.35*COS(2*PI()*(Inputs!$C$6)/Inputs!$C$40)+0.2*SIN(2*PI()*((Model_Data!A128)+(Inputs!$C$6))/(0.5*(Inputs!$C$39+Inputs!$C$40))))+Inputs!$C$38*SIN(2*PI()*(Model_Data!A128)/Inputs!$C$39)*SIN(2*PI()*(Inputs!$C$6)/Inputs!$C$40)+-Inputs!$C$41*EXP(-(((Inputs!$C$6)-Inputs!$C$43)^2)/(2*Inputs!$C$44^2))*EXP(-(((Model_Data!A128)-Inputs!$C$42)^2)/(2*Inputs!$C$45^2))+Inputs!$C$48*(0.7*(0.45*SIN(2*PI()*(((Model_Data!A128)/Inputs!$C$49)+Inputs!$C$47*0.137))+0.35*COS(2*PI()*(((Inputs!$C$6)/Inputs!$C$50)+Inputs!$C$47*0.173))+0.2*SIN(2*PI()*(((Model_Data!A128)+(Inputs!$C$6))/(0.5*(Inputs!$C$49+Inputs!$C$50))+Inputs!$C$47*0.097)))+0.3*(2*((SIN(((Model_Data!A128)*12.9898+(Inputs!$C$6)*78.233+Inputs!$C$47*37.719))*43758.5453)-INT((SIN(((Model_Data!A128)*12.9898+(Inputs!$C$6)*78.233+Inputs!$C$47*37.719))*43758.5453)))-1)))</f>
        <v>536.84310410266767</v>
      </c>
      <c r="G128" s="9">
        <f>(Inputs!$C$51*(115*EXP(-(((0)-25)^2)/(4.5^2))+70*EXP(-(((0)+38)^2)/(7^2))*(0.55+0.45*SIN(2*PI()*(Model_Data!A128)/45))+24*SIN(2*PI()*(0)/9+(Model_Data!A128)/18)*EXP(-(((0)+5)^2)/(22^2))+18*SIN(2*PI()*(Model_Data!A128)/70))+Inputs!$C$28*EXP(-(((Model_Data!A128)-Inputs!$C$29)^2)/(2*Inputs!$C$31^2))*EXP(-(((0)-Inputs!$C$30)^2)/(2*Inputs!$C$32^2))+-Inputs!$C$33*EXP(-(((((Model_Data!A128)-Inputs!$C$34)^2)+(((0)-Inputs!$C$35)^2))/(2*Inputs!$C$36^2)))+Inputs!$C$37*(0.55*SIN(2*PI()*(Model_Data!A128)/Inputs!$C$39)+0.35*COS(2*PI()*(0)/Inputs!$C$40)+0.2*SIN(2*PI()*((Model_Data!A128)+(0))/(0.5*(Inputs!$C$39+Inputs!$C$40))))+Inputs!$C$38*SIN(2*PI()*(Model_Data!A128)/Inputs!$C$39)*SIN(2*PI()*(0)/Inputs!$C$40)+-Inputs!$C$41*EXP(-(((0)-Inputs!$C$43)^2)/(2*Inputs!$C$44^2))*EXP(-(((Model_Data!A128)-Inputs!$C$42)^2)/(2*Inputs!$C$45^2))+Inputs!$C$48*(0.7*(0.45*SIN(2*PI()*(((Model_Data!A128)/Inputs!$C$49)+Inputs!$C$47*0.137))+0.35*COS(2*PI()*(((0)/Inputs!$C$50)+Inputs!$C$47*0.173))+0.2*SIN(2*PI()*(((Model_Data!A128)+(0))/(0.5*(Inputs!$C$49+Inputs!$C$50))+Inputs!$C$47*0.097)))+0.3*(2*((SIN(((Model_Data!A128)*12.9898+(0)*78.233+Inputs!$C$47*37.719))*43758.5453)-INT((SIN(((Model_Data!A128)*12.9898+(0)*78.233+Inputs!$C$47*37.719))*43758.5453)))-1)))</f>
        <v>82.120865864262811</v>
      </c>
      <c r="H128" s="10"/>
      <c r="I128" s="9">
        <f>Model_Data!A128</f>
        <v>3</v>
      </c>
      <c r="J128" s="9">
        <f>(Inputs!$C$51*(115*EXP(-(((Inputs!$C$6)-25)^2)/(4.5^2))+70*EXP(-(((Inputs!$C$6)+38)^2)/(7^2))*(0.55+0.45*SIN(2*PI()*(Model_Data!A128)/45))+24*SIN(2*PI()*(Inputs!$C$6)/9+(Model_Data!A128)/18)*EXP(-(((Inputs!$C$6)+5)^2)/(22^2))+18*SIN(2*PI()*(Model_Data!A128)/70))+Inputs!$C$28*EXP(-(((Model_Data!A128)-Inputs!$C$29)^2)/(2*Inputs!$C$31^2))*EXP(-(((Inputs!$C$6)-Inputs!$C$30)^2)/(2*Inputs!$C$32^2))+-Inputs!$C$33*EXP(-(((((Model_Data!A128)-Inputs!$C$34)^2)+(((Inputs!$C$6)-Inputs!$C$35)^2))/(2*Inputs!$C$36^2)))+Inputs!$C$37*(0.55*SIN(2*PI()*(Model_Data!A128)/Inputs!$C$39)+0.35*COS(2*PI()*(Inputs!$C$6)/Inputs!$C$40)+0.2*SIN(2*PI()*((Model_Data!A128)+(Inputs!$C$6))/(0.5*(Inputs!$C$39+Inputs!$C$40))))+Inputs!$C$38*SIN(2*PI()*(Model_Data!A128)/Inputs!$C$39)*SIN(2*PI()*(Inputs!$C$6)/Inputs!$C$40)+-Inputs!$C$41*EXP(-(((Inputs!$C$6)-Inputs!$C$43)^2)/(2*Inputs!$C$44^2))*EXP(-(((Model_Data!A128)-Inputs!$C$42)^2)/(2*Inputs!$C$45^2))+Inputs!$C$48*(0.7*(0.45*SIN(2*PI()*(((Model_Data!A128)/Inputs!$C$49)+Inputs!$C$47*0.137))+0.35*COS(2*PI()*(((Inputs!$C$6)/Inputs!$C$50)+Inputs!$C$47*0.173))+0.2*SIN(2*PI()*(((Model_Data!A128)+(Inputs!$C$6))/(0.5*(Inputs!$C$49+Inputs!$C$50))+Inputs!$C$47*0.097)))+0.3*(2*((SIN(((Model_Data!A128)*12.9898+(Inputs!$C$6)*78.233+Inputs!$C$47*37.719))*43758.5453)-INT((SIN(((Model_Data!A128)*12.9898+(Inputs!$C$6)*78.233+Inputs!$C$47*37.719))*43758.5453)))-1)))</f>
        <v>536.84310410266767</v>
      </c>
      <c r="K128" s="9">
        <f>-((((SQRT((Model_Data!A128)^2+Inputs!$C$6^2+((Model_Data!B128)-((Inputs!$C$51*(115*EXP(-(((Inputs!$C$6)-25)^2)/(4.5^2))+70*EXP(-(((Inputs!$C$6)+38)^2)/(7^2))*(0.55+0.45*SIN(2*PI()*(Model_Data!A128)/45))+24*SIN(2*PI()*(Inputs!$C$6)/9+(Model_Data!A128)/18)*EXP(-(((Inputs!$C$6)+5)^2)/(22^2))+18*SIN(2*PI()*(Model_Data!A128)/70))+Inputs!$C$28*EXP(-(((Model_Data!A128)-Inputs!$C$29)^2)/(2*Inputs!$C$31^2))*EXP(-(((Inputs!$C$6)-Inputs!$C$30)^2)/(2*Inputs!$C$32^2))+-Inputs!$C$33*EXP(-(((((Model_Data!A128)-Inputs!$C$34)^2)+(((Inputs!$C$6)-Inputs!$C$35)^2))/(2*Inputs!$C$36^2)))+Inputs!$C$37*(0.55*SIN(2*PI()*(Model_Data!A128)/Inputs!$C$39)+0.35*COS(2*PI()*(Inputs!$C$6)/Inputs!$C$40)+0.2*SIN(2*PI()*((Model_Data!A128)+(Inputs!$C$6))/(0.5*(Inputs!$C$39+Inputs!$C$40))))+Inputs!$C$38*SIN(2*PI()*(Model_Data!A128)/Inputs!$C$39)*SIN(2*PI()*(Inputs!$C$6)/Inputs!$C$40)+-Inputs!$C$41*EXP(-(((Inputs!$C$6)-Inputs!$C$43)^2)/(2*Inputs!$C$44^2))*EXP(-(((Model_Data!A128)-Inputs!$C$42)^2)/(2*Inputs!$C$45^2))+Inputs!$C$48*(0.7*(0.45*SIN(2*PI()*(((Model_Data!A128)/Inputs!$C$49)+Inputs!$C$47*0.137))+0.35*COS(2*PI()*(((Inputs!$C$6)/Inputs!$C$50)+Inputs!$C$47*0.173))+0.2*SIN(2*PI()*(((Model_Data!A128)+(Inputs!$C$6))/(0.5*(Inputs!$C$49+Inputs!$C$50))+Inputs!$C$47*0.097)))+0.3*(2*((SIN(((Model_Data!A128)*12.9898+(Inputs!$C$6)*78.233+Inputs!$C$47*37.719))*43758.5453)-INT((SIN(((Model_Data!A128)*12.9898+(Inputs!$C$6)*78.233+Inputs!$C$47*37.719))*43758.5453)))-1))))/1000)^2))-(((Model_Data!B128)-((Inputs!$C$51*(115*EXP(-(((0)-25)^2)/(4.5^2))+70*EXP(-(((0)+38)^2)/(7^2))*(0.55+0.45*SIN(2*PI()*(Model_Data!A128)/45))+24*SIN(2*PI()*(0)/9+(Model_Data!A128)/18)*EXP(-(((0)+5)^2)/(22^2))+18*SIN(2*PI()*(Model_Data!A128)/70))+Inputs!$C$28*EXP(-(((Model_Data!A128)-Inputs!$C$29)^2)/(2*Inputs!$C$31^2))*EXP(-(((0)-Inputs!$C$30)^2)/(2*Inputs!$C$32^2))+-Inputs!$C$33*EXP(-(((((Model_Data!A128)-Inputs!$C$34)^2)+(((0)-Inputs!$C$35)^2))/(2*Inputs!$C$36^2)))+Inputs!$C$37*(0.55*SIN(2*PI()*(Model_Data!A128)/Inputs!$C$39)+0.35*COS(2*PI()*(0)/Inputs!$C$40)+0.2*SIN(2*PI()*((Model_Data!A128)+(0))/(0.5*(Inputs!$C$39+Inputs!$C$40))))+Inputs!$C$38*SIN(2*PI()*(Model_Data!A128)/Inputs!$C$39)*SIN(2*PI()*(0)/Inputs!$C$40)+-Inputs!$C$41*EXP(-(((0)-Inputs!$C$43)^2)/(2*Inputs!$C$44^2))*EXP(-(((Model_Data!A128)-Inputs!$C$42)^2)/(2*Inputs!$C$45^2))+Inputs!$C$48*(0.7*(0.45*SIN(2*PI()*(((Model_Data!A128)/Inputs!$C$49)+Inputs!$C$47*0.137))+0.35*COS(2*PI()*(((0)/Inputs!$C$50)+Inputs!$C$47*0.173))+0.2*SIN(2*PI()*(((Model_Data!A128)+(0))/(0.5*(Inputs!$C$49+Inputs!$C$50))+Inputs!$C$47*0.097)))+0.3*(2*((SIN(((Model_Data!A128)*12.9898+(0)*78.233+Inputs!$C$47*37.719))*43758.5453)-INT((SIN(((Model_Data!A128)*12.9898+(0)*78.233+Inputs!$C$47*37.719))*43758.5453)))-1))))/1000)))*1000/Inputs!$C$12)-Model_Data!F128)</f>
        <v>254.8653934856352</v>
      </c>
      <c r="L128" s="10"/>
      <c r="M128" s="9">
        <f>Model_Data!A128</f>
        <v>3</v>
      </c>
      <c r="N128" s="9">
        <f>Model_Data!P128</f>
        <v>-22.621594188229299</v>
      </c>
      <c r="O128" s="9">
        <f t="shared" si="2"/>
        <v>-1.5788080892889411</v>
      </c>
      <c r="P128" s="9">
        <f>Model_Data!Q128</f>
        <v>-3.3966357639983933</v>
      </c>
      <c r="Q128" s="9">
        <f t="shared" si="3"/>
        <v>-0.2370582716650062</v>
      </c>
      <c r="R128" s="10"/>
      <c r="S128" s="9">
        <f>Model_Data!A128</f>
        <v>3</v>
      </c>
      <c r="T128" s="9">
        <f>Model_Data!B128-Inputs!$C$5</f>
        <v>9.9999999999909051E-3</v>
      </c>
      <c r="U128" s="10"/>
      <c r="V128" s="9">
        <f>Model_Data!A128</f>
        <v>3</v>
      </c>
      <c r="W128" s="9">
        <f>((SQRT((Model_Data!A128)^2+Inputs!$C$6^2+Inputs!$C$5^2)-Inputs!$C$5)*1000/Inputs!$C$12)</f>
        <v>444.78454003743417</v>
      </c>
      <c r="X128" s="9">
        <f>Model_Data!F128</f>
        <v>444.77344266602285</v>
      </c>
      <c r="Y128" s="10"/>
      <c r="Z128" s="9">
        <f>Model_Data!A128</f>
        <v>3</v>
      </c>
      <c r="AA128" s="9">
        <f>SQRT((Model_Data!A128)^2+Inputs!$C$6^2+((Model_Data!B128)-((Inputs!$C$51*(115*EXP(-(((Inputs!$C$6)-25)^2)/(4.5^2))+70*EXP(-(((Inputs!$C$6)+38)^2)/(7^2))*(0.55+0.45*SIN(2*PI()*(Model_Data!A128)/45))+24*SIN(2*PI()*(Inputs!$C$6)/9+(Model_Data!A128)/18)*EXP(-(((Inputs!$C$6)+5)^2)/(22^2))+18*SIN(2*PI()*(Model_Data!A128)/70))+Inputs!$C$28*EXP(-(((Model_Data!A128)-Inputs!$C$29)^2)/(2*Inputs!$C$31^2))*EXP(-(((Inputs!$C$6)-Inputs!$C$30)^2)/(2*Inputs!$C$32^2))+-Inputs!$C$33*EXP(-(((((Model_Data!A128)-Inputs!$C$34)^2)+(((Inputs!$C$6)-Inputs!$C$35)^2))/(2*Inputs!$C$36^2)))+Inputs!$C$37*(0.55*SIN(2*PI()*(Model_Data!A128)/Inputs!$C$39)+0.35*COS(2*PI()*(Inputs!$C$6)/Inputs!$C$40)+0.2*SIN(2*PI()*((Model_Data!A128)+(Inputs!$C$6))/(0.5*(Inputs!$C$39+Inputs!$C$40))))+Inputs!$C$38*SIN(2*PI()*(Model_Data!A128)/Inputs!$C$39)*SIN(2*PI()*(Inputs!$C$6)/Inputs!$C$40)+-Inputs!$C$41*EXP(-(((Inputs!$C$6)-Inputs!$C$43)^2)/(2*Inputs!$C$44^2))*EXP(-(((Model_Data!A128)-Inputs!$C$42)^2)/(2*Inputs!$C$45^2))+Inputs!$C$48*(0.7*(0.45*SIN(2*PI()*(((Model_Data!A128)/Inputs!$C$49)+Inputs!$C$47*0.137))+0.35*COS(2*PI()*(((Inputs!$C$6)/Inputs!$C$50)+Inputs!$C$47*0.173))+0.2*SIN(2*PI()*(((Model_Data!A128)+(Inputs!$C$6))/(0.5*(Inputs!$C$49+Inputs!$C$50))+Inputs!$C$47*0.097)))+0.3*(2*((SIN(((Model_Data!A128)*12.9898+(Inputs!$C$6)*78.233+Inputs!$C$47*37.719))*43758.5453)-INT((SIN(((Model_Data!A128)*12.9898+(Inputs!$C$6)*78.233+Inputs!$C$47*37.719))*43758.5453)))-1))))/1000)^2)</f>
        <v>400.2659154616768</v>
      </c>
      <c r="AB128" s="9">
        <f>1000*(AA129-AA127)/(Z129-Z127)*Inputs!$C$11</f>
        <v>3.9470202232223528</v>
      </c>
      <c r="AC128" s="9">
        <f>-2*AB128/Inputs!$C$13</f>
        <v>-1.5788080892889411</v>
      </c>
      <c r="AD128" s="9">
        <f>-2*AB128/Inputs!$C$14</f>
        <v>-0.2370582716650062</v>
      </c>
    </row>
    <row r="129" spans="1:30">
      <c r="A129" s="9">
        <f>Model_Data!A129</f>
        <v>3.5</v>
      </c>
      <c r="B129" s="9">
        <f>((SQRT((Model_Data!A129)^2+Inputs!$C$6^2+Inputs!$C$5^2)-Inputs!$C$5)*1000/Inputs!$C$12)</f>
        <v>447.06232346754223</v>
      </c>
      <c r="C129" s="9">
        <f>Model_Data!F129</f>
        <v>447.04714164934461</v>
      </c>
      <c r="D129" s="9">
        <f>(((SQRT((Model_Data!A129)^2+Inputs!$C$6^2+((Model_Data!B129)-((Inputs!$C$51*(115*EXP(-(((Inputs!$C$6)-25)^2)/(4.5^2))+70*EXP(-(((Inputs!$C$6)+38)^2)/(7^2))*(0.55+0.45*SIN(2*PI()*(Model_Data!A129)/45))+24*SIN(2*PI()*(Inputs!$C$6)/9+(Model_Data!A129)/18)*EXP(-(((Inputs!$C$6)+5)^2)/(22^2))+18*SIN(2*PI()*(Model_Data!A129)/70))+Inputs!$C$28*EXP(-(((Model_Data!A129)-Inputs!$C$29)^2)/(2*Inputs!$C$31^2))*EXP(-(((Inputs!$C$6)-Inputs!$C$30)^2)/(2*Inputs!$C$32^2))+-Inputs!$C$33*EXP(-(((((Model_Data!A129)-Inputs!$C$34)^2)+(((Inputs!$C$6)-Inputs!$C$35)^2))/(2*Inputs!$C$36^2)))+Inputs!$C$37*(0.55*SIN(2*PI()*(Model_Data!A129)/Inputs!$C$39)+0.35*COS(2*PI()*(Inputs!$C$6)/Inputs!$C$40)+0.2*SIN(2*PI()*((Model_Data!A129)+(Inputs!$C$6))/(0.5*(Inputs!$C$39+Inputs!$C$40))))+Inputs!$C$38*SIN(2*PI()*(Model_Data!A129)/Inputs!$C$39)*SIN(2*PI()*(Inputs!$C$6)/Inputs!$C$40)+-Inputs!$C$41*EXP(-(((Inputs!$C$6)-Inputs!$C$43)^2)/(2*Inputs!$C$44^2))*EXP(-(((Model_Data!A129)-Inputs!$C$42)^2)/(2*Inputs!$C$45^2))+Inputs!$C$48*(0.7*(0.45*SIN(2*PI()*(((Model_Data!A129)/Inputs!$C$49)+Inputs!$C$47*0.137))+0.35*COS(2*PI()*(((Inputs!$C$6)/Inputs!$C$50)+Inputs!$C$47*0.173))+0.2*SIN(2*PI()*(((Model_Data!A129)+(Inputs!$C$6))/(0.5*(Inputs!$C$49+Inputs!$C$50))+Inputs!$C$47*0.097)))+0.3*(2*((SIN(((Model_Data!A129)*12.9898+(Inputs!$C$6)*78.233+Inputs!$C$47*37.719))*43758.5453)-INT((SIN(((Model_Data!A129)*12.9898+(Inputs!$C$6)*78.233+Inputs!$C$47*37.719))*43758.5453)))-1))))/1000)^2))-(((Model_Data!B129)-((Inputs!$C$51*(115*EXP(-(((0)-25)^2)/(4.5^2))+70*EXP(-(((0)+38)^2)/(7^2))*(0.55+0.45*SIN(2*PI()*(Model_Data!A129)/45))+24*SIN(2*PI()*(0)/9+(Model_Data!A129)/18)*EXP(-(((0)+5)^2)/(22^2))+18*SIN(2*PI()*(Model_Data!A129)/70))+Inputs!$C$28*EXP(-(((Model_Data!A129)-Inputs!$C$29)^2)/(2*Inputs!$C$31^2))*EXP(-(((0)-Inputs!$C$30)^2)/(2*Inputs!$C$32^2))+-Inputs!$C$33*EXP(-(((((Model_Data!A129)-Inputs!$C$34)^2)+(((0)-Inputs!$C$35)^2))/(2*Inputs!$C$36^2)))+Inputs!$C$37*(0.55*SIN(2*PI()*(Model_Data!A129)/Inputs!$C$39)+0.35*COS(2*PI()*(0)/Inputs!$C$40)+0.2*SIN(2*PI()*((Model_Data!A129)+(0))/(0.5*(Inputs!$C$39+Inputs!$C$40))))+Inputs!$C$38*SIN(2*PI()*(Model_Data!A129)/Inputs!$C$39)*SIN(2*PI()*(0)/Inputs!$C$40)+-Inputs!$C$41*EXP(-(((0)-Inputs!$C$43)^2)/(2*Inputs!$C$44^2))*EXP(-(((Model_Data!A129)-Inputs!$C$42)^2)/(2*Inputs!$C$45^2))+Inputs!$C$48*(0.7*(0.45*SIN(2*PI()*(((Model_Data!A129)/Inputs!$C$49)+Inputs!$C$47*0.137))+0.35*COS(2*PI()*(((0)/Inputs!$C$50)+Inputs!$C$47*0.173))+0.2*SIN(2*PI()*(((Model_Data!A129)+(0))/(0.5*(Inputs!$C$49+Inputs!$C$50))+Inputs!$C$47*0.097)))+0.3*(2*((SIN(((Model_Data!A129)*12.9898+(0)*78.233+Inputs!$C$47*37.719))*43758.5453)-INT((SIN(((Model_Data!A129)*12.9898+(0)*78.233+Inputs!$C$47*37.719))*43758.5453)))-1))))/1000)))*1000/Inputs!$C$12)</f>
        <v>186.83169276245192</v>
      </c>
      <c r="E129" s="9">
        <f>Model_Data!A129</f>
        <v>3.5</v>
      </c>
      <c r="F129" s="9">
        <f>(Inputs!$C$51*(115*EXP(-(((Inputs!$C$6)-25)^2)/(4.5^2))+70*EXP(-(((Inputs!$C$6)+38)^2)/(7^2))*(0.55+0.45*SIN(2*PI()*(Model_Data!A129)/45))+24*SIN(2*PI()*(Inputs!$C$6)/9+(Model_Data!A129)/18)*EXP(-(((Inputs!$C$6)+5)^2)/(22^2))+18*SIN(2*PI()*(Model_Data!A129)/70))+Inputs!$C$28*EXP(-(((Model_Data!A129)-Inputs!$C$29)^2)/(2*Inputs!$C$31^2))*EXP(-(((Inputs!$C$6)-Inputs!$C$30)^2)/(2*Inputs!$C$32^2))+-Inputs!$C$33*EXP(-(((((Model_Data!A129)-Inputs!$C$34)^2)+(((Inputs!$C$6)-Inputs!$C$35)^2))/(2*Inputs!$C$36^2)))+Inputs!$C$37*(0.55*SIN(2*PI()*(Model_Data!A129)/Inputs!$C$39)+0.35*COS(2*PI()*(Inputs!$C$6)/Inputs!$C$40)+0.2*SIN(2*PI()*((Model_Data!A129)+(Inputs!$C$6))/(0.5*(Inputs!$C$39+Inputs!$C$40))))+Inputs!$C$38*SIN(2*PI()*(Model_Data!A129)/Inputs!$C$39)*SIN(2*PI()*(Inputs!$C$6)/Inputs!$C$40)+-Inputs!$C$41*EXP(-(((Inputs!$C$6)-Inputs!$C$43)^2)/(2*Inputs!$C$44^2))*EXP(-(((Model_Data!A129)-Inputs!$C$42)^2)/(2*Inputs!$C$45^2))+Inputs!$C$48*(0.7*(0.45*SIN(2*PI()*(((Model_Data!A129)/Inputs!$C$49)+Inputs!$C$47*0.137))+0.35*COS(2*PI()*(((Inputs!$C$6)/Inputs!$C$50)+Inputs!$C$47*0.173))+0.2*SIN(2*PI()*(((Model_Data!A129)+(Inputs!$C$6))/(0.5*(Inputs!$C$49+Inputs!$C$50))+Inputs!$C$47*0.097)))+0.3*(2*((SIN(((Model_Data!A129)*12.9898+(Inputs!$C$6)*78.233+Inputs!$C$47*37.719))*43758.5453)-INT((SIN(((Model_Data!A129)*12.9898+(Inputs!$C$6)*78.233+Inputs!$C$47*37.719))*43758.5453)))-1)))</f>
        <v>562.91901967460217</v>
      </c>
      <c r="G129" s="9">
        <f>(Inputs!$C$51*(115*EXP(-(((0)-25)^2)/(4.5^2))+70*EXP(-(((0)+38)^2)/(7^2))*(0.55+0.45*SIN(2*PI()*(Model_Data!A129)/45))+24*SIN(2*PI()*(0)/9+(Model_Data!A129)/18)*EXP(-(((0)+5)^2)/(22^2))+18*SIN(2*PI()*(Model_Data!A129)/70))+Inputs!$C$28*EXP(-(((Model_Data!A129)-Inputs!$C$29)^2)/(2*Inputs!$C$31^2))*EXP(-(((0)-Inputs!$C$30)^2)/(2*Inputs!$C$32^2))+-Inputs!$C$33*EXP(-(((((Model_Data!A129)-Inputs!$C$34)^2)+(((0)-Inputs!$C$35)^2))/(2*Inputs!$C$36^2)))+Inputs!$C$37*(0.55*SIN(2*PI()*(Model_Data!A129)/Inputs!$C$39)+0.35*COS(2*PI()*(0)/Inputs!$C$40)+0.2*SIN(2*PI()*((Model_Data!A129)+(0))/(0.5*(Inputs!$C$39+Inputs!$C$40))))+Inputs!$C$38*SIN(2*PI()*(Model_Data!A129)/Inputs!$C$39)*SIN(2*PI()*(0)/Inputs!$C$40)+-Inputs!$C$41*EXP(-(((0)-Inputs!$C$43)^2)/(2*Inputs!$C$44^2))*EXP(-(((Model_Data!A129)-Inputs!$C$42)^2)/(2*Inputs!$C$45^2))+Inputs!$C$48*(0.7*(0.45*SIN(2*PI()*(((Model_Data!A129)/Inputs!$C$49)+Inputs!$C$47*0.137))+0.35*COS(2*PI()*(((0)/Inputs!$C$50)+Inputs!$C$47*0.173))+0.2*SIN(2*PI()*(((Model_Data!A129)+(0))/(0.5*(Inputs!$C$49+Inputs!$C$50))+Inputs!$C$47*0.097)))+0.3*(2*((SIN(((Model_Data!A129)*12.9898+(0)*78.233+Inputs!$C$47*37.719))*43758.5453)-INT((SIN(((Model_Data!A129)*12.9898+(0)*78.233+Inputs!$C$47*37.719))*43758.5453)))-1)))</f>
        <v>98.61636326587373</v>
      </c>
      <c r="H129" s="10"/>
      <c r="I129" s="9">
        <f>Model_Data!A129</f>
        <v>3.5</v>
      </c>
      <c r="J129" s="9">
        <f>(Inputs!$C$51*(115*EXP(-(((Inputs!$C$6)-25)^2)/(4.5^2))+70*EXP(-(((Inputs!$C$6)+38)^2)/(7^2))*(0.55+0.45*SIN(2*PI()*(Model_Data!A129)/45))+24*SIN(2*PI()*(Inputs!$C$6)/9+(Model_Data!A129)/18)*EXP(-(((Inputs!$C$6)+5)^2)/(22^2))+18*SIN(2*PI()*(Model_Data!A129)/70))+Inputs!$C$28*EXP(-(((Model_Data!A129)-Inputs!$C$29)^2)/(2*Inputs!$C$31^2))*EXP(-(((Inputs!$C$6)-Inputs!$C$30)^2)/(2*Inputs!$C$32^2))+-Inputs!$C$33*EXP(-(((((Model_Data!A129)-Inputs!$C$34)^2)+(((Inputs!$C$6)-Inputs!$C$35)^2))/(2*Inputs!$C$36^2)))+Inputs!$C$37*(0.55*SIN(2*PI()*(Model_Data!A129)/Inputs!$C$39)+0.35*COS(2*PI()*(Inputs!$C$6)/Inputs!$C$40)+0.2*SIN(2*PI()*((Model_Data!A129)+(Inputs!$C$6))/(0.5*(Inputs!$C$39+Inputs!$C$40))))+Inputs!$C$38*SIN(2*PI()*(Model_Data!A129)/Inputs!$C$39)*SIN(2*PI()*(Inputs!$C$6)/Inputs!$C$40)+-Inputs!$C$41*EXP(-(((Inputs!$C$6)-Inputs!$C$43)^2)/(2*Inputs!$C$44^2))*EXP(-(((Model_Data!A129)-Inputs!$C$42)^2)/(2*Inputs!$C$45^2))+Inputs!$C$48*(0.7*(0.45*SIN(2*PI()*(((Model_Data!A129)/Inputs!$C$49)+Inputs!$C$47*0.137))+0.35*COS(2*PI()*(((Inputs!$C$6)/Inputs!$C$50)+Inputs!$C$47*0.173))+0.2*SIN(2*PI()*(((Model_Data!A129)+(Inputs!$C$6))/(0.5*(Inputs!$C$49+Inputs!$C$50))+Inputs!$C$47*0.097)))+0.3*(2*((SIN(((Model_Data!A129)*12.9898+(Inputs!$C$6)*78.233+Inputs!$C$47*37.719))*43758.5453)-INT((SIN(((Model_Data!A129)*12.9898+(Inputs!$C$6)*78.233+Inputs!$C$47*37.719))*43758.5453)))-1)))</f>
        <v>562.91901967460217</v>
      </c>
      <c r="K129" s="9">
        <f>-((((SQRT((Model_Data!A129)^2+Inputs!$C$6^2+((Model_Data!B129)-((Inputs!$C$51*(115*EXP(-(((Inputs!$C$6)-25)^2)/(4.5^2))+70*EXP(-(((Inputs!$C$6)+38)^2)/(7^2))*(0.55+0.45*SIN(2*PI()*(Model_Data!A129)/45))+24*SIN(2*PI()*(Inputs!$C$6)/9+(Model_Data!A129)/18)*EXP(-(((Inputs!$C$6)+5)^2)/(22^2))+18*SIN(2*PI()*(Model_Data!A129)/70))+Inputs!$C$28*EXP(-(((Model_Data!A129)-Inputs!$C$29)^2)/(2*Inputs!$C$31^2))*EXP(-(((Inputs!$C$6)-Inputs!$C$30)^2)/(2*Inputs!$C$32^2))+-Inputs!$C$33*EXP(-(((((Model_Data!A129)-Inputs!$C$34)^2)+(((Inputs!$C$6)-Inputs!$C$35)^2))/(2*Inputs!$C$36^2)))+Inputs!$C$37*(0.55*SIN(2*PI()*(Model_Data!A129)/Inputs!$C$39)+0.35*COS(2*PI()*(Inputs!$C$6)/Inputs!$C$40)+0.2*SIN(2*PI()*((Model_Data!A129)+(Inputs!$C$6))/(0.5*(Inputs!$C$39+Inputs!$C$40))))+Inputs!$C$38*SIN(2*PI()*(Model_Data!A129)/Inputs!$C$39)*SIN(2*PI()*(Inputs!$C$6)/Inputs!$C$40)+-Inputs!$C$41*EXP(-(((Inputs!$C$6)-Inputs!$C$43)^2)/(2*Inputs!$C$44^2))*EXP(-(((Model_Data!A129)-Inputs!$C$42)^2)/(2*Inputs!$C$45^2))+Inputs!$C$48*(0.7*(0.45*SIN(2*PI()*(((Model_Data!A129)/Inputs!$C$49)+Inputs!$C$47*0.137))+0.35*COS(2*PI()*(((Inputs!$C$6)/Inputs!$C$50)+Inputs!$C$47*0.173))+0.2*SIN(2*PI()*(((Model_Data!A129)+(Inputs!$C$6))/(0.5*(Inputs!$C$49+Inputs!$C$50))+Inputs!$C$47*0.097)))+0.3*(2*((SIN(((Model_Data!A129)*12.9898+(Inputs!$C$6)*78.233+Inputs!$C$47*37.719))*43758.5453)-INT((SIN(((Model_Data!A129)*12.9898+(Inputs!$C$6)*78.233+Inputs!$C$47*37.719))*43758.5453)))-1))))/1000)^2))-(((Model_Data!B129)-((Inputs!$C$51*(115*EXP(-(((0)-25)^2)/(4.5^2))+70*EXP(-(((0)+38)^2)/(7^2))*(0.55+0.45*SIN(2*PI()*(Model_Data!A129)/45))+24*SIN(2*PI()*(0)/9+(Model_Data!A129)/18)*EXP(-(((0)+5)^2)/(22^2))+18*SIN(2*PI()*(Model_Data!A129)/70))+Inputs!$C$28*EXP(-(((Model_Data!A129)-Inputs!$C$29)^2)/(2*Inputs!$C$31^2))*EXP(-(((0)-Inputs!$C$30)^2)/(2*Inputs!$C$32^2))+-Inputs!$C$33*EXP(-(((((Model_Data!A129)-Inputs!$C$34)^2)+(((0)-Inputs!$C$35)^2))/(2*Inputs!$C$36^2)))+Inputs!$C$37*(0.55*SIN(2*PI()*(Model_Data!A129)/Inputs!$C$39)+0.35*COS(2*PI()*(0)/Inputs!$C$40)+0.2*SIN(2*PI()*((Model_Data!A129)+(0))/(0.5*(Inputs!$C$39+Inputs!$C$40))))+Inputs!$C$38*SIN(2*PI()*(Model_Data!A129)/Inputs!$C$39)*SIN(2*PI()*(0)/Inputs!$C$40)+-Inputs!$C$41*EXP(-(((0)-Inputs!$C$43)^2)/(2*Inputs!$C$44^2))*EXP(-(((Model_Data!A129)-Inputs!$C$42)^2)/(2*Inputs!$C$45^2))+Inputs!$C$48*(0.7*(0.45*SIN(2*PI()*(((Model_Data!A129)/Inputs!$C$49)+Inputs!$C$47*0.137))+0.35*COS(2*PI()*(((0)/Inputs!$C$50)+Inputs!$C$47*0.173))+0.2*SIN(2*PI()*(((Model_Data!A129)+(0))/(0.5*(Inputs!$C$49+Inputs!$C$50))+Inputs!$C$47*0.097)))+0.3*(2*((SIN(((Model_Data!A129)*12.9898+(0)*78.233+Inputs!$C$47*37.719))*43758.5453)-INT((SIN(((Model_Data!A129)*12.9898+(0)*78.233+Inputs!$C$47*37.719))*43758.5453)))-1))))/1000)))*1000/Inputs!$C$12)-Model_Data!F129)</f>
        <v>260.21544888689266</v>
      </c>
      <c r="L129" s="10"/>
      <c r="M129" s="9">
        <f>Model_Data!A129</f>
        <v>3.5</v>
      </c>
      <c r="N129" s="9">
        <f>Model_Data!P129</f>
        <v>-26.391467733781575</v>
      </c>
      <c r="O129" s="9">
        <f t="shared" si="2"/>
        <v>13.233049425889476</v>
      </c>
      <c r="P129" s="9">
        <f>Model_Data!Q129</f>
        <v>-3.9626828429101471</v>
      </c>
      <c r="Q129" s="9">
        <f t="shared" si="3"/>
        <v>1.9869443582416633</v>
      </c>
      <c r="R129" s="10"/>
      <c r="S129" s="9">
        <f>Model_Data!A129</f>
        <v>3.5</v>
      </c>
      <c r="T129" s="9">
        <f>Model_Data!B129-Inputs!$C$5</f>
        <v>1.361111111111768E-2</v>
      </c>
      <c r="U129" s="10"/>
      <c r="V129" s="9">
        <f>Model_Data!A129</f>
        <v>3.5</v>
      </c>
      <c r="W129" s="9">
        <f>((SQRT((Model_Data!A129)^2+Inputs!$C$6^2+Inputs!$C$5^2)-Inputs!$C$5)*1000/Inputs!$C$12)</f>
        <v>447.06232346754223</v>
      </c>
      <c r="X129" s="9">
        <f>Model_Data!F129</f>
        <v>447.04714164934461</v>
      </c>
      <c r="Y129" s="10"/>
      <c r="Z129" s="9">
        <f>Model_Data!A129</f>
        <v>3.5</v>
      </c>
      <c r="AA129" s="9">
        <f>SQRT((Model_Data!A129)^2+Inputs!$C$6^2+((Model_Data!B129)-((Inputs!$C$51*(115*EXP(-(((Inputs!$C$6)-25)^2)/(4.5^2))+70*EXP(-(((Inputs!$C$6)+38)^2)/(7^2))*(0.55+0.45*SIN(2*PI()*(Model_Data!A129)/45))+24*SIN(2*PI()*(Inputs!$C$6)/9+(Model_Data!A129)/18)*EXP(-(((Inputs!$C$6)+5)^2)/(22^2))+18*SIN(2*PI()*(Model_Data!A129)/70))+Inputs!$C$28*EXP(-(((Model_Data!A129)-Inputs!$C$29)^2)/(2*Inputs!$C$31^2))*EXP(-(((Inputs!$C$6)-Inputs!$C$30)^2)/(2*Inputs!$C$32^2))+-Inputs!$C$33*EXP(-(((((Model_Data!A129)-Inputs!$C$34)^2)+(((Inputs!$C$6)-Inputs!$C$35)^2))/(2*Inputs!$C$36^2)))+Inputs!$C$37*(0.55*SIN(2*PI()*(Model_Data!A129)/Inputs!$C$39)+0.35*COS(2*PI()*(Inputs!$C$6)/Inputs!$C$40)+0.2*SIN(2*PI()*((Model_Data!A129)+(Inputs!$C$6))/(0.5*(Inputs!$C$39+Inputs!$C$40))))+Inputs!$C$38*SIN(2*PI()*(Model_Data!A129)/Inputs!$C$39)*SIN(2*PI()*(Inputs!$C$6)/Inputs!$C$40)+-Inputs!$C$41*EXP(-(((Inputs!$C$6)-Inputs!$C$43)^2)/(2*Inputs!$C$44^2))*EXP(-(((Model_Data!A129)-Inputs!$C$42)^2)/(2*Inputs!$C$45^2))+Inputs!$C$48*(0.7*(0.45*SIN(2*PI()*(((Model_Data!A129)/Inputs!$C$49)+Inputs!$C$47*0.137))+0.35*COS(2*PI()*(((Inputs!$C$6)/Inputs!$C$50)+Inputs!$C$47*0.173))+0.2*SIN(2*PI()*(((Model_Data!A129)+(Inputs!$C$6))/(0.5*(Inputs!$C$49+Inputs!$C$50))+Inputs!$C$47*0.097)))+0.3*(2*((SIN(((Model_Data!A129)*12.9898+(Inputs!$C$6)*78.233+Inputs!$C$47*37.719))*43758.5453)-INT((SIN(((Model_Data!A129)*12.9898+(Inputs!$C$6)*78.233+Inputs!$C$47*37.719))*43758.5453)))-1))))/1000)^2)</f>
        <v>400.24755516096241</v>
      </c>
      <c r="AB129" s="9">
        <f>1000*(AA130-AA128)/(Z130-Z128)*Inputs!$C$11</f>
        <v>-33.08262356472369</v>
      </c>
      <c r="AC129" s="9">
        <f>-2*AB129/Inputs!$C$13</f>
        <v>13.233049425889476</v>
      </c>
      <c r="AD129" s="9">
        <f>-2*AB129/Inputs!$C$14</f>
        <v>1.9869443582416633</v>
      </c>
    </row>
    <row r="130" spans="1:30">
      <c r="A130" s="9">
        <f>Model_Data!A130</f>
        <v>4</v>
      </c>
      <c r="B130" s="9">
        <f>((SQRT((Model_Data!A130)^2+Inputs!$C$6^2+Inputs!$C$5^2)-Inputs!$C$5)*1000/Inputs!$C$12)</f>
        <v>449.69050648585045</v>
      </c>
      <c r="C130" s="9">
        <f>Model_Data!F130</f>
        <v>449.67056103995435</v>
      </c>
      <c r="D130" s="9">
        <f>(((SQRT((Model_Data!A130)^2+Inputs!$C$6^2+((Model_Data!B130)-((Inputs!$C$51*(115*EXP(-(((Inputs!$C$6)-25)^2)/(4.5^2))+70*EXP(-(((Inputs!$C$6)+38)^2)/(7^2))*(0.55+0.45*SIN(2*PI()*(Model_Data!A130)/45))+24*SIN(2*PI()*(Inputs!$C$6)/9+(Model_Data!A130)/18)*EXP(-(((Inputs!$C$6)+5)^2)/(22^2))+18*SIN(2*PI()*(Model_Data!A130)/70))+Inputs!$C$28*EXP(-(((Model_Data!A130)-Inputs!$C$29)^2)/(2*Inputs!$C$31^2))*EXP(-(((Inputs!$C$6)-Inputs!$C$30)^2)/(2*Inputs!$C$32^2))+-Inputs!$C$33*EXP(-(((((Model_Data!A130)-Inputs!$C$34)^2)+(((Inputs!$C$6)-Inputs!$C$35)^2))/(2*Inputs!$C$36^2)))+Inputs!$C$37*(0.55*SIN(2*PI()*(Model_Data!A130)/Inputs!$C$39)+0.35*COS(2*PI()*(Inputs!$C$6)/Inputs!$C$40)+0.2*SIN(2*PI()*((Model_Data!A130)+(Inputs!$C$6))/(0.5*(Inputs!$C$39+Inputs!$C$40))))+Inputs!$C$38*SIN(2*PI()*(Model_Data!A130)/Inputs!$C$39)*SIN(2*PI()*(Inputs!$C$6)/Inputs!$C$40)+-Inputs!$C$41*EXP(-(((Inputs!$C$6)-Inputs!$C$43)^2)/(2*Inputs!$C$44^2))*EXP(-(((Model_Data!A130)-Inputs!$C$42)^2)/(2*Inputs!$C$45^2))+Inputs!$C$48*(0.7*(0.45*SIN(2*PI()*(((Model_Data!A130)/Inputs!$C$49)+Inputs!$C$47*0.137))+0.35*COS(2*PI()*(((Inputs!$C$6)/Inputs!$C$50)+Inputs!$C$47*0.173))+0.2*SIN(2*PI()*(((Model_Data!A130)+(Inputs!$C$6))/(0.5*(Inputs!$C$49+Inputs!$C$50))+Inputs!$C$47*0.097)))+0.3*(2*((SIN(((Model_Data!A130)*12.9898+(Inputs!$C$6)*78.233+Inputs!$C$47*37.719))*43758.5453)-INT((SIN(((Model_Data!A130)*12.9898+(Inputs!$C$6)*78.233+Inputs!$C$47*37.719))*43758.5453)))-1))))/1000)^2))-(((Model_Data!B130)-((Inputs!$C$51*(115*EXP(-(((0)-25)^2)/(4.5^2))+70*EXP(-(((0)+38)^2)/(7^2))*(0.55+0.45*SIN(2*PI()*(Model_Data!A130)/45))+24*SIN(2*PI()*(0)/9+(Model_Data!A130)/18)*EXP(-(((0)+5)^2)/(22^2))+18*SIN(2*PI()*(Model_Data!A130)/70))+Inputs!$C$28*EXP(-(((Model_Data!A130)-Inputs!$C$29)^2)/(2*Inputs!$C$31^2))*EXP(-(((0)-Inputs!$C$30)^2)/(2*Inputs!$C$32^2))+-Inputs!$C$33*EXP(-(((((Model_Data!A130)-Inputs!$C$34)^2)+(((0)-Inputs!$C$35)^2))/(2*Inputs!$C$36^2)))+Inputs!$C$37*(0.55*SIN(2*PI()*(Model_Data!A130)/Inputs!$C$39)+0.35*COS(2*PI()*(0)/Inputs!$C$40)+0.2*SIN(2*PI()*((Model_Data!A130)+(0))/(0.5*(Inputs!$C$39+Inputs!$C$40))))+Inputs!$C$38*SIN(2*PI()*(Model_Data!A130)/Inputs!$C$39)*SIN(2*PI()*(0)/Inputs!$C$40)+-Inputs!$C$41*EXP(-(((0)-Inputs!$C$43)^2)/(2*Inputs!$C$44^2))*EXP(-(((Model_Data!A130)-Inputs!$C$42)^2)/(2*Inputs!$C$45^2))+Inputs!$C$48*(0.7*(0.45*SIN(2*PI()*(((Model_Data!A130)/Inputs!$C$49)+Inputs!$C$47*0.137))+0.35*COS(2*PI()*(((0)/Inputs!$C$50)+Inputs!$C$47*0.173))+0.2*SIN(2*PI()*(((Model_Data!A130)+(0))/(0.5*(Inputs!$C$49+Inputs!$C$50))+Inputs!$C$47*0.097)))+0.3*(2*((SIN(((Model_Data!A130)*12.9898+(0)*78.233+Inputs!$C$47*37.719))*43758.5453)-INT((SIN(((Model_Data!A130)*12.9898+(0)*78.233+Inputs!$C$47*37.719))*43758.5453)))-1))))/1000)))*1000/Inputs!$C$12)</f>
        <v>188.89333795681742</v>
      </c>
      <c r="E130" s="9">
        <f>Model_Data!A130</f>
        <v>4</v>
      </c>
      <c r="F130" s="9">
        <f>(Inputs!$C$51*(115*EXP(-(((Inputs!$C$6)-25)^2)/(4.5^2))+70*EXP(-(((Inputs!$C$6)+38)^2)/(7^2))*(0.55+0.45*SIN(2*PI()*(Model_Data!A130)/45))+24*SIN(2*PI()*(Inputs!$C$6)/9+(Model_Data!A130)/18)*EXP(-(((Inputs!$C$6)+5)^2)/(22^2))+18*SIN(2*PI()*(Model_Data!A130)/70))+Inputs!$C$28*EXP(-(((Model_Data!A130)-Inputs!$C$29)^2)/(2*Inputs!$C$31^2))*EXP(-(((Inputs!$C$6)-Inputs!$C$30)^2)/(2*Inputs!$C$32^2))+-Inputs!$C$33*EXP(-(((((Model_Data!A130)-Inputs!$C$34)^2)+(((Inputs!$C$6)-Inputs!$C$35)^2))/(2*Inputs!$C$36^2)))+Inputs!$C$37*(0.55*SIN(2*PI()*(Model_Data!A130)/Inputs!$C$39)+0.35*COS(2*PI()*(Inputs!$C$6)/Inputs!$C$40)+0.2*SIN(2*PI()*((Model_Data!A130)+(Inputs!$C$6))/(0.5*(Inputs!$C$39+Inputs!$C$40))))+Inputs!$C$38*SIN(2*PI()*(Model_Data!A130)/Inputs!$C$39)*SIN(2*PI()*(Inputs!$C$6)/Inputs!$C$40)+-Inputs!$C$41*EXP(-(((Inputs!$C$6)-Inputs!$C$43)^2)/(2*Inputs!$C$44^2))*EXP(-(((Model_Data!A130)-Inputs!$C$42)^2)/(2*Inputs!$C$45^2))+Inputs!$C$48*(0.7*(0.45*SIN(2*PI()*(((Model_Data!A130)/Inputs!$C$49)+Inputs!$C$47*0.137))+0.35*COS(2*PI()*(((Inputs!$C$6)/Inputs!$C$50)+Inputs!$C$47*0.173))+0.2*SIN(2*PI()*(((Model_Data!A130)+(Inputs!$C$6))/(0.5*(Inputs!$C$49+Inputs!$C$50))+Inputs!$C$47*0.097)))+0.3*(2*((SIN(((Model_Data!A130)*12.9898+(Inputs!$C$6)*78.233+Inputs!$C$47*37.719))*43758.5453)-INT((SIN(((Model_Data!A130)*12.9898+(Inputs!$C$6)*78.233+Inputs!$C$47*37.719))*43758.5453)))-1)))</f>
        <v>561.66976905744889</v>
      </c>
      <c r="G130" s="9">
        <f>(Inputs!$C$51*(115*EXP(-(((0)-25)^2)/(4.5^2))+70*EXP(-(((0)+38)^2)/(7^2))*(0.55+0.45*SIN(2*PI()*(Model_Data!A130)/45))+24*SIN(2*PI()*(0)/9+(Model_Data!A130)/18)*EXP(-(((0)+5)^2)/(22^2))+18*SIN(2*PI()*(Model_Data!A130)/70))+Inputs!$C$28*EXP(-(((Model_Data!A130)-Inputs!$C$29)^2)/(2*Inputs!$C$31^2))*EXP(-(((0)-Inputs!$C$30)^2)/(2*Inputs!$C$32^2))+-Inputs!$C$33*EXP(-(((((Model_Data!A130)-Inputs!$C$34)^2)+(((0)-Inputs!$C$35)^2))/(2*Inputs!$C$36^2)))+Inputs!$C$37*(0.55*SIN(2*PI()*(Model_Data!A130)/Inputs!$C$39)+0.35*COS(2*PI()*(0)/Inputs!$C$40)+0.2*SIN(2*PI()*((Model_Data!A130)+(0))/(0.5*(Inputs!$C$39+Inputs!$C$40))))+Inputs!$C$38*SIN(2*PI()*(Model_Data!A130)/Inputs!$C$39)*SIN(2*PI()*(0)/Inputs!$C$40)+-Inputs!$C$41*EXP(-(((0)-Inputs!$C$43)^2)/(2*Inputs!$C$44^2))*EXP(-(((Model_Data!A130)-Inputs!$C$42)^2)/(2*Inputs!$C$45^2))+Inputs!$C$48*(0.7*(0.45*SIN(2*PI()*(((Model_Data!A130)/Inputs!$C$49)+Inputs!$C$47*0.137))+0.35*COS(2*PI()*(((0)/Inputs!$C$50)+Inputs!$C$47*0.173))+0.2*SIN(2*PI()*(((Model_Data!A130)+(0))/(0.5*(Inputs!$C$49+Inputs!$C$50))+Inputs!$C$47*0.097)))+0.3*(2*((SIN(((Model_Data!A130)*12.9898+(0)*78.233+Inputs!$C$47*37.719))*43758.5453)-INT((SIN(((Model_Data!A130)*12.9898+(0)*78.233+Inputs!$C$47*37.719))*43758.5453)))-1)))</f>
        <v>96.363113555281444</v>
      </c>
      <c r="H130" s="10"/>
      <c r="I130" s="9">
        <f>Model_Data!A130</f>
        <v>4</v>
      </c>
      <c r="J130" s="9">
        <f>(Inputs!$C$51*(115*EXP(-(((Inputs!$C$6)-25)^2)/(4.5^2))+70*EXP(-(((Inputs!$C$6)+38)^2)/(7^2))*(0.55+0.45*SIN(2*PI()*(Model_Data!A130)/45))+24*SIN(2*PI()*(Inputs!$C$6)/9+(Model_Data!A130)/18)*EXP(-(((Inputs!$C$6)+5)^2)/(22^2))+18*SIN(2*PI()*(Model_Data!A130)/70))+Inputs!$C$28*EXP(-(((Model_Data!A130)-Inputs!$C$29)^2)/(2*Inputs!$C$31^2))*EXP(-(((Inputs!$C$6)-Inputs!$C$30)^2)/(2*Inputs!$C$32^2))+-Inputs!$C$33*EXP(-(((((Model_Data!A130)-Inputs!$C$34)^2)+(((Inputs!$C$6)-Inputs!$C$35)^2))/(2*Inputs!$C$36^2)))+Inputs!$C$37*(0.55*SIN(2*PI()*(Model_Data!A130)/Inputs!$C$39)+0.35*COS(2*PI()*(Inputs!$C$6)/Inputs!$C$40)+0.2*SIN(2*PI()*((Model_Data!A130)+(Inputs!$C$6))/(0.5*(Inputs!$C$39+Inputs!$C$40))))+Inputs!$C$38*SIN(2*PI()*(Model_Data!A130)/Inputs!$C$39)*SIN(2*PI()*(Inputs!$C$6)/Inputs!$C$40)+-Inputs!$C$41*EXP(-(((Inputs!$C$6)-Inputs!$C$43)^2)/(2*Inputs!$C$44^2))*EXP(-(((Model_Data!A130)-Inputs!$C$42)^2)/(2*Inputs!$C$45^2))+Inputs!$C$48*(0.7*(0.45*SIN(2*PI()*(((Model_Data!A130)/Inputs!$C$49)+Inputs!$C$47*0.137))+0.35*COS(2*PI()*(((Inputs!$C$6)/Inputs!$C$50)+Inputs!$C$47*0.173))+0.2*SIN(2*PI()*(((Model_Data!A130)+(Inputs!$C$6))/(0.5*(Inputs!$C$49+Inputs!$C$50))+Inputs!$C$47*0.097)))+0.3*(2*((SIN(((Model_Data!A130)*12.9898+(Inputs!$C$6)*78.233+Inputs!$C$47*37.719))*43758.5453)-INT((SIN(((Model_Data!A130)*12.9898+(Inputs!$C$6)*78.233+Inputs!$C$47*37.719))*43758.5453)))-1)))</f>
        <v>561.66976905744889</v>
      </c>
      <c r="K130" s="9">
        <f>-((((SQRT((Model_Data!A130)^2+Inputs!$C$6^2+((Model_Data!B130)-((Inputs!$C$51*(115*EXP(-(((Inputs!$C$6)-25)^2)/(4.5^2))+70*EXP(-(((Inputs!$C$6)+38)^2)/(7^2))*(0.55+0.45*SIN(2*PI()*(Model_Data!A130)/45))+24*SIN(2*PI()*(Inputs!$C$6)/9+(Model_Data!A130)/18)*EXP(-(((Inputs!$C$6)+5)^2)/(22^2))+18*SIN(2*PI()*(Model_Data!A130)/70))+Inputs!$C$28*EXP(-(((Model_Data!A130)-Inputs!$C$29)^2)/(2*Inputs!$C$31^2))*EXP(-(((Inputs!$C$6)-Inputs!$C$30)^2)/(2*Inputs!$C$32^2))+-Inputs!$C$33*EXP(-(((((Model_Data!A130)-Inputs!$C$34)^2)+(((Inputs!$C$6)-Inputs!$C$35)^2))/(2*Inputs!$C$36^2)))+Inputs!$C$37*(0.55*SIN(2*PI()*(Model_Data!A130)/Inputs!$C$39)+0.35*COS(2*PI()*(Inputs!$C$6)/Inputs!$C$40)+0.2*SIN(2*PI()*((Model_Data!A130)+(Inputs!$C$6))/(0.5*(Inputs!$C$39+Inputs!$C$40))))+Inputs!$C$38*SIN(2*PI()*(Model_Data!A130)/Inputs!$C$39)*SIN(2*PI()*(Inputs!$C$6)/Inputs!$C$40)+-Inputs!$C$41*EXP(-(((Inputs!$C$6)-Inputs!$C$43)^2)/(2*Inputs!$C$44^2))*EXP(-(((Model_Data!A130)-Inputs!$C$42)^2)/(2*Inputs!$C$45^2))+Inputs!$C$48*(0.7*(0.45*SIN(2*PI()*(((Model_Data!A130)/Inputs!$C$49)+Inputs!$C$47*0.137))+0.35*COS(2*PI()*(((Inputs!$C$6)/Inputs!$C$50)+Inputs!$C$47*0.173))+0.2*SIN(2*PI()*(((Model_Data!A130)+(Inputs!$C$6))/(0.5*(Inputs!$C$49+Inputs!$C$50))+Inputs!$C$47*0.097)))+0.3*(2*((SIN(((Model_Data!A130)*12.9898+(Inputs!$C$6)*78.233+Inputs!$C$47*37.719))*43758.5453)-INT((SIN(((Model_Data!A130)*12.9898+(Inputs!$C$6)*78.233+Inputs!$C$47*37.719))*43758.5453)))-1))))/1000)^2))-(((Model_Data!B130)-((Inputs!$C$51*(115*EXP(-(((0)-25)^2)/(4.5^2))+70*EXP(-(((0)+38)^2)/(7^2))*(0.55+0.45*SIN(2*PI()*(Model_Data!A130)/45))+24*SIN(2*PI()*(0)/9+(Model_Data!A130)/18)*EXP(-(((0)+5)^2)/(22^2))+18*SIN(2*PI()*(Model_Data!A130)/70))+Inputs!$C$28*EXP(-(((Model_Data!A130)-Inputs!$C$29)^2)/(2*Inputs!$C$31^2))*EXP(-(((0)-Inputs!$C$30)^2)/(2*Inputs!$C$32^2))+-Inputs!$C$33*EXP(-(((((Model_Data!A130)-Inputs!$C$34)^2)+(((0)-Inputs!$C$35)^2))/(2*Inputs!$C$36^2)))+Inputs!$C$37*(0.55*SIN(2*PI()*(Model_Data!A130)/Inputs!$C$39)+0.35*COS(2*PI()*(0)/Inputs!$C$40)+0.2*SIN(2*PI()*((Model_Data!A130)+(0))/(0.5*(Inputs!$C$39+Inputs!$C$40))))+Inputs!$C$38*SIN(2*PI()*(Model_Data!A130)/Inputs!$C$39)*SIN(2*PI()*(0)/Inputs!$C$40)+-Inputs!$C$41*EXP(-(((0)-Inputs!$C$43)^2)/(2*Inputs!$C$44^2))*EXP(-(((Model_Data!A130)-Inputs!$C$42)^2)/(2*Inputs!$C$45^2))+Inputs!$C$48*(0.7*(0.45*SIN(2*PI()*(((Model_Data!A130)/Inputs!$C$49)+Inputs!$C$47*0.137))+0.35*COS(2*PI()*(((0)/Inputs!$C$50)+Inputs!$C$47*0.173))+0.2*SIN(2*PI()*(((Model_Data!A130)+(0))/(0.5*(Inputs!$C$49+Inputs!$C$50))+Inputs!$C$47*0.097)))+0.3*(2*((SIN(((Model_Data!A130)*12.9898+(0)*78.233+Inputs!$C$47*37.719))*43758.5453)-INT((SIN(((Model_Data!A130)*12.9898+(0)*78.233+Inputs!$C$47*37.719))*43758.5453)))-1))))/1000)))*1000/Inputs!$C$12)-Model_Data!F130)</f>
        <v>260.77722308313696</v>
      </c>
      <c r="L130" s="10"/>
      <c r="M130" s="9">
        <f>Model_Data!A130</f>
        <v>4</v>
      </c>
      <c r="N130" s="9">
        <f>Model_Data!P130</f>
        <v>-30.161160317799876</v>
      </c>
      <c r="O130" s="9">
        <f t="shared" ref="O130:O193" si="4">AC130</f>
        <v>-21.042531035982392</v>
      </c>
      <c r="P130" s="9">
        <f>Model_Data!Q130</f>
        <v>-4.5287027504204023</v>
      </c>
      <c r="Q130" s="9">
        <f t="shared" ref="Q130:Q193" si="5">AD130</f>
        <v>-3.1595391945919511</v>
      </c>
      <c r="R130" s="10"/>
      <c r="S130" s="9">
        <f>Model_Data!A130</f>
        <v>4</v>
      </c>
      <c r="T130" s="9">
        <f>Model_Data!B130-Inputs!$C$5</f>
        <v>1.7777777777780557E-2</v>
      </c>
      <c r="U130" s="10"/>
      <c r="V130" s="9">
        <f>Model_Data!A130</f>
        <v>4</v>
      </c>
      <c r="W130" s="9">
        <f>((SQRT((Model_Data!A130)^2+Inputs!$C$6^2+Inputs!$C$5^2)-Inputs!$C$5)*1000/Inputs!$C$12)</f>
        <v>449.69050648585045</v>
      </c>
      <c r="X130" s="9">
        <f>Model_Data!F130</f>
        <v>449.67056103995435</v>
      </c>
      <c r="Y130" s="10"/>
      <c r="Z130" s="9">
        <f>Model_Data!A130</f>
        <v>4</v>
      </c>
      <c r="AA130" s="9">
        <f>SQRT((Model_Data!A130)^2+Inputs!$C$6^2+((Model_Data!B130)-((Inputs!$C$51*(115*EXP(-(((Inputs!$C$6)-25)^2)/(4.5^2))+70*EXP(-(((Inputs!$C$6)+38)^2)/(7^2))*(0.55+0.45*SIN(2*PI()*(Model_Data!A130)/45))+24*SIN(2*PI()*(Inputs!$C$6)/9+(Model_Data!A130)/18)*EXP(-(((Inputs!$C$6)+5)^2)/(22^2))+18*SIN(2*PI()*(Model_Data!A130)/70))+Inputs!$C$28*EXP(-(((Model_Data!A130)-Inputs!$C$29)^2)/(2*Inputs!$C$31^2))*EXP(-(((Inputs!$C$6)-Inputs!$C$30)^2)/(2*Inputs!$C$32^2))+-Inputs!$C$33*EXP(-(((((Model_Data!A130)-Inputs!$C$34)^2)+(((Inputs!$C$6)-Inputs!$C$35)^2))/(2*Inputs!$C$36^2)))+Inputs!$C$37*(0.55*SIN(2*PI()*(Model_Data!A130)/Inputs!$C$39)+0.35*COS(2*PI()*(Inputs!$C$6)/Inputs!$C$40)+0.2*SIN(2*PI()*((Model_Data!A130)+(Inputs!$C$6))/(0.5*(Inputs!$C$39+Inputs!$C$40))))+Inputs!$C$38*SIN(2*PI()*(Model_Data!A130)/Inputs!$C$39)*SIN(2*PI()*(Inputs!$C$6)/Inputs!$C$40)+-Inputs!$C$41*EXP(-(((Inputs!$C$6)-Inputs!$C$43)^2)/(2*Inputs!$C$44^2))*EXP(-(((Model_Data!A130)-Inputs!$C$42)^2)/(2*Inputs!$C$45^2))+Inputs!$C$48*(0.7*(0.45*SIN(2*PI()*(((Model_Data!A130)/Inputs!$C$49)+Inputs!$C$47*0.137))+0.35*COS(2*PI()*(((Inputs!$C$6)/Inputs!$C$50)+Inputs!$C$47*0.173))+0.2*SIN(2*PI()*(((Model_Data!A130)+(Inputs!$C$6))/(0.5*(Inputs!$C$49+Inputs!$C$50))+Inputs!$C$47*0.097)))+0.3*(2*((SIN(((Model_Data!A130)*12.9898+(Inputs!$C$6)*78.233+Inputs!$C$47*37.719))*43758.5453)-INT((SIN(((Model_Data!A130)*12.9898+(Inputs!$C$6)*78.233+Inputs!$C$47*37.719))*43758.5453)))-1))))/1000)^2)</f>
        <v>400.25764480578562</v>
      </c>
      <c r="AB130" s="9">
        <f>1000*(AA131-AA129)/(Z131-Z129)*Inputs!$C$11</f>
        <v>52.606327589955981</v>
      </c>
      <c r="AC130" s="9">
        <f>-2*AB130/Inputs!$C$13</f>
        <v>-21.042531035982392</v>
      </c>
      <c r="AD130" s="9">
        <f>-2*AB130/Inputs!$C$14</f>
        <v>-3.1595391945919511</v>
      </c>
    </row>
    <row r="131" spans="1:30">
      <c r="A131" s="9">
        <f>Model_Data!A131</f>
        <v>4.5</v>
      </c>
      <c r="B131" s="9">
        <f>((SQRT((Model_Data!A131)^2+Inputs!$C$6^2+Inputs!$C$5^2)-Inputs!$C$5)*1000/Inputs!$C$12)</f>
        <v>452.66907682283477</v>
      </c>
      <c r="C131" s="9">
        <f>Model_Data!F131</f>
        <v>452.64366680049187</v>
      </c>
      <c r="D131" s="9">
        <f>(((SQRT((Model_Data!A131)^2+Inputs!$C$6^2+((Model_Data!B131)-((Inputs!$C$51*(115*EXP(-(((Inputs!$C$6)-25)^2)/(4.5^2))+70*EXP(-(((Inputs!$C$6)+38)^2)/(7^2))*(0.55+0.45*SIN(2*PI()*(Model_Data!A131)/45))+24*SIN(2*PI()*(Inputs!$C$6)/9+(Model_Data!A131)/18)*EXP(-(((Inputs!$C$6)+5)^2)/(22^2))+18*SIN(2*PI()*(Model_Data!A131)/70))+Inputs!$C$28*EXP(-(((Model_Data!A131)-Inputs!$C$29)^2)/(2*Inputs!$C$31^2))*EXP(-(((Inputs!$C$6)-Inputs!$C$30)^2)/(2*Inputs!$C$32^2))+-Inputs!$C$33*EXP(-(((((Model_Data!A131)-Inputs!$C$34)^2)+(((Inputs!$C$6)-Inputs!$C$35)^2))/(2*Inputs!$C$36^2)))+Inputs!$C$37*(0.55*SIN(2*PI()*(Model_Data!A131)/Inputs!$C$39)+0.35*COS(2*PI()*(Inputs!$C$6)/Inputs!$C$40)+0.2*SIN(2*PI()*((Model_Data!A131)+(Inputs!$C$6))/(0.5*(Inputs!$C$39+Inputs!$C$40))))+Inputs!$C$38*SIN(2*PI()*(Model_Data!A131)/Inputs!$C$39)*SIN(2*PI()*(Inputs!$C$6)/Inputs!$C$40)+-Inputs!$C$41*EXP(-(((Inputs!$C$6)-Inputs!$C$43)^2)/(2*Inputs!$C$44^2))*EXP(-(((Model_Data!A131)-Inputs!$C$42)^2)/(2*Inputs!$C$45^2))+Inputs!$C$48*(0.7*(0.45*SIN(2*PI()*(((Model_Data!A131)/Inputs!$C$49)+Inputs!$C$47*0.137))+0.35*COS(2*PI()*(((Inputs!$C$6)/Inputs!$C$50)+Inputs!$C$47*0.173))+0.2*SIN(2*PI()*(((Model_Data!A131)+(Inputs!$C$6))/(0.5*(Inputs!$C$49+Inputs!$C$50))+Inputs!$C$47*0.097)))+0.3*(2*((SIN(((Model_Data!A131)*12.9898+(Inputs!$C$6)*78.233+Inputs!$C$47*37.719))*43758.5453)-INT((SIN(((Model_Data!A131)*12.9898+(Inputs!$C$6)*78.233+Inputs!$C$47*37.719))*43758.5453)))-1))))/1000)^2))-(((Model_Data!B131)-((Inputs!$C$51*(115*EXP(-(((0)-25)^2)/(4.5^2))+70*EXP(-(((0)+38)^2)/(7^2))*(0.55+0.45*SIN(2*PI()*(Model_Data!A131)/45))+24*SIN(2*PI()*(0)/9+(Model_Data!A131)/18)*EXP(-(((0)+5)^2)/(22^2))+18*SIN(2*PI()*(Model_Data!A131)/70))+Inputs!$C$28*EXP(-(((Model_Data!A131)-Inputs!$C$29)^2)/(2*Inputs!$C$31^2))*EXP(-(((0)-Inputs!$C$30)^2)/(2*Inputs!$C$32^2))+-Inputs!$C$33*EXP(-(((((Model_Data!A131)-Inputs!$C$34)^2)+(((0)-Inputs!$C$35)^2))/(2*Inputs!$C$36^2)))+Inputs!$C$37*(0.55*SIN(2*PI()*(Model_Data!A131)/Inputs!$C$39)+0.35*COS(2*PI()*(0)/Inputs!$C$40)+0.2*SIN(2*PI()*((Model_Data!A131)+(0))/(0.5*(Inputs!$C$39+Inputs!$C$40))))+Inputs!$C$38*SIN(2*PI()*(Model_Data!A131)/Inputs!$C$39)*SIN(2*PI()*(0)/Inputs!$C$40)+-Inputs!$C$41*EXP(-(((0)-Inputs!$C$43)^2)/(2*Inputs!$C$44^2))*EXP(-(((Model_Data!A131)-Inputs!$C$42)^2)/(2*Inputs!$C$45^2))+Inputs!$C$48*(0.7*(0.45*SIN(2*PI()*(((Model_Data!A131)/Inputs!$C$49)+Inputs!$C$47*0.137))+0.35*COS(2*PI()*(((0)/Inputs!$C$50)+Inputs!$C$47*0.173))+0.2*SIN(2*PI()*(((Model_Data!A131)+(0))/(0.5*(Inputs!$C$49+Inputs!$C$50))+Inputs!$C$47*0.097)))+0.3*(2*((SIN(((Model_Data!A131)*12.9898+(0)*78.233+Inputs!$C$47*37.719))*43758.5453)-INT((SIN(((Model_Data!A131)*12.9898+(0)*78.233+Inputs!$C$47*37.719))*43758.5453)))-1))))/1000)))*1000/Inputs!$C$12)</f>
        <v>180.18355548730176</v>
      </c>
      <c r="E131" s="9">
        <f>Model_Data!A131</f>
        <v>4.5</v>
      </c>
      <c r="F131" s="9">
        <f>(Inputs!$C$51*(115*EXP(-(((Inputs!$C$6)-25)^2)/(4.5^2))+70*EXP(-(((Inputs!$C$6)+38)^2)/(7^2))*(0.55+0.45*SIN(2*PI()*(Model_Data!A131)/45))+24*SIN(2*PI()*(Inputs!$C$6)/9+(Model_Data!A131)/18)*EXP(-(((Inputs!$C$6)+5)^2)/(22^2))+18*SIN(2*PI()*(Model_Data!A131)/70))+Inputs!$C$28*EXP(-(((Model_Data!A131)-Inputs!$C$29)^2)/(2*Inputs!$C$31^2))*EXP(-(((Inputs!$C$6)-Inputs!$C$30)^2)/(2*Inputs!$C$32^2))+-Inputs!$C$33*EXP(-(((((Model_Data!A131)-Inputs!$C$34)^2)+(((Inputs!$C$6)-Inputs!$C$35)^2))/(2*Inputs!$C$36^2)))+Inputs!$C$37*(0.55*SIN(2*PI()*(Model_Data!A131)/Inputs!$C$39)+0.35*COS(2*PI()*(Inputs!$C$6)/Inputs!$C$40)+0.2*SIN(2*PI()*((Model_Data!A131)+(Inputs!$C$6))/(0.5*(Inputs!$C$39+Inputs!$C$40))))+Inputs!$C$38*SIN(2*PI()*(Model_Data!A131)/Inputs!$C$39)*SIN(2*PI()*(Inputs!$C$6)/Inputs!$C$40)+-Inputs!$C$41*EXP(-(((Inputs!$C$6)-Inputs!$C$43)^2)/(2*Inputs!$C$44^2))*EXP(-(((Model_Data!A131)-Inputs!$C$42)^2)/(2*Inputs!$C$45^2))+Inputs!$C$48*(0.7*(0.45*SIN(2*PI()*(((Model_Data!A131)/Inputs!$C$49)+Inputs!$C$47*0.137))+0.35*COS(2*PI()*(((Inputs!$C$6)/Inputs!$C$50)+Inputs!$C$47*0.173))+0.2*SIN(2*PI()*(((Model_Data!A131)+(Inputs!$C$6))/(0.5*(Inputs!$C$49+Inputs!$C$50))+Inputs!$C$47*0.097)))+0.3*(2*((SIN(((Model_Data!A131)*12.9898+(Inputs!$C$6)*78.233+Inputs!$C$47*37.719))*43758.5453)-INT((SIN(((Model_Data!A131)*12.9898+(Inputs!$C$6)*78.233+Inputs!$C$47*37.719))*43758.5453)))-1)))</f>
        <v>568.64363822483097</v>
      </c>
      <c r="G131" s="9">
        <f>(Inputs!$C$51*(115*EXP(-(((0)-25)^2)/(4.5^2))+70*EXP(-(((0)+38)^2)/(7^2))*(0.55+0.45*SIN(2*PI()*(Model_Data!A131)/45))+24*SIN(2*PI()*(0)/9+(Model_Data!A131)/18)*EXP(-(((0)+5)^2)/(22^2))+18*SIN(2*PI()*(Model_Data!A131)/70))+Inputs!$C$28*EXP(-(((Model_Data!A131)-Inputs!$C$29)^2)/(2*Inputs!$C$31^2))*EXP(-(((0)-Inputs!$C$30)^2)/(2*Inputs!$C$32^2))+-Inputs!$C$33*EXP(-(((((Model_Data!A131)-Inputs!$C$34)^2)+(((0)-Inputs!$C$35)^2))/(2*Inputs!$C$36^2)))+Inputs!$C$37*(0.55*SIN(2*PI()*(Model_Data!A131)/Inputs!$C$39)+0.35*COS(2*PI()*(0)/Inputs!$C$40)+0.2*SIN(2*PI()*((Model_Data!A131)+(0))/(0.5*(Inputs!$C$39+Inputs!$C$40))))+Inputs!$C$38*SIN(2*PI()*(Model_Data!A131)/Inputs!$C$39)*SIN(2*PI()*(0)/Inputs!$C$40)+-Inputs!$C$41*EXP(-(((0)-Inputs!$C$43)^2)/(2*Inputs!$C$44^2))*EXP(-(((Model_Data!A131)-Inputs!$C$42)^2)/(2*Inputs!$C$45^2))+Inputs!$C$48*(0.7*(0.45*SIN(2*PI()*(((Model_Data!A131)/Inputs!$C$49)+Inputs!$C$47*0.137))+0.35*COS(2*PI()*(((0)/Inputs!$C$50)+Inputs!$C$47*0.173))+0.2*SIN(2*PI()*(((Model_Data!A131)+(0))/(0.5*(Inputs!$C$49+Inputs!$C$50))+Inputs!$C$47*0.097)))+0.3*(2*((SIN(((Model_Data!A131)*12.9898+(0)*78.233+Inputs!$C$47*37.719))*43758.5453)-INT((SIN(((Model_Data!A131)*12.9898+(0)*78.233+Inputs!$C$47*37.719))*43758.5453)))-1)))</f>
        <v>82.519985907488817</v>
      </c>
      <c r="H131" s="10"/>
      <c r="I131" s="9">
        <f>Model_Data!A131</f>
        <v>4.5</v>
      </c>
      <c r="J131" s="9">
        <f>(Inputs!$C$51*(115*EXP(-(((Inputs!$C$6)-25)^2)/(4.5^2))+70*EXP(-(((Inputs!$C$6)+38)^2)/(7^2))*(0.55+0.45*SIN(2*PI()*(Model_Data!A131)/45))+24*SIN(2*PI()*(Inputs!$C$6)/9+(Model_Data!A131)/18)*EXP(-(((Inputs!$C$6)+5)^2)/(22^2))+18*SIN(2*PI()*(Model_Data!A131)/70))+Inputs!$C$28*EXP(-(((Model_Data!A131)-Inputs!$C$29)^2)/(2*Inputs!$C$31^2))*EXP(-(((Inputs!$C$6)-Inputs!$C$30)^2)/(2*Inputs!$C$32^2))+-Inputs!$C$33*EXP(-(((((Model_Data!A131)-Inputs!$C$34)^2)+(((Inputs!$C$6)-Inputs!$C$35)^2))/(2*Inputs!$C$36^2)))+Inputs!$C$37*(0.55*SIN(2*PI()*(Model_Data!A131)/Inputs!$C$39)+0.35*COS(2*PI()*(Inputs!$C$6)/Inputs!$C$40)+0.2*SIN(2*PI()*((Model_Data!A131)+(Inputs!$C$6))/(0.5*(Inputs!$C$39+Inputs!$C$40))))+Inputs!$C$38*SIN(2*PI()*(Model_Data!A131)/Inputs!$C$39)*SIN(2*PI()*(Inputs!$C$6)/Inputs!$C$40)+-Inputs!$C$41*EXP(-(((Inputs!$C$6)-Inputs!$C$43)^2)/(2*Inputs!$C$44^2))*EXP(-(((Model_Data!A131)-Inputs!$C$42)^2)/(2*Inputs!$C$45^2))+Inputs!$C$48*(0.7*(0.45*SIN(2*PI()*(((Model_Data!A131)/Inputs!$C$49)+Inputs!$C$47*0.137))+0.35*COS(2*PI()*(((Inputs!$C$6)/Inputs!$C$50)+Inputs!$C$47*0.173))+0.2*SIN(2*PI()*(((Model_Data!A131)+(Inputs!$C$6))/(0.5*(Inputs!$C$49+Inputs!$C$50))+Inputs!$C$47*0.097)))+0.3*(2*((SIN(((Model_Data!A131)*12.9898+(Inputs!$C$6)*78.233+Inputs!$C$47*37.719))*43758.5453)-INT((SIN(((Model_Data!A131)*12.9898+(Inputs!$C$6)*78.233+Inputs!$C$47*37.719))*43758.5453)))-1)))</f>
        <v>568.64363822483097</v>
      </c>
      <c r="K131" s="9">
        <f>-((((SQRT((Model_Data!A131)^2+Inputs!$C$6^2+((Model_Data!B131)-((Inputs!$C$51*(115*EXP(-(((Inputs!$C$6)-25)^2)/(4.5^2))+70*EXP(-(((Inputs!$C$6)+38)^2)/(7^2))*(0.55+0.45*SIN(2*PI()*(Model_Data!A131)/45))+24*SIN(2*PI()*(Inputs!$C$6)/9+(Model_Data!A131)/18)*EXP(-(((Inputs!$C$6)+5)^2)/(22^2))+18*SIN(2*PI()*(Model_Data!A131)/70))+Inputs!$C$28*EXP(-(((Model_Data!A131)-Inputs!$C$29)^2)/(2*Inputs!$C$31^2))*EXP(-(((Inputs!$C$6)-Inputs!$C$30)^2)/(2*Inputs!$C$32^2))+-Inputs!$C$33*EXP(-(((((Model_Data!A131)-Inputs!$C$34)^2)+(((Inputs!$C$6)-Inputs!$C$35)^2))/(2*Inputs!$C$36^2)))+Inputs!$C$37*(0.55*SIN(2*PI()*(Model_Data!A131)/Inputs!$C$39)+0.35*COS(2*PI()*(Inputs!$C$6)/Inputs!$C$40)+0.2*SIN(2*PI()*((Model_Data!A131)+(Inputs!$C$6))/(0.5*(Inputs!$C$39+Inputs!$C$40))))+Inputs!$C$38*SIN(2*PI()*(Model_Data!A131)/Inputs!$C$39)*SIN(2*PI()*(Inputs!$C$6)/Inputs!$C$40)+-Inputs!$C$41*EXP(-(((Inputs!$C$6)-Inputs!$C$43)^2)/(2*Inputs!$C$44^2))*EXP(-(((Model_Data!A131)-Inputs!$C$42)^2)/(2*Inputs!$C$45^2))+Inputs!$C$48*(0.7*(0.45*SIN(2*PI()*(((Model_Data!A131)/Inputs!$C$49)+Inputs!$C$47*0.137))+0.35*COS(2*PI()*(((Inputs!$C$6)/Inputs!$C$50)+Inputs!$C$47*0.173))+0.2*SIN(2*PI()*(((Model_Data!A131)+(Inputs!$C$6))/(0.5*(Inputs!$C$49+Inputs!$C$50))+Inputs!$C$47*0.097)))+0.3*(2*((SIN(((Model_Data!A131)*12.9898+(Inputs!$C$6)*78.233+Inputs!$C$47*37.719))*43758.5453)-INT((SIN(((Model_Data!A131)*12.9898+(Inputs!$C$6)*78.233+Inputs!$C$47*37.719))*43758.5453)))-1))))/1000)^2))-(((Model_Data!B131)-((Inputs!$C$51*(115*EXP(-(((0)-25)^2)/(4.5^2))+70*EXP(-(((0)+38)^2)/(7^2))*(0.55+0.45*SIN(2*PI()*(Model_Data!A131)/45))+24*SIN(2*PI()*(0)/9+(Model_Data!A131)/18)*EXP(-(((0)+5)^2)/(22^2))+18*SIN(2*PI()*(Model_Data!A131)/70))+Inputs!$C$28*EXP(-(((Model_Data!A131)-Inputs!$C$29)^2)/(2*Inputs!$C$31^2))*EXP(-(((0)-Inputs!$C$30)^2)/(2*Inputs!$C$32^2))+-Inputs!$C$33*EXP(-(((((Model_Data!A131)-Inputs!$C$34)^2)+(((0)-Inputs!$C$35)^2))/(2*Inputs!$C$36^2)))+Inputs!$C$37*(0.55*SIN(2*PI()*(Model_Data!A131)/Inputs!$C$39)+0.35*COS(2*PI()*(0)/Inputs!$C$40)+0.2*SIN(2*PI()*((Model_Data!A131)+(0))/(0.5*(Inputs!$C$39+Inputs!$C$40))))+Inputs!$C$38*SIN(2*PI()*(Model_Data!A131)/Inputs!$C$39)*SIN(2*PI()*(0)/Inputs!$C$40)+-Inputs!$C$41*EXP(-(((0)-Inputs!$C$43)^2)/(2*Inputs!$C$44^2))*EXP(-(((Model_Data!A131)-Inputs!$C$42)^2)/(2*Inputs!$C$45^2))+Inputs!$C$48*(0.7*(0.45*SIN(2*PI()*(((Model_Data!A131)/Inputs!$C$49)+Inputs!$C$47*0.137))+0.35*COS(2*PI()*(((0)/Inputs!$C$50)+Inputs!$C$47*0.173))+0.2*SIN(2*PI()*(((Model_Data!A131)+(0))/(0.5*(Inputs!$C$49+Inputs!$C$50))+Inputs!$C$47*0.097)))+0.3*(2*((SIN(((Model_Data!A131)*12.9898+(0)*78.233+Inputs!$C$47*37.719))*43758.5453)-INT((SIN(((Model_Data!A131)*12.9898+(0)*78.233+Inputs!$C$47*37.719))*43758.5453)))-1))))/1000)))*1000/Inputs!$C$12)-Model_Data!F131)</f>
        <v>272.46011131319011</v>
      </c>
      <c r="L131" s="10"/>
      <c r="M131" s="9">
        <f>Model_Data!A131</f>
        <v>4.5</v>
      </c>
      <c r="N131" s="9">
        <f>Model_Data!P131</f>
        <v>-33.930646111432324</v>
      </c>
      <c r="O131" s="9">
        <f t="shared" si="4"/>
        <v>-54.482033572639921</v>
      </c>
      <c r="P131" s="9">
        <f>Model_Data!Q131</f>
        <v>-5.0946916083231724</v>
      </c>
      <c r="Q131" s="9">
        <f t="shared" si="5"/>
        <v>-8.1804855214174061</v>
      </c>
      <c r="R131" s="10"/>
      <c r="S131" s="9">
        <f>Model_Data!A131</f>
        <v>4.5</v>
      </c>
      <c r="T131" s="9">
        <f>Model_Data!B131-Inputs!$C$5</f>
        <v>2.2499999999979536E-2</v>
      </c>
      <c r="U131" s="10"/>
      <c r="V131" s="9">
        <f>Model_Data!A131</f>
        <v>4.5</v>
      </c>
      <c r="W131" s="9">
        <f>((SQRT((Model_Data!A131)^2+Inputs!$C$6^2+Inputs!$C$5^2)-Inputs!$C$5)*1000/Inputs!$C$12)</f>
        <v>452.66907682283477</v>
      </c>
      <c r="X131" s="9">
        <f>Model_Data!F131</f>
        <v>452.64366680049187</v>
      </c>
      <c r="Y131" s="10"/>
      <c r="Z131" s="9">
        <f>Model_Data!A131</f>
        <v>4.5</v>
      </c>
      <c r="AA131" s="9">
        <f>SQRT((Model_Data!A131)^2+Inputs!$C$6^2+((Model_Data!B131)-((Inputs!$C$51*(115*EXP(-(((Inputs!$C$6)-25)^2)/(4.5^2))+70*EXP(-(((Inputs!$C$6)+38)^2)/(7^2))*(0.55+0.45*SIN(2*PI()*(Model_Data!A131)/45))+24*SIN(2*PI()*(Inputs!$C$6)/9+(Model_Data!A131)/18)*EXP(-(((Inputs!$C$6)+5)^2)/(22^2))+18*SIN(2*PI()*(Model_Data!A131)/70))+Inputs!$C$28*EXP(-(((Model_Data!A131)-Inputs!$C$29)^2)/(2*Inputs!$C$31^2))*EXP(-(((Inputs!$C$6)-Inputs!$C$30)^2)/(2*Inputs!$C$32^2))+-Inputs!$C$33*EXP(-(((((Model_Data!A131)-Inputs!$C$34)^2)+(((Inputs!$C$6)-Inputs!$C$35)^2))/(2*Inputs!$C$36^2)))+Inputs!$C$37*(0.55*SIN(2*PI()*(Model_Data!A131)/Inputs!$C$39)+0.35*COS(2*PI()*(Inputs!$C$6)/Inputs!$C$40)+0.2*SIN(2*PI()*((Model_Data!A131)+(Inputs!$C$6))/(0.5*(Inputs!$C$39+Inputs!$C$40))))+Inputs!$C$38*SIN(2*PI()*(Model_Data!A131)/Inputs!$C$39)*SIN(2*PI()*(Inputs!$C$6)/Inputs!$C$40)+-Inputs!$C$41*EXP(-(((Inputs!$C$6)-Inputs!$C$43)^2)/(2*Inputs!$C$44^2))*EXP(-(((Model_Data!A131)-Inputs!$C$42)^2)/(2*Inputs!$C$45^2))+Inputs!$C$48*(0.7*(0.45*SIN(2*PI()*(((Model_Data!A131)/Inputs!$C$49)+Inputs!$C$47*0.137))+0.35*COS(2*PI()*(((Inputs!$C$6)/Inputs!$C$50)+Inputs!$C$47*0.173))+0.2*SIN(2*PI()*(((Model_Data!A131)+(Inputs!$C$6))/(0.5*(Inputs!$C$49+Inputs!$C$50))+Inputs!$C$47*0.097)))+0.3*(2*((SIN(((Model_Data!A131)*12.9898+(Inputs!$C$6)*78.233+Inputs!$C$47*37.719))*43758.5453)-INT((SIN(((Model_Data!A131)*12.9898+(Inputs!$C$6)*78.233+Inputs!$C$47*37.719))*43758.5453)))-1))))/1000)^2)</f>
        <v>400.2607067428599</v>
      </c>
      <c r="AB131" s="9">
        <f>1000*(AA132-AA130)/(Z132-Z130)*Inputs!$C$11</f>
        <v>136.2050839315998</v>
      </c>
      <c r="AC131" s="9">
        <f>-2*AB131/Inputs!$C$13</f>
        <v>-54.482033572639921</v>
      </c>
      <c r="AD131" s="9">
        <f>-2*AB131/Inputs!$C$14</f>
        <v>-8.1804855214174061</v>
      </c>
    </row>
    <row r="132" spans="1:30">
      <c r="A132" s="9">
        <f>Model_Data!A132</f>
        <v>5</v>
      </c>
      <c r="B132" s="9">
        <f>((SQRT((Model_Data!A132)^2+Inputs!$C$6^2+Inputs!$C$5^2)-Inputs!$C$5)*1000/Inputs!$C$12)</f>
        <v>455.99802057395618</v>
      </c>
      <c r="C132" s="9">
        <f>Model_Data!F132</f>
        <v>455.96642035985531</v>
      </c>
      <c r="D132" s="9">
        <f>(((SQRT((Model_Data!A132)^2+Inputs!$C$6^2+((Model_Data!B132)-((Inputs!$C$51*(115*EXP(-(((Inputs!$C$6)-25)^2)/(4.5^2))+70*EXP(-(((Inputs!$C$6)+38)^2)/(7^2))*(0.55+0.45*SIN(2*PI()*(Model_Data!A132)/45))+24*SIN(2*PI()*(Inputs!$C$6)/9+(Model_Data!A132)/18)*EXP(-(((Inputs!$C$6)+5)^2)/(22^2))+18*SIN(2*PI()*(Model_Data!A132)/70))+Inputs!$C$28*EXP(-(((Model_Data!A132)-Inputs!$C$29)^2)/(2*Inputs!$C$31^2))*EXP(-(((Inputs!$C$6)-Inputs!$C$30)^2)/(2*Inputs!$C$32^2))+-Inputs!$C$33*EXP(-(((((Model_Data!A132)-Inputs!$C$34)^2)+(((Inputs!$C$6)-Inputs!$C$35)^2))/(2*Inputs!$C$36^2)))+Inputs!$C$37*(0.55*SIN(2*PI()*(Model_Data!A132)/Inputs!$C$39)+0.35*COS(2*PI()*(Inputs!$C$6)/Inputs!$C$40)+0.2*SIN(2*PI()*((Model_Data!A132)+(Inputs!$C$6))/(0.5*(Inputs!$C$39+Inputs!$C$40))))+Inputs!$C$38*SIN(2*PI()*(Model_Data!A132)/Inputs!$C$39)*SIN(2*PI()*(Inputs!$C$6)/Inputs!$C$40)+-Inputs!$C$41*EXP(-(((Inputs!$C$6)-Inputs!$C$43)^2)/(2*Inputs!$C$44^2))*EXP(-(((Model_Data!A132)-Inputs!$C$42)^2)/(2*Inputs!$C$45^2))+Inputs!$C$48*(0.7*(0.45*SIN(2*PI()*(((Model_Data!A132)/Inputs!$C$49)+Inputs!$C$47*0.137))+0.35*COS(2*PI()*(((Inputs!$C$6)/Inputs!$C$50)+Inputs!$C$47*0.173))+0.2*SIN(2*PI()*(((Model_Data!A132)+(Inputs!$C$6))/(0.5*(Inputs!$C$49+Inputs!$C$50))+Inputs!$C$47*0.097)))+0.3*(2*((SIN(((Model_Data!A132)*12.9898+(Inputs!$C$6)*78.233+Inputs!$C$47*37.719))*43758.5453)-INT((SIN(((Model_Data!A132)*12.9898+(Inputs!$C$6)*78.233+Inputs!$C$47*37.719))*43758.5453)))-1))))/1000)^2))-(((Model_Data!B132)-((Inputs!$C$51*(115*EXP(-(((0)-25)^2)/(4.5^2))+70*EXP(-(((0)+38)^2)/(7^2))*(0.55+0.45*SIN(2*PI()*(Model_Data!A132)/45))+24*SIN(2*PI()*(0)/9+(Model_Data!A132)/18)*EXP(-(((0)+5)^2)/(22^2))+18*SIN(2*PI()*(Model_Data!A132)/70))+Inputs!$C$28*EXP(-(((Model_Data!A132)-Inputs!$C$29)^2)/(2*Inputs!$C$31^2))*EXP(-(((0)-Inputs!$C$30)^2)/(2*Inputs!$C$32^2))+-Inputs!$C$33*EXP(-(((((Model_Data!A132)-Inputs!$C$34)^2)+(((0)-Inputs!$C$35)^2))/(2*Inputs!$C$36^2)))+Inputs!$C$37*(0.55*SIN(2*PI()*(Model_Data!A132)/Inputs!$C$39)+0.35*COS(2*PI()*(0)/Inputs!$C$40)+0.2*SIN(2*PI()*((Model_Data!A132)+(0))/(0.5*(Inputs!$C$39+Inputs!$C$40))))+Inputs!$C$38*SIN(2*PI()*(Model_Data!A132)/Inputs!$C$39)*SIN(2*PI()*(0)/Inputs!$C$40)+-Inputs!$C$41*EXP(-(((0)-Inputs!$C$43)^2)/(2*Inputs!$C$44^2))*EXP(-(((Model_Data!A132)-Inputs!$C$42)^2)/(2*Inputs!$C$45^2))+Inputs!$C$48*(0.7*(0.45*SIN(2*PI()*(((Model_Data!A132)/Inputs!$C$49)+Inputs!$C$47*0.137))+0.35*COS(2*PI()*(((0)/Inputs!$C$50)+Inputs!$C$47*0.173))+0.2*SIN(2*PI()*(((Model_Data!A132)+(0))/(0.5*(Inputs!$C$49+Inputs!$C$50))+Inputs!$C$47*0.097)))+0.3*(2*((SIN(((Model_Data!A132)*12.9898+(0)*78.233+Inputs!$C$47*37.719))*43758.5453)-INT((SIN(((Model_Data!A132)*12.9898+(0)*78.233+Inputs!$C$47*37.719))*43758.5453)))-1))))/1000)))*1000/Inputs!$C$12)</f>
        <v>203.85846207696642</v>
      </c>
      <c r="E132" s="9">
        <f>Model_Data!A132</f>
        <v>5</v>
      </c>
      <c r="F132" s="9">
        <f>(Inputs!$C$51*(115*EXP(-(((Inputs!$C$6)-25)^2)/(4.5^2))+70*EXP(-(((Inputs!$C$6)+38)^2)/(7^2))*(0.55+0.45*SIN(2*PI()*(Model_Data!A132)/45))+24*SIN(2*PI()*(Inputs!$C$6)/9+(Model_Data!A132)/18)*EXP(-(((Inputs!$C$6)+5)^2)/(22^2))+18*SIN(2*PI()*(Model_Data!A132)/70))+Inputs!$C$28*EXP(-(((Model_Data!A132)-Inputs!$C$29)^2)/(2*Inputs!$C$31^2))*EXP(-(((Inputs!$C$6)-Inputs!$C$30)^2)/(2*Inputs!$C$32^2))+-Inputs!$C$33*EXP(-(((((Model_Data!A132)-Inputs!$C$34)^2)+(((Inputs!$C$6)-Inputs!$C$35)^2))/(2*Inputs!$C$36^2)))+Inputs!$C$37*(0.55*SIN(2*PI()*(Model_Data!A132)/Inputs!$C$39)+0.35*COS(2*PI()*(Inputs!$C$6)/Inputs!$C$40)+0.2*SIN(2*PI()*((Model_Data!A132)+(Inputs!$C$6))/(0.5*(Inputs!$C$39+Inputs!$C$40))))+Inputs!$C$38*SIN(2*PI()*(Model_Data!A132)/Inputs!$C$39)*SIN(2*PI()*(Inputs!$C$6)/Inputs!$C$40)+-Inputs!$C$41*EXP(-(((Inputs!$C$6)-Inputs!$C$43)^2)/(2*Inputs!$C$44^2))*EXP(-(((Model_Data!A132)-Inputs!$C$42)^2)/(2*Inputs!$C$45^2))+Inputs!$C$48*(0.7*(0.45*SIN(2*PI()*(((Model_Data!A132)/Inputs!$C$49)+Inputs!$C$47*0.137))+0.35*COS(2*PI()*(((Inputs!$C$6)/Inputs!$C$50)+Inputs!$C$47*0.173))+0.2*SIN(2*PI()*(((Model_Data!A132)+(Inputs!$C$6))/(0.5*(Inputs!$C$49+Inputs!$C$50))+Inputs!$C$47*0.097)))+0.3*(2*((SIN(((Model_Data!A132)*12.9898+(Inputs!$C$6)*78.233+Inputs!$C$47*37.719))*43758.5453)-INT((SIN(((Model_Data!A132)*12.9898+(Inputs!$C$6)*78.233+Inputs!$C$47*37.719))*43758.5453)))-1)))</f>
        <v>548.81469209034094</v>
      </c>
      <c r="G132" s="9">
        <f>(Inputs!$C$51*(115*EXP(-(((0)-25)^2)/(4.5^2))+70*EXP(-(((0)+38)^2)/(7^2))*(0.55+0.45*SIN(2*PI()*(Model_Data!A132)/45))+24*SIN(2*PI()*(0)/9+(Model_Data!A132)/18)*EXP(-(((0)+5)^2)/(22^2))+18*SIN(2*PI()*(Model_Data!A132)/70))+Inputs!$C$28*EXP(-(((Model_Data!A132)-Inputs!$C$29)^2)/(2*Inputs!$C$31^2))*EXP(-(((0)-Inputs!$C$30)^2)/(2*Inputs!$C$32^2))+-Inputs!$C$33*EXP(-(((((Model_Data!A132)-Inputs!$C$34)^2)+(((0)-Inputs!$C$35)^2))/(2*Inputs!$C$36^2)))+Inputs!$C$37*(0.55*SIN(2*PI()*(Model_Data!A132)/Inputs!$C$39)+0.35*COS(2*PI()*(0)/Inputs!$C$40)+0.2*SIN(2*PI()*((Model_Data!A132)+(0))/(0.5*(Inputs!$C$39+Inputs!$C$40))))+Inputs!$C$38*SIN(2*PI()*(Model_Data!A132)/Inputs!$C$39)*SIN(2*PI()*(0)/Inputs!$C$40)+-Inputs!$C$41*EXP(-(((0)-Inputs!$C$43)^2)/(2*Inputs!$C$44^2))*EXP(-(((Model_Data!A132)-Inputs!$C$42)^2)/(2*Inputs!$C$45^2))+Inputs!$C$48*(0.7*(0.45*SIN(2*PI()*(((Model_Data!A132)/Inputs!$C$49)+Inputs!$C$47*0.137))+0.35*COS(2*PI()*(((0)/Inputs!$C$50)+Inputs!$C$47*0.173))+0.2*SIN(2*PI()*(((Model_Data!A132)+(0))/(0.5*(Inputs!$C$49+Inputs!$C$50))+Inputs!$C$47*0.097)))+0.3*(2*((SIN(((Model_Data!A132)*12.9898+(0)*78.233+Inputs!$C$47*37.719))*43758.5453)-INT((SIN(((Model_Data!A132)*12.9898+(0)*78.233+Inputs!$C$47*37.719))*43758.5453)))-1)))</f>
        <v>98.949763506231449</v>
      </c>
      <c r="H132" s="10"/>
      <c r="I132" s="9">
        <f>Model_Data!A132</f>
        <v>5</v>
      </c>
      <c r="J132" s="9">
        <f>(Inputs!$C$51*(115*EXP(-(((Inputs!$C$6)-25)^2)/(4.5^2))+70*EXP(-(((Inputs!$C$6)+38)^2)/(7^2))*(0.55+0.45*SIN(2*PI()*(Model_Data!A132)/45))+24*SIN(2*PI()*(Inputs!$C$6)/9+(Model_Data!A132)/18)*EXP(-(((Inputs!$C$6)+5)^2)/(22^2))+18*SIN(2*PI()*(Model_Data!A132)/70))+Inputs!$C$28*EXP(-(((Model_Data!A132)-Inputs!$C$29)^2)/(2*Inputs!$C$31^2))*EXP(-(((Inputs!$C$6)-Inputs!$C$30)^2)/(2*Inputs!$C$32^2))+-Inputs!$C$33*EXP(-(((((Model_Data!A132)-Inputs!$C$34)^2)+(((Inputs!$C$6)-Inputs!$C$35)^2))/(2*Inputs!$C$36^2)))+Inputs!$C$37*(0.55*SIN(2*PI()*(Model_Data!A132)/Inputs!$C$39)+0.35*COS(2*PI()*(Inputs!$C$6)/Inputs!$C$40)+0.2*SIN(2*PI()*((Model_Data!A132)+(Inputs!$C$6))/(0.5*(Inputs!$C$39+Inputs!$C$40))))+Inputs!$C$38*SIN(2*PI()*(Model_Data!A132)/Inputs!$C$39)*SIN(2*PI()*(Inputs!$C$6)/Inputs!$C$40)+-Inputs!$C$41*EXP(-(((Inputs!$C$6)-Inputs!$C$43)^2)/(2*Inputs!$C$44^2))*EXP(-(((Model_Data!A132)-Inputs!$C$42)^2)/(2*Inputs!$C$45^2))+Inputs!$C$48*(0.7*(0.45*SIN(2*PI()*(((Model_Data!A132)/Inputs!$C$49)+Inputs!$C$47*0.137))+0.35*COS(2*PI()*(((Inputs!$C$6)/Inputs!$C$50)+Inputs!$C$47*0.173))+0.2*SIN(2*PI()*(((Model_Data!A132)+(Inputs!$C$6))/(0.5*(Inputs!$C$49+Inputs!$C$50))+Inputs!$C$47*0.097)))+0.3*(2*((SIN(((Model_Data!A132)*12.9898+(Inputs!$C$6)*78.233+Inputs!$C$47*37.719))*43758.5453)-INT((SIN(((Model_Data!A132)*12.9898+(Inputs!$C$6)*78.233+Inputs!$C$47*37.719))*43758.5453)))-1)))</f>
        <v>548.81469209034094</v>
      </c>
      <c r="K132" s="9">
        <f>-((((SQRT((Model_Data!A132)^2+Inputs!$C$6^2+((Model_Data!B132)-((Inputs!$C$51*(115*EXP(-(((Inputs!$C$6)-25)^2)/(4.5^2))+70*EXP(-(((Inputs!$C$6)+38)^2)/(7^2))*(0.55+0.45*SIN(2*PI()*(Model_Data!A132)/45))+24*SIN(2*PI()*(Inputs!$C$6)/9+(Model_Data!A132)/18)*EXP(-(((Inputs!$C$6)+5)^2)/(22^2))+18*SIN(2*PI()*(Model_Data!A132)/70))+Inputs!$C$28*EXP(-(((Model_Data!A132)-Inputs!$C$29)^2)/(2*Inputs!$C$31^2))*EXP(-(((Inputs!$C$6)-Inputs!$C$30)^2)/(2*Inputs!$C$32^2))+-Inputs!$C$33*EXP(-(((((Model_Data!A132)-Inputs!$C$34)^2)+(((Inputs!$C$6)-Inputs!$C$35)^2))/(2*Inputs!$C$36^2)))+Inputs!$C$37*(0.55*SIN(2*PI()*(Model_Data!A132)/Inputs!$C$39)+0.35*COS(2*PI()*(Inputs!$C$6)/Inputs!$C$40)+0.2*SIN(2*PI()*((Model_Data!A132)+(Inputs!$C$6))/(0.5*(Inputs!$C$39+Inputs!$C$40))))+Inputs!$C$38*SIN(2*PI()*(Model_Data!A132)/Inputs!$C$39)*SIN(2*PI()*(Inputs!$C$6)/Inputs!$C$40)+-Inputs!$C$41*EXP(-(((Inputs!$C$6)-Inputs!$C$43)^2)/(2*Inputs!$C$44^2))*EXP(-(((Model_Data!A132)-Inputs!$C$42)^2)/(2*Inputs!$C$45^2))+Inputs!$C$48*(0.7*(0.45*SIN(2*PI()*(((Model_Data!A132)/Inputs!$C$49)+Inputs!$C$47*0.137))+0.35*COS(2*PI()*(((Inputs!$C$6)/Inputs!$C$50)+Inputs!$C$47*0.173))+0.2*SIN(2*PI()*(((Model_Data!A132)+(Inputs!$C$6))/(0.5*(Inputs!$C$49+Inputs!$C$50))+Inputs!$C$47*0.097)))+0.3*(2*((SIN(((Model_Data!A132)*12.9898+(Inputs!$C$6)*78.233+Inputs!$C$47*37.719))*43758.5453)-INT((SIN(((Model_Data!A132)*12.9898+(Inputs!$C$6)*78.233+Inputs!$C$47*37.719))*43758.5453)))-1))))/1000)^2))-(((Model_Data!B132)-((Inputs!$C$51*(115*EXP(-(((0)-25)^2)/(4.5^2))+70*EXP(-(((0)+38)^2)/(7^2))*(0.55+0.45*SIN(2*PI()*(Model_Data!A132)/45))+24*SIN(2*PI()*(0)/9+(Model_Data!A132)/18)*EXP(-(((0)+5)^2)/(22^2))+18*SIN(2*PI()*(Model_Data!A132)/70))+Inputs!$C$28*EXP(-(((Model_Data!A132)-Inputs!$C$29)^2)/(2*Inputs!$C$31^2))*EXP(-(((0)-Inputs!$C$30)^2)/(2*Inputs!$C$32^2))+-Inputs!$C$33*EXP(-(((((Model_Data!A132)-Inputs!$C$34)^2)+(((0)-Inputs!$C$35)^2))/(2*Inputs!$C$36^2)))+Inputs!$C$37*(0.55*SIN(2*PI()*(Model_Data!A132)/Inputs!$C$39)+0.35*COS(2*PI()*(0)/Inputs!$C$40)+0.2*SIN(2*PI()*((Model_Data!A132)+(0))/(0.5*(Inputs!$C$39+Inputs!$C$40))))+Inputs!$C$38*SIN(2*PI()*(Model_Data!A132)/Inputs!$C$39)*SIN(2*PI()*(0)/Inputs!$C$40)+-Inputs!$C$41*EXP(-(((0)-Inputs!$C$43)^2)/(2*Inputs!$C$44^2))*EXP(-(((Model_Data!A132)-Inputs!$C$42)^2)/(2*Inputs!$C$45^2))+Inputs!$C$48*(0.7*(0.45*SIN(2*PI()*(((Model_Data!A132)/Inputs!$C$49)+Inputs!$C$47*0.137))+0.35*COS(2*PI()*(((0)/Inputs!$C$50)+Inputs!$C$47*0.173))+0.2*SIN(2*PI()*(((Model_Data!A132)+(0))/(0.5*(Inputs!$C$49+Inputs!$C$50))+Inputs!$C$47*0.097)))+0.3*(2*((SIN(((Model_Data!A132)*12.9898+(0)*78.233+Inputs!$C$47*37.719))*43758.5453)-INT((SIN(((Model_Data!A132)*12.9898+(0)*78.233+Inputs!$C$47*37.719))*43758.5453)))-1))))/1000)))*1000/Inputs!$C$12)-Model_Data!F132)</f>
        <v>252.10795828288889</v>
      </c>
      <c r="L132" s="10"/>
      <c r="M132" s="9">
        <f>Model_Data!A132</f>
        <v>5</v>
      </c>
      <c r="N132" s="9">
        <f>Model_Data!P132</f>
        <v>-37.699899294940856</v>
      </c>
      <c r="O132" s="9">
        <f t="shared" si="4"/>
        <v>-84.228447058194433</v>
      </c>
      <c r="P132" s="9">
        <f>Model_Data!Q132</f>
        <v>-5.6606455397809095</v>
      </c>
      <c r="Q132" s="9">
        <f t="shared" si="5"/>
        <v>-12.646913972701867</v>
      </c>
      <c r="R132" s="10"/>
      <c r="S132" s="9">
        <f>Model_Data!A132</f>
        <v>5</v>
      </c>
      <c r="T132" s="9">
        <f>Model_Data!B132-Inputs!$C$5</f>
        <v>2.7777777777771462E-2</v>
      </c>
      <c r="U132" s="10"/>
      <c r="V132" s="9">
        <f>Model_Data!A132</f>
        <v>5</v>
      </c>
      <c r="W132" s="9">
        <f>((SQRT((Model_Data!A132)^2+Inputs!$C$6^2+Inputs!$C$5^2)-Inputs!$C$5)*1000/Inputs!$C$12)</f>
        <v>455.99802057395618</v>
      </c>
      <c r="X132" s="9">
        <f>Model_Data!F132</f>
        <v>455.96642035985531</v>
      </c>
      <c r="Y132" s="10"/>
      <c r="Z132" s="9">
        <f>Model_Data!A132</f>
        <v>5</v>
      </c>
      <c r="AA132" s="9">
        <f>SQRT((Model_Data!A132)^2+Inputs!$C$6^2+((Model_Data!B132)-((Inputs!$C$51*(115*EXP(-(((Inputs!$C$6)-25)^2)/(4.5^2))+70*EXP(-(((Inputs!$C$6)+38)^2)/(7^2))*(0.55+0.45*SIN(2*PI()*(Model_Data!A132)/45))+24*SIN(2*PI()*(Inputs!$C$6)/9+(Model_Data!A132)/18)*EXP(-(((Inputs!$C$6)+5)^2)/(22^2))+18*SIN(2*PI()*(Model_Data!A132)/70))+Inputs!$C$28*EXP(-(((Model_Data!A132)-Inputs!$C$29)^2)/(2*Inputs!$C$31^2))*EXP(-(((Inputs!$C$6)-Inputs!$C$30)^2)/(2*Inputs!$C$32^2))+-Inputs!$C$33*EXP(-(((((Model_Data!A132)-Inputs!$C$34)^2)+(((Inputs!$C$6)-Inputs!$C$35)^2))/(2*Inputs!$C$36^2)))+Inputs!$C$37*(0.55*SIN(2*PI()*(Model_Data!A132)/Inputs!$C$39)+0.35*COS(2*PI()*(Inputs!$C$6)/Inputs!$C$40)+0.2*SIN(2*PI()*((Model_Data!A132)+(Inputs!$C$6))/(0.5*(Inputs!$C$39+Inputs!$C$40))))+Inputs!$C$38*SIN(2*PI()*(Model_Data!A132)/Inputs!$C$39)*SIN(2*PI()*(Inputs!$C$6)/Inputs!$C$40)+-Inputs!$C$41*EXP(-(((Inputs!$C$6)-Inputs!$C$43)^2)/(2*Inputs!$C$44^2))*EXP(-(((Model_Data!A132)-Inputs!$C$42)^2)/(2*Inputs!$C$45^2))+Inputs!$C$48*(0.7*(0.45*SIN(2*PI()*(((Model_Data!A132)/Inputs!$C$49)+Inputs!$C$47*0.137))+0.35*COS(2*PI()*(((Inputs!$C$6)/Inputs!$C$50)+Inputs!$C$47*0.173))+0.2*SIN(2*PI()*(((Model_Data!A132)+(Inputs!$C$6))/(0.5*(Inputs!$C$49+Inputs!$C$50))+Inputs!$C$47*0.097)))+0.3*(2*((SIN(((Model_Data!A132)*12.9898+(Inputs!$C$6)*78.233+Inputs!$C$47*37.719))*43758.5453)-INT((SIN(((Model_Data!A132)*12.9898+(Inputs!$C$6)*78.233+Inputs!$C$47*37.719))*43758.5453)))-1))))/1000)^2)</f>
        <v>400.29169607676852</v>
      </c>
      <c r="AB132" s="9">
        <f>1000*(AA133-AA131)/(Z133-Z131)*Inputs!$C$11</f>
        <v>210.57111764548608</v>
      </c>
      <c r="AC132" s="9">
        <f>-2*AB132/Inputs!$C$13</f>
        <v>-84.228447058194433</v>
      </c>
      <c r="AD132" s="9">
        <f>-2*AB132/Inputs!$C$14</f>
        <v>-12.646913972701867</v>
      </c>
    </row>
    <row r="133" spans="1:30">
      <c r="A133" s="9">
        <f>Model_Data!A133</f>
        <v>5.5</v>
      </c>
      <c r="B133" s="9">
        <f>((SQRT((Model_Data!A133)^2+Inputs!$C$6^2+Inputs!$C$5^2)-Inputs!$C$5)*1000/Inputs!$C$12)</f>
        <v>459.67732219988454</v>
      </c>
      <c r="C133" s="9">
        <f>Model_Data!F133</f>
        <v>459.63877861482985</v>
      </c>
      <c r="D133" s="9">
        <f>(((SQRT((Model_Data!A133)^2+Inputs!$C$6^2+((Model_Data!B133)-((Inputs!$C$51*(115*EXP(-(((Inputs!$C$6)-25)^2)/(4.5^2))+70*EXP(-(((Inputs!$C$6)+38)^2)/(7^2))*(0.55+0.45*SIN(2*PI()*(Model_Data!A133)/45))+24*SIN(2*PI()*(Inputs!$C$6)/9+(Model_Data!A133)/18)*EXP(-(((Inputs!$C$6)+5)^2)/(22^2))+18*SIN(2*PI()*(Model_Data!A133)/70))+Inputs!$C$28*EXP(-(((Model_Data!A133)-Inputs!$C$29)^2)/(2*Inputs!$C$31^2))*EXP(-(((Inputs!$C$6)-Inputs!$C$30)^2)/(2*Inputs!$C$32^2))+-Inputs!$C$33*EXP(-(((((Model_Data!A133)-Inputs!$C$34)^2)+(((Inputs!$C$6)-Inputs!$C$35)^2))/(2*Inputs!$C$36^2)))+Inputs!$C$37*(0.55*SIN(2*PI()*(Model_Data!A133)/Inputs!$C$39)+0.35*COS(2*PI()*(Inputs!$C$6)/Inputs!$C$40)+0.2*SIN(2*PI()*((Model_Data!A133)+(Inputs!$C$6))/(0.5*(Inputs!$C$39+Inputs!$C$40))))+Inputs!$C$38*SIN(2*PI()*(Model_Data!A133)/Inputs!$C$39)*SIN(2*PI()*(Inputs!$C$6)/Inputs!$C$40)+-Inputs!$C$41*EXP(-(((Inputs!$C$6)-Inputs!$C$43)^2)/(2*Inputs!$C$44^2))*EXP(-(((Model_Data!A133)-Inputs!$C$42)^2)/(2*Inputs!$C$45^2))+Inputs!$C$48*(0.7*(0.45*SIN(2*PI()*(((Model_Data!A133)/Inputs!$C$49)+Inputs!$C$47*0.137))+0.35*COS(2*PI()*(((Inputs!$C$6)/Inputs!$C$50)+Inputs!$C$47*0.173))+0.2*SIN(2*PI()*(((Model_Data!A133)+(Inputs!$C$6))/(0.5*(Inputs!$C$49+Inputs!$C$50))+Inputs!$C$47*0.097)))+0.3*(2*((SIN(((Model_Data!A133)*12.9898+(Inputs!$C$6)*78.233+Inputs!$C$47*37.719))*43758.5453)-INT((SIN(((Model_Data!A133)*12.9898+(Inputs!$C$6)*78.233+Inputs!$C$47*37.719))*43758.5453)))-1))))/1000)^2))-(((Model_Data!B133)-((Inputs!$C$51*(115*EXP(-(((0)-25)^2)/(4.5^2))+70*EXP(-(((0)+38)^2)/(7^2))*(0.55+0.45*SIN(2*PI()*(Model_Data!A133)/45))+24*SIN(2*PI()*(0)/9+(Model_Data!A133)/18)*EXP(-(((0)+5)^2)/(22^2))+18*SIN(2*PI()*(Model_Data!A133)/70))+Inputs!$C$28*EXP(-(((Model_Data!A133)-Inputs!$C$29)^2)/(2*Inputs!$C$31^2))*EXP(-(((0)-Inputs!$C$30)^2)/(2*Inputs!$C$32^2))+-Inputs!$C$33*EXP(-(((((Model_Data!A133)-Inputs!$C$34)^2)+(((0)-Inputs!$C$35)^2))/(2*Inputs!$C$36^2)))+Inputs!$C$37*(0.55*SIN(2*PI()*(Model_Data!A133)/Inputs!$C$39)+0.35*COS(2*PI()*(0)/Inputs!$C$40)+0.2*SIN(2*PI()*((Model_Data!A133)+(0))/(0.5*(Inputs!$C$39+Inputs!$C$40))))+Inputs!$C$38*SIN(2*PI()*(Model_Data!A133)/Inputs!$C$39)*SIN(2*PI()*(0)/Inputs!$C$40)+-Inputs!$C$41*EXP(-(((0)-Inputs!$C$43)^2)/(2*Inputs!$C$44^2))*EXP(-(((Model_Data!A133)-Inputs!$C$42)^2)/(2*Inputs!$C$45^2))+Inputs!$C$48*(0.7*(0.45*SIN(2*PI()*(((Model_Data!A133)/Inputs!$C$49)+Inputs!$C$47*0.137))+0.35*COS(2*PI()*(((0)/Inputs!$C$50)+Inputs!$C$47*0.173))+0.2*SIN(2*PI()*(((Model_Data!A133)+(0))/(0.5*(Inputs!$C$49+Inputs!$C$50))+Inputs!$C$47*0.097)))+0.3*(2*((SIN(((Model_Data!A133)*12.9898+(0)*78.233+Inputs!$C$47*37.719))*43758.5453)-INT((SIN(((Model_Data!A133)*12.9898+(0)*78.233+Inputs!$C$47*37.719))*43758.5453)))-1))))/1000)))*1000/Inputs!$C$12)</f>
        <v>211.71507226847169</v>
      </c>
      <c r="E133" s="9">
        <f>Model_Data!A133</f>
        <v>5.5</v>
      </c>
      <c r="F133" s="9">
        <f>(Inputs!$C$51*(115*EXP(-(((Inputs!$C$6)-25)^2)/(4.5^2))+70*EXP(-(((Inputs!$C$6)+38)^2)/(7^2))*(0.55+0.45*SIN(2*PI()*(Model_Data!A133)/45))+24*SIN(2*PI()*(Inputs!$C$6)/9+(Model_Data!A133)/18)*EXP(-(((Inputs!$C$6)+5)^2)/(22^2))+18*SIN(2*PI()*(Model_Data!A133)/70))+Inputs!$C$28*EXP(-(((Model_Data!A133)-Inputs!$C$29)^2)/(2*Inputs!$C$31^2))*EXP(-(((Inputs!$C$6)-Inputs!$C$30)^2)/(2*Inputs!$C$32^2))+-Inputs!$C$33*EXP(-(((((Model_Data!A133)-Inputs!$C$34)^2)+(((Inputs!$C$6)-Inputs!$C$35)^2))/(2*Inputs!$C$36^2)))+Inputs!$C$37*(0.55*SIN(2*PI()*(Model_Data!A133)/Inputs!$C$39)+0.35*COS(2*PI()*(Inputs!$C$6)/Inputs!$C$40)+0.2*SIN(2*PI()*((Model_Data!A133)+(Inputs!$C$6))/(0.5*(Inputs!$C$39+Inputs!$C$40))))+Inputs!$C$38*SIN(2*PI()*(Model_Data!A133)/Inputs!$C$39)*SIN(2*PI()*(Inputs!$C$6)/Inputs!$C$40)+-Inputs!$C$41*EXP(-(((Inputs!$C$6)-Inputs!$C$43)^2)/(2*Inputs!$C$44^2))*EXP(-(((Model_Data!A133)-Inputs!$C$42)^2)/(2*Inputs!$C$45^2))+Inputs!$C$48*(0.7*(0.45*SIN(2*PI()*(((Model_Data!A133)/Inputs!$C$49)+Inputs!$C$47*0.137))+0.35*COS(2*PI()*(((Inputs!$C$6)/Inputs!$C$50)+Inputs!$C$47*0.173))+0.2*SIN(2*PI()*(((Model_Data!A133)+(Inputs!$C$6))/(0.5*(Inputs!$C$49+Inputs!$C$50))+Inputs!$C$47*0.097)))+0.3*(2*((SIN(((Model_Data!A133)*12.9898+(Inputs!$C$6)*78.233+Inputs!$C$47*37.719))*43758.5453)-INT((SIN(((Model_Data!A133)*12.9898+(Inputs!$C$6)*78.233+Inputs!$C$47*37.719))*43758.5453)))-1)))</f>
        <v>539.52128531641313</v>
      </c>
      <c r="G133" s="9">
        <f>(Inputs!$C$51*(115*EXP(-(((0)-25)^2)/(4.5^2))+70*EXP(-(((0)+38)^2)/(7^2))*(0.55+0.45*SIN(2*PI()*(Model_Data!A133)/45))+24*SIN(2*PI()*(0)/9+(Model_Data!A133)/18)*EXP(-(((0)+5)^2)/(22^2))+18*SIN(2*PI()*(Model_Data!A133)/70))+Inputs!$C$28*EXP(-(((Model_Data!A133)-Inputs!$C$29)^2)/(2*Inputs!$C$31^2))*EXP(-(((0)-Inputs!$C$30)^2)/(2*Inputs!$C$32^2))+-Inputs!$C$33*EXP(-(((((Model_Data!A133)-Inputs!$C$34)^2)+(((0)-Inputs!$C$35)^2))/(2*Inputs!$C$36^2)))+Inputs!$C$37*(0.55*SIN(2*PI()*(Model_Data!A133)/Inputs!$C$39)+0.35*COS(2*PI()*(0)/Inputs!$C$40)+0.2*SIN(2*PI()*((Model_Data!A133)+(0))/(0.5*(Inputs!$C$39+Inputs!$C$40))))+Inputs!$C$38*SIN(2*PI()*(Model_Data!A133)/Inputs!$C$39)*SIN(2*PI()*(0)/Inputs!$C$40)+-Inputs!$C$41*EXP(-(((0)-Inputs!$C$43)^2)/(2*Inputs!$C$44^2))*EXP(-(((Model_Data!A133)-Inputs!$C$42)^2)/(2*Inputs!$C$45^2))+Inputs!$C$48*(0.7*(0.45*SIN(2*PI()*(((Model_Data!A133)/Inputs!$C$49)+Inputs!$C$47*0.137))+0.35*COS(2*PI()*(((0)/Inputs!$C$50)+Inputs!$C$47*0.173))+0.2*SIN(2*PI()*(((Model_Data!A133)+(0))/(0.5*(Inputs!$C$49+Inputs!$C$50))+Inputs!$C$47*0.097)))+0.3*(2*((SIN(((Model_Data!A133)*12.9898+(0)*78.233+Inputs!$C$47*37.719))*43758.5453)-INT((SIN(((Model_Data!A133)*12.9898+(0)*78.233+Inputs!$C$47*37.719))*43758.5453)))-1)))</f>
        <v>97.114417477688932</v>
      </c>
      <c r="H133" s="10"/>
      <c r="I133" s="9">
        <f>Model_Data!A133</f>
        <v>5.5</v>
      </c>
      <c r="J133" s="9">
        <f>(Inputs!$C$51*(115*EXP(-(((Inputs!$C$6)-25)^2)/(4.5^2))+70*EXP(-(((Inputs!$C$6)+38)^2)/(7^2))*(0.55+0.45*SIN(2*PI()*(Model_Data!A133)/45))+24*SIN(2*PI()*(Inputs!$C$6)/9+(Model_Data!A133)/18)*EXP(-(((Inputs!$C$6)+5)^2)/(22^2))+18*SIN(2*PI()*(Model_Data!A133)/70))+Inputs!$C$28*EXP(-(((Model_Data!A133)-Inputs!$C$29)^2)/(2*Inputs!$C$31^2))*EXP(-(((Inputs!$C$6)-Inputs!$C$30)^2)/(2*Inputs!$C$32^2))+-Inputs!$C$33*EXP(-(((((Model_Data!A133)-Inputs!$C$34)^2)+(((Inputs!$C$6)-Inputs!$C$35)^2))/(2*Inputs!$C$36^2)))+Inputs!$C$37*(0.55*SIN(2*PI()*(Model_Data!A133)/Inputs!$C$39)+0.35*COS(2*PI()*(Inputs!$C$6)/Inputs!$C$40)+0.2*SIN(2*PI()*((Model_Data!A133)+(Inputs!$C$6))/(0.5*(Inputs!$C$39+Inputs!$C$40))))+Inputs!$C$38*SIN(2*PI()*(Model_Data!A133)/Inputs!$C$39)*SIN(2*PI()*(Inputs!$C$6)/Inputs!$C$40)+-Inputs!$C$41*EXP(-(((Inputs!$C$6)-Inputs!$C$43)^2)/(2*Inputs!$C$44^2))*EXP(-(((Model_Data!A133)-Inputs!$C$42)^2)/(2*Inputs!$C$45^2))+Inputs!$C$48*(0.7*(0.45*SIN(2*PI()*(((Model_Data!A133)/Inputs!$C$49)+Inputs!$C$47*0.137))+0.35*COS(2*PI()*(((Inputs!$C$6)/Inputs!$C$50)+Inputs!$C$47*0.173))+0.2*SIN(2*PI()*(((Model_Data!A133)+(Inputs!$C$6))/(0.5*(Inputs!$C$49+Inputs!$C$50))+Inputs!$C$47*0.097)))+0.3*(2*((SIN(((Model_Data!A133)*12.9898+(Inputs!$C$6)*78.233+Inputs!$C$47*37.719))*43758.5453)-INT((SIN(((Model_Data!A133)*12.9898+(Inputs!$C$6)*78.233+Inputs!$C$47*37.719))*43758.5453)))-1)))</f>
        <v>539.52128531641313</v>
      </c>
      <c r="K133" s="9">
        <f>-((((SQRT((Model_Data!A133)^2+Inputs!$C$6^2+((Model_Data!B133)-((Inputs!$C$51*(115*EXP(-(((Inputs!$C$6)-25)^2)/(4.5^2))+70*EXP(-(((Inputs!$C$6)+38)^2)/(7^2))*(0.55+0.45*SIN(2*PI()*(Model_Data!A133)/45))+24*SIN(2*PI()*(Inputs!$C$6)/9+(Model_Data!A133)/18)*EXP(-(((Inputs!$C$6)+5)^2)/(22^2))+18*SIN(2*PI()*(Model_Data!A133)/70))+Inputs!$C$28*EXP(-(((Model_Data!A133)-Inputs!$C$29)^2)/(2*Inputs!$C$31^2))*EXP(-(((Inputs!$C$6)-Inputs!$C$30)^2)/(2*Inputs!$C$32^2))+-Inputs!$C$33*EXP(-(((((Model_Data!A133)-Inputs!$C$34)^2)+(((Inputs!$C$6)-Inputs!$C$35)^2))/(2*Inputs!$C$36^2)))+Inputs!$C$37*(0.55*SIN(2*PI()*(Model_Data!A133)/Inputs!$C$39)+0.35*COS(2*PI()*(Inputs!$C$6)/Inputs!$C$40)+0.2*SIN(2*PI()*((Model_Data!A133)+(Inputs!$C$6))/(0.5*(Inputs!$C$39+Inputs!$C$40))))+Inputs!$C$38*SIN(2*PI()*(Model_Data!A133)/Inputs!$C$39)*SIN(2*PI()*(Inputs!$C$6)/Inputs!$C$40)+-Inputs!$C$41*EXP(-(((Inputs!$C$6)-Inputs!$C$43)^2)/(2*Inputs!$C$44^2))*EXP(-(((Model_Data!A133)-Inputs!$C$42)^2)/(2*Inputs!$C$45^2))+Inputs!$C$48*(0.7*(0.45*SIN(2*PI()*(((Model_Data!A133)/Inputs!$C$49)+Inputs!$C$47*0.137))+0.35*COS(2*PI()*(((Inputs!$C$6)/Inputs!$C$50)+Inputs!$C$47*0.173))+0.2*SIN(2*PI()*(((Model_Data!A133)+(Inputs!$C$6))/(0.5*(Inputs!$C$49+Inputs!$C$50))+Inputs!$C$47*0.097)))+0.3*(2*((SIN(((Model_Data!A133)*12.9898+(Inputs!$C$6)*78.233+Inputs!$C$47*37.719))*43758.5453)-INT((SIN(((Model_Data!A133)*12.9898+(Inputs!$C$6)*78.233+Inputs!$C$47*37.719))*43758.5453)))-1))))/1000)^2))-(((Model_Data!B133)-((Inputs!$C$51*(115*EXP(-(((0)-25)^2)/(4.5^2))+70*EXP(-(((0)+38)^2)/(7^2))*(0.55+0.45*SIN(2*PI()*(Model_Data!A133)/45))+24*SIN(2*PI()*(0)/9+(Model_Data!A133)/18)*EXP(-(((0)+5)^2)/(22^2))+18*SIN(2*PI()*(Model_Data!A133)/70))+Inputs!$C$28*EXP(-(((Model_Data!A133)-Inputs!$C$29)^2)/(2*Inputs!$C$31^2))*EXP(-(((0)-Inputs!$C$30)^2)/(2*Inputs!$C$32^2))+-Inputs!$C$33*EXP(-(((((Model_Data!A133)-Inputs!$C$34)^2)+(((0)-Inputs!$C$35)^2))/(2*Inputs!$C$36^2)))+Inputs!$C$37*(0.55*SIN(2*PI()*(Model_Data!A133)/Inputs!$C$39)+0.35*COS(2*PI()*(0)/Inputs!$C$40)+0.2*SIN(2*PI()*((Model_Data!A133)+(0))/(0.5*(Inputs!$C$39+Inputs!$C$40))))+Inputs!$C$38*SIN(2*PI()*(Model_Data!A133)/Inputs!$C$39)*SIN(2*PI()*(0)/Inputs!$C$40)+-Inputs!$C$41*EXP(-(((0)-Inputs!$C$43)^2)/(2*Inputs!$C$44^2))*EXP(-(((Model_Data!A133)-Inputs!$C$42)^2)/(2*Inputs!$C$45^2))+Inputs!$C$48*(0.7*(0.45*SIN(2*PI()*(((Model_Data!A133)/Inputs!$C$49)+Inputs!$C$47*0.137))+0.35*COS(2*PI()*(((0)/Inputs!$C$50)+Inputs!$C$47*0.173))+0.2*SIN(2*PI()*(((Model_Data!A133)+(0))/(0.5*(Inputs!$C$49+Inputs!$C$50))+Inputs!$C$47*0.097)))+0.3*(2*((SIN(((Model_Data!A133)*12.9898+(0)*78.233+Inputs!$C$47*37.719))*43758.5453)-INT((SIN(((Model_Data!A133)*12.9898+(0)*78.233+Inputs!$C$47*37.719))*43758.5453)))-1))))/1000)))*1000/Inputs!$C$12)-Model_Data!F133)</f>
        <v>247.92370634635816</v>
      </c>
      <c r="L133" s="10"/>
      <c r="M133" s="9">
        <f>Model_Data!A133</f>
        <v>5.5</v>
      </c>
      <c r="N133" s="9">
        <f>Model_Data!P133</f>
        <v>-41.468894058837513</v>
      </c>
      <c r="O133" s="9">
        <f t="shared" si="4"/>
        <v>-65.645030704581586</v>
      </c>
      <c r="P133" s="9">
        <f>Model_Data!Q133</f>
        <v>-6.2265606694951225</v>
      </c>
      <c r="Q133" s="9">
        <f t="shared" si="5"/>
        <v>-9.8566112169041435</v>
      </c>
      <c r="R133" s="10"/>
      <c r="S133" s="9">
        <f>Model_Data!A133</f>
        <v>5.5</v>
      </c>
      <c r="T133" s="9">
        <f>Model_Data!B133-Inputs!$C$5</f>
        <v>3.361111111109949E-2</v>
      </c>
      <c r="U133" s="10"/>
      <c r="V133" s="9">
        <f>Model_Data!A133</f>
        <v>5.5</v>
      </c>
      <c r="W133" s="9">
        <f>((SQRT((Model_Data!A133)^2+Inputs!$C$6^2+Inputs!$C$5^2)-Inputs!$C$5)*1000/Inputs!$C$12)</f>
        <v>459.67732219988454</v>
      </c>
      <c r="X133" s="9">
        <f>Model_Data!F133</f>
        <v>459.63877861482985</v>
      </c>
      <c r="Y133" s="10"/>
      <c r="Z133" s="9">
        <f>Model_Data!A133</f>
        <v>5.5</v>
      </c>
      <c r="AA133" s="9">
        <f>SQRT((Model_Data!A133)^2+Inputs!$C$6^2+((Model_Data!B133)-((Inputs!$C$51*(115*EXP(-(((Inputs!$C$6)-25)^2)/(4.5^2))+70*EXP(-(((Inputs!$C$6)+38)^2)/(7^2))*(0.55+0.45*SIN(2*PI()*(Model_Data!A133)/45))+24*SIN(2*PI()*(Inputs!$C$6)/9+(Model_Data!A133)/18)*EXP(-(((Inputs!$C$6)+5)^2)/(22^2))+18*SIN(2*PI()*(Model_Data!A133)/70))+Inputs!$C$28*EXP(-(((Model_Data!A133)-Inputs!$C$29)^2)/(2*Inputs!$C$31^2))*EXP(-(((Inputs!$C$6)-Inputs!$C$30)^2)/(2*Inputs!$C$32^2))+-Inputs!$C$33*EXP(-(((((Model_Data!A133)-Inputs!$C$34)^2)+(((Inputs!$C$6)-Inputs!$C$35)^2))/(2*Inputs!$C$36^2)))+Inputs!$C$37*(0.55*SIN(2*PI()*(Model_Data!A133)/Inputs!$C$39)+0.35*COS(2*PI()*(Inputs!$C$6)/Inputs!$C$40)+0.2*SIN(2*PI()*((Model_Data!A133)+(Inputs!$C$6))/(0.5*(Inputs!$C$39+Inputs!$C$40))))+Inputs!$C$38*SIN(2*PI()*(Model_Data!A133)/Inputs!$C$39)*SIN(2*PI()*(Inputs!$C$6)/Inputs!$C$40)+-Inputs!$C$41*EXP(-(((Inputs!$C$6)-Inputs!$C$43)^2)/(2*Inputs!$C$44^2))*EXP(-(((Model_Data!A133)-Inputs!$C$42)^2)/(2*Inputs!$C$45^2))+Inputs!$C$48*(0.7*(0.45*SIN(2*PI()*(((Model_Data!A133)/Inputs!$C$49)+Inputs!$C$47*0.137))+0.35*COS(2*PI()*(((Inputs!$C$6)/Inputs!$C$50)+Inputs!$C$47*0.173))+0.2*SIN(2*PI()*(((Model_Data!A133)+(Inputs!$C$6))/(0.5*(Inputs!$C$49+Inputs!$C$50))+Inputs!$C$47*0.097)))+0.3*(2*((SIN(((Model_Data!A133)*12.9898+(Inputs!$C$6)*78.233+Inputs!$C$47*37.719))*43758.5453)-INT((SIN(((Model_Data!A133)*12.9898+(Inputs!$C$6)*78.233+Inputs!$C$47*37.719))*43758.5453)))-1))))/1000)^2)</f>
        <v>400.31334952227127</v>
      </c>
      <c r="AB133" s="9">
        <f>1000*(AA134-AA132)/(Z134-Z132)*Inputs!$C$11</f>
        <v>164.11257676145397</v>
      </c>
      <c r="AC133" s="9">
        <f>-2*AB133/Inputs!$C$13</f>
        <v>-65.645030704581586</v>
      </c>
      <c r="AD133" s="9">
        <f>-2*AB133/Inputs!$C$14</f>
        <v>-9.8566112169041435</v>
      </c>
    </row>
    <row r="134" spans="1:30">
      <c r="A134" s="9">
        <f>Model_Data!A134</f>
        <v>6</v>
      </c>
      <c r="B134" s="9">
        <f>((SQRT((Model_Data!A134)^2+Inputs!$C$6^2+Inputs!$C$5^2)-Inputs!$C$5)*1000/Inputs!$C$12)</f>
        <v>463.70696452700952</v>
      </c>
      <c r="C134" s="9">
        <f>Model_Data!F134</f>
        <v>463.66069393203549</v>
      </c>
      <c r="D134" s="9">
        <f>(((SQRT((Model_Data!A134)^2+Inputs!$C$6^2+((Model_Data!B134)-((Inputs!$C$51*(115*EXP(-(((Inputs!$C$6)-25)^2)/(4.5^2))+70*EXP(-(((Inputs!$C$6)+38)^2)/(7^2))*(0.55+0.45*SIN(2*PI()*(Model_Data!A134)/45))+24*SIN(2*PI()*(Inputs!$C$6)/9+(Model_Data!A134)/18)*EXP(-(((Inputs!$C$6)+5)^2)/(22^2))+18*SIN(2*PI()*(Model_Data!A134)/70))+Inputs!$C$28*EXP(-(((Model_Data!A134)-Inputs!$C$29)^2)/(2*Inputs!$C$31^2))*EXP(-(((Inputs!$C$6)-Inputs!$C$30)^2)/(2*Inputs!$C$32^2))+-Inputs!$C$33*EXP(-(((((Model_Data!A134)-Inputs!$C$34)^2)+(((Inputs!$C$6)-Inputs!$C$35)^2))/(2*Inputs!$C$36^2)))+Inputs!$C$37*(0.55*SIN(2*PI()*(Model_Data!A134)/Inputs!$C$39)+0.35*COS(2*PI()*(Inputs!$C$6)/Inputs!$C$40)+0.2*SIN(2*PI()*((Model_Data!A134)+(Inputs!$C$6))/(0.5*(Inputs!$C$39+Inputs!$C$40))))+Inputs!$C$38*SIN(2*PI()*(Model_Data!A134)/Inputs!$C$39)*SIN(2*PI()*(Inputs!$C$6)/Inputs!$C$40)+-Inputs!$C$41*EXP(-(((Inputs!$C$6)-Inputs!$C$43)^2)/(2*Inputs!$C$44^2))*EXP(-(((Model_Data!A134)-Inputs!$C$42)^2)/(2*Inputs!$C$45^2))+Inputs!$C$48*(0.7*(0.45*SIN(2*PI()*(((Model_Data!A134)/Inputs!$C$49)+Inputs!$C$47*0.137))+0.35*COS(2*PI()*(((Inputs!$C$6)/Inputs!$C$50)+Inputs!$C$47*0.173))+0.2*SIN(2*PI()*(((Model_Data!A134)+(Inputs!$C$6))/(0.5*(Inputs!$C$49+Inputs!$C$50))+Inputs!$C$47*0.097)))+0.3*(2*((SIN(((Model_Data!A134)*12.9898+(Inputs!$C$6)*78.233+Inputs!$C$47*37.719))*43758.5453)-INT((SIN(((Model_Data!A134)*12.9898+(Inputs!$C$6)*78.233+Inputs!$C$47*37.719))*43758.5453)))-1))))/1000)^2))-(((Model_Data!B134)-((Inputs!$C$51*(115*EXP(-(((0)-25)^2)/(4.5^2))+70*EXP(-(((0)+38)^2)/(7^2))*(0.55+0.45*SIN(2*PI()*(Model_Data!A134)/45))+24*SIN(2*PI()*(0)/9+(Model_Data!A134)/18)*EXP(-(((0)+5)^2)/(22^2))+18*SIN(2*PI()*(Model_Data!A134)/70))+Inputs!$C$28*EXP(-(((Model_Data!A134)-Inputs!$C$29)^2)/(2*Inputs!$C$31^2))*EXP(-(((0)-Inputs!$C$30)^2)/(2*Inputs!$C$32^2))+-Inputs!$C$33*EXP(-(((((Model_Data!A134)-Inputs!$C$34)^2)+(((0)-Inputs!$C$35)^2))/(2*Inputs!$C$36^2)))+Inputs!$C$37*(0.55*SIN(2*PI()*(Model_Data!A134)/Inputs!$C$39)+0.35*COS(2*PI()*(0)/Inputs!$C$40)+0.2*SIN(2*PI()*((Model_Data!A134)+(0))/(0.5*(Inputs!$C$39+Inputs!$C$40))))+Inputs!$C$38*SIN(2*PI()*(Model_Data!A134)/Inputs!$C$39)*SIN(2*PI()*(0)/Inputs!$C$40)+-Inputs!$C$41*EXP(-(((0)-Inputs!$C$43)^2)/(2*Inputs!$C$44^2))*EXP(-(((Model_Data!A134)-Inputs!$C$42)^2)/(2*Inputs!$C$45^2))+Inputs!$C$48*(0.7*(0.45*SIN(2*PI()*(((Model_Data!A134)/Inputs!$C$49)+Inputs!$C$47*0.137))+0.35*COS(2*PI()*(((0)/Inputs!$C$50)+Inputs!$C$47*0.173))+0.2*SIN(2*PI()*(((Model_Data!A134)+(0))/(0.5*(Inputs!$C$49+Inputs!$C$50))+Inputs!$C$47*0.097)))+0.3*(2*((SIN(((Model_Data!A134)*12.9898+(0)*78.233+Inputs!$C$47*37.719))*43758.5453)-INT((SIN(((Model_Data!A134)*12.9898+(0)*78.233+Inputs!$C$47*37.719))*43758.5453)))-1))))/1000)))*1000/Inputs!$C$12)</f>
        <v>203.970097999026</v>
      </c>
      <c r="E134" s="9">
        <f>Model_Data!A134</f>
        <v>6</v>
      </c>
      <c r="F134" s="9">
        <f>(Inputs!$C$51*(115*EXP(-(((Inputs!$C$6)-25)^2)/(4.5^2))+70*EXP(-(((Inputs!$C$6)+38)^2)/(7^2))*(0.55+0.45*SIN(2*PI()*(Model_Data!A134)/45))+24*SIN(2*PI()*(Inputs!$C$6)/9+(Model_Data!A134)/18)*EXP(-(((Inputs!$C$6)+5)^2)/(22^2))+18*SIN(2*PI()*(Model_Data!A134)/70))+Inputs!$C$28*EXP(-(((Model_Data!A134)-Inputs!$C$29)^2)/(2*Inputs!$C$31^2))*EXP(-(((Inputs!$C$6)-Inputs!$C$30)^2)/(2*Inputs!$C$32^2))+-Inputs!$C$33*EXP(-(((((Model_Data!A134)-Inputs!$C$34)^2)+(((Inputs!$C$6)-Inputs!$C$35)^2))/(2*Inputs!$C$36^2)))+Inputs!$C$37*(0.55*SIN(2*PI()*(Model_Data!A134)/Inputs!$C$39)+0.35*COS(2*PI()*(Inputs!$C$6)/Inputs!$C$40)+0.2*SIN(2*PI()*((Model_Data!A134)+(Inputs!$C$6))/(0.5*(Inputs!$C$39+Inputs!$C$40))))+Inputs!$C$38*SIN(2*PI()*(Model_Data!A134)/Inputs!$C$39)*SIN(2*PI()*(Inputs!$C$6)/Inputs!$C$40)+-Inputs!$C$41*EXP(-(((Inputs!$C$6)-Inputs!$C$43)^2)/(2*Inputs!$C$44^2))*EXP(-(((Model_Data!A134)-Inputs!$C$42)^2)/(2*Inputs!$C$45^2))+Inputs!$C$48*(0.7*(0.45*SIN(2*PI()*(((Model_Data!A134)/Inputs!$C$49)+Inputs!$C$47*0.137))+0.35*COS(2*PI()*(((Inputs!$C$6)/Inputs!$C$50)+Inputs!$C$47*0.173))+0.2*SIN(2*PI()*(((Model_Data!A134)+(Inputs!$C$6))/(0.5*(Inputs!$C$49+Inputs!$C$50))+Inputs!$C$47*0.097)))+0.3*(2*((SIN(((Model_Data!A134)*12.9898+(Inputs!$C$6)*78.233+Inputs!$C$47*37.719))*43758.5453)-INT((SIN(((Model_Data!A134)*12.9898+(Inputs!$C$6)*78.233+Inputs!$C$47*37.719))*43758.5453)))-1)))</f>
        <v>533.69206209739866</v>
      </c>
      <c r="G134" s="9">
        <f>(Inputs!$C$51*(115*EXP(-(((0)-25)^2)/(4.5^2))+70*EXP(-(((0)+38)^2)/(7^2))*(0.55+0.45*SIN(2*PI()*(Model_Data!A134)/45))+24*SIN(2*PI()*(0)/9+(Model_Data!A134)/18)*EXP(-(((0)+5)^2)/(22^2))+18*SIN(2*PI()*(Model_Data!A134)/70))+Inputs!$C$28*EXP(-(((Model_Data!A134)-Inputs!$C$29)^2)/(2*Inputs!$C$31^2))*EXP(-(((0)-Inputs!$C$30)^2)/(2*Inputs!$C$32^2))+-Inputs!$C$33*EXP(-(((((Model_Data!A134)-Inputs!$C$34)^2)+(((0)-Inputs!$C$35)^2))/(2*Inputs!$C$36^2)))+Inputs!$C$37*(0.55*SIN(2*PI()*(Model_Data!A134)/Inputs!$C$39)+0.35*COS(2*PI()*(0)/Inputs!$C$40)+0.2*SIN(2*PI()*((Model_Data!A134)+(0))/(0.5*(Inputs!$C$39+Inputs!$C$40))))+Inputs!$C$38*SIN(2*PI()*(Model_Data!A134)/Inputs!$C$39)*SIN(2*PI()*(0)/Inputs!$C$40)+-Inputs!$C$41*EXP(-(((0)-Inputs!$C$43)^2)/(2*Inputs!$C$44^2))*EXP(-(((Model_Data!A134)-Inputs!$C$42)^2)/(2*Inputs!$C$45^2))+Inputs!$C$48*(0.7*(0.45*SIN(2*PI()*(((Model_Data!A134)/Inputs!$C$49)+Inputs!$C$47*0.137))+0.35*COS(2*PI()*(((0)/Inputs!$C$50)+Inputs!$C$47*0.173))+0.2*SIN(2*PI()*(((Model_Data!A134)+(0))/(0.5*(Inputs!$C$49+Inputs!$C$50))+Inputs!$C$47*0.097)))+0.3*(2*((SIN(((Model_Data!A134)*12.9898+(0)*78.233+Inputs!$C$47*37.719))*43758.5453)-INT((SIN(((Model_Data!A134)*12.9898+(0)*78.233+Inputs!$C$47*37.719))*43758.5453)))-1)))</f>
        <v>70.342553479412842</v>
      </c>
      <c r="H134" s="10"/>
      <c r="I134" s="9">
        <f>Model_Data!A134</f>
        <v>6</v>
      </c>
      <c r="J134" s="9">
        <f>(Inputs!$C$51*(115*EXP(-(((Inputs!$C$6)-25)^2)/(4.5^2))+70*EXP(-(((Inputs!$C$6)+38)^2)/(7^2))*(0.55+0.45*SIN(2*PI()*(Model_Data!A134)/45))+24*SIN(2*PI()*(Inputs!$C$6)/9+(Model_Data!A134)/18)*EXP(-(((Inputs!$C$6)+5)^2)/(22^2))+18*SIN(2*PI()*(Model_Data!A134)/70))+Inputs!$C$28*EXP(-(((Model_Data!A134)-Inputs!$C$29)^2)/(2*Inputs!$C$31^2))*EXP(-(((Inputs!$C$6)-Inputs!$C$30)^2)/(2*Inputs!$C$32^2))+-Inputs!$C$33*EXP(-(((((Model_Data!A134)-Inputs!$C$34)^2)+(((Inputs!$C$6)-Inputs!$C$35)^2))/(2*Inputs!$C$36^2)))+Inputs!$C$37*(0.55*SIN(2*PI()*(Model_Data!A134)/Inputs!$C$39)+0.35*COS(2*PI()*(Inputs!$C$6)/Inputs!$C$40)+0.2*SIN(2*PI()*((Model_Data!A134)+(Inputs!$C$6))/(0.5*(Inputs!$C$39+Inputs!$C$40))))+Inputs!$C$38*SIN(2*PI()*(Model_Data!A134)/Inputs!$C$39)*SIN(2*PI()*(Inputs!$C$6)/Inputs!$C$40)+-Inputs!$C$41*EXP(-(((Inputs!$C$6)-Inputs!$C$43)^2)/(2*Inputs!$C$44^2))*EXP(-(((Model_Data!A134)-Inputs!$C$42)^2)/(2*Inputs!$C$45^2))+Inputs!$C$48*(0.7*(0.45*SIN(2*PI()*(((Model_Data!A134)/Inputs!$C$49)+Inputs!$C$47*0.137))+0.35*COS(2*PI()*(((Inputs!$C$6)/Inputs!$C$50)+Inputs!$C$47*0.173))+0.2*SIN(2*PI()*(((Model_Data!A134)+(Inputs!$C$6))/(0.5*(Inputs!$C$49+Inputs!$C$50))+Inputs!$C$47*0.097)))+0.3*(2*((SIN(((Model_Data!A134)*12.9898+(Inputs!$C$6)*78.233+Inputs!$C$47*37.719))*43758.5453)-INT((SIN(((Model_Data!A134)*12.9898+(Inputs!$C$6)*78.233+Inputs!$C$47*37.719))*43758.5453)))-1)))</f>
        <v>533.69206209739866</v>
      </c>
      <c r="K134" s="9">
        <f>-((((SQRT((Model_Data!A134)^2+Inputs!$C$6^2+((Model_Data!B134)-((Inputs!$C$51*(115*EXP(-(((Inputs!$C$6)-25)^2)/(4.5^2))+70*EXP(-(((Inputs!$C$6)+38)^2)/(7^2))*(0.55+0.45*SIN(2*PI()*(Model_Data!A134)/45))+24*SIN(2*PI()*(Inputs!$C$6)/9+(Model_Data!A134)/18)*EXP(-(((Inputs!$C$6)+5)^2)/(22^2))+18*SIN(2*PI()*(Model_Data!A134)/70))+Inputs!$C$28*EXP(-(((Model_Data!A134)-Inputs!$C$29)^2)/(2*Inputs!$C$31^2))*EXP(-(((Inputs!$C$6)-Inputs!$C$30)^2)/(2*Inputs!$C$32^2))+-Inputs!$C$33*EXP(-(((((Model_Data!A134)-Inputs!$C$34)^2)+(((Inputs!$C$6)-Inputs!$C$35)^2))/(2*Inputs!$C$36^2)))+Inputs!$C$37*(0.55*SIN(2*PI()*(Model_Data!A134)/Inputs!$C$39)+0.35*COS(2*PI()*(Inputs!$C$6)/Inputs!$C$40)+0.2*SIN(2*PI()*((Model_Data!A134)+(Inputs!$C$6))/(0.5*(Inputs!$C$39+Inputs!$C$40))))+Inputs!$C$38*SIN(2*PI()*(Model_Data!A134)/Inputs!$C$39)*SIN(2*PI()*(Inputs!$C$6)/Inputs!$C$40)+-Inputs!$C$41*EXP(-(((Inputs!$C$6)-Inputs!$C$43)^2)/(2*Inputs!$C$44^2))*EXP(-(((Model_Data!A134)-Inputs!$C$42)^2)/(2*Inputs!$C$45^2))+Inputs!$C$48*(0.7*(0.45*SIN(2*PI()*(((Model_Data!A134)/Inputs!$C$49)+Inputs!$C$47*0.137))+0.35*COS(2*PI()*(((Inputs!$C$6)/Inputs!$C$50)+Inputs!$C$47*0.173))+0.2*SIN(2*PI()*(((Model_Data!A134)+(Inputs!$C$6))/(0.5*(Inputs!$C$49+Inputs!$C$50))+Inputs!$C$47*0.097)))+0.3*(2*((SIN(((Model_Data!A134)*12.9898+(Inputs!$C$6)*78.233+Inputs!$C$47*37.719))*43758.5453)-INT((SIN(((Model_Data!A134)*12.9898+(Inputs!$C$6)*78.233+Inputs!$C$47*37.719))*43758.5453)))-1))))/1000)^2))-(((Model_Data!B134)-((Inputs!$C$51*(115*EXP(-(((0)-25)^2)/(4.5^2))+70*EXP(-(((0)+38)^2)/(7^2))*(0.55+0.45*SIN(2*PI()*(Model_Data!A134)/45))+24*SIN(2*PI()*(0)/9+(Model_Data!A134)/18)*EXP(-(((0)+5)^2)/(22^2))+18*SIN(2*PI()*(Model_Data!A134)/70))+Inputs!$C$28*EXP(-(((Model_Data!A134)-Inputs!$C$29)^2)/(2*Inputs!$C$31^2))*EXP(-(((0)-Inputs!$C$30)^2)/(2*Inputs!$C$32^2))+-Inputs!$C$33*EXP(-(((((Model_Data!A134)-Inputs!$C$34)^2)+(((0)-Inputs!$C$35)^2))/(2*Inputs!$C$36^2)))+Inputs!$C$37*(0.55*SIN(2*PI()*(Model_Data!A134)/Inputs!$C$39)+0.35*COS(2*PI()*(0)/Inputs!$C$40)+0.2*SIN(2*PI()*((Model_Data!A134)+(0))/(0.5*(Inputs!$C$39+Inputs!$C$40))))+Inputs!$C$38*SIN(2*PI()*(Model_Data!A134)/Inputs!$C$39)*SIN(2*PI()*(0)/Inputs!$C$40)+-Inputs!$C$41*EXP(-(((0)-Inputs!$C$43)^2)/(2*Inputs!$C$44^2))*EXP(-(((Model_Data!A134)-Inputs!$C$42)^2)/(2*Inputs!$C$45^2))+Inputs!$C$48*(0.7*(0.45*SIN(2*PI()*(((Model_Data!A134)/Inputs!$C$49)+Inputs!$C$47*0.137))+0.35*COS(2*PI()*(((0)/Inputs!$C$50)+Inputs!$C$47*0.173))+0.2*SIN(2*PI()*(((Model_Data!A134)+(0))/(0.5*(Inputs!$C$49+Inputs!$C$50))+Inputs!$C$47*0.097)))+0.3*(2*((SIN(((Model_Data!A134)*12.9898+(0)*78.233+Inputs!$C$47*37.719))*43758.5453)-INT((SIN(((Model_Data!A134)*12.9898+(0)*78.233+Inputs!$C$47*37.719))*43758.5453)))-1))))/1000)))*1000/Inputs!$C$12)-Model_Data!F134)</f>
        <v>259.69059593300949</v>
      </c>
      <c r="L134" s="10"/>
      <c r="M134" s="9">
        <f>Model_Data!A134</f>
        <v>6</v>
      </c>
      <c r="N134" s="9">
        <f>Model_Data!P134</f>
        <v>-45.237604605019868</v>
      </c>
      <c r="O134" s="9">
        <f t="shared" si="4"/>
        <v>-69.371158733247285</v>
      </c>
      <c r="P134" s="9">
        <f>Model_Data!Q134</f>
        <v>-6.792433123876858</v>
      </c>
      <c r="Q134" s="9">
        <f t="shared" si="5"/>
        <v>-10.41608989988698</v>
      </c>
      <c r="R134" s="10"/>
      <c r="S134" s="9">
        <f>Model_Data!A134</f>
        <v>6</v>
      </c>
      <c r="T134" s="9">
        <f>Model_Data!B134-Inputs!$C$5</f>
        <v>4.0000000000020464E-2</v>
      </c>
      <c r="U134" s="10"/>
      <c r="V134" s="9">
        <f>Model_Data!A134</f>
        <v>6</v>
      </c>
      <c r="W134" s="9">
        <f>((SQRT((Model_Data!A134)^2+Inputs!$C$6^2+Inputs!$C$5^2)-Inputs!$C$5)*1000/Inputs!$C$12)</f>
        <v>463.70696452700952</v>
      </c>
      <c r="X134" s="9">
        <f>Model_Data!F134</f>
        <v>463.66069393203549</v>
      </c>
      <c r="Y134" s="10"/>
      <c r="Z134" s="9">
        <f>Model_Data!A134</f>
        <v>6</v>
      </c>
      <c r="AA134" s="9">
        <f>SQRT((Model_Data!A134)^2+Inputs!$C$6^2+((Model_Data!B134)-((Inputs!$C$51*(115*EXP(-(((Inputs!$C$6)-25)^2)/(4.5^2))+70*EXP(-(((Inputs!$C$6)+38)^2)/(7^2))*(0.55+0.45*SIN(2*PI()*(Model_Data!A134)/45))+24*SIN(2*PI()*(Inputs!$C$6)/9+(Model_Data!A134)/18)*EXP(-(((Inputs!$C$6)+5)^2)/(22^2))+18*SIN(2*PI()*(Model_Data!A134)/70))+Inputs!$C$28*EXP(-(((Model_Data!A134)-Inputs!$C$29)^2)/(2*Inputs!$C$31^2))*EXP(-(((Inputs!$C$6)-Inputs!$C$30)^2)/(2*Inputs!$C$32^2))+-Inputs!$C$33*EXP(-(((((Model_Data!A134)-Inputs!$C$34)^2)+(((Inputs!$C$6)-Inputs!$C$35)^2))/(2*Inputs!$C$36^2)))+Inputs!$C$37*(0.55*SIN(2*PI()*(Model_Data!A134)/Inputs!$C$39)+0.35*COS(2*PI()*(Inputs!$C$6)/Inputs!$C$40)+0.2*SIN(2*PI()*((Model_Data!A134)+(Inputs!$C$6))/(0.5*(Inputs!$C$39+Inputs!$C$40))))+Inputs!$C$38*SIN(2*PI()*(Model_Data!A134)/Inputs!$C$39)*SIN(2*PI()*(Inputs!$C$6)/Inputs!$C$40)+-Inputs!$C$41*EXP(-(((Inputs!$C$6)-Inputs!$C$43)^2)/(2*Inputs!$C$44^2))*EXP(-(((Model_Data!A134)-Inputs!$C$42)^2)/(2*Inputs!$C$45^2))+Inputs!$C$48*(0.7*(0.45*SIN(2*PI()*(((Model_Data!A134)/Inputs!$C$49)+Inputs!$C$47*0.137))+0.35*COS(2*PI()*(((Inputs!$C$6)/Inputs!$C$50)+Inputs!$C$47*0.173))+0.2*SIN(2*PI()*(((Model_Data!A134)+(Inputs!$C$6))/(0.5*(Inputs!$C$49+Inputs!$C$50))+Inputs!$C$47*0.097)))+0.3*(2*((SIN(((Model_Data!A134)*12.9898+(Inputs!$C$6)*78.233+Inputs!$C$47*37.719))*43758.5453)-INT((SIN(((Model_Data!A134)*12.9898+(Inputs!$C$6)*78.233+Inputs!$C$47*37.719))*43758.5453)))-1))))/1000)^2)</f>
        <v>400.33272422095888</v>
      </c>
      <c r="AB134" s="9">
        <f>1000*(AA135-AA133)/(Z135-Z133)*Inputs!$C$11</f>
        <v>173.42789683311821</v>
      </c>
      <c r="AC134" s="9">
        <f>-2*AB134/Inputs!$C$13</f>
        <v>-69.371158733247285</v>
      </c>
      <c r="AD134" s="9">
        <f>-2*AB134/Inputs!$C$14</f>
        <v>-10.41608989988698</v>
      </c>
    </row>
    <row r="135" spans="1:30">
      <c r="A135" s="9">
        <f>Model_Data!A135</f>
        <v>6.5</v>
      </c>
      <c r="B135" s="9">
        <f>((SQRT((Model_Data!A135)^2+Inputs!$C$6^2+Inputs!$C$5^2)-Inputs!$C$5)*1000/Inputs!$C$12)</f>
        <v>468.0869287476321</v>
      </c>
      <c r="C135" s="9">
        <f>Model_Data!F135</f>
        <v>468.03211415006706</v>
      </c>
      <c r="D135" s="9">
        <f>(((SQRT((Model_Data!A135)^2+Inputs!$C$6^2+((Model_Data!B135)-((Inputs!$C$51*(115*EXP(-(((Inputs!$C$6)-25)^2)/(4.5^2))+70*EXP(-(((Inputs!$C$6)+38)^2)/(7^2))*(0.55+0.45*SIN(2*PI()*(Model_Data!A135)/45))+24*SIN(2*PI()*(Inputs!$C$6)/9+(Model_Data!A135)/18)*EXP(-(((Inputs!$C$6)+5)^2)/(22^2))+18*SIN(2*PI()*(Model_Data!A135)/70))+Inputs!$C$28*EXP(-(((Model_Data!A135)-Inputs!$C$29)^2)/(2*Inputs!$C$31^2))*EXP(-(((Inputs!$C$6)-Inputs!$C$30)^2)/(2*Inputs!$C$32^2))+-Inputs!$C$33*EXP(-(((((Model_Data!A135)-Inputs!$C$34)^2)+(((Inputs!$C$6)-Inputs!$C$35)^2))/(2*Inputs!$C$36^2)))+Inputs!$C$37*(0.55*SIN(2*PI()*(Model_Data!A135)/Inputs!$C$39)+0.35*COS(2*PI()*(Inputs!$C$6)/Inputs!$C$40)+0.2*SIN(2*PI()*((Model_Data!A135)+(Inputs!$C$6))/(0.5*(Inputs!$C$39+Inputs!$C$40))))+Inputs!$C$38*SIN(2*PI()*(Model_Data!A135)/Inputs!$C$39)*SIN(2*PI()*(Inputs!$C$6)/Inputs!$C$40)+-Inputs!$C$41*EXP(-(((Inputs!$C$6)-Inputs!$C$43)^2)/(2*Inputs!$C$44^2))*EXP(-(((Model_Data!A135)-Inputs!$C$42)^2)/(2*Inputs!$C$45^2))+Inputs!$C$48*(0.7*(0.45*SIN(2*PI()*(((Model_Data!A135)/Inputs!$C$49)+Inputs!$C$47*0.137))+0.35*COS(2*PI()*(((Inputs!$C$6)/Inputs!$C$50)+Inputs!$C$47*0.173))+0.2*SIN(2*PI()*(((Model_Data!A135)+(Inputs!$C$6))/(0.5*(Inputs!$C$49+Inputs!$C$50))+Inputs!$C$47*0.097)))+0.3*(2*((SIN(((Model_Data!A135)*12.9898+(Inputs!$C$6)*78.233+Inputs!$C$47*37.719))*43758.5453)-INT((SIN(((Model_Data!A135)*12.9898+(Inputs!$C$6)*78.233+Inputs!$C$47*37.719))*43758.5453)))-1))))/1000)^2))-(((Model_Data!B135)-((Inputs!$C$51*(115*EXP(-(((0)-25)^2)/(4.5^2))+70*EXP(-(((0)+38)^2)/(7^2))*(0.55+0.45*SIN(2*PI()*(Model_Data!A135)/45))+24*SIN(2*PI()*(0)/9+(Model_Data!A135)/18)*EXP(-(((0)+5)^2)/(22^2))+18*SIN(2*PI()*(Model_Data!A135)/70))+Inputs!$C$28*EXP(-(((Model_Data!A135)-Inputs!$C$29)^2)/(2*Inputs!$C$31^2))*EXP(-(((0)-Inputs!$C$30)^2)/(2*Inputs!$C$32^2))+-Inputs!$C$33*EXP(-(((((Model_Data!A135)-Inputs!$C$34)^2)+(((0)-Inputs!$C$35)^2))/(2*Inputs!$C$36^2)))+Inputs!$C$37*(0.55*SIN(2*PI()*(Model_Data!A135)/Inputs!$C$39)+0.35*COS(2*PI()*(0)/Inputs!$C$40)+0.2*SIN(2*PI()*((Model_Data!A135)+(0))/(0.5*(Inputs!$C$39+Inputs!$C$40))))+Inputs!$C$38*SIN(2*PI()*(Model_Data!A135)/Inputs!$C$39)*SIN(2*PI()*(0)/Inputs!$C$40)+-Inputs!$C$41*EXP(-(((0)-Inputs!$C$43)^2)/(2*Inputs!$C$44^2))*EXP(-(((Model_Data!A135)-Inputs!$C$42)^2)/(2*Inputs!$C$45^2))+Inputs!$C$48*(0.7*(0.45*SIN(2*PI()*(((Model_Data!A135)/Inputs!$C$49)+Inputs!$C$47*0.137))+0.35*COS(2*PI()*(((0)/Inputs!$C$50)+Inputs!$C$47*0.173))+0.2*SIN(2*PI()*(((Model_Data!A135)+(0))/(0.5*(Inputs!$C$49+Inputs!$C$50))+Inputs!$C$47*0.097)))+0.3*(2*((SIN(((Model_Data!A135)*12.9898+(0)*78.233+Inputs!$C$47*37.719))*43758.5453)-INT((SIN(((Model_Data!A135)*12.9898+(0)*78.233+Inputs!$C$47*37.719))*43758.5453)))-1))))/1000)))*1000/Inputs!$C$12)</f>
        <v>217.64606901296006</v>
      </c>
      <c r="E135" s="9">
        <f>Model_Data!A135</f>
        <v>6.5</v>
      </c>
      <c r="F135" s="9">
        <f>(Inputs!$C$51*(115*EXP(-(((Inputs!$C$6)-25)^2)/(4.5^2))+70*EXP(-(((Inputs!$C$6)+38)^2)/(7^2))*(0.55+0.45*SIN(2*PI()*(Model_Data!A135)/45))+24*SIN(2*PI()*(Inputs!$C$6)/9+(Model_Data!A135)/18)*EXP(-(((Inputs!$C$6)+5)^2)/(22^2))+18*SIN(2*PI()*(Model_Data!A135)/70))+Inputs!$C$28*EXP(-(((Model_Data!A135)-Inputs!$C$29)^2)/(2*Inputs!$C$31^2))*EXP(-(((Inputs!$C$6)-Inputs!$C$30)^2)/(2*Inputs!$C$32^2))+-Inputs!$C$33*EXP(-(((((Model_Data!A135)-Inputs!$C$34)^2)+(((Inputs!$C$6)-Inputs!$C$35)^2))/(2*Inputs!$C$36^2)))+Inputs!$C$37*(0.55*SIN(2*PI()*(Model_Data!A135)/Inputs!$C$39)+0.35*COS(2*PI()*(Inputs!$C$6)/Inputs!$C$40)+0.2*SIN(2*PI()*((Model_Data!A135)+(Inputs!$C$6))/(0.5*(Inputs!$C$39+Inputs!$C$40))))+Inputs!$C$38*SIN(2*PI()*(Model_Data!A135)/Inputs!$C$39)*SIN(2*PI()*(Inputs!$C$6)/Inputs!$C$40)+-Inputs!$C$41*EXP(-(((Inputs!$C$6)-Inputs!$C$43)^2)/(2*Inputs!$C$44^2))*EXP(-(((Model_Data!A135)-Inputs!$C$42)^2)/(2*Inputs!$C$45^2))+Inputs!$C$48*(0.7*(0.45*SIN(2*PI()*(((Model_Data!A135)/Inputs!$C$49)+Inputs!$C$47*0.137))+0.35*COS(2*PI()*(((Inputs!$C$6)/Inputs!$C$50)+Inputs!$C$47*0.173))+0.2*SIN(2*PI()*(((Model_Data!A135)+(Inputs!$C$6))/(0.5*(Inputs!$C$49+Inputs!$C$50))+Inputs!$C$47*0.097)))+0.3*(2*((SIN(((Model_Data!A135)*12.9898+(Inputs!$C$6)*78.233+Inputs!$C$47*37.719))*43758.5453)-INT((SIN(((Model_Data!A135)*12.9898+(Inputs!$C$6)*78.233+Inputs!$C$47*37.719))*43758.5453)))-1)))</f>
        <v>524.4263848132822</v>
      </c>
      <c r="G135" s="9">
        <f>(Inputs!$C$51*(115*EXP(-(((0)-25)^2)/(4.5^2))+70*EXP(-(((0)+38)^2)/(7^2))*(0.55+0.45*SIN(2*PI()*(Model_Data!A135)/45))+24*SIN(2*PI()*(0)/9+(Model_Data!A135)/18)*EXP(-(((0)+5)^2)/(22^2))+18*SIN(2*PI()*(Model_Data!A135)/70))+Inputs!$C$28*EXP(-(((Model_Data!A135)-Inputs!$C$29)^2)/(2*Inputs!$C$31^2))*EXP(-(((0)-Inputs!$C$30)^2)/(2*Inputs!$C$32^2))+-Inputs!$C$33*EXP(-(((((Model_Data!A135)-Inputs!$C$34)^2)+(((0)-Inputs!$C$35)^2))/(2*Inputs!$C$36^2)))+Inputs!$C$37*(0.55*SIN(2*PI()*(Model_Data!A135)/Inputs!$C$39)+0.35*COS(2*PI()*(0)/Inputs!$C$40)+0.2*SIN(2*PI()*((Model_Data!A135)+(0))/(0.5*(Inputs!$C$39+Inputs!$C$40))))+Inputs!$C$38*SIN(2*PI()*(Model_Data!A135)/Inputs!$C$39)*SIN(2*PI()*(0)/Inputs!$C$40)+-Inputs!$C$41*EXP(-(((0)-Inputs!$C$43)^2)/(2*Inputs!$C$44^2))*EXP(-(((Model_Data!A135)-Inputs!$C$42)^2)/(2*Inputs!$C$45^2))+Inputs!$C$48*(0.7*(0.45*SIN(2*PI()*(((Model_Data!A135)/Inputs!$C$49)+Inputs!$C$47*0.137))+0.35*COS(2*PI()*(((0)/Inputs!$C$50)+Inputs!$C$47*0.173))+0.2*SIN(2*PI()*(((Model_Data!A135)+(0))/(0.5*(Inputs!$C$49+Inputs!$C$50))+Inputs!$C$47*0.097)))+0.3*(2*((SIN(((Model_Data!A135)*12.9898+(0)*78.233+Inputs!$C$47*37.719))*43758.5453)-INT((SIN(((Model_Data!A135)*12.9898+(0)*78.233+Inputs!$C$47*37.719))*43758.5453)))-1)))</f>
        <v>77.64795080795966</v>
      </c>
      <c r="H135" s="10"/>
      <c r="I135" s="9">
        <f>Model_Data!A135</f>
        <v>6.5</v>
      </c>
      <c r="J135" s="9">
        <f>(Inputs!$C$51*(115*EXP(-(((Inputs!$C$6)-25)^2)/(4.5^2))+70*EXP(-(((Inputs!$C$6)+38)^2)/(7^2))*(0.55+0.45*SIN(2*PI()*(Model_Data!A135)/45))+24*SIN(2*PI()*(Inputs!$C$6)/9+(Model_Data!A135)/18)*EXP(-(((Inputs!$C$6)+5)^2)/(22^2))+18*SIN(2*PI()*(Model_Data!A135)/70))+Inputs!$C$28*EXP(-(((Model_Data!A135)-Inputs!$C$29)^2)/(2*Inputs!$C$31^2))*EXP(-(((Inputs!$C$6)-Inputs!$C$30)^2)/(2*Inputs!$C$32^2))+-Inputs!$C$33*EXP(-(((((Model_Data!A135)-Inputs!$C$34)^2)+(((Inputs!$C$6)-Inputs!$C$35)^2))/(2*Inputs!$C$36^2)))+Inputs!$C$37*(0.55*SIN(2*PI()*(Model_Data!A135)/Inputs!$C$39)+0.35*COS(2*PI()*(Inputs!$C$6)/Inputs!$C$40)+0.2*SIN(2*PI()*((Model_Data!A135)+(Inputs!$C$6))/(0.5*(Inputs!$C$39+Inputs!$C$40))))+Inputs!$C$38*SIN(2*PI()*(Model_Data!A135)/Inputs!$C$39)*SIN(2*PI()*(Inputs!$C$6)/Inputs!$C$40)+-Inputs!$C$41*EXP(-(((Inputs!$C$6)-Inputs!$C$43)^2)/(2*Inputs!$C$44^2))*EXP(-(((Model_Data!A135)-Inputs!$C$42)^2)/(2*Inputs!$C$45^2))+Inputs!$C$48*(0.7*(0.45*SIN(2*PI()*(((Model_Data!A135)/Inputs!$C$49)+Inputs!$C$47*0.137))+0.35*COS(2*PI()*(((Inputs!$C$6)/Inputs!$C$50)+Inputs!$C$47*0.173))+0.2*SIN(2*PI()*(((Model_Data!A135)+(Inputs!$C$6))/(0.5*(Inputs!$C$49+Inputs!$C$50))+Inputs!$C$47*0.097)))+0.3*(2*((SIN(((Model_Data!A135)*12.9898+(Inputs!$C$6)*78.233+Inputs!$C$47*37.719))*43758.5453)-INT((SIN(((Model_Data!A135)*12.9898+(Inputs!$C$6)*78.233+Inputs!$C$47*37.719))*43758.5453)))-1)))</f>
        <v>524.4263848132822</v>
      </c>
      <c r="K135" s="9">
        <f>-((((SQRT((Model_Data!A135)^2+Inputs!$C$6^2+((Model_Data!B135)-((Inputs!$C$51*(115*EXP(-(((Inputs!$C$6)-25)^2)/(4.5^2))+70*EXP(-(((Inputs!$C$6)+38)^2)/(7^2))*(0.55+0.45*SIN(2*PI()*(Model_Data!A135)/45))+24*SIN(2*PI()*(Inputs!$C$6)/9+(Model_Data!A135)/18)*EXP(-(((Inputs!$C$6)+5)^2)/(22^2))+18*SIN(2*PI()*(Model_Data!A135)/70))+Inputs!$C$28*EXP(-(((Model_Data!A135)-Inputs!$C$29)^2)/(2*Inputs!$C$31^2))*EXP(-(((Inputs!$C$6)-Inputs!$C$30)^2)/(2*Inputs!$C$32^2))+-Inputs!$C$33*EXP(-(((((Model_Data!A135)-Inputs!$C$34)^2)+(((Inputs!$C$6)-Inputs!$C$35)^2))/(2*Inputs!$C$36^2)))+Inputs!$C$37*(0.55*SIN(2*PI()*(Model_Data!A135)/Inputs!$C$39)+0.35*COS(2*PI()*(Inputs!$C$6)/Inputs!$C$40)+0.2*SIN(2*PI()*((Model_Data!A135)+(Inputs!$C$6))/(0.5*(Inputs!$C$39+Inputs!$C$40))))+Inputs!$C$38*SIN(2*PI()*(Model_Data!A135)/Inputs!$C$39)*SIN(2*PI()*(Inputs!$C$6)/Inputs!$C$40)+-Inputs!$C$41*EXP(-(((Inputs!$C$6)-Inputs!$C$43)^2)/(2*Inputs!$C$44^2))*EXP(-(((Model_Data!A135)-Inputs!$C$42)^2)/(2*Inputs!$C$45^2))+Inputs!$C$48*(0.7*(0.45*SIN(2*PI()*(((Model_Data!A135)/Inputs!$C$49)+Inputs!$C$47*0.137))+0.35*COS(2*PI()*(((Inputs!$C$6)/Inputs!$C$50)+Inputs!$C$47*0.173))+0.2*SIN(2*PI()*(((Model_Data!A135)+(Inputs!$C$6))/(0.5*(Inputs!$C$49+Inputs!$C$50))+Inputs!$C$47*0.097)))+0.3*(2*((SIN(((Model_Data!A135)*12.9898+(Inputs!$C$6)*78.233+Inputs!$C$47*37.719))*43758.5453)-INT((SIN(((Model_Data!A135)*12.9898+(Inputs!$C$6)*78.233+Inputs!$C$47*37.719))*43758.5453)))-1))))/1000)^2))-(((Model_Data!B135)-((Inputs!$C$51*(115*EXP(-(((0)-25)^2)/(4.5^2))+70*EXP(-(((0)+38)^2)/(7^2))*(0.55+0.45*SIN(2*PI()*(Model_Data!A135)/45))+24*SIN(2*PI()*(0)/9+(Model_Data!A135)/18)*EXP(-(((0)+5)^2)/(22^2))+18*SIN(2*PI()*(Model_Data!A135)/70))+Inputs!$C$28*EXP(-(((Model_Data!A135)-Inputs!$C$29)^2)/(2*Inputs!$C$31^2))*EXP(-(((0)-Inputs!$C$30)^2)/(2*Inputs!$C$32^2))+-Inputs!$C$33*EXP(-(((((Model_Data!A135)-Inputs!$C$34)^2)+(((0)-Inputs!$C$35)^2))/(2*Inputs!$C$36^2)))+Inputs!$C$37*(0.55*SIN(2*PI()*(Model_Data!A135)/Inputs!$C$39)+0.35*COS(2*PI()*(0)/Inputs!$C$40)+0.2*SIN(2*PI()*((Model_Data!A135)+(0))/(0.5*(Inputs!$C$39+Inputs!$C$40))))+Inputs!$C$38*SIN(2*PI()*(Model_Data!A135)/Inputs!$C$39)*SIN(2*PI()*(0)/Inputs!$C$40)+-Inputs!$C$41*EXP(-(((0)-Inputs!$C$43)^2)/(2*Inputs!$C$44^2))*EXP(-(((Model_Data!A135)-Inputs!$C$42)^2)/(2*Inputs!$C$45^2))+Inputs!$C$48*(0.7*(0.45*SIN(2*PI()*(((Model_Data!A135)/Inputs!$C$49)+Inputs!$C$47*0.137))+0.35*COS(2*PI()*(((0)/Inputs!$C$50)+Inputs!$C$47*0.173))+0.2*SIN(2*PI()*(((Model_Data!A135)+(0))/(0.5*(Inputs!$C$49+Inputs!$C$50))+Inputs!$C$47*0.097)))+0.3*(2*((SIN(((Model_Data!A135)*12.9898+(0)*78.233+Inputs!$C$47*37.719))*43758.5453)-INT((SIN(((Model_Data!A135)*12.9898+(0)*78.233+Inputs!$C$47*37.719))*43758.5453)))-1))))/1000)))*1000/Inputs!$C$12)-Model_Data!F135)</f>
        <v>250.386045137107</v>
      </c>
      <c r="L135" s="10"/>
      <c r="M135" s="9">
        <f>Model_Data!A135</f>
        <v>6.5</v>
      </c>
      <c r="N135" s="9">
        <f>Model_Data!P135</f>
        <v>-49.006005147905213</v>
      </c>
      <c r="O135" s="9">
        <f t="shared" si="4"/>
        <v>-47.897511485371069</v>
      </c>
      <c r="P135" s="9">
        <f>Model_Data!Q135</f>
        <v>-7.358259031217</v>
      </c>
      <c r="Q135" s="9">
        <f t="shared" si="5"/>
        <v>-7.1918185413470077</v>
      </c>
      <c r="R135" s="10"/>
      <c r="S135" s="9">
        <f>Model_Data!A135</f>
        <v>6.5</v>
      </c>
      <c r="T135" s="9">
        <f>Model_Data!B135-Inputs!$C$5</f>
        <v>4.6944444444420697E-2</v>
      </c>
      <c r="U135" s="10"/>
      <c r="V135" s="9">
        <f>Model_Data!A135</f>
        <v>6.5</v>
      </c>
      <c r="W135" s="9">
        <f>((SQRT((Model_Data!A135)^2+Inputs!$C$6^2+Inputs!$C$5^2)-Inputs!$C$5)*1000/Inputs!$C$12)</f>
        <v>468.0869287476321</v>
      </c>
      <c r="X135" s="9">
        <f>Model_Data!F135</f>
        <v>468.03211415006706</v>
      </c>
      <c r="Y135" s="10"/>
      <c r="Z135" s="9">
        <f>Model_Data!A135</f>
        <v>6.5</v>
      </c>
      <c r="AA135" s="9">
        <f>SQRT((Model_Data!A135)^2+Inputs!$C$6^2+((Model_Data!B135)-((Inputs!$C$51*(115*EXP(-(((Inputs!$C$6)-25)^2)/(4.5^2))+70*EXP(-(((Inputs!$C$6)+38)^2)/(7^2))*(0.55+0.45*SIN(2*PI()*(Model_Data!A135)/45))+24*SIN(2*PI()*(Inputs!$C$6)/9+(Model_Data!A135)/18)*EXP(-(((Inputs!$C$6)+5)^2)/(22^2))+18*SIN(2*PI()*(Model_Data!A135)/70))+Inputs!$C$28*EXP(-(((Model_Data!A135)-Inputs!$C$29)^2)/(2*Inputs!$C$31^2))*EXP(-(((Inputs!$C$6)-Inputs!$C$30)^2)/(2*Inputs!$C$32^2))+-Inputs!$C$33*EXP(-(((((Model_Data!A135)-Inputs!$C$34)^2)+(((Inputs!$C$6)-Inputs!$C$35)^2))/(2*Inputs!$C$36^2)))+Inputs!$C$37*(0.55*SIN(2*PI()*(Model_Data!A135)/Inputs!$C$39)+0.35*COS(2*PI()*(Inputs!$C$6)/Inputs!$C$40)+0.2*SIN(2*PI()*((Model_Data!A135)+(Inputs!$C$6))/(0.5*(Inputs!$C$39+Inputs!$C$40))))+Inputs!$C$38*SIN(2*PI()*(Model_Data!A135)/Inputs!$C$39)*SIN(2*PI()*(Inputs!$C$6)/Inputs!$C$40)+-Inputs!$C$41*EXP(-(((Inputs!$C$6)-Inputs!$C$43)^2)/(2*Inputs!$C$44^2))*EXP(-(((Model_Data!A135)-Inputs!$C$42)^2)/(2*Inputs!$C$45^2))+Inputs!$C$48*(0.7*(0.45*SIN(2*PI()*(((Model_Data!A135)/Inputs!$C$49)+Inputs!$C$47*0.137))+0.35*COS(2*PI()*(((Inputs!$C$6)/Inputs!$C$50)+Inputs!$C$47*0.173))+0.2*SIN(2*PI()*(((Model_Data!A135)+(Inputs!$C$6))/(0.5*(Inputs!$C$49+Inputs!$C$50))+Inputs!$C$47*0.097)))+0.3*(2*((SIN(((Model_Data!A135)*12.9898+(Inputs!$C$6)*78.233+Inputs!$C$47*37.719))*43758.5453)-INT((SIN(((Model_Data!A135)*12.9898+(Inputs!$C$6)*78.233+Inputs!$C$47*37.719))*43758.5453)))-1))))/1000)^2)</f>
        <v>400.35670649647955</v>
      </c>
      <c r="AB135" s="9">
        <f>1000*(AA136-AA134)/(Z136-Z134)*Inputs!$C$11</f>
        <v>119.74377871342767</v>
      </c>
      <c r="AC135" s="9">
        <f>-2*AB135/Inputs!$C$13</f>
        <v>-47.897511485371069</v>
      </c>
      <c r="AD135" s="9">
        <f>-2*AB135/Inputs!$C$14</f>
        <v>-7.1918185413470077</v>
      </c>
    </row>
    <row r="136" spans="1:30">
      <c r="A136" s="9">
        <f>Model_Data!A136</f>
        <v>7</v>
      </c>
      <c r="B136" s="9">
        <f>((SQRT((Model_Data!A136)^2+Inputs!$C$6^2+Inputs!$C$5^2)-Inputs!$C$5)*1000/Inputs!$C$12)</f>
        <v>472.81719442053964</v>
      </c>
      <c r="C136" s="9">
        <f>Model_Data!F136</f>
        <v>472.75298258166532</v>
      </c>
      <c r="D136" s="9">
        <f>(((SQRT((Model_Data!A136)^2+Inputs!$C$6^2+((Model_Data!B136)-((Inputs!$C$51*(115*EXP(-(((Inputs!$C$6)-25)^2)/(4.5^2))+70*EXP(-(((Inputs!$C$6)+38)^2)/(7^2))*(0.55+0.45*SIN(2*PI()*(Model_Data!A136)/45))+24*SIN(2*PI()*(Inputs!$C$6)/9+(Model_Data!A136)/18)*EXP(-(((Inputs!$C$6)+5)^2)/(22^2))+18*SIN(2*PI()*(Model_Data!A136)/70))+Inputs!$C$28*EXP(-(((Model_Data!A136)-Inputs!$C$29)^2)/(2*Inputs!$C$31^2))*EXP(-(((Inputs!$C$6)-Inputs!$C$30)^2)/(2*Inputs!$C$32^2))+-Inputs!$C$33*EXP(-(((((Model_Data!A136)-Inputs!$C$34)^2)+(((Inputs!$C$6)-Inputs!$C$35)^2))/(2*Inputs!$C$36^2)))+Inputs!$C$37*(0.55*SIN(2*PI()*(Model_Data!A136)/Inputs!$C$39)+0.35*COS(2*PI()*(Inputs!$C$6)/Inputs!$C$40)+0.2*SIN(2*PI()*((Model_Data!A136)+(Inputs!$C$6))/(0.5*(Inputs!$C$39+Inputs!$C$40))))+Inputs!$C$38*SIN(2*PI()*(Model_Data!A136)/Inputs!$C$39)*SIN(2*PI()*(Inputs!$C$6)/Inputs!$C$40)+-Inputs!$C$41*EXP(-(((Inputs!$C$6)-Inputs!$C$43)^2)/(2*Inputs!$C$44^2))*EXP(-(((Model_Data!A136)-Inputs!$C$42)^2)/(2*Inputs!$C$45^2))+Inputs!$C$48*(0.7*(0.45*SIN(2*PI()*(((Model_Data!A136)/Inputs!$C$49)+Inputs!$C$47*0.137))+0.35*COS(2*PI()*(((Inputs!$C$6)/Inputs!$C$50)+Inputs!$C$47*0.173))+0.2*SIN(2*PI()*(((Model_Data!A136)+(Inputs!$C$6))/(0.5*(Inputs!$C$49+Inputs!$C$50))+Inputs!$C$47*0.097)))+0.3*(2*((SIN(((Model_Data!A136)*12.9898+(Inputs!$C$6)*78.233+Inputs!$C$47*37.719))*43758.5453)-INT((SIN(((Model_Data!A136)*12.9898+(Inputs!$C$6)*78.233+Inputs!$C$47*37.719))*43758.5453)))-1))))/1000)^2))-(((Model_Data!B136)-((Inputs!$C$51*(115*EXP(-(((0)-25)^2)/(4.5^2))+70*EXP(-(((0)+38)^2)/(7^2))*(0.55+0.45*SIN(2*PI()*(Model_Data!A136)/45))+24*SIN(2*PI()*(0)/9+(Model_Data!A136)/18)*EXP(-(((0)+5)^2)/(22^2))+18*SIN(2*PI()*(Model_Data!A136)/70))+Inputs!$C$28*EXP(-(((Model_Data!A136)-Inputs!$C$29)^2)/(2*Inputs!$C$31^2))*EXP(-(((0)-Inputs!$C$30)^2)/(2*Inputs!$C$32^2))+-Inputs!$C$33*EXP(-(((((Model_Data!A136)-Inputs!$C$34)^2)+(((0)-Inputs!$C$35)^2))/(2*Inputs!$C$36^2)))+Inputs!$C$37*(0.55*SIN(2*PI()*(Model_Data!A136)/Inputs!$C$39)+0.35*COS(2*PI()*(0)/Inputs!$C$40)+0.2*SIN(2*PI()*((Model_Data!A136)+(0))/(0.5*(Inputs!$C$39+Inputs!$C$40))))+Inputs!$C$38*SIN(2*PI()*(Model_Data!A136)/Inputs!$C$39)*SIN(2*PI()*(0)/Inputs!$C$40)+-Inputs!$C$41*EXP(-(((0)-Inputs!$C$43)^2)/(2*Inputs!$C$44^2))*EXP(-(((Model_Data!A136)-Inputs!$C$42)^2)/(2*Inputs!$C$45^2))+Inputs!$C$48*(0.7*(0.45*SIN(2*PI()*(((Model_Data!A136)/Inputs!$C$49)+Inputs!$C$47*0.137))+0.35*COS(2*PI()*(((0)/Inputs!$C$50)+Inputs!$C$47*0.173))+0.2*SIN(2*PI()*(((Model_Data!A136)+(0))/(0.5*(Inputs!$C$49+Inputs!$C$50))+Inputs!$C$47*0.097)))+0.3*(2*((SIN(((Model_Data!A136)*12.9898+(0)*78.233+Inputs!$C$47*37.719))*43758.5453)-INT((SIN(((Model_Data!A136)*12.9898+(0)*78.233+Inputs!$C$47*37.719))*43758.5453)))-1))))/1000)))*1000/Inputs!$C$12)</f>
        <v>210.74788263585043</v>
      </c>
      <c r="E136" s="9">
        <f>Model_Data!A136</f>
        <v>7</v>
      </c>
      <c r="F136" s="9">
        <f>(Inputs!$C$51*(115*EXP(-(((Inputs!$C$6)-25)^2)/(4.5^2))+70*EXP(-(((Inputs!$C$6)+38)^2)/(7^2))*(0.55+0.45*SIN(2*PI()*(Model_Data!A136)/45))+24*SIN(2*PI()*(Inputs!$C$6)/9+(Model_Data!A136)/18)*EXP(-(((Inputs!$C$6)+5)^2)/(22^2))+18*SIN(2*PI()*(Model_Data!A136)/70))+Inputs!$C$28*EXP(-(((Model_Data!A136)-Inputs!$C$29)^2)/(2*Inputs!$C$31^2))*EXP(-(((Inputs!$C$6)-Inputs!$C$30)^2)/(2*Inputs!$C$32^2))+-Inputs!$C$33*EXP(-(((((Model_Data!A136)-Inputs!$C$34)^2)+(((Inputs!$C$6)-Inputs!$C$35)^2))/(2*Inputs!$C$36^2)))+Inputs!$C$37*(0.55*SIN(2*PI()*(Model_Data!A136)/Inputs!$C$39)+0.35*COS(2*PI()*(Inputs!$C$6)/Inputs!$C$40)+0.2*SIN(2*PI()*((Model_Data!A136)+(Inputs!$C$6))/(0.5*(Inputs!$C$39+Inputs!$C$40))))+Inputs!$C$38*SIN(2*PI()*(Model_Data!A136)/Inputs!$C$39)*SIN(2*PI()*(Inputs!$C$6)/Inputs!$C$40)+-Inputs!$C$41*EXP(-(((Inputs!$C$6)-Inputs!$C$43)^2)/(2*Inputs!$C$44^2))*EXP(-(((Model_Data!A136)-Inputs!$C$42)^2)/(2*Inputs!$C$45^2))+Inputs!$C$48*(0.7*(0.45*SIN(2*PI()*(((Model_Data!A136)/Inputs!$C$49)+Inputs!$C$47*0.137))+0.35*COS(2*PI()*(((Inputs!$C$6)/Inputs!$C$50)+Inputs!$C$47*0.173))+0.2*SIN(2*PI()*(((Model_Data!A136)+(Inputs!$C$6))/(0.5*(Inputs!$C$49+Inputs!$C$50))+Inputs!$C$47*0.097)))+0.3*(2*((SIN(((Model_Data!A136)*12.9898+(Inputs!$C$6)*78.233+Inputs!$C$47*37.719))*43758.5453)-INT((SIN(((Model_Data!A136)*12.9898+(Inputs!$C$6)*78.233+Inputs!$C$47*37.719))*43758.5453)))-1)))</f>
        <v>534.40783187914269</v>
      </c>
      <c r="G136" s="9">
        <f>(Inputs!$C$51*(115*EXP(-(((0)-25)^2)/(4.5^2))+70*EXP(-(((0)+38)^2)/(7^2))*(0.55+0.45*SIN(2*PI()*(Model_Data!A136)/45))+24*SIN(2*PI()*(0)/9+(Model_Data!A136)/18)*EXP(-(((0)+5)^2)/(22^2))+18*SIN(2*PI()*(Model_Data!A136)/70))+Inputs!$C$28*EXP(-(((Model_Data!A136)-Inputs!$C$29)^2)/(2*Inputs!$C$31^2))*EXP(-(((0)-Inputs!$C$30)^2)/(2*Inputs!$C$32^2))+-Inputs!$C$33*EXP(-(((((Model_Data!A136)-Inputs!$C$34)^2)+(((0)-Inputs!$C$35)^2))/(2*Inputs!$C$36^2)))+Inputs!$C$37*(0.55*SIN(2*PI()*(Model_Data!A136)/Inputs!$C$39)+0.35*COS(2*PI()*(0)/Inputs!$C$40)+0.2*SIN(2*PI()*((Model_Data!A136)+(0))/(0.5*(Inputs!$C$39+Inputs!$C$40))))+Inputs!$C$38*SIN(2*PI()*(Model_Data!A136)/Inputs!$C$39)*SIN(2*PI()*(0)/Inputs!$C$40)+-Inputs!$C$41*EXP(-(((0)-Inputs!$C$43)^2)/(2*Inputs!$C$44^2))*EXP(-(((Model_Data!A136)-Inputs!$C$42)^2)/(2*Inputs!$C$45^2))+Inputs!$C$48*(0.7*(0.45*SIN(2*PI()*(((Model_Data!A136)/Inputs!$C$49)+Inputs!$C$47*0.137))+0.35*COS(2*PI()*(((0)/Inputs!$C$50)+Inputs!$C$47*0.173))+0.2*SIN(2*PI()*(((Model_Data!A136)+(0))/(0.5*(Inputs!$C$49+Inputs!$C$50))+Inputs!$C$47*0.097)))+0.3*(2*((SIN(((Model_Data!A136)*12.9898+(0)*78.233+Inputs!$C$47*37.719))*43758.5453)-INT((SIN(((Model_Data!A136)*12.9898+(0)*78.233+Inputs!$C$47*37.719))*43758.5453)))-1)))</f>
        <v>66.915509899073115</v>
      </c>
      <c r="H136" s="10"/>
      <c r="I136" s="9">
        <f>Model_Data!A136</f>
        <v>7</v>
      </c>
      <c r="J136" s="9">
        <f>(Inputs!$C$51*(115*EXP(-(((Inputs!$C$6)-25)^2)/(4.5^2))+70*EXP(-(((Inputs!$C$6)+38)^2)/(7^2))*(0.55+0.45*SIN(2*PI()*(Model_Data!A136)/45))+24*SIN(2*PI()*(Inputs!$C$6)/9+(Model_Data!A136)/18)*EXP(-(((Inputs!$C$6)+5)^2)/(22^2))+18*SIN(2*PI()*(Model_Data!A136)/70))+Inputs!$C$28*EXP(-(((Model_Data!A136)-Inputs!$C$29)^2)/(2*Inputs!$C$31^2))*EXP(-(((Inputs!$C$6)-Inputs!$C$30)^2)/(2*Inputs!$C$32^2))+-Inputs!$C$33*EXP(-(((((Model_Data!A136)-Inputs!$C$34)^2)+(((Inputs!$C$6)-Inputs!$C$35)^2))/(2*Inputs!$C$36^2)))+Inputs!$C$37*(0.55*SIN(2*PI()*(Model_Data!A136)/Inputs!$C$39)+0.35*COS(2*PI()*(Inputs!$C$6)/Inputs!$C$40)+0.2*SIN(2*PI()*((Model_Data!A136)+(Inputs!$C$6))/(0.5*(Inputs!$C$39+Inputs!$C$40))))+Inputs!$C$38*SIN(2*PI()*(Model_Data!A136)/Inputs!$C$39)*SIN(2*PI()*(Inputs!$C$6)/Inputs!$C$40)+-Inputs!$C$41*EXP(-(((Inputs!$C$6)-Inputs!$C$43)^2)/(2*Inputs!$C$44^2))*EXP(-(((Model_Data!A136)-Inputs!$C$42)^2)/(2*Inputs!$C$45^2))+Inputs!$C$48*(0.7*(0.45*SIN(2*PI()*(((Model_Data!A136)/Inputs!$C$49)+Inputs!$C$47*0.137))+0.35*COS(2*PI()*(((Inputs!$C$6)/Inputs!$C$50)+Inputs!$C$47*0.173))+0.2*SIN(2*PI()*(((Model_Data!A136)+(Inputs!$C$6))/(0.5*(Inputs!$C$49+Inputs!$C$50))+Inputs!$C$47*0.097)))+0.3*(2*((SIN(((Model_Data!A136)*12.9898+(Inputs!$C$6)*78.233+Inputs!$C$47*37.719))*43758.5453)-INT((SIN(((Model_Data!A136)*12.9898+(Inputs!$C$6)*78.233+Inputs!$C$47*37.719))*43758.5453)))-1)))</f>
        <v>534.40783187914269</v>
      </c>
      <c r="K136" s="9">
        <f>-((((SQRT((Model_Data!A136)^2+Inputs!$C$6^2+((Model_Data!B136)-((Inputs!$C$51*(115*EXP(-(((Inputs!$C$6)-25)^2)/(4.5^2))+70*EXP(-(((Inputs!$C$6)+38)^2)/(7^2))*(0.55+0.45*SIN(2*PI()*(Model_Data!A136)/45))+24*SIN(2*PI()*(Inputs!$C$6)/9+(Model_Data!A136)/18)*EXP(-(((Inputs!$C$6)+5)^2)/(22^2))+18*SIN(2*PI()*(Model_Data!A136)/70))+Inputs!$C$28*EXP(-(((Model_Data!A136)-Inputs!$C$29)^2)/(2*Inputs!$C$31^2))*EXP(-(((Inputs!$C$6)-Inputs!$C$30)^2)/(2*Inputs!$C$32^2))+-Inputs!$C$33*EXP(-(((((Model_Data!A136)-Inputs!$C$34)^2)+(((Inputs!$C$6)-Inputs!$C$35)^2))/(2*Inputs!$C$36^2)))+Inputs!$C$37*(0.55*SIN(2*PI()*(Model_Data!A136)/Inputs!$C$39)+0.35*COS(2*PI()*(Inputs!$C$6)/Inputs!$C$40)+0.2*SIN(2*PI()*((Model_Data!A136)+(Inputs!$C$6))/(0.5*(Inputs!$C$39+Inputs!$C$40))))+Inputs!$C$38*SIN(2*PI()*(Model_Data!A136)/Inputs!$C$39)*SIN(2*PI()*(Inputs!$C$6)/Inputs!$C$40)+-Inputs!$C$41*EXP(-(((Inputs!$C$6)-Inputs!$C$43)^2)/(2*Inputs!$C$44^2))*EXP(-(((Model_Data!A136)-Inputs!$C$42)^2)/(2*Inputs!$C$45^2))+Inputs!$C$48*(0.7*(0.45*SIN(2*PI()*(((Model_Data!A136)/Inputs!$C$49)+Inputs!$C$47*0.137))+0.35*COS(2*PI()*(((Inputs!$C$6)/Inputs!$C$50)+Inputs!$C$47*0.173))+0.2*SIN(2*PI()*(((Model_Data!A136)+(Inputs!$C$6))/(0.5*(Inputs!$C$49+Inputs!$C$50))+Inputs!$C$47*0.097)))+0.3*(2*((SIN(((Model_Data!A136)*12.9898+(Inputs!$C$6)*78.233+Inputs!$C$47*37.719))*43758.5453)-INT((SIN(((Model_Data!A136)*12.9898+(Inputs!$C$6)*78.233+Inputs!$C$47*37.719))*43758.5453)))-1))))/1000)^2))-(((Model_Data!B136)-((Inputs!$C$51*(115*EXP(-(((0)-25)^2)/(4.5^2))+70*EXP(-(((0)+38)^2)/(7^2))*(0.55+0.45*SIN(2*PI()*(Model_Data!A136)/45))+24*SIN(2*PI()*(0)/9+(Model_Data!A136)/18)*EXP(-(((0)+5)^2)/(22^2))+18*SIN(2*PI()*(Model_Data!A136)/70))+Inputs!$C$28*EXP(-(((Model_Data!A136)-Inputs!$C$29)^2)/(2*Inputs!$C$31^2))*EXP(-(((0)-Inputs!$C$30)^2)/(2*Inputs!$C$32^2))+-Inputs!$C$33*EXP(-(((((Model_Data!A136)-Inputs!$C$34)^2)+(((0)-Inputs!$C$35)^2))/(2*Inputs!$C$36^2)))+Inputs!$C$37*(0.55*SIN(2*PI()*(Model_Data!A136)/Inputs!$C$39)+0.35*COS(2*PI()*(0)/Inputs!$C$40)+0.2*SIN(2*PI()*((Model_Data!A136)+(0))/(0.5*(Inputs!$C$39+Inputs!$C$40))))+Inputs!$C$38*SIN(2*PI()*(Model_Data!A136)/Inputs!$C$39)*SIN(2*PI()*(0)/Inputs!$C$40)+-Inputs!$C$41*EXP(-(((0)-Inputs!$C$43)^2)/(2*Inputs!$C$44^2))*EXP(-(((Model_Data!A136)-Inputs!$C$42)^2)/(2*Inputs!$C$45^2))+Inputs!$C$48*(0.7*(0.45*SIN(2*PI()*(((Model_Data!A136)/Inputs!$C$49)+Inputs!$C$47*0.137))+0.35*COS(2*PI()*(((0)/Inputs!$C$50)+Inputs!$C$47*0.173))+0.2*SIN(2*PI()*(((Model_Data!A136)+(0))/(0.5*(Inputs!$C$49+Inputs!$C$50))+Inputs!$C$47*0.097)))+0.3*(2*((SIN(((Model_Data!A136)*12.9898+(0)*78.233+Inputs!$C$47*37.719))*43758.5453)-INT((SIN(((Model_Data!A136)*12.9898+(0)*78.233+Inputs!$C$47*37.719))*43758.5453)))-1))))/1000)))*1000/Inputs!$C$12)-Model_Data!F136)</f>
        <v>262.00509994581489</v>
      </c>
      <c r="L136" s="10"/>
      <c r="M136" s="9">
        <f>Model_Data!A136</f>
        <v>7</v>
      </c>
      <c r="N136" s="9">
        <f>Model_Data!P136</f>
        <v>-52.774069915563587</v>
      </c>
      <c r="O136" s="9">
        <f t="shared" si="4"/>
        <v>-86.247252628072602</v>
      </c>
      <c r="P136" s="9">
        <f>Model_Data!Q136</f>
        <v>-7.9240345218563952</v>
      </c>
      <c r="Q136" s="9">
        <f t="shared" si="5"/>
        <v>-12.950037932143035</v>
      </c>
      <c r="R136" s="10"/>
      <c r="S136" s="9">
        <f>Model_Data!A136</f>
        <v>7</v>
      </c>
      <c r="T136" s="9">
        <f>Model_Data!B136-Inputs!$C$5</f>
        <v>5.4444444444470719E-2</v>
      </c>
      <c r="U136" s="10"/>
      <c r="V136" s="9">
        <f>Model_Data!A136</f>
        <v>7</v>
      </c>
      <c r="W136" s="9">
        <f>((SQRT((Model_Data!A136)^2+Inputs!$C$6^2+Inputs!$C$5^2)-Inputs!$C$5)*1000/Inputs!$C$12)</f>
        <v>472.81719442053964</v>
      </c>
      <c r="X136" s="9">
        <f>Model_Data!F136</f>
        <v>472.75298258166532</v>
      </c>
      <c r="Y136" s="10"/>
      <c r="Z136" s="9">
        <f>Model_Data!A136</f>
        <v>7</v>
      </c>
      <c r="AA136" s="9">
        <f>SQRT((Model_Data!A136)^2+Inputs!$C$6^2+((Model_Data!B136)-((Inputs!$C$51*(115*EXP(-(((Inputs!$C$6)-25)^2)/(4.5^2))+70*EXP(-(((Inputs!$C$6)+38)^2)/(7^2))*(0.55+0.45*SIN(2*PI()*(Model_Data!A136)/45))+24*SIN(2*PI()*(Inputs!$C$6)/9+(Model_Data!A136)/18)*EXP(-(((Inputs!$C$6)+5)^2)/(22^2))+18*SIN(2*PI()*(Model_Data!A136)/70))+Inputs!$C$28*EXP(-(((Model_Data!A136)-Inputs!$C$29)^2)/(2*Inputs!$C$31^2))*EXP(-(((Inputs!$C$6)-Inputs!$C$30)^2)/(2*Inputs!$C$32^2))+-Inputs!$C$33*EXP(-(((((Model_Data!A136)-Inputs!$C$34)^2)+(((Inputs!$C$6)-Inputs!$C$35)^2))/(2*Inputs!$C$36^2)))+Inputs!$C$37*(0.55*SIN(2*PI()*(Model_Data!A136)/Inputs!$C$39)+0.35*COS(2*PI()*(Inputs!$C$6)/Inputs!$C$40)+0.2*SIN(2*PI()*((Model_Data!A136)+(Inputs!$C$6))/(0.5*(Inputs!$C$39+Inputs!$C$40))))+Inputs!$C$38*SIN(2*PI()*(Model_Data!A136)/Inputs!$C$39)*SIN(2*PI()*(Inputs!$C$6)/Inputs!$C$40)+-Inputs!$C$41*EXP(-(((Inputs!$C$6)-Inputs!$C$43)^2)/(2*Inputs!$C$44^2))*EXP(-(((Model_Data!A136)-Inputs!$C$42)^2)/(2*Inputs!$C$45^2))+Inputs!$C$48*(0.7*(0.45*SIN(2*PI()*(((Model_Data!A136)/Inputs!$C$49)+Inputs!$C$47*0.137))+0.35*COS(2*PI()*(((Inputs!$C$6)/Inputs!$C$50)+Inputs!$C$47*0.173))+0.2*SIN(2*PI()*(((Model_Data!A136)+(Inputs!$C$6))/(0.5*(Inputs!$C$49+Inputs!$C$50))+Inputs!$C$47*0.097)))+0.3*(2*((SIN(((Model_Data!A136)*12.9898+(Inputs!$C$6)*78.233+Inputs!$C$47*37.719))*43758.5453)-INT((SIN(((Model_Data!A136)*12.9898+(Inputs!$C$6)*78.233+Inputs!$C$47*37.719))*43758.5453)))-1))))/1000)^2)</f>
        <v>400.36266016563724</v>
      </c>
      <c r="AB136" s="9">
        <f>1000*(AA137-AA135)/(Z137-Z135)*Inputs!$C$11</f>
        <v>215.6181315701815</v>
      </c>
      <c r="AC136" s="9">
        <f>-2*AB136/Inputs!$C$13</f>
        <v>-86.247252628072602</v>
      </c>
      <c r="AD136" s="9">
        <f>-2*AB136/Inputs!$C$14</f>
        <v>-12.950037932143035</v>
      </c>
    </row>
    <row r="137" spans="1:30">
      <c r="A137" s="9">
        <f>Model_Data!A137</f>
        <v>7.5</v>
      </c>
      <c r="B137" s="9">
        <f>((SQRT((Model_Data!A137)^2+Inputs!$C$6^2+Inputs!$C$5^2)-Inputs!$C$5)*1000/Inputs!$C$12)</f>
        <v>477.89773947151639</v>
      </c>
      <c r="C137" s="9">
        <f>Model_Data!F137</f>
        <v>477.82323801636795</v>
      </c>
      <c r="D137" s="9">
        <f>(((SQRT((Model_Data!A137)^2+Inputs!$C$6^2+((Model_Data!B137)-((Inputs!$C$51*(115*EXP(-(((Inputs!$C$6)-25)^2)/(4.5^2))+70*EXP(-(((Inputs!$C$6)+38)^2)/(7^2))*(0.55+0.45*SIN(2*PI()*(Model_Data!A137)/45))+24*SIN(2*PI()*(Inputs!$C$6)/9+(Model_Data!A137)/18)*EXP(-(((Inputs!$C$6)+5)^2)/(22^2))+18*SIN(2*PI()*(Model_Data!A137)/70))+Inputs!$C$28*EXP(-(((Model_Data!A137)-Inputs!$C$29)^2)/(2*Inputs!$C$31^2))*EXP(-(((Inputs!$C$6)-Inputs!$C$30)^2)/(2*Inputs!$C$32^2))+-Inputs!$C$33*EXP(-(((((Model_Data!A137)-Inputs!$C$34)^2)+(((Inputs!$C$6)-Inputs!$C$35)^2))/(2*Inputs!$C$36^2)))+Inputs!$C$37*(0.55*SIN(2*PI()*(Model_Data!A137)/Inputs!$C$39)+0.35*COS(2*PI()*(Inputs!$C$6)/Inputs!$C$40)+0.2*SIN(2*PI()*((Model_Data!A137)+(Inputs!$C$6))/(0.5*(Inputs!$C$39+Inputs!$C$40))))+Inputs!$C$38*SIN(2*PI()*(Model_Data!A137)/Inputs!$C$39)*SIN(2*PI()*(Inputs!$C$6)/Inputs!$C$40)+-Inputs!$C$41*EXP(-(((Inputs!$C$6)-Inputs!$C$43)^2)/(2*Inputs!$C$44^2))*EXP(-(((Model_Data!A137)-Inputs!$C$42)^2)/(2*Inputs!$C$45^2))+Inputs!$C$48*(0.7*(0.45*SIN(2*PI()*(((Model_Data!A137)/Inputs!$C$49)+Inputs!$C$47*0.137))+0.35*COS(2*PI()*(((Inputs!$C$6)/Inputs!$C$50)+Inputs!$C$47*0.173))+0.2*SIN(2*PI()*(((Model_Data!A137)+(Inputs!$C$6))/(0.5*(Inputs!$C$49+Inputs!$C$50))+Inputs!$C$47*0.097)))+0.3*(2*((SIN(((Model_Data!A137)*12.9898+(Inputs!$C$6)*78.233+Inputs!$C$47*37.719))*43758.5453)-INT((SIN(((Model_Data!A137)*12.9898+(Inputs!$C$6)*78.233+Inputs!$C$47*37.719))*43758.5453)))-1))))/1000)^2))-(((Model_Data!B137)-((Inputs!$C$51*(115*EXP(-(((0)-25)^2)/(4.5^2))+70*EXP(-(((0)+38)^2)/(7^2))*(0.55+0.45*SIN(2*PI()*(Model_Data!A137)/45))+24*SIN(2*PI()*(0)/9+(Model_Data!A137)/18)*EXP(-(((0)+5)^2)/(22^2))+18*SIN(2*PI()*(Model_Data!A137)/70))+Inputs!$C$28*EXP(-(((Model_Data!A137)-Inputs!$C$29)^2)/(2*Inputs!$C$31^2))*EXP(-(((0)-Inputs!$C$30)^2)/(2*Inputs!$C$32^2))+-Inputs!$C$33*EXP(-(((((Model_Data!A137)-Inputs!$C$34)^2)+(((0)-Inputs!$C$35)^2))/(2*Inputs!$C$36^2)))+Inputs!$C$37*(0.55*SIN(2*PI()*(Model_Data!A137)/Inputs!$C$39)+0.35*COS(2*PI()*(0)/Inputs!$C$40)+0.2*SIN(2*PI()*((Model_Data!A137)+(0))/(0.5*(Inputs!$C$39+Inputs!$C$40))))+Inputs!$C$38*SIN(2*PI()*(Model_Data!A137)/Inputs!$C$39)*SIN(2*PI()*(0)/Inputs!$C$40)+-Inputs!$C$41*EXP(-(((0)-Inputs!$C$43)^2)/(2*Inputs!$C$44^2))*EXP(-(((Model_Data!A137)-Inputs!$C$42)^2)/(2*Inputs!$C$45^2))+Inputs!$C$48*(0.7*(0.45*SIN(2*PI()*(((Model_Data!A137)/Inputs!$C$49)+Inputs!$C$47*0.137))+0.35*COS(2*PI()*(((0)/Inputs!$C$50)+Inputs!$C$47*0.173))+0.2*SIN(2*PI()*(((Model_Data!A137)+(0))/(0.5*(Inputs!$C$49+Inputs!$C$50))+Inputs!$C$47*0.097)))+0.3*(2*((SIN(((Model_Data!A137)*12.9898+(0)*78.233+Inputs!$C$47*37.719))*43758.5453)-INT((SIN(((Model_Data!A137)*12.9898+(0)*78.233+Inputs!$C$47*37.719))*43758.5453)))-1))))/1000)))*1000/Inputs!$C$12)</f>
        <v>227.14217236462835</v>
      </c>
      <c r="E137" s="9">
        <f>Model_Data!A137</f>
        <v>7.5</v>
      </c>
      <c r="F137" s="9">
        <f>(Inputs!$C$51*(115*EXP(-(((Inputs!$C$6)-25)^2)/(4.5^2))+70*EXP(-(((Inputs!$C$6)+38)^2)/(7^2))*(0.55+0.45*SIN(2*PI()*(Model_Data!A137)/45))+24*SIN(2*PI()*(Inputs!$C$6)/9+(Model_Data!A137)/18)*EXP(-(((Inputs!$C$6)+5)^2)/(22^2))+18*SIN(2*PI()*(Model_Data!A137)/70))+Inputs!$C$28*EXP(-(((Model_Data!A137)-Inputs!$C$29)^2)/(2*Inputs!$C$31^2))*EXP(-(((Inputs!$C$6)-Inputs!$C$30)^2)/(2*Inputs!$C$32^2))+-Inputs!$C$33*EXP(-(((((Model_Data!A137)-Inputs!$C$34)^2)+(((Inputs!$C$6)-Inputs!$C$35)^2))/(2*Inputs!$C$36^2)))+Inputs!$C$37*(0.55*SIN(2*PI()*(Model_Data!A137)/Inputs!$C$39)+0.35*COS(2*PI()*(Inputs!$C$6)/Inputs!$C$40)+0.2*SIN(2*PI()*((Model_Data!A137)+(Inputs!$C$6))/(0.5*(Inputs!$C$39+Inputs!$C$40))))+Inputs!$C$38*SIN(2*PI()*(Model_Data!A137)/Inputs!$C$39)*SIN(2*PI()*(Inputs!$C$6)/Inputs!$C$40)+-Inputs!$C$41*EXP(-(((Inputs!$C$6)-Inputs!$C$43)^2)/(2*Inputs!$C$44^2))*EXP(-(((Model_Data!A137)-Inputs!$C$42)^2)/(2*Inputs!$C$45^2))+Inputs!$C$48*(0.7*(0.45*SIN(2*PI()*(((Model_Data!A137)/Inputs!$C$49)+Inputs!$C$47*0.137))+0.35*COS(2*PI()*(((Inputs!$C$6)/Inputs!$C$50)+Inputs!$C$47*0.173))+0.2*SIN(2*PI()*(((Model_Data!A137)+(Inputs!$C$6))/(0.5*(Inputs!$C$49+Inputs!$C$50))+Inputs!$C$47*0.097)))+0.3*(2*((SIN(((Model_Data!A137)*12.9898+(Inputs!$C$6)*78.233+Inputs!$C$47*37.719))*43758.5453)-INT((SIN(((Model_Data!A137)*12.9898+(Inputs!$C$6)*78.233+Inputs!$C$47*37.719))*43758.5453)))-1)))</f>
        <v>503.48380224840304</v>
      </c>
      <c r="G137" s="9">
        <f>(Inputs!$C$51*(115*EXP(-(((0)-25)^2)/(4.5^2))+70*EXP(-(((0)+38)^2)/(7^2))*(0.55+0.45*SIN(2*PI()*(Model_Data!A137)/45))+24*SIN(2*PI()*(0)/9+(Model_Data!A137)/18)*EXP(-(((0)+5)^2)/(22^2))+18*SIN(2*PI()*(Model_Data!A137)/70))+Inputs!$C$28*EXP(-(((Model_Data!A137)-Inputs!$C$29)^2)/(2*Inputs!$C$31^2))*EXP(-(((0)-Inputs!$C$30)^2)/(2*Inputs!$C$32^2))+-Inputs!$C$33*EXP(-(((((Model_Data!A137)-Inputs!$C$34)^2)+(((0)-Inputs!$C$35)^2))/(2*Inputs!$C$36^2)))+Inputs!$C$37*(0.55*SIN(2*PI()*(Model_Data!A137)/Inputs!$C$39)+0.35*COS(2*PI()*(0)/Inputs!$C$40)+0.2*SIN(2*PI()*((Model_Data!A137)+(0))/(0.5*(Inputs!$C$39+Inputs!$C$40))))+Inputs!$C$38*SIN(2*PI()*(Model_Data!A137)/Inputs!$C$39)*SIN(2*PI()*(0)/Inputs!$C$40)+-Inputs!$C$41*EXP(-(((0)-Inputs!$C$43)^2)/(2*Inputs!$C$44^2))*EXP(-(((Model_Data!A137)-Inputs!$C$42)^2)/(2*Inputs!$C$45^2))+Inputs!$C$48*(0.7*(0.45*SIN(2*PI()*(((Model_Data!A137)/Inputs!$C$49)+Inputs!$C$47*0.137))+0.35*COS(2*PI()*(((0)/Inputs!$C$50)+Inputs!$C$47*0.173))+0.2*SIN(2*PI()*(((Model_Data!A137)+(0))/(0.5*(Inputs!$C$49+Inputs!$C$50))+Inputs!$C$47*0.097)))+0.3*(2*((SIN(((Model_Data!A137)*12.9898+(0)*78.233+Inputs!$C$47*37.719))*43758.5453)-INT((SIN(((Model_Data!A137)*12.9898+(0)*78.233+Inputs!$C$47*37.719))*43758.5453)))-1)))</f>
        <v>56.202037436945574</v>
      </c>
      <c r="H137" s="10"/>
      <c r="I137" s="9">
        <f>Model_Data!A137</f>
        <v>7.5</v>
      </c>
      <c r="J137" s="9">
        <f>(Inputs!$C$51*(115*EXP(-(((Inputs!$C$6)-25)^2)/(4.5^2))+70*EXP(-(((Inputs!$C$6)+38)^2)/(7^2))*(0.55+0.45*SIN(2*PI()*(Model_Data!A137)/45))+24*SIN(2*PI()*(Inputs!$C$6)/9+(Model_Data!A137)/18)*EXP(-(((Inputs!$C$6)+5)^2)/(22^2))+18*SIN(2*PI()*(Model_Data!A137)/70))+Inputs!$C$28*EXP(-(((Model_Data!A137)-Inputs!$C$29)^2)/(2*Inputs!$C$31^2))*EXP(-(((Inputs!$C$6)-Inputs!$C$30)^2)/(2*Inputs!$C$32^2))+-Inputs!$C$33*EXP(-(((((Model_Data!A137)-Inputs!$C$34)^2)+(((Inputs!$C$6)-Inputs!$C$35)^2))/(2*Inputs!$C$36^2)))+Inputs!$C$37*(0.55*SIN(2*PI()*(Model_Data!A137)/Inputs!$C$39)+0.35*COS(2*PI()*(Inputs!$C$6)/Inputs!$C$40)+0.2*SIN(2*PI()*((Model_Data!A137)+(Inputs!$C$6))/(0.5*(Inputs!$C$39+Inputs!$C$40))))+Inputs!$C$38*SIN(2*PI()*(Model_Data!A137)/Inputs!$C$39)*SIN(2*PI()*(Inputs!$C$6)/Inputs!$C$40)+-Inputs!$C$41*EXP(-(((Inputs!$C$6)-Inputs!$C$43)^2)/(2*Inputs!$C$44^2))*EXP(-(((Model_Data!A137)-Inputs!$C$42)^2)/(2*Inputs!$C$45^2))+Inputs!$C$48*(0.7*(0.45*SIN(2*PI()*(((Model_Data!A137)/Inputs!$C$49)+Inputs!$C$47*0.137))+0.35*COS(2*PI()*(((Inputs!$C$6)/Inputs!$C$50)+Inputs!$C$47*0.173))+0.2*SIN(2*PI()*(((Model_Data!A137)+(Inputs!$C$6))/(0.5*(Inputs!$C$49+Inputs!$C$50))+Inputs!$C$47*0.097)))+0.3*(2*((SIN(((Model_Data!A137)*12.9898+(Inputs!$C$6)*78.233+Inputs!$C$47*37.719))*43758.5453)-INT((SIN(((Model_Data!A137)*12.9898+(Inputs!$C$6)*78.233+Inputs!$C$47*37.719))*43758.5453)))-1)))</f>
        <v>503.48380224840304</v>
      </c>
      <c r="K137" s="9">
        <f>-((((SQRT((Model_Data!A137)^2+Inputs!$C$6^2+((Model_Data!B137)-((Inputs!$C$51*(115*EXP(-(((Inputs!$C$6)-25)^2)/(4.5^2))+70*EXP(-(((Inputs!$C$6)+38)^2)/(7^2))*(0.55+0.45*SIN(2*PI()*(Model_Data!A137)/45))+24*SIN(2*PI()*(Inputs!$C$6)/9+(Model_Data!A137)/18)*EXP(-(((Inputs!$C$6)+5)^2)/(22^2))+18*SIN(2*PI()*(Model_Data!A137)/70))+Inputs!$C$28*EXP(-(((Model_Data!A137)-Inputs!$C$29)^2)/(2*Inputs!$C$31^2))*EXP(-(((Inputs!$C$6)-Inputs!$C$30)^2)/(2*Inputs!$C$32^2))+-Inputs!$C$33*EXP(-(((((Model_Data!A137)-Inputs!$C$34)^2)+(((Inputs!$C$6)-Inputs!$C$35)^2))/(2*Inputs!$C$36^2)))+Inputs!$C$37*(0.55*SIN(2*PI()*(Model_Data!A137)/Inputs!$C$39)+0.35*COS(2*PI()*(Inputs!$C$6)/Inputs!$C$40)+0.2*SIN(2*PI()*((Model_Data!A137)+(Inputs!$C$6))/(0.5*(Inputs!$C$39+Inputs!$C$40))))+Inputs!$C$38*SIN(2*PI()*(Model_Data!A137)/Inputs!$C$39)*SIN(2*PI()*(Inputs!$C$6)/Inputs!$C$40)+-Inputs!$C$41*EXP(-(((Inputs!$C$6)-Inputs!$C$43)^2)/(2*Inputs!$C$44^2))*EXP(-(((Model_Data!A137)-Inputs!$C$42)^2)/(2*Inputs!$C$45^2))+Inputs!$C$48*(0.7*(0.45*SIN(2*PI()*(((Model_Data!A137)/Inputs!$C$49)+Inputs!$C$47*0.137))+0.35*COS(2*PI()*(((Inputs!$C$6)/Inputs!$C$50)+Inputs!$C$47*0.173))+0.2*SIN(2*PI()*(((Model_Data!A137)+(Inputs!$C$6))/(0.5*(Inputs!$C$49+Inputs!$C$50))+Inputs!$C$47*0.097)))+0.3*(2*((SIN(((Model_Data!A137)*12.9898+(Inputs!$C$6)*78.233+Inputs!$C$47*37.719))*43758.5453)-INT((SIN(((Model_Data!A137)*12.9898+(Inputs!$C$6)*78.233+Inputs!$C$47*37.719))*43758.5453)))-1))))/1000)^2))-(((Model_Data!B137)-((Inputs!$C$51*(115*EXP(-(((0)-25)^2)/(4.5^2))+70*EXP(-(((0)+38)^2)/(7^2))*(0.55+0.45*SIN(2*PI()*(Model_Data!A137)/45))+24*SIN(2*PI()*(0)/9+(Model_Data!A137)/18)*EXP(-(((0)+5)^2)/(22^2))+18*SIN(2*PI()*(Model_Data!A137)/70))+Inputs!$C$28*EXP(-(((Model_Data!A137)-Inputs!$C$29)^2)/(2*Inputs!$C$31^2))*EXP(-(((0)-Inputs!$C$30)^2)/(2*Inputs!$C$32^2))+-Inputs!$C$33*EXP(-(((((Model_Data!A137)-Inputs!$C$34)^2)+(((0)-Inputs!$C$35)^2))/(2*Inputs!$C$36^2)))+Inputs!$C$37*(0.55*SIN(2*PI()*(Model_Data!A137)/Inputs!$C$39)+0.35*COS(2*PI()*(0)/Inputs!$C$40)+0.2*SIN(2*PI()*((Model_Data!A137)+(0))/(0.5*(Inputs!$C$39+Inputs!$C$40))))+Inputs!$C$38*SIN(2*PI()*(Model_Data!A137)/Inputs!$C$39)*SIN(2*PI()*(0)/Inputs!$C$40)+-Inputs!$C$41*EXP(-(((0)-Inputs!$C$43)^2)/(2*Inputs!$C$44^2))*EXP(-(((Model_Data!A137)-Inputs!$C$42)^2)/(2*Inputs!$C$45^2))+Inputs!$C$48*(0.7*(0.45*SIN(2*PI()*(((Model_Data!A137)/Inputs!$C$49)+Inputs!$C$47*0.137))+0.35*COS(2*PI()*(((0)/Inputs!$C$50)+Inputs!$C$47*0.173))+0.2*SIN(2*PI()*(((Model_Data!A137)+(0))/(0.5*(Inputs!$C$49+Inputs!$C$50))+Inputs!$C$47*0.097)))+0.3*(2*((SIN(((Model_Data!A137)*12.9898+(0)*78.233+Inputs!$C$47*37.719))*43758.5453)-INT((SIN(((Model_Data!A137)*12.9898+(0)*78.233+Inputs!$C$47*37.719))*43758.5453)))-1))))/1000)))*1000/Inputs!$C$12)-Model_Data!F137)</f>
        <v>250.6810656517396</v>
      </c>
      <c r="L137" s="10"/>
      <c r="M137" s="9">
        <f>Model_Data!A137</f>
        <v>7.5</v>
      </c>
      <c r="N137" s="9">
        <f>Model_Data!P137</f>
        <v>-56.541773150849451</v>
      </c>
      <c r="O137" s="9">
        <f t="shared" si="4"/>
        <v>-115.94366835051915</v>
      </c>
      <c r="P137" s="9">
        <f>Model_Data!Q137</f>
        <v>-8.4897557283557745</v>
      </c>
      <c r="Q137" s="9">
        <f t="shared" si="5"/>
        <v>-17.408959211789664</v>
      </c>
      <c r="R137" s="10"/>
      <c r="S137" s="9">
        <f>Model_Data!A137</f>
        <v>7.5</v>
      </c>
      <c r="T137" s="9">
        <f>Model_Data!B137-Inputs!$C$5</f>
        <v>6.25E-2</v>
      </c>
      <c r="U137" s="10"/>
      <c r="V137" s="9">
        <f>Model_Data!A137</f>
        <v>7.5</v>
      </c>
      <c r="W137" s="9">
        <f>((SQRT((Model_Data!A137)^2+Inputs!$C$6^2+Inputs!$C$5^2)-Inputs!$C$5)*1000/Inputs!$C$12)</f>
        <v>477.89773947151639</v>
      </c>
      <c r="X137" s="9">
        <f>Model_Data!F137</f>
        <v>477.82323801636795</v>
      </c>
      <c r="Y137" s="10"/>
      <c r="Z137" s="9">
        <f>Model_Data!A137</f>
        <v>7.5</v>
      </c>
      <c r="AA137" s="9">
        <f>SQRT((Model_Data!A137)^2+Inputs!$C$6^2+((Model_Data!B137)-((Inputs!$C$51*(115*EXP(-(((Inputs!$C$6)-25)^2)/(4.5^2))+70*EXP(-(((Inputs!$C$6)+38)^2)/(7^2))*(0.55+0.45*SIN(2*PI()*(Model_Data!A137)/45))+24*SIN(2*PI()*(Inputs!$C$6)/9+(Model_Data!A137)/18)*EXP(-(((Inputs!$C$6)+5)^2)/(22^2))+18*SIN(2*PI()*(Model_Data!A137)/70))+Inputs!$C$28*EXP(-(((Model_Data!A137)-Inputs!$C$29)^2)/(2*Inputs!$C$31^2))*EXP(-(((Inputs!$C$6)-Inputs!$C$30)^2)/(2*Inputs!$C$32^2))+-Inputs!$C$33*EXP(-(((((Model_Data!A137)-Inputs!$C$34)^2)+(((Inputs!$C$6)-Inputs!$C$35)^2))/(2*Inputs!$C$36^2)))+Inputs!$C$37*(0.55*SIN(2*PI()*(Model_Data!A137)/Inputs!$C$39)+0.35*COS(2*PI()*(Inputs!$C$6)/Inputs!$C$40)+0.2*SIN(2*PI()*((Model_Data!A137)+(Inputs!$C$6))/(0.5*(Inputs!$C$39+Inputs!$C$40))))+Inputs!$C$38*SIN(2*PI()*(Model_Data!A137)/Inputs!$C$39)*SIN(2*PI()*(Inputs!$C$6)/Inputs!$C$40)+-Inputs!$C$41*EXP(-(((Inputs!$C$6)-Inputs!$C$43)^2)/(2*Inputs!$C$44^2))*EXP(-(((Model_Data!A137)-Inputs!$C$42)^2)/(2*Inputs!$C$45^2))+Inputs!$C$48*(0.7*(0.45*SIN(2*PI()*(((Model_Data!A137)/Inputs!$C$49)+Inputs!$C$47*0.137))+0.35*COS(2*PI()*(((Inputs!$C$6)/Inputs!$C$50)+Inputs!$C$47*0.173))+0.2*SIN(2*PI()*(((Model_Data!A137)+(Inputs!$C$6))/(0.5*(Inputs!$C$49+Inputs!$C$50))+Inputs!$C$47*0.097)))+0.3*(2*((SIN(((Model_Data!A137)*12.9898+(Inputs!$C$6)*78.233+Inputs!$C$47*37.719))*43758.5453)-INT((SIN(((Model_Data!A137)*12.9898+(Inputs!$C$6)*78.233+Inputs!$C$47*37.719))*43758.5453)))-1))))/1000)^2)</f>
        <v>400.41061102937209</v>
      </c>
      <c r="AB137" s="9">
        <f>1000*(AA138-AA136)/(Z138-Z136)*Inputs!$C$11</f>
        <v>289.85917087629787</v>
      </c>
      <c r="AC137" s="9">
        <f>-2*AB137/Inputs!$C$13</f>
        <v>-115.94366835051915</v>
      </c>
      <c r="AD137" s="9">
        <f>-2*AB137/Inputs!$C$14</f>
        <v>-17.408959211789664</v>
      </c>
    </row>
    <row r="138" spans="1:30">
      <c r="A138" s="9">
        <f>Model_Data!A138</f>
        <v>8</v>
      </c>
      <c r="B138" s="9">
        <f>((SQRT((Model_Data!A138)^2+Inputs!$C$6^2+Inputs!$C$5^2)-Inputs!$C$5)*1000/Inputs!$C$12)</f>
        <v>483.32854019372718</v>
      </c>
      <c r="C138" s="9">
        <f>Model_Data!F138</f>
        <v>483.24281472300015</v>
      </c>
      <c r="D138" s="9">
        <f>(((SQRT((Model_Data!A138)^2+Inputs!$C$6^2+((Model_Data!B138)-((Inputs!$C$51*(115*EXP(-(((Inputs!$C$6)-25)^2)/(4.5^2))+70*EXP(-(((Inputs!$C$6)+38)^2)/(7^2))*(0.55+0.45*SIN(2*PI()*(Model_Data!A138)/45))+24*SIN(2*PI()*(Inputs!$C$6)/9+(Model_Data!A138)/18)*EXP(-(((Inputs!$C$6)+5)^2)/(22^2))+18*SIN(2*PI()*(Model_Data!A138)/70))+Inputs!$C$28*EXP(-(((Model_Data!A138)-Inputs!$C$29)^2)/(2*Inputs!$C$31^2))*EXP(-(((Inputs!$C$6)-Inputs!$C$30)^2)/(2*Inputs!$C$32^2))+-Inputs!$C$33*EXP(-(((((Model_Data!A138)-Inputs!$C$34)^2)+(((Inputs!$C$6)-Inputs!$C$35)^2))/(2*Inputs!$C$36^2)))+Inputs!$C$37*(0.55*SIN(2*PI()*(Model_Data!A138)/Inputs!$C$39)+0.35*COS(2*PI()*(Inputs!$C$6)/Inputs!$C$40)+0.2*SIN(2*PI()*((Model_Data!A138)+(Inputs!$C$6))/(0.5*(Inputs!$C$39+Inputs!$C$40))))+Inputs!$C$38*SIN(2*PI()*(Model_Data!A138)/Inputs!$C$39)*SIN(2*PI()*(Inputs!$C$6)/Inputs!$C$40)+-Inputs!$C$41*EXP(-(((Inputs!$C$6)-Inputs!$C$43)^2)/(2*Inputs!$C$44^2))*EXP(-(((Model_Data!A138)-Inputs!$C$42)^2)/(2*Inputs!$C$45^2))+Inputs!$C$48*(0.7*(0.45*SIN(2*PI()*(((Model_Data!A138)/Inputs!$C$49)+Inputs!$C$47*0.137))+0.35*COS(2*PI()*(((Inputs!$C$6)/Inputs!$C$50)+Inputs!$C$47*0.173))+0.2*SIN(2*PI()*(((Model_Data!A138)+(Inputs!$C$6))/(0.5*(Inputs!$C$49+Inputs!$C$50))+Inputs!$C$47*0.097)))+0.3*(2*((SIN(((Model_Data!A138)*12.9898+(Inputs!$C$6)*78.233+Inputs!$C$47*37.719))*43758.5453)-INT((SIN(((Model_Data!A138)*12.9898+(Inputs!$C$6)*78.233+Inputs!$C$47*37.719))*43758.5453)))-1))))/1000)^2))-(((Model_Data!B138)-((Inputs!$C$51*(115*EXP(-(((0)-25)^2)/(4.5^2))+70*EXP(-(((0)+38)^2)/(7^2))*(0.55+0.45*SIN(2*PI()*(Model_Data!A138)/45))+24*SIN(2*PI()*(0)/9+(Model_Data!A138)/18)*EXP(-(((0)+5)^2)/(22^2))+18*SIN(2*PI()*(Model_Data!A138)/70))+Inputs!$C$28*EXP(-(((Model_Data!A138)-Inputs!$C$29)^2)/(2*Inputs!$C$31^2))*EXP(-(((0)-Inputs!$C$30)^2)/(2*Inputs!$C$32^2))+-Inputs!$C$33*EXP(-(((((Model_Data!A138)-Inputs!$C$34)^2)+(((0)-Inputs!$C$35)^2))/(2*Inputs!$C$36^2)))+Inputs!$C$37*(0.55*SIN(2*PI()*(Model_Data!A138)/Inputs!$C$39)+0.35*COS(2*PI()*(0)/Inputs!$C$40)+0.2*SIN(2*PI()*((Model_Data!A138)+(0))/(0.5*(Inputs!$C$39+Inputs!$C$40))))+Inputs!$C$38*SIN(2*PI()*(Model_Data!A138)/Inputs!$C$39)*SIN(2*PI()*(0)/Inputs!$C$40)+-Inputs!$C$41*EXP(-(((0)-Inputs!$C$43)^2)/(2*Inputs!$C$44^2))*EXP(-(((Model_Data!A138)-Inputs!$C$42)^2)/(2*Inputs!$C$45^2))+Inputs!$C$48*(0.7*(0.45*SIN(2*PI()*(((Model_Data!A138)/Inputs!$C$49)+Inputs!$C$47*0.137))+0.35*COS(2*PI()*(((0)/Inputs!$C$50)+Inputs!$C$47*0.173))+0.2*SIN(2*PI()*(((Model_Data!A138)+(0))/(0.5*(Inputs!$C$49+Inputs!$C$50))+Inputs!$C$47*0.097)))+0.3*(2*((SIN(((Model_Data!A138)*12.9898+(0)*78.233+Inputs!$C$47*37.719))*43758.5453)-INT((SIN(((Model_Data!A138)*12.9898+(0)*78.233+Inputs!$C$47*37.719))*43758.5453)))-1))))/1000)))*1000/Inputs!$C$12)</f>
        <v>230.34104062202678</v>
      </c>
      <c r="E138" s="9">
        <f>Model_Data!A138</f>
        <v>8</v>
      </c>
      <c r="F138" s="9">
        <f>(Inputs!$C$51*(115*EXP(-(((Inputs!$C$6)-25)^2)/(4.5^2))+70*EXP(-(((Inputs!$C$6)+38)^2)/(7^2))*(0.55+0.45*SIN(2*PI()*(Model_Data!A138)/45))+24*SIN(2*PI()*(Inputs!$C$6)/9+(Model_Data!A138)/18)*EXP(-(((Inputs!$C$6)+5)^2)/(22^2))+18*SIN(2*PI()*(Model_Data!A138)/70))+Inputs!$C$28*EXP(-(((Model_Data!A138)-Inputs!$C$29)^2)/(2*Inputs!$C$31^2))*EXP(-(((Inputs!$C$6)-Inputs!$C$30)^2)/(2*Inputs!$C$32^2))+-Inputs!$C$33*EXP(-(((((Model_Data!A138)-Inputs!$C$34)^2)+(((Inputs!$C$6)-Inputs!$C$35)^2))/(2*Inputs!$C$36^2)))+Inputs!$C$37*(0.55*SIN(2*PI()*(Model_Data!A138)/Inputs!$C$39)+0.35*COS(2*PI()*(Inputs!$C$6)/Inputs!$C$40)+0.2*SIN(2*PI()*((Model_Data!A138)+(Inputs!$C$6))/(0.5*(Inputs!$C$39+Inputs!$C$40))))+Inputs!$C$38*SIN(2*PI()*(Model_Data!A138)/Inputs!$C$39)*SIN(2*PI()*(Inputs!$C$6)/Inputs!$C$40)+-Inputs!$C$41*EXP(-(((Inputs!$C$6)-Inputs!$C$43)^2)/(2*Inputs!$C$44^2))*EXP(-(((Model_Data!A138)-Inputs!$C$42)^2)/(2*Inputs!$C$45^2))+Inputs!$C$48*(0.7*(0.45*SIN(2*PI()*(((Model_Data!A138)/Inputs!$C$49)+Inputs!$C$47*0.137))+0.35*COS(2*PI()*(((Inputs!$C$6)/Inputs!$C$50)+Inputs!$C$47*0.173))+0.2*SIN(2*PI()*(((Model_Data!A138)+(Inputs!$C$6))/(0.5*(Inputs!$C$49+Inputs!$C$50))+Inputs!$C$47*0.097)))+0.3*(2*((SIN(((Model_Data!A138)*12.9898+(Inputs!$C$6)*78.233+Inputs!$C$47*37.719))*43758.5453)-INT((SIN(((Model_Data!A138)*12.9898+(Inputs!$C$6)*78.233+Inputs!$C$47*37.719))*43758.5453)))-1)))</f>
        <v>497.22645344932982</v>
      </c>
      <c r="G138" s="9">
        <f>(Inputs!$C$51*(115*EXP(-(((0)-25)^2)/(4.5^2))+70*EXP(-(((0)+38)^2)/(7^2))*(0.55+0.45*SIN(2*PI()*(Model_Data!A138)/45))+24*SIN(2*PI()*(0)/9+(Model_Data!A138)/18)*EXP(-(((0)+5)^2)/(22^2))+18*SIN(2*PI()*(Model_Data!A138)/70))+Inputs!$C$28*EXP(-(((Model_Data!A138)-Inputs!$C$29)^2)/(2*Inputs!$C$31^2))*EXP(-(((0)-Inputs!$C$30)^2)/(2*Inputs!$C$32^2))+-Inputs!$C$33*EXP(-(((((Model_Data!A138)-Inputs!$C$34)^2)+(((0)-Inputs!$C$35)^2))/(2*Inputs!$C$36^2)))+Inputs!$C$37*(0.55*SIN(2*PI()*(Model_Data!A138)/Inputs!$C$39)+0.35*COS(2*PI()*(0)/Inputs!$C$40)+0.2*SIN(2*PI()*((Model_Data!A138)+(0))/(0.5*(Inputs!$C$39+Inputs!$C$40))))+Inputs!$C$38*SIN(2*PI()*(Model_Data!A138)/Inputs!$C$39)*SIN(2*PI()*(0)/Inputs!$C$40)+-Inputs!$C$41*EXP(-(((0)-Inputs!$C$43)^2)/(2*Inputs!$C$44^2))*EXP(-(((Model_Data!A138)-Inputs!$C$42)^2)/(2*Inputs!$C$45^2))+Inputs!$C$48*(0.7*(0.45*SIN(2*PI()*(((Model_Data!A138)/Inputs!$C$49)+Inputs!$C$47*0.137))+0.35*COS(2*PI()*(((0)/Inputs!$C$50)+Inputs!$C$47*0.173))+0.2*SIN(2*PI()*(((Model_Data!A138)+(0))/(0.5*(Inputs!$C$49+Inputs!$C$50))+Inputs!$C$47*0.097)))+0.3*(2*((SIN(((Model_Data!A138)*12.9898+(0)*78.233+Inputs!$C$47*37.719))*43758.5453)-INT((SIN(((Model_Data!A138)*12.9898+(0)*78.233+Inputs!$C$47*37.719))*43758.5453)))-1)))</f>
        <v>45.993205062010666</v>
      </c>
      <c r="H138" s="10"/>
      <c r="I138" s="9">
        <f>Model_Data!A138</f>
        <v>8</v>
      </c>
      <c r="J138" s="9">
        <f>(Inputs!$C$51*(115*EXP(-(((Inputs!$C$6)-25)^2)/(4.5^2))+70*EXP(-(((Inputs!$C$6)+38)^2)/(7^2))*(0.55+0.45*SIN(2*PI()*(Model_Data!A138)/45))+24*SIN(2*PI()*(Inputs!$C$6)/9+(Model_Data!A138)/18)*EXP(-(((Inputs!$C$6)+5)^2)/(22^2))+18*SIN(2*PI()*(Model_Data!A138)/70))+Inputs!$C$28*EXP(-(((Model_Data!A138)-Inputs!$C$29)^2)/(2*Inputs!$C$31^2))*EXP(-(((Inputs!$C$6)-Inputs!$C$30)^2)/(2*Inputs!$C$32^2))+-Inputs!$C$33*EXP(-(((((Model_Data!A138)-Inputs!$C$34)^2)+(((Inputs!$C$6)-Inputs!$C$35)^2))/(2*Inputs!$C$36^2)))+Inputs!$C$37*(0.55*SIN(2*PI()*(Model_Data!A138)/Inputs!$C$39)+0.35*COS(2*PI()*(Inputs!$C$6)/Inputs!$C$40)+0.2*SIN(2*PI()*((Model_Data!A138)+(Inputs!$C$6))/(0.5*(Inputs!$C$39+Inputs!$C$40))))+Inputs!$C$38*SIN(2*PI()*(Model_Data!A138)/Inputs!$C$39)*SIN(2*PI()*(Inputs!$C$6)/Inputs!$C$40)+-Inputs!$C$41*EXP(-(((Inputs!$C$6)-Inputs!$C$43)^2)/(2*Inputs!$C$44^2))*EXP(-(((Model_Data!A138)-Inputs!$C$42)^2)/(2*Inputs!$C$45^2))+Inputs!$C$48*(0.7*(0.45*SIN(2*PI()*(((Model_Data!A138)/Inputs!$C$49)+Inputs!$C$47*0.137))+0.35*COS(2*PI()*(((Inputs!$C$6)/Inputs!$C$50)+Inputs!$C$47*0.173))+0.2*SIN(2*PI()*(((Model_Data!A138)+(Inputs!$C$6))/(0.5*(Inputs!$C$49+Inputs!$C$50))+Inputs!$C$47*0.097)))+0.3*(2*((SIN(((Model_Data!A138)*12.9898+(Inputs!$C$6)*78.233+Inputs!$C$47*37.719))*43758.5453)-INT((SIN(((Model_Data!A138)*12.9898+(Inputs!$C$6)*78.233+Inputs!$C$47*37.719))*43758.5453)))-1)))</f>
        <v>497.22645344932982</v>
      </c>
      <c r="K138" s="9">
        <f>-((((SQRT((Model_Data!A138)^2+Inputs!$C$6^2+((Model_Data!B138)-((Inputs!$C$51*(115*EXP(-(((Inputs!$C$6)-25)^2)/(4.5^2))+70*EXP(-(((Inputs!$C$6)+38)^2)/(7^2))*(0.55+0.45*SIN(2*PI()*(Model_Data!A138)/45))+24*SIN(2*PI()*(Inputs!$C$6)/9+(Model_Data!A138)/18)*EXP(-(((Inputs!$C$6)+5)^2)/(22^2))+18*SIN(2*PI()*(Model_Data!A138)/70))+Inputs!$C$28*EXP(-(((Model_Data!A138)-Inputs!$C$29)^2)/(2*Inputs!$C$31^2))*EXP(-(((Inputs!$C$6)-Inputs!$C$30)^2)/(2*Inputs!$C$32^2))+-Inputs!$C$33*EXP(-(((((Model_Data!A138)-Inputs!$C$34)^2)+(((Inputs!$C$6)-Inputs!$C$35)^2))/(2*Inputs!$C$36^2)))+Inputs!$C$37*(0.55*SIN(2*PI()*(Model_Data!A138)/Inputs!$C$39)+0.35*COS(2*PI()*(Inputs!$C$6)/Inputs!$C$40)+0.2*SIN(2*PI()*((Model_Data!A138)+(Inputs!$C$6))/(0.5*(Inputs!$C$39+Inputs!$C$40))))+Inputs!$C$38*SIN(2*PI()*(Model_Data!A138)/Inputs!$C$39)*SIN(2*PI()*(Inputs!$C$6)/Inputs!$C$40)+-Inputs!$C$41*EXP(-(((Inputs!$C$6)-Inputs!$C$43)^2)/(2*Inputs!$C$44^2))*EXP(-(((Model_Data!A138)-Inputs!$C$42)^2)/(2*Inputs!$C$45^2))+Inputs!$C$48*(0.7*(0.45*SIN(2*PI()*(((Model_Data!A138)/Inputs!$C$49)+Inputs!$C$47*0.137))+0.35*COS(2*PI()*(((Inputs!$C$6)/Inputs!$C$50)+Inputs!$C$47*0.173))+0.2*SIN(2*PI()*(((Model_Data!A138)+(Inputs!$C$6))/(0.5*(Inputs!$C$49+Inputs!$C$50))+Inputs!$C$47*0.097)))+0.3*(2*((SIN(((Model_Data!A138)*12.9898+(Inputs!$C$6)*78.233+Inputs!$C$47*37.719))*43758.5453)-INT((SIN(((Model_Data!A138)*12.9898+(Inputs!$C$6)*78.233+Inputs!$C$47*37.719))*43758.5453)))-1))))/1000)^2))-(((Model_Data!B138)-((Inputs!$C$51*(115*EXP(-(((0)-25)^2)/(4.5^2))+70*EXP(-(((0)+38)^2)/(7^2))*(0.55+0.45*SIN(2*PI()*(Model_Data!A138)/45))+24*SIN(2*PI()*(0)/9+(Model_Data!A138)/18)*EXP(-(((0)+5)^2)/(22^2))+18*SIN(2*PI()*(Model_Data!A138)/70))+Inputs!$C$28*EXP(-(((Model_Data!A138)-Inputs!$C$29)^2)/(2*Inputs!$C$31^2))*EXP(-(((0)-Inputs!$C$30)^2)/(2*Inputs!$C$32^2))+-Inputs!$C$33*EXP(-(((((Model_Data!A138)-Inputs!$C$34)^2)+(((0)-Inputs!$C$35)^2))/(2*Inputs!$C$36^2)))+Inputs!$C$37*(0.55*SIN(2*PI()*(Model_Data!A138)/Inputs!$C$39)+0.35*COS(2*PI()*(0)/Inputs!$C$40)+0.2*SIN(2*PI()*((Model_Data!A138)+(0))/(0.5*(Inputs!$C$39+Inputs!$C$40))))+Inputs!$C$38*SIN(2*PI()*(Model_Data!A138)/Inputs!$C$39)*SIN(2*PI()*(0)/Inputs!$C$40)+-Inputs!$C$41*EXP(-(((0)-Inputs!$C$43)^2)/(2*Inputs!$C$44^2))*EXP(-(((Model_Data!A138)-Inputs!$C$42)^2)/(2*Inputs!$C$45^2))+Inputs!$C$48*(0.7*(0.45*SIN(2*PI()*(((Model_Data!A138)/Inputs!$C$49)+Inputs!$C$47*0.137))+0.35*COS(2*PI()*(((0)/Inputs!$C$50)+Inputs!$C$47*0.173))+0.2*SIN(2*PI()*(((Model_Data!A138)+(0))/(0.5*(Inputs!$C$49+Inputs!$C$50))+Inputs!$C$47*0.097)))+0.3*(2*((SIN(((Model_Data!A138)*12.9898+(0)*78.233+Inputs!$C$47*37.719))*43758.5453)-INT((SIN(((Model_Data!A138)*12.9898+(0)*78.233+Inputs!$C$47*37.719))*43758.5453)))-1))))/1000)))*1000/Inputs!$C$12)-Model_Data!F138)</f>
        <v>252.90177410097337</v>
      </c>
      <c r="L138" s="10"/>
      <c r="M138" s="9">
        <f>Model_Data!A138</f>
        <v>8</v>
      </c>
      <c r="N138" s="9">
        <f>Model_Data!P138</f>
        <v>-60.309089112531943</v>
      </c>
      <c r="O138" s="9">
        <f t="shared" si="4"/>
        <v>-98.476693481643451</v>
      </c>
      <c r="P138" s="9">
        <f>Model_Data!Q138</f>
        <v>-9.0554187856654575</v>
      </c>
      <c r="Q138" s="9">
        <f t="shared" si="5"/>
        <v>-14.786290312559078</v>
      </c>
      <c r="R138" s="10"/>
      <c r="S138" s="9">
        <f>Model_Data!A138</f>
        <v>8</v>
      </c>
      <c r="T138" s="9">
        <f>Model_Data!B138-Inputs!$C$5</f>
        <v>7.1111111111122227E-2</v>
      </c>
      <c r="U138" s="10"/>
      <c r="V138" s="9">
        <f>Model_Data!A138</f>
        <v>8</v>
      </c>
      <c r="W138" s="9">
        <f>((SQRT((Model_Data!A138)^2+Inputs!$C$6^2+Inputs!$C$5^2)-Inputs!$C$5)*1000/Inputs!$C$12)</f>
        <v>483.32854019372718</v>
      </c>
      <c r="X138" s="9">
        <f>Model_Data!F138</f>
        <v>483.24281472300015</v>
      </c>
      <c r="Y138" s="10"/>
      <c r="Z138" s="9">
        <f>Model_Data!A138</f>
        <v>8</v>
      </c>
      <c r="AA138" s="9">
        <f>SQRT((Model_Data!A138)^2+Inputs!$C$6^2+((Model_Data!B138)-((Inputs!$C$51*(115*EXP(-(((Inputs!$C$6)-25)^2)/(4.5^2))+70*EXP(-(((Inputs!$C$6)+38)^2)/(7^2))*(0.55+0.45*SIN(2*PI()*(Model_Data!A138)/45))+24*SIN(2*PI()*(Inputs!$C$6)/9+(Model_Data!A138)/18)*EXP(-(((Inputs!$C$6)+5)^2)/(22^2))+18*SIN(2*PI()*(Model_Data!A138)/70))+Inputs!$C$28*EXP(-(((Model_Data!A138)-Inputs!$C$29)^2)/(2*Inputs!$C$31^2))*EXP(-(((Inputs!$C$6)-Inputs!$C$30)^2)/(2*Inputs!$C$32^2))+-Inputs!$C$33*EXP(-(((((Model_Data!A138)-Inputs!$C$34)^2)+(((Inputs!$C$6)-Inputs!$C$35)^2))/(2*Inputs!$C$36^2)))+Inputs!$C$37*(0.55*SIN(2*PI()*(Model_Data!A138)/Inputs!$C$39)+0.35*COS(2*PI()*(Inputs!$C$6)/Inputs!$C$40)+0.2*SIN(2*PI()*((Model_Data!A138)+(Inputs!$C$6))/(0.5*(Inputs!$C$39+Inputs!$C$40))))+Inputs!$C$38*SIN(2*PI()*(Model_Data!A138)/Inputs!$C$39)*SIN(2*PI()*(Inputs!$C$6)/Inputs!$C$40)+-Inputs!$C$41*EXP(-(((Inputs!$C$6)-Inputs!$C$43)^2)/(2*Inputs!$C$44^2))*EXP(-(((Model_Data!A138)-Inputs!$C$42)^2)/(2*Inputs!$C$45^2))+Inputs!$C$48*(0.7*(0.45*SIN(2*PI()*(((Model_Data!A138)/Inputs!$C$49)+Inputs!$C$47*0.137))+0.35*COS(2*PI()*(((Inputs!$C$6)/Inputs!$C$50)+Inputs!$C$47*0.173))+0.2*SIN(2*PI()*(((Model_Data!A138)+(Inputs!$C$6))/(0.5*(Inputs!$C$49+Inputs!$C$50))+Inputs!$C$47*0.097)))+0.3*(2*((SIN(((Model_Data!A138)*12.9898+(Inputs!$C$6)*78.233+Inputs!$C$47*37.719))*43758.5453)-INT((SIN(((Model_Data!A138)*12.9898+(Inputs!$C$6)*78.233+Inputs!$C$47*37.719))*43758.5453)))-1))))/1000)^2)</f>
        <v>400.43512495835631</v>
      </c>
      <c r="AB138" s="9">
        <f>1000*(AA139-AA137)/(Z139-Z137)*Inputs!$C$11</f>
        <v>246.19173370410863</v>
      </c>
      <c r="AC138" s="9">
        <f>-2*AB138/Inputs!$C$13</f>
        <v>-98.476693481643451</v>
      </c>
      <c r="AD138" s="9">
        <f>-2*AB138/Inputs!$C$14</f>
        <v>-14.786290312559078</v>
      </c>
    </row>
    <row r="139" spans="1:30">
      <c r="A139" s="9">
        <f>Model_Data!A139</f>
        <v>8.5</v>
      </c>
      <c r="B139" s="9">
        <f>((SQRT((Model_Data!A139)^2+Inputs!$C$6^2+Inputs!$C$5^2)-Inputs!$C$5)*1000/Inputs!$C$12)</f>
        <v>489.10957124835579</v>
      </c>
      <c r="C139" s="9">
        <f>Model_Data!F139</f>
        <v>489.01164245280415</v>
      </c>
      <c r="D139" s="9">
        <f>(((SQRT((Model_Data!A139)^2+Inputs!$C$6^2+((Model_Data!B139)-((Inputs!$C$51*(115*EXP(-(((Inputs!$C$6)-25)^2)/(4.5^2))+70*EXP(-(((Inputs!$C$6)+38)^2)/(7^2))*(0.55+0.45*SIN(2*PI()*(Model_Data!A139)/45))+24*SIN(2*PI()*(Inputs!$C$6)/9+(Model_Data!A139)/18)*EXP(-(((Inputs!$C$6)+5)^2)/(22^2))+18*SIN(2*PI()*(Model_Data!A139)/70))+Inputs!$C$28*EXP(-(((Model_Data!A139)-Inputs!$C$29)^2)/(2*Inputs!$C$31^2))*EXP(-(((Inputs!$C$6)-Inputs!$C$30)^2)/(2*Inputs!$C$32^2))+-Inputs!$C$33*EXP(-(((((Model_Data!A139)-Inputs!$C$34)^2)+(((Inputs!$C$6)-Inputs!$C$35)^2))/(2*Inputs!$C$36^2)))+Inputs!$C$37*(0.55*SIN(2*PI()*(Model_Data!A139)/Inputs!$C$39)+0.35*COS(2*PI()*(Inputs!$C$6)/Inputs!$C$40)+0.2*SIN(2*PI()*((Model_Data!A139)+(Inputs!$C$6))/(0.5*(Inputs!$C$39+Inputs!$C$40))))+Inputs!$C$38*SIN(2*PI()*(Model_Data!A139)/Inputs!$C$39)*SIN(2*PI()*(Inputs!$C$6)/Inputs!$C$40)+-Inputs!$C$41*EXP(-(((Inputs!$C$6)-Inputs!$C$43)^2)/(2*Inputs!$C$44^2))*EXP(-(((Model_Data!A139)-Inputs!$C$42)^2)/(2*Inputs!$C$45^2))+Inputs!$C$48*(0.7*(0.45*SIN(2*PI()*(((Model_Data!A139)/Inputs!$C$49)+Inputs!$C$47*0.137))+0.35*COS(2*PI()*(((Inputs!$C$6)/Inputs!$C$50)+Inputs!$C$47*0.173))+0.2*SIN(2*PI()*(((Model_Data!A139)+(Inputs!$C$6))/(0.5*(Inputs!$C$49+Inputs!$C$50))+Inputs!$C$47*0.097)))+0.3*(2*((SIN(((Model_Data!A139)*12.9898+(Inputs!$C$6)*78.233+Inputs!$C$47*37.719))*43758.5453)-INT((SIN(((Model_Data!A139)*12.9898+(Inputs!$C$6)*78.233+Inputs!$C$47*37.719))*43758.5453)))-1))))/1000)^2))-(((Model_Data!B139)-((Inputs!$C$51*(115*EXP(-(((0)-25)^2)/(4.5^2))+70*EXP(-(((0)+38)^2)/(7^2))*(0.55+0.45*SIN(2*PI()*(Model_Data!A139)/45))+24*SIN(2*PI()*(0)/9+(Model_Data!A139)/18)*EXP(-(((0)+5)^2)/(22^2))+18*SIN(2*PI()*(Model_Data!A139)/70))+Inputs!$C$28*EXP(-(((Model_Data!A139)-Inputs!$C$29)^2)/(2*Inputs!$C$31^2))*EXP(-(((0)-Inputs!$C$30)^2)/(2*Inputs!$C$32^2))+-Inputs!$C$33*EXP(-(((((Model_Data!A139)-Inputs!$C$34)^2)+(((0)-Inputs!$C$35)^2))/(2*Inputs!$C$36^2)))+Inputs!$C$37*(0.55*SIN(2*PI()*(Model_Data!A139)/Inputs!$C$39)+0.35*COS(2*PI()*(0)/Inputs!$C$40)+0.2*SIN(2*PI()*((Model_Data!A139)+(0))/(0.5*(Inputs!$C$39+Inputs!$C$40))))+Inputs!$C$38*SIN(2*PI()*(Model_Data!A139)/Inputs!$C$39)*SIN(2*PI()*(0)/Inputs!$C$40)+-Inputs!$C$41*EXP(-(((0)-Inputs!$C$43)^2)/(2*Inputs!$C$44^2))*EXP(-(((Model_Data!A139)-Inputs!$C$42)^2)/(2*Inputs!$C$45^2))+Inputs!$C$48*(0.7*(0.45*SIN(2*PI()*(((Model_Data!A139)/Inputs!$C$49)+Inputs!$C$47*0.137))+0.35*COS(2*PI()*(((0)/Inputs!$C$50)+Inputs!$C$47*0.173))+0.2*SIN(2*PI()*(((Model_Data!A139)+(0))/(0.5*(Inputs!$C$49+Inputs!$C$50))+Inputs!$C$47*0.097)))+0.3*(2*((SIN(((Model_Data!A139)*12.9898+(0)*78.233+Inputs!$C$47*37.719))*43758.5453)-INT((SIN(((Model_Data!A139)*12.9898+(0)*78.233+Inputs!$C$47*37.719))*43758.5453)))-1))))/1000)))*1000/Inputs!$C$12)</f>
        <v>240.05752422528678</v>
      </c>
      <c r="E139" s="9">
        <f>Model_Data!A139</f>
        <v>8.5</v>
      </c>
      <c r="F139" s="9">
        <f>(Inputs!$C$51*(115*EXP(-(((Inputs!$C$6)-25)^2)/(4.5^2))+70*EXP(-(((Inputs!$C$6)+38)^2)/(7^2))*(0.55+0.45*SIN(2*PI()*(Model_Data!A139)/45))+24*SIN(2*PI()*(Inputs!$C$6)/9+(Model_Data!A139)/18)*EXP(-(((Inputs!$C$6)+5)^2)/(22^2))+18*SIN(2*PI()*(Model_Data!A139)/70))+Inputs!$C$28*EXP(-(((Model_Data!A139)-Inputs!$C$29)^2)/(2*Inputs!$C$31^2))*EXP(-(((Inputs!$C$6)-Inputs!$C$30)^2)/(2*Inputs!$C$32^2))+-Inputs!$C$33*EXP(-(((((Model_Data!A139)-Inputs!$C$34)^2)+(((Inputs!$C$6)-Inputs!$C$35)^2))/(2*Inputs!$C$36^2)))+Inputs!$C$37*(0.55*SIN(2*PI()*(Model_Data!A139)/Inputs!$C$39)+0.35*COS(2*PI()*(Inputs!$C$6)/Inputs!$C$40)+0.2*SIN(2*PI()*((Model_Data!A139)+(Inputs!$C$6))/(0.5*(Inputs!$C$39+Inputs!$C$40))))+Inputs!$C$38*SIN(2*PI()*(Model_Data!A139)/Inputs!$C$39)*SIN(2*PI()*(Inputs!$C$6)/Inputs!$C$40)+-Inputs!$C$41*EXP(-(((Inputs!$C$6)-Inputs!$C$43)^2)/(2*Inputs!$C$44^2))*EXP(-(((Model_Data!A139)-Inputs!$C$42)^2)/(2*Inputs!$C$45^2))+Inputs!$C$48*(0.7*(0.45*SIN(2*PI()*(((Model_Data!A139)/Inputs!$C$49)+Inputs!$C$47*0.137))+0.35*COS(2*PI()*(((Inputs!$C$6)/Inputs!$C$50)+Inputs!$C$47*0.173))+0.2*SIN(2*PI()*(((Model_Data!A139)+(Inputs!$C$6))/(0.5*(Inputs!$C$49+Inputs!$C$50))+Inputs!$C$47*0.097)))+0.3*(2*((SIN(((Model_Data!A139)*12.9898+(Inputs!$C$6)*78.233+Inputs!$C$47*37.719))*43758.5453)-INT((SIN(((Model_Data!A139)*12.9898+(Inputs!$C$6)*78.233+Inputs!$C$47*37.719))*43758.5453)))-1)))</f>
        <v>479.6019721372586</v>
      </c>
      <c r="G139" s="9">
        <f>(Inputs!$C$51*(115*EXP(-(((0)-25)^2)/(4.5^2))+70*EXP(-(((0)+38)^2)/(7^2))*(0.55+0.45*SIN(2*PI()*(Model_Data!A139)/45))+24*SIN(2*PI()*(0)/9+(Model_Data!A139)/18)*EXP(-(((0)+5)^2)/(22^2))+18*SIN(2*PI()*(Model_Data!A139)/70))+Inputs!$C$28*EXP(-(((Model_Data!A139)-Inputs!$C$29)^2)/(2*Inputs!$C$31^2))*EXP(-(((0)-Inputs!$C$30)^2)/(2*Inputs!$C$32^2))+-Inputs!$C$33*EXP(-(((((Model_Data!A139)-Inputs!$C$34)^2)+(((0)-Inputs!$C$35)^2))/(2*Inputs!$C$36^2)))+Inputs!$C$37*(0.55*SIN(2*PI()*(Model_Data!A139)/Inputs!$C$39)+0.35*COS(2*PI()*(0)/Inputs!$C$40)+0.2*SIN(2*PI()*((Model_Data!A139)+(0))/(0.5*(Inputs!$C$39+Inputs!$C$40))))+Inputs!$C$38*SIN(2*PI()*(Model_Data!A139)/Inputs!$C$39)*SIN(2*PI()*(0)/Inputs!$C$40)+-Inputs!$C$41*EXP(-(((0)-Inputs!$C$43)^2)/(2*Inputs!$C$44^2))*EXP(-(((Model_Data!A139)-Inputs!$C$42)^2)/(2*Inputs!$C$45^2))+Inputs!$C$48*(0.7*(0.45*SIN(2*PI()*(((Model_Data!A139)/Inputs!$C$49)+Inputs!$C$47*0.137))+0.35*COS(2*PI()*(((0)/Inputs!$C$50)+Inputs!$C$47*0.173))+0.2*SIN(2*PI()*(((Model_Data!A139)+(0))/(0.5*(Inputs!$C$49+Inputs!$C$50))+Inputs!$C$47*0.097)))+0.3*(2*((SIN(((Model_Data!A139)*12.9898+(0)*78.233+Inputs!$C$47*37.719))*43758.5453)-INT((SIN(((Model_Data!A139)*12.9898+(0)*78.233+Inputs!$C$47*37.719))*43758.5453)))-1)))</f>
        <v>35.421208100654937</v>
      </c>
      <c r="H139" s="10"/>
      <c r="I139" s="9">
        <f>Model_Data!A139</f>
        <v>8.5</v>
      </c>
      <c r="J139" s="9">
        <f>(Inputs!$C$51*(115*EXP(-(((Inputs!$C$6)-25)^2)/(4.5^2))+70*EXP(-(((Inputs!$C$6)+38)^2)/(7^2))*(0.55+0.45*SIN(2*PI()*(Model_Data!A139)/45))+24*SIN(2*PI()*(Inputs!$C$6)/9+(Model_Data!A139)/18)*EXP(-(((Inputs!$C$6)+5)^2)/(22^2))+18*SIN(2*PI()*(Model_Data!A139)/70))+Inputs!$C$28*EXP(-(((Model_Data!A139)-Inputs!$C$29)^2)/(2*Inputs!$C$31^2))*EXP(-(((Inputs!$C$6)-Inputs!$C$30)^2)/(2*Inputs!$C$32^2))+-Inputs!$C$33*EXP(-(((((Model_Data!A139)-Inputs!$C$34)^2)+(((Inputs!$C$6)-Inputs!$C$35)^2))/(2*Inputs!$C$36^2)))+Inputs!$C$37*(0.55*SIN(2*PI()*(Model_Data!A139)/Inputs!$C$39)+0.35*COS(2*PI()*(Inputs!$C$6)/Inputs!$C$40)+0.2*SIN(2*PI()*((Model_Data!A139)+(Inputs!$C$6))/(0.5*(Inputs!$C$39+Inputs!$C$40))))+Inputs!$C$38*SIN(2*PI()*(Model_Data!A139)/Inputs!$C$39)*SIN(2*PI()*(Inputs!$C$6)/Inputs!$C$40)+-Inputs!$C$41*EXP(-(((Inputs!$C$6)-Inputs!$C$43)^2)/(2*Inputs!$C$44^2))*EXP(-(((Model_Data!A139)-Inputs!$C$42)^2)/(2*Inputs!$C$45^2))+Inputs!$C$48*(0.7*(0.45*SIN(2*PI()*(((Model_Data!A139)/Inputs!$C$49)+Inputs!$C$47*0.137))+0.35*COS(2*PI()*(((Inputs!$C$6)/Inputs!$C$50)+Inputs!$C$47*0.173))+0.2*SIN(2*PI()*(((Model_Data!A139)+(Inputs!$C$6))/(0.5*(Inputs!$C$49+Inputs!$C$50))+Inputs!$C$47*0.097)))+0.3*(2*((SIN(((Model_Data!A139)*12.9898+(Inputs!$C$6)*78.233+Inputs!$C$47*37.719))*43758.5453)-INT((SIN(((Model_Data!A139)*12.9898+(Inputs!$C$6)*78.233+Inputs!$C$47*37.719))*43758.5453)))-1)))</f>
        <v>479.6019721372586</v>
      </c>
      <c r="K139" s="9">
        <f>-((((SQRT((Model_Data!A139)^2+Inputs!$C$6^2+((Model_Data!B139)-((Inputs!$C$51*(115*EXP(-(((Inputs!$C$6)-25)^2)/(4.5^2))+70*EXP(-(((Inputs!$C$6)+38)^2)/(7^2))*(0.55+0.45*SIN(2*PI()*(Model_Data!A139)/45))+24*SIN(2*PI()*(Inputs!$C$6)/9+(Model_Data!A139)/18)*EXP(-(((Inputs!$C$6)+5)^2)/(22^2))+18*SIN(2*PI()*(Model_Data!A139)/70))+Inputs!$C$28*EXP(-(((Model_Data!A139)-Inputs!$C$29)^2)/(2*Inputs!$C$31^2))*EXP(-(((Inputs!$C$6)-Inputs!$C$30)^2)/(2*Inputs!$C$32^2))+-Inputs!$C$33*EXP(-(((((Model_Data!A139)-Inputs!$C$34)^2)+(((Inputs!$C$6)-Inputs!$C$35)^2))/(2*Inputs!$C$36^2)))+Inputs!$C$37*(0.55*SIN(2*PI()*(Model_Data!A139)/Inputs!$C$39)+0.35*COS(2*PI()*(Inputs!$C$6)/Inputs!$C$40)+0.2*SIN(2*PI()*((Model_Data!A139)+(Inputs!$C$6))/(0.5*(Inputs!$C$39+Inputs!$C$40))))+Inputs!$C$38*SIN(2*PI()*(Model_Data!A139)/Inputs!$C$39)*SIN(2*PI()*(Inputs!$C$6)/Inputs!$C$40)+-Inputs!$C$41*EXP(-(((Inputs!$C$6)-Inputs!$C$43)^2)/(2*Inputs!$C$44^2))*EXP(-(((Model_Data!A139)-Inputs!$C$42)^2)/(2*Inputs!$C$45^2))+Inputs!$C$48*(0.7*(0.45*SIN(2*PI()*(((Model_Data!A139)/Inputs!$C$49)+Inputs!$C$47*0.137))+0.35*COS(2*PI()*(((Inputs!$C$6)/Inputs!$C$50)+Inputs!$C$47*0.173))+0.2*SIN(2*PI()*(((Model_Data!A139)+(Inputs!$C$6))/(0.5*(Inputs!$C$49+Inputs!$C$50))+Inputs!$C$47*0.097)))+0.3*(2*((SIN(((Model_Data!A139)*12.9898+(Inputs!$C$6)*78.233+Inputs!$C$47*37.719))*43758.5453)-INT((SIN(((Model_Data!A139)*12.9898+(Inputs!$C$6)*78.233+Inputs!$C$47*37.719))*43758.5453)))-1))))/1000)^2))-(((Model_Data!B139)-((Inputs!$C$51*(115*EXP(-(((0)-25)^2)/(4.5^2))+70*EXP(-(((0)+38)^2)/(7^2))*(0.55+0.45*SIN(2*PI()*(Model_Data!A139)/45))+24*SIN(2*PI()*(0)/9+(Model_Data!A139)/18)*EXP(-(((0)+5)^2)/(22^2))+18*SIN(2*PI()*(Model_Data!A139)/70))+Inputs!$C$28*EXP(-(((Model_Data!A139)-Inputs!$C$29)^2)/(2*Inputs!$C$31^2))*EXP(-(((0)-Inputs!$C$30)^2)/(2*Inputs!$C$32^2))+-Inputs!$C$33*EXP(-(((((Model_Data!A139)-Inputs!$C$34)^2)+(((0)-Inputs!$C$35)^2))/(2*Inputs!$C$36^2)))+Inputs!$C$37*(0.55*SIN(2*PI()*(Model_Data!A139)/Inputs!$C$39)+0.35*COS(2*PI()*(0)/Inputs!$C$40)+0.2*SIN(2*PI()*((Model_Data!A139)+(0))/(0.5*(Inputs!$C$39+Inputs!$C$40))))+Inputs!$C$38*SIN(2*PI()*(Model_Data!A139)/Inputs!$C$39)*SIN(2*PI()*(0)/Inputs!$C$40)+-Inputs!$C$41*EXP(-(((0)-Inputs!$C$43)^2)/(2*Inputs!$C$44^2))*EXP(-(((Model_Data!A139)-Inputs!$C$42)^2)/(2*Inputs!$C$45^2))+Inputs!$C$48*(0.7*(0.45*SIN(2*PI()*(((Model_Data!A139)/Inputs!$C$49)+Inputs!$C$47*0.137))+0.35*COS(2*PI()*(((0)/Inputs!$C$50)+Inputs!$C$47*0.173))+0.2*SIN(2*PI()*(((Model_Data!A139)+(0))/(0.5*(Inputs!$C$49+Inputs!$C$50))+Inputs!$C$47*0.097)))+0.3*(2*((SIN(((Model_Data!A139)*12.9898+(0)*78.233+Inputs!$C$47*37.719))*43758.5453)-INT((SIN(((Model_Data!A139)*12.9898+(0)*78.233+Inputs!$C$47*37.719))*43758.5453)))-1))))/1000)))*1000/Inputs!$C$12)-Model_Data!F139)</f>
        <v>248.95411822751737</v>
      </c>
      <c r="L139" s="10"/>
      <c r="M139" s="9">
        <f>Model_Data!A139</f>
        <v>8.5</v>
      </c>
      <c r="N139" s="9">
        <f>Model_Data!P139</f>
        <v>-64.075992076423447</v>
      </c>
      <c r="O139" s="9">
        <f t="shared" si="4"/>
        <v>-89.662290754677088</v>
      </c>
      <c r="P139" s="9">
        <f>Model_Data!Q139</f>
        <v>-9.621019831294813</v>
      </c>
      <c r="Q139" s="9">
        <f t="shared" si="5"/>
        <v>-13.462806419621186</v>
      </c>
      <c r="R139" s="10"/>
      <c r="S139" s="9">
        <f>Model_Data!A139</f>
        <v>8.5</v>
      </c>
      <c r="T139" s="9">
        <f>Model_Data!B139-Inputs!$C$5</f>
        <v>8.0277777777780557E-2</v>
      </c>
      <c r="U139" s="10"/>
      <c r="V139" s="9">
        <f>Model_Data!A139</f>
        <v>8.5</v>
      </c>
      <c r="W139" s="9">
        <f>((SQRT((Model_Data!A139)^2+Inputs!$C$6^2+Inputs!$C$5^2)-Inputs!$C$5)*1000/Inputs!$C$12)</f>
        <v>489.10957124835579</v>
      </c>
      <c r="X139" s="9">
        <f>Model_Data!F139</f>
        <v>489.01164245280415</v>
      </c>
      <c r="Y139" s="10"/>
      <c r="Z139" s="9">
        <f>Model_Data!A139</f>
        <v>8.5</v>
      </c>
      <c r="AA139" s="9">
        <f>SQRT((Model_Data!A139)^2+Inputs!$C$6^2+((Model_Data!B139)-((Inputs!$C$51*(115*EXP(-(((Inputs!$C$6)-25)^2)/(4.5^2))+70*EXP(-(((Inputs!$C$6)+38)^2)/(7^2))*(0.55+0.45*SIN(2*PI()*(Model_Data!A139)/45))+24*SIN(2*PI()*(Inputs!$C$6)/9+(Model_Data!A139)/18)*EXP(-(((Inputs!$C$6)+5)^2)/(22^2))+18*SIN(2*PI()*(Model_Data!A139)/70))+Inputs!$C$28*EXP(-(((Model_Data!A139)-Inputs!$C$29)^2)/(2*Inputs!$C$31^2))*EXP(-(((Inputs!$C$6)-Inputs!$C$30)^2)/(2*Inputs!$C$32^2))+-Inputs!$C$33*EXP(-(((((Model_Data!A139)-Inputs!$C$34)^2)+(((Inputs!$C$6)-Inputs!$C$35)^2))/(2*Inputs!$C$36^2)))+Inputs!$C$37*(0.55*SIN(2*PI()*(Model_Data!A139)/Inputs!$C$39)+0.35*COS(2*PI()*(Inputs!$C$6)/Inputs!$C$40)+0.2*SIN(2*PI()*((Model_Data!A139)+(Inputs!$C$6))/(0.5*(Inputs!$C$39+Inputs!$C$40))))+Inputs!$C$38*SIN(2*PI()*(Model_Data!A139)/Inputs!$C$39)*SIN(2*PI()*(Inputs!$C$6)/Inputs!$C$40)+-Inputs!$C$41*EXP(-(((Inputs!$C$6)-Inputs!$C$43)^2)/(2*Inputs!$C$44^2))*EXP(-(((Model_Data!A139)-Inputs!$C$42)^2)/(2*Inputs!$C$45^2))+Inputs!$C$48*(0.7*(0.45*SIN(2*PI()*(((Model_Data!A139)/Inputs!$C$49)+Inputs!$C$47*0.137))+0.35*COS(2*PI()*(((Inputs!$C$6)/Inputs!$C$50)+Inputs!$C$47*0.173))+0.2*SIN(2*PI()*(((Model_Data!A139)+(Inputs!$C$6))/(0.5*(Inputs!$C$49+Inputs!$C$50))+Inputs!$C$47*0.097)))+0.3*(2*((SIN(((Model_Data!A139)*12.9898+(Inputs!$C$6)*78.233+Inputs!$C$47*37.719))*43758.5453)-INT((SIN(((Model_Data!A139)*12.9898+(Inputs!$C$6)*78.233+Inputs!$C$47*37.719))*43758.5453)))-1))))/1000)^2)</f>
        <v>400.47215896279812</v>
      </c>
      <c r="AB139" s="9">
        <f>1000*(AA140-AA138)/(Z140-Z138)*Inputs!$C$11</f>
        <v>224.15572688669272</v>
      </c>
      <c r="AC139" s="9">
        <f>-2*AB139/Inputs!$C$13</f>
        <v>-89.662290754677088</v>
      </c>
      <c r="AD139" s="9">
        <f>-2*AB139/Inputs!$C$14</f>
        <v>-13.462806419621186</v>
      </c>
    </row>
    <row r="140" spans="1:30">
      <c r="A140" s="9">
        <f>Model_Data!A140</f>
        <v>9</v>
      </c>
      <c r="B140" s="9">
        <f>((SQRT((Model_Data!A140)^2+Inputs!$C$6^2+Inputs!$C$5^2)-Inputs!$C$5)*1000/Inputs!$C$12)</f>
        <v>495.24080566524378</v>
      </c>
      <c r="C140" s="9">
        <f>Model_Data!F140</f>
        <v>495.12964644237769</v>
      </c>
      <c r="D140" s="9">
        <f>(((SQRT((Model_Data!A140)^2+Inputs!$C$6^2+((Model_Data!B140)-((Inputs!$C$51*(115*EXP(-(((Inputs!$C$6)-25)^2)/(4.5^2))+70*EXP(-(((Inputs!$C$6)+38)^2)/(7^2))*(0.55+0.45*SIN(2*PI()*(Model_Data!A140)/45))+24*SIN(2*PI()*(Inputs!$C$6)/9+(Model_Data!A140)/18)*EXP(-(((Inputs!$C$6)+5)^2)/(22^2))+18*SIN(2*PI()*(Model_Data!A140)/70))+Inputs!$C$28*EXP(-(((Model_Data!A140)-Inputs!$C$29)^2)/(2*Inputs!$C$31^2))*EXP(-(((Inputs!$C$6)-Inputs!$C$30)^2)/(2*Inputs!$C$32^2))+-Inputs!$C$33*EXP(-(((((Model_Data!A140)-Inputs!$C$34)^2)+(((Inputs!$C$6)-Inputs!$C$35)^2))/(2*Inputs!$C$36^2)))+Inputs!$C$37*(0.55*SIN(2*PI()*(Model_Data!A140)/Inputs!$C$39)+0.35*COS(2*PI()*(Inputs!$C$6)/Inputs!$C$40)+0.2*SIN(2*PI()*((Model_Data!A140)+(Inputs!$C$6))/(0.5*(Inputs!$C$39+Inputs!$C$40))))+Inputs!$C$38*SIN(2*PI()*(Model_Data!A140)/Inputs!$C$39)*SIN(2*PI()*(Inputs!$C$6)/Inputs!$C$40)+-Inputs!$C$41*EXP(-(((Inputs!$C$6)-Inputs!$C$43)^2)/(2*Inputs!$C$44^2))*EXP(-(((Model_Data!A140)-Inputs!$C$42)^2)/(2*Inputs!$C$45^2))+Inputs!$C$48*(0.7*(0.45*SIN(2*PI()*(((Model_Data!A140)/Inputs!$C$49)+Inputs!$C$47*0.137))+0.35*COS(2*PI()*(((Inputs!$C$6)/Inputs!$C$50)+Inputs!$C$47*0.173))+0.2*SIN(2*PI()*(((Model_Data!A140)+(Inputs!$C$6))/(0.5*(Inputs!$C$49+Inputs!$C$50))+Inputs!$C$47*0.097)))+0.3*(2*((SIN(((Model_Data!A140)*12.9898+(Inputs!$C$6)*78.233+Inputs!$C$47*37.719))*43758.5453)-INT((SIN(((Model_Data!A140)*12.9898+(Inputs!$C$6)*78.233+Inputs!$C$47*37.719))*43758.5453)))-1))))/1000)^2))-(((Model_Data!B140)-((Inputs!$C$51*(115*EXP(-(((0)-25)^2)/(4.5^2))+70*EXP(-(((0)+38)^2)/(7^2))*(0.55+0.45*SIN(2*PI()*(Model_Data!A140)/45))+24*SIN(2*PI()*(0)/9+(Model_Data!A140)/18)*EXP(-(((0)+5)^2)/(22^2))+18*SIN(2*PI()*(Model_Data!A140)/70))+Inputs!$C$28*EXP(-(((Model_Data!A140)-Inputs!$C$29)^2)/(2*Inputs!$C$31^2))*EXP(-(((0)-Inputs!$C$30)^2)/(2*Inputs!$C$32^2))+-Inputs!$C$33*EXP(-(((((Model_Data!A140)-Inputs!$C$34)^2)+(((0)-Inputs!$C$35)^2))/(2*Inputs!$C$36^2)))+Inputs!$C$37*(0.55*SIN(2*PI()*(Model_Data!A140)/Inputs!$C$39)+0.35*COS(2*PI()*(0)/Inputs!$C$40)+0.2*SIN(2*PI()*((Model_Data!A140)+(0))/(0.5*(Inputs!$C$39+Inputs!$C$40))))+Inputs!$C$38*SIN(2*PI()*(Model_Data!A140)/Inputs!$C$39)*SIN(2*PI()*(0)/Inputs!$C$40)+-Inputs!$C$41*EXP(-(((0)-Inputs!$C$43)^2)/(2*Inputs!$C$44^2))*EXP(-(((Model_Data!A140)-Inputs!$C$42)^2)/(2*Inputs!$C$45^2))+Inputs!$C$48*(0.7*(0.45*SIN(2*PI()*(((Model_Data!A140)/Inputs!$C$49)+Inputs!$C$47*0.137))+0.35*COS(2*PI()*(((0)/Inputs!$C$50)+Inputs!$C$47*0.173))+0.2*SIN(2*PI()*(((Model_Data!A140)+(0))/(0.5*(Inputs!$C$49+Inputs!$C$50))+Inputs!$C$47*0.097)))+0.3*(2*((SIN(((Model_Data!A140)*12.9898+(0)*78.233+Inputs!$C$47*37.719))*43758.5453)-INT((SIN(((Model_Data!A140)*12.9898+(0)*78.233+Inputs!$C$47*37.719))*43758.5453)))-1))))/1000)))*1000/Inputs!$C$12)</f>
        <v>242.01799988722331</v>
      </c>
      <c r="E140" s="9">
        <f>Model_Data!A140</f>
        <v>9</v>
      </c>
      <c r="F140" s="9">
        <f>(Inputs!$C$51*(115*EXP(-(((Inputs!$C$6)-25)^2)/(4.5^2))+70*EXP(-(((Inputs!$C$6)+38)^2)/(7^2))*(0.55+0.45*SIN(2*PI()*(Model_Data!A140)/45))+24*SIN(2*PI()*(Inputs!$C$6)/9+(Model_Data!A140)/18)*EXP(-(((Inputs!$C$6)+5)^2)/(22^2))+18*SIN(2*PI()*(Model_Data!A140)/70))+Inputs!$C$28*EXP(-(((Model_Data!A140)-Inputs!$C$29)^2)/(2*Inputs!$C$31^2))*EXP(-(((Inputs!$C$6)-Inputs!$C$30)^2)/(2*Inputs!$C$32^2))+-Inputs!$C$33*EXP(-(((((Model_Data!A140)-Inputs!$C$34)^2)+(((Inputs!$C$6)-Inputs!$C$35)^2))/(2*Inputs!$C$36^2)))+Inputs!$C$37*(0.55*SIN(2*PI()*(Model_Data!A140)/Inputs!$C$39)+0.35*COS(2*PI()*(Inputs!$C$6)/Inputs!$C$40)+0.2*SIN(2*PI()*((Model_Data!A140)+(Inputs!$C$6))/(0.5*(Inputs!$C$39+Inputs!$C$40))))+Inputs!$C$38*SIN(2*PI()*(Model_Data!A140)/Inputs!$C$39)*SIN(2*PI()*(Inputs!$C$6)/Inputs!$C$40)+-Inputs!$C$41*EXP(-(((Inputs!$C$6)-Inputs!$C$43)^2)/(2*Inputs!$C$44^2))*EXP(-(((Model_Data!A140)-Inputs!$C$42)^2)/(2*Inputs!$C$45^2))+Inputs!$C$48*(0.7*(0.45*SIN(2*PI()*(((Model_Data!A140)/Inputs!$C$49)+Inputs!$C$47*0.137))+0.35*COS(2*PI()*(((Inputs!$C$6)/Inputs!$C$50)+Inputs!$C$47*0.173))+0.2*SIN(2*PI()*(((Model_Data!A140)+(Inputs!$C$6))/(0.5*(Inputs!$C$49+Inputs!$C$50))+Inputs!$C$47*0.097)))+0.3*(2*((SIN(((Model_Data!A140)*12.9898+(Inputs!$C$6)*78.233+Inputs!$C$47*37.719))*43758.5453)-INT((SIN(((Model_Data!A140)*12.9898+(Inputs!$C$6)*78.233+Inputs!$C$47*37.719))*43758.5453)))-1)))</f>
        <v>481.22587957439987</v>
      </c>
      <c r="G140" s="9">
        <f>(Inputs!$C$51*(115*EXP(-(((0)-25)^2)/(4.5^2))+70*EXP(-(((0)+38)^2)/(7^2))*(0.55+0.45*SIN(2*PI()*(Model_Data!A140)/45))+24*SIN(2*PI()*(0)/9+(Model_Data!A140)/18)*EXP(-(((0)+5)^2)/(22^2))+18*SIN(2*PI()*(Model_Data!A140)/70))+Inputs!$C$28*EXP(-(((Model_Data!A140)-Inputs!$C$29)^2)/(2*Inputs!$C$31^2))*EXP(-(((0)-Inputs!$C$30)^2)/(2*Inputs!$C$32^2))+-Inputs!$C$33*EXP(-(((((Model_Data!A140)-Inputs!$C$34)^2)+(((0)-Inputs!$C$35)^2))/(2*Inputs!$C$36^2)))+Inputs!$C$37*(0.55*SIN(2*PI()*(Model_Data!A140)/Inputs!$C$39)+0.35*COS(2*PI()*(0)/Inputs!$C$40)+0.2*SIN(2*PI()*((Model_Data!A140)+(0))/(0.5*(Inputs!$C$39+Inputs!$C$40))))+Inputs!$C$38*SIN(2*PI()*(Model_Data!A140)/Inputs!$C$39)*SIN(2*PI()*(0)/Inputs!$C$40)+-Inputs!$C$41*EXP(-(((0)-Inputs!$C$43)^2)/(2*Inputs!$C$44^2))*EXP(-(((Model_Data!A140)-Inputs!$C$42)^2)/(2*Inputs!$C$45^2))+Inputs!$C$48*(0.7*(0.45*SIN(2*PI()*(((Model_Data!A140)/Inputs!$C$49)+Inputs!$C$47*0.137))+0.35*COS(2*PI()*(((0)/Inputs!$C$50)+Inputs!$C$47*0.173))+0.2*SIN(2*PI()*(((Model_Data!A140)+(0))/(0.5*(Inputs!$C$49+Inputs!$C$50))+Inputs!$C$47*0.097)))+0.3*(2*((SIN(((Model_Data!A140)*12.9898+(0)*78.233+Inputs!$C$47*37.719))*43758.5453)-INT((SIN(((Model_Data!A140)*12.9898+(0)*78.233+Inputs!$C$47*37.719))*43758.5453)))-1)))</f>
        <v>29.628149721243545</v>
      </c>
      <c r="H140" s="10"/>
      <c r="I140" s="9">
        <f>Model_Data!A140</f>
        <v>9</v>
      </c>
      <c r="J140" s="9">
        <f>(Inputs!$C$51*(115*EXP(-(((Inputs!$C$6)-25)^2)/(4.5^2))+70*EXP(-(((Inputs!$C$6)+38)^2)/(7^2))*(0.55+0.45*SIN(2*PI()*(Model_Data!A140)/45))+24*SIN(2*PI()*(Inputs!$C$6)/9+(Model_Data!A140)/18)*EXP(-(((Inputs!$C$6)+5)^2)/(22^2))+18*SIN(2*PI()*(Model_Data!A140)/70))+Inputs!$C$28*EXP(-(((Model_Data!A140)-Inputs!$C$29)^2)/(2*Inputs!$C$31^2))*EXP(-(((Inputs!$C$6)-Inputs!$C$30)^2)/(2*Inputs!$C$32^2))+-Inputs!$C$33*EXP(-(((((Model_Data!A140)-Inputs!$C$34)^2)+(((Inputs!$C$6)-Inputs!$C$35)^2))/(2*Inputs!$C$36^2)))+Inputs!$C$37*(0.55*SIN(2*PI()*(Model_Data!A140)/Inputs!$C$39)+0.35*COS(2*PI()*(Inputs!$C$6)/Inputs!$C$40)+0.2*SIN(2*PI()*((Model_Data!A140)+(Inputs!$C$6))/(0.5*(Inputs!$C$39+Inputs!$C$40))))+Inputs!$C$38*SIN(2*PI()*(Model_Data!A140)/Inputs!$C$39)*SIN(2*PI()*(Inputs!$C$6)/Inputs!$C$40)+-Inputs!$C$41*EXP(-(((Inputs!$C$6)-Inputs!$C$43)^2)/(2*Inputs!$C$44^2))*EXP(-(((Model_Data!A140)-Inputs!$C$42)^2)/(2*Inputs!$C$45^2))+Inputs!$C$48*(0.7*(0.45*SIN(2*PI()*(((Model_Data!A140)/Inputs!$C$49)+Inputs!$C$47*0.137))+0.35*COS(2*PI()*(((Inputs!$C$6)/Inputs!$C$50)+Inputs!$C$47*0.173))+0.2*SIN(2*PI()*(((Model_Data!A140)+(Inputs!$C$6))/(0.5*(Inputs!$C$49+Inputs!$C$50))+Inputs!$C$47*0.097)))+0.3*(2*((SIN(((Model_Data!A140)*12.9898+(Inputs!$C$6)*78.233+Inputs!$C$47*37.719))*43758.5453)-INT((SIN(((Model_Data!A140)*12.9898+(Inputs!$C$6)*78.233+Inputs!$C$47*37.719))*43758.5453)))-1)))</f>
        <v>481.22587957439987</v>
      </c>
      <c r="K140" s="9">
        <f>-((((SQRT((Model_Data!A140)^2+Inputs!$C$6^2+((Model_Data!B140)-((Inputs!$C$51*(115*EXP(-(((Inputs!$C$6)-25)^2)/(4.5^2))+70*EXP(-(((Inputs!$C$6)+38)^2)/(7^2))*(0.55+0.45*SIN(2*PI()*(Model_Data!A140)/45))+24*SIN(2*PI()*(Inputs!$C$6)/9+(Model_Data!A140)/18)*EXP(-(((Inputs!$C$6)+5)^2)/(22^2))+18*SIN(2*PI()*(Model_Data!A140)/70))+Inputs!$C$28*EXP(-(((Model_Data!A140)-Inputs!$C$29)^2)/(2*Inputs!$C$31^2))*EXP(-(((Inputs!$C$6)-Inputs!$C$30)^2)/(2*Inputs!$C$32^2))+-Inputs!$C$33*EXP(-(((((Model_Data!A140)-Inputs!$C$34)^2)+(((Inputs!$C$6)-Inputs!$C$35)^2))/(2*Inputs!$C$36^2)))+Inputs!$C$37*(0.55*SIN(2*PI()*(Model_Data!A140)/Inputs!$C$39)+0.35*COS(2*PI()*(Inputs!$C$6)/Inputs!$C$40)+0.2*SIN(2*PI()*((Model_Data!A140)+(Inputs!$C$6))/(0.5*(Inputs!$C$39+Inputs!$C$40))))+Inputs!$C$38*SIN(2*PI()*(Model_Data!A140)/Inputs!$C$39)*SIN(2*PI()*(Inputs!$C$6)/Inputs!$C$40)+-Inputs!$C$41*EXP(-(((Inputs!$C$6)-Inputs!$C$43)^2)/(2*Inputs!$C$44^2))*EXP(-(((Model_Data!A140)-Inputs!$C$42)^2)/(2*Inputs!$C$45^2))+Inputs!$C$48*(0.7*(0.45*SIN(2*PI()*(((Model_Data!A140)/Inputs!$C$49)+Inputs!$C$47*0.137))+0.35*COS(2*PI()*(((Inputs!$C$6)/Inputs!$C$50)+Inputs!$C$47*0.173))+0.2*SIN(2*PI()*(((Model_Data!A140)+(Inputs!$C$6))/(0.5*(Inputs!$C$49+Inputs!$C$50))+Inputs!$C$47*0.097)))+0.3*(2*((SIN(((Model_Data!A140)*12.9898+(Inputs!$C$6)*78.233+Inputs!$C$47*37.719))*43758.5453)-INT((SIN(((Model_Data!A140)*12.9898+(Inputs!$C$6)*78.233+Inputs!$C$47*37.719))*43758.5453)))-1))))/1000)^2))-(((Model_Data!B140)-((Inputs!$C$51*(115*EXP(-(((0)-25)^2)/(4.5^2))+70*EXP(-(((0)+38)^2)/(7^2))*(0.55+0.45*SIN(2*PI()*(Model_Data!A140)/45))+24*SIN(2*PI()*(0)/9+(Model_Data!A140)/18)*EXP(-(((0)+5)^2)/(22^2))+18*SIN(2*PI()*(Model_Data!A140)/70))+Inputs!$C$28*EXP(-(((Model_Data!A140)-Inputs!$C$29)^2)/(2*Inputs!$C$31^2))*EXP(-(((0)-Inputs!$C$30)^2)/(2*Inputs!$C$32^2))+-Inputs!$C$33*EXP(-(((((Model_Data!A140)-Inputs!$C$34)^2)+(((0)-Inputs!$C$35)^2))/(2*Inputs!$C$36^2)))+Inputs!$C$37*(0.55*SIN(2*PI()*(Model_Data!A140)/Inputs!$C$39)+0.35*COS(2*PI()*(0)/Inputs!$C$40)+0.2*SIN(2*PI()*((Model_Data!A140)+(0))/(0.5*(Inputs!$C$39+Inputs!$C$40))))+Inputs!$C$38*SIN(2*PI()*(Model_Data!A140)/Inputs!$C$39)*SIN(2*PI()*(0)/Inputs!$C$40)+-Inputs!$C$41*EXP(-(((0)-Inputs!$C$43)^2)/(2*Inputs!$C$44^2))*EXP(-(((Model_Data!A140)-Inputs!$C$42)^2)/(2*Inputs!$C$45^2))+Inputs!$C$48*(0.7*(0.45*SIN(2*PI()*(((Model_Data!A140)/Inputs!$C$49)+Inputs!$C$47*0.137))+0.35*COS(2*PI()*(((0)/Inputs!$C$50)+Inputs!$C$47*0.173))+0.2*SIN(2*PI()*(((Model_Data!A140)+(0))/(0.5*(Inputs!$C$49+Inputs!$C$50))+Inputs!$C$47*0.097)))+0.3*(2*((SIN(((Model_Data!A140)*12.9898+(0)*78.233+Inputs!$C$47*37.719))*43758.5453)-INT((SIN(((Model_Data!A140)*12.9898+(0)*78.233+Inputs!$C$47*37.719))*43758.5453)))-1))))/1000)))*1000/Inputs!$C$12)-Model_Data!F140)</f>
        <v>253.11164655515438</v>
      </c>
      <c r="L140" s="10"/>
      <c r="M140" s="9">
        <f>Model_Data!A140</f>
        <v>9</v>
      </c>
      <c r="N140" s="9">
        <f>Model_Data!P140</f>
        <v>-67.842456336506729</v>
      </c>
      <c r="O140" s="9">
        <f t="shared" si="4"/>
        <v>-69.99655675572285</v>
      </c>
      <c r="P140" s="9">
        <f>Model_Data!Q140</f>
        <v>-10.186555005481491</v>
      </c>
      <c r="Q140" s="9">
        <f t="shared" si="5"/>
        <v>-10.509993506865294</v>
      </c>
      <c r="R140" s="10"/>
      <c r="S140" s="9">
        <f>Model_Data!A140</f>
        <v>9</v>
      </c>
      <c r="T140" s="9">
        <f>Model_Data!B140-Inputs!$C$5</f>
        <v>8.9999999999974989E-2</v>
      </c>
      <c r="U140" s="10"/>
      <c r="V140" s="9">
        <f>Model_Data!A140</f>
        <v>9</v>
      </c>
      <c r="W140" s="9">
        <f>((SQRT((Model_Data!A140)^2+Inputs!$C$6^2+Inputs!$C$5^2)-Inputs!$C$5)*1000/Inputs!$C$12)</f>
        <v>495.24080566524378</v>
      </c>
      <c r="X140" s="9">
        <f>Model_Data!F140</f>
        <v>495.12964644237769</v>
      </c>
      <c r="Y140" s="10"/>
      <c r="Z140" s="9">
        <f>Model_Data!A140</f>
        <v>9</v>
      </c>
      <c r="AA140" s="9">
        <f>SQRT((Model_Data!A140)^2+Inputs!$C$6^2+((Model_Data!B140)-((Inputs!$C$51*(115*EXP(-(((Inputs!$C$6)-25)^2)/(4.5^2))+70*EXP(-(((Inputs!$C$6)+38)^2)/(7^2))*(0.55+0.45*SIN(2*PI()*(Model_Data!A140)/45))+24*SIN(2*PI()*(Inputs!$C$6)/9+(Model_Data!A140)/18)*EXP(-(((Inputs!$C$6)+5)^2)/(22^2))+18*SIN(2*PI()*(Model_Data!A140)/70))+Inputs!$C$28*EXP(-(((Model_Data!A140)-Inputs!$C$29)^2)/(2*Inputs!$C$31^2))*EXP(-(((Inputs!$C$6)-Inputs!$C$30)^2)/(2*Inputs!$C$32^2))+-Inputs!$C$33*EXP(-(((((Model_Data!A140)-Inputs!$C$34)^2)+(((Inputs!$C$6)-Inputs!$C$35)^2))/(2*Inputs!$C$36^2)))+Inputs!$C$37*(0.55*SIN(2*PI()*(Model_Data!A140)/Inputs!$C$39)+0.35*COS(2*PI()*(Inputs!$C$6)/Inputs!$C$40)+0.2*SIN(2*PI()*((Model_Data!A140)+(Inputs!$C$6))/(0.5*(Inputs!$C$39+Inputs!$C$40))))+Inputs!$C$38*SIN(2*PI()*(Model_Data!A140)/Inputs!$C$39)*SIN(2*PI()*(Inputs!$C$6)/Inputs!$C$40)+-Inputs!$C$41*EXP(-(((Inputs!$C$6)-Inputs!$C$43)^2)/(2*Inputs!$C$44^2))*EXP(-(((Model_Data!A140)-Inputs!$C$42)^2)/(2*Inputs!$C$45^2))+Inputs!$C$48*(0.7*(0.45*SIN(2*PI()*(((Model_Data!A140)/Inputs!$C$49)+Inputs!$C$47*0.137))+0.35*COS(2*PI()*(((Inputs!$C$6)/Inputs!$C$50)+Inputs!$C$47*0.173))+0.2*SIN(2*PI()*(((Model_Data!A140)+(Inputs!$C$6))/(0.5*(Inputs!$C$49+Inputs!$C$50))+Inputs!$C$47*0.097)))+0.3*(2*((SIN(((Model_Data!A140)*12.9898+(Inputs!$C$6)*78.233+Inputs!$C$47*37.719))*43758.5453)-INT((SIN(((Model_Data!A140)*12.9898+(Inputs!$C$6)*78.233+Inputs!$C$47*37.719))*43758.5453)))-1))))/1000)^2)</f>
        <v>400.49116389007798</v>
      </c>
      <c r="AB140" s="9">
        <f>1000*(AA141-AA139)/(Z141-Z139)*Inputs!$C$11</f>
        <v>174.99139188930712</v>
      </c>
      <c r="AC140" s="9">
        <f>-2*AB140/Inputs!$C$13</f>
        <v>-69.99655675572285</v>
      </c>
      <c r="AD140" s="9">
        <f>-2*AB140/Inputs!$C$14</f>
        <v>-10.509993506865294</v>
      </c>
    </row>
    <row r="141" spans="1:30">
      <c r="A141" s="9">
        <f>Model_Data!A141</f>
        <v>9.5</v>
      </c>
      <c r="B141" s="9">
        <f>((SQRT((Model_Data!A141)^2+Inputs!$C$6^2+Inputs!$C$5^2)-Inputs!$C$5)*1000/Inputs!$C$12)</f>
        <v>501.7222148433695</v>
      </c>
      <c r="C141" s="9">
        <f>Model_Data!F141</f>
        <v>501.5967474169945</v>
      </c>
      <c r="D141" s="9">
        <f>(((SQRT((Model_Data!A141)^2+Inputs!$C$6^2+((Model_Data!B141)-((Inputs!$C$51*(115*EXP(-(((Inputs!$C$6)-25)^2)/(4.5^2))+70*EXP(-(((Inputs!$C$6)+38)^2)/(7^2))*(0.55+0.45*SIN(2*PI()*(Model_Data!A141)/45))+24*SIN(2*PI()*(Inputs!$C$6)/9+(Model_Data!A141)/18)*EXP(-(((Inputs!$C$6)+5)^2)/(22^2))+18*SIN(2*PI()*(Model_Data!A141)/70))+Inputs!$C$28*EXP(-(((Model_Data!A141)-Inputs!$C$29)^2)/(2*Inputs!$C$31^2))*EXP(-(((Inputs!$C$6)-Inputs!$C$30)^2)/(2*Inputs!$C$32^2))+-Inputs!$C$33*EXP(-(((((Model_Data!A141)-Inputs!$C$34)^2)+(((Inputs!$C$6)-Inputs!$C$35)^2))/(2*Inputs!$C$36^2)))+Inputs!$C$37*(0.55*SIN(2*PI()*(Model_Data!A141)/Inputs!$C$39)+0.35*COS(2*PI()*(Inputs!$C$6)/Inputs!$C$40)+0.2*SIN(2*PI()*((Model_Data!A141)+(Inputs!$C$6))/(0.5*(Inputs!$C$39+Inputs!$C$40))))+Inputs!$C$38*SIN(2*PI()*(Model_Data!A141)/Inputs!$C$39)*SIN(2*PI()*(Inputs!$C$6)/Inputs!$C$40)+-Inputs!$C$41*EXP(-(((Inputs!$C$6)-Inputs!$C$43)^2)/(2*Inputs!$C$44^2))*EXP(-(((Model_Data!A141)-Inputs!$C$42)^2)/(2*Inputs!$C$45^2))+Inputs!$C$48*(0.7*(0.45*SIN(2*PI()*(((Model_Data!A141)/Inputs!$C$49)+Inputs!$C$47*0.137))+0.35*COS(2*PI()*(((Inputs!$C$6)/Inputs!$C$50)+Inputs!$C$47*0.173))+0.2*SIN(2*PI()*(((Model_Data!A141)+(Inputs!$C$6))/(0.5*(Inputs!$C$49+Inputs!$C$50))+Inputs!$C$47*0.097)))+0.3*(2*((SIN(((Model_Data!A141)*12.9898+(Inputs!$C$6)*78.233+Inputs!$C$47*37.719))*43758.5453)-INT((SIN(((Model_Data!A141)*12.9898+(Inputs!$C$6)*78.233+Inputs!$C$47*37.719))*43758.5453)))-1))))/1000)^2))-(((Model_Data!B141)-((Inputs!$C$51*(115*EXP(-(((0)-25)^2)/(4.5^2))+70*EXP(-(((0)+38)^2)/(7^2))*(0.55+0.45*SIN(2*PI()*(Model_Data!A141)/45))+24*SIN(2*PI()*(0)/9+(Model_Data!A141)/18)*EXP(-(((0)+5)^2)/(22^2))+18*SIN(2*PI()*(Model_Data!A141)/70))+Inputs!$C$28*EXP(-(((Model_Data!A141)-Inputs!$C$29)^2)/(2*Inputs!$C$31^2))*EXP(-(((0)-Inputs!$C$30)^2)/(2*Inputs!$C$32^2))+-Inputs!$C$33*EXP(-(((((Model_Data!A141)-Inputs!$C$34)^2)+(((0)-Inputs!$C$35)^2))/(2*Inputs!$C$36^2)))+Inputs!$C$37*(0.55*SIN(2*PI()*(Model_Data!A141)/Inputs!$C$39)+0.35*COS(2*PI()*(0)/Inputs!$C$40)+0.2*SIN(2*PI()*((Model_Data!A141)+(0))/(0.5*(Inputs!$C$39+Inputs!$C$40))))+Inputs!$C$38*SIN(2*PI()*(Model_Data!A141)/Inputs!$C$39)*SIN(2*PI()*(0)/Inputs!$C$40)+-Inputs!$C$41*EXP(-(((0)-Inputs!$C$43)^2)/(2*Inputs!$C$44^2))*EXP(-(((Model_Data!A141)-Inputs!$C$42)^2)/(2*Inputs!$C$45^2))+Inputs!$C$48*(0.7*(0.45*SIN(2*PI()*(((Model_Data!A141)/Inputs!$C$49)+Inputs!$C$47*0.137))+0.35*COS(2*PI()*(((0)/Inputs!$C$50)+Inputs!$C$47*0.173))+0.2*SIN(2*PI()*(((Model_Data!A141)+(0))/(0.5*(Inputs!$C$49+Inputs!$C$50))+Inputs!$C$47*0.097)))+0.3*(2*((SIN(((Model_Data!A141)*12.9898+(0)*78.233+Inputs!$C$47*37.719))*43758.5453)-INT((SIN(((Model_Data!A141)*12.9898+(0)*78.233+Inputs!$C$47*37.719))*43758.5453)))-1))))/1000)))*1000/Inputs!$C$12)</f>
        <v>236.67357304006006</v>
      </c>
      <c r="E141" s="9">
        <f>Model_Data!A141</f>
        <v>9.5</v>
      </c>
      <c r="F141" s="9">
        <f>(Inputs!$C$51*(115*EXP(-(((Inputs!$C$6)-25)^2)/(4.5^2))+70*EXP(-(((Inputs!$C$6)+38)^2)/(7^2))*(0.55+0.45*SIN(2*PI()*(Model_Data!A141)/45))+24*SIN(2*PI()*(Inputs!$C$6)/9+(Model_Data!A141)/18)*EXP(-(((Inputs!$C$6)+5)^2)/(22^2))+18*SIN(2*PI()*(Model_Data!A141)/70))+Inputs!$C$28*EXP(-(((Model_Data!A141)-Inputs!$C$29)^2)/(2*Inputs!$C$31^2))*EXP(-(((Inputs!$C$6)-Inputs!$C$30)^2)/(2*Inputs!$C$32^2))+-Inputs!$C$33*EXP(-(((((Model_Data!A141)-Inputs!$C$34)^2)+(((Inputs!$C$6)-Inputs!$C$35)^2))/(2*Inputs!$C$36^2)))+Inputs!$C$37*(0.55*SIN(2*PI()*(Model_Data!A141)/Inputs!$C$39)+0.35*COS(2*PI()*(Inputs!$C$6)/Inputs!$C$40)+0.2*SIN(2*PI()*((Model_Data!A141)+(Inputs!$C$6))/(0.5*(Inputs!$C$39+Inputs!$C$40))))+Inputs!$C$38*SIN(2*PI()*(Model_Data!A141)/Inputs!$C$39)*SIN(2*PI()*(Inputs!$C$6)/Inputs!$C$40)+-Inputs!$C$41*EXP(-(((Inputs!$C$6)-Inputs!$C$43)^2)/(2*Inputs!$C$44^2))*EXP(-(((Model_Data!A141)-Inputs!$C$42)^2)/(2*Inputs!$C$45^2))+Inputs!$C$48*(0.7*(0.45*SIN(2*PI()*(((Model_Data!A141)/Inputs!$C$49)+Inputs!$C$47*0.137))+0.35*COS(2*PI()*(((Inputs!$C$6)/Inputs!$C$50)+Inputs!$C$47*0.173))+0.2*SIN(2*PI()*(((Model_Data!A141)+(Inputs!$C$6))/(0.5*(Inputs!$C$49+Inputs!$C$50))+Inputs!$C$47*0.097)))+0.3*(2*((SIN(((Model_Data!A141)*12.9898+(Inputs!$C$6)*78.233+Inputs!$C$47*37.719))*43758.5453)-INT((SIN(((Model_Data!A141)*12.9898+(Inputs!$C$6)*78.233+Inputs!$C$47*37.719))*43758.5453)))-1)))</f>
        <v>478.27937371872196</v>
      </c>
      <c r="G141" s="9">
        <f>(Inputs!$C$51*(115*EXP(-(((0)-25)^2)/(4.5^2))+70*EXP(-(((0)+38)^2)/(7^2))*(0.55+0.45*SIN(2*PI()*(Model_Data!A141)/45))+24*SIN(2*PI()*(0)/9+(Model_Data!A141)/18)*EXP(-(((0)+5)^2)/(22^2))+18*SIN(2*PI()*(Model_Data!A141)/70))+Inputs!$C$28*EXP(-(((Model_Data!A141)-Inputs!$C$29)^2)/(2*Inputs!$C$31^2))*EXP(-(((0)-Inputs!$C$30)^2)/(2*Inputs!$C$32^2))+-Inputs!$C$33*EXP(-(((((Model_Data!A141)-Inputs!$C$34)^2)+(((0)-Inputs!$C$35)^2))/(2*Inputs!$C$36^2)))+Inputs!$C$37*(0.55*SIN(2*PI()*(Model_Data!A141)/Inputs!$C$39)+0.35*COS(2*PI()*(0)/Inputs!$C$40)+0.2*SIN(2*PI()*((Model_Data!A141)+(0))/(0.5*(Inputs!$C$39+Inputs!$C$40))))+Inputs!$C$38*SIN(2*PI()*(Model_Data!A141)/Inputs!$C$39)*SIN(2*PI()*(0)/Inputs!$C$40)+-Inputs!$C$41*EXP(-(((0)-Inputs!$C$43)^2)/(2*Inputs!$C$44^2))*EXP(-(((Model_Data!A141)-Inputs!$C$42)^2)/(2*Inputs!$C$45^2))+Inputs!$C$48*(0.7*(0.45*SIN(2*PI()*(((Model_Data!A141)/Inputs!$C$49)+Inputs!$C$47*0.137))+0.35*COS(2*PI()*(((0)/Inputs!$C$50)+Inputs!$C$47*0.173))+0.2*SIN(2*PI()*(((Model_Data!A141)+(0))/(0.5*(Inputs!$C$49+Inputs!$C$50))+Inputs!$C$47*0.097)))+0.3*(2*((SIN(((Model_Data!A141)*12.9898+(0)*78.233+Inputs!$C$47*37.719))*43758.5453)-INT((SIN(((Model_Data!A141)*12.9898+(0)*78.233+Inputs!$C$47*37.719))*43758.5453)))-1)))</f>
        <v>5.6499270186383477</v>
      </c>
      <c r="H141" s="10"/>
      <c r="I141" s="9">
        <f>Model_Data!A141</f>
        <v>9.5</v>
      </c>
      <c r="J141" s="9">
        <f>(Inputs!$C$51*(115*EXP(-(((Inputs!$C$6)-25)^2)/(4.5^2))+70*EXP(-(((Inputs!$C$6)+38)^2)/(7^2))*(0.55+0.45*SIN(2*PI()*(Model_Data!A141)/45))+24*SIN(2*PI()*(Inputs!$C$6)/9+(Model_Data!A141)/18)*EXP(-(((Inputs!$C$6)+5)^2)/(22^2))+18*SIN(2*PI()*(Model_Data!A141)/70))+Inputs!$C$28*EXP(-(((Model_Data!A141)-Inputs!$C$29)^2)/(2*Inputs!$C$31^2))*EXP(-(((Inputs!$C$6)-Inputs!$C$30)^2)/(2*Inputs!$C$32^2))+-Inputs!$C$33*EXP(-(((((Model_Data!A141)-Inputs!$C$34)^2)+(((Inputs!$C$6)-Inputs!$C$35)^2))/(2*Inputs!$C$36^2)))+Inputs!$C$37*(0.55*SIN(2*PI()*(Model_Data!A141)/Inputs!$C$39)+0.35*COS(2*PI()*(Inputs!$C$6)/Inputs!$C$40)+0.2*SIN(2*PI()*((Model_Data!A141)+(Inputs!$C$6))/(0.5*(Inputs!$C$39+Inputs!$C$40))))+Inputs!$C$38*SIN(2*PI()*(Model_Data!A141)/Inputs!$C$39)*SIN(2*PI()*(Inputs!$C$6)/Inputs!$C$40)+-Inputs!$C$41*EXP(-(((Inputs!$C$6)-Inputs!$C$43)^2)/(2*Inputs!$C$44^2))*EXP(-(((Model_Data!A141)-Inputs!$C$42)^2)/(2*Inputs!$C$45^2))+Inputs!$C$48*(0.7*(0.45*SIN(2*PI()*(((Model_Data!A141)/Inputs!$C$49)+Inputs!$C$47*0.137))+0.35*COS(2*PI()*(((Inputs!$C$6)/Inputs!$C$50)+Inputs!$C$47*0.173))+0.2*SIN(2*PI()*(((Model_Data!A141)+(Inputs!$C$6))/(0.5*(Inputs!$C$49+Inputs!$C$50))+Inputs!$C$47*0.097)))+0.3*(2*((SIN(((Model_Data!A141)*12.9898+(Inputs!$C$6)*78.233+Inputs!$C$47*37.719))*43758.5453)-INT((SIN(((Model_Data!A141)*12.9898+(Inputs!$C$6)*78.233+Inputs!$C$47*37.719))*43758.5453)))-1)))</f>
        <v>478.27937371872196</v>
      </c>
      <c r="K141" s="9">
        <f>-((((SQRT((Model_Data!A141)^2+Inputs!$C$6^2+((Model_Data!B141)-((Inputs!$C$51*(115*EXP(-(((Inputs!$C$6)-25)^2)/(4.5^2))+70*EXP(-(((Inputs!$C$6)+38)^2)/(7^2))*(0.55+0.45*SIN(2*PI()*(Model_Data!A141)/45))+24*SIN(2*PI()*(Inputs!$C$6)/9+(Model_Data!A141)/18)*EXP(-(((Inputs!$C$6)+5)^2)/(22^2))+18*SIN(2*PI()*(Model_Data!A141)/70))+Inputs!$C$28*EXP(-(((Model_Data!A141)-Inputs!$C$29)^2)/(2*Inputs!$C$31^2))*EXP(-(((Inputs!$C$6)-Inputs!$C$30)^2)/(2*Inputs!$C$32^2))+-Inputs!$C$33*EXP(-(((((Model_Data!A141)-Inputs!$C$34)^2)+(((Inputs!$C$6)-Inputs!$C$35)^2))/(2*Inputs!$C$36^2)))+Inputs!$C$37*(0.55*SIN(2*PI()*(Model_Data!A141)/Inputs!$C$39)+0.35*COS(2*PI()*(Inputs!$C$6)/Inputs!$C$40)+0.2*SIN(2*PI()*((Model_Data!A141)+(Inputs!$C$6))/(0.5*(Inputs!$C$39+Inputs!$C$40))))+Inputs!$C$38*SIN(2*PI()*(Model_Data!A141)/Inputs!$C$39)*SIN(2*PI()*(Inputs!$C$6)/Inputs!$C$40)+-Inputs!$C$41*EXP(-(((Inputs!$C$6)-Inputs!$C$43)^2)/(2*Inputs!$C$44^2))*EXP(-(((Model_Data!A141)-Inputs!$C$42)^2)/(2*Inputs!$C$45^2))+Inputs!$C$48*(0.7*(0.45*SIN(2*PI()*(((Model_Data!A141)/Inputs!$C$49)+Inputs!$C$47*0.137))+0.35*COS(2*PI()*(((Inputs!$C$6)/Inputs!$C$50)+Inputs!$C$47*0.173))+0.2*SIN(2*PI()*(((Model_Data!A141)+(Inputs!$C$6))/(0.5*(Inputs!$C$49+Inputs!$C$50))+Inputs!$C$47*0.097)))+0.3*(2*((SIN(((Model_Data!A141)*12.9898+(Inputs!$C$6)*78.233+Inputs!$C$47*37.719))*43758.5453)-INT((SIN(((Model_Data!A141)*12.9898+(Inputs!$C$6)*78.233+Inputs!$C$47*37.719))*43758.5453)))-1))))/1000)^2))-(((Model_Data!B141)-((Inputs!$C$51*(115*EXP(-(((0)-25)^2)/(4.5^2))+70*EXP(-(((0)+38)^2)/(7^2))*(0.55+0.45*SIN(2*PI()*(Model_Data!A141)/45))+24*SIN(2*PI()*(0)/9+(Model_Data!A141)/18)*EXP(-(((0)+5)^2)/(22^2))+18*SIN(2*PI()*(Model_Data!A141)/70))+Inputs!$C$28*EXP(-(((Model_Data!A141)-Inputs!$C$29)^2)/(2*Inputs!$C$31^2))*EXP(-(((0)-Inputs!$C$30)^2)/(2*Inputs!$C$32^2))+-Inputs!$C$33*EXP(-(((((Model_Data!A141)-Inputs!$C$34)^2)+(((0)-Inputs!$C$35)^2))/(2*Inputs!$C$36^2)))+Inputs!$C$37*(0.55*SIN(2*PI()*(Model_Data!A141)/Inputs!$C$39)+0.35*COS(2*PI()*(0)/Inputs!$C$40)+0.2*SIN(2*PI()*((Model_Data!A141)+(0))/(0.5*(Inputs!$C$39+Inputs!$C$40))))+Inputs!$C$38*SIN(2*PI()*(Model_Data!A141)/Inputs!$C$39)*SIN(2*PI()*(0)/Inputs!$C$40)+-Inputs!$C$41*EXP(-(((0)-Inputs!$C$43)^2)/(2*Inputs!$C$44^2))*EXP(-(((Model_Data!A141)-Inputs!$C$42)^2)/(2*Inputs!$C$45^2))+Inputs!$C$48*(0.7*(0.45*SIN(2*PI()*(((Model_Data!A141)/Inputs!$C$49)+Inputs!$C$47*0.137))+0.35*COS(2*PI()*(((0)/Inputs!$C$50)+Inputs!$C$47*0.173))+0.2*SIN(2*PI()*(((Model_Data!A141)+(0))/(0.5*(Inputs!$C$49+Inputs!$C$50))+Inputs!$C$47*0.097)))+0.3*(2*((SIN(((Model_Data!A141)*12.9898+(0)*78.233+Inputs!$C$47*37.719))*43758.5453)-INT((SIN(((Model_Data!A141)*12.9898+(0)*78.233+Inputs!$C$47*37.719))*43758.5453)))-1))))/1000)))*1000/Inputs!$C$12)-Model_Data!F141)</f>
        <v>264.92317437693441</v>
      </c>
      <c r="L141" s="10"/>
      <c r="M141" s="9">
        <f>Model_Data!A141</f>
        <v>9.5</v>
      </c>
      <c r="N141" s="9">
        <f>Model_Data!P141</f>
        <v>-71.608456206059969</v>
      </c>
      <c r="O141" s="9">
        <f t="shared" si="4"/>
        <v>-114.79372015628542</v>
      </c>
      <c r="P141" s="9">
        <f>Model_Data!Q141</f>
        <v>-10.752020451360357</v>
      </c>
      <c r="Q141" s="9">
        <f t="shared" si="5"/>
        <v>-17.236294317760574</v>
      </c>
      <c r="R141" s="10"/>
      <c r="S141" s="9">
        <f>Model_Data!A141</f>
        <v>9.5</v>
      </c>
      <c r="T141" s="9">
        <f>Model_Data!B141-Inputs!$C$5</f>
        <v>0.10027777777776237</v>
      </c>
      <c r="U141" s="10"/>
      <c r="V141" s="9">
        <f>Model_Data!A141</f>
        <v>9.5</v>
      </c>
      <c r="W141" s="9">
        <f>((SQRT((Model_Data!A141)^2+Inputs!$C$6^2+Inputs!$C$5^2)-Inputs!$C$5)*1000/Inputs!$C$12)</f>
        <v>501.7222148433695</v>
      </c>
      <c r="X141" s="9">
        <f>Model_Data!F141</f>
        <v>501.5967474169945</v>
      </c>
      <c r="Y141" s="10"/>
      <c r="Z141" s="9">
        <f>Model_Data!A141</f>
        <v>9.5</v>
      </c>
      <c r="AA141" s="9">
        <f>SQRT((Model_Data!A141)^2+Inputs!$C$6^2+((Model_Data!B141)-((Inputs!$C$51*(115*EXP(-(((Inputs!$C$6)-25)^2)/(4.5^2))+70*EXP(-(((Inputs!$C$6)+38)^2)/(7^2))*(0.55+0.45*SIN(2*PI()*(Model_Data!A141)/45))+24*SIN(2*PI()*(Inputs!$C$6)/9+(Model_Data!A141)/18)*EXP(-(((Inputs!$C$6)+5)^2)/(22^2))+18*SIN(2*PI()*(Model_Data!A141)/70))+Inputs!$C$28*EXP(-(((Model_Data!A141)-Inputs!$C$29)^2)/(2*Inputs!$C$31^2))*EXP(-(((Inputs!$C$6)-Inputs!$C$30)^2)/(2*Inputs!$C$32^2))+-Inputs!$C$33*EXP(-(((((Model_Data!A141)-Inputs!$C$34)^2)+(((Inputs!$C$6)-Inputs!$C$35)^2))/(2*Inputs!$C$36^2)))+Inputs!$C$37*(0.55*SIN(2*PI()*(Model_Data!A141)/Inputs!$C$39)+0.35*COS(2*PI()*(Inputs!$C$6)/Inputs!$C$40)+0.2*SIN(2*PI()*((Model_Data!A141)+(Inputs!$C$6))/(0.5*(Inputs!$C$39+Inputs!$C$40))))+Inputs!$C$38*SIN(2*PI()*(Model_Data!A141)/Inputs!$C$39)*SIN(2*PI()*(Inputs!$C$6)/Inputs!$C$40)+-Inputs!$C$41*EXP(-(((Inputs!$C$6)-Inputs!$C$43)^2)/(2*Inputs!$C$44^2))*EXP(-(((Model_Data!A141)-Inputs!$C$42)^2)/(2*Inputs!$C$45^2))+Inputs!$C$48*(0.7*(0.45*SIN(2*PI()*(((Model_Data!A141)/Inputs!$C$49)+Inputs!$C$47*0.137))+0.35*COS(2*PI()*(((Inputs!$C$6)/Inputs!$C$50)+Inputs!$C$47*0.173))+0.2*SIN(2*PI()*(((Model_Data!A141)+(Inputs!$C$6))/(0.5*(Inputs!$C$49+Inputs!$C$50))+Inputs!$C$47*0.097)))+0.3*(2*((SIN(((Model_Data!A141)*12.9898+(Inputs!$C$6)*78.233+Inputs!$C$47*37.719))*43758.5453)-INT((SIN(((Model_Data!A141)*12.9898+(Inputs!$C$6)*78.233+Inputs!$C$47*37.719))*43758.5453)))-1))))/1000)^2)</f>
        <v>400.51590681077045</v>
      </c>
      <c r="AB141" s="9">
        <f>1000*(AA142-AA140)/(Z142-Z140)*Inputs!$C$11</f>
        <v>286.98430039071354</v>
      </c>
      <c r="AC141" s="9">
        <f>-2*AB141/Inputs!$C$13</f>
        <v>-114.79372015628542</v>
      </c>
      <c r="AD141" s="9">
        <f>-2*AB141/Inputs!$C$14</f>
        <v>-17.236294317760574</v>
      </c>
    </row>
    <row r="142" spans="1:30">
      <c r="A142" s="9">
        <f>Model_Data!A142</f>
        <v>10</v>
      </c>
      <c r="B142" s="9">
        <f>((SQRT((Model_Data!A142)^2+Inputs!$C$6^2+Inputs!$C$5^2)-Inputs!$C$5)*1000/Inputs!$C$12)</f>
        <v>508.55376855164639</v>
      </c>
      <c r="C142" s="9">
        <f>Model_Data!F142</f>
        <v>508.41286159408577</v>
      </c>
      <c r="D142" s="9">
        <f>(((SQRT((Model_Data!A142)^2+Inputs!$C$6^2+((Model_Data!B142)-((Inputs!$C$51*(115*EXP(-(((Inputs!$C$6)-25)^2)/(4.5^2))+70*EXP(-(((Inputs!$C$6)+38)^2)/(7^2))*(0.55+0.45*SIN(2*PI()*(Model_Data!A142)/45))+24*SIN(2*PI()*(Inputs!$C$6)/9+(Model_Data!A142)/18)*EXP(-(((Inputs!$C$6)+5)^2)/(22^2))+18*SIN(2*PI()*(Model_Data!A142)/70))+Inputs!$C$28*EXP(-(((Model_Data!A142)-Inputs!$C$29)^2)/(2*Inputs!$C$31^2))*EXP(-(((Inputs!$C$6)-Inputs!$C$30)^2)/(2*Inputs!$C$32^2))+-Inputs!$C$33*EXP(-(((((Model_Data!A142)-Inputs!$C$34)^2)+(((Inputs!$C$6)-Inputs!$C$35)^2))/(2*Inputs!$C$36^2)))+Inputs!$C$37*(0.55*SIN(2*PI()*(Model_Data!A142)/Inputs!$C$39)+0.35*COS(2*PI()*(Inputs!$C$6)/Inputs!$C$40)+0.2*SIN(2*PI()*((Model_Data!A142)+(Inputs!$C$6))/(0.5*(Inputs!$C$39+Inputs!$C$40))))+Inputs!$C$38*SIN(2*PI()*(Model_Data!A142)/Inputs!$C$39)*SIN(2*PI()*(Inputs!$C$6)/Inputs!$C$40)+-Inputs!$C$41*EXP(-(((Inputs!$C$6)-Inputs!$C$43)^2)/(2*Inputs!$C$44^2))*EXP(-(((Model_Data!A142)-Inputs!$C$42)^2)/(2*Inputs!$C$45^2))+Inputs!$C$48*(0.7*(0.45*SIN(2*PI()*(((Model_Data!A142)/Inputs!$C$49)+Inputs!$C$47*0.137))+0.35*COS(2*PI()*(((Inputs!$C$6)/Inputs!$C$50)+Inputs!$C$47*0.173))+0.2*SIN(2*PI()*(((Model_Data!A142)+(Inputs!$C$6))/(0.5*(Inputs!$C$49+Inputs!$C$50))+Inputs!$C$47*0.097)))+0.3*(2*((SIN(((Model_Data!A142)*12.9898+(Inputs!$C$6)*78.233+Inputs!$C$47*37.719))*43758.5453)-INT((SIN(((Model_Data!A142)*12.9898+(Inputs!$C$6)*78.233+Inputs!$C$47*37.719))*43758.5453)))-1))))/1000)^2))-(((Model_Data!B142)-((Inputs!$C$51*(115*EXP(-(((0)-25)^2)/(4.5^2))+70*EXP(-(((0)+38)^2)/(7^2))*(0.55+0.45*SIN(2*PI()*(Model_Data!A142)/45))+24*SIN(2*PI()*(0)/9+(Model_Data!A142)/18)*EXP(-(((0)+5)^2)/(22^2))+18*SIN(2*PI()*(Model_Data!A142)/70))+Inputs!$C$28*EXP(-(((Model_Data!A142)-Inputs!$C$29)^2)/(2*Inputs!$C$31^2))*EXP(-(((0)-Inputs!$C$30)^2)/(2*Inputs!$C$32^2))+-Inputs!$C$33*EXP(-(((((Model_Data!A142)-Inputs!$C$34)^2)+(((0)-Inputs!$C$35)^2))/(2*Inputs!$C$36^2)))+Inputs!$C$37*(0.55*SIN(2*PI()*(Model_Data!A142)/Inputs!$C$39)+0.35*COS(2*PI()*(0)/Inputs!$C$40)+0.2*SIN(2*PI()*((Model_Data!A142)+(0))/(0.5*(Inputs!$C$39+Inputs!$C$40))))+Inputs!$C$38*SIN(2*PI()*(Model_Data!A142)/Inputs!$C$39)*SIN(2*PI()*(0)/Inputs!$C$40)+-Inputs!$C$41*EXP(-(((0)-Inputs!$C$43)^2)/(2*Inputs!$C$44^2))*EXP(-(((Model_Data!A142)-Inputs!$C$42)^2)/(2*Inputs!$C$45^2))+Inputs!$C$48*(0.7*(0.45*SIN(2*PI()*(((Model_Data!A142)/Inputs!$C$49)+Inputs!$C$47*0.137))+0.35*COS(2*PI()*(((0)/Inputs!$C$50)+Inputs!$C$47*0.173))+0.2*SIN(2*PI()*(((Model_Data!A142)+(0))/(0.5*(Inputs!$C$49+Inputs!$C$50))+Inputs!$C$47*0.097)))+0.3*(2*((SIN(((Model_Data!A142)*12.9898+(0)*78.233+Inputs!$C$47*37.719))*43758.5453)-INT((SIN(((Model_Data!A142)*12.9898+(0)*78.233+Inputs!$C$47*37.719))*43758.5453)))-1))))/1000)))*1000/Inputs!$C$12)</f>
        <v>249.0052878912276</v>
      </c>
      <c r="E142" s="9">
        <f>Model_Data!A142</f>
        <v>10</v>
      </c>
      <c r="F142" s="9">
        <f>(Inputs!$C$51*(115*EXP(-(((Inputs!$C$6)-25)^2)/(4.5^2))+70*EXP(-(((Inputs!$C$6)+38)^2)/(7^2))*(0.55+0.45*SIN(2*PI()*(Model_Data!A142)/45))+24*SIN(2*PI()*(Inputs!$C$6)/9+(Model_Data!A142)/18)*EXP(-(((Inputs!$C$6)+5)^2)/(22^2))+18*SIN(2*PI()*(Model_Data!A142)/70))+Inputs!$C$28*EXP(-(((Model_Data!A142)-Inputs!$C$29)^2)/(2*Inputs!$C$31^2))*EXP(-(((Inputs!$C$6)-Inputs!$C$30)^2)/(2*Inputs!$C$32^2))+-Inputs!$C$33*EXP(-(((((Model_Data!A142)-Inputs!$C$34)^2)+(((Inputs!$C$6)-Inputs!$C$35)^2))/(2*Inputs!$C$36^2)))+Inputs!$C$37*(0.55*SIN(2*PI()*(Model_Data!A142)/Inputs!$C$39)+0.35*COS(2*PI()*(Inputs!$C$6)/Inputs!$C$40)+0.2*SIN(2*PI()*((Model_Data!A142)+(Inputs!$C$6))/(0.5*(Inputs!$C$39+Inputs!$C$40))))+Inputs!$C$38*SIN(2*PI()*(Model_Data!A142)/Inputs!$C$39)*SIN(2*PI()*(Inputs!$C$6)/Inputs!$C$40)+-Inputs!$C$41*EXP(-(((Inputs!$C$6)-Inputs!$C$43)^2)/(2*Inputs!$C$44^2))*EXP(-(((Model_Data!A142)-Inputs!$C$42)^2)/(2*Inputs!$C$45^2))+Inputs!$C$48*(0.7*(0.45*SIN(2*PI()*(((Model_Data!A142)/Inputs!$C$49)+Inputs!$C$47*0.137))+0.35*COS(2*PI()*(((Inputs!$C$6)/Inputs!$C$50)+Inputs!$C$47*0.173))+0.2*SIN(2*PI()*(((Model_Data!A142)+(Inputs!$C$6))/(0.5*(Inputs!$C$49+Inputs!$C$50))+Inputs!$C$47*0.097)))+0.3*(2*((SIN(((Model_Data!A142)*12.9898+(Inputs!$C$6)*78.233+Inputs!$C$47*37.719))*43758.5453)-INT((SIN(((Model_Data!A142)*12.9898+(Inputs!$C$6)*78.233+Inputs!$C$47*37.719))*43758.5453)))-1)))</f>
        <v>454.20220076904832</v>
      </c>
      <c r="G142" s="9">
        <f>(Inputs!$C$51*(115*EXP(-(((0)-25)^2)/(4.5^2))+70*EXP(-(((0)+38)^2)/(7^2))*(0.55+0.45*SIN(2*PI()*(Model_Data!A142)/45))+24*SIN(2*PI()*(0)/9+(Model_Data!A142)/18)*EXP(-(((0)+5)^2)/(22^2))+18*SIN(2*PI()*(Model_Data!A142)/70))+Inputs!$C$28*EXP(-(((Model_Data!A142)-Inputs!$C$29)^2)/(2*Inputs!$C$31^2))*EXP(-(((0)-Inputs!$C$30)^2)/(2*Inputs!$C$32^2))+-Inputs!$C$33*EXP(-(((((Model_Data!A142)-Inputs!$C$34)^2)+(((0)-Inputs!$C$35)^2))/(2*Inputs!$C$36^2)))+Inputs!$C$37*(0.55*SIN(2*PI()*(Model_Data!A142)/Inputs!$C$39)+0.35*COS(2*PI()*(0)/Inputs!$C$40)+0.2*SIN(2*PI()*((Model_Data!A142)+(0))/(0.5*(Inputs!$C$39+Inputs!$C$40))))+Inputs!$C$38*SIN(2*PI()*(Model_Data!A142)/Inputs!$C$39)*SIN(2*PI()*(0)/Inputs!$C$40)+-Inputs!$C$41*EXP(-(((0)-Inputs!$C$43)^2)/(2*Inputs!$C$44^2))*EXP(-(((Model_Data!A142)-Inputs!$C$42)^2)/(2*Inputs!$C$45^2))+Inputs!$C$48*(0.7*(0.45*SIN(2*PI()*(((Model_Data!A142)/Inputs!$C$49)+Inputs!$C$47*0.137))+0.35*COS(2*PI()*(((0)/Inputs!$C$50)+Inputs!$C$47*0.173))+0.2*SIN(2*PI()*(((Model_Data!A142)+(0))/(0.5*(Inputs!$C$49+Inputs!$C$50))+Inputs!$C$47*0.097)))+0.3*(2*((SIN(((Model_Data!A142)*12.9898+(0)*78.233+Inputs!$C$47*37.719))*43758.5453)-INT((SIN(((Model_Data!A142)*12.9898+(0)*78.233+Inputs!$C$47*37.719))*43758.5453)))-1)))</f>
        <v>-8.569441618173812</v>
      </c>
      <c r="H142" s="10"/>
      <c r="I142" s="9">
        <f>Model_Data!A142</f>
        <v>10</v>
      </c>
      <c r="J142" s="9">
        <f>(Inputs!$C$51*(115*EXP(-(((Inputs!$C$6)-25)^2)/(4.5^2))+70*EXP(-(((Inputs!$C$6)+38)^2)/(7^2))*(0.55+0.45*SIN(2*PI()*(Model_Data!A142)/45))+24*SIN(2*PI()*(Inputs!$C$6)/9+(Model_Data!A142)/18)*EXP(-(((Inputs!$C$6)+5)^2)/(22^2))+18*SIN(2*PI()*(Model_Data!A142)/70))+Inputs!$C$28*EXP(-(((Model_Data!A142)-Inputs!$C$29)^2)/(2*Inputs!$C$31^2))*EXP(-(((Inputs!$C$6)-Inputs!$C$30)^2)/(2*Inputs!$C$32^2))+-Inputs!$C$33*EXP(-(((((Model_Data!A142)-Inputs!$C$34)^2)+(((Inputs!$C$6)-Inputs!$C$35)^2))/(2*Inputs!$C$36^2)))+Inputs!$C$37*(0.55*SIN(2*PI()*(Model_Data!A142)/Inputs!$C$39)+0.35*COS(2*PI()*(Inputs!$C$6)/Inputs!$C$40)+0.2*SIN(2*PI()*((Model_Data!A142)+(Inputs!$C$6))/(0.5*(Inputs!$C$39+Inputs!$C$40))))+Inputs!$C$38*SIN(2*PI()*(Model_Data!A142)/Inputs!$C$39)*SIN(2*PI()*(Inputs!$C$6)/Inputs!$C$40)+-Inputs!$C$41*EXP(-(((Inputs!$C$6)-Inputs!$C$43)^2)/(2*Inputs!$C$44^2))*EXP(-(((Model_Data!A142)-Inputs!$C$42)^2)/(2*Inputs!$C$45^2))+Inputs!$C$48*(0.7*(0.45*SIN(2*PI()*(((Model_Data!A142)/Inputs!$C$49)+Inputs!$C$47*0.137))+0.35*COS(2*PI()*(((Inputs!$C$6)/Inputs!$C$50)+Inputs!$C$47*0.173))+0.2*SIN(2*PI()*(((Model_Data!A142)+(Inputs!$C$6))/(0.5*(Inputs!$C$49+Inputs!$C$50))+Inputs!$C$47*0.097)))+0.3*(2*((SIN(((Model_Data!A142)*12.9898+(Inputs!$C$6)*78.233+Inputs!$C$47*37.719))*43758.5453)-INT((SIN(((Model_Data!A142)*12.9898+(Inputs!$C$6)*78.233+Inputs!$C$47*37.719))*43758.5453)))-1)))</f>
        <v>454.20220076904832</v>
      </c>
      <c r="K142" s="9">
        <f>-((((SQRT((Model_Data!A142)^2+Inputs!$C$6^2+((Model_Data!B142)-((Inputs!$C$51*(115*EXP(-(((Inputs!$C$6)-25)^2)/(4.5^2))+70*EXP(-(((Inputs!$C$6)+38)^2)/(7^2))*(0.55+0.45*SIN(2*PI()*(Model_Data!A142)/45))+24*SIN(2*PI()*(Inputs!$C$6)/9+(Model_Data!A142)/18)*EXP(-(((Inputs!$C$6)+5)^2)/(22^2))+18*SIN(2*PI()*(Model_Data!A142)/70))+Inputs!$C$28*EXP(-(((Model_Data!A142)-Inputs!$C$29)^2)/(2*Inputs!$C$31^2))*EXP(-(((Inputs!$C$6)-Inputs!$C$30)^2)/(2*Inputs!$C$32^2))+-Inputs!$C$33*EXP(-(((((Model_Data!A142)-Inputs!$C$34)^2)+(((Inputs!$C$6)-Inputs!$C$35)^2))/(2*Inputs!$C$36^2)))+Inputs!$C$37*(0.55*SIN(2*PI()*(Model_Data!A142)/Inputs!$C$39)+0.35*COS(2*PI()*(Inputs!$C$6)/Inputs!$C$40)+0.2*SIN(2*PI()*((Model_Data!A142)+(Inputs!$C$6))/(0.5*(Inputs!$C$39+Inputs!$C$40))))+Inputs!$C$38*SIN(2*PI()*(Model_Data!A142)/Inputs!$C$39)*SIN(2*PI()*(Inputs!$C$6)/Inputs!$C$40)+-Inputs!$C$41*EXP(-(((Inputs!$C$6)-Inputs!$C$43)^2)/(2*Inputs!$C$44^2))*EXP(-(((Model_Data!A142)-Inputs!$C$42)^2)/(2*Inputs!$C$45^2))+Inputs!$C$48*(0.7*(0.45*SIN(2*PI()*(((Model_Data!A142)/Inputs!$C$49)+Inputs!$C$47*0.137))+0.35*COS(2*PI()*(((Inputs!$C$6)/Inputs!$C$50)+Inputs!$C$47*0.173))+0.2*SIN(2*PI()*(((Model_Data!A142)+(Inputs!$C$6))/(0.5*(Inputs!$C$49+Inputs!$C$50))+Inputs!$C$47*0.097)))+0.3*(2*((SIN(((Model_Data!A142)*12.9898+(Inputs!$C$6)*78.233+Inputs!$C$47*37.719))*43758.5453)-INT((SIN(((Model_Data!A142)*12.9898+(Inputs!$C$6)*78.233+Inputs!$C$47*37.719))*43758.5453)))-1))))/1000)^2))-(((Model_Data!B142)-((Inputs!$C$51*(115*EXP(-(((0)-25)^2)/(4.5^2))+70*EXP(-(((0)+38)^2)/(7^2))*(0.55+0.45*SIN(2*PI()*(Model_Data!A142)/45))+24*SIN(2*PI()*(0)/9+(Model_Data!A142)/18)*EXP(-(((0)+5)^2)/(22^2))+18*SIN(2*PI()*(Model_Data!A142)/70))+Inputs!$C$28*EXP(-(((Model_Data!A142)-Inputs!$C$29)^2)/(2*Inputs!$C$31^2))*EXP(-(((0)-Inputs!$C$30)^2)/(2*Inputs!$C$32^2))+-Inputs!$C$33*EXP(-(((((Model_Data!A142)-Inputs!$C$34)^2)+(((0)-Inputs!$C$35)^2))/(2*Inputs!$C$36^2)))+Inputs!$C$37*(0.55*SIN(2*PI()*(Model_Data!A142)/Inputs!$C$39)+0.35*COS(2*PI()*(0)/Inputs!$C$40)+0.2*SIN(2*PI()*((Model_Data!A142)+(0))/(0.5*(Inputs!$C$39+Inputs!$C$40))))+Inputs!$C$38*SIN(2*PI()*(Model_Data!A142)/Inputs!$C$39)*SIN(2*PI()*(0)/Inputs!$C$40)+-Inputs!$C$41*EXP(-(((0)-Inputs!$C$43)^2)/(2*Inputs!$C$44^2))*EXP(-(((Model_Data!A142)-Inputs!$C$42)^2)/(2*Inputs!$C$45^2))+Inputs!$C$48*(0.7*(0.45*SIN(2*PI()*(((Model_Data!A142)/Inputs!$C$49)+Inputs!$C$47*0.137))+0.35*COS(2*PI()*(((0)/Inputs!$C$50)+Inputs!$C$47*0.173))+0.2*SIN(2*PI()*(((Model_Data!A142)+(0))/(0.5*(Inputs!$C$49+Inputs!$C$50))+Inputs!$C$47*0.097)))+0.3*(2*((SIN(((Model_Data!A142)*12.9898+(0)*78.233+Inputs!$C$47*37.719))*43758.5453)-INT((SIN(((Model_Data!A142)*12.9898+(0)*78.233+Inputs!$C$47*37.719))*43758.5453)))-1))))/1000)))*1000/Inputs!$C$12)-Model_Data!F142)</f>
        <v>259.40757370285814</v>
      </c>
      <c r="L142" s="10"/>
      <c r="M142" s="9">
        <f>Model_Data!A142</f>
        <v>10</v>
      </c>
      <c r="N142" s="9">
        <f>Model_Data!P142</f>
        <v>-75.373966018780237</v>
      </c>
      <c r="O142" s="9">
        <f t="shared" si="4"/>
        <v>-139.8192145730718</v>
      </c>
      <c r="P142" s="9">
        <f>Model_Data!Q142</f>
        <v>-11.317412315132168</v>
      </c>
      <c r="Q142" s="9">
        <f t="shared" si="5"/>
        <v>-20.993876062022796</v>
      </c>
      <c r="R142" s="10"/>
      <c r="S142" s="9">
        <f>Model_Data!A142</f>
        <v>10</v>
      </c>
      <c r="T142" s="9">
        <f>Model_Data!B142-Inputs!$C$5</f>
        <v>0.11111111111108585</v>
      </c>
      <c r="U142" s="10"/>
      <c r="V142" s="9">
        <f>Model_Data!A142</f>
        <v>10</v>
      </c>
      <c r="W142" s="9">
        <f>((SQRT((Model_Data!A142)^2+Inputs!$C$6^2+Inputs!$C$5^2)-Inputs!$C$5)*1000/Inputs!$C$12)</f>
        <v>508.55376855164639</v>
      </c>
      <c r="X142" s="9">
        <f>Model_Data!F142</f>
        <v>508.41286159408577</v>
      </c>
      <c r="Y142" s="10"/>
      <c r="Z142" s="9">
        <f>Model_Data!A142</f>
        <v>10</v>
      </c>
      <c r="AA142" s="9">
        <f>SQRT((Model_Data!A142)^2+Inputs!$C$6^2+((Model_Data!B142)-((Inputs!$C$51*(115*EXP(-(((Inputs!$C$6)-25)^2)/(4.5^2))+70*EXP(-(((Inputs!$C$6)+38)^2)/(7^2))*(0.55+0.45*SIN(2*PI()*(Model_Data!A142)/45))+24*SIN(2*PI()*(Inputs!$C$6)/9+(Model_Data!A142)/18)*EXP(-(((Inputs!$C$6)+5)^2)/(22^2))+18*SIN(2*PI()*(Model_Data!A142)/70))+Inputs!$C$28*EXP(-(((Model_Data!A142)-Inputs!$C$29)^2)/(2*Inputs!$C$31^2))*EXP(-(((Inputs!$C$6)-Inputs!$C$30)^2)/(2*Inputs!$C$32^2))+-Inputs!$C$33*EXP(-(((((Model_Data!A142)-Inputs!$C$34)^2)+(((Inputs!$C$6)-Inputs!$C$35)^2))/(2*Inputs!$C$36^2)))+Inputs!$C$37*(0.55*SIN(2*PI()*(Model_Data!A142)/Inputs!$C$39)+0.35*COS(2*PI()*(Inputs!$C$6)/Inputs!$C$40)+0.2*SIN(2*PI()*((Model_Data!A142)+(Inputs!$C$6))/(0.5*(Inputs!$C$39+Inputs!$C$40))))+Inputs!$C$38*SIN(2*PI()*(Model_Data!A142)/Inputs!$C$39)*SIN(2*PI()*(Inputs!$C$6)/Inputs!$C$40)+-Inputs!$C$41*EXP(-(((Inputs!$C$6)-Inputs!$C$43)^2)/(2*Inputs!$C$44^2))*EXP(-(((Model_Data!A142)-Inputs!$C$42)^2)/(2*Inputs!$C$45^2))+Inputs!$C$48*(0.7*(0.45*SIN(2*PI()*(((Model_Data!A142)/Inputs!$C$49)+Inputs!$C$47*0.137))+0.35*COS(2*PI()*(((Inputs!$C$6)/Inputs!$C$50)+Inputs!$C$47*0.173))+0.2*SIN(2*PI()*(((Model_Data!A142)+(Inputs!$C$6))/(0.5*(Inputs!$C$49+Inputs!$C$50))+Inputs!$C$47*0.097)))+0.3*(2*((SIN(((Model_Data!A142)*12.9898+(Inputs!$C$6)*78.233+Inputs!$C$47*37.719))*43758.5453)-INT((SIN(((Model_Data!A142)*12.9898+(Inputs!$C$6)*78.233+Inputs!$C$47*37.719))*43758.5453)))-1))))/1000)^2)</f>
        <v>400.56290996517566</v>
      </c>
      <c r="AB142" s="9">
        <f>1000*(AA143-AA141)/(Z143-Z141)*Inputs!$C$11</f>
        <v>349.54803643267951</v>
      </c>
      <c r="AC142" s="9">
        <f>-2*AB142/Inputs!$C$13</f>
        <v>-139.8192145730718</v>
      </c>
      <c r="AD142" s="9">
        <f>-2*AB142/Inputs!$C$14</f>
        <v>-20.993876062022796</v>
      </c>
    </row>
    <row r="143" spans="1:30">
      <c r="A143" s="9">
        <f>Model_Data!A143</f>
        <v>10.5</v>
      </c>
      <c r="B143" s="9">
        <f>((SQRT((Model_Data!A143)^2+Inputs!$C$6^2+Inputs!$C$5^2)-Inputs!$C$5)*1000/Inputs!$C$12)</f>
        <v>515.73543492959368</v>
      </c>
      <c r="C143" s="9">
        <f>Model_Data!F143</f>
        <v>515.57790068694419</v>
      </c>
      <c r="D143" s="9">
        <f>(((SQRT((Model_Data!A143)^2+Inputs!$C$6^2+((Model_Data!B143)-((Inputs!$C$51*(115*EXP(-(((Inputs!$C$6)-25)^2)/(4.5^2))+70*EXP(-(((Inputs!$C$6)+38)^2)/(7^2))*(0.55+0.45*SIN(2*PI()*(Model_Data!A143)/45))+24*SIN(2*PI()*(Inputs!$C$6)/9+(Model_Data!A143)/18)*EXP(-(((Inputs!$C$6)+5)^2)/(22^2))+18*SIN(2*PI()*(Model_Data!A143)/70))+Inputs!$C$28*EXP(-(((Model_Data!A143)-Inputs!$C$29)^2)/(2*Inputs!$C$31^2))*EXP(-(((Inputs!$C$6)-Inputs!$C$30)^2)/(2*Inputs!$C$32^2))+-Inputs!$C$33*EXP(-(((((Model_Data!A143)-Inputs!$C$34)^2)+(((Inputs!$C$6)-Inputs!$C$35)^2))/(2*Inputs!$C$36^2)))+Inputs!$C$37*(0.55*SIN(2*PI()*(Model_Data!A143)/Inputs!$C$39)+0.35*COS(2*PI()*(Inputs!$C$6)/Inputs!$C$40)+0.2*SIN(2*PI()*((Model_Data!A143)+(Inputs!$C$6))/(0.5*(Inputs!$C$39+Inputs!$C$40))))+Inputs!$C$38*SIN(2*PI()*(Model_Data!A143)/Inputs!$C$39)*SIN(2*PI()*(Inputs!$C$6)/Inputs!$C$40)+-Inputs!$C$41*EXP(-(((Inputs!$C$6)-Inputs!$C$43)^2)/(2*Inputs!$C$44^2))*EXP(-(((Model_Data!A143)-Inputs!$C$42)^2)/(2*Inputs!$C$45^2))+Inputs!$C$48*(0.7*(0.45*SIN(2*PI()*(((Model_Data!A143)/Inputs!$C$49)+Inputs!$C$47*0.137))+0.35*COS(2*PI()*(((Inputs!$C$6)/Inputs!$C$50)+Inputs!$C$47*0.173))+0.2*SIN(2*PI()*(((Model_Data!A143)+(Inputs!$C$6))/(0.5*(Inputs!$C$49+Inputs!$C$50))+Inputs!$C$47*0.097)))+0.3*(2*((SIN(((Model_Data!A143)*12.9898+(Inputs!$C$6)*78.233+Inputs!$C$47*37.719))*43758.5453)-INT((SIN(((Model_Data!A143)*12.9898+(Inputs!$C$6)*78.233+Inputs!$C$47*37.719))*43758.5453)))-1))))/1000)^2))-(((Model_Data!B143)-((Inputs!$C$51*(115*EXP(-(((0)-25)^2)/(4.5^2))+70*EXP(-(((0)+38)^2)/(7^2))*(0.55+0.45*SIN(2*PI()*(Model_Data!A143)/45))+24*SIN(2*PI()*(0)/9+(Model_Data!A143)/18)*EXP(-(((0)+5)^2)/(22^2))+18*SIN(2*PI()*(Model_Data!A143)/70))+Inputs!$C$28*EXP(-(((Model_Data!A143)-Inputs!$C$29)^2)/(2*Inputs!$C$31^2))*EXP(-(((0)-Inputs!$C$30)^2)/(2*Inputs!$C$32^2))+-Inputs!$C$33*EXP(-(((((Model_Data!A143)-Inputs!$C$34)^2)+(((0)-Inputs!$C$35)^2))/(2*Inputs!$C$36^2)))+Inputs!$C$37*(0.55*SIN(2*PI()*(Model_Data!A143)/Inputs!$C$39)+0.35*COS(2*PI()*(0)/Inputs!$C$40)+0.2*SIN(2*PI()*((Model_Data!A143)+(0))/(0.5*(Inputs!$C$39+Inputs!$C$40))))+Inputs!$C$38*SIN(2*PI()*(Model_Data!A143)/Inputs!$C$39)*SIN(2*PI()*(0)/Inputs!$C$40)+-Inputs!$C$41*EXP(-(((0)-Inputs!$C$43)^2)/(2*Inputs!$C$44^2))*EXP(-(((Model_Data!A143)-Inputs!$C$42)^2)/(2*Inputs!$C$45^2))+Inputs!$C$48*(0.7*(0.45*SIN(2*PI()*(((Model_Data!A143)/Inputs!$C$49)+Inputs!$C$47*0.137))+0.35*COS(2*PI()*(((0)/Inputs!$C$50)+Inputs!$C$47*0.173))+0.2*SIN(2*PI()*(((Model_Data!A143)+(0))/(0.5*(Inputs!$C$49+Inputs!$C$50))+Inputs!$C$47*0.097)))+0.3*(2*((SIN(((Model_Data!A143)*12.9898+(0)*78.233+Inputs!$C$47*37.719))*43758.5453)-INT((SIN(((Model_Data!A143)*12.9898+(0)*78.233+Inputs!$C$47*37.719))*43758.5453)))-1))))/1000)))*1000/Inputs!$C$12)</f>
        <v>272.88208443056016</v>
      </c>
      <c r="E143" s="9">
        <f>Model_Data!A143</f>
        <v>10.5</v>
      </c>
      <c r="F143" s="9">
        <f>(Inputs!$C$51*(115*EXP(-(((Inputs!$C$6)-25)^2)/(4.5^2))+70*EXP(-(((Inputs!$C$6)+38)^2)/(7^2))*(0.55+0.45*SIN(2*PI()*(Model_Data!A143)/45))+24*SIN(2*PI()*(Inputs!$C$6)/9+(Model_Data!A143)/18)*EXP(-(((Inputs!$C$6)+5)^2)/(22^2))+18*SIN(2*PI()*(Model_Data!A143)/70))+Inputs!$C$28*EXP(-(((Model_Data!A143)-Inputs!$C$29)^2)/(2*Inputs!$C$31^2))*EXP(-(((Inputs!$C$6)-Inputs!$C$30)^2)/(2*Inputs!$C$32^2))+-Inputs!$C$33*EXP(-(((((Model_Data!A143)-Inputs!$C$34)^2)+(((Inputs!$C$6)-Inputs!$C$35)^2))/(2*Inputs!$C$36^2)))+Inputs!$C$37*(0.55*SIN(2*PI()*(Model_Data!A143)/Inputs!$C$39)+0.35*COS(2*PI()*(Inputs!$C$6)/Inputs!$C$40)+0.2*SIN(2*PI()*((Model_Data!A143)+(Inputs!$C$6))/(0.5*(Inputs!$C$39+Inputs!$C$40))))+Inputs!$C$38*SIN(2*PI()*(Model_Data!A143)/Inputs!$C$39)*SIN(2*PI()*(Inputs!$C$6)/Inputs!$C$40)+-Inputs!$C$41*EXP(-(((Inputs!$C$6)-Inputs!$C$43)^2)/(2*Inputs!$C$44^2))*EXP(-(((Model_Data!A143)-Inputs!$C$42)^2)/(2*Inputs!$C$45^2))+Inputs!$C$48*(0.7*(0.45*SIN(2*PI()*(((Model_Data!A143)/Inputs!$C$49)+Inputs!$C$47*0.137))+0.35*COS(2*PI()*(((Inputs!$C$6)/Inputs!$C$50)+Inputs!$C$47*0.173))+0.2*SIN(2*PI()*(((Model_Data!A143)+(Inputs!$C$6))/(0.5*(Inputs!$C$49+Inputs!$C$50))+Inputs!$C$47*0.097)))+0.3*(2*((SIN(((Model_Data!A143)*12.9898+(Inputs!$C$6)*78.233+Inputs!$C$47*37.719))*43758.5453)-INT((SIN(((Model_Data!A143)*12.9898+(Inputs!$C$6)*78.233+Inputs!$C$47*37.719))*43758.5453)))-1)))</f>
        <v>437.9381023255097</v>
      </c>
      <c r="G143" s="9">
        <f>(Inputs!$C$51*(115*EXP(-(((0)-25)^2)/(4.5^2))+70*EXP(-(((0)+38)^2)/(7^2))*(0.55+0.45*SIN(2*PI()*(Model_Data!A143)/45))+24*SIN(2*PI()*(0)/9+(Model_Data!A143)/18)*EXP(-(((0)+5)^2)/(22^2))+18*SIN(2*PI()*(Model_Data!A143)/70))+Inputs!$C$28*EXP(-(((Model_Data!A143)-Inputs!$C$29)^2)/(2*Inputs!$C$31^2))*EXP(-(((0)-Inputs!$C$30)^2)/(2*Inputs!$C$32^2))+-Inputs!$C$33*EXP(-(((((Model_Data!A143)-Inputs!$C$34)^2)+(((0)-Inputs!$C$35)^2))/(2*Inputs!$C$36^2)))+Inputs!$C$37*(0.55*SIN(2*PI()*(Model_Data!A143)/Inputs!$C$39)+0.35*COS(2*PI()*(0)/Inputs!$C$40)+0.2*SIN(2*PI()*((Model_Data!A143)+(0))/(0.5*(Inputs!$C$39+Inputs!$C$40))))+Inputs!$C$38*SIN(2*PI()*(Model_Data!A143)/Inputs!$C$39)*SIN(2*PI()*(0)/Inputs!$C$40)+-Inputs!$C$41*EXP(-(((0)-Inputs!$C$43)^2)/(2*Inputs!$C$44^2))*EXP(-(((Model_Data!A143)-Inputs!$C$42)^2)/(2*Inputs!$C$45^2))+Inputs!$C$48*(0.7*(0.45*SIN(2*PI()*(((Model_Data!A143)/Inputs!$C$49)+Inputs!$C$47*0.137))+0.35*COS(2*PI()*(((0)/Inputs!$C$50)+Inputs!$C$47*0.173))+0.2*SIN(2*PI()*(((Model_Data!A143)+(0))/(0.5*(Inputs!$C$49+Inputs!$C$50))+Inputs!$C$47*0.097)))+0.3*(2*((SIN(((Model_Data!A143)*12.9898+(0)*78.233+Inputs!$C$47*37.719))*43758.5453)-INT((SIN(((Model_Data!A143)*12.9898+(0)*78.233+Inputs!$C$47*37.719))*43758.5453)))-1)))</f>
        <v>4.9362904077748144</v>
      </c>
      <c r="H143" s="10"/>
      <c r="I143" s="9">
        <f>Model_Data!A143</f>
        <v>10.5</v>
      </c>
      <c r="J143" s="9">
        <f>(Inputs!$C$51*(115*EXP(-(((Inputs!$C$6)-25)^2)/(4.5^2))+70*EXP(-(((Inputs!$C$6)+38)^2)/(7^2))*(0.55+0.45*SIN(2*PI()*(Model_Data!A143)/45))+24*SIN(2*PI()*(Inputs!$C$6)/9+(Model_Data!A143)/18)*EXP(-(((Inputs!$C$6)+5)^2)/(22^2))+18*SIN(2*PI()*(Model_Data!A143)/70))+Inputs!$C$28*EXP(-(((Model_Data!A143)-Inputs!$C$29)^2)/(2*Inputs!$C$31^2))*EXP(-(((Inputs!$C$6)-Inputs!$C$30)^2)/(2*Inputs!$C$32^2))+-Inputs!$C$33*EXP(-(((((Model_Data!A143)-Inputs!$C$34)^2)+(((Inputs!$C$6)-Inputs!$C$35)^2))/(2*Inputs!$C$36^2)))+Inputs!$C$37*(0.55*SIN(2*PI()*(Model_Data!A143)/Inputs!$C$39)+0.35*COS(2*PI()*(Inputs!$C$6)/Inputs!$C$40)+0.2*SIN(2*PI()*((Model_Data!A143)+(Inputs!$C$6))/(0.5*(Inputs!$C$39+Inputs!$C$40))))+Inputs!$C$38*SIN(2*PI()*(Model_Data!A143)/Inputs!$C$39)*SIN(2*PI()*(Inputs!$C$6)/Inputs!$C$40)+-Inputs!$C$41*EXP(-(((Inputs!$C$6)-Inputs!$C$43)^2)/(2*Inputs!$C$44^2))*EXP(-(((Model_Data!A143)-Inputs!$C$42)^2)/(2*Inputs!$C$45^2))+Inputs!$C$48*(0.7*(0.45*SIN(2*PI()*(((Model_Data!A143)/Inputs!$C$49)+Inputs!$C$47*0.137))+0.35*COS(2*PI()*(((Inputs!$C$6)/Inputs!$C$50)+Inputs!$C$47*0.173))+0.2*SIN(2*PI()*(((Model_Data!A143)+(Inputs!$C$6))/(0.5*(Inputs!$C$49+Inputs!$C$50))+Inputs!$C$47*0.097)))+0.3*(2*((SIN(((Model_Data!A143)*12.9898+(Inputs!$C$6)*78.233+Inputs!$C$47*37.719))*43758.5453)-INT((SIN(((Model_Data!A143)*12.9898+(Inputs!$C$6)*78.233+Inputs!$C$47*37.719))*43758.5453)))-1)))</f>
        <v>437.9381023255097</v>
      </c>
      <c r="K143" s="9">
        <f>-((((SQRT((Model_Data!A143)^2+Inputs!$C$6^2+((Model_Data!B143)-((Inputs!$C$51*(115*EXP(-(((Inputs!$C$6)-25)^2)/(4.5^2))+70*EXP(-(((Inputs!$C$6)+38)^2)/(7^2))*(0.55+0.45*SIN(2*PI()*(Model_Data!A143)/45))+24*SIN(2*PI()*(Inputs!$C$6)/9+(Model_Data!A143)/18)*EXP(-(((Inputs!$C$6)+5)^2)/(22^2))+18*SIN(2*PI()*(Model_Data!A143)/70))+Inputs!$C$28*EXP(-(((Model_Data!A143)-Inputs!$C$29)^2)/(2*Inputs!$C$31^2))*EXP(-(((Inputs!$C$6)-Inputs!$C$30)^2)/(2*Inputs!$C$32^2))+-Inputs!$C$33*EXP(-(((((Model_Data!A143)-Inputs!$C$34)^2)+(((Inputs!$C$6)-Inputs!$C$35)^2))/(2*Inputs!$C$36^2)))+Inputs!$C$37*(0.55*SIN(2*PI()*(Model_Data!A143)/Inputs!$C$39)+0.35*COS(2*PI()*(Inputs!$C$6)/Inputs!$C$40)+0.2*SIN(2*PI()*((Model_Data!A143)+(Inputs!$C$6))/(0.5*(Inputs!$C$39+Inputs!$C$40))))+Inputs!$C$38*SIN(2*PI()*(Model_Data!A143)/Inputs!$C$39)*SIN(2*PI()*(Inputs!$C$6)/Inputs!$C$40)+-Inputs!$C$41*EXP(-(((Inputs!$C$6)-Inputs!$C$43)^2)/(2*Inputs!$C$44^2))*EXP(-(((Model_Data!A143)-Inputs!$C$42)^2)/(2*Inputs!$C$45^2))+Inputs!$C$48*(0.7*(0.45*SIN(2*PI()*(((Model_Data!A143)/Inputs!$C$49)+Inputs!$C$47*0.137))+0.35*COS(2*PI()*(((Inputs!$C$6)/Inputs!$C$50)+Inputs!$C$47*0.173))+0.2*SIN(2*PI()*(((Model_Data!A143)+(Inputs!$C$6))/(0.5*(Inputs!$C$49+Inputs!$C$50))+Inputs!$C$47*0.097)))+0.3*(2*((SIN(((Model_Data!A143)*12.9898+(Inputs!$C$6)*78.233+Inputs!$C$47*37.719))*43758.5453)-INT((SIN(((Model_Data!A143)*12.9898+(Inputs!$C$6)*78.233+Inputs!$C$47*37.719))*43758.5453)))-1))))/1000)^2))-(((Model_Data!B143)-((Inputs!$C$51*(115*EXP(-(((0)-25)^2)/(4.5^2))+70*EXP(-(((0)+38)^2)/(7^2))*(0.55+0.45*SIN(2*PI()*(Model_Data!A143)/45))+24*SIN(2*PI()*(0)/9+(Model_Data!A143)/18)*EXP(-(((0)+5)^2)/(22^2))+18*SIN(2*PI()*(Model_Data!A143)/70))+Inputs!$C$28*EXP(-(((Model_Data!A143)-Inputs!$C$29)^2)/(2*Inputs!$C$31^2))*EXP(-(((0)-Inputs!$C$30)^2)/(2*Inputs!$C$32^2))+-Inputs!$C$33*EXP(-(((((Model_Data!A143)-Inputs!$C$34)^2)+(((0)-Inputs!$C$35)^2))/(2*Inputs!$C$36^2)))+Inputs!$C$37*(0.55*SIN(2*PI()*(Model_Data!A143)/Inputs!$C$39)+0.35*COS(2*PI()*(0)/Inputs!$C$40)+0.2*SIN(2*PI()*((Model_Data!A143)+(0))/(0.5*(Inputs!$C$39+Inputs!$C$40))))+Inputs!$C$38*SIN(2*PI()*(Model_Data!A143)/Inputs!$C$39)*SIN(2*PI()*(0)/Inputs!$C$40)+-Inputs!$C$41*EXP(-(((0)-Inputs!$C$43)^2)/(2*Inputs!$C$44^2))*EXP(-(((Model_Data!A143)-Inputs!$C$42)^2)/(2*Inputs!$C$45^2))+Inputs!$C$48*(0.7*(0.45*SIN(2*PI()*(((Model_Data!A143)/Inputs!$C$49)+Inputs!$C$47*0.137))+0.35*COS(2*PI()*(((0)/Inputs!$C$50)+Inputs!$C$47*0.173))+0.2*SIN(2*PI()*(((Model_Data!A143)+(0))/(0.5*(Inputs!$C$49+Inputs!$C$50))+Inputs!$C$47*0.097)))+0.3*(2*((SIN(((Model_Data!A143)*12.9898+(0)*78.233+Inputs!$C$47*37.719))*43758.5453)-INT((SIN(((Model_Data!A143)*12.9898+(0)*78.233+Inputs!$C$47*37.719))*43758.5453)))-1))))/1000)))*1000/Inputs!$C$12)-Model_Data!F143)</f>
        <v>242.69581625638403</v>
      </c>
      <c r="L143" s="10"/>
      <c r="M143" s="9">
        <f>Model_Data!A143</f>
        <v>10.5</v>
      </c>
      <c r="N143" s="9">
        <f>Model_Data!P143</f>
        <v>-79.138960129904746</v>
      </c>
      <c r="O143" s="9">
        <f t="shared" si="4"/>
        <v>-93.97332698399623</v>
      </c>
      <c r="P143" s="9">
        <f>Model_Data!Q143</f>
        <v>-11.882726746231945</v>
      </c>
      <c r="Q143" s="9">
        <f t="shared" si="5"/>
        <v>-14.110109156756192</v>
      </c>
      <c r="R143" s="10"/>
      <c r="S143" s="9">
        <f>Model_Data!A143</f>
        <v>10.5</v>
      </c>
      <c r="T143" s="9">
        <f>Model_Data!B143-Inputs!$C$5</f>
        <v>0.12250000000000227</v>
      </c>
      <c r="U143" s="10"/>
      <c r="V143" s="9">
        <f>Model_Data!A143</f>
        <v>10.5</v>
      </c>
      <c r="W143" s="9">
        <f>((SQRT((Model_Data!A143)^2+Inputs!$C$6^2+Inputs!$C$5^2)-Inputs!$C$5)*1000/Inputs!$C$12)</f>
        <v>515.73543492959368</v>
      </c>
      <c r="X143" s="9">
        <f>Model_Data!F143</f>
        <v>515.57790068694419</v>
      </c>
      <c r="Y143" s="10"/>
      <c r="Z143" s="9">
        <f>Model_Data!A143</f>
        <v>10.5</v>
      </c>
      <c r="AA143" s="9">
        <f>SQRT((Model_Data!A143)^2+Inputs!$C$6^2+((Model_Data!B143)-((Inputs!$C$51*(115*EXP(-(((Inputs!$C$6)-25)^2)/(4.5^2))+70*EXP(-(((Inputs!$C$6)+38)^2)/(7^2))*(0.55+0.45*SIN(2*PI()*(Model_Data!A143)/45))+24*SIN(2*PI()*(Inputs!$C$6)/9+(Model_Data!A143)/18)*EXP(-(((Inputs!$C$6)+5)^2)/(22^2))+18*SIN(2*PI()*(Model_Data!A143)/70))+Inputs!$C$28*EXP(-(((Model_Data!A143)-Inputs!$C$29)^2)/(2*Inputs!$C$31^2))*EXP(-(((Inputs!$C$6)-Inputs!$C$30)^2)/(2*Inputs!$C$32^2))+-Inputs!$C$33*EXP(-(((((Model_Data!A143)-Inputs!$C$34)^2)+(((Inputs!$C$6)-Inputs!$C$35)^2))/(2*Inputs!$C$36^2)))+Inputs!$C$37*(0.55*SIN(2*PI()*(Model_Data!A143)/Inputs!$C$39)+0.35*COS(2*PI()*(Inputs!$C$6)/Inputs!$C$40)+0.2*SIN(2*PI()*((Model_Data!A143)+(Inputs!$C$6))/(0.5*(Inputs!$C$39+Inputs!$C$40))))+Inputs!$C$38*SIN(2*PI()*(Model_Data!A143)/Inputs!$C$39)*SIN(2*PI()*(Inputs!$C$6)/Inputs!$C$40)+-Inputs!$C$41*EXP(-(((Inputs!$C$6)-Inputs!$C$43)^2)/(2*Inputs!$C$44^2))*EXP(-(((Model_Data!A143)-Inputs!$C$42)^2)/(2*Inputs!$C$45^2))+Inputs!$C$48*(0.7*(0.45*SIN(2*PI()*(((Model_Data!A143)/Inputs!$C$49)+Inputs!$C$47*0.137))+0.35*COS(2*PI()*(((Inputs!$C$6)/Inputs!$C$50)+Inputs!$C$47*0.173))+0.2*SIN(2*PI()*(((Model_Data!A143)+(Inputs!$C$6))/(0.5*(Inputs!$C$49+Inputs!$C$50))+Inputs!$C$47*0.097)))+0.3*(2*((SIN(((Model_Data!A143)*12.9898+(Inputs!$C$6)*78.233+Inputs!$C$47*37.719))*43758.5453)-INT((SIN(((Model_Data!A143)*12.9898+(Inputs!$C$6)*78.233+Inputs!$C$47*37.719))*43758.5453)))-1))))/1000)^2)</f>
        <v>400.60329381987862</v>
      </c>
      <c r="AB143" s="9">
        <f>1000*(AA144-AA142)/(Z144-Z142)*Inputs!$C$11</f>
        <v>234.93331745999058</v>
      </c>
      <c r="AC143" s="9">
        <f>-2*AB143/Inputs!$C$13</f>
        <v>-93.97332698399623</v>
      </c>
      <c r="AD143" s="9">
        <f>-2*AB143/Inputs!$C$14</f>
        <v>-14.110109156756192</v>
      </c>
    </row>
    <row r="144" spans="1:30">
      <c r="A144" s="9">
        <f>Model_Data!A144</f>
        <v>11</v>
      </c>
      <c r="B144" s="9">
        <f>((SQRT((Model_Data!A144)^2+Inputs!$C$6^2+Inputs!$C$5^2)-Inputs!$C$5)*1000/Inputs!$C$12)</f>
        <v>523.26718048803878</v>
      </c>
      <c r="C144" s="9">
        <f>Model_Data!F144</f>
        <v>523.09177190861999</v>
      </c>
      <c r="D144" s="9">
        <f>(((SQRT((Model_Data!A144)^2+Inputs!$C$6^2+((Model_Data!B144)-((Inputs!$C$51*(115*EXP(-(((Inputs!$C$6)-25)^2)/(4.5^2))+70*EXP(-(((Inputs!$C$6)+38)^2)/(7^2))*(0.55+0.45*SIN(2*PI()*(Model_Data!A144)/45))+24*SIN(2*PI()*(Inputs!$C$6)/9+(Model_Data!A144)/18)*EXP(-(((Inputs!$C$6)+5)^2)/(22^2))+18*SIN(2*PI()*(Model_Data!A144)/70))+Inputs!$C$28*EXP(-(((Model_Data!A144)-Inputs!$C$29)^2)/(2*Inputs!$C$31^2))*EXP(-(((Inputs!$C$6)-Inputs!$C$30)^2)/(2*Inputs!$C$32^2))+-Inputs!$C$33*EXP(-(((((Model_Data!A144)-Inputs!$C$34)^2)+(((Inputs!$C$6)-Inputs!$C$35)^2))/(2*Inputs!$C$36^2)))+Inputs!$C$37*(0.55*SIN(2*PI()*(Model_Data!A144)/Inputs!$C$39)+0.35*COS(2*PI()*(Inputs!$C$6)/Inputs!$C$40)+0.2*SIN(2*PI()*((Model_Data!A144)+(Inputs!$C$6))/(0.5*(Inputs!$C$39+Inputs!$C$40))))+Inputs!$C$38*SIN(2*PI()*(Model_Data!A144)/Inputs!$C$39)*SIN(2*PI()*(Inputs!$C$6)/Inputs!$C$40)+-Inputs!$C$41*EXP(-(((Inputs!$C$6)-Inputs!$C$43)^2)/(2*Inputs!$C$44^2))*EXP(-(((Model_Data!A144)-Inputs!$C$42)^2)/(2*Inputs!$C$45^2))+Inputs!$C$48*(0.7*(0.45*SIN(2*PI()*(((Model_Data!A144)/Inputs!$C$49)+Inputs!$C$47*0.137))+0.35*COS(2*PI()*(((Inputs!$C$6)/Inputs!$C$50)+Inputs!$C$47*0.173))+0.2*SIN(2*PI()*(((Model_Data!A144)+(Inputs!$C$6))/(0.5*(Inputs!$C$49+Inputs!$C$50))+Inputs!$C$47*0.097)))+0.3*(2*((SIN(((Model_Data!A144)*12.9898+(Inputs!$C$6)*78.233+Inputs!$C$47*37.719))*43758.5453)-INT((SIN(((Model_Data!A144)*12.9898+(Inputs!$C$6)*78.233+Inputs!$C$47*37.719))*43758.5453)))-1))))/1000)^2))-(((Model_Data!B144)-((Inputs!$C$51*(115*EXP(-(((0)-25)^2)/(4.5^2))+70*EXP(-(((0)+38)^2)/(7^2))*(0.55+0.45*SIN(2*PI()*(Model_Data!A144)/45))+24*SIN(2*PI()*(0)/9+(Model_Data!A144)/18)*EXP(-(((0)+5)^2)/(22^2))+18*SIN(2*PI()*(Model_Data!A144)/70))+Inputs!$C$28*EXP(-(((Model_Data!A144)-Inputs!$C$29)^2)/(2*Inputs!$C$31^2))*EXP(-(((0)-Inputs!$C$30)^2)/(2*Inputs!$C$32^2))+-Inputs!$C$33*EXP(-(((((Model_Data!A144)-Inputs!$C$34)^2)+(((0)-Inputs!$C$35)^2))/(2*Inputs!$C$36^2)))+Inputs!$C$37*(0.55*SIN(2*PI()*(Model_Data!A144)/Inputs!$C$39)+0.35*COS(2*PI()*(0)/Inputs!$C$40)+0.2*SIN(2*PI()*((Model_Data!A144)+(0))/(0.5*(Inputs!$C$39+Inputs!$C$40))))+Inputs!$C$38*SIN(2*PI()*(Model_Data!A144)/Inputs!$C$39)*SIN(2*PI()*(0)/Inputs!$C$40)+-Inputs!$C$41*EXP(-(((0)-Inputs!$C$43)^2)/(2*Inputs!$C$44^2))*EXP(-(((Model_Data!A144)-Inputs!$C$42)^2)/(2*Inputs!$C$45^2))+Inputs!$C$48*(0.7*(0.45*SIN(2*PI()*(((Model_Data!A144)/Inputs!$C$49)+Inputs!$C$47*0.137))+0.35*COS(2*PI()*(((0)/Inputs!$C$50)+Inputs!$C$47*0.173))+0.2*SIN(2*PI()*(((Model_Data!A144)+(0))/(0.5*(Inputs!$C$49+Inputs!$C$50))+Inputs!$C$47*0.097)))+0.3*(2*((SIN(((Model_Data!A144)*12.9898+(0)*78.233+Inputs!$C$47*37.719))*43758.5453)-INT((SIN(((Model_Data!A144)*12.9898+(0)*78.233+Inputs!$C$47*37.719))*43758.5453)))-1))))/1000)))*1000/Inputs!$C$12)</f>
        <v>274.79731344641641</v>
      </c>
      <c r="E144" s="9">
        <f>Model_Data!A144</f>
        <v>11</v>
      </c>
      <c r="F144" s="9">
        <f>(Inputs!$C$51*(115*EXP(-(((Inputs!$C$6)-25)^2)/(4.5^2))+70*EXP(-(((Inputs!$C$6)+38)^2)/(7^2))*(0.55+0.45*SIN(2*PI()*(Model_Data!A144)/45))+24*SIN(2*PI()*(Inputs!$C$6)/9+(Model_Data!A144)/18)*EXP(-(((Inputs!$C$6)+5)^2)/(22^2))+18*SIN(2*PI()*(Model_Data!A144)/70))+Inputs!$C$28*EXP(-(((Model_Data!A144)-Inputs!$C$29)^2)/(2*Inputs!$C$31^2))*EXP(-(((Inputs!$C$6)-Inputs!$C$30)^2)/(2*Inputs!$C$32^2))+-Inputs!$C$33*EXP(-(((((Model_Data!A144)-Inputs!$C$34)^2)+(((Inputs!$C$6)-Inputs!$C$35)^2))/(2*Inputs!$C$36^2)))+Inputs!$C$37*(0.55*SIN(2*PI()*(Model_Data!A144)/Inputs!$C$39)+0.35*COS(2*PI()*(Inputs!$C$6)/Inputs!$C$40)+0.2*SIN(2*PI()*((Model_Data!A144)+(Inputs!$C$6))/(0.5*(Inputs!$C$39+Inputs!$C$40))))+Inputs!$C$38*SIN(2*PI()*(Model_Data!A144)/Inputs!$C$39)*SIN(2*PI()*(Inputs!$C$6)/Inputs!$C$40)+-Inputs!$C$41*EXP(-(((Inputs!$C$6)-Inputs!$C$43)^2)/(2*Inputs!$C$44^2))*EXP(-(((Model_Data!A144)-Inputs!$C$42)^2)/(2*Inputs!$C$45^2))+Inputs!$C$48*(0.7*(0.45*SIN(2*PI()*(((Model_Data!A144)/Inputs!$C$49)+Inputs!$C$47*0.137))+0.35*COS(2*PI()*(((Inputs!$C$6)/Inputs!$C$50)+Inputs!$C$47*0.173))+0.2*SIN(2*PI()*(((Model_Data!A144)+(Inputs!$C$6))/(0.5*(Inputs!$C$49+Inputs!$C$50))+Inputs!$C$47*0.097)))+0.3*(2*((SIN(((Model_Data!A144)*12.9898+(Inputs!$C$6)*78.233+Inputs!$C$47*37.719))*43758.5453)-INT((SIN(((Model_Data!A144)*12.9898+(Inputs!$C$6)*78.233+Inputs!$C$47*37.719))*43758.5453)))-1)))</f>
        <v>444.93860770344918</v>
      </c>
      <c r="G144" s="9">
        <f>(Inputs!$C$51*(115*EXP(-(((0)-25)^2)/(4.5^2))+70*EXP(-(((0)+38)^2)/(7^2))*(0.55+0.45*SIN(2*PI()*(Model_Data!A144)/45))+24*SIN(2*PI()*(0)/9+(Model_Data!A144)/18)*EXP(-(((0)+5)^2)/(22^2))+18*SIN(2*PI()*(Model_Data!A144)/70))+Inputs!$C$28*EXP(-(((Model_Data!A144)-Inputs!$C$29)^2)/(2*Inputs!$C$31^2))*EXP(-(((0)-Inputs!$C$30)^2)/(2*Inputs!$C$32^2))+-Inputs!$C$33*EXP(-(((((Model_Data!A144)-Inputs!$C$34)^2)+(((0)-Inputs!$C$35)^2))/(2*Inputs!$C$36^2)))+Inputs!$C$37*(0.55*SIN(2*PI()*(Model_Data!A144)/Inputs!$C$39)+0.35*COS(2*PI()*(0)/Inputs!$C$40)+0.2*SIN(2*PI()*((Model_Data!A144)+(0))/(0.5*(Inputs!$C$39+Inputs!$C$40))))+Inputs!$C$38*SIN(2*PI()*(Model_Data!A144)/Inputs!$C$39)*SIN(2*PI()*(0)/Inputs!$C$40)+-Inputs!$C$41*EXP(-(((0)-Inputs!$C$43)^2)/(2*Inputs!$C$44^2))*EXP(-(((Model_Data!A144)-Inputs!$C$42)^2)/(2*Inputs!$C$45^2))+Inputs!$C$48*(0.7*(0.45*SIN(2*PI()*(((Model_Data!A144)/Inputs!$C$49)+Inputs!$C$47*0.137))+0.35*COS(2*PI()*(((0)/Inputs!$C$50)+Inputs!$C$47*0.173))+0.2*SIN(2*PI()*(((Model_Data!A144)+(0))/(0.5*(Inputs!$C$49+Inputs!$C$50))+Inputs!$C$47*0.097)))+0.3*(2*((SIN(((Model_Data!A144)*12.9898+(0)*78.233+Inputs!$C$47*37.719))*43758.5453)-INT((SIN(((Model_Data!A144)*12.9898+(0)*78.233+Inputs!$C$47*37.719))*43758.5453)))-1)))</f>
        <v>1.9403678384373038</v>
      </c>
      <c r="H144" s="10"/>
      <c r="I144" s="9">
        <f>Model_Data!A144</f>
        <v>11</v>
      </c>
      <c r="J144" s="9">
        <f>(Inputs!$C$51*(115*EXP(-(((Inputs!$C$6)-25)^2)/(4.5^2))+70*EXP(-(((Inputs!$C$6)+38)^2)/(7^2))*(0.55+0.45*SIN(2*PI()*(Model_Data!A144)/45))+24*SIN(2*PI()*(Inputs!$C$6)/9+(Model_Data!A144)/18)*EXP(-(((Inputs!$C$6)+5)^2)/(22^2))+18*SIN(2*PI()*(Model_Data!A144)/70))+Inputs!$C$28*EXP(-(((Model_Data!A144)-Inputs!$C$29)^2)/(2*Inputs!$C$31^2))*EXP(-(((Inputs!$C$6)-Inputs!$C$30)^2)/(2*Inputs!$C$32^2))+-Inputs!$C$33*EXP(-(((((Model_Data!A144)-Inputs!$C$34)^2)+(((Inputs!$C$6)-Inputs!$C$35)^2))/(2*Inputs!$C$36^2)))+Inputs!$C$37*(0.55*SIN(2*PI()*(Model_Data!A144)/Inputs!$C$39)+0.35*COS(2*PI()*(Inputs!$C$6)/Inputs!$C$40)+0.2*SIN(2*PI()*((Model_Data!A144)+(Inputs!$C$6))/(0.5*(Inputs!$C$39+Inputs!$C$40))))+Inputs!$C$38*SIN(2*PI()*(Model_Data!A144)/Inputs!$C$39)*SIN(2*PI()*(Inputs!$C$6)/Inputs!$C$40)+-Inputs!$C$41*EXP(-(((Inputs!$C$6)-Inputs!$C$43)^2)/(2*Inputs!$C$44^2))*EXP(-(((Model_Data!A144)-Inputs!$C$42)^2)/(2*Inputs!$C$45^2))+Inputs!$C$48*(0.7*(0.45*SIN(2*PI()*(((Model_Data!A144)/Inputs!$C$49)+Inputs!$C$47*0.137))+0.35*COS(2*PI()*(((Inputs!$C$6)/Inputs!$C$50)+Inputs!$C$47*0.173))+0.2*SIN(2*PI()*(((Model_Data!A144)+(Inputs!$C$6))/(0.5*(Inputs!$C$49+Inputs!$C$50))+Inputs!$C$47*0.097)))+0.3*(2*((SIN(((Model_Data!A144)*12.9898+(Inputs!$C$6)*78.233+Inputs!$C$47*37.719))*43758.5453)-INT((SIN(((Model_Data!A144)*12.9898+(Inputs!$C$6)*78.233+Inputs!$C$47*37.719))*43758.5453)))-1)))</f>
        <v>444.93860770344918</v>
      </c>
      <c r="K144" s="9">
        <f>-((((SQRT((Model_Data!A144)^2+Inputs!$C$6^2+((Model_Data!B144)-((Inputs!$C$51*(115*EXP(-(((Inputs!$C$6)-25)^2)/(4.5^2))+70*EXP(-(((Inputs!$C$6)+38)^2)/(7^2))*(0.55+0.45*SIN(2*PI()*(Model_Data!A144)/45))+24*SIN(2*PI()*(Inputs!$C$6)/9+(Model_Data!A144)/18)*EXP(-(((Inputs!$C$6)+5)^2)/(22^2))+18*SIN(2*PI()*(Model_Data!A144)/70))+Inputs!$C$28*EXP(-(((Model_Data!A144)-Inputs!$C$29)^2)/(2*Inputs!$C$31^2))*EXP(-(((Inputs!$C$6)-Inputs!$C$30)^2)/(2*Inputs!$C$32^2))+-Inputs!$C$33*EXP(-(((((Model_Data!A144)-Inputs!$C$34)^2)+(((Inputs!$C$6)-Inputs!$C$35)^2))/(2*Inputs!$C$36^2)))+Inputs!$C$37*(0.55*SIN(2*PI()*(Model_Data!A144)/Inputs!$C$39)+0.35*COS(2*PI()*(Inputs!$C$6)/Inputs!$C$40)+0.2*SIN(2*PI()*((Model_Data!A144)+(Inputs!$C$6))/(0.5*(Inputs!$C$39+Inputs!$C$40))))+Inputs!$C$38*SIN(2*PI()*(Model_Data!A144)/Inputs!$C$39)*SIN(2*PI()*(Inputs!$C$6)/Inputs!$C$40)+-Inputs!$C$41*EXP(-(((Inputs!$C$6)-Inputs!$C$43)^2)/(2*Inputs!$C$44^2))*EXP(-(((Model_Data!A144)-Inputs!$C$42)^2)/(2*Inputs!$C$45^2))+Inputs!$C$48*(0.7*(0.45*SIN(2*PI()*(((Model_Data!A144)/Inputs!$C$49)+Inputs!$C$47*0.137))+0.35*COS(2*PI()*(((Inputs!$C$6)/Inputs!$C$50)+Inputs!$C$47*0.173))+0.2*SIN(2*PI()*(((Model_Data!A144)+(Inputs!$C$6))/(0.5*(Inputs!$C$49+Inputs!$C$50))+Inputs!$C$47*0.097)))+0.3*(2*((SIN(((Model_Data!A144)*12.9898+(Inputs!$C$6)*78.233+Inputs!$C$47*37.719))*43758.5453)-INT((SIN(((Model_Data!A144)*12.9898+(Inputs!$C$6)*78.233+Inputs!$C$47*37.719))*43758.5453)))-1))))/1000)^2))-(((Model_Data!B144)-((Inputs!$C$51*(115*EXP(-(((0)-25)^2)/(4.5^2))+70*EXP(-(((0)+38)^2)/(7^2))*(0.55+0.45*SIN(2*PI()*(Model_Data!A144)/45))+24*SIN(2*PI()*(0)/9+(Model_Data!A144)/18)*EXP(-(((0)+5)^2)/(22^2))+18*SIN(2*PI()*(Model_Data!A144)/70))+Inputs!$C$28*EXP(-(((Model_Data!A144)-Inputs!$C$29)^2)/(2*Inputs!$C$31^2))*EXP(-(((0)-Inputs!$C$30)^2)/(2*Inputs!$C$32^2))+-Inputs!$C$33*EXP(-(((((Model_Data!A144)-Inputs!$C$34)^2)+(((0)-Inputs!$C$35)^2))/(2*Inputs!$C$36^2)))+Inputs!$C$37*(0.55*SIN(2*PI()*(Model_Data!A144)/Inputs!$C$39)+0.35*COS(2*PI()*(0)/Inputs!$C$40)+0.2*SIN(2*PI()*((Model_Data!A144)+(0))/(0.5*(Inputs!$C$39+Inputs!$C$40))))+Inputs!$C$38*SIN(2*PI()*(Model_Data!A144)/Inputs!$C$39)*SIN(2*PI()*(0)/Inputs!$C$40)+-Inputs!$C$41*EXP(-(((0)-Inputs!$C$43)^2)/(2*Inputs!$C$44^2))*EXP(-(((Model_Data!A144)-Inputs!$C$42)^2)/(2*Inputs!$C$45^2))+Inputs!$C$48*(0.7*(0.45*SIN(2*PI()*(((Model_Data!A144)/Inputs!$C$49)+Inputs!$C$47*0.137))+0.35*COS(2*PI()*(((0)/Inputs!$C$50)+Inputs!$C$47*0.173))+0.2*SIN(2*PI()*(((Model_Data!A144)+(0))/(0.5*(Inputs!$C$49+Inputs!$C$50))+Inputs!$C$47*0.097)))+0.3*(2*((SIN(((Model_Data!A144)*12.9898+(0)*78.233+Inputs!$C$47*37.719))*43758.5453)-INT((SIN(((Model_Data!A144)*12.9898+(0)*78.233+Inputs!$C$47*37.719))*43758.5453)))-1))))/1000)))*1000/Inputs!$C$12)-Model_Data!F144)</f>
        <v>248.29445846220358</v>
      </c>
      <c r="L144" s="10"/>
      <c r="M144" s="9">
        <f>Model_Data!A144</f>
        <v>11</v>
      </c>
      <c r="N144" s="9">
        <f>Model_Data!P144</f>
        <v>-82.903412917330044</v>
      </c>
      <c r="O144" s="9">
        <f t="shared" si="4"/>
        <v>-88.527256298129942</v>
      </c>
      <c r="P144" s="9">
        <f>Model_Data!Q144</f>
        <v>-12.447959897497006</v>
      </c>
      <c r="Q144" s="9">
        <f t="shared" si="5"/>
        <v>-13.292380825545038</v>
      </c>
      <c r="R144" s="10"/>
      <c r="S144" s="9">
        <f>Model_Data!A144</f>
        <v>11</v>
      </c>
      <c r="T144" s="9">
        <f>Model_Data!B144-Inputs!$C$5</f>
        <v>0.1344444444444548</v>
      </c>
      <c r="U144" s="10"/>
      <c r="V144" s="9">
        <f>Model_Data!A144</f>
        <v>11</v>
      </c>
      <c r="W144" s="9">
        <f>((SQRT((Model_Data!A144)^2+Inputs!$C$6^2+Inputs!$C$5^2)-Inputs!$C$5)*1000/Inputs!$C$12)</f>
        <v>523.26718048803878</v>
      </c>
      <c r="X144" s="9">
        <f>Model_Data!F144</f>
        <v>523.09177190861999</v>
      </c>
      <c r="Y144" s="10"/>
      <c r="Z144" s="9">
        <f>Model_Data!A144</f>
        <v>11</v>
      </c>
      <c r="AA144" s="9">
        <f>SQRT((Model_Data!A144)^2+Inputs!$C$6^2+((Model_Data!B144)-((Inputs!$C$51*(115*EXP(-(((Inputs!$C$6)-25)^2)/(4.5^2))+70*EXP(-(((Inputs!$C$6)+38)^2)/(7^2))*(0.55+0.45*SIN(2*PI()*(Model_Data!A144)/45))+24*SIN(2*PI()*(Inputs!$C$6)/9+(Model_Data!A144)/18)*EXP(-(((Inputs!$C$6)+5)^2)/(22^2))+18*SIN(2*PI()*(Model_Data!A144)/70))+Inputs!$C$28*EXP(-(((Model_Data!A144)-Inputs!$C$29)^2)/(2*Inputs!$C$31^2))*EXP(-(((Inputs!$C$6)-Inputs!$C$30)^2)/(2*Inputs!$C$32^2))+-Inputs!$C$33*EXP(-(((((Model_Data!A144)-Inputs!$C$34)^2)+(((Inputs!$C$6)-Inputs!$C$35)^2))/(2*Inputs!$C$36^2)))+Inputs!$C$37*(0.55*SIN(2*PI()*(Model_Data!A144)/Inputs!$C$39)+0.35*COS(2*PI()*(Inputs!$C$6)/Inputs!$C$40)+0.2*SIN(2*PI()*((Model_Data!A144)+(Inputs!$C$6))/(0.5*(Inputs!$C$39+Inputs!$C$40))))+Inputs!$C$38*SIN(2*PI()*(Model_Data!A144)/Inputs!$C$39)*SIN(2*PI()*(Inputs!$C$6)/Inputs!$C$40)+-Inputs!$C$41*EXP(-(((Inputs!$C$6)-Inputs!$C$43)^2)/(2*Inputs!$C$44^2))*EXP(-(((Model_Data!A144)-Inputs!$C$42)^2)/(2*Inputs!$C$45^2))+Inputs!$C$48*(0.7*(0.45*SIN(2*PI()*(((Model_Data!A144)/Inputs!$C$49)+Inputs!$C$47*0.137))+0.35*COS(2*PI()*(((Inputs!$C$6)/Inputs!$C$50)+Inputs!$C$47*0.173))+0.2*SIN(2*PI()*(((Model_Data!A144)+(Inputs!$C$6))/(0.5*(Inputs!$C$49+Inputs!$C$50))+Inputs!$C$47*0.097)))+0.3*(2*((SIN(((Model_Data!A144)*12.9898+(Inputs!$C$6)*78.233+Inputs!$C$47*37.719))*43758.5453)-INT((SIN(((Model_Data!A144)*12.9898+(Inputs!$C$6)*78.233+Inputs!$C$47*37.719))*43758.5453)))-1))))/1000)^2)</f>
        <v>400.62164329454066</v>
      </c>
      <c r="AB144" s="9">
        <f>1000*(AA145-AA143)/(Z145-Z143)*Inputs!$C$11</f>
        <v>221.31814074532485</v>
      </c>
      <c r="AC144" s="9">
        <f>-2*AB144/Inputs!$C$13</f>
        <v>-88.527256298129942</v>
      </c>
      <c r="AD144" s="9">
        <f>-2*AB144/Inputs!$C$14</f>
        <v>-13.292380825545038</v>
      </c>
    </row>
    <row r="145" spans="1:30">
      <c r="A145" s="9">
        <f>Model_Data!A145</f>
        <v>11.5</v>
      </c>
      <c r="B145" s="9">
        <f>((SQRT((Model_Data!A145)^2+Inputs!$C$6^2+Inputs!$C$5^2)-Inputs!$C$5)*1000/Inputs!$C$12)</f>
        <v>531.14897010994798</v>
      </c>
      <c r="C145" s="9">
        <f>Model_Data!F145</f>
        <v>530.95437797594514</v>
      </c>
      <c r="D145" s="9">
        <f>(((SQRT((Model_Data!A145)^2+Inputs!$C$6^2+((Model_Data!B145)-((Inputs!$C$51*(115*EXP(-(((Inputs!$C$6)-25)^2)/(4.5^2))+70*EXP(-(((Inputs!$C$6)+38)^2)/(7^2))*(0.55+0.45*SIN(2*PI()*(Model_Data!A145)/45))+24*SIN(2*PI()*(Inputs!$C$6)/9+(Model_Data!A145)/18)*EXP(-(((Inputs!$C$6)+5)^2)/(22^2))+18*SIN(2*PI()*(Model_Data!A145)/70))+Inputs!$C$28*EXP(-(((Model_Data!A145)-Inputs!$C$29)^2)/(2*Inputs!$C$31^2))*EXP(-(((Inputs!$C$6)-Inputs!$C$30)^2)/(2*Inputs!$C$32^2))+-Inputs!$C$33*EXP(-(((((Model_Data!A145)-Inputs!$C$34)^2)+(((Inputs!$C$6)-Inputs!$C$35)^2))/(2*Inputs!$C$36^2)))+Inputs!$C$37*(0.55*SIN(2*PI()*(Model_Data!A145)/Inputs!$C$39)+0.35*COS(2*PI()*(Inputs!$C$6)/Inputs!$C$40)+0.2*SIN(2*PI()*((Model_Data!A145)+(Inputs!$C$6))/(0.5*(Inputs!$C$39+Inputs!$C$40))))+Inputs!$C$38*SIN(2*PI()*(Model_Data!A145)/Inputs!$C$39)*SIN(2*PI()*(Inputs!$C$6)/Inputs!$C$40)+-Inputs!$C$41*EXP(-(((Inputs!$C$6)-Inputs!$C$43)^2)/(2*Inputs!$C$44^2))*EXP(-(((Model_Data!A145)-Inputs!$C$42)^2)/(2*Inputs!$C$45^2))+Inputs!$C$48*(0.7*(0.45*SIN(2*PI()*(((Model_Data!A145)/Inputs!$C$49)+Inputs!$C$47*0.137))+0.35*COS(2*PI()*(((Inputs!$C$6)/Inputs!$C$50)+Inputs!$C$47*0.173))+0.2*SIN(2*PI()*(((Model_Data!A145)+(Inputs!$C$6))/(0.5*(Inputs!$C$49+Inputs!$C$50))+Inputs!$C$47*0.097)))+0.3*(2*((SIN(((Model_Data!A145)*12.9898+(Inputs!$C$6)*78.233+Inputs!$C$47*37.719))*43758.5453)-INT((SIN(((Model_Data!A145)*12.9898+(Inputs!$C$6)*78.233+Inputs!$C$47*37.719))*43758.5453)))-1))))/1000)^2))-(((Model_Data!B145)-((Inputs!$C$51*(115*EXP(-(((0)-25)^2)/(4.5^2))+70*EXP(-(((0)+38)^2)/(7^2))*(0.55+0.45*SIN(2*PI()*(Model_Data!A145)/45))+24*SIN(2*PI()*(0)/9+(Model_Data!A145)/18)*EXP(-(((0)+5)^2)/(22^2))+18*SIN(2*PI()*(Model_Data!A145)/70))+Inputs!$C$28*EXP(-(((Model_Data!A145)-Inputs!$C$29)^2)/(2*Inputs!$C$31^2))*EXP(-(((0)-Inputs!$C$30)^2)/(2*Inputs!$C$32^2))+-Inputs!$C$33*EXP(-(((((Model_Data!A145)-Inputs!$C$34)^2)+(((0)-Inputs!$C$35)^2))/(2*Inputs!$C$36^2)))+Inputs!$C$37*(0.55*SIN(2*PI()*(Model_Data!A145)/Inputs!$C$39)+0.35*COS(2*PI()*(0)/Inputs!$C$40)+0.2*SIN(2*PI()*((Model_Data!A145)+(0))/(0.5*(Inputs!$C$39+Inputs!$C$40))))+Inputs!$C$38*SIN(2*PI()*(Model_Data!A145)/Inputs!$C$39)*SIN(2*PI()*(0)/Inputs!$C$40)+-Inputs!$C$41*EXP(-(((0)-Inputs!$C$43)^2)/(2*Inputs!$C$44^2))*EXP(-(((Model_Data!A145)-Inputs!$C$42)^2)/(2*Inputs!$C$45^2))+Inputs!$C$48*(0.7*(0.45*SIN(2*PI()*(((Model_Data!A145)/Inputs!$C$49)+Inputs!$C$47*0.137))+0.35*COS(2*PI()*(((0)/Inputs!$C$50)+Inputs!$C$47*0.173))+0.2*SIN(2*PI()*(((Model_Data!A145)+(0))/(0.5*(Inputs!$C$49+Inputs!$C$50))+Inputs!$C$47*0.097)))+0.3*(2*((SIN(((Model_Data!A145)*12.9898+(0)*78.233+Inputs!$C$47*37.719))*43758.5453)-INT((SIN(((Model_Data!A145)*12.9898+(0)*78.233+Inputs!$C$47*37.719))*43758.5453)))-1))))/1000)))*1000/Inputs!$C$12)</f>
        <v>289.73243556423273</v>
      </c>
      <c r="E145" s="9">
        <f>Model_Data!A145</f>
        <v>11.5</v>
      </c>
      <c r="F145" s="9">
        <f>(Inputs!$C$51*(115*EXP(-(((Inputs!$C$6)-25)^2)/(4.5^2))+70*EXP(-(((Inputs!$C$6)+38)^2)/(7^2))*(0.55+0.45*SIN(2*PI()*(Model_Data!A145)/45))+24*SIN(2*PI()*(Inputs!$C$6)/9+(Model_Data!A145)/18)*EXP(-(((Inputs!$C$6)+5)^2)/(22^2))+18*SIN(2*PI()*(Model_Data!A145)/70))+Inputs!$C$28*EXP(-(((Model_Data!A145)-Inputs!$C$29)^2)/(2*Inputs!$C$31^2))*EXP(-(((Inputs!$C$6)-Inputs!$C$30)^2)/(2*Inputs!$C$32^2))+-Inputs!$C$33*EXP(-(((((Model_Data!A145)-Inputs!$C$34)^2)+(((Inputs!$C$6)-Inputs!$C$35)^2))/(2*Inputs!$C$36^2)))+Inputs!$C$37*(0.55*SIN(2*PI()*(Model_Data!A145)/Inputs!$C$39)+0.35*COS(2*PI()*(Inputs!$C$6)/Inputs!$C$40)+0.2*SIN(2*PI()*((Model_Data!A145)+(Inputs!$C$6))/(0.5*(Inputs!$C$39+Inputs!$C$40))))+Inputs!$C$38*SIN(2*PI()*(Model_Data!A145)/Inputs!$C$39)*SIN(2*PI()*(Inputs!$C$6)/Inputs!$C$40)+-Inputs!$C$41*EXP(-(((Inputs!$C$6)-Inputs!$C$43)^2)/(2*Inputs!$C$44^2))*EXP(-(((Model_Data!A145)-Inputs!$C$42)^2)/(2*Inputs!$C$45^2))+Inputs!$C$48*(0.7*(0.45*SIN(2*PI()*(((Model_Data!A145)/Inputs!$C$49)+Inputs!$C$47*0.137))+0.35*COS(2*PI()*(((Inputs!$C$6)/Inputs!$C$50)+Inputs!$C$47*0.173))+0.2*SIN(2*PI()*(((Model_Data!A145)+(Inputs!$C$6))/(0.5*(Inputs!$C$49+Inputs!$C$50))+Inputs!$C$47*0.097)))+0.3*(2*((SIN(((Model_Data!A145)*12.9898+(Inputs!$C$6)*78.233+Inputs!$C$47*37.719))*43758.5453)-INT((SIN(((Model_Data!A145)*12.9898+(Inputs!$C$6)*78.233+Inputs!$C$47*37.719))*43758.5453)))-1)))</f>
        <v>434.44467895572086</v>
      </c>
      <c r="G145" s="9">
        <f>(Inputs!$C$51*(115*EXP(-(((0)-25)^2)/(4.5^2))+70*EXP(-(((0)+38)^2)/(7^2))*(0.55+0.45*SIN(2*PI()*(Model_Data!A145)/45))+24*SIN(2*PI()*(0)/9+(Model_Data!A145)/18)*EXP(-(((0)+5)^2)/(22^2))+18*SIN(2*PI()*(Model_Data!A145)/70))+Inputs!$C$28*EXP(-(((Model_Data!A145)-Inputs!$C$29)^2)/(2*Inputs!$C$31^2))*EXP(-(((0)-Inputs!$C$30)^2)/(2*Inputs!$C$32^2))+-Inputs!$C$33*EXP(-(((((Model_Data!A145)-Inputs!$C$34)^2)+(((0)-Inputs!$C$35)^2))/(2*Inputs!$C$36^2)))+Inputs!$C$37*(0.55*SIN(2*PI()*(Model_Data!A145)/Inputs!$C$39)+0.35*COS(2*PI()*(0)/Inputs!$C$40)+0.2*SIN(2*PI()*((Model_Data!A145)+(0))/(0.5*(Inputs!$C$39+Inputs!$C$40))))+Inputs!$C$38*SIN(2*PI()*(Model_Data!A145)/Inputs!$C$39)*SIN(2*PI()*(0)/Inputs!$C$40)+-Inputs!$C$41*EXP(-(((0)-Inputs!$C$43)^2)/(2*Inputs!$C$44^2))*EXP(-(((Model_Data!A145)-Inputs!$C$42)^2)/(2*Inputs!$C$45^2))+Inputs!$C$48*(0.7*(0.45*SIN(2*PI()*(((Model_Data!A145)/Inputs!$C$49)+Inputs!$C$47*0.137))+0.35*COS(2*PI()*(((0)/Inputs!$C$50)+Inputs!$C$47*0.173))+0.2*SIN(2*PI()*(((Model_Data!A145)+(0))/(0.5*(Inputs!$C$49+Inputs!$C$50))+Inputs!$C$47*0.097)))+0.3*(2*((SIN(((Model_Data!A145)*12.9898+(0)*78.233+Inputs!$C$47*37.719))*43758.5453)-INT((SIN(((Model_Data!A145)*12.9898+(0)*78.233+Inputs!$C$47*37.719))*43758.5453)))-1)))</f>
        <v>4.0448246838212674</v>
      </c>
      <c r="H145" s="10"/>
      <c r="I145" s="9">
        <f>Model_Data!A145</f>
        <v>11.5</v>
      </c>
      <c r="J145" s="9">
        <f>(Inputs!$C$51*(115*EXP(-(((Inputs!$C$6)-25)^2)/(4.5^2))+70*EXP(-(((Inputs!$C$6)+38)^2)/(7^2))*(0.55+0.45*SIN(2*PI()*(Model_Data!A145)/45))+24*SIN(2*PI()*(Inputs!$C$6)/9+(Model_Data!A145)/18)*EXP(-(((Inputs!$C$6)+5)^2)/(22^2))+18*SIN(2*PI()*(Model_Data!A145)/70))+Inputs!$C$28*EXP(-(((Model_Data!A145)-Inputs!$C$29)^2)/(2*Inputs!$C$31^2))*EXP(-(((Inputs!$C$6)-Inputs!$C$30)^2)/(2*Inputs!$C$32^2))+-Inputs!$C$33*EXP(-(((((Model_Data!A145)-Inputs!$C$34)^2)+(((Inputs!$C$6)-Inputs!$C$35)^2))/(2*Inputs!$C$36^2)))+Inputs!$C$37*(0.55*SIN(2*PI()*(Model_Data!A145)/Inputs!$C$39)+0.35*COS(2*PI()*(Inputs!$C$6)/Inputs!$C$40)+0.2*SIN(2*PI()*((Model_Data!A145)+(Inputs!$C$6))/(0.5*(Inputs!$C$39+Inputs!$C$40))))+Inputs!$C$38*SIN(2*PI()*(Model_Data!A145)/Inputs!$C$39)*SIN(2*PI()*(Inputs!$C$6)/Inputs!$C$40)+-Inputs!$C$41*EXP(-(((Inputs!$C$6)-Inputs!$C$43)^2)/(2*Inputs!$C$44^2))*EXP(-(((Model_Data!A145)-Inputs!$C$42)^2)/(2*Inputs!$C$45^2))+Inputs!$C$48*(0.7*(0.45*SIN(2*PI()*(((Model_Data!A145)/Inputs!$C$49)+Inputs!$C$47*0.137))+0.35*COS(2*PI()*(((Inputs!$C$6)/Inputs!$C$50)+Inputs!$C$47*0.173))+0.2*SIN(2*PI()*(((Model_Data!A145)+(Inputs!$C$6))/(0.5*(Inputs!$C$49+Inputs!$C$50))+Inputs!$C$47*0.097)))+0.3*(2*((SIN(((Model_Data!A145)*12.9898+(Inputs!$C$6)*78.233+Inputs!$C$47*37.719))*43758.5453)-INT((SIN(((Model_Data!A145)*12.9898+(Inputs!$C$6)*78.233+Inputs!$C$47*37.719))*43758.5453)))-1)))</f>
        <v>434.44467895572086</v>
      </c>
      <c r="K145" s="9">
        <f>-((((SQRT((Model_Data!A145)^2+Inputs!$C$6^2+((Model_Data!B145)-((Inputs!$C$51*(115*EXP(-(((Inputs!$C$6)-25)^2)/(4.5^2))+70*EXP(-(((Inputs!$C$6)+38)^2)/(7^2))*(0.55+0.45*SIN(2*PI()*(Model_Data!A145)/45))+24*SIN(2*PI()*(Inputs!$C$6)/9+(Model_Data!A145)/18)*EXP(-(((Inputs!$C$6)+5)^2)/(22^2))+18*SIN(2*PI()*(Model_Data!A145)/70))+Inputs!$C$28*EXP(-(((Model_Data!A145)-Inputs!$C$29)^2)/(2*Inputs!$C$31^2))*EXP(-(((Inputs!$C$6)-Inputs!$C$30)^2)/(2*Inputs!$C$32^2))+-Inputs!$C$33*EXP(-(((((Model_Data!A145)-Inputs!$C$34)^2)+(((Inputs!$C$6)-Inputs!$C$35)^2))/(2*Inputs!$C$36^2)))+Inputs!$C$37*(0.55*SIN(2*PI()*(Model_Data!A145)/Inputs!$C$39)+0.35*COS(2*PI()*(Inputs!$C$6)/Inputs!$C$40)+0.2*SIN(2*PI()*((Model_Data!A145)+(Inputs!$C$6))/(0.5*(Inputs!$C$39+Inputs!$C$40))))+Inputs!$C$38*SIN(2*PI()*(Model_Data!A145)/Inputs!$C$39)*SIN(2*PI()*(Inputs!$C$6)/Inputs!$C$40)+-Inputs!$C$41*EXP(-(((Inputs!$C$6)-Inputs!$C$43)^2)/(2*Inputs!$C$44^2))*EXP(-(((Model_Data!A145)-Inputs!$C$42)^2)/(2*Inputs!$C$45^2))+Inputs!$C$48*(0.7*(0.45*SIN(2*PI()*(((Model_Data!A145)/Inputs!$C$49)+Inputs!$C$47*0.137))+0.35*COS(2*PI()*(((Inputs!$C$6)/Inputs!$C$50)+Inputs!$C$47*0.173))+0.2*SIN(2*PI()*(((Model_Data!A145)+(Inputs!$C$6))/(0.5*(Inputs!$C$49+Inputs!$C$50))+Inputs!$C$47*0.097)))+0.3*(2*((SIN(((Model_Data!A145)*12.9898+(Inputs!$C$6)*78.233+Inputs!$C$47*37.719))*43758.5453)-INT((SIN(((Model_Data!A145)*12.9898+(Inputs!$C$6)*78.233+Inputs!$C$47*37.719))*43758.5453)))-1))))/1000)^2))-(((Model_Data!B145)-((Inputs!$C$51*(115*EXP(-(((0)-25)^2)/(4.5^2))+70*EXP(-(((0)+38)^2)/(7^2))*(0.55+0.45*SIN(2*PI()*(Model_Data!A145)/45))+24*SIN(2*PI()*(0)/9+(Model_Data!A145)/18)*EXP(-(((0)+5)^2)/(22^2))+18*SIN(2*PI()*(Model_Data!A145)/70))+Inputs!$C$28*EXP(-(((Model_Data!A145)-Inputs!$C$29)^2)/(2*Inputs!$C$31^2))*EXP(-(((0)-Inputs!$C$30)^2)/(2*Inputs!$C$32^2))+-Inputs!$C$33*EXP(-(((((Model_Data!A145)-Inputs!$C$34)^2)+(((0)-Inputs!$C$35)^2))/(2*Inputs!$C$36^2)))+Inputs!$C$37*(0.55*SIN(2*PI()*(Model_Data!A145)/Inputs!$C$39)+0.35*COS(2*PI()*(0)/Inputs!$C$40)+0.2*SIN(2*PI()*((Model_Data!A145)+(0))/(0.5*(Inputs!$C$39+Inputs!$C$40))))+Inputs!$C$38*SIN(2*PI()*(Model_Data!A145)/Inputs!$C$39)*SIN(2*PI()*(0)/Inputs!$C$40)+-Inputs!$C$41*EXP(-(((0)-Inputs!$C$43)^2)/(2*Inputs!$C$44^2))*EXP(-(((Model_Data!A145)-Inputs!$C$42)^2)/(2*Inputs!$C$45^2))+Inputs!$C$48*(0.7*(0.45*SIN(2*PI()*(((Model_Data!A145)/Inputs!$C$49)+Inputs!$C$47*0.137))+0.35*COS(2*PI()*(((0)/Inputs!$C$50)+Inputs!$C$47*0.173))+0.2*SIN(2*PI()*(((Model_Data!A145)+(0))/(0.5*(Inputs!$C$49+Inputs!$C$50))+Inputs!$C$47*0.097)))+0.3*(2*((SIN(((Model_Data!A145)*12.9898+(0)*78.233+Inputs!$C$47*37.719))*43758.5453)-INT((SIN(((Model_Data!A145)*12.9898+(0)*78.233+Inputs!$C$47*37.719))*43758.5453)))-1))))/1000)))*1000/Inputs!$C$12)-Model_Data!F145)</f>
        <v>241.2219424117124</v>
      </c>
      <c r="L145" s="10"/>
      <c r="M145" s="9">
        <f>Model_Data!A145</f>
        <v>11.5</v>
      </c>
      <c r="N145" s="9">
        <f>Model_Data!P145</f>
        <v>-86.66729878272902</v>
      </c>
      <c r="O145" s="9">
        <f t="shared" si="4"/>
        <v>-121.99284967791755</v>
      </c>
      <c r="P145" s="9">
        <f>Model_Data!Q145</f>
        <v>-13.013107925334689</v>
      </c>
      <c r="Q145" s="9">
        <f t="shared" si="5"/>
        <v>-18.317244696384019</v>
      </c>
      <c r="R145" s="10"/>
      <c r="S145" s="9">
        <f>Model_Data!A145</f>
        <v>11.5</v>
      </c>
      <c r="T145" s="9">
        <f>Model_Data!B145-Inputs!$C$5</f>
        <v>0.14694444444444343</v>
      </c>
      <c r="U145" s="10"/>
      <c r="V145" s="9">
        <f>Model_Data!A145</f>
        <v>11.5</v>
      </c>
      <c r="W145" s="9">
        <f>((SQRT((Model_Data!A145)^2+Inputs!$C$6^2+Inputs!$C$5^2)-Inputs!$C$5)*1000/Inputs!$C$12)</f>
        <v>531.14897010994798</v>
      </c>
      <c r="X145" s="9">
        <f>Model_Data!F145</f>
        <v>530.95437797594514</v>
      </c>
      <c r="Y145" s="10"/>
      <c r="Z145" s="9">
        <f>Model_Data!A145</f>
        <v>11.5</v>
      </c>
      <c r="AA145" s="9">
        <f>SQRT((Model_Data!A145)^2+Inputs!$C$6^2+((Model_Data!B145)-((Inputs!$C$51*(115*EXP(-(((Inputs!$C$6)-25)^2)/(4.5^2))+70*EXP(-(((Inputs!$C$6)+38)^2)/(7^2))*(0.55+0.45*SIN(2*PI()*(Model_Data!A145)/45))+24*SIN(2*PI()*(Inputs!$C$6)/9+(Model_Data!A145)/18)*EXP(-(((Inputs!$C$6)+5)^2)/(22^2))+18*SIN(2*PI()*(Model_Data!A145)/70))+Inputs!$C$28*EXP(-(((Model_Data!A145)-Inputs!$C$29)^2)/(2*Inputs!$C$31^2))*EXP(-(((Inputs!$C$6)-Inputs!$C$30)^2)/(2*Inputs!$C$32^2))+-Inputs!$C$33*EXP(-(((((Model_Data!A145)-Inputs!$C$34)^2)+(((Inputs!$C$6)-Inputs!$C$35)^2))/(2*Inputs!$C$36^2)))+Inputs!$C$37*(0.55*SIN(2*PI()*(Model_Data!A145)/Inputs!$C$39)+0.35*COS(2*PI()*(Inputs!$C$6)/Inputs!$C$40)+0.2*SIN(2*PI()*((Model_Data!A145)+(Inputs!$C$6))/(0.5*(Inputs!$C$39+Inputs!$C$40))))+Inputs!$C$38*SIN(2*PI()*(Model_Data!A145)/Inputs!$C$39)*SIN(2*PI()*(Inputs!$C$6)/Inputs!$C$40)+-Inputs!$C$41*EXP(-(((Inputs!$C$6)-Inputs!$C$43)^2)/(2*Inputs!$C$44^2))*EXP(-(((Model_Data!A145)-Inputs!$C$42)^2)/(2*Inputs!$C$45^2))+Inputs!$C$48*(0.7*(0.45*SIN(2*PI()*(((Model_Data!A145)/Inputs!$C$49)+Inputs!$C$47*0.137))+0.35*COS(2*PI()*(((Inputs!$C$6)/Inputs!$C$50)+Inputs!$C$47*0.173))+0.2*SIN(2*PI()*(((Model_Data!A145)+(Inputs!$C$6))/(0.5*(Inputs!$C$49+Inputs!$C$50))+Inputs!$C$47*0.097)))+0.3*(2*((SIN(((Model_Data!A145)*12.9898+(Inputs!$C$6)*78.233+Inputs!$C$47*37.719))*43758.5453)-INT((SIN(((Model_Data!A145)*12.9898+(Inputs!$C$6)*78.233+Inputs!$C$47*37.719))*43758.5453)))-1))))/1000)^2)</f>
        <v>400.65862335506495</v>
      </c>
      <c r="AB145" s="9">
        <f>1000*(AA146-AA144)/(Z146-Z144)*Inputs!$C$11</f>
        <v>304.98212419479387</v>
      </c>
      <c r="AC145" s="9">
        <f>-2*AB145/Inputs!$C$13</f>
        <v>-121.99284967791755</v>
      </c>
      <c r="AD145" s="9">
        <f>-2*AB145/Inputs!$C$14</f>
        <v>-18.317244696384019</v>
      </c>
    </row>
    <row r="146" spans="1:30">
      <c r="A146" s="9">
        <f>Model_Data!A146</f>
        <v>12</v>
      </c>
      <c r="B146" s="9">
        <f>((SQRT((Model_Data!A146)^2+Inputs!$C$6^2+Inputs!$C$5^2)-Inputs!$C$5)*1000/Inputs!$C$12)</f>
        <v>539.38076705125616</v>
      </c>
      <c r="C146" s="9">
        <f>Model_Data!F146</f>
        <v>539.16561711384361</v>
      </c>
      <c r="D146" s="9">
        <f>(((SQRT((Model_Data!A146)^2+Inputs!$C$6^2+((Model_Data!B146)-((Inputs!$C$51*(115*EXP(-(((Inputs!$C$6)-25)^2)/(4.5^2))+70*EXP(-(((Inputs!$C$6)+38)^2)/(7^2))*(0.55+0.45*SIN(2*PI()*(Model_Data!A146)/45))+24*SIN(2*PI()*(Inputs!$C$6)/9+(Model_Data!A146)/18)*EXP(-(((Inputs!$C$6)+5)^2)/(22^2))+18*SIN(2*PI()*(Model_Data!A146)/70))+Inputs!$C$28*EXP(-(((Model_Data!A146)-Inputs!$C$29)^2)/(2*Inputs!$C$31^2))*EXP(-(((Inputs!$C$6)-Inputs!$C$30)^2)/(2*Inputs!$C$32^2))+-Inputs!$C$33*EXP(-(((((Model_Data!A146)-Inputs!$C$34)^2)+(((Inputs!$C$6)-Inputs!$C$35)^2))/(2*Inputs!$C$36^2)))+Inputs!$C$37*(0.55*SIN(2*PI()*(Model_Data!A146)/Inputs!$C$39)+0.35*COS(2*PI()*(Inputs!$C$6)/Inputs!$C$40)+0.2*SIN(2*PI()*((Model_Data!A146)+(Inputs!$C$6))/(0.5*(Inputs!$C$39+Inputs!$C$40))))+Inputs!$C$38*SIN(2*PI()*(Model_Data!A146)/Inputs!$C$39)*SIN(2*PI()*(Inputs!$C$6)/Inputs!$C$40)+-Inputs!$C$41*EXP(-(((Inputs!$C$6)-Inputs!$C$43)^2)/(2*Inputs!$C$44^2))*EXP(-(((Model_Data!A146)-Inputs!$C$42)^2)/(2*Inputs!$C$45^2))+Inputs!$C$48*(0.7*(0.45*SIN(2*PI()*(((Model_Data!A146)/Inputs!$C$49)+Inputs!$C$47*0.137))+0.35*COS(2*PI()*(((Inputs!$C$6)/Inputs!$C$50)+Inputs!$C$47*0.173))+0.2*SIN(2*PI()*(((Model_Data!A146)+(Inputs!$C$6))/(0.5*(Inputs!$C$49+Inputs!$C$50))+Inputs!$C$47*0.097)))+0.3*(2*((SIN(((Model_Data!A146)*12.9898+(Inputs!$C$6)*78.233+Inputs!$C$47*37.719))*43758.5453)-INT((SIN(((Model_Data!A146)*12.9898+(Inputs!$C$6)*78.233+Inputs!$C$47*37.719))*43758.5453)))-1))))/1000)^2))-(((Model_Data!B146)-((Inputs!$C$51*(115*EXP(-(((0)-25)^2)/(4.5^2))+70*EXP(-(((0)+38)^2)/(7^2))*(0.55+0.45*SIN(2*PI()*(Model_Data!A146)/45))+24*SIN(2*PI()*(0)/9+(Model_Data!A146)/18)*EXP(-(((0)+5)^2)/(22^2))+18*SIN(2*PI()*(Model_Data!A146)/70))+Inputs!$C$28*EXP(-(((Model_Data!A146)-Inputs!$C$29)^2)/(2*Inputs!$C$31^2))*EXP(-(((0)-Inputs!$C$30)^2)/(2*Inputs!$C$32^2))+-Inputs!$C$33*EXP(-(((((Model_Data!A146)-Inputs!$C$34)^2)+(((0)-Inputs!$C$35)^2))/(2*Inputs!$C$36^2)))+Inputs!$C$37*(0.55*SIN(2*PI()*(Model_Data!A146)/Inputs!$C$39)+0.35*COS(2*PI()*(0)/Inputs!$C$40)+0.2*SIN(2*PI()*((Model_Data!A146)+(0))/(0.5*(Inputs!$C$39+Inputs!$C$40))))+Inputs!$C$38*SIN(2*PI()*(Model_Data!A146)/Inputs!$C$39)*SIN(2*PI()*(0)/Inputs!$C$40)+-Inputs!$C$41*EXP(-(((0)-Inputs!$C$43)^2)/(2*Inputs!$C$44^2))*EXP(-(((Model_Data!A146)-Inputs!$C$42)^2)/(2*Inputs!$C$45^2))+Inputs!$C$48*(0.7*(0.45*SIN(2*PI()*(((Model_Data!A146)/Inputs!$C$49)+Inputs!$C$47*0.137))+0.35*COS(2*PI()*(((0)/Inputs!$C$50)+Inputs!$C$47*0.173))+0.2*SIN(2*PI()*(((Model_Data!A146)+(0))/(0.5*(Inputs!$C$49+Inputs!$C$50))+Inputs!$C$47*0.097)))+0.3*(2*((SIN(((Model_Data!A146)*12.9898+(0)*78.233+Inputs!$C$47*37.719))*43758.5453)-INT((SIN(((Model_Data!A146)*12.9898+(0)*78.233+Inputs!$C$47*37.719))*43758.5453)))-1))))/1000)))*1000/Inputs!$C$12)</f>
        <v>306.15882999746759</v>
      </c>
      <c r="E146" s="9">
        <f>Model_Data!A146</f>
        <v>12</v>
      </c>
      <c r="F146" s="9">
        <f>(Inputs!$C$51*(115*EXP(-(((Inputs!$C$6)-25)^2)/(4.5^2))+70*EXP(-(((Inputs!$C$6)+38)^2)/(7^2))*(0.55+0.45*SIN(2*PI()*(Model_Data!A146)/45))+24*SIN(2*PI()*(Inputs!$C$6)/9+(Model_Data!A146)/18)*EXP(-(((Inputs!$C$6)+5)^2)/(22^2))+18*SIN(2*PI()*(Model_Data!A146)/70))+Inputs!$C$28*EXP(-(((Model_Data!A146)-Inputs!$C$29)^2)/(2*Inputs!$C$31^2))*EXP(-(((Inputs!$C$6)-Inputs!$C$30)^2)/(2*Inputs!$C$32^2))+-Inputs!$C$33*EXP(-(((((Model_Data!A146)-Inputs!$C$34)^2)+(((Inputs!$C$6)-Inputs!$C$35)^2))/(2*Inputs!$C$36^2)))+Inputs!$C$37*(0.55*SIN(2*PI()*(Model_Data!A146)/Inputs!$C$39)+0.35*COS(2*PI()*(Inputs!$C$6)/Inputs!$C$40)+0.2*SIN(2*PI()*((Model_Data!A146)+(Inputs!$C$6))/(0.5*(Inputs!$C$39+Inputs!$C$40))))+Inputs!$C$38*SIN(2*PI()*(Model_Data!A146)/Inputs!$C$39)*SIN(2*PI()*(Inputs!$C$6)/Inputs!$C$40)+-Inputs!$C$41*EXP(-(((Inputs!$C$6)-Inputs!$C$43)^2)/(2*Inputs!$C$44^2))*EXP(-(((Model_Data!A146)-Inputs!$C$42)^2)/(2*Inputs!$C$45^2))+Inputs!$C$48*(0.7*(0.45*SIN(2*PI()*(((Model_Data!A146)/Inputs!$C$49)+Inputs!$C$47*0.137))+0.35*COS(2*PI()*(((Inputs!$C$6)/Inputs!$C$50)+Inputs!$C$47*0.173))+0.2*SIN(2*PI()*(((Model_Data!A146)+(Inputs!$C$6))/(0.5*(Inputs!$C$49+Inputs!$C$50))+Inputs!$C$47*0.097)))+0.3*(2*((SIN(((Model_Data!A146)*12.9898+(Inputs!$C$6)*78.233+Inputs!$C$47*37.719))*43758.5453)-INT((SIN(((Model_Data!A146)*12.9898+(Inputs!$C$6)*78.233+Inputs!$C$47*37.719))*43758.5453)))-1)))</f>
        <v>422.8387186345762</v>
      </c>
      <c r="G146" s="9">
        <f>(Inputs!$C$51*(115*EXP(-(((0)-25)^2)/(4.5^2))+70*EXP(-(((0)+38)^2)/(7^2))*(0.55+0.45*SIN(2*PI()*(Model_Data!A146)/45))+24*SIN(2*PI()*(0)/9+(Model_Data!A146)/18)*EXP(-(((0)+5)^2)/(22^2))+18*SIN(2*PI()*(Model_Data!A146)/70))+Inputs!$C$28*EXP(-(((Model_Data!A146)-Inputs!$C$29)^2)/(2*Inputs!$C$31^2))*EXP(-(((0)-Inputs!$C$30)^2)/(2*Inputs!$C$32^2))+-Inputs!$C$33*EXP(-(((((Model_Data!A146)-Inputs!$C$34)^2)+(((0)-Inputs!$C$35)^2))/(2*Inputs!$C$36^2)))+Inputs!$C$37*(0.55*SIN(2*PI()*(Model_Data!A146)/Inputs!$C$39)+0.35*COS(2*PI()*(0)/Inputs!$C$40)+0.2*SIN(2*PI()*((Model_Data!A146)+(0))/(0.5*(Inputs!$C$39+Inputs!$C$40))))+Inputs!$C$38*SIN(2*PI()*(Model_Data!A146)/Inputs!$C$39)*SIN(2*PI()*(0)/Inputs!$C$40)+-Inputs!$C$41*EXP(-(((0)-Inputs!$C$43)^2)/(2*Inputs!$C$44^2))*EXP(-(((Model_Data!A146)-Inputs!$C$42)^2)/(2*Inputs!$C$45^2))+Inputs!$C$48*(0.7*(0.45*SIN(2*PI()*(((Model_Data!A146)/Inputs!$C$49)+Inputs!$C$47*0.137))+0.35*COS(2*PI()*(((0)/Inputs!$C$50)+Inputs!$C$47*0.173))+0.2*SIN(2*PI()*(((Model_Data!A146)+(0))/(0.5*(Inputs!$C$49+Inputs!$C$50))+Inputs!$C$47*0.097)))+0.3*(2*((SIN(((Model_Data!A146)*12.9898+(0)*78.233+Inputs!$C$47*37.719))*43758.5453)-INT((SIN(((Model_Data!A146)*12.9898+(0)*78.233+Inputs!$C$47*37.719))*43758.5453)))-1)))</f>
        <v>7.073891806129688</v>
      </c>
      <c r="H146" s="10"/>
      <c r="I146" s="9">
        <f>Model_Data!A146</f>
        <v>12</v>
      </c>
      <c r="J146" s="9">
        <f>(Inputs!$C$51*(115*EXP(-(((Inputs!$C$6)-25)^2)/(4.5^2))+70*EXP(-(((Inputs!$C$6)+38)^2)/(7^2))*(0.55+0.45*SIN(2*PI()*(Model_Data!A146)/45))+24*SIN(2*PI()*(Inputs!$C$6)/9+(Model_Data!A146)/18)*EXP(-(((Inputs!$C$6)+5)^2)/(22^2))+18*SIN(2*PI()*(Model_Data!A146)/70))+Inputs!$C$28*EXP(-(((Model_Data!A146)-Inputs!$C$29)^2)/(2*Inputs!$C$31^2))*EXP(-(((Inputs!$C$6)-Inputs!$C$30)^2)/(2*Inputs!$C$32^2))+-Inputs!$C$33*EXP(-(((((Model_Data!A146)-Inputs!$C$34)^2)+(((Inputs!$C$6)-Inputs!$C$35)^2))/(2*Inputs!$C$36^2)))+Inputs!$C$37*(0.55*SIN(2*PI()*(Model_Data!A146)/Inputs!$C$39)+0.35*COS(2*PI()*(Inputs!$C$6)/Inputs!$C$40)+0.2*SIN(2*PI()*((Model_Data!A146)+(Inputs!$C$6))/(0.5*(Inputs!$C$39+Inputs!$C$40))))+Inputs!$C$38*SIN(2*PI()*(Model_Data!A146)/Inputs!$C$39)*SIN(2*PI()*(Inputs!$C$6)/Inputs!$C$40)+-Inputs!$C$41*EXP(-(((Inputs!$C$6)-Inputs!$C$43)^2)/(2*Inputs!$C$44^2))*EXP(-(((Model_Data!A146)-Inputs!$C$42)^2)/(2*Inputs!$C$45^2))+Inputs!$C$48*(0.7*(0.45*SIN(2*PI()*(((Model_Data!A146)/Inputs!$C$49)+Inputs!$C$47*0.137))+0.35*COS(2*PI()*(((Inputs!$C$6)/Inputs!$C$50)+Inputs!$C$47*0.173))+0.2*SIN(2*PI()*(((Model_Data!A146)+(Inputs!$C$6))/(0.5*(Inputs!$C$49+Inputs!$C$50))+Inputs!$C$47*0.097)))+0.3*(2*((SIN(((Model_Data!A146)*12.9898+(Inputs!$C$6)*78.233+Inputs!$C$47*37.719))*43758.5453)-INT((SIN(((Model_Data!A146)*12.9898+(Inputs!$C$6)*78.233+Inputs!$C$47*37.719))*43758.5453)))-1)))</f>
        <v>422.8387186345762</v>
      </c>
      <c r="K146" s="9">
        <f>-((((SQRT((Model_Data!A146)^2+Inputs!$C$6^2+((Model_Data!B146)-((Inputs!$C$51*(115*EXP(-(((Inputs!$C$6)-25)^2)/(4.5^2))+70*EXP(-(((Inputs!$C$6)+38)^2)/(7^2))*(0.55+0.45*SIN(2*PI()*(Model_Data!A146)/45))+24*SIN(2*PI()*(Inputs!$C$6)/9+(Model_Data!A146)/18)*EXP(-(((Inputs!$C$6)+5)^2)/(22^2))+18*SIN(2*PI()*(Model_Data!A146)/70))+Inputs!$C$28*EXP(-(((Model_Data!A146)-Inputs!$C$29)^2)/(2*Inputs!$C$31^2))*EXP(-(((Inputs!$C$6)-Inputs!$C$30)^2)/(2*Inputs!$C$32^2))+-Inputs!$C$33*EXP(-(((((Model_Data!A146)-Inputs!$C$34)^2)+(((Inputs!$C$6)-Inputs!$C$35)^2))/(2*Inputs!$C$36^2)))+Inputs!$C$37*(0.55*SIN(2*PI()*(Model_Data!A146)/Inputs!$C$39)+0.35*COS(2*PI()*(Inputs!$C$6)/Inputs!$C$40)+0.2*SIN(2*PI()*((Model_Data!A146)+(Inputs!$C$6))/(0.5*(Inputs!$C$39+Inputs!$C$40))))+Inputs!$C$38*SIN(2*PI()*(Model_Data!A146)/Inputs!$C$39)*SIN(2*PI()*(Inputs!$C$6)/Inputs!$C$40)+-Inputs!$C$41*EXP(-(((Inputs!$C$6)-Inputs!$C$43)^2)/(2*Inputs!$C$44^2))*EXP(-(((Model_Data!A146)-Inputs!$C$42)^2)/(2*Inputs!$C$45^2))+Inputs!$C$48*(0.7*(0.45*SIN(2*PI()*(((Model_Data!A146)/Inputs!$C$49)+Inputs!$C$47*0.137))+0.35*COS(2*PI()*(((Inputs!$C$6)/Inputs!$C$50)+Inputs!$C$47*0.173))+0.2*SIN(2*PI()*(((Model_Data!A146)+(Inputs!$C$6))/(0.5*(Inputs!$C$49+Inputs!$C$50))+Inputs!$C$47*0.097)))+0.3*(2*((SIN(((Model_Data!A146)*12.9898+(Inputs!$C$6)*78.233+Inputs!$C$47*37.719))*43758.5453)-INT((SIN(((Model_Data!A146)*12.9898+(Inputs!$C$6)*78.233+Inputs!$C$47*37.719))*43758.5453)))-1))))/1000)^2))-(((Model_Data!B146)-((Inputs!$C$51*(115*EXP(-(((0)-25)^2)/(4.5^2))+70*EXP(-(((0)+38)^2)/(7^2))*(0.55+0.45*SIN(2*PI()*(Model_Data!A146)/45))+24*SIN(2*PI()*(0)/9+(Model_Data!A146)/18)*EXP(-(((0)+5)^2)/(22^2))+18*SIN(2*PI()*(Model_Data!A146)/70))+Inputs!$C$28*EXP(-(((Model_Data!A146)-Inputs!$C$29)^2)/(2*Inputs!$C$31^2))*EXP(-(((0)-Inputs!$C$30)^2)/(2*Inputs!$C$32^2))+-Inputs!$C$33*EXP(-(((((Model_Data!A146)-Inputs!$C$34)^2)+(((0)-Inputs!$C$35)^2))/(2*Inputs!$C$36^2)))+Inputs!$C$37*(0.55*SIN(2*PI()*(Model_Data!A146)/Inputs!$C$39)+0.35*COS(2*PI()*(0)/Inputs!$C$40)+0.2*SIN(2*PI()*((Model_Data!A146)+(0))/(0.5*(Inputs!$C$39+Inputs!$C$40))))+Inputs!$C$38*SIN(2*PI()*(Model_Data!A146)/Inputs!$C$39)*SIN(2*PI()*(0)/Inputs!$C$40)+-Inputs!$C$41*EXP(-(((0)-Inputs!$C$43)^2)/(2*Inputs!$C$44^2))*EXP(-(((Model_Data!A146)-Inputs!$C$42)^2)/(2*Inputs!$C$45^2))+Inputs!$C$48*(0.7*(0.45*SIN(2*PI()*(((Model_Data!A146)/Inputs!$C$49)+Inputs!$C$47*0.137))+0.35*COS(2*PI()*(((0)/Inputs!$C$50)+Inputs!$C$47*0.173))+0.2*SIN(2*PI()*(((Model_Data!A146)+(0))/(0.5*(Inputs!$C$49+Inputs!$C$50))+Inputs!$C$47*0.097)))+0.3*(2*((SIN(((Model_Data!A146)*12.9898+(0)*78.233+Inputs!$C$47*37.719))*43758.5453)-INT((SIN(((Model_Data!A146)*12.9898+(0)*78.233+Inputs!$C$47*37.719))*43758.5453)))-1))))/1000)))*1000/Inputs!$C$12)-Model_Data!F146)</f>
        <v>233.00678711637602</v>
      </c>
      <c r="L146" s="10"/>
      <c r="M146" s="9">
        <f>Model_Data!A146</f>
        <v>12</v>
      </c>
      <c r="N146" s="9">
        <f>Model_Data!P146</f>
        <v>-90.430592152665639</v>
      </c>
      <c r="O146" s="9">
        <f t="shared" si="4"/>
        <v>-90.993503743720794</v>
      </c>
      <c r="P146" s="9">
        <f>Model_Data!Q146</f>
        <v>-13.578166989889736</v>
      </c>
      <c r="Q146" s="9">
        <f t="shared" si="5"/>
        <v>-13.662688249807928</v>
      </c>
      <c r="R146" s="10"/>
      <c r="S146" s="9">
        <f>Model_Data!A146</f>
        <v>12</v>
      </c>
      <c r="T146" s="9">
        <f>Model_Data!B146-Inputs!$C$5</f>
        <v>0.16000000000002501</v>
      </c>
      <c r="U146" s="10"/>
      <c r="V146" s="9">
        <f>Model_Data!A146</f>
        <v>12</v>
      </c>
      <c r="W146" s="9">
        <f>((SQRT((Model_Data!A146)^2+Inputs!$C$6^2+Inputs!$C$5^2)-Inputs!$C$5)*1000/Inputs!$C$12)</f>
        <v>539.38076705125616</v>
      </c>
      <c r="X146" s="9">
        <f>Model_Data!F146</f>
        <v>539.16561711384361</v>
      </c>
      <c r="Y146" s="10"/>
      <c r="Z146" s="9">
        <f>Model_Data!A146</f>
        <v>12</v>
      </c>
      <c r="AA146" s="9">
        <f>SQRT((Model_Data!A146)^2+Inputs!$C$6^2+((Model_Data!B146)-((Inputs!$C$51*(115*EXP(-(((Inputs!$C$6)-25)^2)/(4.5^2))+70*EXP(-(((Inputs!$C$6)+38)^2)/(7^2))*(0.55+0.45*SIN(2*PI()*(Model_Data!A146)/45))+24*SIN(2*PI()*(Inputs!$C$6)/9+(Model_Data!A146)/18)*EXP(-(((Inputs!$C$6)+5)^2)/(22^2))+18*SIN(2*PI()*(Model_Data!A146)/70))+Inputs!$C$28*EXP(-(((Model_Data!A146)-Inputs!$C$29)^2)/(2*Inputs!$C$31^2))*EXP(-(((Inputs!$C$6)-Inputs!$C$30)^2)/(2*Inputs!$C$32^2))+-Inputs!$C$33*EXP(-(((((Model_Data!A146)-Inputs!$C$34)^2)+(((Inputs!$C$6)-Inputs!$C$35)^2))/(2*Inputs!$C$36^2)))+Inputs!$C$37*(0.55*SIN(2*PI()*(Model_Data!A146)/Inputs!$C$39)+0.35*COS(2*PI()*(Inputs!$C$6)/Inputs!$C$40)+0.2*SIN(2*PI()*((Model_Data!A146)+(Inputs!$C$6))/(0.5*(Inputs!$C$39+Inputs!$C$40))))+Inputs!$C$38*SIN(2*PI()*(Model_Data!A146)/Inputs!$C$39)*SIN(2*PI()*(Inputs!$C$6)/Inputs!$C$40)+-Inputs!$C$41*EXP(-(((Inputs!$C$6)-Inputs!$C$43)^2)/(2*Inputs!$C$44^2))*EXP(-(((Model_Data!A146)-Inputs!$C$42)^2)/(2*Inputs!$C$45^2))+Inputs!$C$48*(0.7*(0.45*SIN(2*PI()*(((Model_Data!A146)/Inputs!$C$49)+Inputs!$C$47*0.137))+0.35*COS(2*PI()*(((Inputs!$C$6)/Inputs!$C$50)+Inputs!$C$47*0.173))+0.2*SIN(2*PI()*(((Model_Data!A146)+(Inputs!$C$6))/(0.5*(Inputs!$C$49+Inputs!$C$50))+Inputs!$C$47*0.097)))+0.3*(2*((SIN(((Model_Data!A146)*12.9898+(Inputs!$C$6)*78.233+Inputs!$C$47*37.719))*43758.5453)-INT((SIN(((Model_Data!A146)*12.9898+(Inputs!$C$6)*78.233+Inputs!$C$47*37.719))*43758.5453)))-1))))/1000)^2)</f>
        <v>400.69788882558936</v>
      </c>
      <c r="AB146" s="9">
        <f>1000*(AA147-AA145)/(Z147-Z145)*Inputs!$C$11</f>
        <v>227.48375935930198</v>
      </c>
      <c r="AC146" s="9">
        <f>-2*AB146/Inputs!$C$13</f>
        <v>-90.993503743720794</v>
      </c>
      <c r="AD146" s="9">
        <f>-2*AB146/Inputs!$C$14</f>
        <v>-13.662688249807928</v>
      </c>
    </row>
    <row r="147" spans="1:30">
      <c r="A147" s="9">
        <f>Model_Data!A147</f>
        <v>12.5</v>
      </c>
      <c r="B147" s="9">
        <f>((SQRT((Model_Data!A147)^2+Inputs!$C$6^2+Inputs!$C$5^2)-Inputs!$C$5)*1000/Inputs!$C$12)</f>
        <v>547.96253294156986</v>
      </c>
      <c r="C147" s="9">
        <f>Model_Data!F147</f>
        <v>547.72538305977127</v>
      </c>
      <c r="D147" s="9">
        <f>(((SQRT((Model_Data!A147)^2+Inputs!$C$6^2+((Model_Data!B147)-((Inputs!$C$51*(115*EXP(-(((Inputs!$C$6)-25)^2)/(4.5^2))+70*EXP(-(((Inputs!$C$6)+38)^2)/(7^2))*(0.55+0.45*SIN(2*PI()*(Model_Data!A147)/45))+24*SIN(2*PI()*(Inputs!$C$6)/9+(Model_Data!A147)/18)*EXP(-(((Inputs!$C$6)+5)^2)/(22^2))+18*SIN(2*PI()*(Model_Data!A147)/70))+Inputs!$C$28*EXP(-(((Model_Data!A147)-Inputs!$C$29)^2)/(2*Inputs!$C$31^2))*EXP(-(((Inputs!$C$6)-Inputs!$C$30)^2)/(2*Inputs!$C$32^2))+-Inputs!$C$33*EXP(-(((((Model_Data!A147)-Inputs!$C$34)^2)+(((Inputs!$C$6)-Inputs!$C$35)^2))/(2*Inputs!$C$36^2)))+Inputs!$C$37*(0.55*SIN(2*PI()*(Model_Data!A147)/Inputs!$C$39)+0.35*COS(2*PI()*(Inputs!$C$6)/Inputs!$C$40)+0.2*SIN(2*PI()*((Model_Data!A147)+(Inputs!$C$6))/(0.5*(Inputs!$C$39+Inputs!$C$40))))+Inputs!$C$38*SIN(2*PI()*(Model_Data!A147)/Inputs!$C$39)*SIN(2*PI()*(Inputs!$C$6)/Inputs!$C$40)+-Inputs!$C$41*EXP(-(((Inputs!$C$6)-Inputs!$C$43)^2)/(2*Inputs!$C$44^2))*EXP(-(((Model_Data!A147)-Inputs!$C$42)^2)/(2*Inputs!$C$45^2))+Inputs!$C$48*(0.7*(0.45*SIN(2*PI()*(((Model_Data!A147)/Inputs!$C$49)+Inputs!$C$47*0.137))+0.35*COS(2*PI()*(((Inputs!$C$6)/Inputs!$C$50)+Inputs!$C$47*0.173))+0.2*SIN(2*PI()*(((Model_Data!A147)+(Inputs!$C$6))/(0.5*(Inputs!$C$49+Inputs!$C$50))+Inputs!$C$47*0.097)))+0.3*(2*((SIN(((Model_Data!A147)*12.9898+(Inputs!$C$6)*78.233+Inputs!$C$47*37.719))*43758.5453)-INT((SIN(((Model_Data!A147)*12.9898+(Inputs!$C$6)*78.233+Inputs!$C$47*37.719))*43758.5453)))-1))))/1000)^2))-(((Model_Data!B147)-((Inputs!$C$51*(115*EXP(-(((0)-25)^2)/(4.5^2))+70*EXP(-(((0)+38)^2)/(7^2))*(0.55+0.45*SIN(2*PI()*(Model_Data!A147)/45))+24*SIN(2*PI()*(0)/9+(Model_Data!A147)/18)*EXP(-(((0)+5)^2)/(22^2))+18*SIN(2*PI()*(Model_Data!A147)/70))+Inputs!$C$28*EXP(-(((Model_Data!A147)-Inputs!$C$29)^2)/(2*Inputs!$C$31^2))*EXP(-(((0)-Inputs!$C$30)^2)/(2*Inputs!$C$32^2))+-Inputs!$C$33*EXP(-(((((Model_Data!A147)-Inputs!$C$34)^2)+(((0)-Inputs!$C$35)^2))/(2*Inputs!$C$36^2)))+Inputs!$C$37*(0.55*SIN(2*PI()*(Model_Data!A147)/Inputs!$C$39)+0.35*COS(2*PI()*(0)/Inputs!$C$40)+0.2*SIN(2*PI()*((Model_Data!A147)+(0))/(0.5*(Inputs!$C$39+Inputs!$C$40))))+Inputs!$C$38*SIN(2*PI()*(Model_Data!A147)/Inputs!$C$39)*SIN(2*PI()*(0)/Inputs!$C$40)+-Inputs!$C$41*EXP(-(((0)-Inputs!$C$43)^2)/(2*Inputs!$C$44^2))*EXP(-(((Model_Data!A147)-Inputs!$C$42)^2)/(2*Inputs!$C$45^2))+Inputs!$C$48*(0.7*(0.45*SIN(2*PI()*(((Model_Data!A147)/Inputs!$C$49)+Inputs!$C$47*0.137))+0.35*COS(2*PI()*(((0)/Inputs!$C$50)+Inputs!$C$47*0.173))+0.2*SIN(2*PI()*(((Model_Data!A147)+(0))/(0.5*(Inputs!$C$49+Inputs!$C$50))+Inputs!$C$47*0.097)))+0.3*(2*((SIN(((Model_Data!A147)*12.9898+(0)*78.233+Inputs!$C$47*37.719))*43758.5453)-INT((SIN(((Model_Data!A147)*12.9898+(0)*78.233+Inputs!$C$47*37.719))*43758.5453)))-1))))/1000)))*1000/Inputs!$C$12)</f>
        <v>301.23355596528876</v>
      </c>
      <c r="E147" s="9">
        <f>Model_Data!A147</f>
        <v>12.5</v>
      </c>
      <c r="F147" s="9">
        <f>(Inputs!$C$51*(115*EXP(-(((Inputs!$C$6)-25)^2)/(4.5^2))+70*EXP(-(((Inputs!$C$6)+38)^2)/(7^2))*(0.55+0.45*SIN(2*PI()*(Model_Data!A147)/45))+24*SIN(2*PI()*(Inputs!$C$6)/9+(Model_Data!A147)/18)*EXP(-(((Inputs!$C$6)+5)^2)/(22^2))+18*SIN(2*PI()*(Model_Data!A147)/70))+Inputs!$C$28*EXP(-(((Model_Data!A147)-Inputs!$C$29)^2)/(2*Inputs!$C$31^2))*EXP(-(((Inputs!$C$6)-Inputs!$C$30)^2)/(2*Inputs!$C$32^2))+-Inputs!$C$33*EXP(-(((((Model_Data!A147)-Inputs!$C$34)^2)+(((Inputs!$C$6)-Inputs!$C$35)^2))/(2*Inputs!$C$36^2)))+Inputs!$C$37*(0.55*SIN(2*PI()*(Model_Data!A147)/Inputs!$C$39)+0.35*COS(2*PI()*(Inputs!$C$6)/Inputs!$C$40)+0.2*SIN(2*PI()*((Model_Data!A147)+(Inputs!$C$6))/(0.5*(Inputs!$C$39+Inputs!$C$40))))+Inputs!$C$38*SIN(2*PI()*(Model_Data!A147)/Inputs!$C$39)*SIN(2*PI()*(Inputs!$C$6)/Inputs!$C$40)+-Inputs!$C$41*EXP(-(((Inputs!$C$6)-Inputs!$C$43)^2)/(2*Inputs!$C$44^2))*EXP(-(((Model_Data!A147)-Inputs!$C$42)^2)/(2*Inputs!$C$45^2))+Inputs!$C$48*(0.7*(0.45*SIN(2*PI()*(((Model_Data!A147)/Inputs!$C$49)+Inputs!$C$47*0.137))+0.35*COS(2*PI()*(((Inputs!$C$6)/Inputs!$C$50)+Inputs!$C$47*0.173))+0.2*SIN(2*PI()*(((Model_Data!A147)+(Inputs!$C$6))/(0.5*(Inputs!$C$49+Inputs!$C$50))+Inputs!$C$47*0.097)))+0.3*(2*((SIN(((Model_Data!A147)*12.9898+(Inputs!$C$6)*78.233+Inputs!$C$47*37.719))*43758.5453)-INT((SIN(((Model_Data!A147)*12.9898+(Inputs!$C$6)*78.233+Inputs!$C$47*37.719))*43758.5453)))-1)))</f>
        <v>434.12423495839124</v>
      </c>
      <c r="G147" s="9">
        <f>(Inputs!$C$51*(115*EXP(-(((0)-25)^2)/(4.5^2))+70*EXP(-(((0)+38)^2)/(7^2))*(0.55+0.45*SIN(2*PI()*(Model_Data!A147)/45))+24*SIN(2*PI()*(0)/9+(Model_Data!A147)/18)*EXP(-(((0)+5)^2)/(22^2))+18*SIN(2*PI()*(Model_Data!A147)/70))+Inputs!$C$28*EXP(-(((Model_Data!A147)-Inputs!$C$29)^2)/(2*Inputs!$C$31^2))*EXP(-(((0)-Inputs!$C$30)^2)/(2*Inputs!$C$32^2))+-Inputs!$C$33*EXP(-(((((Model_Data!A147)-Inputs!$C$34)^2)+(((0)-Inputs!$C$35)^2))/(2*Inputs!$C$36^2)))+Inputs!$C$37*(0.55*SIN(2*PI()*(Model_Data!A147)/Inputs!$C$39)+0.35*COS(2*PI()*(0)/Inputs!$C$40)+0.2*SIN(2*PI()*((Model_Data!A147)+(0))/(0.5*(Inputs!$C$39+Inputs!$C$40))))+Inputs!$C$38*SIN(2*PI()*(Model_Data!A147)/Inputs!$C$39)*SIN(2*PI()*(0)/Inputs!$C$40)+-Inputs!$C$41*EXP(-(((0)-Inputs!$C$43)^2)/(2*Inputs!$C$44^2))*EXP(-(((Model_Data!A147)-Inputs!$C$42)^2)/(2*Inputs!$C$45^2))+Inputs!$C$48*(0.7*(0.45*SIN(2*PI()*(((Model_Data!A147)/Inputs!$C$49)+Inputs!$C$47*0.137))+0.35*COS(2*PI()*(((0)/Inputs!$C$50)+Inputs!$C$47*0.173))+0.2*SIN(2*PI()*(((Model_Data!A147)+(0))/(0.5*(Inputs!$C$49+Inputs!$C$50))+Inputs!$C$47*0.097)))+0.3*(2*((SIN(((Model_Data!A147)*12.9898+(0)*78.233+Inputs!$C$47*37.719))*43758.5453)-INT((SIN(((Model_Data!A147)*12.9898+(0)*78.233+Inputs!$C$47*37.719))*43758.5453)))-1)))</f>
        <v>-5.6874541754451418</v>
      </c>
      <c r="H147" s="10"/>
      <c r="I147" s="9">
        <f>Model_Data!A147</f>
        <v>12.5</v>
      </c>
      <c r="J147" s="9">
        <f>(Inputs!$C$51*(115*EXP(-(((Inputs!$C$6)-25)^2)/(4.5^2))+70*EXP(-(((Inputs!$C$6)+38)^2)/(7^2))*(0.55+0.45*SIN(2*PI()*(Model_Data!A147)/45))+24*SIN(2*PI()*(Inputs!$C$6)/9+(Model_Data!A147)/18)*EXP(-(((Inputs!$C$6)+5)^2)/(22^2))+18*SIN(2*PI()*(Model_Data!A147)/70))+Inputs!$C$28*EXP(-(((Model_Data!A147)-Inputs!$C$29)^2)/(2*Inputs!$C$31^2))*EXP(-(((Inputs!$C$6)-Inputs!$C$30)^2)/(2*Inputs!$C$32^2))+-Inputs!$C$33*EXP(-(((((Model_Data!A147)-Inputs!$C$34)^2)+(((Inputs!$C$6)-Inputs!$C$35)^2))/(2*Inputs!$C$36^2)))+Inputs!$C$37*(0.55*SIN(2*PI()*(Model_Data!A147)/Inputs!$C$39)+0.35*COS(2*PI()*(Inputs!$C$6)/Inputs!$C$40)+0.2*SIN(2*PI()*((Model_Data!A147)+(Inputs!$C$6))/(0.5*(Inputs!$C$39+Inputs!$C$40))))+Inputs!$C$38*SIN(2*PI()*(Model_Data!A147)/Inputs!$C$39)*SIN(2*PI()*(Inputs!$C$6)/Inputs!$C$40)+-Inputs!$C$41*EXP(-(((Inputs!$C$6)-Inputs!$C$43)^2)/(2*Inputs!$C$44^2))*EXP(-(((Model_Data!A147)-Inputs!$C$42)^2)/(2*Inputs!$C$45^2))+Inputs!$C$48*(0.7*(0.45*SIN(2*PI()*(((Model_Data!A147)/Inputs!$C$49)+Inputs!$C$47*0.137))+0.35*COS(2*PI()*(((Inputs!$C$6)/Inputs!$C$50)+Inputs!$C$47*0.173))+0.2*SIN(2*PI()*(((Model_Data!A147)+(Inputs!$C$6))/(0.5*(Inputs!$C$49+Inputs!$C$50))+Inputs!$C$47*0.097)))+0.3*(2*((SIN(((Model_Data!A147)*12.9898+(Inputs!$C$6)*78.233+Inputs!$C$47*37.719))*43758.5453)-INT((SIN(((Model_Data!A147)*12.9898+(Inputs!$C$6)*78.233+Inputs!$C$47*37.719))*43758.5453)))-1)))</f>
        <v>434.12423495839124</v>
      </c>
      <c r="K147" s="9">
        <f>-((((SQRT((Model_Data!A147)^2+Inputs!$C$6^2+((Model_Data!B147)-((Inputs!$C$51*(115*EXP(-(((Inputs!$C$6)-25)^2)/(4.5^2))+70*EXP(-(((Inputs!$C$6)+38)^2)/(7^2))*(0.55+0.45*SIN(2*PI()*(Model_Data!A147)/45))+24*SIN(2*PI()*(Inputs!$C$6)/9+(Model_Data!A147)/18)*EXP(-(((Inputs!$C$6)+5)^2)/(22^2))+18*SIN(2*PI()*(Model_Data!A147)/70))+Inputs!$C$28*EXP(-(((Model_Data!A147)-Inputs!$C$29)^2)/(2*Inputs!$C$31^2))*EXP(-(((Inputs!$C$6)-Inputs!$C$30)^2)/(2*Inputs!$C$32^2))+-Inputs!$C$33*EXP(-(((((Model_Data!A147)-Inputs!$C$34)^2)+(((Inputs!$C$6)-Inputs!$C$35)^2))/(2*Inputs!$C$36^2)))+Inputs!$C$37*(0.55*SIN(2*PI()*(Model_Data!A147)/Inputs!$C$39)+0.35*COS(2*PI()*(Inputs!$C$6)/Inputs!$C$40)+0.2*SIN(2*PI()*((Model_Data!A147)+(Inputs!$C$6))/(0.5*(Inputs!$C$39+Inputs!$C$40))))+Inputs!$C$38*SIN(2*PI()*(Model_Data!A147)/Inputs!$C$39)*SIN(2*PI()*(Inputs!$C$6)/Inputs!$C$40)+-Inputs!$C$41*EXP(-(((Inputs!$C$6)-Inputs!$C$43)^2)/(2*Inputs!$C$44^2))*EXP(-(((Model_Data!A147)-Inputs!$C$42)^2)/(2*Inputs!$C$45^2))+Inputs!$C$48*(0.7*(0.45*SIN(2*PI()*(((Model_Data!A147)/Inputs!$C$49)+Inputs!$C$47*0.137))+0.35*COS(2*PI()*(((Inputs!$C$6)/Inputs!$C$50)+Inputs!$C$47*0.173))+0.2*SIN(2*PI()*(((Model_Data!A147)+(Inputs!$C$6))/(0.5*(Inputs!$C$49+Inputs!$C$50))+Inputs!$C$47*0.097)))+0.3*(2*((SIN(((Model_Data!A147)*12.9898+(Inputs!$C$6)*78.233+Inputs!$C$47*37.719))*43758.5453)-INT((SIN(((Model_Data!A147)*12.9898+(Inputs!$C$6)*78.233+Inputs!$C$47*37.719))*43758.5453)))-1))))/1000)^2))-(((Model_Data!B147)-((Inputs!$C$51*(115*EXP(-(((0)-25)^2)/(4.5^2))+70*EXP(-(((0)+38)^2)/(7^2))*(0.55+0.45*SIN(2*PI()*(Model_Data!A147)/45))+24*SIN(2*PI()*(0)/9+(Model_Data!A147)/18)*EXP(-(((0)+5)^2)/(22^2))+18*SIN(2*PI()*(Model_Data!A147)/70))+Inputs!$C$28*EXP(-(((Model_Data!A147)-Inputs!$C$29)^2)/(2*Inputs!$C$31^2))*EXP(-(((0)-Inputs!$C$30)^2)/(2*Inputs!$C$32^2))+-Inputs!$C$33*EXP(-(((((Model_Data!A147)-Inputs!$C$34)^2)+(((0)-Inputs!$C$35)^2))/(2*Inputs!$C$36^2)))+Inputs!$C$37*(0.55*SIN(2*PI()*(Model_Data!A147)/Inputs!$C$39)+0.35*COS(2*PI()*(0)/Inputs!$C$40)+0.2*SIN(2*PI()*((Model_Data!A147)+(0))/(0.5*(Inputs!$C$39+Inputs!$C$40))))+Inputs!$C$38*SIN(2*PI()*(Model_Data!A147)/Inputs!$C$39)*SIN(2*PI()*(0)/Inputs!$C$40)+-Inputs!$C$41*EXP(-(((0)-Inputs!$C$43)^2)/(2*Inputs!$C$44^2))*EXP(-(((Model_Data!A147)-Inputs!$C$42)^2)/(2*Inputs!$C$45^2))+Inputs!$C$48*(0.7*(0.45*SIN(2*PI()*(((Model_Data!A147)/Inputs!$C$49)+Inputs!$C$47*0.137))+0.35*COS(2*PI()*(((0)/Inputs!$C$50)+Inputs!$C$47*0.173))+0.2*SIN(2*PI()*(((Model_Data!A147)+(0))/(0.5*(Inputs!$C$49+Inputs!$C$50))+Inputs!$C$47*0.097)))+0.3*(2*((SIN(((Model_Data!A147)*12.9898+(0)*78.233+Inputs!$C$47*37.719))*43758.5453)-INT((SIN(((Model_Data!A147)*12.9898+(0)*78.233+Inputs!$C$47*37.719))*43758.5453)))-1))))/1000)))*1000/Inputs!$C$12)-Model_Data!F147)</f>
        <v>246.49182709448252</v>
      </c>
      <c r="L147" s="10"/>
      <c r="M147" s="9">
        <f>Model_Data!A147</f>
        <v>12.5</v>
      </c>
      <c r="N147" s="9">
        <f>Model_Data!P147</f>
        <v>-94.193267479707089</v>
      </c>
      <c r="O147" s="9">
        <f t="shared" si="4"/>
        <v>-84.674789169184805</v>
      </c>
      <c r="P147" s="9">
        <f>Model_Data!Q147</f>
        <v>-14.143133255211277</v>
      </c>
      <c r="Q147" s="9">
        <f t="shared" si="5"/>
        <v>-12.713932307685408</v>
      </c>
      <c r="R147" s="10"/>
      <c r="S147" s="9">
        <f>Model_Data!A147</f>
        <v>12.5</v>
      </c>
      <c r="T147" s="9">
        <f>Model_Data!B147-Inputs!$C$5</f>
        <v>0.17361111111108585</v>
      </c>
      <c r="U147" s="10"/>
      <c r="V147" s="9">
        <f>Model_Data!A147</f>
        <v>12.5</v>
      </c>
      <c r="W147" s="9">
        <f>((SQRT((Model_Data!A147)^2+Inputs!$C$6^2+Inputs!$C$5^2)-Inputs!$C$5)*1000/Inputs!$C$12)</f>
        <v>547.96253294156986</v>
      </c>
      <c r="X147" s="9">
        <f>Model_Data!F147</f>
        <v>547.72538305977127</v>
      </c>
      <c r="Y147" s="10"/>
      <c r="Z147" s="9">
        <f>Model_Data!A147</f>
        <v>12.5</v>
      </c>
      <c r="AA147" s="9">
        <f>SQRT((Model_Data!A147)^2+Inputs!$C$6^2+((Model_Data!B147)-((Inputs!$C$51*(115*EXP(-(((Inputs!$C$6)-25)^2)/(4.5^2))+70*EXP(-(((Inputs!$C$6)+38)^2)/(7^2))*(0.55+0.45*SIN(2*PI()*(Model_Data!A147)/45))+24*SIN(2*PI()*(Inputs!$C$6)/9+(Model_Data!A147)/18)*EXP(-(((Inputs!$C$6)+5)^2)/(22^2))+18*SIN(2*PI()*(Model_Data!A147)/70))+Inputs!$C$28*EXP(-(((Model_Data!A147)-Inputs!$C$29)^2)/(2*Inputs!$C$31^2))*EXP(-(((Inputs!$C$6)-Inputs!$C$30)^2)/(2*Inputs!$C$32^2))+-Inputs!$C$33*EXP(-(((((Model_Data!A147)-Inputs!$C$34)^2)+(((Inputs!$C$6)-Inputs!$C$35)^2))/(2*Inputs!$C$36^2)))+Inputs!$C$37*(0.55*SIN(2*PI()*(Model_Data!A147)/Inputs!$C$39)+0.35*COS(2*PI()*(Inputs!$C$6)/Inputs!$C$40)+0.2*SIN(2*PI()*((Model_Data!A147)+(Inputs!$C$6))/(0.5*(Inputs!$C$39+Inputs!$C$40))))+Inputs!$C$38*SIN(2*PI()*(Model_Data!A147)/Inputs!$C$39)*SIN(2*PI()*(Inputs!$C$6)/Inputs!$C$40)+-Inputs!$C$41*EXP(-(((Inputs!$C$6)-Inputs!$C$43)^2)/(2*Inputs!$C$44^2))*EXP(-(((Model_Data!A147)-Inputs!$C$42)^2)/(2*Inputs!$C$45^2))+Inputs!$C$48*(0.7*(0.45*SIN(2*PI()*(((Model_Data!A147)/Inputs!$C$49)+Inputs!$C$47*0.137))+0.35*COS(2*PI()*(((Inputs!$C$6)/Inputs!$C$50)+Inputs!$C$47*0.173))+0.2*SIN(2*PI()*(((Model_Data!A147)+(Inputs!$C$6))/(0.5*(Inputs!$C$49+Inputs!$C$50))+Inputs!$C$47*0.097)))+0.3*(2*((SIN(((Model_Data!A147)*12.9898+(Inputs!$C$6)*78.233+Inputs!$C$47*37.719))*43758.5453)-INT((SIN(((Model_Data!A147)*12.9898+(Inputs!$C$6)*78.233+Inputs!$C$47*37.719))*43758.5453)))-1))))/1000)^2)</f>
        <v>400.71549429490477</v>
      </c>
      <c r="AB147" s="9">
        <f>1000*(AA148-AA146)/(Z148-Z146)*Inputs!$C$11</f>
        <v>211.68697292296201</v>
      </c>
      <c r="AC147" s="9">
        <f>-2*AB147/Inputs!$C$13</f>
        <v>-84.674789169184805</v>
      </c>
      <c r="AD147" s="9">
        <f>-2*AB147/Inputs!$C$14</f>
        <v>-12.713932307685408</v>
      </c>
    </row>
    <row r="148" spans="1:30">
      <c r="A148" s="9">
        <f>Model_Data!A148</f>
        <v>13</v>
      </c>
      <c r="B148" s="9">
        <f>((SQRT((Model_Data!A148)^2+Inputs!$C$6^2+Inputs!$C$5^2)-Inputs!$C$5)*1000/Inputs!$C$12)</f>
        <v>556.89422778531673</v>
      </c>
      <c r="C148" s="9">
        <f>Model_Data!F148</f>
        <v>556.63356506837761</v>
      </c>
      <c r="D148" s="9">
        <f>(((SQRT((Model_Data!A148)^2+Inputs!$C$6^2+((Model_Data!B148)-((Inputs!$C$51*(115*EXP(-(((Inputs!$C$6)-25)^2)/(4.5^2))+70*EXP(-(((Inputs!$C$6)+38)^2)/(7^2))*(0.55+0.45*SIN(2*PI()*(Model_Data!A148)/45))+24*SIN(2*PI()*(Inputs!$C$6)/9+(Model_Data!A148)/18)*EXP(-(((Inputs!$C$6)+5)^2)/(22^2))+18*SIN(2*PI()*(Model_Data!A148)/70))+Inputs!$C$28*EXP(-(((Model_Data!A148)-Inputs!$C$29)^2)/(2*Inputs!$C$31^2))*EXP(-(((Inputs!$C$6)-Inputs!$C$30)^2)/(2*Inputs!$C$32^2))+-Inputs!$C$33*EXP(-(((((Model_Data!A148)-Inputs!$C$34)^2)+(((Inputs!$C$6)-Inputs!$C$35)^2))/(2*Inputs!$C$36^2)))+Inputs!$C$37*(0.55*SIN(2*PI()*(Model_Data!A148)/Inputs!$C$39)+0.35*COS(2*PI()*(Inputs!$C$6)/Inputs!$C$40)+0.2*SIN(2*PI()*((Model_Data!A148)+(Inputs!$C$6))/(0.5*(Inputs!$C$39+Inputs!$C$40))))+Inputs!$C$38*SIN(2*PI()*(Model_Data!A148)/Inputs!$C$39)*SIN(2*PI()*(Inputs!$C$6)/Inputs!$C$40)+-Inputs!$C$41*EXP(-(((Inputs!$C$6)-Inputs!$C$43)^2)/(2*Inputs!$C$44^2))*EXP(-(((Model_Data!A148)-Inputs!$C$42)^2)/(2*Inputs!$C$45^2))+Inputs!$C$48*(0.7*(0.45*SIN(2*PI()*(((Model_Data!A148)/Inputs!$C$49)+Inputs!$C$47*0.137))+0.35*COS(2*PI()*(((Inputs!$C$6)/Inputs!$C$50)+Inputs!$C$47*0.173))+0.2*SIN(2*PI()*(((Model_Data!A148)+(Inputs!$C$6))/(0.5*(Inputs!$C$49+Inputs!$C$50))+Inputs!$C$47*0.097)))+0.3*(2*((SIN(((Model_Data!A148)*12.9898+(Inputs!$C$6)*78.233+Inputs!$C$47*37.719))*43758.5453)-INT((SIN(((Model_Data!A148)*12.9898+(Inputs!$C$6)*78.233+Inputs!$C$47*37.719))*43758.5453)))-1))))/1000)^2))-(((Model_Data!B148)-((Inputs!$C$51*(115*EXP(-(((0)-25)^2)/(4.5^2))+70*EXP(-(((0)+38)^2)/(7^2))*(0.55+0.45*SIN(2*PI()*(Model_Data!A148)/45))+24*SIN(2*PI()*(0)/9+(Model_Data!A148)/18)*EXP(-(((0)+5)^2)/(22^2))+18*SIN(2*PI()*(Model_Data!A148)/70))+Inputs!$C$28*EXP(-(((Model_Data!A148)-Inputs!$C$29)^2)/(2*Inputs!$C$31^2))*EXP(-(((0)-Inputs!$C$30)^2)/(2*Inputs!$C$32^2))+-Inputs!$C$33*EXP(-(((((Model_Data!A148)-Inputs!$C$34)^2)+(((0)-Inputs!$C$35)^2))/(2*Inputs!$C$36^2)))+Inputs!$C$37*(0.55*SIN(2*PI()*(Model_Data!A148)/Inputs!$C$39)+0.35*COS(2*PI()*(0)/Inputs!$C$40)+0.2*SIN(2*PI()*((Model_Data!A148)+(0))/(0.5*(Inputs!$C$39+Inputs!$C$40))))+Inputs!$C$38*SIN(2*PI()*(Model_Data!A148)/Inputs!$C$39)*SIN(2*PI()*(0)/Inputs!$C$40)+-Inputs!$C$41*EXP(-(((0)-Inputs!$C$43)^2)/(2*Inputs!$C$44^2))*EXP(-(((Model_Data!A148)-Inputs!$C$42)^2)/(2*Inputs!$C$45^2))+Inputs!$C$48*(0.7*(0.45*SIN(2*PI()*(((Model_Data!A148)/Inputs!$C$49)+Inputs!$C$47*0.137))+0.35*COS(2*PI()*(((0)/Inputs!$C$50)+Inputs!$C$47*0.173))+0.2*SIN(2*PI()*(((Model_Data!A148)+(0))/(0.5*(Inputs!$C$49+Inputs!$C$50))+Inputs!$C$47*0.097)))+0.3*(2*((SIN(((Model_Data!A148)*12.9898+(0)*78.233+Inputs!$C$47*37.719))*43758.5453)-INT((SIN(((Model_Data!A148)*12.9898+(0)*78.233+Inputs!$C$47*37.719))*43758.5453)))-1))))/1000)))*1000/Inputs!$C$12)</f>
        <v>314.27769667175835</v>
      </c>
      <c r="E148" s="9">
        <f>Model_Data!A148</f>
        <v>13</v>
      </c>
      <c r="F148" s="9">
        <f>(Inputs!$C$51*(115*EXP(-(((Inputs!$C$6)-25)^2)/(4.5^2))+70*EXP(-(((Inputs!$C$6)+38)^2)/(7^2))*(0.55+0.45*SIN(2*PI()*(Model_Data!A148)/45))+24*SIN(2*PI()*(Inputs!$C$6)/9+(Model_Data!A148)/18)*EXP(-(((Inputs!$C$6)+5)^2)/(22^2))+18*SIN(2*PI()*(Model_Data!A148)/70))+Inputs!$C$28*EXP(-(((Model_Data!A148)-Inputs!$C$29)^2)/(2*Inputs!$C$31^2))*EXP(-(((Inputs!$C$6)-Inputs!$C$30)^2)/(2*Inputs!$C$32^2))+-Inputs!$C$33*EXP(-(((((Model_Data!A148)-Inputs!$C$34)^2)+(((Inputs!$C$6)-Inputs!$C$35)^2))/(2*Inputs!$C$36^2)))+Inputs!$C$37*(0.55*SIN(2*PI()*(Model_Data!A148)/Inputs!$C$39)+0.35*COS(2*PI()*(Inputs!$C$6)/Inputs!$C$40)+0.2*SIN(2*PI()*((Model_Data!A148)+(Inputs!$C$6))/(0.5*(Inputs!$C$39+Inputs!$C$40))))+Inputs!$C$38*SIN(2*PI()*(Model_Data!A148)/Inputs!$C$39)*SIN(2*PI()*(Inputs!$C$6)/Inputs!$C$40)+-Inputs!$C$41*EXP(-(((Inputs!$C$6)-Inputs!$C$43)^2)/(2*Inputs!$C$44^2))*EXP(-(((Model_Data!A148)-Inputs!$C$42)^2)/(2*Inputs!$C$45^2))+Inputs!$C$48*(0.7*(0.45*SIN(2*PI()*(((Model_Data!A148)/Inputs!$C$49)+Inputs!$C$47*0.137))+0.35*COS(2*PI()*(((Inputs!$C$6)/Inputs!$C$50)+Inputs!$C$47*0.173))+0.2*SIN(2*PI()*(((Model_Data!A148)+(Inputs!$C$6))/(0.5*(Inputs!$C$49+Inputs!$C$50))+Inputs!$C$47*0.097)))+0.3*(2*((SIN(((Model_Data!A148)*12.9898+(Inputs!$C$6)*78.233+Inputs!$C$47*37.719))*43758.5453)-INT((SIN(((Model_Data!A148)*12.9898+(Inputs!$C$6)*78.233+Inputs!$C$47*37.719))*43758.5453)))-1)))</f>
        <v>428.83519917040849</v>
      </c>
      <c r="G148" s="9">
        <f>(Inputs!$C$51*(115*EXP(-(((0)-25)^2)/(4.5^2))+70*EXP(-(((0)+38)^2)/(7^2))*(0.55+0.45*SIN(2*PI()*(Model_Data!A148)/45))+24*SIN(2*PI()*(0)/9+(Model_Data!A148)/18)*EXP(-(((0)+5)^2)/(22^2))+18*SIN(2*PI()*(Model_Data!A148)/70))+Inputs!$C$28*EXP(-(((Model_Data!A148)-Inputs!$C$29)^2)/(2*Inputs!$C$31^2))*EXP(-(((0)-Inputs!$C$30)^2)/(2*Inputs!$C$32^2))+-Inputs!$C$33*EXP(-(((((Model_Data!A148)-Inputs!$C$34)^2)+(((0)-Inputs!$C$35)^2))/(2*Inputs!$C$36^2)))+Inputs!$C$37*(0.55*SIN(2*PI()*(Model_Data!A148)/Inputs!$C$39)+0.35*COS(2*PI()*(0)/Inputs!$C$40)+0.2*SIN(2*PI()*((Model_Data!A148)+(0))/(0.5*(Inputs!$C$39+Inputs!$C$40))))+Inputs!$C$38*SIN(2*PI()*(Model_Data!A148)/Inputs!$C$39)*SIN(2*PI()*(0)/Inputs!$C$40)+-Inputs!$C$41*EXP(-(((0)-Inputs!$C$43)^2)/(2*Inputs!$C$44^2))*EXP(-(((Model_Data!A148)-Inputs!$C$42)^2)/(2*Inputs!$C$45^2))+Inputs!$C$48*(0.7*(0.45*SIN(2*PI()*(((Model_Data!A148)/Inputs!$C$49)+Inputs!$C$47*0.137))+0.35*COS(2*PI()*(((0)/Inputs!$C$50)+Inputs!$C$47*0.173))+0.2*SIN(2*PI()*(((Model_Data!A148)+(0))/(0.5*(Inputs!$C$49+Inputs!$C$50))+Inputs!$C$47*0.097)))+0.3*(2*((SIN(((Model_Data!A148)*12.9898+(0)*78.233+Inputs!$C$47*37.719))*43758.5453)-INT((SIN(((Model_Data!A148)*12.9898+(0)*78.233+Inputs!$C$47*37.719))*43758.5453)))-1)))</f>
        <v>-3.6184909665757639</v>
      </c>
      <c r="H148" s="10"/>
      <c r="I148" s="9">
        <f>Model_Data!A148</f>
        <v>13</v>
      </c>
      <c r="J148" s="9">
        <f>(Inputs!$C$51*(115*EXP(-(((Inputs!$C$6)-25)^2)/(4.5^2))+70*EXP(-(((Inputs!$C$6)+38)^2)/(7^2))*(0.55+0.45*SIN(2*PI()*(Model_Data!A148)/45))+24*SIN(2*PI()*(Inputs!$C$6)/9+(Model_Data!A148)/18)*EXP(-(((Inputs!$C$6)+5)^2)/(22^2))+18*SIN(2*PI()*(Model_Data!A148)/70))+Inputs!$C$28*EXP(-(((Model_Data!A148)-Inputs!$C$29)^2)/(2*Inputs!$C$31^2))*EXP(-(((Inputs!$C$6)-Inputs!$C$30)^2)/(2*Inputs!$C$32^2))+-Inputs!$C$33*EXP(-(((((Model_Data!A148)-Inputs!$C$34)^2)+(((Inputs!$C$6)-Inputs!$C$35)^2))/(2*Inputs!$C$36^2)))+Inputs!$C$37*(0.55*SIN(2*PI()*(Model_Data!A148)/Inputs!$C$39)+0.35*COS(2*PI()*(Inputs!$C$6)/Inputs!$C$40)+0.2*SIN(2*PI()*((Model_Data!A148)+(Inputs!$C$6))/(0.5*(Inputs!$C$39+Inputs!$C$40))))+Inputs!$C$38*SIN(2*PI()*(Model_Data!A148)/Inputs!$C$39)*SIN(2*PI()*(Inputs!$C$6)/Inputs!$C$40)+-Inputs!$C$41*EXP(-(((Inputs!$C$6)-Inputs!$C$43)^2)/(2*Inputs!$C$44^2))*EXP(-(((Model_Data!A148)-Inputs!$C$42)^2)/(2*Inputs!$C$45^2))+Inputs!$C$48*(0.7*(0.45*SIN(2*PI()*(((Model_Data!A148)/Inputs!$C$49)+Inputs!$C$47*0.137))+0.35*COS(2*PI()*(((Inputs!$C$6)/Inputs!$C$50)+Inputs!$C$47*0.173))+0.2*SIN(2*PI()*(((Model_Data!A148)+(Inputs!$C$6))/(0.5*(Inputs!$C$49+Inputs!$C$50))+Inputs!$C$47*0.097)))+0.3*(2*((SIN(((Model_Data!A148)*12.9898+(Inputs!$C$6)*78.233+Inputs!$C$47*37.719))*43758.5453)-INT((SIN(((Model_Data!A148)*12.9898+(Inputs!$C$6)*78.233+Inputs!$C$47*37.719))*43758.5453)))-1)))</f>
        <v>428.83519917040849</v>
      </c>
      <c r="K148" s="9">
        <f>-((((SQRT((Model_Data!A148)^2+Inputs!$C$6^2+((Model_Data!B148)-((Inputs!$C$51*(115*EXP(-(((Inputs!$C$6)-25)^2)/(4.5^2))+70*EXP(-(((Inputs!$C$6)+38)^2)/(7^2))*(0.55+0.45*SIN(2*PI()*(Model_Data!A148)/45))+24*SIN(2*PI()*(Inputs!$C$6)/9+(Model_Data!A148)/18)*EXP(-(((Inputs!$C$6)+5)^2)/(22^2))+18*SIN(2*PI()*(Model_Data!A148)/70))+Inputs!$C$28*EXP(-(((Model_Data!A148)-Inputs!$C$29)^2)/(2*Inputs!$C$31^2))*EXP(-(((Inputs!$C$6)-Inputs!$C$30)^2)/(2*Inputs!$C$32^2))+-Inputs!$C$33*EXP(-(((((Model_Data!A148)-Inputs!$C$34)^2)+(((Inputs!$C$6)-Inputs!$C$35)^2))/(2*Inputs!$C$36^2)))+Inputs!$C$37*(0.55*SIN(2*PI()*(Model_Data!A148)/Inputs!$C$39)+0.35*COS(2*PI()*(Inputs!$C$6)/Inputs!$C$40)+0.2*SIN(2*PI()*((Model_Data!A148)+(Inputs!$C$6))/(0.5*(Inputs!$C$39+Inputs!$C$40))))+Inputs!$C$38*SIN(2*PI()*(Model_Data!A148)/Inputs!$C$39)*SIN(2*PI()*(Inputs!$C$6)/Inputs!$C$40)+-Inputs!$C$41*EXP(-(((Inputs!$C$6)-Inputs!$C$43)^2)/(2*Inputs!$C$44^2))*EXP(-(((Model_Data!A148)-Inputs!$C$42)^2)/(2*Inputs!$C$45^2))+Inputs!$C$48*(0.7*(0.45*SIN(2*PI()*(((Model_Data!A148)/Inputs!$C$49)+Inputs!$C$47*0.137))+0.35*COS(2*PI()*(((Inputs!$C$6)/Inputs!$C$50)+Inputs!$C$47*0.173))+0.2*SIN(2*PI()*(((Model_Data!A148)+(Inputs!$C$6))/(0.5*(Inputs!$C$49+Inputs!$C$50))+Inputs!$C$47*0.097)))+0.3*(2*((SIN(((Model_Data!A148)*12.9898+(Inputs!$C$6)*78.233+Inputs!$C$47*37.719))*43758.5453)-INT((SIN(((Model_Data!A148)*12.9898+(Inputs!$C$6)*78.233+Inputs!$C$47*37.719))*43758.5453)))-1))))/1000)^2))-(((Model_Data!B148)-((Inputs!$C$51*(115*EXP(-(((0)-25)^2)/(4.5^2))+70*EXP(-(((0)+38)^2)/(7^2))*(0.55+0.45*SIN(2*PI()*(Model_Data!A148)/45))+24*SIN(2*PI()*(0)/9+(Model_Data!A148)/18)*EXP(-(((0)+5)^2)/(22^2))+18*SIN(2*PI()*(Model_Data!A148)/70))+Inputs!$C$28*EXP(-(((Model_Data!A148)-Inputs!$C$29)^2)/(2*Inputs!$C$31^2))*EXP(-(((0)-Inputs!$C$30)^2)/(2*Inputs!$C$32^2))+-Inputs!$C$33*EXP(-(((((Model_Data!A148)-Inputs!$C$34)^2)+(((0)-Inputs!$C$35)^2))/(2*Inputs!$C$36^2)))+Inputs!$C$37*(0.55*SIN(2*PI()*(Model_Data!A148)/Inputs!$C$39)+0.35*COS(2*PI()*(0)/Inputs!$C$40)+0.2*SIN(2*PI()*((Model_Data!A148)+(0))/(0.5*(Inputs!$C$39+Inputs!$C$40))))+Inputs!$C$38*SIN(2*PI()*(Model_Data!A148)/Inputs!$C$39)*SIN(2*PI()*(0)/Inputs!$C$40)+-Inputs!$C$41*EXP(-(((0)-Inputs!$C$43)^2)/(2*Inputs!$C$44^2))*EXP(-(((Model_Data!A148)-Inputs!$C$42)^2)/(2*Inputs!$C$45^2))+Inputs!$C$48*(0.7*(0.45*SIN(2*PI()*(((Model_Data!A148)/Inputs!$C$49)+Inputs!$C$47*0.137))+0.35*COS(2*PI()*(((0)/Inputs!$C$50)+Inputs!$C$47*0.173))+0.2*SIN(2*PI()*(((Model_Data!A148)+(0))/(0.5*(Inputs!$C$49+Inputs!$C$50))+Inputs!$C$47*0.097)))+0.3*(2*((SIN(((Model_Data!A148)*12.9898+(0)*78.233+Inputs!$C$47*37.719))*43758.5453)-INT((SIN(((Model_Data!A148)*12.9898+(0)*78.233+Inputs!$C$47*37.719))*43758.5453)))-1))))/1000)))*1000/Inputs!$C$12)-Model_Data!F148)</f>
        <v>242.35586839661926</v>
      </c>
      <c r="L148" s="10"/>
      <c r="M148" s="9">
        <f>Model_Data!A148</f>
        <v>13</v>
      </c>
      <c r="N148" s="9">
        <f>Model_Data!P148</f>
        <v>-97.955299243533602</v>
      </c>
      <c r="O148" s="9">
        <f t="shared" si="4"/>
        <v>-138.3540801694835</v>
      </c>
      <c r="P148" s="9">
        <f>Model_Data!Q148</f>
        <v>-14.708002889419461</v>
      </c>
      <c r="Q148" s="9">
        <f t="shared" si="5"/>
        <v>-20.77388591133386</v>
      </c>
      <c r="R148" s="10"/>
      <c r="S148" s="9">
        <f>Model_Data!A148</f>
        <v>13</v>
      </c>
      <c r="T148" s="9">
        <f>Model_Data!B148-Inputs!$C$5</f>
        <v>0.18777777777779647</v>
      </c>
      <c r="U148" s="10"/>
      <c r="V148" s="9">
        <f>Model_Data!A148</f>
        <v>13</v>
      </c>
      <c r="W148" s="9">
        <f>((SQRT((Model_Data!A148)^2+Inputs!$C$6^2+Inputs!$C$5^2)-Inputs!$C$5)*1000/Inputs!$C$12)</f>
        <v>556.89422778531673</v>
      </c>
      <c r="X148" s="9">
        <f>Model_Data!F148</f>
        <v>556.63356506837761</v>
      </c>
      <c r="Y148" s="10"/>
      <c r="Z148" s="9">
        <f>Model_Data!A148</f>
        <v>13</v>
      </c>
      <c r="AA148" s="9">
        <f>SQRT((Model_Data!A148)^2+Inputs!$C$6^2+((Model_Data!B148)-((Inputs!$C$51*(115*EXP(-(((Inputs!$C$6)-25)^2)/(4.5^2))+70*EXP(-(((Inputs!$C$6)+38)^2)/(7^2))*(0.55+0.45*SIN(2*PI()*(Model_Data!A148)/45))+24*SIN(2*PI()*(Inputs!$C$6)/9+(Model_Data!A148)/18)*EXP(-(((Inputs!$C$6)+5)^2)/(22^2))+18*SIN(2*PI()*(Model_Data!A148)/70))+Inputs!$C$28*EXP(-(((Model_Data!A148)-Inputs!$C$29)^2)/(2*Inputs!$C$31^2))*EXP(-(((Inputs!$C$6)-Inputs!$C$30)^2)/(2*Inputs!$C$32^2))+-Inputs!$C$33*EXP(-(((((Model_Data!A148)-Inputs!$C$34)^2)+(((Inputs!$C$6)-Inputs!$C$35)^2))/(2*Inputs!$C$36^2)))+Inputs!$C$37*(0.55*SIN(2*PI()*(Model_Data!A148)/Inputs!$C$39)+0.35*COS(2*PI()*(Inputs!$C$6)/Inputs!$C$40)+0.2*SIN(2*PI()*((Model_Data!A148)+(Inputs!$C$6))/(0.5*(Inputs!$C$39+Inputs!$C$40))))+Inputs!$C$38*SIN(2*PI()*(Model_Data!A148)/Inputs!$C$39)*SIN(2*PI()*(Inputs!$C$6)/Inputs!$C$40)+-Inputs!$C$41*EXP(-(((Inputs!$C$6)-Inputs!$C$43)^2)/(2*Inputs!$C$44^2))*EXP(-(((Model_Data!A148)-Inputs!$C$42)^2)/(2*Inputs!$C$45^2))+Inputs!$C$48*(0.7*(0.45*SIN(2*PI()*(((Model_Data!A148)/Inputs!$C$49)+Inputs!$C$47*0.137))+0.35*COS(2*PI()*(((Inputs!$C$6)/Inputs!$C$50)+Inputs!$C$47*0.173))+0.2*SIN(2*PI()*(((Model_Data!A148)+(Inputs!$C$6))/(0.5*(Inputs!$C$49+Inputs!$C$50))+Inputs!$C$47*0.097)))+0.3*(2*((SIN(((Model_Data!A148)*12.9898+(Inputs!$C$6)*78.233+Inputs!$C$47*37.719))*43758.5453)-INT((SIN(((Model_Data!A148)*12.9898+(Inputs!$C$6)*78.233+Inputs!$C$47*37.719))*43758.5453)))-1))))/1000)^2)</f>
        <v>400.7508105688201</v>
      </c>
      <c r="AB148" s="9">
        <f>1000*(AA149-AA147)/(Z149-Z147)*Inputs!$C$11</f>
        <v>345.88520042370874</v>
      </c>
      <c r="AC148" s="9">
        <f>-2*AB148/Inputs!$C$13</f>
        <v>-138.3540801694835</v>
      </c>
      <c r="AD148" s="9">
        <f>-2*AB148/Inputs!$C$14</f>
        <v>-20.77388591133386</v>
      </c>
    </row>
    <row r="149" spans="1:30">
      <c r="A149" s="9">
        <f>Model_Data!A149</f>
        <v>13.5</v>
      </c>
      <c r="B149" s="9">
        <f>((SQRT((Model_Data!A149)^2+Inputs!$C$6^2+Inputs!$C$5^2)-Inputs!$C$5)*1000/Inputs!$C$12)</f>
        <v>566.17580996248</v>
      </c>
      <c r="C149" s="9">
        <f>Model_Data!F149</f>
        <v>565.89004791648767</v>
      </c>
      <c r="D149" s="9">
        <f>(((SQRT((Model_Data!A149)^2+Inputs!$C$6^2+((Model_Data!B149)-((Inputs!$C$51*(115*EXP(-(((Inputs!$C$6)-25)^2)/(4.5^2))+70*EXP(-(((Inputs!$C$6)+38)^2)/(7^2))*(0.55+0.45*SIN(2*PI()*(Model_Data!A149)/45))+24*SIN(2*PI()*(Inputs!$C$6)/9+(Model_Data!A149)/18)*EXP(-(((Inputs!$C$6)+5)^2)/(22^2))+18*SIN(2*PI()*(Model_Data!A149)/70))+Inputs!$C$28*EXP(-(((Model_Data!A149)-Inputs!$C$29)^2)/(2*Inputs!$C$31^2))*EXP(-(((Inputs!$C$6)-Inputs!$C$30)^2)/(2*Inputs!$C$32^2))+-Inputs!$C$33*EXP(-(((((Model_Data!A149)-Inputs!$C$34)^2)+(((Inputs!$C$6)-Inputs!$C$35)^2))/(2*Inputs!$C$36^2)))+Inputs!$C$37*(0.55*SIN(2*PI()*(Model_Data!A149)/Inputs!$C$39)+0.35*COS(2*PI()*(Inputs!$C$6)/Inputs!$C$40)+0.2*SIN(2*PI()*((Model_Data!A149)+(Inputs!$C$6))/(0.5*(Inputs!$C$39+Inputs!$C$40))))+Inputs!$C$38*SIN(2*PI()*(Model_Data!A149)/Inputs!$C$39)*SIN(2*PI()*(Inputs!$C$6)/Inputs!$C$40)+-Inputs!$C$41*EXP(-(((Inputs!$C$6)-Inputs!$C$43)^2)/(2*Inputs!$C$44^2))*EXP(-(((Model_Data!A149)-Inputs!$C$42)^2)/(2*Inputs!$C$45^2))+Inputs!$C$48*(0.7*(0.45*SIN(2*PI()*(((Model_Data!A149)/Inputs!$C$49)+Inputs!$C$47*0.137))+0.35*COS(2*PI()*(((Inputs!$C$6)/Inputs!$C$50)+Inputs!$C$47*0.173))+0.2*SIN(2*PI()*(((Model_Data!A149)+(Inputs!$C$6))/(0.5*(Inputs!$C$49+Inputs!$C$50))+Inputs!$C$47*0.097)))+0.3*(2*((SIN(((Model_Data!A149)*12.9898+(Inputs!$C$6)*78.233+Inputs!$C$47*37.719))*43758.5453)-INT((SIN(((Model_Data!A149)*12.9898+(Inputs!$C$6)*78.233+Inputs!$C$47*37.719))*43758.5453)))-1))))/1000)^2))-(((Model_Data!B149)-((Inputs!$C$51*(115*EXP(-(((0)-25)^2)/(4.5^2))+70*EXP(-(((0)+38)^2)/(7^2))*(0.55+0.45*SIN(2*PI()*(Model_Data!A149)/45))+24*SIN(2*PI()*(0)/9+(Model_Data!A149)/18)*EXP(-(((0)+5)^2)/(22^2))+18*SIN(2*PI()*(Model_Data!A149)/70))+Inputs!$C$28*EXP(-(((Model_Data!A149)-Inputs!$C$29)^2)/(2*Inputs!$C$31^2))*EXP(-(((0)-Inputs!$C$30)^2)/(2*Inputs!$C$32^2))+-Inputs!$C$33*EXP(-(((((Model_Data!A149)-Inputs!$C$34)^2)+(((0)-Inputs!$C$35)^2))/(2*Inputs!$C$36^2)))+Inputs!$C$37*(0.55*SIN(2*PI()*(Model_Data!A149)/Inputs!$C$39)+0.35*COS(2*PI()*(0)/Inputs!$C$40)+0.2*SIN(2*PI()*((Model_Data!A149)+(0))/(0.5*(Inputs!$C$39+Inputs!$C$40))))+Inputs!$C$38*SIN(2*PI()*(Model_Data!A149)/Inputs!$C$39)*SIN(2*PI()*(0)/Inputs!$C$40)+-Inputs!$C$41*EXP(-(((0)-Inputs!$C$43)^2)/(2*Inputs!$C$44^2))*EXP(-(((Model_Data!A149)-Inputs!$C$42)^2)/(2*Inputs!$C$45^2))+Inputs!$C$48*(0.7*(0.45*SIN(2*PI()*(((Model_Data!A149)/Inputs!$C$49)+Inputs!$C$47*0.137))+0.35*COS(2*PI()*(((0)/Inputs!$C$50)+Inputs!$C$47*0.173))+0.2*SIN(2*PI()*(((Model_Data!A149)+(0))/(0.5*(Inputs!$C$49+Inputs!$C$50))+Inputs!$C$47*0.097)))+0.3*(2*((SIN(((Model_Data!A149)*12.9898+(0)*78.233+Inputs!$C$47*37.719))*43758.5453)-INT((SIN(((Model_Data!A149)*12.9898+(0)*78.233+Inputs!$C$47*37.719))*43758.5453)))-1))))/1000)))*1000/Inputs!$C$12)</f>
        <v>336.80413277299897</v>
      </c>
      <c r="E149" s="9">
        <f>Model_Data!A149</f>
        <v>13.5</v>
      </c>
      <c r="F149" s="9">
        <f>(Inputs!$C$51*(115*EXP(-(((Inputs!$C$6)-25)^2)/(4.5^2))+70*EXP(-(((Inputs!$C$6)+38)^2)/(7^2))*(0.55+0.45*SIN(2*PI()*(Model_Data!A149)/45))+24*SIN(2*PI()*(Inputs!$C$6)/9+(Model_Data!A149)/18)*EXP(-(((Inputs!$C$6)+5)^2)/(22^2))+18*SIN(2*PI()*(Model_Data!A149)/70))+Inputs!$C$28*EXP(-(((Model_Data!A149)-Inputs!$C$29)^2)/(2*Inputs!$C$31^2))*EXP(-(((Inputs!$C$6)-Inputs!$C$30)^2)/(2*Inputs!$C$32^2))+-Inputs!$C$33*EXP(-(((((Model_Data!A149)-Inputs!$C$34)^2)+(((Inputs!$C$6)-Inputs!$C$35)^2))/(2*Inputs!$C$36^2)))+Inputs!$C$37*(0.55*SIN(2*PI()*(Model_Data!A149)/Inputs!$C$39)+0.35*COS(2*PI()*(Inputs!$C$6)/Inputs!$C$40)+0.2*SIN(2*PI()*((Model_Data!A149)+(Inputs!$C$6))/(0.5*(Inputs!$C$39+Inputs!$C$40))))+Inputs!$C$38*SIN(2*PI()*(Model_Data!A149)/Inputs!$C$39)*SIN(2*PI()*(Inputs!$C$6)/Inputs!$C$40)+-Inputs!$C$41*EXP(-(((Inputs!$C$6)-Inputs!$C$43)^2)/(2*Inputs!$C$44^2))*EXP(-(((Model_Data!A149)-Inputs!$C$42)^2)/(2*Inputs!$C$45^2))+Inputs!$C$48*(0.7*(0.45*SIN(2*PI()*(((Model_Data!A149)/Inputs!$C$49)+Inputs!$C$47*0.137))+0.35*COS(2*PI()*(((Inputs!$C$6)/Inputs!$C$50)+Inputs!$C$47*0.173))+0.2*SIN(2*PI()*(((Model_Data!A149)+(Inputs!$C$6))/(0.5*(Inputs!$C$49+Inputs!$C$50))+Inputs!$C$47*0.097)))+0.3*(2*((SIN(((Model_Data!A149)*12.9898+(Inputs!$C$6)*78.233+Inputs!$C$47*37.719))*43758.5453)-INT((SIN(((Model_Data!A149)*12.9898+(Inputs!$C$6)*78.233+Inputs!$C$47*37.719))*43758.5453)))-1)))</f>
        <v>408.84619240872695</v>
      </c>
      <c r="G149" s="9">
        <f>(Inputs!$C$51*(115*EXP(-(((0)-25)^2)/(4.5^2))+70*EXP(-(((0)+38)^2)/(7^2))*(0.55+0.45*SIN(2*PI()*(Model_Data!A149)/45))+24*SIN(2*PI()*(0)/9+(Model_Data!A149)/18)*EXP(-(((0)+5)^2)/(22^2))+18*SIN(2*PI()*(Model_Data!A149)/70))+Inputs!$C$28*EXP(-(((Model_Data!A149)-Inputs!$C$29)^2)/(2*Inputs!$C$31^2))*EXP(-(((0)-Inputs!$C$30)^2)/(2*Inputs!$C$32^2))+-Inputs!$C$33*EXP(-(((((Model_Data!A149)-Inputs!$C$34)^2)+(((0)-Inputs!$C$35)^2))/(2*Inputs!$C$36^2)))+Inputs!$C$37*(0.55*SIN(2*PI()*(Model_Data!A149)/Inputs!$C$39)+0.35*COS(2*PI()*(0)/Inputs!$C$40)+0.2*SIN(2*PI()*((Model_Data!A149)+(0))/(0.5*(Inputs!$C$39+Inputs!$C$40))))+Inputs!$C$38*SIN(2*PI()*(Model_Data!A149)/Inputs!$C$39)*SIN(2*PI()*(0)/Inputs!$C$40)+-Inputs!$C$41*EXP(-(((0)-Inputs!$C$43)^2)/(2*Inputs!$C$44^2))*EXP(-(((Model_Data!A149)-Inputs!$C$42)^2)/(2*Inputs!$C$45^2))+Inputs!$C$48*(0.7*(0.45*SIN(2*PI()*(((Model_Data!A149)/Inputs!$C$49)+Inputs!$C$47*0.137))+0.35*COS(2*PI()*(((0)/Inputs!$C$50)+Inputs!$C$47*0.173))+0.2*SIN(2*PI()*(((Model_Data!A149)+(0))/(0.5*(Inputs!$C$49+Inputs!$C$50))+Inputs!$C$47*0.097)))+0.3*(2*((SIN(((Model_Data!A149)*12.9898+(0)*78.233+Inputs!$C$47*37.719))*43758.5453)-INT((SIN(((Model_Data!A149)*12.9898+(0)*78.233+Inputs!$C$47*37.719))*43758.5453)))-1)))</f>
        <v>4.5761325244330742E-2</v>
      </c>
      <c r="H149" s="10"/>
      <c r="I149" s="9">
        <f>Model_Data!A149</f>
        <v>13.5</v>
      </c>
      <c r="J149" s="9">
        <f>(Inputs!$C$51*(115*EXP(-(((Inputs!$C$6)-25)^2)/(4.5^2))+70*EXP(-(((Inputs!$C$6)+38)^2)/(7^2))*(0.55+0.45*SIN(2*PI()*(Model_Data!A149)/45))+24*SIN(2*PI()*(Inputs!$C$6)/9+(Model_Data!A149)/18)*EXP(-(((Inputs!$C$6)+5)^2)/(22^2))+18*SIN(2*PI()*(Model_Data!A149)/70))+Inputs!$C$28*EXP(-(((Model_Data!A149)-Inputs!$C$29)^2)/(2*Inputs!$C$31^2))*EXP(-(((Inputs!$C$6)-Inputs!$C$30)^2)/(2*Inputs!$C$32^2))+-Inputs!$C$33*EXP(-(((((Model_Data!A149)-Inputs!$C$34)^2)+(((Inputs!$C$6)-Inputs!$C$35)^2))/(2*Inputs!$C$36^2)))+Inputs!$C$37*(0.55*SIN(2*PI()*(Model_Data!A149)/Inputs!$C$39)+0.35*COS(2*PI()*(Inputs!$C$6)/Inputs!$C$40)+0.2*SIN(2*PI()*((Model_Data!A149)+(Inputs!$C$6))/(0.5*(Inputs!$C$39+Inputs!$C$40))))+Inputs!$C$38*SIN(2*PI()*(Model_Data!A149)/Inputs!$C$39)*SIN(2*PI()*(Inputs!$C$6)/Inputs!$C$40)+-Inputs!$C$41*EXP(-(((Inputs!$C$6)-Inputs!$C$43)^2)/(2*Inputs!$C$44^2))*EXP(-(((Model_Data!A149)-Inputs!$C$42)^2)/(2*Inputs!$C$45^2))+Inputs!$C$48*(0.7*(0.45*SIN(2*PI()*(((Model_Data!A149)/Inputs!$C$49)+Inputs!$C$47*0.137))+0.35*COS(2*PI()*(((Inputs!$C$6)/Inputs!$C$50)+Inputs!$C$47*0.173))+0.2*SIN(2*PI()*(((Model_Data!A149)+(Inputs!$C$6))/(0.5*(Inputs!$C$49+Inputs!$C$50))+Inputs!$C$47*0.097)))+0.3*(2*((SIN(((Model_Data!A149)*12.9898+(Inputs!$C$6)*78.233+Inputs!$C$47*37.719))*43758.5453)-INT((SIN(((Model_Data!A149)*12.9898+(Inputs!$C$6)*78.233+Inputs!$C$47*37.719))*43758.5453)))-1)))</f>
        <v>408.84619240872695</v>
      </c>
      <c r="K149" s="9">
        <f>-((((SQRT((Model_Data!A149)^2+Inputs!$C$6^2+((Model_Data!B149)-((Inputs!$C$51*(115*EXP(-(((Inputs!$C$6)-25)^2)/(4.5^2))+70*EXP(-(((Inputs!$C$6)+38)^2)/(7^2))*(0.55+0.45*SIN(2*PI()*(Model_Data!A149)/45))+24*SIN(2*PI()*(Inputs!$C$6)/9+(Model_Data!A149)/18)*EXP(-(((Inputs!$C$6)+5)^2)/(22^2))+18*SIN(2*PI()*(Model_Data!A149)/70))+Inputs!$C$28*EXP(-(((Model_Data!A149)-Inputs!$C$29)^2)/(2*Inputs!$C$31^2))*EXP(-(((Inputs!$C$6)-Inputs!$C$30)^2)/(2*Inputs!$C$32^2))+-Inputs!$C$33*EXP(-(((((Model_Data!A149)-Inputs!$C$34)^2)+(((Inputs!$C$6)-Inputs!$C$35)^2))/(2*Inputs!$C$36^2)))+Inputs!$C$37*(0.55*SIN(2*PI()*(Model_Data!A149)/Inputs!$C$39)+0.35*COS(2*PI()*(Inputs!$C$6)/Inputs!$C$40)+0.2*SIN(2*PI()*((Model_Data!A149)+(Inputs!$C$6))/(0.5*(Inputs!$C$39+Inputs!$C$40))))+Inputs!$C$38*SIN(2*PI()*(Model_Data!A149)/Inputs!$C$39)*SIN(2*PI()*(Inputs!$C$6)/Inputs!$C$40)+-Inputs!$C$41*EXP(-(((Inputs!$C$6)-Inputs!$C$43)^2)/(2*Inputs!$C$44^2))*EXP(-(((Model_Data!A149)-Inputs!$C$42)^2)/(2*Inputs!$C$45^2))+Inputs!$C$48*(0.7*(0.45*SIN(2*PI()*(((Model_Data!A149)/Inputs!$C$49)+Inputs!$C$47*0.137))+0.35*COS(2*PI()*(((Inputs!$C$6)/Inputs!$C$50)+Inputs!$C$47*0.173))+0.2*SIN(2*PI()*(((Model_Data!A149)+(Inputs!$C$6))/(0.5*(Inputs!$C$49+Inputs!$C$50))+Inputs!$C$47*0.097)))+0.3*(2*((SIN(((Model_Data!A149)*12.9898+(Inputs!$C$6)*78.233+Inputs!$C$47*37.719))*43758.5453)-INT((SIN(((Model_Data!A149)*12.9898+(Inputs!$C$6)*78.233+Inputs!$C$47*37.719))*43758.5453)))-1))))/1000)^2))-(((Model_Data!B149)-((Inputs!$C$51*(115*EXP(-(((0)-25)^2)/(4.5^2))+70*EXP(-(((0)+38)^2)/(7^2))*(0.55+0.45*SIN(2*PI()*(Model_Data!A149)/45))+24*SIN(2*PI()*(0)/9+(Model_Data!A149)/18)*EXP(-(((0)+5)^2)/(22^2))+18*SIN(2*PI()*(Model_Data!A149)/70))+Inputs!$C$28*EXP(-(((Model_Data!A149)-Inputs!$C$29)^2)/(2*Inputs!$C$31^2))*EXP(-(((0)-Inputs!$C$30)^2)/(2*Inputs!$C$32^2))+-Inputs!$C$33*EXP(-(((((Model_Data!A149)-Inputs!$C$34)^2)+(((0)-Inputs!$C$35)^2))/(2*Inputs!$C$36^2)))+Inputs!$C$37*(0.55*SIN(2*PI()*(Model_Data!A149)/Inputs!$C$39)+0.35*COS(2*PI()*(0)/Inputs!$C$40)+0.2*SIN(2*PI()*((Model_Data!A149)+(0))/(0.5*(Inputs!$C$39+Inputs!$C$40))))+Inputs!$C$38*SIN(2*PI()*(Model_Data!A149)/Inputs!$C$39)*SIN(2*PI()*(0)/Inputs!$C$40)+-Inputs!$C$41*EXP(-(((0)-Inputs!$C$43)^2)/(2*Inputs!$C$44^2))*EXP(-(((Model_Data!A149)-Inputs!$C$42)^2)/(2*Inputs!$C$45^2))+Inputs!$C$48*(0.7*(0.45*SIN(2*PI()*(((Model_Data!A149)/Inputs!$C$49)+Inputs!$C$47*0.137))+0.35*COS(2*PI()*(((0)/Inputs!$C$50)+Inputs!$C$47*0.173))+0.2*SIN(2*PI()*(((Model_Data!A149)+(0))/(0.5*(Inputs!$C$49+Inputs!$C$50))+Inputs!$C$47*0.097)))+0.3*(2*((SIN(((Model_Data!A149)*12.9898+(0)*78.233+Inputs!$C$47*37.719))*43758.5453)-INT((SIN(((Model_Data!A149)*12.9898+(0)*78.233+Inputs!$C$47*37.719))*43758.5453)))-1))))/1000)))*1000/Inputs!$C$12)-Model_Data!F149)</f>
        <v>229.08591514348871</v>
      </c>
      <c r="L149" s="10"/>
      <c r="M149" s="9">
        <f>Model_Data!A149</f>
        <v>13.5</v>
      </c>
      <c r="N149" s="9">
        <f>Model_Data!P149</f>
        <v>-101.71666195204531</v>
      </c>
      <c r="O149" s="9">
        <f t="shared" si="4"/>
        <v>-127.76180874298007</v>
      </c>
      <c r="P149" s="9">
        <f>Model_Data!Q149</f>
        <v>-15.27277206487167</v>
      </c>
      <c r="Q149" s="9">
        <f t="shared" si="5"/>
        <v>-19.183454766213224</v>
      </c>
      <c r="R149" s="10"/>
      <c r="S149" s="9">
        <f>Model_Data!A149</f>
        <v>13.5</v>
      </c>
      <c r="T149" s="9">
        <f>Model_Data!B149-Inputs!$C$5</f>
        <v>0.20249999999998636</v>
      </c>
      <c r="U149" s="10"/>
      <c r="V149" s="9">
        <f>Model_Data!A149</f>
        <v>13.5</v>
      </c>
      <c r="W149" s="9">
        <f>((SQRT((Model_Data!A149)^2+Inputs!$C$6^2+Inputs!$C$5^2)-Inputs!$C$5)*1000/Inputs!$C$12)</f>
        <v>566.17580996248</v>
      </c>
      <c r="X149" s="9">
        <f>Model_Data!F149</f>
        <v>565.89004791648767</v>
      </c>
      <c r="Y149" s="10"/>
      <c r="Z149" s="9">
        <f>Model_Data!A149</f>
        <v>13.5</v>
      </c>
      <c r="AA149" s="9">
        <f>SQRT((Model_Data!A149)^2+Inputs!$C$6^2+((Model_Data!B149)-((Inputs!$C$51*(115*EXP(-(((Inputs!$C$6)-25)^2)/(4.5^2))+70*EXP(-(((Inputs!$C$6)+38)^2)/(7^2))*(0.55+0.45*SIN(2*PI()*(Model_Data!A149)/45))+24*SIN(2*PI()*(Inputs!$C$6)/9+(Model_Data!A149)/18)*EXP(-(((Inputs!$C$6)+5)^2)/(22^2))+18*SIN(2*PI()*(Model_Data!A149)/70))+Inputs!$C$28*EXP(-(((Model_Data!A149)-Inputs!$C$29)^2)/(2*Inputs!$C$31^2))*EXP(-(((Inputs!$C$6)-Inputs!$C$30)^2)/(2*Inputs!$C$32^2))+-Inputs!$C$33*EXP(-(((((Model_Data!A149)-Inputs!$C$34)^2)+(((Inputs!$C$6)-Inputs!$C$35)^2))/(2*Inputs!$C$36^2)))+Inputs!$C$37*(0.55*SIN(2*PI()*(Model_Data!A149)/Inputs!$C$39)+0.35*COS(2*PI()*(Inputs!$C$6)/Inputs!$C$40)+0.2*SIN(2*PI()*((Model_Data!A149)+(Inputs!$C$6))/(0.5*(Inputs!$C$39+Inputs!$C$40))))+Inputs!$C$38*SIN(2*PI()*(Model_Data!A149)/Inputs!$C$39)*SIN(2*PI()*(Inputs!$C$6)/Inputs!$C$40)+-Inputs!$C$41*EXP(-(((Inputs!$C$6)-Inputs!$C$43)^2)/(2*Inputs!$C$44^2))*EXP(-(((Model_Data!A149)-Inputs!$C$42)^2)/(2*Inputs!$C$45^2))+Inputs!$C$48*(0.7*(0.45*SIN(2*PI()*(((Model_Data!A149)/Inputs!$C$49)+Inputs!$C$47*0.137))+0.35*COS(2*PI()*(((Inputs!$C$6)/Inputs!$C$50)+Inputs!$C$47*0.173))+0.2*SIN(2*PI()*(((Model_Data!A149)+(Inputs!$C$6))/(0.5*(Inputs!$C$49+Inputs!$C$50))+Inputs!$C$47*0.097)))+0.3*(2*((SIN(((Model_Data!A149)*12.9898+(Inputs!$C$6)*78.233+Inputs!$C$47*37.719))*43758.5453)-INT((SIN(((Model_Data!A149)*12.9898+(Inputs!$C$6)*78.233+Inputs!$C$47*37.719))*43758.5453)))-1))))/1000)^2)</f>
        <v>400.8019655950107</v>
      </c>
      <c r="AB149" s="9">
        <f>1000*(AA150-AA148)/(Z150-Z148)*Inputs!$C$11</f>
        <v>319.40452185745016</v>
      </c>
      <c r="AC149" s="9">
        <f>-2*AB149/Inputs!$C$13</f>
        <v>-127.76180874298007</v>
      </c>
      <c r="AD149" s="9">
        <f>-2*AB149/Inputs!$C$14</f>
        <v>-19.183454766213224</v>
      </c>
    </row>
    <row r="150" spans="1:30">
      <c r="A150" s="9">
        <f>Model_Data!A150</f>
        <v>14</v>
      </c>
      <c r="B150" s="9">
        <f>((SQRT((Model_Data!A150)^2+Inputs!$C$6^2+Inputs!$C$5^2)-Inputs!$C$5)*1000/Inputs!$C$12)</f>
        <v>575.80723622965218</v>
      </c>
      <c r="C150" s="9">
        <f>Model_Data!F150</f>
        <v>575.49471190789268</v>
      </c>
      <c r="D150" s="9">
        <f>(((SQRT((Model_Data!A150)^2+Inputs!$C$6^2+((Model_Data!B150)-((Inputs!$C$51*(115*EXP(-(((Inputs!$C$6)-25)^2)/(4.5^2))+70*EXP(-(((Inputs!$C$6)+38)^2)/(7^2))*(0.55+0.45*SIN(2*PI()*(Model_Data!A150)/45))+24*SIN(2*PI()*(Inputs!$C$6)/9+(Model_Data!A150)/18)*EXP(-(((Inputs!$C$6)+5)^2)/(22^2))+18*SIN(2*PI()*(Model_Data!A150)/70))+Inputs!$C$28*EXP(-(((Model_Data!A150)-Inputs!$C$29)^2)/(2*Inputs!$C$31^2))*EXP(-(((Inputs!$C$6)-Inputs!$C$30)^2)/(2*Inputs!$C$32^2))+-Inputs!$C$33*EXP(-(((((Model_Data!A150)-Inputs!$C$34)^2)+(((Inputs!$C$6)-Inputs!$C$35)^2))/(2*Inputs!$C$36^2)))+Inputs!$C$37*(0.55*SIN(2*PI()*(Model_Data!A150)/Inputs!$C$39)+0.35*COS(2*PI()*(Inputs!$C$6)/Inputs!$C$40)+0.2*SIN(2*PI()*((Model_Data!A150)+(Inputs!$C$6))/(0.5*(Inputs!$C$39+Inputs!$C$40))))+Inputs!$C$38*SIN(2*PI()*(Model_Data!A150)/Inputs!$C$39)*SIN(2*PI()*(Inputs!$C$6)/Inputs!$C$40)+-Inputs!$C$41*EXP(-(((Inputs!$C$6)-Inputs!$C$43)^2)/(2*Inputs!$C$44^2))*EXP(-(((Model_Data!A150)-Inputs!$C$42)^2)/(2*Inputs!$C$45^2))+Inputs!$C$48*(0.7*(0.45*SIN(2*PI()*(((Model_Data!A150)/Inputs!$C$49)+Inputs!$C$47*0.137))+0.35*COS(2*PI()*(((Inputs!$C$6)/Inputs!$C$50)+Inputs!$C$47*0.173))+0.2*SIN(2*PI()*(((Model_Data!A150)+(Inputs!$C$6))/(0.5*(Inputs!$C$49+Inputs!$C$50))+Inputs!$C$47*0.097)))+0.3*(2*((SIN(((Model_Data!A150)*12.9898+(Inputs!$C$6)*78.233+Inputs!$C$47*37.719))*43758.5453)-INT((SIN(((Model_Data!A150)*12.9898+(Inputs!$C$6)*78.233+Inputs!$C$47*37.719))*43758.5453)))-1))))/1000)^2))-(((Model_Data!B150)-((Inputs!$C$51*(115*EXP(-(((0)-25)^2)/(4.5^2))+70*EXP(-(((0)+38)^2)/(7^2))*(0.55+0.45*SIN(2*PI()*(Model_Data!A150)/45))+24*SIN(2*PI()*(0)/9+(Model_Data!A150)/18)*EXP(-(((0)+5)^2)/(22^2))+18*SIN(2*PI()*(Model_Data!A150)/70))+Inputs!$C$28*EXP(-(((Model_Data!A150)-Inputs!$C$29)^2)/(2*Inputs!$C$31^2))*EXP(-(((0)-Inputs!$C$30)^2)/(2*Inputs!$C$32^2))+-Inputs!$C$33*EXP(-(((((Model_Data!A150)-Inputs!$C$34)^2)+(((0)-Inputs!$C$35)^2))/(2*Inputs!$C$36^2)))+Inputs!$C$37*(0.55*SIN(2*PI()*(Model_Data!A150)/Inputs!$C$39)+0.35*COS(2*PI()*(0)/Inputs!$C$40)+0.2*SIN(2*PI()*((Model_Data!A150)+(0))/(0.5*(Inputs!$C$39+Inputs!$C$40))))+Inputs!$C$38*SIN(2*PI()*(Model_Data!A150)/Inputs!$C$39)*SIN(2*PI()*(0)/Inputs!$C$40)+-Inputs!$C$41*EXP(-(((0)-Inputs!$C$43)^2)/(2*Inputs!$C$44^2))*EXP(-(((Model_Data!A150)-Inputs!$C$42)^2)/(2*Inputs!$C$45^2))+Inputs!$C$48*(0.7*(0.45*SIN(2*PI()*(((Model_Data!A150)/Inputs!$C$49)+Inputs!$C$47*0.137))+0.35*COS(2*PI()*(((0)/Inputs!$C$50)+Inputs!$C$47*0.173))+0.2*SIN(2*PI()*(((Model_Data!A150)+(0))/(0.5*(Inputs!$C$49+Inputs!$C$50))+Inputs!$C$47*0.097)))+0.3*(2*((SIN(((Model_Data!A150)*12.9898+(0)*78.233+Inputs!$C$47*37.719))*43758.5453)-INT((SIN(((Model_Data!A150)*12.9898+(0)*78.233+Inputs!$C$47*37.719))*43758.5453)))-1))))/1000)))*1000/Inputs!$C$12)</f>
        <v>353.95055095552527</v>
      </c>
      <c r="E150" s="9">
        <f>Model_Data!A150</f>
        <v>14</v>
      </c>
      <c r="F150" s="9">
        <f>(Inputs!$C$51*(115*EXP(-(((Inputs!$C$6)-25)^2)/(4.5^2))+70*EXP(-(((Inputs!$C$6)+38)^2)/(7^2))*(0.55+0.45*SIN(2*PI()*(Model_Data!A150)/45))+24*SIN(2*PI()*(Inputs!$C$6)/9+(Model_Data!A150)/18)*EXP(-(((Inputs!$C$6)+5)^2)/(22^2))+18*SIN(2*PI()*(Model_Data!A150)/70))+Inputs!$C$28*EXP(-(((Model_Data!A150)-Inputs!$C$29)^2)/(2*Inputs!$C$31^2))*EXP(-(((Inputs!$C$6)-Inputs!$C$30)^2)/(2*Inputs!$C$32^2))+-Inputs!$C$33*EXP(-(((((Model_Data!A150)-Inputs!$C$34)^2)+(((Inputs!$C$6)-Inputs!$C$35)^2))/(2*Inputs!$C$36^2)))+Inputs!$C$37*(0.55*SIN(2*PI()*(Model_Data!A150)/Inputs!$C$39)+0.35*COS(2*PI()*(Inputs!$C$6)/Inputs!$C$40)+0.2*SIN(2*PI()*((Model_Data!A150)+(Inputs!$C$6))/(0.5*(Inputs!$C$39+Inputs!$C$40))))+Inputs!$C$38*SIN(2*PI()*(Model_Data!A150)/Inputs!$C$39)*SIN(2*PI()*(Inputs!$C$6)/Inputs!$C$40)+-Inputs!$C$41*EXP(-(((Inputs!$C$6)-Inputs!$C$43)^2)/(2*Inputs!$C$44^2))*EXP(-(((Model_Data!A150)-Inputs!$C$42)^2)/(2*Inputs!$C$45^2))+Inputs!$C$48*(0.7*(0.45*SIN(2*PI()*(((Model_Data!A150)/Inputs!$C$49)+Inputs!$C$47*0.137))+0.35*COS(2*PI()*(((Inputs!$C$6)/Inputs!$C$50)+Inputs!$C$47*0.173))+0.2*SIN(2*PI()*(((Model_Data!A150)+(Inputs!$C$6))/(0.5*(Inputs!$C$49+Inputs!$C$50))+Inputs!$C$47*0.097)))+0.3*(2*((SIN(((Model_Data!A150)*12.9898+(Inputs!$C$6)*78.233+Inputs!$C$47*37.719))*43758.5453)-INT((SIN(((Model_Data!A150)*12.9898+(Inputs!$C$6)*78.233+Inputs!$C$47*37.719))*43758.5453)))-1)))</f>
        <v>412.55100068044544</v>
      </c>
      <c r="G150" s="9">
        <f>(Inputs!$C$51*(115*EXP(-(((0)-25)^2)/(4.5^2))+70*EXP(-(((0)+38)^2)/(7^2))*(0.55+0.45*SIN(2*PI()*(Model_Data!A150)/45))+24*SIN(2*PI()*(0)/9+(Model_Data!A150)/18)*EXP(-(((0)+5)^2)/(22^2))+18*SIN(2*PI()*(Model_Data!A150)/70))+Inputs!$C$28*EXP(-(((Model_Data!A150)-Inputs!$C$29)^2)/(2*Inputs!$C$31^2))*EXP(-(((0)-Inputs!$C$30)^2)/(2*Inputs!$C$32^2))+-Inputs!$C$33*EXP(-(((((Model_Data!A150)-Inputs!$C$34)^2)+(((0)-Inputs!$C$35)^2))/(2*Inputs!$C$36^2)))+Inputs!$C$37*(0.55*SIN(2*PI()*(Model_Data!A150)/Inputs!$C$39)+0.35*COS(2*PI()*(0)/Inputs!$C$40)+0.2*SIN(2*PI()*((Model_Data!A150)+(0))/(0.5*(Inputs!$C$39+Inputs!$C$40))))+Inputs!$C$38*SIN(2*PI()*(Model_Data!A150)/Inputs!$C$39)*SIN(2*PI()*(0)/Inputs!$C$40)+-Inputs!$C$41*EXP(-(((0)-Inputs!$C$43)^2)/(2*Inputs!$C$44^2))*EXP(-(((Model_Data!A150)-Inputs!$C$42)^2)/(2*Inputs!$C$45^2))+Inputs!$C$48*(0.7*(0.45*SIN(2*PI()*(((Model_Data!A150)/Inputs!$C$49)+Inputs!$C$47*0.137))+0.35*COS(2*PI()*(((0)/Inputs!$C$50)+Inputs!$C$47*0.173))+0.2*SIN(2*PI()*(((Model_Data!A150)+(0))/(0.5*(Inputs!$C$49+Inputs!$C$50))+Inputs!$C$47*0.097)))+0.3*(2*((SIN(((Model_Data!A150)*12.9898+(0)*78.233+Inputs!$C$47*37.719))*43758.5453)-INT((SIN(((Model_Data!A150)*12.9898+(0)*78.233+Inputs!$C$47*37.719))*43758.5453)))-1)))</f>
        <v>17.148059194147212</v>
      </c>
      <c r="H150" s="10"/>
      <c r="I150" s="9">
        <f>Model_Data!A150</f>
        <v>14</v>
      </c>
      <c r="J150" s="9">
        <f>(Inputs!$C$51*(115*EXP(-(((Inputs!$C$6)-25)^2)/(4.5^2))+70*EXP(-(((Inputs!$C$6)+38)^2)/(7^2))*(0.55+0.45*SIN(2*PI()*(Model_Data!A150)/45))+24*SIN(2*PI()*(Inputs!$C$6)/9+(Model_Data!A150)/18)*EXP(-(((Inputs!$C$6)+5)^2)/(22^2))+18*SIN(2*PI()*(Model_Data!A150)/70))+Inputs!$C$28*EXP(-(((Model_Data!A150)-Inputs!$C$29)^2)/(2*Inputs!$C$31^2))*EXP(-(((Inputs!$C$6)-Inputs!$C$30)^2)/(2*Inputs!$C$32^2))+-Inputs!$C$33*EXP(-(((((Model_Data!A150)-Inputs!$C$34)^2)+(((Inputs!$C$6)-Inputs!$C$35)^2))/(2*Inputs!$C$36^2)))+Inputs!$C$37*(0.55*SIN(2*PI()*(Model_Data!A150)/Inputs!$C$39)+0.35*COS(2*PI()*(Inputs!$C$6)/Inputs!$C$40)+0.2*SIN(2*PI()*((Model_Data!A150)+(Inputs!$C$6))/(0.5*(Inputs!$C$39+Inputs!$C$40))))+Inputs!$C$38*SIN(2*PI()*(Model_Data!A150)/Inputs!$C$39)*SIN(2*PI()*(Inputs!$C$6)/Inputs!$C$40)+-Inputs!$C$41*EXP(-(((Inputs!$C$6)-Inputs!$C$43)^2)/(2*Inputs!$C$44^2))*EXP(-(((Model_Data!A150)-Inputs!$C$42)^2)/(2*Inputs!$C$45^2))+Inputs!$C$48*(0.7*(0.45*SIN(2*PI()*(((Model_Data!A150)/Inputs!$C$49)+Inputs!$C$47*0.137))+0.35*COS(2*PI()*(((Inputs!$C$6)/Inputs!$C$50)+Inputs!$C$47*0.173))+0.2*SIN(2*PI()*(((Model_Data!A150)+(Inputs!$C$6))/(0.5*(Inputs!$C$49+Inputs!$C$50))+Inputs!$C$47*0.097)))+0.3*(2*((SIN(((Model_Data!A150)*12.9898+(Inputs!$C$6)*78.233+Inputs!$C$47*37.719))*43758.5453)-INT((SIN(((Model_Data!A150)*12.9898+(Inputs!$C$6)*78.233+Inputs!$C$47*37.719))*43758.5453)))-1)))</f>
        <v>412.55100068044544</v>
      </c>
      <c r="K150" s="9">
        <f>-((((SQRT((Model_Data!A150)^2+Inputs!$C$6^2+((Model_Data!B150)-((Inputs!$C$51*(115*EXP(-(((Inputs!$C$6)-25)^2)/(4.5^2))+70*EXP(-(((Inputs!$C$6)+38)^2)/(7^2))*(0.55+0.45*SIN(2*PI()*(Model_Data!A150)/45))+24*SIN(2*PI()*(Inputs!$C$6)/9+(Model_Data!A150)/18)*EXP(-(((Inputs!$C$6)+5)^2)/(22^2))+18*SIN(2*PI()*(Model_Data!A150)/70))+Inputs!$C$28*EXP(-(((Model_Data!A150)-Inputs!$C$29)^2)/(2*Inputs!$C$31^2))*EXP(-(((Inputs!$C$6)-Inputs!$C$30)^2)/(2*Inputs!$C$32^2))+-Inputs!$C$33*EXP(-(((((Model_Data!A150)-Inputs!$C$34)^2)+(((Inputs!$C$6)-Inputs!$C$35)^2))/(2*Inputs!$C$36^2)))+Inputs!$C$37*(0.55*SIN(2*PI()*(Model_Data!A150)/Inputs!$C$39)+0.35*COS(2*PI()*(Inputs!$C$6)/Inputs!$C$40)+0.2*SIN(2*PI()*((Model_Data!A150)+(Inputs!$C$6))/(0.5*(Inputs!$C$39+Inputs!$C$40))))+Inputs!$C$38*SIN(2*PI()*(Model_Data!A150)/Inputs!$C$39)*SIN(2*PI()*(Inputs!$C$6)/Inputs!$C$40)+-Inputs!$C$41*EXP(-(((Inputs!$C$6)-Inputs!$C$43)^2)/(2*Inputs!$C$44^2))*EXP(-(((Model_Data!A150)-Inputs!$C$42)^2)/(2*Inputs!$C$45^2))+Inputs!$C$48*(0.7*(0.45*SIN(2*PI()*(((Model_Data!A150)/Inputs!$C$49)+Inputs!$C$47*0.137))+0.35*COS(2*PI()*(((Inputs!$C$6)/Inputs!$C$50)+Inputs!$C$47*0.173))+0.2*SIN(2*PI()*(((Model_Data!A150)+(Inputs!$C$6))/(0.5*(Inputs!$C$49+Inputs!$C$50))+Inputs!$C$47*0.097)))+0.3*(2*((SIN(((Model_Data!A150)*12.9898+(Inputs!$C$6)*78.233+Inputs!$C$47*37.719))*43758.5453)-INT((SIN(((Model_Data!A150)*12.9898+(Inputs!$C$6)*78.233+Inputs!$C$47*37.719))*43758.5453)))-1))))/1000)^2))-(((Model_Data!B150)-((Inputs!$C$51*(115*EXP(-(((0)-25)^2)/(4.5^2))+70*EXP(-(((0)+38)^2)/(7^2))*(0.55+0.45*SIN(2*PI()*(Model_Data!A150)/45))+24*SIN(2*PI()*(0)/9+(Model_Data!A150)/18)*EXP(-(((0)+5)^2)/(22^2))+18*SIN(2*PI()*(Model_Data!A150)/70))+Inputs!$C$28*EXP(-(((Model_Data!A150)-Inputs!$C$29)^2)/(2*Inputs!$C$31^2))*EXP(-(((0)-Inputs!$C$30)^2)/(2*Inputs!$C$32^2))+-Inputs!$C$33*EXP(-(((((Model_Data!A150)-Inputs!$C$34)^2)+(((0)-Inputs!$C$35)^2))/(2*Inputs!$C$36^2)))+Inputs!$C$37*(0.55*SIN(2*PI()*(Model_Data!A150)/Inputs!$C$39)+0.35*COS(2*PI()*(0)/Inputs!$C$40)+0.2*SIN(2*PI()*((Model_Data!A150)+(0))/(0.5*(Inputs!$C$39+Inputs!$C$40))))+Inputs!$C$38*SIN(2*PI()*(Model_Data!A150)/Inputs!$C$39)*SIN(2*PI()*(0)/Inputs!$C$40)+-Inputs!$C$41*EXP(-(((0)-Inputs!$C$43)^2)/(2*Inputs!$C$44^2))*EXP(-(((Model_Data!A150)-Inputs!$C$42)^2)/(2*Inputs!$C$45^2))+Inputs!$C$48*(0.7*(0.45*SIN(2*PI()*(((Model_Data!A150)/Inputs!$C$49)+Inputs!$C$47*0.137))+0.35*COS(2*PI()*(((0)/Inputs!$C$50)+Inputs!$C$47*0.173))+0.2*SIN(2*PI()*(((Model_Data!A150)+(0))/(0.5*(Inputs!$C$49+Inputs!$C$50))+Inputs!$C$47*0.097)))+0.3*(2*((SIN(((Model_Data!A150)*12.9898+(0)*78.233+Inputs!$C$47*37.719))*43758.5453)-INT((SIN(((Model_Data!A150)*12.9898+(0)*78.233+Inputs!$C$47*37.719))*43758.5453)))-1))))/1000)))*1000/Inputs!$C$12)-Model_Data!F150)</f>
        <v>221.54416095236741</v>
      </c>
      <c r="L150" s="10"/>
      <c r="M150" s="9">
        <f>Model_Data!A150</f>
        <v>14</v>
      </c>
      <c r="N150" s="9">
        <f>Model_Data!P150</f>
        <v>-105.47733014246676</v>
      </c>
      <c r="O150" s="9">
        <f t="shared" si="4"/>
        <v>-94.807596644659498</v>
      </c>
      <c r="P150" s="9">
        <f>Model_Data!Q150</f>
        <v>-15.837436958328343</v>
      </c>
      <c r="Q150" s="9">
        <f t="shared" si="5"/>
        <v>-14.235374871570496</v>
      </c>
      <c r="R150" s="10"/>
      <c r="S150" s="9">
        <f>Model_Data!A150</f>
        <v>14</v>
      </c>
      <c r="T150" s="9">
        <f>Model_Data!B150-Inputs!$C$5</f>
        <v>0.21777777777776919</v>
      </c>
      <c r="U150" s="10"/>
      <c r="V150" s="9">
        <f>Model_Data!A150</f>
        <v>14</v>
      </c>
      <c r="W150" s="9">
        <f>((SQRT((Model_Data!A150)^2+Inputs!$C$6^2+Inputs!$C$5^2)-Inputs!$C$5)*1000/Inputs!$C$12)</f>
        <v>575.80723622965218</v>
      </c>
      <c r="X150" s="9">
        <f>Model_Data!F150</f>
        <v>575.49471190789268</v>
      </c>
      <c r="Y150" s="10"/>
      <c r="Z150" s="9">
        <f>Model_Data!A150</f>
        <v>14</v>
      </c>
      <c r="AA150" s="9">
        <f>SQRT((Model_Data!A150)^2+Inputs!$C$6^2+((Model_Data!B150)-((Inputs!$C$51*(115*EXP(-(((Inputs!$C$6)-25)^2)/(4.5^2))+70*EXP(-(((Inputs!$C$6)+38)^2)/(7^2))*(0.55+0.45*SIN(2*PI()*(Model_Data!A150)/45))+24*SIN(2*PI()*(Inputs!$C$6)/9+(Model_Data!A150)/18)*EXP(-(((Inputs!$C$6)+5)^2)/(22^2))+18*SIN(2*PI()*(Model_Data!A150)/70))+Inputs!$C$28*EXP(-(((Model_Data!A150)-Inputs!$C$29)^2)/(2*Inputs!$C$31^2))*EXP(-(((Inputs!$C$6)-Inputs!$C$30)^2)/(2*Inputs!$C$32^2))+-Inputs!$C$33*EXP(-(((((Model_Data!A150)-Inputs!$C$34)^2)+(((Inputs!$C$6)-Inputs!$C$35)^2))/(2*Inputs!$C$36^2)))+Inputs!$C$37*(0.55*SIN(2*PI()*(Model_Data!A150)/Inputs!$C$39)+0.35*COS(2*PI()*(Inputs!$C$6)/Inputs!$C$40)+0.2*SIN(2*PI()*((Model_Data!A150)+(Inputs!$C$6))/(0.5*(Inputs!$C$39+Inputs!$C$40))))+Inputs!$C$38*SIN(2*PI()*(Model_Data!A150)/Inputs!$C$39)*SIN(2*PI()*(Inputs!$C$6)/Inputs!$C$40)+-Inputs!$C$41*EXP(-(((Inputs!$C$6)-Inputs!$C$43)^2)/(2*Inputs!$C$44^2))*EXP(-(((Model_Data!A150)-Inputs!$C$42)^2)/(2*Inputs!$C$45^2))+Inputs!$C$48*(0.7*(0.45*SIN(2*PI()*(((Model_Data!A150)/Inputs!$C$49)+Inputs!$C$47*0.137))+0.35*COS(2*PI()*(((Inputs!$C$6)/Inputs!$C$50)+Inputs!$C$47*0.173))+0.2*SIN(2*PI()*(((Model_Data!A150)+(Inputs!$C$6))/(0.5*(Inputs!$C$49+Inputs!$C$50))+Inputs!$C$47*0.097)))+0.3*(2*((SIN(((Model_Data!A150)*12.9898+(Inputs!$C$6)*78.233+Inputs!$C$47*37.719))*43758.5453)-INT((SIN(((Model_Data!A150)*12.9898+(Inputs!$C$6)*78.233+Inputs!$C$47*37.719))*43758.5453)))-1))))/1000)^2)</f>
        <v>400.83066169928446</v>
      </c>
      <c r="AB150" s="9">
        <f>1000*(AA151-AA149)/(Z151-Z149)*Inputs!$C$11</f>
        <v>237.01899161164874</v>
      </c>
      <c r="AC150" s="9">
        <f>-2*AB150/Inputs!$C$13</f>
        <v>-94.807596644659498</v>
      </c>
      <c r="AD150" s="9">
        <f>-2*AB150/Inputs!$C$14</f>
        <v>-14.235374871570496</v>
      </c>
    </row>
    <row r="151" spans="1:30">
      <c r="A151" s="9">
        <f>Model_Data!A151</f>
        <v>14.5</v>
      </c>
      <c r="B151" s="9">
        <f>((SQRT((Model_Data!A151)^2+Inputs!$C$6^2+Inputs!$C$5^2)-Inputs!$C$5)*1000/Inputs!$C$12)</f>
        <v>585.7884617209296</v>
      </c>
      <c r="C151" s="9">
        <f>Model_Data!F151</f>
        <v>585.44743287884194</v>
      </c>
      <c r="D151" s="9">
        <f>(((SQRT((Model_Data!A151)^2+Inputs!$C$6^2+((Model_Data!B151)-((Inputs!$C$51*(115*EXP(-(((Inputs!$C$6)-25)^2)/(4.5^2))+70*EXP(-(((Inputs!$C$6)+38)^2)/(7^2))*(0.55+0.45*SIN(2*PI()*(Model_Data!A151)/45))+24*SIN(2*PI()*(Inputs!$C$6)/9+(Model_Data!A151)/18)*EXP(-(((Inputs!$C$6)+5)^2)/(22^2))+18*SIN(2*PI()*(Model_Data!A151)/70))+Inputs!$C$28*EXP(-(((Model_Data!A151)-Inputs!$C$29)^2)/(2*Inputs!$C$31^2))*EXP(-(((Inputs!$C$6)-Inputs!$C$30)^2)/(2*Inputs!$C$32^2))+-Inputs!$C$33*EXP(-(((((Model_Data!A151)-Inputs!$C$34)^2)+(((Inputs!$C$6)-Inputs!$C$35)^2))/(2*Inputs!$C$36^2)))+Inputs!$C$37*(0.55*SIN(2*PI()*(Model_Data!A151)/Inputs!$C$39)+0.35*COS(2*PI()*(Inputs!$C$6)/Inputs!$C$40)+0.2*SIN(2*PI()*((Model_Data!A151)+(Inputs!$C$6))/(0.5*(Inputs!$C$39+Inputs!$C$40))))+Inputs!$C$38*SIN(2*PI()*(Model_Data!A151)/Inputs!$C$39)*SIN(2*PI()*(Inputs!$C$6)/Inputs!$C$40)+-Inputs!$C$41*EXP(-(((Inputs!$C$6)-Inputs!$C$43)^2)/(2*Inputs!$C$44^2))*EXP(-(((Model_Data!A151)-Inputs!$C$42)^2)/(2*Inputs!$C$45^2))+Inputs!$C$48*(0.7*(0.45*SIN(2*PI()*(((Model_Data!A151)/Inputs!$C$49)+Inputs!$C$47*0.137))+0.35*COS(2*PI()*(((Inputs!$C$6)/Inputs!$C$50)+Inputs!$C$47*0.173))+0.2*SIN(2*PI()*(((Model_Data!A151)+(Inputs!$C$6))/(0.5*(Inputs!$C$49+Inputs!$C$50))+Inputs!$C$47*0.097)))+0.3*(2*((SIN(((Model_Data!A151)*12.9898+(Inputs!$C$6)*78.233+Inputs!$C$47*37.719))*43758.5453)-INT((SIN(((Model_Data!A151)*12.9898+(Inputs!$C$6)*78.233+Inputs!$C$47*37.719))*43758.5453)))-1))))/1000)^2))-(((Model_Data!B151)-((Inputs!$C$51*(115*EXP(-(((0)-25)^2)/(4.5^2))+70*EXP(-(((0)+38)^2)/(7^2))*(0.55+0.45*SIN(2*PI()*(Model_Data!A151)/45))+24*SIN(2*PI()*(0)/9+(Model_Data!A151)/18)*EXP(-(((0)+5)^2)/(22^2))+18*SIN(2*PI()*(Model_Data!A151)/70))+Inputs!$C$28*EXP(-(((Model_Data!A151)-Inputs!$C$29)^2)/(2*Inputs!$C$31^2))*EXP(-(((0)-Inputs!$C$30)^2)/(2*Inputs!$C$32^2))+-Inputs!$C$33*EXP(-(((((Model_Data!A151)-Inputs!$C$34)^2)+(((0)-Inputs!$C$35)^2))/(2*Inputs!$C$36^2)))+Inputs!$C$37*(0.55*SIN(2*PI()*(Model_Data!A151)/Inputs!$C$39)+0.35*COS(2*PI()*(0)/Inputs!$C$40)+0.2*SIN(2*PI()*((Model_Data!A151)+(0))/(0.5*(Inputs!$C$39+Inputs!$C$40))))+Inputs!$C$38*SIN(2*PI()*(Model_Data!A151)/Inputs!$C$39)*SIN(2*PI()*(0)/Inputs!$C$40)+-Inputs!$C$41*EXP(-(((0)-Inputs!$C$43)^2)/(2*Inputs!$C$44^2))*EXP(-(((Model_Data!A151)-Inputs!$C$42)^2)/(2*Inputs!$C$45^2))+Inputs!$C$48*(0.7*(0.45*SIN(2*PI()*(((Model_Data!A151)/Inputs!$C$49)+Inputs!$C$47*0.137))+0.35*COS(2*PI()*(((0)/Inputs!$C$50)+Inputs!$C$47*0.173))+0.2*SIN(2*PI()*(((Model_Data!A151)+(0))/(0.5*(Inputs!$C$49+Inputs!$C$50))+Inputs!$C$47*0.097)))+0.3*(2*((SIN(((Model_Data!A151)*12.9898+(0)*78.233+Inputs!$C$47*37.719))*43758.5453)-INT((SIN(((Model_Data!A151)*12.9898+(0)*78.233+Inputs!$C$47*37.719))*43758.5453)))-1))))/1000)))*1000/Inputs!$C$12)</f>
        <v>367.94082008611258</v>
      </c>
      <c r="E151" s="9">
        <f>Model_Data!A151</f>
        <v>14.5</v>
      </c>
      <c r="F151" s="9">
        <f>(Inputs!$C$51*(115*EXP(-(((Inputs!$C$6)-25)^2)/(4.5^2))+70*EXP(-(((Inputs!$C$6)+38)^2)/(7^2))*(0.55+0.45*SIN(2*PI()*(Model_Data!A151)/45))+24*SIN(2*PI()*(Inputs!$C$6)/9+(Model_Data!A151)/18)*EXP(-(((Inputs!$C$6)+5)^2)/(22^2))+18*SIN(2*PI()*(Model_Data!A151)/70))+Inputs!$C$28*EXP(-(((Model_Data!A151)-Inputs!$C$29)^2)/(2*Inputs!$C$31^2))*EXP(-(((Inputs!$C$6)-Inputs!$C$30)^2)/(2*Inputs!$C$32^2))+-Inputs!$C$33*EXP(-(((((Model_Data!A151)-Inputs!$C$34)^2)+(((Inputs!$C$6)-Inputs!$C$35)^2))/(2*Inputs!$C$36^2)))+Inputs!$C$37*(0.55*SIN(2*PI()*(Model_Data!A151)/Inputs!$C$39)+0.35*COS(2*PI()*(Inputs!$C$6)/Inputs!$C$40)+0.2*SIN(2*PI()*((Model_Data!A151)+(Inputs!$C$6))/(0.5*(Inputs!$C$39+Inputs!$C$40))))+Inputs!$C$38*SIN(2*PI()*(Model_Data!A151)/Inputs!$C$39)*SIN(2*PI()*(Inputs!$C$6)/Inputs!$C$40)+-Inputs!$C$41*EXP(-(((Inputs!$C$6)-Inputs!$C$43)^2)/(2*Inputs!$C$44^2))*EXP(-(((Model_Data!A151)-Inputs!$C$42)^2)/(2*Inputs!$C$45^2))+Inputs!$C$48*(0.7*(0.45*SIN(2*PI()*(((Model_Data!A151)/Inputs!$C$49)+Inputs!$C$47*0.137))+0.35*COS(2*PI()*(((Inputs!$C$6)/Inputs!$C$50)+Inputs!$C$47*0.173))+0.2*SIN(2*PI()*(((Model_Data!A151)+(Inputs!$C$6))/(0.5*(Inputs!$C$49+Inputs!$C$50))+Inputs!$C$47*0.097)))+0.3*(2*((SIN(((Model_Data!A151)*12.9898+(Inputs!$C$6)*78.233+Inputs!$C$47*37.719))*43758.5453)-INT((SIN(((Model_Data!A151)*12.9898+(Inputs!$C$6)*78.233+Inputs!$C$47*37.719))*43758.5453)))-1)))</f>
        <v>415.56752777059438</v>
      </c>
      <c r="G151" s="9">
        <f>(Inputs!$C$51*(115*EXP(-(((0)-25)^2)/(4.5^2))+70*EXP(-(((0)+38)^2)/(7^2))*(0.55+0.45*SIN(2*PI()*(Model_Data!A151)/45))+24*SIN(2*PI()*(0)/9+(Model_Data!A151)/18)*EXP(-(((0)+5)^2)/(22^2))+18*SIN(2*PI()*(Model_Data!A151)/70))+Inputs!$C$28*EXP(-(((Model_Data!A151)-Inputs!$C$29)^2)/(2*Inputs!$C$31^2))*EXP(-(((0)-Inputs!$C$30)^2)/(2*Inputs!$C$32^2))+-Inputs!$C$33*EXP(-(((((Model_Data!A151)-Inputs!$C$34)^2)+(((0)-Inputs!$C$35)^2))/(2*Inputs!$C$36^2)))+Inputs!$C$37*(0.55*SIN(2*PI()*(Model_Data!A151)/Inputs!$C$39)+0.35*COS(2*PI()*(0)/Inputs!$C$40)+0.2*SIN(2*PI()*((Model_Data!A151)+(0))/(0.5*(Inputs!$C$39+Inputs!$C$40))))+Inputs!$C$38*SIN(2*PI()*(Model_Data!A151)/Inputs!$C$39)*SIN(2*PI()*(0)/Inputs!$C$40)+-Inputs!$C$41*EXP(-(((0)-Inputs!$C$43)^2)/(2*Inputs!$C$44^2))*EXP(-(((Model_Data!A151)-Inputs!$C$42)^2)/(2*Inputs!$C$45^2))+Inputs!$C$48*(0.7*(0.45*SIN(2*PI()*(((Model_Data!A151)/Inputs!$C$49)+Inputs!$C$47*0.137))+0.35*COS(2*PI()*(((0)/Inputs!$C$50)+Inputs!$C$47*0.173))+0.2*SIN(2*PI()*(((Model_Data!A151)+(0))/(0.5*(Inputs!$C$49+Inputs!$C$50))+Inputs!$C$47*0.097)))+0.3*(2*((SIN(((Model_Data!A151)*12.9898+(0)*78.233+Inputs!$C$47*37.719))*43758.5453)-INT((SIN(((Model_Data!A151)*12.9898+(0)*78.233+Inputs!$C$47*37.719))*43758.5453)))-1)))</f>
        <v>27.325427950728567</v>
      </c>
      <c r="H151" s="10"/>
      <c r="I151" s="9">
        <f>Model_Data!A151</f>
        <v>14.5</v>
      </c>
      <c r="J151" s="9">
        <f>(Inputs!$C$51*(115*EXP(-(((Inputs!$C$6)-25)^2)/(4.5^2))+70*EXP(-(((Inputs!$C$6)+38)^2)/(7^2))*(0.55+0.45*SIN(2*PI()*(Model_Data!A151)/45))+24*SIN(2*PI()*(Inputs!$C$6)/9+(Model_Data!A151)/18)*EXP(-(((Inputs!$C$6)+5)^2)/(22^2))+18*SIN(2*PI()*(Model_Data!A151)/70))+Inputs!$C$28*EXP(-(((Model_Data!A151)-Inputs!$C$29)^2)/(2*Inputs!$C$31^2))*EXP(-(((Inputs!$C$6)-Inputs!$C$30)^2)/(2*Inputs!$C$32^2))+-Inputs!$C$33*EXP(-(((((Model_Data!A151)-Inputs!$C$34)^2)+(((Inputs!$C$6)-Inputs!$C$35)^2))/(2*Inputs!$C$36^2)))+Inputs!$C$37*(0.55*SIN(2*PI()*(Model_Data!A151)/Inputs!$C$39)+0.35*COS(2*PI()*(Inputs!$C$6)/Inputs!$C$40)+0.2*SIN(2*PI()*((Model_Data!A151)+(Inputs!$C$6))/(0.5*(Inputs!$C$39+Inputs!$C$40))))+Inputs!$C$38*SIN(2*PI()*(Model_Data!A151)/Inputs!$C$39)*SIN(2*PI()*(Inputs!$C$6)/Inputs!$C$40)+-Inputs!$C$41*EXP(-(((Inputs!$C$6)-Inputs!$C$43)^2)/(2*Inputs!$C$44^2))*EXP(-(((Model_Data!A151)-Inputs!$C$42)^2)/(2*Inputs!$C$45^2))+Inputs!$C$48*(0.7*(0.45*SIN(2*PI()*(((Model_Data!A151)/Inputs!$C$49)+Inputs!$C$47*0.137))+0.35*COS(2*PI()*(((Inputs!$C$6)/Inputs!$C$50)+Inputs!$C$47*0.173))+0.2*SIN(2*PI()*(((Model_Data!A151)+(Inputs!$C$6))/(0.5*(Inputs!$C$49+Inputs!$C$50))+Inputs!$C$47*0.097)))+0.3*(2*((SIN(((Model_Data!A151)*12.9898+(Inputs!$C$6)*78.233+Inputs!$C$47*37.719))*43758.5453)-INT((SIN(((Model_Data!A151)*12.9898+(Inputs!$C$6)*78.233+Inputs!$C$47*37.719))*43758.5453)))-1)))</f>
        <v>415.56752777059438</v>
      </c>
      <c r="K151" s="9">
        <f>-((((SQRT((Model_Data!A151)^2+Inputs!$C$6^2+((Model_Data!B151)-((Inputs!$C$51*(115*EXP(-(((Inputs!$C$6)-25)^2)/(4.5^2))+70*EXP(-(((Inputs!$C$6)+38)^2)/(7^2))*(0.55+0.45*SIN(2*PI()*(Model_Data!A151)/45))+24*SIN(2*PI()*(Inputs!$C$6)/9+(Model_Data!A151)/18)*EXP(-(((Inputs!$C$6)+5)^2)/(22^2))+18*SIN(2*PI()*(Model_Data!A151)/70))+Inputs!$C$28*EXP(-(((Model_Data!A151)-Inputs!$C$29)^2)/(2*Inputs!$C$31^2))*EXP(-(((Inputs!$C$6)-Inputs!$C$30)^2)/(2*Inputs!$C$32^2))+-Inputs!$C$33*EXP(-(((((Model_Data!A151)-Inputs!$C$34)^2)+(((Inputs!$C$6)-Inputs!$C$35)^2))/(2*Inputs!$C$36^2)))+Inputs!$C$37*(0.55*SIN(2*PI()*(Model_Data!A151)/Inputs!$C$39)+0.35*COS(2*PI()*(Inputs!$C$6)/Inputs!$C$40)+0.2*SIN(2*PI()*((Model_Data!A151)+(Inputs!$C$6))/(0.5*(Inputs!$C$39+Inputs!$C$40))))+Inputs!$C$38*SIN(2*PI()*(Model_Data!A151)/Inputs!$C$39)*SIN(2*PI()*(Inputs!$C$6)/Inputs!$C$40)+-Inputs!$C$41*EXP(-(((Inputs!$C$6)-Inputs!$C$43)^2)/(2*Inputs!$C$44^2))*EXP(-(((Model_Data!A151)-Inputs!$C$42)^2)/(2*Inputs!$C$45^2))+Inputs!$C$48*(0.7*(0.45*SIN(2*PI()*(((Model_Data!A151)/Inputs!$C$49)+Inputs!$C$47*0.137))+0.35*COS(2*PI()*(((Inputs!$C$6)/Inputs!$C$50)+Inputs!$C$47*0.173))+0.2*SIN(2*PI()*(((Model_Data!A151)+(Inputs!$C$6))/(0.5*(Inputs!$C$49+Inputs!$C$50))+Inputs!$C$47*0.097)))+0.3*(2*((SIN(((Model_Data!A151)*12.9898+(Inputs!$C$6)*78.233+Inputs!$C$47*37.719))*43758.5453)-INT((SIN(((Model_Data!A151)*12.9898+(Inputs!$C$6)*78.233+Inputs!$C$47*37.719))*43758.5453)))-1))))/1000)^2))-(((Model_Data!B151)-((Inputs!$C$51*(115*EXP(-(((0)-25)^2)/(4.5^2))+70*EXP(-(((0)+38)^2)/(7^2))*(0.55+0.45*SIN(2*PI()*(Model_Data!A151)/45))+24*SIN(2*PI()*(0)/9+(Model_Data!A151)/18)*EXP(-(((0)+5)^2)/(22^2))+18*SIN(2*PI()*(Model_Data!A151)/70))+Inputs!$C$28*EXP(-(((Model_Data!A151)-Inputs!$C$29)^2)/(2*Inputs!$C$31^2))*EXP(-(((0)-Inputs!$C$30)^2)/(2*Inputs!$C$32^2))+-Inputs!$C$33*EXP(-(((((Model_Data!A151)-Inputs!$C$34)^2)+(((0)-Inputs!$C$35)^2))/(2*Inputs!$C$36^2)))+Inputs!$C$37*(0.55*SIN(2*PI()*(Model_Data!A151)/Inputs!$C$39)+0.35*COS(2*PI()*(0)/Inputs!$C$40)+0.2*SIN(2*PI()*((Model_Data!A151)+(0))/(0.5*(Inputs!$C$39+Inputs!$C$40))))+Inputs!$C$38*SIN(2*PI()*(Model_Data!A151)/Inputs!$C$39)*SIN(2*PI()*(0)/Inputs!$C$40)+-Inputs!$C$41*EXP(-(((0)-Inputs!$C$43)^2)/(2*Inputs!$C$44^2))*EXP(-(((Model_Data!A151)-Inputs!$C$42)^2)/(2*Inputs!$C$45^2))+Inputs!$C$48*(0.7*(0.45*SIN(2*PI()*(((Model_Data!A151)/Inputs!$C$49)+Inputs!$C$47*0.137))+0.35*COS(2*PI()*(((0)/Inputs!$C$50)+Inputs!$C$47*0.173))+0.2*SIN(2*PI()*(((Model_Data!A151)+(0))/(0.5*(Inputs!$C$49+Inputs!$C$50))+Inputs!$C$47*0.097)))+0.3*(2*((SIN(((Model_Data!A151)*12.9898+(0)*78.233+Inputs!$C$47*37.719))*43758.5453)-INT((SIN(((Model_Data!A151)*12.9898+(0)*78.233+Inputs!$C$47*37.719))*43758.5453)))-1))))/1000)))*1000/Inputs!$C$12)-Model_Data!F151)</f>
        <v>217.50661279272936</v>
      </c>
      <c r="L151" s="10"/>
      <c r="M151" s="9">
        <f>Model_Data!A151</f>
        <v>14.5</v>
      </c>
      <c r="N151" s="9">
        <f>Model_Data!P151</f>
        <v>-109.23727838244822</v>
      </c>
      <c r="O151" s="9">
        <f t="shared" si="4"/>
        <v>-130.36839297628831</v>
      </c>
      <c r="P151" s="9">
        <f>Model_Data!Q151</f>
        <v>-16.401993751118354</v>
      </c>
      <c r="Q151" s="9">
        <f t="shared" si="5"/>
        <v>-19.574833780223472</v>
      </c>
      <c r="R151" s="10"/>
      <c r="S151" s="9">
        <f>Model_Data!A151</f>
        <v>14.5</v>
      </c>
      <c r="T151" s="9">
        <f>Model_Data!B151-Inputs!$C$5</f>
        <v>0.23361111111108812</v>
      </c>
      <c r="U151" s="10"/>
      <c r="V151" s="9">
        <f>Model_Data!A151</f>
        <v>14.5</v>
      </c>
      <c r="W151" s="9">
        <f>((SQRT((Model_Data!A151)^2+Inputs!$C$6^2+Inputs!$C$5^2)-Inputs!$C$5)*1000/Inputs!$C$12)</f>
        <v>585.7884617209296</v>
      </c>
      <c r="X151" s="9">
        <f>Model_Data!F151</f>
        <v>585.44743287884194</v>
      </c>
      <c r="Y151" s="10"/>
      <c r="Z151" s="9">
        <f>Model_Data!A151</f>
        <v>14.5</v>
      </c>
      <c r="AA151" s="9">
        <f>SQRT((Model_Data!A151)^2+Inputs!$C$6^2+((Model_Data!B151)-((Inputs!$C$51*(115*EXP(-(((Inputs!$C$6)-25)^2)/(4.5^2))+70*EXP(-(((Inputs!$C$6)+38)^2)/(7^2))*(0.55+0.45*SIN(2*PI()*(Model_Data!A151)/45))+24*SIN(2*PI()*(Inputs!$C$6)/9+(Model_Data!A151)/18)*EXP(-(((Inputs!$C$6)+5)^2)/(22^2))+18*SIN(2*PI()*(Model_Data!A151)/70))+Inputs!$C$28*EXP(-(((Model_Data!A151)-Inputs!$C$29)^2)/(2*Inputs!$C$31^2))*EXP(-(((Inputs!$C$6)-Inputs!$C$30)^2)/(2*Inputs!$C$32^2))+-Inputs!$C$33*EXP(-(((((Model_Data!A151)-Inputs!$C$34)^2)+(((Inputs!$C$6)-Inputs!$C$35)^2))/(2*Inputs!$C$36^2)))+Inputs!$C$37*(0.55*SIN(2*PI()*(Model_Data!A151)/Inputs!$C$39)+0.35*COS(2*PI()*(Inputs!$C$6)/Inputs!$C$40)+0.2*SIN(2*PI()*((Model_Data!A151)+(Inputs!$C$6))/(0.5*(Inputs!$C$39+Inputs!$C$40))))+Inputs!$C$38*SIN(2*PI()*(Model_Data!A151)/Inputs!$C$39)*SIN(2*PI()*(Inputs!$C$6)/Inputs!$C$40)+-Inputs!$C$41*EXP(-(((Inputs!$C$6)-Inputs!$C$43)^2)/(2*Inputs!$C$44^2))*EXP(-(((Model_Data!A151)-Inputs!$C$42)^2)/(2*Inputs!$C$45^2))+Inputs!$C$48*(0.7*(0.45*SIN(2*PI()*(((Model_Data!A151)/Inputs!$C$49)+Inputs!$C$47*0.137))+0.35*COS(2*PI()*(((Inputs!$C$6)/Inputs!$C$50)+Inputs!$C$47*0.173))+0.2*SIN(2*PI()*(((Model_Data!A151)+(Inputs!$C$6))/(0.5*(Inputs!$C$49+Inputs!$C$50))+Inputs!$C$47*0.097)))+0.3*(2*((SIN(((Model_Data!A151)*12.9898+(Inputs!$C$6)*78.233+Inputs!$C$47*37.719))*43758.5453)-INT((SIN(((Model_Data!A151)*12.9898+(Inputs!$C$6)*78.233+Inputs!$C$47*37.719))*43758.5453)))-1))))/1000)^2)</f>
        <v>400.86122034291361</v>
      </c>
      <c r="AB151" s="9">
        <f>1000*(AA152-AA150)/(Z152-Z150)*Inputs!$C$11</f>
        <v>325.92098244072076</v>
      </c>
      <c r="AC151" s="9">
        <f>-2*AB151/Inputs!$C$13</f>
        <v>-130.36839297628831</v>
      </c>
      <c r="AD151" s="9">
        <f>-2*AB151/Inputs!$C$14</f>
        <v>-19.574833780223472</v>
      </c>
    </row>
    <row r="152" spans="1:30">
      <c r="A152" s="9">
        <f>Model_Data!A152</f>
        <v>15</v>
      </c>
      <c r="B152" s="9">
        <f>((SQRT((Model_Data!A152)^2+Inputs!$C$6^2+Inputs!$C$5^2)-Inputs!$C$5)*1000/Inputs!$C$12)</f>
        <v>596.11943994918954</v>
      </c>
      <c r="C152" s="9">
        <f>Model_Data!F152</f>
        <v>595.74808220334489</v>
      </c>
      <c r="D152" s="9">
        <f>(((SQRT((Model_Data!A152)^2+Inputs!$C$6^2+((Model_Data!B152)-((Inputs!$C$51*(115*EXP(-(((Inputs!$C$6)-25)^2)/(4.5^2))+70*EXP(-(((Inputs!$C$6)+38)^2)/(7^2))*(0.55+0.45*SIN(2*PI()*(Model_Data!A152)/45))+24*SIN(2*PI()*(Inputs!$C$6)/9+(Model_Data!A152)/18)*EXP(-(((Inputs!$C$6)+5)^2)/(22^2))+18*SIN(2*PI()*(Model_Data!A152)/70))+Inputs!$C$28*EXP(-(((Model_Data!A152)-Inputs!$C$29)^2)/(2*Inputs!$C$31^2))*EXP(-(((Inputs!$C$6)-Inputs!$C$30)^2)/(2*Inputs!$C$32^2))+-Inputs!$C$33*EXP(-(((((Model_Data!A152)-Inputs!$C$34)^2)+(((Inputs!$C$6)-Inputs!$C$35)^2))/(2*Inputs!$C$36^2)))+Inputs!$C$37*(0.55*SIN(2*PI()*(Model_Data!A152)/Inputs!$C$39)+0.35*COS(2*PI()*(Inputs!$C$6)/Inputs!$C$40)+0.2*SIN(2*PI()*((Model_Data!A152)+(Inputs!$C$6))/(0.5*(Inputs!$C$39+Inputs!$C$40))))+Inputs!$C$38*SIN(2*PI()*(Model_Data!A152)/Inputs!$C$39)*SIN(2*PI()*(Inputs!$C$6)/Inputs!$C$40)+-Inputs!$C$41*EXP(-(((Inputs!$C$6)-Inputs!$C$43)^2)/(2*Inputs!$C$44^2))*EXP(-(((Model_Data!A152)-Inputs!$C$42)^2)/(2*Inputs!$C$45^2))+Inputs!$C$48*(0.7*(0.45*SIN(2*PI()*(((Model_Data!A152)/Inputs!$C$49)+Inputs!$C$47*0.137))+0.35*COS(2*PI()*(((Inputs!$C$6)/Inputs!$C$50)+Inputs!$C$47*0.173))+0.2*SIN(2*PI()*(((Model_Data!A152)+(Inputs!$C$6))/(0.5*(Inputs!$C$49+Inputs!$C$50))+Inputs!$C$47*0.097)))+0.3*(2*((SIN(((Model_Data!A152)*12.9898+(Inputs!$C$6)*78.233+Inputs!$C$47*37.719))*43758.5453)-INT((SIN(((Model_Data!A152)*12.9898+(Inputs!$C$6)*78.233+Inputs!$C$47*37.719))*43758.5453)))-1))))/1000)^2))-(((Model_Data!B152)-((Inputs!$C$51*(115*EXP(-(((0)-25)^2)/(4.5^2))+70*EXP(-(((0)+38)^2)/(7^2))*(0.55+0.45*SIN(2*PI()*(Model_Data!A152)/45))+24*SIN(2*PI()*(0)/9+(Model_Data!A152)/18)*EXP(-(((0)+5)^2)/(22^2))+18*SIN(2*PI()*(Model_Data!A152)/70))+Inputs!$C$28*EXP(-(((Model_Data!A152)-Inputs!$C$29)^2)/(2*Inputs!$C$31^2))*EXP(-(((0)-Inputs!$C$30)^2)/(2*Inputs!$C$32^2))+-Inputs!$C$33*EXP(-(((((Model_Data!A152)-Inputs!$C$34)^2)+(((0)-Inputs!$C$35)^2))/(2*Inputs!$C$36^2)))+Inputs!$C$37*(0.55*SIN(2*PI()*(Model_Data!A152)/Inputs!$C$39)+0.35*COS(2*PI()*(0)/Inputs!$C$40)+0.2*SIN(2*PI()*((Model_Data!A152)+(0))/(0.5*(Inputs!$C$39+Inputs!$C$40))))+Inputs!$C$38*SIN(2*PI()*(Model_Data!A152)/Inputs!$C$39)*SIN(2*PI()*(0)/Inputs!$C$40)+-Inputs!$C$41*EXP(-(((0)-Inputs!$C$43)^2)/(2*Inputs!$C$44^2))*EXP(-(((Model_Data!A152)-Inputs!$C$42)^2)/(2*Inputs!$C$45^2))+Inputs!$C$48*(0.7*(0.45*SIN(2*PI()*(((Model_Data!A152)/Inputs!$C$49)+Inputs!$C$47*0.137))+0.35*COS(2*PI()*(((0)/Inputs!$C$50)+Inputs!$C$47*0.173))+0.2*SIN(2*PI()*(((Model_Data!A152)+(0))/(0.5*(Inputs!$C$49+Inputs!$C$50))+Inputs!$C$47*0.097)))+0.3*(2*((SIN(((Model_Data!A152)*12.9898+(0)*78.233+Inputs!$C$47*37.719))*43758.5453)-INT((SIN(((Model_Data!A152)*12.9898+(0)*78.233+Inputs!$C$47*37.719))*43758.5453)))-1))))/1000)))*1000/Inputs!$C$12)</f>
        <v>397.47463513133732</v>
      </c>
      <c r="E152" s="9">
        <f>Model_Data!A152</f>
        <v>15</v>
      </c>
      <c r="F152" s="9">
        <f>(Inputs!$C$51*(115*EXP(-(((Inputs!$C$6)-25)^2)/(4.5^2))+70*EXP(-(((Inputs!$C$6)+38)^2)/(7^2))*(0.55+0.45*SIN(2*PI()*(Model_Data!A152)/45))+24*SIN(2*PI()*(Inputs!$C$6)/9+(Model_Data!A152)/18)*EXP(-(((Inputs!$C$6)+5)^2)/(22^2))+18*SIN(2*PI()*(Model_Data!A152)/70))+Inputs!$C$28*EXP(-(((Model_Data!A152)-Inputs!$C$29)^2)/(2*Inputs!$C$31^2))*EXP(-(((Inputs!$C$6)-Inputs!$C$30)^2)/(2*Inputs!$C$32^2))+-Inputs!$C$33*EXP(-(((((Model_Data!A152)-Inputs!$C$34)^2)+(((Inputs!$C$6)-Inputs!$C$35)^2))/(2*Inputs!$C$36^2)))+Inputs!$C$37*(0.55*SIN(2*PI()*(Model_Data!A152)/Inputs!$C$39)+0.35*COS(2*PI()*(Inputs!$C$6)/Inputs!$C$40)+0.2*SIN(2*PI()*((Model_Data!A152)+(Inputs!$C$6))/(0.5*(Inputs!$C$39+Inputs!$C$40))))+Inputs!$C$38*SIN(2*PI()*(Model_Data!A152)/Inputs!$C$39)*SIN(2*PI()*(Inputs!$C$6)/Inputs!$C$40)+-Inputs!$C$41*EXP(-(((Inputs!$C$6)-Inputs!$C$43)^2)/(2*Inputs!$C$44^2))*EXP(-(((Model_Data!A152)-Inputs!$C$42)^2)/(2*Inputs!$C$45^2))+Inputs!$C$48*(0.7*(0.45*SIN(2*PI()*(((Model_Data!A152)/Inputs!$C$49)+Inputs!$C$47*0.137))+0.35*COS(2*PI()*(((Inputs!$C$6)/Inputs!$C$50)+Inputs!$C$47*0.173))+0.2*SIN(2*PI()*(((Model_Data!A152)+(Inputs!$C$6))/(0.5*(Inputs!$C$49+Inputs!$C$50))+Inputs!$C$47*0.097)))+0.3*(2*((SIN(((Model_Data!A152)*12.9898+(Inputs!$C$6)*78.233+Inputs!$C$47*37.719))*43758.5453)-INT((SIN(((Model_Data!A152)*12.9898+(Inputs!$C$6)*78.233+Inputs!$C$47*37.719))*43758.5453)))-1)))</f>
        <v>399.34593170493116</v>
      </c>
      <c r="G152" s="9">
        <f>(Inputs!$C$51*(115*EXP(-(((0)-25)^2)/(4.5^2))+70*EXP(-(((0)+38)^2)/(7^2))*(0.55+0.45*SIN(2*PI()*(Model_Data!A152)/45))+24*SIN(2*PI()*(0)/9+(Model_Data!A152)/18)*EXP(-(((0)+5)^2)/(22^2))+18*SIN(2*PI()*(Model_Data!A152)/70))+Inputs!$C$28*EXP(-(((Model_Data!A152)-Inputs!$C$29)^2)/(2*Inputs!$C$31^2))*EXP(-(((0)-Inputs!$C$30)^2)/(2*Inputs!$C$32^2))+-Inputs!$C$33*EXP(-(((((Model_Data!A152)-Inputs!$C$34)^2)+(((0)-Inputs!$C$35)^2))/(2*Inputs!$C$36^2)))+Inputs!$C$37*(0.55*SIN(2*PI()*(Model_Data!A152)/Inputs!$C$39)+0.35*COS(2*PI()*(0)/Inputs!$C$40)+0.2*SIN(2*PI()*((Model_Data!A152)+(0))/(0.5*(Inputs!$C$39+Inputs!$C$40))))+Inputs!$C$38*SIN(2*PI()*(Model_Data!A152)/Inputs!$C$39)*SIN(2*PI()*(0)/Inputs!$C$40)+-Inputs!$C$41*EXP(-(((0)-Inputs!$C$43)^2)/(2*Inputs!$C$44^2))*EXP(-(((Model_Data!A152)-Inputs!$C$42)^2)/(2*Inputs!$C$45^2))+Inputs!$C$48*(0.7*(0.45*SIN(2*PI()*(((Model_Data!A152)/Inputs!$C$49)+Inputs!$C$47*0.137))+0.35*COS(2*PI()*(((0)/Inputs!$C$50)+Inputs!$C$47*0.173))+0.2*SIN(2*PI()*(((Model_Data!A152)+(0))/(0.5*(Inputs!$C$49+Inputs!$C$50))+Inputs!$C$47*0.097)))+0.3*(2*((SIN(((Model_Data!A152)*12.9898+(0)*78.233+Inputs!$C$47*37.719))*43758.5453)-INT((SIN(((Model_Data!A152)*12.9898+(0)*78.233+Inputs!$C$47*37.719))*43758.5453)))-1)))</f>
        <v>45.362905639140564</v>
      </c>
      <c r="H152" s="10"/>
      <c r="I152" s="9">
        <f>Model_Data!A152</f>
        <v>15</v>
      </c>
      <c r="J152" s="9">
        <f>(Inputs!$C$51*(115*EXP(-(((Inputs!$C$6)-25)^2)/(4.5^2))+70*EXP(-(((Inputs!$C$6)+38)^2)/(7^2))*(0.55+0.45*SIN(2*PI()*(Model_Data!A152)/45))+24*SIN(2*PI()*(Inputs!$C$6)/9+(Model_Data!A152)/18)*EXP(-(((Inputs!$C$6)+5)^2)/(22^2))+18*SIN(2*PI()*(Model_Data!A152)/70))+Inputs!$C$28*EXP(-(((Model_Data!A152)-Inputs!$C$29)^2)/(2*Inputs!$C$31^2))*EXP(-(((Inputs!$C$6)-Inputs!$C$30)^2)/(2*Inputs!$C$32^2))+-Inputs!$C$33*EXP(-(((((Model_Data!A152)-Inputs!$C$34)^2)+(((Inputs!$C$6)-Inputs!$C$35)^2))/(2*Inputs!$C$36^2)))+Inputs!$C$37*(0.55*SIN(2*PI()*(Model_Data!A152)/Inputs!$C$39)+0.35*COS(2*PI()*(Inputs!$C$6)/Inputs!$C$40)+0.2*SIN(2*PI()*((Model_Data!A152)+(Inputs!$C$6))/(0.5*(Inputs!$C$39+Inputs!$C$40))))+Inputs!$C$38*SIN(2*PI()*(Model_Data!A152)/Inputs!$C$39)*SIN(2*PI()*(Inputs!$C$6)/Inputs!$C$40)+-Inputs!$C$41*EXP(-(((Inputs!$C$6)-Inputs!$C$43)^2)/(2*Inputs!$C$44^2))*EXP(-(((Model_Data!A152)-Inputs!$C$42)^2)/(2*Inputs!$C$45^2))+Inputs!$C$48*(0.7*(0.45*SIN(2*PI()*(((Model_Data!A152)/Inputs!$C$49)+Inputs!$C$47*0.137))+0.35*COS(2*PI()*(((Inputs!$C$6)/Inputs!$C$50)+Inputs!$C$47*0.173))+0.2*SIN(2*PI()*(((Model_Data!A152)+(Inputs!$C$6))/(0.5*(Inputs!$C$49+Inputs!$C$50))+Inputs!$C$47*0.097)))+0.3*(2*((SIN(((Model_Data!A152)*12.9898+(Inputs!$C$6)*78.233+Inputs!$C$47*37.719))*43758.5453)-INT((SIN(((Model_Data!A152)*12.9898+(Inputs!$C$6)*78.233+Inputs!$C$47*37.719))*43758.5453)))-1)))</f>
        <v>399.34593170493116</v>
      </c>
      <c r="K152" s="9">
        <f>-((((SQRT((Model_Data!A152)^2+Inputs!$C$6^2+((Model_Data!B152)-((Inputs!$C$51*(115*EXP(-(((Inputs!$C$6)-25)^2)/(4.5^2))+70*EXP(-(((Inputs!$C$6)+38)^2)/(7^2))*(0.55+0.45*SIN(2*PI()*(Model_Data!A152)/45))+24*SIN(2*PI()*(Inputs!$C$6)/9+(Model_Data!A152)/18)*EXP(-(((Inputs!$C$6)+5)^2)/(22^2))+18*SIN(2*PI()*(Model_Data!A152)/70))+Inputs!$C$28*EXP(-(((Model_Data!A152)-Inputs!$C$29)^2)/(2*Inputs!$C$31^2))*EXP(-(((Inputs!$C$6)-Inputs!$C$30)^2)/(2*Inputs!$C$32^2))+-Inputs!$C$33*EXP(-(((((Model_Data!A152)-Inputs!$C$34)^2)+(((Inputs!$C$6)-Inputs!$C$35)^2))/(2*Inputs!$C$36^2)))+Inputs!$C$37*(0.55*SIN(2*PI()*(Model_Data!A152)/Inputs!$C$39)+0.35*COS(2*PI()*(Inputs!$C$6)/Inputs!$C$40)+0.2*SIN(2*PI()*((Model_Data!A152)+(Inputs!$C$6))/(0.5*(Inputs!$C$39+Inputs!$C$40))))+Inputs!$C$38*SIN(2*PI()*(Model_Data!A152)/Inputs!$C$39)*SIN(2*PI()*(Inputs!$C$6)/Inputs!$C$40)+-Inputs!$C$41*EXP(-(((Inputs!$C$6)-Inputs!$C$43)^2)/(2*Inputs!$C$44^2))*EXP(-(((Model_Data!A152)-Inputs!$C$42)^2)/(2*Inputs!$C$45^2))+Inputs!$C$48*(0.7*(0.45*SIN(2*PI()*(((Model_Data!A152)/Inputs!$C$49)+Inputs!$C$47*0.137))+0.35*COS(2*PI()*(((Inputs!$C$6)/Inputs!$C$50)+Inputs!$C$47*0.173))+0.2*SIN(2*PI()*(((Model_Data!A152)+(Inputs!$C$6))/(0.5*(Inputs!$C$49+Inputs!$C$50))+Inputs!$C$47*0.097)))+0.3*(2*((SIN(((Model_Data!A152)*12.9898+(Inputs!$C$6)*78.233+Inputs!$C$47*37.719))*43758.5453)-INT((SIN(((Model_Data!A152)*12.9898+(Inputs!$C$6)*78.233+Inputs!$C$47*37.719))*43758.5453)))-1))))/1000)^2))-(((Model_Data!B152)-((Inputs!$C$51*(115*EXP(-(((0)-25)^2)/(4.5^2))+70*EXP(-(((0)+38)^2)/(7^2))*(0.55+0.45*SIN(2*PI()*(Model_Data!A152)/45))+24*SIN(2*PI()*(0)/9+(Model_Data!A152)/18)*EXP(-(((0)+5)^2)/(22^2))+18*SIN(2*PI()*(Model_Data!A152)/70))+Inputs!$C$28*EXP(-(((Model_Data!A152)-Inputs!$C$29)^2)/(2*Inputs!$C$31^2))*EXP(-(((0)-Inputs!$C$30)^2)/(2*Inputs!$C$32^2))+-Inputs!$C$33*EXP(-(((((Model_Data!A152)-Inputs!$C$34)^2)+(((0)-Inputs!$C$35)^2))/(2*Inputs!$C$36^2)))+Inputs!$C$37*(0.55*SIN(2*PI()*(Model_Data!A152)/Inputs!$C$39)+0.35*COS(2*PI()*(0)/Inputs!$C$40)+0.2*SIN(2*PI()*((Model_Data!A152)+(0))/(0.5*(Inputs!$C$39+Inputs!$C$40))))+Inputs!$C$38*SIN(2*PI()*(Model_Data!A152)/Inputs!$C$39)*SIN(2*PI()*(0)/Inputs!$C$40)+-Inputs!$C$41*EXP(-(((0)-Inputs!$C$43)^2)/(2*Inputs!$C$44^2))*EXP(-(((Model_Data!A152)-Inputs!$C$42)^2)/(2*Inputs!$C$45^2))+Inputs!$C$48*(0.7*(0.45*SIN(2*PI()*(((Model_Data!A152)/Inputs!$C$49)+Inputs!$C$47*0.137))+0.35*COS(2*PI()*(((0)/Inputs!$C$50)+Inputs!$C$47*0.173))+0.2*SIN(2*PI()*(((Model_Data!A152)+(0))/(0.5*(Inputs!$C$49+Inputs!$C$50))+Inputs!$C$47*0.097)))+0.3*(2*((SIN(((Model_Data!A152)*12.9898+(0)*78.233+Inputs!$C$47*37.719))*43758.5453)-INT((SIN(((Model_Data!A152)*12.9898+(0)*78.233+Inputs!$C$47*37.719))*43758.5453)))-1))))/1000)))*1000/Inputs!$C$12)-Model_Data!F152)</f>
        <v>198.27344707200757</v>
      </c>
      <c r="L152" s="10"/>
      <c r="M152" s="9">
        <f>Model_Data!A152</f>
        <v>15</v>
      </c>
      <c r="N152" s="9">
        <f>Model_Data!P152</f>
        <v>-112.99648127116424</v>
      </c>
      <c r="O152" s="9">
        <f t="shared" si="4"/>
        <v>-144.89373146916478</v>
      </c>
      <c r="P152" s="9">
        <f>Model_Data!Q152</f>
        <v>-16.966438629303944</v>
      </c>
      <c r="Q152" s="9">
        <f t="shared" si="5"/>
        <v>-21.755815535910628</v>
      </c>
      <c r="R152" s="10"/>
      <c r="S152" s="9">
        <f>Model_Data!A152</f>
        <v>15</v>
      </c>
      <c r="T152" s="9">
        <f>Model_Data!B152-Inputs!$C$5</f>
        <v>0.25</v>
      </c>
      <c r="U152" s="10"/>
      <c r="V152" s="9">
        <f>Model_Data!A152</f>
        <v>15</v>
      </c>
      <c r="W152" s="9">
        <f>((SQRT((Model_Data!A152)^2+Inputs!$C$6^2+Inputs!$C$5^2)-Inputs!$C$5)*1000/Inputs!$C$12)</f>
        <v>596.11943994918954</v>
      </c>
      <c r="X152" s="9">
        <f>Model_Data!F152</f>
        <v>595.74808220334489</v>
      </c>
      <c r="Y152" s="10"/>
      <c r="Z152" s="9">
        <f>Model_Data!A152</f>
        <v>15</v>
      </c>
      <c r="AA152" s="9">
        <f>SQRT((Model_Data!A152)^2+Inputs!$C$6^2+((Model_Data!B152)-((Inputs!$C$51*(115*EXP(-(((Inputs!$C$6)-25)^2)/(4.5^2))+70*EXP(-(((Inputs!$C$6)+38)^2)/(7^2))*(0.55+0.45*SIN(2*PI()*(Model_Data!A152)/45))+24*SIN(2*PI()*(Inputs!$C$6)/9+(Model_Data!A152)/18)*EXP(-(((Inputs!$C$6)+5)^2)/(22^2))+18*SIN(2*PI()*(Model_Data!A152)/70))+Inputs!$C$28*EXP(-(((Model_Data!A152)-Inputs!$C$29)^2)/(2*Inputs!$C$31^2))*EXP(-(((Inputs!$C$6)-Inputs!$C$30)^2)/(2*Inputs!$C$32^2))+-Inputs!$C$33*EXP(-(((((Model_Data!A152)-Inputs!$C$34)^2)+(((Inputs!$C$6)-Inputs!$C$35)^2))/(2*Inputs!$C$36^2)))+Inputs!$C$37*(0.55*SIN(2*PI()*(Model_Data!A152)/Inputs!$C$39)+0.35*COS(2*PI()*(Inputs!$C$6)/Inputs!$C$40)+0.2*SIN(2*PI()*((Model_Data!A152)+(Inputs!$C$6))/(0.5*(Inputs!$C$39+Inputs!$C$40))))+Inputs!$C$38*SIN(2*PI()*(Model_Data!A152)/Inputs!$C$39)*SIN(2*PI()*(Inputs!$C$6)/Inputs!$C$40)+-Inputs!$C$41*EXP(-(((Inputs!$C$6)-Inputs!$C$43)^2)/(2*Inputs!$C$44^2))*EXP(-(((Model_Data!A152)-Inputs!$C$42)^2)/(2*Inputs!$C$45^2))+Inputs!$C$48*(0.7*(0.45*SIN(2*PI()*(((Model_Data!A152)/Inputs!$C$49)+Inputs!$C$47*0.137))+0.35*COS(2*PI()*(((Inputs!$C$6)/Inputs!$C$50)+Inputs!$C$47*0.173))+0.2*SIN(2*PI()*(((Model_Data!A152)+(Inputs!$C$6))/(0.5*(Inputs!$C$49+Inputs!$C$50))+Inputs!$C$47*0.097)))+0.3*(2*((SIN(((Model_Data!A152)*12.9898+(Inputs!$C$6)*78.233+Inputs!$C$47*37.719))*43758.5453)-INT((SIN(((Model_Data!A152)*12.9898+(Inputs!$C$6)*78.233+Inputs!$C$47*37.719))*43758.5453)))-1))))/1000)^2)</f>
        <v>400.91214194489464</v>
      </c>
      <c r="AB152" s="9">
        <f>1000*(AA153-AA151)/(Z153-Z151)*Inputs!$C$11</f>
        <v>362.23432867291194</v>
      </c>
      <c r="AC152" s="9">
        <f>-2*AB152/Inputs!$C$13</f>
        <v>-144.89373146916478</v>
      </c>
      <c r="AD152" s="9">
        <f>-2*AB152/Inputs!$C$14</f>
        <v>-21.755815535910628</v>
      </c>
    </row>
    <row r="153" spans="1:30">
      <c r="A153" s="9">
        <f>Model_Data!A153</f>
        <v>15.5</v>
      </c>
      <c r="B153" s="9">
        <f>((SQRT((Model_Data!A153)^2+Inputs!$C$6^2+Inputs!$C$5^2)-Inputs!$C$5)*1000/Inputs!$C$12)</f>
        <v>606.80012280685651</v>
      </c>
      <c r="C153" s="9">
        <f>Model_Data!F153</f>
        <v>606.39652679891867</v>
      </c>
      <c r="D153" s="9">
        <f>(((SQRT((Model_Data!A153)^2+Inputs!$C$6^2+((Model_Data!B153)-((Inputs!$C$51*(115*EXP(-(((Inputs!$C$6)-25)^2)/(4.5^2))+70*EXP(-(((Inputs!$C$6)+38)^2)/(7^2))*(0.55+0.45*SIN(2*PI()*(Model_Data!A153)/45))+24*SIN(2*PI()*(Inputs!$C$6)/9+(Model_Data!A153)/18)*EXP(-(((Inputs!$C$6)+5)^2)/(22^2))+18*SIN(2*PI()*(Model_Data!A153)/70))+Inputs!$C$28*EXP(-(((Model_Data!A153)-Inputs!$C$29)^2)/(2*Inputs!$C$31^2))*EXP(-(((Inputs!$C$6)-Inputs!$C$30)^2)/(2*Inputs!$C$32^2))+-Inputs!$C$33*EXP(-(((((Model_Data!A153)-Inputs!$C$34)^2)+(((Inputs!$C$6)-Inputs!$C$35)^2))/(2*Inputs!$C$36^2)))+Inputs!$C$37*(0.55*SIN(2*PI()*(Model_Data!A153)/Inputs!$C$39)+0.35*COS(2*PI()*(Inputs!$C$6)/Inputs!$C$40)+0.2*SIN(2*PI()*((Model_Data!A153)+(Inputs!$C$6))/(0.5*(Inputs!$C$39+Inputs!$C$40))))+Inputs!$C$38*SIN(2*PI()*(Model_Data!A153)/Inputs!$C$39)*SIN(2*PI()*(Inputs!$C$6)/Inputs!$C$40)+-Inputs!$C$41*EXP(-(((Inputs!$C$6)-Inputs!$C$43)^2)/(2*Inputs!$C$44^2))*EXP(-(((Model_Data!A153)-Inputs!$C$42)^2)/(2*Inputs!$C$45^2))+Inputs!$C$48*(0.7*(0.45*SIN(2*PI()*(((Model_Data!A153)/Inputs!$C$49)+Inputs!$C$47*0.137))+0.35*COS(2*PI()*(((Inputs!$C$6)/Inputs!$C$50)+Inputs!$C$47*0.173))+0.2*SIN(2*PI()*(((Model_Data!A153)+(Inputs!$C$6))/(0.5*(Inputs!$C$49+Inputs!$C$50))+Inputs!$C$47*0.097)))+0.3*(2*((SIN(((Model_Data!A153)*12.9898+(Inputs!$C$6)*78.233+Inputs!$C$47*37.719))*43758.5453)-INT((SIN(((Model_Data!A153)*12.9898+(Inputs!$C$6)*78.233+Inputs!$C$47*37.719))*43758.5453)))-1))))/1000)^2))-(((Model_Data!B153)-((Inputs!$C$51*(115*EXP(-(((0)-25)^2)/(4.5^2))+70*EXP(-(((0)+38)^2)/(7^2))*(0.55+0.45*SIN(2*PI()*(Model_Data!A153)/45))+24*SIN(2*PI()*(0)/9+(Model_Data!A153)/18)*EXP(-(((0)+5)^2)/(22^2))+18*SIN(2*PI()*(Model_Data!A153)/70))+Inputs!$C$28*EXP(-(((Model_Data!A153)-Inputs!$C$29)^2)/(2*Inputs!$C$31^2))*EXP(-(((0)-Inputs!$C$30)^2)/(2*Inputs!$C$32^2))+-Inputs!$C$33*EXP(-(((((Model_Data!A153)-Inputs!$C$34)^2)+(((0)-Inputs!$C$35)^2))/(2*Inputs!$C$36^2)))+Inputs!$C$37*(0.55*SIN(2*PI()*(Model_Data!A153)/Inputs!$C$39)+0.35*COS(2*PI()*(0)/Inputs!$C$40)+0.2*SIN(2*PI()*((Model_Data!A153)+(0))/(0.5*(Inputs!$C$39+Inputs!$C$40))))+Inputs!$C$38*SIN(2*PI()*(Model_Data!A153)/Inputs!$C$39)*SIN(2*PI()*(0)/Inputs!$C$40)+-Inputs!$C$41*EXP(-(((0)-Inputs!$C$43)^2)/(2*Inputs!$C$44^2))*EXP(-(((Model_Data!A153)-Inputs!$C$42)^2)/(2*Inputs!$C$45^2))+Inputs!$C$48*(0.7*(0.45*SIN(2*PI()*(((Model_Data!A153)/Inputs!$C$49)+Inputs!$C$47*0.137))+0.35*COS(2*PI()*(((0)/Inputs!$C$50)+Inputs!$C$47*0.173))+0.2*SIN(2*PI()*(((Model_Data!A153)+(0))/(0.5*(Inputs!$C$49+Inputs!$C$50))+Inputs!$C$47*0.097)))+0.3*(2*((SIN(((Model_Data!A153)*12.9898+(0)*78.233+Inputs!$C$47*37.719))*43758.5453)-INT((SIN(((Model_Data!A153)*12.9898+(0)*78.233+Inputs!$C$47*37.719))*43758.5453)))-1))))/1000)))*1000/Inputs!$C$12)</f>
        <v>412.31722487603503</v>
      </c>
      <c r="E153" s="9">
        <f>Model_Data!A153</f>
        <v>15.5</v>
      </c>
      <c r="F153" s="9">
        <f>(Inputs!$C$51*(115*EXP(-(((Inputs!$C$6)-25)^2)/(4.5^2))+70*EXP(-(((Inputs!$C$6)+38)^2)/(7^2))*(0.55+0.45*SIN(2*PI()*(Model_Data!A153)/45))+24*SIN(2*PI()*(Inputs!$C$6)/9+(Model_Data!A153)/18)*EXP(-(((Inputs!$C$6)+5)^2)/(22^2))+18*SIN(2*PI()*(Model_Data!A153)/70))+Inputs!$C$28*EXP(-(((Model_Data!A153)-Inputs!$C$29)^2)/(2*Inputs!$C$31^2))*EXP(-(((Inputs!$C$6)-Inputs!$C$30)^2)/(2*Inputs!$C$32^2))+-Inputs!$C$33*EXP(-(((((Model_Data!A153)-Inputs!$C$34)^2)+(((Inputs!$C$6)-Inputs!$C$35)^2))/(2*Inputs!$C$36^2)))+Inputs!$C$37*(0.55*SIN(2*PI()*(Model_Data!A153)/Inputs!$C$39)+0.35*COS(2*PI()*(Inputs!$C$6)/Inputs!$C$40)+0.2*SIN(2*PI()*((Model_Data!A153)+(Inputs!$C$6))/(0.5*(Inputs!$C$39+Inputs!$C$40))))+Inputs!$C$38*SIN(2*PI()*(Model_Data!A153)/Inputs!$C$39)*SIN(2*PI()*(Inputs!$C$6)/Inputs!$C$40)+-Inputs!$C$41*EXP(-(((Inputs!$C$6)-Inputs!$C$43)^2)/(2*Inputs!$C$44^2))*EXP(-(((Model_Data!A153)-Inputs!$C$42)^2)/(2*Inputs!$C$45^2))+Inputs!$C$48*(0.7*(0.45*SIN(2*PI()*(((Model_Data!A153)/Inputs!$C$49)+Inputs!$C$47*0.137))+0.35*COS(2*PI()*(((Inputs!$C$6)/Inputs!$C$50)+Inputs!$C$47*0.173))+0.2*SIN(2*PI()*(((Model_Data!A153)+(Inputs!$C$6))/(0.5*(Inputs!$C$49+Inputs!$C$50))+Inputs!$C$47*0.097)))+0.3*(2*((SIN(((Model_Data!A153)*12.9898+(Inputs!$C$6)*78.233+Inputs!$C$47*37.719))*43758.5453)-INT((SIN(((Model_Data!A153)*12.9898+(Inputs!$C$6)*78.233+Inputs!$C$47*37.719))*43758.5453)))-1)))</f>
        <v>395.61636103749299</v>
      </c>
      <c r="G153" s="9">
        <f>(Inputs!$C$51*(115*EXP(-(((0)-25)^2)/(4.5^2))+70*EXP(-(((0)+38)^2)/(7^2))*(0.55+0.45*SIN(2*PI()*(Model_Data!A153)/45))+24*SIN(2*PI()*(0)/9+(Model_Data!A153)/18)*EXP(-(((0)+5)^2)/(22^2))+18*SIN(2*PI()*(Model_Data!A153)/70))+Inputs!$C$28*EXP(-(((Model_Data!A153)-Inputs!$C$29)^2)/(2*Inputs!$C$31^2))*EXP(-(((0)-Inputs!$C$30)^2)/(2*Inputs!$C$32^2))+-Inputs!$C$33*EXP(-(((((Model_Data!A153)-Inputs!$C$34)^2)+(((0)-Inputs!$C$35)^2))/(2*Inputs!$C$36^2)))+Inputs!$C$37*(0.55*SIN(2*PI()*(Model_Data!A153)/Inputs!$C$39)+0.35*COS(2*PI()*(0)/Inputs!$C$40)+0.2*SIN(2*PI()*((Model_Data!A153)+(0))/(0.5*(Inputs!$C$39+Inputs!$C$40))))+Inputs!$C$38*SIN(2*PI()*(Model_Data!A153)/Inputs!$C$39)*SIN(2*PI()*(0)/Inputs!$C$40)+-Inputs!$C$41*EXP(-(((0)-Inputs!$C$43)^2)/(2*Inputs!$C$44^2))*EXP(-(((Model_Data!A153)-Inputs!$C$42)^2)/(2*Inputs!$C$45^2))+Inputs!$C$48*(0.7*(0.45*SIN(2*PI()*(((Model_Data!A153)/Inputs!$C$49)+Inputs!$C$47*0.137))+0.35*COS(2*PI()*(((0)/Inputs!$C$50)+Inputs!$C$47*0.173))+0.2*SIN(2*PI()*(((Model_Data!A153)+(0))/(0.5*(Inputs!$C$49+Inputs!$C$50))+Inputs!$C$47*0.097)))+0.3*(2*((SIN(((Model_Data!A153)*12.9898+(0)*78.233+Inputs!$C$47*37.719))*43758.5453)-INT((SIN(((Model_Data!A153)*12.9898+(0)*78.233+Inputs!$C$47*37.719))*43758.5453)))-1)))</f>
        <v>49.090179641950456</v>
      </c>
      <c r="H153" s="10"/>
      <c r="I153" s="9">
        <f>Model_Data!A153</f>
        <v>15.5</v>
      </c>
      <c r="J153" s="9">
        <f>(Inputs!$C$51*(115*EXP(-(((Inputs!$C$6)-25)^2)/(4.5^2))+70*EXP(-(((Inputs!$C$6)+38)^2)/(7^2))*(0.55+0.45*SIN(2*PI()*(Model_Data!A153)/45))+24*SIN(2*PI()*(Inputs!$C$6)/9+(Model_Data!A153)/18)*EXP(-(((Inputs!$C$6)+5)^2)/(22^2))+18*SIN(2*PI()*(Model_Data!A153)/70))+Inputs!$C$28*EXP(-(((Model_Data!A153)-Inputs!$C$29)^2)/(2*Inputs!$C$31^2))*EXP(-(((Inputs!$C$6)-Inputs!$C$30)^2)/(2*Inputs!$C$32^2))+-Inputs!$C$33*EXP(-(((((Model_Data!A153)-Inputs!$C$34)^2)+(((Inputs!$C$6)-Inputs!$C$35)^2))/(2*Inputs!$C$36^2)))+Inputs!$C$37*(0.55*SIN(2*PI()*(Model_Data!A153)/Inputs!$C$39)+0.35*COS(2*PI()*(Inputs!$C$6)/Inputs!$C$40)+0.2*SIN(2*PI()*((Model_Data!A153)+(Inputs!$C$6))/(0.5*(Inputs!$C$39+Inputs!$C$40))))+Inputs!$C$38*SIN(2*PI()*(Model_Data!A153)/Inputs!$C$39)*SIN(2*PI()*(Inputs!$C$6)/Inputs!$C$40)+-Inputs!$C$41*EXP(-(((Inputs!$C$6)-Inputs!$C$43)^2)/(2*Inputs!$C$44^2))*EXP(-(((Model_Data!A153)-Inputs!$C$42)^2)/(2*Inputs!$C$45^2))+Inputs!$C$48*(0.7*(0.45*SIN(2*PI()*(((Model_Data!A153)/Inputs!$C$49)+Inputs!$C$47*0.137))+0.35*COS(2*PI()*(((Inputs!$C$6)/Inputs!$C$50)+Inputs!$C$47*0.173))+0.2*SIN(2*PI()*(((Model_Data!A153)+(Inputs!$C$6))/(0.5*(Inputs!$C$49+Inputs!$C$50))+Inputs!$C$47*0.097)))+0.3*(2*((SIN(((Model_Data!A153)*12.9898+(Inputs!$C$6)*78.233+Inputs!$C$47*37.719))*43758.5453)-INT((SIN(((Model_Data!A153)*12.9898+(Inputs!$C$6)*78.233+Inputs!$C$47*37.719))*43758.5453)))-1)))</f>
        <v>395.61636103749299</v>
      </c>
      <c r="K153" s="9">
        <f>-((((SQRT((Model_Data!A153)^2+Inputs!$C$6^2+((Model_Data!B153)-((Inputs!$C$51*(115*EXP(-(((Inputs!$C$6)-25)^2)/(4.5^2))+70*EXP(-(((Inputs!$C$6)+38)^2)/(7^2))*(0.55+0.45*SIN(2*PI()*(Model_Data!A153)/45))+24*SIN(2*PI()*(Inputs!$C$6)/9+(Model_Data!A153)/18)*EXP(-(((Inputs!$C$6)+5)^2)/(22^2))+18*SIN(2*PI()*(Model_Data!A153)/70))+Inputs!$C$28*EXP(-(((Model_Data!A153)-Inputs!$C$29)^2)/(2*Inputs!$C$31^2))*EXP(-(((Inputs!$C$6)-Inputs!$C$30)^2)/(2*Inputs!$C$32^2))+-Inputs!$C$33*EXP(-(((((Model_Data!A153)-Inputs!$C$34)^2)+(((Inputs!$C$6)-Inputs!$C$35)^2))/(2*Inputs!$C$36^2)))+Inputs!$C$37*(0.55*SIN(2*PI()*(Model_Data!A153)/Inputs!$C$39)+0.35*COS(2*PI()*(Inputs!$C$6)/Inputs!$C$40)+0.2*SIN(2*PI()*((Model_Data!A153)+(Inputs!$C$6))/(0.5*(Inputs!$C$39+Inputs!$C$40))))+Inputs!$C$38*SIN(2*PI()*(Model_Data!A153)/Inputs!$C$39)*SIN(2*PI()*(Inputs!$C$6)/Inputs!$C$40)+-Inputs!$C$41*EXP(-(((Inputs!$C$6)-Inputs!$C$43)^2)/(2*Inputs!$C$44^2))*EXP(-(((Model_Data!A153)-Inputs!$C$42)^2)/(2*Inputs!$C$45^2))+Inputs!$C$48*(0.7*(0.45*SIN(2*PI()*(((Model_Data!A153)/Inputs!$C$49)+Inputs!$C$47*0.137))+0.35*COS(2*PI()*(((Inputs!$C$6)/Inputs!$C$50)+Inputs!$C$47*0.173))+0.2*SIN(2*PI()*(((Model_Data!A153)+(Inputs!$C$6))/(0.5*(Inputs!$C$49+Inputs!$C$50))+Inputs!$C$47*0.097)))+0.3*(2*((SIN(((Model_Data!A153)*12.9898+(Inputs!$C$6)*78.233+Inputs!$C$47*37.719))*43758.5453)-INT((SIN(((Model_Data!A153)*12.9898+(Inputs!$C$6)*78.233+Inputs!$C$47*37.719))*43758.5453)))-1))))/1000)^2))-(((Model_Data!B153)-((Inputs!$C$51*(115*EXP(-(((0)-25)^2)/(4.5^2))+70*EXP(-(((0)+38)^2)/(7^2))*(0.55+0.45*SIN(2*PI()*(Model_Data!A153)/45))+24*SIN(2*PI()*(0)/9+(Model_Data!A153)/18)*EXP(-(((0)+5)^2)/(22^2))+18*SIN(2*PI()*(Model_Data!A153)/70))+Inputs!$C$28*EXP(-(((Model_Data!A153)-Inputs!$C$29)^2)/(2*Inputs!$C$31^2))*EXP(-(((0)-Inputs!$C$30)^2)/(2*Inputs!$C$32^2))+-Inputs!$C$33*EXP(-(((((Model_Data!A153)-Inputs!$C$34)^2)+(((0)-Inputs!$C$35)^2))/(2*Inputs!$C$36^2)))+Inputs!$C$37*(0.55*SIN(2*PI()*(Model_Data!A153)/Inputs!$C$39)+0.35*COS(2*PI()*(0)/Inputs!$C$40)+0.2*SIN(2*PI()*((Model_Data!A153)+(0))/(0.5*(Inputs!$C$39+Inputs!$C$40))))+Inputs!$C$38*SIN(2*PI()*(Model_Data!A153)/Inputs!$C$39)*SIN(2*PI()*(0)/Inputs!$C$40)+-Inputs!$C$41*EXP(-(((0)-Inputs!$C$43)^2)/(2*Inputs!$C$44^2))*EXP(-(((Model_Data!A153)-Inputs!$C$42)^2)/(2*Inputs!$C$45^2))+Inputs!$C$48*(0.7*(0.45*SIN(2*PI()*(((Model_Data!A153)/Inputs!$C$49)+Inputs!$C$47*0.137))+0.35*COS(2*PI()*(((0)/Inputs!$C$50)+Inputs!$C$47*0.173))+0.2*SIN(2*PI()*(((Model_Data!A153)+(0))/(0.5*(Inputs!$C$49+Inputs!$C$50))+Inputs!$C$47*0.097)))+0.3*(2*((SIN(((Model_Data!A153)*12.9898+(0)*78.233+Inputs!$C$47*37.719))*43758.5453)-INT((SIN(((Model_Data!A153)*12.9898+(0)*78.233+Inputs!$C$47*37.719))*43758.5453)))-1))))/1000)))*1000/Inputs!$C$12)-Model_Data!F153)</f>
        <v>194.07930192288364</v>
      </c>
      <c r="L153" s="10"/>
      <c r="M153" s="9">
        <f>Model_Data!A153</f>
        <v>15.5</v>
      </c>
      <c r="N153" s="9">
        <f>Model_Data!P153</f>
        <v>-116.754913440409</v>
      </c>
      <c r="O153" s="9">
        <f t="shared" si="4"/>
        <v>-115.27931445725699</v>
      </c>
      <c r="P153" s="9">
        <f>Model_Data!Q153</f>
        <v>-17.530767783845196</v>
      </c>
      <c r="Q153" s="9">
        <f t="shared" si="5"/>
        <v>-17.309206374963512</v>
      </c>
      <c r="R153" s="10"/>
      <c r="S153" s="9">
        <f>Model_Data!A153</f>
        <v>15.5</v>
      </c>
      <c r="T153" s="9">
        <f>Model_Data!B153-Inputs!$C$5</f>
        <v>0.26694444444444798</v>
      </c>
      <c r="U153" s="10"/>
      <c r="V153" s="9">
        <f>Model_Data!A153</f>
        <v>15.5</v>
      </c>
      <c r="W153" s="9">
        <f>((SQRT((Model_Data!A153)^2+Inputs!$C$6^2+Inputs!$C$5^2)-Inputs!$C$5)*1000/Inputs!$C$12)</f>
        <v>606.80012280685651</v>
      </c>
      <c r="X153" s="9">
        <f>Model_Data!F153</f>
        <v>606.39652679891867</v>
      </c>
      <c r="Y153" s="10"/>
      <c r="Z153" s="9">
        <f>Model_Data!A153</f>
        <v>15.5</v>
      </c>
      <c r="AA153" s="9">
        <f>SQRT((Model_Data!A153)^2+Inputs!$C$6^2+((Model_Data!B153)-((Inputs!$C$51*(115*EXP(-(((Inputs!$C$6)-25)^2)/(4.5^2))+70*EXP(-(((Inputs!$C$6)+38)^2)/(7^2))*(0.55+0.45*SIN(2*PI()*(Model_Data!A153)/45))+24*SIN(2*PI()*(Inputs!$C$6)/9+(Model_Data!A153)/18)*EXP(-(((Inputs!$C$6)+5)^2)/(22^2))+18*SIN(2*PI()*(Model_Data!A153)/70))+Inputs!$C$28*EXP(-(((Model_Data!A153)-Inputs!$C$29)^2)/(2*Inputs!$C$31^2))*EXP(-(((Inputs!$C$6)-Inputs!$C$30)^2)/(2*Inputs!$C$32^2))+-Inputs!$C$33*EXP(-(((((Model_Data!A153)-Inputs!$C$34)^2)+(((Inputs!$C$6)-Inputs!$C$35)^2))/(2*Inputs!$C$36^2)))+Inputs!$C$37*(0.55*SIN(2*PI()*(Model_Data!A153)/Inputs!$C$39)+0.35*COS(2*PI()*(Inputs!$C$6)/Inputs!$C$40)+0.2*SIN(2*PI()*((Model_Data!A153)+(Inputs!$C$6))/(0.5*(Inputs!$C$39+Inputs!$C$40))))+Inputs!$C$38*SIN(2*PI()*(Model_Data!A153)/Inputs!$C$39)*SIN(2*PI()*(Inputs!$C$6)/Inputs!$C$40)+-Inputs!$C$41*EXP(-(((Inputs!$C$6)-Inputs!$C$43)^2)/(2*Inputs!$C$44^2))*EXP(-(((Model_Data!A153)-Inputs!$C$42)^2)/(2*Inputs!$C$45^2))+Inputs!$C$48*(0.7*(0.45*SIN(2*PI()*(((Model_Data!A153)/Inputs!$C$49)+Inputs!$C$47*0.137))+0.35*COS(2*PI()*(((Inputs!$C$6)/Inputs!$C$50)+Inputs!$C$47*0.173))+0.2*SIN(2*PI()*(((Model_Data!A153)+(Inputs!$C$6))/(0.5*(Inputs!$C$49+Inputs!$C$50))+Inputs!$C$47*0.097)))+0.3*(2*((SIN(((Model_Data!A153)*12.9898+(Inputs!$C$6)*78.233+Inputs!$C$47*37.719))*43758.5453)-INT((SIN(((Model_Data!A153)*12.9898+(Inputs!$C$6)*78.233+Inputs!$C$47*37.719))*43758.5453)))-1))))/1000)^2)</f>
        <v>400.95177892508184</v>
      </c>
      <c r="AB153" s="9">
        <f>1000*(AA154-AA152)/(Z154-Z152)*Inputs!$C$11</f>
        <v>288.19828614314247</v>
      </c>
      <c r="AC153" s="9">
        <f>-2*AB153/Inputs!$C$13</f>
        <v>-115.27931445725699</v>
      </c>
      <c r="AD153" s="9">
        <f>-2*AB153/Inputs!$C$14</f>
        <v>-17.309206374963512</v>
      </c>
    </row>
    <row r="154" spans="1:30">
      <c r="A154" s="9">
        <f>Model_Data!A154</f>
        <v>16</v>
      </c>
      <c r="B154" s="9">
        <f>((SQRT((Model_Data!A154)^2+Inputs!$C$6^2+Inputs!$C$5^2)-Inputs!$C$5)*1000/Inputs!$C$12)</f>
        <v>617.83046056733986</v>
      </c>
      <c r="C154" s="9">
        <f>Model_Data!F154</f>
        <v>617.39262913220864</v>
      </c>
      <c r="D154" s="9">
        <f>(((SQRT((Model_Data!A154)^2+Inputs!$C$6^2+((Model_Data!B154)-((Inputs!$C$51*(115*EXP(-(((Inputs!$C$6)-25)^2)/(4.5^2))+70*EXP(-(((Inputs!$C$6)+38)^2)/(7^2))*(0.55+0.45*SIN(2*PI()*(Model_Data!A154)/45))+24*SIN(2*PI()*(Inputs!$C$6)/9+(Model_Data!A154)/18)*EXP(-(((Inputs!$C$6)+5)^2)/(22^2))+18*SIN(2*PI()*(Model_Data!A154)/70))+Inputs!$C$28*EXP(-(((Model_Data!A154)-Inputs!$C$29)^2)/(2*Inputs!$C$31^2))*EXP(-(((Inputs!$C$6)-Inputs!$C$30)^2)/(2*Inputs!$C$32^2))+-Inputs!$C$33*EXP(-(((((Model_Data!A154)-Inputs!$C$34)^2)+(((Inputs!$C$6)-Inputs!$C$35)^2))/(2*Inputs!$C$36^2)))+Inputs!$C$37*(0.55*SIN(2*PI()*(Model_Data!A154)/Inputs!$C$39)+0.35*COS(2*PI()*(Inputs!$C$6)/Inputs!$C$40)+0.2*SIN(2*PI()*((Model_Data!A154)+(Inputs!$C$6))/(0.5*(Inputs!$C$39+Inputs!$C$40))))+Inputs!$C$38*SIN(2*PI()*(Model_Data!A154)/Inputs!$C$39)*SIN(2*PI()*(Inputs!$C$6)/Inputs!$C$40)+-Inputs!$C$41*EXP(-(((Inputs!$C$6)-Inputs!$C$43)^2)/(2*Inputs!$C$44^2))*EXP(-(((Model_Data!A154)-Inputs!$C$42)^2)/(2*Inputs!$C$45^2))+Inputs!$C$48*(0.7*(0.45*SIN(2*PI()*(((Model_Data!A154)/Inputs!$C$49)+Inputs!$C$47*0.137))+0.35*COS(2*PI()*(((Inputs!$C$6)/Inputs!$C$50)+Inputs!$C$47*0.173))+0.2*SIN(2*PI()*(((Model_Data!A154)+(Inputs!$C$6))/(0.5*(Inputs!$C$49+Inputs!$C$50))+Inputs!$C$47*0.097)))+0.3*(2*((SIN(((Model_Data!A154)*12.9898+(Inputs!$C$6)*78.233+Inputs!$C$47*37.719))*43758.5453)-INT((SIN(((Model_Data!A154)*12.9898+(Inputs!$C$6)*78.233+Inputs!$C$47*37.719))*43758.5453)))-1))))/1000)^2))-(((Model_Data!B154)-((Inputs!$C$51*(115*EXP(-(((0)-25)^2)/(4.5^2))+70*EXP(-(((0)+38)^2)/(7^2))*(0.55+0.45*SIN(2*PI()*(Model_Data!A154)/45))+24*SIN(2*PI()*(0)/9+(Model_Data!A154)/18)*EXP(-(((0)+5)^2)/(22^2))+18*SIN(2*PI()*(Model_Data!A154)/70))+Inputs!$C$28*EXP(-(((Model_Data!A154)-Inputs!$C$29)^2)/(2*Inputs!$C$31^2))*EXP(-(((0)-Inputs!$C$30)^2)/(2*Inputs!$C$32^2))+-Inputs!$C$33*EXP(-(((((Model_Data!A154)-Inputs!$C$34)^2)+(((0)-Inputs!$C$35)^2))/(2*Inputs!$C$36^2)))+Inputs!$C$37*(0.55*SIN(2*PI()*(Model_Data!A154)/Inputs!$C$39)+0.35*COS(2*PI()*(0)/Inputs!$C$40)+0.2*SIN(2*PI()*((Model_Data!A154)+(0))/(0.5*(Inputs!$C$39+Inputs!$C$40))))+Inputs!$C$38*SIN(2*PI()*(Model_Data!A154)/Inputs!$C$39)*SIN(2*PI()*(0)/Inputs!$C$40)+-Inputs!$C$41*EXP(-(((0)-Inputs!$C$43)^2)/(2*Inputs!$C$44^2))*EXP(-(((Model_Data!A154)-Inputs!$C$42)^2)/(2*Inputs!$C$45^2))+Inputs!$C$48*(0.7*(0.45*SIN(2*PI()*(((Model_Data!A154)/Inputs!$C$49)+Inputs!$C$47*0.137))+0.35*COS(2*PI()*(((0)/Inputs!$C$50)+Inputs!$C$47*0.173))+0.2*SIN(2*PI()*(((Model_Data!A154)+(0))/(0.5*(Inputs!$C$49+Inputs!$C$50))+Inputs!$C$47*0.097)))+0.3*(2*((SIN(((Model_Data!A154)*12.9898+(0)*78.233+Inputs!$C$47*37.719))*43758.5453)-INT((SIN(((Model_Data!A154)*12.9898+(0)*78.233+Inputs!$C$47*37.719))*43758.5453)))-1))))/1000)))*1000/Inputs!$C$12)</f>
        <v>432.28497754504656</v>
      </c>
      <c r="E154" s="9">
        <f>Model_Data!A154</f>
        <v>16</v>
      </c>
      <c r="F154" s="9">
        <f>(Inputs!$C$51*(115*EXP(-(((Inputs!$C$6)-25)^2)/(4.5^2))+70*EXP(-(((Inputs!$C$6)+38)^2)/(7^2))*(0.55+0.45*SIN(2*PI()*(Model_Data!A154)/45))+24*SIN(2*PI()*(Inputs!$C$6)/9+(Model_Data!A154)/18)*EXP(-(((Inputs!$C$6)+5)^2)/(22^2))+18*SIN(2*PI()*(Model_Data!A154)/70))+Inputs!$C$28*EXP(-(((Model_Data!A154)-Inputs!$C$29)^2)/(2*Inputs!$C$31^2))*EXP(-(((Inputs!$C$6)-Inputs!$C$30)^2)/(2*Inputs!$C$32^2))+-Inputs!$C$33*EXP(-(((((Model_Data!A154)-Inputs!$C$34)^2)+(((Inputs!$C$6)-Inputs!$C$35)^2))/(2*Inputs!$C$36^2)))+Inputs!$C$37*(0.55*SIN(2*PI()*(Model_Data!A154)/Inputs!$C$39)+0.35*COS(2*PI()*(Inputs!$C$6)/Inputs!$C$40)+0.2*SIN(2*PI()*((Model_Data!A154)+(Inputs!$C$6))/(0.5*(Inputs!$C$39+Inputs!$C$40))))+Inputs!$C$38*SIN(2*PI()*(Model_Data!A154)/Inputs!$C$39)*SIN(2*PI()*(Inputs!$C$6)/Inputs!$C$40)+-Inputs!$C$41*EXP(-(((Inputs!$C$6)-Inputs!$C$43)^2)/(2*Inputs!$C$44^2))*EXP(-(((Model_Data!A154)-Inputs!$C$42)^2)/(2*Inputs!$C$45^2))+Inputs!$C$48*(0.7*(0.45*SIN(2*PI()*(((Model_Data!A154)/Inputs!$C$49)+Inputs!$C$47*0.137))+0.35*COS(2*PI()*(((Inputs!$C$6)/Inputs!$C$50)+Inputs!$C$47*0.173))+0.2*SIN(2*PI()*(((Model_Data!A154)+(Inputs!$C$6))/(0.5*(Inputs!$C$49+Inputs!$C$50))+Inputs!$C$47*0.097)))+0.3*(2*((SIN(((Model_Data!A154)*12.9898+(Inputs!$C$6)*78.233+Inputs!$C$47*37.719))*43758.5453)-INT((SIN(((Model_Data!A154)*12.9898+(Inputs!$C$6)*78.233+Inputs!$C$47*37.719))*43758.5453)))-1)))</f>
        <v>400.30891755789503</v>
      </c>
      <c r="G154" s="9">
        <f>(Inputs!$C$51*(115*EXP(-(((0)-25)^2)/(4.5^2))+70*EXP(-(((0)+38)^2)/(7^2))*(0.55+0.45*SIN(2*PI()*(Model_Data!A154)/45))+24*SIN(2*PI()*(0)/9+(Model_Data!A154)/18)*EXP(-(((0)+5)^2)/(22^2))+18*SIN(2*PI()*(Model_Data!A154)/70))+Inputs!$C$28*EXP(-(((Model_Data!A154)-Inputs!$C$29)^2)/(2*Inputs!$C$31^2))*EXP(-(((0)-Inputs!$C$30)^2)/(2*Inputs!$C$32^2))+-Inputs!$C$33*EXP(-(((((Model_Data!A154)-Inputs!$C$34)^2)+(((0)-Inputs!$C$35)^2))/(2*Inputs!$C$36^2)))+Inputs!$C$37*(0.55*SIN(2*PI()*(Model_Data!A154)/Inputs!$C$39)+0.35*COS(2*PI()*(0)/Inputs!$C$40)+0.2*SIN(2*PI()*((Model_Data!A154)+(0))/(0.5*(Inputs!$C$39+Inputs!$C$40))))+Inputs!$C$38*SIN(2*PI()*(Model_Data!A154)/Inputs!$C$39)*SIN(2*PI()*(0)/Inputs!$C$40)+-Inputs!$C$41*EXP(-(((0)-Inputs!$C$43)^2)/(2*Inputs!$C$44^2))*EXP(-(((Model_Data!A154)-Inputs!$C$42)^2)/(2*Inputs!$C$45^2))+Inputs!$C$48*(0.7*(0.45*SIN(2*PI()*(((Model_Data!A154)/Inputs!$C$49)+Inputs!$C$47*0.137))+0.35*COS(2*PI()*(((0)/Inputs!$C$50)+Inputs!$C$47*0.173))+0.2*SIN(2*PI()*(((Model_Data!A154)+(0))/(0.5*(Inputs!$C$49+Inputs!$C$50))+Inputs!$C$47*0.097)))+0.3*(2*((SIN(((Model_Data!A154)*12.9898+(0)*78.233+Inputs!$C$47*37.719))*43758.5453)-INT((SIN(((Model_Data!A154)*12.9898+(0)*78.233+Inputs!$C$47*37.719))*43758.5453)))-1)))</f>
        <v>69.720188044182294</v>
      </c>
      <c r="H154" s="10"/>
      <c r="I154" s="9">
        <f>Model_Data!A154</f>
        <v>16</v>
      </c>
      <c r="J154" s="9">
        <f>(Inputs!$C$51*(115*EXP(-(((Inputs!$C$6)-25)^2)/(4.5^2))+70*EXP(-(((Inputs!$C$6)+38)^2)/(7^2))*(0.55+0.45*SIN(2*PI()*(Model_Data!A154)/45))+24*SIN(2*PI()*(Inputs!$C$6)/9+(Model_Data!A154)/18)*EXP(-(((Inputs!$C$6)+5)^2)/(22^2))+18*SIN(2*PI()*(Model_Data!A154)/70))+Inputs!$C$28*EXP(-(((Model_Data!A154)-Inputs!$C$29)^2)/(2*Inputs!$C$31^2))*EXP(-(((Inputs!$C$6)-Inputs!$C$30)^2)/(2*Inputs!$C$32^2))+-Inputs!$C$33*EXP(-(((((Model_Data!A154)-Inputs!$C$34)^2)+(((Inputs!$C$6)-Inputs!$C$35)^2))/(2*Inputs!$C$36^2)))+Inputs!$C$37*(0.55*SIN(2*PI()*(Model_Data!A154)/Inputs!$C$39)+0.35*COS(2*PI()*(Inputs!$C$6)/Inputs!$C$40)+0.2*SIN(2*PI()*((Model_Data!A154)+(Inputs!$C$6))/(0.5*(Inputs!$C$39+Inputs!$C$40))))+Inputs!$C$38*SIN(2*PI()*(Model_Data!A154)/Inputs!$C$39)*SIN(2*PI()*(Inputs!$C$6)/Inputs!$C$40)+-Inputs!$C$41*EXP(-(((Inputs!$C$6)-Inputs!$C$43)^2)/(2*Inputs!$C$44^2))*EXP(-(((Model_Data!A154)-Inputs!$C$42)^2)/(2*Inputs!$C$45^2))+Inputs!$C$48*(0.7*(0.45*SIN(2*PI()*(((Model_Data!A154)/Inputs!$C$49)+Inputs!$C$47*0.137))+0.35*COS(2*PI()*(((Inputs!$C$6)/Inputs!$C$50)+Inputs!$C$47*0.173))+0.2*SIN(2*PI()*(((Model_Data!A154)+(Inputs!$C$6))/(0.5*(Inputs!$C$49+Inputs!$C$50))+Inputs!$C$47*0.097)))+0.3*(2*((SIN(((Model_Data!A154)*12.9898+(Inputs!$C$6)*78.233+Inputs!$C$47*37.719))*43758.5453)-INT((SIN(((Model_Data!A154)*12.9898+(Inputs!$C$6)*78.233+Inputs!$C$47*37.719))*43758.5453)))-1)))</f>
        <v>400.30891755789503</v>
      </c>
      <c r="K154" s="9">
        <f>-((((SQRT((Model_Data!A154)^2+Inputs!$C$6^2+((Model_Data!B154)-((Inputs!$C$51*(115*EXP(-(((Inputs!$C$6)-25)^2)/(4.5^2))+70*EXP(-(((Inputs!$C$6)+38)^2)/(7^2))*(0.55+0.45*SIN(2*PI()*(Model_Data!A154)/45))+24*SIN(2*PI()*(Inputs!$C$6)/9+(Model_Data!A154)/18)*EXP(-(((Inputs!$C$6)+5)^2)/(22^2))+18*SIN(2*PI()*(Model_Data!A154)/70))+Inputs!$C$28*EXP(-(((Model_Data!A154)-Inputs!$C$29)^2)/(2*Inputs!$C$31^2))*EXP(-(((Inputs!$C$6)-Inputs!$C$30)^2)/(2*Inputs!$C$32^2))+-Inputs!$C$33*EXP(-(((((Model_Data!A154)-Inputs!$C$34)^2)+(((Inputs!$C$6)-Inputs!$C$35)^2))/(2*Inputs!$C$36^2)))+Inputs!$C$37*(0.55*SIN(2*PI()*(Model_Data!A154)/Inputs!$C$39)+0.35*COS(2*PI()*(Inputs!$C$6)/Inputs!$C$40)+0.2*SIN(2*PI()*((Model_Data!A154)+(Inputs!$C$6))/(0.5*(Inputs!$C$39+Inputs!$C$40))))+Inputs!$C$38*SIN(2*PI()*(Model_Data!A154)/Inputs!$C$39)*SIN(2*PI()*(Inputs!$C$6)/Inputs!$C$40)+-Inputs!$C$41*EXP(-(((Inputs!$C$6)-Inputs!$C$43)^2)/(2*Inputs!$C$44^2))*EXP(-(((Model_Data!A154)-Inputs!$C$42)^2)/(2*Inputs!$C$45^2))+Inputs!$C$48*(0.7*(0.45*SIN(2*PI()*(((Model_Data!A154)/Inputs!$C$49)+Inputs!$C$47*0.137))+0.35*COS(2*PI()*(((Inputs!$C$6)/Inputs!$C$50)+Inputs!$C$47*0.173))+0.2*SIN(2*PI()*(((Model_Data!A154)+(Inputs!$C$6))/(0.5*(Inputs!$C$49+Inputs!$C$50))+Inputs!$C$47*0.097)))+0.3*(2*((SIN(((Model_Data!A154)*12.9898+(Inputs!$C$6)*78.233+Inputs!$C$47*37.719))*43758.5453)-INT((SIN(((Model_Data!A154)*12.9898+(Inputs!$C$6)*78.233+Inputs!$C$47*37.719))*43758.5453)))-1))))/1000)^2))-(((Model_Data!B154)-((Inputs!$C$51*(115*EXP(-(((0)-25)^2)/(4.5^2))+70*EXP(-(((0)+38)^2)/(7^2))*(0.55+0.45*SIN(2*PI()*(Model_Data!A154)/45))+24*SIN(2*PI()*(0)/9+(Model_Data!A154)/18)*EXP(-(((0)+5)^2)/(22^2))+18*SIN(2*PI()*(Model_Data!A154)/70))+Inputs!$C$28*EXP(-(((Model_Data!A154)-Inputs!$C$29)^2)/(2*Inputs!$C$31^2))*EXP(-(((0)-Inputs!$C$30)^2)/(2*Inputs!$C$32^2))+-Inputs!$C$33*EXP(-(((((Model_Data!A154)-Inputs!$C$34)^2)+(((0)-Inputs!$C$35)^2))/(2*Inputs!$C$36^2)))+Inputs!$C$37*(0.55*SIN(2*PI()*(Model_Data!A154)/Inputs!$C$39)+0.35*COS(2*PI()*(0)/Inputs!$C$40)+0.2*SIN(2*PI()*((Model_Data!A154)+(0))/(0.5*(Inputs!$C$39+Inputs!$C$40))))+Inputs!$C$38*SIN(2*PI()*(Model_Data!A154)/Inputs!$C$39)*SIN(2*PI()*(0)/Inputs!$C$40)+-Inputs!$C$41*EXP(-(((0)-Inputs!$C$43)^2)/(2*Inputs!$C$44^2))*EXP(-(((Model_Data!A154)-Inputs!$C$42)^2)/(2*Inputs!$C$45^2))+Inputs!$C$48*(0.7*(0.45*SIN(2*PI()*(((Model_Data!A154)/Inputs!$C$49)+Inputs!$C$47*0.137))+0.35*COS(2*PI()*(((0)/Inputs!$C$50)+Inputs!$C$47*0.173))+0.2*SIN(2*PI()*(((Model_Data!A154)+(0))/(0.5*(Inputs!$C$49+Inputs!$C$50))+Inputs!$C$47*0.097)))+0.3*(2*((SIN(((Model_Data!A154)*12.9898+(0)*78.233+Inputs!$C$47*37.719))*43758.5453)-INT((SIN(((Model_Data!A154)*12.9898+(0)*78.233+Inputs!$C$47*37.719))*43758.5453)))-1))))/1000)))*1000/Inputs!$C$12)-Model_Data!F154)</f>
        <v>185.10765158716208</v>
      </c>
      <c r="L154" s="10"/>
      <c r="M154" s="9">
        <f>Model_Data!A154</f>
        <v>16</v>
      </c>
      <c r="N154" s="9">
        <f>Model_Data!P154</f>
        <v>-120.51254955568859</v>
      </c>
      <c r="O154" s="9">
        <f t="shared" si="4"/>
        <v>-103.68549505756164</v>
      </c>
      <c r="P154" s="9">
        <f>Model_Data!Q154</f>
        <v>-18.094977410764052</v>
      </c>
      <c r="Q154" s="9">
        <f t="shared" si="5"/>
        <v>-15.568392651285533</v>
      </c>
      <c r="R154" s="10"/>
      <c r="S154" s="9">
        <f>Model_Data!A154</f>
        <v>16</v>
      </c>
      <c r="T154" s="9">
        <f>Model_Data!B154-Inputs!$C$5</f>
        <v>0.28444444444443207</v>
      </c>
      <c r="U154" s="10"/>
      <c r="V154" s="9">
        <f>Model_Data!A154</f>
        <v>16</v>
      </c>
      <c r="W154" s="9">
        <f>((SQRT((Model_Data!A154)^2+Inputs!$C$6^2+Inputs!$C$5^2)-Inputs!$C$5)*1000/Inputs!$C$12)</f>
        <v>617.83046056733986</v>
      </c>
      <c r="X154" s="9">
        <f>Model_Data!F154</f>
        <v>617.39262913220864</v>
      </c>
      <c r="Y154" s="10"/>
      <c r="Z154" s="9">
        <f>Model_Data!A154</f>
        <v>16</v>
      </c>
      <c r="AA154" s="9">
        <f>SQRT((Model_Data!A154)^2+Inputs!$C$6^2+((Model_Data!B154)-((Inputs!$C$51*(115*EXP(-(((Inputs!$C$6)-25)^2)/(4.5^2))+70*EXP(-(((Inputs!$C$6)+38)^2)/(7^2))*(0.55+0.45*SIN(2*PI()*(Model_Data!A154)/45))+24*SIN(2*PI()*(Inputs!$C$6)/9+(Model_Data!A154)/18)*EXP(-(((Inputs!$C$6)+5)^2)/(22^2))+18*SIN(2*PI()*(Model_Data!A154)/70))+Inputs!$C$28*EXP(-(((Model_Data!A154)-Inputs!$C$29)^2)/(2*Inputs!$C$31^2))*EXP(-(((Inputs!$C$6)-Inputs!$C$30)^2)/(2*Inputs!$C$32^2))+-Inputs!$C$33*EXP(-(((((Model_Data!A154)-Inputs!$C$34)^2)+(((Inputs!$C$6)-Inputs!$C$35)^2))/(2*Inputs!$C$36^2)))+Inputs!$C$37*(0.55*SIN(2*PI()*(Model_Data!A154)/Inputs!$C$39)+0.35*COS(2*PI()*(Inputs!$C$6)/Inputs!$C$40)+0.2*SIN(2*PI()*((Model_Data!A154)+(Inputs!$C$6))/(0.5*(Inputs!$C$39+Inputs!$C$40))))+Inputs!$C$38*SIN(2*PI()*(Model_Data!A154)/Inputs!$C$39)*SIN(2*PI()*(Inputs!$C$6)/Inputs!$C$40)+-Inputs!$C$41*EXP(-(((Inputs!$C$6)-Inputs!$C$43)^2)/(2*Inputs!$C$44^2))*EXP(-(((Model_Data!A154)-Inputs!$C$42)^2)/(2*Inputs!$C$45^2))+Inputs!$C$48*(0.7*(0.45*SIN(2*PI()*(((Model_Data!A154)/Inputs!$C$49)+Inputs!$C$47*0.137))+0.35*COS(2*PI()*(((Inputs!$C$6)/Inputs!$C$50)+Inputs!$C$47*0.173))+0.2*SIN(2*PI()*(((Model_Data!A154)+(Inputs!$C$6))/(0.5*(Inputs!$C$49+Inputs!$C$50))+Inputs!$C$47*0.097)))+0.3*(2*((SIN(((Model_Data!A154)*12.9898+(Inputs!$C$6)*78.233+Inputs!$C$47*37.719))*43758.5453)-INT((SIN(((Model_Data!A154)*12.9898+(Inputs!$C$6)*78.233+Inputs!$C$47*37.719))*43758.5453)))-1))))/1000)^2)</f>
        <v>400.98419151643043</v>
      </c>
      <c r="AB154" s="9">
        <f>1000*(AA155-AA153)/(Z155-Z153)*Inputs!$C$11</f>
        <v>259.2137376439041</v>
      </c>
      <c r="AC154" s="9">
        <f>-2*AB154/Inputs!$C$13</f>
        <v>-103.68549505756164</v>
      </c>
      <c r="AD154" s="9">
        <f>-2*AB154/Inputs!$C$14</f>
        <v>-15.568392651285533</v>
      </c>
    </row>
    <row r="155" spans="1:30">
      <c r="A155" s="9">
        <f>Model_Data!A155</f>
        <v>16.5</v>
      </c>
      <c r="B155" s="9">
        <f>((SQRT((Model_Data!A155)^2+Inputs!$C$6^2+Inputs!$C$5^2)-Inputs!$C$5)*1000/Inputs!$C$12)</f>
        <v>629.21040188592701</v>
      </c>
      <c r="C155" s="9">
        <f>Model_Data!F155</f>
        <v>628.73624722527984</v>
      </c>
      <c r="D155" s="9">
        <f>(((SQRT((Model_Data!A155)^2+Inputs!$C$6^2+((Model_Data!B155)-((Inputs!$C$51*(115*EXP(-(((Inputs!$C$6)-25)^2)/(4.5^2))+70*EXP(-(((Inputs!$C$6)+38)^2)/(7^2))*(0.55+0.45*SIN(2*PI()*(Model_Data!A155)/45))+24*SIN(2*PI()*(Inputs!$C$6)/9+(Model_Data!A155)/18)*EXP(-(((Inputs!$C$6)+5)^2)/(22^2))+18*SIN(2*PI()*(Model_Data!A155)/70))+Inputs!$C$28*EXP(-(((Model_Data!A155)-Inputs!$C$29)^2)/(2*Inputs!$C$31^2))*EXP(-(((Inputs!$C$6)-Inputs!$C$30)^2)/(2*Inputs!$C$32^2))+-Inputs!$C$33*EXP(-(((((Model_Data!A155)-Inputs!$C$34)^2)+(((Inputs!$C$6)-Inputs!$C$35)^2))/(2*Inputs!$C$36^2)))+Inputs!$C$37*(0.55*SIN(2*PI()*(Model_Data!A155)/Inputs!$C$39)+0.35*COS(2*PI()*(Inputs!$C$6)/Inputs!$C$40)+0.2*SIN(2*PI()*((Model_Data!A155)+(Inputs!$C$6))/(0.5*(Inputs!$C$39+Inputs!$C$40))))+Inputs!$C$38*SIN(2*PI()*(Model_Data!A155)/Inputs!$C$39)*SIN(2*PI()*(Inputs!$C$6)/Inputs!$C$40)+-Inputs!$C$41*EXP(-(((Inputs!$C$6)-Inputs!$C$43)^2)/(2*Inputs!$C$44^2))*EXP(-(((Model_Data!A155)-Inputs!$C$42)^2)/(2*Inputs!$C$45^2))+Inputs!$C$48*(0.7*(0.45*SIN(2*PI()*(((Model_Data!A155)/Inputs!$C$49)+Inputs!$C$47*0.137))+0.35*COS(2*PI()*(((Inputs!$C$6)/Inputs!$C$50)+Inputs!$C$47*0.173))+0.2*SIN(2*PI()*(((Model_Data!A155)+(Inputs!$C$6))/(0.5*(Inputs!$C$49+Inputs!$C$50))+Inputs!$C$47*0.097)))+0.3*(2*((SIN(((Model_Data!A155)*12.9898+(Inputs!$C$6)*78.233+Inputs!$C$47*37.719))*43758.5453)-INT((SIN(((Model_Data!A155)*12.9898+(Inputs!$C$6)*78.233+Inputs!$C$47*37.719))*43758.5453)))-1))))/1000)^2))-(((Model_Data!B155)-((Inputs!$C$51*(115*EXP(-(((0)-25)^2)/(4.5^2))+70*EXP(-(((0)+38)^2)/(7^2))*(0.55+0.45*SIN(2*PI()*(Model_Data!A155)/45))+24*SIN(2*PI()*(0)/9+(Model_Data!A155)/18)*EXP(-(((0)+5)^2)/(22^2))+18*SIN(2*PI()*(Model_Data!A155)/70))+Inputs!$C$28*EXP(-(((Model_Data!A155)-Inputs!$C$29)^2)/(2*Inputs!$C$31^2))*EXP(-(((0)-Inputs!$C$30)^2)/(2*Inputs!$C$32^2))+-Inputs!$C$33*EXP(-(((((Model_Data!A155)-Inputs!$C$34)^2)+(((0)-Inputs!$C$35)^2))/(2*Inputs!$C$36^2)))+Inputs!$C$37*(0.55*SIN(2*PI()*(Model_Data!A155)/Inputs!$C$39)+0.35*COS(2*PI()*(0)/Inputs!$C$40)+0.2*SIN(2*PI()*((Model_Data!A155)+(0))/(0.5*(Inputs!$C$39+Inputs!$C$40))))+Inputs!$C$38*SIN(2*PI()*(Model_Data!A155)/Inputs!$C$39)*SIN(2*PI()*(0)/Inputs!$C$40)+-Inputs!$C$41*EXP(-(((0)-Inputs!$C$43)^2)/(2*Inputs!$C$44^2))*EXP(-(((Model_Data!A155)-Inputs!$C$42)^2)/(2*Inputs!$C$45^2))+Inputs!$C$48*(0.7*(0.45*SIN(2*PI()*(((Model_Data!A155)/Inputs!$C$49)+Inputs!$C$47*0.137))+0.35*COS(2*PI()*(((0)/Inputs!$C$50)+Inputs!$C$47*0.173))+0.2*SIN(2*PI()*(((Model_Data!A155)+(0))/(0.5*(Inputs!$C$49+Inputs!$C$50))+Inputs!$C$47*0.097)))+0.3*(2*((SIN(((Model_Data!A155)*12.9898+(0)*78.233+Inputs!$C$47*37.719))*43758.5453)-INT((SIN(((Model_Data!A155)*12.9898+(0)*78.233+Inputs!$C$47*37.719))*43758.5453)))-1))))/1000)))*1000/Inputs!$C$12)</f>
        <v>441.3435718549735</v>
      </c>
      <c r="E155" s="9">
        <f>Model_Data!A155</f>
        <v>16.5</v>
      </c>
      <c r="F155" s="9">
        <f>(Inputs!$C$51*(115*EXP(-(((Inputs!$C$6)-25)^2)/(4.5^2))+70*EXP(-(((Inputs!$C$6)+38)^2)/(7^2))*(0.55+0.45*SIN(2*PI()*(Model_Data!A155)/45))+24*SIN(2*PI()*(Inputs!$C$6)/9+(Model_Data!A155)/18)*EXP(-(((Inputs!$C$6)+5)^2)/(22^2))+18*SIN(2*PI()*(Model_Data!A155)/70))+Inputs!$C$28*EXP(-(((Model_Data!A155)-Inputs!$C$29)^2)/(2*Inputs!$C$31^2))*EXP(-(((Inputs!$C$6)-Inputs!$C$30)^2)/(2*Inputs!$C$32^2))+-Inputs!$C$33*EXP(-(((((Model_Data!A155)-Inputs!$C$34)^2)+(((Inputs!$C$6)-Inputs!$C$35)^2))/(2*Inputs!$C$36^2)))+Inputs!$C$37*(0.55*SIN(2*PI()*(Model_Data!A155)/Inputs!$C$39)+0.35*COS(2*PI()*(Inputs!$C$6)/Inputs!$C$40)+0.2*SIN(2*PI()*((Model_Data!A155)+(Inputs!$C$6))/(0.5*(Inputs!$C$39+Inputs!$C$40))))+Inputs!$C$38*SIN(2*PI()*(Model_Data!A155)/Inputs!$C$39)*SIN(2*PI()*(Inputs!$C$6)/Inputs!$C$40)+-Inputs!$C$41*EXP(-(((Inputs!$C$6)-Inputs!$C$43)^2)/(2*Inputs!$C$44^2))*EXP(-(((Model_Data!A155)-Inputs!$C$42)^2)/(2*Inputs!$C$45^2))+Inputs!$C$48*(0.7*(0.45*SIN(2*PI()*(((Model_Data!A155)/Inputs!$C$49)+Inputs!$C$47*0.137))+0.35*COS(2*PI()*(((Inputs!$C$6)/Inputs!$C$50)+Inputs!$C$47*0.173))+0.2*SIN(2*PI()*(((Model_Data!A155)+(Inputs!$C$6))/(0.5*(Inputs!$C$49+Inputs!$C$50))+Inputs!$C$47*0.097)))+0.3*(2*((SIN(((Model_Data!A155)*12.9898+(Inputs!$C$6)*78.233+Inputs!$C$47*37.719))*43758.5453)-INT((SIN(((Model_Data!A155)*12.9898+(Inputs!$C$6)*78.233+Inputs!$C$47*37.719))*43758.5453)))-1)))</f>
        <v>406.20178346502695</v>
      </c>
      <c r="G155" s="9">
        <f>(Inputs!$C$51*(115*EXP(-(((0)-25)^2)/(4.5^2))+70*EXP(-(((0)+38)^2)/(7^2))*(0.55+0.45*SIN(2*PI()*(Model_Data!A155)/45))+24*SIN(2*PI()*(0)/9+(Model_Data!A155)/18)*EXP(-(((0)+5)^2)/(22^2))+18*SIN(2*PI()*(Model_Data!A155)/70))+Inputs!$C$28*EXP(-(((Model_Data!A155)-Inputs!$C$29)^2)/(2*Inputs!$C$31^2))*EXP(-(((0)-Inputs!$C$30)^2)/(2*Inputs!$C$32^2))+-Inputs!$C$33*EXP(-(((((Model_Data!A155)-Inputs!$C$34)^2)+(((0)-Inputs!$C$35)^2))/(2*Inputs!$C$36^2)))+Inputs!$C$37*(0.55*SIN(2*PI()*(Model_Data!A155)/Inputs!$C$39)+0.35*COS(2*PI()*(0)/Inputs!$C$40)+0.2*SIN(2*PI()*((Model_Data!A155)+(0))/(0.5*(Inputs!$C$39+Inputs!$C$40))))+Inputs!$C$38*SIN(2*PI()*(Model_Data!A155)/Inputs!$C$39)*SIN(2*PI()*(0)/Inputs!$C$40)+-Inputs!$C$41*EXP(-(((0)-Inputs!$C$43)^2)/(2*Inputs!$C$44^2))*EXP(-(((Model_Data!A155)-Inputs!$C$42)^2)/(2*Inputs!$C$45^2))+Inputs!$C$48*(0.7*(0.45*SIN(2*PI()*(((Model_Data!A155)/Inputs!$C$49)+Inputs!$C$47*0.137))+0.35*COS(2*PI()*(((0)/Inputs!$C$50)+Inputs!$C$47*0.173))+0.2*SIN(2*PI()*(((Model_Data!A155)+(0))/(0.5*(Inputs!$C$49+Inputs!$C$50))+Inputs!$C$47*0.097)))+0.3*(2*((SIN(((Model_Data!A155)*12.9898+(0)*78.233+Inputs!$C$47*37.719))*43758.5453)-INT((SIN(((Model_Data!A155)*12.9898+(0)*78.233+Inputs!$C$47*37.719))*43758.5453)))-1)))</f>
        <v>71.50919840907298</v>
      </c>
      <c r="H155" s="10"/>
      <c r="I155" s="9">
        <f>Model_Data!A155</f>
        <v>16.5</v>
      </c>
      <c r="J155" s="9">
        <f>(Inputs!$C$51*(115*EXP(-(((Inputs!$C$6)-25)^2)/(4.5^2))+70*EXP(-(((Inputs!$C$6)+38)^2)/(7^2))*(0.55+0.45*SIN(2*PI()*(Model_Data!A155)/45))+24*SIN(2*PI()*(Inputs!$C$6)/9+(Model_Data!A155)/18)*EXP(-(((Inputs!$C$6)+5)^2)/(22^2))+18*SIN(2*PI()*(Model_Data!A155)/70))+Inputs!$C$28*EXP(-(((Model_Data!A155)-Inputs!$C$29)^2)/(2*Inputs!$C$31^2))*EXP(-(((Inputs!$C$6)-Inputs!$C$30)^2)/(2*Inputs!$C$32^2))+-Inputs!$C$33*EXP(-(((((Model_Data!A155)-Inputs!$C$34)^2)+(((Inputs!$C$6)-Inputs!$C$35)^2))/(2*Inputs!$C$36^2)))+Inputs!$C$37*(0.55*SIN(2*PI()*(Model_Data!A155)/Inputs!$C$39)+0.35*COS(2*PI()*(Inputs!$C$6)/Inputs!$C$40)+0.2*SIN(2*PI()*((Model_Data!A155)+(Inputs!$C$6))/(0.5*(Inputs!$C$39+Inputs!$C$40))))+Inputs!$C$38*SIN(2*PI()*(Model_Data!A155)/Inputs!$C$39)*SIN(2*PI()*(Inputs!$C$6)/Inputs!$C$40)+-Inputs!$C$41*EXP(-(((Inputs!$C$6)-Inputs!$C$43)^2)/(2*Inputs!$C$44^2))*EXP(-(((Model_Data!A155)-Inputs!$C$42)^2)/(2*Inputs!$C$45^2))+Inputs!$C$48*(0.7*(0.45*SIN(2*PI()*(((Model_Data!A155)/Inputs!$C$49)+Inputs!$C$47*0.137))+0.35*COS(2*PI()*(((Inputs!$C$6)/Inputs!$C$50)+Inputs!$C$47*0.173))+0.2*SIN(2*PI()*(((Model_Data!A155)+(Inputs!$C$6))/(0.5*(Inputs!$C$49+Inputs!$C$50))+Inputs!$C$47*0.097)))+0.3*(2*((SIN(((Model_Data!A155)*12.9898+(Inputs!$C$6)*78.233+Inputs!$C$47*37.719))*43758.5453)-INT((SIN(((Model_Data!A155)*12.9898+(Inputs!$C$6)*78.233+Inputs!$C$47*37.719))*43758.5453)))-1)))</f>
        <v>406.20178346502695</v>
      </c>
      <c r="K155" s="9">
        <f>-((((SQRT((Model_Data!A155)^2+Inputs!$C$6^2+((Model_Data!B155)-((Inputs!$C$51*(115*EXP(-(((Inputs!$C$6)-25)^2)/(4.5^2))+70*EXP(-(((Inputs!$C$6)+38)^2)/(7^2))*(0.55+0.45*SIN(2*PI()*(Model_Data!A155)/45))+24*SIN(2*PI()*(Inputs!$C$6)/9+(Model_Data!A155)/18)*EXP(-(((Inputs!$C$6)+5)^2)/(22^2))+18*SIN(2*PI()*(Model_Data!A155)/70))+Inputs!$C$28*EXP(-(((Model_Data!A155)-Inputs!$C$29)^2)/(2*Inputs!$C$31^2))*EXP(-(((Inputs!$C$6)-Inputs!$C$30)^2)/(2*Inputs!$C$32^2))+-Inputs!$C$33*EXP(-(((((Model_Data!A155)-Inputs!$C$34)^2)+(((Inputs!$C$6)-Inputs!$C$35)^2))/(2*Inputs!$C$36^2)))+Inputs!$C$37*(0.55*SIN(2*PI()*(Model_Data!A155)/Inputs!$C$39)+0.35*COS(2*PI()*(Inputs!$C$6)/Inputs!$C$40)+0.2*SIN(2*PI()*((Model_Data!A155)+(Inputs!$C$6))/(0.5*(Inputs!$C$39+Inputs!$C$40))))+Inputs!$C$38*SIN(2*PI()*(Model_Data!A155)/Inputs!$C$39)*SIN(2*PI()*(Inputs!$C$6)/Inputs!$C$40)+-Inputs!$C$41*EXP(-(((Inputs!$C$6)-Inputs!$C$43)^2)/(2*Inputs!$C$44^2))*EXP(-(((Model_Data!A155)-Inputs!$C$42)^2)/(2*Inputs!$C$45^2))+Inputs!$C$48*(0.7*(0.45*SIN(2*PI()*(((Model_Data!A155)/Inputs!$C$49)+Inputs!$C$47*0.137))+0.35*COS(2*PI()*(((Inputs!$C$6)/Inputs!$C$50)+Inputs!$C$47*0.173))+0.2*SIN(2*PI()*(((Model_Data!A155)+(Inputs!$C$6))/(0.5*(Inputs!$C$49+Inputs!$C$50))+Inputs!$C$47*0.097)))+0.3*(2*((SIN(((Model_Data!A155)*12.9898+(Inputs!$C$6)*78.233+Inputs!$C$47*37.719))*43758.5453)-INT((SIN(((Model_Data!A155)*12.9898+(Inputs!$C$6)*78.233+Inputs!$C$47*37.719))*43758.5453)))-1))))/1000)^2))-(((Model_Data!B155)-((Inputs!$C$51*(115*EXP(-(((0)-25)^2)/(4.5^2))+70*EXP(-(((0)+38)^2)/(7^2))*(0.55+0.45*SIN(2*PI()*(Model_Data!A155)/45))+24*SIN(2*PI()*(0)/9+(Model_Data!A155)/18)*EXP(-(((0)+5)^2)/(22^2))+18*SIN(2*PI()*(Model_Data!A155)/70))+Inputs!$C$28*EXP(-(((Model_Data!A155)-Inputs!$C$29)^2)/(2*Inputs!$C$31^2))*EXP(-(((0)-Inputs!$C$30)^2)/(2*Inputs!$C$32^2))+-Inputs!$C$33*EXP(-(((((Model_Data!A155)-Inputs!$C$34)^2)+(((0)-Inputs!$C$35)^2))/(2*Inputs!$C$36^2)))+Inputs!$C$37*(0.55*SIN(2*PI()*(Model_Data!A155)/Inputs!$C$39)+0.35*COS(2*PI()*(0)/Inputs!$C$40)+0.2*SIN(2*PI()*((Model_Data!A155)+(0))/(0.5*(Inputs!$C$39+Inputs!$C$40))))+Inputs!$C$38*SIN(2*PI()*(Model_Data!A155)/Inputs!$C$39)*SIN(2*PI()*(0)/Inputs!$C$40)+-Inputs!$C$41*EXP(-(((0)-Inputs!$C$43)^2)/(2*Inputs!$C$44^2))*EXP(-(((Model_Data!A155)-Inputs!$C$42)^2)/(2*Inputs!$C$45^2))+Inputs!$C$48*(0.7*(0.45*SIN(2*PI()*(((Model_Data!A155)/Inputs!$C$49)+Inputs!$C$47*0.137))+0.35*COS(2*PI()*(((0)/Inputs!$C$50)+Inputs!$C$47*0.173))+0.2*SIN(2*PI()*(((Model_Data!A155)+(0))/(0.5*(Inputs!$C$49+Inputs!$C$50))+Inputs!$C$47*0.097)))+0.3*(2*((SIN(((Model_Data!A155)*12.9898+(0)*78.233+Inputs!$C$47*37.719))*43758.5453)-INT((SIN(((Model_Data!A155)*12.9898+(0)*78.233+Inputs!$C$47*37.719))*43758.5453)))-1))))/1000)))*1000/Inputs!$C$12)-Model_Data!F155)</f>
        <v>187.39267537030634</v>
      </c>
      <c r="L155" s="10"/>
      <c r="M155" s="9">
        <f>Model_Data!A155</f>
        <v>16.5</v>
      </c>
      <c r="N155" s="9">
        <f>Model_Data!P155</f>
        <v>-124.26936431730996</v>
      </c>
      <c r="O155" s="9">
        <f t="shared" si="4"/>
        <v>-120.20464053584874</v>
      </c>
      <c r="P155" s="9">
        <f>Model_Data!Q155</f>
        <v>-18.659063711307805</v>
      </c>
      <c r="Q155" s="9">
        <f t="shared" si="5"/>
        <v>-18.048744825202515</v>
      </c>
      <c r="R155" s="10"/>
      <c r="S155" s="9">
        <f>Model_Data!A155</f>
        <v>16.5</v>
      </c>
      <c r="T155" s="9">
        <f>Model_Data!B155-Inputs!$C$5</f>
        <v>0.30250000000000909</v>
      </c>
      <c r="U155" s="10"/>
      <c r="V155" s="9">
        <f>Model_Data!A155</f>
        <v>16.5</v>
      </c>
      <c r="W155" s="9">
        <f>((SQRT((Model_Data!A155)^2+Inputs!$C$6^2+Inputs!$C$5^2)-Inputs!$C$5)*1000/Inputs!$C$12)</f>
        <v>629.21040188592701</v>
      </c>
      <c r="X155" s="9">
        <f>Model_Data!F155</f>
        <v>628.73624722527984</v>
      </c>
      <c r="Y155" s="10"/>
      <c r="Z155" s="9">
        <f>Model_Data!A155</f>
        <v>16.5</v>
      </c>
      <c r="AA155" s="9">
        <f>SQRT((Model_Data!A155)^2+Inputs!$C$6^2+((Model_Data!B155)-((Inputs!$C$51*(115*EXP(-(((Inputs!$C$6)-25)^2)/(4.5^2))+70*EXP(-(((Inputs!$C$6)+38)^2)/(7^2))*(0.55+0.45*SIN(2*PI()*(Model_Data!A155)/45))+24*SIN(2*PI()*(Inputs!$C$6)/9+(Model_Data!A155)/18)*EXP(-(((Inputs!$C$6)+5)^2)/(22^2))+18*SIN(2*PI()*(Model_Data!A155)/70))+Inputs!$C$28*EXP(-(((Model_Data!A155)-Inputs!$C$29)^2)/(2*Inputs!$C$31^2))*EXP(-(((Inputs!$C$6)-Inputs!$C$30)^2)/(2*Inputs!$C$32^2))+-Inputs!$C$33*EXP(-(((((Model_Data!A155)-Inputs!$C$34)^2)+(((Inputs!$C$6)-Inputs!$C$35)^2))/(2*Inputs!$C$36^2)))+Inputs!$C$37*(0.55*SIN(2*PI()*(Model_Data!A155)/Inputs!$C$39)+0.35*COS(2*PI()*(Inputs!$C$6)/Inputs!$C$40)+0.2*SIN(2*PI()*((Model_Data!A155)+(Inputs!$C$6))/(0.5*(Inputs!$C$39+Inputs!$C$40))))+Inputs!$C$38*SIN(2*PI()*(Model_Data!A155)/Inputs!$C$39)*SIN(2*PI()*(Inputs!$C$6)/Inputs!$C$40)+-Inputs!$C$41*EXP(-(((Inputs!$C$6)-Inputs!$C$43)^2)/(2*Inputs!$C$44^2))*EXP(-(((Model_Data!A155)-Inputs!$C$42)^2)/(2*Inputs!$C$45^2))+Inputs!$C$48*(0.7*(0.45*SIN(2*PI()*(((Model_Data!A155)/Inputs!$C$49)+Inputs!$C$47*0.137))+0.35*COS(2*PI()*(((Inputs!$C$6)/Inputs!$C$50)+Inputs!$C$47*0.173))+0.2*SIN(2*PI()*(((Model_Data!A155)+(Inputs!$C$6))/(0.5*(Inputs!$C$49+Inputs!$C$50))+Inputs!$C$47*0.097)))+0.3*(2*((SIN(((Model_Data!A155)*12.9898+(Inputs!$C$6)*78.233+Inputs!$C$47*37.719))*43758.5453)-INT((SIN(((Model_Data!A155)*12.9898+(Inputs!$C$6)*78.233+Inputs!$C$47*37.719))*43758.5453)))-1))))/1000)^2)</f>
        <v>401.01658235949282</v>
      </c>
      <c r="AB155" s="9">
        <f>1000*(AA156-AA154)/(Z156-Z154)*Inputs!$C$11</f>
        <v>300.51160133962185</v>
      </c>
      <c r="AC155" s="9">
        <f>-2*AB155/Inputs!$C$13</f>
        <v>-120.20464053584874</v>
      </c>
      <c r="AD155" s="9">
        <f>-2*AB155/Inputs!$C$14</f>
        <v>-18.048744825202515</v>
      </c>
    </row>
    <row r="156" spans="1:30">
      <c r="A156" s="9">
        <f>Model_Data!A156</f>
        <v>17</v>
      </c>
      <c r="B156" s="9">
        <f>((SQRT((Model_Data!A156)^2+Inputs!$C$6^2+Inputs!$C$5^2)-Inputs!$C$5)*1000/Inputs!$C$12)</f>
        <v>640.93989380115784</v>
      </c>
      <c r="C156" s="9">
        <f>Model_Data!F156</f>
        <v>640.42723466155655</v>
      </c>
      <c r="D156" s="9">
        <f>(((SQRT((Model_Data!A156)^2+Inputs!$C$6^2+((Model_Data!B156)-((Inputs!$C$51*(115*EXP(-(((Inputs!$C$6)-25)^2)/(4.5^2))+70*EXP(-(((Inputs!$C$6)+38)^2)/(7^2))*(0.55+0.45*SIN(2*PI()*(Model_Data!A156)/45))+24*SIN(2*PI()*(Inputs!$C$6)/9+(Model_Data!A156)/18)*EXP(-(((Inputs!$C$6)+5)^2)/(22^2))+18*SIN(2*PI()*(Model_Data!A156)/70))+Inputs!$C$28*EXP(-(((Model_Data!A156)-Inputs!$C$29)^2)/(2*Inputs!$C$31^2))*EXP(-(((Inputs!$C$6)-Inputs!$C$30)^2)/(2*Inputs!$C$32^2))+-Inputs!$C$33*EXP(-(((((Model_Data!A156)-Inputs!$C$34)^2)+(((Inputs!$C$6)-Inputs!$C$35)^2))/(2*Inputs!$C$36^2)))+Inputs!$C$37*(0.55*SIN(2*PI()*(Model_Data!A156)/Inputs!$C$39)+0.35*COS(2*PI()*(Inputs!$C$6)/Inputs!$C$40)+0.2*SIN(2*PI()*((Model_Data!A156)+(Inputs!$C$6))/(0.5*(Inputs!$C$39+Inputs!$C$40))))+Inputs!$C$38*SIN(2*PI()*(Model_Data!A156)/Inputs!$C$39)*SIN(2*PI()*(Inputs!$C$6)/Inputs!$C$40)+-Inputs!$C$41*EXP(-(((Inputs!$C$6)-Inputs!$C$43)^2)/(2*Inputs!$C$44^2))*EXP(-(((Model_Data!A156)-Inputs!$C$42)^2)/(2*Inputs!$C$45^2))+Inputs!$C$48*(0.7*(0.45*SIN(2*PI()*(((Model_Data!A156)/Inputs!$C$49)+Inputs!$C$47*0.137))+0.35*COS(2*PI()*(((Inputs!$C$6)/Inputs!$C$50)+Inputs!$C$47*0.173))+0.2*SIN(2*PI()*(((Model_Data!A156)+(Inputs!$C$6))/(0.5*(Inputs!$C$49+Inputs!$C$50))+Inputs!$C$47*0.097)))+0.3*(2*((SIN(((Model_Data!A156)*12.9898+(Inputs!$C$6)*78.233+Inputs!$C$47*37.719))*43758.5453)-INT((SIN(((Model_Data!A156)*12.9898+(Inputs!$C$6)*78.233+Inputs!$C$47*37.719))*43758.5453)))-1))))/1000)^2))-(((Model_Data!B156)-((Inputs!$C$51*(115*EXP(-(((0)-25)^2)/(4.5^2))+70*EXP(-(((0)+38)^2)/(7^2))*(0.55+0.45*SIN(2*PI()*(Model_Data!A156)/45))+24*SIN(2*PI()*(0)/9+(Model_Data!A156)/18)*EXP(-(((0)+5)^2)/(22^2))+18*SIN(2*PI()*(Model_Data!A156)/70))+Inputs!$C$28*EXP(-(((Model_Data!A156)-Inputs!$C$29)^2)/(2*Inputs!$C$31^2))*EXP(-(((0)-Inputs!$C$30)^2)/(2*Inputs!$C$32^2))+-Inputs!$C$33*EXP(-(((((Model_Data!A156)-Inputs!$C$34)^2)+(((0)-Inputs!$C$35)^2))/(2*Inputs!$C$36^2)))+Inputs!$C$37*(0.55*SIN(2*PI()*(Model_Data!A156)/Inputs!$C$39)+0.35*COS(2*PI()*(0)/Inputs!$C$40)+0.2*SIN(2*PI()*((Model_Data!A156)+(0))/(0.5*(Inputs!$C$39+Inputs!$C$40))))+Inputs!$C$38*SIN(2*PI()*(Model_Data!A156)/Inputs!$C$39)*SIN(2*PI()*(0)/Inputs!$C$40)+-Inputs!$C$41*EXP(-(((0)-Inputs!$C$43)^2)/(2*Inputs!$C$44^2))*EXP(-(((Model_Data!A156)-Inputs!$C$42)^2)/(2*Inputs!$C$45^2))+Inputs!$C$48*(0.7*(0.45*SIN(2*PI()*(((Model_Data!A156)/Inputs!$C$49)+Inputs!$C$47*0.137))+0.35*COS(2*PI()*(((0)/Inputs!$C$50)+Inputs!$C$47*0.173))+0.2*SIN(2*PI()*(((Model_Data!A156)+(0))/(0.5*(Inputs!$C$49+Inputs!$C$50))+Inputs!$C$47*0.097)))+0.3*(2*((SIN(((Model_Data!A156)*12.9898+(0)*78.233+Inputs!$C$47*37.719))*43758.5453)-INT((SIN(((Model_Data!A156)*12.9898+(0)*78.233+Inputs!$C$47*37.719))*43758.5453)))-1))))/1000)))*1000/Inputs!$C$12)</f>
        <v>447.63735547650379</v>
      </c>
      <c r="E156" s="9">
        <f>Model_Data!A156</f>
        <v>17</v>
      </c>
      <c r="F156" s="9">
        <f>(Inputs!$C$51*(115*EXP(-(((Inputs!$C$6)-25)^2)/(4.5^2))+70*EXP(-(((Inputs!$C$6)+38)^2)/(7^2))*(0.55+0.45*SIN(2*PI()*(Model_Data!A156)/45))+24*SIN(2*PI()*(Inputs!$C$6)/9+(Model_Data!A156)/18)*EXP(-(((Inputs!$C$6)+5)^2)/(22^2))+18*SIN(2*PI()*(Model_Data!A156)/70))+Inputs!$C$28*EXP(-(((Model_Data!A156)-Inputs!$C$29)^2)/(2*Inputs!$C$31^2))*EXP(-(((Inputs!$C$6)-Inputs!$C$30)^2)/(2*Inputs!$C$32^2))+-Inputs!$C$33*EXP(-(((((Model_Data!A156)-Inputs!$C$34)^2)+(((Inputs!$C$6)-Inputs!$C$35)^2))/(2*Inputs!$C$36^2)))+Inputs!$C$37*(0.55*SIN(2*PI()*(Model_Data!A156)/Inputs!$C$39)+0.35*COS(2*PI()*(Inputs!$C$6)/Inputs!$C$40)+0.2*SIN(2*PI()*((Model_Data!A156)+(Inputs!$C$6))/(0.5*(Inputs!$C$39+Inputs!$C$40))))+Inputs!$C$38*SIN(2*PI()*(Model_Data!A156)/Inputs!$C$39)*SIN(2*PI()*(Inputs!$C$6)/Inputs!$C$40)+-Inputs!$C$41*EXP(-(((Inputs!$C$6)-Inputs!$C$43)^2)/(2*Inputs!$C$44^2))*EXP(-(((Model_Data!A156)-Inputs!$C$42)^2)/(2*Inputs!$C$45^2))+Inputs!$C$48*(0.7*(0.45*SIN(2*PI()*(((Model_Data!A156)/Inputs!$C$49)+Inputs!$C$47*0.137))+0.35*COS(2*PI()*(((Inputs!$C$6)/Inputs!$C$50)+Inputs!$C$47*0.173))+0.2*SIN(2*PI()*(((Model_Data!A156)+(Inputs!$C$6))/(0.5*(Inputs!$C$49+Inputs!$C$50))+Inputs!$C$47*0.097)))+0.3*(2*((SIN(((Model_Data!A156)*12.9898+(Inputs!$C$6)*78.233+Inputs!$C$47*37.719))*43758.5453)-INT((SIN(((Model_Data!A156)*12.9898+(Inputs!$C$6)*78.233+Inputs!$C$47*37.719))*43758.5453)))-1)))</f>
        <v>402.89735855020393</v>
      </c>
      <c r="G156" s="9">
        <f>(Inputs!$C$51*(115*EXP(-(((0)-25)^2)/(4.5^2))+70*EXP(-(((0)+38)^2)/(7^2))*(0.55+0.45*SIN(2*PI()*(Model_Data!A156)/45))+24*SIN(2*PI()*(0)/9+(Model_Data!A156)/18)*EXP(-(((0)+5)^2)/(22^2))+18*SIN(2*PI()*(Model_Data!A156)/70))+Inputs!$C$28*EXP(-(((Model_Data!A156)-Inputs!$C$29)^2)/(2*Inputs!$C$31^2))*EXP(-(((0)-Inputs!$C$30)^2)/(2*Inputs!$C$32^2))+-Inputs!$C$33*EXP(-(((((Model_Data!A156)-Inputs!$C$34)^2)+(((0)-Inputs!$C$35)^2))/(2*Inputs!$C$36^2)))+Inputs!$C$37*(0.55*SIN(2*PI()*(Model_Data!A156)/Inputs!$C$39)+0.35*COS(2*PI()*(0)/Inputs!$C$40)+0.2*SIN(2*PI()*((Model_Data!A156)+(0))/(0.5*(Inputs!$C$39+Inputs!$C$40))))+Inputs!$C$38*SIN(2*PI()*(Model_Data!A156)/Inputs!$C$39)*SIN(2*PI()*(0)/Inputs!$C$40)+-Inputs!$C$41*EXP(-(((0)-Inputs!$C$43)^2)/(2*Inputs!$C$44^2))*EXP(-(((Model_Data!A156)-Inputs!$C$42)^2)/(2*Inputs!$C$45^2))+Inputs!$C$48*(0.7*(0.45*SIN(2*PI()*(((Model_Data!A156)/Inputs!$C$49)+Inputs!$C$47*0.137))+0.35*COS(2*PI()*(((0)/Inputs!$C$50)+Inputs!$C$47*0.173))+0.2*SIN(2*PI()*(((Model_Data!A156)+(0))/(0.5*(Inputs!$C$49+Inputs!$C$50))+Inputs!$C$47*0.097)))+0.3*(2*((SIN(((Model_Data!A156)*12.9898+(0)*78.233+Inputs!$C$47*37.719))*43758.5453)-INT((SIN(((Model_Data!A156)*12.9898+(0)*78.233+Inputs!$C$47*37.719))*43758.5453)))-1)))</f>
        <v>58.586187093984584</v>
      </c>
      <c r="H156" s="10"/>
      <c r="I156" s="9">
        <f>Model_Data!A156</f>
        <v>17</v>
      </c>
      <c r="J156" s="9">
        <f>(Inputs!$C$51*(115*EXP(-(((Inputs!$C$6)-25)^2)/(4.5^2))+70*EXP(-(((Inputs!$C$6)+38)^2)/(7^2))*(0.55+0.45*SIN(2*PI()*(Model_Data!A156)/45))+24*SIN(2*PI()*(Inputs!$C$6)/9+(Model_Data!A156)/18)*EXP(-(((Inputs!$C$6)+5)^2)/(22^2))+18*SIN(2*PI()*(Model_Data!A156)/70))+Inputs!$C$28*EXP(-(((Model_Data!A156)-Inputs!$C$29)^2)/(2*Inputs!$C$31^2))*EXP(-(((Inputs!$C$6)-Inputs!$C$30)^2)/(2*Inputs!$C$32^2))+-Inputs!$C$33*EXP(-(((((Model_Data!A156)-Inputs!$C$34)^2)+(((Inputs!$C$6)-Inputs!$C$35)^2))/(2*Inputs!$C$36^2)))+Inputs!$C$37*(0.55*SIN(2*PI()*(Model_Data!A156)/Inputs!$C$39)+0.35*COS(2*PI()*(Inputs!$C$6)/Inputs!$C$40)+0.2*SIN(2*PI()*((Model_Data!A156)+(Inputs!$C$6))/(0.5*(Inputs!$C$39+Inputs!$C$40))))+Inputs!$C$38*SIN(2*PI()*(Model_Data!A156)/Inputs!$C$39)*SIN(2*PI()*(Inputs!$C$6)/Inputs!$C$40)+-Inputs!$C$41*EXP(-(((Inputs!$C$6)-Inputs!$C$43)^2)/(2*Inputs!$C$44^2))*EXP(-(((Model_Data!A156)-Inputs!$C$42)^2)/(2*Inputs!$C$45^2))+Inputs!$C$48*(0.7*(0.45*SIN(2*PI()*(((Model_Data!A156)/Inputs!$C$49)+Inputs!$C$47*0.137))+0.35*COS(2*PI()*(((Inputs!$C$6)/Inputs!$C$50)+Inputs!$C$47*0.173))+0.2*SIN(2*PI()*(((Model_Data!A156)+(Inputs!$C$6))/(0.5*(Inputs!$C$49+Inputs!$C$50))+Inputs!$C$47*0.097)))+0.3*(2*((SIN(((Model_Data!A156)*12.9898+(Inputs!$C$6)*78.233+Inputs!$C$47*37.719))*43758.5453)-INT((SIN(((Model_Data!A156)*12.9898+(Inputs!$C$6)*78.233+Inputs!$C$47*37.719))*43758.5453)))-1)))</f>
        <v>402.89735855020393</v>
      </c>
      <c r="K156" s="9">
        <f>-((((SQRT((Model_Data!A156)^2+Inputs!$C$6^2+((Model_Data!B156)-((Inputs!$C$51*(115*EXP(-(((Inputs!$C$6)-25)^2)/(4.5^2))+70*EXP(-(((Inputs!$C$6)+38)^2)/(7^2))*(0.55+0.45*SIN(2*PI()*(Model_Data!A156)/45))+24*SIN(2*PI()*(Inputs!$C$6)/9+(Model_Data!A156)/18)*EXP(-(((Inputs!$C$6)+5)^2)/(22^2))+18*SIN(2*PI()*(Model_Data!A156)/70))+Inputs!$C$28*EXP(-(((Model_Data!A156)-Inputs!$C$29)^2)/(2*Inputs!$C$31^2))*EXP(-(((Inputs!$C$6)-Inputs!$C$30)^2)/(2*Inputs!$C$32^2))+-Inputs!$C$33*EXP(-(((((Model_Data!A156)-Inputs!$C$34)^2)+(((Inputs!$C$6)-Inputs!$C$35)^2))/(2*Inputs!$C$36^2)))+Inputs!$C$37*(0.55*SIN(2*PI()*(Model_Data!A156)/Inputs!$C$39)+0.35*COS(2*PI()*(Inputs!$C$6)/Inputs!$C$40)+0.2*SIN(2*PI()*((Model_Data!A156)+(Inputs!$C$6))/(0.5*(Inputs!$C$39+Inputs!$C$40))))+Inputs!$C$38*SIN(2*PI()*(Model_Data!A156)/Inputs!$C$39)*SIN(2*PI()*(Inputs!$C$6)/Inputs!$C$40)+-Inputs!$C$41*EXP(-(((Inputs!$C$6)-Inputs!$C$43)^2)/(2*Inputs!$C$44^2))*EXP(-(((Model_Data!A156)-Inputs!$C$42)^2)/(2*Inputs!$C$45^2))+Inputs!$C$48*(0.7*(0.45*SIN(2*PI()*(((Model_Data!A156)/Inputs!$C$49)+Inputs!$C$47*0.137))+0.35*COS(2*PI()*(((Inputs!$C$6)/Inputs!$C$50)+Inputs!$C$47*0.173))+0.2*SIN(2*PI()*(((Model_Data!A156)+(Inputs!$C$6))/(0.5*(Inputs!$C$49+Inputs!$C$50))+Inputs!$C$47*0.097)))+0.3*(2*((SIN(((Model_Data!A156)*12.9898+(Inputs!$C$6)*78.233+Inputs!$C$47*37.719))*43758.5453)-INT((SIN(((Model_Data!A156)*12.9898+(Inputs!$C$6)*78.233+Inputs!$C$47*37.719))*43758.5453)))-1))))/1000)^2))-(((Model_Data!B156)-((Inputs!$C$51*(115*EXP(-(((0)-25)^2)/(4.5^2))+70*EXP(-(((0)+38)^2)/(7^2))*(0.55+0.45*SIN(2*PI()*(Model_Data!A156)/45))+24*SIN(2*PI()*(0)/9+(Model_Data!A156)/18)*EXP(-(((0)+5)^2)/(22^2))+18*SIN(2*PI()*(Model_Data!A156)/70))+Inputs!$C$28*EXP(-(((Model_Data!A156)-Inputs!$C$29)^2)/(2*Inputs!$C$31^2))*EXP(-(((0)-Inputs!$C$30)^2)/(2*Inputs!$C$32^2))+-Inputs!$C$33*EXP(-(((((Model_Data!A156)-Inputs!$C$34)^2)+(((0)-Inputs!$C$35)^2))/(2*Inputs!$C$36^2)))+Inputs!$C$37*(0.55*SIN(2*PI()*(Model_Data!A156)/Inputs!$C$39)+0.35*COS(2*PI()*(0)/Inputs!$C$40)+0.2*SIN(2*PI()*((Model_Data!A156)+(0))/(0.5*(Inputs!$C$39+Inputs!$C$40))))+Inputs!$C$38*SIN(2*PI()*(Model_Data!A156)/Inputs!$C$39)*SIN(2*PI()*(0)/Inputs!$C$40)+-Inputs!$C$41*EXP(-(((0)-Inputs!$C$43)^2)/(2*Inputs!$C$44^2))*EXP(-(((Model_Data!A156)-Inputs!$C$42)^2)/(2*Inputs!$C$45^2))+Inputs!$C$48*(0.7*(0.45*SIN(2*PI()*(((Model_Data!A156)/Inputs!$C$49)+Inputs!$C$47*0.137))+0.35*COS(2*PI()*(((0)/Inputs!$C$50)+Inputs!$C$47*0.173))+0.2*SIN(2*PI()*(((Model_Data!A156)+(0))/(0.5*(Inputs!$C$49+Inputs!$C$50))+Inputs!$C$47*0.097)))+0.3*(2*((SIN(((Model_Data!A156)*12.9898+(0)*78.233+Inputs!$C$47*37.719))*43758.5453)-INT((SIN(((Model_Data!A156)*12.9898+(0)*78.233+Inputs!$C$47*37.719))*43758.5453)))-1))))/1000)))*1000/Inputs!$C$12)-Model_Data!F156)</f>
        <v>192.78987918505277</v>
      </c>
      <c r="L156" s="10"/>
      <c r="M156" s="9">
        <f>Model_Data!A156</f>
        <v>17</v>
      </c>
      <c r="N156" s="9">
        <f>Model_Data!P156</f>
        <v>-128.02533246146646</v>
      </c>
      <c r="O156" s="9">
        <f t="shared" si="4"/>
        <v>-117.89099547422666</v>
      </c>
      <c r="P156" s="9">
        <f>Model_Data!Q156</f>
        <v>-19.223022892112084</v>
      </c>
      <c r="Q156" s="9">
        <f t="shared" si="5"/>
        <v>-17.701350671805805</v>
      </c>
      <c r="R156" s="10"/>
      <c r="S156" s="9">
        <f>Model_Data!A156</f>
        <v>17</v>
      </c>
      <c r="T156" s="9">
        <f>Model_Data!B156-Inputs!$C$5</f>
        <v>0.32111111111112223</v>
      </c>
      <c r="U156" s="10"/>
      <c r="V156" s="9">
        <f>Model_Data!A156</f>
        <v>17</v>
      </c>
      <c r="W156" s="9">
        <f>((SQRT((Model_Data!A156)^2+Inputs!$C$6^2+Inputs!$C$5^2)-Inputs!$C$5)*1000/Inputs!$C$12)</f>
        <v>640.93989380115784</v>
      </c>
      <c r="X156" s="9">
        <f>Model_Data!F156</f>
        <v>640.42723466155655</v>
      </c>
      <c r="Y156" s="10"/>
      <c r="Z156" s="9">
        <f>Model_Data!A156</f>
        <v>17</v>
      </c>
      <c r="AA156" s="9">
        <f>SQRT((Model_Data!A156)^2+Inputs!$C$6^2+((Model_Data!B156)-((Inputs!$C$51*(115*EXP(-(((Inputs!$C$6)-25)^2)/(4.5^2))+70*EXP(-(((Inputs!$C$6)+38)^2)/(7^2))*(0.55+0.45*SIN(2*PI()*(Model_Data!A156)/45))+24*SIN(2*PI()*(Inputs!$C$6)/9+(Model_Data!A156)/18)*EXP(-(((Inputs!$C$6)+5)^2)/(22^2))+18*SIN(2*PI()*(Model_Data!A156)/70))+Inputs!$C$28*EXP(-(((Model_Data!A156)-Inputs!$C$29)^2)/(2*Inputs!$C$31^2))*EXP(-(((Inputs!$C$6)-Inputs!$C$30)^2)/(2*Inputs!$C$32^2))+-Inputs!$C$33*EXP(-(((((Model_Data!A156)-Inputs!$C$34)^2)+(((Inputs!$C$6)-Inputs!$C$35)^2))/(2*Inputs!$C$36^2)))+Inputs!$C$37*(0.55*SIN(2*PI()*(Model_Data!A156)/Inputs!$C$39)+0.35*COS(2*PI()*(Inputs!$C$6)/Inputs!$C$40)+0.2*SIN(2*PI()*((Model_Data!A156)+(Inputs!$C$6))/(0.5*(Inputs!$C$39+Inputs!$C$40))))+Inputs!$C$38*SIN(2*PI()*(Model_Data!A156)/Inputs!$C$39)*SIN(2*PI()*(Inputs!$C$6)/Inputs!$C$40)+-Inputs!$C$41*EXP(-(((Inputs!$C$6)-Inputs!$C$43)^2)/(2*Inputs!$C$44^2))*EXP(-(((Model_Data!A156)-Inputs!$C$42)^2)/(2*Inputs!$C$45^2))+Inputs!$C$48*(0.7*(0.45*SIN(2*PI()*(((Model_Data!A156)/Inputs!$C$49)+Inputs!$C$47*0.137))+0.35*COS(2*PI()*(((Inputs!$C$6)/Inputs!$C$50)+Inputs!$C$47*0.173))+0.2*SIN(2*PI()*(((Model_Data!A156)+(Inputs!$C$6))/(0.5*(Inputs!$C$49+Inputs!$C$50))+Inputs!$C$47*0.097)))+0.3*(2*((SIN(((Model_Data!A156)*12.9898+(Inputs!$C$6)*78.233+Inputs!$C$47*37.719))*43758.5453)-INT((SIN(((Model_Data!A156)*12.9898+(Inputs!$C$6)*78.233+Inputs!$C$47*37.719))*43758.5453)))-1))))/1000)^2)</f>
        <v>401.05931941676533</v>
      </c>
      <c r="AB156" s="9">
        <f>1000*(AA157-AA155)/(Z157-Z155)*Inputs!$C$11</f>
        <v>294.72748868556664</v>
      </c>
      <c r="AC156" s="9">
        <f>-2*AB156/Inputs!$C$13</f>
        <v>-117.89099547422666</v>
      </c>
      <c r="AD156" s="9">
        <f>-2*AB156/Inputs!$C$14</f>
        <v>-17.701350671805805</v>
      </c>
    </row>
    <row r="157" spans="1:30">
      <c r="A157" s="9">
        <f>Model_Data!A157</f>
        <v>17.5</v>
      </c>
      <c r="B157" s="9">
        <f>((SQRT((Model_Data!A157)^2+Inputs!$C$6^2+Inputs!$C$5^2)-Inputs!$C$5)*1000/Inputs!$C$12)</f>
        <v>653.01888173594125</v>
      </c>
      <c r="C157" s="9">
        <f>Model_Data!F157</f>
        <v>652.46544059236885</v>
      </c>
      <c r="D157" s="9">
        <f>(((SQRT((Model_Data!A157)^2+Inputs!$C$6^2+((Model_Data!B157)-((Inputs!$C$51*(115*EXP(-(((Inputs!$C$6)-25)^2)/(4.5^2))+70*EXP(-(((Inputs!$C$6)+38)^2)/(7^2))*(0.55+0.45*SIN(2*PI()*(Model_Data!A157)/45))+24*SIN(2*PI()*(Inputs!$C$6)/9+(Model_Data!A157)/18)*EXP(-(((Inputs!$C$6)+5)^2)/(22^2))+18*SIN(2*PI()*(Model_Data!A157)/70))+Inputs!$C$28*EXP(-(((Model_Data!A157)-Inputs!$C$29)^2)/(2*Inputs!$C$31^2))*EXP(-(((Inputs!$C$6)-Inputs!$C$30)^2)/(2*Inputs!$C$32^2))+-Inputs!$C$33*EXP(-(((((Model_Data!A157)-Inputs!$C$34)^2)+(((Inputs!$C$6)-Inputs!$C$35)^2))/(2*Inputs!$C$36^2)))+Inputs!$C$37*(0.55*SIN(2*PI()*(Model_Data!A157)/Inputs!$C$39)+0.35*COS(2*PI()*(Inputs!$C$6)/Inputs!$C$40)+0.2*SIN(2*PI()*((Model_Data!A157)+(Inputs!$C$6))/(0.5*(Inputs!$C$39+Inputs!$C$40))))+Inputs!$C$38*SIN(2*PI()*(Model_Data!A157)/Inputs!$C$39)*SIN(2*PI()*(Inputs!$C$6)/Inputs!$C$40)+-Inputs!$C$41*EXP(-(((Inputs!$C$6)-Inputs!$C$43)^2)/(2*Inputs!$C$44^2))*EXP(-(((Model_Data!A157)-Inputs!$C$42)^2)/(2*Inputs!$C$45^2))+Inputs!$C$48*(0.7*(0.45*SIN(2*PI()*(((Model_Data!A157)/Inputs!$C$49)+Inputs!$C$47*0.137))+0.35*COS(2*PI()*(((Inputs!$C$6)/Inputs!$C$50)+Inputs!$C$47*0.173))+0.2*SIN(2*PI()*(((Model_Data!A157)+(Inputs!$C$6))/(0.5*(Inputs!$C$49+Inputs!$C$50))+Inputs!$C$47*0.097)))+0.3*(2*((SIN(((Model_Data!A157)*12.9898+(Inputs!$C$6)*78.233+Inputs!$C$47*37.719))*43758.5453)-INT((SIN(((Model_Data!A157)*12.9898+(Inputs!$C$6)*78.233+Inputs!$C$47*37.719))*43758.5453)))-1))))/1000)^2))-(((Model_Data!B157)-((Inputs!$C$51*(115*EXP(-(((0)-25)^2)/(4.5^2))+70*EXP(-(((0)+38)^2)/(7^2))*(0.55+0.45*SIN(2*PI()*(Model_Data!A157)/45))+24*SIN(2*PI()*(0)/9+(Model_Data!A157)/18)*EXP(-(((0)+5)^2)/(22^2))+18*SIN(2*PI()*(Model_Data!A157)/70))+Inputs!$C$28*EXP(-(((Model_Data!A157)-Inputs!$C$29)^2)/(2*Inputs!$C$31^2))*EXP(-(((0)-Inputs!$C$30)^2)/(2*Inputs!$C$32^2))+-Inputs!$C$33*EXP(-(((((Model_Data!A157)-Inputs!$C$34)^2)+(((0)-Inputs!$C$35)^2))/(2*Inputs!$C$36^2)))+Inputs!$C$37*(0.55*SIN(2*PI()*(Model_Data!A157)/Inputs!$C$39)+0.35*COS(2*PI()*(0)/Inputs!$C$40)+0.2*SIN(2*PI()*((Model_Data!A157)+(0))/(0.5*(Inputs!$C$39+Inputs!$C$40))))+Inputs!$C$38*SIN(2*PI()*(Model_Data!A157)/Inputs!$C$39)*SIN(2*PI()*(0)/Inputs!$C$40)+-Inputs!$C$41*EXP(-(((0)-Inputs!$C$43)^2)/(2*Inputs!$C$44^2))*EXP(-(((Model_Data!A157)-Inputs!$C$42)^2)/(2*Inputs!$C$45^2))+Inputs!$C$48*(0.7*(0.45*SIN(2*PI()*(((Model_Data!A157)/Inputs!$C$49)+Inputs!$C$47*0.137))+0.35*COS(2*PI()*(((0)/Inputs!$C$50)+Inputs!$C$47*0.173))+0.2*SIN(2*PI()*(((Model_Data!A157)+(0))/(0.5*(Inputs!$C$49+Inputs!$C$50))+Inputs!$C$47*0.097)))+0.3*(2*((SIN(((Model_Data!A157)*12.9898+(0)*78.233+Inputs!$C$47*37.719))*43758.5453)-INT((SIN(((Model_Data!A157)*12.9898+(0)*78.233+Inputs!$C$47*37.719))*43758.5453)))-1))))/1000)))*1000/Inputs!$C$12)</f>
        <v>458.25770730484589</v>
      </c>
      <c r="E157" s="9">
        <f>Model_Data!A157</f>
        <v>17.5</v>
      </c>
      <c r="F157" s="9">
        <f>(Inputs!$C$51*(115*EXP(-(((Inputs!$C$6)-25)^2)/(4.5^2))+70*EXP(-(((Inputs!$C$6)+38)^2)/(7^2))*(0.55+0.45*SIN(2*PI()*(Model_Data!A157)/45))+24*SIN(2*PI()*(Inputs!$C$6)/9+(Model_Data!A157)/18)*EXP(-(((Inputs!$C$6)+5)^2)/(22^2))+18*SIN(2*PI()*(Model_Data!A157)/70))+Inputs!$C$28*EXP(-(((Model_Data!A157)-Inputs!$C$29)^2)/(2*Inputs!$C$31^2))*EXP(-(((Inputs!$C$6)-Inputs!$C$30)^2)/(2*Inputs!$C$32^2))+-Inputs!$C$33*EXP(-(((((Model_Data!A157)-Inputs!$C$34)^2)+(((Inputs!$C$6)-Inputs!$C$35)^2))/(2*Inputs!$C$36^2)))+Inputs!$C$37*(0.55*SIN(2*PI()*(Model_Data!A157)/Inputs!$C$39)+0.35*COS(2*PI()*(Inputs!$C$6)/Inputs!$C$40)+0.2*SIN(2*PI()*((Model_Data!A157)+(Inputs!$C$6))/(0.5*(Inputs!$C$39+Inputs!$C$40))))+Inputs!$C$38*SIN(2*PI()*(Model_Data!A157)/Inputs!$C$39)*SIN(2*PI()*(Inputs!$C$6)/Inputs!$C$40)+-Inputs!$C$41*EXP(-(((Inputs!$C$6)-Inputs!$C$43)^2)/(2*Inputs!$C$44^2))*EXP(-(((Model_Data!A157)-Inputs!$C$42)^2)/(2*Inputs!$C$45^2))+Inputs!$C$48*(0.7*(0.45*SIN(2*PI()*(((Model_Data!A157)/Inputs!$C$49)+Inputs!$C$47*0.137))+0.35*COS(2*PI()*(((Inputs!$C$6)/Inputs!$C$50)+Inputs!$C$47*0.173))+0.2*SIN(2*PI()*(((Model_Data!A157)+(Inputs!$C$6))/(0.5*(Inputs!$C$49+Inputs!$C$50))+Inputs!$C$47*0.097)))+0.3*(2*((SIN(((Model_Data!A157)*12.9898+(Inputs!$C$6)*78.233+Inputs!$C$47*37.719))*43758.5453)-INT((SIN(((Model_Data!A157)*12.9898+(Inputs!$C$6)*78.233+Inputs!$C$47*37.719))*43758.5453)))-1)))</f>
        <v>412.59673853511725</v>
      </c>
      <c r="G157" s="9">
        <f>(Inputs!$C$51*(115*EXP(-(((0)-25)^2)/(4.5^2))+70*EXP(-(((0)+38)^2)/(7^2))*(0.55+0.45*SIN(2*PI()*(Model_Data!A157)/45))+24*SIN(2*PI()*(0)/9+(Model_Data!A157)/18)*EXP(-(((0)+5)^2)/(22^2))+18*SIN(2*PI()*(Model_Data!A157)/70))+Inputs!$C$28*EXP(-(((Model_Data!A157)-Inputs!$C$29)^2)/(2*Inputs!$C$31^2))*EXP(-(((0)-Inputs!$C$30)^2)/(2*Inputs!$C$32^2))+-Inputs!$C$33*EXP(-(((((Model_Data!A157)-Inputs!$C$34)^2)+(((0)-Inputs!$C$35)^2))/(2*Inputs!$C$36^2)))+Inputs!$C$37*(0.55*SIN(2*PI()*(Model_Data!A157)/Inputs!$C$39)+0.35*COS(2*PI()*(0)/Inputs!$C$40)+0.2*SIN(2*PI()*((Model_Data!A157)+(0))/(0.5*(Inputs!$C$39+Inputs!$C$40))))+Inputs!$C$38*SIN(2*PI()*(Model_Data!A157)/Inputs!$C$39)*SIN(2*PI()*(0)/Inputs!$C$40)+-Inputs!$C$41*EXP(-(((0)-Inputs!$C$43)^2)/(2*Inputs!$C$44^2))*EXP(-(((Model_Data!A157)-Inputs!$C$42)^2)/(2*Inputs!$C$45^2))+Inputs!$C$48*(0.7*(0.45*SIN(2*PI()*(((Model_Data!A157)/Inputs!$C$49)+Inputs!$C$47*0.137))+0.35*COS(2*PI()*(((0)/Inputs!$C$50)+Inputs!$C$47*0.173))+0.2*SIN(2*PI()*(((Model_Data!A157)+(0))/(0.5*(Inputs!$C$49+Inputs!$C$50))+Inputs!$C$47*0.097)))+0.3*(2*((SIN(((Model_Data!A157)*12.9898+(0)*78.233+Inputs!$C$47*37.719))*43758.5453)-INT((SIN(((Model_Data!A157)*12.9898+(0)*78.233+Inputs!$C$47*37.719))*43758.5453)))-1)))</f>
        <v>65.712265116192313</v>
      </c>
      <c r="H157" s="10"/>
      <c r="I157" s="9">
        <f>Model_Data!A157</f>
        <v>17.5</v>
      </c>
      <c r="J157" s="9">
        <f>(Inputs!$C$51*(115*EXP(-(((Inputs!$C$6)-25)^2)/(4.5^2))+70*EXP(-(((Inputs!$C$6)+38)^2)/(7^2))*(0.55+0.45*SIN(2*PI()*(Model_Data!A157)/45))+24*SIN(2*PI()*(Inputs!$C$6)/9+(Model_Data!A157)/18)*EXP(-(((Inputs!$C$6)+5)^2)/(22^2))+18*SIN(2*PI()*(Model_Data!A157)/70))+Inputs!$C$28*EXP(-(((Model_Data!A157)-Inputs!$C$29)^2)/(2*Inputs!$C$31^2))*EXP(-(((Inputs!$C$6)-Inputs!$C$30)^2)/(2*Inputs!$C$32^2))+-Inputs!$C$33*EXP(-(((((Model_Data!A157)-Inputs!$C$34)^2)+(((Inputs!$C$6)-Inputs!$C$35)^2))/(2*Inputs!$C$36^2)))+Inputs!$C$37*(0.55*SIN(2*PI()*(Model_Data!A157)/Inputs!$C$39)+0.35*COS(2*PI()*(Inputs!$C$6)/Inputs!$C$40)+0.2*SIN(2*PI()*((Model_Data!A157)+(Inputs!$C$6))/(0.5*(Inputs!$C$39+Inputs!$C$40))))+Inputs!$C$38*SIN(2*PI()*(Model_Data!A157)/Inputs!$C$39)*SIN(2*PI()*(Inputs!$C$6)/Inputs!$C$40)+-Inputs!$C$41*EXP(-(((Inputs!$C$6)-Inputs!$C$43)^2)/(2*Inputs!$C$44^2))*EXP(-(((Model_Data!A157)-Inputs!$C$42)^2)/(2*Inputs!$C$45^2))+Inputs!$C$48*(0.7*(0.45*SIN(2*PI()*(((Model_Data!A157)/Inputs!$C$49)+Inputs!$C$47*0.137))+0.35*COS(2*PI()*(((Inputs!$C$6)/Inputs!$C$50)+Inputs!$C$47*0.173))+0.2*SIN(2*PI()*(((Model_Data!A157)+(Inputs!$C$6))/(0.5*(Inputs!$C$49+Inputs!$C$50))+Inputs!$C$47*0.097)))+0.3*(2*((SIN(((Model_Data!A157)*12.9898+(Inputs!$C$6)*78.233+Inputs!$C$47*37.719))*43758.5453)-INT((SIN(((Model_Data!A157)*12.9898+(Inputs!$C$6)*78.233+Inputs!$C$47*37.719))*43758.5453)))-1)))</f>
        <v>412.59673853511725</v>
      </c>
      <c r="K157" s="9">
        <f>-((((SQRT((Model_Data!A157)^2+Inputs!$C$6^2+((Model_Data!B157)-((Inputs!$C$51*(115*EXP(-(((Inputs!$C$6)-25)^2)/(4.5^2))+70*EXP(-(((Inputs!$C$6)+38)^2)/(7^2))*(0.55+0.45*SIN(2*PI()*(Model_Data!A157)/45))+24*SIN(2*PI()*(Inputs!$C$6)/9+(Model_Data!A157)/18)*EXP(-(((Inputs!$C$6)+5)^2)/(22^2))+18*SIN(2*PI()*(Model_Data!A157)/70))+Inputs!$C$28*EXP(-(((Model_Data!A157)-Inputs!$C$29)^2)/(2*Inputs!$C$31^2))*EXP(-(((Inputs!$C$6)-Inputs!$C$30)^2)/(2*Inputs!$C$32^2))+-Inputs!$C$33*EXP(-(((((Model_Data!A157)-Inputs!$C$34)^2)+(((Inputs!$C$6)-Inputs!$C$35)^2))/(2*Inputs!$C$36^2)))+Inputs!$C$37*(0.55*SIN(2*PI()*(Model_Data!A157)/Inputs!$C$39)+0.35*COS(2*PI()*(Inputs!$C$6)/Inputs!$C$40)+0.2*SIN(2*PI()*((Model_Data!A157)+(Inputs!$C$6))/(0.5*(Inputs!$C$39+Inputs!$C$40))))+Inputs!$C$38*SIN(2*PI()*(Model_Data!A157)/Inputs!$C$39)*SIN(2*PI()*(Inputs!$C$6)/Inputs!$C$40)+-Inputs!$C$41*EXP(-(((Inputs!$C$6)-Inputs!$C$43)^2)/(2*Inputs!$C$44^2))*EXP(-(((Model_Data!A157)-Inputs!$C$42)^2)/(2*Inputs!$C$45^2))+Inputs!$C$48*(0.7*(0.45*SIN(2*PI()*(((Model_Data!A157)/Inputs!$C$49)+Inputs!$C$47*0.137))+0.35*COS(2*PI()*(((Inputs!$C$6)/Inputs!$C$50)+Inputs!$C$47*0.173))+0.2*SIN(2*PI()*(((Model_Data!A157)+(Inputs!$C$6))/(0.5*(Inputs!$C$49+Inputs!$C$50))+Inputs!$C$47*0.097)))+0.3*(2*((SIN(((Model_Data!A157)*12.9898+(Inputs!$C$6)*78.233+Inputs!$C$47*37.719))*43758.5453)-INT((SIN(((Model_Data!A157)*12.9898+(Inputs!$C$6)*78.233+Inputs!$C$47*37.719))*43758.5453)))-1))))/1000)^2))-(((Model_Data!B157)-((Inputs!$C$51*(115*EXP(-(((0)-25)^2)/(4.5^2))+70*EXP(-(((0)+38)^2)/(7^2))*(0.55+0.45*SIN(2*PI()*(Model_Data!A157)/45))+24*SIN(2*PI()*(0)/9+(Model_Data!A157)/18)*EXP(-(((0)+5)^2)/(22^2))+18*SIN(2*PI()*(Model_Data!A157)/70))+Inputs!$C$28*EXP(-(((Model_Data!A157)-Inputs!$C$29)^2)/(2*Inputs!$C$31^2))*EXP(-(((0)-Inputs!$C$30)^2)/(2*Inputs!$C$32^2))+-Inputs!$C$33*EXP(-(((((Model_Data!A157)-Inputs!$C$34)^2)+(((0)-Inputs!$C$35)^2))/(2*Inputs!$C$36^2)))+Inputs!$C$37*(0.55*SIN(2*PI()*(Model_Data!A157)/Inputs!$C$39)+0.35*COS(2*PI()*(0)/Inputs!$C$40)+0.2*SIN(2*PI()*((Model_Data!A157)+(0))/(0.5*(Inputs!$C$39+Inputs!$C$40))))+Inputs!$C$38*SIN(2*PI()*(Model_Data!A157)/Inputs!$C$39)*SIN(2*PI()*(0)/Inputs!$C$40)+-Inputs!$C$41*EXP(-(((0)-Inputs!$C$43)^2)/(2*Inputs!$C$44^2))*EXP(-(((Model_Data!A157)-Inputs!$C$42)^2)/(2*Inputs!$C$45^2))+Inputs!$C$48*(0.7*(0.45*SIN(2*PI()*(((Model_Data!A157)/Inputs!$C$49)+Inputs!$C$47*0.137))+0.35*COS(2*PI()*(((0)/Inputs!$C$50)+Inputs!$C$47*0.173))+0.2*SIN(2*PI()*(((Model_Data!A157)+(0))/(0.5*(Inputs!$C$49+Inputs!$C$50))+Inputs!$C$47*0.097)))+0.3*(2*((SIN(((Model_Data!A157)*12.9898+(0)*78.233+Inputs!$C$47*37.719))*43758.5453)-INT((SIN(((Model_Data!A157)*12.9898+(0)*78.233+Inputs!$C$47*37.719))*43758.5453)))-1))))/1000)))*1000/Inputs!$C$12)-Model_Data!F157)</f>
        <v>194.20773328752296</v>
      </c>
      <c r="L157" s="10"/>
      <c r="M157" s="9">
        <f>Model_Data!A157</f>
        <v>17.5</v>
      </c>
      <c r="N157" s="9">
        <f>Model_Data!P157</f>
        <v>-131.78042876132014</v>
      </c>
      <c r="O157" s="9">
        <f t="shared" si="4"/>
        <v>-108.76651162507187</v>
      </c>
      <c r="P157" s="9">
        <f>Model_Data!Q157</f>
        <v>-19.786851165363387</v>
      </c>
      <c r="Q157" s="9">
        <f t="shared" si="5"/>
        <v>-16.331308051812595</v>
      </c>
      <c r="R157" s="10"/>
      <c r="S157" s="9">
        <f>Model_Data!A157</f>
        <v>17.5</v>
      </c>
      <c r="T157" s="9">
        <f>Model_Data!B157-Inputs!$C$5</f>
        <v>0.34027777777777146</v>
      </c>
      <c r="U157" s="10"/>
      <c r="V157" s="9">
        <f>Model_Data!A157</f>
        <v>17.5</v>
      </c>
      <c r="W157" s="9">
        <f>((SQRT((Model_Data!A157)^2+Inputs!$C$6^2+Inputs!$C$5^2)-Inputs!$C$5)*1000/Inputs!$C$12)</f>
        <v>653.01888173594125</v>
      </c>
      <c r="X157" s="9">
        <f>Model_Data!F157</f>
        <v>652.46544059236885</v>
      </c>
      <c r="Y157" s="10"/>
      <c r="Z157" s="9">
        <f>Model_Data!A157</f>
        <v>17.5</v>
      </c>
      <c r="AA157" s="9">
        <f>SQRT((Model_Data!A157)^2+Inputs!$C$6^2+((Model_Data!B157)-((Inputs!$C$51*(115*EXP(-(((Inputs!$C$6)-25)^2)/(4.5^2))+70*EXP(-(((Inputs!$C$6)+38)^2)/(7^2))*(0.55+0.45*SIN(2*PI()*(Model_Data!A157)/45))+24*SIN(2*PI()*(Inputs!$C$6)/9+(Model_Data!A157)/18)*EXP(-(((Inputs!$C$6)+5)^2)/(22^2))+18*SIN(2*PI()*(Model_Data!A157)/70))+Inputs!$C$28*EXP(-(((Model_Data!A157)-Inputs!$C$29)^2)/(2*Inputs!$C$31^2))*EXP(-(((Inputs!$C$6)-Inputs!$C$30)^2)/(2*Inputs!$C$32^2))+-Inputs!$C$33*EXP(-(((((Model_Data!A157)-Inputs!$C$34)^2)+(((Inputs!$C$6)-Inputs!$C$35)^2))/(2*Inputs!$C$36^2)))+Inputs!$C$37*(0.55*SIN(2*PI()*(Model_Data!A157)/Inputs!$C$39)+0.35*COS(2*PI()*(Inputs!$C$6)/Inputs!$C$40)+0.2*SIN(2*PI()*((Model_Data!A157)+(Inputs!$C$6))/(0.5*(Inputs!$C$39+Inputs!$C$40))))+Inputs!$C$38*SIN(2*PI()*(Model_Data!A157)/Inputs!$C$39)*SIN(2*PI()*(Inputs!$C$6)/Inputs!$C$40)+-Inputs!$C$41*EXP(-(((Inputs!$C$6)-Inputs!$C$43)^2)/(2*Inputs!$C$44^2))*EXP(-(((Model_Data!A157)-Inputs!$C$42)^2)/(2*Inputs!$C$45^2))+Inputs!$C$48*(0.7*(0.45*SIN(2*PI()*(((Model_Data!A157)/Inputs!$C$49)+Inputs!$C$47*0.137))+0.35*COS(2*PI()*(((Inputs!$C$6)/Inputs!$C$50)+Inputs!$C$47*0.173))+0.2*SIN(2*PI()*(((Model_Data!A157)+(Inputs!$C$6))/(0.5*(Inputs!$C$49+Inputs!$C$50))+Inputs!$C$47*0.097)))+0.3*(2*((SIN(((Model_Data!A157)*12.9898+(Inputs!$C$6)*78.233+Inputs!$C$47*37.719))*43758.5453)-INT((SIN(((Model_Data!A157)*12.9898+(Inputs!$C$6)*78.233+Inputs!$C$47*37.719))*43758.5453)))-1))))/1000)^2)</f>
        <v>401.09026423166421</v>
      </c>
      <c r="AB157" s="9">
        <f>1000*(AA158-AA156)/(Z158-Z156)*Inputs!$C$11</f>
        <v>271.91627906267968</v>
      </c>
      <c r="AC157" s="9">
        <f>-2*AB157/Inputs!$C$13</f>
        <v>-108.76651162507187</v>
      </c>
      <c r="AD157" s="9">
        <f>-2*AB157/Inputs!$C$14</f>
        <v>-16.331308051812595</v>
      </c>
    </row>
    <row r="158" spans="1:30">
      <c r="A158" s="9">
        <f>Model_Data!A158</f>
        <v>18</v>
      </c>
      <c r="B158" s="9">
        <f>((SQRT((Model_Data!A158)^2+Inputs!$C$6^2+Inputs!$C$5^2)-Inputs!$C$5)*1000/Inputs!$C$12)</f>
        <v>665.44730949883331</v>
      </c>
      <c r="C158" s="9">
        <f>Model_Data!F158</f>
        <v>664.85070974349935</v>
      </c>
      <c r="D158" s="9">
        <f>(((SQRT((Model_Data!A158)^2+Inputs!$C$6^2+((Model_Data!B158)-((Inputs!$C$51*(115*EXP(-(((Inputs!$C$6)-25)^2)/(4.5^2))+70*EXP(-(((Inputs!$C$6)+38)^2)/(7^2))*(0.55+0.45*SIN(2*PI()*(Model_Data!A158)/45))+24*SIN(2*PI()*(Inputs!$C$6)/9+(Model_Data!A158)/18)*EXP(-(((Inputs!$C$6)+5)^2)/(22^2))+18*SIN(2*PI()*(Model_Data!A158)/70))+Inputs!$C$28*EXP(-(((Model_Data!A158)-Inputs!$C$29)^2)/(2*Inputs!$C$31^2))*EXP(-(((Inputs!$C$6)-Inputs!$C$30)^2)/(2*Inputs!$C$32^2))+-Inputs!$C$33*EXP(-(((((Model_Data!A158)-Inputs!$C$34)^2)+(((Inputs!$C$6)-Inputs!$C$35)^2))/(2*Inputs!$C$36^2)))+Inputs!$C$37*(0.55*SIN(2*PI()*(Model_Data!A158)/Inputs!$C$39)+0.35*COS(2*PI()*(Inputs!$C$6)/Inputs!$C$40)+0.2*SIN(2*PI()*((Model_Data!A158)+(Inputs!$C$6))/(0.5*(Inputs!$C$39+Inputs!$C$40))))+Inputs!$C$38*SIN(2*PI()*(Model_Data!A158)/Inputs!$C$39)*SIN(2*PI()*(Inputs!$C$6)/Inputs!$C$40)+-Inputs!$C$41*EXP(-(((Inputs!$C$6)-Inputs!$C$43)^2)/(2*Inputs!$C$44^2))*EXP(-(((Model_Data!A158)-Inputs!$C$42)^2)/(2*Inputs!$C$45^2))+Inputs!$C$48*(0.7*(0.45*SIN(2*PI()*(((Model_Data!A158)/Inputs!$C$49)+Inputs!$C$47*0.137))+0.35*COS(2*PI()*(((Inputs!$C$6)/Inputs!$C$50)+Inputs!$C$47*0.173))+0.2*SIN(2*PI()*(((Model_Data!A158)+(Inputs!$C$6))/(0.5*(Inputs!$C$49+Inputs!$C$50))+Inputs!$C$47*0.097)))+0.3*(2*((SIN(((Model_Data!A158)*12.9898+(Inputs!$C$6)*78.233+Inputs!$C$47*37.719))*43758.5453)-INT((SIN(((Model_Data!A158)*12.9898+(Inputs!$C$6)*78.233+Inputs!$C$47*37.719))*43758.5453)))-1))))/1000)^2))-(((Model_Data!B158)-((Inputs!$C$51*(115*EXP(-(((0)-25)^2)/(4.5^2))+70*EXP(-(((0)+38)^2)/(7^2))*(0.55+0.45*SIN(2*PI()*(Model_Data!A158)/45))+24*SIN(2*PI()*(0)/9+(Model_Data!A158)/18)*EXP(-(((0)+5)^2)/(22^2))+18*SIN(2*PI()*(Model_Data!A158)/70))+Inputs!$C$28*EXP(-(((Model_Data!A158)-Inputs!$C$29)^2)/(2*Inputs!$C$31^2))*EXP(-(((0)-Inputs!$C$30)^2)/(2*Inputs!$C$32^2))+-Inputs!$C$33*EXP(-(((((Model_Data!A158)-Inputs!$C$34)^2)+(((0)-Inputs!$C$35)^2))/(2*Inputs!$C$36^2)))+Inputs!$C$37*(0.55*SIN(2*PI()*(Model_Data!A158)/Inputs!$C$39)+0.35*COS(2*PI()*(0)/Inputs!$C$40)+0.2*SIN(2*PI()*((Model_Data!A158)+(0))/(0.5*(Inputs!$C$39+Inputs!$C$40))))+Inputs!$C$38*SIN(2*PI()*(Model_Data!A158)/Inputs!$C$39)*SIN(2*PI()*(0)/Inputs!$C$40)+-Inputs!$C$41*EXP(-(((0)-Inputs!$C$43)^2)/(2*Inputs!$C$44^2))*EXP(-(((Model_Data!A158)-Inputs!$C$42)^2)/(2*Inputs!$C$45^2))+Inputs!$C$48*(0.7*(0.45*SIN(2*PI()*(((Model_Data!A158)/Inputs!$C$49)+Inputs!$C$47*0.137))+0.35*COS(2*PI()*(((0)/Inputs!$C$50)+Inputs!$C$47*0.173))+0.2*SIN(2*PI()*(((Model_Data!A158)+(0))/(0.5*(Inputs!$C$49+Inputs!$C$50))+Inputs!$C$47*0.097)))+0.3*(2*((SIN(((Model_Data!A158)*12.9898+(0)*78.233+Inputs!$C$47*37.719))*43758.5453)-INT((SIN(((Model_Data!A158)*12.9898+(0)*78.233+Inputs!$C$47*37.719))*43758.5453)))-1))))/1000)))*1000/Inputs!$C$12)</f>
        <v>470.67498464503444</v>
      </c>
      <c r="E158" s="9">
        <f>Model_Data!A158</f>
        <v>18</v>
      </c>
      <c r="F158" s="9">
        <f>(Inputs!$C$51*(115*EXP(-(((Inputs!$C$6)-25)^2)/(4.5^2))+70*EXP(-(((Inputs!$C$6)+38)^2)/(7^2))*(0.55+0.45*SIN(2*PI()*(Model_Data!A158)/45))+24*SIN(2*PI()*(Inputs!$C$6)/9+(Model_Data!A158)/18)*EXP(-(((Inputs!$C$6)+5)^2)/(22^2))+18*SIN(2*PI()*(Model_Data!A158)/70))+Inputs!$C$28*EXP(-(((Model_Data!A158)-Inputs!$C$29)^2)/(2*Inputs!$C$31^2))*EXP(-(((Inputs!$C$6)-Inputs!$C$30)^2)/(2*Inputs!$C$32^2))+-Inputs!$C$33*EXP(-(((((Model_Data!A158)-Inputs!$C$34)^2)+(((Inputs!$C$6)-Inputs!$C$35)^2))/(2*Inputs!$C$36^2)))+Inputs!$C$37*(0.55*SIN(2*PI()*(Model_Data!A158)/Inputs!$C$39)+0.35*COS(2*PI()*(Inputs!$C$6)/Inputs!$C$40)+0.2*SIN(2*PI()*((Model_Data!A158)+(Inputs!$C$6))/(0.5*(Inputs!$C$39+Inputs!$C$40))))+Inputs!$C$38*SIN(2*PI()*(Model_Data!A158)/Inputs!$C$39)*SIN(2*PI()*(Inputs!$C$6)/Inputs!$C$40)+-Inputs!$C$41*EXP(-(((Inputs!$C$6)-Inputs!$C$43)^2)/(2*Inputs!$C$44^2))*EXP(-(((Model_Data!A158)-Inputs!$C$42)^2)/(2*Inputs!$C$45^2))+Inputs!$C$48*(0.7*(0.45*SIN(2*PI()*(((Model_Data!A158)/Inputs!$C$49)+Inputs!$C$47*0.137))+0.35*COS(2*PI()*(((Inputs!$C$6)/Inputs!$C$50)+Inputs!$C$47*0.173))+0.2*SIN(2*PI()*(((Model_Data!A158)+(Inputs!$C$6))/(0.5*(Inputs!$C$49+Inputs!$C$50))+Inputs!$C$47*0.097)))+0.3*(2*((SIN(((Model_Data!A158)*12.9898+(Inputs!$C$6)*78.233+Inputs!$C$47*37.719))*43758.5453)-INT((SIN(((Model_Data!A158)*12.9898+(Inputs!$C$6)*78.233+Inputs!$C$47*37.719))*43758.5453)))-1)))</f>
        <v>417.36712485558922</v>
      </c>
      <c r="G158" s="9">
        <f>(Inputs!$C$51*(115*EXP(-(((0)-25)^2)/(4.5^2))+70*EXP(-(((0)+38)^2)/(7^2))*(0.55+0.45*SIN(2*PI()*(Model_Data!A158)/45))+24*SIN(2*PI()*(0)/9+(Model_Data!A158)/18)*EXP(-(((0)+5)^2)/(22^2))+18*SIN(2*PI()*(Model_Data!A158)/70))+Inputs!$C$28*EXP(-(((Model_Data!A158)-Inputs!$C$29)^2)/(2*Inputs!$C$31^2))*EXP(-(((0)-Inputs!$C$30)^2)/(2*Inputs!$C$32^2))+-Inputs!$C$33*EXP(-(((((Model_Data!A158)-Inputs!$C$34)^2)+(((0)-Inputs!$C$35)^2))/(2*Inputs!$C$36^2)))+Inputs!$C$37*(0.55*SIN(2*PI()*(Model_Data!A158)/Inputs!$C$39)+0.35*COS(2*PI()*(0)/Inputs!$C$40)+0.2*SIN(2*PI()*((Model_Data!A158)+(0))/(0.5*(Inputs!$C$39+Inputs!$C$40))))+Inputs!$C$38*SIN(2*PI()*(Model_Data!A158)/Inputs!$C$39)*SIN(2*PI()*(0)/Inputs!$C$40)+-Inputs!$C$41*EXP(-(((0)-Inputs!$C$43)^2)/(2*Inputs!$C$44^2))*EXP(-(((Model_Data!A158)-Inputs!$C$42)^2)/(2*Inputs!$C$45^2))+Inputs!$C$48*(0.7*(0.45*SIN(2*PI()*(((Model_Data!A158)/Inputs!$C$49)+Inputs!$C$47*0.137))+0.35*COS(2*PI()*(((0)/Inputs!$C$50)+Inputs!$C$47*0.173))+0.2*SIN(2*PI()*(((Model_Data!A158)+(0))/(0.5*(Inputs!$C$49+Inputs!$C$50))+Inputs!$C$47*0.097)))+0.3*(2*((SIN(((Model_Data!A158)*12.9898+(0)*78.233+Inputs!$C$47*37.719))*43758.5453)-INT((SIN(((Model_Data!A158)*12.9898+(0)*78.233+Inputs!$C$47*37.719))*43758.5453)))-1)))</f>
        <v>70.502986137150288</v>
      </c>
      <c r="H158" s="10"/>
      <c r="I158" s="9">
        <f>Model_Data!A158</f>
        <v>18</v>
      </c>
      <c r="J158" s="9">
        <f>(Inputs!$C$51*(115*EXP(-(((Inputs!$C$6)-25)^2)/(4.5^2))+70*EXP(-(((Inputs!$C$6)+38)^2)/(7^2))*(0.55+0.45*SIN(2*PI()*(Model_Data!A158)/45))+24*SIN(2*PI()*(Inputs!$C$6)/9+(Model_Data!A158)/18)*EXP(-(((Inputs!$C$6)+5)^2)/(22^2))+18*SIN(2*PI()*(Model_Data!A158)/70))+Inputs!$C$28*EXP(-(((Model_Data!A158)-Inputs!$C$29)^2)/(2*Inputs!$C$31^2))*EXP(-(((Inputs!$C$6)-Inputs!$C$30)^2)/(2*Inputs!$C$32^2))+-Inputs!$C$33*EXP(-(((((Model_Data!A158)-Inputs!$C$34)^2)+(((Inputs!$C$6)-Inputs!$C$35)^2))/(2*Inputs!$C$36^2)))+Inputs!$C$37*(0.55*SIN(2*PI()*(Model_Data!A158)/Inputs!$C$39)+0.35*COS(2*PI()*(Inputs!$C$6)/Inputs!$C$40)+0.2*SIN(2*PI()*((Model_Data!A158)+(Inputs!$C$6))/(0.5*(Inputs!$C$39+Inputs!$C$40))))+Inputs!$C$38*SIN(2*PI()*(Model_Data!A158)/Inputs!$C$39)*SIN(2*PI()*(Inputs!$C$6)/Inputs!$C$40)+-Inputs!$C$41*EXP(-(((Inputs!$C$6)-Inputs!$C$43)^2)/(2*Inputs!$C$44^2))*EXP(-(((Model_Data!A158)-Inputs!$C$42)^2)/(2*Inputs!$C$45^2))+Inputs!$C$48*(0.7*(0.45*SIN(2*PI()*(((Model_Data!A158)/Inputs!$C$49)+Inputs!$C$47*0.137))+0.35*COS(2*PI()*(((Inputs!$C$6)/Inputs!$C$50)+Inputs!$C$47*0.173))+0.2*SIN(2*PI()*(((Model_Data!A158)+(Inputs!$C$6))/(0.5*(Inputs!$C$49+Inputs!$C$50))+Inputs!$C$47*0.097)))+0.3*(2*((SIN(((Model_Data!A158)*12.9898+(Inputs!$C$6)*78.233+Inputs!$C$47*37.719))*43758.5453)-INT((SIN(((Model_Data!A158)*12.9898+(Inputs!$C$6)*78.233+Inputs!$C$47*37.719))*43758.5453)))-1)))</f>
        <v>417.36712485558922</v>
      </c>
      <c r="K158" s="9">
        <f>-((((SQRT((Model_Data!A158)^2+Inputs!$C$6^2+((Model_Data!B158)-((Inputs!$C$51*(115*EXP(-(((Inputs!$C$6)-25)^2)/(4.5^2))+70*EXP(-(((Inputs!$C$6)+38)^2)/(7^2))*(0.55+0.45*SIN(2*PI()*(Model_Data!A158)/45))+24*SIN(2*PI()*(Inputs!$C$6)/9+(Model_Data!A158)/18)*EXP(-(((Inputs!$C$6)+5)^2)/(22^2))+18*SIN(2*PI()*(Model_Data!A158)/70))+Inputs!$C$28*EXP(-(((Model_Data!A158)-Inputs!$C$29)^2)/(2*Inputs!$C$31^2))*EXP(-(((Inputs!$C$6)-Inputs!$C$30)^2)/(2*Inputs!$C$32^2))+-Inputs!$C$33*EXP(-(((((Model_Data!A158)-Inputs!$C$34)^2)+(((Inputs!$C$6)-Inputs!$C$35)^2))/(2*Inputs!$C$36^2)))+Inputs!$C$37*(0.55*SIN(2*PI()*(Model_Data!A158)/Inputs!$C$39)+0.35*COS(2*PI()*(Inputs!$C$6)/Inputs!$C$40)+0.2*SIN(2*PI()*((Model_Data!A158)+(Inputs!$C$6))/(0.5*(Inputs!$C$39+Inputs!$C$40))))+Inputs!$C$38*SIN(2*PI()*(Model_Data!A158)/Inputs!$C$39)*SIN(2*PI()*(Inputs!$C$6)/Inputs!$C$40)+-Inputs!$C$41*EXP(-(((Inputs!$C$6)-Inputs!$C$43)^2)/(2*Inputs!$C$44^2))*EXP(-(((Model_Data!A158)-Inputs!$C$42)^2)/(2*Inputs!$C$45^2))+Inputs!$C$48*(0.7*(0.45*SIN(2*PI()*(((Model_Data!A158)/Inputs!$C$49)+Inputs!$C$47*0.137))+0.35*COS(2*PI()*(((Inputs!$C$6)/Inputs!$C$50)+Inputs!$C$47*0.173))+0.2*SIN(2*PI()*(((Model_Data!A158)+(Inputs!$C$6))/(0.5*(Inputs!$C$49+Inputs!$C$50))+Inputs!$C$47*0.097)))+0.3*(2*((SIN(((Model_Data!A158)*12.9898+(Inputs!$C$6)*78.233+Inputs!$C$47*37.719))*43758.5453)-INT((SIN(((Model_Data!A158)*12.9898+(Inputs!$C$6)*78.233+Inputs!$C$47*37.719))*43758.5453)))-1))))/1000)^2))-(((Model_Data!B158)-((Inputs!$C$51*(115*EXP(-(((0)-25)^2)/(4.5^2))+70*EXP(-(((0)+38)^2)/(7^2))*(0.55+0.45*SIN(2*PI()*(Model_Data!A158)/45))+24*SIN(2*PI()*(0)/9+(Model_Data!A158)/18)*EXP(-(((0)+5)^2)/(22^2))+18*SIN(2*PI()*(Model_Data!A158)/70))+Inputs!$C$28*EXP(-(((Model_Data!A158)-Inputs!$C$29)^2)/(2*Inputs!$C$31^2))*EXP(-(((0)-Inputs!$C$30)^2)/(2*Inputs!$C$32^2))+-Inputs!$C$33*EXP(-(((((Model_Data!A158)-Inputs!$C$34)^2)+(((0)-Inputs!$C$35)^2))/(2*Inputs!$C$36^2)))+Inputs!$C$37*(0.55*SIN(2*PI()*(Model_Data!A158)/Inputs!$C$39)+0.35*COS(2*PI()*(0)/Inputs!$C$40)+0.2*SIN(2*PI()*((Model_Data!A158)+(0))/(0.5*(Inputs!$C$39+Inputs!$C$40))))+Inputs!$C$38*SIN(2*PI()*(Model_Data!A158)/Inputs!$C$39)*SIN(2*PI()*(0)/Inputs!$C$40)+-Inputs!$C$41*EXP(-(((0)-Inputs!$C$43)^2)/(2*Inputs!$C$44^2))*EXP(-(((Model_Data!A158)-Inputs!$C$42)^2)/(2*Inputs!$C$45^2))+Inputs!$C$48*(0.7*(0.45*SIN(2*PI()*(((Model_Data!A158)/Inputs!$C$49)+Inputs!$C$47*0.137))+0.35*COS(2*PI()*(((0)/Inputs!$C$50)+Inputs!$C$47*0.173))+0.2*SIN(2*PI()*(((Model_Data!A158)+(0))/(0.5*(Inputs!$C$49+Inputs!$C$50))+Inputs!$C$47*0.097)))+0.3*(2*((SIN(((Model_Data!A158)*12.9898+(0)*78.233+Inputs!$C$47*37.719))*43758.5453)-INT((SIN(((Model_Data!A158)*12.9898+(0)*78.233+Inputs!$C$47*37.719))*43758.5453)))-1))))/1000)))*1000/Inputs!$C$12)-Model_Data!F158)</f>
        <v>194.17572509846491</v>
      </c>
      <c r="L158" s="10"/>
      <c r="M158" s="9">
        <f>Model_Data!A158</f>
        <v>18</v>
      </c>
      <c r="N158" s="9">
        <f>Model_Data!P158</f>
        <v>-135.53462802807991</v>
      </c>
      <c r="O158" s="9">
        <f t="shared" si="4"/>
        <v>-133.32007495982907</v>
      </c>
      <c r="P158" s="9">
        <f>Model_Data!Q158</f>
        <v>-20.350544748960946</v>
      </c>
      <c r="Q158" s="9">
        <f t="shared" si="5"/>
        <v>-20.01802927324761</v>
      </c>
      <c r="R158" s="10"/>
      <c r="S158" s="9">
        <f>Model_Data!A158</f>
        <v>18</v>
      </c>
      <c r="T158" s="9">
        <f>Model_Data!B158-Inputs!$C$5</f>
        <v>0.36000000000001364</v>
      </c>
      <c r="U158" s="10"/>
      <c r="V158" s="9">
        <f>Model_Data!A158</f>
        <v>18</v>
      </c>
      <c r="W158" s="9">
        <f>((SQRT((Model_Data!A158)^2+Inputs!$C$6^2+Inputs!$C$5^2)-Inputs!$C$5)*1000/Inputs!$C$12)</f>
        <v>665.44730949883331</v>
      </c>
      <c r="X158" s="9">
        <f>Model_Data!F158</f>
        <v>664.85070974349935</v>
      </c>
      <c r="Y158" s="10"/>
      <c r="Z158" s="9">
        <f>Model_Data!A158</f>
        <v>18</v>
      </c>
      <c r="AA158" s="9">
        <f>SQRT((Model_Data!A158)^2+Inputs!$C$6^2+((Model_Data!B158)-((Inputs!$C$51*(115*EXP(-(((Inputs!$C$6)-25)^2)/(4.5^2))+70*EXP(-(((Inputs!$C$6)+38)^2)/(7^2))*(0.55+0.45*SIN(2*PI()*(Model_Data!A158)/45))+24*SIN(2*PI()*(Inputs!$C$6)/9+(Model_Data!A158)/18)*EXP(-(((Inputs!$C$6)+5)^2)/(22^2))+18*SIN(2*PI()*(Model_Data!A158)/70))+Inputs!$C$28*EXP(-(((Model_Data!A158)-Inputs!$C$29)^2)/(2*Inputs!$C$31^2))*EXP(-(((Inputs!$C$6)-Inputs!$C$30)^2)/(2*Inputs!$C$32^2))+-Inputs!$C$33*EXP(-(((((Model_Data!A158)-Inputs!$C$34)^2)+(((Inputs!$C$6)-Inputs!$C$35)^2))/(2*Inputs!$C$36^2)))+Inputs!$C$37*(0.55*SIN(2*PI()*(Model_Data!A158)/Inputs!$C$39)+0.35*COS(2*PI()*(Inputs!$C$6)/Inputs!$C$40)+0.2*SIN(2*PI()*((Model_Data!A158)+(Inputs!$C$6))/(0.5*(Inputs!$C$39+Inputs!$C$40))))+Inputs!$C$38*SIN(2*PI()*(Model_Data!A158)/Inputs!$C$39)*SIN(2*PI()*(Inputs!$C$6)/Inputs!$C$40)+-Inputs!$C$41*EXP(-(((Inputs!$C$6)-Inputs!$C$43)^2)/(2*Inputs!$C$44^2))*EXP(-(((Model_Data!A158)-Inputs!$C$42)^2)/(2*Inputs!$C$45^2))+Inputs!$C$48*(0.7*(0.45*SIN(2*PI()*(((Model_Data!A158)/Inputs!$C$49)+Inputs!$C$47*0.137))+0.35*COS(2*PI()*(((Inputs!$C$6)/Inputs!$C$50)+Inputs!$C$47*0.173))+0.2*SIN(2*PI()*(((Model_Data!A158)+(Inputs!$C$6))/(0.5*(Inputs!$C$49+Inputs!$C$50))+Inputs!$C$47*0.097)))+0.3*(2*((SIN(((Model_Data!A158)*12.9898+(Inputs!$C$6)*78.233+Inputs!$C$47*37.719))*43758.5453)-INT((SIN(((Model_Data!A158)*12.9898+(Inputs!$C$6)*78.233+Inputs!$C$47*37.719))*43758.5453)))-1))))/1000)^2)</f>
        <v>401.127298486531</v>
      </c>
      <c r="AB158" s="9">
        <f>1000*(AA159-AA157)/(Z159-Z157)*Inputs!$C$11</f>
        <v>333.30018739957268</v>
      </c>
      <c r="AC158" s="9">
        <f>-2*AB158/Inputs!$C$13</f>
        <v>-133.32007495982907</v>
      </c>
      <c r="AD158" s="9">
        <f>-2*AB158/Inputs!$C$14</f>
        <v>-20.01802927324761</v>
      </c>
    </row>
    <row r="159" spans="1:30">
      <c r="A159" s="9">
        <f>Model_Data!A159</f>
        <v>18.5</v>
      </c>
      <c r="B159" s="9">
        <f>((SQRT((Model_Data!A159)^2+Inputs!$C$6^2+Inputs!$C$5^2)-Inputs!$C$5)*1000/Inputs!$C$12)</f>
        <v>678.22511928547397</v>
      </c>
      <c r="C159" s="9">
        <f>Model_Data!F159</f>
        <v>677.58288242198512</v>
      </c>
      <c r="D159" s="9">
        <f>(((SQRT((Model_Data!A159)^2+Inputs!$C$6^2+((Model_Data!B159)-((Inputs!$C$51*(115*EXP(-(((Inputs!$C$6)-25)^2)/(4.5^2))+70*EXP(-(((Inputs!$C$6)+38)^2)/(7^2))*(0.55+0.45*SIN(2*PI()*(Model_Data!A159)/45))+24*SIN(2*PI()*(Inputs!$C$6)/9+(Model_Data!A159)/18)*EXP(-(((Inputs!$C$6)+5)^2)/(22^2))+18*SIN(2*PI()*(Model_Data!A159)/70))+Inputs!$C$28*EXP(-(((Model_Data!A159)-Inputs!$C$29)^2)/(2*Inputs!$C$31^2))*EXP(-(((Inputs!$C$6)-Inputs!$C$30)^2)/(2*Inputs!$C$32^2))+-Inputs!$C$33*EXP(-(((((Model_Data!A159)-Inputs!$C$34)^2)+(((Inputs!$C$6)-Inputs!$C$35)^2))/(2*Inputs!$C$36^2)))+Inputs!$C$37*(0.55*SIN(2*PI()*(Model_Data!A159)/Inputs!$C$39)+0.35*COS(2*PI()*(Inputs!$C$6)/Inputs!$C$40)+0.2*SIN(2*PI()*((Model_Data!A159)+(Inputs!$C$6))/(0.5*(Inputs!$C$39+Inputs!$C$40))))+Inputs!$C$38*SIN(2*PI()*(Model_Data!A159)/Inputs!$C$39)*SIN(2*PI()*(Inputs!$C$6)/Inputs!$C$40)+-Inputs!$C$41*EXP(-(((Inputs!$C$6)-Inputs!$C$43)^2)/(2*Inputs!$C$44^2))*EXP(-(((Model_Data!A159)-Inputs!$C$42)^2)/(2*Inputs!$C$45^2))+Inputs!$C$48*(0.7*(0.45*SIN(2*PI()*(((Model_Data!A159)/Inputs!$C$49)+Inputs!$C$47*0.137))+0.35*COS(2*PI()*(((Inputs!$C$6)/Inputs!$C$50)+Inputs!$C$47*0.173))+0.2*SIN(2*PI()*(((Model_Data!A159)+(Inputs!$C$6))/(0.5*(Inputs!$C$49+Inputs!$C$50))+Inputs!$C$47*0.097)))+0.3*(2*((SIN(((Model_Data!A159)*12.9898+(Inputs!$C$6)*78.233+Inputs!$C$47*37.719))*43758.5453)-INT((SIN(((Model_Data!A159)*12.9898+(Inputs!$C$6)*78.233+Inputs!$C$47*37.719))*43758.5453)))-1))))/1000)^2))-(((Model_Data!B159)-((Inputs!$C$51*(115*EXP(-(((0)-25)^2)/(4.5^2))+70*EXP(-(((0)+38)^2)/(7^2))*(0.55+0.45*SIN(2*PI()*(Model_Data!A159)/45))+24*SIN(2*PI()*(0)/9+(Model_Data!A159)/18)*EXP(-(((0)+5)^2)/(22^2))+18*SIN(2*PI()*(Model_Data!A159)/70))+Inputs!$C$28*EXP(-(((Model_Data!A159)-Inputs!$C$29)^2)/(2*Inputs!$C$31^2))*EXP(-(((0)-Inputs!$C$30)^2)/(2*Inputs!$C$32^2))+-Inputs!$C$33*EXP(-(((((Model_Data!A159)-Inputs!$C$34)^2)+(((0)-Inputs!$C$35)^2))/(2*Inputs!$C$36^2)))+Inputs!$C$37*(0.55*SIN(2*PI()*(Model_Data!A159)/Inputs!$C$39)+0.35*COS(2*PI()*(0)/Inputs!$C$40)+0.2*SIN(2*PI()*((Model_Data!A159)+(0))/(0.5*(Inputs!$C$39+Inputs!$C$40))))+Inputs!$C$38*SIN(2*PI()*(Model_Data!A159)/Inputs!$C$39)*SIN(2*PI()*(0)/Inputs!$C$40)+-Inputs!$C$41*EXP(-(((0)-Inputs!$C$43)^2)/(2*Inputs!$C$44^2))*EXP(-(((Model_Data!A159)-Inputs!$C$42)^2)/(2*Inputs!$C$45^2))+Inputs!$C$48*(0.7*(0.45*SIN(2*PI()*(((Model_Data!A159)/Inputs!$C$49)+Inputs!$C$47*0.137))+0.35*COS(2*PI()*(((0)/Inputs!$C$50)+Inputs!$C$47*0.173))+0.2*SIN(2*PI()*(((Model_Data!A159)+(0))/(0.5*(Inputs!$C$49+Inputs!$C$50))+Inputs!$C$47*0.097)))+0.3*(2*((SIN(((Model_Data!A159)*12.9898+(0)*78.233+Inputs!$C$47*37.719))*43758.5453)-INT((SIN(((Model_Data!A159)*12.9898+(0)*78.233+Inputs!$C$47*37.719))*43758.5453)))-1))))/1000)))*1000/Inputs!$C$12)</f>
        <v>492.95804147934092</v>
      </c>
      <c r="E159" s="9">
        <f>Model_Data!A159</f>
        <v>18.5</v>
      </c>
      <c r="F159" s="9">
        <f>(Inputs!$C$51*(115*EXP(-(((Inputs!$C$6)-25)^2)/(4.5^2))+70*EXP(-(((Inputs!$C$6)+38)^2)/(7^2))*(0.55+0.45*SIN(2*PI()*(Model_Data!A159)/45))+24*SIN(2*PI()*(Inputs!$C$6)/9+(Model_Data!A159)/18)*EXP(-(((Inputs!$C$6)+5)^2)/(22^2))+18*SIN(2*PI()*(Model_Data!A159)/70))+Inputs!$C$28*EXP(-(((Model_Data!A159)-Inputs!$C$29)^2)/(2*Inputs!$C$31^2))*EXP(-(((Inputs!$C$6)-Inputs!$C$30)^2)/(2*Inputs!$C$32^2))+-Inputs!$C$33*EXP(-(((((Model_Data!A159)-Inputs!$C$34)^2)+(((Inputs!$C$6)-Inputs!$C$35)^2))/(2*Inputs!$C$36^2)))+Inputs!$C$37*(0.55*SIN(2*PI()*(Model_Data!A159)/Inputs!$C$39)+0.35*COS(2*PI()*(Inputs!$C$6)/Inputs!$C$40)+0.2*SIN(2*PI()*((Model_Data!A159)+(Inputs!$C$6))/(0.5*(Inputs!$C$39+Inputs!$C$40))))+Inputs!$C$38*SIN(2*PI()*(Model_Data!A159)/Inputs!$C$39)*SIN(2*PI()*(Inputs!$C$6)/Inputs!$C$40)+-Inputs!$C$41*EXP(-(((Inputs!$C$6)-Inputs!$C$43)^2)/(2*Inputs!$C$44^2))*EXP(-(((Model_Data!A159)-Inputs!$C$42)^2)/(2*Inputs!$C$45^2))+Inputs!$C$48*(0.7*(0.45*SIN(2*PI()*(((Model_Data!A159)/Inputs!$C$49)+Inputs!$C$47*0.137))+0.35*COS(2*PI()*(((Inputs!$C$6)/Inputs!$C$50)+Inputs!$C$47*0.173))+0.2*SIN(2*PI()*(((Model_Data!A159)+(Inputs!$C$6))/(0.5*(Inputs!$C$49+Inputs!$C$50))+Inputs!$C$47*0.097)))+0.3*(2*((SIN(((Model_Data!A159)*12.9898+(Inputs!$C$6)*78.233+Inputs!$C$47*37.719))*43758.5453)-INT((SIN(((Model_Data!A159)*12.9898+(Inputs!$C$6)*78.233+Inputs!$C$47*37.719))*43758.5453)))-1)))</f>
        <v>414.03078360213277</v>
      </c>
      <c r="G159" s="9">
        <f>(Inputs!$C$51*(115*EXP(-(((0)-25)^2)/(4.5^2))+70*EXP(-(((0)+38)^2)/(7^2))*(0.55+0.45*SIN(2*PI()*(Model_Data!A159)/45))+24*SIN(2*PI()*(0)/9+(Model_Data!A159)/18)*EXP(-(((0)+5)^2)/(22^2))+18*SIN(2*PI()*(Model_Data!A159)/70))+Inputs!$C$28*EXP(-(((Model_Data!A159)-Inputs!$C$29)^2)/(2*Inputs!$C$31^2))*EXP(-(((0)-Inputs!$C$30)^2)/(2*Inputs!$C$32^2))+-Inputs!$C$33*EXP(-(((((Model_Data!A159)-Inputs!$C$34)^2)+(((0)-Inputs!$C$35)^2))/(2*Inputs!$C$36^2)))+Inputs!$C$37*(0.55*SIN(2*PI()*(Model_Data!A159)/Inputs!$C$39)+0.35*COS(2*PI()*(0)/Inputs!$C$40)+0.2*SIN(2*PI()*((Model_Data!A159)+(0))/(0.5*(Inputs!$C$39+Inputs!$C$40))))+Inputs!$C$38*SIN(2*PI()*(Model_Data!A159)/Inputs!$C$39)*SIN(2*PI()*(0)/Inputs!$C$40)+-Inputs!$C$41*EXP(-(((0)-Inputs!$C$43)^2)/(2*Inputs!$C$44^2))*EXP(-(((Model_Data!A159)-Inputs!$C$42)^2)/(2*Inputs!$C$45^2))+Inputs!$C$48*(0.7*(0.45*SIN(2*PI()*(((Model_Data!A159)/Inputs!$C$49)+Inputs!$C$47*0.137))+0.35*COS(2*PI()*(((0)/Inputs!$C$50)+Inputs!$C$47*0.173))+0.2*SIN(2*PI()*(((Model_Data!A159)+(0))/(0.5*(Inputs!$C$49+Inputs!$C$50))+Inputs!$C$47*0.097)))+0.3*(2*((SIN(((Model_Data!A159)*12.9898+(0)*78.233+Inputs!$C$47*37.719))*43758.5453)-INT((SIN(((Model_Data!A159)*12.9898+(0)*78.233+Inputs!$C$47*37.719))*43758.5453)))-1)))</f>
        <v>84.15381309689964</v>
      </c>
      <c r="H159" s="10"/>
      <c r="I159" s="9">
        <f>Model_Data!A159</f>
        <v>18.5</v>
      </c>
      <c r="J159" s="9">
        <f>(Inputs!$C$51*(115*EXP(-(((Inputs!$C$6)-25)^2)/(4.5^2))+70*EXP(-(((Inputs!$C$6)+38)^2)/(7^2))*(0.55+0.45*SIN(2*PI()*(Model_Data!A159)/45))+24*SIN(2*PI()*(Inputs!$C$6)/9+(Model_Data!A159)/18)*EXP(-(((Inputs!$C$6)+5)^2)/(22^2))+18*SIN(2*PI()*(Model_Data!A159)/70))+Inputs!$C$28*EXP(-(((Model_Data!A159)-Inputs!$C$29)^2)/(2*Inputs!$C$31^2))*EXP(-(((Inputs!$C$6)-Inputs!$C$30)^2)/(2*Inputs!$C$32^2))+-Inputs!$C$33*EXP(-(((((Model_Data!A159)-Inputs!$C$34)^2)+(((Inputs!$C$6)-Inputs!$C$35)^2))/(2*Inputs!$C$36^2)))+Inputs!$C$37*(0.55*SIN(2*PI()*(Model_Data!A159)/Inputs!$C$39)+0.35*COS(2*PI()*(Inputs!$C$6)/Inputs!$C$40)+0.2*SIN(2*PI()*((Model_Data!A159)+(Inputs!$C$6))/(0.5*(Inputs!$C$39+Inputs!$C$40))))+Inputs!$C$38*SIN(2*PI()*(Model_Data!A159)/Inputs!$C$39)*SIN(2*PI()*(Inputs!$C$6)/Inputs!$C$40)+-Inputs!$C$41*EXP(-(((Inputs!$C$6)-Inputs!$C$43)^2)/(2*Inputs!$C$44^2))*EXP(-(((Model_Data!A159)-Inputs!$C$42)^2)/(2*Inputs!$C$45^2))+Inputs!$C$48*(0.7*(0.45*SIN(2*PI()*(((Model_Data!A159)/Inputs!$C$49)+Inputs!$C$47*0.137))+0.35*COS(2*PI()*(((Inputs!$C$6)/Inputs!$C$50)+Inputs!$C$47*0.173))+0.2*SIN(2*PI()*(((Model_Data!A159)+(Inputs!$C$6))/(0.5*(Inputs!$C$49+Inputs!$C$50))+Inputs!$C$47*0.097)))+0.3*(2*((SIN(((Model_Data!A159)*12.9898+(Inputs!$C$6)*78.233+Inputs!$C$47*37.719))*43758.5453)-INT((SIN(((Model_Data!A159)*12.9898+(Inputs!$C$6)*78.233+Inputs!$C$47*37.719))*43758.5453)))-1)))</f>
        <v>414.03078360213277</v>
      </c>
      <c r="K159" s="9">
        <f>-((((SQRT((Model_Data!A159)^2+Inputs!$C$6^2+((Model_Data!B159)-((Inputs!$C$51*(115*EXP(-(((Inputs!$C$6)-25)^2)/(4.5^2))+70*EXP(-(((Inputs!$C$6)+38)^2)/(7^2))*(0.55+0.45*SIN(2*PI()*(Model_Data!A159)/45))+24*SIN(2*PI()*(Inputs!$C$6)/9+(Model_Data!A159)/18)*EXP(-(((Inputs!$C$6)+5)^2)/(22^2))+18*SIN(2*PI()*(Model_Data!A159)/70))+Inputs!$C$28*EXP(-(((Model_Data!A159)-Inputs!$C$29)^2)/(2*Inputs!$C$31^2))*EXP(-(((Inputs!$C$6)-Inputs!$C$30)^2)/(2*Inputs!$C$32^2))+-Inputs!$C$33*EXP(-(((((Model_Data!A159)-Inputs!$C$34)^2)+(((Inputs!$C$6)-Inputs!$C$35)^2))/(2*Inputs!$C$36^2)))+Inputs!$C$37*(0.55*SIN(2*PI()*(Model_Data!A159)/Inputs!$C$39)+0.35*COS(2*PI()*(Inputs!$C$6)/Inputs!$C$40)+0.2*SIN(2*PI()*((Model_Data!A159)+(Inputs!$C$6))/(0.5*(Inputs!$C$39+Inputs!$C$40))))+Inputs!$C$38*SIN(2*PI()*(Model_Data!A159)/Inputs!$C$39)*SIN(2*PI()*(Inputs!$C$6)/Inputs!$C$40)+-Inputs!$C$41*EXP(-(((Inputs!$C$6)-Inputs!$C$43)^2)/(2*Inputs!$C$44^2))*EXP(-(((Model_Data!A159)-Inputs!$C$42)^2)/(2*Inputs!$C$45^2))+Inputs!$C$48*(0.7*(0.45*SIN(2*PI()*(((Model_Data!A159)/Inputs!$C$49)+Inputs!$C$47*0.137))+0.35*COS(2*PI()*(((Inputs!$C$6)/Inputs!$C$50)+Inputs!$C$47*0.173))+0.2*SIN(2*PI()*(((Model_Data!A159)+(Inputs!$C$6))/(0.5*(Inputs!$C$49+Inputs!$C$50))+Inputs!$C$47*0.097)))+0.3*(2*((SIN(((Model_Data!A159)*12.9898+(Inputs!$C$6)*78.233+Inputs!$C$47*37.719))*43758.5453)-INT((SIN(((Model_Data!A159)*12.9898+(Inputs!$C$6)*78.233+Inputs!$C$47*37.719))*43758.5453)))-1))))/1000)^2))-(((Model_Data!B159)-((Inputs!$C$51*(115*EXP(-(((0)-25)^2)/(4.5^2))+70*EXP(-(((0)+38)^2)/(7^2))*(0.55+0.45*SIN(2*PI()*(Model_Data!A159)/45))+24*SIN(2*PI()*(0)/9+(Model_Data!A159)/18)*EXP(-(((0)+5)^2)/(22^2))+18*SIN(2*PI()*(Model_Data!A159)/70))+Inputs!$C$28*EXP(-(((Model_Data!A159)-Inputs!$C$29)^2)/(2*Inputs!$C$31^2))*EXP(-(((0)-Inputs!$C$30)^2)/(2*Inputs!$C$32^2))+-Inputs!$C$33*EXP(-(((((Model_Data!A159)-Inputs!$C$34)^2)+(((0)-Inputs!$C$35)^2))/(2*Inputs!$C$36^2)))+Inputs!$C$37*(0.55*SIN(2*PI()*(Model_Data!A159)/Inputs!$C$39)+0.35*COS(2*PI()*(0)/Inputs!$C$40)+0.2*SIN(2*PI()*((Model_Data!A159)+(0))/(0.5*(Inputs!$C$39+Inputs!$C$40))))+Inputs!$C$38*SIN(2*PI()*(Model_Data!A159)/Inputs!$C$39)*SIN(2*PI()*(0)/Inputs!$C$40)+-Inputs!$C$41*EXP(-(((0)-Inputs!$C$43)^2)/(2*Inputs!$C$44^2))*EXP(-(((Model_Data!A159)-Inputs!$C$42)^2)/(2*Inputs!$C$45^2))+Inputs!$C$48*(0.7*(0.45*SIN(2*PI()*(((Model_Data!A159)/Inputs!$C$49)+Inputs!$C$47*0.137))+0.35*COS(2*PI()*(((0)/Inputs!$C$50)+Inputs!$C$47*0.173))+0.2*SIN(2*PI()*(((Model_Data!A159)+(0))/(0.5*(Inputs!$C$49+Inputs!$C$50))+Inputs!$C$47*0.097)))+0.3*(2*((SIN(((Model_Data!A159)*12.9898+(0)*78.233+Inputs!$C$47*37.719))*43758.5453)-INT((SIN(((Model_Data!A159)*12.9898+(0)*78.233+Inputs!$C$47*37.719))*43758.5453)))-1))))/1000)))*1000/Inputs!$C$12)-Model_Data!F159)</f>
        <v>184.6248409426442</v>
      </c>
      <c r="L159" s="10"/>
      <c r="M159" s="9">
        <f>Model_Data!A159</f>
        <v>18.5</v>
      </c>
      <c r="N159" s="9">
        <f>Model_Data!P159</f>
        <v>-139.28790511207666</v>
      </c>
      <c r="O159" s="9">
        <f t="shared" si="4"/>
        <v>-120.26712529168435</v>
      </c>
      <c r="P159" s="9">
        <f>Model_Data!Q159</f>
        <v>-20.914099866678182</v>
      </c>
      <c r="Q159" s="9">
        <f t="shared" si="5"/>
        <v>-18.058126920673327</v>
      </c>
      <c r="R159" s="10"/>
      <c r="S159" s="9">
        <f>Model_Data!A159</f>
        <v>18.5</v>
      </c>
      <c r="T159" s="9">
        <f>Model_Data!B159-Inputs!$C$5</f>
        <v>0.38027777777779193</v>
      </c>
      <c r="U159" s="10"/>
      <c r="V159" s="9">
        <f>Model_Data!A159</f>
        <v>18.5</v>
      </c>
      <c r="W159" s="9">
        <f>((SQRT((Model_Data!A159)^2+Inputs!$C$6^2+Inputs!$C$5^2)-Inputs!$C$5)*1000/Inputs!$C$12)</f>
        <v>678.22511928547397</v>
      </c>
      <c r="X159" s="9">
        <f>Model_Data!F159</f>
        <v>677.58288242198512</v>
      </c>
      <c r="Y159" s="10"/>
      <c r="Z159" s="9">
        <f>Model_Data!A159</f>
        <v>18.5</v>
      </c>
      <c r="AA159" s="9">
        <f>SQRT((Model_Data!A159)^2+Inputs!$C$6^2+((Model_Data!B159)-((Inputs!$C$51*(115*EXP(-(((Inputs!$C$6)-25)^2)/(4.5^2))+70*EXP(-(((Inputs!$C$6)+38)^2)/(7^2))*(0.55+0.45*SIN(2*PI()*(Model_Data!A159)/45))+24*SIN(2*PI()*(Inputs!$C$6)/9+(Model_Data!A159)/18)*EXP(-(((Inputs!$C$6)+5)^2)/(22^2))+18*SIN(2*PI()*(Model_Data!A159)/70))+Inputs!$C$28*EXP(-(((Model_Data!A159)-Inputs!$C$29)^2)/(2*Inputs!$C$31^2))*EXP(-(((Inputs!$C$6)-Inputs!$C$30)^2)/(2*Inputs!$C$32^2))+-Inputs!$C$33*EXP(-(((((Model_Data!A159)-Inputs!$C$34)^2)+(((Inputs!$C$6)-Inputs!$C$35)^2))/(2*Inputs!$C$36^2)))+Inputs!$C$37*(0.55*SIN(2*PI()*(Model_Data!A159)/Inputs!$C$39)+0.35*COS(2*PI()*(Inputs!$C$6)/Inputs!$C$40)+0.2*SIN(2*PI()*((Model_Data!A159)+(Inputs!$C$6))/(0.5*(Inputs!$C$39+Inputs!$C$40))))+Inputs!$C$38*SIN(2*PI()*(Model_Data!A159)/Inputs!$C$39)*SIN(2*PI()*(Inputs!$C$6)/Inputs!$C$40)+-Inputs!$C$41*EXP(-(((Inputs!$C$6)-Inputs!$C$43)^2)/(2*Inputs!$C$44^2))*EXP(-(((Model_Data!A159)-Inputs!$C$42)^2)/(2*Inputs!$C$45^2))+Inputs!$C$48*(0.7*(0.45*SIN(2*PI()*(((Model_Data!A159)/Inputs!$C$49)+Inputs!$C$47*0.137))+0.35*COS(2*PI()*(((Inputs!$C$6)/Inputs!$C$50)+Inputs!$C$47*0.173))+0.2*SIN(2*PI()*(((Model_Data!A159)+(Inputs!$C$6))/(0.5*(Inputs!$C$49+Inputs!$C$50))+Inputs!$C$47*0.097)))+0.3*(2*((SIN(((Model_Data!A159)*12.9898+(Inputs!$C$6)*78.233+Inputs!$C$47*37.719))*43758.5453)-INT((SIN(((Model_Data!A159)*12.9898+(Inputs!$C$6)*78.233+Inputs!$C$47*37.719))*43758.5453)))-1))))/1000)^2)</f>
        <v>401.1735892785141</v>
      </c>
      <c r="AB159" s="9">
        <f>1000*(AA160-AA158)/(Z160-Z158)*Inputs!$C$11</f>
        <v>300.66781322921088</v>
      </c>
      <c r="AC159" s="9">
        <f>-2*AB159/Inputs!$C$13</f>
        <v>-120.26712529168435</v>
      </c>
      <c r="AD159" s="9">
        <f>-2*AB159/Inputs!$C$14</f>
        <v>-18.058126920673327</v>
      </c>
    </row>
    <row r="160" spans="1:30">
      <c r="A160" s="9">
        <f>Model_Data!A160</f>
        <v>19</v>
      </c>
      <c r="B160" s="9">
        <f>((SQRT((Model_Data!A160)^2+Inputs!$C$6^2+Inputs!$C$5^2)-Inputs!$C$5)*1000/Inputs!$C$12)</f>
        <v>691.35225167970475</v>
      </c>
      <c r="C160" s="9">
        <f>Model_Data!F160</f>
        <v>690.66179452298343</v>
      </c>
      <c r="D160" s="9">
        <f>(((SQRT((Model_Data!A160)^2+Inputs!$C$6^2+((Model_Data!B160)-((Inputs!$C$51*(115*EXP(-(((Inputs!$C$6)-25)^2)/(4.5^2))+70*EXP(-(((Inputs!$C$6)+38)^2)/(7^2))*(0.55+0.45*SIN(2*PI()*(Model_Data!A160)/45))+24*SIN(2*PI()*(Inputs!$C$6)/9+(Model_Data!A160)/18)*EXP(-(((Inputs!$C$6)+5)^2)/(22^2))+18*SIN(2*PI()*(Model_Data!A160)/70))+Inputs!$C$28*EXP(-(((Model_Data!A160)-Inputs!$C$29)^2)/(2*Inputs!$C$31^2))*EXP(-(((Inputs!$C$6)-Inputs!$C$30)^2)/(2*Inputs!$C$32^2))+-Inputs!$C$33*EXP(-(((((Model_Data!A160)-Inputs!$C$34)^2)+(((Inputs!$C$6)-Inputs!$C$35)^2))/(2*Inputs!$C$36^2)))+Inputs!$C$37*(0.55*SIN(2*PI()*(Model_Data!A160)/Inputs!$C$39)+0.35*COS(2*PI()*(Inputs!$C$6)/Inputs!$C$40)+0.2*SIN(2*PI()*((Model_Data!A160)+(Inputs!$C$6))/(0.5*(Inputs!$C$39+Inputs!$C$40))))+Inputs!$C$38*SIN(2*PI()*(Model_Data!A160)/Inputs!$C$39)*SIN(2*PI()*(Inputs!$C$6)/Inputs!$C$40)+-Inputs!$C$41*EXP(-(((Inputs!$C$6)-Inputs!$C$43)^2)/(2*Inputs!$C$44^2))*EXP(-(((Model_Data!A160)-Inputs!$C$42)^2)/(2*Inputs!$C$45^2))+Inputs!$C$48*(0.7*(0.45*SIN(2*PI()*(((Model_Data!A160)/Inputs!$C$49)+Inputs!$C$47*0.137))+0.35*COS(2*PI()*(((Inputs!$C$6)/Inputs!$C$50)+Inputs!$C$47*0.173))+0.2*SIN(2*PI()*(((Model_Data!A160)+(Inputs!$C$6))/(0.5*(Inputs!$C$49+Inputs!$C$50))+Inputs!$C$47*0.097)))+0.3*(2*((SIN(((Model_Data!A160)*12.9898+(Inputs!$C$6)*78.233+Inputs!$C$47*37.719))*43758.5453)-INT((SIN(((Model_Data!A160)*12.9898+(Inputs!$C$6)*78.233+Inputs!$C$47*37.719))*43758.5453)))-1))))/1000)^2))-(((Model_Data!B160)-((Inputs!$C$51*(115*EXP(-(((0)-25)^2)/(4.5^2))+70*EXP(-(((0)+38)^2)/(7^2))*(0.55+0.45*SIN(2*PI()*(Model_Data!A160)/45))+24*SIN(2*PI()*(0)/9+(Model_Data!A160)/18)*EXP(-(((0)+5)^2)/(22^2))+18*SIN(2*PI()*(Model_Data!A160)/70))+Inputs!$C$28*EXP(-(((Model_Data!A160)-Inputs!$C$29)^2)/(2*Inputs!$C$31^2))*EXP(-(((0)-Inputs!$C$30)^2)/(2*Inputs!$C$32^2))+-Inputs!$C$33*EXP(-(((((Model_Data!A160)-Inputs!$C$34)^2)+(((0)-Inputs!$C$35)^2))/(2*Inputs!$C$36^2)))+Inputs!$C$37*(0.55*SIN(2*PI()*(Model_Data!A160)/Inputs!$C$39)+0.35*COS(2*PI()*(0)/Inputs!$C$40)+0.2*SIN(2*PI()*((Model_Data!A160)+(0))/(0.5*(Inputs!$C$39+Inputs!$C$40))))+Inputs!$C$38*SIN(2*PI()*(Model_Data!A160)/Inputs!$C$39)*SIN(2*PI()*(0)/Inputs!$C$40)+-Inputs!$C$41*EXP(-(((0)-Inputs!$C$43)^2)/(2*Inputs!$C$44^2))*EXP(-(((Model_Data!A160)-Inputs!$C$42)^2)/(2*Inputs!$C$45^2))+Inputs!$C$48*(0.7*(0.45*SIN(2*PI()*(((Model_Data!A160)/Inputs!$C$49)+Inputs!$C$47*0.137))+0.35*COS(2*PI()*(((0)/Inputs!$C$50)+Inputs!$C$47*0.173))+0.2*SIN(2*PI()*(((Model_Data!A160)+(0))/(0.5*(Inputs!$C$49+Inputs!$C$50))+Inputs!$C$47*0.097)))+0.3*(2*((SIN(((Model_Data!A160)*12.9898+(0)*78.233+Inputs!$C$47*37.719))*43758.5453)-INT((SIN(((Model_Data!A160)*12.9898+(0)*78.233+Inputs!$C$47*37.719))*43758.5453)))-1))))/1000)))*1000/Inputs!$C$12)</f>
        <v>499.52218551867787</v>
      </c>
      <c r="E160" s="9">
        <f>Model_Data!A160</f>
        <v>19</v>
      </c>
      <c r="F160" s="9">
        <f>(Inputs!$C$51*(115*EXP(-(((Inputs!$C$6)-25)^2)/(4.5^2))+70*EXP(-(((Inputs!$C$6)+38)^2)/(7^2))*(0.55+0.45*SIN(2*PI()*(Model_Data!A160)/45))+24*SIN(2*PI()*(Inputs!$C$6)/9+(Model_Data!A160)/18)*EXP(-(((Inputs!$C$6)+5)^2)/(22^2))+18*SIN(2*PI()*(Model_Data!A160)/70))+Inputs!$C$28*EXP(-(((Model_Data!A160)-Inputs!$C$29)^2)/(2*Inputs!$C$31^2))*EXP(-(((Inputs!$C$6)-Inputs!$C$30)^2)/(2*Inputs!$C$32^2))+-Inputs!$C$33*EXP(-(((((Model_Data!A160)-Inputs!$C$34)^2)+(((Inputs!$C$6)-Inputs!$C$35)^2))/(2*Inputs!$C$36^2)))+Inputs!$C$37*(0.55*SIN(2*PI()*(Model_Data!A160)/Inputs!$C$39)+0.35*COS(2*PI()*(Inputs!$C$6)/Inputs!$C$40)+0.2*SIN(2*PI()*((Model_Data!A160)+(Inputs!$C$6))/(0.5*(Inputs!$C$39+Inputs!$C$40))))+Inputs!$C$38*SIN(2*PI()*(Model_Data!A160)/Inputs!$C$39)*SIN(2*PI()*(Inputs!$C$6)/Inputs!$C$40)+-Inputs!$C$41*EXP(-(((Inputs!$C$6)-Inputs!$C$43)^2)/(2*Inputs!$C$44^2))*EXP(-(((Model_Data!A160)-Inputs!$C$42)^2)/(2*Inputs!$C$45^2))+Inputs!$C$48*(0.7*(0.45*SIN(2*PI()*(((Model_Data!A160)/Inputs!$C$49)+Inputs!$C$47*0.137))+0.35*COS(2*PI()*(((Inputs!$C$6)/Inputs!$C$50)+Inputs!$C$47*0.173))+0.2*SIN(2*PI()*(((Model_Data!A160)+(Inputs!$C$6))/(0.5*(Inputs!$C$49+Inputs!$C$50))+Inputs!$C$47*0.097)))+0.3*(2*((SIN(((Model_Data!A160)*12.9898+(Inputs!$C$6)*78.233+Inputs!$C$47*37.719))*43758.5453)-INT((SIN(((Model_Data!A160)*12.9898+(Inputs!$C$6)*78.233+Inputs!$C$47*37.719))*43758.5453)))-1)))</f>
        <v>429.33926339108206</v>
      </c>
      <c r="G160" s="9">
        <f>(Inputs!$C$51*(115*EXP(-(((0)-25)^2)/(4.5^2))+70*EXP(-(((0)+38)^2)/(7^2))*(0.55+0.45*SIN(2*PI()*(Model_Data!A160)/45))+24*SIN(2*PI()*(0)/9+(Model_Data!A160)/18)*EXP(-(((0)+5)^2)/(22^2))+18*SIN(2*PI()*(Model_Data!A160)/70))+Inputs!$C$28*EXP(-(((Model_Data!A160)-Inputs!$C$29)^2)/(2*Inputs!$C$31^2))*EXP(-(((0)-Inputs!$C$30)^2)/(2*Inputs!$C$32^2))+-Inputs!$C$33*EXP(-(((((Model_Data!A160)-Inputs!$C$34)^2)+(((0)-Inputs!$C$35)^2))/(2*Inputs!$C$36^2)))+Inputs!$C$37*(0.55*SIN(2*PI()*(Model_Data!A160)/Inputs!$C$39)+0.35*COS(2*PI()*(0)/Inputs!$C$40)+0.2*SIN(2*PI()*((Model_Data!A160)+(0))/(0.5*(Inputs!$C$39+Inputs!$C$40))))+Inputs!$C$38*SIN(2*PI()*(Model_Data!A160)/Inputs!$C$39)*SIN(2*PI()*(0)/Inputs!$C$40)+-Inputs!$C$41*EXP(-(((0)-Inputs!$C$43)^2)/(2*Inputs!$C$44^2))*EXP(-(((Model_Data!A160)-Inputs!$C$42)^2)/(2*Inputs!$C$45^2))+Inputs!$C$48*(0.7*(0.45*SIN(2*PI()*(((Model_Data!A160)/Inputs!$C$49)+Inputs!$C$47*0.137))+0.35*COS(2*PI()*(((0)/Inputs!$C$50)+Inputs!$C$47*0.173))+0.2*SIN(2*PI()*(((Model_Data!A160)+(0))/(0.5*(Inputs!$C$49+Inputs!$C$50))+Inputs!$C$47*0.097)))+0.3*(2*((SIN(((Model_Data!A160)*12.9898+(0)*78.233+Inputs!$C$47*37.719))*43758.5453)-INT((SIN(((Model_Data!A160)*12.9898+(0)*78.233+Inputs!$C$47*37.719))*43758.5453)))-1)))</f>
        <v>87.795161496026481</v>
      </c>
      <c r="H160" s="10"/>
      <c r="I160" s="9">
        <f>Model_Data!A160</f>
        <v>19</v>
      </c>
      <c r="J160" s="9">
        <f>(Inputs!$C$51*(115*EXP(-(((Inputs!$C$6)-25)^2)/(4.5^2))+70*EXP(-(((Inputs!$C$6)+38)^2)/(7^2))*(0.55+0.45*SIN(2*PI()*(Model_Data!A160)/45))+24*SIN(2*PI()*(Inputs!$C$6)/9+(Model_Data!A160)/18)*EXP(-(((Inputs!$C$6)+5)^2)/(22^2))+18*SIN(2*PI()*(Model_Data!A160)/70))+Inputs!$C$28*EXP(-(((Model_Data!A160)-Inputs!$C$29)^2)/(2*Inputs!$C$31^2))*EXP(-(((Inputs!$C$6)-Inputs!$C$30)^2)/(2*Inputs!$C$32^2))+-Inputs!$C$33*EXP(-(((((Model_Data!A160)-Inputs!$C$34)^2)+(((Inputs!$C$6)-Inputs!$C$35)^2))/(2*Inputs!$C$36^2)))+Inputs!$C$37*(0.55*SIN(2*PI()*(Model_Data!A160)/Inputs!$C$39)+0.35*COS(2*PI()*(Inputs!$C$6)/Inputs!$C$40)+0.2*SIN(2*PI()*((Model_Data!A160)+(Inputs!$C$6))/(0.5*(Inputs!$C$39+Inputs!$C$40))))+Inputs!$C$38*SIN(2*PI()*(Model_Data!A160)/Inputs!$C$39)*SIN(2*PI()*(Inputs!$C$6)/Inputs!$C$40)+-Inputs!$C$41*EXP(-(((Inputs!$C$6)-Inputs!$C$43)^2)/(2*Inputs!$C$44^2))*EXP(-(((Model_Data!A160)-Inputs!$C$42)^2)/(2*Inputs!$C$45^2))+Inputs!$C$48*(0.7*(0.45*SIN(2*PI()*(((Model_Data!A160)/Inputs!$C$49)+Inputs!$C$47*0.137))+0.35*COS(2*PI()*(((Inputs!$C$6)/Inputs!$C$50)+Inputs!$C$47*0.173))+0.2*SIN(2*PI()*(((Model_Data!A160)+(Inputs!$C$6))/(0.5*(Inputs!$C$49+Inputs!$C$50))+Inputs!$C$47*0.097)))+0.3*(2*((SIN(((Model_Data!A160)*12.9898+(Inputs!$C$6)*78.233+Inputs!$C$47*37.719))*43758.5453)-INT((SIN(((Model_Data!A160)*12.9898+(Inputs!$C$6)*78.233+Inputs!$C$47*37.719))*43758.5453)))-1)))</f>
        <v>429.33926339108206</v>
      </c>
      <c r="K160" s="9">
        <f>-((((SQRT((Model_Data!A160)^2+Inputs!$C$6^2+((Model_Data!B160)-((Inputs!$C$51*(115*EXP(-(((Inputs!$C$6)-25)^2)/(4.5^2))+70*EXP(-(((Inputs!$C$6)+38)^2)/(7^2))*(0.55+0.45*SIN(2*PI()*(Model_Data!A160)/45))+24*SIN(2*PI()*(Inputs!$C$6)/9+(Model_Data!A160)/18)*EXP(-(((Inputs!$C$6)+5)^2)/(22^2))+18*SIN(2*PI()*(Model_Data!A160)/70))+Inputs!$C$28*EXP(-(((Model_Data!A160)-Inputs!$C$29)^2)/(2*Inputs!$C$31^2))*EXP(-(((Inputs!$C$6)-Inputs!$C$30)^2)/(2*Inputs!$C$32^2))+-Inputs!$C$33*EXP(-(((((Model_Data!A160)-Inputs!$C$34)^2)+(((Inputs!$C$6)-Inputs!$C$35)^2))/(2*Inputs!$C$36^2)))+Inputs!$C$37*(0.55*SIN(2*PI()*(Model_Data!A160)/Inputs!$C$39)+0.35*COS(2*PI()*(Inputs!$C$6)/Inputs!$C$40)+0.2*SIN(2*PI()*((Model_Data!A160)+(Inputs!$C$6))/(0.5*(Inputs!$C$39+Inputs!$C$40))))+Inputs!$C$38*SIN(2*PI()*(Model_Data!A160)/Inputs!$C$39)*SIN(2*PI()*(Inputs!$C$6)/Inputs!$C$40)+-Inputs!$C$41*EXP(-(((Inputs!$C$6)-Inputs!$C$43)^2)/(2*Inputs!$C$44^2))*EXP(-(((Model_Data!A160)-Inputs!$C$42)^2)/(2*Inputs!$C$45^2))+Inputs!$C$48*(0.7*(0.45*SIN(2*PI()*(((Model_Data!A160)/Inputs!$C$49)+Inputs!$C$47*0.137))+0.35*COS(2*PI()*(((Inputs!$C$6)/Inputs!$C$50)+Inputs!$C$47*0.173))+0.2*SIN(2*PI()*(((Model_Data!A160)+(Inputs!$C$6))/(0.5*(Inputs!$C$49+Inputs!$C$50))+Inputs!$C$47*0.097)))+0.3*(2*((SIN(((Model_Data!A160)*12.9898+(Inputs!$C$6)*78.233+Inputs!$C$47*37.719))*43758.5453)-INT((SIN(((Model_Data!A160)*12.9898+(Inputs!$C$6)*78.233+Inputs!$C$47*37.719))*43758.5453)))-1))))/1000)^2))-(((Model_Data!B160)-((Inputs!$C$51*(115*EXP(-(((0)-25)^2)/(4.5^2))+70*EXP(-(((0)+38)^2)/(7^2))*(0.55+0.45*SIN(2*PI()*(Model_Data!A160)/45))+24*SIN(2*PI()*(0)/9+(Model_Data!A160)/18)*EXP(-(((0)+5)^2)/(22^2))+18*SIN(2*PI()*(Model_Data!A160)/70))+Inputs!$C$28*EXP(-(((Model_Data!A160)-Inputs!$C$29)^2)/(2*Inputs!$C$31^2))*EXP(-(((0)-Inputs!$C$30)^2)/(2*Inputs!$C$32^2))+-Inputs!$C$33*EXP(-(((((Model_Data!A160)-Inputs!$C$34)^2)+(((0)-Inputs!$C$35)^2))/(2*Inputs!$C$36^2)))+Inputs!$C$37*(0.55*SIN(2*PI()*(Model_Data!A160)/Inputs!$C$39)+0.35*COS(2*PI()*(0)/Inputs!$C$40)+0.2*SIN(2*PI()*((Model_Data!A160)+(0))/(0.5*(Inputs!$C$39+Inputs!$C$40))))+Inputs!$C$38*SIN(2*PI()*(Model_Data!A160)/Inputs!$C$39)*SIN(2*PI()*(0)/Inputs!$C$40)+-Inputs!$C$41*EXP(-(((0)-Inputs!$C$43)^2)/(2*Inputs!$C$44^2))*EXP(-(((Model_Data!A160)-Inputs!$C$42)^2)/(2*Inputs!$C$45^2))+Inputs!$C$48*(0.7*(0.45*SIN(2*PI()*(((Model_Data!A160)/Inputs!$C$49)+Inputs!$C$47*0.137))+0.35*COS(2*PI()*(((0)/Inputs!$C$50)+Inputs!$C$47*0.173))+0.2*SIN(2*PI()*(((Model_Data!A160)+(0))/(0.5*(Inputs!$C$49+Inputs!$C$50))+Inputs!$C$47*0.097)))+0.3*(2*((SIN(((Model_Data!A160)*12.9898+(0)*78.233+Inputs!$C$47*37.719))*43758.5453)-INT((SIN(((Model_Data!A160)*12.9898+(0)*78.233+Inputs!$C$47*37.719))*43758.5453)))-1))))/1000)))*1000/Inputs!$C$12)-Model_Data!F160)</f>
        <v>191.13960900430556</v>
      </c>
      <c r="L160" s="10"/>
      <c r="M160" s="9">
        <f>Model_Data!A160</f>
        <v>19</v>
      </c>
      <c r="N160" s="9">
        <f>Model_Data!P160</f>
        <v>-143.04023490383426</v>
      </c>
      <c r="O160" s="9">
        <f t="shared" si="4"/>
        <v>-107.01719503695131</v>
      </c>
      <c r="P160" s="9">
        <f>Model_Data!Q160</f>
        <v>-21.477512748323466</v>
      </c>
      <c r="Q160" s="9">
        <f t="shared" si="5"/>
        <v>-16.068647903446145</v>
      </c>
      <c r="R160" s="10"/>
      <c r="S160" s="9">
        <f>Model_Data!A160</f>
        <v>19</v>
      </c>
      <c r="T160" s="9">
        <f>Model_Data!B160-Inputs!$C$5</f>
        <v>0.40111111111110631</v>
      </c>
      <c r="U160" s="10"/>
      <c r="V160" s="9">
        <f>Model_Data!A160</f>
        <v>19</v>
      </c>
      <c r="W160" s="9">
        <f>((SQRT((Model_Data!A160)^2+Inputs!$C$6^2+Inputs!$C$5^2)-Inputs!$C$5)*1000/Inputs!$C$12)</f>
        <v>691.35225167970475</v>
      </c>
      <c r="X160" s="9">
        <f>Model_Data!F160</f>
        <v>690.66179452298343</v>
      </c>
      <c r="Y160" s="10"/>
      <c r="Z160" s="9">
        <f>Model_Data!A160</f>
        <v>19</v>
      </c>
      <c r="AA160" s="9">
        <f>SQRT((Model_Data!A160)^2+Inputs!$C$6^2+((Model_Data!B160)-((Inputs!$C$51*(115*EXP(-(((Inputs!$C$6)-25)^2)/(4.5^2))+70*EXP(-(((Inputs!$C$6)+38)^2)/(7^2))*(0.55+0.45*SIN(2*PI()*(Model_Data!A160)/45))+24*SIN(2*PI()*(Inputs!$C$6)/9+(Model_Data!A160)/18)*EXP(-(((Inputs!$C$6)+5)^2)/(22^2))+18*SIN(2*PI()*(Model_Data!A160)/70))+Inputs!$C$28*EXP(-(((Model_Data!A160)-Inputs!$C$29)^2)/(2*Inputs!$C$31^2))*EXP(-(((Inputs!$C$6)-Inputs!$C$30)^2)/(2*Inputs!$C$32^2))+-Inputs!$C$33*EXP(-(((((Model_Data!A160)-Inputs!$C$34)^2)+(((Inputs!$C$6)-Inputs!$C$35)^2))/(2*Inputs!$C$36^2)))+Inputs!$C$37*(0.55*SIN(2*PI()*(Model_Data!A160)/Inputs!$C$39)+0.35*COS(2*PI()*(Inputs!$C$6)/Inputs!$C$40)+0.2*SIN(2*PI()*((Model_Data!A160)+(Inputs!$C$6))/(0.5*(Inputs!$C$39+Inputs!$C$40))))+Inputs!$C$38*SIN(2*PI()*(Model_Data!A160)/Inputs!$C$39)*SIN(2*PI()*(Inputs!$C$6)/Inputs!$C$40)+-Inputs!$C$41*EXP(-(((Inputs!$C$6)-Inputs!$C$43)^2)/(2*Inputs!$C$44^2))*EXP(-(((Model_Data!A160)-Inputs!$C$42)^2)/(2*Inputs!$C$45^2))+Inputs!$C$48*(0.7*(0.45*SIN(2*PI()*(((Model_Data!A160)/Inputs!$C$49)+Inputs!$C$47*0.137))+0.35*COS(2*PI()*(((Inputs!$C$6)/Inputs!$C$50)+Inputs!$C$47*0.173))+0.2*SIN(2*PI()*(((Model_Data!A160)+(Inputs!$C$6))/(0.5*(Inputs!$C$49+Inputs!$C$50))+Inputs!$C$47*0.097)))+0.3*(2*((SIN(((Model_Data!A160)*12.9898+(Inputs!$C$6)*78.233+Inputs!$C$47*37.719))*43758.5453)-INT((SIN(((Model_Data!A160)*12.9898+(Inputs!$C$6)*78.233+Inputs!$C$47*37.719))*43758.5453)))-1))))/1000)^2)</f>
        <v>401.20246543983831</v>
      </c>
      <c r="AB160" s="9">
        <f>1000*(AA161-AA159)/(Z161-Z159)*Inputs!$C$11</f>
        <v>267.54298759237827</v>
      </c>
      <c r="AC160" s="9">
        <f>-2*AB160/Inputs!$C$13</f>
        <v>-107.01719503695131</v>
      </c>
      <c r="AD160" s="9">
        <f>-2*AB160/Inputs!$C$14</f>
        <v>-16.068647903446145</v>
      </c>
    </row>
    <row r="161" spans="1:30">
      <c r="A161" s="9">
        <f>Model_Data!A161</f>
        <v>19.5</v>
      </c>
      <c r="B161" s="9">
        <f>((SQRT((Model_Data!A161)^2+Inputs!$C$6^2+Inputs!$C$5^2)-Inputs!$C$5)*1000/Inputs!$C$12)</f>
        <v>704.82864565513387</v>
      </c>
      <c r="C161" s="9">
        <f>Model_Data!F161</f>
        <v>704.08727753711707</v>
      </c>
      <c r="D161" s="9">
        <f>(((SQRT((Model_Data!A161)^2+Inputs!$C$6^2+((Model_Data!B161)-((Inputs!$C$51*(115*EXP(-(((Inputs!$C$6)-25)^2)/(4.5^2))+70*EXP(-(((Inputs!$C$6)+38)^2)/(7^2))*(0.55+0.45*SIN(2*PI()*(Model_Data!A161)/45))+24*SIN(2*PI()*(Inputs!$C$6)/9+(Model_Data!A161)/18)*EXP(-(((Inputs!$C$6)+5)^2)/(22^2))+18*SIN(2*PI()*(Model_Data!A161)/70))+Inputs!$C$28*EXP(-(((Model_Data!A161)-Inputs!$C$29)^2)/(2*Inputs!$C$31^2))*EXP(-(((Inputs!$C$6)-Inputs!$C$30)^2)/(2*Inputs!$C$32^2))+-Inputs!$C$33*EXP(-(((((Model_Data!A161)-Inputs!$C$34)^2)+(((Inputs!$C$6)-Inputs!$C$35)^2))/(2*Inputs!$C$36^2)))+Inputs!$C$37*(0.55*SIN(2*PI()*(Model_Data!A161)/Inputs!$C$39)+0.35*COS(2*PI()*(Inputs!$C$6)/Inputs!$C$40)+0.2*SIN(2*PI()*((Model_Data!A161)+(Inputs!$C$6))/(0.5*(Inputs!$C$39+Inputs!$C$40))))+Inputs!$C$38*SIN(2*PI()*(Model_Data!A161)/Inputs!$C$39)*SIN(2*PI()*(Inputs!$C$6)/Inputs!$C$40)+-Inputs!$C$41*EXP(-(((Inputs!$C$6)-Inputs!$C$43)^2)/(2*Inputs!$C$44^2))*EXP(-(((Model_Data!A161)-Inputs!$C$42)^2)/(2*Inputs!$C$45^2))+Inputs!$C$48*(0.7*(0.45*SIN(2*PI()*(((Model_Data!A161)/Inputs!$C$49)+Inputs!$C$47*0.137))+0.35*COS(2*PI()*(((Inputs!$C$6)/Inputs!$C$50)+Inputs!$C$47*0.173))+0.2*SIN(2*PI()*(((Model_Data!A161)+(Inputs!$C$6))/(0.5*(Inputs!$C$49+Inputs!$C$50))+Inputs!$C$47*0.097)))+0.3*(2*((SIN(((Model_Data!A161)*12.9898+(Inputs!$C$6)*78.233+Inputs!$C$47*37.719))*43758.5453)-INT((SIN(((Model_Data!A161)*12.9898+(Inputs!$C$6)*78.233+Inputs!$C$47*37.719))*43758.5453)))-1))))/1000)^2))-(((Model_Data!B161)-((Inputs!$C$51*(115*EXP(-(((0)-25)^2)/(4.5^2))+70*EXP(-(((0)+38)^2)/(7^2))*(0.55+0.45*SIN(2*PI()*(Model_Data!A161)/45))+24*SIN(2*PI()*(0)/9+(Model_Data!A161)/18)*EXP(-(((0)+5)^2)/(22^2))+18*SIN(2*PI()*(Model_Data!A161)/70))+Inputs!$C$28*EXP(-(((Model_Data!A161)-Inputs!$C$29)^2)/(2*Inputs!$C$31^2))*EXP(-(((0)-Inputs!$C$30)^2)/(2*Inputs!$C$32^2))+-Inputs!$C$33*EXP(-(((((Model_Data!A161)-Inputs!$C$34)^2)+(((0)-Inputs!$C$35)^2))/(2*Inputs!$C$36^2)))+Inputs!$C$37*(0.55*SIN(2*PI()*(Model_Data!A161)/Inputs!$C$39)+0.35*COS(2*PI()*(0)/Inputs!$C$40)+0.2*SIN(2*PI()*((Model_Data!A161)+(0))/(0.5*(Inputs!$C$39+Inputs!$C$40))))+Inputs!$C$38*SIN(2*PI()*(Model_Data!A161)/Inputs!$C$39)*SIN(2*PI()*(0)/Inputs!$C$40)+-Inputs!$C$41*EXP(-(((0)-Inputs!$C$43)^2)/(2*Inputs!$C$44^2))*EXP(-(((Model_Data!A161)-Inputs!$C$42)^2)/(2*Inputs!$C$45^2))+Inputs!$C$48*(0.7*(0.45*SIN(2*PI()*(((Model_Data!A161)/Inputs!$C$49)+Inputs!$C$47*0.137))+0.35*COS(2*PI()*(((0)/Inputs!$C$50)+Inputs!$C$47*0.173))+0.2*SIN(2*PI()*(((Model_Data!A161)+(0))/(0.5*(Inputs!$C$49+Inputs!$C$50))+Inputs!$C$47*0.097)))+0.3*(2*((SIN(((Model_Data!A161)*12.9898+(0)*78.233+Inputs!$C$47*37.719))*43758.5453)-INT((SIN(((Model_Data!A161)*12.9898+(0)*78.233+Inputs!$C$47*37.719))*43758.5453)))-1))))/1000)))*1000/Inputs!$C$12)</f>
        <v>504.52854676147064</v>
      </c>
      <c r="E161" s="9">
        <f>Model_Data!A161</f>
        <v>19.5</v>
      </c>
      <c r="F161" s="9">
        <f>(Inputs!$C$51*(115*EXP(-(((Inputs!$C$6)-25)^2)/(4.5^2))+70*EXP(-(((Inputs!$C$6)+38)^2)/(7^2))*(0.55+0.45*SIN(2*PI()*(Model_Data!A161)/45))+24*SIN(2*PI()*(Inputs!$C$6)/9+(Model_Data!A161)/18)*EXP(-(((Inputs!$C$6)+5)^2)/(22^2))+18*SIN(2*PI()*(Model_Data!A161)/70))+Inputs!$C$28*EXP(-(((Model_Data!A161)-Inputs!$C$29)^2)/(2*Inputs!$C$31^2))*EXP(-(((Inputs!$C$6)-Inputs!$C$30)^2)/(2*Inputs!$C$32^2))+-Inputs!$C$33*EXP(-(((((Model_Data!A161)-Inputs!$C$34)^2)+(((Inputs!$C$6)-Inputs!$C$35)^2))/(2*Inputs!$C$36^2)))+Inputs!$C$37*(0.55*SIN(2*PI()*(Model_Data!A161)/Inputs!$C$39)+0.35*COS(2*PI()*(Inputs!$C$6)/Inputs!$C$40)+0.2*SIN(2*PI()*((Model_Data!A161)+(Inputs!$C$6))/(0.5*(Inputs!$C$39+Inputs!$C$40))))+Inputs!$C$38*SIN(2*PI()*(Model_Data!A161)/Inputs!$C$39)*SIN(2*PI()*(Inputs!$C$6)/Inputs!$C$40)+-Inputs!$C$41*EXP(-(((Inputs!$C$6)-Inputs!$C$43)^2)/(2*Inputs!$C$44^2))*EXP(-(((Model_Data!A161)-Inputs!$C$42)^2)/(2*Inputs!$C$45^2))+Inputs!$C$48*(0.7*(0.45*SIN(2*PI()*(((Model_Data!A161)/Inputs!$C$49)+Inputs!$C$47*0.137))+0.35*COS(2*PI()*(((Inputs!$C$6)/Inputs!$C$50)+Inputs!$C$47*0.173))+0.2*SIN(2*PI()*(((Model_Data!A161)+(Inputs!$C$6))/(0.5*(Inputs!$C$49+Inputs!$C$50))+Inputs!$C$47*0.097)))+0.3*(2*((SIN(((Model_Data!A161)*12.9898+(Inputs!$C$6)*78.233+Inputs!$C$47*37.719))*43758.5453)-INT((SIN(((Model_Data!A161)*12.9898+(Inputs!$C$6)*78.233+Inputs!$C$47*37.719))*43758.5453)))-1)))</f>
        <v>436.66425250955575</v>
      </c>
      <c r="G161" s="9">
        <f>(Inputs!$C$51*(115*EXP(-(((0)-25)^2)/(4.5^2))+70*EXP(-(((0)+38)^2)/(7^2))*(0.55+0.45*SIN(2*PI()*(Model_Data!A161)/45))+24*SIN(2*PI()*(0)/9+(Model_Data!A161)/18)*EXP(-(((0)+5)^2)/(22^2))+18*SIN(2*PI()*(Model_Data!A161)/70))+Inputs!$C$28*EXP(-(((Model_Data!A161)-Inputs!$C$29)^2)/(2*Inputs!$C$31^2))*EXP(-(((0)-Inputs!$C$30)^2)/(2*Inputs!$C$32^2))+-Inputs!$C$33*EXP(-(((((Model_Data!A161)-Inputs!$C$34)^2)+(((0)-Inputs!$C$35)^2))/(2*Inputs!$C$36^2)))+Inputs!$C$37*(0.55*SIN(2*PI()*(Model_Data!A161)/Inputs!$C$39)+0.35*COS(2*PI()*(0)/Inputs!$C$40)+0.2*SIN(2*PI()*((Model_Data!A161)+(0))/(0.5*(Inputs!$C$39+Inputs!$C$40))))+Inputs!$C$38*SIN(2*PI()*(Model_Data!A161)/Inputs!$C$39)*SIN(2*PI()*(0)/Inputs!$C$40)+-Inputs!$C$41*EXP(-(((0)-Inputs!$C$43)^2)/(2*Inputs!$C$44^2))*EXP(-(((Model_Data!A161)-Inputs!$C$42)^2)/(2*Inputs!$C$45^2))+Inputs!$C$48*(0.7*(0.45*SIN(2*PI()*(((Model_Data!A161)/Inputs!$C$49)+Inputs!$C$47*0.137))+0.35*COS(2*PI()*(((0)/Inputs!$C$50)+Inputs!$C$47*0.173))+0.2*SIN(2*PI()*(((Model_Data!A161)+(0))/(0.5*(Inputs!$C$49+Inputs!$C$50))+Inputs!$C$47*0.097)))+0.3*(2*((SIN(((Model_Data!A161)*12.9898+(0)*78.233+Inputs!$C$47*37.719))*43758.5453)-INT((SIN(((Model_Data!A161)*12.9898+(0)*78.233+Inputs!$C$47*37.719))*43758.5453)))-1)))</f>
        <v>80.085787823255487</v>
      </c>
      <c r="H161" s="10"/>
      <c r="I161" s="9">
        <f>Model_Data!A161</f>
        <v>19.5</v>
      </c>
      <c r="J161" s="9">
        <f>(Inputs!$C$51*(115*EXP(-(((Inputs!$C$6)-25)^2)/(4.5^2))+70*EXP(-(((Inputs!$C$6)+38)^2)/(7^2))*(0.55+0.45*SIN(2*PI()*(Model_Data!A161)/45))+24*SIN(2*PI()*(Inputs!$C$6)/9+(Model_Data!A161)/18)*EXP(-(((Inputs!$C$6)+5)^2)/(22^2))+18*SIN(2*PI()*(Model_Data!A161)/70))+Inputs!$C$28*EXP(-(((Model_Data!A161)-Inputs!$C$29)^2)/(2*Inputs!$C$31^2))*EXP(-(((Inputs!$C$6)-Inputs!$C$30)^2)/(2*Inputs!$C$32^2))+-Inputs!$C$33*EXP(-(((((Model_Data!A161)-Inputs!$C$34)^2)+(((Inputs!$C$6)-Inputs!$C$35)^2))/(2*Inputs!$C$36^2)))+Inputs!$C$37*(0.55*SIN(2*PI()*(Model_Data!A161)/Inputs!$C$39)+0.35*COS(2*PI()*(Inputs!$C$6)/Inputs!$C$40)+0.2*SIN(2*PI()*((Model_Data!A161)+(Inputs!$C$6))/(0.5*(Inputs!$C$39+Inputs!$C$40))))+Inputs!$C$38*SIN(2*PI()*(Model_Data!A161)/Inputs!$C$39)*SIN(2*PI()*(Inputs!$C$6)/Inputs!$C$40)+-Inputs!$C$41*EXP(-(((Inputs!$C$6)-Inputs!$C$43)^2)/(2*Inputs!$C$44^2))*EXP(-(((Model_Data!A161)-Inputs!$C$42)^2)/(2*Inputs!$C$45^2))+Inputs!$C$48*(0.7*(0.45*SIN(2*PI()*(((Model_Data!A161)/Inputs!$C$49)+Inputs!$C$47*0.137))+0.35*COS(2*PI()*(((Inputs!$C$6)/Inputs!$C$50)+Inputs!$C$47*0.173))+0.2*SIN(2*PI()*(((Model_Data!A161)+(Inputs!$C$6))/(0.5*(Inputs!$C$49+Inputs!$C$50))+Inputs!$C$47*0.097)))+0.3*(2*((SIN(((Model_Data!A161)*12.9898+(Inputs!$C$6)*78.233+Inputs!$C$47*37.719))*43758.5453)-INT((SIN(((Model_Data!A161)*12.9898+(Inputs!$C$6)*78.233+Inputs!$C$47*37.719))*43758.5453)))-1)))</f>
        <v>436.66425250955575</v>
      </c>
      <c r="K161" s="9">
        <f>-((((SQRT((Model_Data!A161)^2+Inputs!$C$6^2+((Model_Data!B161)-((Inputs!$C$51*(115*EXP(-(((Inputs!$C$6)-25)^2)/(4.5^2))+70*EXP(-(((Inputs!$C$6)+38)^2)/(7^2))*(0.55+0.45*SIN(2*PI()*(Model_Data!A161)/45))+24*SIN(2*PI()*(Inputs!$C$6)/9+(Model_Data!A161)/18)*EXP(-(((Inputs!$C$6)+5)^2)/(22^2))+18*SIN(2*PI()*(Model_Data!A161)/70))+Inputs!$C$28*EXP(-(((Model_Data!A161)-Inputs!$C$29)^2)/(2*Inputs!$C$31^2))*EXP(-(((Inputs!$C$6)-Inputs!$C$30)^2)/(2*Inputs!$C$32^2))+-Inputs!$C$33*EXP(-(((((Model_Data!A161)-Inputs!$C$34)^2)+(((Inputs!$C$6)-Inputs!$C$35)^2))/(2*Inputs!$C$36^2)))+Inputs!$C$37*(0.55*SIN(2*PI()*(Model_Data!A161)/Inputs!$C$39)+0.35*COS(2*PI()*(Inputs!$C$6)/Inputs!$C$40)+0.2*SIN(2*PI()*((Model_Data!A161)+(Inputs!$C$6))/(0.5*(Inputs!$C$39+Inputs!$C$40))))+Inputs!$C$38*SIN(2*PI()*(Model_Data!A161)/Inputs!$C$39)*SIN(2*PI()*(Inputs!$C$6)/Inputs!$C$40)+-Inputs!$C$41*EXP(-(((Inputs!$C$6)-Inputs!$C$43)^2)/(2*Inputs!$C$44^2))*EXP(-(((Model_Data!A161)-Inputs!$C$42)^2)/(2*Inputs!$C$45^2))+Inputs!$C$48*(0.7*(0.45*SIN(2*PI()*(((Model_Data!A161)/Inputs!$C$49)+Inputs!$C$47*0.137))+0.35*COS(2*PI()*(((Inputs!$C$6)/Inputs!$C$50)+Inputs!$C$47*0.173))+0.2*SIN(2*PI()*(((Model_Data!A161)+(Inputs!$C$6))/(0.5*(Inputs!$C$49+Inputs!$C$50))+Inputs!$C$47*0.097)))+0.3*(2*((SIN(((Model_Data!A161)*12.9898+(Inputs!$C$6)*78.233+Inputs!$C$47*37.719))*43758.5453)-INT((SIN(((Model_Data!A161)*12.9898+(Inputs!$C$6)*78.233+Inputs!$C$47*37.719))*43758.5453)))-1))))/1000)^2))-(((Model_Data!B161)-((Inputs!$C$51*(115*EXP(-(((0)-25)^2)/(4.5^2))+70*EXP(-(((0)+38)^2)/(7^2))*(0.55+0.45*SIN(2*PI()*(Model_Data!A161)/45))+24*SIN(2*PI()*(0)/9+(Model_Data!A161)/18)*EXP(-(((0)+5)^2)/(22^2))+18*SIN(2*PI()*(Model_Data!A161)/70))+Inputs!$C$28*EXP(-(((Model_Data!A161)-Inputs!$C$29)^2)/(2*Inputs!$C$31^2))*EXP(-(((0)-Inputs!$C$30)^2)/(2*Inputs!$C$32^2))+-Inputs!$C$33*EXP(-(((((Model_Data!A161)-Inputs!$C$34)^2)+(((0)-Inputs!$C$35)^2))/(2*Inputs!$C$36^2)))+Inputs!$C$37*(0.55*SIN(2*PI()*(Model_Data!A161)/Inputs!$C$39)+0.35*COS(2*PI()*(0)/Inputs!$C$40)+0.2*SIN(2*PI()*((Model_Data!A161)+(0))/(0.5*(Inputs!$C$39+Inputs!$C$40))))+Inputs!$C$38*SIN(2*PI()*(Model_Data!A161)/Inputs!$C$39)*SIN(2*PI()*(0)/Inputs!$C$40)+-Inputs!$C$41*EXP(-(((0)-Inputs!$C$43)^2)/(2*Inputs!$C$44^2))*EXP(-(((Model_Data!A161)-Inputs!$C$42)^2)/(2*Inputs!$C$45^2))+Inputs!$C$48*(0.7*(0.45*SIN(2*PI()*(((Model_Data!A161)/Inputs!$C$49)+Inputs!$C$47*0.137))+0.35*COS(2*PI()*(((0)/Inputs!$C$50)+Inputs!$C$47*0.173))+0.2*SIN(2*PI()*(((Model_Data!A161)+(0))/(0.5*(Inputs!$C$49+Inputs!$C$50))+Inputs!$C$47*0.097)))+0.3*(2*((SIN(((Model_Data!A161)*12.9898+(0)*78.233+Inputs!$C$47*37.719))*43758.5453)-INT((SIN(((Model_Data!A161)*12.9898+(0)*78.233+Inputs!$C$47*37.719))*43758.5453)))-1))))/1000)))*1000/Inputs!$C$12)-Model_Data!F161)</f>
        <v>199.55873077564644</v>
      </c>
      <c r="L161" s="10"/>
      <c r="M161" s="9">
        <f>Model_Data!A161</f>
        <v>19.5</v>
      </c>
      <c r="N161" s="9">
        <f>Model_Data!P161</f>
        <v>-146.79159233513664</v>
      </c>
      <c r="O161" s="9">
        <f t="shared" si="4"/>
        <v>-131.4478840897209</v>
      </c>
      <c r="P161" s="9">
        <f>Model_Data!Q161</f>
        <v>-22.040779629900399</v>
      </c>
      <c r="Q161" s="9">
        <f t="shared" si="5"/>
        <v>-19.736919532991127</v>
      </c>
      <c r="R161" s="10"/>
      <c r="S161" s="9">
        <f>Model_Data!A161</f>
        <v>19.5</v>
      </c>
      <c r="T161" s="9">
        <f>Model_Data!B161-Inputs!$C$5</f>
        <v>0.42250000000001364</v>
      </c>
      <c r="U161" s="10"/>
      <c r="V161" s="9">
        <f>Model_Data!A161</f>
        <v>19.5</v>
      </c>
      <c r="W161" s="9">
        <f>((SQRT((Model_Data!A161)^2+Inputs!$C$6^2+Inputs!$C$5^2)-Inputs!$C$5)*1000/Inputs!$C$12)</f>
        <v>704.82864565513387</v>
      </c>
      <c r="X161" s="9">
        <f>Model_Data!F161</f>
        <v>704.08727753711707</v>
      </c>
      <c r="Y161" s="10"/>
      <c r="Z161" s="9">
        <f>Model_Data!A161</f>
        <v>19.5</v>
      </c>
      <c r="AA161" s="9">
        <f>SQRT((Model_Data!A161)^2+Inputs!$C$6^2+((Model_Data!B161)-((Inputs!$C$51*(115*EXP(-(((Inputs!$C$6)-25)^2)/(4.5^2))+70*EXP(-(((Inputs!$C$6)+38)^2)/(7^2))*(0.55+0.45*SIN(2*PI()*(Model_Data!A161)/45))+24*SIN(2*PI()*(Inputs!$C$6)/9+(Model_Data!A161)/18)*EXP(-(((Inputs!$C$6)+5)^2)/(22^2))+18*SIN(2*PI()*(Model_Data!A161)/70))+Inputs!$C$28*EXP(-(((Model_Data!A161)-Inputs!$C$29)^2)/(2*Inputs!$C$31^2))*EXP(-(((Inputs!$C$6)-Inputs!$C$30)^2)/(2*Inputs!$C$32^2))+-Inputs!$C$33*EXP(-(((((Model_Data!A161)-Inputs!$C$34)^2)+(((Inputs!$C$6)-Inputs!$C$35)^2))/(2*Inputs!$C$36^2)))+Inputs!$C$37*(0.55*SIN(2*PI()*(Model_Data!A161)/Inputs!$C$39)+0.35*COS(2*PI()*(Inputs!$C$6)/Inputs!$C$40)+0.2*SIN(2*PI()*((Model_Data!A161)+(Inputs!$C$6))/(0.5*(Inputs!$C$39+Inputs!$C$40))))+Inputs!$C$38*SIN(2*PI()*(Model_Data!A161)/Inputs!$C$39)*SIN(2*PI()*(Inputs!$C$6)/Inputs!$C$40)+-Inputs!$C$41*EXP(-(((Inputs!$C$6)-Inputs!$C$43)^2)/(2*Inputs!$C$44^2))*EXP(-(((Model_Data!A161)-Inputs!$C$42)^2)/(2*Inputs!$C$45^2))+Inputs!$C$48*(0.7*(0.45*SIN(2*PI()*(((Model_Data!A161)/Inputs!$C$49)+Inputs!$C$47*0.137))+0.35*COS(2*PI()*(((Inputs!$C$6)/Inputs!$C$50)+Inputs!$C$47*0.173))+0.2*SIN(2*PI()*(((Model_Data!A161)+(Inputs!$C$6))/(0.5*(Inputs!$C$49+Inputs!$C$50))+Inputs!$C$47*0.097)))+0.3*(2*((SIN(((Model_Data!A161)*12.9898+(Inputs!$C$6)*78.233+Inputs!$C$47*37.719))*43758.5453)-INT((SIN(((Model_Data!A161)*12.9898+(Inputs!$C$6)*78.233+Inputs!$C$47*37.719))*43758.5453)))-1))))/1000)^2)</f>
        <v>401.2404750254122</v>
      </c>
      <c r="AB161" s="9">
        <f>1000*(AA162-AA160)/(Z162-Z160)*Inputs!$C$11</f>
        <v>328.61971022430225</v>
      </c>
      <c r="AC161" s="9">
        <f>-2*AB161/Inputs!$C$13</f>
        <v>-131.4478840897209</v>
      </c>
      <c r="AD161" s="9">
        <f>-2*AB161/Inputs!$C$14</f>
        <v>-19.736919532991127</v>
      </c>
    </row>
    <row r="162" spans="1:30">
      <c r="A162" s="9">
        <f>Model_Data!A162</f>
        <v>20</v>
      </c>
      <c r="B162" s="9">
        <f>((SQRT((Model_Data!A162)^2+Inputs!$C$6^2+Inputs!$C$5^2)-Inputs!$C$5)*1000/Inputs!$C$12)</f>
        <v>718.65423857647704</v>
      </c>
      <c r="C162" s="9">
        <f>Model_Data!F162</f>
        <v>717.85915855759561</v>
      </c>
      <c r="D162" s="9">
        <f>(((SQRT((Model_Data!A162)^2+Inputs!$C$6^2+((Model_Data!B162)-((Inputs!$C$51*(115*EXP(-(((Inputs!$C$6)-25)^2)/(4.5^2))+70*EXP(-(((Inputs!$C$6)+38)^2)/(7^2))*(0.55+0.45*SIN(2*PI()*(Model_Data!A162)/45))+24*SIN(2*PI()*(Inputs!$C$6)/9+(Model_Data!A162)/18)*EXP(-(((Inputs!$C$6)+5)^2)/(22^2))+18*SIN(2*PI()*(Model_Data!A162)/70))+Inputs!$C$28*EXP(-(((Model_Data!A162)-Inputs!$C$29)^2)/(2*Inputs!$C$31^2))*EXP(-(((Inputs!$C$6)-Inputs!$C$30)^2)/(2*Inputs!$C$32^2))+-Inputs!$C$33*EXP(-(((((Model_Data!A162)-Inputs!$C$34)^2)+(((Inputs!$C$6)-Inputs!$C$35)^2))/(2*Inputs!$C$36^2)))+Inputs!$C$37*(0.55*SIN(2*PI()*(Model_Data!A162)/Inputs!$C$39)+0.35*COS(2*PI()*(Inputs!$C$6)/Inputs!$C$40)+0.2*SIN(2*PI()*((Model_Data!A162)+(Inputs!$C$6))/(0.5*(Inputs!$C$39+Inputs!$C$40))))+Inputs!$C$38*SIN(2*PI()*(Model_Data!A162)/Inputs!$C$39)*SIN(2*PI()*(Inputs!$C$6)/Inputs!$C$40)+-Inputs!$C$41*EXP(-(((Inputs!$C$6)-Inputs!$C$43)^2)/(2*Inputs!$C$44^2))*EXP(-(((Model_Data!A162)-Inputs!$C$42)^2)/(2*Inputs!$C$45^2))+Inputs!$C$48*(0.7*(0.45*SIN(2*PI()*(((Model_Data!A162)/Inputs!$C$49)+Inputs!$C$47*0.137))+0.35*COS(2*PI()*(((Inputs!$C$6)/Inputs!$C$50)+Inputs!$C$47*0.173))+0.2*SIN(2*PI()*(((Model_Data!A162)+(Inputs!$C$6))/(0.5*(Inputs!$C$49+Inputs!$C$50))+Inputs!$C$47*0.097)))+0.3*(2*((SIN(((Model_Data!A162)*12.9898+(Inputs!$C$6)*78.233+Inputs!$C$47*37.719))*43758.5453)-INT((SIN(((Model_Data!A162)*12.9898+(Inputs!$C$6)*78.233+Inputs!$C$47*37.719))*43758.5453)))-1))))/1000)^2))-(((Model_Data!B162)-((Inputs!$C$51*(115*EXP(-(((0)-25)^2)/(4.5^2))+70*EXP(-(((0)+38)^2)/(7^2))*(0.55+0.45*SIN(2*PI()*(Model_Data!A162)/45))+24*SIN(2*PI()*(0)/9+(Model_Data!A162)/18)*EXP(-(((0)+5)^2)/(22^2))+18*SIN(2*PI()*(Model_Data!A162)/70))+Inputs!$C$28*EXP(-(((Model_Data!A162)-Inputs!$C$29)^2)/(2*Inputs!$C$31^2))*EXP(-(((0)-Inputs!$C$30)^2)/(2*Inputs!$C$32^2))+-Inputs!$C$33*EXP(-(((((Model_Data!A162)-Inputs!$C$34)^2)+(((0)-Inputs!$C$35)^2))/(2*Inputs!$C$36^2)))+Inputs!$C$37*(0.55*SIN(2*PI()*(Model_Data!A162)/Inputs!$C$39)+0.35*COS(2*PI()*(0)/Inputs!$C$40)+0.2*SIN(2*PI()*((Model_Data!A162)+(0))/(0.5*(Inputs!$C$39+Inputs!$C$40))))+Inputs!$C$38*SIN(2*PI()*(Model_Data!A162)/Inputs!$C$39)*SIN(2*PI()*(0)/Inputs!$C$40)+-Inputs!$C$41*EXP(-(((0)-Inputs!$C$43)^2)/(2*Inputs!$C$44^2))*EXP(-(((Model_Data!A162)-Inputs!$C$42)^2)/(2*Inputs!$C$45^2))+Inputs!$C$48*(0.7*(0.45*SIN(2*PI()*(((Model_Data!A162)/Inputs!$C$49)+Inputs!$C$47*0.137))+0.35*COS(2*PI()*(((0)/Inputs!$C$50)+Inputs!$C$47*0.173))+0.2*SIN(2*PI()*(((Model_Data!A162)+(0))/(0.5*(Inputs!$C$49+Inputs!$C$50))+Inputs!$C$47*0.097)))+0.3*(2*((SIN(((Model_Data!A162)*12.9898+(0)*78.233+Inputs!$C$47*37.719))*43758.5453)-INT((SIN(((Model_Data!A162)*12.9898+(0)*78.233+Inputs!$C$47*37.719))*43758.5453)))-1))))/1000)))*1000/Inputs!$C$12)</f>
        <v>513.76830988147685</v>
      </c>
      <c r="E162" s="9">
        <f>Model_Data!A162</f>
        <v>20</v>
      </c>
      <c r="F162" s="9">
        <f>(Inputs!$C$51*(115*EXP(-(((Inputs!$C$6)-25)^2)/(4.5^2))+70*EXP(-(((Inputs!$C$6)+38)^2)/(7^2))*(0.55+0.45*SIN(2*PI()*(Model_Data!A162)/45))+24*SIN(2*PI()*(Inputs!$C$6)/9+(Model_Data!A162)/18)*EXP(-(((Inputs!$C$6)+5)^2)/(22^2))+18*SIN(2*PI()*(Model_Data!A162)/70))+Inputs!$C$28*EXP(-(((Model_Data!A162)-Inputs!$C$29)^2)/(2*Inputs!$C$31^2))*EXP(-(((Inputs!$C$6)-Inputs!$C$30)^2)/(2*Inputs!$C$32^2))+-Inputs!$C$33*EXP(-(((((Model_Data!A162)-Inputs!$C$34)^2)+(((Inputs!$C$6)-Inputs!$C$35)^2))/(2*Inputs!$C$36^2)))+Inputs!$C$37*(0.55*SIN(2*PI()*(Model_Data!A162)/Inputs!$C$39)+0.35*COS(2*PI()*(Inputs!$C$6)/Inputs!$C$40)+0.2*SIN(2*PI()*((Model_Data!A162)+(Inputs!$C$6))/(0.5*(Inputs!$C$39+Inputs!$C$40))))+Inputs!$C$38*SIN(2*PI()*(Model_Data!A162)/Inputs!$C$39)*SIN(2*PI()*(Inputs!$C$6)/Inputs!$C$40)+-Inputs!$C$41*EXP(-(((Inputs!$C$6)-Inputs!$C$43)^2)/(2*Inputs!$C$44^2))*EXP(-(((Model_Data!A162)-Inputs!$C$42)^2)/(2*Inputs!$C$45^2))+Inputs!$C$48*(0.7*(0.45*SIN(2*PI()*(((Model_Data!A162)/Inputs!$C$49)+Inputs!$C$47*0.137))+0.35*COS(2*PI()*(((Inputs!$C$6)/Inputs!$C$50)+Inputs!$C$47*0.173))+0.2*SIN(2*PI()*(((Model_Data!A162)+(Inputs!$C$6))/(0.5*(Inputs!$C$49+Inputs!$C$50))+Inputs!$C$47*0.097)))+0.3*(2*((SIN(((Model_Data!A162)*12.9898+(Inputs!$C$6)*78.233+Inputs!$C$47*37.719))*43758.5453)-INT((SIN(((Model_Data!A162)*12.9898+(Inputs!$C$6)*78.233+Inputs!$C$47*37.719))*43758.5453)))-1)))</f>
        <v>439.01130208847866</v>
      </c>
      <c r="G162" s="9">
        <f>(Inputs!$C$51*(115*EXP(-(((0)-25)^2)/(4.5^2))+70*EXP(-(((0)+38)^2)/(7^2))*(0.55+0.45*SIN(2*PI()*(Model_Data!A162)/45))+24*SIN(2*PI()*(0)/9+(Model_Data!A162)/18)*EXP(-(((0)+5)^2)/(22^2))+18*SIN(2*PI()*(Model_Data!A162)/70))+Inputs!$C$28*EXP(-(((Model_Data!A162)-Inputs!$C$29)^2)/(2*Inputs!$C$31^2))*EXP(-(((0)-Inputs!$C$30)^2)/(2*Inputs!$C$32^2))+-Inputs!$C$33*EXP(-(((((Model_Data!A162)-Inputs!$C$34)^2)+(((0)-Inputs!$C$35)^2))/(2*Inputs!$C$36^2)))+Inputs!$C$37*(0.55*SIN(2*PI()*(Model_Data!A162)/Inputs!$C$39)+0.35*COS(2*PI()*(0)/Inputs!$C$40)+0.2*SIN(2*PI()*((Model_Data!A162)+(0))/(0.5*(Inputs!$C$39+Inputs!$C$40))))+Inputs!$C$38*SIN(2*PI()*(Model_Data!A162)/Inputs!$C$39)*SIN(2*PI()*(0)/Inputs!$C$40)+-Inputs!$C$41*EXP(-(((0)-Inputs!$C$43)^2)/(2*Inputs!$C$44^2))*EXP(-(((Model_Data!A162)-Inputs!$C$42)^2)/(2*Inputs!$C$45^2))+Inputs!$C$48*(0.7*(0.45*SIN(2*PI()*(((Model_Data!A162)/Inputs!$C$49)+Inputs!$C$47*0.137))+0.35*COS(2*PI()*(((0)/Inputs!$C$50)+Inputs!$C$47*0.173))+0.2*SIN(2*PI()*(((Model_Data!A162)+(0))/(0.5*(Inputs!$C$49+Inputs!$C$50))+Inputs!$C$47*0.097)))+0.3*(2*((SIN(((Model_Data!A162)*12.9898+(0)*78.233+Inputs!$C$47*37.719))*43758.5453)-INT((SIN(((Model_Data!A162)*12.9898+(0)*78.233+Inputs!$C$47*37.719))*43758.5453)))-1)))</f>
        <v>74.331668639094204</v>
      </c>
      <c r="H162" s="10"/>
      <c r="I162" s="9">
        <f>Model_Data!A162</f>
        <v>20</v>
      </c>
      <c r="J162" s="9">
        <f>(Inputs!$C$51*(115*EXP(-(((Inputs!$C$6)-25)^2)/(4.5^2))+70*EXP(-(((Inputs!$C$6)+38)^2)/(7^2))*(0.55+0.45*SIN(2*PI()*(Model_Data!A162)/45))+24*SIN(2*PI()*(Inputs!$C$6)/9+(Model_Data!A162)/18)*EXP(-(((Inputs!$C$6)+5)^2)/(22^2))+18*SIN(2*PI()*(Model_Data!A162)/70))+Inputs!$C$28*EXP(-(((Model_Data!A162)-Inputs!$C$29)^2)/(2*Inputs!$C$31^2))*EXP(-(((Inputs!$C$6)-Inputs!$C$30)^2)/(2*Inputs!$C$32^2))+-Inputs!$C$33*EXP(-(((((Model_Data!A162)-Inputs!$C$34)^2)+(((Inputs!$C$6)-Inputs!$C$35)^2))/(2*Inputs!$C$36^2)))+Inputs!$C$37*(0.55*SIN(2*PI()*(Model_Data!A162)/Inputs!$C$39)+0.35*COS(2*PI()*(Inputs!$C$6)/Inputs!$C$40)+0.2*SIN(2*PI()*((Model_Data!A162)+(Inputs!$C$6))/(0.5*(Inputs!$C$39+Inputs!$C$40))))+Inputs!$C$38*SIN(2*PI()*(Model_Data!A162)/Inputs!$C$39)*SIN(2*PI()*(Inputs!$C$6)/Inputs!$C$40)+-Inputs!$C$41*EXP(-(((Inputs!$C$6)-Inputs!$C$43)^2)/(2*Inputs!$C$44^2))*EXP(-(((Model_Data!A162)-Inputs!$C$42)^2)/(2*Inputs!$C$45^2))+Inputs!$C$48*(0.7*(0.45*SIN(2*PI()*(((Model_Data!A162)/Inputs!$C$49)+Inputs!$C$47*0.137))+0.35*COS(2*PI()*(((Inputs!$C$6)/Inputs!$C$50)+Inputs!$C$47*0.173))+0.2*SIN(2*PI()*(((Model_Data!A162)+(Inputs!$C$6))/(0.5*(Inputs!$C$49+Inputs!$C$50))+Inputs!$C$47*0.097)))+0.3*(2*((SIN(((Model_Data!A162)*12.9898+(Inputs!$C$6)*78.233+Inputs!$C$47*37.719))*43758.5453)-INT((SIN(((Model_Data!A162)*12.9898+(Inputs!$C$6)*78.233+Inputs!$C$47*37.719))*43758.5453)))-1)))</f>
        <v>439.01130208847866</v>
      </c>
      <c r="K162" s="9">
        <f>-((((SQRT((Model_Data!A162)^2+Inputs!$C$6^2+((Model_Data!B162)-((Inputs!$C$51*(115*EXP(-(((Inputs!$C$6)-25)^2)/(4.5^2))+70*EXP(-(((Inputs!$C$6)+38)^2)/(7^2))*(0.55+0.45*SIN(2*PI()*(Model_Data!A162)/45))+24*SIN(2*PI()*(Inputs!$C$6)/9+(Model_Data!A162)/18)*EXP(-(((Inputs!$C$6)+5)^2)/(22^2))+18*SIN(2*PI()*(Model_Data!A162)/70))+Inputs!$C$28*EXP(-(((Model_Data!A162)-Inputs!$C$29)^2)/(2*Inputs!$C$31^2))*EXP(-(((Inputs!$C$6)-Inputs!$C$30)^2)/(2*Inputs!$C$32^2))+-Inputs!$C$33*EXP(-(((((Model_Data!A162)-Inputs!$C$34)^2)+(((Inputs!$C$6)-Inputs!$C$35)^2))/(2*Inputs!$C$36^2)))+Inputs!$C$37*(0.55*SIN(2*PI()*(Model_Data!A162)/Inputs!$C$39)+0.35*COS(2*PI()*(Inputs!$C$6)/Inputs!$C$40)+0.2*SIN(2*PI()*((Model_Data!A162)+(Inputs!$C$6))/(0.5*(Inputs!$C$39+Inputs!$C$40))))+Inputs!$C$38*SIN(2*PI()*(Model_Data!A162)/Inputs!$C$39)*SIN(2*PI()*(Inputs!$C$6)/Inputs!$C$40)+-Inputs!$C$41*EXP(-(((Inputs!$C$6)-Inputs!$C$43)^2)/(2*Inputs!$C$44^2))*EXP(-(((Model_Data!A162)-Inputs!$C$42)^2)/(2*Inputs!$C$45^2))+Inputs!$C$48*(0.7*(0.45*SIN(2*PI()*(((Model_Data!A162)/Inputs!$C$49)+Inputs!$C$47*0.137))+0.35*COS(2*PI()*(((Inputs!$C$6)/Inputs!$C$50)+Inputs!$C$47*0.173))+0.2*SIN(2*PI()*(((Model_Data!A162)+(Inputs!$C$6))/(0.5*(Inputs!$C$49+Inputs!$C$50))+Inputs!$C$47*0.097)))+0.3*(2*((SIN(((Model_Data!A162)*12.9898+(Inputs!$C$6)*78.233+Inputs!$C$47*37.719))*43758.5453)-INT((SIN(((Model_Data!A162)*12.9898+(Inputs!$C$6)*78.233+Inputs!$C$47*37.719))*43758.5453)))-1))))/1000)^2))-(((Model_Data!B162)-((Inputs!$C$51*(115*EXP(-(((0)-25)^2)/(4.5^2))+70*EXP(-(((0)+38)^2)/(7^2))*(0.55+0.45*SIN(2*PI()*(Model_Data!A162)/45))+24*SIN(2*PI()*(0)/9+(Model_Data!A162)/18)*EXP(-(((0)+5)^2)/(22^2))+18*SIN(2*PI()*(Model_Data!A162)/70))+Inputs!$C$28*EXP(-(((Model_Data!A162)-Inputs!$C$29)^2)/(2*Inputs!$C$31^2))*EXP(-(((0)-Inputs!$C$30)^2)/(2*Inputs!$C$32^2))+-Inputs!$C$33*EXP(-(((((Model_Data!A162)-Inputs!$C$34)^2)+(((0)-Inputs!$C$35)^2))/(2*Inputs!$C$36^2)))+Inputs!$C$37*(0.55*SIN(2*PI()*(Model_Data!A162)/Inputs!$C$39)+0.35*COS(2*PI()*(0)/Inputs!$C$40)+0.2*SIN(2*PI()*((Model_Data!A162)+(0))/(0.5*(Inputs!$C$39+Inputs!$C$40))))+Inputs!$C$38*SIN(2*PI()*(Model_Data!A162)/Inputs!$C$39)*SIN(2*PI()*(0)/Inputs!$C$40)+-Inputs!$C$41*EXP(-(((0)-Inputs!$C$43)^2)/(2*Inputs!$C$44^2))*EXP(-(((Model_Data!A162)-Inputs!$C$42)^2)/(2*Inputs!$C$45^2))+Inputs!$C$48*(0.7*(0.45*SIN(2*PI()*(((Model_Data!A162)/Inputs!$C$49)+Inputs!$C$47*0.137))+0.35*COS(2*PI()*(((0)/Inputs!$C$50)+Inputs!$C$47*0.173))+0.2*SIN(2*PI()*(((Model_Data!A162)+(0))/(0.5*(Inputs!$C$49+Inputs!$C$50))+Inputs!$C$47*0.097)))+0.3*(2*((SIN(((Model_Data!A162)*12.9898+(0)*78.233+Inputs!$C$47*37.719))*43758.5453)-INT((SIN(((Model_Data!A162)*12.9898+(0)*78.233+Inputs!$C$47*37.719))*43758.5453)))-1))))/1000)))*1000/Inputs!$C$12)-Model_Data!F162)</f>
        <v>204.09084867611875</v>
      </c>
      <c r="L162" s="10"/>
      <c r="M162" s="9">
        <f>Model_Data!A162</f>
        <v>20</v>
      </c>
      <c r="N162" s="9">
        <f>Model_Data!P162</f>
        <v>-150.54195238009106</v>
      </c>
      <c r="O162" s="9">
        <f t="shared" si="4"/>
        <v>-142.49505768984818</v>
      </c>
      <c r="P162" s="9">
        <f>Model_Data!Q162</f>
        <v>-22.60389675376743</v>
      </c>
      <c r="Q162" s="9">
        <f t="shared" si="5"/>
        <v>-21.395654307785016</v>
      </c>
      <c r="R162" s="10"/>
      <c r="S162" s="9">
        <f>Model_Data!A162</f>
        <v>20</v>
      </c>
      <c r="T162" s="9">
        <f>Model_Data!B162-Inputs!$C$5</f>
        <v>0.44444444444445708</v>
      </c>
      <c r="U162" s="10"/>
      <c r="V162" s="9">
        <f>Model_Data!A162</f>
        <v>20</v>
      </c>
      <c r="W162" s="9">
        <f>((SQRT((Model_Data!A162)^2+Inputs!$C$6^2+Inputs!$C$5^2)-Inputs!$C$5)*1000/Inputs!$C$12)</f>
        <v>718.65423857647704</v>
      </c>
      <c r="X162" s="9">
        <f>Model_Data!F162</f>
        <v>717.85915855759561</v>
      </c>
      <c r="Y162" s="10"/>
      <c r="Z162" s="9">
        <f>Model_Data!A162</f>
        <v>20</v>
      </c>
      <c r="AA162" s="9">
        <f>SQRT((Model_Data!A162)^2+Inputs!$C$6^2+((Model_Data!B162)-((Inputs!$C$51*(115*EXP(-(((Inputs!$C$6)-25)^2)/(4.5^2))+70*EXP(-(((Inputs!$C$6)+38)^2)/(7^2))*(0.55+0.45*SIN(2*PI()*(Model_Data!A162)/45))+24*SIN(2*PI()*(Inputs!$C$6)/9+(Model_Data!A162)/18)*EXP(-(((Inputs!$C$6)+5)^2)/(22^2))+18*SIN(2*PI()*(Model_Data!A162)/70))+Inputs!$C$28*EXP(-(((Model_Data!A162)-Inputs!$C$29)^2)/(2*Inputs!$C$31^2))*EXP(-(((Inputs!$C$6)-Inputs!$C$30)^2)/(2*Inputs!$C$32^2))+-Inputs!$C$33*EXP(-(((((Model_Data!A162)-Inputs!$C$34)^2)+(((Inputs!$C$6)-Inputs!$C$35)^2))/(2*Inputs!$C$36^2)))+Inputs!$C$37*(0.55*SIN(2*PI()*(Model_Data!A162)/Inputs!$C$39)+0.35*COS(2*PI()*(Inputs!$C$6)/Inputs!$C$40)+0.2*SIN(2*PI()*((Model_Data!A162)+(Inputs!$C$6))/(0.5*(Inputs!$C$39+Inputs!$C$40))))+Inputs!$C$38*SIN(2*PI()*(Model_Data!A162)/Inputs!$C$39)*SIN(2*PI()*(Inputs!$C$6)/Inputs!$C$40)+-Inputs!$C$41*EXP(-(((Inputs!$C$6)-Inputs!$C$43)^2)/(2*Inputs!$C$44^2))*EXP(-(((Model_Data!A162)-Inputs!$C$42)^2)/(2*Inputs!$C$45^2))+Inputs!$C$48*(0.7*(0.45*SIN(2*PI()*(((Model_Data!A162)/Inputs!$C$49)+Inputs!$C$47*0.137))+0.35*COS(2*PI()*(((Inputs!$C$6)/Inputs!$C$50)+Inputs!$C$47*0.173))+0.2*SIN(2*PI()*(((Model_Data!A162)+(Inputs!$C$6))/(0.5*(Inputs!$C$49+Inputs!$C$50))+Inputs!$C$47*0.097)))+0.3*(2*((SIN(((Model_Data!A162)*12.9898+(Inputs!$C$6)*78.233+Inputs!$C$47*37.719))*43758.5453)-INT((SIN(((Model_Data!A162)*12.9898+(Inputs!$C$6)*78.233+Inputs!$C$47*37.719))*43758.5453)))-1))))/1000)^2)</f>
        <v>401.28462036739438</v>
      </c>
      <c r="AB162" s="9">
        <f>1000*(AA163-AA161)/(Z163-Z161)*Inputs!$C$11</f>
        <v>356.23764422462045</v>
      </c>
      <c r="AC162" s="9">
        <f>-2*AB162/Inputs!$C$13</f>
        <v>-142.49505768984818</v>
      </c>
      <c r="AD162" s="9">
        <f>-2*AB162/Inputs!$C$14</f>
        <v>-21.395654307785016</v>
      </c>
    </row>
    <row r="163" spans="1:30">
      <c r="A163" s="9">
        <f>Model_Data!A163</f>
        <v>20.5</v>
      </c>
      <c r="B163" s="9">
        <f>((SQRT((Model_Data!A163)^2+Inputs!$C$6^2+Inputs!$C$5^2)-Inputs!$C$5)*1000/Inputs!$C$12)</f>
        <v>732.82896620099473</v>
      </c>
      <c r="C163" s="9">
        <f>Model_Data!F163</f>
        <v>731.97726028781562</v>
      </c>
      <c r="D163" s="9">
        <f>(((SQRT((Model_Data!A163)^2+Inputs!$C$6^2+((Model_Data!B163)-((Inputs!$C$51*(115*EXP(-(((Inputs!$C$6)-25)^2)/(4.5^2))+70*EXP(-(((Inputs!$C$6)+38)^2)/(7^2))*(0.55+0.45*SIN(2*PI()*(Model_Data!A163)/45))+24*SIN(2*PI()*(Inputs!$C$6)/9+(Model_Data!A163)/18)*EXP(-(((Inputs!$C$6)+5)^2)/(22^2))+18*SIN(2*PI()*(Model_Data!A163)/70))+Inputs!$C$28*EXP(-(((Model_Data!A163)-Inputs!$C$29)^2)/(2*Inputs!$C$31^2))*EXP(-(((Inputs!$C$6)-Inputs!$C$30)^2)/(2*Inputs!$C$32^2))+-Inputs!$C$33*EXP(-(((((Model_Data!A163)-Inputs!$C$34)^2)+(((Inputs!$C$6)-Inputs!$C$35)^2))/(2*Inputs!$C$36^2)))+Inputs!$C$37*(0.55*SIN(2*PI()*(Model_Data!A163)/Inputs!$C$39)+0.35*COS(2*PI()*(Inputs!$C$6)/Inputs!$C$40)+0.2*SIN(2*PI()*((Model_Data!A163)+(Inputs!$C$6))/(0.5*(Inputs!$C$39+Inputs!$C$40))))+Inputs!$C$38*SIN(2*PI()*(Model_Data!A163)/Inputs!$C$39)*SIN(2*PI()*(Inputs!$C$6)/Inputs!$C$40)+-Inputs!$C$41*EXP(-(((Inputs!$C$6)-Inputs!$C$43)^2)/(2*Inputs!$C$44^2))*EXP(-(((Model_Data!A163)-Inputs!$C$42)^2)/(2*Inputs!$C$45^2))+Inputs!$C$48*(0.7*(0.45*SIN(2*PI()*(((Model_Data!A163)/Inputs!$C$49)+Inputs!$C$47*0.137))+0.35*COS(2*PI()*(((Inputs!$C$6)/Inputs!$C$50)+Inputs!$C$47*0.173))+0.2*SIN(2*PI()*(((Model_Data!A163)+(Inputs!$C$6))/(0.5*(Inputs!$C$49+Inputs!$C$50))+Inputs!$C$47*0.097)))+0.3*(2*((SIN(((Model_Data!A163)*12.9898+(Inputs!$C$6)*78.233+Inputs!$C$47*37.719))*43758.5453)-INT((SIN(((Model_Data!A163)*12.9898+(Inputs!$C$6)*78.233+Inputs!$C$47*37.719))*43758.5453)))-1))))/1000)^2))-(((Model_Data!B163)-((Inputs!$C$51*(115*EXP(-(((0)-25)^2)/(4.5^2))+70*EXP(-(((0)+38)^2)/(7^2))*(0.55+0.45*SIN(2*PI()*(Model_Data!A163)/45))+24*SIN(2*PI()*(0)/9+(Model_Data!A163)/18)*EXP(-(((0)+5)^2)/(22^2))+18*SIN(2*PI()*(Model_Data!A163)/70))+Inputs!$C$28*EXP(-(((Model_Data!A163)-Inputs!$C$29)^2)/(2*Inputs!$C$31^2))*EXP(-(((0)-Inputs!$C$30)^2)/(2*Inputs!$C$32^2))+-Inputs!$C$33*EXP(-(((((Model_Data!A163)-Inputs!$C$34)^2)+(((0)-Inputs!$C$35)^2))/(2*Inputs!$C$36^2)))+Inputs!$C$37*(0.55*SIN(2*PI()*(Model_Data!A163)/Inputs!$C$39)+0.35*COS(2*PI()*(0)/Inputs!$C$40)+0.2*SIN(2*PI()*((Model_Data!A163)+(0))/(0.5*(Inputs!$C$39+Inputs!$C$40))))+Inputs!$C$38*SIN(2*PI()*(Model_Data!A163)/Inputs!$C$39)*SIN(2*PI()*(0)/Inputs!$C$40)+-Inputs!$C$41*EXP(-(((0)-Inputs!$C$43)^2)/(2*Inputs!$C$44^2))*EXP(-(((Model_Data!A163)-Inputs!$C$42)^2)/(2*Inputs!$C$45^2))+Inputs!$C$48*(0.7*(0.45*SIN(2*PI()*(((Model_Data!A163)/Inputs!$C$49)+Inputs!$C$47*0.137))+0.35*COS(2*PI()*(((0)/Inputs!$C$50)+Inputs!$C$47*0.173))+0.2*SIN(2*PI()*(((Model_Data!A163)+(0))/(0.5*(Inputs!$C$49+Inputs!$C$50))+Inputs!$C$47*0.097)))+0.3*(2*((SIN(((Model_Data!A163)*12.9898+(0)*78.233+Inputs!$C$47*37.719))*43758.5453)-INT((SIN(((Model_Data!A163)*12.9898+(0)*78.233+Inputs!$C$47*37.719))*43758.5453)))-1))))/1000)))*1000/Inputs!$C$12)</f>
        <v>527.90616875942499</v>
      </c>
      <c r="E163" s="9">
        <f>Model_Data!A163</f>
        <v>20.5</v>
      </c>
      <c r="F163" s="9">
        <f>(Inputs!$C$51*(115*EXP(-(((Inputs!$C$6)-25)^2)/(4.5^2))+70*EXP(-(((Inputs!$C$6)+38)^2)/(7^2))*(0.55+0.45*SIN(2*PI()*(Model_Data!A163)/45))+24*SIN(2*PI()*(Inputs!$C$6)/9+(Model_Data!A163)/18)*EXP(-(((Inputs!$C$6)+5)^2)/(22^2))+18*SIN(2*PI()*(Model_Data!A163)/70))+Inputs!$C$28*EXP(-(((Model_Data!A163)-Inputs!$C$29)^2)/(2*Inputs!$C$31^2))*EXP(-(((Inputs!$C$6)-Inputs!$C$30)^2)/(2*Inputs!$C$32^2))+-Inputs!$C$33*EXP(-(((((Model_Data!A163)-Inputs!$C$34)^2)+(((Inputs!$C$6)-Inputs!$C$35)^2))/(2*Inputs!$C$36^2)))+Inputs!$C$37*(0.55*SIN(2*PI()*(Model_Data!A163)/Inputs!$C$39)+0.35*COS(2*PI()*(Inputs!$C$6)/Inputs!$C$40)+0.2*SIN(2*PI()*((Model_Data!A163)+(Inputs!$C$6))/(0.5*(Inputs!$C$39+Inputs!$C$40))))+Inputs!$C$38*SIN(2*PI()*(Model_Data!A163)/Inputs!$C$39)*SIN(2*PI()*(Inputs!$C$6)/Inputs!$C$40)+-Inputs!$C$41*EXP(-(((Inputs!$C$6)-Inputs!$C$43)^2)/(2*Inputs!$C$44^2))*EXP(-(((Model_Data!A163)-Inputs!$C$42)^2)/(2*Inputs!$C$45^2))+Inputs!$C$48*(0.7*(0.45*SIN(2*PI()*(((Model_Data!A163)/Inputs!$C$49)+Inputs!$C$47*0.137))+0.35*COS(2*PI()*(((Inputs!$C$6)/Inputs!$C$50)+Inputs!$C$47*0.173))+0.2*SIN(2*PI()*(((Model_Data!A163)+(Inputs!$C$6))/(0.5*(Inputs!$C$49+Inputs!$C$50))+Inputs!$C$47*0.097)))+0.3*(2*((SIN(((Model_Data!A163)*12.9898+(Inputs!$C$6)*78.233+Inputs!$C$47*37.719))*43758.5453)-INT((SIN(((Model_Data!A163)*12.9898+(Inputs!$C$6)*78.233+Inputs!$C$47*37.719))*43758.5453)))-1)))</f>
        <v>441.76372328978528</v>
      </c>
      <c r="G163" s="9">
        <f>(Inputs!$C$51*(115*EXP(-(((0)-25)^2)/(4.5^2))+70*EXP(-(((0)+38)^2)/(7^2))*(0.55+0.45*SIN(2*PI()*(Model_Data!A163)/45))+24*SIN(2*PI()*(0)/9+(Model_Data!A163)/18)*EXP(-(((0)+5)^2)/(22^2))+18*SIN(2*PI()*(Model_Data!A163)/70))+Inputs!$C$28*EXP(-(((Model_Data!A163)-Inputs!$C$29)^2)/(2*Inputs!$C$31^2))*EXP(-(((0)-Inputs!$C$30)^2)/(2*Inputs!$C$32^2))+-Inputs!$C$33*EXP(-(((((Model_Data!A163)-Inputs!$C$34)^2)+(((0)-Inputs!$C$35)^2))/(2*Inputs!$C$36^2)))+Inputs!$C$37*(0.55*SIN(2*PI()*(Model_Data!A163)/Inputs!$C$39)+0.35*COS(2*PI()*(0)/Inputs!$C$40)+0.2*SIN(2*PI()*((Model_Data!A163)+(0))/(0.5*(Inputs!$C$39+Inputs!$C$40))))+Inputs!$C$38*SIN(2*PI()*(Model_Data!A163)/Inputs!$C$39)*SIN(2*PI()*(0)/Inputs!$C$40)+-Inputs!$C$41*EXP(-(((0)-Inputs!$C$43)^2)/(2*Inputs!$C$44^2))*EXP(-(((Model_Data!A163)-Inputs!$C$42)^2)/(2*Inputs!$C$45^2))+Inputs!$C$48*(0.7*(0.45*SIN(2*PI()*(((Model_Data!A163)/Inputs!$C$49)+Inputs!$C$47*0.137))+0.35*COS(2*PI()*(((0)/Inputs!$C$50)+Inputs!$C$47*0.173))+0.2*SIN(2*PI()*(((Model_Data!A163)+(0))/(0.5*(Inputs!$C$49+Inputs!$C$50))+Inputs!$C$47*0.097)))+0.3*(2*((SIN(((Model_Data!A163)*12.9898+(0)*78.233+Inputs!$C$47*37.719))*43758.5453)-INT((SIN(((Model_Data!A163)*12.9898+(0)*78.233+Inputs!$C$47*37.719))*43758.5453)))-1)))</f>
        <v>77.082988367878912</v>
      </c>
      <c r="H163" s="10"/>
      <c r="I163" s="9">
        <f>Model_Data!A163</f>
        <v>20.5</v>
      </c>
      <c r="J163" s="9">
        <f>(Inputs!$C$51*(115*EXP(-(((Inputs!$C$6)-25)^2)/(4.5^2))+70*EXP(-(((Inputs!$C$6)+38)^2)/(7^2))*(0.55+0.45*SIN(2*PI()*(Model_Data!A163)/45))+24*SIN(2*PI()*(Inputs!$C$6)/9+(Model_Data!A163)/18)*EXP(-(((Inputs!$C$6)+5)^2)/(22^2))+18*SIN(2*PI()*(Model_Data!A163)/70))+Inputs!$C$28*EXP(-(((Model_Data!A163)-Inputs!$C$29)^2)/(2*Inputs!$C$31^2))*EXP(-(((Inputs!$C$6)-Inputs!$C$30)^2)/(2*Inputs!$C$32^2))+-Inputs!$C$33*EXP(-(((((Model_Data!A163)-Inputs!$C$34)^2)+(((Inputs!$C$6)-Inputs!$C$35)^2))/(2*Inputs!$C$36^2)))+Inputs!$C$37*(0.55*SIN(2*PI()*(Model_Data!A163)/Inputs!$C$39)+0.35*COS(2*PI()*(Inputs!$C$6)/Inputs!$C$40)+0.2*SIN(2*PI()*((Model_Data!A163)+(Inputs!$C$6))/(0.5*(Inputs!$C$39+Inputs!$C$40))))+Inputs!$C$38*SIN(2*PI()*(Model_Data!A163)/Inputs!$C$39)*SIN(2*PI()*(Inputs!$C$6)/Inputs!$C$40)+-Inputs!$C$41*EXP(-(((Inputs!$C$6)-Inputs!$C$43)^2)/(2*Inputs!$C$44^2))*EXP(-(((Model_Data!A163)-Inputs!$C$42)^2)/(2*Inputs!$C$45^2))+Inputs!$C$48*(0.7*(0.45*SIN(2*PI()*(((Model_Data!A163)/Inputs!$C$49)+Inputs!$C$47*0.137))+0.35*COS(2*PI()*(((Inputs!$C$6)/Inputs!$C$50)+Inputs!$C$47*0.173))+0.2*SIN(2*PI()*(((Model_Data!A163)+(Inputs!$C$6))/(0.5*(Inputs!$C$49+Inputs!$C$50))+Inputs!$C$47*0.097)))+0.3*(2*((SIN(((Model_Data!A163)*12.9898+(Inputs!$C$6)*78.233+Inputs!$C$47*37.719))*43758.5453)-INT((SIN(((Model_Data!A163)*12.9898+(Inputs!$C$6)*78.233+Inputs!$C$47*37.719))*43758.5453)))-1)))</f>
        <v>441.76372328978528</v>
      </c>
      <c r="K163" s="9">
        <f>-((((SQRT((Model_Data!A163)^2+Inputs!$C$6^2+((Model_Data!B163)-((Inputs!$C$51*(115*EXP(-(((Inputs!$C$6)-25)^2)/(4.5^2))+70*EXP(-(((Inputs!$C$6)+38)^2)/(7^2))*(0.55+0.45*SIN(2*PI()*(Model_Data!A163)/45))+24*SIN(2*PI()*(Inputs!$C$6)/9+(Model_Data!A163)/18)*EXP(-(((Inputs!$C$6)+5)^2)/(22^2))+18*SIN(2*PI()*(Model_Data!A163)/70))+Inputs!$C$28*EXP(-(((Model_Data!A163)-Inputs!$C$29)^2)/(2*Inputs!$C$31^2))*EXP(-(((Inputs!$C$6)-Inputs!$C$30)^2)/(2*Inputs!$C$32^2))+-Inputs!$C$33*EXP(-(((((Model_Data!A163)-Inputs!$C$34)^2)+(((Inputs!$C$6)-Inputs!$C$35)^2))/(2*Inputs!$C$36^2)))+Inputs!$C$37*(0.55*SIN(2*PI()*(Model_Data!A163)/Inputs!$C$39)+0.35*COS(2*PI()*(Inputs!$C$6)/Inputs!$C$40)+0.2*SIN(2*PI()*((Model_Data!A163)+(Inputs!$C$6))/(0.5*(Inputs!$C$39+Inputs!$C$40))))+Inputs!$C$38*SIN(2*PI()*(Model_Data!A163)/Inputs!$C$39)*SIN(2*PI()*(Inputs!$C$6)/Inputs!$C$40)+-Inputs!$C$41*EXP(-(((Inputs!$C$6)-Inputs!$C$43)^2)/(2*Inputs!$C$44^2))*EXP(-(((Model_Data!A163)-Inputs!$C$42)^2)/(2*Inputs!$C$45^2))+Inputs!$C$48*(0.7*(0.45*SIN(2*PI()*(((Model_Data!A163)/Inputs!$C$49)+Inputs!$C$47*0.137))+0.35*COS(2*PI()*(((Inputs!$C$6)/Inputs!$C$50)+Inputs!$C$47*0.173))+0.2*SIN(2*PI()*(((Model_Data!A163)+(Inputs!$C$6))/(0.5*(Inputs!$C$49+Inputs!$C$50))+Inputs!$C$47*0.097)))+0.3*(2*((SIN(((Model_Data!A163)*12.9898+(Inputs!$C$6)*78.233+Inputs!$C$47*37.719))*43758.5453)-INT((SIN(((Model_Data!A163)*12.9898+(Inputs!$C$6)*78.233+Inputs!$C$47*37.719))*43758.5453)))-1))))/1000)^2))-(((Model_Data!B163)-((Inputs!$C$51*(115*EXP(-(((0)-25)^2)/(4.5^2))+70*EXP(-(((0)+38)^2)/(7^2))*(0.55+0.45*SIN(2*PI()*(Model_Data!A163)/45))+24*SIN(2*PI()*(0)/9+(Model_Data!A163)/18)*EXP(-(((0)+5)^2)/(22^2))+18*SIN(2*PI()*(Model_Data!A163)/70))+Inputs!$C$28*EXP(-(((Model_Data!A163)-Inputs!$C$29)^2)/(2*Inputs!$C$31^2))*EXP(-(((0)-Inputs!$C$30)^2)/(2*Inputs!$C$32^2))+-Inputs!$C$33*EXP(-(((((Model_Data!A163)-Inputs!$C$34)^2)+(((0)-Inputs!$C$35)^2))/(2*Inputs!$C$36^2)))+Inputs!$C$37*(0.55*SIN(2*PI()*(Model_Data!A163)/Inputs!$C$39)+0.35*COS(2*PI()*(0)/Inputs!$C$40)+0.2*SIN(2*PI()*((Model_Data!A163)+(0))/(0.5*(Inputs!$C$39+Inputs!$C$40))))+Inputs!$C$38*SIN(2*PI()*(Model_Data!A163)/Inputs!$C$39)*SIN(2*PI()*(0)/Inputs!$C$40)+-Inputs!$C$41*EXP(-(((0)-Inputs!$C$43)^2)/(2*Inputs!$C$44^2))*EXP(-(((Model_Data!A163)-Inputs!$C$42)^2)/(2*Inputs!$C$45^2))+Inputs!$C$48*(0.7*(0.45*SIN(2*PI()*(((Model_Data!A163)/Inputs!$C$49)+Inputs!$C$47*0.137))+0.35*COS(2*PI()*(((0)/Inputs!$C$50)+Inputs!$C$47*0.173))+0.2*SIN(2*PI()*(((Model_Data!A163)+(0))/(0.5*(Inputs!$C$49+Inputs!$C$50))+Inputs!$C$47*0.097)))+0.3*(2*((SIN(((Model_Data!A163)*12.9898+(0)*78.233+Inputs!$C$47*37.719))*43758.5453)-INT((SIN(((Model_Data!A163)*12.9898+(0)*78.233+Inputs!$C$47*37.719))*43758.5453)))-1))))/1000)))*1000/Inputs!$C$12)-Model_Data!F163)</f>
        <v>204.07109152839064</v>
      </c>
      <c r="L163" s="10"/>
      <c r="M163" s="9">
        <f>Model_Data!A163</f>
        <v>20.5</v>
      </c>
      <c r="N163" s="9">
        <f>Model_Data!P163</f>
        <v>-154.29129005618699</v>
      </c>
      <c r="O163" s="9">
        <f t="shared" si="4"/>
        <v>-150.80364210380139</v>
      </c>
      <c r="P163" s="9">
        <f>Model_Data!Q163</f>
        <v>-23.166860368796847</v>
      </c>
      <c r="Q163" s="9">
        <f t="shared" si="5"/>
        <v>-22.643189505075288</v>
      </c>
      <c r="R163" s="10"/>
      <c r="S163" s="9">
        <f>Model_Data!A163</f>
        <v>20.5</v>
      </c>
      <c r="T163" s="9">
        <f>Model_Data!B163-Inputs!$C$5</f>
        <v>0.46694444444443661</v>
      </c>
      <c r="U163" s="10"/>
      <c r="V163" s="9">
        <f>Model_Data!A163</f>
        <v>20.5</v>
      </c>
      <c r="W163" s="9">
        <f>((SQRT((Model_Data!A163)^2+Inputs!$C$6^2+Inputs!$C$5^2)-Inputs!$C$5)*1000/Inputs!$C$12)</f>
        <v>732.82896620099473</v>
      </c>
      <c r="X163" s="9">
        <f>Model_Data!F163</f>
        <v>731.97726028781562</v>
      </c>
      <c r="Y163" s="10"/>
      <c r="Z163" s="9">
        <f>Model_Data!A163</f>
        <v>20.5</v>
      </c>
      <c r="AA163" s="9">
        <f>SQRT((Model_Data!A163)^2+Inputs!$C$6^2+((Model_Data!B163)-((Inputs!$C$51*(115*EXP(-(((Inputs!$C$6)-25)^2)/(4.5^2))+70*EXP(-(((Inputs!$C$6)+38)^2)/(7^2))*(0.55+0.45*SIN(2*PI()*(Model_Data!A163)/45))+24*SIN(2*PI()*(Inputs!$C$6)/9+(Model_Data!A163)/18)*EXP(-(((Inputs!$C$6)+5)^2)/(22^2))+18*SIN(2*PI()*(Model_Data!A163)/70))+Inputs!$C$28*EXP(-(((Model_Data!A163)-Inputs!$C$29)^2)/(2*Inputs!$C$31^2))*EXP(-(((Inputs!$C$6)-Inputs!$C$30)^2)/(2*Inputs!$C$32^2))+-Inputs!$C$33*EXP(-(((((Model_Data!A163)-Inputs!$C$34)^2)+(((Inputs!$C$6)-Inputs!$C$35)^2))/(2*Inputs!$C$36^2)))+Inputs!$C$37*(0.55*SIN(2*PI()*(Model_Data!A163)/Inputs!$C$39)+0.35*COS(2*PI()*(Inputs!$C$6)/Inputs!$C$40)+0.2*SIN(2*PI()*((Model_Data!A163)+(Inputs!$C$6))/(0.5*(Inputs!$C$39+Inputs!$C$40))))+Inputs!$C$38*SIN(2*PI()*(Model_Data!A163)/Inputs!$C$39)*SIN(2*PI()*(Inputs!$C$6)/Inputs!$C$40)+-Inputs!$C$41*EXP(-(((Inputs!$C$6)-Inputs!$C$43)^2)/(2*Inputs!$C$44^2))*EXP(-(((Model_Data!A163)-Inputs!$C$42)^2)/(2*Inputs!$C$45^2))+Inputs!$C$48*(0.7*(0.45*SIN(2*PI()*(((Model_Data!A163)/Inputs!$C$49)+Inputs!$C$47*0.137))+0.35*COS(2*PI()*(((Inputs!$C$6)/Inputs!$C$50)+Inputs!$C$47*0.173))+0.2*SIN(2*PI()*(((Model_Data!A163)+(Inputs!$C$6))/(0.5*(Inputs!$C$49+Inputs!$C$50))+Inputs!$C$47*0.097)))+0.3*(2*((SIN(((Model_Data!A163)*12.9898+(Inputs!$C$6)*78.233+Inputs!$C$47*37.719))*43758.5453)-INT((SIN(((Model_Data!A163)*12.9898+(Inputs!$C$6)*78.233+Inputs!$C$47*37.719))*43758.5453)))-1))))/1000)^2)</f>
        <v>401.32953443646835</v>
      </c>
      <c r="AB163" s="9">
        <f>1000*(AA164-AA162)/(Z164-Z162)*Inputs!$C$11</f>
        <v>377.00910525950349</v>
      </c>
      <c r="AC163" s="9">
        <f>-2*AB163/Inputs!$C$13</f>
        <v>-150.80364210380139</v>
      </c>
      <c r="AD163" s="9">
        <f>-2*AB163/Inputs!$C$14</f>
        <v>-22.643189505075288</v>
      </c>
    </row>
    <row r="164" spans="1:30">
      <c r="A164" s="9">
        <f>Model_Data!A164</f>
        <v>21</v>
      </c>
      <c r="B164" s="9">
        <f>((SQRT((Model_Data!A164)^2+Inputs!$C$6^2+Inputs!$C$5^2)-Inputs!$C$5)*1000/Inputs!$C$12)</f>
        <v>747.35276268002508</v>
      </c>
      <c r="C164" s="9">
        <f>Model_Data!F164</f>
        <v>746.44140104912105</v>
      </c>
      <c r="D164" s="9">
        <f>(((SQRT((Model_Data!A164)^2+Inputs!$C$6^2+((Model_Data!B164)-((Inputs!$C$51*(115*EXP(-(((Inputs!$C$6)-25)^2)/(4.5^2))+70*EXP(-(((Inputs!$C$6)+38)^2)/(7^2))*(0.55+0.45*SIN(2*PI()*(Model_Data!A164)/45))+24*SIN(2*PI()*(Inputs!$C$6)/9+(Model_Data!A164)/18)*EXP(-(((Inputs!$C$6)+5)^2)/(22^2))+18*SIN(2*PI()*(Model_Data!A164)/70))+Inputs!$C$28*EXP(-(((Model_Data!A164)-Inputs!$C$29)^2)/(2*Inputs!$C$31^2))*EXP(-(((Inputs!$C$6)-Inputs!$C$30)^2)/(2*Inputs!$C$32^2))+-Inputs!$C$33*EXP(-(((((Model_Data!A164)-Inputs!$C$34)^2)+(((Inputs!$C$6)-Inputs!$C$35)^2))/(2*Inputs!$C$36^2)))+Inputs!$C$37*(0.55*SIN(2*PI()*(Model_Data!A164)/Inputs!$C$39)+0.35*COS(2*PI()*(Inputs!$C$6)/Inputs!$C$40)+0.2*SIN(2*PI()*((Model_Data!A164)+(Inputs!$C$6))/(0.5*(Inputs!$C$39+Inputs!$C$40))))+Inputs!$C$38*SIN(2*PI()*(Model_Data!A164)/Inputs!$C$39)*SIN(2*PI()*(Inputs!$C$6)/Inputs!$C$40)+-Inputs!$C$41*EXP(-(((Inputs!$C$6)-Inputs!$C$43)^2)/(2*Inputs!$C$44^2))*EXP(-(((Model_Data!A164)-Inputs!$C$42)^2)/(2*Inputs!$C$45^2))+Inputs!$C$48*(0.7*(0.45*SIN(2*PI()*(((Model_Data!A164)/Inputs!$C$49)+Inputs!$C$47*0.137))+0.35*COS(2*PI()*(((Inputs!$C$6)/Inputs!$C$50)+Inputs!$C$47*0.173))+0.2*SIN(2*PI()*(((Model_Data!A164)+(Inputs!$C$6))/(0.5*(Inputs!$C$49+Inputs!$C$50))+Inputs!$C$47*0.097)))+0.3*(2*((SIN(((Model_Data!A164)*12.9898+(Inputs!$C$6)*78.233+Inputs!$C$47*37.719))*43758.5453)-INT((SIN(((Model_Data!A164)*12.9898+(Inputs!$C$6)*78.233+Inputs!$C$47*37.719))*43758.5453)))-1))))/1000)^2))-(((Model_Data!B164)-((Inputs!$C$51*(115*EXP(-(((0)-25)^2)/(4.5^2))+70*EXP(-(((0)+38)^2)/(7^2))*(0.55+0.45*SIN(2*PI()*(Model_Data!A164)/45))+24*SIN(2*PI()*(0)/9+(Model_Data!A164)/18)*EXP(-(((0)+5)^2)/(22^2))+18*SIN(2*PI()*(Model_Data!A164)/70))+Inputs!$C$28*EXP(-(((Model_Data!A164)-Inputs!$C$29)^2)/(2*Inputs!$C$31^2))*EXP(-(((0)-Inputs!$C$30)^2)/(2*Inputs!$C$32^2))+-Inputs!$C$33*EXP(-(((((Model_Data!A164)-Inputs!$C$34)^2)+(((0)-Inputs!$C$35)^2))/(2*Inputs!$C$36^2)))+Inputs!$C$37*(0.55*SIN(2*PI()*(Model_Data!A164)/Inputs!$C$39)+0.35*COS(2*PI()*(0)/Inputs!$C$40)+0.2*SIN(2*PI()*((Model_Data!A164)+(0))/(0.5*(Inputs!$C$39+Inputs!$C$40))))+Inputs!$C$38*SIN(2*PI()*(Model_Data!A164)/Inputs!$C$39)*SIN(2*PI()*(0)/Inputs!$C$40)+-Inputs!$C$41*EXP(-(((0)-Inputs!$C$43)^2)/(2*Inputs!$C$44^2))*EXP(-(((Model_Data!A164)-Inputs!$C$42)^2)/(2*Inputs!$C$45^2))+Inputs!$C$48*(0.7*(0.45*SIN(2*PI()*(((Model_Data!A164)/Inputs!$C$49)+Inputs!$C$47*0.137))+0.35*COS(2*PI()*(((0)/Inputs!$C$50)+Inputs!$C$47*0.173))+0.2*SIN(2*PI()*(((Model_Data!A164)+(0))/(0.5*(Inputs!$C$49+Inputs!$C$50))+Inputs!$C$47*0.097)))+0.3*(2*((SIN(((Model_Data!A164)*12.9898+(0)*78.233+Inputs!$C$47*37.719))*43758.5453)-INT((SIN(((Model_Data!A164)*12.9898+(0)*78.233+Inputs!$C$47*37.719))*43758.5453)))-1))))/1000)))*1000/Inputs!$C$12)</f>
        <v>546.89815971513008</v>
      </c>
      <c r="E164" s="9">
        <f>Model_Data!A164</f>
        <v>21</v>
      </c>
      <c r="F164" s="9">
        <f>(Inputs!$C$51*(115*EXP(-(((Inputs!$C$6)-25)^2)/(4.5^2))+70*EXP(-(((Inputs!$C$6)+38)^2)/(7^2))*(0.55+0.45*SIN(2*PI()*(Model_Data!A164)/45))+24*SIN(2*PI()*(Inputs!$C$6)/9+(Model_Data!A164)/18)*EXP(-(((Inputs!$C$6)+5)^2)/(22^2))+18*SIN(2*PI()*(Model_Data!A164)/70))+Inputs!$C$28*EXP(-(((Model_Data!A164)-Inputs!$C$29)^2)/(2*Inputs!$C$31^2))*EXP(-(((Inputs!$C$6)-Inputs!$C$30)^2)/(2*Inputs!$C$32^2))+-Inputs!$C$33*EXP(-(((((Model_Data!A164)-Inputs!$C$34)^2)+(((Inputs!$C$6)-Inputs!$C$35)^2))/(2*Inputs!$C$36^2)))+Inputs!$C$37*(0.55*SIN(2*PI()*(Model_Data!A164)/Inputs!$C$39)+0.35*COS(2*PI()*(Inputs!$C$6)/Inputs!$C$40)+0.2*SIN(2*PI()*((Model_Data!A164)+(Inputs!$C$6))/(0.5*(Inputs!$C$39+Inputs!$C$40))))+Inputs!$C$38*SIN(2*PI()*(Model_Data!A164)/Inputs!$C$39)*SIN(2*PI()*(Inputs!$C$6)/Inputs!$C$40)+-Inputs!$C$41*EXP(-(((Inputs!$C$6)-Inputs!$C$43)^2)/(2*Inputs!$C$44^2))*EXP(-(((Model_Data!A164)-Inputs!$C$42)^2)/(2*Inputs!$C$45^2))+Inputs!$C$48*(0.7*(0.45*SIN(2*PI()*(((Model_Data!A164)/Inputs!$C$49)+Inputs!$C$47*0.137))+0.35*COS(2*PI()*(((Inputs!$C$6)/Inputs!$C$50)+Inputs!$C$47*0.173))+0.2*SIN(2*PI()*(((Model_Data!A164)+(Inputs!$C$6))/(0.5*(Inputs!$C$49+Inputs!$C$50))+Inputs!$C$47*0.097)))+0.3*(2*((SIN(((Model_Data!A164)*12.9898+(Inputs!$C$6)*78.233+Inputs!$C$47*37.719))*43758.5453)-INT((SIN(((Model_Data!A164)*12.9898+(Inputs!$C$6)*78.233+Inputs!$C$47*37.719))*43758.5453)))-1)))</f>
        <v>441.25371433177679</v>
      </c>
      <c r="G164" s="9">
        <f>(Inputs!$C$51*(115*EXP(-(((0)-25)^2)/(4.5^2))+70*EXP(-(((0)+38)^2)/(7^2))*(0.55+0.45*SIN(2*PI()*(Model_Data!A164)/45))+24*SIN(2*PI()*(0)/9+(Model_Data!A164)/18)*EXP(-(((0)+5)^2)/(22^2))+18*SIN(2*PI()*(Model_Data!A164)/70))+Inputs!$C$28*EXP(-(((Model_Data!A164)-Inputs!$C$29)^2)/(2*Inputs!$C$31^2))*EXP(-(((0)-Inputs!$C$30)^2)/(2*Inputs!$C$32^2))+-Inputs!$C$33*EXP(-(((((Model_Data!A164)-Inputs!$C$34)^2)+(((0)-Inputs!$C$35)^2))/(2*Inputs!$C$36^2)))+Inputs!$C$37*(0.55*SIN(2*PI()*(Model_Data!A164)/Inputs!$C$39)+0.35*COS(2*PI()*(0)/Inputs!$C$40)+0.2*SIN(2*PI()*((Model_Data!A164)+(0))/(0.5*(Inputs!$C$39+Inputs!$C$40))))+Inputs!$C$38*SIN(2*PI()*(Model_Data!A164)/Inputs!$C$39)*SIN(2*PI()*(0)/Inputs!$C$40)+-Inputs!$C$41*EXP(-(((0)-Inputs!$C$43)^2)/(2*Inputs!$C$44^2))*EXP(-(((Model_Data!A164)-Inputs!$C$42)^2)/(2*Inputs!$C$45^2))+Inputs!$C$48*(0.7*(0.45*SIN(2*PI()*(((Model_Data!A164)/Inputs!$C$49)+Inputs!$C$47*0.137))+0.35*COS(2*PI()*(((0)/Inputs!$C$50)+Inputs!$C$47*0.173))+0.2*SIN(2*PI()*(((Model_Data!A164)+(0))/(0.5*(Inputs!$C$49+Inputs!$C$50))+Inputs!$C$47*0.097)))+0.3*(2*((SIN(((Model_Data!A164)*12.9898+(0)*78.233+Inputs!$C$47*37.719))*43758.5453)-INT((SIN(((Model_Data!A164)*12.9898+(0)*78.233+Inputs!$C$47*37.719))*43758.5453)))-1)))</f>
        <v>84.606080583689305</v>
      </c>
      <c r="H164" s="10"/>
      <c r="I164" s="9">
        <f>Model_Data!A164</f>
        <v>21</v>
      </c>
      <c r="J164" s="9">
        <f>(Inputs!$C$51*(115*EXP(-(((Inputs!$C$6)-25)^2)/(4.5^2))+70*EXP(-(((Inputs!$C$6)+38)^2)/(7^2))*(0.55+0.45*SIN(2*PI()*(Model_Data!A164)/45))+24*SIN(2*PI()*(Inputs!$C$6)/9+(Model_Data!A164)/18)*EXP(-(((Inputs!$C$6)+5)^2)/(22^2))+18*SIN(2*PI()*(Model_Data!A164)/70))+Inputs!$C$28*EXP(-(((Model_Data!A164)-Inputs!$C$29)^2)/(2*Inputs!$C$31^2))*EXP(-(((Inputs!$C$6)-Inputs!$C$30)^2)/(2*Inputs!$C$32^2))+-Inputs!$C$33*EXP(-(((((Model_Data!A164)-Inputs!$C$34)^2)+(((Inputs!$C$6)-Inputs!$C$35)^2))/(2*Inputs!$C$36^2)))+Inputs!$C$37*(0.55*SIN(2*PI()*(Model_Data!A164)/Inputs!$C$39)+0.35*COS(2*PI()*(Inputs!$C$6)/Inputs!$C$40)+0.2*SIN(2*PI()*((Model_Data!A164)+(Inputs!$C$6))/(0.5*(Inputs!$C$39+Inputs!$C$40))))+Inputs!$C$38*SIN(2*PI()*(Model_Data!A164)/Inputs!$C$39)*SIN(2*PI()*(Inputs!$C$6)/Inputs!$C$40)+-Inputs!$C$41*EXP(-(((Inputs!$C$6)-Inputs!$C$43)^2)/(2*Inputs!$C$44^2))*EXP(-(((Model_Data!A164)-Inputs!$C$42)^2)/(2*Inputs!$C$45^2))+Inputs!$C$48*(0.7*(0.45*SIN(2*PI()*(((Model_Data!A164)/Inputs!$C$49)+Inputs!$C$47*0.137))+0.35*COS(2*PI()*(((Inputs!$C$6)/Inputs!$C$50)+Inputs!$C$47*0.173))+0.2*SIN(2*PI()*(((Model_Data!A164)+(Inputs!$C$6))/(0.5*(Inputs!$C$49+Inputs!$C$50))+Inputs!$C$47*0.097)))+0.3*(2*((SIN(((Model_Data!A164)*12.9898+(Inputs!$C$6)*78.233+Inputs!$C$47*37.719))*43758.5453)-INT((SIN(((Model_Data!A164)*12.9898+(Inputs!$C$6)*78.233+Inputs!$C$47*37.719))*43758.5453)))-1)))</f>
        <v>441.25371433177679</v>
      </c>
      <c r="K164" s="9">
        <f>-((((SQRT((Model_Data!A164)^2+Inputs!$C$6^2+((Model_Data!B164)-((Inputs!$C$51*(115*EXP(-(((Inputs!$C$6)-25)^2)/(4.5^2))+70*EXP(-(((Inputs!$C$6)+38)^2)/(7^2))*(0.55+0.45*SIN(2*PI()*(Model_Data!A164)/45))+24*SIN(2*PI()*(Inputs!$C$6)/9+(Model_Data!A164)/18)*EXP(-(((Inputs!$C$6)+5)^2)/(22^2))+18*SIN(2*PI()*(Model_Data!A164)/70))+Inputs!$C$28*EXP(-(((Model_Data!A164)-Inputs!$C$29)^2)/(2*Inputs!$C$31^2))*EXP(-(((Inputs!$C$6)-Inputs!$C$30)^2)/(2*Inputs!$C$32^2))+-Inputs!$C$33*EXP(-(((((Model_Data!A164)-Inputs!$C$34)^2)+(((Inputs!$C$6)-Inputs!$C$35)^2))/(2*Inputs!$C$36^2)))+Inputs!$C$37*(0.55*SIN(2*PI()*(Model_Data!A164)/Inputs!$C$39)+0.35*COS(2*PI()*(Inputs!$C$6)/Inputs!$C$40)+0.2*SIN(2*PI()*((Model_Data!A164)+(Inputs!$C$6))/(0.5*(Inputs!$C$39+Inputs!$C$40))))+Inputs!$C$38*SIN(2*PI()*(Model_Data!A164)/Inputs!$C$39)*SIN(2*PI()*(Inputs!$C$6)/Inputs!$C$40)+-Inputs!$C$41*EXP(-(((Inputs!$C$6)-Inputs!$C$43)^2)/(2*Inputs!$C$44^2))*EXP(-(((Model_Data!A164)-Inputs!$C$42)^2)/(2*Inputs!$C$45^2))+Inputs!$C$48*(0.7*(0.45*SIN(2*PI()*(((Model_Data!A164)/Inputs!$C$49)+Inputs!$C$47*0.137))+0.35*COS(2*PI()*(((Inputs!$C$6)/Inputs!$C$50)+Inputs!$C$47*0.173))+0.2*SIN(2*PI()*(((Model_Data!A164)+(Inputs!$C$6))/(0.5*(Inputs!$C$49+Inputs!$C$50))+Inputs!$C$47*0.097)))+0.3*(2*((SIN(((Model_Data!A164)*12.9898+(Inputs!$C$6)*78.233+Inputs!$C$47*37.719))*43758.5453)-INT((SIN(((Model_Data!A164)*12.9898+(Inputs!$C$6)*78.233+Inputs!$C$47*37.719))*43758.5453)))-1))))/1000)^2))-(((Model_Data!B164)-((Inputs!$C$51*(115*EXP(-(((0)-25)^2)/(4.5^2))+70*EXP(-(((0)+38)^2)/(7^2))*(0.55+0.45*SIN(2*PI()*(Model_Data!A164)/45))+24*SIN(2*PI()*(0)/9+(Model_Data!A164)/18)*EXP(-(((0)+5)^2)/(22^2))+18*SIN(2*PI()*(Model_Data!A164)/70))+Inputs!$C$28*EXP(-(((Model_Data!A164)-Inputs!$C$29)^2)/(2*Inputs!$C$31^2))*EXP(-(((0)-Inputs!$C$30)^2)/(2*Inputs!$C$32^2))+-Inputs!$C$33*EXP(-(((((Model_Data!A164)-Inputs!$C$34)^2)+(((0)-Inputs!$C$35)^2))/(2*Inputs!$C$36^2)))+Inputs!$C$37*(0.55*SIN(2*PI()*(Model_Data!A164)/Inputs!$C$39)+0.35*COS(2*PI()*(0)/Inputs!$C$40)+0.2*SIN(2*PI()*((Model_Data!A164)+(0))/(0.5*(Inputs!$C$39+Inputs!$C$40))))+Inputs!$C$38*SIN(2*PI()*(Model_Data!A164)/Inputs!$C$39)*SIN(2*PI()*(0)/Inputs!$C$40)+-Inputs!$C$41*EXP(-(((0)-Inputs!$C$43)^2)/(2*Inputs!$C$44^2))*EXP(-(((Model_Data!A164)-Inputs!$C$42)^2)/(2*Inputs!$C$45^2))+Inputs!$C$48*(0.7*(0.45*SIN(2*PI()*(((Model_Data!A164)/Inputs!$C$49)+Inputs!$C$47*0.137))+0.35*COS(2*PI()*(((0)/Inputs!$C$50)+Inputs!$C$47*0.173))+0.2*SIN(2*PI()*(((Model_Data!A164)+(0))/(0.5*(Inputs!$C$49+Inputs!$C$50))+Inputs!$C$47*0.097)))+0.3*(2*((SIN(((Model_Data!A164)*12.9898+(0)*78.233+Inputs!$C$47*37.719))*43758.5453)-INT((SIN(((Model_Data!A164)*12.9898+(0)*78.233+Inputs!$C$47*37.719))*43758.5453)))-1))))/1000)))*1000/Inputs!$C$12)-Model_Data!F164)</f>
        <v>199.54324133399098</v>
      </c>
      <c r="L164" s="10"/>
      <c r="M164" s="9">
        <f>Model_Data!A164</f>
        <v>21</v>
      </c>
      <c r="N164" s="9">
        <f>Model_Data!P164</f>
        <v>-158.03958042535135</v>
      </c>
      <c r="O164" s="9">
        <f t="shared" si="4"/>
        <v>-154.34230662731352</v>
      </c>
      <c r="P164" s="9">
        <f>Model_Data!Q164</f>
        <v>-23.729666730533236</v>
      </c>
      <c r="Q164" s="9">
        <f t="shared" si="5"/>
        <v>-23.17452051461164</v>
      </c>
      <c r="R164" s="10"/>
      <c r="S164" s="9">
        <f>Model_Data!A164</f>
        <v>21</v>
      </c>
      <c r="T164" s="9">
        <f>Model_Data!B164-Inputs!$C$5</f>
        <v>0.49000000000000909</v>
      </c>
      <c r="U164" s="10"/>
      <c r="V164" s="9">
        <f>Model_Data!A164</f>
        <v>21</v>
      </c>
      <c r="W164" s="9">
        <f>((SQRT((Model_Data!A164)^2+Inputs!$C$6^2+Inputs!$C$5^2)-Inputs!$C$5)*1000/Inputs!$C$12)</f>
        <v>747.35276268002508</v>
      </c>
      <c r="X164" s="9">
        <f>Model_Data!F164</f>
        <v>746.44140104912105</v>
      </c>
      <c r="Y164" s="10"/>
      <c r="Z164" s="9">
        <f>Model_Data!A164</f>
        <v>21</v>
      </c>
      <c r="AA164" s="9">
        <f>SQRT((Model_Data!A164)^2+Inputs!$C$6^2+((Model_Data!B164)-((Inputs!$C$51*(115*EXP(-(((Inputs!$C$6)-25)^2)/(4.5^2))+70*EXP(-(((Inputs!$C$6)+38)^2)/(7^2))*(0.55+0.45*SIN(2*PI()*(Model_Data!A164)/45))+24*SIN(2*PI()*(Inputs!$C$6)/9+(Model_Data!A164)/18)*EXP(-(((Inputs!$C$6)+5)^2)/(22^2))+18*SIN(2*PI()*(Model_Data!A164)/70))+Inputs!$C$28*EXP(-(((Model_Data!A164)-Inputs!$C$29)^2)/(2*Inputs!$C$31^2))*EXP(-(((Inputs!$C$6)-Inputs!$C$30)^2)/(2*Inputs!$C$32^2))+-Inputs!$C$33*EXP(-(((((Model_Data!A164)-Inputs!$C$34)^2)+(((Inputs!$C$6)-Inputs!$C$35)^2))/(2*Inputs!$C$36^2)))+Inputs!$C$37*(0.55*SIN(2*PI()*(Model_Data!A164)/Inputs!$C$39)+0.35*COS(2*PI()*(Inputs!$C$6)/Inputs!$C$40)+0.2*SIN(2*PI()*((Model_Data!A164)+(Inputs!$C$6))/(0.5*(Inputs!$C$39+Inputs!$C$40))))+Inputs!$C$38*SIN(2*PI()*(Model_Data!A164)/Inputs!$C$39)*SIN(2*PI()*(Inputs!$C$6)/Inputs!$C$40)+-Inputs!$C$41*EXP(-(((Inputs!$C$6)-Inputs!$C$43)^2)/(2*Inputs!$C$44^2))*EXP(-(((Model_Data!A164)-Inputs!$C$42)^2)/(2*Inputs!$C$45^2))+Inputs!$C$48*(0.7*(0.45*SIN(2*PI()*(((Model_Data!A164)/Inputs!$C$49)+Inputs!$C$47*0.137))+0.35*COS(2*PI()*(((Inputs!$C$6)/Inputs!$C$50)+Inputs!$C$47*0.173))+0.2*SIN(2*PI()*(((Model_Data!A164)+(Inputs!$C$6))/(0.5*(Inputs!$C$49+Inputs!$C$50))+Inputs!$C$47*0.097)))+0.3*(2*((SIN(((Model_Data!A164)*12.9898+(Inputs!$C$6)*78.233+Inputs!$C$47*37.719))*43758.5453)-INT((SIN(((Model_Data!A164)*12.9898+(Inputs!$C$6)*78.233+Inputs!$C$47*37.719))*43758.5453)))-1))))/1000)^2)</f>
        <v>401.37887264370926</v>
      </c>
      <c r="AB164" s="9">
        <f>1000*(AA165-AA163)/(Z165-Z163)*Inputs!$C$11</f>
        <v>385.8557665682838</v>
      </c>
      <c r="AC164" s="9">
        <f>-2*AB164/Inputs!$C$13</f>
        <v>-154.34230662731352</v>
      </c>
      <c r="AD164" s="9">
        <f>-2*AB164/Inputs!$C$14</f>
        <v>-23.17452051461164</v>
      </c>
    </row>
    <row r="165" spans="1:30">
      <c r="A165" s="9">
        <f>Model_Data!A165</f>
        <v>21.5</v>
      </c>
      <c r="B165" s="9">
        <f>((SQRT((Model_Data!A165)^2+Inputs!$C$6^2+Inputs!$C$5^2)-Inputs!$C$5)*1000/Inputs!$C$12)</f>
        <v>762.225560560453</v>
      </c>
      <c r="C165" s="9">
        <f>Model_Data!F165</f>
        <v>761.25139478869073</v>
      </c>
      <c r="D165" s="9">
        <f>(((SQRT((Model_Data!A165)^2+Inputs!$C$6^2+((Model_Data!B165)-((Inputs!$C$51*(115*EXP(-(((Inputs!$C$6)-25)^2)/(4.5^2))+70*EXP(-(((Inputs!$C$6)+38)^2)/(7^2))*(0.55+0.45*SIN(2*PI()*(Model_Data!A165)/45))+24*SIN(2*PI()*(Inputs!$C$6)/9+(Model_Data!A165)/18)*EXP(-(((Inputs!$C$6)+5)^2)/(22^2))+18*SIN(2*PI()*(Model_Data!A165)/70))+Inputs!$C$28*EXP(-(((Model_Data!A165)-Inputs!$C$29)^2)/(2*Inputs!$C$31^2))*EXP(-(((Inputs!$C$6)-Inputs!$C$30)^2)/(2*Inputs!$C$32^2))+-Inputs!$C$33*EXP(-(((((Model_Data!A165)-Inputs!$C$34)^2)+(((Inputs!$C$6)-Inputs!$C$35)^2))/(2*Inputs!$C$36^2)))+Inputs!$C$37*(0.55*SIN(2*PI()*(Model_Data!A165)/Inputs!$C$39)+0.35*COS(2*PI()*(Inputs!$C$6)/Inputs!$C$40)+0.2*SIN(2*PI()*((Model_Data!A165)+(Inputs!$C$6))/(0.5*(Inputs!$C$39+Inputs!$C$40))))+Inputs!$C$38*SIN(2*PI()*(Model_Data!A165)/Inputs!$C$39)*SIN(2*PI()*(Inputs!$C$6)/Inputs!$C$40)+-Inputs!$C$41*EXP(-(((Inputs!$C$6)-Inputs!$C$43)^2)/(2*Inputs!$C$44^2))*EXP(-(((Model_Data!A165)-Inputs!$C$42)^2)/(2*Inputs!$C$45^2))+Inputs!$C$48*(0.7*(0.45*SIN(2*PI()*(((Model_Data!A165)/Inputs!$C$49)+Inputs!$C$47*0.137))+0.35*COS(2*PI()*(((Inputs!$C$6)/Inputs!$C$50)+Inputs!$C$47*0.173))+0.2*SIN(2*PI()*(((Model_Data!A165)+(Inputs!$C$6))/(0.5*(Inputs!$C$49+Inputs!$C$50))+Inputs!$C$47*0.097)))+0.3*(2*((SIN(((Model_Data!A165)*12.9898+(Inputs!$C$6)*78.233+Inputs!$C$47*37.719))*43758.5453)-INT((SIN(((Model_Data!A165)*12.9898+(Inputs!$C$6)*78.233+Inputs!$C$47*37.719))*43758.5453)))-1))))/1000)^2))-(((Model_Data!B165)-((Inputs!$C$51*(115*EXP(-(((0)-25)^2)/(4.5^2))+70*EXP(-(((0)+38)^2)/(7^2))*(0.55+0.45*SIN(2*PI()*(Model_Data!A165)/45))+24*SIN(2*PI()*(0)/9+(Model_Data!A165)/18)*EXP(-(((0)+5)^2)/(22^2))+18*SIN(2*PI()*(Model_Data!A165)/70))+Inputs!$C$28*EXP(-(((Model_Data!A165)-Inputs!$C$29)^2)/(2*Inputs!$C$31^2))*EXP(-(((0)-Inputs!$C$30)^2)/(2*Inputs!$C$32^2))+-Inputs!$C$33*EXP(-(((((Model_Data!A165)-Inputs!$C$34)^2)+(((0)-Inputs!$C$35)^2))/(2*Inputs!$C$36^2)))+Inputs!$C$37*(0.55*SIN(2*PI()*(Model_Data!A165)/Inputs!$C$39)+0.35*COS(2*PI()*(0)/Inputs!$C$40)+0.2*SIN(2*PI()*((Model_Data!A165)+(0))/(0.5*(Inputs!$C$39+Inputs!$C$40))))+Inputs!$C$38*SIN(2*PI()*(Model_Data!A165)/Inputs!$C$39)*SIN(2*PI()*(0)/Inputs!$C$40)+-Inputs!$C$41*EXP(-(((0)-Inputs!$C$43)^2)/(2*Inputs!$C$44^2))*EXP(-(((Model_Data!A165)-Inputs!$C$42)^2)/(2*Inputs!$C$45^2))+Inputs!$C$48*(0.7*(0.45*SIN(2*PI()*(((Model_Data!A165)/Inputs!$C$49)+Inputs!$C$47*0.137))+0.35*COS(2*PI()*(((0)/Inputs!$C$50)+Inputs!$C$47*0.173))+0.2*SIN(2*PI()*(((Model_Data!A165)+(0))/(0.5*(Inputs!$C$49+Inputs!$C$50))+Inputs!$C$47*0.097)))+0.3*(2*((SIN(((Model_Data!A165)*12.9898+(0)*78.233+Inputs!$C$47*37.719))*43758.5453)-INT((SIN(((Model_Data!A165)*12.9898+(0)*78.233+Inputs!$C$47*37.719))*43758.5453)))-1))))/1000)))*1000/Inputs!$C$12)</f>
        <v>559.57243896015177</v>
      </c>
      <c r="E165" s="9">
        <f>Model_Data!A165</f>
        <v>21.5</v>
      </c>
      <c r="F165" s="9">
        <f>(Inputs!$C$51*(115*EXP(-(((Inputs!$C$6)-25)^2)/(4.5^2))+70*EXP(-(((Inputs!$C$6)+38)^2)/(7^2))*(0.55+0.45*SIN(2*PI()*(Model_Data!A165)/45))+24*SIN(2*PI()*(Inputs!$C$6)/9+(Model_Data!A165)/18)*EXP(-(((Inputs!$C$6)+5)^2)/(22^2))+18*SIN(2*PI()*(Model_Data!A165)/70))+Inputs!$C$28*EXP(-(((Model_Data!A165)-Inputs!$C$29)^2)/(2*Inputs!$C$31^2))*EXP(-(((Inputs!$C$6)-Inputs!$C$30)^2)/(2*Inputs!$C$32^2))+-Inputs!$C$33*EXP(-(((((Model_Data!A165)-Inputs!$C$34)^2)+(((Inputs!$C$6)-Inputs!$C$35)^2))/(2*Inputs!$C$36^2)))+Inputs!$C$37*(0.55*SIN(2*PI()*(Model_Data!A165)/Inputs!$C$39)+0.35*COS(2*PI()*(Inputs!$C$6)/Inputs!$C$40)+0.2*SIN(2*PI()*((Model_Data!A165)+(Inputs!$C$6))/(0.5*(Inputs!$C$39+Inputs!$C$40))))+Inputs!$C$38*SIN(2*PI()*(Model_Data!A165)/Inputs!$C$39)*SIN(2*PI()*(Inputs!$C$6)/Inputs!$C$40)+-Inputs!$C$41*EXP(-(((Inputs!$C$6)-Inputs!$C$43)^2)/(2*Inputs!$C$44^2))*EXP(-(((Model_Data!A165)-Inputs!$C$42)^2)/(2*Inputs!$C$45^2))+Inputs!$C$48*(0.7*(0.45*SIN(2*PI()*(((Model_Data!A165)/Inputs!$C$49)+Inputs!$C$47*0.137))+0.35*COS(2*PI()*(((Inputs!$C$6)/Inputs!$C$50)+Inputs!$C$47*0.173))+0.2*SIN(2*PI()*(((Model_Data!A165)+(Inputs!$C$6))/(0.5*(Inputs!$C$49+Inputs!$C$50))+Inputs!$C$47*0.097)))+0.3*(2*((SIN(((Model_Data!A165)*12.9898+(Inputs!$C$6)*78.233+Inputs!$C$47*37.719))*43758.5453)-INT((SIN(((Model_Data!A165)*12.9898+(Inputs!$C$6)*78.233+Inputs!$C$47*37.719))*43758.5453)))-1)))</f>
        <v>444.13942667643141</v>
      </c>
      <c r="G165" s="9">
        <f>(Inputs!$C$51*(115*EXP(-(((0)-25)^2)/(4.5^2))+70*EXP(-(((0)+38)^2)/(7^2))*(0.55+0.45*SIN(2*PI()*(Model_Data!A165)/45))+24*SIN(2*PI()*(0)/9+(Model_Data!A165)/18)*EXP(-(((0)+5)^2)/(22^2))+18*SIN(2*PI()*(Model_Data!A165)/70))+Inputs!$C$28*EXP(-(((Model_Data!A165)-Inputs!$C$29)^2)/(2*Inputs!$C$31^2))*EXP(-(((0)-Inputs!$C$30)^2)/(2*Inputs!$C$32^2))+-Inputs!$C$33*EXP(-(((((Model_Data!A165)-Inputs!$C$34)^2)+(((0)-Inputs!$C$35)^2))/(2*Inputs!$C$36^2)))+Inputs!$C$37*(0.55*SIN(2*PI()*(Model_Data!A165)/Inputs!$C$39)+0.35*COS(2*PI()*(0)/Inputs!$C$40)+0.2*SIN(2*PI()*((Model_Data!A165)+(0))/(0.5*(Inputs!$C$39+Inputs!$C$40))))+Inputs!$C$38*SIN(2*PI()*(Model_Data!A165)/Inputs!$C$39)*SIN(2*PI()*(0)/Inputs!$C$40)+-Inputs!$C$41*EXP(-(((0)-Inputs!$C$43)^2)/(2*Inputs!$C$44^2))*EXP(-(((Model_Data!A165)-Inputs!$C$42)^2)/(2*Inputs!$C$45^2))+Inputs!$C$48*(0.7*(0.45*SIN(2*PI()*(((Model_Data!A165)/Inputs!$C$49)+Inputs!$C$47*0.137))+0.35*COS(2*PI()*(((0)/Inputs!$C$50)+Inputs!$C$47*0.173))+0.2*SIN(2*PI()*(((Model_Data!A165)+(0))/(0.5*(Inputs!$C$49+Inputs!$C$50))+Inputs!$C$47*0.097)))+0.3*(2*((SIN(((Model_Data!A165)*12.9898+(0)*78.233+Inputs!$C$47*37.719))*43758.5453)-INT((SIN(((Model_Data!A165)*12.9898+(0)*78.233+Inputs!$C$47*37.719))*43758.5453)))-1)))</f>
        <v>83.651674349785893</v>
      </c>
      <c r="H165" s="10"/>
      <c r="I165" s="9">
        <f>Model_Data!A165</f>
        <v>21.5</v>
      </c>
      <c r="J165" s="9">
        <f>(Inputs!$C$51*(115*EXP(-(((Inputs!$C$6)-25)^2)/(4.5^2))+70*EXP(-(((Inputs!$C$6)+38)^2)/(7^2))*(0.55+0.45*SIN(2*PI()*(Model_Data!A165)/45))+24*SIN(2*PI()*(Inputs!$C$6)/9+(Model_Data!A165)/18)*EXP(-(((Inputs!$C$6)+5)^2)/(22^2))+18*SIN(2*PI()*(Model_Data!A165)/70))+Inputs!$C$28*EXP(-(((Model_Data!A165)-Inputs!$C$29)^2)/(2*Inputs!$C$31^2))*EXP(-(((Inputs!$C$6)-Inputs!$C$30)^2)/(2*Inputs!$C$32^2))+-Inputs!$C$33*EXP(-(((((Model_Data!A165)-Inputs!$C$34)^2)+(((Inputs!$C$6)-Inputs!$C$35)^2))/(2*Inputs!$C$36^2)))+Inputs!$C$37*(0.55*SIN(2*PI()*(Model_Data!A165)/Inputs!$C$39)+0.35*COS(2*PI()*(Inputs!$C$6)/Inputs!$C$40)+0.2*SIN(2*PI()*((Model_Data!A165)+(Inputs!$C$6))/(0.5*(Inputs!$C$39+Inputs!$C$40))))+Inputs!$C$38*SIN(2*PI()*(Model_Data!A165)/Inputs!$C$39)*SIN(2*PI()*(Inputs!$C$6)/Inputs!$C$40)+-Inputs!$C$41*EXP(-(((Inputs!$C$6)-Inputs!$C$43)^2)/(2*Inputs!$C$44^2))*EXP(-(((Model_Data!A165)-Inputs!$C$42)^2)/(2*Inputs!$C$45^2))+Inputs!$C$48*(0.7*(0.45*SIN(2*PI()*(((Model_Data!A165)/Inputs!$C$49)+Inputs!$C$47*0.137))+0.35*COS(2*PI()*(((Inputs!$C$6)/Inputs!$C$50)+Inputs!$C$47*0.173))+0.2*SIN(2*PI()*(((Model_Data!A165)+(Inputs!$C$6))/(0.5*(Inputs!$C$49+Inputs!$C$50))+Inputs!$C$47*0.097)))+0.3*(2*((SIN(((Model_Data!A165)*12.9898+(Inputs!$C$6)*78.233+Inputs!$C$47*37.719))*43758.5453)-INT((SIN(((Model_Data!A165)*12.9898+(Inputs!$C$6)*78.233+Inputs!$C$47*37.719))*43758.5453)))-1)))</f>
        <v>444.13942667643141</v>
      </c>
      <c r="K165" s="9">
        <f>-((((SQRT((Model_Data!A165)^2+Inputs!$C$6^2+((Model_Data!B165)-((Inputs!$C$51*(115*EXP(-(((Inputs!$C$6)-25)^2)/(4.5^2))+70*EXP(-(((Inputs!$C$6)+38)^2)/(7^2))*(0.55+0.45*SIN(2*PI()*(Model_Data!A165)/45))+24*SIN(2*PI()*(Inputs!$C$6)/9+(Model_Data!A165)/18)*EXP(-(((Inputs!$C$6)+5)^2)/(22^2))+18*SIN(2*PI()*(Model_Data!A165)/70))+Inputs!$C$28*EXP(-(((Model_Data!A165)-Inputs!$C$29)^2)/(2*Inputs!$C$31^2))*EXP(-(((Inputs!$C$6)-Inputs!$C$30)^2)/(2*Inputs!$C$32^2))+-Inputs!$C$33*EXP(-(((((Model_Data!A165)-Inputs!$C$34)^2)+(((Inputs!$C$6)-Inputs!$C$35)^2))/(2*Inputs!$C$36^2)))+Inputs!$C$37*(0.55*SIN(2*PI()*(Model_Data!A165)/Inputs!$C$39)+0.35*COS(2*PI()*(Inputs!$C$6)/Inputs!$C$40)+0.2*SIN(2*PI()*((Model_Data!A165)+(Inputs!$C$6))/(0.5*(Inputs!$C$39+Inputs!$C$40))))+Inputs!$C$38*SIN(2*PI()*(Model_Data!A165)/Inputs!$C$39)*SIN(2*PI()*(Inputs!$C$6)/Inputs!$C$40)+-Inputs!$C$41*EXP(-(((Inputs!$C$6)-Inputs!$C$43)^2)/(2*Inputs!$C$44^2))*EXP(-(((Model_Data!A165)-Inputs!$C$42)^2)/(2*Inputs!$C$45^2))+Inputs!$C$48*(0.7*(0.45*SIN(2*PI()*(((Model_Data!A165)/Inputs!$C$49)+Inputs!$C$47*0.137))+0.35*COS(2*PI()*(((Inputs!$C$6)/Inputs!$C$50)+Inputs!$C$47*0.173))+0.2*SIN(2*PI()*(((Model_Data!A165)+(Inputs!$C$6))/(0.5*(Inputs!$C$49+Inputs!$C$50))+Inputs!$C$47*0.097)))+0.3*(2*((SIN(((Model_Data!A165)*12.9898+(Inputs!$C$6)*78.233+Inputs!$C$47*37.719))*43758.5453)-INT((SIN(((Model_Data!A165)*12.9898+(Inputs!$C$6)*78.233+Inputs!$C$47*37.719))*43758.5453)))-1))))/1000)^2))-(((Model_Data!B165)-((Inputs!$C$51*(115*EXP(-(((0)-25)^2)/(4.5^2))+70*EXP(-(((0)+38)^2)/(7^2))*(0.55+0.45*SIN(2*PI()*(Model_Data!A165)/45))+24*SIN(2*PI()*(0)/9+(Model_Data!A165)/18)*EXP(-(((0)+5)^2)/(22^2))+18*SIN(2*PI()*(Model_Data!A165)/70))+Inputs!$C$28*EXP(-(((Model_Data!A165)-Inputs!$C$29)^2)/(2*Inputs!$C$31^2))*EXP(-(((0)-Inputs!$C$30)^2)/(2*Inputs!$C$32^2))+-Inputs!$C$33*EXP(-(((((Model_Data!A165)-Inputs!$C$34)^2)+(((0)-Inputs!$C$35)^2))/(2*Inputs!$C$36^2)))+Inputs!$C$37*(0.55*SIN(2*PI()*(Model_Data!A165)/Inputs!$C$39)+0.35*COS(2*PI()*(0)/Inputs!$C$40)+0.2*SIN(2*PI()*((Model_Data!A165)+(0))/(0.5*(Inputs!$C$39+Inputs!$C$40))))+Inputs!$C$38*SIN(2*PI()*(Model_Data!A165)/Inputs!$C$39)*SIN(2*PI()*(0)/Inputs!$C$40)+-Inputs!$C$41*EXP(-(((0)-Inputs!$C$43)^2)/(2*Inputs!$C$44^2))*EXP(-(((Model_Data!A165)-Inputs!$C$42)^2)/(2*Inputs!$C$45^2))+Inputs!$C$48*(0.7*(0.45*SIN(2*PI()*(((Model_Data!A165)/Inputs!$C$49)+Inputs!$C$47*0.137))+0.35*COS(2*PI()*(((0)/Inputs!$C$50)+Inputs!$C$47*0.173))+0.2*SIN(2*PI()*(((Model_Data!A165)+(0))/(0.5*(Inputs!$C$49+Inputs!$C$50))+Inputs!$C$47*0.097)))+0.3*(2*((SIN(((Model_Data!A165)*12.9898+(0)*78.233+Inputs!$C$47*37.719))*43758.5453)-INT((SIN(((Model_Data!A165)*12.9898+(0)*78.233+Inputs!$C$47*37.719))*43758.5453)))-1))))/1000)))*1000/Inputs!$C$12)-Model_Data!F165)</f>
        <v>201.67895582853896</v>
      </c>
      <c r="L165" s="10"/>
      <c r="M165" s="9">
        <f>Model_Data!A165</f>
        <v>21.5</v>
      </c>
      <c r="N165" s="9">
        <f>Model_Data!P165</f>
        <v>-161.78679859499886</v>
      </c>
      <c r="O165" s="9">
        <f t="shared" si="4"/>
        <v>-151.47462317754616</v>
      </c>
      <c r="P165" s="9">
        <f>Model_Data!Q165</f>
        <v>-24.292312101351179</v>
      </c>
      <c r="Q165" s="9">
        <f t="shared" si="5"/>
        <v>-22.743937414045973</v>
      </c>
      <c r="R165" s="10"/>
      <c r="S165" s="9">
        <f>Model_Data!A165</f>
        <v>21.5</v>
      </c>
      <c r="T165" s="9">
        <f>Model_Data!B165-Inputs!$C$5</f>
        <v>0.51361111111111768</v>
      </c>
      <c r="U165" s="10"/>
      <c r="V165" s="9">
        <f>Model_Data!A165</f>
        <v>21.5</v>
      </c>
      <c r="W165" s="9">
        <f>((SQRT((Model_Data!A165)^2+Inputs!$C$6^2+Inputs!$C$5^2)-Inputs!$C$5)*1000/Inputs!$C$12)</f>
        <v>762.225560560453</v>
      </c>
      <c r="X165" s="9">
        <f>Model_Data!F165</f>
        <v>761.25139478869073</v>
      </c>
      <c r="Y165" s="10"/>
      <c r="Z165" s="9">
        <f>Model_Data!A165</f>
        <v>21.5</v>
      </c>
      <c r="AA165" s="9">
        <f>SQRT((Model_Data!A165)^2+Inputs!$C$6^2+((Model_Data!B165)-((Inputs!$C$51*(115*EXP(-(((Inputs!$C$6)-25)^2)/(4.5^2))+70*EXP(-(((Inputs!$C$6)+38)^2)/(7^2))*(0.55+0.45*SIN(2*PI()*(Model_Data!A165)/45))+24*SIN(2*PI()*(Inputs!$C$6)/9+(Model_Data!A165)/18)*EXP(-(((Inputs!$C$6)+5)^2)/(22^2))+18*SIN(2*PI()*(Model_Data!A165)/70))+Inputs!$C$28*EXP(-(((Model_Data!A165)-Inputs!$C$29)^2)/(2*Inputs!$C$31^2))*EXP(-(((Inputs!$C$6)-Inputs!$C$30)^2)/(2*Inputs!$C$32^2))+-Inputs!$C$33*EXP(-(((((Model_Data!A165)-Inputs!$C$34)^2)+(((Inputs!$C$6)-Inputs!$C$35)^2))/(2*Inputs!$C$36^2)))+Inputs!$C$37*(0.55*SIN(2*PI()*(Model_Data!A165)/Inputs!$C$39)+0.35*COS(2*PI()*(Inputs!$C$6)/Inputs!$C$40)+0.2*SIN(2*PI()*((Model_Data!A165)+(Inputs!$C$6))/(0.5*(Inputs!$C$39+Inputs!$C$40))))+Inputs!$C$38*SIN(2*PI()*(Model_Data!A165)/Inputs!$C$39)*SIN(2*PI()*(Inputs!$C$6)/Inputs!$C$40)+-Inputs!$C$41*EXP(-(((Inputs!$C$6)-Inputs!$C$43)^2)/(2*Inputs!$C$44^2))*EXP(-(((Model_Data!A165)-Inputs!$C$42)^2)/(2*Inputs!$C$45^2))+Inputs!$C$48*(0.7*(0.45*SIN(2*PI()*(((Model_Data!A165)/Inputs!$C$49)+Inputs!$C$47*0.137))+0.35*COS(2*PI()*(((Inputs!$C$6)/Inputs!$C$50)+Inputs!$C$47*0.173))+0.2*SIN(2*PI()*(((Model_Data!A165)+(Inputs!$C$6))/(0.5*(Inputs!$C$49+Inputs!$C$50))+Inputs!$C$47*0.097)))+0.3*(2*((SIN(((Model_Data!A165)*12.9898+(Inputs!$C$6)*78.233+Inputs!$C$47*37.719))*43758.5453)-INT((SIN(((Model_Data!A165)*12.9898+(Inputs!$C$6)*78.233+Inputs!$C$47*37.719))*43758.5453)))-1))))/1000)^2)</f>
        <v>401.42599837811042</v>
      </c>
      <c r="AB165" s="9">
        <f>1000*(AA166-AA164)/(Z166-Z164)*Inputs!$C$11</f>
        <v>378.68655794386541</v>
      </c>
      <c r="AC165" s="9">
        <f>-2*AB165/Inputs!$C$13</f>
        <v>-151.47462317754616</v>
      </c>
      <c r="AD165" s="9">
        <f>-2*AB165/Inputs!$C$14</f>
        <v>-22.743937414045973</v>
      </c>
    </row>
    <row r="166" spans="1:30">
      <c r="A166" s="9">
        <f>Model_Data!A166</f>
        <v>22</v>
      </c>
      <c r="B166" s="9">
        <f>((SQRT((Model_Data!A166)^2+Inputs!$C$6^2+Inputs!$C$5^2)-Inputs!$C$5)*1000/Inputs!$C$12)</f>
        <v>777.44729078630644</v>
      </c>
      <c r="C166" s="9">
        <f>Model_Data!F166</f>
        <v>776.40705108752229</v>
      </c>
      <c r="D166" s="9">
        <f>(((SQRT((Model_Data!A166)^2+Inputs!$C$6^2+((Model_Data!B166)-((Inputs!$C$51*(115*EXP(-(((Inputs!$C$6)-25)^2)/(4.5^2))+70*EXP(-(((Inputs!$C$6)+38)^2)/(7^2))*(0.55+0.45*SIN(2*PI()*(Model_Data!A166)/45))+24*SIN(2*PI()*(Inputs!$C$6)/9+(Model_Data!A166)/18)*EXP(-(((Inputs!$C$6)+5)^2)/(22^2))+18*SIN(2*PI()*(Model_Data!A166)/70))+Inputs!$C$28*EXP(-(((Model_Data!A166)-Inputs!$C$29)^2)/(2*Inputs!$C$31^2))*EXP(-(((Inputs!$C$6)-Inputs!$C$30)^2)/(2*Inputs!$C$32^2))+-Inputs!$C$33*EXP(-(((((Model_Data!A166)-Inputs!$C$34)^2)+(((Inputs!$C$6)-Inputs!$C$35)^2))/(2*Inputs!$C$36^2)))+Inputs!$C$37*(0.55*SIN(2*PI()*(Model_Data!A166)/Inputs!$C$39)+0.35*COS(2*PI()*(Inputs!$C$6)/Inputs!$C$40)+0.2*SIN(2*PI()*((Model_Data!A166)+(Inputs!$C$6))/(0.5*(Inputs!$C$39+Inputs!$C$40))))+Inputs!$C$38*SIN(2*PI()*(Model_Data!A166)/Inputs!$C$39)*SIN(2*PI()*(Inputs!$C$6)/Inputs!$C$40)+-Inputs!$C$41*EXP(-(((Inputs!$C$6)-Inputs!$C$43)^2)/(2*Inputs!$C$44^2))*EXP(-(((Model_Data!A166)-Inputs!$C$42)^2)/(2*Inputs!$C$45^2))+Inputs!$C$48*(0.7*(0.45*SIN(2*PI()*(((Model_Data!A166)/Inputs!$C$49)+Inputs!$C$47*0.137))+0.35*COS(2*PI()*(((Inputs!$C$6)/Inputs!$C$50)+Inputs!$C$47*0.173))+0.2*SIN(2*PI()*(((Model_Data!A166)+(Inputs!$C$6))/(0.5*(Inputs!$C$49+Inputs!$C$50))+Inputs!$C$47*0.097)))+0.3*(2*((SIN(((Model_Data!A166)*12.9898+(Inputs!$C$6)*78.233+Inputs!$C$47*37.719))*43758.5453)-INT((SIN(((Model_Data!A166)*12.9898+(Inputs!$C$6)*78.233+Inputs!$C$47*37.719))*43758.5453)))-1))))/1000)^2))-(((Model_Data!B166)-((Inputs!$C$51*(115*EXP(-(((0)-25)^2)/(4.5^2))+70*EXP(-(((0)+38)^2)/(7^2))*(0.55+0.45*SIN(2*PI()*(Model_Data!A166)/45))+24*SIN(2*PI()*(0)/9+(Model_Data!A166)/18)*EXP(-(((0)+5)^2)/(22^2))+18*SIN(2*PI()*(Model_Data!A166)/70))+Inputs!$C$28*EXP(-(((Model_Data!A166)-Inputs!$C$29)^2)/(2*Inputs!$C$31^2))*EXP(-(((0)-Inputs!$C$30)^2)/(2*Inputs!$C$32^2))+-Inputs!$C$33*EXP(-(((((Model_Data!A166)-Inputs!$C$34)^2)+(((0)-Inputs!$C$35)^2))/(2*Inputs!$C$36^2)))+Inputs!$C$37*(0.55*SIN(2*PI()*(Model_Data!A166)/Inputs!$C$39)+0.35*COS(2*PI()*(0)/Inputs!$C$40)+0.2*SIN(2*PI()*((Model_Data!A166)+(0))/(0.5*(Inputs!$C$39+Inputs!$C$40))))+Inputs!$C$38*SIN(2*PI()*(Model_Data!A166)/Inputs!$C$39)*SIN(2*PI()*(0)/Inputs!$C$40)+-Inputs!$C$41*EXP(-(((0)-Inputs!$C$43)^2)/(2*Inputs!$C$44^2))*EXP(-(((Model_Data!A166)-Inputs!$C$42)^2)/(2*Inputs!$C$45^2))+Inputs!$C$48*(0.7*(0.45*SIN(2*PI()*(((Model_Data!A166)/Inputs!$C$49)+Inputs!$C$47*0.137))+0.35*COS(2*PI()*(((0)/Inputs!$C$50)+Inputs!$C$47*0.173))+0.2*SIN(2*PI()*(((Model_Data!A166)+(0))/(0.5*(Inputs!$C$49+Inputs!$C$50))+Inputs!$C$47*0.097)))+0.3*(2*((SIN(((Model_Data!A166)*12.9898+(0)*78.233+Inputs!$C$47*37.719))*43758.5453)-INT((SIN(((Model_Data!A166)*12.9898+(0)*78.233+Inputs!$C$47*37.719))*43758.5453)))-1))))/1000)))*1000/Inputs!$C$12)</f>
        <v>566.92831667481937</v>
      </c>
      <c r="E166" s="9">
        <f>Model_Data!A166</f>
        <v>22</v>
      </c>
      <c r="F166" s="9">
        <f>(Inputs!$C$51*(115*EXP(-(((Inputs!$C$6)-25)^2)/(4.5^2))+70*EXP(-(((Inputs!$C$6)+38)^2)/(7^2))*(0.55+0.45*SIN(2*PI()*(Model_Data!A166)/45))+24*SIN(2*PI()*(Inputs!$C$6)/9+(Model_Data!A166)/18)*EXP(-(((Inputs!$C$6)+5)^2)/(22^2))+18*SIN(2*PI()*(Model_Data!A166)/70))+Inputs!$C$28*EXP(-(((Model_Data!A166)-Inputs!$C$29)^2)/(2*Inputs!$C$31^2))*EXP(-(((Inputs!$C$6)-Inputs!$C$30)^2)/(2*Inputs!$C$32^2))+-Inputs!$C$33*EXP(-(((((Model_Data!A166)-Inputs!$C$34)^2)+(((Inputs!$C$6)-Inputs!$C$35)^2))/(2*Inputs!$C$36^2)))+Inputs!$C$37*(0.55*SIN(2*PI()*(Model_Data!A166)/Inputs!$C$39)+0.35*COS(2*PI()*(Inputs!$C$6)/Inputs!$C$40)+0.2*SIN(2*PI()*((Model_Data!A166)+(Inputs!$C$6))/(0.5*(Inputs!$C$39+Inputs!$C$40))))+Inputs!$C$38*SIN(2*PI()*(Model_Data!A166)/Inputs!$C$39)*SIN(2*PI()*(Inputs!$C$6)/Inputs!$C$40)+-Inputs!$C$41*EXP(-(((Inputs!$C$6)-Inputs!$C$43)^2)/(2*Inputs!$C$44^2))*EXP(-(((Model_Data!A166)-Inputs!$C$42)^2)/(2*Inputs!$C$45^2))+Inputs!$C$48*(0.7*(0.45*SIN(2*PI()*(((Model_Data!A166)/Inputs!$C$49)+Inputs!$C$47*0.137))+0.35*COS(2*PI()*(((Inputs!$C$6)/Inputs!$C$50)+Inputs!$C$47*0.173))+0.2*SIN(2*PI()*(((Model_Data!A166)+(Inputs!$C$6))/(0.5*(Inputs!$C$49+Inputs!$C$50))+Inputs!$C$47*0.097)))+0.3*(2*((SIN(((Model_Data!A166)*12.9898+(Inputs!$C$6)*78.233+Inputs!$C$47*37.719))*43758.5453)-INT((SIN(((Model_Data!A166)*12.9898+(Inputs!$C$6)*78.233+Inputs!$C$47*37.719))*43758.5453)))-1)))</f>
        <v>447.7794532624074</v>
      </c>
      <c r="G166" s="9">
        <f>(Inputs!$C$51*(115*EXP(-(((0)-25)^2)/(4.5^2))+70*EXP(-(((0)+38)^2)/(7^2))*(0.55+0.45*SIN(2*PI()*(Model_Data!A166)/45))+24*SIN(2*PI()*(0)/9+(Model_Data!A166)/18)*EXP(-(((0)+5)^2)/(22^2))+18*SIN(2*PI()*(Model_Data!A166)/70))+Inputs!$C$28*EXP(-(((Model_Data!A166)-Inputs!$C$29)^2)/(2*Inputs!$C$31^2))*EXP(-(((0)-Inputs!$C$30)^2)/(2*Inputs!$C$32^2))+-Inputs!$C$33*EXP(-(((((Model_Data!A166)-Inputs!$C$34)^2)+(((0)-Inputs!$C$35)^2))/(2*Inputs!$C$36^2)))+Inputs!$C$37*(0.55*SIN(2*PI()*(Model_Data!A166)/Inputs!$C$39)+0.35*COS(2*PI()*(0)/Inputs!$C$40)+0.2*SIN(2*PI()*((Model_Data!A166)+(0))/(0.5*(Inputs!$C$39+Inputs!$C$40))))+Inputs!$C$38*SIN(2*PI()*(Model_Data!A166)/Inputs!$C$39)*SIN(2*PI()*(0)/Inputs!$C$40)+-Inputs!$C$41*EXP(-(((0)-Inputs!$C$43)^2)/(2*Inputs!$C$44^2))*EXP(-(((Model_Data!A166)-Inputs!$C$42)^2)/(2*Inputs!$C$45^2))+Inputs!$C$48*(0.7*(0.45*SIN(2*PI()*(((Model_Data!A166)/Inputs!$C$49)+Inputs!$C$47*0.137))+0.35*COS(2*PI()*(((0)/Inputs!$C$50)+Inputs!$C$47*0.173))+0.2*SIN(2*PI()*(((Model_Data!A166)+(0))/(0.5*(Inputs!$C$49+Inputs!$C$50))+Inputs!$C$47*0.097)))+0.3*(2*((SIN(((Model_Data!A166)*12.9898+(0)*78.233+Inputs!$C$47*37.719))*43758.5453)-INT((SIN(((Model_Data!A166)*12.9898+(0)*78.233+Inputs!$C$47*37.719))*43758.5453)))-1)))</f>
        <v>73.365898263722698</v>
      </c>
      <c r="H166" s="10"/>
      <c r="I166" s="9">
        <f>Model_Data!A166</f>
        <v>22</v>
      </c>
      <c r="J166" s="9">
        <f>(Inputs!$C$51*(115*EXP(-(((Inputs!$C$6)-25)^2)/(4.5^2))+70*EXP(-(((Inputs!$C$6)+38)^2)/(7^2))*(0.55+0.45*SIN(2*PI()*(Model_Data!A166)/45))+24*SIN(2*PI()*(Inputs!$C$6)/9+(Model_Data!A166)/18)*EXP(-(((Inputs!$C$6)+5)^2)/(22^2))+18*SIN(2*PI()*(Model_Data!A166)/70))+Inputs!$C$28*EXP(-(((Model_Data!A166)-Inputs!$C$29)^2)/(2*Inputs!$C$31^2))*EXP(-(((Inputs!$C$6)-Inputs!$C$30)^2)/(2*Inputs!$C$32^2))+-Inputs!$C$33*EXP(-(((((Model_Data!A166)-Inputs!$C$34)^2)+(((Inputs!$C$6)-Inputs!$C$35)^2))/(2*Inputs!$C$36^2)))+Inputs!$C$37*(0.55*SIN(2*PI()*(Model_Data!A166)/Inputs!$C$39)+0.35*COS(2*PI()*(Inputs!$C$6)/Inputs!$C$40)+0.2*SIN(2*PI()*((Model_Data!A166)+(Inputs!$C$6))/(0.5*(Inputs!$C$39+Inputs!$C$40))))+Inputs!$C$38*SIN(2*PI()*(Model_Data!A166)/Inputs!$C$39)*SIN(2*PI()*(Inputs!$C$6)/Inputs!$C$40)+-Inputs!$C$41*EXP(-(((Inputs!$C$6)-Inputs!$C$43)^2)/(2*Inputs!$C$44^2))*EXP(-(((Model_Data!A166)-Inputs!$C$42)^2)/(2*Inputs!$C$45^2))+Inputs!$C$48*(0.7*(0.45*SIN(2*PI()*(((Model_Data!A166)/Inputs!$C$49)+Inputs!$C$47*0.137))+0.35*COS(2*PI()*(((Inputs!$C$6)/Inputs!$C$50)+Inputs!$C$47*0.173))+0.2*SIN(2*PI()*(((Model_Data!A166)+(Inputs!$C$6))/(0.5*(Inputs!$C$49+Inputs!$C$50))+Inputs!$C$47*0.097)))+0.3*(2*((SIN(((Model_Data!A166)*12.9898+(Inputs!$C$6)*78.233+Inputs!$C$47*37.719))*43758.5453)-INT((SIN(((Model_Data!A166)*12.9898+(Inputs!$C$6)*78.233+Inputs!$C$47*37.719))*43758.5453)))-1)))</f>
        <v>447.7794532624074</v>
      </c>
      <c r="K166" s="9">
        <f>-((((SQRT((Model_Data!A166)^2+Inputs!$C$6^2+((Model_Data!B166)-((Inputs!$C$51*(115*EXP(-(((Inputs!$C$6)-25)^2)/(4.5^2))+70*EXP(-(((Inputs!$C$6)+38)^2)/(7^2))*(0.55+0.45*SIN(2*PI()*(Model_Data!A166)/45))+24*SIN(2*PI()*(Inputs!$C$6)/9+(Model_Data!A166)/18)*EXP(-(((Inputs!$C$6)+5)^2)/(22^2))+18*SIN(2*PI()*(Model_Data!A166)/70))+Inputs!$C$28*EXP(-(((Model_Data!A166)-Inputs!$C$29)^2)/(2*Inputs!$C$31^2))*EXP(-(((Inputs!$C$6)-Inputs!$C$30)^2)/(2*Inputs!$C$32^2))+-Inputs!$C$33*EXP(-(((((Model_Data!A166)-Inputs!$C$34)^2)+(((Inputs!$C$6)-Inputs!$C$35)^2))/(2*Inputs!$C$36^2)))+Inputs!$C$37*(0.55*SIN(2*PI()*(Model_Data!A166)/Inputs!$C$39)+0.35*COS(2*PI()*(Inputs!$C$6)/Inputs!$C$40)+0.2*SIN(2*PI()*((Model_Data!A166)+(Inputs!$C$6))/(0.5*(Inputs!$C$39+Inputs!$C$40))))+Inputs!$C$38*SIN(2*PI()*(Model_Data!A166)/Inputs!$C$39)*SIN(2*PI()*(Inputs!$C$6)/Inputs!$C$40)+-Inputs!$C$41*EXP(-(((Inputs!$C$6)-Inputs!$C$43)^2)/(2*Inputs!$C$44^2))*EXP(-(((Model_Data!A166)-Inputs!$C$42)^2)/(2*Inputs!$C$45^2))+Inputs!$C$48*(0.7*(0.45*SIN(2*PI()*(((Model_Data!A166)/Inputs!$C$49)+Inputs!$C$47*0.137))+0.35*COS(2*PI()*(((Inputs!$C$6)/Inputs!$C$50)+Inputs!$C$47*0.173))+0.2*SIN(2*PI()*(((Model_Data!A166)+(Inputs!$C$6))/(0.5*(Inputs!$C$49+Inputs!$C$50))+Inputs!$C$47*0.097)))+0.3*(2*((SIN(((Model_Data!A166)*12.9898+(Inputs!$C$6)*78.233+Inputs!$C$47*37.719))*43758.5453)-INT((SIN(((Model_Data!A166)*12.9898+(Inputs!$C$6)*78.233+Inputs!$C$47*37.719))*43758.5453)))-1))))/1000)^2))-(((Model_Data!B166)-((Inputs!$C$51*(115*EXP(-(((0)-25)^2)/(4.5^2))+70*EXP(-(((0)+38)^2)/(7^2))*(0.55+0.45*SIN(2*PI()*(Model_Data!A166)/45))+24*SIN(2*PI()*(0)/9+(Model_Data!A166)/18)*EXP(-(((0)+5)^2)/(22^2))+18*SIN(2*PI()*(Model_Data!A166)/70))+Inputs!$C$28*EXP(-(((Model_Data!A166)-Inputs!$C$29)^2)/(2*Inputs!$C$31^2))*EXP(-(((0)-Inputs!$C$30)^2)/(2*Inputs!$C$32^2))+-Inputs!$C$33*EXP(-(((((Model_Data!A166)-Inputs!$C$34)^2)+(((0)-Inputs!$C$35)^2))/(2*Inputs!$C$36^2)))+Inputs!$C$37*(0.55*SIN(2*PI()*(Model_Data!A166)/Inputs!$C$39)+0.35*COS(2*PI()*(0)/Inputs!$C$40)+0.2*SIN(2*PI()*((Model_Data!A166)+(0))/(0.5*(Inputs!$C$39+Inputs!$C$40))))+Inputs!$C$38*SIN(2*PI()*(Model_Data!A166)/Inputs!$C$39)*SIN(2*PI()*(0)/Inputs!$C$40)+-Inputs!$C$41*EXP(-(((0)-Inputs!$C$43)^2)/(2*Inputs!$C$44^2))*EXP(-(((Model_Data!A166)-Inputs!$C$42)^2)/(2*Inputs!$C$45^2))+Inputs!$C$48*(0.7*(0.45*SIN(2*PI()*(((Model_Data!A166)/Inputs!$C$49)+Inputs!$C$47*0.137))+0.35*COS(2*PI()*(((0)/Inputs!$C$50)+Inputs!$C$47*0.173))+0.2*SIN(2*PI()*(((Model_Data!A166)+(0))/(0.5*(Inputs!$C$49+Inputs!$C$50))+Inputs!$C$47*0.097)))+0.3*(2*((SIN(((Model_Data!A166)*12.9898+(0)*78.233+Inputs!$C$47*37.719))*43758.5453)-INT((SIN(((Model_Data!A166)*12.9898+(0)*78.233+Inputs!$C$47*37.719))*43758.5453)))-1))))/1000)))*1000/Inputs!$C$12)-Model_Data!F166)</f>
        <v>209.47873441270292</v>
      </c>
      <c r="L166" s="10"/>
      <c r="M166" s="9">
        <f>Model_Data!A166</f>
        <v>22</v>
      </c>
      <c r="N166" s="9">
        <f>Model_Data!P166</f>
        <v>-165.53291971907839</v>
      </c>
      <c r="O166" s="9">
        <f t="shared" si="4"/>
        <v>-168.22777221323122</v>
      </c>
      <c r="P166" s="9">
        <f>Model_Data!Q166</f>
        <v>-24.854792750612372</v>
      </c>
      <c r="Q166" s="9">
        <f t="shared" si="5"/>
        <v>-25.259425257241926</v>
      </c>
      <c r="R166" s="10"/>
      <c r="S166" s="9">
        <f>Model_Data!A166</f>
        <v>22</v>
      </c>
      <c r="T166" s="9">
        <f>Model_Data!B166-Inputs!$C$5</f>
        <v>0.53777777777776237</v>
      </c>
      <c r="U166" s="10"/>
      <c r="V166" s="9">
        <f>Model_Data!A166</f>
        <v>22</v>
      </c>
      <c r="W166" s="9">
        <f>((SQRT((Model_Data!A166)^2+Inputs!$C$6^2+Inputs!$C$5^2)-Inputs!$C$5)*1000/Inputs!$C$12)</f>
        <v>777.44729078630644</v>
      </c>
      <c r="X166" s="9">
        <f>Model_Data!F166</f>
        <v>776.40705108752229</v>
      </c>
      <c r="Y166" s="10"/>
      <c r="Z166" s="9">
        <f>Model_Data!A166</f>
        <v>22</v>
      </c>
      <c r="AA166" s="9">
        <f>SQRT((Model_Data!A166)^2+Inputs!$C$6^2+((Model_Data!B166)-((Inputs!$C$51*(115*EXP(-(((Inputs!$C$6)-25)^2)/(4.5^2))+70*EXP(-(((Inputs!$C$6)+38)^2)/(7^2))*(0.55+0.45*SIN(2*PI()*(Model_Data!A166)/45))+24*SIN(2*PI()*(Inputs!$C$6)/9+(Model_Data!A166)/18)*EXP(-(((Inputs!$C$6)+5)^2)/(22^2))+18*SIN(2*PI()*(Model_Data!A166)/70))+Inputs!$C$28*EXP(-(((Model_Data!A166)-Inputs!$C$29)^2)/(2*Inputs!$C$31^2))*EXP(-(((Inputs!$C$6)-Inputs!$C$30)^2)/(2*Inputs!$C$32^2))+-Inputs!$C$33*EXP(-(((((Model_Data!A166)-Inputs!$C$34)^2)+(((Inputs!$C$6)-Inputs!$C$35)^2))/(2*Inputs!$C$36^2)))+Inputs!$C$37*(0.55*SIN(2*PI()*(Model_Data!A166)/Inputs!$C$39)+0.35*COS(2*PI()*(Inputs!$C$6)/Inputs!$C$40)+0.2*SIN(2*PI()*((Model_Data!A166)+(Inputs!$C$6))/(0.5*(Inputs!$C$39+Inputs!$C$40))))+Inputs!$C$38*SIN(2*PI()*(Model_Data!A166)/Inputs!$C$39)*SIN(2*PI()*(Inputs!$C$6)/Inputs!$C$40)+-Inputs!$C$41*EXP(-(((Inputs!$C$6)-Inputs!$C$43)^2)/(2*Inputs!$C$44^2))*EXP(-(((Model_Data!A166)-Inputs!$C$42)^2)/(2*Inputs!$C$45^2))+Inputs!$C$48*(0.7*(0.45*SIN(2*PI()*(((Model_Data!A166)/Inputs!$C$49)+Inputs!$C$47*0.137))+0.35*COS(2*PI()*(((Inputs!$C$6)/Inputs!$C$50)+Inputs!$C$47*0.173))+0.2*SIN(2*PI()*(((Model_Data!A166)+(Inputs!$C$6))/(0.5*(Inputs!$C$49+Inputs!$C$50))+Inputs!$C$47*0.097)))+0.3*(2*((SIN(((Model_Data!A166)*12.9898+(Inputs!$C$6)*78.233+Inputs!$C$47*37.719))*43758.5453)-INT((SIN(((Model_Data!A166)*12.9898+(Inputs!$C$6)*78.233+Inputs!$C$47*37.719))*43758.5453)))-1))))/1000)^2)</f>
        <v>401.47354428319522</v>
      </c>
      <c r="AB166" s="9">
        <f>1000*(AA167-AA165)/(Z167-Z165)*Inputs!$C$11</f>
        <v>420.56943053307805</v>
      </c>
      <c r="AC166" s="9">
        <f>-2*AB166/Inputs!$C$13</f>
        <v>-168.22777221323122</v>
      </c>
      <c r="AD166" s="9">
        <f>-2*AB166/Inputs!$C$14</f>
        <v>-25.259425257241926</v>
      </c>
    </row>
    <row r="167" spans="1:30">
      <c r="A167" s="9">
        <f>Model_Data!A167</f>
        <v>22.5</v>
      </c>
      <c r="B167" s="9">
        <f>((SQRT((Model_Data!A167)^2+Inputs!$C$6^2+Inputs!$C$5^2)-Inputs!$C$5)*1000/Inputs!$C$12)</f>
        <v>793.01788270038537</v>
      </c>
      <c r="C167" s="9">
        <f>Model_Data!F167</f>
        <v>791.90817516879872</v>
      </c>
      <c r="D167" s="9">
        <f>(((SQRT((Model_Data!A167)^2+Inputs!$C$6^2+((Model_Data!B167)-((Inputs!$C$51*(115*EXP(-(((Inputs!$C$6)-25)^2)/(4.5^2))+70*EXP(-(((Inputs!$C$6)+38)^2)/(7^2))*(0.55+0.45*SIN(2*PI()*(Model_Data!A167)/45))+24*SIN(2*PI()*(Inputs!$C$6)/9+(Model_Data!A167)/18)*EXP(-(((Inputs!$C$6)+5)^2)/(22^2))+18*SIN(2*PI()*(Model_Data!A167)/70))+Inputs!$C$28*EXP(-(((Model_Data!A167)-Inputs!$C$29)^2)/(2*Inputs!$C$31^2))*EXP(-(((Inputs!$C$6)-Inputs!$C$30)^2)/(2*Inputs!$C$32^2))+-Inputs!$C$33*EXP(-(((((Model_Data!A167)-Inputs!$C$34)^2)+(((Inputs!$C$6)-Inputs!$C$35)^2))/(2*Inputs!$C$36^2)))+Inputs!$C$37*(0.55*SIN(2*PI()*(Model_Data!A167)/Inputs!$C$39)+0.35*COS(2*PI()*(Inputs!$C$6)/Inputs!$C$40)+0.2*SIN(2*PI()*((Model_Data!A167)+(Inputs!$C$6))/(0.5*(Inputs!$C$39+Inputs!$C$40))))+Inputs!$C$38*SIN(2*PI()*(Model_Data!A167)/Inputs!$C$39)*SIN(2*PI()*(Inputs!$C$6)/Inputs!$C$40)+-Inputs!$C$41*EXP(-(((Inputs!$C$6)-Inputs!$C$43)^2)/(2*Inputs!$C$44^2))*EXP(-(((Model_Data!A167)-Inputs!$C$42)^2)/(2*Inputs!$C$45^2))+Inputs!$C$48*(0.7*(0.45*SIN(2*PI()*(((Model_Data!A167)/Inputs!$C$49)+Inputs!$C$47*0.137))+0.35*COS(2*PI()*(((Inputs!$C$6)/Inputs!$C$50)+Inputs!$C$47*0.173))+0.2*SIN(2*PI()*(((Model_Data!A167)+(Inputs!$C$6))/(0.5*(Inputs!$C$49+Inputs!$C$50))+Inputs!$C$47*0.097)))+0.3*(2*((SIN(((Model_Data!A167)*12.9898+(Inputs!$C$6)*78.233+Inputs!$C$47*37.719))*43758.5453)-INT((SIN(((Model_Data!A167)*12.9898+(Inputs!$C$6)*78.233+Inputs!$C$47*37.719))*43758.5453)))-1))))/1000)^2))-(((Model_Data!B167)-((Inputs!$C$51*(115*EXP(-(((0)-25)^2)/(4.5^2))+70*EXP(-(((0)+38)^2)/(7^2))*(0.55+0.45*SIN(2*PI()*(Model_Data!A167)/45))+24*SIN(2*PI()*(0)/9+(Model_Data!A167)/18)*EXP(-(((0)+5)^2)/(22^2))+18*SIN(2*PI()*(Model_Data!A167)/70))+Inputs!$C$28*EXP(-(((Model_Data!A167)-Inputs!$C$29)^2)/(2*Inputs!$C$31^2))*EXP(-(((0)-Inputs!$C$30)^2)/(2*Inputs!$C$32^2))+-Inputs!$C$33*EXP(-(((((Model_Data!A167)-Inputs!$C$34)^2)+(((0)-Inputs!$C$35)^2))/(2*Inputs!$C$36^2)))+Inputs!$C$37*(0.55*SIN(2*PI()*(Model_Data!A167)/Inputs!$C$39)+0.35*COS(2*PI()*(0)/Inputs!$C$40)+0.2*SIN(2*PI()*((Model_Data!A167)+(0))/(0.5*(Inputs!$C$39+Inputs!$C$40))))+Inputs!$C$38*SIN(2*PI()*(Model_Data!A167)/Inputs!$C$39)*SIN(2*PI()*(0)/Inputs!$C$40)+-Inputs!$C$41*EXP(-(((0)-Inputs!$C$43)^2)/(2*Inputs!$C$44^2))*EXP(-(((Model_Data!A167)-Inputs!$C$42)^2)/(2*Inputs!$C$45^2))+Inputs!$C$48*(0.7*(0.45*SIN(2*PI()*(((Model_Data!A167)/Inputs!$C$49)+Inputs!$C$47*0.137))+0.35*COS(2*PI()*(((0)/Inputs!$C$50)+Inputs!$C$47*0.173))+0.2*SIN(2*PI()*(((Model_Data!A167)+(0))/(0.5*(Inputs!$C$49+Inputs!$C$50))+Inputs!$C$47*0.097)))+0.3*(2*((SIN(((Model_Data!A167)*12.9898+(0)*78.233+Inputs!$C$47*37.719))*43758.5453)-INT((SIN(((Model_Data!A167)*12.9898+(0)*78.233+Inputs!$C$47*37.719))*43758.5453)))-1))))/1000)))*1000/Inputs!$C$12)</f>
        <v>585.67637968003078</v>
      </c>
      <c r="E167" s="9">
        <f>Model_Data!A167</f>
        <v>22.5</v>
      </c>
      <c r="F167" s="9">
        <f>(Inputs!$C$51*(115*EXP(-(((Inputs!$C$6)-25)^2)/(4.5^2))+70*EXP(-(((Inputs!$C$6)+38)^2)/(7^2))*(0.55+0.45*SIN(2*PI()*(Model_Data!A167)/45))+24*SIN(2*PI()*(Inputs!$C$6)/9+(Model_Data!A167)/18)*EXP(-(((Inputs!$C$6)+5)^2)/(22^2))+18*SIN(2*PI()*(Model_Data!A167)/70))+Inputs!$C$28*EXP(-(((Model_Data!A167)-Inputs!$C$29)^2)/(2*Inputs!$C$31^2))*EXP(-(((Inputs!$C$6)-Inputs!$C$30)^2)/(2*Inputs!$C$32^2))+-Inputs!$C$33*EXP(-(((((Model_Data!A167)-Inputs!$C$34)^2)+(((Inputs!$C$6)-Inputs!$C$35)^2))/(2*Inputs!$C$36^2)))+Inputs!$C$37*(0.55*SIN(2*PI()*(Model_Data!A167)/Inputs!$C$39)+0.35*COS(2*PI()*(Inputs!$C$6)/Inputs!$C$40)+0.2*SIN(2*PI()*((Model_Data!A167)+(Inputs!$C$6))/(0.5*(Inputs!$C$39+Inputs!$C$40))))+Inputs!$C$38*SIN(2*PI()*(Model_Data!A167)/Inputs!$C$39)*SIN(2*PI()*(Inputs!$C$6)/Inputs!$C$40)+-Inputs!$C$41*EXP(-(((Inputs!$C$6)-Inputs!$C$43)^2)/(2*Inputs!$C$44^2))*EXP(-(((Model_Data!A167)-Inputs!$C$42)^2)/(2*Inputs!$C$45^2))+Inputs!$C$48*(0.7*(0.45*SIN(2*PI()*(((Model_Data!A167)/Inputs!$C$49)+Inputs!$C$47*0.137))+0.35*COS(2*PI()*(((Inputs!$C$6)/Inputs!$C$50)+Inputs!$C$47*0.173))+0.2*SIN(2*PI()*(((Model_Data!A167)+(Inputs!$C$6))/(0.5*(Inputs!$C$49+Inputs!$C$50))+Inputs!$C$47*0.097)))+0.3*(2*((SIN(((Model_Data!A167)*12.9898+(Inputs!$C$6)*78.233+Inputs!$C$47*37.719))*43758.5453)-INT((SIN(((Model_Data!A167)*12.9898+(Inputs!$C$6)*78.233+Inputs!$C$47*37.719))*43758.5453)))-1)))</f>
        <v>442.50927153418206</v>
      </c>
      <c r="G167" s="9">
        <f>(Inputs!$C$51*(115*EXP(-(((0)-25)^2)/(4.5^2))+70*EXP(-(((0)+38)^2)/(7^2))*(0.55+0.45*SIN(2*PI()*(Model_Data!A167)/45))+24*SIN(2*PI()*(0)/9+(Model_Data!A167)/18)*EXP(-(((0)+5)^2)/(22^2))+18*SIN(2*PI()*(Model_Data!A167)/70))+Inputs!$C$28*EXP(-(((Model_Data!A167)-Inputs!$C$29)^2)/(2*Inputs!$C$31^2))*EXP(-(((0)-Inputs!$C$30)^2)/(2*Inputs!$C$32^2))+-Inputs!$C$33*EXP(-(((((Model_Data!A167)-Inputs!$C$34)^2)+(((0)-Inputs!$C$35)^2))/(2*Inputs!$C$36^2)))+Inputs!$C$37*(0.55*SIN(2*PI()*(Model_Data!A167)/Inputs!$C$39)+0.35*COS(2*PI()*(0)/Inputs!$C$40)+0.2*SIN(2*PI()*((Model_Data!A167)+(0))/(0.5*(Inputs!$C$39+Inputs!$C$40))))+Inputs!$C$38*SIN(2*PI()*(Model_Data!A167)/Inputs!$C$39)*SIN(2*PI()*(0)/Inputs!$C$40)+-Inputs!$C$41*EXP(-(((0)-Inputs!$C$43)^2)/(2*Inputs!$C$44^2))*EXP(-(((Model_Data!A167)-Inputs!$C$42)^2)/(2*Inputs!$C$45^2))+Inputs!$C$48*(0.7*(0.45*SIN(2*PI()*(((Model_Data!A167)/Inputs!$C$49)+Inputs!$C$47*0.137))+0.35*COS(2*PI()*(((0)/Inputs!$C$50)+Inputs!$C$47*0.173))+0.2*SIN(2*PI()*(((Model_Data!A167)+(0))/(0.5*(Inputs!$C$49+Inputs!$C$50))+Inputs!$C$47*0.097)))+0.3*(2*((SIN(((Model_Data!A167)*12.9898+(0)*78.233+Inputs!$C$47*37.719))*43758.5453)-INT((SIN(((Model_Data!A167)*12.9898+(0)*78.233+Inputs!$C$47*37.719))*43758.5453)))-1)))</f>
        <v>73.863220086762837</v>
      </c>
      <c r="H167" s="10"/>
      <c r="I167" s="9">
        <f>Model_Data!A167</f>
        <v>22.5</v>
      </c>
      <c r="J167" s="9">
        <f>(Inputs!$C$51*(115*EXP(-(((Inputs!$C$6)-25)^2)/(4.5^2))+70*EXP(-(((Inputs!$C$6)+38)^2)/(7^2))*(0.55+0.45*SIN(2*PI()*(Model_Data!A167)/45))+24*SIN(2*PI()*(Inputs!$C$6)/9+(Model_Data!A167)/18)*EXP(-(((Inputs!$C$6)+5)^2)/(22^2))+18*SIN(2*PI()*(Model_Data!A167)/70))+Inputs!$C$28*EXP(-(((Model_Data!A167)-Inputs!$C$29)^2)/(2*Inputs!$C$31^2))*EXP(-(((Inputs!$C$6)-Inputs!$C$30)^2)/(2*Inputs!$C$32^2))+-Inputs!$C$33*EXP(-(((((Model_Data!A167)-Inputs!$C$34)^2)+(((Inputs!$C$6)-Inputs!$C$35)^2))/(2*Inputs!$C$36^2)))+Inputs!$C$37*(0.55*SIN(2*PI()*(Model_Data!A167)/Inputs!$C$39)+0.35*COS(2*PI()*(Inputs!$C$6)/Inputs!$C$40)+0.2*SIN(2*PI()*((Model_Data!A167)+(Inputs!$C$6))/(0.5*(Inputs!$C$39+Inputs!$C$40))))+Inputs!$C$38*SIN(2*PI()*(Model_Data!A167)/Inputs!$C$39)*SIN(2*PI()*(Inputs!$C$6)/Inputs!$C$40)+-Inputs!$C$41*EXP(-(((Inputs!$C$6)-Inputs!$C$43)^2)/(2*Inputs!$C$44^2))*EXP(-(((Model_Data!A167)-Inputs!$C$42)^2)/(2*Inputs!$C$45^2))+Inputs!$C$48*(0.7*(0.45*SIN(2*PI()*(((Model_Data!A167)/Inputs!$C$49)+Inputs!$C$47*0.137))+0.35*COS(2*PI()*(((Inputs!$C$6)/Inputs!$C$50)+Inputs!$C$47*0.173))+0.2*SIN(2*PI()*(((Model_Data!A167)+(Inputs!$C$6))/(0.5*(Inputs!$C$49+Inputs!$C$50))+Inputs!$C$47*0.097)))+0.3*(2*((SIN(((Model_Data!A167)*12.9898+(Inputs!$C$6)*78.233+Inputs!$C$47*37.719))*43758.5453)-INT((SIN(((Model_Data!A167)*12.9898+(Inputs!$C$6)*78.233+Inputs!$C$47*37.719))*43758.5453)))-1)))</f>
        <v>442.50927153418206</v>
      </c>
      <c r="K167" s="9">
        <f>-((((SQRT((Model_Data!A167)^2+Inputs!$C$6^2+((Model_Data!B167)-((Inputs!$C$51*(115*EXP(-(((Inputs!$C$6)-25)^2)/(4.5^2))+70*EXP(-(((Inputs!$C$6)+38)^2)/(7^2))*(0.55+0.45*SIN(2*PI()*(Model_Data!A167)/45))+24*SIN(2*PI()*(Inputs!$C$6)/9+(Model_Data!A167)/18)*EXP(-(((Inputs!$C$6)+5)^2)/(22^2))+18*SIN(2*PI()*(Model_Data!A167)/70))+Inputs!$C$28*EXP(-(((Model_Data!A167)-Inputs!$C$29)^2)/(2*Inputs!$C$31^2))*EXP(-(((Inputs!$C$6)-Inputs!$C$30)^2)/(2*Inputs!$C$32^2))+-Inputs!$C$33*EXP(-(((((Model_Data!A167)-Inputs!$C$34)^2)+(((Inputs!$C$6)-Inputs!$C$35)^2))/(2*Inputs!$C$36^2)))+Inputs!$C$37*(0.55*SIN(2*PI()*(Model_Data!A167)/Inputs!$C$39)+0.35*COS(2*PI()*(Inputs!$C$6)/Inputs!$C$40)+0.2*SIN(2*PI()*((Model_Data!A167)+(Inputs!$C$6))/(0.5*(Inputs!$C$39+Inputs!$C$40))))+Inputs!$C$38*SIN(2*PI()*(Model_Data!A167)/Inputs!$C$39)*SIN(2*PI()*(Inputs!$C$6)/Inputs!$C$40)+-Inputs!$C$41*EXP(-(((Inputs!$C$6)-Inputs!$C$43)^2)/(2*Inputs!$C$44^2))*EXP(-(((Model_Data!A167)-Inputs!$C$42)^2)/(2*Inputs!$C$45^2))+Inputs!$C$48*(0.7*(0.45*SIN(2*PI()*(((Model_Data!A167)/Inputs!$C$49)+Inputs!$C$47*0.137))+0.35*COS(2*PI()*(((Inputs!$C$6)/Inputs!$C$50)+Inputs!$C$47*0.173))+0.2*SIN(2*PI()*(((Model_Data!A167)+(Inputs!$C$6))/(0.5*(Inputs!$C$49+Inputs!$C$50))+Inputs!$C$47*0.097)))+0.3*(2*((SIN(((Model_Data!A167)*12.9898+(Inputs!$C$6)*78.233+Inputs!$C$47*37.719))*43758.5453)-INT((SIN(((Model_Data!A167)*12.9898+(Inputs!$C$6)*78.233+Inputs!$C$47*37.719))*43758.5453)))-1))))/1000)^2))-(((Model_Data!B167)-((Inputs!$C$51*(115*EXP(-(((0)-25)^2)/(4.5^2))+70*EXP(-(((0)+38)^2)/(7^2))*(0.55+0.45*SIN(2*PI()*(Model_Data!A167)/45))+24*SIN(2*PI()*(0)/9+(Model_Data!A167)/18)*EXP(-(((0)+5)^2)/(22^2))+18*SIN(2*PI()*(Model_Data!A167)/70))+Inputs!$C$28*EXP(-(((Model_Data!A167)-Inputs!$C$29)^2)/(2*Inputs!$C$31^2))*EXP(-(((0)-Inputs!$C$30)^2)/(2*Inputs!$C$32^2))+-Inputs!$C$33*EXP(-(((((Model_Data!A167)-Inputs!$C$34)^2)+(((0)-Inputs!$C$35)^2))/(2*Inputs!$C$36^2)))+Inputs!$C$37*(0.55*SIN(2*PI()*(Model_Data!A167)/Inputs!$C$39)+0.35*COS(2*PI()*(0)/Inputs!$C$40)+0.2*SIN(2*PI()*((Model_Data!A167)+(0))/(0.5*(Inputs!$C$39+Inputs!$C$40))))+Inputs!$C$38*SIN(2*PI()*(Model_Data!A167)/Inputs!$C$39)*SIN(2*PI()*(0)/Inputs!$C$40)+-Inputs!$C$41*EXP(-(((0)-Inputs!$C$43)^2)/(2*Inputs!$C$44^2))*EXP(-(((Model_Data!A167)-Inputs!$C$42)^2)/(2*Inputs!$C$45^2))+Inputs!$C$48*(0.7*(0.45*SIN(2*PI()*(((Model_Data!A167)/Inputs!$C$49)+Inputs!$C$47*0.137))+0.35*COS(2*PI()*(((0)/Inputs!$C$50)+Inputs!$C$47*0.173))+0.2*SIN(2*PI()*(((Model_Data!A167)+(0))/(0.5*(Inputs!$C$49+Inputs!$C$50))+Inputs!$C$47*0.097)))+0.3*(2*((SIN(((Model_Data!A167)*12.9898+(0)*78.233+Inputs!$C$47*37.719))*43758.5453)-INT((SIN(((Model_Data!A167)*12.9898+(0)*78.233+Inputs!$C$47*37.719))*43758.5453)))-1))))/1000)))*1000/Inputs!$C$12)-Model_Data!F167)</f>
        <v>206.23179548876794</v>
      </c>
      <c r="L167" s="10"/>
      <c r="M167" s="9">
        <f>Model_Data!A167</f>
        <v>22.5</v>
      </c>
      <c r="N167" s="9">
        <f>Model_Data!P167</f>
        <v>-169.27791899911472</v>
      </c>
      <c r="O167" s="9">
        <f t="shared" si="4"/>
        <v>-184.76208943375241</v>
      </c>
      <c r="P167" s="9">
        <f>Model_Data!Q167</f>
        <v>-25.417104954822033</v>
      </c>
      <c r="Q167" s="9">
        <f t="shared" si="5"/>
        <v>-27.742055470533398</v>
      </c>
      <c r="R167" s="10"/>
      <c r="S167" s="9">
        <f>Model_Data!A167</f>
        <v>22.5</v>
      </c>
      <c r="T167" s="9">
        <f>Model_Data!B167-Inputs!$C$5</f>
        <v>0.5625</v>
      </c>
      <c r="U167" s="10"/>
      <c r="V167" s="9">
        <f>Model_Data!A167</f>
        <v>22.5</v>
      </c>
      <c r="W167" s="9">
        <f>((SQRT((Model_Data!A167)^2+Inputs!$C$6^2+Inputs!$C$5^2)-Inputs!$C$5)*1000/Inputs!$C$12)</f>
        <v>793.01788270038537</v>
      </c>
      <c r="X167" s="9">
        <f>Model_Data!F167</f>
        <v>791.90817516879872</v>
      </c>
      <c r="Y167" s="10"/>
      <c r="Z167" s="9">
        <f>Model_Data!A167</f>
        <v>22.5</v>
      </c>
      <c r="AA167" s="9">
        <f>SQRT((Model_Data!A167)^2+Inputs!$C$6^2+((Model_Data!B167)-((Inputs!$C$51*(115*EXP(-(((Inputs!$C$6)-25)^2)/(4.5^2))+70*EXP(-(((Inputs!$C$6)+38)^2)/(7^2))*(0.55+0.45*SIN(2*PI()*(Model_Data!A167)/45))+24*SIN(2*PI()*(Inputs!$C$6)/9+(Model_Data!A167)/18)*EXP(-(((Inputs!$C$6)+5)^2)/(22^2))+18*SIN(2*PI()*(Model_Data!A167)/70))+Inputs!$C$28*EXP(-(((Model_Data!A167)-Inputs!$C$29)^2)/(2*Inputs!$C$31^2))*EXP(-(((Inputs!$C$6)-Inputs!$C$30)^2)/(2*Inputs!$C$32^2))+-Inputs!$C$33*EXP(-(((((Model_Data!A167)-Inputs!$C$34)^2)+(((Inputs!$C$6)-Inputs!$C$35)^2))/(2*Inputs!$C$36^2)))+Inputs!$C$37*(0.55*SIN(2*PI()*(Model_Data!A167)/Inputs!$C$39)+0.35*COS(2*PI()*(Inputs!$C$6)/Inputs!$C$40)+0.2*SIN(2*PI()*((Model_Data!A167)+(Inputs!$C$6))/(0.5*(Inputs!$C$39+Inputs!$C$40))))+Inputs!$C$38*SIN(2*PI()*(Model_Data!A167)/Inputs!$C$39)*SIN(2*PI()*(Inputs!$C$6)/Inputs!$C$40)+-Inputs!$C$41*EXP(-(((Inputs!$C$6)-Inputs!$C$43)^2)/(2*Inputs!$C$44^2))*EXP(-(((Model_Data!A167)-Inputs!$C$42)^2)/(2*Inputs!$C$45^2))+Inputs!$C$48*(0.7*(0.45*SIN(2*PI()*(((Model_Data!A167)/Inputs!$C$49)+Inputs!$C$47*0.137))+0.35*COS(2*PI()*(((Inputs!$C$6)/Inputs!$C$50)+Inputs!$C$47*0.173))+0.2*SIN(2*PI()*(((Model_Data!A167)+(Inputs!$C$6))/(0.5*(Inputs!$C$49+Inputs!$C$50))+Inputs!$C$47*0.097)))+0.3*(2*((SIN(((Model_Data!A167)*12.9898+(Inputs!$C$6)*78.233+Inputs!$C$47*37.719))*43758.5453)-INT((SIN(((Model_Data!A167)*12.9898+(Inputs!$C$6)*78.233+Inputs!$C$47*37.719))*43758.5453)))-1))))/1000)^2)</f>
        <v>401.53114073574369</v>
      </c>
      <c r="AB167" s="9">
        <f>1000*(AA168-AA166)/(Z168-Z166)*Inputs!$C$11</f>
        <v>461.90522358438102</v>
      </c>
      <c r="AC167" s="9">
        <f>-2*AB167/Inputs!$C$13</f>
        <v>-184.76208943375241</v>
      </c>
      <c r="AD167" s="9">
        <f>-2*AB167/Inputs!$C$14</f>
        <v>-27.742055470533398</v>
      </c>
    </row>
    <row r="168" spans="1:30">
      <c r="A168" s="9">
        <f>Model_Data!A168</f>
        <v>23</v>
      </c>
      <c r="B168" s="9">
        <f>((SQRT((Model_Data!A168)^2+Inputs!$C$6^2+Inputs!$C$5^2)-Inputs!$C$5)*1000/Inputs!$C$12)</f>
        <v>808.9372640457949</v>
      </c>
      <c r="C168" s="9">
        <f>Model_Data!F168</f>
        <v>807.75456790628766</v>
      </c>
      <c r="D168" s="9">
        <f>(((SQRT((Model_Data!A168)^2+Inputs!$C$6^2+((Model_Data!B168)-((Inputs!$C$51*(115*EXP(-(((Inputs!$C$6)-25)^2)/(4.5^2))+70*EXP(-(((Inputs!$C$6)+38)^2)/(7^2))*(0.55+0.45*SIN(2*PI()*(Model_Data!A168)/45))+24*SIN(2*PI()*(Inputs!$C$6)/9+(Model_Data!A168)/18)*EXP(-(((Inputs!$C$6)+5)^2)/(22^2))+18*SIN(2*PI()*(Model_Data!A168)/70))+Inputs!$C$28*EXP(-(((Model_Data!A168)-Inputs!$C$29)^2)/(2*Inputs!$C$31^2))*EXP(-(((Inputs!$C$6)-Inputs!$C$30)^2)/(2*Inputs!$C$32^2))+-Inputs!$C$33*EXP(-(((((Model_Data!A168)-Inputs!$C$34)^2)+(((Inputs!$C$6)-Inputs!$C$35)^2))/(2*Inputs!$C$36^2)))+Inputs!$C$37*(0.55*SIN(2*PI()*(Model_Data!A168)/Inputs!$C$39)+0.35*COS(2*PI()*(Inputs!$C$6)/Inputs!$C$40)+0.2*SIN(2*PI()*((Model_Data!A168)+(Inputs!$C$6))/(0.5*(Inputs!$C$39+Inputs!$C$40))))+Inputs!$C$38*SIN(2*PI()*(Model_Data!A168)/Inputs!$C$39)*SIN(2*PI()*(Inputs!$C$6)/Inputs!$C$40)+-Inputs!$C$41*EXP(-(((Inputs!$C$6)-Inputs!$C$43)^2)/(2*Inputs!$C$44^2))*EXP(-(((Model_Data!A168)-Inputs!$C$42)^2)/(2*Inputs!$C$45^2))+Inputs!$C$48*(0.7*(0.45*SIN(2*PI()*(((Model_Data!A168)/Inputs!$C$49)+Inputs!$C$47*0.137))+0.35*COS(2*PI()*(((Inputs!$C$6)/Inputs!$C$50)+Inputs!$C$47*0.173))+0.2*SIN(2*PI()*(((Model_Data!A168)+(Inputs!$C$6))/(0.5*(Inputs!$C$49+Inputs!$C$50))+Inputs!$C$47*0.097)))+0.3*(2*((SIN(((Model_Data!A168)*12.9898+(Inputs!$C$6)*78.233+Inputs!$C$47*37.719))*43758.5453)-INT((SIN(((Model_Data!A168)*12.9898+(Inputs!$C$6)*78.233+Inputs!$C$47*37.719))*43758.5453)))-1))))/1000)^2))-(((Model_Data!B168)-((Inputs!$C$51*(115*EXP(-(((0)-25)^2)/(4.5^2))+70*EXP(-(((0)+38)^2)/(7^2))*(0.55+0.45*SIN(2*PI()*(Model_Data!A168)/45))+24*SIN(2*PI()*(0)/9+(Model_Data!A168)/18)*EXP(-(((0)+5)^2)/(22^2))+18*SIN(2*PI()*(Model_Data!A168)/70))+Inputs!$C$28*EXP(-(((Model_Data!A168)-Inputs!$C$29)^2)/(2*Inputs!$C$31^2))*EXP(-(((0)-Inputs!$C$30)^2)/(2*Inputs!$C$32^2))+-Inputs!$C$33*EXP(-(((((Model_Data!A168)-Inputs!$C$34)^2)+(((0)-Inputs!$C$35)^2))/(2*Inputs!$C$36^2)))+Inputs!$C$37*(0.55*SIN(2*PI()*(Model_Data!A168)/Inputs!$C$39)+0.35*COS(2*PI()*(0)/Inputs!$C$40)+0.2*SIN(2*PI()*((Model_Data!A168)+(0))/(0.5*(Inputs!$C$39+Inputs!$C$40))))+Inputs!$C$38*SIN(2*PI()*(Model_Data!A168)/Inputs!$C$39)*SIN(2*PI()*(0)/Inputs!$C$40)+-Inputs!$C$41*EXP(-(((0)-Inputs!$C$43)^2)/(2*Inputs!$C$44^2))*EXP(-(((Model_Data!A168)-Inputs!$C$42)^2)/(2*Inputs!$C$45^2))+Inputs!$C$48*(0.7*(0.45*SIN(2*PI()*(((Model_Data!A168)/Inputs!$C$49)+Inputs!$C$47*0.137))+0.35*COS(2*PI()*(((0)/Inputs!$C$50)+Inputs!$C$47*0.173))+0.2*SIN(2*PI()*(((Model_Data!A168)+(0))/(0.5*(Inputs!$C$49+Inputs!$C$50))+Inputs!$C$47*0.097)))+0.3*(2*((SIN(((Model_Data!A168)*12.9898+(0)*78.233+Inputs!$C$47*37.719))*43758.5453)-INT((SIN(((Model_Data!A168)*12.9898+(0)*78.233+Inputs!$C$47*37.719))*43758.5453)))-1))))/1000)))*1000/Inputs!$C$12)</f>
        <v>597.2046964449753</v>
      </c>
      <c r="E168" s="9">
        <f>Model_Data!A168</f>
        <v>23</v>
      </c>
      <c r="F168" s="9">
        <f>(Inputs!$C$51*(115*EXP(-(((Inputs!$C$6)-25)^2)/(4.5^2))+70*EXP(-(((Inputs!$C$6)+38)^2)/(7^2))*(0.55+0.45*SIN(2*PI()*(Model_Data!A168)/45))+24*SIN(2*PI()*(Inputs!$C$6)/9+(Model_Data!A168)/18)*EXP(-(((Inputs!$C$6)+5)^2)/(22^2))+18*SIN(2*PI()*(Model_Data!A168)/70))+Inputs!$C$28*EXP(-(((Model_Data!A168)-Inputs!$C$29)^2)/(2*Inputs!$C$31^2))*EXP(-(((Inputs!$C$6)-Inputs!$C$30)^2)/(2*Inputs!$C$32^2))+-Inputs!$C$33*EXP(-(((((Model_Data!A168)-Inputs!$C$34)^2)+(((Inputs!$C$6)-Inputs!$C$35)^2))/(2*Inputs!$C$36^2)))+Inputs!$C$37*(0.55*SIN(2*PI()*(Model_Data!A168)/Inputs!$C$39)+0.35*COS(2*PI()*(Inputs!$C$6)/Inputs!$C$40)+0.2*SIN(2*PI()*((Model_Data!A168)+(Inputs!$C$6))/(0.5*(Inputs!$C$39+Inputs!$C$40))))+Inputs!$C$38*SIN(2*PI()*(Model_Data!A168)/Inputs!$C$39)*SIN(2*PI()*(Inputs!$C$6)/Inputs!$C$40)+-Inputs!$C$41*EXP(-(((Inputs!$C$6)-Inputs!$C$43)^2)/(2*Inputs!$C$44^2))*EXP(-(((Model_Data!A168)-Inputs!$C$42)^2)/(2*Inputs!$C$45^2))+Inputs!$C$48*(0.7*(0.45*SIN(2*PI()*(((Model_Data!A168)/Inputs!$C$49)+Inputs!$C$47*0.137))+0.35*COS(2*PI()*(((Inputs!$C$6)/Inputs!$C$50)+Inputs!$C$47*0.173))+0.2*SIN(2*PI()*(((Model_Data!A168)+(Inputs!$C$6))/(0.5*(Inputs!$C$49+Inputs!$C$50))+Inputs!$C$47*0.097)))+0.3*(2*((SIN(((Model_Data!A168)*12.9898+(Inputs!$C$6)*78.233+Inputs!$C$47*37.719))*43758.5453)-INT((SIN(((Model_Data!A168)*12.9898+(Inputs!$C$6)*78.233+Inputs!$C$47*37.719))*43758.5453)))-1)))</f>
        <v>438.1289491107309</v>
      </c>
      <c r="G168" s="9">
        <f>(Inputs!$C$51*(115*EXP(-(((0)-25)^2)/(4.5^2))+70*EXP(-(((0)+38)^2)/(7^2))*(0.55+0.45*SIN(2*PI()*(Model_Data!A168)/45))+24*SIN(2*PI()*(0)/9+(Model_Data!A168)/18)*EXP(-(((0)+5)^2)/(22^2))+18*SIN(2*PI()*(Model_Data!A168)/70))+Inputs!$C$28*EXP(-(((Model_Data!A168)-Inputs!$C$29)^2)/(2*Inputs!$C$31^2))*EXP(-(((0)-Inputs!$C$30)^2)/(2*Inputs!$C$32^2))+-Inputs!$C$33*EXP(-(((((Model_Data!A168)-Inputs!$C$34)^2)+(((0)-Inputs!$C$35)^2))/(2*Inputs!$C$36^2)))+Inputs!$C$37*(0.55*SIN(2*PI()*(Model_Data!A168)/Inputs!$C$39)+0.35*COS(2*PI()*(0)/Inputs!$C$40)+0.2*SIN(2*PI()*((Model_Data!A168)+(0))/(0.5*(Inputs!$C$39+Inputs!$C$40))))+Inputs!$C$38*SIN(2*PI()*(Model_Data!A168)/Inputs!$C$39)*SIN(2*PI()*(0)/Inputs!$C$40)+-Inputs!$C$41*EXP(-(((0)-Inputs!$C$43)^2)/(2*Inputs!$C$44^2))*EXP(-(((Model_Data!A168)-Inputs!$C$42)^2)/(2*Inputs!$C$45^2))+Inputs!$C$48*(0.7*(0.45*SIN(2*PI()*(((Model_Data!A168)/Inputs!$C$49)+Inputs!$C$47*0.137))+0.35*COS(2*PI()*(((0)/Inputs!$C$50)+Inputs!$C$47*0.173))+0.2*SIN(2*PI()*(((Model_Data!A168)+(0))/(0.5*(Inputs!$C$49+Inputs!$C$50))+Inputs!$C$47*0.097)))+0.3*(2*((SIN(((Model_Data!A168)*12.9898+(0)*78.233+Inputs!$C$47*37.719))*43758.5453)-INT((SIN(((Model_Data!A168)*12.9898+(0)*78.233+Inputs!$C$47*37.719))*43758.5453)))-1)))</f>
        <v>61.781548358505674</v>
      </c>
      <c r="H168" s="10"/>
      <c r="I168" s="9">
        <f>Model_Data!A168</f>
        <v>23</v>
      </c>
      <c r="J168" s="9">
        <f>(Inputs!$C$51*(115*EXP(-(((Inputs!$C$6)-25)^2)/(4.5^2))+70*EXP(-(((Inputs!$C$6)+38)^2)/(7^2))*(0.55+0.45*SIN(2*PI()*(Model_Data!A168)/45))+24*SIN(2*PI()*(Inputs!$C$6)/9+(Model_Data!A168)/18)*EXP(-(((Inputs!$C$6)+5)^2)/(22^2))+18*SIN(2*PI()*(Model_Data!A168)/70))+Inputs!$C$28*EXP(-(((Model_Data!A168)-Inputs!$C$29)^2)/(2*Inputs!$C$31^2))*EXP(-(((Inputs!$C$6)-Inputs!$C$30)^2)/(2*Inputs!$C$32^2))+-Inputs!$C$33*EXP(-(((((Model_Data!A168)-Inputs!$C$34)^2)+(((Inputs!$C$6)-Inputs!$C$35)^2))/(2*Inputs!$C$36^2)))+Inputs!$C$37*(0.55*SIN(2*PI()*(Model_Data!A168)/Inputs!$C$39)+0.35*COS(2*PI()*(Inputs!$C$6)/Inputs!$C$40)+0.2*SIN(2*PI()*((Model_Data!A168)+(Inputs!$C$6))/(0.5*(Inputs!$C$39+Inputs!$C$40))))+Inputs!$C$38*SIN(2*PI()*(Model_Data!A168)/Inputs!$C$39)*SIN(2*PI()*(Inputs!$C$6)/Inputs!$C$40)+-Inputs!$C$41*EXP(-(((Inputs!$C$6)-Inputs!$C$43)^2)/(2*Inputs!$C$44^2))*EXP(-(((Model_Data!A168)-Inputs!$C$42)^2)/(2*Inputs!$C$45^2))+Inputs!$C$48*(0.7*(0.45*SIN(2*PI()*(((Model_Data!A168)/Inputs!$C$49)+Inputs!$C$47*0.137))+0.35*COS(2*PI()*(((Inputs!$C$6)/Inputs!$C$50)+Inputs!$C$47*0.173))+0.2*SIN(2*PI()*(((Model_Data!A168)+(Inputs!$C$6))/(0.5*(Inputs!$C$49+Inputs!$C$50))+Inputs!$C$47*0.097)))+0.3*(2*((SIN(((Model_Data!A168)*12.9898+(Inputs!$C$6)*78.233+Inputs!$C$47*37.719))*43758.5453)-INT((SIN(((Model_Data!A168)*12.9898+(Inputs!$C$6)*78.233+Inputs!$C$47*37.719))*43758.5453)))-1)))</f>
        <v>438.1289491107309</v>
      </c>
      <c r="K168" s="9">
        <f>-((((SQRT((Model_Data!A168)^2+Inputs!$C$6^2+((Model_Data!B168)-((Inputs!$C$51*(115*EXP(-(((Inputs!$C$6)-25)^2)/(4.5^2))+70*EXP(-(((Inputs!$C$6)+38)^2)/(7^2))*(0.55+0.45*SIN(2*PI()*(Model_Data!A168)/45))+24*SIN(2*PI()*(Inputs!$C$6)/9+(Model_Data!A168)/18)*EXP(-(((Inputs!$C$6)+5)^2)/(22^2))+18*SIN(2*PI()*(Model_Data!A168)/70))+Inputs!$C$28*EXP(-(((Model_Data!A168)-Inputs!$C$29)^2)/(2*Inputs!$C$31^2))*EXP(-(((Inputs!$C$6)-Inputs!$C$30)^2)/(2*Inputs!$C$32^2))+-Inputs!$C$33*EXP(-(((((Model_Data!A168)-Inputs!$C$34)^2)+(((Inputs!$C$6)-Inputs!$C$35)^2))/(2*Inputs!$C$36^2)))+Inputs!$C$37*(0.55*SIN(2*PI()*(Model_Data!A168)/Inputs!$C$39)+0.35*COS(2*PI()*(Inputs!$C$6)/Inputs!$C$40)+0.2*SIN(2*PI()*((Model_Data!A168)+(Inputs!$C$6))/(0.5*(Inputs!$C$39+Inputs!$C$40))))+Inputs!$C$38*SIN(2*PI()*(Model_Data!A168)/Inputs!$C$39)*SIN(2*PI()*(Inputs!$C$6)/Inputs!$C$40)+-Inputs!$C$41*EXP(-(((Inputs!$C$6)-Inputs!$C$43)^2)/(2*Inputs!$C$44^2))*EXP(-(((Model_Data!A168)-Inputs!$C$42)^2)/(2*Inputs!$C$45^2))+Inputs!$C$48*(0.7*(0.45*SIN(2*PI()*(((Model_Data!A168)/Inputs!$C$49)+Inputs!$C$47*0.137))+0.35*COS(2*PI()*(((Inputs!$C$6)/Inputs!$C$50)+Inputs!$C$47*0.173))+0.2*SIN(2*PI()*(((Model_Data!A168)+(Inputs!$C$6))/(0.5*(Inputs!$C$49+Inputs!$C$50))+Inputs!$C$47*0.097)))+0.3*(2*((SIN(((Model_Data!A168)*12.9898+(Inputs!$C$6)*78.233+Inputs!$C$47*37.719))*43758.5453)-INT((SIN(((Model_Data!A168)*12.9898+(Inputs!$C$6)*78.233+Inputs!$C$47*37.719))*43758.5453)))-1))))/1000)^2))-(((Model_Data!B168)-((Inputs!$C$51*(115*EXP(-(((0)-25)^2)/(4.5^2))+70*EXP(-(((0)+38)^2)/(7^2))*(0.55+0.45*SIN(2*PI()*(Model_Data!A168)/45))+24*SIN(2*PI()*(0)/9+(Model_Data!A168)/18)*EXP(-(((0)+5)^2)/(22^2))+18*SIN(2*PI()*(Model_Data!A168)/70))+Inputs!$C$28*EXP(-(((Model_Data!A168)-Inputs!$C$29)^2)/(2*Inputs!$C$31^2))*EXP(-(((0)-Inputs!$C$30)^2)/(2*Inputs!$C$32^2))+-Inputs!$C$33*EXP(-(((((Model_Data!A168)-Inputs!$C$34)^2)+(((0)-Inputs!$C$35)^2))/(2*Inputs!$C$36^2)))+Inputs!$C$37*(0.55*SIN(2*PI()*(Model_Data!A168)/Inputs!$C$39)+0.35*COS(2*PI()*(0)/Inputs!$C$40)+0.2*SIN(2*PI()*((Model_Data!A168)+(0))/(0.5*(Inputs!$C$39+Inputs!$C$40))))+Inputs!$C$38*SIN(2*PI()*(Model_Data!A168)/Inputs!$C$39)*SIN(2*PI()*(0)/Inputs!$C$40)+-Inputs!$C$41*EXP(-(((0)-Inputs!$C$43)^2)/(2*Inputs!$C$44^2))*EXP(-(((Model_Data!A168)-Inputs!$C$42)^2)/(2*Inputs!$C$45^2))+Inputs!$C$48*(0.7*(0.45*SIN(2*PI()*(((Model_Data!A168)/Inputs!$C$49)+Inputs!$C$47*0.137))+0.35*COS(2*PI()*(((0)/Inputs!$C$50)+Inputs!$C$47*0.173))+0.2*SIN(2*PI()*(((Model_Data!A168)+(0))/(0.5*(Inputs!$C$49+Inputs!$C$50))+Inputs!$C$47*0.097)))+0.3*(2*((SIN(((Model_Data!A168)*12.9898+(0)*78.233+Inputs!$C$47*37.719))*43758.5453)-INT((SIN(((Model_Data!A168)*12.9898+(0)*78.233+Inputs!$C$47*37.719))*43758.5453)))-1))))/1000)))*1000/Inputs!$C$12)-Model_Data!F168)</f>
        <v>210.54987146131236</v>
      </c>
      <c r="L168" s="10"/>
      <c r="M168" s="9">
        <f>Model_Data!A168</f>
        <v>23</v>
      </c>
      <c r="N168" s="9">
        <f>Model_Data!P168</f>
        <v>-173.02177168524585</v>
      </c>
      <c r="O168" s="9">
        <f t="shared" si="4"/>
        <v>-191.12923968859832</v>
      </c>
      <c r="P168" s="9">
        <f>Model_Data!Q168</f>
        <v>-25.979244997784665</v>
      </c>
      <c r="Q168" s="9">
        <f t="shared" si="5"/>
        <v>-28.698084037327078</v>
      </c>
      <c r="R168" s="10"/>
      <c r="S168" s="9">
        <f>Model_Data!A168</f>
        <v>23</v>
      </c>
      <c r="T168" s="9">
        <f>Model_Data!B168-Inputs!$C$5</f>
        <v>0.58777777777777374</v>
      </c>
      <c r="U168" s="10"/>
      <c r="V168" s="9">
        <f>Model_Data!A168</f>
        <v>23</v>
      </c>
      <c r="W168" s="9">
        <f>((SQRT((Model_Data!A168)^2+Inputs!$C$6^2+Inputs!$C$5^2)-Inputs!$C$5)*1000/Inputs!$C$12)</f>
        <v>808.9372640457949</v>
      </c>
      <c r="X168" s="9">
        <f>Model_Data!F168</f>
        <v>807.75456790628766</v>
      </c>
      <c r="Y168" s="10"/>
      <c r="Z168" s="9">
        <f>Model_Data!A168</f>
        <v>23</v>
      </c>
      <c r="AA168" s="9">
        <f>SQRT((Model_Data!A168)^2+Inputs!$C$6^2+((Model_Data!B168)-((Inputs!$C$51*(115*EXP(-(((Inputs!$C$6)-25)^2)/(4.5^2))+70*EXP(-(((Inputs!$C$6)+38)^2)/(7^2))*(0.55+0.45*SIN(2*PI()*(Model_Data!A168)/45))+24*SIN(2*PI()*(Inputs!$C$6)/9+(Model_Data!A168)/18)*EXP(-(((Inputs!$C$6)+5)^2)/(22^2))+18*SIN(2*PI()*(Model_Data!A168)/70))+Inputs!$C$28*EXP(-(((Model_Data!A168)-Inputs!$C$29)^2)/(2*Inputs!$C$31^2))*EXP(-(((Inputs!$C$6)-Inputs!$C$30)^2)/(2*Inputs!$C$32^2))+-Inputs!$C$33*EXP(-(((((Model_Data!A168)-Inputs!$C$34)^2)+(((Inputs!$C$6)-Inputs!$C$35)^2))/(2*Inputs!$C$36^2)))+Inputs!$C$37*(0.55*SIN(2*PI()*(Model_Data!A168)/Inputs!$C$39)+0.35*COS(2*PI()*(Inputs!$C$6)/Inputs!$C$40)+0.2*SIN(2*PI()*((Model_Data!A168)+(Inputs!$C$6))/(0.5*(Inputs!$C$39+Inputs!$C$40))))+Inputs!$C$38*SIN(2*PI()*(Model_Data!A168)/Inputs!$C$39)*SIN(2*PI()*(Inputs!$C$6)/Inputs!$C$40)+-Inputs!$C$41*EXP(-(((Inputs!$C$6)-Inputs!$C$43)^2)/(2*Inputs!$C$44^2))*EXP(-(((Model_Data!A168)-Inputs!$C$42)^2)/(2*Inputs!$C$45^2))+Inputs!$C$48*(0.7*(0.45*SIN(2*PI()*(((Model_Data!A168)/Inputs!$C$49)+Inputs!$C$47*0.137))+0.35*COS(2*PI()*(((Inputs!$C$6)/Inputs!$C$50)+Inputs!$C$47*0.173))+0.2*SIN(2*PI()*(((Model_Data!A168)+(Inputs!$C$6))/(0.5*(Inputs!$C$49+Inputs!$C$50))+Inputs!$C$47*0.097)))+0.3*(2*((SIN(((Model_Data!A168)*12.9898+(Inputs!$C$6)*78.233+Inputs!$C$47*37.719))*43758.5453)-INT((SIN(((Model_Data!A168)*12.9898+(Inputs!$C$6)*78.233+Inputs!$C$47*37.719))*43758.5453)))-1))))/1000)^2)</f>
        <v>401.58902058909132</v>
      </c>
      <c r="AB168" s="9">
        <f>1000*(AA169-AA167)/(Z169-Z167)*Inputs!$C$11</f>
        <v>477.8230992214958</v>
      </c>
      <c r="AC168" s="9">
        <f>-2*AB168/Inputs!$C$13</f>
        <v>-191.12923968859832</v>
      </c>
      <c r="AD168" s="9">
        <f>-2*AB168/Inputs!$C$14</f>
        <v>-28.698084037327078</v>
      </c>
    </row>
    <row r="169" spans="1:30">
      <c r="A169" s="9">
        <f>Model_Data!A169</f>
        <v>23.5</v>
      </c>
      <c r="B169" s="9">
        <f>((SQRT((Model_Data!A169)^2+Inputs!$C$6^2+Inputs!$C$5^2)-Inputs!$C$5)*1000/Inputs!$C$12)</f>
        <v>825.20536096770104</v>
      </c>
      <c r="C169" s="9">
        <f>Model_Data!F169</f>
        <v>823.94602583296285</v>
      </c>
      <c r="D169" s="9">
        <f>(((SQRT((Model_Data!A169)^2+Inputs!$C$6^2+((Model_Data!B169)-((Inputs!$C$51*(115*EXP(-(((Inputs!$C$6)-25)^2)/(4.5^2))+70*EXP(-(((Inputs!$C$6)+38)^2)/(7^2))*(0.55+0.45*SIN(2*PI()*(Model_Data!A169)/45))+24*SIN(2*PI()*(Inputs!$C$6)/9+(Model_Data!A169)/18)*EXP(-(((Inputs!$C$6)+5)^2)/(22^2))+18*SIN(2*PI()*(Model_Data!A169)/70))+Inputs!$C$28*EXP(-(((Model_Data!A169)-Inputs!$C$29)^2)/(2*Inputs!$C$31^2))*EXP(-(((Inputs!$C$6)-Inputs!$C$30)^2)/(2*Inputs!$C$32^2))+-Inputs!$C$33*EXP(-(((((Model_Data!A169)-Inputs!$C$34)^2)+(((Inputs!$C$6)-Inputs!$C$35)^2))/(2*Inputs!$C$36^2)))+Inputs!$C$37*(0.55*SIN(2*PI()*(Model_Data!A169)/Inputs!$C$39)+0.35*COS(2*PI()*(Inputs!$C$6)/Inputs!$C$40)+0.2*SIN(2*PI()*((Model_Data!A169)+(Inputs!$C$6))/(0.5*(Inputs!$C$39+Inputs!$C$40))))+Inputs!$C$38*SIN(2*PI()*(Model_Data!A169)/Inputs!$C$39)*SIN(2*PI()*(Inputs!$C$6)/Inputs!$C$40)+-Inputs!$C$41*EXP(-(((Inputs!$C$6)-Inputs!$C$43)^2)/(2*Inputs!$C$44^2))*EXP(-(((Model_Data!A169)-Inputs!$C$42)^2)/(2*Inputs!$C$45^2))+Inputs!$C$48*(0.7*(0.45*SIN(2*PI()*(((Model_Data!A169)/Inputs!$C$49)+Inputs!$C$47*0.137))+0.35*COS(2*PI()*(((Inputs!$C$6)/Inputs!$C$50)+Inputs!$C$47*0.173))+0.2*SIN(2*PI()*(((Model_Data!A169)+(Inputs!$C$6))/(0.5*(Inputs!$C$49+Inputs!$C$50))+Inputs!$C$47*0.097)))+0.3*(2*((SIN(((Model_Data!A169)*12.9898+(Inputs!$C$6)*78.233+Inputs!$C$47*37.719))*43758.5453)-INT((SIN(((Model_Data!A169)*12.9898+(Inputs!$C$6)*78.233+Inputs!$C$47*37.719))*43758.5453)))-1))))/1000)^2))-(((Model_Data!B169)-((Inputs!$C$51*(115*EXP(-(((0)-25)^2)/(4.5^2))+70*EXP(-(((0)+38)^2)/(7^2))*(0.55+0.45*SIN(2*PI()*(Model_Data!A169)/45))+24*SIN(2*PI()*(0)/9+(Model_Data!A169)/18)*EXP(-(((0)+5)^2)/(22^2))+18*SIN(2*PI()*(Model_Data!A169)/70))+Inputs!$C$28*EXP(-(((Model_Data!A169)-Inputs!$C$29)^2)/(2*Inputs!$C$31^2))*EXP(-(((0)-Inputs!$C$30)^2)/(2*Inputs!$C$32^2))+-Inputs!$C$33*EXP(-(((((Model_Data!A169)-Inputs!$C$34)^2)+(((0)-Inputs!$C$35)^2))/(2*Inputs!$C$36^2)))+Inputs!$C$37*(0.55*SIN(2*PI()*(Model_Data!A169)/Inputs!$C$39)+0.35*COS(2*PI()*(0)/Inputs!$C$40)+0.2*SIN(2*PI()*((Model_Data!A169)+(0))/(0.5*(Inputs!$C$39+Inputs!$C$40))))+Inputs!$C$38*SIN(2*PI()*(Model_Data!A169)/Inputs!$C$39)*SIN(2*PI()*(0)/Inputs!$C$40)+-Inputs!$C$41*EXP(-(((0)-Inputs!$C$43)^2)/(2*Inputs!$C$44^2))*EXP(-(((Model_Data!A169)-Inputs!$C$42)^2)/(2*Inputs!$C$45^2))+Inputs!$C$48*(0.7*(0.45*SIN(2*PI()*(((Model_Data!A169)/Inputs!$C$49)+Inputs!$C$47*0.137))+0.35*COS(2*PI()*(((0)/Inputs!$C$50)+Inputs!$C$47*0.173))+0.2*SIN(2*PI()*(((Model_Data!A169)+(0))/(0.5*(Inputs!$C$49+Inputs!$C$50))+Inputs!$C$47*0.097)))+0.3*(2*((SIN(((Model_Data!A169)*12.9898+(0)*78.233+Inputs!$C$47*37.719))*43758.5453)-INT((SIN(((Model_Data!A169)*12.9898+(0)*78.233+Inputs!$C$47*37.719))*43758.5453)))-1))))/1000)))*1000/Inputs!$C$12)</f>
        <v>622.45734173617359</v>
      </c>
      <c r="E169" s="9">
        <f>Model_Data!A169</f>
        <v>23.5</v>
      </c>
      <c r="F169" s="9">
        <f>(Inputs!$C$51*(115*EXP(-(((Inputs!$C$6)-25)^2)/(4.5^2))+70*EXP(-(((Inputs!$C$6)+38)^2)/(7^2))*(0.55+0.45*SIN(2*PI()*(Model_Data!A169)/45))+24*SIN(2*PI()*(Inputs!$C$6)/9+(Model_Data!A169)/18)*EXP(-(((Inputs!$C$6)+5)^2)/(22^2))+18*SIN(2*PI()*(Model_Data!A169)/70))+Inputs!$C$28*EXP(-(((Model_Data!A169)-Inputs!$C$29)^2)/(2*Inputs!$C$31^2))*EXP(-(((Inputs!$C$6)-Inputs!$C$30)^2)/(2*Inputs!$C$32^2))+-Inputs!$C$33*EXP(-(((((Model_Data!A169)-Inputs!$C$34)^2)+(((Inputs!$C$6)-Inputs!$C$35)^2))/(2*Inputs!$C$36^2)))+Inputs!$C$37*(0.55*SIN(2*PI()*(Model_Data!A169)/Inputs!$C$39)+0.35*COS(2*PI()*(Inputs!$C$6)/Inputs!$C$40)+0.2*SIN(2*PI()*((Model_Data!A169)+(Inputs!$C$6))/(0.5*(Inputs!$C$39+Inputs!$C$40))))+Inputs!$C$38*SIN(2*PI()*(Model_Data!A169)/Inputs!$C$39)*SIN(2*PI()*(Inputs!$C$6)/Inputs!$C$40)+-Inputs!$C$41*EXP(-(((Inputs!$C$6)-Inputs!$C$43)^2)/(2*Inputs!$C$44^2))*EXP(-(((Model_Data!A169)-Inputs!$C$42)^2)/(2*Inputs!$C$45^2))+Inputs!$C$48*(0.7*(0.45*SIN(2*PI()*(((Model_Data!A169)/Inputs!$C$49)+Inputs!$C$47*0.137))+0.35*COS(2*PI()*(((Inputs!$C$6)/Inputs!$C$50)+Inputs!$C$47*0.173))+0.2*SIN(2*PI()*(((Model_Data!A169)+(Inputs!$C$6))/(0.5*(Inputs!$C$49+Inputs!$C$50))+Inputs!$C$47*0.097)))+0.3*(2*((SIN(((Model_Data!A169)*12.9898+(Inputs!$C$6)*78.233+Inputs!$C$47*37.719))*43758.5453)-INT((SIN(((Model_Data!A169)*12.9898+(Inputs!$C$6)*78.233+Inputs!$C$47*37.719))*43758.5453)))-1)))</f>
        <v>431.2131008039683</v>
      </c>
      <c r="G169" s="9">
        <f>(Inputs!$C$51*(115*EXP(-(((0)-25)^2)/(4.5^2))+70*EXP(-(((0)+38)^2)/(7^2))*(0.55+0.45*SIN(2*PI()*(Model_Data!A169)/45))+24*SIN(2*PI()*(0)/9+(Model_Data!A169)/18)*EXP(-(((0)+5)^2)/(22^2))+18*SIN(2*PI()*(Model_Data!A169)/70))+Inputs!$C$28*EXP(-(((Model_Data!A169)-Inputs!$C$29)^2)/(2*Inputs!$C$31^2))*EXP(-(((0)-Inputs!$C$30)^2)/(2*Inputs!$C$32^2))+-Inputs!$C$33*EXP(-(((((Model_Data!A169)-Inputs!$C$34)^2)+(((0)-Inputs!$C$35)^2))/(2*Inputs!$C$36^2)))+Inputs!$C$37*(0.55*SIN(2*PI()*(Model_Data!A169)/Inputs!$C$39)+0.35*COS(2*PI()*(0)/Inputs!$C$40)+0.2*SIN(2*PI()*((Model_Data!A169)+(0))/(0.5*(Inputs!$C$39+Inputs!$C$40))))+Inputs!$C$38*SIN(2*PI()*(Model_Data!A169)/Inputs!$C$39)*SIN(2*PI()*(0)/Inputs!$C$40)+-Inputs!$C$41*EXP(-(((0)-Inputs!$C$43)^2)/(2*Inputs!$C$44^2))*EXP(-(((Model_Data!A169)-Inputs!$C$42)^2)/(2*Inputs!$C$45^2))+Inputs!$C$48*(0.7*(0.45*SIN(2*PI()*(((Model_Data!A169)/Inputs!$C$49)+Inputs!$C$47*0.137))+0.35*COS(2*PI()*(((0)/Inputs!$C$50)+Inputs!$C$47*0.173))+0.2*SIN(2*PI()*(((Model_Data!A169)+(0))/(0.5*(Inputs!$C$49+Inputs!$C$50))+Inputs!$C$47*0.097)))+0.3*(2*((SIN(((Model_Data!A169)*12.9898+(0)*78.233+Inputs!$C$47*37.719))*43758.5453)-INT((SIN(((Model_Data!A169)*12.9898+(0)*78.233+Inputs!$C$47*37.719))*43758.5453)))-1)))</f>
        <v>70.988668852426656</v>
      </c>
      <c r="H169" s="10"/>
      <c r="I169" s="9">
        <f>Model_Data!A169</f>
        <v>23.5</v>
      </c>
      <c r="J169" s="9">
        <f>(Inputs!$C$51*(115*EXP(-(((Inputs!$C$6)-25)^2)/(4.5^2))+70*EXP(-(((Inputs!$C$6)+38)^2)/(7^2))*(0.55+0.45*SIN(2*PI()*(Model_Data!A169)/45))+24*SIN(2*PI()*(Inputs!$C$6)/9+(Model_Data!A169)/18)*EXP(-(((Inputs!$C$6)+5)^2)/(22^2))+18*SIN(2*PI()*(Model_Data!A169)/70))+Inputs!$C$28*EXP(-(((Model_Data!A169)-Inputs!$C$29)^2)/(2*Inputs!$C$31^2))*EXP(-(((Inputs!$C$6)-Inputs!$C$30)^2)/(2*Inputs!$C$32^2))+-Inputs!$C$33*EXP(-(((((Model_Data!A169)-Inputs!$C$34)^2)+(((Inputs!$C$6)-Inputs!$C$35)^2))/(2*Inputs!$C$36^2)))+Inputs!$C$37*(0.55*SIN(2*PI()*(Model_Data!A169)/Inputs!$C$39)+0.35*COS(2*PI()*(Inputs!$C$6)/Inputs!$C$40)+0.2*SIN(2*PI()*((Model_Data!A169)+(Inputs!$C$6))/(0.5*(Inputs!$C$39+Inputs!$C$40))))+Inputs!$C$38*SIN(2*PI()*(Model_Data!A169)/Inputs!$C$39)*SIN(2*PI()*(Inputs!$C$6)/Inputs!$C$40)+-Inputs!$C$41*EXP(-(((Inputs!$C$6)-Inputs!$C$43)^2)/(2*Inputs!$C$44^2))*EXP(-(((Model_Data!A169)-Inputs!$C$42)^2)/(2*Inputs!$C$45^2))+Inputs!$C$48*(0.7*(0.45*SIN(2*PI()*(((Model_Data!A169)/Inputs!$C$49)+Inputs!$C$47*0.137))+0.35*COS(2*PI()*(((Inputs!$C$6)/Inputs!$C$50)+Inputs!$C$47*0.173))+0.2*SIN(2*PI()*(((Model_Data!A169)+(Inputs!$C$6))/(0.5*(Inputs!$C$49+Inputs!$C$50))+Inputs!$C$47*0.097)))+0.3*(2*((SIN(((Model_Data!A169)*12.9898+(Inputs!$C$6)*78.233+Inputs!$C$47*37.719))*43758.5453)-INT((SIN(((Model_Data!A169)*12.9898+(Inputs!$C$6)*78.233+Inputs!$C$47*37.719))*43758.5453)))-1)))</f>
        <v>431.2131008039683</v>
      </c>
      <c r="K169" s="9">
        <f>-((((SQRT((Model_Data!A169)^2+Inputs!$C$6^2+((Model_Data!B169)-((Inputs!$C$51*(115*EXP(-(((Inputs!$C$6)-25)^2)/(4.5^2))+70*EXP(-(((Inputs!$C$6)+38)^2)/(7^2))*(0.55+0.45*SIN(2*PI()*(Model_Data!A169)/45))+24*SIN(2*PI()*(Inputs!$C$6)/9+(Model_Data!A169)/18)*EXP(-(((Inputs!$C$6)+5)^2)/(22^2))+18*SIN(2*PI()*(Model_Data!A169)/70))+Inputs!$C$28*EXP(-(((Model_Data!A169)-Inputs!$C$29)^2)/(2*Inputs!$C$31^2))*EXP(-(((Inputs!$C$6)-Inputs!$C$30)^2)/(2*Inputs!$C$32^2))+-Inputs!$C$33*EXP(-(((((Model_Data!A169)-Inputs!$C$34)^2)+(((Inputs!$C$6)-Inputs!$C$35)^2))/(2*Inputs!$C$36^2)))+Inputs!$C$37*(0.55*SIN(2*PI()*(Model_Data!A169)/Inputs!$C$39)+0.35*COS(2*PI()*(Inputs!$C$6)/Inputs!$C$40)+0.2*SIN(2*PI()*((Model_Data!A169)+(Inputs!$C$6))/(0.5*(Inputs!$C$39+Inputs!$C$40))))+Inputs!$C$38*SIN(2*PI()*(Model_Data!A169)/Inputs!$C$39)*SIN(2*PI()*(Inputs!$C$6)/Inputs!$C$40)+-Inputs!$C$41*EXP(-(((Inputs!$C$6)-Inputs!$C$43)^2)/(2*Inputs!$C$44^2))*EXP(-(((Model_Data!A169)-Inputs!$C$42)^2)/(2*Inputs!$C$45^2))+Inputs!$C$48*(0.7*(0.45*SIN(2*PI()*(((Model_Data!A169)/Inputs!$C$49)+Inputs!$C$47*0.137))+0.35*COS(2*PI()*(((Inputs!$C$6)/Inputs!$C$50)+Inputs!$C$47*0.173))+0.2*SIN(2*PI()*(((Model_Data!A169)+(Inputs!$C$6))/(0.5*(Inputs!$C$49+Inputs!$C$50))+Inputs!$C$47*0.097)))+0.3*(2*((SIN(((Model_Data!A169)*12.9898+(Inputs!$C$6)*78.233+Inputs!$C$47*37.719))*43758.5453)-INT((SIN(((Model_Data!A169)*12.9898+(Inputs!$C$6)*78.233+Inputs!$C$47*37.719))*43758.5453)))-1))))/1000)^2))-(((Model_Data!B169)-((Inputs!$C$51*(115*EXP(-(((0)-25)^2)/(4.5^2))+70*EXP(-(((0)+38)^2)/(7^2))*(0.55+0.45*SIN(2*PI()*(Model_Data!A169)/45))+24*SIN(2*PI()*(0)/9+(Model_Data!A169)/18)*EXP(-(((0)+5)^2)/(22^2))+18*SIN(2*PI()*(Model_Data!A169)/70))+Inputs!$C$28*EXP(-(((Model_Data!A169)-Inputs!$C$29)^2)/(2*Inputs!$C$31^2))*EXP(-(((0)-Inputs!$C$30)^2)/(2*Inputs!$C$32^2))+-Inputs!$C$33*EXP(-(((((Model_Data!A169)-Inputs!$C$34)^2)+(((0)-Inputs!$C$35)^2))/(2*Inputs!$C$36^2)))+Inputs!$C$37*(0.55*SIN(2*PI()*(Model_Data!A169)/Inputs!$C$39)+0.35*COS(2*PI()*(0)/Inputs!$C$40)+0.2*SIN(2*PI()*((Model_Data!A169)+(0))/(0.5*(Inputs!$C$39+Inputs!$C$40))))+Inputs!$C$38*SIN(2*PI()*(Model_Data!A169)/Inputs!$C$39)*SIN(2*PI()*(0)/Inputs!$C$40)+-Inputs!$C$41*EXP(-(((0)-Inputs!$C$43)^2)/(2*Inputs!$C$44^2))*EXP(-(((Model_Data!A169)-Inputs!$C$42)^2)/(2*Inputs!$C$45^2))+Inputs!$C$48*(0.7*(0.45*SIN(2*PI()*(((Model_Data!A169)/Inputs!$C$49)+Inputs!$C$47*0.137))+0.35*COS(2*PI()*(((0)/Inputs!$C$50)+Inputs!$C$47*0.173))+0.2*SIN(2*PI()*(((Model_Data!A169)+(0))/(0.5*(Inputs!$C$49+Inputs!$C$50))+Inputs!$C$47*0.097)))+0.3*(2*((SIN(((Model_Data!A169)*12.9898+(0)*78.233+Inputs!$C$47*37.719))*43758.5453)-INT((SIN(((Model_Data!A169)*12.9898+(0)*78.233+Inputs!$C$47*37.719))*43758.5453)))-1))))/1000)))*1000/Inputs!$C$12)-Model_Data!F169)</f>
        <v>201.48868409678926</v>
      </c>
      <c r="L169" s="10"/>
      <c r="M169" s="9">
        <f>Model_Data!A169</f>
        <v>23.5</v>
      </c>
      <c r="N169" s="9">
        <f>Model_Data!P169</f>
        <v>-176.76445307725538</v>
      </c>
      <c r="O169" s="9">
        <f t="shared" si="4"/>
        <v>-171.87022521720792</v>
      </c>
      <c r="P169" s="9">
        <f>Model_Data!Q169</f>
        <v>-26.541209170759071</v>
      </c>
      <c r="Q169" s="9">
        <f t="shared" si="5"/>
        <v>-25.806340122703894</v>
      </c>
      <c r="R169" s="10"/>
      <c r="S169" s="9">
        <f>Model_Data!A169</f>
        <v>23.5</v>
      </c>
      <c r="T169" s="9">
        <f>Model_Data!B169-Inputs!$C$5</f>
        <v>0.61361111111108357</v>
      </c>
      <c r="U169" s="10"/>
      <c r="V169" s="9">
        <f>Model_Data!A169</f>
        <v>23.5</v>
      </c>
      <c r="W169" s="9">
        <f>((SQRT((Model_Data!A169)^2+Inputs!$C$6^2+Inputs!$C$5^2)-Inputs!$C$5)*1000/Inputs!$C$12)</f>
        <v>825.20536096770104</v>
      </c>
      <c r="X169" s="9">
        <f>Model_Data!F169</f>
        <v>823.94602583296285</v>
      </c>
      <c r="Y169" s="10"/>
      <c r="Z169" s="9">
        <f>Model_Data!A169</f>
        <v>23.5</v>
      </c>
      <c r="AA169" s="9">
        <f>SQRT((Model_Data!A169)^2+Inputs!$C$6^2+((Model_Data!B169)-((Inputs!$C$51*(115*EXP(-(((Inputs!$C$6)-25)^2)/(4.5^2))+70*EXP(-(((Inputs!$C$6)+38)^2)/(7^2))*(0.55+0.45*SIN(2*PI()*(Model_Data!A169)/45))+24*SIN(2*PI()*(Inputs!$C$6)/9+(Model_Data!A169)/18)*EXP(-(((Inputs!$C$6)+5)^2)/(22^2))+18*SIN(2*PI()*(Model_Data!A169)/70))+Inputs!$C$28*EXP(-(((Model_Data!A169)-Inputs!$C$29)^2)/(2*Inputs!$C$31^2))*EXP(-(((Inputs!$C$6)-Inputs!$C$30)^2)/(2*Inputs!$C$32^2))+-Inputs!$C$33*EXP(-(((((Model_Data!A169)-Inputs!$C$34)^2)+(((Inputs!$C$6)-Inputs!$C$35)^2))/(2*Inputs!$C$36^2)))+Inputs!$C$37*(0.55*SIN(2*PI()*(Model_Data!A169)/Inputs!$C$39)+0.35*COS(2*PI()*(Inputs!$C$6)/Inputs!$C$40)+0.2*SIN(2*PI()*((Model_Data!A169)+(Inputs!$C$6))/(0.5*(Inputs!$C$39+Inputs!$C$40))))+Inputs!$C$38*SIN(2*PI()*(Model_Data!A169)/Inputs!$C$39)*SIN(2*PI()*(Inputs!$C$6)/Inputs!$C$40)+-Inputs!$C$41*EXP(-(((Inputs!$C$6)-Inputs!$C$43)^2)/(2*Inputs!$C$44^2))*EXP(-(((Model_Data!A169)-Inputs!$C$42)^2)/(2*Inputs!$C$45^2))+Inputs!$C$48*(0.7*(0.45*SIN(2*PI()*(((Model_Data!A169)/Inputs!$C$49)+Inputs!$C$47*0.137))+0.35*COS(2*PI()*(((Inputs!$C$6)/Inputs!$C$50)+Inputs!$C$47*0.173))+0.2*SIN(2*PI()*(((Model_Data!A169)+(Inputs!$C$6))/(0.5*(Inputs!$C$49+Inputs!$C$50))+Inputs!$C$47*0.097)))+0.3*(2*((SIN(((Model_Data!A169)*12.9898+(Inputs!$C$6)*78.233+Inputs!$C$47*37.719))*43758.5453)-INT((SIN(((Model_Data!A169)*12.9898+(Inputs!$C$6)*78.233+Inputs!$C$47*37.719))*43758.5453)))-1))))/1000)^2)</f>
        <v>401.65059651054906</v>
      </c>
      <c r="AB169" s="9">
        <f>1000*(AA170-AA168)/(Z170-Z168)*Inputs!$C$11</f>
        <v>429.67556304301979</v>
      </c>
      <c r="AC169" s="9">
        <f>-2*AB169/Inputs!$C$13</f>
        <v>-171.87022521720792</v>
      </c>
      <c r="AD169" s="9">
        <f>-2*AB169/Inputs!$C$14</f>
        <v>-25.806340122703894</v>
      </c>
    </row>
    <row r="170" spans="1:30">
      <c r="A170" s="9">
        <f>Model_Data!A170</f>
        <v>24</v>
      </c>
      <c r="B170" s="9">
        <f>((SQRT((Model_Data!A170)^2+Inputs!$C$6^2+Inputs!$C$5^2)-Inputs!$C$5)*1000/Inputs!$C$12)</f>
        <v>841.8220980150237</v>
      </c>
      <c r="C170" s="9">
        <f>Model_Data!F170</f>
        <v>840.48234114978698</v>
      </c>
      <c r="D170" s="9">
        <f>(((SQRT((Model_Data!A170)^2+Inputs!$C$6^2+((Model_Data!B170)-((Inputs!$C$51*(115*EXP(-(((Inputs!$C$6)-25)^2)/(4.5^2))+70*EXP(-(((Inputs!$C$6)+38)^2)/(7^2))*(0.55+0.45*SIN(2*PI()*(Model_Data!A170)/45))+24*SIN(2*PI()*(Inputs!$C$6)/9+(Model_Data!A170)/18)*EXP(-(((Inputs!$C$6)+5)^2)/(22^2))+18*SIN(2*PI()*(Model_Data!A170)/70))+Inputs!$C$28*EXP(-(((Model_Data!A170)-Inputs!$C$29)^2)/(2*Inputs!$C$31^2))*EXP(-(((Inputs!$C$6)-Inputs!$C$30)^2)/(2*Inputs!$C$32^2))+-Inputs!$C$33*EXP(-(((((Model_Data!A170)-Inputs!$C$34)^2)+(((Inputs!$C$6)-Inputs!$C$35)^2))/(2*Inputs!$C$36^2)))+Inputs!$C$37*(0.55*SIN(2*PI()*(Model_Data!A170)/Inputs!$C$39)+0.35*COS(2*PI()*(Inputs!$C$6)/Inputs!$C$40)+0.2*SIN(2*PI()*((Model_Data!A170)+(Inputs!$C$6))/(0.5*(Inputs!$C$39+Inputs!$C$40))))+Inputs!$C$38*SIN(2*PI()*(Model_Data!A170)/Inputs!$C$39)*SIN(2*PI()*(Inputs!$C$6)/Inputs!$C$40)+-Inputs!$C$41*EXP(-(((Inputs!$C$6)-Inputs!$C$43)^2)/(2*Inputs!$C$44^2))*EXP(-(((Model_Data!A170)-Inputs!$C$42)^2)/(2*Inputs!$C$45^2))+Inputs!$C$48*(0.7*(0.45*SIN(2*PI()*(((Model_Data!A170)/Inputs!$C$49)+Inputs!$C$47*0.137))+0.35*COS(2*PI()*(((Inputs!$C$6)/Inputs!$C$50)+Inputs!$C$47*0.173))+0.2*SIN(2*PI()*(((Model_Data!A170)+(Inputs!$C$6))/(0.5*(Inputs!$C$49+Inputs!$C$50))+Inputs!$C$47*0.097)))+0.3*(2*((SIN(((Model_Data!A170)*12.9898+(Inputs!$C$6)*78.233+Inputs!$C$47*37.719))*43758.5453)-INT((SIN(((Model_Data!A170)*12.9898+(Inputs!$C$6)*78.233+Inputs!$C$47*37.719))*43758.5453)))-1))))/1000)^2))-(((Model_Data!B170)-((Inputs!$C$51*(115*EXP(-(((0)-25)^2)/(4.5^2))+70*EXP(-(((0)+38)^2)/(7^2))*(0.55+0.45*SIN(2*PI()*(Model_Data!A170)/45))+24*SIN(2*PI()*(0)/9+(Model_Data!A170)/18)*EXP(-(((0)+5)^2)/(22^2))+18*SIN(2*PI()*(Model_Data!A170)/70))+Inputs!$C$28*EXP(-(((Model_Data!A170)-Inputs!$C$29)^2)/(2*Inputs!$C$31^2))*EXP(-(((0)-Inputs!$C$30)^2)/(2*Inputs!$C$32^2))+-Inputs!$C$33*EXP(-(((((Model_Data!A170)-Inputs!$C$34)^2)+(((0)-Inputs!$C$35)^2))/(2*Inputs!$C$36^2)))+Inputs!$C$37*(0.55*SIN(2*PI()*(Model_Data!A170)/Inputs!$C$39)+0.35*COS(2*PI()*(0)/Inputs!$C$40)+0.2*SIN(2*PI()*((Model_Data!A170)+(0))/(0.5*(Inputs!$C$39+Inputs!$C$40))))+Inputs!$C$38*SIN(2*PI()*(Model_Data!A170)/Inputs!$C$39)*SIN(2*PI()*(0)/Inputs!$C$40)+-Inputs!$C$41*EXP(-(((0)-Inputs!$C$43)^2)/(2*Inputs!$C$44^2))*EXP(-(((Model_Data!A170)-Inputs!$C$42)^2)/(2*Inputs!$C$45^2))+Inputs!$C$48*(0.7*(0.45*SIN(2*PI()*(((Model_Data!A170)/Inputs!$C$49)+Inputs!$C$47*0.137))+0.35*COS(2*PI()*(((0)/Inputs!$C$50)+Inputs!$C$47*0.173))+0.2*SIN(2*PI()*(((Model_Data!A170)+(0))/(0.5*(Inputs!$C$49+Inputs!$C$50))+Inputs!$C$47*0.097)))+0.3*(2*((SIN(((Model_Data!A170)*12.9898+(0)*78.233+Inputs!$C$47*37.719))*43758.5453)-INT((SIN(((Model_Data!A170)*12.9898+(0)*78.233+Inputs!$C$47*37.719))*43758.5453)))-1))))/1000)))*1000/Inputs!$C$12)</f>
        <v>635.90316293409046</v>
      </c>
      <c r="E170" s="9">
        <f>Model_Data!A170</f>
        <v>24</v>
      </c>
      <c r="F170" s="9">
        <f>(Inputs!$C$51*(115*EXP(-(((Inputs!$C$6)-25)^2)/(4.5^2))+70*EXP(-(((Inputs!$C$6)+38)^2)/(7^2))*(0.55+0.45*SIN(2*PI()*(Model_Data!A170)/45))+24*SIN(2*PI()*(Inputs!$C$6)/9+(Model_Data!A170)/18)*EXP(-(((Inputs!$C$6)+5)^2)/(22^2))+18*SIN(2*PI()*(Model_Data!A170)/70))+Inputs!$C$28*EXP(-(((Model_Data!A170)-Inputs!$C$29)^2)/(2*Inputs!$C$31^2))*EXP(-(((Inputs!$C$6)-Inputs!$C$30)^2)/(2*Inputs!$C$32^2))+-Inputs!$C$33*EXP(-(((((Model_Data!A170)-Inputs!$C$34)^2)+(((Inputs!$C$6)-Inputs!$C$35)^2))/(2*Inputs!$C$36^2)))+Inputs!$C$37*(0.55*SIN(2*PI()*(Model_Data!A170)/Inputs!$C$39)+0.35*COS(2*PI()*(Inputs!$C$6)/Inputs!$C$40)+0.2*SIN(2*PI()*((Model_Data!A170)+(Inputs!$C$6))/(0.5*(Inputs!$C$39+Inputs!$C$40))))+Inputs!$C$38*SIN(2*PI()*(Model_Data!A170)/Inputs!$C$39)*SIN(2*PI()*(Inputs!$C$6)/Inputs!$C$40)+-Inputs!$C$41*EXP(-(((Inputs!$C$6)-Inputs!$C$43)^2)/(2*Inputs!$C$44^2))*EXP(-(((Model_Data!A170)-Inputs!$C$42)^2)/(2*Inputs!$C$45^2))+Inputs!$C$48*(0.7*(0.45*SIN(2*PI()*(((Model_Data!A170)/Inputs!$C$49)+Inputs!$C$47*0.137))+0.35*COS(2*PI()*(((Inputs!$C$6)/Inputs!$C$50)+Inputs!$C$47*0.173))+0.2*SIN(2*PI()*(((Model_Data!A170)+(Inputs!$C$6))/(0.5*(Inputs!$C$49+Inputs!$C$50))+Inputs!$C$47*0.097)))+0.3*(2*((SIN(((Model_Data!A170)*12.9898+(Inputs!$C$6)*78.233+Inputs!$C$47*37.719))*43758.5453)-INT((SIN(((Model_Data!A170)*12.9898+(Inputs!$C$6)*78.233+Inputs!$C$47*37.719))*43758.5453)))-1)))</f>
        <v>441.26250725072242</v>
      </c>
      <c r="G170" s="9">
        <f>(Inputs!$C$51*(115*EXP(-(((0)-25)^2)/(4.5^2))+70*EXP(-(((0)+38)^2)/(7^2))*(0.55+0.45*SIN(2*PI()*(Model_Data!A170)/45))+24*SIN(2*PI()*(0)/9+(Model_Data!A170)/18)*EXP(-(((0)+5)^2)/(22^2))+18*SIN(2*PI()*(Model_Data!A170)/70))+Inputs!$C$28*EXP(-(((Model_Data!A170)-Inputs!$C$29)^2)/(2*Inputs!$C$31^2))*EXP(-(((0)-Inputs!$C$30)^2)/(2*Inputs!$C$32^2))+-Inputs!$C$33*EXP(-(((((Model_Data!A170)-Inputs!$C$34)^2)+(((0)-Inputs!$C$35)^2))/(2*Inputs!$C$36^2)))+Inputs!$C$37*(0.55*SIN(2*PI()*(Model_Data!A170)/Inputs!$C$39)+0.35*COS(2*PI()*(0)/Inputs!$C$40)+0.2*SIN(2*PI()*((Model_Data!A170)+(0))/(0.5*(Inputs!$C$39+Inputs!$C$40))))+Inputs!$C$38*SIN(2*PI()*(Model_Data!A170)/Inputs!$C$39)*SIN(2*PI()*(0)/Inputs!$C$40)+-Inputs!$C$41*EXP(-(((0)-Inputs!$C$43)^2)/(2*Inputs!$C$44^2))*EXP(-(((Model_Data!A170)-Inputs!$C$42)^2)/(2*Inputs!$C$45^2))+Inputs!$C$48*(0.7*(0.45*SIN(2*PI()*(((Model_Data!A170)/Inputs!$C$49)+Inputs!$C$47*0.137))+0.35*COS(2*PI()*(((0)/Inputs!$C$50)+Inputs!$C$47*0.173))+0.2*SIN(2*PI()*(((Model_Data!A170)+(0))/(0.5*(Inputs!$C$49+Inputs!$C$50))+Inputs!$C$47*0.097)))+0.3*(2*((SIN(((Model_Data!A170)*12.9898+(0)*78.233+Inputs!$C$47*37.719))*43758.5453)-INT((SIN(((Model_Data!A170)*12.9898+(0)*78.233+Inputs!$C$47*37.719))*43758.5453)))-1)))</f>
        <v>75.468150170569217</v>
      </c>
      <c r="H170" s="10"/>
      <c r="I170" s="9">
        <f>Model_Data!A170</f>
        <v>24</v>
      </c>
      <c r="J170" s="9">
        <f>(Inputs!$C$51*(115*EXP(-(((Inputs!$C$6)-25)^2)/(4.5^2))+70*EXP(-(((Inputs!$C$6)+38)^2)/(7^2))*(0.55+0.45*SIN(2*PI()*(Model_Data!A170)/45))+24*SIN(2*PI()*(Inputs!$C$6)/9+(Model_Data!A170)/18)*EXP(-(((Inputs!$C$6)+5)^2)/(22^2))+18*SIN(2*PI()*(Model_Data!A170)/70))+Inputs!$C$28*EXP(-(((Model_Data!A170)-Inputs!$C$29)^2)/(2*Inputs!$C$31^2))*EXP(-(((Inputs!$C$6)-Inputs!$C$30)^2)/(2*Inputs!$C$32^2))+-Inputs!$C$33*EXP(-(((((Model_Data!A170)-Inputs!$C$34)^2)+(((Inputs!$C$6)-Inputs!$C$35)^2))/(2*Inputs!$C$36^2)))+Inputs!$C$37*(0.55*SIN(2*PI()*(Model_Data!A170)/Inputs!$C$39)+0.35*COS(2*PI()*(Inputs!$C$6)/Inputs!$C$40)+0.2*SIN(2*PI()*((Model_Data!A170)+(Inputs!$C$6))/(0.5*(Inputs!$C$39+Inputs!$C$40))))+Inputs!$C$38*SIN(2*PI()*(Model_Data!A170)/Inputs!$C$39)*SIN(2*PI()*(Inputs!$C$6)/Inputs!$C$40)+-Inputs!$C$41*EXP(-(((Inputs!$C$6)-Inputs!$C$43)^2)/(2*Inputs!$C$44^2))*EXP(-(((Model_Data!A170)-Inputs!$C$42)^2)/(2*Inputs!$C$45^2))+Inputs!$C$48*(0.7*(0.45*SIN(2*PI()*(((Model_Data!A170)/Inputs!$C$49)+Inputs!$C$47*0.137))+0.35*COS(2*PI()*(((Inputs!$C$6)/Inputs!$C$50)+Inputs!$C$47*0.173))+0.2*SIN(2*PI()*(((Model_Data!A170)+(Inputs!$C$6))/(0.5*(Inputs!$C$49+Inputs!$C$50))+Inputs!$C$47*0.097)))+0.3*(2*((SIN(((Model_Data!A170)*12.9898+(Inputs!$C$6)*78.233+Inputs!$C$47*37.719))*43758.5453)-INT((SIN(((Model_Data!A170)*12.9898+(Inputs!$C$6)*78.233+Inputs!$C$47*37.719))*43758.5453)))-1)))</f>
        <v>441.26250725072242</v>
      </c>
      <c r="K170" s="9">
        <f>-((((SQRT((Model_Data!A170)^2+Inputs!$C$6^2+((Model_Data!B170)-((Inputs!$C$51*(115*EXP(-(((Inputs!$C$6)-25)^2)/(4.5^2))+70*EXP(-(((Inputs!$C$6)+38)^2)/(7^2))*(0.55+0.45*SIN(2*PI()*(Model_Data!A170)/45))+24*SIN(2*PI()*(Inputs!$C$6)/9+(Model_Data!A170)/18)*EXP(-(((Inputs!$C$6)+5)^2)/(22^2))+18*SIN(2*PI()*(Model_Data!A170)/70))+Inputs!$C$28*EXP(-(((Model_Data!A170)-Inputs!$C$29)^2)/(2*Inputs!$C$31^2))*EXP(-(((Inputs!$C$6)-Inputs!$C$30)^2)/(2*Inputs!$C$32^2))+-Inputs!$C$33*EXP(-(((((Model_Data!A170)-Inputs!$C$34)^2)+(((Inputs!$C$6)-Inputs!$C$35)^2))/(2*Inputs!$C$36^2)))+Inputs!$C$37*(0.55*SIN(2*PI()*(Model_Data!A170)/Inputs!$C$39)+0.35*COS(2*PI()*(Inputs!$C$6)/Inputs!$C$40)+0.2*SIN(2*PI()*((Model_Data!A170)+(Inputs!$C$6))/(0.5*(Inputs!$C$39+Inputs!$C$40))))+Inputs!$C$38*SIN(2*PI()*(Model_Data!A170)/Inputs!$C$39)*SIN(2*PI()*(Inputs!$C$6)/Inputs!$C$40)+-Inputs!$C$41*EXP(-(((Inputs!$C$6)-Inputs!$C$43)^2)/(2*Inputs!$C$44^2))*EXP(-(((Model_Data!A170)-Inputs!$C$42)^2)/(2*Inputs!$C$45^2))+Inputs!$C$48*(0.7*(0.45*SIN(2*PI()*(((Model_Data!A170)/Inputs!$C$49)+Inputs!$C$47*0.137))+0.35*COS(2*PI()*(((Inputs!$C$6)/Inputs!$C$50)+Inputs!$C$47*0.173))+0.2*SIN(2*PI()*(((Model_Data!A170)+(Inputs!$C$6))/(0.5*(Inputs!$C$49+Inputs!$C$50))+Inputs!$C$47*0.097)))+0.3*(2*((SIN(((Model_Data!A170)*12.9898+(Inputs!$C$6)*78.233+Inputs!$C$47*37.719))*43758.5453)-INT((SIN(((Model_Data!A170)*12.9898+(Inputs!$C$6)*78.233+Inputs!$C$47*37.719))*43758.5453)))-1))))/1000)^2))-(((Model_Data!B170)-((Inputs!$C$51*(115*EXP(-(((0)-25)^2)/(4.5^2))+70*EXP(-(((0)+38)^2)/(7^2))*(0.55+0.45*SIN(2*PI()*(Model_Data!A170)/45))+24*SIN(2*PI()*(0)/9+(Model_Data!A170)/18)*EXP(-(((0)+5)^2)/(22^2))+18*SIN(2*PI()*(Model_Data!A170)/70))+Inputs!$C$28*EXP(-(((Model_Data!A170)-Inputs!$C$29)^2)/(2*Inputs!$C$31^2))*EXP(-(((0)-Inputs!$C$30)^2)/(2*Inputs!$C$32^2))+-Inputs!$C$33*EXP(-(((((Model_Data!A170)-Inputs!$C$34)^2)+(((0)-Inputs!$C$35)^2))/(2*Inputs!$C$36^2)))+Inputs!$C$37*(0.55*SIN(2*PI()*(Model_Data!A170)/Inputs!$C$39)+0.35*COS(2*PI()*(0)/Inputs!$C$40)+0.2*SIN(2*PI()*((Model_Data!A170)+(0))/(0.5*(Inputs!$C$39+Inputs!$C$40))))+Inputs!$C$38*SIN(2*PI()*(Model_Data!A170)/Inputs!$C$39)*SIN(2*PI()*(0)/Inputs!$C$40)+-Inputs!$C$41*EXP(-(((0)-Inputs!$C$43)^2)/(2*Inputs!$C$44^2))*EXP(-(((Model_Data!A170)-Inputs!$C$42)^2)/(2*Inputs!$C$45^2))+Inputs!$C$48*(0.7*(0.45*SIN(2*PI()*(((Model_Data!A170)/Inputs!$C$49)+Inputs!$C$47*0.137))+0.35*COS(2*PI()*(((0)/Inputs!$C$50)+Inputs!$C$47*0.173))+0.2*SIN(2*PI()*(((Model_Data!A170)+(0))/(0.5*(Inputs!$C$49+Inputs!$C$50))+Inputs!$C$47*0.097)))+0.3*(2*((SIN(((Model_Data!A170)*12.9898+(0)*78.233+Inputs!$C$47*37.719))*43758.5453)-INT((SIN(((Model_Data!A170)*12.9898+(0)*78.233+Inputs!$C$47*37.719))*43758.5453)))-1))))/1000)))*1000/Inputs!$C$12)-Model_Data!F170)</f>
        <v>204.57917821569652</v>
      </c>
      <c r="L170" s="10"/>
      <c r="M170" s="9">
        <f>Model_Data!A170</f>
        <v>24</v>
      </c>
      <c r="N170" s="9">
        <f>Model_Data!P170</f>
        <v>-180.50593852560041</v>
      </c>
      <c r="O170" s="9">
        <f t="shared" si="4"/>
        <v>-205.75299321362763</v>
      </c>
      <c r="P170" s="9">
        <f>Model_Data!Q170</f>
        <v>-27.102993772612678</v>
      </c>
      <c r="Q170" s="9">
        <f t="shared" si="5"/>
        <v>-30.893842824869015</v>
      </c>
      <c r="R170" s="10"/>
      <c r="S170" s="9">
        <f>Model_Data!A170</f>
        <v>24</v>
      </c>
      <c r="T170" s="9">
        <f>Model_Data!B170-Inputs!$C$5</f>
        <v>0.63999999999998636</v>
      </c>
      <c r="U170" s="10"/>
      <c r="V170" s="9">
        <f>Model_Data!A170</f>
        <v>24</v>
      </c>
      <c r="W170" s="9">
        <f>((SQRT((Model_Data!A170)^2+Inputs!$C$6^2+Inputs!$C$5^2)-Inputs!$C$5)*1000/Inputs!$C$12)</f>
        <v>841.8220980150237</v>
      </c>
      <c r="X170" s="9">
        <f>Model_Data!F170</f>
        <v>840.48234114978698</v>
      </c>
      <c r="Y170" s="10"/>
      <c r="Z170" s="9">
        <f>Model_Data!A170</f>
        <v>24</v>
      </c>
      <c r="AA170" s="9">
        <f>SQRT((Model_Data!A170)^2+Inputs!$C$6^2+((Model_Data!B170)-((Inputs!$C$51*(115*EXP(-(((Inputs!$C$6)-25)^2)/(4.5^2))+70*EXP(-(((Inputs!$C$6)+38)^2)/(7^2))*(0.55+0.45*SIN(2*PI()*(Model_Data!A170)/45))+24*SIN(2*PI()*(Inputs!$C$6)/9+(Model_Data!A170)/18)*EXP(-(((Inputs!$C$6)+5)^2)/(22^2))+18*SIN(2*PI()*(Model_Data!A170)/70))+Inputs!$C$28*EXP(-(((Model_Data!A170)-Inputs!$C$29)^2)/(2*Inputs!$C$31^2))*EXP(-(((Inputs!$C$6)-Inputs!$C$30)^2)/(2*Inputs!$C$32^2))+-Inputs!$C$33*EXP(-(((((Model_Data!A170)-Inputs!$C$34)^2)+(((Inputs!$C$6)-Inputs!$C$35)^2))/(2*Inputs!$C$36^2)))+Inputs!$C$37*(0.55*SIN(2*PI()*(Model_Data!A170)/Inputs!$C$39)+0.35*COS(2*PI()*(Inputs!$C$6)/Inputs!$C$40)+0.2*SIN(2*PI()*((Model_Data!A170)+(Inputs!$C$6))/(0.5*(Inputs!$C$39+Inputs!$C$40))))+Inputs!$C$38*SIN(2*PI()*(Model_Data!A170)/Inputs!$C$39)*SIN(2*PI()*(Inputs!$C$6)/Inputs!$C$40)+-Inputs!$C$41*EXP(-(((Inputs!$C$6)-Inputs!$C$43)^2)/(2*Inputs!$C$44^2))*EXP(-(((Model_Data!A170)-Inputs!$C$42)^2)/(2*Inputs!$C$45^2))+Inputs!$C$48*(0.7*(0.45*SIN(2*PI()*(((Model_Data!A170)/Inputs!$C$49)+Inputs!$C$47*0.137))+0.35*COS(2*PI()*(((Inputs!$C$6)/Inputs!$C$50)+Inputs!$C$47*0.173))+0.2*SIN(2*PI()*(((Model_Data!A170)+(Inputs!$C$6))/(0.5*(Inputs!$C$49+Inputs!$C$50))+Inputs!$C$47*0.097)))+0.3*(2*((SIN(((Model_Data!A170)*12.9898+(Inputs!$C$6)*78.233+Inputs!$C$47*37.719))*43758.5453)-INT((SIN(((Model_Data!A170)*12.9898+(Inputs!$C$6)*78.233+Inputs!$C$47*37.719))*43758.5453)))-1))))/1000)^2)</f>
        <v>401.69643947985207</v>
      </c>
      <c r="AB170" s="9">
        <f>1000*(AA171-AA169)/(Z171-Z169)*Inputs!$C$11</f>
        <v>514.38248303406908</v>
      </c>
      <c r="AC170" s="9">
        <f>-2*AB170/Inputs!$C$13</f>
        <v>-205.75299321362763</v>
      </c>
      <c r="AD170" s="9">
        <f>-2*AB170/Inputs!$C$14</f>
        <v>-30.893842824869015</v>
      </c>
    </row>
    <row r="171" spans="1:30">
      <c r="A171" s="9">
        <f>Model_Data!A171</f>
        <v>24.5</v>
      </c>
      <c r="B171" s="9">
        <f>((SQRT((Model_Data!A171)^2+Inputs!$C$6^2+Inputs!$C$5^2)-Inputs!$C$5)*1000/Inputs!$C$12)</f>
        <v>858.78739814219307</v>
      </c>
      <c r="C171" s="9">
        <f>Model_Data!F171</f>
        <v>857.36330173478075</v>
      </c>
      <c r="D171" s="9">
        <f>(((SQRT((Model_Data!A171)^2+Inputs!$C$6^2+((Model_Data!B171)-((Inputs!$C$51*(115*EXP(-(((Inputs!$C$6)-25)^2)/(4.5^2))+70*EXP(-(((Inputs!$C$6)+38)^2)/(7^2))*(0.55+0.45*SIN(2*PI()*(Model_Data!A171)/45))+24*SIN(2*PI()*(Inputs!$C$6)/9+(Model_Data!A171)/18)*EXP(-(((Inputs!$C$6)+5)^2)/(22^2))+18*SIN(2*PI()*(Model_Data!A171)/70))+Inputs!$C$28*EXP(-(((Model_Data!A171)-Inputs!$C$29)^2)/(2*Inputs!$C$31^2))*EXP(-(((Inputs!$C$6)-Inputs!$C$30)^2)/(2*Inputs!$C$32^2))+-Inputs!$C$33*EXP(-(((((Model_Data!A171)-Inputs!$C$34)^2)+(((Inputs!$C$6)-Inputs!$C$35)^2))/(2*Inputs!$C$36^2)))+Inputs!$C$37*(0.55*SIN(2*PI()*(Model_Data!A171)/Inputs!$C$39)+0.35*COS(2*PI()*(Inputs!$C$6)/Inputs!$C$40)+0.2*SIN(2*PI()*((Model_Data!A171)+(Inputs!$C$6))/(0.5*(Inputs!$C$39+Inputs!$C$40))))+Inputs!$C$38*SIN(2*PI()*(Model_Data!A171)/Inputs!$C$39)*SIN(2*PI()*(Inputs!$C$6)/Inputs!$C$40)+-Inputs!$C$41*EXP(-(((Inputs!$C$6)-Inputs!$C$43)^2)/(2*Inputs!$C$44^2))*EXP(-(((Model_Data!A171)-Inputs!$C$42)^2)/(2*Inputs!$C$45^2))+Inputs!$C$48*(0.7*(0.45*SIN(2*PI()*(((Model_Data!A171)/Inputs!$C$49)+Inputs!$C$47*0.137))+0.35*COS(2*PI()*(((Inputs!$C$6)/Inputs!$C$50)+Inputs!$C$47*0.173))+0.2*SIN(2*PI()*(((Model_Data!A171)+(Inputs!$C$6))/(0.5*(Inputs!$C$49+Inputs!$C$50))+Inputs!$C$47*0.097)))+0.3*(2*((SIN(((Model_Data!A171)*12.9898+(Inputs!$C$6)*78.233+Inputs!$C$47*37.719))*43758.5453)-INT((SIN(((Model_Data!A171)*12.9898+(Inputs!$C$6)*78.233+Inputs!$C$47*37.719))*43758.5453)))-1))))/1000)^2))-(((Model_Data!B171)-((Inputs!$C$51*(115*EXP(-(((0)-25)^2)/(4.5^2))+70*EXP(-(((0)+38)^2)/(7^2))*(0.55+0.45*SIN(2*PI()*(Model_Data!A171)/45))+24*SIN(2*PI()*(0)/9+(Model_Data!A171)/18)*EXP(-(((0)+5)^2)/(22^2))+18*SIN(2*PI()*(Model_Data!A171)/70))+Inputs!$C$28*EXP(-(((Model_Data!A171)-Inputs!$C$29)^2)/(2*Inputs!$C$31^2))*EXP(-(((0)-Inputs!$C$30)^2)/(2*Inputs!$C$32^2))+-Inputs!$C$33*EXP(-(((((Model_Data!A171)-Inputs!$C$34)^2)+(((0)-Inputs!$C$35)^2))/(2*Inputs!$C$36^2)))+Inputs!$C$37*(0.55*SIN(2*PI()*(Model_Data!A171)/Inputs!$C$39)+0.35*COS(2*PI()*(0)/Inputs!$C$40)+0.2*SIN(2*PI()*((Model_Data!A171)+(0))/(0.5*(Inputs!$C$39+Inputs!$C$40))))+Inputs!$C$38*SIN(2*PI()*(Model_Data!A171)/Inputs!$C$39)*SIN(2*PI()*(0)/Inputs!$C$40)+-Inputs!$C$41*EXP(-(((0)-Inputs!$C$43)^2)/(2*Inputs!$C$44^2))*EXP(-(((Model_Data!A171)-Inputs!$C$42)^2)/(2*Inputs!$C$45^2))+Inputs!$C$48*(0.7*(0.45*SIN(2*PI()*(((Model_Data!A171)/Inputs!$C$49)+Inputs!$C$47*0.137))+0.35*COS(2*PI()*(((0)/Inputs!$C$50)+Inputs!$C$47*0.173))+0.2*SIN(2*PI()*(((Model_Data!A171)+(0))/(0.5*(Inputs!$C$49+Inputs!$C$50))+Inputs!$C$47*0.097)))+0.3*(2*((SIN(((Model_Data!A171)*12.9898+(0)*78.233+Inputs!$C$47*37.719))*43758.5453)-INT((SIN(((Model_Data!A171)*12.9898+(0)*78.233+Inputs!$C$47*37.719))*43758.5453)))-1))))/1000)))*1000/Inputs!$C$12)</f>
        <v>669.96396044797245</v>
      </c>
      <c r="E171" s="9">
        <f>Model_Data!A171</f>
        <v>24.5</v>
      </c>
      <c r="F171" s="9">
        <f>(Inputs!$C$51*(115*EXP(-(((Inputs!$C$6)-25)^2)/(4.5^2))+70*EXP(-(((Inputs!$C$6)+38)^2)/(7^2))*(0.55+0.45*SIN(2*PI()*(Model_Data!A171)/45))+24*SIN(2*PI()*(Inputs!$C$6)/9+(Model_Data!A171)/18)*EXP(-(((Inputs!$C$6)+5)^2)/(22^2))+18*SIN(2*PI()*(Model_Data!A171)/70))+Inputs!$C$28*EXP(-(((Model_Data!A171)-Inputs!$C$29)^2)/(2*Inputs!$C$31^2))*EXP(-(((Inputs!$C$6)-Inputs!$C$30)^2)/(2*Inputs!$C$32^2))+-Inputs!$C$33*EXP(-(((((Model_Data!A171)-Inputs!$C$34)^2)+(((Inputs!$C$6)-Inputs!$C$35)^2))/(2*Inputs!$C$36^2)))+Inputs!$C$37*(0.55*SIN(2*PI()*(Model_Data!A171)/Inputs!$C$39)+0.35*COS(2*PI()*(Inputs!$C$6)/Inputs!$C$40)+0.2*SIN(2*PI()*((Model_Data!A171)+(Inputs!$C$6))/(0.5*(Inputs!$C$39+Inputs!$C$40))))+Inputs!$C$38*SIN(2*PI()*(Model_Data!A171)/Inputs!$C$39)*SIN(2*PI()*(Inputs!$C$6)/Inputs!$C$40)+-Inputs!$C$41*EXP(-(((Inputs!$C$6)-Inputs!$C$43)^2)/(2*Inputs!$C$44^2))*EXP(-(((Model_Data!A171)-Inputs!$C$42)^2)/(2*Inputs!$C$45^2))+Inputs!$C$48*(0.7*(0.45*SIN(2*PI()*(((Model_Data!A171)/Inputs!$C$49)+Inputs!$C$47*0.137))+0.35*COS(2*PI()*(((Inputs!$C$6)/Inputs!$C$50)+Inputs!$C$47*0.173))+0.2*SIN(2*PI()*(((Model_Data!A171)+(Inputs!$C$6))/(0.5*(Inputs!$C$49+Inputs!$C$50))+Inputs!$C$47*0.097)))+0.3*(2*((SIN(((Model_Data!A171)*12.9898+(Inputs!$C$6)*78.233+Inputs!$C$47*37.719))*43758.5453)-INT((SIN(((Model_Data!A171)*12.9898+(Inputs!$C$6)*78.233+Inputs!$C$47*37.719))*43758.5453)))-1)))</f>
        <v>415.43697734419459</v>
      </c>
      <c r="G171" s="9">
        <f>(Inputs!$C$51*(115*EXP(-(((0)-25)^2)/(4.5^2))+70*EXP(-(((0)+38)^2)/(7^2))*(0.55+0.45*SIN(2*PI()*(Model_Data!A171)/45))+24*SIN(2*PI()*(0)/9+(Model_Data!A171)/18)*EXP(-(((0)+5)^2)/(22^2))+18*SIN(2*PI()*(Model_Data!A171)/70))+Inputs!$C$28*EXP(-(((Model_Data!A171)-Inputs!$C$29)^2)/(2*Inputs!$C$31^2))*EXP(-(((0)-Inputs!$C$30)^2)/(2*Inputs!$C$32^2))+-Inputs!$C$33*EXP(-(((((Model_Data!A171)-Inputs!$C$34)^2)+(((0)-Inputs!$C$35)^2))/(2*Inputs!$C$36^2)))+Inputs!$C$37*(0.55*SIN(2*PI()*(Model_Data!A171)/Inputs!$C$39)+0.35*COS(2*PI()*(0)/Inputs!$C$40)+0.2*SIN(2*PI()*((Model_Data!A171)+(0))/(0.5*(Inputs!$C$39+Inputs!$C$40))))+Inputs!$C$38*SIN(2*PI()*(Model_Data!A171)/Inputs!$C$39)*SIN(2*PI()*(0)/Inputs!$C$40)+-Inputs!$C$41*EXP(-(((0)-Inputs!$C$43)^2)/(2*Inputs!$C$44^2))*EXP(-(((Model_Data!A171)-Inputs!$C$42)^2)/(2*Inputs!$C$45^2))+Inputs!$C$48*(0.7*(0.45*SIN(2*PI()*(((Model_Data!A171)/Inputs!$C$49)+Inputs!$C$47*0.137))+0.35*COS(2*PI()*(((0)/Inputs!$C$50)+Inputs!$C$47*0.173))+0.2*SIN(2*PI()*(((Model_Data!A171)+(0))/(0.5*(Inputs!$C$49+Inputs!$C$50))+Inputs!$C$47*0.097)))+0.3*(2*((SIN(((Model_Data!A171)*12.9898+(0)*78.233+Inputs!$C$47*37.719))*43758.5453)-INT((SIN(((Model_Data!A171)*12.9898+(0)*78.233+Inputs!$C$47*37.719))*43758.5453)))-1)))</f>
        <v>80.288162734236394</v>
      </c>
      <c r="H171" s="10"/>
      <c r="I171" s="9">
        <f>Model_Data!A171</f>
        <v>24.5</v>
      </c>
      <c r="J171" s="9">
        <f>(Inputs!$C$51*(115*EXP(-(((Inputs!$C$6)-25)^2)/(4.5^2))+70*EXP(-(((Inputs!$C$6)+38)^2)/(7^2))*(0.55+0.45*SIN(2*PI()*(Model_Data!A171)/45))+24*SIN(2*PI()*(Inputs!$C$6)/9+(Model_Data!A171)/18)*EXP(-(((Inputs!$C$6)+5)^2)/(22^2))+18*SIN(2*PI()*(Model_Data!A171)/70))+Inputs!$C$28*EXP(-(((Model_Data!A171)-Inputs!$C$29)^2)/(2*Inputs!$C$31^2))*EXP(-(((Inputs!$C$6)-Inputs!$C$30)^2)/(2*Inputs!$C$32^2))+-Inputs!$C$33*EXP(-(((((Model_Data!A171)-Inputs!$C$34)^2)+(((Inputs!$C$6)-Inputs!$C$35)^2))/(2*Inputs!$C$36^2)))+Inputs!$C$37*(0.55*SIN(2*PI()*(Model_Data!A171)/Inputs!$C$39)+0.35*COS(2*PI()*(Inputs!$C$6)/Inputs!$C$40)+0.2*SIN(2*PI()*((Model_Data!A171)+(Inputs!$C$6))/(0.5*(Inputs!$C$39+Inputs!$C$40))))+Inputs!$C$38*SIN(2*PI()*(Model_Data!A171)/Inputs!$C$39)*SIN(2*PI()*(Inputs!$C$6)/Inputs!$C$40)+-Inputs!$C$41*EXP(-(((Inputs!$C$6)-Inputs!$C$43)^2)/(2*Inputs!$C$44^2))*EXP(-(((Model_Data!A171)-Inputs!$C$42)^2)/(2*Inputs!$C$45^2))+Inputs!$C$48*(0.7*(0.45*SIN(2*PI()*(((Model_Data!A171)/Inputs!$C$49)+Inputs!$C$47*0.137))+0.35*COS(2*PI()*(((Inputs!$C$6)/Inputs!$C$50)+Inputs!$C$47*0.173))+0.2*SIN(2*PI()*(((Model_Data!A171)+(Inputs!$C$6))/(0.5*(Inputs!$C$49+Inputs!$C$50))+Inputs!$C$47*0.097)))+0.3*(2*((SIN(((Model_Data!A171)*12.9898+(Inputs!$C$6)*78.233+Inputs!$C$47*37.719))*43758.5453)-INT((SIN(((Model_Data!A171)*12.9898+(Inputs!$C$6)*78.233+Inputs!$C$47*37.719))*43758.5453)))-1)))</f>
        <v>415.43697734419459</v>
      </c>
      <c r="K171" s="9">
        <f>-((((SQRT((Model_Data!A171)^2+Inputs!$C$6^2+((Model_Data!B171)-((Inputs!$C$51*(115*EXP(-(((Inputs!$C$6)-25)^2)/(4.5^2))+70*EXP(-(((Inputs!$C$6)+38)^2)/(7^2))*(0.55+0.45*SIN(2*PI()*(Model_Data!A171)/45))+24*SIN(2*PI()*(Inputs!$C$6)/9+(Model_Data!A171)/18)*EXP(-(((Inputs!$C$6)+5)^2)/(22^2))+18*SIN(2*PI()*(Model_Data!A171)/70))+Inputs!$C$28*EXP(-(((Model_Data!A171)-Inputs!$C$29)^2)/(2*Inputs!$C$31^2))*EXP(-(((Inputs!$C$6)-Inputs!$C$30)^2)/(2*Inputs!$C$32^2))+-Inputs!$C$33*EXP(-(((((Model_Data!A171)-Inputs!$C$34)^2)+(((Inputs!$C$6)-Inputs!$C$35)^2))/(2*Inputs!$C$36^2)))+Inputs!$C$37*(0.55*SIN(2*PI()*(Model_Data!A171)/Inputs!$C$39)+0.35*COS(2*PI()*(Inputs!$C$6)/Inputs!$C$40)+0.2*SIN(2*PI()*((Model_Data!A171)+(Inputs!$C$6))/(0.5*(Inputs!$C$39+Inputs!$C$40))))+Inputs!$C$38*SIN(2*PI()*(Model_Data!A171)/Inputs!$C$39)*SIN(2*PI()*(Inputs!$C$6)/Inputs!$C$40)+-Inputs!$C$41*EXP(-(((Inputs!$C$6)-Inputs!$C$43)^2)/(2*Inputs!$C$44^2))*EXP(-(((Model_Data!A171)-Inputs!$C$42)^2)/(2*Inputs!$C$45^2))+Inputs!$C$48*(0.7*(0.45*SIN(2*PI()*(((Model_Data!A171)/Inputs!$C$49)+Inputs!$C$47*0.137))+0.35*COS(2*PI()*(((Inputs!$C$6)/Inputs!$C$50)+Inputs!$C$47*0.173))+0.2*SIN(2*PI()*(((Model_Data!A171)+(Inputs!$C$6))/(0.5*(Inputs!$C$49+Inputs!$C$50))+Inputs!$C$47*0.097)))+0.3*(2*((SIN(((Model_Data!A171)*12.9898+(Inputs!$C$6)*78.233+Inputs!$C$47*37.719))*43758.5453)-INT((SIN(((Model_Data!A171)*12.9898+(Inputs!$C$6)*78.233+Inputs!$C$47*37.719))*43758.5453)))-1))))/1000)^2))-(((Model_Data!B171)-((Inputs!$C$51*(115*EXP(-(((0)-25)^2)/(4.5^2))+70*EXP(-(((0)+38)^2)/(7^2))*(0.55+0.45*SIN(2*PI()*(Model_Data!A171)/45))+24*SIN(2*PI()*(0)/9+(Model_Data!A171)/18)*EXP(-(((0)+5)^2)/(22^2))+18*SIN(2*PI()*(Model_Data!A171)/70))+Inputs!$C$28*EXP(-(((Model_Data!A171)-Inputs!$C$29)^2)/(2*Inputs!$C$31^2))*EXP(-(((0)-Inputs!$C$30)^2)/(2*Inputs!$C$32^2))+-Inputs!$C$33*EXP(-(((((Model_Data!A171)-Inputs!$C$34)^2)+(((0)-Inputs!$C$35)^2))/(2*Inputs!$C$36^2)))+Inputs!$C$37*(0.55*SIN(2*PI()*(Model_Data!A171)/Inputs!$C$39)+0.35*COS(2*PI()*(0)/Inputs!$C$40)+0.2*SIN(2*PI()*((Model_Data!A171)+(0))/(0.5*(Inputs!$C$39+Inputs!$C$40))))+Inputs!$C$38*SIN(2*PI()*(Model_Data!A171)/Inputs!$C$39)*SIN(2*PI()*(0)/Inputs!$C$40)+-Inputs!$C$41*EXP(-(((0)-Inputs!$C$43)^2)/(2*Inputs!$C$44^2))*EXP(-(((Model_Data!A171)-Inputs!$C$42)^2)/(2*Inputs!$C$45^2))+Inputs!$C$48*(0.7*(0.45*SIN(2*PI()*(((Model_Data!A171)/Inputs!$C$49)+Inputs!$C$47*0.137))+0.35*COS(2*PI()*(((0)/Inputs!$C$50)+Inputs!$C$47*0.173))+0.2*SIN(2*PI()*(((Model_Data!A171)+(0))/(0.5*(Inputs!$C$49+Inputs!$C$50))+Inputs!$C$47*0.097)))+0.3*(2*((SIN(((Model_Data!A171)*12.9898+(0)*78.233+Inputs!$C$47*37.719))*43758.5453)-INT((SIN(((Model_Data!A171)*12.9898+(0)*78.233+Inputs!$C$47*37.719))*43758.5453)))-1))))/1000)))*1000/Inputs!$C$12)-Model_Data!F171)</f>
        <v>187.39934128680829</v>
      </c>
      <c r="L171" s="10"/>
      <c r="M171" s="9">
        <f>Model_Data!A171</f>
        <v>24.5</v>
      </c>
      <c r="N171" s="9">
        <f>Model_Data!P171</f>
        <v>-184.2462034324345</v>
      </c>
      <c r="O171" s="9">
        <f t="shared" si="4"/>
        <v>-220.10141493610718</v>
      </c>
      <c r="P171" s="9">
        <f>Model_Data!Q171</f>
        <v>-27.664595109975153</v>
      </c>
      <c r="Q171" s="9">
        <f t="shared" si="5"/>
        <v>-33.048260500916996</v>
      </c>
      <c r="R171" s="10"/>
      <c r="S171" s="9">
        <f>Model_Data!A171</f>
        <v>24.5</v>
      </c>
      <c r="T171" s="9">
        <f>Model_Data!B171-Inputs!$C$5</f>
        <v>0.66694444444442524</v>
      </c>
      <c r="U171" s="10"/>
      <c r="V171" s="9">
        <f>Model_Data!A171</f>
        <v>24.5</v>
      </c>
      <c r="W171" s="9">
        <f>((SQRT((Model_Data!A171)^2+Inputs!$C$6^2+Inputs!$C$5^2)-Inputs!$C$5)*1000/Inputs!$C$12)</f>
        <v>858.78739814219307</v>
      </c>
      <c r="X171" s="9">
        <f>Model_Data!F171</f>
        <v>857.36330173478075</v>
      </c>
      <c r="Y171" s="10"/>
      <c r="Z171" s="9">
        <f>Model_Data!A171</f>
        <v>24.5</v>
      </c>
      <c r="AA171" s="9">
        <f>SQRT((Model_Data!A171)^2+Inputs!$C$6^2+((Model_Data!B171)-((Inputs!$C$51*(115*EXP(-(((Inputs!$C$6)-25)^2)/(4.5^2))+70*EXP(-(((Inputs!$C$6)+38)^2)/(7^2))*(0.55+0.45*SIN(2*PI()*(Model_Data!A171)/45))+24*SIN(2*PI()*(Inputs!$C$6)/9+(Model_Data!A171)/18)*EXP(-(((Inputs!$C$6)+5)^2)/(22^2))+18*SIN(2*PI()*(Model_Data!A171)/70))+Inputs!$C$28*EXP(-(((Model_Data!A171)-Inputs!$C$29)^2)/(2*Inputs!$C$31^2))*EXP(-(((Inputs!$C$6)-Inputs!$C$30)^2)/(2*Inputs!$C$32^2))+-Inputs!$C$33*EXP(-(((((Model_Data!A171)-Inputs!$C$34)^2)+(((Inputs!$C$6)-Inputs!$C$35)^2))/(2*Inputs!$C$36^2)))+Inputs!$C$37*(0.55*SIN(2*PI()*(Model_Data!A171)/Inputs!$C$39)+0.35*COS(2*PI()*(Inputs!$C$6)/Inputs!$C$40)+0.2*SIN(2*PI()*((Model_Data!A171)+(Inputs!$C$6))/(0.5*(Inputs!$C$39+Inputs!$C$40))))+Inputs!$C$38*SIN(2*PI()*(Model_Data!A171)/Inputs!$C$39)*SIN(2*PI()*(Inputs!$C$6)/Inputs!$C$40)+-Inputs!$C$41*EXP(-(((Inputs!$C$6)-Inputs!$C$43)^2)/(2*Inputs!$C$44^2))*EXP(-(((Model_Data!A171)-Inputs!$C$42)^2)/(2*Inputs!$C$45^2))+Inputs!$C$48*(0.7*(0.45*SIN(2*PI()*(((Model_Data!A171)/Inputs!$C$49)+Inputs!$C$47*0.137))+0.35*COS(2*PI()*(((Inputs!$C$6)/Inputs!$C$50)+Inputs!$C$47*0.173))+0.2*SIN(2*PI()*(((Model_Data!A171)+(Inputs!$C$6))/(0.5*(Inputs!$C$49+Inputs!$C$50))+Inputs!$C$47*0.097)))+0.3*(2*((SIN(((Model_Data!A171)*12.9898+(Inputs!$C$6)*78.233+Inputs!$C$47*37.719))*43758.5453)-INT((SIN(((Model_Data!A171)*12.9898+(Inputs!$C$6)*78.233+Inputs!$C$47*37.719))*43758.5453)))-1))))/1000)^2)</f>
        <v>401.77919213130758</v>
      </c>
      <c r="AB171" s="9">
        <f>1000*(AA172-AA170)/(Z172-Z170)*Inputs!$C$11</f>
        <v>550.25353734026794</v>
      </c>
      <c r="AC171" s="9">
        <f>-2*AB171/Inputs!$C$13</f>
        <v>-220.10141493610718</v>
      </c>
      <c r="AD171" s="9">
        <f>-2*AB171/Inputs!$C$14</f>
        <v>-33.048260500916996</v>
      </c>
    </row>
    <row r="172" spans="1:30">
      <c r="A172" s="9">
        <f>Model_Data!A172</f>
        <v>25</v>
      </c>
      <c r="B172" s="9">
        <f>((SQRT((Model_Data!A172)^2+Inputs!$C$6^2+Inputs!$C$5^2)-Inputs!$C$5)*1000/Inputs!$C$12)</f>
        <v>876.10118271080978</v>
      </c>
      <c r="C172" s="9">
        <f>Model_Data!F172</f>
        <v>874.588691152092</v>
      </c>
      <c r="D172" s="9">
        <f>(((SQRT((Model_Data!A172)^2+Inputs!$C$6^2+((Model_Data!B172)-((Inputs!$C$51*(115*EXP(-(((Inputs!$C$6)-25)^2)/(4.5^2))+70*EXP(-(((Inputs!$C$6)+38)^2)/(7^2))*(0.55+0.45*SIN(2*PI()*(Model_Data!A172)/45))+24*SIN(2*PI()*(Inputs!$C$6)/9+(Model_Data!A172)/18)*EXP(-(((Inputs!$C$6)+5)^2)/(22^2))+18*SIN(2*PI()*(Model_Data!A172)/70))+Inputs!$C$28*EXP(-(((Model_Data!A172)-Inputs!$C$29)^2)/(2*Inputs!$C$31^2))*EXP(-(((Inputs!$C$6)-Inputs!$C$30)^2)/(2*Inputs!$C$32^2))+-Inputs!$C$33*EXP(-(((((Model_Data!A172)-Inputs!$C$34)^2)+(((Inputs!$C$6)-Inputs!$C$35)^2))/(2*Inputs!$C$36^2)))+Inputs!$C$37*(0.55*SIN(2*PI()*(Model_Data!A172)/Inputs!$C$39)+0.35*COS(2*PI()*(Inputs!$C$6)/Inputs!$C$40)+0.2*SIN(2*PI()*((Model_Data!A172)+(Inputs!$C$6))/(0.5*(Inputs!$C$39+Inputs!$C$40))))+Inputs!$C$38*SIN(2*PI()*(Model_Data!A172)/Inputs!$C$39)*SIN(2*PI()*(Inputs!$C$6)/Inputs!$C$40)+-Inputs!$C$41*EXP(-(((Inputs!$C$6)-Inputs!$C$43)^2)/(2*Inputs!$C$44^2))*EXP(-(((Model_Data!A172)-Inputs!$C$42)^2)/(2*Inputs!$C$45^2))+Inputs!$C$48*(0.7*(0.45*SIN(2*PI()*(((Model_Data!A172)/Inputs!$C$49)+Inputs!$C$47*0.137))+0.35*COS(2*PI()*(((Inputs!$C$6)/Inputs!$C$50)+Inputs!$C$47*0.173))+0.2*SIN(2*PI()*(((Model_Data!A172)+(Inputs!$C$6))/(0.5*(Inputs!$C$49+Inputs!$C$50))+Inputs!$C$47*0.097)))+0.3*(2*((SIN(((Model_Data!A172)*12.9898+(Inputs!$C$6)*78.233+Inputs!$C$47*37.719))*43758.5453)-INT((SIN(((Model_Data!A172)*12.9898+(Inputs!$C$6)*78.233+Inputs!$C$47*37.719))*43758.5453)))-1))))/1000)^2))-(((Model_Data!B172)-((Inputs!$C$51*(115*EXP(-(((0)-25)^2)/(4.5^2))+70*EXP(-(((0)+38)^2)/(7^2))*(0.55+0.45*SIN(2*PI()*(Model_Data!A172)/45))+24*SIN(2*PI()*(0)/9+(Model_Data!A172)/18)*EXP(-(((0)+5)^2)/(22^2))+18*SIN(2*PI()*(Model_Data!A172)/70))+Inputs!$C$28*EXP(-(((Model_Data!A172)-Inputs!$C$29)^2)/(2*Inputs!$C$31^2))*EXP(-(((0)-Inputs!$C$30)^2)/(2*Inputs!$C$32^2))+-Inputs!$C$33*EXP(-(((((Model_Data!A172)-Inputs!$C$34)^2)+(((0)-Inputs!$C$35)^2))/(2*Inputs!$C$36^2)))+Inputs!$C$37*(0.55*SIN(2*PI()*(Model_Data!A172)/Inputs!$C$39)+0.35*COS(2*PI()*(0)/Inputs!$C$40)+0.2*SIN(2*PI()*((Model_Data!A172)+(0))/(0.5*(Inputs!$C$39+Inputs!$C$40))))+Inputs!$C$38*SIN(2*PI()*(Model_Data!A172)/Inputs!$C$39)*SIN(2*PI()*(0)/Inputs!$C$40)+-Inputs!$C$41*EXP(-(((0)-Inputs!$C$43)^2)/(2*Inputs!$C$44^2))*EXP(-(((Model_Data!A172)-Inputs!$C$42)^2)/(2*Inputs!$C$45^2))+Inputs!$C$48*(0.7*(0.45*SIN(2*PI()*(((Model_Data!A172)/Inputs!$C$49)+Inputs!$C$47*0.137))+0.35*COS(2*PI()*(((0)/Inputs!$C$50)+Inputs!$C$47*0.173))+0.2*SIN(2*PI()*(((Model_Data!A172)+(0))/(0.5*(Inputs!$C$49+Inputs!$C$50))+Inputs!$C$47*0.097)))+0.3*(2*((SIN(((Model_Data!A172)*12.9898+(0)*78.233+Inputs!$C$47*37.719))*43758.5453)-INT((SIN(((Model_Data!A172)*12.9898+(0)*78.233+Inputs!$C$47*37.719))*43758.5453)))-1))))/1000)))*1000/Inputs!$C$12)</f>
        <v>674.75110576455074</v>
      </c>
      <c r="E172" s="9">
        <f>Model_Data!A172</f>
        <v>25</v>
      </c>
      <c r="F172" s="9">
        <f>(Inputs!$C$51*(115*EXP(-(((Inputs!$C$6)-25)^2)/(4.5^2))+70*EXP(-(((Inputs!$C$6)+38)^2)/(7^2))*(0.55+0.45*SIN(2*PI()*(Model_Data!A172)/45))+24*SIN(2*PI()*(Inputs!$C$6)/9+(Model_Data!A172)/18)*EXP(-(((Inputs!$C$6)+5)^2)/(22^2))+18*SIN(2*PI()*(Model_Data!A172)/70))+Inputs!$C$28*EXP(-(((Model_Data!A172)-Inputs!$C$29)^2)/(2*Inputs!$C$31^2))*EXP(-(((Inputs!$C$6)-Inputs!$C$30)^2)/(2*Inputs!$C$32^2))+-Inputs!$C$33*EXP(-(((((Model_Data!A172)-Inputs!$C$34)^2)+(((Inputs!$C$6)-Inputs!$C$35)^2))/(2*Inputs!$C$36^2)))+Inputs!$C$37*(0.55*SIN(2*PI()*(Model_Data!A172)/Inputs!$C$39)+0.35*COS(2*PI()*(Inputs!$C$6)/Inputs!$C$40)+0.2*SIN(2*PI()*((Model_Data!A172)+(Inputs!$C$6))/(0.5*(Inputs!$C$39+Inputs!$C$40))))+Inputs!$C$38*SIN(2*PI()*(Model_Data!A172)/Inputs!$C$39)*SIN(2*PI()*(Inputs!$C$6)/Inputs!$C$40)+-Inputs!$C$41*EXP(-(((Inputs!$C$6)-Inputs!$C$43)^2)/(2*Inputs!$C$44^2))*EXP(-(((Model_Data!A172)-Inputs!$C$42)^2)/(2*Inputs!$C$45^2))+Inputs!$C$48*(0.7*(0.45*SIN(2*PI()*(((Model_Data!A172)/Inputs!$C$49)+Inputs!$C$47*0.137))+0.35*COS(2*PI()*(((Inputs!$C$6)/Inputs!$C$50)+Inputs!$C$47*0.173))+0.2*SIN(2*PI()*(((Model_Data!A172)+(Inputs!$C$6))/(0.5*(Inputs!$C$49+Inputs!$C$50))+Inputs!$C$47*0.097)))+0.3*(2*((SIN(((Model_Data!A172)*12.9898+(Inputs!$C$6)*78.233+Inputs!$C$47*37.719))*43758.5453)-INT((SIN(((Model_Data!A172)*12.9898+(Inputs!$C$6)*78.233+Inputs!$C$47*37.719))*43758.5453)))-1)))</f>
        <v>418.83207484781849</v>
      </c>
      <c r="G172" s="9">
        <f>(Inputs!$C$51*(115*EXP(-(((0)-25)^2)/(4.5^2))+70*EXP(-(((0)+38)^2)/(7^2))*(0.55+0.45*SIN(2*PI()*(Model_Data!A172)/45))+24*SIN(2*PI()*(0)/9+(Model_Data!A172)/18)*EXP(-(((0)+5)^2)/(22^2))+18*SIN(2*PI()*(Model_Data!A172)/70))+Inputs!$C$28*EXP(-(((Model_Data!A172)-Inputs!$C$29)^2)/(2*Inputs!$C$31^2))*EXP(-(((0)-Inputs!$C$30)^2)/(2*Inputs!$C$32^2))+-Inputs!$C$33*EXP(-(((((Model_Data!A172)-Inputs!$C$34)^2)+(((0)-Inputs!$C$35)^2))/(2*Inputs!$C$36^2)))+Inputs!$C$37*(0.55*SIN(2*PI()*(Model_Data!A172)/Inputs!$C$39)+0.35*COS(2*PI()*(0)/Inputs!$C$40)+0.2*SIN(2*PI()*((Model_Data!A172)+(0))/(0.5*(Inputs!$C$39+Inputs!$C$40))))+Inputs!$C$38*SIN(2*PI()*(Model_Data!A172)/Inputs!$C$39)*SIN(2*PI()*(0)/Inputs!$C$40)+-Inputs!$C$41*EXP(-(((0)-Inputs!$C$43)^2)/(2*Inputs!$C$44^2))*EXP(-(((Model_Data!A172)-Inputs!$C$42)^2)/(2*Inputs!$C$45^2))+Inputs!$C$48*(0.7*(0.45*SIN(2*PI()*(((Model_Data!A172)/Inputs!$C$49)+Inputs!$C$47*0.137))+0.35*COS(2*PI()*(((0)/Inputs!$C$50)+Inputs!$C$47*0.173))+0.2*SIN(2*PI()*(((Model_Data!A172)+(0))/(0.5*(Inputs!$C$49+Inputs!$C$50))+Inputs!$C$47*0.097)))+0.3*(2*((SIN(((Model_Data!A172)*12.9898+(0)*78.233+Inputs!$C$47*37.719))*43758.5453)-INT((SIN(((Model_Data!A172)*12.9898+(0)*78.233+Inputs!$C$47*37.719))*43758.5453)))-1)))</f>
        <v>61.498548518191555</v>
      </c>
      <c r="H172" s="10"/>
      <c r="I172" s="9">
        <f>Model_Data!A172</f>
        <v>25</v>
      </c>
      <c r="J172" s="9">
        <f>(Inputs!$C$51*(115*EXP(-(((Inputs!$C$6)-25)^2)/(4.5^2))+70*EXP(-(((Inputs!$C$6)+38)^2)/(7^2))*(0.55+0.45*SIN(2*PI()*(Model_Data!A172)/45))+24*SIN(2*PI()*(Inputs!$C$6)/9+(Model_Data!A172)/18)*EXP(-(((Inputs!$C$6)+5)^2)/(22^2))+18*SIN(2*PI()*(Model_Data!A172)/70))+Inputs!$C$28*EXP(-(((Model_Data!A172)-Inputs!$C$29)^2)/(2*Inputs!$C$31^2))*EXP(-(((Inputs!$C$6)-Inputs!$C$30)^2)/(2*Inputs!$C$32^2))+-Inputs!$C$33*EXP(-(((((Model_Data!A172)-Inputs!$C$34)^2)+(((Inputs!$C$6)-Inputs!$C$35)^2))/(2*Inputs!$C$36^2)))+Inputs!$C$37*(0.55*SIN(2*PI()*(Model_Data!A172)/Inputs!$C$39)+0.35*COS(2*PI()*(Inputs!$C$6)/Inputs!$C$40)+0.2*SIN(2*PI()*((Model_Data!A172)+(Inputs!$C$6))/(0.5*(Inputs!$C$39+Inputs!$C$40))))+Inputs!$C$38*SIN(2*PI()*(Model_Data!A172)/Inputs!$C$39)*SIN(2*PI()*(Inputs!$C$6)/Inputs!$C$40)+-Inputs!$C$41*EXP(-(((Inputs!$C$6)-Inputs!$C$43)^2)/(2*Inputs!$C$44^2))*EXP(-(((Model_Data!A172)-Inputs!$C$42)^2)/(2*Inputs!$C$45^2))+Inputs!$C$48*(0.7*(0.45*SIN(2*PI()*(((Model_Data!A172)/Inputs!$C$49)+Inputs!$C$47*0.137))+0.35*COS(2*PI()*(((Inputs!$C$6)/Inputs!$C$50)+Inputs!$C$47*0.173))+0.2*SIN(2*PI()*(((Model_Data!A172)+(Inputs!$C$6))/(0.5*(Inputs!$C$49+Inputs!$C$50))+Inputs!$C$47*0.097)))+0.3*(2*((SIN(((Model_Data!A172)*12.9898+(Inputs!$C$6)*78.233+Inputs!$C$47*37.719))*43758.5453)-INT((SIN(((Model_Data!A172)*12.9898+(Inputs!$C$6)*78.233+Inputs!$C$47*37.719))*43758.5453)))-1)))</f>
        <v>418.83207484781849</v>
      </c>
      <c r="K172" s="9">
        <f>-((((SQRT((Model_Data!A172)^2+Inputs!$C$6^2+((Model_Data!B172)-((Inputs!$C$51*(115*EXP(-(((Inputs!$C$6)-25)^2)/(4.5^2))+70*EXP(-(((Inputs!$C$6)+38)^2)/(7^2))*(0.55+0.45*SIN(2*PI()*(Model_Data!A172)/45))+24*SIN(2*PI()*(Inputs!$C$6)/9+(Model_Data!A172)/18)*EXP(-(((Inputs!$C$6)+5)^2)/(22^2))+18*SIN(2*PI()*(Model_Data!A172)/70))+Inputs!$C$28*EXP(-(((Model_Data!A172)-Inputs!$C$29)^2)/(2*Inputs!$C$31^2))*EXP(-(((Inputs!$C$6)-Inputs!$C$30)^2)/(2*Inputs!$C$32^2))+-Inputs!$C$33*EXP(-(((((Model_Data!A172)-Inputs!$C$34)^2)+(((Inputs!$C$6)-Inputs!$C$35)^2))/(2*Inputs!$C$36^2)))+Inputs!$C$37*(0.55*SIN(2*PI()*(Model_Data!A172)/Inputs!$C$39)+0.35*COS(2*PI()*(Inputs!$C$6)/Inputs!$C$40)+0.2*SIN(2*PI()*((Model_Data!A172)+(Inputs!$C$6))/(0.5*(Inputs!$C$39+Inputs!$C$40))))+Inputs!$C$38*SIN(2*PI()*(Model_Data!A172)/Inputs!$C$39)*SIN(2*PI()*(Inputs!$C$6)/Inputs!$C$40)+-Inputs!$C$41*EXP(-(((Inputs!$C$6)-Inputs!$C$43)^2)/(2*Inputs!$C$44^2))*EXP(-(((Model_Data!A172)-Inputs!$C$42)^2)/(2*Inputs!$C$45^2))+Inputs!$C$48*(0.7*(0.45*SIN(2*PI()*(((Model_Data!A172)/Inputs!$C$49)+Inputs!$C$47*0.137))+0.35*COS(2*PI()*(((Inputs!$C$6)/Inputs!$C$50)+Inputs!$C$47*0.173))+0.2*SIN(2*PI()*(((Model_Data!A172)+(Inputs!$C$6))/(0.5*(Inputs!$C$49+Inputs!$C$50))+Inputs!$C$47*0.097)))+0.3*(2*((SIN(((Model_Data!A172)*12.9898+(Inputs!$C$6)*78.233+Inputs!$C$47*37.719))*43758.5453)-INT((SIN(((Model_Data!A172)*12.9898+(Inputs!$C$6)*78.233+Inputs!$C$47*37.719))*43758.5453)))-1))))/1000)^2))-(((Model_Data!B172)-((Inputs!$C$51*(115*EXP(-(((0)-25)^2)/(4.5^2))+70*EXP(-(((0)+38)^2)/(7^2))*(0.55+0.45*SIN(2*PI()*(Model_Data!A172)/45))+24*SIN(2*PI()*(0)/9+(Model_Data!A172)/18)*EXP(-(((0)+5)^2)/(22^2))+18*SIN(2*PI()*(Model_Data!A172)/70))+Inputs!$C$28*EXP(-(((Model_Data!A172)-Inputs!$C$29)^2)/(2*Inputs!$C$31^2))*EXP(-(((0)-Inputs!$C$30)^2)/(2*Inputs!$C$32^2))+-Inputs!$C$33*EXP(-(((((Model_Data!A172)-Inputs!$C$34)^2)+(((0)-Inputs!$C$35)^2))/(2*Inputs!$C$36^2)))+Inputs!$C$37*(0.55*SIN(2*PI()*(Model_Data!A172)/Inputs!$C$39)+0.35*COS(2*PI()*(0)/Inputs!$C$40)+0.2*SIN(2*PI()*((Model_Data!A172)+(0))/(0.5*(Inputs!$C$39+Inputs!$C$40))))+Inputs!$C$38*SIN(2*PI()*(Model_Data!A172)/Inputs!$C$39)*SIN(2*PI()*(0)/Inputs!$C$40)+-Inputs!$C$41*EXP(-(((0)-Inputs!$C$43)^2)/(2*Inputs!$C$44^2))*EXP(-(((Model_Data!A172)-Inputs!$C$42)^2)/(2*Inputs!$C$45^2))+Inputs!$C$48*(0.7*(0.45*SIN(2*PI()*(((Model_Data!A172)/Inputs!$C$49)+Inputs!$C$47*0.137))+0.35*COS(2*PI()*(((0)/Inputs!$C$50)+Inputs!$C$47*0.173))+0.2*SIN(2*PI()*(((Model_Data!A172)+(0))/(0.5*(Inputs!$C$49+Inputs!$C$50))+Inputs!$C$47*0.097)))+0.3*(2*((SIN(((Model_Data!A172)*12.9898+(0)*78.233+Inputs!$C$47*37.719))*43758.5453)-INT((SIN(((Model_Data!A172)*12.9898+(0)*78.233+Inputs!$C$47*37.719))*43758.5453)))-1))))/1000)))*1000/Inputs!$C$12)-Model_Data!F172)</f>
        <v>199.83758538754125</v>
      </c>
      <c r="L172" s="10"/>
      <c r="M172" s="9">
        <f>Model_Data!A172</f>
        <v>25</v>
      </c>
      <c r="N172" s="9">
        <f>Model_Data!P172</f>
        <v>-187.98522325262562</v>
      </c>
      <c r="O172" s="9">
        <f t="shared" si="4"/>
        <v>-228.37483407356558</v>
      </c>
      <c r="P172" s="9">
        <f>Model_Data!Q172</f>
        <v>-28.226009497391235</v>
      </c>
      <c r="Q172" s="9">
        <f t="shared" si="5"/>
        <v>-34.290515626661502</v>
      </c>
      <c r="R172" s="10"/>
      <c r="S172" s="9">
        <f>Model_Data!A172</f>
        <v>25</v>
      </c>
      <c r="T172" s="9">
        <f>Model_Data!B172-Inputs!$C$5</f>
        <v>0.69444444444445708</v>
      </c>
      <c r="U172" s="10"/>
      <c r="V172" s="9">
        <f>Model_Data!A172</f>
        <v>25</v>
      </c>
      <c r="W172" s="9">
        <f>((SQRT((Model_Data!A172)^2+Inputs!$C$6^2+Inputs!$C$5^2)-Inputs!$C$5)*1000/Inputs!$C$12)</f>
        <v>876.10118271080978</v>
      </c>
      <c r="X172" s="9">
        <f>Model_Data!F172</f>
        <v>874.588691152092</v>
      </c>
      <c r="Y172" s="10"/>
      <c r="Z172" s="9">
        <f>Model_Data!A172</f>
        <v>25</v>
      </c>
      <c r="AA172" s="9">
        <f>SQRT((Model_Data!A172)^2+Inputs!$C$6^2+((Model_Data!B172)-((Inputs!$C$51*(115*EXP(-(((Inputs!$C$6)-25)^2)/(4.5^2))+70*EXP(-(((Inputs!$C$6)+38)^2)/(7^2))*(0.55+0.45*SIN(2*PI()*(Model_Data!A172)/45))+24*SIN(2*PI()*(Inputs!$C$6)/9+(Model_Data!A172)/18)*EXP(-(((Inputs!$C$6)+5)^2)/(22^2))+18*SIN(2*PI()*(Model_Data!A172)/70))+Inputs!$C$28*EXP(-(((Model_Data!A172)-Inputs!$C$29)^2)/(2*Inputs!$C$31^2))*EXP(-(((Inputs!$C$6)-Inputs!$C$30)^2)/(2*Inputs!$C$32^2))+-Inputs!$C$33*EXP(-(((((Model_Data!A172)-Inputs!$C$34)^2)+(((Inputs!$C$6)-Inputs!$C$35)^2))/(2*Inputs!$C$36^2)))+Inputs!$C$37*(0.55*SIN(2*PI()*(Model_Data!A172)/Inputs!$C$39)+0.35*COS(2*PI()*(Inputs!$C$6)/Inputs!$C$40)+0.2*SIN(2*PI()*((Model_Data!A172)+(Inputs!$C$6))/(0.5*(Inputs!$C$39+Inputs!$C$40))))+Inputs!$C$38*SIN(2*PI()*(Model_Data!A172)/Inputs!$C$39)*SIN(2*PI()*(Inputs!$C$6)/Inputs!$C$40)+-Inputs!$C$41*EXP(-(((Inputs!$C$6)-Inputs!$C$43)^2)/(2*Inputs!$C$44^2))*EXP(-(((Model_Data!A172)-Inputs!$C$42)^2)/(2*Inputs!$C$45^2))+Inputs!$C$48*(0.7*(0.45*SIN(2*PI()*(((Model_Data!A172)/Inputs!$C$49)+Inputs!$C$47*0.137))+0.35*COS(2*PI()*(((Inputs!$C$6)/Inputs!$C$50)+Inputs!$C$47*0.173))+0.2*SIN(2*PI()*(((Model_Data!A172)+(Inputs!$C$6))/(0.5*(Inputs!$C$49+Inputs!$C$50))+Inputs!$C$47*0.097)))+0.3*(2*((SIN(((Model_Data!A172)*12.9898+(Inputs!$C$6)*78.233+Inputs!$C$47*37.719))*43758.5453)-INT((SIN(((Model_Data!A172)*12.9898+(Inputs!$C$6)*78.233+Inputs!$C$47*37.719))*43758.5453)))-1))))/1000)^2)</f>
        <v>401.83400286418714</v>
      </c>
      <c r="AB172" s="9">
        <f>1000*(AA173-AA171)/(Z173-Z171)*Inputs!$C$11</f>
        <v>570.93708518391395</v>
      </c>
      <c r="AC172" s="9">
        <f>-2*AB172/Inputs!$C$13</f>
        <v>-228.37483407356558</v>
      </c>
      <c r="AD172" s="9">
        <f>-2*AB172/Inputs!$C$14</f>
        <v>-34.290515626661502</v>
      </c>
    </row>
    <row r="173" spans="1:30">
      <c r="A173" s="9">
        <f>Model_Data!A173</f>
        <v>25.5</v>
      </c>
      <c r="B173" s="9">
        <f>((SQRT((Model_Data!A173)^2+Inputs!$C$6^2+Inputs!$C$5^2)-Inputs!$C$5)*1000/Inputs!$C$12)</f>
        <v>893.76337149168944</v>
      </c>
      <c r="C173" s="9">
        <f>Model_Data!F173</f>
        <v>892.1582886614168</v>
      </c>
      <c r="D173" s="9">
        <f>(((SQRT((Model_Data!A173)^2+Inputs!$C$6^2+((Model_Data!B173)-((Inputs!$C$51*(115*EXP(-(((Inputs!$C$6)-25)^2)/(4.5^2))+70*EXP(-(((Inputs!$C$6)+38)^2)/(7^2))*(0.55+0.45*SIN(2*PI()*(Model_Data!A173)/45))+24*SIN(2*PI()*(Inputs!$C$6)/9+(Model_Data!A173)/18)*EXP(-(((Inputs!$C$6)+5)^2)/(22^2))+18*SIN(2*PI()*(Model_Data!A173)/70))+Inputs!$C$28*EXP(-(((Model_Data!A173)-Inputs!$C$29)^2)/(2*Inputs!$C$31^2))*EXP(-(((Inputs!$C$6)-Inputs!$C$30)^2)/(2*Inputs!$C$32^2))+-Inputs!$C$33*EXP(-(((((Model_Data!A173)-Inputs!$C$34)^2)+(((Inputs!$C$6)-Inputs!$C$35)^2))/(2*Inputs!$C$36^2)))+Inputs!$C$37*(0.55*SIN(2*PI()*(Model_Data!A173)/Inputs!$C$39)+0.35*COS(2*PI()*(Inputs!$C$6)/Inputs!$C$40)+0.2*SIN(2*PI()*((Model_Data!A173)+(Inputs!$C$6))/(0.5*(Inputs!$C$39+Inputs!$C$40))))+Inputs!$C$38*SIN(2*PI()*(Model_Data!A173)/Inputs!$C$39)*SIN(2*PI()*(Inputs!$C$6)/Inputs!$C$40)+-Inputs!$C$41*EXP(-(((Inputs!$C$6)-Inputs!$C$43)^2)/(2*Inputs!$C$44^2))*EXP(-(((Model_Data!A173)-Inputs!$C$42)^2)/(2*Inputs!$C$45^2))+Inputs!$C$48*(0.7*(0.45*SIN(2*PI()*(((Model_Data!A173)/Inputs!$C$49)+Inputs!$C$47*0.137))+0.35*COS(2*PI()*(((Inputs!$C$6)/Inputs!$C$50)+Inputs!$C$47*0.173))+0.2*SIN(2*PI()*(((Model_Data!A173)+(Inputs!$C$6))/(0.5*(Inputs!$C$49+Inputs!$C$50))+Inputs!$C$47*0.097)))+0.3*(2*((SIN(((Model_Data!A173)*12.9898+(Inputs!$C$6)*78.233+Inputs!$C$47*37.719))*43758.5453)-INT((SIN(((Model_Data!A173)*12.9898+(Inputs!$C$6)*78.233+Inputs!$C$47*37.719))*43758.5453)))-1))))/1000)^2))-(((Model_Data!B173)-((Inputs!$C$51*(115*EXP(-(((0)-25)^2)/(4.5^2))+70*EXP(-(((0)+38)^2)/(7^2))*(0.55+0.45*SIN(2*PI()*(Model_Data!A173)/45))+24*SIN(2*PI()*(0)/9+(Model_Data!A173)/18)*EXP(-(((0)+5)^2)/(22^2))+18*SIN(2*PI()*(Model_Data!A173)/70))+Inputs!$C$28*EXP(-(((Model_Data!A173)-Inputs!$C$29)^2)/(2*Inputs!$C$31^2))*EXP(-(((0)-Inputs!$C$30)^2)/(2*Inputs!$C$32^2))+-Inputs!$C$33*EXP(-(((((Model_Data!A173)-Inputs!$C$34)^2)+(((0)-Inputs!$C$35)^2))/(2*Inputs!$C$36^2)))+Inputs!$C$37*(0.55*SIN(2*PI()*(Model_Data!A173)/Inputs!$C$39)+0.35*COS(2*PI()*(0)/Inputs!$C$40)+0.2*SIN(2*PI()*((Model_Data!A173)+(0))/(0.5*(Inputs!$C$39+Inputs!$C$40))))+Inputs!$C$38*SIN(2*PI()*(Model_Data!A173)/Inputs!$C$39)*SIN(2*PI()*(0)/Inputs!$C$40)+-Inputs!$C$41*EXP(-(((0)-Inputs!$C$43)^2)/(2*Inputs!$C$44^2))*EXP(-(((Model_Data!A173)-Inputs!$C$42)^2)/(2*Inputs!$C$45^2))+Inputs!$C$48*(0.7*(0.45*SIN(2*PI()*(((Model_Data!A173)/Inputs!$C$49)+Inputs!$C$47*0.137))+0.35*COS(2*PI()*(((0)/Inputs!$C$50)+Inputs!$C$47*0.173))+0.2*SIN(2*PI()*(((Model_Data!A173)+(0))/(0.5*(Inputs!$C$49+Inputs!$C$50))+Inputs!$C$47*0.097)))+0.3*(2*((SIN(((Model_Data!A173)*12.9898+(0)*78.233+Inputs!$C$47*37.719))*43758.5453)-INT((SIN(((Model_Data!A173)*12.9898+(0)*78.233+Inputs!$C$47*37.719))*43758.5453)))-1))))/1000)))*1000/Inputs!$C$12)</f>
        <v>711.98218149017237</v>
      </c>
      <c r="E173" s="9">
        <f>Model_Data!A173</f>
        <v>25.5</v>
      </c>
      <c r="F173" s="9">
        <f>(Inputs!$C$51*(115*EXP(-(((Inputs!$C$6)-25)^2)/(4.5^2))+70*EXP(-(((Inputs!$C$6)+38)^2)/(7^2))*(0.55+0.45*SIN(2*PI()*(Model_Data!A173)/45))+24*SIN(2*PI()*(Inputs!$C$6)/9+(Model_Data!A173)/18)*EXP(-(((Inputs!$C$6)+5)^2)/(22^2))+18*SIN(2*PI()*(Model_Data!A173)/70))+Inputs!$C$28*EXP(-(((Model_Data!A173)-Inputs!$C$29)^2)/(2*Inputs!$C$31^2))*EXP(-(((Inputs!$C$6)-Inputs!$C$30)^2)/(2*Inputs!$C$32^2))+-Inputs!$C$33*EXP(-(((((Model_Data!A173)-Inputs!$C$34)^2)+(((Inputs!$C$6)-Inputs!$C$35)^2))/(2*Inputs!$C$36^2)))+Inputs!$C$37*(0.55*SIN(2*PI()*(Model_Data!A173)/Inputs!$C$39)+0.35*COS(2*PI()*(Inputs!$C$6)/Inputs!$C$40)+0.2*SIN(2*PI()*((Model_Data!A173)+(Inputs!$C$6))/(0.5*(Inputs!$C$39+Inputs!$C$40))))+Inputs!$C$38*SIN(2*PI()*(Model_Data!A173)/Inputs!$C$39)*SIN(2*PI()*(Inputs!$C$6)/Inputs!$C$40)+-Inputs!$C$41*EXP(-(((Inputs!$C$6)-Inputs!$C$43)^2)/(2*Inputs!$C$44^2))*EXP(-(((Model_Data!A173)-Inputs!$C$42)^2)/(2*Inputs!$C$45^2))+Inputs!$C$48*(0.7*(0.45*SIN(2*PI()*(((Model_Data!A173)/Inputs!$C$49)+Inputs!$C$47*0.137))+0.35*COS(2*PI()*(((Inputs!$C$6)/Inputs!$C$50)+Inputs!$C$47*0.173))+0.2*SIN(2*PI()*(((Model_Data!A173)+(Inputs!$C$6))/(0.5*(Inputs!$C$49+Inputs!$C$50))+Inputs!$C$47*0.097)))+0.3*(2*((SIN(((Model_Data!A173)*12.9898+(Inputs!$C$6)*78.233+Inputs!$C$47*37.719))*43758.5453)-INT((SIN(((Model_Data!A173)*12.9898+(Inputs!$C$6)*78.233+Inputs!$C$47*37.719))*43758.5453)))-1)))</f>
        <v>390.15691093624679</v>
      </c>
      <c r="G173" s="9">
        <f>(Inputs!$C$51*(115*EXP(-(((0)-25)^2)/(4.5^2))+70*EXP(-(((0)+38)^2)/(7^2))*(0.55+0.45*SIN(2*PI()*(Model_Data!A173)/45))+24*SIN(2*PI()*(0)/9+(Model_Data!A173)/18)*EXP(-(((0)+5)^2)/(22^2))+18*SIN(2*PI()*(Model_Data!A173)/70))+Inputs!$C$28*EXP(-(((Model_Data!A173)-Inputs!$C$29)^2)/(2*Inputs!$C$31^2))*EXP(-(((0)-Inputs!$C$30)^2)/(2*Inputs!$C$32^2))+-Inputs!$C$33*EXP(-(((((Model_Data!A173)-Inputs!$C$34)^2)+(((0)-Inputs!$C$35)^2))/(2*Inputs!$C$36^2)))+Inputs!$C$37*(0.55*SIN(2*PI()*(Model_Data!A173)/Inputs!$C$39)+0.35*COS(2*PI()*(0)/Inputs!$C$40)+0.2*SIN(2*PI()*((Model_Data!A173)+(0))/(0.5*(Inputs!$C$39+Inputs!$C$40))))+Inputs!$C$38*SIN(2*PI()*(Model_Data!A173)/Inputs!$C$39)*SIN(2*PI()*(0)/Inputs!$C$40)+-Inputs!$C$41*EXP(-(((0)-Inputs!$C$43)^2)/(2*Inputs!$C$44^2))*EXP(-(((Model_Data!A173)-Inputs!$C$42)^2)/(2*Inputs!$C$45^2))+Inputs!$C$48*(0.7*(0.45*SIN(2*PI()*(((Model_Data!A173)/Inputs!$C$49)+Inputs!$C$47*0.137))+0.35*COS(2*PI()*(((0)/Inputs!$C$50)+Inputs!$C$47*0.173))+0.2*SIN(2*PI()*(((Model_Data!A173)+(0))/(0.5*(Inputs!$C$49+Inputs!$C$50))+Inputs!$C$47*0.097)))+0.3*(2*((SIN(((Model_Data!A173)*12.9898+(0)*78.233+Inputs!$C$47*37.719))*43758.5453)-INT((SIN(((Model_Data!A173)*12.9898+(0)*78.233+Inputs!$C$47*37.719))*43758.5453)))-1)))</f>
        <v>67.901880448960824</v>
      </c>
      <c r="H173" s="10"/>
      <c r="I173" s="9">
        <f>Model_Data!A173</f>
        <v>25.5</v>
      </c>
      <c r="J173" s="9">
        <f>(Inputs!$C$51*(115*EXP(-(((Inputs!$C$6)-25)^2)/(4.5^2))+70*EXP(-(((Inputs!$C$6)+38)^2)/(7^2))*(0.55+0.45*SIN(2*PI()*(Model_Data!A173)/45))+24*SIN(2*PI()*(Inputs!$C$6)/9+(Model_Data!A173)/18)*EXP(-(((Inputs!$C$6)+5)^2)/(22^2))+18*SIN(2*PI()*(Model_Data!A173)/70))+Inputs!$C$28*EXP(-(((Model_Data!A173)-Inputs!$C$29)^2)/(2*Inputs!$C$31^2))*EXP(-(((Inputs!$C$6)-Inputs!$C$30)^2)/(2*Inputs!$C$32^2))+-Inputs!$C$33*EXP(-(((((Model_Data!A173)-Inputs!$C$34)^2)+(((Inputs!$C$6)-Inputs!$C$35)^2))/(2*Inputs!$C$36^2)))+Inputs!$C$37*(0.55*SIN(2*PI()*(Model_Data!A173)/Inputs!$C$39)+0.35*COS(2*PI()*(Inputs!$C$6)/Inputs!$C$40)+0.2*SIN(2*PI()*((Model_Data!A173)+(Inputs!$C$6))/(0.5*(Inputs!$C$39+Inputs!$C$40))))+Inputs!$C$38*SIN(2*PI()*(Model_Data!A173)/Inputs!$C$39)*SIN(2*PI()*(Inputs!$C$6)/Inputs!$C$40)+-Inputs!$C$41*EXP(-(((Inputs!$C$6)-Inputs!$C$43)^2)/(2*Inputs!$C$44^2))*EXP(-(((Model_Data!A173)-Inputs!$C$42)^2)/(2*Inputs!$C$45^2))+Inputs!$C$48*(0.7*(0.45*SIN(2*PI()*(((Model_Data!A173)/Inputs!$C$49)+Inputs!$C$47*0.137))+0.35*COS(2*PI()*(((Inputs!$C$6)/Inputs!$C$50)+Inputs!$C$47*0.173))+0.2*SIN(2*PI()*(((Model_Data!A173)+(Inputs!$C$6))/(0.5*(Inputs!$C$49+Inputs!$C$50))+Inputs!$C$47*0.097)))+0.3*(2*((SIN(((Model_Data!A173)*12.9898+(Inputs!$C$6)*78.233+Inputs!$C$47*37.719))*43758.5453)-INT((SIN(((Model_Data!A173)*12.9898+(Inputs!$C$6)*78.233+Inputs!$C$47*37.719))*43758.5453)))-1)))</f>
        <v>390.15691093624679</v>
      </c>
      <c r="K173" s="9">
        <f>-((((SQRT((Model_Data!A173)^2+Inputs!$C$6^2+((Model_Data!B173)-((Inputs!$C$51*(115*EXP(-(((Inputs!$C$6)-25)^2)/(4.5^2))+70*EXP(-(((Inputs!$C$6)+38)^2)/(7^2))*(0.55+0.45*SIN(2*PI()*(Model_Data!A173)/45))+24*SIN(2*PI()*(Inputs!$C$6)/9+(Model_Data!A173)/18)*EXP(-(((Inputs!$C$6)+5)^2)/(22^2))+18*SIN(2*PI()*(Model_Data!A173)/70))+Inputs!$C$28*EXP(-(((Model_Data!A173)-Inputs!$C$29)^2)/(2*Inputs!$C$31^2))*EXP(-(((Inputs!$C$6)-Inputs!$C$30)^2)/(2*Inputs!$C$32^2))+-Inputs!$C$33*EXP(-(((((Model_Data!A173)-Inputs!$C$34)^2)+(((Inputs!$C$6)-Inputs!$C$35)^2))/(2*Inputs!$C$36^2)))+Inputs!$C$37*(0.55*SIN(2*PI()*(Model_Data!A173)/Inputs!$C$39)+0.35*COS(2*PI()*(Inputs!$C$6)/Inputs!$C$40)+0.2*SIN(2*PI()*((Model_Data!A173)+(Inputs!$C$6))/(0.5*(Inputs!$C$39+Inputs!$C$40))))+Inputs!$C$38*SIN(2*PI()*(Model_Data!A173)/Inputs!$C$39)*SIN(2*PI()*(Inputs!$C$6)/Inputs!$C$40)+-Inputs!$C$41*EXP(-(((Inputs!$C$6)-Inputs!$C$43)^2)/(2*Inputs!$C$44^2))*EXP(-(((Model_Data!A173)-Inputs!$C$42)^2)/(2*Inputs!$C$45^2))+Inputs!$C$48*(0.7*(0.45*SIN(2*PI()*(((Model_Data!A173)/Inputs!$C$49)+Inputs!$C$47*0.137))+0.35*COS(2*PI()*(((Inputs!$C$6)/Inputs!$C$50)+Inputs!$C$47*0.173))+0.2*SIN(2*PI()*(((Model_Data!A173)+(Inputs!$C$6))/(0.5*(Inputs!$C$49+Inputs!$C$50))+Inputs!$C$47*0.097)))+0.3*(2*((SIN(((Model_Data!A173)*12.9898+(Inputs!$C$6)*78.233+Inputs!$C$47*37.719))*43758.5453)-INT((SIN(((Model_Data!A173)*12.9898+(Inputs!$C$6)*78.233+Inputs!$C$47*37.719))*43758.5453)))-1))))/1000)^2))-(((Model_Data!B173)-((Inputs!$C$51*(115*EXP(-(((0)-25)^2)/(4.5^2))+70*EXP(-(((0)+38)^2)/(7^2))*(0.55+0.45*SIN(2*PI()*(Model_Data!A173)/45))+24*SIN(2*PI()*(0)/9+(Model_Data!A173)/18)*EXP(-(((0)+5)^2)/(22^2))+18*SIN(2*PI()*(Model_Data!A173)/70))+Inputs!$C$28*EXP(-(((Model_Data!A173)-Inputs!$C$29)^2)/(2*Inputs!$C$31^2))*EXP(-(((0)-Inputs!$C$30)^2)/(2*Inputs!$C$32^2))+-Inputs!$C$33*EXP(-(((((Model_Data!A173)-Inputs!$C$34)^2)+(((0)-Inputs!$C$35)^2))/(2*Inputs!$C$36^2)))+Inputs!$C$37*(0.55*SIN(2*PI()*(Model_Data!A173)/Inputs!$C$39)+0.35*COS(2*PI()*(0)/Inputs!$C$40)+0.2*SIN(2*PI()*((Model_Data!A173)+(0))/(0.5*(Inputs!$C$39+Inputs!$C$40))))+Inputs!$C$38*SIN(2*PI()*(Model_Data!A173)/Inputs!$C$39)*SIN(2*PI()*(0)/Inputs!$C$40)+-Inputs!$C$41*EXP(-(((0)-Inputs!$C$43)^2)/(2*Inputs!$C$44^2))*EXP(-(((Model_Data!A173)-Inputs!$C$42)^2)/(2*Inputs!$C$45^2))+Inputs!$C$48*(0.7*(0.45*SIN(2*PI()*(((Model_Data!A173)/Inputs!$C$49)+Inputs!$C$47*0.137))+0.35*COS(2*PI()*(((0)/Inputs!$C$50)+Inputs!$C$47*0.173))+0.2*SIN(2*PI()*(((Model_Data!A173)+(0))/(0.5*(Inputs!$C$49+Inputs!$C$50))+Inputs!$C$47*0.097)))+0.3*(2*((SIN(((Model_Data!A173)*12.9898+(0)*78.233+Inputs!$C$47*37.719))*43758.5453)-INT((SIN(((Model_Data!A173)*12.9898+(0)*78.233+Inputs!$C$47*37.719))*43758.5453)))-1))))/1000)))*1000/Inputs!$C$12)-Model_Data!F173)</f>
        <v>180.17610717124444</v>
      </c>
      <c r="L173" s="10"/>
      <c r="M173" s="9">
        <f>Model_Data!A173</f>
        <v>25.5</v>
      </c>
      <c r="N173" s="9">
        <f>Model_Data!P173</f>
        <v>-191.72297349476912</v>
      </c>
      <c r="O173" s="9">
        <f t="shared" si="4"/>
        <v>-241.95565964837442</v>
      </c>
      <c r="P173" s="9">
        <f>Model_Data!Q173</f>
        <v>-28.787233257472842</v>
      </c>
      <c r="Q173" s="9">
        <f t="shared" si="5"/>
        <v>-36.329678625882046</v>
      </c>
      <c r="R173" s="10"/>
      <c r="S173" s="9">
        <f>Model_Data!A173</f>
        <v>25.5</v>
      </c>
      <c r="T173" s="9">
        <f>Model_Data!B173-Inputs!$C$5</f>
        <v>0.72250000000002501</v>
      </c>
      <c r="U173" s="10"/>
      <c r="V173" s="9">
        <f>Model_Data!A173</f>
        <v>25.5</v>
      </c>
      <c r="W173" s="9">
        <f>((SQRT((Model_Data!A173)^2+Inputs!$C$6^2+Inputs!$C$5^2)-Inputs!$C$5)*1000/Inputs!$C$12)</f>
        <v>893.76337149168944</v>
      </c>
      <c r="X173" s="9">
        <f>Model_Data!F173</f>
        <v>892.1582886614168</v>
      </c>
      <c r="Y173" s="10"/>
      <c r="Z173" s="9">
        <f>Model_Data!A173</f>
        <v>25.5</v>
      </c>
      <c r="AA173" s="9">
        <f>SQRT((Model_Data!A173)^2+Inputs!$C$6^2+((Model_Data!B173)-((Inputs!$C$51*(115*EXP(-(((Inputs!$C$6)-25)^2)/(4.5^2))+70*EXP(-(((Inputs!$C$6)+38)^2)/(7^2))*(0.55+0.45*SIN(2*PI()*(Model_Data!A173)/45))+24*SIN(2*PI()*(Inputs!$C$6)/9+(Model_Data!A173)/18)*EXP(-(((Inputs!$C$6)+5)^2)/(22^2))+18*SIN(2*PI()*(Model_Data!A173)/70))+Inputs!$C$28*EXP(-(((Model_Data!A173)-Inputs!$C$29)^2)/(2*Inputs!$C$31^2))*EXP(-(((Inputs!$C$6)-Inputs!$C$30)^2)/(2*Inputs!$C$32^2))+-Inputs!$C$33*EXP(-(((((Model_Data!A173)-Inputs!$C$34)^2)+(((Inputs!$C$6)-Inputs!$C$35)^2))/(2*Inputs!$C$36^2)))+Inputs!$C$37*(0.55*SIN(2*PI()*(Model_Data!A173)/Inputs!$C$39)+0.35*COS(2*PI()*(Inputs!$C$6)/Inputs!$C$40)+0.2*SIN(2*PI()*((Model_Data!A173)+(Inputs!$C$6))/(0.5*(Inputs!$C$39+Inputs!$C$40))))+Inputs!$C$38*SIN(2*PI()*(Model_Data!A173)/Inputs!$C$39)*SIN(2*PI()*(Inputs!$C$6)/Inputs!$C$40)+-Inputs!$C$41*EXP(-(((Inputs!$C$6)-Inputs!$C$43)^2)/(2*Inputs!$C$44^2))*EXP(-(((Model_Data!A173)-Inputs!$C$42)^2)/(2*Inputs!$C$45^2))+Inputs!$C$48*(0.7*(0.45*SIN(2*PI()*(((Model_Data!A173)/Inputs!$C$49)+Inputs!$C$47*0.137))+0.35*COS(2*PI()*(((Inputs!$C$6)/Inputs!$C$50)+Inputs!$C$47*0.173))+0.2*SIN(2*PI()*(((Model_Data!A173)+(Inputs!$C$6))/(0.5*(Inputs!$C$49+Inputs!$C$50))+Inputs!$C$47*0.097)))+0.3*(2*((SIN(((Model_Data!A173)*12.9898+(Inputs!$C$6)*78.233+Inputs!$C$47*37.719))*43758.5453)-INT((SIN(((Model_Data!A173)*12.9898+(Inputs!$C$6)*78.233+Inputs!$C$47*37.719))*43758.5453)))-1))))/1000)^2)</f>
        <v>401.92192640260356</v>
      </c>
      <c r="AB173" s="9">
        <f>1000*(AA174-AA172)/(Z174-Z172)*Inputs!$C$11</f>
        <v>604.88914912093605</v>
      </c>
      <c r="AC173" s="9">
        <f>-2*AB173/Inputs!$C$13</f>
        <v>-241.95565964837442</v>
      </c>
      <c r="AD173" s="9">
        <f>-2*AB173/Inputs!$C$14</f>
        <v>-36.329678625882046</v>
      </c>
    </row>
    <row r="174" spans="1:30">
      <c r="A174" s="9">
        <f>Model_Data!A174</f>
        <v>26</v>
      </c>
      <c r="B174" s="9">
        <f>((SQRT((Model_Data!A174)^2+Inputs!$C$6^2+Inputs!$C$5^2)-Inputs!$C$5)*1000/Inputs!$C$12)</f>
        <v>911.77388266642674</v>
      </c>
      <c r="C174" s="9">
        <f>Model_Data!F174</f>
        <v>910.07186922748394</v>
      </c>
      <c r="D174" s="9">
        <f>(((SQRT((Model_Data!A174)^2+Inputs!$C$6^2+((Model_Data!B174)-((Inputs!$C$51*(115*EXP(-(((Inputs!$C$6)-25)^2)/(4.5^2))+70*EXP(-(((Inputs!$C$6)+38)^2)/(7^2))*(0.55+0.45*SIN(2*PI()*(Model_Data!A174)/45))+24*SIN(2*PI()*(Inputs!$C$6)/9+(Model_Data!A174)/18)*EXP(-(((Inputs!$C$6)+5)^2)/(22^2))+18*SIN(2*PI()*(Model_Data!A174)/70))+Inputs!$C$28*EXP(-(((Model_Data!A174)-Inputs!$C$29)^2)/(2*Inputs!$C$31^2))*EXP(-(((Inputs!$C$6)-Inputs!$C$30)^2)/(2*Inputs!$C$32^2))+-Inputs!$C$33*EXP(-(((((Model_Data!A174)-Inputs!$C$34)^2)+(((Inputs!$C$6)-Inputs!$C$35)^2))/(2*Inputs!$C$36^2)))+Inputs!$C$37*(0.55*SIN(2*PI()*(Model_Data!A174)/Inputs!$C$39)+0.35*COS(2*PI()*(Inputs!$C$6)/Inputs!$C$40)+0.2*SIN(2*PI()*((Model_Data!A174)+(Inputs!$C$6))/(0.5*(Inputs!$C$39+Inputs!$C$40))))+Inputs!$C$38*SIN(2*PI()*(Model_Data!A174)/Inputs!$C$39)*SIN(2*PI()*(Inputs!$C$6)/Inputs!$C$40)+-Inputs!$C$41*EXP(-(((Inputs!$C$6)-Inputs!$C$43)^2)/(2*Inputs!$C$44^2))*EXP(-(((Model_Data!A174)-Inputs!$C$42)^2)/(2*Inputs!$C$45^2))+Inputs!$C$48*(0.7*(0.45*SIN(2*PI()*(((Model_Data!A174)/Inputs!$C$49)+Inputs!$C$47*0.137))+0.35*COS(2*PI()*(((Inputs!$C$6)/Inputs!$C$50)+Inputs!$C$47*0.173))+0.2*SIN(2*PI()*(((Model_Data!A174)+(Inputs!$C$6))/(0.5*(Inputs!$C$49+Inputs!$C$50))+Inputs!$C$47*0.097)))+0.3*(2*((SIN(((Model_Data!A174)*12.9898+(Inputs!$C$6)*78.233+Inputs!$C$47*37.719))*43758.5453)-INT((SIN(((Model_Data!A174)*12.9898+(Inputs!$C$6)*78.233+Inputs!$C$47*37.719))*43758.5453)))-1))))/1000)^2))-(((Model_Data!B174)-((Inputs!$C$51*(115*EXP(-(((0)-25)^2)/(4.5^2))+70*EXP(-(((0)+38)^2)/(7^2))*(0.55+0.45*SIN(2*PI()*(Model_Data!A174)/45))+24*SIN(2*PI()*(0)/9+(Model_Data!A174)/18)*EXP(-(((0)+5)^2)/(22^2))+18*SIN(2*PI()*(Model_Data!A174)/70))+Inputs!$C$28*EXP(-(((Model_Data!A174)-Inputs!$C$29)^2)/(2*Inputs!$C$31^2))*EXP(-(((0)-Inputs!$C$30)^2)/(2*Inputs!$C$32^2))+-Inputs!$C$33*EXP(-(((((Model_Data!A174)-Inputs!$C$34)^2)+(((0)-Inputs!$C$35)^2))/(2*Inputs!$C$36^2)))+Inputs!$C$37*(0.55*SIN(2*PI()*(Model_Data!A174)/Inputs!$C$39)+0.35*COS(2*PI()*(0)/Inputs!$C$40)+0.2*SIN(2*PI()*((Model_Data!A174)+(0))/(0.5*(Inputs!$C$39+Inputs!$C$40))))+Inputs!$C$38*SIN(2*PI()*(Model_Data!A174)/Inputs!$C$39)*SIN(2*PI()*(0)/Inputs!$C$40)+-Inputs!$C$41*EXP(-(((0)-Inputs!$C$43)^2)/(2*Inputs!$C$44^2))*EXP(-(((Model_Data!A174)-Inputs!$C$42)^2)/(2*Inputs!$C$45^2))+Inputs!$C$48*(0.7*(0.45*SIN(2*PI()*(((Model_Data!A174)/Inputs!$C$49)+Inputs!$C$47*0.137))+0.35*COS(2*PI()*(((0)/Inputs!$C$50)+Inputs!$C$47*0.173))+0.2*SIN(2*PI()*(((Model_Data!A174)+(0))/(0.5*(Inputs!$C$49+Inputs!$C$50))+Inputs!$C$47*0.097)))+0.3*(2*((SIN(((Model_Data!A174)*12.9898+(0)*78.233+Inputs!$C$47*37.719))*43758.5453)-INT((SIN(((Model_Data!A174)*12.9898+(0)*78.233+Inputs!$C$47*37.719))*43758.5453)))-1))))/1000)))*1000/Inputs!$C$12)</f>
        <v>729.85770349350014</v>
      </c>
      <c r="E174" s="9">
        <f>Model_Data!A174</f>
        <v>26</v>
      </c>
      <c r="F174" s="9">
        <f>(Inputs!$C$51*(115*EXP(-(((Inputs!$C$6)-25)^2)/(4.5^2))+70*EXP(-(((Inputs!$C$6)+38)^2)/(7^2))*(0.55+0.45*SIN(2*PI()*(Model_Data!A174)/45))+24*SIN(2*PI()*(Inputs!$C$6)/9+(Model_Data!A174)/18)*EXP(-(((Inputs!$C$6)+5)^2)/(22^2))+18*SIN(2*PI()*(Model_Data!A174)/70))+Inputs!$C$28*EXP(-(((Model_Data!A174)-Inputs!$C$29)^2)/(2*Inputs!$C$31^2))*EXP(-(((Inputs!$C$6)-Inputs!$C$30)^2)/(2*Inputs!$C$32^2))+-Inputs!$C$33*EXP(-(((((Model_Data!A174)-Inputs!$C$34)^2)+(((Inputs!$C$6)-Inputs!$C$35)^2))/(2*Inputs!$C$36^2)))+Inputs!$C$37*(0.55*SIN(2*PI()*(Model_Data!A174)/Inputs!$C$39)+0.35*COS(2*PI()*(Inputs!$C$6)/Inputs!$C$40)+0.2*SIN(2*PI()*((Model_Data!A174)+(Inputs!$C$6))/(0.5*(Inputs!$C$39+Inputs!$C$40))))+Inputs!$C$38*SIN(2*PI()*(Model_Data!A174)/Inputs!$C$39)*SIN(2*PI()*(Inputs!$C$6)/Inputs!$C$40)+-Inputs!$C$41*EXP(-(((Inputs!$C$6)-Inputs!$C$43)^2)/(2*Inputs!$C$44^2))*EXP(-(((Model_Data!A174)-Inputs!$C$42)^2)/(2*Inputs!$C$45^2))+Inputs!$C$48*(0.7*(0.45*SIN(2*PI()*(((Model_Data!A174)/Inputs!$C$49)+Inputs!$C$47*0.137))+0.35*COS(2*PI()*(((Inputs!$C$6)/Inputs!$C$50)+Inputs!$C$47*0.173))+0.2*SIN(2*PI()*(((Model_Data!A174)+(Inputs!$C$6))/(0.5*(Inputs!$C$49+Inputs!$C$50))+Inputs!$C$47*0.097)))+0.3*(2*((SIN(((Model_Data!A174)*12.9898+(Inputs!$C$6)*78.233+Inputs!$C$47*37.719))*43758.5453)-INT((SIN(((Model_Data!A174)*12.9898+(Inputs!$C$6)*78.233+Inputs!$C$47*37.719))*43758.5453)))-1)))</f>
        <v>387.37494101799217</v>
      </c>
      <c r="G174" s="9">
        <f>(Inputs!$C$51*(115*EXP(-(((0)-25)^2)/(4.5^2))+70*EXP(-(((0)+38)^2)/(7^2))*(0.55+0.45*SIN(2*PI()*(Model_Data!A174)/45))+24*SIN(2*PI()*(0)/9+(Model_Data!A174)/18)*EXP(-(((0)+5)^2)/(22^2))+18*SIN(2*PI()*(Model_Data!A174)/70))+Inputs!$C$28*EXP(-(((Model_Data!A174)-Inputs!$C$29)^2)/(2*Inputs!$C$31^2))*EXP(-(((0)-Inputs!$C$30)^2)/(2*Inputs!$C$32^2))+-Inputs!$C$33*EXP(-(((((Model_Data!A174)-Inputs!$C$34)^2)+(((0)-Inputs!$C$35)^2))/(2*Inputs!$C$36^2)))+Inputs!$C$37*(0.55*SIN(2*PI()*(Model_Data!A174)/Inputs!$C$39)+0.35*COS(2*PI()*(0)/Inputs!$C$40)+0.2*SIN(2*PI()*((Model_Data!A174)+(0))/(0.5*(Inputs!$C$39+Inputs!$C$40))))+Inputs!$C$38*SIN(2*PI()*(Model_Data!A174)/Inputs!$C$39)*SIN(2*PI()*(0)/Inputs!$C$40)+-Inputs!$C$41*EXP(-(((0)-Inputs!$C$43)^2)/(2*Inputs!$C$44^2))*EXP(-(((Model_Data!A174)-Inputs!$C$42)^2)/(2*Inputs!$C$45^2))+Inputs!$C$48*(0.7*(0.45*SIN(2*PI()*(((Model_Data!A174)/Inputs!$C$49)+Inputs!$C$47*0.137))+0.35*COS(2*PI()*(((0)/Inputs!$C$50)+Inputs!$C$47*0.173))+0.2*SIN(2*PI()*(((Model_Data!A174)+(0))/(0.5*(Inputs!$C$49+Inputs!$C$50))+Inputs!$C$47*0.097)))+0.3*(2*((SIN(((Model_Data!A174)*12.9898+(0)*78.233+Inputs!$C$47*37.719))*43758.5453)-INT((SIN(((Model_Data!A174)*12.9898+(0)*78.233+Inputs!$C$47*37.719))*43758.5453)))-1)))</f>
        <v>65.032671862171824</v>
      </c>
      <c r="H174" s="10"/>
      <c r="I174" s="9">
        <f>Model_Data!A174</f>
        <v>26</v>
      </c>
      <c r="J174" s="9">
        <f>(Inputs!$C$51*(115*EXP(-(((Inputs!$C$6)-25)^2)/(4.5^2))+70*EXP(-(((Inputs!$C$6)+38)^2)/(7^2))*(0.55+0.45*SIN(2*PI()*(Model_Data!A174)/45))+24*SIN(2*PI()*(Inputs!$C$6)/9+(Model_Data!A174)/18)*EXP(-(((Inputs!$C$6)+5)^2)/(22^2))+18*SIN(2*PI()*(Model_Data!A174)/70))+Inputs!$C$28*EXP(-(((Model_Data!A174)-Inputs!$C$29)^2)/(2*Inputs!$C$31^2))*EXP(-(((Inputs!$C$6)-Inputs!$C$30)^2)/(2*Inputs!$C$32^2))+-Inputs!$C$33*EXP(-(((((Model_Data!A174)-Inputs!$C$34)^2)+(((Inputs!$C$6)-Inputs!$C$35)^2))/(2*Inputs!$C$36^2)))+Inputs!$C$37*(0.55*SIN(2*PI()*(Model_Data!A174)/Inputs!$C$39)+0.35*COS(2*PI()*(Inputs!$C$6)/Inputs!$C$40)+0.2*SIN(2*PI()*((Model_Data!A174)+(Inputs!$C$6))/(0.5*(Inputs!$C$39+Inputs!$C$40))))+Inputs!$C$38*SIN(2*PI()*(Model_Data!A174)/Inputs!$C$39)*SIN(2*PI()*(Inputs!$C$6)/Inputs!$C$40)+-Inputs!$C$41*EXP(-(((Inputs!$C$6)-Inputs!$C$43)^2)/(2*Inputs!$C$44^2))*EXP(-(((Model_Data!A174)-Inputs!$C$42)^2)/(2*Inputs!$C$45^2))+Inputs!$C$48*(0.7*(0.45*SIN(2*PI()*(((Model_Data!A174)/Inputs!$C$49)+Inputs!$C$47*0.137))+0.35*COS(2*PI()*(((Inputs!$C$6)/Inputs!$C$50)+Inputs!$C$47*0.173))+0.2*SIN(2*PI()*(((Model_Data!A174)+(Inputs!$C$6))/(0.5*(Inputs!$C$49+Inputs!$C$50))+Inputs!$C$47*0.097)))+0.3*(2*((SIN(((Model_Data!A174)*12.9898+(Inputs!$C$6)*78.233+Inputs!$C$47*37.719))*43758.5453)-INT((SIN(((Model_Data!A174)*12.9898+(Inputs!$C$6)*78.233+Inputs!$C$47*37.719))*43758.5453)))-1)))</f>
        <v>387.37494101799217</v>
      </c>
      <c r="K174" s="9">
        <f>-((((SQRT((Model_Data!A174)^2+Inputs!$C$6^2+((Model_Data!B174)-((Inputs!$C$51*(115*EXP(-(((Inputs!$C$6)-25)^2)/(4.5^2))+70*EXP(-(((Inputs!$C$6)+38)^2)/(7^2))*(0.55+0.45*SIN(2*PI()*(Model_Data!A174)/45))+24*SIN(2*PI()*(Inputs!$C$6)/9+(Model_Data!A174)/18)*EXP(-(((Inputs!$C$6)+5)^2)/(22^2))+18*SIN(2*PI()*(Model_Data!A174)/70))+Inputs!$C$28*EXP(-(((Model_Data!A174)-Inputs!$C$29)^2)/(2*Inputs!$C$31^2))*EXP(-(((Inputs!$C$6)-Inputs!$C$30)^2)/(2*Inputs!$C$32^2))+-Inputs!$C$33*EXP(-(((((Model_Data!A174)-Inputs!$C$34)^2)+(((Inputs!$C$6)-Inputs!$C$35)^2))/(2*Inputs!$C$36^2)))+Inputs!$C$37*(0.55*SIN(2*PI()*(Model_Data!A174)/Inputs!$C$39)+0.35*COS(2*PI()*(Inputs!$C$6)/Inputs!$C$40)+0.2*SIN(2*PI()*((Model_Data!A174)+(Inputs!$C$6))/(0.5*(Inputs!$C$39+Inputs!$C$40))))+Inputs!$C$38*SIN(2*PI()*(Model_Data!A174)/Inputs!$C$39)*SIN(2*PI()*(Inputs!$C$6)/Inputs!$C$40)+-Inputs!$C$41*EXP(-(((Inputs!$C$6)-Inputs!$C$43)^2)/(2*Inputs!$C$44^2))*EXP(-(((Model_Data!A174)-Inputs!$C$42)^2)/(2*Inputs!$C$45^2))+Inputs!$C$48*(0.7*(0.45*SIN(2*PI()*(((Model_Data!A174)/Inputs!$C$49)+Inputs!$C$47*0.137))+0.35*COS(2*PI()*(((Inputs!$C$6)/Inputs!$C$50)+Inputs!$C$47*0.173))+0.2*SIN(2*PI()*(((Model_Data!A174)+(Inputs!$C$6))/(0.5*(Inputs!$C$49+Inputs!$C$50))+Inputs!$C$47*0.097)))+0.3*(2*((SIN(((Model_Data!A174)*12.9898+(Inputs!$C$6)*78.233+Inputs!$C$47*37.719))*43758.5453)-INT((SIN(((Model_Data!A174)*12.9898+(Inputs!$C$6)*78.233+Inputs!$C$47*37.719))*43758.5453)))-1))))/1000)^2))-(((Model_Data!B174)-((Inputs!$C$51*(115*EXP(-(((0)-25)^2)/(4.5^2))+70*EXP(-(((0)+38)^2)/(7^2))*(0.55+0.45*SIN(2*PI()*(Model_Data!A174)/45))+24*SIN(2*PI()*(0)/9+(Model_Data!A174)/18)*EXP(-(((0)+5)^2)/(22^2))+18*SIN(2*PI()*(Model_Data!A174)/70))+Inputs!$C$28*EXP(-(((Model_Data!A174)-Inputs!$C$29)^2)/(2*Inputs!$C$31^2))*EXP(-(((0)-Inputs!$C$30)^2)/(2*Inputs!$C$32^2))+-Inputs!$C$33*EXP(-(((((Model_Data!A174)-Inputs!$C$34)^2)+(((0)-Inputs!$C$35)^2))/(2*Inputs!$C$36^2)))+Inputs!$C$37*(0.55*SIN(2*PI()*(Model_Data!A174)/Inputs!$C$39)+0.35*COS(2*PI()*(0)/Inputs!$C$40)+0.2*SIN(2*PI()*((Model_Data!A174)+(0))/(0.5*(Inputs!$C$39+Inputs!$C$40))))+Inputs!$C$38*SIN(2*PI()*(Model_Data!A174)/Inputs!$C$39)*SIN(2*PI()*(0)/Inputs!$C$40)+-Inputs!$C$41*EXP(-(((0)-Inputs!$C$43)^2)/(2*Inputs!$C$44^2))*EXP(-(((Model_Data!A174)-Inputs!$C$42)^2)/(2*Inputs!$C$45^2))+Inputs!$C$48*(0.7*(0.45*SIN(2*PI()*(((Model_Data!A174)/Inputs!$C$49)+Inputs!$C$47*0.137))+0.35*COS(2*PI()*(((0)/Inputs!$C$50)+Inputs!$C$47*0.173))+0.2*SIN(2*PI()*(((Model_Data!A174)+(0))/(0.5*(Inputs!$C$49+Inputs!$C$50))+Inputs!$C$47*0.097)))+0.3*(2*((SIN(((Model_Data!A174)*12.9898+(0)*78.233+Inputs!$C$47*37.719))*43758.5453)-INT((SIN(((Model_Data!A174)*12.9898+(0)*78.233+Inputs!$C$47*37.719))*43758.5453)))-1))))/1000)))*1000/Inputs!$C$12)-Model_Data!F174)</f>
        <v>180.2141657339838</v>
      </c>
      <c r="L174" s="10"/>
      <c r="M174" s="9">
        <f>Model_Data!A174</f>
        <v>26</v>
      </c>
      <c r="N174" s="9">
        <f>Model_Data!P174</f>
        <v>-195.45942972219569</v>
      </c>
      <c r="O174" s="9">
        <f t="shared" si="4"/>
        <v>-206.1861612976827</v>
      </c>
      <c r="P174" s="9">
        <f>Model_Data!Q174</f>
        <v>-29.348262721050407</v>
      </c>
      <c r="Q174" s="9">
        <f t="shared" si="5"/>
        <v>-30.958883077730139</v>
      </c>
      <c r="R174" s="10"/>
      <c r="S174" s="9">
        <f>Model_Data!A174</f>
        <v>26</v>
      </c>
      <c r="T174" s="9">
        <f>Model_Data!B174-Inputs!$C$5</f>
        <v>0.75111111111112905</v>
      </c>
      <c r="U174" s="10"/>
      <c r="V174" s="9">
        <f>Model_Data!A174</f>
        <v>26</v>
      </c>
      <c r="W174" s="9">
        <f>((SQRT((Model_Data!A174)^2+Inputs!$C$6^2+Inputs!$C$5^2)-Inputs!$C$5)*1000/Inputs!$C$12)</f>
        <v>911.77388266642674</v>
      </c>
      <c r="X174" s="9">
        <f>Model_Data!F174</f>
        <v>910.07186922748394</v>
      </c>
      <c r="Y174" s="10"/>
      <c r="Z174" s="9">
        <f>Model_Data!A174</f>
        <v>26</v>
      </c>
      <c r="AA174" s="9">
        <f>SQRT((Model_Data!A174)^2+Inputs!$C$6^2+((Model_Data!B174)-((Inputs!$C$51*(115*EXP(-(((Inputs!$C$6)-25)^2)/(4.5^2))+70*EXP(-(((Inputs!$C$6)+38)^2)/(7^2))*(0.55+0.45*SIN(2*PI()*(Model_Data!A174)/45))+24*SIN(2*PI()*(Inputs!$C$6)/9+(Model_Data!A174)/18)*EXP(-(((Inputs!$C$6)+5)^2)/(22^2))+18*SIN(2*PI()*(Model_Data!A174)/70))+Inputs!$C$28*EXP(-(((Model_Data!A174)-Inputs!$C$29)^2)/(2*Inputs!$C$31^2))*EXP(-(((Inputs!$C$6)-Inputs!$C$30)^2)/(2*Inputs!$C$32^2))+-Inputs!$C$33*EXP(-(((((Model_Data!A174)-Inputs!$C$34)^2)+(((Inputs!$C$6)-Inputs!$C$35)^2))/(2*Inputs!$C$36^2)))+Inputs!$C$37*(0.55*SIN(2*PI()*(Model_Data!A174)/Inputs!$C$39)+0.35*COS(2*PI()*(Inputs!$C$6)/Inputs!$C$40)+0.2*SIN(2*PI()*((Model_Data!A174)+(Inputs!$C$6))/(0.5*(Inputs!$C$39+Inputs!$C$40))))+Inputs!$C$38*SIN(2*PI()*(Model_Data!A174)/Inputs!$C$39)*SIN(2*PI()*(Inputs!$C$6)/Inputs!$C$40)+-Inputs!$C$41*EXP(-(((Inputs!$C$6)-Inputs!$C$43)^2)/(2*Inputs!$C$44^2))*EXP(-(((Model_Data!A174)-Inputs!$C$42)^2)/(2*Inputs!$C$45^2))+Inputs!$C$48*(0.7*(0.45*SIN(2*PI()*(((Model_Data!A174)/Inputs!$C$49)+Inputs!$C$47*0.137))+0.35*COS(2*PI()*(((Inputs!$C$6)/Inputs!$C$50)+Inputs!$C$47*0.173))+0.2*SIN(2*PI()*(((Model_Data!A174)+(Inputs!$C$6))/(0.5*(Inputs!$C$49+Inputs!$C$50))+Inputs!$C$47*0.097)))+0.3*(2*((SIN(((Model_Data!A174)*12.9898+(Inputs!$C$6)*78.233+Inputs!$C$47*37.719))*43758.5453)-INT((SIN(((Model_Data!A174)*12.9898+(Inputs!$C$6)*78.233+Inputs!$C$47*37.719))*43758.5453)))-1))))/1000)^2)</f>
        <v>401.98522515146738</v>
      </c>
      <c r="AB174" s="9">
        <f>1000*(AA175-AA173)/(Z175-Z173)*Inputs!$C$11</f>
        <v>515.46540324420675</v>
      </c>
      <c r="AC174" s="9">
        <f>-2*AB174/Inputs!$C$13</f>
        <v>-206.1861612976827</v>
      </c>
      <c r="AD174" s="9">
        <f>-2*AB174/Inputs!$C$14</f>
        <v>-30.958883077730139</v>
      </c>
    </row>
    <row r="175" spans="1:30">
      <c r="A175" s="9">
        <f>Model_Data!A175</f>
        <v>26.5</v>
      </c>
      <c r="B175" s="9">
        <f>((SQRT((Model_Data!A175)^2+Inputs!$C$6^2+Inputs!$C$5^2)-Inputs!$C$5)*1000/Inputs!$C$12)</f>
        <v>930.13263282956723</v>
      </c>
      <c r="C175" s="9">
        <f>Model_Data!F175</f>
        <v>928.32920352969882</v>
      </c>
      <c r="D175" s="9">
        <f>(((SQRT((Model_Data!A175)^2+Inputs!$C$6^2+((Model_Data!B175)-((Inputs!$C$51*(115*EXP(-(((Inputs!$C$6)-25)^2)/(4.5^2))+70*EXP(-(((Inputs!$C$6)+38)^2)/(7^2))*(0.55+0.45*SIN(2*PI()*(Model_Data!A175)/45))+24*SIN(2*PI()*(Inputs!$C$6)/9+(Model_Data!A175)/18)*EXP(-(((Inputs!$C$6)+5)^2)/(22^2))+18*SIN(2*PI()*(Model_Data!A175)/70))+Inputs!$C$28*EXP(-(((Model_Data!A175)-Inputs!$C$29)^2)/(2*Inputs!$C$31^2))*EXP(-(((Inputs!$C$6)-Inputs!$C$30)^2)/(2*Inputs!$C$32^2))+-Inputs!$C$33*EXP(-(((((Model_Data!A175)-Inputs!$C$34)^2)+(((Inputs!$C$6)-Inputs!$C$35)^2))/(2*Inputs!$C$36^2)))+Inputs!$C$37*(0.55*SIN(2*PI()*(Model_Data!A175)/Inputs!$C$39)+0.35*COS(2*PI()*(Inputs!$C$6)/Inputs!$C$40)+0.2*SIN(2*PI()*((Model_Data!A175)+(Inputs!$C$6))/(0.5*(Inputs!$C$39+Inputs!$C$40))))+Inputs!$C$38*SIN(2*PI()*(Model_Data!A175)/Inputs!$C$39)*SIN(2*PI()*(Inputs!$C$6)/Inputs!$C$40)+-Inputs!$C$41*EXP(-(((Inputs!$C$6)-Inputs!$C$43)^2)/(2*Inputs!$C$44^2))*EXP(-(((Model_Data!A175)-Inputs!$C$42)^2)/(2*Inputs!$C$45^2))+Inputs!$C$48*(0.7*(0.45*SIN(2*PI()*(((Model_Data!A175)/Inputs!$C$49)+Inputs!$C$47*0.137))+0.35*COS(2*PI()*(((Inputs!$C$6)/Inputs!$C$50)+Inputs!$C$47*0.173))+0.2*SIN(2*PI()*(((Model_Data!A175)+(Inputs!$C$6))/(0.5*(Inputs!$C$49+Inputs!$C$50))+Inputs!$C$47*0.097)))+0.3*(2*((SIN(((Model_Data!A175)*12.9898+(Inputs!$C$6)*78.233+Inputs!$C$47*37.719))*43758.5453)-INT((SIN(((Model_Data!A175)*12.9898+(Inputs!$C$6)*78.233+Inputs!$C$47*37.719))*43758.5453)))-1))))/1000)^2))-(((Model_Data!B175)-((Inputs!$C$51*(115*EXP(-(((0)-25)^2)/(4.5^2))+70*EXP(-(((0)+38)^2)/(7^2))*(0.55+0.45*SIN(2*PI()*(Model_Data!A175)/45))+24*SIN(2*PI()*(0)/9+(Model_Data!A175)/18)*EXP(-(((0)+5)^2)/(22^2))+18*SIN(2*PI()*(Model_Data!A175)/70))+Inputs!$C$28*EXP(-(((Model_Data!A175)-Inputs!$C$29)^2)/(2*Inputs!$C$31^2))*EXP(-(((0)-Inputs!$C$30)^2)/(2*Inputs!$C$32^2))+-Inputs!$C$33*EXP(-(((((Model_Data!A175)-Inputs!$C$34)^2)+(((0)-Inputs!$C$35)^2))/(2*Inputs!$C$36^2)))+Inputs!$C$37*(0.55*SIN(2*PI()*(Model_Data!A175)/Inputs!$C$39)+0.35*COS(2*PI()*(0)/Inputs!$C$40)+0.2*SIN(2*PI()*((Model_Data!A175)+(0))/(0.5*(Inputs!$C$39+Inputs!$C$40))))+Inputs!$C$38*SIN(2*PI()*(Model_Data!A175)/Inputs!$C$39)*SIN(2*PI()*(0)/Inputs!$C$40)+-Inputs!$C$41*EXP(-(((0)-Inputs!$C$43)^2)/(2*Inputs!$C$44^2))*EXP(-(((Model_Data!A175)-Inputs!$C$42)^2)/(2*Inputs!$C$45^2))+Inputs!$C$48*(0.7*(0.45*SIN(2*PI()*(((Model_Data!A175)/Inputs!$C$49)+Inputs!$C$47*0.137))+0.35*COS(2*PI()*(((0)/Inputs!$C$50)+Inputs!$C$47*0.173))+0.2*SIN(2*PI()*(((Model_Data!A175)+(0))/(0.5*(Inputs!$C$49+Inputs!$C$50))+Inputs!$C$47*0.097)))+0.3*(2*((SIN(((Model_Data!A175)*12.9898+(0)*78.233+Inputs!$C$47*37.719))*43758.5453)-INT((SIN(((Model_Data!A175)*12.9898+(0)*78.233+Inputs!$C$47*37.719))*43758.5453)))-1))))/1000)))*1000/Inputs!$C$12)</f>
        <v>752.82672688139087</v>
      </c>
      <c r="E175" s="9">
        <f>Model_Data!A175</f>
        <v>26.5</v>
      </c>
      <c r="F175" s="9">
        <f>(Inputs!$C$51*(115*EXP(-(((Inputs!$C$6)-25)^2)/(4.5^2))+70*EXP(-(((Inputs!$C$6)+38)^2)/(7^2))*(0.55+0.45*SIN(2*PI()*(Model_Data!A175)/45))+24*SIN(2*PI()*(Inputs!$C$6)/9+(Model_Data!A175)/18)*EXP(-(((Inputs!$C$6)+5)^2)/(22^2))+18*SIN(2*PI()*(Model_Data!A175)/70))+Inputs!$C$28*EXP(-(((Model_Data!A175)-Inputs!$C$29)^2)/(2*Inputs!$C$31^2))*EXP(-(((Inputs!$C$6)-Inputs!$C$30)^2)/(2*Inputs!$C$32^2))+-Inputs!$C$33*EXP(-(((((Model_Data!A175)-Inputs!$C$34)^2)+(((Inputs!$C$6)-Inputs!$C$35)^2))/(2*Inputs!$C$36^2)))+Inputs!$C$37*(0.55*SIN(2*PI()*(Model_Data!A175)/Inputs!$C$39)+0.35*COS(2*PI()*(Inputs!$C$6)/Inputs!$C$40)+0.2*SIN(2*PI()*((Model_Data!A175)+(Inputs!$C$6))/(0.5*(Inputs!$C$39+Inputs!$C$40))))+Inputs!$C$38*SIN(2*PI()*(Model_Data!A175)/Inputs!$C$39)*SIN(2*PI()*(Inputs!$C$6)/Inputs!$C$40)+-Inputs!$C$41*EXP(-(((Inputs!$C$6)-Inputs!$C$43)^2)/(2*Inputs!$C$44^2))*EXP(-(((Model_Data!A175)-Inputs!$C$42)^2)/(2*Inputs!$C$45^2))+Inputs!$C$48*(0.7*(0.45*SIN(2*PI()*(((Model_Data!A175)/Inputs!$C$49)+Inputs!$C$47*0.137))+0.35*COS(2*PI()*(((Inputs!$C$6)/Inputs!$C$50)+Inputs!$C$47*0.173))+0.2*SIN(2*PI()*(((Model_Data!A175)+(Inputs!$C$6))/(0.5*(Inputs!$C$49+Inputs!$C$50))+Inputs!$C$47*0.097)))+0.3*(2*((SIN(((Model_Data!A175)*12.9898+(Inputs!$C$6)*78.233+Inputs!$C$47*37.719))*43758.5453)-INT((SIN(((Model_Data!A175)*12.9898+(Inputs!$C$6)*78.233+Inputs!$C$47*37.719))*43758.5453)))-1)))</f>
        <v>383.48713922986474</v>
      </c>
      <c r="G175" s="9">
        <f>(Inputs!$C$51*(115*EXP(-(((0)-25)^2)/(4.5^2))+70*EXP(-(((0)+38)^2)/(7^2))*(0.55+0.45*SIN(2*PI()*(Model_Data!A175)/45))+24*SIN(2*PI()*(0)/9+(Model_Data!A175)/18)*EXP(-(((0)+5)^2)/(22^2))+18*SIN(2*PI()*(Model_Data!A175)/70))+Inputs!$C$28*EXP(-(((Model_Data!A175)-Inputs!$C$29)^2)/(2*Inputs!$C$31^2))*EXP(-(((0)-Inputs!$C$30)^2)/(2*Inputs!$C$32^2))+-Inputs!$C$33*EXP(-(((((Model_Data!A175)-Inputs!$C$34)^2)+(((0)-Inputs!$C$35)^2))/(2*Inputs!$C$36^2)))+Inputs!$C$37*(0.55*SIN(2*PI()*(Model_Data!A175)/Inputs!$C$39)+0.35*COS(2*PI()*(0)/Inputs!$C$40)+0.2*SIN(2*PI()*((Model_Data!A175)+(0))/(0.5*(Inputs!$C$39+Inputs!$C$40))))+Inputs!$C$38*SIN(2*PI()*(Model_Data!A175)/Inputs!$C$39)*SIN(2*PI()*(0)/Inputs!$C$40)+-Inputs!$C$41*EXP(-(((0)-Inputs!$C$43)^2)/(2*Inputs!$C$44^2))*EXP(-(((Model_Data!A175)-Inputs!$C$42)^2)/(2*Inputs!$C$45^2))+Inputs!$C$48*(0.7*(0.45*SIN(2*PI()*(((Model_Data!A175)/Inputs!$C$49)+Inputs!$C$47*0.137))+0.35*COS(2*PI()*(((0)/Inputs!$C$50)+Inputs!$C$47*0.173))+0.2*SIN(2*PI()*(((Model_Data!A175)+(0))/(0.5*(Inputs!$C$49+Inputs!$C$50))+Inputs!$C$47*0.097)))+0.3*(2*((SIN(((Model_Data!A175)*12.9898+(0)*78.233+Inputs!$C$47*37.719))*43758.5453)-INT((SIN(((Model_Data!A175)*12.9898+(0)*78.233+Inputs!$C$47*37.719))*43758.5453)))-1)))</f>
        <v>69.516598212008631</v>
      </c>
      <c r="H175" s="10"/>
      <c r="I175" s="9">
        <f>Model_Data!A175</f>
        <v>26.5</v>
      </c>
      <c r="J175" s="9">
        <f>(Inputs!$C$51*(115*EXP(-(((Inputs!$C$6)-25)^2)/(4.5^2))+70*EXP(-(((Inputs!$C$6)+38)^2)/(7^2))*(0.55+0.45*SIN(2*PI()*(Model_Data!A175)/45))+24*SIN(2*PI()*(Inputs!$C$6)/9+(Model_Data!A175)/18)*EXP(-(((Inputs!$C$6)+5)^2)/(22^2))+18*SIN(2*PI()*(Model_Data!A175)/70))+Inputs!$C$28*EXP(-(((Model_Data!A175)-Inputs!$C$29)^2)/(2*Inputs!$C$31^2))*EXP(-(((Inputs!$C$6)-Inputs!$C$30)^2)/(2*Inputs!$C$32^2))+-Inputs!$C$33*EXP(-(((((Model_Data!A175)-Inputs!$C$34)^2)+(((Inputs!$C$6)-Inputs!$C$35)^2))/(2*Inputs!$C$36^2)))+Inputs!$C$37*(0.55*SIN(2*PI()*(Model_Data!A175)/Inputs!$C$39)+0.35*COS(2*PI()*(Inputs!$C$6)/Inputs!$C$40)+0.2*SIN(2*PI()*((Model_Data!A175)+(Inputs!$C$6))/(0.5*(Inputs!$C$39+Inputs!$C$40))))+Inputs!$C$38*SIN(2*PI()*(Model_Data!A175)/Inputs!$C$39)*SIN(2*PI()*(Inputs!$C$6)/Inputs!$C$40)+-Inputs!$C$41*EXP(-(((Inputs!$C$6)-Inputs!$C$43)^2)/(2*Inputs!$C$44^2))*EXP(-(((Model_Data!A175)-Inputs!$C$42)^2)/(2*Inputs!$C$45^2))+Inputs!$C$48*(0.7*(0.45*SIN(2*PI()*(((Model_Data!A175)/Inputs!$C$49)+Inputs!$C$47*0.137))+0.35*COS(2*PI()*(((Inputs!$C$6)/Inputs!$C$50)+Inputs!$C$47*0.173))+0.2*SIN(2*PI()*(((Model_Data!A175)+(Inputs!$C$6))/(0.5*(Inputs!$C$49+Inputs!$C$50))+Inputs!$C$47*0.097)))+0.3*(2*((SIN(((Model_Data!A175)*12.9898+(Inputs!$C$6)*78.233+Inputs!$C$47*37.719))*43758.5453)-INT((SIN(((Model_Data!A175)*12.9898+(Inputs!$C$6)*78.233+Inputs!$C$47*37.719))*43758.5453)))-1)))</f>
        <v>383.48713922986474</v>
      </c>
      <c r="K175" s="9">
        <f>-((((SQRT((Model_Data!A175)^2+Inputs!$C$6^2+((Model_Data!B175)-((Inputs!$C$51*(115*EXP(-(((Inputs!$C$6)-25)^2)/(4.5^2))+70*EXP(-(((Inputs!$C$6)+38)^2)/(7^2))*(0.55+0.45*SIN(2*PI()*(Model_Data!A175)/45))+24*SIN(2*PI()*(Inputs!$C$6)/9+(Model_Data!A175)/18)*EXP(-(((Inputs!$C$6)+5)^2)/(22^2))+18*SIN(2*PI()*(Model_Data!A175)/70))+Inputs!$C$28*EXP(-(((Model_Data!A175)-Inputs!$C$29)^2)/(2*Inputs!$C$31^2))*EXP(-(((Inputs!$C$6)-Inputs!$C$30)^2)/(2*Inputs!$C$32^2))+-Inputs!$C$33*EXP(-(((((Model_Data!A175)-Inputs!$C$34)^2)+(((Inputs!$C$6)-Inputs!$C$35)^2))/(2*Inputs!$C$36^2)))+Inputs!$C$37*(0.55*SIN(2*PI()*(Model_Data!A175)/Inputs!$C$39)+0.35*COS(2*PI()*(Inputs!$C$6)/Inputs!$C$40)+0.2*SIN(2*PI()*((Model_Data!A175)+(Inputs!$C$6))/(0.5*(Inputs!$C$39+Inputs!$C$40))))+Inputs!$C$38*SIN(2*PI()*(Model_Data!A175)/Inputs!$C$39)*SIN(2*PI()*(Inputs!$C$6)/Inputs!$C$40)+-Inputs!$C$41*EXP(-(((Inputs!$C$6)-Inputs!$C$43)^2)/(2*Inputs!$C$44^2))*EXP(-(((Model_Data!A175)-Inputs!$C$42)^2)/(2*Inputs!$C$45^2))+Inputs!$C$48*(0.7*(0.45*SIN(2*PI()*(((Model_Data!A175)/Inputs!$C$49)+Inputs!$C$47*0.137))+0.35*COS(2*PI()*(((Inputs!$C$6)/Inputs!$C$50)+Inputs!$C$47*0.173))+0.2*SIN(2*PI()*(((Model_Data!A175)+(Inputs!$C$6))/(0.5*(Inputs!$C$49+Inputs!$C$50))+Inputs!$C$47*0.097)))+0.3*(2*((SIN(((Model_Data!A175)*12.9898+(Inputs!$C$6)*78.233+Inputs!$C$47*37.719))*43758.5453)-INT((SIN(((Model_Data!A175)*12.9898+(Inputs!$C$6)*78.233+Inputs!$C$47*37.719))*43758.5453)))-1))))/1000)^2))-(((Model_Data!B175)-((Inputs!$C$51*(115*EXP(-(((0)-25)^2)/(4.5^2))+70*EXP(-(((0)+38)^2)/(7^2))*(0.55+0.45*SIN(2*PI()*(Model_Data!A175)/45))+24*SIN(2*PI()*(0)/9+(Model_Data!A175)/18)*EXP(-(((0)+5)^2)/(22^2))+18*SIN(2*PI()*(Model_Data!A175)/70))+Inputs!$C$28*EXP(-(((Model_Data!A175)-Inputs!$C$29)^2)/(2*Inputs!$C$31^2))*EXP(-(((0)-Inputs!$C$30)^2)/(2*Inputs!$C$32^2))+-Inputs!$C$33*EXP(-(((((Model_Data!A175)-Inputs!$C$34)^2)+(((0)-Inputs!$C$35)^2))/(2*Inputs!$C$36^2)))+Inputs!$C$37*(0.55*SIN(2*PI()*(Model_Data!A175)/Inputs!$C$39)+0.35*COS(2*PI()*(0)/Inputs!$C$40)+0.2*SIN(2*PI()*((Model_Data!A175)+(0))/(0.5*(Inputs!$C$39+Inputs!$C$40))))+Inputs!$C$38*SIN(2*PI()*(Model_Data!A175)/Inputs!$C$39)*SIN(2*PI()*(0)/Inputs!$C$40)+-Inputs!$C$41*EXP(-(((0)-Inputs!$C$43)^2)/(2*Inputs!$C$44^2))*EXP(-(((Model_Data!A175)-Inputs!$C$42)^2)/(2*Inputs!$C$45^2))+Inputs!$C$48*(0.7*(0.45*SIN(2*PI()*(((Model_Data!A175)/Inputs!$C$49)+Inputs!$C$47*0.137))+0.35*COS(2*PI()*(((0)/Inputs!$C$50)+Inputs!$C$47*0.173))+0.2*SIN(2*PI()*(((Model_Data!A175)+(0))/(0.5*(Inputs!$C$49+Inputs!$C$50))+Inputs!$C$47*0.097)))+0.3*(2*((SIN(((Model_Data!A175)*12.9898+(0)*78.233+Inputs!$C$47*37.719))*43758.5453)-INT((SIN(((Model_Data!A175)*12.9898+(0)*78.233+Inputs!$C$47*37.719))*43758.5453)))-1))))/1000)))*1000/Inputs!$C$12)-Model_Data!F175)</f>
        <v>175.50247664830795</v>
      </c>
      <c r="L175" s="10"/>
      <c r="M175" s="9">
        <f>Model_Data!A175</f>
        <v>26.5</v>
      </c>
      <c r="N175" s="9">
        <f>Model_Data!P175</f>
        <v>-199.1945675539738</v>
      </c>
      <c r="O175" s="9">
        <f t="shared" si="4"/>
        <v>-264.85243336437634</v>
      </c>
      <c r="P175" s="9">
        <f>Model_Data!Q175</f>
        <v>-29.909094227323397</v>
      </c>
      <c r="Q175" s="9">
        <f t="shared" si="5"/>
        <v>-39.767632637293751</v>
      </c>
      <c r="R175" s="10"/>
      <c r="S175" s="9">
        <f>Model_Data!A175</f>
        <v>26.5</v>
      </c>
      <c r="T175" s="9">
        <f>Model_Data!B175-Inputs!$C$5</f>
        <v>0.78027777777776919</v>
      </c>
      <c r="U175" s="10"/>
      <c r="V175" s="9">
        <f>Model_Data!A175</f>
        <v>26.5</v>
      </c>
      <c r="W175" s="9">
        <f>((SQRT((Model_Data!A175)^2+Inputs!$C$6^2+Inputs!$C$5^2)-Inputs!$C$5)*1000/Inputs!$C$12)</f>
        <v>930.13263282956723</v>
      </c>
      <c r="X175" s="9">
        <f>Model_Data!F175</f>
        <v>928.32920352969882</v>
      </c>
      <c r="Y175" s="10"/>
      <c r="Z175" s="9">
        <f>Model_Data!A175</f>
        <v>26.5</v>
      </c>
      <c r="AA175" s="9">
        <f>SQRT((Model_Data!A175)^2+Inputs!$C$6^2+((Model_Data!B175)-((Inputs!$C$51*(115*EXP(-(((Inputs!$C$6)-25)^2)/(4.5^2))+70*EXP(-(((Inputs!$C$6)+38)^2)/(7^2))*(0.55+0.45*SIN(2*PI()*(Model_Data!A175)/45))+24*SIN(2*PI()*(Inputs!$C$6)/9+(Model_Data!A175)/18)*EXP(-(((Inputs!$C$6)+5)^2)/(22^2))+18*SIN(2*PI()*(Model_Data!A175)/70))+Inputs!$C$28*EXP(-(((Model_Data!A175)-Inputs!$C$29)^2)/(2*Inputs!$C$31^2))*EXP(-(((Inputs!$C$6)-Inputs!$C$30)^2)/(2*Inputs!$C$32^2))+-Inputs!$C$33*EXP(-(((((Model_Data!A175)-Inputs!$C$34)^2)+(((Inputs!$C$6)-Inputs!$C$35)^2))/(2*Inputs!$C$36^2)))+Inputs!$C$37*(0.55*SIN(2*PI()*(Model_Data!A175)/Inputs!$C$39)+0.35*COS(2*PI()*(Inputs!$C$6)/Inputs!$C$40)+0.2*SIN(2*PI()*((Model_Data!A175)+(Inputs!$C$6))/(0.5*(Inputs!$C$39+Inputs!$C$40))))+Inputs!$C$38*SIN(2*PI()*(Model_Data!A175)/Inputs!$C$39)*SIN(2*PI()*(Inputs!$C$6)/Inputs!$C$40)+-Inputs!$C$41*EXP(-(((Inputs!$C$6)-Inputs!$C$43)^2)/(2*Inputs!$C$44^2))*EXP(-(((Model_Data!A175)-Inputs!$C$42)^2)/(2*Inputs!$C$45^2))+Inputs!$C$48*(0.7*(0.45*SIN(2*PI()*(((Model_Data!A175)/Inputs!$C$49)+Inputs!$C$47*0.137))+0.35*COS(2*PI()*(((Inputs!$C$6)/Inputs!$C$50)+Inputs!$C$47*0.173))+0.2*SIN(2*PI()*(((Model_Data!A175)+(Inputs!$C$6))/(0.5*(Inputs!$C$49+Inputs!$C$50))+Inputs!$C$47*0.097)))+0.3*(2*((SIN(((Model_Data!A175)*12.9898+(Inputs!$C$6)*78.233+Inputs!$C$47*37.719))*43758.5453)-INT((SIN(((Model_Data!A175)*12.9898+(Inputs!$C$6)*78.233+Inputs!$C$47*37.719))*43758.5453)))-1))))/1000)^2)</f>
        <v>402.05079275341461</v>
      </c>
      <c r="AB175" s="9">
        <f>1000*(AA176-AA174)/(Z176-Z174)*Inputs!$C$11</f>
        <v>662.13108341094085</v>
      </c>
      <c r="AC175" s="9">
        <f>-2*AB175/Inputs!$C$13</f>
        <v>-264.85243336437634</v>
      </c>
      <c r="AD175" s="9">
        <f>-2*AB175/Inputs!$C$14</f>
        <v>-39.767632637293751</v>
      </c>
    </row>
    <row r="176" spans="1:30">
      <c r="A176" s="9">
        <f>Model_Data!A176</f>
        <v>27</v>
      </c>
      <c r="B176" s="9">
        <f>((SQRT((Model_Data!A176)^2+Inputs!$C$6^2+Inputs!$C$5^2)-Inputs!$C$5)*1000/Inputs!$C$12)</f>
        <v>948.83953699023641</v>
      </c>
      <c r="C176" s="9">
        <f>Model_Data!F176</f>
        <v>946.93005797213948</v>
      </c>
      <c r="D176" s="9">
        <f>(((SQRT((Model_Data!A176)^2+Inputs!$C$6^2+((Model_Data!B176)-((Inputs!$C$51*(115*EXP(-(((Inputs!$C$6)-25)^2)/(4.5^2))+70*EXP(-(((Inputs!$C$6)+38)^2)/(7^2))*(0.55+0.45*SIN(2*PI()*(Model_Data!A176)/45))+24*SIN(2*PI()*(Inputs!$C$6)/9+(Model_Data!A176)/18)*EXP(-(((Inputs!$C$6)+5)^2)/(22^2))+18*SIN(2*PI()*(Model_Data!A176)/70))+Inputs!$C$28*EXP(-(((Model_Data!A176)-Inputs!$C$29)^2)/(2*Inputs!$C$31^2))*EXP(-(((Inputs!$C$6)-Inputs!$C$30)^2)/(2*Inputs!$C$32^2))+-Inputs!$C$33*EXP(-(((((Model_Data!A176)-Inputs!$C$34)^2)+(((Inputs!$C$6)-Inputs!$C$35)^2))/(2*Inputs!$C$36^2)))+Inputs!$C$37*(0.55*SIN(2*PI()*(Model_Data!A176)/Inputs!$C$39)+0.35*COS(2*PI()*(Inputs!$C$6)/Inputs!$C$40)+0.2*SIN(2*PI()*((Model_Data!A176)+(Inputs!$C$6))/(0.5*(Inputs!$C$39+Inputs!$C$40))))+Inputs!$C$38*SIN(2*PI()*(Model_Data!A176)/Inputs!$C$39)*SIN(2*PI()*(Inputs!$C$6)/Inputs!$C$40)+-Inputs!$C$41*EXP(-(((Inputs!$C$6)-Inputs!$C$43)^2)/(2*Inputs!$C$44^2))*EXP(-(((Model_Data!A176)-Inputs!$C$42)^2)/(2*Inputs!$C$45^2))+Inputs!$C$48*(0.7*(0.45*SIN(2*PI()*(((Model_Data!A176)/Inputs!$C$49)+Inputs!$C$47*0.137))+0.35*COS(2*PI()*(((Inputs!$C$6)/Inputs!$C$50)+Inputs!$C$47*0.173))+0.2*SIN(2*PI()*(((Model_Data!A176)+(Inputs!$C$6))/(0.5*(Inputs!$C$49+Inputs!$C$50))+Inputs!$C$47*0.097)))+0.3*(2*((SIN(((Model_Data!A176)*12.9898+(Inputs!$C$6)*78.233+Inputs!$C$47*37.719))*43758.5453)-INT((SIN(((Model_Data!A176)*12.9898+(Inputs!$C$6)*78.233+Inputs!$C$47*37.719))*43758.5453)))-1))))/1000)^2))-(((Model_Data!B176)-((Inputs!$C$51*(115*EXP(-(((0)-25)^2)/(4.5^2))+70*EXP(-(((0)+38)^2)/(7^2))*(0.55+0.45*SIN(2*PI()*(Model_Data!A176)/45))+24*SIN(2*PI()*(0)/9+(Model_Data!A176)/18)*EXP(-(((0)+5)^2)/(22^2))+18*SIN(2*PI()*(Model_Data!A176)/70))+Inputs!$C$28*EXP(-(((Model_Data!A176)-Inputs!$C$29)^2)/(2*Inputs!$C$31^2))*EXP(-(((0)-Inputs!$C$30)^2)/(2*Inputs!$C$32^2))+-Inputs!$C$33*EXP(-(((((Model_Data!A176)-Inputs!$C$34)^2)+(((0)-Inputs!$C$35)^2))/(2*Inputs!$C$36^2)))+Inputs!$C$37*(0.55*SIN(2*PI()*(Model_Data!A176)/Inputs!$C$39)+0.35*COS(2*PI()*(0)/Inputs!$C$40)+0.2*SIN(2*PI()*((Model_Data!A176)+(0))/(0.5*(Inputs!$C$39+Inputs!$C$40))))+Inputs!$C$38*SIN(2*PI()*(Model_Data!A176)/Inputs!$C$39)*SIN(2*PI()*(0)/Inputs!$C$40)+-Inputs!$C$41*EXP(-(((0)-Inputs!$C$43)^2)/(2*Inputs!$C$44^2))*EXP(-(((Model_Data!A176)-Inputs!$C$42)^2)/(2*Inputs!$C$45^2))+Inputs!$C$48*(0.7*(0.45*SIN(2*PI()*(((Model_Data!A176)/Inputs!$C$49)+Inputs!$C$47*0.137))+0.35*COS(2*PI()*(((0)/Inputs!$C$50)+Inputs!$C$47*0.173))+0.2*SIN(2*PI()*(((Model_Data!A176)+(0))/(0.5*(Inputs!$C$49+Inputs!$C$50))+Inputs!$C$47*0.097)))+0.3*(2*((SIN(((Model_Data!A176)*12.9898+(0)*78.233+Inputs!$C$47*37.719))*43758.5453)-INT((SIN(((Model_Data!A176)*12.9898+(0)*78.233+Inputs!$C$47*37.719))*43758.5453)))-1))))/1000)))*1000/Inputs!$C$12)</f>
        <v>789.44516404536455</v>
      </c>
      <c r="E176" s="9">
        <f>Model_Data!A176</f>
        <v>27</v>
      </c>
      <c r="F176" s="9">
        <f>(Inputs!$C$51*(115*EXP(-(((Inputs!$C$6)-25)^2)/(4.5^2))+70*EXP(-(((Inputs!$C$6)+38)^2)/(7^2))*(0.55+0.45*SIN(2*PI()*(Model_Data!A176)/45))+24*SIN(2*PI()*(Inputs!$C$6)/9+(Model_Data!A176)/18)*EXP(-(((Inputs!$C$6)+5)^2)/(22^2))+18*SIN(2*PI()*(Model_Data!A176)/70))+Inputs!$C$28*EXP(-(((Model_Data!A176)-Inputs!$C$29)^2)/(2*Inputs!$C$31^2))*EXP(-(((Inputs!$C$6)-Inputs!$C$30)^2)/(2*Inputs!$C$32^2))+-Inputs!$C$33*EXP(-(((((Model_Data!A176)-Inputs!$C$34)^2)+(((Inputs!$C$6)-Inputs!$C$35)^2))/(2*Inputs!$C$36^2)))+Inputs!$C$37*(0.55*SIN(2*PI()*(Model_Data!A176)/Inputs!$C$39)+0.35*COS(2*PI()*(Inputs!$C$6)/Inputs!$C$40)+0.2*SIN(2*PI()*((Model_Data!A176)+(Inputs!$C$6))/(0.5*(Inputs!$C$39+Inputs!$C$40))))+Inputs!$C$38*SIN(2*PI()*(Model_Data!A176)/Inputs!$C$39)*SIN(2*PI()*(Inputs!$C$6)/Inputs!$C$40)+-Inputs!$C$41*EXP(-(((Inputs!$C$6)-Inputs!$C$43)^2)/(2*Inputs!$C$44^2))*EXP(-(((Model_Data!A176)-Inputs!$C$42)^2)/(2*Inputs!$C$45^2))+Inputs!$C$48*(0.7*(0.45*SIN(2*PI()*(((Model_Data!A176)/Inputs!$C$49)+Inputs!$C$47*0.137))+0.35*COS(2*PI()*(((Inputs!$C$6)/Inputs!$C$50)+Inputs!$C$47*0.173))+0.2*SIN(2*PI()*(((Model_Data!A176)+(Inputs!$C$6))/(0.5*(Inputs!$C$49+Inputs!$C$50))+Inputs!$C$47*0.097)))+0.3*(2*((SIN(((Model_Data!A176)*12.9898+(Inputs!$C$6)*78.233+Inputs!$C$47*37.719))*43758.5453)-INT((SIN(((Model_Data!A176)*12.9898+(Inputs!$C$6)*78.233+Inputs!$C$47*37.719))*43758.5453)))-1)))</f>
        <v>346.22873286462408</v>
      </c>
      <c r="G176" s="9">
        <f>(Inputs!$C$51*(115*EXP(-(((0)-25)^2)/(4.5^2))+70*EXP(-(((0)+38)^2)/(7^2))*(0.55+0.45*SIN(2*PI()*(Model_Data!A176)/45))+24*SIN(2*PI()*(0)/9+(Model_Data!A176)/18)*EXP(-(((0)+5)^2)/(22^2))+18*SIN(2*PI()*(Model_Data!A176)/70))+Inputs!$C$28*EXP(-(((Model_Data!A176)-Inputs!$C$29)^2)/(2*Inputs!$C$31^2))*EXP(-(((0)-Inputs!$C$30)^2)/(2*Inputs!$C$32^2))+-Inputs!$C$33*EXP(-(((((Model_Data!A176)-Inputs!$C$34)^2)+(((0)-Inputs!$C$35)^2))/(2*Inputs!$C$36^2)))+Inputs!$C$37*(0.55*SIN(2*PI()*(Model_Data!A176)/Inputs!$C$39)+0.35*COS(2*PI()*(0)/Inputs!$C$40)+0.2*SIN(2*PI()*((Model_Data!A176)+(0))/(0.5*(Inputs!$C$39+Inputs!$C$40))))+Inputs!$C$38*SIN(2*PI()*(Model_Data!A176)/Inputs!$C$39)*SIN(2*PI()*(0)/Inputs!$C$40)+-Inputs!$C$41*EXP(-(((0)-Inputs!$C$43)^2)/(2*Inputs!$C$44^2))*EXP(-(((Model_Data!A176)-Inputs!$C$42)^2)/(2*Inputs!$C$45^2))+Inputs!$C$48*(0.7*(0.45*SIN(2*PI()*(((Model_Data!A176)/Inputs!$C$49)+Inputs!$C$47*0.137))+0.35*COS(2*PI()*(((0)/Inputs!$C$50)+Inputs!$C$47*0.173))+0.2*SIN(2*PI()*(((Model_Data!A176)+(0))/(0.5*(Inputs!$C$49+Inputs!$C$50))+Inputs!$C$47*0.097)))+0.3*(2*((SIN(((Model_Data!A176)*12.9898+(0)*78.233+Inputs!$C$47*37.719))*43758.5453)-INT((SIN(((Model_Data!A176)*12.9898+(0)*78.233+Inputs!$C$47*37.719))*43758.5453)))-1)))</f>
        <v>64.454469680614793</v>
      </c>
      <c r="H176" s="10"/>
      <c r="I176" s="9">
        <f>Model_Data!A176</f>
        <v>27</v>
      </c>
      <c r="J176" s="9">
        <f>(Inputs!$C$51*(115*EXP(-(((Inputs!$C$6)-25)^2)/(4.5^2))+70*EXP(-(((Inputs!$C$6)+38)^2)/(7^2))*(0.55+0.45*SIN(2*PI()*(Model_Data!A176)/45))+24*SIN(2*PI()*(Inputs!$C$6)/9+(Model_Data!A176)/18)*EXP(-(((Inputs!$C$6)+5)^2)/(22^2))+18*SIN(2*PI()*(Model_Data!A176)/70))+Inputs!$C$28*EXP(-(((Model_Data!A176)-Inputs!$C$29)^2)/(2*Inputs!$C$31^2))*EXP(-(((Inputs!$C$6)-Inputs!$C$30)^2)/(2*Inputs!$C$32^2))+-Inputs!$C$33*EXP(-(((((Model_Data!A176)-Inputs!$C$34)^2)+(((Inputs!$C$6)-Inputs!$C$35)^2))/(2*Inputs!$C$36^2)))+Inputs!$C$37*(0.55*SIN(2*PI()*(Model_Data!A176)/Inputs!$C$39)+0.35*COS(2*PI()*(Inputs!$C$6)/Inputs!$C$40)+0.2*SIN(2*PI()*((Model_Data!A176)+(Inputs!$C$6))/(0.5*(Inputs!$C$39+Inputs!$C$40))))+Inputs!$C$38*SIN(2*PI()*(Model_Data!A176)/Inputs!$C$39)*SIN(2*PI()*(Inputs!$C$6)/Inputs!$C$40)+-Inputs!$C$41*EXP(-(((Inputs!$C$6)-Inputs!$C$43)^2)/(2*Inputs!$C$44^2))*EXP(-(((Model_Data!A176)-Inputs!$C$42)^2)/(2*Inputs!$C$45^2))+Inputs!$C$48*(0.7*(0.45*SIN(2*PI()*(((Model_Data!A176)/Inputs!$C$49)+Inputs!$C$47*0.137))+0.35*COS(2*PI()*(((Inputs!$C$6)/Inputs!$C$50)+Inputs!$C$47*0.173))+0.2*SIN(2*PI()*(((Model_Data!A176)+(Inputs!$C$6))/(0.5*(Inputs!$C$49+Inputs!$C$50))+Inputs!$C$47*0.097)))+0.3*(2*((SIN(((Model_Data!A176)*12.9898+(Inputs!$C$6)*78.233+Inputs!$C$47*37.719))*43758.5453)-INT((SIN(((Model_Data!A176)*12.9898+(Inputs!$C$6)*78.233+Inputs!$C$47*37.719))*43758.5453)))-1)))</f>
        <v>346.22873286462408</v>
      </c>
      <c r="K176" s="9">
        <f>-((((SQRT((Model_Data!A176)^2+Inputs!$C$6^2+((Model_Data!B176)-((Inputs!$C$51*(115*EXP(-(((Inputs!$C$6)-25)^2)/(4.5^2))+70*EXP(-(((Inputs!$C$6)+38)^2)/(7^2))*(0.55+0.45*SIN(2*PI()*(Model_Data!A176)/45))+24*SIN(2*PI()*(Inputs!$C$6)/9+(Model_Data!A176)/18)*EXP(-(((Inputs!$C$6)+5)^2)/(22^2))+18*SIN(2*PI()*(Model_Data!A176)/70))+Inputs!$C$28*EXP(-(((Model_Data!A176)-Inputs!$C$29)^2)/(2*Inputs!$C$31^2))*EXP(-(((Inputs!$C$6)-Inputs!$C$30)^2)/(2*Inputs!$C$32^2))+-Inputs!$C$33*EXP(-(((((Model_Data!A176)-Inputs!$C$34)^2)+(((Inputs!$C$6)-Inputs!$C$35)^2))/(2*Inputs!$C$36^2)))+Inputs!$C$37*(0.55*SIN(2*PI()*(Model_Data!A176)/Inputs!$C$39)+0.35*COS(2*PI()*(Inputs!$C$6)/Inputs!$C$40)+0.2*SIN(2*PI()*((Model_Data!A176)+(Inputs!$C$6))/(0.5*(Inputs!$C$39+Inputs!$C$40))))+Inputs!$C$38*SIN(2*PI()*(Model_Data!A176)/Inputs!$C$39)*SIN(2*PI()*(Inputs!$C$6)/Inputs!$C$40)+-Inputs!$C$41*EXP(-(((Inputs!$C$6)-Inputs!$C$43)^2)/(2*Inputs!$C$44^2))*EXP(-(((Model_Data!A176)-Inputs!$C$42)^2)/(2*Inputs!$C$45^2))+Inputs!$C$48*(0.7*(0.45*SIN(2*PI()*(((Model_Data!A176)/Inputs!$C$49)+Inputs!$C$47*0.137))+0.35*COS(2*PI()*(((Inputs!$C$6)/Inputs!$C$50)+Inputs!$C$47*0.173))+0.2*SIN(2*PI()*(((Model_Data!A176)+(Inputs!$C$6))/(0.5*(Inputs!$C$49+Inputs!$C$50))+Inputs!$C$47*0.097)))+0.3*(2*((SIN(((Model_Data!A176)*12.9898+(Inputs!$C$6)*78.233+Inputs!$C$47*37.719))*43758.5453)-INT((SIN(((Model_Data!A176)*12.9898+(Inputs!$C$6)*78.233+Inputs!$C$47*37.719))*43758.5453)))-1))))/1000)^2))-(((Model_Data!B176)-((Inputs!$C$51*(115*EXP(-(((0)-25)^2)/(4.5^2))+70*EXP(-(((0)+38)^2)/(7^2))*(0.55+0.45*SIN(2*PI()*(Model_Data!A176)/45))+24*SIN(2*PI()*(0)/9+(Model_Data!A176)/18)*EXP(-(((0)+5)^2)/(22^2))+18*SIN(2*PI()*(Model_Data!A176)/70))+Inputs!$C$28*EXP(-(((Model_Data!A176)-Inputs!$C$29)^2)/(2*Inputs!$C$31^2))*EXP(-(((0)-Inputs!$C$30)^2)/(2*Inputs!$C$32^2))+-Inputs!$C$33*EXP(-(((((Model_Data!A176)-Inputs!$C$34)^2)+(((0)-Inputs!$C$35)^2))/(2*Inputs!$C$36^2)))+Inputs!$C$37*(0.55*SIN(2*PI()*(Model_Data!A176)/Inputs!$C$39)+0.35*COS(2*PI()*(0)/Inputs!$C$40)+0.2*SIN(2*PI()*((Model_Data!A176)+(0))/(0.5*(Inputs!$C$39+Inputs!$C$40))))+Inputs!$C$38*SIN(2*PI()*(Model_Data!A176)/Inputs!$C$39)*SIN(2*PI()*(0)/Inputs!$C$40)+-Inputs!$C$41*EXP(-(((0)-Inputs!$C$43)^2)/(2*Inputs!$C$44^2))*EXP(-(((Model_Data!A176)-Inputs!$C$42)^2)/(2*Inputs!$C$45^2))+Inputs!$C$48*(0.7*(0.45*SIN(2*PI()*(((Model_Data!A176)/Inputs!$C$49)+Inputs!$C$47*0.137))+0.35*COS(2*PI()*(((0)/Inputs!$C$50)+Inputs!$C$47*0.173))+0.2*SIN(2*PI()*(((Model_Data!A176)+(0))/(0.5*(Inputs!$C$49+Inputs!$C$50))+Inputs!$C$47*0.097)))+0.3*(2*((SIN(((Model_Data!A176)*12.9898+(0)*78.233+Inputs!$C$47*37.719))*43758.5453)-INT((SIN(((Model_Data!A176)*12.9898+(0)*78.233+Inputs!$C$47*37.719))*43758.5453)))-1))))/1000)))*1000/Inputs!$C$12)-Model_Data!F176)</f>
        <v>157.48489392677493</v>
      </c>
      <c r="L176" s="10"/>
      <c r="M176" s="9">
        <f>Model_Data!A176</f>
        <v>27</v>
      </c>
      <c r="N176" s="9">
        <f>Model_Data!P176</f>
        <v>-202.92836266590731</v>
      </c>
      <c r="O176" s="9">
        <f t="shared" si="4"/>
        <v>-277.03450877779687</v>
      </c>
      <c r="P176" s="9">
        <f>Model_Data!Q176</f>
        <v>-30.46972412401011</v>
      </c>
      <c r="Q176" s="9">
        <f t="shared" si="5"/>
        <v>-41.596773089759296</v>
      </c>
      <c r="R176" s="10"/>
      <c r="S176" s="9">
        <f>Model_Data!A176</f>
        <v>27</v>
      </c>
      <c r="T176" s="9">
        <f>Model_Data!B176-Inputs!$C$5</f>
        <v>0.81000000000000227</v>
      </c>
      <c r="U176" s="10"/>
      <c r="V176" s="9">
        <f>Model_Data!A176</f>
        <v>27</v>
      </c>
      <c r="W176" s="9">
        <f>((SQRT((Model_Data!A176)^2+Inputs!$C$6^2+Inputs!$C$5^2)-Inputs!$C$5)*1000/Inputs!$C$12)</f>
        <v>948.83953699023641</v>
      </c>
      <c r="X176" s="9">
        <f>Model_Data!F176</f>
        <v>946.93005797213948</v>
      </c>
      <c r="Y176" s="10"/>
      <c r="Z176" s="9">
        <f>Model_Data!A176</f>
        <v>27</v>
      </c>
      <c r="AA176" s="9">
        <f>SQRT((Model_Data!A176)^2+Inputs!$C$6^2+((Model_Data!B176)-((Inputs!$C$51*(115*EXP(-(((Inputs!$C$6)-25)^2)/(4.5^2))+70*EXP(-(((Inputs!$C$6)+38)^2)/(7^2))*(0.55+0.45*SIN(2*PI()*(Model_Data!A176)/45))+24*SIN(2*PI()*(Inputs!$C$6)/9+(Model_Data!A176)/18)*EXP(-(((Inputs!$C$6)+5)^2)/(22^2))+18*SIN(2*PI()*(Model_Data!A176)/70))+Inputs!$C$28*EXP(-(((Model_Data!A176)-Inputs!$C$29)^2)/(2*Inputs!$C$31^2))*EXP(-(((Inputs!$C$6)-Inputs!$C$30)^2)/(2*Inputs!$C$32^2))+-Inputs!$C$33*EXP(-(((((Model_Data!A176)-Inputs!$C$34)^2)+(((Inputs!$C$6)-Inputs!$C$35)^2))/(2*Inputs!$C$36^2)))+Inputs!$C$37*(0.55*SIN(2*PI()*(Model_Data!A176)/Inputs!$C$39)+0.35*COS(2*PI()*(Inputs!$C$6)/Inputs!$C$40)+0.2*SIN(2*PI()*((Model_Data!A176)+(Inputs!$C$6))/(0.5*(Inputs!$C$39+Inputs!$C$40))))+Inputs!$C$38*SIN(2*PI()*(Model_Data!A176)/Inputs!$C$39)*SIN(2*PI()*(Inputs!$C$6)/Inputs!$C$40)+-Inputs!$C$41*EXP(-(((Inputs!$C$6)-Inputs!$C$43)^2)/(2*Inputs!$C$44^2))*EXP(-(((Model_Data!A176)-Inputs!$C$42)^2)/(2*Inputs!$C$45^2))+Inputs!$C$48*(0.7*(0.45*SIN(2*PI()*(((Model_Data!A176)/Inputs!$C$49)+Inputs!$C$47*0.137))+0.35*COS(2*PI()*(((Inputs!$C$6)/Inputs!$C$50)+Inputs!$C$47*0.173))+0.2*SIN(2*PI()*(((Model_Data!A176)+(Inputs!$C$6))/(0.5*(Inputs!$C$49+Inputs!$C$50))+Inputs!$C$47*0.097)))+0.3*(2*((SIN(((Model_Data!A176)*12.9898+(Inputs!$C$6)*78.233+Inputs!$C$47*37.719))*43758.5453)-INT((SIN(((Model_Data!A176)*12.9898+(Inputs!$C$6)*78.233+Inputs!$C$47*37.719))*43758.5453)))-1))))/1000)^2)</f>
        <v>402.15075792232011</v>
      </c>
      <c r="AB176" s="9">
        <f>1000*(AA177-AA175)/(Z177-Z175)*Inputs!$C$11</f>
        <v>692.58627194449218</v>
      </c>
      <c r="AC176" s="9">
        <f>-2*AB176/Inputs!$C$13</f>
        <v>-277.03450877779687</v>
      </c>
      <c r="AD176" s="9">
        <f>-2*AB176/Inputs!$C$14</f>
        <v>-41.596773089759296</v>
      </c>
    </row>
    <row r="177" spans="1:30">
      <c r="A177" s="9">
        <f>Model_Data!A177</f>
        <v>27.5</v>
      </c>
      <c r="B177" s="9">
        <f>((SQRT((Model_Data!A177)^2+Inputs!$C$6^2+Inputs!$C$5^2)-Inputs!$C$5)*1000/Inputs!$C$12)</f>
        <v>967.89450857437419</v>
      </c>
      <c r="C177" s="9">
        <f>Model_Data!F177</f>
        <v>965.87419469348754</v>
      </c>
      <c r="D177" s="9">
        <f>(((SQRT((Model_Data!A177)^2+Inputs!$C$6^2+((Model_Data!B177)-((Inputs!$C$51*(115*EXP(-(((Inputs!$C$6)-25)^2)/(4.5^2))+70*EXP(-(((Inputs!$C$6)+38)^2)/(7^2))*(0.55+0.45*SIN(2*PI()*(Model_Data!A177)/45))+24*SIN(2*PI()*(Inputs!$C$6)/9+(Model_Data!A177)/18)*EXP(-(((Inputs!$C$6)+5)^2)/(22^2))+18*SIN(2*PI()*(Model_Data!A177)/70))+Inputs!$C$28*EXP(-(((Model_Data!A177)-Inputs!$C$29)^2)/(2*Inputs!$C$31^2))*EXP(-(((Inputs!$C$6)-Inputs!$C$30)^2)/(2*Inputs!$C$32^2))+-Inputs!$C$33*EXP(-(((((Model_Data!A177)-Inputs!$C$34)^2)+(((Inputs!$C$6)-Inputs!$C$35)^2))/(2*Inputs!$C$36^2)))+Inputs!$C$37*(0.55*SIN(2*PI()*(Model_Data!A177)/Inputs!$C$39)+0.35*COS(2*PI()*(Inputs!$C$6)/Inputs!$C$40)+0.2*SIN(2*PI()*((Model_Data!A177)+(Inputs!$C$6))/(0.5*(Inputs!$C$39+Inputs!$C$40))))+Inputs!$C$38*SIN(2*PI()*(Model_Data!A177)/Inputs!$C$39)*SIN(2*PI()*(Inputs!$C$6)/Inputs!$C$40)+-Inputs!$C$41*EXP(-(((Inputs!$C$6)-Inputs!$C$43)^2)/(2*Inputs!$C$44^2))*EXP(-(((Model_Data!A177)-Inputs!$C$42)^2)/(2*Inputs!$C$45^2))+Inputs!$C$48*(0.7*(0.45*SIN(2*PI()*(((Model_Data!A177)/Inputs!$C$49)+Inputs!$C$47*0.137))+0.35*COS(2*PI()*(((Inputs!$C$6)/Inputs!$C$50)+Inputs!$C$47*0.173))+0.2*SIN(2*PI()*(((Model_Data!A177)+(Inputs!$C$6))/(0.5*(Inputs!$C$49+Inputs!$C$50))+Inputs!$C$47*0.097)))+0.3*(2*((SIN(((Model_Data!A177)*12.9898+(Inputs!$C$6)*78.233+Inputs!$C$47*37.719))*43758.5453)-INT((SIN(((Model_Data!A177)*12.9898+(Inputs!$C$6)*78.233+Inputs!$C$47*37.719))*43758.5453)))-1))))/1000)^2))-(((Model_Data!B177)-((Inputs!$C$51*(115*EXP(-(((0)-25)^2)/(4.5^2))+70*EXP(-(((0)+38)^2)/(7^2))*(0.55+0.45*SIN(2*PI()*(Model_Data!A177)/45))+24*SIN(2*PI()*(0)/9+(Model_Data!A177)/18)*EXP(-(((0)+5)^2)/(22^2))+18*SIN(2*PI()*(Model_Data!A177)/70))+Inputs!$C$28*EXP(-(((Model_Data!A177)-Inputs!$C$29)^2)/(2*Inputs!$C$31^2))*EXP(-(((0)-Inputs!$C$30)^2)/(2*Inputs!$C$32^2))+-Inputs!$C$33*EXP(-(((((Model_Data!A177)-Inputs!$C$34)^2)+(((0)-Inputs!$C$35)^2))/(2*Inputs!$C$36^2)))+Inputs!$C$37*(0.55*SIN(2*PI()*(Model_Data!A177)/Inputs!$C$39)+0.35*COS(2*PI()*(0)/Inputs!$C$40)+0.2*SIN(2*PI()*((Model_Data!A177)+(0))/(0.5*(Inputs!$C$39+Inputs!$C$40))))+Inputs!$C$38*SIN(2*PI()*(Model_Data!A177)/Inputs!$C$39)*SIN(2*PI()*(0)/Inputs!$C$40)+-Inputs!$C$41*EXP(-(((0)-Inputs!$C$43)^2)/(2*Inputs!$C$44^2))*EXP(-(((Model_Data!A177)-Inputs!$C$42)^2)/(2*Inputs!$C$45^2))+Inputs!$C$48*(0.7*(0.45*SIN(2*PI()*(((Model_Data!A177)/Inputs!$C$49)+Inputs!$C$47*0.137))+0.35*COS(2*PI()*(((0)/Inputs!$C$50)+Inputs!$C$47*0.173))+0.2*SIN(2*PI()*(((Model_Data!A177)+(0))/(0.5*(Inputs!$C$49+Inputs!$C$50))+Inputs!$C$47*0.097)))+0.3*(2*((SIN(((Model_Data!A177)*12.9898+(0)*78.233+Inputs!$C$47*37.719))*43758.5453)-INT((SIN(((Model_Data!A177)*12.9898+(0)*78.233+Inputs!$C$47*37.719))*43758.5453)))-1))))/1000)))*1000/Inputs!$C$12)</f>
        <v>803.06035108241952</v>
      </c>
      <c r="E177" s="9">
        <f>Model_Data!A177</f>
        <v>27.5</v>
      </c>
      <c r="F177" s="9">
        <f>(Inputs!$C$51*(115*EXP(-(((Inputs!$C$6)-25)^2)/(4.5^2))+70*EXP(-(((Inputs!$C$6)+38)^2)/(7^2))*(0.55+0.45*SIN(2*PI()*(Model_Data!A177)/45))+24*SIN(2*PI()*(Inputs!$C$6)/9+(Model_Data!A177)/18)*EXP(-(((Inputs!$C$6)+5)^2)/(22^2))+18*SIN(2*PI()*(Model_Data!A177)/70))+Inputs!$C$28*EXP(-(((Model_Data!A177)-Inputs!$C$29)^2)/(2*Inputs!$C$31^2))*EXP(-(((Inputs!$C$6)-Inputs!$C$30)^2)/(2*Inputs!$C$32^2))+-Inputs!$C$33*EXP(-(((((Model_Data!A177)-Inputs!$C$34)^2)+(((Inputs!$C$6)-Inputs!$C$35)^2))/(2*Inputs!$C$36^2)))+Inputs!$C$37*(0.55*SIN(2*PI()*(Model_Data!A177)/Inputs!$C$39)+0.35*COS(2*PI()*(Inputs!$C$6)/Inputs!$C$40)+0.2*SIN(2*PI()*((Model_Data!A177)+(Inputs!$C$6))/(0.5*(Inputs!$C$39+Inputs!$C$40))))+Inputs!$C$38*SIN(2*PI()*(Model_Data!A177)/Inputs!$C$39)*SIN(2*PI()*(Inputs!$C$6)/Inputs!$C$40)+-Inputs!$C$41*EXP(-(((Inputs!$C$6)-Inputs!$C$43)^2)/(2*Inputs!$C$44^2))*EXP(-(((Model_Data!A177)-Inputs!$C$42)^2)/(2*Inputs!$C$45^2))+Inputs!$C$48*(0.7*(0.45*SIN(2*PI()*(((Model_Data!A177)/Inputs!$C$49)+Inputs!$C$47*0.137))+0.35*COS(2*PI()*(((Inputs!$C$6)/Inputs!$C$50)+Inputs!$C$47*0.173))+0.2*SIN(2*PI()*(((Model_Data!A177)+(Inputs!$C$6))/(0.5*(Inputs!$C$49+Inputs!$C$50))+Inputs!$C$47*0.097)))+0.3*(2*((SIN(((Model_Data!A177)*12.9898+(Inputs!$C$6)*78.233+Inputs!$C$47*37.719))*43758.5453)-INT((SIN(((Model_Data!A177)*12.9898+(Inputs!$C$6)*78.233+Inputs!$C$47*37.719))*43758.5453)))-1)))</f>
        <v>337.03514018583576</v>
      </c>
      <c r="G177" s="9">
        <f>(Inputs!$C$51*(115*EXP(-(((0)-25)^2)/(4.5^2))+70*EXP(-(((0)+38)^2)/(7^2))*(0.55+0.45*SIN(2*PI()*(Model_Data!A177)/45))+24*SIN(2*PI()*(0)/9+(Model_Data!A177)/18)*EXP(-(((0)+5)^2)/(22^2))+18*SIN(2*PI()*(Model_Data!A177)/70))+Inputs!$C$28*EXP(-(((Model_Data!A177)-Inputs!$C$29)^2)/(2*Inputs!$C$31^2))*EXP(-(((0)-Inputs!$C$30)^2)/(2*Inputs!$C$32^2))+-Inputs!$C$33*EXP(-(((((Model_Data!A177)-Inputs!$C$34)^2)+(((0)-Inputs!$C$35)^2))/(2*Inputs!$C$36^2)))+Inputs!$C$37*(0.55*SIN(2*PI()*(Model_Data!A177)/Inputs!$C$39)+0.35*COS(2*PI()*(0)/Inputs!$C$40)+0.2*SIN(2*PI()*((Model_Data!A177)+(0))/(0.5*(Inputs!$C$39+Inputs!$C$40))))+Inputs!$C$38*SIN(2*PI()*(Model_Data!A177)/Inputs!$C$39)*SIN(2*PI()*(0)/Inputs!$C$40)+-Inputs!$C$41*EXP(-(((0)-Inputs!$C$43)^2)/(2*Inputs!$C$44^2))*EXP(-(((Model_Data!A177)-Inputs!$C$42)^2)/(2*Inputs!$C$45^2))+Inputs!$C$48*(0.7*(0.45*SIN(2*PI()*(((Model_Data!A177)/Inputs!$C$49)+Inputs!$C$47*0.137))+0.35*COS(2*PI()*(((0)/Inputs!$C$50)+Inputs!$C$47*0.173))+0.2*SIN(2*PI()*(((Model_Data!A177)+(0))/(0.5*(Inputs!$C$49+Inputs!$C$50))+Inputs!$C$47*0.097)))+0.3*(2*((SIN(((Model_Data!A177)*12.9898+(0)*78.233+Inputs!$C$47*37.719))*43758.5453)-INT((SIN(((Model_Data!A177)*12.9898+(0)*78.233+Inputs!$C$47*37.719))*43758.5453)))-1)))</f>
        <v>45.785881303759091</v>
      </c>
      <c r="H177" s="10"/>
      <c r="I177" s="9">
        <f>Model_Data!A177</f>
        <v>27.5</v>
      </c>
      <c r="J177" s="9">
        <f>(Inputs!$C$51*(115*EXP(-(((Inputs!$C$6)-25)^2)/(4.5^2))+70*EXP(-(((Inputs!$C$6)+38)^2)/(7^2))*(0.55+0.45*SIN(2*PI()*(Model_Data!A177)/45))+24*SIN(2*PI()*(Inputs!$C$6)/9+(Model_Data!A177)/18)*EXP(-(((Inputs!$C$6)+5)^2)/(22^2))+18*SIN(2*PI()*(Model_Data!A177)/70))+Inputs!$C$28*EXP(-(((Model_Data!A177)-Inputs!$C$29)^2)/(2*Inputs!$C$31^2))*EXP(-(((Inputs!$C$6)-Inputs!$C$30)^2)/(2*Inputs!$C$32^2))+-Inputs!$C$33*EXP(-(((((Model_Data!A177)-Inputs!$C$34)^2)+(((Inputs!$C$6)-Inputs!$C$35)^2))/(2*Inputs!$C$36^2)))+Inputs!$C$37*(0.55*SIN(2*PI()*(Model_Data!A177)/Inputs!$C$39)+0.35*COS(2*PI()*(Inputs!$C$6)/Inputs!$C$40)+0.2*SIN(2*PI()*((Model_Data!A177)+(Inputs!$C$6))/(0.5*(Inputs!$C$39+Inputs!$C$40))))+Inputs!$C$38*SIN(2*PI()*(Model_Data!A177)/Inputs!$C$39)*SIN(2*PI()*(Inputs!$C$6)/Inputs!$C$40)+-Inputs!$C$41*EXP(-(((Inputs!$C$6)-Inputs!$C$43)^2)/(2*Inputs!$C$44^2))*EXP(-(((Model_Data!A177)-Inputs!$C$42)^2)/(2*Inputs!$C$45^2))+Inputs!$C$48*(0.7*(0.45*SIN(2*PI()*(((Model_Data!A177)/Inputs!$C$49)+Inputs!$C$47*0.137))+0.35*COS(2*PI()*(((Inputs!$C$6)/Inputs!$C$50)+Inputs!$C$47*0.173))+0.2*SIN(2*PI()*(((Model_Data!A177)+(Inputs!$C$6))/(0.5*(Inputs!$C$49+Inputs!$C$50))+Inputs!$C$47*0.097)))+0.3*(2*((SIN(((Model_Data!A177)*12.9898+(Inputs!$C$6)*78.233+Inputs!$C$47*37.719))*43758.5453)-INT((SIN(((Model_Data!A177)*12.9898+(Inputs!$C$6)*78.233+Inputs!$C$47*37.719))*43758.5453)))-1)))</f>
        <v>337.03514018583576</v>
      </c>
      <c r="K177" s="9">
        <f>-((((SQRT((Model_Data!A177)^2+Inputs!$C$6^2+((Model_Data!B177)-((Inputs!$C$51*(115*EXP(-(((Inputs!$C$6)-25)^2)/(4.5^2))+70*EXP(-(((Inputs!$C$6)+38)^2)/(7^2))*(0.55+0.45*SIN(2*PI()*(Model_Data!A177)/45))+24*SIN(2*PI()*(Inputs!$C$6)/9+(Model_Data!A177)/18)*EXP(-(((Inputs!$C$6)+5)^2)/(22^2))+18*SIN(2*PI()*(Model_Data!A177)/70))+Inputs!$C$28*EXP(-(((Model_Data!A177)-Inputs!$C$29)^2)/(2*Inputs!$C$31^2))*EXP(-(((Inputs!$C$6)-Inputs!$C$30)^2)/(2*Inputs!$C$32^2))+-Inputs!$C$33*EXP(-(((((Model_Data!A177)-Inputs!$C$34)^2)+(((Inputs!$C$6)-Inputs!$C$35)^2))/(2*Inputs!$C$36^2)))+Inputs!$C$37*(0.55*SIN(2*PI()*(Model_Data!A177)/Inputs!$C$39)+0.35*COS(2*PI()*(Inputs!$C$6)/Inputs!$C$40)+0.2*SIN(2*PI()*((Model_Data!A177)+(Inputs!$C$6))/(0.5*(Inputs!$C$39+Inputs!$C$40))))+Inputs!$C$38*SIN(2*PI()*(Model_Data!A177)/Inputs!$C$39)*SIN(2*PI()*(Inputs!$C$6)/Inputs!$C$40)+-Inputs!$C$41*EXP(-(((Inputs!$C$6)-Inputs!$C$43)^2)/(2*Inputs!$C$44^2))*EXP(-(((Model_Data!A177)-Inputs!$C$42)^2)/(2*Inputs!$C$45^2))+Inputs!$C$48*(0.7*(0.45*SIN(2*PI()*(((Model_Data!A177)/Inputs!$C$49)+Inputs!$C$47*0.137))+0.35*COS(2*PI()*(((Inputs!$C$6)/Inputs!$C$50)+Inputs!$C$47*0.173))+0.2*SIN(2*PI()*(((Model_Data!A177)+(Inputs!$C$6))/(0.5*(Inputs!$C$49+Inputs!$C$50))+Inputs!$C$47*0.097)))+0.3*(2*((SIN(((Model_Data!A177)*12.9898+(Inputs!$C$6)*78.233+Inputs!$C$47*37.719))*43758.5453)-INT((SIN(((Model_Data!A177)*12.9898+(Inputs!$C$6)*78.233+Inputs!$C$47*37.719))*43758.5453)))-1))))/1000)^2))-(((Model_Data!B177)-((Inputs!$C$51*(115*EXP(-(((0)-25)^2)/(4.5^2))+70*EXP(-(((0)+38)^2)/(7^2))*(0.55+0.45*SIN(2*PI()*(Model_Data!A177)/45))+24*SIN(2*PI()*(0)/9+(Model_Data!A177)/18)*EXP(-(((0)+5)^2)/(22^2))+18*SIN(2*PI()*(Model_Data!A177)/70))+Inputs!$C$28*EXP(-(((Model_Data!A177)-Inputs!$C$29)^2)/(2*Inputs!$C$31^2))*EXP(-(((0)-Inputs!$C$30)^2)/(2*Inputs!$C$32^2))+-Inputs!$C$33*EXP(-(((((Model_Data!A177)-Inputs!$C$34)^2)+(((0)-Inputs!$C$35)^2))/(2*Inputs!$C$36^2)))+Inputs!$C$37*(0.55*SIN(2*PI()*(Model_Data!A177)/Inputs!$C$39)+0.35*COS(2*PI()*(0)/Inputs!$C$40)+0.2*SIN(2*PI()*((Model_Data!A177)+(0))/(0.5*(Inputs!$C$39+Inputs!$C$40))))+Inputs!$C$38*SIN(2*PI()*(Model_Data!A177)/Inputs!$C$39)*SIN(2*PI()*(0)/Inputs!$C$40)+-Inputs!$C$41*EXP(-(((0)-Inputs!$C$43)^2)/(2*Inputs!$C$44^2))*EXP(-(((Model_Data!A177)-Inputs!$C$42)^2)/(2*Inputs!$C$45^2))+Inputs!$C$48*(0.7*(0.45*SIN(2*PI()*(((Model_Data!A177)/Inputs!$C$49)+Inputs!$C$47*0.137))+0.35*COS(2*PI()*(((0)/Inputs!$C$50)+Inputs!$C$47*0.173))+0.2*SIN(2*PI()*(((Model_Data!A177)+(0))/(0.5*(Inputs!$C$49+Inputs!$C$50))+Inputs!$C$47*0.097)))+0.3*(2*((SIN(((Model_Data!A177)*12.9898+(0)*78.233+Inputs!$C$47*37.719))*43758.5453)-INT((SIN(((Model_Data!A177)*12.9898+(0)*78.233+Inputs!$C$47*37.719))*43758.5453)))-1))))/1000)))*1000/Inputs!$C$12)-Model_Data!F177)</f>
        <v>162.81384361106802</v>
      </c>
      <c r="L177" s="10"/>
      <c r="M177" s="9">
        <f>Model_Data!A177</f>
        <v>27.5</v>
      </c>
      <c r="N177" s="9">
        <f>Model_Data!P177</f>
        <v>-206.66079079152723</v>
      </c>
      <c r="O177" s="9">
        <f t="shared" si="4"/>
        <v>-260.98794604122304</v>
      </c>
      <c r="P177" s="9">
        <f>Model_Data!Q177</f>
        <v>-31.030148767496584</v>
      </c>
      <c r="Q177" s="9">
        <f t="shared" si="5"/>
        <v>-39.187379285468928</v>
      </c>
      <c r="R177" s="10"/>
      <c r="S177" s="9">
        <f>Model_Data!A177</f>
        <v>27.5</v>
      </c>
      <c r="T177" s="9">
        <f>Model_Data!B177-Inputs!$C$5</f>
        <v>0.84027777777777146</v>
      </c>
      <c r="U177" s="10"/>
      <c r="V177" s="9">
        <f>Model_Data!A177</f>
        <v>27.5</v>
      </c>
      <c r="W177" s="9">
        <f>((SQRT((Model_Data!A177)^2+Inputs!$C$6^2+Inputs!$C$5^2)-Inputs!$C$5)*1000/Inputs!$C$12)</f>
        <v>967.89450857437419</v>
      </c>
      <c r="X177" s="9">
        <f>Model_Data!F177</f>
        <v>965.87419469348754</v>
      </c>
      <c r="Y177" s="10"/>
      <c r="Z177" s="9">
        <f>Model_Data!A177</f>
        <v>27.5</v>
      </c>
      <c r="AA177" s="9">
        <f>SQRT((Model_Data!A177)^2+Inputs!$C$6^2+((Model_Data!B177)-((Inputs!$C$51*(115*EXP(-(((Inputs!$C$6)-25)^2)/(4.5^2))+70*EXP(-(((Inputs!$C$6)+38)^2)/(7^2))*(0.55+0.45*SIN(2*PI()*(Model_Data!A177)/45))+24*SIN(2*PI()*(Inputs!$C$6)/9+(Model_Data!A177)/18)*EXP(-(((Inputs!$C$6)+5)^2)/(22^2))+18*SIN(2*PI()*(Model_Data!A177)/70))+Inputs!$C$28*EXP(-(((Model_Data!A177)-Inputs!$C$29)^2)/(2*Inputs!$C$31^2))*EXP(-(((Inputs!$C$6)-Inputs!$C$30)^2)/(2*Inputs!$C$32^2))+-Inputs!$C$33*EXP(-(((((Model_Data!A177)-Inputs!$C$34)^2)+(((Inputs!$C$6)-Inputs!$C$35)^2))/(2*Inputs!$C$36^2)))+Inputs!$C$37*(0.55*SIN(2*PI()*(Model_Data!A177)/Inputs!$C$39)+0.35*COS(2*PI()*(Inputs!$C$6)/Inputs!$C$40)+0.2*SIN(2*PI()*((Model_Data!A177)+(Inputs!$C$6))/(0.5*(Inputs!$C$39+Inputs!$C$40))))+Inputs!$C$38*SIN(2*PI()*(Model_Data!A177)/Inputs!$C$39)*SIN(2*PI()*(Inputs!$C$6)/Inputs!$C$40)+-Inputs!$C$41*EXP(-(((Inputs!$C$6)-Inputs!$C$43)^2)/(2*Inputs!$C$44^2))*EXP(-(((Model_Data!A177)-Inputs!$C$42)^2)/(2*Inputs!$C$45^2))+Inputs!$C$48*(0.7*(0.45*SIN(2*PI()*(((Model_Data!A177)/Inputs!$C$49)+Inputs!$C$47*0.137))+0.35*COS(2*PI()*(((Inputs!$C$6)/Inputs!$C$50)+Inputs!$C$47*0.173))+0.2*SIN(2*PI()*(((Model_Data!A177)+(Inputs!$C$6))/(0.5*(Inputs!$C$49+Inputs!$C$50))+Inputs!$C$47*0.097)))+0.3*(2*((SIN(((Model_Data!A177)*12.9898+(Inputs!$C$6)*78.233+Inputs!$C$47*37.719))*43758.5453)-INT((SIN(((Model_Data!A177)*12.9898+(Inputs!$C$6)*78.233+Inputs!$C$47*37.719))*43758.5453)))-1))))/1000)^2)</f>
        <v>402.22393932140074</v>
      </c>
      <c r="AB177" s="9">
        <f>1000*(AA178-AA176)/(Z178-Z176)*Inputs!$C$11</f>
        <v>652.4698651030576</v>
      </c>
      <c r="AC177" s="9">
        <f>-2*AB177/Inputs!$C$13</f>
        <v>-260.98794604122304</v>
      </c>
      <c r="AD177" s="9">
        <f>-2*AB177/Inputs!$C$14</f>
        <v>-39.187379285468928</v>
      </c>
    </row>
    <row r="178" spans="1:30">
      <c r="A178" s="9">
        <f>Model_Data!A178</f>
        <v>28</v>
      </c>
      <c r="B178" s="9">
        <f>((SQRT((Model_Data!A178)^2+Inputs!$C$6^2+Inputs!$C$5^2)-Inputs!$C$5)*1000/Inputs!$C$12)</f>
        <v>987.29745942652437</v>
      </c>
      <c r="C178" s="9">
        <f>Model_Data!F178</f>
        <v>985.1613715773758</v>
      </c>
      <c r="D178" s="9">
        <f>(((SQRT((Model_Data!A178)^2+Inputs!$C$6^2+((Model_Data!B178)-((Inputs!$C$51*(115*EXP(-(((Inputs!$C$6)-25)^2)/(4.5^2))+70*EXP(-(((Inputs!$C$6)+38)^2)/(7^2))*(0.55+0.45*SIN(2*PI()*(Model_Data!A178)/45))+24*SIN(2*PI()*(Inputs!$C$6)/9+(Model_Data!A178)/18)*EXP(-(((Inputs!$C$6)+5)^2)/(22^2))+18*SIN(2*PI()*(Model_Data!A178)/70))+Inputs!$C$28*EXP(-(((Model_Data!A178)-Inputs!$C$29)^2)/(2*Inputs!$C$31^2))*EXP(-(((Inputs!$C$6)-Inputs!$C$30)^2)/(2*Inputs!$C$32^2))+-Inputs!$C$33*EXP(-(((((Model_Data!A178)-Inputs!$C$34)^2)+(((Inputs!$C$6)-Inputs!$C$35)^2))/(2*Inputs!$C$36^2)))+Inputs!$C$37*(0.55*SIN(2*PI()*(Model_Data!A178)/Inputs!$C$39)+0.35*COS(2*PI()*(Inputs!$C$6)/Inputs!$C$40)+0.2*SIN(2*PI()*((Model_Data!A178)+(Inputs!$C$6))/(0.5*(Inputs!$C$39+Inputs!$C$40))))+Inputs!$C$38*SIN(2*PI()*(Model_Data!A178)/Inputs!$C$39)*SIN(2*PI()*(Inputs!$C$6)/Inputs!$C$40)+-Inputs!$C$41*EXP(-(((Inputs!$C$6)-Inputs!$C$43)^2)/(2*Inputs!$C$44^2))*EXP(-(((Model_Data!A178)-Inputs!$C$42)^2)/(2*Inputs!$C$45^2))+Inputs!$C$48*(0.7*(0.45*SIN(2*PI()*(((Model_Data!A178)/Inputs!$C$49)+Inputs!$C$47*0.137))+0.35*COS(2*PI()*(((Inputs!$C$6)/Inputs!$C$50)+Inputs!$C$47*0.173))+0.2*SIN(2*PI()*(((Model_Data!A178)+(Inputs!$C$6))/(0.5*(Inputs!$C$49+Inputs!$C$50))+Inputs!$C$47*0.097)))+0.3*(2*((SIN(((Model_Data!A178)*12.9898+(Inputs!$C$6)*78.233+Inputs!$C$47*37.719))*43758.5453)-INT((SIN(((Model_Data!A178)*12.9898+(Inputs!$C$6)*78.233+Inputs!$C$47*37.719))*43758.5453)))-1))))/1000)^2))-(((Model_Data!B178)-((Inputs!$C$51*(115*EXP(-(((0)-25)^2)/(4.5^2))+70*EXP(-(((0)+38)^2)/(7^2))*(0.55+0.45*SIN(2*PI()*(Model_Data!A178)/45))+24*SIN(2*PI()*(0)/9+(Model_Data!A178)/18)*EXP(-(((0)+5)^2)/(22^2))+18*SIN(2*PI()*(Model_Data!A178)/70))+Inputs!$C$28*EXP(-(((Model_Data!A178)-Inputs!$C$29)^2)/(2*Inputs!$C$31^2))*EXP(-(((0)-Inputs!$C$30)^2)/(2*Inputs!$C$32^2))+-Inputs!$C$33*EXP(-(((((Model_Data!A178)-Inputs!$C$34)^2)+(((0)-Inputs!$C$35)^2))/(2*Inputs!$C$36^2)))+Inputs!$C$37*(0.55*SIN(2*PI()*(Model_Data!A178)/Inputs!$C$39)+0.35*COS(2*PI()*(0)/Inputs!$C$40)+0.2*SIN(2*PI()*((Model_Data!A178)+(0))/(0.5*(Inputs!$C$39+Inputs!$C$40))))+Inputs!$C$38*SIN(2*PI()*(Model_Data!A178)/Inputs!$C$39)*SIN(2*PI()*(0)/Inputs!$C$40)+-Inputs!$C$41*EXP(-(((0)-Inputs!$C$43)^2)/(2*Inputs!$C$44^2))*EXP(-(((Model_Data!A178)-Inputs!$C$42)^2)/(2*Inputs!$C$45^2))+Inputs!$C$48*(0.7*(0.45*SIN(2*PI()*(((Model_Data!A178)/Inputs!$C$49)+Inputs!$C$47*0.137))+0.35*COS(2*PI()*(((0)/Inputs!$C$50)+Inputs!$C$47*0.173))+0.2*SIN(2*PI()*(((Model_Data!A178)+(0))/(0.5*(Inputs!$C$49+Inputs!$C$50))+Inputs!$C$47*0.097)))+0.3*(2*((SIN(((Model_Data!A178)*12.9898+(0)*78.233+Inputs!$C$47*37.719))*43758.5453)-INT((SIN(((Model_Data!A178)*12.9898+(0)*78.233+Inputs!$C$47*37.719))*43758.5453)))-1))))/1000)))*1000/Inputs!$C$12)</f>
        <v>843.65655576314134</v>
      </c>
      <c r="E178" s="9">
        <f>Model_Data!A178</f>
        <v>28</v>
      </c>
      <c r="F178" s="9">
        <f>(Inputs!$C$51*(115*EXP(-(((Inputs!$C$6)-25)^2)/(4.5^2))+70*EXP(-(((Inputs!$C$6)+38)^2)/(7^2))*(0.55+0.45*SIN(2*PI()*(Model_Data!A178)/45))+24*SIN(2*PI()*(Inputs!$C$6)/9+(Model_Data!A178)/18)*EXP(-(((Inputs!$C$6)+5)^2)/(22^2))+18*SIN(2*PI()*(Model_Data!A178)/70))+Inputs!$C$28*EXP(-(((Model_Data!A178)-Inputs!$C$29)^2)/(2*Inputs!$C$31^2))*EXP(-(((Inputs!$C$6)-Inputs!$C$30)^2)/(2*Inputs!$C$32^2))+-Inputs!$C$33*EXP(-(((((Model_Data!A178)-Inputs!$C$34)^2)+(((Inputs!$C$6)-Inputs!$C$35)^2))/(2*Inputs!$C$36^2)))+Inputs!$C$37*(0.55*SIN(2*PI()*(Model_Data!A178)/Inputs!$C$39)+0.35*COS(2*PI()*(Inputs!$C$6)/Inputs!$C$40)+0.2*SIN(2*PI()*((Model_Data!A178)+(Inputs!$C$6))/(0.5*(Inputs!$C$39+Inputs!$C$40))))+Inputs!$C$38*SIN(2*PI()*(Model_Data!A178)/Inputs!$C$39)*SIN(2*PI()*(Inputs!$C$6)/Inputs!$C$40)+-Inputs!$C$41*EXP(-(((Inputs!$C$6)-Inputs!$C$43)^2)/(2*Inputs!$C$44^2))*EXP(-(((Model_Data!A178)-Inputs!$C$42)^2)/(2*Inputs!$C$45^2))+Inputs!$C$48*(0.7*(0.45*SIN(2*PI()*(((Model_Data!A178)/Inputs!$C$49)+Inputs!$C$47*0.137))+0.35*COS(2*PI()*(((Inputs!$C$6)/Inputs!$C$50)+Inputs!$C$47*0.173))+0.2*SIN(2*PI()*(((Model_Data!A178)+(Inputs!$C$6))/(0.5*(Inputs!$C$49+Inputs!$C$50))+Inputs!$C$47*0.097)))+0.3*(2*((SIN(((Model_Data!A178)*12.9898+(Inputs!$C$6)*78.233+Inputs!$C$47*37.719))*43758.5453)-INT((SIN(((Model_Data!A178)*12.9898+(Inputs!$C$6)*78.233+Inputs!$C$47*37.719))*43758.5453)))-1)))</f>
        <v>312.18369818898617</v>
      </c>
      <c r="G178" s="9">
        <f>(Inputs!$C$51*(115*EXP(-(((0)-25)^2)/(4.5^2))+70*EXP(-(((0)+38)^2)/(7^2))*(0.55+0.45*SIN(2*PI()*(Model_Data!A178)/45))+24*SIN(2*PI()*(0)/9+(Model_Data!A178)/18)*EXP(-(((0)+5)^2)/(22^2))+18*SIN(2*PI()*(Model_Data!A178)/70))+Inputs!$C$28*EXP(-(((Model_Data!A178)-Inputs!$C$29)^2)/(2*Inputs!$C$31^2))*EXP(-(((0)-Inputs!$C$30)^2)/(2*Inputs!$C$32^2))+-Inputs!$C$33*EXP(-(((((Model_Data!A178)-Inputs!$C$34)^2)+(((0)-Inputs!$C$35)^2))/(2*Inputs!$C$36^2)))+Inputs!$C$37*(0.55*SIN(2*PI()*(Model_Data!A178)/Inputs!$C$39)+0.35*COS(2*PI()*(0)/Inputs!$C$40)+0.2*SIN(2*PI()*((Model_Data!A178)+(0))/(0.5*(Inputs!$C$39+Inputs!$C$40))))+Inputs!$C$38*SIN(2*PI()*(Model_Data!A178)/Inputs!$C$39)*SIN(2*PI()*(0)/Inputs!$C$40)+-Inputs!$C$41*EXP(-(((0)-Inputs!$C$43)^2)/(2*Inputs!$C$44^2))*EXP(-(((Model_Data!A178)-Inputs!$C$42)^2)/(2*Inputs!$C$45^2))+Inputs!$C$48*(0.7*(0.45*SIN(2*PI()*(((Model_Data!A178)/Inputs!$C$49)+Inputs!$C$47*0.137))+0.35*COS(2*PI()*(((0)/Inputs!$C$50)+Inputs!$C$47*0.173))+0.2*SIN(2*PI()*(((Model_Data!A178)+(0))/(0.5*(Inputs!$C$49+Inputs!$C$50))+Inputs!$C$47*0.097)))+0.3*(2*((SIN(((Model_Data!A178)*12.9898+(0)*78.233+Inputs!$C$47*37.719))*43758.5453)-INT((SIN(((Model_Data!A178)*12.9898+(0)*78.233+Inputs!$C$47*37.719))*43758.5453)))-1)))</f>
        <v>58.944391773626705</v>
      </c>
      <c r="H178" s="10"/>
      <c r="I178" s="9">
        <f>Model_Data!A178</f>
        <v>28</v>
      </c>
      <c r="J178" s="9">
        <f>(Inputs!$C$51*(115*EXP(-(((Inputs!$C$6)-25)^2)/(4.5^2))+70*EXP(-(((Inputs!$C$6)+38)^2)/(7^2))*(0.55+0.45*SIN(2*PI()*(Model_Data!A178)/45))+24*SIN(2*PI()*(Inputs!$C$6)/9+(Model_Data!A178)/18)*EXP(-(((Inputs!$C$6)+5)^2)/(22^2))+18*SIN(2*PI()*(Model_Data!A178)/70))+Inputs!$C$28*EXP(-(((Model_Data!A178)-Inputs!$C$29)^2)/(2*Inputs!$C$31^2))*EXP(-(((Inputs!$C$6)-Inputs!$C$30)^2)/(2*Inputs!$C$32^2))+-Inputs!$C$33*EXP(-(((((Model_Data!A178)-Inputs!$C$34)^2)+(((Inputs!$C$6)-Inputs!$C$35)^2))/(2*Inputs!$C$36^2)))+Inputs!$C$37*(0.55*SIN(2*PI()*(Model_Data!A178)/Inputs!$C$39)+0.35*COS(2*PI()*(Inputs!$C$6)/Inputs!$C$40)+0.2*SIN(2*PI()*((Model_Data!A178)+(Inputs!$C$6))/(0.5*(Inputs!$C$39+Inputs!$C$40))))+Inputs!$C$38*SIN(2*PI()*(Model_Data!A178)/Inputs!$C$39)*SIN(2*PI()*(Inputs!$C$6)/Inputs!$C$40)+-Inputs!$C$41*EXP(-(((Inputs!$C$6)-Inputs!$C$43)^2)/(2*Inputs!$C$44^2))*EXP(-(((Model_Data!A178)-Inputs!$C$42)^2)/(2*Inputs!$C$45^2))+Inputs!$C$48*(0.7*(0.45*SIN(2*PI()*(((Model_Data!A178)/Inputs!$C$49)+Inputs!$C$47*0.137))+0.35*COS(2*PI()*(((Inputs!$C$6)/Inputs!$C$50)+Inputs!$C$47*0.173))+0.2*SIN(2*PI()*(((Model_Data!A178)+(Inputs!$C$6))/(0.5*(Inputs!$C$49+Inputs!$C$50))+Inputs!$C$47*0.097)))+0.3*(2*((SIN(((Model_Data!A178)*12.9898+(Inputs!$C$6)*78.233+Inputs!$C$47*37.719))*43758.5453)-INT((SIN(((Model_Data!A178)*12.9898+(Inputs!$C$6)*78.233+Inputs!$C$47*37.719))*43758.5453)))-1)))</f>
        <v>312.18369818898617</v>
      </c>
      <c r="K178" s="9">
        <f>-((((SQRT((Model_Data!A178)^2+Inputs!$C$6^2+((Model_Data!B178)-((Inputs!$C$51*(115*EXP(-(((Inputs!$C$6)-25)^2)/(4.5^2))+70*EXP(-(((Inputs!$C$6)+38)^2)/(7^2))*(0.55+0.45*SIN(2*PI()*(Model_Data!A178)/45))+24*SIN(2*PI()*(Inputs!$C$6)/9+(Model_Data!A178)/18)*EXP(-(((Inputs!$C$6)+5)^2)/(22^2))+18*SIN(2*PI()*(Model_Data!A178)/70))+Inputs!$C$28*EXP(-(((Model_Data!A178)-Inputs!$C$29)^2)/(2*Inputs!$C$31^2))*EXP(-(((Inputs!$C$6)-Inputs!$C$30)^2)/(2*Inputs!$C$32^2))+-Inputs!$C$33*EXP(-(((((Model_Data!A178)-Inputs!$C$34)^2)+(((Inputs!$C$6)-Inputs!$C$35)^2))/(2*Inputs!$C$36^2)))+Inputs!$C$37*(0.55*SIN(2*PI()*(Model_Data!A178)/Inputs!$C$39)+0.35*COS(2*PI()*(Inputs!$C$6)/Inputs!$C$40)+0.2*SIN(2*PI()*((Model_Data!A178)+(Inputs!$C$6))/(0.5*(Inputs!$C$39+Inputs!$C$40))))+Inputs!$C$38*SIN(2*PI()*(Model_Data!A178)/Inputs!$C$39)*SIN(2*PI()*(Inputs!$C$6)/Inputs!$C$40)+-Inputs!$C$41*EXP(-(((Inputs!$C$6)-Inputs!$C$43)^2)/(2*Inputs!$C$44^2))*EXP(-(((Model_Data!A178)-Inputs!$C$42)^2)/(2*Inputs!$C$45^2))+Inputs!$C$48*(0.7*(0.45*SIN(2*PI()*(((Model_Data!A178)/Inputs!$C$49)+Inputs!$C$47*0.137))+0.35*COS(2*PI()*(((Inputs!$C$6)/Inputs!$C$50)+Inputs!$C$47*0.173))+0.2*SIN(2*PI()*(((Model_Data!A178)+(Inputs!$C$6))/(0.5*(Inputs!$C$49+Inputs!$C$50))+Inputs!$C$47*0.097)))+0.3*(2*((SIN(((Model_Data!A178)*12.9898+(Inputs!$C$6)*78.233+Inputs!$C$47*37.719))*43758.5453)-INT((SIN(((Model_Data!A178)*12.9898+(Inputs!$C$6)*78.233+Inputs!$C$47*37.719))*43758.5453)))-1))))/1000)^2))-(((Model_Data!B178)-((Inputs!$C$51*(115*EXP(-(((0)-25)^2)/(4.5^2))+70*EXP(-(((0)+38)^2)/(7^2))*(0.55+0.45*SIN(2*PI()*(Model_Data!A178)/45))+24*SIN(2*PI()*(0)/9+(Model_Data!A178)/18)*EXP(-(((0)+5)^2)/(22^2))+18*SIN(2*PI()*(Model_Data!A178)/70))+Inputs!$C$28*EXP(-(((Model_Data!A178)-Inputs!$C$29)^2)/(2*Inputs!$C$31^2))*EXP(-(((0)-Inputs!$C$30)^2)/(2*Inputs!$C$32^2))+-Inputs!$C$33*EXP(-(((((Model_Data!A178)-Inputs!$C$34)^2)+(((0)-Inputs!$C$35)^2))/(2*Inputs!$C$36^2)))+Inputs!$C$37*(0.55*SIN(2*PI()*(Model_Data!A178)/Inputs!$C$39)+0.35*COS(2*PI()*(0)/Inputs!$C$40)+0.2*SIN(2*PI()*((Model_Data!A178)+(0))/(0.5*(Inputs!$C$39+Inputs!$C$40))))+Inputs!$C$38*SIN(2*PI()*(Model_Data!A178)/Inputs!$C$39)*SIN(2*PI()*(0)/Inputs!$C$40)+-Inputs!$C$41*EXP(-(((0)-Inputs!$C$43)^2)/(2*Inputs!$C$44^2))*EXP(-(((Model_Data!A178)-Inputs!$C$42)^2)/(2*Inputs!$C$45^2))+Inputs!$C$48*(0.7*(0.45*SIN(2*PI()*(((Model_Data!A178)/Inputs!$C$49)+Inputs!$C$47*0.137))+0.35*COS(2*PI()*(((0)/Inputs!$C$50)+Inputs!$C$47*0.173))+0.2*SIN(2*PI()*(((Model_Data!A178)+(0))/(0.5*(Inputs!$C$49+Inputs!$C$50))+Inputs!$C$47*0.097)))+0.3*(2*((SIN(((Model_Data!A178)*12.9898+(0)*78.233+Inputs!$C$47*37.719))*43758.5453)-INT((SIN(((Model_Data!A178)*12.9898+(0)*78.233+Inputs!$C$47*37.719))*43758.5453)))-1))))/1000)))*1000/Inputs!$C$12)-Model_Data!F178)</f>
        <v>141.50481581423446</v>
      </c>
      <c r="L178" s="10"/>
      <c r="M178" s="9">
        <f>Model_Data!A178</f>
        <v>28</v>
      </c>
      <c r="N178" s="9">
        <f>Model_Data!P178</f>
        <v>-210.39182772307828</v>
      </c>
      <c r="O178" s="9">
        <f t="shared" si="4"/>
        <v>-252.80521474805937</v>
      </c>
      <c r="P178" s="9">
        <f>Model_Data!Q178</f>
        <v>-31.590364522984729</v>
      </c>
      <c r="Q178" s="9">
        <f t="shared" si="5"/>
        <v>-37.958740953162071</v>
      </c>
      <c r="R178" s="10"/>
      <c r="S178" s="9">
        <f>Model_Data!A178</f>
        <v>28</v>
      </c>
      <c r="T178" s="9">
        <f>Model_Data!B178-Inputs!$C$5</f>
        <v>0.8711111111111336</v>
      </c>
      <c r="U178" s="10"/>
      <c r="V178" s="9">
        <f>Model_Data!A178</f>
        <v>28</v>
      </c>
      <c r="W178" s="9">
        <f>((SQRT((Model_Data!A178)^2+Inputs!$C$6^2+Inputs!$C$5^2)-Inputs!$C$5)*1000/Inputs!$C$12)</f>
        <v>987.29745942652437</v>
      </c>
      <c r="X178" s="9">
        <f>Model_Data!F178</f>
        <v>985.1613715773758</v>
      </c>
      <c r="Y178" s="10"/>
      <c r="Z178" s="9">
        <f>Model_Data!A178</f>
        <v>28</v>
      </c>
      <c r="AA178" s="9">
        <f>SQRT((Model_Data!A178)^2+Inputs!$C$6^2+((Model_Data!B178)-((Inputs!$C$51*(115*EXP(-(((Inputs!$C$6)-25)^2)/(4.5^2))+70*EXP(-(((Inputs!$C$6)+38)^2)/(7^2))*(0.55+0.45*SIN(2*PI()*(Model_Data!A178)/45))+24*SIN(2*PI()*(Inputs!$C$6)/9+(Model_Data!A178)/18)*EXP(-(((Inputs!$C$6)+5)^2)/(22^2))+18*SIN(2*PI()*(Model_Data!A178)/70))+Inputs!$C$28*EXP(-(((Model_Data!A178)-Inputs!$C$29)^2)/(2*Inputs!$C$31^2))*EXP(-(((Inputs!$C$6)-Inputs!$C$30)^2)/(2*Inputs!$C$32^2))+-Inputs!$C$33*EXP(-(((((Model_Data!A178)-Inputs!$C$34)^2)+(((Inputs!$C$6)-Inputs!$C$35)^2))/(2*Inputs!$C$36^2)))+Inputs!$C$37*(0.55*SIN(2*PI()*(Model_Data!A178)/Inputs!$C$39)+0.35*COS(2*PI()*(Inputs!$C$6)/Inputs!$C$40)+0.2*SIN(2*PI()*((Model_Data!A178)+(Inputs!$C$6))/(0.5*(Inputs!$C$39+Inputs!$C$40))))+Inputs!$C$38*SIN(2*PI()*(Model_Data!A178)/Inputs!$C$39)*SIN(2*PI()*(Inputs!$C$6)/Inputs!$C$40)+-Inputs!$C$41*EXP(-(((Inputs!$C$6)-Inputs!$C$43)^2)/(2*Inputs!$C$44^2))*EXP(-(((Model_Data!A178)-Inputs!$C$42)^2)/(2*Inputs!$C$45^2))+Inputs!$C$48*(0.7*(0.45*SIN(2*PI()*(((Model_Data!A178)/Inputs!$C$49)+Inputs!$C$47*0.137))+0.35*COS(2*PI()*(((Inputs!$C$6)/Inputs!$C$50)+Inputs!$C$47*0.173))+0.2*SIN(2*PI()*(((Model_Data!A178)+(Inputs!$C$6))/(0.5*(Inputs!$C$49+Inputs!$C$50))+Inputs!$C$47*0.097)))+0.3*(2*((SIN(((Model_Data!A178)*12.9898+(Inputs!$C$6)*78.233+Inputs!$C$47*37.719))*43758.5453)-INT((SIN(((Model_Data!A178)*12.9898+(Inputs!$C$6)*78.233+Inputs!$C$47*37.719))*43758.5453)))-1))))/1000)^2)</f>
        <v>402.31387538859587</v>
      </c>
      <c r="AB178" s="9">
        <f>1000*(AA179-AA177)/(Z179-Z177)*Inputs!$C$11</f>
        <v>632.01303687014843</v>
      </c>
      <c r="AC178" s="9">
        <f>-2*AB178/Inputs!$C$13</f>
        <v>-252.80521474805937</v>
      </c>
      <c r="AD178" s="9">
        <f>-2*AB178/Inputs!$C$14</f>
        <v>-37.958740953162071</v>
      </c>
    </row>
    <row r="179" spans="1:30">
      <c r="A179" s="9">
        <f>Model_Data!A179</f>
        <v>28.5</v>
      </c>
      <c r="B179" s="9">
        <f>((SQRT((Model_Data!A179)^2+Inputs!$C$6^2+Inputs!$C$5^2)-Inputs!$C$5)*1000/Inputs!$C$12)</f>
        <v>1007.0482998120052</v>
      </c>
      <c r="C179" s="9">
        <f>Model_Data!F179</f>
        <v>1004.7913422626065</v>
      </c>
      <c r="D179" s="9">
        <f>(((SQRT((Model_Data!A179)^2+Inputs!$C$6^2+((Model_Data!B179)-((Inputs!$C$51*(115*EXP(-(((Inputs!$C$6)-25)^2)/(4.5^2))+70*EXP(-(((Inputs!$C$6)+38)^2)/(7^2))*(0.55+0.45*SIN(2*PI()*(Model_Data!A179)/45))+24*SIN(2*PI()*(Inputs!$C$6)/9+(Model_Data!A179)/18)*EXP(-(((Inputs!$C$6)+5)^2)/(22^2))+18*SIN(2*PI()*(Model_Data!A179)/70))+Inputs!$C$28*EXP(-(((Model_Data!A179)-Inputs!$C$29)^2)/(2*Inputs!$C$31^2))*EXP(-(((Inputs!$C$6)-Inputs!$C$30)^2)/(2*Inputs!$C$32^2))+-Inputs!$C$33*EXP(-(((((Model_Data!A179)-Inputs!$C$34)^2)+(((Inputs!$C$6)-Inputs!$C$35)^2))/(2*Inputs!$C$36^2)))+Inputs!$C$37*(0.55*SIN(2*PI()*(Model_Data!A179)/Inputs!$C$39)+0.35*COS(2*PI()*(Inputs!$C$6)/Inputs!$C$40)+0.2*SIN(2*PI()*((Model_Data!A179)+(Inputs!$C$6))/(0.5*(Inputs!$C$39+Inputs!$C$40))))+Inputs!$C$38*SIN(2*PI()*(Model_Data!A179)/Inputs!$C$39)*SIN(2*PI()*(Inputs!$C$6)/Inputs!$C$40)+-Inputs!$C$41*EXP(-(((Inputs!$C$6)-Inputs!$C$43)^2)/(2*Inputs!$C$44^2))*EXP(-(((Model_Data!A179)-Inputs!$C$42)^2)/(2*Inputs!$C$45^2))+Inputs!$C$48*(0.7*(0.45*SIN(2*PI()*(((Model_Data!A179)/Inputs!$C$49)+Inputs!$C$47*0.137))+0.35*COS(2*PI()*(((Inputs!$C$6)/Inputs!$C$50)+Inputs!$C$47*0.173))+0.2*SIN(2*PI()*(((Model_Data!A179)+(Inputs!$C$6))/(0.5*(Inputs!$C$49+Inputs!$C$50))+Inputs!$C$47*0.097)))+0.3*(2*((SIN(((Model_Data!A179)*12.9898+(Inputs!$C$6)*78.233+Inputs!$C$47*37.719))*43758.5453)-INT((SIN(((Model_Data!A179)*12.9898+(Inputs!$C$6)*78.233+Inputs!$C$47*37.719))*43758.5453)))-1))))/1000)^2))-(((Model_Data!B179)-((Inputs!$C$51*(115*EXP(-(((0)-25)^2)/(4.5^2))+70*EXP(-(((0)+38)^2)/(7^2))*(0.55+0.45*SIN(2*PI()*(Model_Data!A179)/45))+24*SIN(2*PI()*(0)/9+(Model_Data!A179)/18)*EXP(-(((0)+5)^2)/(22^2))+18*SIN(2*PI()*(Model_Data!A179)/70))+Inputs!$C$28*EXP(-(((Model_Data!A179)-Inputs!$C$29)^2)/(2*Inputs!$C$31^2))*EXP(-(((0)-Inputs!$C$30)^2)/(2*Inputs!$C$32^2))+-Inputs!$C$33*EXP(-(((((Model_Data!A179)-Inputs!$C$34)^2)+(((0)-Inputs!$C$35)^2))/(2*Inputs!$C$36^2)))+Inputs!$C$37*(0.55*SIN(2*PI()*(Model_Data!A179)/Inputs!$C$39)+0.35*COS(2*PI()*(0)/Inputs!$C$40)+0.2*SIN(2*PI()*((Model_Data!A179)+(0))/(0.5*(Inputs!$C$39+Inputs!$C$40))))+Inputs!$C$38*SIN(2*PI()*(Model_Data!A179)/Inputs!$C$39)*SIN(2*PI()*(0)/Inputs!$C$40)+-Inputs!$C$41*EXP(-(((0)-Inputs!$C$43)^2)/(2*Inputs!$C$44^2))*EXP(-(((Model_Data!A179)-Inputs!$C$42)^2)/(2*Inputs!$C$45^2))+Inputs!$C$48*(0.7*(0.45*SIN(2*PI()*(((Model_Data!A179)/Inputs!$C$49)+Inputs!$C$47*0.137))+0.35*COS(2*PI()*(((0)/Inputs!$C$50)+Inputs!$C$47*0.173))+0.2*SIN(2*PI()*(((Model_Data!A179)+(0))/(0.5*(Inputs!$C$49+Inputs!$C$50))+Inputs!$C$47*0.097)))+0.3*(2*((SIN(((Model_Data!A179)*12.9898+(0)*78.233+Inputs!$C$47*37.719))*43758.5453)-INT((SIN(((Model_Data!A179)*12.9898+(0)*78.233+Inputs!$C$47*37.719))*43758.5453)))-1))))/1000)))*1000/Inputs!$C$12)</f>
        <v>861.33125794001933</v>
      </c>
      <c r="E179" s="9">
        <f>Model_Data!A179</f>
        <v>28.5</v>
      </c>
      <c r="F179" s="9">
        <f>(Inputs!$C$51*(115*EXP(-(((Inputs!$C$6)-25)^2)/(4.5^2))+70*EXP(-(((Inputs!$C$6)+38)^2)/(7^2))*(0.55+0.45*SIN(2*PI()*(Model_Data!A179)/45))+24*SIN(2*PI()*(Inputs!$C$6)/9+(Model_Data!A179)/18)*EXP(-(((Inputs!$C$6)+5)^2)/(22^2))+18*SIN(2*PI()*(Model_Data!A179)/70))+Inputs!$C$28*EXP(-(((Model_Data!A179)-Inputs!$C$29)^2)/(2*Inputs!$C$31^2))*EXP(-(((Inputs!$C$6)-Inputs!$C$30)^2)/(2*Inputs!$C$32^2))+-Inputs!$C$33*EXP(-(((((Model_Data!A179)-Inputs!$C$34)^2)+(((Inputs!$C$6)-Inputs!$C$35)^2))/(2*Inputs!$C$36^2)))+Inputs!$C$37*(0.55*SIN(2*PI()*(Model_Data!A179)/Inputs!$C$39)+0.35*COS(2*PI()*(Inputs!$C$6)/Inputs!$C$40)+0.2*SIN(2*PI()*((Model_Data!A179)+(Inputs!$C$6))/(0.5*(Inputs!$C$39+Inputs!$C$40))))+Inputs!$C$38*SIN(2*PI()*(Model_Data!A179)/Inputs!$C$39)*SIN(2*PI()*(Inputs!$C$6)/Inputs!$C$40)+-Inputs!$C$41*EXP(-(((Inputs!$C$6)-Inputs!$C$43)^2)/(2*Inputs!$C$44^2))*EXP(-(((Model_Data!A179)-Inputs!$C$42)^2)/(2*Inputs!$C$45^2))+Inputs!$C$48*(0.7*(0.45*SIN(2*PI()*(((Model_Data!A179)/Inputs!$C$49)+Inputs!$C$47*0.137))+0.35*COS(2*PI()*(((Inputs!$C$6)/Inputs!$C$50)+Inputs!$C$47*0.173))+0.2*SIN(2*PI()*(((Model_Data!A179)+(Inputs!$C$6))/(0.5*(Inputs!$C$49+Inputs!$C$50))+Inputs!$C$47*0.097)))+0.3*(2*((SIN(((Model_Data!A179)*12.9898+(Inputs!$C$6)*78.233+Inputs!$C$47*37.719))*43758.5453)-INT((SIN(((Model_Data!A179)*12.9898+(Inputs!$C$6)*78.233+Inputs!$C$47*37.719))*43758.5453)))-1)))</f>
        <v>310.46598665119308</v>
      </c>
      <c r="G179" s="9">
        <f>(Inputs!$C$51*(115*EXP(-(((0)-25)^2)/(4.5^2))+70*EXP(-(((0)+38)^2)/(7^2))*(0.55+0.45*SIN(2*PI()*(Model_Data!A179)/45))+24*SIN(2*PI()*(0)/9+(Model_Data!A179)/18)*EXP(-(((0)+5)^2)/(22^2))+18*SIN(2*PI()*(Model_Data!A179)/70))+Inputs!$C$28*EXP(-(((Model_Data!A179)-Inputs!$C$29)^2)/(2*Inputs!$C$31^2))*EXP(-(((0)-Inputs!$C$30)^2)/(2*Inputs!$C$32^2))+-Inputs!$C$33*EXP(-(((((Model_Data!A179)-Inputs!$C$34)^2)+(((0)-Inputs!$C$35)^2))/(2*Inputs!$C$36^2)))+Inputs!$C$37*(0.55*SIN(2*PI()*(Model_Data!A179)/Inputs!$C$39)+0.35*COS(2*PI()*(0)/Inputs!$C$40)+0.2*SIN(2*PI()*((Model_Data!A179)+(0))/(0.5*(Inputs!$C$39+Inputs!$C$40))))+Inputs!$C$38*SIN(2*PI()*(Model_Data!A179)/Inputs!$C$39)*SIN(2*PI()*(0)/Inputs!$C$40)+-Inputs!$C$41*EXP(-(((0)-Inputs!$C$43)^2)/(2*Inputs!$C$44^2))*EXP(-(((Model_Data!A179)-Inputs!$C$42)^2)/(2*Inputs!$C$45^2))+Inputs!$C$48*(0.7*(0.45*SIN(2*PI()*(((Model_Data!A179)/Inputs!$C$49)+Inputs!$C$47*0.137))+0.35*COS(2*PI()*(((0)/Inputs!$C$50)+Inputs!$C$47*0.173))+0.2*SIN(2*PI()*(((Model_Data!A179)+(0))/(0.5*(Inputs!$C$49+Inputs!$C$50))+Inputs!$C$47*0.097)))+0.3*(2*((SIN(((Model_Data!A179)*12.9898+(0)*78.233+Inputs!$C$47*37.719))*43758.5453)-INT((SIN(((Model_Data!A179)*12.9898+(0)*78.233+Inputs!$C$47*37.719))*43758.5453)))-1)))</f>
        <v>53.727058514925652</v>
      </c>
      <c r="H179" s="10"/>
      <c r="I179" s="9">
        <f>Model_Data!A179</f>
        <v>28.5</v>
      </c>
      <c r="J179" s="9">
        <f>(Inputs!$C$51*(115*EXP(-(((Inputs!$C$6)-25)^2)/(4.5^2))+70*EXP(-(((Inputs!$C$6)+38)^2)/(7^2))*(0.55+0.45*SIN(2*PI()*(Model_Data!A179)/45))+24*SIN(2*PI()*(Inputs!$C$6)/9+(Model_Data!A179)/18)*EXP(-(((Inputs!$C$6)+5)^2)/(22^2))+18*SIN(2*PI()*(Model_Data!A179)/70))+Inputs!$C$28*EXP(-(((Model_Data!A179)-Inputs!$C$29)^2)/(2*Inputs!$C$31^2))*EXP(-(((Inputs!$C$6)-Inputs!$C$30)^2)/(2*Inputs!$C$32^2))+-Inputs!$C$33*EXP(-(((((Model_Data!A179)-Inputs!$C$34)^2)+(((Inputs!$C$6)-Inputs!$C$35)^2))/(2*Inputs!$C$36^2)))+Inputs!$C$37*(0.55*SIN(2*PI()*(Model_Data!A179)/Inputs!$C$39)+0.35*COS(2*PI()*(Inputs!$C$6)/Inputs!$C$40)+0.2*SIN(2*PI()*((Model_Data!A179)+(Inputs!$C$6))/(0.5*(Inputs!$C$39+Inputs!$C$40))))+Inputs!$C$38*SIN(2*PI()*(Model_Data!A179)/Inputs!$C$39)*SIN(2*PI()*(Inputs!$C$6)/Inputs!$C$40)+-Inputs!$C$41*EXP(-(((Inputs!$C$6)-Inputs!$C$43)^2)/(2*Inputs!$C$44^2))*EXP(-(((Model_Data!A179)-Inputs!$C$42)^2)/(2*Inputs!$C$45^2))+Inputs!$C$48*(0.7*(0.45*SIN(2*PI()*(((Model_Data!A179)/Inputs!$C$49)+Inputs!$C$47*0.137))+0.35*COS(2*PI()*(((Inputs!$C$6)/Inputs!$C$50)+Inputs!$C$47*0.173))+0.2*SIN(2*PI()*(((Model_Data!A179)+(Inputs!$C$6))/(0.5*(Inputs!$C$49+Inputs!$C$50))+Inputs!$C$47*0.097)))+0.3*(2*((SIN(((Model_Data!A179)*12.9898+(Inputs!$C$6)*78.233+Inputs!$C$47*37.719))*43758.5453)-INT((SIN(((Model_Data!A179)*12.9898+(Inputs!$C$6)*78.233+Inputs!$C$47*37.719))*43758.5453)))-1)))</f>
        <v>310.46598665119308</v>
      </c>
      <c r="K179" s="9">
        <f>-((((SQRT((Model_Data!A179)^2+Inputs!$C$6^2+((Model_Data!B179)-((Inputs!$C$51*(115*EXP(-(((Inputs!$C$6)-25)^2)/(4.5^2))+70*EXP(-(((Inputs!$C$6)+38)^2)/(7^2))*(0.55+0.45*SIN(2*PI()*(Model_Data!A179)/45))+24*SIN(2*PI()*(Inputs!$C$6)/9+(Model_Data!A179)/18)*EXP(-(((Inputs!$C$6)+5)^2)/(22^2))+18*SIN(2*PI()*(Model_Data!A179)/70))+Inputs!$C$28*EXP(-(((Model_Data!A179)-Inputs!$C$29)^2)/(2*Inputs!$C$31^2))*EXP(-(((Inputs!$C$6)-Inputs!$C$30)^2)/(2*Inputs!$C$32^2))+-Inputs!$C$33*EXP(-(((((Model_Data!A179)-Inputs!$C$34)^2)+(((Inputs!$C$6)-Inputs!$C$35)^2))/(2*Inputs!$C$36^2)))+Inputs!$C$37*(0.55*SIN(2*PI()*(Model_Data!A179)/Inputs!$C$39)+0.35*COS(2*PI()*(Inputs!$C$6)/Inputs!$C$40)+0.2*SIN(2*PI()*((Model_Data!A179)+(Inputs!$C$6))/(0.5*(Inputs!$C$39+Inputs!$C$40))))+Inputs!$C$38*SIN(2*PI()*(Model_Data!A179)/Inputs!$C$39)*SIN(2*PI()*(Inputs!$C$6)/Inputs!$C$40)+-Inputs!$C$41*EXP(-(((Inputs!$C$6)-Inputs!$C$43)^2)/(2*Inputs!$C$44^2))*EXP(-(((Model_Data!A179)-Inputs!$C$42)^2)/(2*Inputs!$C$45^2))+Inputs!$C$48*(0.7*(0.45*SIN(2*PI()*(((Model_Data!A179)/Inputs!$C$49)+Inputs!$C$47*0.137))+0.35*COS(2*PI()*(((Inputs!$C$6)/Inputs!$C$50)+Inputs!$C$47*0.173))+0.2*SIN(2*PI()*(((Model_Data!A179)+(Inputs!$C$6))/(0.5*(Inputs!$C$49+Inputs!$C$50))+Inputs!$C$47*0.097)))+0.3*(2*((SIN(((Model_Data!A179)*12.9898+(Inputs!$C$6)*78.233+Inputs!$C$47*37.719))*43758.5453)-INT((SIN(((Model_Data!A179)*12.9898+(Inputs!$C$6)*78.233+Inputs!$C$47*37.719))*43758.5453)))-1))))/1000)^2))-(((Model_Data!B179)-((Inputs!$C$51*(115*EXP(-(((0)-25)^2)/(4.5^2))+70*EXP(-(((0)+38)^2)/(7^2))*(0.55+0.45*SIN(2*PI()*(Model_Data!A179)/45))+24*SIN(2*PI()*(0)/9+(Model_Data!A179)/18)*EXP(-(((0)+5)^2)/(22^2))+18*SIN(2*PI()*(Model_Data!A179)/70))+Inputs!$C$28*EXP(-(((Model_Data!A179)-Inputs!$C$29)^2)/(2*Inputs!$C$31^2))*EXP(-(((0)-Inputs!$C$30)^2)/(2*Inputs!$C$32^2))+-Inputs!$C$33*EXP(-(((((Model_Data!A179)-Inputs!$C$34)^2)+(((0)-Inputs!$C$35)^2))/(2*Inputs!$C$36^2)))+Inputs!$C$37*(0.55*SIN(2*PI()*(Model_Data!A179)/Inputs!$C$39)+0.35*COS(2*PI()*(0)/Inputs!$C$40)+0.2*SIN(2*PI()*((Model_Data!A179)+(0))/(0.5*(Inputs!$C$39+Inputs!$C$40))))+Inputs!$C$38*SIN(2*PI()*(Model_Data!A179)/Inputs!$C$39)*SIN(2*PI()*(0)/Inputs!$C$40)+-Inputs!$C$41*EXP(-(((0)-Inputs!$C$43)^2)/(2*Inputs!$C$44^2))*EXP(-(((Model_Data!A179)-Inputs!$C$42)^2)/(2*Inputs!$C$45^2))+Inputs!$C$48*(0.7*(0.45*SIN(2*PI()*(((Model_Data!A179)/Inputs!$C$49)+Inputs!$C$47*0.137))+0.35*COS(2*PI()*(((0)/Inputs!$C$50)+Inputs!$C$47*0.173))+0.2*SIN(2*PI()*(((Model_Data!A179)+(0))/(0.5*(Inputs!$C$49+Inputs!$C$50))+Inputs!$C$47*0.097)))+0.3*(2*((SIN(((Model_Data!A179)*12.9898+(0)*78.233+Inputs!$C$47*37.719))*43758.5453)-INT((SIN(((Model_Data!A179)*12.9898+(0)*78.233+Inputs!$C$47*37.719))*43758.5453)))-1))))/1000)))*1000/Inputs!$C$12)-Model_Data!F179)</f>
        <v>143.46008432258714</v>
      </c>
      <c r="L179" s="10"/>
      <c r="M179" s="9">
        <f>Model_Data!A179</f>
        <v>28.5</v>
      </c>
      <c r="N179" s="9">
        <f>Model_Data!P179</f>
        <v>-214.12144931249978</v>
      </c>
      <c r="O179" s="9">
        <f t="shared" si="4"/>
        <v>-259.12649369356586</v>
      </c>
      <c r="P179" s="9">
        <f>Model_Data!Q179</f>
        <v>-32.150367764639611</v>
      </c>
      <c r="Q179" s="9">
        <f t="shared" si="5"/>
        <v>-38.907881935970856</v>
      </c>
      <c r="R179" s="10"/>
      <c r="S179" s="9">
        <f>Model_Data!A179</f>
        <v>28.5</v>
      </c>
      <c r="T179" s="9">
        <f>Model_Data!B179-Inputs!$C$5</f>
        <v>0.90249999999997499</v>
      </c>
      <c r="U179" s="10"/>
      <c r="V179" s="9">
        <f>Model_Data!A179</f>
        <v>28.5</v>
      </c>
      <c r="W179" s="9">
        <f>((SQRT((Model_Data!A179)^2+Inputs!$C$6^2+Inputs!$C$5^2)-Inputs!$C$5)*1000/Inputs!$C$12)</f>
        <v>1007.0482998120052</v>
      </c>
      <c r="X179" s="9">
        <f>Model_Data!F179</f>
        <v>1004.7913422626065</v>
      </c>
      <c r="Y179" s="10"/>
      <c r="Z179" s="9">
        <f>Model_Data!A179</f>
        <v>28.5</v>
      </c>
      <c r="AA179" s="9">
        <f>SQRT((Model_Data!A179)^2+Inputs!$C$6^2+((Model_Data!B179)-((Inputs!$C$51*(115*EXP(-(((Inputs!$C$6)-25)^2)/(4.5^2))+70*EXP(-(((Inputs!$C$6)+38)^2)/(7^2))*(0.55+0.45*SIN(2*PI()*(Model_Data!A179)/45))+24*SIN(2*PI()*(Inputs!$C$6)/9+(Model_Data!A179)/18)*EXP(-(((Inputs!$C$6)+5)^2)/(22^2))+18*SIN(2*PI()*(Model_Data!A179)/70))+Inputs!$C$28*EXP(-(((Model_Data!A179)-Inputs!$C$29)^2)/(2*Inputs!$C$31^2))*EXP(-(((Inputs!$C$6)-Inputs!$C$30)^2)/(2*Inputs!$C$32^2))+-Inputs!$C$33*EXP(-(((((Model_Data!A179)-Inputs!$C$34)^2)+(((Inputs!$C$6)-Inputs!$C$35)^2))/(2*Inputs!$C$36^2)))+Inputs!$C$37*(0.55*SIN(2*PI()*(Model_Data!A179)/Inputs!$C$39)+0.35*COS(2*PI()*(Inputs!$C$6)/Inputs!$C$40)+0.2*SIN(2*PI()*((Model_Data!A179)+(Inputs!$C$6))/(0.5*(Inputs!$C$39+Inputs!$C$40))))+Inputs!$C$38*SIN(2*PI()*(Model_Data!A179)/Inputs!$C$39)*SIN(2*PI()*(Inputs!$C$6)/Inputs!$C$40)+-Inputs!$C$41*EXP(-(((Inputs!$C$6)-Inputs!$C$43)^2)/(2*Inputs!$C$44^2))*EXP(-(((Model_Data!A179)-Inputs!$C$42)^2)/(2*Inputs!$C$45^2))+Inputs!$C$48*(0.7*(0.45*SIN(2*PI()*(((Model_Data!A179)/Inputs!$C$49)+Inputs!$C$47*0.137))+0.35*COS(2*PI()*(((Inputs!$C$6)/Inputs!$C$50)+Inputs!$C$47*0.173))+0.2*SIN(2*PI()*(((Model_Data!A179)+(Inputs!$C$6))/(0.5*(Inputs!$C$49+Inputs!$C$50))+Inputs!$C$47*0.097)))+0.3*(2*((SIN(((Model_Data!A179)*12.9898+(Inputs!$C$6)*78.233+Inputs!$C$47*37.719))*43758.5453)-INT((SIN(((Model_Data!A179)*12.9898+(Inputs!$C$6)*78.233+Inputs!$C$47*37.719))*43758.5453)))-1))))/1000)^2)</f>
        <v>402.38194258061827</v>
      </c>
      <c r="AB179" s="9">
        <f>1000*(AA180-AA178)/(Z180-Z178)*Inputs!$C$11</f>
        <v>647.81623423391466</v>
      </c>
      <c r="AC179" s="9">
        <f>-2*AB179/Inputs!$C$13</f>
        <v>-259.12649369356586</v>
      </c>
      <c r="AD179" s="9">
        <f>-2*AB179/Inputs!$C$14</f>
        <v>-38.907881935970856</v>
      </c>
    </row>
    <row r="180" spans="1:30">
      <c r="A180" s="9">
        <f>Model_Data!A180</f>
        <v>29</v>
      </c>
      <c r="B180" s="9">
        <f>((SQRT((Model_Data!A180)^2+Inputs!$C$6^2+Inputs!$C$5^2)-Inputs!$C$5)*1000/Inputs!$C$12)</f>
        <v>1027.146938418826</v>
      </c>
      <c r="C180" s="9">
        <f>Model_Data!F180</f>
        <v>1024.763856153882</v>
      </c>
      <c r="D180" s="9">
        <f>(((SQRT((Model_Data!A180)^2+Inputs!$C$6^2+((Model_Data!B180)-((Inputs!$C$51*(115*EXP(-(((Inputs!$C$6)-25)^2)/(4.5^2))+70*EXP(-(((Inputs!$C$6)+38)^2)/(7^2))*(0.55+0.45*SIN(2*PI()*(Model_Data!A180)/45))+24*SIN(2*PI()*(Inputs!$C$6)/9+(Model_Data!A180)/18)*EXP(-(((Inputs!$C$6)+5)^2)/(22^2))+18*SIN(2*PI()*(Model_Data!A180)/70))+Inputs!$C$28*EXP(-(((Model_Data!A180)-Inputs!$C$29)^2)/(2*Inputs!$C$31^2))*EXP(-(((Inputs!$C$6)-Inputs!$C$30)^2)/(2*Inputs!$C$32^2))+-Inputs!$C$33*EXP(-(((((Model_Data!A180)-Inputs!$C$34)^2)+(((Inputs!$C$6)-Inputs!$C$35)^2))/(2*Inputs!$C$36^2)))+Inputs!$C$37*(0.55*SIN(2*PI()*(Model_Data!A180)/Inputs!$C$39)+0.35*COS(2*PI()*(Inputs!$C$6)/Inputs!$C$40)+0.2*SIN(2*PI()*((Model_Data!A180)+(Inputs!$C$6))/(0.5*(Inputs!$C$39+Inputs!$C$40))))+Inputs!$C$38*SIN(2*PI()*(Model_Data!A180)/Inputs!$C$39)*SIN(2*PI()*(Inputs!$C$6)/Inputs!$C$40)+-Inputs!$C$41*EXP(-(((Inputs!$C$6)-Inputs!$C$43)^2)/(2*Inputs!$C$44^2))*EXP(-(((Model_Data!A180)-Inputs!$C$42)^2)/(2*Inputs!$C$45^2))+Inputs!$C$48*(0.7*(0.45*SIN(2*PI()*(((Model_Data!A180)/Inputs!$C$49)+Inputs!$C$47*0.137))+0.35*COS(2*PI()*(((Inputs!$C$6)/Inputs!$C$50)+Inputs!$C$47*0.173))+0.2*SIN(2*PI()*(((Model_Data!A180)+(Inputs!$C$6))/(0.5*(Inputs!$C$49+Inputs!$C$50))+Inputs!$C$47*0.097)))+0.3*(2*((SIN(((Model_Data!A180)*12.9898+(Inputs!$C$6)*78.233+Inputs!$C$47*37.719))*43758.5453)-INT((SIN(((Model_Data!A180)*12.9898+(Inputs!$C$6)*78.233+Inputs!$C$47*37.719))*43758.5453)))-1))))/1000)^2))-(((Model_Data!B180)-((Inputs!$C$51*(115*EXP(-(((0)-25)^2)/(4.5^2))+70*EXP(-(((0)+38)^2)/(7^2))*(0.55+0.45*SIN(2*PI()*(Model_Data!A180)/45))+24*SIN(2*PI()*(0)/9+(Model_Data!A180)/18)*EXP(-(((0)+5)^2)/(22^2))+18*SIN(2*PI()*(Model_Data!A180)/70))+Inputs!$C$28*EXP(-(((Model_Data!A180)-Inputs!$C$29)^2)/(2*Inputs!$C$31^2))*EXP(-(((0)-Inputs!$C$30)^2)/(2*Inputs!$C$32^2))+-Inputs!$C$33*EXP(-(((((Model_Data!A180)-Inputs!$C$34)^2)+(((0)-Inputs!$C$35)^2))/(2*Inputs!$C$36^2)))+Inputs!$C$37*(0.55*SIN(2*PI()*(Model_Data!A180)/Inputs!$C$39)+0.35*COS(2*PI()*(0)/Inputs!$C$40)+0.2*SIN(2*PI()*((Model_Data!A180)+(0))/(0.5*(Inputs!$C$39+Inputs!$C$40))))+Inputs!$C$38*SIN(2*PI()*(Model_Data!A180)/Inputs!$C$39)*SIN(2*PI()*(0)/Inputs!$C$40)+-Inputs!$C$41*EXP(-(((0)-Inputs!$C$43)^2)/(2*Inputs!$C$44^2))*EXP(-(((Model_Data!A180)-Inputs!$C$42)^2)/(2*Inputs!$C$45^2))+Inputs!$C$48*(0.7*(0.45*SIN(2*PI()*(((Model_Data!A180)/Inputs!$C$49)+Inputs!$C$47*0.137))+0.35*COS(2*PI()*(((0)/Inputs!$C$50)+Inputs!$C$47*0.173))+0.2*SIN(2*PI()*(((Model_Data!A180)+(0))/(0.5*(Inputs!$C$49+Inputs!$C$50))+Inputs!$C$47*0.097)))+0.3*(2*((SIN(((Model_Data!A180)*12.9898+(0)*78.233+Inputs!$C$47*37.719))*43758.5453)-INT((SIN(((Model_Data!A180)*12.9898+(0)*78.233+Inputs!$C$47*37.719))*43758.5453)))-1))))/1000)))*1000/Inputs!$C$12)</f>
        <v>882.44222489068306</v>
      </c>
      <c r="E180" s="9">
        <f>Model_Data!A180</f>
        <v>29</v>
      </c>
      <c r="F180" s="9">
        <f>(Inputs!$C$51*(115*EXP(-(((Inputs!$C$6)-25)^2)/(4.5^2))+70*EXP(-(((Inputs!$C$6)+38)^2)/(7^2))*(0.55+0.45*SIN(2*PI()*(Model_Data!A180)/45))+24*SIN(2*PI()*(Inputs!$C$6)/9+(Model_Data!A180)/18)*EXP(-(((Inputs!$C$6)+5)^2)/(22^2))+18*SIN(2*PI()*(Model_Data!A180)/70))+Inputs!$C$28*EXP(-(((Model_Data!A180)-Inputs!$C$29)^2)/(2*Inputs!$C$31^2))*EXP(-(((Inputs!$C$6)-Inputs!$C$30)^2)/(2*Inputs!$C$32^2))+-Inputs!$C$33*EXP(-(((((Model_Data!A180)-Inputs!$C$34)^2)+(((Inputs!$C$6)-Inputs!$C$35)^2))/(2*Inputs!$C$36^2)))+Inputs!$C$37*(0.55*SIN(2*PI()*(Model_Data!A180)/Inputs!$C$39)+0.35*COS(2*PI()*(Inputs!$C$6)/Inputs!$C$40)+0.2*SIN(2*PI()*((Model_Data!A180)+(Inputs!$C$6))/(0.5*(Inputs!$C$39+Inputs!$C$40))))+Inputs!$C$38*SIN(2*PI()*(Model_Data!A180)/Inputs!$C$39)*SIN(2*PI()*(Inputs!$C$6)/Inputs!$C$40)+-Inputs!$C$41*EXP(-(((Inputs!$C$6)-Inputs!$C$43)^2)/(2*Inputs!$C$44^2))*EXP(-(((Model_Data!A180)-Inputs!$C$42)^2)/(2*Inputs!$C$45^2))+Inputs!$C$48*(0.7*(0.45*SIN(2*PI()*(((Model_Data!A180)/Inputs!$C$49)+Inputs!$C$47*0.137))+0.35*COS(2*PI()*(((Inputs!$C$6)/Inputs!$C$50)+Inputs!$C$47*0.173))+0.2*SIN(2*PI()*(((Model_Data!A180)+(Inputs!$C$6))/(0.5*(Inputs!$C$49+Inputs!$C$50))+Inputs!$C$47*0.097)))+0.3*(2*((SIN(((Model_Data!A180)*12.9898+(Inputs!$C$6)*78.233+Inputs!$C$47*37.719))*43758.5453)-INT((SIN(((Model_Data!A180)*12.9898+(Inputs!$C$6)*78.233+Inputs!$C$47*37.719))*43758.5453)))-1)))</f>
        <v>283.98171018669603</v>
      </c>
      <c r="G180" s="9">
        <f>(Inputs!$C$51*(115*EXP(-(((0)-25)^2)/(4.5^2))+70*EXP(-(((0)+38)^2)/(7^2))*(0.55+0.45*SIN(2*PI()*(Model_Data!A180)/45))+24*SIN(2*PI()*(0)/9+(Model_Data!A180)/18)*EXP(-(((0)+5)^2)/(22^2))+18*SIN(2*PI()*(Model_Data!A180)/70))+Inputs!$C$28*EXP(-(((Model_Data!A180)-Inputs!$C$29)^2)/(2*Inputs!$C$31^2))*EXP(-(((0)-Inputs!$C$30)^2)/(2*Inputs!$C$32^2))+-Inputs!$C$33*EXP(-(((((Model_Data!A180)-Inputs!$C$34)^2)+(((0)-Inputs!$C$35)^2))/(2*Inputs!$C$36^2)))+Inputs!$C$37*(0.55*SIN(2*PI()*(Model_Data!A180)/Inputs!$C$39)+0.35*COS(2*PI()*(0)/Inputs!$C$40)+0.2*SIN(2*PI()*((Model_Data!A180)+(0))/(0.5*(Inputs!$C$39+Inputs!$C$40))))+Inputs!$C$38*SIN(2*PI()*(Model_Data!A180)/Inputs!$C$39)*SIN(2*PI()*(0)/Inputs!$C$40)+-Inputs!$C$41*EXP(-(((0)-Inputs!$C$43)^2)/(2*Inputs!$C$44^2))*EXP(-(((Model_Data!A180)-Inputs!$C$42)^2)/(2*Inputs!$C$45^2))+Inputs!$C$48*(0.7*(0.45*SIN(2*PI()*(((Model_Data!A180)/Inputs!$C$49)+Inputs!$C$47*0.137))+0.35*COS(2*PI()*(((0)/Inputs!$C$50)+Inputs!$C$47*0.173))+0.2*SIN(2*PI()*(((Model_Data!A180)+(0))/(0.5*(Inputs!$C$49+Inputs!$C$50))+Inputs!$C$47*0.097)))+0.3*(2*((SIN(((Model_Data!A180)*12.9898+(0)*78.233+Inputs!$C$47*37.719))*43758.5453)-INT((SIN(((Model_Data!A180)*12.9898+(0)*78.233+Inputs!$C$47*37.719))*43758.5453)))-1)))</f>
        <v>29.3621575955436</v>
      </c>
      <c r="H180" s="10"/>
      <c r="I180" s="9">
        <f>Model_Data!A180</f>
        <v>29</v>
      </c>
      <c r="J180" s="9">
        <f>(Inputs!$C$51*(115*EXP(-(((Inputs!$C$6)-25)^2)/(4.5^2))+70*EXP(-(((Inputs!$C$6)+38)^2)/(7^2))*(0.55+0.45*SIN(2*PI()*(Model_Data!A180)/45))+24*SIN(2*PI()*(Inputs!$C$6)/9+(Model_Data!A180)/18)*EXP(-(((Inputs!$C$6)+5)^2)/(22^2))+18*SIN(2*PI()*(Model_Data!A180)/70))+Inputs!$C$28*EXP(-(((Model_Data!A180)-Inputs!$C$29)^2)/(2*Inputs!$C$31^2))*EXP(-(((Inputs!$C$6)-Inputs!$C$30)^2)/(2*Inputs!$C$32^2))+-Inputs!$C$33*EXP(-(((((Model_Data!A180)-Inputs!$C$34)^2)+(((Inputs!$C$6)-Inputs!$C$35)^2))/(2*Inputs!$C$36^2)))+Inputs!$C$37*(0.55*SIN(2*PI()*(Model_Data!A180)/Inputs!$C$39)+0.35*COS(2*PI()*(Inputs!$C$6)/Inputs!$C$40)+0.2*SIN(2*PI()*((Model_Data!A180)+(Inputs!$C$6))/(0.5*(Inputs!$C$39+Inputs!$C$40))))+Inputs!$C$38*SIN(2*PI()*(Model_Data!A180)/Inputs!$C$39)*SIN(2*PI()*(Inputs!$C$6)/Inputs!$C$40)+-Inputs!$C$41*EXP(-(((Inputs!$C$6)-Inputs!$C$43)^2)/(2*Inputs!$C$44^2))*EXP(-(((Model_Data!A180)-Inputs!$C$42)^2)/(2*Inputs!$C$45^2))+Inputs!$C$48*(0.7*(0.45*SIN(2*PI()*(((Model_Data!A180)/Inputs!$C$49)+Inputs!$C$47*0.137))+0.35*COS(2*PI()*(((Inputs!$C$6)/Inputs!$C$50)+Inputs!$C$47*0.173))+0.2*SIN(2*PI()*(((Model_Data!A180)+(Inputs!$C$6))/(0.5*(Inputs!$C$49+Inputs!$C$50))+Inputs!$C$47*0.097)))+0.3*(2*((SIN(((Model_Data!A180)*12.9898+(Inputs!$C$6)*78.233+Inputs!$C$47*37.719))*43758.5453)-INT((SIN(((Model_Data!A180)*12.9898+(Inputs!$C$6)*78.233+Inputs!$C$47*37.719))*43758.5453)))-1)))</f>
        <v>283.98171018669603</v>
      </c>
      <c r="K180" s="9">
        <f>-((((SQRT((Model_Data!A180)^2+Inputs!$C$6^2+((Model_Data!B180)-((Inputs!$C$51*(115*EXP(-(((Inputs!$C$6)-25)^2)/(4.5^2))+70*EXP(-(((Inputs!$C$6)+38)^2)/(7^2))*(0.55+0.45*SIN(2*PI()*(Model_Data!A180)/45))+24*SIN(2*PI()*(Inputs!$C$6)/9+(Model_Data!A180)/18)*EXP(-(((Inputs!$C$6)+5)^2)/(22^2))+18*SIN(2*PI()*(Model_Data!A180)/70))+Inputs!$C$28*EXP(-(((Model_Data!A180)-Inputs!$C$29)^2)/(2*Inputs!$C$31^2))*EXP(-(((Inputs!$C$6)-Inputs!$C$30)^2)/(2*Inputs!$C$32^2))+-Inputs!$C$33*EXP(-(((((Model_Data!A180)-Inputs!$C$34)^2)+(((Inputs!$C$6)-Inputs!$C$35)^2))/(2*Inputs!$C$36^2)))+Inputs!$C$37*(0.55*SIN(2*PI()*(Model_Data!A180)/Inputs!$C$39)+0.35*COS(2*PI()*(Inputs!$C$6)/Inputs!$C$40)+0.2*SIN(2*PI()*((Model_Data!A180)+(Inputs!$C$6))/(0.5*(Inputs!$C$39+Inputs!$C$40))))+Inputs!$C$38*SIN(2*PI()*(Model_Data!A180)/Inputs!$C$39)*SIN(2*PI()*(Inputs!$C$6)/Inputs!$C$40)+-Inputs!$C$41*EXP(-(((Inputs!$C$6)-Inputs!$C$43)^2)/(2*Inputs!$C$44^2))*EXP(-(((Model_Data!A180)-Inputs!$C$42)^2)/(2*Inputs!$C$45^2))+Inputs!$C$48*(0.7*(0.45*SIN(2*PI()*(((Model_Data!A180)/Inputs!$C$49)+Inputs!$C$47*0.137))+0.35*COS(2*PI()*(((Inputs!$C$6)/Inputs!$C$50)+Inputs!$C$47*0.173))+0.2*SIN(2*PI()*(((Model_Data!A180)+(Inputs!$C$6))/(0.5*(Inputs!$C$49+Inputs!$C$50))+Inputs!$C$47*0.097)))+0.3*(2*((SIN(((Model_Data!A180)*12.9898+(Inputs!$C$6)*78.233+Inputs!$C$47*37.719))*43758.5453)-INT((SIN(((Model_Data!A180)*12.9898+(Inputs!$C$6)*78.233+Inputs!$C$47*37.719))*43758.5453)))-1))))/1000)^2))-(((Model_Data!B180)-((Inputs!$C$51*(115*EXP(-(((0)-25)^2)/(4.5^2))+70*EXP(-(((0)+38)^2)/(7^2))*(0.55+0.45*SIN(2*PI()*(Model_Data!A180)/45))+24*SIN(2*PI()*(0)/9+(Model_Data!A180)/18)*EXP(-(((0)+5)^2)/(22^2))+18*SIN(2*PI()*(Model_Data!A180)/70))+Inputs!$C$28*EXP(-(((Model_Data!A180)-Inputs!$C$29)^2)/(2*Inputs!$C$31^2))*EXP(-(((0)-Inputs!$C$30)^2)/(2*Inputs!$C$32^2))+-Inputs!$C$33*EXP(-(((((Model_Data!A180)-Inputs!$C$34)^2)+(((0)-Inputs!$C$35)^2))/(2*Inputs!$C$36^2)))+Inputs!$C$37*(0.55*SIN(2*PI()*(Model_Data!A180)/Inputs!$C$39)+0.35*COS(2*PI()*(0)/Inputs!$C$40)+0.2*SIN(2*PI()*((Model_Data!A180)+(0))/(0.5*(Inputs!$C$39+Inputs!$C$40))))+Inputs!$C$38*SIN(2*PI()*(Model_Data!A180)/Inputs!$C$39)*SIN(2*PI()*(0)/Inputs!$C$40)+-Inputs!$C$41*EXP(-(((0)-Inputs!$C$43)^2)/(2*Inputs!$C$44^2))*EXP(-(((Model_Data!A180)-Inputs!$C$42)^2)/(2*Inputs!$C$45^2))+Inputs!$C$48*(0.7*(0.45*SIN(2*PI()*(((Model_Data!A180)/Inputs!$C$49)+Inputs!$C$47*0.137))+0.35*COS(2*PI()*(((0)/Inputs!$C$50)+Inputs!$C$47*0.173))+0.2*SIN(2*PI()*(((Model_Data!A180)+(0))/(0.5*(Inputs!$C$49+Inputs!$C$50))+Inputs!$C$47*0.097)))+0.3*(2*((SIN(((Model_Data!A180)*12.9898+(0)*78.233+Inputs!$C$47*37.719))*43758.5453)-INT((SIN(((Model_Data!A180)*12.9898+(0)*78.233+Inputs!$C$47*37.719))*43758.5453)))-1))))/1000)))*1000/Inputs!$C$12)-Model_Data!F180)</f>
        <v>142.32163126319892</v>
      </c>
      <c r="L180" s="10"/>
      <c r="M180" s="9">
        <f>Model_Data!A180</f>
        <v>29</v>
      </c>
      <c r="N180" s="9">
        <f>Model_Data!P180</f>
        <v>-217.849631472401</v>
      </c>
      <c r="O180" s="9">
        <f t="shared" si="4"/>
        <v>-292.69593269546021</v>
      </c>
      <c r="P180" s="9">
        <f>Model_Data!Q180</f>
        <v>-32.710154875735888</v>
      </c>
      <c r="Q180" s="9">
        <f t="shared" si="5"/>
        <v>-43.948338242561597</v>
      </c>
      <c r="R180" s="10"/>
      <c r="S180" s="9">
        <f>Model_Data!A180</f>
        <v>29</v>
      </c>
      <c r="T180" s="9">
        <f>Model_Data!B180-Inputs!$C$5</f>
        <v>0.93444444444446617</v>
      </c>
      <c r="U180" s="10"/>
      <c r="V180" s="9">
        <f>Model_Data!A180</f>
        <v>29</v>
      </c>
      <c r="W180" s="9">
        <f>((SQRT((Model_Data!A180)^2+Inputs!$C$6^2+Inputs!$C$5^2)-Inputs!$C$5)*1000/Inputs!$C$12)</f>
        <v>1027.146938418826</v>
      </c>
      <c r="X180" s="9">
        <f>Model_Data!F180</f>
        <v>1024.763856153882</v>
      </c>
      <c r="Y180" s="10"/>
      <c r="Z180" s="9">
        <f>Model_Data!A180</f>
        <v>29</v>
      </c>
      <c r="AA180" s="9">
        <f>SQRT((Model_Data!A180)^2+Inputs!$C$6^2+((Model_Data!B180)-((Inputs!$C$51*(115*EXP(-(((Inputs!$C$6)-25)^2)/(4.5^2))+70*EXP(-(((Inputs!$C$6)+38)^2)/(7^2))*(0.55+0.45*SIN(2*PI()*(Model_Data!A180)/45))+24*SIN(2*PI()*(Inputs!$C$6)/9+(Model_Data!A180)/18)*EXP(-(((Inputs!$C$6)+5)^2)/(22^2))+18*SIN(2*PI()*(Model_Data!A180)/70))+Inputs!$C$28*EXP(-(((Model_Data!A180)-Inputs!$C$29)^2)/(2*Inputs!$C$31^2))*EXP(-(((Inputs!$C$6)-Inputs!$C$30)^2)/(2*Inputs!$C$32^2))+-Inputs!$C$33*EXP(-(((((Model_Data!A180)-Inputs!$C$34)^2)+(((Inputs!$C$6)-Inputs!$C$35)^2))/(2*Inputs!$C$36^2)))+Inputs!$C$37*(0.55*SIN(2*PI()*(Model_Data!A180)/Inputs!$C$39)+0.35*COS(2*PI()*(Inputs!$C$6)/Inputs!$C$40)+0.2*SIN(2*PI()*((Model_Data!A180)+(Inputs!$C$6))/(0.5*(Inputs!$C$39+Inputs!$C$40))))+Inputs!$C$38*SIN(2*PI()*(Model_Data!A180)/Inputs!$C$39)*SIN(2*PI()*(Inputs!$C$6)/Inputs!$C$40)+-Inputs!$C$41*EXP(-(((Inputs!$C$6)-Inputs!$C$43)^2)/(2*Inputs!$C$44^2))*EXP(-(((Model_Data!A180)-Inputs!$C$42)^2)/(2*Inputs!$C$45^2))+Inputs!$C$48*(0.7*(0.45*SIN(2*PI()*(((Model_Data!A180)/Inputs!$C$49)+Inputs!$C$47*0.137))+0.35*COS(2*PI()*(((Inputs!$C$6)/Inputs!$C$50)+Inputs!$C$47*0.173))+0.2*SIN(2*PI()*(((Model_Data!A180)+(Inputs!$C$6))/(0.5*(Inputs!$C$49+Inputs!$C$50))+Inputs!$C$47*0.097)))+0.3*(2*((SIN(((Model_Data!A180)*12.9898+(Inputs!$C$6)*78.233+Inputs!$C$47*37.719))*43758.5453)-INT((SIN(((Model_Data!A180)*12.9898+(Inputs!$C$6)*78.233+Inputs!$C$47*37.719))*43758.5453)))-1))))/1000)^2)</f>
        <v>402.47582944715435</v>
      </c>
      <c r="AB180" s="9">
        <f>1000*(AA181-AA179)/(Z181-Z179)*Inputs!$C$11</f>
        <v>731.73983173865054</v>
      </c>
      <c r="AC180" s="9">
        <f>-2*AB180/Inputs!$C$13</f>
        <v>-292.69593269546021</v>
      </c>
      <c r="AD180" s="9">
        <f>-2*AB180/Inputs!$C$14</f>
        <v>-43.948338242561597</v>
      </c>
    </row>
    <row r="181" spans="1:30">
      <c r="A181" s="9">
        <f>Model_Data!A181</f>
        <v>29.5</v>
      </c>
      <c r="B181" s="9">
        <f>((SQRT((Model_Data!A181)^2+Inputs!$C$6^2+Inputs!$C$5^2)-Inputs!$C$5)*1000/Inputs!$C$12)</f>
        <v>1047.5932823598905</v>
      </c>
      <c r="C181" s="9">
        <f>Model_Data!F181</f>
        <v>1045.0786584324383</v>
      </c>
      <c r="D181" s="9">
        <f>(((SQRT((Model_Data!A181)^2+Inputs!$C$6^2+((Model_Data!B181)-((Inputs!$C$51*(115*EXP(-(((Inputs!$C$6)-25)^2)/(4.5^2))+70*EXP(-(((Inputs!$C$6)+38)^2)/(7^2))*(0.55+0.45*SIN(2*PI()*(Model_Data!A181)/45))+24*SIN(2*PI()*(Inputs!$C$6)/9+(Model_Data!A181)/18)*EXP(-(((Inputs!$C$6)+5)^2)/(22^2))+18*SIN(2*PI()*(Model_Data!A181)/70))+Inputs!$C$28*EXP(-(((Model_Data!A181)-Inputs!$C$29)^2)/(2*Inputs!$C$31^2))*EXP(-(((Inputs!$C$6)-Inputs!$C$30)^2)/(2*Inputs!$C$32^2))+-Inputs!$C$33*EXP(-(((((Model_Data!A181)-Inputs!$C$34)^2)+(((Inputs!$C$6)-Inputs!$C$35)^2))/(2*Inputs!$C$36^2)))+Inputs!$C$37*(0.55*SIN(2*PI()*(Model_Data!A181)/Inputs!$C$39)+0.35*COS(2*PI()*(Inputs!$C$6)/Inputs!$C$40)+0.2*SIN(2*PI()*((Model_Data!A181)+(Inputs!$C$6))/(0.5*(Inputs!$C$39+Inputs!$C$40))))+Inputs!$C$38*SIN(2*PI()*(Model_Data!A181)/Inputs!$C$39)*SIN(2*PI()*(Inputs!$C$6)/Inputs!$C$40)+-Inputs!$C$41*EXP(-(((Inputs!$C$6)-Inputs!$C$43)^2)/(2*Inputs!$C$44^2))*EXP(-(((Model_Data!A181)-Inputs!$C$42)^2)/(2*Inputs!$C$45^2))+Inputs!$C$48*(0.7*(0.45*SIN(2*PI()*(((Model_Data!A181)/Inputs!$C$49)+Inputs!$C$47*0.137))+0.35*COS(2*PI()*(((Inputs!$C$6)/Inputs!$C$50)+Inputs!$C$47*0.173))+0.2*SIN(2*PI()*(((Model_Data!A181)+(Inputs!$C$6))/(0.5*(Inputs!$C$49+Inputs!$C$50))+Inputs!$C$47*0.097)))+0.3*(2*((SIN(((Model_Data!A181)*12.9898+(Inputs!$C$6)*78.233+Inputs!$C$47*37.719))*43758.5453)-INT((SIN(((Model_Data!A181)*12.9898+(Inputs!$C$6)*78.233+Inputs!$C$47*37.719))*43758.5453)))-1))))/1000)^2))-(((Model_Data!B181)-((Inputs!$C$51*(115*EXP(-(((0)-25)^2)/(4.5^2))+70*EXP(-(((0)+38)^2)/(7^2))*(0.55+0.45*SIN(2*PI()*(Model_Data!A181)/45))+24*SIN(2*PI()*(0)/9+(Model_Data!A181)/18)*EXP(-(((0)+5)^2)/(22^2))+18*SIN(2*PI()*(Model_Data!A181)/70))+Inputs!$C$28*EXP(-(((Model_Data!A181)-Inputs!$C$29)^2)/(2*Inputs!$C$31^2))*EXP(-(((0)-Inputs!$C$30)^2)/(2*Inputs!$C$32^2))+-Inputs!$C$33*EXP(-(((((Model_Data!A181)-Inputs!$C$34)^2)+(((0)-Inputs!$C$35)^2))/(2*Inputs!$C$36^2)))+Inputs!$C$37*(0.55*SIN(2*PI()*(Model_Data!A181)/Inputs!$C$39)+0.35*COS(2*PI()*(0)/Inputs!$C$40)+0.2*SIN(2*PI()*((Model_Data!A181)+(0))/(0.5*(Inputs!$C$39+Inputs!$C$40))))+Inputs!$C$38*SIN(2*PI()*(Model_Data!A181)/Inputs!$C$39)*SIN(2*PI()*(0)/Inputs!$C$40)+-Inputs!$C$41*EXP(-(((0)-Inputs!$C$43)^2)/(2*Inputs!$C$44^2))*EXP(-(((Model_Data!A181)-Inputs!$C$42)^2)/(2*Inputs!$C$45^2))+Inputs!$C$48*(0.7*(0.45*SIN(2*PI()*(((Model_Data!A181)/Inputs!$C$49)+Inputs!$C$47*0.137))+0.35*COS(2*PI()*(((0)/Inputs!$C$50)+Inputs!$C$47*0.173))+0.2*SIN(2*PI()*(((Model_Data!A181)+(0))/(0.5*(Inputs!$C$49+Inputs!$C$50))+Inputs!$C$47*0.097)))+0.3*(2*((SIN(((Model_Data!A181)*12.9898+(0)*78.233+Inputs!$C$47*37.719))*43758.5453)-INT((SIN(((Model_Data!A181)*12.9898+(0)*78.233+Inputs!$C$47*37.719))*43758.5453)))-1))))/1000)))*1000/Inputs!$C$12)</f>
        <v>909.20164275140382</v>
      </c>
      <c r="E181" s="9">
        <f>Model_Data!A181</f>
        <v>29.5</v>
      </c>
      <c r="F181" s="9">
        <f>(Inputs!$C$51*(115*EXP(-(((Inputs!$C$6)-25)^2)/(4.5^2))+70*EXP(-(((Inputs!$C$6)+38)^2)/(7^2))*(0.55+0.45*SIN(2*PI()*(Model_Data!A181)/45))+24*SIN(2*PI()*(Inputs!$C$6)/9+(Model_Data!A181)/18)*EXP(-(((Inputs!$C$6)+5)^2)/(22^2))+18*SIN(2*PI()*(Model_Data!A181)/70))+Inputs!$C$28*EXP(-(((Model_Data!A181)-Inputs!$C$29)^2)/(2*Inputs!$C$31^2))*EXP(-(((Inputs!$C$6)-Inputs!$C$30)^2)/(2*Inputs!$C$32^2))+-Inputs!$C$33*EXP(-(((((Model_Data!A181)-Inputs!$C$34)^2)+(((Inputs!$C$6)-Inputs!$C$35)^2))/(2*Inputs!$C$36^2)))+Inputs!$C$37*(0.55*SIN(2*PI()*(Model_Data!A181)/Inputs!$C$39)+0.35*COS(2*PI()*(Inputs!$C$6)/Inputs!$C$40)+0.2*SIN(2*PI()*((Model_Data!A181)+(Inputs!$C$6))/(0.5*(Inputs!$C$39+Inputs!$C$40))))+Inputs!$C$38*SIN(2*PI()*(Model_Data!A181)/Inputs!$C$39)*SIN(2*PI()*(Inputs!$C$6)/Inputs!$C$40)+-Inputs!$C$41*EXP(-(((Inputs!$C$6)-Inputs!$C$43)^2)/(2*Inputs!$C$44^2))*EXP(-(((Model_Data!A181)-Inputs!$C$42)^2)/(2*Inputs!$C$45^2))+Inputs!$C$48*(0.7*(0.45*SIN(2*PI()*(((Model_Data!A181)/Inputs!$C$49)+Inputs!$C$47*0.137))+0.35*COS(2*PI()*(((Inputs!$C$6)/Inputs!$C$50)+Inputs!$C$47*0.173))+0.2*SIN(2*PI()*(((Model_Data!A181)+(Inputs!$C$6))/(0.5*(Inputs!$C$49+Inputs!$C$50))+Inputs!$C$47*0.097)))+0.3*(2*((SIN(((Model_Data!A181)*12.9898+(Inputs!$C$6)*78.233+Inputs!$C$47*37.719))*43758.5453)-INT((SIN(((Model_Data!A181)*12.9898+(Inputs!$C$6)*78.233+Inputs!$C$47*37.719))*43758.5453)))-1)))</f>
        <v>263.5246591496981</v>
      </c>
      <c r="G181" s="9">
        <f>(Inputs!$C$51*(115*EXP(-(((0)-25)^2)/(4.5^2))+70*EXP(-(((0)+38)^2)/(7^2))*(0.55+0.45*SIN(2*PI()*(Model_Data!A181)/45))+24*SIN(2*PI()*(0)/9+(Model_Data!A181)/18)*EXP(-(((0)+5)^2)/(22^2))+18*SIN(2*PI()*(Model_Data!A181)/70))+Inputs!$C$28*EXP(-(((Model_Data!A181)-Inputs!$C$29)^2)/(2*Inputs!$C$31^2))*EXP(-(((0)-Inputs!$C$30)^2)/(2*Inputs!$C$32^2))+-Inputs!$C$33*EXP(-(((((Model_Data!A181)-Inputs!$C$34)^2)+(((0)-Inputs!$C$35)^2))/(2*Inputs!$C$36^2)))+Inputs!$C$37*(0.55*SIN(2*PI()*(Model_Data!A181)/Inputs!$C$39)+0.35*COS(2*PI()*(0)/Inputs!$C$40)+0.2*SIN(2*PI()*((Model_Data!A181)+(0))/(0.5*(Inputs!$C$39+Inputs!$C$40))))+Inputs!$C$38*SIN(2*PI()*(Model_Data!A181)/Inputs!$C$39)*SIN(2*PI()*(0)/Inputs!$C$40)+-Inputs!$C$41*EXP(-(((0)-Inputs!$C$43)^2)/(2*Inputs!$C$44^2))*EXP(-(((Model_Data!A181)-Inputs!$C$42)^2)/(2*Inputs!$C$45^2))+Inputs!$C$48*(0.7*(0.45*SIN(2*PI()*(((Model_Data!A181)/Inputs!$C$49)+Inputs!$C$47*0.137))+0.35*COS(2*PI()*(((0)/Inputs!$C$50)+Inputs!$C$47*0.173))+0.2*SIN(2*PI()*(((Model_Data!A181)+(0))/(0.5*(Inputs!$C$49+Inputs!$C$50))+Inputs!$C$47*0.097)))+0.3*(2*((SIN(((Model_Data!A181)*12.9898+(0)*78.233+Inputs!$C$47*37.719))*43758.5453)-INT((SIN(((Model_Data!A181)*12.9898+(0)*78.233+Inputs!$C$47*37.719))*43758.5453)))-1)))</f>
        <v>20.445829988997222</v>
      </c>
      <c r="H181" s="10"/>
      <c r="I181" s="9">
        <f>Model_Data!A181</f>
        <v>29.5</v>
      </c>
      <c r="J181" s="9">
        <f>(Inputs!$C$51*(115*EXP(-(((Inputs!$C$6)-25)^2)/(4.5^2))+70*EXP(-(((Inputs!$C$6)+38)^2)/(7^2))*(0.55+0.45*SIN(2*PI()*(Model_Data!A181)/45))+24*SIN(2*PI()*(Inputs!$C$6)/9+(Model_Data!A181)/18)*EXP(-(((Inputs!$C$6)+5)^2)/(22^2))+18*SIN(2*PI()*(Model_Data!A181)/70))+Inputs!$C$28*EXP(-(((Model_Data!A181)-Inputs!$C$29)^2)/(2*Inputs!$C$31^2))*EXP(-(((Inputs!$C$6)-Inputs!$C$30)^2)/(2*Inputs!$C$32^2))+-Inputs!$C$33*EXP(-(((((Model_Data!A181)-Inputs!$C$34)^2)+(((Inputs!$C$6)-Inputs!$C$35)^2))/(2*Inputs!$C$36^2)))+Inputs!$C$37*(0.55*SIN(2*PI()*(Model_Data!A181)/Inputs!$C$39)+0.35*COS(2*PI()*(Inputs!$C$6)/Inputs!$C$40)+0.2*SIN(2*PI()*((Model_Data!A181)+(Inputs!$C$6))/(0.5*(Inputs!$C$39+Inputs!$C$40))))+Inputs!$C$38*SIN(2*PI()*(Model_Data!A181)/Inputs!$C$39)*SIN(2*PI()*(Inputs!$C$6)/Inputs!$C$40)+-Inputs!$C$41*EXP(-(((Inputs!$C$6)-Inputs!$C$43)^2)/(2*Inputs!$C$44^2))*EXP(-(((Model_Data!A181)-Inputs!$C$42)^2)/(2*Inputs!$C$45^2))+Inputs!$C$48*(0.7*(0.45*SIN(2*PI()*(((Model_Data!A181)/Inputs!$C$49)+Inputs!$C$47*0.137))+0.35*COS(2*PI()*(((Inputs!$C$6)/Inputs!$C$50)+Inputs!$C$47*0.173))+0.2*SIN(2*PI()*(((Model_Data!A181)+(Inputs!$C$6))/(0.5*(Inputs!$C$49+Inputs!$C$50))+Inputs!$C$47*0.097)))+0.3*(2*((SIN(((Model_Data!A181)*12.9898+(Inputs!$C$6)*78.233+Inputs!$C$47*37.719))*43758.5453)-INT((SIN(((Model_Data!A181)*12.9898+(Inputs!$C$6)*78.233+Inputs!$C$47*37.719))*43758.5453)))-1)))</f>
        <v>263.5246591496981</v>
      </c>
      <c r="K181" s="9">
        <f>-((((SQRT((Model_Data!A181)^2+Inputs!$C$6^2+((Model_Data!B181)-((Inputs!$C$51*(115*EXP(-(((Inputs!$C$6)-25)^2)/(4.5^2))+70*EXP(-(((Inputs!$C$6)+38)^2)/(7^2))*(0.55+0.45*SIN(2*PI()*(Model_Data!A181)/45))+24*SIN(2*PI()*(Inputs!$C$6)/9+(Model_Data!A181)/18)*EXP(-(((Inputs!$C$6)+5)^2)/(22^2))+18*SIN(2*PI()*(Model_Data!A181)/70))+Inputs!$C$28*EXP(-(((Model_Data!A181)-Inputs!$C$29)^2)/(2*Inputs!$C$31^2))*EXP(-(((Inputs!$C$6)-Inputs!$C$30)^2)/(2*Inputs!$C$32^2))+-Inputs!$C$33*EXP(-(((((Model_Data!A181)-Inputs!$C$34)^2)+(((Inputs!$C$6)-Inputs!$C$35)^2))/(2*Inputs!$C$36^2)))+Inputs!$C$37*(0.55*SIN(2*PI()*(Model_Data!A181)/Inputs!$C$39)+0.35*COS(2*PI()*(Inputs!$C$6)/Inputs!$C$40)+0.2*SIN(2*PI()*((Model_Data!A181)+(Inputs!$C$6))/(0.5*(Inputs!$C$39+Inputs!$C$40))))+Inputs!$C$38*SIN(2*PI()*(Model_Data!A181)/Inputs!$C$39)*SIN(2*PI()*(Inputs!$C$6)/Inputs!$C$40)+-Inputs!$C$41*EXP(-(((Inputs!$C$6)-Inputs!$C$43)^2)/(2*Inputs!$C$44^2))*EXP(-(((Model_Data!A181)-Inputs!$C$42)^2)/(2*Inputs!$C$45^2))+Inputs!$C$48*(0.7*(0.45*SIN(2*PI()*(((Model_Data!A181)/Inputs!$C$49)+Inputs!$C$47*0.137))+0.35*COS(2*PI()*(((Inputs!$C$6)/Inputs!$C$50)+Inputs!$C$47*0.173))+0.2*SIN(2*PI()*(((Model_Data!A181)+(Inputs!$C$6))/(0.5*(Inputs!$C$49+Inputs!$C$50))+Inputs!$C$47*0.097)))+0.3*(2*((SIN(((Model_Data!A181)*12.9898+(Inputs!$C$6)*78.233+Inputs!$C$47*37.719))*43758.5453)-INT((SIN(((Model_Data!A181)*12.9898+(Inputs!$C$6)*78.233+Inputs!$C$47*37.719))*43758.5453)))-1))))/1000)^2))-(((Model_Data!B181)-((Inputs!$C$51*(115*EXP(-(((0)-25)^2)/(4.5^2))+70*EXP(-(((0)+38)^2)/(7^2))*(0.55+0.45*SIN(2*PI()*(Model_Data!A181)/45))+24*SIN(2*PI()*(0)/9+(Model_Data!A181)/18)*EXP(-(((0)+5)^2)/(22^2))+18*SIN(2*PI()*(Model_Data!A181)/70))+Inputs!$C$28*EXP(-(((Model_Data!A181)-Inputs!$C$29)^2)/(2*Inputs!$C$31^2))*EXP(-(((0)-Inputs!$C$30)^2)/(2*Inputs!$C$32^2))+-Inputs!$C$33*EXP(-(((((Model_Data!A181)-Inputs!$C$34)^2)+(((0)-Inputs!$C$35)^2))/(2*Inputs!$C$36^2)))+Inputs!$C$37*(0.55*SIN(2*PI()*(Model_Data!A181)/Inputs!$C$39)+0.35*COS(2*PI()*(0)/Inputs!$C$40)+0.2*SIN(2*PI()*((Model_Data!A181)+(0))/(0.5*(Inputs!$C$39+Inputs!$C$40))))+Inputs!$C$38*SIN(2*PI()*(Model_Data!A181)/Inputs!$C$39)*SIN(2*PI()*(0)/Inputs!$C$40)+-Inputs!$C$41*EXP(-(((0)-Inputs!$C$43)^2)/(2*Inputs!$C$44^2))*EXP(-(((Model_Data!A181)-Inputs!$C$42)^2)/(2*Inputs!$C$45^2))+Inputs!$C$48*(0.7*(0.45*SIN(2*PI()*(((Model_Data!A181)/Inputs!$C$49)+Inputs!$C$47*0.137))+0.35*COS(2*PI()*(((0)/Inputs!$C$50)+Inputs!$C$47*0.173))+0.2*SIN(2*PI()*(((Model_Data!A181)+(0))/(0.5*(Inputs!$C$49+Inputs!$C$50))+Inputs!$C$47*0.097)))+0.3*(2*((SIN(((Model_Data!A181)*12.9898+(0)*78.233+Inputs!$C$47*37.719))*43758.5453)-INT((SIN(((Model_Data!A181)*12.9898+(0)*78.233+Inputs!$C$47*37.719))*43758.5453)))-1))))/1000)))*1000/Inputs!$C$12)-Model_Data!F181)</f>
        <v>135.87701568103444</v>
      </c>
      <c r="L181" s="10"/>
      <c r="M181" s="9">
        <f>Model_Data!A181</f>
        <v>29.5</v>
      </c>
      <c r="N181" s="9">
        <f>Model_Data!P181</f>
        <v>-221.57635017703063</v>
      </c>
      <c r="O181" s="9">
        <f t="shared" si="4"/>
        <v>-262.42565694046789</v>
      </c>
      <c r="P181" s="9">
        <f>Model_Data!Q181</f>
        <v>-33.269722248803404</v>
      </c>
      <c r="Q181" s="9">
        <f t="shared" si="5"/>
        <v>-39.403251792863053</v>
      </c>
      <c r="R181" s="10"/>
      <c r="S181" s="9">
        <f>Model_Data!A181</f>
        <v>29.5</v>
      </c>
      <c r="T181" s="9">
        <f>Model_Data!B181-Inputs!$C$5</f>
        <v>0.96694444444443661</v>
      </c>
      <c r="U181" s="10"/>
      <c r="V181" s="9">
        <f>Model_Data!A181</f>
        <v>29.5</v>
      </c>
      <c r="W181" s="9">
        <f>((SQRT((Model_Data!A181)^2+Inputs!$C$6^2+Inputs!$C$5^2)-Inputs!$C$5)*1000/Inputs!$C$12)</f>
        <v>1047.5932823598905</v>
      </c>
      <c r="X181" s="9">
        <f>Model_Data!F181</f>
        <v>1045.0786584324383</v>
      </c>
      <c r="Y181" s="10"/>
      <c r="Z181" s="9">
        <f>Model_Data!A181</f>
        <v>29.5</v>
      </c>
      <c r="AA181" s="9">
        <f>SQRT((Model_Data!A181)^2+Inputs!$C$6^2+((Model_Data!B181)-((Inputs!$C$51*(115*EXP(-(((Inputs!$C$6)-25)^2)/(4.5^2))+70*EXP(-(((Inputs!$C$6)+38)^2)/(7^2))*(0.55+0.45*SIN(2*PI()*(Model_Data!A181)/45))+24*SIN(2*PI()*(Inputs!$C$6)/9+(Model_Data!A181)/18)*EXP(-(((Inputs!$C$6)+5)^2)/(22^2))+18*SIN(2*PI()*(Model_Data!A181)/70))+Inputs!$C$28*EXP(-(((Model_Data!A181)-Inputs!$C$29)^2)/(2*Inputs!$C$31^2))*EXP(-(((Inputs!$C$6)-Inputs!$C$30)^2)/(2*Inputs!$C$32^2))+-Inputs!$C$33*EXP(-(((((Model_Data!A181)-Inputs!$C$34)^2)+(((Inputs!$C$6)-Inputs!$C$35)^2))/(2*Inputs!$C$36^2)))+Inputs!$C$37*(0.55*SIN(2*PI()*(Model_Data!A181)/Inputs!$C$39)+0.35*COS(2*PI()*(Inputs!$C$6)/Inputs!$C$40)+0.2*SIN(2*PI()*((Model_Data!A181)+(Inputs!$C$6))/(0.5*(Inputs!$C$39+Inputs!$C$40))))+Inputs!$C$38*SIN(2*PI()*(Model_Data!A181)/Inputs!$C$39)*SIN(2*PI()*(Inputs!$C$6)/Inputs!$C$40)+-Inputs!$C$41*EXP(-(((Inputs!$C$6)-Inputs!$C$43)^2)/(2*Inputs!$C$44^2))*EXP(-(((Model_Data!A181)-Inputs!$C$42)^2)/(2*Inputs!$C$45^2))+Inputs!$C$48*(0.7*(0.45*SIN(2*PI()*(((Model_Data!A181)/Inputs!$C$49)+Inputs!$C$47*0.137))+0.35*COS(2*PI()*(((Inputs!$C$6)/Inputs!$C$50)+Inputs!$C$47*0.173))+0.2*SIN(2*PI()*(((Model_Data!A181)+(Inputs!$C$6))/(0.5*(Inputs!$C$49+Inputs!$C$50))+Inputs!$C$47*0.097)))+0.3*(2*((SIN(((Model_Data!A181)*12.9898+(Inputs!$C$6)*78.233+Inputs!$C$47*37.719))*43758.5453)-INT((SIN(((Model_Data!A181)*12.9898+(Inputs!$C$6)*78.233+Inputs!$C$47*37.719))*43758.5453)))-1))))/1000)^2)</f>
        <v>402.56487753855293</v>
      </c>
      <c r="AB181" s="9">
        <f>1000*(AA182-AA180)/(Z182-Z180)*Inputs!$C$11</f>
        <v>656.06414235116972</v>
      </c>
      <c r="AC181" s="9">
        <f>-2*AB181/Inputs!$C$13</f>
        <v>-262.42565694046789</v>
      </c>
      <c r="AD181" s="9">
        <f>-2*AB181/Inputs!$C$14</f>
        <v>-39.403251792863053</v>
      </c>
    </row>
    <row r="182" spans="1:30">
      <c r="A182" s="9">
        <f>Model_Data!A182</f>
        <v>30</v>
      </c>
      <c r="B182" s="9">
        <f>((SQRT((Model_Data!A182)^2+Inputs!$C$6^2+Inputs!$C$5^2)-Inputs!$C$5)*1000/Inputs!$C$12)</f>
        <v>1068.3872371751047</v>
      </c>
      <c r="C182" s="9">
        <f>Model_Data!F182</f>
        <v>1065.7354900670628</v>
      </c>
      <c r="D182" s="9">
        <f>(((SQRT((Model_Data!A182)^2+Inputs!$C$6^2+((Model_Data!B182)-((Inputs!$C$51*(115*EXP(-(((Inputs!$C$6)-25)^2)/(4.5^2))+70*EXP(-(((Inputs!$C$6)+38)^2)/(7^2))*(0.55+0.45*SIN(2*PI()*(Model_Data!A182)/45))+24*SIN(2*PI()*(Inputs!$C$6)/9+(Model_Data!A182)/18)*EXP(-(((Inputs!$C$6)+5)^2)/(22^2))+18*SIN(2*PI()*(Model_Data!A182)/70))+Inputs!$C$28*EXP(-(((Model_Data!A182)-Inputs!$C$29)^2)/(2*Inputs!$C$31^2))*EXP(-(((Inputs!$C$6)-Inputs!$C$30)^2)/(2*Inputs!$C$32^2))+-Inputs!$C$33*EXP(-(((((Model_Data!A182)-Inputs!$C$34)^2)+(((Inputs!$C$6)-Inputs!$C$35)^2))/(2*Inputs!$C$36^2)))+Inputs!$C$37*(0.55*SIN(2*PI()*(Model_Data!A182)/Inputs!$C$39)+0.35*COS(2*PI()*(Inputs!$C$6)/Inputs!$C$40)+0.2*SIN(2*PI()*((Model_Data!A182)+(Inputs!$C$6))/(0.5*(Inputs!$C$39+Inputs!$C$40))))+Inputs!$C$38*SIN(2*PI()*(Model_Data!A182)/Inputs!$C$39)*SIN(2*PI()*(Inputs!$C$6)/Inputs!$C$40)+-Inputs!$C$41*EXP(-(((Inputs!$C$6)-Inputs!$C$43)^2)/(2*Inputs!$C$44^2))*EXP(-(((Model_Data!A182)-Inputs!$C$42)^2)/(2*Inputs!$C$45^2))+Inputs!$C$48*(0.7*(0.45*SIN(2*PI()*(((Model_Data!A182)/Inputs!$C$49)+Inputs!$C$47*0.137))+0.35*COS(2*PI()*(((Inputs!$C$6)/Inputs!$C$50)+Inputs!$C$47*0.173))+0.2*SIN(2*PI()*(((Model_Data!A182)+(Inputs!$C$6))/(0.5*(Inputs!$C$49+Inputs!$C$50))+Inputs!$C$47*0.097)))+0.3*(2*((SIN(((Model_Data!A182)*12.9898+(Inputs!$C$6)*78.233+Inputs!$C$47*37.719))*43758.5453)-INT((SIN(((Model_Data!A182)*12.9898+(Inputs!$C$6)*78.233+Inputs!$C$47*37.719))*43758.5453)))-1))))/1000)^2))-(((Model_Data!B182)-((Inputs!$C$51*(115*EXP(-(((0)-25)^2)/(4.5^2))+70*EXP(-(((0)+38)^2)/(7^2))*(0.55+0.45*SIN(2*PI()*(Model_Data!A182)/45))+24*SIN(2*PI()*(0)/9+(Model_Data!A182)/18)*EXP(-(((0)+5)^2)/(22^2))+18*SIN(2*PI()*(Model_Data!A182)/70))+Inputs!$C$28*EXP(-(((Model_Data!A182)-Inputs!$C$29)^2)/(2*Inputs!$C$31^2))*EXP(-(((0)-Inputs!$C$30)^2)/(2*Inputs!$C$32^2))+-Inputs!$C$33*EXP(-(((((Model_Data!A182)-Inputs!$C$34)^2)+(((0)-Inputs!$C$35)^2))/(2*Inputs!$C$36^2)))+Inputs!$C$37*(0.55*SIN(2*PI()*(Model_Data!A182)/Inputs!$C$39)+0.35*COS(2*PI()*(0)/Inputs!$C$40)+0.2*SIN(2*PI()*((Model_Data!A182)+(0))/(0.5*(Inputs!$C$39+Inputs!$C$40))))+Inputs!$C$38*SIN(2*PI()*(Model_Data!A182)/Inputs!$C$39)*SIN(2*PI()*(0)/Inputs!$C$40)+-Inputs!$C$41*EXP(-(((0)-Inputs!$C$43)^2)/(2*Inputs!$C$44^2))*EXP(-(((Model_Data!A182)-Inputs!$C$42)^2)/(2*Inputs!$C$45^2))+Inputs!$C$48*(0.7*(0.45*SIN(2*PI()*(((Model_Data!A182)/Inputs!$C$49)+Inputs!$C$47*0.137))+0.35*COS(2*PI()*(((0)/Inputs!$C$50)+Inputs!$C$47*0.173))+0.2*SIN(2*PI()*(((Model_Data!A182)+(0))/(0.5*(Inputs!$C$49+Inputs!$C$50))+Inputs!$C$47*0.097)))+0.3*(2*((SIN(((Model_Data!A182)*12.9898+(0)*78.233+Inputs!$C$47*37.719))*43758.5453)-INT((SIN(((Model_Data!A182)*12.9898+(0)*78.233+Inputs!$C$47*37.719))*43758.5453)))-1))))/1000)))*1000/Inputs!$C$12)</f>
        <v>927.93516924515507</v>
      </c>
      <c r="E182" s="9">
        <f>Model_Data!A182</f>
        <v>30</v>
      </c>
      <c r="F182" s="9">
        <f>(Inputs!$C$51*(115*EXP(-(((Inputs!$C$6)-25)^2)/(4.5^2))+70*EXP(-(((Inputs!$C$6)+38)^2)/(7^2))*(0.55+0.45*SIN(2*PI()*(Model_Data!A182)/45))+24*SIN(2*PI()*(Inputs!$C$6)/9+(Model_Data!A182)/18)*EXP(-(((Inputs!$C$6)+5)^2)/(22^2))+18*SIN(2*PI()*(Model_Data!A182)/70))+Inputs!$C$28*EXP(-(((Model_Data!A182)-Inputs!$C$29)^2)/(2*Inputs!$C$31^2))*EXP(-(((Inputs!$C$6)-Inputs!$C$30)^2)/(2*Inputs!$C$32^2))+-Inputs!$C$33*EXP(-(((((Model_Data!A182)-Inputs!$C$34)^2)+(((Inputs!$C$6)-Inputs!$C$35)^2))/(2*Inputs!$C$36^2)))+Inputs!$C$37*(0.55*SIN(2*PI()*(Model_Data!A182)/Inputs!$C$39)+0.35*COS(2*PI()*(Inputs!$C$6)/Inputs!$C$40)+0.2*SIN(2*PI()*((Model_Data!A182)+(Inputs!$C$6))/(0.5*(Inputs!$C$39+Inputs!$C$40))))+Inputs!$C$38*SIN(2*PI()*(Model_Data!A182)/Inputs!$C$39)*SIN(2*PI()*(Inputs!$C$6)/Inputs!$C$40)+-Inputs!$C$41*EXP(-(((Inputs!$C$6)-Inputs!$C$43)^2)/(2*Inputs!$C$44^2))*EXP(-(((Model_Data!A182)-Inputs!$C$42)^2)/(2*Inputs!$C$45^2))+Inputs!$C$48*(0.7*(0.45*SIN(2*PI()*(((Model_Data!A182)/Inputs!$C$49)+Inputs!$C$47*0.137))+0.35*COS(2*PI()*(((Inputs!$C$6)/Inputs!$C$50)+Inputs!$C$47*0.173))+0.2*SIN(2*PI()*(((Model_Data!A182)+(Inputs!$C$6))/(0.5*(Inputs!$C$49+Inputs!$C$50))+Inputs!$C$47*0.097)))+0.3*(2*((SIN(((Model_Data!A182)*12.9898+(Inputs!$C$6)*78.233+Inputs!$C$47*37.719))*43758.5453)-INT((SIN(((Model_Data!A182)*12.9898+(Inputs!$C$6)*78.233+Inputs!$C$47*37.719))*43758.5453)))-1)))</f>
        <v>258.38103540276461</v>
      </c>
      <c r="G182" s="9">
        <f>(Inputs!$C$51*(115*EXP(-(((0)-25)^2)/(4.5^2))+70*EXP(-(((0)+38)^2)/(7^2))*(0.55+0.45*SIN(2*PI()*(Model_Data!A182)/45))+24*SIN(2*PI()*(0)/9+(Model_Data!A182)/18)*EXP(-(((0)+5)^2)/(22^2))+18*SIN(2*PI()*(Model_Data!A182)/70))+Inputs!$C$28*EXP(-(((Model_Data!A182)-Inputs!$C$29)^2)/(2*Inputs!$C$31^2))*EXP(-(((0)-Inputs!$C$30)^2)/(2*Inputs!$C$32^2))+-Inputs!$C$33*EXP(-(((((Model_Data!A182)-Inputs!$C$34)^2)+(((0)-Inputs!$C$35)^2))/(2*Inputs!$C$36^2)))+Inputs!$C$37*(0.55*SIN(2*PI()*(Model_Data!A182)/Inputs!$C$39)+0.35*COS(2*PI()*(0)/Inputs!$C$40)+0.2*SIN(2*PI()*((Model_Data!A182)+(0))/(0.5*(Inputs!$C$39+Inputs!$C$40))))+Inputs!$C$38*SIN(2*PI()*(Model_Data!A182)/Inputs!$C$39)*SIN(2*PI()*(0)/Inputs!$C$40)+-Inputs!$C$41*EXP(-(((0)-Inputs!$C$43)^2)/(2*Inputs!$C$44^2))*EXP(-(((Model_Data!A182)-Inputs!$C$42)^2)/(2*Inputs!$C$45^2))+Inputs!$C$48*(0.7*(0.45*SIN(2*PI()*(((Model_Data!A182)/Inputs!$C$49)+Inputs!$C$47*0.137))+0.35*COS(2*PI()*(((0)/Inputs!$C$50)+Inputs!$C$47*0.173))+0.2*SIN(2*PI()*(((Model_Data!A182)+(0))/(0.5*(Inputs!$C$49+Inputs!$C$50))+Inputs!$C$47*0.097)))+0.3*(2*((SIN(((Model_Data!A182)*12.9898+(0)*78.233+Inputs!$C$47*37.719))*43758.5453)-INT((SIN(((Model_Data!A182)*12.9898+(0)*78.233+Inputs!$C$47*37.719))*43758.5453)))-1)))</f>
        <v>11.879118514207924</v>
      </c>
      <c r="H182" s="10"/>
      <c r="I182" s="9">
        <f>Model_Data!A182</f>
        <v>30</v>
      </c>
      <c r="J182" s="9">
        <f>(Inputs!$C$51*(115*EXP(-(((Inputs!$C$6)-25)^2)/(4.5^2))+70*EXP(-(((Inputs!$C$6)+38)^2)/(7^2))*(0.55+0.45*SIN(2*PI()*(Model_Data!A182)/45))+24*SIN(2*PI()*(Inputs!$C$6)/9+(Model_Data!A182)/18)*EXP(-(((Inputs!$C$6)+5)^2)/(22^2))+18*SIN(2*PI()*(Model_Data!A182)/70))+Inputs!$C$28*EXP(-(((Model_Data!A182)-Inputs!$C$29)^2)/(2*Inputs!$C$31^2))*EXP(-(((Inputs!$C$6)-Inputs!$C$30)^2)/(2*Inputs!$C$32^2))+-Inputs!$C$33*EXP(-(((((Model_Data!A182)-Inputs!$C$34)^2)+(((Inputs!$C$6)-Inputs!$C$35)^2))/(2*Inputs!$C$36^2)))+Inputs!$C$37*(0.55*SIN(2*PI()*(Model_Data!A182)/Inputs!$C$39)+0.35*COS(2*PI()*(Inputs!$C$6)/Inputs!$C$40)+0.2*SIN(2*PI()*((Model_Data!A182)+(Inputs!$C$6))/(0.5*(Inputs!$C$39+Inputs!$C$40))))+Inputs!$C$38*SIN(2*PI()*(Model_Data!A182)/Inputs!$C$39)*SIN(2*PI()*(Inputs!$C$6)/Inputs!$C$40)+-Inputs!$C$41*EXP(-(((Inputs!$C$6)-Inputs!$C$43)^2)/(2*Inputs!$C$44^2))*EXP(-(((Model_Data!A182)-Inputs!$C$42)^2)/(2*Inputs!$C$45^2))+Inputs!$C$48*(0.7*(0.45*SIN(2*PI()*(((Model_Data!A182)/Inputs!$C$49)+Inputs!$C$47*0.137))+0.35*COS(2*PI()*(((Inputs!$C$6)/Inputs!$C$50)+Inputs!$C$47*0.173))+0.2*SIN(2*PI()*(((Model_Data!A182)+(Inputs!$C$6))/(0.5*(Inputs!$C$49+Inputs!$C$50))+Inputs!$C$47*0.097)))+0.3*(2*((SIN(((Model_Data!A182)*12.9898+(Inputs!$C$6)*78.233+Inputs!$C$47*37.719))*43758.5453)-INT((SIN(((Model_Data!A182)*12.9898+(Inputs!$C$6)*78.233+Inputs!$C$47*37.719))*43758.5453)))-1)))</f>
        <v>258.38103540276461</v>
      </c>
      <c r="K182" s="9">
        <f>-((((SQRT((Model_Data!A182)^2+Inputs!$C$6^2+((Model_Data!B182)-((Inputs!$C$51*(115*EXP(-(((Inputs!$C$6)-25)^2)/(4.5^2))+70*EXP(-(((Inputs!$C$6)+38)^2)/(7^2))*(0.55+0.45*SIN(2*PI()*(Model_Data!A182)/45))+24*SIN(2*PI()*(Inputs!$C$6)/9+(Model_Data!A182)/18)*EXP(-(((Inputs!$C$6)+5)^2)/(22^2))+18*SIN(2*PI()*(Model_Data!A182)/70))+Inputs!$C$28*EXP(-(((Model_Data!A182)-Inputs!$C$29)^2)/(2*Inputs!$C$31^2))*EXP(-(((Inputs!$C$6)-Inputs!$C$30)^2)/(2*Inputs!$C$32^2))+-Inputs!$C$33*EXP(-(((((Model_Data!A182)-Inputs!$C$34)^2)+(((Inputs!$C$6)-Inputs!$C$35)^2))/(2*Inputs!$C$36^2)))+Inputs!$C$37*(0.55*SIN(2*PI()*(Model_Data!A182)/Inputs!$C$39)+0.35*COS(2*PI()*(Inputs!$C$6)/Inputs!$C$40)+0.2*SIN(2*PI()*((Model_Data!A182)+(Inputs!$C$6))/(0.5*(Inputs!$C$39+Inputs!$C$40))))+Inputs!$C$38*SIN(2*PI()*(Model_Data!A182)/Inputs!$C$39)*SIN(2*PI()*(Inputs!$C$6)/Inputs!$C$40)+-Inputs!$C$41*EXP(-(((Inputs!$C$6)-Inputs!$C$43)^2)/(2*Inputs!$C$44^2))*EXP(-(((Model_Data!A182)-Inputs!$C$42)^2)/(2*Inputs!$C$45^2))+Inputs!$C$48*(0.7*(0.45*SIN(2*PI()*(((Model_Data!A182)/Inputs!$C$49)+Inputs!$C$47*0.137))+0.35*COS(2*PI()*(((Inputs!$C$6)/Inputs!$C$50)+Inputs!$C$47*0.173))+0.2*SIN(2*PI()*(((Model_Data!A182)+(Inputs!$C$6))/(0.5*(Inputs!$C$49+Inputs!$C$50))+Inputs!$C$47*0.097)))+0.3*(2*((SIN(((Model_Data!A182)*12.9898+(Inputs!$C$6)*78.233+Inputs!$C$47*37.719))*43758.5453)-INT((SIN(((Model_Data!A182)*12.9898+(Inputs!$C$6)*78.233+Inputs!$C$47*37.719))*43758.5453)))-1))))/1000)^2))-(((Model_Data!B182)-((Inputs!$C$51*(115*EXP(-(((0)-25)^2)/(4.5^2))+70*EXP(-(((0)+38)^2)/(7^2))*(0.55+0.45*SIN(2*PI()*(Model_Data!A182)/45))+24*SIN(2*PI()*(0)/9+(Model_Data!A182)/18)*EXP(-(((0)+5)^2)/(22^2))+18*SIN(2*PI()*(Model_Data!A182)/70))+Inputs!$C$28*EXP(-(((Model_Data!A182)-Inputs!$C$29)^2)/(2*Inputs!$C$31^2))*EXP(-(((0)-Inputs!$C$30)^2)/(2*Inputs!$C$32^2))+-Inputs!$C$33*EXP(-(((((Model_Data!A182)-Inputs!$C$34)^2)+(((0)-Inputs!$C$35)^2))/(2*Inputs!$C$36^2)))+Inputs!$C$37*(0.55*SIN(2*PI()*(Model_Data!A182)/Inputs!$C$39)+0.35*COS(2*PI()*(0)/Inputs!$C$40)+0.2*SIN(2*PI()*((Model_Data!A182)+(0))/(0.5*(Inputs!$C$39+Inputs!$C$40))))+Inputs!$C$38*SIN(2*PI()*(Model_Data!A182)/Inputs!$C$39)*SIN(2*PI()*(0)/Inputs!$C$40)+-Inputs!$C$41*EXP(-(((0)-Inputs!$C$43)^2)/(2*Inputs!$C$44^2))*EXP(-(((Model_Data!A182)-Inputs!$C$42)^2)/(2*Inputs!$C$45^2))+Inputs!$C$48*(0.7*(0.45*SIN(2*PI()*(((Model_Data!A182)/Inputs!$C$49)+Inputs!$C$47*0.137))+0.35*COS(2*PI()*(((0)/Inputs!$C$50)+Inputs!$C$47*0.173))+0.2*SIN(2*PI()*(((Model_Data!A182)+(0))/(0.5*(Inputs!$C$49+Inputs!$C$50))+Inputs!$C$47*0.097)))+0.3*(2*((SIN(((Model_Data!A182)*12.9898+(0)*78.233+Inputs!$C$47*37.719))*43758.5453)-INT((SIN(((Model_Data!A182)*12.9898+(0)*78.233+Inputs!$C$47*37.719))*43758.5453)))-1))))/1000)))*1000/Inputs!$C$12)-Model_Data!F182)</f>
        <v>137.80032082190769</v>
      </c>
      <c r="L182" s="10"/>
      <c r="M182" s="9">
        <f>Model_Data!A182</f>
        <v>30</v>
      </c>
      <c r="N182" s="9">
        <f>Model_Data!P182</f>
        <v>-225.30158146324067</v>
      </c>
      <c r="O182" s="9">
        <f t="shared" si="4"/>
        <v>-262.85889804767066</v>
      </c>
      <c r="P182" s="9">
        <f>Model_Data!Q182</f>
        <v>-33.829066285771873</v>
      </c>
      <c r="Q182" s="9">
        <f t="shared" si="5"/>
        <v>-39.468303010160767</v>
      </c>
      <c r="R182" s="10"/>
      <c r="S182" s="9">
        <f>Model_Data!A182</f>
        <v>30</v>
      </c>
      <c r="T182" s="9">
        <f>Model_Data!B182-Inputs!$C$5</f>
        <v>1</v>
      </c>
      <c r="U182" s="10"/>
      <c r="V182" s="9">
        <f>Model_Data!A182</f>
        <v>30</v>
      </c>
      <c r="W182" s="9">
        <f>((SQRT((Model_Data!A182)^2+Inputs!$C$6^2+Inputs!$C$5^2)-Inputs!$C$5)*1000/Inputs!$C$12)</f>
        <v>1068.3872371751047</v>
      </c>
      <c r="X182" s="9">
        <f>Model_Data!F182</f>
        <v>1065.7354900670628</v>
      </c>
      <c r="Y182" s="10"/>
      <c r="Z182" s="9">
        <f>Model_Data!A182</f>
        <v>30</v>
      </c>
      <c r="AA182" s="9">
        <f>SQRT((Model_Data!A182)^2+Inputs!$C$6^2+((Model_Data!B182)-((Inputs!$C$51*(115*EXP(-(((Inputs!$C$6)-25)^2)/(4.5^2))+70*EXP(-(((Inputs!$C$6)+38)^2)/(7^2))*(0.55+0.45*SIN(2*PI()*(Model_Data!A182)/45))+24*SIN(2*PI()*(Inputs!$C$6)/9+(Model_Data!A182)/18)*EXP(-(((Inputs!$C$6)+5)^2)/(22^2))+18*SIN(2*PI()*(Model_Data!A182)/70))+Inputs!$C$28*EXP(-(((Model_Data!A182)-Inputs!$C$29)^2)/(2*Inputs!$C$31^2))*EXP(-(((Inputs!$C$6)-Inputs!$C$30)^2)/(2*Inputs!$C$32^2))+-Inputs!$C$33*EXP(-(((((Model_Data!A182)-Inputs!$C$34)^2)+(((Inputs!$C$6)-Inputs!$C$35)^2))/(2*Inputs!$C$36^2)))+Inputs!$C$37*(0.55*SIN(2*PI()*(Model_Data!A182)/Inputs!$C$39)+0.35*COS(2*PI()*(Inputs!$C$6)/Inputs!$C$40)+0.2*SIN(2*PI()*((Model_Data!A182)+(Inputs!$C$6))/(0.5*(Inputs!$C$39+Inputs!$C$40))))+Inputs!$C$38*SIN(2*PI()*(Model_Data!A182)/Inputs!$C$39)*SIN(2*PI()*(Inputs!$C$6)/Inputs!$C$40)+-Inputs!$C$41*EXP(-(((Inputs!$C$6)-Inputs!$C$43)^2)/(2*Inputs!$C$44^2))*EXP(-(((Model_Data!A182)-Inputs!$C$42)^2)/(2*Inputs!$C$45^2))+Inputs!$C$48*(0.7*(0.45*SIN(2*PI()*(((Model_Data!A182)/Inputs!$C$49)+Inputs!$C$47*0.137))+0.35*COS(2*PI()*(((Inputs!$C$6)/Inputs!$C$50)+Inputs!$C$47*0.173))+0.2*SIN(2*PI()*(((Model_Data!A182)+(Inputs!$C$6))/(0.5*(Inputs!$C$49+Inputs!$C$50))+Inputs!$C$47*0.097)))+0.3*(2*((SIN(((Model_Data!A182)*12.9898+(Inputs!$C$6)*78.233+Inputs!$C$47*37.719))*43758.5453)-INT((SIN(((Model_Data!A182)*12.9898+(Inputs!$C$6)*78.233+Inputs!$C$47*37.719))*43758.5453)))-1))))/1000)^2)</f>
        <v>402.63984548274215</v>
      </c>
      <c r="AB182" s="9">
        <f>1000*(AA183-AA181)/(Z183-Z181)*Inputs!$C$11</f>
        <v>657.14724511917666</v>
      </c>
      <c r="AC182" s="9">
        <f>-2*AB182/Inputs!$C$13</f>
        <v>-262.85889804767066</v>
      </c>
      <c r="AD182" s="9">
        <f>-2*AB182/Inputs!$C$14</f>
        <v>-39.468303010160767</v>
      </c>
    </row>
    <row r="183" spans="1:30">
      <c r="A183" s="9">
        <f>Model_Data!A183</f>
        <v>30.5</v>
      </c>
      <c r="B183" s="9">
        <f>((SQRT((Model_Data!A183)^2+Inputs!$C$6^2+Inputs!$C$5^2)-Inputs!$C$5)*1000/Inputs!$C$12)</f>
        <v>1089.528706833516</v>
      </c>
      <c r="C183" s="9">
        <f>Model_Data!F183</f>
        <v>1086.7340878249845</v>
      </c>
      <c r="D183" s="9">
        <f>(((SQRT((Model_Data!A183)^2+Inputs!$C$6^2+((Model_Data!B183)-((Inputs!$C$51*(115*EXP(-(((Inputs!$C$6)-25)^2)/(4.5^2))+70*EXP(-(((Inputs!$C$6)+38)^2)/(7^2))*(0.55+0.45*SIN(2*PI()*(Model_Data!A183)/45))+24*SIN(2*PI()*(Inputs!$C$6)/9+(Model_Data!A183)/18)*EXP(-(((Inputs!$C$6)+5)^2)/(22^2))+18*SIN(2*PI()*(Model_Data!A183)/70))+Inputs!$C$28*EXP(-(((Model_Data!A183)-Inputs!$C$29)^2)/(2*Inputs!$C$31^2))*EXP(-(((Inputs!$C$6)-Inputs!$C$30)^2)/(2*Inputs!$C$32^2))+-Inputs!$C$33*EXP(-(((((Model_Data!A183)-Inputs!$C$34)^2)+(((Inputs!$C$6)-Inputs!$C$35)^2))/(2*Inputs!$C$36^2)))+Inputs!$C$37*(0.55*SIN(2*PI()*(Model_Data!A183)/Inputs!$C$39)+0.35*COS(2*PI()*(Inputs!$C$6)/Inputs!$C$40)+0.2*SIN(2*PI()*((Model_Data!A183)+(Inputs!$C$6))/(0.5*(Inputs!$C$39+Inputs!$C$40))))+Inputs!$C$38*SIN(2*PI()*(Model_Data!A183)/Inputs!$C$39)*SIN(2*PI()*(Inputs!$C$6)/Inputs!$C$40)+-Inputs!$C$41*EXP(-(((Inputs!$C$6)-Inputs!$C$43)^2)/(2*Inputs!$C$44^2))*EXP(-(((Model_Data!A183)-Inputs!$C$42)^2)/(2*Inputs!$C$45^2))+Inputs!$C$48*(0.7*(0.45*SIN(2*PI()*(((Model_Data!A183)/Inputs!$C$49)+Inputs!$C$47*0.137))+0.35*COS(2*PI()*(((Inputs!$C$6)/Inputs!$C$50)+Inputs!$C$47*0.173))+0.2*SIN(2*PI()*(((Model_Data!A183)+(Inputs!$C$6))/(0.5*(Inputs!$C$49+Inputs!$C$50))+Inputs!$C$47*0.097)))+0.3*(2*((SIN(((Model_Data!A183)*12.9898+(Inputs!$C$6)*78.233+Inputs!$C$47*37.719))*43758.5453)-INT((SIN(((Model_Data!A183)*12.9898+(Inputs!$C$6)*78.233+Inputs!$C$47*37.719))*43758.5453)))-1))))/1000)^2))-(((Model_Data!B183)-((Inputs!$C$51*(115*EXP(-(((0)-25)^2)/(4.5^2))+70*EXP(-(((0)+38)^2)/(7^2))*(0.55+0.45*SIN(2*PI()*(Model_Data!A183)/45))+24*SIN(2*PI()*(0)/9+(Model_Data!A183)/18)*EXP(-(((0)+5)^2)/(22^2))+18*SIN(2*PI()*(Model_Data!A183)/70))+Inputs!$C$28*EXP(-(((Model_Data!A183)-Inputs!$C$29)^2)/(2*Inputs!$C$31^2))*EXP(-(((0)-Inputs!$C$30)^2)/(2*Inputs!$C$32^2))+-Inputs!$C$33*EXP(-(((((Model_Data!A183)-Inputs!$C$34)^2)+(((0)-Inputs!$C$35)^2))/(2*Inputs!$C$36^2)))+Inputs!$C$37*(0.55*SIN(2*PI()*(Model_Data!A183)/Inputs!$C$39)+0.35*COS(2*PI()*(0)/Inputs!$C$40)+0.2*SIN(2*PI()*((Model_Data!A183)+(0))/(0.5*(Inputs!$C$39+Inputs!$C$40))))+Inputs!$C$38*SIN(2*PI()*(Model_Data!A183)/Inputs!$C$39)*SIN(2*PI()*(0)/Inputs!$C$40)+-Inputs!$C$41*EXP(-(((0)-Inputs!$C$43)^2)/(2*Inputs!$C$44^2))*EXP(-(((Model_Data!A183)-Inputs!$C$42)^2)/(2*Inputs!$C$45^2))+Inputs!$C$48*(0.7*(0.45*SIN(2*PI()*(((Model_Data!A183)/Inputs!$C$49)+Inputs!$C$47*0.137))+0.35*COS(2*PI()*(((0)/Inputs!$C$50)+Inputs!$C$47*0.173))+0.2*SIN(2*PI()*(((Model_Data!A183)+(0))/(0.5*(Inputs!$C$49+Inputs!$C$50))+Inputs!$C$47*0.097)))+0.3*(2*((SIN(((Model_Data!A183)*12.9898+(0)*78.233+Inputs!$C$47*37.719))*43758.5453)-INT((SIN(((Model_Data!A183)*12.9898+(0)*78.233+Inputs!$C$47*37.719))*43758.5453)))-1))))/1000)))*1000/Inputs!$C$12)</f>
        <v>954.96519231798163</v>
      </c>
      <c r="E183" s="9">
        <f>Model_Data!A183</f>
        <v>30.5</v>
      </c>
      <c r="F183" s="9">
        <f>(Inputs!$C$51*(115*EXP(-(((Inputs!$C$6)-25)^2)/(4.5^2))+70*EXP(-(((Inputs!$C$6)+38)^2)/(7^2))*(0.55+0.45*SIN(2*PI()*(Model_Data!A183)/45))+24*SIN(2*PI()*(Inputs!$C$6)/9+(Model_Data!A183)/18)*EXP(-(((Inputs!$C$6)+5)^2)/(22^2))+18*SIN(2*PI()*(Model_Data!A183)/70))+Inputs!$C$28*EXP(-(((Model_Data!A183)-Inputs!$C$29)^2)/(2*Inputs!$C$31^2))*EXP(-(((Inputs!$C$6)-Inputs!$C$30)^2)/(2*Inputs!$C$32^2))+-Inputs!$C$33*EXP(-(((((Model_Data!A183)-Inputs!$C$34)^2)+(((Inputs!$C$6)-Inputs!$C$35)^2))/(2*Inputs!$C$36^2)))+Inputs!$C$37*(0.55*SIN(2*PI()*(Model_Data!A183)/Inputs!$C$39)+0.35*COS(2*PI()*(Inputs!$C$6)/Inputs!$C$40)+0.2*SIN(2*PI()*((Model_Data!A183)+(Inputs!$C$6))/(0.5*(Inputs!$C$39+Inputs!$C$40))))+Inputs!$C$38*SIN(2*PI()*(Model_Data!A183)/Inputs!$C$39)*SIN(2*PI()*(Inputs!$C$6)/Inputs!$C$40)+-Inputs!$C$41*EXP(-(((Inputs!$C$6)-Inputs!$C$43)^2)/(2*Inputs!$C$44^2))*EXP(-(((Model_Data!A183)-Inputs!$C$42)^2)/(2*Inputs!$C$45^2))+Inputs!$C$48*(0.7*(0.45*SIN(2*PI()*(((Model_Data!A183)/Inputs!$C$49)+Inputs!$C$47*0.137))+0.35*COS(2*PI()*(((Inputs!$C$6)/Inputs!$C$50)+Inputs!$C$47*0.173))+0.2*SIN(2*PI()*(((Model_Data!A183)+(Inputs!$C$6))/(0.5*(Inputs!$C$49+Inputs!$C$50))+Inputs!$C$47*0.097)))+0.3*(2*((SIN(((Model_Data!A183)*12.9898+(Inputs!$C$6)*78.233+Inputs!$C$47*37.719))*43758.5453)-INT((SIN(((Model_Data!A183)*12.9898+(Inputs!$C$6)*78.233+Inputs!$C$47*37.719))*43758.5453)))-1)))</f>
        <v>239.98613946244137</v>
      </c>
      <c r="G183" s="9">
        <f>(Inputs!$C$51*(115*EXP(-(((0)-25)^2)/(4.5^2))+70*EXP(-(((0)+38)^2)/(7^2))*(0.55+0.45*SIN(2*PI()*(Model_Data!A183)/45))+24*SIN(2*PI()*(0)/9+(Model_Data!A183)/18)*EXP(-(((0)+5)^2)/(22^2))+18*SIN(2*PI()*(Model_Data!A183)/70))+Inputs!$C$28*EXP(-(((Model_Data!A183)-Inputs!$C$29)^2)/(2*Inputs!$C$31^2))*EXP(-(((0)-Inputs!$C$30)^2)/(2*Inputs!$C$32^2))+-Inputs!$C$33*EXP(-(((((Model_Data!A183)-Inputs!$C$34)^2)+(((0)-Inputs!$C$35)^2))/(2*Inputs!$C$36^2)))+Inputs!$C$37*(0.55*SIN(2*PI()*(Model_Data!A183)/Inputs!$C$39)+0.35*COS(2*PI()*(0)/Inputs!$C$40)+0.2*SIN(2*PI()*((Model_Data!A183)+(0))/(0.5*(Inputs!$C$39+Inputs!$C$40))))+Inputs!$C$38*SIN(2*PI()*(Model_Data!A183)/Inputs!$C$39)*SIN(2*PI()*(0)/Inputs!$C$40)+-Inputs!$C$41*EXP(-(((0)-Inputs!$C$43)^2)/(2*Inputs!$C$44^2))*EXP(-(((Model_Data!A183)-Inputs!$C$42)^2)/(2*Inputs!$C$45^2))+Inputs!$C$48*(0.7*(0.45*SIN(2*PI()*(((Model_Data!A183)/Inputs!$C$49)+Inputs!$C$47*0.137))+0.35*COS(2*PI()*(((0)/Inputs!$C$50)+Inputs!$C$47*0.173))+0.2*SIN(2*PI()*(((Model_Data!A183)+(0))/(0.5*(Inputs!$C$49+Inputs!$C$50))+Inputs!$C$47*0.097)))+0.3*(2*((SIN(((Model_Data!A183)*12.9898+(0)*78.233+Inputs!$C$47*37.719))*43758.5453)-INT((SIN(((Model_Data!A183)*12.9898+(0)*78.233+Inputs!$C$47*37.719))*43758.5453)))-1)))</f>
        <v>4.284803604386866</v>
      </c>
      <c r="H183" s="10"/>
      <c r="I183" s="9">
        <f>Model_Data!A183</f>
        <v>30.5</v>
      </c>
      <c r="J183" s="9">
        <f>(Inputs!$C$51*(115*EXP(-(((Inputs!$C$6)-25)^2)/(4.5^2))+70*EXP(-(((Inputs!$C$6)+38)^2)/(7^2))*(0.55+0.45*SIN(2*PI()*(Model_Data!A183)/45))+24*SIN(2*PI()*(Inputs!$C$6)/9+(Model_Data!A183)/18)*EXP(-(((Inputs!$C$6)+5)^2)/(22^2))+18*SIN(2*PI()*(Model_Data!A183)/70))+Inputs!$C$28*EXP(-(((Model_Data!A183)-Inputs!$C$29)^2)/(2*Inputs!$C$31^2))*EXP(-(((Inputs!$C$6)-Inputs!$C$30)^2)/(2*Inputs!$C$32^2))+-Inputs!$C$33*EXP(-(((((Model_Data!A183)-Inputs!$C$34)^2)+(((Inputs!$C$6)-Inputs!$C$35)^2))/(2*Inputs!$C$36^2)))+Inputs!$C$37*(0.55*SIN(2*PI()*(Model_Data!A183)/Inputs!$C$39)+0.35*COS(2*PI()*(Inputs!$C$6)/Inputs!$C$40)+0.2*SIN(2*PI()*((Model_Data!A183)+(Inputs!$C$6))/(0.5*(Inputs!$C$39+Inputs!$C$40))))+Inputs!$C$38*SIN(2*PI()*(Model_Data!A183)/Inputs!$C$39)*SIN(2*PI()*(Inputs!$C$6)/Inputs!$C$40)+-Inputs!$C$41*EXP(-(((Inputs!$C$6)-Inputs!$C$43)^2)/(2*Inputs!$C$44^2))*EXP(-(((Model_Data!A183)-Inputs!$C$42)^2)/(2*Inputs!$C$45^2))+Inputs!$C$48*(0.7*(0.45*SIN(2*PI()*(((Model_Data!A183)/Inputs!$C$49)+Inputs!$C$47*0.137))+0.35*COS(2*PI()*(((Inputs!$C$6)/Inputs!$C$50)+Inputs!$C$47*0.173))+0.2*SIN(2*PI()*(((Model_Data!A183)+(Inputs!$C$6))/(0.5*(Inputs!$C$49+Inputs!$C$50))+Inputs!$C$47*0.097)))+0.3*(2*((SIN(((Model_Data!A183)*12.9898+(Inputs!$C$6)*78.233+Inputs!$C$47*37.719))*43758.5453)-INT((SIN(((Model_Data!A183)*12.9898+(Inputs!$C$6)*78.233+Inputs!$C$47*37.719))*43758.5453)))-1)))</f>
        <v>239.98613946244137</v>
      </c>
      <c r="K183" s="9">
        <f>-((((SQRT((Model_Data!A183)^2+Inputs!$C$6^2+((Model_Data!B183)-((Inputs!$C$51*(115*EXP(-(((Inputs!$C$6)-25)^2)/(4.5^2))+70*EXP(-(((Inputs!$C$6)+38)^2)/(7^2))*(0.55+0.45*SIN(2*PI()*(Model_Data!A183)/45))+24*SIN(2*PI()*(Inputs!$C$6)/9+(Model_Data!A183)/18)*EXP(-(((Inputs!$C$6)+5)^2)/(22^2))+18*SIN(2*PI()*(Model_Data!A183)/70))+Inputs!$C$28*EXP(-(((Model_Data!A183)-Inputs!$C$29)^2)/(2*Inputs!$C$31^2))*EXP(-(((Inputs!$C$6)-Inputs!$C$30)^2)/(2*Inputs!$C$32^2))+-Inputs!$C$33*EXP(-(((((Model_Data!A183)-Inputs!$C$34)^2)+(((Inputs!$C$6)-Inputs!$C$35)^2))/(2*Inputs!$C$36^2)))+Inputs!$C$37*(0.55*SIN(2*PI()*(Model_Data!A183)/Inputs!$C$39)+0.35*COS(2*PI()*(Inputs!$C$6)/Inputs!$C$40)+0.2*SIN(2*PI()*((Model_Data!A183)+(Inputs!$C$6))/(0.5*(Inputs!$C$39+Inputs!$C$40))))+Inputs!$C$38*SIN(2*PI()*(Model_Data!A183)/Inputs!$C$39)*SIN(2*PI()*(Inputs!$C$6)/Inputs!$C$40)+-Inputs!$C$41*EXP(-(((Inputs!$C$6)-Inputs!$C$43)^2)/(2*Inputs!$C$44^2))*EXP(-(((Model_Data!A183)-Inputs!$C$42)^2)/(2*Inputs!$C$45^2))+Inputs!$C$48*(0.7*(0.45*SIN(2*PI()*(((Model_Data!A183)/Inputs!$C$49)+Inputs!$C$47*0.137))+0.35*COS(2*PI()*(((Inputs!$C$6)/Inputs!$C$50)+Inputs!$C$47*0.173))+0.2*SIN(2*PI()*(((Model_Data!A183)+(Inputs!$C$6))/(0.5*(Inputs!$C$49+Inputs!$C$50))+Inputs!$C$47*0.097)))+0.3*(2*((SIN(((Model_Data!A183)*12.9898+(Inputs!$C$6)*78.233+Inputs!$C$47*37.719))*43758.5453)-INT((SIN(((Model_Data!A183)*12.9898+(Inputs!$C$6)*78.233+Inputs!$C$47*37.719))*43758.5453)))-1))))/1000)^2))-(((Model_Data!B183)-((Inputs!$C$51*(115*EXP(-(((0)-25)^2)/(4.5^2))+70*EXP(-(((0)+38)^2)/(7^2))*(0.55+0.45*SIN(2*PI()*(Model_Data!A183)/45))+24*SIN(2*PI()*(0)/9+(Model_Data!A183)/18)*EXP(-(((0)+5)^2)/(22^2))+18*SIN(2*PI()*(Model_Data!A183)/70))+Inputs!$C$28*EXP(-(((Model_Data!A183)-Inputs!$C$29)^2)/(2*Inputs!$C$31^2))*EXP(-(((0)-Inputs!$C$30)^2)/(2*Inputs!$C$32^2))+-Inputs!$C$33*EXP(-(((((Model_Data!A183)-Inputs!$C$34)^2)+(((0)-Inputs!$C$35)^2))/(2*Inputs!$C$36^2)))+Inputs!$C$37*(0.55*SIN(2*PI()*(Model_Data!A183)/Inputs!$C$39)+0.35*COS(2*PI()*(0)/Inputs!$C$40)+0.2*SIN(2*PI()*((Model_Data!A183)+(0))/(0.5*(Inputs!$C$39+Inputs!$C$40))))+Inputs!$C$38*SIN(2*PI()*(Model_Data!A183)/Inputs!$C$39)*SIN(2*PI()*(0)/Inputs!$C$40)+-Inputs!$C$41*EXP(-(((0)-Inputs!$C$43)^2)/(2*Inputs!$C$44^2))*EXP(-(((Model_Data!A183)-Inputs!$C$42)^2)/(2*Inputs!$C$45^2))+Inputs!$C$48*(0.7*(0.45*SIN(2*PI()*(((Model_Data!A183)/Inputs!$C$49)+Inputs!$C$47*0.137))+0.35*COS(2*PI()*(((0)/Inputs!$C$50)+Inputs!$C$47*0.173))+0.2*SIN(2*PI()*(((Model_Data!A183)+(0))/(0.5*(Inputs!$C$49+Inputs!$C$50))+Inputs!$C$47*0.097)))+0.3*(2*((SIN(((Model_Data!A183)*12.9898+(0)*78.233+Inputs!$C$47*37.719))*43758.5453)-INT((SIN(((Model_Data!A183)*12.9898+(0)*78.233+Inputs!$C$47*37.719))*43758.5453)))-1))))/1000)))*1000/Inputs!$C$12)-Model_Data!F183)</f>
        <v>131.76889550700287</v>
      </c>
      <c r="L183" s="10"/>
      <c r="M183" s="9">
        <f>Model_Data!A183</f>
        <v>30.5</v>
      </c>
      <c r="N183" s="9">
        <f>Model_Data!P183</f>
        <v>-229.02530143144403</v>
      </c>
      <c r="O183" s="9">
        <f t="shared" si="4"/>
        <v>-259.03513512139398</v>
      </c>
      <c r="P183" s="9">
        <f>Model_Data!Q183</f>
        <v>-34.388183398114727</v>
      </c>
      <c r="Q183" s="9">
        <f t="shared" si="5"/>
        <v>-38.894164432641745</v>
      </c>
      <c r="R183" s="10"/>
      <c r="S183" s="9">
        <f>Model_Data!A183</f>
        <v>30.5</v>
      </c>
      <c r="T183" s="9">
        <f>Model_Data!B183-Inputs!$C$5</f>
        <v>1.0336111111110995</v>
      </c>
      <c r="U183" s="10"/>
      <c r="V183" s="9">
        <f>Model_Data!A183</f>
        <v>30.5</v>
      </c>
      <c r="W183" s="9">
        <f>((SQRT((Model_Data!A183)^2+Inputs!$C$6^2+Inputs!$C$5^2)-Inputs!$C$5)*1000/Inputs!$C$12)</f>
        <v>1089.528706833516</v>
      </c>
      <c r="X183" s="9">
        <f>Model_Data!F183</f>
        <v>1086.7340878249845</v>
      </c>
      <c r="Y183" s="10"/>
      <c r="Z183" s="9">
        <f>Model_Data!A183</f>
        <v>30.5</v>
      </c>
      <c r="AA183" s="9">
        <f>SQRT((Model_Data!A183)^2+Inputs!$C$6^2+((Model_Data!B183)-((Inputs!$C$51*(115*EXP(-(((Inputs!$C$6)-25)^2)/(4.5^2))+70*EXP(-(((Inputs!$C$6)+38)^2)/(7^2))*(0.55+0.45*SIN(2*PI()*(Model_Data!A183)/45))+24*SIN(2*PI()*(Inputs!$C$6)/9+(Model_Data!A183)/18)*EXP(-(((Inputs!$C$6)+5)^2)/(22^2))+18*SIN(2*PI()*(Model_Data!A183)/70))+Inputs!$C$28*EXP(-(((Model_Data!A183)-Inputs!$C$29)^2)/(2*Inputs!$C$31^2))*EXP(-(((Inputs!$C$6)-Inputs!$C$30)^2)/(2*Inputs!$C$32^2))+-Inputs!$C$33*EXP(-(((((Model_Data!A183)-Inputs!$C$34)^2)+(((Inputs!$C$6)-Inputs!$C$35)^2))/(2*Inputs!$C$36^2)))+Inputs!$C$37*(0.55*SIN(2*PI()*(Model_Data!A183)/Inputs!$C$39)+0.35*COS(2*PI()*(Inputs!$C$6)/Inputs!$C$40)+0.2*SIN(2*PI()*((Model_Data!A183)+(Inputs!$C$6))/(0.5*(Inputs!$C$39+Inputs!$C$40))))+Inputs!$C$38*SIN(2*PI()*(Model_Data!A183)/Inputs!$C$39)*SIN(2*PI()*(Inputs!$C$6)/Inputs!$C$40)+-Inputs!$C$41*EXP(-(((Inputs!$C$6)-Inputs!$C$43)^2)/(2*Inputs!$C$44^2))*EXP(-(((Model_Data!A183)-Inputs!$C$42)^2)/(2*Inputs!$C$45^2))+Inputs!$C$48*(0.7*(0.45*SIN(2*PI()*(((Model_Data!A183)/Inputs!$C$49)+Inputs!$C$47*0.137))+0.35*COS(2*PI()*(((Inputs!$C$6)/Inputs!$C$50)+Inputs!$C$47*0.173))+0.2*SIN(2*PI()*(((Model_Data!A183)+(Inputs!$C$6))/(0.5*(Inputs!$C$49+Inputs!$C$50))+Inputs!$C$47*0.097)))+0.3*(2*((SIN(((Model_Data!A183)*12.9898+(Inputs!$C$6)*78.233+Inputs!$C$47*37.719))*43758.5453)-INT((SIN(((Model_Data!A183)*12.9898+(Inputs!$C$6)*78.233+Inputs!$C$47*37.719))*43758.5453)))-1))))/1000)^2)</f>
        <v>402.72916434983273</v>
      </c>
      <c r="AB183" s="9">
        <f>1000*(AA184-AA182)/(Z184-Z182)*Inputs!$C$11</f>
        <v>647.58783780348494</v>
      </c>
      <c r="AC183" s="9">
        <f>-2*AB183/Inputs!$C$13</f>
        <v>-259.03513512139398</v>
      </c>
      <c r="AD183" s="9">
        <f>-2*AB183/Inputs!$C$14</f>
        <v>-38.894164432641745</v>
      </c>
    </row>
    <row r="184" spans="1:30">
      <c r="A184" s="9">
        <f>Model_Data!A184</f>
        <v>31</v>
      </c>
      <c r="B184" s="9">
        <f>((SQRT((Model_Data!A184)^2+Inputs!$C$6^2+Inputs!$C$5^2)-Inputs!$C$5)*1000/Inputs!$C$12)</f>
        <v>1111.0175937355809</v>
      </c>
      <c r="C184" s="9">
        <f>Model_Data!F184</f>
        <v>1108.0741842832733</v>
      </c>
      <c r="D184" s="9">
        <f>(((SQRT((Model_Data!A184)^2+Inputs!$C$6^2+((Model_Data!B184)-((Inputs!$C$51*(115*EXP(-(((Inputs!$C$6)-25)^2)/(4.5^2))+70*EXP(-(((Inputs!$C$6)+38)^2)/(7^2))*(0.55+0.45*SIN(2*PI()*(Model_Data!A184)/45))+24*SIN(2*PI()*(Inputs!$C$6)/9+(Model_Data!A184)/18)*EXP(-(((Inputs!$C$6)+5)^2)/(22^2))+18*SIN(2*PI()*(Model_Data!A184)/70))+Inputs!$C$28*EXP(-(((Model_Data!A184)-Inputs!$C$29)^2)/(2*Inputs!$C$31^2))*EXP(-(((Inputs!$C$6)-Inputs!$C$30)^2)/(2*Inputs!$C$32^2))+-Inputs!$C$33*EXP(-(((((Model_Data!A184)-Inputs!$C$34)^2)+(((Inputs!$C$6)-Inputs!$C$35)^2))/(2*Inputs!$C$36^2)))+Inputs!$C$37*(0.55*SIN(2*PI()*(Model_Data!A184)/Inputs!$C$39)+0.35*COS(2*PI()*(Inputs!$C$6)/Inputs!$C$40)+0.2*SIN(2*PI()*((Model_Data!A184)+(Inputs!$C$6))/(0.5*(Inputs!$C$39+Inputs!$C$40))))+Inputs!$C$38*SIN(2*PI()*(Model_Data!A184)/Inputs!$C$39)*SIN(2*PI()*(Inputs!$C$6)/Inputs!$C$40)+-Inputs!$C$41*EXP(-(((Inputs!$C$6)-Inputs!$C$43)^2)/(2*Inputs!$C$44^2))*EXP(-(((Model_Data!A184)-Inputs!$C$42)^2)/(2*Inputs!$C$45^2))+Inputs!$C$48*(0.7*(0.45*SIN(2*PI()*(((Model_Data!A184)/Inputs!$C$49)+Inputs!$C$47*0.137))+0.35*COS(2*PI()*(((Inputs!$C$6)/Inputs!$C$50)+Inputs!$C$47*0.173))+0.2*SIN(2*PI()*(((Model_Data!A184)+(Inputs!$C$6))/(0.5*(Inputs!$C$49+Inputs!$C$50))+Inputs!$C$47*0.097)))+0.3*(2*((SIN(((Model_Data!A184)*12.9898+(Inputs!$C$6)*78.233+Inputs!$C$47*37.719))*43758.5453)-INT((SIN(((Model_Data!A184)*12.9898+(Inputs!$C$6)*78.233+Inputs!$C$47*37.719))*43758.5453)))-1))))/1000)^2))-(((Model_Data!B184)-((Inputs!$C$51*(115*EXP(-(((0)-25)^2)/(4.5^2))+70*EXP(-(((0)+38)^2)/(7^2))*(0.55+0.45*SIN(2*PI()*(Model_Data!A184)/45))+24*SIN(2*PI()*(0)/9+(Model_Data!A184)/18)*EXP(-(((0)+5)^2)/(22^2))+18*SIN(2*PI()*(Model_Data!A184)/70))+Inputs!$C$28*EXP(-(((Model_Data!A184)-Inputs!$C$29)^2)/(2*Inputs!$C$31^2))*EXP(-(((0)-Inputs!$C$30)^2)/(2*Inputs!$C$32^2))+-Inputs!$C$33*EXP(-(((((Model_Data!A184)-Inputs!$C$34)^2)+(((0)-Inputs!$C$35)^2))/(2*Inputs!$C$36^2)))+Inputs!$C$37*(0.55*SIN(2*PI()*(Model_Data!A184)/Inputs!$C$39)+0.35*COS(2*PI()*(0)/Inputs!$C$40)+0.2*SIN(2*PI()*((Model_Data!A184)+(0))/(0.5*(Inputs!$C$39+Inputs!$C$40))))+Inputs!$C$38*SIN(2*PI()*(Model_Data!A184)/Inputs!$C$39)*SIN(2*PI()*(0)/Inputs!$C$40)+-Inputs!$C$41*EXP(-(((0)-Inputs!$C$43)^2)/(2*Inputs!$C$44^2))*EXP(-(((Model_Data!A184)-Inputs!$C$42)^2)/(2*Inputs!$C$45^2))+Inputs!$C$48*(0.7*(0.45*SIN(2*PI()*(((Model_Data!A184)/Inputs!$C$49)+Inputs!$C$47*0.137))+0.35*COS(2*PI()*(((0)/Inputs!$C$50)+Inputs!$C$47*0.173))+0.2*SIN(2*PI()*(((Model_Data!A184)+(0))/(0.5*(Inputs!$C$49+Inputs!$C$50))+Inputs!$C$47*0.097)))+0.3*(2*((SIN(((Model_Data!A184)*12.9898+(0)*78.233+Inputs!$C$47*37.719))*43758.5453)-INT((SIN(((Model_Data!A184)*12.9898+(0)*78.233+Inputs!$C$47*37.719))*43758.5453)))-1))))/1000)))*1000/Inputs!$C$12)</f>
        <v>984.63876038010767</v>
      </c>
      <c r="E184" s="9">
        <f>Model_Data!A184</f>
        <v>31</v>
      </c>
      <c r="F184" s="9">
        <f>(Inputs!$C$51*(115*EXP(-(((Inputs!$C$6)-25)^2)/(4.5^2))+70*EXP(-(((Inputs!$C$6)+38)^2)/(7^2))*(0.55+0.45*SIN(2*PI()*(Model_Data!A184)/45))+24*SIN(2*PI()*(Inputs!$C$6)/9+(Model_Data!A184)/18)*EXP(-(((Inputs!$C$6)+5)^2)/(22^2))+18*SIN(2*PI()*(Model_Data!A184)/70))+Inputs!$C$28*EXP(-(((Model_Data!A184)-Inputs!$C$29)^2)/(2*Inputs!$C$31^2))*EXP(-(((Inputs!$C$6)-Inputs!$C$30)^2)/(2*Inputs!$C$32^2))+-Inputs!$C$33*EXP(-(((((Model_Data!A184)-Inputs!$C$34)^2)+(((Inputs!$C$6)-Inputs!$C$35)^2))/(2*Inputs!$C$36^2)))+Inputs!$C$37*(0.55*SIN(2*PI()*(Model_Data!A184)/Inputs!$C$39)+0.35*COS(2*PI()*(Inputs!$C$6)/Inputs!$C$40)+0.2*SIN(2*PI()*((Model_Data!A184)+(Inputs!$C$6))/(0.5*(Inputs!$C$39+Inputs!$C$40))))+Inputs!$C$38*SIN(2*PI()*(Model_Data!A184)/Inputs!$C$39)*SIN(2*PI()*(Inputs!$C$6)/Inputs!$C$40)+-Inputs!$C$41*EXP(-(((Inputs!$C$6)-Inputs!$C$43)^2)/(2*Inputs!$C$44^2))*EXP(-(((Model_Data!A184)-Inputs!$C$42)^2)/(2*Inputs!$C$45^2))+Inputs!$C$48*(0.7*(0.45*SIN(2*PI()*(((Model_Data!A184)/Inputs!$C$49)+Inputs!$C$47*0.137))+0.35*COS(2*PI()*(((Inputs!$C$6)/Inputs!$C$50)+Inputs!$C$47*0.173))+0.2*SIN(2*PI()*(((Model_Data!A184)+(Inputs!$C$6))/(0.5*(Inputs!$C$49+Inputs!$C$50))+Inputs!$C$47*0.097)))+0.3*(2*((SIN(((Model_Data!A184)*12.9898+(Inputs!$C$6)*78.233+Inputs!$C$47*37.719))*43758.5453)-INT((SIN(((Model_Data!A184)*12.9898+(Inputs!$C$6)*78.233+Inputs!$C$47*37.719))*43758.5453)))-1)))</f>
        <v>239.58052306016251</v>
      </c>
      <c r="G184" s="9">
        <f>(Inputs!$C$51*(115*EXP(-(((0)-25)^2)/(4.5^2))+70*EXP(-(((0)+38)^2)/(7^2))*(0.55+0.45*SIN(2*PI()*(Model_Data!A184)/45))+24*SIN(2*PI()*(0)/9+(Model_Data!A184)/18)*EXP(-(((0)+5)^2)/(22^2))+18*SIN(2*PI()*(Model_Data!A184)/70))+Inputs!$C$28*EXP(-(((Model_Data!A184)-Inputs!$C$29)^2)/(2*Inputs!$C$31^2))*EXP(-(((0)-Inputs!$C$30)^2)/(2*Inputs!$C$32^2))+-Inputs!$C$33*EXP(-(((((Model_Data!A184)-Inputs!$C$34)^2)+(((0)-Inputs!$C$35)^2))/(2*Inputs!$C$36^2)))+Inputs!$C$37*(0.55*SIN(2*PI()*(Model_Data!A184)/Inputs!$C$39)+0.35*COS(2*PI()*(0)/Inputs!$C$40)+0.2*SIN(2*PI()*((Model_Data!A184)+(0))/(0.5*(Inputs!$C$39+Inputs!$C$40))))+Inputs!$C$38*SIN(2*PI()*(Model_Data!A184)/Inputs!$C$39)*SIN(2*PI()*(0)/Inputs!$C$40)+-Inputs!$C$41*EXP(-(((0)-Inputs!$C$43)^2)/(2*Inputs!$C$44^2))*EXP(-(((Model_Data!A184)-Inputs!$C$42)^2)/(2*Inputs!$C$45^2))+Inputs!$C$48*(0.7*(0.45*SIN(2*PI()*(((Model_Data!A184)/Inputs!$C$49)+Inputs!$C$47*0.137))+0.35*COS(2*PI()*(((0)/Inputs!$C$50)+Inputs!$C$47*0.173))+0.2*SIN(2*PI()*(((Model_Data!A184)+(0))/(0.5*(Inputs!$C$49+Inputs!$C$50))+Inputs!$C$47*0.097)))+0.3*(2*((SIN(((Model_Data!A184)*12.9898+(0)*78.233+Inputs!$C$47*37.719))*43758.5453)-INT((SIN(((Model_Data!A184)*12.9898+(0)*78.233+Inputs!$C$47*37.719))*43758.5453)))-1)))</f>
        <v>18.692329061381155</v>
      </c>
      <c r="H184" s="10"/>
      <c r="I184" s="9">
        <f>Model_Data!A184</f>
        <v>31</v>
      </c>
      <c r="J184" s="9">
        <f>(Inputs!$C$51*(115*EXP(-(((Inputs!$C$6)-25)^2)/(4.5^2))+70*EXP(-(((Inputs!$C$6)+38)^2)/(7^2))*(0.55+0.45*SIN(2*PI()*(Model_Data!A184)/45))+24*SIN(2*PI()*(Inputs!$C$6)/9+(Model_Data!A184)/18)*EXP(-(((Inputs!$C$6)+5)^2)/(22^2))+18*SIN(2*PI()*(Model_Data!A184)/70))+Inputs!$C$28*EXP(-(((Model_Data!A184)-Inputs!$C$29)^2)/(2*Inputs!$C$31^2))*EXP(-(((Inputs!$C$6)-Inputs!$C$30)^2)/(2*Inputs!$C$32^2))+-Inputs!$C$33*EXP(-(((((Model_Data!A184)-Inputs!$C$34)^2)+(((Inputs!$C$6)-Inputs!$C$35)^2))/(2*Inputs!$C$36^2)))+Inputs!$C$37*(0.55*SIN(2*PI()*(Model_Data!A184)/Inputs!$C$39)+0.35*COS(2*PI()*(Inputs!$C$6)/Inputs!$C$40)+0.2*SIN(2*PI()*((Model_Data!A184)+(Inputs!$C$6))/(0.5*(Inputs!$C$39+Inputs!$C$40))))+Inputs!$C$38*SIN(2*PI()*(Model_Data!A184)/Inputs!$C$39)*SIN(2*PI()*(Inputs!$C$6)/Inputs!$C$40)+-Inputs!$C$41*EXP(-(((Inputs!$C$6)-Inputs!$C$43)^2)/(2*Inputs!$C$44^2))*EXP(-(((Model_Data!A184)-Inputs!$C$42)^2)/(2*Inputs!$C$45^2))+Inputs!$C$48*(0.7*(0.45*SIN(2*PI()*(((Model_Data!A184)/Inputs!$C$49)+Inputs!$C$47*0.137))+0.35*COS(2*PI()*(((Inputs!$C$6)/Inputs!$C$50)+Inputs!$C$47*0.173))+0.2*SIN(2*PI()*(((Model_Data!A184)+(Inputs!$C$6))/(0.5*(Inputs!$C$49+Inputs!$C$50))+Inputs!$C$47*0.097)))+0.3*(2*((SIN(((Model_Data!A184)*12.9898+(Inputs!$C$6)*78.233+Inputs!$C$47*37.719))*43758.5453)-INT((SIN(((Model_Data!A184)*12.9898+(Inputs!$C$6)*78.233+Inputs!$C$47*37.719))*43758.5453)))-1)))</f>
        <v>239.58052306016251</v>
      </c>
      <c r="K184" s="9">
        <f>-((((SQRT((Model_Data!A184)^2+Inputs!$C$6^2+((Model_Data!B184)-((Inputs!$C$51*(115*EXP(-(((Inputs!$C$6)-25)^2)/(4.5^2))+70*EXP(-(((Inputs!$C$6)+38)^2)/(7^2))*(0.55+0.45*SIN(2*PI()*(Model_Data!A184)/45))+24*SIN(2*PI()*(Inputs!$C$6)/9+(Model_Data!A184)/18)*EXP(-(((Inputs!$C$6)+5)^2)/(22^2))+18*SIN(2*PI()*(Model_Data!A184)/70))+Inputs!$C$28*EXP(-(((Model_Data!A184)-Inputs!$C$29)^2)/(2*Inputs!$C$31^2))*EXP(-(((Inputs!$C$6)-Inputs!$C$30)^2)/(2*Inputs!$C$32^2))+-Inputs!$C$33*EXP(-(((((Model_Data!A184)-Inputs!$C$34)^2)+(((Inputs!$C$6)-Inputs!$C$35)^2))/(2*Inputs!$C$36^2)))+Inputs!$C$37*(0.55*SIN(2*PI()*(Model_Data!A184)/Inputs!$C$39)+0.35*COS(2*PI()*(Inputs!$C$6)/Inputs!$C$40)+0.2*SIN(2*PI()*((Model_Data!A184)+(Inputs!$C$6))/(0.5*(Inputs!$C$39+Inputs!$C$40))))+Inputs!$C$38*SIN(2*PI()*(Model_Data!A184)/Inputs!$C$39)*SIN(2*PI()*(Inputs!$C$6)/Inputs!$C$40)+-Inputs!$C$41*EXP(-(((Inputs!$C$6)-Inputs!$C$43)^2)/(2*Inputs!$C$44^2))*EXP(-(((Model_Data!A184)-Inputs!$C$42)^2)/(2*Inputs!$C$45^2))+Inputs!$C$48*(0.7*(0.45*SIN(2*PI()*(((Model_Data!A184)/Inputs!$C$49)+Inputs!$C$47*0.137))+0.35*COS(2*PI()*(((Inputs!$C$6)/Inputs!$C$50)+Inputs!$C$47*0.173))+0.2*SIN(2*PI()*(((Model_Data!A184)+(Inputs!$C$6))/(0.5*(Inputs!$C$49+Inputs!$C$50))+Inputs!$C$47*0.097)))+0.3*(2*((SIN(((Model_Data!A184)*12.9898+(Inputs!$C$6)*78.233+Inputs!$C$47*37.719))*43758.5453)-INT((SIN(((Model_Data!A184)*12.9898+(Inputs!$C$6)*78.233+Inputs!$C$47*37.719))*43758.5453)))-1))))/1000)^2))-(((Model_Data!B184)-((Inputs!$C$51*(115*EXP(-(((0)-25)^2)/(4.5^2))+70*EXP(-(((0)+38)^2)/(7^2))*(0.55+0.45*SIN(2*PI()*(Model_Data!A184)/45))+24*SIN(2*PI()*(0)/9+(Model_Data!A184)/18)*EXP(-(((0)+5)^2)/(22^2))+18*SIN(2*PI()*(Model_Data!A184)/70))+Inputs!$C$28*EXP(-(((Model_Data!A184)-Inputs!$C$29)^2)/(2*Inputs!$C$31^2))*EXP(-(((0)-Inputs!$C$30)^2)/(2*Inputs!$C$32^2))+-Inputs!$C$33*EXP(-(((((Model_Data!A184)-Inputs!$C$34)^2)+(((0)-Inputs!$C$35)^2))/(2*Inputs!$C$36^2)))+Inputs!$C$37*(0.55*SIN(2*PI()*(Model_Data!A184)/Inputs!$C$39)+0.35*COS(2*PI()*(0)/Inputs!$C$40)+0.2*SIN(2*PI()*((Model_Data!A184)+(0))/(0.5*(Inputs!$C$39+Inputs!$C$40))))+Inputs!$C$38*SIN(2*PI()*(Model_Data!A184)/Inputs!$C$39)*SIN(2*PI()*(0)/Inputs!$C$40)+-Inputs!$C$41*EXP(-(((0)-Inputs!$C$43)^2)/(2*Inputs!$C$44^2))*EXP(-(((Model_Data!A184)-Inputs!$C$42)^2)/(2*Inputs!$C$45^2))+Inputs!$C$48*(0.7*(0.45*SIN(2*PI()*(((Model_Data!A184)/Inputs!$C$49)+Inputs!$C$47*0.137))+0.35*COS(2*PI()*(((0)/Inputs!$C$50)+Inputs!$C$47*0.173))+0.2*SIN(2*PI()*(((Model_Data!A184)+(0))/(0.5*(Inputs!$C$49+Inputs!$C$50))+Inputs!$C$47*0.097)))+0.3*(2*((SIN(((Model_Data!A184)*12.9898+(0)*78.233+Inputs!$C$47*37.719))*43758.5453)-INT((SIN(((Model_Data!A184)*12.9898+(0)*78.233+Inputs!$C$47*37.719))*43758.5453)))-1))))/1000)))*1000/Inputs!$C$12)-Model_Data!F184)</f>
        <v>123.43542390316566</v>
      </c>
      <c r="L184" s="10"/>
      <c r="M184" s="9">
        <f>Model_Data!A184</f>
        <v>31</v>
      </c>
      <c r="N184" s="9">
        <f>Model_Data!P184</f>
        <v>-232.74748624656678</v>
      </c>
      <c r="O184" s="9">
        <f t="shared" si="4"/>
        <v>-270.11167028531418</v>
      </c>
      <c r="P184" s="9">
        <f>Model_Data!Q184</f>
        <v>-34.947070006992007</v>
      </c>
      <c r="Q184" s="9">
        <f t="shared" si="5"/>
        <v>-40.557307850647774</v>
      </c>
      <c r="R184" s="10"/>
      <c r="S184" s="9">
        <f>Model_Data!A184</f>
        <v>31</v>
      </c>
      <c r="T184" s="9">
        <f>Model_Data!B184-Inputs!$C$5</f>
        <v>1.0677777777777919</v>
      </c>
      <c r="U184" s="10"/>
      <c r="V184" s="9">
        <f>Model_Data!A184</f>
        <v>31</v>
      </c>
      <c r="W184" s="9">
        <f>((SQRT((Model_Data!A184)^2+Inputs!$C$6^2+Inputs!$C$5^2)-Inputs!$C$5)*1000/Inputs!$C$12)</f>
        <v>1111.0175937355809</v>
      </c>
      <c r="X184" s="9">
        <f>Model_Data!F184</f>
        <v>1108.0741842832733</v>
      </c>
      <c r="Y184" s="10"/>
      <c r="Z184" s="9">
        <f>Model_Data!A184</f>
        <v>31</v>
      </c>
      <c r="AA184" s="9">
        <f>SQRT((Model_Data!A184)^2+Inputs!$C$6^2+((Model_Data!B184)-((Inputs!$C$51*(115*EXP(-(((Inputs!$C$6)-25)^2)/(4.5^2))+70*EXP(-(((Inputs!$C$6)+38)^2)/(7^2))*(0.55+0.45*SIN(2*PI()*(Model_Data!A184)/45))+24*SIN(2*PI()*(Inputs!$C$6)/9+(Model_Data!A184)/18)*EXP(-(((Inputs!$C$6)+5)^2)/(22^2))+18*SIN(2*PI()*(Model_Data!A184)/70))+Inputs!$C$28*EXP(-(((Model_Data!A184)-Inputs!$C$29)^2)/(2*Inputs!$C$31^2))*EXP(-(((Inputs!$C$6)-Inputs!$C$30)^2)/(2*Inputs!$C$32^2))+-Inputs!$C$33*EXP(-(((((Model_Data!A184)-Inputs!$C$34)^2)+(((Inputs!$C$6)-Inputs!$C$35)^2))/(2*Inputs!$C$36^2)))+Inputs!$C$37*(0.55*SIN(2*PI()*(Model_Data!A184)/Inputs!$C$39)+0.35*COS(2*PI()*(Inputs!$C$6)/Inputs!$C$40)+0.2*SIN(2*PI()*((Model_Data!A184)+(Inputs!$C$6))/(0.5*(Inputs!$C$39+Inputs!$C$40))))+Inputs!$C$38*SIN(2*PI()*(Model_Data!A184)/Inputs!$C$39)*SIN(2*PI()*(Inputs!$C$6)/Inputs!$C$40)+-Inputs!$C$41*EXP(-(((Inputs!$C$6)-Inputs!$C$43)^2)/(2*Inputs!$C$44^2))*EXP(-(((Model_Data!A184)-Inputs!$C$42)^2)/(2*Inputs!$C$45^2))+Inputs!$C$48*(0.7*(0.45*SIN(2*PI()*(((Model_Data!A184)/Inputs!$C$49)+Inputs!$C$47*0.137))+0.35*COS(2*PI()*(((Inputs!$C$6)/Inputs!$C$50)+Inputs!$C$47*0.173))+0.2*SIN(2*PI()*(((Model_Data!A184)+(Inputs!$C$6))/(0.5*(Inputs!$C$49+Inputs!$C$50))+Inputs!$C$47*0.097)))+0.3*(2*((SIN(((Model_Data!A184)*12.9898+(Inputs!$C$6)*78.233+Inputs!$C$47*37.719))*43758.5453)-INT((SIN(((Model_Data!A184)*12.9898+(Inputs!$C$6)*78.233+Inputs!$C$47*37.719))*43758.5453)))-1))))/1000)^2)</f>
        <v>402.80174244219302</v>
      </c>
      <c r="AB184" s="9">
        <f>1000*(AA185-AA183)/(Z185-Z183)*Inputs!$C$11</f>
        <v>675.27917571328544</v>
      </c>
      <c r="AC184" s="9">
        <f>-2*AB184/Inputs!$C$13</f>
        <v>-270.11167028531418</v>
      </c>
      <c r="AD184" s="9">
        <f>-2*AB184/Inputs!$C$14</f>
        <v>-40.557307850647774</v>
      </c>
    </row>
    <row r="185" spans="1:30">
      <c r="A185" s="9">
        <f>Model_Data!A185</f>
        <v>31.5</v>
      </c>
      <c r="B185" s="9">
        <f>((SQRT((Model_Data!A185)^2+Inputs!$C$6^2+Inputs!$C$5^2)-Inputs!$C$5)*1000/Inputs!$C$12)</f>
        <v>1132.8537987153045</v>
      </c>
      <c r="C185" s="9">
        <f>Model_Data!F185</f>
        <v>1129.7555078402418</v>
      </c>
      <c r="D185" s="9">
        <f>(((SQRT((Model_Data!A185)^2+Inputs!$C$6^2+((Model_Data!B185)-((Inputs!$C$51*(115*EXP(-(((Inputs!$C$6)-25)^2)/(4.5^2))+70*EXP(-(((Inputs!$C$6)+38)^2)/(7^2))*(0.55+0.45*SIN(2*PI()*(Model_Data!A185)/45))+24*SIN(2*PI()*(Inputs!$C$6)/9+(Model_Data!A185)/18)*EXP(-(((Inputs!$C$6)+5)^2)/(22^2))+18*SIN(2*PI()*(Model_Data!A185)/70))+Inputs!$C$28*EXP(-(((Model_Data!A185)-Inputs!$C$29)^2)/(2*Inputs!$C$31^2))*EXP(-(((Inputs!$C$6)-Inputs!$C$30)^2)/(2*Inputs!$C$32^2))+-Inputs!$C$33*EXP(-(((((Model_Data!A185)-Inputs!$C$34)^2)+(((Inputs!$C$6)-Inputs!$C$35)^2))/(2*Inputs!$C$36^2)))+Inputs!$C$37*(0.55*SIN(2*PI()*(Model_Data!A185)/Inputs!$C$39)+0.35*COS(2*PI()*(Inputs!$C$6)/Inputs!$C$40)+0.2*SIN(2*PI()*((Model_Data!A185)+(Inputs!$C$6))/(0.5*(Inputs!$C$39+Inputs!$C$40))))+Inputs!$C$38*SIN(2*PI()*(Model_Data!A185)/Inputs!$C$39)*SIN(2*PI()*(Inputs!$C$6)/Inputs!$C$40)+-Inputs!$C$41*EXP(-(((Inputs!$C$6)-Inputs!$C$43)^2)/(2*Inputs!$C$44^2))*EXP(-(((Model_Data!A185)-Inputs!$C$42)^2)/(2*Inputs!$C$45^2))+Inputs!$C$48*(0.7*(0.45*SIN(2*PI()*(((Model_Data!A185)/Inputs!$C$49)+Inputs!$C$47*0.137))+0.35*COS(2*PI()*(((Inputs!$C$6)/Inputs!$C$50)+Inputs!$C$47*0.173))+0.2*SIN(2*PI()*(((Model_Data!A185)+(Inputs!$C$6))/(0.5*(Inputs!$C$49+Inputs!$C$50))+Inputs!$C$47*0.097)))+0.3*(2*((SIN(((Model_Data!A185)*12.9898+(Inputs!$C$6)*78.233+Inputs!$C$47*37.719))*43758.5453)-INT((SIN(((Model_Data!A185)*12.9898+(Inputs!$C$6)*78.233+Inputs!$C$47*37.719))*43758.5453)))-1))))/1000)^2))-(((Model_Data!B185)-((Inputs!$C$51*(115*EXP(-(((0)-25)^2)/(4.5^2))+70*EXP(-(((0)+38)^2)/(7^2))*(0.55+0.45*SIN(2*PI()*(Model_Data!A185)/45))+24*SIN(2*PI()*(0)/9+(Model_Data!A185)/18)*EXP(-(((0)+5)^2)/(22^2))+18*SIN(2*PI()*(Model_Data!A185)/70))+Inputs!$C$28*EXP(-(((Model_Data!A185)-Inputs!$C$29)^2)/(2*Inputs!$C$31^2))*EXP(-(((0)-Inputs!$C$30)^2)/(2*Inputs!$C$32^2))+-Inputs!$C$33*EXP(-(((((Model_Data!A185)-Inputs!$C$34)^2)+(((0)-Inputs!$C$35)^2))/(2*Inputs!$C$36^2)))+Inputs!$C$37*(0.55*SIN(2*PI()*(Model_Data!A185)/Inputs!$C$39)+0.35*COS(2*PI()*(0)/Inputs!$C$40)+0.2*SIN(2*PI()*((Model_Data!A185)+(0))/(0.5*(Inputs!$C$39+Inputs!$C$40))))+Inputs!$C$38*SIN(2*PI()*(Model_Data!A185)/Inputs!$C$39)*SIN(2*PI()*(0)/Inputs!$C$40)+-Inputs!$C$41*EXP(-(((0)-Inputs!$C$43)^2)/(2*Inputs!$C$44^2))*EXP(-(((Model_Data!A185)-Inputs!$C$42)^2)/(2*Inputs!$C$45^2))+Inputs!$C$48*(0.7*(0.45*SIN(2*PI()*(((Model_Data!A185)/Inputs!$C$49)+Inputs!$C$47*0.137))+0.35*COS(2*PI()*(((0)/Inputs!$C$50)+Inputs!$C$47*0.173))+0.2*SIN(2*PI()*(((Model_Data!A185)+(0))/(0.5*(Inputs!$C$49+Inputs!$C$50))+Inputs!$C$47*0.097)))+0.3*(2*((SIN(((Model_Data!A185)*12.9898+(0)*78.233+Inputs!$C$47*37.719))*43758.5453)-INT((SIN(((Model_Data!A185)*12.9898+(0)*78.233+Inputs!$C$47*37.719))*43758.5453)))-1))))/1000)))*1000/Inputs!$C$12)</f>
        <v>1019.137051146162</v>
      </c>
      <c r="E185" s="9">
        <f>Model_Data!A185</f>
        <v>31.5</v>
      </c>
      <c r="F185" s="9">
        <f>(Inputs!$C$51*(115*EXP(-(((Inputs!$C$6)-25)^2)/(4.5^2))+70*EXP(-(((Inputs!$C$6)+38)^2)/(7^2))*(0.55+0.45*SIN(2*PI()*(Model_Data!A185)/45))+24*SIN(2*PI()*(Inputs!$C$6)/9+(Model_Data!A185)/18)*EXP(-(((Inputs!$C$6)+5)^2)/(22^2))+18*SIN(2*PI()*(Model_Data!A185)/70))+Inputs!$C$28*EXP(-(((Model_Data!A185)-Inputs!$C$29)^2)/(2*Inputs!$C$31^2))*EXP(-(((Inputs!$C$6)-Inputs!$C$30)^2)/(2*Inputs!$C$32^2))+-Inputs!$C$33*EXP(-(((((Model_Data!A185)-Inputs!$C$34)^2)+(((Inputs!$C$6)-Inputs!$C$35)^2))/(2*Inputs!$C$36^2)))+Inputs!$C$37*(0.55*SIN(2*PI()*(Model_Data!A185)/Inputs!$C$39)+0.35*COS(2*PI()*(Inputs!$C$6)/Inputs!$C$40)+0.2*SIN(2*PI()*((Model_Data!A185)+(Inputs!$C$6))/(0.5*(Inputs!$C$39+Inputs!$C$40))))+Inputs!$C$38*SIN(2*PI()*(Model_Data!A185)/Inputs!$C$39)*SIN(2*PI()*(Inputs!$C$6)/Inputs!$C$40)+-Inputs!$C$41*EXP(-(((Inputs!$C$6)-Inputs!$C$43)^2)/(2*Inputs!$C$44^2))*EXP(-(((Model_Data!A185)-Inputs!$C$42)^2)/(2*Inputs!$C$45^2))+Inputs!$C$48*(0.7*(0.45*SIN(2*PI()*(((Model_Data!A185)/Inputs!$C$49)+Inputs!$C$47*0.137))+0.35*COS(2*PI()*(((Inputs!$C$6)/Inputs!$C$50)+Inputs!$C$47*0.173))+0.2*SIN(2*PI()*(((Model_Data!A185)+(Inputs!$C$6))/(0.5*(Inputs!$C$49+Inputs!$C$50))+Inputs!$C$47*0.097)))+0.3*(2*((SIN(((Model_Data!A185)*12.9898+(Inputs!$C$6)*78.233+Inputs!$C$47*37.719))*43758.5453)-INT((SIN(((Model_Data!A185)*12.9898+(Inputs!$C$6)*78.233+Inputs!$C$47*37.719))*43758.5453)))-1)))</f>
        <v>216.56157473379682</v>
      </c>
      <c r="G185" s="9">
        <f>(Inputs!$C$51*(115*EXP(-(((0)-25)^2)/(4.5^2))+70*EXP(-(((0)+38)^2)/(7^2))*(0.55+0.45*SIN(2*PI()*(Model_Data!A185)/45))+24*SIN(2*PI()*(0)/9+(Model_Data!A185)/18)*EXP(-(((0)+5)^2)/(22^2))+18*SIN(2*PI()*(Model_Data!A185)/70))+Inputs!$C$28*EXP(-(((Model_Data!A185)-Inputs!$C$29)^2)/(2*Inputs!$C$31^2))*EXP(-(((0)-Inputs!$C$30)^2)/(2*Inputs!$C$32^2))+-Inputs!$C$33*EXP(-(((((Model_Data!A185)-Inputs!$C$34)^2)+(((0)-Inputs!$C$35)^2))/(2*Inputs!$C$36^2)))+Inputs!$C$37*(0.55*SIN(2*PI()*(Model_Data!A185)/Inputs!$C$39)+0.35*COS(2*PI()*(0)/Inputs!$C$40)+0.2*SIN(2*PI()*((Model_Data!A185)+(0))/(0.5*(Inputs!$C$39+Inputs!$C$40))))+Inputs!$C$38*SIN(2*PI()*(Model_Data!A185)/Inputs!$C$39)*SIN(2*PI()*(0)/Inputs!$C$40)+-Inputs!$C$41*EXP(-(((0)-Inputs!$C$43)^2)/(2*Inputs!$C$44^2))*EXP(-(((Model_Data!A185)-Inputs!$C$42)^2)/(2*Inputs!$C$45^2))+Inputs!$C$48*(0.7*(0.45*SIN(2*PI()*(((Model_Data!A185)/Inputs!$C$49)+Inputs!$C$47*0.137))+0.35*COS(2*PI()*(((0)/Inputs!$C$50)+Inputs!$C$47*0.173))+0.2*SIN(2*PI()*(((Model_Data!A185)+(0))/(0.5*(Inputs!$C$49+Inputs!$C$50))+Inputs!$C$47*0.097)))+0.3*(2*((SIN(((Model_Data!A185)*12.9898+(0)*78.233+Inputs!$C$47*37.719))*43758.5453)-INT((SIN(((Model_Data!A185)*12.9898+(0)*78.233+Inputs!$C$47*37.719))*43758.5453)))-1)))</f>
        <v>18.579807279110426</v>
      </c>
      <c r="H185" s="10"/>
      <c r="I185" s="9">
        <f>Model_Data!A185</f>
        <v>31.5</v>
      </c>
      <c r="J185" s="9">
        <f>(Inputs!$C$51*(115*EXP(-(((Inputs!$C$6)-25)^2)/(4.5^2))+70*EXP(-(((Inputs!$C$6)+38)^2)/(7^2))*(0.55+0.45*SIN(2*PI()*(Model_Data!A185)/45))+24*SIN(2*PI()*(Inputs!$C$6)/9+(Model_Data!A185)/18)*EXP(-(((Inputs!$C$6)+5)^2)/(22^2))+18*SIN(2*PI()*(Model_Data!A185)/70))+Inputs!$C$28*EXP(-(((Model_Data!A185)-Inputs!$C$29)^2)/(2*Inputs!$C$31^2))*EXP(-(((Inputs!$C$6)-Inputs!$C$30)^2)/(2*Inputs!$C$32^2))+-Inputs!$C$33*EXP(-(((((Model_Data!A185)-Inputs!$C$34)^2)+(((Inputs!$C$6)-Inputs!$C$35)^2))/(2*Inputs!$C$36^2)))+Inputs!$C$37*(0.55*SIN(2*PI()*(Model_Data!A185)/Inputs!$C$39)+0.35*COS(2*PI()*(Inputs!$C$6)/Inputs!$C$40)+0.2*SIN(2*PI()*((Model_Data!A185)+(Inputs!$C$6))/(0.5*(Inputs!$C$39+Inputs!$C$40))))+Inputs!$C$38*SIN(2*PI()*(Model_Data!A185)/Inputs!$C$39)*SIN(2*PI()*(Inputs!$C$6)/Inputs!$C$40)+-Inputs!$C$41*EXP(-(((Inputs!$C$6)-Inputs!$C$43)^2)/(2*Inputs!$C$44^2))*EXP(-(((Model_Data!A185)-Inputs!$C$42)^2)/(2*Inputs!$C$45^2))+Inputs!$C$48*(0.7*(0.45*SIN(2*PI()*(((Model_Data!A185)/Inputs!$C$49)+Inputs!$C$47*0.137))+0.35*COS(2*PI()*(((Inputs!$C$6)/Inputs!$C$50)+Inputs!$C$47*0.173))+0.2*SIN(2*PI()*(((Model_Data!A185)+(Inputs!$C$6))/(0.5*(Inputs!$C$49+Inputs!$C$50))+Inputs!$C$47*0.097)))+0.3*(2*((SIN(((Model_Data!A185)*12.9898+(Inputs!$C$6)*78.233+Inputs!$C$47*37.719))*43758.5453)-INT((SIN(((Model_Data!A185)*12.9898+(Inputs!$C$6)*78.233+Inputs!$C$47*37.719))*43758.5453)))-1)))</f>
        <v>216.56157473379682</v>
      </c>
      <c r="K185" s="9">
        <f>-((((SQRT((Model_Data!A185)^2+Inputs!$C$6^2+((Model_Data!B185)-((Inputs!$C$51*(115*EXP(-(((Inputs!$C$6)-25)^2)/(4.5^2))+70*EXP(-(((Inputs!$C$6)+38)^2)/(7^2))*(0.55+0.45*SIN(2*PI()*(Model_Data!A185)/45))+24*SIN(2*PI()*(Inputs!$C$6)/9+(Model_Data!A185)/18)*EXP(-(((Inputs!$C$6)+5)^2)/(22^2))+18*SIN(2*PI()*(Model_Data!A185)/70))+Inputs!$C$28*EXP(-(((Model_Data!A185)-Inputs!$C$29)^2)/(2*Inputs!$C$31^2))*EXP(-(((Inputs!$C$6)-Inputs!$C$30)^2)/(2*Inputs!$C$32^2))+-Inputs!$C$33*EXP(-(((((Model_Data!A185)-Inputs!$C$34)^2)+(((Inputs!$C$6)-Inputs!$C$35)^2))/(2*Inputs!$C$36^2)))+Inputs!$C$37*(0.55*SIN(2*PI()*(Model_Data!A185)/Inputs!$C$39)+0.35*COS(2*PI()*(Inputs!$C$6)/Inputs!$C$40)+0.2*SIN(2*PI()*((Model_Data!A185)+(Inputs!$C$6))/(0.5*(Inputs!$C$39+Inputs!$C$40))))+Inputs!$C$38*SIN(2*PI()*(Model_Data!A185)/Inputs!$C$39)*SIN(2*PI()*(Inputs!$C$6)/Inputs!$C$40)+-Inputs!$C$41*EXP(-(((Inputs!$C$6)-Inputs!$C$43)^2)/(2*Inputs!$C$44^2))*EXP(-(((Model_Data!A185)-Inputs!$C$42)^2)/(2*Inputs!$C$45^2))+Inputs!$C$48*(0.7*(0.45*SIN(2*PI()*(((Model_Data!A185)/Inputs!$C$49)+Inputs!$C$47*0.137))+0.35*COS(2*PI()*(((Inputs!$C$6)/Inputs!$C$50)+Inputs!$C$47*0.173))+0.2*SIN(2*PI()*(((Model_Data!A185)+(Inputs!$C$6))/(0.5*(Inputs!$C$49+Inputs!$C$50))+Inputs!$C$47*0.097)))+0.3*(2*((SIN(((Model_Data!A185)*12.9898+(Inputs!$C$6)*78.233+Inputs!$C$47*37.719))*43758.5453)-INT((SIN(((Model_Data!A185)*12.9898+(Inputs!$C$6)*78.233+Inputs!$C$47*37.719))*43758.5453)))-1))))/1000)^2))-(((Model_Data!B185)-((Inputs!$C$51*(115*EXP(-(((0)-25)^2)/(4.5^2))+70*EXP(-(((0)+38)^2)/(7^2))*(0.55+0.45*SIN(2*PI()*(Model_Data!A185)/45))+24*SIN(2*PI()*(0)/9+(Model_Data!A185)/18)*EXP(-(((0)+5)^2)/(22^2))+18*SIN(2*PI()*(Model_Data!A185)/70))+Inputs!$C$28*EXP(-(((Model_Data!A185)-Inputs!$C$29)^2)/(2*Inputs!$C$31^2))*EXP(-(((0)-Inputs!$C$30)^2)/(2*Inputs!$C$32^2))+-Inputs!$C$33*EXP(-(((((Model_Data!A185)-Inputs!$C$34)^2)+(((0)-Inputs!$C$35)^2))/(2*Inputs!$C$36^2)))+Inputs!$C$37*(0.55*SIN(2*PI()*(Model_Data!A185)/Inputs!$C$39)+0.35*COS(2*PI()*(0)/Inputs!$C$40)+0.2*SIN(2*PI()*((Model_Data!A185)+(0))/(0.5*(Inputs!$C$39+Inputs!$C$40))))+Inputs!$C$38*SIN(2*PI()*(Model_Data!A185)/Inputs!$C$39)*SIN(2*PI()*(0)/Inputs!$C$40)+-Inputs!$C$41*EXP(-(((0)-Inputs!$C$43)^2)/(2*Inputs!$C$44^2))*EXP(-(((Model_Data!A185)-Inputs!$C$42)^2)/(2*Inputs!$C$45^2))+Inputs!$C$48*(0.7*(0.45*SIN(2*PI()*(((Model_Data!A185)/Inputs!$C$49)+Inputs!$C$47*0.137))+0.35*COS(2*PI()*(((0)/Inputs!$C$50)+Inputs!$C$47*0.173))+0.2*SIN(2*PI()*(((Model_Data!A185)+(0))/(0.5*(Inputs!$C$49+Inputs!$C$50))+Inputs!$C$47*0.097)))+0.3*(2*((SIN(((Model_Data!A185)*12.9898+(0)*78.233+Inputs!$C$47*37.719))*43758.5453)-INT((SIN(((Model_Data!A185)*12.9898+(0)*78.233+Inputs!$C$47*37.719))*43758.5453)))-1))))/1000)))*1000/Inputs!$C$12)-Model_Data!F185)</f>
        <v>110.61845669407978</v>
      </c>
      <c r="L185" s="10"/>
      <c r="M185" s="9">
        <f>Model_Data!A185</f>
        <v>31.5</v>
      </c>
      <c r="N185" s="9">
        <f>Model_Data!P185</f>
        <v>-236.46811213899355</v>
      </c>
      <c r="O185" s="9">
        <f t="shared" si="4"/>
        <v>-263.83004543349671</v>
      </c>
      <c r="P185" s="9">
        <f>Model_Data!Q185</f>
        <v>-35.50572254339243</v>
      </c>
      <c r="Q185" s="9">
        <f t="shared" si="5"/>
        <v>-39.614120935960472</v>
      </c>
      <c r="R185" s="10"/>
      <c r="S185" s="9">
        <f>Model_Data!A185</f>
        <v>31.5</v>
      </c>
      <c r="T185" s="9">
        <f>Model_Data!B185-Inputs!$C$5</f>
        <v>1.1025000000000205</v>
      </c>
      <c r="U185" s="10"/>
      <c r="V185" s="9">
        <f>Model_Data!A185</f>
        <v>31.5</v>
      </c>
      <c r="W185" s="9">
        <f>((SQRT((Model_Data!A185)^2+Inputs!$C$6^2+Inputs!$C$5^2)-Inputs!$C$5)*1000/Inputs!$C$12)</f>
        <v>1132.8537987153045</v>
      </c>
      <c r="X185" s="9">
        <f>Model_Data!F185</f>
        <v>1129.7555078402418</v>
      </c>
      <c r="Y185" s="10"/>
      <c r="Z185" s="9">
        <f>Model_Data!A185</f>
        <v>31.5</v>
      </c>
      <c r="AA185" s="9">
        <f>SQRT((Model_Data!A185)^2+Inputs!$C$6^2+((Model_Data!B185)-((Inputs!$C$51*(115*EXP(-(((Inputs!$C$6)-25)^2)/(4.5^2))+70*EXP(-(((Inputs!$C$6)+38)^2)/(7^2))*(0.55+0.45*SIN(2*PI()*(Model_Data!A185)/45))+24*SIN(2*PI()*(Inputs!$C$6)/9+(Model_Data!A185)/18)*EXP(-(((Inputs!$C$6)+5)^2)/(22^2))+18*SIN(2*PI()*(Model_Data!A185)/70))+Inputs!$C$28*EXP(-(((Model_Data!A185)-Inputs!$C$29)^2)/(2*Inputs!$C$31^2))*EXP(-(((Inputs!$C$6)-Inputs!$C$30)^2)/(2*Inputs!$C$32^2))+-Inputs!$C$33*EXP(-(((((Model_Data!A185)-Inputs!$C$34)^2)+(((Inputs!$C$6)-Inputs!$C$35)^2))/(2*Inputs!$C$36^2)))+Inputs!$C$37*(0.55*SIN(2*PI()*(Model_Data!A185)/Inputs!$C$39)+0.35*COS(2*PI()*(Inputs!$C$6)/Inputs!$C$40)+0.2*SIN(2*PI()*((Model_Data!A185)+(Inputs!$C$6))/(0.5*(Inputs!$C$39+Inputs!$C$40))))+Inputs!$C$38*SIN(2*PI()*(Model_Data!A185)/Inputs!$C$39)*SIN(2*PI()*(Inputs!$C$6)/Inputs!$C$40)+-Inputs!$C$41*EXP(-(((Inputs!$C$6)-Inputs!$C$43)^2)/(2*Inputs!$C$44^2))*EXP(-(((Model_Data!A185)-Inputs!$C$42)^2)/(2*Inputs!$C$45^2))+Inputs!$C$48*(0.7*(0.45*SIN(2*PI()*(((Model_Data!A185)/Inputs!$C$49)+Inputs!$C$47*0.137))+0.35*COS(2*PI()*(((Inputs!$C$6)/Inputs!$C$50)+Inputs!$C$47*0.173))+0.2*SIN(2*PI()*(((Model_Data!A185)+(Inputs!$C$6))/(0.5*(Inputs!$C$49+Inputs!$C$50))+Inputs!$C$47*0.097)))+0.3*(2*((SIN(((Model_Data!A185)*12.9898+(Inputs!$C$6)*78.233+Inputs!$C$47*37.719))*43758.5453)-INT((SIN(((Model_Data!A185)*12.9898+(Inputs!$C$6)*78.233+Inputs!$C$47*37.719))*43758.5453)))-1))))/1000)^2)</f>
        <v>402.89798414376105</v>
      </c>
      <c r="AB185" s="9">
        <f>1000*(AA186-AA184)/(Z186-Z184)*Inputs!$C$11</f>
        <v>659.57511358374177</v>
      </c>
      <c r="AC185" s="9">
        <f>-2*AB185/Inputs!$C$13</f>
        <v>-263.83004543349671</v>
      </c>
      <c r="AD185" s="9">
        <f>-2*AB185/Inputs!$C$14</f>
        <v>-39.614120935960472</v>
      </c>
    </row>
    <row r="186" spans="1:30">
      <c r="A186" s="9">
        <f>Model_Data!A186</f>
        <v>32</v>
      </c>
      <c r="B186" s="9">
        <f>((SQRT((Model_Data!A186)^2+Inputs!$C$6^2+Inputs!$C$5^2)-Inputs!$C$5)*1000/Inputs!$C$12)</f>
        <v>1155.0372210426042</v>
      </c>
      <c r="C186" s="9">
        <f>Model_Data!F186</f>
        <v>1151.7777827269733</v>
      </c>
      <c r="D186" s="9">
        <f>(((SQRT((Model_Data!A186)^2+Inputs!$C$6^2+((Model_Data!B186)-((Inputs!$C$51*(115*EXP(-(((Inputs!$C$6)-25)^2)/(4.5^2))+70*EXP(-(((Inputs!$C$6)+38)^2)/(7^2))*(0.55+0.45*SIN(2*PI()*(Model_Data!A186)/45))+24*SIN(2*PI()*(Inputs!$C$6)/9+(Model_Data!A186)/18)*EXP(-(((Inputs!$C$6)+5)^2)/(22^2))+18*SIN(2*PI()*(Model_Data!A186)/70))+Inputs!$C$28*EXP(-(((Model_Data!A186)-Inputs!$C$29)^2)/(2*Inputs!$C$31^2))*EXP(-(((Inputs!$C$6)-Inputs!$C$30)^2)/(2*Inputs!$C$32^2))+-Inputs!$C$33*EXP(-(((((Model_Data!A186)-Inputs!$C$34)^2)+(((Inputs!$C$6)-Inputs!$C$35)^2))/(2*Inputs!$C$36^2)))+Inputs!$C$37*(0.55*SIN(2*PI()*(Model_Data!A186)/Inputs!$C$39)+0.35*COS(2*PI()*(Inputs!$C$6)/Inputs!$C$40)+0.2*SIN(2*PI()*((Model_Data!A186)+(Inputs!$C$6))/(0.5*(Inputs!$C$39+Inputs!$C$40))))+Inputs!$C$38*SIN(2*PI()*(Model_Data!A186)/Inputs!$C$39)*SIN(2*PI()*(Inputs!$C$6)/Inputs!$C$40)+-Inputs!$C$41*EXP(-(((Inputs!$C$6)-Inputs!$C$43)^2)/(2*Inputs!$C$44^2))*EXP(-(((Model_Data!A186)-Inputs!$C$42)^2)/(2*Inputs!$C$45^2))+Inputs!$C$48*(0.7*(0.45*SIN(2*PI()*(((Model_Data!A186)/Inputs!$C$49)+Inputs!$C$47*0.137))+0.35*COS(2*PI()*(((Inputs!$C$6)/Inputs!$C$50)+Inputs!$C$47*0.173))+0.2*SIN(2*PI()*(((Model_Data!A186)+(Inputs!$C$6))/(0.5*(Inputs!$C$49+Inputs!$C$50))+Inputs!$C$47*0.097)))+0.3*(2*((SIN(((Model_Data!A186)*12.9898+(Inputs!$C$6)*78.233+Inputs!$C$47*37.719))*43758.5453)-INT((SIN(((Model_Data!A186)*12.9898+(Inputs!$C$6)*78.233+Inputs!$C$47*37.719))*43758.5453)))-1))))/1000)^2))-(((Model_Data!B186)-((Inputs!$C$51*(115*EXP(-(((0)-25)^2)/(4.5^2))+70*EXP(-(((0)+38)^2)/(7^2))*(0.55+0.45*SIN(2*PI()*(Model_Data!A186)/45))+24*SIN(2*PI()*(0)/9+(Model_Data!A186)/18)*EXP(-(((0)+5)^2)/(22^2))+18*SIN(2*PI()*(Model_Data!A186)/70))+Inputs!$C$28*EXP(-(((Model_Data!A186)-Inputs!$C$29)^2)/(2*Inputs!$C$31^2))*EXP(-(((0)-Inputs!$C$30)^2)/(2*Inputs!$C$32^2))+-Inputs!$C$33*EXP(-(((((Model_Data!A186)-Inputs!$C$34)^2)+(((0)-Inputs!$C$35)^2))/(2*Inputs!$C$36^2)))+Inputs!$C$37*(0.55*SIN(2*PI()*(Model_Data!A186)/Inputs!$C$39)+0.35*COS(2*PI()*(0)/Inputs!$C$40)+0.2*SIN(2*PI()*((Model_Data!A186)+(0))/(0.5*(Inputs!$C$39+Inputs!$C$40))))+Inputs!$C$38*SIN(2*PI()*(Model_Data!A186)/Inputs!$C$39)*SIN(2*PI()*(0)/Inputs!$C$40)+-Inputs!$C$41*EXP(-(((0)-Inputs!$C$43)^2)/(2*Inputs!$C$44^2))*EXP(-(((Model_Data!A186)-Inputs!$C$42)^2)/(2*Inputs!$C$45^2))+Inputs!$C$48*(0.7*(0.45*SIN(2*PI()*(((Model_Data!A186)/Inputs!$C$49)+Inputs!$C$47*0.137))+0.35*COS(2*PI()*(((0)/Inputs!$C$50)+Inputs!$C$47*0.173))+0.2*SIN(2*PI()*(((Model_Data!A186)+(0))/(0.5*(Inputs!$C$49+Inputs!$C$50))+Inputs!$C$47*0.097)))+0.3*(2*((SIN(((Model_Data!A186)*12.9898+(0)*78.233+Inputs!$C$47*37.719))*43758.5453)-INT((SIN(((Model_Data!A186)*12.9898+(0)*78.233+Inputs!$C$47*37.719))*43758.5453)))-1))))/1000)))*1000/Inputs!$C$12)</f>
        <v>1026.6851748038275</v>
      </c>
      <c r="E186" s="9">
        <f>Model_Data!A186</f>
        <v>32</v>
      </c>
      <c r="F186" s="9">
        <f>(Inputs!$C$51*(115*EXP(-(((Inputs!$C$6)-25)^2)/(4.5^2))+70*EXP(-(((Inputs!$C$6)+38)^2)/(7^2))*(0.55+0.45*SIN(2*PI()*(Model_Data!A186)/45))+24*SIN(2*PI()*(Inputs!$C$6)/9+(Model_Data!A186)/18)*EXP(-(((Inputs!$C$6)+5)^2)/(22^2))+18*SIN(2*PI()*(Model_Data!A186)/70))+Inputs!$C$28*EXP(-(((Model_Data!A186)-Inputs!$C$29)^2)/(2*Inputs!$C$31^2))*EXP(-(((Inputs!$C$6)-Inputs!$C$30)^2)/(2*Inputs!$C$32^2))+-Inputs!$C$33*EXP(-(((((Model_Data!A186)-Inputs!$C$34)^2)+(((Inputs!$C$6)-Inputs!$C$35)^2))/(2*Inputs!$C$36^2)))+Inputs!$C$37*(0.55*SIN(2*PI()*(Model_Data!A186)/Inputs!$C$39)+0.35*COS(2*PI()*(Inputs!$C$6)/Inputs!$C$40)+0.2*SIN(2*PI()*((Model_Data!A186)+(Inputs!$C$6))/(0.5*(Inputs!$C$39+Inputs!$C$40))))+Inputs!$C$38*SIN(2*PI()*(Model_Data!A186)/Inputs!$C$39)*SIN(2*PI()*(Inputs!$C$6)/Inputs!$C$40)+-Inputs!$C$41*EXP(-(((Inputs!$C$6)-Inputs!$C$43)^2)/(2*Inputs!$C$44^2))*EXP(-(((Model_Data!A186)-Inputs!$C$42)^2)/(2*Inputs!$C$45^2))+Inputs!$C$48*(0.7*(0.45*SIN(2*PI()*(((Model_Data!A186)/Inputs!$C$49)+Inputs!$C$47*0.137))+0.35*COS(2*PI()*(((Inputs!$C$6)/Inputs!$C$50)+Inputs!$C$47*0.173))+0.2*SIN(2*PI()*(((Model_Data!A186)+(Inputs!$C$6))/(0.5*(Inputs!$C$49+Inputs!$C$50))+Inputs!$C$47*0.097)))+0.3*(2*((SIN(((Model_Data!A186)*12.9898+(Inputs!$C$6)*78.233+Inputs!$C$47*37.719))*43758.5453)-INT((SIN(((Model_Data!A186)*12.9898+(Inputs!$C$6)*78.233+Inputs!$C$47*37.719))*43758.5453)))-1)))</f>
        <v>222.43770342187699</v>
      </c>
      <c r="G186" s="9">
        <f>(Inputs!$C$51*(115*EXP(-(((0)-25)^2)/(4.5^2))+70*EXP(-(((0)+38)^2)/(7^2))*(0.55+0.45*SIN(2*PI()*(Model_Data!A186)/45))+24*SIN(2*PI()*(0)/9+(Model_Data!A186)/18)*EXP(-(((0)+5)^2)/(22^2))+18*SIN(2*PI()*(Model_Data!A186)/70))+Inputs!$C$28*EXP(-(((Model_Data!A186)-Inputs!$C$29)^2)/(2*Inputs!$C$31^2))*EXP(-(((0)-Inputs!$C$30)^2)/(2*Inputs!$C$32^2))+-Inputs!$C$33*EXP(-(((((Model_Data!A186)-Inputs!$C$34)^2)+(((0)-Inputs!$C$35)^2))/(2*Inputs!$C$36^2)))+Inputs!$C$37*(0.55*SIN(2*PI()*(Model_Data!A186)/Inputs!$C$39)+0.35*COS(2*PI()*(0)/Inputs!$C$40)+0.2*SIN(2*PI()*((Model_Data!A186)+(0))/(0.5*(Inputs!$C$39+Inputs!$C$40))))+Inputs!$C$38*SIN(2*PI()*(Model_Data!A186)/Inputs!$C$39)*SIN(2*PI()*(0)/Inputs!$C$40)+-Inputs!$C$41*EXP(-(((0)-Inputs!$C$43)^2)/(2*Inputs!$C$44^2))*EXP(-(((Model_Data!A186)-Inputs!$C$42)^2)/(2*Inputs!$C$45^2))+Inputs!$C$48*(0.7*(0.45*SIN(2*PI()*(((Model_Data!A186)/Inputs!$C$49)+Inputs!$C$47*0.137))+0.35*COS(2*PI()*(((0)/Inputs!$C$50)+Inputs!$C$47*0.173))+0.2*SIN(2*PI()*(((Model_Data!A186)+(0))/(0.5*(Inputs!$C$49+Inputs!$C$50))+Inputs!$C$47*0.097)))+0.3*(2*((SIN(((Model_Data!A186)*12.9898+(0)*78.233+Inputs!$C$47*37.719))*43758.5453)-INT((SIN(((Model_Data!A186)*12.9898+(0)*78.233+Inputs!$C$47*37.719))*43758.5453)))-1)))</f>
        <v>-1.3588316603362678</v>
      </c>
      <c r="H186" s="10"/>
      <c r="I186" s="9">
        <f>Model_Data!A186</f>
        <v>32</v>
      </c>
      <c r="J186" s="9">
        <f>(Inputs!$C$51*(115*EXP(-(((Inputs!$C$6)-25)^2)/(4.5^2))+70*EXP(-(((Inputs!$C$6)+38)^2)/(7^2))*(0.55+0.45*SIN(2*PI()*(Model_Data!A186)/45))+24*SIN(2*PI()*(Inputs!$C$6)/9+(Model_Data!A186)/18)*EXP(-(((Inputs!$C$6)+5)^2)/(22^2))+18*SIN(2*PI()*(Model_Data!A186)/70))+Inputs!$C$28*EXP(-(((Model_Data!A186)-Inputs!$C$29)^2)/(2*Inputs!$C$31^2))*EXP(-(((Inputs!$C$6)-Inputs!$C$30)^2)/(2*Inputs!$C$32^2))+-Inputs!$C$33*EXP(-(((((Model_Data!A186)-Inputs!$C$34)^2)+(((Inputs!$C$6)-Inputs!$C$35)^2))/(2*Inputs!$C$36^2)))+Inputs!$C$37*(0.55*SIN(2*PI()*(Model_Data!A186)/Inputs!$C$39)+0.35*COS(2*PI()*(Inputs!$C$6)/Inputs!$C$40)+0.2*SIN(2*PI()*((Model_Data!A186)+(Inputs!$C$6))/(0.5*(Inputs!$C$39+Inputs!$C$40))))+Inputs!$C$38*SIN(2*PI()*(Model_Data!A186)/Inputs!$C$39)*SIN(2*PI()*(Inputs!$C$6)/Inputs!$C$40)+-Inputs!$C$41*EXP(-(((Inputs!$C$6)-Inputs!$C$43)^2)/(2*Inputs!$C$44^2))*EXP(-(((Model_Data!A186)-Inputs!$C$42)^2)/(2*Inputs!$C$45^2))+Inputs!$C$48*(0.7*(0.45*SIN(2*PI()*(((Model_Data!A186)/Inputs!$C$49)+Inputs!$C$47*0.137))+0.35*COS(2*PI()*(((Inputs!$C$6)/Inputs!$C$50)+Inputs!$C$47*0.173))+0.2*SIN(2*PI()*(((Model_Data!A186)+(Inputs!$C$6))/(0.5*(Inputs!$C$49+Inputs!$C$50))+Inputs!$C$47*0.097)))+0.3*(2*((SIN(((Model_Data!A186)*12.9898+(Inputs!$C$6)*78.233+Inputs!$C$47*37.719))*43758.5453)-INT((SIN(((Model_Data!A186)*12.9898+(Inputs!$C$6)*78.233+Inputs!$C$47*37.719))*43758.5453)))-1)))</f>
        <v>222.43770342187699</v>
      </c>
      <c r="K186" s="9">
        <f>-((((SQRT((Model_Data!A186)^2+Inputs!$C$6^2+((Model_Data!B186)-((Inputs!$C$51*(115*EXP(-(((Inputs!$C$6)-25)^2)/(4.5^2))+70*EXP(-(((Inputs!$C$6)+38)^2)/(7^2))*(0.55+0.45*SIN(2*PI()*(Model_Data!A186)/45))+24*SIN(2*PI()*(Inputs!$C$6)/9+(Model_Data!A186)/18)*EXP(-(((Inputs!$C$6)+5)^2)/(22^2))+18*SIN(2*PI()*(Model_Data!A186)/70))+Inputs!$C$28*EXP(-(((Model_Data!A186)-Inputs!$C$29)^2)/(2*Inputs!$C$31^2))*EXP(-(((Inputs!$C$6)-Inputs!$C$30)^2)/(2*Inputs!$C$32^2))+-Inputs!$C$33*EXP(-(((((Model_Data!A186)-Inputs!$C$34)^2)+(((Inputs!$C$6)-Inputs!$C$35)^2))/(2*Inputs!$C$36^2)))+Inputs!$C$37*(0.55*SIN(2*PI()*(Model_Data!A186)/Inputs!$C$39)+0.35*COS(2*PI()*(Inputs!$C$6)/Inputs!$C$40)+0.2*SIN(2*PI()*((Model_Data!A186)+(Inputs!$C$6))/(0.5*(Inputs!$C$39+Inputs!$C$40))))+Inputs!$C$38*SIN(2*PI()*(Model_Data!A186)/Inputs!$C$39)*SIN(2*PI()*(Inputs!$C$6)/Inputs!$C$40)+-Inputs!$C$41*EXP(-(((Inputs!$C$6)-Inputs!$C$43)^2)/(2*Inputs!$C$44^2))*EXP(-(((Model_Data!A186)-Inputs!$C$42)^2)/(2*Inputs!$C$45^2))+Inputs!$C$48*(0.7*(0.45*SIN(2*PI()*(((Model_Data!A186)/Inputs!$C$49)+Inputs!$C$47*0.137))+0.35*COS(2*PI()*(((Inputs!$C$6)/Inputs!$C$50)+Inputs!$C$47*0.173))+0.2*SIN(2*PI()*(((Model_Data!A186)+(Inputs!$C$6))/(0.5*(Inputs!$C$49+Inputs!$C$50))+Inputs!$C$47*0.097)))+0.3*(2*((SIN(((Model_Data!A186)*12.9898+(Inputs!$C$6)*78.233+Inputs!$C$47*37.719))*43758.5453)-INT((SIN(((Model_Data!A186)*12.9898+(Inputs!$C$6)*78.233+Inputs!$C$47*37.719))*43758.5453)))-1))))/1000)^2))-(((Model_Data!B186)-((Inputs!$C$51*(115*EXP(-(((0)-25)^2)/(4.5^2))+70*EXP(-(((0)+38)^2)/(7^2))*(0.55+0.45*SIN(2*PI()*(Model_Data!A186)/45))+24*SIN(2*PI()*(0)/9+(Model_Data!A186)/18)*EXP(-(((0)+5)^2)/(22^2))+18*SIN(2*PI()*(Model_Data!A186)/70))+Inputs!$C$28*EXP(-(((Model_Data!A186)-Inputs!$C$29)^2)/(2*Inputs!$C$31^2))*EXP(-(((0)-Inputs!$C$30)^2)/(2*Inputs!$C$32^2))+-Inputs!$C$33*EXP(-(((((Model_Data!A186)-Inputs!$C$34)^2)+(((0)-Inputs!$C$35)^2))/(2*Inputs!$C$36^2)))+Inputs!$C$37*(0.55*SIN(2*PI()*(Model_Data!A186)/Inputs!$C$39)+0.35*COS(2*PI()*(0)/Inputs!$C$40)+0.2*SIN(2*PI()*((Model_Data!A186)+(0))/(0.5*(Inputs!$C$39+Inputs!$C$40))))+Inputs!$C$38*SIN(2*PI()*(Model_Data!A186)/Inputs!$C$39)*SIN(2*PI()*(0)/Inputs!$C$40)+-Inputs!$C$41*EXP(-(((0)-Inputs!$C$43)^2)/(2*Inputs!$C$44^2))*EXP(-(((Model_Data!A186)-Inputs!$C$42)^2)/(2*Inputs!$C$45^2))+Inputs!$C$48*(0.7*(0.45*SIN(2*PI()*(((Model_Data!A186)/Inputs!$C$49)+Inputs!$C$47*0.137))+0.35*COS(2*PI()*(((0)/Inputs!$C$50)+Inputs!$C$47*0.173))+0.2*SIN(2*PI()*(((Model_Data!A186)+(0))/(0.5*(Inputs!$C$49+Inputs!$C$50))+Inputs!$C$47*0.097)))+0.3*(2*((SIN(((Model_Data!A186)*12.9898+(0)*78.233+Inputs!$C$47*37.719))*43758.5453)-INT((SIN(((Model_Data!A186)*12.9898+(0)*78.233+Inputs!$C$47*37.719))*43758.5453)))-1))))/1000)))*1000/Inputs!$C$12)-Model_Data!F186)</f>
        <v>125.09260792314581</v>
      </c>
      <c r="L186" s="10"/>
      <c r="M186" s="9">
        <f>Model_Data!A186</f>
        <v>32</v>
      </c>
      <c r="N186" s="9">
        <f>Model_Data!P186</f>
        <v>-240.18715540550747</v>
      </c>
      <c r="O186" s="9">
        <f t="shared" si="4"/>
        <v>-222.0925210718633</v>
      </c>
      <c r="P186" s="9">
        <f>Model_Data!Q186</f>
        <v>-36.064137448274401</v>
      </c>
      <c r="Q186" s="9">
        <f t="shared" si="5"/>
        <v>-33.347225386165661</v>
      </c>
      <c r="R186" s="10"/>
      <c r="S186" s="9">
        <f>Model_Data!A186</f>
        <v>32</v>
      </c>
      <c r="T186" s="9">
        <f>Model_Data!B186-Inputs!$C$5</f>
        <v>1.1377777777777851</v>
      </c>
      <c r="U186" s="10"/>
      <c r="V186" s="9">
        <f>Model_Data!A186</f>
        <v>32</v>
      </c>
      <c r="W186" s="9">
        <f>((SQRT((Model_Data!A186)^2+Inputs!$C$6^2+Inputs!$C$5^2)-Inputs!$C$5)*1000/Inputs!$C$12)</f>
        <v>1155.0372210426042</v>
      </c>
      <c r="X186" s="9">
        <f>Model_Data!F186</f>
        <v>1151.7777827269733</v>
      </c>
      <c r="Y186" s="10"/>
      <c r="Z186" s="9">
        <f>Model_Data!A186</f>
        <v>32</v>
      </c>
      <c r="AA186" s="9">
        <f>SQRT((Model_Data!A186)^2+Inputs!$C$6^2+((Model_Data!B186)-((Inputs!$C$51*(115*EXP(-(((Inputs!$C$6)-25)^2)/(4.5^2))+70*EXP(-(((Inputs!$C$6)+38)^2)/(7^2))*(0.55+0.45*SIN(2*PI()*(Model_Data!A186)/45))+24*SIN(2*PI()*(Inputs!$C$6)/9+(Model_Data!A186)/18)*EXP(-(((Inputs!$C$6)+5)^2)/(22^2))+18*SIN(2*PI()*(Model_Data!A186)/70))+Inputs!$C$28*EXP(-(((Model_Data!A186)-Inputs!$C$29)^2)/(2*Inputs!$C$31^2))*EXP(-(((Inputs!$C$6)-Inputs!$C$30)^2)/(2*Inputs!$C$32^2))+-Inputs!$C$33*EXP(-(((((Model_Data!A186)-Inputs!$C$34)^2)+(((Inputs!$C$6)-Inputs!$C$35)^2))/(2*Inputs!$C$36^2)))+Inputs!$C$37*(0.55*SIN(2*PI()*(Model_Data!A186)/Inputs!$C$39)+0.35*COS(2*PI()*(Inputs!$C$6)/Inputs!$C$40)+0.2*SIN(2*PI()*((Model_Data!A186)+(Inputs!$C$6))/(0.5*(Inputs!$C$39+Inputs!$C$40))))+Inputs!$C$38*SIN(2*PI()*(Model_Data!A186)/Inputs!$C$39)*SIN(2*PI()*(Inputs!$C$6)/Inputs!$C$40)+-Inputs!$C$41*EXP(-(((Inputs!$C$6)-Inputs!$C$43)^2)/(2*Inputs!$C$44^2))*EXP(-(((Model_Data!A186)-Inputs!$C$42)^2)/(2*Inputs!$C$45^2))+Inputs!$C$48*(0.7*(0.45*SIN(2*PI()*(((Model_Data!A186)/Inputs!$C$49)+Inputs!$C$47*0.137))+0.35*COS(2*PI()*(((Inputs!$C$6)/Inputs!$C$50)+Inputs!$C$47*0.173))+0.2*SIN(2*PI()*(((Model_Data!A186)+(Inputs!$C$6))/(0.5*(Inputs!$C$49+Inputs!$C$50))+Inputs!$C$47*0.097)))+0.3*(2*((SIN(((Model_Data!A186)*12.9898+(Inputs!$C$6)*78.233+Inputs!$C$47*37.719))*43758.5453)-INT((SIN(((Model_Data!A186)*12.9898+(Inputs!$C$6)*78.233+Inputs!$C$47*37.719))*43758.5453)))-1))))/1000)^2)</f>
        <v>402.96663622058895</v>
      </c>
      <c r="AB186" s="9">
        <f>1000*(AA187-AA185)/(Z187-Z185)*Inputs!$C$11</f>
        <v>555.23130267965826</v>
      </c>
      <c r="AC186" s="9">
        <f>-2*AB186/Inputs!$C$13</f>
        <v>-222.0925210718633</v>
      </c>
      <c r="AD186" s="9">
        <f>-2*AB186/Inputs!$C$14</f>
        <v>-33.347225386165661</v>
      </c>
    </row>
    <row r="187" spans="1:30">
      <c r="A187" s="9">
        <f>Model_Data!A187</f>
        <v>32.5</v>
      </c>
      <c r="B187" s="9">
        <f>((SQRT((Model_Data!A187)^2+Inputs!$C$6^2+Inputs!$C$5^2)-Inputs!$C$5)*1000/Inputs!$C$12)</f>
        <v>1177.5677584254802</v>
      </c>
      <c r="C187" s="9">
        <f>Model_Data!F187</f>
        <v>1174.1407290190098</v>
      </c>
      <c r="D187" s="9">
        <f>(((SQRT((Model_Data!A187)^2+Inputs!$C$6^2+((Model_Data!B187)-((Inputs!$C$51*(115*EXP(-(((Inputs!$C$6)-25)^2)/(4.5^2))+70*EXP(-(((Inputs!$C$6)+38)^2)/(7^2))*(0.55+0.45*SIN(2*PI()*(Model_Data!A187)/45))+24*SIN(2*PI()*(Inputs!$C$6)/9+(Model_Data!A187)/18)*EXP(-(((Inputs!$C$6)+5)^2)/(22^2))+18*SIN(2*PI()*(Model_Data!A187)/70))+Inputs!$C$28*EXP(-(((Model_Data!A187)-Inputs!$C$29)^2)/(2*Inputs!$C$31^2))*EXP(-(((Inputs!$C$6)-Inputs!$C$30)^2)/(2*Inputs!$C$32^2))+-Inputs!$C$33*EXP(-(((((Model_Data!A187)-Inputs!$C$34)^2)+(((Inputs!$C$6)-Inputs!$C$35)^2))/(2*Inputs!$C$36^2)))+Inputs!$C$37*(0.55*SIN(2*PI()*(Model_Data!A187)/Inputs!$C$39)+0.35*COS(2*PI()*(Inputs!$C$6)/Inputs!$C$40)+0.2*SIN(2*PI()*((Model_Data!A187)+(Inputs!$C$6))/(0.5*(Inputs!$C$39+Inputs!$C$40))))+Inputs!$C$38*SIN(2*PI()*(Model_Data!A187)/Inputs!$C$39)*SIN(2*PI()*(Inputs!$C$6)/Inputs!$C$40)+-Inputs!$C$41*EXP(-(((Inputs!$C$6)-Inputs!$C$43)^2)/(2*Inputs!$C$44^2))*EXP(-(((Model_Data!A187)-Inputs!$C$42)^2)/(2*Inputs!$C$45^2))+Inputs!$C$48*(0.7*(0.45*SIN(2*PI()*(((Model_Data!A187)/Inputs!$C$49)+Inputs!$C$47*0.137))+0.35*COS(2*PI()*(((Inputs!$C$6)/Inputs!$C$50)+Inputs!$C$47*0.173))+0.2*SIN(2*PI()*(((Model_Data!A187)+(Inputs!$C$6))/(0.5*(Inputs!$C$49+Inputs!$C$50))+Inputs!$C$47*0.097)))+0.3*(2*((SIN(((Model_Data!A187)*12.9898+(Inputs!$C$6)*78.233+Inputs!$C$47*37.719))*43758.5453)-INT((SIN(((Model_Data!A187)*12.9898+(Inputs!$C$6)*78.233+Inputs!$C$47*37.719))*43758.5453)))-1))))/1000)^2))-(((Model_Data!B187)-((Inputs!$C$51*(115*EXP(-(((0)-25)^2)/(4.5^2))+70*EXP(-(((0)+38)^2)/(7^2))*(0.55+0.45*SIN(2*PI()*(Model_Data!A187)/45))+24*SIN(2*PI()*(0)/9+(Model_Data!A187)/18)*EXP(-(((0)+5)^2)/(22^2))+18*SIN(2*PI()*(Model_Data!A187)/70))+Inputs!$C$28*EXP(-(((Model_Data!A187)-Inputs!$C$29)^2)/(2*Inputs!$C$31^2))*EXP(-(((0)-Inputs!$C$30)^2)/(2*Inputs!$C$32^2))+-Inputs!$C$33*EXP(-(((((Model_Data!A187)-Inputs!$C$34)^2)+(((0)-Inputs!$C$35)^2))/(2*Inputs!$C$36^2)))+Inputs!$C$37*(0.55*SIN(2*PI()*(Model_Data!A187)/Inputs!$C$39)+0.35*COS(2*PI()*(0)/Inputs!$C$40)+0.2*SIN(2*PI()*((Model_Data!A187)+(0))/(0.5*(Inputs!$C$39+Inputs!$C$40))))+Inputs!$C$38*SIN(2*PI()*(Model_Data!A187)/Inputs!$C$39)*SIN(2*PI()*(0)/Inputs!$C$40)+-Inputs!$C$41*EXP(-(((0)-Inputs!$C$43)^2)/(2*Inputs!$C$44^2))*EXP(-(((Model_Data!A187)-Inputs!$C$42)^2)/(2*Inputs!$C$45^2))+Inputs!$C$48*(0.7*(0.45*SIN(2*PI()*(((Model_Data!A187)/Inputs!$C$49)+Inputs!$C$47*0.137))+0.35*COS(2*PI()*(((0)/Inputs!$C$50)+Inputs!$C$47*0.173))+0.2*SIN(2*PI()*(((Model_Data!A187)+(0))/(0.5*(Inputs!$C$49+Inputs!$C$50))+Inputs!$C$47*0.097)))+0.3*(2*((SIN(((Model_Data!A187)*12.9898+(0)*78.233+Inputs!$C$47*37.719))*43758.5453)-INT((SIN(((Model_Data!A187)*12.9898+(0)*78.233+Inputs!$C$47*37.719))*43758.5453)))-1))))/1000)))*1000/Inputs!$C$12)</f>
        <v>1050.015562549557</v>
      </c>
      <c r="E187" s="9">
        <f>Model_Data!A187</f>
        <v>32.5</v>
      </c>
      <c r="F187" s="9">
        <f>(Inputs!$C$51*(115*EXP(-(((Inputs!$C$6)-25)^2)/(4.5^2))+70*EXP(-(((Inputs!$C$6)+38)^2)/(7^2))*(0.55+0.45*SIN(2*PI()*(Model_Data!A187)/45))+24*SIN(2*PI()*(Inputs!$C$6)/9+(Model_Data!A187)/18)*EXP(-(((Inputs!$C$6)+5)^2)/(22^2))+18*SIN(2*PI()*(Model_Data!A187)/70))+Inputs!$C$28*EXP(-(((Model_Data!A187)-Inputs!$C$29)^2)/(2*Inputs!$C$31^2))*EXP(-(((Inputs!$C$6)-Inputs!$C$30)^2)/(2*Inputs!$C$32^2))+-Inputs!$C$33*EXP(-(((((Model_Data!A187)-Inputs!$C$34)^2)+(((Inputs!$C$6)-Inputs!$C$35)^2))/(2*Inputs!$C$36^2)))+Inputs!$C$37*(0.55*SIN(2*PI()*(Model_Data!A187)/Inputs!$C$39)+0.35*COS(2*PI()*(Inputs!$C$6)/Inputs!$C$40)+0.2*SIN(2*PI()*((Model_Data!A187)+(Inputs!$C$6))/(0.5*(Inputs!$C$39+Inputs!$C$40))))+Inputs!$C$38*SIN(2*PI()*(Model_Data!A187)/Inputs!$C$39)*SIN(2*PI()*(Inputs!$C$6)/Inputs!$C$40)+-Inputs!$C$41*EXP(-(((Inputs!$C$6)-Inputs!$C$43)^2)/(2*Inputs!$C$44^2))*EXP(-(((Model_Data!A187)-Inputs!$C$42)^2)/(2*Inputs!$C$45^2))+Inputs!$C$48*(0.7*(0.45*SIN(2*PI()*(((Model_Data!A187)/Inputs!$C$49)+Inputs!$C$47*0.137))+0.35*COS(2*PI()*(((Inputs!$C$6)/Inputs!$C$50)+Inputs!$C$47*0.173))+0.2*SIN(2*PI()*(((Model_Data!A187)+(Inputs!$C$6))/(0.5*(Inputs!$C$49+Inputs!$C$50))+Inputs!$C$47*0.097)))+0.3*(2*((SIN(((Model_Data!A187)*12.9898+(Inputs!$C$6)*78.233+Inputs!$C$47*37.719))*43758.5453)-INT((SIN(((Model_Data!A187)*12.9898+(Inputs!$C$6)*78.233+Inputs!$C$47*37.719))*43758.5453)))-1)))</f>
        <v>227.97180197682223</v>
      </c>
      <c r="G187" s="9">
        <f>(Inputs!$C$51*(115*EXP(-(((0)-25)^2)/(4.5^2))+70*EXP(-(((0)+38)^2)/(7^2))*(0.55+0.45*SIN(2*PI()*(Model_Data!A187)/45))+24*SIN(2*PI()*(0)/9+(Model_Data!A187)/18)*EXP(-(((0)+5)^2)/(22^2))+18*SIN(2*PI()*(Model_Data!A187)/70))+Inputs!$C$28*EXP(-(((Model_Data!A187)-Inputs!$C$29)^2)/(2*Inputs!$C$31^2))*EXP(-(((0)-Inputs!$C$30)^2)/(2*Inputs!$C$32^2))+-Inputs!$C$33*EXP(-(((((Model_Data!A187)-Inputs!$C$34)^2)+(((0)-Inputs!$C$35)^2))/(2*Inputs!$C$36^2)))+Inputs!$C$37*(0.55*SIN(2*PI()*(Model_Data!A187)/Inputs!$C$39)+0.35*COS(2*PI()*(0)/Inputs!$C$40)+0.2*SIN(2*PI()*((Model_Data!A187)+(0))/(0.5*(Inputs!$C$39+Inputs!$C$40))))+Inputs!$C$38*SIN(2*PI()*(Model_Data!A187)/Inputs!$C$39)*SIN(2*PI()*(0)/Inputs!$C$40)+-Inputs!$C$41*EXP(-(((0)-Inputs!$C$43)^2)/(2*Inputs!$C$44^2))*EXP(-(((Model_Data!A187)-Inputs!$C$42)^2)/(2*Inputs!$C$45^2))+Inputs!$C$48*(0.7*(0.45*SIN(2*PI()*(((Model_Data!A187)/Inputs!$C$49)+Inputs!$C$47*0.137))+0.35*COS(2*PI()*(((0)/Inputs!$C$50)+Inputs!$C$47*0.173))+0.2*SIN(2*PI()*(((Model_Data!A187)+(0))/(0.5*(Inputs!$C$49+Inputs!$C$50))+Inputs!$C$47*0.097)))+0.3*(2*((SIN(((Model_Data!A187)*12.9898+(0)*78.233+Inputs!$C$47*37.719))*43758.5453)-INT((SIN(((Model_Data!A187)*12.9898+(0)*78.233+Inputs!$C$47*37.719))*43758.5453)))-1)))</f>
        <v>5.8468430183224456</v>
      </c>
      <c r="H187" s="10"/>
      <c r="I187" s="9">
        <f>Model_Data!A187</f>
        <v>32.5</v>
      </c>
      <c r="J187" s="9">
        <f>(Inputs!$C$51*(115*EXP(-(((Inputs!$C$6)-25)^2)/(4.5^2))+70*EXP(-(((Inputs!$C$6)+38)^2)/(7^2))*(0.55+0.45*SIN(2*PI()*(Model_Data!A187)/45))+24*SIN(2*PI()*(Inputs!$C$6)/9+(Model_Data!A187)/18)*EXP(-(((Inputs!$C$6)+5)^2)/(22^2))+18*SIN(2*PI()*(Model_Data!A187)/70))+Inputs!$C$28*EXP(-(((Model_Data!A187)-Inputs!$C$29)^2)/(2*Inputs!$C$31^2))*EXP(-(((Inputs!$C$6)-Inputs!$C$30)^2)/(2*Inputs!$C$32^2))+-Inputs!$C$33*EXP(-(((((Model_Data!A187)-Inputs!$C$34)^2)+(((Inputs!$C$6)-Inputs!$C$35)^2))/(2*Inputs!$C$36^2)))+Inputs!$C$37*(0.55*SIN(2*PI()*(Model_Data!A187)/Inputs!$C$39)+0.35*COS(2*PI()*(Inputs!$C$6)/Inputs!$C$40)+0.2*SIN(2*PI()*((Model_Data!A187)+(Inputs!$C$6))/(0.5*(Inputs!$C$39+Inputs!$C$40))))+Inputs!$C$38*SIN(2*PI()*(Model_Data!A187)/Inputs!$C$39)*SIN(2*PI()*(Inputs!$C$6)/Inputs!$C$40)+-Inputs!$C$41*EXP(-(((Inputs!$C$6)-Inputs!$C$43)^2)/(2*Inputs!$C$44^2))*EXP(-(((Model_Data!A187)-Inputs!$C$42)^2)/(2*Inputs!$C$45^2))+Inputs!$C$48*(0.7*(0.45*SIN(2*PI()*(((Model_Data!A187)/Inputs!$C$49)+Inputs!$C$47*0.137))+0.35*COS(2*PI()*(((Inputs!$C$6)/Inputs!$C$50)+Inputs!$C$47*0.173))+0.2*SIN(2*PI()*(((Model_Data!A187)+(Inputs!$C$6))/(0.5*(Inputs!$C$49+Inputs!$C$50))+Inputs!$C$47*0.097)))+0.3*(2*((SIN(((Model_Data!A187)*12.9898+(Inputs!$C$6)*78.233+Inputs!$C$47*37.719))*43758.5453)-INT((SIN(((Model_Data!A187)*12.9898+(Inputs!$C$6)*78.233+Inputs!$C$47*37.719))*43758.5453)))-1)))</f>
        <v>227.97180197682223</v>
      </c>
      <c r="K187" s="9">
        <f>-((((SQRT((Model_Data!A187)^2+Inputs!$C$6^2+((Model_Data!B187)-((Inputs!$C$51*(115*EXP(-(((Inputs!$C$6)-25)^2)/(4.5^2))+70*EXP(-(((Inputs!$C$6)+38)^2)/(7^2))*(0.55+0.45*SIN(2*PI()*(Model_Data!A187)/45))+24*SIN(2*PI()*(Inputs!$C$6)/9+(Model_Data!A187)/18)*EXP(-(((Inputs!$C$6)+5)^2)/(22^2))+18*SIN(2*PI()*(Model_Data!A187)/70))+Inputs!$C$28*EXP(-(((Model_Data!A187)-Inputs!$C$29)^2)/(2*Inputs!$C$31^2))*EXP(-(((Inputs!$C$6)-Inputs!$C$30)^2)/(2*Inputs!$C$32^2))+-Inputs!$C$33*EXP(-(((((Model_Data!A187)-Inputs!$C$34)^2)+(((Inputs!$C$6)-Inputs!$C$35)^2))/(2*Inputs!$C$36^2)))+Inputs!$C$37*(0.55*SIN(2*PI()*(Model_Data!A187)/Inputs!$C$39)+0.35*COS(2*PI()*(Inputs!$C$6)/Inputs!$C$40)+0.2*SIN(2*PI()*((Model_Data!A187)+(Inputs!$C$6))/(0.5*(Inputs!$C$39+Inputs!$C$40))))+Inputs!$C$38*SIN(2*PI()*(Model_Data!A187)/Inputs!$C$39)*SIN(2*PI()*(Inputs!$C$6)/Inputs!$C$40)+-Inputs!$C$41*EXP(-(((Inputs!$C$6)-Inputs!$C$43)^2)/(2*Inputs!$C$44^2))*EXP(-(((Model_Data!A187)-Inputs!$C$42)^2)/(2*Inputs!$C$45^2))+Inputs!$C$48*(0.7*(0.45*SIN(2*PI()*(((Model_Data!A187)/Inputs!$C$49)+Inputs!$C$47*0.137))+0.35*COS(2*PI()*(((Inputs!$C$6)/Inputs!$C$50)+Inputs!$C$47*0.173))+0.2*SIN(2*PI()*(((Model_Data!A187)+(Inputs!$C$6))/(0.5*(Inputs!$C$49+Inputs!$C$50))+Inputs!$C$47*0.097)))+0.3*(2*((SIN(((Model_Data!A187)*12.9898+(Inputs!$C$6)*78.233+Inputs!$C$47*37.719))*43758.5453)-INT((SIN(((Model_Data!A187)*12.9898+(Inputs!$C$6)*78.233+Inputs!$C$47*37.719))*43758.5453)))-1))))/1000)^2))-(((Model_Data!B187)-((Inputs!$C$51*(115*EXP(-(((0)-25)^2)/(4.5^2))+70*EXP(-(((0)+38)^2)/(7^2))*(0.55+0.45*SIN(2*PI()*(Model_Data!A187)/45))+24*SIN(2*PI()*(0)/9+(Model_Data!A187)/18)*EXP(-(((0)+5)^2)/(22^2))+18*SIN(2*PI()*(Model_Data!A187)/70))+Inputs!$C$28*EXP(-(((Model_Data!A187)-Inputs!$C$29)^2)/(2*Inputs!$C$31^2))*EXP(-(((0)-Inputs!$C$30)^2)/(2*Inputs!$C$32^2))+-Inputs!$C$33*EXP(-(((((Model_Data!A187)-Inputs!$C$34)^2)+(((0)-Inputs!$C$35)^2))/(2*Inputs!$C$36^2)))+Inputs!$C$37*(0.55*SIN(2*PI()*(Model_Data!A187)/Inputs!$C$39)+0.35*COS(2*PI()*(0)/Inputs!$C$40)+0.2*SIN(2*PI()*((Model_Data!A187)+(0))/(0.5*(Inputs!$C$39+Inputs!$C$40))))+Inputs!$C$38*SIN(2*PI()*(Model_Data!A187)/Inputs!$C$39)*SIN(2*PI()*(0)/Inputs!$C$40)+-Inputs!$C$41*EXP(-(((0)-Inputs!$C$43)^2)/(2*Inputs!$C$44^2))*EXP(-(((Model_Data!A187)-Inputs!$C$42)^2)/(2*Inputs!$C$45^2))+Inputs!$C$48*(0.7*(0.45*SIN(2*PI()*(((Model_Data!A187)/Inputs!$C$49)+Inputs!$C$47*0.137))+0.35*COS(2*PI()*(((0)/Inputs!$C$50)+Inputs!$C$47*0.173))+0.2*SIN(2*PI()*(((Model_Data!A187)+(0))/(0.5*(Inputs!$C$49+Inputs!$C$50))+Inputs!$C$47*0.097)))+0.3*(2*((SIN(((Model_Data!A187)*12.9898+(0)*78.233+Inputs!$C$47*37.719))*43758.5453)-INT((SIN(((Model_Data!A187)*12.9898+(0)*78.233+Inputs!$C$47*37.719))*43758.5453)))-1))))/1000)))*1000/Inputs!$C$12)-Model_Data!F187)</f>
        <v>124.12516646945278</v>
      </c>
      <c r="L187" s="10"/>
      <c r="M187" s="9">
        <f>Model_Data!A187</f>
        <v>32.5</v>
      </c>
      <c r="N187" s="9">
        <f>Model_Data!P187</f>
        <v>-243.90459241022381</v>
      </c>
      <c r="O187" s="9">
        <f t="shared" si="4"/>
        <v>-238.17094217474732</v>
      </c>
      <c r="P187" s="9">
        <f>Model_Data!Q187</f>
        <v>-36.622311172706283</v>
      </c>
      <c r="Q187" s="9">
        <f t="shared" si="5"/>
        <v>-35.761402728941043</v>
      </c>
      <c r="R187" s="10"/>
      <c r="S187" s="9">
        <f>Model_Data!A187</f>
        <v>32.5</v>
      </c>
      <c r="T187" s="9">
        <f>Model_Data!B187-Inputs!$C$5</f>
        <v>1.1736111111110858</v>
      </c>
      <c r="U187" s="10"/>
      <c r="V187" s="9">
        <f>Model_Data!A187</f>
        <v>32.5</v>
      </c>
      <c r="W187" s="9">
        <f>((SQRT((Model_Data!A187)^2+Inputs!$C$6^2+Inputs!$C$5^2)-Inputs!$C$5)*1000/Inputs!$C$12)</f>
        <v>1177.5677584254802</v>
      </c>
      <c r="X187" s="9">
        <f>Model_Data!F187</f>
        <v>1174.1407290190098</v>
      </c>
      <c r="Y187" s="10"/>
      <c r="Z187" s="9">
        <f>Model_Data!A187</f>
        <v>32.5</v>
      </c>
      <c r="AA187" s="9">
        <f>SQRT((Model_Data!A187)^2+Inputs!$C$6^2+((Model_Data!B187)-((Inputs!$C$51*(115*EXP(-(((Inputs!$C$6)-25)^2)/(4.5^2))+70*EXP(-(((Inputs!$C$6)+38)^2)/(7^2))*(0.55+0.45*SIN(2*PI()*(Model_Data!A187)/45))+24*SIN(2*PI()*(Inputs!$C$6)/9+(Model_Data!A187)/18)*EXP(-(((Inputs!$C$6)+5)^2)/(22^2))+18*SIN(2*PI()*(Model_Data!A187)/70))+Inputs!$C$28*EXP(-(((Model_Data!A187)-Inputs!$C$29)^2)/(2*Inputs!$C$31^2))*EXP(-(((Inputs!$C$6)-Inputs!$C$30)^2)/(2*Inputs!$C$32^2))+-Inputs!$C$33*EXP(-(((((Model_Data!A187)-Inputs!$C$34)^2)+(((Inputs!$C$6)-Inputs!$C$35)^2))/(2*Inputs!$C$36^2)))+Inputs!$C$37*(0.55*SIN(2*PI()*(Model_Data!A187)/Inputs!$C$39)+0.35*COS(2*PI()*(Inputs!$C$6)/Inputs!$C$40)+0.2*SIN(2*PI()*((Model_Data!A187)+(Inputs!$C$6))/(0.5*(Inputs!$C$39+Inputs!$C$40))))+Inputs!$C$38*SIN(2*PI()*(Model_Data!A187)/Inputs!$C$39)*SIN(2*PI()*(Inputs!$C$6)/Inputs!$C$40)+-Inputs!$C$41*EXP(-(((Inputs!$C$6)-Inputs!$C$43)^2)/(2*Inputs!$C$44^2))*EXP(-(((Model_Data!A187)-Inputs!$C$42)^2)/(2*Inputs!$C$45^2))+Inputs!$C$48*(0.7*(0.45*SIN(2*PI()*(((Model_Data!A187)/Inputs!$C$49)+Inputs!$C$47*0.137))+0.35*COS(2*PI()*(((Inputs!$C$6)/Inputs!$C$50)+Inputs!$C$47*0.173))+0.2*SIN(2*PI()*(((Model_Data!A187)+(Inputs!$C$6))/(0.5*(Inputs!$C$49+Inputs!$C$50))+Inputs!$C$47*0.097)))+0.3*(2*((SIN(((Model_Data!A187)*12.9898+(Inputs!$C$6)*78.233+Inputs!$C$47*37.719))*43758.5453)-INT((SIN(((Model_Data!A187)*12.9898+(Inputs!$C$6)*78.233+Inputs!$C$47*37.719))*43758.5453)))-1))))/1000)^2)</f>
        <v>403.03679196943096</v>
      </c>
      <c r="AB187" s="9">
        <f>1000*(AA188-AA186)/(Z188-Z186)*Inputs!$C$11</f>
        <v>595.42735543686831</v>
      </c>
      <c r="AC187" s="9">
        <f>-2*AB187/Inputs!$C$13</f>
        <v>-238.17094217474732</v>
      </c>
      <c r="AD187" s="9">
        <f>-2*AB187/Inputs!$C$14</f>
        <v>-35.761402728941043</v>
      </c>
    </row>
    <row r="188" spans="1:30">
      <c r="A188" s="9">
        <f>Model_Data!A188</f>
        <v>33</v>
      </c>
      <c r="B188" s="9">
        <f>((SQRT((Model_Data!A188)^2+Inputs!$C$6^2+Inputs!$C$5^2)-Inputs!$C$5)*1000/Inputs!$C$12)</f>
        <v>1200.4453070126031</v>
      </c>
      <c r="C188" s="9">
        <f>Model_Data!F188</f>
        <v>1196.8440626483268</v>
      </c>
      <c r="D188" s="9">
        <f>(((SQRT((Model_Data!A188)^2+Inputs!$C$6^2+((Model_Data!B188)-((Inputs!$C$51*(115*EXP(-(((Inputs!$C$6)-25)^2)/(4.5^2))+70*EXP(-(((Inputs!$C$6)+38)^2)/(7^2))*(0.55+0.45*SIN(2*PI()*(Model_Data!A188)/45))+24*SIN(2*PI()*(Inputs!$C$6)/9+(Model_Data!A188)/18)*EXP(-(((Inputs!$C$6)+5)^2)/(22^2))+18*SIN(2*PI()*(Model_Data!A188)/70))+Inputs!$C$28*EXP(-(((Model_Data!A188)-Inputs!$C$29)^2)/(2*Inputs!$C$31^2))*EXP(-(((Inputs!$C$6)-Inputs!$C$30)^2)/(2*Inputs!$C$32^2))+-Inputs!$C$33*EXP(-(((((Model_Data!A188)-Inputs!$C$34)^2)+(((Inputs!$C$6)-Inputs!$C$35)^2))/(2*Inputs!$C$36^2)))+Inputs!$C$37*(0.55*SIN(2*PI()*(Model_Data!A188)/Inputs!$C$39)+0.35*COS(2*PI()*(Inputs!$C$6)/Inputs!$C$40)+0.2*SIN(2*PI()*((Model_Data!A188)+(Inputs!$C$6))/(0.5*(Inputs!$C$39+Inputs!$C$40))))+Inputs!$C$38*SIN(2*PI()*(Model_Data!A188)/Inputs!$C$39)*SIN(2*PI()*(Inputs!$C$6)/Inputs!$C$40)+-Inputs!$C$41*EXP(-(((Inputs!$C$6)-Inputs!$C$43)^2)/(2*Inputs!$C$44^2))*EXP(-(((Model_Data!A188)-Inputs!$C$42)^2)/(2*Inputs!$C$45^2))+Inputs!$C$48*(0.7*(0.45*SIN(2*PI()*(((Model_Data!A188)/Inputs!$C$49)+Inputs!$C$47*0.137))+0.35*COS(2*PI()*(((Inputs!$C$6)/Inputs!$C$50)+Inputs!$C$47*0.173))+0.2*SIN(2*PI()*(((Model_Data!A188)+(Inputs!$C$6))/(0.5*(Inputs!$C$49+Inputs!$C$50))+Inputs!$C$47*0.097)))+0.3*(2*((SIN(((Model_Data!A188)*12.9898+(Inputs!$C$6)*78.233+Inputs!$C$47*37.719))*43758.5453)-INT((SIN(((Model_Data!A188)*12.9898+(Inputs!$C$6)*78.233+Inputs!$C$47*37.719))*43758.5453)))-1))))/1000)^2))-(((Model_Data!B188)-((Inputs!$C$51*(115*EXP(-(((0)-25)^2)/(4.5^2))+70*EXP(-(((0)+38)^2)/(7^2))*(0.55+0.45*SIN(2*PI()*(Model_Data!A188)/45))+24*SIN(2*PI()*(0)/9+(Model_Data!A188)/18)*EXP(-(((0)+5)^2)/(22^2))+18*SIN(2*PI()*(Model_Data!A188)/70))+Inputs!$C$28*EXP(-(((Model_Data!A188)-Inputs!$C$29)^2)/(2*Inputs!$C$31^2))*EXP(-(((0)-Inputs!$C$30)^2)/(2*Inputs!$C$32^2))+-Inputs!$C$33*EXP(-(((((Model_Data!A188)-Inputs!$C$34)^2)+(((0)-Inputs!$C$35)^2))/(2*Inputs!$C$36^2)))+Inputs!$C$37*(0.55*SIN(2*PI()*(Model_Data!A188)/Inputs!$C$39)+0.35*COS(2*PI()*(0)/Inputs!$C$40)+0.2*SIN(2*PI()*((Model_Data!A188)+(0))/(0.5*(Inputs!$C$39+Inputs!$C$40))))+Inputs!$C$38*SIN(2*PI()*(Model_Data!A188)/Inputs!$C$39)*SIN(2*PI()*(0)/Inputs!$C$40)+-Inputs!$C$41*EXP(-(((0)-Inputs!$C$43)^2)/(2*Inputs!$C$44^2))*EXP(-(((Model_Data!A188)-Inputs!$C$42)^2)/(2*Inputs!$C$45^2))+Inputs!$C$48*(0.7*(0.45*SIN(2*PI()*(((Model_Data!A188)/Inputs!$C$49)+Inputs!$C$47*0.137))+0.35*COS(2*PI()*(((0)/Inputs!$C$50)+Inputs!$C$47*0.173))+0.2*SIN(2*PI()*(((Model_Data!A188)+(0))/(0.5*(Inputs!$C$49+Inputs!$C$50))+Inputs!$C$47*0.097)))+0.3*(2*((SIN(((Model_Data!A188)*12.9898+(0)*78.233+Inputs!$C$47*37.719))*43758.5453)-INT((SIN(((Model_Data!A188)*12.9898+(0)*78.233+Inputs!$C$47*37.719))*43758.5453)))-1))))/1000)))*1000/Inputs!$C$12)</f>
        <v>1068.4734654252329</v>
      </c>
      <c r="E188" s="9">
        <f>Model_Data!A188</f>
        <v>33</v>
      </c>
      <c r="F188" s="9">
        <f>(Inputs!$C$51*(115*EXP(-(((Inputs!$C$6)-25)^2)/(4.5^2))+70*EXP(-(((Inputs!$C$6)+38)^2)/(7^2))*(0.55+0.45*SIN(2*PI()*(Model_Data!A188)/45))+24*SIN(2*PI()*(Inputs!$C$6)/9+(Model_Data!A188)/18)*EXP(-(((Inputs!$C$6)+5)^2)/(22^2))+18*SIN(2*PI()*(Model_Data!A188)/70))+Inputs!$C$28*EXP(-(((Model_Data!A188)-Inputs!$C$29)^2)/(2*Inputs!$C$31^2))*EXP(-(((Inputs!$C$6)-Inputs!$C$30)^2)/(2*Inputs!$C$32^2))+-Inputs!$C$33*EXP(-(((((Model_Data!A188)-Inputs!$C$34)^2)+(((Inputs!$C$6)-Inputs!$C$35)^2))/(2*Inputs!$C$36^2)))+Inputs!$C$37*(0.55*SIN(2*PI()*(Model_Data!A188)/Inputs!$C$39)+0.35*COS(2*PI()*(Inputs!$C$6)/Inputs!$C$40)+0.2*SIN(2*PI()*((Model_Data!A188)+(Inputs!$C$6))/(0.5*(Inputs!$C$39+Inputs!$C$40))))+Inputs!$C$38*SIN(2*PI()*(Model_Data!A188)/Inputs!$C$39)*SIN(2*PI()*(Inputs!$C$6)/Inputs!$C$40)+-Inputs!$C$41*EXP(-(((Inputs!$C$6)-Inputs!$C$43)^2)/(2*Inputs!$C$44^2))*EXP(-(((Model_Data!A188)-Inputs!$C$42)^2)/(2*Inputs!$C$45^2))+Inputs!$C$48*(0.7*(0.45*SIN(2*PI()*(((Model_Data!A188)/Inputs!$C$49)+Inputs!$C$47*0.137))+0.35*COS(2*PI()*(((Inputs!$C$6)/Inputs!$C$50)+Inputs!$C$47*0.173))+0.2*SIN(2*PI()*(((Model_Data!A188)+(Inputs!$C$6))/(0.5*(Inputs!$C$49+Inputs!$C$50))+Inputs!$C$47*0.097)))+0.3*(2*((SIN(((Model_Data!A188)*12.9898+(Inputs!$C$6)*78.233+Inputs!$C$47*37.719))*43758.5453)-INT((SIN(((Model_Data!A188)*12.9898+(Inputs!$C$6)*78.233+Inputs!$C$47*37.719))*43758.5453)))-1)))</f>
        <v>226.08418221808537</v>
      </c>
      <c r="G188" s="9">
        <f>(Inputs!$C$51*(115*EXP(-(((0)-25)^2)/(4.5^2))+70*EXP(-(((0)+38)^2)/(7^2))*(0.55+0.45*SIN(2*PI()*(Model_Data!A188)/45))+24*SIN(2*PI()*(0)/9+(Model_Data!A188)/18)*EXP(-(((0)+5)^2)/(22^2))+18*SIN(2*PI()*(Model_Data!A188)/70))+Inputs!$C$28*EXP(-(((Model_Data!A188)-Inputs!$C$29)^2)/(2*Inputs!$C$31^2))*EXP(-(((0)-Inputs!$C$30)^2)/(2*Inputs!$C$32^2))+-Inputs!$C$33*EXP(-(((((Model_Data!A188)-Inputs!$C$34)^2)+(((0)-Inputs!$C$35)^2))/(2*Inputs!$C$36^2)))+Inputs!$C$37*(0.55*SIN(2*PI()*(Model_Data!A188)/Inputs!$C$39)+0.35*COS(2*PI()*(0)/Inputs!$C$40)+0.2*SIN(2*PI()*((Model_Data!A188)+(0))/(0.5*(Inputs!$C$39+Inputs!$C$40))))+Inputs!$C$38*SIN(2*PI()*(Model_Data!A188)/Inputs!$C$39)*SIN(2*PI()*(0)/Inputs!$C$40)+-Inputs!$C$41*EXP(-(((0)-Inputs!$C$43)^2)/(2*Inputs!$C$44^2))*EXP(-(((Model_Data!A188)-Inputs!$C$42)^2)/(2*Inputs!$C$45^2))+Inputs!$C$48*(0.7*(0.45*SIN(2*PI()*(((Model_Data!A188)/Inputs!$C$49)+Inputs!$C$47*0.137))+0.35*COS(2*PI()*(((0)/Inputs!$C$50)+Inputs!$C$47*0.173))+0.2*SIN(2*PI()*(((Model_Data!A188)+(0))/(0.5*(Inputs!$C$49+Inputs!$C$50))+Inputs!$C$47*0.097)))+0.3*(2*((SIN(((Model_Data!A188)*12.9898+(0)*78.233+Inputs!$C$47*37.719))*43758.5453)-INT((SIN(((Model_Data!A188)*12.9898+(0)*78.233+Inputs!$C$47*37.719))*43758.5453)))-1)))</f>
        <v>-3.6102909912474139</v>
      </c>
      <c r="H188" s="10"/>
      <c r="I188" s="9">
        <f>Model_Data!A188</f>
        <v>33</v>
      </c>
      <c r="J188" s="9">
        <f>(Inputs!$C$51*(115*EXP(-(((Inputs!$C$6)-25)^2)/(4.5^2))+70*EXP(-(((Inputs!$C$6)+38)^2)/(7^2))*(0.55+0.45*SIN(2*PI()*(Model_Data!A188)/45))+24*SIN(2*PI()*(Inputs!$C$6)/9+(Model_Data!A188)/18)*EXP(-(((Inputs!$C$6)+5)^2)/(22^2))+18*SIN(2*PI()*(Model_Data!A188)/70))+Inputs!$C$28*EXP(-(((Model_Data!A188)-Inputs!$C$29)^2)/(2*Inputs!$C$31^2))*EXP(-(((Inputs!$C$6)-Inputs!$C$30)^2)/(2*Inputs!$C$32^2))+-Inputs!$C$33*EXP(-(((((Model_Data!A188)-Inputs!$C$34)^2)+(((Inputs!$C$6)-Inputs!$C$35)^2))/(2*Inputs!$C$36^2)))+Inputs!$C$37*(0.55*SIN(2*PI()*(Model_Data!A188)/Inputs!$C$39)+0.35*COS(2*PI()*(Inputs!$C$6)/Inputs!$C$40)+0.2*SIN(2*PI()*((Model_Data!A188)+(Inputs!$C$6))/(0.5*(Inputs!$C$39+Inputs!$C$40))))+Inputs!$C$38*SIN(2*PI()*(Model_Data!A188)/Inputs!$C$39)*SIN(2*PI()*(Inputs!$C$6)/Inputs!$C$40)+-Inputs!$C$41*EXP(-(((Inputs!$C$6)-Inputs!$C$43)^2)/(2*Inputs!$C$44^2))*EXP(-(((Model_Data!A188)-Inputs!$C$42)^2)/(2*Inputs!$C$45^2))+Inputs!$C$48*(0.7*(0.45*SIN(2*PI()*(((Model_Data!A188)/Inputs!$C$49)+Inputs!$C$47*0.137))+0.35*COS(2*PI()*(((Inputs!$C$6)/Inputs!$C$50)+Inputs!$C$47*0.173))+0.2*SIN(2*PI()*(((Model_Data!A188)+(Inputs!$C$6))/(0.5*(Inputs!$C$49+Inputs!$C$50))+Inputs!$C$47*0.097)))+0.3*(2*((SIN(((Model_Data!A188)*12.9898+(Inputs!$C$6)*78.233+Inputs!$C$47*37.719))*43758.5453)-INT((SIN(((Model_Data!A188)*12.9898+(Inputs!$C$6)*78.233+Inputs!$C$47*37.719))*43758.5453)))-1)))</f>
        <v>226.08418221808537</v>
      </c>
      <c r="K188" s="9">
        <f>-((((SQRT((Model_Data!A188)^2+Inputs!$C$6^2+((Model_Data!B188)-((Inputs!$C$51*(115*EXP(-(((Inputs!$C$6)-25)^2)/(4.5^2))+70*EXP(-(((Inputs!$C$6)+38)^2)/(7^2))*(0.55+0.45*SIN(2*PI()*(Model_Data!A188)/45))+24*SIN(2*PI()*(Inputs!$C$6)/9+(Model_Data!A188)/18)*EXP(-(((Inputs!$C$6)+5)^2)/(22^2))+18*SIN(2*PI()*(Model_Data!A188)/70))+Inputs!$C$28*EXP(-(((Model_Data!A188)-Inputs!$C$29)^2)/(2*Inputs!$C$31^2))*EXP(-(((Inputs!$C$6)-Inputs!$C$30)^2)/(2*Inputs!$C$32^2))+-Inputs!$C$33*EXP(-(((((Model_Data!A188)-Inputs!$C$34)^2)+(((Inputs!$C$6)-Inputs!$C$35)^2))/(2*Inputs!$C$36^2)))+Inputs!$C$37*(0.55*SIN(2*PI()*(Model_Data!A188)/Inputs!$C$39)+0.35*COS(2*PI()*(Inputs!$C$6)/Inputs!$C$40)+0.2*SIN(2*PI()*((Model_Data!A188)+(Inputs!$C$6))/(0.5*(Inputs!$C$39+Inputs!$C$40))))+Inputs!$C$38*SIN(2*PI()*(Model_Data!A188)/Inputs!$C$39)*SIN(2*PI()*(Inputs!$C$6)/Inputs!$C$40)+-Inputs!$C$41*EXP(-(((Inputs!$C$6)-Inputs!$C$43)^2)/(2*Inputs!$C$44^2))*EXP(-(((Model_Data!A188)-Inputs!$C$42)^2)/(2*Inputs!$C$45^2))+Inputs!$C$48*(0.7*(0.45*SIN(2*PI()*(((Model_Data!A188)/Inputs!$C$49)+Inputs!$C$47*0.137))+0.35*COS(2*PI()*(((Inputs!$C$6)/Inputs!$C$50)+Inputs!$C$47*0.173))+0.2*SIN(2*PI()*(((Model_Data!A188)+(Inputs!$C$6))/(0.5*(Inputs!$C$49+Inputs!$C$50))+Inputs!$C$47*0.097)))+0.3*(2*((SIN(((Model_Data!A188)*12.9898+(Inputs!$C$6)*78.233+Inputs!$C$47*37.719))*43758.5453)-INT((SIN(((Model_Data!A188)*12.9898+(Inputs!$C$6)*78.233+Inputs!$C$47*37.719))*43758.5453)))-1))))/1000)^2))-(((Model_Data!B188)-((Inputs!$C$51*(115*EXP(-(((0)-25)^2)/(4.5^2))+70*EXP(-(((0)+38)^2)/(7^2))*(0.55+0.45*SIN(2*PI()*(Model_Data!A188)/45))+24*SIN(2*PI()*(0)/9+(Model_Data!A188)/18)*EXP(-(((0)+5)^2)/(22^2))+18*SIN(2*PI()*(Model_Data!A188)/70))+Inputs!$C$28*EXP(-(((Model_Data!A188)-Inputs!$C$29)^2)/(2*Inputs!$C$31^2))*EXP(-(((0)-Inputs!$C$30)^2)/(2*Inputs!$C$32^2))+-Inputs!$C$33*EXP(-(((((Model_Data!A188)-Inputs!$C$34)^2)+(((0)-Inputs!$C$35)^2))/(2*Inputs!$C$36^2)))+Inputs!$C$37*(0.55*SIN(2*PI()*(Model_Data!A188)/Inputs!$C$39)+0.35*COS(2*PI()*(0)/Inputs!$C$40)+0.2*SIN(2*PI()*((Model_Data!A188)+(0))/(0.5*(Inputs!$C$39+Inputs!$C$40))))+Inputs!$C$38*SIN(2*PI()*(Model_Data!A188)/Inputs!$C$39)*SIN(2*PI()*(0)/Inputs!$C$40)+-Inputs!$C$41*EXP(-(((0)-Inputs!$C$43)^2)/(2*Inputs!$C$44^2))*EXP(-(((Model_Data!A188)-Inputs!$C$42)^2)/(2*Inputs!$C$45^2))+Inputs!$C$48*(0.7*(0.45*SIN(2*PI()*(((Model_Data!A188)/Inputs!$C$49)+Inputs!$C$47*0.137))+0.35*COS(2*PI()*(((0)/Inputs!$C$50)+Inputs!$C$47*0.173))+0.2*SIN(2*PI()*(((Model_Data!A188)+(0))/(0.5*(Inputs!$C$49+Inputs!$C$50))+Inputs!$C$47*0.097)))+0.3*(2*((SIN(((Model_Data!A188)*12.9898+(0)*78.233+Inputs!$C$47*37.719))*43758.5453)-INT((SIN(((Model_Data!A188)*12.9898+(0)*78.233+Inputs!$C$47*37.719))*43758.5453)))-1))))/1000)))*1000/Inputs!$C$12)-Model_Data!F188)</f>
        <v>128.37059722309391</v>
      </c>
      <c r="L188" s="10"/>
      <c r="M188" s="9">
        <f>Model_Data!A188</f>
        <v>33</v>
      </c>
      <c r="N188" s="9">
        <f>Model_Data!P188</f>
        <v>-247.62039958551682</v>
      </c>
      <c r="O188" s="9">
        <f t="shared" si="4"/>
        <v>-250.44993181209065</v>
      </c>
      <c r="P188" s="9">
        <f>Model_Data!Q188</f>
        <v>-37.180240178005533</v>
      </c>
      <c r="Q188" s="9">
        <f t="shared" si="5"/>
        <v>-37.605094866680282</v>
      </c>
      <c r="R188" s="10"/>
      <c r="S188" s="9">
        <f>Model_Data!A188</f>
        <v>33</v>
      </c>
      <c r="T188" s="9">
        <f>Model_Data!B188-Inputs!$C$5</f>
        <v>1.2099999999999795</v>
      </c>
      <c r="U188" s="10"/>
      <c r="V188" s="9">
        <f>Model_Data!A188</f>
        <v>33</v>
      </c>
      <c r="W188" s="9">
        <f>((SQRT((Model_Data!A188)^2+Inputs!$C$6^2+Inputs!$C$5^2)-Inputs!$C$5)*1000/Inputs!$C$12)</f>
        <v>1200.4453070126031</v>
      </c>
      <c r="X188" s="9">
        <f>Model_Data!F188</f>
        <v>1196.8440626483268</v>
      </c>
      <c r="Y188" s="10"/>
      <c r="Z188" s="9">
        <f>Model_Data!A188</f>
        <v>33</v>
      </c>
      <c r="AA188" s="9">
        <f>SQRT((Model_Data!A188)^2+Inputs!$C$6^2+((Model_Data!B188)-((Inputs!$C$51*(115*EXP(-(((Inputs!$C$6)-25)^2)/(4.5^2))+70*EXP(-(((Inputs!$C$6)+38)^2)/(7^2))*(0.55+0.45*SIN(2*PI()*(Model_Data!A188)/45))+24*SIN(2*PI()*(Inputs!$C$6)/9+(Model_Data!A188)/18)*EXP(-(((Inputs!$C$6)+5)^2)/(22^2))+18*SIN(2*PI()*(Model_Data!A188)/70))+Inputs!$C$28*EXP(-(((Model_Data!A188)-Inputs!$C$29)^2)/(2*Inputs!$C$31^2))*EXP(-(((Inputs!$C$6)-Inputs!$C$30)^2)/(2*Inputs!$C$32^2))+-Inputs!$C$33*EXP(-(((((Model_Data!A188)-Inputs!$C$34)^2)+(((Inputs!$C$6)-Inputs!$C$35)^2))/(2*Inputs!$C$36^2)))+Inputs!$C$37*(0.55*SIN(2*PI()*(Model_Data!A188)/Inputs!$C$39)+0.35*COS(2*PI()*(Inputs!$C$6)/Inputs!$C$40)+0.2*SIN(2*PI()*((Model_Data!A188)+(Inputs!$C$6))/(0.5*(Inputs!$C$39+Inputs!$C$40))))+Inputs!$C$38*SIN(2*PI()*(Model_Data!A188)/Inputs!$C$39)*SIN(2*PI()*(Inputs!$C$6)/Inputs!$C$40)+-Inputs!$C$41*EXP(-(((Inputs!$C$6)-Inputs!$C$43)^2)/(2*Inputs!$C$44^2))*EXP(-(((Model_Data!A188)-Inputs!$C$42)^2)/(2*Inputs!$C$45^2))+Inputs!$C$48*(0.7*(0.45*SIN(2*PI()*(((Model_Data!A188)/Inputs!$C$49)+Inputs!$C$47*0.137))+0.35*COS(2*PI()*(((Inputs!$C$6)/Inputs!$C$50)+Inputs!$C$47*0.173))+0.2*SIN(2*PI()*(((Model_Data!A188)+(Inputs!$C$6))/(0.5*(Inputs!$C$49+Inputs!$C$50))+Inputs!$C$47*0.097)))+0.3*(2*((SIN(((Model_Data!A188)*12.9898+(Inputs!$C$6)*78.233+Inputs!$C$47*37.719))*43758.5453)-INT((SIN(((Model_Data!A188)*12.9898+(Inputs!$C$6)*78.233+Inputs!$C$47*37.719))*43758.5453)))-1))))/1000)^2)</f>
        <v>403.11549305944817</v>
      </c>
      <c r="AB188" s="9">
        <f>1000*(AA189-AA187)/(Z189-Z187)*Inputs!$C$11</f>
        <v>626.12482953022663</v>
      </c>
      <c r="AC188" s="9">
        <f>-2*AB188/Inputs!$C$13</f>
        <v>-250.44993181209065</v>
      </c>
      <c r="AD188" s="9">
        <f>-2*AB188/Inputs!$C$14</f>
        <v>-37.605094866680282</v>
      </c>
    </row>
    <row r="189" spans="1:30">
      <c r="A189" s="9">
        <f>Model_Data!A189</f>
        <v>33.5</v>
      </c>
      <c r="B189" s="9">
        <f>((SQRT((Model_Data!A189)^2+Inputs!$C$6^2+Inputs!$C$5^2)-Inputs!$C$5)*1000/Inputs!$C$12)</f>
        <v>1223.6697613953572</v>
      </c>
      <c r="C189" s="9">
        <f>Model_Data!F189</f>
        <v>1219.8874954154699</v>
      </c>
      <c r="D189" s="9">
        <f>(((SQRT((Model_Data!A189)^2+Inputs!$C$6^2+((Model_Data!B189)-((Inputs!$C$51*(115*EXP(-(((Inputs!$C$6)-25)^2)/(4.5^2))+70*EXP(-(((Inputs!$C$6)+38)^2)/(7^2))*(0.55+0.45*SIN(2*PI()*(Model_Data!A189)/45))+24*SIN(2*PI()*(Inputs!$C$6)/9+(Model_Data!A189)/18)*EXP(-(((Inputs!$C$6)+5)^2)/(22^2))+18*SIN(2*PI()*(Model_Data!A189)/70))+Inputs!$C$28*EXP(-(((Model_Data!A189)-Inputs!$C$29)^2)/(2*Inputs!$C$31^2))*EXP(-(((Inputs!$C$6)-Inputs!$C$30)^2)/(2*Inputs!$C$32^2))+-Inputs!$C$33*EXP(-(((((Model_Data!A189)-Inputs!$C$34)^2)+(((Inputs!$C$6)-Inputs!$C$35)^2))/(2*Inputs!$C$36^2)))+Inputs!$C$37*(0.55*SIN(2*PI()*(Model_Data!A189)/Inputs!$C$39)+0.35*COS(2*PI()*(Inputs!$C$6)/Inputs!$C$40)+0.2*SIN(2*PI()*((Model_Data!A189)+(Inputs!$C$6))/(0.5*(Inputs!$C$39+Inputs!$C$40))))+Inputs!$C$38*SIN(2*PI()*(Model_Data!A189)/Inputs!$C$39)*SIN(2*PI()*(Inputs!$C$6)/Inputs!$C$40)+-Inputs!$C$41*EXP(-(((Inputs!$C$6)-Inputs!$C$43)^2)/(2*Inputs!$C$44^2))*EXP(-(((Model_Data!A189)-Inputs!$C$42)^2)/(2*Inputs!$C$45^2))+Inputs!$C$48*(0.7*(0.45*SIN(2*PI()*(((Model_Data!A189)/Inputs!$C$49)+Inputs!$C$47*0.137))+0.35*COS(2*PI()*(((Inputs!$C$6)/Inputs!$C$50)+Inputs!$C$47*0.173))+0.2*SIN(2*PI()*(((Model_Data!A189)+(Inputs!$C$6))/(0.5*(Inputs!$C$49+Inputs!$C$50))+Inputs!$C$47*0.097)))+0.3*(2*((SIN(((Model_Data!A189)*12.9898+(Inputs!$C$6)*78.233+Inputs!$C$47*37.719))*43758.5453)-INT((SIN(((Model_Data!A189)*12.9898+(Inputs!$C$6)*78.233+Inputs!$C$47*37.719))*43758.5453)))-1))))/1000)^2))-(((Model_Data!B189)-((Inputs!$C$51*(115*EXP(-(((0)-25)^2)/(4.5^2))+70*EXP(-(((0)+38)^2)/(7^2))*(0.55+0.45*SIN(2*PI()*(Model_Data!A189)/45))+24*SIN(2*PI()*(0)/9+(Model_Data!A189)/18)*EXP(-(((0)+5)^2)/(22^2))+18*SIN(2*PI()*(Model_Data!A189)/70))+Inputs!$C$28*EXP(-(((Model_Data!A189)-Inputs!$C$29)^2)/(2*Inputs!$C$31^2))*EXP(-(((0)-Inputs!$C$30)^2)/(2*Inputs!$C$32^2))+-Inputs!$C$33*EXP(-(((((Model_Data!A189)-Inputs!$C$34)^2)+(((0)-Inputs!$C$35)^2))/(2*Inputs!$C$36^2)))+Inputs!$C$37*(0.55*SIN(2*PI()*(Model_Data!A189)/Inputs!$C$39)+0.35*COS(2*PI()*(0)/Inputs!$C$40)+0.2*SIN(2*PI()*((Model_Data!A189)+(0))/(0.5*(Inputs!$C$39+Inputs!$C$40))))+Inputs!$C$38*SIN(2*PI()*(Model_Data!A189)/Inputs!$C$39)*SIN(2*PI()*(0)/Inputs!$C$40)+-Inputs!$C$41*EXP(-(((0)-Inputs!$C$43)^2)/(2*Inputs!$C$44^2))*EXP(-(((Model_Data!A189)-Inputs!$C$42)^2)/(2*Inputs!$C$45^2))+Inputs!$C$48*(0.7*(0.45*SIN(2*PI()*(((Model_Data!A189)/Inputs!$C$49)+Inputs!$C$47*0.137))+0.35*COS(2*PI()*(((0)/Inputs!$C$50)+Inputs!$C$47*0.173))+0.2*SIN(2*PI()*(((Model_Data!A189)+(0))/(0.5*(Inputs!$C$49+Inputs!$C$50))+Inputs!$C$47*0.097)))+0.3*(2*((SIN(((Model_Data!A189)*12.9898+(0)*78.233+Inputs!$C$47*37.719))*43758.5453)-INT((SIN(((Model_Data!A189)*12.9898+(0)*78.233+Inputs!$C$47*37.719))*43758.5453)))-1))))/1000)))*1000/Inputs!$C$12)</f>
        <v>1095.055120371848</v>
      </c>
      <c r="E189" s="9">
        <f>Model_Data!A189</f>
        <v>33.5</v>
      </c>
      <c r="F189" s="9">
        <f>(Inputs!$C$51*(115*EXP(-(((Inputs!$C$6)-25)^2)/(4.5^2))+70*EXP(-(((Inputs!$C$6)+38)^2)/(7^2))*(0.55+0.45*SIN(2*PI()*(Model_Data!A189)/45))+24*SIN(2*PI()*(Inputs!$C$6)/9+(Model_Data!A189)/18)*EXP(-(((Inputs!$C$6)+5)^2)/(22^2))+18*SIN(2*PI()*(Model_Data!A189)/70))+Inputs!$C$28*EXP(-(((Model_Data!A189)-Inputs!$C$29)^2)/(2*Inputs!$C$31^2))*EXP(-(((Inputs!$C$6)-Inputs!$C$30)^2)/(2*Inputs!$C$32^2))+-Inputs!$C$33*EXP(-(((((Model_Data!A189)-Inputs!$C$34)^2)+(((Inputs!$C$6)-Inputs!$C$35)^2))/(2*Inputs!$C$36^2)))+Inputs!$C$37*(0.55*SIN(2*PI()*(Model_Data!A189)/Inputs!$C$39)+0.35*COS(2*PI()*(Inputs!$C$6)/Inputs!$C$40)+0.2*SIN(2*PI()*((Model_Data!A189)+(Inputs!$C$6))/(0.5*(Inputs!$C$39+Inputs!$C$40))))+Inputs!$C$38*SIN(2*PI()*(Model_Data!A189)/Inputs!$C$39)*SIN(2*PI()*(Inputs!$C$6)/Inputs!$C$40)+-Inputs!$C$41*EXP(-(((Inputs!$C$6)-Inputs!$C$43)^2)/(2*Inputs!$C$44^2))*EXP(-(((Model_Data!A189)-Inputs!$C$42)^2)/(2*Inputs!$C$45^2))+Inputs!$C$48*(0.7*(0.45*SIN(2*PI()*(((Model_Data!A189)/Inputs!$C$49)+Inputs!$C$47*0.137))+0.35*COS(2*PI()*(((Inputs!$C$6)/Inputs!$C$50)+Inputs!$C$47*0.173))+0.2*SIN(2*PI()*(((Model_Data!A189)+(Inputs!$C$6))/(0.5*(Inputs!$C$49+Inputs!$C$50))+Inputs!$C$47*0.097)))+0.3*(2*((SIN(((Model_Data!A189)*12.9898+(Inputs!$C$6)*78.233+Inputs!$C$47*37.719))*43758.5453)-INT((SIN(((Model_Data!A189)*12.9898+(Inputs!$C$6)*78.233+Inputs!$C$47*37.719))*43758.5453)))-1)))</f>
        <v>226.23942491258683</v>
      </c>
      <c r="G189" s="9">
        <f>(Inputs!$C$51*(115*EXP(-(((0)-25)^2)/(4.5^2))+70*EXP(-(((0)+38)^2)/(7^2))*(0.55+0.45*SIN(2*PI()*(Model_Data!A189)/45))+24*SIN(2*PI()*(0)/9+(Model_Data!A189)/18)*EXP(-(((0)+5)^2)/(22^2))+18*SIN(2*PI()*(Model_Data!A189)/70))+Inputs!$C$28*EXP(-(((Model_Data!A189)-Inputs!$C$29)^2)/(2*Inputs!$C$31^2))*EXP(-(((0)-Inputs!$C$30)^2)/(2*Inputs!$C$32^2))+-Inputs!$C$33*EXP(-(((((Model_Data!A189)-Inputs!$C$34)^2)+(((0)-Inputs!$C$35)^2))/(2*Inputs!$C$36^2)))+Inputs!$C$37*(0.55*SIN(2*PI()*(Model_Data!A189)/Inputs!$C$39)+0.35*COS(2*PI()*(0)/Inputs!$C$40)+0.2*SIN(2*PI()*((Model_Data!A189)+(0))/(0.5*(Inputs!$C$39+Inputs!$C$40))))+Inputs!$C$38*SIN(2*PI()*(Model_Data!A189)/Inputs!$C$39)*SIN(2*PI()*(0)/Inputs!$C$40)+-Inputs!$C$41*EXP(-(((0)-Inputs!$C$43)^2)/(2*Inputs!$C$44^2))*EXP(-(((Model_Data!A189)-Inputs!$C$42)^2)/(2*Inputs!$C$45^2))+Inputs!$C$48*(0.7*(0.45*SIN(2*PI()*(((Model_Data!A189)/Inputs!$C$49)+Inputs!$C$47*0.137))+0.35*COS(2*PI()*(((0)/Inputs!$C$50)+Inputs!$C$47*0.173))+0.2*SIN(2*PI()*(((Model_Data!A189)+(0))/(0.5*(Inputs!$C$49+Inputs!$C$50))+Inputs!$C$47*0.097)))+0.3*(2*((SIN(((Model_Data!A189)*12.9898+(0)*78.233+Inputs!$C$47*37.719))*43758.5453)-INT((SIN(((Model_Data!A189)*12.9898+(0)*78.233+Inputs!$C$47*37.719))*43758.5453)))-1)))</f>
        <v>2.8193818928466783</v>
      </c>
      <c r="H189" s="10"/>
      <c r="I189" s="9">
        <f>Model_Data!A189</f>
        <v>33.5</v>
      </c>
      <c r="J189" s="9">
        <f>(Inputs!$C$51*(115*EXP(-(((Inputs!$C$6)-25)^2)/(4.5^2))+70*EXP(-(((Inputs!$C$6)+38)^2)/(7^2))*(0.55+0.45*SIN(2*PI()*(Model_Data!A189)/45))+24*SIN(2*PI()*(Inputs!$C$6)/9+(Model_Data!A189)/18)*EXP(-(((Inputs!$C$6)+5)^2)/(22^2))+18*SIN(2*PI()*(Model_Data!A189)/70))+Inputs!$C$28*EXP(-(((Model_Data!A189)-Inputs!$C$29)^2)/(2*Inputs!$C$31^2))*EXP(-(((Inputs!$C$6)-Inputs!$C$30)^2)/(2*Inputs!$C$32^2))+-Inputs!$C$33*EXP(-(((((Model_Data!A189)-Inputs!$C$34)^2)+(((Inputs!$C$6)-Inputs!$C$35)^2))/(2*Inputs!$C$36^2)))+Inputs!$C$37*(0.55*SIN(2*PI()*(Model_Data!A189)/Inputs!$C$39)+0.35*COS(2*PI()*(Inputs!$C$6)/Inputs!$C$40)+0.2*SIN(2*PI()*((Model_Data!A189)+(Inputs!$C$6))/(0.5*(Inputs!$C$39+Inputs!$C$40))))+Inputs!$C$38*SIN(2*PI()*(Model_Data!A189)/Inputs!$C$39)*SIN(2*PI()*(Inputs!$C$6)/Inputs!$C$40)+-Inputs!$C$41*EXP(-(((Inputs!$C$6)-Inputs!$C$43)^2)/(2*Inputs!$C$44^2))*EXP(-(((Model_Data!A189)-Inputs!$C$42)^2)/(2*Inputs!$C$45^2))+Inputs!$C$48*(0.7*(0.45*SIN(2*PI()*(((Model_Data!A189)/Inputs!$C$49)+Inputs!$C$47*0.137))+0.35*COS(2*PI()*(((Inputs!$C$6)/Inputs!$C$50)+Inputs!$C$47*0.173))+0.2*SIN(2*PI()*(((Model_Data!A189)+(Inputs!$C$6))/(0.5*(Inputs!$C$49+Inputs!$C$50))+Inputs!$C$47*0.097)))+0.3*(2*((SIN(((Model_Data!A189)*12.9898+(Inputs!$C$6)*78.233+Inputs!$C$47*37.719))*43758.5453)-INT((SIN(((Model_Data!A189)*12.9898+(Inputs!$C$6)*78.233+Inputs!$C$47*37.719))*43758.5453)))-1)))</f>
        <v>226.23942491258683</v>
      </c>
      <c r="K189" s="9">
        <f>-((((SQRT((Model_Data!A189)^2+Inputs!$C$6^2+((Model_Data!B189)-((Inputs!$C$51*(115*EXP(-(((Inputs!$C$6)-25)^2)/(4.5^2))+70*EXP(-(((Inputs!$C$6)+38)^2)/(7^2))*(0.55+0.45*SIN(2*PI()*(Model_Data!A189)/45))+24*SIN(2*PI()*(Inputs!$C$6)/9+(Model_Data!A189)/18)*EXP(-(((Inputs!$C$6)+5)^2)/(22^2))+18*SIN(2*PI()*(Model_Data!A189)/70))+Inputs!$C$28*EXP(-(((Model_Data!A189)-Inputs!$C$29)^2)/(2*Inputs!$C$31^2))*EXP(-(((Inputs!$C$6)-Inputs!$C$30)^2)/(2*Inputs!$C$32^2))+-Inputs!$C$33*EXP(-(((((Model_Data!A189)-Inputs!$C$34)^2)+(((Inputs!$C$6)-Inputs!$C$35)^2))/(2*Inputs!$C$36^2)))+Inputs!$C$37*(0.55*SIN(2*PI()*(Model_Data!A189)/Inputs!$C$39)+0.35*COS(2*PI()*(Inputs!$C$6)/Inputs!$C$40)+0.2*SIN(2*PI()*((Model_Data!A189)+(Inputs!$C$6))/(0.5*(Inputs!$C$39+Inputs!$C$40))))+Inputs!$C$38*SIN(2*PI()*(Model_Data!A189)/Inputs!$C$39)*SIN(2*PI()*(Inputs!$C$6)/Inputs!$C$40)+-Inputs!$C$41*EXP(-(((Inputs!$C$6)-Inputs!$C$43)^2)/(2*Inputs!$C$44^2))*EXP(-(((Model_Data!A189)-Inputs!$C$42)^2)/(2*Inputs!$C$45^2))+Inputs!$C$48*(0.7*(0.45*SIN(2*PI()*(((Model_Data!A189)/Inputs!$C$49)+Inputs!$C$47*0.137))+0.35*COS(2*PI()*(((Inputs!$C$6)/Inputs!$C$50)+Inputs!$C$47*0.173))+0.2*SIN(2*PI()*(((Model_Data!A189)+(Inputs!$C$6))/(0.5*(Inputs!$C$49+Inputs!$C$50))+Inputs!$C$47*0.097)))+0.3*(2*((SIN(((Model_Data!A189)*12.9898+(Inputs!$C$6)*78.233+Inputs!$C$47*37.719))*43758.5453)-INT((SIN(((Model_Data!A189)*12.9898+(Inputs!$C$6)*78.233+Inputs!$C$47*37.719))*43758.5453)))-1))))/1000)^2))-(((Model_Data!B189)-((Inputs!$C$51*(115*EXP(-(((0)-25)^2)/(4.5^2))+70*EXP(-(((0)+38)^2)/(7^2))*(0.55+0.45*SIN(2*PI()*(Model_Data!A189)/45))+24*SIN(2*PI()*(0)/9+(Model_Data!A189)/18)*EXP(-(((0)+5)^2)/(22^2))+18*SIN(2*PI()*(Model_Data!A189)/70))+Inputs!$C$28*EXP(-(((Model_Data!A189)-Inputs!$C$29)^2)/(2*Inputs!$C$31^2))*EXP(-(((0)-Inputs!$C$30)^2)/(2*Inputs!$C$32^2))+-Inputs!$C$33*EXP(-(((((Model_Data!A189)-Inputs!$C$34)^2)+(((0)-Inputs!$C$35)^2))/(2*Inputs!$C$36^2)))+Inputs!$C$37*(0.55*SIN(2*PI()*(Model_Data!A189)/Inputs!$C$39)+0.35*COS(2*PI()*(0)/Inputs!$C$40)+0.2*SIN(2*PI()*((Model_Data!A189)+(0))/(0.5*(Inputs!$C$39+Inputs!$C$40))))+Inputs!$C$38*SIN(2*PI()*(Model_Data!A189)/Inputs!$C$39)*SIN(2*PI()*(0)/Inputs!$C$40)+-Inputs!$C$41*EXP(-(((0)-Inputs!$C$43)^2)/(2*Inputs!$C$44^2))*EXP(-(((Model_Data!A189)-Inputs!$C$42)^2)/(2*Inputs!$C$45^2))+Inputs!$C$48*(0.7*(0.45*SIN(2*PI()*(((Model_Data!A189)/Inputs!$C$49)+Inputs!$C$47*0.137))+0.35*COS(2*PI()*(((0)/Inputs!$C$50)+Inputs!$C$47*0.173))+0.2*SIN(2*PI()*(((Model_Data!A189)+(0))/(0.5*(Inputs!$C$49+Inputs!$C$50))+Inputs!$C$47*0.097)))+0.3*(2*((SIN(((Model_Data!A189)*12.9898+(0)*78.233+Inputs!$C$47*37.719))*43758.5453)-INT((SIN(((Model_Data!A189)*12.9898+(0)*78.233+Inputs!$C$47*37.719))*43758.5453)))-1))))/1000)))*1000/Inputs!$C$12)-Model_Data!F189)</f>
        <v>124.83237504362182</v>
      </c>
      <c r="L189" s="10"/>
      <c r="M189" s="9">
        <f>Model_Data!A189</f>
        <v>33.5</v>
      </c>
      <c r="N189" s="9">
        <f>Model_Data!P189</f>
        <v>-251.33455343294068</v>
      </c>
      <c r="O189" s="9">
        <f t="shared" si="4"/>
        <v>-224.06065490276887</v>
      </c>
      <c r="P189" s="9">
        <f>Model_Data!Q189</f>
        <v>-37.737920935876978</v>
      </c>
      <c r="Q189" s="9">
        <f t="shared" si="5"/>
        <v>-33.642740976391728</v>
      </c>
      <c r="R189" s="10"/>
      <c r="S189" s="9">
        <f>Model_Data!A189</f>
        <v>33.5</v>
      </c>
      <c r="T189" s="9">
        <f>Model_Data!B189-Inputs!$C$5</f>
        <v>1.2469444444444662</v>
      </c>
      <c r="U189" s="10"/>
      <c r="V189" s="9">
        <f>Model_Data!A189</f>
        <v>33.5</v>
      </c>
      <c r="W189" s="9">
        <f>((SQRT((Model_Data!A189)^2+Inputs!$C$6^2+Inputs!$C$5^2)-Inputs!$C$5)*1000/Inputs!$C$12)</f>
        <v>1223.6697613953572</v>
      </c>
      <c r="X189" s="9">
        <f>Model_Data!F189</f>
        <v>1219.8874954154699</v>
      </c>
      <c r="Y189" s="10"/>
      <c r="Z189" s="9">
        <f>Model_Data!A189</f>
        <v>33.5</v>
      </c>
      <c r="AA189" s="9">
        <f>SQRT((Model_Data!A189)^2+Inputs!$C$6^2+((Model_Data!B189)-((Inputs!$C$51*(115*EXP(-(((Inputs!$C$6)-25)^2)/(4.5^2))+70*EXP(-(((Inputs!$C$6)+38)^2)/(7^2))*(0.55+0.45*SIN(2*PI()*(Model_Data!A189)/45))+24*SIN(2*PI()*(Inputs!$C$6)/9+(Model_Data!A189)/18)*EXP(-(((Inputs!$C$6)+5)^2)/(22^2))+18*SIN(2*PI()*(Model_Data!A189)/70))+Inputs!$C$28*EXP(-(((Model_Data!A189)-Inputs!$C$29)^2)/(2*Inputs!$C$31^2))*EXP(-(((Inputs!$C$6)-Inputs!$C$30)^2)/(2*Inputs!$C$32^2))+-Inputs!$C$33*EXP(-(((((Model_Data!A189)-Inputs!$C$34)^2)+(((Inputs!$C$6)-Inputs!$C$35)^2))/(2*Inputs!$C$36^2)))+Inputs!$C$37*(0.55*SIN(2*PI()*(Model_Data!A189)/Inputs!$C$39)+0.35*COS(2*PI()*(Inputs!$C$6)/Inputs!$C$40)+0.2*SIN(2*PI()*((Model_Data!A189)+(Inputs!$C$6))/(0.5*(Inputs!$C$39+Inputs!$C$40))))+Inputs!$C$38*SIN(2*PI()*(Model_Data!A189)/Inputs!$C$39)*SIN(2*PI()*(Inputs!$C$6)/Inputs!$C$40)+-Inputs!$C$41*EXP(-(((Inputs!$C$6)-Inputs!$C$43)^2)/(2*Inputs!$C$44^2))*EXP(-(((Model_Data!A189)-Inputs!$C$42)^2)/(2*Inputs!$C$45^2))+Inputs!$C$48*(0.7*(0.45*SIN(2*PI()*(((Model_Data!A189)/Inputs!$C$49)+Inputs!$C$47*0.137))+0.35*COS(2*PI()*(((Inputs!$C$6)/Inputs!$C$50)+Inputs!$C$47*0.173))+0.2*SIN(2*PI()*(((Model_Data!A189)+(Inputs!$C$6))/(0.5*(Inputs!$C$49+Inputs!$C$50))+Inputs!$C$47*0.097)))+0.3*(2*((SIN(((Model_Data!A189)*12.9898+(Inputs!$C$6)*78.233+Inputs!$C$47*37.719))*43758.5453)-INT((SIN(((Model_Data!A189)*12.9898+(Inputs!$C$6)*78.233+Inputs!$C$47*37.719))*43758.5453)))-1))))/1000)^2)</f>
        <v>403.19332317681352</v>
      </c>
      <c r="AB189" s="9">
        <f>1000*(AA190-AA188)/(Z190-Z188)*Inputs!$C$11</f>
        <v>560.15163725692219</v>
      </c>
      <c r="AC189" s="9">
        <f>-2*AB189/Inputs!$C$13</f>
        <v>-224.06065490276887</v>
      </c>
      <c r="AD189" s="9">
        <f>-2*AB189/Inputs!$C$14</f>
        <v>-33.642740976391728</v>
      </c>
    </row>
    <row r="190" spans="1:30">
      <c r="A190" s="9">
        <f>Model_Data!A190</f>
        <v>34</v>
      </c>
      <c r="B190" s="9">
        <f>((SQRT((Model_Data!A190)^2+Inputs!$C$6^2+Inputs!$C$5^2)-Inputs!$C$5)*1000/Inputs!$C$12)</f>
        <v>1247.2410146105549</v>
      </c>
      <c r="C190" s="9">
        <f>Model_Data!F190</f>
        <v>1243.2707350015928</v>
      </c>
      <c r="D190" s="9">
        <f>(((SQRT((Model_Data!A190)^2+Inputs!$C$6^2+((Model_Data!B190)-((Inputs!$C$51*(115*EXP(-(((Inputs!$C$6)-25)^2)/(4.5^2))+70*EXP(-(((Inputs!$C$6)+38)^2)/(7^2))*(0.55+0.45*SIN(2*PI()*(Model_Data!A190)/45))+24*SIN(2*PI()*(Inputs!$C$6)/9+(Model_Data!A190)/18)*EXP(-(((Inputs!$C$6)+5)^2)/(22^2))+18*SIN(2*PI()*(Model_Data!A190)/70))+Inputs!$C$28*EXP(-(((Model_Data!A190)-Inputs!$C$29)^2)/(2*Inputs!$C$31^2))*EXP(-(((Inputs!$C$6)-Inputs!$C$30)^2)/(2*Inputs!$C$32^2))+-Inputs!$C$33*EXP(-(((((Model_Data!A190)-Inputs!$C$34)^2)+(((Inputs!$C$6)-Inputs!$C$35)^2))/(2*Inputs!$C$36^2)))+Inputs!$C$37*(0.55*SIN(2*PI()*(Model_Data!A190)/Inputs!$C$39)+0.35*COS(2*PI()*(Inputs!$C$6)/Inputs!$C$40)+0.2*SIN(2*PI()*((Model_Data!A190)+(Inputs!$C$6))/(0.5*(Inputs!$C$39+Inputs!$C$40))))+Inputs!$C$38*SIN(2*PI()*(Model_Data!A190)/Inputs!$C$39)*SIN(2*PI()*(Inputs!$C$6)/Inputs!$C$40)+-Inputs!$C$41*EXP(-(((Inputs!$C$6)-Inputs!$C$43)^2)/(2*Inputs!$C$44^2))*EXP(-(((Model_Data!A190)-Inputs!$C$42)^2)/(2*Inputs!$C$45^2))+Inputs!$C$48*(0.7*(0.45*SIN(2*PI()*(((Model_Data!A190)/Inputs!$C$49)+Inputs!$C$47*0.137))+0.35*COS(2*PI()*(((Inputs!$C$6)/Inputs!$C$50)+Inputs!$C$47*0.173))+0.2*SIN(2*PI()*(((Model_Data!A190)+(Inputs!$C$6))/(0.5*(Inputs!$C$49+Inputs!$C$50))+Inputs!$C$47*0.097)))+0.3*(2*((SIN(((Model_Data!A190)*12.9898+(Inputs!$C$6)*78.233+Inputs!$C$47*37.719))*43758.5453)-INT((SIN(((Model_Data!A190)*12.9898+(Inputs!$C$6)*78.233+Inputs!$C$47*37.719))*43758.5453)))-1))))/1000)^2))-(((Model_Data!B190)-((Inputs!$C$51*(115*EXP(-(((0)-25)^2)/(4.5^2))+70*EXP(-(((0)+38)^2)/(7^2))*(0.55+0.45*SIN(2*PI()*(Model_Data!A190)/45))+24*SIN(2*PI()*(0)/9+(Model_Data!A190)/18)*EXP(-(((0)+5)^2)/(22^2))+18*SIN(2*PI()*(Model_Data!A190)/70))+Inputs!$C$28*EXP(-(((Model_Data!A190)-Inputs!$C$29)^2)/(2*Inputs!$C$31^2))*EXP(-(((0)-Inputs!$C$30)^2)/(2*Inputs!$C$32^2))+-Inputs!$C$33*EXP(-(((((Model_Data!A190)-Inputs!$C$34)^2)+(((0)-Inputs!$C$35)^2))/(2*Inputs!$C$36^2)))+Inputs!$C$37*(0.55*SIN(2*PI()*(Model_Data!A190)/Inputs!$C$39)+0.35*COS(2*PI()*(0)/Inputs!$C$40)+0.2*SIN(2*PI()*((Model_Data!A190)+(0))/(0.5*(Inputs!$C$39+Inputs!$C$40))))+Inputs!$C$38*SIN(2*PI()*(Model_Data!A190)/Inputs!$C$39)*SIN(2*PI()*(0)/Inputs!$C$40)+-Inputs!$C$41*EXP(-(((0)-Inputs!$C$43)^2)/(2*Inputs!$C$44^2))*EXP(-(((Model_Data!A190)-Inputs!$C$42)^2)/(2*Inputs!$C$45^2))+Inputs!$C$48*(0.7*(0.45*SIN(2*PI()*(((Model_Data!A190)/Inputs!$C$49)+Inputs!$C$47*0.137))+0.35*COS(2*PI()*(((0)/Inputs!$C$50)+Inputs!$C$47*0.173))+0.2*SIN(2*PI()*(((Model_Data!A190)+(0))/(0.5*(Inputs!$C$49+Inputs!$C$50))+Inputs!$C$47*0.097)))+0.3*(2*((SIN(((Model_Data!A190)*12.9898+(0)*78.233+Inputs!$C$47*37.719))*43758.5453)-INT((SIN(((Model_Data!A190)*12.9898+(0)*78.233+Inputs!$C$47*37.719))*43758.5453)))-1))))/1000)))*1000/Inputs!$C$12)</f>
        <v>1112.9146643326565</v>
      </c>
      <c r="E190" s="9">
        <f>Model_Data!A190</f>
        <v>34</v>
      </c>
      <c r="F190" s="9">
        <f>(Inputs!$C$51*(115*EXP(-(((Inputs!$C$6)-25)^2)/(4.5^2))+70*EXP(-(((Inputs!$C$6)+38)^2)/(7^2))*(0.55+0.45*SIN(2*PI()*(Model_Data!A190)/45))+24*SIN(2*PI()*(Inputs!$C$6)/9+(Model_Data!A190)/18)*EXP(-(((Inputs!$C$6)+5)^2)/(22^2))+18*SIN(2*PI()*(Model_Data!A190)/70))+Inputs!$C$28*EXP(-(((Model_Data!A190)-Inputs!$C$29)^2)/(2*Inputs!$C$31^2))*EXP(-(((Inputs!$C$6)-Inputs!$C$30)^2)/(2*Inputs!$C$32^2))+-Inputs!$C$33*EXP(-(((((Model_Data!A190)-Inputs!$C$34)^2)+(((Inputs!$C$6)-Inputs!$C$35)^2))/(2*Inputs!$C$36^2)))+Inputs!$C$37*(0.55*SIN(2*PI()*(Model_Data!A190)/Inputs!$C$39)+0.35*COS(2*PI()*(Inputs!$C$6)/Inputs!$C$40)+0.2*SIN(2*PI()*((Model_Data!A190)+(Inputs!$C$6))/(0.5*(Inputs!$C$39+Inputs!$C$40))))+Inputs!$C$38*SIN(2*PI()*(Model_Data!A190)/Inputs!$C$39)*SIN(2*PI()*(Inputs!$C$6)/Inputs!$C$40)+-Inputs!$C$41*EXP(-(((Inputs!$C$6)-Inputs!$C$43)^2)/(2*Inputs!$C$44^2))*EXP(-(((Model_Data!A190)-Inputs!$C$42)^2)/(2*Inputs!$C$45^2))+Inputs!$C$48*(0.7*(0.45*SIN(2*PI()*(((Model_Data!A190)/Inputs!$C$49)+Inputs!$C$47*0.137))+0.35*COS(2*PI()*(((Inputs!$C$6)/Inputs!$C$50)+Inputs!$C$47*0.173))+0.2*SIN(2*PI()*(((Model_Data!A190)+(Inputs!$C$6))/(0.5*(Inputs!$C$49+Inputs!$C$50))+Inputs!$C$47*0.097)))+0.3*(2*((SIN(((Model_Data!A190)*12.9898+(Inputs!$C$6)*78.233+Inputs!$C$47*37.719))*43758.5453)-INT((SIN(((Model_Data!A190)*12.9898+(Inputs!$C$6)*78.233+Inputs!$C$47*37.719))*43758.5453)))-1)))</f>
        <v>243.27042748832011</v>
      </c>
      <c r="G190" s="9">
        <f>(Inputs!$C$51*(115*EXP(-(((0)-25)^2)/(4.5^2))+70*EXP(-(((0)+38)^2)/(7^2))*(0.55+0.45*SIN(2*PI()*(Model_Data!A190)/45))+24*SIN(2*PI()*(0)/9+(Model_Data!A190)/18)*EXP(-(((0)+5)^2)/(22^2))+18*SIN(2*PI()*(Model_Data!A190)/70))+Inputs!$C$28*EXP(-(((Model_Data!A190)-Inputs!$C$29)^2)/(2*Inputs!$C$31^2))*EXP(-(((0)-Inputs!$C$30)^2)/(2*Inputs!$C$32^2))+-Inputs!$C$33*EXP(-(((((Model_Data!A190)-Inputs!$C$34)^2)+(((0)-Inputs!$C$35)^2))/(2*Inputs!$C$36^2)))+Inputs!$C$37*(0.55*SIN(2*PI()*(Model_Data!A190)/Inputs!$C$39)+0.35*COS(2*PI()*(0)/Inputs!$C$40)+0.2*SIN(2*PI()*((Model_Data!A190)+(0))/(0.5*(Inputs!$C$39+Inputs!$C$40))))+Inputs!$C$38*SIN(2*PI()*(Model_Data!A190)/Inputs!$C$39)*SIN(2*PI()*(0)/Inputs!$C$40)+-Inputs!$C$41*EXP(-(((0)-Inputs!$C$43)^2)/(2*Inputs!$C$44^2))*EXP(-(((Model_Data!A190)-Inputs!$C$42)^2)/(2*Inputs!$C$45^2))+Inputs!$C$48*(0.7*(0.45*SIN(2*PI()*(((Model_Data!A190)/Inputs!$C$49)+Inputs!$C$47*0.137))+0.35*COS(2*PI()*(((0)/Inputs!$C$50)+Inputs!$C$47*0.173))+0.2*SIN(2*PI()*(((Model_Data!A190)+(0))/(0.5*(Inputs!$C$49+Inputs!$C$50))+Inputs!$C$47*0.097)))+0.3*(2*((SIN(((Model_Data!A190)*12.9898+(0)*78.233+Inputs!$C$47*37.719))*43758.5453)-INT((SIN(((Model_Data!A190)*12.9898+(0)*78.233+Inputs!$C$47*37.719))*43758.5453)))-1)))</f>
        <v>9.9015781941524494</v>
      </c>
      <c r="H190" s="10"/>
      <c r="I190" s="9">
        <f>Model_Data!A190</f>
        <v>34</v>
      </c>
      <c r="J190" s="9">
        <f>(Inputs!$C$51*(115*EXP(-(((Inputs!$C$6)-25)^2)/(4.5^2))+70*EXP(-(((Inputs!$C$6)+38)^2)/(7^2))*(0.55+0.45*SIN(2*PI()*(Model_Data!A190)/45))+24*SIN(2*PI()*(Inputs!$C$6)/9+(Model_Data!A190)/18)*EXP(-(((Inputs!$C$6)+5)^2)/(22^2))+18*SIN(2*PI()*(Model_Data!A190)/70))+Inputs!$C$28*EXP(-(((Model_Data!A190)-Inputs!$C$29)^2)/(2*Inputs!$C$31^2))*EXP(-(((Inputs!$C$6)-Inputs!$C$30)^2)/(2*Inputs!$C$32^2))+-Inputs!$C$33*EXP(-(((((Model_Data!A190)-Inputs!$C$34)^2)+(((Inputs!$C$6)-Inputs!$C$35)^2))/(2*Inputs!$C$36^2)))+Inputs!$C$37*(0.55*SIN(2*PI()*(Model_Data!A190)/Inputs!$C$39)+0.35*COS(2*PI()*(Inputs!$C$6)/Inputs!$C$40)+0.2*SIN(2*PI()*((Model_Data!A190)+(Inputs!$C$6))/(0.5*(Inputs!$C$39+Inputs!$C$40))))+Inputs!$C$38*SIN(2*PI()*(Model_Data!A190)/Inputs!$C$39)*SIN(2*PI()*(Inputs!$C$6)/Inputs!$C$40)+-Inputs!$C$41*EXP(-(((Inputs!$C$6)-Inputs!$C$43)^2)/(2*Inputs!$C$44^2))*EXP(-(((Model_Data!A190)-Inputs!$C$42)^2)/(2*Inputs!$C$45^2))+Inputs!$C$48*(0.7*(0.45*SIN(2*PI()*(((Model_Data!A190)/Inputs!$C$49)+Inputs!$C$47*0.137))+0.35*COS(2*PI()*(((Inputs!$C$6)/Inputs!$C$50)+Inputs!$C$47*0.173))+0.2*SIN(2*PI()*(((Model_Data!A190)+(Inputs!$C$6))/(0.5*(Inputs!$C$49+Inputs!$C$50))+Inputs!$C$47*0.097)))+0.3*(2*((SIN(((Model_Data!A190)*12.9898+(Inputs!$C$6)*78.233+Inputs!$C$47*37.719))*43758.5453)-INT((SIN(((Model_Data!A190)*12.9898+(Inputs!$C$6)*78.233+Inputs!$C$47*37.719))*43758.5453)))-1)))</f>
        <v>243.27042748832011</v>
      </c>
      <c r="K190" s="9">
        <f>-((((SQRT((Model_Data!A190)^2+Inputs!$C$6^2+((Model_Data!B190)-((Inputs!$C$51*(115*EXP(-(((Inputs!$C$6)-25)^2)/(4.5^2))+70*EXP(-(((Inputs!$C$6)+38)^2)/(7^2))*(0.55+0.45*SIN(2*PI()*(Model_Data!A190)/45))+24*SIN(2*PI()*(Inputs!$C$6)/9+(Model_Data!A190)/18)*EXP(-(((Inputs!$C$6)+5)^2)/(22^2))+18*SIN(2*PI()*(Model_Data!A190)/70))+Inputs!$C$28*EXP(-(((Model_Data!A190)-Inputs!$C$29)^2)/(2*Inputs!$C$31^2))*EXP(-(((Inputs!$C$6)-Inputs!$C$30)^2)/(2*Inputs!$C$32^2))+-Inputs!$C$33*EXP(-(((((Model_Data!A190)-Inputs!$C$34)^2)+(((Inputs!$C$6)-Inputs!$C$35)^2))/(2*Inputs!$C$36^2)))+Inputs!$C$37*(0.55*SIN(2*PI()*(Model_Data!A190)/Inputs!$C$39)+0.35*COS(2*PI()*(Inputs!$C$6)/Inputs!$C$40)+0.2*SIN(2*PI()*((Model_Data!A190)+(Inputs!$C$6))/(0.5*(Inputs!$C$39+Inputs!$C$40))))+Inputs!$C$38*SIN(2*PI()*(Model_Data!A190)/Inputs!$C$39)*SIN(2*PI()*(Inputs!$C$6)/Inputs!$C$40)+-Inputs!$C$41*EXP(-(((Inputs!$C$6)-Inputs!$C$43)^2)/(2*Inputs!$C$44^2))*EXP(-(((Model_Data!A190)-Inputs!$C$42)^2)/(2*Inputs!$C$45^2))+Inputs!$C$48*(0.7*(0.45*SIN(2*PI()*(((Model_Data!A190)/Inputs!$C$49)+Inputs!$C$47*0.137))+0.35*COS(2*PI()*(((Inputs!$C$6)/Inputs!$C$50)+Inputs!$C$47*0.173))+0.2*SIN(2*PI()*(((Model_Data!A190)+(Inputs!$C$6))/(0.5*(Inputs!$C$49+Inputs!$C$50))+Inputs!$C$47*0.097)))+0.3*(2*((SIN(((Model_Data!A190)*12.9898+(Inputs!$C$6)*78.233+Inputs!$C$47*37.719))*43758.5453)-INT((SIN(((Model_Data!A190)*12.9898+(Inputs!$C$6)*78.233+Inputs!$C$47*37.719))*43758.5453)))-1))))/1000)^2))-(((Model_Data!B190)-((Inputs!$C$51*(115*EXP(-(((0)-25)^2)/(4.5^2))+70*EXP(-(((0)+38)^2)/(7^2))*(0.55+0.45*SIN(2*PI()*(Model_Data!A190)/45))+24*SIN(2*PI()*(0)/9+(Model_Data!A190)/18)*EXP(-(((0)+5)^2)/(22^2))+18*SIN(2*PI()*(Model_Data!A190)/70))+Inputs!$C$28*EXP(-(((Model_Data!A190)-Inputs!$C$29)^2)/(2*Inputs!$C$31^2))*EXP(-(((0)-Inputs!$C$30)^2)/(2*Inputs!$C$32^2))+-Inputs!$C$33*EXP(-(((((Model_Data!A190)-Inputs!$C$34)^2)+(((0)-Inputs!$C$35)^2))/(2*Inputs!$C$36^2)))+Inputs!$C$37*(0.55*SIN(2*PI()*(Model_Data!A190)/Inputs!$C$39)+0.35*COS(2*PI()*(0)/Inputs!$C$40)+0.2*SIN(2*PI()*((Model_Data!A190)+(0))/(0.5*(Inputs!$C$39+Inputs!$C$40))))+Inputs!$C$38*SIN(2*PI()*(Model_Data!A190)/Inputs!$C$39)*SIN(2*PI()*(0)/Inputs!$C$40)+-Inputs!$C$41*EXP(-(((0)-Inputs!$C$43)^2)/(2*Inputs!$C$44^2))*EXP(-(((Model_Data!A190)-Inputs!$C$42)^2)/(2*Inputs!$C$45^2))+Inputs!$C$48*(0.7*(0.45*SIN(2*PI()*(((Model_Data!A190)/Inputs!$C$49)+Inputs!$C$47*0.137))+0.35*COS(2*PI()*(((0)/Inputs!$C$50)+Inputs!$C$47*0.173))+0.2*SIN(2*PI()*(((Model_Data!A190)+(0))/(0.5*(Inputs!$C$49+Inputs!$C$50))+Inputs!$C$47*0.097)))+0.3*(2*((SIN(((Model_Data!A190)*12.9898+(0)*78.233+Inputs!$C$47*37.719))*43758.5453)-INT((SIN(((Model_Data!A190)*12.9898+(0)*78.233+Inputs!$C$47*37.719))*43758.5453)))-1))))/1000)))*1000/Inputs!$C$12)-Model_Data!F190)</f>
        <v>130.35607066893635</v>
      </c>
      <c r="L190" s="10"/>
      <c r="M190" s="9">
        <f>Model_Data!A190</f>
        <v>34</v>
      </c>
      <c r="N190" s="9">
        <f>Model_Data!P190</f>
        <v>-255.04703052414416</v>
      </c>
      <c r="O190" s="9">
        <f t="shared" si="4"/>
        <v>-219.16033031429833</v>
      </c>
      <c r="P190" s="9">
        <f>Model_Data!Q190</f>
        <v>-38.295349928550174</v>
      </c>
      <c r="Q190" s="9">
        <f t="shared" si="5"/>
        <v>-32.906956503648402</v>
      </c>
      <c r="R190" s="10"/>
      <c r="S190" s="9">
        <f>Model_Data!A190</f>
        <v>34</v>
      </c>
      <c r="T190" s="9">
        <f>Model_Data!B190-Inputs!$C$5</f>
        <v>1.2844444444444321</v>
      </c>
      <c r="U190" s="10"/>
      <c r="V190" s="9">
        <f>Model_Data!A190</f>
        <v>34</v>
      </c>
      <c r="W190" s="9">
        <f>((SQRT((Model_Data!A190)^2+Inputs!$C$6^2+Inputs!$C$5^2)-Inputs!$C$5)*1000/Inputs!$C$12)</f>
        <v>1247.2410146105549</v>
      </c>
      <c r="X190" s="9">
        <f>Model_Data!F190</f>
        <v>1243.2707350015928</v>
      </c>
      <c r="Y190" s="10"/>
      <c r="Z190" s="9">
        <f>Model_Data!A190</f>
        <v>34</v>
      </c>
      <c r="AA190" s="9">
        <f>SQRT((Model_Data!A190)^2+Inputs!$C$6^2+((Model_Data!B190)-((Inputs!$C$51*(115*EXP(-(((Inputs!$C$6)-25)^2)/(4.5^2))+70*EXP(-(((Inputs!$C$6)+38)^2)/(7^2))*(0.55+0.45*SIN(2*PI()*(Model_Data!A190)/45))+24*SIN(2*PI()*(Inputs!$C$6)/9+(Model_Data!A190)/18)*EXP(-(((Inputs!$C$6)+5)^2)/(22^2))+18*SIN(2*PI()*(Model_Data!A190)/70))+Inputs!$C$28*EXP(-(((Model_Data!A190)-Inputs!$C$29)^2)/(2*Inputs!$C$31^2))*EXP(-(((Inputs!$C$6)-Inputs!$C$30)^2)/(2*Inputs!$C$32^2))+-Inputs!$C$33*EXP(-(((((Model_Data!A190)-Inputs!$C$34)^2)+(((Inputs!$C$6)-Inputs!$C$35)^2))/(2*Inputs!$C$36^2)))+Inputs!$C$37*(0.55*SIN(2*PI()*(Model_Data!A190)/Inputs!$C$39)+0.35*COS(2*PI()*(Inputs!$C$6)/Inputs!$C$40)+0.2*SIN(2*PI()*((Model_Data!A190)+(Inputs!$C$6))/(0.5*(Inputs!$C$39+Inputs!$C$40))))+Inputs!$C$38*SIN(2*PI()*(Model_Data!A190)/Inputs!$C$39)*SIN(2*PI()*(Inputs!$C$6)/Inputs!$C$40)+-Inputs!$C$41*EXP(-(((Inputs!$C$6)-Inputs!$C$43)^2)/(2*Inputs!$C$44^2))*EXP(-(((Model_Data!A190)-Inputs!$C$42)^2)/(2*Inputs!$C$45^2))+Inputs!$C$48*(0.7*(0.45*SIN(2*PI()*(((Model_Data!A190)/Inputs!$C$49)+Inputs!$C$47*0.137))+0.35*COS(2*PI()*(((Inputs!$C$6)/Inputs!$C$50)+Inputs!$C$47*0.173))+0.2*SIN(2*PI()*(((Model_Data!A190)+(Inputs!$C$6))/(0.5*(Inputs!$C$49+Inputs!$C$50))+Inputs!$C$47*0.097)))+0.3*(2*((SIN(((Model_Data!A190)*12.9898+(Inputs!$C$6)*78.233+Inputs!$C$47*37.719))*43758.5453)-INT((SIN(((Model_Data!A190)*12.9898+(Inputs!$C$6)*78.233+Inputs!$C$47*37.719))*43758.5453)))-1))))/1000)^2)</f>
        <v>403.2555309687624</v>
      </c>
      <c r="AB190" s="9">
        <f>1000*(AA191-AA189)/(Z191-Z189)*Inputs!$C$11</f>
        <v>547.90082578574584</v>
      </c>
      <c r="AC190" s="9">
        <f>-2*AB190/Inputs!$C$13</f>
        <v>-219.16033031429833</v>
      </c>
      <c r="AD190" s="9">
        <f>-2*AB190/Inputs!$C$14</f>
        <v>-32.906956503648402</v>
      </c>
    </row>
    <row r="191" spans="1:30">
      <c r="A191" s="9">
        <f>Model_Data!A191</f>
        <v>34.5</v>
      </c>
      <c r="B191" s="9">
        <f>((SQRT((Model_Data!A191)^2+Inputs!$C$6^2+Inputs!$C$5^2)-Inputs!$C$5)*1000/Inputs!$C$12)</f>
        <v>1271.158958142609</v>
      </c>
      <c r="C191" s="9">
        <f>Model_Data!F191</f>
        <v>1266.9934849810077</v>
      </c>
      <c r="D191" s="9">
        <f>(((SQRT((Model_Data!A191)^2+Inputs!$C$6^2+((Model_Data!B191)-((Inputs!$C$51*(115*EXP(-(((Inputs!$C$6)-25)^2)/(4.5^2))+70*EXP(-(((Inputs!$C$6)+38)^2)/(7^2))*(0.55+0.45*SIN(2*PI()*(Model_Data!A191)/45))+24*SIN(2*PI()*(Inputs!$C$6)/9+(Model_Data!A191)/18)*EXP(-(((Inputs!$C$6)+5)^2)/(22^2))+18*SIN(2*PI()*(Model_Data!A191)/70))+Inputs!$C$28*EXP(-(((Model_Data!A191)-Inputs!$C$29)^2)/(2*Inputs!$C$31^2))*EXP(-(((Inputs!$C$6)-Inputs!$C$30)^2)/(2*Inputs!$C$32^2))+-Inputs!$C$33*EXP(-(((((Model_Data!A191)-Inputs!$C$34)^2)+(((Inputs!$C$6)-Inputs!$C$35)^2))/(2*Inputs!$C$36^2)))+Inputs!$C$37*(0.55*SIN(2*PI()*(Model_Data!A191)/Inputs!$C$39)+0.35*COS(2*PI()*(Inputs!$C$6)/Inputs!$C$40)+0.2*SIN(2*PI()*((Model_Data!A191)+(Inputs!$C$6))/(0.5*(Inputs!$C$39+Inputs!$C$40))))+Inputs!$C$38*SIN(2*PI()*(Model_Data!A191)/Inputs!$C$39)*SIN(2*PI()*(Inputs!$C$6)/Inputs!$C$40)+-Inputs!$C$41*EXP(-(((Inputs!$C$6)-Inputs!$C$43)^2)/(2*Inputs!$C$44^2))*EXP(-(((Model_Data!A191)-Inputs!$C$42)^2)/(2*Inputs!$C$45^2))+Inputs!$C$48*(0.7*(0.45*SIN(2*PI()*(((Model_Data!A191)/Inputs!$C$49)+Inputs!$C$47*0.137))+0.35*COS(2*PI()*(((Inputs!$C$6)/Inputs!$C$50)+Inputs!$C$47*0.173))+0.2*SIN(2*PI()*(((Model_Data!A191)+(Inputs!$C$6))/(0.5*(Inputs!$C$49+Inputs!$C$50))+Inputs!$C$47*0.097)))+0.3*(2*((SIN(((Model_Data!A191)*12.9898+(Inputs!$C$6)*78.233+Inputs!$C$47*37.719))*43758.5453)-INT((SIN(((Model_Data!A191)*12.9898+(Inputs!$C$6)*78.233+Inputs!$C$47*37.719))*43758.5453)))-1))))/1000)^2))-(((Model_Data!B191)-((Inputs!$C$51*(115*EXP(-(((0)-25)^2)/(4.5^2))+70*EXP(-(((0)+38)^2)/(7^2))*(0.55+0.45*SIN(2*PI()*(Model_Data!A191)/45))+24*SIN(2*PI()*(0)/9+(Model_Data!A191)/18)*EXP(-(((0)+5)^2)/(22^2))+18*SIN(2*PI()*(Model_Data!A191)/70))+Inputs!$C$28*EXP(-(((Model_Data!A191)-Inputs!$C$29)^2)/(2*Inputs!$C$31^2))*EXP(-(((0)-Inputs!$C$30)^2)/(2*Inputs!$C$32^2))+-Inputs!$C$33*EXP(-(((((Model_Data!A191)-Inputs!$C$34)^2)+(((0)-Inputs!$C$35)^2))/(2*Inputs!$C$36^2)))+Inputs!$C$37*(0.55*SIN(2*PI()*(Model_Data!A191)/Inputs!$C$39)+0.35*COS(2*PI()*(0)/Inputs!$C$40)+0.2*SIN(2*PI()*((Model_Data!A191)+(0))/(0.5*(Inputs!$C$39+Inputs!$C$40))))+Inputs!$C$38*SIN(2*PI()*(Model_Data!A191)/Inputs!$C$39)*SIN(2*PI()*(0)/Inputs!$C$40)+-Inputs!$C$41*EXP(-(((0)-Inputs!$C$43)^2)/(2*Inputs!$C$44^2))*EXP(-(((Model_Data!A191)-Inputs!$C$42)^2)/(2*Inputs!$C$45^2))+Inputs!$C$48*(0.7*(0.45*SIN(2*PI()*(((Model_Data!A191)/Inputs!$C$49)+Inputs!$C$47*0.137))+0.35*COS(2*PI()*(((0)/Inputs!$C$50)+Inputs!$C$47*0.173))+0.2*SIN(2*PI()*(((Model_Data!A191)+(0))/(0.5*(Inputs!$C$49+Inputs!$C$50))+Inputs!$C$47*0.097)))+0.3*(2*((SIN(((Model_Data!A191)*12.9898+(0)*78.233+Inputs!$C$47*37.719))*43758.5453)-INT((SIN(((Model_Data!A191)*12.9898+(0)*78.233+Inputs!$C$47*37.719))*43758.5453)))-1))))/1000)))*1000/Inputs!$C$12)</f>
        <v>1140.5081876322138</v>
      </c>
      <c r="E191" s="9">
        <f>Model_Data!A191</f>
        <v>34.5</v>
      </c>
      <c r="F191" s="9">
        <f>(Inputs!$C$51*(115*EXP(-(((Inputs!$C$6)-25)^2)/(4.5^2))+70*EXP(-(((Inputs!$C$6)+38)^2)/(7^2))*(0.55+0.45*SIN(2*PI()*(Model_Data!A191)/45))+24*SIN(2*PI()*(Inputs!$C$6)/9+(Model_Data!A191)/18)*EXP(-(((Inputs!$C$6)+5)^2)/(22^2))+18*SIN(2*PI()*(Model_Data!A191)/70))+Inputs!$C$28*EXP(-(((Model_Data!A191)-Inputs!$C$29)^2)/(2*Inputs!$C$31^2))*EXP(-(((Inputs!$C$6)-Inputs!$C$30)^2)/(2*Inputs!$C$32^2))+-Inputs!$C$33*EXP(-(((((Model_Data!A191)-Inputs!$C$34)^2)+(((Inputs!$C$6)-Inputs!$C$35)^2))/(2*Inputs!$C$36^2)))+Inputs!$C$37*(0.55*SIN(2*PI()*(Model_Data!A191)/Inputs!$C$39)+0.35*COS(2*PI()*(Inputs!$C$6)/Inputs!$C$40)+0.2*SIN(2*PI()*((Model_Data!A191)+(Inputs!$C$6))/(0.5*(Inputs!$C$39+Inputs!$C$40))))+Inputs!$C$38*SIN(2*PI()*(Model_Data!A191)/Inputs!$C$39)*SIN(2*PI()*(Inputs!$C$6)/Inputs!$C$40)+-Inputs!$C$41*EXP(-(((Inputs!$C$6)-Inputs!$C$43)^2)/(2*Inputs!$C$44^2))*EXP(-(((Model_Data!A191)-Inputs!$C$42)^2)/(2*Inputs!$C$45^2))+Inputs!$C$48*(0.7*(0.45*SIN(2*PI()*(((Model_Data!A191)/Inputs!$C$49)+Inputs!$C$47*0.137))+0.35*COS(2*PI()*(((Inputs!$C$6)/Inputs!$C$50)+Inputs!$C$47*0.173))+0.2*SIN(2*PI()*(((Model_Data!A191)+(Inputs!$C$6))/(0.5*(Inputs!$C$49+Inputs!$C$50))+Inputs!$C$47*0.097)))+0.3*(2*((SIN(((Model_Data!A191)*12.9898+(Inputs!$C$6)*78.233+Inputs!$C$47*37.719))*43758.5453)-INT((SIN(((Model_Data!A191)*12.9898+(Inputs!$C$6)*78.233+Inputs!$C$47*37.719))*43758.5453)))-1)))</f>
        <v>248.84143597822731</v>
      </c>
      <c r="G191" s="9">
        <f>(Inputs!$C$51*(115*EXP(-(((0)-25)^2)/(4.5^2))+70*EXP(-(((0)+38)^2)/(7^2))*(0.55+0.45*SIN(2*PI()*(Model_Data!A191)/45))+24*SIN(2*PI()*(0)/9+(Model_Data!A191)/18)*EXP(-(((0)+5)^2)/(22^2))+18*SIN(2*PI()*(Model_Data!A191)/70))+Inputs!$C$28*EXP(-(((Model_Data!A191)-Inputs!$C$29)^2)/(2*Inputs!$C$31^2))*EXP(-(((0)-Inputs!$C$30)^2)/(2*Inputs!$C$32^2))+-Inputs!$C$33*EXP(-(((((Model_Data!A191)-Inputs!$C$34)^2)+(((0)-Inputs!$C$35)^2))/(2*Inputs!$C$36^2)))+Inputs!$C$37*(0.55*SIN(2*PI()*(Model_Data!A191)/Inputs!$C$39)+0.35*COS(2*PI()*(0)/Inputs!$C$40)+0.2*SIN(2*PI()*((Model_Data!A191)+(0))/(0.5*(Inputs!$C$39+Inputs!$C$40))))+Inputs!$C$38*SIN(2*PI()*(Model_Data!A191)/Inputs!$C$39)*SIN(2*PI()*(0)/Inputs!$C$40)+-Inputs!$C$41*EXP(-(((0)-Inputs!$C$43)^2)/(2*Inputs!$C$44^2))*EXP(-(((Model_Data!A191)-Inputs!$C$42)^2)/(2*Inputs!$C$45^2))+Inputs!$C$48*(0.7*(0.45*SIN(2*PI()*(((Model_Data!A191)/Inputs!$C$49)+Inputs!$C$47*0.137))+0.35*COS(2*PI()*(((0)/Inputs!$C$50)+Inputs!$C$47*0.173))+0.2*SIN(2*PI()*(((Model_Data!A191)+(0))/(0.5*(Inputs!$C$49+Inputs!$C$50))+Inputs!$C$47*0.097)))+0.3*(2*((SIN(((Model_Data!A191)*12.9898+(0)*78.233+Inputs!$C$47*37.719))*43758.5453)-INT((SIN(((Model_Data!A191)*12.9898+(0)*78.233+Inputs!$C$47*37.719))*43758.5453)))-1)))</f>
        <v>22.306190725387925</v>
      </c>
      <c r="H191" s="10"/>
      <c r="I191" s="9">
        <f>Model_Data!A191</f>
        <v>34.5</v>
      </c>
      <c r="J191" s="9">
        <f>(Inputs!$C$51*(115*EXP(-(((Inputs!$C$6)-25)^2)/(4.5^2))+70*EXP(-(((Inputs!$C$6)+38)^2)/(7^2))*(0.55+0.45*SIN(2*PI()*(Model_Data!A191)/45))+24*SIN(2*PI()*(Inputs!$C$6)/9+(Model_Data!A191)/18)*EXP(-(((Inputs!$C$6)+5)^2)/(22^2))+18*SIN(2*PI()*(Model_Data!A191)/70))+Inputs!$C$28*EXP(-(((Model_Data!A191)-Inputs!$C$29)^2)/(2*Inputs!$C$31^2))*EXP(-(((Inputs!$C$6)-Inputs!$C$30)^2)/(2*Inputs!$C$32^2))+-Inputs!$C$33*EXP(-(((((Model_Data!A191)-Inputs!$C$34)^2)+(((Inputs!$C$6)-Inputs!$C$35)^2))/(2*Inputs!$C$36^2)))+Inputs!$C$37*(0.55*SIN(2*PI()*(Model_Data!A191)/Inputs!$C$39)+0.35*COS(2*PI()*(Inputs!$C$6)/Inputs!$C$40)+0.2*SIN(2*PI()*((Model_Data!A191)+(Inputs!$C$6))/(0.5*(Inputs!$C$39+Inputs!$C$40))))+Inputs!$C$38*SIN(2*PI()*(Model_Data!A191)/Inputs!$C$39)*SIN(2*PI()*(Inputs!$C$6)/Inputs!$C$40)+-Inputs!$C$41*EXP(-(((Inputs!$C$6)-Inputs!$C$43)^2)/(2*Inputs!$C$44^2))*EXP(-(((Model_Data!A191)-Inputs!$C$42)^2)/(2*Inputs!$C$45^2))+Inputs!$C$48*(0.7*(0.45*SIN(2*PI()*(((Model_Data!A191)/Inputs!$C$49)+Inputs!$C$47*0.137))+0.35*COS(2*PI()*(((Inputs!$C$6)/Inputs!$C$50)+Inputs!$C$47*0.173))+0.2*SIN(2*PI()*(((Model_Data!A191)+(Inputs!$C$6))/(0.5*(Inputs!$C$49+Inputs!$C$50))+Inputs!$C$47*0.097)))+0.3*(2*((SIN(((Model_Data!A191)*12.9898+(Inputs!$C$6)*78.233+Inputs!$C$47*37.719))*43758.5453)-INT((SIN(((Model_Data!A191)*12.9898+(Inputs!$C$6)*78.233+Inputs!$C$47*37.719))*43758.5453)))-1)))</f>
        <v>248.84143597822731</v>
      </c>
      <c r="K191" s="9">
        <f>-((((SQRT((Model_Data!A191)^2+Inputs!$C$6^2+((Model_Data!B191)-((Inputs!$C$51*(115*EXP(-(((Inputs!$C$6)-25)^2)/(4.5^2))+70*EXP(-(((Inputs!$C$6)+38)^2)/(7^2))*(0.55+0.45*SIN(2*PI()*(Model_Data!A191)/45))+24*SIN(2*PI()*(Inputs!$C$6)/9+(Model_Data!A191)/18)*EXP(-(((Inputs!$C$6)+5)^2)/(22^2))+18*SIN(2*PI()*(Model_Data!A191)/70))+Inputs!$C$28*EXP(-(((Model_Data!A191)-Inputs!$C$29)^2)/(2*Inputs!$C$31^2))*EXP(-(((Inputs!$C$6)-Inputs!$C$30)^2)/(2*Inputs!$C$32^2))+-Inputs!$C$33*EXP(-(((((Model_Data!A191)-Inputs!$C$34)^2)+(((Inputs!$C$6)-Inputs!$C$35)^2))/(2*Inputs!$C$36^2)))+Inputs!$C$37*(0.55*SIN(2*PI()*(Model_Data!A191)/Inputs!$C$39)+0.35*COS(2*PI()*(Inputs!$C$6)/Inputs!$C$40)+0.2*SIN(2*PI()*((Model_Data!A191)+(Inputs!$C$6))/(0.5*(Inputs!$C$39+Inputs!$C$40))))+Inputs!$C$38*SIN(2*PI()*(Model_Data!A191)/Inputs!$C$39)*SIN(2*PI()*(Inputs!$C$6)/Inputs!$C$40)+-Inputs!$C$41*EXP(-(((Inputs!$C$6)-Inputs!$C$43)^2)/(2*Inputs!$C$44^2))*EXP(-(((Model_Data!A191)-Inputs!$C$42)^2)/(2*Inputs!$C$45^2))+Inputs!$C$48*(0.7*(0.45*SIN(2*PI()*(((Model_Data!A191)/Inputs!$C$49)+Inputs!$C$47*0.137))+0.35*COS(2*PI()*(((Inputs!$C$6)/Inputs!$C$50)+Inputs!$C$47*0.173))+0.2*SIN(2*PI()*(((Model_Data!A191)+(Inputs!$C$6))/(0.5*(Inputs!$C$49+Inputs!$C$50))+Inputs!$C$47*0.097)))+0.3*(2*((SIN(((Model_Data!A191)*12.9898+(Inputs!$C$6)*78.233+Inputs!$C$47*37.719))*43758.5453)-INT((SIN(((Model_Data!A191)*12.9898+(Inputs!$C$6)*78.233+Inputs!$C$47*37.719))*43758.5453)))-1))))/1000)^2))-(((Model_Data!B191)-((Inputs!$C$51*(115*EXP(-(((0)-25)^2)/(4.5^2))+70*EXP(-(((0)+38)^2)/(7^2))*(0.55+0.45*SIN(2*PI()*(Model_Data!A191)/45))+24*SIN(2*PI()*(0)/9+(Model_Data!A191)/18)*EXP(-(((0)+5)^2)/(22^2))+18*SIN(2*PI()*(Model_Data!A191)/70))+Inputs!$C$28*EXP(-(((Model_Data!A191)-Inputs!$C$29)^2)/(2*Inputs!$C$31^2))*EXP(-(((0)-Inputs!$C$30)^2)/(2*Inputs!$C$32^2))+-Inputs!$C$33*EXP(-(((((Model_Data!A191)-Inputs!$C$34)^2)+(((0)-Inputs!$C$35)^2))/(2*Inputs!$C$36^2)))+Inputs!$C$37*(0.55*SIN(2*PI()*(Model_Data!A191)/Inputs!$C$39)+0.35*COS(2*PI()*(0)/Inputs!$C$40)+0.2*SIN(2*PI()*((Model_Data!A191)+(0))/(0.5*(Inputs!$C$39+Inputs!$C$40))))+Inputs!$C$38*SIN(2*PI()*(Model_Data!A191)/Inputs!$C$39)*SIN(2*PI()*(0)/Inputs!$C$40)+-Inputs!$C$41*EXP(-(((0)-Inputs!$C$43)^2)/(2*Inputs!$C$44^2))*EXP(-(((Model_Data!A191)-Inputs!$C$42)^2)/(2*Inputs!$C$45^2))+Inputs!$C$48*(0.7*(0.45*SIN(2*PI()*(((Model_Data!A191)/Inputs!$C$49)+Inputs!$C$47*0.137))+0.35*COS(2*PI()*(((0)/Inputs!$C$50)+Inputs!$C$47*0.173))+0.2*SIN(2*PI()*(((Model_Data!A191)+(0))/(0.5*(Inputs!$C$49+Inputs!$C$50))+Inputs!$C$47*0.097)))+0.3*(2*((SIN(((Model_Data!A191)*12.9898+(0)*78.233+Inputs!$C$47*37.719))*43758.5453)-INT((SIN(((Model_Data!A191)*12.9898+(0)*78.233+Inputs!$C$47*37.719))*43758.5453)))-1))))/1000)))*1000/Inputs!$C$12)-Model_Data!F191)</f>
        <v>126.48529734879389</v>
      </c>
      <c r="L191" s="10"/>
      <c r="M191" s="9">
        <f>Model_Data!A191</f>
        <v>34.5</v>
      </c>
      <c r="N191" s="9">
        <f>Model_Data!P191</f>
        <v>-258.75780750177796</v>
      </c>
      <c r="O191" s="9">
        <f t="shared" si="4"/>
        <v>-260.84565608452976</v>
      </c>
      <c r="P191" s="9">
        <f>Model_Data!Q191</f>
        <v>-38.852523648915614</v>
      </c>
      <c r="Q191" s="9">
        <f t="shared" si="5"/>
        <v>-39.166014427106575</v>
      </c>
      <c r="R191" s="10"/>
      <c r="S191" s="9">
        <f>Model_Data!A191</f>
        <v>34.5</v>
      </c>
      <c r="T191" s="9">
        <f>Model_Data!B191-Inputs!$C$5</f>
        <v>1.3224999999999909</v>
      </c>
      <c r="U191" s="10"/>
      <c r="V191" s="9">
        <f>Model_Data!A191</f>
        <v>34.5</v>
      </c>
      <c r="W191" s="9">
        <f>((SQRT((Model_Data!A191)^2+Inputs!$C$6^2+Inputs!$C$5^2)-Inputs!$C$5)*1000/Inputs!$C$12)</f>
        <v>1271.158958142609</v>
      </c>
      <c r="X191" s="9">
        <f>Model_Data!F191</f>
        <v>1266.9934849810077</v>
      </c>
      <c r="Y191" s="10"/>
      <c r="Z191" s="9">
        <f>Model_Data!A191</f>
        <v>34.5</v>
      </c>
      <c r="AA191" s="9">
        <f>SQRT((Model_Data!A191)^2+Inputs!$C$6^2+((Model_Data!B191)-((Inputs!$C$51*(115*EXP(-(((Inputs!$C$6)-25)^2)/(4.5^2))+70*EXP(-(((Inputs!$C$6)+38)^2)/(7^2))*(0.55+0.45*SIN(2*PI()*(Model_Data!A191)/45))+24*SIN(2*PI()*(Inputs!$C$6)/9+(Model_Data!A191)/18)*EXP(-(((Inputs!$C$6)+5)^2)/(22^2))+18*SIN(2*PI()*(Model_Data!A191)/70))+Inputs!$C$28*EXP(-(((Model_Data!A191)-Inputs!$C$29)^2)/(2*Inputs!$C$31^2))*EXP(-(((Inputs!$C$6)-Inputs!$C$30)^2)/(2*Inputs!$C$32^2))+-Inputs!$C$33*EXP(-(((((Model_Data!A191)-Inputs!$C$34)^2)+(((Inputs!$C$6)-Inputs!$C$35)^2))/(2*Inputs!$C$36^2)))+Inputs!$C$37*(0.55*SIN(2*PI()*(Model_Data!A191)/Inputs!$C$39)+0.35*COS(2*PI()*(Inputs!$C$6)/Inputs!$C$40)+0.2*SIN(2*PI()*((Model_Data!A191)+(Inputs!$C$6))/(0.5*(Inputs!$C$39+Inputs!$C$40))))+Inputs!$C$38*SIN(2*PI()*(Model_Data!A191)/Inputs!$C$39)*SIN(2*PI()*(Inputs!$C$6)/Inputs!$C$40)+-Inputs!$C$41*EXP(-(((Inputs!$C$6)-Inputs!$C$43)^2)/(2*Inputs!$C$44^2))*EXP(-(((Model_Data!A191)-Inputs!$C$42)^2)/(2*Inputs!$C$45^2))+Inputs!$C$48*(0.7*(0.45*SIN(2*PI()*(((Model_Data!A191)/Inputs!$C$49)+Inputs!$C$47*0.137))+0.35*COS(2*PI()*(((Inputs!$C$6)/Inputs!$C$50)+Inputs!$C$47*0.173))+0.2*SIN(2*PI()*(((Model_Data!A191)+(Inputs!$C$6))/(0.5*(Inputs!$C$49+Inputs!$C$50))+Inputs!$C$47*0.097)))+0.3*(2*((SIN(((Model_Data!A191)*12.9898+(Inputs!$C$6)*78.233+Inputs!$C$47*37.719))*43758.5453)-INT((SIN(((Model_Data!A191)*12.9898+(Inputs!$C$6)*78.233+Inputs!$C$47*37.719))*43758.5453)))-1))))/1000)^2)</f>
        <v>403.33029838325996</v>
      </c>
      <c r="AB191" s="9">
        <f>1000*(AA192-AA190)/(Z192-Z190)*Inputs!$C$11</f>
        <v>652.11414021132441</v>
      </c>
      <c r="AC191" s="9">
        <f>-2*AB191/Inputs!$C$13</f>
        <v>-260.84565608452976</v>
      </c>
      <c r="AD191" s="9">
        <f>-2*AB191/Inputs!$C$14</f>
        <v>-39.166014427106575</v>
      </c>
    </row>
    <row r="192" spans="1:30">
      <c r="A192" s="9">
        <f>Model_Data!A192</f>
        <v>35</v>
      </c>
      <c r="B192" s="9">
        <f>((SQRT((Model_Data!A192)^2+Inputs!$C$6^2+Inputs!$C$5^2)-Inputs!$C$5)*1000/Inputs!$C$12)</f>
        <v>1295.4234819262779</v>
      </c>
      <c r="C192" s="9">
        <f>Model_Data!F192</f>
        <v>1291.0554448335768</v>
      </c>
      <c r="D192" s="9">
        <f>(((SQRT((Model_Data!A192)^2+Inputs!$C$6^2+((Model_Data!B192)-((Inputs!$C$51*(115*EXP(-(((Inputs!$C$6)-25)^2)/(4.5^2))+70*EXP(-(((Inputs!$C$6)+38)^2)/(7^2))*(0.55+0.45*SIN(2*PI()*(Model_Data!A192)/45))+24*SIN(2*PI()*(Inputs!$C$6)/9+(Model_Data!A192)/18)*EXP(-(((Inputs!$C$6)+5)^2)/(22^2))+18*SIN(2*PI()*(Model_Data!A192)/70))+Inputs!$C$28*EXP(-(((Model_Data!A192)-Inputs!$C$29)^2)/(2*Inputs!$C$31^2))*EXP(-(((Inputs!$C$6)-Inputs!$C$30)^2)/(2*Inputs!$C$32^2))+-Inputs!$C$33*EXP(-(((((Model_Data!A192)-Inputs!$C$34)^2)+(((Inputs!$C$6)-Inputs!$C$35)^2))/(2*Inputs!$C$36^2)))+Inputs!$C$37*(0.55*SIN(2*PI()*(Model_Data!A192)/Inputs!$C$39)+0.35*COS(2*PI()*(Inputs!$C$6)/Inputs!$C$40)+0.2*SIN(2*PI()*((Model_Data!A192)+(Inputs!$C$6))/(0.5*(Inputs!$C$39+Inputs!$C$40))))+Inputs!$C$38*SIN(2*PI()*(Model_Data!A192)/Inputs!$C$39)*SIN(2*PI()*(Inputs!$C$6)/Inputs!$C$40)+-Inputs!$C$41*EXP(-(((Inputs!$C$6)-Inputs!$C$43)^2)/(2*Inputs!$C$44^2))*EXP(-(((Model_Data!A192)-Inputs!$C$42)^2)/(2*Inputs!$C$45^2))+Inputs!$C$48*(0.7*(0.45*SIN(2*PI()*(((Model_Data!A192)/Inputs!$C$49)+Inputs!$C$47*0.137))+0.35*COS(2*PI()*(((Inputs!$C$6)/Inputs!$C$50)+Inputs!$C$47*0.173))+0.2*SIN(2*PI()*(((Model_Data!A192)+(Inputs!$C$6))/(0.5*(Inputs!$C$49+Inputs!$C$50))+Inputs!$C$47*0.097)))+0.3*(2*((SIN(((Model_Data!A192)*12.9898+(Inputs!$C$6)*78.233+Inputs!$C$47*37.719))*43758.5453)-INT((SIN(((Model_Data!A192)*12.9898+(Inputs!$C$6)*78.233+Inputs!$C$47*37.719))*43758.5453)))-1))))/1000)^2))-(((Model_Data!B192)-((Inputs!$C$51*(115*EXP(-(((0)-25)^2)/(4.5^2))+70*EXP(-(((0)+38)^2)/(7^2))*(0.55+0.45*SIN(2*PI()*(Model_Data!A192)/45))+24*SIN(2*PI()*(0)/9+(Model_Data!A192)/18)*EXP(-(((0)+5)^2)/(22^2))+18*SIN(2*PI()*(Model_Data!A192)/70))+Inputs!$C$28*EXP(-(((Model_Data!A192)-Inputs!$C$29)^2)/(2*Inputs!$C$31^2))*EXP(-(((0)-Inputs!$C$30)^2)/(2*Inputs!$C$32^2))+-Inputs!$C$33*EXP(-(((((Model_Data!A192)-Inputs!$C$34)^2)+(((0)-Inputs!$C$35)^2))/(2*Inputs!$C$36^2)))+Inputs!$C$37*(0.55*SIN(2*PI()*(Model_Data!A192)/Inputs!$C$39)+0.35*COS(2*PI()*(0)/Inputs!$C$40)+0.2*SIN(2*PI()*((Model_Data!A192)+(0))/(0.5*(Inputs!$C$39+Inputs!$C$40))))+Inputs!$C$38*SIN(2*PI()*(Model_Data!A192)/Inputs!$C$39)*SIN(2*PI()*(0)/Inputs!$C$40)+-Inputs!$C$41*EXP(-(((0)-Inputs!$C$43)^2)/(2*Inputs!$C$44^2))*EXP(-(((Model_Data!A192)-Inputs!$C$42)^2)/(2*Inputs!$C$45^2))+Inputs!$C$48*(0.7*(0.45*SIN(2*PI()*(((Model_Data!A192)/Inputs!$C$49)+Inputs!$C$47*0.137))+0.35*COS(2*PI()*(((0)/Inputs!$C$50)+Inputs!$C$47*0.173))+0.2*SIN(2*PI()*(((Model_Data!A192)+(0))/(0.5*(Inputs!$C$49+Inputs!$C$50))+Inputs!$C$47*0.097)))+0.3*(2*((SIN(((Model_Data!A192)*12.9898+(0)*78.233+Inputs!$C$47*37.719))*43758.5453)-INT((SIN(((Model_Data!A192)*12.9898+(0)*78.233+Inputs!$C$47*37.719))*43758.5453)))-1))))/1000)))*1000/Inputs!$C$12)</f>
        <v>1172.1193048574567</v>
      </c>
      <c r="E192" s="9">
        <f>Model_Data!A192</f>
        <v>35</v>
      </c>
      <c r="F192" s="9">
        <f>(Inputs!$C$51*(115*EXP(-(((Inputs!$C$6)-25)^2)/(4.5^2))+70*EXP(-(((Inputs!$C$6)+38)^2)/(7^2))*(0.55+0.45*SIN(2*PI()*(Model_Data!A192)/45))+24*SIN(2*PI()*(Inputs!$C$6)/9+(Model_Data!A192)/18)*EXP(-(((Inputs!$C$6)+5)^2)/(22^2))+18*SIN(2*PI()*(Model_Data!A192)/70))+Inputs!$C$28*EXP(-(((Model_Data!A192)-Inputs!$C$29)^2)/(2*Inputs!$C$31^2))*EXP(-(((Inputs!$C$6)-Inputs!$C$30)^2)/(2*Inputs!$C$32^2))+-Inputs!$C$33*EXP(-(((((Model_Data!A192)-Inputs!$C$34)^2)+(((Inputs!$C$6)-Inputs!$C$35)^2))/(2*Inputs!$C$36^2)))+Inputs!$C$37*(0.55*SIN(2*PI()*(Model_Data!A192)/Inputs!$C$39)+0.35*COS(2*PI()*(Inputs!$C$6)/Inputs!$C$40)+0.2*SIN(2*PI()*((Model_Data!A192)+(Inputs!$C$6))/(0.5*(Inputs!$C$39+Inputs!$C$40))))+Inputs!$C$38*SIN(2*PI()*(Model_Data!A192)/Inputs!$C$39)*SIN(2*PI()*(Inputs!$C$6)/Inputs!$C$40)+-Inputs!$C$41*EXP(-(((Inputs!$C$6)-Inputs!$C$43)^2)/(2*Inputs!$C$44^2))*EXP(-(((Model_Data!A192)-Inputs!$C$42)^2)/(2*Inputs!$C$45^2))+Inputs!$C$48*(0.7*(0.45*SIN(2*PI()*(((Model_Data!A192)/Inputs!$C$49)+Inputs!$C$47*0.137))+0.35*COS(2*PI()*(((Inputs!$C$6)/Inputs!$C$50)+Inputs!$C$47*0.173))+0.2*SIN(2*PI()*(((Model_Data!A192)+(Inputs!$C$6))/(0.5*(Inputs!$C$49+Inputs!$C$50))+Inputs!$C$47*0.097)))+0.3*(2*((SIN(((Model_Data!A192)*12.9898+(Inputs!$C$6)*78.233+Inputs!$C$47*37.719))*43758.5453)-INT((SIN(((Model_Data!A192)*12.9898+(Inputs!$C$6)*78.233+Inputs!$C$47*37.719))*43758.5453)))-1)))</f>
        <v>242.00890812042311</v>
      </c>
      <c r="G192" s="9">
        <f>(Inputs!$C$51*(115*EXP(-(((0)-25)^2)/(4.5^2))+70*EXP(-(((0)+38)^2)/(7^2))*(0.55+0.45*SIN(2*PI()*(Model_Data!A192)/45))+24*SIN(2*PI()*(0)/9+(Model_Data!A192)/18)*EXP(-(((0)+5)^2)/(22^2))+18*SIN(2*PI()*(Model_Data!A192)/70))+Inputs!$C$28*EXP(-(((Model_Data!A192)-Inputs!$C$29)^2)/(2*Inputs!$C$31^2))*EXP(-(((0)-Inputs!$C$30)^2)/(2*Inputs!$C$32^2))+-Inputs!$C$33*EXP(-(((((Model_Data!A192)-Inputs!$C$34)^2)+(((0)-Inputs!$C$35)^2))/(2*Inputs!$C$36^2)))+Inputs!$C$37*(0.55*SIN(2*PI()*(Model_Data!A192)/Inputs!$C$39)+0.35*COS(2*PI()*(0)/Inputs!$C$40)+0.2*SIN(2*PI()*((Model_Data!A192)+(0))/(0.5*(Inputs!$C$39+Inputs!$C$40))))+Inputs!$C$38*SIN(2*PI()*(Model_Data!A192)/Inputs!$C$39)*SIN(2*PI()*(0)/Inputs!$C$40)+-Inputs!$C$41*EXP(-(((0)-Inputs!$C$43)^2)/(2*Inputs!$C$44^2))*EXP(-(((Model_Data!A192)-Inputs!$C$42)^2)/(2*Inputs!$C$45^2))+Inputs!$C$48*(0.7*(0.45*SIN(2*PI()*(((Model_Data!A192)/Inputs!$C$49)+Inputs!$C$47*0.137))+0.35*COS(2*PI()*(((0)/Inputs!$C$50)+Inputs!$C$47*0.173))+0.2*SIN(2*PI()*(((Model_Data!A192)+(0))/(0.5*(Inputs!$C$49+Inputs!$C$50))+Inputs!$C$47*0.097)))+0.3*(2*((SIN(((Model_Data!A192)*12.9898+(0)*78.233+Inputs!$C$47*37.719))*43758.5453)-INT((SIN(((Model_Data!A192)*12.9898+(0)*78.233+Inputs!$C$47*37.719))*43758.5453)))-1)))</f>
        <v>28.92396994213728</v>
      </c>
      <c r="H192" s="10"/>
      <c r="I192" s="9">
        <f>Model_Data!A192</f>
        <v>35</v>
      </c>
      <c r="J192" s="9">
        <f>(Inputs!$C$51*(115*EXP(-(((Inputs!$C$6)-25)^2)/(4.5^2))+70*EXP(-(((Inputs!$C$6)+38)^2)/(7^2))*(0.55+0.45*SIN(2*PI()*(Model_Data!A192)/45))+24*SIN(2*PI()*(Inputs!$C$6)/9+(Model_Data!A192)/18)*EXP(-(((Inputs!$C$6)+5)^2)/(22^2))+18*SIN(2*PI()*(Model_Data!A192)/70))+Inputs!$C$28*EXP(-(((Model_Data!A192)-Inputs!$C$29)^2)/(2*Inputs!$C$31^2))*EXP(-(((Inputs!$C$6)-Inputs!$C$30)^2)/(2*Inputs!$C$32^2))+-Inputs!$C$33*EXP(-(((((Model_Data!A192)-Inputs!$C$34)^2)+(((Inputs!$C$6)-Inputs!$C$35)^2))/(2*Inputs!$C$36^2)))+Inputs!$C$37*(0.55*SIN(2*PI()*(Model_Data!A192)/Inputs!$C$39)+0.35*COS(2*PI()*(Inputs!$C$6)/Inputs!$C$40)+0.2*SIN(2*PI()*((Model_Data!A192)+(Inputs!$C$6))/(0.5*(Inputs!$C$39+Inputs!$C$40))))+Inputs!$C$38*SIN(2*PI()*(Model_Data!A192)/Inputs!$C$39)*SIN(2*PI()*(Inputs!$C$6)/Inputs!$C$40)+-Inputs!$C$41*EXP(-(((Inputs!$C$6)-Inputs!$C$43)^2)/(2*Inputs!$C$44^2))*EXP(-(((Model_Data!A192)-Inputs!$C$42)^2)/(2*Inputs!$C$45^2))+Inputs!$C$48*(0.7*(0.45*SIN(2*PI()*(((Model_Data!A192)/Inputs!$C$49)+Inputs!$C$47*0.137))+0.35*COS(2*PI()*(((Inputs!$C$6)/Inputs!$C$50)+Inputs!$C$47*0.173))+0.2*SIN(2*PI()*(((Model_Data!A192)+(Inputs!$C$6))/(0.5*(Inputs!$C$49+Inputs!$C$50))+Inputs!$C$47*0.097)))+0.3*(2*((SIN(((Model_Data!A192)*12.9898+(Inputs!$C$6)*78.233+Inputs!$C$47*37.719))*43758.5453)-INT((SIN(((Model_Data!A192)*12.9898+(Inputs!$C$6)*78.233+Inputs!$C$47*37.719))*43758.5453)))-1)))</f>
        <v>242.00890812042311</v>
      </c>
      <c r="K192" s="9">
        <f>-((((SQRT((Model_Data!A192)^2+Inputs!$C$6^2+((Model_Data!B192)-((Inputs!$C$51*(115*EXP(-(((Inputs!$C$6)-25)^2)/(4.5^2))+70*EXP(-(((Inputs!$C$6)+38)^2)/(7^2))*(0.55+0.45*SIN(2*PI()*(Model_Data!A192)/45))+24*SIN(2*PI()*(Inputs!$C$6)/9+(Model_Data!A192)/18)*EXP(-(((Inputs!$C$6)+5)^2)/(22^2))+18*SIN(2*PI()*(Model_Data!A192)/70))+Inputs!$C$28*EXP(-(((Model_Data!A192)-Inputs!$C$29)^2)/(2*Inputs!$C$31^2))*EXP(-(((Inputs!$C$6)-Inputs!$C$30)^2)/(2*Inputs!$C$32^2))+-Inputs!$C$33*EXP(-(((((Model_Data!A192)-Inputs!$C$34)^2)+(((Inputs!$C$6)-Inputs!$C$35)^2))/(2*Inputs!$C$36^2)))+Inputs!$C$37*(0.55*SIN(2*PI()*(Model_Data!A192)/Inputs!$C$39)+0.35*COS(2*PI()*(Inputs!$C$6)/Inputs!$C$40)+0.2*SIN(2*PI()*((Model_Data!A192)+(Inputs!$C$6))/(0.5*(Inputs!$C$39+Inputs!$C$40))))+Inputs!$C$38*SIN(2*PI()*(Model_Data!A192)/Inputs!$C$39)*SIN(2*PI()*(Inputs!$C$6)/Inputs!$C$40)+-Inputs!$C$41*EXP(-(((Inputs!$C$6)-Inputs!$C$43)^2)/(2*Inputs!$C$44^2))*EXP(-(((Model_Data!A192)-Inputs!$C$42)^2)/(2*Inputs!$C$45^2))+Inputs!$C$48*(0.7*(0.45*SIN(2*PI()*(((Model_Data!A192)/Inputs!$C$49)+Inputs!$C$47*0.137))+0.35*COS(2*PI()*(((Inputs!$C$6)/Inputs!$C$50)+Inputs!$C$47*0.173))+0.2*SIN(2*PI()*(((Model_Data!A192)+(Inputs!$C$6))/(0.5*(Inputs!$C$49+Inputs!$C$50))+Inputs!$C$47*0.097)))+0.3*(2*((SIN(((Model_Data!A192)*12.9898+(Inputs!$C$6)*78.233+Inputs!$C$47*37.719))*43758.5453)-INT((SIN(((Model_Data!A192)*12.9898+(Inputs!$C$6)*78.233+Inputs!$C$47*37.719))*43758.5453)))-1))))/1000)^2))-(((Model_Data!B192)-((Inputs!$C$51*(115*EXP(-(((0)-25)^2)/(4.5^2))+70*EXP(-(((0)+38)^2)/(7^2))*(0.55+0.45*SIN(2*PI()*(Model_Data!A192)/45))+24*SIN(2*PI()*(0)/9+(Model_Data!A192)/18)*EXP(-(((0)+5)^2)/(22^2))+18*SIN(2*PI()*(Model_Data!A192)/70))+Inputs!$C$28*EXP(-(((Model_Data!A192)-Inputs!$C$29)^2)/(2*Inputs!$C$31^2))*EXP(-(((0)-Inputs!$C$30)^2)/(2*Inputs!$C$32^2))+-Inputs!$C$33*EXP(-(((((Model_Data!A192)-Inputs!$C$34)^2)+(((0)-Inputs!$C$35)^2))/(2*Inputs!$C$36^2)))+Inputs!$C$37*(0.55*SIN(2*PI()*(Model_Data!A192)/Inputs!$C$39)+0.35*COS(2*PI()*(0)/Inputs!$C$40)+0.2*SIN(2*PI()*((Model_Data!A192)+(0))/(0.5*(Inputs!$C$39+Inputs!$C$40))))+Inputs!$C$38*SIN(2*PI()*(Model_Data!A192)/Inputs!$C$39)*SIN(2*PI()*(0)/Inputs!$C$40)+-Inputs!$C$41*EXP(-(((0)-Inputs!$C$43)^2)/(2*Inputs!$C$44^2))*EXP(-(((Model_Data!A192)-Inputs!$C$42)^2)/(2*Inputs!$C$45^2))+Inputs!$C$48*(0.7*(0.45*SIN(2*PI()*(((Model_Data!A192)/Inputs!$C$49)+Inputs!$C$47*0.137))+0.35*COS(2*PI()*(((0)/Inputs!$C$50)+Inputs!$C$47*0.173))+0.2*SIN(2*PI()*(((Model_Data!A192)+(0))/(0.5*(Inputs!$C$49+Inputs!$C$50))+Inputs!$C$47*0.097)))+0.3*(2*((SIN(((Model_Data!A192)*12.9898+(0)*78.233+Inputs!$C$47*37.719))*43758.5453)-INT((SIN(((Model_Data!A192)*12.9898+(0)*78.233+Inputs!$C$47*37.719))*43758.5453)))-1))))/1000)))*1000/Inputs!$C$12)-Model_Data!F192)</f>
        <v>118.9361399761201</v>
      </c>
      <c r="L192" s="10"/>
      <c r="M192" s="9">
        <f>Model_Data!A192</f>
        <v>35</v>
      </c>
      <c r="N192" s="9">
        <f>Model_Data!P192</f>
        <v>-262.46686108039677</v>
      </c>
      <c r="O192" s="9">
        <f t="shared" si="4"/>
        <v>-272.41883634924307</v>
      </c>
      <c r="P192" s="9">
        <f>Model_Data!Q192</f>
        <v>-39.409438600660174</v>
      </c>
      <c r="Q192" s="9">
        <f t="shared" si="5"/>
        <v>-40.903729181568032</v>
      </c>
      <c r="R192" s="10"/>
      <c r="S192" s="9">
        <f>Model_Data!A192</f>
        <v>35</v>
      </c>
      <c r="T192" s="9">
        <f>Model_Data!B192-Inputs!$C$5</f>
        <v>1.3611111111110858</v>
      </c>
      <c r="U192" s="10"/>
      <c r="V192" s="9">
        <f>Model_Data!A192</f>
        <v>35</v>
      </c>
      <c r="W192" s="9">
        <f>((SQRT((Model_Data!A192)^2+Inputs!$C$6^2+Inputs!$C$5^2)-Inputs!$C$5)*1000/Inputs!$C$12)</f>
        <v>1295.4234819262779</v>
      </c>
      <c r="X192" s="9">
        <f>Model_Data!F192</f>
        <v>1291.0554448335768</v>
      </c>
      <c r="Y192" s="10"/>
      <c r="Z192" s="9">
        <f>Model_Data!A192</f>
        <v>35</v>
      </c>
      <c r="AA192" s="9">
        <f>SQRT((Model_Data!A192)^2+Inputs!$C$6^2+((Model_Data!B192)-((Inputs!$C$51*(115*EXP(-(((Inputs!$C$6)-25)^2)/(4.5^2))+70*EXP(-(((Inputs!$C$6)+38)^2)/(7^2))*(0.55+0.45*SIN(2*PI()*(Model_Data!A192)/45))+24*SIN(2*PI()*(Inputs!$C$6)/9+(Model_Data!A192)/18)*EXP(-(((Inputs!$C$6)+5)^2)/(22^2))+18*SIN(2*PI()*(Model_Data!A192)/70))+Inputs!$C$28*EXP(-(((Model_Data!A192)-Inputs!$C$29)^2)/(2*Inputs!$C$31^2))*EXP(-(((Inputs!$C$6)-Inputs!$C$30)^2)/(2*Inputs!$C$32^2))+-Inputs!$C$33*EXP(-(((((Model_Data!A192)-Inputs!$C$34)^2)+(((Inputs!$C$6)-Inputs!$C$35)^2))/(2*Inputs!$C$36^2)))+Inputs!$C$37*(0.55*SIN(2*PI()*(Model_Data!A192)/Inputs!$C$39)+0.35*COS(2*PI()*(Inputs!$C$6)/Inputs!$C$40)+0.2*SIN(2*PI()*((Model_Data!A192)+(Inputs!$C$6))/(0.5*(Inputs!$C$39+Inputs!$C$40))))+Inputs!$C$38*SIN(2*PI()*(Model_Data!A192)/Inputs!$C$39)*SIN(2*PI()*(Inputs!$C$6)/Inputs!$C$40)+-Inputs!$C$41*EXP(-(((Inputs!$C$6)-Inputs!$C$43)^2)/(2*Inputs!$C$44^2))*EXP(-(((Model_Data!A192)-Inputs!$C$42)^2)/(2*Inputs!$C$45^2))+Inputs!$C$48*(0.7*(0.45*SIN(2*PI()*(((Model_Data!A192)/Inputs!$C$49)+Inputs!$C$47*0.137))+0.35*COS(2*PI()*(((Inputs!$C$6)/Inputs!$C$50)+Inputs!$C$47*0.173))+0.2*SIN(2*PI()*(((Model_Data!A192)+(Inputs!$C$6))/(0.5*(Inputs!$C$49+Inputs!$C$50))+Inputs!$C$47*0.097)))+0.3*(2*((SIN(((Model_Data!A192)*12.9898+(Inputs!$C$6)*78.233+Inputs!$C$47*37.719))*43758.5453)-INT((SIN(((Model_Data!A192)*12.9898+(Inputs!$C$6)*78.233+Inputs!$C$47*37.719))*43758.5453)))-1))))/1000)^2)</f>
        <v>403.41855950381523</v>
      </c>
      <c r="AB192" s="9">
        <f>1000*(AA193-AA191)/(Z193-Z191)*Inputs!$C$11</f>
        <v>681.04709087310766</v>
      </c>
      <c r="AC192" s="9">
        <f>-2*AB192/Inputs!$C$13</f>
        <v>-272.41883634924307</v>
      </c>
      <c r="AD192" s="9">
        <f>-2*AB192/Inputs!$C$14</f>
        <v>-40.903729181568032</v>
      </c>
    </row>
    <row r="193" spans="1:30">
      <c r="A193" s="9">
        <f>Model_Data!A193</f>
        <v>35.5</v>
      </c>
      <c r="B193" s="9">
        <f>((SQRT((Model_Data!A193)^2+Inputs!$C$6^2+Inputs!$C$5^2)-Inputs!$C$5)*1000/Inputs!$C$12)</f>
        <v>1320.0344743489659</v>
      </c>
      <c r="C193" s="9">
        <f>Model_Data!F193</f>
        <v>1315.4563099576765</v>
      </c>
      <c r="D193" s="9">
        <f>(((SQRT((Model_Data!A193)^2+Inputs!$C$6^2+((Model_Data!B193)-((Inputs!$C$51*(115*EXP(-(((Inputs!$C$6)-25)^2)/(4.5^2))+70*EXP(-(((Inputs!$C$6)+38)^2)/(7^2))*(0.55+0.45*SIN(2*PI()*(Model_Data!A193)/45))+24*SIN(2*PI()*(Inputs!$C$6)/9+(Model_Data!A193)/18)*EXP(-(((Inputs!$C$6)+5)^2)/(22^2))+18*SIN(2*PI()*(Model_Data!A193)/70))+Inputs!$C$28*EXP(-(((Model_Data!A193)-Inputs!$C$29)^2)/(2*Inputs!$C$31^2))*EXP(-(((Inputs!$C$6)-Inputs!$C$30)^2)/(2*Inputs!$C$32^2))+-Inputs!$C$33*EXP(-(((((Model_Data!A193)-Inputs!$C$34)^2)+(((Inputs!$C$6)-Inputs!$C$35)^2))/(2*Inputs!$C$36^2)))+Inputs!$C$37*(0.55*SIN(2*PI()*(Model_Data!A193)/Inputs!$C$39)+0.35*COS(2*PI()*(Inputs!$C$6)/Inputs!$C$40)+0.2*SIN(2*PI()*((Model_Data!A193)+(Inputs!$C$6))/(0.5*(Inputs!$C$39+Inputs!$C$40))))+Inputs!$C$38*SIN(2*PI()*(Model_Data!A193)/Inputs!$C$39)*SIN(2*PI()*(Inputs!$C$6)/Inputs!$C$40)+-Inputs!$C$41*EXP(-(((Inputs!$C$6)-Inputs!$C$43)^2)/(2*Inputs!$C$44^2))*EXP(-(((Model_Data!A193)-Inputs!$C$42)^2)/(2*Inputs!$C$45^2))+Inputs!$C$48*(0.7*(0.45*SIN(2*PI()*(((Model_Data!A193)/Inputs!$C$49)+Inputs!$C$47*0.137))+0.35*COS(2*PI()*(((Inputs!$C$6)/Inputs!$C$50)+Inputs!$C$47*0.173))+0.2*SIN(2*PI()*(((Model_Data!A193)+(Inputs!$C$6))/(0.5*(Inputs!$C$49+Inputs!$C$50))+Inputs!$C$47*0.097)))+0.3*(2*((SIN(((Model_Data!A193)*12.9898+(Inputs!$C$6)*78.233+Inputs!$C$47*37.719))*43758.5453)-INT((SIN(((Model_Data!A193)*12.9898+(Inputs!$C$6)*78.233+Inputs!$C$47*37.719))*43758.5453)))-1))))/1000)^2))-(((Model_Data!B193)-((Inputs!$C$51*(115*EXP(-(((0)-25)^2)/(4.5^2))+70*EXP(-(((0)+38)^2)/(7^2))*(0.55+0.45*SIN(2*PI()*(Model_Data!A193)/45))+24*SIN(2*PI()*(0)/9+(Model_Data!A193)/18)*EXP(-(((0)+5)^2)/(22^2))+18*SIN(2*PI()*(Model_Data!A193)/70))+Inputs!$C$28*EXP(-(((Model_Data!A193)-Inputs!$C$29)^2)/(2*Inputs!$C$31^2))*EXP(-(((0)-Inputs!$C$30)^2)/(2*Inputs!$C$32^2))+-Inputs!$C$33*EXP(-(((((Model_Data!A193)-Inputs!$C$34)^2)+(((0)-Inputs!$C$35)^2))/(2*Inputs!$C$36^2)))+Inputs!$C$37*(0.55*SIN(2*PI()*(Model_Data!A193)/Inputs!$C$39)+0.35*COS(2*PI()*(0)/Inputs!$C$40)+0.2*SIN(2*PI()*((Model_Data!A193)+(0))/(0.5*(Inputs!$C$39+Inputs!$C$40))))+Inputs!$C$38*SIN(2*PI()*(Model_Data!A193)/Inputs!$C$39)*SIN(2*PI()*(0)/Inputs!$C$40)+-Inputs!$C$41*EXP(-(((0)-Inputs!$C$43)^2)/(2*Inputs!$C$44^2))*EXP(-(((Model_Data!A193)-Inputs!$C$42)^2)/(2*Inputs!$C$45^2))+Inputs!$C$48*(0.7*(0.45*SIN(2*PI()*(((Model_Data!A193)/Inputs!$C$49)+Inputs!$C$47*0.137))+0.35*COS(2*PI()*(((0)/Inputs!$C$50)+Inputs!$C$47*0.173))+0.2*SIN(2*PI()*(((Model_Data!A193)+(0))/(0.5*(Inputs!$C$49+Inputs!$C$50))+Inputs!$C$47*0.097)))+0.3*(2*((SIN(((Model_Data!A193)*12.9898+(0)*78.233+Inputs!$C$47*37.719))*43758.5453)-INT((SIN(((Model_Data!A193)*12.9898+(0)*78.233+Inputs!$C$47*37.719))*43758.5453)))-1))))/1000)))*1000/Inputs!$C$12)</f>
        <v>1198.0393227286172</v>
      </c>
      <c r="E193" s="9">
        <f>Model_Data!A193</f>
        <v>35.5</v>
      </c>
      <c r="F193" s="9">
        <f>(Inputs!$C$51*(115*EXP(-(((Inputs!$C$6)-25)^2)/(4.5^2))+70*EXP(-(((Inputs!$C$6)+38)^2)/(7^2))*(0.55+0.45*SIN(2*PI()*(Model_Data!A193)/45))+24*SIN(2*PI()*(Inputs!$C$6)/9+(Model_Data!A193)/18)*EXP(-(((Inputs!$C$6)+5)^2)/(22^2))+18*SIN(2*PI()*(Model_Data!A193)/70))+Inputs!$C$28*EXP(-(((Model_Data!A193)-Inputs!$C$29)^2)/(2*Inputs!$C$31^2))*EXP(-(((Inputs!$C$6)-Inputs!$C$30)^2)/(2*Inputs!$C$32^2))+-Inputs!$C$33*EXP(-(((((Model_Data!A193)-Inputs!$C$34)^2)+(((Inputs!$C$6)-Inputs!$C$35)^2))/(2*Inputs!$C$36^2)))+Inputs!$C$37*(0.55*SIN(2*PI()*(Model_Data!A193)/Inputs!$C$39)+0.35*COS(2*PI()*(Inputs!$C$6)/Inputs!$C$40)+0.2*SIN(2*PI()*((Model_Data!A193)+(Inputs!$C$6))/(0.5*(Inputs!$C$39+Inputs!$C$40))))+Inputs!$C$38*SIN(2*PI()*(Model_Data!A193)/Inputs!$C$39)*SIN(2*PI()*(Inputs!$C$6)/Inputs!$C$40)+-Inputs!$C$41*EXP(-(((Inputs!$C$6)-Inputs!$C$43)^2)/(2*Inputs!$C$44^2))*EXP(-(((Model_Data!A193)-Inputs!$C$42)^2)/(2*Inputs!$C$45^2))+Inputs!$C$48*(0.7*(0.45*SIN(2*PI()*(((Model_Data!A193)/Inputs!$C$49)+Inputs!$C$47*0.137))+0.35*COS(2*PI()*(((Inputs!$C$6)/Inputs!$C$50)+Inputs!$C$47*0.173))+0.2*SIN(2*PI()*(((Model_Data!A193)+(Inputs!$C$6))/(0.5*(Inputs!$C$49+Inputs!$C$50))+Inputs!$C$47*0.097)))+0.3*(2*((SIN(((Model_Data!A193)*12.9898+(Inputs!$C$6)*78.233+Inputs!$C$47*37.719))*43758.5453)-INT((SIN(((Model_Data!A193)*12.9898+(Inputs!$C$6)*78.233+Inputs!$C$47*37.719))*43758.5453)))-1)))</f>
        <v>242.63788270086079</v>
      </c>
      <c r="G193" s="9">
        <f>(Inputs!$C$51*(115*EXP(-(((0)-25)^2)/(4.5^2))+70*EXP(-(((0)+38)^2)/(7^2))*(0.55+0.45*SIN(2*PI()*(Model_Data!A193)/45))+24*SIN(2*PI()*(0)/9+(Model_Data!A193)/18)*EXP(-(((0)+5)^2)/(22^2))+18*SIN(2*PI()*(Model_Data!A193)/70))+Inputs!$C$28*EXP(-(((Model_Data!A193)-Inputs!$C$29)^2)/(2*Inputs!$C$31^2))*EXP(-(((0)-Inputs!$C$30)^2)/(2*Inputs!$C$32^2))+-Inputs!$C$33*EXP(-(((((Model_Data!A193)-Inputs!$C$34)^2)+(((0)-Inputs!$C$35)^2))/(2*Inputs!$C$36^2)))+Inputs!$C$37*(0.55*SIN(2*PI()*(Model_Data!A193)/Inputs!$C$39)+0.35*COS(2*PI()*(0)/Inputs!$C$40)+0.2*SIN(2*PI()*((Model_Data!A193)+(0))/(0.5*(Inputs!$C$39+Inputs!$C$40))))+Inputs!$C$38*SIN(2*PI()*(Model_Data!A193)/Inputs!$C$39)*SIN(2*PI()*(0)/Inputs!$C$40)+-Inputs!$C$41*EXP(-(((0)-Inputs!$C$43)^2)/(2*Inputs!$C$44^2))*EXP(-(((Model_Data!A193)-Inputs!$C$42)^2)/(2*Inputs!$C$45^2))+Inputs!$C$48*(0.7*(0.45*SIN(2*PI()*(((Model_Data!A193)/Inputs!$C$49)+Inputs!$C$47*0.137))+0.35*COS(2*PI()*(((0)/Inputs!$C$50)+Inputs!$C$47*0.173))+0.2*SIN(2*PI()*(((Model_Data!A193)+(0))/(0.5*(Inputs!$C$49+Inputs!$C$50))+Inputs!$C$47*0.097)))+0.3*(2*((SIN(((Model_Data!A193)*12.9898+(0)*78.233+Inputs!$C$47*37.719))*43758.5453)-INT((SIN(((Model_Data!A193)*12.9898+(0)*78.233+Inputs!$C$47*37.719))*43758.5453)))-1)))</f>
        <v>32.227616256478356</v>
      </c>
      <c r="H193" s="10"/>
      <c r="I193" s="9">
        <f>Model_Data!A193</f>
        <v>35.5</v>
      </c>
      <c r="J193" s="9">
        <f>(Inputs!$C$51*(115*EXP(-(((Inputs!$C$6)-25)^2)/(4.5^2))+70*EXP(-(((Inputs!$C$6)+38)^2)/(7^2))*(0.55+0.45*SIN(2*PI()*(Model_Data!A193)/45))+24*SIN(2*PI()*(Inputs!$C$6)/9+(Model_Data!A193)/18)*EXP(-(((Inputs!$C$6)+5)^2)/(22^2))+18*SIN(2*PI()*(Model_Data!A193)/70))+Inputs!$C$28*EXP(-(((Model_Data!A193)-Inputs!$C$29)^2)/(2*Inputs!$C$31^2))*EXP(-(((Inputs!$C$6)-Inputs!$C$30)^2)/(2*Inputs!$C$32^2))+-Inputs!$C$33*EXP(-(((((Model_Data!A193)-Inputs!$C$34)^2)+(((Inputs!$C$6)-Inputs!$C$35)^2))/(2*Inputs!$C$36^2)))+Inputs!$C$37*(0.55*SIN(2*PI()*(Model_Data!A193)/Inputs!$C$39)+0.35*COS(2*PI()*(Inputs!$C$6)/Inputs!$C$40)+0.2*SIN(2*PI()*((Model_Data!A193)+(Inputs!$C$6))/(0.5*(Inputs!$C$39+Inputs!$C$40))))+Inputs!$C$38*SIN(2*PI()*(Model_Data!A193)/Inputs!$C$39)*SIN(2*PI()*(Inputs!$C$6)/Inputs!$C$40)+-Inputs!$C$41*EXP(-(((Inputs!$C$6)-Inputs!$C$43)^2)/(2*Inputs!$C$44^2))*EXP(-(((Model_Data!A193)-Inputs!$C$42)^2)/(2*Inputs!$C$45^2))+Inputs!$C$48*(0.7*(0.45*SIN(2*PI()*(((Model_Data!A193)/Inputs!$C$49)+Inputs!$C$47*0.137))+0.35*COS(2*PI()*(((Inputs!$C$6)/Inputs!$C$50)+Inputs!$C$47*0.173))+0.2*SIN(2*PI()*(((Model_Data!A193)+(Inputs!$C$6))/(0.5*(Inputs!$C$49+Inputs!$C$50))+Inputs!$C$47*0.097)))+0.3*(2*((SIN(((Model_Data!A193)*12.9898+(Inputs!$C$6)*78.233+Inputs!$C$47*37.719))*43758.5453)-INT((SIN(((Model_Data!A193)*12.9898+(Inputs!$C$6)*78.233+Inputs!$C$47*37.719))*43758.5453)))-1)))</f>
        <v>242.63788270086079</v>
      </c>
      <c r="K193" s="9">
        <f>-((((SQRT((Model_Data!A193)^2+Inputs!$C$6^2+((Model_Data!B193)-((Inputs!$C$51*(115*EXP(-(((Inputs!$C$6)-25)^2)/(4.5^2))+70*EXP(-(((Inputs!$C$6)+38)^2)/(7^2))*(0.55+0.45*SIN(2*PI()*(Model_Data!A193)/45))+24*SIN(2*PI()*(Inputs!$C$6)/9+(Model_Data!A193)/18)*EXP(-(((Inputs!$C$6)+5)^2)/(22^2))+18*SIN(2*PI()*(Model_Data!A193)/70))+Inputs!$C$28*EXP(-(((Model_Data!A193)-Inputs!$C$29)^2)/(2*Inputs!$C$31^2))*EXP(-(((Inputs!$C$6)-Inputs!$C$30)^2)/(2*Inputs!$C$32^2))+-Inputs!$C$33*EXP(-(((((Model_Data!A193)-Inputs!$C$34)^2)+(((Inputs!$C$6)-Inputs!$C$35)^2))/(2*Inputs!$C$36^2)))+Inputs!$C$37*(0.55*SIN(2*PI()*(Model_Data!A193)/Inputs!$C$39)+0.35*COS(2*PI()*(Inputs!$C$6)/Inputs!$C$40)+0.2*SIN(2*PI()*((Model_Data!A193)+(Inputs!$C$6))/(0.5*(Inputs!$C$39+Inputs!$C$40))))+Inputs!$C$38*SIN(2*PI()*(Model_Data!A193)/Inputs!$C$39)*SIN(2*PI()*(Inputs!$C$6)/Inputs!$C$40)+-Inputs!$C$41*EXP(-(((Inputs!$C$6)-Inputs!$C$43)^2)/(2*Inputs!$C$44^2))*EXP(-(((Model_Data!A193)-Inputs!$C$42)^2)/(2*Inputs!$C$45^2))+Inputs!$C$48*(0.7*(0.45*SIN(2*PI()*(((Model_Data!A193)/Inputs!$C$49)+Inputs!$C$47*0.137))+0.35*COS(2*PI()*(((Inputs!$C$6)/Inputs!$C$50)+Inputs!$C$47*0.173))+0.2*SIN(2*PI()*(((Model_Data!A193)+(Inputs!$C$6))/(0.5*(Inputs!$C$49+Inputs!$C$50))+Inputs!$C$47*0.097)))+0.3*(2*((SIN(((Model_Data!A193)*12.9898+(Inputs!$C$6)*78.233+Inputs!$C$47*37.719))*43758.5453)-INT((SIN(((Model_Data!A193)*12.9898+(Inputs!$C$6)*78.233+Inputs!$C$47*37.719))*43758.5453)))-1))))/1000)^2))-(((Model_Data!B193)-((Inputs!$C$51*(115*EXP(-(((0)-25)^2)/(4.5^2))+70*EXP(-(((0)+38)^2)/(7^2))*(0.55+0.45*SIN(2*PI()*(Model_Data!A193)/45))+24*SIN(2*PI()*(0)/9+(Model_Data!A193)/18)*EXP(-(((0)+5)^2)/(22^2))+18*SIN(2*PI()*(Model_Data!A193)/70))+Inputs!$C$28*EXP(-(((Model_Data!A193)-Inputs!$C$29)^2)/(2*Inputs!$C$31^2))*EXP(-(((0)-Inputs!$C$30)^2)/(2*Inputs!$C$32^2))+-Inputs!$C$33*EXP(-(((((Model_Data!A193)-Inputs!$C$34)^2)+(((0)-Inputs!$C$35)^2))/(2*Inputs!$C$36^2)))+Inputs!$C$37*(0.55*SIN(2*PI()*(Model_Data!A193)/Inputs!$C$39)+0.35*COS(2*PI()*(0)/Inputs!$C$40)+0.2*SIN(2*PI()*((Model_Data!A193)+(0))/(0.5*(Inputs!$C$39+Inputs!$C$40))))+Inputs!$C$38*SIN(2*PI()*(Model_Data!A193)/Inputs!$C$39)*SIN(2*PI()*(0)/Inputs!$C$40)+-Inputs!$C$41*EXP(-(((0)-Inputs!$C$43)^2)/(2*Inputs!$C$44^2))*EXP(-(((Model_Data!A193)-Inputs!$C$42)^2)/(2*Inputs!$C$45^2))+Inputs!$C$48*(0.7*(0.45*SIN(2*PI()*(((Model_Data!A193)/Inputs!$C$49)+Inputs!$C$47*0.137))+0.35*COS(2*PI()*(((0)/Inputs!$C$50)+Inputs!$C$47*0.173))+0.2*SIN(2*PI()*(((Model_Data!A193)+(0))/(0.5*(Inputs!$C$49+Inputs!$C$50))+Inputs!$C$47*0.097)))+0.3*(2*((SIN(((Model_Data!A193)*12.9898+(0)*78.233+Inputs!$C$47*37.719))*43758.5453)-INT((SIN(((Model_Data!A193)*12.9898+(0)*78.233+Inputs!$C$47*37.719))*43758.5453)))-1))))/1000)))*1000/Inputs!$C$12)-Model_Data!F193)</f>
        <v>117.41698722905926</v>
      </c>
      <c r="L193" s="10"/>
      <c r="M193" s="9">
        <f>Model_Data!A193</f>
        <v>35.5</v>
      </c>
      <c r="N193" s="9">
        <f>Model_Data!P193</f>
        <v>-266.17416804735291</v>
      </c>
      <c r="O193" s="9">
        <f t="shared" si="4"/>
        <v>-250.6073966389522</v>
      </c>
      <c r="P193" s="9">
        <f>Model_Data!Q193</f>
        <v>-39.966091298401338</v>
      </c>
      <c r="Q193" s="9">
        <f t="shared" si="5"/>
        <v>-37.628738234076913</v>
      </c>
      <c r="R193" s="10"/>
      <c r="S193" s="9">
        <f>Model_Data!A193</f>
        <v>35.5</v>
      </c>
      <c r="T193" s="9">
        <f>Model_Data!B193-Inputs!$C$5</f>
        <v>1.4002777777777737</v>
      </c>
      <c r="U193" s="10"/>
      <c r="V193" s="9">
        <f>Model_Data!A193</f>
        <v>35.5</v>
      </c>
      <c r="W193" s="9">
        <f>((SQRT((Model_Data!A193)^2+Inputs!$C$6^2+Inputs!$C$5^2)-Inputs!$C$5)*1000/Inputs!$C$12)</f>
        <v>1320.0344743489659</v>
      </c>
      <c r="X193" s="9">
        <f>Model_Data!F193</f>
        <v>1315.4563099576765</v>
      </c>
      <c r="Y193" s="10"/>
      <c r="Z193" s="9">
        <f>Model_Data!A193</f>
        <v>35.5</v>
      </c>
      <c r="AA193" s="9">
        <f>SQRT((Model_Data!A193)^2+Inputs!$C$6^2+((Model_Data!B193)-((Inputs!$C$51*(115*EXP(-(((Inputs!$C$6)-25)^2)/(4.5^2))+70*EXP(-(((Inputs!$C$6)+38)^2)/(7^2))*(0.55+0.45*SIN(2*PI()*(Model_Data!A193)/45))+24*SIN(2*PI()*(Inputs!$C$6)/9+(Model_Data!A193)/18)*EXP(-(((Inputs!$C$6)+5)^2)/(22^2))+18*SIN(2*PI()*(Model_Data!A193)/70))+Inputs!$C$28*EXP(-(((Model_Data!A193)-Inputs!$C$29)^2)/(2*Inputs!$C$31^2))*EXP(-(((Inputs!$C$6)-Inputs!$C$30)^2)/(2*Inputs!$C$32^2))+-Inputs!$C$33*EXP(-(((((Model_Data!A193)-Inputs!$C$34)^2)+(((Inputs!$C$6)-Inputs!$C$35)^2))/(2*Inputs!$C$36^2)))+Inputs!$C$37*(0.55*SIN(2*PI()*(Model_Data!A193)/Inputs!$C$39)+0.35*COS(2*PI()*(Inputs!$C$6)/Inputs!$C$40)+0.2*SIN(2*PI()*((Model_Data!A193)+(Inputs!$C$6))/(0.5*(Inputs!$C$39+Inputs!$C$40))))+Inputs!$C$38*SIN(2*PI()*(Model_Data!A193)/Inputs!$C$39)*SIN(2*PI()*(Inputs!$C$6)/Inputs!$C$40)+-Inputs!$C$41*EXP(-(((Inputs!$C$6)-Inputs!$C$43)^2)/(2*Inputs!$C$44^2))*EXP(-(((Model_Data!A193)-Inputs!$C$42)^2)/(2*Inputs!$C$45^2))+Inputs!$C$48*(0.7*(0.45*SIN(2*PI()*(((Model_Data!A193)/Inputs!$C$49)+Inputs!$C$47*0.137))+0.35*COS(2*PI()*(((Inputs!$C$6)/Inputs!$C$50)+Inputs!$C$47*0.173))+0.2*SIN(2*PI()*(((Model_Data!A193)+(Inputs!$C$6))/(0.5*(Inputs!$C$49+Inputs!$C$50))+Inputs!$C$47*0.097)))+0.3*(2*((SIN(((Model_Data!A193)*12.9898+(Inputs!$C$6)*78.233+Inputs!$C$47*37.719))*43758.5453)-INT((SIN(((Model_Data!A193)*12.9898+(Inputs!$C$6)*78.233+Inputs!$C$47*37.719))*43758.5453)))-1))))/1000)^2)</f>
        <v>403.50056015597823</v>
      </c>
      <c r="AB193" s="9">
        <f>1000*(AA194-AA192)/(Z194-Z192)*Inputs!$C$11</f>
        <v>626.51849159738049</v>
      </c>
      <c r="AC193" s="9">
        <f>-2*AB193/Inputs!$C$13</f>
        <v>-250.6073966389522</v>
      </c>
      <c r="AD193" s="9">
        <f>-2*AB193/Inputs!$C$14</f>
        <v>-37.628738234076913</v>
      </c>
    </row>
    <row r="194" spans="1:30">
      <c r="A194" s="9">
        <f>Model_Data!A194</f>
        <v>36</v>
      </c>
      <c r="B194" s="9">
        <f>((SQRT((Model_Data!A194)^2+Inputs!$C$6^2+Inputs!$C$5^2)-Inputs!$C$5)*1000/Inputs!$C$12)</f>
        <v>1344.9918222533095</v>
      </c>
      <c r="C194" s="9">
        <f>Model_Data!F194</f>
        <v>1340.1957716827169</v>
      </c>
      <c r="D194" s="9">
        <f>(((SQRT((Model_Data!A194)^2+Inputs!$C$6^2+((Model_Data!B194)-((Inputs!$C$51*(115*EXP(-(((Inputs!$C$6)-25)^2)/(4.5^2))+70*EXP(-(((Inputs!$C$6)+38)^2)/(7^2))*(0.55+0.45*SIN(2*PI()*(Model_Data!A194)/45))+24*SIN(2*PI()*(Inputs!$C$6)/9+(Model_Data!A194)/18)*EXP(-(((Inputs!$C$6)+5)^2)/(22^2))+18*SIN(2*PI()*(Model_Data!A194)/70))+Inputs!$C$28*EXP(-(((Model_Data!A194)-Inputs!$C$29)^2)/(2*Inputs!$C$31^2))*EXP(-(((Inputs!$C$6)-Inputs!$C$30)^2)/(2*Inputs!$C$32^2))+-Inputs!$C$33*EXP(-(((((Model_Data!A194)-Inputs!$C$34)^2)+(((Inputs!$C$6)-Inputs!$C$35)^2))/(2*Inputs!$C$36^2)))+Inputs!$C$37*(0.55*SIN(2*PI()*(Model_Data!A194)/Inputs!$C$39)+0.35*COS(2*PI()*(Inputs!$C$6)/Inputs!$C$40)+0.2*SIN(2*PI()*((Model_Data!A194)+(Inputs!$C$6))/(0.5*(Inputs!$C$39+Inputs!$C$40))))+Inputs!$C$38*SIN(2*PI()*(Model_Data!A194)/Inputs!$C$39)*SIN(2*PI()*(Inputs!$C$6)/Inputs!$C$40)+-Inputs!$C$41*EXP(-(((Inputs!$C$6)-Inputs!$C$43)^2)/(2*Inputs!$C$44^2))*EXP(-(((Model_Data!A194)-Inputs!$C$42)^2)/(2*Inputs!$C$45^2))+Inputs!$C$48*(0.7*(0.45*SIN(2*PI()*(((Model_Data!A194)/Inputs!$C$49)+Inputs!$C$47*0.137))+0.35*COS(2*PI()*(((Inputs!$C$6)/Inputs!$C$50)+Inputs!$C$47*0.173))+0.2*SIN(2*PI()*(((Model_Data!A194)+(Inputs!$C$6))/(0.5*(Inputs!$C$49+Inputs!$C$50))+Inputs!$C$47*0.097)))+0.3*(2*((SIN(((Model_Data!A194)*12.9898+(Inputs!$C$6)*78.233+Inputs!$C$47*37.719))*43758.5453)-INT((SIN(((Model_Data!A194)*12.9898+(Inputs!$C$6)*78.233+Inputs!$C$47*37.719))*43758.5453)))-1))))/1000)^2))-(((Model_Data!B194)-((Inputs!$C$51*(115*EXP(-(((0)-25)^2)/(4.5^2))+70*EXP(-(((0)+38)^2)/(7^2))*(0.55+0.45*SIN(2*PI()*(Model_Data!A194)/45))+24*SIN(2*PI()*(0)/9+(Model_Data!A194)/18)*EXP(-(((0)+5)^2)/(22^2))+18*SIN(2*PI()*(Model_Data!A194)/70))+Inputs!$C$28*EXP(-(((Model_Data!A194)-Inputs!$C$29)^2)/(2*Inputs!$C$31^2))*EXP(-(((0)-Inputs!$C$30)^2)/(2*Inputs!$C$32^2))+-Inputs!$C$33*EXP(-(((((Model_Data!A194)-Inputs!$C$34)^2)+(((0)-Inputs!$C$35)^2))/(2*Inputs!$C$36^2)))+Inputs!$C$37*(0.55*SIN(2*PI()*(Model_Data!A194)/Inputs!$C$39)+0.35*COS(2*PI()*(0)/Inputs!$C$40)+0.2*SIN(2*PI()*((Model_Data!A194)+(0))/(0.5*(Inputs!$C$39+Inputs!$C$40))))+Inputs!$C$38*SIN(2*PI()*(Model_Data!A194)/Inputs!$C$39)*SIN(2*PI()*(0)/Inputs!$C$40)+-Inputs!$C$41*EXP(-(((0)-Inputs!$C$43)^2)/(2*Inputs!$C$44^2))*EXP(-(((Model_Data!A194)-Inputs!$C$42)^2)/(2*Inputs!$C$45^2))+Inputs!$C$48*(0.7*(0.45*SIN(2*PI()*(((Model_Data!A194)/Inputs!$C$49)+Inputs!$C$47*0.137))+0.35*COS(2*PI()*(((0)/Inputs!$C$50)+Inputs!$C$47*0.173))+0.2*SIN(2*PI()*(((Model_Data!A194)+(0))/(0.5*(Inputs!$C$49+Inputs!$C$50))+Inputs!$C$47*0.097)))+0.3*(2*((SIN(((Model_Data!A194)*12.9898+(0)*78.233+Inputs!$C$47*37.719))*43758.5453)-INT((SIN(((Model_Data!A194)*12.9898+(0)*78.233+Inputs!$C$47*37.719))*43758.5453)))-1))))/1000)))*1000/Inputs!$C$12)</f>
        <v>1225.0627321241077</v>
      </c>
      <c r="E194" s="9">
        <f>Model_Data!A194</f>
        <v>36</v>
      </c>
      <c r="F194" s="9">
        <f>(Inputs!$C$51*(115*EXP(-(((Inputs!$C$6)-25)^2)/(4.5^2))+70*EXP(-(((Inputs!$C$6)+38)^2)/(7^2))*(0.55+0.45*SIN(2*PI()*(Model_Data!A194)/45))+24*SIN(2*PI()*(Inputs!$C$6)/9+(Model_Data!A194)/18)*EXP(-(((Inputs!$C$6)+5)^2)/(22^2))+18*SIN(2*PI()*(Model_Data!A194)/70))+Inputs!$C$28*EXP(-(((Model_Data!A194)-Inputs!$C$29)^2)/(2*Inputs!$C$31^2))*EXP(-(((Inputs!$C$6)-Inputs!$C$30)^2)/(2*Inputs!$C$32^2))+-Inputs!$C$33*EXP(-(((((Model_Data!A194)-Inputs!$C$34)^2)+(((Inputs!$C$6)-Inputs!$C$35)^2))/(2*Inputs!$C$36^2)))+Inputs!$C$37*(0.55*SIN(2*PI()*(Model_Data!A194)/Inputs!$C$39)+0.35*COS(2*PI()*(Inputs!$C$6)/Inputs!$C$40)+0.2*SIN(2*PI()*((Model_Data!A194)+(Inputs!$C$6))/(0.5*(Inputs!$C$39+Inputs!$C$40))))+Inputs!$C$38*SIN(2*PI()*(Model_Data!A194)/Inputs!$C$39)*SIN(2*PI()*(Inputs!$C$6)/Inputs!$C$40)+-Inputs!$C$41*EXP(-(((Inputs!$C$6)-Inputs!$C$43)^2)/(2*Inputs!$C$44^2))*EXP(-(((Model_Data!A194)-Inputs!$C$42)^2)/(2*Inputs!$C$45^2))+Inputs!$C$48*(0.7*(0.45*SIN(2*PI()*(((Model_Data!A194)/Inputs!$C$49)+Inputs!$C$47*0.137))+0.35*COS(2*PI()*(((Inputs!$C$6)/Inputs!$C$50)+Inputs!$C$47*0.173))+0.2*SIN(2*PI()*(((Model_Data!A194)+(Inputs!$C$6))/(0.5*(Inputs!$C$49+Inputs!$C$50))+Inputs!$C$47*0.097)))+0.3*(2*((SIN(((Model_Data!A194)*12.9898+(Inputs!$C$6)*78.233+Inputs!$C$47*37.719))*43758.5453)-INT((SIN(((Model_Data!A194)*12.9898+(Inputs!$C$6)*78.233+Inputs!$C$47*37.719))*43758.5453)))-1)))</f>
        <v>251.84803304144381</v>
      </c>
      <c r="G194" s="9">
        <f>(Inputs!$C$51*(115*EXP(-(((0)-25)^2)/(4.5^2))+70*EXP(-(((0)+38)^2)/(7^2))*(0.55+0.45*SIN(2*PI()*(Model_Data!A194)/45))+24*SIN(2*PI()*(0)/9+(Model_Data!A194)/18)*EXP(-(((0)+5)^2)/(22^2))+18*SIN(2*PI()*(Model_Data!A194)/70))+Inputs!$C$28*EXP(-(((Model_Data!A194)-Inputs!$C$29)^2)/(2*Inputs!$C$31^2))*EXP(-(((0)-Inputs!$C$30)^2)/(2*Inputs!$C$32^2))+-Inputs!$C$33*EXP(-(((((Model_Data!A194)-Inputs!$C$34)^2)+(((0)-Inputs!$C$35)^2))/(2*Inputs!$C$36^2)))+Inputs!$C$37*(0.55*SIN(2*PI()*(Model_Data!A194)/Inputs!$C$39)+0.35*COS(2*PI()*(0)/Inputs!$C$40)+0.2*SIN(2*PI()*((Model_Data!A194)+(0))/(0.5*(Inputs!$C$39+Inputs!$C$40))))+Inputs!$C$38*SIN(2*PI()*(Model_Data!A194)/Inputs!$C$39)*SIN(2*PI()*(0)/Inputs!$C$40)+-Inputs!$C$41*EXP(-(((0)-Inputs!$C$43)^2)/(2*Inputs!$C$44^2))*EXP(-(((Model_Data!A194)-Inputs!$C$42)^2)/(2*Inputs!$C$45^2))+Inputs!$C$48*(0.7*(0.45*SIN(2*PI()*(((Model_Data!A194)/Inputs!$C$49)+Inputs!$C$47*0.137))+0.35*COS(2*PI()*(((0)/Inputs!$C$50)+Inputs!$C$47*0.173))+0.2*SIN(2*PI()*(((Model_Data!A194)+(0))/(0.5*(Inputs!$C$49+Inputs!$C$50))+Inputs!$C$47*0.097)))+0.3*(2*((SIN(((Model_Data!A194)*12.9898+(0)*78.233+Inputs!$C$47*37.719))*43758.5453)-INT((SIN(((Model_Data!A194)*12.9898+(0)*78.233+Inputs!$C$47*37.719))*43758.5453)))-1)))</f>
        <v>45.422536466318</v>
      </c>
      <c r="H194" s="10"/>
      <c r="I194" s="9">
        <f>Model_Data!A194</f>
        <v>36</v>
      </c>
      <c r="J194" s="9">
        <f>(Inputs!$C$51*(115*EXP(-(((Inputs!$C$6)-25)^2)/(4.5^2))+70*EXP(-(((Inputs!$C$6)+38)^2)/(7^2))*(0.55+0.45*SIN(2*PI()*(Model_Data!A194)/45))+24*SIN(2*PI()*(Inputs!$C$6)/9+(Model_Data!A194)/18)*EXP(-(((Inputs!$C$6)+5)^2)/(22^2))+18*SIN(2*PI()*(Model_Data!A194)/70))+Inputs!$C$28*EXP(-(((Model_Data!A194)-Inputs!$C$29)^2)/(2*Inputs!$C$31^2))*EXP(-(((Inputs!$C$6)-Inputs!$C$30)^2)/(2*Inputs!$C$32^2))+-Inputs!$C$33*EXP(-(((((Model_Data!A194)-Inputs!$C$34)^2)+(((Inputs!$C$6)-Inputs!$C$35)^2))/(2*Inputs!$C$36^2)))+Inputs!$C$37*(0.55*SIN(2*PI()*(Model_Data!A194)/Inputs!$C$39)+0.35*COS(2*PI()*(Inputs!$C$6)/Inputs!$C$40)+0.2*SIN(2*PI()*((Model_Data!A194)+(Inputs!$C$6))/(0.5*(Inputs!$C$39+Inputs!$C$40))))+Inputs!$C$38*SIN(2*PI()*(Model_Data!A194)/Inputs!$C$39)*SIN(2*PI()*(Inputs!$C$6)/Inputs!$C$40)+-Inputs!$C$41*EXP(-(((Inputs!$C$6)-Inputs!$C$43)^2)/(2*Inputs!$C$44^2))*EXP(-(((Model_Data!A194)-Inputs!$C$42)^2)/(2*Inputs!$C$45^2))+Inputs!$C$48*(0.7*(0.45*SIN(2*PI()*(((Model_Data!A194)/Inputs!$C$49)+Inputs!$C$47*0.137))+0.35*COS(2*PI()*(((Inputs!$C$6)/Inputs!$C$50)+Inputs!$C$47*0.173))+0.2*SIN(2*PI()*(((Model_Data!A194)+(Inputs!$C$6))/(0.5*(Inputs!$C$49+Inputs!$C$50))+Inputs!$C$47*0.097)))+0.3*(2*((SIN(((Model_Data!A194)*12.9898+(Inputs!$C$6)*78.233+Inputs!$C$47*37.719))*43758.5453)-INT((SIN(((Model_Data!A194)*12.9898+(Inputs!$C$6)*78.233+Inputs!$C$47*37.719))*43758.5453)))-1)))</f>
        <v>251.84803304144381</v>
      </c>
      <c r="K194" s="9">
        <f>-((((SQRT((Model_Data!A194)^2+Inputs!$C$6^2+((Model_Data!B194)-((Inputs!$C$51*(115*EXP(-(((Inputs!$C$6)-25)^2)/(4.5^2))+70*EXP(-(((Inputs!$C$6)+38)^2)/(7^2))*(0.55+0.45*SIN(2*PI()*(Model_Data!A194)/45))+24*SIN(2*PI()*(Inputs!$C$6)/9+(Model_Data!A194)/18)*EXP(-(((Inputs!$C$6)+5)^2)/(22^2))+18*SIN(2*PI()*(Model_Data!A194)/70))+Inputs!$C$28*EXP(-(((Model_Data!A194)-Inputs!$C$29)^2)/(2*Inputs!$C$31^2))*EXP(-(((Inputs!$C$6)-Inputs!$C$30)^2)/(2*Inputs!$C$32^2))+-Inputs!$C$33*EXP(-(((((Model_Data!A194)-Inputs!$C$34)^2)+(((Inputs!$C$6)-Inputs!$C$35)^2))/(2*Inputs!$C$36^2)))+Inputs!$C$37*(0.55*SIN(2*PI()*(Model_Data!A194)/Inputs!$C$39)+0.35*COS(2*PI()*(Inputs!$C$6)/Inputs!$C$40)+0.2*SIN(2*PI()*((Model_Data!A194)+(Inputs!$C$6))/(0.5*(Inputs!$C$39+Inputs!$C$40))))+Inputs!$C$38*SIN(2*PI()*(Model_Data!A194)/Inputs!$C$39)*SIN(2*PI()*(Inputs!$C$6)/Inputs!$C$40)+-Inputs!$C$41*EXP(-(((Inputs!$C$6)-Inputs!$C$43)^2)/(2*Inputs!$C$44^2))*EXP(-(((Model_Data!A194)-Inputs!$C$42)^2)/(2*Inputs!$C$45^2))+Inputs!$C$48*(0.7*(0.45*SIN(2*PI()*(((Model_Data!A194)/Inputs!$C$49)+Inputs!$C$47*0.137))+0.35*COS(2*PI()*(((Inputs!$C$6)/Inputs!$C$50)+Inputs!$C$47*0.173))+0.2*SIN(2*PI()*(((Model_Data!A194)+(Inputs!$C$6))/(0.5*(Inputs!$C$49+Inputs!$C$50))+Inputs!$C$47*0.097)))+0.3*(2*((SIN(((Model_Data!A194)*12.9898+(Inputs!$C$6)*78.233+Inputs!$C$47*37.719))*43758.5453)-INT((SIN(((Model_Data!A194)*12.9898+(Inputs!$C$6)*78.233+Inputs!$C$47*37.719))*43758.5453)))-1))))/1000)^2))-(((Model_Data!B194)-((Inputs!$C$51*(115*EXP(-(((0)-25)^2)/(4.5^2))+70*EXP(-(((0)+38)^2)/(7^2))*(0.55+0.45*SIN(2*PI()*(Model_Data!A194)/45))+24*SIN(2*PI()*(0)/9+(Model_Data!A194)/18)*EXP(-(((0)+5)^2)/(22^2))+18*SIN(2*PI()*(Model_Data!A194)/70))+Inputs!$C$28*EXP(-(((Model_Data!A194)-Inputs!$C$29)^2)/(2*Inputs!$C$31^2))*EXP(-(((0)-Inputs!$C$30)^2)/(2*Inputs!$C$32^2))+-Inputs!$C$33*EXP(-(((((Model_Data!A194)-Inputs!$C$34)^2)+(((0)-Inputs!$C$35)^2))/(2*Inputs!$C$36^2)))+Inputs!$C$37*(0.55*SIN(2*PI()*(Model_Data!A194)/Inputs!$C$39)+0.35*COS(2*PI()*(0)/Inputs!$C$40)+0.2*SIN(2*PI()*((Model_Data!A194)+(0))/(0.5*(Inputs!$C$39+Inputs!$C$40))))+Inputs!$C$38*SIN(2*PI()*(Model_Data!A194)/Inputs!$C$39)*SIN(2*PI()*(0)/Inputs!$C$40)+-Inputs!$C$41*EXP(-(((0)-Inputs!$C$43)^2)/(2*Inputs!$C$44^2))*EXP(-(((Model_Data!A194)-Inputs!$C$42)^2)/(2*Inputs!$C$45^2))+Inputs!$C$48*(0.7*(0.45*SIN(2*PI()*(((Model_Data!A194)/Inputs!$C$49)+Inputs!$C$47*0.137))+0.35*COS(2*PI()*(((0)/Inputs!$C$50)+Inputs!$C$47*0.173))+0.2*SIN(2*PI()*(((Model_Data!A194)+(0))/(0.5*(Inputs!$C$49+Inputs!$C$50))+Inputs!$C$47*0.097)))+0.3*(2*((SIN(((Model_Data!A194)*12.9898+(0)*78.233+Inputs!$C$47*37.719))*43758.5453)-INT((SIN(((Model_Data!A194)*12.9898+(0)*78.233+Inputs!$C$47*37.719))*43758.5453)))-1))))/1000)))*1000/Inputs!$C$12)-Model_Data!F194)</f>
        <v>115.1330395586092</v>
      </c>
      <c r="L194" s="10"/>
      <c r="M194" s="9">
        <f>Model_Data!A194</f>
        <v>36</v>
      </c>
      <c r="N194" s="9">
        <f>Model_Data!P194</f>
        <v>-269.87970526368542</v>
      </c>
      <c r="O194" s="9">
        <f t="shared" ref="O194:O242" si="6">AC194</f>
        <v>-219.58865800306739</v>
      </c>
      <c r="P194" s="9">
        <f>Model_Data!Q194</f>
        <v>-40.522478267820638</v>
      </c>
      <c r="Q194" s="9">
        <f t="shared" ref="Q194:Q242" si="7">AD194</f>
        <v>-32.971269970430541</v>
      </c>
      <c r="R194" s="10"/>
      <c r="S194" s="9">
        <f>Model_Data!A194</f>
        <v>36</v>
      </c>
      <c r="T194" s="9">
        <f>Model_Data!B194-Inputs!$C$5</f>
        <v>1.4399999999999977</v>
      </c>
      <c r="U194" s="10"/>
      <c r="V194" s="9">
        <f>Model_Data!A194</f>
        <v>36</v>
      </c>
      <c r="W194" s="9">
        <f>((SQRT((Model_Data!A194)^2+Inputs!$C$6^2+Inputs!$C$5^2)-Inputs!$C$5)*1000/Inputs!$C$12)</f>
        <v>1344.9918222533095</v>
      </c>
      <c r="X194" s="9">
        <f>Model_Data!F194</f>
        <v>1340.1957716827169</v>
      </c>
      <c r="Y194" s="10"/>
      <c r="Z194" s="9">
        <f>Model_Data!A194</f>
        <v>36</v>
      </c>
      <c r="AA194" s="9">
        <f>SQRT((Model_Data!A194)^2+Inputs!$C$6^2+((Model_Data!B194)-((Inputs!$C$51*(115*EXP(-(((Inputs!$C$6)-25)^2)/(4.5^2))+70*EXP(-(((Inputs!$C$6)+38)^2)/(7^2))*(0.55+0.45*SIN(2*PI()*(Model_Data!A194)/45))+24*SIN(2*PI()*(Inputs!$C$6)/9+(Model_Data!A194)/18)*EXP(-(((Inputs!$C$6)+5)^2)/(22^2))+18*SIN(2*PI()*(Model_Data!A194)/70))+Inputs!$C$28*EXP(-(((Model_Data!A194)-Inputs!$C$29)^2)/(2*Inputs!$C$31^2))*EXP(-(((Inputs!$C$6)-Inputs!$C$30)^2)/(2*Inputs!$C$32^2))+-Inputs!$C$33*EXP(-(((((Model_Data!A194)-Inputs!$C$34)^2)+(((Inputs!$C$6)-Inputs!$C$35)^2))/(2*Inputs!$C$36^2)))+Inputs!$C$37*(0.55*SIN(2*PI()*(Model_Data!A194)/Inputs!$C$39)+0.35*COS(2*PI()*(Inputs!$C$6)/Inputs!$C$40)+0.2*SIN(2*PI()*((Model_Data!A194)+(Inputs!$C$6))/(0.5*(Inputs!$C$39+Inputs!$C$40))))+Inputs!$C$38*SIN(2*PI()*(Model_Data!A194)/Inputs!$C$39)*SIN(2*PI()*(Inputs!$C$6)/Inputs!$C$40)+-Inputs!$C$41*EXP(-(((Inputs!$C$6)-Inputs!$C$43)^2)/(2*Inputs!$C$44^2))*EXP(-(((Model_Data!A194)-Inputs!$C$42)^2)/(2*Inputs!$C$45^2))+Inputs!$C$48*(0.7*(0.45*SIN(2*PI()*(((Model_Data!A194)/Inputs!$C$49)+Inputs!$C$47*0.137))+0.35*COS(2*PI()*(((Inputs!$C$6)/Inputs!$C$50)+Inputs!$C$47*0.173))+0.2*SIN(2*PI()*(((Model_Data!A194)+(Inputs!$C$6))/(0.5*(Inputs!$C$49+Inputs!$C$50))+Inputs!$C$47*0.097)))+0.3*(2*((SIN(((Model_Data!A194)*12.9898+(Inputs!$C$6)*78.233+Inputs!$C$47*37.719))*43758.5453)-INT((SIN(((Model_Data!A194)*12.9898+(Inputs!$C$6)*78.233+Inputs!$C$47*37.719))*43758.5453)))-1))))/1000)^2)</f>
        <v>403.57518912671458</v>
      </c>
      <c r="AB194" s="9">
        <f>1000*(AA195-AA193)/(Z195-Z193)*Inputs!$C$11</f>
        <v>548.97164500766849</v>
      </c>
      <c r="AC194" s="9">
        <f>-2*AB194/Inputs!$C$13</f>
        <v>-219.58865800306739</v>
      </c>
      <c r="AD194" s="9">
        <f>-2*AB194/Inputs!$C$14</f>
        <v>-32.971269970430541</v>
      </c>
    </row>
    <row r="195" spans="1:30">
      <c r="A195" s="9">
        <f>Model_Data!A195</f>
        <v>36.5</v>
      </c>
      <c r="B195" s="9">
        <f>((SQRT((Model_Data!A195)^2+Inputs!$C$6^2+Inputs!$C$5^2)-Inputs!$C$5)*1000/Inputs!$C$12)</f>
        <v>1370.2954109397635</v>
      </c>
      <c r="C195" s="9">
        <f>Model_Data!F195</f>
        <v>1365.2735172823614</v>
      </c>
      <c r="D195" s="9">
        <f>(((SQRT((Model_Data!A195)^2+Inputs!$C$6^2+((Model_Data!B195)-((Inputs!$C$51*(115*EXP(-(((Inputs!$C$6)-25)^2)/(4.5^2))+70*EXP(-(((Inputs!$C$6)+38)^2)/(7^2))*(0.55+0.45*SIN(2*PI()*(Model_Data!A195)/45))+24*SIN(2*PI()*(Inputs!$C$6)/9+(Model_Data!A195)/18)*EXP(-(((Inputs!$C$6)+5)^2)/(22^2))+18*SIN(2*PI()*(Model_Data!A195)/70))+Inputs!$C$28*EXP(-(((Model_Data!A195)-Inputs!$C$29)^2)/(2*Inputs!$C$31^2))*EXP(-(((Inputs!$C$6)-Inputs!$C$30)^2)/(2*Inputs!$C$32^2))+-Inputs!$C$33*EXP(-(((((Model_Data!A195)-Inputs!$C$34)^2)+(((Inputs!$C$6)-Inputs!$C$35)^2))/(2*Inputs!$C$36^2)))+Inputs!$C$37*(0.55*SIN(2*PI()*(Model_Data!A195)/Inputs!$C$39)+0.35*COS(2*PI()*(Inputs!$C$6)/Inputs!$C$40)+0.2*SIN(2*PI()*((Model_Data!A195)+(Inputs!$C$6))/(0.5*(Inputs!$C$39+Inputs!$C$40))))+Inputs!$C$38*SIN(2*PI()*(Model_Data!A195)/Inputs!$C$39)*SIN(2*PI()*(Inputs!$C$6)/Inputs!$C$40)+-Inputs!$C$41*EXP(-(((Inputs!$C$6)-Inputs!$C$43)^2)/(2*Inputs!$C$44^2))*EXP(-(((Model_Data!A195)-Inputs!$C$42)^2)/(2*Inputs!$C$45^2))+Inputs!$C$48*(0.7*(0.45*SIN(2*PI()*(((Model_Data!A195)/Inputs!$C$49)+Inputs!$C$47*0.137))+0.35*COS(2*PI()*(((Inputs!$C$6)/Inputs!$C$50)+Inputs!$C$47*0.173))+0.2*SIN(2*PI()*(((Model_Data!A195)+(Inputs!$C$6))/(0.5*(Inputs!$C$49+Inputs!$C$50))+Inputs!$C$47*0.097)))+0.3*(2*((SIN(((Model_Data!A195)*12.9898+(Inputs!$C$6)*78.233+Inputs!$C$47*37.719))*43758.5453)-INT((SIN(((Model_Data!A195)*12.9898+(Inputs!$C$6)*78.233+Inputs!$C$47*37.719))*43758.5453)))-1))))/1000)^2))-(((Model_Data!B195)-((Inputs!$C$51*(115*EXP(-(((0)-25)^2)/(4.5^2))+70*EXP(-(((0)+38)^2)/(7^2))*(0.55+0.45*SIN(2*PI()*(Model_Data!A195)/45))+24*SIN(2*PI()*(0)/9+(Model_Data!A195)/18)*EXP(-(((0)+5)^2)/(22^2))+18*SIN(2*PI()*(Model_Data!A195)/70))+Inputs!$C$28*EXP(-(((Model_Data!A195)-Inputs!$C$29)^2)/(2*Inputs!$C$31^2))*EXP(-(((0)-Inputs!$C$30)^2)/(2*Inputs!$C$32^2))+-Inputs!$C$33*EXP(-(((((Model_Data!A195)-Inputs!$C$34)^2)+(((0)-Inputs!$C$35)^2))/(2*Inputs!$C$36^2)))+Inputs!$C$37*(0.55*SIN(2*PI()*(Model_Data!A195)/Inputs!$C$39)+0.35*COS(2*PI()*(0)/Inputs!$C$40)+0.2*SIN(2*PI()*((Model_Data!A195)+(0))/(0.5*(Inputs!$C$39+Inputs!$C$40))))+Inputs!$C$38*SIN(2*PI()*(Model_Data!A195)/Inputs!$C$39)*SIN(2*PI()*(0)/Inputs!$C$40)+-Inputs!$C$41*EXP(-(((0)-Inputs!$C$43)^2)/(2*Inputs!$C$44^2))*EXP(-(((Model_Data!A195)-Inputs!$C$42)^2)/(2*Inputs!$C$45^2))+Inputs!$C$48*(0.7*(0.45*SIN(2*PI()*(((Model_Data!A195)/Inputs!$C$49)+Inputs!$C$47*0.137))+0.35*COS(2*PI()*(((0)/Inputs!$C$50)+Inputs!$C$47*0.173))+0.2*SIN(2*PI()*(((Model_Data!A195)+(0))/(0.5*(Inputs!$C$49+Inputs!$C$50))+Inputs!$C$47*0.097)))+0.3*(2*((SIN(((Model_Data!A195)*12.9898+(0)*78.233+Inputs!$C$47*37.719))*43758.5453)-INT((SIN(((Model_Data!A195)*12.9898+(0)*78.233+Inputs!$C$47*37.719))*43758.5453)))-1))))/1000)))*1000/Inputs!$C$12)</f>
        <v>1237.3637551977902</v>
      </c>
      <c r="E195" s="9">
        <f>Model_Data!A195</f>
        <v>36.5</v>
      </c>
      <c r="F195" s="9">
        <f>(Inputs!$C$51*(115*EXP(-(((Inputs!$C$6)-25)^2)/(4.5^2))+70*EXP(-(((Inputs!$C$6)+38)^2)/(7^2))*(0.55+0.45*SIN(2*PI()*(Model_Data!A195)/45))+24*SIN(2*PI()*(Inputs!$C$6)/9+(Model_Data!A195)/18)*EXP(-(((Inputs!$C$6)+5)^2)/(22^2))+18*SIN(2*PI()*(Model_Data!A195)/70))+Inputs!$C$28*EXP(-(((Model_Data!A195)-Inputs!$C$29)^2)/(2*Inputs!$C$31^2))*EXP(-(((Inputs!$C$6)-Inputs!$C$30)^2)/(2*Inputs!$C$32^2))+-Inputs!$C$33*EXP(-(((((Model_Data!A195)-Inputs!$C$34)^2)+(((Inputs!$C$6)-Inputs!$C$35)^2))/(2*Inputs!$C$36^2)))+Inputs!$C$37*(0.55*SIN(2*PI()*(Model_Data!A195)/Inputs!$C$39)+0.35*COS(2*PI()*(Inputs!$C$6)/Inputs!$C$40)+0.2*SIN(2*PI()*((Model_Data!A195)+(Inputs!$C$6))/(0.5*(Inputs!$C$39+Inputs!$C$40))))+Inputs!$C$38*SIN(2*PI()*(Model_Data!A195)/Inputs!$C$39)*SIN(2*PI()*(Inputs!$C$6)/Inputs!$C$40)+-Inputs!$C$41*EXP(-(((Inputs!$C$6)-Inputs!$C$43)^2)/(2*Inputs!$C$44^2))*EXP(-(((Model_Data!A195)-Inputs!$C$42)^2)/(2*Inputs!$C$45^2))+Inputs!$C$48*(0.7*(0.45*SIN(2*PI()*(((Model_Data!A195)/Inputs!$C$49)+Inputs!$C$47*0.137))+0.35*COS(2*PI()*(((Inputs!$C$6)/Inputs!$C$50)+Inputs!$C$47*0.173))+0.2*SIN(2*PI()*(((Model_Data!A195)+(Inputs!$C$6))/(0.5*(Inputs!$C$49+Inputs!$C$50))+Inputs!$C$47*0.097)))+0.3*(2*((SIN(((Model_Data!A195)*12.9898+(Inputs!$C$6)*78.233+Inputs!$C$47*37.719))*43758.5453)-INT((SIN(((Model_Data!A195)*12.9898+(Inputs!$C$6)*78.233+Inputs!$C$47*37.719))*43758.5453)))-1)))</f>
        <v>274.31313500223371</v>
      </c>
      <c r="G195" s="9">
        <f>(Inputs!$C$51*(115*EXP(-(((0)-25)^2)/(4.5^2))+70*EXP(-(((0)+38)^2)/(7^2))*(0.55+0.45*SIN(2*PI()*(Model_Data!A195)/45))+24*SIN(2*PI()*(0)/9+(Model_Data!A195)/18)*EXP(-(((0)+5)^2)/(22^2))+18*SIN(2*PI()*(Model_Data!A195)/70))+Inputs!$C$28*EXP(-(((Model_Data!A195)-Inputs!$C$29)^2)/(2*Inputs!$C$31^2))*EXP(-(((0)-Inputs!$C$30)^2)/(2*Inputs!$C$32^2))+-Inputs!$C$33*EXP(-(((((Model_Data!A195)-Inputs!$C$34)^2)+(((0)-Inputs!$C$35)^2))/(2*Inputs!$C$36^2)))+Inputs!$C$37*(0.55*SIN(2*PI()*(Model_Data!A195)/Inputs!$C$39)+0.35*COS(2*PI()*(0)/Inputs!$C$40)+0.2*SIN(2*PI()*((Model_Data!A195)+(0))/(0.5*(Inputs!$C$39+Inputs!$C$40))))+Inputs!$C$38*SIN(2*PI()*(Model_Data!A195)/Inputs!$C$39)*SIN(2*PI()*(0)/Inputs!$C$40)+-Inputs!$C$41*EXP(-(((0)-Inputs!$C$43)^2)/(2*Inputs!$C$44^2))*EXP(-(((Model_Data!A195)-Inputs!$C$42)^2)/(2*Inputs!$C$45^2))+Inputs!$C$48*(0.7*(0.45*SIN(2*PI()*(((Model_Data!A195)/Inputs!$C$49)+Inputs!$C$47*0.137))+0.35*COS(2*PI()*(((0)/Inputs!$C$50)+Inputs!$C$47*0.173))+0.2*SIN(2*PI()*(((Model_Data!A195)+(0))/(0.5*(Inputs!$C$49+Inputs!$C$50))+Inputs!$C$47*0.097)))+0.3*(2*((SIN(((Model_Data!A195)*12.9898+(0)*78.233+Inputs!$C$47*37.719))*43758.5453)-INT((SIN(((Model_Data!A195)*12.9898+(0)*78.233+Inputs!$C$47*37.719))*43758.5453)))-1)))</f>
        <v>44.982194799694888</v>
      </c>
      <c r="H195" s="10"/>
      <c r="I195" s="9">
        <f>Model_Data!A195</f>
        <v>36.5</v>
      </c>
      <c r="J195" s="9">
        <f>(Inputs!$C$51*(115*EXP(-(((Inputs!$C$6)-25)^2)/(4.5^2))+70*EXP(-(((Inputs!$C$6)+38)^2)/(7^2))*(0.55+0.45*SIN(2*PI()*(Model_Data!A195)/45))+24*SIN(2*PI()*(Inputs!$C$6)/9+(Model_Data!A195)/18)*EXP(-(((Inputs!$C$6)+5)^2)/(22^2))+18*SIN(2*PI()*(Model_Data!A195)/70))+Inputs!$C$28*EXP(-(((Model_Data!A195)-Inputs!$C$29)^2)/(2*Inputs!$C$31^2))*EXP(-(((Inputs!$C$6)-Inputs!$C$30)^2)/(2*Inputs!$C$32^2))+-Inputs!$C$33*EXP(-(((((Model_Data!A195)-Inputs!$C$34)^2)+(((Inputs!$C$6)-Inputs!$C$35)^2))/(2*Inputs!$C$36^2)))+Inputs!$C$37*(0.55*SIN(2*PI()*(Model_Data!A195)/Inputs!$C$39)+0.35*COS(2*PI()*(Inputs!$C$6)/Inputs!$C$40)+0.2*SIN(2*PI()*((Model_Data!A195)+(Inputs!$C$6))/(0.5*(Inputs!$C$39+Inputs!$C$40))))+Inputs!$C$38*SIN(2*PI()*(Model_Data!A195)/Inputs!$C$39)*SIN(2*PI()*(Inputs!$C$6)/Inputs!$C$40)+-Inputs!$C$41*EXP(-(((Inputs!$C$6)-Inputs!$C$43)^2)/(2*Inputs!$C$44^2))*EXP(-(((Model_Data!A195)-Inputs!$C$42)^2)/(2*Inputs!$C$45^2))+Inputs!$C$48*(0.7*(0.45*SIN(2*PI()*(((Model_Data!A195)/Inputs!$C$49)+Inputs!$C$47*0.137))+0.35*COS(2*PI()*(((Inputs!$C$6)/Inputs!$C$50)+Inputs!$C$47*0.173))+0.2*SIN(2*PI()*(((Model_Data!A195)+(Inputs!$C$6))/(0.5*(Inputs!$C$49+Inputs!$C$50))+Inputs!$C$47*0.097)))+0.3*(2*((SIN(((Model_Data!A195)*12.9898+(Inputs!$C$6)*78.233+Inputs!$C$47*37.719))*43758.5453)-INT((SIN(((Model_Data!A195)*12.9898+(Inputs!$C$6)*78.233+Inputs!$C$47*37.719))*43758.5453)))-1)))</f>
        <v>274.31313500223371</v>
      </c>
      <c r="K195" s="9">
        <f>-((((SQRT((Model_Data!A195)^2+Inputs!$C$6^2+((Model_Data!B195)-((Inputs!$C$51*(115*EXP(-(((Inputs!$C$6)-25)^2)/(4.5^2))+70*EXP(-(((Inputs!$C$6)+38)^2)/(7^2))*(0.55+0.45*SIN(2*PI()*(Model_Data!A195)/45))+24*SIN(2*PI()*(Inputs!$C$6)/9+(Model_Data!A195)/18)*EXP(-(((Inputs!$C$6)+5)^2)/(22^2))+18*SIN(2*PI()*(Model_Data!A195)/70))+Inputs!$C$28*EXP(-(((Model_Data!A195)-Inputs!$C$29)^2)/(2*Inputs!$C$31^2))*EXP(-(((Inputs!$C$6)-Inputs!$C$30)^2)/(2*Inputs!$C$32^2))+-Inputs!$C$33*EXP(-(((((Model_Data!A195)-Inputs!$C$34)^2)+(((Inputs!$C$6)-Inputs!$C$35)^2))/(2*Inputs!$C$36^2)))+Inputs!$C$37*(0.55*SIN(2*PI()*(Model_Data!A195)/Inputs!$C$39)+0.35*COS(2*PI()*(Inputs!$C$6)/Inputs!$C$40)+0.2*SIN(2*PI()*((Model_Data!A195)+(Inputs!$C$6))/(0.5*(Inputs!$C$39+Inputs!$C$40))))+Inputs!$C$38*SIN(2*PI()*(Model_Data!A195)/Inputs!$C$39)*SIN(2*PI()*(Inputs!$C$6)/Inputs!$C$40)+-Inputs!$C$41*EXP(-(((Inputs!$C$6)-Inputs!$C$43)^2)/(2*Inputs!$C$44^2))*EXP(-(((Model_Data!A195)-Inputs!$C$42)^2)/(2*Inputs!$C$45^2))+Inputs!$C$48*(0.7*(0.45*SIN(2*PI()*(((Model_Data!A195)/Inputs!$C$49)+Inputs!$C$47*0.137))+0.35*COS(2*PI()*(((Inputs!$C$6)/Inputs!$C$50)+Inputs!$C$47*0.173))+0.2*SIN(2*PI()*(((Model_Data!A195)+(Inputs!$C$6))/(0.5*(Inputs!$C$49+Inputs!$C$50))+Inputs!$C$47*0.097)))+0.3*(2*((SIN(((Model_Data!A195)*12.9898+(Inputs!$C$6)*78.233+Inputs!$C$47*37.719))*43758.5453)-INT((SIN(((Model_Data!A195)*12.9898+(Inputs!$C$6)*78.233+Inputs!$C$47*37.719))*43758.5453)))-1))))/1000)^2))-(((Model_Data!B195)-((Inputs!$C$51*(115*EXP(-(((0)-25)^2)/(4.5^2))+70*EXP(-(((0)+38)^2)/(7^2))*(0.55+0.45*SIN(2*PI()*(Model_Data!A195)/45))+24*SIN(2*PI()*(0)/9+(Model_Data!A195)/18)*EXP(-(((0)+5)^2)/(22^2))+18*SIN(2*PI()*(Model_Data!A195)/70))+Inputs!$C$28*EXP(-(((Model_Data!A195)-Inputs!$C$29)^2)/(2*Inputs!$C$31^2))*EXP(-(((0)-Inputs!$C$30)^2)/(2*Inputs!$C$32^2))+-Inputs!$C$33*EXP(-(((((Model_Data!A195)-Inputs!$C$34)^2)+(((0)-Inputs!$C$35)^2))/(2*Inputs!$C$36^2)))+Inputs!$C$37*(0.55*SIN(2*PI()*(Model_Data!A195)/Inputs!$C$39)+0.35*COS(2*PI()*(0)/Inputs!$C$40)+0.2*SIN(2*PI()*((Model_Data!A195)+(0))/(0.5*(Inputs!$C$39+Inputs!$C$40))))+Inputs!$C$38*SIN(2*PI()*(Model_Data!A195)/Inputs!$C$39)*SIN(2*PI()*(0)/Inputs!$C$40)+-Inputs!$C$41*EXP(-(((0)-Inputs!$C$43)^2)/(2*Inputs!$C$44^2))*EXP(-(((Model_Data!A195)-Inputs!$C$42)^2)/(2*Inputs!$C$45^2))+Inputs!$C$48*(0.7*(0.45*SIN(2*PI()*(((Model_Data!A195)/Inputs!$C$49)+Inputs!$C$47*0.137))+0.35*COS(2*PI()*(((0)/Inputs!$C$50)+Inputs!$C$47*0.173))+0.2*SIN(2*PI()*(((Model_Data!A195)+(0))/(0.5*(Inputs!$C$49+Inputs!$C$50))+Inputs!$C$47*0.097)))+0.3*(2*((SIN(((Model_Data!A195)*12.9898+(0)*78.233+Inputs!$C$47*37.719))*43758.5453)-INT((SIN(((Model_Data!A195)*12.9898+(0)*78.233+Inputs!$C$47*37.719))*43758.5453)))-1))))/1000)))*1000/Inputs!$C$12)-Model_Data!F195)</f>
        <v>127.90976208457118</v>
      </c>
      <c r="L195" s="10"/>
      <c r="M195" s="9">
        <f>Model_Data!A195</f>
        <v>36.5</v>
      </c>
      <c r="N195" s="9">
        <f>Model_Data!P195</f>
        <v>-273.5834496650001</v>
      </c>
      <c r="O195" s="9">
        <f t="shared" si="6"/>
        <v>-233.24638782560214</v>
      </c>
      <c r="P195" s="9">
        <f>Model_Data!Q195</f>
        <v>-41.07859604579582</v>
      </c>
      <c r="Q195" s="9">
        <f t="shared" si="7"/>
        <v>-35.021980153994321</v>
      </c>
      <c r="R195" s="10"/>
      <c r="S195" s="9">
        <f>Model_Data!A195</f>
        <v>36.5</v>
      </c>
      <c r="T195" s="9">
        <f>Model_Data!B195-Inputs!$C$5</f>
        <v>1.4802777777777578</v>
      </c>
      <c r="U195" s="10"/>
      <c r="V195" s="9">
        <f>Model_Data!A195</f>
        <v>36.5</v>
      </c>
      <c r="W195" s="9">
        <f>((SQRT((Model_Data!A195)^2+Inputs!$C$6^2+Inputs!$C$5^2)-Inputs!$C$5)*1000/Inputs!$C$12)</f>
        <v>1370.2954109397635</v>
      </c>
      <c r="X195" s="9">
        <f>Model_Data!F195</f>
        <v>1365.2735172823614</v>
      </c>
      <c r="Y195" s="10"/>
      <c r="Z195" s="9">
        <f>Model_Data!A195</f>
        <v>36.5</v>
      </c>
      <c r="AA195" s="9">
        <f>SQRT((Model_Data!A195)^2+Inputs!$C$6^2+((Model_Data!B195)-((Inputs!$C$51*(115*EXP(-(((Inputs!$C$6)-25)^2)/(4.5^2))+70*EXP(-(((Inputs!$C$6)+38)^2)/(7^2))*(0.55+0.45*SIN(2*PI()*(Model_Data!A195)/45))+24*SIN(2*PI()*(Inputs!$C$6)/9+(Model_Data!A195)/18)*EXP(-(((Inputs!$C$6)+5)^2)/(22^2))+18*SIN(2*PI()*(Model_Data!A195)/70))+Inputs!$C$28*EXP(-(((Model_Data!A195)-Inputs!$C$29)^2)/(2*Inputs!$C$31^2))*EXP(-(((Inputs!$C$6)-Inputs!$C$30)^2)/(2*Inputs!$C$32^2))+-Inputs!$C$33*EXP(-(((((Model_Data!A195)-Inputs!$C$34)^2)+(((Inputs!$C$6)-Inputs!$C$35)^2))/(2*Inputs!$C$36^2)))+Inputs!$C$37*(0.55*SIN(2*PI()*(Model_Data!A195)/Inputs!$C$39)+0.35*COS(2*PI()*(Inputs!$C$6)/Inputs!$C$40)+0.2*SIN(2*PI()*((Model_Data!A195)+(Inputs!$C$6))/(0.5*(Inputs!$C$39+Inputs!$C$40))))+Inputs!$C$38*SIN(2*PI()*(Model_Data!A195)/Inputs!$C$39)*SIN(2*PI()*(Inputs!$C$6)/Inputs!$C$40)+-Inputs!$C$41*EXP(-(((Inputs!$C$6)-Inputs!$C$43)^2)/(2*Inputs!$C$44^2))*EXP(-(((Model_Data!A195)-Inputs!$C$42)^2)/(2*Inputs!$C$45^2))+Inputs!$C$48*(0.7*(0.45*SIN(2*PI()*(((Model_Data!A195)/Inputs!$C$49)+Inputs!$C$47*0.137))+0.35*COS(2*PI()*(((Inputs!$C$6)/Inputs!$C$50)+Inputs!$C$47*0.173))+0.2*SIN(2*PI()*(((Model_Data!A195)+(Inputs!$C$6))/(0.5*(Inputs!$C$49+Inputs!$C$50))+Inputs!$C$47*0.097)))+0.3*(2*((SIN(((Model_Data!A195)*12.9898+(Inputs!$C$6)*78.233+Inputs!$C$47*37.719))*43758.5453)-INT((SIN(((Model_Data!A195)*12.9898+(Inputs!$C$6)*78.233+Inputs!$C$47*37.719))*43758.5453)))-1))))/1000)^2)</f>
        <v>403.63780306723015</v>
      </c>
      <c r="AB195" s="9">
        <f>1000*(AA196-AA194)/(Z196-Z194)*Inputs!$C$11</f>
        <v>583.11596956400535</v>
      </c>
      <c r="AC195" s="9">
        <f>-2*AB195/Inputs!$C$13</f>
        <v>-233.24638782560214</v>
      </c>
      <c r="AD195" s="9">
        <f>-2*AB195/Inputs!$C$14</f>
        <v>-35.021980153994321</v>
      </c>
    </row>
    <row r="196" spans="1:30">
      <c r="A196" s="9">
        <f>Model_Data!A196</f>
        <v>37</v>
      </c>
      <c r="B196" s="9">
        <f>((SQRT((Model_Data!A196)^2+Inputs!$C$6^2+Inputs!$C$5^2)-Inputs!$C$5)*1000/Inputs!$C$12)</f>
        <v>1395.9451241693491</v>
      </c>
      <c r="C196" s="9">
        <f>Model_Data!F196</f>
        <v>1390.6892299877491</v>
      </c>
      <c r="D196" s="9">
        <f>(((SQRT((Model_Data!A196)^2+Inputs!$C$6^2+((Model_Data!B196)-((Inputs!$C$51*(115*EXP(-(((Inputs!$C$6)-25)^2)/(4.5^2))+70*EXP(-(((Inputs!$C$6)+38)^2)/(7^2))*(0.55+0.45*SIN(2*PI()*(Model_Data!A196)/45))+24*SIN(2*PI()*(Inputs!$C$6)/9+(Model_Data!A196)/18)*EXP(-(((Inputs!$C$6)+5)^2)/(22^2))+18*SIN(2*PI()*(Model_Data!A196)/70))+Inputs!$C$28*EXP(-(((Model_Data!A196)-Inputs!$C$29)^2)/(2*Inputs!$C$31^2))*EXP(-(((Inputs!$C$6)-Inputs!$C$30)^2)/(2*Inputs!$C$32^2))+-Inputs!$C$33*EXP(-(((((Model_Data!A196)-Inputs!$C$34)^2)+(((Inputs!$C$6)-Inputs!$C$35)^2))/(2*Inputs!$C$36^2)))+Inputs!$C$37*(0.55*SIN(2*PI()*(Model_Data!A196)/Inputs!$C$39)+0.35*COS(2*PI()*(Inputs!$C$6)/Inputs!$C$40)+0.2*SIN(2*PI()*((Model_Data!A196)+(Inputs!$C$6))/(0.5*(Inputs!$C$39+Inputs!$C$40))))+Inputs!$C$38*SIN(2*PI()*(Model_Data!A196)/Inputs!$C$39)*SIN(2*PI()*(Inputs!$C$6)/Inputs!$C$40)+-Inputs!$C$41*EXP(-(((Inputs!$C$6)-Inputs!$C$43)^2)/(2*Inputs!$C$44^2))*EXP(-(((Model_Data!A196)-Inputs!$C$42)^2)/(2*Inputs!$C$45^2))+Inputs!$C$48*(0.7*(0.45*SIN(2*PI()*(((Model_Data!A196)/Inputs!$C$49)+Inputs!$C$47*0.137))+0.35*COS(2*PI()*(((Inputs!$C$6)/Inputs!$C$50)+Inputs!$C$47*0.173))+0.2*SIN(2*PI()*(((Model_Data!A196)+(Inputs!$C$6))/(0.5*(Inputs!$C$49+Inputs!$C$50))+Inputs!$C$47*0.097)))+0.3*(2*((SIN(((Model_Data!A196)*12.9898+(Inputs!$C$6)*78.233+Inputs!$C$47*37.719))*43758.5453)-INT((SIN(((Model_Data!A196)*12.9898+(Inputs!$C$6)*78.233+Inputs!$C$47*37.719))*43758.5453)))-1))))/1000)^2))-(((Model_Data!B196)-((Inputs!$C$51*(115*EXP(-(((0)-25)^2)/(4.5^2))+70*EXP(-(((0)+38)^2)/(7^2))*(0.55+0.45*SIN(2*PI()*(Model_Data!A196)/45))+24*SIN(2*PI()*(0)/9+(Model_Data!A196)/18)*EXP(-(((0)+5)^2)/(22^2))+18*SIN(2*PI()*(Model_Data!A196)/70))+Inputs!$C$28*EXP(-(((Model_Data!A196)-Inputs!$C$29)^2)/(2*Inputs!$C$31^2))*EXP(-(((0)-Inputs!$C$30)^2)/(2*Inputs!$C$32^2))+-Inputs!$C$33*EXP(-(((((Model_Data!A196)-Inputs!$C$34)^2)+(((0)-Inputs!$C$35)^2))/(2*Inputs!$C$36^2)))+Inputs!$C$37*(0.55*SIN(2*PI()*(Model_Data!A196)/Inputs!$C$39)+0.35*COS(2*PI()*(0)/Inputs!$C$40)+0.2*SIN(2*PI()*((Model_Data!A196)+(0))/(0.5*(Inputs!$C$39+Inputs!$C$40))))+Inputs!$C$38*SIN(2*PI()*(Model_Data!A196)/Inputs!$C$39)*SIN(2*PI()*(0)/Inputs!$C$40)+-Inputs!$C$41*EXP(-(((0)-Inputs!$C$43)^2)/(2*Inputs!$C$44^2))*EXP(-(((Model_Data!A196)-Inputs!$C$42)^2)/(2*Inputs!$C$45^2))+Inputs!$C$48*(0.7*(0.45*SIN(2*PI()*(((Model_Data!A196)/Inputs!$C$49)+Inputs!$C$47*0.137))+0.35*COS(2*PI()*(((0)/Inputs!$C$50)+Inputs!$C$47*0.173))+0.2*SIN(2*PI()*(((Model_Data!A196)+(0))/(0.5*(Inputs!$C$49+Inputs!$C$50))+Inputs!$C$47*0.097)))+0.3*(2*((SIN(((Model_Data!A196)*12.9898+(0)*78.233+Inputs!$C$47*37.719))*43758.5453)-INT((SIN(((Model_Data!A196)*12.9898+(0)*78.233+Inputs!$C$47*37.719))*43758.5453)))-1))))/1000)))*1000/Inputs!$C$12)</f>
        <v>1268.6617955266863</v>
      </c>
      <c r="E196" s="9">
        <f>Model_Data!A196</f>
        <v>37</v>
      </c>
      <c r="F196" s="9">
        <f>(Inputs!$C$51*(115*EXP(-(((Inputs!$C$6)-25)^2)/(4.5^2))+70*EXP(-(((Inputs!$C$6)+38)^2)/(7^2))*(0.55+0.45*SIN(2*PI()*(Model_Data!A196)/45))+24*SIN(2*PI()*(Inputs!$C$6)/9+(Model_Data!A196)/18)*EXP(-(((Inputs!$C$6)+5)^2)/(22^2))+18*SIN(2*PI()*(Model_Data!A196)/70))+Inputs!$C$28*EXP(-(((Model_Data!A196)-Inputs!$C$29)^2)/(2*Inputs!$C$31^2))*EXP(-(((Inputs!$C$6)-Inputs!$C$30)^2)/(2*Inputs!$C$32^2))+-Inputs!$C$33*EXP(-(((((Model_Data!A196)-Inputs!$C$34)^2)+(((Inputs!$C$6)-Inputs!$C$35)^2))/(2*Inputs!$C$36^2)))+Inputs!$C$37*(0.55*SIN(2*PI()*(Model_Data!A196)/Inputs!$C$39)+0.35*COS(2*PI()*(Inputs!$C$6)/Inputs!$C$40)+0.2*SIN(2*PI()*((Model_Data!A196)+(Inputs!$C$6))/(0.5*(Inputs!$C$39+Inputs!$C$40))))+Inputs!$C$38*SIN(2*PI()*(Model_Data!A196)/Inputs!$C$39)*SIN(2*PI()*(Inputs!$C$6)/Inputs!$C$40)+-Inputs!$C$41*EXP(-(((Inputs!$C$6)-Inputs!$C$43)^2)/(2*Inputs!$C$44^2))*EXP(-(((Model_Data!A196)-Inputs!$C$42)^2)/(2*Inputs!$C$45^2))+Inputs!$C$48*(0.7*(0.45*SIN(2*PI()*(((Model_Data!A196)/Inputs!$C$49)+Inputs!$C$47*0.137))+0.35*COS(2*PI()*(((Inputs!$C$6)/Inputs!$C$50)+Inputs!$C$47*0.173))+0.2*SIN(2*PI()*(((Model_Data!A196)+(Inputs!$C$6))/(0.5*(Inputs!$C$49+Inputs!$C$50))+Inputs!$C$47*0.097)))+0.3*(2*((SIN(((Model_Data!A196)*12.9898+(Inputs!$C$6)*78.233+Inputs!$C$47*37.719))*43758.5453)-INT((SIN(((Model_Data!A196)*12.9898+(Inputs!$C$6)*78.233+Inputs!$C$47*37.719))*43758.5453)))-1)))</f>
        <v>277.26991348245565</v>
      </c>
      <c r="G196" s="9">
        <f>(Inputs!$C$51*(115*EXP(-(((0)-25)^2)/(4.5^2))+70*EXP(-(((0)+38)^2)/(7^2))*(0.55+0.45*SIN(2*PI()*(Model_Data!A196)/45))+24*SIN(2*PI()*(0)/9+(Model_Data!A196)/18)*EXP(-(((0)+5)^2)/(22^2))+18*SIN(2*PI()*(Model_Data!A196)/70))+Inputs!$C$28*EXP(-(((Model_Data!A196)-Inputs!$C$29)^2)/(2*Inputs!$C$31^2))*EXP(-(((0)-Inputs!$C$30)^2)/(2*Inputs!$C$32^2))+-Inputs!$C$33*EXP(-(((((Model_Data!A196)-Inputs!$C$34)^2)+(((0)-Inputs!$C$35)^2))/(2*Inputs!$C$36^2)))+Inputs!$C$37*(0.55*SIN(2*PI()*(Model_Data!A196)/Inputs!$C$39)+0.35*COS(2*PI()*(0)/Inputs!$C$40)+0.2*SIN(2*PI()*((Model_Data!A196)+(0))/(0.5*(Inputs!$C$39+Inputs!$C$40))))+Inputs!$C$38*SIN(2*PI()*(Model_Data!A196)/Inputs!$C$39)*SIN(2*PI()*(0)/Inputs!$C$40)+-Inputs!$C$41*EXP(-(((0)-Inputs!$C$43)^2)/(2*Inputs!$C$44^2))*EXP(-(((Model_Data!A196)-Inputs!$C$42)^2)/(2*Inputs!$C$45^2))+Inputs!$C$48*(0.7*(0.45*SIN(2*PI()*(((Model_Data!A196)/Inputs!$C$49)+Inputs!$C$47*0.137))+0.35*COS(2*PI()*(((0)/Inputs!$C$50)+Inputs!$C$47*0.173))+0.2*SIN(2*PI()*(((Model_Data!A196)+(0))/(0.5*(Inputs!$C$49+Inputs!$C$50))+Inputs!$C$47*0.097)))+0.3*(2*((SIN(((Model_Data!A196)*12.9898+(0)*78.233+Inputs!$C$47*37.719))*43758.5453)-INT((SIN(((Model_Data!A196)*12.9898+(0)*78.233+Inputs!$C$47*37.719))*43758.5453)))-1)))</f>
        <v>58.360988043050376</v>
      </c>
      <c r="H196" s="10"/>
      <c r="I196" s="9">
        <f>Model_Data!A196</f>
        <v>37</v>
      </c>
      <c r="J196" s="9">
        <f>(Inputs!$C$51*(115*EXP(-(((Inputs!$C$6)-25)^2)/(4.5^2))+70*EXP(-(((Inputs!$C$6)+38)^2)/(7^2))*(0.55+0.45*SIN(2*PI()*(Model_Data!A196)/45))+24*SIN(2*PI()*(Inputs!$C$6)/9+(Model_Data!A196)/18)*EXP(-(((Inputs!$C$6)+5)^2)/(22^2))+18*SIN(2*PI()*(Model_Data!A196)/70))+Inputs!$C$28*EXP(-(((Model_Data!A196)-Inputs!$C$29)^2)/(2*Inputs!$C$31^2))*EXP(-(((Inputs!$C$6)-Inputs!$C$30)^2)/(2*Inputs!$C$32^2))+-Inputs!$C$33*EXP(-(((((Model_Data!A196)-Inputs!$C$34)^2)+(((Inputs!$C$6)-Inputs!$C$35)^2))/(2*Inputs!$C$36^2)))+Inputs!$C$37*(0.55*SIN(2*PI()*(Model_Data!A196)/Inputs!$C$39)+0.35*COS(2*PI()*(Inputs!$C$6)/Inputs!$C$40)+0.2*SIN(2*PI()*((Model_Data!A196)+(Inputs!$C$6))/(0.5*(Inputs!$C$39+Inputs!$C$40))))+Inputs!$C$38*SIN(2*PI()*(Model_Data!A196)/Inputs!$C$39)*SIN(2*PI()*(Inputs!$C$6)/Inputs!$C$40)+-Inputs!$C$41*EXP(-(((Inputs!$C$6)-Inputs!$C$43)^2)/(2*Inputs!$C$44^2))*EXP(-(((Model_Data!A196)-Inputs!$C$42)^2)/(2*Inputs!$C$45^2))+Inputs!$C$48*(0.7*(0.45*SIN(2*PI()*(((Model_Data!A196)/Inputs!$C$49)+Inputs!$C$47*0.137))+0.35*COS(2*PI()*(((Inputs!$C$6)/Inputs!$C$50)+Inputs!$C$47*0.173))+0.2*SIN(2*PI()*(((Model_Data!A196)+(Inputs!$C$6))/(0.5*(Inputs!$C$49+Inputs!$C$50))+Inputs!$C$47*0.097)))+0.3*(2*((SIN(((Model_Data!A196)*12.9898+(Inputs!$C$6)*78.233+Inputs!$C$47*37.719))*43758.5453)-INT((SIN(((Model_Data!A196)*12.9898+(Inputs!$C$6)*78.233+Inputs!$C$47*37.719))*43758.5453)))-1)))</f>
        <v>277.26991348245565</v>
      </c>
      <c r="K196" s="9">
        <f>-((((SQRT((Model_Data!A196)^2+Inputs!$C$6^2+((Model_Data!B196)-((Inputs!$C$51*(115*EXP(-(((Inputs!$C$6)-25)^2)/(4.5^2))+70*EXP(-(((Inputs!$C$6)+38)^2)/(7^2))*(0.55+0.45*SIN(2*PI()*(Model_Data!A196)/45))+24*SIN(2*PI()*(Inputs!$C$6)/9+(Model_Data!A196)/18)*EXP(-(((Inputs!$C$6)+5)^2)/(22^2))+18*SIN(2*PI()*(Model_Data!A196)/70))+Inputs!$C$28*EXP(-(((Model_Data!A196)-Inputs!$C$29)^2)/(2*Inputs!$C$31^2))*EXP(-(((Inputs!$C$6)-Inputs!$C$30)^2)/(2*Inputs!$C$32^2))+-Inputs!$C$33*EXP(-(((((Model_Data!A196)-Inputs!$C$34)^2)+(((Inputs!$C$6)-Inputs!$C$35)^2))/(2*Inputs!$C$36^2)))+Inputs!$C$37*(0.55*SIN(2*PI()*(Model_Data!A196)/Inputs!$C$39)+0.35*COS(2*PI()*(Inputs!$C$6)/Inputs!$C$40)+0.2*SIN(2*PI()*((Model_Data!A196)+(Inputs!$C$6))/(0.5*(Inputs!$C$39+Inputs!$C$40))))+Inputs!$C$38*SIN(2*PI()*(Model_Data!A196)/Inputs!$C$39)*SIN(2*PI()*(Inputs!$C$6)/Inputs!$C$40)+-Inputs!$C$41*EXP(-(((Inputs!$C$6)-Inputs!$C$43)^2)/(2*Inputs!$C$44^2))*EXP(-(((Model_Data!A196)-Inputs!$C$42)^2)/(2*Inputs!$C$45^2))+Inputs!$C$48*(0.7*(0.45*SIN(2*PI()*(((Model_Data!A196)/Inputs!$C$49)+Inputs!$C$47*0.137))+0.35*COS(2*PI()*(((Inputs!$C$6)/Inputs!$C$50)+Inputs!$C$47*0.173))+0.2*SIN(2*PI()*(((Model_Data!A196)+(Inputs!$C$6))/(0.5*(Inputs!$C$49+Inputs!$C$50))+Inputs!$C$47*0.097)))+0.3*(2*((SIN(((Model_Data!A196)*12.9898+(Inputs!$C$6)*78.233+Inputs!$C$47*37.719))*43758.5453)-INT((SIN(((Model_Data!A196)*12.9898+(Inputs!$C$6)*78.233+Inputs!$C$47*37.719))*43758.5453)))-1))))/1000)^2))-(((Model_Data!B196)-((Inputs!$C$51*(115*EXP(-(((0)-25)^2)/(4.5^2))+70*EXP(-(((0)+38)^2)/(7^2))*(0.55+0.45*SIN(2*PI()*(Model_Data!A196)/45))+24*SIN(2*PI()*(0)/9+(Model_Data!A196)/18)*EXP(-(((0)+5)^2)/(22^2))+18*SIN(2*PI()*(Model_Data!A196)/70))+Inputs!$C$28*EXP(-(((Model_Data!A196)-Inputs!$C$29)^2)/(2*Inputs!$C$31^2))*EXP(-(((0)-Inputs!$C$30)^2)/(2*Inputs!$C$32^2))+-Inputs!$C$33*EXP(-(((((Model_Data!A196)-Inputs!$C$34)^2)+(((0)-Inputs!$C$35)^2))/(2*Inputs!$C$36^2)))+Inputs!$C$37*(0.55*SIN(2*PI()*(Model_Data!A196)/Inputs!$C$39)+0.35*COS(2*PI()*(0)/Inputs!$C$40)+0.2*SIN(2*PI()*((Model_Data!A196)+(0))/(0.5*(Inputs!$C$39+Inputs!$C$40))))+Inputs!$C$38*SIN(2*PI()*(Model_Data!A196)/Inputs!$C$39)*SIN(2*PI()*(0)/Inputs!$C$40)+-Inputs!$C$41*EXP(-(((0)-Inputs!$C$43)^2)/(2*Inputs!$C$44^2))*EXP(-(((Model_Data!A196)-Inputs!$C$42)^2)/(2*Inputs!$C$45^2))+Inputs!$C$48*(0.7*(0.45*SIN(2*PI()*(((Model_Data!A196)/Inputs!$C$49)+Inputs!$C$47*0.137))+0.35*COS(2*PI()*(((0)/Inputs!$C$50)+Inputs!$C$47*0.173))+0.2*SIN(2*PI()*(((Model_Data!A196)+(0))/(0.5*(Inputs!$C$49+Inputs!$C$50))+Inputs!$C$47*0.097)))+0.3*(2*((SIN(((Model_Data!A196)*12.9898+(0)*78.233+Inputs!$C$47*37.719))*43758.5453)-INT((SIN(((Model_Data!A196)*12.9898+(0)*78.233+Inputs!$C$47*37.719))*43758.5453)))-1))))/1000)))*1000/Inputs!$C$12)-Model_Data!F196)</f>
        <v>122.02743446106274</v>
      </c>
      <c r="L196" s="10"/>
      <c r="M196" s="9">
        <f>Model_Data!A196</f>
        <v>37</v>
      </c>
      <c r="N196" s="9">
        <f>Model_Data!P196</f>
        <v>-277.28537826234452</v>
      </c>
      <c r="O196" s="9">
        <f t="shared" si="6"/>
        <v>-267.25278245821755</v>
      </c>
      <c r="P196" s="9">
        <f>Model_Data!Q196</f>
        <v>-41.634441180532214</v>
      </c>
      <c r="Q196" s="9">
        <f t="shared" si="7"/>
        <v>-40.128045414146783</v>
      </c>
      <c r="R196" s="10"/>
      <c r="S196" s="9">
        <f>Model_Data!A196</f>
        <v>37</v>
      </c>
      <c r="T196" s="9">
        <f>Model_Data!B196-Inputs!$C$5</f>
        <v>1.5211111111111109</v>
      </c>
      <c r="U196" s="10"/>
      <c r="V196" s="9">
        <f>Model_Data!A196</f>
        <v>37</v>
      </c>
      <c r="W196" s="9">
        <f>((SQRT((Model_Data!A196)^2+Inputs!$C$6^2+Inputs!$C$5^2)-Inputs!$C$5)*1000/Inputs!$C$12)</f>
        <v>1395.9451241693491</v>
      </c>
      <c r="X196" s="9">
        <f>Model_Data!F196</f>
        <v>1390.6892299877491</v>
      </c>
      <c r="Y196" s="10"/>
      <c r="Z196" s="9">
        <f>Model_Data!A196</f>
        <v>37</v>
      </c>
      <c r="AA196" s="9">
        <f>SQRT((Model_Data!A196)^2+Inputs!$C$6^2+((Model_Data!B196)-((Inputs!$C$51*(115*EXP(-(((Inputs!$C$6)-25)^2)/(4.5^2))+70*EXP(-(((Inputs!$C$6)+38)^2)/(7^2))*(0.55+0.45*SIN(2*PI()*(Model_Data!A196)/45))+24*SIN(2*PI()*(Inputs!$C$6)/9+(Model_Data!A196)/18)*EXP(-(((Inputs!$C$6)+5)^2)/(22^2))+18*SIN(2*PI()*(Model_Data!A196)/70))+Inputs!$C$28*EXP(-(((Model_Data!A196)-Inputs!$C$29)^2)/(2*Inputs!$C$31^2))*EXP(-(((Inputs!$C$6)-Inputs!$C$30)^2)/(2*Inputs!$C$32^2))+-Inputs!$C$33*EXP(-(((((Model_Data!A196)-Inputs!$C$34)^2)+(((Inputs!$C$6)-Inputs!$C$35)^2))/(2*Inputs!$C$36^2)))+Inputs!$C$37*(0.55*SIN(2*PI()*(Model_Data!A196)/Inputs!$C$39)+0.35*COS(2*PI()*(Inputs!$C$6)/Inputs!$C$40)+0.2*SIN(2*PI()*((Model_Data!A196)+(Inputs!$C$6))/(0.5*(Inputs!$C$39+Inputs!$C$40))))+Inputs!$C$38*SIN(2*PI()*(Model_Data!A196)/Inputs!$C$39)*SIN(2*PI()*(Inputs!$C$6)/Inputs!$C$40)+-Inputs!$C$41*EXP(-(((Inputs!$C$6)-Inputs!$C$43)^2)/(2*Inputs!$C$44^2))*EXP(-(((Model_Data!A196)-Inputs!$C$42)^2)/(2*Inputs!$C$45^2))+Inputs!$C$48*(0.7*(0.45*SIN(2*PI()*(((Model_Data!A196)/Inputs!$C$49)+Inputs!$C$47*0.137))+0.35*COS(2*PI()*(((Inputs!$C$6)/Inputs!$C$50)+Inputs!$C$47*0.173))+0.2*SIN(2*PI()*(((Model_Data!A196)+(Inputs!$C$6))/(0.5*(Inputs!$C$49+Inputs!$C$50))+Inputs!$C$47*0.097)))+0.3*(2*((SIN(((Model_Data!A196)*12.9898+(Inputs!$C$6)*78.233+Inputs!$C$47*37.719))*43758.5453)-INT((SIN(((Model_Data!A196)*12.9898+(Inputs!$C$6)*78.233+Inputs!$C$47*37.719))*43758.5453)))-1))))/1000)^2)</f>
        <v>403.72096811910558</v>
      </c>
      <c r="AB196" s="9">
        <f>1000*(AA197-AA195)/(Z197-Z195)*Inputs!$C$11</f>
        <v>668.13195614554388</v>
      </c>
      <c r="AC196" s="9">
        <f>-2*AB196/Inputs!$C$13</f>
        <v>-267.25278245821755</v>
      </c>
      <c r="AD196" s="9">
        <f>-2*AB196/Inputs!$C$14</f>
        <v>-40.128045414146783</v>
      </c>
    </row>
    <row r="197" spans="1:30">
      <c r="A197" s="9">
        <f>Model_Data!A197</f>
        <v>37.5</v>
      </c>
      <c r="B197" s="9">
        <f>((SQRT((Model_Data!A197)^2+Inputs!$C$6^2+Inputs!$C$5^2)-Inputs!$C$5)*1000/Inputs!$C$12)</f>
        <v>1421.9408441659828</v>
      </c>
      <c r="C197" s="9">
        <f>Model_Data!F197</f>
        <v>1416.4425890006503</v>
      </c>
      <c r="D197" s="9">
        <f>(((SQRT((Model_Data!A197)^2+Inputs!$C$6^2+((Model_Data!B197)-((Inputs!$C$51*(115*EXP(-(((Inputs!$C$6)-25)^2)/(4.5^2))+70*EXP(-(((Inputs!$C$6)+38)^2)/(7^2))*(0.55+0.45*SIN(2*PI()*(Model_Data!A197)/45))+24*SIN(2*PI()*(Inputs!$C$6)/9+(Model_Data!A197)/18)*EXP(-(((Inputs!$C$6)+5)^2)/(22^2))+18*SIN(2*PI()*(Model_Data!A197)/70))+Inputs!$C$28*EXP(-(((Model_Data!A197)-Inputs!$C$29)^2)/(2*Inputs!$C$31^2))*EXP(-(((Inputs!$C$6)-Inputs!$C$30)^2)/(2*Inputs!$C$32^2))+-Inputs!$C$33*EXP(-(((((Model_Data!A197)-Inputs!$C$34)^2)+(((Inputs!$C$6)-Inputs!$C$35)^2))/(2*Inputs!$C$36^2)))+Inputs!$C$37*(0.55*SIN(2*PI()*(Model_Data!A197)/Inputs!$C$39)+0.35*COS(2*PI()*(Inputs!$C$6)/Inputs!$C$40)+0.2*SIN(2*PI()*((Model_Data!A197)+(Inputs!$C$6))/(0.5*(Inputs!$C$39+Inputs!$C$40))))+Inputs!$C$38*SIN(2*PI()*(Model_Data!A197)/Inputs!$C$39)*SIN(2*PI()*(Inputs!$C$6)/Inputs!$C$40)+-Inputs!$C$41*EXP(-(((Inputs!$C$6)-Inputs!$C$43)^2)/(2*Inputs!$C$44^2))*EXP(-(((Model_Data!A197)-Inputs!$C$42)^2)/(2*Inputs!$C$45^2))+Inputs!$C$48*(0.7*(0.45*SIN(2*PI()*(((Model_Data!A197)/Inputs!$C$49)+Inputs!$C$47*0.137))+0.35*COS(2*PI()*(((Inputs!$C$6)/Inputs!$C$50)+Inputs!$C$47*0.173))+0.2*SIN(2*PI()*(((Model_Data!A197)+(Inputs!$C$6))/(0.5*(Inputs!$C$49+Inputs!$C$50))+Inputs!$C$47*0.097)))+0.3*(2*((SIN(((Model_Data!A197)*12.9898+(Inputs!$C$6)*78.233+Inputs!$C$47*37.719))*43758.5453)-INT((SIN(((Model_Data!A197)*12.9898+(Inputs!$C$6)*78.233+Inputs!$C$47*37.719))*43758.5453)))-1))))/1000)^2))-(((Model_Data!B197)-((Inputs!$C$51*(115*EXP(-(((0)-25)^2)/(4.5^2))+70*EXP(-(((0)+38)^2)/(7^2))*(0.55+0.45*SIN(2*PI()*(Model_Data!A197)/45))+24*SIN(2*PI()*(0)/9+(Model_Data!A197)/18)*EXP(-(((0)+5)^2)/(22^2))+18*SIN(2*PI()*(Model_Data!A197)/70))+Inputs!$C$28*EXP(-(((Model_Data!A197)-Inputs!$C$29)^2)/(2*Inputs!$C$31^2))*EXP(-(((0)-Inputs!$C$30)^2)/(2*Inputs!$C$32^2))+-Inputs!$C$33*EXP(-(((((Model_Data!A197)-Inputs!$C$34)^2)+(((0)-Inputs!$C$35)^2))/(2*Inputs!$C$36^2)))+Inputs!$C$37*(0.55*SIN(2*PI()*(Model_Data!A197)/Inputs!$C$39)+0.35*COS(2*PI()*(0)/Inputs!$C$40)+0.2*SIN(2*PI()*((Model_Data!A197)+(0))/(0.5*(Inputs!$C$39+Inputs!$C$40))))+Inputs!$C$38*SIN(2*PI()*(Model_Data!A197)/Inputs!$C$39)*SIN(2*PI()*(0)/Inputs!$C$40)+-Inputs!$C$41*EXP(-(((0)-Inputs!$C$43)^2)/(2*Inputs!$C$44^2))*EXP(-(((Model_Data!A197)-Inputs!$C$42)^2)/(2*Inputs!$C$45^2))+Inputs!$C$48*(0.7*(0.45*SIN(2*PI()*(((Model_Data!A197)/Inputs!$C$49)+Inputs!$C$47*0.137))+0.35*COS(2*PI()*(((0)/Inputs!$C$50)+Inputs!$C$47*0.173))+0.2*SIN(2*PI()*(((Model_Data!A197)+(0))/(0.5*(Inputs!$C$49+Inputs!$C$50))+Inputs!$C$47*0.097)))+0.3*(2*((SIN(((Model_Data!A197)*12.9898+(0)*78.233+Inputs!$C$47*37.719))*43758.5453)-INT((SIN(((Model_Data!A197)*12.9898+(0)*78.233+Inputs!$C$47*37.719))*43758.5453)))-1))))/1000)))*1000/Inputs!$C$12)</f>
        <v>1291.2455848374093</v>
      </c>
      <c r="E197" s="9">
        <f>Model_Data!A197</f>
        <v>37.5</v>
      </c>
      <c r="F197" s="9">
        <f>(Inputs!$C$51*(115*EXP(-(((Inputs!$C$6)-25)^2)/(4.5^2))+70*EXP(-(((Inputs!$C$6)+38)^2)/(7^2))*(0.55+0.45*SIN(2*PI()*(Model_Data!A197)/45))+24*SIN(2*PI()*(Inputs!$C$6)/9+(Model_Data!A197)/18)*EXP(-(((Inputs!$C$6)+5)^2)/(22^2))+18*SIN(2*PI()*(Model_Data!A197)/70))+Inputs!$C$28*EXP(-(((Model_Data!A197)-Inputs!$C$29)^2)/(2*Inputs!$C$31^2))*EXP(-(((Inputs!$C$6)-Inputs!$C$30)^2)/(2*Inputs!$C$32^2))+-Inputs!$C$33*EXP(-(((((Model_Data!A197)-Inputs!$C$34)^2)+(((Inputs!$C$6)-Inputs!$C$35)^2))/(2*Inputs!$C$36^2)))+Inputs!$C$37*(0.55*SIN(2*PI()*(Model_Data!A197)/Inputs!$C$39)+0.35*COS(2*PI()*(Inputs!$C$6)/Inputs!$C$40)+0.2*SIN(2*PI()*((Model_Data!A197)+(Inputs!$C$6))/(0.5*(Inputs!$C$39+Inputs!$C$40))))+Inputs!$C$38*SIN(2*PI()*(Model_Data!A197)/Inputs!$C$39)*SIN(2*PI()*(Inputs!$C$6)/Inputs!$C$40)+-Inputs!$C$41*EXP(-(((Inputs!$C$6)-Inputs!$C$43)^2)/(2*Inputs!$C$44^2))*EXP(-(((Model_Data!A197)-Inputs!$C$42)^2)/(2*Inputs!$C$45^2))+Inputs!$C$48*(0.7*(0.45*SIN(2*PI()*(((Model_Data!A197)/Inputs!$C$49)+Inputs!$C$47*0.137))+0.35*COS(2*PI()*(((Inputs!$C$6)/Inputs!$C$50)+Inputs!$C$47*0.173))+0.2*SIN(2*PI()*(((Model_Data!A197)+(Inputs!$C$6))/(0.5*(Inputs!$C$49+Inputs!$C$50))+Inputs!$C$47*0.097)))+0.3*(2*((SIN(((Model_Data!A197)*12.9898+(Inputs!$C$6)*78.233+Inputs!$C$47*37.719))*43758.5453)-INT((SIN(((Model_Data!A197)*12.9898+(Inputs!$C$6)*78.233+Inputs!$C$47*37.719))*43758.5453)))-1)))</f>
        <v>280.68428636923539</v>
      </c>
      <c r="G197" s="9">
        <f>(Inputs!$C$51*(115*EXP(-(((0)-25)^2)/(4.5^2))+70*EXP(-(((0)+38)^2)/(7^2))*(0.55+0.45*SIN(2*PI()*(Model_Data!A197)/45))+24*SIN(2*PI()*(0)/9+(Model_Data!A197)/18)*EXP(-(((0)+5)^2)/(22^2))+18*SIN(2*PI()*(Model_Data!A197)/70))+Inputs!$C$28*EXP(-(((Model_Data!A197)-Inputs!$C$29)^2)/(2*Inputs!$C$31^2))*EXP(-(((0)-Inputs!$C$30)^2)/(2*Inputs!$C$32^2))+-Inputs!$C$33*EXP(-(((((Model_Data!A197)-Inputs!$C$34)^2)+(((0)-Inputs!$C$35)^2))/(2*Inputs!$C$36^2)))+Inputs!$C$37*(0.55*SIN(2*PI()*(Model_Data!A197)/Inputs!$C$39)+0.35*COS(2*PI()*(0)/Inputs!$C$40)+0.2*SIN(2*PI()*((Model_Data!A197)+(0))/(0.5*(Inputs!$C$39+Inputs!$C$40))))+Inputs!$C$38*SIN(2*PI()*(Model_Data!A197)/Inputs!$C$39)*SIN(2*PI()*(0)/Inputs!$C$40)+-Inputs!$C$41*EXP(-(((0)-Inputs!$C$43)^2)/(2*Inputs!$C$44^2))*EXP(-(((Model_Data!A197)-Inputs!$C$42)^2)/(2*Inputs!$C$45^2))+Inputs!$C$48*(0.7*(0.45*SIN(2*PI()*(((Model_Data!A197)/Inputs!$C$49)+Inputs!$C$47*0.137))+0.35*COS(2*PI()*(((0)/Inputs!$C$50)+Inputs!$C$47*0.173))+0.2*SIN(2*PI()*(((Model_Data!A197)+(0))/(0.5*(Inputs!$C$49+Inputs!$C$50))+Inputs!$C$47*0.097)))+0.3*(2*((SIN(((Model_Data!A197)*12.9898+(0)*78.233+Inputs!$C$47*37.719))*43758.5453)-INT((SIN(((Model_Data!A197)*12.9898+(0)*78.233+Inputs!$C$47*37.719))*43758.5453)))-1)))</f>
        <v>56.081084744036659</v>
      </c>
      <c r="H197" s="10"/>
      <c r="I197" s="9">
        <f>Model_Data!A197</f>
        <v>37.5</v>
      </c>
      <c r="J197" s="9">
        <f>(Inputs!$C$51*(115*EXP(-(((Inputs!$C$6)-25)^2)/(4.5^2))+70*EXP(-(((Inputs!$C$6)+38)^2)/(7^2))*(0.55+0.45*SIN(2*PI()*(Model_Data!A197)/45))+24*SIN(2*PI()*(Inputs!$C$6)/9+(Model_Data!A197)/18)*EXP(-(((Inputs!$C$6)+5)^2)/(22^2))+18*SIN(2*PI()*(Model_Data!A197)/70))+Inputs!$C$28*EXP(-(((Model_Data!A197)-Inputs!$C$29)^2)/(2*Inputs!$C$31^2))*EXP(-(((Inputs!$C$6)-Inputs!$C$30)^2)/(2*Inputs!$C$32^2))+-Inputs!$C$33*EXP(-(((((Model_Data!A197)-Inputs!$C$34)^2)+(((Inputs!$C$6)-Inputs!$C$35)^2))/(2*Inputs!$C$36^2)))+Inputs!$C$37*(0.55*SIN(2*PI()*(Model_Data!A197)/Inputs!$C$39)+0.35*COS(2*PI()*(Inputs!$C$6)/Inputs!$C$40)+0.2*SIN(2*PI()*((Model_Data!A197)+(Inputs!$C$6))/(0.5*(Inputs!$C$39+Inputs!$C$40))))+Inputs!$C$38*SIN(2*PI()*(Model_Data!A197)/Inputs!$C$39)*SIN(2*PI()*(Inputs!$C$6)/Inputs!$C$40)+-Inputs!$C$41*EXP(-(((Inputs!$C$6)-Inputs!$C$43)^2)/(2*Inputs!$C$44^2))*EXP(-(((Model_Data!A197)-Inputs!$C$42)^2)/(2*Inputs!$C$45^2))+Inputs!$C$48*(0.7*(0.45*SIN(2*PI()*(((Model_Data!A197)/Inputs!$C$49)+Inputs!$C$47*0.137))+0.35*COS(2*PI()*(((Inputs!$C$6)/Inputs!$C$50)+Inputs!$C$47*0.173))+0.2*SIN(2*PI()*(((Model_Data!A197)+(Inputs!$C$6))/(0.5*(Inputs!$C$49+Inputs!$C$50))+Inputs!$C$47*0.097)))+0.3*(2*((SIN(((Model_Data!A197)*12.9898+(Inputs!$C$6)*78.233+Inputs!$C$47*37.719))*43758.5453)-INT((SIN(((Model_Data!A197)*12.9898+(Inputs!$C$6)*78.233+Inputs!$C$47*37.719))*43758.5453)))-1)))</f>
        <v>280.68428636923539</v>
      </c>
      <c r="K197" s="9">
        <f>-((((SQRT((Model_Data!A197)^2+Inputs!$C$6^2+((Model_Data!B197)-((Inputs!$C$51*(115*EXP(-(((Inputs!$C$6)-25)^2)/(4.5^2))+70*EXP(-(((Inputs!$C$6)+38)^2)/(7^2))*(0.55+0.45*SIN(2*PI()*(Model_Data!A197)/45))+24*SIN(2*PI()*(Inputs!$C$6)/9+(Model_Data!A197)/18)*EXP(-(((Inputs!$C$6)+5)^2)/(22^2))+18*SIN(2*PI()*(Model_Data!A197)/70))+Inputs!$C$28*EXP(-(((Model_Data!A197)-Inputs!$C$29)^2)/(2*Inputs!$C$31^2))*EXP(-(((Inputs!$C$6)-Inputs!$C$30)^2)/(2*Inputs!$C$32^2))+-Inputs!$C$33*EXP(-(((((Model_Data!A197)-Inputs!$C$34)^2)+(((Inputs!$C$6)-Inputs!$C$35)^2))/(2*Inputs!$C$36^2)))+Inputs!$C$37*(0.55*SIN(2*PI()*(Model_Data!A197)/Inputs!$C$39)+0.35*COS(2*PI()*(Inputs!$C$6)/Inputs!$C$40)+0.2*SIN(2*PI()*((Model_Data!A197)+(Inputs!$C$6))/(0.5*(Inputs!$C$39+Inputs!$C$40))))+Inputs!$C$38*SIN(2*PI()*(Model_Data!A197)/Inputs!$C$39)*SIN(2*PI()*(Inputs!$C$6)/Inputs!$C$40)+-Inputs!$C$41*EXP(-(((Inputs!$C$6)-Inputs!$C$43)^2)/(2*Inputs!$C$44^2))*EXP(-(((Model_Data!A197)-Inputs!$C$42)^2)/(2*Inputs!$C$45^2))+Inputs!$C$48*(0.7*(0.45*SIN(2*PI()*(((Model_Data!A197)/Inputs!$C$49)+Inputs!$C$47*0.137))+0.35*COS(2*PI()*(((Inputs!$C$6)/Inputs!$C$50)+Inputs!$C$47*0.173))+0.2*SIN(2*PI()*(((Model_Data!A197)+(Inputs!$C$6))/(0.5*(Inputs!$C$49+Inputs!$C$50))+Inputs!$C$47*0.097)))+0.3*(2*((SIN(((Model_Data!A197)*12.9898+(Inputs!$C$6)*78.233+Inputs!$C$47*37.719))*43758.5453)-INT((SIN(((Model_Data!A197)*12.9898+(Inputs!$C$6)*78.233+Inputs!$C$47*37.719))*43758.5453)))-1))))/1000)^2))-(((Model_Data!B197)-((Inputs!$C$51*(115*EXP(-(((0)-25)^2)/(4.5^2))+70*EXP(-(((0)+38)^2)/(7^2))*(0.55+0.45*SIN(2*PI()*(Model_Data!A197)/45))+24*SIN(2*PI()*(0)/9+(Model_Data!A197)/18)*EXP(-(((0)+5)^2)/(22^2))+18*SIN(2*PI()*(Model_Data!A197)/70))+Inputs!$C$28*EXP(-(((Model_Data!A197)-Inputs!$C$29)^2)/(2*Inputs!$C$31^2))*EXP(-(((0)-Inputs!$C$30)^2)/(2*Inputs!$C$32^2))+-Inputs!$C$33*EXP(-(((((Model_Data!A197)-Inputs!$C$34)^2)+(((0)-Inputs!$C$35)^2))/(2*Inputs!$C$36^2)))+Inputs!$C$37*(0.55*SIN(2*PI()*(Model_Data!A197)/Inputs!$C$39)+0.35*COS(2*PI()*(0)/Inputs!$C$40)+0.2*SIN(2*PI()*((Model_Data!A197)+(0))/(0.5*(Inputs!$C$39+Inputs!$C$40))))+Inputs!$C$38*SIN(2*PI()*(Model_Data!A197)/Inputs!$C$39)*SIN(2*PI()*(0)/Inputs!$C$40)+-Inputs!$C$41*EXP(-(((0)-Inputs!$C$43)^2)/(2*Inputs!$C$44^2))*EXP(-(((Model_Data!A197)-Inputs!$C$42)^2)/(2*Inputs!$C$45^2))+Inputs!$C$48*(0.7*(0.45*SIN(2*PI()*(((Model_Data!A197)/Inputs!$C$49)+Inputs!$C$47*0.137))+0.35*COS(2*PI()*(((0)/Inputs!$C$50)+Inputs!$C$47*0.173))+0.2*SIN(2*PI()*(((Model_Data!A197)+(0))/(0.5*(Inputs!$C$49+Inputs!$C$50))+Inputs!$C$47*0.097)))+0.3*(2*((SIN(((Model_Data!A197)*12.9898+(0)*78.233+Inputs!$C$47*37.719))*43758.5453)-INT((SIN(((Model_Data!A197)*12.9898+(0)*78.233+Inputs!$C$47*37.719))*43758.5453)))-1))))/1000)))*1000/Inputs!$C$12)-Model_Data!F197)</f>
        <v>125.19700416324099</v>
      </c>
      <c r="L197" s="10"/>
      <c r="M197" s="9">
        <f>Model_Data!A197</f>
        <v>37.5</v>
      </c>
      <c r="N197" s="9">
        <f>Model_Data!P197</f>
        <v>-280.98546814307457</v>
      </c>
      <c r="O197" s="9">
        <f t="shared" si="6"/>
        <v>-272.97430029739189</v>
      </c>
      <c r="P197" s="9">
        <f>Model_Data!Q197</f>
        <v>-42.190010231692881</v>
      </c>
      <c r="Q197" s="9">
        <f t="shared" si="7"/>
        <v>-40.987132176785572</v>
      </c>
      <c r="R197" s="10"/>
      <c r="S197" s="9">
        <f>Model_Data!A197</f>
        <v>37.5</v>
      </c>
      <c r="T197" s="9">
        <f>Model_Data!B197-Inputs!$C$5</f>
        <v>1.5625</v>
      </c>
      <c r="U197" s="10"/>
      <c r="V197" s="9">
        <f>Model_Data!A197</f>
        <v>37.5</v>
      </c>
      <c r="W197" s="9">
        <f>((SQRT((Model_Data!A197)^2+Inputs!$C$6^2+Inputs!$C$5^2)-Inputs!$C$5)*1000/Inputs!$C$12)</f>
        <v>1421.9408441659828</v>
      </c>
      <c r="X197" s="9">
        <f>Model_Data!F197</f>
        <v>1416.4425890006503</v>
      </c>
      <c r="Y197" s="10"/>
      <c r="Z197" s="9">
        <f>Model_Data!A197</f>
        <v>37.5</v>
      </c>
      <c r="AA197" s="9">
        <f>SQRT((Model_Data!A197)^2+Inputs!$C$6^2+((Model_Data!B197)-((Inputs!$C$51*(115*EXP(-(((Inputs!$C$6)-25)^2)/(4.5^2))+70*EXP(-(((Inputs!$C$6)+38)^2)/(7^2))*(0.55+0.45*SIN(2*PI()*(Model_Data!A197)/45))+24*SIN(2*PI()*(Inputs!$C$6)/9+(Model_Data!A197)/18)*EXP(-(((Inputs!$C$6)+5)^2)/(22^2))+18*SIN(2*PI()*(Model_Data!A197)/70))+Inputs!$C$28*EXP(-(((Model_Data!A197)-Inputs!$C$29)^2)/(2*Inputs!$C$31^2))*EXP(-(((Inputs!$C$6)-Inputs!$C$30)^2)/(2*Inputs!$C$32^2))+-Inputs!$C$33*EXP(-(((((Model_Data!A197)-Inputs!$C$34)^2)+(((Inputs!$C$6)-Inputs!$C$35)^2))/(2*Inputs!$C$36^2)))+Inputs!$C$37*(0.55*SIN(2*PI()*(Model_Data!A197)/Inputs!$C$39)+0.35*COS(2*PI()*(Inputs!$C$6)/Inputs!$C$40)+0.2*SIN(2*PI()*((Model_Data!A197)+(Inputs!$C$6))/(0.5*(Inputs!$C$39+Inputs!$C$40))))+Inputs!$C$38*SIN(2*PI()*(Model_Data!A197)/Inputs!$C$39)*SIN(2*PI()*(Inputs!$C$6)/Inputs!$C$40)+-Inputs!$C$41*EXP(-(((Inputs!$C$6)-Inputs!$C$43)^2)/(2*Inputs!$C$44^2))*EXP(-(((Model_Data!A197)-Inputs!$C$42)^2)/(2*Inputs!$C$45^2))+Inputs!$C$48*(0.7*(0.45*SIN(2*PI()*(((Model_Data!A197)/Inputs!$C$49)+Inputs!$C$47*0.137))+0.35*COS(2*PI()*(((Inputs!$C$6)/Inputs!$C$50)+Inputs!$C$47*0.173))+0.2*SIN(2*PI()*(((Model_Data!A197)+(Inputs!$C$6))/(0.5*(Inputs!$C$49+Inputs!$C$50))+Inputs!$C$47*0.097)))+0.3*(2*((SIN(((Model_Data!A197)*12.9898+(Inputs!$C$6)*78.233+Inputs!$C$47*37.719))*43758.5453)-INT((SIN(((Model_Data!A197)*12.9898+(Inputs!$C$6)*78.233+Inputs!$C$47*37.719))*43758.5453)))-1))))/1000)^2)</f>
        <v>403.80483605626654</v>
      </c>
      <c r="AB197" s="9">
        <f>1000*(AA198-AA196)/(Z198-Z196)*Inputs!$C$11</f>
        <v>682.43575074347973</v>
      </c>
      <c r="AC197" s="9">
        <f>-2*AB197/Inputs!$C$13</f>
        <v>-272.97430029739189</v>
      </c>
      <c r="AD197" s="9">
        <f>-2*AB197/Inputs!$C$14</f>
        <v>-40.987132176785572</v>
      </c>
    </row>
    <row r="198" spans="1:30">
      <c r="A198" s="9">
        <f>Model_Data!A198</f>
        <v>38</v>
      </c>
      <c r="B198" s="9">
        <f>((SQRT((Model_Data!A198)^2+Inputs!$C$6^2+Inputs!$C$5^2)-Inputs!$C$5)*1000/Inputs!$C$12)</f>
        <v>1448.2824516194801</v>
      </c>
      <c r="C198" s="9">
        <f>Model_Data!F198</f>
        <v>1442.533269506944</v>
      </c>
      <c r="D198" s="9">
        <f>(((SQRT((Model_Data!A198)^2+Inputs!$C$6^2+((Model_Data!B198)-((Inputs!$C$51*(115*EXP(-(((Inputs!$C$6)-25)^2)/(4.5^2))+70*EXP(-(((Inputs!$C$6)+38)^2)/(7^2))*(0.55+0.45*SIN(2*PI()*(Model_Data!A198)/45))+24*SIN(2*PI()*(Inputs!$C$6)/9+(Model_Data!A198)/18)*EXP(-(((Inputs!$C$6)+5)^2)/(22^2))+18*SIN(2*PI()*(Model_Data!A198)/70))+Inputs!$C$28*EXP(-(((Model_Data!A198)-Inputs!$C$29)^2)/(2*Inputs!$C$31^2))*EXP(-(((Inputs!$C$6)-Inputs!$C$30)^2)/(2*Inputs!$C$32^2))+-Inputs!$C$33*EXP(-(((((Model_Data!A198)-Inputs!$C$34)^2)+(((Inputs!$C$6)-Inputs!$C$35)^2))/(2*Inputs!$C$36^2)))+Inputs!$C$37*(0.55*SIN(2*PI()*(Model_Data!A198)/Inputs!$C$39)+0.35*COS(2*PI()*(Inputs!$C$6)/Inputs!$C$40)+0.2*SIN(2*PI()*((Model_Data!A198)+(Inputs!$C$6))/(0.5*(Inputs!$C$39+Inputs!$C$40))))+Inputs!$C$38*SIN(2*PI()*(Model_Data!A198)/Inputs!$C$39)*SIN(2*PI()*(Inputs!$C$6)/Inputs!$C$40)+-Inputs!$C$41*EXP(-(((Inputs!$C$6)-Inputs!$C$43)^2)/(2*Inputs!$C$44^2))*EXP(-(((Model_Data!A198)-Inputs!$C$42)^2)/(2*Inputs!$C$45^2))+Inputs!$C$48*(0.7*(0.45*SIN(2*PI()*(((Model_Data!A198)/Inputs!$C$49)+Inputs!$C$47*0.137))+0.35*COS(2*PI()*(((Inputs!$C$6)/Inputs!$C$50)+Inputs!$C$47*0.173))+0.2*SIN(2*PI()*(((Model_Data!A198)+(Inputs!$C$6))/(0.5*(Inputs!$C$49+Inputs!$C$50))+Inputs!$C$47*0.097)))+0.3*(2*((SIN(((Model_Data!A198)*12.9898+(Inputs!$C$6)*78.233+Inputs!$C$47*37.719))*43758.5453)-INT((SIN(((Model_Data!A198)*12.9898+(Inputs!$C$6)*78.233+Inputs!$C$47*37.719))*43758.5453)))-1))))/1000)^2))-(((Model_Data!B198)-((Inputs!$C$51*(115*EXP(-(((0)-25)^2)/(4.5^2))+70*EXP(-(((0)+38)^2)/(7^2))*(0.55+0.45*SIN(2*PI()*(Model_Data!A198)/45))+24*SIN(2*PI()*(0)/9+(Model_Data!A198)/18)*EXP(-(((0)+5)^2)/(22^2))+18*SIN(2*PI()*(Model_Data!A198)/70))+Inputs!$C$28*EXP(-(((Model_Data!A198)-Inputs!$C$29)^2)/(2*Inputs!$C$31^2))*EXP(-(((0)-Inputs!$C$30)^2)/(2*Inputs!$C$32^2))+-Inputs!$C$33*EXP(-(((((Model_Data!A198)-Inputs!$C$34)^2)+(((0)-Inputs!$C$35)^2))/(2*Inputs!$C$36^2)))+Inputs!$C$37*(0.55*SIN(2*PI()*(Model_Data!A198)/Inputs!$C$39)+0.35*COS(2*PI()*(0)/Inputs!$C$40)+0.2*SIN(2*PI()*((Model_Data!A198)+(0))/(0.5*(Inputs!$C$39+Inputs!$C$40))))+Inputs!$C$38*SIN(2*PI()*(Model_Data!A198)/Inputs!$C$39)*SIN(2*PI()*(0)/Inputs!$C$40)+-Inputs!$C$41*EXP(-(((0)-Inputs!$C$43)^2)/(2*Inputs!$C$44^2))*EXP(-(((Model_Data!A198)-Inputs!$C$42)^2)/(2*Inputs!$C$45^2))+Inputs!$C$48*(0.7*(0.45*SIN(2*PI()*(((Model_Data!A198)/Inputs!$C$49)+Inputs!$C$47*0.137))+0.35*COS(2*PI()*(((0)/Inputs!$C$50)+Inputs!$C$47*0.173))+0.2*SIN(2*PI()*(((Model_Data!A198)+(0))/(0.5*(Inputs!$C$49+Inputs!$C$50))+Inputs!$C$47*0.097)))+0.3*(2*((SIN(((Model_Data!A198)*12.9898+(0)*78.233+Inputs!$C$47*37.719))*43758.5453)-INT((SIN(((Model_Data!A198)*12.9898+(0)*78.233+Inputs!$C$47*37.719))*43758.5453)))-1))))/1000)))*1000/Inputs!$C$12)</f>
        <v>1326.9797644911666</v>
      </c>
      <c r="E198" s="9">
        <f>Model_Data!A198</f>
        <v>38</v>
      </c>
      <c r="F198" s="9">
        <f>(Inputs!$C$51*(115*EXP(-(((Inputs!$C$6)-25)^2)/(4.5^2))+70*EXP(-(((Inputs!$C$6)+38)^2)/(7^2))*(0.55+0.45*SIN(2*PI()*(Model_Data!A198)/45))+24*SIN(2*PI()*(Inputs!$C$6)/9+(Model_Data!A198)/18)*EXP(-(((Inputs!$C$6)+5)^2)/(22^2))+18*SIN(2*PI()*(Model_Data!A198)/70))+Inputs!$C$28*EXP(-(((Model_Data!A198)-Inputs!$C$29)^2)/(2*Inputs!$C$31^2))*EXP(-(((Inputs!$C$6)-Inputs!$C$30)^2)/(2*Inputs!$C$32^2))+-Inputs!$C$33*EXP(-(((((Model_Data!A198)-Inputs!$C$34)^2)+(((Inputs!$C$6)-Inputs!$C$35)^2))/(2*Inputs!$C$36^2)))+Inputs!$C$37*(0.55*SIN(2*PI()*(Model_Data!A198)/Inputs!$C$39)+0.35*COS(2*PI()*(Inputs!$C$6)/Inputs!$C$40)+0.2*SIN(2*PI()*((Model_Data!A198)+(Inputs!$C$6))/(0.5*(Inputs!$C$39+Inputs!$C$40))))+Inputs!$C$38*SIN(2*PI()*(Model_Data!A198)/Inputs!$C$39)*SIN(2*PI()*(Inputs!$C$6)/Inputs!$C$40)+-Inputs!$C$41*EXP(-(((Inputs!$C$6)-Inputs!$C$43)^2)/(2*Inputs!$C$44^2))*EXP(-(((Model_Data!A198)-Inputs!$C$42)^2)/(2*Inputs!$C$45^2))+Inputs!$C$48*(0.7*(0.45*SIN(2*PI()*(((Model_Data!A198)/Inputs!$C$49)+Inputs!$C$47*0.137))+0.35*COS(2*PI()*(((Inputs!$C$6)/Inputs!$C$50)+Inputs!$C$47*0.173))+0.2*SIN(2*PI()*(((Model_Data!A198)+(Inputs!$C$6))/(0.5*(Inputs!$C$49+Inputs!$C$50))+Inputs!$C$47*0.097)))+0.3*(2*((SIN(((Model_Data!A198)*12.9898+(Inputs!$C$6)*78.233+Inputs!$C$47*37.719))*43758.5453)-INT((SIN(((Model_Data!A198)*12.9898+(Inputs!$C$6)*78.233+Inputs!$C$47*37.719))*43758.5453)))-1)))</f>
        <v>282.3717678695042</v>
      </c>
      <c r="G198" s="9">
        <f>(Inputs!$C$51*(115*EXP(-(((0)-25)^2)/(4.5^2))+70*EXP(-(((0)+38)^2)/(7^2))*(0.55+0.45*SIN(2*PI()*(Model_Data!A198)/45))+24*SIN(2*PI()*(0)/9+(Model_Data!A198)/18)*EXP(-(((0)+5)^2)/(22^2))+18*SIN(2*PI()*(Model_Data!A198)/70))+Inputs!$C$28*EXP(-(((Model_Data!A198)-Inputs!$C$29)^2)/(2*Inputs!$C$31^2))*EXP(-(((0)-Inputs!$C$30)^2)/(2*Inputs!$C$32^2))+-Inputs!$C$33*EXP(-(((((Model_Data!A198)-Inputs!$C$34)^2)+(((0)-Inputs!$C$35)^2))/(2*Inputs!$C$36^2)))+Inputs!$C$37*(0.55*SIN(2*PI()*(Model_Data!A198)/Inputs!$C$39)+0.35*COS(2*PI()*(0)/Inputs!$C$40)+0.2*SIN(2*PI()*((Model_Data!A198)+(0))/(0.5*(Inputs!$C$39+Inputs!$C$40))))+Inputs!$C$38*SIN(2*PI()*(Model_Data!A198)/Inputs!$C$39)*SIN(2*PI()*(0)/Inputs!$C$40)+-Inputs!$C$41*EXP(-(((0)-Inputs!$C$43)^2)/(2*Inputs!$C$44^2))*EXP(-(((Model_Data!A198)-Inputs!$C$42)^2)/(2*Inputs!$C$45^2))+Inputs!$C$48*(0.7*(0.45*SIN(2*PI()*(((Model_Data!A198)/Inputs!$C$49)+Inputs!$C$47*0.137))+0.35*COS(2*PI()*(((0)/Inputs!$C$50)+Inputs!$C$47*0.173))+0.2*SIN(2*PI()*(((Model_Data!A198)+(0))/(0.5*(Inputs!$C$49+Inputs!$C$50))+Inputs!$C$47*0.097)))+0.3*(2*((SIN(((Model_Data!A198)*12.9898+(0)*78.233+Inputs!$C$47*37.719))*43758.5453)-INT((SIN(((Model_Data!A198)*12.9898+(0)*78.233+Inputs!$C$47*37.719))*43758.5453)))-1)))</f>
        <v>74.89136844725374</v>
      </c>
      <c r="H198" s="10"/>
      <c r="I198" s="9">
        <f>Model_Data!A198</f>
        <v>38</v>
      </c>
      <c r="J198" s="9">
        <f>(Inputs!$C$51*(115*EXP(-(((Inputs!$C$6)-25)^2)/(4.5^2))+70*EXP(-(((Inputs!$C$6)+38)^2)/(7^2))*(0.55+0.45*SIN(2*PI()*(Model_Data!A198)/45))+24*SIN(2*PI()*(Inputs!$C$6)/9+(Model_Data!A198)/18)*EXP(-(((Inputs!$C$6)+5)^2)/(22^2))+18*SIN(2*PI()*(Model_Data!A198)/70))+Inputs!$C$28*EXP(-(((Model_Data!A198)-Inputs!$C$29)^2)/(2*Inputs!$C$31^2))*EXP(-(((Inputs!$C$6)-Inputs!$C$30)^2)/(2*Inputs!$C$32^2))+-Inputs!$C$33*EXP(-(((((Model_Data!A198)-Inputs!$C$34)^2)+(((Inputs!$C$6)-Inputs!$C$35)^2))/(2*Inputs!$C$36^2)))+Inputs!$C$37*(0.55*SIN(2*PI()*(Model_Data!A198)/Inputs!$C$39)+0.35*COS(2*PI()*(Inputs!$C$6)/Inputs!$C$40)+0.2*SIN(2*PI()*((Model_Data!A198)+(Inputs!$C$6))/(0.5*(Inputs!$C$39+Inputs!$C$40))))+Inputs!$C$38*SIN(2*PI()*(Model_Data!A198)/Inputs!$C$39)*SIN(2*PI()*(Inputs!$C$6)/Inputs!$C$40)+-Inputs!$C$41*EXP(-(((Inputs!$C$6)-Inputs!$C$43)^2)/(2*Inputs!$C$44^2))*EXP(-(((Model_Data!A198)-Inputs!$C$42)^2)/(2*Inputs!$C$45^2))+Inputs!$C$48*(0.7*(0.45*SIN(2*PI()*(((Model_Data!A198)/Inputs!$C$49)+Inputs!$C$47*0.137))+0.35*COS(2*PI()*(((Inputs!$C$6)/Inputs!$C$50)+Inputs!$C$47*0.173))+0.2*SIN(2*PI()*(((Model_Data!A198)+(Inputs!$C$6))/(0.5*(Inputs!$C$49+Inputs!$C$50))+Inputs!$C$47*0.097)))+0.3*(2*((SIN(((Model_Data!A198)*12.9898+(Inputs!$C$6)*78.233+Inputs!$C$47*37.719))*43758.5453)-INT((SIN(((Model_Data!A198)*12.9898+(Inputs!$C$6)*78.233+Inputs!$C$47*37.719))*43758.5453)))-1)))</f>
        <v>282.3717678695042</v>
      </c>
      <c r="K198" s="9">
        <f>-((((SQRT((Model_Data!A198)^2+Inputs!$C$6^2+((Model_Data!B198)-((Inputs!$C$51*(115*EXP(-(((Inputs!$C$6)-25)^2)/(4.5^2))+70*EXP(-(((Inputs!$C$6)+38)^2)/(7^2))*(0.55+0.45*SIN(2*PI()*(Model_Data!A198)/45))+24*SIN(2*PI()*(Inputs!$C$6)/9+(Model_Data!A198)/18)*EXP(-(((Inputs!$C$6)+5)^2)/(22^2))+18*SIN(2*PI()*(Model_Data!A198)/70))+Inputs!$C$28*EXP(-(((Model_Data!A198)-Inputs!$C$29)^2)/(2*Inputs!$C$31^2))*EXP(-(((Inputs!$C$6)-Inputs!$C$30)^2)/(2*Inputs!$C$32^2))+-Inputs!$C$33*EXP(-(((((Model_Data!A198)-Inputs!$C$34)^2)+(((Inputs!$C$6)-Inputs!$C$35)^2))/(2*Inputs!$C$36^2)))+Inputs!$C$37*(0.55*SIN(2*PI()*(Model_Data!A198)/Inputs!$C$39)+0.35*COS(2*PI()*(Inputs!$C$6)/Inputs!$C$40)+0.2*SIN(2*PI()*((Model_Data!A198)+(Inputs!$C$6))/(0.5*(Inputs!$C$39+Inputs!$C$40))))+Inputs!$C$38*SIN(2*PI()*(Model_Data!A198)/Inputs!$C$39)*SIN(2*PI()*(Inputs!$C$6)/Inputs!$C$40)+-Inputs!$C$41*EXP(-(((Inputs!$C$6)-Inputs!$C$43)^2)/(2*Inputs!$C$44^2))*EXP(-(((Model_Data!A198)-Inputs!$C$42)^2)/(2*Inputs!$C$45^2))+Inputs!$C$48*(0.7*(0.45*SIN(2*PI()*(((Model_Data!A198)/Inputs!$C$49)+Inputs!$C$47*0.137))+0.35*COS(2*PI()*(((Inputs!$C$6)/Inputs!$C$50)+Inputs!$C$47*0.173))+0.2*SIN(2*PI()*(((Model_Data!A198)+(Inputs!$C$6))/(0.5*(Inputs!$C$49+Inputs!$C$50))+Inputs!$C$47*0.097)))+0.3*(2*((SIN(((Model_Data!A198)*12.9898+(Inputs!$C$6)*78.233+Inputs!$C$47*37.719))*43758.5453)-INT((SIN(((Model_Data!A198)*12.9898+(Inputs!$C$6)*78.233+Inputs!$C$47*37.719))*43758.5453)))-1))))/1000)^2))-(((Model_Data!B198)-((Inputs!$C$51*(115*EXP(-(((0)-25)^2)/(4.5^2))+70*EXP(-(((0)+38)^2)/(7^2))*(0.55+0.45*SIN(2*PI()*(Model_Data!A198)/45))+24*SIN(2*PI()*(0)/9+(Model_Data!A198)/18)*EXP(-(((0)+5)^2)/(22^2))+18*SIN(2*PI()*(Model_Data!A198)/70))+Inputs!$C$28*EXP(-(((Model_Data!A198)-Inputs!$C$29)^2)/(2*Inputs!$C$31^2))*EXP(-(((0)-Inputs!$C$30)^2)/(2*Inputs!$C$32^2))+-Inputs!$C$33*EXP(-(((((Model_Data!A198)-Inputs!$C$34)^2)+(((0)-Inputs!$C$35)^2))/(2*Inputs!$C$36^2)))+Inputs!$C$37*(0.55*SIN(2*PI()*(Model_Data!A198)/Inputs!$C$39)+0.35*COS(2*PI()*(0)/Inputs!$C$40)+0.2*SIN(2*PI()*((Model_Data!A198)+(0))/(0.5*(Inputs!$C$39+Inputs!$C$40))))+Inputs!$C$38*SIN(2*PI()*(Model_Data!A198)/Inputs!$C$39)*SIN(2*PI()*(0)/Inputs!$C$40)+-Inputs!$C$41*EXP(-(((0)-Inputs!$C$43)^2)/(2*Inputs!$C$44^2))*EXP(-(((Model_Data!A198)-Inputs!$C$42)^2)/(2*Inputs!$C$45^2))+Inputs!$C$48*(0.7*(0.45*SIN(2*PI()*(((Model_Data!A198)/Inputs!$C$49)+Inputs!$C$47*0.137))+0.35*COS(2*PI()*(((0)/Inputs!$C$50)+Inputs!$C$47*0.173))+0.2*SIN(2*PI()*(((Model_Data!A198)+(0))/(0.5*(Inputs!$C$49+Inputs!$C$50))+Inputs!$C$47*0.097)))+0.3*(2*((SIN(((Model_Data!A198)*12.9898+(0)*78.233+Inputs!$C$47*37.719))*43758.5453)-INT((SIN(((Model_Data!A198)*12.9898+(0)*78.233+Inputs!$C$47*37.719))*43758.5453)))-1))))/1000)))*1000/Inputs!$C$12)-Model_Data!F198)</f>
        <v>115.55350501577732</v>
      </c>
      <c r="L198" s="10"/>
      <c r="M198" s="9">
        <f>Model_Data!A198</f>
        <v>38</v>
      </c>
      <c r="N198" s="9">
        <f>Model_Data!P198</f>
        <v>-284.68369647171596</v>
      </c>
      <c r="O198" s="9">
        <f t="shared" si="6"/>
        <v>-236.30592967328994</v>
      </c>
      <c r="P198" s="9">
        <f>Model_Data!Q198</f>
        <v>-42.745299770527922</v>
      </c>
      <c r="Q198" s="9">
        <f t="shared" si="7"/>
        <v>-35.481370821815311</v>
      </c>
      <c r="R198" s="10"/>
      <c r="S198" s="9">
        <f>Model_Data!A198</f>
        <v>38</v>
      </c>
      <c r="T198" s="9">
        <f>Model_Data!B198-Inputs!$C$5</f>
        <v>1.6044444444444252</v>
      </c>
      <c r="U198" s="10"/>
      <c r="V198" s="9">
        <f>Model_Data!A198</f>
        <v>38</v>
      </c>
      <c r="W198" s="9">
        <f>((SQRT((Model_Data!A198)^2+Inputs!$C$6^2+Inputs!$C$5^2)-Inputs!$C$5)*1000/Inputs!$C$12)</f>
        <v>1448.2824516194801</v>
      </c>
      <c r="X198" s="9">
        <f>Model_Data!F198</f>
        <v>1442.533269506944</v>
      </c>
      <c r="Y198" s="10"/>
      <c r="Z198" s="9">
        <f>Model_Data!A198</f>
        <v>38</v>
      </c>
      <c r="AA198" s="9">
        <f>SQRT((Model_Data!A198)^2+Inputs!$C$6^2+((Model_Data!B198)-((Inputs!$C$51*(115*EXP(-(((Inputs!$C$6)-25)^2)/(4.5^2))+70*EXP(-(((Inputs!$C$6)+38)^2)/(7^2))*(0.55+0.45*SIN(2*PI()*(Model_Data!A198)/45))+24*SIN(2*PI()*(Inputs!$C$6)/9+(Model_Data!A198)/18)*EXP(-(((Inputs!$C$6)+5)^2)/(22^2))+18*SIN(2*PI()*(Model_Data!A198)/70))+Inputs!$C$28*EXP(-(((Model_Data!A198)-Inputs!$C$29)^2)/(2*Inputs!$C$31^2))*EXP(-(((Inputs!$C$6)-Inputs!$C$30)^2)/(2*Inputs!$C$32^2))+-Inputs!$C$33*EXP(-(((((Model_Data!A198)-Inputs!$C$34)^2)+(((Inputs!$C$6)-Inputs!$C$35)^2))/(2*Inputs!$C$36^2)))+Inputs!$C$37*(0.55*SIN(2*PI()*(Model_Data!A198)/Inputs!$C$39)+0.35*COS(2*PI()*(Inputs!$C$6)/Inputs!$C$40)+0.2*SIN(2*PI()*((Model_Data!A198)+(Inputs!$C$6))/(0.5*(Inputs!$C$39+Inputs!$C$40))))+Inputs!$C$38*SIN(2*PI()*(Model_Data!A198)/Inputs!$C$39)*SIN(2*PI()*(Inputs!$C$6)/Inputs!$C$40)+-Inputs!$C$41*EXP(-(((Inputs!$C$6)-Inputs!$C$43)^2)/(2*Inputs!$C$44^2))*EXP(-(((Model_Data!A198)-Inputs!$C$42)^2)/(2*Inputs!$C$45^2))+Inputs!$C$48*(0.7*(0.45*SIN(2*PI()*(((Model_Data!A198)/Inputs!$C$49)+Inputs!$C$47*0.137))+0.35*COS(2*PI()*(((Inputs!$C$6)/Inputs!$C$50)+Inputs!$C$47*0.173))+0.2*SIN(2*PI()*(((Model_Data!A198)+(Inputs!$C$6))/(0.5*(Inputs!$C$49+Inputs!$C$50))+Inputs!$C$47*0.097)))+0.3*(2*((SIN(((Model_Data!A198)*12.9898+(Inputs!$C$6)*78.233+Inputs!$C$47*37.719))*43758.5453)-INT((SIN(((Model_Data!A198)*12.9898+(Inputs!$C$6)*78.233+Inputs!$C$47*37.719))*43758.5453)))-1))))/1000)^2)</f>
        <v>403.89157705679145</v>
      </c>
      <c r="AB198" s="9">
        <f>1000*(AA199-AA197)/(Z199-Z197)*Inputs!$C$11</f>
        <v>590.76482418322485</v>
      </c>
      <c r="AC198" s="9">
        <f>-2*AB198/Inputs!$C$13</f>
        <v>-236.30592967328994</v>
      </c>
      <c r="AD198" s="9">
        <f>-2*AB198/Inputs!$C$14</f>
        <v>-35.481370821815311</v>
      </c>
    </row>
    <row r="199" spans="1:30">
      <c r="A199" s="9">
        <f>Model_Data!A199</f>
        <v>38.5</v>
      </c>
      <c r="B199" s="9">
        <f>((SQRT((Model_Data!A199)^2+Inputs!$C$6^2+Inputs!$C$5^2)-Inputs!$C$5)*1000/Inputs!$C$12)</f>
        <v>1474.9698256880454</v>
      </c>
      <c r="C199" s="9">
        <f>Model_Data!F199</f>
        <v>1468.9609426904447</v>
      </c>
      <c r="D199" s="9">
        <f>(((SQRT((Model_Data!A199)^2+Inputs!$C$6^2+((Model_Data!B199)-((Inputs!$C$51*(115*EXP(-(((Inputs!$C$6)-25)^2)/(4.5^2))+70*EXP(-(((Inputs!$C$6)+38)^2)/(7^2))*(0.55+0.45*SIN(2*PI()*(Model_Data!A199)/45))+24*SIN(2*PI()*(Inputs!$C$6)/9+(Model_Data!A199)/18)*EXP(-(((Inputs!$C$6)+5)^2)/(22^2))+18*SIN(2*PI()*(Model_Data!A199)/70))+Inputs!$C$28*EXP(-(((Model_Data!A199)-Inputs!$C$29)^2)/(2*Inputs!$C$31^2))*EXP(-(((Inputs!$C$6)-Inputs!$C$30)^2)/(2*Inputs!$C$32^2))+-Inputs!$C$33*EXP(-(((((Model_Data!A199)-Inputs!$C$34)^2)+(((Inputs!$C$6)-Inputs!$C$35)^2))/(2*Inputs!$C$36^2)))+Inputs!$C$37*(0.55*SIN(2*PI()*(Model_Data!A199)/Inputs!$C$39)+0.35*COS(2*PI()*(Inputs!$C$6)/Inputs!$C$40)+0.2*SIN(2*PI()*((Model_Data!A199)+(Inputs!$C$6))/(0.5*(Inputs!$C$39+Inputs!$C$40))))+Inputs!$C$38*SIN(2*PI()*(Model_Data!A199)/Inputs!$C$39)*SIN(2*PI()*(Inputs!$C$6)/Inputs!$C$40)+-Inputs!$C$41*EXP(-(((Inputs!$C$6)-Inputs!$C$43)^2)/(2*Inputs!$C$44^2))*EXP(-(((Model_Data!A199)-Inputs!$C$42)^2)/(2*Inputs!$C$45^2))+Inputs!$C$48*(0.7*(0.45*SIN(2*PI()*(((Model_Data!A199)/Inputs!$C$49)+Inputs!$C$47*0.137))+0.35*COS(2*PI()*(((Inputs!$C$6)/Inputs!$C$50)+Inputs!$C$47*0.173))+0.2*SIN(2*PI()*(((Model_Data!A199)+(Inputs!$C$6))/(0.5*(Inputs!$C$49+Inputs!$C$50))+Inputs!$C$47*0.097)))+0.3*(2*((SIN(((Model_Data!A199)*12.9898+(Inputs!$C$6)*78.233+Inputs!$C$47*37.719))*43758.5453)-INT((SIN(((Model_Data!A199)*12.9898+(Inputs!$C$6)*78.233+Inputs!$C$47*37.719))*43758.5453)))-1))))/1000)^2))-(((Model_Data!B199)-((Inputs!$C$51*(115*EXP(-(((0)-25)^2)/(4.5^2))+70*EXP(-(((0)+38)^2)/(7^2))*(0.55+0.45*SIN(2*PI()*(Model_Data!A199)/45))+24*SIN(2*PI()*(0)/9+(Model_Data!A199)/18)*EXP(-(((0)+5)^2)/(22^2))+18*SIN(2*PI()*(Model_Data!A199)/70))+Inputs!$C$28*EXP(-(((Model_Data!A199)-Inputs!$C$29)^2)/(2*Inputs!$C$31^2))*EXP(-(((0)-Inputs!$C$30)^2)/(2*Inputs!$C$32^2))+-Inputs!$C$33*EXP(-(((((Model_Data!A199)-Inputs!$C$34)^2)+(((0)-Inputs!$C$35)^2))/(2*Inputs!$C$36^2)))+Inputs!$C$37*(0.55*SIN(2*PI()*(Model_Data!A199)/Inputs!$C$39)+0.35*COS(2*PI()*(0)/Inputs!$C$40)+0.2*SIN(2*PI()*((Model_Data!A199)+(0))/(0.5*(Inputs!$C$39+Inputs!$C$40))))+Inputs!$C$38*SIN(2*PI()*(Model_Data!A199)/Inputs!$C$39)*SIN(2*PI()*(0)/Inputs!$C$40)+-Inputs!$C$41*EXP(-(((0)-Inputs!$C$43)^2)/(2*Inputs!$C$44^2))*EXP(-(((Model_Data!A199)-Inputs!$C$42)^2)/(2*Inputs!$C$45^2))+Inputs!$C$48*(0.7*(0.45*SIN(2*PI()*(((Model_Data!A199)/Inputs!$C$49)+Inputs!$C$47*0.137))+0.35*COS(2*PI()*(((0)/Inputs!$C$50)+Inputs!$C$47*0.173))+0.2*SIN(2*PI()*(((Model_Data!A199)+(0))/(0.5*(Inputs!$C$49+Inputs!$C$50))+Inputs!$C$47*0.097)))+0.3*(2*((SIN(((Model_Data!A199)*12.9898+(0)*78.233+Inputs!$C$47*37.719))*43758.5453)-INT((SIN(((Model_Data!A199)*12.9898+(0)*78.233+Inputs!$C$47*37.719))*43758.5453)))-1))))/1000)))*1000/Inputs!$C$12)</f>
        <v>1340.9057609661377</v>
      </c>
      <c r="E199" s="9">
        <f>Model_Data!A199</f>
        <v>38.5</v>
      </c>
      <c r="F199" s="9">
        <f>(Inputs!$C$51*(115*EXP(-(((Inputs!$C$6)-25)^2)/(4.5^2))+70*EXP(-(((Inputs!$C$6)+38)^2)/(7^2))*(0.55+0.45*SIN(2*PI()*(Model_Data!A199)/45))+24*SIN(2*PI()*(Inputs!$C$6)/9+(Model_Data!A199)/18)*EXP(-(((Inputs!$C$6)+5)^2)/(22^2))+18*SIN(2*PI()*(Model_Data!A199)/70))+Inputs!$C$28*EXP(-(((Model_Data!A199)-Inputs!$C$29)^2)/(2*Inputs!$C$31^2))*EXP(-(((Inputs!$C$6)-Inputs!$C$30)^2)/(2*Inputs!$C$32^2))+-Inputs!$C$33*EXP(-(((((Model_Data!A199)-Inputs!$C$34)^2)+(((Inputs!$C$6)-Inputs!$C$35)^2))/(2*Inputs!$C$36^2)))+Inputs!$C$37*(0.55*SIN(2*PI()*(Model_Data!A199)/Inputs!$C$39)+0.35*COS(2*PI()*(Inputs!$C$6)/Inputs!$C$40)+0.2*SIN(2*PI()*((Model_Data!A199)+(Inputs!$C$6))/(0.5*(Inputs!$C$39+Inputs!$C$40))))+Inputs!$C$38*SIN(2*PI()*(Model_Data!A199)/Inputs!$C$39)*SIN(2*PI()*(Inputs!$C$6)/Inputs!$C$40)+-Inputs!$C$41*EXP(-(((Inputs!$C$6)-Inputs!$C$43)^2)/(2*Inputs!$C$44^2))*EXP(-(((Model_Data!A199)-Inputs!$C$42)^2)/(2*Inputs!$C$45^2))+Inputs!$C$48*(0.7*(0.45*SIN(2*PI()*(((Model_Data!A199)/Inputs!$C$49)+Inputs!$C$47*0.137))+0.35*COS(2*PI()*(((Inputs!$C$6)/Inputs!$C$50)+Inputs!$C$47*0.173))+0.2*SIN(2*PI()*(((Model_Data!A199)+(Inputs!$C$6))/(0.5*(Inputs!$C$49+Inputs!$C$50))+Inputs!$C$47*0.097)))+0.3*(2*((SIN(((Model_Data!A199)*12.9898+(Inputs!$C$6)*78.233+Inputs!$C$47*37.719))*43758.5453)-INT((SIN(((Model_Data!A199)*12.9898+(Inputs!$C$6)*78.233+Inputs!$C$47*37.719))*43758.5453)))-1)))</f>
        <v>311.18191933727104</v>
      </c>
      <c r="G199" s="9">
        <f>(Inputs!$C$51*(115*EXP(-(((0)-25)^2)/(4.5^2))+70*EXP(-(((0)+38)^2)/(7^2))*(0.55+0.45*SIN(2*PI()*(Model_Data!A199)/45))+24*SIN(2*PI()*(0)/9+(Model_Data!A199)/18)*EXP(-(((0)+5)^2)/(22^2))+18*SIN(2*PI()*(Model_Data!A199)/70))+Inputs!$C$28*EXP(-(((Model_Data!A199)-Inputs!$C$29)^2)/(2*Inputs!$C$31^2))*EXP(-(((0)-Inputs!$C$30)^2)/(2*Inputs!$C$32^2))+-Inputs!$C$33*EXP(-(((((Model_Data!A199)-Inputs!$C$34)^2)+(((0)-Inputs!$C$35)^2))/(2*Inputs!$C$36^2)))+Inputs!$C$37*(0.55*SIN(2*PI()*(Model_Data!A199)/Inputs!$C$39)+0.35*COS(2*PI()*(0)/Inputs!$C$40)+0.2*SIN(2*PI()*((Model_Data!A199)+(0))/(0.5*(Inputs!$C$39+Inputs!$C$40))))+Inputs!$C$38*SIN(2*PI()*(Model_Data!A199)/Inputs!$C$39)*SIN(2*PI()*(0)/Inputs!$C$40)+-Inputs!$C$41*EXP(-(((0)-Inputs!$C$43)^2)/(2*Inputs!$C$44^2))*EXP(-(((Model_Data!A199)-Inputs!$C$42)^2)/(2*Inputs!$C$45^2))+Inputs!$C$48*(0.7*(0.45*SIN(2*PI()*(((Model_Data!A199)/Inputs!$C$49)+Inputs!$C$47*0.137))+0.35*COS(2*PI()*(((0)/Inputs!$C$50)+Inputs!$C$47*0.173))+0.2*SIN(2*PI()*(((Model_Data!A199)+(0))/(0.5*(Inputs!$C$49+Inputs!$C$50))+Inputs!$C$47*0.097)))+0.3*(2*((SIN(((Model_Data!A199)*12.9898+(0)*78.233+Inputs!$C$47*37.719))*43758.5453)-INT((SIN(((Model_Data!A199)*12.9898+(0)*78.233+Inputs!$C$47*37.719))*43758.5453)))-1)))</f>
        <v>81.229436651819583</v>
      </c>
      <c r="H199" s="10"/>
      <c r="I199" s="9">
        <f>Model_Data!A199</f>
        <v>38.5</v>
      </c>
      <c r="J199" s="9">
        <f>(Inputs!$C$51*(115*EXP(-(((Inputs!$C$6)-25)^2)/(4.5^2))+70*EXP(-(((Inputs!$C$6)+38)^2)/(7^2))*(0.55+0.45*SIN(2*PI()*(Model_Data!A199)/45))+24*SIN(2*PI()*(Inputs!$C$6)/9+(Model_Data!A199)/18)*EXP(-(((Inputs!$C$6)+5)^2)/(22^2))+18*SIN(2*PI()*(Model_Data!A199)/70))+Inputs!$C$28*EXP(-(((Model_Data!A199)-Inputs!$C$29)^2)/(2*Inputs!$C$31^2))*EXP(-(((Inputs!$C$6)-Inputs!$C$30)^2)/(2*Inputs!$C$32^2))+-Inputs!$C$33*EXP(-(((((Model_Data!A199)-Inputs!$C$34)^2)+(((Inputs!$C$6)-Inputs!$C$35)^2))/(2*Inputs!$C$36^2)))+Inputs!$C$37*(0.55*SIN(2*PI()*(Model_Data!A199)/Inputs!$C$39)+0.35*COS(2*PI()*(Inputs!$C$6)/Inputs!$C$40)+0.2*SIN(2*PI()*((Model_Data!A199)+(Inputs!$C$6))/(0.5*(Inputs!$C$39+Inputs!$C$40))))+Inputs!$C$38*SIN(2*PI()*(Model_Data!A199)/Inputs!$C$39)*SIN(2*PI()*(Inputs!$C$6)/Inputs!$C$40)+-Inputs!$C$41*EXP(-(((Inputs!$C$6)-Inputs!$C$43)^2)/(2*Inputs!$C$44^2))*EXP(-(((Model_Data!A199)-Inputs!$C$42)^2)/(2*Inputs!$C$45^2))+Inputs!$C$48*(0.7*(0.45*SIN(2*PI()*(((Model_Data!A199)/Inputs!$C$49)+Inputs!$C$47*0.137))+0.35*COS(2*PI()*(((Inputs!$C$6)/Inputs!$C$50)+Inputs!$C$47*0.173))+0.2*SIN(2*PI()*(((Model_Data!A199)+(Inputs!$C$6))/(0.5*(Inputs!$C$49+Inputs!$C$50))+Inputs!$C$47*0.097)))+0.3*(2*((SIN(((Model_Data!A199)*12.9898+(Inputs!$C$6)*78.233+Inputs!$C$47*37.719))*43758.5453)-INT((SIN(((Model_Data!A199)*12.9898+(Inputs!$C$6)*78.233+Inputs!$C$47*37.719))*43758.5453)))-1)))</f>
        <v>311.18191933727104</v>
      </c>
      <c r="K199" s="9">
        <f>-((((SQRT((Model_Data!A199)^2+Inputs!$C$6^2+((Model_Data!B199)-((Inputs!$C$51*(115*EXP(-(((Inputs!$C$6)-25)^2)/(4.5^2))+70*EXP(-(((Inputs!$C$6)+38)^2)/(7^2))*(0.55+0.45*SIN(2*PI()*(Model_Data!A199)/45))+24*SIN(2*PI()*(Inputs!$C$6)/9+(Model_Data!A199)/18)*EXP(-(((Inputs!$C$6)+5)^2)/(22^2))+18*SIN(2*PI()*(Model_Data!A199)/70))+Inputs!$C$28*EXP(-(((Model_Data!A199)-Inputs!$C$29)^2)/(2*Inputs!$C$31^2))*EXP(-(((Inputs!$C$6)-Inputs!$C$30)^2)/(2*Inputs!$C$32^2))+-Inputs!$C$33*EXP(-(((((Model_Data!A199)-Inputs!$C$34)^2)+(((Inputs!$C$6)-Inputs!$C$35)^2))/(2*Inputs!$C$36^2)))+Inputs!$C$37*(0.55*SIN(2*PI()*(Model_Data!A199)/Inputs!$C$39)+0.35*COS(2*PI()*(Inputs!$C$6)/Inputs!$C$40)+0.2*SIN(2*PI()*((Model_Data!A199)+(Inputs!$C$6))/(0.5*(Inputs!$C$39+Inputs!$C$40))))+Inputs!$C$38*SIN(2*PI()*(Model_Data!A199)/Inputs!$C$39)*SIN(2*PI()*(Inputs!$C$6)/Inputs!$C$40)+-Inputs!$C$41*EXP(-(((Inputs!$C$6)-Inputs!$C$43)^2)/(2*Inputs!$C$44^2))*EXP(-(((Model_Data!A199)-Inputs!$C$42)^2)/(2*Inputs!$C$45^2))+Inputs!$C$48*(0.7*(0.45*SIN(2*PI()*(((Model_Data!A199)/Inputs!$C$49)+Inputs!$C$47*0.137))+0.35*COS(2*PI()*(((Inputs!$C$6)/Inputs!$C$50)+Inputs!$C$47*0.173))+0.2*SIN(2*PI()*(((Model_Data!A199)+(Inputs!$C$6))/(0.5*(Inputs!$C$49+Inputs!$C$50))+Inputs!$C$47*0.097)))+0.3*(2*((SIN(((Model_Data!A199)*12.9898+(Inputs!$C$6)*78.233+Inputs!$C$47*37.719))*43758.5453)-INT((SIN(((Model_Data!A199)*12.9898+(Inputs!$C$6)*78.233+Inputs!$C$47*37.719))*43758.5453)))-1))))/1000)^2))-(((Model_Data!B199)-((Inputs!$C$51*(115*EXP(-(((0)-25)^2)/(4.5^2))+70*EXP(-(((0)+38)^2)/(7^2))*(0.55+0.45*SIN(2*PI()*(Model_Data!A199)/45))+24*SIN(2*PI()*(0)/9+(Model_Data!A199)/18)*EXP(-(((0)+5)^2)/(22^2))+18*SIN(2*PI()*(Model_Data!A199)/70))+Inputs!$C$28*EXP(-(((Model_Data!A199)-Inputs!$C$29)^2)/(2*Inputs!$C$31^2))*EXP(-(((0)-Inputs!$C$30)^2)/(2*Inputs!$C$32^2))+-Inputs!$C$33*EXP(-(((((Model_Data!A199)-Inputs!$C$34)^2)+(((0)-Inputs!$C$35)^2))/(2*Inputs!$C$36^2)))+Inputs!$C$37*(0.55*SIN(2*PI()*(Model_Data!A199)/Inputs!$C$39)+0.35*COS(2*PI()*(0)/Inputs!$C$40)+0.2*SIN(2*PI()*((Model_Data!A199)+(0))/(0.5*(Inputs!$C$39+Inputs!$C$40))))+Inputs!$C$38*SIN(2*PI()*(Model_Data!A199)/Inputs!$C$39)*SIN(2*PI()*(0)/Inputs!$C$40)+-Inputs!$C$41*EXP(-(((0)-Inputs!$C$43)^2)/(2*Inputs!$C$44^2))*EXP(-(((Model_Data!A199)-Inputs!$C$42)^2)/(2*Inputs!$C$45^2))+Inputs!$C$48*(0.7*(0.45*SIN(2*PI()*(((Model_Data!A199)/Inputs!$C$49)+Inputs!$C$47*0.137))+0.35*COS(2*PI()*(((0)/Inputs!$C$50)+Inputs!$C$47*0.173))+0.2*SIN(2*PI()*(((Model_Data!A199)+(0))/(0.5*(Inputs!$C$49+Inputs!$C$50))+Inputs!$C$47*0.097)))+0.3*(2*((SIN(((Model_Data!A199)*12.9898+(0)*78.233+Inputs!$C$47*37.719))*43758.5453)-INT((SIN(((Model_Data!A199)*12.9898+(0)*78.233+Inputs!$C$47*37.719))*43758.5453)))-1))))/1000)))*1000/Inputs!$C$12)-Model_Data!F199)</f>
        <v>128.05518172430698</v>
      </c>
      <c r="L199" s="10"/>
      <c r="M199" s="9">
        <f>Model_Data!A199</f>
        <v>38.5</v>
      </c>
      <c r="N199" s="9">
        <f>Model_Data!P199</f>
        <v>-288.38004049081604</v>
      </c>
      <c r="O199" s="9">
        <f t="shared" si="6"/>
        <v>-255.94543507304479</v>
      </c>
      <c r="P199" s="9">
        <f>Model_Data!Q199</f>
        <v>-43.300306380002411</v>
      </c>
      <c r="Q199" s="9">
        <f t="shared" si="7"/>
        <v>-38.430245506463187</v>
      </c>
      <c r="R199" s="10"/>
      <c r="S199" s="9">
        <f>Model_Data!A199</f>
        <v>38.5</v>
      </c>
      <c r="T199" s="9">
        <f>Model_Data!B199-Inputs!$C$5</f>
        <v>1.6469444444444434</v>
      </c>
      <c r="U199" s="10"/>
      <c r="V199" s="9">
        <f>Model_Data!A199</f>
        <v>38.5</v>
      </c>
      <c r="W199" s="9">
        <f>((SQRT((Model_Data!A199)^2+Inputs!$C$6^2+Inputs!$C$5^2)-Inputs!$C$5)*1000/Inputs!$C$12)</f>
        <v>1474.9698256880454</v>
      </c>
      <c r="X199" s="9">
        <f>Model_Data!F199</f>
        <v>1468.9609426904447</v>
      </c>
      <c r="Y199" s="10"/>
      <c r="Z199" s="9">
        <f>Model_Data!A199</f>
        <v>38.5</v>
      </c>
      <c r="AA199" s="9">
        <f>SQRT((Model_Data!A199)^2+Inputs!$C$6^2+((Model_Data!B199)-((Inputs!$C$51*(115*EXP(-(((Inputs!$C$6)-25)^2)/(4.5^2))+70*EXP(-(((Inputs!$C$6)+38)^2)/(7^2))*(0.55+0.45*SIN(2*PI()*(Model_Data!A199)/45))+24*SIN(2*PI()*(Inputs!$C$6)/9+(Model_Data!A199)/18)*EXP(-(((Inputs!$C$6)+5)^2)/(22^2))+18*SIN(2*PI()*(Model_Data!A199)/70))+Inputs!$C$28*EXP(-(((Model_Data!A199)-Inputs!$C$29)^2)/(2*Inputs!$C$31^2))*EXP(-(((Inputs!$C$6)-Inputs!$C$30)^2)/(2*Inputs!$C$32^2))+-Inputs!$C$33*EXP(-(((((Model_Data!A199)-Inputs!$C$34)^2)+(((Inputs!$C$6)-Inputs!$C$35)^2))/(2*Inputs!$C$36^2)))+Inputs!$C$37*(0.55*SIN(2*PI()*(Model_Data!A199)/Inputs!$C$39)+0.35*COS(2*PI()*(Inputs!$C$6)/Inputs!$C$40)+0.2*SIN(2*PI()*((Model_Data!A199)+(Inputs!$C$6))/(0.5*(Inputs!$C$39+Inputs!$C$40))))+Inputs!$C$38*SIN(2*PI()*(Model_Data!A199)/Inputs!$C$39)*SIN(2*PI()*(Inputs!$C$6)/Inputs!$C$40)+-Inputs!$C$41*EXP(-(((Inputs!$C$6)-Inputs!$C$43)^2)/(2*Inputs!$C$44^2))*EXP(-(((Model_Data!A199)-Inputs!$C$42)^2)/(2*Inputs!$C$45^2))+Inputs!$C$48*(0.7*(0.45*SIN(2*PI()*(((Model_Data!A199)/Inputs!$C$49)+Inputs!$C$47*0.137))+0.35*COS(2*PI()*(((Inputs!$C$6)/Inputs!$C$50)+Inputs!$C$47*0.173))+0.2*SIN(2*PI()*(((Model_Data!A199)+(Inputs!$C$6))/(0.5*(Inputs!$C$49+Inputs!$C$50))+Inputs!$C$47*0.097)))+0.3*(2*((SIN(((Model_Data!A199)*12.9898+(Inputs!$C$6)*78.233+Inputs!$C$47*37.719))*43758.5453)-INT((SIN(((Model_Data!A199)*12.9898+(Inputs!$C$6)*78.233+Inputs!$C$47*37.719))*43758.5453)))-1))))/1000)^2)</f>
        <v>403.95252726231234</v>
      </c>
      <c r="AB199" s="9">
        <f>1000*(AA200-AA198)/(Z200-Z198)*Inputs!$C$11</f>
        <v>639.86358768261198</v>
      </c>
      <c r="AC199" s="9">
        <f>-2*AB199/Inputs!$C$13</f>
        <v>-255.94543507304479</v>
      </c>
      <c r="AD199" s="9">
        <f>-2*AB199/Inputs!$C$14</f>
        <v>-38.430245506463187</v>
      </c>
    </row>
    <row r="200" spans="1:30">
      <c r="A200" s="9">
        <f>Model_Data!A200</f>
        <v>39</v>
      </c>
      <c r="B200" s="9">
        <f>((SQRT((Model_Data!A200)^2+Inputs!$C$6^2+Inputs!$C$5^2)-Inputs!$C$5)*1000/Inputs!$C$12)</f>
        <v>1502.0028440010826</v>
      </c>
      <c r="C200" s="9">
        <f>Model_Data!F200</f>
        <v>1495.7252757464753</v>
      </c>
      <c r="D200" s="9">
        <f>(((SQRT((Model_Data!A200)^2+Inputs!$C$6^2+((Model_Data!B200)-((Inputs!$C$51*(115*EXP(-(((Inputs!$C$6)-25)^2)/(4.5^2))+70*EXP(-(((Inputs!$C$6)+38)^2)/(7^2))*(0.55+0.45*SIN(2*PI()*(Model_Data!A200)/45))+24*SIN(2*PI()*(Inputs!$C$6)/9+(Model_Data!A200)/18)*EXP(-(((Inputs!$C$6)+5)^2)/(22^2))+18*SIN(2*PI()*(Model_Data!A200)/70))+Inputs!$C$28*EXP(-(((Model_Data!A200)-Inputs!$C$29)^2)/(2*Inputs!$C$31^2))*EXP(-(((Inputs!$C$6)-Inputs!$C$30)^2)/(2*Inputs!$C$32^2))+-Inputs!$C$33*EXP(-(((((Model_Data!A200)-Inputs!$C$34)^2)+(((Inputs!$C$6)-Inputs!$C$35)^2))/(2*Inputs!$C$36^2)))+Inputs!$C$37*(0.55*SIN(2*PI()*(Model_Data!A200)/Inputs!$C$39)+0.35*COS(2*PI()*(Inputs!$C$6)/Inputs!$C$40)+0.2*SIN(2*PI()*((Model_Data!A200)+(Inputs!$C$6))/(0.5*(Inputs!$C$39+Inputs!$C$40))))+Inputs!$C$38*SIN(2*PI()*(Model_Data!A200)/Inputs!$C$39)*SIN(2*PI()*(Inputs!$C$6)/Inputs!$C$40)+-Inputs!$C$41*EXP(-(((Inputs!$C$6)-Inputs!$C$43)^2)/(2*Inputs!$C$44^2))*EXP(-(((Model_Data!A200)-Inputs!$C$42)^2)/(2*Inputs!$C$45^2))+Inputs!$C$48*(0.7*(0.45*SIN(2*PI()*(((Model_Data!A200)/Inputs!$C$49)+Inputs!$C$47*0.137))+0.35*COS(2*PI()*(((Inputs!$C$6)/Inputs!$C$50)+Inputs!$C$47*0.173))+0.2*SIN(2*PI()*(((Model_Data!A200)+(Inputs!$C$6))/(0.5*(Inputs!$C$49+Inputs!$C$50))+Inputs!$C$47*0.097)))+0.3*(2*((SIN(((Model_Data!A200)*12.9898+(Inputs!$C$6)*78.233+Inputs!$C$47*37.719))*43758.5453)-INT((SIN(((Model_Data!A200)*12.9898+(Inputs!$C$6)*78.233+Inputs!$C$47*37.719))*43758.5453)))-1))))/1000)^2))-(((Model_Data!B200)-((Inputs!$C$51*(115*EXP(-(((0)-25)^2)/(4.5^2))+70*EXP(-(((0)+38)^2)/(7^2))*(0.55+0.45*SIN(2*PI()*(Model_Data!A200)/45))+24*SIN(2*PI()*(0)/9+(Model_Data!A200)/18)*EXP(-(((0)+5)^2)/(22^2))+18*SIN(2*PI()*(Model_Data!A200)/70))+Inputs!$C$28*EXP(-(((Model_Data!A200)-Inputs!$C$29)^2)/(2*Inputs!$C$31^2))*EXP(-(((0)-Inputs!$C$30)^2)/(2*Inputs!$C$32^2))+-Inputs!$C$33*EXP(-(((((Model_Data!A200)-Inputs!$C$34)^2)+(((0)-Inputs!$C$35)^2))/(2*Inputs!$C$36^2)))+Inputs!$C$37*(0.55*SIN(2*PI()*(Model_Data!A200)/Inputs!$C$39)+0.35*COS(2*PI()*(0)/Inputs!$C$40)+0.2*SIN(2*PI()*((Model_Data!A200)+(0))/(0.5*(Inputs!$C$39+Inputs!$C$40))))+Inputs!$C$38*SIN(2*PI()*(Model_Data!A200)/Inputs!$C$39)*SIN(2*PI()*(0)/Inputs!$C$40)+-Inputs!$C$41*EXP(-(((0)-Inputs!$C$43)^2)/(2*Inputs!$C$44^2))*EXP(-(((Model_Data!A200)-Inputs!$C$42)^2)/(2*Inputs!$C$45^2))+Inputs!$C$48*(0.7*(0.45*SIN(2*PI()*(((Model_Data!A200)/Inputs!$C$49)+Inputs!$C$47*0.137))+0.35*COS(2*PI()*(((0)/Inputs!$C$50)+Inputs!$C$47*0.173))+0.2*SIN(2*PI()*(((Model_Data!A200)+(0))/(0.5*(Inputs!$C$49+Inputs!$C$50))+Inputs!$C$47*0.097)))+0.3*(2*((SIN(((Model_Data!A200)*12.9898+(0)*78.233+Inputs!$C$47*37.719))*43758.5453)-INT((SIN(((Model_Data!A200)*12.9898+(0)*78.233+Inputs!$C$47*37.719))*43758.5453)))-1))))/1000)))*1000/Inputs!$C$12)</f>
        <v>1373.2026240109199</v>
      </c>
      <c r="E200" s="9">
        <f>Model_Data!A200</f>
        <v>39</v>
      </c>
      <c r="F200" s="9">
        <f>(Inputs!$C$51*(115*EXP(-(((Inputs!$C$6)-25)^2)/(4.5^2))+70*EXP(-(((Inputs!$C$6)+38)^2)/(7^2))*(0.55+0.45*SIN(2*PI()*(Model_Data!A200)/45))+24*SIN(2*PI()*(Inputs!$C$6)/9+(Model_Data!A200)/18)*EXP(-(((Inputs!$C$6)+5)^2)/(22^2))+18*SIN(2*PI()*(Model_Data!A200)/70))+Inputs!$C$28*EXP(-(((Model_Data!A200)-Inputs!$C$29)^2)/(2*Inputs!$C$31^2))*EXP(-(((Inputs!$C$6)-Inputs!$C$30)^2)/(2*Inputs!$C$32^2))+-Inputs!$C$33*EXP(-(((((Model_Data!A200)-Inputs!$C$34)^2)+(((Inputs!$C$6)-Inputs!$C$35)^2))/(2*Inputs!$C$36^2)))+Inputs!$C$37*(0.55*SIN(2*PI()*(Model_Data!A200)/Inputs!$C$39)+0.35*COS(2*PI()*(Inputs!$C$6)/Inputs!$C$40)+0.2*SIN(2*PI()*((Model_Data!A200)+(Inputs!$C$6))/(0.5*(Inputs!$C$39+Inputs!$C$40))))+Inputs!$C$38*SIN(2*PI()*(Model_Data!A200)/Inputs!$C$39)*SIN(2*PI()*(Inputs!$C$6)/Inputs!$C$40)+-Inputs!$C$41*EXP(-(((Inputs!$C$6)-Inputs!$C$43)^2)/(2*Inputs!$C$44^2))*EXP(-(((Model_Data!A200)-Inputs!$C$42)^2)/(2*Inputs!$C$45^2))+Inputs!$C$48*(0.7*(0.45*SIN(2*PI()*(((Model_Data!A200)/Inputs!$C$49)+Inputs!$C$47*0.137))+0.35*COS(2*PI()*(((Inputs!$C$6)/Inputs!$C$50)+Inputs!$C$47*0.173))+0.2*SIN(2*PI()*(((Model_Data!A200)+(Inputs!$C$6))/(0.5*(Inputs!$C$49+Inputs!$C$50))+Inputs!$C$47*0.097)))+0.3*(2*((SIN(((Model_Data!A200)*12.9898+(Inputs!$C$6)*78.233+Inputs!$C$47*37.719))*43758.5453)-INT((SIN(((Model_Data!A200)*12.9898+(Inputs!$C$6)*78.233+Inputs!$C$47*37.719))*43758.5453)))-1)))</f>
        <v>302.84354967777892</v>
      </c>
      <c r="G200" s="9">
        <f>(Inputs!$C$51*(115*EXP(-(((0)-25)^2)/(4.5^2))+70*EXP(-(((0)+38)^2)/(7^2))*(0.55+0.45*SIN(2*PI()*(Model_Data!A200)/45))+24*SIN(2*PI()*(0)/9+(Model_Data!A200)/18)*EXP(-(((0)+5)^2)/(22^2))+18*SIN(2*PI()*(Model_Data!A200)/70))+Inputs!$C$28*EXP(-(((Model_Data!A200)-Inputs!$C$29)^2)/(2*Inputs!$C$31^2))*EXP(-(((0)-Inputs!$C$30)^2)/(2*Inputs!$C$32^2))+-Inputs!$C$33*EXP(-(((((Model_Data!A200)-Inputs!$C$34)^2)+(((0)-Inputs!$C$35)^2))/(2*Inputs!$C$36^2)))+Inputs!$C$37*(0.55*SIN(2*PI()*(Model_Data!A200)/Inputs!$C$39)+0.35*COS(2*PI()*(0)/Inputs!$C$40)+0.2*SIN(2*PI()*((Model_Data!A200)+(0))/(0.5*(Inputs!$C$39+Inputs!$C$40))))+Inputs!$C$38*SIN(2*PI()*(Model_Data!A200)/Inputs!$C$39)*SIN(2*PI()*(0)/Inputs!$C$40)+-Inputs!$C$41*EXP(-(((0)-Inputs!$C$43)^2)/(2*Inputs!$C$44^2))*EXP(-(((Model_Data!A200)-Inputs!$C$42)^2)/(2*Inputs!$C$45^2))+Inputs!$C$48*(0.7*(0.45*SIN(2*PI()*(((Model_Data!A200)/Inputs!$C$49)+Inputs!$C$47*0.137))+0.35*COS(2*PI()*(((0)/Inputs!$C$50)+Inputs!$C$47*0.173))+0.2*SIN(2*PI()*(((Model_Data!A200)+(0))/(0.5*(Inputs!$C$49+Inputs!$C$50))+Inputs!$C$47*0.097)))+0.3*(2*((SIN(((Model_Data!A200)*12.9898+(0)*78.233+Inputs!$C$47*37.719))*43758.5453)-INT((SIN(((Model_Data!A200)*12.9898+(0)*78.233+Inputs!$C$47*37.719))*43758.5453)))-1)))</f>
        <v>82.757717027313632</v>
      </c>
      <c r="H200" s="10"/>
      <c r="I200" s="9">
        <f>Model_Data!A200</f>
        <v>39</v>
      </c>
      <c r="J200" s="9">
        <f>(Inputs!$C$51*(115*EXP(-(((Inputs!$C$6)-25)^2)/(4.5^2))+70*EXP(-(((Inputs!$C$6)+38)^2)/(7^2))*(0.55+0.45*SIN(2*PI()*(Model_Data!A200)/45))+24*SIN(2*PI()*(Inputs!$C$6)/9+(Model_Data!A200)/18)*EXP(-(((Inputs!$C$6)+5)^2)/(22^2))+18*SIN(2*PI()*(Model_Data!A200)/70))+Inputs!$C$28*EXP(-(((Model_Data!A200)-Inputs!$C$29)^2)/(2*Inputs!$C$31^2))*EXP(-(((Inputs!$C$6)-Inputs!$C$30)^2)/(2*Inputs!$C$32^2))+-Inputs!$C$33*EXP(-(((((Model_Data!A200)-Inputs!$C$34)^2)+(((Inputs!$C$6)-Inputs!$C$35)^2))/(2*Inputs!$C$36^2)))+Inputs!$C$37*(0.55*SIN(2*PI()*(Model_Data!A200)/Inputs!$C$39)+0.35*COS(2*PI()*(Inputs!$C$6)/Inputs!$C$40)+0.2*SIN(2*PI()*((Model_Data!A200)+(Inputs!$C$6))/(0.5*(Inputs!$C$39+Inputs!$C$40))))+Inputs!$C$38*SIN(2*PI()*(Model_Data!A200)/Inputs!$C$39)*SIN(2*PI()*(Inputs!$C$6)/Inputs!$C$40)+-Inputs!$C$41*EXP(-(((Inputs!$C$6)-Inputs!$C$43)^2)/(2*Inputs!$C$44^2))*EXP(-(((Model_Data!A200)-Inputs!$C$42)^2)/(2*Inputs!$C$45^2))+Inputs!$C$48*(0.7*(0.45*SIN(2*PI()*(((Model_Data!A200)/Inputs!$C$49)+Inputs!$C$47*0.137))+0.35*COS(2*PI()*(((Inputs!$C$6)/Inputs!$C$50)+Inputs!$C$47*0.173))+0.2*SIN(2*PI()*(((Model_Data!A200)+(Inputs!$C$6))/(0.5*(Inputs!$C$49+Inputs!$C$50))+Inputs!$C$47*0.097)))+0.3*(2*((SIN(((Model_Data!A200)*12.9898+(Inputs!$C$6)*78.233+Inputs!$C$47*37.719))*43758.5453)-INT((SIN(((Model_Data!A200)*12.9898+(Inputs!$C$6)*78.233+Inputs!$C$47*37.719))*43758.5453)))-1)))</f>
        <v>302.84354967777892</v>
      </c>
      <c r="K200" s="9">
        <f>-((((SQRT((Model_Data!A200)^2+Inputs!$C$6^2+((Model_Data!B200)-((Inputs!$C$51*(115*EXP(-(((Inputs!$C$6)-25)^2)/(4.5^2))+70*EXP(-(((Inputs!$C$6)+38)^2)/(7^2))*(0.55+0.45*SIN(2*PI()*(Model_Data!A200)/45))+24*SIN(2*PI()*(Inputs!$C$6)/9+(Model_Data!A200)/18)*EXP(-(((Inputs!$C$6)+5)^2)/(22^2))+18*SIN(2*PI()*(Model_Data!A200)/70))+Inputs!$C$28*EXP(-(((Model_Data!A200)-Inputs!$C$29)^2)/(2*Inputs!$C$31^2))*EXP(-(((Inputs!$C$6)-Inputs!$C$30)^2)/(2*Inputs!$C$32^2))+-Inputs!$C$33*EXP(-(((((Model_Data!A200)-Inputs!$C$34)^2)+(((Inputs!$C$6)-Inputs!$C$35)^2))/(2*Inputs!$C$36^2)))+Inputs!$C$37*(0.55*SIN(2*PI()*(Model_Data!A200)/Inputs!$C$39)+0.35*COS(2*PI()*(Inputs!$C$6)/Inputs!$C$40)+0.2*SIN(2*PI()*((Model_Data!A200)+(Inputs!$C$6))/(0.5*(Inputs!$C$39+Inputs!$C$40))))+Inputs!$C$38*SIN(2*PI()*(Model_Data!A200)/Inputs!$C$39)*SIN(2*PI()*(Inputs!$C$6)/Inputs!$C$40)+-Inputs!$C$41*EXP(-(((Inputs!$C$6)-Inputs!$C$43)^2)/(2*Inputs!$C$44^2))*EXP(-(((Model_Data!A200)-Inputs!$C$42)^2)/(2*Inputs!$C$45^2))+Inputs!$C$48*(0.7*(0.45*SIN(2*PI()*(((Model_Data!A200)/Inputs!$C$49)+Inputs!$C$47*0.137))+0.35*COS(2*PI()*(((Inputs!$C$6)/Inputs!$C$50)+Inputs!$C$47*0.173))+0.2*SIN(2*PI()*(((Model_Data!A200)+(Inputs!$C$6))/(0.5*(Inputs!$C$49+Inputs!$C$50))+Inputs!$C$47*0.097)))+0.3*(2*((SIN(((Model_Data!A200)*12.9898+(Inputs!$C$6)*78.233+Inputs!$C$47*37.719))*43758.5453)-INT((SIN(((Model_Data!A200)*12.9898+(Inputs!$C$6)*78.233+Inputs!$C$47*37.719))*43758.5453)))-1))))/1000)^2))-(((Model_Data!B200)-((Inputs!$C$51*(115*EXP(-(((0)-25)^2)/(4.5^2))+70*EXP(-(((0)+38)^2)/(7^2))*(0.55+0.45*SIN(2*PI()*(Model_Data!A200)/45))+24*SIN(2*PI()*(0)/9+(Model_Data!A200)/18)*EXP(-(((0)+5)^2)/(22^2))+18*SIN(2*PI()*(Model_Data!A200)/70))+Inputs!$C$28*EXP(-(((Model_Data!A200)-Inputs!$C$29)^2)/(2*Inputs!$C$31^2))*EXP(-(((0)-Inputs!$C$30)^2)/(2*Inputs!$C$32^2))+-Inputs!$C$33*EXP(-(((((Model_Data!A200)-Inputs!$C$34)^2)+(((0)-Inputs!$C$35)^2))/(2*Inputs!$C$36^2)))+Inputs!$C$37*(0.55*SIN(2*PI()*(Model_Data!A200)/Inputs!$C$39)+0.35*COS(2*PI()*(0)/Inputs!$C$40)+0.2*SIN(2*PI()*((Model_Data!A200)+(0))/(0.5*(Inputs!$C$39+Inputs!$C$40))))+Inputs!$C$38*SIN(2*PI()*(Model_Data!A200)/Inputs!$C$39)*SIN(2*PI()*(0)/Inputs!$C$40)+-Inputs!$C$41*EXP(-(((0)-Inputs!$C$43)^2)/(2*Inputs!$C$44^2))*EXP(-(((Model_Data!A200)-Inputs!$C$42)^2)/(2*Inputs!$C$45^2))+Inputs!$C$48*(0.7*(0.45*SIN(2*PI()*(((Model_Data!A200)/Inputs!$C$49)+Inputs!$C$47*0.137))+0.35*COS(2*PI()*(((0)/Inputs!$C$50)+Inputs!$C$47*0.173))+0.2*SIN(2*PI()*(((Model_Data!A200)+(0))/(0.5*(Inputs!$C$49+Inputs!$C$50))+Inputs!$C$47*0.097)))+0.3*(2*((SIN(((Model_Data!A200)*12.9898+(0)*78.233+Inputs!$C$47*37.719))*43758.5453)-INT((SIN(((Model_Data!A200)*12.9898+(0)*78.233+Inputs!$C$47*37.719))*43758.5453)))-1))))/1000)))*1000/Inputs!$C$12)-Model_Data!F200)</f>
        <v>122.52265173555543</v>
      </c>
      <c r="L200" s="10"/>
      <c r="M200" s="9">
        <f>Model_Data!A200</f>
        <v>39</v>
      </c>
      <c r="N200" s="9">
        <f>Model_Data!P200</f>
        <v>-292.07447752179121</v>
      </c>
      <c r="O200" s="9">
        <f t="shared" si="6"/>
        <v>-311.66326014426886</v>
      </c>
      <c r="P200" s="9">
        <f>Model_Data!Q200</f>
        <v>-43.855026654923606</v>
      </c>
      <c r="Q200" s="9">
        <f t="shared" si="7"/>
        <v>-46.796285306947283</v>
      </c>
      <c r="R200" s="10"/>
      <c r="S200" s="9">
        <f>Model_Data!A200</f>
        <v>39</v>
      </c>
      <c r="T200" s="9">
        <f>Model_Data!B200-Inputs!$C$5</f>
        <v>1.6899999999999977</v>
      </c>
      <c r="U200" s="10"/>
      <c r="V200" s="9">
        <f>Model_Data!A200</f>
        <v>39</v>
      </c>
      <c r="W200" s="9">
        <f>((SQRT((Model_Data!A200)^2+Inputs!$C$6^2+Inputs!$C$5^2)-Inputs!$C$5)*1000/Inputs!$C$12)</f>
        <v>1502.0028440010826</v>
      </c>
      <c r="X200" s="9">
        <f>Model_Data!F200</f>
        <v>1495.7252757464753</v>
      </c>
      <c r="Y200" s="10"/>
      <c r="Z200" s="9">
        <f>Model_Data!A200</f>
        <v>39</v>
      </c>
      <c r="AA200" s="9">
        <f>SQRT((Model_Data!A200)^2+Inputs!$C$6^2+((Model_Data!B200)-((Inputs!$C$51*(115*EXP(-(((Inputs!$C$6)-25)^2)/(4.5^2))+70*EXP(-(((Inputs!$C$6)+38)^2)/(7^2))*(0.55+0.45*SIN(2*PI()*(Model_Data!A200)/45))+24*SIN(2*PI()*(Inputs!$C$6)/9+(Model_Data!A200)/18)*EXP(-(((Inputs!$C$6)+5)^2)/(22^2))+18*SIN(2*PI()*(Model_Data!A200)/70))+Inputs!$C$28*EXP(-(((Model_Data!A200)-Inputs!$C$29)^2)/(2*Inputs!$C$31^2))*EXP(-(((Inputs!$C$6)-Inputs!$C$30)^2)/(2*Inputs!$C$32^2))+-Inputs!$C$33*EXP(-(((((Model_Data!A200)-Inputs!$C$34)^2)+(((Inputs!$C$6)-Inputs!$C$35)^2))/(2*Inputs!$C$36^2)))+Inputs!$C$37*(0.55*SIN(2*PI()*(Model_Data!A200)/Inputs!$C$39)+0.35*COS(2*PI()*(Inputs!$C$6)/Inputs!$C$40)+0.2*SIN(2*PI()*((Model_Data!A200)+(Inputs!$C$6))/(0.5*(Inputs!$C$39+Inputs!$C$40))))+Inputs!$C$38*SIN(2*PI()*(Model_Data!A200)/Inputs!$C$39)*SIN(2*PI()*(Inputs!$C$6)/Inputs!$C$40)+-Inputs!$C$41*EXP(-(((Inputs!$C$6)-Inputs!$C$43)^2)/(2*Inputs!$C$44^2))*EXP(-(((Model_Data!A200)-Inputs!$C$42)^2)/(2*Inputs!$C$45^2))+Inputs!$C$48*(0.7*(0.45*SIN(2*PI()*(((Model_Data!A200)/Inputs!$C$49)+Inputs!$C$47*0.137))+0.35*COS(2*PI()*(((Inputs!$C$6)/Inputs!$C$50)+Inputs!$C$47*0.173))+0.2*SIN(2*PI()*(((Model_Data!A200)+(Inputs!$C$6))/(0.5*(Inputs!$C$49+Inputs!$C$50))+Inputs!$C$47*0.097)))+0.3*(2*((SIN(((Model_Data!A200)*12.9898+(Inputs!$C$6)*78.233+Inputs!$C$47*37.719))*43758.5453)-INT((SIN(((Model_Data!A200)*12.9898+(Inputs!$C$6)*78.233+Inputs!$C$47*37.719))*43758.5453)))-1))))/1000)^2)</f>
        <v>404.0515429537121</v>
      </c>
      <c r="AB200" s="9">
        <f>1000*(AA201-AA199)/(Z201-Z199)*Inputs!$C$11</f>
        <v>779.15815036067215</v>
      </c>
      <c r="AC200" s="9">
        <f>-2*AB200/Inputs!$C$13</f>
        <v>-311.66326014426886</v>
      </c>
      <c r="AD200" s="9">
        <f>-2*AB200/Inputs!$C$14</f>
        <v>-46.796285306947283</v>
      </c>
    </row>
    <row r="201" spans="1:30">
      <c r="A201" s="9">
        <f>Model_Data!A201</f>
        <v>39.5</v>
      </c>
      <c r="B201" s="9">
        <f>((SQRT((Model_Data!A201)^2+Inputs!$C$6^2+Inputs!$C$5^2)-Inputs!$C$5)*1000/Inputs!$C$12)</f>
        <v>1529.3813826619735</v>
      </c>
      <c r="C201" s="9">
        <f>Model_Data!F201</f>
        <v>1522.8259318957901</v>
      </c>
      <c r="D201" s="9">
        <f>(((SQRT((Model_Data!A201)^2+Inputs!$C$6^2+((Model_Data!B201)-((Inputs!$C$51*(115*EXP(-(((Inputs!$C$6)-25)^2)/(4.5^2))+70*EXP(-(((Inputs!$C$6)+38)^2)/(7^2))*(0.55+0.45*SIN(2*PI()*(Model_Data!A201)/45))+24*SIN(2*PI()*(Inputs!$C$6)/9+(Model_Data!A201)/18)*EXP(-(((Inputs!$C$6)+5)^2)/(22^2))+18*SIN(2*PI()*(Model_Data!A201)/70))+Inputs!$C$28*EXP(-(((Model_Data!A201)-Inputs!$C$29)^2)/(2*Inputs!$C$31^2))*EXP(-(((Inputs!$C$6)-Inputs!$C$30)^2)/(2*Inputs!$C$32^2))+-Inputs!$C$33*EXP(-(((((Model_Data!A201)-Inputs!$C$34)^2)+(((Inputs!$C$6)-Inputs!$C$35)^2))/(2*Inputs!$C$36^2)))+Inputs!$C$37*(0.55*SIN(2*PI()*(Model_Data!A201)/Inputs!$C$39)+0.35*COS(2*PI()*(Inputs!$C$6)/Inputs!$C$40)+0.2*SIN(2*PI()*((Model_Data!A201)+(Inputs!$C$6))/(0.5*(Inputs!$C$39+Inputs!$C$40))))+Inputs!$C$38*SIN(2*PI()*(Model_Data!A201)/Inputs!$C$39)*SIN(2*PI()*(Inputs!$C$6)/Inputs!$C$40)+-Inputs!$C$41*EXP(-(((Inputs!$C$6)-Inputs!$C$43)^2)/(2*Inputs!$C$44^2))*EXP(-(((Model_Data!A201)-Inputs!$C$42)^2)/(2*Inputs!$C$45^2))+Inputs!$C$48*(0.7*(0.45*SIN(2*PI()*(((Model_Data!A201)/Inputs!$C$49)+Inputs!$C$47*0.137))+0.35*COS(2*PI()*(((Inputs!$C$6)/Inputs!$C$50)+Inputs!$C$47*0.173))+0.2*SIN(2*PI()*(((Model_Data!A201)+(Inputs!$C$6))/(0.5*(Inputs!$C$49+Inputs!$C$50))+Inputs!$C$47*0.097)))+0.3*(2*((SIN(((Model_Data!A201)*12.9898+(Inputs!$C$6)*78.233+Inputs!$C$47*37.719))*43758.5453)-INT((SIN(((Model_Data!A201)*12.9898+(Inputs!$C$6)*78.233+Inputs!$C$47*37.719))*43758.5453)))-1))))/1000)^2))-(((Model_Data!B201)-((Inputs!$C$51*(115*EXP(-(((0)-25)^2)/(4.5^2))+70*EXP(-(((0)+38)^2)/(7^2))*(0.55+0.45*SIN(2*PI()*(Model_Data!A201)/45))+24*SIN(2*PI()*(0)/9+(Model_Data!A201)/18)*EXP(-(((0)+5)^2)/(22^2))+18*SIN(2*PI()*(Model_Data!A201)/70))+Inputs!$C$28*EXP(-(((Model_Data!A201)-Inputs!$C$29)^2)/(2*Inputs!$C$31^2))*EXP(-(((0)-Inputs!$C$30)^2)/(2*Inputs!$C$32^2))+-Inputs!$C$33*EXP(-(((((Model_Data!A201)-Inputs!$C$34)^2)+(((0)-Inputs!$C$35)^2))/(2*Inputs!$C$36^2)))+Inputs!$C$37*(0.55*SIN(2*PI()*(Model_Data!A201)/Inputs!$C$39)+0.35*COS(2*PI()*(0)/Inputs!$C$40)+0.2*SIN(2*PI()*((Model_Data!A201)+(0))/(0.5*(Inputs!$C$39+Inputs!$C$40))))+Inputs!$C$38*SIN(2*PI()*(Model_Data!A201)/Inputs!$C$39)*SIN(2*PI()*(0)/Inputs!$C$40)+-Inputs!$C$41*EXP(-(((0)-Inputs!$C$43)^2)/(2*Inputs!$C$44^2))*EXP(-(((Model_Data!A201)-Inputs!$C$42)^2)/(2*Inputs!$C$45^2))+Inputs!$C$48*(0.7*(0.45*SIN(2*PI()*(((Model_Data!A201)/Inputs!$C$49)+Inputs!$C$47*0.137))+0.35*COS(2*PI()*(((0)/Inputs!$C$50)+Inputs!$C$47*0.173))+0.2*SIN(2*PI()*(((Model_Data!A201)+(0))/(0.5*(Inputs!$C$49+Inputs!$C$50))+Inputs!$C$47*0.097)))+0.3*(2*((SIN(((Model_Data!A201)*12.9898+(0)*78.233+Inputs!$C$47*37.719))*43758.5453)-INT((SIN(((Model_Data!A201)*12.9898+(0)*78.233+Inputs!$C$47*37.719))*43758.5453)))-1))))/1000)))*1000/Inputs!$C$12)</f>
        <v>1398.886743647146</v>
      </c>
      <c r="E201" s="9">
        <f>Model_Data!A201</f>
        <v>39.5</v>
      </c>
      <c r="F201" s="9">
        <f>(Inputs!$C$51*(115*EXP(-(((Inputs!$C$6)-25)^2)/(4.5^2))+70*EXP(-(((Inputs!$C$6)+38)^2)/(7^2))*(0.55+0.45*SIN(2*PI()*(Model_Data!A201)/45))+24*SIN(2*PI()*(Inputs!$C$6)/9+(Model_Data!A201)/18)*EXP(-(((Inputs!$C$6)+5)^2)/(22^2))+18*SIN(2*PI()*(Model_Data!A201)/70))+Inputs!$C$28*EXP(-(((Model_Data!A201)-Inputs!$C$29)^2)/(2*Inputs!$C$31^2))*EXP(-(((Inputs!$C$6)-Inputs!$C$30)^2)/(2*Inputs!$C$32^2))+-Inputs!$C$33*EXP(-(((((Model_Data!A201)-Inputs!$C$34)^2)+(((Inputs!$C$6)-Inputs!$C$35)^2))/(2*Inputs!$C$36^2)))+Inputs!$C$37*(0.55*SIN(2*PI()*(Model_Data!A201)/Inputs!$C$39)+0.35*COS(2*PI()*(Inputs!$C$6)/Inputs!$C$40)+0.2*SIN(2*PI()*((Model_Data!A201)+(Inputs!$C$6))/(0.5*(Inputs!$C$39+Inputs!$C$40))))+Inputs!$C$38*SIN(2*PI()*(Model_Data!A201)/Inputs!$C$39)*SIN(2*PI()*(Inputs!$C$6)/Inputs!$C$40)+-Inputs!$C$41*EXP(-(((Inputs!$C$6)-Inputs!$C$43)^2)/(2*Inputs!$C$44^2))*EXP(-(((Model_Data!A201)-Inputs!$C$42)^2)/(2*Inputs!$C$45^2))+Inputs!$C$48*(0.7*(0.45*SIN(2*PI()*(((Model_Data!A201)/Inputs!$C$49)+Inputs!$C$47*0.137))+0.35*COS(2*PI()*(((Inputs!$C$6)/Inputs!$C$50)+Inputs!$C$47*0.173))+0.2*SIN(2*PI()*(((Model_Data!A201)+(Inputs!$C$6))/(0.5*(Inputs!$C$49+Inputs!$C$50))+Inputs!$C$47*0.097)))+0.3*(2*((SIN(((Model_Data!A201)*12.9898+(Inputs!$C$6)*78.233+Inputs!$C$47*37.719))*43758.5453)-INT((SIN(((Model_Data!A201)*12.9898+(Inputs!$C$6)*78.233+Inputs!$C$47*37.719))*43758.5453)))-1)))</f>
        <v>298.92940490778824</v>
      </c>
      <c r="G201" s="9">
        <f>(Inputs!$C$51*(115*EXP(-(((0)-25)^2)/(4.5^2))+70*EXP(-(((0)+38)^2)/(7^2))*(0.55+0.45*SIN(2*PI()*(Model_Data!A201)/45))+24*SIN(2*PI()*(0)/9+(Model_Data!A201)/18)*EXP(-(((0)+5)^2)/(22^2))+18*SIN(2*PI()*(Model_Data!A201)/70))+Inputs!$C$28*EXP(-(((Model_Data!A201)-Inputs!$C$29)^2)/(2*Inputs!$C$31^2))*EXP(-(((0)-Inputs!$C$30)^2)/(2*Inputs!$C$32^2))+-Inputs!$C$33*EXP(-(((((Model_Data!A201)-Inputs!$C$34)^2)+(((0)-Inputs!$C$35)^2))/(2*Inputs!$C$36^2)))+Inputs!$C$37*(0.55*SIN(2*PI()*(Model_Data!A201)/Inputs!$C$39)+0.35*COS(2*PI()*(0)/Inputs!$C$40)+0.2*SIN(2*PI()*((Model_Data!A201)+(0))/(0.5*(Inputs!$C$39+Inputs!$C$40))))+Inputs!$C$38*SIN(2*PI()*(Model_Data!A201)/Inputs!$C$39)*SIN(2*PI()*(0)/Inputs!$C$40)+-Inputs!$C$41*EXP(-(((0)-Inputs!$C$43)^2)/(2*Inputs!$C$44^2))*EXP(-(((Model_Data!A201)-Inputs!$C$42)^2)/(2*Inputs!$C$45^2))+Inputs!$C$48*(0.7*(0.45*SIN(2*PI()*(((Model_Data!A201)/Inputs!$C$49)+Inputs!$C$47*0.137))+0.35*COS(2*PI()*(((0)/Inputs!$C$50)+Inputs!$C$47*0.173))+0.2*SIN(2*PI()*(((Model_Data!A201)+(0))/(0.5*(Inputs!$C$49+Inputs!$C$50))+Inputs!$C$47*0.097)))+0.3*(2*((SIN(((Model_Data!A201)*12.9898+(0)*78.233+Inputs!$C$47*37.719))*43758.5453)-INT((SIN(((Model_Data!A201)*12.9898+(0)*78.233+Inputs!$C$47*37.719))*43758.5453)))-1)))</f>
        <v>76.312714900519723</v>
      </c>
      <c r="H201" s="10"/>
      <c r="I201" s="9">
        <f>Model_Data!A201</f>
        <v>39.5</v>
      </c>
      <c r="J201" s="9">
        <f>(Inputs!$C$51*(115*EXP(-(((Inputs!$C$6)-25)^2)/(4.5^2))+70*EXP(-(((Inputs!$C$6)+38)^2)/(7^2))*(0.55+0.45*SIN(2*PI()*(Model_Data!A201)/45))+24*SIN(2*PI()*(Inputs!$C$6)/9+(Model_Data!A201)/18)*EXP(-(((Inputs!$C$6)+5)^2)/(22^2))+18*SIN(2*PI()*(Model_Data!A201)/70))+Inputs!$C$28*EXP(-(((Model_Data!A201)-Inputs!$C$29)^2)/(2*Inputs!$C$31^2))*EXP(-(((Inputs!$C$6)-Inputs!$C$30)^2)/(2*Inputs!$C$32^2))+-Inputs!$C$33*EXP(-(((((Model_Data!A201)-Inputs!$C$34)^2)+(((Inputs!$C$6)-Inputs!$C$35)^2))/(2*Inputs!$C$36^2)))+Inputs!$C$37*(0.55*SIN(2*PI()*(Model_Data!A201)/Inputs!$C$39)+0.35*COS(2*PI()*(Inputs!$C$6)/Inputs!$C$40)+0.2*SIN(2*PI()*((Model_Data!A201)+(Inputs!$C$6))/(0.5*(Inputs!$C$39+Inputs!$C$40))))+Inputs!$C$38*SIN(2*PI()*(Model_Data!A201)/Inputs!$C$39)*SIN(2*PI()*(Inputs!$C$6)/Inputs!$C$40)+-Inputs!$C$41*EXP(-(((Inputs!$C$6)-Inputs!$C$43)^2)/(2*Inputs!$C$44^2))*EXP(-(((Model_Data!A201)-Inputs!$C$42)^2)/(2*Inputs!$C$45^2))+Inputs!$C$48*(0.7*(0.45*SIN(2*PI()*(((Model_Data!A201)/Inputs!$C$49)+Inputs!$C$47*0.137))+0.35*COS(2*PI()*(((Inputs!$C$6)/Inputs!$C$50)+Inputs!$C$47*0.173))+0.2*SIN(2*PI()*(((Model_Data!A201)+(Inputs!$C$6))/(0.5*(Inputs!$C$49+Inputs!$C$50))+Inputs!$C$47*0.097)))+0.3*(2*((SIN(((Model_Data!A201)*12.9898+(Inputs!$C$6)*78.233+Inputs!$C$47*37.719))*43758.5453)-INT((SIN(((Model_Data!A201)*12.9898+(Inputs!$C$6)*78.233+Inputs!$C$47*37.719))*43758.5453)))-1)))</f>
        <v>298.92940490778824</v>
      </c>
      <c r="K201" s="9">
        <f>-((((SQRT((Model_Data!A201)^2+Inputs!$C$6^2+((Model_Data!B201)-((Inputs!$C$51*(115*EXP(-(((Inputs!$C$6)-25)^2)/(4.5^2))+70*EXP(-(((Inputs!$C$6)+38)^2)/(7^2))*(0.55+0.45*SIN(2*PI()*(Model_Data!A201)/45))+24*SIN(2*PI()*(Inputs!$C$6)/9+(Model_Data!A201)/18)*EXP(-(((Inputs!$C$6)+5)^2)/(22^2))+18*SIN(2*PI()*(Model_Data!A201)/70))+Inputs!$C$28*EXP(-(((Model_Data!A201)-Inputs!$C$29)^2)/(2*Inputs!$C$31^2))*EXP(-(((Inputs!$C$6)-Inputs!$C$30)^2)/(2*Inputs!$C$32^2))+-Inputs!$C$33*EXP(-(((((Model_Data!A201)-Inputs!$C$34)^2)+(((Inputs!$C$6)-Inputs!$C$35)^2))/(2*Inputs!$C$36^2)))+Inputs!$C$37*(0.55*SIN(2*PI()*(Model_Data!A201)/Inputs!$C$39)+0.35*COS(2*PI()*(Inputs!$C$6)/Inputs!$C$40)+0.2*SIN(2*PI()*((Model_Data!A201)+(Inputs!$C$6))/(0.5*(Inputs!$C$39+Inputs!$C$40))))+Inputs!$C$38*SIN(2*PI()*(Model_Data!A201)/Inputs!$C$39)*SIN(2*PI()*(Inputs!$C$6)/Inputs!$C$40)+-Inputs!$C$41*EXP(-(((Inputs!$C$6)-Inputs!$C$43)^2)/(2*Inputs!$C$44^2))*EXP(-(((Model_Data!A201)-Inputs!$C$42)^2)/(2*Inputs!$C$45^2))+Inputs!$C$48*(0.7*(0.45*SIN(2*PI()*(((Model_Data!A201)/Inputs!$C$49)+Inputs!$C$47*0.137))+0.35*COS(2*PI()*(((Inputs!$C$6)/Inputs!$C$50)+Inputs!$C$47*0.173))+0.2*SIN(2*PI()*(((Model_Data!A201)+(Inputs!$C$6))/(0.5*(Inputs!$C$49+Inputs!$C$50))+Inputs!$C$47*0.097)))+0.3*(2*((SIN(((Model_Data!A201)*12.9898+(Inputs!$C$6)*78.233+Inputs!$C$47*37.719))*43758.5453)-INT((SIN(((Model_Data!A201)*12.9898+(Inputs!$C$6)*78.233+Inputs!$C$47*37.719))*43758.5453)))-1))))/1000)^2))-(((Model_Data!B201)-((Inputs!$C$51*(115*EXP(-(((0)-25)^2)/(4.5^2))+70*EXP(-(((0)+38)^2)/(7^2))*(0.55+0.45*SIN(2*PI()*(Model_Data!A201)/45))+24*SIN(2*PI()*(0)/9+(Model_Data!A201)/18)*EXP(-(((0)+5)^2)/(22^2))+18*SIN(2*PI()*(Model_Data!A201)/70))+Inputs!$C$28*EXP(-(((Model_Data!A201)-Inputs!$C$29)^2)/(2*Inputs!$C$31^2))*EXP(-(((0)-Inputs!$C$30)^2)/(2*Inputs!$C$32^2))+-Inputs!$C$33*EXP(-(((((Model_Data!A201)-Inputs!$C$34)^2)+(((0)-Inputs!$C$35)^2))/(2*Inputs!$C$36^2)))+Inputs!$C$37*(0.55*SIN(2*PI()*(Model_Data!A201)/Inputs!$C$39)+0.35*COS(2*PI()*(0)/Inputs!$C$40)+0.2*SIN(2*PI()*((Model_Data!A201)+(0))/(0.5*(Inputs!$C$39+Inputs!$C$40))))+Inputs!$C$38*SIN(2*PI()*(Model_Data!A201)/Inputs!$C$39)*SIN(2*PI()*(0)/Inputs!$C$40)+-Inputs!$C$41*EXP(-(((0)-Inputs!$C$43)^2)/(2*Inputs!$C$44^2))*EXP(-(((Model_Data!A201)-Inputs!$C$42)^2)/(2*Inputs!$C$45^2))+Inputs!$C$48*(0.7*(0.45*SIN(2*PI()*(((Model_Data!A201)/Inputs!$C$49)+Inputs!$C$47*0.137))+0.35*COS(2*PI()*(((0)/Inputs!$C$50)+Inputs!$C$47*0.173))+0.2*SIN(2*PI()*(((Model_Data!A201)+(0))/(0.5*(Inputs!$C$49+Inputs!$C$50))+Inputs!$C$47*0.097)))+0.3*(2*((SIN(((Model_Data!A201)*12.9898+(0)*78.233+Inputs!$C$47*37.719))*43758.5453)-INT((SIN(((Model_Data!A201)*12.9898+(0)*78.233+Inputs!$C$47*37.719))*43758.5453)))-1))))/1000)))*1000/Inputs!$C$12)-Model_Data!F201)</f>
        <v>123.93918824864409</v>
      </c>
      <c r="L201" s="10"/>
      <c r="M201" s="9">
        <f>Model_Data!A201</f>
        <v>39.5</v>
      </c>
      <c r="N201" s="9">
        <f>Model_Data!P201</f>
        <v>-295.766984965765</v>
      </c>
      <c r="O201" s="9">
        <f t="shared" si="6"/>
        <v>-292.7389822250916</v>
      </c>
      <c r="P201" s="9">
        <f>Model_Data!Q201</f>
        <v>-44.409457202066818</v>
      </c>
      <c r="Q201" s="9">
        <f t="shared" si="7"/>
        <v>-43.954802135899641</v>
      </c>
      <c r="R201" s="10"/>
      <c r="S201" s="9">
        <f>Model_Data!A201</f>
        <v>39.5</v>
      </c>
      <c r="T201" s="9">
        <f>Model_Data!B201-Inputs!$C$5</f>
        <v>1.7336111111110881</v>
      </c>
      <c r="U201" s="10"/>
      <c r="V201" s="9">
        <f>Model_Data!A201</f>
        <v>39.5</v>
      </c>
      <c r="W201" s="9">
        <f>((SQRT((Model_Data!A201)^2+Inputs!$C$6^2+Inputs!$C$5^2)-Inputs!$C$5)*1000/Inputs!$C$12)</f>
        <v>1529.3813826619735</v>
      </c>
      <c r="X201" s="9">
        <f>Model_Data!F201</f>
        <v>1522.8259318957901</v>
      </c>
      <c r="Y201" s="10"/>
      <c r="Z201" s="9">
        <f>Model_Data!A201</f>
        <v>39.5</v>
      </c>
      <c r="AA201" s="9">
        <f>SQRT((Model_Data!A201)^2+Inputs!$C$6^2+((Model_Data!B201)-((Inputs!$C$51*(115*EXP(-(((Inputs!$C$6)-25)^2)/(4.5^2))+70*EXP(-(((Inputs!$C$6)+38)^2)/(7^2))*(0.55+0.45*SIN(2*PI()*(Model_Data!A201)/45))+24*SIN(2*PI()*(Inputs!$C$6)/9+(Model_Data!A201)/18)*EXP(-(((Inputs!$C$6)+5)^2)/(22^2))+18*SIN(2*PI()*(Model_Data!A201)/70))+Inputs!$C$28*EXP(-(((Model_Data!A201)-Inputs!$C$29)^2)/(2*Inputs!$C$31^2))*EXP(-(((Inputs!$C$6)-Inputs!$C$30)^2)/(2*Inputs!$C$32^2))+-Inputs!$C$33*EXP(-(((((Model_Data!A201)-Inputs!$C$34)^2)+(((Inputs!$C$6)-Inputs!$C$35)^2))/(2*Inputs!$C$36^2)))+Inputs!$C$37*(0.55*SIN(2*PI()*(Model_Data!A201)/Inputs!$C$39)+0.35*COS(2*PI()*(Inputs!$C$6)/Inputs!$C$40)+0.2*SIN(2*PI()*((Model_Data!A201)+(Inputs!$C$6))/(0.5*(Inputs!$C$39+Inputs!$C$40))))+Inputs!$C$38*SIN(2*PI()*(Model_Data!A201)/Inputs!$C$39)*SIN(2*PI()*(Inputs!$C$6)/Inputs!$C$40)+-Inputs!$C$41*EXP(-(((Inputs!$C$6)-Inputs!$C$43)^2)/(2*Inputs!$C$44^2))*EXP(-(((Model_Data!A201)-Inputs!$C$42)^2)/(2*Inputs!$C$45^2))+Inputs!$C$48*(0.7*(0.45*SIN(2*PI()*(((Model_Data!A201)/Inputs!$C$49)+Inputs!$C$47*0.137))+0.35*COS(2*PI()*(((Inputs!$C$6)/Inputs!$C$50)+Inputs!$C$47*0.173))+0.2*SIN(2*PI()*(((Model_Data!A201)+(Inputs!$C$6))/(0.5*(Inputs!$C$49+Inputs!$C$50))+Inputs!$C$47*0.097)))+0.3*(2*((SIN(((Model_Data!A201)*12.9898+(Inputs!$C$6)*78.233+Inputs!$C$47*37.719))*43758.5453)-INT((SIN(((Model_Data!A201)*12.9898+(Inputs!$C$6)*78.233+Inputs!$C$47*37.719))*43758.5453)))-1))))/1000)^2)</f>
        <v>404.14731679990251</v>
      </c>
      <c r="AB201" s="9">
        <f>1000*(AA202-AA200)/(Z202-Z200)*Inputs!$C$11</f>
        <v>731.84745556272901</v>
      </c>
      <c r="AC201" s="9">
        <f>-2*AB201/Inputs!$C$13</f>
        <v>-292.7389822250916</v>
      </c>
      <c r="AD201" s="9">
        <f>-2*AB201/Inputs!$C$14</f>
        <v>-43.954802135899641</v>
      </c>
    </row>
    <row r="202" spans="1:30">
      <c r="A202" s="9">
        <f>Model_Data!A202</f>
        <v>40</v>
      </c>
      <c r="B202" s="9">
        <f>((SQRT((Model_Data!A202)^2+Inputs!$C$6^2+Inputs!$C$5^2)-Inputs!$C$5)*1000/Inputs!$C$12)</f>
        <v>1557.1053162508879</v>
      </c>
      <c r="C202" s="9">
        <f>Model_Data!F202</f>
        <v>1550.2625703988499</v>
      </c>
      <c r="D202" s="9">
        <f>(((SQRT((Model_Data!A202)^2+Inputs!$C$6^2+((Model_Data!B202)-((Inputs!$C$51*(115*EXP(-(((Inputs!$C$6)-25)^2)/(4.5^2))+70*EXP(-(((Inputs!$C$6)+38)^2)/(7^2))*(0.55+0.45*SIN(2*PI()*(Model_Data!A202)/45))+24*SIN(2*PI()*(Inputs!$C$6)/9+(Model_Data!A202)/18)*EXP(-(((Inputs!$C$6)+5)^2)/(22^2))+18*SIN(2*PI()*(Model_Data!A202)/70))+Inputs!$C$28*EXP(-(((Model_Data!A202)-Inputs!$C$29)^2)/(2*Inputs!$C$31^2))*EXP(-(((Inputs!$C$6)-Inputs!$C$30)^2)/(2*Inputs!$C$32^2))+-Inputs!$C$33*EXP(-(((((Model_Data!A202)-Inputs!$C$34)^2)+(((Inputs!$C$6)-Inputs!$C$35)^2))/(2*Inputs!$C$36^2)))+Inputs!$C$37*(0.55*SIN(2*PI()*(Model_Data!A202)/Inputs!$C$39)+0.35*COS(2*PI()*(Inputs!$C$6)/Inputs!$C$40)+0.2*SIN(2*PI()*((Model_Data!A202)+(Inputs!$C$6))/(0.5*(Inputs!$C$39+Inputs!$C$40))))+Inputs!$C$38*SIN(2*PI()*(Model_Data!A202)/Inputs!$C$39)*SIN(2*PI()*(Inputs!$C$6)/Inputs!$C$40)+-Inputs!$C$41*EXP(-(((Inputs!$C$6)-Inputs!$C$43)^2)/(2*Inputs!$C$44^2))*EXP(-(((Model_Data!A202)-Inputs!$C$42)^2)/(2*Inputs!$C$45^2))+Inputs!$C$48*(0.7*(0.45*SIN(2*PI()*(((Model_Data!A202)/Inputs!$C$49)+Inputs!$C$47*0.137))+0.35*COS(2*PI()*(((Inputs!$C$6)/Inputs!$C$50)+Inputs!$C$47*0.173))+0.2*SIN(2*PI()*(((Model_Data!A202)+(Inputs!$C$6))/(0.5*(Inputs!$C$49+Inputs!$C$50))+Inputs!$C$47*0.097)))+0.3*(2*((SIN(((Model_Data!A202)*12.9898+(Inputs!$C$6)*78.233+Inputs!$C$47*37.719))*43758.5453)-INT((SIN(((Model_Data!A202)*12.9898+(Inputs!$C$6)*78.233+Inputs!$C$47*37.719))*43758.5453)))-1))))/1000)^2))-(((Model_Data!B202)-((Inputs!$C$51*(115*EXP(-(((0)-25)^2)/(4.5^2))+70*EXP(-(((0)+38)^2)/(7^2))*(0.55+0.45*SIN(2*PI()*(Model_Data!A202)/45))+24*SIN(2*PI()*(0)/9+(Model_Data!A202)/18)*EXP(-(((0)+5)^2)/(22^2))+18*SIN(2*PI()*(Model_Data!A202)/70))+Inputs!$C$28*EXP(-(((Model_Data!A202)-Inputs!$C$29)^2)/(2*Inputs!$C$31^2))*EXP(-(((0)-Inputs!$C$30)^2)/(2*Inputs!$C$32^2))+-Inputs!$C$33*EXP(-(((((Model_Data!A202)-Inputs!$C$34)^2)+(((0)-Inputs!$C$35)^2))/(2*Inputs!$C$36^2)))+Inputs!$C$37*(0.55*SIN(2*PI()*(Model_Data!A202)/Inputs!$C$39)+0.35*COS(2*PI()*(0)/Inputs!$C$40)+0.2*SIN(2*PI()*((Model_Data!A202)+(0))/(0.5*(Inputs!$C$39+Inputs!$C$40))))+Inputs!$C$38*SIN(2*PI()*(Model_Data!A202)/Inputs!$C$39)*SIN(2*PI()*(0)/Inputs!$C$40)+-Inputs!$C$41*EXP(-(((0)-Inputs!$C$43)^2)/(2*Inputs!$C$44^2))*EXP(-(((Model_Data!A202)-Inputs!$C$42)^2)/(2*Inputs!$C$45^2))+Inputs!$C$48*(0.7*(0.45*SIN(2*PI()*(((Model_Data!A202)/Inputs!$C$49)+Inputs!$C$47*0.137))+0.35*COS(2*PI()*(((0)/Inputs!$C$50)+Inputs!$C$47*0.173))+0.2*SIN(2*PI()*(((Model_Data!A202)+(0))/(0.5*(Inputs!$C$49+Inputs!$C$50))+Inputs!$C$47*0.097)))+0.3*(2*((SIN(((Model_Data!A202)*12.9898+(0)*78.233+Inputs!$C$47*37.719))*43758.5453)-INT((SIN(((Model_Data!A202)*12.9898+(0)*78.233+Inputs!$C$47*37.719))*43758.5453)))-1))))/1000)))*1000/Inputs!$C$12)</f>
        <v>1417.4118708012245</v>
      </c>
      <c r="E202" s="9">
        <f>Model_Data!A202</f>
        <v>40</v>
      </c>
      <c r="F202" s="9">
        <f>(Inputs!$C$51*(115*EXP(-(((Inputs!$C$6)-25)^2)/(4.5^2))+70*EXP(-(((Inputs!$C$6)+38)^2)/(7^2))*(0.55+0.45*SIN(2*PI()*(Model_Data!A202)/45))+24*SIN(2*PI()*(Inputs!$C$6)/9+(Model_Data!A202)/18)*EXP(-(((Inputs!$C$6)+5)^2)/(22^2))+18*SIN(2*PI()*(Model_Data!A202)/70))+Inputs!$C$28*EXP(-(((Model_Data!A202)-Inputs!$C$29)^2)/(2*Inputs!$C$31^2))*EXP(-(((Inputs!$C$6)-Inputs!$C$30)^2)/(2*Inputs!$C$32^2))+-Inputs!$C$33*EXP(-(((((Model_Data!A202)-Inputs!$C$34)^2)+(((Inputs!$C$6)-Inputs!$C$35)^2))/(2*Inputs!$C$36^2)))+Inputs!$C$37*(0.55*SIN(2*PI()*(Model_Data!A202)/Inputs!$C$39)+0.35*COS(2*PI()*(Inputs!$C$6)/Inputs!$C$40)+0.2*SIN(2*PI()*((Model_Data!A202)+(Inputs!$C$6))/(0.5*(Inputs!$C$39+Inputs!$C$40))))+Inputs!$C$38*SIN(2*PI()*(Model_Data!A202)/Inputs!$C$39)*SIN(2*PI()*(Inputs!$C$6)/Inputs!$C$40)+-Inputs!$C$41*EXP(-(((Inputs!$C$6)-Inputs!$C$43)^2)/(2*Inputs!$C$44^2))*EXP(-(((Model_Data!A202)-Inputs!$C$42)^2)/(2*Inputs!$C$45^2))+Inputs!$C$48*(0.7*(0.45*SIN(2*PI()*(((Model_Data!A202)/Inputs!$C$49)+Inputs!$C$47*0.137))+0.35*COS(2*PI()*(((Inputs!$C$6)/Inputs!$C$50)+Inputs!$C$47*0.173))+0.2*SIN(2*PI()*(((Model_Data!A202)+(Inputs!$C$6))/(0.5*(Inputs!$C$49+Inputs!$C$50))+Inputs!$C$47*0.097)))+0.3*(2*((SIN(((Model_Data!A202)*12.9898+(Inputs!$C$6)*78.233+Inputs!$C$47*37.719))*43758.5453)-INT((SIN(((Model_Data!A202)*12.9898+(Inputs!$C$6)*78.233+Inputs!$C$47*37.719))*43758.5453)))-1)))</f>
        <v>304.82117281226778</v>
      </c>
      <c r="G202" s="9">
        <f>(Inputs!$C$51*(115*EXP(-(((0)-25)^2)/(4.5^2))+70*EXP(-(((0)+38)^2)/(7^2))*(0.55+0.45*SIN(2*PI()*(Model_Data!A202)/45))+24*SIN(2*PI()*(0)/9+(Model_Data!A202)/18)*EXP(-(((0)+5)^2)/(22^2))+18*SIN(2*PI()*(Model_Data!A202)/70))+Inputs!$C$28*EXP(-(((Model_Data!A202)-Inputs!$C$29)^2)/(2*Inputs!$C$31^2))*EXP(-(((0)-Inputs!$C$30)^2)/(2*Inputs!$C$32^2))+-Inputs!$C$33*EXP(-(((((Model_Data!A202)-Inputs!$C$34)^2)+(((0)-Inputs!$C$35)^2))/(2*Inputs!$C$36^2)))+Inputs!$C$37*(0.55*SIN(2*PI()*(Model_Data!A202)/Inputs!$C$39)+0.35*COS(2*PI()*(0)/Inputs!$C$40)+0.2*SIN(2*PI()*((Model_Data!A202)+(0))/(0.5*(Inputs!$C$39+Inputs!$C$40))))+Inputs!$C$38*SIN(2*PI()*(Model_Data!A202)/Inputs!$C$39)*SIN(2*PI()*(0)/Inputs!$C$40)+-Inputs!$C$41*EXP(-(((0)-Inputs!$C$43)^2)/(2*Inputs!$C$44^2))*EXP(-(((Model_Data!A202)-Inputs!$C$42)^2)/(2*Inputs!$C$45^2))+Inputs!$C$48*(0.7*(0.45*SIN(2*PI()*(((Model_Data!A202)/Inputs!$C$49)+Inputs!$C$47*0.137))+0.35*COS(2*PI()*(((0)/Inputs!$C$50)+Inputs!$C$47*0.173))+0.2*SIN(2*PI()*(((Model_Data!A202)+(0))/(0.5*(Inputs!$C$49+Inputs!$C$50))+Inputs!$C$47*0.097)))+0.3*(2*((SIN(((Model_Data!A202)*12.9898+(0)*78.233+Inputs!$C$47*37.719))*43758.5453)-INT((SIN(((Model_Data!A202)*12.9898+(0)*78.233+Inputs!$C$47*37.719))*43758.5453)))-1)))</f>
        <v>66.26609020115302</v>
      </c>
      <c r="H202" s="10"/>
      <c r="I202" s="9">
        <f>Model_Data!A202</f>
        <v>40</v>
      </c>
      <c r="J202" s="9">
        <f>(Inputs!$C$51*(115*EXP(-(((Inputs!$C$6)-25)^2)/(4.5^2))+70*EXP(-(((Inputs!$C$6)+38)^2)/(7^2))*(0.55+0.45*SIN(2*PI()*(Model_Data!A202)/45))+24*SIN(2*PI()*(Inputs!$C$6)/9+(Model_Data!A202)/18)*EXP(-(((Inputs!$C$6)+5)^2)/(22^2))+18*SIN(2*PI()*(Model_Data!A202)/70))+Inputs!$C$28*EXP(-(((Model_Data!A202)-Inputs!$C$29)^2)/(2*Inputs!$C$31^2))*EXP(-(((Inputs!$C$6)-Inputs!$C$30)^2)/(2*Inputs!$C$32^2))+-Inputs!$C$33*EXP(-(((((Model_Data!A202)-Inputs!$C$34)^2)+(((Inputs!$C$6)-Inputs!$C$35)^2))/(2*Inputs!$C$36^2)))+Inputs!$C$37*(0.55*SIN(2*PI()*(Model_Data!A202)/Inputs!$C$39)+0.35*COS(2*PI()*(Inputs!$C$6)/Inputs!$C$40)+0.2*SIN(2*PI()*((Model_Data!A202)+(Inputs!$C$6))/(0.5*(Inputs!$C$39+Inputs!$C$40))))+Inputs!$C$38*SIN(2*PI()*(Model_Data!A202)/Inputs!$C$39)*SIN(2*PI()*(Inputs!$C$6)/Inputs!$C$40)+-Inputs!$C$41*EXP(-(((Inputs!$C$6)-Inputs!$C$43)^2)/(2*Inputs!$C$44^2))*EXP(-(((Model_Data!A202)-Inputs!$C$42)^2)/(2*Inputs!$C$45^2))+Inputs!$C$48*(0.7*(0.45*SIN(2*PI()*(((Model_Data!A202)/Inputs!$C$49)+Inputs!$C$47*0.137))+0.35*COS(2*PI()*(((Inputs!$C$6)/Inputs!$C$50)+Inputs!$C$47*0.173))+0.2*SIN(2*PI()*(((Model_Data!A202)+(Inputs!$C$6))/(0.5*(Inputs!$C$49+Inputs!$C$50))+Inputs!$C$47*0.097)))+0.3*(2*((SIN(((Model_Data!A202)*12.9898+(Inputs!$C$6)*78.233+Inputs!$C$47*37.719))*43758.5453)-INT((SIN(((Model_Data!A202)*12.9898+(Inputs!$C$6)*78.233+Inputs!$C$47*37.719))*43758.5453)))-1)))</f>
        <v>304.82117281226778</v>
      </c>
      <c r="K202" s="9">
        <f>-((((SQRT((Model_Data!A202)^2+Inputs!$C$6^2+((Model_Data!B202)-((Inputs!$C$51*(115*EXP(-(((Inputs!$C$6)-25)^2)/(4.5^2))+70*EXP(-(((Inputs!$C$6)+38)^2)/(7^2))*(0.55+0.45*SIN(2*PI()*(Model_Data!A202)/45))+24*SIN(2*PI()*(Inputs!$C$6)/9+(Model_Data!A202)/18)*EXP(-(((Inputs!$C$6)+5)^2)/(22^2))+18*SIN(2*PI()*(Model_Data!A202)/70))+Inputs!$C$28*EXP(-(((Model_Data!A202)-Inputs!$C$29)^2)/(2*Inputs!$C$31^2))*EXP(-(((Inputs!$C$6)-Inputs!$C$30)^2)/(2*Inputs!$C$32^2))+-Inputs!$C$33*EXP(-(((((Model_Data!A202)-Inputs!$C$34)^2)+(((Inputs!$C$6)-Inputs!$C$35)^2))/(2*Inputs!$C$36^2)))+Inputs!$C$37*(0.55*SIN(2*PI()*(Model_Data!A202)/Inputs!$C$39)+0.35*COS(2*PI()*(Inputs!$C$6)/Inputs!$C$40)+0.2*SIN(2*PI()*((Model_Data!A202)+(Inputs!$C$6))/(0.5*(Inputs!$C$39+Inputs!$C$40))))+Inputs!$C$38*SIN(2*PI()*(Model_Data!A202)/Inputs!$C$39)*SIN(2*PI()*(Inputs!$C$6)/Inputs!$C$40)+-Inputs!$C$41*EXP(-(((Inputs!$C$6)-Inputs!$C$43)^2)/(2*Inputs!$C$44^2))*EXP(-(((Model_Data!A202)-Inputs!$C$42)^2)/(2*Inputs!$C$45^2))+Inputs!$C$48*(0.7*(0.45*SIN(2*PI()*(((Model_Data!A202)/Inputs!$C$49)+Inputs!$C$47*0.137))+0.35*COS(2*PI()*(((Inputs!$C$6)/Inputs!$C$50)+Inputs!$C$47*0.173))+0.2*SIN(2*PI()*(((Model_Data!A202)+(Inputs!$C$6))/(0.5*(Inputs!$C$49+Inputs!$C$50))+Inputs!$C$47*0.097)))+0.3*(2*((SIN(((Model_Data!A202)*12.9898+(Inputs!$C$6)*78.233+Inputs!$C$47*37.719))*43758.5453)-INT((SIN(((Model_Data!A202)*12.9898+(Inputs!$C$6)*78.233+Inputs!$C$47*37.719))*43758.5453)))-1))))/1000)^2))-(((Model_Data!B202)-((Inputs!$C$51*(115*EXP(-(((0)-25)^2)/(4.5^2))+70*EXP(-(((0)+38)^2)/(7^2))*(0.55+0.45*SIN(2*PI()*(Model_Data!A202)/45))+24*SIN(2*PI()*(0)/9+(Model_Data!A202)/18)*EXP(-(((0)+5)^2)/(22^2))+18*SIN(2*PI()*(Model_Data!A202)/70))+Inputs!$C$28*EXP(-(((Model_Data!A202)-Inputs!$C$29)^2)/(2*Inputs!$C$31^2))*EXP(-(((0)-Inputs!$C$30)^2)/(2*Inputs!$C$32^2))+-Inputs!$C$33*EXP(-(((((Model_Data!A202)-Inputs!$C$34)^2)+(((0)-Inputs!$C$35)^2))/(2*Inputs!$C$36^2)))+Inputs!$C$37*(0.55*SIN(2*PI()*(Model_Data!A202)/Inputs!$C$39)+0.35*COS(2*PI()*(0)/Inputs!$C$40)+0.2*SIN(2*PI()*((Model_Data!A202)+(0))/(0.5*(Inputs!$C$39+Inputs!$C$40))))+Inputs!$C$38*SIN(2*PI()*(Model_Data!A202)/Inputs!$C$39)*SIN(2*PI()*(0)/Inputs!$C$40)+-Inputs!$C$41*EXP(-(((0)-Inputs!$C$43)^2)/(2*Inputs!$C$44^2))*EXP(-(((Model_Data!A202)-Inputs!$C$42)^2)/(2*Inputs!$C$45^2))+Inputs!$C$48*(0.7*(0.45*SIN(2*PI()*(((Model_Data!A202)/Inputs!$C$49)+Inputs!$C$47*0.137))+0.35*COS(2*PI()*(((0)/Inputs!$C$50)+Inputs!$C$47*0.173))+0.2*SIN(2*PI()*(((Model_Data!A202)+(0))/(0.5*(Inputs!$C$49+Inputs!$C$50))+Inputs!$C$47*0.097)))+0.3*(2*((SIN(((Model_Data!A202)*12.9898+(0)*78.233+Inputs!$C$47*37.719))*43758.5453)-INT((SIN(((Model_Data!A202)*12.9898+(0)*78.233+Inputs!$C$47*37.719))*43758.5453)))-1))))/1000)))*1000/Inputs!$C$12)-Model_Data!F202)</f>
        <v>132.85069959762541</v>
      </c>
      <c r="L202" s="10"/>
      <c r="M202" s="9">
        <f>Model_Data!A202</f>
        <v>40</v>
      </c>
      <c r="N202" s="9">
        <f>Model_Data!P202</f>
        <v>-299.45754030440003</v>
      </c>
      <c r="O202" s="9">
        <f t="shared" si="6"/>
        <v>-296.76267762661155</v>
      </c>
      <c r="P202" s="9">
        <f>Model_Data!Q202</f>
        <v>-44.963594640300308</v>
      </c>
      <c r="Q202" s="9">
        <f t="shared" si="7"/>
        <v>-44.558960604596329</v>
      </c>
      <c r="R202" s="10"/>
      <c r="S202" s="9">
        <f>Model_Data!A202</f>
        <v>40</v>
      </c>
      <c r="T202" s="9">
        <f>Model_Data!B202-Inputs!$C$5</f>
        <v>1.7777777777777715</v>
      </c>
      <c r="U202" s="10"/>
      <c r="V202" s="9">
        <f>Model_Data!A202</f>
        <v>40</v>
      </c>
      <c r="W202" s="9">
        <f>((SQRT((Model_Data!A202)^2+Inputs!$C$6^2+Inputs!$C$5^2)-Inputs!$C$5)*1000/Inputs!$C$12)</f>
        <v>1557.1053162508879</v>
      </c>
      <c r="X202" s="9">
        <f>Model_Data!F202</f>
        <v>1550.2625703988499</v>
      </c>
      <c r="Y202" s="10"/>
      <c r="Z202" s="9">
        <f>Model_Data!A202</f>
        <v>40</v>
      </c>
      <c r="AA202" s="9">
        <f>SQRT((Model_Data!A202)^2+Inputs!$C$6^2+((Model_Data!B202)-((Inputs!$C$51*(115*EXP(-(((Inputs!$C$6)-25)^2)/(4.5^2))+70*EXP(-(((Inputs!$C$6)+38)^2)/(7^2))*(0.55+0.45*SIN(2*PI()*(Model_Data!A202)/45))+24*SIN(2*PI()*(Inputs!$C$6)/9+(Model_Data!A202)/18)*EXP(-(((Inputs!$C$6)+5)^2)/(22^2))+18*SIN(2*PI()*(Model_Data!A202)/70))+Inputs!$C$28*EXP(-(((Model_Data!A202)-Inputs!$C$29)^2)/(2*Inputs!$C$31^2))*EXP(-(((Inputs!$C$6)-Inputs!$C$30)^2)/(2*Inputs!$C$32^2))+-Inputs!$C$33*EXP(-(((((Model_Data!A202)-Inputs!$C$34)^2)+(((Inputs!$C$6)-Inputs!$C$35)^2))/(2*Inputs!$C$36^2)))+Inputs!$C$37*(0.55*SIN(2*PI()*(Model_Data!A202)/Inputs!$C$39)+0.35*COS(2*PI()*(Inputs!$C$6)/Inputs!$C$40)+0.2*SIN(2*PI()*((Model_Data!A202)+(Inputs!$C$6))/(0.5*(Inputs!$C$39+Inputs!$C$40))))+Inputs!$C$38*SIN(2*PI()*(Model_Data!A202)/Inputs!$C$39)*SIN(2*PI()*(Inputs!$C$6)/Inputs!$C$40)+-Inputs!$C$41*EXP(-(((Inputs!$C$6)-Inputs!$C$43)^2)/(2*Inputs!$C$44^2))*EXP(-(((Model_Data!A202)-Inputs!$C$42)^2)/(2*Inputs!$C$45^2))+Inputs!$C$48*(0.7*(0.45*SIN(2*PI()*(((Model_Data!A202)/Inputs!$C$49)+Inputs!$C$47*0.137))+0.35*COS(2*PI()*(((Inputs!$C$6)/Inputs!$C$50)+Inputs!$C$47*0.173))+0.2*SIN(2*PI()*(((Model_Data!A202)+(Inputs!$C$6))/(0.5*(Inputs!$C$49+Inputs!$C$50))+Inputs!$C$47*0.097)))+0.3*(2*((SIN(((Model_Data!A202)*12.9898+(Inputs!$C$6)*78.233+Inputs!$C$47*37.719))*43758.5453)-INT((SIN(((Model_Data!A202)*12.9898+(Inputs!$C$6)*78.233+Inputs!$C$47*37.719))*43758.5453)))-1))))/1000)^2)</f>
        <v>404.23450481760278</v>
      </c>
      <c r="AB202" s="9">
        <f>1000*(AA203-AA201)/(Z203-Z201)*Inputs!$C$11</f>
        <v>741.90669406652887</v>
      </c>
      <c r="AC202" s="9">
        <f>-2*AB202/Inputs!$C$13</f>
        <v>-296.76267762661155</v>
      </c>
      <c r="AD202" s="9">
        <f>-2*AB202/Inputs!$C$14</f>
        <v>-44.558960604596329</v>
      </c>
    </row>
    <row r="203" spans="1:30">
      <c r="A203" s="9">
        <f>Model_Data!A203</f>
        <v>40.5</v>
      </c>
      <c r="B203" s="9">
        <f>((SQRT((Model_Data!A203)^2+Inputs!$C$6^2+Inputs!$C$5^2)-Inputs!$C$5)*1000/Inputs!$C$12)</f>
        <v>1585.1745178275614</v>
      </c>
      <c r="C203" s="9">
        <f>Model_Data!F203</f>
        <v>1578.0348465697127</v>
      </c>
      <c r="D203" s="9">
        <f>(((SQRT((Model_Data!A203)^2+Inputs!$C$6^2+((Model_Data!B203)-((Inputs!$C$51*(115*EXP(-(((Inputs!$C$6)-25)^2)/(4.5^2))+70*EXP(-(((Inputs!$C$6)+38)^2)/(7^2))*(0.55+0.45*SIN(2*PI()*(Model_Data!A203)/45))+24*SIN(2*PI()*(Inputs!$C$6)/9+(Model_Data!A203)/18)*EXP(-(((Inputs!$C$6)+5)^2)/(22^2))+18*SIN(2*PI()*(Model_Data!A203)/70))+Inputs!$C$28*EXP(-(((Model_Data!A203)-Inputs!$C$29)^2)/(2*Inputs!$C$31^2))*EXP(-(((Inputs!$C$6)-Inputs!$C$30)^2)/(2*Inputs!$C$32^2))+-Inputs!$C$33*EXP(-(((((Model_Data!A203)-Inputs!$C$34)^2)+(((Inputs!$C$6)-Inputs!$C$35)^2))/(2*Inputs!$C$36^2)))+Inputs!$C$37*(0.55*SIN(2*PI()*(Model_Data!A203)/Inputs!$C$39)+0.35*COS(2*PI()*(Inputs!$C$6)/Inputs!$C$40)+0.2*SIN(2*PI()*((Model_Data!A203)+(Inputs!$C$6))/(0.5*(Inputs!$C$39+Inputs!$C$40))))+Inputs!$C$38*SIN(2*PI()*(Model_Data!A203)/Inputs!$C$39)*SIN(2*PI()*(Inputs!$C$6)/Inputs!$C$40)+-Inputs!$C$41*EXP(-(((Inputs!$C$6)-Inputs!$C$43)^2)/(2*Inputs!$C$44^2))*EXP(-(((Model_Data!A203)-Inputs!$C$42)^2)/(2*Inputs!$C$45^2))+Inputs!$C$48*(0.7*(0.45*SIN(2*PI()*(((Model_Data!A203)/Inputs!$C$49)+Inputs!$C$47*0.137))+0.35*COS(2*PI()*(((Inputs!$C$6)/Inputs!$C$50)+Inputs!$C$47*0.173))+0.2*SIN(2*PI()*(((Model_Data!A203)+(Inputs!$C$6))/(0.5*(Inputs!$C$49+Inputs!$C$50))+Inputs!$C$47*0.097)))+0.3*(2*((SIN(((Model_Data!A203)*12.9898+(Inputs!$C$6)*78.233+Inputs!$C$47*37.719))*43758.5453)-INT((SIN(((Model_Data!A203)*12.9898+(Inputs!$C$6)*78.233+Inputs!$C$47*37.719))*43758.5453)))-1))))/1000)^2))-(((Model_Data!B203)-((Inputs!$C$51*(115*EXP(-(((0)-25)^2)/(4.5^2))+70*EXP(-(((0)+38)^2)/(7^2))*(0.55+0.45*SIN(2*PI()*(Model_Data!A203)/45))+24*SIN(2*PI()*(0)/9+(Model_Data!A203)/18)*EXP(-(((0)+5)^2)/(22^2))+18*SIN(2*PI()*(Model_Data!A203)/70))+Inputs!$C$28*EXP(-(((Model_Data!A203)-Inputs!$C$29)^2)/(2*Inputs!$C$31^2))*EXP(-(((0)-Inputs!$C$30)^2)/(2*Inputs!$C$32^2))+-Inputs!$C$33*EXP(-(((((Model_Data!A203)-Inputs!$C$34)^2)+(((0)-Inputs!$C$35)^2))/(2*Inputs!$C$36^2)))+Inputs!$C$37*(0.55*SIN(2*PI()*(Model_Data!A203)/Inputs!$C$39)+0.35*COS(2*PI()*(0)/Inputs!$C$40)+0.2*SIN(2*PI()*((Model_Data!A203)+(0))/(0.5*(Inputs!$C$39+Inputs!$C$40))))+Inputs!$C$38*SIN(2*PI()*(Model_Data!A203)/Inputs!$C$39)*SIN(2*PI()*(0)/Inputs!$C$40)+-Inputs!$C$41*EXP(-(((0)-Inputs!$C$43)^2)/(2*Inputs!$C$44^2))*EXP(-(((Model_Data!A203)-Inputs!$C$42)^2)/(2*Inputs!$C$45^2))+Inputs!$C$48*(0.7*(0.45*SIN(2*PI()*(((Model_Data!A203)/Inputs!$C$49)+Inputs!$C$47*0.137))+0.35*COS(2*PI()*(((0)/Inputs!$C$50)+Inputs!$C$47*0.173))+0.2*SIN(2*PI()*(((Model_Data!A203)+(0))/(0.5*(Inputs!$C$49+Inputs!$C$50))+Inputs!$C$47*0.097)))+0.3*(2*((SIN(((Model_Data!A203)*12.9898+(0)*78.233+Inputs!$C$47*37.719))*43758.5453)-INT((SIN(((Model_Data!A203)*12.9898+(0)*78.233+Inputs!$C$47*37.719))*43758.5453)))-1))))/1000)))*1000/Inputs!$C$12)</f>
        <v>1444.0706059468382</v>
      </c>
      <c r="E203" s="9">
        <f>Model_Data!A203</f>
        <v>40.5</v>
      </c>
      <c r="F203" s="9">
        <f>(Inputs!$C$51*(115*EXP(-(((Inputs!$C$6)-25)^2)/(4.5^2))+70*EXP(-(((Inputs!$C$6)+38)^2)/(7^2))*(0.55+0.45*SIN(2*PI()*(Model_Data!A203)/45))+24*SIN(2*PI()*(Inputs!$C$6)/9+(Model_Data!A203)/18)*EXP(-(((Inputs!$C$6)+5)^2)/(22^2))+18*SIN(2*PI()*(Model_Data!A203)/70))+Inputs!$C$28*EXP(-(((Model_Data!A203)-Inputs!$C$29)^2)/(2*Inputs!$C$31^2))*EXP(-(((Inputs!$C$6)-Inputs!$C$30)^2)/(2*Inputs!$C$32^2))+-Inputs!$C$33*EXP(-(((((Model_Data!A203)-Inputs!$C$34)^2)+(((Inputs!$C$6)-Inputs!$C$35)^2))/(2*Inputs!$C$36^2)))+Inputs!$C$37*(0.55*SIN(2*PI()*(Model_Data!A203)/Inputs!$C$39)+0.35*COS(2*PI()*(Inputs!$C$6)/Inputs!$C$40)+0.2*SIN(2*PI()*((Model_Data!A203)+(Inputs!$C$6))/(0.5*(Inputs!$C$39+Inputs!$C$40))))+Inputs!$C$38*SIN(2*PI()*(Model_Data!A203)/Inputs!$C$39)*SIN(2*PI()*(Inputs!$C$6)/Inputs!$C$40)+-Inputs!$C$41*EXP(-(((Inputs!$C$6)-Inputs!$C$43)^2)/(2*Inputs!$C$44^2))*EXP(-(((Model_Data!A203)-Inputs!$C$42)^2)/(2*Inputs!$C$45^2))+Inputs!$C$48*(0.7*(0.45*SIN(2*PI()*(((Model_Data!A203)/Inputs!$C$49)+Inputs!$C$47*0.137))+0.35*COS(2*PI()*(((Inputs!$C$6)/Inputs!$C$50)+Inputs!$C$47*0.173))+0.2*SIN(2*PI()*(((Model_Data!A203)+(Inputs!$C$6))/(0.5*(Inputs!$C$49+Inputs!$C$50))+Inputs!$C$47*0.097)))+0.3*(2*((SIN(((Model_Data!A203)*12.9898+(Inputs!$C$6)*78.233+Inputs!$C$47*37.719))*43758.5453)-INT((SIN(((Model_Data!A203)*12.9898+(Inputs!$C$6)*78.233+Inputs!$C$47*37.719))*43758.5453)))-1)))</f>
        <v>300.69750601512629</v>
      </c>
      <c r="G203" s="9">
        <f>(Inputs!$C$51*(115*EXP(-(((0)-25)^2)/(4.5^2))+70*EXP(-(((0)+38)^2)/(7^2))*(0.55+0.45*SIN(2*PI()*(Model_Data!A203)/45))+24*SIN(2*PI()*(0)/9+(Model_Data!A203)/18)*EXP(-(((0)+5)^2)/(22^2))+18*SIN(2*PI()*(Model_Data!A203)/70))+Inputs!$C$28*EXP(-(((Model_Data!A203)-Inputs!$C$29)^2)/(2*Inputs!$C$31^2))*EXP(-(((0)-Inputs!$C$30)^2)/(2*Inputs!$C$32^2))+-Inputs!$C$33*EXP(-(((((Model_Data!A203)-Inputs!$C$34)^2)+(((0)-Inputs!$C$35)^2))/(2*Inputs!$C$36^2)))+Inputs!$C$37*(0.55*SIN(2*PI()*(Model_Data!A203)/Inputs!$C$39)+0.35*COS(2*PI()*(0)/Inputs!$C$40)+0.2*SIN(2*PI()*((Model_Data!A203)+(0))/(0.5*(Inputs!$C$39+Inputs!$C$40))))+Inputs!$C$38*SIN(2*PI()*(Model_Data!A203)/Inputs!$C$39)*SIN(2*PI()*(0)/Inputs!$C$40)+-Inputs!$C$41*EXP(-(((0)-Inputs!$C$43)^2)/(2*Inputs!$C$44^2))*EXP(-(((Model_Data!A203)-Inputs!$C$42)^2)/(2*Inputs!$C$45^2))+Inputs!$C$48*(0.7*(0.45*SIN(2*PI()*(((Model_Data!A203)/Inputs!$C$49)+Inputs!$C$47*0.137))+0.35*COS(2*PI()*(((0)/Inputs!$C$50)+Inputs!$C$47*0.173))+0.2*SIN(2*PI()*(((Model_Data!A203)+(0))/(0.5*(Inputs!$C$49+Inputs!$C$50))+Inputs!$C$47*0.097)))+0.3*(2*((SIN(((Model_Data!A203)*12.9898+(0)*78.233+Inputs!$C$47*37.719))*43758.5453)-INT((SIN(((Model_Data!A203)*12.9898+(0)*78.233+Inputs!$C$47*37.719))*43758.5453)))-1)))</f>
        <v>60.152205166209214</v>
      </c>
      <c r="H203" s="10"/>
      <c r="I203" s="9">
        <f>Model_Data!A203</f>
        <v>40.5</v>
      </c>
      <c r="J203" s="9">
        <f>(Inputs!$C$51*(115*EXP(-(((Inputs!$C$6)-25)^2)/(4.5^2))+70*EXP(-(((Inputs!$C$6)+38)^2)/(7^2))*(0.55+0.45*SIN(2*PI()*(Model_Data!A203)/45))+24*SIN(2*PI()*(Inputs!$C$6)/9+(Model_Data!A203)/18)*EXP(-(((Inputs!$C$6)+5)^2)/(22^2))+18*SIN(2*PI()*(Model_Data!A203)/70))+Inputs!$C$28*EXP(-(((Model_Data!A203)-Inputs!$C$29)^2)/(2*Inputs!$C$31^2))*EXP(-(((Inputs!$C$6)-Inputs!$C$30)^2)/(2*Inputs!$C$32^2))+-Inputs!$C$33*EXP(-(((((Model_Data!A203)-Inputs!$C$34)^2)+(((Inputs!$C$6)-Inputs!$C$35)^2))/(2*Inputs!$C$36^2)))+Inputs!$C$37*(0.55*SIN(2*PI()*(Model_Data!A203)/Inputs!$C$39)+0.35*COS(2*PI()*(Inputs!$C$6)/Inputs!$C$40)+0.2*SIN(2*PI()*((Model_Data!A203)+(Inputs!$C$6))/(0.5*(Inputs!$C$39+Inputs!$C$40))))+Inputs!$C$38*SIN(2*PI()*(Model_Data!A203)/Inputs!$C$39)*SIN(2*PI()*(Inputs!$C$6)/Inputs!$C$40)+-Inputs!$C$41*EXP(-(((Inputs!$C$6)-Inputs!$C$43)^2)/(2*Inputs!$C$44^2))*EXP(-(((Model_Data!A203)-Inputs!$C$42)^2)/(2*Inputs!$C$45^2))+Inputs!$C$48*(0.7*(0.45*SIN(2*PI()*(((Model_Data!A203)/Inputs!$C$49)+Inputs!$C$47*0.137))+0.35*COS(2*PI()*(((Inputs!$C$6)/Inputs!$C$50)+Inputs!$C$47*0.173))+0.2*SIN(2*PI()*(((Model_Data!A203)+(Inputs!$C$6))/(0.5*(Inputs!$C$49+Inputs!$C$50))+Inputs!$C$47*0.097)))+0.3*(2*((SIN(((Model_Data!A203)*12.9898+(Inputs!$C$6)*78.233+Inputs!$C$47*37.719))*43758.5453)-INT((SIN(((Model_Data!A203)*12.9898+(Inputs!$C$6)*78.233+Inputs!$C$47*37.719))*43758.5453)))-1)))</f>
        <v>300.69750601512629</v>
      </c>
      <c r="K203" s="9">
        <f>-((((SQRT((Model_Data!A203)^2+Inputs!$C$6^2+((Model_Data!B203)-((Inputs!$C$51*(115*EXP(-(((Inputs!$C$6)-25)^2)/(4.5^2))+70*EXP(-(((Inputs!$C$6)+38)^2)/(7^2))*(0.55+0.45*SIN(2*PI()*(Model_Data!A203)/45))+24*SIN(2*PI()*(Inputs!$C$6)/9+(Model_Data!A203)/18)*EXP(-(((Inputs!$C$6)+5)^2)/(22^2))+18*SIN(2*PI()*(Model_Data!A203)/70))+Inputs!$C$28*EXP(-(((Model_Data!A203)-Inputs!$C$29)^2)/(2*Inputs!$C$31^2))*EXP(-(((Inputs!$C$6)-Inputs!$C$30)^2)/(2*Inputs!$C$32^2))+-Inputs!$C$33*EXP(-(((((Model_Data!A203)-Inputs!$C$34)^2)+(((Inputs!$C$6)-Inputs!$C$35)^2))/(2*Inputs!$C$36^2)))+Inputs!$C$37*(0.55*SIN(2*PI()*(Model_Data!A203)/Inputs!$C$39)+0.35*COS(2*PI()*(Inputs!$C$6)/Inputs!$C$40)+0.2*SIN(2*PI()*((Model_Data!A203)+(Inputs!$C$6))/(0.5*(Inputs!$C$39+Inputs!$C$40))))+Inputs!$C$38*SIN(2*PI()*(Model_Data!A203)/Inputs!$C$39)*SIN(2*PI()*(Inputs!$C$6)/Inputs!$C$40)+-Inputs!$C$41*EXP(-(((Inputs!$C$6)-Inputs!$C$43)^2)/(2*Inputs!$C$44^2))*EXP(-(((Model_Data!A203)-Inputs!$C$42)^2)/(2*Inputs!$C$45^2))+Inputs!$C$48*(0.7*(0.45*SIN(2*PI()*(((Model_Data!A203)/Inputs!$C$49)+Inputs!$C$47*0.137))+0.35*COS(2*PI()*(((Inputs!$C$6)/Inputs!$C$50)+Inputs!$C$47*0.173))+0.2*SIN(2*PI()*(((Model_Data!A203)+(Inputs!$C$6))/(0.5*(Inputs!$C$49+Inputs!$C$50))+Inputs!$C$47*0.097)))+0.3*(2*((SIN(((Model_Data!A203)*12.9898+(Inputs!$C$6)*78.233+Inputs!$C$47*37.719))*43758.5453)-INT((SIN(((Model_Data!A203)*12.9898+(Inputs!$C$6)*78.233+Inputs!$C$47*37.719))*43758.5453)))-1))))/1000)^2))-(((Model_Data!B203)-((Inputs!$C$51*(115*EXP(-(((0)-25)^2)/(4.5^2))+70*EXP(-(((0)+38)^2)/(7^2))*(0.55+0.45*SIN(2*PI()*(Model_Data!A203)/45))+24*SIN(2*PI()*(0)/9+(Model_Data!A203)/18)*EXP(-(((0)+5)^2)/(22^2))+18*SIN(2*PI()*(Model_Data!A203)/70))+Inputs!$C$28*EXP(-(((Model_Data!A203)-Inputs!$C$29)^2)/(2*Inputs!$C$31^2))*EXP(-(((0)-Inputs!$C$30)^2)/(2*Inputs!$C$32^2))+-Inputs!$C$33*EXP(-(((((Model_Data!A203)-Inputs!$C$34)^2)+(((0)-Inputs!$C$35)^2))/(2*Inputs!$C$36^2)))+Inputs!$C$37*(0.55*SIN(2*PI()*(Model_Data!A203)/Inputs!$C$39)+0.35*COS(2*PI()*(0)/Inputs!$C$40)+0.2*SIN(2*PI()*((Model_Data!A203)+(0))/(0.5*(Inputs!$C$39+Inputs!$C$40))))+Inputs!$C$38*SIN(2*PI()*(Model_Data!A203)/Inputs!$C$39)*SIN(2*PI()*(0)/Inputs!$C$40)+-Inputs!$C$41*EXP(-(((0)-Inputs!$C$43)^2)/(2*Inputs!$C$44^2))*EXP(-(((Model_Data!A203)-Inputs!$C$42)^2)/(2*Inputs!$C$45^2))+Inputs!$C$48*(0.7*(0.45*SIN(2*PI()*(((Model_Data!A203)/Inputs!$C$49)+Inputs!$C$47*0.137))+0.35*COS(2*PI()*(((0)/Inputs!$C$50)+Inputs!$C$47*0.173))+0.2*SIN(2*PI()*(((Model_Data!A203)+(0))/(0.5*(Inputs!$C$49+Inputs!$C$50))+Inputs!$C$47*0.097)))+0.3*(2*((SIN(((Model_Data!A203)*12.9898+(0)*78.233+Inputs!$C$47*37.719))*43758.5453)-INT((SIN(((Model_Data!A203)*12.9898+(0)*78.233+Inputs!$C$47*37.719))*43758.5453)))-1))))/1000)))*1000/Inputs!$C$12)-Model_Data!F203)</f>
        <v>133.96424062287451</v>
      </c>
      <c r="L203" s="10"/>
      <c r="M203" s="9">
        <f>Model_Data!A203</f>
        <v>40.5</v>
      </c>
      <c r="N203" s="9">
        <f>Model_Data!P203</f>
        <v>-303.14612110072255</v>
      </c>
      <c r="O203" s="9">
        <f t="shared" si="6"/>
        <v>-348.16678026045338</v>
      </c>
      <c r="P203" s="9">
        <f>Model_Data!Q203</f>
        <v>-45.517435600709099</v>
      </c>
      <c r="Q203" s="9">
        <f t="shared" si="7"/>
        <v>-52.277294333401414</v>
      </c>
      <c r="R203" s="10"/>
      <c r="S203" s="9">
        <f>Model_Data!A203</f>
        <v>40.5</v>
      </c>
      <c r="T203" s="9">
        <f>Model_Data!B203-Inputs!$C$5</f>
        <v>1.8224999999999909</v>
      </c>
      <c r="U203" s="10"/>
      <c r="V203" s="9">
        <f>Model_Data!A203</f>
        <v>40.5</v>
      </c>
      <c r="W203" s="9">
        <f>((SQRT((Model_Data!A203)^2+Inputs!$C$6^2+Inputs!$C$5^2)-Inputs!$C$5)*1000/Inputs!$C$12)</f>
        <v>1585.1745178275614</v>
      </c>
      <c r="X203" s="9">
        <f>Model_Data!F203</f>
        <v>1578.0348465697127</v>
      </c>
      <c r="Y203" s="10"/>
      <c r="Z203" s="9">
        <f>Model_Data!A203</f>
        <v>40.5</v>
      </c>
      <c r="AA203" s="9">
        <f>SQRT((Model_Data!A203)^2+Inputs!$C$6^2+((Model_Data!B203)-((Inputs!$C$51*(115*EXP(-(((Inputs!$C$6)-25)^2)/(4.5^2))+70*EXP(-(((Inputs!$C$6)+38)^2)/(7^2))*(0.55+0.45*SIN(2*PI()*(Model_Data!A203)/45))+24*SIN(2*PI()*(Inputs!$C$6)/9+(Model_Data!A203)/18)*EXP(-(((Inputs!$C$6)+5)^2)/(22^2))+18*SIN(2*PI()*(Model_Data!A203)/70))+Inputs!$C$28*EXP(-(((Model_Data!A203)-Inputs!$C$29)^2)/(2*Inputs!$C$31^2))*EXP(-(((Inputs!$C$6)-Inputs!$C$30)^2)/(2*Inputs!$C$32^2))+-Inputs!$C$33*EXP(-(((((Model_Data!A203)-Inputs!$C$34)^2)+(((Inputs!$C$6)-Inputs!$C$35)^2))/(2*Inputs!$C$36^2)))+Inputs!$C$37*(0.55*SIN(2*PI()*(Model_Data!A203)/Inputs!$C$39)+0.35*COS(2*PI()*(Inputs!$C$6)/Inputs!$C$40)+0.2*SIN(2*PI()*((Model_Data!A203)+(Inputs!$C$6))/(0.5*(Inputs!$C$39+Inputs!$C$40))))+Inputs!$C$38*SIN(2*PI()*(Model_Data!A203)/Inputs!$C$39)*SIN(2*PI()*(Inputs!$C$6)/Inputs!$C$40)+-Inputs!$C$41*EXP(-(((Inputs!$C$6)-Inputs!$C$43)^2)/(2*Inputs!$C$44^2))*EXP(-(((Model_Data!A203)-Inputs!$C$42)^2)/(2*Inputs!$C$45^2))+Inputs!$C$48*(0.7*(0.45*SIN(2*PI()*(((Model_Data!A203)/Inputs!$C$49)+Inputs!$C$47*0.137))+0.35*COS(2*PI()*(((Inputs!$C$6)/Inputs!$C$50)+Inputs!$C$47*0.173))+0.2*SIN(2*PI()*(((Model_Data!A203)+(Inputs!$C$6))/(0.5*(Inputs!$C$49+Inputs!$C$50))+Inputs!$C$47*0.097)))+0.3*(2*((SIN(((Model_Data!A203)*12.9898+(Inputs!$C$6)*78.233+Inputs!$C$47*37.719))*43758.5453)-INT((SIN(((Model_Data!A203)*12.9898+(Inputs!$C$6)*78.233+Inputs!$C$47*37.719))*43758.5453)))-1))))/1000)^2)</f>
        <v>404.33279347341914</v>
      </c>
      <c r="AB203" s="9">
        <f>1000*(AA204-AA202)/(Z204-Z202)*Inputs!$C$11</f>
        <v>870.41695065113345</v>
      </c>
      <c r="AC203" s="9">
        <f>-2*AB203/Inputs!$C$13</f>
        <v>-348.16678026045338</v>
      </c>
      <c r="AD203" s="9">
        <f>-2*AB203/Inputs!$C$14</f>
        <v>-52.277294333401414</v>
      </c>
    </row>
    <row r="204" spans="1:30">
      <c r="A204" s="9">
        <f>Model_Data!A204</f>
        <v>41</v>
      </c>
      <c r="B204" s="9">
        <f>((SQRT((Model_Data!A204)^2+Inputs!$C$6^2+Inputs!$C$5^2)-Inputs!$C$5)*1000/Inputs!$C$12)</f>
        <v>1613.5888589342665</v>
      </c>
      <c r="C204" s="9">
        <f>Model_Data!F204</f>
        <v>1606.1424117907243</v>
      </c>
      <c r="D204" s="9">
        <f>(((SQRT((Model_Data!A204)^2+Inputs!$C$6^2+((Model_Data!B204)-((Inputs!$C$51*(115*EXP(-(((Inputs!$C$6)-25)^2)/(4.5^2))+70*EXP(-(((Inputs!$C$6)+38)^2)/(7^2))*(0.55+0.45*SIN(2*PI()*(Model_Data!A204)/45))+24*SIN(2*PI()*(Inputs!$C$6)/9+(Model_Data!A204)/18)*EXP(-(((Inputs!$C$6)+5)^2)/(22^2))+18*SIN(2*PI()*(Model_Data!A204)/70))+Inputs!$C$28*EXP(-(((Model_Data!A204)-Inputs!$C$29)^2)/(2*Inputs!$C$31^2))*EXP(-(((Inputs!$C$6)-Inputs!$C$30)^2)/(2*Inputs!$C$32^2))+-Inputs!$C$33*EXP(-(((((Model_Data!A204)-Inputs!$C$34)^2)+(((Inputs!$C$6)-Inputs!$C$35)^2))/(2*Inputs!$C$36^2)))+Inputs!$C$37*(0.55*SIN(2*PI()*(Model_Data!A204)/Inputs!$C$39)+0.35*COS(2*PI()*(Inputs!$C$6)/Inputs!$C$40)+0.2*SIN(2*PI()*((Model_Data!A204)+(Inputs!$C$6))/(0.5*(Inputs!$C$39+Inputs!$C$40))))+Inputs!$C$38*SIN(2*PI()*(Model_Data!A204)/Inputs!$C$39)*SIN(2*PI()*(Inputs!$C$6)/Inputs!$C$40)+-Inputs!$C$41*EXP(-(((Inputs!$C$6)-Inputs!$C$43)^2)/(2*Inputs!$C$44^2))*EXP(-(((Model_Data!A204)-Inputs!$C$42)^2)/(2*Inputs!$C$45^2))+Inputs!$C$48*(0.7*(0.45*SIN(2*PI()*(((Model_Data!A204)/Inputs!$C$49)+Inputs!$C$47*0.137))+0.35*COS(2*PI()*(((Inputs!$C$6)/Inputs!$C$50)+Inputs!$C$47*0.173))+0.2*SIN(2*PI()*(((Model_Data!A204)+(Inputs!$C$6))/(0.5*(Inputs!$C$49+Inputs!$C$50))+Inputs!$C$47*0.097)))+0.3*(2*((SIN(((Model_Data!A204)*12.9898+(Inputs!$C$6)*78.233+Inputs!$C$47*37.719))*43758.5453)-INT((SIN(((Model_Data!A204)*12.9898+(Inputs!$C$6)*78.233+Inputs!$C$47*37.719))*43758.5453)))-1))))/1000)^2))-(((Model_Data!B204)-((Inputs!$C$51*(115*EXP(-(((0)-25)^2)/(4.5^2))+70*EXP(-(((0)+38)^2)/(7^2))*(0.55+0.45*SIN(2*PI()*(Model_Data!A204)/45))+24*SIN(2*PI()*(0)/9+(Model_Data!A204)/18)*EXP(-(((0)+5)^2)/(22^2))+18*SIN(2*PI()*(Model_Data!A204)/70))+Inputs!$C$28*EXP(-(((Model_Data!A204)-Inputs!$C$29)^2)/(2*Inputs!$C$31^2))*EXP(-(((0)-Inputs!$C$30)^2)/(2*Inputs!$C$32^2))+-Inputs!$C$33*EXP(-(((((Model_Data!A204)-Inputs!$C$34)^2)+(((0)-Inputs!$C$35)^2))/(2*Inputs!$C$36^2)))+Inputs!$C$37*(0.55*SIN(2*PI()*(Model_Data!A204)/Inputs!$C$39)+0.35*COS(2*PI()*(0)/Inputs!$C$40)+0.2*SIN(2*PI()*((Model_Data!A204)+(0))/(0.5*(Inputs!$C$39+Inputs!$C$40))))+Inputs!$C$38*SIN(2*PI()*(Model_Data!A204)/Inputs!$C$39)*SIN(2*PI()*(0)/Inputs!$C$40)+-Inputs!$C$41*EXP(-(((0)-Inputs!$C$43)^2)/(2*Inputs!$C$44^2))*EXP(-(((Model_Data!A204)-Inputs!$C$42)^2)/(2*Inputs!$C$45^2))+Inputs!$C$48*(0.7*(0.45*SIN(2*PI()*(((Model_Data!A204)/Inputs!$C$49)+Inputs!$C$47*0.137))+0.35*COS(2*PI()*(((0)/Inputs!$C$50)+Inputs!$C$47*0.173))+0.2*SIN(2*PI()*(((Model_Data!A204)+(0))/(0.5*(Inputs!$C$49+Inputs!$C$50))+Inputs!$C$47*0.097)))+0.3*(2*((SIN(((Model_Data!A204)*12.9898+(0)*78.233+Inputs!$C$47*37.719))*43758.5453)-INT((SIN(((Model_Data!A204)*12.9898+(0)*78.233+Inputs!$C$47*37.719))*43758.5453)))-1))))/1000)))*1000/Inputs!$C$12)</f>
        <v>1481.4273126274832</v>
      </c>
      <c r="E204" s="9">
        <f>Model_Data!A204</f>
        <v>41</v>
      </c>
      <c r="F204" s="9">
        <f>(Inputs!$C$51*(115*EXP(-(((Inputs!$C$6)-25)^2)/(4.5^2))+70*EXP(-(((Inputs!$C$6)+38)^2)/(7^2))*(0.55+0.45*SIN(2*PI()*(Model_Data!A204)/45))+24*SIN(2*PI()*(Inputs!$C$6)/9+(Model_Data!A204)/18)*EXP(-(((Inputs!$C$6)+5)^2)/(22^2))+18*SIN(2*PI()*(Model_Data!A204)/70))+Inputs!$C$28*EXP(-(((Model_Data!A204)-Inputs!$C$29)^2)/(2*Inputs!$C$31^2))*EXP(-(((Inputs!$C$6)-Inputs!$C$30)^2)/(2*Inputs!$C$32^2))+-Inputs!$C$33*EXP(-(((((Model_Data!A204)-Inputs!$C$34)^2)+(((Inputs!$C$6)-Inputs!$C$35)^2))/(2*Inputs!$C$36^2)))+Inputs!$C$37*(0.55*SIN(2*PI()*(Model_Data!A204)/Inputs!$C$39)+0.35*COS(2*PI()*(Inputs!$C$6)/Inputs!$C$40)+0.2*SIN(2*PI()*((Model_Data!A204)+(Inputs!$C$6))/(0.5*(Inputs!$C$39+Inputs!$C$40))))+Inputs!$C$38*SIN(2*PI()*(Model_Data!A204)/Inputs!$C$39)*SIN(2*PI()*(Inputs!$C$6)/Inputs!$C$40)+-Inputs!$C$41*EXP(-(((Inputs!$C$6)-Inputs!$C$43)^2)/(2*Inputs!$C$44^2))*EXP(-(((Model_Data!A204)-Inputs!$C$42)^2)/(2*Inputs!$C$45^2))+Inputs!$C$48*(0.7*(0.45*SIN(2*PI()*(((Model_Data!A204)/Inputs!$C$49)+Inputs!$C$47*0.137))+0.35*COS(2*PI()*(((Inputs!$C$6)/Inputs!$C$50)+Inputs!$C$47*0.173))+0.2*SIN(2*PI()*(((Model_Data!A204)+(Inputs!$C$6))/(0.5*(Inputs!$C$49+Inputs!$C$50))+Inputs!$C$47*0.097)))+0.3*(2*((SIN(((Model_Data!A204)*12.9898+(Inputs!$C$6)*78.233+Inputs!$C$47*37.719))*43758.5453)-INT((SIN(((Model_Data!A204)*12.9898+(Inputs!$C$6)*78.233+Inputs!$C$47*37.719))*43758.5453)))-1)))</f>
        <v>276.55710773826542</v>
      </c>
      <c r="G204" s="9">
        <f>(Inputs!$C$51*(115*EXP(-(((0)-25)^2)/(4.5^2))+70*EXP(-(((0)+38)^2)/(7^2))*(0.55+0.45*SIN(2*PI()*(Model_Data!A204)/45))+24*SIN(2*PI()*(0)/9+(Model_Data!A204)/18)*EXP(-(((0)+5)^2)/(22^2))+18*SIN(2*PI()*(Model_Data!A204)/70))+Inputs!$C$28*EXP(-(((Model_Data!A204)-Inputs!$C$29)^2)/(2*Inputs!$C$31^2))*EXP(-(((0)-Inputs!$C$30)^2)/(2*Inputs!$C$32^2))+-Inputs!$C$33*EXP(-(((((Model_Data!A204)-Inputs!$C$34)^2)+(((0)-Inputs!$C$35)^2))/(2*Inputs!$C$36^2)))+Inputs!$C$37*(0.55*SIN(2*PI()*(Model_Data!A204)/Inputs!$C$39)+0.35*COS(2*PI()*(0)/Inputs!$C$40)+0.2*SIN(2*PI()*((Model_Data!A204)+(0))/(0.5*(Inputs!$C$39+Inputs!$C$40))))+Inputs!$C$38*SIN(2*PI()*(Model_Data!A204)/Inputs!$C$39)*SIN(2*PI()*(0)/Inputs!$C$40)+-Inputs!$C$41*EXP(-(((0)-Inputs!$C$43)^2)/(2*Inputs!$C$44^2))*EXP(-(((Model_Data!A204)-Inputs!$C$42)^2)/(2*Inputs!$C$45^2))+Inputs!$C$48*(0.7*(0.45*SIN(2*PI()*(((Model_Data!A204)/Inputs!$C$49)+Inputs!$C$47*0.137))+0.35*COS(2*PI()*(((0)/Inputs!$C$50)+Inputs!$C$47*0.173))+0.2*SIN(2*PI()*(((Model_Data!A204)+(0))/(0.5*(Inputs!$C$49+Inputs!$C$50))+Inputs!$C$47*0.097)))+0.3*(2*((SIN(((Model_Data!A204)*12.9898+(0)*78.233+Inputs!$C$47*37.719))*43758.5453)-INT((SIN(((Model_Data!A204)*12.9898+(0)*78.233+Inputs!$C$47*37.719))*43758.5453)))-1)))</f>
        <v>52.609338989159092</v>
      </c>
      <c r="H204" s="10"/>
      <c r="I204" s="9">
        <f>Model_Data!A204</f>
        <v>41</v>
      </c>
      <c r="J204" s="9">
        <f>(Inputs!$C$51*(115*EXP(-(((Inputs!$C$6)-25)^2)/(4.5^2))+70*EXP(-(((Inputs!$C$6)+38)^2)/(7^2))*(0.55+0.45*SIN(2*PI()*(Model_Data!A204)/45))+24*SIN(2*PI()*(Inputs!$C$6)/9+(Model_Data!A204)/18)*EXP(-(((Inputs!$C$6)+5)^2)/(22^2))+18*SIN(2*PI()*(Model_Data!A204)/70))+Inputs!$C$28*EXP(-(((Model_Data!A204)-Inputs!$C$29)^2)/(2*Inputs!$C$31^2))*EXP(-(((Inputs!$C$6)-Inputs!$C$30)^2)/(2*Inputs!$C$32^2))+-Inputs!$C$33*EXP(-(((((Model_Data!A204)-Inputs!$C$34)^2)+(((Inputs!$C$6)-Inputs!$C$35)^2))/(2*Inputs!$C$36^2)))+Inputs!$C$37*(0.55*SIN(2*PI()*(Model_Data!A204)/Inputs!$C$39)+0.35*COS(2*PI()*(Inputs!$C$6)/Inputs!$C$40)+0.2*SIN(2*PI()*((Model_Data!A204)+(Inputs!$C$6))/(0.5*(Inputs!$C$39+Inputs!$C$40))))+Inputs!$C$38*SIN(2*PI()*(Model_Data!A204)/Inputs!$C$39)*SIN(2*PI()*(Inputs!$C$6)/Inputs!$C$40)+-Inputs!$C$41*EXP(-(((Inputs!$C$6)-Inputs!$C$43)^2)/(2*Inputs!$C$44^2))*EXP(-(((Model_Data!A204)-Inputs!$C$42)^2)/(2*Inputs!$C$45^2))+Inputs!$C$48*(0.7*(0.45*SIN(2*PI()*(((Model_Data!A204)/Inputs!$C$49)+Inputs!$C$47*0.137))+0.35*COS(2*PI()*(((Inputs!$C$6)/Inputs!$C$50)+Inputs!$C$47*0.173))+0.2*SIN(2*PI()*(((Model_Data!A204)+(Inputs!$C$6))/(0.5*(Inputs!$C$49+Inputs!$C$50))+Inputs!$C$47*0.097)))+0.3*(2*((SIN(((Model_Data!A204)*12.9898+(Inputs!$C$6)*78.233+Inputs!$C$47*37.719))*43758.5453)-INT((SIN(((Model_Data!A204)*12.9898+(Inputs!$C$6)*78.233+Inputs!$C$47*37.719))*43758.5453)))-1)))</f>
        <v>276.55710773826542</v>
      </c>
      <c r="K204" s="9">
        <f>-((((SQRT((Model_Data!A204)^2+Inputs!$C$6^2+((Model_Data!B204)-((Inputs!$C$51*(115*EXP(-(((Inputs!$C$6)-25)^2)/(4.5^2))+70*EXP(-(((Inputs!$C$6)+38)^2)/(7^2))*(0.55+0.45*SIN(2*PI()*(Model_Data!A204)/45))+24*SIN(2*PI()*(Inputs!$C$6)/9+(Model_Data!A204)/18)*EXP(-(((Inputs!$C$6)+5)^2)/(22^2))+18*SIN(2*PI()*(Model_Data!A204)/70))+Inputs!$C$28*EXP(-(((Model_Data!A204)-Inputs!$C$29)^2)/(2*Inputs!$C$31^2))*EXP(-(((Inputs!$C$6)-Inputs!$C$30)^2)/(2*Inputs!$C$32^2))+-Inputs!$C$33*EXP(-(((((Model_Data!A204)-Inputs!$C$34)^2)+(((Inputs!$C$6)-Inputs!$C$35)^2))/(2*Inputs!$C$36^2)))+Inputs!$C$37*(0.55*SIN(2*PI()*(Model_Data!A204)/Inputs!$C$39)+0.35*COS(2*PI()*(Inputs!$C$6)/Inputs!$C$40)+0.2*SIN(2*PI()*((Model_Data!A204)+(Inputs!$C$6))/(0.5*(Inputs!$C$39+Inputs!$C$40))))+Inputs!$C$38*SIN(2*PI()*(Model_Data!A204)/Inputs!$C$39)*SIN(2*PI()*(Inputs!$C$6)/Inputs!$C$40)+-Inputs!$C$41*EXP(-(((Inputs!$C$6)-Inputs!$C$43)^2)/(2*Inputs!$C$44^2))*EXP(-(((Model_Data!A204)-Inputs!$C$42)^2)/(2*Inputs!$C$45^2))+Inputs!$C$48*(0.7*(0.45*SIN(2*PI()*(((Model_Data!A204)/Inputs!$C$49)+Inputs!$C$47*0.137))+0.35*COS(2*PI()*(((Inputs!$C$6)/Inputs!$C$50)+Inputs!$C$47*0.173))+0.2*SIN(2*PI()*(((Model_Data!A204)+(Inputs!$C$6))/(0.5*(Inputs!$C$49+Inputs!$C$50))+Inputs!$C$47*0.097)))+0.3*(2*((SIN(((Model_Data!A204)*12.9898+(Inputs!$C$6)*78.233+Inputs!$C$47*37.719))*43758.5453)-INT((SIN(((Model_Data!A204)*12.9898+(Inputs!$C$6)*78.233+Inputs!$C$47*37.719))*43758.5453)))-1))))/1000)^2))-(((Model_Data!B204)-((Inputs!$C$51*(115*EXP(-(((0)-25)^2)/(4.5^2))+70*EXP(-(((0)+38)^2)/(7^2))*(0.55+0.45*SIN(2*PI()*(Model_Data!A204)/45))+24*SIN(2*PI()*(0)/9+(Model_Data!A204)/18)*EXP(-(((0)+5)^2)/(22^2))+18*SIN(2*PI()*(Model_Data!A204)/70))+Inputs!$C$28*EXP(-(((Model_Data!A204)-Inputs!$C$29)^2)/(2*Inputs!$C$31^2))*EXP(-(((0)-Inputs!$C$30)^2)/(2*Inputs!$C$32^2))+-Inputs!$C$33*EXP(-(((((Model_Data!A204)-Inputs!$C$34)^2)+(((0)-Inputs!$C$35)^2))/(2*Inputs!$C$36^2)))+Inputs!$C$37*(0.55*SIN(2*PI()*(Model_Data!A204)/Inputs!$C$39)+0.35*COS(2*PI()*(0)/Inputs!$C$40)+0.2*SIN(2*PI()*((Model_Data!A204)+(0))/(0.5*(Inputs!$C$39+Inputs!$C$40))))+Inputs!$C$38*SIN(2*PI()*(Model_Data!A204)/Inputs!$C$39)*SIN(2*PI()*(0)/Inputs!$C$40)+-Inputs!$C$41*EXP(-(((0)-Inputs!$C$43)^2)/(2*Inputs!$C$44^2))*EXP(-(((Model_Data!A204)-Inputs!$C$42)^2)/(2*Inputs!$C$45^2))+Inputs!$C$48*(0.7*(0.45*SIN(2*PI()*(((Model_Data!A204)/Inputs!$C$49)+Inputs!$C$47*0.137))+0.35*COS(2*PI()*(((0)/Inputs!$C$50)+Inputs!$C$47*0.173))+0.2*SIN(2*PI()*(((Model_Data!A204)+(0))/(0.5*(Inputs!$C$49+Inputs!$C$50))+Inputs!$C$47*0.097)))+0.3*(2*((SIN(((Model_Data!A204)*12.9898+(0)*78.233+Inputs!$C$47*37.719))*43758.5453)-INT((SIN(((Model_Data!A204)*12.9898+(0)*78.233+Inputs!$C$47*37.719))*43758.5453)))-1))))/1000)))*1000/Inputs!$C$12)-Model_Data!F204)</f>
        <v>124.71509916324112</v>
      </c>
      <c r="L204" s="10"/>
      <c r="M204" s="9">
        <f>Model_Data!A204</f>
        <v>41</v>
      </c>
      <c r="N204" s="9">
        <f>Model_Data!P204</f>
        <v>-306.83270499993921</v>
      </c>
      <c r="O204" s="9">
        <f t="shared" si="6"/>
        <v>-356.95910774238655</v>
      </c>
      <c r="P204" s="9">
        <f>Model_Data!Q204</f>
        <v>-46.070976726717596</v>
      </c>
      <c r="Q204" s="9">
        <f t="shared" si="7"/>
        <v>-53.597463624982971</v>
      </c>
      <c r="R204" s="10"/>
      <c r="S204" s="9">
        <f>Model_Data!A204</f>
        <v>41</v>
      </c>
      <c r="T204" s="9">
        <f>Model_Data!B204-Inputs!$C$5</f>
        <v>1.8677777777778033</v>
      </c>
      <c r="U204" s="10"/>
      <c r="V204" s="9">
        <f>Model_Data!A204</f>
        <v>41</v>
      </c>
      <c r="W204" s="9">
        <f>((SQRT((Model_Data!A204)^2+Inputs!$C$6^2+Inputs!$C$5^2)-Inputs!$C$5)*1000/Inputs!$C$12)</f>
        <v>1613.5888589342665</v>
      </c>
      <c r="X204" s="9">
        <f>Model_Data!F204</f>
        <v>1606.1424117907243</v>
      </c>
      <c r="Y204" s="10"/>
      <c r="Z204" s="9">
        <f>Model_Data!A204</f>
        <v>41</v>
      </c>
      <c r="AA204" s="9">
        <f>SQRT((Model_Data!A204)^2+Inputs!$C$6^2+((Model_Data!B204)-((Inputs!$C$51*(115*EXP(-(((Inputs!$C$6)-25)^2)/(4.5^2))+70*EXP(-(((Inputs!$C$6)+38)^2)/(7^2))*(0.55+0.45*SIN(2*PI()*(Model_Data!A204)/45))+24*SIN(2*PI()*(Inputs!$C$6)/9+(Model_Data!A204)/18)*EXP(-(((Inputs!$C$6)+5)^2)/(22^2))+18*SIN(2*PI()*(Model_Data!A204)/70))+Inputs!$C$28*EXP(-(((Model_Data!A204)-Inputs!$C$29)^2)/(2*Inputs!$C$31^2))*EXP(-(((Inputs!$C$6)-Inputs!$C$30)^2)/(2*Inputs!$C$32^2))+-Inputs!$C$33*EXP(-(((((Model_Data!A204)-Inputs!$C$34)^2)+(((Inputs!$C$6)-Inputs!$C$35)^2))/(2*Inputs!$C$36^2)))+Inputs!$C$37*(0.55*SIN(2*PI()*(Model_Data!A204)/Inputs!$C$39)+0.35*COS(2*PI()*(Inputs!$C$6)/Inputs!$C$40)+0.2*SIN(2*PI()*((Model_Data!A204)+(Inputs!$C$6))/(0.5*(Inputs!$C$39+Inputs!$C$40))))+Inputs!$C$38*SIN(2*PI()*(Model_Data!A204)/Inputs!$C$39)*SIN(2*PI()*(Inputs!$C$6)/Inputs!$C$40)+-Inputs!$C$41*EXP(-(((Inputs!$C$6)-Inputs!$C$43)^2)/(2*Inputs!$C$44^2))*EXP(-(((Model_Data!A204)-Inputs!$C$42)^2)/(2*Inputs!$C$45^2))+Inputs!$C$48*(0.7*(0.45*SIN(2*PI()*(((Model_Data!A204)/Inputs!$C$49)+Inputs!$C$47*0.137))+0.35*COS(2*PI()*(((Inputs!$C$6)/Inputs!$C$50)+Inputs!$C$47*0.173))+0.2*SIN(2*PI()*(((Model_Data!A204)+(Inputs!$C$6))/(0.5*(Inputs!$C$49+Inputs!$C$50))+Inputs!$C$47*0.097)))+0.3*(2*((SIN(((Model_Data!A204)*12.9898+(Inputs!$C$6)*78.233+Inputs!$C$47*37.719))*43758.5453)-INT((SIN(((Model_Data!A204)*12.9898+(Inputs!$C$6)*78.233+Inputs!$C$47*37.719))*43758.5453)))-1))))/1000)^2)</f>
        <v>404.45210905526557</v>
      </c>
      <c r="AB204" s="9">
        <f>1000*(AA205-AA203)/(Z205-Z203)*Inputs!$C$11</f>
        <v>892.39776935596637</v>
      </c>
      <c r="AC204" s="9">
        <f>-2*AB204/Inputs!$C$13</f>
        <v>-356.95910774238655</v>
      </c>
      <c r="AD204" s="9">
        <f>-2*AB204/Inputs!$C$14</f>
        <v>-53.597463624982971</v>
      </c>
    </row>
    <row r="205" spans="1:30">
      <c r="A205" s="9">
        <f>Model_Data!A205</f>
        <v>41.5</v>
      </c>
      <c r="B205" s="9">
        <f>((SQRT((Model_Data!A205)^2+Inputs!$C$6^2+Inputs!$C$5^2)-Inputs!$C$5)*1000/Inputs!$C$12)</f>
        <v>1642.3482095986215</v>
      </c>
      <c r="C205" s="9">
        <f>Model_Data!F205</f>
        <v>1634.5849135267295</v>
      </c>
      <c r="D205" s="9">
        <f>(((SQRT((Model_Data!A205)^2+Inputs!$C$6^2+((Model_Data!B205)-((Inputs!$C$51*(115*EXP(-(((Inputs!$C$6)-25)^2)/(4.5^2))+70*EXP(-(((Inputs!$C$6)+38)^2)/(7^2))*(0.55+0.45*SIN(2*PI()*(Model_Data!A205)/45))+24*SIN(2*PI()*(Inputs!$C$6)/9+(Model_Data!A205)/18)*EXP(-(((Inputs!$C$6)+5)^2)/(22^2))+18*SIN(2*PI()*(Model_Data!A205)/70))+Inputs!$C$28*EXP(-(((Model_Data!A205)-Inputs!$C$29)^2)/(2*Inputs!$C$31^2))*EXP(-(((Inputs!$C$6)-Inputs!$C$30)^2)/(2*Inputs!$C$32^2))+-Inputs!$C$33*EXP(-(((((Model_Data!A205)-Inputs!$C$34)^2)+(((Inputs!$C$6)-Inputs!$C$35)^2))/(2*Inputs!$C$36^2)))+Inputs!$C$37*(0.55*SIN(2*PI()*(Model_Data!A205)/Inputs!$C$39)+0.35*COS(2*PI()*(Inputs!$C$6)/Inputs!$C$40)+0.2*SIN(2*PI()*((Model_Data!A205)+(Inputs!$C$6))/(0.5*(Inputs!$C$39+Inputs!$C$40))))+Inputs!$C$38*SIN(2*PI()*(Model_Data!A205)/Inputs!$C$39)*SIN(2*PI()*(Inputs!$C$6)/Inputs!$C$40)+-Inputs!$C$41*EXP(-(((Inputs!$C$6)-Inputs!$C$43)^2)/(2*Inputs!$C$44^2))*EXP(-(((Model_Data!A205)-Inputs!$C$42)^2)/(2*Inputs!$C$45^2))+Inputs!$C$48*(0.7*(0.45*SIN(2*PI()*(((Model_Data!A205)/Inputs!$C$49)+Inputs!$C$47*0.137))+0.35*COS(2*PI()*(((Inputs!$C$6)/Inputs!$C$50)+Inputs!$C$47*0.173))+0.2*SIN(2*PI()*(((Model_Data!A205)+(Inputs!$C$6))/(0.5*(Inputs!$C$49+Inputs!$C$50))+Inputs!$C$47*0.097)))+0.3*(2*((SIN(((Model_Data!A205)*12.9898+(Inputs!$C$6)*78.233+Inputs!$C$47*37.719))*43758.5453)-INT((SIN(((Model_Data!A205)*12.9898+(Inputs!$C$6)*78.233+Inputs!$C$47*37.719))*43758.5453)))-1))))/1000)^2))-(((Model_Data!B205)-((Inputs!$C$51*(115*EXP(-(((0)-25)^2)/(4.5^2))+70*EXP(-(((0)+38)^2)/(7^2))*(0.55+0.45*SIN(2*PI()*(Model_Data!A205)/45))+24*SIN(2*PI()*(0)/9+(Model_Data!A205)/18)*EXP(-(((0)+5)^2)/(22^2))+18*SIN(2*PI()*(Model_Data!A205)/70))+Inputs!$C$28*EXP(-(((Model_Data!A205)-Inputs!$C$29)^2)/(2*Inputs!$C$31^2))*EXP(-(((0)-Inputs!$C$30)^2)/(2*Inputs!$C$32^2))+-Inputs!$C$33*EXP(-(((((Model_Data!A205)-Inputs!$C$34)^2)+(((0)-Inputs!$C$35)^2))/(2*Inputs!$C$36^2)))+Inputs!$C$37*(0.55*SIN(2*PI()*(Model_Data!A205)/Inputs!$C$39)+0.35*COS(2*PI()*(0)/Inputs!$C$40)+0.2*SIN(2*PI()*((Model_Data!A205)+(0))/(0.5*(Inputs!$C$39+Inputs!$C$40))))+Inputs!$C$38*SIN(2*PI()*(Model_Data!A205)/Inputs!$C$39)*SIN(2*PI()*(0)/Inputs!$C$40)+-Inputs!$C$41*EXP(-(((0)-Inputs!$C$43)^2)/(2*Inputs!$C$44^2))*EXP(-(((Model_Data!A205)-Inputs!$C$42)^2)/(2*Inputs!$C$45^2))+Inputs!$C$48*(0.7*(0.45*SIN(2*PI()*(((Model_Data!A205)/Inputs!$C$49)+Inputs!$C$47*0.137))+0.35*COS(2*PI()*(((0)/Inputs!$C$50)+Inputs!$C$47*0.173))+0.2*SIN(2*PI()*(((Model_Data!A205)+(0))/(0.5*(Inputs!$C$49+Inputs!$C$50))+Inputs!$C$47*0.097)))+0.3*(2*((SIN(((Model_Data!A205)*12.9898+(0)*78.233+Inputs!$C$47*37.719))*43758.5453)-INT((SIN(((Model_Data!A205)*12.9898+(0)*78.233+Inputs!$C$47*37.719))*43758.5453)))-1))))/1000)))*1000/Inputs!$C$12)</f>
        <v>1517.2262677219103</v>
      </c>
      <c r="E205" s="9">
        <f>Model_Data!A205</f>
        <v>41.5</v>
      </c>
      <c r="F205" s="9">
        <f>(Inputs!$C$51*(115*EXP(-(((Inputs!$C$6)-25)^2)/(4.5^2))+70*EXP(-(((Inputs!$C$6)+38)^2)/(7^2))*(0.55+0.45*SIN(2*PI()*(Model_Data!A205)/45))+24*SIN(2*PI()*(Inputs!$C$6)/9+(Model_Data!A205)/18)*EXP(-(((Inputs!$C$6)+5)^2)/(22^2))+18*SIN(2*PI()*(Model_Data!A205)/70))+Inputs!$C$28*EXP(-(((Model_Data!A205)-Inputs!$C$29)^2)/(2*Inputs!$C$31^2))*EXP(-(((Inputs!$C$6)-Inputs!$C$30)^2)/(2*Inputs!$C$32^2))+-Inputs!$C$33*EXP(-(((((Model_Data!A205)-Inputs!$C$34)^2)+(((Inputs!$C$6)-Inputs!$C$35)^2))/(2*Inputs!$C$36^2)))+Inputs!$C$37*(0.55*SIN(2*PI()*(Model_Data!A205)/Inputs!$C$39)+0.35*COS(2*PI()*(Inputs!$C$6)/Inputs!$C$40)+0.2*SIN(2*PI()*((Model_Data!A205)+(Inputs!$C$6))/(0.5*(Inputs!$C$39+Inputs!$C$40))))+Inputs!$C$38*SIN(2*PI()*(Model_Data!A205)/Inputs!$C$39)*SIN(2*PI()*(Inputs!$C$6)/Inputs!$C$40)+-Inputs!$C$41*EXP(-(((Inputs!$C$6)-Inputs!$C$43)^2)/(2*Inputs!$C$44^2))*EXP(-(((Model_Data!A205)-Inputs!$C$42)^2)/(2*Inputs!$C$45^2))+Inputs!$C$48*(0.7*(0.45*SIN(2*PI()*(((Model_Data!A205)/Inputs!$C$49)+Inputs!$C$47*0.137))+0.35*COS(2*PI()*(((Inputs!$C$6)/Inputs!$C$50)+Inputs!$C$47*0.173))+0.2*SIN(2*PI()*(((Model_Data!A205)+(Inputs!$C$6))/(0.5*(Inputs!$C$49+Inputs!$C$50))+Inputs!$C$47*0.097)))+0.3*(2*((SIN(((Model_Data!A205)*12.9898+(Inputs!$C$6)*78.233+Inputs!$C$47*37.719))*43758.5453)-INT((SIN(((Model_Data!A205)*12.9898+(Inputs!$C$6)*78.233+Inputs!$C$47*37.719))*43758.5453)))-1)))</f>
        <v>269.21554101681534</v>
      </c>
      <c r="G205" s="9">
        <f>(Inputs!$C$51*(115*EXP(-(((0)-25)^2)/(4.5^2))+70*EXP(-(((0)+38)^2)/(7^2))*(0.55+0.45*SIN(2*PI()*(Model_Data!A205)/45))+24*SIN(2*PI()*(0)/9+(Model_Data!A205)/18)*EXP(-(((0)+5)^2)/(22^2))+18*SIN(2*PI()*(Model_Data!A205)/70))+Inputs!$C$28*EXP(-(((Model_Data!A205)-Inputs!$C$29)^2)/(2*Inputs!$C$31^2))*EXP(-(((0)-Inputs!$C$30)^2)/(2*Inputs!$C$32^2))+-Inputs!$C$33*EXP(-(((((Model_Data!A205)-Inputs!$C$34)^2)+(((0)-Inputs!$C$35)^2))/(2*Inputs!$C$36^2)))+Inputs!$C$37*(0.55*SIN(2*PI()*(Model_Data!A205)/Inputs!$C$39)+0.35*COS(2*PI()*(0)/Inputs!$C$40)+0.2*SIN(2*PI()*((Model_Data!A205)+(0))/(0.5*(Inputs!$C$39+Inputs!$C$40))))+Inputs!$C$38*SIN(2*PI()*(Model_Data!A205)/Inputs!$C$39)*SIN(2*PI()*(0)/Inputs!$C$40)+-Inputs!$C$41*EXP(-(((0)-Inputs!$C$43)^2)/(2*Inputs!$C$44^2))*EXP(-(((Model_Data!A205)-Inputs!$C$42)^2)/(2*Inputs!$C$45^2))+Inputs!$C$48*(0.7*(0.45*SIN(2*PI()*(((Model_Data!A205)/Inputs!$C$49)+Inputs!$C$47*0.137))+0.35*COS(2*PI()*(((0)/Inputs!$C$50)+Inputs!$C$47*0.173))+0.2*SIN(2*PI()*(((Model_Data!A205)+(0))/(0.5*(Inputs!$C$49+Inputs!$C$50))+Inputs!$C$47*0.097)))+0.3*(2*((SIN(((Model_Data!A205)*12.9898+(0)*78.233+Inputs!$C$47*37.719))*43758.5453)-INT((SIN(((Model_Data!A205)*12.9898+(0)*78.233+Inputs!$C$47*37.719))*43758.5453)))-1)))</f>
        <v>58.380951897935333</v>
      </c>
      <c r="H205" s="10"/>
      <c r="I205" s="9">
        <f>Model_Data!A205</f>
        <v>41.5</v>
      </c>
      <c r="J205" s="9">
        <f>(Inputs!$C$51*(115*EXP(-(((Inputs!$C$6)-25)^2)/(4.5^2))+70*EXP(-(((Inputs!$C$6)+38)^2)/(7^2))*(0.55+0.45*SIN(2*PI()*(Model_Data!A205)/45))+24*SIN(2*PI()*(Inputs!$C$6)/9+(Model_Data!A205)/18)*EXP(-(((Inputs!$C$6)+5)^2)/(22^2))+18*SIN(2*PI()*(Model_Data!A205)/70))+Inputs!$C$28*EXP(-(((Model_Data!A205)-Inputs!$C$29)^2)/(2*Inputs!$C$31^2))*EXP(-(((Inputs!$C$6)-Inputs!$C$30)^2)/(2*Inputs!$C$32^2))+-Inputs!$C$33*EXP(-(((((Model_Data!A205)-Inputs!$C$34)^2)+(((Inputs!$C$6)-Inputs!$C$35)^2))/(2*Inputs!$C$36^2)))+Inputs!$C$37*(0.55*SIN(2*PI()*(Model_Data!A205)/Inputs!$C$39)+0.35*COS(2*PI()*(Inputs!$C$6)/Inputs!$C$40)+0.2*SIN(2*PI()*((Model_Data!A205)+(Inputs!$C$6))/(0.5*(Inputs!$C$39+Inputs!$C$40))))+Inputs!$C$38*SIN(2*PI()*(Model_Data!A205)/Inputs!$C$39)*SIN(2*PI()*(Inputs!$C$6)/Inputs!$C$40)+-Inputs!$C$41*EXP(-(((Inputs!$C$6)-Inputs!$C$43)^2)/(2*Inputs!$C$44^2))*EXP(-(((Model_Data!A205)-Inputs!$C$42)^2)/(2*Inputs!$C$45^2))+Inputs!$C$48*(0.7*(0.45*SIN(2*PI()*(((Model_Data!A205)/Inputs!$C$49)+Inputs!$C$47*0.137))+0.35*COS(2*PI()*(((Inputs!$C$6)/Inputs!$C$50)+Inputs!$C$47*0.173))+0.2*SIN(2*PI()*(((Model_Data!A205)+(Inputs!$C$6))/(0.5*(Inputs!$C$49+Inputs!$C$50))+Inputs!$C$47*0.097)))+0.3*(2*((SIN(((Model_Data!A205)*12.9898+(Inputs!$C$6)*78.233+Inputs!$C$47*37.719))*43758.5453)-INT((SIN(((Model_Data!A205)*12.9898+(Inputs!$C$6)*78.233+Inputs!$C$47*37.719))*43758.5453)))-1)))</f>
        <v>269.21554101681534</v>
      </c>
      <c r="K205" s="9">
        <f>-((((SQRT((Model_Data!A205)^2+Inputs!$C$6^2+((Model_Data!B205)-((Inputs!$C$51*(115*EXP(-(((Inputs!$C$6)-25)^2)/(4.5^2))+70*EXP(-(((Inputs!$C$6)+38)^2)/(7^2))*(0.55+0.45*SIN(2*PI()*(Model_Data!A205)/45))+24*SIN(2*PI()*(Inputs!$C$6)/9+(Model_Data!A205)/18)*EXP(-(((Inputs!$C$6)+5)^2)/(22^2))+18*SIN(2*PI()*(Model_Data!A205)/70))+Inputs!$C$28*EXP(-(((Model_Data!A205)-Inputs!$C$29)^2)/(2*Inputs!$C$31^2))*EXP(-(((Inputs!$C$6)-Inputs!$C$30)^2)/(2*Inputs!$C$32^2))+-Inputs!$C$33*EXP(-(((((Model_Data!A205)-Inputs!$C$34)^2)+(((Inputs!$C$6)-Inputs!$C$35)^2))/(2*Inputs!$C$36^2)))+Inputs!$C$37*(0.55*SIN(2*PI()*(Model_Data!A205)/Inputs!$C$39)+0.35*COS(2*PI()*(Inputs!$C$6)/Inputs!$C$40)+0.2*SIN(2*PI()*((Model_Data!A205)+(Inputs!$C$6))/(0.5*(Inputs!$C$39+Inputs!$C$40))))+Inputs!$C$38*SIN(2*PI()*(Model_Data!A205)/Inputs!$C$39)*SIN(2*PI()*(Inputs!$C$6)/Inputs!$C$40)+-Inputs!$C$41*EXP(-(((Inputs!$C$6)-Inputs!$C$43)^2)/(2*Inputs!$C$44^2))*EXP(-(((Model_Data!A205)-Inputs!$C$42)^2)/(2*Inputs!$C$45^2))+Inputs!$C$48*(0.7*(0.45*SIN(2*PI()*(((Model_Data!A205)/Inputs!$C$49)+Inputs!$C$47*0.137))+0.35*COS(2*PI()*(((Inputs!$C$6)/Inputs!$C$50)+Inputs!$C$47*0.173))+0.2*SIN(2*PI()*(((Model_Data!A205)+(Inputs!$C$6))/(0.5*(Inputs!$C$49+Inputs!$C$50))+Inputs!$C$47*0.097)))+0.3*(2*((SIN(((Model_Data!A205)*12.9898+(Inputs!$C$6)*78.233+Inputs!$C$47*37.719))*43758.5453)-INT((SIN(((Model_Data!A205)*12.9898+(Inputs!$C$6)*78.233+Inputs!$C$47*37.719))*43758.5453)))-1))))/1000)^2))-(((Model_Data!B205)-((Inputs!$C$51*(115*EXP(-(((0)-25)^2)/(4.5^2))+70*EXP(-(((0)+38)^2)/(7^2))*(0.55+0.45*SIN(2*PI()*(Model_Data!A205)/45))+24*SIN(2*PI()*(0)/9+(Model_Data!A205)/18)*EXP(-(((0)+5)^2)/(22^2))+18*SIN(2*PI()*(Model_Data!A205)/70))+Inputs!$C$28*EXP(-(((Model_Data!A205)-Inputs!$C$29)^2)/(2*Inputs!$C$31^2))*EXP(-(((0)-Inputs!$C$30)^2)/(2*Inputs!$C$32^2))+-Inputs!$C$33*EXP(-(((((Model_Data!A205)-Inputs!$C$34)^2)+(((0)-Inputs!$C$35)^2))/(2*Inputs!$C$36^2)))+Inputs!$C$37*(0.55*SIN(2*PI()*(Model_Data!A205)/Inputs!$C$39)+0.35*COS(2*PI()*(0)/Inputs!$C$40)+0.2*SIN(2*PI()*((Model_Data!A205)+(0))/(0.5*(Inputs!$C$39+Inputs!$C$40))))+Inputs!$C$38*SIN(2*PI()*(Model_Data!A205)/Inputs!$C$39)*SIN(2*PI()*(0)/Inputs!$C$40)+-Inputs!$C$41*EXP(-(((0)-Inputs!$C$43)^2)/(2*Inputs!$C$44^2))*EXP(-(((Model_Data!A205)-Inputs!$C$42)^2)/(2*Inputs!$C$45^2))+Inputs!$C$48*(0.7*(0.45*SIN(2*PI()*(((Model_Data!A205)/Inputs!$C$49)+Inputs!$C$47*0.137))+0.35*COS(2*PI()*(((0)/Inputs!$C$50)+Inputs!$C$47*0.173))+0.2*SIN(2*PI()*(((Model_Data!A205)+(0))/(0.5*(Inputs!$C$49+Inputs!$C$50))+Inputs!$C$47*0.097)))+0.3*(2*((SIN(((Model_Data!A205)*12.9898+(0)*78.233+Inputs!$C$47*37.719))*43758.5453)-INT((SIN(((Model_Data!A205)*12.9898+(0)*78.233+Inputs!$C$47*37.719))*43758.5453)))-1))))/1000)))*1000/Inputs!$C$12)-Model_Data!F205)</f>
        <v>117.35864580481916</v>
      </c>
      <c r="L205" s="10"/>
      <c r="M205" s="9">
        <f>Model_Data!A205</f>
        <v>41.5</v>
      </c>
      <c r="N205" s="9">
        <f>Model_Data!P205</f>
        <v>-310.51726973024654</v>
      </c>
      <c r="O205" s="9">
        <f t="shared" si="6"/>
        <v>-319.25263193852516</v>
      </c>
      <c r="P205" s="9">
        <f>Model_Data!Q205</f>
        <v>-46.624214674211196</v>
      </c>
      <c r="Q205" s="9">
        <f t="shared" si="7"/>
        <v>-47.935830621400179</v>
      </c>
      <c r="R205" s="10"/>
      <c r="S205" s="9">
        <f>Model_Data!A205</f>
        <v>41.5</v>
      </c>
      <c r="T205" s="9">
        <f>Model_Data!B205-Inputs!$C$5</f>
        <v>1.9136111111110949</v>
      </c>
      <c r="U205" s="10"/>
      <c r="V205" s="9">
        <f>Model_Data!A205</f>
        <v>41.5</v>
      </c>
      <c r="W205" s="9">
        <f>((SQRT((Model_Data!A205)^2+Inputs!$C$6^2+Inputs!$C$5^2)-Inputs!$C$5)*1000/Inputs!$C$12)</f>
        <v>1642.3482095986215</v>
      </c>
      <c r="X205" s="9">
        <f>Model_Data!F205</f>
        <v>1634.5849135267295</v>
      </c>
      <c r="Y205" s="10"/>
      <c r="Z205" s="9">
        <f>Model_Data!A205</f>
        <v>41.5</v>
      </c>
      <c r="AA205" s="9">
        <f>SQRT((Model_Data!A205)^2+Inputs!$C$6^2+((Model_Data!B205)-((Inputs!$C$51*(115*EXP(-(((Inputs!$C$6)-25)^2)/(4.5^2))+70*EXP(-(((Inputs!$C$6)+38)^2)/(7^2))*(0.55+0.45*SIN(2*PI()*(Model_Data!A205)/45))+24*SIN(2*PI()*(Inputs!$C$6)/9+(Model_Data!A205)/18)*EXP(-(((Inputs!$C$6)+5)^2)/(22^2))+18*SIN(2*PI()*(Model_Data!A205)/70))+Inputs!$C$28*EXP(-(((Model_Data!A205)-Inputs!$C$29)^2)/(2*Inputs!$C$31^2))*EXP(-(((Inputs!$C$6)-Inputs!$C$30)^2)/(2*Inputs!$C$32^2))+-Inputs!$C$33*EXP(-(((((Model_Data!A205)-Inputs!$C$34)^2)+(((Inputs!$C$6)-Inputs!$C$35)^2))/(2*Inputs!$C$36^2)))+Inputs!$C$37*(0.55*SIN(2*PI()*(Model_Data!A205)/Inputs!$C$39)+0.35*COS(2*PI()*(Inputs!$C$6)/Inputs!$C$40)+0.2*SIN(2*PI()*((Model_Data!A205)+(Inputs!$C$6))/(0.5*(Inputs!$C$39+Inputs!$C$40))))+Inputs!$C$38*SIN(2*PI()*(Model_Data!A205)/Inputs!$C$39)*SIN(2*PI()*(Inputs!$C$6)/Inputs!$C$40)+-Inputs!$C$41*EXP(-(((Inputs!$C$6)-Inputs!$C$43)^2)/(2*Inputs!$C$44^2))*EXP(-(((Model_Data!A205)-Inputs!$C$42)^2)/(2*Inputs!$C$45^2))+Inputs!$C$48*(0.7*(0.45*SIN(2*PI()*(((Model_Data!A205)/Inputs!$C$49)+Inputs!$C$47*0.137))+0.35*COS(2*PI()*(((Inputs!$C$6)/Inputs!$C$50)+Inputs!$C$47*0.173))+0.2*SIN(2*PI()*(((Model_Data!A205)+(Inputs!$C$6))/(0.5*(Inputs!$C$49+Inputs!$C$50))+Inputs!$C$47*0.097)))+0.3*(2*((SIN(((Model_Data!A205)*12.9898+(Inputs!$C$6)*78.233+Inputs!$C$47*37.719))*43758.5453)-INT((SIN(((Model_Data!A205)*12.9898+(Inputs!$C$6)*78.233+Inputs!$C$47*37.719))*43758.5453)))-1))))/1000)^2)</f>
        <v>404.55589291575814</v>
      </c>
      <c r="AB205" s="9">
        <f>1000*(AA206-AA204)/(Z206-Z204)*Inputs!$C$11</f>
        <v>798.13157984631289</v>
      </c>
      <c r="AC205" s="9">
        <f>-2*AB205/Inputs!$C$13</f>
        <v>-319.25263193852516</v>
      </c>
      <c r="AD205" s="9">
        <f>-2*AB205/Inputs!$C$14</f>
        <v>-47.935830621400179</v>
      </c>
    </row>
    <row r="206" spans="1:30">
      <c r="A206" s="9">
        <f>Model_Data!A206</f>
        <v>42</v>
      </c>
      <c r="B206" s="9">
        <f>((SQRT((Model_Data!A206)^2+Inputs!$C$6^2+Inputs!$C$5^2)-Inputs!$C$5)*1000/Inputs!$C$12)</f>
        <v>1671.4524383365294</v>
      </c>
      <c r="C206" s="9">
        <f>Model_Data!F206</f>
        <v>1663.3619953398884</v>
      </c>
      <c r="D206" s="9">
        <f>(((SQRT((Model_Data!A206)^2+Inputs!$C$6^2+((Model_Data!B206)-((Inputs!$C$51*(115*EXP(-(((Inputs!$C$6)-25)^2)/(4.5^2))+70*EXP(-(((Inputs!$C$6)+38)^2)/(7^2))*(0.55+0.45*SIN(2*PI()*(Model_Data!A206)/45))+24*SIN(2*PI()*(Inputs!$C$6)/9+(Model_Data!A206)/18)*EXP(-(((Inputs!$C$6)+5)^2)/(22^2))+18*SIN(2*PI()*(Model_Data!A206)/70))+Inputs!$C$28*EXP(-(((Model_Data!A206)-Inputs!$C$29)^2)/(2*Inputs!$C$31^2))*EXP(-(((Inputs!$C$6)-Inputs!$C$30)^2)/(2*Inputs!$C$32^2))+-Inputs!$C$33*EXP(-(((((Model_Data!A206)-Inputs!$C$34)^2)+(((Inputs!$C$6)-Inputs!$C$35)^2))/(2*Inputs!$C$36^2)))+Inputs!$C$37*(0.55*SIN(2*PI()*(Model_Data!A206)/Inputs!$C$39)+0.35*COS(2*PI()*(Inputs!$C$6)/Inputs!$C$40)+0.2*SIN(2*PI()*((Model_Data!A206)+(Inputs!$C$6))/(0.5*(Inputs!$C$39+Inputs!$C$40))))+Inputs!$C$38*SIN(2*PI()*(Model_Data!A206)/Inputs!$C$39)*SIN(2*PI()*(Inputs!$C$6)/Inputs!$C$40)+-Inputs!$C$41*EXP(-(((Inputs!$C$6)-Inputs!$C$43)^2)/(2*Inputs!$C$44^2))*EXP(-(((Model_Data!A206)-Inputs!$C$42)^2)/(2*Inputs!$C$45^2))+Inputs!$C$48*(0.7*(0.45*SIN(2*PI()*(((Model_Data!A206)/Inputs!$C$49)+Inputs!$C$47*0.137))+0.35*COS(2*PI()*(((Inputs!$C$6)/Inputs!$C$50)+Inputs!$C$47*0.173))+0.2*SIN(2*PI()*(((Model_Data!A206)+(Inputs!$C$6))/(0.5*(Inputs!$C$49+Inputs!$C$50))+Inputs!$C$47*0.097)))+0.3*(2*((SIN(((Model_Data!A206)*12.9898+(Inputs!$C$6)*78.233+Inputs!$C$47*37.719))*43758.5453)-INT((SIN(((Model_Data!A206)*12.9898+(Inputs!$C$6)*78.233+Inputs!$C$47*37.719))*43758.5453)))-1))))/1000)^2))-(((Model_Data!B206)-((Inputs!$C$51*(115*EXP(-(((0)-25)^2)/(4.5^2))+70*EXP(-(((0)+38)^2)/(7^2))*(0.55+0.45*SIN(2*PI()*(Model_Data!A206)/45))+24*SIN(2*PI()*(0)/9+(Model_Data!A206)/18)*EXP(-(((0)+5)^2)/(22^2))+18*SIN(2*PI()*(Model_Data!A206)/70))+Inputs!$C$28*EXP(-(((Model_Data!A206)-Inputs!$C$29)^2)/(2*Inputs!$C$31^2))*EXP(-(((0)-Inputs!$C$30)^2)/(2*Inputs!$C$32^2))+-Inputs!$C$33*EXP(-(((((Model_Data!A206)-Inputs!$C$34)^2)+(((0)-Inputs!$C$35)^2))/(2*Inputs!$C$36^2)))+Inputs!$C$37*(0.55*SIN(2*PI()*(Model_Data!A206)/Inputs!$C$39)+0.35*COS(2*PI()*(0)/Inputs!$C$40)+0.2*SIN(2*PI()*((Model_Data!A206)+(0))/(0.5*(Inputs!$C$39+Inputs!$C$40))))+Inputs!$C$38*SIN(2*PI()*(Model_Data!A206)/Inputs!$C$39)*SIN(2*PI()*(0)/Inputs!$C$40)+-Inputs!$C$41*EXP(-(((0)-Inputs!$C$43)^2)/(2*Inputs!$C$44^2))*EXP(-(((Model_Data!A206)-Inputs!$C$42)^2)/(2*Inputs!$C$45^2))+Inputs!$C$48*(0.7*(0.45*SIN(2*PI()*(((Model_Data!A206)/Inputs!$C$49)+Inputs!$C$47*0.137))+0.35*COS(2*PI()*(((0)/Inputs!$C$50)+Inputs!$C$47*0.173))+0.2*SIN(2*PI()*(((Model_Data!A206)+(0))/(0.5*(Inputs!$C$49+Inputs!$C$50))+Inputs!$C$47*0.097)))+0.3*(2*((SIN(((Model_Data!A206)*12.9898+(0)*78.233+Inputs!$C$47*37.719))*43758.5453)-INT((SIN(((Model_Data!A206)*12.9898+(0)*78.233+Inputs!$C$47*37.719))*43758.5453)))-1))))/1000)))*1000/Inputs!$C$12)</f>
        <v>1531.5523552471807</v>
      </c>
      <c r="E206" s="9">
        <f>Model_Data!A206</f>
        <v>42</v>
      </c>
      <c r="F206" s="9">
        <f>(Inputs!$C$51*(115*EXP(-(((Inputs!$C$6)-25)^2)/(4.5^2))+70*EXP(-(((Inputs!$C$6)+38)^2)/(7^2))*(0.55+0.45*SIN(2*PI()*(Model_Data!A206)/45))+24*SIN(2*PI()*(Inputs!$C$6)/9+(Model_Data!A206)/18)*EXP(-(((Inputs!$C$6)+5)^2)/(22^2))+18*SIN(2*PI()*(Model_Data!A206)/70))+Inputs!$C$28*EXP(-(((Model_Data!A206)-Inputs!$C$29)^2)/(2*Inputs!$C$31^2))*EXP(-(((Inputs!$C$6)-Inputs!$C$30)^2)/(2*Inputs!$C$32^2))+-Inputs!$C$33*EXP(-(((((Model_Data!A206)-Inputs!$C$34)^2)+(((Inputs!$C$6)-Inputs!$C$35)^2))/(2*Inputs!$C$36^2)))+Inputs!$C$37*(0.55*SIN(2*PI()*(Model_Data!A206)/Inputs!$C$39)+0.35*COS(2*PI()*(Inputs!$C$6)/Inputs!$C$40)+0.2*SIN(2*PI()*((Model_Data!A206)+(Inputs!$C$6))/(0.5*(Inputs!$C$39+Inputs!$C$40))))+Inputs!$C$38*SIN(2*PI()*(Model_Data!A206)/Inputs!$C$39)*SIN(2*PI()*(Inputs!$C$6)/Inputs!$C$40)+-Inputs!$C$41*EXP(-(((Inputs!$C$6)-Inputs!$C$43)^2)/(2*Inputs!$C$44^2))*EXP(-(((Model_Data!A206)-Inputs!$C$42)^2)/(2*Inputs!$C$45^2))+Inputs!$C$48*(0.7*(0.45*SIN(2*PI()*(((Model_Data!A206)/Inputs!$C$49)+Inputs!$C$47*0.137))+0.35*COS(2*PI()*(((Inputs!$C$6)/Inputs!$C$50)+Inputs!$C$47*0.173))+0.2*SIN(2*PI()*(((Model_Data!A206)+(Inputs!$C$6))/(0.5*(Inputs!$C$49+Inputs!$C$50))+Inputs!$C$47*0.097)))+0.3*(2*((SIN(((Model_Data!A206)*12.9898+(Inputs!$C$6)*78.233+Inputs!$C$47*37.719))*43758.5453)-INT((SIN(((Model_Data!A206)*12.9898+(Inputs!$C$6)*78.233+Inputs!$C$47*37.719))*43758.5453)))-1)))</f>
        <v>271.12620211290232</v>
      </c>
      <c r="G206" s="9">
        <f>(Inputs!$C$51*(115*EXP(-(((0)-25)^2)/(4.5^2))+70*EXP(-(((0)+38)^2)/(7^2))*(0.55+0.45*SIN(2*PI()*(Model_Data!A206)/45))+24*SIN(2*PI()*(0)/9+(Model_Data!A206)/18)*EXP(-(((0)+5)^2)/(22^2))+18*SIN(2*PI()*(Model_Data!A206)/70))+Inputs!$C$28*EXP(-(((Model_Data!A206)-Inputs!$C$29)^2)/(2*Inputs!$C$31^2))*EXP(-(((0)-Inputs!$C$30)^2)/(2*Inputs!$C$32^2))+-Inputs!$C$33*EXP(-(((((Model_Data!A206)-Inputs!$C$34)^2)+(((0)-Inputs!$C$35)^2))/(2*Inputs!$C$36^2)))+Inputs!$C$37*(0.55*SIN(2*PI()*(Model_Data!A206)/Inputs!$C$39)+0.35*COS(2*PI()*(0)/Inputs!$C$40)+0.2*SIN(2*PI()*((Model_Data!A206)+(0))/(0.5*(Inputs!$C$39+Inputs!$C$40))))+Inputs!$C$38*SIN(2*PI()*(Model_Data!A206)/Inputs!$C$39)*SIN(2*PI()*(0)/Inputs!$C$40)+-Inputs!$C$41*EXP(-(((0)-Inputs!$C$43)^2)/(2*Inputs!$C$44^2))*EXP(-(((Model_Data!A206)-Inputs!$C$42)^2)/(2*Inputs!$C$45^2))+Inputs!$C$48*(0.7*(0.45*SIN(2*PI()*(((Model_Data!A206)/Inputs!$C$49)+Inputs!$C$47*0.137))+0.35*COS(2*PI()*(((0)/Inputs!$C$50)+Inputs!$C$47*0.173))+0.2*SIN(2*PI()*(((Model_Data!A206)+(0))/(0.5*(Inputs!$C$49+Inputs!$C$50))+Inputs!$C$47*0.097)))+0.3*(2*((SIN(((Model_Data!A206)*12.9898+(0)*78.233+Inputs!$C$47*37.719))*43758.5453)-INT((SIN(((Model_Data!A206)*12.9898+(0)*78.233+Inputs!$C$47*37.719))*43758.5453)))-1)))</f>
        <v>34.521242112789622</v>
      </c>
      <c r="H206" s="10"/>
      <c r="I206" s="9">
        <f>Model_Data!A206</f>
        <v>42</v>
      </c>
      <c r="J206" s="9">
        <f>(Inputs!$C$51*(115*EXP(-(((Inputs!$C$6)-25)^2)/(4.5^2))+70*EXP(-(((Inputs!$C$6)+38)^2)/(7^2))*(0.55+0.45*SIN(2*PI()*(Model_Data!A206)/45))+24*SIN(2*PI()*(Inputs!$C$6)/9+(Model_Data!A206)/18)*EXP(-(((Inputs!$C$6)+5)^2)/(22^2))+18*SIN(2*PI()*(Model_Data!A206)/70))+Inputs!$C$28*EXP(-(((Model_Data!A206)-Inputs!$C$29)^2)/(2*Inputs!$C$31^2))*EXP(-(((Inputs!$C$6)-Inputs!$C$30)^2)/(2*Inputs!$C$32^2))+-Inputs!$C$33*EXP(-(((((Model_Data!A206)-Inputs!$C$34)^2)+(((Inputs!$C$6)-Inputs!$C$35)^2))/(2*Inputs!$C$36^2)))+Inputs!$C$37*(0.55*SIN(2*PI()*(Model_Data!A206)/Inputs!$C$39)+0.35*COS(2*PI()*(Inputs!$C$6)/Inputs!$C$40)+0.2*SIN(2*PI()*((Model_Data!A206)+(Inputs!$C$6))/(0.5*(Inputs!$C$39+Inputs!$C$40))))+Inputs!$C$38*SIN(2*PI()*(Model_Data!A206)/Inputs!$C$39)*SIN(2*PI()*(Inputs!$C$6)/Inputs!$C$40)+-Inputs!$C$41*EXP(-(((Inputs!$C$6)-Inputs!$C$43)^2)/(2*Inputs!$C$44^2))*EXP(-(((Model_Data!A206)-Inputs!$C$42)^2)/(2*Inputs!$C$45^2))+Inputs!$C$48*(0.7*(0.45*SIN(2*PI()*(((Model_Data!A206)/Inputs!$C$49)+Inputs!$C$47*0.137))+0.35*COS(2*PI()*(((Inputs!$C$6)/Inputs!$C$50)+Inputs!$C$47*0.173))+0.2*SIN(2*PI()*(((Model_Data!A206)+(Inputs!$C$6))/(0.5*(Inputs!$C$49+Inputs!$C$50))+Inputs!$C$47*0.097)))+0.3*(2*((SIN(((Model_Data!A206)*12.9898+(Inputs!$C$6)*78.233+Inputs!$C$47*37.719))*43758.5453)-INT((SIN(((Model_Data!A206)*12.9898+(Inputs!$C$6)*78.233+Inputs!$C$47*37.719))*43758.5453)))-1)))</f>
        <v>271.12620211290232</v>
      </c>
      <c r="K206" s="9">
        <f>-((((SQRT((Model_Data!A206)^2+Inputs!$C$6^2+((Model_Data!B206)-((Inputs!$C$51*(115*EXP(-(((Inputs!$C$6)-25)^2)/(4.5^2))+70*EXP(-(((Inputs!$C$6)+38)^2)/(7^2))*(0.55+0.45*SIN(2*PI()*(Model_Data!A206)/45))+24*SIN(2*PI()*(Inputs!$C$6)/9+(Model_Data!A206)/18)*EXP(-(((Inputs!$C$6)+5)^2)/(22^2))+18*SIN(2*PI()*(Model_Data!A206)/70))+Inputs!$C$28*EXP(-(((Model_Data!A206)-Inputs!$C$29)^2)/(2*Inputs!$C$31^2))*EXP(-(((Inputs!$C$6)-Inputs!$C$30)^2)/(2*Inputs!$C$32^2))+-Inputs!$C$33*EXP(-(((((Model_Data!A206)-Inputs!$C$34)^2)+(((Inputs!$C$6)-Inputs!$C$35)^2))/(2*Inputs!$C$36^2)))+Inputs!$C$37*(0.55*SIN(2*PI()*(Model_Data!A206)/Inputs!$C$39)+0.35*COS(2*PI()*(Inputs!$C$6)/Inputs!$C$40)+0.2*SIN(2*PI()*((Model_Data!A206)+(Inputs!$C$6))/(0.5*(Inputs!$C$39+Inputs!$C$40))))+Inputs!$C$38*SIN(2*PI()*(Model_Data!A206)/Inputs!$C$39)*SIN(2*PI()*(Inputs!$C$6)/Inputs!$C$40)+-Inputs!$C$41*EXP(-(((Inputs!$C$6)-Inputs!$C$43)^2)/(2*Inputs!$C$44^2))*EXP(-(((Model_Data!A206)-Inputs!$C$42)^2)/(2*Inputs!$C$45^2))+Inputs!$C$48*(0.7*(0.45*SIN(2*PI()*(((Model_Data!A206)/Inputs!$C$49)+Inputs!$C$47*0.137))+0.35*COS(2*PI()*(((Inputs!$C$6)/Inputs!$C$50)+Inputs!$C$47*0.173))+0.2*SIN(2*PI()*(((Model_Data!A206)+(Inputs!$C$6))/(0.5*(Inputs!$C$49+Inputs!$C$50))+Inputs!$C$47*0.097)))+0.3*(2*((SIN(((Model_Data!A206)*12.9898+(Inputs!$C$6)*78.233+Inputs!$C$47*37.719))*43758.5453)-INT((SIN(((Model_Data!A206)*12.9898+(Inputs!$C$6)*78.233+Inputs!$C$47*37.719))*43758.5453)))-1))))/1000)^2))-(((Model_Data!B206)-((Inputs!$C$51*(115*EXP(-(((0)-25)^2)/(4.5^2))+70*EXP(-(((0)+38)^2)/(7^2))*(0.55+0.45*SIN(2*PI()*(Model_Data!A206)/45))+24*SIN(2*PI()*(0)/9+(Model_Data!A206)/18)*EXP(-(((0)+5)^2)/(22^2))+18*SIN(2*PI()*(Model_Data!A206)/70))+Inputs!$C$28*EXP(-(((Model_Data!A206)-Inputs!$C$29)^2)/(2*Inputs!$C$31^2))*EXP(-(((0)-Inputs!$C$30)^2)/(2*Inputs!$C$32^2))+-Inputs!$C$33*EXP(-(((((Model_Data!A206)-Inputs!$C$34)^2)+(((0)-Inputs!$C$35)^2))/(2*Inputs!$C$36^2)))+Inputs!$C$37*(0.55*SIN(2*PI()*(Model_Data!A206)/Inputs!$C$39)+0.35*COS(2*PI()*(0)/Inputs!$C$40)+0.2*SIN(2*PI()*((Model_Data!A206)+(0))/(0.5*(Inputs!$C$39+Inputs!$C$40))))+Inputs!$C$38*SIN(2*PI()*(Model_Data!A206)/Inputs!$C$39)*SIN(2*PI()*(0)/Inputs!$C$40)+-Inputs!$C$41*EXP(-(((0)-Inputs!$C$43)^2)/(2*Inputs!$C$44^2))*EXP(-(((Model_Data!A206)-Inputs!$C$42)^2)/(2*Inputs!$C$45^2))+Inputs!$C$48*(0.7*(0.45*SIN(2*PI()*(((Model_Data!A206)/Inputs!$C$49)+Inputs!$C$47*0.137))+0.35*COS(2*PI()*(((0)/Inputs!$C$50)+Inputs!$C$47*0.173))+0.2*SIN(2*PI()*(((Model_Data!A206)+(0))/(0.5*(Inputs!$C$49+Inputs!$C$50))+Inputs!$C$47*0.097)))+0.3*(2*((SIN(((Model_Data!A206)*12.9898+(0)*78.233+Inputs!$C$47*37.719))*43758.5453)-INT((SIN(((Model_Data!A206)*12.9898+(0)*78.233+Inputs!$C$47*37.719))*43758.5453)))-1))))/1000)))*1000/Inputs!$C$12)-Model_Data!F206)</f>
        <v>131.8096400927077</v>
      </c>
      <c r="L206" s="10"/>
      <c r="M206" s="9">
        <f>Model_Data!A206</f>
        <v>42</v>
      </c>
      <c r="N206" s="9">
        <f>Model_Data!P206</f>
        <v>-314.1997931036334</v>
      </c>
      <c r="O206" s="9">
        <f t="shared" si="6"/>
        <v>-329.29702532792362</v>
      </c>
      <c r="P206" s="9">
        <f>Model_Data!Q206</f>
        <v>-47.177146111656668</v>
      </c>
      <c r="Q206" s="9">
        <f t="shared" si="7"/>
        <v>-49.443997796985535</v>
      </c>
      <c r="R206" s="10"/>
      <c r="S206" s="9">
        <f>Model_Data!A206</f>
        <v>42</v>
      </c>
      <c r="T206" s="9">
        <f>Model_Data!B206-Inputs!$C$5</f>
        <v>1.9599999999999795</v>
      </c>
      <c r="U206" s="10"/>
      <c r="V206" s="9">
        <f>Model_Data!A206</f>
        <v>42</v>
      </c>
      <c r="W206" s="9">
        <f>((SQRT((Model_Data!A206)^2+Inputs!$C$6^2+Inputs!$C$5^2)-Inputs!$C$5)*1000/Inputs!$C$12)</f>
        <v>1671.4524383365294</v>
      </c>
      <c r="X206" s="9">
        <f>Model_Data!F206</f>
        <v>1663.3619953398884</v>
      </c>
      <c r="Y206" s="10"/>
      <c r="Z206" s="9">
        <f>Model_Data!A206</f>
        <v>42</v>
      </c>
      <c r="AA206" s="9">
        <f>SQRT((Model_Data!A206)^2+Inputs!$C$6^2+((Model_Data!B206)-((Inputs!$C$51*(115*EXP(-(((Inputs!$C$6)-25)^2)/(4.5^2))+70*EXP(-(((Inputs!$C$6)+38)^2)/(7^2))*(0.55+0.45*SIN(2*PI()*(Model_Data!A206)/45))+24*SIN(2*PI()*(Inputs!$C$6)/9+(Model_Data!A206)/18)*EXP(-(((Inputs!$C$6)+5)^2)/(22^2))+18*SIN(2*PI()*(Model_Data!A206)/70))+Inputs!$C$28*EXP(-(((Model_Data!A206)-Inputs!$C$29)^2)/(2*Inputs!$C$31^2))*EXP(-(((Inputs!$C$6)-Inputs!$C$30)^2)/(2*Inputs!$C$32^2))+-Inputs!$C$33*EXP(-(((((Model_Data!A206)-Inputs!$C$34)^2)+(((Inputs!$C$6)-Inputs!$C$35)^2))/(2*Inputs!$C$36^2)))+Inputs!$C$37*(0.55*SIN(2*PI()*(Model_Data!A206)/Inputs!$C$39)+0.35*COS(2*PI()*(Inputs!$C$6)/Inputs!$C$40)+0.2*SIN(2*PI()*((Model_Data!A206)+(Inputs!$C$6))/(0.5*(Inputs!$C$39+Inputs!$C$40))))+Inputs!$C$38*SIN(2*PI()*(Model_Data!A206)/Inputs!$C$39)*SIN(2*PI()*(Inputs!$C$6)/Inputs!$C$40)+-Inputs!$C$41*EXP(-(((Inputs!$C$6)-Inputs!$C$43)^2)/(2*Inputs!$C$44^2))*EXP(-(((Model_Data!A206)-Inputs!$C$42)^2)/(2*Inputs!$C$45^2))+Inputs!$C$48*(0.7*(0.45*SIN(2*PI()*(((Model_Data!A206)/Inputs!$C$49)+Inputs!$C$47*0.137))+0.35*COS(2*PI()*(((Inputs!$C$6)/Inputs!$C$50)+Inputs!$C$47*0.173))+0.2*SIN(2*PI()*(((Model_Data!A206)+(Inputs!$C$6))/(0.5*(Inputs!$C$49+Inputs!$C$50))+Inputs!$C$47*0.097)))+0.3*(2*((SIN(((Model_Data!A206)*12.9898+(Inputs!$C$6)*78.233+Inputs!$C$47*37.719))*43758.5453)-INT((SIN(((Model_Data!A206)*12.9898+(Inputs!$C$6)*78.233+Inputs!$C$47*37.719))*43758.5453)))-1))))/1000)^2)</f>
        <v>404.65164195022714</v>
      </c>
      <c r="AB206" s="9">
        <f>1000*(AA207-AA205)/(Z207-Z205)*Inputs!$C$11</f>
        <v>823.24256331980905</v>
      </c>
      <c r="AC206" s="9">
        <f>-2*AB206/Inputs!$C$13</f>
        <v>-329.29702532792362</v>
      </c>
      <c r="AD206" s="9">
        <f>-2*AB206/Inputs!$C$14</f>
        <v>-49.443997796985535</v>
      </c>
    </row>
    <row r="207" spans="1:30">
      <c r="A207" s="9">
        <f>Model_Data!A207</f>
        <v>42.5</v>
      </c>
      <c r="B207" s="9">
        <f>((SQRT((Model_Data!A207)^2+Inputs!$C$6^2+Inputs!$C$5^2)-Inputs!$C$5)*1000/Inputs!$C$12)</f>
        <v>1700.9014121552116</v>
      </c>
      <c r="C207" s="9">
        <f>Model_Data!F207</f>
        <v>1692.4732969044633</v>
      </c>
      <c r="D207" s="9">
        <f>(((SQRT((Model_Data!A207)^2+Inputs!$C$6^2+((Model_Data!B207)-((Inputs!$C$51*(115*EXP(-(((Inputs!$C$6)-25)^2)/(4.5^2))+70*EXP(-(((Inputs!$C$6)+38)^2)/(7^2))*(0.55+0.45*SIN(2*PI()*(Model_Data!A207)/45))+24*SIN(2*PI()*(Inputs!$C$6)/9+(Model_Data!A207)/18)*EXP(-(((Inputs!$C$6)+5)^2)/(22^2))+18*SIN(2*PI()*(Model_Data!A207)/70))+Inputs!$C$28*EXP(-(((Model_Data!A207)-Inputs!$C$29)^2)/(2*Inputs!$C$31^2))*EXP(-(((Inputs!$C$6)-Inputs!$C$30)^2)/(2*Inputs!$C$32^2))+-Inputs!$C$33*EXP(-(((((Model_Data!A207)-Inputs!$C$34)^2)+(((Inputs!$C$6)-Inputs!$C$35)^2))/(2*Inputs!$C$36^2)))+Inputs!$C$37*(0.55*SIN(2*PI()*(Model_Data!A207)/Inputs!$C$39)+0.35*COS(2*PI()*(Inputs!$C$6)/Inputs!$C$40)+0.2*SIN(2*PI()*((Model_Data!A207)+(Inputs!$C$6))/(0.5*(Inputs!$C$39+Inputs!$C$40))))+Inputs!$C$38*SIN(2*PI()*(Model_Data!A207)/Inputs!$C$39)*SIN(2*PI()*(Inputs!$C$6)/Inputs!$C$40)+-Inputs!$C$41*EXP(-(((Inputs!$C$6)-Inputs!$C$43)^2)/(2*Inputs!$C$44^2))*EXP(-(((Model_Data!A207)-Inputs!$C$42)^2)/(2*Inputs!$C$45^2))+Inputs!$C$48*(0.7*(0.45*SIN(2*PI()*(((Model_Data!A207)/Inputs!$C$49)+Inputs!$C$47*0.137))+0.35*COS(2*PI()*(((Inputs!$C$6)/Inputs!$C$50)+Inputs!$C$47*0.173))+0.2*SIN(2*PI()*(((Model_Data!A207)+(Inputs!$C$6))/(0.5*(Inputs!$C$49+Inputs!$C$50))+Inputs!$C$47*0.097)))+0.3*(2*((SIN(((Model_Data!A207)*12.9898+(Inputs!$C$6)*78.233+Inputs!$C$47*37.719))*43758.5453)-INT((SIN(((Model_Data!A207)*12.9898+(Inputs!$C$6)*78.233+Inputs!$C$47*37.719))*43758.5453)))-1))))/1000)^2))-(((Model_Data!B207)-((Inputs!$C$51*(115*EXP(-(((0)-25)^2)/(4.5^2))+70*EXP(-(((0)+38)^2)/(7^2))*(0.55+0.45*SIN(2*PI()*(Model_Data!A207)/45))+24*SIN(2*PI()*(0)/9+(Model_Data!A207)/18)*EXP(-(((0)+5)^2)/(22^2))+18*SIN(2*PI()*(Model_Data!A207)/70))+Inputs!$C$28*EXP(-(((Model_Data!A207)-Inputs!$C$29)^2)/(2*Inputs!$C$31^2))*EXP(-(((0)-Inputs!$C$30)^2)/(2*Inputs!$C$32^2))+-Inputs!$C$33*EXP(-(((((Model_Data!A207)-Inputs!$C$34)^2)+(((0)-Inputs!$C$35)^2))/(2*Inputs!$C$36^2)))+Inputs!$C$37*(0.55*SIN(2*PI()*(Model_Data!A207)/Inputs!$C$39)+0.35*COS(2*PI()*(0)/Inputs!$C$40)+0.2*SIN(2*PI()*((Model_Data!A207)+(0))/(0.5*(Inputs!$C$39+Inputs!$C$40))))+Inputs!$C$38*SIN(2*PI()*(Model_Data!A207)/Inputs!$C$39)*SIN(2*PI()*(0)/Inputs!$C$40)+-Inputs!$C$41*EXP(-(((0)-Inputs!$C$43)^2)/(2*Inputs!$C$44^2))*EXP(-(((Model_Data!A207)-Inputs!$C$42)^2)/(2*Inputs!$C$45^2))+Inputs!$C$48*(0.7*(0.45*SIN(2*PI()*(((Model_Data!A207)/Inputs!$C$49)+Inputs!$C$47*0.137))+0.35*COS(2*PI()*(((0)/Inputs!$C$50)+Inputs!$C$47*0.173))+0.2*SIN(2*PI()*(((Model_Data!A207)+(0))/(0.5*(Inputs!$C$49+Inputs!$C$50))+Inputs!$C$47*0.097)))+0.3*(2*((SIN(((Model_Data!A207)*12.9898+(0)*78.233+Inputs!$C$47*37.719))*43758.5453)-INT((SIN(((Model_Data!A207)*12.9898+(0)*78.233+Inputs!$C$47*37.719))*43758.5453)))-1))))/1000)))*1000/Inputs!$C$12)</f>
        <v>1570.2305553396193</v>
      </c>
      <c r="E207" s="9">
        <f>Model_Data!A207</f>
        <v>42.5</v>
      </c>
      <c r="F207" s="9">
        <f>(Inputs!$C$51*(115*EXP(-(((Inputs!$C$6)-25)^2)/(4.5^2))+70*EXP(-(((Inputs!$C$6)+38)^2)/(7^2))*(0.55+0.45*SIN(2*PI()*(Model_Data!A207)/45))+24*SIN(2*PI()*(Inputs!$C$6)/9+(Model_Data!A207)/18)*EXP(-(((Inputs!$C$6)+5)^2)/(22^2))+18*SIN(2*PI()*(Model_Data!A207)/70))+Inputs!$C$28*EXP(-(((Model_Data!A207)-Inputs!$C$29)^2)/(2*Inputs!$C$31^2))*EXP(-(((Inputs!$C$6)-Inputs!$C$30)^2)/(2*Inputs!$C$32^2))+-Inputs!$C$33*EXP(-(((((Model_Data!A207)-Inputs!$C$34)^2)+(((Inputs!$C$6)-Inputs!$C$35)^2))/(2*Inputs!$C$36^2)))+Inputs!$C$37*(0.55*SIN(2*PI()*(Model_Data!A207)/Inputs!$C$39)+0.35*COS(2*PI()*(Inputs!$C$6)/Inputs!$C$40)+0.2*SIN(2*PI()*((Model_Data!A207)+(Inputs!$C$6))/(0.5*(Inputs!$C$39+Inputs!$C$40))))+Inputs!$C$38*SIN(2*PI()*(Model_Data!A207)/Inputs!$C$39)*SIN(2*PI()*(Inputs!$C$6)/Inputs!$C$40)+-Inputs!$C$41*EXP(-(((Inputs!$C$6)-Inputs!$C$43)^2)/(2*Inputs!$C$44^2))*EXP(-(((Model_Data!A207)-Inputs!$C$42)^2)/(2*Inputs!$C$45^2))+Inputs!$C$48*(0.7*(0.45*SIN(2*PI()*(((Model_Data!A207)/Inputs!$C$49)+Inputs!$C$47*0.137))+0.35*COS(2*PI()*(((Inputs!$C$6)/Inputs!$C$50)+Inputs!$C$47*0.173))+0.2*SIN(2*PI()*(((Model_Data!A207)+(Inputs!$C$6))/(0.5*(Inputs!$C$49+Inputs!$C$50))+Inputs!$C$47*0.097)))+0.3*(2*((SIN(((Model_Data!A207)*12.9898+(Inputs!$C$6)*78.233+Inputs!$C$47*37.719))*43758.5453)-INT((SIN(((Model_Data!A207)*12.9898+(Inputs!$C$6)*78.233+Inputs!$C$47*37.719))*43758.5453)))-1)))</f>
        <v>259.77685513673219</v>
      </c>
      <c r="G207" s="9">
        <f>(Inputs!$C$51*(115*EXP(-(((0)-25)^2)/(4.5^2))+70*EXP(-(((0)+38)^2)/(7^2))*(0.55+0.45*SIN(2*PI()*(Model_Data!A207)/45))+24*SIN(2*PI()*(0)/9+(Model_Data!A207)/18)*EXP(-(((0)+5)^2)/(22^2))+18*SIN(2*PI()*(Model_Data!A207)/70))+Inputs!$C$28*EXP(-(((Model_Data!A207)-Inputs!$C$29)^2)/(2*Inputs!$C$31^2))*EXP(-(((0)-Inputs!$C$30)^2)/(2*Inputs!$C$32^2))+-Inputs!$C$33*EXP(-(((((Model_Data!A207)-Inputs!$C$34)^2)+(((0)-Inputs!$C$35)^2))/(2*Inputs!$C$36^2)))+Inputs!$C$37*(0.55*SIN(2*PI()*(Model_Data!A207)/Inputs!$C$39)+0.35*COS(2*PI()*(0)/Inputs!$C$40)+0.2*SIN(2*PI()*((Model_Data!A207)+(0))/(0.5*(Inputs!$C$39+Inputs!$C$40))))+Inputs!$C$38*SIN(2*PI()*(Model_Data!A207)/Inputs!$C$39)*SIN(2*PI()*(0)/Inputs!$C$40)+-Inputs!$C$41*EXP(-(((0)-Inputs!$C$43)^2)/(2*Inputs!$C$44^2))*EXP(-(((Model_Data!A207)-Inputs!$C$42)^2)/(2*Inputs!$C$45^2))+Inputs!$C$48*(0.7*(0.45*SIN(2*PI()*(((Model_Data!A207)/Inputs!$C$49)+Inputs!$C$47*0.137))+0.35*COS(2*PI()*(((0)/Inputs!$C$50)+Inputs!$C$47*0.173))+0.2*SIN(2*PI()*(((Model_Data!A207)+(0))/(0.5*(Inputs!$C$49+Inputs!$C$50))+Inputs!$C$47*0.097)))+0.3*(2*((SIN(((Model_Data!A207)*12.9898+(0)*78.233+Inputs!$C$47*37.719))*43758.5453)-INT((SIN(((Model_Data!A207)*12.9898+(0)*78.233+Inputs!$C$47*37.719))*43758.5453)))-1)))</f>
        <v>40.251276360901549</v>
      </c>
      <c r="H207" s="10"/>
      <c r="I207" s="9">
        <f>Model_Data!A207</f>
        <v>42.5</v>
      </c>
      <c r="J207" s="9">
        <f>(Inputs!$C$51*(115*EXP(-(((Inputs!$C$6)-25)^2)/(4.5^2))+70*EXP(-(((Inputs!$C$6)+38)^2)/(7^2))*(0.55+0.45*SIN(2*PI()*(Model_Data!A207)/45))+24*SIN(2*PI()*(Inputs!$C$6)/9+(Model_Data!A207)/18)*EXP(-(((Inputs!$C$6)+5)^2)/(22^2))+18*SIN(2*PI()*(Model_Data!A207)/70))+Inputs!$C$28*EXP(-(((Model_Data!A207)-Inputs!$C$29)^2)/(2*Inputs!$C$31^2))*EXP(-(((Inputs!$C$6)-Inputs!$C$30)^2)/(2*Inputs!$C$32^2))+-Inputs!$C$33*EXP(-(((((Model_Data!A207)-Inputs!$C$34)^2)+(((Inputs!$C$6)-Inputs!$C$35)^2))/(2*Inputs!$C$36^2)))+Inputs!$C$37*(0.55*SIN(2*PI()*(Model_Data!A207)/Inputs!$C$39)+0.35*COS(2*PI()*(Inputs!$C$6)/Inputs!$C$40)+0.2*SIN(2*PI()*((Model_Data!A207)+(Inputs!$C$6))/(0.5*(Inputs!$C$39+Inputs!$C$40))))+Inputs!$C$38*SIN(2*PI()*(Model_Data!A207)/Inputs!$C$39)*SIN(2*PI()*(Inputs!$C$6)/Inputs!$C$40)+-Inputs!$C$41*EXP(-(((Inputs!$C$6)-Inputs!$C$43)^2)/(2*Inputs!$C$44^2))*EXP(-(((Model_Data!A207)-Inputs!$C$42)^2)/(2*Inputs!$C$45^2))+Inputs!$C$48*(0.7*(0.45*SIN(2*PI()*(((Model_Data!A207)/Inputs!$C$49)+Inputs!$C$47*0.137))+0.35*COS(2*PI()*(((Inputs!$C$6)/Inputs!$C$50)+Inputs!$C$47*0.173))+0.2*SIN(2*PI()*(((Model_Data!A207)+(Inputs!$C$6))/(0.5*(Inputs!$C$49+Inputs!$C$50))+Inputs!$C$47*0.097)))+0.3*(2*((SIN(((Model_Data!A207)*12.9898+(Inputs!$C$6)*78.233+Inputs!$C$47*37.719))*43758.5453)-INT((SIN(((Model_Data!A207)*12.9898+(Inputs!$C$6)*78.233+Inputs!$C$47*37.719))*43758.5453)))-1)))</f>
        <v>259.77685513673219</v>
      </c>
      <c r="K207" s="9">
        <f>-((((SQRT((Model_Data!A207)^2+Inputs!$C$6^2+((Model_Data!B207)-((Inputs!$C$51*(115*EXP(-(((Inputs!$C$6)-25)^2)/(4.5^2))+70*EXP(-(((Inputs!$C$6)+38)^2)/(7^2))*(0.55+0.45*SIN(2*PI()*(Model_Data!A207)/45))+24*SIN(2*PI()*(Inputs!$C$6)/9+(Model_Data!A207)/18)*EXP(-(((Inputs!$C$6)+5)^2)/(22^2))+18*SIN(2*PI()*(Model_Data!A207)/70))+Inputs!$C$28*EXP(-(((Model_Data!A207)-Inputs!$C$29)^2)/(2*Inputs!$C$31^2))*EXP(-(((Inputs!$C$6)-Inputs!$C$30)^2)/(2*Inputs!$C$32^2))+-Inputs!$C$33*EXP(-(((((Model_Data!A207)-Inputs!$C$34)^2)+(((Inputs!$C$6)-Inputs!$C$35)^2))/(2*Inputs!$C$36^2)))+Inputs!$C$37*(0.55*SIN(2*PI()*(Model_Data!A207)/Inputs!$C$39)+0.35*COS(2*PI()*(Inputs!$C$6)/Inputs!$C$40)+0.2*SIN(2*PI()*((Model_Data!A207)+(Inputs!$C$6))/(0.5*(Inputs!$C$39+Inputs!$C$40))))+Inputs!$C$38*SIN(2*PI()*(Model_Data!A207)/Inputs!$C$39)*SIN(2*PI()*(Inputs!$C$6)/Inputs!$C$40)+-Inputs!$C$41*EXP(-(((Inputs!$C$6)-Inputs!$C$43)^2)/(2*Inputs!$C$44^2))*EXP(-(((Model_Data!A207)-Inputs!$C$42)^2)/(2*Inputs!$C$45^2))+Inputs!$C$48*(0.7*(0.45*SIN(2*PI()*(((Model_Data!A207)/Inputs!$C$49)+Inputs!$C$47*0.137))+0.35*COS(2*PI()*(((Inputs!$C$6)/Inputs!$C$50)+Inputs!$C$47*0.173))+0.2*SIN(2*PI()*(((Model_Data!A207)+(Inputs!$C$6))/(0.5*(Inputs!$C$49+Inputs!$C$50))+Inputs!$C$47*0.097)))+0.3*(2*((SIN(((Model_Data!A207)*12.9898+(Inputs!$C$6)*78.233+Inputs!$C$47*37.719))*43758.5453)-INT((SIN(((Model_Data!A207)*12.9898+(Inputs!$C$6)*78.233+Inputs!$C$47*37.719))*43758.5453)))-1))))/1000)^2))-(((Model_Data!B207)-((Inputs!$C$51*(115*EXP(-(((0)-25)^2)/(4.5^2))+70*EXP(-(((0)+38)^2)/(7^2))*(0.55+0.45*SIN(2*PI()*(Model_Data!A207)/45))+24*SIN(2*PI()*(0)/9+(Model_Data!A207)/18)*EXP(-(((0)+5)^2)/(22^2))+18*SIN(2*PI()*(Model_Data!A207)/70))+Inputs!$C$28*EXP(-(((Model_Data!A207)-Inputs!$C$29)^2)/(2*Inputs!$C$31^2))*EXP(-(((0)-Inputs!$C$30)^2)/(2*Inputs!$C$32^2))+-Inputs!$C$33*EXP(-(((((Model_Data!A207)-Inputs!$C$34)^2)+(((0)-Inputs!$C$35)^2))/(2*Inputs!$C$36^2)))+Inputs!$C$37*(0.55*SIN(2*PI()*(Model_Data!A207)/Inputs!$C$39)+0.35*COS(2*PI()*(0)/Inputs!$C$40)+0.2*SIN(2*PI()*((Model_Data!A207)+(0))/(0.5*(Inputs!$C$39+Inputs!$C$40))))+Inputs!$C$38*SIN(2*PI()*(Model_Data!A207)/Inputs!$C$39)*SIN(2*PI()*(0)/Inputs!$C$40)+-Inputs!$C$41*EXP(-(((0)-Inputs!$C$43)^2)/(2*Inputs!$C$44^2))*EXP(-(((Model_Data!A207)-Inputs!$C$42)^2)/(2*Inputs!$C$45^2))+Inputs!$C$48*(0.7*(0.45*SIN(2*PI()*(((Model_Data!A207)/Inputs!$C$49)+Inputs!$C$47*0.137))+0.35*COS(2*PI()*(((0)/Inputs!$C$50)+Inputs!$C$47*0.173))+0.2*SIN(2*PI()*(((Model_Data!A207)+(0))/(0.5*(Inputs!$C$49+Inputs!$C$50))+Inputs!$C$47*0.097)))+0.3*(2*((SIN(((Model_Data!A207)*12.9898+(0)*78.233+Inputs!$C$47*37.719))*43758.5453)-INT((SIN(((Model_Data!A207)*12.9898+(0)*78.233+Inputs!$C$47*37.719))*43758.5453)))-1))))/1000)))*1000/Inputs!$C$12)-Model_Data!F207)</f>
        <v>122.24274156484398</v>
      </c>
      <c r="L207" s="10"/>
      <c r="M207" s="9">
        <f>Model_Data!A207</f>
        <v>42.5</v>
      </c>
      <c r="N207" s="9">
        <f>Model_Data!P207</f>
        <v>-317.88025301667517</v>
      </c>
      <c r="O207" s="9">
        <f t="shared" si="6"/>
        <v>-355.88196751932628</v>
      </c>
      <c r="P207" s="9">
        <f>Model_Data!Q207</f>
        <v>-47.729767720221503</v>
      </c>
      <c r="Q207" s="9">
        <f t="shared" si="7"/>
        <v>-53.435730858757701</v>
      </c>
      <c r="R207" s="10"/>
      <c r="S207" s="9">
        <f>Model_Data!A207</f>
        <v>42.5</v>
      </c>
      <c r="T207" s="9">
        <f>Model_Data!B207-Inputs!$C$5</f>
        <v>2.0069444444444571</v>
      </c>
      <c r="U207" s="10"/>
      <c r="V207" s="9">
        <f>Model_Data!A207</f>
        <v>42.5</v>
      </c>
      <c r="W207" s="9">
        <f>((SQRT((Model_Data!A207)^2+Inputs!$C$6^2+Inputs!$C$5^2)-Inputs!$C$5)*1000/Inputs!$C$12)</f>
        <v>1700.9014121552116</v>
      </c>
      <c r="X207" s="9">
        <f>Model_Data!F207</f>
        <v>1692.4732969044633</v>
      </c>
      <c r="Y207" s="10"/>
      <c r="Z207" s="9">
        <f>Model_Data!A207</f>
        <v>42.5</v>
      </c>
      <c r="AA207" s="9">
        <f>SQRT((Model_Data!A207)^2+Inputs!$C$6^2+((Model_Data!B207)-((Inputs!$C$51*(115*EXP(-(((Inputs!$C$6)-25)^2)/(4.5^2))+70*EXP(-(((Inputs!$C$6)+38)^2)/(7^2))*(0.55+0.45*SIN(2*PI()*(Model_Data!A207)/45))+24*SIN(2*PI()*(Inputs!$C$6)/9+(Model_Data!A207)/18)*EXP(-(((Inputs!$C$6)+5)^2)/(22^2))+18*SIN(2*PI()*(Model_Data!A207)/70))+Inputs!$C$28*EXP(-(((Model_Data!A207)-Inputs!$C$29)^2)/(2*Inputs!$C$31^2))*EXP(-(((Inputs!$C$6)-Inputs!$C$30)^2)/(2*Inputs!$C$32^2))+-Inputs!$C$33*EXP(-(((((Model_Data!A207)-Inputs!$C$34)^2)+(((Inputs!$C$6)-Inputs!$C$35)^2))/(2*Inputs!$C$36^2)))+Inputs!$C$37*(0.55*SIN(2*PI()*(Model_Data!A207)/Inputs!$C$39)+0.35*COS(2*PI()*(Inputs!$C$6)/Inputs!$C$40)+0.2*SIN(2*PI()*((Model_Data!A207)+(Inputs!$C$6))/(0.5*(Inputs!$C$39+Inputs!$C$40))))+Inputs!$C$38*SIN(2*PI()*(Model_Data!A207)/Inputs!$C$39)*SIN(2*PI()*(Inputs!$C$6)/Inputs!$C$40)+-Inputs!$C$41*EXP(-(((Inputs!$C$6)-Inputs!$C$43)^2)/(2*Inputs!$C$44^2))*EXP(-(((Model_Data!A207)-Inputs!$C$42)^2)/(2*Inputs!$C$45^2))+Inputs!$C$48*(0.7*(0.45*SIN(2*PI()*(((Model_Data!A207)/Inputs!$C$49)+Inputs!$C$47*0.137))+0.35*COS(2*PI()*(((Inputs!$C$6)/Inputs!$C$50)+Inputs!$C$47*0.173))+0.2*SIN(2*PI()*(((Model_Data!A207)+(Inputs!$C$6))/(0.5*(Inputs!$C$49+Inputs!$C$50))+Inputs!$C$47*0.097)))+0.3*(2*((SIN(((Model_Data!A207)*12.9898+(Inputs!$C$6)*78.233+Inputs!$C$47*37.719))*43758.5453)-INT((SIN(((Model_Data!A207)*12.9898+(Inputs!$C$6)*78.233+Inputs!$C$47*37.719))*43758.5453)))-1))))/1000)^2)</f>
        <v>404.76170355658809</v>
      </c>
      <c r="AB207" s="9">
        <f>1000*(AA208-AA206)/(Z208-Z206)*Inputs!$C$11</f>
        <v>889.7049187983157</v>
      </c>
      <c r="AC207" s="9">
        <f>-2*AB207/Inputs!$C$13</f>
        <v>-355.88196751932628</v>
      </c>
      <c r="AD207" s="9">
        <f>-2*AB207/Inputs!$C$14</f>
        <v>-53.435730858757701</v>
      </c>
    </row>
    <row r="208" spans="1:30">
      <c r="A208" s="9">
        <f>Model_Data!A208</f>
        <v>43</v>
      </c>
      <c r="B208" s="9">
        <f>((SQRT((Model_Data!A208)^2+Inputs!$C$6^2+Inputs!$C$5^2)-Inputs!$C$5)*1000/Inputs!$C$12)</f>
        <v>1730.6949965560814</v>
      </c>
      <c r="C208" s="9">
        <f>Model_Data!F208</f>
        <v>1721.9184540215401</v>
      </c>
      <c r="D208" s="9">
        <f>(((SQRT((Model_Data!A208)^2+Inputs!$C$6^2+((Model_Data!B208)-((Inputs!$C$51*(115*EXP(-(((Inputs!$C$6)-25)^2)/(4.5^2))+70*EXP(-(((Inputs!$C$6)+38)^2)/(7^2))*(0.55+0.45*SIN(2*PI()*(Model_Data!A208)/45))+24*SIN(2*PI()*(Inputs!$C$6)/9+(Model_Data!A208)/18)*EXP(-(((Inputs!$C$6)+5)^2)/(22^2))+18*SIN(2*PI()*(Model_Data!A208)/70))+Inputs!$C$28*EXP(-(((Model_Data!A208)-Inputs!$C$29)^2)/(2*Inputs!$C$31^2))*EXP(-(((Inputs!$C$6)-Inputs!$C$30)^2)/(2*Inputs!$C$32^2))+-Inputs!$C$33*EXP(-(((((Model_Data!A208)-Inputs!$C$34)^2)+(((Inputs!$C$6)-Inputs!$C$35)^2))/(2*Inputs!$C$36^2)))+Inputs!$C$37*(0.55*SIN(2*PI()*(Model_Data!A208)/Inputs!$C$39)+0.35*COS(2*PI()*(Inputs!$C$6)/Inputs!$C$40)+0.2*SIN(2*PI()*((Model_Data!A208)+(Inputs!$C$6))/(0.5*(Inputs!$C$39+Inputs!$C$40))))+Inputs!$C$38*SIN(2*PI()*(Model_Data!A208)/Inputs!$C$39)*SIN(2*PI()*(Inputs!$C$6)/Inputs!$C$40)+-Inputs!$C$41*EXP(-(((Inputs!$C$6)-Inputs!$C$43)^2)/(2*Inputs!$C$44^2))*EXP(-(((Model_Data!A208)-Inputs!$C$42)^2)/(2*Inputs!$C$45^2))+Inputs!$C$48*(0.7*(0.45*SIN(2*PI()*(((Model_Data!A208)/Inputs!$C$49)+Inputs!$C$47*0.137))+0.35*COS(2*PI()*(((Inputs!$C$6)/Inputs!$C$50)+Inputs!$C$47*0.173))+0.2*SIN(2*PI()*(((Model_Data!A208)+(Inputs!$C$6))/(0.5*(Inputs!$C$49+Inputs!$C$50))+Inputs!$C$47*0.097)))+0.3*(2*((SIN(((Model_Data!A208)*12.9898+(Inputs!$C$6)*78.233+Inputs!$C$47*37.719))*43758.5453)-INT((SIN(((Model_Data!A208)*12.9898+(Inputs!$C$6)*78.233+Inputs!$C$47*37.719))*43758.5453)))-1))))/1000)^2))-(((Model_Data!B208)-((Inputs!$C$51*(115*EXP(-(((0)-25)^2)/(4.5^2))+70*EXP(-(((0)+38)^2)/(7^2))*(0.55+0.45*SIN(2*PI()*(Model_Data!A208)/45))+24*SIN(2*PI()*(0)/9+(Model_Data!A208)/18)*EXP(-(((0)+5)^2)/(22^2))+18*SIN(2*PI()*(Model_Data!A208)/70))+Inputs!$C$28*EXP(-(((Model_Data!A208)-Inputs!$C$29)^2)/(2*Inputs!$C$31^2))*EXP(-(((0)-Inputs!$C$30)^2)/(2*Inputs!$C$32^2))+-Inputs!$C$33*EXP(-(((((Model_Data!A208)-Inputs!$C$34)^2)+(((0)-Inputs!$C$35)^2))/(2*Inputs!$C$36^2)))+Inputs!$C$37*(0.55*SIN(2*PI()*(Model_Data!A208)/Inputs!$C$39)+0.35*COS(2*PI()*(0)/Inputs!$C$40)+0.2*SIN(2*PI()*((Model_Data!A208)+(0))/(0.5*(Inputs!$C$39+Inputs!$C$40))))+Inputs!$C$38*SIN(2*PI()*(Model_Data!A208)/Inputs!$C$39)*SIN(2*PI()*(0)/Inputs!$C$40)+-Inputs!$C$41*EXP(-(((0)-Inputs!$C$43)^2)/(2*Inputs!$C$44^2))*EXP(-(((Model_Data!A208)-Inputs!$C$42)^2)/(2*Inputs!$C$45^2))+Inputs!$C$48*(0.7*(0.45*SIN(2*PI()*(((Model_Data!A208)/Inputs!$C$49)+Inputs!$C$47*0.137))+0.35*COS(2*PI()*(((0)/Inputs!$C$50)+Inputs!$C$47*0.173))+0.2*SIN(2*PI()*(((Model_Data!A208)+(0))/(0.5*(Inputs!$C$49+Inputs!$C$50))+Inputs!$C$47*0.097)))+0.3*(2*((SIN(((Model_Data!A208)*12.9898+(0)*78.233+Inputs!$C$47*37.719))*43758.5453)-INT((SIN(((Model_Data!A208)*12.9898+(0)*78.233+Inputs!$C$47*37.719))*43758.5453)))-1))))/1000)))*1000/Inputs!$C$12)</f>
        <v>1602.7818621256401</v>
      </c>
      <c r="E208" s="9">
        <f>Model_Data!A208</f>
        <v>43</v>
      </c>
      <c r="F208" s="9">
        <f>(Inputs!$C$51*(115*EXP(-(((Inputs!$C$6)-25)^2)/(4.5^2))+70*EXP(-(((Inputs!$C$6)+38)^2)/(7^2))*(0.55+0.45*SIN(2*PI()*(Model_Data!A208)/45))+24*SIN(2*PI()*(Inputs!$C$6)/9+(Model_Data!A208)/18)*EXP(-(((Inputs!$C$6)+5)^2)/(22^2))+18*SIN(2*PI()*(Model_Data!A208)/70))+Inputs!$C$28*EXP(-(((Model_Data!A208)-Inputs!$C$29)^2)/(2*Inputs!$C$31^2))*EXP(-(((Inputs!$C$6)-Inputs!$C$30)^2)/(2*Inputs!$C$32^2))+-Inputs!$C$33*EXP(-(((((Model_Data!A208)-Inputs!$C$34)^2)+(((Inputs!$C$6)-Inputs!$C$35)^2))/(2*Inputs!$C$36^2)))+Inputs!$C$37*(0.55*SIN(2*PI()*(Model_Data!A208)/Inputs!$C$39)+0.35*COS(2*PI()*(Inputs!$C$6)/Inputs!$C$40)+0.2*SIN(2*PI()*((Model_Data!A208)+(Inputs!$C$6))/(0.5*(Inputs!$C$39+Inputs!$C$40))))+Inputs!$C$38*SIN(2*PI()*(Model_Data!A208)/Inputs!$C$39)*SIN(2*PI()*(Inputs!$C$6)/Inputs!$C$40)+-Inputs!$C$41*EXP(-(((Inputs!$C$6)-Inputs!$C$43)^2)/(2*Inputs!$C$44^2))*EXP(-(((Model_Data!A208)-Inputs!$C$42)^2)/(2*Inputs!$C$45^2))+Inputs!$C$48*(0.7*(0.45*SIN(2*PI()*(((Model_Data!A208)/Inputs!$C$49)+Inputs!$C$47*0.137))+0.35*COS(2*PI()*(((Inputs!$C$6)/Inputs!$C$50)+Inputs!$C$47*0.173))+0.2*SIN(2*PI()*(((Model_Data!A208)+(Inputs!$C$6))/(0.5*(Inputs!$C$49+Inputs!$C$50))+Inputs!$C$47*0.097)))+0.3*(2*((SIN(((Model_Data!A208)*12.9898+(Inputs!$C$6)*78.233+Inputs!$C$47*37.719))*43758.5453)-INT((SIN(((Model_Data!A208)*12.9898+(Inputs!$C$6)*78.233+Inputs!$C$47*37.719))*43758.5453)))-1)))</f>
        <v>247.2629698422237</v>
      </c>
      <c r="G208" s="9">
        <f>(Inputs!$C$51*(115*EXP(-(((0)-25)^2)/(4.5^2))+70*EXP(-(((0)+38)^2)/(7^2))*(0.55+0.45*SIN(2*PI()*(Model_Data!A208)/45))+24*SIN(2*PI()*(0)/9+(Model_Data!A208)/18)*EXP(-(((0)+5)^2)/(22^2))+18*SIN(2*PI()*(Model_Data!A208)/70))+Inputs!$C$28*EXP(-(((Model_Data!A208)-Inputs!$C$29)^2)/(2*Inputs!$C$31^2))*EXP(-(((0)-Inputs!$C$30)^2)/(2*Inputs!$C$32^2))+-Inputs!$C$33*EXP(-(((((Model_Data!A208)-Inputs!$C$34)^2)+(((0)-Inputs!$C$35)^2))/(2*Inputs!$C$36^2)))+Inputs!$C$37*(0.55*SIN(2*PI()*(Model_Data!A208)/Inputs!$C$39)+0.35*COS(2*PI()*(0)/Inputs!$C$40)+0.2*SIN(2*PI()*((Model_Data!A208)+(0))/(0.5*(Inputs!$C$39+Inputs!$C$40))))+Inputs!$C$38*SIN(2*PI()*(Model_Data!A208)/Inputs!$C$39)*SIN(2*PI()*(0)/Inputs!$C$40)+-Inputs!$C$41*EXP(-(((0)-Inputs!$C$43)^2)/(2*Inputs!$C$44^2))*EXP(-(((Model_Data!A208)-Inputs!$C$42)^2)/(2*Inputs!$C$45^2))+Inputs!$C$48*(0.7*(0.45*SIN(2*PI()*(((Model_Data!A208)/Inputs!$C$49)+Inputs!$C$47*0.137))+0.35*COS(2*PI()*(((0)/Inputs!$C$50)+Inputs!$C$47*0.173))+0.2*SIN(2*PI()*(((Model_Data!A208)+(0))/(0.5*(Inputs!$C$49+Inputs!$C$50))+Inputs!$C$47*0.097)))+0.3*(2*((SIN(((Model_Data!A208)*12.9898+(0)*78.233+Inputs!$C$47*37.719))*43758.5453)-INT((SIN(((Model_Data!A208)*12.9898+(0)*78.233+Inputs!$C$47*37.719))*43758.5453)))-1)))</f>
        <v>33.32797910139238</v>
      </c>
      <c r="H208" s="10"/>
      <c r="I208" s="9">
        <f>Model_Data!A208</f>
        <v>43</v>
      </c>
      <c r="J208" s="9">
        <f>(Inputs!$C$51*(115*EXP(-(((Inputs!$C$6)-25)^2)/(4.5^2))+70*EXP(-(((Inputs!$C$6)+38)^2)/(7^2))*(0.55+0.45*SIN(2*PI()*(Model_Data!A208)/45))+24*SIN(2*PI()*(Inputs!$C$6)/9+(Model_Data!A208)/18)*EXP(-(((Inputs!$C$6)+5)^2)/(22^2))+18*SIN(2*PI()*(Model_Data!A208)/70))+Inputs!$C$28*EXP(-(((Model_Data!A208)-Inputs!$C$29)^2)/(2*Inputs!$C$31^2))*EXP(-(((Inputs!$C$6)-Inputs!$C$30)^2)/(2*Inputs!$C$32^2))+-Inputs!$C$33*EXP(-(((((Model_Data!A208)-Inputs!$C$34)^2)+(((Inputs!$C$6)-Inputs!$C$35)^2))/(2*Inputs!$C$36^2)))+Inputs!$C$37*(0.55*SIN(2*PI()*(Model_Data!A208)/Inputs!$C$39)+0.35*COS(2*PI()*(Inputs!$C$6)/Inputs!$C$40)+0.2*SIN(2*PI()*((Model_Data!A208)+(Inputs!$C$6))/(0.5*(Inputs!$C$39+Inputs!$C$40))))+Inputs!$C$38*SIN(2*PI()*(Model_Data!A208)/Inputs!$C$39)*SIN(2*PI()*(Inputs!$C$6)/Inputs!$C$40)+-Inputs!$C$41*EXP(-(((Inputs!$C$6)-Inputs!$C$43)^2)/(2*Inputs!$C$44^2))*EXP(-(((Model_Data!A208)-Inputs!$C$42)^2)/(2*Inputs!$C$45^2))+Inputs!$C$48*(0.7*(0.45*SIN(2*PI()*(((Model_Data!A208)/Inputs!$C$49)+Inputs!$C$47*0.137))+0.35*COS(2*PI()*(((Inputs!$C$6)/Inputs!$C$50)+Inputs!$C$47*0.173))+0.2*SIN(2*PI()*(((Model_Data!A208)+(Inputs!$C$6))/(0.5*(Inputs!$C$49+Inputs!$C$50))+Inputs!$C$47*0.097)))+0.3*(2*((SIN(((Model_Data!A208)*12.9898+(Inputs!$C$6)*78.233+Inputs!$C$47*37.719))*43758.5453)-INT((SIN(((Model_Data!A208)*12.9898+(Inputs!$C$6)*78.233+Inputs!$C$47*37.719))*43758.5453)))-1)))</f>
        <v>247.2629698422237</v>
      </c>
      <c r="K208" s="9">
        <f>-((((SQRT((Model_Data!A208)^2+Inputs!$C$6^2+((Model_Data!B208)-((Inputs!$C$51*(115*EXP(-(((Inputs!$C$6)-25)^2)/(4.5^2))+70*EXP(-(((Inputs!$C$6)+38)^2)/(7^2))*(0.55+0.45*SIN(2*PI()*(Model_Data!A208)/45))+24*SIN(2*PI()*(Inputs!$C$6)/9+(Model_Data!A208)/18)*EXP(-(((Inputs!$C$6)+5)^2)/(22^2))+18*SIN(2*PI()*(Model_Data!A208)/70))+Inputs!$C$28*EXP(-(((Model_Data!A208)-Inputs!$C$29)^2)/(2*Inputs!$C$31^2))*EXP(-(((Inputs!$C$6)-Inputs!$C$30)^2)/(2*Inputs!$C$32^2))+-Inputs!$C$33*EXP(-(((((Model_Data!A208)-Inputs!$C$34)^2)+(((Inputs!$C$6)-Inputs!$C$35)^2))/(2*Inputs!$C$36^2)))+Inputs!$C$37*(0.55*SIN(2*PI()*(Model_Data!A208)/Inputs!$C$39)+0.35*COS(2*PI()*(Inputs!$C$6)/Inputs!$C$40)+0.2*SIN(2*PI()*((Model_Data!A208)+(Inputs!$C$6))/(0.5*(Inputs!$C$39+Inputs!$C$40))))+Inputs!$C$38*SIN(2*PI()*(Model_Data!A208)/Inputs!$C$39)*SIN(2*PI()*(Inputs!$C$6)/Inputs!$C$40)+-Inputs!$C$41*EXP(-(((Inputs!$C$6)-Inputs!$C$43)^2)/(2*Inputs!$C$44^2))*EXP(-(((Model_Data!A208)-Inputs!$C$42)^2)/(2*Inputs!$C$45^2))+Inputs!$C$48*(0.7*(0.45*SIN(2*PI()*(((Model_Data!A208)/Inputs!$C$49)+Inputs!$C$47*0.137))+0.35*COS(2*PI()*(((Inputs!$C$6)/Inputs!$C$50)+Inputs!$C$47*0.173))+0.2*SIN(2*PI()*(((Model_Data!A208)+(Inputs!$C$6))/(0.5*(Inputs!$C$49+Inputs!$C$50))+Inputs!$C$47*0.097)))+0.3*(2*((SIN(((Model_Data!A208)*12.9898+(Inputs!$C$6)*78.233+Inputs!$C$47*37.719))*43758.5453)-INT((SIN(((Model_Data!A208)*12.9898+(Inputs!$C$6)*78.233+Inputs!$C$47*37.719))*43758.5453)))-1))))/1000)^2))-(((Model_Data!B208)-((Inputs!$C$51*(115*EXP(-(((0)-25)^2)/(4.5^2))+70*EXP(-(((0)+38)^2)/(7^2))*(0.55+0.45*SIN(2*PI()*(Model_Data!A208)/45))+24*SIN(2*PI()*(0)/9+(Model_Data!A208)/18)*EXP(-(((0)+5)^2)/(22^2))+18*SIN(2*PI()*(Model_Data!A208)/70))+Inputs!$C$28*EXP(-(((Model_Data!A208)-Inputs!$C$29)^2)/(2*Inputs!$C$31^2))*EXP(-(((0)-Inputs!$C$30)^2)/(2*Inputs!$C$32^2))+-Inputs!$C$33*EXP(-(((((Model_Data!A208)-Inputs!$C$34)^2)+(((0)-Inputs!$C$35)^2))/(2*Inputs!$C$36^2)))+Inputs!$C$37*(0.55*SIN(2*PI()*(Model_Data!A208)/Inputs!$C$39)+0.35*COS(2*PI()*(0)/Inputs!$C$40)+0.2*SIN(2*PI()*((Model_Data!A208)+(0))/(0.5*(Inputs!$C$39+Inputs!$C$40))))+Inputs!$C$38*SIN(2*PI()*(Model_Data!A208)/Inputs!$C$39)*SIN(2*PI()*(0)/Inputs!$C$40)+-Inputs!$C$41*EXP(-(((0)-Inputs!$C$43)^2)/(2*Inputs!$C$44^2))*EXP(-(((Model_Data!A208)-Inputs!$C$42)^2)/(2*Inputs!$C$45^2))+Inputs!$C$48*(0.7*(0.45*SIN(2*PI()*(((Model_Data!A208)/Inputs!$C$49)+Inputs!$C$47*0.137))+0.35*COS(2*PI()*(((0)/Inputs!$C$50)+Inputs!$C$47*0.173))+0.2*SIN(2*PI()*(((Model_Data!A208)+(0))/(0.5*(Inputs!$C$49+Inputs!$C$50))+Inputs!$C$47*0.097)))+0.3*(2*((SIN(((Model_Data!A208)*12.9898+(0)*78.233+Inputs!$C$47*37.719))*43758.5453)-INT((SIN(((Model_Data!A208)*12.9898+(0)*78.233+Inputs!$C$47*37.719))*43758.5453)))-1))))/1000)))*1000/Inputs!$C$12)-Model_Data!F208)</f>
        <v>119.13659189589998</v>
      </c>
      <c r="L208" s="10"/>
      <c r="M208" s="9">
        <f>Model_Data!A208</f>
        <v>43</v>
      </c>
      <c r="N208" s="9">
        <f>Model_Data!P208</f>
        <v>-321.55862745132083</v>
      </c>
      <c r="O208" s="9">
        <f t="shared" si="6"/>
        <v>-376.31517188056023</v>
      </c>
      <c r="P208" s="9">
        <f>Model_Data!Q208</f>
        <v>-48.282076193892024</v>
      </c>
      <c r="Q208" s="9">
        <f t="shared" si="7"/>
        <v>-56.503779561645686</v>
      </c>
      <c r="R208" s="10"/>
      <c r="S208" s="9">
        <f>Model_Data!A208</f>
        <v>43</v>
      </c>
      <c r="T208" s="9">
        <f>Model_Data!B208-Inputs!$C$5</f>
        <v>2.0544444444444707</v>
      </c>
      <c r="U208" s="10"/>
      <c r="V208" s="9">
        <f>Model_Data!A208</f>
        <v>43</v>
      </c>
      <c r="W208" s="9">
        <f>((SQRT((Model_Data!A208)^2+Inputs!$C$6^2+Inputs!$C$5^2)-Inputs!$C$5)*1000/Inputs!$C$12)</f>
        <v>1730.6949965560814</v>
      </c>
      <c r="X208" s="9">
        <f>Model_Data!F208</f>
        <v>1721.9184540215401</v>
      </c>
      <c r="Y208" s="10"/>
      <c r="Z208" s="9">
        <f>Model_Data!A208</f>
        <v>43</v>
      </c>
      <c r="AA208" s="9">
        <f>SQRT((Model_Data!A208)^2+Inputs!$C$6^2+((Model_Data!B208)-((Inputs!$C$51*(115*EXP(-(((Inputs!$C$6)-25)^2)/(4.5^2))+70*EXP(-(((Inputs!$C$6)+38)^2)/(7^2))*(0.55+0.45*SIN(2*PI()*(Model_Data!A208)/45))+24*SIN(2*PI()*(Inputs!$C$6)/9+(Model_Data!A208)/18)*EXP(-(((Inputs!$C$6)+5)^2)/(22^2))+18*SIN(2*PI()*(Model_Data!A208)/70))+Inputs!$C$28*EXP(-(((Model_Data!A208)-Inputs!$C$29)^2)/(2*Inputs!$C$31^2))*EXP(-(((Inputs!$C$6)-Inputs!$C$30)^2)/(2*Inputs!$C$32^2))+-Inputs!$C$33*EXP(-(((((Model_Data!A208)-Inputs!$C$34)^2)+(((Inputs!$C$6)-Inputs!$C$35)^2))/(2*Inputs!$C$36^2)))+Inputs!$C$37*(0.55*SIN(2*PI()*(Model_Data!A208)/Inputs!$C$39)+0.35*COS(2*PI()*(Inputs!$C$6)/Inputs!$C$40)+0.2*SIN(2*PI()*((Model_Data!A208)+(Inputs!$C$6))/(0.5*(Inputs!$C$39+Inputs!$C$40))))+Inputs!$C$38*SIN(2*PI()*(Model_Data!A208)/Inputs!$C$39)*SIN(2*PI()*(Inputs!$C$6)/Inputs!$C$40)+-Inputs!$C$41*EXP(-(((Inputs!$C$6)-Inputs!$C$43)^2)/(2*Inputs!$C$44^2))*EXP(-(((Model_Data!A208)-Inputs!$C$42)^2)/(2*Inputs!$C$45^2))+Inputs!$C$48*(0.7*(0.45*SIN(2*PI()*(((Model_Data!A208)/Inputs!$C$49)+Inputs!$C$47*0.137))+0.35*COS(2*PI()*(((Inputs!$C$6)/Inputs!$C$50)+Inputs!$C$47*0.173))+0.2*SIN(2*PI()*(((Model_Data!A208)+(Inputs!$C$6))/(0.5*(Inputs!$C$49+Inputs!$C$50))+Inputs!$C$47*0.097)))+0.3*(2*((SIN(((Model_Data!A208)*12.9898+(Inputs!$C$6)*78.233+Inputs!$C$47*37.719))*43758.5453)-INT((SIN(((Model_Data!A208)*12.9898+(Inputs!$C$6)*78.233+Inputs!$C$47*37.719))*43758.5453)))-1))))/1000)^2)</f>
        <v>404.87406817992672</v>
      </c>
      <c r="AB208" s="9">
        <f>1000*(AA209-AA207)/(Z209-Z207)*Inputs!$C$11</f>
        <v>940.78792970140057</v>
      </c>
      <c r="AC208" s="9">
        <f>-2*AB208/Inputs!$C$13</f>
        <v>-376.31517188056023</v>
      </c>
      <c r="AD208" s="9">
        <f>-2*AB208/Inputs!$C$14</f>
        <v>-56.503779561645686</v>
      </c>
    </row>
    <row r="209" spans="1:30">
      <c r="A209" s="9">
        <f>Model_Data!A209</f>
        <v>43.5</v>
      </c>
      <c r="B209" s="9">
        <f>((SQRT((Model_Data!A209)^2+Inputs!$C$6^2+Inputs!$C$5^2)-Inputs!$C$5)*1000/Inputs!$C$12)</f>
        <v>1760.8330555379382</v>
      </c>
      <c r="C209" s="9">
        <f>Model_Data!F209</f>
        <v>1751.6970986344204</v>
      </c>
      <c r="D209" s="9">
        <f>(((SQRT((Model_Data!A209)^2+Inputs!$C$6^2+((Model_Data!B209)-((Inputs!$C$51*(115*EXP(-(((Inputs!$C$6)-25)^2)/(4.5^2))+70*EXP(-(((Inputs!$C$6)+38)^2)/(7^2))*(0.55+0.45*SIN(2*PI()*(Model_Data!A209)/45))+24*SIN(2*PI()*(Inputs!$C$6)/9+(Model_Data!A209)/18)*EXP(-(((Inputs!$C$6)+5)^2)/(22^2))+18*SIN(2*PI()*(Model_Data!A209)/70))+Inputs!$C$28*EXP(-(((Model_Data!A209)-Inputs!$C$29)^2)/(2*Inputs!$C$31^2))*EXP(-(((Inputs!$C$6)-Inputs!$C$30)^2)/(2*Inputs!$C$32^2))+-Inputs!$C$33*EXP(-(((((Model_Data!A209)-Inputs!$C$34)^2)+(((Inputs!$C$6)-Inputs!$C$35)^2))/(2*Inputs!$C$36^2)))+Inputs!$C$37*(0.55*SIN(2*PI()*(Model_Data!A209)/Inputs!$C$39)+0.35*COS(2*PI()*(Inputs!$C$6)/Inputs!$C$40)+0.2*SIN(2*PI()*((Model_Data!A209)+(Inputs!$C$6))/(0.5*(Inputs!$C$39+Inputs!$C$40))))+Inputs!$C$38*SIN(2*PI()*(Model_Data!A209)/Inputs!$C$39)*SIN(2*PI()*(Inputs!$C$6)/Inputs!$C$40)+-Inputs!$C$41*EXP(-(((Inputs!$C$6)-Inputs!$C$43)^2)/(2*Inputs!$C$44^2))*EXP(-(((Model_Data!A209)-Inputs!$C$42)^2)/(2*Inputs!$C$45^2))+Inputs!$C$48*(0.7*(0.45*SIN(2*PI()*(((Model_Data!A209)/Inputs!$C$49)+Inputs!$C$47*0.137))+0.35*COS(2*PI()*(((Inputs!$C$6)/Inputs!$C$50)+Inputs!$C$47*0.173))+0.2*SIN(2*PI()*(((Model_Data!A209)+(Inputs!$C$6))/(0.5*(Inputs!$C$49+Inputs!$C$50))+Inputs!$C$47*0.097)))+0.3*(2*((SIN(((Model_Data!A209)*12.9898+(Inputs!$C$6)*78.233+Inputs!$C$47*37.719))*43758.5453)-INT((SIN(((Model_Data!A209)*12.9898+(Inputs!$C$6)*78.233+Inputs!$C$47*37.719))*43758.5453)))-1))))/1000)^2))-(((Model_Data!B209)-((Inputs!$C$51*(115*EXP(-(((0)-25)^2)/(4.5^2))+70*EXP(-(((0)+38)^2)/(7^2))*(0.55+0.45*SIN(2*PI()*(Model_Data!A209)/45))+24*SIN(2*PI()*(0)/9+(Model_Data!A209)/18)*EXP(-(((0)+5)^2)/(22^2))+18*SIN(2*PI()*(Model_Data!A209)/70))+Inputs!$C$28*EXP(-(((Model_Data!A209)-Inputs!$C$29)^2)/(2*Inputs!$C$31^2))*EXP(-(((0)-Inputs!$C$30)^2)/(2*Inputs!$C$32^2))+-Inputs!$C$33*EXP(-(((((Model_Data!A209)-Inputs!$C$34)^2)+(((0)-Inputs!$C$35)^2))/(2*Inputs!$C$36^2)))+Inputs!$C$37*(0.55*SIN(2*PI()*(Model_Data!A209)/Inputs!$C$39)+0.35*COS(2*PI()*(0)/Inputs!$C$40)+0.2*SIN(2*PI()*((Model_Data!A209)+(0))/(0.5*(Inputs!$C$39+Inputs!$C$40))))+Inputs!$C$38*SIN(2*PI()*(Model_Data!A209)/Inputs!$C$39)*SIN(2*PI()*(0)/Inputs!$C$40)+-Inputs!$C$41*EXP(-(((0)-Inputs!$C$43)^2)/(2*Inputs!$C$44^2))*EXP(-(((Model_Data!A209)-Inputs!$C$42)^2)/(2*Inputs!$C$45^2))+Inputs!$C$48*(0.7*(0.45*SIN(2*PI()*(((Model_Data!A209)/Inputs!$C$49)+Inputs!$C$47*0.137))+0.35*COS(2*PI()*(((0)/Inputs!$C$50)+Inputs!$C$47*0.173))+0.2*SIN(2*PI()*(((Model_Data!A209)+(0))/(0.5*(Inputs!$C$49+Inputs!$C$50))+Inputs!$C$47*0.097)))+0.3*(2*((SIN(((Model_Data!A209)*12.9898+(0)*78.233+Inputs!$C$47*37.719))*43758.5453)-INT((SIN(((Model_Data!A209)*12.9898+(0)*78.233+Inputs!$C$47*37.719))*43758.5453)))-1))))/1000)))*1000/Inputs!$C$12)</f>
        <v>1637.5974648005576</v>
      </c>
      <c r="E209" s="9">
        <f>Model_Data!A209</f>
        <v>43.5</v>
      </c>
      <c r="F209" s="9">
        <f>(Inputs!$C$51*(115*EXP(-(((Inputs!$C$6)-25)^2)/(4.5^2))+70*EXP(-(((Inputs!$C$6)+38)^2)/(7^2))*(0.55+0.45*SIN(2*PI()*(Model_Data!A209)/45))+24*SIN(2*PI()*(Inputs!$C$6)/9+(Model_Data!A209)/18)*EXP(-(((Inputs!$C$6)+5)^2)/(22^2))+18*SIN(2*PI()*(Model_Data!A209)/70))+Inputs!$C$28*EXP(-(((Model_Data!A209)-Inputs!$C$29)^2)/(2*Inputs!$C$31^2))*EXP(-(((Inputs!$C$6)-Inputs!$C$30)^2)/(2*Inputs!$C$32^2))+-Inputs!$C$33*EXP(-(((((Model_Data!A209)-Inputs!$C$34)^2)+(((Inputs!$C$6)-Inputs!$C$35)^2))/(2*Inputs!$C$36^2)))+Inputs!$C$37*(0.55*SIN(2*PI()*(Model_Data!A209)/Inputs!$C$39)+0.35*COS(2*PI()*(Inputs!$C$6)/Inputs!$C$40)+0.2*SIN(2*PI()*((Model_Data!A209)+(Inputs!$C$6))/(0.5*(Inputs!$C$39+Inputs!$C$40))))+Inputs!$C$38*SIN(2*PI()*(Model_Data!A209)/Inputs!$C$39)*SIN(2*PI()*(Inputs!$C$6)/Inputs!$C$40)+-Inputs!$C$41*EXP(-(((Inputs!$C$6)-Inputs!$C$43)^2)/(2*Inputs!$C$44^2))*EXP(-(((Model_Data!A209)-Inputs!$C$42)^2)/(2*Inputs!$C$45^2))+Inputs!$C$48*(0.7*(0.45*SIN(2*PI()*(((Model_Data!A209)/Inputs!$C$49)+Inputs!$C$47*0.137))+0.35*COS(2*PI()*(((Inputs!$C$6)/Inputs!$C$50)+Inputs!$C$47*0.173))+0.2*SIN(2*PI()*(((Model_Data!A209)+(Inputs!$C$6))/(0.5*(Inputs!$C$49+Inputs!$C$50))+Inputs!$C$47*0.097)))+0.3*(2*((SIN(((Model_Data!A209)*12.9898+(Inputs!$C$6)*78.233+Inputs!$C$47*37.719))*43758.5453)-INT((SIN(((Model_Data!A209)*12.9898+(Inputs!$C$6)*78.233+Inputs!$C$47*37.719))*43758.5453)))-1)))</f>
        <v>225.35528260314678</v>
      </c>
      <c r="G209" s="9">
        <f>(Inputs!$C$51*(115*EXP(-(((0)-25)^2)/(4.5^2))+70*EXP(-(((0)+38)^2)/(7^2))*(0.55+0.45*SIN(2*PI()*(Model_Data!A209)/45))+24*SIN(2*PI()*(0)/9+(Model_Data!A209)/18)*EXP(-(((0)+5)^2)/(22^2))+18*SIN(2*PI()*(Model_Data!A209)/70))+Inputs!$C$28*EXP(-(((Model_Data!A209)-Inputs!$C$29)^2)/(2*Inputs!$C$31^2))*EXP(-(((0)-Inputs!$C$30)^2)/(2*Inputs!$C$32^2))+-Inputs!$C$33*EXP(-(((((Model_Data!A209)-Inputs!$C$34)^2)+(((0)-Inputs!$C$35)^2))/(2*Inputs!$C$36^2)))+Inputs!$C$37*(0.55*SIN(2*PI()*(Model_Data!A209)/Inputs!$C$39)+0.35*COS(2*PI()*(0)/Inputs!$C$40)+0.2*SIN(2*PI()*((Model_Data!A209)+(0))/(0.5*(Inputs!$C$39+Inputs!$C$40))))+Inputs!$C$38*SIN(2*PI()*(Model_Data!A209)/Inputs!$C$39)*SIN(2*PI()*(0)/Inputs!$C$40)+-Inputs!$C$41*EXP(-(((0)-Inputs!$C$43)^2)/(2*Inputs!$C$44^2))*EXP(-(((Model_Data!A209)-Inputs!$C$42)^2)/(2*Inputs!$C$45^2))+Inputs!$C$48*(0.7*(0.45*SIN(2*PI()*(((Model_Data!A209)/Inputs!$C$49)+Inputs!$C$47*0.137))+0.35*COS(2*PI()*(((0)/Inputs!$C$50)+Inputs!$C$47*0.173))+0.2*SIN(2*PI()*(((Model_Data!A209)+(0))/(0.5*(Inputs!$C$49+Inputs!$C$50))+Inputs!$C$47*0.097)))+0.3*(2*((SIN(((Model_Data!A209)*12.9898+(0)*78.233+Inputs!$C$47*37.719))*43758.5453)-INT((SIN(((Model_Data!A209)*12.9898+(0)*78.233+Inputs!$C$47*37.719))*43758.5453)))-1)))</f>
        <v>20.522948331557505</v>
      </c>
      <c r="H209" s="10"/>
      <c r="I209" s="9">
        <f>Model_Data!A209</f>
        <v>43.5</v>
      </c>
      <c r="J209" s="9">
        <f>(Inputs!$C$51*(115*EXP(-(((Inputs!$C$6)-25)^2)/(4.5^2))+70*EXP(-(((Inputs!$C$6)+38)^2)/(7^2))*(0.55+0.45*SIN(2*PI()*(Model_Data!A209)/45))+24*SIN(2*PI()*(Inputs!$C$6)/9+(Model_Data!A209)/18)*EXP(-(((Inputs!$C$6)+5)^2)/(22^2))+18*SIN(2*PI()*(Model_Data!A209)/70))+Inputs!$C$28*EXP(-(((Model_Data!A209)-Inputs!$C$29)^2)/(2*Inputs!$C$31^2))*EXP(-(((Inputs!$C$6)-Inputs!$C$30)^2)/(2*Inputs!$C$32^2))+-Inputs!$C$33*EXP(-(((((Model_Data!A209)-Inputs!$C$34)^2)+(((Inputs!$C$6)-Inputs!$C$35)^2))/(2*Inputs!$C$36^2)))+Inputs!$C$37*(0.55*SIN(2*PI()*(Model_Data!A209)/Inputs!$C$39)+0.35*COS(2*PI()*(Inputs!$C$6)/Inputs!$C$40)+0.2*SIN(2*PI()*((Model_Data!A209)+(Inputs!$C$6))/(0.5*(Inputs!$C$39+Inputs!$C$40))))+Inputs!$C$38*SIN(2*PI()*(Model_Data!A209)/Inputs!$C$39)*SIN(2*PI()*(Inputs!$C$6)/Inputs!$C$40)+-Inputs!$C$41*EXP(-(((Inputs!$C$6)-Inputs!$C$43)^2)/(2*Inputs!$C$44^2))*EXP(-(((Model_Data!A209)-Inputs!$C$42)^2)/(2*Inputs!$C$45^2))+Inputs!$C$48*(0.7*(0.45*SIN(2*PI()*(((Model_Data!A209)/Inputs!$C$49)+Inputs!$C$47*0.137))+0.35*COS(2*PI()*(((Inputs!$C$6)/Inputs!$C$50)+Inputs!$C$47*0.173))+0.2*SIN(2*PI()*(((Model_Data!A209)+(Inputs!$C$6))/(0.5*(Inputs!$C$49+Inputs!$C$50))+Inputs!$C$47*0.097)))+0.3*(2*((SIN(((Model_Data!A209)*12.9898+(Inputs!$C$6)*78.233+Inputs!$C$47*37.719))*43758.5453)-INT((SIN(((Model_Data!A209)*12.9898+(Inputs!$C$6)*78.233+Inputs!$C$47*37.719))*43758.5453)))-1)))</f>
        <v>225.35528260314678</v>
      </c>
      <c r="K209" s="9">
        <f>-((((SQRT((Model_Data!A209)^2+Inputs!$C$6^2+((Model_Data!B209)-((Inputs!$C$51*(115*EXP(-(((Inputs!$C$6)-25)^2)/(4.5^2))+70*EXP(-(((Inputs!$C$6)+38)^2)/(7^2))*(0.55+0.45*SIN(2*PI()*(Model_Data!A209)/45))+24*SIN(2*PI()*(Inputs!$C$6)/9+(Model_Data!A209)/18)*EXP(-(((Inputs!$C$6)+5)^2)/(22^2))+18*SIN(2*PI()*(Model_Data!A209)/70))+Inputs!$C$28*EXP(-(((Model_Data!A209)-Inputs!$C$29)^2)/(2*Inputs!$C$31^2))*EXP(-(((Inputs!$C$6)-Inputs!$C$30)^2)/(2*Inputs!$C$32^2))+-Inputs!$C$33*EXP(-(((((Model_Data!A209)-Inputs!$C$34)^2)+(((Inputs!$C$6)-Inputs!$C$35)^2))/(2*Inputs!$C$36^2)))+Inputs!$C$37*(0.55*SIN(2*PI()*(Model_Data!A209)/Inputs!$C$39)+0.35*COS(2*PI()*(Inputs!$C$6)/Inputs!$C$40)+0.2*SIN(2*PI()*((Model_Data!A209)+(Inputs!$C$6))/(0.5*(Inputs!$C$39+Inputs!$C$40))))+Inputs!$C$38*SIN(2*PI()*(Model_Data!A209)/Inputs!$C$39)*SIN(2*PI()*(Inputs!$C$6)/Inputs!$C$40)+-Inputs!$C$41*EXP(-(((Inputs!$C$6)-Inputs!$C$43)^2)/(2*Inputs!$C$44^2))*EXP(-(((Model_Data!A209)-Inputs!$C$42)^2)/(2*Inputs!$C$45^2))+Inputs!$C$48*(0.7*(0.45*SIN(2*PI()*(((Model_Data!A209)/Inputs!$C$49)+Inputs!$C$47*0.137))+0.35*COS(2*PI()*(((Inputs!$C$6)/Inputs!$C$50)+Inputs!$C$47*0.173))+0.2*SIN(2*PI()*(((Model_Data!A209)+(Inputs!$C$6))/(0.5*(Inputs!$C$49+Inputs!$C$50))+Inputs!$C$47*0.097)))+0.3*(2*((SIN(((Model_Data!A209)*12.9898+(Inputs!$C$6)*78.233+Inputs!$C$47*37.719))*43758.5453)-INT((SIN(((Model_Data!A209)*12.9898+(Inputs!$C$6)*78.233+Inputs!$C$47*37.719))*43758.5453)))-1))))/1000)^2))-(((Model_Data!B209)-((Inputs!$C$51*(115*EXP(-(((0)-25)^2)/(4.5^2))+70*EXP(-(((0)+38)^2)/(7^2))*(0.55+0.45*SIN(2*PI()*(Model_Data!A209)/45))+24*SIN(2*PI()*(0)/9+(Model_Data!A209)/18)*EXP(-(((0)+5)^2)/(22^2))+18*SIN(2*PI()*(Model_Data!A209)/70))+Inputs!$C$28*EXP(-(((Model_Data!A209)-Inputs!$C$29)^2)/(2*Inputs!$C$31^2))*EXP(-(((0)-Inputs!$C$30)^2)/(2*Inputs!$C$32^2))+-Inputs!$C$33*EXP(-(((((Model_Data!A209)-Inputs!$C$34)^2)+(((0)-Inputs!$C$35)^2))/(2*Inputs!$C$36^2)))+Inputs!$C$37*(0.55*SIN(2*PI()*(Model_Data!A209)/Inputs!$C$39)+0.35*COS(2*PI()*(0)/Inputs!$C$40)+0.2*SIN(2*PI()*((Model_Data!A209)+(0))/(0.5*(Inputs!$C$39+Inputs!$C$40))))+Inputs!$C$38*SIN(2*PI()*(Model_Data!A209)/Inputs!$C$39)*SIN(2*PI()*(0)/Inputs!$C$40)+-Inputs!$C$41*EXP(-(((0)-Inputs!$C$43)^2)/(2*Inputs!$C$44^2))*EXP(-(((Model_Data!A209)-Inputs!$C$42)^2)/(2*Inputs!$C$45^2))+Inputs!$C$48*(0.7*(0.45*SIN(2*PI()*(((Model_Data!A209)/Inputs!$C$49)+Inputs!$C$47*0.137))+0.35*COS(2*PI()*(((0)/Inputs!$C$50)+Inputs!$C$47*0.173))+0.2*SIN(2*PI()*(((Model_Data!A209)+(0))/(0.5*(Inputs!$C$49+Inputs!$C$50))+Inputs!$C$47*0.097)))+0.3*(2*((SIN(((Model_Data!A209)*12.9898+(0)*78.233+Inputs!$C$47*37.719))*43758.5453)-INT((SIN(((Model_Data!A209)*12.9898+(0)*78.233+Inputs!$C$47*37.719))*43758.5453)))-1))))/1000)))*1000/Inputs!$C$12)-Model_Data!F209)</f>
        <v>114.09963383386275</v>
      </c>
      <c r="L209" s="10"/>
      <c r="M209" s="9">
        <f>Model_Data!A209</f>
        <v>43.5</v>
      </c>
      <c r="N209" s="9">
        <f>Model_Data!P209</f>
        <v>-325.23489447567232</v>
      </c>
      <c r="O209" s="9">
        <f t="shared" si="6"/>
        <v>-386.33206029890061</v>
      </c>
      <c r="P209" s="9">
        <f>Model_Data!Q209</f>
        <v>-48.834068239590444</v>
      </c>
      <c r="Q209" s="9">
        <f t="shared" si="7"/>
        <v>-58.007816861696796</v>
      </c>
      <c r="R209" s="10"/>
      <c r="S209" s="9">
        <f>Model_Data!A209</f>
        <v>43.5</v>
      </c>
      <c r="T209" s="9">
        <f>Model_Data!B209-Inputs!$C$5</f>
        <v>2.1025000000000205</v>
      </c>
      <c r="U209" s="10"/>
      <c r="V209" s="9">
        <f>Model_Data!A209</f>
        <v>43.5</v>
      </c>
      <c r="W209" s="9">
        <f>((SQRT((Model_Data!A209)^2+Inputs!$C$6^2+Inputs!$C$5^2)-Inputs!$C$5)*1000/Inputs!$C$12)</f>
        <v>1760.8330555379382</v>
      </c>
      <c r="X209" s="9">
        <f>Model_Data!F209</f>
        <v>1751.6970986344204</v>
      </c>
      <c r="Y209" s="10"/>
      <c r="Z209" s="9">
        <f>Model_Data!A209</f>
        <v>43.5</v>
      </c>
      <c r="AA209" s="9">
        <f>SQRT((Model_Data!A209)^2+Inputs!$C$6^2+((Model_Data!B209)-((Inputs!$C$51*(115*EXP(-(((Inputs!$C$6)-25)^2)/(4.5^2))+70*EXP(-(((Inputs!$C$6)+38)^2)/(7^2))*(0.55+0.45*SIN(2*PI()*(Model_Data!A209)/45))+24*SIN(2*PI()*(Inputs!$C$6)/9+(Model_Data!A209)/18)*EXP(-(((Inputs!$C$6)+5)^2)/(22^2))+18*SIN(2*PI()*(Model_Data!A209)/70))+Inputs!$C$28*EXP(-(((Model_Data!A209)-Inputs!$C$29)^2)/(2*Inputs!$C$31^2))*EXP(-(((Inputs!$C$6)-Inputs!$C$30)^2)/(2*Inputs!$C$32^2))+-Inputs!$C$33*EXP(-(((((Model_Data!A209)-Inputs!$C$34)^2)+(((Inputs!$C$6)-Inputs!$C$35)^2))/(2*Inputs!$C$36^2)))+Inputs!$C$37*(0.55*SIN(2*PI()*(Model_Data!A209)/Inputs!$C$39)+0.35*COS(2*PI()*(Inputs!$C$6)/Inputs!$C$40)+0.2*SIN(2*PI()*((Model_Data!A209)+(Inputs!$C$6))/(0.5*(Inputs!$C$39+Inputs!$C$40))))+Inputs!$C$38*SIN(2*PI()*(Model_Data!A209)/Inputs!$C$39)*SIN(2*PI()*(Inputs!$C$6)/Inputs!$C$40)+-Inputs!$C$41*EXP(-(((Inputs!$C$6)-Inputs!$C$43)^2)/(2*Inputs!$C$44^2))*EXP(-(((Model_Data!A209)-Inputs!$C$42)^2)/(2*Inputs!$C$45^2))+Inputs!$C$48*(0.7*(0.45*SIN(2*PI()*(((Model_Data!A209)/Inputs!$C$49)+Inputs!$C$47*0.137))+0.35*COS(2*PI()*(((Inputs!$C$6)/Inputs!$C$50)+Inputs!$C$47*0.173))+0.2*SIN(2*PI()*(((Model_Data!A209)+(Inputs!$C$6))/(0.5*(Inputs!$C$49+Inputs!$C$50))+Inputs!$C$47*0.097)))+0.3*(2*((SIN(((Model_Data!A209)*12.9898+(Inputs!$C$6)*78.233+Inputs!$C$47*37.719))*43758.5453)-INT((SIN(((Model_Data!A209)*12.9898+(Inputs!$C$6)*78.233+Inputs!$C$47*37.719))*43758.5453)))-1))))/1000)^2)</f>
        <v>404.99690053901344</v>
      </c>
      <c r="AB209" s="9">
        <f>1000*(AA210-AA208)/(Z210-Z208)*Inputs!$C$11</f>
        <v>965.83015074725154</v>
      </c>
      <c r="AC209" s="9">
        <f>-2*AB209/Inputs!$C$13</f>
        <v>-386.33206029890061</v>
      </c>
      <c r="AD209" s="9">
        <f>-2*AB209/Inputs!$C$14</f>
        <v>-58.007816861696796</v>
      </c>
    </row>
    <row r="210" spans="1:30">
      <c r="A210" s="9">
        <f>Model_Data!A210</f>
        <v>44</v>
      </c>
      <c r="B210" s="9">
        <f>((SQRT((Model_Data!A210)^2+Inputs!$C$6^2+Inputs!$C$5^2)-Inputs!$C$5)*1000/Inputs!$C$12)</f>
        <v>1791.3154515998726</v>
      </c>
      <c r="C210" s="9">
        <f>Model_Data!F210</f>
        <v>1781.8088588434077</v>
      </c>
      <c r="D210" s="9">
        <f>(((SQRT((Model_Data!A210)^2+Inputs!$C$6^2+((Model_Data!B210)-((Inputs!$C$51*(115*EXP(-(((Inputs!$C$6)-25)^2)/(4.5^2))+70*EXP(-(((Inputs!$C$6)+38)^2)/(7^2))*(0.55+0.45*SIN(2*PI()*(Model_Data!A210)/45))+24*SIN(2*PI()*(Inputs!$C$6)/9+(Model_Data!A210)/18)*EXP(-(((Inputs!$C$6)+5)^2)/(22^2))+18*SIN(2*PI()*(Model_Data!A210)/70))+Inputs!$C$28*EXP(-(((Model_Data!A210)-Inputs!$C$29)^2)/(2*Inputs!$C$31^2))*EXP(-(((Inputs!$C$6)-Inputs!$C$30)^2)/(2*Inputs!$C$32^2))+-Inputs!$C$33*EXP(-(((((Model_Data!A210)-Inputs!$C$34)^2)+(((Inputs!$C$6)-Inputs!$C$35)^2))/(2*Inputs!$C$36^2)))+Inputs!$C$37*(0.55*SIN(2*PI()*(Model_Data!A210)/Inputs!$C$39)+0.35*COS(2*PI()*(Inputs!$C$6)/Inputs!$C$40)+0.2*SIN(2*PI()*((Model_Data!A210)+(Inputs!$C$6))/(0.5*(Inputs!$C$39+Inputs!$C$40))))+Inputs!$C$38*SIN(2*PI()*(Model_Data!A210)/Inputs!$C$39)*SIN(2*PI()*(Inputs!$C$6)/Inputs!$C$40)+-Inputs!$C$41*EXP(-(((Inputs!$C$6)-Inputs!$C$43)^2)/(2*Inputs!$C$44^2))*EXP(-(((Model_Data!A210)-Inputs!$C$42)^2)/(2*Inputs!$C$45^2))+Inputs!$C$48*(0.7*(0.45*SIN(2*PI()*(((Model_Data!A210)/Inputs!$C$49)+Inputs!$C$47*0.137))+0.35*COS(2*PI()*(((Inputs!$C$6)/Inputs!$C$50)+Inputs!$C$47*0.173))+0.2*SIN(2*PI()*(((Model_Data!A210)+(Inputs!$C$6))/(0.5*(Inputs!$C$49+Inputs!$C$50))+Inputs!$C$47*0.097)))+0.3*(2*((SIN(((Model_Data!A210)*12.9898+(Inputs!$C$6)*78.233+Inputs!$C$47*37.719))*43758.5453)-INT((SIN(((Model_Data!A210)*12.9898+(Inputs!$C$6)*78.233+Inputs!$C$47*37.719))*43758.5453)))-1))))/1000)^2))-(((Model_Data!B210)-((Inputs!$C$51*(115*EXP(-(((0)-25)^2)/(4.5^2))+70*EXP(-(((0)+38)^2)/(7^2))*(0.55+0.45*SIN(2*PI()*(Model_Data!A210)/45))+24*SIN(2*PI()*(0)/9+(Model_Data!A210)/18)*EXP(-(((0)+5)^2)/(22^2))+18*SIN(2*PI()*(Model_Data!A210)/70))+Inputs!$C$28*EXP(-(((Model_Data!A210)-Inputs!$C$29)^2)/(2*Inputs!$C$31^2))*EXP(-(((0)-Inputs!$C$30)^2)/(2*Inputs!$C$32^2))+-Inputs!$C$33*EXP(-(((((Model_Data!A210)-Inputs!$C$34)^2)+(((0)-Inputs!$C$35)^2))/(2*Inputs!$C$36^2)))+Inputs!$C$37*(0.55*SIN(2*PI()*(Model_Data!A210)/Inputs!$C$39)+0.35*COS(2*PI()*(0)/Inputs!$C$40)+0.2*SIN(2*PI()*((Model_Data!A210)+(0))/(0.5*(Inputs!$C$39+Inputs!$C$40))))+Inputs!$C$38*SIN(2*PI()*(Model_Data!A210)/Inputs!$C$39)*SIN(2*PI()*(0)/Inputs!$C$40)+-Inputs!$C$41*EXP(-(((0)-Inputs!$C$43)^2)/(2*Inputs!$C$44^2))*EXP(-(((Model_Data!A210)-Inputs!$C$42)^2)/(2*Inputs!$C$45^2))+Inputs!$C$48*(0.7*(0.45*SIN(2*PI()*(((Model_Data!A210)/Inputs!$C$49)+Inputs!$C$47*0.137))+0.35*COS(2*PI()*(((0)/Inputs!$C$50)+Inputs!$C$47*0.173))+0.2*SIN(2*PI()*(((Model_Data!A210)+(0))/(0.5*(Inputs!$C$49+Inputs!$C$50))+Inputs!$C$47*0.097)))+0.3*(2*((SIN(((Model_Data!A210)*12.9898+(0)*78.233+Inputs!$C$47*37.719))*43758.5453)-INT((SIN(((Model_Data!A210)*12.9898+(0)*78.233+Inputs!$C$47*37.719))*43758.5453)))-1))))/1000)))*1000/Inputs!$C$12)</f>
        <v>1669.3632056969589</v>
      </c>
      <c r="E210" s="9">
        <f>Model_Data!A210</f>
        <v>44</v>
      </c>
      <c r="F210" s="9">
        <f>(Inputs!$C$51*(115*EXP(-(((Inputs!$C$6)-25)^2)/(4.5^2))+70*EXP(-(((Inputs!$C$6)+38)^2)/(7^2))*(0.55+0.45*SIN(2*PI()*(Model_Data!A210)/45))+24*SIN(2*PI()*(Inputs!$C$6)/9+(Model_Data!A210)/18)*EXP(-(((Inputs!$C$6)+5)^2)/(22^2))+18*SIN(2*PI()*(Model_Data!A210)/70))+Inputs!$C$28*EXP(-(((Model_Data!A210)-Inputs!$C$29)^2)/(2*Inputs!$C$31^2))*EXP(-(((Inputs!$C$6)-Inputs!$C$30)^2)/(2*Inputs!$C$32^2))+-Inputs!$C$33*EXP(-(((((Model_Data!A210)-Inputs!$C$34)^2)+(((Inputs!$C$6)-Inputs!$C$35)^2))/(2*Inputs!$C$36^2)))+Inputs!$C$37*(0.55*SIN(2*PI()*(Model_Data!A210)/Inputs!$C$39)+0.35*COS(2*PI()*(Inputs!$C$6)/Inputs!$C$40)+0.2*SIN(2*PI()*((Model_Data!A210)+(Inputs!$C$6))/(0.5*(Inputs!$C$39+Inputs!$C$40))))+Inputs!$C$38*SIN(2*PI()*(Model_Data!A210)/Inputs!$C$39)*SIN(2*PI()*(Inputs!$C$6)/Inputs!$C$40)+-Inputs!$C$41*EXP(-(((Inputs!$C$6)-Inputs!$C$43)^2)/(2*Inputs!$C$44^2))*EXP(-(((Model_Data!A210)-Inputs!$C$42)^2)/(2*Inputs!$C$45^2))+Inputs!$C$48*(0.7*(0.45*SIN(2*PI()*(((Model_Data!A210)/Inputs!$C$49)+Inputs!$C$47*0.137))+0.35*COS(2*PI()*(((Inputs!$C$6)/Inputs!$C$50)+Inputs!$C$47*0.173))+0.2*SIN(2*PI()*(((Model_Data!A210)+(Inputs!$C$6))/(0.5*(Inputs!$C$49+Inputs!$C$50))+Inputs!$C$47*0.097)))+0.3*(2*((SIN(((Model_Data!A210)*12.9898+(Inputs!$C$6)*78.233+Inputs!$C$47*37.719))*43758.5453)-INT((SIN(((Model_Data!A210)*12.9898+(Inputs!$C$6)*78.233+Inputs!$C$47*37.719))*43758.5453)))-1)))</f>
        <v>208.84015984832814</v>
      </c>
      <c r="G210" s="9">
        <f>(Inputs!$C$51*(115*EXP(-(((0)-25)^2)/(4.5^2))+70*EXP(-(((0)+38)^2)/(7^2))*(0.55+0.45*SIN(2*PI()*(Model_Data!A210)/45))+24*SIN(2*PI()*(0)/9+(Model_Data!A210)/18)*EXP(-(((0)+5)^2)/(22^2))+18*SIN(2*PI()*(Model_Data!A210)/70))+Inputs!$C$28*EXP(-(((Model_Data!A210)-Inputs!$C$29)^2)/(2*Inputs!$C$31^2))*EXP(-(((0)-Inputs!$C$30)^2)/(2*Inputs!$C$32^2))+-Inputs!$C$33*EXP(-(((((Model_Data!A210)-Inputs!$C$34)^2)+(((0)-Inputs!$C$35)^2))/(2*Inputs!$C$36^2)))+Inputs!$C$37*(0.55*SIN(2*PI()*(Model_Data!A210)/Inputs!$C$39)+0.35*COS(2*PI()*(0)/Inputs!$C$40)+0.2*SIN(2*PI()*((Model_Data!A210)+(0))/(0.5*(Inputs!$C$39+Inputs!$C$40))))+Inputs!$C$38*SIN(2*PI()*(Model_Data!A210)/Inputs!$C$39)*SIN(2*PI()*(0)/Inputs!$C$40)+-Inputs!$C$41*EXP(-(((0)-Inputs!$C$43)^2)/(2*Inputs!$C$44^2))*EXP(-(((Model_Data!A210)-Inputs!$C$42)^2)/(2*Inputs!$C$45^2))+Inputs!$C$48*(0.7*(0.45*SIN(2*PI()*(((Model_Data!A210)/Inputs!$C$49)+Inputs!$C$47*0.137))+0.35*COS(2*PI()*(((0)/Inputs!$C$50)+Inputs!$C$47*0.173))+0.2*SIN(2*PI()*(((Model_Data!A210)+(0))/(0.5*(Inputs!$C$49+Inputs!$C$50))+Inputs!$C$47*0.097)))+0.3*(2*((SIN(((Model_Data!A210)*12.9898+(0)*78.233+Inputs!$C$47*37.719))*43758.5453)-INT((SIN(((Model_Data!A210)*12.9898+(0)*78.233+Inputs!$C$47*37.719))*43758.5453)))-1)))</f>
        <v>7.0518996381457164</v>
      </c>
      <c r="H210" s="10"/>
      <c r="I210" s="9">
        <f>Model_Data!A210</f>
        <v>44</v>
      </c>
      <c r="J210" s="9">
        <f>(Inputs!$C$51*(115*EXP(-(((Inputs!$C$6)-25)^2)/(4.5^2))+70*EXP(-(((Inputs!$C$6)+38)^2)/(7^2))*(0.55+0.45*SIN(2*PI()*(Model_Data!A210)/45))+24*SIN(2*PI()*(Inputs!$C$6)/9+(Model_Data!A210)/18)*EXP(-(((Inputs!$C$6)+5)^2)/(22^2))+18*SIN(2*PI()*(Model_Data!A210)/70))+Inputs!$C$28*EXP(-(((Model_Data!A210)-Inputs!$C$29)^2)/(2*Inputs!$C$31^2))*EXP(-(((Inputs!$C$6)-Inputs!$C$30)^2)/(2*Inputs!$C$32^2))+-Inputs!$C$33*EXP(-(((((Model_Data!A210)-Inputs!$C$34)^2)+(((Inputs!$C$6)-Inputs!$C$35)^2))/(2*Inputs!$C$36^2)))+Inputs!$C$37*(0.55*SIN(2*PI()*(Model_Data!A210)/Inputs!$C$39)+0.35*COS(2*PI()*(Inputs!$C$6)/Inputs!$C$40)+0.2*SIN(2*PI()*((Model_Data!A210)+(Inputs!$C$6))/(0.5*(Inputs!$C$39+Inputs!$C$40))))+Inputs!$C$38*SIN(2*PI()*(Model_Data!A210)/Inputs!$C$39)*SIN(2*PI()*(Inputs!$C$6)/Inputs!$C$40)+-Inputs!$C$41*EXP(-(((Inputs!$C$6)-Inputs!$C$43)^2)/(2*Inputs!$C$44^2))*EXP(-(((Model_Data!A210)-Inputs!$C$42)^2)/(2*Inputs!$C$45^2))+Inputs!$C$48*(0.7*(0.45*SIN(2*PI()*(((Model_Data!A210)/Inputs!$C$49)+Inputs!$C$47*0.137))+0.35*COS(2*PI()*(((Inputs!$C$6)/Inputs!$C$50)+Inputs!$C$47*0.173))+0.2*SIN(2*PI()*(((Model_Data!A210)+(Inputs!$C$6))/(0.5*(Inputs!$C$49+Inputs!$C$50))+Inputs!$C$47*0.097)))+0.3*(2*((SIN(((Model_Data!A210)*12.9898+(Inputs!$C$6)*78.233+Inputs!$C$47*37.719))*43758.5453)-INT((SIN(((Model_Data!A210)*12.9898+(Inputs!$C$6)*78.233+Inputs!$C$47*37.719))*43758.5453)))-1)))</f>
        <v>208.84015984832814</v>
      </c>
      <c r="K210" s="9">
        <f>-((((SQRT((Model_Data!A210)^2+Inputs!$C$6^2+((Model_Data!B210)-((Inputs!$C$51*(115*EXP(-(((Inputs!$C$6)-25)^2)/(4.5^2))+70*EXP(-(((Inputs!$C$6)+38)^2)/(7^2))*(0.55+0.45*SIN(2*PI()*(Model_Data!A210)/45))+24*SIN(2*PI()*(Inputs!$C$6)/9+(Model_Data!A210)/18)*EXP(-(((Inputs!$C$6)+5)^2)/(22^2))+18*SIN(2*PI()*(Model_Data!A210)/70))+Inputs!$C$28*EXP(-(((Model_Data!A210)-Inputs!$C$29)^2)/(2*Inputs!$C$31^2))*EXP(-(((Inputs!$C$6)-Inputs!$C$30)^2)/(2*Inputs!$C$32^2))+-Inputs!$C$33*EXP(-(((((Model_Data!A210)-Inputs!$C$34)^2)+(((Inputs!$C$6)-Inputs!$C$35)^2))/(2*Inputs!$C$36^2)))+Inputs!$C$37*(0.55*SIN(2*PI()*(Model_Data!A210)/Inputs!$C$39)+0.35*COS(2*PI()*(Inputs!$C$6)/Inputs!$C$40)+0.2*SIN(2*PI()*((Model_Data!A210)+(Inputs!$C$6))/(0.5*(Inputs!$C$39+Inputs!$C$40))))+Inputs!$C$38*SIN(2*PI()*(Model_Data!A210)/Inputs!$C$39)*SIN(2*PI()*(Inputs!$C$6)/Inputs!$C$40)+-Inputs!$C$41*EXP(-(((Inputs!$C$6)-Inputs!$C$43)^2)/(2*Inputs!$C$44^2))*EXP(-(((Model_Data!A210)-Inputs!$C$42)^2)/(2*Inputs!$C$45^2))+Inputs!$C$48*(0.7*(0.45*SIN(2*PI()*(((Model_Data!A210)/Inputs!$C$49)+Inputs!$C$47*0.137))+0.35*COS(2*PI()*(((Inputs!$C$6)/Inputs!$C$50)+Inputs!$C$47*0.173))+0.2*SIN(2*PI()*(((Model_Data!A210)+(Inputs!$C$6))/(0.5*(Inputs!$C$49+Inputs!$C$50))+Inputs!$C$47*0.097)))+0.3*(2*((SIN(((Model_Data!A210)*12.9898+(Inputs!$C$6)*78.233+Inputs!$C$47*37.719))*43758.5453)-INT((SIN(((Model_Data!A210)*12.9898+(Inputs!$C$6)*78.233+Inputs!$C$47*37.719))*43758.5453)))-1))))/1000)^2))-(((Model_Data!B210)-((Inputs!$C$51*(115*EXP(-(((0)-25)^2)/(4.5^2))+70*EXP(-(((0)+38)^2)/(7^2))*(0.55+0.45*SIN(2*PI()*(Model_Data!A210)/45))+24*SIN(2*PI()*(0)/9+(Model_Data!A210)/18)*EXP(-(((0)+5)^2)/(22^2))+18*SIN(2*PI()*(Model_Data!A210)/70))+Inputs!$C$28*EXP(-(((Model_Data!A210)-Inputs!$C$29)^2)/(2*Inputs!$C$31^2))*EXP(-(((0)-Inputs!$C$30)^2)/(2*Inputs!$C$32^2))+-Inputs!$C$33*EXP(-(((((Model_Data!A210)-Inputs!$C$34)^2)+(((0)-Inputs!$C$35)^2))/(2*Inputs!$C$36^2)))+Inputs!$C$37*(0.55*SIN(2*PI()*(Model_Data!A210)/Inputs!$C$39)+0.35*COS(2*PI()*(0)/Inputs!$C$40)+0.2*SIN(2*PI()*((Model_Data!A210)+(0))/(0.5*(Inputs!$C$39+Inputs!$C$40))))+Inputs!$C$38*SIN(2*PI()*(Model_Data!A210)/Inputs!$C$39)*SIN(2*PI()*(0)/Inputs!$C$40)+-Inputs!$C$41*EXP(-(((0)-Inputs!$C$43)^2)/(2*Inputs!$C$44^2))*EXP(-(((Model_Data!A210)-Inputs!$C$42)^2)/(2*Inputs!$C$45^2))+Inputs!$C$48*(0.7*(0.45*SIN(2*PI()*(((Model_Data!A210)/Inputs!$C$49)+Inputs!$C$47*0.137))+0.35*COS(2*PI()*(((0)/Inputs!$C$50)+Inputs!$C$47*0.173))+0.2*SIN(2*PI()*(((Model_Data!A210)+(0))/(0.5*(Inputs!$C$49+Inputs!$C$50))+Inputs!$C$47*0.097)))+0.3*(2*((SIN(((Model_Data!A210)*12.9898+(0)*78.233+Inputs!$C$47*37.719))*43758.5453)-INT((SIN(((Model_Data!A210)*12.9898+(0)*78.233+Inputs!$C$47*37.719))*43758.5453)))-1))))/1000)))*1000/Inputs!$C$12)-Model_Data!F210)</f>
        <v>112.44565314644888</v>
      </c>
      <c r="L210" s="10"/>
      <c r="M210" s="9">
        <f>Model_Data!A210</f>
        <v>44</v>
      </c>
      <c r="N210" s="9">
        <f>Model_Data!P210</f>
        <v>-328.90903224475579</v>
      </c>
      <c r="O210" s="9">
        <f t="shared" si="6"/>
        <v>-402.63970607247757</v>
      </c>
      <c r="P210" s="9">
        <f>Model_Data!Q210</f>
        <v>-49.385740577290662</v>
      </c>
      <c r="Q210" s="9">
        <f t="shared" si="7"/>
        <v>-60.456412323194833</v>
      </c>
      <c r="R210" s="10"/>
      <c r="S210" s="9">
        <f>Model_Data!A210</f>
        <v>44</v>
      </c>
      <c r="T210" s="9">
        <f>Model_Data!B210-Inputs!$C$5</f>
        <v>2.1511111111111063</v>
      </c>
      <c r="U210" s="10"/>
      <c r="V210" s="9">
        <f>Model_Data!A210</f>
        <v>44</v>
      </c>
      <c r="W210" s="9">
        <f>((SQRT((Model_Data!A210)^2+Inputs!$C$6^2+Inputs!$C$5^2)-Inputs!$C$5)*1000/Inputs!$C$12)</f>
        <v>1791.3154515998726</v>
      </c>
      <c r="X210" s="9">
        <f>Model_Data!F210</f>
        <v>1781.8088588434077</v>
      </c>
      <c r="Y210" s="10"/>
      <c r="Z210" s="9">
        <f>Model_Data!A210</f>
        <v>44</v>
      </c>
      <c r="AA210" s="9">
        <f>SQRT((Model_Data!A210)^2+Inputs!$C$6^2+((Model_Data!B210)-((Inputs!$C$51*(115*EXP(-(((Inputs!$C$6)-25)^2)/(4.5^2))+70*EXP(-(((Inputs!$C$6)+38)^2)/(7^2))*(0.55+0.45*SIN(2*PI()*(Model_Data!A210)/45))+24*SIN(2*PI()*(Inputs!$C$6)/9+(Model_Data!A210)/18)*EXP(-(((Inputs!$C$6)+5)^2)/(22^2))+18*SIN(2*PI()*(Model_Data!A210)/70))+Inputs!$C$28*EXP(-(((Model_Data!A210)-Inputs!$C$29)^2)/(2*Inputs!$C$31^2))*EXP(-(((Inputs!$C$6)-Inputs!$C$30)^2)/(2*Inputs!$C$32^2))+-Inputs!$C$33*EXP(-(((((Model_Data!A210)-Inputs!$C$34)^2)+(((Inputs!$C$6)-Inputs!$C$35)^2))/(2*Inputs!$C$36^2)))+Inputs!$C$37*(0.55*SIN(2*PI()*(Model_Data!A210)/Inputs!$C$39)+0.35*COS(2*PI()*(Inputs!$C$6)/Inputs!$C$40)+0.2*SIN(2*PI()*((Model_Data!A210)+(Inputs!$C$6))/(0.5*(Inputs!$C$39+Inputs!$C$40))))+Inputs!$C$38*SIN(2*PI()*(Model_Data!A210)/Inputs!$C$39)*SIN(2*PI()*(Inputs!$C$6)/Inputs!$C$40)+-Inputs!$C$41*EXP(-(((Inputs!$C$6)-Inputs!$C$43)^2)/(2*Inputs!$C$44^2))*EXP(-(((Model_Data!A210)-Inputs!$C$42)^2)/(2*Inputs!$C$45^2))+Inputs!$C$48*(0.7*(0.45*SIN(2*PI()*(((Model_Data!A210)/Inputs!$C$49)+Inputs!$C$47*0.137))+0.35*COS(2*PI()*(((Inputs!$C$6)/Inputs!$C$50)+Inputs!$C$47*0.173))+0.2*SIN(2*PI()*(((Model_Data!A210)+(Inputs!$C$6))/(0.5*(Inputs!$C$49+Inputs!$C$50))+Inputs!$C$47*0.097)))+0.3*(2*((SIN(((Model_Data!A210)*12.9898+(Inputs!$C$6)*78.233+Inputs!$C$47*37.719))*43758.5453)-INT((SIN(((Model_Data!A210)*12.9898+(Inputs!$C$6)*78.233+Inputs!$C$47*37.719))*43758.5453)))-1))))/1000)^2)</f>
        <v>405.11552571761354</v>
      </c>
      <c r="AB210" s="9">
        <f>1000*(AA211-AA209)/(Z211-Z209)*Inputs!$C$11</f>
        <v>1006.5992651811939</v>
      </c>
      <c r="AC210" s="9">
        <f>-2*AB210/Inputs!$C$13</f>
        <v>-402.63970607247757</v>
      </c>
      <c r="AD210" s="9">
        <f>-2*AB210/Inputs!$C$14</f>
        <v>-60.456412323194833</v>
      </c>
    </row>
    <row r="211" spans="1:30">
      <c r="A211" s="9">
        <f>Model_Data!A211</f>
        <v>44.5</v>
      </c>
      <c r="B211" s="9">
        <f>((SQRT((Model_Data!A211)^2+Inputs!$C$6^2+Inputs!$C$5^2)-Inputs!$C$5)*1000/Inputs!$C$12)</f>
        <v>1822.142045744429</v>
      </c>
      <c r="C211" s="9">
        <f>Model_Data!F211</f>
        <v>1812.2533589215191</v>
      </c>
      <c r="D211" s="9">
        <f>(((SQRT((Model_Data!A211)^2+Inputs!$C$6^2+((Model_Data!B211)-((Inputs!$C$51*(115*EXP(-(((Inputs!$C$6)-25)^2)/(4.5^2))+70*EXP(-(((Inputs!$C$6)+38)^2)/(7^2))*(0.55+0.45*SIN(2*PI()*(Model_Data!A211)/45))+24*SIN(2*PI()*(Inputs!$C$6)/9+(Model_Data!A211)/18)*EXP(-(((Inputs!$C$6)+5)^2)/(22^2))+18*SIN(2*PI()*(Model_Data!A211)/70))+Inputs!$C$28*EXP(-(((Model_Data!A211)-Inputs!$C$29)^2)/(2*Inputs!$C$31^2))*EXP(-(((Inputs!$C$6)-Inputs!$C$30)^2)/(2*Inputs!$C$32^2))+-Inputs!$C$33*EXP(-(((((Model_Data!A211)-Inputs!$C$34)^2)+(((Inputs!$C$6)-Inputs!$C$35)^2))/(2*Inputs!$C$36^2)))+Inputs!$C$37*(0.55*SIN(2*PI()*(Model_Data!A211)/Inputs!$C$39)+0.35*COS(2*PI()*(Inputs!$C$6)/Inputs!$C$40)+0.2*SIN(2*PI()*((Model_Data!A211)+(Inputs!$C$6))/(0.5*(Inputs!$C$39+Inputs!$C$40))))+Inputs!$C$38*SIN(2*PI()*(Model_Data!A211)/Inputs!$C$39)*SIN(2*PI()*(Inputs!$C$6)/Inputs!$C$40)+-Inputs!$C$41*EXP(-(((Inputs!$C$6)-Inputs!$C$43)^2)/(2*Inputs!$C$44^2))*EXP(-(((Model_Data!A211)-Inputs!$C$42)^2)/(2*Inputs!$C$45^2))+Inputs!$C$48*(0.7*(0.45*SIN(2*PI()*(((Model_Data!A211)/Inputs!$C$49)+Inputs!$C$47*0.137))+0.35*COS(2*PI()*(((Inputs!$C$6)/Inputs!$C$50)+Inputs!$C$47*0.173))+0.2*SIN(2*PI()*(((Model_Data!A211)+(Inputs!$C$6))/(0.5*(Inputs!$C$49+Inputs!$C$50))+Inputs!$C$47*0.097)))+0.3*(2*((SIN(((Model_Data!A211)*12.9898+(Inputs!$C$6)*78.233+Inputs!$C$47*37.719))*43758.5453)-INT((SIN(((Model_Data!A211)*12.9898+(Inputs!$C$6)*78.233+Inputs!$C$47*37.719))*43758.5453)))-1))))/1000)^2))-(((Model_Data!B211)-((Inputs!$C$51*(115*EXP(-(((0)-25)^2)/(4.5^2))+70*EXP(-(((0)+38)^2)/(7^2))*(0.55+0.45*SIN(2*PI()*(Model_Data!A211)/45))+24*SIN(2*PI()*(0)/9+(Model_Data!A211)/18)*EXP(-(((0)+5)^2)/(22^2))+18*SIN(2*PI()*(Model_Data!A211)/70))+Inputs!$C$28*EXP(-(((Model_Data!A211)-Inputs!$C$29)^2)/(2*Inputs!$C$31^2))*EXP(-(((0)-Inputs!$C$30)^2)/(2*Inputs!$C$32^2))+-Inputs!$C$33*EXP(-(((((Model_Data!A211)-Inputs!$C$34)^2)+(((0)-Inputs!$C$35)^2))/(2*Inputs!$C$36^2)))+Inputs!$C$37*(0.55*SIN(2*PI()*(Model_Data!A211)/Inputs!$C$39)+0.35*COS(2*PI()*(0)/Inputs!$C$40)+0.2*SIN(2*PI()*((Model_Data!A211)+(0))/(0.5*(Inputs!$C$39+Inputs!$C$40))))+Inputs!$C$38*SIN(2*PI()*(Model_Data!A211)/Inputs!$C$39)*SIN(2*PI()*(0)/Inputs!$C$40)+-Inputs!$C$41*EXP(-(((0)-Inputs!$C$43)^2)/(2*Inputs!$C$44^2))*EXP(-(((Model_Data!A211)-Inputs!$C$42)^2)/(2*Inputs!$C$45^2))+Inputs!$C$48*(0.7*(0.45*SIN(2*PI()*(((Model_Data!A211)/Inputs!$C$49)+Inputs!$C$47*0.137))+0.35*COS(2*PI()*(((0)/Inputs!$C$50)+Inputs!$C$47*0.173))+0.2*SIN(2*PI()*(((Model_Data!A211)+(0))/(0.5*(Inputs!$C$49+Inputs!$C$50))+Inputs!$C$47*0.097)))+0.3*(2*((SIN(((Model_Data!A211)*12.9898+(0)*78.233+Inputs!$C$47*37.719))*43758.5453)-INT((SIN(((Model_Data!A211)*12.9898+(0)*78.233+Inputs!$C$47*37.719))*43758.5453)))-1))))/1000)))*1000/Inputs!$C$12)</f>
        <v>1710.6678996752721</v>
      </c>
      <c r="E211" s="9">
        <f>Model_Data!A211</f>
        <v>44.5</v>
      </c>
      <c r="F211" s="9">
        <f>(Inputs!$C$51*(115*EXP(-(((Inputs!$C$6)-25)^2)/(4.5^2))+70*EXP(-(((Inputs!$C$6)+38)^2)/(7^2))*(0.55+0.45*SIN(2*PI()*(Model_Data!A211)/45))+24*SIN(2*PI()*(Inputs!$C$6)/9+(Model_Data!A211)/18)*EXP(-(((Inputs!$C$6)+5)^2)/(22^2))+18*SIN(2*PI()*(Model_Data!A211)/70))+Inputs!$C$28*EXP(-(((Model_Data!A211)-Inputs!$C$29)^2)/(2*Inputs!$C$31^2))*EXP(-(((Inputs!$C$6)-Inputs!$C$30)^2)/(2*Inputs!$C$32^2))+-Inputs!$C$33*EXP(-(((((Model_Data!A211)-Inputs!$C$34)^2)+(((Inputs!$C$6)-Inputs!$C$35)^2))/(2*Inputs!$C$36^2)))+Inputs!$C$37*(0.55*SIN(2*PI()*(Model_Data!A211)/Inputs!$C$39)+0.35*COS(2*PI()*(Inputs!$C$6)/Inputs!$C$40)+0.2*SIN(2*PI()*((Model_Data!A211)+(Inputs!$C$6))/(0.5*(Inputs!$C$39+Inputs!$C$40))))+Inputs!$C$38*SIN(2*PI()*(Model_Data!A211)/Inputs!$C$39)*SIN(2*PI()*(Inputs!$C$6)/Inputs!$C$40)+-Inputs!$C$41*EXP(-(((Inputs!$C$6)-Inputs!$C$43)^2)/(2*Inputs!$C$44^2))*EXP(-(((Model_Data!A211)-Inputs!$C$42)^2)/(2*Inputs!$C$45^2))+Inputs!$C$48*(0.7*(0.45*SIN(2*PI()*(((Model_Data!A211)/Inputs!$C$49)+Inputs!$C$47*0.137))+0.35*COS(2*PI()*(((Inputs!$C$6)/Inputs!$C$50)+Inputs!$C$47*0.173))+0.2*SIN(2*PI()*(((Model_Data!A211)+(Inputs!$C$6))/(0.5*(Inputs!$C$49+Inputs!$C$50))+Inputs!$C$47*0.097)))+0.3*(2*((SIN(((Model_Data!A211)*12.9898+(Inputs!$C$6)*78.233+Inputs!$C$47*37.719))*43758.5453)-INT((SIN(((Model_Data!A211)*12.9898+(Inputs!$C$6)*78.233+Inputs!$C$47*37.719))*43758.5453)))-1)))</f>
        <v>178.96296340227542</v>
      </c>
      <c r="G211" s="9">
        <f>(Inputs!$C$51*(115*EXP(-(((0)-25)^2)/(4.5^2))+70*EXP(-(((0)+38)^2)/(7^2))*(0.55+0.45*SIN(2*PI()*(Model_Data!A211)/45))+24*SIN(2*PI()*(0)/9+(Model_Data!A211)/18)*EXP(-(((0)+5)^2)/(22^2))+18*SIN(2*PI()*(Model_Data!A211)/70))+Inputs!$C$28*EXP(-(((Model_Data!A211)-Inputs!$C$29)^2)/(2*Inputs!$C$31^2))*EXP(-(((0)-Inputs!$C$30)^2)/(2*Inputs!$C$32^2))+-Inputs!$C$33*EXP(-(((((Model_Data!A211)-Inputs!$C$34)^2)+(((0)-Inputs!$C$35)^2))/(2*Inputs!$C$36^2)))+Inputs!$C$37*(0.55*SIN(2*PI()*(Model_Data!A211)/Inputs!$C$39)+0.35*COS(2*PI()*(0)/Inputs!$C$40)+0.2*SIN(2*PI()*((Model_Data!A211)+(0))/(0.5*(Inputs!$C$39+Inputs!$C$40))))+Inputs!$C$38*SIN(2*PI()*(Model_Data!A211)/Inputs!$C$39)*SIN(2*PI()*(0)/Inputs!$C$40)+-Inputs!$C$41*EXP(-(((0)-Inputs!$C$43)^2)/(2*Inputs!$C$44^2))*EXP(-(((Model_Data!A211)-Inputs!$C$42)^2)/(2*Inputs!$C$45^2))+Inputs!$C$48*(0.7*(0.45*SIN(2*PI()*(((Model_Data!A211)/Inputs!$C$49)+Inputs!$C$47*0.137))+0.35*COS(2*PI()*(((0)/Inputs!$C$50)+Inputs!$C$47*0.173))+0.2*SIN(2*PI()*(((Model_Data!A211)+(0))/(0.5*(Inputs!$C$49+Inputs!$C$50))+Inputs!$C$47*0.097)))+0.3*(2*((SIN(((Model_Data!A211)*12.9898+(0)*78.233+Inputs!$C$47*37.719))*43758.5453)-INT((SIN(((Model_Data!A211)*12.9898+(0)*78.233+Inputs!$C$47*37.719))*43758.5453)))-1)))</f>
        <v>-3.2837161089439029</v>
      </c>
      <c r="H211" s="10"/>
      <c r="I211" s="9">
        <f>Model_Data!A211</f>
        <v>44.5</v>
      </c>
      <c r="J211" s="9">
        <f>(Inputs!$C$51*(115*EXP(-(((Inputs!$C$6)-25)^2)/(4.5^2))+70*EXP(-(((Inputs!$C$6)+38)^2)/(7^2))*(0.55+0.45*SIN(2*PI()*(Model_Data!A211)/45))+24*SIN(2*PI()*(Inputs!$C$6)/9+(Model_Data!A211)/18)*EXP(-(((Inputs!$C$6)+5)^2)/(22^2))+18*SIN(2*PI()*(Model_Data!A211)/70))+Inputs!$C$28*EXP(-(((Model_Data!A211)-Inputs!$C$29)^2)/(2*Inputs!$C$31^2))*EXP(-(((Inputs!$C$6)-Inputs!$C$30)^2)/(2*Inputs!$C$32^2))+-Inputs!$C$33*EXP(-(((((Model_Data!A211)-Inputs!$C$34)^2)+(((Inputs!$C$6)-Inputs!$C$35)^2))/(2*Inputs!$C$36^2)))+Inputs!$C$37*(0.55*SIN(2*PI()*(Model_Data!A211)/Inputs!$C$39)+0.35*COS(2*PI()*(Inputs!$C$6)/Inputs!$C$40)+0.2*SIN(2*PI()*((Model_Data!A211)+(Inputs!$C$6))/(0.5*(Inputs!$C$39+Inputs!$C$40))))+Inputs!$C$38*SIN(2*PI()*(Model_Data!A211)/Inputs!$C$39)*SIN(2*PI()*(Inputs!$C$6)/Inputs!$C$40)+-Inputs!$C$41*EXP(-(((Inputs!$C$6)-Inputs!$C$43)^2)/(2*Inputs!$C$44^2))*EXP(-(((Model_Data!A211)-Inputs!$C$42)^2)/(2*Inputs!$C$45^2))+Inputs!$C$48*(0.7*(0.45*SIN(2*PI()*(((Model_Data!A211)/Inputs!$C$49)+Inputs!$C$47*0.137))+0.35*COS(2*PI()*(((Inputs!$C$6)/Inputs!$C$50)+Inputs!$C$47*0.173))+0.2*SIN(2*PI()*(((Model_Data!A211)+(Inputs!$C$6))/(0.5*(Inputs!$C$49+Inputs!$C$50))+Inputs!$C$47*0.097)))+0.3*(2*((SIN(((Model_Data!A211)*12.9898+(Inputs!$C$6)*78.233+Inputs!$C$47*37.719))*43758.5453)-INT((SIN(((Model_Data!A211)*12.9898+(Inputs!$C$6)*78.233+Inputs!$C$47*37.719))*43758.5453)))-1)))</f>
        <v>178.96296340227542</v>
      </c>
      <c r="K211" s="9">
        <f>-((((SQRT((Model_Data!A211)^2+Inputs!$C$6^2+((Model_Data!B211)-((Inputs!$C$51*(115*EXP(-(((Inputs!$C$6)-25)^2)/(4.5^2))+70*EXP(-(((Inputs!$C$6)+38)^2)/(7^2))*(0.55+0.45*SIN(2*PI()*(Model_Data!A211)/45))+24*SIN(2*PI()*(Inputs!$C$6)/9+(Model_Data!A211)/18)*EXP(-(((Inputs!$C$6)+5)^2)/(22^2))+18*SIN(2*PI()*(Model_Data!A211)/70))+Inputs!$C$28*EXP(-(((Model_Data!A211)-Inputs!$C$29)^2)/(2*Inputs!$C$31^2))*EXP(-(((Inputs!$C$6)-Inputs!$C$30)^2)/(2*Inputs!$C$32^2))+-Inputs!$C$33*EXP(-(((((Model_Data!A211)-Inputs!$C$34)^2)+(((Inputs!$C$6)-Inputs!$C$35)^2))/(2*Inputs!$C$36^2)))+Inputs!$C$37*(0.55*SIN(2*PI()*(Model_Data!A211)/Inputs!$C$39)+0.35*COS(2*PI()*(Inputs!$C$6)/Inputs!$C$40)+0.2*SIN(2*PI()*((Model_Data!A211)+(Inputs!$C$6))/(0.5*(Inputs!$C$39+Inputs!$C$40))))+Inputs!$C$38*SIN(2*PI()*(Model_Data!A211)/Inputs!$C$39)*SIN(2*PI()*(Inputs!$C$6)/Inputs!$C$40)+-Inputs!$C$41*EXP(-(((Inputs!$C$6)-Inputs!$C$43)^2)/(2*Inputs!$C$44^2))*EXP(-(((Model_Data!A211)-Inputs!$C$42)^2)/(2*Inputs!$C$45^2))+Inputs!$C$48*(0.7*(0.45*SIN(2*PI()*(((Model_Data!A211)/Inputs!$C$49)+Inputs!$C$47*0.137))+0.35*COS(2*PI()*(((Inputs!$C$6)/Inputs!$C$50)+Inputs!$C$47*0.173))+0.2*SIN(2*PI()*(((Model_Data!A211)+(Inputs!$C$6))/(0.5*(Inputs!$C$49+Inputs!$C$50))+Inputs!$C$47*0.097)))+0.3*(2*((SIN(((Model_Data!A211)*12.9898+(Inputs!$C$6)*78.233+Inputs!$C$47*37.719))*43758.5453)-INT((SIN(((Model_Data!A211)*12.9898+(Inputs!$C$6)*78.233+Inputs!$C$47*37.719))*43758.5453)))-1))))/1000)^2))-(((Model_Data!B211)-((Inputs!$C$51*(115*EXP(-(((0)-25)^2)/(4.5^2))+70*EXP(-(((0)+38)^2)/(7^2))*(0.55+0.45*SIN(2*PI()*(Model_Data!A211)/45))+24*SIN(2*PI()*(0)/9+(Model_Data!A211)/18)*EXP(-(((0)+5)^2)/(22^2))+18*SIN(2*PI()*(Model_Data!A211)/70))+Inputs!$C$28*EXP(-(((Model_Data!A211)-Inputs!$C$29)^2)/(2*Inputs!$C$31^2))*EXP(-(((0)-Inputs!$C$30)^2)/(2*Inputs!$C$32^2))+-Inputs!$C$33*EXP(-(((((Model_Data!A211)-Inputs!$C$34)^2)+(((0)-Inputs!$C$35)^2))/(2*Inputs!$C$36^2)))+Inputs!$C$37*(0.55*SIN(2*PI()*(Model_Data!A211)/Inputs!$C$39)+0.35*COS(2*PI()*(0)/Inputs!$C$40)+0.2*SIN(2*PI()*((Model_Data!A211)+(0))/(0.5*(Inputs!$C$39+Inputs!$C$40))))+Inputs!$C$38*SIN(2*PI()*(Model_Data!A211)/Inputs!$C$39)*SIN(2*PI()*(0)/Inputs!$C$40)+-Inputs!$C$41*EXP(-(((0)-Inputs!$C$43)^2)/(2*Inputs!$C$44^2))*EXP(-(((Model_Data!A211)-Inputs!$C$42)^2)/(2*Inputs!$C$45^2))+Inputs!$C$48*(0.7*(0.45*SIN(2*PI()*(((Model_Data!A211)/Inputs!$C$49)+Inputs!$C$47*0.137))+0.35*COS(2*PI()*(((0)/Inputs!$C$50)+Inputs!$C$47*0.173))+0.2*SIN(2*PI()*(((Model_Data!A211)+(0))/(0.5*(Inputs!$C$49+Inputs!$C$50))+Inputs!$C$47*0.097)))+0.3*(2*((SIN(((Model_Data!A211)*12.9898+(0)*78.233+Inputs!$C$47*37.719))*43758.5453)-INT((SIN(((Model_Data!A211)*12.9898+(0)*78.233+Inputs!$C$47*37.719))*43758.5453)))-1))))/1000)))*1000/Inputs!$C$12)-Model_Data!F211)</f>
        <v>101.58545924624696</v>
      </c>
      <c r="L211" s="10"/>
      <c r="M211" s="9">
        <f>Model_Data!A211</f>
        <v>44.5</v>
      </c>
      <c r="N211" s="9">
        <f>Model_Data!P211</f>
        <v>-332.58101900128577</v>
      </c>
      <c r="O211" s="9">
        <f t="shared" si="6"/>
        <v>-401.82371569335373</v>
      </c>
      <c r="P211" s="9">
        <f>Model_Data!Q211</f>
        <v>-49.937089940132999</v>
      </c>
      <c r="Q211" s="9">
        <f t="shared" si="7"/>
        <v>-60.33389124524831</v>
      </c>
      <c r="R211" s="10"/>
      <c r="S211" s="9">
        <f>Model_Data!A211</f>
        <v>44.5</v>
      </c>
      <c r="T211" s="9">
        <f>Model_Data!B211-Inputs!$C$5</f>
        <v>2.2002777777777851</v>
      </c>
      <c r="U211" s="10"/>
      <c r="V211" s="9">
        <f>Model_Data!A211</f>
        <v>44.5</v>
      </c>
      <c r="W211" s="9">
        <f>((SQRT((Model_Data!A211)^2+Inputs!$C$6^2+Inputs!$C$5^2)-Inputs!$C$5)*1000/Inputs!$C$12)</f>
        <v>1822.142045744429</v>
      </c>
      <c r="X211" s="9">
        <f>Model_Data!F211</f>
        <v>1812.2533589215191</v>
      </c>
      <c r="Y211" s="10"/>
      <c r="Z211" s="9">
        <f>Model_Data!A211</f>
        <v>44.5</v>
      </c>
      <c r="AA211" s="9">
        <f>SQRT((Model_Data!A211)^2+Inputs!$C$6^2+((Model_Data!B211)-((Inputs!$C$51*(115*EXP(-(((Inputs!$C$6)-25)^2)/(4.5^2))+70*EXP(-(((Inputs!$C$6)+38)^2)/(7^2))*(0.55+0.45*SIN(2*PI()*(Model_Data!A211)/45))+24*SIN(2*PI()*(Inputs!$C$6)/9+(Model_Data!A211)/18)*EXP(-(((Inputs!$C$6)+5)^2)/(22^2))+18*SIN(2*PI()*(Model_Data!A211)/70))+Inputs!$C$28*EXP(-(((Model_Data!A211)-Inputs!$C$29)^2)/(2*Inputs!$C$31^2))*EXP(-(((Inputs!$C$6)-Inputs!$C$30)^2)/(2*Inputs!$C$32^2))+-Inputs!$C$33*EXP(-(((((Model_Data!A211)-Inputs!$C$34)^2)+(((Inputs!$C$6)-Inputs!$C$35)^2))/(2*Inputs!$C$36^2)))+Inputs!$C$37*(0.55*SIN(2*PI()*(Model_Data!A211)/Inputs!$C$39)+0.35*COS(2*PI()*(Inputs!$C$6)/Inputs!$C$40)+0.2*SIN(2*PI()*((Model_Data!A211)+(Inputs!$C$6))/(0.5*(Inputs!$C$39+Inputs!$C$40))))+Inputs!$C$38*SIN(2*PI()*(Model_Data!A211)/Inputs!$C$39)*SIN(2*PI()*(Inputs!$C$6)/Inputs!$C$40)+-Inputs!$C$41*EXP(-(((Inputs!$C$6)-Inputs!$C$43)^2)/(2*Inputs!$C$44^2))*EXP(-(((Model_Data!A211)-Inputs!$C$42)^2)/(2*Inputs!$C$45^2))+Inputs!$C$48*(0.7*(0.45*SIN(2*PI()*(((Model_Data!A211)/Inputs!$C$49)+Inputs!$C$47*0.137))+0.35*COS(2*PI()*(((Inputs!$C$6)/Inputs!$C$50)+Inputs!$C$47*0.173))+0.2*SIN(2*PI()*(((Model_Data!A211)+(Inputs!$C$6))/(0.5*(Inputs!$C$49+Inputs!$C$50))+Inputs!$C$47*0.097)))+0.3*(2*((SIN(((Model_Data!A211)*12.9898+(Inputs!$C$6)*78.233+Inputs!$C$47*37.719))*43758.5453)-INT((SIN(((Model_Data!A211)*12.9898+(Inputs!$C$6)*78.233+Inputs!$C$47*37.719))*43758.5453)))-1))))/1000)^2)</f>
        <v>405.24855035530874</v>
      </c>
      <c r="AB211" s="9">
        <f>1000*(AA212-AA210)/(Z212-Z210)*Inputs!$C$11</f>
        <v>1004.5592892333843</v>
      </c>
      <c r="AC211" s="9">
        <f>-2*AB211/Inputs!$C$13</f>
        <v>-401.82371569335373</v>
      </c>
      <c r="AD211" s="9">
        <f>-2*AB211/Inputs!$C$14</f>
        <v>-60.33389124524831</v>
      </c>
    </row>
    <row r="212" spans="1:30">
      <c r="A212" s="9">
        <f>Model_Data!A212</f>
        <v>45</v>
      </c>
      <c r="B212" s="9">
        <f>((SQRT((Model_Data!A212)^2+Inputs!$C$6^2+Inputs!$C$5^2)-Inputs!$C$5)*1000/Inputs!$C$12)</f>
        <v>1853.3126974807026</v>
      </c>
      <c r="C212" s="9">
        <f>Model_Data!F212</f>
        <v>1843.0302193297173</v>
      </c>
      <c r="D212" s="9">
        <f>(((SQRT((Model_Data!A212)^2+Inputs!$C$6^2+((Model_Data!B212)-((Inputs!$C$51*(115*EXP(-(((Inputs!$C$6)-25)^2)/(4.5^2))+70*EXP(-(((Inputs!$C$6)+38)^2)/(7^2))*(0.55+0.45*SIN(2*PI()*(Model_Data!A212)/45))+24*SIN(2*PI()*(Inputs!$C$6)/9+(Model_Data!A212)/18)*EXP(-(((Inputs!$C$6)+5)^2)/(22^2))+18*SIN(2*PI()*(Model_Data!A212)/70))+Inputs!$C$28*EXP(-(((Model_Data!A212)-Inputs!$C$29)^2)/(2*Inputs!$C$31^2))*EXP(-(((Inputs!$C$6)-Inputs!$C$30)^2)/(2*Inputs!$C$32^2))+-Inputs!$C$33*EXP(-(((((Model_Data!A212)-Inputs!$C$34)^2)+(((Inputs!$C$6)-Inputs!$C$35)^2))/(2*Inputs!$C$36^2)))+Inputs!$C$37*(0.55*SIN(2*PI()*(Model_Data!A212)/Inputs!$C$39)+0.35*COS(2*PI()*(Inputs!$C$6)/Inputs!$C$40)+0.2*SIN(2*PI()*((Model_Data!A212)+(Inputs!$C$6))/(0.5*(Inputs!$C$39+Inputs!$C$40))))+Inputs!$C$38*SIN(2*PI()*(Model_Data!A212)/Inputs!$C$39)*SIN(2*PI()*(Inputs!$C$6)/Inputs!$C$40)+-Inputs!$C$41*EXP(-(((Inputs!$C$6)-Inputs!$C$43)^2)/(2*Inputs!$C$44^2))*EXP(-(((Model_Data!A212)-Inputs!$C$42)^2)/(2*Inputs!$C$45^2))+Inputs!$C$48*(0.7*(0.45*SIN(2*PI()*(((Model_Data!A212)/Inputs!$C$49)+Inputs!$C$47*0.137))+0.35*COS(2*PI()*(((Inputs!$C$6)/Inputs!$C$50)+Inputs!$C$47*0.173))+0.2*SIN(2*PI()*(((Model_Data!A212)+(Inputs!$C$6))/(0.5*(Inputs!$C$49+Inputs!$C$50))+Inputs!$C$47*0.097)))+0.3*(2*((SIN(((Model_Data!A212)*12.9898+(Inputs!$C$6)*78.233+Inputs!$C$47*37.719))*43758.5453)-INT((SIN(((Model_Data!A212)*12.9898+(Inputs!$C$6)*78.233+Inputs!$C$47*37.719))*43758.5453)))-1))))/1000)^2))-(((Model_Data!B212)-((Inputs!$C$51*(115*EXP(-(((0)-25)^2)/(4.5^2))+70*EXP(-(((0)+38)^2)/(7^2))*(0.55+0.45*SIN(2*PI()*(Model_Data!A212)/45))+24*SIN(2*PI()*(0)/9+(Model_Data!A212)/18)*EXP(-(((0)+5)^2)/(22^2))+18*SIN(2*PI()*(Model_Data!A212)/70))+Inputs!$C$28*EXP(-(((Model_Data!A212)-Inputs!$C$29)^2)/(2*Inputs!$C$31^2))*EXP(-(((0)-Inputs!$C$30)^2)/(2*Inputs!$C$32^2))+-Inputs!$C$33*EXP(-(((((Model_Data!A212)-Inputs!$C$34)^2)+(((0)-Inputs!$C$35)^2))/(2*Inputs!$C$36^2)))+Inputs!$C$37*(0.55*SIN(2*PI()*(Model_Data!A212)/Inputs!$C$39)+0.35*COS(2*PI()*(0)/Inputs!$C$40)+0.2*SIN(2*PI()*((Model_Data!A212)+(0))/(0.5*(Inputs!$C$39+Inputs!$C$40))))+Inputs!$C$38*SIN(2*PI()*(Model_Data!A212)/Inputs!$C$39)*SIN(2*PI()*(0)/Inputs!$C$40)+-Inputs!$C$41*EXP(-(((0)-Inputs!$C$43)^2)/(2*Inputs!$C$44^2))*EXP(-(((Model_Data!A212)-Inputs!$C$42)^2)/(2*Inputs!$C$45^2))+Inputs!$C$48*(0.7*(0.45*SIN(2*PI()*(((Model_Data!A212)/Inputs!$C$49)+Inputs!$C$47*0.137))+0.35*COS(2*PI()*(((0)/Inputs!$C$50)+Inputs!$C$47*0.173))+0.2*SIN(2*PI()*(((Model_Data!A212)+(0))/(0.5*(Inputs!$C$49+Inputs!$C$50))+Inputs!$C$47*0.097)))+0.3*(2*((SIN(((Model_Data!A212)*12.9898+(0)*78.233+Inputs!$C$47*37.719))*43758.5453)-INT((SIN(((Model_Data!A212)*12.9898+(0)*78.233+Inputs!$C$47*37.719))*43758.5453)))-1))))/1000)))*1000/Inputs!$C$12)</f>
        <v>1748.2692876143985</v>
      </c>
      <c r="E212" s="9">
        <f>Model_Data!A212</f>
        <v>45</v>
      </c>
      <c r="F212" s="9">
        <f>(Inputs!$C$51*(115*EXP(-(((Inputs!$C$6)-25)^2)/(4.5^2))+70*EXP(-(((Inputs!$C$6)+38)^2)/(7^2))*(0.55+0.45*SIN(2*PI()*(Model_Data!A212)/45))+24*SIN(2*PI()*(Inputs!$C$6)/9+(Model_Data!A212)/18)*EXP(-(((Inputs!$C$6)+5)^2)/(22^2))+18*SIN(2*PI()*(Model_Data!A212)/70))+Inputs!$C$28*EXP(-(((Model_Data!A212)-Inputs!$C$29)^2)/(2*Inputs!$C$31^2))*EXP(-(((Inputs!$C$6)-Inputs!$C$30)^2)/(2*Inputs!$C$32^2))+-Inputs!$C$33*EXP(-(((((Model_Data!A212)-Inputs!$C$34)^2)+(((Inputs!$C$6)-Inputs!$C$35)^2))/(2*Inputs!$C$36^2)))+Inputs!$C$37*(0.55*SIN(2*PI()*(Model_Data!A212)/Inputs!$C$39)+0.35*COS(2*PI()*(Inputs!$C$6)/Inputs!$C$40)+0.2*SIN(2*PI()*((Model_Data!A212)+(Inputs!$C$6))/(0.5*(Inputs!$C$39+Inputs!$C$40))))+Inputs!$C$38*SIN(2*PI()*(Model_Data!A212)/Inputs!$C$39)*SIN(2*PI()*(Inputs!$C$6)/Inputs!$C$40)+-Inputs!$C$41*EXP(-(((Inputs!$C$6)-Inputs!$C$43)^2)/(2*Inputs!$C$44^2))*EXP(-(((Model_Data!A212)-Inputs!$C$42)^2)/(2*Inputs!$C$45^2))+Inputs!$C$48*(0.7*(0.45*SIN(2*PI()*(((Model_Data!A212)/Inputs!$C$49)+Inputs!$C$47*0.137))+0.35*COS(2*PI()*(((Inputs!$C$6)/Inputs!$C$50)+Inputs!$C$47*0.173))+0.2*SIN(2*PI()*(((Model_Data!A212)+(Inputs!$C$6))/(0.5*(Inputs!$C$49+Inputs!$C$50))+Inputs!$C$47*0.097)))+0.3*(2*((SIN(((Model_Data!A212)*12.9898+(Inputs!$C$6)*78.233+Inputs!$C$47*37.719))*43758.5453)-INT((SIN(((Model_Data!A212)*12.9898+(Inputs!$C$6)*78.233+Inputs!$C$47*37.719))*43758.5453)))-1)))</f>
        <v>165.26573251393552</v>
      </c>
      <c r="G212" s="9">
        <f>(Inputs!$C$51*(115*EXP(-(((0)-25)^2)/(4.5^2))+70*EXP(-(((0)+38)^2)/(7^2))*(0.55+0.45*SIN(2*PI()*(Model_Data!A212)/45))+24*SIN(2*PI()*(0)/9+(Model_Data!A212)/18)*EXP(-(((0)+5)^2)/(22^2))+18*SIN(2*PI()*(Model_Data!A212)/70))+Inputs!$C$28*EXP(-(((Model_Data!A212)-Inputs!$C$29)^2)/(2*Inputs!$C$31^2))*EXP(-(((0)-Inputs!$C$30)^2)/(2*Inputs!$C$32^2))+-Inputs!$C$33*EXP(-(((((Model_Data!A212)-Inputs!$C$34)^2)+(((0)-Inputs!$C$35)^2))/(2*Inputs!$C$36^2)))+Inputs!$C$37*(0.55*SIN(2*PI()*(Model_Data!A212)/Inputs!$C$39)+0.35*COS(2*PI()*(0)/Inputs!$C$40)+0.2*SIN(2*PI()*((Model_Data!A212)+(0))/(0.5*(Inputs!$C$39+Inputs!$C$40))))+Inputs!$C$38*SIN(2*PI()*(Model_Data!A212)/Inputs!$C$39)*SIN(2*PI()*(0)/Inputs!$C$40)+-Inputs!$C$41*EXP(-(((0)-Inputs!$C$43)^2)/(2*Inputs!$C$44^2))*EXP(-(((Model_Data!A212)-Inputs!$C$42)^2)/(2*Inputs!$C$45^2))+Inputs!$C$48*(0.7*(0.45*SIN(2*PI()*(((Model_Data!A212)/Inputs!$C$49)+Inputs!$C$47*0.137))+0.35*COS(2*PI()*(((0)/Inputs!$C$50)+Inputs!$C$47*0.173))+0.2*SIN(2*PI()*(((Model_Data!A212)+(0))/(0.5*(Inputs!$C$49+Inputs!$C$50))+Inputs!$C$47*0.097)))+0.3*(2*((SIN(((Model_Data!A212)*12.9898+(0)*78.233+Inputs!$C$47*37.719))*43758.5453)-INT((SIN(((Model_Data!A212)*12.9898+(0)*78.233+Inputs!$C$47*37.719))*43758.5453)))-1)))</f>
        <v>-4.7462079682678002</v>
      </c>
      <c r="H212" s="10"/>
      <c r="I212" s="9">
        <f>Model_Data!A212</f>
        <v>45</v>
      </c>
      <c r="J212" s="9">
        <f>(Inputs!$C$51*(115*EXP(-(((Inputs!$C$6)-25)^2)/(4.5^2))+70*EXP(-(((Inputs!$C$6)+38)^2)/(7^2))*(0.55+0.45*SIN(2*PI()*(Model_Data!A212)/45))+24*SIN(2*PI()*(Inputs!$C$6)/9+(Model_Data!A212)/18)*EXP(-(((Inputs!$C$6)+5)^2)/(22^2))+18*SIN(2*PI()*(Model_Data!A212)/70))+Inputs!$C$28*EXP(-(((Model_Data!A212)-Inputs!$C$29)^2)/(2*Inputs!$C$31^2))*EXP(-(((Inputs!$C$6)-Inputs!$C$30)^2)/(2*Inputs!$C$32^2))+-Inputs!$C$33*EXP(-(((((Model_Data!A212)-Inputs!$C$34)^2)+(((Inputs!$C$6)-Inputs!$C$35)^2))/(2*Inputs!$C$36^2)))+Inputs!$C$37*(0.55*SIN(2*PI()*(Model_Data!A212)/Inputs!$C$39)+0.35*COS(2*PI()*(Inputs!$C$6)/Inputs!$C$40)+0.2*SIN(2*PI()*((Model_Data!A212)+(Inputs!$C$6))/(0.5*(Inputs!$C$39+Inputs!$C$40))))+Inputs!$C$38*SIN(2*PI()*(Model_Data!A212)/Inputs!$C$39)*SIN(2*PI()*(Inputs!$C$6)/Inputs!$C$40)+-Inputs!$C$41*EXP(-(((Inputs!$C$6)-Inputs!$C$43)^2)/(2*Inputs!$C$44^2))*EXP(-(((Model_Data!A212)-Inputs!$C$42)^2)/(2*Inputs!$C$45^2))+Inputs!$C$48*(0.7*(0.45*SIN(2*PI()*(((Model_Data!A212)/Inputs!$C$49)+Inputs!$C$47*0.137))+0.35*COS(2*PI()*(((Inputs!$C$6)/Inputs!$C$50)+Inputs!$C$47*0.173))+0.2*SIN(2*PI()*(((Model_Data!A212)+(Inputs!$C$6))/(0.5*(Inputs!$C$49+Inputs!$C$50))+Inputs!$C$47*0.097)))+0.3*(2*((SIN(((Model_Data!A212)*12.9898+(Inputs!$C$6)*78.233+Inputs!$C$47*37.719))*43758.5453)-INT((SIN(((Model_Data!A212)*12.9898+(Inputs!$C$6)*78.233+Inputs!$C$47*37.719))*43758.5453)))-1)))</f>
        <v>165.26573251393552</v>
      </c>
      <c r="K212" s="9">
        <f>-((((SQRT((Model_Data!A212)^2+Inputs!$C$6^2+((Model_Data!B212)-((Inputs!$C$51*(115*EXP(-(((Inputs!$C$6)-25)^2)/(4.5^2))+70*EXP(-(((Inputs!$C$6)+38)^2)/(7^2))*(0.55+0.45*SIN(2*PI()*(Model_Data!A212)/45))+24*SIN(2*PI()*(Inputs!$C$6)/9+(Model_Data!A212)/18)*EXP(-(((Inputs!$C$6)+5)^2)/(22^2))+18*SIN(2*PI()*(Model_Data!A212)/70))+Inputs!$C$28*EXP(-(((Model_Data!A212)-Inputs!$C$29)^2)/(2*Inputs!$C$31^2))*EXP(-(((Inputs!$C$6)-Inputs!$C$30)^2)/(2*Inputs!$C$32^2))+-Inputs!$C$33*EXP(-(((((Model_Data!A212)-Inputs!$C$34)^2)+(((Inputs!$C$6)-Inputs!$C$35)^2))/(2*Inputs!$C$36^2)))+Inputs!$C$37*(0.55*SIN(2*PI()*(Model_Data!A212)/Inputs!$C$39)+0.35*COS(2*PI()*(Inputs!$C$6)/Inputs!$C$40)+0.2*SIN(2*PI()*((Model_Data!A212)+(Inputs!$C$6))/(0.5*(Inputs!$C$39+Inputs!$C$40))))+Inputs!$C$38*SIN(2*PI()*(Model_Data!A212)/Inputs!$C$39)*SIN(2*PI()*(Inputs!$C$6)/Inputs!$C$40)+-Inputs!$C$41*EXP(-(((Inputs!$C$6)-Inputs!$C$43)^2)/(2*Inputs!$C$44^2))*EXP(-(((Model_Data!A212)-Inputs!$C$42)^2)/(2*Inputs!$C$45^2))+Inputs!$C$48*(0.7*(0.45*SIN(2*PI()*(((Model_Data!A212)/Inputs!$C$49)+Inputs!$C$47*0.137))+0.35*COS(2*PI()*(((Inputs!$C$6)/Inputs!$C$50)+Inputs!$C$47*0.173))+0.2*SIN(2*PI()*(((Model_Data!A212)+(Inputs!$C$6))/(0.5*(Inputs!$C$49+Inputs!$C$50))+Inputs!$C$47*0.097)))+0.3*(2*((SIN(((Model_Data!A212)*12.9898+(Inputs!$C$6)*78.233+Inputs!$C$47*37.719))*43758.5453)-INT((SIN(((Model_Data!A212)*12.9898+(Inputs!$C$6)*78.233+Inputs!$C$47*37.719))*43758.5453)))-1))))/1000)^2))-(((Model_Data!B212)-((Inputs!$C$51*(115*EXP(-(((0)-25)^2)/(4.5^2))+70*EXP(-(((0)+38)^2)/(7^2))*(0.55+0.45*SIN(2*PI()*(Model_Data!A212)/45))+24*SIN(2*PI()*(0)/9+(Model_Data!A212)/18)*EXP(-(((0)+5)^2)/(22^2))+18*SIN(2*PI()*(Model_Data!A212)/70))+Inputs!$C$28*EXP(-(((Model_Data!A212)-Inputs!$C$29)^2)/(2*Inputs!$C$31^2))*EXP(-(((0)-Inputs!$C$30)^2)/(2*Inputs!$C$32^2))+-Inputs!$C$33*EXP(-(((((Model_Data!A212)-Inputs!$C$34)^2)+(((0)-Inputs!$C$35)^2))/(2*Inputs!$C$36^2)))+Inputs!$C$37*(0.55*SIN(2*PI()*(Model_Data!A212)/Inputs!$C$39)+0.35*COS(2*PI()*(0)/Inputs!$C$40)+0.2*SIN(2*PI()*((Model_Data!A212)+(0))/(0.5*(Inputs!$C$39+Inputs!$C$40))))+Inputs!$C$38*SIN(2*PI()*(Model_Data!A212)/Inputs!$C$39)*SIN(2*PI()*(0)/Inputs!$C$40)+-Inputs!$C$41*EXP(-(((0)-Inputs!$C$43)^2)/(2*Inputs!$C$44^2))*EXP(-(((Model_Data!A212)-Inputs!$C$42)^2)/(2*Inputs!$C$45^2))+Inputs!$C$48*(0.7*(0.45*SIN(2*PI()*(((Model_Data!A212)/Inputs!$C$49)+Inputs!$C$47*0.137))+0.35*COS(2*PI()*(((0)/Inputs!$C$50)+Inputs!$C$47*0.173))+0.2*SIN(2*PI()*(((Model_Data!A212)+(0))/(0.5*(Inputs!$C$49+Inputs!$C$50))+Inputs!$C$47*0.097)))+0.3*(2*((SIN(((Model_Data!A212)*12.9898+(0)*78.233+Inputs!$C$47*37.719))*43758.5453)-INT((SIN(((Model_Data!A212)*12.9898+(0)*78.233+Inputs!$C$47*37.719))*43758.5453)))-1))))/1000)))*1000/Inputs!$C$12)-Model_Data!F212)</f>
        <v>94.760931715318748</v>
      </c>
      <c r="L212" s="10"/>
      <c r="M212" s="9">
        <f>Model_Data!A212</f>
        <v>45</v>
      </c>
      <c r="N212" s="9">
        <f>Model_Data!P212</f>
        <v>-336.25083307642097</v>
      </c>
      <c r="O212" s="9">
        <f t="shared" si="6"/>
        <v>-352.48273190363761</v>
      </c>
      <c r="P212" s="9">
        <f>Model_Data!Q212</f>
        <v>-50.488113074537686</v>
      </c>
      <c r="Q212" s="9">
        <f t="shared" si="7"/>
        <v>-52.925335120666311</v>
      </c>
      <c r="R212" s="10"/>
      <c r="S212" s="9">
        <f>Model_Data!A212</f>
        <v>45</v>
      </c>
      <c r="T212" s="9">
        <f>Model_Data!B212-Inputs!$C$5</f>
        <v>2.25</v>
      </c>
      <c r="U212" s="10"/>
      <c r="V212" s="9">
        <f>Model_Data!A212</f>
        <v>45</v>
      </c>
      <c r="W212" s="9">
        <f>((SQRT((Model_Data!A212)^2+Inputs!$C$6^2+Inputs!$C$5^2)-Inputs!$C$5)*1000/Inputs!$C$12)</f>
        <v>1853.3126974807026</v>
      </c>
      <c r="X212" s="9">
        <f>Model_Data!F212</f>
        <v>1843.0302193297173</v>
      </c>
      <c r="Y212" s="10"/>
      <c r="Z212" s="9">
        <f>Model_Data!A212</f>
        <v>45</v>
      </c>
      <c r="AA212" s="9">
        <f>SQRT((Model_Data!A212)^2+Inputs!$C$6^2+((Model_Data!B212)-((Inputs!$C$51*(115*EXP(-(((Inputs!$C$6)-25)^2)/(4.5^2))+70*EXP(-(((Inputs!$C$6)+38)^2)/(7^2))*(0.55+0.45*SIN(2*PI()*(Model_Data!A212)/45))+24*SIN(2*PI()*(Inputs!$C$6)/9+(Model_Data!A212)/18)*EXP(-(((Inputs!$C$6)+5)^2)/(22^2))+18*SIN(2*PI()*(Model_Data!A212)/70))+Inputs!$C$28*EXP(-(((Model_Data!A212)-Inputs!$C$29)^2)/(2*Inputs!$C$31^2))*EXP(-(((Inputs!$C$6)-Inputs!$C$30)^2)/(2*Inputs!$C$32^2))+-Inputs!$C$33*EXP(-(((((Model_Data!A212)-Inputs!$C$34)^2)+(((Inputs!$C$6)-Inputs!$C$35)^2))/(2*Inputs!$C$36^2)))+Inputs!$C$37*(0.55*SIN(2*PI()*(Model_Data!A212)/Inputs!$C$39)+0.35*COS(2*PI()*(Inputs!$C$6)/Inputs!$C$40)+0.2*SIN(2*PI()*((Model_Data!A212)+(Inputs!$C$6))/(0.5*(Inputs!$C$39+Inputs!$C$40))))+Inputs!$C$38*SIN(2*PI()*(Model_Data!A212)/Inputs!$C$39)*SIN(2*PI()*(Inputs!$C$6)/Inputs!$C$40)+-Inputs!$C$41*EXP(-(((Inputs!$C$6)-Inputs!$C$43)^2)/(2*Inputs!$C$44^2))*EXP(-(((Model_Data!A212)-Inputs!$C$42)^2)/(2*Inputs!$C$45^2))+Inputs!$C$48*(0.7*(0.45*SIN(2*PI()*(((Model_Data!A212)/Inputs!$C$49)+Inputs!$C$47*0.137))+0.35*COS(2*PI()*(((Inputs!$C$6)/Inputs!$C$50)+Inputs!$C$47*0.173))+0.2*SIN(2*PI()*(((Model_Data!A212)+(Inputs!$C$6))/(0.5*(Inputs!$C$49+Inputs!$C$50))+Inputs!$C$47*0.097)))+0.3*(2*((SIN(((Model_Data!A212)*12.9898+(Inputs!$C$6)*78.233+Inputs!$C$47*37.719))*43758.5453)-INT((SIN(((Model_Data!A212)*12.9898+(Inputs!$C$6)*78.233+Inputs!$C$47*37.719))*43758.5453)))-1))))/1000)^2)</f>
        <v>405.36666553992188</v>
      </c>
      <c r="AB212" s="9">
        <f>1000*(AA213-AA211)/(Z213-Z211)*Inputs!$C$11</f>
        <v>881.20682975909403</v>
      </c>
      <c r="AC212" s="9">
        <f>-2*AB212/Inputs!$C$13</f>
        <v>-352.48273190363761</v>
      </c>
      <c r="AD212" s="9">
        <f>-2*AB212/Inputs!$C$14</f>
        <v>-52.925335120666311</v>
      </c>
    </row>
    <row r="213" spans="1:30">
      <c r="A213" s="9">
        <f>Model_Data!A213</f>
        <v>45.5</v>
      </c>
      <c r="B213" s="9">
        <f>((SQRT((Model_Data!A213)^2+Inputs!$C$6^2+Inputs!$C$5^2)-Inputs!$C$5)*1000/Inputs!$C$12)</f>
        <v>1884.8272648274692</v>
      </c>
      <c r="C213" s="9">
        <f>Model_Data!F213</f>
        <v>1874.1390567325279</v>
      </c>
      <c r="D213" s="9">
        <f>(((SQRT((Model_Data!A213)^2+Inputs!$C$6^2+((Model_Data!B213)-((Inputs!$C$51*(115*EXP(-(((Inputs!$C$6)-25)^2)/(4.5^2))+70*EXP(-(((Inputs!$C$6)+38)^2)/(7^2))*(0.55+0.45*SIN(2*PI()*(Model_Data!A213)/45))+24*SIN(2*PI()*(Inputs!$C$6)/9+(Model_Data!A213)/18)*EXP(-(((Inputs!$C$6)+5)^2)/(22^2))+18*SIN(2*PI()*(Model_Data!A213)/70))+Inputs!$C$28*EXP(-(((Model_Data!A213)-Inputs!$C$29)^2)/(2*Inputs!$C$31^2))*EXP(-(((Inputs!$C$6)-Inputs!$C$30)^2)/(2*Inputs!$C$32^2))+-Inputs!$C$33*EXP(-(((((Model_Data!A213)-Inputs!$C$34)^2)+(((Inputs!$C$6)-Inputs!$C$35)^2))/(2*Inputs!$C$36^2)))+Inputs!$C$37*(0.55*SIN(2*PI()*(Model_Data!A213)/Inputs!$C$39)+0.35*COS(2*PI()*(Inputs!$C$6)/Inputs!$C$40)+0.2*SIN(2*PI()*((Model_Data!A213)+(Inputs!$C$6))/(0.5*(Inputs!$C$39+Inputs!$C$40))))+Inputs!$C$38*SIN(2*PI()*(Model_Data!A213)/Inputs!$C$39)*SIN(2*PI()*(Inputs!$C$6)/Inputs!$C$40)+-Inputs!$C$41*EXP(-(((Inputs!$C$6)-Inputs!$C$43)^2)/(2*Inputs!$C$44^2))*EXP(-(((Model_Data!A213)-Inputs!$C$42)^2)/(2*Inputs!$C$45^2))+Inputs!$C$48*(0.7*(0.45*SIN(2*PI()*(((Model_Data!A213)/Inputs!$C$49)+Inputs!$C$47*0.137))+0.35*COS(2*PI()*(((Inputs!$C$6)/Inputs!$C$50)+Inputs!$C$47*0.173))+0.2*SIN(2*PI()*(((Model_Data!A213)+(Inputs!$C$6))/(0.5*(Inputs!$C$49+Inputs!$C$50))+Inputs!$C$47*0.097)))+0.3*(2*((SIN(((Model_Data!A213)*12.9898+(Inputs!$C$6)*78.233+Inputs!$C$47*37.719))*43758.5453)-INT((SIN(((Model_Data!A213)*12.9898+(Inputs!$C$6)*78.233+Inputs!$C$47*37.719))*43758.5453)))-1))))/1000)^2))-(((Model_Data!B213)-((Inputs!$C$51*(115*EXP(-(((0)-25)^2)/(4.5^2))+70*EXP(-(((0)+38)^2)/(7^2))*(0.55+0.45*SIN(2*PI()*(Model_Data!A213)/45))+24*SIN(2*PI()*(0)/9+(Model_Data!A213)/18)*EXP(-(((0)+5)^2)/(22^2))+18*SIN(2*PI()*(Model_Data!A213)/70))+Inputs!$C$28*EXP(-(((Model_Data!A213)-Inputs!$C$29)^2)/(2*Inputs!$C$31^2))*EXP(-(((0)-Inputs!$C$30)^2)/(2*Inputs!$C$32^2))+-Inputs!$C$33*EXP(-(((((Model_Data!A213)-Inputs!$C$34)^2)+(((0)-Inputs!$C$35)^2))/(2*Inputs!$C$36^2)))+Inputs!$C$37*(0.55*SIN(2*PI()*(Model_Data!A213)/Inputs!$C$39)+0.35*COS(2*PI()*(0)/Inputs!$C$40)+0.2*SIN(2*PI()*((Model_Data!A213)+(0))/(0.5*(Inputs!$C$39+Inputs!$C$40))))+Inputs!$C$38*SIN(2*PI()*(Model_Data!A213)/Inputs!$C$39)*SIN(2*PI()*(0)/Inputs!$C$40)+-Inputs!$C$41*EXP(-(((0)-Inputs!$C$43)^2)/(2*Inputs!$C$44^2))*EXP(-(((Model_Data!A213)-Inputs!$C$42)^2)/(2*Inputs!$C$45^2))+Inputs!$C$48*(0.7*(0.45*SIN(2*PI()*(((Model_Data!A213)/Inputs!$C$49)+Inputs!$C$47*0.137))+0.35*COS(2*PI()*(((0)/Inputs!$C$50)+Inputs!$C$47*0.173))+0.2*SIN(2*PI()*(((Model_Data!A213)+(0))/(0.5*(Inputs!$C$49+Inputs!$C$50))+Inputs!$C$47*0.097)))+0.3*(2*((SIN(((Model_Data!A213)*12.9898+(0)*78.233+Inputs!$C$47*37.719))*43758.5453)-INT((SIN(((Model_Data!A213)*12.9898+(0)*78.233+Inputs!$C$47*37.719))*43758.5453)))-1))))/1000)))*1000/Inputs!$C$12)</f>
        <v>1777.3143306471047</v>
      </c>
      <c r="E213" s="9">
        <f>Model_Data!A213</f>
        <v>45.5</v>
      </c>
      <c r="F213" s="9">
        <f>(Inputs!$C$51*(115*EXP(-(((Inputs!$C$6)-25)^2)/(4.5^2))+70*EXP(-(((Inputs!$C$6)+38)^2)/(7^2))*(0.55+0.45*SIN(2*PI()*(Model_Data!A213)/45))+24*SIN(2*PI()*(Inputs!$C$6)/9+(Model_Data!A213)/18)*EXP(-(((Inputs!$C$6)+5)^2)/(22^2))+18*SIN(2*PI()*(Model_Data!A213)/70))+Inputs!$C$28*EXP(-(((Model_Data!A213)-Inputs!$C$29)^2)/(2*Inputs!$C$31^2))*EXP(-(((Inputs!$C$6)-Inputs!$C$30)^2)/(2*Inputs!$C$32^2))+-Inputs!$C$33*EXP(-(((((Model_Data!A213)-Inputs!$C$34)^2)+(((Inputs!$C$6)-Inputs!$C$35)^2))/(2*Inputs!$C$36^2)))+Inputs!$C$37*(0.55*SIN(2*PI()*(Model_Data!A213)/Inputs!$C$39)+0.35*COS(2*PI()*(Inputs!$C$6)/Inputs!$C$40)+0.2*SIN(2*PI()*((Model_Data!A213)+(Inputs!$C$6))/(0.5*(Inputs!$C$39+Inputs!$C$40))))+Inputs!$C$38*SIN(2*PI()*(Model_Data!A213)/Inputs!$C$39)*SIN(2*PI()*(Inputs!$C$6)/Inputs!$C$40)+-Inputs!$C$41*EXP(-(((Inputs!$C$6)-Inputs!$C$43)^2)/(2*Inputs!$C$44^2))*EXP(-(((Model_Data!A213)-Inputs!$C$42)^2)/(2*Inputs!$C$45^2))+Inputs!$C$48*(0.7*(0.45*SIN(2*PI()*(((Model_Data!A213)/Inputs!$C$49)+Inputs!$C$47*0.137))+0.35*COS(2*PI()*(((Inputs!$C$6)/Inputs!$C$50)+Inputs!$C$47*0.173))+0.2*SIN(2*PI()*(((Model_Data!A213)+(Inputs!$C$6))/(0.5*(Inputs!$C$49+Inputs!$C$50))+Inputs!$C$47*0.097)))+0.3*(2*((SIN(((Model_Data!A213)*12.9898+(Inputs!$C$6)*78.233+Inputs!$C$47*37.719))*43758.5453)-INT((SIN(((Model_Data!A213)*12.9898+(Inputs!$C$6)*78.233+Inputs!$C$47*37.719))*43758.5453)))-1)))</f>
        <v>168.78187987738474</v>
      </c>
      <c r="G213" s="9">
        <f>(Inputs!$C$51*(115*EXP(-(((0)-25)^2)/(4.5^2))+70*EXP(-(((0)+38)^2)/(7^2))*(0.55+0.45*SIN(2*PI()*(Model_Data!A213)/45))+24*SIN(2*PI()*(0)/9+(Model_Data!A213)/18)*EXP(-(((0)+5)^2)/(22^2))+18*SIN(2*PI()*(Model_Data!A213)/70))+Inputs!$C$28*EXP(-(((Model_Data!A213)-Inputs!$C$29)^2)/(2*Inputs!$C$31^2))*EXP(-(((0)-Inputs!$C$30)^2)/(2*Inputs!$C$32^2))+-Inputs!$C$33*EXP(-(((((Model_Data!A213)-Inputs!$C$34)^2)+(((0)-Inputs!$C$35)^2))/(2*Inputs!$C$36^2)))+Inputs!$C$37*(0.55*SIN(2*PI()*(Model_Data!A213)/Inputs!$C$39)+0.35*COS(2*PI()*(0)/Inputs!$C$40)+0.2*SIN(2*PI()*((Model_Data!A213)+(0))/(0.5*(Inputs!$C$39+Inputs!$C$40))))+Inputs!$C$38*SIN(2*PI()*(Model_Data!A213)/Inputs!$C$39)*SIN(2*PI()*(0)/Inputs!$C$40)+-Inputs!$C$41*EXP(-(((0)-Inputs!$C$43)^2)/(2*Inputs!$C$44^2))*EXP(-(((Model_Data!A213)-Inputs!$C$42)^2)/(2*Inputs!$C$45^2))+Inputs!$C$48*(0.7*(0.45*SIN(2*PI()*(((Model_Data!A213)/Inputs!$C$49)+Inputs!$C$47*0.137))+0.35*COS(2*PI()*(((0)/Inputs!$C$50)+Inputs!$C$47*0.173))+0.2*SIN(2*PI()*(((Model_Data!A213)+(0))/(0.5*(Inputs!$C$49+Inputs!$C$50))+Inputs!$C$47*0.097)))+0.3*(2*((SIN(((Model_Data!A213)*12.9898+(0)*78.233+Inputs!$C$47*37.719))*43758.5453)-INT((SIN(((Model_Data!A213)*12.9898+(0)*78.233+Inputs!$C$47*37.719))*43758.5453)))-1)))</f>
        <v>-4.9547764189191454</v>
      </c>
      <c r="H213" s="10"/>
      <c r="I213" s="9">
        <f>Model_Data!A213</f>
        <v>45.5</v>
      </c>
      <c r="J213" s="9">
        <f>(Inputs!$C$51*(115*EXP(-(((Inputs!$C$6)-25)^2)/(4.5^2))+70*EXP(-(((Inputs!$C$6)+38)^2)/(7^2))*(0.55+0.45*SIN(2*PI()*(Model_Data!A213)/45))+24*SIN(2*PI()*(Inputs!$C$6)/9+(Model_Data!A213)/18)*EXP(-(((Inputs!$C$6)+5)^2)/(22^2))+18*SIN(2*PI()*(Model_Data!A213)/70))+Inputs!$C$28*EXP(-(((Model_Data!A213)-Inputs!$C$29)^2)/(2*Inputs!$C$31^2))*EXP(-(((Inputs!$C$6)-Inputs!$C$30)^2)/(2*Inputs!$C$32^2))+-Inputs!$C$33*EXP(-(((((Model_Data!A213)-Inputs!$C$34)^2)+(((Inputs!$C$6)-Inputs!$C$35)^2))/(2*Inputs!$C$36^2)))+Inputs!$C$37*(0.55*SIN(2*PI()*(Model_Data!A213)/Inputs!$C$39)+0.35*COS(2*PI()*(Inputs!$C$6)/Inputs!$C$40)+0.2*SIN(2*PI()*((Model_Data!A213)+(Inputs!$C$6))/(0.5*(Inputs!$C$39+Inputs!$C$40))))+Inputs!$C$38*SIN(2*PI()*(Model_Data!A213)/Inputs!$C$39)*SIN(2*PI()*(Inputs!$C$6)/Inputs!$C$40)+-Inputs!$C$41*EXP(-(((Inputs!$C$6)-Inputs!$C$43)^2)/(2*Inputs!$C$44^2))*EXP(-(((Model_Data!A213)-Inputs!$C$42)^2)/(2*Inputs!$C$45^2))+Inputs!$C$48*(0.7*(0.45*SIN(2*PI()*(((Model_Data!A213)/Inputs!$C$49)+Inputs!$C$47*0.137))+0.35*COS(2*PI()*(((Inputs!$C$6)/Inputs!$C$50)+Inputs!$C$47*0.173))+0.2*SIN(2*PI()*(((Model_Data!A213)+(Inputs!$C$6))/(0.5*(Inputs!$C$49+Inputs!$C$50))+Inputs!$C$47*0.097)))+0.3*(2*((SIN(((Model_Data!A213)*12.9898+(Inputs!$C$6)*78.233+Inputs!$C$47*37.719))*43758.5453)-INT((SIN(((Model_Data!A213)*12.9898+(Inputs!$C$6)*78.233+Inputs!$C$47*37.719))*43758.5453)))-1)))</f>
        <v>168.78187987738474</v>
      </c>
      <c r="K213" s="9">
        <f>-((((SQRT((Model_Data!A213)^2+Inputs!$C$6^2+((Model_Data!B213)-((Inputs!$C$51*(115*EXP(-(((Inputs!$C$6)-25)^2)/(4.5^2))+70*EXP(-(((Inputs!$C$6)+38)^2)/(7^2))*(0.55+0.45*SIN(2*PI()*(Model_Data!A213)/45))+24*SIN(2*PI()*(Inputs!$C$6)/9+(Model_Data!A213)/18)*EXP(-(((Inputs!$C$6)+5)^2)/(22^2))+18*SIN(2*PI()*(Model_Data!A213)/70))+Inputs!$C$28*EXP(-(((Model_Data!A213)-Inputs!$C$29)^2)/(2*Inputs!$C$31^2))*EXP(-(((Inputs!$C$6)-Inputs!$C$30)^2)/(2*Inputs!$C$32^2))+-Inputs!$C$33*EXP(-(((((Model_Data!A213)-Inputs!$C$34)^2)+(((Inputs!$C$6)-Inputs!$C$35)^2))/(2*Inputs!$C$36^2)))+Inputs!$C$37*(0.55*SIN(2*PI()*(Model_Data!A213)/Inputs!$C$39)+0.35*COS(2*PI()*(Inputs!$C$6)/Inputs!$C$40)+0.2*SIN(2*PI()*((Model_Data!A213)+(Inputs!$C$6))/(0.5*(Inputs!$C$39+Inputs!$C$40))))+Inputs!$C$38*SIN(2*PI()*(Model_Data!A213)/Inputs!$C$39)*SIN(2*PI()*(Inputs!$C$6)/Inputs!$C$40)+-Inputs!$C$41*EXP(-(((Inputs!$C$6)-Inputs!$C$43)^2)/(2*Inputs!$C$44^2))*EXP(-(((Model_Data!A213)-Inputs!$C$42)^2)/(2*Inputs!$C$45^2))+Inputs!$C$48*(0.7*(0.45*SIN(2*PI()*(((Model_Data!A213)/Inputs!$C$49)+Inputs!$C$47*0.137))+0.35*COS(2*PI()*(((Inputs!$C$6)/Inputs!$C$50)+Inputs!$C$47*0.173))+0.2*SIN(2*PI()*(((Model_Data!A213)+(Inputs!$C$6))/(0.5*(Inputs!$C$49+Inputs!$C$50))+Inputs!$C$47*0.097)))+0.3*(2*((SIN(((Model_Data!A213)*12.9898+(Inputs!$C$6)*78.233+Inputs!$C$47*37.719))*43758.5453)-INT((SIN(((Model_Data!A213)*12.9898+(Inputs!$C$6)*78.233+Inputs!$C$47*37.719))*43758.5453)))-1))))/1000)^2))-(((Model_Data!B213)-((Inputs!$C$51*(115*EXP(-(((0)-25)^2)/(4.5^2))+70*EXP(-(((0)+38)^2)/(7^2))*(0.55+0.45*SIN(2*PI()*(Model_Data!A213)/45))+24*SIN(2*PI()*(0)/9+(Model_Data!A213)/18)*EXP(-(((0)+5)^2)/(22^2))+18*SIN(2*PI()*(Model_Data!A213)/70))+Inputs!$C$28*EXP(-(((Model_Data!A213)-Inputs!$C$29)^2)/(2*Inputs!$C$31^2))*EXP(-(((0)-Inputs!$C$30)^2)/(2*Inputs!$C$32^2))+-Inputs!$C$33*EXP(-(((((Model_Data!A213)-Inputs!$C$34)^2)+(((0)-Inputs!$C$35)^2))/(2*Inputs!$C$36^2)))+Inputs!$C$37*(0.55*SIN(2*PI()*(Model_Data!A213)/Inputs!$C$39)+0.35*COS(2*PI()*(0)/Inputs!$C$40)+0.2*SIN(2*PI()*((Model_Data!A213)+(0))/(0.5*(Inputs!$C$39+Inputs!$C$40))))+Inputs!$C$38*SIN(2*PI()*(Model_Data!A213)/Inputs!$C$39)*SIN(2*PI()*(0)/Inputs!$C$40)+-Inputs!$C$41*EXP(-(((0)-Inputs!$C$43)^2)/(2*Inputs!$C$44^2))*EXP(-(((Model_Data!A213)-Inputs!$C$42)^2)/(2*Inputs!$C$45^2))+Inputs!$C$48*(0.7*(0.45*SIN(2*PI()*(((Model_Data!A213)/Inputs!$C$49)+Inputs!$C$47*0.137))+0.35*COS(2*PI()*(((0)/Inputs!$C$50)+Inputs!$C$47*0.173))+0.2*SIN(2*PI()*(((Model_Data!A213)+(0))/(0.5*(Inputs!$C$49+Inputs!$C$50))+Inputs!$C$47*0.097)))+0.3*(2*((SIN(((Model_Data!A213)*12.9898+(0)*78.233+Inputs!$C$47*37.719))*43758.5453)-INT((SIN(((Model_Data!A213)*12.9898+(0)*78.233+Inputs!$C$47*37.719))*43758.5453)))-1))))/1000)))*1000/Inputs!$C$12)-Model_Data!F213)</f>
        <v>96.824726085423208</v>
      </c>
      <c r="L213" s="10"/>
      <c r="M213" s="9">
        <f>Model_Data!A213</f>
        <v>45.5</v>
      </c>
      <c r="N213" s="9">
        <f>Model_Data!P213</f>
        <v>-339.91845289051281</v>
      </c>
      <c r="O213" s="9">
        <f t="shared" si="6"/>
        <v>-368.61537131326259</v>
      </c>
      <c r="P213" s="9">
        <f>Model_Data!Q213</f>
        <v>-51.038806740317241</v>
      </c>
      <c r="Q213" s="9">
        <f t="shared" si="7"/>
        <v>-55.347653350339733</v>
      </c>
      <c r="R213" s="10"/>
      <c r="S213" s="9">
        <f>Model_Data!A213</f>
        <v>45.5</v>
      </c>
      <c r="T213" s="9">
        <f>Model_Data!B213-Inputs!$C$5</f>
        <v>2.300277777777751</v>
      </c>
      <c r="U213" s="10"/>
      <c r="V213" s="9">
        <f>Model_Data!A213</f>
        <v>45.5</v>
      </c>
      <c r="W213" s="9">
        <f>((SQRT((Model_Data!A213)^2+Inputs!$C$6^2+Inputs!$C$5^2)-Inputs!$C$5)*1000/Inputs!$C$12)</f>
        <v>1884.8272648274692</v>
      </c>
      <c r="X213" s="9">
        <f>Model_Data!F213</f>
        <v>1874.1390567325279</v>
      </c>
      <c r="Y213" s="10"/>
      <c r="Z213" s="9">
        <f>Model_Data!A213</f>
        <v>45.5</v>
      </c>
      <c r="AA213" s="9">
        <f>SQRT((Model_Data!A213)^2+Inputs!$C$6^2+((Model_Data!B213)-((Inputs!$C$51*(115*EXP(-(((Inputs!$C$6)-25)^2)/(4.5^2))+70*EXP(-(((Inputs!$C$6)+38)^2)/(7^2))*(0.55+0.45*SIN(2*PI()*(Model_Data!A213)/45))+24*SIN(2*PI()*(Inputs!$C$6)/9+(Model_Data!A213)/18)*EXP(-(((Inputs!$C$6)+5)^2)/(22^2))+18*SIN(2*PI()*(Model_Data!A213)/70))+Inputs!$C$28*EXP(-(((Model_Data!A213)-Inputs!$C$29)^2)/(2*Inputs!$C$31^2))*EXP(-(((Inputs!$C$6)-Inputs!$C$30)^2)/(2*Inputs!$C$32^2))+-Inputs!$C$33*EXP(-(((((Model_Data!A213)-Inputs!$C$34)^2)+(((Inputs!$C$6)-Inputs!$C$35)^2))/(2*Inputs!$C$36^2)))+Inputs!$C$37*(0.55*SIN(2*PI()*(Model_Data!A213)/Inputs!$C$39)+0.35*COS(2*PI()*(Inputs!$C$6)/Inputs!$C$40)+0.2*SIN(2*PI()*((Model_Data!A213)+(Inputs!$C$6))/(0.5*(Inputs!$C$39+Inputs!$C$40))))+Inputs!$C$38*SIN(2*PI()*(Model_Data!A213)/Inputs!$C$39)*SIN(2*PI()*(Inputs!$C$6)/Inputs!$C$40)+-Inputs!$C$41*EXP(-(((Inputs!$C$6)-Inputs!$C$43)^2)/(2*Inputs!$C$44^2))*EXP(-(((Model_Data!A213)-Inputs!$C$42)^2)/(2*Inputs!$C$45^2))+Inputs!$C$48*(0.7*(0.45*SIN(2*PI()*(((Model_Data!A213)/Inputs!$C$49)+Inputs!$C$47*0.137))+0.35*COS(2*PI()*(((Inputs!$C$6)/Inputs!$C$50)+Inputs!$C$47*0.173))+0.2*SIN(2*PI()*(((Model_Data!A213)+(Inputs!$C$6))/(0.5*(Inputs!$C$49+Inputs!$C$50))+Inputs!$C$47*0.097)))+0.3*(2*((SIN(((Model_Data!A213)*12.9898+(Inputs!$C$6)*78.233+Inputs!$C$47*37.719))*43758.5453)-INT((SIN(((Model_Data!A213)*12.9898+(Inputs!$C$6)*78.233+Inputs!$C$47*37.719))*43758.5453)))-1))))/1000)^2)</f>
        <v>405.46885206274851</v>
      </c>
      <c r="AB213" s="9">
        <f>1000*(AA214-AA212)/(Z214-Z212)*Inputs!$C$11</f>
        <v>921.53842828315646</v>
      </c>
      <c r="AC213" s="9">
        <f>-2*AB213/Inputs!$C$13</f>
        <v>-368.61537131326259</v>
      </c>
      <c r="AD213" s="9">
        <f>-2*AB213/Inputs!$C$14</f>
        <v>-55.347653350339733</v>
      </c>
    </row>
    <row r="214" spans="1:30">
      <c r="A214" s="9">
        <f>Model_Data!A214</f>
        <v>46</v>
      </c>
      <c r="B214" s="9">
        <f>((SQRT((Model_Data!A214)^2+Inputs!$C$6^2+Inputs!$C$5^2)-Inputs!$C$5)*1000/Inputs!$C$12)</f>
        <v>1916.6856043164103</v>
      </c>
      <c r="C214" s="9">
        <f>Model_Data!F214</f>
        <v>1905.5794840138458</v>
      </c>
      <c r="D214" s="9">
        <f>(((SQRT((Model_Data!A214)^2+Inputs!$C$6^2+((Model_Data!B214)-((Inputs!$C$51*(115*EXP(-(((Inputs!$C$6)-25)^2)/(4.5^2))+70*EXP(-(((Inputs!$C$6)+38)^2)/(7^2))*(0.55+0.45*SIN(2*PI()*(Model_Data!A214)/45))+24*SIN(2*PI()*(Inputs!$C$6)/9+(Model_Data!A214)/18)*EXP(-(((Inputs!$C$6)+5)^2)/(22^2))+18*SIN(2*PI()*(Model_Data!A214)/70))+Inputs!$C$28*EXP(-(((Model_Data!A214)-Inputs!$C$29)^2)/(2*Inputs!$C$31^2))*EXP(-(((Inputs!$C$6)-Inputs!$C$30)^2)/(2*Inputs!$C$32^2))+-Inputs!$C$33*EXP(-(((((Model_Data!A214)-Inputs!$C$34)^2)+(((Inputs!$C$6)-Inputs!$C$35)^2))/(2*Inputs!$C$36^2)))+Inputs!$C$37*(0.55*SIN(2*PI()*(Model_Data!A214)/Inputs!$C$39)+0.35*COS(2*PI()*(Inputs!$C$6)/Inputs!$C$40)+0.2*SIN(2*PI()*((Model_Data!A214)+(Inputs!$C$6))/(0.5*(Inputs!$C$39+Inputs!$C$40))))+Inputs!$C$38*SIN(2*PI()*(Model_Data!A214)/Inputs!$C$39)*SIN(2*PI()*(Inputs!$C$6)/Inputs!$C$40)+-Inputs!$C$41*EXP(-(((Inputs!$C$6)-Inputs!$C$43)^2)/(2*Inputs!$C$44^2))*EXP(-(((Model_Data!A214)-Inputs!$C$42)^2)/(2*Inputs!$C$45^2))+Inputs!$C$48*(0.7*(0.45*SIN(2*PI()*(((Model_Data!A214)/Inputs!$C$49)+Inputs!$C$47*0.137))+0.35*COS(2*PI()*(((Inputs!$C$6)/Inputs!$C$50)+Inputs!$C$47*0.173))+0.2*SIN(2*PI()*(((Model_Data!A214)+(Inputs!$C$6))/(0.5*(Inputs!$C$49+Inputs!$C$50))+Inputs!$C$47*0.097)))+0.3*(2*((SIN(((Model_Data!A214)*12.9898+(Inputs!$C$6)*78.233+Inputs!$C$47*37.719))*43758.5453)-INT((SIN(((Model_Data!A214)*12.9898+(Inputs!$C$6)*78.233+Inputs!$C$47*37.719))*43758.5453)))-1))))/1000)^2))-(((Model_Data!B214)-((Inputs!$C$51*(115*EXP(-(((0)-25)^2)/(4.5^2))+70*EXP(-(((0)+38)^2)/(7^2))*(0.55+0.45*SIN(2*PI()*(Model_Data!A214)/45))+24*SIN(2*PI()*(0)/9+(Model_Data!A214)/18)*EXP(-(((0)+5)^2)/(22^2))+18*SIN(2*PI()*(Model_Data!A214)/70))+Inputs!$C$28*EXP(-(((Model_Data!A214)-Inputs!$C$29)^2)/(2*Inputs!$C$31^2))*EXP(-(((0)-Inputs!$C$30)^2)/(2*Inputs!$C$32^2))+-Inputs!$C$33*EXP(-(((((Model_Data!A214)-Inputs!$C$34)^2)+(((0)-Inputs!$C$35)^2))/(2*Inputs!$C$36^2)))+Inputs!$C$37*(0.55*SIN(2*PI()*(Model_Data!A214)/Inputs!$C$39)+0.35*COS(2*PI()*(0)/Inputs!$C$40)+0.2*SIN(2*PI()*((Model_Data!A214)+(0))/(0.5*(Inputs!$C$39+Inputs!$C$40))))+Inputs!$C$38*SIN(2*PI()*(Model_Data!A214)/Inputs!$C$39)*SIN(2*PI()*(0)/Inputs!$C$40)+-Inputs!$C$41*EXP(-(((0)-Inputs!$C$43)^2)/(2*Inputs!$C$44^2))*EXP(-(((Model_Data!A214)-Inputs!$C$42)^2)/(2*Inputs!$C$45^2))+Inputs!$C$48*(0.7*(0.45*SIN(2*PI()*(((Model_Data!A214)/Inputs!$C$49)+Inputs!$C$47*0.137))+0.35*COS(2*PI()*(((0)/Inputs!$C$50)+Inputs!$C$47*0.173))+0.2*SIN(2*PI()*(((Model_Data!A214)+(0))/(0.5*(Inputs!$C$49+Inputs!$C$50))+Inputs!$C$47*0.097)))+0.3*(2*((SIN(((Model_Data!A214)*12.9898+(0)*78.233+Inputs!$C$47*37.719))*43758.5453)-INT((SIN(((Model_Data!A214)*12.9898+(0)*78.233+Inputs!$C$47*37.719))*43758.5453)))-1))))/1000)))*1000/Inputs!$C$12)</f>
        <v>1823.5341816384444</v>
      </c>
      <c r="E214" s="9">
        <f>Model_Data!A214</f>
        <v>46</v>
      </c>
      <c r="F214" s="9">
        <f>(Inputs!$C$51*(115*EXP(-(((Inputs!$C$6)-25)^2)/(4.5^2))+70*EXP(-(((Inputs!$C$6)+38)^2)/(7^2))*(0.55+0.45*SIN(2*PI()*(Model_Data!A214)/45))+24*SIN(2*PI()*(Inputs!$C$6)/9+(Model_Data!A214)/18)*EXP(-(((Inputs!$C$6)+5)^2)/(22^2))+18*SIN(2*PI()*(Model_Data!A214)/70))+Inputs!$C$28*EXP(-(((Model_Data!A214)-Inputs!$C$29)^2)/(2*Inputs!$C$31^2))*EXP(-(((Inputs!$C$6)-Inputs!$C$30)^2)/(2*Inputs!$C$32^2))+-Inputs!$C$33*EXP(-(((((Model_Data!A214)-Inputs!$C$34)^2)+(((Inputs!$C$6)-Inputs!$C$35)^2))/(2*Inputs!$C$36^2)))+Inputs!$C$37*(0.55*SIN(2*PI()*(Model_Data!A214)/Inputs!$C$39)+0.35*COS(2*PI()*(Inputs!$C$6)/Inputs!$C$40)+0.2*SIN(2*PI()*((Model_Data!A214)+(Inputs!$C$6))/(0.5*(Inputs!$C$39+Inputs!$C$40))))+Inputs!$C$38*SIN(2*PI()*(Model_Data!A214)/Inputs!$C$39)*SIN(2*PI()*(Inputs!$C$6)/Inputs!$C$40)+-Inputs!$C$41*EXP(-(((Inputs!$C$6)-Inputs!$C$43)^2)/(2*Inputs!$C$44^2))*EXP(-(((Model_Data!A214)-Inputs!$C$42)^2)/(2*Inputs!$C$45^2))+Inputs!$C$48*(0.7*(0.45*SIN(2*PI()*(((Model_Data!A214)/Inputs!$C$49)+Inputs!$C$47*0.137))+0.35*COS(2*PI()*(((Inputs!$C$6)/Inputs!$C$50)+Inputs!$C$47*0.173))+0.2*SIN(2*PI()*(((Model_Data!A214)+(Inputs!$C$6))/(0.5*(Inputs!$C$49+Inputs!$C$50))+Inputs!$C$47*0.097)))+0.3*(2*((SIN(((Model_Data!A214)*12.9898+(Inputs!$C$6)*78.233+Inputs!$C$47*37.719))*43758.5453)-INT((SIN(((Model_Data!A214)*12.9898+(Inputs!$C$6)*78.233+Inputs!$C$47*37.719))*43758.5453)))-1)))</f>
        <v>147.22365110398141</v>
      </c>
      <c r="G214" s="9">
        <f>(Inputs!$C$51*(115*EXP(-(((0)-25)^2)/(4.5^2))+70*EXP(-(((0)+38)^2)/(7^2))*(0.55+0.45*SIN(2*PI()*(Model_Data!A214)/45))+24*SIN(2*PI()*(0)/9+(Model_Data!A214)/18)*EXP(-(((0)+5)^2)/(22^2))+18*SIN(2*PI()*(Model_Data!A214)/70))+Inputs!$C$28*EXP(-(((Model_Data!A214)-Inputs!$C$29)^2)/(2*Inputs!$C$31^2))*EXP(-(((0)-Inputs!$C$30)^2)/(2*Inputs!$C$32^2))+-Inputs!$C$33*EXP(-(((((Model_Data!A214)-Inputs!$C$34)^2)+(((0)-Inputs!$C$35)^2))/(2*Inputs!$C$36^2)))+Inputs!$C$37*(0.55*SIN(2*PI()*(Model_Data!A214)/Inputs!$C$39)+0.35*COS(2*PI()*(0)/Inputs!$C$40)+0.2*SIN(2*PI()*((Model_Data!A214)+(0))/(0.5*(Inputs!$C$39+Inputs!$C$40))))+Inputs!$C$38*SIN(2*PI()*(Model_Data!A214)/Inputs!$C$39)*SIN(2*PI()*(0)/Inputs!$C$40)+-Inputs!$C$41*EXP(-(((0)-Inputs!$C$43)^2)/(2*Inputs!$C$44^2))*EXP(-(((Model_Data!A214)-Inputs!$C$42)^2)/(2*Inputs!$C$45^2))+Inputs!$C$48*(0.7*(0.45*SIN(2*PI()*(((Model_Data!A214)/Inputs!$C$49)+Inputs!$C$47*0.137))+0.35*COS(2*PI()*(((0)/Inputs!$C$50)+Inputs!$C$47*0.173))+0.2*SIN(2*PI()*(((Model_Data!A214)+(0))/(0.5*(Inputs!$C$49+Inputs!$C$50))+Inputs!$C$47*0.097)))+0.3*(2*((SIN(((Model_Data!A214)*12.9898+(0)*78.233+Inputs!$C$47*37.719))*43758.5453)-INT((SIN(((Model_Data!A214)*12.9898+(0)*78.233+Inputs!$C$47*37.719))*43758.5453)))-1)))</f>
        <v>-4.8192565136201182E-2</v>
      </c>
      <c r="H214" s="10"/>
      <c r="I214" s="9">
        <f>Model_Data!A214</f>
        <v>46</v>
      </c>
      <c r="J214" s="9">
        <f>(Inputs!$C$51*(115*EXP(-(((Inputs!$C$6)-25)^2)/(4.5^2))+70*EXP(-(((Inputs!$C$6)+38)^2)/(7^2))*(0.55+0.45*SIN(2*PI()*(Model_Data!A214)/45))+24*SIN(2*PI()*(Inputs!$C$6)/9+(Model_Data!A214)/18)*EXP(-(((Inputs!$C$6)+5)^2)/(22^2))+18*SIN(2*PI()*(Model_Data!A214)/70))+Inputs!$C$28*EXP(-(((Model_Data!A214)-Inputs!$C$29)^2)/(2*Inputs!$C$31^2))*EXP(-(((Inputs!$C$6)-Inputs!$C$30)^2)/(2*Inputs!$C$32^2))+-Inputs!$C$33*EXP(-(((((Model_Data!A214)-Inputs!$C$34)^2)+(((Inputs!$C$6)-Inputs!$C$35)^2))/(2*Inputs!$C$36^2)))+Inputs!$C$37*(0.55*SIN(2*PI()*(Model_Data!A214)/Inputs!$C$39)+0.35*COS(2*PI()*(Inputs!$C$6)/Inputs!$C$40)+0.2*SIN(2*PI()*((Model_Data!A214)+(Inputs!$C$6))/(0.5*(Inputs!$C$39+Inputs!$C$40))))+Inputs!$C$38*SIN(2*PI()*(Model_Data!A214)/Inputs!$C$39)*SIN(2*PI()*(Inputs!$C$6)/Inputs!$C$40)+-Inputs!$C$41*EXP(-(((Inputs!$C$6)-Inputs!$C$43)^2)/(2*Inputs!$C$44^2))*EXP(-(((Model_Data!A214)-Inputs!$C$42)^2)/(2*Inputs!$C$45^2))+Inputs!$C$48*(0.7*(0.45*SIN(2*PI()*(((Model_Data!A214)/Inputs!$C$49)+Inputs!$C$47*0.137))+0.35*COS(2*PI()*(((Inputs!$C$6)/Inputs!$C$50)+Inputs!$C$47*0.173))+0.2*SIN(2*PI()*(((Model_Data!A214)+(Inputs!$C$6))/(0.5*(Inputs!$C$49+Inputs!$C$50))+Inputs!$C$47*0.097)))+0.3*(2*((SIN(((Model_Data!A214)*12.9898+(Inputs!$C$6)*78.233+Inputs!$C$47*37.719))*43758.5453)-INT((SIN(((Model_Data!A214)*12.9898+(Inputs!$C$6)*78.233+Inputs!$C$47*37.719))*43758.5453)))-1)))</f>
        <v>147.22365110398141</v>
      </c>
      <c r="K214" s="9">
        <f>-((((SQRT((Model_Data!A214)^2+Inputs!$C$6^2+((Model_Data!B214)-((Inputs!$C$51*(115*EXP(-(((Inputs!$C$6)-25)^2)/(4.5^2))+70*EXP(-(((Inputs!$C$6)+38)^2)/(7^2))*(0.55+0.45*SIN(2*PI()*(Model_Data!A214)/45))+24*SIN(2*PI()*(Inputs!$C$6)/9+(Model_Data!A214)/18)*EXP(-(((Inputs!$C$6)+5)^2)/(22^2))+18*SIN(2*PI()*(Model_Data!A214)/70))+Inputs!$C$28*EXP(-(((Model_Data!A214)-Inputs!$C$29)^2)/(2*Inputs!$C$31^2))*EXP(-(((Inputs!$C$6)-Inputs!$C$30)^2)/(2*Inputs!$C$32^2))+-Inputs!$C$33*EXP(-(((((Model_Data!A214)-Inputs!$C$34)^2)+(((Inputs!$C$6)-Inputs!$C$35)^2))/(2*Inputs!$C$36^2)))+Inputs!$C$37*(0.55*SIN(2*PI()*(Model_Data!A214)/Inputs!$C$39)+0.35*COS(2*PI()*(Inputs!$C$6)/Inputs!$C$40)+0.2*SIN(2*PI()*((Model_Data!A214)+(Inputs!$C$6))/(0.5*(Inputs!$C$39+Inputs!$C$40))))+Inputs!$C$38*SIN(2*PI()*(Model_Data!A214)/Inputs!$C$39)*SIN(2*PI()*(Inputs!$C$6)/Inputs!$C$40)+-Inputs!$C$41*EXP(-(((Inputs!$C$6)-Inputs!$C$43)^2)/(2*Inputs!$C$44^2))*EXP(-(((Model_Data!A214)-Inputs!$C$42)^2)/(2*Inputs!$C$45^2))+Inputs!$C$48*(0.7*(0.45*SIN(2*PI()*(((Model_Data!A214)/Inputs!$C$49)+Inputs!$C$47*0.137))+0.35*COS(2*PI()*(((Inputs!$C$6)/Inputs!$C$50)+Inputs!$C$47*0.173))+0.2*SIN(2*PI()*(((Model_Data!A214)+(Inputs!$C$6))/(0.5*(Inputs!$C$49+Inputs!$C$50))+Inputs!$C$47*0.097)))+0.3*(2*((SIN(((Model_Data!A214)*12.9898+(Inputs!$C$6)*78.233+Inputs!$C$47*37.719))*43758.5453)-INT((SIN(((Model_Data!A214)*12.9898+(Inputs!$C$6)*78.233+Inputs!$C$47*37.719))*43758.5453)))-1))))/1000)^2))-(((Model_Data!B214)-((Inputs!$C$51*(115*EXP(-(((0)-25)^2)/(4.5^2))+70*EXP(-(((0)+38)^2)/(7^2))*(0.55+0.45*SIN(2*PI()*(Model_Data!A214)/45))+24*SIN(2*PI()*(0)/9+(Model_Data!A214)/18)*EXP(-(((0)+5)^2)/(22^2))+18*SIN(2*PI()*(Model_Data!A214)/70))+Inputs!$C$28*EXP(-(((Model_Data!A214)-Inputs!$C$29)^2)/(2*Inputs!$C$31^2))*EXP(-(((0)-Inputs!$C$30)^2)/(2*Inputs!$C$32^2))+-Inputs!$C$33*EXP(-(((((Model_Data!A214)-Inputs!$C$34)^2)+(((0)-Inputs!$C$35)^2))/(2*Inputs!$C$36^2)))+Inputs!$C$37*(0.55*SIN(2*PI()*(Model_Data!A214)/Inputs!$C$39)+0.35*COS(2*PI()*(0)/Inputs!$C$40)+0.2*SIN(2*PI()*((Model_Data!A214)+(0))/(0.5*(Inputs!$C$39+Inputs!$C$40))))+Inputs!$C$38*SIN(2*PI()*(Model_Data!A214)/Inputs!$C$39)*SIN(2*PI()*(0)/Inputs!$C$40)+-Inputs!$C$41*EXP(-(((0)-Inputs!$C$43)^2)/(2*Inputs!$C$44^2))*EXP(-(((Model_Data!A214)-Inputs!$C$42)^2)/(2*Inputs!$C$45^2))+Inputs!$C$48*(0.7*(0.45*SIN(2*PI()*(((Model_Data!A214)/Inputs!$C$49)+Inputs!$C$47*0.137))+0.35*COS(2*PI()*(((0)/Inputs!$C$50)+Inputs!$C$47*0.173))+0.2*SIN(2*PI()*(((Model_Data!A214)+(0))/(0.5*(Inputs!$C$49+Inputs!$C$50))+Inputs!$C$47*0.097)))+0.3*(2*((SIN(((Model_Data!A214)*12.9898+(0)*78.233+Inputs!$C$47*37.719))*43758.5453)-INT((SIN(((Model_Data!A214)*12.9898+(0)*78.233+Inputs!$C$47*37.719))*43758.5453)))-1))))/1000)))*1000/Inputs!$C$12)-Model_Data!F214)</f>
        <v>82.045302375401434</v>
      </c>
      <c r="L214" s="10"/>
      <c r="M214" s="9">
        <f>Model_Data!A214</f>
        <v>46</v>
      </c>
      <c r="N214" s="9">
        <f>Model_Data!P214</f>
        <v>-343.58385695384493</v>
      </c>
      <c r="O214" s="9">
        <f t="shared" si="6"/>
        <v>-412.69360469650564</v>
      </c>
      <c r="P214" s="9">
        <f>Model_Data!Q214</f>
        <v>-51.589167710787528</v>
      </c>
      <c r="Q214" s="9">
        <f t="shared" si="7"/>
        <v>-61.966006711187042</v>
      </c>
      <c r="R214" s="10"/>
      <c r="S214" s="9">
        <f>Model_Data!A214</f>
        <v>46</v>
      </c>
      <c r="T214" s="9">
        <f>Model_Data!B214-Inputs!$C$5</f>
        <v>2.3511111111110949</v>
      </c>
      <c r="U214" s="10"/>
      <c r="V214" s="9">
        <f>Model_Data!A214</f>
        <v>46</v>
      </c>
      <c r="W214" s="9">
        <f>((SQRT((Model_Data!A214)^2+Inputs!$C$6^2+Inputs!$C$5^2)-Inputs!$C$5)*1000/Inputs!$C$12)</f>
        <v>1916.6856043164103</v>
      </c>
      <c r="X214" s="9">
        <f>Model_Data!F214</f>
        <v>1905.5794840138458</v>
      </c>
      <c r="Y214" s="10"/>
      <c r="Z214" s="9">
        <f>Model_Data!A214</f>
        <v>46</v>
      </c>
      <c r="AA214" s="9">
        <f>SQRT((Model_Data!A214)^2+Inputs!$C$6^2+((Model_Data!B214)-((Inputs!$C$51*(115*EXP(-(((Inputs!$C$6)-25)^2)/(4.5^2))+70*EXP(-(((Inputs!$C$6)+38)^2)/(7^2))*(0.55+0.45*SIN(2*PI()*(Model_Data!A214)/45))+24*SIN(2*PI()*(Inputs!$C$6)/9+(Model_Data!A214)/18)*EXP(-(((Inputs!$C$6)+5)^2)/(22^2))+18*SIN(2*PI()*(Model_Data!A214)/70))+Inputs!$C$28*EXP(-(((Model_Data!A214)-Inputs!$C$29)^2)/(2*Inputs!$C$31^2))*EXP(-(((Inputs!$C$6)-Inputs!$C$30)^2)/(2*Inputs!$C$32^2))+-Inputs!$C$33*EXP(-(((((Model_Data!A214)-Inputs!$C$34)^2)+(((Inputs!$C$6)-Inputs!$C$35)^2))/(2*Inputs!$C$36^2)))+Inputs!$C$37*(0.55*SIN(2*PI()*(Model_Data!A214)/Inputs!$C$39)+0.35*COS(2*PI()*(Inputs!$C$6)/Inputs!$C$40)+0.2*SIN(2*PI()*((Model_Data!A214)+(Inputs!$C$6))/(0.5*(Inputs!$C$39+Inputs!$C$40))))+Inputs!$C$38*SIN(2*PI()*(Model_Data!A214)/Inputs!$C$39)*SIN(2*PI()*(Inputs!$C$6)/Inputs!$C$40)+-Inputs!$C$41*EXP(-(((Inputs!$C$6)-Inputs!$C$43)^2)/(2*Inputs!$C$44^2))*EXP(-(((Model_Data!A214)-Inputs!$C$42)^2)/(2*Inputs!$C$45^2))+Inputs!$C$48*(0.7*(0.45*SIN(2*PI()*(((Model_Data!A214)/Inputs!$C$49)+Inputs!$C$47*0.137))+0.35*COS(2*PI()*(((Inputs!$C$6)/Inputs!$C$50)+Inputs!$C$47*0.173))+0.2*SIN(2*PI()*(((Model_Data!A214)+(Inputs!$C$6))/(0.5*(Inputs!$C$49+Inputs!$C$50))+Inputs!$C$47*0.097)))+0.3*(2*((SIN(((Model_Data!A214)*12.9898+(Inputs!$C$6)*78.233+Inputs!$C$47*37.719))*43758.5453)-INT((SIN(((Model_Data!A214)*12.9898+(Inputs!$C$6)*78.233+Inputs!$C$47*37.719))*43758.5453)))-1))))/1000)^2)</f>
        <v>405.59705014699267</v>
      </c>
      <c r="AB214" s="9">
        <f>1000*(AA215-AA213)/(Z215-Z213)*Inputs!$C$11</f>
        <v>1031.7340117412641</v>
      </c>
      <c r="AC214" s="9">
        <f>-2*AB214/Inputs!$C$13</f>
        <v>-412.69360469650564</v>
      </c>
      <c r="AD214" s="9">
        <f>-2*AB214/Inputs!$C$14</f>
        <v>-61.966006711187042</v>
      </c>
    </row>
    <row r="215" spans="1:30">
      <c r="A215" s="9">
        <f>Model_Data!A215</f>
        <v>46.5</v>
      </c>
      <c r="B215" s="9">
        <f>((SQRT((Model_Data!A215)^2+Inputs!$C$6^2+Inputs!$C$5^2)-Inputs!$C$5)*1000/Inputs!$C$12)</f>
        <v>1948.887570995307</v>
      </c>
      <c r="C215" s="9">
        <f>Model_Data!F215</f>
        <v>1937.3511102927434</v>
      </c>
      <c r="D215" s="9">
        <f>(((SQRT((Model_Data!A215)^2+Inputs!$C$6^2+((Model_Data!B215)-((Inputs!$C$51*(115*EXP(-(((Inputs!$C$6)-25)^2)/(4.5^2))+70*EXP(-(((Inputs!$C$6)+38)^2)/(7^2))*(0.55+0.45*SIN(2*PI()*(Model_Data!A215)/45))+24*SIN(2*PI()*(Inputs!$C$6)/9+(Model_Data!A215)/18)*EXP(-(((Inputs!$C$6)+5)^2)/(22^2))+18*SIN(2*PI()*(Model_Data!A215)/70))+Inputs!$C$28*EXP(-(((Model_Data!A215)-Inputs!$C$29)^2)/(2*Inputs!$C$31^2))*EXP(-(((Inputs!$C$6)-Inputs!$C$30)^2)/(2*Inputs!$C$32^2))+-Inputs!$C$33*EXP(-(((((Model_Data!A215)-Inputs!$C$34)^2)+(((Inputs!$C$6)-Inputs!$C$35)^2))/(2*Inputs!$C$36^2)))+Inputs!$C$37*(0.55*SIN(2*PI()*(Model_Data!A215)/Inputs!$C$39)+0.35*COS(2*PI()*(Inputs!$C$6)/Inputs!$C$40)+0.2*SIN(2*PI()*((Model_Data!A215)+(Inputs!$C$6))/(0.5*(Inputs!$C$39+Inputs!$C$40))))+Inputs!$C$38*SIN(2*PI()*(Model_Data!A215)/Inputs!$C$39)*SIN(2*PI()*(Inputs!$C$6)/Inputs!$C$40)+-Inputs!$C$41*EXP(-(((Inputs!$C$6)-Inputs!$C$43)^2)/(2*Inputs!$C$44^2))*EXP(-(((Model_Data!A215)-Inputs!$C$42)^2)/(2*Inputs!$C$45^2))+Inputs!$C$48*(0.7*(0.45*SIN(2*PI()*(((Model_Data!A215)/Inputs!$C$49)+Inputs!$C$47*0.137))+0.35*COS(2*PI()*(((Inputs!$C$6)/Inputs!$C$50)+Inputs!$C$47*0.173))+0.2*SIN(2*PI()*(((Model_Data!A215)+(Inputs!$C$6))/(0.5*(Inputs!$C$49+Inputs!$C$50))+Inputs!$C$47*0.097)))+0.3*(2*((SIN(((Model_Data!A215)*12.9898+(Inputs!$C$6)*78.233+Inputs!$C$47*37.719))*43758.5453)-INT((SIN(((Model_Data!A215)*12.9898+(Inputs!$C$6)*78.233+Inputs!$C$47*37.719))*43758.5453)))-1))))/1000)^2))-(((Model_Data!B215)-((Inputs!$C$51*(115*EXP(-(((0)-25)^2)/(4.5^2))+70*EXP(-(((0)+38)^2)/(7^2))*(0.55+0.45*SIN(2*PI()*(Model_Data!A215)/45))+24*SIN(2*PI()*(0)/9+(Model_Data!A215)/18)*EXP(-(((0)+5)^2)/(22^2))+18*SIN(2*PI()*(Model_Data!A215)/70))+Inputs!$C$28*EXP(-(((Model_Data!A215)-Inputs!$C$29)^2)/(2*Inputs!$C$31^2))*EXP(-(((0)-Inputs!$C$30)^2)/(2*Inputs!$C$32^2))+-Inputs!$C$33*EXP(-(((((Model_Data!A215)-Inputs!$C$34)^2)+(((0)-Inputs!$C$35)^2))/(2*Inputs!$C$36^2)))+Inputs!$C$37*(0.55*SIN(2*PI()*(Model_Data!A215)/Inputs!$C$39)+0.35*COS(2*PI()*(0)/Inputs!$C$40)+0.2*SIN(2*PI()*((Model_Data!A215)+(0))/(0.5*(Inputs!$C$39+Inputs!$C$40))))+Inputs!$C$38*SIN(2*PI()*(Model_Data!A215)/Inputs!$C$39)*SIN(2*PI()*(0)/Inputs!$C$40)+-Inputs!$C$41*EXP(-(((0)-Inputs!$C$43)^2)/(2*Inputs!$C$44^2))*EXP(-(((Model_Data!A215)-Inputs!$C$42)^2)/(2*Inputs!$C$45^2))+Inputs!$C$48*(0.7*(0.45*SIN(2*PI()*(((Model_Data!A215)/Inputs!$C$49)+Inputs!$C$47*0.137))+0.35*COS(2*PI()*(((0)/Inputs!$C$50)+Inputs!$C$47*0.173))+0.2*SIN(2*PI()*(((Model_Data!A215)+(0))/(0.5*(Inputs!$C$49+Inputs!$C$50))+Inputs!$C$47*0.097)))+0.3*(2*((SIN(((Model_Data!A215)*12.9898+(0)*78.233+Inputs!$C$47*37.719))*43758.5453)-INT((SIN(((Model_Data!A215)*12.9898+(0)*78.233+Inputs!$C$47*37.719))*43758.5453)))-1))))/1000)))*1000/Inputs!$C$12)</f>
        <v>1860.6526962238402</v>
      </c>
      <c r="E215" s="9">
        <f>Model_Data!A215</f>
        <v>46.5</v>
      </c>
      <c r="F215" s="9">
        <f>(Inputs!$C$51*(115*EXP(-(((Inputs!$C$6)-25)^2)/(4.5^2))+70*EXP(-(((Inputs!$C$6)+38)^2)/(7^2))*(0.55+0.45*SIN(2*PI()*(Model_Data!A215)/45))+24*SIN(2*PI()*(Inputs!$C$6)/9+(Model_Data!A215)/18)*EXP(-(((Inputs!$C$6)+5)^2)/(22^2))+18*SIN(2*PI()*(Model_Data!A215)/70))+Inputs!$C$28*EXP(-(((Model_Data!A215)-Inputs!$C$29)^2)/(2*Inputs!$C$31^2))*EXP(-(((Inputs!$C$6)-Inputs!$C$30)^2)/(2*Inputs!$C$32^2))+-Inputs!$C$33*EXP(-(((((Model_Data!A215)-Inputs!$C$34)^2)+(((Inputs!$C$6)-Inputs!$C$35)^2))/(2*Inputs!$C$36^2)))+Inputs!$C$37*(0.55*SIN(2*PI()*(Model_Data!A215)/Inputs!$C$39)+0.35*COS(2*PI()*(Inputs!$C$6)/Inputs!$C$40)+0.2*SIN(2*PI()*((Model_Data!A215)+(Inputs!$C$6))/(0.5*(Inputs!$C$39+Inputs!$C$40))))+Inputs!$C$38*SIN(2*PI()*(Model_Data!A215)/Inputs!$C$39)*SIN(2*PI()*(Inputs!$C$6)/Inputs!$C$40)+-Inputs!$C$41*EXP(-(((Inputs!$C$6)-Inputs!$C$43)^2)/(2*Inputs!$C$44^2))*EXP(-(((Model_Data!A215)-Inputs!$C$42)^2)/(2*Inputs!$C$45^2))+Inputs!$C$48*(0.7*(0.45*SIN(2*PI()*(((Model_Data!A215)/Inputs!$C$49)+Inputs!$C$47*0.137))+0.35*COS(2*PI()*(((Inputs!$C$6)/Inputs!$C$50)+Inputs!$C$47*0.173))+0.2*SIN(2*PI()*(((Model_Data!A215)+(Inputs!$C$6))/(0.5*(Inputs!$C$49+Inputs!$C$50))+Inputs!$C$47*0.097)))+0.3*(2*((SIN(((Model_Data!A215)*12.9898+(Inputs!$C$6)*78.233+Inputs!$C$47*37.719))*43758.5453)-INT((SIN(((Model_Data!A215)*12.9898+(Inputs!$C$6)*78.233+Inputs!$C$47*37.719))*43758.5453)))-1)))</f>
        <v>125.26409736726505</v>
      </c>
      <c r="G215" s="9">
        <f>(Inputs!$C$51*(115*EXP(-(((0)-25)^2)/(4.5^2))+70*EXP(-(((0)+38)^2)/(7^2))*(0.55+0.45*SIN(2*PI()*(Model_Data!A215)/45))+24*SIN(2*PI()*(0)/9+(Model_Data!A215)/18)*EXP(-(((0)+5)^2)/(22^2))+18*SIN(2*PI()*(Model_Data!A215)/70))+Inputs!$C$28*EXP(-(((Model_Data!A215)-Inputs!$C$29)^2)/(2*Inputs!$C$31^2))*EXP(-(((0)-Inputs!$C$30)^2)/(2*Inputs!$C$32^2))+-Inputs!$C$33*EXP(-(((((Model_Data!A215)-Inputs!$C$34)^2)+(((0)-Inputs!$C$35)^2))/(2*Inputs!$C$36^2)))+Inputs!$C$37*(0.55*SIN(2*PI()*(Model_Data!A215)/Inputs!$C$39)+0.35*COS(2*PI()*(0)/Inputs!$C$40)+0.2*SIN(2*PI()*((Model_Data!A215)+(0))/(0.5*(Inputs!$C$39+Inputs!$C$40))))+Inputs!$C$38*SIN(2*PI()*(Model_Data!A215)/Inputs!$C$39)*SIN(2*PI()*(0)/Inputs!$C$40)+-Inputs!$C$41*EXP(-(((0)-Inputs!$C$43)^2)/(2*Inputs!$C$44^2))*EXP(-(((Model_Data!A215)-Inputs!$C$42)^2)/(2*Inputs!$C$45^2))+Inputs!$C$48*(0.7*(0.45*SIN(2*PI()*(((Model_Data!A215)/Inputs!$C$49)+Inputs!$C$47*0.137))+0.35*COS(2*PI()*(((0)/Inputs!$C$50)+Inputs!$C$47*0.173))+0.2*SIN(2*PI()*(((Model_Data!A215)+(0))/(0.5*(Inputs!$C$49+Inputs!$C$50))+Inputs!$C$47*0.097)))+0.3*(2*((SIN(((Model_Data!A215)*12.9898+(0)*78.233+Inputs!$C$47*37.719))*43758.5453)-INT((SIN(((Model_Data!A215)*12.9898+(0)*78.233+Inputs!$C$47*37.719))*43758.5453)))-1)))</f>
        <v>-12.323766405407561</v>
      </c>
      <c r="H215" s="10"/>
      <c r="I215" s="9">
        <f>Model_Data!A215</f>
        <v>46.5</v>
      </c>
      <c r="J215" s="9">
        <f>(Inputs!$C$51*(115*EXP(-(((Inputs!$C$6)-25)^2)/(4.5^2))+70*EXP(-(((Inputs!$C$6)+38)^2)/(7^2))*(0.55+0.45*SIN(2*PI()*(Model_Data!A215)/45))+24*SIN(2*PI()*(Inputs!$C$6)/9+(Model_Data!A215)/18)*EXP(-(((Inputs!$C$6)+5)^2)/(22^2))+18*SIN(2*PI()*(Model_Data!A215)/70))+Inputs!$C$28*EXP(-(((Model_Data!A215)-Inputs!$C$29)^2)/(2*Inputs!$C$31^2))*EXP(-(((Inputs!$C$6)-Inputs!$C$30)^2)/(2*Inputs!$C$32^2))+-Inputs!$C$33*EXP(-(((((Model_Data!A215)-Inputs!$C$34)^2)+(((Inputs!$C$6)-Inputs!$C$35)^2))/(2*Inputs!$C$36^2)))+Inputs!$C$37*(0.55*SIN(2*PI()*(Model_Data!A215)/Inputs!$C$39)+0.35*COS(2*PI()*(Inputs!$C$6)/Inputs!$C$40)+0.2*SIN(2*PI()*((Model_Data!A215)+(Inputs!$C$6))/(0.5*(Inputs!$C$39+Inputs!$C$40))))+Inputs!$C$38*SIN(2*PI()*(Model_Data!A215)/Inputs!$C$39)*SIN(2*PI()*(Inputs!$C$6)/Inputs!$C$40)+-Inputs!$C$41*EXP(-(((Inputs!$C$6)-Inputs!$C$43)^2)/(2*Inputs!$C$44^2))*EXP(-(((Model_Data!A215)-Inputs!$C$42)^2)/(2*Inputs!$C$45^2))+Inputs!$C$48*(0.7*(0.45*SIN(2*PI()*(((Model_Data!A215)/Inputs!$C$49)+Inputs!$C$47*0.137))+0.35*COS(2*PI()*(((Inputs!$C$6)/Inputs!$C$50)+Inputs!$C$47*0.173))+0.2*SIN(2*PI()*(((Model_Data!A215)+(Inputs!$C$6))/(0.5*(Inputs!$C$49+Inputs!$C$50))+Inputs!$C$47*0.097)))+0.3*(2*((SIN(((Model_Data!A215)*12.9898+(Inputs!$C$6)*78.233+Inputs!$C$47*37.719))*43758.5453)-INT((SIN(((Model_Data!A215)*12.9898+(Inputs!$C$6)*78.233+Inputs!$C$47*37.719))*43758.5453)))-1)))</f>
        <v>125.26409736726505</v>
      </c>
      <c r="K215" s="9">
        <f>-((((SQRT((Model_Data!A215)^2+Inputs!$C$6^2+((Model_Data!B215)-((Inputs!$C$51*(115*EXP(-(((Inputs!$C$6)-25)^2)/(4.5^2))+70*EXP(-(((Inputs!$C$6)+38)^2)/(7^2))*(0.55+0.45*SIN(2*PI()*(Model_Data!A215)/45))+24*SIN(2*PI()*(Inputs!$C$6)/9+(Model_Data!A215)/18)*EXP(-(((Inputs!$C$6)+5)^2)/(22^2))+18*SIN(2*PI()*(Model_Data!A215)/70))+Inputs!$C$28*EXP(-(((Model_Data!A215)-Inputs!$C$29)^2)/(2*Inputs!$C$31^2))*EXP(-(((Inputs!$C$6)-Inputs!$C$30)^2)/(2*Inputs!$C$32^2))+-Inputs!$C$33*EXP(-(((((Model_Data!A215)-Inputs!$C$34)^2)+(((Inputs!$C$6)-Inputs!$C$35)^2))/(2*Inputs!$C$36^2)))+Inputs!$C$37*(0.55*SIN(2*PI()*(Model_Data!A215)/Inputs!$C$39)+0.35*COS(2*PI()*(Inputs!$C$6)/Inputs!$C$40)+0.2*SIN(2*PI()*((Model_Data!A215)+(Inputs!$C$6))/(0.5*(Inputs!$C$39+Inputs!$C$40))))+Inputs!$C$38*SIN(2*PI()*(Model_Data!A215)/Inputs!$C$39)*SIN(2*PI()*(Inputs!$C$6)/Inputs!$C$40)+-Inputs!$C$41*EXP(-(((Inputs!$C$6)-Inputs!$C$43)^2)/(2*Inputs!$C$44^2))*EXP(-(((Model_Data!A215)-Inputs!$C$42)^2)/(2*Inputs!$C$45^2))+Inputs!$C$48*(0.7*(0.45*SIN(2*PI()*(((Model_Data!A215)/Inputs!$C$49)+Inputs!$C$47*0.137))+0.35*COS(2*PI()*(((Inputs!$C$6)/Inputs!$C$50)+Inputs!$C$47*0.173))+0.2*SIN(2*PI()*(((Model_Data!A215)+(Inputs!$C$6))/(0.5*(Inputs!$C$49+Inputs!$C$50))+Inputs!$C$47*0.097)))+0.3*(2*((SIN(((Model_Data!A215)*12.9898+(Inputs!$C$6)*78.233+Inputs!$C$47*37.719))*43758.5453)-INT((SIN(((Model_Data!A215)*12.9898+(Inputs!$C$6)*78.233+Inputs!$C$47*37.719))*43758.5453)))-1))))/1000)^2))-(((Model_Data!B215)-((Inputs!$C$51*(115*EXP(-(((0)-25)^2)/(4.5^2))+70*EXP(-(((0)+38)^2)/(7^2))*(0.55+0.45*SIN(2*PI()*(Model_Data!A215)/45))+24*SIN(2*PI()*(0)/9+(Model_Data!A215)/18)*EXP(-(((0)+5)^2)/(22^2))+18*SIN(2*PI()*(Model_Data!A215)/70))+Inputs!$C$28*EXP(-(((Model_Data!A215)-Inputs!$C$29)^2)/(2*Inputs!$C$31^2))*EXP(-(((0)-Inputs!$C$30)^2)/(2*Inputs!$C$32^2))+-Inputs!$C$33*EXP(-(((((Model_Data!A215)-Inputs!$C$34)^2)+(((0)-Inputs!$C$35)^2))/(2*Inputs!$C$36^2)))+Inputs!$C$37*(0.55*SIN(2*PI()*(Model_Data!A215)/Inputs!$C$39)+0.35*COS(2*PI()*(0)/Inputs!$C$40)+0.2*SIN(2*PI()*((Model_Data!A215)+(0))/(0.5*(Inputs!$C$39+Inputs!$C$40))))+Inputs!$C$38*SIN(2*PI()*(Model_Data!A215)/Inputs!$C$39)*SIN(2*PI()*(0)/Inputs!$C$40)+-Inputs!$C$41*EXP(-(((0)-Inputs!$C$43)^2)/(2*Inputs!$C$44^2))*EXP(-(((Model_Data!A215)-Inputs!$C$42)^2)/(2*Inputs!$C$45^2))+Inputs!$C$48*(0.7*(0.45*SIN(2*PI()*(((Model_Data!A215)/Inputs!$C$49)+Inputs!$C$47*0.137))+0.35*COS(2*PI()*(((0)/Inputs!$C$50)+Inputs!$C$47*0.173))+0.2*SIN(2*PI()*(((Model_Data!A215)+(0))/(0.5*(Inputs!$C$49+Inputs!$C$50))+Inputs!$C$47*0.097)))+0.3*(2*((SIN(((Model_Data!A215)*12.9898+(0)*78.233+Inputs!$C$47*37.719))*43758.5453)-INT((SIN(((Model_Data!A215)*12.9898+(0)*78.233+Inputs!$C$47*37.719))*43758.5453)))-1))))/1000)))*1000/Inputs!$C$12)-Model_Data!F215)</f>
        <v>76.698414068903276</v>
      </c>
      <c r="L215" s="10"/>
      <c r="M215" s="9">
        <f>Model_Data!A215</f>
        <v>46.5</v>
      </c>
      <c r="N215" s="9">
        <f>Model_Data!P215</f>
        <v>-347.24702386736629</v>
      </c>
      <c r="O215" s="9">
        <f t="shared" si="6"/>
        <v>-391.96050371810998</v>
      </c>
      <c r="P215" s="9">
        <f>Model_Data!Q215</f>
        <v>-52.139192772877827</v>
      </c>
      <c r="Q215" s="9">
        <f t="shared" si="7"/>
        <v>-58.852928486202707</v>
      </c>
      <c r="R215" s="10"/>
      <c r="S215" s="9">
        <f>Model_Data!A215</f>
        <v>46.5</v>
      </c>
      <c r="T215" s="9">
        <f>Model_Data!B215-Inputs!$C$5</f>
        <v>2.402499999999975</v>
      </c>
      <c r="U215" s="10"/>
      <c r="V215" s="9">
        <f>Model_Data!A215</f>
        <v>46.5</v>
      </c>
      <c r="W215" s="9">
        <f>((SQRT((Model_Data!A215)^2+Inputs!$C$6^2+Inputs!$C$5^2)-Inputs!$C$5)*1000/Inputs!$C$12)</f>
        <v>1948.887570995307</v>
      </c>
      <c r="X215" s="9">
        <f>Model_Data!F215</f>
        <v>1937.3511102927434</v>
      </c>
      <c r="Y215" s="10"/>
      <c r="Z215" s="9">
        <f>Model_Data!A215</f>
        <v>46.5</v>
      </c>
      <c r="AA215" s="9">
        <f>SQRT((Model_Data!A215)^2+Inputs!$C$6^2+((Model_Data!B215)-((Inputs!$C$51*(115*EXP(-(((Inputs!$C$6)-25)^2)/(4.5^2))+70*EXP(-(((Inputs!$C$6)+38)^2)/(7^2))*(0.55+0.45*SIN(2*PI()*(Model_Data!A215)/45))+24*SIN(2*PI()*(Inputs!$C$6)/9+(Model_Data!A215)/18)*EXP(-(((Inputs!$C$6)+5)^2)/(22^2))+18*SIN(2*PI()*(Model_Data!A215)/70))+Inputs!$C$28*EXP(-(((Model_Data!A215)-Inputs!$C$29)^2)/(2*Inputs!$C$31^2))*EXP(-(((Inputs!$C$6)-Inputs!$C$30)^2)/(2*Inputs!$C$32^2))+-Inputs!$C$33*EXP(-(((((Model_Data!A215)-Inputs!$C$34)^2)+(((Inputs!$C$6)-Inputs!$C$35)^2))/(2*Inputs!$C$36^2)))+Inputs!$C$37*(0.55*SIN(2*PI()*(Model_Data!A215)/Inputs!$C$39)+0.35*COS(2*PI()*(Inputs!$C$6)/Inputs!$C$40)+0.2*SIN(2*PI()*((Model_Data!A215)+(Inputs!$C$6))/(0.5*(Inputs!$C$39+Inputs!$C$40))))+Inputs!$C$38*SIN(2*PI()*(Model_Data!A215)/Inputs!$C$39)*SIN(2*PI()*(Inputs!$C$6)/Inputs!$C$40)+-Inputs!$C$41*EXP(-(((Inputs!$C$6)-Inputs!$C$43)^2)/(2*Inputs!$C$44^2))*EXP(-(((Model_Data!A215)-Inputs!$C$42)^2)/(2*Inputs!$C$45^2))+Inputs!$C$48*(0.7*(0.45*SIN(2*PI()*(((Model_Data!A215)/Inputs!$C$49)+Inputs!$C$47*0.137))+0.35*COS(2*PI()*(((Inputs!$C$6)/Inputs!$C$50)+Inputs!$C$47*0.173))+0.2*SIN(2*PI()*(((Model_Data!A215)+(Inputs!$C$6))/(0.5*(Inputs!$C$49+Inputs!$C$50))+Inputs!$C$47*0.097)))+0.3*(2*((SIN(((Model_Data!A215)*12.9898+(Inputs!$C$6)*78.233+Inputs!$C$47*37.719))*43758.5453)-INT((SIN(((Model_Data!A215)*12.9898+(Inputs!$C$6)*78.233+Inputs!$C$47*37.719))*43758.5453)))-1))))/1000)^2)</f>
        <v>405.72678556568383</v>
      </c>
      <c r="AB215" s="9">
        <f>1000*(AA216-AA214)/(Z216-Z214)*Inputs!$C$11</f>
        <v>979.90125929527494</v>
      </c>
      <c r="AC215" s="9">
        <f>-2*AB215/Inputs!$C$13</f>
        <v>-391.96050371810998</v>
      </c>
      <c r="AD215" s="9">
        <f>-2*AB215/Inputs!$C$14</f>
        <v>-58.852928486202707</v>
      </c>
    </row>
    <row r="216" spans="1:30">
      <c r="A216" s="9">
        <f>Model_Data!A216</f>
        <v>47</v>
      </c>
      <c r="B216" s="9">
        <f>((SQRT((Model_Data!A216)^2+Inputs!$C$6^2+Inputs!$C$5^2)-Inputs!$C$5)*1000/Inputs!$C$12)</f>
        <v>1981.4330184313289</v>
      </c>
      <c r="C216" s="9">
        <f>Model_Data!F216</f>
        <v>1969.4535409394057</v>
      </c>
      <c r="D216" s="9">
        <f>(((SQRT((Model_Data!A216)^2+Inputs!$C$6^2+((Model_Data!B216)-((Inputs!$C$51*(115*EXP(-(((Inputs!$C$6)-25)^2)/(4.5^2))+70*EXP(-(((Inputs!$C$6)+38)^2)/(7^2))*(0.55+0.45*SIN(2*PI()*(Model_Data!A216)/45))+24*SIN(2*PI()*(Inputs!$C$6)/9+(Model_Data!A216)/18)*EXP(-(((Inputs!$C$6)+5)^2)/(22^2))+18*SIN(2*PI()*(Model_Data!A216)/70))+Inputs!$C$28*EXP(-(((Model_Data!A216)-Inputs!$C$29)^2)/(2*Inputs!$C$31^2))*EXP(-(((Inputs!$C$6)-Inputs!$C$30)^2)/(2*Inputs!$C$32^2))+-Inputs!$C$33*EXP(-(((((Model_Data!A216)-Inputs!$C$34)^2)+(((Inputs!$C$6)-Inputs!$C$35)^2))/(2*Inputs!$C$36^2)))+Inputs!$C$37*(0.55*SIN(2*PI()*(Model_Data!A216)/Inputs!$C$39)+0.35*COS(2*PI()*(Inputs!$C$6)/Inputs!$C$40)+0.2*SIN(2*PI()*((Model_Data!A216)+(Inputs!$C$6))/(0.5*(Inputs!$C$39+Inputs!$C$40))))+Inputs!$C$38*SIN(2*PI()*(Model_Data!A216)/Inputs!$C$39)*SIN(2*PI()*(Inputs!$C$6)/Inputs!$C$40)+-Inputs!$C$41*EXP(-(((Inputs!$C$6)-Inputs!$C$43)^2)/(2*Inputs!$C$44^2))*EXP(-(((Model_Data!A216)-Inputs!$C$42)^2)/(2*Inputs!$C$45^2))+Inputs!$C$48*(0.7*(0.45*SIN(2*PI()*(((Model_Data!A216)/Inputs!$C$49)+Inputs!$C$47*0.137))+0.35*COS(2*PI()*(((Inputs!$C$6)/Inputs!$C$50)+Inputs!$C$47*0.173))+0.2*SIN(2*PI()*(((Model_Data!A216)+(Inputs!$C$6))/(0.5*(Inputs!$C$49+Inputs!$C$50))+Inputs!$C$47*0.097)))+0.3*(2*((SIN(((Model_Data!A216)*12.9898+(Inputs!$C$6)*78.233+Inputs!$C$47*37.719))*43758.5453)-INT((SIN(((Model_Data!A216)*12.9898+(Inputs!$C$6)*78.233+Inputs!$C$47*37.719))*43758.5453)))-1))))/1000)^2))-(((Model_Data!B216)-((Inputs!$C$51*(115*EXP(-(((0)-25)^2)/(4.5^2))+70*EXP(-(((0)+38)^2)/(7^2))*(0.55+0.45*SIN(2*PI()*(Model_Data!A216)/45))+24*SIN(2*PI()*(0)/9+(Model_Data!A216)/18)*EXP(-(((0)+5)^2)/(22^2))+18*SIN(2*PI()*(Model_Data!A216)/70))+Inputs!$C$28*EXP(-(((Model_Data!A216)-Inputs!$C$29)^2)/(2*Inputs!$C$31^2))*EXP(-(((0)-Inputs!$C$30)^2)/(2*Inputs!$C$32^2))+-Inputs!$C$33*EXP(-(((((Model_Data!A216)-Inputs!$C$34)^2)+(((0)-Inputs!$C$35)^2))/(2*Inputs!$C$36^2)))+Inputs!$C$37*(0.55*SIN(2*PI()*(Model_Data!A216)/Inputs!$C$39)+0.35*COS(2*PI()*(0)/Inputs!$C$40)+0.2*SIN(2*PI()*((Model_Data!A216)+(0))/(0.5*(Inputs!$C$39+Inputs!$C$40))))+Inputs!$C$38*SIN(2*PI()*(Model_Data!A216)/Inputs!$C$39)*SIN(2*PI()*(0)/Inputs!$C$40)+-Inputs!$C$41*EXP(-(((0)-Inputs!$C$43)^2)/(2*Inputs!$C$44^2))*EXP(-(((Model_Data!A216)-Inputs!$C$42)^2)/(2*Inputs!$C$45^2))+Inputs!$C$48*(0.7*(0.45*SIN(2*PI()*(((Model_Data!A216)/Inputs!$C$49)+Inputs!$C$47*0.137))+0.35*COS(2*PI()*(((0)/Inputs!$C$50)+Inputs!$C$47*0.173))+0.2*SIN(2*PI()*(((Model_Data!A216)+(0))/(0.5*(Inputs!$C$49+Inputs!$C$50))+Inputs!$C$47*0.097)))+0.3*(2*((SIN(((Model_Data!A216)*12.9898+(0)*78.233+Inputs!$C$47*37.719))*43758.5453)-INT((SIN(((Model_Data!A216)*12.9898+(0)*78.233+Inputs!$C$47*37.719))*43758.5453)))-1))))/1000)))*1000/Inputs!$C$12)</f>
        <v>1906.2953656238894</v>
      </c>
      <c r="E216" s="9">
        <f>Model_Data!A216</f>
        <v>47</v>
      </c>
      <c r="F216" s="9">
        <f>(Inputs!$C$51*(115*EXP(-(((Inputs!$C$6)-25)^2)/(4.5^2))+70*EXP(-(((Inputs!$C$6)+38)^2)/(7^2))*(0.55+0.45*SIN(2*PI()*(Model_Data!A216)/45))+24*SIN(2*PI()*(Inputs!$C$6)/9+(Model_Data!A216)/18)*EXP(-(((Inputs!$C$6)+5)^2)/(22^2))+18*SIN(2*PI()*(Model_Data!A216)/70))+Inputs!$C$28*EXP(-(((Model_Data!A216)-Inputs!$C$29)^2)/(2*Inputs!$C$31^2))*EXP(-(((Inputs!$C$6)-Inputs!$C$30)^2)/(2*Inputs!$C$32^2))+-Inputs!$C$33*EXP(-(((((Model_Data!A216)-Inputs!$C$34)^2)+(((Inputs!$C$6)-Inputs!$C$35)^2))/(2*Inputs!$C$36^2)))+Inputs!$C$37*(0.55*SIN(2*PI()*(Model_Data!A216)/Inputs!$C$39)+0.35*COS(2*PI()*(Inputs!$C$6)/Inputs!$C$40)+0.2*SIN(2*PI()*((Model_Data!A216)+(Inputs!$C$6))/(0.5*(Inputs!$C$39+Inputs!$C$40))))+Inputs!$C$38*SIN(2*PI()*(Model_Data!A216)/Inputs!$C$39)*SIN(2*PI()*(Inputs!$C$6)/Inputs!$C$40)+-Inputs!$C$41*EXP(-(((Inputs!$C$6)-Inputs!$C$43)^2)/(2*Inputs!$C$44^2))*EXP(-(((Model_Data!A216)-Inputs!$C$42)^2)/(2*Inputs!$C$45^2))+Inputs!$C$48*(0.7*(0.45*SIN(2*PI()*(((Model_Data!A216)/Inputs!$C$49)+Inputs!$C$47*0.137))+0.35*COS(2*PI()*(((Inputs!$C$6)/Inputs!$C$50)+Inputs!$C$47*0.173))+0.2*SIN(2*PI()*(((Model_Data!A216)+(Inputs!$C$6))/(0.5*(Inputs!$C$49+Inputs!$C$50))+Inputs!$C$47*0.097)))+0.3*(2*((SIN(((Model_Data!A216)*12.9898+(Inputs!$C$6)*78.233+Inputs!$C$47*37.719))*43758.5453)-INT((SIN(((Model_Data!A216)*12.9898+(Inputs!$C$6)*78.233+Inputs!$C$47*37.719))*43758.5453)))-1)))</f>
        <v>119.07484471646131</v>
      </c>
      <c r="G216" s="9">
        <f>(Inputs!$C$51*(115*EXP(-(((0)-25)^2)/(4.5^2))+70*EXP(-(((0)+38)^2)/(7^2))*(0.55+0.45*SIN(2*PI()*(Model_Data!A216)/45))+24*SIN(2*PI()*(0)/9+(Model_Data!A216)/18)*EXP(-(((0)+5)^2)/(22^2))+18*SIN(2*PI()*(Model_Data!A216)/70))+Inputs!$C$28*EXP(-(((Model_Data!A216)-Inputs!$C$29)^2)/(2*Inputs!$C$31^2))*EXP(-(((0)-Inputs!$C$30)^2)/(2*Inputs!$C$32^2))+-Inputs!$C$33*EXP(-(((((Model_Data!A216)-Inputs!$C$34)^2)+(((0)-Inputs!$C$35)^2))/(2*Inputs!$C$36^2)))+Inputs!$C$37*(0.55*SIN(2*PI()*(Model_Data!A216)/Inputs!$C$39)+0.35*COS(2*PI()*(0)/Inputs!$C$40)+0.2*SIN(2*PI()*((Model_Data!A216)+(0))/(0.5*(Inputs!$C$39+Inputs!$C$40))))+Inputs!$C$38*SIN(2*PI()*(Model_Data!A216)/Inputs!$C$39)*SIN(2*PI()*(0)/Inputs!$C$40)+-Inputs!$C$41*EXP(-(((0)-Inputs!$C$43)^2)/(2*Inputs!$C$44^2))*EXP(-(((Model_Data!A216)-Inputs!$C$42)^2)/(2*Inputs!$C$45^2))+Inputs!$C$48*(0.7*(0.45*SIN(2*PI()*(((Model_Data!A216)/Inputs!$C$49)+Inputs!$C$47*0.137))+0.35*COS(2*PI()*(((0)/Inputs!$C$50)+Inputs!$C$47*0.173))+0.2*SIN(2*PI()*(((Model_Data!A216)+(0))/(0.5*(Inputs!$C$49+Inputs!$C$50))+Inputs!$C$47*0.097)))+0.3*(2*((SIN(((Model_Data!A216)*12.9898+(0)*78.233+Inputs!$C$47*37.719))*43758.5453)-INT((SIN(((Model_Data!A216)*12.9898+(0)*78.233+Inputs!$C$47*37.719))*43758.5453)))-1)))</f>
        <v>5.6247334384920968</v>
      </c>
      <c r="H216" s="10"/>
      <c r="I216" s="9">
        <f>Model_Data!A216</f>
        <v>47</v>
      </c>
      <c r="J216" s="9">
        <f>(Inputs!$C$51*(115*EXP(-(((Inputs!$C$6)-25)^2)/(4.5^2))+70*EXP(-(((Inputs!$C$6)+38)^2)/(7^2))*(0.55+0.45*SIN(2*PI()*(Model_Data!A216)/45))+24*SIN(2*PI()*(Inputs!$C$6)/9+(Model_Data!A216)/18)*EXP(-(((Inputs!$C$6)+5)^2)/(22^2))+18*SIN(2*PI()*(Model_Data!A216)/70))+Inputs!$C$28*EXP(-(((Model_Data!A216)-Inputs!$C$29)^2)/(2*Inputs!$C$31^2))*EXP(-(((Inputs!$C$6)-Inputs!$C$30)^2)/(2*Inputs!$C$32^2))+-Inputs!$C$33*EXP(-(((((Model_Data!A216)-Inputs!$C$34)^2)+(((Inputs!$C$6)-Inputs!$C$35)^2))/(2*Inputs!$C$36^2)))+Inputs!$C$37*(0.55*SIN(2*PI()*(Model_Data!A216)/Inputs!$C$39)+0.35*COS(2*PI()*(Inputs!$C$6)/Inputs!$C$40)+0.2*SIN(2*PI()*((Model_Data!A216)+(Inputs!$C$6))/(0.5*(Inputs!$C$39+Inputs!$C$40))))+Inputs!$C$38*SIN(2*PI()*(Model_Data!A216)/Inputs!$C$39)*SIN(2*PI()*(Inputs!$C$6)/Inputs!$C$40)+-Inputs!$C$41*EXP(-(((Inputs!$C$6)-Inputs!$C$43)^2)/(2*Inputs!$C$44^2))*EXP(-(((Model_Data!A216)-Inputs!$C$42)^2)/(2*Inputs!$C$45^2))+Inputs!$C$48*(0.7*(0.45*SIN(2*PI()*(((Model_Data!A216)/Inputs!$C$49)+Inputs!$C$47*0.137))+0.35*COS(2*PI()*(((Inputs!$C$6)/Inputs!$C$50)+Inputs!$C$47*0.173))+0.2*SIN(2*PI()*(((Model_Data!A216)+(Inputs!$C$6))/(0.5*(Inputs!$C$49+Inputs!$C$50))+Inputs!$C$47*0.097)))+0.3*(2*((SIN(((Model_Data!A216)*12.9898+(Inputs!$C$6)*78.233+Inputs!$C$47*37.719))*43758.5453)-INT((SIN(((Model_Data!A216)*12.9898+(Inputs!$C$6)*78.233+Inputs!$C$47*37.719))*43758.5453)))-1)))</f>
        <v>119.07484471646131</v>
      </c>
      <c r="K216" s="9">
        <f>-((((SQRT((Model_Data!A216)^2+Inputs!$C$6^2+((Model_Data!B216)-((Inputs!$C$51*(115*EXP(-(((Inputs!$C$6)-25)^2)/(4.5^2))+70*EXP(-(((Inputs!$C$6)+38)^2)/(7^2))*(0.55+0.45*SIN(2*PI()*(Model_Data!A216)/45))+24*SIN(2*PI()*(Inputs!$C$6)/9+(Model_Data!A216)/18)*EXP(-(((Inputs!$C$6)+5)^2)/(22^2))+18*SIN(2*PI()*(Model_Data!A216)/70))+Inputs!$C$28*EXP(-(((Model_Data!A216)-Inputs!$C$29)^2)/(2*Inputs!$C$31^2))*EXP(-(((Inputs!$C$6)-Inputs!$C$30)^2)/(2*Inputs!$C$32^2))+-Inputs!$C$33*EXP(-(((((Model_Data!A216)-Inputs!$C$34)^2)+(((Inputs!$C$6)-Inputs!$C$35)^2))/(2*Inputs!$C$36^2)))+Inputs!$C$37*(0.55*SIN(2*PI()*(Model_Data!A216)/Inputs!$C$39)+0.35*COS(2*PI()*(Inputs!$C$6)/Inputs!$C$40)+0.2*SIN(2*PI()*((Model_Data!A216)+(Inputs!$C$6))/(0.5*(Inputs!$C$39+Inputs!$C$40))))+Inputs!$C$38*SIN(2*PI()*(Model_Data!A216)/Inputs!$C$39)*SIN(2*PI()*(Inputs!$C$6)/Inputs!$C$40)+-Inputs!$C$41*EXP(-(((Inputs!$C$6)-Inputs!$C$43)^2)/(2*Inputs!$C$44^2))*EXP(-(((Model_Data!A216)-Inputs!$C$42)^2)/(2*Inputs!$C$45^2))+Inputs!$C$48*(0.7*(0.45*SIN(2*PI()*(((Model_Data!A216)/Inputs!$C$49)+Inputs!$C$47*0.137))+0.35*COS(2*PI()*(((Inputs!$C$6)/Inputs!$C$50)+Inputs!$C$47*0.173))+0.2*SIN(2*PI()*(((Model_Data!A216)+(Inputs!$C$6))/(0.5*(Inputs!$C$49+Inputs!$C$50))+Inputs!$C$47*0.097)))+0.3*(2*((SIN(((Model_Data!A216)*12.9898+(Inputs!$C$6)*78.233+Inputs!$C$47*37.719))*43758.5453)-INT((SIN(((Model_Data!A216)*12.9898+(Inputs!$C$6)*78.233+Inputs!$C$47*37.719))*43758.5453)))-1))))/1000)^2))-(((Model_Data!B216)-((Inputs!$C$51*(115*EXP(-(((0)-25)^2)/(4.5^2))+70*EXP(-(((0)+38)^2)/(7^2))*(0.55+0.45*SIN(2*PI()*(Model_Data!A216)/45))+24*SIN(2*PI()*(0)/9+(Model_Data!A216)/18)*EXP(-(((0)+5)^2)/(22^2))+18*SIN(2*PI()*(Model_Data!A216)/70))+Inputs!$C$28*EXP(-(((Model_Data!A216)-Inputs!$C$29)^2)/(2*Inputs!$C$31^2))*EXP(-(((0)-Inputs!$C$30)^2)/(2*Inputs!$C$32^2))+-Inputs!$C$33*EXP(-(((((Model_Data!A216)-Inputs!$C$34)^2)+(((0)-Inputs!$C$35)^2))/(2*Inputs!$C$36^2)))+Inputs!$C$37*(0.55*SIN(2*PI()*(Model_Data!A216)/Inputs!$C$39)+0.35*COS(2*PI()*(0)/Inputs!$C$40)+0.2*SIN(2*PI()*((Model_Data!A216)+(0))/(0.5*(Inputs!$C$39+Inputs!$C$40))))+Inputs!$C$38*SIN(2*PI()*(Model_Data!A216)/Inputs!$C$39)*SIN(2*PI()*(0)/Inputs!$C$40)+-Inputs!$C$41*EXP(-(((0)-Inputs!$C$43)^2)/(2*Inputs!$C$44^2))*EXP(-(((Model_Data!A216)-Inputs!$C$42)^2)/(2*Inputs!$C$45^2))+Inputs!$C$48*(0.7*(0.45*SIN(2*PI()*(((Model_Data!A216)/Inputs!$C$49)+Inputs!$C$47*0.137))+0.35*COS(2*PI()*(((0)/Inputs!$C$50)+Inputs!$C$47*0.173))+0.2*SIN(2*PI()*(((Model_Data!A216)+(0))/(0.5*(Inputs!$C$49+Inputs!$C$50))+Inputs!$C$47*0.097)))+0.3*(2*((SIN(((Model_Data!A216)*12.9898+(0)*78.233+Inputs!$C$47*37.719))*43758.5453)-INT((SIN(((Model_Data!A216)*12.9898+(0)*78.233+Inputs!$C$47*37.719))*43758.5453)))-1))))/1000)))*1000/Inputs!$C$12)-Model_Data!F216)</f>
        <v>63.158175315516246</v>
      </c>
      <c r="L216" s="10"/>
      <c r="M216" s="9">
        <f>Model_Data!A216</f>
        <v>47</v>
      </c>
      <c r="N216" s="9">
        <f>Model_Data!P216</f>
        <v>-350.90793232341497</v>
      </c>
      <c r="O216" s="9">
        <f t="shared" si="6"/>
        <v>-378.73555945261614</v>
      </c>
      <c r="P216" s="9">
        <f>Model_Data!Q216</f>
        <v>-52.688878727239491</v>
      </c>
      <c r="Q216" s="9">
        <f t="shared" si="7"/>
        <v>-56.86720111901144</v>
      </c>
      <c r="R216" s="10"/>
      <c r="S216" s="9">
        <f>Model_Data!A216</f>
        <v>47</v>
      </c>
      <c r="T216" s="9">
        <f>Model_Data!B216-Inputs!$C$5</f>
        <v>2.454444444444448</v>
      </c>
      <c r="U216" s="10"/>
      <c r="V216" s="9">
        <f>Model_Data!A216</f>
        <v>47</v>
      </c>
      <c r="W216" s="9">
        <f>((SQRT((Model_Data!A216)^2+Inputs!$C$6^2+Inputs!$C$5^2)-Inputs!$C$5)*1000/Inputs!$C$12)</f>
        <v>1981.4330184313289</v>
      </c>
      <c r="X216" s="9">
        <f>Model_Data!F216</f>
        <v>1969.4535409394057</v>
      </c>
      <c r="Y216" s="10"/>
      <c r="Z216" s="9">
        <f>Model_Data!A216</f>
        <v>47</v>
      </c>
      <c r="AA216" s="9">
        <f>SQRT((Model_Data!A216)^2+Inputs!$C$6^2+((Model_Data!B216)-((Inputs!$C$51*(115*EXP(-(((Inputs!$C$6)-25)^2)/(4.5^2))+70*EXP(-(((Inputs!$C$6)+38)^2)/(7^2))*(0.55+0.45*SIN(2*PI()*(Model_Data!A216)/45))+24*SIN(2*PI()*(Inputs!$C$6)/9+(Model_Data!A216)/18)*EXP(-(((Inputs!$C$6)+5)^2)/(22^2))+18*SIN(2*PI()*(Model_Data!A216)/70))+Inputs!$C$28*EXP(-(((Model_Data!A216)-Inputs!$C$29)^2)/(2*Inputs!$C$31^2))*EXP(-(((Inputs!$C$6)-Inputs!$C$30)^2)/(2*Inputs!$C$32^2))+-Inputs!$C$33*EXP(-(((((Model_Data!A216)-Inputs!$C$34)^2)+(((Inputs!$C$6)-Inputs!$C$35)^2))/(2*Inputs!$C$36^2)))+Inputs!$C$37*(0.55*SIN(2*PI()*(Model_Data!A216)/Inputs!$C$39)+0.35*COS(2*PI()*(Inputs!$C$6)/Inputs!$C$40)+0.2*SIN(2*PI()*((Model_Data!A216)+(Inputs!$C$6))/(0.5*(Inputs!$C$39+Inputs!$C$40))))+Inputs!$C$38*SIN(2*PI()*(Model_Data!A216)/Inputs!$C$39)*SIN(2*PI()*(Inputs!$C$6)/Inputs!$C$40)+-Inputs!$C$41*EXP(-(((Inputs!$C$6)-Inputs!$C$43)^2)/(2*Inputs!$C$44^2))*EXP(-(((Model_Data!A216)-Inputs!$C$42)^2)/(2*Inputs!$C$45^2))+Inputs!$C$48*(0.7*(0.45*SIN(2*PI()*(((Model_Data!A216)/Inputs!$C$49)+Inputs!$C$47*0.137))+0.35*COS(2*PI()*(((Inputs!$C$6)/Inputs!$C$50)+Inputs!$C$47*0.173))+0.2*SIN(2*PI()*(((Model_Data!A216)+(Inputs!$C$6))/(0.5*(Inputs!$C$49+Inputs!$C$50))+Inputs!$C$47*0.097)))+0.3*(2*((SIN(((Model_Data!A216)*12.9898+(Inputs!$C$6)*78.233+Inputs!$C$47*37.719))*43758.5453)-INT((SIN(((Model_Data!A216)*12.9898+(Inputs!$C$6)*78.233+Inputs!$C$47*37.719))*43758.5453)))-1))))/1000)^2)</f>
        <v>405.84202546181649</v>
      </c>
      <c r="AB216" s="9">
        <f>1000*(AA217-AA215)/(Z217-Z215)*Inputs!$C$11</f>
        <v>946.83889863154036</v>
      </c>
      <c r="AC216" s="9">
        <f>-2*AB216/Inputs!$C$13</f>
        <v>-378.73555945261614</v>
      </c>
      <c r="AD216" s="9">
        <f>-2*AB216/Inputs!$C$14</f>
        <v>-56.86720111901144</v>
      </c>
    </row>
    <row r="217" spans="1:30">
      <c r="A217" s="9">
        <f>Model_Data!A217</f>
        <v>47.5</v>
      </c>
      <c r="B217" s="9">
        <f>((SQRT((Model_Data!A217)^2+Inputs!$C$6^2+Inputs!$C$5^2)-Inputs!$C$5)*1000/Inputs!$C$12)</f>
        <v>2014.3217987140999</v>
      </c>
      <c r="C217" s="9">
        <f>Model_Data!F217</f>
        <v>2001.8863775912891</v>
      </c>
      <c r="D217" s="9">
        <f>(((SQRT((Model_Data!A217)^2+Inputs!$C$6^2+((Model_Data!B217)-((Inputs!$C$51*(115*EXP(-(((Inputs!$C$6)-25)^2)/(4.5^2))+70*EXP(-(((Inputs!$C$6)+38)^2)/(7^2))*(0.55+0.45*SIN(2*PI()*(Model_Data!A217)/45))+24*SIN(2*PI()*(Inputs!$C$6)/9+(Model_Data!A217)/18)*EXP(-(((Inputs!$C$6)+5)^2)/(22^2))+18*SIN(2*PI()*(Model_Data!A217)/70))+Inputs!$C$28*EXP(-(((Model_Data!A217)-Inputs!$C$29)^2)/(2*Inputs!$C$31^2))*EXP(-(((Inputs!$C$6)-Inputs!$C$30)^2)/(2*Inputs!$C$32^2))+-Inputs!$C$33*EXP(-(((((Model_Data!A217)-Inputs!$C$34)^2)+(((Inputs!$C$6)-Inputs!$C$35)^2))/(2*Inputs!$C$36^2)))+Inputs!$C$37*(0.55*SIN(2*PI()*(Model_Data!A217)/Inputs!$C$39)+0.35*COS(2*PI()*(Inputs!$C$6)/Inputs!$C$40)+0.2*SIN(2*PI()*((Model_Data!A217)+(Inputs!$C$6))/(0.5*(Inputs!$C$39+Inputs!$C$40))))+Inputs!$C$38*SIN(2*PI()*(Model_Data!A217)/Inputs!$C$39)*SIN(2*PI()*(Inputs!$C$6)/Inputs!$C$40)+-Inputs!$C$41*EXP(-(((Inputs!$C$6)-Inputs!$C$43)^2)/(2*Inputs!$C$44^2))*EXP(-(((Model_Data!A217)-Inputs!$C$42)^2)/(2*Inputs!$C$45^2))+Inputs!$C$48*(0.7*(0.45*SIN(2*PI()*(((Model_Data!A217)/Inputs!$C$49)+Inputs!$C$47*0.137))+0.35*COS(2*PI()*(((Inputs!$C$6)/Inputs!$C$50)+Inputs!$C$47*0.173))+0.2*SIN(2*PI()*(((Model_Data!A217)+(Inputs!$C$6))/(0.5*(Inputs!$C$49+Inputs!$C$50))+Inputs!$C$47*0.097)))+0.3*(2*((SIN(((Model_Data!A217)*12.9898+(Inputs!$C$6)*78.233+Inputs!$C$47*37.719))*43758.5453)-INT((SIN(((Model_Data!A217)*12.9898+(Inputs!$C$6)*78.233+Inputs!$C$47*37.719))*43758.5453)))-1))))/1000)^2))-(((Model_Data!B217)-((Inputs!$C$51*(115*EXP(-(((0)-25)^2)/(4.5^2))+70*EXP(-(((0)+38)^2)/(7^2))*(0.55+0.45*SIN(2*PI()*(Model_Data!A217)/45))+24*SIN(2*PI()*(0)/9+(Model_Data!A217)/18)*EXP(-(((0)+5)^2)/(22^2))+18*SIN(2*PI()*(Model_Data!A217)/70))+Inputs!$C$28*EXP(-(((Model_Data!A217)-Inputs!$C$29)^2)/(2*Inputs!$C$31^2))*EXP(-(((0)-Inputs!$C$30)^2)/(2*Inputs!$C$32^2))+-Inputs!$C$33*EXP(-(((((Model_Data!A217)-Inputs!$C$34)^2)+(((0)-Inputs!$C$35)^2))/(2*Inputs!$C$36^2)))+Inputs!$C$37*(0.55*SIN(2*PI()*(Model_Data!A217)/Inputs!$C$39)+0.35*COS(2*PI()*(0)/Inputs!$C$40)+0.2*SIN(2*PI()*((Model_Data!A217)+(0))/(0.5*(Inputs!$C$39+Inputs!$C$40))))+Inputs!$C$38*SIN(2*PI()*(Model_Data!A217)/Inputs!$C$39)*SIN(2*PI()*(0)/Inputs!$C$40)+-Inputs!$C$41*EXP(-(((0)-Inputs!$C$43)^2)/(2*Inputs!$C$44^2))*EXP(-(((Model_Data!A217)-Inputs!$C$42)^2)/(2*Inputs!$C$45^2))+Inputs!$C$48*(0.7*(0.45*SIN(2*PI()*(((Model_Data!A217)/Inputs!$C$49)+Inputs!$C$47*0.137))+0.35*COS(2*PI()*(((0)/Inputs!$C$50)+Inputs!$C$47*0.173))+0.2*SIN(2*PI()*(((Model_Data!A217)+(0))/(0.5*(Inputs!$C$49+Inputs!$C$50))+Inputs!$C$47*0.097)))+0.3*(2*((SIN(((Model_Data!A217)*12.9898+(0)*78.233+Inputs!$C$47*37.719))*43758.5453)-INT((SIN(((Model_Data!A217)*12.9898+(0)*78.233+Inputs!$C$47*37.719))*43758.5453)))-1))))/1000)))*1000/Inputs!$C$12)</f>
        <v>1944.5374524669721</v>
      </c>
      <c r="E217" s="9">
        <f>Model_Data!A217</f>
        <v>47.5</v>
      </c>
      <c r="F217" s="9">
        <f>(Inputs!$C$51*(115*EXP(-(((Inputs!$C$6)-25)^2)/(4.5^2))+70*EXP(-(((Inputs!$C$6)+38)^2)/(7^2))*(0.55+0.45*SIN(2*PI()*(Model_Data!A217)/45))+24*SIN(2*PI()*(Inputs!$C$6)/9+(Model_Data!A217)/18)*EXP(-(((Inputs!$C$6)+5)^2)/(22^2))+18*SIN(2*PI()*(Model_Data!A217)/70))+Inputs!$C$28*EXP(-(((Model_Data!A217)-Inputs!$C$29)^2)/(2*Inputs!$C$31^2))*EXP(-(((Inputs!$C$6)-Inputs!$C$30)^2)/(2*Inputs!$C$32^2))+-Inputs!$C$33*EXP(-(((((Model_Data!A217)-Inputs!$C$34)^2)+(((Inputs!$C$6)-Inputs!$C$35)^2))/(2*Inputs!$C$36^2)))+Inputs!$C$37*(0.55*SIN(2*PI()*(Model_Data!A217)/Inputs!$C$39)+0.35*COS(2*PI()*(Inputs!$C$6)/Inputs!$C$40)+0.2*SIN(2*PI()*((Model_Data!A217)+(Inputs!$C$6))/(0.5*(Inputs!$C$39+Inputs!$C$40))))+Inputs!$C$38*SIN(2*PI()*(Model_Data!A217)/Inputs!$C$39)*SIN(2*PI()*(Inputs!$C$6)/Inputs!$C$40)+-Inputs!$C$41*EXP(-(((Inputs!$C$6)-Inputs!$C$43)^2)/(2*Inputs!$C$44^2))*EXP(-(((Model_Data!A217)-Inputs!$C$42)^2)/(2*Inputs!$C$45^2))+Inputs!$C$48*(0.7*(0.45*SIN(2*PI()*(((Model_Data!A217)/Inputs!$C$49)+Inputs!$C$47*0.137))+0.35*COS(2*PI()*(((Inputs!$C$6)/Inputs!$C$50)+Inputs!$C$47*0.173))+0.2*SIN(2*PI()*(((Model_Data!A217)+(Inputs!$C$6))/(0.5*(Inputs!$C$49+Inputs!$C$50))+Inputs!$C$47*0.097)))+0.3*(2*((SIN(((Model_Data!A217)*12.9898+(Inputs!$C$6)*78.233+Inputs!$C$47*37.719))*43758.5453)-INT((SIN(((Model_Data!A217)*12.9898+(Inputs!$C$6)*78.233+Inputs!$C$47*37.719))*43758.5453)))-1)))</f>
        <v>107.7527102272833</v>
      </c>
      <c r="G217" s="9">
        <f>(Inputs!$C$51*(115*EXP(-(((0)-25)^2)/(4.5^2))+70*EXP(-(((0)+38)^2)/(7^2))*(0.55+0.45*SIN(2*PI()*(Model_Data!A217)/45))+24*SIN(2*PI()*(0)/9+(Model_Data!A217)/18)*EXP(-(((0)+5)^2)/(22^2))+18*SIN(2*PI()*(Model_Data!A217)/70))+Inputs!$C$28*EXP(-(((Model_Data!A217)-Inputs!$C$29)^2)/(2*Inputs!$C$31^2))*EXP(-(((0)-Inputs!$C$30)^2)/(2*Inputs!$C$32^2))+-Inputs!$C$33*EXP(-(((((Model_Data!A217)-Inputs!$C$34)^2)+(((0)-Inputs!$C$35)^2))/(2*Inputs!$C$36^2)))+Inputs!$C$37*(0.55*SIN(2*PI()*(Model_Data!A217)/Inputs!$C$39)+0.35*COS(2*PI()*(0)/Inputs!$C$40)+0.2*SIN(2*PI()*((Model_Data!A217)+(0))/(0.5*(Inputs!$C$39+Inputs!$C$40))))+Inputs!$C$38*SIN(2*PI()*(Model_Data!A217)/Inputs!$C$39)*SIN(2*PI()*(0)/Inputs!$C$40)+-Inputs!$C$41*EXP(-(((0)-Inputs!$C$43)^2)/(2*Inputs!$C$44^2))*EXP(-(((Model_Data!A217)-Inputs!$C$42)^2)/(2*Inputs!$C$45^2))+Inputs!$C$48*(0.7*(0.45*SIN(2*PI()*(((Model_Data!A217)/Inputs!$C$49)+Inputs!$C$47*0.137))+0.35*COS(2*PI()*(((0)/Inputs!$C$50)+Inputs!$C$47*0.173))+0.2*SIN(2*PI()*(((Model_Data!A217)+(0))/(0.5*(Inputs!$C$49+Inputs!$C$50))+Inputs!$C$47*0.097)))+0.3*(2*((SIN(((Model_Data!A217)*12.9898+(0)*78.233+Inputs!$C$47*37.719))*43758.5453)-INT((SIN(((Model_Data!A217)*12.9898+(0)*78.233+Inputs!$C$47*37.719))*43758.5453)))-1)))</f>
        <v>4.7258194939479337</v>
      </c>
      <c r="H217" s="10"/>
      <c r="I217" s="9">
        <f>Model_Data!A217</f>
        <v>47.5</v>
      </c>
      <c r="J217" s="9">
        <f>(Inputs!$C$51*(115*EXP(-(((Inputs!$C$6)-25)^2)/(4.5^2))+70*EXP(-(((Inputs!$C$6)+38)^2)/(7^2))*(0.55+0.45*SIN(2*PI()*(Model_Data!A217)/45))+24*SIN(2*PI()*(Inputs!$C$6)/9+(Model_Data!A217)/18)*EXP(-(((Inputs!$C$6)+5)^2)/(22^2))+18*SIN(2*PI()*(Model_Data!A217)/70))+Inputs!$C$28*EXP(-(((Model_Data!A217)-Inputs!$C$29)^2)/(2*Inputs!$C$31^2))*EXP(-(((Inputs!$C$6)-Inputs!$C$30)^2)/(2*Inputs!$C$32^2))+-Inputs!$C$33*EXP(-(((((Model_Data!A217)-Inputs!$C$34)^2)+(((Inputs!$C$6)-Inputs!$C$35)^2))/(2*Inputs!$C$36^2)))+Inputs!$C$37*(0.55*SIN(2*PI()*(Model_Data!A217)/Inputs!$C$39)+0.35*COS(2*PI()*(Inputs!$C$6)/Inputs!$C$40)+0.2*SIN(2*PI()*((Model_Data!A217)+(Inputs!$C$6))/(0.5*(Inputs!$C$39+Inputs!$C$40))))+Inputs!$C$38*SIN(2*PI()*(Model_Data!A217)/Inputs!$C$39)*SIN(2*PI()*(Inputs!$C$6)/Inputs!$C$40)+-Inputs!$C$41*EXP(-(((Inputs!$C$6)-Inputs!$C$43)^2)/(2*Inputs!$C$44^2))*EXP(-(((Model_Data!A217)-Inputs!$C$42)^2)/(2*Inputs!$C$45^2))+Inputs!$C$48*(0.7*(0.45*SIN(2*PI()*(((Model_Data!A217)/Inputs!$C$49)+Inputs!$C$47*0.137))+0.35*COS(2*PI()*(((Inputs!$C$6)/Inputs!$C$50)+Inputs!$C$47*0.173))+0.2*SIN(2*PI()*(((Model_Data!A217)+(Inputs!$C$6))/(0.5*(Inputs!$C$49+Inputs!$C$50))+Inputs!$C$47*0.097)))+0.3*(2*((SIN(((Model_Data!A217)*12.9898+(Inputs!$C$6)*78.233+Inputs!$C$47*37.719))*43758.5453)-INT((SIN(((Model_Data!A217)*12.9898+(Inputs!$C$6)*78.233+Inputs!$C$47*37.719))*43758.5453)))-1)))</f>
        <v>107.7527102272833</v>
      </c>
      <c r="K217" s="9">
        <f>-((((SQRT((Model_Data!A217)^2+Inputs!$C$6^2+((Model_Data!B217)-((Inputs!$C$51*(115*EXP(-(((Inputs!$C$6)-25)^2)/(4.5^2))+70*EXP(-(((Inputs!$C$6)+38)^2)/(7^2))*(0.55+0.45*SIN(2*PI()*(Model_Data!A217)/45))+24*SIN(2*PI()*(Inputs!$C$6)/9+(Model_Data!A217)/18)*EXP(-(((Inputs!$C$6)+5)^2)/(22^2))+18*SIN(2*PI()*(Model_Data!A217)/70))+Inputs!$C$28*EXP(-(((Model_Data!A217)-Inputs!$C$29)^2)/(2*Inputs!$C$31^2))*EXP(-(((Inputs!$C$6)-Inputs!$C$30)^2)/(2*Inputs!$C$32^2))+-Inputs!$C$33*EXP(-(((((Model_Data!A217)-Inputs!$C$34)^2)+(((Inputs!$C$6)-Inputs!$C$35)^2))/(2*Inputs!$C$36^2)))+Inputs!$C$37*(0.55*SIN(2*PI()*(Model_Data!A217)/Inputs!$C$39)+0.35*COS(2*PI()*(Inputs!$C$6)/Inputs!$C$40)+0.2*SIN(2*PI()*((Model_Data!A217)+(Inputs!$C$6))/(0.5*(Inputs!$C$39+Inputs!$C$40))))+Inputs!$C$38*SIN(2*PI()*(Model_Data!A217)/Inputs!$C$39)*SIN(2*PI()*(Inputs!$C$6)/Inputs!$C$40)+-Inputs!$C$41*EXP(-(((Inputs!$C$6)-Inputs!$C$43)^2)/(2*Inputs!$C$44^2))*EXP(-(((Model_Data!A217)-Inputs!$C$42)^2)/(2*Inputs!$C$45^2))+Inputs!$C$48*(0.7*(0.45*SIN(2*PI()*(((Model_Data!A217)/Inputs!$C$49)+Inputs!$C$47*0.137))+0.35*COS(2*PI()*(((Inputs!$C$6)/Inputs!$C$50)+Inputs!$C$47*0.173))+0.2*SIN(2*PI()*(((Model_Data!A217)+(Inputs!$C$6))/(0.5*(Inputs!$C$49+Inputs!$C$50))+Inputs!$C$47*0.097)))+0.3*(2*((SIN(((Model_Data!A217)*12.9898+(Inputs!$C$6)*78.233+Inputs!$C$47*37.719))*43758.5453)-INT((SIN(((Model_Data!A217)*12.9898+(Inputs!$C$6)*78.233+Inputs!$C$47*37.719))*43758.5453)))-1))))/1000)^2))-(((Model_Data!B217)-((Inputs!$C$51*(115*EXP(-(((0)-25)^2)/(4.5^2))+70*EXP(-(((0)+38)^2)/(7^2))*(0.55+0.45*SIN(2*PI()*(Model_Data!A217)/45))+24*SIN(2*PI()*(0)/9+(Model_Data!A217)/18)*EXP(-(((0)+5)^2)/(22^2))+18*SIN(2*PI()*(Model_Data!A217)/70))+Inputs!$C$28*EXP(-(((Model_Data!A217)-Inputs!$C$29)^2)/(2*Inputs!$C$31^2))*EXP(-(((0)-Inputs!$C$30)^2)/(2*Inputs!$C$32^2))+-Inputs!$C$33*EXP(-(((((Model_Data!A217)-Inputs!$C$34)^2)+(((0)-Inputs!$C$35)^2))/(2*Inputs!$C$36^2)))+Inputs!$C$37*(0.55*SIN(2*PI()*(Model_Data!A217)/Inputs!$C$39)+0.35*COS(2*PI()*(0)/Inputs!$C$40)+0.2*SIN(2*PI()*((Model_Data!A217)+(0))/(0.5*(Inputs!$C$39+Inputs!$C$40))))+Inputs!$C$38*SIN(2*PI()*(Model_Data!A217)/Inputs!$C$39)*SIN(2*PI()*(0)/Inputs!$C$40)+-Inputs!$C$41*EXP(-(((0)-Inputs!$C$43)^2)/(2*Inputs!$C$44^2))*EXP(-(((Model_Data!A217)-Inputs!$C$42)^2)/(2*Inputs!$C$45^2))+Inputs!$C$48*(0.7*(0.45*SIN(2*PI()*(((Model_Data!A217)/Inputs!$C$49)+Inputs!$C$47*0.137))+0.35*COS(2*PI()*(((0)/Inputs!$C$50)+Inputs!$C$47*0.173))+0.2*SIN(2*PI()*(((Model_Data!A217)+(0))/(0.5*(Inputs!$C$49+Inputs!$C$50))+Inputs!$C$47*0.097)))+0.3*(2*((SIN(((Model_Data!A217)*12.9898+(0)*78.233+Inputs!$C$47*37.719))*43758.5453)-INT((SIN(((Model_Data!A217)*12.9898+(0)*78.233+Inputs!$C$47*37.719))*43758.5453)))-1))))/1000)))*1000/Inputs!$C$12)-Model_Data!F217)</f>
        <v>57.34892512431702</v>
      </c>
      <c r="L217" s="10"/>
      <c r="M217" s="9">
        <f>Model_Data!A217</f>
        <v>47.5</v>
      </c>
      <c r="N217" s="9">
        <f>Model_Data!P217</f>
        <v>-354.56656110643479</v>
      </c>
      <c r="O217" s="9">
        <f t="shared" si="6"/>
        <v>-345.22857302599732</v>
      </c>
      <c r="P217" s="9">
        <f>Model_Data!Q217</f>
        <v>-53.238222388353577</v>
      </c>
      <c r="Q217" s="9">
        <f t="shared" si="7"/>
        <v>-51.836122075975581</v>
      </c>
      <c r="R217" s="10"/>
      <c r="S217" s="9">
        <f>Model_Data!A217</f>
        <v>47.5</v>
      </c>
      <c r="T217" s="9">
        <f>Model_Data!B217-Inputs!$C$5</f>
        <v>2.5069444444444571</v>
      </c>
      <c r="U217" s="10"/>
      <c r="V217" s="9">
        <f>Model_Data!A217</f>
        <v>47.5</v>
      </c>
      <c r="W217" s="9">
        <f>((SQRT((Model_Data!A217)^2+Inputs!$C$6^2+Inputs!$C$5^2)-Inputs!$C$5)*1000/Inputs!$C$12)</f>
        <v>2014.3217987140999</v>
      </c>
      <c r="X217" s="9">
        <f>Model_Data!F217</f>
        <v>2001.8863775912891</v>
      </c>
      <c r="Y217" s="10"/>
      <c r="Z217" s="9">
        <f>Model_Data!A217</f>
        <v>47.5</v>
      </c>
      <c r="AA217" s="9">
        <f>SQRT((Model_Data!A217)^2+Inputs!$C$6^2+((Model_Data!B217)-((Inputs!$C$51*(115*EXP(-(((Inputs!$C$6)-25)^2)/(4.5^2))+70*EXP(-(((Inputs!$C$6)+38)^2)/(7^2))*(0.55+0.45*SIN(2*PI()*(Model_Data!A217)/45))+24*SIN(2*PI()*(Inputs!$C$6)/9+(Model_Data!A217)/18)*EXP(-(((Inputs!$C$6)+5)^2)/(22^2))+18*SIN(2*PI()*(Model_Data!A217)/70))+Inputs!$C$28*EXP(-(((Model_Data!A217)-Inputs!$C$29)^2)/(2*Inputs!$C$31^2))*EXP(-(((Inputs!$C$6)-Inputs!$C$30)^2)/(2*Inputs!$C$32^2))+-Inputs!$C$33*EXP(-(((((Model_Data!A217)-Inputs!$C$34)^2)+(((Inputs!$C$6)-Inputs!$C$35)^2))/(2*Inputs!$C$36^2)))+Inputs!$C$37*(0.55*SIN(2*PI()*(Model_Data!A217)/Inputs!$C$39)+0.35*COS(2*PI()*(Inputs!$C$6)/Inputs!$C$40)+0.2*SIN(2*PI()*((Model_Data!A217)+(Inputs!$C$6))/(0.5*(Inputs!$C$39+Inputs!$C$40))))+Inputs!$C$38*SIN(2*PI()*(Model_Data!A217)/Inputs!$C$39)*SIN(2*PI()*(Inputs!$C$6)/Inputs!$C$40)+-Inputs!$C$41*EXP(-(((Inputs!$C$6)-Inputs!$C$43)^2)/(2*Inputs!$C$44^2))*EXP(-(((Model_Data!A217)-Inputs!$C$42)^2)/(2*Inputs!$C$45^2))+Inputs!$C$48*(0.7*(0.45*SIN(2*PI()*(((Model_Data!A217)/Inputs!$C$49)+Inputs!$C$47*0.137))+0.35*COS(2*PI()*(((Inputs!$C$6)/Inputs!$C$50)+Inputs!$C$47*0.173))+0.2*SIN(2*PI()*(((Model_Data!A217)+(Inputs!$C$6))/(0.5*(Inputs!$C$49+Inputs!$C$50))+Inputs!$C$47*0.097)))+0.3*(2*((SIN(((Model_Data!A217)*12.9898+(Inputs!$C$6)*78.233+Inputs!$C$47*37.719))*43758.5453)-INT((SIN(((Model_Data!A217)*12.9898+(Inputs!$C$6)*78.233+Inputs!$C$47*37.719))*43758.5453)))-1))))/1000)^2)</f>
        <v>405.96349529034171</v>
      </c>
      <c r="AB217" s="9">
        <f>1000*(AA218-AA216)/(Z218-Z216)*Inputs!$C$11</f>
        <v>863.0714325649933</v>
      </c>
      <c r="AC217" s="9">
        <f>-2*AB217/Inputs!$C$13</f>
        <v>-345.22857302599732</v>
      </c>
      <c r="AD217" s="9">
        <f>-2*AB217/Inputs!$C$14</f>
        <v>-51.836122075975581</v>
      </c>
    </row>
    <row r="218" spans="1:30">
      <c r="A218" s="9">
        <f>Model_Data!A218</f>
        <v>48</v>
      </c>
      <c r="B218" s="9">
        <f>((SQRT((Model_Data!A218)^2+Inputs!$C$6^2+Inputs!$C$5^2)-Inputs!$C$5)*1000/Inputs!$C$12)</f>
        <v>2047.5537624593067</v>
      </c>
      <c r="C218" s="9">
        <f>Model_Data!F218</f>
        <v>2034.6492181694086</v>
      </c>
      <c r="D218" s="9">
        <f>(((SQRT((Model_Data!A218)^2+Inputs!$C$6^2+((Model_Data!B218)-((Inputs!$C$51*(115*EXP(-(((Inputs!$C$6)-25)^2)/(4.5^2))+70*EXP(-(((Inputs!$C$6)+38)^2)/(7^2))*(0.55+0.45*SIN(2*PI()*(Model_Data!A218)/45))+24*SIN(2*PI()*(Inputs!$C$6)/9+(Model_Data!A218)/18)*EXP(-(((Inputs!$C$6)+5)^2)/(22^2))+18*SIN(2*PI()*(Model_Data!A218)/70))+Inputs!$C$28*EXP(-(((Model_Data!A218)-Inputs!$C$29)^2)/(2*Inputs!$C$31^2))*EXP(-(((Inputs!$C$6)-Inputs!$C$30)^2)/(2*Inputs!$C$32^2))+-Inputs!$C$33*EXP(-(((((Model_Data!A218)-Inputs!$C$34)^2)+(((Inputs!$C$6)-Inputs!$C$35)^2))/(2*Inputs!$C$36^2)))+Inputs!$C$37*(0.55*SIN(2*PI()*(Model_Data!A218)/Inputs!$C$39)+0.35*COS(2*PI()*(Inputs!$C$6)/Inputs!$C$40)+0.2*SIN(2*PI()*((Model_Data!A218)+(Inputs!$C$6))/(0.5*(Inputs!$C$39+Inputs!$C$40))))+Inputs!$C$38*SIN(2*PI()*(Model_Data!A218)/Inputs!$C$39)*SIN(2*PI()*(Inputs!$C$6)/Inputs!$C$40)+-Inputs!$C$41*EXP(-(((Inputs!$C$6)-Inputs!$C$43)^2)/(2*Inputs!$C$44^2))*EXP(-(((Model_Data!A218)-Inputs!$C$42)^2)/(2*Inputs!$C$45^2))+Inputs!$C$48*(0.7*(0.45*SIN(2*PI()*(((Model_Data!A218)/Inputs!$C$49)+Inputs!$C$47*0.137))+0.35*COS(2*PI()*(((Inputs!$C$6)/Inputs!$C$50)+Inputs!$C$47*0.173))+0.2*SIN(2*PI()*(((Model_Data!A218)+(Inputs!$C$6))/(0.5*(Inputs!$C$49+Inputs!$C$50))+Inputs!$C$47*0.097)))+0.3*(2*((SIN(((Model_Data!A218)*12.9898+(Inputs!$C$6)*78.233+Inputs!$C$47*37.719))*43758.5453)-INT((SIN(((Model_Data!A218)*12.9898+(Inputs!$C$6)*78.233+Inputs!$C$47*37.719))*43758.5453)))-1))))/1000)^2))-(((Model_Data!B218)-((Inputs!$C$51*(115*EXP(-(((0)-25)^2)/(4.5^2))+70*EXP(-(((0)+38)^2)/(7^2))*(0.55+0.45*SIN(2*PI()*(Model_Data!A218)/45))+24*SIN(2*PI()*(0)/9+(Model_Data!A218)/18)*EXP(-(((0)+5)^2)/(22^2))+18*SIN(2*PI()*(Model_Data!A218)/70))+Inputs!$C$28*EXP(-(((Model_Data!A218)-Inputs!$C$29)^2)/(2*Inputs!$C$31^2))*EXP(-(((0)-Inputs!$C$30)^2)/(2*Inputs!$C$32^2))+-Inputs!$C$33*EXP(-(((((Model_Data!A218)-Inputs!$C$34)^2)+(((0)-Inputs!$C$35)^2))/(2*Inputs!$C$36^2)))+Inputs!$C$37*(0.55*SIN(2*PI()*(Model_Data!A218)/Inputs!$C$39)+0.35*COS(2*PI()*(0)/Inputs!$C$40)+0.2*SIN(2*PI()*((Model_Data!A218)+(0))/(0.5*(Inputs!$C$39+Inputs!$C$40))))+Inputs!$C$38*SIN(2*PI()*(Model_Data!A218)/Inputs!$C$39)*SIN(2*PI()*(0)/Inputs!$C$40)+-Inputs!$C$41*EXP(-(((0)-Inputs!$C$43)^2)/(2*Inputs!$C$44^2))*EXP(-(((Model_Data!A218)-Inputs!$C$42)^2)/(2*Inputs!$C$45^2))+Inputs!$C$48*(0.7*(0.45*SIN(2*PI()*(((Model_Data!A218)/Inputs!$C$49)+Inputs!$C$47*0.137))+0.35*COS(2*PI()*(((0)/Inputs!$C$50)+Inputs!$C$47*0.173))+0.2*SIN(2*PI()*(((Model_Data!A218)+(0))/(0.5*(Inputs!$C$49+Inputs!$C$50))+Inputs!$C$47*0.097)))+0.3*(2*((SIN(((Model_Data!A218)*12.9898+(0)*78.233+Inputs!$C$47*37.719))*43758.5453)-INT((SIN(((Model_Data!A218)*12.9898+(0)*78.233+Inputs!$C$47*37.719))*43758.5453)))-1))))/1000)))*1000/Inputs!$C$12)</f>
        <v>1959.9530366453853</v>
      </c>
      <c r="E218" s="9">
        <f>Model_Data!A218</f>
        <v>48</v>
      </c>
      <c r="F218" s="9">
        <f>(Inputs!$C$51*(115*EXP(-(((Inputs!$C$6)-25)^2)/(4.5^2))+70*EXP(-(((Inputs!$C$6)+38)^2)/(7^2))*(0.55+0.45*SIN(2*PI()*(Model_Data!A218)/45))+24*SIN(2*PI()*(Inputs!$C$6)/9+(Model_Data!A218)/18)*EXP(-(((Inputs!$C$6)+5)^2)/(22^2))+18*SIN(2*PI()*(Model_Data!A218)/70))+Inputs!$C$28*EXP(-(((Model_Data!A218)-Inputs!$C$29)^2)/(2*Inputs!$C$31^2))*EXP(-(((Inputs!$C$6)-Inputs!$C$30)^2)/(2*Inputs!$C$32^2))+-Inputs!$C$33*EXP(-(((((Model_Data!A218)-Inputs!$C$34)^2)+(((Inputs!$C$6)-Inputs!$C$35)^2))/(2*Inputs!$C$36^2)))+Inputs!$C$37*(0.55*SIN(2*PI()*(Model_Data!A218)/Inputs!$C$39)+0.35*COS(2*PI()*(Inputs!$C$6)/Inputs!$C$40)+0.2*SIN(2*PI()*((Model_Data!A218)+(Inputs!$C$6))/(0.5*(Inputs!$C$39+Inputs!$C$40))))+Inputs!$C$38*SIN(2*PI()*(Model_Data!A218)/Inputs!$C$39)*SIN(2*PI()*(Inputs!$C$6)/Inputs!$C$40)+-Inputs!$C$41*EXP(-(((Inputs!$C$6)-Inputs!$C$43)^2)/(2*Inputs!$C$44^2))*EXP(-(((Model_Data!A218)-Inputs!$C$42)^2)/(2*Inputs!$C$45^2))+Inputs!$C$48*(0.7*(0.45*SIN(2*PI()*(((Model_Data!A218)/Inputs!$C$49)+Inputs!$C$47*0.137))+0.35*COS(2*PI()*(((Inputs!$C$6)/Inputs!$C$50)+Inputs!$C$47*0.173))+0.2*SIN(2*PI()*(((Model_Data!A218)+(Inputs!$C$6))/(0.5*(Inputs!$C$49+Inputs!$C$50))+Inputs!$C$47*0.097)))+0.3*(2*((SIN(((Model_Data!A218)*12.9898+(Inputs!$C$6)*78.233+Inputs!$C$47*37.719))*43758.5453)-INT((SIN(((Model_Data!A218)*12.9898+(Inputs!$C$6)*78.233+Inputs!$C$47*37.719))*43758.5453)))-1)))</f>
        <v>124.99715373473305</v>
      </c>
      <c r="G218" s="9">
        <f>(Inputs!$C$51*(115*EXP(-(((0)-25)^2)/(4.5^2))+70*EXP(-(((0)+38)^2)/(7^2))*(0.55+0.45*SIN(2*PI()*(Model_Data!A218)/45))+24*SIN(2*PI()*(0)/9+(Model_Data!A218)/18)*EXP(-(((0)+5)^2)/(22^2))+18*SIN(2*PI()*(Model_Data!A218)/70))+Inputs!$C$28*EXP(-(((Model_Data!A218)-Inputs!$C$29)^2)/(2*Inputs!$C$31^2))*EXP(-(((0)-Inputs!$C$30)^2)/(2*Inputs!$C$32^2))+-Inputs!$C$33*EXP(-(((((Model_Data!A218)-Inputs!$C$34)^2)+(((0)-Inputs!$C$35)^2))/(2*Inputs!$C$36^2)))+Inputs!$C$37*(0.55*SIN(2*PI()*(Model_Data!A218)/Inputs!$C$39)+0.35*COS(2*PI()*(0)/Inputs!$C$40)+0.2*SIN(2*PI()*((Model_Data!A218)+(0))/(0.5*(Inputs!$C$39+Inputs!$C$40))))+Inputs!$C$38*SIN(2*PI()*(Model_Data!A218)/Inputs!$C$39)*SIN(2*PI()*(0)/Inputs!$C$40)+-Inputs!$C$41*EXP(-(((0)-Inputs!$C$43)^2)/(2*Inputs!$C$44^2))*EXP(-(((Model_Data!A218)-Inputs!$C$42)^2)/(2*Inputs!$C$45^2))+Inputs!$C$48*(0.7*(0.45*SIN(2*PI()*(((Model_Data!A218)/Inputs!$C$49)+Inputs!$C$47*0.137))+0.35*COS(2*PI()*(((0)/Inputs!$C$50)+Inputs!$C$47*0.173))+0.2*SIN(2*PI()*(((Model_Data!A218)+(0))/(0.5*(Inputs!$C$49+Inputs!$C$50))+Inputs!$C$47*0.097)))+0.3*(2*((SIN(((Model_Data!A218)*12.9898+(0)*78.233+Inputs!$C$47*37.719))*43758.5453)-INT((SIN(((Model_Data!A218)*12.9898+(0)*78.233+Inputs!$C$47*37.719))*43758.5453)))-1)))</f>
        <v>-9.0769147289597925</v>
      </c>
      <c r="H218" s="10"/>
      <c r="I218" s="9">
        <f>Model_Data!A218</f>
        <v>48</v>
      </c>
      <c r="J218" s="9">
        <f>(Inputs!$C$51*(115*EXP(-(((Inputs!$C$6)-25)^2)/(4.5^2))+70*EXP(-(((Inputs!$C$6)+38)^2)/(7^2))*(0.55+0.45*SIN(2*PI()*(Model_Data!A218)/45))+24*SIN(2*PI()*(Inputs!$C$6)/9+(Model_Data!A218)/18)*EXP(-(((Inputs!$C$6)+5)^2)/(22^2))+18*SIN(2*PI()*(Model_Data!A218)/70))+Inputs!$C$28*EXP(-(((Model_Data!A218)-Inputs!$C$29)^2)/(2*Inputs!$C$31^2))*EXP(-(((Inputs!$C$6)-Inputs!$C$30)^2)/(2*Inputs!$C$32^2))+-Inputs!$C$33*EXP(-(((((Model_Data!A218)-Inputs!$C$34)^2)+(((Inputs!$C$6)-Inputs!$C$35)^2))/(2*Inputs!$C$36^2)))+Inputs!$C$37*(0.55*SIN(2*PI()*(Model_Data!A218)/Inputs!$C$39)+0.35*COS(2*PI()*(Inputs!$C$6)/Inputs!$C$40)+0.2*SIN(2*PI()*((Model_Data!A218)+(Inputs!$C$6))/(0.5*(Inputs!$C$39+Inputs!$C$40))))+Inputs!$C$38*SIN(2*PI()*(Model_Data!A218)/Inputs!$C$39)*SIN(2*PI()*(Inputs!$C$6)/Inputs!$C$40)+-Inputs!$C$41*EXP(-(((Inputs!$C$6)-Inputs!$C$43)^2)/(2*Inputs!$C$44^2))*EXP(-(((Model_Data!A218)-Inputs!$C$42)^2)/(2*Inputs!$C$45^2))+Inputs!$C$48*(0.7*(0.45*SIN(2*PI()*(((Model_Data!A218)/Inputs!$C$49)+Inputs!$C$47*0.137))+0.35*COS(2*PI()*(((Inputs!$C$6)/Inputs!$C$50)+Inputs!$C$47*0.173))+0.2*SIN(2*PI()*(((Model_Data!A218)+(Inputs!$C$6))/(0.5*(Inputs!$C$49+Inputs!$C$50))+Inputs!$C$47*0.097)))+0.3*(2*((SIN(((Model_Data!A218)*12.9898+(Inputs!$C$6)*78.233+Inputs!$C$47*37.719))*43758.5453)-INT((SIN(((Model_Data!A218)*12.9898+(Inputs!$C$6)*78.233+Inputs!$C$47*37.719))*43758.5453)))-1)))</f>
        <v>124.99715373473305</v>
      </c>
      <c r="K218" s="9">
        <f>-((((SQRT((Model_Data!A218)^2+Inputs!$C$6^2+((Model_Data!B218)-((Inputs!$C$51*(115*EXP(-(((Inputs!$C$6)-25)^2)/(4.5^2))+70*EXP(-(((Inputs!$C$6)+38)^2)/(7^2))*(0.55+0.45*SIN(2*PI()*(Model_Data!A218)/45))+24*SIN(2*PI()*(Inputs!$C$6)/9+(Model_Data!A218)/18)*EXP(-(((Inputs!$C$6)+5)^2)/(22^2))+18*SIN(2*PI()*(Model_Data!A218)/70))+Inputs!$C$28*EXP(-(((Model_Data!A218)-Inputs!$C$29)^2)/(2*Inputs!$C$31^2))*EXP(-(((Inputs!$C$6)-Inputs!$C$30)^2)/(2*Inputs!$C$32^2))+-Inputs!$C$33*EXP(-(((((Model_Data!A218)-Inputs!$C$34)^2)+(((Inputs!$C$6)-Inputs!$C$35)^2))/(2*Inputs!$C$36^2)))+Inputs!$C$37*(0.55*SIN(2*PI()*(Model_Data!A218)/Inputs!$C$39)+0.35*COS(2*PI()*(Inputs!$C$6)/Inputs!$C$40)+0.2*SIN(2*PI()*((Model_Data!A218)+(Inputs!$C$6))/(0.5*(Inputs!$C$39+Inputs!$C$40))))+Inputs!$C$38*SIN(2*PI()*(Model_Data!A218)/Inputs!$C$39)*SIN(2*PI()*(Inputs!$C$6)/Inputs!$C$40)+-Inputs!$C$41*EXP(-(((Inputs!$C$6)-Inputs!$C$43)^2)/(2*Inputs!$C$44^2))*EXP(-(((Model_Data!A218)-Inputs!$C$42)^2)/(2*Inputs!$C$45^2))+Inputs!$C$48*(0.7*(0.45*SIN(2*PI()*(((Model_Data!A218)/Inputs!$C$49)+Inputs!$C$47*0.137))+0.35*COS(2*PI()*(((Inputs!$C$6)/Inputs!$C$50)+Inputs!$C$47*0.173))+0.2*SIN(2*PI()*(((Model_Data!A218)+(Inputs!$C$6))/(0.5*(Inputs!$C$49+Inputs!$C$50))+Inputs!$C$47*0.097)))+0.3*(2*((SIN(((Model_Data!A218)*12.9898+(Inputs!$C$6)*78.233+Inputs!$C$47*37.719))*43758.5453)-INT((SIN(((Model_Data!A218)*12.9898+(Inputs!$C$6)*78.233+Inputs!$C$47*37.719))*43758.5453)))-1))))/1000)^2))-(((Model_Data!B218)-((Inputs!$C$51*(115*EXP(-(((0)-25)^2)/(4.5^2))+70*EXP(-(((0)+38)^2)/(7^2))*(0.55+0.45*SIN(2*PI()*(Model_Data!A218)/45))+24*SIN(2*PI()*(0)/9+(Model_Data!A218)/18)*EXP(-(((0)+5)^2)/(22^2))+18*SIN(2*PI()*(Model_Data!A218)/70))+Inputs!$C$28*EXP(-(((Model_Data!A218)-Inputs!$C$29)^2)/(2*Inputs!$C$31^2))*EXP(-(((0)-Inputs!$C$30)^2)/(2*Inputs!$C$32^2))+-Inputs!$C$33*EXP(-(((((Model_Data!A218)-Inputs!$C$34)^2)+(((0)-Inputs!$C$35)^2))/(2*Inputs!$C$36^2)))+Inputs!$C$37*(0.55*SIN(2*PI()*(Model_Data!A218)/Inputs!$C$39)+0.35*COS(2*PI()*(0)/Inputs!$C$40)+0.2*SIN(2*PI()*((Model_Data!A218)+(0))/(0.5*(Inputs!$C$39+Inputs!$C$40))))+Inputs!$C$38*SIN(2*PI()*(Model_Data!A218)/Inputs!$C$39)*SIN(2*PI()*(0)/Inputs!$C$40)+-Inputs!$C$41*EXP(-(((0)-Inputs!$C$43)^2)/(2*Inputs!$C$44^2))*EXP(-(((Model_Data!A218)-Inputs!$C$42)^2)/(2*Inputs!$C$45^2))+Inputs!$C$48*(0.7*(0.45*SIN(2*PI()*(((Model_Data!A218)/Inputs!$C$49)+Inputs!$C$47*0.137))+0.35*COS(2*PI()*(((0)/Inputs!$C$50)+Inputs!$C$47*0.173))+0.2*SIN(2*PI()*(((Model_Data!A218)+(0))/(0.5*(Inputs!$C$49+Inputs!$C$50))+Inputs!$C$47*0.097)))+0.3*(2*((SIN(((Model_Data!A218)*12.9898+(0)*78.233+Inputs!$C$47*37.719))*43758.5453)-INT((SIN(((Model_Data!A218)*12.9898+(0)*78.233+Inputs!$C$47*37.719))*43758.5453)))-1))))/1000)))*1000/Inputs!$C$12)-Model_Data!F218)</f>
        <v>74.696181524023359</v>
      </c>
      <c r="L218" s="10"/>
      <c r="M218" s="9">
        <f>Model_Data!A218</f>
        <v>48</v>
      </c>
      <c r="N218" s="9">
        <f>Model_Data!P218</f>
        <v>-358.22288909368314</v>
      </c>
      <c r="O218" s="9">
        <f t="shared" si="6"/>
        <v>-347.94644056573816</v>
      </c>
      <c r="P218" s="9">
        <f>Model_Data!Q218</f>
        <v>-53.787220584637112</v>
      </c>
      <c r="Q218" s="9">
        <f t="shared" si="7"/>
        <v>-52.244210295155881</v>
      </c>
      <c r="R218" s="10"/>
      <c r="S218" s="9">
        <f>Model_Data!A218</f>
        <v>48</v>
      </c>
      <c r="T218" s="9">
        <f>Model_Data!B218-Inputs!$C$5</f>
        <v>2.5600000000000023</v>
      </c>
      <c r="U218" s="10"/>
      <c r="V218" s="9">
        <f>Model_Data!A218</f>
        <v>48</v>
      </c>
      <c r="W218" s="9">
        <f>((SQRT((Model_Data!A218)^2+Inputs!$C$6^2+Inputs!$C$5^2)-Inputs!$C$5)*1000/Inputs!$C$12)</f>
        <v>2047.5537624593067</v>
      </c>
      <c r="X218" s="9">
        <f>Model_Data!F218</f>
        <v>2034.6492181694086</v>
      </c>
      <c r="Y218" s="10"/>
      <c r="Z218" s="9">
        <f>Model_Data!A218</f>
        <v>48</v>
      </c>
      <c r="AA218" s="9">
        <f>SQRT((Model_Data!A218)^2+Inputs!$C$6^2+((Model_Data!B218)-((Inputs!$C$51*(115*EXP(-(((Inputs!$C$6)-25)^2)/(4.5^2))+70*EXP(-(((Inputs!$C$6)+38)^2)/(7^2))*(0.55+0.45*SIN(2*PI()*(Model_Data!A218)/45))+24*SIN(2*PI()*(Inputs!$C$6)/9+(Model_Data!A218)/18)*EXP(-(((Inputs!$C$6)+5)^2)/(22^2))+18*SIN(2*PI()*(Model_Data!A218)/70))+Inputs!$C$28*EXP(-(((Model_Data!A218)-Inputs!$C$29)^2)/(2*Inputs!$C$31^2))*EXP(-(((Inputs!$C$6)-Inputs!$C$30)^2)/(2*Inputs!$C$32^2))+-Inputs!$C$33*EXP(-(((((Model_Data!A218)-Inputs!$C$34)^2)+(((Inputs!$C$6)-Inputs!$C$35)^2))/(2*Inputs!$C$36^2)))+Inputs!$C$37*(0.55*SIN(2*PI()*(Model_Data!A218)/Inputs!$C$39)+0.35*COS(2*PI()*(Inputs!$C$6)/Inputs!$C$40)+0.2*SIN(2*PI()*((Model_Data!A218)+(Inputs!$C$6))/(0.5*(Inputs!$C$39+Inputs!$C$40))))+Inputs!$C$38*SIN(2*PI()*(Model_Data!A218)/Inputs!$C$39)*SIN(2*PI()*(Inputs!$C$6)/Inputs!$C$40)+-Inputs!$C$41*EXP(-(((Inputs!$C$6)-Inputs!$C$43)^2)/(2*Inputs!$C$44^2))*EXP(-(((Model_Data!A218)-Inputs!$C$42)^2)/(2*Inputs!$C$45^2))+Inputs!$C$48*(0.7*(0.45*SIN(2*PI()*(((Model_Data!A218)/Inputs!$C$49)+Inputs!$C$47*0.137))+0.35*COS(2*PI()*(((Inputs!$C$6)/Inputs!$C$50)+Inputs!$C$47*0.173))+0.2*SIN(2*PI()*(((Model_Data!A218)+(Inputs!$C$6))/(0.5*(Inputs!$C$49+Inputs!$C$50))+Inputs!$C$47*0.097)))+0.3*(2*((SIN(((Model_Data!A218)*12.9898+(Inputs!$C$6)*78.233+Inputs!$C$47*37.719))*43758.5453)-INT((SIN(((Model_Data!A218)*12.9898+(Inputs!$C$6)*78.233+Inputs!$C$47*37.719))*43758.5453)))-1))))/1000)^2)</f>
        <v>406.05779331995774</v>
      </c>
      <c r="AB218" s="9">
        <f>1000*(AA219-AA217)/(Z219-Z217)*Inputs!$C$11</f>
        <v>869.86610141434539</v>
      </c>
      <c r="AC218" s="9">
        <f>-2*AB218/Inputs!$C$13</f>
        <v>-347.94644056573816</v>
      </c>
      <c r="AD218" s="9">
        <f>-2*AB218/Inputs!$C$14</f>
        <v>-52.244210295155881</v>
      </c>
    </row>
    <row r="219" spans="1:30">
      <c r="A219" s="9">
        <f>Model_Data!A219</f>
        <v>48.5</v>
      </c>
      <c r="B219" s="9">
        <f>((SQRT((Model_Data!A219)^2+Inputs!$C$6^2+Inputs!$C$5^2)-Inputs!$C$5)*1000/Inputs!$C$12)</f>
        <v>2081.1287588117648</v>
      </c>
      <c r="C219" s="9">
        <f>Model_Data!F219</f>
        <v>2067.7416568945596</v>
      </c>
      <c r="D219" s="9">
        <f>(((SQRT((Model_Data!A219)^2+Inputs!$C$6^2+((Model_Data!B219)-((Inputs!$C$51*(115*EXP(-(((Inputs!$C$6)-25)^2)/(4.5^2))+70*EXP(-(((Inputs!$C$6)+38)^2)/(7^2))*(0.55+0.45*SIN(2*PI()*(Model_Data!A219)/45))+24*SIN(2*PI()*(Inputs!$C$6)/9+(Model_Data!A219)/18)*EXP(-(((Inputs!$C$6)+5)^2)/(22^2))+18*SIN(2*PI()*(Model_Data!A219)/70))+Inputs!$C$28*EXP(-(((Model_Data!A219)-Inputs!$C$29)^2)/(2*Inputs!$C$31^2))*EXP(-(((Inputs!$C$6)-Inputs!$C$30)^2)/(2*Inputs!$C$32^2))+-Inputs!$C$33*EXP(-(((((Model_Data!A219)-Inputs!$C$34)^2)+(((Inputs!$C$6)-Inputs!$C$35)^2))/(2*Inputs!$C$36^2)))+Inputs!$C$37*(0.55*SIN(2*PI()*(Model_Data!A219)/Inputs!$C$39)+0.35*COS(2*PI()*(Inputs!$C$6)/Inputs!$C$40)+0.2*SIN(2*PI()*((Model_Data!A219)+(Inputs!$C$6))/(0.5*(Inputs!$C$39+Inputs!$C$40))))+Inputs!$C$38*SIN(2*PI()*(Model_Data!A219)/Inputs!$C$39)*SIN(2*PI()*(Inputs!$C$6)/Inputs!$C$40)+-Inputs!$C$41*EXP(-(((Inputs!$C$6)-Inputs!$C$43)^2)/(2*Inputs!$C$44^2))*EXP(-(((Model_Data!A219)-Inputs!$C$42)^2)/(2*Inputs!$C$45^2))+Inputs!$C$48*(0.7*(0.45*SIN(2*PI()*(((Model_Data!A219)/Inputs!$C$49)+Inputs!$C$47*0.137))+0.35*COS(2*PI()*(((Inputs!$C$6)/Inputs!$C$50)+Inputs!$C$47*0.173))+0.2*SIN(2*PI()*(((Model_Data!A219)+(Inputs!$C$6))/(0.5*(Inputs!$C$49+Inputs!$C$50))+Inputs!$C$47*0.097)))+0.3*(2*((SIN(((Model_Data!A219)*12.9898+(Inputs!$C$6)*78.233+Inputs!$C$47*37.719))*43758.5453)-INT((SIN(((Model_Data!A219)*12.9898+(Inputs!$C$6)*78.233+Inputs!$C$47*37.719))*43758.5453)))-1))))/1000)^2))-(((Model_Data!B219)-((Inputs!$C$51*(115*EXP(-(((0)-25)^2)/(4.5^2))+70*EXP(-(((0)+38)^2)/(7^2))*(0.55+0.45*SIN(2*PI()*(Model_Data!A219)/45))+24*SIN(2*PI()*(0)/9+(Model_Data!A219)/18)*EXP(-(((0)+5)^2)/(22^2))+18*SIN(2*PI()*(Model_Data!A219)/70))+Inputs!$C$28*EXP(-(((Model_Data!A219)-Inputs!$C$29)^2)/(2*Inputs!$C$31^2))*EXP(-(((0)-Inputs!$C$30)^2)/(2*Inputs!$C$32^2))+-Inputs!$C$33*EXP(-(((((Model_Data!A219)-Inputs!$C$34)^2)+(((0)-Inputs!$C$35)^2))/(2*Inputs!$C$36^2)))+Inputs!$C$37*(0.55*SIN(2*PI()*(Model_Data!A219)/Inputs!$C$39)+0.35*COS(2*PI()*(0)/Inputs!$C$40)+0.2*SIN(2*PI()*((Model_Data!A219)+(0))/(0.5*(Inputs!$C$39+Inputs!$C$40))))+Inputs!$C$38*SIN(2*PI()*(Model_Data!A219)/Inputs!$C$39)*SIN(2*PI()*(0)/Inputs!$C$40)+-Inputs!$C$41*EXP(-(((0)-Inputs!$C$43)^2)/(2*Inputs!$C$44^2))*EXP(-(((Model_Data!A219)-Inputs!$C$42)^2)/(2*Inputs!$C$45^2))+Inputs!$C$48*(0.7*(0.45*SIN(2*PI()*(((Model_Data!A219)/Inputs!$C$49)+Inputs!$C$47*0.137))+0.35*COS(2*PI()*(((0)/Inputs!$C$50)+Inputs!$C$47*0.173))+0.2*SIN(2*PI()*(((Model_Data!A219)+(0))/(0.5*(Inputs!$C$49+Inputs!$C$50))+Inputs!$C$47*0.097)))+0.3*(2*((SIN(((Model_Data!A219)*12.9898+(0)*78.233+Inputs!$C$47*37.719))*43758.5453)-INT((SIN(((Model_Data!A219)*12.9898+(0)*78.233+Inputs!$C$47*37.719))*43758.5453)))-1))))/1000)))*1000/Inputs!$C$12)</f>
        <v>2002.9830515697727</v>
      </c>
      <c r="E219" s="9">
        <f>Model_Data!A219</f>
        <v>48.5</v>
      </c>
      <c r="F219" s="9">
        <f>(Inputs!$C$51*(115*EXP(-(((Inputs!$C$6)-25)^2)/(4.5^2))+70*EXP(-(((Inputs!$C$6)+38)^2)/(7^2))*(0.55+0.45*SIN(2*PI()*(Model_Data!A219)/45))+24*SIN(2*PI()*(Inputs!$C$6)/9+(Model_Data!A219)/18)*EXP(-(((Inputs!$C$6)+5)^2)/(22^2))+18*SIN(2*PI()*(Model_Data!A219)/70))+Inputs!$C$28*EXP(-(((Model_Data!A219)-Inputs!$C$29)^2)/(2*Inputs!$C$31^2))*EXP(-(((Inputs!$C$6)-Inputs!$C$30)^2)/(2*Inputs!$C$32^2))+-Inputs!$C$33*EXP(-(((((Model_Data!A219)-Inputs!$C$34)^2)+(((Inputs!$C$6)-Inputs!$C$35)^2))/(2*Inputs!$C$36^2)))+Inputs!$C$37*(0.55*SIN(2*PI()*(Model_Data!A219)/Inputs!$C$39)+0.35*COS(2*PI()*(Inputs!$C$6)/Inputs!$C$40)+0.2*SIN(2*PI()*((Model_Data!A219)+(Inputs!$C$6))/(0.5*(Inputs!$C$39+Inputs!$C$40))))+Inputs!$C$38*SIN(2*PI()*(Model_Data!A219)/Inputs!$C$39)*SIN(2*PI()*(Inputs!$C$6)/Inputs!$C$40)+-Inputs!$C$41*EXP(-(((Inputs!$C$6)-Inputs!$C$43)^2)/(2*Inputs!$C$44^2))*EXP(-(((Model_Data!A219)-Inputs!$C$42)^2)/(2*Inputs!$C$45^2))+Inputs!$C$48*(0.7*(0.45*SIN(2*PI()*(((Model_Data!A219)/Inputs!$C$49)+Inputs!$C$47*0.137))+0.35*COS(2*PI()*(((Inputs!$C$6)/Inputs!$C$50)+Inputs!$C$47*0.173))+0.2*SIN(2*PI()*(((Model_Data!A219)+(Inputs!$C$6))/(0.5*(Inputs!$C$49+Inputs!$C$50))+Inputs!$C$47*0.097)))+0.3*(2*((SIN(((Model_Data!A219)*12.9898+(Inputs!$C$6)*78.233+Inputs!$C$47*37.719))*43758.5453)-INT((SIN(((Model_Data!A219)*12.9898+(Inputs!$C$6)*78.233+Inputs!$C$47*37.719))*43758.5453)))-1)))</f>
        <v>114.26484888006172</v>
      </c>
      <c r="G219" s="9">
        <f>(Inputs!$C$51*(115*EXP(-(((0)-25)^2)/(4.5^2))+70*EXP(-(((0)+38)^2)/(7^2))*(0.55+0.45*SIN(2*PI()*(Model_Data!A219)/45))+24*SIN(2*PI()*(0)/9+(Model_Data!A219)/18)*EXP(-(((0)+5)^2)/(22^2))+18*SIN(2*PI()*(Model_Data!A219)/70))+Inputs!$C$28*EXP(-(((Model_Data!A219)-Inputs!$C$29)^2)/(2*Inputs!$C$31^2))*EXP(-(((0)-Inputs!$C$30)^2)/(2*Inputs!$C$32^2))+-Inputs!$C$33*EXP(-(((((Model_Data!A219)-Inputs!$C$34)^2)+(((0)-Inputs!$C$35)^2))/(2*Inputs!$C$36^2)))+Inputs!$C$37*(0.55*SIN(2*PI()*(Model_Data!A219)/Inputs!$C$39)+0.35*COS(2*PI()*(0)/Inputs!$C$40)+0.2*SIN(2*PI()*((Model_Data!A219)+(0))/(0.5*(Inputs!$C$39+Inputs!$C$40))))+Inputs!$C$38*SIN(2*PI()*(Model_Data!A219)/Inputs!$C$39)*SIN(2*PI()*(0)/Inputs!$C$40)+-Inputs!$C$41*EXP(-(((0)-Inputs!$C$43)^2)/(2*Inputs!$C$44^2))*EXP(-(((Model_Data!A219)-Inputs!$C$42)^2)/(2*Inputs!$C$45^2))+Inputs!$C$48*(0.7*(0.45*SIN(2*PI()*(((Model_Data!A219)/Inputs!$C$49)+Inputs!$C$47*0.137))+0.35*COS(2*PI()*(((0)/Inputs!$C$50)+Inputs!$C$47*0.173))+0.2*SIN(2*PI()*(((Model_Data!A219)+(0))/(0.5*(Inputs!$C$49+Inputs!$C$50))+Inputs!$C$47*0.097)))+0.3*(2*((SIN(((Model_Data!A219)*12.9898+(0)*78.233+Inputs!$C$47*37.719))*43758.5453)-INT((SIN(((Model_Data!A219)*12.9898+(0)*78.233+Inputs!$C$47*37.719))*43758.5453)))-1)))</f>
        <v>-2.0408727900443155</v>
      </c>
      <c r="H219" s="10"/>
      <c r="I219" s="9">
        <f>Model_Data!A219</f>
        <v>48.5</v>
      </c>
      <c r="J219" s="9">
        <f>(Inputs!$C$51*(115*EXP(-(((Inputs!$C$6)-25)^2)/(4.5^2))+70*EXP(-(((Inputs!$C$6)+38)^2)/(7^2))*(0.55+0.45*SIN(2*PI()*(Model_Data!A219)/45))+24*SIN(2*PI()*(Inputs!$C$6)/9+(Model_Data!A219)/18)*EXP(-(((Inputs!$C$6)+5)^2)/(22^2))+18*SIN(2*PI()*(Model_Data!A219)/70))+Inputs!$C$28*EXP(-(((Model_Data!A219)-Inputs!$C$29)^2)/(2*Inputs!$C$31^2))*EXP(-(((Inputs!$C$6)-Inputs!$C$30)^2)/(2*Inputs!$C$32^2))+-Inputs!$C$33*EXP(-(((((Model_Data!A219)-Inputs!$C$34)^2)+(((Inputs!$C$6)-Inputs!$C$35)^2))/(2*Inputs!$C$36^2)))+Inputs!$C$37*(0.55*SIN(2*PI()*(Model_Data!A219)/Inputs!$C$39)+0.35*COS(2*PI()*(Inputs!$C$6)/Inputs!$C$40)+0.2*SIN(2*PI()*((Model_Data!A219)+(Inputs!$C$6))/(0.5*(Inputs!$C$39+Inputs!$C$40))))+Inputs!$C$38*SIN(2*PI()*(Model_Data!A219)/Inputs!$C$39)*SIN(2*PI()*(Inputs!$C$6)/Inputs!$C$40)+-Inputs!$C$41*EXP(-(((Inputs!$C$6)-Inputs!$C$43)^2)/(2*Inputs!$C$44^2))*EXP(-(((Model_Data!A219)-Inputs!$C$42)^2)/(2*Inputs!$C$45^2))+Inputs!$C$48*(0.7*(0.45*SIN(2*PI()*(((Model_Data!A219)/Inputs!$C$49)+Inputs!$C$47*0.137))+0.35*COS(2*PI()*(((Inputs!$C$6)/Inputs!$C$50)+Inputs!$C$47*0.173))+0.2*SIN(2*PI()*(((Model_Data!A219)+(Inputs!$C$6))/(0.5*(Inputs!$C$49+Inputs!$C$50))+Inputs!$C$47*0.097)))+0.3*(2*((SIN(((Model_Data!A219)*12.9898+(Inputs!$C$6)*78.233+Inputs!$C$47*37.719))*43758.5453)-INT((SIN(((Model_Data!A219)*12.9898+(Inputs!$C$6)*78.233+Inputs!$C$47*37.719))*43758.5453)))-1)))</f>
        <v>114.26484888006172</v>
      </c>
      <c r="K219" s="9">
        <f>-((((SQRT((Model_Data!A219)^2+Inputs!$C$6^2+((Model_Data!B219)-((Inputs!$C$51*(115*EXP(-(((Inputs!$C$6)-25)^2)/(4.5^2))+70*EXP(-(((Inputs!$C$6)+38)^2)/(7^2))*(0.55+0.45*SIN(2*PI()*(Model_Data!A219)/45))+24*SIN(2*PI()*(Inputs!$C$6)/9+(Model_Data!A219)/18)*EXP(-(((Inputs!$C$6)+5)^2)/(22^2))+18*SIN(2*PI()*(Model_Data!A219)/70))+Inputs!$C$28*EXP(-(((Model_Data!A219)-Inputs!$C$29)^2)/(2*Inputs!$C$31^2))*EXP(-(((Inputs!$C$6)-Inputs!$C$30)^2)/(2*Inputs!$C$32^2))+-Inputs!$C$33*EXP(-(((((Model_Data!A219)-Inputs!$C$34)^2)+(((Inputs!$C$6)-Inputs!$C$35)^2))/(2*Inputs!$C$36^2)))+Inputs!$C$37*(0.55*SIN(2*PI()*(Model_Data!A219)/Inputs!$C$39)+0.35*COS(2*PI()*(Inputs!$C$6)/Inputs!$C$40)+0.2*SIN(2*PI()*((Model_Data!A219)+(Inputs!$C$6))/(0.5*(Inputs!$C$39+Inputs!$C$40))))+Inputs!$C$38*SIN(2*PI()*(Model_Data!A219)/Inputs!$C$39)*SIN(2*PI()*(Inputs!$C$6)/Inputs!$C$40)+-Inputs!$C$41*EXP(-(((Inputs!$C$6)-Inputs!$C$43)^2)/(2*Inputs!$C$44^2))*EXP(-(((Model_Data!A219)-Inputs!$C$42)^2)/(2*Inputs!$C$45^2))+Inputs!$C$48*(0.7*(0.45*SIN(2*PI()*(((Model_Data!A219)/Inputs!$C$49)+Inputs!$C$47*0.137))+0.35*COS(2*PI()*(((Inputs!$C$6)/Inputs!$C$50)+Inputs!$C$47*0.173))+0.2*SIN(2*PI()*(((Model_Data!A219)+(Inputs!$C$6))/(0.5*(Inputs!$C$49+Inputs!$C$50))+Inputs!$C$47*0.097)))+0.3*(2*((SIN(((Model_Data!A219)*12.9898+(Inputs!$C$6)*78.233+Inputs!$C$47*37.719))*43758.5453)-INT((SIN(((Model_Data!A219)*12.9898+(Inputs!$C$6)*78.233+Inputs!$C$47*37.719))*43758.5453)))-1))))/1000)^2))-(((Model_Data!B219)-((Inputs!$C$51*(115*EXP(-(((0)-25)^2)/(4.5^2))+70*EXP(-(((0)+38)^2)/(7^2))*(0.55+0.45*SIN(2*PI()*(Model_Data!A219)/45))+24*SIN(2*PI()*(0)/9+(Model_Data!A219)/18)*EXP(-(((0)+5)^2)/(22^2))+18*SIN(2*PI()*(Model_Data!A219)/70))+Inputs!$C$28*EXP(-(((Model_Data!A219)-Inputs!$C$29)^2)/(2*Inputs!$C$31^2))*EXP(-(((0)-Inputs!$C$30)^2)/(2*Inputs!$C$32^2))+-Inputs!$C$33*EXP(-(((((Model_Data!A219)-Inputs!$C$34)^2)+(((0)-Inputs!$C$35)^2))/(2*Inputs!$C$36^2)))+Inputs!$C$37*(0.55*SIN(2*PI()*(Model_Data!A219)/Inputs!$C$39)+0.35*COS(2*PI()*(0)/Inputs!$C$40)+0.2*SIN(2*PI()*((Model_Data!A219)+(0))/(0.5*(Inputs!$C$39+Inputs!$C$40))))+Inputs!$C$38*SIN(2*PI()*(Model_Data!A219)/Inputs!$C$39)*SIN(2*PI()*(0)/Inputs!$C$40)+-Inputs!$C$41*EXP(-(((0)-Inputs!$C$43)^2)/(2*Inputs!$C$44^2))*EXP(-(((Model_Data!A219)-Inputs!$C$42)^2)/(2*Inputs!$C$45^2))+Inputs!$C$48*(0.7*(0.45*SIN(2*PI()*(((Model_Data!A219)/Inputs!$C$49)+Inputs!$C$47*0.137))+0.35*COS(2*PI()*(((0)/Inputs!$C$50)+Inputs!$C$47*0.173))+0.2*SIN(2*PI()*(((Model_Data!A219)+(0))/(0.5*(Inputs!$C$49+Inputs!$C$50))+Inputs!$C$47*0.097)))+0.3*(2*((SIN(((Model_Data!A219)*12.9898+(0)*78.233+Inputs!$C$47*37.719))*43758.5453)-INT((SIN(((Model_Data!A219)*12.9898+(0)*78.233+Inputs!$C$47*37.719))*43758.5453)))-1))))/1000)))*1000/Inputs!$C$12)-Model_Data!F219)</f>
        <v>64.758605324786913</v>
      </c>
      <c r="L219" s="10"/>
      <c r="M219" s="9">
        <f>Model_Data!A219</f>
        <v>48.5</v>
      </c>
      <c r="N219" s="9">
        <f>Model_Data!P219</f>
        <v>-361.87689525593146</v>
      </c>
      <c r="O219" s="9">
        <f t="shared" si="6"/>
        <v>-386.43113155867468</v>
      </c>
      <c r="P219" s="9">
        <f>Model_Data!Q219</f>
        <v>-54.335870158548275</v>
      </c>
      <c r="Q219" s="9">
        <f t="shared" si="7"/>
        <v>-58.022692426227437</v>
      </c>
      <c r="R219" s="10"/>
      <c r="S219" s="9">
        <f>Model_Data!A219</f>
        <v>48.5</v>
      </c>
      <c r="T219" s="9">
        <f>Model_Data!B219-Inputs!$C$5</f>
        <v>2.6136111111110836</v>
      </c>
      <c r="U219" s="10"/>
      <c r="V219" s="9">
        <f>Model_Data!A219</f>
        <v>48.5</v>
      </c>
      <c r="W219" s="9">
        <f>((SQRT((Model_Data!A219)^2+Inputs!$C$6^2+Inputs!$C$5^2)-Inputs!$C$5)*1000/Inputs!$C$12)</f>
        <v>2081.1287588117648</v>
      </c>
      <c r="X219" s="9">
        <f>Model_Data!F219</f>
        <v>2067.7416568945596</v>
      </c>
      <c r="Y219" s="10"/>
      <c r="Z219" s="9">
        <f>Model_Data!A219</f>
        <v>48.5</v>
      </c>
      <c r="AA219" s="9">
        <f>SQRT((Model_Data!A219)^2+Inputs!$C$6^2+((Model_Data!B219)-((Inputs!$C$51*(115*EXP(-(((Inputs!$C$6)-25)^2)/(4.5^2))+70*EXP(-(((Inputs!$C$6)+38)^2)/(7^2))*(0.55+0.45*SIN(2*PI()*(Model_Data!A219)/45))+24*SIN(2*PI()*(Inputs!$C$6)/9+(Model_Data!A219)/18)*EXP(-(((Inputs!$C$6)+5)^2)/(22^2))+18*SIN(2*PI()*(Model_Data!A219)/70))+Inputs!$C$28*EXP(-(((Model_Data!A219)-Inputs!$C$29)^2)/(2*Inputs!$C$31^2))*EXP(-(((Inputs!$C$6)-Inputs!$C$30)^2)/(2*Inputs!$C$32^2))+-Inputs!$C$33*EXP(-(((((Model_Data!A219)-Inputs!$C$34)^2)+(((Inputs!$C$6)-Inputs!$C$35)^2))/(2*Inputs!$C$36^2)))+Inputs!$C$37*(0.55*SIN(2*PI()*(Model_Data!A219)/Inputs!$C$39)+0.35*COS(2*PI()*(Inputs!$C$6)/Inputs!$C$40)+0.2*SIN(2*PI()*((Model_Data!A219)+(Inputs!$C$6))/(0.5*(Inputs!$C$39+Inputs!$C$40))))+Inputs!$C$38*SIN(2*PI()*(Model_Data!A219)/Inputs!$C$39)*SIN(2*PI()*(Inputs!$C$6)/Inputs!$C$40)+-Inputs!$C$41*EXP(-(((Inputs!$C$6)-Inputs!$C$43)^2)/(2*Inputs!$C$44^2))*EXP(-(((Model_Data!A219)-Inputs!$C$42)^2)/(2*Inputs!$C$45^2))+Inputs!$C$48*(0.7*(0.45*SIN(2*PI()*(((Model_Data!A219)/Inputs!$C$49)+Inputs!$C$47*0.137))+0.35*COS(2*PI()*(((Inputs!$C$6)/Inputs!$C$50)+Inputs!$C$47*0.173))+0.2*SIN(2*PI()*(((Model_Data!A219)+(Inputs!$C$6))/(0.5*(Inputs!$C$49+Inputs!$C$50))+Inputs!$C$47*0.097)))+0.3*(2*((SIN(((Model_Data!A219)*12.9898+(Inputs!$C$6)*78.233+Inputs!$C$47*37.719))*43758.5453)-INT((SIN(((Model_Data!A219)*12.9898+(Inputs!$C$6)*78.233+Inputs!$C$47*37.719))*43758.5453)))-1))))/1000)^2)</f>
        <v>406.1809618156953</v>
      </c>
      <c r="AB219" s="9">
        <f>1000*(AA220-AA218)/(Z220-Z218)*Inputs!$C$11</f>
        <v>966.0778288966867</v>
      </c>
      <c r="AC219" s="9">
        <f>-2*AB219/Inputs!$C$13</f>
        <v>-386.43113155867468</v>
      </c>
      <c r="AD219" s="9">
        <f>-2*AB219/Inputs!$C$14</f>
        <v>-58.022692426227437</v>
      </c>
    </row>
    <row r="220" spans="1:30">
      <c r="A220" s="9">
        <f>Model_Data!A220</f>
        <v>49</v>
      </c>
      <c r="B220" s="9">
        <f>((SQRT((Model_Data!A220)^2+Inputs!$C$6^2+Inputs!$C$5^2)-Inputs!$C$5)*1000/Inputs!$C$12)</f>
        <v>2115.0466354489636</v>
      </c>
      <c r="C220" s="9">
        <f>Model_Data!F220</f>
        <v>2101.1632843038606</v>
      </c>
      <c r="D220" s="9">
        <f>(((SQRT((Model_Data!A220)^2+Inputs!$C$6^2+((Model_Data!B220)-((Inputs!$C$51*(115*EXP(-(((Inputs!$C$6)-25)^2)/(4.5^2))+70*EXP(-(((Inputs!$C$6)+38)^2)/(7^2))*(0.55+0.45*SIN(2*PI()*(Model_Data!A220)/45))+24*SIN(2*PI()*(Inputs!$C$6)/9+(Model_Data!A220)/18)*EXP(-(((Inputs!$C$6)+5)^2)/(22^2))+18*SIN(2*PI()*(Model_Data!A220)/70))+Inputs!$C$28*EXP(-(((Model_Data!A220)-Inputs!$C$29)^2)/(2*Inputs!$C$31^2))*EXP(-(((Inputs!$C$6)-Inputs!$C$30)^2)/(2*Inputs!$C$32^2))+-Inputs!$C$33*EXP(-(((((Model_Data!A220)-Inputs!$C$34)^2)+(((Inputs!$C$6)-Inputs!$C$35)^2))/(2*Inputs!$C$36^2)))+Inputs!$C$37*(0.55*SIN(2*PI()*(Model_Data!A220)/Inputs!$C$39)+0.35*COS(2*PI()*(Inputs!$C$6)/Inputs!$C$40)+0.2*SIN(2*PI()*((Model_Data!A220)+(Inputs!$C$6))/(0.5*(Inputs!$C$39+Inputs!$C$40))))+Inputs!$C$38*SIN(2*PI()*(Model_Data!A220)/Inputs!$C$39)*SIN(2*PI()*(Inputs!$C$6)/Inputs!$C$40)+-Inputs!$C$41*EXP(-(((Inputs!$C$6)-Inputs!$C$43)^2)/(2*Inputs!$C$44^2))*EXP(-(((Model_Data!A220)-Inputs!$C$42)^2)/(2*Inputs!$C$45^2))+Inputs!$C$48*(0.7*(0.45*SIN(2*PI()*(((Model_Data!A220)/Inputs!$C$49)+Inputs!$C$47*0.137))+0.35*COS(2*PI()*(((Inputs!$C$6)/Inputs!$C$50)+Inputs!$C$47*0.173))+0.2*SIN(2*PI()*(((Model_Data!A220)+(Inputs!$C$6))/(0.5*(Inputs!$C$49+Inputs!$C$50))+Inputs!$C$47*0.097)))+0.3*(2*((SIN(((Model_Data!A220)*12.9898+(Inputs!$C$6)*78.233+Inputs!$C$47*37.719))*43758.5453)-INT((SIN(((Model_Data!A220)*12.9898+(Inputs!$C$6)*78.233+Inputs!$C$47*37.719))*43758.5453)))-1))))/1000)^2))-(((Model_Data!B220)-((Inputs!$C$51*(115*EXP(-(((0)-25)^2)/(4.5^2))+70*EXP(-(((0)+38)^2)/(7^2))*(0.55+0.45*SIN(2*PI()*(Model_Data!A220)/45))+24*SIN(2*PI()*(0)/9+(Model_Data!A220)/18)*EXP(-(((0)+5)^2)/(22^2))+18*SIN(2*PI()*(Model_Data!A220)/70))+Inputs!$C$28*EXP(-(((Model_Data!A220)-Inputs!$C$29)^2)/(2*Inputs!$C$31^2))*EXP(-(((0)-Inputs!$C$30)^2)/(2*Inputs!$C$32^2))+-Inputs!$C$33*EXP(-(((((Model_Data!A220)-Inputs!$C$34)^2)+(((0)-Inputs!$C$35)^2))/(2*Inputs!$C$36^2)))+Inputs!$C$37*(0.55*SIN(2*PI()*(Model_Data!A220)/Inputs!$C$39)+0.35*COS(2*PI()*(0)/Inputs!$C$40)+0.2*SIN(2*PI()*((Model_Data!A220)+(0))/(0.5*(Inputs!$C$39+Inputs!$C$40))))+Inputs!$C$38*SIN(2*PI()*(Model_Data!A220)/Inputs!$C$39)*SIN(2*PI()*(0)/Inputs!$C$40)+-Inputs!$C$41*EXP(-(((0)-Inputs!$C$43)^2)/(2*Inputs!$C$44^2))*EXP(-(((Model_Data!A220)-Inputs!$C$42)^2)/(2*Inputs!$C$45^2))+Inputs!$C$48*(0.7*(0.45*SIN(2*PI()*(((Model_Data!A220)/Inputs!$C$49)+Inputs!$C$47*0.137))+0.35*COS(2*PI()*(((0)/Inputs!$C$50)+Inputs!$C$47*0.173))+0.2*SIN(2*PI()*(((Model_Data!A220)+(0))/(0.5*(Inputs!$C$49+Inputs!$C$50))+Inputs!$C$47*0.097)))+0.3*(2*((SIN(((Model_Data!A220)*12.9898+(0)*78.233+Inputs!$C$47*37.719))*43758.5453)-INT((SIN(((Model_Data!A220)*12.9898+(0)*78.233+Inputs!$C$47*37.719))*43758.5453)))-1))))/1000)))*1000/Inputs!$C$12)</f>
        <v>2046.0483295532854</v>
      </c>
      <c r="E220" s="9">
        <f>Model_Data!A220</f>
        <v>49</v>
      </c>
      <c r="F220" s="9">
        <f>(Inputs!$C$51*(115*EXP(-(((Inputs!$C$6)-25)^2)/(4.5^2))+70*EXP(-(((Inputs!$C$6)+38)^2)/(7^2))*(0.55+0.45*SIN(2*PI()*(Model_Data!A220)/45))+24*SIN(2*PI()*(Inputs!$C$6)/9+(Model_Data!A220)/18)*EXP(-(((Inputs!$C$6)+5)^2)/(22^2))+18*SIN(2*PI()*(Model_Data!A220)/70))+Inputs!$C$28*EXP(-(((Model_Data!A220)-Inputs!$C$29)^2)/(2*Inputs!$C$31^2))*EXP(-(((Inputs!$C$6)-Inputs!$C$30)^2)/(2*Inputs!$C$32^2))+-Inputs!$C$33*EXP(-(((((Model_Data!A220)-Inputs!$C$34)^2)+(((Inputs!$C$6)-Inputs!$C$35)^2))/(2*Inputs!$C$36^2)))+Inputs!$C$37*(0.55*SIN(2*PI()*(Model_Data!A220)/Inputs!$C$39)+0.35*COS(2*PI()*(Inputs!$C$6)/Inputs!$C$40)+0.2*SIN(2*PI()*((Model_Data!A220)+(Inputs!$C$6))/(0.5*(Inputs!$C$39+Inputs!$C$40))))+Inputs!$C$38*SIN(2*PI()*(Model_Data!A220)/Inputs!$C$39)*SIN(2*PI()*(Inputs!$C$6)/Inputs!$C$40)+-Inputs!$C$41*EXP(-(((Inputs!$C$6)-Inputs!$C$43)^2)/(2*Inputs!$C$44^2))*EXP(-(((Model_Data!A220)-Inputs!$C$42)^2)/(2*Inputs!$C$45^2))+Inputs!$C$48*(0.7*(0.45*SIN(2*PI()*(((Model_Data!A220)/Inputs!$C$49)+Inputs!$C$47*0.137))+0.35*COS(2*PI()*(((Inputs!$C$6)/Inputs!$C$50)+Inputs!$C$47*0.173))+0.2*SIN(2*PI()*(((Model_Data!A220)+(Inputs!$C$6))/(0.5*(Inputs!$C$49+Inputs!$C$50))+Inputs!$C$47*0.097)))+0.3*(2*((SIN(((Model_Data!A220)*12.9898+(Inputs!$C$6)*78.233+Inputs!$C$47*37.719))*43758.5453)-INT((SIN(((Model_Data!A220)*12.9898+(Inputs!$C$6)*78.233+Inputs!$C$47*37.719))*43758.5453)))-1)))</f>
        <v>109.54402369059221</v>
      </c>
      <c r="G220" s="9">
        <f>(Inputs!$C$51*(115*EXP(-(((0)-25)^2)/(4.5^2))+70*EXP(-(((0)+38)^2)/(7^2))*(0.55+0.45*SIN(2*PI()*(Model_Data!A220)/45))+24*SIN(2*PI()*(0)/9+(Model_Data!A220)/18)*EXP(-(((0)+5)^2)/(22^2))+18*SIN(2*PI()*(Model_Data!A220)/70))+Inputs!$C$28*EXP(-(((Model_Data!A220)-Inputs!$C$29)^2)/(2*Inputs!$C$31^2))*EXP(-(((0)-Inputs!$C$30)^2)/(2*Inputs!$C$32^2))+-Inputs!$C$33*EXP(-(((((Model_Data!A220)-Inputs!$C$34)^2)+(((0)-Inputs!$C$35)^2))/(2*Inputs!$C$36^2)))+Inputs!$C$37*(0.55*SIN(2*PI()*(Model_Data!A220)/Inputs!$C$39)+0.35*COS(2*PI()*(0)/Inputs!$C$40)+0.2*SIN(2*PI()*((Model_Data!A220)+(0))/(0.5*(Inputs!$C$39+Inputs!$C$40))))+Inputs!$C$38*SIN(2*PI()*(Model_Data!A220)/Inputs!$C$39)*SIN(2*PI()*(0)/Inputs!$C$40)+-Inputs!$C$41*EXP(-(((0)-Inputs!$C$43)^2)/(2*Inputs!$C$44^2))*EXP(-(((Model_Data!A220)-Inputs!$C$42)^2)/(2*Inputs!$C$45^2))+Inputs!$C$48*(0.7*(0.45*SIN(2*PI()*(((Model_Data!A220)/Inputs!$C$49)+Inputs!$C$47*0.137))+0.35*COS(2*PI()*(((0)/Inputs!$C$50)+Inputs!$C$47*0.173))+0.2*SIN(2*PI()*(((Model_Data!A220)+(0))/(0.5*(Inputs!$C$49+Inputs!$C$50))+Inputs!$C$47*0.097)))+0.3*(2*((SIN(((Model_Data!A220)*12.9898+(0)*78.233+Inputs!$C$47*37.719))*43758.5453)-INT((SIN(((Model_Data!A220)*12.9898+(0)*78.233+Inputs!$C$47*37.719))*43758.5453)))-1)))</f>
        <v>10.431027200722241</v>
      </c>
      <c r="H220" s="10"/>
      <c r="I220" s="9">
        <f>Model_Data!A220</f>
        <v>49</v>
      </c>
      <c r="J220" s="9">
        <f>(Inputs!$C$51*(115*EXP(-(((Inputs!$C$6)-25)^2)/(4.5^2))+70*EXP(-(((Inputs!$C$6)+38)^2)/(7^2))*(0.55+0.45*SIN(2*PI()*(Model_Data!A220)/45))+24*SIN(2*PI()*(Inputs!$C$6)/9+(Model_Data!A220)/18)*EXP(-(((Inputs!$C$6)+5)^2)/(22^2))+18*SIN(2*PI()*(Model_Data!A220)/70))+Inputs!$C$28*EXP(-(((Model_Data!A220)-Inputs!$C$29)^2)/(2*Inputs!$C$31^2))*EXP(-(((Inputs!$C$6)-Inputs!$C$30)^2)/(2*Inputs!$C$32^2))+-Inputs!$C$33*EXP(-(((((Model_Data!A220)-Inputs!$C$34)^2)+(((Inputs!$C$6)-Inputs!$C$35)^2))/(2*Inputs!$C$36^2)))+Inputs!$C$37*(0.55*SIN(2*PI()*(Model_Data!A220)/Inputs!$C$39)+0.35*COS(2*PI()*(Inputs!$C$6)/Inputs!$C$40)+0.2*SIN(2*PI()*((Model_Data!A220)+(Inputs!$C$6))/(0.5*(Inputs!$C$39+Inputs!$C$40))))+Inputs!$C$38*SIN(2*PI()*(Model_Data!A220)/Inputs!$C$39)*SIN(2*PI()*(Inputs!$C$6)/Inputs!$C$40)+-Inputs!$C$41*EXP(-(((Inputs!$C$6)-Inputs!$C$43)^2)/(2*Inputs!$C$44^2))*EXP(-(((Model_Data!A220)-Inputs!$C$42)^2)/(2*Inputs!$C$45^2))+Inputs!$C$48*(0.7*(0.45*SIN(2*PI()*(((Model_Data!A220)/Inputs!$C$49)+Inputs!$C$47*0.137))+0.35*COS(2*PI()*(((Inputs!$C$6)/Inputs!$C$50)+Inputs!$C$47*0.173))+0.2*SIN(2*PI()*(((Model_Data!A220)+(Inputs!$C$6))/(0.5*(Inputs!$C$49+Inputs!$C$50))+Inputs!$C$47*0.097)))+0.3*(2*((SIN(((Model_Data!A220)*12.9898+(Inputs!$C$6)*78.233+Inputs!$C$47*37.719))*43758.5453)-INT((SIN(((Model_Data!A220)*12.9898+(Inputs!$C$6)*78.233+Inputs!$C$47*37.719))*43758.5453)))-1)))</f>
        <v>109.54402369059221</v>
      </c>
      <c r="K220" s="9">
        <f>-((((SQRT((Model_Data!A220)^2+Inputs!$C$6^2+((Model_Data!B220)-((Inputs!$C$51*(115*EXP(-(((Inputs!$C$6)-25)^2)/(4.5^2))+70*EXP(-(((Inputs!$C$6)+38)^2)/(7^2))*(0.55+0.45*SIN(2*PI()*(Model_Data!A220)/45))+24*SIN(2*PI()*(Inputs!$C$6)/9+(Model_Data!A220)/18)*EXP(-(((Inputs!$C$6)+5)^2)/(22^2))+18*SIN(2*PI()*(Model_Data!A220)/70))+Inputs!$C$28*EXP(-(((Model_Data!A220)-Inputs!$C$29)^2)/(2*Inputs!$C$31^2))*EXP(-(((Inputs!$C$6)-Inputs!$C$30)^2)/(2*Inputs!$C$32^2))+-Inputs!$C$33*EXP(-(((((Model_Data!A220)-Inputs!$C$34)^2)+(((Inputs!$C$6)-Inputs!$C$35)^2))/(2*Inputs!$C$36^2)))+Inputs!$C$37*(0.55*SIN(2*PI()*(Model_Data!A220)/Inputs!$C$39)+0.35*COS(2*PI()*(Inputs!$C$6)/Inputs!$C$40)+0.2*SIN(2*PI()*((Model_Data!A220)+(Inputs!$C$6))/(0.5*(Inputs!$C$39+Inputs!$C$40))))+Inputs!$C$38*SIN(2*PI()*(Model_Data!A220)/Inputs!$C$39)*SIN(2*PI()*(Inputs!$C$6)/Inputs!$C$40)+-Inputs!$C$41*EXP(-(((Inputs!$C$6)-Inputs!$C$43)^2)/(2*Inputs!$C$44^2))*EXP(-(((Model_Data!A220)-Inputs!$C$42)^2)/(2*Inputs!$C$45^2))+Inputs!$C$48*(0.7*(0.45*SIN(2*PI()*(((Model_Data!A220)/Inputs!$C$49)+Inputs!$C$47*0.137))+0.35*COS(2*PI()*(((Inputs!$C$6)/Inputs!$C$50)+Inputs!$C$47*0.173))+0.2*SIN(2*PI()*(((Model_Data!A220)+(Inputs!$C$6))/(0.5*(Inputs!$C$49+Inputs!$C$50))+Inputs!$C$47*0.097)))+0.3*(2*((SIN(((Model_Data!A220)*12.9898+(Inputs!$C$6)*78.233+Inputs!$C$47*37.719))*43758.5453)-INT((SIN(((Model_Data!A220)*12.9898+(Inputs!$C$6)*78.233+Inputs!$C$47*37.719))*43758.5453)))-1))))/1000)^2))-(((Model_Data!B220)-((Inputs!$C$51*(115*EXP(-(((0)-25)^2)/(4.5^2))+70*EXP(-(((0)+38)^2)/(7^2))*(0.55+0.45*SIN(2*PI()*(Model_Data!A220)/45))+24*SIN(2*PI()*(0)/9+(Model_Data!A220)/18)*EXP(-(((0)+5)^2)/(22^2))+18*SIN(2*PI()*(Model_Data!A220)/70))+Inputs!$C$28*EXP(-(((Model_Data!A220)-Inputs!$C$29)^2)/(2*Inputs!$C$31^2))*EXP(-(((0)-Inputs!$C$30)^2)/(2*Inputs!$C$32^2))+-Inputs!$C$33*EXP(-(((((Model_Data!A220)-Inputs!$C$34)^2)+(((0)-Inputs!$C$35)^2))/(2*Inputs!$C$36^2)))+Inputs!$C$37*(0.55*SIN(2*PI()*(Model_Data!A220)/Inputs!$C$39)+0.35*COS(2*PI()*(0)/Inputs!$C$40)+0.2*SIN(2*PI()*((Model_Data!A220)+(0))/(0.5*(Inputs!$C$39+Inputs!$C$40))))+Inputs!$C$38*SIN(2*PI()*(Model_Data!A220)/Inputs!$C$39)*SIN(2*PI()*(0)/Inputs!$C$40)+-Inputs!$C$41*EXP(-(((0)-Inputs!$C$43)^2)/(2*Inputs!$C$44^2))*EXP(-(((Model_Data!A220)-Inputs!$C$42)^2)/(2*Inputs!$C$45^2))+Inputs!$C$48*(0.7*(0.45*SIN(2*PI()*(((Model_Data!A220)/Inputs!$C$49)+Inputs!$C$47*0.137))+0.35*COS(2*PI()*(((0)/Inputs!$C$50)+Inputs!$C$47*0.173))+0.2*SIN(2*PI()*(((Model_Data!A220)+(0))/(0.5*(Inputs!$C$49+Inputs!$C$50))+Inputs!$C$47*0.097)))+0.3*(2*((SIN(((Model_Data!A220)*12.9898+(0)*78.233+Inputs!$C$47*37.719))*43758.5453)-INT((SIN(((Model_Data!A220)*12.9898+(0)*78.233+Inputs!$C$47*37.719))*43758.5453)))-1))))/1000)))*1000/Inputs!$C$12)-Model_Data!F220)</f>
        <v>55.11495475057518</v>
      </c>
      <c r="L220" s="10"/>
      <c r="M220" s="9">
        <f>Model_Data!A220</f>
        <v>49</v>
      </c>
      <c r="N220" s="9">
        <f>Model_Data!P220</f>
        <v>-365.52855865815678</v>
      </c>
      <c r="O220" s="9">
        <f t="shared" si="6"/>
        <v>-363.11804835240764</v>
      </c>
      <c r="P220" s="9">
        <f>Model_Data!Q220</f>
        <v>-54.884167966690214</v>
      </c>
      <c r="Q220" s="9">
        <f t="shared" si="7"/>
        <v>-54.522229482343491</v>
      </c>
      <c r="R220" s="10"/>
      <c r="S220" s="9">
        <f>Model_Data!A220</f>
        <v>49</v>
      </c>
      <c r="T220" s="9">
        <f>Model_Data!B220-Inputs!$C$5</f>
        <v>2.6677777777777578</v>
      </c>
      <c r="U220" s="10"/>
      <c r="V220" s="9">
        <f>Model_Data!A220</f>
        <v>49</v>
      </c>
      <c r="W220" s="9">
        <f>((SQRT((Model_Data!A220)^2+Inputs!$C$6^2+Inputs!$C$5^2)-Inputs!$C$5)*1000/Inputs!$C$12)</f>
        <v>2115.0466354489636</v>
      </c>
      <c r="X220" s="9">
        <f>Model_Data!F220</f>
        <v>2101.1632843038606</v>
      </c>
      <c r="Y220" s="10"/>
      <c r="Z220" s="9">
        <f>Model_Data!A220</f>
        <v>49</v>
      </c>
      <c r="AA220" s="9">
        <f>SQRT((Model_Data!A220)^2+Inputs!$C$6^2+((Model_Data!B220)-((Inputs!$C$51*(115*EXP(-(((Inputs!$C$6)-25)^2)/(4.5^2))+70*EXP(-(((Inputs!$C$6)+38)^2)/(7^2))*(0.55+0.45*SIN(2*PI()*(Model_Data!A220)/45))+24*SIN(2*PI()*(Inputs!$C$6)/9+(Model_Data!A220)/18)*EXP(-(((Inputs!$C$6)+5)^2)/(22^2))+18*SIN(2*PI()*(Model_Data!A220)/70))+Inputs!$C$28*EXP(-(((Model_Data!A220)-Inputs!$C$29)^2)/(2*Inputs!$C$31^2))*EXP(-(((Inputs!$C$6)-Inputs!$C$30)^2)/(2*Inputs!$C$32^2))+-Inputs!$C$33*EXP(-(((((Model_Data!A220)-Inputs!$C$34)^2)+(((Inputs!$C$6)-Inputs!$C$35)^2))/(2*Inputs!$C$36^2)))+Inputs!$C$37*(0.55*SIN(2*PI()*(Model_Data!A220)/Inputs!$C$39)+0.35*COS(2*PI()*(Inputs!$C$6)/Inputs!$C$40)+0.2*SIN(2*PI()*((Model_Data!A220)+(Inputs!$C$6))/(0.5*(Inputs!$C$39+Inputs!$C$40))))+Inputs!$C$38*SIN(2*PI()*(Model_Data!A220)/Inputs!$C$39)*SIN(2*PI()*(Inputs!$C$6)/Inputs!$C$40)+-Inputs!$C$41*EXP(-(((Inputs!$C$6)-Inputs!$C$43)^2)/(2*Inputs!$C$44^2))*EXP(-(((Model_Data!A220)-Inputs!$C$42)^2)/(2*Inputs!$C$45^2))+Inputs!$C$48*(0.7*(0.45*SIN(2*PI()*(((Model_Data!A220)/Inputs!$C$49)+Inputs!$C$47*0.137))+0.35*COS(2*PI()*(((Inputs!$C$6)/Inputs!$C$50)+Inputs!$C$47*0.173))+0.2*SIN(2*PI()*(((Model_Data!A220)+(Inputs!$C$6))/(0.5*(Inputs!$C$49+Inputs!$C$50))+Inputs!$C$47*0.097)))+0.3*(2*((SIN(((Model_Data!A220)*12.9898+(Inputs!$C$6)*78.233+Inputs!$C$47*37.719))*43758.5453)-INT((SIN(((Model_Data!A220)*12.9898+(Inputs!$C$6)*78.233+Inputs!$C$47*37.719))*43758.5453)))-1))))/1000)^2)</f>
        <v>406.29931277718191</v>
      </c>
      <c r="AB220" s="9">
        <f>1000*(AA221-AA219)/(Z221-Z219)*Inputs!$C$11</f>
        <v>907.7951208810191</v>
      </c>
      <c r="AC220" s="9">
        <f>-2*AB220/Inputs!$C$13</f>
        <v>-363.11804835240764</v>
      </c>
      <c r="AD220" s="9">
        <f>-2*AB220/Inputs!$C$14</f>
        <v>-54.522229482343491</v>
      </c>
    </row>
    <row r="221" spans="1:30">
      <c r="A221" s="9">
        <f>Model_Data!A221</f>
        <v>49.5</v>
      </c>
      <c r="B221" s="9">
        <f>((SQRT((Model_Data!A221)^2+Inputs!$C$6^2+Inputs!$C$5^2)-Inputs!$C$5)*1000/Inputs!$C$12)</f>
        <v>2149.3072385843216</v>
      </c>
      <c r="C221" s="9">
        <f>Model_Data!F221</f>
        <v>2134.9136872674544</v>
      </c>
      <c r="D221" s="9">
        <f>(((SQRT((Model_Data!A221)^2+Inputs!$C$6^2+((Model_Data!B221)-((Inputs!$C$51*(115*EXP(-(((Inputs!$C$6)-25)^2)/(4.5^2))+70*EXP(-(((Inputs!$C$6)+38)^2)/(7^2))*(0.55+0.45*SIN(2*PI()*(Model_Data!A221)/45))+24*SIN(2*PI()*(Inputs!$C$6)/9+(Model_Data!A221)/18)*EXP(-(((Inputs!$C$6)+5)^2)/(22^2))+18*SIN(2*PI()*(Model_Data!A221)/70))+Inputs!$C$28*EXP(-(((Model_Data!A221)-Inputs!$C$29)^2)/(2*Inputs!$C$31^2))*EXP(-(((Inputs!$C$6)-Inputs!$C$30)^2)/(2*Inputs!$C$32^2))+-Inputs!$C$33*EXP(-(((((Model_Data!A221)-Inputs!$C$34)^2)+(((Inputs!$C$6)-Inputs!$C$35)^2))/(2*Inputs!$C$36^2)))+Inputs!$C$37*(0.55*SIN(2*PI()*(Model_Data!A221)/Inputs!$C$39)+0.35*COS(2*PI()*(Inputs!$C$6)/Inputs!$C$40)+0.2*SIN(2*PI()*((Model_Data!A221)+(Inputs!$C$6))/(0.5*(Inputs!$C$39+Inputs!$C$40))))+Inputs!$C$38*SIN(2*PI()*(Model_Data!A221)/Inputs!$C$39)*SIN(2*PI()*(Inputs!$C$6)/Inputs!$C$40)+-Inputs!$C$41*EXP(-(((Inputs!$C$6)-Inputs!$C$43)^2)/(2*Inputs!$C$44^2))*EXP(-(((Model_Data!A221)-Inputs!$C$42)^2)/(2*Inputs!$C$45^2))+Inputs!$C$48*(0.7*(0.45*SIN(2*PI()*(((Model_Data!A221)/Inputs!$C$49)+Inputs!$C$47*0.137))+0.35*COS(2*PI()*(((Inputs!$C$6)/Inputs!$C$50)+Inputs!$C$47*0.173))+0.2*SIN(2*PI()*(((Model_Data!A221)+(Inputs!$C$6))/(0.5*(Inputs!$C$49+Inputs!$C$50))+Inputs!$C$47*0.097)))+0.3*(2*((SIN(((Model_Data!A221)*12.9898+(Inputs!$C$6)*78.233+Inputs!$C$47*37.719))*43758.5453)-INT((SIN(((Model_Data!A221)*12.9898+(Inputs!$C$6)*78.233+Inputs!$C$47*37.719))*43758.5453)))-1))))/1000)^2))-(((Model_Data!B221)-((Inputs!$C$51*(115*EXP(-(((0)-25)^2)/(4.5^2))+70*EXP(-(((0)+38)^2)/(7^2))*(0.55+0.45*SIN(2*PI()*(Model_Data!A221)/45))+24*SIN(2*PI()*(0)/9+(Model_Data!A221)/18)*EXP(-(((0)+5)^2)/(22^2))+18*SIN(2*PI()*(Model_Data!A221)/70))+Inputs!$C$28*EXP(-(((Model_Data!A221)-Inputs!$C$29)^2)/(2*Inputs!$C$31^2))*EXP(-(((0)-Inputs!$C$30)^2)/(2*Inputs!$C$32^2))+-Inputs!$C$33*EXP(-(((((Model_Data!A221)-Inputs!$C$34)^2)+(((0)-Inputs!$C$35)^2))/(2*Inputs!$C$36^2)))+Inputs!$C$37*(0.55*SIN(2*PI()*(Model_Data!A221)/Inputs!$C$39)+0.35*COS(2*PI()*(0)/Inputs!$C$40)+0.2*SIN(2*PI()*((Model_Data!A221)+(0))/(0.5*(Inputs!$C$39+Inputs!$C$40))))+Inputs!$C$38*SIN(2*PI()*(Model_Data!A221)/Inputs!$C$39)*SIN(2*PI()*(0)/Inputs!$C$40)+-Inputs!$C$41*EXP(-(((0)-Inputs!$C$43)^2)/(2*Inputs!$C$44^2))*EXP(-(((Model_Data!A221)-Inputs!$C$42)^2)/(2*Inputs!$C$45^2))+Inputs!$C$48*(0.7*(0.45*SIN(2*PI()*(((Model_Data!A221)/Inputs!$C$49)+Inputs!$C$47*0.137))+0.35*COS(2*PI()*(((0)/Inputs!$C$50)+Inputs!$C$47*0.173))+0.2*SIN(2*PI()*(((Model_Data!A221)+(0))/(0.5*(Inputs!$C$49+Inputs!$C$50))+Inputs!$C$47*0.097)))+0.3*(2*((SIN(((Model_Data!A221)*12.9898+(0)*78.233+Inputs!$C$47*37.719))*43758.5453)-INT((SIN(((Model_Data!A221)*12.9898+(0)*78.233+Inputs!$C$47*37.719))*43758.5453)))-1))))/1000)))*1000/Inputs!$C$12)</f>
        <v>2069.1801491607152</v>
      </c>
      <c r="E221" s="9">
        <f>Model_Data!A221</f>
        <v>49.5</v>
      </c>
      <c r="F221" s="9">
        <f>(Inputs!$C$51*(115*EXP(-(((Inputs!$C$6)-25)^2)/(4.5^2))+70*EXP(-(((Inputs!$C$6)+38)^2)/(7^2))*(0.55+0.45*SIN(2*PI()*(Model_Data!A221)/45))+24*SIN(2*PI()*(Inputs!$C$6)/9+(Model_Data!A221)/18)*EXP(-(((Inputs!$C$6)+5)^2)/(22^2))+18*SIN(2*PI()*(Model_Data!A221)/70))+Inputs!$C$28*EXP(-(((Model_Data!A221)-Inputs!$C$29)^2)/(2*Inputs!$C$31^2))*EXP(-(((Inputs!$C$6)-Inputs!$C$30)^2)/(2*Inputs!$C$32^2))+-Inputs!$C$33*EXP(-(((((Model_Data!A221)-Inputs!$C$34)^2)+(((Inputs!$C$6)-Inputs!$C$35)^2))/(2*Inputs!$C$36^2)))+Inputs!$C$37*(0.55*SIN(2*PI()*(Model_Data!A221)/Inputs!$C$39)+0.35*COS(2*PI()*(Inputs!$C$6)/Inputs!$C$40)+0.2*SIN(2*PI()*((Model_Data!A221)+(Inputs!$C$6))/(0.5*(Inputs!$C$39+Inputs!$C$40))))+Inputs!$C$38*SIN(2*PI()*(Model_Data!A221)/Inputs!$C$39)*SIN(2*PI()*(Inputs!$C$6)/Inputs!$C$40)+-Inputs!$C$41*EXP(-(((Inputs!$C$6)-Inputs!$C$43)^2)/(2*Inputs!$C$44^2))*EXP(-(((Model_Data!A221)-Inputs!$C$42)^2)/(2*Inputs!$C$45^2))+Inputs!$C$48*(0.7*(0.45*SIN(2*PI()*(((Model_Data!A221)/Inputs!$C$49)+Inputs!$C$47*0.137))+0.35*COS(2*PI()*(((Inputs!$C$6)/Inputs!$C$50)+Inputs!$C$47*0.173))+0.2*SIN(2*PI()*(((Model_Data!A221)+(Inputs!$C$6))/(0.5*(Inputs!$C$49+Inputs!$C$50))+Inputs!$C$47*0.097)))+0.3*(2*((SIN(((Model_Data!A221)*12.9898+(Inputs!$C$6)*78.233+Inputs!$C$47*37.719))*43758.5453)-INT((SIN(((Model_Data!A221)*12.9898+(Inputs!$C$6)*78.233+Inputs!$C$47*37.719))*43758.5453)))-1)))</f>
        <v>115.81874031490976</v>
      </c>
      <c r="G221" s="9">
        <f>(Inputs!$C$51*(115*EXP(-(((0)-25)^2)/(4.5^2))+70*EXP(-(((0)+38)^2)/(7^2))*(0.55+0.45*SIN(2*PI()*(Model_Data!A221)/45))+24*SIN(2*PI()*(0)/9+(Model_Data!A221)/18)*EXP(-(((0)+5)^2)/(22^2))+18*SIN(2*PI()*(Model_Data!A221)/70))+Inputs!$C$28*EXP(-(((Model_Data!A221)-Inputs!$C$29)^2)/(2*Inputs!$C$31^2))*EXP(-(((0)-Inputs!$C$30)^2)/(2*Inputs!$C$32^2))+-Inputs!$C$33*EXP(-(((((Model_Data!A221)-Inputs!$C$34)^2)+(((0)-Inputs!$C$35)^2))/(2*Inputs!$C$36^2)))+Inputs!$C$37*(0.55*SIN(2*PI()*(Model_Data!A221)/Inputs!$C$39)+0.35*COS(2*PI()*(0)/Inputs!$C$40)+0.2*SIN(2*PI()*((Model_Data!A221)+(0))/(0.5*(Inputs!$C$39+Inputs!$C$40))))+Inputs!$C$38*SIN(2*PI()*(Model_Data!A221)/Inputs!$C$39)*SIN(2*PI()*(0)/Inputs!$C$40)+-Inputs!$C$41*EXP(-(((0)-Inputs!$C$43)^2)/(2*Inputs!$C$44^2))*EXP(-(((Model_Data!A221)-Inputs!$C$42)^2)/(2*Inputs!$C$45^2))+Inputs!$C$48*(0.7*(0.45*SIN(2*PI()*(((Model_Data!A221)/Inputs!$C$49)+Inputs!$C$47*0.137))+0.35*COS(2*PI()*(((0)/Inputs!$C$50)+Inputs!$C$47*0.173))+0.2*SIN(2*PI()*(((Model_Data!A221)+(0))/(0.5*(Inputs!$C$49+Inputs!$C$50))+Inputs!$C$47*0.097)))+0.3*(2*((SIN(((Model_Data!A221)*12.9898+(0)*78.233+Inputs!$C$47*37.719))*43758.5453)-INT((SIN(((Model_Data!A221)*12.9898+(0)*78.233+Inputs!$C$47*37.719))*43758.5453)))-1)))</f>
        <v>-2.2699304094542576</v>
      </c>
      <c r="H221" s="10"/>
      <c r="I221" s="9">
        <f>Model_Data!A221</f>
        <v>49.5</v>
      </c>
      <c r="J221" s="9">
        <f>(Inputs!$C$51*(115*EXP(-(((Inputs!$C$6)-25)^2)/(4.5^2))+70*EXP(-(((Inputs!$C$6)+38)^2)/(7^2))*(0.55+0.45*SIN(2*PI()*(Model_Data!A221)/45))+24*SIN(2*PI()*(Inputs!$C$6)/9+(Model_Data!A221)/18)*EXP(-(((Inputs!$C$6)+5)^2)/(22^2))+18*SIN(2*PI()*(Model_Data!A221)/70))+Inputs!$C$28*EXP(-(((Model_Data!A221)-Inputs!$C$29)^2)/(2*Inputs!$C$31^2))*EXP(-(((Inputs!$C$6)-Inputs!$C$30)^2)/(2*Inputs!$C$32^2))+-Inputs!$C$33*EXP(-(((((Model_Data!A221)-Inputs!$C$34)^2)+(((Inputs!$C$6)-Inputs!$C$35)^2))/(2*Inputs!$C$36^2)))+Inputs!$C$37*(0.55*SIN(2*PI()*(Model_Data!A221)/Inputs!$C$39)+0.35*COS(2*PI()*(Inputs!$C$6)/Inputs!$C$40)+0.2*SIN(2*PI()*((Model_Data!A221)+(Inputs!$C$6))/(0.5*(Inputs!$C$39+Inputs!$C$40))))+Inputs!$C$38*SIN(2*PI()*(Model_Data!A221)/Inputs!$C$39)*SIN(2*PI()*(Inputs!$C$6)/Inputs!$C$40)+-Inputs!$C$41*EXP(-(((Inputs!$C$6)-Inputs!$C$43)^2)/(2*Inputs!$C$44^2))*EXP(-(((Model_Data!A221)-Inputs!$C$42)^2)/(2*Inputs!$C$45^2))+Inputs!$C$48*(0.7*(0.45*SIN(2*PI()*(((Model_Data!A221)/Inputs!$C$49)+Inputs!$C$47*0.137))+0.35*COS(2*PI()*(((Inputs!$C$6)/Inputs!$C$50)+Inputs!$C$47*0.173))+0.2*SIN(2*PI()*(((Model_Data!A221)+(Inputs!$C$6))/(0.5*(Inputs!$C$49+Inputs!$C$50))+Inputs!$C$47*0.097)))+0.3*(2*((SIN(((Model_Data!A221)*12.9898+(Inputs!$C$6)*78.233+Inputs!$C$47*37.719))*43758.5453)-INT((SIN(((Model_Data!A221)*12.9898+(Inputs!$C$6)*78.233+Inputs!$C$47*37.719))*43758.5453)))-1)))</f>
        <v>115.81874031490976</v>
      </c>
      <c r="K221" s="9">
        <f>-((((SQRT((Model_Data!A221)^2+Inputs!$C$6^2+((Model_Data!B221)-((Inputs!$C$51*(115*EXP(-(((Inputs!$C$6)-25)^2)/(4.5^2))+70*EXP(-(((Inputs!$C$6)+38)^2)/(7^2))*(0.55+0.45*SIN(2*PI()*(Model_Data!A221)/45))+24*SIN(2*PI()*(Inputs!$C$6)/9+(Model_Data!A221)/18)*EXP(-(((Inputs!$C$6)+5)^2)/(22^2))+18*SIN(2*PI()*(Model_Data!A221)/70))+Inputs!$C$28*EXP(-(((Model_Data!A221)-Inputs!$C$29)^2)/(2*Inputs!$C$31^2))*EXP(-(((Inputs!$C$6)-Inputs!$C$30)^2)/(2*Inputs!$C$32^2))+-Inputs!$C$33*EXP(-(((((Model_Data!A221)-Inputs!$C$34)^2)+(((Inputs!$C$6)-Inputs!$C$35)^2))/(2*Inputs!$C$36^2)))+Inputs!$C$37*(0.55*SIN(2*PI()*(Model_Data!A221)/Inputs!$C$39)+0.35*COS(2*PI()*(Inputs!$C$6)/Inputs!$C$40)+0.2*SIN(2*PI()*((Model_Data!A221)+(Inputs!$C$6))/(0.5*(Inputs!$C$39+Inputs!$C$40))))+Inputs!$C$38*SIN(2*PI()*(Model_Data!A221)/Inputs!$C$39)*SIN(2*PI()*(Inputs!$C$6)/Inputs!$C$40)+-Inputs!$C$41*EXP(-(((Inputs!$C$6)-Inputs!$C$43)^2)/(2*Inputs!$C$44^2))*EXP(-(((Model_Data!A221)-Inputs!$C$42)^2)/(2*Inputs!$C$45^2))+Inputs!$C$48*(0.7*(0.45*SIN(2*PI()*(((Model_Data!A221)/Inputs!$C$49)+Inputs!$C$47*0.137))+0.35*COS(2*PI()*(((Inputs!$C$6)/Inputs!$C$50)+Inputs!$C$47*0.173))+0.2*SIN(2*PI()*(((Model_Data!A221)+(Inputs!$C$6))/(0.5*(Inputs!$C$49+Inputs!$C$50))+Inputs!$C$47*0.097)))+0.3*(2*((SIN(((Model_Data!A221)*12.9898+(Inputs!$C$6)*78.233+Inputs!$C$47*37.719))*43758.5453)-INT((SIN(((Model_Data!A221)*12.9898+(Inputs!$C$6)*78.233+Inputs!$C$47*37.719))*43758.5453)))-1))))/1000)^2))-(((Model_Data!B221)-((Inputs!$C$51*(115*EXP(-(((0)-25)^2)/(4.5^2))+70*EXP(-(((0)+38)^2)/(7^2))*(0.55+0.45*SIN(2*PI()*(Model_Data!A221)/45))+24*SIN(2*PI()*(0)/9+(Model_Data!A221)/18)*EXP(-(((0)+5)^2)/(22^2))+18*SIN(2*PI()*(Model_Data!A221)/70))+Inputs!$C$28*EXP(-(((Model_Data!A221)-Inputs!$C$29)^2)/(2*Inputs!$C$31^2))*EXP(-(((0)-Inputs!$C$30)^2)/(2*Inputs!$C$32^2))+-Inputs!$C$33*EXP(-(((((Model_Data!A221)-Inputs!$C$34)^2)+(((0)-Inputs!$C$35)^2))/(2*Inputs!$C$36^2)))+Inputs!$C$37*(0.55*SIN(2*PI()*(Model_Data!A221)/Inputs!$C$39)+0.35*COS(2*PI()*(0)/Inputs!$C$40)+0.2*SIN(2*PI()*((Model_Data!A221)+(0))/(0.5*(Inputs!$C$39+Inputs!$C$40))))+Inputs!$C$38*SIN(2*PI()*(Model_Data!A221)/Inputs!$C$39)*SIN(2*PI()*(0)/Inputs!$C$40)+-Inputs!$C$41*EXP(-(((0)-Inputs!$C$43)^2)/(2*Inputs!$C$44^2))*EXP(-(((Model_Data!A221)-Inputs!$C$42)^2)/(2*Inputs!$C$45^2))+Inputs!$C$48*(0.7*(0.45*SIN(2*PI()*(((Model_Data!A221)/Inputs!$C$49)+Inputs!$C$47*0.137))+0.35*COS(2*PI()*(((0)/Inputs!$C$50)+Inputs!$C$47*0.173))+0.2*SIN(2*PI()*(((Model_Data!A221)+(0))/(0.5*(Inputs!$C$49+Inputs!$C$50))+Inputs!$C$47*0.097)))+0.3*(2*((SIN(((Model_Data!A221)*12.9898+(0)*78.233+Inputs!$C$47*37.719))*43758.5453)-INT((SIN(((Model_Data!A221)*12.9898+(0)*78.233+Inputs!$C$47*37.719))*43758.5453)))-1))))/1000)))*1000/Inputs!$C$12)-Model_Data!F221)</f>
        <v>65.733538106739161</v>
      </c>
      <c r="L221" s="10"/>
      <c r="M221" s="9">
        <f>Model_Data!A221</f>
        <v>49.5</v>
      </c>
      <c r="N221" s="9">
        <f>Model_Data!P221</f>
        <v>-369.17785846022554</v>
      </c>
      <c r="O221" s="9">
        <f t="shared" si="6"/>
        <v>-360.20913810389175</v>
      </c>
      <c r="P221" s="9">
        <f>Model_Data!Q221</f>
        <v>-55.432110879913751</v>
      </c>
      <c r="Q221" s="9">
        <f t="shared" si="7"/>
        <v>-54.085456171755524</v>
      </c>
      <c r="R221" s="10"/>
      <c r="S221" s="9">
        <f>Model_Data!A221</f>
        <v>49.5</v>
      </c>
      <c r="T221" s="9">
        <f>Model_Data!B221-Inputs!$C$5</f>
        <v>2.722500000000025</v>
      </c>
      <c r="U221" s="10"/>
      <c r="V221" s="9">
        <f>Model_Data!A221</f>
        <v>49.5</v>
      </c>
      <c r="W221" s="9">
        <f>((SQRT((Model_Data!A221)^2+Inputs!$C$6^2+Inputs!$C$5^2)-Inputs!$C$5)*1000/Inputs!$C$12)</f>
        <v>2149.3072385843216</v>
      </c>
      <c r="X221" s="9">
        <f>Model_Data!F221</f>
        <v>2134.9136872674544</v>
      </c>
      <c r="Y221" s="10"/>
      <c r="Z221" s="9">
        <f>Model_Data!A221</f>
        <v>49.5</v>
      </c>
      <c r="AA221" s="9">
        <f>SQRT((Model_Data!A221)^2+Inputs!$C$6^2+((Model_Data!B221)-((Inputs!$C$51*(115*EXP(-(((Inputs!$C$6)-25)^2)/(4.5^2))+70*EXP(-(((Inputs!$C$6)+38)^2)/(7^2))*(0.55+0.45*SIN(2*PI()*(Model_Data!A221)/45))+24*SIN(2*PI()*(Inputs!$C$6)/9+(Model_Data!A221)/18)*EXP(-(((Inputs!$C$6)+5)^2)/(22^2))+18*SIN(2*PI()*(Model_Data!A221)/70))+Inputs!$C$28*EXP(-(((Model_Data!A221)-Inputs!$C$29)^2)/(2*Inputs!$C$31^2))*EXP(-(((Inputs!$C$6)-Inputs!$C$30)^2)/(2*Inputs!$C$32^2))+-Inputs!$C$33*EXP(-(((((Model_Data!A221)-Inputs!$C$34)^2)+(((Inputs!$C$6)-Inputs!$C$35)^2))/(2*Inputs!$C$36^2)))+Inputs!$C$37*(0.55*SIN(2*PI()*(Model_Data!A221)/Inputs!$C$39)+0.35*COS(2*PI()*(Inputs!$C$6)/Inputs!$C$40)+0.2*SIN(2*PI()*((Model_Data!A221)+(Inputs!$C$6))/(0.5*(Inputs!$C$39+Inputs!$C$40))))+Inputs!$C$38*SIN(2*PI()*(Model_Data!A221)/Inputs!$C$39)*SIN(2*PI()*(Inputs!$C$6)/Inputs!$C$40)+-Inputs!$C$41*EXP(-(((Inputs!$C$6)-Inputs!$C$43)^2)/(2*Inputs!$C$44^2))*EXP(-(((Model_Data!A221)-Inputs!$C$42)^2)/(2*Inputs!$C$45^2))+Inputs!$C$48*(0.7*(0.45*SIN(2*PI()*(((Model_Data!A221)/Inputs!$C$49)+Inputs!$C$47*0.137))+0.35*COS(2*PI()*(((Inputs!$C$6)/Inputs!$C$50)+Inputs!$C$47*0.173))+0.2*SIN(2*PI()*(((Model_Data!A221)+(Inputs!$C$6))/(0.5*(Inputs!$C$49+Inputs!$C$50))+Inputs!$C$47*0.097)))+0.3*(2*((SIN(((Model_Data!A221)*12.9898+(Inputs!$C$6)*78.233+Inputs!$C$47*37.719))*43758.5453)-INT((SIN(((Model_Data!A221)*12.9898+(Inputs!$C$6)*78.233+Inputs!$C$47*37.719))*43758.5453)))-1))))/1000)^2)</f>
        <v>406.40791059591555</v>
      </c>
      <c r="AB221" s="9">
        <f>1000*(AA222-AA220)/(Z222-Z220)*Inputs!$C$11</f>
        <v>900.52284525972937</v>
      </c>
      <c r="AC221" s="9">
        <f>-2*AB221/Inputs!$C$13</f>
        <v>-360.20913810389175</v>
      </c>
      <c r="AD221" s="9">
        <f>-2*AB221/Inputs!$C$14</f>
        <v>-54.085456171755524</v>
      </c>
    </row>
    <row r="222" spans="1:30">
      <c r="A222" s="9">
        <f>Model_Data!A222</f>
        <v>50</v>
      </c>
      <c r="B222" s="9">
        <f>((SQRT((Model_Data!A222)^2+Inputs!$C$6^2+Inputs!$C$5^2)-Inputs!$C$5)*1000/Inputs!$C$12)</f>
        <v>2183.9104129706707</v>
      </c>
      <c r="C222" s="9">
        <f>Model_Data!F222</f>
        <v>2168.9924490050507</v>
      </c>
      <c r="D222" s="9">
        <f>(((SQRT((Model_Data!A222)^2+Inputs!$C$6^2+((Model_Data!B222)-((Inputs!$C$51*(115*EXP(-(((Inputs!$C$6)-25)^2)/(4.5^2))+70*EXP(-(((Inputs!$C$6)+38)^2)/(7^2))*(0.55+0.45*SIN(2*PI()*(Model_Data!A222)/45))+24*SIN(2*PI()*(Inputs!$C$6)/9+(Model_Data!A222)/18)*EXP(-(((Inputs!$C$6)+5)^2)/(22^2))+18*SIN(2*PI()*(Model_Data!A222)/70))+Inputs!$C$28*EXP(-(((Model_Data!A222)-Inputs!$C$29)^2)/(2*Inputs!$C$31^2))*EXP(-(((Inputs!$C$6)-Inputs!$C$30)^2)/(2*Inputs!$C$32^2))+-Inputs!$C$33*EXP(-(((((Model_Data!A222)-Inputs!$C$34)^2)+(((Inputs!$C$6)-Inputs!$C$35)^2))/(2*Inputs!$C$36^2)))+Inputs!$C$37*(0.55*SIN(2*PI()*(Model_Data!A222)/Inputs!$C$39)+0.35*COS(2*PI()*(Inputs!$C$6)/Inputs!$C$40)+0.2*SIN(2*PI()*((Model_Data!A222)+(Inputs!$C$6))/(0.5*(Inputs!$C$39+Inputs!$C$40))))+Inputs!$C$38*SIN(2*PI()*(Model_Data!A222)/Inputs!$C$39)*SIN(2*PI()*(Inputs!$C$6)/Inputs!$C$40)+-Inputs!$C$41*EXP(-(((Inputs!$C$6)-Inputs!$C$43)^2)/(2*Inputs!$C$44^2))*EXP(-(((Model_Data!A222)-Inputs!$C$42)^2)/(2*Inputs!$C$45^2))+Inputs!$C$48*(0.7*(0.45*SIN(2*PI()*(((Model_Data!A222)/Inputs!$C$49)+Inputs!$C$47*0.137))+0.35*COS(2*PI()*(((Inputs!$C$6)/Inputs!$C$50)+Inputs!$C$47*0.173))+0.2*SIN(2*PI()*(((Model_Data!A222)+(Inputs!$C$6))/(0.5*(Inputs!$C$49+Inputs!$C$50))+Inputs!$C$47*0.097)))+0.3*(2*((SIN(((Model_Data!A222)*12.9898+(Inputs!$C$6)*78.233+Inputs!$C$47*37.719))*43758.5453)-INT((SIN(((Model_Data!A222)*12.9898+(Inputs!$C$6)*78.233+Inputs!$C$47*37.719))*43758.5453)))-1))))/1000)^2))-(((Model_Data!B222)-((Inputs!$C$51*(115*EXP(-(((0)-25)^2)/(4.5^2))+70*EXP(-(((0)+38)^2)/(7^2))*(0.55+0.45*SIN(2*PI()*(Model_Data!A222)/45))+24*SIN(2*PI()*(0)/9+(Model_Data!A222)/18)*EXP(-(((0)+5)^2)/(22^2))+18*SIN(2*PI()*(Model_Data!A222)/70))+Inputs!$C$28*EXP(-(((Model_Data!A222)-Inputs!$C$29)^2)/(2*Inputs!$C$31^2))*EXP(-(((0)-Inputs!$C$30)^2)/(2*Inputs!$C$32^2))+-Inputs!$C$33*EXP(-(((((Model_Data!A222)-Inputs!$C$34)^2)+(((0)-Inputs!$C$35)^2))/(2*Inputs!$C$36^2)))+Inputs!$C$37*(0.55*SIN(2*PI()*(Model_Data!A222)/Inputs!$C$39)+0.35*COS(2*PI()*(0)/Inputs!$C$40)+0.2*SIN(2*PI()*((Model_Data!A222)+(0))/(0.5*(Inputs!$C$39+Inputs!$C$40))))+Inputs!$C$38*SIN(2*PI()*(Model_Data!A222)/Inputs!$C$39)*SIN(2*PI()*(0)/Inputs!$C$40)+-Inputs!$C$41*EXP(-(((0)-Inputs!$C$43)^2)/(2*Inputs!$C$44^2))*EXP(-(((Model_Data!A222)-Inputs!$C$42)^2)/(2*Inputs!$C$45^2))+Inputs!$C$48*(0.7*(0.45*SIN(2*PI()*(((Model_Data!A222)/Inputs!$C$49)+Inputs!$C$47*0.137))+0.35*COS(2*PI()*(((0)/Inputs!$C$50)+Inputs!$C$47*0.173))+0.2*SIN(2*PI()*(((Model_Data!A222)+(0))/(0.5*(Inputs!$C$49+Inputs!$C$50))+Inputs!$C$47*0.097)))+0.3*(2*((SIN(((Model_Data!A222)*12.9898+(0)*78.233+Inputs!$C$47*37.719))*43758.5453)-INT((SIN(((Model_Data!A222)*12.9898+(0)*78.233+Inputs!$C$47*37.719))*43758.5453)))-1))))/1000)))*1000/Inputs!$C$12)</f>
        <v>2109.4597185935982</v>
      </c>
      <c r="E222" s="9">
        <f>Model_Data!A222</f>
        <v>50</v>
      </c>
      <c r="F222" s="9">
        <f>(Inputs!$C$51*(115*EXP(-(((Inputs!$C$6)-25)^2)/(4.5^2))+70*EXP(-(((Inputs!$C$6)+38)^2)/(7^2))*(0.55+0.45*SIN(2*PI()*(Model_Data!A222)/45))+24*SIN(2*PI()*(Inputs!$C$6)/9+(Model_Data!A222)/18)*EXP(-(((Inputs!$C$6)+5)^2)/(22^2))+18*SIN(2*PI()*(Model_Data!A222)/70))+Inputs!$C$28*EXP(-(((Model_Data!A222)-Inputs!$C$29)^2)/(2*Inputs!$C$31^2))*EXP(-(((Inputs!$C$6)-Inputs!$C$30)^2)/(2*Inputs!$C$32^2))+-Inputs!$C$33*EXP(-(((((Model_Data!A222)-Inputs!$C$34)^2)+(((Inputs!$C$6)-Inputs!$C$35)^2))/(2*Inputs!$C$36^2)))+Inputs!$C$37*(0.55*SIN(2*PI()*(Model_Data!A222)/Inputs!$C$39)+0.35*COS(2*PI()*(Inputs!$C$6)/Inputs!$C$40)+0.2*SIN(2*PI()*((Model_Data!A222)+(Inputs!$C$6))/(0.5*(Inputs!$C$39+Inputs!$C$40))))+Inputs!$C$38*SIN(2*PI()*(Model_Data!A222)/Inputs!$C$39)*SIN(2*PI()*(Inputs!$C$6)/Inputs!$C$40)+-Inputs!$C$41*EXP(-(((Inputs!$C$6)-Inputs!$C$43)^2)/(2*Inputs!$C$44^2))*EXP(-(((Model_Data!A222)-Inputs!$C$42)^2)/(2*Inputs!$C$45^2))+Inputs!$C$48*(0.7*(0.45*SIN(2*PI()*(((Model_Data!A222)/Inputs!$C$49)+Inputs!$C$47*0.137))+0.35*COS(2*PI()*(((Inputs!$C$6)/Inputs!$C$50)+Inputs!$C$47*0.173))+0.2*SIN(2*PI()*(((Model_Data!A222)+(Inputs!$C$6))/(0.5*(Inputs!$C$49+Inputs!$C$50))+Inputs!$C$47*0.097)))+0.3*(2*((SIN(((Model_Data!A222)*12.9898+(Inputs!$C$6)*78.233+Inputs!$C$47*37.719))*43758.5453)-INT((SIN(((Model_Data!A222)*12.9898+(Inputs!$C$6)*78.233+Inputs!$C$47*37.719))*43758.5453)))-1)))</f>
        <v>115.23525161719914</v>
      </c>
      <c r="G222" s="9">
        <f>(Inputs!$C$51*(115*EXP(-(((0)-25)^2)/(4.5^2))+70*EXP(-(((0)+38)^2)/(7^2))*(0.55+0.45*SIN(2*PI()*(Model_Data!A222)/45))+24*SIN(2*PI()*(0)/9+(Model_Data!A222)/18)*EXP(-(((0)+5)^2)/(22^2))+18*SIN(2*PI()*(Model_Data!A222)/70))+Inputs!$C$28*EXP(-(((Model_Data!A222)-Inputs!$C$29)^2)/(2*Inputs!$C$31^2))*EXP(-(((0)-Inputs!$C$30)^2)/(2*Inputs!$C$32^2))+-Inputs!$C$33*EXP(-(((((Model_Data!A222)-Inputs!$C$34)^2)+(((0)-Inputs!$C$35)^2))/(2*Inputs!$C$36^2)))+Inputs!$C$37*(0.55*SIN(2*PI()*(Model_Data!A222)/Inputs!$C$39)+0.35*COS(2*PI()*(0)/Inputs!$C$40)+0.2*SIN(2*PI()*((Model_Data!A222)+(0))/(0.5*(Inputs!$C$39+Inputs!$C$40))))+Inputs!$C$38*SIN(2*PI()*(Model_Data!A222)/Inputs!$C$39)*SIN(2*PI()*(0)/Inputs!$C$40)+-Inputs!$C$41*EXP(-(((0)-Inputs!$C$43)^2)/(2*Inputs!$C$44^2))*EXP(-(((Model_Data!A222)-Inputs!$C$42)^2)/(2*Inputs!$C$45^2))+Inputs!$C$48*(0.7*(0.45*SIN(2*PI()*(((Model_Data!A222)/Inputs!$C$49)+Inputs!$C$47*0.137))+0.35*COS(2*PI()*(((0)/Inputs!$C$50)+Inputs!$C$47*0.173))+0.2*SIN(2*PI()*(((Model_Data!A222)+(0))/(0.5*(Inputs!$C$49+Inputs!$C$50))+Inputs!$C$47*0.097)))+0.3*(2*((SIN(((Model_Data!A222)*12.9898+(0)*78.233+Inputs!$C$47*37.719))*43758.5453)-INT((SIN(((Model_Data!A222)*12.9898+(0)*78.233+Inputs!$C$47*37.719))*43758.5453)))-1)))</f>
        <v>8.1725883775596202</v>
      </c>
      <c r="H222" s="10"/>
      <c r="I222" s="9">
        <f>Model_Data!A222</f>
        <v>50</v>
      </c>
      <c r="J222" s="9">
        <f>(Inputs!$C$51*(115*EXP(-(((Inputs!$C$6)-25)^2)/(4.5^2))+70*EXP(-(((Inputs!$C$6)+38)^2)/(7^2))*(0.55+0.45*SIN(2*PI()*(Model_Data!A222)/45))+24*SIN(2*PI()*(Inputs!$C$6)/9+(Model_Data!A222)/18)*EXP(-(((Inputs!$C$6)+5)^2)/(22^2))+18*SIN(2*PI()*(Model_Data!A222)/70))+Inputs!$C$28*EXP(-(((Model_Data!A222)-Inputs!$C$29)^2)/(2*Inputs!$C$31^2))*EXP(-(((Inputs!$C$6)-Inputs!$C$30)^2)/(2*Inputs!$C$32^2))+-Inputs!$C$33*EXP(-(((((Model_Data!A222)-Inputs!$C$34)^2)+(((Inputs!$C$6)-Inputs!$C$35)^2))/(2*Inputs!$C$36^2)))+Inputs!$C$37*(0.55*SIN(2*PI()*(Model_Data!A222)/Inputs!$C$39)+0.35*COS(2*PI()*(Inputs!$C$6)/Inputs!$C$40)+0.2*SIN(2*PI()*((Model_Data!A222)+(Inputs!$C$6))/(0.5*(Inputs!$C$39+Inputs!$C$40))))+Inputs!$C$38*SIN(2*PI()*(Model_Data!A222)/Inputs!$C$39)*SIN(2*PI()*(Inputs!$C$6)/Inputs!$C$40)+-Inputs!$C$41*EXP(-(((Inputs!$C$6)-Inputs!$C$43)^2)/(2*Inputs!$C$44^2))*EXP(-(((Model_Data!A222)-Inputs!$C$42)^2)/(2*Inputs!$C$45^2))+Inputs!$C$48*(0.7*(0.45*SIN(2*PI()*(((Model_Data!A222)/Inputs!$C$49)+Inputs!$C$47*0.137))+0.35*COS(2*PI()*(((Inputs!$C$6)/Inputs!$C$50)+Inputs!$C$47*0.173))+0.2*SIN(2*PI()*(((Model_Data!A222)+(Inputs!$C$6))/(0.5*(Inputs!$C$49+Inputs!$C$50))+Inputs!$C$47*0.097)))+0.3*(2*((SIN(((Model_Data!A222)*12.9898+(Inputs!$C$6)*78.233+Inputs!$C$47*37.719))*43758.5453)-INT((SIN(((Model_Data!A222)*12.9898+(Inputs!$C$6)*78.233+Inputs!$C$47*37.719))*43758.5453)))-1)))</f>
        <v>115.23525161719914</v>
      </c>
      <c r="K222" s="9">
        <f>-((((SQRT((Model_Data!A222)^2+Inputs!$C$6^2+((Model_Data!B222)-((Inputs!$C$51*(115*EXP(-(((Inputs!$C$6)-25)^2)/(4.5^2))+70*EXP(-(((Inputs!$C$6)+38)^2)/(7^2))*(0.55+0.45*SIN(2*PI()*(Model_Data!A222)/45))+24*SIN(2*PI()*(Inputs!$C$6)/9+(Model_Data!A222)/18)*EXP(-(((Inputs!$C$6)+5)^2)/(22^2))+18*SIN(2*PI()*(Model_Data!A222)/70))+Inputs!$C$28*EXP(-(((Model_Data!A222)-Inputs!$C$29)^2)/(2*Inputs!$C$31^2))*EXP(-(((Inputs!$C$6)-Inputs!$C$30)^2)/(2*Inputs!$C$32^2))+-Inputs!$C$33*EXP(-(((((Model_Data!A222)-Inputs!$C$34)^2)+(((Inputs!$C$6)-Inputs!$C$35)^2))/(2*Inputs!$C$36^2)))+Inputs!$C$37*(0.55*SIN(2*PI()*(Model_Data!A222)/Inputs!$C$39)+0.35*COS(2*PI()*(Inputs!$C$6)/Inputs!$C$40)+0.2*SIN(2*PI()*((Model_Data!A222)+(Inputs!$C$6))/(0.5*(Inputs!$C$39+Inputs!$C$40))))+Inputs!$C$38*SIN(2*PI()*(Model_Data!A222)/Inputs!$C$39)*SIN(2*PI()*(Inputs!$C$6)/Inputs!$C$40)+-Inputs!$C$41*EXP(-(((Inputs!$C$6)-Inputs!$C$43)^2)/(2*Inputs!$C$44^2))*EXP(-(((Model_Data!A222)-Inputs!$C$42)^2)/(2*Inputs!$C$45^2))+Inputs!$C$48*(0.7*(0.45*SIN(2*PI()*(((Model_Data!A222)/Inputs!$C$49)+Inputs!$C$47*0.137))+0.35*COS(2*PI()*(((Inputs!$C$6)/Inputs!$C$50)+Inputs!$C$47*0.173))+0.2*SIN(2*PI()*(((Model_Data!A222)+(Inputs!$C$6))/(0.5*(Inputs!$C$49+Inputs!$C$50))+Inputs!$C$47*0.097)))+0.3*(2*((SIN(((Model_Data!A222)*12.9898+(Inputs!$C$6)*78.233+Inputs!$C$47*37.719))*43758.5453)-INT((SIN(((Model_Data!A222)*12.9898+(Inputs!$C$6)*78.233+Inputs!$C$47*37.719))*43758.5453)))-1))))/1000)^2))-(((Model_Data!B222)-((Inputs!$C$51*(115*EXP(-(((0)-25)^2)/(4.5^2))+70*EXP(-(((0)+38)^2)/(7^2))*(0.55+0.45*SIN(2*PI()*(Model_Data!A222)/45))+24*SIN(2*PI()*(0)/9+(Model_Data!A222)/18)*EXP(-(((0)+5)^2)/(22^2))+18*SIN(2*PI()*(Model_Data!A222)/70))+Inputs!$C$28*EXP(-(((Model_Data!A222)-Inputs!$C$29)^2)/(2*Inputs!$C$31^2))*EXP(-(((0)-Inputs!$C$30)^2)/(2*Inputs!$C$32^2))+-Inputs!$C$33*EXP(-(((((Model_Data!A222)-Inputs!$C$34)^2)+(((0)-Inputs!$C$35)^2))/(2*Inputs!$C$36^2)))+Inputs!$C$37*(0.55*SIN(2*PI()*(Model_Data!A222)/Inputs!$C$39)+0.35*COS(2*PI()*(0)/Inputs!$C$40)+0.2*SIN(2*PI()*((Model_Data!A222)+(0))/(0.5*(Inputs!$C$39+Inputs!$C$40))))+Inputs!$C$38*SIN(2*PI()*(Model_Data!A222)/Inputs!$C$39)*SIN(2*PI()*(0)/Inputs!$C$40)+-Inputs!$C$41*EXP(-(((0)-Inputs!$C$43)^2)/(2*Inputs!$C$44^2))*EXP(-(((Model_Data!A222)-Inputs!$C$42)^2)/(2*Inputs!$C$45^2))+Inputs!$C$48*(0.7*(0.45*SIN(2*PI()*(((Model_Data!A222)/Inputs!$C$49)+Inputs!$C$47*0.137))+0.35*COS(2*PI()*(((0)/Inputs!$C$50)+Inputs!$C$47*0.173))+0.2*SIN(2*PI()*(((Model_Data!A222)+(0))/(0.5*(Inputs!$C$49+Inputs!$C$50))+Inputs!$C$47*0.097)))+0.3*(2*((SIN(((Model_Data!A222)*12.9898+(0)*78.233+Inputs!$C$47*37.719))*43758.5453)-INT((SIN(((Model_Data!A222)*12.9898+(0)*78.233+Inputs!$C$47*37.719))*43758.5453)))-1))))/1000)))*1000/Inputs!$C$12)-Model_Data!F222)</f>
        <v>59.532730411452576</v>
      </c>
      <c r="L222" s="10"/>
      <c r="M222" s="9">
        <f>Model_Data!A222</f>
        <v>50</v>
      </c>
      <c r="N222" s="9">
        <f>Model_Data!P222</f>
        <v>-372.82477391756919</v>
      </c>
      <c r="O222" s="9">
        <f t="shared" si="6"/>
        <v>-339.33776236035555</v>
      </c>
      <c r="P222" s="9">
        <f>Model_Data!Q222</f>
        <v>-55.979695783418805</v>
      </c>
      <c r="Q222" s="9">
        <f t="shared" si="7"/>
        <v>-50.951615970023362</v>
      </c>
      <c r="R222" s="10"/>
      <c r="S222" s="9">
        <f>Model_Data!A222</f>
        <v>50</v>
      </c>
      <c r="T222" s="9">
        <f>Model_Data!B222-Inputs!$C$5</f>
        <v>2.7777777777777715</v>
      </c>
      <c r="U222" s="10"/>
      <c r="V222" s="9">
        <f>Model_Data!A222</f>
        <v>50</v>
      </c>
      <c r="W222" s="9">
        <f>((SQRT((Model_Data!A222)^2+Inputs!$C$6^2+Inputs!$C$5^2)-Inputs!$C$5)*1000/Inputs!$C$12)</f>
        <v>2183.9104129706707</v>
      </c>
      <c r="X222" s="9">
        <f>Model_Data!F222</f>
        <v>2168.9924490050507</v>
      </c>
      <c r="Y222" s="10"/>
      <c r="Z222" s="9">
        <f>Model_Data!A222</f>
        <v>50</v>
      </c>
      <c r="AA222" s="9">
        <f>SQRT((Model_Data!A222)^2+Inputs!$C$6^2+((Model_Data!B222)-((Inputs!$C$51*(115*EXP(-(((Inputs!$C$6)-25)^2)/(4.5^2))+70*EXP(-(((Inputs!$C$6)+38)^2)/(7^2))*(0.55+0.45*SIN(2*PI()*(Model_Data!A222)/45))+24*SIN(2*PI()*(Inputs!$C$6)/9+(Model_Data!A222)/18)*EXP(-(((Inputs!$C$6)+5)^2)/(22^2))+18*SIN(2*PI()*(Model_Data!A222)/70))+Inputs!$C$28*EXP(-(((Model_Data!A222)-Inputs!$C$29)^2)/(2*Inputs!$C$31^2))*EXP(-(((Inputs!$C$6)-Inputs!$C$30)^2)/(2*Inputs!$C$32^2))+-Inputs!$C$33*EXP(-(((((Model_Data!A222)-Inputs!$C$34)^2)+(((Inputs!$C$6)-Inputs!$C$35)^2))/(2*Inputs!$C$36^2)))+Inputs!$C$37*(0.55*SIN(2*PI()*(Model_Data!A222)/Inputs!$C$39)+0.35*COS(2*PI()*(Inputs!$C$6)/Inputs!$C$40)+0.2*SIN(2*PI()*((Model_Data!A222)+(Inputs!$C$6))/(0.5*(Inputs!$C$39+Inputs!$C$40))))+Inputs!$C$38*SIN(2*PI()*(Model_Data!A222)/Inputs!$C$39)*SIN(2*PI()*(Inputs!$C$6)/Inputs!$C$40)+-Inputs!$C$41*EXP(-(((Inputs!$C$6)-Inputs!$C$43)^2)/(2*Inputs!$C$44^2))*EXP(-(((Model_Data!A222)-Inputs!$C$42)^2)/(2*Inputs!$C$45^2))+Inputs!$C$48*(0.7*(0.45*SIN(2*PI()*(((Model_Data!A222)/Inputs!$C$49)+Inputs!$C$47*0.137))+0.35*COS(2*PI()*(((Inputs!$C$6)/Inputs!$C$50)+Inputs!$C$47*0.173))+0.2*SIN(2*PI()*(((Model_Data!A222)+(Inputs!$C$6))/(0.5*(Inputs!$C$49+Inputs!$C$50))+Inputs!$C$47*0.097)))+0.3*(2*((SIN(((Model_Data!A222)*12.9898+(Inputs!$C$6)*78.233+Inputs!$C$47*37.719))*43758.5453)-INT((SIN(((Model_Data!A222)*12.9898+(Inputs!$C$6)*78.233+Inputs!$C$47*37.719))*43758.5453)))-1))))/1000)^2)</f>
        <v>406.52444348849684</v>
      </c>
      <c r="AB222" s="9">
        <f>1000*(AA223-AA221)/(Z223-Z221)*Inputs!$C$11</f>
        <v>848.34440590088889</v>
      </c>
      <c r="AC222" s="9">
        <f>-2*AB222/Inputs!$C$13</f>
        <v>-339.33776236035555</v>
      </c>
      <c r="AD222" s="9">
        <f>-2*AB222/Inputs!$C$14</f>
        <v>-50.951615970023362</v>
      </c>
    </row>
    <row r="223" spans="1:30">
      <c r="A223" s="9">
        <f>Model_Data!A223</f>
        <v>50.5</v>
      </c>
      <c r="B223" s="9">
        <f>((SQRT((Model_Data!A223)^2+Inputs!$C$6^2+Inputs!$C$5^2)-Inputs!$C$5)*1000/Inputs!$C$12)</f>
        <v>2218.8560019037022</v>
      </c>
      <c r="C223" s="9">
        <f>Model_Data!F223</f>
        <v>2203.39914910282</v>
      </c>
      <c r="D223" s="9">
        <f>(((SQRT((Model_Data!A223)^2+Inputs!$C$6^2+((Model_Data!B223)-((Inputs!$C$51*(115*EXP(-(((Inputs!$C$6)-25)^2)/(4.5^2))+70*EXP(-(((Inputs!$C$6)+38)^2)/(7^2))*(0.55+0.45*SIN(2*PI()*(Model_Data!A223)/45))+24*SIN(2*PI()*(Inputs!$C$6)/9+(Model_Data!A223)/18)*EXP(-(((Inputs!$C$6)+5)^2)/(22^2))+18*SIN(2*PI()*(Model_Data!A223)/70))+Inputs!$C$28*EXP(-(((Model_Data!A223)-Inputs!$C$29)^2)/(2*Inputs!$C$31^2))*EXP(-(((Inputs!$C$6)-Inputs!$C$30)^2)/(2*Inputs!$C$32^2))+-Inputs!$C$33*EXP(-(((((Model_Data!A223)-Inputs!$C$34)^2)+(((Inputs!$C$6)-Inputs!$C$35)^2))/(2*Inputs!$C$36^2)))+Inputs!$C$37*(0.55*SIN(2*PI()*(Model_Data!A223)/Inputs!$C$39)+0.35*COS(2*PI()*(Inputs!$C$6)/Inputs!$C$40)+0.2*SIN(2*PI()*((Model_Data!A223)+(Inputs!$C$6))/(0.5*(Inputs!$C$39+Inputs!$C$40))))+Inputs!$C$38*SIN(2*PI()*(Model_Data!A223)/Inputs!$C$39)*SIN(2*PI()*(Inputs!$C$6)/Inputs!$C$40)+-Inputs!$C$41*EXP(-(((Inputs!$C$6)-Inputs!$C$43)^2)/(2*Inputs!$C$44^2))*EXP(-(((Model_Data!A223)-Inputs!$C$42)^2)/(2*Inputs!$C$45^2))+Inputs!$C$48*(0.7*(0.45*SIN(2*PI()*(((Model_Data!A223)/Inputs!$C$49)+Inputs!$C$47*0.137))+0.35*COS(2*PI()*(((Inputs!$C$6)/Inputs!$C$50)+Inputs!$C$47*0.173))+0.2*SIN(2*PI()*(((Model_Data!A223)+(Inputs!$C$6))/(0.5*(Inputs!$C$49+Inputs!$C$50))+Inputs!$C$47*0.097)))+0.3*(2*((SIN(((Model_Data!A223)*12.9898+(Inputs!$C$6)*78.233+Inputs!$C$47*37.719))*43758.5453)-INT((SIN(((Model_Data!A223)*12.9898+(Inputs!$C$6)*78.233+Inputs!$C$47*37.719))*43758.5453)))-1))))/1000)^2))-(((Model_Data!B223)-((Inputs!$C$51*(115*EXP(-(((0)-25)^2)/(4.5^2))+70*EXP(-(((0)+38)^2)/(7^2))*(0.55+0.45*SIN(2*PI()*(Model_Data!A223)/45))+24*SIN(2*PI()*(0)/9+(Model_Data!A223)/18)*EXP(-(((0)+5)^2)/(22^2))+18*SIN(2*PI()*(Model_Data!A223)/70))+Inputs!$C$28*EXP(-(((Model_Data!A223)-Inputs!$C$29)^2)/(2*Inputs!$C$31^2))*EXP(-(((0)-Inputs!$C$30)^2)/(2*Inputs!$C$32^2))+-Inputs!$C$33*EXP(-(((((Model_Data!A223)-Inputs!$C$34)^2)+(((0)-Inputs!$C$35)^2))/(2*Inputs!$C$36^2)))+Inputs!$C$37*(0.55*SIN(2*PI()*(Model_Data!A223)/Inputs!$C$39)+0.35*COS(2*PI()*(0)/Inputs!$C$40)+0.2*SIN(2*PI()*((Model_Data!A223)+(0))/(0.5*(Inputs!$C$39+Inputs!$C$40))))+Inputs!$C$38*SIN(2*PI()*(Model_Data!A223)/Inputs!$C$39)*SIN(2*PI()*(0)/Inputs!$C$40)+-Inputs!$C$41*EXP(-(((0)-Inputs!$C$43)^2)/(2*Inputs!$C$44^2))*EXP(-(((Model_Data!A223)-Inputs!$C$42)^2)/(2*Inputs!$C$45^2))+Inputs!$C$48*(0.7*(0.45*SIN(2*PI()*(((Model_Data!A223)/Inputs!$C$49)+Inputs!$C$47*0.137))+0.35*COS(2*PI()*(((0)/Inputs!$C$50)+Inputs!$C$47*0.173))+0.2*SIN(2*PI()*(((Model_Data!A223)+(0))/(0.5*(Inputs!$C$49+Inputs!$C$50))+Inputs!$C$47*0.097)))+0.3*(2*((SIN(((Model_Data!A223)*12.9898+(0)*78.233+Inputs!$C$47*37.719))*43758.5453)-INT((SIN(((Model_Data!A223)*12.9898+(0)*78.233+Inputs!$C$47*37.719))*43758.5453)))-1))))/1000)))*1000/Inputs!$C$12)</f>
        <v>2131.2140439142581</v>
      </c>
      <c r="E223" s="9">
        <f>Model_Data!A223</f>
        <v>50.5</v>
      </c>
      <c r="F223" s="9">
        <f>(Inputs!$C$51*(115*EXP(-(((Inputs!$C$6)-25)^2)/(4.5^2))+70*EXP(-(((Inputs!$C$6)+38)^2)/(7^2))*(0.55+0.45*SIN(2*PI()*(Model_Data!A223)/45))+24*SIN(2*PI()*(Inputs!$C$6)/9+(Model_Data!A223)/18)*EXP(-(((Inputs!$C$6)+5)^2)/(22^2))+18*SIN(2*PI()*(Model_Data!A223)/70))+Inputs!$C$28*EXP(-(((Model_Data!A223)-Inputs!$C$29)^2)/(2*Inputs!$C$31^2))*EXP(-(((Inputs!$C$6)-Inputs!$C$30)^2)/(2*Inputs!$C$32^2))+-Inputs!$C$33*EXP(-(((((Model_Data!A223)-Inputs!$C$34)^2)+(((Inputs!$C$6)-Inputs!$C$35)^2))/(2*Inputs!$C$36^2)))+Inputs!$C$37*(0.55*SIN(2*PI()*(Model_Data!A223)/Inputs!$C$39)+0.35*COS(2*PI()*(Inputs!$C$6)/Inputs!$C$40)+0.2*SIN(2*PI()*((Model_Data!A223)+(Inputs!$C$6))/(0.5*(Inputs!$C$39+Inputs!$C$40))))+Inputs!$C$38*SIN(2*PI()*(Model_Data!A223)/Inputs!$C$39)*SIN(2*PI()*(Inputs!$C$6)/Inputs!$C$40)+-Inputs!$C$41*EXP(-(((Inputs!$C$6)-Inputs!$C$43)^2)/(2*Inputs!$C$44^2))*EXP(-(((Model_Data!A223)-Inputs!$C$42)^2)/(2*Inputs!$C$45^2))+Inputs!$C$48*(0.7*(0.45*SIN(2*PI()*(((Model_Data!A223)/Inputs!$C$49)+Inputs!$C$47*0.137))+0.35*COS(2*PI()*(((Inputs!$C$6)/Inputs!$C$50)+Inputs!$C$47*0.173))+0.2*SIN(2*PI()*(((Model_Data!A223)+(Inputs!$C$6))/(0.5*(Inputs!$C$49+Inputs!$C$50))+Inputs!$C$47*0.097)))+0.3*(2*((SIN(((Model_Data!A223)*12.9898+(Inputs!$C$6)*78.233+Inputs!$C$47*37.719))*43758.5453)-INT((SIN(((Model_Data!A223)*12.9898+(Inputs!$C$6)*78.233+Inputs!$C$47*37.719))*43758.5453)))-1)))</f>
        <v>136.98620076238512</v>
      </c>
      <c r="G223" s="9">
        <f>(Inputs!$C$51*(115*EXP(-(((0)-25)^2)/(4.5^2))+70*EXP(-(((0)+38)^2)/(7^2))*(0.55+0.45*SIN(2*PI()*(Model_Data!A223)/45))+24*SIN(2*PI()*(0)/9+(Model_Data!A223)/18)*EXP(-(((0)+5)^2)/(22^2))+18*SIN(2*PI()*(Model_Data!A223)/70))+Inputs!$C$28*EXP(-(((Model_Data!A223)-Inputs!$C$29)^2)/(2*Inputs!$C$31^2))*EXP(-(((0)-Inputs!$C$30)^2)/(2*Inputs!$C$32^2))+-Inputs!$C$33*EXP(-(((((Model_Data!A223)-Inputs!$C$34)^2)+(((0)-Inputs!$C$35)^2))/(2*Inputs!$C$36^2)))+Inputs!$C$37*(0.55*SIN(2*PI()*(Model_Data!A223)/Inputs!$C$39)+0.35*COS(2*PI()*(0)/Inputs!$C$40)+0.2*SIN(2*PI()*((Model_Data!A223)+(0))/(0.5*(Inputs!$C$39+Inputs!$C$40))))+Inputs!$C$38*SIN(2*PI()*(Model_Data!A223)/Inputs!$C$39)*SIN(2*PI()*(0)/Inputs!$C$40)+-Inputs!$C$41*EXP(-(((0)-Inputs!$C$43)^2)/(2*Inputs!$C$44^2))*EXP(-(((Model_Data!A223)-Inputs!$C$42)^2)/(2*Inputs!$C$45^2))+Inputs!$C$48*(0.7*(0.45*SIN(2*PI()*(((Model_Data!A223)/Inputs!$C$49)+Inputs!$C$47*0.137))+0.35*COS(2*PI()*(((0)/Inputs!$C$50)+Inputs!$C$47*0.173))+0.2*SIN(2*PI()*(((Model_Data!A223)+(0))/(0.5*(Inputs!$C$49+Inputs!$C$50))+Inputs!$C$47*0.097)))+0.3*(2*((SIN(((Model_Data!A223)*12.9898+(0)*78.233+Inputs!$C$47*37.719))*43758.5453)-INT((SIN(((Model_Data!A223)*12.9898+(0)*78.233+Inputs!$C$47*37.719))*43758.5453)))-1)))</f>
        <v>7.1754118877202355</v>
      </c>
      <c r="H223" s="10"/>
      <c r="I223" s="9">
        <f>Model_Data!A223</f>
        <v>50.5</v>
      </c>
      <c r="J223" s="9">
        <f>(Inputs!$C$51*(115*EXP(-(((Inputs!$C$6)-25)^2)/(4.5^2))+70*EXP(-(((Inputs!$C$6)+38)^2)/(7^2))*(0.55+0.45*SIN(2*PI()*(Model_Data!A223)/45))+24*SIN(2*PI()*(Inputs!$C$6)/9+(Model_Data!A223)/18)*EXP(-(((Inputs!$C$6)+5)^2)/(22^2))+18*SIN(2*PI()*(Model_Data!A223)/70))+Inputs!$C$28*EXP(-(((Model_Data!A223)-Inputs!$C$29)^2)/(2*Inputs!$C$31^2))*EXP(-(((Inputs!$C$6)-Inputs!$C$30)^2)/(2*Inputs!$C$32^2))+-Inputs!$C$33*EXP(-(((((Model_Data!A223)-Inputs!$C$34)^2)+(((Inputs!$C$6)-Inputs!$C$35)^2))/(2*Inputs!$C$36^2)))+Inputs!$C$37*(0.55*SIN(2*PI()*(Model_Data!A223)/Inputs!$C$39)+0.35*COS(2*PI()*(Inputs!$C$6)/Inputs!$C$40)+0.2*SIN(2*PI()*((Model_Data!A223)+(Inputs!$C$6))/(0.5*(Inputs!$C$39+Inputs!$C$40))))+Inputs!$C$38*SIN(2*PI()*(Model_Data!A223)/Inputs!$C$39)*SIN(2*PI()*(Inputs!$C$6)/Inputs!$C$40)+-Inputs!$C$41*EXP(-(((Inputs!$C$6)-Inputs!$C$43)^2)/(2*Inputs!$C$44^2))*EXP(-(((Model_Data!A223)-Inputs!$C$42)^2)/(2*Inputs!$C$45^2))+Inputs!$C$48*(0.7*(0.45*SIN(2*PI()*(((Model_Data!A223)/Inputs!$C$49)+Inputs!$C$47*0.137))+0.35*COS(2*PI()*(((Inputs!$C$6)/Inputs!$C$50)+Inputs!$C$47*0.173))+0.2*SIN(2*PI()*(((Model_Data!A223)+(Inputs!$C$6))/(0.5*(Inputs!$C$49+Inputs!$C$50))+Inputs!$C$47*0.097)))+0.3*(2*((SIN(((Model_Data!A223)*12.9898+(Inputs!$C$6)*78.233+Inputs!$C$47*37.719))*43758.5453)-INT((SIN(((Model_Data!A223)*12.9898+(Inputs!$C$6)*78.233+Inputs!$C$47*37.719))*43758.5453)))-1)))</f>
        <v>136.98620076238512</v>
      </c>
      <c r="K223" s="9">
        <f>-((((SQRT((Model_Data!A223)^2+Inputs!$C$6^2+((Model_Data!B223)-((Inputs!$C$51*(115*EXP(-(((Inputs!$C$6)-25)^2)/(4.5^2))+70*EXP(-(((Inputs!$C$6)+38)^2)/(7^2))*(0.55+0.45*SIN(2*PI()*(Model_Data!A223)/45))+24*SIN(2*PI()*(Inputs!$C$6)/9+(Model_Data!A223)/18)*EXP(-(((Inputs!$C$6)+5)^2)/(22^2))+18*SIN(2*PI()*(Model_Data!A223)/70))+Inputs!$C$28*EXP(-(((Model_Data!A223)-Inputs!$C$29)^2)/(2*Inputs!$C$31^2))*EXP(-(((Inputs!$C$6)-Inputs!$C$30)^2)/(2*Inputs!$C$32^2))+-Inputs!$C$33*EXP(-(((((Model_Data!A223)-Inputs!$C$34)^2)+(((Inputs!$C$6)-Inputs!$C$35)^2))/(2*Inputs!$C$36^2)))+Inputs!$C$37*(0.55*SIN(2*PI()*(Model_Data!A223)/Inputs!$C$39)+0.35*COS(2*PI()*(Inputs!$C$6)/Inputs!$C$40)+0.2*SIN(2*PI()*((Model_Data!A223)+(Inputs!$C$6))/(0.5*(Inputs!$C$39+Inputs!$C$40))))+Inputs!$C$38*SIN(2*PI()*(Model_Data!A223)/Inputs!$C$39)*SIN(2*PI()*(Inputs!$C$6)/Inputs!$C$40)+-Inputs!$C$41*EXP(-(((Inputs!$C$6)-Inputs!$C$43)^2)/(2*Inputs!$C$44^2))*EXP(-(((Model_Data!A223)-Inputs!$C$42)^2)/(2*Inputs!$C$45^2))+Inputs!$C$48*(0.7*(0.45*SIN(2*PI()*(((Model_Data!A223)/Inputs!$C$49)+Inputs!$C$47*0.137))+0.35*COS(2*PI()*(((Inputs!$C$6)/Inputs!$C$50)+Inputs!$C$47*0.173))+0.2*SIN(2*PI()*(((Model_Data!A223)+(Inputs!$C$6))/(0.5*(Inputs!$C$49+Inputs!$C$50))+Inputs!$C$47*0.097)))+0.3*(2*((SIN(((Model_Data!A223)*12.9898+(Inputs!$C$6)*78.233+Inputs!$C$47*37.719))*43758.5453)-INT((SIN(((Model_Data!A223)*12.9898+(Inputs!$C$6)*78.233+Inputs!$C$47*37.719))*43758.5453)))-1))))/1000)^2))-(((Model_Data!B223)-((Inputs!$C$51*(115*EXP(-(((0)-25)^2)/(4.5^2))+70*EXP(-(((0)+38)^2)/(7^2))*(0.55+0.45*SIN(2*PI()*(Model_Data!A223)/45))+24*SIN(2*PI()*(0)/9+(Model_Data!A223)/18)*EXP(-(((0)+5)^2)/(22^2))+18*SIN(2*PI()*(Model_Data!A223)/70))+Inputs!$C$28*EXP(-(((Model_Data!A223)-Inputs!$C$29)^2)/(2*Inputs!$C$31^2))*EXP(-(((0)-Inputs!$C$30)^2)/(2*Inputs!$C$32^2))+-Inputs!$C$33*EXP(-(((((Model_Data!A223)-Inputs!$C$34)^2)+(((0)-Inputs!$C$35)^2))/(2*Inputs!$C$36^2)))+Inputs!$C$37*(0.55*SIN(2*PI()*(Model_Data!A223)/Inputs!$C$39)+0.35*COS(2*PI()*(0)/Inputs!$C$40)+0.2*SIN(2*PI()*((Model_Data!A223)+(0))/(0.5*(Inputs!$C$39+Inputs!$C$40))))+Inputs!$C$38*SIN(2*PI()*(Model_Data!A223)/Inputs!$C$39)*SIN(2*PI()*(0)/Inputs!$C$40)+-Inputs!$C$41*EXP(-(((0)-Inputs!$C$43)^2)/(2*Inputs!$C$44^2))*EXP(-(((Model_Data!A223)-Inputs!$C$42)^2)/(2*Inputs!$C$45^2))+Inputs!$C$48*(0.7*(0.45*SIN(2*PI()*(((Model_Data!A223)/Inputs!$C$49)+Inputs!$C$47*0.137))+0.35*COS(2*PI()*(((0)/Inputs!$C$50)+Inputs!$C$47*0.173))+0.2*SIN(2*PI()*(((Model_Data!A223)+(0))/(0.5*(Inputs!$C$49+Inputs!$C$50))+Inputs!$C$47*0.097)))+0.3*(2*((SIN(((Model_Data!A223)*12.9898+(0)*78.233+Inputs!$C$47*37.719))*43758.5453)-INT((SIN(((Model_Data!A223)*12.9898+(0)*78.233+Inputs!$C$47*37.719))*43758.5453)))-1))))/1000)))*1000/Inputs!$C$12)-Model_Data!F223)</f>
        <v>72.18510518856192</v>
      </c>
      <c r="L223" s="10"/>
      <c r="M223" s="9">
        <f>Model_Data!A223</f>
        <v>50.5</v>
      </c>
      <c r="N223" s="9">
        <f>Model_Data!P223</f>
        <v>-376.46928438185142</v>
      </c>
      <c r="O223" s="9">
        <f t="shared" si="6"/>
        <v>-341.90990416464047</v>
      </c>
      <c r="P223" s="9">
        <f>Model_Data!Q223</f>
        <v>-56.526919576854574</v>
      </c>
      <c r="Q223" s="9">
        <f t="shared" si="7"/>
        <v>-51.337823448144221</v>
      </c>
      <c r="R223" s="10"/>
      <c r="S223" s="9">
        <f>Model_Data!A223</f>
        <v>50.5</v>
      </c>
      <c r="T223" s="9">
        <f>Model_Data!B223-Inputs!$C$5</f>
        <v>2.8336111111111109</v>
      </c>
      <c r="U223" s="10"/>
      <c r="V223" s="9">
        <f>Model_Data!A223</f>
        <v>50.5</v>
      </c>
      <c r="W223" s="9">
        <f>((SQRT((Model_Data!A223)^2+Inputs!$C$6^2+Inputs!$C$5^2)-Inputs!$C$5)*1000/Inputs!$C$12)</f>
        <v>2218.8560019037022</v>
      </c>
      <c r="X223" s="9">
        <f>Model_Data!F223</f>
        <v>2203.39914910282</v>
      </c>
      <c r="Y223" s="10"/>
      <c r="Z223" s="9">
        <f>Model_Data!A223</f>
        <v>50.5</v>
      </c>
      <c r="AA223" s="9">
        <f>SQRT((Model_Data!A223)^2+Inputs!$C$6^2+((Model_Data!B223)-((Inputs!$C$51*(115*EXP(-(((Inputs!$C$6)-25)^2)/(4.5^2))+70*EXP(-(((Inputs!$C$6)+38)^2)/(7^2))*(0.55+0.45*SIN(2*PI()*(Model_Data!A223)/45))+24*SIN(2*PI()*(Inputs!$C$6)/9+(Model_Data!A223)/18)*EXP(-(((Inputs!$C$6)+5)^2)/(22^2))+18*SIN(2*PI()*(Model_Data!A223)/70))+Inputs!$C$28*EXP(-(((Model_Data!A223)-Inputs!$C$29)^2)/(2*Inputs!$C$31^2))*EXP(-(((Inputs!$C$6)-Inputs!$C$30)^2)/(2*Inputs!$C$32^2))+-Inputs!$C$33*EXP(-(((((Model_Data!A223)-Inputs!$C$34)^2)+(((Inputs!$C$6)-Inputs!$C$35)^2))/(2*Inputs!$C$36^2)))+Inputs!$C$37*(0.55*SIN(2*PI()*(Model_Data!A223)/Inputs!$C$39)+0.35*COS(2*PI()*(Inputs!$C$6)/Inputs!$C$40)+0.2*SIN(2*PI()*((Model_Data!A223)+(Inputs!$C$6))/(0.5*(Inputs!$C$39+Inputs!$C$40))))+Inputs!$C$38*SIN(2*PI()*(Model_Data!A223)/Inputs!$C$39)*SIN(2*PI()*(Inputs!$C$6)/Inputs!$C$40)+-Inputs!$C$41*EXP(-(((Inputs!$C$6)-Inputs!$C$43)^2)/(2*Inputs!$C$44^2))*EXP(-(((Model_Data!A223)-Inputs!$C$42)^2)/(2*Inputs!$C$45^2))+Inputs!$C$48*(0.7*(0.45*SIN(2*PI()*(((Model_Data!A223)/Inputs!$C$49)+Inputs!$C$47*0.137))+0.35*COS(2*PI()*(((Inputs!$C$6)/Inputs!$C$50)+Inputs!$C$47*0.173))+0.2*SIN(2*PI()*(((Model_Data!A223)+(Inputs!$C$6))/(0.5*(Inputs!$C$49+Inputs!$C$50))+Inputs!$C$47*0.097)))+0.3*(2*((SIN(((Model_Data!A223)*12.9898+(Inputs!$C$6)*78.233+Inputs!$C$47*37.719))*43758.5453)-INT((SIN(((Model_Data!A223)*12.9898+(Inputs!$C$6)*78.233+Inputs!$C$47*37.719))*43758.5453)))-1))))/1000)^2)</f>
        <v>406.61999669739077</v>
      </c>
      <c r="AB223" s="9">
        <f>1000*(AA224-AA222)/(Z224-Z222)*Inputs!$C$11</f>
        <v>854.77476041160116</v>
      </c>
      <c r="AC223" s="9">
        <f>-2*AB223/Inputs!$C$13</f>
        <v>-341.90990416464047</v>
      </c>
      <c r="AD223" s="9">
        <f>-2*AB223/Inputs!$C$14</f>
        <v>-51.337823448144221</v>
      </c>
    </row>
    <row r="224" spans="1:30">
      <c r="A224" s="9">
        <f>Model_Data!A224</f>
        <v>51</v>
      </c>
      <c r="B224" s="9">
        <f>((SQRT((Model_Data!A224)^2+Inputs!$C$6^2+Inputs!$C$5^2)-Inputs!$C$5)*1000/Inputs!$C$12)</f>
        <v>2254.1438472253849</v>
      </c>
      <c r="C224" s="9">
        <f>Model_Data!F224</f>
        <v>2238.133363530445</v>
      </c>
      <c r="D224" s="9">
        <f>(((SQRT((Model_Data!A224)^2+Inputs!$C$6^2+((Model_Data!B224)-((Inputs!$C$51*(115*EXP(-(((Inputs!$C$6)-25)^2)/(4.5^2))+70*EXP(-(((Inputs!$C$6)+38)^2)/(7^2))*(0.55+0.45*SIN(2*PI()*(Model_Data!A224)/45))+24*SIN(2*PI()*(Inputs!$C$6)/9+(Model_Data!A224)/18)*EXP(-(((Inputs!$C$6)+5)^2)/(22^2))+18*SIN(2*PI()*(Model_Data!A224)/70))+Inputs!$C$28*EXP(-(((Model_Data!A224)-Inputs!$C$29)^2)/(2*Inputs!$C$31^2))*EXP(-(((Inputs!$C$6)-Inputs!$C$30)^2)/(2*Inputs!$C$32^2))+-Inputs!$C$33*EXP(-(((((Model_Data!A224)-Inputs!$C$34)^2)+(((Inputs!$C$6)-Inputs!$C$35)^2))/(2*Inputs!$C$36^2)))+Inputs!$C$37*(0.55*SIN(2*PI()*(Model_Data!A224)/Inputs!$C$39)+0.35*COS(2*PI()*(Inputs!$C$6)/Inputs!$C$40)+0.2*SIN(2*PI()*((Model_Data!A224)+(Inputs!$C$6))/(0.5*(Inputs!$C$39+Inputs!$C$40))))+Inputs!$C$38*SIN(2*PI()*(Model_Data!A224)/Inputs!$C$39)*SIN(2*PI()*(Inputs!$C$6)/Inputs!$C$40)+-Inputs!$C$41*EXP(-(((Inputs!$C$6)-Inputs!$C$43)^2)/(2*Inputs!$C$44^2))*EXP(-(((Model_Data!A224)-Inputs!$C$42)^2)/(2*Inputs!$C$45^2))+Inputs!$C$48*(0.7*(0.45*SIN(2*PI()*(((Model_Data!A224)/Inputs!$C$49)+Inputs!$C$47*0.137))+0.35*COS(2*PI()*(((Inputs!$C$6)/Inputs!$C$50)+Inputs!$C$47*0.173))+0.2*SIN(2*PI()*(((Model_Data!A224)+(Inputs!$C$6))/(0.5*(Inputs!$C$49+Inputs!$C$50))+Inputs!$C$47*0.097)))+0.3*(2*((SIN(((Model_Data!A224)*12.9898+(Inputs!$C$6)*78.233+Inputs!$C$47*37.719))*43758.5453)-INT((SIN(((Model_Data!A224)*12.9898+(Inputs!$C$6)*78.233+Inputs!$C$47*37.719))*43758.5453)))-1))))/1000)^2))-(((Model_Data!B224)-((Inputs!$C$51*(115*EXP(-(((0)-25)^2)/(4.5^2))+70*EXP(-(((0)+38)^2)/(7^2))*(0.55+0.45*SIN(2*PI()*(Model_Data!A224)/45))+24*SIN(2*PI()*(0)/9+(Model_Data!A224)/18)*EXP(-(((0)+5)^2)/(22^2))+18*SIN(2*PI()*(Model_Data!A224)/70))+Inputs!$C$28*EXP(-(((Model_Data!A224)-Inputs!$C$29)^2)/(2*Inputs!$C$31^2))*EXP(-(((0)-Inputs!$C$30)^2)/(2*Inputs!$C$32^2))+-Inputs!$C$33*EXP(-(((((Model_Data!A224)-Inputs!$C$34)^2)+(((0)-Inputs!$C$35)^2))/(2*Inputs!$C$36^2)))+Inputs!$C$37*(0.55*SIN(2*PI()*(Model_Data!A224)/Inputs!$C$39)+0.35*COS(2*PI()*(0)/Inputs!$C$40)+0.2*SIN(2*PI()*((Model_Data!A224)+(0))/(0.5*(Inputs!$C$39+Inputs!$C$40))))+Inputs!$C$38*SIN(2*PI()*(Model_Data!A224)/Inputs!$C$39)*SIN(2*PI()*(0)/Inputs!$C$40)+-Inputs!$C$41*EXP(-(((0)-Inputs!$C$43)^2)/(2*Inputs!$C$44^2))*EXP(-(((Model_Data!A224)-Inputs!$C$42)^2)/(2*Inputs!$C$45^2))+Inputs!$C$48*(0.7*(0.45*SIN(2*PI()*(((Model_Data!A224)/Inputs!$C$49)+Inputs!$C$47*0.137))+0.35*COS(2*PI()*(((0)/Inputs!$C$50)+Inputs!$C$47*0.173))+0.2*SIN(2*PI()*(((Model_Data!A224)+(0))/(0.5*(Inputs!$C$49+Inputs!$C$50))+Inputs!$C$47*0.097)))+0.3*(2*((SIN(((Model_Data!A224)*12.9898+(0)*78.233+Inputs!$C$47*37.719))*43758.5453)-INT((SIN(((Model_Data!A224)*12.9898+(0)*78.233+Inputs!$C$47*37.719))*43758.5453)))-1))))/1000)))*1000/Inputs!$C$12)</f>
        <v>2168.3496721002457</v>
      </c>
      <c r="E224" s="9">
        <f>Model_Data!A224</f>
        <v>51</v>
      </c>
      <c r="F224" s="9">
        <f>(Inputs!$C$51*(115*EXP(-(((Inputs!$C$6)-25)^2)/(4.5^2))+70*EXP(-(((Inputs!$C$6)+38)^2)/(7^2))*(0.55+0.45*SIN(2*PI()*(Model_Data!A224)/45))+24*SIN(2*PI()*(Inputs!$C$6)/9+(Model_Data!A224)/18)*EXP(-(((Inputs!$C$6)+5)^2)/(22^2))+18*SIN(2*PI()*(Model_Data!A224)/70))+Inputs!$C$28*EXP(-(((Model_Data!A224)-Inputs!$C$29)^2)/(2*Inputs!$C$31^2))*EXP(-(((Inputs!$C$6)-Inputs!$C$30)^2)/(2*Inputs!$C$32^2))+-Inputs!$C$33*EXP(-(((((Model_Data!A224)-Inputs!$C$34)^2)+(((Inputs!$C$6)-Inputs!$C$35)^2))/(2*Inputs!$C$36^2)))+Inputs!$C$37*(0.55*SIN(2*PI()*(Model_Data!A224)/Inputs!$C$39)+0.35*COS(2*PI()*(Inputs!$C$6)/Inputs!$C$40)+0.2*SIN(2*PI()*((Model_Data!A224)+(Inputs!$C$6))/(0.5*(Inputs!$C$39+Inputs!$C$40))))+Inputs!$C$38*SIN(2*PI()*(Model_Data!A224)/Inputs!$C$39)*SIN(2*PI()*(Inputs!$C$6)/Inputs!$C$40)+-Inputs!$C$41*EXP(-(((Inputs!$C$6)-Inputs!$C$43)^2)/(2*Inputs!$C$44^2))*EXP(-(((Model_Data!A224)-Inputs!$C$42)^2)/(2*Inputs!$C$45^2))+Inputs!$C$48*(0.7*(0.45*SIN(2*PI()*(((Model_Data!A224)/Inputs!$C$49)+Inputs!$C$47*0.137))+0.35*COS(2*PI()*(((Inputs!$C$6)/Inputs!$C$50)+Inputs!$C$47*0.173))+0.2*SIN(2*PI()*(((Model_Data!A224)+(Inputs!$C$6))/(0.5*(Inputs!$C$49+Inputs!$C$50))+Inputs!$C$47*0.097)))+0.3*(2*((SIN(((Model_Data!A224)*12.9898+(Inputs!$C$6)*78.233+Inputs!$C$47*37.719))*43758.5453)-INT((SIN(((Model_Data!A224)*12.9898+(Inputs!$C$6)*78.233+Inputs!$C$47*37.719))*43758.5453)))-1)))</f>
        <v>137.08289632779307</v>
      </c>
      <c r="G224" s="9">
        <f>(Inputs!$C$51*(115*EXP(-(((0)-25)^2)/(4.5^2))+70*EXP(-(((0)+38)^2)/(7^2))*(0.55+0.45*SIN(2*PI()*(Model_Data!A224)/45))+24*SIN(2*PI()*(0)/9+(Model_Data!A224)/18)*EXP(-(((0)+5)^2)/(22^2))+18*SIN(2*PI()*(Model_Data!A224)/70))+Inputs!$C$28*EXP(-(((Model_Data!A224)-Inputs!$C$29)^2)/(2*Inputs!$C$31^2))*EXP(-(((0)-Inputs!$C$30)^2)/(2*Inputs!$C$32^2))+-Inputs!$C$33*EXP(-(((((Model_Data!A224)-Inputs!$C$34)^2)+(((0)-Inputs!$C$35)^2))/(2*Inputs!$C$36^2)))+Inputs!$C$37*(0.55*SIN(2*PI()*(Model_Data!A224)/Inputs!$C$39)+0.35*COS(2*PI()*(0)/Inputs!$C$40)+0.2*SIN(2*PI()*((Model_Data!A224)+(0))/(0.5*(Inputs!$C$39+Inputs!$C$40))))+Inputs!$C$38*SIN(2*PI()*(Model_Data!A224)/Inputs!$C$39)*SIN(2*PI()*(0)/Inputs!$C$40)+-Inputs!$C$41*EXP(-(((0)-Inputs!$C$43)^2)/(2*Inputs!$C$44^2))*EXP(-(((Model_Data!A224)-Inputs!$C$42)^2)/(2*Inputs!$C$45^2))+Inputs!$C$48*(0.7*(0.45*SIN(2*PI()*(((Model_Data!A224)/Inputs!$C$49)+Inputs!$C$47*0.137))+0.35*COS(2*PI()*(((0)/Inputs!$C$50)+Inputs!$C$47*0.173))+0.2*SIN(2*PI()*(((Model_Data!A224)+(0))/(0.5*(Inputs!$C$49+Inputs!$C$50))+Inputs!$C$47*0.097)))+0.3*(2*((SIN(((Model_Data!A224)*12.9898+(0)*78.233+Inputs!$C$47*37.719))*43758.5453)-INT((SIN(((Model_Data!A224)*12.9898+(0)*78.233+Inputs!$C$47*37.719))*43758.5453)))-1)))</f>
        <v>11.525237738664625</v>
      </c>
      <c r="H224" s="10"/>
      <c r="I224" s="9">
        <f>Model_Data!A224</f>
        <v>51</v>
      </c>
      <c r="J224" s="9">
        <f>(Inputs!$C$51*(115*EXP(-(((Inputs!$C$6)-25)^2)/(4.5^2))+70*EXP(-(((Inputs!$C$6)+38)^2)/(7^2))*(0.55+0.45*SIN(2*PI()*(Model_Data!A224)/45))+24*SIN(2*PI()*(Inputs!$C$6)/9+(Model_Data!A224)/18)*EXP(-(((Inputs!$C$6)+5)^2)/(22^2))+18*SIN(2*PI()*(Model_Data!A224)/70))+Inputs!$C$28*EXP(-(((Model_Data!A224)-Inputs!$C$29)^2)/(2*Inputs!$C$31^2))*EXP(-(((Inputs!$C$6)-Inputs!$C$30)^2)/(2*Inputs!$C$32^2))+-Inputs!$C$33*EXP(-(((((Model_Data!A224)-Inputs!$C$34)^2)+(((Inputs!$C$6)-Inputs!$C$35)^2))/(2*Inputs!$C$36^2)))+Inputs!$C$37*(0.55*SIN(2*PI()*(Model_Data!A224)/Inputs!$C$39)+0.35*COS(2*PI()*(Inputs!$C$6)/Inputs!$C$40)+0.2*SIN(2*PI()*((Model_Data!A224)+(Inputs!$C$6))/(0.5*(Inputs!$C$39+Inputs!$C$40))))+Inputs!$C$38*SIN(2*PI()*(Model_Data!A224)/Inputs!$C$39)*SIN(2*PI()*(Inputs!$C$6)/Inputs!$C$40)+-Inputs!$C$41*EXP(-(((Inputs!$C$6)-Inputs!$C$43)^2)/(2*Inputs!$C$44^2))*EXP(-(((Model_Data!A224)-Inputs!$C$42)^2)/(2*Inputs!$C$45^2))+Inputs!$C$48*(0.7*(0.45*SIN(2*PI()*(((Model_Data!A224)/Inputs!$C$49)+Inputs!$C$47*0.137))+0.35*COS(2*PI()*(((Inputs!$C$6)/Inputs!$C$50)+Inputs!$C$47*0.173))+0.2*SIN(2*PI()*(((Model_Data!A224)+(Inputs!$C$6))/(0.5*(Inputs!$C$49+Inputs!$C$50))+Inputs!$C$47*0.097)))+0.3*(2*((SIN(((Model_Data!A224)*12.9898+(Inputs!$C$6)*78.233+Inputs!$C$47*37.719))*43758.5453)-INT((SIN(((Model_Data!A224)*12.9898+(Inputs!$C$6)*78.233+Inputs!$C$47*37.719))*43758.5453)))-1)))</f>
        <v>137.08289632779307</v>
      </c>
      <c r="K224" s="9">
        <f>-((((SQRT((Model_Data!A224)^2+Inputs!$C$6^2+((Model_Data!B224)-((Inputs!$C$51*(115*EXP(-(((Inputs!$C$6)-25)^2)/(4.5^2))+70*EXP(-(((Inputs!$C$6)+38)^2)/(7^2))*(0.55+0.45*SIN(2*PI()*(Model_Data!A224)/45))+24*SIN(2*PI()*(Inputs!$C$6)/9+(Model_Data!A224)/18)*EXP(-(((Inputs!$C$6)+5)^2)/(22^2))+18*SIN(2*PI()*(Model_Data!A224)/70))+Inputs!$C$28*EXP(-(((Model_Data!A224)-Inputs!$C$29)^2)/(2*Inputs!$C$31^2))*EXP(-(((Inputs!$C$6)-Inputs!$C$30)^2)/(2*Inputs!$C$32^2))+-Inputs!$C$33*EXP(-(((((Model_Data!A224)-Inputs!$C$34)^2)+(((Inputs!$C$6)-Inputs!$C$35)^2))/(2*Inputs!$C$36^2)))+Inputs!$C$37*(0.55*SIN(2*PI()*(Model_Data!A224)/Inputs!$C$39)+0.35*COS(2*PI()*(Inputs!$C$6)/Inputs!$C$40)+0.2*SIN(2*PI()*((Model_Data!A224)+(Inputs!$C$6))/(0.5*(Inputs!$C$39+Inputs!$C$40))))+Inputs!$C$38*SIN(2*PI()*(Model_Data!A224)/Inputs!$C$39)*SIN(2*PI()*(Inputs!$C$6)/Inputs!$C$40)+-Inputs!$C$41*EXP(-(((Inputs!$C$6)-Inputs!$C$43)^2)/(2*Inputs!$C$44^2))*EXP(-(((Model_Data!A224)-Inputs!$C$42)^2)/(2*Inputs!$C$45^2))+Inputs!$C$48*(0.7*(0.45*SIN(2*PI()*(((Model_Data!A224)/Inputs!$C$49)+Inputs!$C$47*0.137))+0.35*COS(2*PI()*(((Inputs!$C$6)/Inputs!$C$50)+Inputs!$C$47*0.173))+0.2*SIN(2*PI()*(((Model_Data!A224)+(Inputs!$C$6))/(0.5*(Inputs!$C$49+Inputs!$C$50))+Inputs!$C$47*0.097)))+0.3*(2*((SIN(((Model_Data!A224)*12.9898+(Inputs!$C$6)*78.233+Inputs!$C$47*37.719))*43758.5453)-INT((SIN(((Model_Data!A224)*12.9898+(Inputs!$C$6)*78.233+Inputs!$C$47*37.719))*43758.5453)))-1))))/1000)^2))-(((Model_Data!B224)-((Inputs!$C$51*(115*EXP(-(((0)-25)^2)/(4.5^2))+70*EXP(-(((0)+38)^2)/(7^2))*(0.55+0.45*SIN(2*PI()*(Model_Data!A224)/45))+24*SIN(2*PI()*(0)/9+(Model_Data!A224)/18)*EXP(-(((0)+5)^2)/(22^2))+18*SIN(2*PI()*(Model_Data!A224)/70))+Inputs!$C$28*EXP(-(((Model_Data!A224)-Inputs!$C$29)^2)/(2*Inputs!$C$31^2))*EXP(-(((0)-Inputs!$C$30)^2)/(2*Inputs!$C$32^2))+-Inputs!$C$33*EXP(-(((((Model_Data!A224)-Inputs!$C$34)^2)+(((0)-Inputs!$C$35)^2))/(2*Inputs!$C$36^2)))+Inputs!$C$37*(0.55*SIN(2*PI()*(Model_Data!A224)/Inputs!$C$39)+0.35*COS(2*PI()*(0)/Inputs!$C$40)+0.2*SIN(2*PI()*((Model_Data!A224)+(0))/(0.5*(Inputs!$C$39+Inputs!$C$40))))+Inputs!$C$38*SIN(2*PI()*(Model_Data!A224)/Inputs!$C$39)*SIN(2*PI()*(0)/Inputs!$C$40)+-Inputs!$C$41*EXP(-(((0)-Inputs!$C$43)^2)/(2*Inputs!$C$44^2))*EXP(-(((Model_Data!A224)-Inputs!$C$42)^2)/(2*Inputs!$C$45^2))+Inputs!$C$48*(0.7*(0.45*SIN(2*PI()*(((Model_Data!A224)/Inputs!$C$49)+Inputs!$C$47*0.137))+0.35*COS(2*PI()*(((0)/Inputs!$C$50)+Inputs!$C$47*0.173))+0.2*SIN(2*PI()*(((Model_Data!A224)+(0))/(0.5*(Inputs!$C$49+Inputs!$C$50))+Inputs!$C$47*0.097)))+0.3*(2*((SIN(((Model_Data!A224)*12.9898+(0)*78.233+Inputs!$C$47*37.719))*43758.5453)-INT((SIN(((Model_Data!A224)*12.9898+(0)*78.233+Inputs!$C$47*37.719))*43758.5453)))-1))))/1000)))*1000/Inputs!$C$12)-Model_Data!F224)</f>
        <v>69.783691430199269</v>
      </c>
      <c r="L224" s="10"/>
      <c r="M224" s="9">
        <f>Model_Data!A224</f>
        <v>51</v>
      </c>
      <c r="N224" s="9">
        <f>Model_Data!P224</f>
        <v>-380.1113693016265</v>
      </c>
      <c r="O224" s="9">
        <f t="shared" si="6"/>
        <v>-344.32554559853088</v>
      </c>
      <c r="P224" s="9">
        <f>Model_Data!Q224</f>
        <v>-57.073779174418398</v>
      </c>
      <c r="Q224" s="9">
        <f t="shared" si="7"/>
        <v>-51.700532372151791</v>
      </c>
      <c r="R224" s="10"/>
      <c r="S224" s="9">
        <f>Model_Data!A224</f>
        <v>51</v>
      </c>
      <c r="T224" s="9">
        <f>Model_Data!B224-Inputs!$C$5</f>
        <v>2.8899999999999864</v>
      </c>
      <c r="U224" s="10"/>
      <c r="V224" s="9">
        <f>Model_Data!A224</f>
        <v>51</v>
      </c>
      <c r="W224" s="9">
        <f>((SQRT((Model_Data!A224)^2+Inputs!$C$6^2+Inputs!$C$5^2)-Inputs!$C$5)*1000/Inputs!$C$12)</f>
        <v>2254.1438472253849</v>
      </c>
      <c r="X224" s="9">
        <f>Model_Data!F224</f>
        <v>2238.133363530445</v>
      </c>
      <c r="Y224" s="10"/>
      <c r="Z224" s="9">
        <f>Model_Data!A224</f>
        <v>51</v>
      </c>
      <c r="AA224" s="9">
        <f>SQRT((Model_Data!A224)^2+Inputs!$C$6^2+((Model_Data!B224)-((Inputs!$C$51*(115*EXP(-(((Inputs!$C$6)-25)^2)/(4.5^2))+70*EXP(-(((Inputs!$C$6)+38)^2)/(7^2))*(0.55+0.45*SIN(2*PI()*(Model_Data!A224)/45))+24*SIN(2*PI()*(Inputs!$C$6)/9+(Model_Data!A224)/18)*EXP(-(((Inputs!$C$6)+5)^2)/(22^2))+18*SIN(2*PI()*(Model_Data!A224)/70))+Inputs!$C$28*EXP(-(((Model_Data!A224)-Inputs!$C$29)^2)/(2*Inputs!$C$31^2))*EXP(-(((Inputs!$C$6)-Inputs!$C$30)^2)/(2*Inputs!$C$32^2))+-Inputs!$C$33*EXP(-(((((Model_Data!A224)-Inputs!$C$34)^2)+(((Inputs!$C$6)-Inputs!$C$35)^2))/(2*Inputs!$C$36^2)))+Inputs!$C$37*(0.55*SIN(2*PI()*(Model_Data!A224)/Inputs!$C$39)+0.35*COS(2*PI()*(Inputs!$C$6)/Inputs!$C$40)+0.2*SIN(2*PI()*((Model_Data!A224)+(Inputs!$C$6))/(0.5*(Inputs!$C$39+Inputs!$C$40))))+Inputs!$C$38*SIN(2*PI()*(Model_Data!A224)/Inputs!$C$39)*SIN(2*PI()*(Inputs!$C$6)/Inputs!$C$40)+-Inputs!$C$41*EXP(-(((Inputs!$C$6)-Inputs!$C$43)^2)/(2*Inputs!$C$44^2))*EXP(-(((Model_Data!A224)-Inputs!$C$42)^2)/(2*Inputs!$C$45^2))+Inputs!$C$48*(0.7*(0.45*SIN(2*PI()*(((Model_Data!A224)/Inputs!$C$49)+Inputs!$C$47*0.137))+0.35*COS(2*PI()*(((Inputs!$C$6)/Inputs!$C$50)+Inputs!$C$47*0.173))+0.2*SIN(2*PI()*(((Model_Data!A224)+(Inputs!$C$6))/(0.5*(Inputs!$C$49+Inputs!$C$50))+Inputs!$C$47*0.097)))+0.3*(2*((SIN(((Model_Data!A224)*12.9898+(Inputs!$C$6)*78.233+Inputs!$C$47*37.719))*43758.5453)-INT((SIN(((Model_Data!A224)*12.9898+(Inputs!$C$6)*78.233+Inputs!$C$47*37.719))*43758.5453)))-1))))/1000)^2)</f>
        <v>406.73813717859974</v>
      </c>
      <c r="AB224" s="9">
        <f>1000*(AA225-AA223)/(Z225-Z223)*Inputs!$C$11</f>
        <v>860.8138639963272</v>
      </c>
      <c r="AC224" s="9">
        <f>-2*AB224/Inputs!$C$13</f>
        <v>-344.32554559853088</v>
      </c>
      <c r="AD224" s="9">
        <f>-2*AB224/Inputs!$C$14</f>
        <v>-51.700532372151791</v>
      </c>
    </row>
    <row r="225" spans="1:30">
      <c r="A225" s="9">
        <f>Model_Data!A225</f>
        <v>51.5</v>
      </c>
      <c r="B225" s="9">
        <f>((SQRT((Model_Data!A225)^2+Inputs!$C$6^2+Inputs!$C$5^2)-Inputs!$C$5)*1000/Inputs!$C$12)</f>
        <v>2289.7737893275739</v>
      </c>
      <c r="C225" s="9">
        <f>Model_Data!F225</f>
        <v>2273.1946646580468</v>
      </c>
      <c r="D225" s="9">
        <f>(((SQRT((Model_Data!A225)^2+Inputs!$C$6^2+((Model_Data!B225)-((Inputs!$C$51*(115*EXP(-(((Inputs!$C$6)-25)^2)/(4.5^2))+70*EXP(-(((Inputs!$C$6)+38)^2)/(7^2))*(0.55+0.45*SIN(2*PI()*(Model_Data!A225)/45))+24*SIN(2*PI()*(Inputs!$C$6)/9+(Model_Data!A225)/18)*EXP(-(((Inputs!$C$6)+5)^2)/(22^2))+18*SIN(2*PI()*(Model_Data!A225)/70))+Inputs!$C$28*EXP(-(((Model_Data!A225)-Inputs!$C$29)^2)/(2*Inputs!$C$31^2))*EXP(-(((Inputs!$C$6)-Inputs!$C$30)^2)/(2*Inputs!$C$32^2))+-Inputs!$C$33*EXP(-(((((Model_Data!A225)-Inputs!$C$34)^2)+(((Inputs!$C$6)-Inputs!$C$35)^2))/(2*Inputs!$C$36^2)))+Inputs!$C$37*(0.55*SIN(2*PI()*(Model_Data!A225)/Inputs!$C$39)+0.35*COS(2*PI()*(Inputs!$C$6)/Inputs!$C$40)+0.2*SIN(2*PI()*((Model_Data!A225)+(Inputs!$C$6))/(0.5*(Inputs!$C$39+Inputs!$C$40))))+Inputs!$C$38*SIN(2*PI()*(Model_Data!A225)/Inputs!$C$39)*SIN(2*PI()*(Inputs!$C$6)/Inputs!$C$40)+-Inputs!$C$41*EXP(-(((Inputs!$C$6)-Inputs!$C$43)^2)/(2*Inputs!$C$44^2))*EXP(-(((Model_Data!A225)-Inputs!$C$42)^2)/(2*Inputs!$C$45^2))+Inputs!$C$48*(0.7*(0.45*SIN(2*PI()*(((Model_Data!A225)/Inputs!$C$49)+Inputs!$C$47*0.137))+0.35*COS(2*PI()*(((Inputs!$C$6)/Inputs!$C$50)+Inputs!$C$47*0.173))+0.2*SIN(2*PI()*(((Model_Data!A225)+(Inputs!$C$6))/(0.5*(Inputs!$C$49+Inputs!$C$50))+Inputs!$C$47*0.097)))+0.3*(2*((SIN(((Model_Data!A225)*12.9898+(Inputs!$C$6)*78.233+Inputs!$C$47*37.719))*43758.5453)-INT((SIN(((Model_Data!A225)*12.9898+(Inputs!$C$6)*78.233+Inputs!$C$47*37.719))*43758.5453)))-1))))/1000)^2))-(((Model_Data!B225)-((Inputs!$C$51*(115*EXP(-(((0)-25)^2)/(4.5^2))+70*EXP(-(((0)+38)^2)/(7^2))*(0.55+0.45*SIN(2*PI()*(Model_Data!A225)/45))+24*SIN(2*PI()*(0)/9+(Model_Data!A225)/18)*EXP(-(((0)+5)^2)/(22^2))+18*SIN(2*PI()*(Model_Data!A225)/70))+Inputs!$C$28*EXP(-(((Model_Data!A225)-Inputs!$C$29)^2)/(2*Inputs!$C$31^2))*EXP(-(((0)-Inputs!$C$30)^2)/(2*Inputs!$C$32^2))+-Inputs!$C$33*EXP(-(((((Model_Data!A225)-Inputs!$C$34)^2)+(((0)-Inputs!$C$35)^2))/(2*Inputs!$C$36^2)))+Inputs!$C$37*(0.55*SIN(2*PI()*(Model_Data!A225)/Inputs!$C$39)+0.35*COS(2*PI()*(0)/Inputs!$C$40)+0.2*SIN(2*PI()*((Model_Data!A225)+(0))/(0.5*(Inputs!$C$39+Inputs!$C$40))))+Inputs!$C$38*SIN(2*PI()*(Model_Data!A225)/Inputs!$C$39)*SIN(2*PI()*(0)/Inputs!$C$40)+-Inputs!$C$41*EXP(-(((0)-Inputs!$C$43)^2)/(2*Inputs!$C$44^2))*EXP(-(((Model_Data!A225)-Inputs!$C$42)^2)/(2*Inputs!$C$45^2))+Inputs!$C$48*(0.7*(0.45*SIN(2*PI()*(((Model_Data!A225)/Inputs!$C$49)+Inputs!$C$47*0.137))+0.35*COS(2*PI()*(((0)/Inputs!$C$50)+Inputs!$C$47*0.173))+0.2*SIN(2*PI()*(((Model_Data!A225)+(0))/(0.5*(Inputs!$C$49+Inputs!$C$50))+Inputs!$C$47*0.097)))+0.3*(2*((SIN(((Model_Data!A225)*12.9898+(0)*78.233+Inputs!$C$47*37.719))*43758.5453)-INT((SIN(((Model_Data!A225)*12.9898+(0)*78.233+Inputs!$C$47*37.719))*43758.5453)))-1))))/1000)))*1000/Inputs!$C$12)</f>
        <v>2181.8566137154303</v>
      </c>
      <c r="E225" s="9">
        <f>Model_Data!A225</f>
        <v>51.5</v>
      </c>
      <c r="F225" s="9">
        <f>(Inputs!$C$51*(115*EXP(-(((Inputs!$C$6)-25)^2)/(4.5^2))+70*EXP(-(((Inputs!$C$6)+38)^2)/(7^2))*(0.55+0.45*SIN(2*PI()*(Model_Data!A225)/45))+24*SIN(2*PI()*(Inputs!$C$6)/9+(Model_Data!A225)/18)*EXP(-(((Inputs!$C$6)+5)^2)/(22^2))+18*SIN(2*PI()*(Model_Data!A225)/70))+Inputs!$C$28*EXP(-(((Model_Data!A225)-Inputs!$C$29)^2)/(2*Inputs!$C$31^2))*EXP(-(((Inputs!$C$6)-Inputs!$C$30)^2)/(2*Inputs!$C$32^2))+-Inputs!$C$33*EXP(-(((((Model_Data!A225)-Inputs!$C$34)^2)+(((Inputs!$C$6)-Inputs!$C$35)^2))/(2*Inputs!$C$36^2)))+Inputs!$C$37*(0.55*SIN(2*PI()*(Model_Data!A225)/Inputs!$C$39)+0.35*COS(2*PI()*(Inputs!$C$6)/Inputs!$C$40)+0.2*SIN(2*PI()*((Model_Data!A225)+(Inputs!$C$6))/(0.5*(Inputs!$C$39+Inputs!$C$40))))+Inputs!$C$38*SIN(2*PI()*(Model_Data!A225)/Inputs!$C$39)*SIN(2*PI()*(Inputs!$C$6)/Inputs!$C$40)+-Inputs!$C$41*EXP(-(((Inputs!$C$6)-Inputs!$C$43)^2)/(2*Inputs!$C$44^2))*EXP(-(((Model_Data!A225)-Inputs!$C$42)^2)/(2*Inputs!$C$45^2))+Inputs!$C$48*(0.7*(0.45*SIN(2*PI()*(((Model_Data!A225)/Inputs!$C$49)+Inputs!$C$47*0.137))+0.35*COS(2*PI()*(((Inputs!$C$6)/Inputs!$C$50)+Inputs!$C$47*0.173))+0.2*SIN(2*PI()*(((Model_Data!A225)+(Inputs!$C$6))/(0.5*(Inputs!$C$49+Inputs!$C$50))+Inputs!$C$47*0.097)))+0.3*(2*((SIN(((Model_Data!A225)*12.9898+(Inputs!$C$6)*78.233+Inputs!$C$47*37.719))*43758.5453)-INT((SIN(((Model_Data!A225)*12.9898+(Inputs!$C$6)*78.233+Inputs!$C$47*37.719))*43758.5453)))-1)))</f>
        <v>159.61831316527434</v>
      </c>
      <c r="G225" s="9">
        <f>(Inputs!$C$51*(115*EXP(-(((0)-25)^2)/(4.5^2))+70*EXP(-(((0)+38)^2)/(7^2))*(0.55+0.45*SIN(2*PI()*(Model_Data!A225)/45))+24*SIN(2*PI()*(0)/9+(Model_Data!A225)/18)*EXP(-(((0)+5)^2)/(22^2))+18*SIN(2*PI()*(Model_Data!A225)/70))+Inputs!$C$28*EXP(-(((Model_Data!A225)-Inputs!$C$29)^2)/(2*Inputs!$C$31^2))*EXP(-(((0)-Inputs!$C$30)^2)/(2*Inputs!$C$32^2))+-Inputs!$C$33*EXP(-(((((Model_Data!A225)-Inputs!$C$34)^2)+(((0)-Inputs!$C$35)^2))/(2*Inputs!$C$36^2)))+Inputs!$C$37*(0.55*SIN(2*PI()*(Model_Data!A225)/Inputs!$C$39)+0.35*COS(2*PI()*(0)/Inputs!$C$40)+0.2*SIN(2*PI()*((Model_Data!A225)+(0))/(0.5*(Inputs!$C$39+Inputs!$C$40))))+Inputs!$C$38*SIN(2*PI()*(Model_Data!A225)/Inputs!$C$39)*SIN(2*PI()*(0)/Inputs!$C$40)+-Inputs!$C$41*EXP(-(((0)-Inputs!$C$43)^2)/(2*Inputs!$C$44^2))*EXP(-(((Model_Data!A225)-Inputs!$C$42)^2)/(2*Inputs!$C$45^2))+Inputs!$C$48*(0.7*(0.45*SIN(2*PI()*(((Model_Data!A225)/Inputs!$C$49)+Inputs!$C$47*0.137))+0.35*COS(2*PI()*(((0)/Inputs!$C$50)+Inputs!$C$47*0.173))+0.2*SIN(2*PI()*(((Model_Data!A225)+(0))/(0.5*(Inputs!$C$49+Inputs!$C$50))+Inputs!$C$47*0.097)))+0.3*(2*((SIN(((Model_Data!A225)*12.9898+(0)*78.233+Inputs!$C$47*37.719))*43758.5453)-INT((SIN(((Model_Data!A225)*12.9898+(0)*78.233+Inputs!$C$47*37.719))*43758.5453)))-1)))</f>
        <v>-4.5509465319165372</v>
      </c>
      <c r="H225" s="10"/>
      <c r="I225" s="9">
        <f>Model_Data!A225</f>
        <v>51.5</v>
      </c>
      <c r="J225" s="9">
        <f>(Inputs!$C$51*(115*EXP(-(((Inputs!$C$6)-25)^2)/(4.5^2))+70*EXP(-(((Inputs!$C$6)+38)^2)/(7^2))*(0.55+0.45*SIN(2*PI()*(Model_Data!A225)/45))+24*SIN(2*PI()*(Inputs!$C$6)/9+(Model_Data!A225)/18)*EXP(-(((Inputs!$C$6)+5)^2)/(22^2))+18*SIN(2*PI()*(Model_Data!A225)/70))+Inputs!$C$28*EXP(-(((Model_Data!A225)-Inputs!$C$29)^2)/(2*Inputs!$C$31^2))*EXP(-(((Inputs!$C$6)-Inputs!$C$30)^2)/(2*Inputs!$C$32^2))+-Inputs!$C$33*EXP(-(((((Model_Data!A225)-Inputs!$C$34)^2)+(((Inputs!$C$6)-Inputs!$C$35)^2))/(2*Inputs!$C$36^2)))+Inputs!$C$37*(0.55*SIN(2*PI()*(Model_Data!A225)/Inputs!$C$39)+0.35*COS(2*PI()*(Inputs!$C$6)/Inputs!$C$40)+0.2*SIN(2*PI()*((Model_Data!A225)+(Inputs!$C$6))/(0.5*(Inputs!$C$39+Inputs!$C$40))))+Inputs!$C$38*SIN(2*PI()*(Model_Data!A225)/Inputs!$C$39)*SIN(2*PI()*(Inputs!$C$6)/Inputs!$C$40)+-Inputs!$C$41*EXP(-(((Inputs!$C$6)-Inputs!$C$43)^2)/(2*Inputs!$C$44^2))*EXP(-(((Model_Data!A225)-Inputs!$C$42)^2)/(2*Inputs!$C$45^2))+Inputs!$C$48*(0.7*(0.45*SIN(2*PI()*(((Model_Data!A225)/Inputs!$C$49)+Inputs!$C$47*0.137))+0.35*COS(2*PI()*(((Inputs!$C$6)/Inputs!$C$50)+Inputs!$C$47*0.173))+0.2*SIN(2*PI()*(((Model_Data!A225)+(Inputs!$C$6))/(0.5*(Inputs!$C$49+Inputs!$C$50))+Inputs!$C$47*0.097)))+0.3*(2*((SIN(((Model_Data!A225)*12.9898+(Inputs!$C$6)*78.233+Inputs!$C$47*37.719))*43758.5453)-INT((SIN(((Model_Data!A225)*12.9898+(Inputs!$C$6)*78.233+Inputs!$C$47*37.719))*43758.5453)))-1)))</f>
        <v>159.61831316527434</v>
      </c>
      <c r="K225" s="9">
        <f>-((((SQRT((Model_Data!A225)^2+Inputs!$C$6^2+((Model_Data!B225)-((Inputs!$C$51*(115*EXP(-(((Inputs!$C$6)-25)^2)/(4.5^2))+70*EXP(-(((Inputs!$C$6)+38)^2)/(7^2))*(0.55+0.45*SIN(2*PI()*(Model_Data!A225)/45))+24*SIN(2*PI()*(Inputs!$C$6)/9+(Model_Data!A225)/18)*EXP(-(((Inputs!$C$6)+5)^2)/(22^2))+18*SIN(2*PI()*(Model_Data!A225)/70))+Inputs!$C$28*EXP(-(((Model_Data!A225)-Inputs!$C$29)^2)/(2*Inputs!$C$31^2))*EXP(-(((Inputs!$C$6)-Inputs!$C$30)^2)/(2*Inputs!$C$32^2))+-Inputs!$C$33*EXP(-(((((Model_Data!A225)-Inputs!$C$34)^2)+(((Inputs!$C$6)-Inputs!$C$35)^2))/(2*Inputs!$C$36^2)))+Inputs!$C$37*(0.55*SIN(2*PI()*(Model_Data!A225)/Inputs!$C$39)+0.35*COS(2*PI()*(Inputs!$C$6)/Inputs!$C$40)+0.2*SIN(2*PI()*((Model_Data!A225)+(Inputs!$C$6))/(0.5*(Inputs!$C$39+Inputs!$C$40))))+Inputs!$C$38*SIN(2*PI()*(Model_Data!A225)/Inputs!$C$39)*SIN(2*PI()*(Inputs!$C$6)/Inputs!$C$40)+-Inputs!$C$41*EXP(-(((Inputs!$C$6)-Inputs!$C$43)^2)/(2*Inputs!$C$44^2))*EXP(-(((Model_Data!A225)-Inputs!$C$42)^2)/(2*Inputs!$C$45^2))+Inputs!$C$48*(0.7*(0.45*SIN(2*PI()*(((Model_Data!A225)/Inputs!$C$49)+Inputs!$C$47*0.137))+0.35*COS(2*PI()*(((Inputs!$C$6)/Inputs!$C$50)+Inputs!$C$47*0.173))+0.2*SIN(2*PI()*(((Model_Data!A225)+(Inputs!$C$6))/(0.5*(Inputs!$C$49+Inputs!$C$50))+Inputs!$C$47*0.097)))+0.3*(2*((SIN(((Model_Data!A225)*12.9898+(Inputs!$C$6)*78.233+Inputs!$C$47*37.719))*43758.5453)-INT((SIN(((Model_Data!A225)*12.9898+(Inputs!$C$6)*78.233+Inputs!$C$47*37.719))*43758.5453)))-1))))/1000)^2))-(((Model_Data!B225)-((Inputs!$C$51*(115*EXP(-(((0)-25)^2)/(4.5^2))+70*EXP(-(((0)+38)^2)/(7^2))*(0.55+0.45*SIN(2*PI()*(Model_Data!A225)/45))+24*SIN(2*PI()*(0)/9+(Model_Data!A225)/18)*EXP(-(((0)+5)^2)/(22^2))+18*SIN(2*PI()*(Model_Data!A225)/70))+Inputs!$C$28*EXP(-(((Model_Data!A225)-Inputs!$C$29)^2)/(2*Inputs!$C$31^2))*EXP(-(((0)-Inputs!$C$30)^2)/(2*Inputs!$C$32^2))+-Inputs!$C$33*EXP(-(((((Model_Data!A225)-Inputs!$C$34)^2)+(((0)-Inputs!$C$35)^2))/(2*Inputs!$C$36^2)))+Inputs!$C$37*(0.55*SIN(2*PI()*(Model_Data!A225)/Inputs!$C$39)+0.35*COS(2*PI()*(0)/Inputs!$C$40)+0.2*SIN(2*PI()*((Model_Data!A225)+(0))/(0.5*(Inputs!$C$39+Inputs!$C$40))))+Inputs!$C$38*SIN(2*PI()*(Model_Data!A225)/Inputs!$C$39)*SIN(2*PI()*(0)/Inputs!$C$40)+-Inputs!$C$41*EXP(-(((0)-Inputs!$C$43)^2)/(2*Inputs!$C$44^2))*EXP(-(((Model_Data!A225)-Inputs!$C$42)^2)/(2*Inputs!$C$45^2))+Inputs!$C$48*(0.7*(0.45*SIN(2*PI()*(((Model_Data!A225)/Inputs!$C$49)+Inputs!$C$47*0.137))+0.35*COS(2*PI()*(((0)/Inputs!$C$50)+Inputs!$C$47*0.173))+0.2*SIN(2*PI()*(((Model_Data!A225)+(0))/(0.5*(Inputs!$C$49+Inputs!$C$50))+Inputs!$C$47*0.097)))+0.3*(2*((SIN(((Model_Data!A225)*12.9898+(0)*78.233+Inputs!$C$47*37.719))*43758.5453)-INT((SIN(((Model_Data!A225)*12.9898+(0)*78.233+Inputs!$C$47*37.719))*43758.5453)))-1))))/1000)))*1000/Inputs!$C$12)-Model_Data!F225)</f>
        <v>91.338050942616519</v>
      </c>
      <c r="L225" s="10"/>
      <c r="M225" s="9">
        <f>Model_Data!A225</f>
        <v>51.5</v>
      </c>
      <c r="N225" s="9">
        <f>Model_Data!P225</f>
        <v>-383.75100822299083</v>
      </c>
      <c r="O225" s="9">
        <f t="shared" si="6"/>
        <v>-336.44395710362005</v>
      </c>
      <c r="P225" s="9">
        <f>Model_Data!Q225</f>
        <v>-57.620271504953578</v>
      </c>
      <c r="Q225" s="9">
        <f t="shared" si="7"/>
        <v>-50.517110676219232</v>
      </c>
      <c r="R225" s="10"/>
      <c r="S225" s="9">
        <f>Model_Data!A225</f>
        <v>51.5</v>
      </c>
      <c r="T225" s="9">
        <f>Model_Data!B225-Inputs!$C$5</f>
        <v>2.9469444444444548</v>
      </c>
      <c r="U225" s="10"/>
      <c r="V225" s="9">
        <f>Model_Data!A225</f>
        <v>51.5</v>
      </c>
      <c r="W225" s="9">
        <f>((SQRT((Model_Data!A225)^2+Inputs!$C$6^2+Inputs!$C$5^2)-Inputs!$C$5)*1000/Inputs!$C$12)</f>
        <v>2289.7737893275739</v>
      </c>
      <c r="X225" s="9">
        <f>Model_Data!F225</f>
        <v>2273.1946646580468</v>
      </c>
      <c r="Y225" s="10"/>
      <c r="Z225" s="9">
        <f>Model_Data!A225</f>
        <v>51.5</v>
      </c>
      <c r="AA225" s="9">
        <f>SQRT((Model_Data!A225)^2+Inputs!$C$6^2+((Model_Data!B225)-((Inputs!$C$51*(115*EXP(-(((Inputs!$C$6)-25)^2)/(4.5^2))+70*EXP(-(((Inputs!$C$6)+38)^2)/(7^2))*(0.55+0.45*SIN(2*PI()*(Model_Data!A225)/45))+24*SIN(2*PI()*(Inputs!$C$6)/9+(Model_Data!A225)/18)*EXP(-(((Inputs!$C$6)+5)^2)/(22^2))+18*SIN(2*PI()*(Model_Data!A225)/70))+Inputs!$C$28*EXP(-(((Model_Data!A225)-Inputs!$C$29)^2)/(2*Inputs!$C$31^2))*EXP(-(((Inputs!$C$6)-Inputs!$C$30)^2)/(2*Inputs!$C$32^2))+-Inputs!$C$33*EXP(-(((((Model_Data!A225)-Inputs!$C$34)^2)+(((Inputs!$C$6)-Inputs!$C$35)^2))/(2*Inputs!$C$36^2)))+Inputs!$C$37*(0.55*SIN(2*PI()*(Model_Data!A225)/Inputs!$C$39)+0.35*COS(2*PI()*(Inputs!$C$6)/Inputs!$C$40)+0.2*SIN(2*PI()*((Model_Data!A225)+(Inputs!$C$6))/(0.5*(Inputs!$C$39+Inputs!$C$40))))+Inputs!$C$38*SIN(2*PI()*(Model_Data!A225)/Inputs!$C$39)*SIN(2*PI()*(Inputs!$C$6)/Inputs!$C$40)+-Inputs!$C$41*EXP(-(((Inputs!$C$6)-Inputs!$C$43)^2)/(2*Inputs!$C$44^2))*EXP(-(((Model_Data!A225)-Inputs!$C$42)^2)/(2*Inputs!$C$45^2))+Inputs!$C$48*(0.7*(0.45*SIN(2*PI()*(((Model_Data!A225)/Inputs!$C$49)+Inputs!$C$47*0.137))+0.35*COS(2*PI()*(((Inputs!$C$6)/Inputs!$C$50)+Inputs!$C$47*0.173))+0.2*SIN(2*PI()*(((Model_Data!A225)+(Inputs!$C$6))/(0.5*(Inputs!$C$49+Inputs!$C$50))+Inputs!$C$47*0.097)))+0.3*(2*((SIN(((Model_Data!A225)*12.9898+(Inputs!$C$6)*78.233+Inputs!$C$47*37.719))*43758.5453)-INT((SIN(((Model_Data!A225)*12.9898+(Inputs!$C$6)*78.233+Inputs!$C$47*37.719))*43758.5453)))-1))))/1000)^2)</f>
        <v>406.83520016338986</v>
      </c>
      <c r="AB225" s="9">
        <f>1000*(AA226-AA224)/(Z226-Z224)*Inputs!$C$11</f>
        <v>841.10989275905013</v>
      </c>
      <c r="AC225" s="9">
        <f>-2*AB225/Inputs!$C$13</f>
        <v>-336.44395710362005</v>
      </c>
      <c r="AD225" s="9">
        <f>-2*AB225/Inputs!$C$14</f>
        <v>-50.517110676219232</v>
      </c>
    </row>
    <row r="226" spans="1:30">
      <c r="A226" s="9">
        <f>Model_Data!A226</f>
        <v>52</v>
      </c>
      <c r="B226" s="9">
        <f>((SQRT((Model_Data!A226)^2+Inputs!$C$6^2+Inputs!$C$5^2)-Inputs!$C$5)*1000/Inputs!$C$12)</f>
        <v>2325.7456671554596</v>
      </c>
      <c r="C226" s="9">
        <f>Model_Data!F226</f>
        <v>2308.5826212735265</v>
      </c>
      <c r="D226" s="9">
        <f>(((SQRT((Model_Data!A226)^2+Inputs!$C$6^2+((Model_Data!B226)-((Inputs!$C$51*(115*EXP(-(((Inputs!$C$6)-25)^2)/(4.5^2))+70*EXP(-(((Inputs!$C$6)+38)^2)/(7^2))*(0.55+0.45*SIN(2*PI()*(Model_Data!A226)/45))+24*SIN(2*PI()*(Inputs!$C$6)/9+(Model_Data!A226)/18)*EXP(-(((Inputs!$C$6)+5)^2)/(22^2))+18*SIN(2*PI()*(Model_Data!A226)/70))+Inputs!$C$28*EXP(-(((Model_Data!A226)-Inputs!$C$29)^2)/(2*Inputs!$C$31^2))*EXP(-(((Inputs!$C$6)-Inputs!$C$30)^2)/(2*Inputs!$C$32^2))+-Inputs!$C$33*EXP(-(((((Model_Data!A226)-Inputs!$C$34)^2)+(((Inputs!$C$6)-Inputs!$C$35)^2))/(2*Inputs!$C$36^2)))+Inputs!$C$37*(0.55*SIN(2*PI()*(Model_Data!A226)/Inputs!$C$39)+0.35*COS(2*PI()*(Inputs!$C$6)/Inputs!$C$40)+0.2*SIN(2*PI()*((Model_Data!A226)+(Inputs!$C$6))/(0.5*(Inputs!$C$39+Inputs!$C$40))))+Inputs!$C$38*SIN(2*PI()*(Model_Data!A226)/Inputs!$C$39)*SIN(2*PI()*(Inputs!$C$6)/Inputs!$C$40)+-Inputs!$C$41*EXP(-(((Inputs!$C$6)-Inputs!$C$43)^2)/(2*Inputs!$C$44^2))*EXP(-(((Model_Data!A226)-Inputs!$C$42)^2)/(2*Inputs!$C$45^2))+Inputs!$C$48*(0.7*(0.45*SIN(2*PI()*(((Model_Data!A226)/Inputs!$C$49)+Inputs!$C$47*0.137))+0.35*COS(2*PI()*(((Inputs!$C$6)/Inputs!$C$50)+Inputs!$C$47*0.173))+0.2*SIN(2*PI()*(((Model_Data!A226)+(Inputs!$C$6))/(0.5*(Inputs!$C$49+Inputs!$C$50))+Inputs!$C$47*0.097)))+0.3*(2*((SIN(((Model_Data!A226)*12.9898+(Inputs!$C$6)*78.233+Inputs!$C$47*37.719))*43758.5453)-INT((SIN(((Model_Data!A226)*12.9898+(Inputs!$C$6)*78.233+Inputs!$C$47*37.719))*43758.5453)))-1))))/1000)^2))-(((Model_Data!B226)-((Inputs!$C$51*(115*EXP(-(((0)-25)^2)/(4.5^2))+70*EXP(-(((0)+38)^2)/(7^2))*(0.55+0.45*SIN(2*PI()*(Model_Data!A226)/45))+24*SIN(2*PI()*(0)/9+(Model_Data!A226)/18)*EXP(-(((0)+5)^2)/(22^2))+18*SIN(2*PI()*(Model_Data!A226)/70))+Inputs!$C$28*EXP(-(((Model_Data!A226)-Inputs!$C$29)^2)/(2*Inputs!$C$31^2))*EXP(-(((0)-Inputs!$C$30)^2)/(2*Inputs!$C$32^2))+-Inputs!$C$33*EXP(-(((((Model_Data!A226)-Inputs!$C$34)^2)+(((0)-Inputs!$C$35)^2))/(2*Inputs!$C$36^2)))+Inputs!$C$37*(0.55*SIN(2*PI()*(Model_Data!A226)/Inputs!$C$39)+0.35*COS(2*PI()*(0)/Inputs!$C$40)+0.2*SIN(2*PI()*((Model_Data!A226)+(0))/(0.5*(Inputs!$C$39+Inputs!$C$40))))+Inputs!$C$38*SIN(2*PI()*(Model_Data!A226)/Inputs!$C$39)*SIN(2*PI()*(0)/Inputs!$C$40)+-Inputs!$C$41*EXP(-(((0)-Inputs!$C$43)^2)/(2*Inputs!$C$44^2))*EXP(-(((Model_Data!A226)-Inputs!$C$42)^2)/(2*Inputs!$C$45^2))+Inputs!$C$48*(0.7*(0.45*SIN(2*PI()*(((Model_Data!A226)/Inputs!$C$49)+Inputs!$C$47*0.137))+0.35*COS(2*PI()*(((0)/Inputs!$C$50)+Inputs!$C$47*0.173))+0.2*SIN(2*PI()*(((Model_Data!A226)+(0))/(0.5*(Inputs!$C$49+Inputs!$C$50))+Inputs!$C$47*0.097)))+0.3*(2*((SIN(((Model_Data!A226)*12.9898+(0)*78.233+Inputs!$C$47*37.719))*43758.5453)-INT((SIN(((Model_Data!A226)*12.9898+(0)*78.233+Inputs!$C$47*37.719))*43758.5453)))-1))))/1000)))*1000/Inputs!$C$12)</f>
        <v>2211.3029541143023</v>
      </c>
      <c r="E226" s="9">
        <f>Model_Data!A226</f>
        <v>52</v>
      </c>
      <c r="F226" s="9">
        <f>(Inputs!$C$51*(115*EXP(-(((Inputs!$C$6)-25)^2)/(4.5^2))+70*EXP(-(((Inputs!$C$6)+38)^2)/(7^2))*(0.55+0.45*SIN(2*PI()*(Model_Data!A226)/45))+24*SIN(2*PI()*(Inputs!$C$6)/9+(Model_Data!A226)/18)*EXP(-(((Inputs!$C$6)+5)^2)/(22^2))+18*SIN(2*PI()*(Model_Data!A226)/70))+Inputs!$C$28*EXP(-(((Model_Data!A226)-Inputs!$C$29)^2)/(2*Inputs!$C$31^2))*EXP(-(((Inputs!$C$6)-Inputs!$C$30)^2)/(2*Inputs!$C$32^2))+-Inputs!$C$33*EXP(-(((((Model_Data!A226)-Inputs!$C$34)^2)+(((Inputs!$C$6)-Inputs!$C$35)^2))/(2*Inputs!$C$36^2)))+Inputs!$C$37*(0.55*SIN(2*PI()*(Model_Data!A226)/Inputs!$C$39)+0.35*COS(2*PI()*(Inputs!$C$6)/Inputs!$C$40)+0.2*SIN(2*PI()*((Model_Data!A226)+(Inputs!$C$6))/(0.5*(Inputs!$C$39+Inputs!$C$40))))+Inputs!$C$38*SIN(2*PI()*(Model_Data!A226)/Inputs!$C$39)*SIN(2*PI()*(Inputs!$C$6)/Inputs!$C$40)+-Inputs!$C$41*EXP(-(((Inputs!$C$6)-Inputs!$C$43)^2)/(2*Inputs!$C$44^2))*EXP(-(((Model_Data!A226)-Inputs!$C$42)^2)/(2*Inputs!$C$45^2))+Inputs!$C$48*(0.7*(0.45*SIN(2*PI()*(((Model_Data!A226)/Inputs!$C$49)+Inputs!$C$47*0.137))+0.35*COS(2*PI()*(((Inputs!$C$6)/Inputs!$C$50)+Inputs!$C$47*0.173))+0.2*SIN(2*PI()*(((Model_Data!A226)+(Inputs!$C$6))/(0.5*(Inputs!$C$49+Inputs!$C$50))+Inputs!$C$47*0.097)))+0.3*(2*((SIN(((Model_Data!A226)*12.9898+(Inputs!$C$6)*78.233+Inputs!$C$47*37.719))*43758.5453)-INT((SIN(((Model_Data!A226)*12.9898+(Inputs!$C$6)*78.233+Inputs!$C$47*37.719))*43758.5453)))-1)))</f>
        <v>166.99312244433131</v>
      </c>
      <c r="G226" s="9">
        <f>(Inputs!$C$51*(115*EXP(-(((0)-25)^2)/(4.5^2))+70*EXP(-(((0)+38)^2)/(7^2))*(0.55+0.45*SIN(2*PI()*(Model_Data!A226)/45))+24*SIN(2*PI()*(0)/9+(Model_Data!A226)/18)*EXP(-(((0)+5)^2)/(22^2))+18*SIN(2*PI()*(Model_Data!A226)/70))+Inputs!$C$28*EXP(-(((Model_Data!A226)-Inputs!$C$29)^2)/(2*Inputs!$C$31^2))*EXP(-(((0)-Inputs!$C$30)^2)/(2*Inputs!$C$32^2))+-Inputs!$C$33*EXP(-(((((Model_Data!A226)-Inputs!$C$34)^2)+(((0)-Inputs!$C$35)^2))/(2*Inputs!$C$36^2)))+Inputs!$C$37*(0.55*SIN(2*PI()*(Model_Data!A226)/Inputs!$C$39)+0.35*COS(2*PI()*(0)/Inputs!$C$40)+0.2*SIN(2*PI()*((Model_Data!A226)+(0))/(0.5*(Inputs!$C$39+Inputs!$C$40))))+Inputs!$C$38*SIN(2*PI()*(Model_Data!A226)/Inputs!$C$39)*SIN(2*PI()*(0)/Inputs!$C$40)+-Inputs!$C$41*EXP(-(((0)-Inputs!$C$43)^2)/(2*Inputs!$C$44^2))*EXP(-(((Model_Data!A226)-Inputs!$C$42)^2)/(2*Inputs!$C$45^2))+Inputs!$C$48*(0.7*(0.45*SIN(2*PI()*(((Model_Data!A226)/Inputs!$C$49)+Inputs!$C$47*0.137))+0.35*COS(2*PI()*(((0)/Inputs!$C$50)+Inputs!$C$47*0.173))+0.2*SIN(2*PI()*(((Model_Data!A226)+(0))/(0.5*(Inputs!$C$49+Inputs!$C$50))+Inputs!$C$47*0.097)))+0.3*(2*((SIN(((Model_Data!A226)*12.9898+(0)*78.233+Inputs!$C$47*37.719))*43758.5453)-INT((SIN(((Model_Data!A226)*12.9898+(0)*78.233+Inputs!$C$47*37.719))*43758.5453)))-1)))</f>
        <v>-7.8509490215719673</v>
      </c>
      <c r="H226" s="10"/>
      <c r="I226" s="9">
        <f>Model_Data!A226</f>
        <v>52</v>
      </c>
      <c r="J226" s="9">
        <f>(Inputs!$C$51*(115*EXP(-(((Inputs!$C$6)-25)^2)/(4.5^2))+70*EXP(-(((Inputs!$C$6)+38)^2)/(7^2))*(0.55+0.45*SIN(2*PI()*(Model_Data!A226)/45))+24*SIN(2*PI()*(Inputs!$C$6)/9+(Model_Data!A226)/18)*EXP(-(((Inputs!$C$6)+5)^2)/(22^2))+18*SIN(2*PI()*(Model_Data!A226)/70))+Inputs!$C$28*EXP(-(((Model_Data!A226)-Inputs!$C$29)^2)/(2*Inputs!$C$31^2))*EXP(-(((Inputs!$C$6)-Inputs!$C$30)^2)/(2*Inputs!$C$32^2))+-Inputs!$C$33*EXP(-(((((Model_Data!A226)-Inputs!$C$34)^2)+(((Inputs!$C$6)-Inputs!$C$35)^2))/(2*Inputs!$C$36^2)))+Inputs!$C$37*(0.55*SIN(2*PI()*(Model_Data!A226)/Inputs!$C$39)+0.35*COS(2*PI()*(Inputs!$C$6)/Inputs!$C$40)+0.2*SIN(2*PI()*((Model_Data!A226)+(Inputs!$C$6))/(0.5*(Inputs!$C$39+Inputs!$C$40))))+Inputs!$C$38*SIN(2*PI()*(Model_Data!A226)/Inputs!$C$39)*SIN(2*PI()*(Inputs!$C$6)/Inputs!$C$40)+-Inputs!$C$41*EXP(-(((Inputs!$C$6)-Inputs!$C$43)^2)/(2*Inputs!$C$44^2))*EXP(-(((Model_Data!A226)-Inputs!$C$42)^2)/(2*Inputs!$C$45^2))+Inputs!$C$48*(0.7*(0.45*SIN(2*PI()*(((Model_Data!A226)/Inputs!$C$49)+Inputs!$C$47*0.137))+0.35*COS(2*PI()*(((Inputs!$C$6)/Inputs!$C$50)+Inputs!$C$47*0.173))+0.2*SIN(2*PI()*(((Model_Data!A226)+(Inputs!$C$6))/(0.5*(Inputs!$C$49+Inputs!$C$50))+Inputs!$C$47*0.097)))+0.3*(2*((SIN(((Model_Data!A226)*12.9898+(Inputs!$C$6)*78.233+Inputs!$C$47*37.719))*43758.5453)-INT((SIN(((Model_Data!A226)*12.9898+(Inputs!$C$6)*78.233+Inputs!$C$47*37.719))*43758.5453)))-1)))</f>
        <v>166.99312244433131</v>
      </c>
      <c r="K226" s="9">
        <f>-((((SQRT((Model_Data!A226)^2+Inputs!$C$6^2+((Model_Data!B226)-((Inputs!$C$51*(115*EXP(-(((Inputs!$C$6)-25)^2)/(4.5^2))+70*EXP(-(((Inputs!$C$6)+38)^2)/(7^2))*(0.55+0.45*SIN(2*PI()*(Model_Data!A226)/45))+24*SIN(2*PI()*(Inputs!$C$6)/9+(Model_Data!A226)/18)*EXP(-(((Inputs!$C$6)+5)^2)/(22^2))+18*SIN(2*PI()*(Model_Data!A226)/70))+Inputs!$C$28*EXP(-(((Model_Data!A226)-Inputs!$C$29)^2)/(2*Inputs!$C$31^2))*EXP(-(((Inputs!$C$6)-Inputs!$C$30)^2)/(2*Inputs!$C$32^2))+-Inputs!$C$33*EXP(-(((((Model_Data!A226)-Inputs!$C$34)^2)+(((Inputs!$C$6)-Inputs!$C$35)^2))/(2*Inputs!$C$36^2)))+Inputs!$C$37*(0.55*SIN(2*PI()*(Model_Data!A226)/Inputs!$C$39)+0.35*COS(2*PI()*(Inputs!$C$6)/Inputs!$C$40)+0.2*SIN(2*PI()*((Model_Data!A226)+(Inputs!$C$6))/(0.5*(Inputs!$C$39+Inputs!$C$40))))+Inputs!$C$38*SIN(2*PI()*(Model_Data!A226)/Inputs!$C$39)*SIN(2*PI()*(Inputs!$C$6)/Inputs!$C$40)+-Inputs!$C$41*EXP(-(((Inputs!$C$6)-Inputs!$C$43)^2)/(2*Inputs!$C$44^2))*EXP(-(((Model_Data!A226)-Inputs!$C$42)^2)/(2*Inputs!$C$45^2))+Inputs!$C$48*(0.7*(0.45*SIN(2*PI()*(((Model_Data!A226)/Inputs!$C$49)+Inputs!$C$47*0.137))+0.35*COS(2*PI()*(((Inputs!$C$6)/Inputs!$C$50)+Inputs!$C$47*0.173))+0.2*SIN(2*PI()*(((Model_Data!A226)+(Inputs!$C$6))/(0.5*(Inputs!$C$49+Inputs!$C$50))+Inputs!$C$47*0.097)))+0.3*(2*((SIN(((Model_Data!A226)*12.9898+(Inputs!$C$6)*78.233+Inputs!$C$47*37.719))*43758.5453)-INT((SIN(((Model_Data!A226)*12.9898+(Inputs!$C$6)*78.233+Inputs!$C$47*37.719))*43758.5453)))-1))))/1000)^2))-(((Model_Data!B226)-((Inputs!$C$51*(115*EXP(-(((0)-25)^2)/(4.5^2))+70*EXP(-(((0)+38)^2)/(7^2))*(0.55+0.45*SIN(2*PI()*(Model_Data!A226)/45))+24*SIN(2*PI()*(0)/9+(Model_Data!A226)/18)*EXP(-(((0)+5)^2)/(22^2))+18*SIN(2*PI()*(Model_Data!A226)/70))+Inputs!$C$28*EXP(-(((Model_Data!A226)-Inputs!$C$29)^2)/(2*Inputs!$C$31^2))*EXP(-(((0)-Inputs!$C$30)^2)/(2*Inputs!$C$32^2))+-Inputs!$C$33*EXP(-(((((Model_Data!A226)-Inputs!$C$34)^2)+(((0)-Inputs!$C$35)^2))/(2*Inputs!$C$36^2)))+Inputs!$C$37*(0.55*SIN(2*PI()*(Model_Data!A226)/Inputs!$C$39)+0.35*COS(2*PI()*(0)/Inputs!$C$40)+0.2*SIN(2*PI()*((Model_Data!A226)+(0))/(0.5*(Inputs!$C$39+Inputs!$C$40))))+Inputs!$C$38*SIN(2*PI()*(Model_Data!A226)/Inputs!$C$39)*SIN(2*PI()*(0)/Inputs!$C$40)+-Inputs!$C$41*EXP(-(((0)-Inputs!$C$43)^2)/(2*Inputs!$C$44^2))*EXP(-(((Model_Data!A226)-Inputs!$C$42)^2)/(2*Inputs!$C$45^2))+Inputs!$C$48*(0.7*(0.45*SIN(2*PI()*(((Model_Data!A226)/Inputs!$C$49)+Inputs!$C$47*0.137))+0.35*COS(2*PI()*(((0)/Inputs!$C$50)+Inputs!$C$47*0.173))+0.2*SIN(2*PI()*(((Model_Data!A226)+(0))/(0.5*(Inputs!$C$49+Inputs!$C$50))+Inputs!$C$47*0.097)))+0.3*(2*((SIN(((Model_Data!A226)*12.9898+(0)*78.233+Inputs!$C$47*37.719))*43758.5453)-INT((SIN(((Model_Data!A226)*12.9898+(0)*78.233+Inputs!$C$47*37.719))*43758.5453)))-1))))/1000)))*1000/Inputs!$C$12)-Model_Data!F226)</f>
        <v>97.279667159224118</v>
      </c>
      <c r="L226" s="10"/>
      <c r="M226" s="9">
        <f>Model_Data!A226</f>
        <v>52</v>
      </c>
      <c r="N226" s="9">
        <f>Model_Data!P226</f>
        <v>-387.38818079022377</v>
      </c>
      <c r="O226" s="9">
        <f t="shared" si="6"/>
        <v>-380.41849649443975</v>
      </c>
      <c r="P226" s="9">
        <f>Model_Data!Q226</f>
        <v>-58.166393512045616</v>
      </c>
      <c r="Q226" s="9">
        <f t="shared" si="7"/>
        <v>-57.119894368534503</v>
      </c>
      <c r="R226" s="10"/>
      <c r="S226" s="9">
        <f>Model_Data!A226</f>
        <v>52</v>
      </c>
      <c r="T226" s="9">
        <f>Model_Data!B226-Inputs!$C$5</f>
        <v>3.0044444444444594</v>
      </c>
      <c r="U226" s="10"/>
      <c r="V226" s="9">
        <f>Model_Data!A226</f>
        <v>52</v>
      </c>
      <c r="W226" s="9">
        <f>((SQRT((Model_Data!A226)^2+Inputs!$C$6^2+Inputs!$C$5^2)-Inputs!$C$5)*1000/Inputs!$C$12)</f>
        <v>2325.7456671554596</v>
      </c>
      <c r="X226" s="9">
        <f>Model_Data!F226</f>
        <v>2308.5826212735265</v>
      </c>
      <c r="Y226" s="10"/>
      <c r="Z226" s="9">
        <f>Model_Data!A226</f>
        <v>52</v>
      </c>
      <c r="AA226" s="9">
        <f>SQRT((Model_Data!A226)^2+Inputs!$C$6^2+((Model_Data!B226)-((Inputs!$C$51*(115*EXP(-(((Inputs!$C$6)-25)^2)/(4.5^2))+70*EXP(-(((Inputs!$C$6)+38)^2)/(7^2))*(0.55+0.45*SIN(2*PI()*(Model_Data!A226)/45))+24*SIN(2*PI()*(Inputs!$C$6)/9+(Model_Data!A226)/18)*EXP(-(((Inputs!$C$6)+5)^2)/(22^2))+18*SIN(2*PI()*(Model_Data!A226)/70))+Inputs!$C$28*EXP(-(((Model_Data!A226)-Inputs!$C$29)^2)/(2*Inputs!$C$31^2))*EXP(-(((Inputs!$C$6)-Inputs!$C$30)^2)/(2*Inputs!$C$32^2))+-Inputs!$C$33*EXP(-(((((Model_Data!A226)-Inputs!$C$34)^2)+(((Inputs!$C$6)-Inputs!$C$35)^2))/(2*Inputs!$C$36^2)))+Inputs!$C$37*(0.55*SIN(2*PI()*(Model_Data!A226)/Inputs!$C$39)+0.35*COS(2*PI()*(Inputs!$C$6)/Inputs!$C$40)+0.2*SIN(2*PI()*((Model_Data!A226)+(Inputs!$C$6))/(0.5*(Inputs!$C$39+Inputs!$C$40))))+Inputs!$C$38*SIN(2*PI()*(Model_Data!A226)/Inputs!$C$39)*SIN(2*PI()*(Inputs!$C$6)/Inputs!$C$40)+-Inputs!$C$41*EXP(-(((Inputs!$C$6)-Inputs!$C$43)^2)/(2*Inputs!$C$44^2))*EXP(-(((Model_Data!A226)-Inputs!$C$42)^2)/(2*Inputs!$C$45^2))+Inputs!$C$48*(0.7*(0.45*SIN(2*PI()*(((Model_Data!A226)/Inputs!$C$49)+Inputs!$C$47*0.137))+0.35*COS(2*PI()*(((Inputs!$C$6)/Inputs!$C$50)+Inputs!$C$47*0.173))+0.2*SIN(2*PI()*(((Model_Data!A226)+(Inputs!$C$6))/(0.5*(Inputs!$C$49+Inputs!$C$50))+Inputs!$C$47*0.097)))+0.3*(2*((SIN(((Model_Data!A226)*12.9898+(Inputs!$C$6)*78.233+Inputs!$C$47*37.719))*43758.5453)-INT((SIN(((Model_Data!A226)*12.9898+(Inputs!$C$6)*78.233+Inputs!$C$47*37.719))*43758.5453)))-1))))/1000)^2)</f>
        <v>406.94841465178951</v>
      </c>
      <c r="AB226" s="9">
        <f>1000*(AA227-AA225)/(Z227-Z225)*Inputs!$C$11</f>
        <v>951.04624123609938</v>
      </c>
      <c r="AC226" s="9">
        <f>-2*AB226/Inputs!$C$13</f>
        <v>-380.41849649443975</v>
      </c>
      <c r="AD226" s="9">
        <f>-2*AB226/Inputs!$C$14</f>
        <v>-57.119894368534503</v>
      </c>
    </row>
    <row r="227" spans="1:30">
      <c r="A227" s="9">
        <f>Model_Data!A227</f>
        <v>52.5</v>
      </c>
      <c r="B227" s="9">
        <f>((SQRT((Model_Data!A227)^2+Inputs!$C$6^2+Inputs!$C$5^2)-Inputs!$C$5)*1000/Inputs!$C$12)</f>
        <v>2362.059318211112</v>
      </c>
      <c r="C227" s="9">
        <f>Model_Data!F227</f>
        <v>2344.2967985996152</v>
      </c>
      <c r="D227" s="9">
        <f>(((SQRT((Model_Data!A227)^2+Inputs!$C$6^2+((Model_Data!B227)-((Inputs!$C$51*(115*EXP(-(((Inputs!$C$6)-25)^2)/(4.5^2))+70*EXP(-(((Inputs!$C$6)+38)^2)/(7^2))*(0.55+0.45*SIN(2*PI()*(Model_Data!A227)/45))+24*SIN(2*PI()*(Inputs!$C$6)/9+(Model_Data!A227)/18)*EXP(-(((Inputs!$C$6)+5)^2)/(22^2))+18*SIN(2*PI()*(Model_Data!A227)/70))+Inputs!$C$28*EXP(-(((Model_Data!A227)-Inputs!$C$29)^2)/(2*Inputs!$C$31^2))*EXP(-(((Inputs!$C$6)-Inputs!$C$30)^2)/(2*Inputs!$C$32^2))+-Inputs!$C$33*EXP(-(((((Model_Data!A227)-Inputs!$C$34)^2)+(((Inputs!$C$6)-Inputs!$C$35)^2))/(2*Inputs!$C$36^2)))+Inputs!$C$37*(0.55*SIN(2*PI()*(Model_Data!A227)/Inputs!$C$39)+0.35*COS(2*PI()*(Inputs!$C$6)/Inputs!$C$40)+0.2*SIN(2*PI()*((Model_Data!A227)+(Inputs!$C$6))/(0.5*(Inputs!$C$39+Inputs!$C$40))))+Inputs!$C$38*SIN(2*PI()*(Model_Data!A227)/Inputs!$C$39)*SIN(2*PI()*(Inputs!$C$6)/Inputs!$C$40)+-Inputs!$C$41*EXP(-(((Inputs!$C$6)-Inputs!$C$43)^2)/(2*Inputs!$C$44^2))*EXP(-(((Model_Data!A227)-Inputs!$C$42)^2)/(2*Inputs!$C$45^2))+Inputs!$C$48*(0.7*(0.45*SIN(2*PI()*(((Model_Data!A227)/Inputs!$C$49)+Inputs!$C$47*0.137))+0.35*COS(2*PI()*(((Inputs!$C$6)/Inputs!$C$50)+Inputs!$C$47*0.173))+0.2*SIN(2*PI()*(((Model_Data!A227)+(Inputs!$C$6))/(0.5*(Inputs!$C$49+Inputs!$C$50))+Inputs!$C$47*0.097)))+0.3*(2*((SIN(((Model_Data!A227)*12.9898+(Inputs!$C$6)*78.233+Inputs!$C$47*37.719))*43758.5453)-INT((SIN(((Model_Data!A227)*12.9898+(Inputs!$C$6)*78.233+Inputs!$C$47*37.719))*43758.5453)))-1))))/1000)^2))-(((Model_Data!B227)-((Inputs!$C$51*(115*EXP(-(((0)-25)^2)/(4.5^2))+70*EXP(-(((0)+38)^2)/(7^2))*(0.55+0.45*SIN(2*PI()*(Model_Data!A227)/45))+24*SIN(2*PI()*(0)/9+(Model_Data!A227)/18)*EXP(-(((0)+5)^2)/(22^2))+18*SIN(2*PI()*(Model_Data!A227)/70))+Inputs!$C$28*EXP(-(((Model_Data!A227)-Inputs!$C$29)^2)/(2*Inputs!$C$31^2))*EXP(-(((0)-Inputs!$C$30)^2)/(2*Inputs!$C$32^2))+-Inputs!$C$33*EXP(-(((((Model_Data!A227)-Inputs!$C$34)^2)+(((0)-Inputs!$C$35)^2))/(2*Inputs!$C$36^2)))+Inputs!$C$37*(0.55*SIN(2*PI()*(Model_Data!A227)/Inputs!$C$39)+0.35*COS(2*PI()*(0)/Inputs!$C$40)+0.2*SIN(2*PI()*((Model_Data!A227)+(0))/(0.5*(Inputs!$C$39+Inputs!$C$40))))+Inputs!$C$38*SIN(2*PI()*(Model_Data!A227)/Inputs!$C$39)*SIN(2*PI()*(0)/Inputs!$C$40)+-Inputs!$C$41*EXP(-(((0)-Inputs!$C$43)^2)/(2*Inputs!$C$44^2))*EXP(-(((Model_Data!A227)-Inputs!$C$42)^2)/(2*Inputs!$C$45^2))+Inputs!$C$48*(0.7*(0.45*SIN(2*PI()*(((Model_Data!A227)/Inputs!$C$49)+Inputs!$C$47*0.137))+0.35*COS(2*PI()*(((0)/Inputs!$C$50)+Inputs!$C$47*0.173))+0.2*SIN(2*PI()*(((Model_Data!A227)+(0))/(0.5*(Inputs!$C$49+Inputs!$C$50))+Inputs!$C$47*0.097)))+0.3*(2*((SIN(((Model_Data!A227)*12.9898+(0)*78.233+Inputs!$C$47*37.719))*43758.5453)-INT((SIN(((Model_Data!A227)*12.9898+(0)*78.233+Inputs!$C$47*37.719))*43758.5453)))-1))))/1000)))*1000/Inputs!$C$12)</f>
        <v>2256.7697026015899</v>
      </c>
      <c r="E227" s="9">
        <f>Model_Data!A227</f>
        <v>52.5</v>
      </c>
      <c r="F227" s="9">
        <f>(Inputs!$C$51*(115*EXP(-(((Inputs!$C$6)-25)^2)/(4.5^2))+70*EXP(-(((Inputs!$C$6)+38)^2)/(7^2))*(0.55+0.45*SIN(2*PI()*(Model_Data!A227)/45))+24*SIN(2*PI()*(Inputs!$C$6)/9+(Model_Data!A227)/18)*EXP(-(((Inputs!$C$6)+5)^2)/(22^2))+18*SIN(2*PI()*(Model_Data!A227)/70))+Inputs!$C$28*EXP(-(((Model_Data!A227)-Inputs!$C$29)^2)/(2*Inputs!$C$31^2))*EXP(-(((Inputs!$C$6)-Inputs!$C$30)^2)/(2*Inputs!$C$32^2))+-Inputs!$C$33*EXP(-(((((Model_Data!A227)-Inputs!$C$34)^2)+(((Inputs!$C$6)-Inputs!$C$35)^2))/(2*Inputs!$C$36^2)))+Inputs!$C$37*(0.55*SIN(2*PI()*(Model_Data!A227)/Inputs!$C$39)+0.35*COS(2*PI()*(Inputs!$C$6)/Inputs!$C$40)+0.2*SIN(2*PI()*((Model_Data!A227)+(Inputs!$C$6))/(0.5*(Inputs!$C$39+Inputs!$C$40))))+Inputs!$C$38*SIN(2*PI()*(Model_Data!A227)/Inputs!$C$39)*SIN(2*PI()*(Inputs!$C$6)/Inputs!$C$40)+-Inputs!$C$41*EXP(-(((Inputs!$C$6)-Inputs!$C$43)^2)/(2*Inputs!$C$44^2))*EXP(-(((Model_Data!A227)-Inputs!$C$42)^2)/(2*Inputs!$C$45^2))+Inputs!$C$48*(0.7*(0.45*SIN(2*PI()*(((Model_Data!A227)/Inputs!$C$49)+Inputs!$C$47*0.137))+0.35*COS(2*PI()*(((Inputs!$C$6)/Inputs!$C$50)+Inputs!$C$47*0.173))+0.2*SIN(2*PI()*(((Model_Data!A227)+(Inputs!$C$6))/(0.5*(Inputs!$C$49+Inputs!$C$50))+Inputs!$C$47*0.097)))+0.3*(2*((SIN(((Model_Data!A227)*12.9898+(Inputs!$C$6)*78.233+Inputs!$C$47*37.719))*43758.5453)-INT((SIN(((Model_Data!A227)*12.9898+(Inputs!$C$6)*78.233+Inputs!$C$47*37.719))*43758.5453)))-1)))</f>
        <v>164.06842387185546</v>
      </c>
      <c r="G227" s="9">
        <f>(Inputs!$C$51*(115*EXP(-(((0)-25)^2)/(4.5^2))+70*EXP(-(((0)+38)^2)/(7^2))*(0.55+0.45*SIN(2*PI()*(Model_Data!A227)/45))+24*SIN(2*PI()*(0)/9+(Model_Data!A227)/18)*EXP(-(((0)+5)^2)/(22^2))+18*SIN(2*PI()*(Model_Data!A227)/70))+Inputs!$C$28*EXP(-(((Model_Data!A227)-Inputs!$C$29)^2)/(2*Inputs!$C$31^2))*EXP(-(((0)-Inputs!$C$30)^2)/(2*Inputs!$C$32^2))+-Inputs!$C$33*EXP(-(((((Model_Data!A227)-Inputs!$C$34)^2)+(((0)-Inputs!$C$35)^2))/(2*Inputs!$C$36^2)))+Inputs!$C$37*(0.55*SIN(2*PI()*(Model_Data!A227)/Inputs!$C$39)+0.35*COS(2*PI()*(0)/Inputs!$C$40)+0.2*SIN(2*PI()*((Model_Data!A227)+(0))/(0.5*(Inputs!$C$39+Inputs!$C$40))))+Inputs!$C$38*SIN(2*PI()*(Model_Data!A227)/Inputs!$C$39)*SIN(2*PI()*(0)/Inputs!$C$40)+-Inputs!$C$41*EXP(-(((0)-Inputs!$C$43)^2)/(2*Inputs!$C$44^2))*EXP(-(((Model_Data!A227)-Inputs!$C$42)^2)/(2*Inputs!$C$45^2))+Inputs!$C$48*(0.7*(0.45*SIN(2*PI()*(((Model_Data!A227)/Inputs!$C$49)+Inputs!$C$47*0.137))+0.35*COS(2*PI()*(((0)/Inputs!$C$50)+Inputs!$C$47*0.173))+0.2*SIN(2*PI()*(((Model_Data!A227)+(0))/(0.5*(Inputs!$C$49+Inputs!$C$50))+Inputs!$C$47*0.097)))+0.3*(2*((SIN(((Model_Data!A227)*12.9898+(0)*78.233+Inputs!$C$47*37.719))*43758.5453)-INT((SIN(((Model_Data!A227)*12.9898+(0)*78.233+Inputs!$C$47*37.719))*43758.5453)))-1)))</f>
        <v>6.5883469319652015</v>
      </c>
      <c r="H227" s="10"/>
      <c r="I227" s="9">
        <f>Model_Data!A227</f>
        <v>52.5</v>
      </c>
      <c r="J227" s="9">
        <f>(Inputs!$C$51*(115*EXP(-(((Inputs!$C$6)-25)^2)/(4.5^2))+70*EXP(-(((Inputs!$C$6)+38)^2)/(7^2))*(0.55+0.45*SIN(2*PI()*(Model_Data!A227)/45))+24*SIN(2*PI()*(Inputs!$C$6)/9+(Model_Data!A227)/18)*EXP(-(((Inputs!$C$6)+5)^2)/(22^2))+18*SIN(2*PI()*(Model_Data!A227)/70))+Inputs!$C$28*EXP(-(((Model_Data!A227)-Inputs!$C$29)^2)/(2*Inputs!$C$31^2))*EXP(-(((Inputs!$C$6)-Inputs!$C$30)^2)/(2*Inputs!$C$32^2))+-Inputs!$C$33*EXP(-(((((Model_Data!A227)-Inputs!$C$34)^2)+(((Inputs!$C$6)-Inputs!$C$35)^2))/(2*Inputs!$C$36^2)))+Inputs!$C$37*(0.55*SIN(2*PI()*(Model_Data!A227)/Inputs!$C$39)+0.35*COS(2*PI()*(Inputs!$C$6)/Inputs!$C$40)+0.2*SIN(2*PI()*((Model_Data!A227)+(Inputs!$C$6))/(0.5*(Inputs!$C$39+Inputs!$C$40))))+Inputs!$C$38*SIN(2*PI()*(Model_Data!A227)/Inputs!$C$39)*SIN(2*PI()*(Inputs!$C$6)/Inputs!$C$40)+-Inputs!$C$41*EXP(-(((Inputs!$C$6)-Inputs!$C$43)^2)/(2*Inputs!$C$44^2))*EXP(-(((Model_Data!A227)-Inputs!$C$42)^2)/(2*Inputs!$C$45^2))+Inputs!$C$48*(0.7*(0.45*SIN(2*PI()*(((Model_Data!A227)/Inputs!$C$49)+Inputs!$C$47*0.137))+0.35*COS(2*PI()*(((Inputs!$C$6)/Inputs!$C$50)+Inputs!$C$47*0.173))+0.2*SIN(2*PI()*(((Model_Data!A227)+(Inputs!$C$6))/(0.5*(Inputs!$C$49+Inputs!$C$50))+Inputs!$C$47*0.097)))+0.3*(2*((SIN(((Model_Data!A227)*12.9898+(Inputs!$C$6)*78.233+Inputs!$C$47*37.719))*43758.5453)-INT((SIN(((Model_Data!A227)*12.9898+(Inputs!$C$6)*78.233+Inputs!$C$47*37.719))*43758.5453)))-1)))</f>
        <v>164.06842387185546</v>
      </c>
      <c r="K227" s="9">
        <f>-((((SQRT((Model_Data!A227)^2+Inputs!$C$6^2+((Model_Data!B227)-((Inputs!$C$51*(115*EXP(-(((Inputs!$C$6)-25)^2)/(4.5^2))+70*EXP(-(((Inputs!$C$6)+38)^2)/(7^2))*(0.55+0.45*SIN(2*PI()*(Model_Data!A227)/45))+24*SIN(2*PI()*(Inputs!$C$6)/9+(Model_Data!A227)/18)*EXP(-(((Inputs!$C$6)+5)^2)/(22^2))+18*SIN(2*PI()*(Model_Data!A227)/70))+Inputs!$C$28*EXP(-(((Model_Data!A227)-Inputs!$C$29)^2)/(2*Inputs!$C$31^2))*EXP(-(((Inputs!$C$6)-Inputs!$C$30)^2)/(2*Inputs!$C$32^2))+-Inputs!$C$33*EXP(-(((((Model_Data!A227)-Inputs!$C$34)^2)+(((Inputs!$C$6)-Inputs!$C$35)^2))/(2*Inputs!$C$36^2)))+Inputs!$C$37*(0.55*SIN(2*PI()*(Model_Data!A227)/Inputs!$C$39)+0.35*COS(2*PI()*(Inputs!$C$6)/Inputs!$C$40)+0.2*SIN(2*PI()*((Model_Data!A227)+(Inputs!$C$6))/(0.5*(Inputs!$C$39+Inputs!$C$40))))+Inputs!$C$38*SIN(2*PI()*(Model_Data!A227)/Inputs!$C$39)*SIN(2*PI()*(Inputs!$C$6)/Inputs!$C$40)+-Inputs!$C$41*EXP(-(((Inputs!$C$6)-Inputs!$C$43)^2)/(2*Inputs!$C$44^2))*EXP(-(((Model_Data!A227)-Inputs!$C$42)^2)/(2*Inputs!$C$45^2))+Inputs!$C$48*(0.7*(0.45*SIN(2*PI()*(((Model_Data!A227)/Inputs!$C$49)+Inputs!$C$47*0.137))+0.35*COS(2*PI()*(((Inputs!$C$6)/Inputs!$C$50)+Inputs!$C$47*0.173))+0.2*SIN(2*PI()*(((Model_Data!A227)+(Inputs!$C$6))/(0.5*(Inputs!$C$49+Inputs!$C$50))+Inputs!$C$47*0.097)))+0.3*(2*((SIN(((Model_Data!A227)*12.9898+(Inputs!$C$6)*78.233+Inputs!$C$47*37.719))*43758.5453)-INT((SIN(((Model_Data!A227)*12.9898+(Inputs!$C$6)*78.233+Inputs!$C$47*37.719))*43758.5453)))-1))))/1000)^2))-(((Model_Data!B227)-((Inputs!$C$51*(115*EXP(-(((0)-25)^2)/(4.5^2))+70*EXP(-(((0)+38)^2)/(7^2))*(0.55+0.45*SIN(2*PI()*(Model_Data!A227)/45))+24*SIN(2*PI()*(0)/9+(Model_Data!A227)/18)*EXP(-(((0)+5)^2)/(22^2))+18*SIN(2*PI()*(Model_Data!A227)/70))+Inputs!$C$28*EXP(-(((Model_Data!A227)-Inputs!$C$29)^2)/(2*Inputs!$C$31^2))*EXP(-(((0)-Inputs!$C$30)^2)/(2*Inputs!$C$32^2))+-Inputs!$C$33*EXP(-(((((Model_Data!A227)-Inputs!$C$34)^2)+(((0)-Inputs!$C$35)^2))/(2*Inputs!$C$36^2)))+Inputs!$C$37*(0.55*SIN(2*PI()*(Model_Data!A227)/Inputs!$C$39)+0.35*COS(2*PI()*(0)/Inputs!$C$40)+0.2*SIN(2*PI()*((Model_Data!A227)+(0))/(0.5*(Inputs!$C$39+Inputs!$C$40))))+Inputs!$C$38*SIN(2*PI()*(Model_Data!A227)/Inputs!$C$39)*SIN(2*PI()*(0)/Inputs!$C$40)+-Inputs!$C$41*EXP(-(((0)-Inputs!$C$43)^2)/(2*Inputs!$C$44^2))*EXP(-(((Model_Data!A227)-Inputs!$C$42)^2)/(2*Inputs!$C$45^2))+Inputs!$C$48*(0.7*(0.45*SIN(2*PI()*(((Model_Data!A227)/Inputs!$C$49)+Inputs!$C$47*0.137))+0.35*COS(2*PI()*(((0)/Inputs!$C$50)+Inputs!$C$47*0.173))+0.2*SIN(2*PI()*(((Model_Data!A227)+(0))/(0.5*(Inputs!$C$49+Inputs!$C$50))+Inputs!$C$47*0.097)))+0.3*(2*((SIN(((Model_Data!A227)*12.9898+(0)*78.233+Inputs!$C$47*37.719))*43758.5453)-INT((SIN(((Model_Data!A227)*12.9898+(0)*78.233+Inputs!$C$47*37.719))*43758.5453)))-1))))/1000)))*1000/Inputs!$C$12)-Model_Data!F227)</f>
        <v>87.527095998025288</v>
      </c>
      <c r="L227" s="10"/>
      <c r="M227" s="9">
        <f>Model_Data!A227</f>
        <v>52.5</v>
      </c>
      <c r="N227" s="9">
        <f>Model_Data!P227</f>
        <v>-391.02286674642266</v>
      </c>
      <c r="O227" s="9">
        <f t="shared" si="6"/>
        <v>-364.93171239126241</v>
      </c>
      <c r="P227" s="9">
        <f>Model_Data!Q227</f>
        <v>-58.712142154117522</v>
      </c>
      <c r="Q227" s="9">
        <f t="shared" si="7"/>
        <v>-54.794551410099466</v>
      </c>
      <c r="R227" s="10"/>
      <c r="S227" s="9">
        <f>Model_Data!A227</f>
        <v>52.5</v>
      </c>
      <c r="T227" s="9">
        <f>Model_Data!B227-Inputs!$C$5</f>
        <v>3.0625</v>
      </c>
      <c r="U227" s="10"/>
      <c r="V227" s="9">
        <f>Model_Data!A227</f>
        <v>52.5</v>
      </c>
      <c r="W227" s="9">
        <f>((SQRT((Model_Data!A227)^2+Inputs!$C$6^2+Inputs!$C$5^2)-Inputs!$C$5)*1000/Inputs!$C$12)</f>
        <v>2362.059318211112</v>
      </c>
      <c r="X227" s="9">
        <f>Model_Data!F227</f>
        <v>2344.2967985996152</v>
      </c>
      <c r="Y227" s="10"/>
      <c r="Z227" s="9">
        <f>Model_Data!A227</f>
        <v>52.5</v>
      </c>
      <c r="AA227" s="9">
        <f>SQRT((Model_Data!A227)^2+Inputs!$C$6^2+((Model_Data!B227)-((Inputs!$C$51*(115*EXP(-(((Inputs!$C$6)-25)^2)/(4.5^2))+70*EXP(-(((Inputs!$C$6)+38)^2)/(7^2))*(0.55+0.45*SIN(2*PI()*(Model_Data!A227)/45))+24*SIN(2*PI()*(Inputs!$C$6)/9+(Model_Data!A227)/18)*EXP(-(((Inputs!$C$6)+5)^2)/(22^2))+18*SIN(2*PI()*(Model_Data!A227)/70))+Inputs!$C$28*EXP(-(((Model_Data!A227)-Inputs!$C$29)^2)/(2*Inputs!$C$31^2))*EXP(-(((Inputs!$C$6)-Inputs!$C$30)^2)/(2*Inputs!$C$32^2))+-Inputs!$C$33*EXP(-(((((Model_Data!A227)-Inputs!$C$34)^2)+(((Inputs!$C$6)-Inputs!$C$35)^2))/(2*Inputs!$C$36^2)))+Inputs!$C$37*(0.55*SIN(2*PI()*(Model_Data!A227)/Inputs!$C$39)+0.35*COS(2*PI()*(Inputs!$C$6)/Inputs!$C$40)+0.2*SIN(2*PI()*((Model_Data!A227)+(Inputs!$C$6))/(0.5*(Inputs!$C$39+Inputs!$C$40))))+Inputs!$C$38*SIN(2*PI()*(Model_Data!A227)/Inputs!$C$39)*SIN(2*PI()*(Inputs!$C$6)/Inputs!$C$40)+-Inputs!$C$41*EXP(-(((Inputs!$C$6)-Inputs!$C$43)^2)/(2*Inputs!$C$44^2))*EXP(-(((Model_Data!A227)-Inputs!$C$42)^2)/(2*Inputs!$C$45^2))+Inputs!$C$48*(0.7*(0.45*SIN(2*PI()*(((Model_Data!A227)/Inputs!$C$49)+Inputs!$C$47*0.137))+0.35*COS(2*PI()*(((Inputs!$C$6)/Inputs!$C$50)+Inputs!$C$47*0.173))+0.2*SIN(2*PI()*(((Model_Data!A227)+(Inputs!$C$6))/(0.5*(Inputs!$C$49+Inputs!$C$50))+Inputs!$C$47*0.097)))+0.3*(2*((SIN(((Model_Data!A227)*12.9898+(Inputs!$C$6)*78.233+Inputs!$C$47*37.719))*43758.5453)-INT((SIN(((Model_Data!A227)*12.9898+(Inputs!$C$6)*78.233+Inputs!$C$47*37.719))*43758.5453)))-1))))/1000)^2)</f>
        <v>407.07296172369888</v>
      </c>
      <c r="AB227" s="9">
        <f>1000*(AA228-AA226)/(Z228-Z226)*Inputs!$C$11</f>
        <v>912.32928097815602</v>
      </c>
      <c r="AC227" s="9">
        <f>-2*AB227/Inputs!$C$13</f>
        <v>-364.93171239126241</v>
      </c>
      <c r="AD227" s="9">
        <f>-2*AB227/Inputs!$C$14</f>
        <v>-54.794551410099466</v>
      </c>
    </row>
    <row r="228" spans="1:30">
      <c r="A228" s="9">
        <f>Model_Data!A228</f>
        <v>53</v>
      </c>
      <c r="B228" s="9">
        <f>((SQRT((Model_Data!A228)^2+Inputs!$C$6^2+Inputs!$C$5^2)-Inputs!$C$5)*1000/Inputs!$C$12)</f>
        <v>2398.7145785572161</v>
      </c>
      <c r="C228" s="9">
        <f>Model_Data!F228</f>
        <v>2380.3367583116014</v>
      </c>
      <c r="D228" s="9">
        <f>(((SQRT((Model_Data!A228)^2+Inputs!$C$6^2+((Model_Data!B228)-((Inputs!$C$51*(115*EXP(-(((Inputs!$C$6)-25)^2)/(4.5^2))+70*EXP(-(((Inputs!$C$6)+38)^2)/(7^2))*(0.55+0.45*SIN(2*PI()*(Model_Data!A228)/45))+24*SIN(2*PI()*(Inputs!$C$6)/9+(Model_Data!A228)/18)*EXP(-(((Inputs!$C$6)+5)^2)/(22^2))+18*SIN(2*PI()*(Model_Data!A228)/70))+Inputs!$C$28*EXP(-(((Model_Data!A228)-Inputs!$C$29)^2)/(2*Inputs!$C$31^2))*EXP(-(((Inputs!$C$6)-Inputs!$C$30)^2)/(2*Inputs!$C$32^2))+-Inputs!$C$33*EXP(-(((((Model_Data!A228)-Inputs!$C$34)^2)+(((Inputs!$C$6)-Inputs!$C$35)^2))/(2*Inputs!$C$36^2)))+Inputs!$C$37*(0.55*SIN(2*PI()*(Model_Data!A228)/Inputs!$C$39)+0.35*COS(2*PI()*(Inputs!$C$6)/Inputs!$C$40)+0.2*SIN(2*PI()*((Model_Data!A228)+(Inputs!$C$6))/(0.5*(Inputs!$C$39+Inputs!$C$40))))+Inputs!$C$38*SIN(2*PI()*(Model_Data!A228)/Inputs!$C$39)*SIN(2*PI()*(Inputs!$C$6)/Inputs!$C$40)+-Inputs!$C$41*EXP(-(((Inputs!$C$6)-Inputs!$C$43)^2)/(2*Inputs!$C$44^2))*EXP(-(((Model_Data!A228)-Inputs!$C$42)^2)/(2*Inputs!$C$45^2))+Inputs!$C$48*(0.7*(0.45*SIN(2*PI()*(((Model_Data!A228)/Inputs!$C$49)+Inputs!$C$47*0.137))+0.35*COS(2*PI()*(((Inputs!$C$6)/Inputs!$C$50)+Inputs!$C$47*0.173))+0.2*SIN(2*PI()*(((Model_Data!A228)+(Inputs!$C$6))/(0.5*(Inputs!$C$49+Inputs!$C$50))+Inputs!$C$47*0.097)))+0.3*(2*((SIN(((Model_Data!A228)*12.9898+(Inputs!$C$6)*78.233+Inputs!$C$47*37.719))*43758.5453)-INT((SIN(((Model_Data!A228)*12.9898+(Inputs!$C$6)*78.233+Inputs!$C$47*37.719))*43758.5453)))-1))))/1000)^2))-(((Model_Data!B228)-((Inputs!$C$51*(115*EXP(-(((0)-25)^2)/(4.5^2))+70*EXP(-(((0)+38)^2)/(7^2))*(0.55+0.45*SIN(2*PI()*(Model_Data!A228)/45))+24*SIN(2*PI()*(0)/9+(Model_Data!A228)/18)*EXP(-(((0)+5)^2)/(22^2))+18*SIN(2*PI()*(Model_Data!A228)/70))+Inputs!$C$28*EXP(-(((Model_Data!A228)-Inputs!$C$29)^2)/(2*Inputs!$C$31^2))*EXP(-(((0)-Inputs!$C$30)^2)/(2*Inputs!$C$32^2))+-Inputs!$C$33*EXP(-(((((Model_Data!A228)-Inputs!$C$34)^2)+(((0)-Inputs!$C$35)^2))/(2*Inputs!$C$36^2)))+Inputs!$C$37*(0.55*SIN(2*PI()*(Model_Data!A228)/Inputs!$C$39)+0.35*COS(2*PI()*(0)/Inputs!$C$40)+0.2*SIN(2*PI()*((Model_Data!A228)+(0))/(0.5*(Inputs!$C$39+Inputs!$C$40))))+Inputs!$C$38*SIN(2*PI()*(Model_Data!A228)/Inputs!$C$39)*SIN(2*PI()*(0)/Inputs!$C$40)+-Inputs!$C$41*EXP(-(((0)-Inputs!$C$43)^2)/(2*Inputs!$C$44^2))*EXP(-(((Model_Data!A228)-Inputs!$C$42)^2)/(2*Inputs!$C$45^2))+Inputs!$C$48*(0.7*(0.45*SIN(2*PI()*(((Model_Data!A228)/Inputs!$C$49)+Inputs!$C$47*0.137))+0.35*COS(2*PI()*(((0)/Inputs!$C$50)+Inputs!$C$47*0.173))+0.2*SIN(2*PI()*(((Model_Data!A228)+(0))/(0.5*(Inputs!$C$49+Inputs!$C$50))+Inputs!$C$47*0.097)))+0.3*(2*((SIN(((Model_Data!A228)*12.9898+(0)*78.233+Inputs!$C$47*37.719))*43758.5453)-INT((SIN(((Model_Data!A228)*12.9898+(0)*78.233+Inputs!$C$47*37.719))*43758.5453)))-1))))/1000)))*1000/Inputs!$C$12)</f>
        <v>2280.8394704852067</v>
      </c>
      <c r="E228" s="9">
        <f>Model_Data!A228</f>
        <v>53</v>
      </c>
      <c r="F228" s="9">
        <f>(Inputs!$C$51*(115*EXP(-(((Inputs!$C$6)-25)^2)/(4.5^2))+70*EXP(-(((Inputs!$C$6)+38)^2)/(7^2))*(0.55+0.45*SIN(2*PI()*(Model_Data!A228)/45))+24*SIN(2*PI()*(Inputs!$C$6)/9+(Model_Data!A228)/18)*EXP(-(((Inputs!$C$6)+5)^2)/(22^2))+18*SIN(2*PI()*(Model_Data!A228)/70))+Inputs!$C$28*EXP(-(((Model_Data!A228)-Inputs!$C$29)^2)/(2*Inputs!$C$31^2))*EXP(-(((Inputs!$C$6)-Inputs!$C$30)^2)/(2*Inputs!$C$32^2))+-Inputs!$C$33*EXP(-(((((Model_Data!A228)-Inputs!$C$34)^2)+(((Inputs!$C$6)-Inputs!$C$35)^2))/(2*Inputs!$C$36^2)))+Inputs!$C$37*(0.55*SIN(2*PI()*(Model_Data!A228)/Inputs!$C$39)+0.35*COS(2*PI()*(Inputs!$C$6)/Inputs!$C$40)+0.2*SIN(2*PI()*((Model_Data!A228)+(Inputs!$C$6))/(0.5*(Inputs!$C$39+Inputs!$C$40))))+Inputs!$C$38*SIN(2*PI()*(Model_Data!A228)/Inputs!$C$39)*SIN(2*PI()*(Inputs!$C$6)/Inputs!$C$40)+-Inputs!$C$41*EXP(-(((Inputs!$C$6)-Inputs!$C$43)^2)/(2*Inputs!$C$44^2))*EXP(-(((Model_Data!A228)-Inputs!$C$42)^2)/(2*Inputs!$C$45^2))+Inputs!$C$48*(0.7*(0.45*SIN(2*PI()*(((Model_Data!A228)/Inputs!$C$49)+Inputs!$C$47*0.137))+0.35*COS(2*PI()*(((Inputs!$C$6)/Inputs!$C$50)+Inputs!$C$47*0.173))+0.2*SIN(2*PI()*(((Model_Data!A228)+(Inputs!$C$6))/(0.5*(Inputs!$C$49+Inputs!$C$50))+Inputs!$C$47*0.097)))+0.3*(2*((SIN(((Model_Data!A228)*12.9898+(Inputs!$C$6)*78.233+Inputs!$C$47*37.719))*43758.5453)-INT((SIN(((Model_Data!A228)*12.9898+(Inputs!$C$6)*78.233+Inputs!$C$47*37.719))*43758.5453)))-1)))</f>
        <v>183.52328091519169</v>
      </c>
      <c r="G228" s="9">
        <f>(Inputs!$C$51*(115*EXP(-(((0)-25)^2)/(4.5^2))+70*EXP(-(((0)+38)^2)/(7^2))*(0.55+0.45*SIN(2*PI()*(Model_Data!A228)/45))+24*SIN(2*PI()*(0)/9+(Model_Data!A228)/18)*EXP(-(((0)+5)^2)/(22^2))+18*SIN(2*PI()*(Model_Data!A228)/70))+Inputs!$C$28*EXP(-(((Model_Data!A228)-Inputs!$C$29)^2)/(2*Inputs!$C$31^2))*EXP(-(((0)-Inputs!$C$30)^2)/(2*Inputs!$C$32^2))+-Inputs!$C$33*EXP(-(((((Model_Data!A228)-Inputs!$C$34)^2)+(((0)-Inputs!$C$35)^2))/(2*Inputs!$C$36^2)))+Inputs!$C$37*(0.55*SIN(2*PI()*(Model_Data!A228)/Inputs!$C$39)+0.35*COS(2*PI()*(0)/Inputs!$C$40)+0.2*SIN(2*PI()*((Model_Data!A228)+(0))/(0.5*(Inputs!$C$39+Inputs!$C$40))))+Inputs!$C$38*SIN(2*PI()*(Model_Data!A228)/Inputs!$C$39)*SIN(2*PI()*(0)/Inputs!$C$40)+-Inputs!$C$41*EXP(-(((0)-Inputs!$C$43)^2)/(2*Inputs!$C$44^2))*EXP(-(((Model_Data!A228)-Inputs!$C$42)^2)/(2*Inputs!$C$45^2))+Inputs!$C$48*(0.7*(0.45*SIN(2*PI()*(((Model_Data!A228)/Inputs!$C$49)+Inputs!$C$47*0.137))+0.35*COS(2*PI()*(((0)/Inputs!$C$50)+Inputs!$C$47*0.173))+0.2*SIN(2*PI()*(((Model_Data!A228)+(0))/(0.5*(Inputs!$C$49+Inputs!$C$50))+Inputs!$C$47*0.097)))+0.3*(2*((SIN(((Model_Data!A228)*12.9898+(0)*78.233+Inputs!$C$47*37.719))*43758.5453)-INT((SIN(((Model_Data!A228)*12.9898+(0)*78.233+Inputs!$C$47*37.719))*43758.5453)))-1)))</f>
        <v>4.5083965407611828</v>
      </c>
      <c r="H228" s="10"/>
      <c r="I228" s="9">
        <f>Model_Data!A228</f>
        <v>53</v>
      </c>
      <c r="J228" s="9">
        <f>(Inputs!$C$51*(115*EXP(-(((Inputs!$C$6)-25)^2)/(4.5^2))+70*EXP(-(((Inputs!$C$6)+38)^2)/(7^2))*(0.55+0.45*SIN(2*PI()*(Model_Data!A228)/45))+24*SIN(2*PI()*(Inputs!$C$6)/9+(Model_Data!A228)/18)*EXP(-(((Inputs!$C$6)+5)^2)/(22^2))+18*SIN(2*PI()*(Model_Data!A228)/70))+Inputs!$C$28*EXP(-(((Model_Data!A228)-Inputs!$C$29)^2)/(2*Inputs!$C$31^2))*EXP(-(((Inputs!$C$6)-Inputs!$C$30)^2)/(2*Inputs!$C$32^2))+-Inputs!$C$33*EXP(-(((((Model_Data!A228)-Inputs!$C$34)^2)+(((Inputs!$C$6)-Inputs!$C$35)^2))/(2*Inputs!$C$36^2)))+Inputs!$C$37*(0.55*SIN(2*PI()*(Model_Data!A228)/Inputs!$C$39)+0.35*COS(2*PI()*(Inputs!$C$6)/Inputs!$C$40)+0.2*SIN(2*PI()*((Model_Data!A228)+(Inputs!$C$6))/(0.5*(Inputs!$C$39+Inputs!$C$40))))+Inputs!$C$38*SIN(2*PI()*(Model_Data!A228)/Inputs!$C$39)*SIN(2*PI()*(Inputs!$C$6)/Inputs!$C$40)+-Inputs!$C$41*EXP(-(((Inputs!$C$6)-Inputs!$C$43)^2)/(2*Inputs!$C$44^2))*EXP(-(((Model_Data!A228)-Inputs!$C$42)^2)/(2*Inputs!$C$45^2))+Inputs!$C$48*(0.7*(0.45*SIN(2*PI()*(((Model_Data!A228)/Inputs!$C$49)+Inputs!$C$47*0.137))+0.35*COS(2*PI()*(((Inputs!$C$6)/Inputs!$C$50)+Inputs!$C$47*0.173))+0.2*SIN(2*PI()*(((Model_Data!A228)+(Inputs!$C$6))/(0.5*(Inputs!$C$49+Inputs!$C$50))+Inputs!$C$47*0.097)))+0.3*(2*((SIN(((Model_Data!A228)*12.9898+(Inputs!$C$6)*78.233+Inputs!$C$47*37.719))*43758.5453)-INT((SIN(((Model_Data!A228)*12.9898+(Inputs!$C$6)*78.233+Inputs!$C$47*37.719))*43758.5453)))-1)))</f>
        <v>183.52328091519169</v>
      </c>
      <c r="K228" s="9">
        <f>-((((SQRT((Model_Data!A228)^2+Inputs!$C$6^2+((Model_Data!B228)-((Inputs!$C$51*(115*EXP(-(((Inputs!$C$6)-25)^2)/(4.5^2))+70*EXP(-(((Inputs!$C$6)+38)^2)/(7^2))*(0.55+0.45*SIN(2*PI()*(Model_Data!A228)/45))+24*SIN(2*PI()*(Inputs!$C$6)/9+(Model_Data!A228)/18)*EXP(-(((Inputs!$C$6)+5)^2)/(22^2))+18*SIN(2*PI()*(Model_Data!A228)/70))+Inputs!$C$28*EXP(-(((Model_Data!A228)-Inputs!$C$29)^2)/(2*Inputs!$C$31^2))*EXP(-(((Inputs!$C$6)-Inputs!$C$30)^2)/(2*Inputs!$C$32^2))+-Inputs!$C$33*EXP(-(((((Model_Data!A228)-Inputs!$C$34)^2)+(((Inputs!$C$6)-Inputs!$C$35)^2))/(2*Inputs!$C$36^2)))+Inputs!$C$37*(0.55*SIN(2*PI()*(Model_Data!A228)/Inputs!$C$39)+0.35*COS(2*PI()*(Inputs!$C$6)/Inputs!$C$40)+0.2*SIN(2*PI()*((Model_Data!A228)+(Inputs!$C$6))/(0.5*(Inputs!$C$39+Inputs!$C$40))))+Inputs!$C$38*SIN(2*PI()*(Model_Data!A228)/Inputs!$C$39)*SIN(2*PI()*(Inputs!$C$6)/Inputs!$C$40)+-Inputs!$C$41*EXP(-(((Inputs!$C$6)-Inputs!$C$43)^2)/(2*Inputs!$C$44^2))*EXP(-(((Model_Data!A228)-Inputs!$C$42)^2)/(2*Inputs!$C$45^2))+Inputs!$C$48*(0.7*(0.45*SIN(2*PI()*(((Model_Data!A228)/Inputs!$C$49)+Inputs!$C$47*0.137))+0.35*COS(2*PI()*(((Inputs!$C$6)/Inputs!$C$50)+Inputs!$C$47*0.173))+0.2*SIN(2*PI()*(((Model_Data!A228)+(Inputs!$C$6))/(0.5*(Inputs!$C$49+Inputs!$C$50))+Inputs!$C$47*0.097)))+0.3*(2*((SIN(((Model_Data!A228)*12.9898+(Inputs!$C$6)*78.233+Inputs!$C$47*37.719))*43758.5453)-INT((SIN(((Model_Data!A228)*12.9898+(Inputs!$C$6)*78.233+Inputs!$C$47*37.719))*43758.5453)))-1))))/1000)^2))-(((Model_Data!B228)-((Inputs!$C$51*(115*EXP(-(((0)-25)^2)/(4.5^2))+70*EXP(-(((0)+38)^2)/(7^2))*(0.55+0.45*SIN(2*PI()*(Model_Data!A228)/45))+24*SIN(2*PI()*(0)/9+(Model_Data!A228)/18)*EXP(-(((0)+5)^2)/(22^2))+18*SIN(2*PI()*(Model_Data!A228)/70))+Inputs!$C$28*EXP(-(((Model_Data!A228)-Inputs!$C$29)^2)/(2*Inputs!$C$31^2))*EXP(-(((0)-Inputs!$C$30)^2)/(2*Inputs!$C$32^2))+-Inputs!$C$33*EXP(-(((((Model_Data!A228)-Inputs!$C$34)^2)+(((0)-Inputs!$C$35)^2))/(2*Inputs!$C$36^2)))+Inputs!$C$37*(0.55*SIN(2*PI()*(Model_Data!A228)/Inputs!$C$39)+0.35*COS(2*PI()*(0)/Inputs!$C$40)+0.2*SIN(2*PI()*((Model_Data!A228)+(0))/(0.5*(Inputs!$C$39+Inputs!$C$40))))+Inputs!$C$38*SIN(2*PI()*(Model_Data!A228)/Inputs!$C$39)*SIN(2*PI()*(0)/Inputs!$C$40)+-Inputs!$C$41*EXP(-(((0)-Inputs!$C$43)^2)/(2*Inputs!$C$44^2))*EXP(-(((Model_Data!A228)-Inputs!$C$42)^2)/(2*Inputs!$C$45^2))+Inputs!$C$48*(0.7*(0.45*SIN(2*PI()*(((Model_Data!A228)/Inputs!$C$49)+Inputs!$C$47*0.137))+0.35*COS(2*PI()*(((0)/Inputs!$C$50)+Inputs!$C$47*0.173))+0.2*SIN(2*PI()*(((Model_Data!A228)+(0))/(0.5*(Inputs!$C$49+Inputs!$C$50))+Inputs!$C$47*0.097)))+0.3*(2*((SIN(((Model_Data!A228)*12.9898+(0)*78.233+Inputs!$C$47*37.719))*43758.5453)-INT((SIN(((Model_Data!A228)*12.9898+(0)*78.233+Inputs!$C$47*37.719))*43758.5453)))-1))))/1000)))*1000/Inputs!$C$12)-Model_Data!F228)</f>
        <v>99.497287826394768</v>
      </c>
      <c r="L228" s="10"/>
      <c r="M228" s="9">
        <f>Model_Data!A228</f>
        <v>53</v>
      </c>
      <c r="N228" s="9">
        <f>Model_Data!P228</f>
        <v>-394.65504593412737</v>
      </c>
      <c r="O228" s="9">
        <f t="shared" si="6"/>
        <v>-367.86548708223563</v>
      </c>
      <c r="P228" s="9">
        <f>Model_Data!Q228</f>
        <v>-59.257514404523633</v>
      </c>
      <c r="Q228" s="9">
        <f t="shared" si="7"/>
        <v>-55.235058120455804</v>
      </c>
      <c r="R228" s="10"/>
      <c r="S228" s="9">
        <f>Model_Data!A228</f>
        <v>53</v>
      </c>
      <c r="T228" s="9">
        <f>Model_Data!B228-Inputs!$C$5</f>
        <v>3.1211111111111336</v>
      </c>
      <c r="U228" s="10"/>
      <c r="V228" s="9">
        <f>Model_Data!A228</f>
        <v>53</v>
      </c>
      <c r="W228" s="9">
        <f>((SQRT((Model_Data!A228)^2+Inputs!$C$6^2+Inputs!$C$5^2)-Inputs!$C$5)*1000/Inputs!$C$12)</f>
        <v>2398.7145785572161</v>
      </c>
      <c r="X228" s="9">
        <f>Model_Data!F228</f>
        <v>2380.3367583116014</v>
      </c>
      <c r="Y228" s="10"/>
      <c r="Z228" s="9">
        <f>Model_Data!A228</f>
        <v>53</v>
      </c>
      <c r="AA228" s="9">
        <f>SQRT((Model_Data!A228)^2+Inputs!$C$6^2+((Model_Data!B228)-((Inputs!$C$51*(115*EXP(-(((Inputs!$C$6)-25)^2)/(4.5^2))+70*EXP(-(((Inputs!$C$6)+38)^2)/(7^2))*(0.55+0.45*SIN(2*PI()*(Model_Data!A228)/45))+24*SIN(2*PI()*(Inputs!$C$6)/9+(Model_Data!A228)/18)*EXP(-(((Inputs!$C$6)+5)^2)/(22^2))+18*SIN(2*PI()*(Model_Data!A228)/70))+Inputs!$C$28*EXP(-(((Model_Data!A228)-Inputs!$C$29)^2)/(2*Inputs!$C$31^2))*EXP(-(((Inputs!$C$6)-Inputs!$C$30)^2)/(2*Inputs!$C$32^2))+-Inputs!$C$33*EXP(-(((((Model_Data!A228)-Inputs!$C$34)^2)+(((Inputs!$C$6)-Inputs!$C$35)^2))/(2*Inputs!$C$36^2)))+Inputs!$C$37*(0.55*SIN(2*PI()*(Model_Data!A228)/Inputs!$C$39)+0.35*COS(2*PI()*(Inputs!$C$6)/Inputs!$C$40)+0.2*SIN(2*PI()*((Model_Data!A228)+(Inputs!$C$6))/(0.5*(Inputs!$C$39+Inputs!$C$40))))+Inputs!$C$38*SIN(2*PI()*(Model_Data!A228)/Inputs!$C$39)*SIN(2*PI()*(Inputs!$C$6)/Inputs!$C$40)+-Inputs!$C$41*EXP(-(((Inputs!$C$6)-Inputs!$C$43)^2)/(2*Inputs!$C$44^2))*EXP(-(((Model_Data!A228)-Inputs!$C$42)^2)/(2*Inputs!$C$45^2))+Inputs!$C$48*(0.7*(0.45*SIN(2*PI()*(((Model_Data!A228)/Inputs!$C$49)+Inputs!$C$47*0.137))+0.35*COS(2*PI()*(((Inputs!$C$6)/Inputs!$C$50)+Inputs!$C$47*0.173))+0.2*SIN(2*PI()*(((Model_Data!A228)+(Inputs!$C$6))/(0.5*(Inputs!$C$49+Inputs!$C$50))+Inputs!$C$47*0.097)))+0.3*(2*((SIN(((Model_Data!A228)*12.9898+(Inputs!$C$6)*78.233+Inputs!$C$47*37.719))*43758.5453)-INT((SIN(((Model_Data!A228)*12.9898+(Inputs!$C$6)*78.233+Inputs!$C$47*37.719))*43758.5453)))-1))))/1000)^2)</f>
        <v>407.17649697203404</v>
      </c>
      <c r="AB228" s="9">
        <f>1000*(AA229-AA227)/(Z229-Z227)*Inputs!$C$11</f>
        <v>919.66371770558908</v>
      </c>
      <c r="AC228" s="9">
        <f>-2*AB228/Inputs!$C$13</f>
        <v>-367.86548708223563</v>
      </c>
      <c r="AD228" s="9">
        <f>-2*AB228/Inputs!$C$14</f>
        <v>-55.235058120455804</v>
      </c>
    </row>
    <row r="229" spans="1:30">
      <c r="A229" s="9">
        <f>Model_Data!A229</f>
        <v>53.5</v>
      </c>
      <c r="B229" s="9">
        <f>((SQRT((Model_Data!A229)^2+Inputs!$C$6^2+Inputs!$C$5^2)-Inputs!$C$5)*1000/Inputs!$C$12)</f>
        <v>2435.7112828204276</v>
      </c>
      <c r="C229" s="9">
        <f>Model_Data!F229</f>
        <v>2416.7020585545083</v>
      </c>
      <c r="D229" s="9">
        <f>(((SQRT((Model_Data!A229)^2+Inputs!$C$6^2+((Model_Data!B229)-((Inputs!$C$51*(115*EXP(-(((Inputs!$C$6)-25)^2)/(4.5^2))+70*EXP(-(((Inputs!$C$6)+38)^2)/(7^2))*(0.55+0.45*SIN(2*PI()*(Model_Data!A229)/45))+24*SIN(2*PI()*(Inputs!$C$6)/9+(Model_Data!A229)/18)*EXP(-(((Inputs!$C$6)+5)^2)/(22^2))+18*SIN(2*PI()*(Model_Data!A229)/70))+Inputs!$C$28*EXP(-(((Model_Data!A229)-Inputs!$C$29)^2)/(2*Inputs!$C$31^2))*EXP(-(((Inputs!$C$6)-Inputs!$C$30)^2)/(2*Inputs!$C$32^2))+-Inputs!$C$33*EXP(-(((((Model_Data!A229)-Inputs!$C$34)^2)+(((Inputs!$C$6)-Inputs!$C$35)^2))/(2*Inputs!$C$36^2)))+Inputs!$C$37*(0.55*SIN(2*PI()*(Model_Data!A229)/Inputs!$C$39)+0.35*COS(2*PI()*(Inputs!$C$6)/Inputs!$C$40)+0.2*SIN(2*PI()*((Model_Data!A229)+(Inputs!$C$6))/(0.5*(Inputs!$C$39+Inputs!$C$40))))+Inputs!$C$38*SIN(2*PI()*(Model_Data!A229)/Inputs!$C$39)*SIN(2*PI()*(Inputs!$C$6)/Inputs!$C$40)+-Inputs!$C$41*EXP(-(((Inputs!$C$6)-Inputs!$C$43)^2)/(2*Inputs!$C$44^2))*EXP(-(((Model_Data!A229)-Inputs!$C$42)^2)/(2*Inputs!$C$45^2))+Inputs!$C$48*(0.7*(0.45*SIN(2*PI()*(((Model_Data!A229)/Inputs!$C$49)+Inputs!$C$47*0.137))+0.35*COS(2*PI()*(((Inputs!$C$6)/Inputs!$C$50)+Inputs!$C$47*0.173))+0.2*SIN(2*PI()*(((Model_Data!A229)+(Inputs!$C$6))/(0.5*(Inputs!$C$49+Inputs!$C$50))+Inputs!$C$47*0.097)))+0.3*(2*((SIN(((Model_Data!A229)*12.9898+(Inputs!$C$6)*78.233+Inputs!$C$47*37.719))*43758.5453)-INT((SIN(((Model_Data!A229)*12.9898+(Inputs!$C$6)*78.233+Inputs!$C$47*37.719))*43758.5453)))-1))))/1000)^2))-(((Model_Data!B229)-((Inputs!$C$51*(115*EXP(-(((0)-25)^2)/(4.5^2))+70*EXP(-(((0)+38)^2)/(7^2))*(0.55+0.45*SIN(2*PI()*(Model_Data!A229)/45))+24*SIN(2*PI()*(0)/9+(Model_Data!A229)/18)*EXP(-(((0)+5)^2)/(22^2))+18*SIN(2*PI()*(Model_Data!A229)/70))+Inputs!$C$28*EXP(-(((Model_Data!A229)-Inputs!$C$29)^2)/(2*Inputs!$C$31^2))*EXP(-(((0)-Inputs!$C$30)^2)/(2*Inputs!$C$32^2))+-Inputs!$C$33*EXP(-(((((Model_Data!A229)-Inputs!$C$34)^2)+(((0)-Inputs!$C$35)^2))/(2*Inputs!$C$36^2)))+Inputs!$C$37*(0.55*SIN(2*PI()*(Model_Data!A229)/Inputs!$C$39)+0.35*COS(2*PI()*(0)/Inputs!$C$40)+0.2*SIN(2*PI()*((Model_Data!A229)+(0))/(0.5*(Inputs!$C$39+Inputs!$C$40))))+Inputs!$C$38*SIN(2*PI()*(Model_Data!A229)/Inputs!$C$39)*SIN(2*PI()*(0)/Inputs!$C$40)+-Inputs!$C$41*EXP(-(((0)-Inputs!$C$43)^2)/(2*Inputs!$C$44^2))*EXP(-(((Model_Data!A229)-Inputs!$C$42)^2)/(2*Inputs!$C$45^2))+Inputs!$C$48*(0.7*(0.45*SIN(2*PI()*(((Model_Data!A229)/Inputs!$C$49)+Inputs!$C$47*0.137))+0.35*COS(2*PI()*(((0)/Inputs!$C$50)+Inputs!$C$47*0.173))+0.2*SIN(2*PI()*(((Model_Data!A229)+(0))/(0.5*(Inputs!$C$49+Inputs!$C$50))+Inputs!$C$47*0.097)))+0.3*(2*((SIN(((Model_Data!A229)*12.9898+(0)*78.233+Inputs!$C$47*37.719))*43758.5453)-INT((SIN(((Model_Data!A229)*12.9898+(0)*78.233+Inputs!$C$47*37.719))*43758.5453)))-1))))/1000)))*1000/Inputs!$C$12)</f>
        <v>2315.995404077757</v>
      </c>
      <c r="E229" s="9">
        <f>Model_Data!A229</f>
        <v>53.5</v>
      </c>
      <c r="F229" s="9">
        <f>(Inputs!$C$51*(115*EXP(-(((Inputs!$C$6)-25)^2)/(4.5^2))+70*EXP(-(((Inputs!$C$6)+38)^2)/(7^2))*(0.55+0.45*SIN(2*PI()*(Model_Data!A229)/45))+24*SIN(2*PI()*(Inputs!$C$6)/9+(Model_Data!A229)/18)*EXP(-(((Inputs!$C$6)+5)^2)/(22^2))+18*SIN(2*PI()*(Model_Data!A229)/70))+Inputs!$C$28*EXP(-(((Model_Data!A229)-Inputs!$C$29)^2)/(2*Inputs!$C$31^2))*EXP(-(((Inputs!$C$6)-Inputs!$C$30)^2)/(2*Inputs!$C$32^2))+-Inputs!$C$33*EXP(-(((((Model_Data!A229)-Inputs!$C$34)^2)+(((Inputs!$C$6)-Inputs!$C$35)^2))/(2*Inputs!$C$36^2)))+Inputs!$C$37*(0.55*SIN(2*PI()*(Model_Data!A229)/Inputs!$C$39)+0.35*COS(2*PI()*(Inputs!$C$6)/Inputs!$C$40)+0.2*SIN(2*PI()*((Model_Data!A229)+(Inputs!$C$6))/(0.5*(Inputs!$C$39+Inputs!$C$40))))+Inputs!$C$38*SIN(2*PI()*(Model_Data!A229)/Inputs!$C$39)*SIN(2*PI()*(Inputs!$C$6)/Inputs!$C$40)+-Inputs!$C$41*EXP(-(((Inputs!$C$6)-Inputs!$C$43)^2)/(2*Inputs!$C$44^2))*EXP(-(((Model_Data!A229)-Inputs!$C$42)^2)/(2*Inputs!$C$45^2))+Inputs!$C$48*(0.7*(0.45*SIN(2*PI()*(((Model_Data!A229)/Inputs!$C$49)+Inputs!$C$47*0.137))+0.35*COS(2*PI()*(((Inputs!$C$6)/Inputs!$C$50)+Inputs!$C$47*0.173))+0.2*SIN(2*PI()*(((Model_Data!A229)+(Inputs!$C$6))/(0.5*(Inputs!$C$49+Inputs!$C$50))+Inputs!$C$47*0.097)))+0.3*(2*((SIN(((Model_Data!A229)*12.9898+(Inputs!$C$6)*78.233+Inputs!$C$47*37.719))*43758.5453)-INT((SIN(((Model_Data!A229)*12.9898+(Inputs!$C$6)*78.233+Inputs!$C$47*37.719))*43758.5453)))-1)))</f>
        <v>181.04186719105834</v>
      </c>
      <c r="G229" s="9">
        <f>(Inputs!$C$51*(115*EXP(-(((0)-25)^2)/(4.5^2))+70*EXP(-(((0)+38)^2)/(7^2))*(0.55+0.45*SIN(2*PI()*(Model_Data!A229)/45))+24*SIN(2*PI()*(0)/9+(Model_Data!A229)/18)*EXP(-(((0)+5)^2)/(22^2))+18*SIN(2*PI()*(Model_Data!A229)/70))+Inputs!$C$28*EXP(-(((Model_Data!A229)-Inputs!$C$29)^2)/(2*Inputs!$C$31^2))*EXP(-(((0)-Inputs!$C$30)^2)/(2*Inputs!$C$32^2))+-Inputs!$C$33*EXP(-(((((Model_Data!A229)-Inputs!$C$34)^2)+(((0)-Inputs!$C$35)^2))/(2*Inputs!$C$36^2)))+Inputs!$C$37*(0.55*SIN(2*PI()*(Model_Data!A229)/Inputs!$C$39)+0.35*COS(2*PI()*(0)/Inputs!$C$40)+0.2*SIN(2*PI()*((Model_Data!A229)+(0))/(0.5*(Inputs!$C$39+Inputs!$C$40))))+Inputs!$C$38*SIN(2*PI()*(Model_Data!A229)/Inputs!$C$39)*SIN(2*PI()*(0)/Inputs!$C$40)+-Inputs!$C$41*EXP(-(((0)-Inputs!$C$43)^2)/(2*Inputs!$C$44^2))*EXP(-(((Model_Data!A229)-Inputs!$C$42)^2)/(2*Inputs!$C$45^2))+Inputs!$C$48*(0.7*(0.45*SIN(2*PI()*(((Model_Data!A229)/Inputs!$C$49)+Inputs!$C$47*0.137))+0.35*COS(2*PI()*(((0)/Inputs!$C$50)+Inputs!$C$47*0.173))+0.2*SIN(2*PI()*(((Model_Data!A229)+(0))/(0.5*(Inputs!$C$49+Inputs!$C$50))+Inputs!$C$47*0.097)))+0.3*(2*((SIN(((Model_Data!A229)*12.9898+(0)*78.233+Inputs!$C$47*37.719))*43758.5453)-INT((SIN(((Model_Data!A229)*12.9898+(0)*78.233+Inputs!$C$47*37.719))*43758.5453)))-1)))</f>
        <v>-0.1280560890739677</v>
      </c>
      <c r="H229" s="10"/>
      <c r="I229" s="9">
        <f>Model_Data!A229</f>
        <v>53.5</v>
      </c>
      <c r="J229" s="9">
        <f>(Inputs!$C$51*(115*EXP(-(((Inputs!$C$6)-25)^2)/(4.5^2))+70*EXP(-(((Inputs!$C$6)+38)^2)/(7^2))*(0.55+0.45*SIN(2*PI()*(Model_Data!A229)/45))+24*SIN(2*PI()*(Inputs!$C$6)/9+(Model_Data!A229)/18)*EXP(-(((Inputs!$C$6)+5)^2)/(22^2))+18*SIN(2*PI()*(Model_Data!A229)/70))+Inputs!$C$28*EXP(-(((Model_Data!A229)-Inputs!$C$29)^2)/(2*Inputs!$C$31^2))*EXP(-(((Inputs!$C$6)-Inputs!$C$30)^2)/(2*Inputs!$C$32^2))+-Inputs!$C$33*EXP(-(((((Model_Data!A229)-Inputs!$C$34)^2)+(((Inputs!$C$6)-Inputs!$C$35)^2))/(2*Inputs!$C$36^2)))+Inputs!$C$37*(0.55*SIN(2*PI()*(Model_Data!A229)/Inputs!$C$39)+0.35*COS(2*PI()*(Inputs!$C$6)/Inputs!$C$40)+0.2*SIN(2*PI()*((Model_Data!A229)+(Inputs!$C$6))/(0.5*(Inputs!$C$39+Inputs!$C$40))))+Inputs!$C$38*SIN(2*PI()*(Model_Data!A229)/Inputs!$C$39)*SIN(2*PI()*(Inputs!$C$6)/Inputs!$C$40)+-Inputs!$C$41*EXP(-(((Inputs!$C$6)-Inputs!$C$43)^2)/(2*Inputs!$C$44^2))*EXP(-(((Model_Data!A229)-Inputs!$C$42)^2)/(2*Inputs!$C$45^2))+Inputs!$C$48*(0.7*(0.45*SIN(2*PI()*(((Model_Data!A229)/Inputs!$C$49)+Inputs!$C$47*0.137))+0.35*COS(2*PI()*(((Inputs!$C$6)/Inputs!$C$50)+Inputs!$C$47*0.173))+0.2*SIN(2*PI()*(((Model_Data!A229)+(Inputs!$C$6))/(0.5*(Inputs!$C$49+Inputs!$C$50))+Inputs!$C$47*0.097)))+0.3*(2*((SIN(((Model_Data!A229)*12.9898+(Inputs!$C$6)*78.233+Inputs!$C$47*37.719))*43758.5453)-INT((SIN(((Model_Data!A229)*12.9898+(Inputs!$C$6)*78.233+Inputs!$C$47*37.719))*43758.5453)))-1)))</f>
        <v>181.04186719105834</v>
      </c>
      <c r="K229" s="9">
        <f>-((((SQRT((Model_Data!A229)^2+Inputs!$C$6^2+((Model_Data!B229)-((Inputs!$C$51*(115*EXP(-(((Inputs!$C$6)-25)^2)/(4.5^2))+70*EXP(-(((Inputs!$C$6)+38)^2)/(7^2))*(0.55+0.45*SIN(2*PI()*(Model_Data!A229)/45))+24*SIN(2*PI()*(Inputs!$C$6)/9+(Model_Data!A229)/18)*EXP(-(((Inputs!$C$6)+5)^2)/(22^2))+18*SIN(2*PI()*(Model_Data!A229)/70))+Inputs!$C$28*EXP(-(((Model_Data!A229)-Inputs!$C$29)^2)/(2*Inputs!$C$31^2))*EXP(-(((Inputs!$C$6)-Inputs!$C$30)^2)/(2*Inputs!$C$32^2))+-Inputs!$C$33*EXP(-(((((Model_Data!A229)-Inputs!$C$34)^2)+(((Inputs!$C$6)-Inputs!$C$35)^2))/(2*Inputs!$C$36^2)))+Inputs!$C$37*(0.55*SIN(2*PI()*(Model_Data!A229)/Inputs!$C$39)+0.35*COS(2*PI()*(Inputs!$C$6)/Inputs!$C$40)+0.2*SIN(2*PI()*((Model_Data!A229)+(Inputs!$C$6))/(0.5*(Inputs!$C$39+Inputs!$C$40))))+Inputs!$C$38*SIN(2*PI()*(Model_Data!A229)/Inputs!$C$39)*SIN(2*PI()*(Inputs!$C$6)/Inputs!$C$40)+-Inputs!$C$41*EXP(-(((Inputs!$C$6)-Inputs!$C$43)^2)/(2*Inputs!$C$44^2))*EXP(-(((Model_Data!A229)-Inputs!$C$42)^2)/(2*Inputs!$C$45^2))+Inputs!$C$48*(0.7*(0.45*SIN(2*PI()*(((Model_Data!A229)/Inputs!$C$49)+Inputs!$C$47*0.137))+0.35*COS(2*PI()*(((Inputs!$C$6)/Inputs!$C$50)+Inputs!$C$47*0.173))+0.2*SIN(2*PI()*(((Model_Data!A229)+(Inputs!$C$6))/(0.5*(Inputs!$C$49+Inputs!$C$50))+Inputs!$C$47*0.097)))+0.3*(2*((SIN(((Model_Data!A229)*12.9898+(Inputs!$C$6)*78.233+Inputs!$C$47*37.719))*43758.5453)-INT((SIN(((Model_Data!A229)*12.9898+(Inputs!$C$6)*78.233+Inputs!$C$47*37.719))*43758.5453)))-1))))/1000)^2))-(((Model_Data!B229)-((Inputs!$C$51*(115*EXP(-(((0)-25)^2)/(4.5^2))+70*EXP(-(((0)+38)^2)/(7^2))*(0.55+0.45*SIN(2*PI()*(Model_Data!A229)/45))+24*SIN(2*PI()*(0)/9+(Model_Data!A229)/18)*EXP(-(((0)+5)^2)/(22^2))+18*SIN(2*PI()*(Model_Data!A229)/70))+Inputs!$C$28*EXP(-(((Model_Data!A229)-Inputs!$C$29)^2)/(2*Inputs!$C$31^2))*EXP(-(((0)-Inputs!$C$30)^2)/(2*Inputs!$C$32^2))+-Inputs!$C$33*EXP(-(((((Model_Data!A229)-Inputs!$C$34)^2)+(((0)-Inputs!$C$35)^2))/(2*Inputs!$C$36^2)))+Inputs!$C$37*(0.55*SIN(2*PI()*(Model_Data!A229)/Inputs!$C$39)+0.35*COS(2*PI()*(0)/Inputs!$C$40)+0.2*SIN(2*PI()*((Model_Data!A229)+(0))/(0.5*(Inputs!$C$39+Inputs!$C$40))))+Inputs!$C$38*SIN(2*PI()*(Model_Data!A229)/Inputs!$C$39)*SIN(2*PI()*(0)/Inputs!$C$40)+-Inputs!$C$41*EXP(-(((0)-Inputs!$C$43)^2)/(2*Inputs!$C$44^2))*EXP(-(((Model_Data!A229)-Inputs!$C$42)^2)/(2*Inputs!$C$45^2))+Inputs!$C$48*(0.7*(0.45*SIN(2*PI()*(((Model_Data!A229)/Inputs!$C$49)+Inputs!$C$47*0.137))+0.35*COS(2*PI()*(((0)/Inputs!$C$50)+Inputs!$C$47*0.173))+0.2*SIN(2*PI()*(((Model_Data!A229)+(0))/(0.5*(Inputs!$C$49+Inputs!$C$50))+Inputs!$C$47*0.097)))+0.3*(2*((SIN(((Model_Data!A229)*12.9898+(0)*78.233+Inputs!$C$47*37.719))*43758.5453)-INT((SIN(((Model_Data!A229)*12.9898+(0)*78.233+Inputs!$C$47*37.719))*43758.5453)))-1))))/1000)))*1000/Inputs!$C$12)-Model_Data!F229)</f>
        <v>100.70665447675128</v>
      </c>
      <c r="L229" s="10"/>
      <c r="M229" s="9">
        <f>Model_Data!A229</f>
        <v>53.5</v>
      </c>
      <c r="N229" s="9">
        <f>Model_Data!P229</f>
        <v>-398.28469829593723</v>
      </c>
      <c r="O229" s="9">
        <f t="shared" si="6"/>
        <v>-401.51243335949403</v>
      </c>
      <c r="P229" s="9">
        <f>Model_Data!Q229</f>
        <v>-59.802507251642233</v>
      </c>
      <c r="Q229" s="9">
        <f t="shared" si="7"/>
        <v>-60.28715215608019</v>
      </c>
      <c r="R229" s="10"/>
      <c r="S229" s="9">
        <f>Model_Data!A229</f>
        <v>53.5</v>
      </c>
      <c r="T229" s="9">
        <f>Model_Data!B229-Inputs!$C$5</f>
        <v>3.1802777777778033</v>
      </c>
      <c r="U229" s="10"/>
      <c r="V229" s="9">
        <f>Model_Data!A229</f>
        <v>53.5</v>
      </c>
      <c r="W229" s="9">
        <f>((SQRT((Model_Data!A229)^2+Inputs!$C$6^2+Inputs!$C$5^2)-Inputs!$C$5)*1000/Inputs!$C$12)</f>
        <v>2435.7112828204276</v>
      </c>
      <c r="X229" s="9">
        <f>Model_Data!F229</f>
        <v>2416.7020585545083</v>
      </c>
      <c r="Y229" s="10"/>
      <c r="Z229" s="9">
        <f>Model_Data!A229</f>
        <v>53.5</v>
      </c>
      <c r="AA229" s="9">
        <f>SQRT((Model_Data!A229)^2+Inputs!$C$6^2+((Model_Data!B229)-((Inputs!$C$51*(115*EXP(-(((Inputs!$C$6)-25)^2)/(4.5^2))+70*EXP(-(((Inputs!$C$6)+38)^2)/(7^2))*(0.55+0.45*SIN(2*PI()*(Model_Data!A229)/45))+24*SIN(2*PI()*(Inputs!$C$6)/9+(Model_Data!A229)/18)*EXP(-(((Inputs!$C$6)+5)^2)/(22^2))+18*SIN(2*PI()*(Model_Data!A229)/70))+Inputs!$C$28*EXP(-(((Model_Data!A229)-Inputs!$C$29)^2)/(2*Inputs!$C$31^2))*EXP(-(((Inputs!$C$6)-Inputs!$C$30)^2)/(2*Inputs!$C$32^2))+-Inputs!$C$33*EXP(-(((((Model_Data!A229)-Inputs!$C$34)^2)+(((Inputs!$C$6)-Inputs!$C$35)^2))/(2*Inputs!$C$36^2)))+Inputs!$C$37*(0.55*SIN(2*PI()*(Model_Data!A229)/Inputs!$C$39)+0.35*COS(2*PI()*(Inputs!$C$6)/Inputs!$C$40)+0.2*SIN(2*PI()*((Model_Data!A229)+(Inputs!$C$6))/(0.5*(Inputs!$C$39+Inputs!$C$40))))+Inputs!$C$38*SIN(2*PI()*(Model_Data!A229)/Inputs!$C$39)*SIN(2*PI()*(Inputs!$C$6)/Inputs!$C$40)+-Inputs!$C$41*EXP(-(((Inputs!$C$6)-Inputs!$C$43)^2)/(2*Inputs!$C$44^2))*EXP(-(((Model_Data!A229)-Inputs!$C$42)^2)/(2*Inputs!$C$45^2))+Inputs!$C$48*(0.7*(0.45*SIN(2*PI()*(((Model_Data!A229)/Inputs!$C$49)+Inputs!$C$47*0.137))+0.35*COS(2*PI()*(((Inputs!$C$6)/Inputs!$C$50)+Inputs!$C$47*0.173))+0.2*SIN(2*PI()*(((Model_Data!A229)+(Inputs!$C$6))/(0.5*(Inputs!$C$49+Inputs!$C$50))+Inputs!$C$47*0.097)))+0.3*(2*((SIN(((Model_Data!A229)*12.9898+(Inputs!$C$6)*78.233+Inputs!$C$47*37.719))*43758.5453)-INT((SIN(((Model_Data!A229)*12.9898+(Inputs!$C$6)*78.233+Inputs!$C$47*37.719))*43758.5453)))-1))))/1000)^2)</f>
        <v>407.30287765312528</v>
      </c>
      <c r="AB229" s="9">
        <f>1000*(AA230-AA228)/(Z230-Z228)*Inputs!$C$11</f>
        <v>1003.7810833987351</v>
      </c>
      <c r="AC229" s="9">
        <f>-2*AB229/Inputs!$C$13</f>
        <v>-401.51243335949403</v>
      </c>
      <c r="AD229" s="9">
        <f>-2*AB229/Inputs!$C$14</f>
        <v>-60.28715215608019</v>
      </c>
    </row>
    <row r="230" spans="1:30">
      <c r="A230" s="9">
        <f>Model_Data!A230</f>
        <v>54</v>
      </c>
      <c r="B230" s="9">
        <f>((SQRT((Model_Data!A230)^2+Inputs!$C$6^2+Inputs!$C$5^2)-Inputs!$C$5)*1000/Inputs!$C$12)</f>
        <v>2473.0492641952978</v>
      </c>
      <c r="C230" s="9">
        <f>Model_Data!F230</f>
        <v>2453.3922539609484</v>
      </c>
      <c r="D230" s="9">
        <f>(((SQRT((Model_Data!A230)^2+Inputs!$C$6^2+((Model_Data!B230)-((Inputs!$C$51*(115*EXP(-(((Inputs!$C$6)-25)^2)/(4.5^2))+70*EXP(-(((Inputs!$C$6)+38)^2)/(7^2))*(0.55+0.45*SIN(2*PI()*(Model_Data!A230)/45))+24*SIN(2*PI()*(Inputs!$C$6)/9+(Model_Data!A230)/18)*EXP(-(((Inputs!$C$6)+5)^2)/(22^2))+18*SIN(2*PI()*(Model_Data!A230)/70))+Inputs!$C$28*EXP(-(((Model_Data!A230)-Inputs!$C$29)^2)/(2*Inputs!$C$31^2))*EXP(-(((Inputs!$C$6)-Inputs!$C$30)^2)/(2*Inputs!$C$32^2))+-Inputs!$C$33*EXP(-(((((Model_Data!A230)-Inputs!$C$34)^2)+(((Inputs!$C$6)-Inputs!$C$35)^2))/(2*Inputs!$C$36^2)))+Inputs!$C$37*(0.55*SIN(2*PI()*(Model_Data!A230)/Inputs!$C$39)+0.35*COS(2*PI()*(Inputs!$C$6)/Inputs!$C$40)+0.2*SIN(2*PI()*((Model_Data!A230)+(Inputs!$C$6))/(0.5*(Inputs!$C$39+Inputs!$C$40))))+Inputs!$C$38*SIN(2*PI()*(Model_Data!A230)/Inputs!$C$39)*SIN(2*PI()*(Inputs!$C$6)/Inputs!$C$40)+-Inputs!$C$41*EXP(-(((Inputs!$C$6)-Inputs!$C$43)^2)/(2*Inputs!$C$44^2))*EXP(-(((Model_Data!A230)-Inputs!$C$42)^2)/(2*Inputs!$C$45^2))+Inputs!$C$48*(0.7*(0.45*SIN(2*PI()*(((Model_Data!A230)/Inputs!$C$49)+Inputs!$C$47*0.137))+0.35*COS(2*PI()*(((Inputs!$C$6)/Inputs!$C$50)+Inputs!$C$47*0.173))+0.2*SIN(2*PI()*(((Model_Data!A230)+(Inputs!$C$6))/(0.5*(Inputs!$C$49+Inputs!$C$50))+Inputs!$C$47*0.097)))+0.3*(2*((SIN(((Model_Data!A230)*12.9898+(Inputs!$C$6)*78.233+Inputs!$C$47*37.719))*43758.5453)-INT((SIN(((Model_Data!A230)*12.9898+(Inputs!$C$6)*78.233+Inputs!$C$47*37.719))*43758.5453)))-1))))/1000)^2))-(((Model_Data!B230)-((Inputs!$C$51*(115*EXP(-(((0)-25)^2)/(4.5^2))+70*EXP(-(((0)+38)^2)/(7^2))*(0.55+0.45*SIN(2*PI()*(Model_Data!A230)/45))+24*SIN(2*PI()*(0)/9+(Model_Data!A230)/18)*EXP(-(((0)+5)^2)/(22^2))+18*SIN(2*PI()*(Model_Data!A230)/70))+Inputs!$C$28*EXP(-(((Model_Data!A230)-Inputs!$C$29)^2)/(2*Inputs!$C$31^2))*EXP(-(((0)-Inputs!$C$30)^2)/(2*Inputs!$C$32^2))+-Inputs!$C$33*EXP(-(((((Model_Data!A230)-Inputs!$C$34)^2)+(((0)-Inputs!$C$35)^2))/(2*Inputs!$C$36^2)))+Inputs!$C$37*(0.55*SIN(2*PI()*(Model_Data!A230)/Inputs!$C$39)+0.35*COS(2*PI()*(0)/Inputs!$C$40)+0.2*SIN(2*PI()*((Model_Data!A230)+(0))/(0.5*(Inputs!$C$39+Inputs!$C$40))))+Inputs!$C$38*SIN(2*PI()*(Model_Data!A230)/Inputs!$C$39)*SIN(2*PI()*(0)/Inputs!$C$40)+-Inputs!$C$41*EXP(-(((0)-Inputs!$C$43)^2)/(2*Inputs!$C$44^2))*EXP(-(((Model_Data!A230)-Inputs!$C$42)^2)/(2*Inputs!$C$45^2))+Inputs!$C$48*(0.7*(0.45*SIN(2*PI()*(((Model_Data!A230)/Inputs!$C$49)+Inputs!$C$47*0.137))+0.35*COS(2*PI()*(((0)/Inputs!$C$50)+Inputs!$C$47*0.173))+0.2*SIN(2*PI()*(((Model_Data!A230)+(0))/(0.5*(Inputs!$C$49+Inputs!$C$50))+Inputs!$C$47*0.097)))+0.3*(2*((SIN(((Model_Data!A230)*12.9898+(0)*78.233+Inputs!$C$47*37.719))*43758.5453)-INT((SIN(((Model_Data!A230)*12.9898+(0)*78.233+Inputs!$C$47*37.719))*43758.5453)))-1))))/1000)))*1000/Inputs!$C$12)</f>
        <v>2348.0839354261516</v>
      </c>
      <c r="E230" s="9">
        <f>Model_Data!A230</f>
        <v>54</v>
      </c>
      <c r="F230" s="9">
        <f>(Inputs!$C$51*(115*EXP(-(((Inputs!$C$6)-25)^2)/(4.5^2))+70*EXP(-(((Inputs!$C$6)+38)^2)/(7^2))*(0.55+0.45*SIN(2*PI()*(Model_Data!A230)/45))+24*SIN(2*PI()*(Inputs!$C$6)/9+(Model_Data!A230)/18)*EXP(-(((Inputs!$C$6)+5)^2)/(22^2))+18*SIN(2*PI()*(Model_Data!A230)/70))+Inputs!$C$28*EXP(-(((Model_Data!A230)-Inputs!$C$29)^2)/(2*Inputs!$C$31^2))*EXP(-(((Inputs!$C$6)-Inputs!$C$30)^2)/(2*Inputs!$C$32^2))+-Inputs!$C$33*EXP(-(((((Model_Data!A230)-Inputs!$C$34)^2)+(((Inputs!$C$6)-Inputs!$C$35)^2))/(2*Inputs!$C$36^2)))+Inputs!$C$37*(0.55*SIN(2*PI()*(Model_Data!A230)/Inputs!$C$39)+0.35*COS(2*PI()*(Inputs!$C$6)/Inputs!$C$40)+0.2*SIN(2*PI()*((Model_Data!A230)+(Inputs!$C$6))/(0.5*(Inputs!$C$39+Inputs!$C$40))))+Inputs!$C$38*SIN(2*PI()*(Model_Data!A230)/Inputs!$C$39)*SIN(2*PI()*(Inputs!$C$6)/Inputs!$C$40)+-Inputs!$C$41*EXP(-(((Inputs!$C$6)-Inputs!$C$43)^2)/(2*Inputs!$C$44^2))*EXP(-(((Model_Data!A230)-Inputs!$C$42)^2)/(2*Inputs!$C$45^2))+Inputs!$C$48*(0.7*(0.45*SIN(2*PI()*(((Model_Data!A230)/Inputs!$C$49)+Inputs!$C$47*0.137))+0.35*COS(2*PI()*(((Inputs!$C$6)/Inputs!$C$50)+Inputs!$C$47*0.173))+0.2*SIN(2*PI()*(((Model_Data!A230)+(Inputs!$C$6))/(0.5*(Inputs!$C$49+Inputs!$C$50))+Inputs!$C$47*0.097)))+0.3*(2*((SIN(((Model_Data!A230)*12.9898+(Inputs!$C$6)*78.233+Inputs!$C$47*37.719))*43758.5453)-INT((SIN(((Model_Data!A230)*12.9898+(Inputs!$C$6)*78.233+Inputs!$C$47*37.719))*43758.5453)))-1)))</f>
        <v>181.54184215615243</v>
      </c>
      <c r="G230" s="9">
        <f>(Inputs!$C$51*(115*EXP(-(((0)-25)^2)/(4.5^2))+70*EXP(-(((0)+38)^2)/(7^2))*(0.55+0.45*SIN(2*PI()*(Model_Data!A230)/45))+24*SIN(2*PI()*(0)/9+(Model_Data!A230)/18)*EXP(-(((0)+5)^2)/(22^2))+18*SIN(2*PI()*(Model_Data!A230)/70))+Inputs!$C$28*EXP(-(((Model_Data!A230)-Inputs!$C$29)^2)/(2*Inputs!$C$31^2))*EXP(-(((0)-Inputs!$C$30)^2)/(2*Inputs!$C$32^2))+-Inputs!$C$33*EXP(-(((((Model_Data!A230)-Inputs!$C$34)^2)+(((0)-Inputs!$C$35)^2))/(2*Inputs!$C$36^2)))+Inputs!$C$37*(0.55*SIN(2*PI()*(Model_Data!A230)/Inputs!$C$39)+0.35*COS(2*PI()*(0)/Inputs!$C$40)+0.2*SIN(2*PI()*((Model_Data!A230)+(0))/(0.5*(Inputs!$C$39+Inputs!$C$40))))+Inputs!$C$38*SIN(2*PI()*(Model_Data!A230)/Inputs!$C$39)*SIN(2*PI()*(0)/Inputs!$C$40)+-Inputs!$C$41*EXP(-(((0)-Inputs!$C$43)^2)/(2*Inputs!$C$44^2))*EXP(-(((Model_Data!A230)-Inputs!$C$42)^2)/(2*Inputs!$C$45^2))+Inputs!$C$48*(0.7*(0.45*SIN(2*PI()*(((Model_Data!A230)/Inputs!$C$49)+Inputs!$C$47*0.137))+0.35*COS(2*PI()*(((0)/Inputs!$C$50)+Inputs!$C$47*0.173))+0.2*SIN(2*PI()*(((Model_Data!A230)+(0))/(0.5*(Inputs!$C$49+Inputs!$C$50))+Inputs!$C$47*0.097)))+0.3*(2*((SIN(((Model_Data!A230)*12.9898+(0)*78.233+Inputs!$C$47*37.719))*43758.5453)-INT((SIN(((Model_Data!A230)*12.9898+(0)*78.233+Inputs!$C$47*37.719))*43758.5453)))-1)))</f>
        <v>-7.8528378251423838</v>
      </c>
      <c r="H230" s="10"/>
      <c r="I230" s="9">
        <f>Model_Data!A230</f>
        <v>54</v>
      </c>
      <c r="J230" s="9">
        <f>(Inputs!$C$51*(115*EXP(-(((Inputs!$C$6)-25)^2)/(4.5^2))+70*EXP(-(((Inputs!$C$6)+38)^2)/(7^2))*(0.55+0.45*SIN(2*PI()*(Model_Data!A230)/45))+24*SIN(2*PI()*(Inputs!$C$6)/9+(Model_Data!A230)/18)*EXP(-(((Inputs!$C$6)+5)^2)/(22^2))+18*SIN(2*PI()*(Model_Data!A230)/70))+Inputs!$C$28*EXP(-(((Model_Data!A230)-Inputs!$C$29)^2)/(2*Inputs!$C$31^2))*EXP(-(((Inputs!$C$6)-Inputs!$C$30)^2)/(2*Inputs!$C$32^2))+-Inputs!$C$33*EXP(-(((((Model_Data!A230)-Inputs!$C$34)^2)+(((Inputs!$C$6)-Inputs!$C$35)^2))/(2*Inputs!$C$36^2)))+Inputs!$C$37*(0.55*SIN(2*PI()*(Model_Data!A230)/Inputs!$C$39)+0.35*COS(2*PI()*(Inputs!$C$6)/Inputs!$C$40)+0.2*SIN(2*PI()*((Model_Data!A230)+(Inputs!$C$6))/(0.5*(Inputs!$C$39+Inputs!$C$40))))+Inputs!$C$38*SIN(2*PI()*(Model_Data!A230)/Inputs!$C$39)*SIN(2*PI()*(Inputs!$C$6)/Inputs!$C$40)+-Inputs!$C$41*EXP(-(((Inputs!$C$6)-Inputs!$C$43)^2)/(2*Inputs!$C$44^2))*EXP(-(((Model_Data!A230)-Inputs!$C$42)^2)/(2*Inputs!$C$45^2))+Inputs!$C$48*(0.7*(0.45*SIN(2*PI()*(((Model_Data!A230)/Inputs!$C$49)+Inputs!$C$47*0.137))+0.35*COS(2*PI()*(((Inputs!$C$6)/Inputs!$C$50)+Inputs!$C$47*0.173))+0.2*SIN(2*PI()*(((Model_Data!A230)+(Inputs!$C$6))/(0.5*(Inputs!$C$49+Inputs!$C$50))+Inputs!$C$47*0.097)))+0.3*(2*((SIN(((Model_Data!A230)*12.9898+(Inputs!$C$6)*78.233+Inputs!$C$47*37.719))*43758.5453)-INT((SIN(((Model_Data!A230)*12.9898+(Inputs!$C$6)*78.233+Inputs!$C$47*37.719))*43758.5453)))-1)))</f>
        <v>181.54184215615243</v>
      </c>
      <c r="K230" s="9">
        <f>-((((SQRT((Model_Data!A230)^2+Inputs!$C$6^2+((Model_Data!B230)-((Inputs!$C$51*(115*EXP(-(((Inputs!$C$6)-25)^2)/(4.5^2))+70*EXP(-(((Inputs!$C$6)+38)^2)/(7^2))*(0.55+0.45*SIN(2*PI()*(Model_Data!A230)/45))+24*SIN(2*PI()*(Inputs!$C$6)/9+(Model_Data!A230)/18)*EXP(-(((Inputs!$C$6)+5)^2)/(22^2))+18*SIN(2*PI()*(Model_Data!A230)/70))+Inputs!$C$28*EXP(-(((Model_Data!A230)-Inputs!$C$29)^2)/(2*Inputs!$C$31^2))*EXP(-(((Inputs!$C$6)-Inputs!$C$30)^2)/(2*Inputs!$C$32^2))+-Inputs!$C$33*EXP(-(((((Model_Data!A230)-Inputs!$C$34)^2)+(((Inputs!$C$6)-Inputs!$C$35)^2))/(2*Inputs!$C$36^2)))+Inputs!$C$37*(0.55*SIN(2*PI()*(Model_Data!A230)/Inputs!$C$39)+0.35*COS(2*PI()*(Inputs!$C$6)/Inputs!$C$40)+0.2*SIN(2*PI()*((Model_Data!A230)+(Inputs!$C$6))/(0.5*(Inputs!$C$39+Inputs!$C$40))))+Inputs!$C$38*SIN(2*PI()*(Model_Data!A230)/Inputs!$C$39)*SIN(2*PI()*(Inputs!$C$6)/Inputs!$C$40)+-Inputs!$C$41*EXP(-(((Inputs!$C$6)-Inputs!$C$43)^2)/(2*Inputs!$C$44^2))*EXP(-(((Model_Data!A230)-Inputs!$C$42)^2)/(2*Inputs!$C$45^2))+Inputs!$C$48*(0.7*(0.45*SIN(2*PI()*(((Model_Data!A230)/Inputs!$C$49)+Inputs!$C$47*0.137))+0.35*COS(2*PI()*(((Inputs!$C$6)/Inputs!$C$50)+Inputs!$C$47*0.173))+0.2*SIN(2*PI()*(((Model_Data!A230)+(Inputs!$C$6))/(0.5*(Inputs!$C$49+Inputs!$C$50))+Inputs!$C$47*0.097)))+0.3*(2*((SIN(((Model_Data!A230)*12.9898+(Inputs!$C$6)*78.233+Inputs!$C$47*37.719))*43758.5453)-INT((SIN(((Model_Data!A230)*12.9898+(Inputs!$C$6)*78.233+Inputs!$C$47*37.719))*43758.5453)))-1))))/1000)^2))-(((Model_Data!B230)-((Inputs!$C$51*(115*EXP(-(((0)-25)^2)/(4.5^2))+70*EXP(-(((0)+38)^2)/(7^2))*(0.55+0.45*SIN(2*PI()*(Model_Data!A230)/45))+24*SIN(2*PI()*(0)/9+(Model_Data!A230)/18)*EXP(-(((0)+5)^2)/(22^2))+18*SIN(2*PI()*(Model_Data!A230)/70))+Inputs!$C$28*EXP(-(((Model_Data!A230)-Inputs!$C$29)^2)/(2*Inputs!$C$31^2))*EXP(-(((0)-Inputs!$C$30)^2)/(2*Inputs!$C$32^2))+-Inputs!$C$33*EXP(-(((((Model_Data!A230)-Inputs!$C$34)^2)+(((0)-Inputs!$C$35)^2))/(2*Inputs!$C$36^2)))+Inputs!$C$37*(0.55*SIN(2*PI()*(Model_Data!A230)/Inputs!$C$39)+0.35*COS(2*PI()*(0)/Inputs!$C$40)+0.2*SIN(2*PI()*((Model_Data!A230)+(0))/(0.5*(Inputs!$C$39+Inputs!$C$40))))+Inputs!$C$38*SIN(2*PI()*(Model_Data!A230)/Inputs!$C$39)*SIN(2*PI()*(0)/Inputs!$C$40)+-Inputs!$C$41*EXP(-(((0)-Inputs!$C$43)^2)/(2*Inputs!$C$44^2))*EXP(-(((Model_Data!A230)-Inputs!$C$42)^2)/(2*Inputs!$C$45^2))+Inputs!$C$48*(0.7*(0.45*SIN(2*PI()*(((Model_Data!A230)/Inputs!$C$49)+Inputs!$C$47*0.137))+0.35*COS(2*PI()*(((0)/Inputs!$C$50)+Inputs!$C$47*0.173))+0.2*SIN(2*PI()*(((Model_Data!A230)+(0))/(0.5*(Inputs!$C$49+Inputs!$C$50))+Inputs!$C$47*0.097)))+0.3*(2*((SIN(((Model_Data!A230)*12.9898+(0)*78.233+Inputs!$C$47*37.719))*43758.5453)-INT((SIN(((Model_Data!A230)*12.9898+(0)*78.233+Inputs!$C$47*37.719))*43758.5453)))-1))))/1000)))*1000/Inputs!$C$12)-Model_Data!F230)</f>
        <v>105.30831853479685</v>
      </c>
      <c r="L230" s="10"/>
      <c r="M230" s="9">
        <f>Model_Data!A230</f>
        <v>54</v>
      </c>
      <c r="N230" s="9">
        <f>Model_Data!P230</f>
        <v>-401.91180387511952</v>
      </c>
      <c r="O230" s="9">
        <f t="shared" si="6"/>
        <v>-408.90653636561183</v>
      </c>
      <c r="P230" s="9">
        <f>Model_Data!Q230</f>
        <v>-60.347117698966905</v>
      </c>
      <c r="Q230" s="9">
        <f t="shared" si="7"/>
        <v>-61.397377832674451</v>
      </c>
      <c r="R230" s="10"/>
      <c r="S230" s="9">
        <f>Model_Data!A230</f>
        <v>54</v>
      </c>
      <c r="T230" s="9">
        <f>Model_Data!B230-Inputs!$C$5</f>
        <v>3.2400000000000091</v>
      </c>
      <c r="U230" s="10"/>
      <c r="V230" s="9">
        <f>Model_Data!A230</f>
        <v>54</v>
      </c>
      <c r="W230" s="9">
        <f>((SQRT((Model_Data!A230)^2+Inputs!$C$6^2+Inputs!$C$5^2)-Inputs!$C$5)*1000/Inputs!$C$12)</f>
        <v>2473.0492641952978</v>
      </c>
      <c r="X230" s="9">
        <f>Model_Data!F230</f>
        <v>2453.3922539609484</v>
      </c>
      <c r="Y230" s="10"/>
      <c r="Z230" s="9">
        <f>Model_Data!A230</f>
        <v>54</v>
      </c>
      <c r="AA230" s="9">
        <f>SQRT((Model_Data!A230)^2+Inputs!$C$6^2+((Model_Data!B230)-((Inputs!$C$51*(115*EXP(-(((Inputs!$C$6)-25)^2)/(4.5^2))+70*EXP(-(((Inputs!$C$6)+38)^2)/(7^2))*(0.55+0.45*SIN(2*PI()*(Model_Data!A230)/45))+24*SIN(2*PI()*(Inputs!$C$6)/9+(Model_Data!A230)/18)*EXP(-(((Inputs!$C$6)+5)^2)/(22^2))+18*SIN(2*PI()*(Model_Data!A230)/70))+Inputs!$C$28*EXP(-(((Model_Data!A230)-Inputs!$C$29)^2)/(2*Inputs!$C$31^2))*EXP(-(((Inputs!$C$6)-Inputs!$C$30)^2)/(2*Inputs!$C$32^2))+-Inputs!$C$33*EXP(-(((((Model_Data!A230)-Inputs!$C$34)^2)+(((Inputs!$C$6)-Inputs!$C$35)^2))/(2*Inputs!$C$36^2)))+Inputs!$C$37*(0.55*SIN(2*PI()*(Model_Data!A230)/Inputs!$C$39)+0.35*COS(2*PI()*(Inputs!$C$6)/Inputs!$C$40)+0.2*SIN(2*PI()*((Model_Data!A230)+(Inputs!$C$6))/(0.5*(Inputs!$C$39+Inputs!$C$40))))+Inputs!$C$38*SIN(2*PI()*(Model_Data!A230)/Inputs!$C$39)*SIN(2*PI()*(Inputs!$C$6)/Inputs!$C$40)+-Inputs!$C$41*EXP(-(((Inputs!$C$6)-Inputs!$C$43)^2)/(2*Inputs!$C$44^2))*EXP(-(((Model_Data!A230)-Inputs!$C$42)^2)/(2*Inputs!$C$45^2))+Inputs!$C$48*(0.7*(0.45*SIN(2*PI()*(((Model_Data!A230)/Inputs!$C$49)+Inputs!$C$47*0.137))+0.35*COS(2*PI()*(((Inputs!$C$6)/Inputs!$C$50)+Inputs!$C$47*0.173))+0.2*SIN(2*PI()*(((Model_Data!A230)+(Inputs!$C$6))/(0.5*(Inputs!$C$49+Inputs!$C$50))+Inputs!$C$47*0.097)))+0.3*(2*((SIN(((Model_Data!A230)*12.9898+(Inputs!$C$6)*78.233+Inputs!$C$47*37.719))*43758.5453)-INT((SIN(((Model_Data!A230)*12.9898+(Inputs!$C$6)*78.233+Inputs!$C$47*37.719))*43758.5453)))-1))))/1000)^2)</f>
        <v>407.42744224288373</v>
      </c>
      <c r="AB230" s="9">
        <f>1000*(AA231-AA229)/(Z231-Z229)*Inputs!$C$11</f>
        <v>1022.2663409140296</v>
      </c>
      <c r="AC230" s="9">
        <f>-2*AB230/Inputs!$C$13</f>
        <v>-408.90653636561183</v>
      </c>
      <c r="AD230" s="9">
        <f>-2*AB230/Inputs!$C$14</f>
        <v>-61.397377832674451</v>
      </c>
    </row>
    <row r="231" spans="1:30">
      <c r="A231" s="9">
        <f>Model_Data!A231</f>
        <v>54.5</v>
      </c>
      <c r="B231" s="9">
        <f>((SQRT((Model_Data!A231)^2+Inputs!$C$6^2+Inputs!$C$5^2)-Inputs!$C$5)*1000/Inputs!$C$12)</f>
        <v>2510.7283544477896</v>
      </c>
      <c r="C231" s="9">
        <f>Model_Data!F231</f>
        <v>2490.406895668812</v>
      </c>
      <c r="D231" s="9">
        <f>(((SQRT((Model_Data!A231)^2+Inputs!$C$6^2+((Model_Data!B231)-((Inputs!$C$51*(115*EXP(-(((Inputs!$C$6)-25)^2)/(4.5^2))+70*EXP(-(((Inputs!$C$6)+38)^2)/(7^2))*(0.55+0.45*SIN(2*PI()*(Model_Data!A231)/45))+24*SIN(2*PI()*(Inputs!$C$6)/9+(Model_Data!A231)/18)*EXP(-(((Inputs!$C$6)+5)^2)/(22^2))+18*SIN(2*PI()*(Model_Data!A231)/70))+Inputs!$C$28*EXP(-(((Model_Data!A231)-Inputs!$C$29)^2)/(2*Inputs!$C$31^2))*EXP(-(((Inputs!$C$6)-Inputs!$C$30)^2)/(2*Inputs!$C$32^2))+-Inputs!$C$33*EXP(-(((((Model_Data!A231)-Inputs!$C$34)^2)+(((Inputs!$C$6)-Inputs!$C$35)^2))/(2*Inputs!$C$36^2)))+Inputs!$C$37*(0.55*SIN(2*PI()*(Model_Data!A231)/Inputs!$C$39)+0.35*COS(2*PI()*(Inputs!$C$6)/Inputs!$C$40)+0.2*SIN(2*PI()*((Model_Data!A231)+(Inputs!$C$6))/(0.5*(Inputs!$C$39+Inputs!$C$40))))+Inputs!$C$38*SIN(2*PI()*(Model_Data!A231)/Inputs!$C$39)*SIN(2*PI()*(Inputs!$C$6)/Inputs!$C$40)+-Inputs!$C$41*EXP(-(((Inputs!$C$6)-Inputs!$C$43)^2)/(2*Inputs!$C$44^2))*EXP(-(((Model_Data!A231)-Inputs!$C$42)^2)/(2*Inputs!$C$45^2))+Inputs!$C$48*(0.7*(0.45*SIN(2*PI()*(((Model_Data!A231)/Inputs!$C$49)+Inputs!$C$47*0.137))+0.35*COS(2*PI()*(((Inputs!$C$6)/Inputs!$C$50)+Inputs!$C$47*0.173))+0.2*SIN(2*PI()*(((Model_Data!A231)+(Inputs!$C$6))/(0.5*(Inputs!$C$49+Inputs!$C$50))+Inputs!$C$47*0.097)))+0.3*(2*((SIN(((Model_Data!A231)*12.9898+(Inputs!$C$6)*78.233+Inputs!$C$47*37.719))*43758.5453)-INT((SIN(((Model_Data!A231)*12.9898+(Inputs!$C$6)*78.233+Inputs!$C$47*37.719))*43758.5453)))-1))))/1000)^2))-(((Model_Data!B231)-((Inputs!$C$51*(115*EXP(-(((0)-25)^2)/(4.5^2))+70*EXP(-(((0)+38)^2)/(7^2))*(0.55+0.45*SIN(2*PI()*(Model_Data!A231)/45))+24*SIN(2*PI()*(0)/9+(Model_Data!A231)/18)*EXP(-(((0)+5)^2)/(22^2))+18*SIN(2*PI()*(Model_Data!A231)/70))+Inputs!$C$28*EXP(-(((Model_Data!A231)-Inputs!$C$29)^2)/(2*Inputs!$C$31^2))*EXP(-(((0)-Inputs!$C$30)^2)/(2*Inputs!$C$32^2))+-Inputs!$C$33*EXP(-(((((Model_Data!A231)-Inputs!$C$34)^2)+(((0)-Inputs!$C$35)^2))/(2*Inputs!$C$36^2)))+Inputs!$C$37*(0.55*SIN(2*PI()*(Model_Data!A231)/Inputs!$C$39)+0.35*COS(2*PI()*(0)/Inputs!$C$40)+0.2*SIN(2*PI()*((Model_Data!A231)+(0))/(0.5*(Inputs!$C$39+Inputs!$C$40))))+Inputs!$C$38*SIN(2*PI()*(Model_Data!A231)/Inputs!$C$39)*SIN(2*PI()*(0)/Inputs!$C$40)+-Inputs!$C$41*EXP(-(((0)-Inputs!$C$43)^2)/(2*Inputs!$C$44^2))*EXP(-(((Model_Data!A231)-Inputs!$C$42)^2)/(2*Inputs!$C$45^2))+Inputs!$C$48*(0.7*(0.45*SIN(2*PI()*(((Model_Data!A231)/Inputs!$C$49)+Inputs!$C$47*0.137))+0.35*COS(2*PI()*(((0)/Inputs!$C$50)+Inputs!$C$47*0.173))+0.2*SIN(2*PI()*(((Model_Data!A231)+(0))/(0.5*(Inputs!$C$49+Inputs!$C$50))+Inputs!$C$47*0.097)))+0.3*(2*((SIN(((Model_Data!A231)*12.9898+(0)*78.233+Inputs!$C$47*37.719))*43758.5453)-INT((SIN(((Model_Data!A231)*12.9898+(0)*78.233+Inputs!$C$47*37.719))*43758.5453)))-1))))/1000)))*1000/Inputs!$C$12)</f>
        <v>2386.1126587334365</v>
      </c>
      <c r="E231" s="9">
        <f>Model_Data!A231</f>
        <v>54.5</v>
      </c>
      <c r="F231" s="9">
        <f>(Inputs!$C$51*(115*EXP(-(((Inputs!$C$6)-25)^2)/(4.5^2))+70*EXP(-(((Inputs!$C$6)+38)^2)/(7^2))*(0.55+0.45*SIN(2*PI()*(Model_Data!A231)/45))+24*SIN(2*PI()*(Inputs!$C$6)/9+(Model_Data!A231)/18)*EXP(-(((Inputs!$C$6)+5)^2)/(22^2))+18*SIN(2*PI()*(Model_Data!A231)/70))+Inputs!$C$28*EXP(-(((Model_Data!A231)-Inputs!$C$29)^2)/(2*Inputs!$C$31^2))*EXP(-(((Inputs!$C$6)-Inputs!$C$30)^2)/(2*Inputs!$C$32^2))+-Inputs!$C$33*EXP(-(((((Model_Data!A231)-Inputs!$C$34)^2)+(((Inputs!$C$6)-Inputs!$C$35)^2))/(2*Inputs!$C$36^2)))+Inputs!$C$37*(0.55*SIN(2*PI()*(Model_Data!A231)/Inputs!$C$39)+0.35*COS(2*PI()*(Inputs!$C$6)/Inputs!$C$40)+0.2*SIN(2*PI()*((Model_Data!A231)+(Inputs!$C$6))/(0.5*(Inputs!$C$39+Inputs!$C$40))))+Inputs!$C$38*SIN(2*PI()*(Model_Data!A231)/Inputs!$C$39)*SIN(2*PI()*(Inputs!$C$6)/Inputs!$C$40)+-Inputs!$C$41*EXP(-(((Inputs!$C$6)-Inputs!$C$43)^2)/(2*Inputs!$C$44^2))*EXP(-(((Model_Data!A231)-Inputs!$C$42)^2)/(2*Inputs!$C$45^2))+Inputs!$C$48*(0.7*(0.45*SIN(2*PI()*(((Model_Data!A231)/Inputs!$C$49)+Inputs!$C$47*0.137))+0.35*COS(2*PI()*(((Inputs!$C$6)/Inputs!$C$50)+Inputs!$C$47*0.173))+0.2*SIN(2*PI()*(((Model_Data!A231)+(Inputs!$C$6))/(0.5*(Inputs!$C$49+Inputs!$C$50))+Inputs!$C$47*0.097)))+0.3*(2*((SIN(((Model_Data!A231)*12.9898+(Inputs!$C$6)*78.233+Inputs!$C$47*37.719))*43758.5453)-INT((SIN(((Model_Data!A231)*12.9898+(Inputs!$C$6)*78.233+Inputs!$C$47*37.719))*43758.5453)))-1)))</f>
        <v>176.67952286622949</v>
      </c>
      <c r="G231" s="9">
        <f>(Inputs!$C$51*(115*EXP(-(((0)-25)^2)/(4.5^2))+70*EXP(-(((0)+38)^2)/(7^2))*(0.55+0.45*SIN(2*PI()*(Model_Data!A231)/45))+24*SIN(2*PI()*(0)/9+(Model_Data!A231)/18)*EXP(-(((0)+5)^2)/(22^2))+18*SIN(2*PI()*(Model_Data!A231)/70))+Inputs!$C$28*EXP(-(((Model_Data!A231)-Inputs!$C$29)^2)/(2*Inputs!$C$31^2))*EXP(-(((0)-Inputs!$C$30)^2)/(2*Inputs!$C$32^2))+-Inputs!$C$33*EXP(-(((((Model_Data!A231)-Inputs!$C$34)^2)+(((0)-Inputs!$C$35)^2))/(2*Inputs!$C$36^2)))+Inputs!$C$37*(0.55*SIN(2*PI()*(Model_Data!A231)/Inputs!$C$39)+0.35*COS(2*PI()*(0)/Inputs!$C$40)+0.2*SIN(2*PI()*((Model_Data!A231)+(0))/(0.5*(Inputs!$C$39+Inputs!$C$40))))+Inputs!$C$38*SIN(2*PI()*(Model_Data!A231)/Inputs!$C$39)*SIN(2*PI()*(0)/Inputs!$C$40)+-Inputs!$C$41*EXP(-(((0)-Inputs!$C$43)^2)/(2*Inputs!$C$44^2))*EXP(-(((Model_Data!A231)-Inputs!$C$42)^2)/(2*Inputs!$C$45^2))+Inputs!$C$48*(0.7*(0.45*SIN(2*PI()*(((Model_Data!A231)/Inputs!$C$49)+Inputs!$C$47*0.137))+0.35*COS(2*PI()*(((0)/Inputs!$C$50)+Inputs!$C$47*0.173))+0.2*SIN(2*PI()*(((Model_Data!A231)+(0))/(0.5*(Inputs!$C$49+Inputs!$C$50))+Inputs!$C$47*0.097)))+0.3*(2*((SIN(((Model_Data!A231)*12.9898+(0)*78.233+Inputs!$C$47*37.719))*43758.5453)-INT((SIN(((Model_Data!A231)*12.9898+(0)*78.233+Inputs!$C$47*37.719))*43758.5453)))-1)))</f>
        <v>-10.88592803052483</v>
      </c>
      <c r="H231" s="10"/>
      <c r="I231" s="9">
        <f>Model_Data!A231</f>
        <v>54.5</v>
      </c>
      <c r="J231" s="9">
        <f>(Inputs!$C$51*(115*EXP(-(((Inputs!$C$6)-25)^2)/(4.5^2))+70*EXP(-(((Inputs!$C$6)+38)^2)/(7^2))*(0.55+0.45*SIN(2*PI()*(Model_Data!A231)/45))+24*SIN(2*PI()*(Inputs!$C$6)/9+(Model_Data!A231)/18)*EXP(-(((Inputs!$C$6)+5)^2)/(22^2))+18*SIN(2*PI()*(Model_Data!A231)/70))+Inputs!$C$28*EXP(-(((Model_Data!A231)-Inputs!$C$29)^2)/(2*Inputs!$C$31^2))*EXP(-(((Inputs!$C$6)-Inputs!$C$30)^2)/(2*Inputs!$C$32^2))+-Inputs!$C$33*EXP(-(((((Model_Data!A231)-Inputs!$C$34)^2)+(((Inputs!$C$6)-Inputs!$C$35)^2))/(2*Inputs!$C$36^2)))+Inputs!$C$37*(0.55*SIN(2*PI()*(Model_Data!A231)/Inputs!$C$39)+0.35*COS(2*PI()*(Inputs!$C$6)/Inputs!$C$40)+0.2*SIN(2*PI()*((Model_Data!A231)+(Inputs!$C$6))/(0.5*(Inputs!$C$39+Inputs!$C$40))))+Inputs!$C$38*SIN(2*PI()*(Model_Data!A231)/Inputs!$C$39)*SIN(2*PI()*(Inputs!$C$6)/Inputs!$C$40)+-Inputs!$C$41*EXP(-(((Inputs!$C$6)-Inputs!$C$43)^2)/(2*Inputs!$C$44^2))*EXP(-(((Model_Data!A231)-Inputs!$C$42)^2)/(2*Inputs!$C$45^2))+Inputs!$C$48*(0.7*(0.45*SIN(2*PI()*(((Model_Data!A231)/Inputs!$C$49)+Inputs!$C$47*0.137))+0.35*COS(2*PI()*(((Inputs!$C$6)/Inputs!$C$50)+Inputs!$C$47*0.173))+0.2*SIN(2*PI()*(((Model_Data!A231)+(Inputs!$C$6))/(0.5*(Inputs!$C$49+Inputs!$C$50))+Inputs!$C$47*0.097)))+0.3*(2*((SIN(((Model_Data!A231)*12.9898+(Inputs!$C$6)*78.233+Inputs!$C$47*37.719))*43758.5453)-INT((SIN(((Model_Data!A231)*12.9898+(Inputs!$C$6)*78.233+Inputs!$C$47*37.719))*43758.5453)))-1)))</f>
        <v>176.67952286622949</v>
      </c>
      <c r="K231" s="9">
        <f>-((((SQRT((Model_Data!A231)^2+Inputs!$C$6^2+((Model_Data!B231)-((Inputs!$C$51*(115*EXP(-(((Inputs!$C$6)-25)^2)/(4.5^2))+70*EXP(-(((Inputs!$C$6)+38)^2)/(7^2))*(0.55+0.45*SIN(2*PI()*(Model_Data!A231)/45))+24*SIN(2*PI()*(Inputs!$C$6)/9+(Model_Data!A231)/18)*EXP(-(((Inputs!$C$6)+5)^2)/(22^2))+18*SIN(2*PI()*(Model_Data!A231)/70))+Inputs!$C$28*EXP(-(((Model_Data!A231)-Inputs!$C$29)^2)/(2*Inputs!$C$31^2))*EXP(-(((Inputs!$C$6)-Inputs!$C$30)^2)/(2*Inputs!$C$32^2))+-Inputs!$C$33*EXP(-(((((Model_Data!A231)-Inputs!$C$34)^2)+(((Inputs!$C$6)-Inputs!$C$35)^2))/(2*Inputs!$C$36^2)))+Inputs!$C$37*(0.55*SIN(2*PI()*(Model_Data!A231)/Inputs!$C$39)+0.35*COS(2*PI()*(Inputs!$C$6)/Inputs!$C$40)+0.2*SIN(2*PI()*((Model_Data!A231)+(Inputs!$C$6))/(0.5*(Inputs!$C$39+Inputs!$C$40))))+Inputs!$C$38*SIN(2*PI()*(Model_Data!A231)/Inputs!$C$39)*SIN(2*PI()*(Inputs!$C$6)/Inputs!$C$40)+-Inputs!$C$41*EXP(-(((Inputs!$C$6)-Inputs!$C$43)^2)/(2*Inputs!$C$44^2))*EXP(-(((Model_Data!A231)-Inputs!$C$42)^2)/(2*Inputs!$C$45^2))+Inputs!$C$48*(0.7*(0.45*SIN(2*PI()*(((Model_Data!A231)/Inputs!$C$49)+Inputs!$C$47*0.137))+0.35*COS(2*PI()*(((Inputs!$C$6)/Inputs!$C$50)+Inputs!$C$47*0.173))+0.2*SIN(2*PI()*(((Model_Data!A231)+(Inputs!$C$6))/(0.5*(Inputs!$C$49+Inputs!$C$50))+Inputs!$C$47*0.097)))+0.3*(2*((SIN(((Model_Data!A231)*12.9898+(Inputs!$C$6)*78.233+Inputs!$C$47*37.719))*43758.5453)-INT((SIN(((Model_Data!A231)*12.9898+(Inputs!$C$6)*78.233+Inputs!$C$47*37.719))*43758.5453)))-1))))/1000)^2))-(((Model_Data!B231)-((Inputs!$C$51*(115*EXP(-(((0)-25)^2)/(4.5^2))+70*EXP(-(((0)+38)^2)/(7^2))*(0.55+0.45*SIN(2*PI()*(Model_Data!A231)/45))+24*SIN(2*PI()*(0)/9+(Model_Data!A231)/18)*EXP(-(((0)+5)^2)/(22^2))+18*SIN(2*PI()*(Model_Data!A231)/70))+Inputs!$C$28*EXP(-(((Model_Data!A231)-Inputs!$C$29)^2)/(2*Inputs!$C$31^2))*EXP(-(((0)-Inputs!$C$30)^2)/(2*Inputs!$C$32^2))+-Inputs!$C$33*EXP(-(((((Model_Data!A231)-Inputs!$C$34)^2)+(((0)-Inputs!$C$35)^2))/(2*Inputs!$C$36^2)))+Inputs!$C$37*(0.55*SIN(2*PI()*(Model_Data!A231)/Inputs!$C$39)+0.35*COS(2*PI()*(0)/Inputs!$C$40)+0.2*SIN(2*PI()*((Model_Data!A231)+(0))/(0.5*(Inputs!$C$39+Inputs!$C$40))))+Inputs!$C$38*SIN(2*PI()*(Model_Data!A231)/Inputs!$C$39)*SIN(2*PI()*(0)/Inputs!$C$40)+-Inputs!$C$41*EXP(-(((0)-Inputs!$C$43)^2)/(2*Inputs!$C$44^2))*EXP(-(((Model_Data!A231)-Inputs!$C$42)^2)/(2*Inputs!$C$45^2))+Inputs!$C$48*(0.7*(0.45*SIN(2*PI()*(((Model_Data!A231)/Inputs!$C$49)+Inputs!$C$47*0.137))+0.35*COS(2*PI()*(((0)/Inputs!$C$50)+Inputs!$C$47*0.173))+0.2*SIN(2*PI()*(((Model_Data!A231)+(0))/(0.5*(Inputs!$C$49+Inputs!$C$50))+Inputs!$C$47*0.097)))+0.3*(2*((SIN(((Model_Data!A231)*12.9898+(0)*78.233+Inputs!$C$47*37.719))*43758.5453)-INT((SIN(((Model_Data!A231)*12.9898+(0)*78.233+Inputs!$C$47*37.719))*43758.5453)))-1))))/1000)))*1000/Inputs!$C$12)-Model_Data!F231)</f>
        <v>104.29423693537547</v>
      </c>
      <c r="L231" s="10"/>
      <c r="M231" s="9">
        <f>Model_Data!A231</f>
        <v>54.5</v>
      </c>
      <c r="N231" s="9">
        <f>Model_Data!P231</f>
        <v>-405.5363428162093</v>
      </c>
      <c r="O231" s="9">
        <f t="shared" si="6"/>
        <v>-394.60855870711384</v>
      </c>
      <c r="P231" s="9">
        <f>Model_Data!Q231</f>
        <v>-60.891342765196597</v>
      </c>
      <c r="Q231" s="9">
        <f t="shared" si="7"/>
        <v>-59.250534340407491</v>
      </c>
      <c r="R231" s="10"/>
      <c r="S231" s="9">
        <f>Model_Data!A231</f>
        <v>54.5</v>
      </c>
      <c r="T231" s="9">
        <f>Model_Data!B231-Inputs!$C$5</f>
        <v>3.300277777777751</v>
      </c>
      <c r="U231" s="10"/>
      <c r="V231" s="9">
        <f>Model_Data!A231</f>
        <v>54.5</v>
      </c>
      <c r="W231" s="9">
        <f>((SQRT((Model_Data!A231)^2+Inputs!$C$6^2+Inputs!$C$5^2)-Inputs!$C$5)*1000/Inputs!$C$12)</f>
        <v>2510.7283544477896</v>
      </c>
      <c r="X231" s="9">
        <f>Model_Data!F231</f>
        <v>2490.406895668812</v>
      </c>
      <c r="Y231" s="10"/>
      <c r="Z231" s="9">
        <f>Model_Data!A231</f>
        <v>54.5</v>
      </c>
      <c r="AA231" s="9">
        <f>SQRT((Model_Data!A231)^2+Inputs!$C$6^2+((Model_Data!B231)-((Inputs!$C$51*(115*EXP(-(((Inputs!$C$6)-25)^2)/(4.5^2))+70*EXP(-(((Inputs!$C$6)+38)^2)/(7^2))*(0.55+0.45*SIN(2*PI()*(Model_Data!A231)/45))+24*SIN(2*PI()*(Inputs!$C$6)/9+(Model_Data!A231)/18)*EXP(-(((Inputs!$C$6)+5)^2)/(22^2))+18*SIN(2*PI()*(Model_Data!A231)/70))+Inputs!$C$28*EXP(-(((Model_Data!A231)-Inputs!$C$29)^2)/(2*Inputs!$C$31^2))*EXP(-(((Inputs!$C$6)-Inputs!$C$30)^2)/(2*Inputs!$C$32^2))+-Inputs!$C$33*EXP(-(((((Model_Data!A231)-Inputs!$C$34)^2)+(((Inputs!$C$6)-Inputs!$C$35)^2))/(2*Inputs!$C$36^2)))+Inputs!$C$37*(0.55*SIN(2*PI()*(Model_Data!A231)/Inputs!$C$39)+0.35*COS(2*PI()*(Inputs!$C$6)/Inputs!$C$40)+0.2*SIN(2*PI()*((Model_Data!A231)+(Inputs!$C$6))/(0.5*(Inputs!$C$39+Inputs!$C$40))))+Inputs!$C$38*SIN(2*PI()*(Model_Data!A231)/Inputs!$C$39)*SIN(2*PI()*(Inputs!$C$6)/Inputs!$C$40)+-Inputs!$C$41*EXP(-(((Inputs!$C$6)-Inputs!$C$43)^2)/(2*Inputs!$C$44^2))*EXP(-(((Model_Data!A231)-Inputs!$C$42)^2)/(2*Inputs!$C$45^2))+Inputs!$C$48*(0.7*(0.45*SIN(2*PI()*(((Model_Data!A231)/Inputs!$C$49)+Inputs!$C$47*0.137))+0.35*COS(2*PI()*(((Inputs!$C$6)/Inputs!$C$50)+Inputs!$C$47*0.173))+0.2*SIN(2*PI()*(((Model_Data!A231)+(Inputs!$C$6))/(0.5*(Inputs!$C$49+Inputs!$C$50))+Inputs!$C$47*0.097)))+0.3*(2*((SIN(((Model_Data!A231)*12.9898+(Inputs!$C$6)*78.233+Inputs!$C$47*37.719))*43758.5453)-INT((SIN(((Model_Data!A231)*12.9898+(Inputs!$C$6)*78.233+Inputs!$C$47*37.719))*43758.5453)))-1))))/1000)^2)</f>
        <v>407.55844423835379</v>
      </c>
      <c r="AB231" s="9">
        <f>1000*(AA232-AA230)/(Z232-Z230)*Inputs!$C$11</f>
        <v>986.52139676778461</v>
      </c>
      <c r="AC231" s="9">
        <f>-2*AB231/Inputs!$C$13</f>
        <v>-394.60855870711384</v>
      </c>
      <c r="AD231" s="9">
        <f>-2*AB231/Inputs!$C$14</f>
        <v>-59.250534340407491</v>
      </c>
    </row>
    <row r="232" spans="1:30">
      <c r="A232" s="9">
        <f>Model_Data!A232</f>
        <v>55</v>
      </c>
      <c r="B232" s="9">
        <f>((SQRT((Model_Data!A232)^2+Inputs!$C$6^2+Inputs!$C$5^2)-Inputs!$C$5)*1000/Inputs!$C$12)</f>
        <v>2548.7483839189476</v>
      </c>
      <c r="C232" s="9">
        <f>Model_Data!F232</f>
        <v>2527.745531338961</v>
      </c>
      <c r="D232" s="9">
        <f>(((SQRT((Model_Data!A232)^2+Inputs!$C$6^2+((Model_Data!B232)-((Inputs!$C$51*(115*EXP(-(((Inputs!$C$6)-25)^2)/(4.5^2))+70*EXP(-(((Inputs!$C$6)+38)^2)/(7^2))*(0.55+0.45*SIN(2*PI()*(Model_Data!A232)/45))+24*SIN(2*PI()*(Inputs!$C$6)/9+(Model_Data!A232)/18)*EXP(-(((Inputs!$C$6)+5)^2)/(22^2))+18*SIN(2*PI()*(Model_Data!A232)/70))+Inputs!$C$28*EXP(-(((Model_Data!A232)-Inputs!$C$29)^2)/(2*Inputs!$C$31^2))*EXP(-(((Inputs!$C$6)-Inputs!$C$30)^2)/(2*Inputs!$C$32^2))+-Inputs!$C$33*EXP(-(((((Model_Data!A232)-Inputs!$C$34)^2)+(((Inputs!$C$6)-Inputs!$C$35)^2))/(2*Inputs!$C$36^2)))+Inputs!$C$37*(0.55*SIN(2*PI()*(Model_Data!A232)/Inputs!$C$39)+0.35*COS(2*PI()*(Inputs!$C$6)/Inputs!$C$40)+0.2*SIN(2*PI()*((Model_Data!A232)+(Inputs!$C$6))/(0.5*(Inputs!$C$39+Inputs!$C$40))))+Inputs!$C$38*SIN(2*PI()*(Model_Data!A232)/Inputs!$C$39)*SIN(2*PI()*(Inputs!$C$6)/Inputs!$C$40)+-Inputs!$C$41*EXP(-(((Inputs!$C$6)-Inputs!$C$43)^2)/(2*Inputs!$C$44^2))*EXP(-(((Model_Data!A232)-Inputs!$C$42)^2)/(2*Inputs!$C$45^2))+Inputs!$C$48*(0.7*(0.45*SIN(2*PI()*(((Model_Data!A232)/Inputs!$C$49)+Inputs!$C$47*0.137))+0.35*COS(2*PI()*(((Inputs!$C$6)/Inputs!$C$50)+Inputs!$C$47*0.173))+0.2*SIN(2*PI()*(((Model_Data!A232)+(Inputs!$C$6))/(0.5*(Inputs!$C$49+Inputs!$C$50))+Inputs!$C$47*0.097)))+0.3*(2*((SIN(((Model_Data!A232)*12.9898+(Inputs!$C$6)*78.233+Inputs!$C$47*37.719))*43758.5453)-INT((SIN(((Model_Data!A232)*12.9898+(Inputs!$C$6)*78.233+Inputs!$C$47*37.719))*43758.5453)))-1))))/1000)^2))-(((Model_Data!B232)-((Inputs!$C$51*(115*EXP(-(((0)-25)^2)/(4.5^2))+70*EXP(-(((0)+38)^2)/(7^2))*(0.55+0.45*SIN(2*PI()*(Model_Data!A232)/45))+24*SIN(2*PI()*(0)/9+(Model_Data!A232)/18)*EXP(-(((0)+5)^2)/(22^2))+18*SIN(2*PI()*(Model_Data!A232)/70))+Inputs!$C$28*EXP(-(((Model_Data!A232)-Inputs!$C$29)^2)/(2*Inputs!$C$31^2))*EXP(-(((0)-Inputs!$C$30)^2)/(2*Inputs!$C$32^2))+-Inputs!$C$33*EXP(-(((((Model_Data!A232)-Inputs!$C$34)^2)+(((0)-Inputs!$C$35)^2))/(2*Inputs!$C$36^2)))+Inputs!$C$37*(0.55*SIN(2*PI()*(Model_Data!A232)/Inputs!$C$39)+0.35*COS(2*PI()*(0)/Inputs!$C$40)+0.2*SIN(2*PI()*((Model_Data!A232)+(0))/(0.5*(Inputs!$C$39+Inputs!$C$40))))+Inputs!$C$38*SIN(2*PI()*(Model_Data!A232)/Inputs!$C$39)*SIN(2*PI()*(0)/Inputs!$C$40)+-Inputs!$C$41*EXP(-(((0)-Inputs!$C$43)^2)/(2*Inputs!$C$44^2))*EXP(-(((Model_Data!A232)-Inputs!$C$42)^2)/(2*Inputs!$C$45^2))+Inputs!$C$48*(0.7*(0.45*SIN(2*PI()*(((Model_Data!A232)/Inputs!$C$49)+Inputs!$C$47*0.137))+0.35*COS(2*PI()*(((0)/Inputs!$C$50)+Inputs!$C$47*0.173))+0.2*SIN(2*PI()*(((Model_Data!A232)+(0))/(0.5*(Inputs!$C$49+Inputs!$C$50))+Inputs!$C$47*0.097)))+0.3*(2*((SIN(((Model_Data!A232)*12.9898+(0)*78.233+Inputs!$C$47*37.719))*43758.5453)-INT((SIN(((Model_Data!A232)*12.9898+(0)*78.233+Inputs!$C$47*37.719))*43758.5453)))-1))))/1000)))*1000/Inputs!$C$12)</f>
        <v>2421.4732152468773</v>
      </c>
      <c r="E232" s="9">
        <f>Model_Data!A232</f>
        <v>55</v>
      </c>
      <c r="F232" s="9">
        <f>(Inputs!$C$51*(115*EXP(-(((Inputs!$C$6)-25)^2)/(4.5^2))+70*EXP(-(((Inputs!$C$6)+38)^2)/(7^2))*(0.55+0.45*SIN(2*PI()*(Model_Data!A232)/45))+24*SIN(2*PI()*(Inputs!$C$6)/9+(Model_Data!A232)/18)*EXP(-(((Inputs!$C$6)+5)^2)/(22^2))+18*SIN(2*PI()*(Model_Data!A232)/70))+Inputs!$C$28*EXP(-(((Model_Data!A232)-Inputs!$C$29)^2)/(2*Inputs!$C$31^2))*EXP(-(((Inputs!$C$6)-Inputs!$C$30)^2)/(2*Inputs!$C$32^2))+-Inputs!$C$33*EXP(-(((((Model_Data!A232)-Inputs!$C$34)^2)+(((Inputs!$C$6)-Inputs!$C$35)^2))/(2*Inputs!$C$36^2)))+Inputs!$C$37*(0.55*SIN(2*PI()*(Model_Data!A232)/Inputs!$C$39)+0.35*COS(2*PI()*(Inputs!$C$6)/Inputs!$C$40)+0.2*SIN(2*PI()*((Model_Data!A232)+(Inputs!$C$6))/(0.5*(Inputs!$C$39+Inputs!$C$40))))+Inputs!$C$38*SIN(2*PI()*(Model_Data!A232)/Inputs!$C$39)*SIN(2*PI()*(Inputs!$C$6)/Inputs!$C$40)+-Inputs!$C$41*EXP(-(((Inputs!$C$6)-Inputs!$C$43)^2)/(2*Inputs!$C$44^2))*EXP(-(((Model_Data!A232)-Inputs!$C$42)^2)/(2*Inputs!$C$45^2))+Inputs!$C$48*(0.7*(0.45*SIN(2*PI()*(((Model_Data!A232)/Inputs!$C$49)+Inputs!$C$47*0.137))+0.35*COS(2*PI()*(((Inputs!$C$6)/Inputs!$C$50)+Inputs!$C$47*0.173))+0.2*SIN(2*PI()*(((Model_Data!A232)+(Inputs!$C$6))/(0.5*(Inputs!$C$49+Inputs!$C$50))+Inputs!$C$47*0.097)))+0.3*(2*((SIN(((Model_Data!A232)*12.9898+(Inputs!$C$6)*78.233+Inputs!$C$47*37.719))*43758.5453)-INT((SIN(((Model_Data!A232)*12.9898+(Inputs!$C$6)*78.233+Inputs!$C$47*37.719))*43758.5453)))-1)))</f>
        <v>188.50605986382979</v>
      </c>
      <c r="G232" s="9">
        <f>(Inputs!$C$51*(115*EXP(-(((0)-25)^2)/(4.5^2))+70*EXP(-(((0)+38)^2)/(7^2))*(0.55+0.45*SIN(2*PI()*(Model_Data!A232)/45))+24*SIN(2*PI()*(0)/9+(Model_Data!A232)/18)*EXP(-(((0)+5)^2)/(22^2))+18*SIN(2*PI()*(Model_Data!A232)/70))+Inputs!$C$28*EXP(-(((Model_Data!A232)-Inputs!$C$29)^2)/(2*Inputs!$C$31^2))*EXP(-(((0)-Inputs!$C$30)^2)/(2*Inputs!$C$32^2))+-Inputs!$C$33*EXP(-(((((Model_Data!A232)-Inputs!$C$34)^2)+(((0)-Inputs!$C$35)^2))/(2*Inputs!$C$36^2)))+Inputs!$C$37*(0.55*SIN(2*PI()*(Model_Data!A232)/Inputs!$C$39)+0.35*COS(2*PI()*(0)/Inputs!$C$40)+0.2*SIN(2*PI()*((Model_Data!A232)+(0))/(0.5*(Inputs!$C$39+Inputs!$C$40))))+Inputs!$C$38*SIN(2*PI()*(Model_Data!A232)/Inputs!$C$39)*SIN(2*PI()*(0)/Inputs!$C$40)+-Inputs!$C$41*EXP(-(((0)-Inputs!$C$43)^2)/(2*Inputs!$C$44^2))*EXP(-(((Model_Data!A232)-Inputs!$C$42)^2)/(2*Inputs!$C$45^2))+Inputs!$C$48*(0.7*(0.45*SIN(2*PI()*(((Model_Data!A232)/Inputs!$C$49)+Inputs!$C$47*0.137))+0.35*COS(2*PI()*(((0)/Inputs!$C$50)+Inputs!$C$47*0.173))+0.2*SIN(2*PI()*(((Model_Data!A232)+(0))/(0.5*(Inputs!$C$49+Inputs!$C$50))+Inputs!$C$47*0.097)))+0.3*(2*((SIN(((Model_Data!A232)*12.9898+(0)*78.233+Inputs!$C$47*37.719))*43758.5453)-INT((SIN(((Model_Data!A232)*12.9898+(0)*78.233+Inputs!$C$47*37.719))*43758.5453)))-1)))</f>
        <v>-2.7391578251359494</v>
      </c>
      <c r="H232" s="10"/>
      <c r="I232" s="9">
        <f>Model_Data!A232</f>
        <v>55</v>
      </c>
      <c r="J232" s="9">
        <f>(Inputs!$C$51*(115*EXP(-(((Inputs!$C$6)-25)^2)/(4.5^2))+70*EXP(-(((Inputs!$C$6)+38)^2)/(7^2))*(0.55+0.45*SIN(2*PI()*(Model_Data!A232)/45))+24*SIN(2*PI()*(Inputs!$C$6)/9+(Model_Data!A232)/18)*EXP(-(((Inputs!$C$6)+5)^2)/(22^2))+18*SIN(2*PI()*(Model_Data!A232)/70))+Inputs!$C$28*EXP(-(((Model_Data!A232)-Inputs!$C$29)^2)/(2*Inputs!$C$31^2))*EXP(-(((Inputs!$C$6)-Inputs!$C$30)^2)/(2*Inputs!$C$32^2))+-Inputs!$C$33*EXP(-(((((Model_Data!A232)-Inputs!$C$34)^2)+(((Inputs!$C$6)-Inputs!$C$35)^2))/(2*Inputs!$C$36^2)))+Inputs!$C$37*(0.55*SIN(2*PI()*(Model_Data!A232)/Inputs!$C$39)+0.35*COS(2*PI()*(Inputs!$C$6)/Inputs!$C$40)+0.2*SIN(2*PI()*((Model_Data!A232)+(Inputs!$C$6))/(0.5*(Inputs!$C$39+Inputs!$C$40))))+Inputs!$C$38*SIN(2*PI()*(Model_Data!A232)/Inputs!$C$39)*SIN(2*PI()*(Inputs!$C$6)/Inputs!$C$40)+-Inputs!$C$41*EXP(-(((Inputs!$C$6)-Inputs!$C$43)^2)/(2*Inputs!$C$44^2))*EXP(-(((Model_Data!A232)-Inputs!$C$42)^2)/(2*Inputs!$C$45^2))+Inputs!$C$48*(0.7*(0.45*SIN(2*PI()*(((Model_Data!A232)/Inputs!$C$49)+Inputs!$C$47*0.137))+0.35*COS(2*PI()*(((Inputs!$C$6)/Inputs!$C$50)+Inputs!$C$47*0.173))+0.2*SIN(2*PI()*(((Model_Data!A232)+(Inputs!$C$6))/(0.5*(Inputs!$C$49+Inputs!$C$50))+Inputs!$C$47*0.097)))+0.3*(2*((SIN(((Model_Data!A232)*12.9898+(Inputs!$C$6)*78.233+Inputs!$C$47*37.719))*43758.5453)-INT((SIN(((Model_Data!A232)*12.9898+(Inputs!$C$6)*78.233+Inputs!$C$47*37.719))*43758.5453)))-1)))</f>
        <v>188.50605986382979</v>
      </c>
      <c r="K232" s="9">
        <f>-((((SQRT((Model_Data!A232)^2+Inputs!$C$6^2+((Model_Data!B232)-((Inputs!$C$51*(115*EXP(-(((Inputs!$C$6)-25)^2)/(4.5^2))+70*EXP(-(((Inputs!$C$6)+38)^2)/(7^2))*(0.55+0.45*SIN(2*PI()*(Model_Data!A232)/45))+24*SIN(2*PI()*(Inputs!$C$6)/9+(Model_Data!A232)/18)*EXP(-(((Inputs!$C$6)+5)^2)/(22^2))+18*SIN(2*PI()*(Model_Data!A232)/70))+Inputs!$C$28*EXP(-(((Model_Data!A232)-Inputs!$C$29)^2)/(2*Inputs!$C$31^2))*EXP(-(((Inputs!$C$6)-Inputs!$C$30)^2)/(2*Inputs!$C$32^2))+-Inputs!$C$33*EXP(-(((((Model_Data!A232)-Inputs!$C$34)^2)+(((Inputs!$C$6)-Inputs!$C$35)^2))/(2*Inputs!$C$36^2)))+Inputs!$C$37*(0.55*SIN(2*PI()*(Model_Data!A232)/Inputs!$C$39)+0.35*COS(2*PI()*(Inputs!$C$6)/Inputs!$C$40)+0.2*SIN(2*PI()*((Model_Data!A232)+(Inputs!$C$6))/(0.5*(Inputs!$C$39+Inputs!$C$40))))+Inputs!$C$38*SIN(2*PI()*(Model_Data!A232)/Inputs!$C$39)*SIN(2*PI()*(Inputs!$C$6)/Inputs!$C$40)+-Inputs!$C$41*EXP(-(((Inputs!$C$6)-Inputs!$C$43)^2)/(2*Inputs!$C$44^2))*EXP(-(((Model_Data!A232)-Inputs!$C$42)^2)/(2*Inputs!$C$45^2))+Inputs!$C$48*(0.7*(0.45*SIN(2*PI()*(((Model_Data!A232)/Inputs!$C$49)+Inputs!$C$47*0.137))+0.35*COS(2*PI()*(((Inputs!$C$6)/Inputs!$C$50)+Inputs!$C$47*0.173))+0.2*SIN(2*PI()*(((Model_Data!A232)+(Inputs!$C$6))/(0.5*(Inputs!$C$49+Inputs!$C$50))+Inputs!$C$47*0.097)))+0.3*(2*((SIN(((Model_Data!A232)*12.9898+(Inputs!$C$6)*78.233+Inputs!$C$47*37.719))*43758.5453)-INT((SIN(((Model_Data!A232)*12.9898+(Inputs!$C$6)*78.233+Inputs!$C$47*37.719))*43758.5453)))-1))))/1000)^2))-(((Model_Data!B232)-((Inputs!$C$51*(115*EXP(-(((0)-25)^2)/(4.5^2))+70*EXP(-(((0)+38)^2)/(7^2))*(0.55+0.45*SIN(2*PI()*(Model_Data!A232)/45))+24*SIN(2*PI()*(0)/9+(Model_Data!A232)/18)*EXP(-(((0)+5)^2)/(22^2))+18*SIN(2*PI()*(Model_Data!A232)/70))+Inputs!$C$28*EXP(-(((Model_Data!A232)-Inputs!$C$29)^2)/(2*Inputs!$C$31^2))*EXP(-(((0)-Inputs!$C$30)^2)/(2*Inputs!$C$32^2))+-Inputs!$C$33*EXP(-(((((Model_Data!A232)-Inputs!$C$34)^2)+(((0)-Inputs!$C$35)^2))/(2*Inputs!$C$36^2)))+Inputs!$C$37*(0.55*SIN(2*PI()*(Model_Data!A232)/Inputs!$C$39)+0.35*COS(2*PI()*(0)/Inputs!$C$40)+0.2*SIN(2*PI()*((Model_Data!A232)+(0))/(0.5*(Inputs!$C$39+Inputs!$C$40))))+Inputs!$C$38*SIN(2*PI()*(Model_Data!A232)/Inputs!$C$39)*SIN(2*PI()*(0)/Inputs!$C$40)+-Inputs!$C$41*EXP(-(((0)-Inputs!$C$43)^2)/(2*Inputs!$C$44^2))*EXP(-(((Model_Data!A232)-Inputs!$C$42)^2)/(2*Inputs!$C$45^2))+Inputs!$C$48*(0.7*(0.45*SIN(2*PI()*(((Model_Data!A232)/Inputs!$C$49)+Inputs!$C$47*0.137))+0.35*COS(2*PI()*(((0)/Inputs!$C$50)+Inputs!$C$47*0.173))+0.2*SIN(2*PI()*(((Model_Data!A232)+(0))/(0.5*(Inputs!$C$49+Inputs!$C$50))+Inputs!$C$47*0.097)))+0.3*(2*((SIN(((Model_Data!A232)*12.9898+(0)*78.233+Inputs!$C$47*37.719))*43758.5453)-INT((SIN(((Model_Data!A232)*12.9898+(0)*78.233+Inputs!$C$47*37.719))*43758.5453)))-1))))/1000)))*1000/Inputs!$C$12)-Model_Data!F232)</f>
        <v>106.27231609208366</v>
      </c>
      <c r="L232" s="10"/>
      <c r="M232" s="9">
        <f>Model_Data!A232</f>
        <v>55</v>
      </c>
      <c r="N232" s="9">
        <f>Model_Data!P232</f>
        <v>-409.15829536560034</v>
      </c>
      <c r="O232" s="9">
        <f t="shared" si="6"/>
        <v>-399.95734030653693</v>
      </c>
      <c r="P232" s="9">
        <f>Model_Data!Q232</f>
        <v>-61.435179484324379</v>
      </c>
      <c r="Q232" s="9">
        <f t="shared" si="7"/>
        <v>-60.053654700681228</v>
      </c>
      <c r="R232" s="10"/>
      <c r="S232" s="9">
        <f>Model_Data!A232</f>
        <v>55</v>
      </c>
      <c r="T232" s="9">
        <f>Model_Data!B232-Inputs!$C$5</f>
        <v>3.3611111111110858</v>
      </c>
      <c r="U232" s="10"/>
      <c r="V232" s="9">
        <f>Model_Data!A232</f>
        <v>55</v>
      </c>
      <c r="W232" s="9">
        <f>((SQRT((Model_Data!A232)^2+Inputs!$C$6^2+Inputs!$C$5^2)-Inputs!$C$5)*1000/Inputs!$C$12)</f>
        <v>2548.7483839189476</v>
      </c>
      <c r="X232" s="9">
        <f>Model_Data!F232</f>
        <v>2527.745531338961</v>
      </c>
      <c r="Y232" s="10"/>
      <c r="Z232" s="9">
        <f>Model_Data!A232</f>
        <v>55</v>
      </c>
      <c r="AA232" s="9">
        <f>SQRT((Model_Data!A232)^2+Inputs!$C$6^2+((Model_Data!B232)-((Inputs!$C$51*(115*EXP(-(((Inputs!$C$6)-25)^2)/(4.5^2))+70*EXP(-(((Inputs!$C$6)+38)^2)/(7^2))*(0.55+0.45*SIN(2*PI()*(Model_Data!A232)/45))+24*SIN(2*PI()*(Inputs!$C$6)/9+(Model_Data!A232)/18)*EXP(-(((Inputs!$C$6)+5)^2)/(22^2))+18*SIN(2*PI()*(Model_Data!A232)/70))+Inputs!$C$28*EXP(-(((Model_Data!A232)-Inputs!$C$29)^2)/(2*Inputs!$C$31^2))*EXP(-(((Inputs!$C$6)-Inputs!$C$30)^2)/(2*Inputs!$C$32^2))+-Inputs!$C$33*EXP(-(((((Model_Data!A232)-Inputs!$C$34)^2)+(((Inputs!$C$6)-Inputs!$C$35)^2))/(2*Inputs!$C$36^2)))+Inputs!$C$37*(0.55*SIN(2*PI()*(Model_Data!A232)/Inputs!$C$39)+0.35*COS(2*PI()*(Inputs!$C$6)/Inputs!$C$40)+0.2*SIN(2*PI()*((Model_Data!A232)+(Inputs!$C$6))/(0.5*(Inputs!$C$39+Inputs!$C$40))))+Inputs!$C$38*SIN(2*PI()*(Model_Data!A232)/Inputs!$C$39)*SIN(2*PI()*(Inputs!$C$6)/Inputs!$C$40)+-Inputs!$C$41*EXP(-(((Inputs!$C$6)-Inputs!$C$43)^2)/(2*Inputs!$C$44^2))*EXP(-(((Model_Data!A232)-Inputs!$C$42)^2)/(2*Inputs!$C$45^2))+Inputs!$C$48*(0.7*(0.45*SIN(2*PI()*(((Model_Data!A232)/Inputs!$C$49)+Inputs!$C$47*0.137))+0.35*COS(2*PI()*(((Inputs!$C$6)/Inputs!$C$50)+Inputs!$C$47*0.173))+0.2*SIN(2*PI()*(((Model_Data!A232)+(Inputs!$C$6))/(0.5*(Inputs!$C$49+Inputs!$C$50))+Inputs!$C$47*0.097)))+0.3*(2*((SIN(((Model_Data!A232)*12.9898+(Inputs!$C$6)*78.233+Inputs!$C$47*37.719))*43758.5453)-INT((SIN(((Model_Data!A232)*12.9898+(Inputs!$C$6)*78.233+Inputs!$C$47*37.719))*43758.5453)))-1))))/1000)^2)</f>
        <v>407.67407259207567</v>
      </c>
      <c r="AB232" s="9">
        <f>1000*(AA233-AA231)/(Z233-Z231)*Inputs!$C$11</f>
        <v>999.89335076634234</v>
      </c>
      <c r="AC232" s="9">
        <f>-2*AB232/Inputs!$C$13</f>
        <v>-399.95734030653693</v>
      </c>
      <c r="AD232" s="9">
        <f>-2*AB232/Inputs!$C$14</f>
        <v>-60.053654700681228</v>
      </c>
    </row>
    <row r="233" spans="1:30">
      <c r="A233" s="9">
        <f>Model_Data!A233</f>
        <v>55.5</v>
      </c>
      <c r="B233" s="9">
        <f>((SQRT((Model_Data!A233)^2+Inputs!$C$6^2+Inputs!$C$5^2)-Inputs!$C$5)*1000/Inputs!$C$12)</f>
        <v>2587.1091815287296</v>
      </c>
      <c r="C233" s="9">
        <f>Model_Data!F233</f>
        <v>2565.4077051733684</v>
      </c>
      <c r="D233" s="9">
        <f>(((SQRT((Model_Data!A233)^2+Inputs!$C$6^2+((Model_Data!B233)-((Inputs!$C$51*(115*EXP(-(((Inputs!$C$6)-25)^2)/(4.5^2))+70*EXP(-(((Inputs!$C$6)+38)^2)/(7^2))*(0.55+0.45*SIN(2*PI()*(Model_Data!A233)/45))+24*SIN(2*PI()*(Inputs!$C$6)/9+(Model_Data!A233)/18)*EXP(-(((Inputs!$C$6)+5)^2)/(22^2))+18*SIN(2*PI()*(Model_Data!A233)/70))+Inputs!$C$28*EXP(-(((Model_Data!A233)-Inputs!$C$29)^2)/(2*Inputs!$C$31^2))*EXP(-(((Inputs!$C$6)-Inputs!$C$30)^2)/(2*Inputs!$C$32^2))+-Inputs!$C$33*EXP(-(((((Model_Data!A233)-Inputs!$C$34)^2)+(((Inputs!$C$6)-Inputs!$C$35)^2))/(2*Inputs!$C$36^2)))+Inputs!$C$37*(0.55*SIN(2*PI()*(Model_Data!A233)/Inputs!$C$39)+0.35*COS(2*PI()*(Inputs!$C$6)/Inputs!$C$40)+0.2*SIN(2*PI()*((Model_Data!A233)+(Inputs!$C$6))/(0.5*(Inputs!$C$39+Inputs!$C$40))))+Inputs!$C$38*SIN(2*PI()*(Model_Data!A233)/Inputs!$C$39)*SIN(2*PI()*(Inputs!$C$6)/Inputs!$C$40)+-Inputs!$C$41*EXP(-(((Inputs!$C$6)-Inputs!$C$43)^2)/(2*Inputs!$C$44^2))*EXP(-(((Model_Data!A233)-Inputs!$C$42)^2)/(2*Inputs!$C$45^2))+Inputs!$C$48*(0.7*(0.45*SIN(2*PI()*(((Model_Data!A233)/Inputs!$C$49)+Inputs!$C$47*0.137))+0.35*COS(2*PI()*(((Inputs!$C$6)/Inputs!$C$50)+Inputs!$C$47*0.173))+0.2*SIN(2*PI()*(((Model_Data!A233)+(Inputs!$C$6))/(0.5*(Inputs!$C$49+Inputs!$C$50))+Inputs!$C$47*0.097)))+0.3*(2*((SIN(((Model_Data!A233)*12.9898+(Inputs!$C$6)*78.233+Inputs!$C$47*37.719))*43758.5453)-INT((SIN(((Model_Data!A233)*12.9898+(Inputs!$C$6)*78.233+Inputs!$C$47*37.719))*43758.5453)))-1))))/1000)^2))-(((Model_Data!B233)-((Inputs!$C$51*(115*EXP(-(((0)-25)^2)/(4.5^2))+70*EXP(-(((0)+38)^2)/(7^2))*(0.55+0.45*SIN(2*PI()*(Model_Data!A233)/45))+24*SIN(2*PI()*(0)/9+(Model_Data!A233)/18)*EXP(-(((0)+5)^2)/(22^2))+18*SIN(2*PI()*(Model_Data!A233)/70))+Inputs!$C$28*EXP(-(((Model_Data!A233)-Inputs!$C$29)^2)/(2*Inputs!$C$31^2))*EXP(-(((0)-Inputs!$C$30)^2)/(2*Inputs!$C$32^2))+-Inputs!$C$33*EXP(-(((((Model_Data!A233)-Inputs!$C$34)^2)+(((0)-Inputs!$C$35)^2))/(2*Inputs!$C$36^2)))+Inputs!$C$37*(0.55*SIN(2*PI()*(Model_Data!A233)/Inputs!$C$39)+0.35*COS(2*PI()*(0)/Inputs!$C$40)+0.2*SIN(2*PI()*((Model_Data!A233)+(0))/(0.5*(Inputs!$C$39+Inputs!$C$40))))+Inputs!$C$38*SIN(2*PI()*(Model_Data!A233)/Inputs!$C$39)*SIN(2*PI()*(0)/Inputs!$C$40)+-Inputs!$C$41*EXP(-(((0)-Inputs!$C$43)^2)/(2*Inputs!$C$44^2))*EXP(-(((Model_Data!A233)-Inputs!$C$42)^2)/(2*Inputs!$C$45^2))+Inputs!$C$48*(0.7*(0.45*SIN(2*PI()*(((Model_Data!A233)/Inputs!$C$49)+Inputs!$C$47*0.137))+0.35*COS(2*PI()*(((0)/Inputs!$C$50)+Inputs!$C$47*0.173))+0.2*SIN(2*PI()*(((Model_Data!A233)+(0))/(0.5*(Inputs!$C$49+Inputs!$C$50))+Inputs!$C$47*0.097)))+0.3*(2*((SIN(((Model_Data!A233)*12.9898+(0)*78.233+Inputs!$C$47*37.719))*43758.5453)-INT((SIN(((Model_Data!A233)*12.9898+(0)*78.233+Inputs!$C$47*37.719))*43758.5453)))-1))))/1000)))*1000/Inputs!$C$12)</f>
        <v>2460.3255515535297</v>
      </c>
      <c r="E233" s="9">
        <f>Model_Data!A233</f>
        <v>55.5</v>
      </c>
      <c r="F233" s="9">
        <f>(Inputs!$C$51*(115*EXP(-(((Inputs!$C$6)-25)^2)/(4.5^2))+70*EXP(-(((Inputs!$C$6)+38)^2)/(7^2))*(0.55+0.45*SIN(2*PI()*(Model_Data!A233)/45))+24*SIN(2*PI()*(Inputs!$C$6)/9+(Model_Data!A233)/18)*EXP(-(((Inputs!$C$6)+5)^2)/(22^2))+18*SIN(2*PI()*(Model_Data!A233)/70))+Inputs!$C$28*EXP(-(((Model_Data!A233)-Inputs!$C$29)^2)/(2*Inputs!$C$31^2))*EXP(-(((Inputs!$C$6)-Inputs!$C$30)^2)/(2*Inputs!$C$32^2))+-Inputs!$C$33*EXP(-(((((Model_Data!A233)-Inputs!$C$34)^2)+(((Inputs!$C$6)-Inputs!$C$35)^2))/(2*Inputs!$C$36^2)))+Inputs!$C$37*(0.55*SIN(2*PI()*(Model_Data!A233)/Inputs!$C$39)+0.35*COS(2*PI()*(Inputs!$C$6)/Inputs!$C$40)+0.2*SIN(2*PI()*((Model_Data!A233)+(Inputs!$C$6))/(0.5*(Inputs!$C$39+Inputs!$C$40))))+Inputs!$C$38*SIN(2*PI()*(Model_Data!A233)/Inputs!$C$39)*SIN(2*PI()*(Inputs!$C$6)/Inputs!$C$40)+-Inputs!$C$41*EXP(-(((Inputs!$C$6)-Inputs!$C$43)^2)/(2*Inputs!$C$44^2))*EXP(-(((Model_Data!A233)-Inputs!$C$42)^2)/(2*Inputs!$C$45^2))+Inputs!$C$48*(0.7*(0.45*SIN(2*PI()*(((Model_Data!A233)/Inputs!$C$49)+Inputs!$C$47*0.137))+0.35*COS(2*PI()*(((Inputs!$C$6)/Inputs!$C$50)+Inputs!$C$47*0.173))+0.2*SIN(2*PI()*(((Model_Data!A233)+(Inputs!$C$6))/(0.5*(Inputs!$C$49+Inputs!$C$50))+Inputs!$C$47*0.097)))+0.3*(2*((SIN(((Model_Data!A233)*12.9898+(Inputs!$C$6)*78.233+Inputs!$C$47*37.719))*43758.5453)-INT((SIN(((Model_Data!A233)*12.9898+(Inputs!$C$6)*78.233+Inputs!$C$47*37.719))*43758.5453)))-1)))</f>
        <v>182.552269274569</v>
      </c>
      <c r="G233" s="9">
        <f>(Inputs!$C$51*(115*EXP(-(((0)-25)^2)/(4.5^2))+70*EXP(-(((0)+38)^2)/(7^2))*(0.55+0.45*SIN(2*PI()*(Model_Data!A233)/45))+24*SIN(2*PI()*(0)/9+(Model_Data!A233)/18)*EXP(-(((0)+5)^2)/(22^2))+18*SIN(2*PI()*(Model_Data!A233)/70))+Inputs!$C$28*EXP(-(((Model_Data!A233)-Inputs!$C$29)^2)/(2*Inputs!$C$31^2))*EXP(-(((0)-Inputs!$C$30)^2)/(2*Inputs!$C$32^2))+-Inputs!$C$33*EXP(-(((((Model_Data!A233)-Inputs!$C$34)^2)+(((0)-Inputs!$C$35)^2))/(2*Inputs!$C$36^2)))+Inputs!$C$37*(0.55*SIN(2*PI()*(Model_Data!A233)/Inputs!$C$39)+0.35*COS(2*PI()*(0)/Inputs!$C$40)+0.2*SIN(2*PI()*((Model_Data!A233)+(0))/(0.5*(Inputs!$C$39+Inputs!$C$40))))+Inputs!$C$38*SIN(2*PI()*(Model_Data!A233)/Inputs!$C$39)*SIN(2*PI()*(0)/Inputs!$C$40)+-Inputs!$C$41*EXP(-(((0)-Inputs!$C$43)^2)/(2*Inputs!$C$44^2))*EXP(-(((Model_Data!A233)-Inputs!$C$42)^2)/(2*Inputs!$C$45^2))+Inputs!$C$48*(0.7*(0.45*SIN(2*PI()*(((Model_Data!A233)/Inputs!$C$49)+Inputs!$C$47*0.137))+0.35*COS(2*PI()*(((0)/Inputs!$C$50)+Inputs!$C$47*0.173))+0.2*SIN(2*PI()*(((Model_Data!A233)+(0))/(0.5*(Inputs!$C$49+Inputs!$C$50))+Inputs!$C$47*0.097)))+0.3*(2*((SIN(((Model_Data!A233)*12.9898+(0)*78.233+Inputs!$C$47*37.719))*43758.5453)-INT((SIN(((Model_Data!A233)*12.9898+(0)*78.233+Inputs!$C$47*37.719))*43758.5453)))-1)))</f>
        <v>-6.5380942800848239</v>
      </c>
      <c r="H233" s="10"/>
      <c r="I233" s="9">
        <f>Model_Data!A233</f>
        <v>55.5</v>
      </c>
      <c r="J233" s="9">
        <f>(Inputs!$C$51*(115*EXP(-(((Inputs!$C$6)-25)^2)/(4.5^2))+70*EXP(-(((Inputs!$C$6)+38)^2)/(7^2))*(0.55+0.45*SIN(2*PI()*(Model_Data!A233)/45))+24*SIN(2*PI()*(Inputs!$C$6)/9+(Model_Data!A233)/18)*EXP(-(((Inputs!$C$6)+5)^2)/(22^2))+18*SIN(2*PI()*(Model_Data!A233)/70))+Inputs!$C$28*EXP(-(((Model_Data!A233)-Inputs!$C$29)^2)/(2*Inputs!$C$31^2))*EXP(-(((Inputs!$C$6)-Inputs!$C$30)^2)/(2*Inputs!$C$32^2))+-Inputs!$C$33*EXP(-(((((Model_Data!A233)-Inputs!$C$34)^2)+(((Inputs!$C$6)-Inputs!$C$35)^2))/(2*Inputs!$C$36^2)))+Inputs!$C$37*(0.55*SIN(2*PI()*(Model_Data!A233)/Inputs!$C$39)+0.35*COS(2*PI()*(Inputs!$C$6)/Inputs!$C$40)+0.2*SIN(2*PI()*((Model_Data!A233)+(Inputs!$C$6))/(0.5*(Inputs!$C$39+Inputs!$C$40))))+Inputs!$C$38*SIN(2*PI()*(Model_Data!A233)/Inputs!$C$39)*SIN(2*PI()*(Inputs!$C$6)/Inputs!$C$40)+-Inputs!$C$41*EXP(-(((Inputs!$C$6)-Inputs!$C$43)^2)/(2*Inputs!$C$44^2))*EXP(-(((Model_Data!A233)-Inputs!$C$42)^2)/(2*Inputs!$C$45^2))+Inputs!$C$48*(0.7*(0.45*SIN(2*PI()*(((Model_Data!A233)/Inputs!$C$49)+Inputs!$C$47*0.137))+0.35*COS(2*PI()*(((Inputs!$C$6)/Inputs!$C$50)+Inputs!$C$47*0.173))+0.2*SIN(2*PI()*(((Model_Data!A233)+(Inputs!$C$6))/(0.5*(Inputs!$C$49+Inputs!$C$50))+Inputs!$C$47*0.097)))+0.3*(2*((SIN(((Model_Data!A233)*12.9898+(Inputs!$C$6)*78.233+Inputs!$C$47*37.719))*43758.5453)-INT((SIN(((Model_Data!A233)*12.9898+(Inputs!$C$6)*78.233+Inputs!$C$47*37.719))*43758.5453)))-1)))</f>
        <v>182.552269274569</v>
      </c>
      <c r="K233" s="9">
        <f>-((((SQRT((Model_Data!A233)^2+Inputs!$C$6^2+((Model_Data!B233)-((Inputs!$C$51*(115*EXP(-(((Inputs!$C$6)-25)^2)/(4.5^2))+70*EXP(-(((Inputs!$C$6)+38)^2)/(7^2))*(0.55+0.45*SIN(2*PI()*(Model_Data!A233)/45))+24*SIN(2*PI()*(Inputs!$C$6)/9+(Model_Data!A233)/18)*EXP(-(((Inputs!$C$6)+5)^2)/(22^2))+18*SIN(2*PI()*(Model_Data!A233)/70))+Inputs!$C$28*EXP(-(((Model_Data!A233)-Inputs!$C$29)^2)/(2*Inputs!$C$31^2))*EXP(-(((Inputs!$C$6)-Inputs!$C$30)^2)/(2*Inputs!$C$32^2))+-Inputs!$C$33*EXP(-(((((Model_Data!A233)-Inputs!$C$34)^2)+(((Inputs!$C$6)-Inputs!$C$35)^2))/(2*Inputs!$C$36^2)))+Inputs!$C$37*(0.55*SIN(2*PI()*(Model_Data!A233)/Inputs!$C$39)+0.35*COS(2*PI()*(Inputs!$C$6)/Inputs!$C$40)+0.2*SIN(2*PI()*((Model_Data!A233)+(Inputs!$C$6))/(0.5*(Inputs!$C$39+Inputs!$C$40))))+Inputs!$C$38*SIN(2*PI()*(Model_Data!A233)/Inputs!$C$39)*SIN(2*PI()*(Inputs!$C$6)/Inputs!$C$40)+-Inputs!$C$41*EXP(-(((Inputs!$C$6)-Inputs!$C$43)^2)/(2*Inputs!$C$44^2))*EXP(-(((Model_Data!A233)-Inputs!$C$42)^2)/(2*Inputs!$C$45^2))+Inputs!$C$48*(0.7*(0.45*SIN(2*PI()*(((Model_Data!A233)/Inputs!$C$49)+Inputs!$C$47*0.137))+0.35*COS(2*PI()*(((Inputs!$C$6)/Inputs!$C$50)+Inputs!$C$47*0.173))+0.2*SIN(2*PI()*(((Model_Data!A233)+(Inputs!$C$6))/(0.5*(Inputs!$C$49+Inputs!$C$50))+Inputs!$C$47*0.097)))+0.3*(2*((SIN(((Model_Data!A233)*12.9898+(Inputs!$C$6)*78.233+Inputs!$C$47*37.719))*43758.5453)-INT((SIN(((Model_Data!A233)*12.9898+(Inputs!$C$6)*78.233+Inputs!$C$47*37.719))*43758.5453)))-1))))/1000)^2))-(((Model_Data!B233)-((Inputs!$C$51*(115*EXP(-(((0)-25)^2)/(4.5^2))+70*EXP(-(((0)+38)^2)/(7^2))*(0.55+0.45*SIN(2*PI()*(Model_Data!A233)/45))+24*SIN(2*PI()*(0)/9+(Model_Data!A233)/18)*EXP(-(((0)+5)^2)/(22^2))+18*SIN(2*PI()*(Model_Data!A233)/70))+Inputs!$C$28*EXP(-(((Model_Data!A233)-Inputs!$C$29)^2)/(2*Inputs!$C$31^2))*EXP(-(((0)-Inputs!$C$30)^2)/(2*Inputs!$C$32^2))+-Inputs!$C$33*EXP(-(((((Model_Data!A233)-Inputs!$C$34)^2)+(((0)-Inputs!$C$35)^2))/(2*Inputs!$C$36^2)))+Inputs!$C$37*(0.55*SIN(2*PI()*(Model_Data!A233)/Inputs!$C$39)+0.35*COS(2*PI()*(0)/Inputs!$C$40)+0.2*SIN(2*PI()*((Model_Data!A233)+(0))/(0.5*(Inputs!$C$39+Inputs!$C$40))))+Inputs!$C$38*SIN(2*PI()*(Model_Data!A233)/Inputs!$C$39)*SIN(2*PI()*(0)/Inputs!$C$40)+-Inputs!$C$41*EXP(-(((0)-Inputs!$C$43)^2)/(2*Inputs!$C$44^2))*EXP(-(((Model_Data!A233)-Inputs!$C$42)^2)/(2*Inputs!$C$45^2))+Inputs!$C$48*(0.7*(0.45*SIN(2*PI()*(((Model_Data!A233)/Inputs!$C$49)+Inputs!$C$47*0.137))+0.35*COS(2*PI()*(((0)/Inputs!$C$50)+Inputs!$C$47*0.173))+0.2*SIN(2*PI()*(((Model_Data!A233)+(0))/(0.5*(Inputs!$C$49+Inputs!$C$50))+Inputs!$C$47*0.097)))+0.3*(2*((SIN(((Model_Data!A233)*12.9898+(0)*78.233+Inputs!$C$47*37.719))*43758.5453)-INT((SIN(((Model_Data!A233)*12.9898+(0)*78.233+Inputs!$C$47*37.719))*43758.5453)))-1))))/1000)))*1000/Inputs!$C$12)-Model_Data!F233)</f>
        <v>105.08215361983866</v>
      </c>
      <c r="L233" s="10"/>
      <c r="M233" s="9">
        <f>Model_Data!A233</f>
        <v>55.5</v>
      </c>
      <c r="N233" s="9">
        <f>Model_Data!P233</f>
        <v>-412.77764187212813</v>
      </c>
      <c r="O233" s="9">
        <f t="shared" si="6"/>
        <v>-415.40896912911194</v>
      </c>
      <c r="P233" s="9">
        <f>Model_Data!Q233</f>
        <v>-61.978624905724956</v>
      </c>
      <c r="Q233" s="9">
        <f t="shared" si="7"/>
        <v>-62.373719088455253</v>
      </c>
      <c r="R233" s="10"/>
      <c r="S233" s="9">
        <f>Model_Data!A233</f>
        <v>55.5</v>
      </c>
      <c r="T233" s="9">
        <f>Model_Data!B233-Inputs!$C$5</f>
        <v>3.4225000000000136</v>
      </c>
      <c r="U233" s="10"/>
      <c r="V233" s="9">
        <f>Model_Data!A233</f>
        <v>55.5</v>
      </c>
      <c r="W233" s="9">
        <f>((SQRT((Model_Data!A233)^2+Inputs!$C$6^2+Inputs!$C$5^2)-Inputs!$C$5)*1000/Inputs!$C$12)</f>
        <v>2587.1091815287296</v>
      </c>
      <c r="X233" s="9">
        <f>Model_Data!F233</f>
        <v>2565.4077051733684</v>
      </c>
      <c r="Y233" s="10"/>
      <c r="Z233" s="9">
        <f>Model_Data!A233</f>
        <v>55.5</v>
      </c>
      <c r="AA233" s="9">
        <f>SQRT((Model_Data!A233)^2+Inputs!$C$6^2+((Model_Data!B233)-((Inputs!$C$51*(115*EXP(-(((Inputs!$C$6)-25)^2)/(4.5^2))+70*EXP(-(((Inputs!$C$6)+38)^2)/(7^2))*(0.55+0.45*SIN(2*PI()*(Model_Data!A233)/45))+24*SIN(2*PI()*(Inputs!$C$6)/9+(Model_Data!A233)/18)*EXP(-(((Inputs!$C$6)+5)^2)/(22^2))+18*SIN(2*PI()*(Model_Data!A233)/70))+Inputs!$C$28*EXP(-(((Model_Data!A233)-Inputs!$C$29)^2)/(2*Inputs!$C$31^2))*EXP(-(((Inputs!$C$6)-Inputs!$C$30)^2)/(2*Inputs!$C$32^2))+-Inputs!$C$33*EXP(-(((((Model_Data!A233)-Inputs!$C$34)^2)+(((Inputs!$C$6)-Inputs!$C$35)^2))/(2*Inputs!$C$36^2)))+Inputs!$C$37*(0.55*SIN(2*PI()*(Model_Data!A233)/Inputs!$C$39)+0.35*COS(2*PI()*(Inputs!$C$6)/Inputs!$C$40)+0.2*SIN(2*PI()*((Model_Data!A233)+(Inputs!$C$6))/(0.5*(Inputs!$C$39+Inputs!$C$40))))+Inputs!$C$38*SIN(2*PI()*(Model_Data!A233)/Inputs!$C$39)*SIN(2*PI()*(Inputs!$C$6)/Inputs!$C$40)+-Inputs!$C$41*EXP(-(((Inputs!$C$6)-Inputs!$C$43)^2)/(2*Inputs!$C$44^2))*EXP(-(((Model_Data!A233)-Inputs!$C$42)^2)/(2*Inputs!$C$45^2))+Inputs!$C$48*(0.7*(0.45*SIN(2*PI()*(((Model_Data!A233)/Inputs!$C$49)+Inputs!$C$47*0.137))+0.35*COS(2*PI()*(((Inputs!$C$6)/Inputs!$C$50)+Inputs!$C$47*0.173))+0.2*SIN(2*PI()*(((Model_Data!A233)+(Inputs!$C$6))/(0.5*(Inputs!$C$49+Inputs!$C$50))+Inputs!$C$47*0.097)))+0.3*(2*((SIN(((Model_Data!A233)*12.9898+(Inputs!$C$6)*78.233+Inputs!$C$47*37.719))*43758.5453)-INT((SIN(((Model_Data!A233)*12.9898+(Inputs!$C$6)*78.233+Inputs!$C$47*37.719))*43758.5453)))-1))))/1000)^2)</f>
        <v>407.80841757604537</v>
      </c>
      <c r="AB233" s="9">
        <f>1000*(AA234-AA232)/(Z234-Z232)*Inputs!$C$11</f>
        <v>1038.5224228227798</v>
      </c>
      <c r="AC233" s="9">
        <f>-2*AB233/Inputs!$C$13</f>
        <v>-415.40896912911194</v>
      </c>
      <c r="AD233" s="9">
        <f>-2*AB233/Inputs!$C$14</f>
        <v>-62.373719088455253</v>
      </c>
    </row>
    <row r="234" spans="1:30">
      <c r="A234" s="9">
        <f>Model_Data!A234</f>
        <v>56</v>
      </c>
      <c r="B234" s="9">
        <f>((SQRT((Model_Data!A234)^2+Inputs!$C$6^2+Inputs!$C$5^2)-Inputs!$C$5)*1000/Inputs!$C$12)</f>
        <v>2625.8105747797149</v>
      </c>
      <c r="C234" s="9">
        <f>Model_Data!F234</f>
        <v>2603.3929579329656</v>
      </c>
      <c r="D234" s="9">
        <f>(((SQRT((Model_Data!A234)^2+Inputs!$C$6^2+((Model_Data!B234)-((Inputs!$C$51*(115*EXP(-(((Inputs!$C$6)-25)^2)/(4.5^2))+70*EXP(-(((Inputs!$C$6)+38)^2)/(7^2))*(0.55+0.45*SIN(2*PI()*(Model_Data!A234)/45))+24*SIN(2*PI()*(Inputs!$C$6)/9+(Model_Data!A234)/18)*EXP(-(((Inputs!$C$6)+5)^2)/(22^2))+18*SIN(2*PI()*(Model_Data!A234)/70))+Inputs!$C$28*EXP(-(((Model_Data!A234)-Inputs!$C$29)^2)/(2*Inputs!$C$31^2))*EXP(-(((Inputs!$C$6)-Inputs!$C$30)^2)/(2*Inputs!$C$32^2))+-Inputs!$C$33*EXP(-(((((Model_Data!A234)-Inputs!$C$34)^2)+(((Inputs!$C$6)-Inputs!$C$35)^2))/(2*Inputs!$C$36^2)))+Inputs!$C$37*(0.55*SIN(2*PI()*(Model_Data!A234)/Inputs!$C$39)+0.35*COS(2*PI()*(Inputs!$C$6)/Inputs!$C$40)+0.2*SIN(2*PI()*((Model_Data!A234)+(Inputs!$C$6))/(0.5*(Inputs!$C$39+Inputs!$C$40))))+Inputs!$C$38*SIN(2*PI()*(Model_Data!A234)/Inputs!$C$39)*SIN(2*PI()*(Inputs!$C$6)/Inputs!$C$40)+-Inputs!$C$41*EXP(-(((Inputs!$C$6)-Inputs!$C$43)^2)/(2*Inputs!$C$44^2))*EXP(-(((Model_Data!A234)-Inputs!$C$42)^2)/(2*Inputs!$C$45^2))+Inputs!$C$48*(0.7*(0.45*SIN(2*PI()*(((Model_Data!A234)/Inputs!$C$49)+Inputs!$C$47*0.137))+0.35*COS(2*PI()*(((Inputs!$C$6)/Inputs!$C$50)+Inputs!$C$47*0.173))+0.2*SIN(2*PI()*(((Model_Data!A234)+(Inputs!$C$6))/(0.5*(Inputs!$C$49+Inputs!$C$50))+Inputs!$C$47*0.097)))+0.3*(2*((SIN(((Model_Data!A234)*12.9898+(Inputs!$C$6)*78.233+Inputs!$C$47*37.719))*43758.5453)-INT((SIN(((Model_Data!A234)*12.9898+(Inputs!$C$6)*78.233+Inputs!$C$47*37.719))*43758.5453)))-1))))/1000)^2))-(((Model_Data!B234)-((Inputs!$C$51*(115*EXP(-(((0)-25)^2)/(4.5^2))+70*EXP(-(((0)+38)^2)/(7^2))*(0.55+0.45*SIN(2*PI()*(Model_Data!A234)/45))+24*SIN(2*PI()*(0)/9+(Model_Data!A234)/18)*EXP(-(((0)+5)^2)/(22^2))+18*SIN(2*PI()*(Model_Data!A234)/70))+Inputs!$C$28*EXP(-(((Model_Data!A234)-Inputs!$C$29)^2)/(2*Inputs!$C$31^2))*EXP(-(((0)-Inputs!$C$30)^2)/(2*Inputs!$C$32^2))+-Inputs!$C$33*EXP(-(((((Model_Data!A234)-Inputs!$C$34)^2)+(((0)-Inputs!$C$35)^2))/(2*Inputs!$C$36^2)))+Inputs!$C$37*(0.55*SIN(2*PI()*(Model_Data!A234)/Inputs!$C$39)+0.35*COS(2*PI()*(0)/Inputs!$C$40)+0.2*SIN(2*PI()*((Model_Data!A234)+(0))/(0.5*(Inputs!$C$39+Inputs!$C$40))))+Inputs!$C$38*SIN(2*PI()*(Model_Data!A234)/Inputs!$C$39)*SIN(2*PI()*(0)/Inputs!$C$40)+-Inputs!$C$41*EXP(-(((0)-Inputs!$C$43)^2)/(2*Inputs!$C$44^2))*EXP(-(((Model_Data!A234)-Inputs!$C$42)^2)/(2*Inputs!$C$45^2))+Inputs!$C$48*(0.7*(0.45*SIN(2*PI()*(((Model_Data!A234)/Inputs!$C$49)+Inputs!$C$47*0.137))+0.35*COS(2*PI()*(((0)/Inputs!$C$50)+Inputs!$C$47*0.173))+0.2*SIN(2*PI()*(((Model_Data!A234)+(0))/(0.5*(Inputs!$C$49+Inputs!$C$50))+Inputs!$C$47*0.097)))+0.3*(2*((SIN(((Model_Data!A234)*12.9898+(0)*78.233+Inputs!$C$47*37.719))*43758.5453)-INT((SIN(((Model_Data!A234)*12.9898+(0)*78.233+Inputs!$C$47*37.719))*43758.5453)))-1))))/1000)))*1000/Inputs!$C$12)</f>
        <v>2497.1356534602714</v>
      </c>
      <c r="E234" s="9">
        <f>Model_Data!A234</f>
        <v>56</v>
      </c>
      <c r="F234" s="9">
        <f>(Inputs!$C$51*(115*EXP(-(((Inputs!$C$6)-25)^2)/(4.5^2))+70*EXP(-(((Inputs!$C$6)+38)^2)/(7^2))*(0.55+0.45*SIN(2*PI()*(Model_Data!A234)/45))+24*SIN(2*PI()*(Inputs!$C$6)/9+(Model_Data!A234)/18)*EXP(-(((Inputs!$C$6)+5)^2)/(22^2))+18*SIN(2*PI()*(Model_Data!A234)/70))+Inputs!$C$28*EXP(-(((Model_Data!A234)-Inputs!$C$29)^2)/(2*Inputs!$C$31^2))*EXP(-(((Inputs!$C$6)-Inputs!$C$30)^2)/(2*Inputs!$C$32^2))+-Inputs!$C$33*EXP(-(((((Model_Data!A234)-Inputs!$C$34)^2)+(((Inputs!$C$6)-Inputs!$C$35)^2))/(2*Inputs!$C$36^2)))+Inputs!$C$37*(0.55*SIN(2*PI()*(Model_Data!A234)/Inputs!$C$39)+0.35*COS(2*PI()*(Inputs!$C$6)/Inputs!$C$40)+0.2*SIN(2*PI()*((Model_Data!A234)+(Inputs!$C$6))/(0.5*(Inputs!$C$39+Inputs!$C$40))))+Inputs!$C$38*SIN(2*PI()*(Model_Data!A234)/Inputs!$C$39)*SIN(2*PI()*(Inputs!$C$6)/Inputs!$C$40)+-Inputs!$C$41*EXP(-(((Inputs!$C$6)-Inputs!$C$43)^2)/(2*Inputs!$C$44^2))*EXP(-(((Model_Data!A234)-Inputs!$C$42)^2)/(2*Inputs!$C$45^2))+Inputs!$C$48*(0.7*(0.45*SIN(2*PI()*(((Model_Data!A234)/Inputs!$C$49)+Inputs!$C$47*0.137))+0.35*COS(2*PI()*(((Inputs!$C$6)/Inputs!$C$50)+Inputs!$C$47*0.173))+0.2*SIN(2*PI()*(((Model_Data!A234)+(Inputs!$C$6))/(0.5*(Inputs!$C$49+Inputs!$C$50))+Inputs!$C$47*0.097)))+0.3*(2*((SIN(((Model_Data!A234)*12.9898+(Inputs!$C$6)*78.233+Inputs!$C$47*37.719))*43758.5453)-INT((SIN(((Model_Data!A234)*12.9898+(Inputs!$C$6)*78.233+Inputs!$C$47*37.719))*43758.5453)))-1)))</f>
        <v>186.90390563134164</v>
      </c>
      <c r="G234" s="9">
        <f>(Inputs!$C$51*(115*EXP(-(((0)-25)^2)/(4.5^2))+70*EXP(-(((0)+38)^2)/(7^2))*(0.55+0.45*SIN(2*PI()*(Model_Data!A234)/45))+24*SIN(2*PI()*(0)/9+(Model_Data!A234)/18)*EXP(-(((0)+5)^2)/(22^2))+18*SIN(2*PI()*(Model_Data!A234)/70))+Inputs!$C$28*EXP(-(((Model_Data!A234)-Inputs!$C$29)^2)/(2*Inputs!$C$31^2))*EXP(-(((0)-Inputs!$C$30)^2)/(2*Inputs!$C$32^2))+-Inputs!$C$33*EXP(-(((((Model_Data!A234)-Inputs!$C$34)^2)+(((0)-Inputs!$C$35)^2))/(2*Inputs!$C$36^2)))+Inputs!$C$37*(0.55*SIN(2*PI()*(Model_Data!A234)/Inputs!$C$39)+0.35*COS(2*PI()*(0)/Inputs!$C$40)+0.2*SIN(2*PI()*((Model_Data!A234)+(0))/(0.5*(Inputs!$C$39+Inputs!$C$40))))+Inputs!$C$38*SIN(2*PI()*(Model_Data!A234)/Inputs!$C$39)*SIN(2*PI()*(0)/Inputs!$C$40)+-Inputs!$C$41*EXP(-(((0)-Inputs!$C$43)^2)/(2*Inputs!$C$44^2))*EXP(-(((Model_Data!A234)-Inputs!$C$42)^2)/(2*Inputs!$C$45^2))+Inputs!$C$48*(0.7*(0.45*SIN(2*PI()*(((Model_Data!A234)/Inputs!$C$49)+Inputs!$C$47*0.137))+0.35*COS(2*PI()*(((0)/Inputs!$C$50)+Inputs!$C$47*0.173))+0.2*SIN(2*PI()*(((Model_Data!A234)+(0))/(0.5*(Inputs!$C$49+Inputs!$C$50))+Inputs!$C$47*0.097)))+0.3*(2*((SIN(((Model_Data!A234)*12.9898+(0)*78.233+Inputs!$C$47*37.719))*43758.5453)-INT((SIN(((Model_Data!A234)*12.9898+(0)*78.233+Inputs!$C$47*37.719))*43758.5453)))-1)))</f>
        <v>-4.3572901776696842</v>
      </c>
      <c r="H234" s="10"/>
      <c r="I234" s="9">
        <f>Model_Data!A234</f>
        <v>56</v>
      </c>
      <c r="J234" s="9">
        <f>(Inputs!$C$51*(115*EXP(-(((Inputs!$C$6)-25)^2)/(4.5^2))+70*EXP(-(((Inputs!$C$6)+38)^2)/(7^2))*(0.55+0.45*SIN(2*PI()*(Model_Data!A234)/45))+24*SIN(2*PI()*(Inputs!$C$6)/9+(Model_Data!A234)/18)*EXP(-(((Inputs!$C$6)+5)^2)/(22^2))+18*SIN(2*PI()*(Model_Data!A234)/70))+Inputs!$C$28*EXP(-(((Model_Data!A234)-Inputs!$C$29)^2)/(2*Inputs!$C$31^2))*EXP(-(((Inputs!$C$6)-Inputs!$C$30)^2)/(2*Inputs!$C$32^2))+-Inputs!$C$33*EXP(-(((((Model_Data!A234)-Inputs!$C$34)^2)+(((Inputs!$C$6)-Inputs!$C$35)^2))/(2*Inputs!$C$36^2)))+Inputs!$C$37*(0.55*SIN(2*PI()*(Model_Data!A234)/Inputs!$C$39)+0.35*COS(2*PI()*(Inputs!$C$6)/Inputs!$C$40)+0.2*SIN(2*PI()*((Model_Data!A234)+(Inputs!$C$6))/(0.5*(Inputs!$C$39+Inputs!$C$40))))+Inputs!$C$38*SIN(2*PI()*(Model_Data!A234)/Inputs!$C$39)*SIN(2*PI()*(Inputs!$C$6)/Inputs!$C$40)+-Inputs!$C$41*EXP(-(((Inputs!$C$6)-Inputs!$C$43)^2)/(2*Inputs!$C$44^2))*EXP(-(((Model_Data!A234)-Inputs!$C$42)^2)/(2*Inputs!$C$45^2))+Inputs!$C$48*(0.7*(0.45*SIN(2*PI()*(((Model_Data!A234)/Inputs!$C$49)+Inputs!$C$47*0.137))+0.35*COS(2*PI()*(((Inputs!$C$6)/Inputs!$C$50)+Inputs!$C$47*0.173))+0.2*SIN(2*PI()*(((Model_Data!A234)+(Inputs!$C$6))/(0.5*(Inputs!$C$49+Inputs!$C$50))+Inputs!$C$47*0.097)))+0.3*(2*((SIN(((Model_Data!A234)*12.9898+(Inputs!$C$6)*78.233+Inputs!$C$47*37.719))*43758.5453)-INT((SIN(((Model_Data!A234)*12.9898+(Inputs!$C$6)*78.233+Inputs!$C$47*37.719))*43758.5453)))-1)))</f>
        <v>186.90390563134164</v>
      </c>
      <c r="K234" s="9">
        <f>-((((SQRT((Model_Data!A234)^2+Inputs!$C$6^2+((Model_Data!B234)-((Inputs!$C$51*(115*EXP(-(((Inputs!$C$6)-25)^2)/(4.5^2))+70*EXP(-(((Inputs!$C$6)+38)^2)/(7^2))*(0.55+0.45*SIN(2*PI()*(Model_Data!A234)/45))+24*SIN(2*PI()*(Inputs!$C$6)/9+(Model_Data!A234)/18)*EXP(-(((Inputs!$C$6)+5)^2)/(22^2))+18*SIN(2*PI()*(Model_Data!A234)/70))+Inputs!$C$28*EXP(-(((Model_Data!A234)-Inputs!$C$29)^2)/(2*Inputs!$C$31^2))*EXP(-(((Inputs!$C$6)-Inputs!$C$30)^2)/(2*Inputs!$C$32^2))+-Inputs!$C$33*EXP(-(((((Model_Data!A234)-Inputs!$C$34)^2)+(((Inputs!$C$6)-Inputs!$C$35)^2))/(2*Inputs!$C$36^2)))+Inputs!$C$37*(0.55*SIN(2*PI()*(Model_Data!A234)/Inputs!$C$39)+0.35*COS(2*PI()*(Inputs!$C$6)/Inputs!$C$40)+0.2*SIN(2*PI()*((Model_Data!A234)+(Inputs!$C$6))/(0.5*(Inputs!$C$39+Inputs!$C$40))))+Inputs!$C$38*SIN(2*PI()*(Model_Data!A234)/Inputs!$C$39)*SIN(2*PI()*(Inputs!$C$6)/Inputs!$C$40)+-Inputs!$C$41*EXP(-(((Inputs!$C$6)-Inputs!$C$43)^2)/(2*Inputs!$C$44^2))*EXP(-(((Model_Data!A234)-Inputs!$C$42)^2)/(2*Inputs!$C$45^2))+Inputs!$C$48*(0.7*(0.45*SIN(2*PI()*(((Model_Data!A234)/Inputs!$C$49)+Inputs!$C$47*0.137))+0.35*COS(2*PI()*(((Inputs!$C$6)/Inputs!$C$50)+Inputs!$C$47*0.173))+0.2*SIN(2*PI()*(((Model_Data!A234)+(Inputs!$C$6))/(0.5*(Inputs!$C$49+Inputs!$C$50))+Inputs!$C$47*0.097)))+0.3*(2*((SIN(((Model_Data!A234)*12.9898+(Inputs!$C$6)*78.233+Inputs!$C$47*37.719))*43758.5453)-INT((SIN(((Model_Data!A234)*12.9898+(Inputs!$C$6)*78.233+Inputs!$C$47*37.719))*43758.5453)))-1))))/1000)^2))-(((Model_Data!B234)-((Inputs!$C$51*(115*EXP(-(((0)-25)^2)/(4.5^2))+70*EXP(-(((0)+38)^2)/(7^2))*(0.55+0.45*SIN(2*PI()*(Model_Data!A234)/45))+24*SIN(2*PI()*(0)/9+(Model_Data!A234)/18)*EXP(-(((0)+5)^2)/(22^2))+18*SIN(2*PI()*(Model_Data!A234)/70))+Inputs!$C$28*EXP(-(((Model_Data!A234)-Inputs!$C$29)^2)/(2*Inputs!$C$31^2))*EXP(-(((0)-Inputs!$C$30)^2)/(2*Inputs!$C$32^2))+-Inputs!$C$33*EXP(-(((((Model_Data!A234)-Inputs!$C$34)^2)+(((0)-Inputs!$C$35)^2))/(2*Inputs!$C$36^2)))+Inputs!$C$37*(0.55*SIN(2*PI()*(Model_Data!A234)/Inputs!$C$39)+0.35*COS(2*PI()*(0)/Inputs!$C$40)+0.2*SIN(2*PI()*((Model_Data!A234)+(0))/(0.5*(Inputs!$C$39+Inputs!$C$40))))+Inputs!$C$38*SIN(2*PI()*(Model_Data!A234)/Inputs!$C$39)*SIN(2*PI()*(0)/Inputs!$C$40)+-Inputs!$C$41*EXP(-(((0)-Inputs!$C$43)^2)/(2*Inputs!$C$44^2))*EXP(-(((Model_Data!A234)-Inputs!$C$42)^2)/(2*Inputs!$C$45^2))+Inputs!$C$48*(0.7*(0.45*SIN(2*PI()*(((Model_Data!A234)/Inputs!$C$49)+Inputs!$C$47*0.137))+0.35*COS(2*PI()*(((0)/Inputs!$C$50)+Inputs!$C$47*0.173))+0.2*SIN(2*PI()*(((Model_Data!A234)+(0))/(0.5*(Inputs!$C$49+Inputs!$C$50))+Inputs!$C$47*0.097)))+0.3*(2*((SIN(((Model_Data!A234)*12.9898+(0)*78.233+Inputs!$C$47*37.719))*43758.5453)-INT((SIN(((Model_Data!A234)*12.9898+(0)*78.233+Inputs!$C$47*37.719))*43758.5453)))-1))))/1000)))*1000/Inputs!$C$12)-Model_Data!F234)</f>
        <v>106.25730447269416</v>
      </c>
      <c r="L234" s="10"/>
      <c r="M234" s="9">
        <f>Model_Data!A234</f>
        <v>56</v>
      </c>
      <c r="N234" s="9">
        <f>Model_Data!P234</f>
        <v>-416.39436278764407</v>
      </c>
      <c r="O234" s="9">
        <f t="shared" si="6"/>
        <v>-404.59835060792102</v>
      </c>
      <c r="P234" s="9">
        <f>Model_Data!Q234</f>
        <v>-62.521676094240853</v>
      </c>
      <c r="Q234" s="9">
        <f t="shared" si="7"/>
        <v>-60.750503094282443</v>
      </c>
      <c r="R234" s="10"/>
      <c r="S234" s="9">
        <f>Model_Data!A234</f>
        <v>56</v>
      </c>
      <c r="T234" s="9">
        <f>Model_Data!B234-Inputs!$C$5</f>
        <v>3.4844444444444207</v>
      </c>
      <c r="U234" s="10"/>
      <c r="V234" s="9">
        <f>Model_Data!A234</f>
        <v>56</v>
      </c>
      <c r="W234" s="9">
        <f>((SQRT((Model_Data!A234)^2+Inputs!$C$6^2+Inputs!$C$5^2)-Inputs!$C$5)*1000/Inputs!$C$12)</f>
        <v>2625.8105747797149</v>
      </c>
      <c r="X234" s="9">
        <f>Model_Data!F234</f>
        <v>2603.3929579329656</v>
      </c>
      <c r="Y234" s="10"/>
      <c r="Z234" s="9">
        <f>Model_Data!A234</f>
        <v>56</v>
      </c>
      <c r="AA234" s="9">
        <f>SQRT((Model_Data!A234)^2+Inputs!$C$6^2+((Model_Data!B234)-((Inputs!$C$51*(115*EXP(-(((Inputs!$C$6)-25)^2)/(4.5^2))+70*EXP(-(((Inputs!$C$6)+38)^2)/(7^2))*(0.55+0.45*SIN(2*PI()*(Model_Data!A234)/45))+24*SIN(2*PI()*(Inputs!$C$6)/9+(Model_Data!A234)/18)*EXP(-(((Inputs!$C$6)+5)^2)/(22^2))+18*SIN(2*PI()*(Model_Data!A234)/70))+Inputs!$C$28*EXP(-(((Model_Data!A234)-Inputs!$C$29)^2)/(2*Inputs!$C$31^2))*EXP(-(((Inputs!$C$6)-Inputs!$C$30)^2)/(2*Inputs!$C$32^2))+-Inputs!$C$33*EXP(-(((((Model_Data!A234)-Inputs!$C$34)^2)+(((Inputs!$C$6)-Inputs!$C$35)^2))/(2*Inputs!$C$36^2)))+Inputs!$C$37*(0.55*SIN(2*PI()*(Model_Data!A234)/Inputs!$C$39)+0.35*COS(2*PI()*(Inputs!$C$6)/Inputs!$C$40)+0.2*SIN(2*PI()*((Model_Data!A234)+(Inputs!$C$6))/(0.5*(Inputs!$C$39+Inputs!$C$40))))+Inputs!$C$38*SIN(2*PI()*(Model_Data!A234)/Inputs!$C$39)*SIN(2*PI()*(Inputs!$C$6)/Inputs!$C$40)+-Inputs!$C$41*EXP(-(((Inputs!$C$6)-Inputs!$C$43)^2)/(2*Inputs!$C$44^2))*EXP(-(((Model_Data!A234)-Inputs!$C$42)^2)/(2*Inputs!$C$45^2))+Inputs!$C$48*(0.7*(0.45*SIN(2*PI()*(((Model_Data!A234)/Inputs!$C$49)+Inputs!$C$47*0.137))+0.35*COS(2*PI()*(((Inputs!$C$6)/Inputs!$C$50)+Inputs!$C$47*0.173))+0.2*SIN(2*PI()*(((Model_Data!A234)+(Inputs!$C$6))/(0.5*(Inputs!$C$49+Inputs!$C$50))+Inputs!$C$47*0.097)))+0.3*(2*((SIN(((Model_Data!A234)*12.9898+(Inputs!$C$6)*78.233+Inputs!$C$47*37.719))*43758.5453)-INT((SIN(((Model_Data!A234)*12.9898+(Inputs!$C$6)*78.233+Inputs!$C$47*37.719))*43758.5453)))-1))))/1000)^2)</f>
        <v>407.93370319778137</v>
      </c>
      <c r="AB234" s="9">
        <f>1000*(AA235-AA233)/(Z235-Z233)*Inputs!$C$11</f>
        <v>1011.4958765198026</v>
      </c>
      <c r="AC234" s="9">
        <f>-2*AB234/Inputs!$C$13</f>
        <v>-404.59835060792102</v>
      </c>
      <c r="AD234" s="9">
        <f>-2*AB234/Inputs!$C$14</f>
        <v>-60.750503094282443</v>
      </c>
    </row>
    <row r="235" spans="1:30">
      <c r="A235" s="9">
        <f>Model_Data!A235</f>
        <v>56.5</v>
      </c>
      <c r="B235" s="9">
        <f>((SQRT((Model_Data!A235)^2+Inputs!$C$6^2+Inputs!$C$5^2)-Inputs!$C$5)*1000/Inputs!$C$12)</f>
        <v>2664.8523897608998</v>
      </c>
      <c r="C235" s="9">
        <f>Model_Data!F235</f>
        <v>2641.700826955916</v>
      </c>
      <c r="D235" s="9">
        <f>(((SQRT((Model_Data!A235)^2+Inputs!$C$6^2+((Model_Data!B235)-((Inputs!$C$51*(115*EXP(-(((Inputs!$C$6)-25)^2)/(4.5^2))+70*EXP(-(((Inputs!$C$6)+38)^2)/(7^2))*(0.55+0.45*SIN(2*PI()*(Model_Data!A235)/45))+24*SIN(2*PI()*(Inputs!$C$6)/9+(Model_Data!A235)/18)*EXP(-(((Inputs!$C$6)+5)^2)/(22^2))+18*SIN(2*PI()*(Model_Data!A235)/70))+Inputs!$C$28*EXP(-(((Model_Data!A235)-Inputs!$C$29)^2)/(2*Inputs!$C$31^2))*EXP(-(((Inputs!$C$6)-Inputs!$C$30)^2)/(2*Inputs!$C$32^2))+-Inputs!$C$33*EXP(-(((((Model_Data!A235)-Inputs!$C$34)^2)+(((Inputs!$C$6)-Inputs!$C$35)^2))/(2*Inputs!$C$36^2)))+Inputs!$C$37*(0.55*SIN(2*PI()*(Model_Data!A235)/Inputs!$C$39)+0.35*COS(2*PI()*(Inputs!$C$6)/Inputs!$C$40)+0.2*SIN(2*PI()*((Model_Data!A235)+(Inputs!$C$6))/(0.5*(Inputs!$C$39+Inputs!$C$40))))+Inputs!$C$38*SIN(2*PI()*(Model_Data!A235)/Inputs!$C$39)*SIN(2*PI()*(Inputs!$C$6)/Inputs!$C$40)+-Inputs!$C$41*EXP(-(((Inputs!$C$6)-Inputs!$C$43)^2)/(2*Inputs!$C$44^2))*EXP(-(((Model_Data!A235)-Inputs!$C$42)^2)/(2*Inputs!$C$45^2))+Inputs!$C$48*(0.7*(0.45*SIN(2*PI()*(((Model_Data!A235)/Inputs!$C$49)+Inputs!$C$47*0.137))+0.35*COS(2*PI()*(((Inputs!$C$6)/Inputs!$C$50)+Inputs!$C$47*0.173))+0.2*SIN(2*PI()*(((Model_Data!A235)+(Inputs!$C$6))/(0.5*(Inputs!$C$49+Inputs!$C$50))+Inputs!$C$47*0.097)))+0.3*(2*((SIN(((Model_Data!A235)*12.9898+(Inputs!$C$6)*78.233+Inputs!$C$47*37.719))*43758.5453)-INT((SIN(((Model_Data!A235)*12.9898+(Inputs!$C$6)*78.233+Inputs!$C$47*37.719))*43758.5453)))-1))))/1000)^2))-(((Model_Data!B235)-((Inputs!$C$51*(115*EXP(-(((0)-25)^2)/(4.5^2))+70*EXP(-(((0)+38)^2)/(7^2))*(0.55+0.45*SIN(2*PI()*(Model_Data!A235)/45))+24*SIN(2*PI()*(0)/9+(Model_Data!A235)/18)*EXP(-(((0)+5)^2)/(22^2))+18*SIN(2*PI()*(Model_Data!A235)/70))+Inputs!$C$28*EXP(-(((Model_Data!A235)-Inputs!$C$29)^2)/(2*Inputs!$C$31^2))*EXP(-(((0)-Inputs!$C$30)^2)/(2*Inputs!$C$32^2))+-Inputs!$C$33*EXP(-(((((Model_Data!A235)-Inputs!$C$34)^2)+(((0)-Inputs!$C$35)^2))/(2*Inputs!$C$36^2)))+Inputs!$C$37*(0.55*SIN(2*PI()*(Model_Data!A235)/Inputs!$C$39)+0.35*COS(2*PI()*(0)/Inputs!$C$40)+0.2*SIN(2*PI()*((Model_Data!A235)+(0))/(0.5*(Inputs!$C$39+Inputs!$C$40))))+Inputs!$C$38*SIN(2*PI()*(Model_Data!A235)/Inputs!$C$39)*SIN(2*PI()*(0)/Inputs!$C$40)+-Inputs!$C$41*EXP(-(((0)-Inputs!$C$43)^2)/(2*Inputs!$C$44^2))*EXP(-(((Model_Data!A235)-Inputs!$C$42)^2)/(2*Inputs!$C$45^2))+Inputs!$C$48*(0.7*(0.45*SIN(2*PI()*(((Model_Data!A235)/Inputs!$C$49)+Inputs!$C$47*0.137))+0.35*COS(2*PI()*(((0)/Inputs!$C$50)+Inputs!$C$47*0.173))+0.2*SIN(2*PI()*(((Model_Data!A235)+(0))/(0.5*(Inputs!$C$49+Inputs!$C$50))+Inputs!$C$47*0.097)))+0.3*(2*((SIN(((Model_Data!A235)*12.9898+(0)*78.233+Inputs!$C$47*37.719))*43758.5453)-INT((SIN(((Model_Data!A235)*12.9898+(0)*78.233+Inputs!$C$47*37.719))*43758.5453)))-1))))/1000)))*1000/Inputs!$C$12)</f>
        <v>2548.3497391941946</v>
      </c>
      <c r="E235" s="9">
        <f>Model_Data!A235</f>
        <v>56.5</v>
      </c>
      <c r="F235" s="9">
        <f>(Inputs!$C$51*(115*EXP(-(((Inputs!$C$6)-25)^2)/(4.5^2))+70*EXP(-(((Inputs!$C$6)+38)^2)/(7^2))*(0.55+0.45*SIN(2*PI()*(Model_Data!A235)/45))+24*SIN(2*PI()*(Inputs!$C$6)/9+(Model_Data!A235)/18)*EXP(-(((Inputs!$C$6)+5)^2)/(22^2))+18*SIN(2*PI()*(Model_Data!A235)/70))+Inputs!$C$28*EXP(-(((Model_Data!A235)-Inputs!$C$29)^2)/(2*Inputs!$C$31^2))*EXP(-(((Inputs!$C$6)-Inputs!$C$30)^2)/(2*Inputs!$C$32^2))+-Inputs!$C$33*EXP(-(((((Model_Data!A235)-Inputs!$C$34)^2)+(((Inputs!$C$6)-Inputs!$C$35)^2))/(2*Inputs!$C$36^2)))+Inputs!$C$37*(0.55*SIN(2*PI()*(Model_Data!A235)/Inputs!$C$39)+0.35*COS(2*PI()*(Inputs!$C$6)/Inputs!$C$40)+0.2*SIN(2*PI()*((Model_Data!A235)+(Inputs!$C$6))/(0.5*(Inputs!$C$39+Inputs!$C$40))))+Inputs!$C$38*SIN(2*PI()*(Model_Data!A235)/Inputs!$C$39)*SIN(2*PI()*(Inputs!$C$6)/Inputs!$C$40)+-Inputs!$C$41*EXP(-(((Inputs!$C$6)-Inputs!$C$43)^2)/(2*Inputs!$C$44^2))*EXP(-(((Model_Data!A235)-Inputs!$C$42)^2)/(2*Inputs!$C$45^2))+Inputs!$C$48*(0.7*(0.45*SIN(2*PI()*(((Model_Data!A235)/Inputs!$C$49)+Inputs!$C$47*0.137))+0.35*COS(2*PI()*(((Inputs!$C$6)/Inputs!$C$50)+Inputs!$C$47*0.173))+0.2*SIN(2*PI()*(((Model_Data!A235)+(Inputs!$C$6))/(0.5*(Inputs!$C$49+Inputs!$C$50))+Inputs!$C$47*0.097)))+0.3*(2*((SIN(((Model_Data!A235)*12.9898+(Inputs!$C$6)*78.233+Inputs!$C$47*37.719))*43758.5453)-INT((SIN(((Model_Data!A235)*12.9898+(Inputs!$C$6)*78.233+Inputs!$C$47*37.719))*43758.5453)))-1)))</f>
        <v>190.07062484954076</v>
      </c>
      <c r="G235" s="9">
        <f>(Inputs!$C$51*(115*EXP(-(((0)-25)^2)/(4.5^2))+70*EXP(-(((0)+38)^2)/(7^2))*(0.55+0.45*SIN(2*PI()*(Model_Data!A235)/45))+24*SIN(2*PI()*(0)/9+(Model_Data!A235)/18)*EXP(-(((0)+5)^2)/(22^2))+18*SIN(2*PI()*(Model_Data!A235)/70))+Inputs!$C$28*EXP(-(((Model_Data!A235)-Inputs!$C$29)^2)/(2*Inputs!$C$31^2))*EXP(-(((0)-Inputs!$C$30)^2)/(2*Inputs!$C$32^2))+-Inputs!$C$33*EXP(-(((((Model_Data!A235)-Inputs!$C$34)^2)+(((0)-Inputs!$C$35)^2))/(2*Inputs!$C$36^2)))+Inputs!$C$37*(0.55*SIN(2*PI()*(Model_Data!A235)/Inputs!$C$39)+0.35*COS(2*PI()*(0)/Inputs!$C$40)+0.2*SIN(2*PI()*((Model_Data!A235)+(0))/(0.5*(Inputs!$C$39+Inputs!$C$40))))+Inputs!$C$38*SIN(2*PI()*(Model_Data!A235)/Inputs!$C$39)*SIN(2*PI()*(0)/Inputs!$C$40)+-Inputs!$C$41*EXP(-(((0)-Inputs!$C$43)^2)/(2*Inputs!$C$44^2))*EXP(-(((Model_Data!A235)-Inputs!$C$42)^2)/(2*Inputs!$C$45^2))+Inputs!$C$48*(0.7*(0.45*SIN(2*PI()*(((Model_Data!A235)/Inputs!$C$49)+Inputs!$C$47*0.137))+0.35*COS(2*PI()*(((0)/Inputs!$C$50)+Inputs!$C$47*0.173))+0.2*SIN(2*PI()*(((Model_Data!A235)+(0))/(0.5*(Inputs!$C$49+Inputs!$C$50))+Inputs!$C$47*0.097)))+0.3*(2*((SIN(((Model_Data!A235)*12.9898+(0)*78.233+Inputs!$C$47*37.719))*43758.5453)-INT((SIN(((Model_Data!A235)*12.9898+(0)*78.233+Inputs!$C$47*37.719))*43758.5453)))-1)))</f>
        <v>21.715435034758002</v>
      </c>
      <c r="H235" s="10"/>
      <c r="I235" s="9">
        <f>Model_Data!A235</f>
        <v>56.5</v>
      </c>
      <c r="J235" s="9">
        <f>(Inputs!$C$51*(115*EXP(-(((Inputs!$C$6)-25)^2)/(4.5^2))+70*EXP(-(((Inputs!$C$6)+38)^2)/(7^2))*(0.55+0.45*SIN(2*PI()*(Model_Data!A235)/45))+24*SIN(2*PI()*(Inputs!$C$6)/9+(Model_Data!A235)/18)*EXP(-(((Inputs!$C$6)+5)^2)/(22^2))+18*SIN(2*PI()*(Model_Data!A235)/70))+Inputs!$C$28*EXP(-(((Model_Data!A235)-Inputs!$C$29)^2)/(2*Inputs!$C$31^2))*EXP(-(((Inputs!$C$6)-Inputs!$C$30)^2)/(2*Inputs!$C$32^2))+-Inputs!$C$33*EXP(-(((((Model_Data!A235)-Inputs!$C$34)^2)+(((Inputs!$C$6)-Inputs!$C$35)^2))/(2*Inputs!$C$36^2)))+Inputs!$C$37*(0.55*SIN(2*PI()*(Model_Data!A235)/Inputs!$C$39)+0.35*COS(2*PI()*(Inputs!$C$6)/Inputs!$C$40)+0.2*SIN(2*PI()*((Model_Data!A235)+(Inputs!$C$6))/(0.5*(Inputs!$C$39+Inputs!$C$40))))+Inputs!$C$38*SIN(2*PI()*(Model_Data!A235)/Inputs!$C$39)*SIN(2*PI()*(Inputs!$C$6)/Inputs!$C$40)+-Inputs!$C$41*EXP(-(((Inputs!$C$6)-Inputs!$C$43)^2)/(2*Inputs!$C$44^2))*EXP(-(((Model_Data!A235)-Inputs!$C$42)^2)/(2*Inputs!$C$45^2))+Inputs!$C$48*(0.7*(0.45*SIN(2*PI()*(((Model_Data!A235)/Inputs!$C$49)+Inputs!$C$47*0.137))+0.35*COS(2*PI()*(((Inputs!$C$6)/Inputs!$C$50)+Inputs!$C$47*0.173))+0.2*SIN(2*PI()*(((Model_Data!A235)+(Inputs!$C$6))/(0.5*(Inputs!$C$49+Inputs!$C$50))+Inputs!$C$47*0.097)))+0.3*(2*((SIN(((Model_Data!A235)*12.9898+(Inputs!$C$6)*78.233+Inputs!$C$47*37.719))*43758.5453)-INT((SIN(((Model_Data!A235)*12.9898+(Inputs!$C$6)*78.233+Inputs!$C$47*37.719))*43758.5453)))-1)))</f>
        <v>190.07062484954076</v>
      </c>
      <c r="K235" s="9">
        <f>-((((SQRT((Model_Data!A235)^2+Inputs!$C$6^2+((Model_Data!B235)-((Inputs!$C$51*(115*EXP(-(((Inputs!$C$6)-25)^2)/(4.5^2))+70*EXP(-(((Inputs!$C$6)+38)^2)/(7^2))*(0.55+0.45*SIN(2*PI()*(Model_Data!A235)/45))+24*SIN(2*PI()*(Inputs!$C$6)/9+(Model_Data!A235)/18)*EXP(-(((Inputs!$C$6)+5)^2)/(22^2))+18*SIN(2*PI()*(Model_Data!A235)/70))+Inputs!$C$28*EXP(-(((Model_Data!A235)-Inputs!$C$29)^2)/(2*Inputs!$C$31^2))*EXP(-(((Inputs!$C$6)-Inputs!$C$30)^2)/(2*Inputs!$C$32^2))+-Inputs!$C$33*EXP(-(((((Model_Data!A235)-Inputs!$C$34)^2)+(((Inputs!$C$6)-Inputs!$C$35)^2))/(2*Inputs!$C$36^2)))+Inputs!$C$37*(0.55*SIN(2*PI()*(Model_Data!A235)/Inputs!$C$39)+0.35*COS(2*PI()*(Inputs!$C$6)/Inputs!$C$40)+0.2*SIN(2*PI()*((Model_Data!A235)+(Inputs!$C$6))/(0.5*(Inputs!$C$39+Inputs!$C$40))))+Inputs!$C$38*SIN(2*PI()*(Model_Data!A235)/Inputs!$C$39)*SIN(2*PI()*(Inputs!$C$6)/Inputs!$C$40)+-Inputs!$C$41*EXP(-(((Inputs!$C$6)-Inputs!$C$43)^2)/(2*Inputs!$C$44^2))*EXP(-(((Model_Data!A235)-Inputs!$C$42)^2)/(2*Inputs!$C$45^2))+Inputs!$C$48*(0.7*(0.45*SIN(2*PI()*(((Model_Data!A235)/Inputs!$C$49)+Inputs!$C$47*0.137))+0.35*COS(2*PI()*(((Inputs!$C$6)/Inputs!$C$50)+Inputs!$C$47*0.173))+0.2*SIN(2*PI()*(((Model_Data!A235)+(Inputs!$C$6))/(0.5*(Inputs!$C$49+Inputs!$C$50))+Inputs!$C$47*0.097)))+0.3*(2*((SIN(((Model_Data!A235)*12.9898+(Inputs!$C$6)*78.233+Inputs!$C$47*37.719))*43758.5453)-INT((SIN(((Model_Data!A235)*12.9898+(Inputs!$C$6)*78.233+Inputs!$C$47*37.719))*43758.5453)))-1))))/1000)^2))-(((Model_Data!B235)-((Inputs!$C$51*(115*EXP(-(((0)-25)^2)/(4.5^2))+70*EXP(-(((0)+38)^2)/(7^2))*(0.55+0.45*SIN(2*PI()*(Model_Data!A235)/45))+24*SIN(2*PI()*(0)/9+(Model_Data!A235)/18)*EXP(-(((0)+5)^2)/(22^2))+18*SIN(2*PI()*(Model_Data!A235)/70))+Inputs!$C$28*EXP(-(((Model_Data!A235)-Inputs!$C$29)^2)/(2*Inputs!$C$31^2))*EXP(-(((0)-Inputs!$C$30)^2)/(2*Inputs!$C$32^2))+-Inputs!$C$33*EXP(-(((((Model_Data!A235)-Inputs!$C$34)^2)+(((0)-Inputs!$C$35)^2))/(2*Inputs!$C$36^2)))+Inputs!$C$37*(0.55*SIN(2*PI()*(Model_Data!A235)/Inputs!$C$39)+0.35*COS(2*PI()*(0)/Inputs!$C$40)+0.2*SIN(2*PI()*((Model_Data!A235)+(0))/(0.5*(Inputs!$C$39+Inputs!$C$40))))+Inputs!$C$38*SIN(2*PI()*(Model_Data!A235)/Inputs!$C$39)*SIN(2*PI()*(0)/Inputs!$C$40)+-Inputs!$C$41*EXP(-(((0)-Inputs!$C$43)^2)/(2*Inputs!$C$44^2))*EXP(-(((Model_Data!A235)-Inputs!$C$42)^2)/(2*Inputs!$C$45^2))+Inputs!$C$48*(0.7*(0.45*SIN(2*PI()*(((Model_Data!A235)/Inputs!$C$49)+Inputs!$C$47*0.137))+0.35*COS(2*PI()*(((0)/Inputs!$C$50)+Inputs!$C$47*0.173))+0.2*SIN(2*PI()*(((Model_Data!A235)+(0))/(0.5*(Inputs!$C$49+Inputs!$C$50))+Inputs!$C$47*0.097)))+0.3*(2*((SIN(((Model_Data!A235)*12.9898+(0)*78.233+Inputs!$C$47*37.719))*43758.5453)-INT((SIN(((Model_Data!A235)*12.9898+(0)*78.233+Inputs!$C$47*37.719))*43758.5453)))-1))))/1000)))*1000/Inputs!$C$12)-Model_Data!F235)</f>
        <v>93.351087761721374</v>
      </c>
      <c r="L235" s="10"/>
      <c r="M235" s="9">
        <f>Model_Data!A235</f>
        <v>56.5</v>
      </c>
      <c r="N235" s="9">
        <f>Model_Data!P235</f>
        <v>-420.00843866758021</v>
      </c>
      <c r="O235" s="9">
        <f t="shared" si="6"/>
        <v>-398.31495142152562</v>
      </c>
      <c r="P235" s="9">
        <f>Model_Data!Q235</f>
        <v>-63.064330130267308</v>
      </c>
      <c r="Q235" s="9">
        <f t="shared" si="7"/>
        <v>-59.807049762991838</v>
      </c>
      <c r="R235" s="10"/>
      <c r="S235" s="9">
        <f>Model_Data!A235</f>
        <v>56.5</v>
      </c>
      <c r="T235" s="9">
        <f>Model_Data!B235-Inputs!$C$5</f>
        <v>3.5469444444444207</v>
      </c>
      <c r="U235" s="10"/>
      <c r="V235" s="9">
        <f>Model_Data!A235</f>
        <v>56.5</v>
      </c>
      <c r="W235" s="9">
        <f>((SQRT((Model_Data!A235)^2+Inputs!$C$6^2+Inputs!$C$5^2)-Inputs!$C$5)*1000/Inputs!$C$12)</f>
        <v>2664.8523897608998</v>
      </c>
      <c r="X235" s="9">
        <f>Model_Data!F235</f>
        <v>2641.700826955916</v>
      </c>
      <c r="Y235" s="10"/>
      <c r="Z235" s="9">
        <f>Model_Data!A235</f>
        <v>56.5</v>
      </c>
      <c r="AA235" s="9">
        <f>SQRT((Model_Data!A235)^2+Inputs!$C$6^2+((Model_Data!B235)-((Inputs!$C$51*(115*EXP(-(((Inputs!$C$6)-25)^2)/(4.5^2))+70*EXP(-(((Inputs!$C$6)+38)^2)/(7^2))*(0.55+0.45*SIN(2*PI()*(Model_Data!A235)/45))+24*SIN(2*PI()*(Inputs!$C$6)/9+(Model_Data!A235)/18)*EXP(-(((Inputs!$C$6)+5)^2)/(22^2))+18*SIN(2*PI()*(Model_Data!A235)/70))+Inputs!$C$28*EXP(-(((Model_Data!A235)-Inputs!$C$29)^2)/(2*Inputs!$C$31^2))*EXP(-(((Inputs!$C$6)-Inputs!$C$30)^2)/(2*Inputs!$C$32^2))+-Inputs!$C$33*EXP(-(((((Model_Data!A235)-Inputs!$C$34)^2)+(((Inputs!$C$6)-Inputs!$C$35)^2))/(2*Inputs!$C$36^2)))+Inputs!$C$37*(0.55*SIN(2*PI()*(Model_Data!A235)/Inputs!$C$39)+0.35*COS(2*PI()*(Inputs!$C$6)/Inputs!$C$40)+0.2*SIN(2*PI()*((Model_Data!A235)+(Inputs!$C$6))/(0.5*(Inputs!$C$39+Inputs!$C$40))))+Inputs!$C$38*SIN(2*PI()*(Model_Data!A235)/Inputs!$C$39)*SIN(2*PI()*(Inputs!$C$6)/Inputs!$C$40)+-Inputs!$C$41*EXP(-(((Inputs!$C$6)-Inputs!$C$43)^2)/(2*Inputs!$C$44^2))*EXP(-(((Model_Data!A235)-Inputs!$C$42)^2)/(2*Inputs!$C$45^2))+Inputs!$C$48*(0.7*(0.45*SIN(2*PI()*(((Model_Data!A235)/Inputs!$C$49)+Inputs!$C$47*0.137))+0.35*COS(2*PI()*(((Inputs!$C$6)/Inputs!$C$50)+Inputs!$C$47*0.173))+0.2*SIN(2*PI()*(((Model_Data!A235)+(Inputs!$C$6))/(0.5*(Inputs!$C$49+Inputs!$C$50))+Inputs!$C$47*0.097)))+0.3*(2*((SIN(((Model_Data!A235)*12.9898+(Inputs!$C$6)*78.233+Inputs!$C$47*37.719))*43758.5453)-INT((SIN(((Model_Data!A235)*12.9898+(Inputs!$C$6)*78.233+Inputs!$C$47*37.719))*43758.5453)))-1))))/1000)^2)</f>
        <v>408.06129154517532</v>
      </c>
      <c r="AB235" s="9">
        <f>1000*(AA236-AA234)/(Z236-Z234)*Inputs!$C$11</f>
        <v>995.78737855381405</v>
      </c>
      <c r="AC235" s="9">
        <f>-2*AB235/Inputs!$C$13</f>
        <v>-398.31495142152562</v>
      </c>
      <c r="AD235" s="9">
        <f>-2*AB235/Inputs!$C$14</f>
        <v>-59.807049762991838</v>
      </c>
    </row>
    <row r="236" spans="1:30">
      <c r="A236" s="9">
        <f>Model_Data!A236</f>
        <v>57</v>
      </c>
      <c r="B236" s="9">
        <f>((SQRT((Model_Data!A236)^2+Inputs!$C$6^2+Inputs!$C$5^2)-Inputs!$C$5)*1000/Inputs!$C$12)</f>
        <v>2704.2344511514057</v>
      </c>
      <c r="C236" s="9">
        <f>Model_Data!F236</f>
        <v>2680.3308461757451</v>
      </c>
      <c r="D236" s="9">
        <f>(((SQRT((Model_Data!A236)^2+Inputs!$C$6^2+((Model_Data!B236)-((Inputs!$C$51*(115*EXP(-(((Inputs!$C$6)-25)^2)/(4.5^2))+70*EXP(-(((Inputs!$C$6)+38)^2)/(7^2))*(0.55+0.45*SIN(2*PI()*(Model_Data!A236)/45))+24*SIN(2*PI()*(Inputs!$C$6)/9+(Model_Data!A236)/18)*EXP(-(((Inputs!$C$6)+5)^2)/(22^2))+18*SIN(2*PI()*(Model_Data!A236)/70))+Inputs!$C$28*EXP(-(((Model_Data!A236)-Inputs!$C$29)^2)/(2*Inputs!$C$31^2))*EXP(-(((Inputs!$C$6)-Inputs!$C$30)^2)/(2*Inputs!$C$32^2))+-Inputs!$C$33*EXP(-(((((Model_Data!A236)-Inputs!$C$34)^2)+(((Inputs!$C$6)-Inputs!$C$35)^2))/(2*Inputs!$C$36^2)))+Inputs!$C$37*(0.55*SIN(2*PI()*(Model_Data!A236)/Inputs!$C$39)+0.35*COS(2*PI()*(Inputs!$C$6)/Inputs!$C$40)+0.2*SIN(2*PI()*((Model_Data!A236)+(Inputs!$C$6))/(0.5*(Inputs!$C$39+Inputs!$C$40))))+Inputs!$C$38*SIN(2*PI()*(Model_Data!A236)/Inputs!$C$39)*SIN(2*PI()*(Inputs!$C$6)/Inputs!$C$40)+-Inputs!$C$41*EXP(-(((Inputs!$C$6)-Inputs!$C$43)^2)/(2*Inputs!$C$44^2))*EXP(-(((Model_Data!A236)-Inputs!$C$42)^2)/(2*Inputs!$C$45^2))+Inputs!$C$48*(0.7*(0.45*SIN(2*PI()*(((Model_Data!A236)/Inputs!$C$49)+Inputs!$C$47*0.137))+0.35*COS(2*PI()*(((Inputs!$C$6)/Inputs!$C$50)+Inputs!$C$47*0.173))+0.2*SIN(2*PI()*(((Model_Data!A236)+(Inputs!$C$6))/(0.5*(Inputs!$C$49+Inputs!$C$50))+Inputs!$C$47*0.097)))+0.3*(2*((SIN(((Model_Data!A236)*12.9898+(Inputs!$C$6)*78.233+Inputs!$C$47*37.719))*43758.5453)-INT((SIN(((Model_Data!A236)*12.9898+(Inputs!$C$6)*78.233+Inputs!$C$47*37.719))*43758.5453)))-1))))/1000)^2))-(((Model_Data!B236)-((Inputs!$C$51*(115*EXP(-(((0)-25)^2)/(4.5^2))+70*EXP(-(((0)+38)^2)/(7^2))*(0.55+0.45*SIN(2*PI()*(Model_Data!A236)/45))+24*SIN(2*PI()*(0)/9+(Model_Data!A236)/18)*EXP(-(((0)+5)^2)/(22^2))+18*SIN(2*PI()*(Model_Data!A236)/70))+Inputs!$C$28*EXP(-(((Model_Data!A236)-Inputs!$C$29)^2)/(2*Inputs!$C$31^2))*EXP(-(((0)-Inputs!$C$30)^2)/(2*Inputs!$C$32^2))+-Inputs!$C$33*EXP(-(((((Model_Data!A236)-Inputs!$C$34)^2)+(((0)-Inputs!$C$35)^2))/(2*Inputs!$C$36^2)))+Inputs!$C$37*(0.55*SIN(2*PI()*(Model_Data!A236)/Inputs!$C$39)+0.35*COS(2*PI()*(0)/Inputs!$C$40)+0.2*SIN(2*PI()*((Model_Data!A236)+(0))/(0.5*(Inputs!$C$39+Inputs!$C$40))))+Inputs!$C$38*SIN(2*PI()*(Model_Data!A236)/Inputs!$C$39)*SIN(2*PI()*(0)/Inputs!$C$40)+-Inputs!$C$41*EXP(-(((0)-Inputs!$C$43)^2)/(2*Inputs!$C$44^2))*EXP(-(((Model_Data!A236)-Inputs!$C$42)^2)/(2*Inputs!$C$45^2))+Inputs!$C$48*(0.7*(0.45*SIN(2*PI()*(((Model_Data!A236)/Inputs!$C$49)+Inputs!$C$47*0.137))+0.35*COS(2*PI()*(((0)/Inputs!$C$50)+Inputs!$C$47*0.173))+0.2*SIN(2*PI()*(((Model_Data!A236)+(0))/(0.5*(Inputs!$C$49+Inputs!$C$50))+Inputs!$C$47*0.097)))+0.3*(2*((SIN(((Model_Data!A236)*12.9898+(0)*78.233+Inputs!$C$47*37.719))*43758.5453)-INT((SIN(((Model_Data!A236)*12.9898+(0)*78.233+Inputs!$C$47*37.719))*43758.5453)))-1))))/1000)))*1000/Inputs!$C$12)</f>
        <v>2579.2492208844378</v>
      </c>
      <c r="E236" s="9">
        <f>Model_Data!A236</f>
        <v>57</v>
      </c>
      <c r="F236" s="9">
        <f>(Inputs!$C$51*(115*EXP(-(((Inputs!$C$6)-25)^2)/(4.5^2))+70*EXP(-(((Inputs!$C$6)+38)^2)/(7^2))*(0.55+0.45*SIN(2*PI()*(Model_Data!A236)/45))+24*SIN(2*PI()*(Inputs!$C$6)/9+(Model_Data!A236)/18)*EXP(-(((Inputs!$C$6)+5)^2)/(22^2))+18*SIN(2*PI()*(Model_Data!A236)/70))+Inputs!$C$28*EXP(-(((Model_Data!A236)-Inputs!$C$29)^2)/(2*Inputs!$C$31^2))*EXP(-(((Inputs!$C$6)-Inputs!$C$30)^2)/(2*Inputs!$C$32^2))+-Inputs!$C$33*EXP(-(((((Model_Data!A236)-Inputs!$C$34)^2)+(((Inputs!$C$6)-Inputs!$C$35)^2))/(2*Inputs!$C$36^2)))+Inputs!$C$37*(0.55*SIN(2*PI()*(Model_Data!A236)/Inputs!$C$39)+0.35*COS(2*PI()*(Inputs!$C$6)/Inputs!$C$40)+0.2*SIN(2*PI()*((Model_Data!A236)+(Inputs!$C$6))/(0.5*(Inputs!$C$39+Inputs!$C$40))))+Inputs!$C$38*SIN(2*PI()*(Model_Data!A236)/Inputs!$C$39)*SIN(2*PI()*(Inputs!$C$6)/Inputs!$C$40)+-Inputs!$C$41*EXP(-(((Inputs!$C$6)-Inputs!$C$43)^2)/(2*Inputs!$C$44^2))*EXP(-(((Model_Data!A236)-Inputs!$C$42)^2)/(2*Inputs!$C$45^2))+Inputs!$C$48*(0.7*(0.45*SIN(2*PI()*(((Model_Data!A236)/Inputs!$C$49)+Inputs!$C$47*0.137))+0.35*COS(2*PI()*(((Inputs!$C$6)/Inputs!$C$50)+Inputs!$C$47*0.173))+0.2*SIN(2*PI()*(((Model_Data!A236)+(Inputs!$C$6))/(0.5*(Inputs!$C$49+Inputs!$C$50))+Inputs!$C$47*0.097)))+0.3*(2*((SIN(((Model_Data!A236)*12.9898+(Inputs!$C$6)*78.233+Inputs!$C$47*37.719))*43758.5453)-INT((SIN(((Model_Data!A236)*12.9898+(Inputs!$C$6)*78.233+Inputs!$C$47*37.719))*43758.5453)))-1)))</f>
        <v>200.68454527158707</v>
      </c>
      <c r="G236" s="9">
        <f>(Inputs!$C$51*(115*EXP(-(((0)-25)^2)/(4.5^2))+70*EXP(-(((0)+38)^2)/(7^2))*(0.55+0.45*SIN(2*PI()*(Model_Data!A236)/45))+24*SIN(2*PI()*(0)/9+(Model_Data!A236)/18)*EXP(-(((0)+5)^2)/(22^2))+18*SIN(2*PI()*(Model_Data!A236)/70))+Inputs!$C$28*EXP(-(((Model_Data!A236)-Inputs!$C$29)^2)/(2*Inputs!$C$31^2))*EXP(-(((0)-Inputs!$C$30)^2)/(2*Inputs!$C$32^2))+-Inputs!$C$33*EXP(-(((((Model_Data!A236)-Inputs!$C$34)^2)+(((0)-Inputs!$C$35)^2))/(2*Inputs!$C$36^2)))+Inputs!$C$37*(0.55*SIN(2*PI()*(Model_Data!A236)/Inputs!$C$39)+0.35*COS(2*PI()*(0)/Inputs!$C$40)+0.2*SIN(2*PI()*((Model_Data!A236)+(0))/(0.5*(Inputs!$C$39+Inputs!$C$40))))+Inputs!$C$38*SIN(2*PI()*(Model_Data!A236)/Inputs!$C$39)*SIN(2*PI()*(0)/Inputs!$C$40)+-Inputs!$C$41*EXP(-(((0)-Inputs!$C$43)^2)/(2*Inputs!$C$44^2))*EXP(-(((Model_Data!A236)-Inputs!$C$42)^2)/(2*Inputs!$C$45^2))+Inputs!$C$48*(0.7*(0.45*SIN(2*PI()*(((Model_Data!A236)/Inputs!$C$49)+Inputs!$C$47*0.137))+0.35*COS(2*PI()*(((0)/Inputs!$C$50)+Inputs!$C$47*0.173))+0.2*SIN(2*PI()*(((Model_Data!A236)+(0))/(0.5*(Inputs!$C$49+Inputs!$C$50))+Inputs!$C$47*0.097)))+0.3*(2*((SIN(((Model_Data!A236)*12.9898+(0)*78.233+Inputs!$C$47*37.719))*43758.5453)-INT((SIN(((Model_Data!A236)*12.9898+(0)*78.233+Inputs!$C$47*37.719))*43758.5453)))-1)))</f>
        <v>18.4135707545088</v>
      </c>
      <c r="H236" s="10"/>
      <c r="I236" s="9">
        <f>Model_Data!A236</f>
        <v>57</v>
      </c>
      <c r="J236" s="9">
        <f>(Inputs!$C$51*(115*EXP(-(((Inputs!$C$6)-25)^2)/(4.5^2))+70*EXP(-(((Inputs!$C$6)+38)^2)/(7^2))*(0.55+0.45*SIN(2*PI()*(Model_Data!A236)/45))+24*SIN(2*PI()*(Inputs!$C$6)/9+(Model_Data!A236)/18)*EXP(-(((Inputs!$C$6)+5)^2)/(22^2))+18*SIN(2*PI()*(Model_Data!A236)/70))+Inputs!$C$28*EXP(-(((Model_Data!A236)-Inputs!$C$29)^2)/(2*Inputs!$C$31^2))*EXP(-(((Inputs!$C$6)-Inputs!$C$30)^2)/(2*Inputs!$C$32^2))+-Inputs!$C$33*EXP(-(((((Model_Data!A236)-Inputs!$C$34)^2)+(((Inputs!$C$6)-Inputs!$C$35)^2))/(2*Inputs!$C$36^2)))+Inputs!$C$37*(0.55*SIN(2*PI()*(Model_Data!A236)/Inputs!$C$39)+0.35*COS(2*PI()*(Inputs!$C$6)/Inputs!$C$40)+0.2*SIN(2*PI()*((Model_Data!A236)+(Inputs!$C$6))/(0.5*(Inputs!$C$39+Inputs!$C$40))))+Inputs!$C$38*SIN(2*PI()*(Model_Data!A236)/Inputs!$C$39)*SIN(2*PI()*(Inputs!$C$6)/Inputs!$C$40)+-Inputs!$C$41*EXP(-(((Inputs!$C$6)-Inputs!$C$43)^2)/(2*Inputs!$C$44^2))*EXP(-(((Model_Data!A236)-Inputs!$C$42)^2)/(2*Inputs!$C$45^2))+Inputs!$C$48*(0.7*(0.45*SIN(2*PI()*(((Model_Data!A236)/Inputs!$C$49)+Inputs!$C$47*0.137))+0.35*COS(2*PI()*(((Inputs!$C$6)/Inputs!$C$50)+Inputs!$C$47*0.173))+0.2*SIN(2*PI()*(((Model_Data!A236)+(Inputs!$C$6))/(0.5*(Inputs!$C$49+Inputs!$C$50))+Inputs!$C$47*0.097)))+0.3*(2*((SIN(((Model_Data!A236)*12.9898+(Inputs!$C$6)*78.233+Inputs!$C$47*37.719))*43758.5453)-INT((SIN(((Model_Data!A236)*12.9898+(Inputs!$C$6)*78.233+Inputs!$C$47*37.719))*43758.5453)))-1)))</f>
        <v>200.68454527158707</v>
      </c>
      <c r="K236" s="9">
        <f>-((((SQRT((Model_Data!A236)^2+Inputs!$C$6^2+((Model_Data!B236)-((Inputs!$C$51*(115*EXP(-(((Inputs!$C$6)-25)^2)/(4.5^2))+70*EXP(-(((Inputs!$C$6)+38)^2)/(7^2))*(0.55+0.45*SIN(2*PI()*(Model_Data!A236)/45))+24*SIN(2*PI()*(Inputs!$C$6)/9+(Model_Data!A236)/18)*EXP(-(((Inputs!$C$6)+5)^2)/(22^2))+18*SIN(2*PI()*(Model_Data!A236)/70))+Inputs!$C$28*EXP(-(((Model_Data!A236)-Inputs!$C$29)^2)/(2*Inputs!$C$31^2))*EXP(-(((Inputs!$C$6)-Inputs!$C$30)^2)/(2*Inputs!$C$32^2))+-Inputs!$C$33*EXP(-(((((Model_Data!A236)-Inputs!$C$34)^2)+(((Inputs!$C$6)-Inputs!$C$35)^2))/(2*Inputs!$C$36^2)))+Inputs!$C$37*(0.55*SIN(2*PI()*(Model_Data!A236)/Inputs!$C$39)+0.35*COS(2*PI()*(Inputs!$C$6)/Inputs!$C$40)+0.2*SIN(2*PI()*((Model_Data!A236)+(Inputs!$C$6))/(0.5*(Inputs!$C$39+Inputs!$C$40))))+Inputs!$C$38*SIN(2*PI()*(Model_Data!A236)/Inputs!$C$39)*SIN(2*PI()*(Inputs!$C$6)/Inputs!$C$40)+-Inputs!$C$41*EXP(-(((Inputs!$C$6)-Inputs!$C$43)^2)/(2*Inputs!$C$44^2))*EXP(-(((Model_Data!A236)-Inputs!$C$42)^2)/(2*Inputs!$C$45^2))+Inputs!$C$48*(0.7*(0.45*SIN(2*PI()*(((Model_Data!A236)/Inputs!$C$49)+Inputs!$C$47*0.137))+0.35*COS(2*PI()*(((Inputs!$C$6)/Inputs!$C$50)+Inputs!$C$47*0.173))+0.2*SIN(2*PI()*(((Model_Data!A236)+(Inputs!$C$6))/(0.5*(Inputs!$C$49+Inputs!$C$50))+Inputs!$C$47*0.097)))+0.3*(2*((SIN(((Model_Data!A236)*12.9898+(Inputs!$C$6)*78.233+Inputs!$C$47*37.719))*43758.5453)-INT((SIN(((Model_Data!A236)*12.9898+(Inputs!$C$6)*78.233+Inputs!$C$47*37.719))*43758.5453)))-1))))/1000)^2))-(((Model_Data!B236)-((Inputs!$C$51*(115*EXP(-(((0)-25)^2)/(4.5^2))+70*EXP(-(((0)+38)^2)/(7^2))*(0.55+0.45*SIN(2*PI()*(Model_Data!A236)/45))+24*SIN(2*PI()*(0)/9+(Model_Data!A236)/18)*EXP(-(((0)+5)^2)/(22^2))+18*SIN(2*PI()*(Model_Data!A236)/70))+Inputs!$C$28*EXP(-(((Model_Data!A236)-Inputs!$C$29)^2)/(2*Inputs!$C$31^2))*EXP(-(((0)-Inputs!$C$30)^2)/(2*Inputs!$C$32^2))+-Inputs!$C$33*EXP(-(((((Model_Data!A236)-Inputs!$C$34)^2)+(((0)-Inputs!$C$35)^2))/(2*Inputs!$C$36^2)))+Inputs!$C$37*(0.55*SIN(2*PI()*(Model_Data!A236)/Inputs!$C$39)+0.35*COS(2*PI()*(0)/Inputs!$C$40)+0.2*SIN(2*PI()*((Model_Data!A236)+(0))/(0.5*(Inputs!$C$39+Inputs!$C$40))))+Inputs!$C$38*SIN(2*PI()*(Model_Data!A236)/Inputs!$C$39)*SIN(2*PI()*(0)/Inputs!$C$40)+-Inputs!$C$41*EXP(-(((0)-Inputs!$C$43)^2)/(2*Inputs!$C$44^2))*EXP(-(((Model_Data!A236)-Inputs!$C$42)^2)/(2*Inputs!$C$45^2))+Inputs!$C$48*(0.7*(0.45*SIN(2*PI()*(((Model_Data!A236)/Inputs!$C$49)+Inputs!$C$47*0.137))+0.35*COS(2*PI()*(((0)/Inputs!$C$50)+Inputs!$C$47*0.173))+0.2*SIN(2*PI()*(((Model_Data!A236)+(0))/(0.5*(Inputs!$C$49+Inputs!$C$50))+Inputs!$C$47*0.097)))+0.3*(2*((SIN(((Model_Data!A236)*12.9898+(0)*78.233+Inputs!$C$47*37.719))*43758.5453)-INT((SIN(((Model_Data!A236)*12.9898+(0)*78.233+Inputs!$C$47*37.719))*43758.5453)))-1))))/1000)))*1000/Inputs!$C$12)-Model_Data!F236)</f>
        <v>101.08162529130732</v>
      </c>
      <c r="L236" s="10"/>
      <c r="M236" s="9">
        <f>Model_Data!A236</f>
        <v>57</v>
      </c>
      <c r="N236" s="9">
        <f>Model_Data!P236</f>
        <v>-423.61985017150721</v>
      </c>
      <c r="O236" s="9">
        <f t="shared" si="6"/>
        <v>-442.36487282942107</v>
      </c>
      <c r="P236" s="9">
        <f>Model_Data!Q236</f>
        <v>-63.606584109835921</v>
      </c>
      <c r="Q236" s="9">
        <f t="shared" si="7"/>
        <v>-66.421152076489662</v>
      </c>
      <c r="R236" s="10"/>
      <c r="S236" s="9">
        <f>Model_Data!A236</f>
        <v>57</v>
      </c>
      <c r="T236" s="9">
        <f>Model_Data!B236-Inputs!$C$5</f>
        <v>3.6100000000000136</v>
      </c>
      <c r="U236" s="10"/>
      <c r="V236" s="9">
        <f>Model_Data!A236</f>
        <v>57</v>
      </c>
      <c r="W236" s="9">
        <f>((SQRT((Model_Data!A236)^2+Inputs!$C$6^2+Inputs!$C$5^2)-Inputs!$C$5)*1000/Inputs!$C$12)</f>
        <v>2704.2344511514057</v>
      </c>
      <c r="X236" s="9">
        <f>Model_Data!F236</f>
        <v>2680.3308461757451</v>
      </c>
      <c r="Y236" s="10"/>
      <c r="Z236" s="9">
        <f>Model_Data!A236</f>
        <v>57</v>
      </c>
      <c r="AA236" s="9">
        <f>SQRT((Model_Data!A236)^2+Inputs!$C$6^2+((Model_Data!B236)-((Inputs!$C$51*(115*EXP(-(((Inputs!$C$6)-25)^2)/(4.5^2))+70*EXP(-(((Inputs!$C$6)+38)^2)/(7^2))*(0.55+0.45*SIN(2*PI()*(Model_Data!A236)/45))+24*SIN(2*PI()*(Inputs!$C$6)/9+(Model_Data!A236)/18)*EXP(-(((Inputs!$C$6)+5)^2)/(22^2))+18*SIN(2*PI()*(Model_Data!A236)/70))+Inputs!$C$28*EXP(-(((Model_Data!A236)-Inputs!$C$29)^2)/(2*Inputs!$C$31^2))*EXP(-(((Inputs!$C$6)-Inputs!$C$30)^2)/(2*Inputs!$C$32^2))+-Inputs!$C$33*EXP(-(((((Model_Data!A236)-Inputs!$C$34)^2)+(((Inputs!$C$6)-Inputs!$C$35)^2))/(2*Inputs!$C$36^2)))+Inputs!$C$37*(0.55*SIN(2*PI()*(Model_Data!A236)/Inputs!$C$39)+0.35*COS(2*PI()*(Inputs!$C$6)/Inputs!$C$40)+0.2*SIN(2*PI()*((Model_Data!A236)+(Inputs!$C$6))/(0.5*(Inputs!$C$39+Inputs!$C$40))))+Inputs!$C$38*SIN(2*PI()*(Model_Data!A236)/Inputs!$C$39)*SIN(2*PI()*(Inputs!$C$6)/Inputs!$C$40)+-Inputs!$C$41*EXP(-(((Inputs!$C$6)-Inputs!$C$43)^2)/(2*Inputs!$C$44^2))*EXP(-(((Model_Data!A236)-Inputs!$C$42)^2)/(2*Inputs!$C$45^2))+Inputs!$C$48*(0.7*(0.45*SIN(2*PI()*(((Model_Data!A236)/Inputs!$C$49)+Inputs!$C$47*0.137))+0.35*COS(2*PI()*(((Inputs!$C$6)/Inputs!$C$50)+Inputs!$C$47*0.173))+0.2*SIN(2*PI()*(((Model_Data!A236)+(Inputs!$C$6))/(0.5*(Inputs!$C$49+Inputs!$C$50))+Inputs!$C$47*0.097)))+0.3*(2*((SIN(((Model_Data!A236)*12.9898+(Inputs!$C$6)*78.233+Inputs!$C$47*37.719))*43758.5453)-INT((SIN(((Model_Data!A236)*12.9898+(Inputs!$C$6)*78.233+Inputs!$C$47*37.719))*43758.5453)))-1))))/1000)^2)</f>
        <v>408.18265004241982</v>
      </c>
      <c r="AB236" s="9">
        <f>1000*(AA237-AA235)/(Z237-Z235)*Inputs!$C$11</f>
        <v>1105.9121820735527</v>
      </c>
      <c r="AC236" s="9">
        <f>-2*AB236/Inputs!$C$13</f>
        <v>-442.36487282942107</v>
      </c>
      <c r="AD236" s="9">
        <f>-2*AB236/Inputs!$C$14</f>
        <v>-66.421152076489662</v>
      </c>
    </row>
    <row r="237" spans="1:30">
      <c r="A237" s="9">
        <f>Model_Data!A237</f>
        <v>57.5</v>
      </c>
      <c r="B237" s="9">
        <f>((SQRT((Model_Data!A237)^2+Inputs!$C$6^2+Inputs!$C$5^2)-Inputs!$C$5)*1000/Inputs!$C$12)</f>
        <v>2743.956582224499</v>
      </c>
      <c r="C237" s="9">
        <f>Model_Data!F237</f>
        <v>2719.2825461397751</v>
      </c>
      <c r="D237" s="9">
        <f>(((SQRT((Model_Data!A237)^2+Inputs!$C$6^2+((Model_Data!B237)-((Inputs!$C$51*(115*EXP(-(((Inputs!$C$6)-25)^2)/(4.5^2))+70*EXP(-(((Inputs!$C$6)+38)^2)/(7^2))*(0.55+0.45*SIN(2*PI()*(Model_Data!A237)/45))+24*SIN(2*PI()*(Inputs!$C$6)/9+(Model_Data!A237)/18)*EXP(-(((Inputs!$C$6)+5)^2)/(22^2))+18*SIN(2*PI()*(Model_Data!A237)/70))+Inputs!$C$28*EXP(-(((Model_Data!A237)-Inputs!$C$29)^2)/(2*Inputs!$C$31^2))*EXP(-(((Inputs!$C$6)-Inputs!$C$30)^2)/(2*Inputs!$C$32^2))+-Inputs!$C$33*EXP(-(((((Model_Data!A237)-Inputs!$C$34)^2)+(((Inputs!$C$6)-Inputs!$C$35)^2))/(2*Inputs!$C$36^2)))+Inputs!$C$37*(0.55*SIN(2*PI()*(Model_Data!A237)/Inputs!$C$39)+0.35*COS(2*PI()*(Inputs!$C$6)/Inputs!$C$40)+0.2*SIN(2*PI()*((Model_Data!A237)+(Inputs!$C$6))/(0.5*(Inputs!$C$39+Inputs!$C$40))))+Inputs!$C$38*SIN(2*PI()*(Model_Data!A237)/Inputs!$C$39)*SIN(2*PI()*(Inputs!$C$6)/Inputs!$C$40)+-Inputs!$C$41*EXP(-(((Inputs!$C$6)-Inputs!$C$43)^2)/(2*Inputs!$C$44^2))*EXP(-(((Model_Data!A237)-Inputs!$C$42)^2)/(2*Inputs!$C$45^2))+Inputs!$C$48*(0.7*(0.45*SIN(2*PI()*(((Model_Data!A237)/Inputs!$C$49)+Inputs!$C$47*0.137))+0.35*COS(2*PI()*(((Inputs!$C$6)/Inputs!$C$50)+Inputs!$C$47*0.173))+0.2*SIN(2*PI()*(((Model_Data!A237)+(Inputs!$C$6))/(0.5*(Inputs!$C$49+Inputs!$C$50))+Inputs!$C$47*0.097)))+0.3*(2*((SIN(((Model_Data!A237)*12.9898+(Inputs!$C$6)*78.233+Inputs!$C$47*37.719))*43758.5453)-INT((SIN(((Model_Data!A237)*12.9898+(Inputs!$C$6)*78.233+Inputs!$C$47*37.719))*43758.5453)))-1))))/1000)^2))-(((Model_Data!B237)-((Inputs!$C$51*(115*EXP(-(((0)-25)^2)/(4.5^2))+70*EXP(-(((0)+38)^2)/(7^2))*(0.55+0.45*SIN(2*PI()*(Model_Data!A237)/45))+24*SIN(2*PI()*(0)/9+(Model_Data!A237)/18)*EXP(-(((0)+5)^2)/(22^2))+18*SIN(2*PI()*(Model_Data!A237)/70))+Inputs!$C$28*EXP(-(((Model_Data!A237)-Inputs!$C$29)^2)/(2*Inputs!$C$31^2))*EXP(-(((0)-Inputs!$C$30)^2)/(2*Inputs!$C$32^2))+-Inputs!$C$33*EXP(-(((((Model_Data!A237)-Inputs!$C$34)^2)+(((0)-Inputs!$C$35)^2))/(2*Inputs!$C$36^2)))+Inputs!$C$37*(0.55*SIN(2*PI()*(Model_Data!A237)/Inputs!$C$39)+0.35*COS(2*PI()*(0)/Inputs!$C$40)+0.2*SIN(2*PI()*((Model_Data!A237)+(0))/(0.5*(Inputs!$C$39+Inputs!$C$40))))+Inputs!$C$38*SIN(2*PI()*(Model_Data!A237)/Inputs!$C$39)*SIN(2*PI()*(0)/Inputs!$C$40)+-Inputs!$C$41*EXP(-(((0)-Inputs!$C$43)^2)/(2*Inputs!$C$44^2))*EXP(-(((Model_Data!A237)-Inputs!$C$42)^2)/(2*Inputs!$C$45^2))+Inputs!$C$48*(0.7*(0.45*SIN(2*PI()*(((Model_Data!A237)/Inputs!$C$49)+Inputs!$C$47*0.137))+0.35*COS(2*PI()*(((0)/Inputs!$C$50)+Inputs!$C$47*0.173))+0.2*SIN(2*PI()*(((Model_Data!A237)+(0))/(0.5*(Inputs!$C$49+Inputs!$C$50))+Inputs!$C$47*0.097)))+0.3*(2*((SIN(((Model_Data!A237)*12.9898+(0)*78.233+Inputs!$C$47*37.719))*43758.5453)-INT((SIN(((Model_Data!A237)*12.9898+(0)*78.233+Inputs!$C$47*37.719))*43758.5453)))-1))))/1000)))*1000/Inputs!$C$12)</f>
        <v>2634.9029526998906</v>
      </c>
      <c r="E237" s="9">
        <f>Model_Data!A237</f>
        <v>57.5</v>
      </c>
      <c r="F237" s="9">
        <f>(Inputs!$C$51*(115*EXP(-(((Inputs!$C$6)-25)^2)/(4.5^2))+70*EXP(-(((Inputs!$C$6)+38)^2)/(7^2))*(0.55+0.45*SIN(2*PI()*(Model_Data!A237)/45))+24*SIN(2*PI()*(Inputs!$C$6)/9+(Model_Data!A237)/18)*EXP(-(((Inputs!$C$6)+5)^2)/(22^2))+18*SIN(2*PI()*(Model_Data!A237)/70))+Inputs!$C$28*EXP(-(((Model_Data!A237)-Inputs!$C$29)^2)/(2*Inputs!$C$31^2))*EXP(-(((Inputs!$C$6)-Inputs!$C$30)^2)/(2*Inputs!$C$32^2))+-Inputs!$C$33*EXP(-(((((Model_Data!A237)-Inputs!$C$34)^2)+(((Inputs!$C$6)-Inputs!$C$35)^2))/(2*Inputs!$C$36^2)))+Inputs!$C$37*(0.55*SIN(2*PI()*(Model_Data!A237)/Inputs!$C$39)+0.35*COS(2*PI()*(Inputs!$C$6)/Inputs!$C$40)+0.2*SIN(2*PI()*((Model_Data!A237)+(Inputs!$C$6))/(0.5*(Inputs!$C$39+Inputs!$C$40))))+Inputs!$C$38*SIN(2*PI()*(Model_Data!A237)/Inputs!$C$39)*SIN(2*PI()*(Inputs!$C$6)/Inputs!$C$40)+-Inputs!$C$41*EXP(-(((Inputs!$C$6)-Inputs!$C$43)^2)/(2*Inputs!$C$44^2))*EXP(-(((Model_Data!A237)-Inputs!$C$42)^2)/(2*Inputs!$C$45^2))+Inputs!$C$48*(0.7*(0.45*SIN(2*PI()*(((Model_Data!A237)/Inputs!$C$49)+Inputs!$C$47*0.137))+0.35*COS(2*PI()*(((Inputs!$C$6)/Inputs!$C$50)+Inputs!$C$47*0.173))+0.2*SIN(2*PI()*(((Model_Data!A237)+(Inputs!$C$6))/(0.5*(Inputs!$C$49+Inputs!$C$50))+Inputs!$C$47*0.097)))+0.3*(2*((SIN(((Model_Data!A237)*12.9898+(Inputs!$C$6)*78.233+Inputs!$C$47*37.719))*43758.5453)-INT((SIN(((Model_Data!A237)*12.9898+(Inputs!$C$6)*78.233+Inputs!$C$47*37.719))*43758.5453)))-1)))</f>
        <v>178.27771269066969</v>
      </c>
      <c r="G237" s="9">
        <f>(Inputs!$C$51*(115*EXP(-(((0)-25)^2)/(4.5^2))+70*EXP(-(((0)+38)^2)/(7^2))*(0.55+0.45*SIN(2*PI()*(Model_Data!A237)/45))+24*SIN(2*PI()*(0)/9+(Model_Data!A237)/18)*EXP(-(((0)+5)^2)/(22^2))+18*SIN(2*PI()*(Model_Data!A237)/70))+Inputs!$C$28*EXP(-(((Model_Data!A237)-Inputs!$C$29)^2)/(2*Inputs!$C$31^2))*EXP(-(((0)-Inputs!$C$30)^2)/(2*Inputs!$C$32^2))+-Inputs!$C$33*EXP(-(((((Model_Data!A237)-Inputs!$C$34)^2)+(((0)-Inputs!$C$35)^2))/(2*Inputs!$C$36^2)))+Inputs!$C$37*(0.55*SIN(2*PI()*(Model_Data!A237)/Inputs!$C$39)+0.35*COS(2*PI()*(0)/Inputs!$C$40)+0.2*SIN(2*PI()*((Model_Data!A237)+(0))/(0.5*(Inputs!$C$39+Inputs!$C$40))))+Inputs!$C$38*SIN(2*PI()*(Model_Data!A237)/Inputs!$C$39)*SIN(2*PI()*(0)/Inputs!$C$40)+-Inputs!$C$41*EXP(-(((0)-Inputs!$C$43)^2)/(2*Inputs!$C$44^2))*EXP(-(((Model_Data!A237)-Inputs!$C$42)^2)/(2*Inputs!$C$45^2))+Inputs!$C$48*(0.7*(0.45*SIN(2*PI()*(((Model_Data!A237)/Inputs!$C$49)+Inputs!$C$47*0.137))+0.35*COS(2*PI()*(((0)/Inputs!$C$50)+Inputs!$C$47*0.173))+0.2*SIN(2*PI()*(((Model_Data!A237)+(0))/(0.5*(Inputs!$C$49+Inputs!$C$50))+Inputs!$C$47*0.097)))+0.3*(2*((SIN(((Model_Data!A237)*12.9898+(0)*78.233+Inputs!$C$47*37.719))*43758.5453)-INT((SIN(((Model_Data!A237)*12.9898+(0)*78.233+Inputs!$C$47*37.719))*43758.5453)))-1)))</f>
        <v>25.968776223167485</v>
      </c>
      <c r="H237" s="10"/>
      <c r="I237" s="9">
        <f>Model_Data!A237</f>
        <v>57.5</v>
      </c>
      <c r="J237" s="9">
        <f>(Inputs!$C$51*(115*EXP(-(((Inputs!$C$6)-25)^2)/(4.5^2))+70*EXP(-(((Inputs!$C$6)+38)^2)/(7^2))*(0.55+0.45*SIN(2*PI()*(Model_Data!A237)/45))+24*SIN(2*PI()*(Inputs!$C$6)/9+(Model_Data!A237)/18)*EXP(-(((Inputs!$C$6)+5)^2)/(22^2))+18*SIN(2*PI()*(Model_Data!A237)/70))+Inputs!$C$28*EXP(-(((Model_Data!A237)-Inputs!$C$29)^2)/(2*Inputs!$C$31^2))*EXP(-(((Inputs!$C$6)-Inputs!$C$30)^2)/(2*Inputs!$C$32^2))+-Inputs!$C$33*EXP(-(((((Model_Data!A237)-Inputs!$C$34)^2)+(((Inputs!$C$6)-Inputs!$C$35)^2))/(2*Inputs!$C$36^2)))+Inputs!$C$37*(0.55*SIN(2*PI()*(Model_Data!A237)/Inputs!$C$39)+0.35*COS(2*PI()*(Inputs!$C$6)/Inputs!$C$40)+0.2*SIN(2*PI()*((Model_Data!A237)+(Inputs!$C$6))/(0.5*(Inputs!$C$39+Inputs!$C$40))))+Inputs!$C$38*SIN(2*PI()*(Model_Data!A237)/Inputs!$C$39)*SIN(2*PI()*(Inputs!$C$6)/Inputs!$C$40)+-Inputs!$C$41*EXP(-(((Inputs!$C$6)-Inputs!$C$43)^2)/(2*Inputs!$C$44^2))*EXP(-(((Model_Data!A237)-Inputs!$C$42)^2)/(2*Inputs!$C$45^2))+Inputs!$C$48*(0.7*(0.45*SIN(2*PI()*(((Model_Data!A237)/Inputs!$C$49)+Inputs!$C$47*0.137))+0.35*COS(2*PI()*(((Inputs!$C$6)/Inputs!$C$50)+Inputs!$C$47*0.173))+0.2*SIN(2*PI()*(((Model_Data!A237)+(Inputs!$C$6))/(0.5*(Inputs!$C$49+Inputs!$C$50))+Inputs!$C$47*0.097)))+0.3*(2*((SIN(((Model_Data!A237)*12.9898+(Inputs!$C$6)*78.233+Inputs!$C$47*37.719))*43758.5453)-INT((SIN(((Model_Data!A237)*12.9898+(Inputs!$C$6)*78.233+Inputs!$C$47*37.719))*43758.5453)))-1)))</f>
        <v>178.27771269066969</v>
      </c>
      <c r="K237" s="9">
        <f>-((((SQRT((Model_Data!A237)^2+Inputs!$C$6^2+((Model_Data!B237)-((Inputs!$C$51*(115*EXP(-(((Inputs!$C$6)-25)^2)/(4.5^2))+70*EXP(-(((Inputs!$C$6)+38)^2)/(7^2))*(0.55+0.45*SIN(2*PI()*(Model_Data!A237)/45))+24*SIN(2*PI()*(Inputs!$C$6)/9+(Model_Data!A237)/18)*EXP(-(((Inputs!$C$6)+5)^2)/(22^2))+18*SIN(2*PI()*(Model_Data!A237)/70))+Inputs!$C$28*EXP(-(((Model_Data!A237)-Inputs!$C$29)^2)/(2*Inputs!$C$31^2))*EXP(-(((Inputs!$C$6)-Inputs!$C$30)^2)/(2*Inputs!$C$32^2))+-Inputs!$C$33*EXP(-(((((Model_Data!A237)-Inputs!$C$34)^2)+(((Inputs!$C$6)-Inputs!$C$35)^2))/(2*Inputs!$C$36^2)))+Inputs!$C$37*(0.55*SIN(2*PI()*(Model_Data!A237)/Inputs!$C$39)+0.35*COS(2*PI()*(Inputs!$C$6)/Inputs!$C$40)+0.2*SIN(2*PI()*((Model_Data!A237)+(Inputs!$C$6))/(0.5*(Inputs!$C$39+Inputs!$C$40))))+Inputs!$C$38*SIN(2*PI()*(Model_Data!A237)/Inputs!$C$39)*SIN(2*PI()*(Inputs!$C$6)/Inputs!$C$40)+-Inputs!$C$41*EXP(-(((Inputs!$C$6)-Inputs!$C$43)^2)/(2*Inputs!$C$44^2))*EXP(-(((Model_Data!A237)-Inputs!$C$42)^2)/(2*Inputs!$C$45^2))+Inputs!$C$48*(0.7*(0.45*SIN(2*PI()*(((Model_Data!A237)/Inputs!$C$49)+Inputs!$C$47*0.137))+0.35*COS(2*PI()*(((Inputs!$C$6)/Inputs!$C$50)+Inputs!$C$47*0.173))+0.2*SIN(2*PI()*(((Model_Data!A237)+(Inputs!$C$6))/(0.5*(Inputs!$C$49+Inputs!$C$50))+Inputs!$C$47*0.097)))+0.3*(2*((SIN(((Model_Data!A237)*12.9898+(Inputs!$C$6)*78.233+Inputs!$C$47*37.719))*43758.5453)-INT((SIN(((Model_Data!A237)*12.9898+(Inputs!$C$6)*78.233+Inputs!$C$47*37.719))*43758.5453)))-1))))/1000)^2))-(((Model_Data!B237)-((Inputs!$C$51*(115*EXP(-(((0)-25)^2)/(4.5^2))+70*EXP(-(((0)+38)^2)/(7^2))*(0.55+0.45*SIN(2*PI()*(Model_Data!A237)/45))+24*SIN(2*PI()*(0)/9+(Model_Data!A237)/18)*EXP(-(((0)+5)^2)/(22^2))+18*SIN(2*PI()*(Model_Data!A237)/70))+Inputs!$C$28*EXP(-(((Model_Data!A237)-Inputs!$C$29)^2)/(2*Inputs!$C$31^2))*EXP(-(((0)-Inputs!$C$30)^2)/(2*Inputs!$C$32^2))+-Inputs!$C$33*EXP(-(((((Model_Data!A237)-Inputs!$C$34)^2)+(((0)-Inputs!$C$35)^2))/(2*Inputs!$C$36^2)))+Inputs!$C$37*(0.55*SIN(2*PI()*(Model_Data!A237)/Inputs!$C$39)+0.35*COS(2*PI()*(0)/Inputs!$C$40)+0.2*SIN(2*PI()*((Model_Data!A237)+(0))/(0.5*(Inputs!$C$39+Inputs!$C$40))))+Inputs!$C$38*SIN(2*PI()*(Model_Data!A237)/Inputs!$C$39)*SIN(2*PI()*(0)/Inputs!$C$40)+-Inputs!$C$41*EXP(-(((0)-Inputs!$C$43)^2)/(2*Inputs!$C$44^2))*EXP(-(((Model_Data!A237)-Inputs!$C$42)^2)/(2*Inputs!$C$45^2))+Inputs!$C$48*(0.7*(0.45*SIN(2*PI()*(((Model_Data!A237)/Inputs!$C$49)+Inputs!$C$47*0.137))+0.35*COS(2*PI()*(((0)/Inputs!$C$50)+Inputs!$C$47*0.173))+0.2*SIN(2*PI()*(((Model_Data!A237)+(0))/(0.5*(Inputs!$C$49+Inputs!$C$50))+Inputs!$C$47*0.097)))+0.3*(2*((SIN(((Model_Data!A237)*12.9898+(0)*78.233+Inputs!$C$47*37.719))*43758.5453)-INT((SIN(((Model_Data!A237)*12.9898+(0)*78.233+Inputs!$C$47*37.719))*43758.5453)))-1))))/1000)))*1000/Inputs!$C$12)-Model_Data!F237)</f>
        <v>84.379593439884502</v>
      </c>
      <c r="L237" s="10"/>
      <c r="M237" s="9">
        <f>Model_Data!A237</f>
        <v>57.5</v>
      </c>
      <c r="N237" s="9">
        <f>Model_Data!P237</f>
        <v>-427.22857806368108</v>
      </c>
      <c r="O237" s="9">
        <f t="shared" si="6"/>
        <v>-437.0674772008897</v>
      </c>
      <c r="P237" s="9">
        <f>Model_Data!Q237</f>
        <v>-64.148435144696862</v>
      </c>
      <c r="Q237" s="9">
        <f t="shared" si="7"/>
        <v>-65.625747327460928</v>
      </c>
      <c r="R237" s="10"/>
      <c r="S237" s="9">
        <f>Model_Data!A237</f>
        <v>57.5</v>
      </c>
      <c r="T237" s="9">
        <f>Model_Data!B237-Inputs!$C$5</f>
        <v>3.6736111111110858</v>
      </c>
      <c r="U237" s="10"/>
      <c r="V237" s="9">
        <f>Model_Data!A237</f>
        <v>57.5</v>
      </c>
      <c r="W237" s="9">
        <f>((SQRT((Model_Data!A237)^2+Inputs!$C$6^2+Inputs!$C$5^2)-Inputs!$C$5)*1000/Inputs!$C$12)</f>
        <v>2743.956582224499</v>
      </c>
      <c r="X237" s="9">
        <f>Model_Data!F237</f>
        <v>2719.2825461397751</v>
      </c>
      <c r="Y237" s="10"/>
      <c r="Z237" s="9">
        <f>Model_Data!A237</f>
        <v>57.5</v>
      </c>
      <c r="AA237" s="9">
        <f>SQRT((Model_Data!A237)^2+Inputs!$C$6^2+((Model_Data!B237)-((Inputs!$C$51*(115*EXP(-(((Inputs!$C$6)-25)^2)/(4.5^2))+70*EXP(-(((Inputs!$C$6)+38)^2)/(7^2))*(0.55+0.45*SIN(2*PI()*(Model_Data!A237)/45))+24*SIN(2*PI()*(Inputs!$C$6)/9+(Model_Data!A237)/18)*EXP(-(((Inputs!$C$6)+5)^2)/(22^2))+18*SIN(2*PI()*(Model_Data!A237)/70))+Inputs!$C$28*EXP(-(((Model_Data!A237)-Inputs!$C$29)^2)/(2*Inputs!$C$31^2))*EXP(-(((Inputs!$C$6)-Inputs!$C$30)^2)/(2*Inputs!$C$32^2))+-Inputs!$C$33*EXP(-(((((Model_Data!A237)-Inputs!$C$34)^2)+(((Inputs!$C$6)-Inputs!$C$35)^2))/(2*Inputs!$C$36^2)))+Inputs!$C$37*(0.55*SIN(2*PI()*(Model_Data!A237)/Inputs!$C$39)+0.35*COS(2*PI()*(Inputs!$C$6)/Inputs!$C$40)+0.2*SIN(2*PI()*((Model_Data!A237)+(Inputs!$C$6))/(0.5*(Inputs!$C$39+Inputs!$C$40))))+Inputs!$C$38*SIN(2*PI()*(Model_Data!A237)/Inputs!$C$39)*SIN(2*PI()*(Inputs!$C$6)/Inputs!$C$40)+-Inputs!$C$41*EXP(-(((Inputs!$C$6)-Inputs!$C$43)^2)/(2*Inputs!$C$44^2))*EXP(-(((Model_Data!A237)-Inputs!$C$42)^2)/(2*Inputs!$C$45^2))+Inputs!$C$48*(0.7*(0.45*SIN(2*PI()*(((Model_Data!A237)/Inputs!$C$49)+Inputs!$C$47*0.137))+0.35*COS(2*PI()*(((Inputs!$C$6)/Inputs!$C$50)+Inputs!$C$47*0.173))+0.2*SIN(2*PI()*(((Model_Data!A237)+(Inputs!$C$6))/(0.5*(Inputs!$C$49+Inputs!$C$50))+Inputs!$C$47*0.097)))+0.3*(2*((SIN(((Model_Data!A237)*12.9898+(Inputs!$C$6)*78.233+Inputs!$C$47*37.719))*43758.5453)-INT((SIN(((Model_Data!A237)*12.9898+(Inputs!$C$6)*78.233+Inputs!$C$47*37.719))*43758.5453)))-1))))/1000)^2)</f>
        <v>408.33776959069371</v>
      </c>
      <c r="AB237" s="9">
        <f>1000*(AA238-AA236)/(Z238-Z236)*Inputs!$C$11</f>
        <v>1092.6686930022242</v>
      </c>
      <c r="AC237" s="9">
        <f>-2*AB237/Inputs!$C$13</f>
        <v>-437.0674772008897</v>
      </c>
      <c r="AD237" s="9">
        <f>-2*AB237/Inputs!$C$14</f>
        <v>-65.625747327460928</v>
      </c>
    </row>
    <row r="238" spans="1:30">
      <c r="A238" s="9">
        <f>Model_Data!A238</f>
        <v>58</v>
      </c>
      <c r="B238" s="9">
        <f>((SQRT((Model_Data!A238)^2+Inputs!$C$6^2+Inputs!$C$5^2)-Inputs!$C$5)*1000/Inputs!$C$12)</f>
        <v>2784.0186048512683</v>
      </c>
      <c r="C238" s="9">
        <f>Model_Data!F238</f>
        <v>2758.5554540274488</v>
      </c>
      <c r="D238" s="9">
        <f>(((SQRT((Model_Data!A238)^2+Inputs!$C$6^2+((Model_Data!B238)-((Inputs!$C$51*(115*EXP(-(((Inputs!$C$6)-25)^2)/(4.5^2))+70*EXP(-(((Inputs!$C$6)+38)^2)/(7^2))*(0.55+0.45*SIN(2*PI()*(Model_Data!A238)/45))+24*SIN(2*PI()*(Inputs!$C$6)/9+(Model_Data!A238)/18)*EXP(-(((Inputs!$C$6)+5)^2)/(22^2))+18*SIN(2*PI()*(Model_Data!A238)/70))+Inputs!$C$28*EXP(-(((Model_Data!A238)-Inputs!$C$29)^2)/(2*Inputs!$C$31^2))*EXP(-(((Inputs!$C$6)-Inputs!$C$30)^2)/(2*Inputs!$C$32^2))+-Inputs!$C$33*EXP(-(((((Model_Data!A238)-Inputs!$C$34)^2)+(((Inputs!$C$6)-Inputs!$C$35)^2))/(2*Inputs!$C$36^2)))+Inputs!$C$37*(0.55*SIN(2*PI()*(Model_Data!A238)/Inputs!$C$39)+0.35*COS(2*PI()*(Inputs!$C$6)/Inputs!$C$40)+0.2*SIN(2*PI()*((Model_Data!A238)+(Inputs!$C$6))/(0.5*(Inputs!$C$39+Inputs!$C$40))))+Inputs!$C$38*SIN(2*PI()*(Model_Data!A238)/Inputs!$C$39)*SIN(2*PI()*(Inputs!$C$6)/Inputs!$C$40)+-Inputs!$C$41*EXP(-(((Inputs!$C$6)-Inputs!$C$43)^2)/(2*Inputs!$C$44^2))*EXP(-(((Model_Data!A238)-Inputs!$C$42)^2)/(2*Inputs!$C$45^2))+Inputs!$C$48*(0.7*(0.45*SIN(2*PI()*(((Model_Data!A238)/Inputs!$C$49)+Inputs!$C$47*0.137))+0.35*COS(2*PI()*(((Inputs!$C$6)/Inputs!$C$50)+Inputs!$C$47*0.173))+0.2*SIN(2*PI()*(((Model_Data!A238)+(Inputs!$C$6))/(0.5*(Inputs!$C$49+Inputs!$C$50))+Inputs!$C$47*0.097)))+0.3*(2*((SIN(((Model_Data!A238)*12.9898+(Inputs!$C$6)*78.233+Inputs!$C$47*37.719))*43758.5453)-INT((SIN(((Model_Data!A238)*12.9898+(Inputs!$C$6)*78.233+Inputs!$C$47*37.719))*43758.5453)))-1))))/1000)^2))-(((Model_Data!B238)-((Inputs!$C$51*(115*EXP(-(((0)-25)^2)/(4.5^2))+70*EXP(-(((0)+38)^2)/(7^2))*(0.55+0.45*SIN(2*PI()*(Model_Data!A238)/45))+24*SIN(2*PI()*(0)/9+(Model_Data!A238)/18)*EXP(-(((0)+5)^2)/(22^2))+18*SIN(2*PI()*(Model_Data!A238)/70))+Inputs!$C$28*EXP(-(((Model_Data!A238)-Inputs!$C$29)^2)/(2*Inputs!$C$31^2))*EXP(-(((0)-Inputs!$C$30)^2)/(2*Inputs!$C$32^2))+-Inputs!$C$33*EXP(-(((((Model_Data!A238)-Inputs!$C$34)^2)+(((0)-Inputs!$C$35)^2))/(2*Inputs!$C$36^2)))+Inputs!$C$37*(0.55*SIN(2*PI()*(Model_Data!A238)/Inputs!$C$39)+0.35*COS(2*PI()*(0)/Inputs!$C$40)+0.2*SIN(2*PI()*((Model_Data!A238)+(0))/(0.5*(Inputs!$C$39+Inputs!$C$40))))+Inputs!$C$38*SIN(2*PI()*(Model_Data!A238)/Inputs!$C$39)*SIN(2*PI()*(0)/Inputs!$C$40)+-Inputs!$C$41*EXP(-(((0)-Inputs!$C$43)^2)/(2*Inputs!$C$44^2))*EXP(-(((Model_Data!A238)-Inputs!$C$42)^2)/(2*Inputs!$C$45^2))+Inputs!$C$48*(0.7*(0.45*SIN(2*PI()*(((Model_Data!A238)/Inputs!$C$49)+Inputs!$C$47*0.137))+0.35*COS(2*PI()*(((0)/Inputs!$C$50)+Inputs!$C$47*0.173))+0.2*SIN(2*PI()*(((Model_Data!A238)+(0))/(0.5*(Inputs!$C$49+Inputs!$C$50))+Inputs!$C$47*0.097)))+0.3*(2*((SIN(((Model_Data!A238)*12.9898+(0)*78.233+Inputs!$C$47*37.719))*43758.5453)-INT((SIN(((Model_Data!A238)*12.9898+(0)*78.233+Inputs!$C$47*37.719))*43758.5453)))-1))))/1000)))*1000/Inputs!$C$12)</f>
        <v>2667.4773146100511</v>
      </c>
      <c r="E238" s="9">
        <f>Model_Data!A238</f>
        <v>58</v>
      </c>
      <c r="F238" s="9">
        <f>(Inputs!$C$51*(115*EXP(-(((Inputs!$C$6)-25)^2)/(4.5^2))+70*EXP(-(((Inputs!$C$6)+38)^2)/(7^2))*(0.55+0.45*SIN(2*PI()*(Model_Data!A238)/45))+24*SIN(2*PI()*(Inputs!$C$6)/9+(Model_Data!A238)/18)*EXP(-(((Inputs!$C$6)+5)^2)/(22^2))+18*SIN(2*PI()*(Model_Data!A238)/70))+Inputs!$C$28*EXP(-(((Model_Data!A238)-Inputs!$C$29)^2)/(2*Inputs!$C$31^2))*EXP(-(((Inputs!$C$6)-Inputs!$C$30)^2)/(2*Inputs!$C$32^2))+-Inputs!$C$33*EXP(-(((((Model_Data!A238)-Inputs!$C$34)^2)+(((Inputs!$C$6)-Inputs!$C$35)^2))/(2*Inputs!$C$36^2)))+Inputs!$C$37*(0.55*SIN(2*PI()*(Model_Data!A238)/Inputs!$C$39)+0.35*COS(2*PI()*(Inputs!$C$6)/Inputs!$C$40)+0.2*SIN(2*PI()*((Model_Data!A238)+(Inputs!$C$6))/(0.5*(Inputs!$C$39+Inputs!$C$40))))+Inputs!$C$38*SIN(2*PI()*(Model_Data!A238)/Inputs!$C$39)*SIN(2*PI()*(Inputs!$C$6)/Inputs!$C$40)+-Inputs!$C$41*EXP(-(((Inputs!$C$6)-Inputs!$C$43)^2)/(2*Inputs!$C$44^2))*EXP(-(((Model_Data!A238)-Inputs!$C$42)^2)/(2*Inputs!$C$45^2))+Inputs!$C$48*(0.7*(0.45*SIN(2*PI()*(((Model_Data!A238)/Inputs!$C$49)+Inputs!$C$47*0.137))+0.35*COS(2*PI()*(((Inputs!$C$6)/Inputs!$C$50)+Inputs!$C$47*0.173))+0.2*SIN(2*PI()*(((Model_Data!A238)+(Inputs!$C$6))/(0.5*(Inputs!$C$49+Inputs!$C$50))+Inputs!$C$47*0.097)))+0.3*(2*((SIN(((Model_Data!A238)*12.9898+(Inputs!$C$6)*78.233+Inputs!$C$47*37.719))*43758.5453)-INT((SIN(((Model_Data!A238)*12.9898+(Inputs!$C$6)*78.233+Inputs!$C$47*37.719))*43758.5453)))-1)))</f>
        <v>194.52778179385766</v>
      </c>
      <c r="G238" s="9">
        <f>(Inputs!$C$51*(115*EXP(-(((0)-25)^2)/(4.5^2))+70*EXP(-(((0)+38)^2)/(7^2))*(0.55+0.45*SIN(2*PI()*(Model_Data!A238)/45))+24*SIN(2*PI()*(0)/9+(Model_Data!A238)/18)*EXP(-(((0)+5)^2)/(22^2))+18*SIN(2*PI()*(Model_Data!A238)/70))+Inputs!$C$28*EXP(-(((Model_Data!A238)-Inputs!$C$29)^2)/(2*Inputs!$C$31^2))*EXP(-(((0)-Inputs!$C$30)^2)/(2*Inputs!$C$32^2))+-Inputs!$C$33*EXP(-(((((Model_Data!A238)-Inputs!$C$34)^2)+(((0)-Inputs!$C$35)^2))/(2*Inputs!$C$36^2)))+Inputs!$C$37*(0.55*SIN(2*PI()*(Model_Data!A238)/Inputs!$C$39)+0.35*COS(2*PI()*(0)/Inputs!$C$40)+0.2*SIN(2*PI()*((Model_Data!A238)+(0))/(0.5*(Inputs!$C$39+Inputs!$C$40))))+Inputs!$C$38*SIN(2*PI()*(Model_Data!A238)/Inputs!$C$39)*SIN(2*PI()*(0)/Inputs!$C$40)+-Inputs!$C$41*EXP(-(((0)-Inputs!$C$43)^2)/(2*Inputs!$C$44^2))*EXP(-(((Model_Data!A238)-Inputs!$C$42)^2)/(2*Inputs!$C$45^2))+Inputs!$C$48*(0.7*(0.45*SIN(2*PI()*(((Model_Data!A238)/Inputs!$C$49)+Inputs!$C$47*0.137))+0.35*COS(2*PI()*(((0)/Inputs!$C$50)+Inputs!$C$47*0.173))+0.2*SIN(2*PI()*(((Model_Data!A238)+(0))/(0.5*(Inputs!$C$49+Inputs!$C$50))+Inputs!$C$47*0.097)))+0.3*(2*((SIN(((Model_Data!A238)*12.9898+(0)*78.233+Inputs!$C$47*37.719))*43758.5453)-INT((SIN(((Model_Data!A238)*12.9898+(0)*78.233+Inputs!$C$47*37.719))*43758.5453)))-1)))</f>
        <v>30.070182113253747</v>
      </c>
      <c r="H238" s="10"/>
      <c r="I238" s="9">
        <f>Model_Data!A238</f>
        <v>58</v>
      </c>
      <c r="J238" s="9">
        <f>(Inputs!$C$51*(115*EXP(-(((Inputs!$C$6)-25)^2)/(4.5^2))+70*EXP(-(((Inputs!$C$6)+38)^2)/(7^2))*(0.55+0.45*SIN(2*PI()*(Model_Data!A238)/45))+24*SIN(2*PI()*(Inputs!$C$6)/9+(Model_Data!A238)/18)*EXP(-(((Inputs!$C$6)+5)^2)/(22^2))+18*SIN(2*PI()*(Model_Data!A238)/70))+Inputs!$C$28*EXP(-(((Model_Data!A238)-Inputs!$C$29)^2)/(2*Inputs!$C$31^2))*EXP(-(((Inputs!$C$6)-Inputs!$C$30)^2)/(2*Inputs!$C$32^2))+-Inputs!$C$33*EXP(-(((((Model_Data!A238)-Inputs!$C$34)^2)+(((Inputs!$C$6)-Inputs!$C$35)^2))/(2*Inputs!$C$36^2)))+Inputs!$C$37*(0.55*SIN(2*PI()*(Model_Data!A238)/Inputs!$C$39)+0.35*COS(2*PI()*(Inputs!$C$6)/Inputs!$C$40)+0.2*SIN(2*PI()*((Model_Data!A238)+(Inputs!$C$6))/(0.5*(Inputs!$C$39+Inputs!$C$40))))+Inputs!$C$38*SIN(2*PI()*(Model_Data!A238)/Inputs!$C$39)*SIN(2*PI()*(Inputs!$C$6)/Inputs!$C$40)+-Inputs!$C$41*EXP(-(((Inputs!$C$6)-Inputs!$C$43)^2)/(2*Inputs!$C$44^2))*EXP(-(((Model_Data!A238)-Inputs!$C$42)^2)/(2*Inputs!$C$45^2))+Inputs!$C$48*(0.7*(0.45*SIN(2*PI()*(((Model_Data!A238)/Inputs!$C$49)+Inputs!$C$47*0.137))+0.35*COS(2*PI()*(((Inputs!$C$6)/Inputs!$C$50)+Inputs!$C$47*0.173))+0.2*SIN(2*PI()*(((Model_Data!A238)+(Inputs!$C$6))/(0.5*(Inputs!$C$49+Inputs!$C$50))+Inputs!$C$47*0.097)))+0.3*(2*((SIN(((Model_Data!A238)*12.9898+(Inputs!$C$6)*78.233+Inputs!$C$47*37.719))*43758.5453)-INT((SIN(((Model_Data!A238)*12.9898+(Inputs!$C$6)*78.233+Inputs!$C$47*37.719))*43758.5453)))-1)))</f>
        <v>194.52778179385766</v>
      </c>
      <c r="K238" s="9">
        <f>-((((SQRT((Model_Data!A238)^2+Inputs!$C$6^2+((Model_Data!B238)-((Inputs!$C$51*(115*EXP(-(((Inputs!$C$6)-25)^2)/(4.5^2))+70*EXP(-(((Inputs!$C$6)+38)^2)/(7^2))*(0.55+0.45*SIN(2*PI()*(Model_Data!A238)/45))+24*SIN(2*PI()*(Inputs!$C$6)/9+(Model_Data!A238)/18)*EXP(-(((Inputs!$C$6)+5)^2)/(22^2))+18*SIN(2*PI()*(Model_Data!A238)/70))+Inputs!$C$28*EXP(-(((Model_Data!A238)-Inputs!$C$29)^2)/(2*Inputs!$C$31^2))*EXP(-(((Inputs!$C$6)-Inputs!$C$30)^2)/(2*Inputs!$C$32^2))+-Inputs!$C$33*EXP(-(((((Model_Data!A238)-Inputs!$C$34)^2)+(((Inputs!$C$6)-Inputs!$C$35)^2))/(2*Inputs!$C$36^2)))+Inputs!$C$37*(0.55*SIN(2*PI()*(Model_Data!A238)/Inputs!$C$39)+0.35*COS(2*PI()*(Inputs!$C$6)/Inputs!$C$40)+0.2*SIN(2*PI()*((Model_Data!A238)+(Inputs!$C$6))/(0.5*(Inputs!$C$39+Inputs!$C$40))))+Inputs!$C$38*SIN(2*PI()*(Model_Data!A238)/Inputs!$C$39)*SIN(2*PI()*(Inputs!$C$6)/Inputs!$C$40)+-Inputs!$C$41*EXP(-(((Inputs!$C$6)-Inputs!$C$43)^2)/(2*Inputs!$C$44^2))*EXP(-(((Model_Data!A238)-Inputs!$C$42)^2)/(2*Inputs!$C$45^2))+Inputs!$C$48*(0.7*(0.45*SIN(2*PI()*(((Model_Data!A238)/Inputs!$C$49)+Inputs!$C$47*0.137))+0.35*COS(2*PI()*(((Inputs!$C$6)/Inputs!$C$50)+Inputs!$C$47*0.173))+0.2*SIN(2*PI()*(((Model_Data!A238)+(Inputs!$C$6))/(0.5*(Inputs!$C$49+Inputs!$C$50))+Inputs!$C$47*0.097)))+0.3*(2*((SIN(((Model_Data!A238)*12.9898+(Inputs!$C$6)*78.233+Inputs!$C$47*37.719))*43758.5453)-INT((SIN(((Model_Data!A238)*12.9898+(Inputs!$C$6)*78.233+Inputs!$C$47*37.719))*43758.5453)))-1))))/1000)^2))-(((Model_Data!B238)-((Inputs!$C$51*(115*EXP(-(((0)-25)^2)/(4.5^2))+70*EXP(-(((0)+38)^2)/(7^2))*(0.55+0.45*SIN(2*PI()*(Model_Data!A238)/45))+24*SIN(2*PI()*(0)/9+(Model_Data!A238)/18)*EXP(-(((0)+5)^2)/(22^2))+18*SIN(2*PI()*(Model_Data!A238)/70))+Inputs!$C$28*EXP(-(((Model_Data!A238)-Inputs!$C$29)^2)/(2*Inputs!$C$31^2))*EXP(-(((0)-Inputs!$C$30)^2)/(2*Inputs!$C$32^2))+-Inputs!$C$33*EXP(-(((((Model_Data!A238)-Inputs!$C$34)^2)+(((0)-Inputs!$C$35)^2))/(2*Inputs!$C$36^2)))+Inputs!$C$37*(0.55*SIN(2*PI()*(Model_Data!A238)/Inputs!$C$39)+0.35*COS(2*PI()*(0)/Inputs!$C$40)+0.2*SIN(2*PI()*((Model_Data!A238)+(0))/(0.5*(Inputs!$C$39+Inputs!$C$40))))+Inputs!$C$38*SIN(2*PI()*(Model_Data!A238)/Inputs!$C$39)*SIN(2*PI()*(0)/Inputs!$C$40)+-Inputs!$C$41*EXP(-(((0)-Inputs!$C$43)^2)/(2*Inputs!$C$44^2))*EXP(-(((Model_Data!A238)-Inputs!$C$42)^2)/(2*Inputs!$C$45^2))+Inputs!$C$48*(0.7*(0.45*SIN(2*PI()*(((Model_Data!A238)/Inputs!$C$49)+Inputs!$C$47*0.137))+0.35*COS(2*PI()*(((0)/Inputs!$C$50)+Inputs!$C$47*0.173))+0.2*SIN(2*PI()*(((Model_Data!A238)+(0))/(0.5*(Inputs!$C$49+Inputs!$C$50))+Inputs!$C$47*0.097)))+0.3*(2*((SIN(((Model_Data!A238)*12.9898+(0)*78.233+Inputs!$C$47*37.719))*43758.5453)-INT((SIN(((Model_Data!A238)*12.9898+(0)*78.233+Inputs!$C$47*37.719))*43758.5453)))-1))))/1000)))*1000/Inputs!$C$12)-Model_Data!F238)</f>
        <v>91.078139417397779</v>
      </c>
      <c r="L238" s="10"/>
      <c r="M238" s="9">
        <f>Model_Data!A238</f>
        <v>58</v>
      </c>
      <c r="N238" s="9">
        <f>Model_Data!P238</f>
        <v>-430.83460321358444</v>
      </c>
      <c r="O238" s="9">
        <f t="shared" si="6"/>
        <v>-415.03889615923981</v>
      </c>
      <c r="P238" s="9">
        <f>Model_Data!Q238</f>
        <v>-64.689880362400075</v>
      </c>
      <c r="Q238" s="9">
        <f t="shared" si="7"/>
        <v>-62.318152576462438</v>
      </c>
      <c r="R238" s="10"/>
      <c r="S238" s="9">
        <f>Model_Data!A238</f>
        <v>58</v>
      </c>
      <c r="T238" s="9">
        <f>Model_Data!B238-Inputs!$C$5</f>
        <v>3.737777777777751</v>
      </c>
      <c r="U238" s="10"/>
      <c r="V238" s="9">
        <f>Model_Data!A238</f>
        <v>58</v>
      </c>
      <c r="W238" s="9">
        <f>((SQRT((Model_Data!A238)^2+Inputs!$C$6^2+Inputs!$C$5^2)-Inputs!$C$5)*1000/Inputs!$C$12)</f>
        <v>2784.0186048512683</v>
      </c>
      <c r="X238" s="9">
        <f>Model_Data!F238</f>
        <v>2758.5554540274488</v>
      </c>
      <c r="Y238" s="10"/>
      <c r="Z238" s="9">
        <f>Model_Data!A238</f>
        <v>58</v>
      </c>
      <c r="AA238" s="9">
        <f>SQRT((Model_Data!A238)^2+Inputs!$C$6^2+((Model_Data!B238)-((Inputs!$C$51*(115*EXP(-(((Inputs!$C$6)-25)^2)/(4.5^2))+70*EXP(-(((Inputs!$C$6)+38)^2)/(7^2))*(0.55+0.45*SIN(2*PI()*(Model_Data!A238)/45))+24*SIN(2*PI()*(Inputs!$C$6)/9+(Model_Data!A238)/18)*EXP(-(((Inputs!$C$6)+5)^2)/(22^2))+18*SIN(2*PI()*(Model_Data!A238)/70))+Inputs!$C$28*EXP(-(((Model_Data!A238)-Inputs!$C$29)^2)/(2*Inputs!$C$31^2))*EXP(-(((Inputs!$C$6)-Inputs!$C$30)^2)/(2*Inputs!$C$32^2))+-Inputs!$C$33*EXP(-(((((Model_Data!A238)-Inputs!$C$34)^2)+(((Inputs!$C$6)-Inputs!$C$35)^2))/(2*Inputs!$C$36^2)))+Inputs!$C$37*(0.55*SIN(2*PI()*(Model_Data!A238)/Inputs!$C$39)+0.35*COS(2*PI()*(Inputs!$C$6)/Inputs!$C$40)+0.2*SIN(2*PI()*((Model_Data!A238)+(Inputs!$C$6))/(0.5*(Inputs!$C$39+Inputs!$C$40))))+Inputs!$C$38*SIN(2*PI()*(Model_Data!A238)/Inputs!$C$39)*SIN(2*PI()*(Inputs!$C$6)/Inputs!$C$40)+-Inputs!$C$41*EXP(-(((Inputs!$C$6)-Inputs!$C$43)^2)/(2*Inputs!$C$44^2))*EXP(-(((Model_Data!A238)-Inputs!$C$42)^2)/(2*Inputs!$C$45^2))+Inputs!$C$48*(0.7*(0.45*SIN(2*PI()*(((Model_Data!A238)/Inputs!$C$49)+Inputs!$C$47*0.137))+0.35*COS(2*PI()*(((Inputs!$C$6)/Inputs!$C$50)+Inputs!$C$47*0.173))+0.2*SIN(2*PI()*(((Model_Data!A238)+(Inputs!$C$6))/(0.5*(Inputs!$C$49+Inputs!$C$50))+Inputs!$C$47*0.097)))+0.3*(2*((SIN(((Model_Data!A238)*12.9898+(Inputs!$C$6)*78.233+Inputs!$C$47*37.719))*43758.5453)-INT((SIN(((Model_Data!A238)*12.9898+(Inputs!$C$6)*78.233+Inputs!$C$47*37.719))*43758.5453)))-1))))/1000)^2)</f>
        <v>408.45581721567038</v>
      </c>
      <c r="AB238" s="9">
        <f>1000*(AA239-AA237)/(Z239-Z237)*Inputs!$C$11</f>
        <v>1037.5972403980995</v>
      </c>
      <c r="AC238" s="9">
        <f>-2*AB238/Inputs!$C$13</f>
        <v>-415.03889615923981</v>
      </c>
      <c r="AD238" s="9">
        <f>-2*AB238/Inputs!$C$14</f>
        <v>-62.318152576462438</v>
      </c>
    </row>
    <row r="239" spans="1:30">
      <c r="A239" s="9">
        <f>Model_Data!A239</f>
        <v>58.5</v>
      </c>
      <c r="B239" s="9">
        <f>((SQRT((Model_Data!A239)^2+Inputs!$C$6^2+Inputs!$C$5^2)-Inputs!$C$5)*1000/Inputs!$C$12)</f>
        <v>2824.4203395046129</v>
      </c>
      <c r="C239" s="9">
        <f>Model_Data!F239</f>
        <v>2798.1490936689197</v>
      </c>
      <c r="D239" s="9">
        <f>(((SQRT((Model_Data!A239)^2+Inputs!$C$6^2+((Model_Data!B239)-((Inputs!$C$51*(115*EXP(-(((Inputs!$C$6)-25)^2)/(4.5^2))+70*EXP(-(((Inputs!$C$6)+38)^2)/(7^2))*(0.55+0.45*SIN(2*PI()*(Model_Data!A239)/45))+24*SIN(2*PI()*(Inputs!$C$6)/9+(Model_Data!A239)/18)*EXP(-(((Inputs!$C$6)+5)^2)/(22^2))+18*SIN(2*PI()*(Model_Data!A239)/70))+Inputs!$C$28*EXP(-(((Model_Data!A239)-Inputs!$C$29)^2)/(2*Inputs!$C$31^2))*EXP(-(((Inputs!$C$6)-Inputs!$C$30)^2)/(2*Inputs!$C$32^2))+-Inputs!$C$33*EXP(-(((((Model_Data!A239)-Inputs!$C$34)^2)+(((Inputs!$C$6)-Inputs!$C$35)^2))/(2*Inputs!$C$36^2)))+Inputs!$C$37*(0.55*SIN(2*PI()*(Model_Data!A239)/Inputs!$C$39)+0.35*COS(2*PI()*(Inputs!$C$6)/Inputs!$C$40)+0.2*SIN(2*PI()*((Model_Data!A239)+(Inputs!$C$6))/(0.5*(Inputs!$C$39+Inputs!$C$40))))+Inputs!$C$38*SIN(2*PI()*(Model_Data!A239)/Inputs!$C$39)*SIN(2*PI()*(Inputs!$C$6)/Inputs!$C$40)+-Inputs!$C$41*EXP(-(((Inputs!$C$6)-Inputs!$C$43)^2)/(2*Inputs!$C$44^2))*EXP(-(((Model_Data!A239)-Inputs!$C$42)^2)/(2*Inputs!$C$45^2))+Inputs!$C$48*(0.7*(0.45*SIN(2*PI()*(((Model_Data!A239)/Inputs!$C$49)+Inputs!$C$47*0.137))+0.35*COS(2*PI()*(((Inputs!$C$6)/Inputs!$C$50)+Inputs!$C$47*0.173))+0.2*SIN(2*PI()*(((Model_Data!A239)+(Inputs!$C$6))/(0.5*(Inputs!$C$49+Inputs!$C$50))+Inputs!$C$47*0.097)))+0.3*(2*((SIN(((Model_Data!A239)*12.9898+(Inputs!$C$6)*78.233+Inputs!$C$47*37.719))*43758.5453)-INT((SIN(((Model_Data!A239)*12.9898+(Inputs!$C$6)*78.233+Inputs!$C$47*37.719))*43758.5453)))-1))))/1000)^2))-(((Model_Data!B239)-((Inputs!$C$51*(115*EXP(-(((0)-25)^2)/(4.5^2))+70*EXP(-(((0)+38)^2)/(7^2))*(0.55+0.45*SIN(2*PI()*(Model_Data!A239)/45))+24*SIN(2*PI()*(0)/9+(Model_Data!A239)/18)*EXP(-(((0)+5)^2)/(22^2))+18*SIN(2*PI()*(Model_Data!A239)/70))+Inputs!$C$28*EXP(-(((Model_Data!A239)-Inputs!$C$29)^2)/(2*Inputs!$C$31^2))*EXP(-(((0)-Inputs!$C$30)^2)/(2*Inputs!$C$32^2))+-Inputs!$C$33*EXP(-(((((Model_Data!A239)-Inputs!$C$34)^2)+(((0)-Inputs!$C$35)^2))/(2*Inputs!$C$36^2)))+Inputs!$C$37*(0.55*SIN(2*PI()*(Model_Data!A239)/Inputs!$C$39)+0.35*COS(2*PI()*(0)/Inputs!$C$40)+0.2*SIN(2*PI()*((Model_Data!A239)+(0))/(0.5*(Inputs!$C$39+Inputs!$C$40))))+Inputs!$C$38*SIN(2*PI()*(Model_Data!A239)/Inputs!$C$39)*SIN(2*PI()*(0)/Inputs!$C$40)+-Inputs!$C$41*EXP(-(((0)-Inputs!$C$43)^2)/(2*Inputs!$C$44^2))*EXP(-(((Model_Data!A239)-Inputs!$C$42)^2)/(2*Inputs!$C$45^2))+Inputs!$C$48*(0.7*(0.45*SIN(2*PI()*(((Model_Data!A239)/Inputs!$C$49)+Inputs!$C$47*0.137))+0.35*COS(2*PI()*(((0)/Inputs!$C$50)+Inputs!$C$47*0.173))+0.2*SIN(2*PI()*(((Model_Data!A239)+(0))/(0.5*(Inputs!$C$49+Inputs!$C$50))+Inputs!$C$47*0.097)))+0.3*(2*((SIN(((Model_Data!A239)*12.9898+(0)*78.233+Inputs!$C$47*37.719))*43758.5453)-INT((SIN(((Model_Data!A239)*12.9898+(0)*78.233+Inputs!$C$47*37.719))*43758.5453)))-1))))/1000)))*1000/Inputs!$C$12)</f>
        <v>2709.6034821973649</v>
      </c>
      <c r="E239" s="9">
        <f>Model_Data!A239</f>
        <v>58.5</v>
      </c>
      <c r="F239" s="9">
        <f>(Inputs!$C$51*(115*EXP(-(((Inputs!$C$6)-25)^2)/(4.5^2))+70*EXP(-(((Inputs!$C$6)+38)^2)/(7^2))*(0.55+0.45*SIN(2*PI()*(Model_Data!A239)/45))+24*SIN(2*PI()*(Inputs!$C$6)/9+(Model_Data!A239)/18)*EXP(-(((Inputs!$C$6)+5)^2)/(22^2))+18*SIN(2*PI()*(Model_Data!A239)/70))+Inputs!$C$28*EXP(-(((Model_Data!A239)-Inputs!$C$29)^2)/(2*Inputs!$C$31^2))*EXP(-(((Inputs!$C$6)-Inputs!$C$30)^2)/(2*Inputs!$C$32^2))+-Inputs!$C$33*EXP(-(((((Model_Data!A239)-Inputs!$C$34)^2)+(((Inputs!$C$6)-Inputs!$C$35)^2))/(2*Inputs!$C$36^2)))+Inputs!$C$37*(0.55*SIN(2*PI()*(Model_Data!A239)/Inputs!$C$39)+0.35*COS(2*PI()*(Inputs!$C$6)/Inputs!$C$40)+0.2*SIN(2*PI()*((Model_Data!A239)+(Inputs!$C$6))/(0.5*(Inputs!$C$39+Inputs!$C$40))))+Inputs!$C$38*SIN(2*PI()*(Model_Data!A239)/Inputs!$C$39)*SIN(2*PI()*(Inputs!$C$6)/Inputs!$C$40)+-Inputs!$C$41*EXP(-(((Inputs!$C$6)-Inputs!$C$43)^2)/(2*Inputs!$C$44^2))*EXP(-(((Model_Data!A239)-Inputs!$C$42)^2)/(2*Inputs!$C$45^2))+Inputs!$C$48*(0.7*(0.45*SIN(2*PI()*(((Model_Data!A239)/Inputs!$C$49)+Inputs!$C$47*0.137))+0.35*COS(2*PI()*(((Inputs!$C$6)/Inputs!$C$50)+Inputs!$C$47*0.173))+0.2*SIN(2*PI()*(((Model_Data!A239)+(Inputs!$C$6))/(0.5*(Inputs!$C$49+Inputs!$C$50))+Inputs!$C$47*0.097)))+0.3*(2*((SIN(((Model_Data!A239)*12.9898+(Inputs!$C$6)*78.233+Inputs!$C$47*37.719))*43758.5453)-INT((SIN(((Model_Data!A239)*12.9898+(Inputs!$C$6)*78.233+Inputs!$C$47*37.719))*43758.5453)))-1)))</f>
        <v>188.33221875951745</v>
      </c>
      <c r="G239" s="9">
        <f>(Inputs!$C$51*(115*EXP(-(((0)-25)^2)/(4.5^2))+70*EXP(-(((0)+38)^2)/(7^2))*(0.55+0.45*SIN(2*PI()*(Model_Data!A239)/45))+24*SIN(2*PI()*(0)/9+(Model_Data!A239)/18)*EXP(-(((0)+5)^2)/(22^2))+18*SIN(2*PI()*(Model_Data!A239)/70))+Inputs!$C$28*EXP(-(((Model_Data!A239)-Inputs!$C$29)^2)/(2*Inputs!$C$31^2))*EXP(-(((0)-Inputs!$C$30)^2)/(2*Inputs!$C$32^2))+-Inputs!$C$33*EXP(-(((((Model_Data!A239)-Inputs!$C$34)^2)+(((0)-Inputs!$C$35)^2))/(2*Inputs!$C$36^2)))+Inputs!$C$37*(0.55*SIN(2*PI()*(Model_Data!A239)/Inputs!$C$39)+0.35*COS(2*PI()*(0)/Inputs!$C$40)+0.2*SIN(2*PI()*((Model_Data!A239)+(0))/(0.5*(Inputs!$C$39+Inputs!$C$40))))+Inputs!$C$38*SIN(2*PI()*(Model_Data!A239)/Inputs!$C$39)*SIN(2*PI()*(0)/Inputs!$C$40)+-Inputs!$C$41*EXP(-(((0)-Inputs!$C$43)^2)/(2*Inputs!$C$44^2))*EXP(-(((Model_Data!A239)-Inputs!$C$42)^2)/(2*Inputs!$C$45^2))+Inputs!$C$48*(0.7*(0.45*SIN(2*PI()*(((Model_Data!A239)/Inputs!$C$49)+Inputs!$C$47*0.137))+0.35*COS(2*PI()*(((0)/Inputs!$C$50)+Inputs!$C$47*0.173))+0.2*SIN(2*PI()*(((Model_Data!A239)+(0))/(0.5*(Inputs!$C$49+Inputs!$C$50))+Inputs!$C$47*0.097)))+0.3*(2*((SIN(((Model_Data!A239)*12.9898+(0)*78.233+Inputs!$C$47*37.719))*43758.5453)-INT((SIN(((Model_Data!A239)*12.9898+(0)*78.233+Inputs!$C$47*37.719))*43758.5453)))-1)))</f>
        <v>28.425297518081656</v>
      </c>
      <c r="H239" s="10"/>
      <c r="I239" s="9">
        <f>Model_Data!A239</f>
        <v>58.5</v>
      </c>
      <c r="J239" s="9">
        <f>(Inputs!$C$51*(115*EXP(-(((Inputs!$C$6)-25)^2)/(4.5^2))+70*EXP(-(((Inputs!$C$6)+38)^2)/(7^2))*(0.55+0.45*SIN(2*PI()*(Model_Data!A239)/45))+24*SIN(2*PI()*(Inputs!$C$6)/9+(Model_Data!A239)/18)*EXP(-(((Inputs!$C$6)+5)^2)/(22^2))+18*SIN(2*PI()*(Model_Data!A239)/70))+Inputs!$C$28*EXP(-(((Model_Data!A239)-Inputs!$C$29)^2)/(2*Inputs!$C$31^2))*EXP(-(((Inputs!$C$6)-Inputs!$C$30)^2)/(2*Inputs!$C$32^2))+-Inputs!$C$33*EXP(-(((((Model_Data!A239)-Inputs!$C$34)^2)+(((Inputs!$C$6)-Inputs!$C$35)^2))/(2*Inputs!$C$36^2)))+Inputs!$C$37*(0.55*SIN(2*PI()*(Model_Data!A239)/Inputs!$C$39)+0.35*COS(2*PI()*(Inputs!$C$6)/Inputs!$C$40)+0.2*SIN(2*PI()*((Model_Data!A239)+(Inputs!$C$6))/(0.5*(Inputs!$C$39+Inputs!$C$40))))+Inputs!$C$38*SIN(2*PI()*(Model_Data!A239)/Inputs!$C$39)*SIN(2*PI()*(Inputs!$C$6)/Inputs!$C$40)+-Inputs!$C$41*EXP(-(((Inputs!$C$6)-Inputs!$C$43)^2)/(2*Inputs!$C$44^2))*EXP(-(((Model_Data!A239)-Inputs!$C$42)^2)/(2*Inputs!$C$45^2))+Inputs!$C$48*(0.7*(0.45*SIN(2*PI()*(((Model_Data!A239)/Inputs!$C$49)+Inputs!$C$47*0.137))+0.35*COS(2*PI()*(((Inputs!$C$6)/Inputs!$C$50)+Inputs!$C$47*0.173))+0.2*SIN(2*PI()*(((Model_Data!A239)+(Inputs!$C$6))/(0.5*(Inputs!$C$49+Inputs!$C$50))+Inputs!$C$47*0.097)))+0.3*(2*((SIN(((Model_Data!A239)*12.9898+(Inputs!$C$6)*78.233+Inputs!$C$47*37.719))*43758.5453)-INT((SIN(((Model_Data!A239)*12.9898+(Inputs!$C$6)*78.233+Inputs!$C$47*37.719))*43758.5453)))-1)))</f>
        <v>188.33221875951745</v>
      </c>
      <c r="K239" s="9">
        <f>-((((SQRT((Model_Data!A239)^2+Inputs!$C$6^2+((Model_Data!B239)-((Inputs!$C$51*(115*EXP(-(((Inputs!$C$6)-25)^2)/(4.5^2))+70*EXP(-(((Inputs!$C$6)+38)^2)/(7^2))*(0.55+0.45*SIN(2*PI()*(Model_Data!A239)/45))+24*SIN(2*PI()*(Inputs!$C$6)/9+(Model_Data!A239)/18)*EXP(-(((Inputs!$C$6)+5)^2)/(22^2))+18*SIN(2*PI()*(Model_Data!A239)/70))+Inputs!$C$28*EXP(-(((Model_Data!A239)-Inputs!$C$29)^2)/(2*Inputs!$C$31^2))*EXP(-(((Inputs!$C$6)-Inputs!$C$30)^2)/(2*Inputs!$C$32^2))+-Inputs!$C$33*EXP(-(((((Model_Data!A239)-Inputs!$C$34)^2)+(((Inputs!$C$6)-Inputs!$C$35)^2))/(2*Inputs!$C$36^2)))+Inputs!$C$37*(0.55*SIN(2*PI()*(Model_Data!A239)/Inputs!$C$39)+0.35*COS(2*PI()*(Inputs!$C$6)/Inputs!$C$40)+0.2*SIN(2*PI()*((Model_Data!A239)+(Inputs!$C$6))/(0.5*(Inputs!$C$39+Inputs!$C$40))))+Inputs!$C$38*SIN(2*PI()*(Model_Data!A239)/Inputs!$C$39)*SIN(2*PI()*(Inputs!$C$6)/Inputs!$C$40)+-Inputs!$C$41*EXP(-(((Inputs!$C$6)-Inputs!$C$43)^2)/(2*Inputs!$C$44^2))*EXP(-(((Model_Data!A239)-Inputs!$C$42)^2)/(2*Inputs!$C$45^2))+Inputs!$C$48*(0.7*(0.45*SIN(2*PI()*(((Model_Data!A239)/Inputs!$C$49)+Inputs!$C$47*0.137))+0.35*COS(2*PI()*(((Inputs!$C$6)/Inputs!$C$50)+Inputs!$C$47*0.173))+0.2*SIN(2*PI()*(((Model_Data!A239)+(Inputs!$C$6))/(0.5*(Inputs!$C$49+Inputs!$C$50))+Inputs!$C$47*0.097)))+0.3*(2*((SIN(((Model_Data!A239)*12.9898+(Inputs!$C$6)*78.233+Inputs!$C$47*37.719))*43758.5453)-INT((SIN(((Model_Data!A239)*12.9898+(Inputs!$C$6)*78.233+Inputs!$C$47*37.719))*43758.5453)))-1))))/1000)^2))-(((Model_Data!B239)-((Inputs!$C$51*(115*EXP(-(((0)-25)^2)/(4.5^2))+70*EXP(-(((0)+38)^2)/(7^2))*(0.55+0.45*SIN(2*PI()*(Model_Data!A239)/45))+24*SIN(2*PI()*(0)/9+(Model_Data!A239)/18)*EXP(-(((0)+5)^2)/(22^2))+18*SIN(2*PI()*(Model_Data!A239)/70))+Inputs!$C$28*EXP(-(((Model_Data!A239)-Inputs!$C$29)^2)/(2*Inputs!$C$31^2))*EXP(-(((0)-Inputs!$C$30)^2)/(2*Inputs!$C$32^2))+-Inputs!$C$33*EXP(-(((((Model_Data!A239)-Inputs!$C$34)^2)+(((0)-Inputs!$C$35)^2))/(2*Inputs!$C$36^2)))+Inputs!$C$37*(0.55*SIN(2*PI()*(Model_Data!A239)/Inputs!$C$39)+0.35*COS(2*PI()*(0)/Inputs!$C$40)+0.2*SIN(2*PI()*((Model_Data!A239)+(0))/(0.5*(Inputs!$C$39+Inputs!$C$40))))+Inputs!$C$38*SIN(2*PI()*(Model_Data!A239)/Inputs!$C$39)*SIN(2*PI()*(0)/Inputs!$C$40)+-Inputs!$C$41*EXP(-(((0)-Inputs!$C$43)^2)/(2*Inputs!$C$44^2))*EXP(-(((Model_Data!A239)-Inputs!$C$42)^2)/(2*Inputs!$C$45^2))+Inputs!$C$48*(0.7*(0.45*SIN(2*PI()*(((Model_Data!A239)/Inputs!$C$49)+Inputs!$C$47*0.137))+0.35*COS(2*PI()*(((0)/Inputs!$C$50)+Inputs!$C$47*0.173))+0.2*SIN(2*PI()*(((Model_Data!A239)+(0))/(0.5*(Inputs!$C$49+Inputs!$C$50))+Inputs!$C$47*0.097)))+0.3*(2*((SIN(((Model_Data!A239)*12.9898+(0)*78.233+Inputs!$C$47*37.719))*43758.5453)-INT((SIN(((Model_Data!A239)*12.9898+(0)*78.233+Inputs!$C$47*37.719))*43758.5453)))-1))))/1000)))*1000/Inputs!$C$12)-Model_Data!F239)</f>
        <v>88.545611471554821</v>
      </c>
      <c r="L239" s="10"/>
      <c r="M239" s="9">
        <f>Model_Data!A239</f>
        <v>58.5</v>
      </c>
      <c r="N239" s="9">
        <f>Model_Data!P239</f>
        <v>-434.43790659645504</v>
      </c>
      <c r="O239" s="9">
        <f t="shared" si="6"/>
        <v>-435.78652734413481</v>
      </c>
      <c r="P239" s="9">
        <f>Model_Data!Q239</f>
        <v>-65.230916906374631</v>
      </c>
      <c r="Q239" s="9">
        <f t="shared" si="7"/>
        <v>-65.433412514134361</v>
      </c>
      <c r="R239" s="10"/>
      <c r="S239" s="9">
        <f>Model_Data!A239</f>
        <v>58.5</v>
      </c>
      <c r="T239" s="9">
        <f>Model_Data!B239-Inputs!$C$5</f>
        <v>3.8025000000000091</v>
      </c>
      <c r="U239" s="10"/>
      <c r="V239" s="9">
        <f>Model_Data!A239</f>
        <v>58.5</v>
      </c>
      <c r="W239" s="9">
        <f>((SQRT((Model_Data!A239)^2+Inputs!$C$6^2+Inputs!$C$5^2)-Inputs!$C$5)*1000/Inputs!$C$12)</f>
        <v>2824.4203395046129</v>
      </c>
      <c r="X239" s="9">
        <f>Model_Data!F239</f>
        <v>2798.1490936689197</v>
      </c>
      <c r="Y239" s="10"/>
      <c r="Z239" s="9">
        <f>Model_Data!A239</f>
        <v>58.5</v>
      </c>
      <c r="AA239" s="9">
        <f>SQRT((Model_Data!A239)^2+Inputs!$C$6^2+((Model_Data!B239)-((Inputs!$C$51*(115*EXP(-(((Inputs!$C$6)-25)^2)/(4.5^2))+70*EXP(-(((Inputs!$C$6)+38)^2)/(7^2))*(0.55+0.45*SIN(2*PI()*(Model_Data!A239)/45))+24*SIN(2*PI()*(Inputs!$C$6)/9+(Model_Data!A239)/18)*EXP(-(((Inputs!$C$6)+5)^2)/(22^2))+18*SIN(2*PI()*(Model_Data!A239)/70))+Inputs!$C$28*EXP(-(((Model_Data!A239)-Inputs!$C$29)^2)/(2*Inputs!$C$31^2))*EXP(-(((Inputs!$C$6)-Inputs!$C$30)^2)/(2*Inputs!$C$32^2))+-Inputs!$C$33*EXP(-(((((Model_Data!A239)-Inputs!$C$34)^2)+(((Inputs!$C$6)-Inputs!$C$35)^2))/(2*Inputs!$C$36^2)))+Inputs!$C$37*(0.55*SIN(2*PI()*(Model_Data!A239)/Inputs!$C$39)+0.35*COS(2*PI()*(Inputs!$C$6)/Inputs!$C$40)+0.2*SIN(2*PI()*((Model_Data!A239)+(Inputs!$C$6))/(0.5*(Inputs!$C$39+Inputs!$C$40))))+Inputs!$C$38*SIN(2*PI()*(Model_Data!A239)/Inputs!$C$39)*SIN(2*PI()*(Inputs!$C$6)/Inputs!$C$40)+-Inputs!$C$41*EXP(-(((Inputs!$C$6)-Inputs!$C$43)^2)/(2*Inputs!$C$44^2))*EXP(-(((Model_Data!A239)-Inputs!$C$42)^2)/(2*Inputs!$C$45^2))+Inputs!$C$48*(0.7*(0.45*SIN(2*PI()*(((Model_Data!A239)/Inputs!$C$49)+Inputs!$C$47*0.137))+0.35*COS(2*PI()*(((Inputs!$C$6)/Inputs!$C$50)+Inputs!$C$47*0.173))+0.2*SIN(2*PI()*(((Model_Data!A239)+(Inputs!$C$6))/(0.5*(Inputs!$C$49+Inputs!$C$50))+Inputs!$C$47*0.097)))+0.3*(2*((SIN(((Model_Data!A239)*12.9898+(Inputs!$C$6)*78.233+Inputs!$C$47*37.719))*43758.5453)-INT((SIN(((Model_Data!A239)*12.9898+(Inputs!$C$6)*78.233+Inputs!$C$47*37.719))*43758.5453)))-1))))/1000)^2)</f>
        <v>408.59716890079324</v>
      </c>
      <c r="AB239" s="9">
        <f>1000*(AA240-AA238)/(Z240-Z238)*Inputs!$C$11</f>
        <v>1089.466318360337</v>
      </c>
      <c r="AC239" s="9">
        <f>-2*AB239/Inputs!$C$13</f>
        <v>-435.78652734413481</v>
      </c>
      <c r="AD239" s="9">
        <f>-2*AB239/Inputs!$C$14</f>
        <v>-65.433412514134361</v>
      </c>
    </row>
    <row r="240" spans="1:30">
      <c r="A240" s="9">
        <f>Model_Data!A240</f>
        <v>59</v>
      </c>
      <c r="B240" s="9">
        <f>((SQRT((Model_Data!A240)^2+Inputs!$C$6^2+Inputs!$C$5^2)-Inputs!$C$5)*1000/Inputs!$C$12)</f>
        <v>2865.1616052631393</v>
      </c>
      <c r="C240" s="9">
        <f>Model_Data!F240</f>
        <v>2838.0629855635702</v>
      </c>
      <c r="D240" s="9">
        <f>(((SQRT((Model_Data!A240)^2+Inputs!$C$6^2+((Model_Data!B240)-((Inputs!$C$51*(115*EXP(-(((Inputs!$C$6)-25)^2)/(4.5^2))+70*EXP(-(((Inputs!$C$6)+38)^2)/(7^2))*(0.55+0.45*SIN(2*PI()*(Model_Data!A240)/45))+24*SIN(2*PI()*(Inputs!$C$6)/9+(Model_Data!A240)/18)*EXP(-(((Inputs!$C$6)+5)^2)/(22^2))+18*SIN(2*PI()*(Model_Data!A240)/70))+Inputs!$C$28*EXP(-(((Model_Data!A240)-Inputs!$C$29)^2)/(2*Inputs!$C$31^2))*EXP(-(((Inputs!$C$6)-Inputs!$C$30)^2)/(2*Inputs!$C$32^2))+-Inputs!$C$33*EXP(-(((((Model_Data!A240)-Inputs!$C$34)^2)+(((Inputs!$C$6)-Inputs!$C$35)^2))/(2*Inputs!$C$36^2)))+Inputs!$C$37*(0.55*SIN(2*PI()*(Model_Data!A240)/Inputs!$C$39)+0.35*COS(2*PI()*(Inputs!$C$6)/Inputs!$C$40)+0.2*SIN(2*PI()*((Model_Data!A240)+(Inputs!$C$6))/(0.5*(Inputs!$C$39+Inputs!$C$40))))+Inputs!$C$38*SIN(2*PI()*(Model_Data!A240)/Inputs!$C$39)*SIN(2*PI()*(Inputs!$C$6)/Inputs!$C$40)+-Inputs!$C$41*EXP(-(((Inputs!$C$6)-Inputs!$C$43)^2)/(2*Inputs!$C$44^2))*EXP(-(((Model_Data!A240)-Inputs!$C$42)^2)/(2*Inputs!$C$45^2))+Inputs!$C$48*(0.7*(0.45*SIN(2*PI()*(((Model_Data!A240)/Inputs!$C$49)+Inputs!$C$47*0.137))+0.35*COS(2*PI()*(((Inputs!$C$6)/Inputs!$C$50)+Inputs!$C$47*0.173))+0.2*SIN(2*PI()*(((Model_Data!A240)+(Inputs!$C$6))/(0.5*(Inputs!$C$49+Inputs!$C$50))+Inputs!$C$47*0.097)))+0.3*(2*((SIN(((Model_Data!A240)*12.9898+(Inputs!$C$6)*78.233+Inputs!$C$47*37.719))*43758.5453)-INT((SIN(((Model_Data!A240)*12.9898+(Inputs!$C$6)*78.233+Inputs!$C$47*37.719))*43758.5453)))-1))))/1000)^2))-(((Model_Data!B240)-((Inputs!$C$51*(115*EXP(-(((0)-25)^2)/(4.5^2))+70*EXP(-(((0)+38)^2)/(7^2))*(0.55+0.45*SIN(2*PI()*(Model_Data!A240)/45))+24*SIN(2*PI()*(0)/9+(Model_Data!A240)/18)*EXP(-(((0)+5)^2)/(22^2))+18*SIN(2*PI()*(Model_Data!A240)/70))+Inputs!$C$28*EXP(-(((Model_Data!A240)-Inputs!$C$29)^2)/(2*Inputs!$C$31^2))*EXP(-(((0)-Inputs!$C$30)^2)/(2*Inputs!$C$32^2))+-Inputs!$C$33*EXP(-(((((Model_Data!A240)-Inputs!$C$34)^2)+(((0)-Inputs!$C$35)^2))/(2*Inputs!$C$36^2)))+Inputs!$C$37*(0.55*SIN(2*PI()*(Model_Data!A240)/Inputs!$C$39)+0.35*COS(2*PI()*(0)/Inputs!$C$40)+0.2*SIN(2*PI()*((Model_Data!A240)+(0))/(0.5*(Inputs!$C$39+Inputs!$C$40))))+Inputs!$C$38*SIN(2*PI()*(Model_Data!A240)/Inputs!$C$39)*SIN(2*PI()*(0)/Inputs!$C$40)+-Inputs!$C$41*EXP(-(((0)-Inputs!$C$43)^2)/(2*Inputs!$C$44^2))*EXP(-(((Model_Data!A240)-Inputs!$C$42)^2)/(2*Inputs!$C$45^2))+Inputs!$C$48*(0.7*(0.45*SIN(2*PI()*(((Model_Data!A240)/Inputs!$C$49)+Inputs!$C$47*0.137))+0.35*COS(2*PI()*(((0)/Inputs!$C$50)+Inputs!$C$47*0.173))+0.2*SIN(2*PI()*(((Model_Data!A240)+(0))/(0.5*(Inputs!$C$49+Inputs!$C$50))+Inputs!$C$47*0.097)))+0.3*(2*((SIN(((Model_Data!A240)*12.9898+(0)*78.233+Inputs!$C$47*37.719))*43758.5453)-INT((SIN(((Model_Data!A240)*12.9898+(0)*78.233+Inputs!$C$47*37.719))*43758.5453)))-1))))/1000)))*1000/Inputs!$C$12)</f>
        <v>2744.9960857795809</v>
      </c>
      <c r="E240" s="9">
        <f>Model_Data!A240</f>
        <v>59</v>
      </c>
      <c r="F240" s="9">
        <f>(Inputs!$C$51*(115*EXP(-(((Inputs!$C$6)-25)^2)/(4.5^2))+70*EXP(-(((Inputs!$C$6)+38)^2)/(7^2))*(0.55+0.45*SIN(2*PI()*(Model_Data!A240)/45))+24*SIN(2*PI()*(Inputs!$C$6)/9+(Model_Data!A240)/18)*EXP(-(((Inputs!$C$6)+5)^2)/(22^2))+18*SIN(2*PI()*(Model_Data!A240)/70))+Inputs!$C$28*EXP(-(((Model_Data!A240)-Inputs!$C$29)^2)/(2*Inputs!$C$31^2))*EXP(-(((Inputs!$C$6)-Inputs!$C$30)^2)/(2*Inputs!$C$32^2))+-Inputs!$C$33*EXP(-(((((Model_Data!A240)-Inputs!$C$34)^2)+(((Inputs!$C$6)-Inputs!$C$35)^2))/(2*Inputs!$C$36^2)))+Inputs!$C$37*(0.55*SIN(2*PI()*(Model_Data!A240)/Inputs!$C$39)+0.35*COS(2*PI()*(Inputs!$C$6)/Inputs!$C$40)+0.2*SIN(2*PI()*((Model_Data!A240)+(Inputs!$C$6))/(0.5*(Inputs!$C$39+Inputs!$C$40))))+Inputs!$C$38*SIN(2*PI()*(Model_Data!A240)/Inputs!$C$39)*SIN(2*PI()*(Inputs!$C$6)/Inputs!$C$40)+-Inputs!$C$41*EXP(-(((Inputs!$C$6)-Inputs!$C$43)^2)/(2*Inputs!$C$44^2))*EXP(-(((Model_Data!A240)-Inputs!$C$42)^2)/(2*Inputs!$C$45^2))+Inputs!$C$48*(0.7*(0.45*SIN(2*PI()*(((Model_Data!A240)/Inputs!$C$49)+Inputs!$C$47*0.137))+0.35*COS(2*PI()*(((Inputs!$C$6)/Inputs!$C$50)+Inputs!$C$47*0.173))+0.2*SIN(2*PI()*(((Model_Data!A240)+(Inputs!$C$6))/(0.5*(Inputs!$C$49+Inputs!$C$50))+Inputs!$C$47*0.097)))+0.3*(2*((SIN(((Model_Data!A240)*12.9898+(Inputs!$C$6)*78.233+Inputs!$C$47*37.719))*43758.5453)-INT((SIN(((Model_Data!A240)*12.9898+(Inputs!$C$6)*78.233+Inputs!$C$47*37.719))*43758.5453)))-1)))</f>
        <v>193.74067782731254</v>
      </c>
      <c r="G240" s="9">
        <f>(Inputs!$C$51*(115*EXP(-(((0)-25)^2)/(4.5^2))+70*EXP(-(((0)+38)^2)/(7^2))*(0.55+0.45*SIN(2*PI()*(Model_Data!A240)/45))+24*SIN(2*PI()*(0)/9+(Model_Data!A240)/18)*EXP(-(((0)+5)^2)/(22^2))+18*SIN(2*PI()*(Model_Data!A240)/70))+Inputs!$C$28*EXP(-(((Model_Data!A240)-Inputs!$C$29)^2)/(2*Inputs!$C$31^2))*EXP(-(((0)-Inputs!$C$30)^2)/(2*Inputs!$C$32^2))+-Inputs!$C$33*EXP(-(((((Model_Data!A240)-Inputs!$C$34)^2)+(((0)-Inputs!$C$35)^2))/(2*Inputs!$C$36^2)))+Inputs!$C$37*(0.55*SIN(2*PI()*(Model_Data!A240)/Inputs!$C$39)+0.35*COS(2*PI()*(0)/Inputs!$C$40)+0.2*SIN(2*PI()*((Model_Data!A240)+(0))/(0.5*(Inputs!$C$39+Inputs!$C$40))))+Inputs!$C$38*SIN(2*PI()*(Model_Data!A240)/Inputs!$C$39)*SIN(2*PI()*(0)/Inputs!$C$40)+-Inputs!$C$41*EXP(-(((0)-Inputs!$C$43)^2)/(2*Inputs!$C$44^2))*EXP(-(((Model_Data!A240)-Inputs!$C$42)^2)/(2*Inputs!$C$45^2))+Inputs!$C$48*(0.7*(0.45*SIN(2*PI()*(((Model_Data!A240)/Inputs!$C$49)+Inputs!$C$47*0.137))+0.35*COS(2*PI()*(((0)/Inputs!$C$50)+Inputs!$C$47*0.173))+0.2*SIN(2*PI()*(((Model_Data!A240)+(0))/(0.5*(Inputs!$C$49+Inputs!$C$50))+Inputs!$C$47*0.097)))+0.3*(2*((SIN(((Model_Data!A240)*12.9898+(0)*78.233+Inputs!$C$47*37.719))*43758.5453)-INT((SIN(((Model_Data!A240)*12.9898+(0)*78.233+Inputs!$C$47*37.719))*43758.5453)))-1)))</f>
        <v>25.687015204981627</v>
      </c>
      <c r="H240" s="10"/>
      <c r="I240" s="9">
        <f>Model_Data!A240</f>
        <v>59</v>
      </c>
      <c r="J240" s="9">
        <f>(Inputs!$C$51*(115*EXP(-(((Inputs!$C$6)-25)^2)/(4.5^2))+70*EXP(-(((Inputs!$C$6)+38)^2)/(7^2))*(0.55+0.45*SIN(2*PI()*(Model_Data!A240)/45))+24*SIN(2*PI()*(Inputs!$C$6)/9+(Model_Data!A240)/18)*EXP(-(((Inputs!$C$6)+5)^2)/(22^2))+18*SIN(2*PI()*(Model_Data!A240)/70))+Inputs!$C$28*EXP(-(((Model_Data!A240)-Inputs!$C$29)^2)/(2*Inputs!$C$31^2))*EXP(-(((Inputs!$C$6)-Inputs!$C$30)^2)/(2*Inputs!$C$32^2))+-Inputs!$C$33*EXP(-(((((Model_Data!A240)-Inputs!$C$34)^2)+(((Inputs!$C$6)-Inputs!$C$35)^2))/(2*Inputs!$C$36^2)))+Inputs!$C$37*(0.55*SIN(2*PI()*(Model_Data!A240)/Inputs!$C$39)+0.35*COS(2*PI()*(Inputs!$C$6)/Inputs!$C$40)+0.2*SIN(2*PI()*((Model_Data!A240)+(Inputs!$C$6))/(0.5*(Inputs!$C$39+Inputs!$C$40))))+Inputs!$C$38*SIN(2*PI()*(Model_Data!A240)/Inputs!$C$39)*SIN(2*PI()*(Inputs!$C$6)/Inputs!$C$40)+-Inputs!$C$41*EXP(-(((Inputs!$C$6)-Inputs!$C$43)^2)/(2*Inputs!$C$44^2))*EXP(-(((Model_Data!A240)-Inputs!$C$42)^2)/(2*Inputs!$C$45^2))+Inputs!$C$48*(0.7*(0.45*SIN(2*PI()*(((Model_Data!A240)/Inputs!$C$49)+Inputs!$C$47*0.137))+0.35*COS(2*PI()*(((Inputs!$C$6)/Inputs!$C$50)+Inputs!$C$47*0.173))+0.2*SIN(2*PI()*(((Model_Data!A240)+(Inputs!$C$6))/(0.5*(Inputs!$C$49+Inputs!$C$50))+Inputs!$C$47*0.097)))+0.3*(2*((SIN(((Model_Data!A240)*12.9898+(Inputs!$C$6)*78.233+Inputs!$C$47*37.719))*43758.5453)-INT((SIN(((Model_Data!A240)*12.9898+(Inputs!$C$6)*78.233+Inputs!$C$47*37.719))*43758.5453)))-1)))</f>
        <v>193.74067782731254</v>
      </c>
      <c r="K240" s="9">
        <f>-((((SQRT((Model_Data!A240)^2+Inputs!$C$6^2+((Model_Data!B240)-((Inputs!$C$51*(115*EXP(-(((Inputs!$C$6)-25)^2)/(4.5^2))+70*EXP(-(((Inputs!$C$6)+38)^2)/(7^2))*(0.55+0.45*SIN(2*PI()*(Model_Data!A240)/45))+24*SIN(2*PI()*(Inputs!$C$6)/9+(Model_Data!A240)/18)*EXP(-(((Inputs!$C$6)+5)^2)/(22^2))+18*SIN(2*PI()*(Model_Data!A240)/70))+Inputs!$C$28*EXP(-(((Model_Data!A240)-Inputs!$C$29)^2)/(2*Inputs!$C$31^2))*EXP(-(((Inputs!$C$6)-Inputs!$C$30)^2)/(2*Inputs!$C$32^2))+-Inputs!$C$33*EXP(-(((((Model_Data!A240)-Inputs!$C$34)^2)+(((Inputs!$C$6)-Inputs!$C$35)^2))/(2*Inputs!$C$36^2)))+Inputs!$C$37*(0.55*SIN(2*PI()*(Model_Data!A240)/Inputs!$C$39)+0.35*COS(2*PI()*(Inputs!$C$6)/Inputs!$C$40)+0.2*SIN(2*PI()*((Model_Data!A240)+(Inputs!$C$6))/(0.5*(Inputs!$C$39+Inputs!$C$40))))+Inputs!$C$38*SIN(2*PI()*(Model_Data!A240)/Inputs!$C$39)*SIN(2*PI()*(Inputs!$C$6)/Inputs!$C$40)+-Inputs!$C$41*EXP(-(((Inputs!$C$6)-Inputs!$C$43)^2)/(2*Inputs!$C$44^2))*EXP(-(((Model_Data!A240)-Inputs!$C$42)^2)/(2*Inputs!$C$45^2))+Inputs!$C$48*(0.7*(0.45*SIN(2*PI()*(((Model_Data!A240)/Inputs!$C$49)+Inputs!$C$47*0.137))+0.35*COS(2*PI()*(((Inputs!$C$6)/Inputs!$C$50)+Inputs!$C$47*0.173))+0.2*SIN(2*PI()*(((Model_Data!A240)+(Inputs!$C$6))/(0.5*(Inputs!$C$49+Inputs!$C$50))+Inputs!$C$47*0.097)))+0.3*(2*((SIN(((Model_Data!A240)*12.9898+(Inputs!$C$6)*78.233+Inputs!$C$47*37.719))*43758.5453)-INT((SIN(((Model_Data!A240)*12.9898+(Inputs!$C$6)*78.233+Inputs!$C$47*37.719))*43758.5453)))-1))))/1000)^2))-(((Model_Data!B240)-((Inputs!$C$51*(115*EXP(-(((0)-25)^2)/(4.5^2))+70*EXP(-(((0)+38)^2)/(7^2))*(0.55+0.45*SIN(2*PI()*(Model_Data!A240)/45))+24*SIN(2*PI()*(0)/9+(Model_Data!A240)/18)*EXP(-(((0)+5)^2)/(22^2))+18*SIN(2*PI()*(Model_Data!A240)/70))+Inputs!$C$28*EXP(-(((Model_Data!A240)-Inputs!$C$29)^2)/(2*Inputs!$C$31^2))*EXP(-(((0)-Inputs!$C$30)^2)/(2*Inputs!$C$32^2))+-Inputs!$C$33*EXP(-(((((Model_Data!A240)-Inputs!$C$34)^2)+(((0)-Inputs!$C$35)^2))/(2*Inputs!$C$36^2)))+Inputs!$C$37*(0.55*SIN(2*PI()*(Model_Data!A240)/Inputs!$C$39)+0.35*COS(2*PI()*(0)/Inputs!$C$40)+0.2*SIN(2*PI()*((Model_Data!A240)+(0))/(0.5*(Inputs!$C$39+Inputs!$C$40))))+Inputs!$C$38*SIN(2*PI()*(Model_Data!A240)/Inputs!$C$39)*SIN(2*PI()*(0)/Inputs!$C$40)+-Inputs!$C$41*EXP(-(((0)-Inputs!$C$43)^2)/(2*Inputs!$C$44^2))*EXP(-(((Model_Data!A240)-Inputs!$C$42)^2)/(2*Inputs!$C$45^2))+Inputs!$C$48*(0.7*(0.45*SIN(2*PI()*(((Model_Data!A240)/Inputs!$C$49)+Inputs!$C$47*0.137))+0.35*COS(2*PI()*(((0)/Inputs!$C$50)+Inputs!$C$47*0.173))+0.2*SIN(2*PI()*(((Model_Data!A240)+(0))/(0.5*(Inputs!$C$49+Inputs!$C$50))+Inputs!$C$47*0.097)))+0.3*(2*((SIN(((Model_Data!A240)*12.9898+(0)*78.233+Inputs!$C$47*37.719))*43758.5453)-INT((SIN(((Model_Data!A240)*12.9898+(0)*78.233+Inputs!$C$47*37.719))*43758.5453)))-1))))/1000)))*1000/Inputs!$C$12)-Model_Data!F240)</f>
        <v>93.066899783989356</v>
      </c>
      <c r="L240" s="10"/>
      <c r="M240" s="9">
        <f>Model_Data!A240</f>
        <v>59</v>
      </c>
      <c r="N240" s="9">
        <f>Model_Data!P240</f>
        <v>-438.03846929381024</v>
      </c>
      <c r="O240" s="9">
        <f t="shared" si="6"/>
        <v>-468.71764406878356</v>
      </c>
      <c r="P240" s="9">
        <f>Model_Data!Q240</f>
        <v>-65.771541936007551</v>
      </c>
      <c r="Q240" s="9">
        <f t="shared" si="7"/>
        <v>-70.378024634952496</v>
      </c>
      <c r="R240" s="10"/>
      <c r="S240" s="9">
        <f>Model_Data!A240</f>
        <v>59</v>
      </c>
      <c r="T240" s="9">
        <f>Model_Data!B240-Inputs!$C$5</f>
        <v>3.8677777777778033</v>
      </c>
      <c r="U240" s="10"/>
      <c r="V240" s="9">
        <f>Model_Data!A240</f>
        <v>59</v>
      </c>
      <c r="W240" s="9">
        <f>((SQRT((Model_Data!A240)^2+Inputs!$C$6^2+Inputs!$C$5^2)-Inputs!$C$5)*1000/Inputs!$C$12)</f>
        <v>2865.1616052631393</v>
      </c>
      <c r="X240" s="9">
        <f>Model_Data!F240</f>
        <v>2838.0629855635702</v>
      </c>
      <c r="Y240" s="10"/>
      <c r="Z240" s="9">
        <f>Model_Data!A240</f>
        <v>59</v>
      </c>
      <c r="AA240" s="9">
        <f>SQRT((Model_Data!A240)^2+Inputs!$C$6^2+((Model_Data!B240)-((Inputs!$C$51*(115*EXP(-(((Inputs!$C$6)-25)^2)/(4.5^2))+70*EXP(-(((Inputs!$C$6)+38)^2)/(7^2))*(0.55+0.45*SIN(2*PI()*(Model_Data!A240)/45))+24*SIN(2*PI()*(Inputs!$C$6)/9+(Model_Data!A240)/18)*EXP(-(((Inputs!$C$6)+5)^2)/(22^2))+18*SIN(2*PI()*(Model_Data!A240)/70))+Inputs!$C$28*EXP(-(((Model_Data!A240)-Inputs!$C$29)^2)/(2*Inputs!$C$31^2))*EXP(-(((Inputs!$C$6)-Inputs!$C$30)^2)/(2*Inputs!$C$32^2))+-Inputs!$C$33*EXP(-(((((Model_Data!A240)-Inputs!$C$34)^2)+(((Inputs!$C$6)-Inputs!$C$35)^2))/(2*Inputs!$C$36^2)))+Inputs!$C$37*(0.55*SIN(2*PI()*(Model_Data!A240)/Inputs!$C$39)+0.35*COS(2*PI()*(Inputs!$C$6)/Inputs!$C$40)+0.2*SIN(2*PI()*((Model_Data!A240)+(Inputs!$C$6))/(0.5*(Inputs!$C$39+Inputs!$C$40))))+Inputs!$C$38*SIN(2*PI()*(Model_Data!A240)/Inputs!$C$39)*SIN(2*PI()*(Inputs!$C$6)/Inputs!$C$40)+-Inputs!$C$41*EXP(-(((Inputs!$C$6)-Inputs!$C$43)^2)/(2*Inputs!$C$44^2))*EXP(-(((Model_Data!A240)-Inputs!$C$42)^2)/(2*Inputs!$C$45^2))+Inputs!$C$48*(0.7*(0.45*SIN(2*PI()*(((Model_Data!A240)/Inputs!$C$49)+Inputs!$C$47*0.137))+0.35*COS(2*PI()*(((Inputs!$C$6)/Inputs!$C$50)+Inputs!$C$47*0.173))+0.2*SIN(2*PI()*(((Model_Data!A240)+(Inputs!$C$6))/(0.5*(Inputs!$C$49+Inputs!$C$50))+Inputs!$C$47*0.097)))+0.3*(2*((SIN(((Model_Data!A240)*12.9898+(Inputs!$C$6)*78.233+Inputs!$C$47*37.719))*43758.5453)-INT((SIN(((Model_Data!A240)*12.9898+(Inputs!$C$6)*78.233+Inputs!$C$47*37.719))*43758.5453)))-1))))/1000)^2)</f>
        <v>408.72818379526046</v>
      </c>
      <c r="AB240" s="9">
        <f>1000*(AA241-AA239)/(Z241-Z239)*Inputs!$C$11</f>
        <v>1171.7941101719589</v>
      </c>
      <c r="AC240" s="9">
        <f>-2*AB240/Inputs!$C$13</f>
        <v>-468.71764406878356</v>
      </c>
      <c r="AD240" s="9">
        <f>-2*AB240/Inputs!$C$14</f>
        <v>-70.378024634952496</v>
      </c>
    </row>
    <row r="241" spans="1:30">
      <c r="A241" s="9">
        <f>Model_Data!A241</f>
        <v>59.5</v>
      </c>
      <c r="B241" s="9">
        <f>((SQRT((Model_Data!A241)^2+Inputs!$C$6^2+Inputs!$C$5^2)-Inputs!$C$5)*1000/Inputs!$C$12)</f>
        <v>2906.2422198150257</v>
      </c>
      <c r="C241" s="9">
        <f>Model_Data!F241</f>
        <v>2878.2966468989871</v>
      </c>
      <c r="D241" s="9">
        <f>(((SQRT((Model_Data!A241)^2+Inputs!$C$6^2+((Model_Data!B241)-((Inputs!$C$51*(115*EXP(-(((Inputs!$C$6)-25)^2)/(4.5^2))+70*EXP(-(((Inputs!$C$6)+38)^2)/(7^2))*(0.55+0.45*SIN(2*PI()*(Model_Data!A241)/45))+24*SIN(2*PI()*(Inputs!$C$6)/9+(Model_Data!A241)/18)*EXP(-(((Inputs!$C$6)+5)^2)/(22^2))+18*SIN(2*PI()*(Model_Data!A241)/70))+Inputs!$C$28*EXP(-(((Model_Data!A241)-Inputs!$C$29)^2)/(2*Inputs!$C$31^2))*EXP(-(((Inputs!$C$6)-Inputs!$C$30)^2)/(2*Inputs!$C$32^2))+-Inputs!$C$33*EXP(-(((((Model_Data!A241)-Inputs!$C$34)^2)+(((Inputs!$C$6)-Inputs!$C$35)^2))/(2*Inputs!$C$36^2)))+Inputs!$C$37*(0.55*SIN(2*PI()*(Model_Data!A241)/Inputs!$C$39)+0.35*COS(2*PI()*(Inputs!$C$6)/Inputs!$C$40)+0.2*SIN(2*PI()*((Model_Data!A241)+(Inputs!$C$6))/(0.5*(Inputs!$C$39+Inputs!$C$40))))+Inputs!$C$38*SIN(2*PI()*(Model_Data!A241)/Inputs!$C$39)*SIN(2*PI()*(Inputs!$C$6)/Inputs!$C$40)+-Inputs!$C$41*EXP(-(((Inputs!$C$6)-Inputs!$C$43)^2)/(2*Inputs!$C$44^2))*EXP(-(((Model_Data!A241)-Inputs!$C$42)^2)/(2*Inputs!$C$45^2))+Inputs!$C$48*(0.7*(0.45*SIN(2*PI()*(((Model_Data!A241)/Inputs!$C$49)+Inputs!$C$47*0.137))+0.35*COS(2*PI()*(((Inputs!$C$6)/Inputs!$C$50)+Inputs!$C$47*0.173))+0.2*SIN(2*PI()*(((Model_Data!A241)+(Inputs!$C$6))/(0.5*(Inputs!$C$49+Inputs!$C$50))+Inputs!$C$47*0.097)))+0.3*(2*((SIN(((Model_Data!A241)*12.9898+(Inputs!$C$6)*78.233+Inputs!$C$47*37.719))*43758.5453)-INT((SIN(((Model_Data!A241)*12.9898+(Inputs!$C$6)*78.233+Inputs!$C$47*37.719))*43758.5453)))-1))))/1000)^2))-(((Model_Data!B241)-((Inputs!$C$51*(115*EXP(-(((0)-25)^2)/(4.5^2))+70*EXP(-(((0)+38)^2)/(7^2))*(0.55+0.45*SIN(2*PI()*(Model_Data!A241)/45))+24*SIN(2*PI()*(0)/9+(Model_Data!A241)/18)*EXP(-(((0)+5)^2)/(22^2))+18*SIN(2*PI()*(Model_Data!A241)/70))+Inputs!$C$28*EXP(-(((Model_Data!A241)-Inputs!$C$29)^2)/(2*Inputs!$C$31^2))*EXP(-(((0)-Inputs!$C$30)^2)/(2*Inputs!$C$32^2))+-Inputs!$C$33*EXP(-(((((Model_Data!A241)-Inputs!$C$34)^2)+(((0)-Inputs!$C$35)^2))/(2*Inputs!$C$36^2)))+Inputs!$C$37*(0.55*SIN(2*PI()*(Model_Data!A241)/Inputs!$C$39)+0.35*COS(2*PI()*(0)/Inputs!$C$40)+0.2*SIN(2*PI()*((Model_Data!A241)+(0))/(0.5*(Inputs!$C$39+Inputs!$C$40))))+Inputs!$C$38*SIN(2*PI()*(Model_Data!A241)/Inputs!$C$39)*SIN(2*PI()*(0)/Inputs!$C$40)+-Inputs!$C$41*EXP(-(((0)-Inputs!$C$43)^2)/(2*Inputs!$C$44^2))*EXP(-(((Model_Data!A241)-Inputs!$C$42)^2)/(2*Inputs!$C$45^2))+Inputs!$C$48*(0.7*(0.45*SIN(2*PI()*(((Model_Data!A241)/Inputs!$C$49)+Inputs!$C$47*0.137))+0.35*COS(2*PI()*(((0)/Inputs!$C$50)+Inputs!$C$47*0.173))+0.2*SIN(2*PI()*(((Model_Data!A241)+(0))/(0.5*(Inputs!$C$49+Inputs!$C$50))+Inputs!$C$47*0.097)))+0.3*(2*((SIN(((Model_Data!A241)*12.9898+(0)*78.233+Inputs!$C$47*37.719))*43758.5453)-INT((SIN(((Model_Data!A241)*12.9898+(0)*78.233+Inputs!$C$47*37.719))*43758.5453)))-1))))/1000)))*1000/Inputs!$C$12)</f>
        <v>2810.2179181485544</v>
      </c>
      <c r="E241" s="9">
        <f>Model_Data!A241</f>
        <v>59.5</v>
      </c>
      <c r="F241" s="9">
        <f>(Inputs!$C$51*(115*EXP(-(((Inputs!$C$6)-25)^2)/(4.5^2))+70*EXP(-(((Inputs!$C$6)+38)^2)/(7^2))*(0.55+0.45*SIN(2*PI()*(Model_Data!A241)/45))+24*SIN(2*PI()*(Inputs!$C$6)/9+(Model_Data!A241)/18)*EXP(-(((Inputs!$C$6)+5)^2)/(22^2))+18*SIN(2*PI()*(Model_Data!A241)/70))+Inputs!$C$28*EXP(-(((Model_Data!A241)-Inputs!$C$29)^2)/(2*Inputs!$C$31^2))*EXP(-(((Inputs!$C$6)-Inputs!$C$30)^2)/(2*Inputs!$C$32^2))+-Inputs!$C$33*EXP(-(((((Model_Data!A241)-Inputs!$C$34)^2)+(((Inputs!$C$6)-Inputs!$C$35)^2))/(2*Inputs!$C$36^2)))+Inputs!$C$37*(0.55*SIN(2*PI()*(Model_Data!A241)/Inputs!$C$39)+0.35*COS(2*PI()*(Inputs!$C$6)/Inputs!$C$40)+0.2*SIN(2*PI()*((Model_Data!A241)+(Inputs!$C$6))/(0.5*(Inputs!$C$39+Inputs!$C$40))))+Inputs!$C$38*SIN(2*PI()*(Model_Data!A241)/Inputs!$C$39)*SIN(2*PI()*(Inputs!$C$6)/Inputs!$C$40)+-Inputs!$C$41*EXP(-(((Inputs!$C$6)-Inputs!$C$43)^2)/(2*Inputs!$C$44^2))*EXP(-(((Model_Data!A241)-Inputs!$C$42)^2)/(2*Inputs!$C$45^2))+Inputs!$C$48*(0.7*(0.45*SIN(2*PI()*(((Model_Data!A241)/Inputs!$C$49)+Inputs!$C$47*0.137))+0.35*COS(2*PI()*(((Inputs!$C$6)/Inputs!$C$50)+Inputs!$C$47*0.173))+0.2*SIN(2*PI()*(((Model_Data!A241)+(Inputs!$C$6))/(0.5*(Inputs!$C$49+Inputs!$C$50))+Inputs!$C$47*0.097)))+0.3*(2*((SIN(((Model_Data!A241)*12.9898+(Inputs!$C$6)*78.233+Inputs!$C$47*37.719))*43758.5453)-INT((SIN(((Model_Data!A241)*12.9898+(Inputs!$C$6)*78.233+Inputs!$C$47*37.719))*43758.5453)))-1)))</f>
        <v>168.97901642333537</v>
      </c>
      <c r="G241" s="9">
        <f>(Inputs!$C$51*(115*EXP(-(((0)-25)^2)/(4.5^2))+70*EXP(-(((0)+38)^2)/(7^2))*(0.55+0.45*SIN(2*PI()*(Model_Data!A241)/45))+24*SIN(2*PI()*(0)/9+(Model_Data!A241)/18)*EXP(-(((0)+5)^2)/(22^2))+18*SIN(2*PI()*(Model_Data!A241)/70))+Inputs!$C$28*EXP(-(((Model_Data!A241)-Inputs!$C$29)^2)/(2*Inputs!$C$31^2))*EXP(-(((0)-Inputs!$C$30)^2)/(2*Inputs!$C$32^2))+-Inputs!$C$33*EXP(-(((((Model_Data!A241)-Inputs!$C$34)^2)+(((0)-Inputs!$C$35)^2))/(2*Inputs!$C$36^2)))+Inputs!$C$37*(0.55*SIN(2*PI()*(Model_Data!A241)/Inputs!$C$39)+0.35*COS(2*PI()*(0)/Inputs!$C$40)+0.2*SIN(2*PI()*((Model_Data!A241)+(0))/(0.5*(Inputs!$C$39+Inputs!$C$40))))+Inputs!$C$38*SIN(2*PI()*(Model_Data!A241)/Inputs!$C$39)*SIN(2*PI()*(0)/Inputs!$C$40)+-Inputs!$C$41*EXP(-(((0)-Inputs!$C$43)^2)/(2*Inputs!$C$44^2))*EXP(-(((Model_Data!A241)-Inputs!$C$42)^2)/(2*Inputs!$C$45^2))+Inputs!$C$48*(0.7*(0.45*SIN(2*PI()*(((Model_Data!A241)/Inputs!$C$49)+Inputs!$C$47*0.137))+0.35*COS(2*PI()*(((0)/Inputs!$C$50)+Inputs!$C$47*0.173))+0.2*SIN(2*PI()*(((Model_Data!A241)+(0))/(0.5*(Inputs!$C$49+Inputs!$C$50))+Inputs!$C$47*0.097)))+0.3*(2*((SIN(((Model_Data!A241)*12.9898+(0)*78.233+Inputs!$C$47*37.719))*43758.5453)-INT((SIN(((Model_Data!A241)*12.9898+(0)*78.233+Inputs!$C$47*37.719))*43758.5453)))-1)))</f>
        <v>45.681577079315673</v>
      </c>
      <c r="H241" s="10"/>
      <c r="I241" s="9">
        <f>Model_Data!A241</f>
        <v>59.5</v>
      </c>
      <c r="J241" s="9">
        <f>(Inputs!$C$51*(115*EXP(-(((Inputs!$C$6)-25)^2)/(4.5^2))+70*EXP(-(((Inputs!$C$6)+38)^2)/(7^2))*(0.55+0.45*SIN(2*PI()*(Model_Data!A241)/45))+24*SIN(2*PI()*(Inputs!$C$6)/9+(Model_Data!A241)/18)*EXP(-(((Inputs!$C$6)+5)^2)/(22^2))+18*SIN(2*PI()*(Model_Data!A241)/70))+Inputs!$C$28*EXP(-(((Model_Data!A241)-Inputs!$C$29)^2)/(2*Inputs!$C$31^2))*EXP(-(((Inputs!$C$6)-Inputs!$C$30)^2)/(2*Inputs!$C$32^2))+-Inputs!$C$33*EXP(-(((((Model_Data!A241)-Inputs!$C$34)^2)+(((Inputs!$C$6)-Inputs!$C$35)^2))/(2*Inputs!$C$36^2)))+Inputs!$C$37*(0.55*SIN(2*PI()*(Model_Data!A241)/Inputs!$C$39)+0.35*COS(2*PI()*(Inputs!$C$6)/Inputs!$C$40)+0.2*SIN(2*PI()*((Model_Data!A241)+(Inputs!$C$6))/(0.5*(Inputs!$C$39+Inputs!$C$40))))+Inputs!$C$38*SIN(2*PI()*(Model_Data!A241)/Inputs!$C$39)*SIN(2*PI()*(Inputs!$C$6)/Inputs!$C$40)+-Inputs!$C$41*EXP(-(((Inputs!$C$6)-Inputs!$C$43)^2)/(2*Inputs!$C$44^2))*EXP(-(((Model_Data!A241)-Inputs!$C$42)^2)/(2*Inputs!$C$45^2))+Inputs!$C$48*(0.7*(0.45*SIN(2*PI()*(((Model_Data!A241)/Inputs!$C$49)+Inputs!$C$47*0.137))+0.35*COS(2*PI()*(((Inputs!$C$6)/Inputs!$C$50)+Inputs!$C$47*0.173))+0.2*SIN(2*PI()*(((Model_Data!A241)+(Inputs!$C$6))/(0.5*(Inputs!$C$49+Inputs!$C$50))+Inputs!$C$47*0.097)))+0.3*(2*((SIN(((Model_Data!A241)*12.9898+(Inputs!$C$6)*78.233+Inputs!$C$47*37.719))*43758.5453)-INT((SIN(((Model_Data!A241)*12.9898+(Inputs!$C$6)*78.233+Inputs!$C$47*37.719))*43758.5453)))-1)))</f>
        <v>168.97901642333537</v>
      </c>
      <c r="K241" s="9">
        <f>-((((SQRT((Model_Data!A241)^2+Inputs!$C$6^2+((Model_Data!B241)-((Inputs!$C$51*(115*EXP(-(((Inputs!$C$6)-25)^2)/(4.5^2))+70*EXP(-(((Inputs!$C$6)+38)^2)/(7^2))*(0.55+0.45*SIN(2*PI()*(Model_Data!A241)/45))+24*SIN(2*PI()*(Inputs!$C$6)/9+(Model_Data!A241)/18)*EXP(-(((Inputs!$C$6)+5)^2)/(22^2))+18*SIN(2*PI()*(Model_Data!A241)/70))+Inputs!$C$28*EXP(-(((Model_Data!A241)-Inputs!$C$29)^2)/(2*Inputs!$C$31^2))*EXP(-(((Inputs!$C$6)-Inputs!$C$30)^2)/(2*Inputs!$C$32^2))+-Inputs!$C$33*EXP(-(((((Model_Data!A241)-Inputs!$C$34)^2)+(((Inputs!$C$6)-Inputs!$C$35)^2))/(2*Inputs!$C$36^2)))+Inputs!$C$37*(0.55*SIN(2*PI()*(Model_Data!A241)/Inputs!$C$39)+0.35*COS(2*PI()*(Inputs!$C$6)/Inputs!$C$40)+0.2*SIN(2*PI()*((Model_Data!A241)+(Inputs!$C$6))/(0.5*(Inputs!$C$39+Inputs!$C$40))))+Inputs!$C$38*SIN(2*PI()*(Model_Data!A241)/Inputs!$C$39)*SIN(2*PI()*(Inputs!$C$6)/Inputs!$C$40)+-Inputs!$C$41*EXP(-(((Inputs!$C$6)-Inputs!$C$43)^2)/(2*Inputs!$C$44^2))*EXP(-(((Model_Data!A241)-Inputs!$C$42)^2)/(2*Inputs!$C$45^2))+Inputs!$C$48*(0.7*(0.45*SIN(2*PI()*(((Model_Data!A241)/Inputs!$C$49)+Inputs!$C$47*0.137))+0.35*COS(2*PI()*(((Inputs!$C$6)/Inputs!$C$50)+Inputs!$C$47*0.173))+0.2*SIN(2*PI()*(((Model_Data!A241)+(Inputs!$C$6))/(0.5*(Inputs!$C$49+Inputs!$C$50))+Inputs!$C$47*0.097)))+0.3*(2*((SIN(((Model_Data!A241)*12.9898+(Inputs!$C$6)*78.233+Inputs!$C$47*37.719))*43758.5453)-INT((SIN(((Model_Data!A241)*12.9898+(Inputs!$C$6)*78.233+Inputs!$C$47*37.719))*43758.5453)))-1))))/1000)^2))-(((Model_Data!B241)-((Inputs!$C$51*(115*EXP(-(((0)-25)^2)/(4.5^2))+70*EXP(-(((0)+38)^2)/(7^2))*(0.55+0.45*SIN(2*PI()*(Model_Data!A241)/45))+24*SIN(2*PI()*(0)/9+(Model_Data!A241)/18)*EXP(-(((0)+5)^2)/(22^2))+18*SIN(2*PI()*(Model_Data!A241)/70))+Inputs!$C$28*EXP(-(((Model_Data!A241)-Inputs!$C$29)^2)/(2*Inputs!$C$31^2))*EXP(-(((0)-Inputs!$C$30)^2)/(2*Inputs!$C$32^2))+-Inputs!$C$33*EXP(-(((((Model_Data!A241)-Inputs!$C$34)^2)+(((0)-Inputs!$C$35)^2))/(2*Inputs!$C$36^2)))+Inputs!$C$37*(0.55*SIN(2*PI()*(Model_Data!A241)/Inputs!$C$39)+0.35*COS(2*PI()*(0)/Inputs!$C$40)+0.2*SIN(2*PI()*((Model_Data!A241)+(0))/(0.5*(Inputs!$C$39+Inputs!$C$40))))+Inputs!$C$38*SIN(2*PI()*(Model_Data!A241)/Inputs!$C$39)*SIN(2*PI()*(0)/Inputs!$C$40)+-Inputs!$C$41*EXP(-(((0)-Inputs!$C$43)^2)/(2*Inputs!$C$44^2))*EXP(-(((Model_Data!A241)-Inputs!$C$42)^2)/(2*Inputs!$C$45^2))+Inputs!$C$48*(0.7*(0.45*SIN(2*PI()*(((Model_Data!A241)/Inputs!$C$49)+Inputs!$C$47*0.137))+0.35*COS(2*PI()*(((0)/Inputs!$C$50)+Inputs!$C$47*0.173))+0.2*SIN(2*PI()*(((Model_Data!A241)+(0))/(0.5*(Inputs!$C$49+Inputs!$C$50))+Inputs!$C$47*0.097)))+0.3*(2*((SIN(((Model_Data!A241)*12.9898+(0)*78.233+Inputs!$C$47*37.719))*43758.5453)-INT((SIN(((Model_Data!A241)*12.9898+(0)*78.233+Inputs!$C$47*37.719))*43758.5453)))-1))))/1000)))*1000/Inputs!$C$12)-Model_Data!F241)</f>
        <v>68.078728750432674</v>
      </c>
      <c r="L241" s="10"/>
      <c r="M241" s="9">
        <f>Model_Data!A241</f>
        <v>59.5</v>
      </c>
      <c r="N241" s="9">
        <f>Model_Data!P241</f>
        <v>-441.63627249395824</v>
      </c>
      <c r="O241" s="9">
        <f t="shared" si="6"/>
        <v>-464.47624241764061</v>
      </c>
      <c r="P241" s="9">
        <f>Model_Data!Q241</f>
        <v>-66.311752626720462</v>
      </c>
      <c r="Q241" s="9">
        <f t="shared" si="7"/>
        <v>-69.741177540186285</v>
      </c>
      <c r="R241" s="10"/>
      <c r="S241" s="9">
        <f>Model_Data!A241</f>
        <v>59.5</v>
      </c>
      <c r="T241" s="9">
        <f>Model_Data!B241-Inputs!$C$5</f>
        <v>3.9336111111111336</v>
      </c>
      <c r="U241" s="10"/>
      <c r="V241" s="9">
        <f>Model_Data!A241</f>
        <v>59.5</v>
      </c>
      <c r="W241" s="9">
        <f>((SQRT((Model_Data!A241)^2+Inputs!$C$6^2+Inputs!$C$5^2)-Inputs!$C$5)*1000/Inputs!$C$12)</f>
        <v>2906.2422198150257</v>
      </c>
      <c r="X241" s="9">
        <f>Model_Data!F241</f>
        <v>2878.2966468989871</v>
      </c>
      <c r="Y241" s="10"/>
      <c r="Z241" s="9">
        <f>Model_Data!A241</f>
        <v>59.5</v>
      </c>
      <c r="AA241" s="9">
        <f>SQRT((Model_Data!A241)^2+Inputs!$C$6^2+((Model_Data!B241)-((Inputs!$C$51*(115*EXP(-(((Inputs!$C$6)-25)^2)/(4.5^2))+70*EXP(-(((Inputs!$C$6)+38)^2)/(7^2))*(0.55+0.45*SIN(2*PI()*(Model_Data!A241)/45))+24*SIN(2*PI()*(Inputs!$C$6)/9+(Model_Data!A241)/18)*EXP(-(((Inputs!$C$6)+5)^2)/(22^2))+18*SIN(2*PI()*(Model_Data!A241)/70))+Inputs!$C$28*EXP(-(((Model_Data!A241)-Inputs!$C$29)^2)/(2*Inputs!$C$31^2))*EXP(-(((Inputs!$C$6)-Inputs!$C$30)^2)/(2*Inputs!$C$32^2))+-Inputs!$C$33*EXP(-(((((Model_Data!A241)-Inputs!$C$34)^2)+(((Inputs!$C$6)-Inputs!$C$35)^2))/(2*Inputs!$C$36^2)))+Inputs!$C$37*(0.55*SIN(2*PI()*(Model_Data!A241)/Inputs!$C$39)+0.35*COS(2*PI()*(Inputs!$C$6)/Inputs!$C$40)+0.2*SIN(2*PI()*((Model_Data!A241)+(Inputs!$C$6))/(0.5*(Inputs!$C$39+Inputs!$C$40))))+Inputs!$C$38*SIN(2*PI()*(Model_Data!A241)/Inputs!$C$39)*SIN(2*PI()*(Inputs!$C$6)/Inputs!$C$40)+-Inputs!$C$41*EXP(-(((Inputs!$C$6)-Inputs!$C$43)^2)/(2*Inputs!$C$44^2))*EXP(-(((Model_Data!A241)-Inputs!$C$42)^2)/(2*Inputs!$C$45^2))+Inputs!$C$48*(0.7*(0.45*SIN(2*PI()*(((Model_Data!A241)/Inputs!$C$49)+Inputs!$C$47*0.137))+0.35*COS(2*PI()*(((Inputs!$C$6)/Inputs!$C$50)+Inputs!$C$47*0.173))+0.2*SIN(2*PI()*(((Model_Data!A241)+(Inputs!$C$6))/(0.5*(Inputs!$C$49+Inputs!$C$50))+Inputs!$C$47*0.097)))+0.3*(2*((SIN(((Model_Data!A241)*12.9898+(Inputs!$C$6)*78.233+Inputs!$C$47*37.719))*43758.5453)-INT((SIN(((Model_Data!A241)*12.9898+(Inputs!$C$6)*78.233+Inputs!$C$47*37.719))*43758.5453)))-1))))/1000)^2)</f>
        <v>408.89011742833623</v>
      </c>
      <c r="AB241" s="9">
        <f>1000*(AA242-AA240)/(Z242-Z240)*Inputs!$C$11</f>
        <v>1161.1906060441015</v>
      </c>
      <c r="AC241" s="9">
        <f>-2*AB241/Inputs!$C$13</f>
        <v>-464.47624241764061</v>
      </c>
      <c r="AD241" s="9">
        <f>-2*AB241/Inputs!$C$14</f>
        <v>-69.741177540186285</v>
      </c>
    </row>
    <row r="242" spans="1:30">
      <c r="A242" s="9">
        <f>Model_Data!A242</f>
        <v>60</v>
      </c>
      <c r="B242" s="9">
        <f>((SQRT((Model_Data!A242)^2+Inputs!$C$6^2+Inputs!$C$5^2)-Inputs!$C$5)*1000/Inputs!$C$12)</f>
        <v>2947.6619994621419</v>
      </c>
      <c r="C242" s="9">
        <f>Model_Data!F242</f>
        <v>2918.8495915692838</v>
      </c>
      <c r="D242" s="9">
        <f>(((SQRT((Model_Data!A242)^2+Inputs!$C$6^2+((Model_Data!B242)-((Inputs!$C$51*(115*EXP(-(((Inputs!$C$6)-25)^2)/(4.5^2))+70*EXP(-(((Inputs!$C$6)+38)^2)/(7^2))*(0.55+0.45*SIN(2*PI()*(Model_Data!A242)/45))+24*SIN(2*PI()*(Inputs!$C$6)/9+(Model_Data!A242)/18)*EXP(-(((Inputs!$C$6)+5)^2)/(22^2))+18*SIN(2*PI()*(Model_Data!A242)/70))+Inputs!$C$28*EXP(-(((Model_Data!A242)-Inputs!$C$29)^2)/(2*Inputs!$C$31^2))*EXP(-(((Inputs!$C$6)-Inputs!$C$30)^2)/(2*Inputs!$C$32^2))+-Inputs!$C$33*EXP(-(((((Model_Data!A242)-Inputs!$C$34)^2)+(((Inputs!$C$6)-Inputs!$C$35)^2))/(2*Inputs!$C$36^2)))+Inputs!$C$37*(0.55*SIN(2*PI()*(Model_Data!A242)/Inputs!$C$39)+0.35*COS(2*PI()*(Inputs!$C$6)/Inputs!$C$40)+0.2*SIN(2*PI()*((Model_Data!A242)+(Inputs!$C$6))/(0.5*(Inputs!$C$39+Inputs!$C$40))))+Inputs!$C$38*SIN(2*PI()*(Model_Data!A242)/Inputs!$C$39)*SIN(2*PI()*(Inputs!$C$6)/Inputs!$C$40)+-Inputs!$C$41*EXP(-(((Inputs!$C$6)-Inputs!$C$43)^2)/(2*Inputs!$C$44^2))*EXP(-(((Model_Data!A242)-Inputs!$C$42)^2)/(2*Inputs!$C$45^2))+Inputs!$C$48*(0.7*(0.45*SIN(2*PI()*(((Model_Data!A242)/Inputs!$C$49)+Inputs!$C$47*0.137))+0.35*COS(2*PI()*(((Inputs!$C$6)/Inputs!$C$50)+Inputs!$C$47*0.173))+0.2*SIN(2*PI()*(((Model_Data!A242)+(Inputs!$C$6))/(0.5*(Inputs!$C$49+Inputs!$C$50))+Inputs!$C$47*0.097)))+0.3*(2*((SIN(((Model_Data!A242)*12.9898+(Inputs!$C$6)*78.233+Inputs!$C$47*37.719))*43758.5453)-INT((SIN(((Model_Data!A242)*12.9898+(Inputs!$C$6)*78.233+Inputs!$C$47*37.719))*43758.5453)))-1))))/1000)^2))-(((Model_Data!B242)-((Inputs!$C$51*(115*EXP(-(((0)-25)^2)/(4.5^2))+70*EXP(-(((0)+38)^2)/(7^2))*(0.55+0.45*SIN(2*PI()*(Model_Data!A242)/45))+24*SIN(2*PI()*(0)/9+(Model_Data!A242)/18)*EXP(-(((0)+5)^2)/(22^2))+18*SIN(2*PI()*(Model_Data!A242)/70))+Inputs!$C$28*EXP(-(((Model_Data!A242)-Inputs!$C$29)^2)/(2*Inputs!$C$31^2))*EXP(-(((0)-Inputs!$C$30)^2)/(2*Inputs!$C$32^2))+-Inputs!$C$33*EXP(-(((((Model_Data!A242)-Inputs!$C$34)^2)+(((0)-Inputs!$C$35)^2))/(2*Inputs!$C$36^2)))+Inputs!$C$37*(0.55*SIN(2*PI()*(Model_Data!A242)/Inputs!$C$39)+0.35*COS(2*PI()*(0)/Inputs!$C$40)+0.2*SIN(2*PI()*((Model_Data!A242)+(0))/(0.5*(Inputs!$C$39+Inputs!$C$40))))+Inputs!$C$38*SIN(2*PI()*(Model_Data!A242)/Inputs!$C$39)*SIN(2*PI()*(0)/Inputs!$C$40)+-Inputs!$C$41*EXP(-(((0)-Inputs!$C$43)^2)/(2*Inputs!$C$44^2))*EXP(-(((Model_Data!A242)-Inputs!$C$42)^2)/(2*Inputs!$C$45^2))+Inputs!$C$48*(0.7*(0.45*SIN(2*PI()*(((Model_Data!A242)/Inputs!$C$49)+Inputs!$C$47*0.137))+0.35*COS(2*PI()*(((0)/Inputs!$C$50)+Inputs!$C$47*0.173))+0.2*SIN(2*PI()*(((Model_Data!A242)+(0))/(0.5*(Inputs!$C$49+Inputs!$C$50))+Inputs!$C$47*0.097)))+0.3*(2*((SIN(((Model_Data!A242)*12.9898+(0)*78.233+Inputs!$C$47*37.719))*43758.5453)-INT((SIN(((Model_Data!A242)*12.9898+(0)*78.233+Inputs!$C$47*37.719))*43758.5453)))-1))))/1000)))*1000/Inputs!$C$12)</f>
        <v>2837.2896503823899</v>
      </c>
      <c r="E242" s="9">
        <f>Model_Data!A242</f>
        <v>60</v>
      </c>
      <c r="F242" s="9">
        <f>(Inputs!$C$51*(115*EXP(-(((Inputs!$C$6)-25)^2)/(4.5^2))+70*EXP(-(((Inputs!$C$6)+38)^2)/(7^2))*(0.55+0.45*SIN(2*PI()*(Model_Data!A242)/45))+24*SIN(2*PI()*(Inputs!$C$6)/9+(Model_Data!A242)/18)*EXP(-(((Inputs!$C$6)+5)^2)/(22^2))+18*SIN(2*PI()*(Model_Data!A242)/70))+Inputs!$C$28*EXP(-(((Model_Data!A242)-Inputs!$C$29)^2)/(2*Inputs!$C$31^2))*EXP(-(((Inputs!$C$6)-Inputs!$C$30)^2)/(2*Inputs!$C$32^2))+-Inputs!$C$33*EXP(-(((((Model_Data!A242)-Inputs!$C$34)^2)+(((Inputs!$C$6)-Inputs!$C$35)^2))/(2*Inputs!$C$36^2)))+Inputs!$C$37*(0.55*SIN(2*PI()*(Model_Data!A242)/Inputs!$C$39)+0.35*COS(2*PI()*(Inputs!$C$6)/Inputs!$C$40)+0.2*SIN(2*PI()*((Model_Data!A242)+(Inputs!$C$6))/(0.5*(Inputs!$C$39+Inputs!$C$40))))+Inputs!$C$38*SIN(2*PI()*(Model_Data!A242)/Inputs!$C$39)*SIN(2*PI()*(Inputs!$C$6)/Inputs!$C$40)+-Inputs!$C$41*EXP(-(((Inputs!$C$6)-Inputs!$C$43)^2)/(2*Inputs!$C$44^2))*EXP(-(((Model_Data!A242)-Inputs!$C$42)^2)/(2*Inputs!$C$45^2))+Inputs!$C$48*(0.7*(0.45*SIN(2*PI()*(((Model_Data!A242)/Inputs!$C$49)+Inputs!$C$47*0.137))+0.35*COS(2*PI()*(((Inputs!$C$6)/Inputs!$C$50)+Inputs!$C$47*0.173))+0.2*SIN(2*PI()*(((Model_Data!A242)+(Inputs!$C$6))/(0.5*(Inputs!$C$49+Inputs!$C$50))+Inputs!$C$47*0.097)))+0.3*(2*((SIN(((Model_Data!A242)*12.9898+(Inputs!$C$6)*78.233+Inputs!$C$47*37.719))*43758.5453)-INT((SIN(((Model_Data!A242)*12.9898+(Inputs!$C$6)*78.233+Inputs!$C$47*37.719))*43758.5453)))-1)))</f>
        <v>179.34901119414707</v>
      </c>
      <c r="G242" s="9">
        <f>(Inputs!$C$51*(115*EXP(-(((0)-25)^2)/(4.5^2))+70*EXP(-(((0)+38)^2)/(7^2))*(0.55+0.45*SIN(2*PI()*(Model_Data!A242)/45))+24*SIN(2*PI()*(0)/9+(Model_Data!A242)/18)*EXP(-(((0)+5)^2)/(22^2))+18*SIN(2*PI()*(Model_Data!A242)/70))+Inputs!$C$28*EXP(-(((Model_Data!A242)-Inputs!$C$29)^2)/(2*Inputs!$C$31^2))*EXP(-(((0)-Inputs!$C$30)^2)/(2*Inputs!$C$32^2))+-Inputs!$C$33*EXP(-(((((Model_Data!A242)-Inputs!$C$34)^2)+(((0)-Inputs!$C$35)^2))/(2*Inputs!$C$36^2)))+Inputs!$C$37*(0.55*SIN(2*PI()*(Model_Data!A242)/Inputs!$C$39)+0.35*COS(2*PI()*(0)/Inputs!$C$40)+0.2*SIN(2*PI()*((Model_Data!A242)+(0))/(0.5*(Inputs!$C$39+Inputs!$C$40))))+Inputs!$C$38*SIN(2*PI()*(Model_Data!A242)/Inputs!$C$39)*SIN(2*PI()*(0)/Inputs!$C$40)+-Inputs!$C$41*EXP(-(((0)-Inputs!$C$43)^2)/(2*Inputs!$C$44^2))*EXP(-(((Model_Data!A242)-Inputs!$C$42)^2)/(2*Inputs!$C$45^2))+Inputs!$C$48*(0.7*(0.45*SIN(2*PI()*(((Model_Data!A242)/Inputs!$C$49)+Inputs!$C$47*0.137))+0.35*COS(2*PI()*(((0)/Inputs!$C$50)+Inputs!$C$47*0.173))+0.2*SIN(2*PI()*(((Model_Data!A242)+(0))/(0.5*(Inputs!$C$49+Inputs!$C$50))+Inputs!$C$47*0.097)))+0.3*(2*((SIN(((Model_Data!A242)*12.9898+(0)*78.233+Inputs!$C$47*37.719))*43758.5453)-INT((SIN(((Model_Data!A242)*12.9898+(0)*78.233+Inputs!$C$47*37.719))*43758.5453)))-1)))</f>
        <v>31.89413090916895</v>
      </c>
      <c r="H242" s="10"/>
      <c r="I242" s="9">
        <f>Model_Data!A242</f>
        <v>60</v>
      </c>
      <c r="J242" s="9">
        <f>(Inputs!$C$51*(115*EXP(-(((Inputs!$C$6)-25)^2)/(4.5^2))+70*EXP(-(((Inputs!$C$6)+38)^2)/(7^2))*(0.55+0.45*SIN(2*PI()*(Model_Data!A242)/45))+24*SIN(2*PI()*(Inputs!$C$6)/9+(Model_Data!A242)/18)*EXP(-(((Inputs!$C$6)+5)^2)/(22^2))+18*SIN(2*PI()*(Model_Data!A242)/70))+Inputs!$C$28*EXP(-(((Model_Data!A242)-Inputs!$C$29)^2)/(2*Inputs!$C$31^2))*EXP(-(((Inputs!$C$6)-Inputs!$C$30)^2)/(2*Inputs!$C$32^2))+-Inputs!$C$33*EXP(-(((((Model_Data!A242)-Inputs!$C$34)^2)+(((Inputs!$C$6)-Inputs!$C$35)^2))/(2*Inputs!$C$36^2)))+Inputs!$C$37*(0.55*SIN(2*PI()*(Model_Data!A242)/Inputs!$C$39)+0.35*COS(2*PI()*(Inputs!$C$6)/Inputs!$C$40)+0.2*SIN(2*PI()*((Model_Data!A242)+(Inputs!$C$6))/(0.5*(Inputs!$C$39+Inputs!$C$40))))+Inputs!$C$38*SIN(2*PI()*(Model_Data!A242)/Inputs!$C$39)*SIN(2*PI()*(Inputs!$C$6)/Inputs!$C$40)+-Inputs!$C$41*EXP(-(((Inputs!$C$6)-Inputs!$C$43)^2)/(2*Inputs!$C$44^2))*EXP(-(((Model_Data!A242)-Inputs!$C$42)^2)/(2*Inputs!$C$45^2))+Inputs!$C$48*(0.7*(0.45*SIN(2*PI()*(((Model_Data!A242)/Inputs!$C$49)+Inputs!$C$47*0.137))+0.35*COS(2*PI()*(((Inputs!$C$6)/Inputs!$C$50)+Inputs!$C$47*0.173))+0.2*SIN(2*PI()*(((Model_Data!A242)+(Inputs!$C$6))/(0.5*(Inputs!$C$49+Inputs!$C$50))+Inputs!$C$47*0.097)))+0.3*(2*((SIN(((Model_Data!A242)*12.9898+(Inputs!$C$6)*78.233+Inputs!$C$47*37.719))*43758.5453)-INT((SIN(((Model_Data!A242)*12.9898+(Inputs!$C$6)*78.233+Inputs!$C$47*37.719))*43758.5453)))-1)))</f>
        <v>179.34901119414707</v>
      </c>
      <c r="K242" s="9">
        <f>-((((SQRT((Model_Data!A242)^2+Inputs!$C$6^2+((Model_Data!B242)-((Inputs!$C$51*(115*EXP(-(((Inputs!$C$6)-25)^2)/(4.5^2))+70*EXP(-(((Inputs!$C$6)+38)^2)/(7^2))*(0.55+0.45*SIN(2*PI()*(Model_Data!A242)/45))+24*SIN(2*PI()*(Inputs!$C$6)/9+(Model_Data!A242)/18)*EXP(-(((Inputs!$C$6)+5)^2)/(22^2))+18*SIN(2*PI()*(Model_Data!A242)/70))+Inputs!$C$28*EXP(-(((Model_Data!A242)-Inputs!$C$29)^2)/(2*Inputs!$C$31^2))*EXP(-(((Inputs!$C$6)-Inputs!$C$30)^2)/(2*Inputs!$C$32^2))+-Inputs!$C$33*EXP(-(((((Model_Data!A242)-Inputs!$C$34)^2)+(((Inputs!$C$6)-Inputs!$C$35)^2))/(2*Inputs!$C$36^2)))+Inputs!$C$37*(0.55*SIN(2*PI()*(Model_Data!A242)/Inputs!$C$39)+0.35*COS(2*PI()*(Inputs!$C$6)/Inputs!$C$40)+0.2*SIN(2*PI()*((Model_Data!A242)+(Inputs!$C$6))/(0.5*(Inputs!$C$39+Inputs!$C$40))))+Inputs!$C$38*SIN(2*PI()*(Model_Data!A242)/Inputs!$C$39)*SIN(2*PI()*(Inputs!$C$6)/Inputs!$C$40)+-Inputs!$C$41*EXP(-(((Inputs!$C$6)-Inputs!$C$43)^2)/(2*Inputs!$C$44^2))*EXP(-(((Model_Data!A242)-Inputs!$C$42)^2)/(2*Inputs!$C$45^2))+Inputs!$C$48*(0.7*(0.45*SIN(2*PI()*(((Model_Data!A242)/Inputs!$C$49)+Inputs!$C$47*0.137))+0.35*COS(2*PI()*(((Inputs!$C$6)/Inputs!$C$50)+Inputs!$C$47*0.173))+0.2*SIN(2*PI()*(((Model_Data!A242)+(Inputs!$C$6))/(0.5*(Inputs!$C$49+Inputs!$C$50))+Inputs!$C$47*0.097)))+0.3*(2*((SIN(((Model_Data!A242)*12.9898+(Inputs!$C$6)*78.233+Inputs!$C$47*37.719))*43758.5453)-INT((SIN(((Model_Data!A242)*12.9898+(Inputs!$C$6)*78.233+Inputs!$C$47*37.719))*43758.5453)))-1))))/1000)^2))-(((Model_Data!B242)-((Inputs!$C$51*(115*EXP(-(((0)-25)^2)/(4.5^2))+70*EXP(-(((0)+38)^2)/(7^2))*(0.55+0.45*SIN(2*PI()*(Model_Data!A242)/45))+24*SIN(2*PI()*(0)/9+(Model_Data!A242)/18)*EXP(-(((0)+5)^2)/(22^2))+18*SIN(2*PI()*(Model_Data!A242)/70))+Inputs!$C$28*EXP(-(((Model_Data!A242)-Inputs!$C$29)^2)/(2*Inputs!$C$31^2))*EXP(-(((0)-Inputs!$C$30)^2)/(2*Inputs!$C$32^2))+-Inputs!$C$33*EXP(-(((((Model_Data!A242)-Inputs!$C$34)^2)+(((0)-Inputs!$C$35)^2))/(2*Inputs!$C$36^2)))+Inputs!$C$37*(0.55*SIN(2*PI()*(Model_Data!A242)/Inputs!$C$39)+0.35*COS(2*PI()*(0)/Inputs!$C$40)+0.2*SIN(2*PI()*((Model_Data!A242)+(0))/(0.5*(Inputs!$C$39+Inputs!$C$40))))+Inputs!$C$38*SIN(2*PI()*(Model_Data!A242)/Inputs!$C$39)*SIN(2*PI()*(0)/Inputs!$C$40)+-Inputs!$C$41*EXP(-(((0)-Inputs!$C$43)^2)/(2*Inputs!$C$44^2))*EXP(-(((Model_Data!A242)-Inputs!$C$42)^2)/(2*Inputs!$C$45^2))+Inputs!$C$48*(0.7*(0.45*SIN(2*PI()*(((Model_Data!A242)/Inputs!$C$49)+Inputs!$C$47*0.137))+0.35*COS(2*PI()*(((0)/Inputs!$C$50)+Inputs!$C$47*0.173))+0.2*SIN(2*PI()*(((Model_Data!A242)+(0))/(0.5*(Inputs!$C$49+Inputs!$C$50))+Inputs!$C$47*0.097)))+0.3*(2*((SIN(((Model_Data!A242)*12.9898+(0)*78.233+Inputs!$C$47*37.719))*43758.5453)-INT((SIN(((Model_Data!A242)*12.9898+(0)*78.233+Inputs!$C$47*37.719))*43758.5453)))-1))))/1000)))*1000/Inputs!$C$12)-Model_Data!F242)</f>
        <v>81.559941186893866</v>
      </c>
      <c r="L242" s="10"/>
      <c r="M242" s="9">
        <f>Model_Data!A242</f>
        <v>60</v>
      </c>
      <c r="N242" s="9">
        <f>Model_Data!P242</f>
        <v>-445.23129749250427</v>
      </c>
      <c r="O242" s="9">
        <f t="shared" si="6"/>
        <v>-410.76485899284307</v>
      </c>
      <c r="P242" s="9">
        <f>Model_Data!Q242</f>
        <v>-66.851546170045694</v>
      </c>
      <c r="Q242" s="9">
        <f t="shared" si="7"/>
        <v>-61.676405254180644</v>
      </c>
      <c r="R242" s="10"/>
      <c r="S242" s="9">
        <f>Model_Data!A242</f>
        <v>60</v>
      </c>
      <c r="T242" s="9">
        <f>Model_Data!B242-Inputs!$C$5</f>
        <v>4</v>
      </c>
      <c r="U242" s="10"/>
      <c r="V242" s="9">
        <f>Model_Data!A242</f>
        <v>60</v>
      </c>
      <c r="W242" s="9">
        <f>((SQRT((Model_Data!A242)^2+Inputs!$C$6^2+Inputs!$C$5^2)-Inputs!$C$5)*1000/Inputs!$C$12)</f>
        <v>2947.6619994621419</v>
      </c>
      <c r="X242" s="9">
        <f>Model_Data!F242</f>
        <v>2918.8495915692838</v>
      </c>
      <c r="Y242" s="10"/>
      <c r="Z242" s="9">
        <f>Model_Data!A242</f>
        <v>60</v>
      </c>
      <c r="AA242" s="9">
        <f>SQRT((Model_Data!A242)^2+Inputs!$C$6^2+((Model_Data!B242)-((Inputs!$C$51*(115*EXP(-(((Inputs!$C$6)-25)^2)/(4.5^2))+70*EXP(-(((Inputs!$C$6)+38)^2)/(7^2))*(0.55+0.45*SIN(2*PI()*(Model_Data!A242)/45))+24*SIN(2*PI()*(Inputs!$C$6)/9+(Model_Data!A242)/18)*EXP(-(((Inputs!$C$6)+5)^2)/(22^2))+18*SIN(2*PI()*(Model_Data!A242)/70))+Inputs!$C$28*EXP(-(((Model_Data!A242)-Inputs!$C$29)^2)/(2*Inputs!$C$31^2))*EXP(-(((Inputs!$C$6)-Inputs!$C$30)^2)/(2*Inputs!$C$32^2))+-Inputs!$C$33*EXP(-(((((Model_Data!A242)-Inputs!$C$34)^2)+(((Inputs!$C$6)-Inputs!$C$35)^2))/(2*Inputs!$C$36^2)))+Inputs!$C$37*(0.55*SIN(2*PI()*(Model_Data!A242)/Inputs!$C$39)+0.35*COS(2*PI()*(Inputs!$C$6)/Inputs!$C$40)+0.2*SIN(2*PI()*((Model_Data!A242)+(Inputs!$C$6))/(0.5*(Inputs!$C$39+Inputs!$C$40))))+Inputs!$C$38*SIN(2*PI()*(Model_Data!A242)/Inputs!$C$39)*SIN(2*PI()*(Inputs!$C$6)/Inputs!$C$40)+-Inputs!$C$41*EXP(-(((Inputs!$C$6)-Inputs!$C$43)^2)/(2*Inputs!$C$44^2))*EXP(-(((Model_Data!A242)-Inputs!$C$42)^2)/(2*Inputs!$C$45^2))+Inputs!$C$48*(0.7*(0.45*SIN(2*PI()*(((Model_Data!A242)/Inputs!$C$49)+Inputs!$C$47*0.137))+0.35*COS(2*PI()*(((Inputs!$C$6)/Inputs!$C$50)+Inputs!$C$47*0.173))+0.2*SIN(2*PI()*(((Model_Data!A242)+(Inputs!$C$6))/(0.5*(Inputs!$C$49+Inputs!$C$50))+Inputs!$C$47*0.097)))+0.3*(2*((SIN(((Model_Data!A242)*12.9898+(Inputs!$C$6)*78.233+Inputs!$C$47*37.719))*43758.5453)-INT((SIN(((Model_Data!A242)*12.9898+(Inputs!$C$6)*78.233+Inputs!$C$47*37.719))*43758.5453)))-1))))/1000)^2)</f>
        <v>409.01848144677149</v>
      </c>
      <c r="AB242" s="9">
        <f>1000*(AA242-AA241)/(Z242-Z241)*Inputs!$C$11</f>
        <v>1026.9121474821077</v>
      </c>
      <c r="AC242" s="9">
        <f>-2*AB242/Inputs!$C$13</f>
        <v>-410.76485899284307</v>
      </c>
      <c r="AD242" s="9">
        <f>-2*AB242/Inputs!$C$14</f>
        <v>-61.676405254180644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242"/>
  <sheetViews>
    <sheetView showGridLines="0" workbookViewId="0"/>
  </sheetViews>
  <sheetFormatPr defaultRowHeight="13.8"/>
  <cols>
    <col min="1" max="1" width="12" customWidth="1"/>
    <col min="2" max="2" width="24" customWidth="1"/>
    <col min="3" max="4" width="30" customWidth="1"/>
    <col min="5" max="5" width="32" customWidth="1"/>
    <col min="6" max="6" width="4" customWidth="1"/>
    <col min="7" max="7" width="12" customWidth="1"/>
    <col min="8" max="8" width="30" customWidth="1"/>
    <col min="9" max="10" width="34" customWidth="1"/>
    <col min="11" max="11" width="36" customWidth="1"/>
    <col min="12" max="12" width="4" customWidth="1"/>
    <col min="13" max="13" width="12" customWidth="1"/>
    <col min="14" max="14" width="30" customWidth="1"/>
    <col min="15" max="16" width="34" customWidth="1"/>
    <col min="17" max="17" width="36" customWidth="1"/>
    <col min="18" max="18" width="4" customWidth="1"/>
    <col min="19" max="19" width="12" customWidth="1"/>
    <col min="20" max="20" width="24" customWidth="1"/>
    <col min="21" max="22" width="30" customWidth="1"/>
    <col min="23" max="23" width="32" customWidth="1"/>
    <col min="25" max="25" width="12" customWidth="1"/>
    <col min="26" max="26" width="24" customWidth="1"/>
    <col min="27" max="28" width="30" customWidth="1"/>
    <col min="29" max="29" width="32" customWidth="1"/>
    <col min="31" max="31" width="12" customWidth="1"/>
    <col min="32" max="32" width="30" customWidth="1"/>
    <col min="33" max="34" width="34" customWidth="1"/>
    <col min="35" max="35" width="36" customWidth="1"/>
    <col min="37" max="37" width="12" customWidth="1"/>
    <col min="38" max="38" width="30" customWidth="1"/>
    <col min="39" max="40" width="34" customWidth="1"/>
    <col min="41" max="41" width="36" customWidth="1"/>
  </cols>
  <sheetData>
    <row r="1" spans="1:41" ht="27.6">
      <c r="A1" s="2" t="s">
        <v>274</v>
      </c>
      <c r="B1" s="2" t="s">
        <v>275</v>
      </c>
      <c r="C1" s="2" t="s">
        <v>276</v>
      </c>
      <c r="D1" s="2" t="s">
        <v>277</v>
      </c>
      <c r="E1" s="2" t="s">
        <v>278</v>
      </c>
      <c r="G1" s="2" t="s">
        <v>274</v>
      </c>
      <c r="H1" s="2" t="s">
        <v>279</v>
      </c>
      <c r="I1" s="2" t="s">
        <v>280</v>
      </c>
      <c r="J1" s="2" t="s">
        <v>281</v>
      </c>
      <c r="K1" s="2" t="s">
        <v>282</v>
      </c>
      <c r="M1" s="2" t="s">
        <v>274</v>
      </c>
      <c r="N1" s="2" t="s">
        <v>283</v>
      </c>
      <c r="O1" s="2" t="s">
        <v>284</v>
      </c>
      <c r="P1" s="2" t="s">
        <v>285</v>
      </c>
      <c r="Q1" s="2" t="s">
        <v>286</v>
      </c>
      <c r="S1" s="2" t="s">
        <v>274</v>
      </c>
      <c r="T1" s="2" t="s">
        <v>287</v>
      </c>
      <c r="U1" s="2" t="s">
        <v>288</v>
      </c>
      <c r="V1" s="2" t="s">
        <v>289</v>
      </c>
      <c r="W1" s="2" t="s">
        <v>290</v>
      </c>
      <c r="Y1" s="2" t="s">
        <v>274</v>
      </c>
      <c r="Z1" s="2" t="s">
        <v>291</v>
      </c>
      <c r="AA1" s="2" t="s">
        <v>292</v>
      </c>
      <c r="AB1" s="2" t="s">
        <v>293</v>
      </c>
      <c r="AC1" s="2" t="s">
        <v>294</v>
      </c>
      <c r="AE1" s="2" t="s">
        <v>274</v>
      </c>
      <c r="AF1" s="2" t="s">
        <v>295</v>
      </c>
      <c r="AG1" s="2" t="s">
        <v>296</v>
      </c>
      <c r="AH1" s="2" t="s">
        <v>297</v>
      </c>
      <c r="AI1" s="2" t="s">
        <v>298</v>
      </c>
      <c r="AK1" s="2" t="s">
        <v>274</v>
      </c>
      <c r="AL1" s="2" t="s">
        <v>299</v>
      </c>
      <c r="AM1" s="2" t="s">
        <v>300</v>
      </c>
      <c r="AN1" s="2" t="s">
        <v>301</v>
      </c>
      <c r="AO1" s="2" t="s">
        <v>302</v>
      </c>
    </row>
    <row r="2" spans="1:41">
      <c r="A2" s="9">
        <f>ROUND(-1+0*2/240,3)</f>
        <v>-1</v>
      </c>
      <c r="B2" s="9">
        <f>IF(OR(Inputs!$F$6=TRUE,Inputs!$F$6="TRUE",Inputs!$F$6=1),(Inputs!$H$6+Inputs!$L$6*(((Inputs!$I$6+(((A2)+1)/2)*(Inputs!$J$6-Inputs!$I$6)))/Inputs!$K$6)^2),NA())</f>
        <v>404</v>
      </c>
      <c r="C2" s="9">
        <f>IF(OR(Inputs!$F$7=TRUE,Inputs!$F$7="TRUE",Inputs!$F$7=1),(Inputs!$H$7+Inputs!$L$7*(((Inputs!$I$7+(((A2)+1)/2)*(Inputs!$J$7-Inputs!$I$7)))/Inputs!$K$7)^2),NA())</f>
        <v>400</v>
      </c>
      <c r="D2" s="9">
        <f>IF(OR(Inputs!$F$8=TRUE,Inputs!$F$8="TRUE",Inputs!$F$8=1),(Inputs!$H$8+Inputs!$L$8*(((Inputs!$I$8+(((A2)+1)/2)*(Inputs!$J$8-Inputs!$I$8)))/Inputs!$K$8)^2),NA())</f>
        <v>1000</v>
      </c>
      <c r="E2" s="9">
        <f>IF(OR(Inputs!$F$9=TRUE,Inputs!$F$9="TRUE",Inputs!$F$9=1),(Inputs!$H$9+Inputs!$L$9*(((Inputs!$I$9+(((A2)+1)/2)*(Inputs!$J$9-Inputs!$I$9)))/Inputs!$K$9)^2),NA())</f>
        <v>1000</v>
      </c>
      <c r="F2" s="10"/>
      <c r="G2" s="9">
        <f t="shared" ref="G2:G65" si="0">A2</f>
        <v>-1</v>
      </c>
      <c r="H2" s="9">
        <f>IF(OR(Inputs!$F$6=TRUE,Inputs!$F$6="TRUE",Inputs!$F$6=1),(((SQRT(((Inputs!$I$6+(((A2)+1)/2)*(Inputs!$J$6-Inputs!$I$6)))^2+Inputs!$C$6^2+((Inputs!$H$6+Inputs!$L$6*(((Inputs!$I$6+(((A2)+1)/2)*(Inputs!$J$6-Inputs!$I$6)))/Inputs!$K$6)^2))^2))-((Inputs!$H$6+Inputs!$L$6*(((Inputs!$I$6+(((A2)+1)/2)*(Inputs!$J$6-Inputs!$I$6)))/Inputs!$K$6)^2)))*1000/Inputs!$C$12),NA())</f>
        <v>2918.8495915692838</v>
      </c>
      <c r="I2" s="9">
        <f>IF(OR(Inputs!$F$7=TRUE,Inputs!$F$7="TRUE",Inputs!$F$7=1),(((SQRT(((Inputs!$I$7+(((A2)+1)/2)*(Inputs!$J$7-Inputs!$I$7)))^2+Inputs!$C$6^2+((Inputs!$H$7+Inputs!$L$7*(((Inputs!$I$7+(((A2)+1)/2)*(Inputs!$J$7-Inputs!$I$7)))/Inputs!$K$7)^2))^2))-((Inputs!$H$7+Inputs!$L$7*(((Inputs!$I$7+(((A2)+1)/2)*(Inputs!$J$7-Inputs!$I$7)))/Inputs!$K$7)^2)))*1000/Inputs!$C$12),NA())</f>
        <v>93391.900362531596</v>
      </c>
      <c r="J2" s="9">
        <f>IF(OR(Inputs!$F$8=TRUE,Inputs!$F$8="TRUE",Inputs!$F$8=1),(((SQRT(((Inputs!$I$8+(((A2)+1)/2)*(Inputs!$J$8-Inputs!$I$8)))^2+Inputs!$C$6^2+((Inputs!$H$8+Inputs!$L$8*(((Inputs!$I$8+(((A2)+1)/2)*(Inputs!$J$8-Inputs!$I$8)))/Inputs!$K$8)^2))^2))-((Inputs!$H$8+Inputs!$L$8*(((Inputs!$I$8+(((A2)+1)/2)*(Inputs!$J$8-Inputs!$I$8)))/Inputs!$K$8)^2)))*1000/Inputs!$C$12),NA())</f>
        <v>157791.48637356728</v>
      </c>
      <c r="K2" s="9">
        <f>IF(OR(Inputs!$F$9=TRUE,Inputs!$F$9="TRUE",Inputs!$F$9=1),(((SQRT(((Inputs!$I$9+(((A2)+1)/2)*(Inputs!$J$9-Inputs!$I$9)))^2+Inputs!$C$6^2+((Inputs!$H$9+Inputs!$L$9*(((Inputs!$I$9+(((A2)+1)/2)*(Inputs!$J$9-Inputs!$I$9)))/Inputs!$K$9)^2))^2))-((Inputs!$H$9+Inputs!$L$9*(((Inputs!$I$9+(((A2)+1)/2)*(Inputs!$J$9-Inputs!$I$9)))/Inputs!$K$9)^2)))*1000/Inputs!$C$12),NA())</f>
        <v>157791.48637356728</v>
      </c>
      <c r="L2" s="10"/>
      <c r="M2" s="9">
        <f t="shared" ref="M2:M65" si="1">A2</f>
        <v>-1</v>
      </c>
      <c r="N2" s="9">
        <f>IF(OR(Inputs!$F$6=TRUE,Inputs!$F$6="TRUE",Inputs!$F$6=1),(-2*((1000*((((Inputs!$I$6+(((A2)+1)/2)*(Inputs!$J$6-Inputs!$I$6)))*Inputs!$C$11+((Inputs!$H$6+Inputs!$L$6*(((Inputs!$I$6+(((A2)+1)/2)*(Inputs!$J$6-Inputs!$I$6)))/Inputs!$K$6)^2))*((2*Inputs!$L$6*((Inputs!$I$6+(((A2)+1)/2)*(Inputs!$J$6-Inputs!$I$6)))/(Inputs!$K$6^2)*Inputs!$C$11)))/(SQRT(((Inputs!$I$6+(((A2)+1)/2)*(Inputs!$J$6-Inputs!$I$6)))^2+Inputs!$C$6^2+((Inputs!$H$6+Inputs!$L$6*(((Inputs!$I$6+(((A2)+1)/2)*(Inputs!$J$6-Inputs!$I$6)))/Inputs!$K$6)^2))^2)))))/Inputs!$C$13),NA())</f>
        <v>445.23129749250427</v>
      </c>
      <c r="O2" s="9">
        <f>IF(OR(Inputs!$F$7=TRUE,Inputs!$F$7="TRUE",Inputs!$F$7=1),(-2*((1000*((((Inputs!$I$7+(((A2)+1)/2)*(Inputs!$J$7-Inputs!$I$7)))*Inputs!$C$11+((Inputs!$H$7+Inputs!$L$7*(((Inputs!$I$7+(((A2)+1)/2)*(Inputs!$J$7-Inputs!$I$7)))/Inputs!$K$7)^2))*((2*Inputs!$L$7*((Inputs!$I$7+(((A2)+1)/2)*(Inputs!$J$7-Inputs!$I$7)))/(Inputs!$K$7^2)*Inputs!$C$11)))/(SQRT(((Inputs!$I$7+(((A2)+1)/2)*(Inputs!$J$7-Inputs!$I$7)))^2+Inputs!$C$6^2+((Inputs!$H$7+Inputs!$L$7*(((Inputs!$I$7+(((A2)+1)/2)*(Inputs!$J$7-Inputs!$I$7)))/Inputs!$K$7)^2))^2)))))/Inputs!$C$13),NA())</f>
        <v>3193.0060020981323</v>
      </c>
      <c r="P2" s="9">
        <f>IF(OR(Inputs!$F$8=TRUE,Inputs!$F$8="TRUE",Inputs!$F$8=1),(-2*((1000*((((Inputs!$I$8+(((A2)+1)/2)*(Inputs!$J$8-Inputs!$I$8)))*Inputs!$C$11+((Inputs!$H$8+Inputs!$L$8*(((Inputs!$I$8+(((A2)+1)/2)*(Inputs!$J$8-Inputs!$I$8)))/Inputs!$K$8)^2))*((2*Inputs!$L$8*((Inputs!$I$8+(((A2)+1)/2)*(Inputs!$J$8-Inputs!$I$8)))/(Inputs!$K$8^2)*Inputs!$C$11)))/(SQRT(((Inputs!$I$8+(((A2)+1)/2)*(Inputs!$J$8-Inputs!$I$8)))^2+Inputs!$C$6^2+((Inputs!$H$8+Inputs!$L$8*(((Inputs!$I$8+(((A2)+1)/2)*(Inputs!$J$8-Inputs!$I$8)))/Inputs!$K$8)^2))^2)))))/Inputs!$C$13),NA())</f>
        <v>4012.9010999643679</v>
      </c>
      <c r="Q2" s="9">
        <f>IF(OR(Inputs!$F$9=TRUE,Inputs!$F$9="TRUE",Inputs!$F$9=1),(-2*((1000*((((Inputs!$I$9+(((A2)+1)/2)*(Inputs!$J$9-Inputs!$I$9)))*Inputs!$C$11+((Inputs!$H$9+Inputs!$L$9*(((Inputs!$I$9+(((A2)+1)/2)*(Inputs!$J$9-Inputs!$I$9)))/Inputs!$K$9)^2))*((2*Inputs!$L$9*((Inputs!$I$9+(((A2)+1)/2)*(Inputs!$J$9-Inputs!$I$9)))/(Inputs!$K$9^2)*Inputs!$C$11)))/(SQRT(((Inputs!$I$9+(((A2)+1)/2)*(Inputs!$J$9-Inputs!$I$9)))^2+Inputs!$C$6^2+((Inputs!$H$9+Inputs!$L$9*(((Inputs!$I$9+(((A2)+1)/2)*(Inputs!$J$9-Inputs!$I$9)))/Inputs!$K$9)^2))^2)))))/Inputs!$C$13),NA())</f>
        <v>4044.1299022987214</v>
      </c>
      <c r="R2" s="10"/>
      <c r="S2" s="9">
        <f t="shared" ref="S2:S65" si="2">A2</f>
        <v>-1</v>
      </c>
      <c r="T2" s="9">
        <f>(Inputs!$I$6+(((A2)+1)/2)*(Inputs!$J$6-Inputs!$I$6))</f>
        <v>-60</v>
      </c>
      <c r="U2" s="9">
        <f>(Inputs!$I$7+(((A2)+1)/2)*(Inputs!$J$7-Inputs!$I$7))</f>
        <v>-400</v>
      </c>
      <c r="V2" s="9">
        <f>(Inputs!$I$8+(((A2)+1)/2)*(Inputs!$J$8-Inputs!$I$8))</f>
        <v>-800</v>
      </c>
      <c r="W2" s="9">
        <f>(Inputs!$I$9+(((A2)+1)/2)*(Inputs!$J$9-Inputs!$I$9))</f>
        <v>-800</v>
      </c>
      <c r="X2" s="10"/>
      <c r="Y2" s="9">
        <f t="shared" ref="Y2:Y65" si="3">A2</f>
        <v>-1</v>
      </c>
      <c r="Z2" s="9">
        <f>(Inputs!$H$6+Inputs!$L$6*(((Inputs!$I$6+(((A2)+1)/2)*(Inputs!$J$6-Inputs!$I$6)))/Inputs!$K$6)^2)</f>
        <v>404</v>
      </c>
      <c r="AA2" s="9">
        <f>(Inputs!$H$7+Inputs!$L$7*(((Inputs!$I$7+(((A2)+1)/2)*(Inputs!$J$7-Inputs!$I$7)))/Inputs!$K$7)^2)</f>
        <v>400</v>
      </c>
      <c r="AB2" s="9">
        <f>(Inputs!$H$8+Inputs!$L$8*(((Inputs!$I$8+(((A2)+1)/2)*(Inputs!$J$8-Inputs!$I$8)))/Inputs!$K$8)^2)</f>
        <v>1000</v>
      </c>
      <c r="AC2" s="9">
        <f>(Inputs!$H$9+Inputs!$L$9*(((Inputs!$I$9+(((A2)+1)/2)*(Inputs!$J$9-Inputs!$I$9)))/Inputs!$K$9)^2)</f>
        <v>1000</v>
      </c>
      <c r="AD2" s="10"/>
      <c r="AE2" s="9">
        <f t="shared" ref="AE2:AE65" si="4">A2</f>
        <v>-1</v>
      </c>
      <c r="AF2" s="9">
        <f>(((SQRT(((Inputs!$I$6+(((A2)+1)/2)*(Inputs!$J$6-Inputs!$I$6)))^2+Inputs!$C$6^2+((Inputs!$H$6+Inputs!$L$6*(((Inputs!$I$6+(((A2)+1)/2)*(Inputs!$J$6-Inputs!$I$6)))/Inputs!$K$6)^2))^2))-((Inputs!$H$6+Inputs!$L$6*(((Inputs!$I$6+(((A2)+1)/2)*(Inputs!$J$6-Inputs!$I$6)))/Inputs!$K$6)^2)))*1000/Inputs!$C$12)</f>
        <v>2918.8495915692838</v>
      </c>
      <c r="AG2" s="9">
        <f>(((SQRT(((Inputs!$I$7+(((A2)+1)/2)*(Inputs!$J$7-Inputs!$I$7)))^2+Inputs!$C$6^2+((Inputs!$H$7+Inputs!$L$7*(((Inputs!$I$7+(((A2)+1)/2)*(Inputs!$J$7-Inputs!$I$7)))/Inputs!$K$7)^2))^2))-((Inputs!$H$7+Inputs!$L$7*(((Inputs!$I$7+(((A2)+1)/2)*(Inputs!$J$7-Inputs!$I$7)))/Inputs!$K$7)^2)))*1000/Inputs!$C$12)</f>
        <v>93391.900362531596</v>
      </c>
      <c r="AH2" s="9">
        <f>(((SQRT(((Inputs!$I$8+(((A2)+1)/2)*(Inputs!$J$8-Inputs!$I$8)))^2+Inputs!$C$6^2+((Inputs!$H$8+Inputs!$L$8*(((Inputs!$I$8+(((A2)+1)/2)*(Inputs!$J$8-Inputs!$I$8)))/Inputs!$K$8)^2))^2))-((Inputs!$H$8+Inputs!$L$8*(((Inputs!$I$8+(((A2)+1)/2)*(Inputs!$J$8-Inputs!$I$8)))/Inputs!$K$8)^2)))*1000/Inputs!$C$12)</f>
        <v>157791.48637356728</v>
      </c>
      <c r="AI2" s="9">
        <f>(((SQRT(((Inputs!$I$9+(((A2)+1)/2)*(Inputs!$J$9-Inputs!$I$9)))^2+Inputs!$C$6^2+((Inputs!$H$9+Inputs!$L$9*(((Inputs!$I$9+(((A2)+1)/2)*(Inputs!$J$9-Inputs!$I$9)))/Inputs!$K$9)^2))^2))-((Inputs!$H$9+Inputs!$L$9*(((Inputs!$I$9+(((A2)+1)/2)*(Inputs!$J$9-Inputs!$I$9)))/Inputs!$K$9)^2)))*1000/Inputs!$C$12)</f>
        <v>157791.48637356728</v>
      </c>
      <c r="AJ2" s="10"/>
      <c r="AK2" s="9">
        <f t="shared" ref="AK2:AK65" si="5">A2</f>
        <v>-1</v>
      </c>
      <c r="AL2" s="9">
        <f>(-2*((1000*((((Inputs!$I$6+(((A2)+1)/2)*(Inputs!$J$6-Inputs!$I$6)))*Inputs!$C$11+((Inputs!$H$6+Inputs!$L$6*(((Inputs!$I$6+(((A2)+1)/2)*(Inputs!$J$6-Inputs!$I$6)))/Inputs!$K$6)^2))*((2*Inputs!$L$6*((Inputs!$I$6+(((A2)+1)/2)*(Inputs!$J$6-Inputs!$I$6)))/(Inputs!$K$6^2)*Inputs!$C$11)))/(SQRT(((Inputs!$I$6+(((A2)+1)/2)*(Inputs!$J$6-Inputs!$I$6)))^2+Inputs!$C$6^2+((Inputs!$H$6+Inputs!$L$6*(((Inputs!$I$6+(((A2)+1)/2)*(Inputs!$J$6-Inputs!$I$6)))/Inputs!$K$6)^2))^2)))))/Inputs!$C$13)</f>
        <v>445.23129749250427</v>
      </c>
      <c r="AM2" s="9">
        <f>(-2*((1000*((((Inputs!$I$7+(((A2)+1)/2)*(Inputs!$J$7-Inputs!$I$7)))*Inputs!$C$11+((Inputs!$H$7+Inputs!$L$7*(((Inputs!$I$7+(((A2)+1)/2)*(Inputs!$J$7-Inputs!$I$7)))/Inputs!$K$7)^2))*((2*Inputs!$L$7*((Inputs!$I$7+(((A2)+1)/2)*(Inputs!$J$7-Inputs!$I$7)))/(Inputs!$K$7^2)*Inputs!$C$11)))/(SQRT(((Inputs!$I$7+(((A2)+1)/2)*(Inputs!$J$7-Inputs!$I$7)))^2+Inputs!$C$6^2+((Inputs!$H$7+Inputs!$L$7*(((Inputs!$I$7+(((A2)+1)/2)*(Inputs!$J$7-Inputs!$I$7)))/Inputs!$K$7)^2))^2)))))/Inputs!$C$13)</f>
        <v>3193.0060020981323</v>
      </c>
      <c r="AN2" s="9">
        <f>(-2*((1000*((((Inputs!$I$8+(((A2)+1)/2)*(Inputs!$J$8-Inputs!$I$8)))*Inputs!$C$11+((Inputs!$H$8+Inputs!$L$8*(((Inputs!$I$8+(((A2)+1)/2)*(Inputs!$J$8-Inputs!$I$8)))/Inputs!$K$8)^2))*((2*Inputs!$L$8*((Inputs!$I$8+(((A2)+1)/2)*(Inputs!$J$8-Inputs!$I$8)))/(Inputs!$K$8^2)*Inputs!$C$11)))/(SQRT(((Inputs!$I$8+(((A2)+1)/2)*(Inputs!$J$8-Inputs!$I$8)))^2+Inputs!$C$6^2+((Inputs!$H$8+Inputs!$L$8*(((Inputs!$I$8+(((A2)+1)/2)*(Inputs!$J$8-Inputs!$I$8)))/Inputs!$K$8)^2))^2)))))/Inputs!$C$13)</f>
        <v>4012.9010999643679</v>
      </c>
      <c r="AO2" s="9">
        <f>(-2*((1000*((((Inputs!$I$9+(((A2)+1)/2)*(Inputs!$J$9-Inputs!$I$9)))*Inputs!$C$11+((Inputs!$H$9+Inputs!$L$9*(((Inputs!$I$9+(((A2)+1)/2)*(Inputs!$J$9-Inputs!$I$9)))/Inputs!$K$9)^2))*((2*Inputs!$L$9*((Inputs!$I$9+(((A2)+1)/2)*(Inputs!$J$9-Inputs!$I$9)))/(Inputs!$K$9^2)*Inputs!$C$11)))/(SQRT(((Inputs!$I$9+(((A2)+1)/2)*(Inputs!$J$9-Inputs!$I$9)))^2+Inputs!$C$6^2+((Inputs!$H$9+Inputs!$L$9*(((Inputs!$I$9+(((A2)+1)/2)*(Inputs!$J$9-Inputs!$I$9)))/Inputs!$K$9)^2))^2)))))/Inputs!$C$13)</f>
        <v>4044.1299022987214</v>
      </c>
    </row>
    <row r="3" spans="1:41">
      <c r="A3" s="9">
        <f>ROUND(-1+1*2/240,3)</f>
        <v>-0.99199999999999999</v>
      </c>
      <c r="B3" s="9">
        <f>IF(OR(Inputs!$F$6=TRUE,Inputs!$F$6="TRUE",Inputs!$F$6=1),(Inputs!$H$6+Inputs!$L$6*(((Inputs!$I$6+(((A3)+1)/2)*(Inputs!$J$6-Inputs!$I$6)))/Inputs!$K$6)^2),NA())</f>
        <v>403.93625600000001</v>
      </c>
      <c r="C3" s="9">
        <f>IF(OR(Inputs!$F$7=TRUE,Inputs!$F$7="TRUE",Inputs!$F$7=1),(Inputs!$H$7+Inputs!$L$7*(((Inputs!$I$7+(((A3)+1)/2)*(Inputs!$J$7-Inputs!$I$7)))/Inputs!$K$7)^2),NA())</f>
        <v>394.18335999999999</v>
      </c>
      <c r="D3" s="9">
        <f>IF(OR(Inputs!$F$8=TRUE,Inputs!$F$8="TRUE",Inputs!$F$8=1),(Inputs!$H$8+Inputs!$L$8*(((Inputs!$I$8+(((A3)+1)/2)*(Inputs!$J$8-Inputs!$I$8)))/Inputs!$K$8)^2),NA())</f>
        <v>984.62175999999999</v>
      </c>
      <c r="E3" s="9">
        <f>IF(OR(Inputs!$F$9=TRUE,Inputs!$F$9="TRUE",Inputs!$F$9=1),(Inputs!$H$9+Inputs!$L$9*(((Inputs!$I$9+(((A3)+1)/2)*(Inputs!$J$9-Inputs!$I$9)))/Inputs!$K$9)^2),NA())</f>
        <v>984.46239999999989</v>
      </c>
      <c r="F3" s="10"/>
      <c r="G3" s="9">
        <f t="shared" si="0"/>
        <v>-0.99199999999999999</v>
      </c>
      <c r="H3" s="9">
        <f>IF(OR(Inputs!$F$6=TRUE,Inputs!$F$6="TRUE",Inputs!$F$6=1),(((SQRT(((Inputs!$I$6+(((A3)+1)/2)*(Inputs!$J$6-Inputs!$I$6)))^2+Inputs!$C$6^2+((Inputs!$H$6+Inputs!$L$6*(((Inputs!$I$6+(((A3)+1)/2)*(Inputs!$J$6-Inputs!$I$6)))/Inputs!$K$6)^2))^2))-((Inputs!$H$6+Inputs!$L$6*(((Inputs!$I$6+(((A3)+1)/2)*(Inputs!$J$6-Inputs!$I$6)))/Inputs!$K$6)^2)))*1000/Inputs!$C$12),NA())</f>
        <v>2879.9126376923959</v>
      </c>
      <c r="I3" s="9">
        <f>IF(OR(Inputs!$F$7=TRUE,Inputs!$F$7="TRUE",Inputs!$F$7=1),(((SQRT(((Inputs!$I$7+(((A3)+1)/2)*(Inputs!$J$7-Inputs!$I$7)))^2+Inputs!$C$6^2+((Inputs!$H$7+Inputs!$L$7*(((Inputs!$I$7+(((A3)+1)/2)*(Inputs!$J$7-Inputs!$I$7)))/Inputs!$K$7)^2))^2))-((Inputs!$H$7+Inputs!$L$7*(((Inputs!$I$7+(((A3)+1)/2)*(Inputs!$J$7-Inputs!$I$7)))/Inputs!$K$7)^2)))*1000/Inputs!$C$12),NA())</f>
        <v>93083.056536724122</v>
      </c>
      <c r="J3" s="9">
        <f>IF(OR(Inputs!$F$8=TRUE,Inputs!$F$8="TRUE",Inputs!$F$8=1),(((SQRT(((Inputs!$I$8+(((A3)+1)/2)*(Inputs!$J$8-Inputs!$I$8)))^2+Inputs!$C$6^2+((Inputs!$H$8+Inputs!$L$8*(((Inputs!$I$8+(((A3)+1)/2)*(Inputs!$J$8-Inputs!$I$8)))/Inputs!$K$8)^2))^2))-((Inputs!$H$8+Inputs!$L$8*(((Inputs!$I$8+(((A3)+1)/2)*(Inputs!$J$8-Inputs!$I$8)))/Inputs!$K$8)^2)))*1000/Inputs!$C$12),NA())</f>
        <v>157445.01966581421</v>
      </c>
      <c r="K3" s="9">
        <f>IF(OR(Inputs!$F$9=TRUE,Inputs!$F$9="TRUE",Inputs!$F$9=1),(((SQRT(((Inputs!$I$9+(((A3)+1)/2)*(Inputs!$J$9-Inputs!$I$9)))^2+Inputs!$C$6^2+((Inputs!$H$9+Inputs!$L$9*(((Inputs!$I$9+(((A3)+1)/2)*(Inputs!$J$9-Inputs!$I$9)))/Inputs!$K$9)^2))^2))-((Inputs!$H$9+Inputs!$L$9*(((Inputs!$I$9+(((A3)+1)/2)*(Inputs!$J$9-Inputs!$I$9)))/Inputs!$K$9)^2)))*1000/Inputs!$C$12),NA())</f>
        <v>157464.8582043653</v>
      </c>
      <c r="L3" s="10"/>
      <c r="M3" s="9">
        <f t="shared" si="1"/>
        <v>-0.99199999999999999</v>
      </c>
      <c r="N3" s="9">
        <f>IF(OR(Inputs!$F$6=TRUE,Inputs!$F$6="TRUE",Inputs!$F$6=1),(-2*((1000*((((Inputs!$I$6+(((A3)+1)/2)*(Inputs!$J$6-Inputs!$I$6)))*Inputs!$C$11+((Inputs!$H$6+Inputs!$L$6*(((Inputs!$I$6+(((A3)+1)/2)*(Inputs!$J$6-Inputs!$I$6)))/Inputs!$K$6)^2))*((2*Inputs!$L$6*((Inputs!$I$6+(((A3)+1)/2)*(Inputs!$J$6-Inputs!$I$6)))/(Inputs!$K$6^2)*Inputs!$C$11)))/(SQRT(((Inputs!$I$6+(((A3)+1)/2)*(Inputs!$J$6-Inputs!$I$6)))^2+Inputs!$C$6^2+((Inputs!$H$6+Inputs!$L$6*(((Inputs!$I$6+(((A3)+1)/2)*(Inputs!$J$6-Inputs!$I$6)))/Inputs!$K$6)^2))^2)))))/Inputs!$C$13),NA())</f>
        <v>441.78012695950201</v>
      </c>
      <c r="O3" s="9">
        <f>IF(OR(Inputs!$F$7=TRUE,Inputs!$F$7="TRUE",Inputs!$F$7=1),(-2*((1000*((((Inputs!$I$7+(((A3)+1)/2)*(Inputs!$J$7-Inputs!$I$7)))*Inputs!$C$11+((Inputs!$H$7+Inputs!$L$7*(((Inputs!$I$7+(((A3)+1)/2)*(Inputs!$J$7-Inputs!$I$7)))/Inputs!$K$7)^2))*((2*Inputs!$L$7*((Inputs!$I$7+(((A3)+1)/2)*(Inputs!$J$7-Inputs!$I$7)))/(Inputs!$K$7^2)*Inputs!$C$11)))/(SQRT(((Inputs!$I$7+(((A3)+1)/2)*(Inputs!$J$7-Inputs!$I$7)))^2+Inputs!$C$6^2+((Inputs!$H$7+Inputs!$L$7*(((Inputs!$I$7+(((A3)+1)/2)*(Inputs!$J$7-Inputs!$I$7)))/Inputs!$K$7)^2))^2)))))/Inputs!$C$13),NA())</f>
        <v>3173.3857463897575</v>
      </c>
      <c r="P3" s="9">
        <f>IF(OR(Inputs!$F$8=TRUE,Inputs!$F$8="TRUE",Inputs!$F$8=1),(-2*((1000*((((Inputs!$I$8+(((A3)+1)/2)*(Inputs!$J$8-Inputs!$I$8)))*Inputs!$C$11+((Inputs!$H$8+Inputs!$L$8*(((Inputs!$I$8+(((A3)+1)/2)*(Inputs!$J$8-Inputs!$I$8)))/Inputs!$K$8)^2))*((2*Inputs!$L$8*((Inputs!$I$8+(((A3)+1)/2)*(Inputs!$J$8-Inputs!$I$8)))/(Inputs!$K$8^2)*Inputs!$C$11)))/(SQRT(((Inputs!$I$8+(((A3)+1)/2)*(Inputs!$J$8-Inputs!$I$8)))^2+Inputs!$C$6^2+((Inputs!$H$8+Inputs!$L$8*(((Inputs!$I$8+(((A3)+1)/2)*(Inputs!$J$8-Inputs!$I$8)))/Inputs!$K$8)^2))^2)))))/Inputs!$C$13),NA())</f>
        <v>3984.5828849449708</v>
      </c>
      <c r="Q3" s="9">
        <f>IF(OR(Inputs!$F$9=TRUE,Inputs!$F$9="TRUE",Inputs!$F$9=1),(-2*((1000*((((Inputs!$I$9+(((A3)+1)/2)*(Inputs!$J$9-Inputs!$I$9)))*Inputs!$C$11+((Inputs!$H$9+Inputs!$L$9*(((Inputs!$I$9+(((A3)+1)/2)*(Inputs!$J$9-Inputs!$I$9)))/Inputs!$K$9)^2))*((2*Inputs!$L$9*((Inputs!$I$9+(((A3)+1)/2)*(Inputs!$J$9-Inputs!$I$9)))/(Inputs!$K$9^2)*Inputs!$C$11)))/(SQRT(((Inputs!$I$9+(((A3)+1)/2)*(Inputs!$J$9-Inputs!$I$9)))^2+Inputs!$C$6^2+((Inputs!$H$9+Inputs!$L$9*(((Inputs!$I$9+(((A3)+1)/2)*(Inputs!$J$9-Inputs!$I$9)))/Inputs!$K$9)^2))^2)))))/Inputs!$C$13),NA())</f>
        <v>4015.3775410542789</v>
      </c>
      <c r="R3" s="10"/>
      <c r="S3" s="9">
        <f t="shared" si="2"/>
        <v>-0.99199999999999999</v>
      </c>
      <c r="T3" s="9">
        <f>(Inputs!$I$6+(((A3)+1)/2)*(Inputs!$J$6-Inputs!$I$6))</f>
        <v>-59.519999999999996</v>
      </c>
      <c r="U3" s="9">
        <f>(Inputs!$I$7+(((A3)+1)/2)*(Inputs!$J$7-Inputs!$I$7))</f>
        <v>-396.8</v>
      </c>
      <c r="V3" s="9">
        <f>(Inputs!$I$8+(((A3)+1)/2)*(Inputs!$J$8-Inputs!$I$8))</f>
        <v>-793.6</v>
      </c>
      <c r="W3" s="9">
        <f>(Inputs!$I$9+(((A3)+1)/2)*(Inputs!$J$9-Inputs!$I$9))</f>
        <v>-793.6</v>
      </c>
      <c r="X3" s="10"/>
      <c r="Y3" s="9">
        <f t="shared" si="3"/>
        <v>-0.99199999999999999</v>
      </c>
      <c r="Z3" s="9">
        <f>(Inputs!$H$6+Inputs!$L$6*(((Inputs!$I$6+(((A3)+1)/2)*(Inputs!$J$6-Inputs!$I$6)))/Inputs!$K$6)^2)</f>
        <v>403.93625600000001</v>
      </c>
      <c r="AA3" s="9">
        <f>(Inputs!$H$7+Inputs!$L$7*(((Inputs!$I$7+(((A3)+1)/2)*(Inputs!$J$7-Inputs!$I$7)))/Inputs!$K$7)^2)</f>
        <v>394.18335999999999</v>
      </c>
      <c r="AB3" s="9">
        <f>(Inputs!$H$8+Inputs!$L$8*(((Inputs!$I$8+(((A3)+1)/2)*(Inputs!$J$8-Inputs!$I$8)))/Inputs!$K$8)^2)</f>
        <v>984.62175999999999</v>
      </c>
      <c r="AC3" s="9">
        <f>(Inputs!$H$9+Inputs!$L$9*(((Inputs!$I$9+(((A3)+1)/2)*(Inputs!$J$9-Inputs!$I$9)))/Inputs!$K$9)^2)</f>
        <v>984.46239999999989</v>
      </c>
      <c r="AD3" s="10"/>
      <c r="AE3" s="9">
        <f t="shared" si="4"/>
        <v>-0.99199999999999999</v>
      </c>
      <c r="AF3" s="9">
        <f>(((SQRT(((Inputs!$I$6+(((A3)+1)/2)*(Inputs!$J$6-Inputs!$I$6)))^2+Inputs!$C$6^2+((Inputs!$H$6+Inputs!$L$6*(((Inputs!$I$6+(((A3)+1)/2)*(Inputs!$J$6-Inputs!$I$6)))/Inputs!$K$6)^2))^2))-((Inputs!$H$6+Inputs!$L$6*(((Inputs!$I$6+(((A3)+1)/2)*(Inputs!$J$6-Inputs!$I$6)))/Inputs!$K$6)^2)))*1000/Inputs!$C$12)</f>
        <v>2879.9126376923959</v>
      </c>
      <c r="AG3" s="9">
        <f>(((SQRT(((Inputs!$I$7+(((A3)+1)/2)*(Inputs!$J$7-Inputs!$I$7)))^2+Inputs!$C$6^2+((Inputs!$H$7+Inputs!$L$7*(((Inputs!$I$7+(((A3)+1)/2)*(Inputs!$J$7-Inputs!$I$7)))/Inputs!$K$7)^2))^2))-((Inputs!$H$7+Inputs!$L$7*(((Inputs!$I$7+(((A3)+1)/2)*(Inputs!$J$7-Inputs!$I$7)))/Inputs!$K$7)^2)))*1000/Inputs!$C$12)</f>
        <v>93083.056536724122</v>
      </c>
      <c r="AH3" s="9">
        <f>(((SQRT(((Inputs!$I$8+(((A3)+1)/2)*(Inputs!$J$8-Inputs!$I$8)))^2+Inputs!$C$6^2+((Inputs!$H$8+Inputs!$L$8*(((Inputs!$I$8+(((A3)+1)/2)*(Inputs!$J$8-Inputs!$I$8)))/Inputs!$K$8)^2))^2))-((Inputs!$H$8+Inputs!$L$8*(((Inputs!$I$8+(((A3)+1)/2)*(Inputs!$J$8-Inputs!$I$8)))/Inputs!$K$8)^2)))*1000/Inputs!$C$12)</f>
        <v>157445.01966581421</v>
      </c>
      <c r="AI3" s="9">
        <f>(((SQRT(((Inputs!$I$9+(((A3)+1)/2)*(Inputs!$J$9-Inputs!$I$9)))^2+Inputs!$C$6^2+((Inputs!$H$9+Inputs!$L$9*(((Inputs!$I$9+(((A3)+1)/2)*(Inputs!$J$9-Inputs!$I$9)))/Inputs!$K$9)^2))^2))-((Inputs!$H$9+Inputs!$L$9*(((Inputs!$I$9+(((A3)+1)/2)*(Inputs!$J$9-Inputs!$I$9)))/Inputs!$K$9)^2)))*1000/Inputs!$C$12)</f>
        <v>157464.8582043653</v>
      </c>
      <c r="AJ3" s="10"/>
      <c r="AK3" s="9">
        <f t="shared" si="5"/>
        <v>-0.99199999999999999</v>
      </c>
      <c r="AL3" s="9">
        <f>(-2*((1000*((((Inputs!$I$6+(((A3)+1)/2)*(Inputs!$J$6-Inputs!$I$6)))*Inputs!$C$11+((Inputs!$H$6+Inputs!$L$6*(((Inputs!$I$6+(((A3)+1)/2)*(Inputs!$J$6-Inputs!$I$6)))/Inputs!$K$6)^2))*((2*Inputs!$L$6*((Inputs!$I$6+(((A3)+1)/2)*(Inputs!$J$6-Inputs!$I$6)))/(Inputs!$K$6^2)*Inputs!$C$11)))/(SQRT(((Inputs!$I$6+(((A3)+1)/2)*(Inputs!$J$6-Inputs!$I$6)))^2+Inputs!$C$6^2+((Inputs!$H$6+Inputs!$L$6*(((Inputs!$I$6+(((A3)+1)/2)*(Inputs!$J$6-Inputs!$I$6)))/Inputs!$K$6)^2))^2)))))/Inputs!$C$13)</f>
        <v>441.78012695950201</v>
      </c>
      <c r="AM3" s="9">
        <f>(-2*((1000*((((Inputs!$I$7+(((A3)+1)/2)*(Inputs!$J$7-Inputs!$I$7)))*Inputs!$C$11+((Inputs!$H$7+Inputs!$L$7*(((Inputs!$I$7+(((A3)+1)/2)*(Inputs!$J$7-Inputs!$I$7)))/Inputs!$K$7)^2))*((2*Inputs!$L$7*((Inputs!$I$7+(((A3)+1)/2)*(Inputs!$J$7-Inputs!$I$7)))/(Inputs!$K$7^2)*Inputs!$C$11)))/(SQRT(((Inputs!$I$7+(((A3)+1)/2)*(Inputs!$J$7-Inputs!$I$7)))^2+Inputs!$C$6^2+((Inputs!$H$7+Inputs!$L$7*(((Inputs!$I$7+(((A3)+1)/2)*(Inputs!$J$7-Inputs!$I$7)))/Inputs!$K$7)^2))^2)))))/Inputs!$C$13)</f>
        <v>3173.3857463897575</v>
      </c>
      <c r="AN3" s="9">
        <f>(-2*((1000*((((Inputs!$I$8+(((A3)+1)/2)*(Inputs!$J$8-Inputs!$I$8)))*Inputs!$C$11+((Inputs!$H$8+Inputs!$L$8*(((Inputs!$I$8+(((A3)+1)/2)*(Inputs!$J$8-Inputs!$I$8)))/Inputs!$K$8)^2))*((2*Inputs!$L$8*((Inputs!$I$8+(((A3)+1)/2)*(Inputs!$J$8-Inputs!$I$8)))/(Inputs!$K$8^2)*Inputs!$C$11)))/(SQRT(((Inputs!$I$8+(((A3)+1)/2)*(Inputs!$J$8-Inputs!$I$8)))^2+Inputs!$C$6^2+((Inputs!$H$8+Inputs!$L$8*(((Inputs!$I$8+(((A3)+1)/2)*(Inputs!$J$8-Inputs!$I$8)))/Inputs!$K$8)^2))^2)))))/Inputs!$C$13)</f>
        <v>3984.5828849449708</v>
      </c>
      <c r="AO3" s="9">
        <f>(-2*((1000*((((Inputs!$I$9+(((A3)+1)/2)*(Inputs!$J$9-Inputs!$I$9)))*Inputs!$C$11+((Inputs!$H$9+Inputs!$L$9*(((Inputs!$I$9+(((A3)+1)/2)*(Inputs!$J$9-Inputs!$I$9)))/Inputs!$K$9)^2))*((2*Inputs!$L$9*((Inputs!$I$9+(((A3)+1)/2)*(Inputs!$J$9-Inputs!$I$9)))/(Inputs!$K$9^2)*Inputs!$C$11)))/(SQRT(((Inputs!$I$9+(((A3)+1)/2)*(Inputs!$J$9-Inputs!$I$9)))^2+Inputs!$C$6^2+((Inputs!$H$9+Inputs!$L$9*(((Inputs!$I$9+(((A3)+1)/2)*(Inputs!$J$9-Inputs!$I$9)))/Inputs!$K$9)^2))^2)))))/Inputs!$C$13)</f>
        <v>4015.3775410542789</v>
      </c>
    </row>
    <row r="4" spans="1:41">
      <c r="A4" s="9">
        <f>ROUND(-1+2*2/240,3)</f>
        <v>-0.98299999999999998</v>
      </c>
      <c r="B4" s="9">
        <f>IF(OR(Inputs!$F$6=TRUE,Inputs!$F$6="TRUE",Inputs!$F$6=1),(Inputs!$H$6+Inputs!$L$6*(((Inputs!$I$6+(((A4)+1)/2)*(Inputs!$J$6-Inputs!$I$6)))/Inputs!$K$6)^2),NA())</f>
        <v>403.86515600000001</v>
      </c>
      <c r="C4" s="9">
        <f>IF(OR(Inputs!$F$7=TRUE,Inputs!$F$7="TRUE",Inputs!$F$7=1),(Inputs!$H$7+Inputs!$L$7*(((Inputs!$I$7+(((A4)+1)/2)*(Inputs!$J$7-Inputs!$I$7)))/Inputs!$K$7)^2),NA())</f>
        <v>387.69548499999996</v>
      </c>
      <c r="D4" s="9">
        <f>IF(OR(Inputs!$F$8=TRUE,Inputs!$F$8="TRUE",Inputs!$F$8=1),(Inputs!$H$8+Inputs!$L$8*(((Inputs!$I$8+(((A4)+1)/2)*(Inputs!$J$8-Inputs!$I$8)))/Inputs!$K$8)^2),NA())</f>
        <v>967.468885</v>
      </c>
      <c r="E4" s="9">
        <f>IF(OR(Inputs!$F$9=TRUE,Inputs!$F$9="TRUE",Inputs!$F$9=1),(Inputs!$H$9+Inputs!$L$9*(((Inputs!$I$9+(((A4)+1)/2)*(Inputs!$J$9-Inputs!$I$9)))/Inputs!$K$9)^2),NA())</f>
        <v>967.13177499999995</v>
      </c>
      <c r="F4" s="10"/>
      <c r="G4" s="9">
        <f t="shared" si="0"/>
        <v>-0.98299999999999998</v>
      </c>
      <c r="H4" s="9">
        <f>IF(OR(Inputs!$F$6=TRUE,Inputs!$F$6="TRUE",Inputs!$F$6=1),(((SQRT(((Inputs!$I$6+(((A4)+1)/2)*(Inputs!$J$6-Inputs!$I$6)))^2+Inputs!$C$6^2+((Inputs!$H$6+Inputs!$L$6*(((Inputs!$I$6+(((A4)+1)/2)*(Inputs!$J$6-Inputs!$I$6)))/Inputs!$K$6)^2))^2))-((Inputs!$H$6+Inputs!$L$6*(((Inputs!$I$6+(((A4)+1)/2)*(Inputs!$J$6-Inputs!$I$6)))/Inputs!$K$6)^2)))*1000/Inputs!$C$12),NA())</f>
        <v>2836.4602870901558</v>
      </c>
      <c r="I4" s="9">
        <f>IF(OR(Inputs!$F$7=TRUE,Inputs!$F$7="TRUE",Inputs!$F$7=1),(((SQRT(((Inputs!$I$7+(((A4)+1)/2)*(Inputs!$J$7-Inputs!$I$7)))^2+Inputs!$C$6^2+((Inputs!$H$7+Inputs!$L$7*(((Inputs!$I$7+(((A4)+1)/2)*(Inputs!$J$7-Inputs!$I$7)))/Inputs!$K$7)^2))^2))-((Inputs!$H$7+Inputs!$L$7*(((Inputs!$I$7+(((A4)+1)/2)*(Inputs!$J$7-Inputs!$I$7)))/Inputs!$K$7)^2)))*1000/Inputs!$C$12),NA())</f>
        <v>92730.541819843202</v>
      </c>
      <c r="J4" s="9">
        <f>IF(OR(Inputs!$F$8=TRUE,Inputs!$F$8="TRUE",Inputs!$F$8=1),(((SQRT(((Inputs!$I$8+(((A4)+1)/2)*(Inputs!$J$8-Inputs!$I$8)))^2+Inputs!$C$6^2+((Inputs!$H$8+Inputs!$L$8*(((Inputs!$I$8+(((A4)+1)/2)*(Inputs!$J$8-Inputs!$I$8)))/Inputs!$K$8)^2))^2))-((Inputs!$H$8+Inputs!$L$8*(((Inputs!$I$8+(((A4)+1)/2)*(Inputs!$J$8-Inputs!$I$8)))/Inputs!$K$8)^2)))*1000/Inputs!$C$12),NA())</f>
        <v>157048.28758301047</v>
      </c>
      <c r="K4" s="9">
        <f>IF(OR(Inputs!$F$9=TRUE,Inputs!$F$9="TRUE",Inputs!$F$9=1),(((SQRT(((Inputs!$I$9+(((A4)+1)/2)*(Inputs!$J$9-Inputs!$I$9)))^2+Inputs!$C$6^2+((Inputs!$H$9+Inputs!$L$9*(((Inputs!$I$9+(((A4)+1)/2)*(Inputs!$J$9-Inputs!$I$9)))/Inputs!$K$9)^2))^2))-((Inputs!$H$9+Inputs!$L$9*(((Inputs!$I$9+(((A4)+1)/2)*(Inputs!$J$9-Inputs!$I$9)))/Inputs!$K$9)^2)))*1000/Inputs!$C$12),NA())</f>
        <v>157090.75320353292</v>
      </c>
      <c r="L4" s="10"/>
      <c r="M4" s="9">
        <f t="shared" si="1"/>
        <v>-0.98299999999999998</v>
      </c>
      <c r="N4" s="9">
        <f>IF(OR(Inputs!$F$6=TRUE,Inputs!$F$6="TRUE",Inputs!$F$6=1),(-2*((1000*((((Inputs!$I$6+(((A4)+1)/2)*(Inputs!$J$6-Inputs!$I$6)))*Inputs!$C$11+((Inputs!$H$6+Inputs!$L$6*(((Inputs!$I$6+(((A4)+1)/2)*(Inputs!$J$6-Inputs!$I$6)))/Inputs!$K$6)^2))*((2*Inputs!$L$6*((Inputs!$I$6+(((A4)+1)/2)*(Inputs!$J$6-Inputs!$I$6)))/(Inputs!$K$6^2)*Inputs!$C$11)))/(SQRT(((Inputs!$I$6+(((A4)+1)/2)*(Inputs!$J$6-Inputs!$I$6)))^2+Inputs!$C$6^2+((Inputs!$H$6+Inputs!$L$6*(((Inputs!$I$6+(((A4)+1)/2)*(Inputs!$J$6-Inputs!$I$6)))/Inputs!$K$6)^2))^2)))))/Inputs!$C$13),NA())</f>
        <v>437.89449964340099</v>
      </c>
      <c r="O4" s="9">
        <f>IF(OR(Inputs!$F$7=TRUE,Inputs!$F$7="TRUE",Inputs!$F$7=1),(-2*((1000*((((Inputs!$I$7+(((A4)+1)/2)*(Inputs!$J$7-Inputs!$I$7)))*Inputs!$C$11+((Inputs!$H$7+Inputs!$L$7*(((Inputs!$I$7+(((A4)+1)/2)*(Inputs!$J$7-Inputs!$I$7)))/Inputs!$K$7)^2))*((2*Inputs!$L$7*((Inputs!$I$7+(((A4)+1)/2)*(Inputs!$J$7-Inputs!$I$7)))/(Inputs!$K$7^2)*Inputs!$C$11)))/(SQRT(((Inputs!$I$7+(((A4)+1)/2)*(Inputs!$J$7-Inputs!$I$7)))^2+Inputs!$C$6^2+((Inputs!$H$7+Inputs!$L$7*(((Inputs!$I$7+(((A4)+1)/2)*(Inputs!$J$7-Inputs!$I$7)))/Inputs!$K$7)^2))^2)))))/Inputs!$C$13),NA())</f>
        <v>3151.3834075053478</v>
      </c>
      <c r="P4" s="9">
        <f>IF(OR(Inputs!$F$8=TRUE,Inputs!$F$8="TRUE",Inputs!$F$8=1),(-2*((1000*((((Inputs!$I$8+(((A4)+1)/2)*(Inputs!$J$8-Inputs!$I$8)))*Inputs!$C$11+((Inputs!$H$8+Inputs!$L$8*(((Inputs!$I$8+(((A4)+1)/2)*(Inputs!$J$8-Inputs!$I$8)))/Inputs!$K$8)^2))*((2*Inputs!$L$8*((Inputs!$I$8+(((A4)+1)/2)*(Inputs!$J$8-Inputs!$I$8)))/(Inputs!$K$8^2)*Inputs!$C$11)))/(SQRT(((Inputs!$I$8+(((A4)+1)/2)*(Inputs!$J$8-Inputs!$I$8)))^2+Inputs!$C$6^2+((Inputs!$H$8+Inputs!$L$8*(((Inputs!$I$8+(((A4)+1)/2)*(Inputs!$J$8-Inputs!$I$8)))/Inputs!$K$8)^2))^2)))))/Inputs!$C$13),NA())</f>
        <v>3952.7874424724578</v>
      </c>
      <c r="Q4" s="9">
        <f>IF(OR(Inputs!$F$9=TRUE,Inputs!$F$9="TRUE",Inputs!$F$9=1),(-2*((1000*((((Inputs!$I$9+(((A4)+1)/2)*(Inputs!$J$9-Inputs!$I$9)))*Inputs!$C$11+((Inputs!$H$9+Inputs!$L$9*(((Inputs!$I$9+(((A4)+1)/2)*(Inputs!$J$9-Inputs!$I$9)))/Inputs!$K$9)^2))*((2*Inputs!$L$9*((Inputs!$I$9+(((A4)+1)/2)*(Inputs!$J$9-Inputs!$I$9)))/(Inputs!$K$9^2)*Inputs!$C$11)))/(SQRT(((Inputs!$I$9+(((A4)+1)/2)*(Inputs!$J$9-Inputs!$I$9)))^2+Inputs!$C$6^2+((Inputs!$H$9+Inputs!$L$9*(((Inputs!$I$9+(((A4)+1)/2)*(Inputs!$J$9-Inputs!$I$9)))/Inputs!$K$9)^2))^2)))))/Inputs!$C$13),NA())</f>
        <v>3983.0919423063424</v>
      </c>
      <c r="R4" s="10"/>
      <c r="S4" s="9">
        <f t="shared" si="2"/>
        <v>-0.98299999999999998</v>
      </c>
      <c r="T4" s="9">
        <f>(Inputs!$I$6+(((A4)+1)/2)*(Inputs!$J$6-Inputs!$I$6))</f>
        <v>-58.98</v>
      </c>
      <c r="U4" s="9">
        <f>(Inputs!$I$7+(((A4)+1)/2)*(Inputs!$J$7-Inputs!$I$7))</f>
        <v>-393.2</v>
      </c>
      <c r="V4" s="9">
        <f>(Inputs!$I$8+(((A4)+1)/2)*(Inputs!$J$8-Inputs!$I$8))</f>
        <v>-786.4</v>
      </c>
      <c r="W4" s="9">
        <f>(Inputs!$I$9+(((A4)+1)/2)*(Inputs!$J$9-Inputs!$I$9))</f>
        <v>-786.4</v>
      </c>
      <c r="X4" s="10"/>
      <c r="Y4" s="9">
        <f t="shared" si="3"/>
        <v>-0.98299999999999998</v>
      </c>
      <c r="Z4" s="9">
        <f>(Inputs!$H$6+Inputs!$L$6*(((Inputs!$I$6+(((A4)+1)/2)*(Inputs!$J$6-Inputs!$I$6)))/Inputs!$K$6)^2)</f>
        <v>403.86515600000001</v>
      </c>
      <c r="AA4" s="9">
        <f>(Inputs!$H$7+Inputs!$L$7*(((Inputs!$I$7+(((A4)+1)/2)*(Inputs!$J$7-Inputs!$I$7)))/Inputs!$K$7)^2)</f>
        <v>387.69548499999996</v>
      </c>
      <c r="AB4" s="9">
        <f>(Inputs!$H$8+Inputs!$L$8*(((Inputs!$I$8+(((A4)+1)/2)*(Inputs!$J$8-Inputs!$I$8)))/Inputs!$K$8)^2)</f>
        <v>967.468885</v>
      </c>
      <c r="AC4" s="9">
        <f>(Inputs!$H$9+Inputs!$L$9*(((Inputs!$I$9+(((A4)+1)/2)*(Inputs!$J$9-Inputs!$I$9)))/Inputs!$K$9)^2)</f>
        <v>967.13177499999995</v>
      </c>
      <c r="AD4" s="10"/>
      <c r="AE4" s="9">
        <f t="shared" si="4"/>
        <v>-0.98299999999999998</v>
      </c>
      <c r="AF4" s="9">
        <f>(((SQRT(((Inputs!$I$6+(((A4)+1)/2)*(Inputs!$J$6-Inputs!$I$6)))^2+Inputs!$C$6^2+((Inputs!$H$6+Inputs!$L$6*(((Inputs!$I$6+(((A4)+1)/2)*(Inputs!$J$6-Inputs!$I$6)))/Inputs!$K$6)^2))^2))-((Inputs!$H$6+Inputs!$L$6*(((Inputs!$I$6+(((A4)+1)/2)*(Inputs!$J$6-Inputs!$I$6)))/Inputs!$K$6)^2)))*1000/Inputs!$C$12)</f>
        <v>2836.4602870901558</v>
      </c>
      <c r="AG4" s="9">
        <f>(((SQRT(((Inputs!$I$7+(((A4)+1)/2)*(Inputs!$J$7-Inputs!$I$7)))^2+Inputs!$C$6^2+((Inputs!$H$7+Inputs!$L$7*(((Inputs!$I$7+(((A4)+1)/2)*(Inputs!$J$7-Inputs!$I$7)))/Inputs!$K$7)^2))^2))-((Inputs!$H$7+Inputs!$L$7*(((Inputs!$I$7+(((A4)+1)/2)*(Inputs!$J$7-Inputs!$I$7)))/Inputs!$K$7)^2)))*1000/Inputs!$C$12)</f>
        <v>92730.541819843202</v>
      </c>
      <c r="AH4" s="9">
        <f>(((SQRT(((Inputs!$I$8+(((A4)+1)/2)*(Inputs!$J$8-Inputs!$I$8)))^2+Inputs!$C$6^2+((Inputs!$H$8+Inputs!$L$8*(((Inputs!$I$8+(((A4)+1)/2)*(Inputs!$J$8-Inputs!$I$8)))/Inputs!$K$8)^2))^2))-((Inputs!$H$8+Inputs!$L$8*(((Inputs!$I$8+(((A4)+1)/2)*(Inputs!$J$8-Inputs!$I$8)))/Inputs!$K$8)^2)))*1000/Inputs!$C$12)</f>
        <v>157048.28758301047</v>
      </c>
      <c r="AI4" s="9">
        <f>(((SQRT(((Inputs!$I$9+(((A4)+1)/2)*(Inputs!$J$9-Inputs!$I$9)))^2+Inputs!$C$6^2+((Inputs!$H$9+Inputs!$L$9*(((Inputs!$I$9+(((A4)+1)/2)*(Inputs!$J$9-Inputs!$I$9)))/Inputs!$K$9)^2))^2))-((Inputs!$H$9+Inputs!$L$9*(((Inputs!$I$9+(((A4)+1)/2)*(Inputs!$J$9-Inputs!$I$9)))/Inputs!$K$9)^2)))*1000/Inputs!$C$12)</f>
        <v>157090.75320353292</v>
      </c>
      <c r="AJ4" s="10"/>
      <c r="AK4" s="9">
        <f t="shared" si="5"/>
        <v>-0.98299999999999998</v>
      </c>
      <c r="AL4" s="9">
        <f>(-2*((1000*((((Inputs!$I$6+(((A4)+1)/2)*(Inputs!$J$6-Inputs!$I$6)))*Inputs!$C$11+((Inputs!$H$6+Inputs!$L$6*(((Inputs!$I$6+(((A4)+1)/2)*(Inputs!$J$6-Inputs!$I$6)))/Inputs!$K$6)^2))*((2*Inputs!$L$6*((Inputs!$I$6+(((A4)+1)/2)*(Inputs!$J$6-Inputs!$I$6)))/(Inputs!$K$6^2)*Inputs!$C$11)))/(SQRT(((Inputs!$I$6+(((A4)+1)/2)*(Inputs!$J$6-Inputs!$I$6)))^2+Inputs!$C$6^2+((Inputs!$H$6+Inputs!$L$6*(((Inputs!$I$6+(((A4)+1)/2)*(Inputs!$J$6-Inputs!$I$6)))/Inputs!$K$6)^2))^2)))))/Inputs!$C$13)</f>
        <v>437.89449964340099</v>
      </c>
      <c r="AM4" s="9">
        <f>(-2*((1000*((((Inputs!$I$7+(((A4)+1)/2)*(Inputs!$J$7-Inputs!$I$7)))*Inputs!$C$11+((Inputs!$H$7+Inputs!$L$7*(((Inputs!$I$7+(((A4)+1)/2)*(Inputs!$J$7-Inputs!$I$7)))/Inputs!$K$7)^2))*((2*Inputs!$L$7*((Inputs!$I$7+(((A4)+1)/2)*(Inputs!$J$7-Inputs!$I$7)))/(Inputs!$K$7^2)*Inputs!$C$11)))/(SQRT(((Inputs!$I$7+(((A4)+1)/2)*(Inputs!$J$7-Inputs!$I$7)))^2+Inputs!$C$6^2+((Inputs!$H$7+Inputs!$L$7*(((Inputs!$I$7+(((A4)+1)/2)*(Inputs!$J$7-Inputs!$I$7)))/Inputs!$K$7)^2))^2)))))/Inputs!$C$13)</f>
        <v>3151.3834075053478</v>
      </c>
      <c r="AN4" s="9">
        <f>(-2*((1000*((((Inputs!$I$8+(((A4)+1)/2)*(Inputs!$J$8-Inputs!$I$8)))*Inputs!$C$11+((Inputs!$H$8+Inputs!$L$8*(((Inputs!$I$8+(((A4)+1)/2)*(Inputs!$J$8-Inputs!$I$8)))/Inputs!$K$8)^2))*((2*Inputs!$L$8*((Inputs!$I$8+(((A4)+1)/2)*(Inputs!$J$8-Inputs!$I$8)))/(Inputs!$K$8^2)*Inputs!$C$11)))/(SQRT(((Inputs!$I$8+(((A4)+1)/2)*(Inputs!$J$8-Inputs!$I$8)))^2+Inputs!$C$6^2+((Inputs!$H$8+Inputs!$L$8*(((Inputs!$I$8+(((A4)+1)/2)*(Inputs!$J$8-Inputs!$I$8)))/Inputs!$K$8)^2))^2)))))/Inputs!$C$13)</f>
        <v>3952.7874424724578</v>
      </c>
      <c r="AO4" s="9">
        <f>(-2*((1000*((((Inputs!$I$9+(((A4)+1)/2)*(Inputs!$J$9-Inputs!$I$9)))*Inputs!$C$11+((Inputs!$H$9+Inputs!$L$9*(((Inputs!$I$9+(((A4)+1)/2)*(Inputs!$J$9-Inputs!$I$9)))/Inputs!$K$9)^2))*((2*Inputs!$L$9*((Inputs!$I$9+(((A4)+1)/2)*(Inputs!$J$9-Inputs!$I$9)))/(Inputs!$K$9^2)*Inputs!$C$11)))/(SQRT(((Inputs!$I$9+(((A4)+1)/2)*(Inputs!$J$9-Inputs!$I$9)))^2+Inputs!$C$6^2+((Inputs!$H$9+Inputs!$L$9*(((Inputs!$I$9+(((A4)+1)/2)*(Inputs!$J$9-Inputs!$I$9)))/Inputs!$K$9)^2))^2)))))/Inputs!$C$13)</f>
        <v>3983.0919423063424</v>
      </c>
    </row>
    <row r="5" spans="1:41">
      <c r="A5" s="9">
        <f>ROUND(-1+3*2/240,3)</f>
        <v>-0.97499999999999998</v>
      </c>
      <c r="B5" s="9">
        <f>IF(OR(Inputs!$F$6=TRUE,Inputs!$F$6="TRUE",Inputs!$F$6=1),(Inputs!$H$6+Inputs!$L$6*(((Inputs!$I$6+(((A5)+1)/2)*(Inputs!$J$6-Inputs!$I$6)))/Inputs!$K$6)^2),NA())</f>
        <v>403.80250000000001</v>
      </c>
      <c r="C5" s="9">
        <f>IF(OR(Inputs!$F$7=TRUE,Inputs!$F$7="TRUE",Inputs!$F$7=1),(Inputs!$H$7+Inputs!$L$7*(((Inputs!$I$7+(((A5)+1)/2)*(Inputs!$J$7-Inputs!$I$7)))/Inputs!$K$7)^2),NA())</f>
        <v>381.97812499999998</v>
      </c>
      <c r="D5" s="9">
        <f>IF(OR(Inputs!$F$8=TRUE,Inputs!$F$8="TRUE",Inputs!$F$8=1),(Inputs!$H$8+Inputs!$L$8*(((Inputs!$I$8+(((A5)+1)/2)*(Inputs!$J$8-Inputs!$I$8)))/Inputs!$K$8)^2),NA())</f>
        <v>952.35312499999998</v>
      </c>
      <c r="E5" s="9">
        <f>IF(OR(Inputs!$F$9=TRUE,Inputs!$F$9="TRUE",Inputs!$F$9=1),(Inputs!$H$9+Inputs!$L$9*(((Inputs!$I$9+(((A5)+1)/2)*(Inputs!$J$9-Inputs!$I$9)))/Inputs!$K$9)^2),NA())</f>
        <v>951.859375</v>
      </c>
      <c r="F5" s="10"/>
      <c r="G5" s="9">
        <f t="shared" si="0"/>
        <v>-0.97499999999999998</v>
      </c>
      <c r="H5" s="9">
        <f>IF(OR(Inputs!$F$6=TRUE,Inputs!$F$6="TRUE",Inputs!$F$6=1),(((SQRT(((Inputs!$I$6+(((A5)+1)/2)*(Inputs!$J$6-Inputs!$I$6)))^2+Inputs!$C$6^2+((Inputs!$H$6+Inputs!$L$6*(((Inputs!$I$6+(((A5)+1)/2)*(Inputs!$J$6-Inputs!$I$6)))/Inputs!$K$6)^2))^2))-((Inputs!$H$6+Inputs!$L$6*(((Inputs!$I$6+(((A5)+1)/2)*(Inputs!$J$6-Inputs!$I$6)))/Inputs!$K$6)^2)))*1000/Inputs!$C$12),NA())</f>
        <v>2798.1490936689197</v>
      </c>
      <c r="I5" s="9">
        <f>IF(OR(Inputs!$F$7=TRUE,Inputs!$F$7="TRUE",Inputs!$F$7=1),(((SQRT(((Inputs!$I$7+(((A5)+1)/2)*(Inputs!$J$7-Inputs!$I$7)))^2+Inputs!$C$6^2+((Inputs!$H$7+Inputs!$L$7*(((Inputs!$I$7+(((A5)+1)/2)*(Inputs!$J$7-Inputs!$I$7)))/Inputs!$K$7)^2))^2))-((Inputs!$H$7+Inputs!$L$7*(((Inputs!$I$7+(((A5)+1)/2)*(Inputs!$J$7-Inputs!$I$7)))/Inputs!$K$7)^2)))*1000/Inputs!$C$12),NA())</f>
        <v>92412.618914041755</v>
      </c>
      <c r="J5" s="9">
        <f>IF(OR(Inputs!$F$8=TRUE,Inputs!$F$8="TRUE",Inputs!$F$8=1),(((SQRT(((Inputs!$I$8+(((A5)+1)/2)*(Inputs!$J$8-Inputs!$I$8)))^2+Inputs!$C$6^2+((Inputs!$H$8+Inputs!$L$8*(((Inputs!$I$8+(((A5)+1)/2)*(Inputs!$J$8-Inputs!$I$8)))/Inputs!$K$8)^2))^2))-((Inputs!$H$8+Inputs!$L$8*(((Inputs!$I$8+(((A5)+1)/2)*(Inputs!$J$8-Inputs!$I$8)))/Inputs!$K$8)^2)))*1000/Inputs!$C$12),NA())</f>
        <v>156689.32111616264</v>
      </c>
      <c r="K5" s="9">
        <f>IF(OR(Inputs!$F$9=TRUE,Inputs!$F$9="TRUE",Inputs!$F$9=1),(((SQRT(((Inputs!$I$9+(((A5)+1)/2)*(Inputs!$J$9-Inputs!$I$9)))^2+Inputs!$C$6^2+((Inputs!$H$9+Inputs!$L$9*(((Inputs!$I$9+(((A5)+1)/2)*(Inputs!$J$9-Inputs!$I$9)))/Inputs!$K$9)^2))^2))-((Inputs!$H$9+Inputs!$L$9*(((Inputs!$I$9+(((A5)+1)/2)*(Inputs!$J$9-Inputs!$I$9)))/Inputs!$K$9)^2)))*1000/Inputs!$C$12),NA())</f>
        <v>156752.17775414829</v>
      </c>
      <c r="L5" s="10"/>
      <c r="M5" s="9">
        <f t="shared" si="1"/>
        <v>-0.97499999999999998</v>
      </c>
      <c r="N5" s="9">
        <f>IF(OR(Inputs!$F$6=TRUE,Inputs!$F$6="TRUE",Inputs!$F$6=1),(-2*((1000*((((Inputs!$I$6+(((A5)+1)/2)*(Inputs!$J$6-Inputs!$I$6)))*Inputs!$C$11+((Inputs!$H$6+Inputs!$L$6*(((Inputs!$I$6+(((A5)+1)/2)*(Inputs!$J$6-Inputs!$I$6)))/Inputs!$K$6)^2))*((2*Inputs!$L$6*((Inputs!$I$6+(((A5)+1)/2)*(Inputs!$J$6-Inputs!$I$6)))/(Inputs!$K$6^2)*Inputs!$C$11)))/(SQRT(((Inputs!$I$6+(((A5)+1)/2)*(Inputs!$J$6-Inputs!$I$6)))^2+Inputs!$C$6^2+((Inputs!$H$6+Inputs!$L$6*(((Inputs!$I$6+(((A5)+1)/2)*(Inputs!$J$6-Inputs!$I$6)))/Inputs!$K$6)^2))^2)))))/Inputs!$C$13),NA())</f>
        <v>434.43790659645504</v>
      </c>
      <c r="O5" s="9">
        <f>IF(OR(Inputs!$F$7=TRUE,Inputs!$F$7="TRUE",Inputs!$F$7=1),(-2*((1000*((((Inputs!$I$7+(((A5)+1)/2)*(Inputs!$J$7-Inputs!$I$7)))*Inputs!$C$11+((Inputs!$H$7+Inputs!$L$7*(((Inputs!$I$7+(((A5)+1)/2)*(Inputs!$J$7-Inputs!$I$7)))/Inputs!$K$7)^2))*((2*Inputs!$L$7*((Inputs!$I$7+(((A5)+1)/2)*(Inputs!$J$7-Inputs!$I$7)))/(Inputs!$K$7^2)*Inputs!$C$11)))/(SQRT(((Inputs!$I$7+(((A5)+1)/2)*(Inputs!$J$7-Inputs!$I$7)))^2+Inputs!$C$6^2+((Inputs!$H$7+Inputs!$L$7*(((Inputs!$I$7+(((A5)+1)/2)*(Inputs!$J$7-Inputs!$I$7)))/Inputs!$K$7)^2))^2)))))/Inputs!$C$13),NA())</f>
        <v>3131.8894371511028</v>
      </c>
      <c r="P5" s="9">
        <f>IF(OR(Inputs!$F$8=TRUE,Inputs!$F$8="TRUE",Inputs!$F$8=1),(-2*((1000*((((Inputs!$I$8+(((A5)+1)/2)*(Inputs!$J$8-Inputs!$I$8)))*Inputs!$C$11+((Inputs!$H$8+Inputs!$L$8*(((Inputs!$I$8+(((A5)+1)/2)*(Inputs!$J$8-Inputs!$I$8)))/Inputs!$K$8)^2))*((2*Inputs!$L$8*((Inputs!$I$8+(((A5)+1)/2)*(Inputs!$J$8-Inputs!$I$8)))/(Inputs!$K$8^2)*Inputs!$C$11)))/(SQRT(((Inputs!$I$8+(((A5)+1)/2)*(Inputs!$J$8-Inputs!$I$8)))^2+Inputs!$C$6^2+((Inputs!$H$8+Inputs!$L$8*(((Inputs!$I$8+(((A5)+1)/2)*(Inputs!$J$8-Inputs!$I$8)))/Inputs!$K$8)^2))^2)))))/Inputs!$C$13),NA())</f>
        <v>3924.5817523375981</v>
      </c>
      <c r="Q5" s="9">
        <f>IF(OR(Inputs!$F$9=TRUE,Inputs!$F$9="TRUE",Inputs!$F$9=1),(-2*((1000*((((Inputs!$I$9+(((A5)+1)/2)*(Inputs!$J$9-Inputs!$I$9)))*Inputs!$C$11+((Inputs!$H$9+Inputs!$L$9*(((Inputs!$I$9+(((A5)+1)/2)*(Inputs!$J$9-Inputs!$I$9)))/Inputs!$K$9)^2))*((2*Inputs!$L$9*((Inputs!$I$9+(((A5)+1)/2)*(Inputs!$J$9-Inputs!$I$9)))/(Inputs!$K$9^2)*Inputs!$C$11)))/(SQRT(((Inputs!$I$9+(((A5)+1)/2)*(Inputs!$J$9-Inputs!$I$9)))^2+Inputs!$C$6^2+((Inputs!$H$9+Inputs!$L$9*(((Inputs!$I$9+(((A5)+1)/2)*(Inputs!$J$9-Inputs!$I$9)))/Inputs!$K$9)^2))^2)))))/Inputs!$C$13),NA())</f>
        <v>3954.4490024840757</v>
      </c>
      <c r="R5" s="10"/>
      <c r="S5" s="9">
        <f t="shared" si="2"/>
        <v>-0.97499999999999998</v>
      </c>
      <c r="T5" s="9">
        <f>(Inputs!$I$6+(((A5)+1)/2)*(Inputs!$J$6-Inputs!$I$6))</f>
        <v>-58.5</v>
      </c>
      <c r="U5" s="9">
        <f>(Inputs!$I$7+(((A5)+1)/2)*(Inputs!$J$7-Inputs!$I$7))</f>
        <v>-390</v>
      </c>
      <c r="V5" s="9">
        <f>(Inputs!$I$8+(((A5)+1)/2)*(Inputs!$J$8-Inputs!$I$8))</f>
        <v>-780</v>
      </c>
      <c r="W5" s="9">
        <f>(Inputs!$I$9+(((A5)+1)/2)*(Inputs!$J$9-Inputs!$I$9))</f>
        <v>-780</v>
      </c>
      <c r="X5" s="10"/>
      <c r="Y5" s="9">
        <f t="shared" si="3"/>
        <v>-0.97499999999999998</v>
      </c>
      <c r="Z5" s="9">
        <f>(Inputs!$H$6+Inputs!$L$6*(((Inputs!$I$6+(((A5)+1)/2)*(Inputs!$J$6-Inputs!$I$6)))/Inputs!$K$6)^2)</f>
        <v>403.80250000000001</v>
      </c>
      <c r="AA5" s="9">
        <f>(Inputs!$H$7+Inputs!$L$7*(((Inputs!$I$7+(((A5)+1)/2)*(Inputs!$J$7-Inputs!$I$7)))/Inputs!$K$7)^2)</f>
        <v>381.97812499999998</v>
      </c>
      <c r="AB5" s="9">
        <f>(Inputs!$H$8+Inputs!$L$8*(((Inputs!$I$8+(((A5)+1)/2)*(Inputs!$J$8-Inputs!$I$8)))/Inputs!$K$8)^2)</f>
        <v>952.35312499999998</v>
      </c>
      <c r="AC5" s="9">
        <f>(Inputs!$H$9+Inputs!$L$9*(((Inputs!$I$9+(((A5)+1)/2)*(Inputs!$J$9-Inputs!$I$9)))/Inputs!$K$9)^2)</f>
        <v>951.859375</v>
      </c>
      <c r="AD5" s="10"/>
      <c r="AE5" s="9">
        <f t="shared" si="4"/>
        <v>-0.97499999999999998</v>
      </c>
      <c r="AF5" s="9">
        <f>(((SQRT(((Inputs!$I$6+(((A5)+1)/2)*(Inputs!$J$6-Inputs!$I$6)))^2+Inputs!$C$6^2+((Inputs!$H$6+Inputs!$L$6*(((Inputs!$I$6+(((A5)+1)/2)*(Inputs!$J$6-Inputs!$I$6)))/Inputs!$K$6)^2))^2))-((Inputs!$H$6+Inputs!$L$6*(((Inputs!$I$6+(((A5)+1)/2)*(Inputs!$J$6-Inputs!$I$6)))/Inputs!$K$6)^2)))*1000/Inputs!$C$12)</f>
        <v>2798.1490936689197</v>
      </c>
      <c r="AG5" s="9">
        <f>(((SQRT(((Inputs!$I$7+(((A5)+1)/2)*(Inputs!$J$7-Inputs!$I$7)))^2+Inputs!$C$6^2+((Inputs!$H$7+Inputs!$L$7*(((Inputs!$I$7+(((A5)+1)/2)*(Inputs!$J$7-Inputs!$I$7)))/Inputs!$K$7)^2))^2))-((Inputs!$H$7+Inputs!$L$7*(((Inputs!$I$7+(((A5)+1)/2)*(Inputs!$J$7-Inputs!$I$7)))/Inputs!$K$7)^2)))*1000/Inputs!$C$12)</f>
        <v>92412.618914041755</v>
      </c>
      <c r="AH5" s="9">
        <f>(((SQRT(((Inputs!$I$8+(((A5)+1)/2)*(Inputs!$J$8-Inputs!$I$8)))^2+Inputs!$C$6^2+((Inputs!$H$8+Inputs!$L$8*(((Inputs!$I$8+(((A5)+1)/2)*(Inputs!$J$8-Inputs!$I$8)))/Inputs!$K$8)^2))^2))-((Inputs!$H$8+Inputs!$L$8*(((Inputs!$I$8+(((A5)+1)/2)*(Inputs!$J$8-Inputs!$I$8)))/Inputs!$K$8)^2)))*1000/Inputs!$C$12)</f>
        <v>156689.32111616264</v>
      </c>
      <c r="AI5" s="9">
        <f>(((SQRT(((Inputs!$I$9+(((A5)+1)/2)*(Inputs!$J$9-Inputs!$I$9)))^2+Inputs!$C$6^2+((Inputs!$H$9+Inputs!$L$9*(((Inputs!$I$9+(((A5)+1)/2)*(Inputs!$J$9-Inputs!$I$9)))/Inputs!$K$9)^2))^2))-((Inputs!$H$9+Inputs!$L$9*(((Inputs!$I$9+(((A5)+1)/2)*(Inputs!$J$9-Inputs!$I$9)))/Inputs!$K$9)^2)))*1000/Inputs!$C$12)</f>
        <v>156752.17775414829</v>
      </c>
      <c r="AJ5" s="10"/>
      <c r="AK5" s="9">
        <f t="shared" si="5"/>
        <v>-0.97499999999999998</v>
      </c>
      <c r="AL5" s="9">
        <f>(-2*((1000*((((Inputs!$I$6+(((A5)+1)/2)*(Inputs!$J$6-Inputs!$I$6)))*Inputs!$C$11+((Inputs!$H$6+Inputs!$L$6*(((Inputs!$I$6+(((A5)+1)/2)*(Inputs!$J$6-Inputs!$I$6)))/Inputs!$K$6)^2))*((2*Inputs!$L$6*((Inputs!$I$6+(((A5)+1)/2)*(Inputs!$J$6-Inputs!$I$6)))/(Inputs!$K$6^2)*Inputs!$C$11)))/(SQRT(((Inputs!$I$6+(((A5)+1)/2)*(Inputs!$J$6-Inputs!$I$6)))^2+Inputs!$C$6^2+((Inputs!$H$6+Inputs!$L$6*(((Inputs!$I$6+(((A5)+1)/2)*(Inputs!$J$6-Inputs!$I$6)))/Inputs!$K$6)^2))^2)))))/Inputs!$C$13)</f>
        <v>434.43790659645504</v>
      </c>
      <c r="AM5" s="9">
        <f>(-2*((1000*((((Inputs!$I$7+(((A5)+1)/2)*(Inputs!$J$7-Inputs!$I$7)))*Inputs!$C$11+((Inputs!$H$7+Inputs!$L$7*(((Inputs!$I$7+(((A5)+1)/2)*(Inputs!$J$7-Inputs!$I$7)))/Inputs!$K$7)^2))*((2*Inputs!$L$7*((Inputs!$I$7+(((A5)+1)/2)*(Inputs!$J$7-Inputs!$I$7)))/(Inputs!$K$7^2)*Inputs!$C$11)))/(SQRT(((Inputs!$I$7+(((A5)+1)/2)*(Inputs!$J$7-Inputs!$I$7)))^2+Inputs!$C$6^2+((Inputs!$H$7+Inputs!$L$7*(((Inputs!$I$7+(((A5)+1)/2)*(Inputs!$J$7-Inputs!$I$7)))/Inputs!$K$7)^2))^2)))))/Inputs!$C$13)</f>
        <v>3131.8894371511028</v>
      </c>
      <c r="AN5" s="9">
        <f>(-2*((1000*((((Inputs!$I$8+(((A5)+1)/2)*(Inputs!$J$8-Inputs!$I$8)))*Inputs!$C$11+((Inputs!$H$8+Inputs!$L$8*(((Inputs!$I$8+(((A5)+1)/2)*(Inputs!$J$8-Inputs!$I$8)))/Inputs!$K$8)^2))*((2*Inputs!$L$8*((Inputs!$I$8+(((A5)+1)/2)*(Inputs!$J$8-Inputs!$I$8)))/(Inputs!$K$8^2)*Inputs!$C$11)))/(SQRT(((Inputs!$I$8+(((A5)+1)/2)*(Inputs!$J$8-Inputs!$I$8)))^2+Inputs!$C$6^2+((Inputs!$H$8+Inputs!$L$8*(((Inputs!$I$8+(((A5)+1)/2)*(Inputs!$J$8-Inputs!$I$8)))/Inputs!$K$8)^2))^2)))))/Inputs!$C$13)</f>
        <v>3924.5817523375981</v>
      </c>
      <c r="AO5" s="9">
        <f>(-2*((1000*((((Inputs!$I$9+(((A5)+1)/2)*(Inputs!$J$9-Inputs!$I$9)))*Inputs!$C$11+((Inputs!$H$9+Inputs!$L$9*(((Inputs!$I$9+(((A5)+1)/2)*(Inputs!$J$9-Inputs!$I$9)))/Inputs!$K$9)^2))*((2*Inputs!$L$9*((Inputs!$I$9+(((A5)+1)/2)*(Inputs!$J$9-Inputs!$I$9)))/(Inputs!$K$9^2)*Inputs!$C$11)))/(SQRT(((Inputs!$I$9+(((A5)+1)/2)*(Inputs!$J$9-Inputs!$I$9)))^2+Inputs!$C$6^2+((Inputs!$H$9+Inputs!$L$9*(((Inputs!$I$9+(((A5)+1)/2)*(Inputs!$J$9-Inputs!$I$9)))/Inputs!$K$9)^2))^2)))))/Inputs!$C$13)</f>
        <v>3954.4490024840757</v>
      </c>
    </row>
    <row r="6" spans="1:41">
      <c r="A6" s="9">
        <f>ROUND(-1+4*2/240,3)</f>
        <v>-0.96699999999999997</v>
      </c>
      <c r="B6" s="9">
        <f>IF(OR(Inputs!$F$6=TRUE,Inputs!$F$6="TRUE",Inputs!$F$6=1),(Inputs!$H$6+Inputs!$L$6*(((Inputs!$I$6+(((A6)+1)/2)*(Inputs!$J$6-Inputs!$I$6)))/Inputs!$K$6)^2),NA())</f>
        <v>403.74035600000002</v>
      </c>
      <c r="C6" s="9">
        <f>IF(OR(Inputs!$F$7=TRUE,Inputs!$F$7="TRUE",Inputs!$F$7=1),(Inputs!$H$7+Inputs!$L$7*(((Inputs!$I$7+(((A6)+1)/2)*(Inputs!$J$7-Inputs!$I$7)))/Inputs!$K$7)^2),NA())</f>
        <v>376.30748500000004</v>
      </c>
      <c r="D6" s="9">
        <f>IF(OR(Inputs!$F$8=TRUE,Inputs!$F$8="TRUE",Inputs!$F$8=1),(Inputs!$H$8+Inputs!$L$8*(((Inputs!$I$8+(((A6)+1)/2)*(Inputs!$J$8-Inputs!$I$8)))/Inputs!$K$8)^2),NA())</f>
        <v>937.36088500000017</v>
      </c>
      <c r="E6" s="9">
        <f>IF(OR(Inputs!$F$9=TRUE,Inputs!$F$9="TRUE",Inputs!$F$9=1),(Inputs!$H$9+Inputs!$L$9*(((Inputs!$I$9+(((A6)+1)/2)*(Inputs!$J$9-Inputs!$I$9)))/Inputs!$K$9)^2),NA())</f>
        <v>936.71177500000022</v>
      </c>
      <c r="F6" s="10"/>
      <c r="G6" s="9">
        <f t="shared" si="0"/>
        <v>-0.96699999999999997</v>
      </c>
      <c r="H6" s="9">
        <f>IF(OR(Inputs!$F$6=TRUE,Inputs!$F$6="TRUE",Inputs!$F$6=1),(((SQRT(((Inputs!$I$6+(((A6)+1)/2)*(Inputs!$J$6-Inputs!$I$6)))^2+Inputs!$C$6^2+((Inputs!$H$6+Inputs!$L$6*(((Inputs!$I$6+(((A6)+1)/2)*(Inputs!$J$6-Inputs!$I$6)))/Inputs!$K$6)^2))^2))-((Inputs!$H$6+Inputs!$L$6*(((Inputs!$I$6+(((A6)+1)/2)*(Inputs!$J$6-Inputs!$I$6)))/Inputs!$K$6)^2)))*1000/Inputs!$C$12),NA())</f>
        <v>2760.1330447441346</v>
      </c>
      <c r="I6" s="9">
        <f>IF(OR(Inputs!$F$7=TRUE,Inputs!$F$7="TRUE",Inputs!$F$7=1),(((SQRT(((Inputs!$I$7+(((A6)+1)/2)*(Inputs!$J$7-Inputs!$I$7)))^2+Inputs!$C$6^2+((Inputs!$H$7+Inputs!$L$7*(((Inputs!$I$7+(((A6)+1)/2)*(Inputs!$J$7-Inputs!$I$7)))/Inputs!$K$7)^2))^2))-((Inputs!$H$7+Inputs!$L$7*(((Inputs!$I$7+(((A6)+1)/2)*(Inputs!$J$7-Inputs!$I$7)))/Inputs!$K$7)^2)))*1000/Inputs!$C$12),NA())</f>
        <v>92090.318023548112</v>
      </c>
      <c r="J6" s="9">
        <f>IF(OR(Inputs!$F$8=TRUE,Inputs!$F$8="TRUE",Inputs!$F$8=1),(((SQRT(((Inputs!$I$8+(((A6)+1)/2)*(Inputs!$J$8-Inputs!$I$8)))^2+Inputs!$C$6^2+((Inputs!$H$8+Inputs!$L$8*(((Inputs!$I$8+(((A6)+1)/2)*(Inputs!$J$8-Inputs!$I$8)))/Inputs!$K$8)^2))^2))-((Inputs!$H$8+Inputs!$L$8*(((Inputs!$I$8+(((A6)+1)/2)*(Inputs!$J$8-Inputs!$I$8)))/Inputs!$K$8)^2)))*1000/Inputs!$C$12),NA())</f>
        <v>156324.28356182837</v>
      </c>
      <c r="K6" s="9">
        <f>IF(OR(Inputs!$F$9=TRUE,Inputs!$F$9="TRUE",Inputs!$F$9=1),(((SQRT(((Inputs!$I$9+(((A6)+1)/2)*(Inputs!$J$9-Inputs!$I$9)))^2+Inputs!$C$6^2+((Inputs!$H$9+Inputs!$L$9*(((Inputs!$I$9+(((A6)+1)/2)*(Inputs!$J$9-Inputs!$I$9)))/Inputs!$K$9)^2))^2))-((Inputs!$H$9+Inputs!$L$9*(((Inputs!$I$9+(((A6)+1)/2)*(Inputs!$J$9-Inputs!$I$9)))/Inputs!$K$9)^2)))*1000/Inputs!$C$12),NA())</f>
        <v>156407.79634982644</v>
      </c>
      <c r="L6" s="10"/>
      <c r="M6" s="9">
        <f t="shared" si="1"/>
        <v>-0.96699999999999997</v>
      </c>
      <c r="N6" s="9">
        <f>IF(OR(Inputs!$F$6=TRUE,Inputs!$F$6="TRUE",Inputs!$F$6=1),(-2*((1000*((((Inputs!$I$6+(((A6)+1)/2)*(Inputs!$J$6-Inputs!$I$6)))*Inputs!$C$11+((Inputs!$H$6+Inputs!$L$6*(((Inputs!$I$6+(((A6)+1)/2)*(Inputs!$J$6-Inputs!$I$6)))/Inputs!$K$6)^2))*((2*Inputs!$L$6*((Inputs!$I$6+(((A6)+1)/2)*(Inputs!$J$6-Inputs!$I$6)))/(Inputs!$K$6^2)*Inputs!$C$11)))/(SQRT(((Inputs!$I$6+(((A6)+1)/2)*(Inputs!$J$6-Inputs!$I$6)))^2+Inputs!$C$6^2+((Inputs!$H$6+Inputs!$L$6*(((Inputs!$I$6+(((A6)+1)/2)*(Inputs!$J$6-Inputs!$I$6)))/Inputs!$K$6)^2))^2)))))/Inputs!$C$13),NA())</f>
        <v>430.97878773309492</v>
      </c>
      <c r="O6" s="9">
        <f>IF(OR(Inputs!$F$7=TRUE,Inputs!$F$7="TRUE",Inputs!$F$7=1),(-2*((1000*((((Inputs!$I$7+(((A6)+1)/2)*(Inputs!$J$7-Inputs!$I$7)))*Inputs!$C$11+((Inputs!$H$7+Inputs!$L$7*(((Inputs!$I$7+(((A6)+1)/2)*(Inputs!$J$7-Inputs!$I$7)))/Inputs!$K$7)^2))*((2*Inputs!$L$7*((Inputs!$I$7+(((A6)+1)/2)*(Inputs!$J$7-Inputs!$I$7)))/(Inputs!$K$7^2)*Inputs!$C$11)))/(SQRT(((Inputs!$I$7+(((A6)+1)/2)*(Inputs!$J$7-Inputs!$I$7)))^2+Inputs!$C$6^2+((Inputs!$H$7+Inputs!$L$7*(((Inputs!$I$7+(((A6)+1)/2)*(Inputs!$J$7-Inputs!$I$7)))/Inputs!$K$7)^2))^2)))))/Inputs!$C$13),NA())</f>
        <v>3112.4563803873357</v>
      </c>
      <c r="P6" s="9">
        <f>IF(OR(Inputs!$F$8=TRUE,Inputs!$F$8="TRUE",Inputs!$F$8=1),(-2*((1000*((((Inputs!$I$8+(((A6)+1)/2)*(Inputs!$J$8-Inputs!$I$8)))*Inputs!$C$11+((Inputs!$H$8+Inputs!$L$8*(((Inputs!$I$8+(((A6)+1)/2)*(Inputs!$J$8-Inputs!$I$8)))/Inputs!$K$8)^2))*((2*Inputs!$L$8*((Inputs!$I$8+(((A6)+1)/2)*(Inputs!$J$8-Inputs!$I$8)))/(Inputs!$K$8^2)*Inputs!$C$11)))/(SQRT(((Inputs!$I$8+(((A6)+1)/2)*(Inputs!$J$8-Inputs!$I$8)))^2+Inputs!$C$6^2+((Inputs!$H$8+Inputs!$L$8*(((Inputs!$I$8+(((A6)+1)/2)*(Inputs!$J$8-Inputs!$I$8)))/Inputs!$K$8)^2))^2)))))/Inputs!$C$13),NA())</f>
        <v>3896.4309174215573</v>
      </c>
      <c r="Q6" s="9">
        <f>IF(OR(Inputs!$F$9=TRUE,Inputs!$F$9="TRUE",Inputs!$F$9=1),(-2*((1000*((((Inputs!$I$9+(((A6)+1)/2)*(Inputs!$J$9-Inputs!$I$9)))*Inputs!$C$11+((Inputs!$H$9+Inputs!$L$9*(((Inputs!$I$9+(((A6)+1)/2)*(Inputs!$J$9-Inputs!$I$9)))/Inputs!$K$9)^2))*((2*Inputs!$L$9*((Inputs!$I$9+(((A6)+1)/2)*(Inputs!$J$9-Inputs!$I$9)))/(Inputs!$K$9^2)*Inputs!$C$11)))/(SQRT(((Inputs!$I$9+(((A6)+1)/2)*(Inputs!$J$9-Inputs!$I$9)))^2+Inputs!$C$6^2+((Inputs!$H$9+Inputs!$L$9*(((Inputs!$I$9+(((A6)+1)/2)*(Inputs!$J$9-Inputs!$I$9)))/Inputs!$K$9)^2))^2)))))/Inputs!$C$13),NA())</f>
        <v>3925.8594484511741</v>
      </c>
      <c r="R6" s="10"/>
      <c r="S6" s="9">
        <f t="shared" si="2"/>
        <v>-0.96699999999999997</v>
      </c>
      <c r="T6" s="9">
        <f>(Inputs!$I$6+(((A6)+1)/2)*(Inputs!$J$6-Inputs!$I$6))</f>
        <v>-58.019999999999996</v>
      </c>
      <c r="U6" s="9">
        <f>(Inputs!$I$7+(((A6)+1)/2)*(Inputs!$J$7-Inputs!$I$7))</f>
        <v>-386.8</v>
      </c>
      <c r="V6" s="9">
        <f>(Inputs!$I$8+(((A6)+1)/2)*(Inputs!$J$8-Inputs!$I$8))</f>
        <v>-773.6</v>
      </c>
      <c r="W6" s="9">
        <f>(Inputs!$I$9+(((A6)+1)/2)*(Inputs!$J$9-Inputs!$I$9))</f>
        <v>-773.6</v>
      </c>
      <c r="X6" s="10"/>
      <c r="Y6" s="9">
        <f t="shared" si="3"/>
        <v>-0.96699999999999997</v>
      </c>
      <c r="Z6" s="9">
        <f>(Inputs!$H$6+Inputs!$L$6*(((Inputs!$I$6+(((A6)+1)/2)*(Inputs!$J$6-Inputs!$I$6)))/Inputs!$K$6)^2)</f>
        <v>403.74035600000002</v>
      </c>
      <c r="AA6" s="9">
        <f>(Inputs!$H$7+Inputs!$L$7*(((Inputs!$I$7+(((A6)+1)/2)*(Inputs!$J$7-Inputs!$I$7)))/Inputs!$K$7)^2)</f>
        <v>376.30748500000004</v>
      </c>
      <c r="AB6" s="9">
        <f>(Inputs!$H$8+Inputs!$L$8*(((Inputs!$I$8+(((A6)+1)/2)*(Inputs!$J$8-Inputs!$I$8)))/Inputs!$K$8)^2)</f>
        <v>937.36088500000017</v>
      </c>
      <c r="AC6" s="9">
        <f>(Inputs!$H$9+Inputs!$L$9*(((Inputs!$I$9+(((A6)+1)/2)*(Inputs!$J$9-Inputs!$I$9)))/Inputs!$K$9)^2)</f>
        <v>936.71177500000022</v>
      </c>
      <c r="AD6" s="10"/>
      <c r="AE6" s="9">
        <f t="shared" si="4"/>
        <v>-0.96699999999999997</v>
      </c>
      <c r="AF6" s="9">
        <f>(((SQRT(((Inputs!$I$6+(((A6)+1)/2)*(Inputs!$J$6-Inputs!$I$6)))^2+Inputs!$C$6^2+((Inputs!$H$6+Inputs!$L$6*(((Inputs!$I$6+(((A6)+1)/2)*(Inputs!$J$6-Inputs!$I$6)))/Inputs!$K$6)^2))^2))-((Inputs!$H$6+Inputs!$L$6*(((Inputs!$I$6+(((A6)+1)/2)*(Inputs!$J$6-Inputs!$I$6)))/Inputs!$K$6)^2)))*1000/Inputs!$C$12)</f>
        <v>2760.1330447441346</v>
      </c>
      <c r="AG6" s="9">
        <f>(((SQRT(((Inputs!$I$7+(((A6)+1)/2)*(Inputs!$J$7-Inputs!$I$7)))^2+Inputs!$C$6^2+((Inputs!$H$7+Inputs!$L$7*(((Inputs!$I$7+(((A6)+1)/2)*(Inputs!$J$7-Inputs!$I$7)))/Inputs!$K$7)^2))^2))-((Inputs!$H$7+Inputs!$L$7*(((Inputs!$I$7+(((A6)+1)/2)*(Inputs!$J$7-Inputs!$I$7)))/Inputs!$K$7)^2)))*1000/Inputs!$C$12)</f>
        <v>92090.318023548112</v>
      </c>
      <c r="AH6" s="9">
        <f>(((SQRT(((Inputs!$I$8+(((A6)+1)/2)*(Inputs!$J$8-Inputs!$I$8)))^2+Inputs!$C$6^2+((Inputs!$H$8+Inputs!$L$8*(((Inputs!$I$8+(((A6)+1)/2)*(Inputs!$J$8-Inputs!$I$8)))/Inputs!$K$8)^2))^2))-((Inputs!$H$8+Inputs!$L$8*(((Inputs!$I$8+(((A6)+1)/2)*(Inputs!$J$8-Inputs!$I$8)))/Inputs!$K$8)^2)))*1000/Inputs!$C$12)</f>
        <v>156324.28356182837</v>
      </c>
      <c r="AI6" s="9">
        <f>(((SQRT(((Inputs!$I$9+(((A6)+1)/2)*(Inputs!$J$9-Inputs!$I$9)))^2+Inputs!$C$6^2+((Inputs!$H$9+Inputs!$L$9*(((Inputs!$I$9+(((A6)+1)/2)*(Inputs!$J$9-Inputs!$I$9)))/Inputs!$K$9)^2))^2))-((Inputs!$H$9+Inputs!$L$9*(((Inputs!$I$9+(((A6)+1)/2)*(Inputs!$J$9-Inputs!$I$9)))/Inputs!$K$9)^2)))*1000/Inputs!$C$12)</f>
        <v>156407.79634982644</v>
      </c>
      <c r="AJ6" s="10"/>
      <c r="AK6" s="9">
        <f t="shared" si="5"/>
        <v>-0.96699999999999997</v>
      </c>
      <c r="AL6" s="9">
        <f>(-2*((1000*((((Inputs!$I$6+(((A6)+1)/2)*(Inputs!$J$6-Inputs!$I$6)))*Inputs!$C$11+((Inputs!$H$6+Inputs!$L$6*(((Inputs!$I$6+(((A6)+1)/2)*(Inputs!$J$6-Inputs!$I$6)))/Inputs!$K$6)^2))*((2*Inputs!$L$6*((Inputs!$I$6+(((A6)+1)/2)*(Inputs!$J$6-Inputs!$I$6)))/(Inputs!$K$6^2)*Inputs!$C$11)))/(SQRT(((Inputs!$I$6+(((A6)+1)/2)*(Inputs!$J$6-Inputs!$I$6)))^2+Inputs!$C$6^2+((Inputs!$H$6+Inputs!$L$6*(((Inputs!$I$6+(((A6)+1)/2)*(Inputs!$J$6-Inputs!$I$6)))/Inputs!$K$6)^2))^2)))))/Inputs!$C$13)</f>
        <v>430.97878773309492</v>
      </c>
      <c r="AM6" s="9">
        <f>(-2*((1000*((((Inputs!$I$7+(((A6)+1)/2)*(Inputs!$J$7-Inputs!$I$7)))*Inputs!$C$11+((Inputs!$H$7+Inputs!$L$7*(((Inputs!$I$7+(((A6)+1)/2)*(Inputs!$J$7-Inputs!$I$7)))/Inputs!$K$7)^2))*((2*Inputs!$L$7*((Inputs!$I$7+(((A6)+1)/2)*(Inputs!$J$7-Inputs!$I$7)))/(Inputs!$K$7^2)*Inputs!$C$11)))/(SQRT(((Inputs!$I$7+(((A6)+1)/2)*(Inputs!$J$7-Inputs!$I$7)))^2+Inputs!$C$6^2+((Inputs!$H$7+Inputs!$L$7*(((Inputs!$I$7+(((A6)+1)/2)*(Inputs!$J$7-Inputs!$I$7)))/Inputs!$K$7)^2))^2)))))/Inputs!$C$13)</f>
        <v>3112.4563803873357</v>
      </c>
      <c r="AN6" s="9">
        <f>(-2*((1000*((((Inputs!$I$8+(((A6)+1)/2)*(Inputs!$J$8-Inputs!$I$8)))*Inputs!$C$11+((Inputs!$H$8+Inputs!$L$8*(((Inputs!$I$8+(((A6)+1)/2)*(Inputs!$J$8-Inputs!$I$8)))/Inputs!$K$8)^2))*((2*Inputs!$L$8*((Inputs!$I$8+(((A6)+1)/2)*(Inputs!$J$8-Inputs!$I$8)))/(Inputs!$K$8^2)*Inputs!$C$11)))/(SQRT(((Inputs!$I$8+(((A6)+1)/2)*(Inputs!$J$8-Inputs!$I$8)))^2+Inputs!$C$6^2+((Inputs!$H$8+Inputs!$L$8*(((Inputs!$I$8+(((A6)+1)/2)*(Inputs!$J$8-Inputs!$I$8)))/Inputs!$K$8)^2))^2)))))/Inputs!$C$13)</f>
        <v>3896.4309174215573</v>
      </c>
      <c r="AO6" s="9">
        <f>(-2*((1000*((((Inputs!$I$9+(((A6)+1)/2)*(Inputs!$J$9-Inputs!$I$9)))*Inputs!$C$11+((Inputs!$H$9+Inputs!$L$9*(((Inputs!$I$9+(((A6)+1)/2)*(Inputs!$J$9-Inputs!$I$9)))/Inputs!$K$9)^2))*((2*Inputs!$L$9*((Inputs!$I$9+(((A6)+1)/2)*(Inputs!$J$9-Inputs!$I$9)))/(Inputs!$K$9^2)*Inputs!$C$11)))/(SQRT(((Inputs!$I$9+(((A6)+1)/2)*(Inputs!$J$9-Inputs!$I$9)))^2+Inputs!$C$6^2+((Inputs!$H$9+Inputs!$L$9*(((Inputs!$I$9+(((A6)+1)/2)*(Inputs!$J$9-Inputs!$I$9)))/Inputs!$K$9)^2))^2)))))/Inputs!$C$13)</f>
        <v>3925.8594484511741</v>
      </c>
    </row>
    <row r="7" spans="1:41">
      <c r="A7" s="9">
        <f>ROUND(-1+5*2/240,3)</f>
        <v>-0.95799999999999996</v>
      </c>
      <c r="B7" s="9">
        <f>IF(OR(Inputs!$F$6=TRUE,Inputs!$F$6="TRUE",Inputs!$F$6=1),(Inputs!$H$6+Inputs!$L$6*(((Inputs!$I$6+(((A7)+1)/2)*(Inputs!$J$6-Inputs!$I$6)))/Inputs!$K$6)^2),NA())</f>
        <v>403.67105600000002</v>
      </c>
      <c r="C7" s="9">
        <f>IF(OR(Inputs!$F$7=TRUE,Inputs!$F$7="TRUE",Inputs!$F$7=1),(Inputs!$H$7+Inputs!$L$7*(((Inputs!$I$7+(((A7)+1)/2)*(Inputs!$J$7-Inputs!$I$7)))/Inputs!$K$7)^2),NA())</f>
        <v>369.98385999999999</v>
      </c>
      <c r="D7" s="9">
        <f>IF(OR(Inputs!$F$8=TRUE,Inputs!$F$8="TRUE",Inputs!$F$8=1),(Inputs!$H$8+Inputs!$L$8*(((Inputs!$I$8+(((A7)+1)/2)*(Inputs!$J$8-Inputs!$I$8)))/Inputs!$K$8)^2),NA())</f>
        <v>920.64225999999996</v>
      </c>
      <c r="E7" s="9">
        <f>IF(OR(Inputs!$F$9=TRUE,Inputs!$F$9="TRUE",Inputs!$F$9=1),(Inputs!$H$9+Inputs!$L$9*(((Inputs!$I$9+(((A7)+1)/2)*(Inputs!$J$9-Inputs!$I$9)))/Inputs!$K$9)^2),NA())</f>
        <v>919.81989999999996</v>
      </c>
      <c r="F7" s="10"/>
      <c r="G7" s="9">
        <f t="shared" si="0"/>
        <v>-0.95799999999999996</v>
      </c>
      <c r="H7" s="9">
        <f>IF(OR(Inputs!$F$6=TRUE,Inputs!$F$6="TRUE",Inputs!$F$6=1),(((SQRT(((Inputs!$I$6+(((A7)+1)/2)*(Inputs!$J$6-Inputs!$I$6)))^2+Inputs!$C$6^2+((Inputs!$H$6+Inputs!$L$6*(((Inputs!$I$6+(((A7)+1)/2)*(Inputs!$J$6-Inputs!$I$6)))/Inputs!$K$6)^2))^2))-((Inputs!$H$6+Inputs!$L$6*(((Inputs!$I$6+(((A7)+1)/2)*(Inputs!$J$6-Inputs!$I$6)))/Inputs!$K$6)^2)))*1000/Inputs!$C$12),NA())</f>
        <v>2717.7183077910331</v>
      </c>
      <c r="I7" s="9">
        <f>IF(OR(Inputs!$F$7=TRUE,Inputs!$F$7="TRUE",Inputs!$F$7=1),(((SQRT(((Inputs!$I$7+(((A7)+1)/2)*(Inputs!$J$7-Inputs!$I$7)))^2+Inputs!$C$6^2+((Inputs!$H$7+Inputs!$L$7*(((Inputs!$I$7+(((A7)+1)/2)*(Inputs!$J$7-Inputs!$I$7)))/Inputs!$K$7)^2))^2))-((Inputs!$H$7+Inputs!$L$7*(((Inputs!$I$7+(((A7)+1)/2)*(Inputs!$J$7-Inputs!$I$7)))/Inputs!$K$7)^2)))*1000/Inputs!$C$12),NA())</f>
        <v>91722.410526102656</v>
      </c>
      <c r="J7" s="9">
        <f>IF(OR(Inputs!$F$8=TRUE,Inputs!$F$8="TRUE",Inputs!$F$8=1),(((SQRT(((Inputs!$I$8+(((A7)+1)/2)*(Inputs!$J$8-Inputs!$I$8)))^2+Inputs!$C$6^2+((Inputs!$H$8+Inputs!$L$8*(((Inputs!$I$8+(((A7)+1)/2)*(Inputs!$J$8-Inputs!$I$8)))/Inputs!$K$8)^2))^2))-((Inputs!$H$8+Inputs!$L$8*(((Inputs!$I$8+(((A7)+1)/2)*(Inputs!$J$8-Inputs!$I$8)))/Inputs!$K$8)^2)))*1000/Inputs!$C$12),NA())</f>
        <v>155906.20411800177</v>
      </c>
      <c r="K7" s="9">
        <f>IF(OR(Inputs!$F$9=TRUE,Inputs!$F$9="TRUE",Inputs!$F$9=1),(((SQRT(((Inputs!$I$9+(((A7)+1)/2)*(Inputs!$J$9-Inputs!$I$9)))^2+Inputs!$C$6^2+((Inputs!$H$9+Inputs!$L$9*(((Inputs!$I$9+(((A7)+1)/2)*(Inputs!$J$9-Inputs!$I$9)))/Inputs!$K$9)^2))^2))-((Inputs!$H$9+Inputs!$L$9*(((Inputs!$I$9+(((A7)+1)/2)*(Inputs!$J$9-Inputs!$I$9)))/Inputs!$K$9)^2)))*1000/Inputs!$C$12),NA())</f>
        <v>156013.2761094695</v>
      </c>
      <c r="L7" s="10"/>
      <c r="M7" s="9">
        <f t="shared" si="1"/>
        <v>-0.95799999999999996</v>
      </c>
      <c r="N7" s="9">
        <f>IF(OR(Inputs!$F$6=TRUE,Inputs!$F$6="TRUE",Inputs!$F$6=1),(-2*((1000*((((Inputs!$I$6+(((A7)+1)/2)*(Inputs!$J$6-Inputs!$I$6)))*Inputs!$C$11+((Inputs!$H$6+Inputs!$L$6*(((Inputs!$I$6+(((A7)+1)/2)*(Inputs!$J$6-Inputs!$I$6)))/Inputs!$K$6)^2))*((2*Inputs!$L$6*((Inputs!$I$6+(((A7)+1)/2)*(Inputs!$J$6-Inputs!$I$6)))/(Inputs!$K$6^2)*Inputs!$C$11)))/(SQRT(((Inputs!$I$6+(((A7)+1)/2)*(Inputs!$J$6-Inputs!$I$6)))^2+Inputs!$C$6^2+((Inputs!$H$6+Inputs!$L$6*(((Inputs!$I$6+(((A7)+1)/2)*(Inputs!$J$6-Inputs!$I$6)))/Inputs!$K$6)^2))^2)))))/Inputs!$C$13),NA())</f>
        <v>427.08428071365722</v>
      </c>
      <c r="O7" s="9">
        <f>IF(OR(Inputs!$F$7=TRUE,Inputs!$F$7="TRUE",Inputs!$F$7=1),(-2*((1000*((((Inputs!$I$7+(((A7)+1)/2)*(Inputs!$J$7-Inputs!$I$7)))*Inputs!$C$11+((Inputs!$H$7+Inputs!$L$7*(((Inputs!$I$7+(((A7)+1)/2)*(Inputs!$J$7-Inputs!$I$7)))/Inputs!$K$7)^2))*((2*Inputs!$L$7*((Inputs!$I$7+(((A7)+1)/2)*(Inputs!$J$7-Inputs!$I$7)))/(Inputs!$K$7^2)*Inputs!$C$11)))/(SQRT(((Inputs!$I$7+(((A7)+1)/2)*(Inputs!$J$7-Inputs!$I$7)))^2+Inputs!$C$6^2+((Inputs!$H$7+Inputs!$L$7*(((Inputs!$I$7+(((A7)+1)/2)*(Inputs!$J$7-Inputs!$I$7)))/Inputs!$K$7)^2))^2)))))/Inputs!$C$13),NA())</f>
        <v>3090.6682062831496</v>
      </c>
      <c r="P7" s="9">
        <f>IF(OR(Inputs!$F$8=TRUE,Inputs!$F$8="TRUE",Inputs!$F$8=1),(-2*((1000*((((Inputs!$I$8+(((A7)+1)/2)*(Inputs!$J$8-Inputs!$I$8)))*Inputs!$C$11+((Inputs!$H$8+Inputs!$L$8*(((Inputs!$I$8+(((A7)+1)/2)*(Inputs!$J$8-Inputs!$I$8)))/Inputs!$K$8)^2))*((2*Inputs!$L$8*((Inputs!$I$8+(((A7)+1)/2)*(Inputs!$J$8-Inputs!$I$8)))/(Inputs!$K$8^2)*Inputs!$C$11)))/(SQRT(((Inputs!$I$8+(((A7)+1)/2)*(Inputs!$J$8-Inputs!$I$8)))^2+Inputs!$C$6^2+((Inputs!$H$8+Inputs!$L$8*(((Inputs!$I$8+(((A7)+1)/2)*(Inputs!$J$8-Inputs!$I$8)))/Inputs!$K$8)^2))^2)))))/Inputs!$C$13),NA())</f>
        <v>3864.8283636843689</v>
      </c>
      <c r="Q7" s="9">
        <f>IF(OR(Inputs!$F$9=TRUE,Inputs!$F$9="TRUE",Inputs!$F$9=1),(-2*((1000*((((Inputs!$I$9+(((A7)+1)/2)*(Inputs!$J$9-Inputs!$I$9)))*Inputs!$C$11+((Inputs!$H$9+Inputs!$L$9*(((Inputs!$I$9+(((A7)+1)/2)*(Inputs!$J$9-Inputs!$I$9)))/Inputs!$K$9)^2))*((2*Inputs!$L$9*((Inputs!$I$9+(((A7)+1)/2)*(Inputs!$J$9-Inputs!$I$9)))/(Inputs!$K$9^2)*Inputs!$C$11)))/(SQRT(((Inputs!$I$9+(((A7)+1)/2)*(Inputs!$J$9-Inputs!$I$9)))^2+Inputs!$C$6^2+((Inputs!$H$9+Inputs!$L$9*(((Inputs!$I$9+(((A7)+1)/2)*(Inputs!$J$9-Inputs!$I$9)))/Inputs!$K$9)^2))^2)))))/Inputs!$C$13),NA())</f>
        <v>3893.7615736346024</v>
      </c>
      <c r="R7" s="10"/>
      <c r="S7" s="9">
        <f t="shared" si="2"/>
        <v>-0.95799999999999996</v>
      </c>
      <c r="T7" s="9">
        <f>(Inputs!$I$6+(((A7)+1)/2)*(Inputs!$J$6-Inputs!$I$6))</f>
        <v>-57.48</v>
      </c>
      <c r="U7" s="9">
        <f>(Inputs!$I$7+(((A7)+1)/2)*(Inputs!$J$7-Inputs!$I$7))</f>
        <v>-383.2</v>
      </c>
      <c r="V7" s="9">
        <f>(Inputs!$I$8+(((A7)+1)/2)*(Inputs!$J$8-Inputs!$I$8))</f>
        <v>-766.4</v>
      </c>
      <c r="W7" s="9">
        <f>(Inputs!$I$9+(((A7)+1)/2)*(Inputs!$J$9-Inputs!$I$9))</f>
        <v>-766.4</v>
      </c>
      <c r="X7" s="10"/>
      <c r="Y7" s="9">
        <f t="shared" si="3"/>
        <v>-0.95799999999999996</v>
      </c>
      <c r="Z7" s="9">
        <f>(Inputs!$H$6+Inputs!$L$6*(((Inputs!$I$6+(((A7)+1)/2)*(Inputs!$J$6-Inputs!$I$6)))/Inputs!$K$6)^2)</f>
        <v>403.67105600000002</v>
      </c>
      <c r="AA7" s="9">
        <f>(Inputs!$H$7+Inputs!$L$7*(((Inputs!$I$7+(((A7)+1)/2)*(Inputs!$J$7-Inputs!$I$7)))/Inputs!$K$7)^2)</f>
        <v>369.98385999999999</v>
      </c>
      <c r="AB7" s="9">
        <f>(Inputs!$H$8+Inputs!$L$8*(((Inputs!$I$8+(((A7)+1)/2)*(Inputs!$J$8-Inputs!$I$8)))/Inputs!$K$8)^2)</f>
        <v>920.64225999999996</v>
      </c>
      <c r="AC7" s="9">
        <f>(Inputs!$H$9+Inputs!$L$9*(((Inputs!$I$9+(((A7)+1)/2)*(Inputs!$J$9-Inputs!$I$9)))/Inputs!$K$9)^2)</f>
        <v>919.81989999999996</v>
      </c>
      <c r="AD7" s="10"/>
      <c r="AE7" s="9">
        <f t="shared" si="4"/>
        <v>-0.95799999999999996</v>
      </c>
      <c r="AF7" s="9">
        <f>(((SQRT(((Inputs!$I$6+(((A7)+1)/2)*(Inputs!$J$6-Inputs!$I$6)))^2+Inputs!$C$6^2+((Inputs!$H$6+Inputs!$L$6*(((Inputs!$I$6+(((A7)+1)/2)*(Inputs!$J$6-Inputs!$I$6)))/Inputs!$K$6)^2))^2))-((Inputs!$H$6+Inputs!$L$6*(((Inputs!$I$6+(((A7)+1)/2)*(Inputs!$J$6-Inputs!$I$6)))/Inputs!$K$6)^2)))*1000/Inputs!$C$12)</f>
        <v>2717.7183077910331</v>
      </c>
      <c r="AG7" s="9">
        <f>(((SQRT(((Inputs!$I$7+(((A7)+1)/2)*(Inputs!$J$7-Inputs!$I$7)))^2+Inputs!$C$6^2+((Inputs!$H$7+Inputs!$L$7*(((Inputs!$I$7+(((A7)+1)/2)*(Inputs!$J$7-Inputs!$I$7)))/Inputs!$K$7)^2))^2))-((Inputs!$H$7+Inputs!$L$7*(((Inputs!$I$7+(((A7)+1)/2)*(Inputs!$J$7-Inputs!$I$7)))/Inputs!$K$7)^2)))*1000/Inputs!$C$12)</f>
        <v>91722.410526102656</v>
      </c>
      <c r="AH7" s="9">
        <f>(((SQRT(((Inputs!$I$8+(((A7)+1)/2)*(Inputs!$J$8-Inputs!$I$8)))^2+Inputs!$C$6^2+((Inputs!$H$8+Inputs!$L$8*(((Inputs!$I$8+(((A7)+1)/2)*(Inputs!$J$8-Inputs!$I$8)))/Inputs!$K$8)^2))^2))-((Inputs!$H$8+Inputs!$L$8*(((Inputs!$I$8+(((A7)+1)/2)*(Inputs!$J$8-Inputs!$I$8)))/Inputs!$K$8)^2)))*1000/Inputs!$C$12)</f>
        <v>155906.20411800177</v>
      </c>
      <c r="AI7" s="9">
        <f>(((SQRT(((Inputs!$I$9+(((A7)+1)/2)*(Inputs!$J$9-Inputs!$I$9)))^2+Inputs!$C$6^2+((Inputs!$H$9+Inputs!$L$9*(((Inputs!$I$9+(((A7)+1)/2)*(Inputs!$J$9-Inputs!$I$9)))/Inputs!$K$9)^2))^2))-((Inputs!$H$9+Inputs!$L$9*(((Inputs!$I$9+(((A7)+1)/2)*(Inputs!$J$9-Inputs!$I$9)))/Inputs!$K$9)^2)))*1000/Inputs!$C$12)</f>
        <v>156013.2761094695</v>
      </c>
      <c r="AJ7" s="10"/>
      <c r="AK7" s="9">
        <f t="shared" si="5"/>
        <v>-0.95799999999999996</v>
      </c>
      <c r="AL7" s="9">
        <f>(-2*((1000*((((Inputs!$I$6+(((A7)+1)/2)*(Inputs!$J$6-Inputs!$I$6)))*Inputs!$C$11+((Inputs!$H$6+Inputs!$L$6*(((Inputs!$I$6+(((A7)+1)/2)*(Inputs!$J$6-Inputs!$I$6)))/Inputs!$K$6)^2))*((2*Inputs!$L$6*((Inputs!$I$6+(((A7)+1)/2)*(Inputs!$J$6-Inputs!$I$6)))/(Inputs!$K$6^2)*Inputs!$C$11)))/(SQRT(((Inputs!$I$6+(((A7)+1)/2)*(Inputs!$J$6-Inputs!$I$6)))^2+Inputs!$C$6^2+((Inputs!$H$6+Inputs!$L$6*(((Inputs!$I$6+(((A7)+1)/2)*(Inputs!$J$6-Inputs!$I$6)))/Inputs!$K$6)^2))^2)))))/Inputs!$C$13)</f>
        <v>427.08428071365722</v>
      </c>
      <c r="AM7" s="9">
        <f>(-2*((1000*((((Inputs!$I$7+(((A7)+1)/2)*(Inputs!$J$7-Inputs!$I$7)))*Inputs!$C$11+((Inputs!$H$7+Inputs!$L$7*(((Inputs!$I$7+(((A7)+1)/2)*(Inputs!$J$7-Inputs!$I$7)))/Inputs!$K$7)^2))*((2*Inputs!$L$7*((Inputs!$I$7+(((A7)+1)/2)*(Inputs!$J$7-Inputs!$I$7)))/(Inputs!$K$7^2)*Inputs!$C$11)))/(SQRT(((Inputs!$I$7+(((A7)+1)/2)*(Inputs!$J$7-Inputs!$I$7)))^2+Inputs!$C$6^2+((Inputs!$H$7+Inputs!$L$7*(((Inputs!$I$7+(((A7)+1)/2)*(Inputs!$J$7-Inputs!$I$7)))/Inputs!$K$7)^2))^2)))))/Inputs!$C$13)</f>
        <v>3090.6682062831496</v>
      </c>
      <c r="AN7" s="9">
        <f>(-2*((1000*((((Inputs!$I$8+(((A7)+1)/2)*(Inputs!$J$8-Inputs!$I$8)))*Inputs!$C$11+((Inputs!$H$8+Inputs!$L$8*(((Inputs!$I$8+(((A7)+1)/2)*(Inputs!$J$8-Inputs!$I$8)))/Inputs!$K$8)^2))*((2*Inputs!$L$8*((Inputs!$I$8+(((A7)+1)/2)*(Inputs!$J$8-Inputs!$I$8)))/(Inputs!$K$8^2)*Inputs!$C$11)))/(SQRT(((Inputs!$I$8+(((A7)+1)/2)*(Inputs!$J$8-Inputs!$I$8)))^2+Inputs!$C$6^2+((Inputs!$H$8+Inputs!$L$8*(((Inputs!$I$8+(((A7)+1)/2)*(Inputs!$J$8-Inputs!$I$8)))/Inputs!$K$8)^2))^2)))))/Inputs!$C$13)</f>
        <v>3864.8283636843689</v>
      </c>
      <c r="AO7" s="9">
        <f>(-2*((1000*((((Inputs!$I$9+(((A7)+1)/2)*(Inputs!$J$9-Inputs!$I$9)))*Inputs!$C$11+((Inputs!$H$9+Inputs!$L$9*(((Inputs!$I$9+(((A7)+1)/2)*(Inputs!$J$9-Inputs!$I$9)))/Inputs!$K$9)^2))*((2*Inputs!$L$9*((Inputs!$I$9+(((A7)+1)/2)*(Inputs!$J$9-Inputs!$I$9)))/(Inputs!$K$9^2)*Inputs!$C$11)))/(SQRT(((Inputs!$I$9+(((A7)+1)/2)*(Inputs!$J$9-Inputs!$I$9)))^2+Inputs!$C$6^2+((Inputs!$H$9+Inputs!$L$9*(((Inputs!$I$9+(((A7)+1)/2)*(Inputs!$J$9-Inputs!$I$9)))/Inputs!$K$9)^2))^2)))))/Inputs!$C$13)</f>
        <v>3893.7615736346024</v>
      </c>
    </row>
    <row r="8" spans="1:41">
      <c r="A8" s="9">
        <f>ROUND(-1+6*2/240,3)</f>
        <v>-0.95</v>
      </c>
      <c r="B8" s="9">
        <f>IF(OR(Inputs!$F$6=TRUE,Inputs!$F$6="TRUE",Inputs!$F$6=1),(Inputs!$H$6+Inputs!$L$6*(((Inputs!$I$6+(((A8)+1)/2)*(Inputs!$J$6-Inputs!$I$6)))/Inputs!$K$6)^2),NA())</f>
        <v>403.61</v>
      </c>
      <c r="C8" s="9">
        <f>IF(OR(Inputs!$F$7=TRUE,Inputs!$F$7="TRUE",Inputs!$F$7=1),(Inputs!$H$7+Inputs!$L$7*(((Inputs!$I$7+(((A8)+1)/2)*(Inputs!$J$7-Inputs!$I$7)))/Inputs!$K$7)^2),NA())</f>
        <v>364.41249999999997</v>
      </c>
      <c r="D8" s="9">
        <f>IF(OR(Inputs!$F$8=TRUE,Inputs!$F$8="TRUE",Inputs!$F$8=1),(Inputs!$H$8+Inputs!$L$8*(((Inputs!$I$8+(((A8)+1)/2)*(Inputs!$J$8-Inputs!$I$8)))/Inputs!$K$8)^2),NA())</f>
        <v>905.91250000000002</v>
      </c>
      <c r="E8" s="9">
        <f>IF(OR(Inputs!$F$9=TRUE,Inputs!$F$9="TRUE",Inputs!$F$9=1),(Inputs!$H$9+Inputs!$L$9*(((Inputs!$I$9+(((A8)+1)/2)*(Inputs!$J$9-Inputs!$I$9)))/Inputs!$K$9)^2),NA())</f>
        <v>904.9375</v>
      </c>
      <c r="F8" s="10"/>
      <c r="G8" s="9">
        <f t="shared" si="0"/>
        <v>-0.95</v>
      </c>
      <c r="H8" s="9">
        <f>IF(OR(Inputs!$F$6=TRUE,Inputs!$F$6="TRUE",Inputs!$F$6=1),(((SQRT(((Inputs!$I$6+(((A8)+1)/2)*(Inputs!$J$6-Inputs!$I$6)))^2+Inputs!$C$6^2+((Inputs!$H$6+Inputs!$L$6*(((Inputs!$I$6+(((A8)+1)/2)*(Inputs!$J$6-Inputs!$I$6)))/Inputs!$K$6)^2))^2))-((Inputs!$H$6+Inputs!$L$6*(((Inputs!$I$6+(((A8)+1)/2)*(Inputs!$J$6-Inputs!$I$6)))/Inputs!$K$6)^2)))*1000/Inputs!$C$12),NA())</f>
        <v>2680.3308461757451</v>
      </c>
      <c r="I8" s="9">
        <f>IF(OR(Inputs!$F$7=TRUE,Inputs!$F$7="TRUE",Inputs!$F$7=1),(((SQRT(((Inputs!$I$7+(((A8)+1)/2)*(Inputs!$J$7-Inputs!$I$7)))^2+Inputs!$C$6^2+((Inputs!$H$7+Inputs!$L$7*(((Inputs!$I$7+(((A8)+1)/2)*(Inputs!$J$7-Inputs!$I$7)))/Inputs!$K$7)^2))^2))-((Inputs!$H$7+Inputs!$L$7*(((Inputs!$I$7+(((A8)+1)/2)*(Inputs!$J$7-Inputs!$I$7)))/Inputs!$K$7)^2)))*1000/Inputs!$C$12),NA())</f>
        <v>91390.576008209857</v>
      </c>
      <c r="J8" s="9">
        <f>IF(OR(Inputs!$F$8=TRUE,Inputs!$F$8="TRUE",Inputs!$F$8=1),(((SQRT(((Inputs!$I$8+(((A8)+1)/2)*(Inputs!$J$8-Inputs!$I$8)))^2+Inputs!$C$6^2+((Inputs!$H$8+Inputs!$L$8*(((Inputs!$I$8+(((A8)+1)/2)*(Inputs!$J$8-Inputs!$I$8)))/Inputs!$K$8)^2))^2))-((Inputs!$H$8+Inputs!$L$8*(((Inputs!$I$8+(((A8)+1)/2)*(Inputs!$J$8-Inputs!$I$8)))/Inputs!$K$8)^2)))*1000/Inputs!$C$12),NA())</f>
        <v>155527.84797426665</v>
      </c>
      <c r="K8" s="9">
        <f>IF(OR(Inputs!$F$9=TRUE,Inputs!$F$9="TRUE",Inputs!$F$9=1),(((SQRT(((Inputs!$I$9+(((A8)+1)/2)*(Inputs!$J$9-Inputs!$I$9)))^2+Inputs!$C$6^2+((Inputs!$H$9+Inputs!$L$9*(((Inputs!$I$9+(((A8)+1)/2)*(Inputs!$J$9-Inputs!$I$9)))/Inputs!$K$9)^2))^2))-((Inputs!$H$9+Inputs!$L$9*(((Inputs!$I$9+(((A8)+1)/2)*(Inputs!$J$9-Inputs!$I$9)))/Inputs!$K$9)^2)))*1000/Inputs!$C$12),NA())</f>
        <v>155656.15051535444</v>
      </c>
      <c r="L8" s="10"/>
      <c r="M8" s="9">
        <f t="shared" si="1"/>
        <v>-0.95</v>
      </c>
      <c r="N8" s="9">
        <f>IF(OR(Inputs!$F$6=TRUE,Inputs!$F$6="TRUE",Inputs!$F$6=1),(-2*((1000*((((Inputs!$I$6+(((A8)+1)/2)*(Inputs!$J$6-Inputs!$I$6)))*Inputs!$C$11+((Inputs!$H$6+Inputs!$L$6*(((Inputs!$I$6+(((A8)+1)/2)*(Inputs!$J$6-Inputs!$I$6)))/Inputs!$K$6)^2))*((2*Inputs!$L$6*((Inputs!$I$6+(((A8)+1)/2)*(Inputs!$J$6-Inputs!$I$6)))/(Inputs!$K$6^2)*Inputs!$C$11)))/(SQRT(((Inputs!$I$6+(((A8)+1)/2)*(Inputs!$J$6-Inputs!$I$6)))^2+Inputs!$C$6^2+((Inputs!$H$6+Inputs!$L$6*(((Inputs!$I$6+(((A8)+1)/2)*(Inputs!$J$6-Inputs!$I$6)))/Inputs!$K$6)^2))^2)))))/Inputs!$C$13),NA())</f>
        <v>423.61985017150721</v>
      </c>
      <c r="O8" s="9">
        <f>IF(OR(Inputs!$F$7=TRUE,Inputs!$F$7="TRUE",Inputs!$F$7=1),(-2*((1000*((((Inputs!$I$7+(((A8)+1)/2)*(Inputs!$J$7-Inputs!$I$7)))*Inputs!$C$11+((Inputs!$H$7+Inputs!$L$7*(((Inputs!$I$7+(((A8)+1)/2)*(Inputs!$J$7-Inputs!$I$7)))/Inputs!$K$7)^2))*((2*Inputs!$L$7*((Inputs!$I$7+(((A8)+1)/2)*(Inputs!$J$7-Inputs!$I$7)))/(Inputs!$K$7^2)*Inputs!$C$11)))/(SQRT(((Inputs!$I$7+(((A8)+1)/2)*(Inputs!$J$7-Inputs!$I$7)))^2+Inputs!$C$6^2+((Inputs!$H$7+Inputs!$L$7*(((Inputs!$I$7+(((A8)+1)/2)*(Inputs!$J$7-Inputs!$I$7)))/Inputs!$K$7)^2))^2)))))/Inputs!$C$13),NA())</f>
        <v>3071.3678147126902</v>
      </c>
      <c r="P8" s="9">
        <f>IF(OR(Inputs!$F$8=TRUE,Inputs!$F$8="TRUE",Inputs!$F$8=1),(-2*((1000*((((Inputs!$I$8+(((A8)+1)/2)*(Inputs!$J$8-Inputs!$I$8)))*Inputs!$C$11+((Inputs!$H$8+Inputs!$L$8*(((Inputs!$I$8+(((A8)+1)/2)*(Inputs!$J$8-Inputs!$I$8)))/Inputs!$K$8)^2))*((2*Inputs!$L$8*((Inputs!$I$8+(((A8)+1)/2)*(Inputs!$J$8-Inputs!$I$8)))/(Inputs!$K$8^2)*Inputs!$C$11)))/(SQRT(((Inputs!$I$8+(((A8)+1)/2)*(Inputs!$J$8-Inputs!$I$8)))^2+Inputs!$C$6^2+((Inputs!$H$8+Inputs!$L$8*(((Inputs!$I$8+(((A8)+1)/2)*(Inputs!$J$8-Inputs!$I$8)))/Inputs!$K$8)^2))^2)))))/Inputs!$C$13),NA())</f>
        <v>3836.7983070402515</v>
      </c>
      <c r="Q8" s="9">
        <f>IF(OR(Inputs!$F$9=TRUE,Inputs!$F$9="TRUE",Inputs!$F$9=1),(-2*((1000*((((Inputs!$I$9+(((A8)+1)/2)*(Inputs!$J$9-Inputs!$I$9)))*Inputs!$C$11+((Inputs!$H$9+Inputs!$L$9*(((Inputs!$I$9+(((A8)+1)/2)*(Inputs!$J$9-Inputs!$I$9)))/Inputs!$K$9)^2))*((2*Inputs!$L$9*((Inputs!$I$9+(((A8)+1)/2)*(Inputs!$J$9-Inputs!$I$9)))/(Inputs!$K$9^2)*Inputs!$C$11)))/(SQRT(((Inputs!$I$9+(((A8)+1)/2)*(Inputs!$J$9-Inputs!$I$9)))^2+Inputs!$C$6^2+((Inputs!$H$9+Inputs!$L$9*(((Inputs!$I$9+(((A8)+1)/2)*(Inputs!$J$9-Inputs!$I$9)))/Inputs!$K$9)^2))^2)))))/Inputs!$C$13),NA())</f>
        <v>3865.2896613548774</v>
      </c>
      <c r="R8" s="10"/>
      <c r="S8" s="9">
        <f t="shared" si="2"/>
        <v>-0.95</v>
      </c>
      <c r="T8" s="9">
        <f>(Inputs!$I$6+(((A8)+1)/2)*(Inputs!$J$6-Inputs!$I$6))</f>
        <v>-57</v>
      </c>
      <c r="U8" s="9">
        <f>(Inputs!$I$7+(((A8)+1)/2)*(Inputs!$J$7-Inputs!$I$7))</f>
        <v>-380</v>
      </c>
      <c r="V8" s="9">
        <f>(Inputs!$I$8+(((A8)+1)/2)*(Inputs!$J$8-Inputs!$I$8))</f>
        <v>-760</v>
      </c>
      <c r="W8" s="9">
        <f>(Inputs!$I$9+(((A8)+1)/2)*(Inputs!$J$9-Inputs!$I$9))</f>
        <v>-760</v>
      </c>
      <c r="X8" s="10"/>
      <c r="Y8" s="9">
        <f t="shared" si="3"/>
        <v>-0.95</v>
      </c>
      <c r="Z8" s="9">
        <f>(Inputs!$H$6+Inputs!$L$6*(((Inputs!$I$6+(((A8)+1)/2)*(Inputs!$J$6-Inputs!$I$6)))/Inputs!$K$6)^2)</f>
        <v>403.61</v>
      </c>
      <c r="AA8" s="9">
        <f>(Inputs!$H$7+Inputs!$L$7*(((Inputs!$I$7+(((A8)+1)/2)*(Inputs!$J$7-Inputs!$I$7)))/Inputs!$K$7)^2)</f>
        <v>364.41249999999997</v>
      </c>
      <c r="AB8" s="9">
        <f>(Inputs!$H$8+Inputs!$L$8*(((Inputs!$I$8+(((A8)+1)/2)*(Inputs!$J$8-Inputs!$I$8)))/Inputs!$K$8)^2)</f>
        <v>905.91250000000002</v>
      </c>
      <c r="AC8" s="9">
        <f>(Inputs!$H$9+Inputs!$L$9*(((Inputs!$I$9+(((A8)+1)/2)*(Inputs!$J$9-Inputs!$I$9)))/Inputs!$K$9)^2)</f>
        <v>904.9375</v>
      </c>
      <c r="AD8" s="10"/>
      <c r="AE8" s="9">
        <f t="shared" si="4"/>
        <v>-0.95</v>
      </c>
      <c r="AF8" s="9">
        <f>(((SQRT(((Inputs!$I$6+(((A8)+1)/2)*(Inputs!$J$6-Inputs!$I$6)))^2+Inputs!$C$6^2+((Inputs!$H$6+Inputs!$L$6*(((Inputs!$I$6+(((A8)+1)/2)*(Inputs!$J$6-Inputs!$I$6)))/Inputs!$K$6)^2))^2))-((Inputs!$H$6+Inputs!$L$6*(((Inputs!$I$6+(((A8)+1)/2)*(Inputs!$J$6-Inputs!$I$6)))/Inputs!$K$6)^2)))*1000/Inputs!$C$12)</f>
        <v>2680.3308461757451</v>
      </c>
      <c r="AG8" s="9">
        <f>(((SQRT(((Inputs!$I$7+(((A8)+1)/2)*(Inputs!$J$7-Inputs!$I$7)))^2+Inputs!$C$6^2+((Inputs!$H$7+Inputs!$L$7*(((Inputs!$I$7+(((A8)+1)/2)*(Inputs!$J$7-Inputs!$I$7)))/Inputs!$K$7)^2))^2))-((Inputs!$H$7+Inputs!$L$7*(((Inputs!$I$7+(((A8)+1)/2)*(Inputs!$J$7-Inputs!$I$7)))/Inputs!$K$7)^2)))*1000/Inputs!$C$12)</f>
        <v>91390.576008209857</v>
      </c>
      <c r="AH8" s="9">
        <f>(((SQRT(((Inputs!$I$8+(((A8)+1)/2)*(Inputs!$J$8-Inputs!$I$8)))^2+Inputs!$C$6^2+((Inputs!$H$8+Inputs!$L$8*(((Inputs!$I$8+(((A8)+1)/2)*(Inputs!$J$8-Inputs!$I$8)))/Inputs!$K$8)^2))^2))-((Inputs!$H$8+Inputs!$L$8*(((Inputs!$I$8+(((A8)+1)/2)*(Inputs!$J$8-Inputs!$I$8)))/Inputs!$K$8)^2)))*1000/Inputs!$C$12)</f>
        <v>155527.84797426665</v>
      </c>
      <c r="AI8" s="9">
        <f>(((SQRT(((Inputs!$I$9+(((A8)+1)/2)*(Inputs!$J$9-Inputs!$I$9)))^2+Inputs!$C$6^2+((Inputs!$H$9+Inputs!$L$9*(((Inputs!$I$9+(((A8)+1)/2)*(Inputs!$J$9-Inputs!$I$9)))/Inputs!$K$9)^2))^2))-((Inputs!$H$9+Inputs!$L$9*(((Inputs!$I$9+(((A8)+1)/2)*(Inputs!$J$9-Inputs!$I$9)))/Inputs!$K$9)^2)))*1000/Inputs!$C$12)</f>
        <v>155656.15051535444</v>
      </c>
      <c r="AJ8" s="10"/>
      <c r="AK8" s="9">
        <f t="shared" si="5"/>
        <v>-0.95</v>
      </c>
      <c r="AL8" s="9">
        <f>(-2*((1000*((((Inputs!$I$6+(((A8)+1)/2)*(Inputs!$J$6-Inputs!$I$6)))*Inputs!$C$11+((Inputs!$H$6+Inputs!$L$6*(((Inputs!$I$6+(((A8)+1)/2)*(Inputs!$J$6-Inputs!$I$6)))/Inputs!$K$6)^2))*((2*Inputs!$L$6*((Inputs!$I$6+(((A8)+1)/2)*(Inputs!$J$6-Inputs!$I$6)))/(Inputs!$K$6^2)*Inputs!$C$11)))/(SQRT(((Inputs!$I$6+(((A8)+1)/2)*(Inputs!$J$6-Inputs!$I$6)))^2+Inputs!$C$6^2+((Inputs!$H$6+Inputs!$L$6*(((Inputs!$I$6+(((A8)+1)/2)*(Inputs!$J$6-Inputs!$I$6)))/Inputs!$K$6)^2))^2)))))/Inputs!$C$13)</f>
        <v>423.61985017150721</v>
      </c>
      <c r="AM8" s="9">
        <f>(-2*((1000*((((Inputs!$I$7+(((A8)+1)/2)*(Inputs!$J$7-Inputs!$I$7)))*Inputs!$C$11+((Inputs!$H$7+Inputs!$L$7*(((Inputs!$I$7+(((A8)+1)/2)*(Inputs!$J$7-Inputs!$I$7)))/Inputs!$K$7)^2))*((2*Inputs!$L$7*((Inputs!$I$7+(((A8)+1)/2)*(Inputs!$J$7-Inputs!$I$7)))/(Inputs!$K$7^2)*Inputs!$C$11)))/(SQRT(((Inputs!$I$7+(((A8)+1)/2)*(Inputs!$J$7-Inputs!$I$7)))^2+Inputs!$C$6^2+((Inputs!$H$7+Inputs!$L$7*(((Inputs!$I$7+(((A8)+1)/2)*(Inputs!$J$7-Inputs!$I$7)))/Inputs!$K$7)^2))^2)))))/Inputs!$C$13)</f>
        <v>3071.3678147126902</v>
      </c>
      <c r="AN8" s="9">
        <f>(-2*((1000*((((Inputs!$I$8+(((A8)+1)/2)*(Inputs!$J$8-Inputs!$I$8)))*Inputs!$C$11+((Inputs!$H$8+Inputs!$L$8*(((Inputs!$I$8+(((A8)+1)/2)*(Inputs!$J$8-Inputs!$I$8)))/Inputs!$K$8)^2))*((2*Inputs!$L$8*((Inputs!$I$8+(((A8)+1)/2)*(Inputs!$J$8-Inputs!$I$8)))/(Inputs!$K$8^2)*Inputs!$C$11)))/(SQRT(((Inputs!$I$8+(((A8)+1)/2)*(Inputs!$J$8-Inputs!$I$8)))^2+Inputs!$C$6^2+((Inputs!$H$8+Inputs!$L$8*(((Inputs!$I$8+(((A8)+1)/2)*(Inputs!$J$8-Inputs!$I$8)))/Inputs!$K$8)^2))^2)))))/Inputs!$C$13)</f>
        <v>3836.7983070402515</v>
      </c>
      <c r="AO8" s="9">
        <f>(-2*((1000*((((Inputs!$I$9+(((A8)+1)/2)*(Inputs!$J$9-Inputs!$I$9)))*Inputs!$C$11+((Inputs!$H$9+Inputs!$L$9*(((Inputs!$I$9+(((A8)+1)/2)*(Inputs!$J$9-Inputs!$I$9)))/Inputs!$K$9)^2))*((2*Inputs!$L$9*((Inputs!$I$9+(((A8)+1)/2)*(Inputs!$J$9-Inputs!$I$9)))/(Inputs!$K$9^2)*Inputs!$C$11)))/(SQRT(((Inputs!$I$9+(((A8)+1)/2)*(Inputs!$J$9-Inputs!$I$9)))^2+Inputs!$C$6^2+((Inputs!$H$9+Inputs!$L$9*(((Inputs!$I$9+(((A8)+1)/2)*(Inputs!$J$9-Inputs!$I$9)))/Inputs!$K$9)^2))^2)))))/Inputs!$C$13)</f>
        <v>3865.2896613548774</v>
      </c>
    </row>
    <row r="9" spans="1:41">
      <c r="A9" s="9">
        <f>ROUND(-1+7*2/240,3)</f>
        <v>-0.94199999999999995</v>
      </c>
      <c r="B9" s="9">
        <f>IF(OR(Inputs!$F$6=TRUE,Inputs!$F$6="TRUE",Inputs!$F$6=1),(Inputs!$H$6+Inputs!$L$6*(((Inputs!$I$6+(((A9)+1)/2)*(Inputs!$J$6-Inputs!$I$6)))/Inputs!$K$6)^2),NA())</f>
        <v>403.54945600000002</v>
      </c>
      <c r="C9" s="9">
        <f>IF(OR(Inputs!$F$7=TRUE,Inputs!$F$7="TRUE",Inputs!$F$7=1),(Inputs!$H$7+Inputs!$L$7*(((Inputs!$I$7+(((A9)+1)/2)*(Inputs!$J$7-Inputs!$I$7)))/Inputs!$K$7)^2),NA())</f>
        <v>358.88785999999988</v>
      </c>
      <c r="D9" s="9">
        <f>IF(OR(Inputs!$F$8=TRUE,Inputs!$F$8="TRUE",Inputs!$F$8=1),(Inputs!$H$8+Inputs!$L$8*(((Inputs!$I$8+(((A9)+1)/2)*(Inputs!$J$8-Inputs!$I$8)))/Inputs!$K$8)^2),NA())</f>
        <v>891.30625999999972</v>
      </c>
      <c r="E9" s="9">
        <f>IF(OR(Inputs!$F$9=TRUE,Inputs!$F$9="TRUE",Inputs!$F$9=1),(Inputs!$H$9+Inputs!$L$9*(((Inputs!$I$9+(((A9)+1)/2)*(Inputs!$J$9-Inputs!$I$9)))/Inputs!$K$9)^2),NA())</f>
        <v>890.17989999999975</v>
      </c>
      <c r="F9" s="10"/>
      <c r="G9" s="9">
        <f t="shared" si="0"/>
        <v>-0.94199999999999995</v>
      </c>
      <c r="H9" s="9">
        <f>IF(OR(Inputs!$F$6=TRUE,Inputs!$F$6="TRUE",Inputs!$F$6=1),(((SQRT(((Inputs!$I$6+(((A9)+1)/2)*(Inputs!$J$6-Inputs!$I$6)))^2+Inputs!$C$6^2+((Inputs!$H$6+Inputs!$L$6*(((Inputs!$I$6+(((A9)+1)/2)*(Inputs!$J$6-Inputs!$I$6)))/Inputs!$K$6)^2))^2))-((Inputs!$H$6+Inputs!$L$6*(((Inputs!$I$6+(((A9)+1)/2)*(Inputs!$J$6-Inputs!$I$6)))/Inputs!$K$6)^2)))*1000/Inputs!$C$12),NA())</f>
        <v>2643.2398455545776</v>
      </c>
      <c r="I9" s="9">
        <f>IF(OR(Inputs!$F$7=TRUE,Inputs!$F$7="TRUE",Inputs!$F$7=1),(((SQRT(((Inputs!$I$7+(((A9)+1)/2)*(Inputs!$J$7-Inputs!$I$7)))^2+Inputs!$C$6^2+((Inputs!$H$7+Inputs!$L$7*(((Inputs!$I$7+(((A9)+1)/2)*(Inputs!$J$7-Inputs!$I$7)))/Inputs!$K$7)^2))^2))-((Inputs!$H$7+Inputs!$L$7*(((Inputs!$I$7+(((A9)+1)/2)*(Inputs!$J$7-Inputs!$I$7)))/Inputs!$K$7)^2)))*1000/Inputs!$C$12),NA())</f>
        <v>91054.144286255498</v>
      </c>
      <c r="J9" s="9">
        <f>IF(OR(Inputs!$F$8=TRUE,Inputs!$F$8="TRUE",Inputs!$F$8=1),(((SQRT(((Inputs!$I$8+(((A9)+1)/2)*(Inputs!$J$8-Inputs!$I$8)))^2+Inputs!$C$6^2+((Inputs!$H$8+Inputs!$L$8*(((Inputs!$I$8+(((A9)+1)/2)*(Inputs!$J$8-Inputs!$I$8)))/Inputs!$K$8)^2))^2))-((Inputs!$H$8+Inputs!$L$8*(((Inputs!$I$8+(((A9)+1)/2)*(Inputs!$J$8-Inputs!$I$8)))/Inputs!$K$8)^2)))*1000/Inputs!$C$12),NA())</f>
        <v>155143.02155319718</v>
      </c>
      <c r="K9" s="9">
        <f>IF(OR(Inputs!$F$9=TRUE,Inputs!$F$9="TRUE",Inputs!$F$9=1),(((SQRT(((Inputs!$I$9+(((A9)+1)/2)*(Inputs!$J$9-Inputs!$I$9)))^2+Inputs!$C$6^2+((Inputs!$H$9+Inputs!$L$9*(((Inputs!$I$9+(((A9)+1)/2)*(Inputs!$J$9-Inputs!$I$9)))/Inputs!$K$9)^2))^2))-((Inputs!$H$9+Inputs!$L$9*(((Inputs!$I$9+(((A9)+1)/2)*(Inputs!$J$9-Inputs!$I$9)))/Inputs!$K$9)^2)))*1000/Inputs!$C$12),NA())</f>
        <v>155292.83013990428</v>
      </c>
      <c r="L9" s="10"/>
      <c r="M9" s="9">
        <f t="shared" si="1"/>
        <v>-0.94199999999999995</v>
      </c>
      <c r="N9" s="9">
        <f>IF(OR(Inputs!$F$6=TRUE,Inputs!$F$6="TRUE",Inputs!$F$6=1),(-2*((1000*((((Inputs!$I$6+(((A9)+1)/2)*(Inputs!$J$6-Inputs!$I$6)))*Inputs!$C$11+((Inputs!$H$6+Inputs!$L$6*(((Inputs!$I$6+(((A9)+1)/2)*(Inputs!$J$6-Inputs!$I$6)))/Inputs!$K$6)^2))*((2*Inputs!$L$6*((Inputs!$I$6+(((A9)+1)/2)*(Inputs!$J$6-Inputs!$I$6)))/(Inputs!$K$6^2)*Inputs!$C$11)))/(SQRT(((Inputs!$I$6+(((A9)+1)/2)*(Inputs!$J$6-Inputs!$I$6)))^2+Inputs!$C$6^2+((Inputs!$H$6+Inputs!$L$6*(((Inputs!$I$6+(((A9)+1)/2)*(Inputs!$J$6-Inputs!$I$6)))/Inputs!$K$6)^2))^2)))))/Inputs!$C$13),NA())</f>
        <v>420.15294641213188</v>
      </c>
      <c r="O9" s="9">
        <f>IF(OR(Inputs!$F$7=TRUE,Inputs!$F$7="TRUE",Inputs!$F$7=1),(-2*((1000*((((Inputs!$I$7+(((A9)+1)/2)*(Inputs!$J$7-Inputs!$I$7)))*Inputs!$C$11+((Inputs!$H$7+Inputs!$L$7*(((Inputs!$I$7+(((A9)+1)/2)*(Inputs!$J$7-Inputs!$I$7)))/Inputs!$K$7)^2))*((2*Inputs!$L$7*((Inputs!$I$7+(((A9)+1)/2)*(Inputs!$J$7-Inputs!$I$7)))/(Inputs!$K$7^2)*Inputs!$C$11)))/(SQRT(((Inputs!$I$7+(((A9)+1)/2)*(Inputs!$J$7-Inputs!$I$7)))^2+Inputs!$C$6^2+((Inputs!$H$7+Inputs!$L$7*(((Inputs!$I$7+(((A9)+1)/2)*(Inputs!$J$7-Inputs!$I$7)))/Inputs!$K$7)^2))^2)))))/Inputs!$C$13),NA())</f>
        <v>3052.1313956349022</v>
      </c>
      <c r="P9" s="9">
        <f>IF(OR(Inputs!$F$8=TRUE,Inputs!$F$8="TRUE",Inputs!$F$8=1),(-2*((1000*((((Inputs!$I$8+(((A9)+1)/2)*(Inputs!$J$8-Inputs!$I$8)))*Inputs!$C$11+((Inputs!$H$8+Inputs!$L$8*(((Inputs!$I$8+(((A9)+1)/2)*(Inputs!$J$8-Inputs!$I$8)))/Inputs!$K$8)^2))*((2*Inputs!$L$8*((Inputs!$I$8+(((A9)+1)/2)*(Inputs!$J$8-Inputs!$I$8)))/(Inputs!$K$8^2)*Inputs!$C$11)))/(SQRT(((Inputs!$I$8+(((A9)+1)/2)*(Inputs!$J$8-Inputs!$I$8)))^2+Inputs!$C$6^2+((Inputs!$H$8+Inputs!$L$8*(((Inputs!$I$8+(((A9)+1)/2)*(Inputs!$J$8-Inputs!$I$8)))/Inputs!$K$8)^2))^2)))))/Inputs!$C$13),NA())</f>
        <v>3808.8271331994392</v>
      </c>
      <c r="Q9" s="9">
        <f>IF(OR(Inputs!$F$9=TRUE,Inputs!$F$9="TRUE",Inputs!$F$9=1),(-2*((1000*((((Inputs!$I$9+(((A9)+1)/2)*(Inputs!$J$9-Inputs!$I$9)))*Inputs!$C$11+((Inputs!$H$9+Inputs!$L$9*(((Inputs!$I$9+(((A9)+1)/2)*(Inputs!$J$9-Inputs!$I$9)))/Inputs!$K$9)^2))*((2*Inputs!$L$9*((Inputs!$I$9+(((A9)+1)/2)*(Inputs!$J$9-Inputs!$I$9)))/(Inputs!$K$9^2)*Inputs!$C$11)))/(SQRT(((Inputs!$I$9+(((A9)+1)/2)*(Inputs!$J$9-Inputs!$I$9)))^2+Inputs!$C$6^2+((Inputs!$H$9+Inputs!$L$9*(((Inputs!$I$9+(((A9)+1)/2)*(Inputs!$J$9-Inputs!$I$9)))/Inputs!$K$9)^2))^2)))))/Inputs!$C$13),NA())</f>
        <v>3836.8751513823991</v>
      </c>
      <c r="R9" s="10"/>
      <c r="S9" s="9">
        <f t="shared" si="2"/>
        <v>-0.94199999999999995</v>
      </c>
      <c r="T9" s="9">
        <f>(Inputs!$I$6+(((A9)+1)/2)*(Inputs!$J$6-Inputs!$I$6))</f>
        <v>-56.519999999999996</v>
      </c>
      <c r="U9" s="9">
        <f>(Inputs!$I$7+(((A9)+1)/2)*(Inputs!$J$7-Inputs!$I$7))</f>
        <v>-376.79999999999995</v>
      </c>
      <c r="V9" s="9">
        <f>(Inputs!$I$8+(((A9)+1)/2)*(Inputs!$J$8-Inputs!$I$8))</f>
        <v>-753.59999999999991</v>
      </c>
      <c r="W9" s="9">
        <f>(Inputs!$I$9+(((A9)+1)/2)*(Inputs!$J$9-Inputs!$I$9))</f>
        <v>-753.59999999999991</v>
      </c>
      <c r="X9" s="10"/>
      <c r="Y9" s="9">
        <f t="shared" si="3"/>
        <v>-0.94199999999999995</v>
      </c>
      <c r="Z9" s="9">
        <f>(Inputs!$H$6+Inputs!$L$6*(((Inputs!$I$6+(((A9)+1)/2)*(Inputs!$J$6-Inputs!$I$6)))/Inputs!$K$6)^2)</f>
        <v>403.54945600000002</v>
      </c>
      <c r="AA9" s="9">
        <f>(Inputs!$H$7+Inputs!$L$7*(((Inputs!$I$7+(((A9)+1)/2)*(Inputs!$J$7-Inputs!$I$7)))/Inputs!$K$7)^2)</f>
        <v>358.88785999999988</v>
      </c>
      <c r="AB9" s="9">
        <f>(Inputs!$H$8+Inputs!$L$8*(((Inputs!$I$8+(((A9)+1)/2)*(Inputs!$J$8-Inputs!$I$8)))/Inputs!$K$8)^2)</f>
        <v>891.30625999999972</v>
      </c>
      <c r="AC9" s="9">
        <f>(Inputs!$H$9+Inputs!$L$9*(((Inputs!$I$9+(((A9)+1)/2)*(Inputs!$J$9-Inputs!$I$9)))/Inputs!$K$9)^2)</f>
        <v>890.17989999999975</v>
      </c>
      <c r="AD9" s="10"/>
      <c r="AE9" s="9">
        <f t="shared" si="4"/>
        <v>-0.94199999999999995</v>
      </c>
      <c r="AF9" s="9">
        <f>(((SQRT(((Inputs!$I$6+(((A9)+1)/2)*(Inputs!$J$6-Inputs!$I$6)))^2+Inputs!$C$6^2+((Inputs!$H$6+Inputs!$L$6*(((Inputs!$I$6+(((A9)+1)/2)*(Inputs!$J$6-Inputs!$I$6)))/Inputs!$K$6)^2))^2))-((Inputs!$H$6+Inputs!$L$6*(((Inputs!$I$6+(((A9)+1)/2)*(Inputs!$J$6-Inputs!$I$6)))/Inputs!$K$6)^2)))*1000/Inputs!$C$12)</f>
        <v>2643.2398455545776</v>
      </c>
      <c r="AG9" s="9">
        <f>(((SQRT(((Inputs!$I$7+(((A9)+1)/2)*(Inputs!$J$7-Inputs!$I$7)))^2+Inputs!$C$6^2+((Inputs!$H$7+Inputs!$L$7*(((Inputs!$I$7+(((A9)+1)/2)*(Inputs!$J$7-Inputs!$I$7)))/Inputs!$K$7)^2))^2))-((Inputs!$H$7+Inputs!$L$7*(((Inputs!$I$7+(((A9)+1)/2)*(Inputs!$J$7-Inputs!$I$7)))/Inputs!$K$7)^2)))*1000/Inputs!$C$12)</f>
        <v>91054.144286255498</v>
      </c>
      <c r="AH9" s="9">
        <f>(((SQRT(((Inputs!$I$8+(((A9)+1)/2)*(Inputs!$J$8-Inputs!$I$8)))^2+Inputs!$C$6^2+((Inputs!$H$8+Inputs!$L$8*(((Inputs!$I$8+(((A9)+1)/2)*(Inputs!$J$8-Inputs!$I$8)))/Inputs!$K$8)^2))^2))-((Inputs!$H$8+Inputs!$L$8*(((Inputs!$I$8+(((A9)+1)/2)*(Inputs!$J$8-Inputs!$I$8)))/Inputs!$K$8)^2)))*1000/Inputs!$C$12)</f>
        <v>155143.02155319718</v>
      </c>
      <c r="AI9" s="9">
        <f>(((SQRT(((Inputs!$I$9+(((A9)+1)/2)*(Inputs!$J$9-Inputs!$I$9)))^2+Inputs!$C$6^2+((Inputs!$H$9+Inputs!$L$9*(((Inputs!$I$9+(((A9)+1)/2)*(Inputs!$J$9-Inputs!$I$9)))/Inputs!$K$9)^2))^2))-((Inputs!$H$9+Inputs!$L$9*(((Inputs!$I$9+(((A9)+1)/2)*(Inputs!$J$9-Inputs!$I$9)))/Inputs!$K$9)^2)))*1000/Inputs!$C$12)</f>
        <v>155292.83013990428</v>
      </c>
      <c r="AJ9" s="10"/>
      <c r="AK9" s="9">
        <f t="shared" si="5"/>
        <v>-0.94199999999999995</v>
      </c>
      <c r="AL9" s="9">
        <f>(-2*((1000*((((Inputs!$I$6+(((A9)+1)/2)*(Inputs!$J$6-Inputs!$I$6)))*Inputs!$C$11+((Inputs!$H$6+Inputs!$L$6*(((Inputs!$I$6+(((A9)+1)/2)*(Inputs!$J$6-Inputs!$I$6)))/Inputs!$K$6)^2))*((2*Inputs!$L$6*((Inputs!$I$6+(((A9)+1)/2)*(Inputs!$J$6-Inputs!$I$6)))/(Inputs!$K$6^2)*Inputs!$C$11)))/(SQRT(((Inputs!$I$6+(((A9)+1)/2)*(Inputs!$J$6-Inputs!$I$6)))^2+Inputs!$C$6^2+((Inputs!$H$6+Inputs!$L$6*(((Inputs!$I$6+(((A9)+1)/2)*(Inputs!$J$6-Inputs!$I$6)))/Inputs!$K$6)^2))^2)))))/Inputs!$C$13)</f>
        <v>420.15294641213188</v>
      </c>
      <c r="AM9" s="9">
        <f>(-2*((1000*((((Inputs!$I$7+(((A9)+1)/2)*(Inputs!$J$7-Inputs!$I$7)))*Inputs!$C$11+((Inputs!$H$7+Inputs!$L$7*(((Inputs!$I$7+(((A9)+1)/2)*(Inputs!$J$7-Inputs!$I$7)))/Inputs!$K$7)^2))*((2*Inputs!$L$7*((Inputs!$I$7+(((A9)+1)/2)*(Inputs!$J$7-Inputs!$I$7)))/(Inputs!$K$7^2)*Inputs!$C$11)))/(SQRT(((Inputs!$I$7+(((A9)+1)/2)*(Inputs!$J$7-Inputs!$I$7)))^2+Inputs!$C$6^2+((Inputs!$H$7+Inputs!$L$7*(((Inputs!$I$7+(((A9)+1)/2)*(Inputs!$J$7-Inputs!$I$7)))/Inputs!$K$7)^2))^2)))))/Inputs!$C$13)</f>
        <v>3052.1313956349022</v>
      </c>
      <c r="AN9" s="9">
        <f>(-2*((1000*((((Inputs!$I$8+(((A9)+1)/2)*(Inputs!$J$8-Inputs!$I$8)))*Inputs!$C$11+((Inputs!$H$8+Inputs!$L$8*(((Inputs!$I$8+(((A9)+1)/2)*(Inputs!$J$8-Inputs!$I$8)))/Inputs!$K$8)^2))*((2*Inputs!$L$8*((Inputs!$I$8+(((A9)+1)/2)*(Inputs!$J$8-Inputs!$I$8)))/(Inputs!$K$8^2)*Inputs!$C$11)))/(SQRT(((Inputs!$I$8+(((A9)+1)/2)*(Inputs!$J$8-Inputs!$I$8)))^2+Inputs!$C$6^2+((Inputs!$H$8+Inputs!$L$8*(((Inputs!$I$8+(((A9)+1)/2)*(Inputs!$J$8-Inputs!$I$8)))/Inputs!$K$8)^2))^2)))))/Inputs!$C$13)</f>
        <v>3808.8271331994392</v>
      </c>
      <c r="AO9" s="9">
        <f>(-2*((1000*((((Inputs!$I$9+(((A9)+1)/2)*(Inputs!$J$9-Inputs!$I$9)))*Inputs!$C$11+((Inputs!$H$9+Inputs!$L$9*(((Inputs!$I$9+(((A9)+1)/2)*(Inputs!$J$9-Inputs!$I$9)))/Inputs!$K$9)^2))*((2*Inputs!$L$9*((Inputs!$I$9+(((A9)+1)/2)*(Inputs!$J$9-Inputs!$I$9)))/(Inputs!$K$9^2)*Inputs!$C$11)))/(SQRT(((Inputs!$I$9+(((A9)+1)/2)*(Inputs!$J$9-Inputs!$I$9)))^2+Inputs!$C$6^2+((Inputs!$H$9+Inputs!$L$9*(((Inputs!$I$9+(((A9)+1)/2)*(Inputs!$J$9-Inputs!$I$9)))/Inputs!$K$9)^2))^2)))))/Inputs!$C$13)</f>
        <v>3836.8751513823991</v>
      </c>
    </row>
    <row r="10" spans="1:41">
      <c r="A10" s="9">
        <f>ROUND(-1+8*2/240,3)</f>
        <v>-0.93300000000000005</v>
      </c>
      <c r="B10" s="9">
        <f>IF(OR(Inputs!$F$6=TRUE,Inputs!$F$6="TRUE",Inputs!$F$6=1),(Inputs!$H$6+Inputs!$L$6*(((Inputs!$I$6+(((A10)+1)/2)*(Inputs!$J$6-Inputs!$I$6)))/Inputs!$K$6)^2),NA())</f>
        <v>403.48195600000003</v>
      </c>
      <c r="C10" s="9">
        <f>IF(OR(Inputs!$F$7=TRUE,Inputs!$F$7="TRUE",Inputs!$F$7=1),(Inputs!$H$7+Inputs!$L$7*(((Inputs!$I$7+(((A10)+1)/2)*(Inputs!$J$7-Inputs!$I$7)))/Inputs!$K$7)^2),NA())</f>
        <v>352.72848500000009</v>
      </c>
      <c r="D10" s="9">
        <f>IF(OR(Inputs!$F$8=TRUE,Inputs!$F$8="TRUE",Inputs!$F$8=1),(Inputs!$H$8+Inputs!$L$8*(((Inputs!$I$8+(((A10)+1)/2)*(Inputs!$J$8-Inputs!$I$8)))/Inputs!$K$8)^2),NA())</f>
        <v>875.02188500000022</v>
      </c>
      <c r="E10" s="9">
        <f>IF(OR(Inputs!$F$9=TRUE,Inputs!$F$9="TRUE",Inputs!$F$9=1),(Inputs!$H$9+Inputs!$L$9*(((Inputs!$I$9+(((A10)+1)/2)*(Inputs!$J$9-Inputs!$I$9)))/Inputs!$K$9)^2),NA())</f>
        <v>873.72677500000032</v>
      </c>
      <c r="F10" s="10"/>
      <c r="G10" s="9">
        <f t="shared" si="0"/>
        <v>-0.93300000000000005</v>
      </c>
      <c r="H10" s="9">
        <f>IF(OR(Inputs!$F$6=TRUE,Inputs!$F$6="TRUE",Inputs!$F$6=1),(((SQRT(((Inputs!$I$6+(((A10)+1)/2)*(Inputs!$J$6-Inputs!$I$6)))^2+Inputs!$C$6^2+((Inputs!$H$6+Inputs!$L$6*(((Inputs!$I$6+(((A10)+1)/2)*(Inputs!$J$6-Inputs!$I$6)))/Inputs!$K$6)^2))^2))-((Inputs!$H$6+Inputs!$L$6*(((Inputs!$I$6+(((A10)+1)/2)*(Inputs!$J$6-Inputs!$I$6)))/Inputs!$K$6)^2)))*1000/Inputs!$C$12),NA())</f>
        <v>2601.8673504997391</v>
      </c>
      <c r="I10" s="9">
        <f>IF(OR(Inputs!$F$7=TRUE,Inputs!$F$7="TRUE",Inputs!$F$7=1),(((SQRT(((Inputs!$I$7+(((A10)+1)/2)*(Inputs!$J$7-Inputs!$I$7)))^2+Inputs!$C$6^2+((Inputs!$H$7+Inputs!$L$7*(((Inputs!$I$7+(((A10)+1)/2)*(Inputs!$J$7-Inputs!$I$7)))/Inputs!$K$7)^2))^2))-((Inputs!$H$7+Inputs!$L$7*(((Inputs!$I$7+(((A10)+1)/2)*(Inputs!$J$7-Inputs!$I$7)))/Inputs!$K$7)^2)))*1000/Inputs!$C$12),NA())</f>
        <v>90670.073261717189</v>
      </c>
      <c r="J10" s="9">
        <f>IF(OR(Inputs!$F$8=TRUE,Inputs!$F$8="TRUE",Inputs!$F$8=1),(((SQRT(((Inputs!$I$8+(((A10)+1)/2)*(Inputs!$J$8-Inputs!$I$8)))^2+Inputs!$C$6^2+((Inputs!$H$8+Inputs!$L$8*(((Inputs!$I$8+(((A10)+1)/2)*(Inputs!$J$8-Inputs!$I$8)))/Inputs!$K$8)^2))^2))-((Inputs!$H$8+Inputs!$L$8*(((Inputs!$I$8+(((A10)+1)/2)*(Inputs!$J$8-Inputs!$I$8)))/Inputs!$K$8)^2)))*1000/Inputs!$C$12),NA())</f>
        <v>154702.19106824315</v>
      </c>
      <c r="K10" s="9">
        <f>IF(OR(Inputs!$F$9=TRUE,Inputs!$F$9="TRUE",Inputs!$F$9=1),(((SQRT(((Inputs!$I$9+(((A10)+1)/2)*(Inputs!$J$9-Inputs!$I$9)))^2+Inputs!$C$6^2+((Inputs!$H$9+Inputs!$L$9*(((Inputs!$I$9+(((A10)+1)/2)*(Inputs!$J$9-Inputs!$I$9)))/Inputs!$K$9)^2))^2))-((Inputs!$H$9+Inputs!$L$9*(((Inputs!$I$9+(((A10)+1)/2)*(Inputs!$J$9-Inputs!$I$9)))/Inputs!$K$9)^2)))*1000/Inputs!$C$12),NA())</f>
        <v>154876.52740486668</v>
      </c>
      <c r="L10" s="10"/>
      <c r="M10" s="9">
        <f t="shared" si="1"/>
        <v>-0.93300000000000005</v>
      </c>
      <c r="N10" s="9">
        <f>IF(OR(Inputs!$F$6=TRUE,Inputs!$F$6="TRUE",Inputs!$F$6=1),(-2*((1000*((((Inputs!$I$6+(((A10)+1)/2)*(Inputs!$J$6-Inputs!$I$6)))*Inputs!$C$11+((Inputs!$H$6+Inputs!$L$6*(((Inputs!$I$6+(((A10)+1)/2)*(Inputs!$J$6-Inputs!$I$6)))/Inputs!$K$6)^2))*((2*Inputs!$L$6*((Inputs!$I$6+(((A10)+1)/2)*(Inputs!$J$6-Inputs!$I$6)))/(Inputs!$K$6^2)*Inputs!$C$11)))/(SQRT(((Inputs!$I$6+(((A10)+1)/2)*(Inputs!$J$6-Inputs!$I$6)))^2+Inputs!$C$6^2+((Inputs!$H$6+Inputs!$L$6*(((Inputs!$I$6+(((A10)+1)/2)*(Inputs!$J$6-Inputs!$I$6)))/Inputs!$K$6)^2))^2)))))/Inputs!$C$13),NA())</f>
        <v>416.24974460662236</v>
      </c>
      <c r="O10" s="9">
        <f>IF(OR(Inputs!$F$7=TRUE,Inputs!$F$7="TRUE",Inputs!$F$7=1),(-2*((1000*((((Inputs!$I$7+(((A10)+1)/2)*(Inputs!$J$7-Inputs!$I$7)))*Inputs!$C$11+((Inputs!$H$7+Inputs!$L$7*(((Inputs!$I$7+(((A10)+1)/2)*(Inputs!$J$7-Inputs!$I$7)))/Inputs!$K$7)^2))*((2*Inputs!$L$7*((Inputs!$I$7+(((A10)+1)/2)*(Inputs!$J$7-Inputs!$I$7)))/(Inputs!$K$7^2)*Inputs!$C$11)))/(SQRT(((Inputs!$I$7+(((A10)+1)/2)*(Inputs!$J$7-Inputs!$I$7)))^2+Inputs!$C$6^2+((Inputs!$H$7+Inputs!$L$7*(((Inputs!$I$7+(((A10)+1)/2)*(Inputs!$J$7-Inputs!$I$7)))/Inputs!$K$7)^2))^2)))))/Inputs!$C$13),NA())</f>
        <v>3030.5681397812464</v>
      </c>
      <c r="P10" s="9">
        <f>IF(OR(Inputs!$F$8=TRUE,Inputs!$F$8="TRUE",Inputs!$F$8=1),(-2*((1000*((((Inputs!$I$8+(((A10)+1)/2)*(Inputs!$J$8-Inputs!$I$8)))*Inputs!$C$11+((Inputs!$H$8+Inputs!$L$8*(((Inputs!$I$8+(((A10)+1)/2)*(Inputs!$J$8-Inputs!$I$8)))/Inputs!$K$8)^2))*((2*Inputs!$L$8*((Inputs!$I$8+(((A10)+1)/2)*(Inputs!$J$8-Inputs!$I$8)))/(Inputs!$K$8^2)*Inputs!$C$11)))/(SQRT(((Inputs!$I$8+(((A10)+1)/2)*(Inputs!$J$8-Inputs!$I$8)))^2+Inputs!$C$6^2+((Inputs!$H$8+Inputs!$L$8*(((Inputs!$I$8+(((A10)+1)/2)*(Inputs!$J$8-Inputs!$I$8)))/Inputs!$K$8)^2))^2)))))/Inputs!$C$13),NA())</f>
        <v>3777.4316302319507</v>
      </c>
      <c r="Q10" s="9">
        <f>IF(OR(Inputs!$F$9=TRUE,Inputs!$F$9="TRUE",Inputs!$F$9=1),(-2*((1000*((((Inputs!$I$9+(((A10)+1)/2)*(Inputs!$J$9-Inputs!$I$9)))*Inputs!$C$11+((Inputs!$H$9+Inputs!$L$9*(((Inputs!$I$9+(((A10)+1)/2)*(Inputs!$J$9-Inputs!$I$9)))/Inputs!$K$9)^2))*((2*Inputs!$L$9*((Inputs!$I$9+(((A10)+1)/2)*(Inputs!$J$9-Inputs!$I$9)))/(Inputs!$K$9^2)*Inputs!$C$11)))/(SQRT(((Inputs!$I$9+(((A10)+1)/2)*(Inputs!$J$9-Inputs!$I$9)))^2+Inputs!$C$6^2+((Inputs!$H$9+Inputs!$L$9*(((Inputs!$I$9+(((A10)+1)/2)*(Inputs!$J$9-Inputs!$I$9)))/Inputs!$K$9)^2))^2)))))/Inputs!$C$13),NA())</f>
        <v>3804.9791238934072</v>
      </c>
      <c r="R10" s="10"/>
      <c r="S10" s="9">
        <f t="shared" si="2"/>
        <v>-0.93300000000000005</v>
      </c>
      <c r="T10" s="9">
        <f>(Inputs!$I$6+(((A10)+1)/2)*(Inputs!$J$6-Inputs!$I$6))</f>
        <v>-55.980000000000004</v>
      </c>
      <c r="U10" s="9">
        <f>(Inputs!$I$7+(((A10)+1)/2)*(Inputs!$J$7-Inputs!$I$7))</f>
        <v>-373.20000000000005</v>
      </c>
      <c r="V10" s="9">
        <f>(Inputs!$I$8+(((A10)+1)/2)*(Inputs!$J$8-Inputs!$I$8))</f>
        <v>-746.40000000000009</v>
      </c>
      <c r="W10" s="9">
        <f>(Inputs!$I$9+(((A10)+1)/2)*(Inputs!$J$9-Inputs!$I$9))</f>
        <v>-746.40000000000009</v>
      </c>
      <c r="X10" s="10"/>
      <c r="Y10" s="9">
        <f t="shared" si="3"/>
        <v>-0.93300000000000005</v>
      </c>
      <c r="Z10" s="9">
        <f>(Inputs!$H$6+Inputs!$L$6*(((Inputs!$I$6+(((A10)+1)/2)*(Inputs!$J$6-Inputs!$I$6)))/Inputs!$K$6)^2)</f>
        <v>403.48195600000003</v>
      </c>
      <c r="AA10" s="9">
        <f>(Inputs!$H$7+Inputs!$L$7*(((Inputs!$I$7+(((A10)+1)/2)*(Inputs!$J$7-Inputs!$I$7)))/Inputs!$K$7)^2)</f>
        <v>352.72848500000009</v>
      </c>
      <c r="AB10" s="9">
        <f>(Inputs!$H$8+Inputs!$L$8*(((Inputs!$I$8+(((A10)+1)/2)*(Inputs!$J$8-Inputs!$I$8)))/Inputs!$K$8)^2)</f>
        <v>875.02188500000022</v>
      </c>
      <c r="AC10" s="9">
        <f>(Inputs!$H$9+Inputs!$L$9*(((Inputs!$I$9+(((A10)+1)/2)*(Inputs!$J$9-Inputs!$I$9)))/Inputs!$K$9)^2)</f>
        <v>873.72677500000032</v>
      </c>
      <c r="AD10" s="10"/>
      <c r="AE10" s="9">
        <f t="shared" si="4"/>
        <v>-0.93300000000000005</v>
      </c>
      <c r="AF10" s="9">
        <f>(((SQRT(((Inputs!$I$6+(((A10)+1)/2)*(Inputs!$J$6-Inputs!$I$6)))^2+Inputs!$C$6^2+((Inputs!$H$6+Inputs!$L$6*(((Inputs!$I$6+(((A10)+1)/2)*(Inputs!$J$6-Inputs!$I$6)))/Inputs!$K$6)^2))^2))-((Inputs!$H$6+Inputs!$L$6*(((Inputs!$I$6+(((A10)+1)/2)*(Inputs!$J$6-Inputs!$I$6)))/Inputs!$K$6)^2)))*1000/Inputs!$C$12)</f>
        <v>2601.8673504997391</v>
      </c>
      <c r="AG10" s="9">
        <f>(((SQRT(((Inputs!$I$7+(((A10)+1)/2)*(Inputs!$J$7-Inputs!$I$7)))^2+Inputs!$C$6^2+((Inputs!$H$7+Inputs!$L$7*(((Inputs!$I$7+(((A10)+1)/2)*(Inputs!$J$7-Inputs!$I$7)))/Inputs!$K$7)^2))^2))-((Inputs!$H$7+Inputs!$L$7*(((Inputs!$I$7+(((A10)+1)/2)*(Inputs!$J$7-Inputs!$I$7)))/Inputs!$K$7)^2)))*1000/Inputs!$C$12)</f>
        <v>90670.073261717189</v>
      </c>
      <c r="AH10" s="9">
        <f>(((SQRT(((Inputs!$I$8+(((A10)+1)/2)*(Inputs!$J$8-Inputs!$I$8)))^2+Inputs!$C$6^2+((Inputs!$H$8+Inputs!$L$8*(((Inputs!$I$8+(((A10)+1)/2)*(Inputs!$J$8-Inputs!$I$8)))/Inputs!$K$8)^2))^2))-((Inputs!$H$8+Inputs!$L$8*(((Inputs!$I$8+(((A10)+1)/2)*(Inputs!$J$8-Inputs!$I$8)))/Inputs!$K$8)^2)))*1000/Inputs!$C$12)</f>
        <v>154702.19106824315</v>
      </c>
      <c r="AI10" s="9">
        <f>(((SQRT(((Inputs!$I$9+(((A10)+1)/2)*(Inputs!$J$9-Inputs!$I$9)))^2+Inputs!$C$6^2+((Inputs!$H$9+Inputs!$L$9*(((Inputs!$I$9+(((A10)+1)/2)*(Inputs!$J$9-Inputs!$I$9)))/Inputs!$K$9)^2))^2))-((Inputs!$H$9+Inputs!$L$9*(((Inputs!$I$9+(((A10)+1)/2)*(Inputs!$J$9-Inputs!$I$9)))/Inputs!$K$9)^2)))*1000/Inputs!$C$12)</f>
        <v>154876.52740486668</v>
      </c>
      <c r="AJ10" s="10"/>
      <c r="AK10" s="9">
        <f t="shared" si="5"/>
        <v>-0.93300000000000005</v>
      </c>
      <c r="AL10" s="9">
        <f>(-2*((1000*((((Inputs!$I$6+(((A10)+1)/2)*(Inputs!$J$6-Inputs!$I$6)))*Inputs!$C$11+((Inputs!$H$6+Inputs!$L$6*(((Inputs!$I$6+(((A10)+1)/2)*(Inputs!$J$6-Inputs!$I$6)))/Inputs!$K$6)^2))*((2*Inputs!$L$6*((Inputs!$I$6+(((A10)+1)/2)*(Inputs!$J$6-Inputs!$I$6)))/(Inputs!$K$6^2)*Inputs!$C$11)))/(SQRT(((Inputs!$I$6+(((A10)+1)/2)*(Inputs!$J$6-Inputs!$I$6)))^2+Inputs!$C$6^2+((Inputs!$H$6+Inputs!$L$6*(((Inputs!$I$6+(((A10)+1)/2)*(Inputs!$J$6-Inputs!$I$6)))/Inputs!$K$6)^2))^2)))))/Inputs!$C$13)</f>
        <v>416.24974460662236</v>
      </c>
      <c r="AM10" s="9">
        <f>(-2*((1000*((((Inputs!$I$7+(((A10)+1)/2)*(Inputs!$J$7-Inputs!$I$7)))*Inputs!$C$11+((Inputs!$H$7+Inputs!$L$7*(((Inputs!$I$7+(((A10)+1)/2)*(Inputs!$J$7-Inputs!$I$7)))/Inputs!$K$7)^2))*((2*Inputs!$L$7*((Inputs!$I$7+(((A10)+1)/2)*(Inputs!$J$7-Inputs!$I$7)))/(Inputs!$K$7^2)*Inputs!$C$11)))/(SQRT(((Inputs!$I$7+(((A10)+1)/2)*(Inputs!$J$7-Inputs!$I$7)))^2+Inputs!$C$6^2+((Inputs!$H$7+Inputs!$L$7*(((Inputs!$I$7+(((A10)+1)/2)*(Inputs!$J$7-Inputs!$I$7)))/Inputs!$K$7)^2))^2)))))/Inputs!$C$13)</f>
        <v>3030.5681397812464</v>
      </c>
      <c r="AN10" s="9">
        <f>(-2*((1000*((((Inputs!$I$8+(((A10)+1)/2)*(Inputs!$J$8-Inputs!$I$8)))*Inputs!$C$11+((Inputs!$H$8+Inputs!$L$8*(((Inputs!$I$8+(((A10)+1)/2)*(Inputs!$J$8-Inputs!$I$8)))/Inputs!$K$8)^2))*((2*Inputs!$L$8*((Inputs!$I$8+(((A10)+1)/2)*(Inputs!$J$8-Inputs!$I$8)))/(Inputs!$K$8^2)*Inputs!$C$11)))/(SQRT(((Inputs!$I$8+(((A10)+1)/2)*(Inputs!$J$8-Inputs!$I$8)))^2+Inputs!$C$6^2+((Inputs!$H$8+Inputs!$L$8*(((Inputs!$I$8+(((A10)+1)/2)*(Inputs!$J$8-Inputs!$I$8)))/Inputs!$K$8)^2))^2)))))/Inputs!$C$13)</f>
        <v>3777.4316302319507</v>
      </c>
      <c r="AO10" s="9">
        <f>(-2*((1000*((((Inputs!$I$9+(((A10)+1)/2)*(Inputs!$J$9-Inputs!$I$9)))*Inputs!$C$11+((Inputs!$H$9+Inputs!$L$9*(((Inputs!$I$9+(((A10)+1)/2)*(Inputs!$J$9-Inputs!$I$9)))/Inputs!$K$9)^2))*((2*Inputs!$L$9*((Inputs!$I$9+(((A10)+1)/2)*(Inputs!$J$9-Inputs!$I$9)))/(Inputs!$K$9^2)*Inputs!$C$11)))/(SQRT(((Inputs!$I$9+(((A10)+1)/2)*(Inputs!$J$9-Inputs!$I$9)))^2+Inputs!$C$6^2+((Inputs!$H$9+Inputs!$L$9*(((Inputs!$I$9+(((A10)+1)/2)*(Inputs!$J$9-Inputs!$I$9)))/Inputs!$K$9)^2))^2)))))/Inputs!$C$13)</f>
        <v>3804.9791238934072</v>
      </c>
    </row>
    <row r="11" spans="1:41">
      <c r="A11" s="9">
        <f>ROUND(-1+9*2/240,3)</f>
        <v>-0.92500000000000004</v>
      </c>
      <c r="B11" s="9">
        <f>IF(OR(Inputs!$F$6=TRUE,Inputs!$F$6="TRUE",Inputs!$F$6=1),(Inputs!$H$6+Inputs!$L$6*(((Inputs!$I$6+(((A11)+1)/2)*(Inputs!$J$6-Inputs!$I$6)))/Inputs!$K$6)^2),NA())</f>
        <v>403.42250000000001</v>
      </c>
      <c r="C11" s="9">
        <f>IF(OR(Inputs!$F$7=TRUE,Inputs!$F$7="TRUE",Inputs!$F$7=1),(Inputs!$H$7+Inputs!$L$7*(((Inputs!$I$7+(((A11)+1)/2)*(Inputs!$J$7-Inputs!$I$7)))/Inputs!$K$7)^2),NA())</f>
        <v>347.30312500000002</v>
      </c>
      <c r="D11" s="9">
        <f>IF(OR(Inputs!$F$8=TRUE,Inputs!$F$8="TRUE",Inputs!$F$8=1),(Inputs!$H$8+Inputs!$L$8*(((Inputs!$I$8+(((A11)+1)/2)*(Inputs!$J$8-Inputs!$I$8)))/Inputs!$K$8)^2),NA())</f>
        <v>860.67812500000002</v>
      </c>
      <c r="E11" s="9">
        <f>IF(OR(Inputs!$F$9=TRUE,Inputs!$F$9="TRUE",Inputs!$F$9=1),(Inputs!$H$9+Inputs!$L$9*(((Inputs!$I$9+(((A11)+1)/2)*(Inputs!$J$9-Inputs!$I$9)))/Inputs!$K$9)^2),NA())</f>
        <v>859.23437500000011</v>
      </c>
      <c r="F11" s="10"/>
      <c r="G11" s="9">
        <f t="shared" si="0"/>
        <v>-0.92500000000000004</v>
      </c>
      <c r="H11" s="9">
        <f>IF(OR(Inputs!$F$6=TRUE,Inputs!$F$6="TRUE",Inputs!$F$6=1),(((SQRT(((Inputs!$I$6+(((A11)+1)/2)*(Inputs!$J$6-Inputs!$I$6)))^2+Inputs!$C$6^2+((Inputs!$H$6+Inputs!$L$6*(((Inputs!$I$6+(((A11)+1)/2)*(Inputs!$J$6-Inputs!$I$6)))/Inputs!$K$6)^2))^2))-((Inputs!$H$6+Inputs!$L$6*(((Inputs!$I$6+(((A11)+1)/2)*(Inputs!$J$6-Inputs!$I$6)))/Inputs!$K$6)^2)))*1000/Inputs!$C$12),NA())</f>
        <v>2565.4077051733684</v>
      </c>
      <c r="I11" s="9">
        <f>IF(OR(Inputs!$F$7=TRUE,Inputs!$F$7="TRUE",Inputs!$F$7=1),(((SQRT(((Inputs!$I$7+(((A11)+1)/2)*(Inputs!$J$7-Inputs!$I$7)))^2+Inputs!$C$6^2+((Inputs!$H$7+Inputs!$L$7*(((Inputs!$I$7+(((A11)+1)/2)*(Inputs!$J$7-Inputs!$I$7)))/Inputs!$K$7)^2))^2))-((Inputs!$H$7+Inputs!$L$7*(((Inputs!$I$7+(((A11)+1)/2)*(Inputs!$J$7-Inputs!$I$7)))/Inputs!$K$7)^2)))*1000/Inputs!$C$12),NA())</f>
        <v>90323.63054284628</v>
      </c>
      <c r="J11" s="9">
        <f>IF(OR(Inputs!$F$8=TRUE,Inputs!$F$8="TRUE",Inputs!$F$8=1),(((SQRT(((Inputs!$I$8+(((A11)+1)/2)*(Inputs!$J$8-Inputs!$I$8)))^2+Inputs!$C$6^2+((Inputs!$H$8+Inputs!$L$8*(((Inputs!$I$8+(((A11)+1)/2)*(Inputs!$J$8-Inputs!$I$8)))/Inputs!$K$8)^2))^2))-((Inputs!$H$8+Inputs!$L$8*(((Inputs!$I$8+(((A11)+1)/2)*(Inputs!$J$8-Inputs!$I$8)))/Inputs!$K$8)^2)))*1000/Inputs!$C$12),NA())</f>
        <v>154303.16710885518</v>
      </c>
      <c r="K11" s="9">
        <f>IF(OR(Inputs!$F$9=TRUE,Inputs!$F$9="TRUE",Inputs!$F$9=1),(((SQRT(((Inputs!$I$9+(((A11)+1)/2)*(Inputs!$J$9-Inputs!$I$9)))^2+Inputs!$C$6^2+((Inputs!$H$9+Inputs!$L$9*(((Inputs!$I$9+(((A11)+1)/2)*(Inputs!$J$9-Inputs!$I$9)))/Inputs!$K$9)^2))^2))-((Inputs!$H$9+Inputs!$L$9*(((Inputs!$I$9+(((A11)+1)/2)*(Inputs!$J$9-Inputs!$I$9)))/Inputs!$K$9)^2)))*1000/Inputs!$C$12),NA())</f>
        <v>154499.60597487274</v>
      </c>
      <c r="L11" s="10"/>
      <c r="M11" s="9">
        <f t="shared" si="1"/>
        <v>-0.92500000000000004</v>
      </c>
      <c r="N11" s="9">
        <f>IF(OR(Inputs!$F$6=TRUE,Inputs!$F$6="TRUE",Inputs!$F$6=1),(-2*((1000*((((Inputs!$I$6+(((A11)+1)/2)*(Inputs!$J$6-Inputs!$I$6)))*Inputs!$C$11+((Inputs!$H$6+Inputs!$L$6*(((Inputs!$I$6+(((A11)+1)/2)*(Inputs!$J$6-Inputs!$I$6)))/Inputs!$K$6)^2))*((2*Inputs!$L$6*((Inputs!$I$6+(((A11)+1)/2)*(Inputs!$J$6-Inputs!$I$6)))/(Inputs!$K$6^2)*Inputs!$C$11)))/(SQRT(((Inputs!$I$6+(((A11)+1)/2)*(Inputs!$J$6-Inputs!$I$6)))^2+Inputs!$C$6^2+((Inputs!$H$6+Inputs!$L$6*(((Inputs!$I$6+(((A11)+1)/2)*(Inputs!$J$6-Inputs!$I$6)))/Inputs!$K$6)^2))^2)))))/Inputs!$C$13),NA())</f>
        <v>412.77764187212813</v>
      </c>
      <c r="O11" s="9">
        <f>IF(OR(Inputs!$F$7=TRUE,Inputs!$F$7="TRUE",Inputs!$F$7=1),(-2*((1000*((((Inputs!$I$7+(((A11)+1)/2)*(Inputs!$J$7-Inputs!$I$7)))*Inputs!$C$11+((Inputs!$H$7+Inputs!$L$7*(((Inputs!$I$7+(((A11)+1)/2)*(Inputs!$J$7-Inputs!$I$7)))/Inputs!$K$7)^2))*((2*Inputs!$L$7*((Inputs!$I$7+(((A11)+1)/2)*(Inputs!$J$7-Inputs!$I$7)))/(Inputs!$K$7^2)*Inputs!$C$11)))/(SQRT(((Inputs!$I$7+(((A11)+1)/2)*(Inputs!$J$7-Inputs!$I$7)))^2+Inputs!$C$6^2+((Inputs!$H$7+Inputs!$L$7*(((Inputs!$I$7+(((A11)+1)/2)*(Inputs!$J$7-Inputs!$I$7)))/Inputs!$K$7)^2))^2)))))/Inputs!$C$13),NA())</f>
        <v>3011.4710042668985</v>
      </c>
      <c r="P11" s="9">
        <f>IF(OR(Inputs!$F$8=TRUE,Inputs!$F$8="TRUE",Inputs!$F$8=1),(-2*((1000*((((Inputs!$I$8+(((A11)+1)/2)*(Inputs!$J$8-Inputs!$I$8)))*Inputs!$C$11+((Inputs!$H$8+Inputs!$L$8*(((Inputs!$I$8+(((A11)+1)/2)*(Inputs!$J$8-Inputs!$I$8)))/Inputs!$K$8)^2))*((2*Inputs!$L$8*((Inputs!$I$8+(((A11)+1)/2)*(Inputs!$J$8-Inputs!$I$8)))/(Inputs!$K$8^2)*Inputs!$C$11)))/(SQRT(((Inputs!$I$8+(((A11)+1)/2)*(Inputs!$J$8-Inputs!$I$8)))^2+Inputs!$C$6^2+((Inputs!$H$8+Inputs!$L$8*(((Inputs!$I$8+(((A11)+1)/2)*(Inputs!$J$8-Inputs!$I$8)))/Inputs!$K$8)^2))^2)))))/Inputs!$C$13),NA())</f>
        <v>3749.5901097413494</v>
      </c>
      <c r="Q11" s="9">
        <f>IF(OR(Inputs!$F$9=TRUE,Inputs!$F$9="TRUE",Inputs!$F$9=1),(-2*((1000*((((Inputs!$I$9+(((A11)+1)/2)*(Inputs!$J$9-Inputs!$I$9)))*Inputs!$C$11+((Inputs!$H$9+Inputs!$L$9*(((Inputs!$I$9+(((A11)+1)/2)*(Inputs!$J$9-Inputs!$I$9)))/Inputs!$K$9)^2))*((2*Inputs!$L$9*((Inputs!$I$9+(((A11)+1)/2)*(Inputs!$J$9-Inputs!$I$9)))/(Inputs!$K$9^2)*Inputs!$C$11)))/(SQRT(((Inputs!$I$9+(((A11)+1)/2)*(Inputs!$J$9-Inputs!$I$9)))^2+Inputs!$C$6^2+((Inputs!$H$9+Inputs!$L$9*(((Inputs!$I$9+(((A11)+1)/2)*(Inputs!$J$9-Inputs!$I$9)))/Inputs!$K$9)^2))^2)))))/Inputs!$C$13),NA())</f>
        <v>3776.691117952807</v>
      </c>
      <c r="R11" s="10"/>
      <c r="S11" s="9">
        <f t="shared" si="2"/>
        <v>-0.92500000000000004</v>
      </c>
      <c r="T11" s="9">
        <f>(Inputs!$I$6+(((A11)+1)/2)*(Inputs!$J$6-Inputs!$I$6))</f>
        <v>-55.5</v>
      </c>
      <c r="U11" s="9">
        <f>(Inputs!$I$7+(((A11)+1)/2)*(Inputs!$J$7-Inputs!$I$7))</f>
        <v>-370</v>
      </c>
      <c r="V11" s="9">
        <f>(Inputs!$I$8+(((A11)+1)/2)*(Inputs!$J$8-Inputs!$I$8))</f>
        <v>-740</v>
      </c>
      <c r="W11" s="9">
        <f>(Inputs!$I$9+(((A11)+1)/2)*(Inputs!$J$9-Inputs!$I$9))</f>
        <v>-740</v>
      </c>
      <c r="X11" s="10"/>
      <c r="Y11" s="9">
        <f t="shared" si="3"/>
        <v>-0.92500000000000004</v>
      </c>
      <c r="Z11" s="9">
        <f>(Inputs!$H$6+Inputs!$L$6*(((Inputs!$I$6+(((A11)+1)/2)*(Inputs!$J$6-Inputs!$I$6)))/Inputs!$K$6)^2)</f>
        <v>403.42250000000001</v>
      </c>
      <c r="AA11" s="9">
        <f>(Inputs!$H$7+Inputs!$L$7*(((Inputs!$I$7+(((A11)+1)/2)*(Inputs!$J$7-Inputs!$I$7)))/Inputs!$K$7)^2)</f>
        <v>347.30312500000002</v>
      </c>
      <c r="AB11" s="9">
        <f>(Inputs!$H$8+Inputs!$L$8*(((Inputs!$I$8+(((A11)+1)/2)*(Inputs!$J$8-Inputs!$I$8)))/Inputs!$K$8)^2)</f>
        <v>860.67812500000002</v>
      </c>
      <c r="AC11" s="9">
        <f>(Inputs!$H$9+Inputs!$L$9*(((Inputs!$I$9+(((A11)+1)/2)*(Inputs!$J$9-Inputs!$I$9)))/Inputs!$K$9)^2)</f>
        <v>859.23437500000011</v>
      </c>
      <c r="AD11" s="10"/>
      <c r="AE11" s="9">
        <f t="shared" si="4"/>
        <v>-0.92500000000000004</v>
      </c>
      <c r="AF11" s="9">
        <f>(((SQRT(((Inputs!$I$6+(((A11)+1)/2)*(Inputs!$J$6-Inputs!$I$6)))^2+Inputs!$C$6^2+((Inputs!$H$6+Inputs!$L$6*(((Inputs!$I$6+(((A11)+1)/2)*(Inputs!$J$6-Inputs!$I$6)))/Inputs!$K$6)^2))^2))-((Inputs!$H$6+Inputs!$L$6*(((Inputs!$I$6+(((A11)+1)/2)*(Inputs!$J$6-Inputs!$I$6)))/Inputs!$K$6)^2)))*1000/Inputs!$C$12)</f>
        <v>2565.4077051733684</v>
      </c>
      <c r="AG11" s="9">
        <f>(((SQRT(((Inputs!$I$7+(((A11)+1)/2)*(Inputs!$J$7-Inputs!$I$7)))^2+Inputs!$C$6^2+((Inputs!$H$7+Inputs!$L$7*(((Inputs!$I$7+(((A11)+1)/2)*(Inputs!$J$7-Inputs!$I$7)))/Inputs!$K$7)^2))^2))-((Inputs!$H$7+Inputs!$L$7*(((Inputs!$I$7+(((A11)+1)/2)*(Inputs!$J$7-Inputs!$I$7)))/Inputs!$K$7)^2)))*1000/Inputs!$C$12)</f>
        <v>90323.63054284628</v>
      </c>
      <c r="AH11" s="9">
        <f>(((SQRT(((Inputs!$I$8+(((A11)+1)/2)*(Inputs!$J$8-Inputs!$I$8)))^2+Inputs!$C$6^2+((Inputs!$H$8+Inputs!$L$8*(((Inputs!$I$8+(((A11)+1)/2)*(Inputs!$J$8-Inputs!$I$8)))/Inputs!$K$8)^2))^2))-((Inputs!$H$8+Inputs!$L$8*(((Inputs!$I$8+(((A11)+1)/2)*(Inputs!$J$8-Inputs!$I$8)))/Inputs!$K$8)^2)))*1000/Inputs!$C$12)</f>
        <v>154303.16710885518</v>
      </c>
      <c r="AI11" s="9">
        <f>(((SQRT(((Inputs!$I$9+(((A11)+1)/2)*(Inputs!$J$9-Inputs!$I$9)))^2+Inputs!$C$6^2+((Inputs!$H$9+Inputs!$L$9*(((Inputs!$I$9+(((A11)+1)/2)*(Inputs!$J$9-Inputs!$I$9)))/Inputs!$K$9)^2))^2))-((Inputs!$H$9+Inputs!$L$9*(((Inputs!$I$9+(((A11)+1)/2)*(Inputs!$J$9-Inputs!$I$9)))/Inputs!$K$9)^2)))*1000/Inputs!$C$12)</f>
        <v>154499.60597487274</v>
      </c>
      <c r="AJ11" s="10"/>
      <c r="AK11" s="9">
        <f t="shared" si="5"/>
        <v>-0.92500000000000004</v>
      </c>
      <c r="AL11" s="9">
        <f>(-2*((1000*((((Inputs!$I$6+(((A11)+1)/2)*(Inputs!$J$6-Inputs!$I$6)))*Inputs!$C$11+((Inputs!$H$6+Inputs!$L$6*(((Inputs!$I$6+(((A11)+1)/2)*(Inputs!$J$6-Inputs!$I$6)))/Inputs!$K$6)^2))*((2*Inputs!$L$6*((Inputs!$I$6+(((A11)+1)/2)*(Inputs!$J$6-Inputs!$I$6)))/(Inputs!$K$6^2)*Inputs!$C$11)))/(SQRT(((Inputs!$I$6+(((A11)+1)/2)*(Inputs!$J$6-Inputs!$I$6)))^2+Inputs!$C$6^2+((Inputs!$H$6+Inputs!$L$6*(((Inputs!$I$6+(((A11)+1)/2)*(Inputs!$J$6-Inputs!$I$6)))/Inputs!$K$6)^2))^2)))))/Inputs!$C$13)</f>
        <v>412.77764187212813</v>
      </c>
      <c r="AM11" s="9">
        <f>(-2*((1000*((((Inputs!$I$7+(((A11)+1)/2)*(Inputs!$J$7-Inputs!$I$7)))*Inputs!$C$11+((Inputs!$H$7+Inputs!$L$7*(((Inputs!$I$7+(((A11)+1)/2)*(Inputs!$J$7-Inputs!$I$7)))/Inputs!$K$7)^2))*((2*Inputs!$L$7*((Inputs!$I$7+(((A11)+1)/2)*(Inputs!$J$7-Inputs!$I$7)))/(Inputs!$K$7^2)*Inputs!$C$11)))/(SQRT(((Inputs!$I$7+(((A11)+1)/2)*(Inputs!$J$7-Inputs!$I$7)))^2+Inputs!$C$6^2+((Inputs!$H$7+Inputs!$L$7*(((Inputs!$I$7+(((A11)+1)/2)*(Inputs!$J$7-Inputs!$I$7)))/Inputs!$K$7)^2))^2)))))/Inputs!$C$13)</f>
        <v>3011.4710042668985</v>
      </c>
      <c r="AN11" s="9">
        <f>(-2*((1000*((((Inputs!$I$8+(((A11)+1)/2)*(Inputs!$J$8-Inputs!$I$8)))*Inputs!$C$11+((Inputs!$H$8+Inputs!$L$8*(((Inputs!$I$8+(((A11)+1)/2)*(Inputs!$J$8-Inputs!$I$8)))/Inputs!$K$8)^2))*((2*Inputs!$L$8*((Inputs!$I$8+(((A11)+1)/2)*(Inputs!$J$8-Inputs!$I$8)))/(Inputs!$K$8^2)*Inputs!$C$11)))/(SQRT(((Inputs!$I$8+(((A11)+1)/2)*(Inputs!$J$8-Inputs!$I$8)))^2+Inputs!$C$6^2+((Inputs!$H$8+Inputs!$L$8*(((Inputs!$I$8+(((A11)+1)/2)*(Inputs!$J$8-Inputs!$I$8)))/Inputs!$K$8)^2))^2)))))/Inputs!$C$13)</f>
        <v>3749.5901097413494</v>
      </c>
      <c r="AO11" s="9">
        <f>(-2*((1000*((((Inputs!$I$9+(((A11)+1)/2)*(Inputs!$J$9-Inputs!$I$9)))*Inputs!$C$11+((Inputs!$H$9+Inputs!$L$9*(((Inputs!$I$9+(((A11)+1)/2)*(Inputs!$J$9-Inputs!$I$9)))/Inputs!$K$9)^2))*((2*Inputs!$L$9*((Inputs!$I$9+(((A11)+1)/2)*(Inputs!$J$9-Inputs!$I$9)))/(Inputs!$K$9^2)*Inputs!$C$11)))/(SQRT(((Inputs!$I$9+(((A11)+1)/2)*(Inputs!$J$9-Inputs!$I$9)))^2+Inputs!$C$6^2+((Inputs!$H$9+Inputs!$L$9*(((Inputs!$I$9+(((A11)+1)/2)*(Inputs!$J$9-Inputs!$I$9)))/Inputs!$K$9)^2))^2)))))/Inputs!$C$13)</f>
        <v>3776.691117952807</v>
      </c>
    </row>
    <row r="12" spans="1:41">
      <c r="A12" s="9">
        <f>ROUND(-1+10*2/240,3)</f>
        <v>-0.91700000000000004</v>
      </c>
      <c r="B12" s="9">
        <f>IF(OR(Inputs!$F$6=TRUE,Inputs!$F$6="TRUE",Inputs!$F$6=1),(Inputs!$H$6+Inputs!$L$6*(((Inputs!$I$6+(((A12)+1)/2)*(Inputs!$J$6-Inputs!$I$6)))/Inputs!$K$6)^2),NA())</f>
        <v>403.36355600000002</v>
      </c>
      <c r="C12" s="9">
        <f>IF(OR(Inputs!$F$7=TRUE,Inputs!$F$7="TRUE",Inputs!$F$7=1),(Inputs!$H$7+Inputs!$L$7*(((Inputs!$I$7+(((A12)+1)/2)*(Inputs!$J$7-Inputs!$I$7)))/Inputs!$K$7)^2),NA())</f>
        <v>341.92448500000006</v>
      </c>
      <c r="D12" s="9">
        <f>IF(OR(Inputs!$F$8=TRUE,Inputs!$F$8="TRUE",Inputs!$F$8=1),(Inputs!$H$8+Inputs!$L$8*(((Inputs!$I$8+(((A12)+1)/2)*(Inputs!$J$8-Inputs!$I$8)))/Inputs!$K$8)^2),NA())</f>
        <v>846.45788500000015</v>
      </c>
      <c r="E12" s="9">
        <f>IF(OR(Inputs!$F$9=TRUE,Inputs!$F$9="TRUE",Inputs!$F$9=1),(Inputs!$H$9+Inputs!$L$9*(((Inputs!$I$9+(((A12)+1)/2)*(Inputs!$J$9-Inputs!$I$9)))/Inputs!$K$9)^2),NA())</f>
        <v>844.86677500000008</v>
      </c>
      <c r="F12" s="10"/>
      <c r="G12" s="9">
        <f t="shared" si="0"/>
        <v>-0.91700000000000004</v>
      </c>
      <c r="H12" s="9">
        <f>IF(OR(Inputs!$F$6=TRUE,Inputs!$F$6="TRUE",Inputs!$F$6=1),(((SQRT(((Inputs!$I$6+(((A12)+1)/2)*(Inputs!$J$6-Inputs!$I$6)))^2+Inputs!$C$6^2+((Inputs!$H$6+Inputs!$L$6*(((Inputs!$I$6+(((A12)+1)/2)*(Inputs!$J$6-Inputs!$I$6)))/Inputs!$K$6)^2))^2))-((Inputs!$H$6+Inputs!$L$6*(((Inputs!$I$6+(((A12)+1)/2)*(Inputs!$J$6-Inputs!$I$6)))/Inputs!$K$6)^2)))*1000/Inputs!$C$12),NA())</f>
        <v>2529.2458094050999</v>
      </c>
      <c r="I12" s="9">
        <f>IF(OR(Inputs!$F$7=TRUE,Inputs!$F$7="TRUE",Inputs!$F$7=1),(((SQRT(((Inputs!$I$7+(((A12)+1)/2)*(Inputs!$J$7-Inputs!$I$7)))^2+Inputs!$C$6^2+((Inputs!$H$7+Inputs!$L$7*(((Inputs!$I$7+(((A12)+1)/2)*(Inputs!$J$7-Inputs!$I$7)))/Inputs!$K$7)^2))^2))-((Inputs!$H$7+Inputs!$L$7*(((Inputs!$I$7+(((A12)+1)/2)*(Inputs!$J$7-Inputs!$I$7)))/Inputs!$K$7)^2)))*1000/Inputs!$C$12),NA())</f>
        <v>89972.36046512764</v>
      </c>
      <c r="J12" s="9">
        <f>IF(OR(Inputs!$F$8=TRUE,Inputs!$F$8="TRUE",Inputs!$F$8=1),(((SQRT(((Inputs!$I$8+(((A12)+1)/2)*(Inputs!$J$8-Inputs!$I$8)))^2+Inputs!$C$6^2+((Inputs!$H$8+Inputs!$L$8*(((Inputs!$I$8+(((A12)+1)/2)*(Inputs!$J$8-Inputs!$I$8)))/Inputs!$K$8)^2))^2))-((Inputs!$H$8+Inputs!$L$8*(((Inputs!$I$8+(((A12)+1)/2)*(Inputs!$J$8-Inputs!$I$8)))/Inputs!$K$8)^2)))*1000/Inputs!$C$12),NA())</f>
        <v>153897.24434929746</v>
      </c>
      <c r="K12" s="9">
        <f>IF(OR(Inputs!$F$9=TRUE,Inputs!$F$9="TRUE",Inputs!$F$9=1),(((SQRT(((Inputs!$I$9+(((A12)+1)/2)*(Inputs!$J$9-Inputs!$I$9)))^2+Inputs!$C$6^2+((Inputs!$H$9+Inputs!$L$9*(((Inputs!$I$9+(((A12)+1)/2)*(Inputs!$J$9-Inputs!$I$9)))/Inputs!$K$9)^2))^2))-((Inputs!$H$9+Inputs!$L$9*(((Inputs!$I$9+(((A12)+1)/2)*(Inputs!$J$9-Inputs!$I$9)))/Inputs!$K$9)^2)))*1000/Inputs!$C$12),NA())</f>
        <v>154116.07164605678</v>
      </c>
      <c r="L12" s="10"/>
      <c r="M12" s="9">
        <f t="shared" si="1"/>
        <v>-0.91700000000000004</v>
      </c>
      <c r="N12" s="9">
        <f>IF(OR(Inputs!$F$6=TRUE,Inputs!$F$6="TRUE",Inputs!$F$6=1),(-2*((1000*((((Inputs!$I$6+(((A12)+1)/2)*(Inputs!$J$6-Inputs!$I$6)))*Inputs!$C$11+((Inputs!$H$6+Inputs!$L$6*(((Inputs!$I$6+(((A12)+1)/2)*(Inputs!$J$6-Inputs!$I$6)))/Inputs!$K$6)^2))*((2*Inputs!$L$6*((Inputs!$I$6+(((A12)+1)/2)*(Inputs!$J$6-Inputs!$I$6)))/(Inputs!$K$6^2)*Inputs!$C$11)))/(SQRT(((Inputs!$I$6+(((A12)+1)/2)*(Inputs!$J$6-Inputs!$I$6)))^2+Inputs!$C$6^2+((Inputs!$H$6+Inputs!$L$6*(((Inputs!$I$6+(((A12)+1)/2)*(Inputs!$J$6-Inputs!$I$6)))/Inputs!$K$6)^2))^2)))))/Inputs!$C$13),NA())</f>
        <v>409.3031193923336</v>
      </c>
      <c r="O12" s="9">
        <f>IF(OR(Inputs!$F$7=TRUE,Inputs!$F$7="TRUE",Inputs!$F$7=1),(-2*((1000*((((Inputs!$I$7+(((A12)+1)/2)*(Inputs!$J$7-Inputs!$I$7)))*Inputs!$C$11+((Inputs!$H$7+Inputs!$L$7*(((Inputs!$I$7+(((A12)+1)/2)*(Inputs!$J$7-Inputs!$I$7)))/Inputs!$K$7)^2))*((2*Inputs!$L$7*((Inputs!$I$7+(((A12)+1)/2)*(Inputs!$J$7-Inputs!$I$7)))/(Inputs!$K$7^2)*Inputs!$C$11)))/(SQRT(((Inputs!$I$7+(((A12)+1)/2)*(Inputs!$J$7-Inputs!$I$7)))^2+Inputs!$C$6^2+((Inputs!$H$7+Inputs!$L$7*(((Inputs!$I$7+(((A12)+1)/2)*(Inputs!$J$7-Inputs!$I$7)))/Inputs!$K$7)^2))^2)))))/Inputs!$C$13),NA())</f>
        <v>2992.4410104032986</v>
      </c>
      <c r="P12" s="9">
        <f>IF(OR(Inputs!$F$8=TRUE,Inputs!$F$8="TRUE",Inputs!$F$8=1),(-2*((1000*((((Inputs!$I$8+(((A12)+1)/2)*(Inputs!$J$8-Inputs!$I$8)))*Inputs!$C$11+((Inputs!$H$8+Inputs!$L$8*(((Inputs!$I$8+(((A12)+1)/2)*(Inputs!$J$8-Inputs!$I$8)))/Inputs!$K$8)^2))*((2*Inputs!$L$8*((Inputs!$I$8+(((A12)+1)/2)*(Inputs!$J$8-Inputs!$I$8)))/(Inputs!$K$8^2)*Inputs!$C$11)))/(SQRT(((Inputs!$I$8+(((A12)+1)/2)*(Inputs!$J$8-Inputs!$I$8)))^2+Inputs!$C$6^2+((Inputs!$H$8+Inputs!$L$8*(((Inputs!$I$8+(((A12)+1)/2)*(Inputs!$J$8-Inputs!$I$8)))/Inputs!$K$8)^2))^2)))))/Inputs!$C$13),NA())</f>
        <v>3721.8118016920225</v>
      </c>
      <c r="Q12" s="9">
        <f>IF(OR(Inputs!$F$9=TRUE,Inputs!$F$9="TRUE",Inputs!$F$9=1),(-2*((1000*((((Inputs!$I$9+(((A12)+1)/2)*(Inputs!$J$9-Inputs!$I$9)))*Inputs!$C$11+((Inputs!$H$9+Inputs!$L$9*(((Inputs!$I$9+(((A12)+1)/2)*(Inputs!$J$9-Inputs!$I$9)))/Inputs!$K$9)^2))*((2*Inputs!$L$9*((Inputs!$I$9+(((A12)+1)/2)*(Inputs!$J$9-Inputs!$I$9)))/(Inputs!$K$9^2)*Inputs!$C$11)))/(SQRT(((Inputs!$I$9+(((A12)+1)/2)*(Inputs!$J$9-Inputs!$I$9)))^2+Inputs!$C$6^2+((Inputs!$H$9+Inputs!$L$9*(((Inputs!$I$9+(((A12)+1)/2)*(Inputs!$J$9-Inputs!$I$9)))/Inputs!$K$9)^2))^2)))))/Inputs!$C$13),NA())</f>
        <v>3748.4648434472997</v>
      </c>
      <c r="R12" s="10"/>
      <c r="S12" s="9">
        <f t="shared" si="2"/>
        <v>-0.91700000000000004</v>
      </c>
      <c r="T12" s="9">
        <f>(Inputs!$I$6+(((A12)+1)/2)*(Inputs!$J$6-Inputs!$I$6))</f>
        <v>-55.02</v>
      </c>
      <c r="U12" s="9">
        <f>(Inputs!$I$7+(((A12)+1)/2)*(Inputs!$J$7-Inputs!$I$7))</f>
        <v>-366.8</v>
      </c>
      <c r="V12" s="9">
        <f>(Inputs!$I$8+(((A12)+1)/2)*(Inputs!$J$8-Inputs!$I$8))</f>
        <v>-733.6</v>
      </c>
      <c r="W12" s="9">
        <f>(Inputs!$I$9+(((A12)+1)/2)*(Inputs!$J$9-Inputs!$I$9))</f>
        <v>-733.6</v>
      </c>
      <c r="X12" s="10"/>
      <c r="Y12" s="9">
        <f t="shared" si="3"/>
        <v>-0.91700000000000004</v>
      </c>
      <c r="Z12" s="9">
        <f>(Inputs!$H$6+Inputs!$L$6*(((Inputs!$I$6+(((A12)+1)/2)*(Inputs!$J$6-Inputs!$I$6)))/Inputs!$K$6)^2)</f>
        <v>403.36355600000002</v>
      </c>
      <c r="AA12" s="9">
        <f>(Inputs!$H$7+Inputs!$L$7*(((Inputs!$I$7+(((A12)+1)/2)*(Inputs!$J$7-Inputs!$I$7)))/Inputs!$K$7)^2)</f>
        <v>341.92448500000006</v>
      </c>
      <c r="AB12" s="9">
        <f>(Inputs!$H$8+Inputs!$L$8*(((Inputs!$I$8+(((A12)+1)/2)*(Inputs!$J$8-Inputs!$I$8)))/Inputs!$K$8)^2)</f>
        <v>846.45788500000015</v>
      </c>
      <c r="AC12" s="9">
        <f>(Inputs!$H$9+Inputs!$L$9*(((Inputs!$I$9+(((A12)+1)/2)*(Inputs!$J$9-Inputs!$I$9)))/Inputs!$K$9)^2)</f>
        <v>844.86677500000008</v>
      </c>
      <c r="AD12" s="10"/>
      <c r="AE12" s="9">
        <f t="shared" si="4"/>
        <v>-0.91700000000000004</v>
      </c>
      <c r="AF12" s="9">
        <f>(((SQRT(((Inputs!$I$6+(((A12)+1)/2)*(Inputs!$J$6-Inputs!$I$6)))^2+Inputs!$C$6^2+((Inputs!$H$6+Inputs!$L$6*(((Inputs!$I$6+(((A12)+1)/2)*(Inputs!$J$6-Inputs!$I$6)))/Inputs!$K$6)^2))^2))-((Inputs!$H$6+Inputs!$L$6*(((Inputs!$I$6+(((A12)+1)/2)*(Inputs!$J$6-Inputs!$I$6)))/Inputs!$K$6)^2)))*1000/Inputs!$C$12)</f>
        <v>2529.2458094050999</v>
      </c>
      <c r="AG12" s="9">
        <f>(((SQRT(((Inputs!$I$7+(((A12)+1)/2)*(Inputs!$J$7-Inputs!$I$7)))^2+Inputs!$C$6^2+((Inputs!$H$7+Inputs!$L$7*(((Inputs!$I$7+(((A12)+1)/2)*(Inputs!$J$7-Inputs!$I$7)))/Inputs!$K$7)^2))^2))-((Inputs!$H$7+Inputs!$L$7*(((Inputs!$I$7+(((A12)+1)/2)*(Inputs!$J$7-Inputs!$I$7)))/Inputs!$K$7)^2)))*1000/Inputs!$C$12)</f>
        <v>89972.36046512764</v>
      </c>
      <c r="AH12" s="9">
        <f>(((SQRT(((Inputs!$I$8+(((A12)+1)/2)*(Inputs!$J$8-Inputs!$I$8)))^2+Inputs!$C$6^2+((Inputs!$H$8+Inputs!$L$8*(((Inputs!$I$8+(((A12)+1)/2)*(Inputs!$J$8-Inputs!$I$8)))/Inputs!$K$8)^2))^2))-((Inputs!$H$8+Inputs!$L$8*(((Inputs!$I$8+(((A12)+1)/2)*(Inputs!$J$8-Inputs!$I$8)))/Inputs!$K$8)^2)))*1000/Inputs!$C$12)</f>
        <v>153897.24434929746</v>
      </c>
      <c r="AI12" s="9">
        <f>(((SQRT(((Inputs!$I$9+(((A12)+1)/2)*(Inputs!$J$9-Inputs!$I$9)))^2+Inputs!$C$6^2+((Inputs!$H$9+Inputs!$L$9*(((Inputs!$I$9+(((A12)+1)/2)*(Inputs!$J$9-Inputs!$I$9)))/Inputs!$K$9)^2))^2))-((Inputs!$H$9+Inputs!$L$9*(((Inputs!$I$9+(((A12)+1)/2)*(Inputs!$J$9-Inputs!$I$9)))/Inputs!$K$9)^2)))*1000/Inputs!$C$12)</f>
        <v>154116.07164605678</v>
      </c>
      <c r="AJ12" s="10"/>
      <c r="AK12" s="9">
        <f t="shared" si="5"/>
        <v>-0.91700000000000004</v>
      </c>
      <c r="AL12" s="9">
        <f>(-2*((1000*((((Inputs!$I$6+(((A12)+1)/2)*(Inputs!$J$6-Inputs!$I$6)))*Inputs!$C$11+((Inputs!$H$6+Inputs!$L$6*(((Inputs!$I$6+(((A12)+1)/2)*(Inputs!$J$6-Inputs!$I$6)))/Inputs!$K$6)^2))*((2*Inputs!$L$6*((Inputs!$I$6+(((A12)+1)/2)*(Inputs!$J$6-Inputs!$I$6)))/(Inputs!$K$6^2)*Inputs!$C$11)))/(SQRT(((Inputs!$I$6+(((A12)+1)/2)*(Inputs!$J$6-Inputs!$I$6)))^2+Inputs!$C$6^2+((Inputs!$H$6+Inputs!$L$6*(((Inputs!$I$6+(((A12)+1)/2)*(Inputs!$J$6-Inputs!$I$6)))/Inputs!$K$6)^2))^2)))))/Inputs!$C$13)</f>
        <v>409.3031193923336</v>
      </c>
      <c r="AM12" s="9">
        <f>(-2*((1000*((((Inputs!$I$7+(((A12)+1)/2)*(Inputs!$J$7-Inputs!$I$7)))*Inputs!$C$11+((Inputs!$H$7+Inputs!$L$7*(((Inputs!$I$7+(((A12)+1)/2)*(Inputs!$J$7-Inputs!$I$7)))/Inputs!$K$7)^2))*((2*Inputs!$L$7*((Inputs!$I$7+(((A12)+1)/2)*(Inputs!$J$7-Inputs!$I$7)))/(Inputs!$K$7^2)*Inputs!$C$11)))/(SQRT(((Inputs!$I$7+(((A12)+1)/2)*(Inputs!$J$7-Inputs!$I$7)))^2+Inputs!$C$6^2+((Inputs!$H$7+Inputs!$L$7*(((Inputs!$I$7+(((A12)+1)/2)*(Inputs!$J$7-Inputs!$I$7)))/Inputs!$K$7)^2))^2)))))/Inputs!$C$13)</f>
        <v>2992.4410104032986</v>
      </c>
      <c r="AN12" s="9">
        <f>(-2*((1000*((((Inputs!$I$8+(((A12)+1)/2)*(Inputs!$J$8-Inputs!$I$8)))*Inputs!$C$11+((Inputs!$H$8+Inputs!$L$8*(((Inputs!$I$8+(((A12)+1)/2)*(Inputs!$J$8-Inputs!$I$8)))/Inputs!$K$8)^2))*((2*Inputs!$L$8*((Inputs!$I$8+(((A12)+1)/2)*(Inputs!$J$8-Inputs!$I$8)))/(Inputs!$K$8^2)*Inputs!$C$11)))/(SQRT(((Inputs!$I$8+(((A12)+1)/2)*(Inputs!$J$8-Inputs!$I$8)))^2+Inputs!$C$6^2+((Inputs!$H$8+Inputs!$L$8*(((Inputs!$I$8+(((A12)+1)/2)*(Inputs!$J$8-Inputs!$I$8)))/Inputs!$K$8)^2))^2)))))/Inputs!$C$13)</f>
        <v>3721.8118016920225</v>
      </c>
      <c r="AO12" s="9">
        <f>(-2*((1000*((((Inputs!$I$9+(((A12)+1)/2)*(Inputs!$J$9-Inputs!$I$9)))*Inputs!$C$11+((Inputs!$H$9+Inputs!$L$9*(((Inputs!$I$9+(((A12)+1)/2)*(Inputs!$J$9-Inputs!$I$9)))/Inputs!$K$9)^2))*((2*Inputs!$L$9*((Inputs!$I$9+(((A12)+1)/2)*(Inputs!$J$9-Inputs!$I$9)))/(Inputs!$K$9^2)*Inputs!$C$11)))/(SQRT(((Inputs!$I$9+(((A12)+1)/2)*(Inputs!$J$9-Inputs!$I$9)))^2+Inputs!$C$6^2+((Inputs!$H$9+Inputs!$L$9*(((Inputs!$I$9+(((A12)+1)/2)*(Inputs!$J$9-Inputs!$I$9)))/Inputs!$K$9)^2))^2)))))/Inputs!$C$13)</f>
        <v>3748.4648434472997</v>
      </c>
    </row>
    <row r="13" spans="1:41">
      <c r="A13" s="9">
        <f>ROUND(-1+11*2/240,3)</f>
        <v>-0.90800000000000003</v>
      </c>
      <c r="B13" s="9">
        <f>IF(OR(Inputs!$F$6=TRUE,Inputs!$F$6="TRUE",Inputs!$F$6=1),(Inputs!$H$6+Inputs!$L$6*(((Inputs!$I$6+(((A13)+1)/2)*(Inputs!$J$6-Inputs!$I$6)))/Inputs!$K$6)^2),NA())</f>
        <v>403.29785600000002</v>
      </c>
      <c r="C13" s="9">
        <f>IF(OR(Inputs!$F$7=TRUE,Inputs!$F$7="TRUE",Inputs!$F$7=1),(Inputs!$H$7+Inputs!$L$7*(((Inputs!$I$7+(((A13)+1)/2)*(Inputs!$J$7-Inputs!$I$7)))/Inputs!$K$7)^2),NA())</f>
        <v>335.92935999999997</v>
      </c>
      <c r="D13" s="9">
        <f>IF(OR(Inputs!$F$8=TRUE,Inputs!$F$8="TRUE",Inputs!$F$8=1),(Inputs!$H$8+Inputs!$L$8*(((Inputs!$I$8+(((A13)+1)/2)*(Inputs!$J$8-Inputs!$I$8)))/Inputs!$K$8)^2),NA())</f>
        <v>830.60775999999987</v>
      </c>
      <c r="E13" s="9">
        <f>IF(OR(Inputs!$F$9=TRUE,Inputs!$F$9="TRUE",Inputs!$F$9=1),(Inputs!$H$9+Inputs!$L$9*(((Inputs!$I$9+(((A13)+1)/2)*(Inputs!$J$9-Inputs!$I$9)))/Inputs!$K$9)^2),NA())</f>
        <v>828.85239999999988</v>
      </c>
      <c r="F13" s="10"/>
      <c r="G13" s="9">
        <f t="shared" si="0"/>
        <v>-0.90800000000000003</v>
      </c>
      <c r="H13" s="9">
        <f>IF(OR(Inputs!$F$6=TRUE,Inputs!$F$6="TRUE",Inputs!$F$6=1),(((SQRT(((Inputs!$I$6+(((A13)+1)/2)*(Inputs!$J$6-Inputs!$I$6)))^2+Inputs!$C$6^2+((Inputs!$H$6+Inputs!$L$6*(((Inputs!$I$6+(((A13)+1)/2)*(Inputs!$J$6-Inputs!$I$6)))/Inputs!$K$6)^2))^2))-((Inputs!$H$6+Inputs!$L$6*(((Inputs!$I$6+(((A13)+1)/2)*(Inputs!$J$6-Inputs!$I$6)))/Inputs!$K$6)^2)))*1000/Inputs!$C$12),NA())</f>
        <v>2488.9200862943194</v>
      </c>
      <c r="I13" s="9">
        <f>IF(OR(Inputs!$F$7=TRUE,Inputs!$F$7="TRUE",Inputs!$F$7=1),(((SQRT(((Inputs!$I$7+(((A13)+1)/2)*(Inputs!$J$7-Inputs!$I$7)))^2+Inputs!$C$6^2+((Inputs!$H$7+Inputs!$L$7*(((Inputs!$I$7+(((A13)+1)/2)*(Inputs!$J$7-Inputs!$I$7)))/Inputs!$K$7)^2))^2))-((Inputs!$H$7+Inputs!$L$7*(((Inputs!$I$7+(((A13)+1)/2)*(Inputs!$J$7-Inputs!$I$7)))/Inputs!$K$7)^2)))*1000/Inputs!$C$12),NA())</f>
        <v>89571.316724298187</v>
      </c>
      <c r="J13" s="9">
        <f>IF(OR(Inputs!$F$8=TRUE,Inputs!$F$8="TRUE",Inputs!$F$8=1),(((SQRT(((Inputs!$I$8+(((A13)+1)/2)*(Inputs!$J$8-Inputs!$I$8)))^2+Inputs!$C$6^2+((Inputs!$H$8+Inputs!$L$8*(((Inputs!$I$8+(((A13)+1)/2)*(Inputs!$J$8-Inputs!$I$8)))/Inputs!$K$8)^2))^2))-((Inputs!$H$8+Inputs!$L$8*(((Inputs!$I$8+(((A13)+1)/2)*(Inputs!$J$8-Inputs!$I$8)))/Inputs!$K$8)^2)))*1000/Inputs!$C$12),NA())</f>
        <v>153432.1560011362</v>
      </c>
      <c r="K13" s="9">
        <f>IF(OR(Inputs!$F$9=TRUE,Inputs!$F$9="TRUE",Inputs!$F$9=1),(((SQRT(((Inputs!$I$9+(((A13)+1)/2)*(Inputs!$J$9-Inputs!$I$9)))^2+Inputs!$C$6^2+((Inputs!$H$9+Inputs!$L$9*(((Inputs!$I$9+(((A13)+1)/2)*(Inputs!$J$9-Inputs!$I$9)))/Inputs!$K$9)^2))^2))-((Inputs!$H$9+Inputs!$L$9*(((Inputs!$I$9+(((A13)+1)/2)*(Inputs!$J$9-Inputs!$I$9)))/Inputs!$K$9)^2)))*1000/Inputs!$C$12),NA())</f>
        <v>153676.51616447463</v>
      </c>
      <c r="L13" s="10"/>
      <c r="M13" s="9">
        <f t="shared" si="1"/>
        <v>-0.90800000000000003</v>
      </c>
      <c r="N13" s="9">
        <f>IF(OR(Inputs!$F$6=TRUE,Inputs!$F$6="TRUE",Inputs!$F$6=1),(-2*((1000*((((Inputs!$I$6+(((A13)+1)/2)*(Inputs!$J$6-Inputs!$I$6)))*Inputs!$C$11+((Inputs!$H$6+Inputs!$L$6*(((Inputs!$I$6+(((A13)+1)/2)*(Inputs!$J$6-Inputs!$I$6)))/Inputs!$K$6)^2))*((2*Inputs!$L$6*((Inputs!$I$6+(((A13)+1)/2)*(Inputs!$J$6-Inputs!$I$6)))/(Inputs!$K$6^2)*Inputs!$C$11)))/(SQRT(((Inputs!$I$6+(((A13)+1)/2)*(Inputs!$J$6-Inputs!$I$6)))^2+Inputs!$C$6^2+((Inputs!$H$6+Inputs!$L$6*(((Inputs!$I$6+(((A13)+1)/2)*(Inputs!$J$6-Inputs!$I$6)))/Inputs!$K$6)^2))^2)))))/Inputs!$C$13),NA())</f>
        <v>405.39141078613972</v>
      </c>
      <c r="O13" s="9">
        <f>IF(OR(Inputs!$F$7=TRUE,Inputs!$F$7="TRUE",Inputs!$F$7=1),(-2*((1000*((((Inputs!$I$7+(((A13)+1)/2)*(Inputs!$J$7-Inputs!$I$7)))*Inputs!$C$11+((Inputs!$H$7+Inputs!$L$7*(((Inputs!$I$7+(((A13)+1)/2)*(Inputs!$J$7-Inputs!$I$7)))/Inputs!$K$7)^2))*((2*Inputs!$L$7*((Inputs!$I$7+(((A13)+1)/2)*(Inputs!$J$7-Inputs!$I$7)))/(Inputs!$K$7^2)*Inputs!$C$11)))/(SQRT(((Inputs!$I$7+(((A13)+1)/2)*(Inputs!$J$7-Inputs!$I$7)))^2+Inputs!$C$6^2+((Inputs!$H$7+Inputs!$L$7*(((Inputs!$I$7+(((A13)+1)/2)*(Inputs!$J$7-Inputs!$I$7)))/Inputs!$K$7)^2))^2)))))/Inputs!$C$13),NA())</f>
        <v>2971.1138136177751</v>
      </c>
      <c r="P13" s="9">
        <f>IF(OR(Inputs!$F$8=TRUE,Inputs!$F$8="TRUE",Inputs!$F$8=1),(-2*((1000*((((Inputs!$I$8+(((A13)+1)/2)*(Inputs!$J$8-Inputs!$I$8)))*Inputs!$C$11+((Inputs!$H$8+Inputs!$L$8*(((Inputs!$I$8+(((A13)+1)/2)*(Inputs!$J$8-Inputs!$I$8)))/Inputs!$K$8)^2))*((2*Inputs!$L$8*((Inputs!$I$8+(((A13)+1)/2)*(Inputs!$J$8-Inputs!$I$8)))/(Inputs!$K$8^2)*Inputs!$C$11)))/(SQRT(((Inputs!$I$8+(((A13)+1)/2)*(Inputs!$J$8-Inputs!$I$8)))^2+Inputs!$C$6^2+((Inputs!$H$8+Inputs!$L$8*(((Inputs!$I$8+(((A13)+1)/2)*(Inputs!$J$8-Inputs!$I$8)))/Inputs!$K$8)^2))^2)))))/Inputs!$C$13),NA())</f>
        <v>3690.6385734963019</v>
      </c>
      <c r="Q13" s="9">
        <f>IF(OR(Inputs!$F$9=TRUE,Inputs!$F$9="TRUE",Inputs!$F$9=1),(-2*((1000*((((Inputs!$I$9+(((A13)+1)/2)*(Inputs!$J$9-Inputs!$I$9)))*Inputs!$C$11+((Inputs!$H$9+Inputs!$L$9*(((Inputs!$I$9+(((A13)+1)/2)*(Inputs!$J$9-Inputs!$I$9)))/Inputs!$K$9)^2))*((2*Inputs!$L$9*((Inputs!$I$9+(((A13)+1)/2)*(Inputs!$J$9-Inputs!$I$9)))/(Inputs!$K$9^2)*Inputs!$C$11)))/(SQRT(((Inputs!$I$9+(((A13)+1)/2)*(Inputs!$J$9-Inputs!$I$9)))^2+Inputs!$C$6^2+((Inputs!$H$9+Inputs!$L$9*(((Inputs!$I$9+(((A13)+1)/2)*(Inputs!$J$9-Inputs!$I$9)))/Inputs!$K$9)^2))^2)))))/Inputs!$C$13),NA())</f>
        <v>3716.7858858067689</v>
      </c>
      <c r="R13" s="10"/>
      <c r="S13" s="9">
        <f t="shared" si="2"/>
        <v>-0.90800000000000003</v>
      </c>
      <c r="T13" s="9">
        <f>(Inputs!$I$6+(((A13)+1)/2)*(Inputs!$J$6-Inputs!$I$6))</f>
        <v>-54.480000000000004</v>
      </c>
      <c r="U13" s="9">
        <f>(Inputs!$I$7+(((A13)+1)/2)*(Inputs!$J$7-Inputs!$I$7))</f>
        <v>-363.2</v>
      </c>
      <c r="V13" s="9">
        <f>(Inputs!$I$8+(((A13)+1)/2)*(Inputs!$J$8-Inputs!$I$8))</f>
        <v>-726.4</v>
      </c>
      <c r="W13" s="9">
        <f>(Inputs!$I$9+(((A13)+1)/2)*(Inputs!$J$9-Inputs!$I$9))</f>
        <v>-726.4</v>
      </c>
      <c r="X13" s="10"/>
      <c r="Y13" s="9">
        <f t="shared" si="3"/>
        <v>-0.90800000000000003</v>
      </c>
      <c r="Z13" s="9">
        <f>(Inputs!$H$6+Inputs!$L$6*(((Inputs!$I$6+(((A13)+1)/2)*(Inputs!$J$6-Inputs!$I$6)))/Inputs!$K$6)^2)</f>
        <v>403.29785600000002</v>
      </c>
      <c r="AA13" s="9">
        <f>(Inputs!$H$7+Inputs!$L$7*(((Inputs!$I$7+(((A13)+1)/2)*(Inputs!$J$7-Inputs!$I$7)))/Inputs!$K$7)^2)</f>
        <v>335.92935999999997</v>
      </c>
      <c r="AB13" s="9">
        <f>(Inputs!$H$8+Inputs!$L$8*(((Inputs!$I$8+(((A13)+1)/2)*(Inputs!$J$8-Inputs!$I$8)))/Inputs!$K$8)^2)</f>
        <v>830.60775999999987</v>
      </c>
      <c r="AC13" s="9">
        <f>(Inputs!$H$9+Inputs!$L$9*(((Inputs!$I$9+(((A13)+1)/2)*(Inputs!$J$9-Inputs!$I$9)))/Inputs!$K$9)^2)</f>
        <v>828.85239999999988</v>
      </c>
      <c r="AD13" s="10"/>
      <c r="AE13" s="9">
        <f t="shared" si="4"/>
        <v>-0.90800000000000003</v>
      </c>
      <c r="AF13" s="9">
        <f>(((SQRT(((Inputs!$I$6+(((A13)+1)/2)*(Inputs!$J$6-Inputs!$I$6)))^2+Inputs!$C$6^2+((Inputs!$H$6+Inputs!$L$6*(((Inputs!$I$6+(((A13)+1)/2)*(Inputs!$J$6-Inputs!$I$6)))/Inputs!$K$6)^2))^2))-((Inputs!$H$6+Inputs!$L$6*(((Inputs!$I$6+(((A13)+1)/2)*(Inputs!$J$6-Inputs!$I$6)))/Inputs!$K$6)^2)))*1000/Inputs!$C$12)</f>
        <v>2488.9200862943194</v>
      </c>
      <c r="AG13" s="9">
        <f>(((SQRT(((Inputs!$I$7+(((A13)+1)/2)*(Inputs!$J$7-Inputs!$I$7)))^2+Inputs!$C$6^2+((Inputs!$H$7+Inputs!$L$7*(((Inputs!$I$7+(((A13)+1)/2)*(Inputs!$J$7-Inputs!$I$7)))/Inputs!$K$7)^2))^2))-((Inputs!$H$7+Inputs!$L$7*(((Inputs!$I$7+(((A13)+1)/2)*(Inputs!$J$7-Inputs!$I$7)))/Inputs!$K$7)^2)))*1000/Inputs!$C$12)</f>
        <v>89571.316724298187</v>
      </c>
      <c r="AH13" s="9">
        <f>(((SQRT(((Inputs!$I$8+(((A13)+1)/2)*(Inputs!$J$8-Inputs!$I$8)))^2+Inputs!$C$6^2+((Inputs!$H$8+Inputs!$L$8*(((Inputs!$I$8+(((A13)+1)/2)*(Inputs!$J$8-Inputs!$I$8)))/Inputs!$K$8)^2))^2))-((Inputs!$H$8+Inputs!$L$8*(((Inputs!$I$8+(((A13)+1)/2)*(Inputs!$J$8-Inputs!$I$8)))/Inputs!$K$8)^2)))*1000/Inputs!$C$12)</f>
        <v>153432.1560011362</v>
      </c>
      <c r="AI13" s="9">
        <f>(((SQRT(((Inputs!$I$9+(((A13)+1)/2)*(Inputs!$J$9-Inputs!$I$9)))^2+Inputs!$C$6^2+((Inputs!$H$9+Inputs!$L$9*(((Inputs!$I$9+(((A13)+1)/2)*(Inputs!$J$9-Inputs!$I$9)))/Inputs!$K$9)^2))^2))-((Inputs!$H$9+Inputs!$L$9*(((Inputs!$I$9+(((A13)+1)/2)*(Inputs!$J$9-Inputs!$I$9)))/Inputs!$K$9)^2)))*1000/Inputs!$C$12)</f>
        <v>153676.51616447463</v>
      </c>
      <c r="AJ13" s="10"/>
      <c r="AK13" s="9">
        <f t="shared" si="5"/>
        <v>-0.90800000000000003</v>
      </c>
      <c r="AL13" s="9">
        <f>(-2*((1000*((((Inputs!$I$6+(((A13)+1)/2)*(Inputs!$J$6-Inputs!$I$6)))*Inputs!$C$11+((Inputs!$H$6+Inputs!$L$6*(((Inputs!$I$6+(((A13)+1)/2)*(Inputs!$J$6-Inputs!$I$6)))/Inputs!$K$6)^2))*((2*Inputs!$L$6*((Inputs!$I$6+(((A13)+1)/2)*(Inputs!$J$6-Inputs!$I$6)))/(Inputs!$K$6^2)*Inputs!$C$11)))/(SQRT(((Inputs!$I$6+(((A13)+1)/2)*(Inputs!$J$6-Inputs!$I$6)))^2+Inputs!$C$6^2+((Inputs!$H$6+Inputs!$L$6*(((Inputs!$I$6+(((A13)+1)/2)*(Inputs!$J$6-Inputs!$I$6)))/Inputs!$K$6)^2))^2)))))/Inputs!$C$13)</f>
        <v>405.39141078613972</v>
      </c>
      <c r="AM13" s="9">
        <f>(-2*((1000*((((Inputs!$I$7+(((A13)+1)/2)*(Inputs!$J$7-Inputs!$I$7)))*Inputs!$C$11+((Inputs!$H$7+Inputs!$L$7*(((Inputs!$I$7+(((A13)+1)/2)*(Inputs!$J$7-Inputs!$I$7)))/Inputs!$K$7)^2))*((2*Inputs!$L$7*((Inputs!$I$7+(((A13)+1)/2)*(Inputs!$J$7-Inputs!$I$7)))/(Inputs!$K$7^2)*Inputs!$C$11)))/(SQRT(((Inputs!$I$7+(((A13)+1)/2)*(Inputs!$J$7-Inputs!$I$7)))^2+Inputs!$C$6^2+((Inputs!$H$7+Inputs!$L$7*(((Inputs!$I$7+(((A13)+1)/2)*(Inputs!$J$7-Inputs!$I$7)))/Inputs!$K$7)^2))^2)))))/Inputs!$C$13)</f>
        <v>2971.1138136177751</v>
      </c>
      <c r="AN13" s="9">
        <f>(-2*((1000*((((Inputs!$I$8+(((A13)+1)/2)*(Inputs!$J$8-Inputs!$I$8)))*Inputs!$C$11+((Inputs!$H$8+Inputs!$L$8*(((Inputs!$I$8+(((A13)+1)/2)*(Inputs!$J$8-Inputs!$I$8)))/Inputs!$K$8)^2))*((2*Inputs!$L$8*((Inputs!$I$8+(((A13)+1)/2)*(Inputs!$J$8-Inputs!$I$8)))/(Inputs!$K$8^2)*Inputs!$C$11)))/(SQRT(((Inputs!$I$8+(((A13)+1)/2)*(Inputs!$J$8-Inputs!$I$8)))^2+Inputs!$C$6^2+((Inputs!$H$8+Inputs!$L$8*(((Inputs!$I$8+(((A13)+1)/2)*(Inputs!$J$8-Inputs!$I$8)))/Inputs!$K$8)^2))^2)))))/Inputs!$C$13)</f>
        <v>3690.6385734963019</v>
      </c>
      <c r="AO13" s="9">
        <f>(-2*((1000*((((Inputs!$I$9+(((A13)+1)/2)*(Inputs!$J$9-Inputs!$I$9)))*Inputs!$C$11+((Inputs!$H$9+Inputs!$L$9*(((Inputs!$I$9+(((A13)+1)/2)*(Inputs!$J$9-Inputs!$I$9)))/Inputs!$K$9)^2))*((2*Inputs!$L$9*((Inputs!$I$9+(((A13)+1)/2)*(Inputs!$J$9-Inputs!$I$9)))/(Inputs!$K$9^2)*Inputs!$C$11)))/(SQRT(((Inputs!$I$9+(((A13)+1)/2)*(Inputs!$J$9-Inputs!$I$9)))^2+Inputs!$C$6^2+((Inputs!$H$9+Inputs!$L$9*(((Inputs!$I$9+(((A13)+1)/2)*(Inputs!$J$9-Inputs!$I$9)))/Inputs!$K$9)^2))^2)))))/Inputs!$C$13)</f>
        <v>3716.7858858067689</v>
      </c>
    </row>
    <row r="14" spans="1:41">
      <c r="A14" s="9">
        <f>ROUND(-1+12*2/240,3)</f>
        <v>-0.9</v>
      </c>
      <c r="B14" s="9">
        <f>IF(OR(Inputs!$F$6=TRUE,Inputs!$F$6="TRUE",Inputs!$F$6=1),(Inputs!$H$6+Inputs!$L$6*(((Inputs!$I$6+(((A14)+1)/2)*(Inputs!$J$6-Inputs!$I$6)))/Inputs!$K$6)^2),NA())</f>
        <v>403.24</v>
      </c>
      <c r="C14" s="9">
        <f>IF(OR(Inputs!$F$7=TRUE,Inputs!$F$7="TRUE",Inputs!$F$7=1),(Inputs!$H$7+Inputs!$L$7*(((Inputs!$I$7+(((A14)+1)/2)*(Inputs!$J$7-Inputs!$I$7)))/Inputs!$K$7)^2),NA())</f>
        <v>330.65000000000003</v>
      </c>
      <c r="D14" s="9">
        <f>IF(OR(Inputs!$F$8=TRUE,Inputs!$F$8="TRUE",Inputs!$F$8=1),(Inputs!$H$8+Inputs!$L$8*(((Inputs!$I$8+(((A14)+1)/2)*(Inputs!$J$8-Inputs!$I$8)))/Inputs!$K$8)^2),NA())</f>
        <v>816.65000000000009</v>
      </c>
      <c r="E14" s="9">
        <f>IF(OR(Inputs!$F$9=TRUE,Inputs!$F$9="TRUE",Inputs!$F$9=1),(Inputs!$H$9+Inputs!$L$9*(((Inputs!$I$9+(((A14)+1)/2)*(Inputs!$J$9-Inputs!$I$9)))/Inputs!$K$9)^2),NA())</f>
        <v>814.75</v>
      </c>
      <c r="F14" s="10"/>
      <c r="G14" s="9">
        <f t="shared" si="0"/>
        <v>-0.9</v>
      </c>
      <c r="H14" s="9">
        <f>IF(OR(Inputs!$F$6=TRUE,Inputs!$F$6="TRUE",Inputs!$F$6=1),(((SQRT(((Inputs!$I$6+(((A14)+1)/2)*(Inputs!$J$6-Inputs!$I$6)))^2+Inputs!$C$6^2+((Inputs!$H$6+Inputs!$L$6*(((Inputs!$I$6+(((A14)+1)/2)*(Inputs!$J$6-Inputs!$I$6)))/Inputs!$K$6)^2))^2))-((Inputs!$H$6+Inputs!$L$6*(((Inputs!$I$6+(((A14)+1)/2)*(Inputs!$J$6-Inputs!$I$6)))/Inputs!$K$6)^2)))*1000/Inputs!$C$12),NA())</f>
        <v>2453.3922539609484</v>
      </c>
      <c r="I14" s="9">
        <f>IF(OR(Inputs!$F$7=TRUE,Inputs!$F$7="TRUE",Inputs!$F$7=1),(((SQRT(((Inputs!$I$7+(((A14)+1)/2)*(Inputs!$J$7-Inputs!$I$7)))^2+Inputs!$C$6^2+((Inputs!$H$7+Inputs!$L$7*(((Inputs!$I$7+(((A14)+1)/2)*(Inputs!$J$7-Inputs!$I$7)))/Inputs!$K$7)^2))^2))-((Inputs!$H$7+Inputs!$L$7*(((Inputs!$I$7+(((A14)+1)/2)*(Inputs!$J$7-Inputs!$I$7)))/Inputs!$K$7)^2)))*1000/Inputs!$C$12),NA())</f>
        <v>89209.534636218814</v>
      </c>
      <c r="J14" s="9">
        <f>IF(OR(Inputs!$F$8=TRUE,Inputs!$F$8="TRUE",Inputs!$F$8=1),(((SQRT(((Inputs!$I$8+(((A14)+1)/2)*(Inputs!$J$8-Inputs!$I$8)))^2+Inputs!$C$6^2+((Inputs!$H$8+Inputs!$L$8*(((Inputs!$I$8+(((A14)+1)/2)*(Inputs!$J$8-Inputs!$I$8)))/Inputs!$K$8)^2))^2))-((Inputs!$H$8+Inputs!$L$8*(((Inputs!$I$8+(((A14)+1)/2)*(Inputs!$J$8-Inputs!$I$8)))/Inputs!$K$8)^2)))*1000/Inputs!$C$12),NA())</f>
        <v>153011.09212788116</v>
      </c>
      <c r="K14" s="9">
        <f>IF(OR(Inputs!$F$9=TRUE,Inputs!$F$9="TRUE",Inputs!$F$9=1),(((SQRT(((Inputs!$I$9+(((A14)+1)/2)*(Inputs!$J$9-Inputs!$I$9)))^2+Inputs!$C$6^2+((Inputs!$H$9+Inputs!$L$9*(((Inputs!$I$9+(((A14)+1)/2)*(Inputs!$J$9-Inputs!$I$9)))/Inputs!$K$9)^2))^2))-((Inputs!$H$9+Inputs!$L$9*(((Inputs!$I$9+(((A14)+1)/2)*(Inputs!$J$9-Inputs!$I$9)))/Inputs!$K$9)^2)))*1000/Inputs!$C$12),NA())</f>
        <v>153278.45929556628</v>
      </c>
      <c r="L14" s="10"/>
      <c r="M14" s="9">
        <f t="shared" si="1"/>
        <v>-0.9</v>
      </c>
      <c r="N14" s="9">
        <f>IF(OR(Inputs!$F$6=TRUE,Inputs!$F$6="TRUE",Inputs!$F$6=1),(-2*((1000*((((Inputs!$I$6+(((A14)+1)/2)*(Inputs!$J$6-Inputs!$I$6)))*Inputs!$C$11+((Inputs!$H$6+Inputs!$L$6*(((Inputs!$I$6+(((A14)+1)/2)*(Inputs!$J$6-Inputs!$I$6)))/Inputs!$K$6)^2))*((2*Inputs!$L$6*((Inputs!$I$6+(((A14)+1)/2)*(Inputs!$J$6-Inputs!$I$6)))/(Inputs!$K$6^2)*Inputs!$C$11)))/(SQRT(((Inputs!$I$6+(((A14)+1)/2)*(Inputs!$J$6-Inputs!$I$6)))^2+Inputs!$C$6^2+((Inputs!$H$6+Inputs!$L$6*(((Inputs!$I$6+(((A14)+1)/2)*(Inputs!$J$6-Inputs!$I$6)))/Inputs!$K$6)^2))^2)))))/Inputs!$C$13),NA())</f>
        <v>401.91180387511957</v>
      </c>
      <c r="O14" s="9">
        <f>IF(OR(Inputs!$F$7=TRUE,Inputs!$F$7="TRUE",Inputs!$F$7=1),(-2*((1000*((((Inputs!$I$7+(((A14)+1)/2)*(Inputs!$J$7-Inputs!$I$7)))*Inputs!$C$11+((Inputs!$H$7+Inputs!$L$7*(((Inputs!$I$7+(((A14)+1)/2)*(Inputs!$J$7-Inputs!$I$7)))/Inputs!$K$7)^2))*((2*Inputs!$L$7*((Inputs!$I$7+(((A14)+1)/2)*(Inputs!$J$7-Inputs!$I$7)))/(Inputs!$K$7^2)*Inputs!$C$11)))/(SQRT(((Inputs!$I$7+(((A14)+1)/2)*(Inputs!$J$7-Inputs!$I$7)))^2+Inputs!$C$6^2+((Inputs!$H$7+Inputs!$L$7*(((Inputs!$I$7+(((A14)+1)/2)*(Inputs!$J$7-Inputs!$I$7)))/Inputs!$K$7)^2))^2)))))/Inputs!$C$13),NA())</f>
        <v>2952.2299505528299</v>
      </c>
      <c r="P14" s="9">
        <f>IF(OR(Inputs!$F$8=TRUE,Inputs!$F$8="TRUE",Inputs!$F$8=1),(-2*((1000*((((Inputs!$I$8+(((A14)+1)/2)*(Inputs!$J$8-Inputs!$I$8)))*Inputs!$C$11+((Inputs!$H$8+Inputs!$L$8*(((Inputs!$I$8+(((A14)+1)/2)*(Inputs!$J$8-Inputs!$I$8)))/Inputs!$K$8)^2))*((2*Inputs!$L$8*((Inputs!$I$8+(((A14)+1)/2)*(Inputs!$J$8-Inputs!$I$8)))/(Inputs!$K$8^2)*Inputs!$C$11)))/(SQRT(((Inputs!$I$8+(((A14)+1)/2)*(Inputs!$J$8-Inputs!$I$8)))^2+Inputs!$C$6^2+((Inputs!$H$8+Inputs!$L$8*(((Inputs!$I$8+(((A14)+1)/2)*(Inputs!$J$8-Inputs!$I$8)))/Inputs!$K$8)^2))^2)))))/Inputs!$C$13),NA())</f>
        <v>3662.9994561787107</v>
      </c>
      <c r="Q14" s="9">
        <f>IF(OR(Inputs!$F$9=TRUE,Inputs!$F$9="TRUE",Inputs!$F$9=1),(-2*((1000*((((Inputs!$I$9+(((A14)+1)/2)*(Inputs!$J$9-Inputs!$I$9)))*Inputs!$C$11+((Inputs!$H$9+Inputs!$L$9*(((Inputs!$I$9+(((A14)+1)/2)*(Inputs!$J$9-Inputs!$I$9)))/Inputs!$K$9)^2))*((2*Inputs!$L$9*((Inputs!$I$9+(((A14)+1)/2)*(Inputs!$J$9-Inputs!$I$9)))/(Inputs!$K$9^2)*Inputs!$C$11)))/(SQRT(((Inputs!$I$9+(((A14)+1)/2)*(Inputs!$J$9-Inputs!$I$9)))^2+Inputs!$C$6^2+((Inputs!$H$9+Inputs!$L$9*(((Inputs!$I$9+(((A14)+1)/2)*(Inputs!$J$9-Inputs!$I$9)))/Inputs!$K$9)^2))^2)))))/Inputs!$C$13),NA())</f>
        <v>3688.6956647181805</v>
      </c>
      <c r="R14" s="10"/>
      <c r="S14" s="9">
        <f t="shared" si="2"/>
        <v>-0.9</v>
      </c>
      <c r="T14" s="9">
        <f>(Inputs!$I$6+(((A14)+1)/2)*(Inputs!$J$6-Inputs!$I$6))</f>
        <v>-54</v>
      </c>
      <c r="U14" s="9">
        <f>(Inputs!$I$7+(((A14)+1)/2)*(Inputs!$J$7-Inputs!$I$7))</f>
        <v>-360</v>
      </c>
      <c r="V14" s="9">
        <f>(Inputs!$I$8+(((A14)+1)/2)*(Inputs!$J$8-Inputs!$I$8))</f>
        <v>-720</v>
      </c>
      <c r="W14" s="9">
        <f>(Inputs!$I$9+(((A14)+1)/2)*(Inputs!$J$9-Inputs!$I$9))</f>
        <v>-720</v>
      </c>
      <c r="X14" s="10"/>
      <c r="Y14" s="9">
        <f t="shared" si="3"/>
        <v>-0.9</v>
      </c>
      <c r="Z14" s="9">
        <f>(Inputs!$H$6+Inputs!$L$6*(((Inputs!$I$6+(((A14)+1)/2)*(Inputs!$J$6-Inputs!$I$6)))/Inputs!$K$6)^2)</f>
        <v>403.24</v>
      </c>
      <c r="AA14" s="9">
        <f>(Inputs!$H$7+Inputs!$L$7*(((Inputs!$I$7+(((A14)+1)/2)*(Inputs!$J$7-Inputs!$I$7)))/Inputs!$K$7)^2)</f>
        <v>330.65000000000003</v>
      </c>
      <c r="AB14" s="9">
        <f>(Inputs!$H$8+Inputs!$L$8*(((Inputs!$I$8+(((A14)+1)/2)*(Inputs!$J$8-Inputs!$I$8)))/Inputs!$K$8)^2)</f>
        <v>816.65000000000009</v>
      </c>
      <c r="AC14" s="9">
        <f>(Inputs!$H$9+Inputs!$L$9*(((Inputs!$I$9+(((A14)+1)/2)*(Inputs!$J$9-Inputs!$I$9)))/Inputs!$K$9)^2)</f>
        <v>814.75</v>
      </c>
      <c r="AD14" s="10"/>
      <c r="AE14" s="9">
        <f t="shared" si="4"/>
        <v>-0.9</v>
      </c>
      <c r="AF14" s="9">
        <f>(((SQRT(((Inputs!$I$6+(((A14)+1)/2)*(Inputs!$J$6-Inputs!$I$6)))^2+Inputs!$C$6^2+((Inputs!$H$6+Inputs!$L$6*(((Inputs!$I$6+(((A14)+1)/2)*(Inputs!$J$6-Inputs!$I$6)))/Inputs!$K$6)^2))^2))-((Inputs!$H$6+Inputs!$L$6*(((Inputs!$I$6+(((A14)+1)/2)*(Inputs!$J$6-Inputs!$I$6)))/Inputs!$K$6)^2)))*1000/Inputs!$C$12)</f>
        <v>2453.3922539609484</v>
      </c>
      <c r="AG14" s="9">
        <f>(((SQRT(((Inputs!$I$7+(((A14)+1)/2)*(Inputs!$J$7-Inputs!$I$7)))^2+Inputs!$C$6^2+((Inputs!$H$7+Inputs!$L$7*(((Inputs!$I$7+(((A14)+1)/2)*(Inputs!$J$7-Inputs!$I$7)))/Inputs!$K$7)^2))^2))-((Inputs!$H$7+Inputs!$L$7*(((Inputs!$I$7+(((A14)+1)/2)*(Inputs!$J$7-Inputs!$I$7)))/Inputs!$K$7)^2)))*1000/Inputs!$C$12)</f>
        <v>89209.534636218814</v>
      </c>
      <c r="AH14" s="9">
        <f>(((SQRT(((Inputs!$I$8+(((A14)+1)/2)*(Inputs!$J$8-Inputs!$I$8)))^2+Inputs!$C$6^2+((Inputs!$H$8+Inputs!$L$8*(((Inputs!$I$8+(((A14)+1)/2)*(Inputs!$J$8-Inputs!$I$8)))/Inputs!$K$8)^2))^2))-((Inputs!$H$8+Inputs!$L$8*(((Inputs!$I$8+(((A14)+1)/2)*(Inputs!$J$8-Inputs!$I$8)))/Inputs!$K$8)^2)))*1000/Inputs!$C$12)</f>
        <v>153011.09212788116</v>
      </c>
      <c r="AI14" s="9">
        <f>(((SQRT(((Inputs!$I$9+(((A14)+1)/2)*(Inputs!$J$9-Inputs!$I$9)))^2+Inputs!$C$6^2+((Inputs!$H$9+Inputs!$L$9*(((Inputs!$I$9+(((A14)+1)/2)*(Inputs!$J$9-Inputs!$I$9)))/Inputs!$K$9)^2))^2))-((Inputs!$H$9+Inputs!$L$9*(((Inputs!$I$9+(((A14)+1)/2)*(Inputs!$J$9-Inputs!$I$9)))/Inputs!$K$9)^2)))*1000/Inputs!$C$12)</f>
        <v>153278.45929556628</v>
      </c>
      <c r="AJ14" s="10"/>
      <c r="AK14" s="9">
        <f t="shared" si="5"/>
        <v>-0.9</v>
      </c>
      <c r="AL14" s="9">
        <f>(-2*((1000*((((Inputs!$I$6+(((A14)+1)/2)*(Inputs!$J$6-Inputs!$I$6)))*Inputs!$C$11+((Inputs!$H$6+Inputs!$L$6*(((Inputs!$I$6+(((A14)+1)/2)*(Inputs!$J$6-Inputs!$I$6)))/Inputs!$K$6)^2))*((2*Inputs!$L$6*((Inputs!$I$6+(((A14)+1)/2)*(Inputs!$J$6-Inputs!$I$6)))/(Inputs!$K$6^2)*Inputs!$C$11)))/(SQRT(((Inputs!$I$6+(((A14)+1)/2)*(Inputs!$J$6-Inputs!$I$6)))^2+Inputs!$C$6^2+((Inputs!$H$6+Inputs!$L$6*(((Inputs!$I$6+(((A14)+1)/2)*(Inputs!$J$6-Inputs!$I$6)))/Inputs!$K$6)^2))^2)))))/Inputs!$C$13)</f>
        <v>401.91180387511957</v>
      </c>
      <c r="AM14" s="9">
        <f>(-2*((1000*((((Inputs!$I$7+(((A14)+1)/2)*(Inputs!$J$7-Inputs!$I$7)))*Inputs!$C$11+((Inputs!$H$7+Inputs!$L$7*(((Inputs!$I$7+(((A14)+1)/2)*(Inputs!$J$7-Inputs!$I$7)))/Inputs!$K$7)^2))*((2*Inputs!$L$7*((Inputs!$I$7+(((A14)+1)/2)*(Inputs!$J$7-Inputs!$I$7)))/(Inputs!$K$7^2)*Inputs!$C$11)))/(SQRT(((Inputs!$I$7+(((A14)+1)/2)*(Inputs!$J$7-Inputs!$I$7)))^2+Inputs!$C$6^2+((Inputs!$H$7+Inputs!$L$7*(((Inputs!$I$7+(((A14)+1)/2)*(Inputs!$J$7-Inputs!$I$7)))/Inputs!$K$7)^2))^2)))))/Inputs!$C$13)</f>
        <v>2952.2299505528299</v>
      </c>
      <c r="AN14" s="9">
        <f>(-2*((1000*((((Inputs!$I$8+(((A14)+1)/2)*(Inputs!$J$8-Inputs!$I$8)))*Inputs!$C$11+((Inputs!$H$8+Inputs!$L$8*(((Inputs!$I$8+(((A14)+1)/2)*(Inputs!$J$8-Inputs!$I$8)))/Inputs!$K$8)^2))*((2*Inputs!$L$8*((Inputs!$I$8+(((A14)+1)/2)*(Inputs!$J$8-Inputs!$I$8)))/(Inputs!$K$8^2)*Inputs!$C$11)))/(SQRT(((Inputs!$I$8+(((A14)+1)/2)*(Inputs!$J$8-Inputs!$I$8)))^2+Inputs!$C$6^2+((Inputs!$H$8+Inputs!$L$8*(((Inputs!$I$8+(((A14)+1)/2)*(Inputs!$J$8-Inputs!$I$8)))/Inputs!$K$8)^2))^2)))))/Inputs!$C$13)</f>
        <v>3662.9994561787107</v>
      </c>
      <c r="AO14" s="9">
        <f>(-2*((1000*((((Inputs!$I$9+(((A14)+1)/2)*(Inputs!$J$9-Inputs!$I$9)))*Inputs!$C$11+((Inputs!$H$9+Inputs!$L$9*(((Inputs!$I$9+(((A14)+1)/2)*(Inputs!$J$9-Inputs!$I$9)))/Inputs!$K$9)^2))*((2*Inputs!$L$9*((Inputs!$I$9+(((A14)+1)/2)*(Inputs!$J$9-Inputs!$I$9)))/(Inputs!$K$9^2)*Inputs!$C$11)))/(SQRT(((Inputs!$I$9+(((A14)+1)/2)*(Inputs!$J$9-Inputs!$I$9)))^2+Inputs!$C$6^2+((Inputs!$H$9+Inputs!$L$9*(((Inputs!$I$9+(((A14)+1)/2)*(Inputs!$J$9-Inputs!$I$9)))/Inputs!$K$9)^2))^2)))))/Inputs!$C$13)</f>
        <v>3688.6956647181805</v>
      </c>
    </row>
    <row r="15" spans="1:41">
      <c r="A15" s="9">
        <f>ROUND(-1+13*2/240,3)</f>
        <v>-0.89200000000000002</v>
      </c>
      <c r="B15" s="9">
        <f>IF(OR(Inputs!$F$6=TRUE,Inputs!$F$6="TRUE",Inputs!$F$6=1),(Inputs!$H$6+Inputs!$L$6*(((Inputs!$I$6+(((A15)+1)/2)*(Inputs!$J$6-Inputs!$I$6)))/Inputs!$K$6)^2),NA())</f>
        <v>403.18265600000001</v>
      </c>
      <c r="C15" s="9">
        <f>IF(OR(Inputs!$F$7=TRUE,Inputs!$F$7="TRUE",Inputs!$F$7=1),(Inputs!$H$7+Inputs!$L$7*(((Inputs!$I$7+(((A15)+1)/2)*(Inputs!$J$7-Inputs!$I$7)))/Inputs!$K$7)^2),NA())</f>
        <v>325.41736000000003</v>
      </c>
      <c r="D15" s="9">
        <f>IF(OR(Inputs!$F$8=TRUE,Inputs!$F$8="TRUE",Inputs!$F$8=1),(Inputs!$H$8+Inputs!$L$8*(((Inputs!$I$8+(((A15)+1)/2)*(Inputs!$J$8-Inputs!$I$8)))/Inputs!$K$8)^2),NA())</f>
        <v>802.81576000000007</v>
      </c>
      <c r="E15" s="9">
        <f>IF(OR(Inputs!$F$9=TRUE,Inputs!$F$9="TRUE",Inputs!$F$9=1),(Inputs!$H$9+Inputs!$L$9*(((Inputs!$I$9+(((A15)+1)/2)*(Inputs!$J$9-Inputs!$I$9)))/Inputs!$K$9)^2),NA())</f>
        <v>800.77240000000006</v>
      </c>
      <c r="F15" s="10"/>
      <c r="G15" s="9">
        <f t="shared" si="0"/>
        <v>-0.89200000000000002</v>
      </c>
      <c r="H15" s="9">
        <f>IF(OR(Inputs!$F$6=TRUE,Inputs!$F$6="TRUE",Inputs!$F$6=1),(((SQRT(((Inputs!$I$6+(((A15)+1)/2)*(Inputs!$J$6-Inputs!$I$6)))^2+Inputs!$C$6^2+((Inputs!$H$6+Inputs!$L$6*(((Inputs!$I$6+(((A15)+1)/2)*(Inputs!$J$6-Inputs!$I$6)))/Inputs!$K$6)^2))^2))-((Inputs!$H$6+Inputs!$L$6*(((Inputs!$I$6+(((A15)+1)/2)*(Inputs!$J$6-Inputs!$I$6)))/Inputs!$K$6)^2)))*1000/Inputs!$C$12),NA())</f>
        <v>2418.1634313598552</v>
      </c>
      <c r="I15" s="9">
        <f>IF(OR(Inputs!$F$7=TRUE,Inputs!$F$7="TRUE",Inputs!$F$7=1),(((SQRT(((Inputs!$I$7+(((A15)+1)/2)*(Inputs!$J$7-Inputs!$I$7)))^2+Inputs!$C$6^2+((Inputs!$H$7+Inputs!$L$7*(((Inputs!$I$7+(((A15)+1)/2)*(Inputs!$J$7-Inputs!$I$7)))/Inputs!$K$7)^2))^2))-((Inputs!$H$7+Inputs!$L$7*(((Inputs!$I$7+(((A15)+1)/2)*(Inputs!$J$7-Inputs!$I$7)))/Inputs!$K$7)^2)))*1000/Inputs!$C$12),NA())</f>
        <v>88842.68372113182</v>
      </c>
      <c r="J15" s="9">
        <f>IF(OR(Inputs!$F$8=TRUE,Inputs!$F$8="TRUE",Inputs!$F$8=1),(((SQRT(((Inputs!$I$8+(((A15)+1)/2)*(Inputs!$J$8-Inputs!$I$8)))^2+Inputs!$C$6^2+((Inputs!$H$8+Inputs!$L$8*(((Inputs!$I$8+(((A15)+1)/2)*(Inputs!$J$8-Inputs!$I$8)))/Inputs!$K$8)^2))^2))-((Inputs!$H$8+Inputs!$L$8*(((Inputs!$I$8+(((A15)+1)/2)*(Inputs!$J$8-Inputs!$I$8)))/Inputs!$K$8)^2)))*1000/Inputs!$C$12),NA())</f>
        <v>152582.66940985864</v>
      </c>
      <c r="K15" s="9">
        <f>IF(OR(Inputs!$F$9=TRUE,Inputs!$F$9="TRUE",Inputs!$F$9=1),(((SQRT(((Inputs!$I$9+(((A15)+1)/2)*(Inputs!$J$9-Inputs!$I$9)))^2+Inputs!$C$6^2+((Inputs!$H$9+Inputs!$L$9*(((Inputs!$I$9+(((A15)+1)/2)*(Inputs!$J$9-Inputs!$I$9)))/Inputs!$K$9)^2))^2))-((Inputs!$H$9+Inputs!$L$9*(((Inputs!$I$9+(((A15)+1)/2)*(Inputs!$J$9-Inputs!$I$9)))/Inputs!$K$9)^2)))*1000/Inputs!$C$12),NA())</f>
        <v>152873.3398484537</v>
      </c>
      <c r="L15" s="10"/>
      <c r="M15" s="9">
        <f t="shared" si="1"/>
        <v>-0.89200000000000002</v>
      </c>
      <c r="N15" s="9">
        <f>IF(OR(Inputs!$F$6=TRUE,Inputs!$F$6="TRUE",Inputs!$F$6=1),(-2*((1000*((((Inputs!$I$6+(((A15)+1)/2)*(Inputs!$J$6-Inputs!$I$6)))*Inputs!$C$11+((Inputs!$H$6+Inputs!$L$6*(((Inputs!$I$6+(((A15)+1)/2)*(Inputs!$J$6-Inputs!$I$6)))/Inputs!$K$6)^2))*((2*Inputs!$L$6*((Inputs!$I$6+(((A15)+1)/2)*(Inputs!$J$6-Inputs!$I$6)))/(Inputs!$K$6^2)*Inputs!$C$11)))/(SQRT(((Inputs!$I$6+(((A15)+1)/2)*(Inputs!$J$6-Inputs!$I$6)))^2+Inputs!$C$6^2+((Inputs!$H$6+Inputs!$L$6*(((Inputs!$I$6+(((A15)+1)/2)*(Inputs!$J$6-Inputs!$I$6)))/Inputs!$K$6)^2))^2)))))/Inputs!$C$13),NA())</f>
        <v>398.42983154982005</v>
      </c>
      <c r="O15" s="9">
        <f>IF(OR(Inputs!$F$7=TRUE,Inputs!$F$7="TRUE",Inputs!$F$7=1),(-2*((1000*((((Inputs!$I$7+(((A15)+1)/2)*(Inputs!$J$7-Inputs!$I$7)))*Inputs!$C$11+((Inputs!$H$7+Inputs!$L$7*(((Inputs!$I$7+(((A15)+1)/2)*(Inputs!$J$7-Inputs!$I$7)))/Inputs!$K$7)^2))*((2*Inputs!$L$7*((Inputs!$I$7+(((A15)+1)/2)*(Inputs!$J$7-Inputs!$I$7)))/(Inputs!$K$7^2)*Inputs!$C$11)))/(SQRT(((Inputs!$I$7+(((A15)+1)/2)*(Inputs!$J$7-Inputs!$I$7)))^2+Inputs!$C$6^2+((Inputs!$H$7+Inputs!$L$7*(((Inputs!$I$7+(((A15)+1)/2)*(Inputs!$J$7-Inputs!$I$7)))/Inputs!$K$7)^2))^2)))))/Inputs!$C$13),NA())</f>
        <v>2933.4165029557362</v>
      </c>
      <c r="P15" s="9">
        <f>IF(OR(Inputs!$F$8=TRUE,Inputs!$F$8="TRUE",Inputs!$F$8=1),(-2*((1000*((((Inputs!$I$8+(((A15)+1)/2)*(Inputs!$J$8-Inputs!$I$8)))*Inputs!$C$11+((Inputs!$H$8+Inputs!$L$8*(((Inputs!$I$8+(((A15)+1)/2)*(Inputs!$J$8-Inputs!$I$8)))/Inputs!$K$8)^2))*((2*Inputs!$L$8*((Inputs!$I$8+(((A15)+1)/2)*(Inputs!$J$8-Inputs!$I$8)))/(Inputs!$K$8^2)*Inputs!$C$11)))/(SQRT(((Inputs!$I$8+(((A15)+1)/2)*(Inputs!$J$8-Inputs!$I$8)))^2+Inputs!$C$6^2+((Inputs!$H$8+Inputs!$L$8*(((Inputs!$I$8+(((A15)+1)/2)*(Inputs!$J$8-Inputs!$I$8)))/Inputs!$K$8)^2))^2)))))/Inputs!$C$13),NA())</f>
        <v>3635.4282023081128</v>
      </c>
      <c r="Q15" s="9">
        <f>IF(OR(Inputs!$F$9=TRUE,Inputs!$F$9="TRUE",Inputs!$F$9=1),(-2*((1000*((((Inputs!$I$9+(((A15)+1)/2)*(Inputs!$J$9-Inputs!$I$9)))*Inputs!$C$11+((Inputs!$H$9+Inputs!$L$9*(((Inputs!$I$9+(((A15)+1)/2)*(Inputs!$J$9-Inputs!$I$9)))/Inputs!$K$9)^2))*((2*Inputs!$L$9*((Inputs!$I$9+(((A15)+1)/2)*(Inputs!$J$9-Inputs!$I$9)))/(Inputs!$K$9^2)*Inputs!$C$11)))/(SQRT(((Inputs!$I$9+(((A15)+1)/2)*(Inputs!$J$9-Inputs!$I$9)))^2+Inputs!$C$6^2+((Inputs!$H$9+Inputs!$L$9*(((Inputs!$I$9+(((A15)+1)/2)*(Inputs!$J$9-Inputs!$I$9)))/Inputs!$K$9)^2))^2)))))/Inputs!$C$13),NA())</f>
        <v>3660.671838425008</v>
      </c>
      <c r="R15" s="10"/>
      <c r="S15" s="9">
        <f t="shared" si="2"/>
        <v>-0.89200000000000002</v>
      </c>
      <c r="T15" s="9">
        <f>(Inputs!$I$6+(((A15)+1)/2)*(Inputs!$J$6-Inputs!$I$6))</f>
        <v>-53.52</v>
      </c>
      <c r="U15" s="9">
        <f>(Inputs!$I$7+(((A15)+1)/2)*(Inputs!$J$7-Inputs!$I$7))</f>
        <v>-356.8</v>
      </c>
      <c r="V15" s="9">
        <f>(Inputs!$I$8+(((A15)+1)/2)*(Inputs!$J$8-Inputs!$I$8))</f>
        <v>-713.6</v>
      </c>
      <c r="W15" s="9">
        <f>(Inputs!$I$9+(((A15)+1)/2)*(Inputs!$J$9-Inputs!$I$9))</f>
        <v>-713.6</v>
      </c>
      <c r="X15" s="10"/>
      <c r="Y15" s="9">
        <f t="shared" si="3"/>
        <v>-0.89200000000000002</v>
      </c>
      <c r="Z15" s="9">
        <f>(Inputs!$H$6+Inputs!$L$6*(((Inputs!$I$6+(((A15)+1)/2)*(Inputs!$J$6-Inputs!$I$6)))/Inputs!$K$6)^2)</f>
        <v>403.18265600000001</v>
      </c>
      <c r="AA15" s="9">
        <f>(Inputs!$H$7+Inputs!$L$7*(((Inputs!$I$7+(((A15)+1)/2)*(Inputs!$J$7-Inputs!$I$7)))/Inputs!$K$7)^2)</f>
        <v>325.41736000000003</v>
      </c>
      <c r="AB15" s="9">
        <f>(Inputs!$H$8+Inputs!$L$8*(((Inputs!$I$8+(((A15)+1)/2)*(Inputs!$J$8-Inputs!$I$8)))/Inputs!$K$8)^2)</f>
        <v>802.81576000000007</v>
      </c>
      <c r="AC15" s="9">
        <f>(Inputs!$H$9+Inputs!$L$9*(((Inputs!$I$9+(((A15)+1)/2)*(Inputs!$J$9-Inputs!$I$9)))/Inputs!$K$9)^2)</f>
        <v>800.77240000000006</v>
      </c>
      <c r="AD15" s="10"/>
      <c r="AE15" s="9">
        <f t="shared" si="4"/>
        <v>-0.89200000000000002</v>
      </c>
      <c r="AF15" s="9">
        <f>(((SQRT(((Inputs!$I$6+(((A15)+1)/2)*(Inputs!$J$6-Inputs!$I$6)))^2+Inputs!$C$6^2+((Inputs!$H$6+Inputs!$L$6*(((Inputs!$I$6+(((A15)+1)/2)*(Inputs!$J$6-Inputs!$I$6)))/Inputs!$K$6)^2))^2))-((Inputs!$H$6+Inputs!$L$6*(((Inputs!$I$6+(((A15)+1)/2)*(Inputs!$J$6-Inputs!$I$6)))/Inputs!$K$6)^2)))*1000/Inputs!$C$12)</f>
        <v>2418.1634313598552</v>
      </c>
      <c r="AG15" s="9">
        <f>(((SQRT(((Inputs!$I$7+(((A15)+1)/2)*(Inputs!$J$7-Inputs!$I$7)))^2+Inputs!$C$6^2+((Inputs!$H$7+Inputs!$L$7*(((Inputs!$I$7+(((A15)+1)/2)*(Inputs!$J$7-Inputs!$I$7)))/Inputs!$K$7)^2))^2))-((Inputs!$H$7+Inputs!$L$7*(((Inputs!$I$7+(((A15)+1)/2)*(Inputs!$J$7-Inputs!$I$7)))/Inputs!$K$7)^2)))*1000/Inputs!$C$12)</f>
        <v>88842.68372113182</v>
      </c>
      <c r="AH15" s="9">
        <f>(((SQRT(((Inputs!$I$8+(((A15)+1)/2)*(Inputs!$J$8-Inputs!$I$8)))^2+Inputs!$C$6^2+((Inputs!$H$8+Inputs!$L$8*(((Inputs!$I$8+(((A15)+1)/2)*(Inputs!$J$8-Inputs!$I$8)))/Inputs!$K$8)^2))^2))-((Inputs!$H$8+Inputs!$L$8*(((Inputs!$I$8+(((A15)+1)/2)*(Inputs!$J$8-Inputs!$I$8)))/Inputs!$K$8)^2)))*1000/Inputs!$C$12)</f>
        <v>152582.66940985864</v>
      </c>
      <c r="AI15" s="9">
        <f>(((SQRT(((Inputs!$I$9+(((A15)+1)/2)*(Inputs!$J$9-Inputs!$I$9)))^2+Inputs!$C$6^2+((Inputs!$H$9+Inputs!$L$9*(((Inputs!$I$9+(((A15)+1)/2)*(Inputs!$J$9-Inputs!$I$9)))/Inputs!$K$9)^2))^2))-((Inputs!$H$9+Inputs!$L$9*(((Inputs!$I$9+(((A15)+1)/2)*(Inputs!$J$9-Inputs!$I$9)))/Inputs!$K$9)^2)))*1000/Inputs!$C$12)</f>
        <v>152873.3398484537</v>
      </c>
      <c r="AJ15" s="10"/>
      <c r="AK15" s="9">
        <f t="shared" si="5"/>
        <v>-0.89200000000000002</v>
      </c>
      <c r="AL15" s="9">
        <f>(-2*((1000*((((Inputs!$I$6+(((A15)+1)/2)*(Inputs!$J$6-Inputs!$I$6)))*Inputs!$C$11+((Inputs!$H$6+Inputs!$L$6*(((Inputs!$I$6+(((A15)+1)/2)*(Inputs!$J$6-Inputs!$I$6)))/Inputs!$K$6)^2))*((2*Inputs!$L$6*((Inputs!$I$6+(((A15)+1)/2)*(Inputs!$J$6-Inputs!$I$6)))/(Inputs!$K$6^2)*Inputs!$C$11)))/(SQRT(((Inputs!$I$6+(((A15)+1)/2)*(Inputs!$J$6-Inputs!$I$6)))^2+Inputs!$C$6^2+((Inputs!$H$6+Inputs!$L$6*(((Inputs!$I$6+(((A15)+1)/2)*(Inputs!$J$6-Inputs!$I$6)))/Inputs!$K$6)^2))^2)))))/Inputs!$C$13)</f>
        <v>398.42983154982005</v>
      </c>
      <c r="AM15" s="9">
        <f>(-2*((1000*((((Inputs!$I$7+(((A15)+1)/2)*(Inputs!$J$7-Inputs!$I$7)))*Inputs!$C$11+((Inputs!$H$7+Inputs!$L$7*(((Inputs!$I$7+(((A15)+1)/2)*(Inputs!$J$7-Inputs!$I$7)))/Inputs!$K$7)^2))*((2*Inputs!$L$7*((Inputs!$I$7+(((A15)+1)/2)*(Inputs!$J$7-Inputs!$I$7)))/(Inputs!$K$7^2)*Inputs!$C$11)))/(SQRT(((Inputs!$I$7+(((A15)+1)/2)*(Inputs!$J$7-Inputs!$I$7)))^2+Inputs!$C$6^2+((Inputs!$H$7+Inputs!$L$7*(((Inputs!$I$7+(((A15)+1)/2)*(Inputs!$J$7-Inputs!$I$7)))/Inputs!$K$7)^2))^2)))))/Inputs!$C$13)</f>
        <v>2933.4165029557362</v>
      </c>
      <c r="AN15" s="9">
        <f>(-2*((1000*((((Inputs!$I$8+(((A15)+1)/2)*(Inputs!$J$8-Inputs!$I$8)))*Inputs!$C$11+((Inputs!$H$8+Inputs!$L$8*(((Inputs!$I$8+(((A15)+1)/2)*(Inputs!$J$8-Inputs!$I$8)))/Inputs!$K$8)^2))*((2*Inputs!$L$8*((Inputs!$I$8+(((A15)+1)/2)*(Inputs!$J$8-Inputs!$I$8)))/(Inputs!$K$8^2)*Inputs!$C$11)))/(SQRT(((Inputs!$I$8+(((A15)+1)/2)*(Inputs!$J$8-Inputs!$I$8)))^2+Inputs!$C$6^2+((Inputs!$H$8+Inputs!$L$8*(((Inputs!$I$8+(((A15)+1)/2)*(Inputs!$J$8-Inputs!$I$8)))/Inputs!$K$8)^2))^2)))))/Inputs!$C$13)</f>
        <v>3635.4282023081128</v>
      </c>
      <c r="AO15" s="9">
        <f>(-2*((1000*((((Inputs!$I$9+(((A15)+1)/2)*(Inputs!$J$9-Inputs!$I$9)))*Inputs!$C$11+((Inputs!$H$9+Inputs!$L$9*(((Inputs!$I$9+(((A15)+1)/2)*(Inputs!$J$9-Inputs!$I$9)))/Inputs!$K$9)^2))*((2*Inputs!$L$9*((Inputs!$I$9+(((A15)+1)/2)*(Inputs!$J$9-Inputs!$I$9)))/(Inputs!$K$9^2)*Inputs!$C$11)))/(SQRT(((Inputs!$I$9+(((A15)+1)/2)*(Inputs!$J$9-Inputs!$I$9)))^2+Inputs!$C$6^2+((Inputs!$H$9+Inputs!$L$9*(((Inputs!$I$9+(((A15)+1)/2)*(Inputs!$J$9-Inputs!$I$9)))/Inputs!$K$9)^2))^2)))))/Inputs!$C$13)</f>
        <v>3660.671838425008</v>
      </c>
    </row>
    <row r="16" spans="1:41">
      <c r="A16" s="9">
        <f>ROUND(-1+14*2/240,3)</f>
        <v>-0.88300000000000001</v>
      </c>
      <c r="B16" s="9">
        <f>IF(OR(Inputs!$F$6=TRUE,Inputs!$F$6="TRUE",Inputs!$F$6=1),(Inputs!$H$6+Inputs!$L$6*(((Inputs!$I$6+(((A16)+1)/2)*(Inputs!$J$6-Inputs!$I$6)))/Inputs!$K$6)^2),NA())</f>
        <v>403.11875600000002</v>
      </c>
      <c r="C16" s="9">
        <f>IF(OR(Inputs!$F$7=TRUE,Inputs!$F$7="TRUE",Inputs!$F$7=1),(Inputs!$H$7+Inputs!$L$7*(((Inputs!$I$7+(((A16)+1)/2)*(Inputs!$J$7-Inputs!$I$7)))/Inputs!$K$7)^2),NA())</f>
        <v>319.58648499999998</v>
      </c>
      <c r="D16" s="9">
        <f>IF(OR(Inputs!$F$8=TRUE,Inputs!$F$8="TRUE",Inputs!$F$8=1),(Inputs!$H$8+Inputs!$L$8*(((Inputs!$I$8+(((A16)+1)/2)*(Inputs!$J$8-Inputs!$I$8)))/Inputs!$K$8)^2),NA())</f>
        <v>787.39988499999993</v>
      </c>
      <c r="E16" s="9">
        <f>IF(OR(Inputs!$F$9=TRUE,Inputs!$F$9="TRUE",Inputs!$F$9=1),(Inputs!$H$9+Inputs!$L$9*(((Inputs!$I$9+(((A16)+1)/2)*(Inputs!$J$9-Inputs!$I$9)))/Inputs!$K$9)^2),NA())</f>
        <v>785.196775</v>
      </c>
      <c r="F16" s="10"/>
      <c r="G16" s="9">
        <f t="shared" si="0"/>
        <v>-0.88300000000000001</v>
      </c>
      <c r="H16" s="9">
        <f>IF(OR(Inputs!$F$6=TRUE,Inputs!$F$6="TRUE",Inputs!$F$6=1),(((SQRT(((Inputs!$I$6+(((A16)+1)/2)*(Inputs!$J$6-Inputs!$I$6)))^2+Inputs!$C$6^2+((Inputs!$H$6+Inputs!$L$6*(((Inputs!$I$6+(((A16)+1)/2)*(Inputs!$J$6-Inputs!$I$6)))/Inputs!$K$6)^2))^2))-((Inputs!$H$6+Inputs!$L$6*(((Inputs!$I$6+(((A16)+1)/2)*(Inputs!$J$6-Inputs!$I$6)))/Inputs!$K$6)^2)))*1000/Inputs!$C$12),NA())</f>
        <v>2378.8889104324562</v>
      </c>
      <c r="I16" s="9">
        <f>IF(OR(Inputs!$F$7=TRUE,Inputs!$F$7="TRUE",Inputs!$F$7=1),(((SQRT(((Inputs!$I$7+(((A16)+1)/2)*(Inputs!$J$7-Inputs!$I$7)))^2+Inputs!$C$6^2+((Inputs!$H$7+Inputs!$L$7*(((Inputs!$I$7+(((A16)+1)/2)*(Inputs!$J$7-Inputs!$I$7)))/Inputs!$K$7)^2))^2))-((Inputs!$H$7+Inputs!$L$7*(((Inputs!$I$7+(((A16)+1)/2)*(Inputs!$J$7-Inputs!$I$7)))/Inputs!$K$7)^2)))*1000/Inputs!$C$12),NA())</f>
        <v>88423.818304443324</v>
      </c>
      <c r="J16" s="9">
        <f>IF(OR(Inputs!$F$8=TRUE,Inputs!$F$8="TRUE",Inputs!$F$8=1),(((SQRT(((Inputs!$I$8+(((A16)+1)/2)*(Inputs!$J$8-Inputs!$I$8)))^2+Inputs!$C$6^2+((Inputs!$H$8+Inputs!$L$8*(((Inputs!$I$8+(((A16)+1)/2)*(Inputs!$J$8-Inputs!$I$8)))/Inputs!$K$8)^2))^2))-((Inputs!$H$8+Inputs!$L$8*(((Inputs!$I$8+(((A16)+1)/2)*(Inputs!$J$8-Inputs!$I$8)))/Inputs!$K$8)^2)))*1000/Inputs!$C$12),NA())</f>
        <v>152091.70553919495</v>
      </c>
      <c r="K16" s="9">
        <f>IF(OR(Inputs!$F$9=TRUE,Inputs!$F$9="TRUE",Inputs!$F$9=1),(((SQRT(((Inputs!$I$9+(((A16)+1)/2)*(Inputs!$J$9-Inputs!$I$9)))^2+Inputs!$C$6^2+((Inputs!$H$9+Inputs!$L$9*(((Inputs!$I$9+(((A16)+1)/2)*(Inputs!$J$9-Inputs!$I$9)))/Inputs!$K$9)^2))^2))-((Inputs!$H$9+Inputs!$L$9*(((Inputs!$I$9+(((A16)+1)/2)*(Inputs!$J$9-Inputs!$I$9)))/Inputs!$K$9)^2)))*1000/Inputs!$C$12),NA())</f>
        <v>152408.95038778541</v>
      </c>
      <c r="L16" s="10"/>
      <c r="M16" s="9">
        <f t="shared" si="1"/>
        <v>-0.88300000000000001</v>
      </c>
      <c r="N16" s="9">
        <f>IF(OR(Inputs!$F$6=TRUE,Inputs!$F$6="TRUE",Inputs!$F$6=1),(-2*((1000*((((Inputs!$I$6+(((A16)+1)/2)*(Inputs!$J$6-Inputs!$I$6)))*Inputs!$C$11+((Inputs!$H$6+Inputs!$L$6*(((Inputs!$I$6+(((A16)+1)/2)*(Inputs!$J$6-Inputs!$I$6)))/Inputs!$K$6)^2))*((2*Inputs!$L$6*((Inputs!$I$6+(((A16)+1)/2)*(Inputs!$J$6-Inputs!$I$6)))/(Inputs!$K$6^2)*Inputs!$C$11)))/(SQRT(((Inputs!$I$6+(((A16)+1)/2)*(Inputs!$J$6-Inputs!$I$6)))^2+Inputs!$C$6^2+((Inputs!$H$6+Inputs!$L$6*(((Inputs!$I$6+(((A16)+1)/2)*(Inputs!$J$6-Inputs!$I$6)))/Inputs!$K$6)^2))^2)))))/Inputs!$C$13),NA())</f>
        <v>394.50980714850186</v>
      </c>
      <c r="O16" s="9">
        <f>IF(OR(Inputs!$F$7=TRUE,Inputs!$F$7="TRUE",Inputs!$F$7=1),(-2*((1000*((((Inputs!$I$7+(((A16)+1)/2)*(Inputs!$J$7-Inputs!$I$7)))*Inputs!$C$11+((Inputs!$H$7+Inputs!$L$7*(((Inputs!$I$7+(((A16)+1)/2)*(Inputs!$J$7-Inputs!$I$7)))/Inputs!$K$7)^2))*((2*Inputs!$L$7*((Inputs!$I$7+(((A16)+1)/2)*(Inputs!$J$7-Inputs!$I$7)))/(Inputs!$K$7^2)*Inputs!$C$11)))/(SQRT(((Inputs!$I$7+(((A16)+1)/2)*(Inputs!$J$7-Inputs!$I$7)))^2+Inputs!$C$6^2+((Inputs!$H$7+Inputs!$L$7*(((Inputs!$I$7+(((A16)+1)/2)*(Inputs!$J$7-Inputs!$I$7)))/Inputs!$K$7)^2))^2)))))/Inputs!$C$13),NA())</f>
        <v>2912.3368736657699</v>
      </c>
      <c r="P16" s="9">
        <f>IF(OR(Inputs!$F$8=TRUE,Inputs!$F$8="TRUE",Inputs!$F$8=1),(-2*((1000*((((Inputs!$I$8+(((A16)+1)/2)*(Inputs!$J$8-Inputs!$I$8)))*Inputs!$C$11+((Inputs!$H$8+Inputs!$L$8*(((Inputs!$I$8+(((A16)+1)/2)*(Inputs!$J$8-Inputs!$I$8)))/Inputs!$K$8)^2))*((2*Inputs!$L$8*((Inputs!$I$8+(((A16)+1)/2)*(Inputs!$J$8-Inputs!$I$8)))/(Inputs!$K$8^2)*Inputs!$C$11)))/(SQRT(((Inputs!$I$8+(((A16)+1)/2)*(Inputs!$J$8-Inputs!$I$8)))^2+Inputs!$C$6^2+((Inputs!$H$8+Inputs!$L$8*(((Inputs!$I$8+(((A16)+1)/2)*(Inputs!$J$8-Inputs!$I$8)))/Inputs!$K$8)^2))^2)))))/Inputs!$C$13),NA())</f>
        <v>3604.4936027267554</v>
      </c>
      <c r="Q16" s="9">
        <f>IF(OR(Inputs!$F$9=TRUE,Inputs!$F$9="TRUE",Inputs!$F$9=1),(-2*((1000*((((Inputs!$I$9+(((A16)+1)/2)*(Inputs!$J$9-Inputs!$I$9)))*Inputs!$C$11+((Inputs!$H$9+Inputs!$L$9*(((Inputs!$I$9+(((A16)+1)/2)*(Inputs!$J$9-Inputs!$I$9)))/Inputs!$K$9)^2))*((2*Inputs!$L$9*((Inputs!$I$9+(((A16)+1)/2)*(Inputs!$J$9-Inputs!$I$9)))/(Inputs!$K$9^2)*Inputs!$C$11)))/(SQRT(((Inputs!$I$9+(((A16)+1)/2)*(Inputs!$J$9-Inputs!$I$9)))^2+Inputs!$C$6^2+((Inputs!$H$9+Inputs!$L$9*(((Inputs!$I$9+(((A16)+1)/2)*(Inputs!$J$9-Inputs!$I$9)))/Inputs!$K$9)^2))^2)))))/Inputs!$C$13),NA())</f>
        <v>3629.2263482727562</v>
      </c>
      <c r="R16" s="10"/>
      <c r="S16" s="9">
        <f t="shared" si="2"/>
        <v>-0.88300000000000001</v>
      </c>
      <c r="T16" s="9">
        <f>(Inputs!$I$6+(((A16)+1)/2)*(Inputs!$J$6-Inputs!$I$6))</f>
        <v>-52.980000000000004</v>
      </c>
      <c r="U16" s="9">
        <f>(Inputs!$I$7+(((A16)+1)/2)*(Inputs!$J$7-Inputs!$I$7))</f>
        <v>-353.2</v>
      </c>
      <c r="V16" s="9">
        <f>(Inputs!$I$8+(((A16)+1)/2)*(Inputs!$J$8-Inputs!$I$8))</f>
        <v>-706.4</v>
      </c>
      <c r="W16" s="9">
        <f>(Inputs!$I$9+(((A16)+1)/2)*(Inputs!$J$9-Inputs!$I$9))</f>
        <v>-706.4</v>
      </c>
      <c r="X16" s="10"/>
      <c r="Y16" s="9">
        <f t="shared" si="3"/>
        <v>-0.88300000000000001</v>
      </c>
      <c r="Z16" s="9">
        <f>(Inputs!$H$6+Inputs!$L$6*(((Inputs!$I$6+(((A16)+1)/2)*(Inputs!$J$6-Inputs!$I$6)))/Inputs!$K$6)^2)</f>
        <v>403.11875600000002</v>
      </c>
      <c r="AA16" s="9">
        <f>(Inputs!$H$7+Inputs!$L$7*(((Inputs!$I$7+(((A16)+1)/2)*(Inputs!$J$7-Inputs!$I$7)))/Inputs!$K$7)^2)</f>
        <v>319.58648499999998</v>
      </c>
      <c r="AB16" s="9">
        <f>(Inputs!$H$8+Inputs!$L$8*(((Inputs!$I$8+(((A16)+1)/2)*(Inputs!$J$8-Inputs!$I$8)))/Inputs!$K$8)^2)</f>
        <v>787.39988499999993</v>
      </c>
      <c r="AC16" s="9">
        <f>(Inputs!$H$9+Inputs!$L$9*(((Inputs!$I$9+(((A16)+1)/2)*(Inputs!$J$9-Inputs!$I$9)))/Inputs!$K$9)^2)</f>
        <v>785.196775</v>
      </c>
      <c r="AD16" s="10"/>
      <c r="AE16" s="9">
        <f t="shared" si="4"/>
        <v>-0.88300000000000001</v>
      </c>
      <c r="AF16" s="9">
        <f>(((SQRT(((Inputs!$I$6+(((A16)+1)/2)*(Inputs!$J$6-Inputs!$I$6)))^2+Inputs!$C$6^2+((Inputs!$H$6+Inputs!$L$6*(((Inputs!$I$6+(((A16)+1)/2)*(Inputs!$J$6-Inputs!$I$6)))/Inputs!$K$6)^2))^2))-((Inputs!$H$6+Inputs!$L$6*(((Inputs!$I$6+(((A16)+1)/2)*(Inputs!$J$6-Inputs!$I$6)))/Inputs!$K$6)^2)))*1000/Inputs!$C$12)</f>
        <v>2378.8889104324562</v>
      </c>
      <c r="AG16" s="9">
        <f>(((SQRT(((Inputs!$I$7+(((A16)+1)/2)*(Inputs!$J$7-Inputs!$I$7)))^2+Inputs!$C$6^2+((Inputs!$H$7+Inputs!$L$7*(((Inputs!$I$7+(((A16)+1)/2)*(Inputs!$J$7-Inputs!$I$7)))/Inputs!$K$7)^2))^2))-((Inputs!$H$7+Inputs!$L$7*(((Inputs!$I$7+(((A16)+1)/2)*(Inputs!$J$7-Inputs!$I$7)))/Inputs!$K$7)^2)))*1000/Inputs!$C$12)</f>
        <v>88423.818304443324</v>
      </c>
      <c r="AH16" s="9">
        <f>(((SQRT(((Inputs!$I$8+(((A16)+1)/2)*(Inputs!$J$8-Inputs!$I$8)))^2+Inputs!$C$6^2+((Inputs!$H$8+Inputs!$L$8*(((Inputs!$I$8+(((A16)+1)/2)*(Inputs!$J$8-Inputs!$I$8)))/Inputs!$K$8)^2))^2))-((Inputs!$H$8+Inputs!$L$8*(((Inputs!$I$8+(((A16)+1)/2)*(Inputs!$J$8-Inputs!$I$8)))/Inputs!$K$8)^2)))*1000/Inputs!$C$12)</f>
        <v>152091.70553919495</v>
      </c>
      <c r="AI16" s="9">
        <f>(((SQRT(((Inputs!$I$9+(((A16)+1)/2)*(Inputs!$J$9-Inputs!$I$9)))^2+Inputs!$C$6^2+((Inputs!$H$9+Inputs!$L$9*(((Inputs!$I$9+(((A16)+1)/2)*(Inputs!$J$9-Inputs!$I$9)))/Inputs!$K$9)^2))^2))-((Inputs!$H$9+Inputs!$L$9*(((Inputs!$I$9+(((A16)+1)/2)*(Inputs!$J$9-Inputs!$I$9)))/Inputs!$K$9)^2)))*1000/Inputs!$C$12)</f>
        <v>152408.95038778541</v>
      </c>
      <c r="AJ16" s="10"/>
      <c r="AK16" s="9">
        <f t="shared" si="5"/>
        <v>-0.88300000000000001</v>
      </c>
      <c r="AL16" s="9">
        <f>(-2*((1000*((((Inputs!$I$6+(((A16)+1)/2)*(Inputs!$J$6-Inputs!$I$6)))*Inputs!$C$11+((Inputs!$H$6+Inputs!$L$6*(((Inputs!$I$6+(((A16)+1)/2)*(Inputs!$J$6-Inputs!$I$6)))/Inputs!$K$6)^2))*((2*Inputs!$L$6*((Inputs!$I$6+(((A16)+1)/2)*(Inputs!$J$6-Inputs!$I$6)))/(Inputs!$K$6^2)*Inputs!$C$11)))/(SQRT(((Inputs!$I$6+(((A16)+1)/2)*(Inputs!$J$6-Inputs!$I$6)))^2+Inputs!$C$6^2+((Inputs!$H$6+Inputs!$L$6*(((Inputs!$I$6+(((A16)+1)/2)*(Inputs!$J$6-Inputs!$I$6)))/Inputs!$K$6)^2))^2)))))/Inputs!$C$13)</f>
        <v>394.50980714850186</v>
      </c>
      <c r="AM16" s="9">
        <f>(-2*((1000*((((Inputs!$I$7+(((A16)+1)/2)*(Inputs!$J$7-Inputs!$I$7)))*Inputs!$C$11+((Inputs!$H$7+Inputs!$L$7*(((Inputs!$I$7+(((A16)+1)/2)*(Inputs!$J$7-Inputs!$I$7)))/Inputs!$K$7)^2))*((2*Inputs!$L$7*((Inputs!$I$7+(((A16)+1)/2)*(Inputs!$J$7-Inputs!$I$7)))/(Inputs!$K$7^2)*Inputs!$C$11)))/(SQRT(((Inputs!$I$7+(((A16)+1)/2)*(Inputs!$J$7-Inputs!$I$7)))^2+Inputs!$C$6^2+((Inputs!$H$7+Inputs!$L$7*(((Inputs!$I$7+(((A16)+1)/2)*(Inputs!$J$7-Inputs!$I$7)))/Inputs!$K$7)^2))^2)))))/Inputs!$C$13)</f>
        <v>2912.3368736657699</v>
      </c>
      <c r="AN16" s="9">
        <f>(-2*((1000*((((Inputs!$I$8+(((A16)+1)/2)*(Inputs!$J$8-Inputs!$I$8)))*Inputs!$C$11+((Inputs!$H$8+Inputs!$L$8*(((Inputs!$I$8+(((A16)+1)/2)*(Inputs!$J$8-Inputs!$I$8)))/Inputs!$K$8)^2))*((2*Inputs!$L$8*((Inputs!$I$8+(((A16)+1)/2)*(Inputs!$J$8-Inputs!$I$8)))/(Inputs!$K$8^2)*Inputs!$C$11)))/(SQRT(((Inputs!$I$8+(((A16)+1)/2)*(Inputs!$J$8-Inputs!$I$8)))^2+Inputs!$C$6^2+((Inputs!$H$8+Inputs!$L$8*(((Inputs!$I$8+(((A16)+1)/2)*(Inputs!$J$8-Inputs!$I$8)))/Inputs!$K$8)^2))^2)))))/Inputs!$C$13)</f>
        <v>3604.4936027267554</v>
      </c>
      <c r="AO16" s="9">
        <f>(-2*((1000*((((Inputs!$I$9+(((A16)+1)/2)*(Inputs!$J$9-Inputs!$I$9)))*Inputs!$C$11+((Inputs!$H$9+Inputs!$L$9*(((Inputs!$I$9+(((A16)+1)/2)*(Inputs!$J$9-Inputs!$I$9)))/Inputs!$K$9)^2))*((2*Inputs!$L$9*((Inputs!$I$9+(((A16)+1)/2)*(Inputs!$J$9-Inputs!$I$9)))/(Inputs!$K$9^2)*Inputs!$C$11)))/(SQRT(((Inputs!$I$9+(((A16)+1)/2)*(Inputs!$J$9-Inputs!$I$9)))^2+Inputs!$C$6^2+((Inputs!$H$9+Inputs!$L$9*(((Inputs!$I$9+(((A16)+1)/2)*(Inputs!$J$9-Inputs!$I$9)))/Inputs!$K$9)^2))^2)))))/Inputs!$C$13)</f>
        <v>3629.2263482727562</v>
      </c>
    </row>
    <row r="17" spans="1:41">
      <c r="A17" s="9">
        <f>ROUND(-1+15*2/240,3)</f>
        <v>-0.875</v>
      </c>
      <c r="B17" s="9">
        <f>IF(OR(Inputs!$F$6=TRUE,Inputs!$F$6="TRUE",Inputs!$F$6=1),(Inputs!$H$6+Inputs!$L$6*(((Inputs!$I$6+(((A17)+1)/2)*(Inputs!$J$6-Inputs!$I$6)))/Inputs!$K$6)^2),NA())</f>
        <v>403.0625</v>
      </c>
      <c r="C17" s="9">
        <f>IF(OR(Inputs!$F$7=TRUE,Inputs!$F$7="TRUE",Inputs!$F$7=1),(Inputs!$H$7+Inputs!$L$7*(((Inputs!$I$7+(((A17)+1)/2)*(Inputs!$J$7-Inputs!$I$7)))/Inputs!$K$7)^2),NA())</f>
        <v>314.453125</v>
      </c>
      <c r="D17" s="9">
        <f>IF(OR(Inputs!$F$8=TRUE,Inputs!$F$8="TRUE",Inputs!$F$8=1),(Inputs!$H$8+Inputs!$L$8*(((Inputs!$I$8+(((A17)+1)/2)*(Inputs!$J$8-Inputs!$I$8)))/Inputs!$K$8)^2),NA())</f>
        <v>773.828125</v>
      </c>
      <c r="E17" s="9">
        <f>IF(OR(Inputs!$F$9=TRUE,Inputs!$F$9="TRUE",Inputs!$F$9=1),(Inputs!$H$9+Inputs!$L$9*(((Inputs!$I$9+(((A17)+1)/2)*(Inputs!$J$9-Inputs!$I$9)))/Inputs!$K$9)^2),NA())</f>
        <v>771.484375</v>
      </c>
      <c r="F17" s="10"/>
      <c r="G17" s="9">
        <f t="shared" si="0"/>
        <v>-0.875</v>
      </c>
      <c r="H17" s="9">
        <f>IF(OR(Inputs!$F$6=TRUE,Inputs!$F$6="TRUE",Inputs!$F$6=1),(((SQRT(((Inputs!$I$6+(((A17)+1)/2)*(Inputs!$J$6-Inputs!$I$6)))^2+Inputs!$C$6^2+((Inputs!$H$6+Inputs!$L$6*(((Inputs!$I$6+(((A17)+1)/2)*(Inputs!$J$6-Inputs!$I$6)))/Inputs!$K$6)^2))^2))-((Inputs!$H$6+Inputs!$L$6*(((Inputs!$I$6+(((A17)+1)/2)*(Inputs!$J$6-Inputs!$I$6)))/Inputs!$K$6)^2)))*1000/Inputs!$C$12),NA())</f>
        <v>2344.2967985996152</v>
      </c>
      <c r="I17" s="9">
        <f>IF(OR(Inputs!$F$7=TRUE,Inputs!$F$7="TRUE",Inputs!$F$7=1),(((SQRT(((Inputs!$I$7+(((A17)+1)/2)*(Inputs!$J$7-Inputs!$I$7)))^2+Inputs!$C$6^2+((Inputs!$H$7+Inputs!$L$7*(((Inputs!$I$7+(((A17)+1)/2)*(Inputs!$J$7-Inputs!$I$7)))/Inputs!$K$7)^2))^2))-((Inputs!$H$7+Inputs!$L$7*(((Inputs!$I$7+(((A17)+1)/2)*(Inputs!$J$7-Inputs!$I$7)))/Inputs!$K$7)^2)))*1000/Inputs!$C$12),NA())</f>
        <v>88045.929941761235</v>
      </c>
      <c r="J17" s="9">
        <f>IF(OR(Inputs!$F$8=TRUE,Inputs!$F$8="TRUE",Inputs!$F$8=1),(((SQRT(((Inputs!$I$8+(((A17)+1)/2)*(Inputs!$J$8-Inputs!$I$8)))^2+Inputs!$C$6^2+((Inputs!$H$8+Inputs!$L$8*(((Inputs!$I$8+(((A17)+1)/2)*(Inputs!$J$8-Inputs!$I$8)))/Inputs!$K$8)^2))^2))-((Inputs!$H$8+Inputs!$L$8*(((Inputs!$I$8+(((A17)+1)/2)*(Inputs!$J$8-Inputs!$I$8)))/Inputs!$K$8)^2)))*1000/Inputs!$C$12),NA())</f>
        <v>151647.1287097446</v>
      </c>
      <c r="K17" s="9">
        <f>IF(OR(Inputs!$F$9=TRUE,Inputs!$F$9="TRUE",Inputs!$F$9=1),(((SQRT(((Inputs!$I$9+(((A17)+1)/2)*(Inputs!$J$9-Inputs!$I$9)))^2+Inputs!$C$6^2+((Inputs!$H$9+Inputs!$L$9*(((Inputs!$I$9+(((A17)+1)/2)*(Inputs!$J$9-Inputs!$I$9)))/Inputs!$K$9)^2))^2))-((Inputs!$H$9+Inputs!$L$9*(((Inputs!$I$9+(((A17)+1)/2)*(Inputs!$J$9-Inputs!$I$9)))/Inputs!$K$9)^2)))*1000/Inputs!$C$12),NA())</f>
        <v>151988.31730604862</v>
      </c>
      <c r="L17" s="10"/>
      <c r="M17" s="9">
        <f t="shared" si="1"/>
        <v>-0.875</v>
      </c>
      <c r="N17" s="9">
        <f>IF(OR(Inputs!$F$6=TRUE,Inputs!$F$6="TRUE",Inputs!$F$6=1),(-2*((1000*((((Inputs!$I$6+(((A17)+1)/2)*(Inputs!$J$6-Inputs!$I$6)))*Inputs!$C$11+((Inputs!$H$6+Inputs!$L$6*(((Inputs!$I$6+(((A17)+1)/2)*(Inputs!$J$6-Inputs!$I$6)))/Inputs!$K$6)^2))*((2*Inputs!$L$6*((Inputs!$I$6+(((A17)+1)/2)*(Inputs!$J$6-Inputs!$I$6)))/(Inputs!$K$6^2)*Inputs!$C$11)))/(SQRT(((Inputs!$I$6+(((A17)+1)/2)*(Inputs!$J$6-Inputs!$I$6)))^2+Inputs!$C$6^2+((Inputs!$H$6+Inputs!$L$6*(((Inputs!$I$6+(((A17)+1)/2)*(Inputs!$J$6-Inputs!$I$6)))/Inputs!$K$6)^2))^2)))))/Inputs!$C$13),NA())</f>
        <v>391.02286674642266</v>
      </c>
      <c r="O17" s="9">
        <f>IF(OR(Inputs!$F$7=TRUE,Inputs!$F$7="TRUE",Inputs!$F$7=1),(-2*((1000*((((Inputs!$I$7+(((A17)+1)/2)*(Inputs!$J$7-Inputs!$I$7)))*Inputs!$C$11+((Inputs!$H$7+Inputs!$L$7*(((Inputs!$I$7+(((A17)+1)/2)*(Inputs!$J$7-Inputs!$I$7)))/Inputs!$K$7)^2))*((2*Inputs!$L$7*((Inputs!$I$7+(((A17)+1)/2)*(Inputs!$J$7-Inputs!$I$7)))/(Inputs!$K$7^2)*Inputs!$C$11)))/(SQRT(((Inputs!$I$7+(((A17)+1)/2)*(Inputs!$J$7-Inputs!$I$7)))^2+Inputs!$C$6^2+((Inputs!$H$7+Inputs!$L$7*(((Inputs!$I$7+(((A17)+1)/2)*(Inputs!$J$7-Inputs!$I$7)))/Inputs!$K$7)^2))^2)))))/Inputs!$C$13),NA())</f>
        <v>2893.6766185784404</v>
      </c>
      <c r="P17" s="9">
        <f>IF(OR(Inputs!$F$8=TRUE,Inputs!$F$8="TRUE",Inputs!$F$8=1),(-2*((1000*((((Inputs!$I$8+(((A17)+1)/2)*(Inputs!$J$8-Inputs!$I$8)))*Inputs!$C$11+((Inputs!$H$8+Inputs!$L$8*(((Inputs!$I$8+(((A17)+1)/2)*(Inputs!$J$8-Inputs!$I$8)))/Inputs!$K$8)^2))*((2*Inputs!$L$8*((Inputs!$I$8+(((A17)+1)/2)*(Inputs!$J$8-Inputs!$I$8)))/(Inputs!$K$8^2)*Inputs!$C$11)))/(SQRT(((Inputs!$I$8+(((A17)+1)/2)*(Inputs!$J$8-Inputs!$I$8)))^2+Inputs!$C$6^2+((Inputs!$H$8+Inputs!$L$8*(((Inputs!$I$8+(((A17)+1)/2)*(Inputs!$J$8-Inputs!$I$8)))/Inputs!$K$8)^2))^2)))))/Inputs!$C$13),NA())</f>
        <v>3577.0717806189364</v>
      </c>
      <c r="Q17" s="9">
        <f>IF(OR(Inputs!$F$9=TRUE,Inputs!$F$9="TRUE",Inputs!$F$9=1),(-2*((1000*((((Inputs!$I$9+(((A17)+1)/2)*(Inputs!$J$9-Inputs!$I$9)))*Inputs!$C$11+((Inputs!$H$9+Inputs!$L$9*(((Inputs!$I$9+(((A17)+1)/2)*(Inputs!$J$9-Inputs!$I$9)))/Inputs!$K$9)^2))*((2*Inputs!$L$9*((Inputs!$I$9+(((A17)+1)/2)*(Inputs!$J$9-Inputs!$I$9)))/(Inputs!$K$9^2)*Inputs!$C$11)))/(SQRT(((Inputs!$I$9+(((A17)+1)/2)*(Inputs!$J$9-Inputs!$I$9)))^2+Inputs!$C$6^2+((Inputs!$H$9+Inputs!$L$9*(((Inputs!$I$9+(((A17)+1)/2)*(Inputs!$J$9-Inputs!$I$9)))/Inputs!$K$9)^2))^2)))))/Inputs!$C$13),NA())</f>
        <v>3601.3488585264108</v>
      </c>
      <c r="R17" s="10"/>
      <c r="S17" s="9">
        <f t="shared" si="2"/>
        <v>-0.875</v>
      </c>
      <c r="T17" s="9">
        <f>(Inputs!$I$6+(((A17)+1)/2)*(Inputs!$J$6-Inputs!$I$6))</f>
        <v>-52.5</v>
      </c>
      <c r="U17" s="9">
        <f>(Inputs!$I$7+(((A17)+1)/2)*(Inputs!$J$7-Inputs!$I$7))</f>
        <v>-350</v>
      </c>
      <c r="V17" s="9">
        <f>(Inputs!$I$8+(((A17)+1)/2)*(Inputs!$J$8-Inputs!$I$8))</f>
        <v>-700</v>
      </c>
      <c r="W17" s="9">
        <f>(Inputs!$I$9+(((A17)+1)/2)*(Inputs!$J$9-Inputs!$I$9))</f>
        <v>-700</v>
      </c>
      <c r="X17" s="10"/>
      <c r="Y17" s="9">
        <f t="shared" si="3"/>
        <v>-0.875</v>
      </c>
      <c r="Z17" s="9">
        <f>(Inputs!$H$6+Inputs!$L$6*(((Inputs!$I$6+(((A17)+1)/2)*(Inputs!$J$6-Inputs!$I$6)))/Inputs!$K$6)^2)</f>
        <v>403.0625</v>
      </c>
      <c r="AA17" s="9">
        <f>(Inputs!$H$7+Inputs!$L$7*(((Inputs!$I$7+(((A17)+1)/2)*(Inputs!$J$7-Inputs!$I$7)))/Inputs!$K$7)^2)</f>
        <v>314.453125</v>
      </c>
      <c r="AB17" s="9">
        <f>(Inputs!$H$8+Inputs!$L$8*(((Inputs!$I$8+(((A17)+1)/2)*(Inputs!$J$8-Inputs!$I$8)))/Inputs!$K$8)^2)</f>
        <v>773.828125</v>
      </c>
      <c r="AC17" s="9">
        <f>(Inputs!$H$9+Inputs!$L$9*(((Inputs!$I$9+(((A17)+1)/2)*(Inputs!$J$9-Inputs!$I$9)))/Inputs!$K$9)^2)</f>
        <v>771.484375</v>
      </c>
      <c r="AD17" s="10"/>
      <c r="AE17" s="9">
        <f t="shared" si="4"/>
        <v>-0.875</v>
      </c>
      <c r="AF17" s="9">
        <f>(((SQRT(((Inputs!$I$6+(((A17)+1)/2)*(Inputs!$J$6-Inputs!$I$6)))^2+Inputs!$C$6^2+((Inputs!$H$6+Inputs!$L$6*(((Inputs!$I$6+(((A17)+1)/2)*(Inputs!$J$6-Inputs!$I$6)))/Inputs!$K$6)^2))^2))-((Inputs!$H$6+Inputs!$L$6*(((Inputs!$I$6+(((A17)+1)/2)*(Inputs!$J$6-Inputs!$I$6)))/Inputs!$K$6)^2)))*1000/Inputs!$C$12)</f>
        <v>2344.2967985996152</v>
      </c>
      <c r="AG17" s="9">
        <f>(((SQRT(((Inputs!$I$7+(((A17)+1)/2)*(Inputs!$J$7-Inputs!$I$7)))^2+Inputs!$C$6^2+((Inputs!$H$7+Inputs!$L$7*(((Inputs!$I$7+(((A17)+1)/2)*(Inputs!$J$7-Inputs!$I$7)))/Inputs!$K$7)^2))^2))-((Inputs!$H$7+Inputs!$L$7*(((Inputs!$I$7+(((A17)+1)/2)*(Inputs!$J$7-Inputs!$I$7)))/Inputs!$K$7)^2)))*1000/Inputs!$C$12)</f>
        <v>88045.929941761235</v>
      </c>
      <c r="AH17" s="9">
        <f>(((SQRT(((Inputs!$I$8+(((A17)+1)/2)*(Inputs!$J$8-Inputs!$I$8)))^2+Inputs!$C$6^2+((Inputs!$H$8+Inputs!$L$8*(((Inputs!$I$8+(((A17)+1)/2)*(Inputs!$J$8-Inputs!$I$8)))/Inputs!$K$8)^2))^2))-((Inputs!$H$8+Inputs!$L$8*(((Inputs!$I$8+(((A17)+1)/2)*(Inputs!$J$8-Inputs!$I$8)))/Inputs!$K$8)^2)))*1000/Inputs!$C$12)</f>
        <v>151647.1287097446</v>
      </c>
      <c r="AI17" s="9">
        <f>(((SQRT(((Inputs!$I$9+(((A17)+1)/2)*(Inputs!$J$9-Inputs!$I$9)))^2+Inputs!$C$6^2+((Inputs!$H$9+Inputs!$L$9*(((Inputs!$I$9+(((A17)+1)/2)*(Inputs!$J$9-Inputs!$I$9)))/Inputs!$K$9)^2))^2))-((Inputs!$H$9+Inputs!$L$9*(((Inputs!$I$9+(((A17)+1)/2)*(Inputs!$J$9-Inputs!$I$9)))/Inputs!$K$9)^2)))*1000/Inputs!$C$12)</f>
        <v>151988.31730604862</v>
      </c>
      <c r="AJ17" s="10"/>
      <c r="AK17" s="9">
        <f t="shared" si="5"/>
        <v>-0.875</v>
      </c>
      <c r="AL17" s="9">
        <f>(-2*((1000*((((Inputs!$I$6+(((A17)+1)/2)*(Inputs!$J$6-Inputs!$I$6)))*Inputs!$C$11+((Inputs!$H$6+Inputs!$L$6*(((Inputs!$I$6+(((A17)+1)/2)*(Inputs!$J$6-Inputs!$I$6)))/Inputs!$K$6)^2))*((2*Inputs!$L$6*((Inputs!$I$6+(((A17)+1)/2)*(Inputs!$J$6-Inputs!$I$6)))/(Inputs!$K$6^2)*Inputs!$C$11)))/(SQRT(((Inputs!$I$6+(((A17)+1)/2)*(Inputs!$J$6-Inputs!$I$6)))^2+Inputs!$C$6^2+((Inputs!$H$6+Inputs!$L$6*(((Inputs!$I$6+(((A17)+1)/2)*(Inputs!$J$6-Inputs!$I$6)))/Inputs!$K$6)^2))^2)))))/Inputs!$C$13)</f>
        <v>391.02286674642266</v>
      </c>
      <c r="AM17" s="9">
        <f>(-2*((1000*((((Inputs!$I$7+(((A17)+1)/2)*(Inputs!$J$7-Inputs!$I$7)))*Inputs!$C$11+((Inputs!$H$7+Inputs!$L$7*(((Inputs!$I$7+(((A17)+1)/2)*(Inputs!$J$7-Inputs!$I$7)))/Inputs!$K$7)^2))*((2*Inputs!$L$7*((Inputs!$I$7+(((A17)+1)/2)*(Inputs!$J$7-Inputs!$I$7)))/(Inputs!$K$7^2)*Inputs!$C$11)))/(SQRT(((Inputs!$I$7+(((A17)+1)/2)*(Inputs!$J$7-Inputs!$I$7)))^2+Inputs!$C$6^2+((Inputs!$H$7+Inputs!$L$7*(((Inputs!$I$7+(((A17)+1)/2)*(Inputs!$J$7-Inputs!$I$7)))/Inputs!$K$7)^2))^2)))))/Inputs!$C$13)</f>
        <v>2893.6766185784404</v>
      </c>
      <c r="AN17" s="9">
        <f>(-2*((1000*((((Inputs!$I$8+(((A17)+1)/2)*(Inputs!$J$8-Inputs!$I$8)))*Inputs!$C$11+((Inputs!$H$8+Inputs!$L$8*(((Inputs!$I$8+(((A17)+1)/2)*(Inputs!$J$8-Inputs!$I$8)))/Inputs!$K$8)^2))*((2*Inputs!$L$8*((Inputs!$I$8+(((A17)+1)/2)*(Inputs!$J$8-Inputs!$I$8)))/(Inputs!$K$8^2)*Inputs!$C$11)))/(SQRT(((Inputs!$I$8+(((A17)+1)/2)*(Inputs!$J$8-Inputs!$I$8)))^2+Inputs!$C$6^2+((Inputs!$H$8+Inputs!$L$8*(((Inputs!$I$8+(((A17)+1)/2)*(Inputs!$J$8-Inputs!$I$8)))/Inputs!$K$8)^2))^2)))))/Inputs!$C$13)</f>
        <v>3577.0717806189364</v>
      </c>
      <c r="AO17" s="9">
        <f>(-2*((1000*((((Inputs!$I$9+(((A17)+1)/2)*(Inputs!$J$9-Inputs!$I$9)))*Inputs!$C$11+((Inputs!$H$9+Inputs!$L$9*(((Inputs!$I$9+(((A17)+1)/2)*(Inputs!$J$9-Inputs!$I$9)))/Inputs!$K$9)^2))*((2*Inputs!$L$9*((Inputs!$I$9+(((A17)+1)/2)*(Inputs!$J$9-Inputs!$I$9)))/(Inputs!$K$9^2)*Inputs!$C$11)))/(SQRT(((Inputs!$I$9+(((A17)+1)/2)*(Inputs!$J$9-Inputs!$I$9)))^2+Inputs!$C$6^2+((Inputs!$H$9+Inputs!$L$9*(((Inputs!$I$9+(((A17)+1)/2)*(Inputs!$J$9-Inputs!$I$9)))/Inputs!$K$9)^2))^2)))))/Inputs!$C$13)</f>
        <v>3601.3488585264108</v>
      </c>
    </row>
    <row r="18" spans="1:41">
      <c r="A18" s="9">
        <f>ROUND(-1+16*2/240,3)</f>
        <v>-0.86699999999999999</v>
      </c>
      <c r="B18" s="9">
        <f>IF(OR(Inputs!$F$6=TRUE,Inputs!$F$6="TRUE",Inputs!$F$6=1),(Inputs!$H$6+Inputs!$L$6*(((Inputs!$I$6+(((A18)+1)/2)*(Inputs!$J$6-Inputs!$I$6)))/Inputs!$K$6)^2),NA())</f>
        <v>403.006756</v>
      </c>
      <c r="C18" s="9">
        <f>IF(OR(Inputs!$F$7=TRUE,Inputs!$F$7="TRUE",Inputs!$F$7=1),(Inputs!$H$7+Inputs!$L$7*(((Inputs!$I$7+(((A18)+1)/2)*(Inputs!$J$7-Inputs!$I$7)))/Inputs!$K$7)^2),NA())</f>
        <v>309.36648499999995</v>
      </c>
      <c r="D18" s="9">
        <f>IF(OR(Inputs!$F$8=TRUE,Inputs!$F$8="TRUE",Inputs!$F$8=1),(Inputs!$H$8+Inputs!$L$8*(((Inputs!$I$8+(((A18)+1)/2)*(Inputs!$J$8-Inputs!$I$8)))/Inputs!$K$8)^2),NA())</f>
        <v>760.37988499999994</v>
      </c>
      <c r="E18" s="9">
        <f>IF(OR(Inputs!$F$9=TRUE,Inputs!$F$9="TRUE",Inputs!$F$9=1),(Inputs!$H$9+Inputs!$L$9*(((Inputs!$I$9+(((A18)+1)/2)*(Inputs!$J$9-Inputs!$I$9)))/Inputs!$K$9)^2),NA())</f>
        <v>757.89677499999993</v>
      </c>
      <c r="F18" s="10"/>
      <c r="G18" s="9">
        <f t="shared" si="0"/>
        <v>-0.86699999999999999</v>
      </c>
      <c r="H18" s="9">
        <f>IF(OR(Inputs!$F$6=TRUE,Inputs!$F$6="TRUE",Inputs!$F$6=1),(((SQRT(((Inputs!$I$6+(((A18)+1)/2)*(Inputs!$J$6-Inputs!$I$6)))^2+Inputs!$C$6^2+((Inputs!$H$6+Inputs!$L$6*(((Inputs!$I$6+(((A18)+1)/2)*(Inputs!$J$6-Inputs!$I$6)))/Inputs!$K$6)^2))^2))-((Inputs!$H$6+Inputs!$L$6*(((Inputs!$I$6+(((A18)+1)/2)*(Inputs!$J$6-Inputs!$I$6)))/Inputs!$K$6)^2)))*1000/Inputs!$C$12),NA())</f>
        <v>2310.0049278348683</v>
      </c>
      <c r="I18" s="9">
        <f>IF(OR(Inputs!$F$7=TRUE,Inputs!$F$7="TRUE",Inputs!$F$7=1),(((SQRT(((Inputs!$I$7+(((A18)+1)/2)*(Inputs!$J$7-Inputs!$I$7)))^2+Inputs!$C$6^2+((Inputs!$H$7+Inputs!$L$7*(((Inputs!$I$7+(((A18)+1)/2)*(Inputs!$J$7-Inputs!$I$7)))/Inputs!$K$7)^2))^2))-((Inputs!$H$7+Inputs!$L$7*(((Inputs!$I$7+(((A18)+1)/2)*(Inputs!$J$7-Inputs!$I$7)))/Inputs!$K$7)^2)))*1000/Inputs!$C$12),NA())</f>
        <v>87662.719616403672</v>
      </c>
      <c r="J18" s="9">
        <f>IF(OR(Inputs!$F$8=TRUE,Inputs!$F$8="TRUE",Inputs!$F$8=1),(((SQRT(((Inputs!$I$8+(((A18)+1)/2)*(Inputs!$J$8-Inputs!$I$8)))^2+Inputs!$C$6^2+((Inputs!$H$8+Inputs!$L$8*(((Inputs!$I$8+(((A18)+1)/2)*(Inputs!$J$8-Inputs!$I$8)))/Inputs!$K$8)^2))^2))-((Inputs!$H$8+Inputs!$L$8*(((Inputs!$I$8+(((A18)+1)/2)*(Inputs!$J$8-Inputs!$I$8)))/Inputs!$K$8)^2)))*1000/Inputs!$C$12),NA())</f>
        <v>151194.69914380208</v>
      </c>
      <c r="K18" s="9">
        <f>IF(OR(Inputs!$F$9=TRUE,Inputs!$F$9="TRUE",Inputs!$F$9=1),(((SQRT(((Inputs!$I$9+(((A18)+1)/2)*(Inputs!$J$9-Inputs!$I$9)))^2+Inputs!$C$6^2+((Inputs!$H$9+Inputs!$L$9*(((Inputs!$I$9+(((A18)+1)/2)*(Inputs!$J$9-Inputs!$I$9)))/Inputs!$K$9)^2))^2))-((Inputs!$H$9+Inputs!$L$9*(((Inputs!$I$9+(((A18)+1)/2)*(Inputs!$J$9-Inputs!$I$9)))/Inputs!$K$9)^2)))*1000/Inputs!$C$12),NA())</f>
        <v>151560.13797993344</v>
      </c>
      <c r="L18" s="10"/>
      <c r="M18" s="9">
        <f t="shared" si="1"/>
        <v>-0.86699999999999999</v>
      </c>
      <c r="N18" s="9">
        <f>IF(OR(Inputs!$F$6=TRUE,Inputs!$F$6="TRUE",Inputs!$F$6=1),(-2*((1000*((((Inputs!$I$6+(((A18)+1)/2)*(Inputs!$J$6-Inputs!$I$6)))*Inputs!$C$11+((Inputs!$H$6+Inputs!$L$6*(((Inputs!$I$6+(((A18)+1)/2)*(Inputs!$J$6-Inputs!$I$6)))/Inputs!$K$6)^2))*((2*Inputs!$L$6*((Inputs!$I$6+(((A18)+1)/2)*(Inputs!$J$6-Inputs!$I$6)))/(Inputs!$K$6^2)*Inputs!$C$11)))/(SQRT(((Inputs!$I$6+(((A18)+1)/2)*(Inputs!$J$6-Inputs!$I$6)))^2+Inputs!$C$6^2+((Inputs!$H$6+Inputs!$L$6*(((Inputs!$I$6+(((A18)+1)/2)*(Inputs!$J$6-Inputs!$I$6)))/Inputs!$K$6)^2))^2)))))/Inputs!$C$13),NA())</f>
        <v>387.53361610589673</v>
      </c>
      <c r="O18" s="9">
        <f>IF(OR(Inputs!$F$7=TRUE,Inputs!$F$7="TRUE",Inputs!$F$7=1),(-2*((1000*((((Inputs!$I$7+(((A18)+1)/2)*(Inputs!$J$7-Inputs!$I$7)))*Inputs!$C$11+((Inputs!$H$7+Inputs!$L$7*(((Inputs!$I$7+(((A18)+1)/2)*(Inputs!$J$7-Inputs!$I$7)))/Inputs!$K$7)^2))*((2*Inputs!$L$7*((Inputs!$I$7+(((A18)+1)/2)*(Inputs!$J$7-Inputs!$I$7)))/(Inputs!$K$7^2)*Inputs!$C$11)))/(SQRT(((Inputs!$I$7+(((A18)+1)/2)*(Inputs!$J$7-Inputs!$I$7)))^2+Inputs!$C$6^2+((Inputs!$H$7+Inputs!$L$7*(((Inputs!$I$7+(((A18)+1)/2)*(Inputs!$J$7-Inputs!$I$7)))/Inputs!$K$7)^2))^2)))))/Inputs!$C$13),NA())</f>
        <v>2875.0901493794727</v>
      </c>
      <c r="P18" s="9">
        <f>IF(OR(Inputs!$F$8=TRUE,Inputs!$F$8="TRUE",Inputs!$F$8=1),(-2*((1000*((((Inputs!$I$8+(((A18)+1)/2)*(Inputs!$J$8-Inputs!$I$8)))*Inputs!$C$11+((Inputs!$H$8+Inputs!$L$8*(((Inputs!$I$8+(((A18)+1)/2)*(Inputs!$J$8-Inputs!$I$8)))/Inputs!$K$8)^2))*((2*Inputs!$L$8*((Inputs!$I$8+(((A18)+1)/2)*(Inputs!$J$8-Inputs!$I$8)))/(Inputs!$K$8^2)*Inputs!$C$11)))/(SQRT(((Inputs!$I$8+(((A18)+1)/2)*(Inputs!$J$8-Inputs!$I$8)))^2+Inputs!$C$6^2+((Inputs!$H$8+Inputs!$L$8*(((Inputs!$I$8+(((A18)+1)/2)*(Inputs!$J$8-Inputs!$I$8)))/Inputs!$K$8)^2))^2)))))/Inputs!$C$13),NA())</f>
        <v>3549.722813877338</v>
      </c>
      <c r="Q18" s="9">
        <f>IF(OR(Inputs!$F$9=TRUE,Inputs!$F$9="TRUE",Inputs!$F$9=1),(-2*((1000*((((Inputs!$I$9+(((A18)+1)/2)*(Inputs!$J$9-Inputs!$I$9)))*Inputs!$C$11+((Inputs!$H$9+Inputs!$L$9*(((Inputs!$I$9+(((A18)+1)/2)*(Inputs!$J$9-Inputs!$I$9)))/Inputs!$K$9)^2))*((2*Inputs!$L$9*((Inputs!$I$9+(((A18)+1)/2)*(Inputs!$J$9-Inputs!$I$9)))/(Inputs!$K$9^2)*Inputs!$C$11)))/(SQRT(((Inputs!$I$9+(((A18)+1)/2)*(Inputs!$J$9-Inputs!$I$9)))^2+Inputs!$C$6^2+((Inputs!$H$9+Inputs!$L$9*(((Inputs!$I$9+(((A18)+1)/2)*(Inputs!$J$9-Inputs!$I$9)))/Inputs!$K$9)^2))^2)))))/Inputs!$C$13),NA())</f>
        <v>3573.5427833980189</v>
      </c>
      <c r="R18" s="10"/>
      <c r="S18" s="9">
        <f t="shared" si="2"/>
        <v>-0.86699999999999999</v>
      </c>
      <c r="T18" s="9">
        <f>(Inputs!$I$6+(((A18)+1)/2)*(Inputs!$J$6-Inputs!$I$6))</f>
        <v>-52.019999999999996</v>
      </c>
      <c r="U18" s="9">
        <f>(Inputs!$I$7+(((A18)+1)/2)*(Inputs!$J$7-Inputs!$I$7))</f>
        <v>-346.8</v>
      </c>
      <c r="V18" s="9">
        <f>(Inputs!$I$8+(((A18)+1)/2)*(Inputs!$J$8-Inputs!$I$8))</f>
        <v>-693.6</v>
      </c>
      <c r="W18" s="9">
        <f>(Inputs!$I$9+(((A18)+1)/2)*(Inputs!$J$9-Inputs!$I$9))</f>
        <v>-693.6</v>
      </c>
      <c r="X18" s="10"/>
      <c r="Y18" s="9">
        <f t="shared" si="3"/>
        <v>-0.86699999999999999</v>
      </c>
      <c r="Z18" s="9">
        <f>(Inputs!$H$6+Inputs!$L$6*(((Inputs!$I$6+(((A18)+1)/2)*(Inputs!$J$6-Inputs!$I$6)))/Inputs!$K$6)^2)</f>
        <v>403.006756</v>
      </c>
      <c r="AA18" s="9">
        <f>(Inputs!$H$7+Inputs!$L$7*(((Inputs!$I$7+(((A18)+1)/2)*(Inputs!$J$7-Inputs!$I$7)))/Inputs!$K$7)^2)</f>
        <v>309.36648499999995</v>
      </c>
      <c r="AB18" s="9">
        <f>(Inputs!$H$8+Inputs!$L$8*(((Inputs!$I$8+(((A18)+1)/2)*(Inputs!$J$8-Inputs!$I$8)))/Inputs!$K$8)^2)</f>
        <v>760.37988499999994</v>
      </c>
      <c r="AC18" s="9">
        <f>(Inputs!$H$9+Inputs!$L$9*(((Inputs!$I$9+(((A18)+1)/2)*(Inputs!$J$9-Inputs!$I$9)))/Inputs!$K$9)^2)</f>
        <v>757.89677499999993</v>
      </c>
      <c r="AD18" s="10"/>
      <c r="AE18" s="9">
        <f t="shared" si="4"/>
        <v>-0.86699999999999999</v>
      </c>
      <c r="AF18" s="9">
        <f>(((SQRT(((Inputs!$I$6+(((A18)+1)/2)*(Inputs!$J$6-Inputs!$I$6)))^2+Inputs!$C$6^2+((Inputs!$H$6+Inputs!$L$6*(((Inputs!$I$6+(((A18)+1)/2)*(Inputs!$J$6-Inputs!$I$6)))/Inputs!$K$6)^2))^2))-((Inputs!$H$6+Inputs!$L$6*(((Inputs!$I$6+(((A18)+1)/2)*(Inputs!$J$6-Inputs!$I$6)))/Inputs!$K$6)^2)))*1000/Inputs!$C$12)</f>
        <v>2310.0049278348683</v>
      </c>
      <c r="AG18" s="9">
        <f>(((SQRT(((Inputs!$I$7+(((A18)+1)/2)*(Inputs!$J$7-Inputs!$I$7)))^2+Inputs!$C$6^2+((Inputs!$H$7+Inputs!$L$7*(((Inputs!$I$7+(((A18)+1)/2)*(Inputs!$J$7-Inputs!$I$7)))/Inputs!$K$7)^2))^2))-((Inputs!$H$7+Inputs!$L$7*(((Inputs!$I$7+(((A18)+1)/2)*(Inputs!$J$7-Inputs!$I$7)))/Inputs!$K$7)^2)))*1000/Inputs!$C$12)</f>
        <v>87662.719616403672</v>
      </c>
      <c r="AH18" s="9">
        <f>(((SQRT(((Inputs!$I$8+(((A18)+1)/2)*(Inputs!$J$8-Inputs!$I$8)))^2+Inputs!$C$6^2+((Inputs!$H$8+Inputs!$L$8*(((Inputs!$I$8+(((A18)+1)/2)*(Inputs!$J$8-Inputs!$I$8)))/Inputs!$K$8)^2))^2))-((Inputs!$H$8+Inputs!$L$8*(((Inputs!$I$8+(((A18)+1)/2)*(Inputs!$J$8-Inputs!$I$8)))/Inputs!$K$8)^2)))*1000/Inputs!$C$12)</f>
        <v>151194.69914380208</v>
      </c>
      <c r="AI18" s="9">
        <f>(((SQRT(((Inputs!$I$9+(((A18)+1)/2)*(Inputs!$J$9-Inputs!$I$9)))^2+Inputs!$C$6^2+((Inputs!$H$9+Inputs!$L$9*(((Inputs!$I$9+(((A18)+1)/2)*(Inputs!$J$9-Inputs!$I$9)))/Inputs!$K$9)^2))^2))-((Inputs!$H$9+Inputs!$L$9*(((Inputs!$I$9+(((A18)+1)/2)*(Inputs!$J$9-Inputs!$I$9)))/Inputs!$K$9)^2)))*1000/Inputs!$C$12)</f>
        <v>151560.13797993344</v>
      </c>
      <c r="AJ18" s="10"/>
      <c r="AK18" s="9">
        <f t="shared" si="5"/>
        <v>-0.86699999999999999</v>
      </c>
      <c r="AL18" s="9">
        <f>(-2*((1000*((((Inputs!$I$6+(((A18)+1)/2)*(Inputs!$J$6-Inputs!$I$6)))*Inputs!$C$11+((Inputs!$H$6+Inputs!$L$6*(((Inputs!$I$6+(((A18)+1)/2)*(Inputs!$J$6-Inputs!$I$6)))/Inputs!$K$6)^2))*((2*Inputs!$L$6*((Inputs!$I$6+(((A18)+1)/2)*(Inputs!$J$6-Inputs!$I$6)))/(Inputs!$K$6^2)*Inputs!$C$11)))/(SQRT(((Inputs!$I$6+(((A18)+1)/2)*(Inputs!$J$6-Inputs!$I$6)))^2+Inputs!$C$6^2+((Inputs!$H$6+Inputs!$L$6*(((Inputs!$I$6+(((A18)+1)/2)*(Inputs!$J$6-Inputs!$I$6)))/Inputs!$K$6)^2))^2)))))/Inputs!$C$13)</f>
        <v>387.53361610589673</v>
      </c>
      <c r="AM18" s="9">
        <f>(-2*((1000*((((Inputs!$I$7+(((A18)+1)/2)*(Inputs!$J$7-Inputs!$I$7)))*Inputs!$C$11+((Inputs!$H$7+Inputs!$L$7*(((Inputs!$I$7+(((A18)+1)/2)*(Inputs!$J$7-Inputs!$I$7)))/Inputs!$K$7)^2))*((2*Inputs!$L$7*((Inputs!$I$7+(((A18)+1)/2)*(Inputs!$J$7-Inputs!$I$7)))/(Inputs!$K$7^2)*Inputs!$C$11)))/(SQRT(((Inputs!$I$7+(((A18)+1)/2)*(Inputs!$J$7-Inputs!$I$7)))^2+Inputs!$C$6^2+((Inputs!$H$7+Inputs!$L$7*(((Inputs!$I$7+(((A18)+1)/2)*(Inputs!$J$7-Inputs!$I$7)))/Inputs!$K$7)^2))^2)))))/Inputs!$C$13)</f>
        <v>2875.0901493794727</v>
      </c>
      <c r="AN18" s="9">
        <f>(-2*((1000*((((Inputs!$I$8+(((A18)+1)/2)*(Inputs!$J$8-Inputs!$I$8)))*Inputs!$C$11+((Inputs!$H$8+Inputs!$L$8*(((Inputs!$I$8+(((A18)+1)/2)*(Inputs!$J$8-Inputs!$I$8)))/Inputs!$K$8)^2))*((2*Inputs!$L$8*((Inputs!$I$8+(((A18)+1)/2)*(Inputs!$J$8-Inputs!$I$8)))/(Inputs!$K$8^2)*Inputs!$C$11)))/(SQRT(((Inputs!$I$8+(((A18)+1)/2)*(Inputs!$J$8-Inputs!$I$8)))^2+Inputs!$C$6^2+((Inputs!$H$8+Inputs!$L$8*(((Inputs!$I$8+(((A18)+1)/2)*(Inputs!$J$8-Inputs!$I$8)))/Inputs!$K$8)^2))^2)))))/Inputs!$C$13)</f>
        <v>3549.722813877338</v>
      </c>
      <c r="AO18" s="9">
        <f>(-2*((1000*((((Inputs!$I$9+(((A18)+1)/2)*(Inputs!$J$9-Inputs!$I$9)))*Inputs!$C$11+((Inputs!$H$9+Inputs!$L$9*(((Inputs!$I$9+(((A18)+1)/2)*(Inputs!$J$9-Inputs!$I$9)))/Inputs!$K$9)^2))*((2*Inputs!$L$9*((Inputs!$I$9+(((A18)+1)/2)*(Inputs!$J$9-Inputs!$I$9)))/(Inputs!$K$9^2)*Inputs!$C$11)))/(SQRT(((Inputs!$I$9+(((A18)+1)/2)*(Inputs!$J$9-Inputs!$I$9)))^2+Inputs!$C$6^2+((Inputs!$H$9+Inputs!$L$9*(((Inputs!$I$9+(((A18)+1)/2)*(Inputs!$J$9-Inputs!$I$9)))/Inputs!$K$9)^2))^2)))))/Inputs!$C$13)</f>
        <v>3573.5427833980189</v>
      </c>
    </row>
    <row r="19" spans="1:41">
      <c r="A19" s="9">
        <f>ROUND(-1+17*2/240,3)</f>
        <v>-0.85799999999999998</v>
      </c>
      <c r="B19" s="9">
        <f>IF(OR(Inputs!$F$6=TRUE,Inputs!$F$6="TRUE",Inputs!$F$6=1),(Inputs!$H$6+Inputs!$L$6*(((Inputs!$I$6+(((A19)+1)/2)*(Inputs!$J$6-Inputs!$I$6)))/Inputs!$K$6)^2),NA())</f>
        <v>402.94465600000001</v>
      </c>
      <c r="C19" s="9">
        <f>IF(OR(Inputs!$F$7=TRUE,Inputs!$F$7="TRUE",Inputs!$F$7=1),(Inputs!$H$7+Inputs!$L$7*(((Inputs!$I$7+(((A19)+1)/2)*(Inputs!$J$7-Inputs!$I$7)))/Inputs!$K$7)^2),NA())</f>
        <v>303.69986</v>
      </c>
      <c r="D19" s="9">
        <f>IF(OR(Inputs!$F$8=TRUE,Inputs!$F$8="TRUE",Inputs!$F$8=1),(Inputs!$H$8+Inputs!$L$8*(((Inputs!$I$8+(((A19)+1)/2)*(Inputs!$J$8-Inputs!$I$8)))/Inputs!$K$8)^2),NA())</f>
        <v>745.39825999999994</v>
      </c>
      <c r="E19" s="9">
        <f>IF(OR(Inputs!$F$9=TRUE,Inputs!$F$9="TRUE",Inputs!$F$9=1),(Inputs!$H$9+Inputs!$L$9*(((Inputs!$I$9+(((A19)+1)/2)*(Inputs!$J$9-Inputs!$I$9)))/Inputs!$K$9)^2),NA())</f>
        <v>742.7598999999999</v>
      </c>
      <c r="F19" s="10"/>
      <c r="G19" s="9">
        <f t="shared" si="0"/>
        <v>-0.85799999999999998</v>
      </c>
      <c r="H19" s="9">
        <f>IF(OR(Inputs!$F$6=TRUE,Inputs!$F$6="TRUE",Inputs!$F$6=1),(((SQRT(((Inputs!$I$6+(((A19)+1)/2)*(Inputs!$J$6-Inputs!$I$6)))^2+Inputs!$C$6^2+((Inputs!$H$6+Inputs!$L$6*(((Inputs!$I$6+(((A19)+1)/2)*(Inputs!$J$6-Inputs!$I$6)))/Inputs!$K$6)^2))^2))-((Inputs!$H$6+Inputs!$L$6*(((Inputs!$I$6+(((A19)+1)/2)*(Inputs!$J$6-Inputs!$I$6)))/Inputs!$K$6)^2)))*1000/Inputs!$C$12),NA())</f>
        <v>2271.7859379457841</v>
      </c>
      <c r="I19" s="9">
        <f>IF(OR(Inputs!$F$7=TRUE,Inputs!$F$7="TRUE",Inputs!$F$7=1),(((SQRT(((Inputs!$I$7+(((A19)+1)/2)*(Inputs!$J$7-Inputs!$I$7)))^2+Inputs!$C$6^2+((Inputs!$H$7+Inputs!$L$7*(((Inputs!$I$7+(((A19)+1)/2)*(Inputs!$J$7-Inputs!$I$7)))/Inputs!$K$7)^2))^2))-((Inputs!$H$7+Inputs!$L$7*(((Inputs!$I$7+(((A19)+1)/2)*(Inputs!$J$7-Inputs!$I$7)))/Inputs!$K$7)^2)))*1000/Inputs!$C$12),NA())</f>
        <v>87225.142550208111</v>
      </c>
      <c r="J19" s="9">
        <f>IF(OR(Inputs!$F$8=TRUE,Inputs!$F$8="TRUE",Inputs!$F$8=1),(((SQRT(((Inputs!$I$8+(((A19)+1)/2)*(Inputs!$J$8-Inputs!$I$8)))^2+Inputs!$C$6^2+((Inputs!$H$8+Inputs!$L$8*(((Inputs!$I$8+(((A19)+1)/2)*(Inputs!$J$8-Inputs!$I$8)))/Inputs!$K$8)^2))^2))-((Inputs!$H$8+Inputs!$L$8*(((Inputs!$I$8+(((A19)+1)/2)*(Inputs!$J$8-Inputs!$I$8)))/Inputs!$K$8)^2)))*1000/Inputs!$C$12),NA())</f>
        <v>150676.12307891695</v>
      </c>
      <c r="K19" s="9">
        <f>IF(OR(Inputs!$F$9=TRUE,Inputs!$F$9="TRUE",Inputs!$F$9=1),(((SQRT(((Inputs!$I$9+(((A19)+1)/2)*(Inputs!$J$9-Inputs!$I$9)))^2+Inputs!$C$6^2+((Inputs!$H$9+Inputs!$L$9*(((Inputs!$I$9+(((A19)+1)/2)*(Inputs!$J$9-Inputs!$I$9)))/Inputs!$K$9)^2))^2))-((Inputs!$H$9+Inputs!$L$9*(((Inputs!$I$9+(((A19)+1)/2)*(Inputs!$J$9-Inputs!$I$9)))/Inputs!$K$9)^2)))*1000/Inputs!$C$12),NA())</f>
        <v>151069.21380145603</v>
      </c>
      <c r="L19" s="10"/>
      <c r="M19" s="9">
        <f t="shared" si="1"/>
        <v>-0.85799999999999998</v>
      </c>
      <c r="N19" s="9">
        <f>IF(OR(Inputs!$F$6=TRUE,Inputs!$F$6="TRUE",Inputs!$F$6=1),(-2*((1000*((((Inputs!$I$6+(((A19)+1)/2)*(Inputs!$J$6-Inputs!$I$6)))*Inputs!$C$11+((Inputs!$H$6+Inputs!$L$6*(((Inputs!$I$6+(((A19)+1)/2)*(Inputs!$J$6-Inputs!$I$6)))/Inputs!$K$6)^2))*((2*Inputs!$L$6*((Inputs!$I$6+(((A19)+1)/2)*(Inputs!$J$6-Inputs!$I$6)))/(Inputs!$K$6^2)*Inputs!$C$11)))/(SQRT(((Inputs!$I$6+(((A19)+1)/2)*(Inputs!$J$6-Inputs!$I$6)))^2+Inputs!$C$6^2+((Inputs!$H$6+Inputs!$L$6*(((Inputs!$I$6+(((A19)+1)/2)*(Inputs!$J$6-Inputs!$I$6)))/Inputs!$K$6)^2))^2)))))/Inputs!$C$13),NA())</f>
        <v>383.60546988496924</v>
      </c>
      <c r="O19" s="9">
        <f>IF(OR(Inputs!$F$7=TRUE,Inputs!$F$7="TRUE",Inputs!$F$7=1),(-2*((1000*((((Inputs!$I$7+(((A19)+1)/2)*(Inputs!$J$7-Inputs!$I$7)))*Inputs!$C$11+((Inputs!$H$7+Inputs!$L$7*(((Inputs!$I$7+(((A19)+1)/2)*(Inputs!$J$7-Inputs!$I$7)))/Inputs!$K$7)^2))*((2*Inputs!$L$7*((Inputs!$I$7+(((A19)+1)/2)*(Inputs!$J$7-Inputs!$I$7)))/(Inputs!$K$7^2)*Inputs!$C$11)))/(SQRT(((Inputs!$I$7+(((A19)+1)/2)*(Inputs!$J$7-Inputs!$I$7)))^2+Inputs!$C$6^2+((Inputs!$H$7+Inputs!$L$7*(((Inputs!$I$7+(((A19)+1)/2)*(Inputs!$J$7-Inputs!$I$7)))/Inputs!$K$7)^2))^2)))))/Inputs!$C$13),NA())</f>
        <v>2854.2699352269624</v>
      </c>
      <c r="P19" s="9">
        <f>IF(OR(Inputs!$F$8=TRUE,Inputs!$F$8="TRUE",Inputs!$F$8=1),(-2*((1000*((((Inputs!$I$8+(((A19)+1)/2)*(Inputs!$J$8-Inputs!$I$8)))*Inputs!$C$11+((Inputs!$H$8+Inputs!$L$8*(((Inputs!$I$8+(((A19)+1)/2)*(Inputs!$J$8-Inputs!$I$8)))/Inputs!$K$8)^2))*((2*Inputs!$L$8*((Inputs!$I$8+(((A19)+1)/2)*(Inputs!$J$8-Inputs!$I$8)))/(Inputs!$K$8^2)*Inputs!$C$11)))/(SQRT(((Inputs!$I$8+(((A19)+1)/2)*(Inputs!$J$8-Inputs!$I$8)))^2+Inputs!$C$6^2+((Inputs!$H$8+Inputs!$L$8*(((Inputs!$I$8+(((A19)+1)/2)*(Inputs!$J$8-Inputs!$I$8)))/Inputs!$K$8)^2))^2)))))/Inputs!$C$13),NA())</f>
        <v>3519.0443952708397</v>
      </c>
      <c r="Q19" s="9">
        <f>IF(OR(Inputs!$F$9=TRUE,Inputs!$F$9="TRUE",Inputs!$F$9=1),(-2*((1000*((((Inputs!$I$9+(((A19)+1)/2)*(Inputs!$J$9-Inputs!$I$9)))*Inputs!$C$11+((Inputs!$H$9+Inputs!$L$9*(((Inputs!$I$9+(((A19)+1)/2)*(Inputs!$J$9-Inputs!$I$9)))/Inputs!$K$9)^2))*((2*Inputs!$L$9*((Inputs!$I$9+(((A19)+1)/2)*(Inputs!$J$9-Inputs!$I$9)))/(Inputs!$K$9^2)*Inputs!$C$11)))/(SQRT(((Inputs!$I$9+(((A19)+1)/2)*(Inputs!$J$9-Inputs!$I$9)))^2+Inputs!$C$6^2+((Inputs!$H$9+Inputs!$L$9*(((Inputs!$I$9+(((A19)+1)/2)*(Inputs!$J$9-Inputs!$I$9)))/Inputs!$K$9)^2))^2)))))/Inputs!$C$13),NA())</f>
        <v>3542.3484116134459</v>
      </c>
      <c r="R19" s="10"/>
      <c r="S19" s="9">
        <f t="shared" si="2"/>
        <v>-0.85799999999999998</v>
      </c>
      <c r="T19" s="9">
        <f>(Inputs!$I$6+(((A19)+1)/2)*(Inputs!$J$6-Inputs!$I$6))</f>
        <v>-51.48</v>
      </c>
      <c r="U19" s="9">
        <f>(Inputs!$I$7+(((A19)+1)/2)*(Inputs!$J$7-Inputs!$I$7))</f>
        <v>-343.2</v>
      </c>
      <c r="V19" s="9">
        <f>(Inputs!$I$8+(((A19)+1)/2)*(Inputs!$J$8-Inputs!$I$8))</f>
        <v>-686.4</v>
      </c>
      <c r="W19" s="9">
        <f>(Inputs!$I$9+(((A19)+1)/2)*(Inputs!$J$9-Inputs!$I$9))</f>
        <v>-686.4</v>
      </c>
      <c r="X19" s="10"/>
      <c r="Y19" s="9">
        <f t="shared" si="3"/>
        <v>-0.85799999999999998</v>
      </c>
      <c r="Z19" s="9">
        <f>(Inputs!$H$6+Inputs!$L$6*(((Inputs!$I$6+(((A19)+1)/2)*(Inputs!$J$6-Inputs!$I$6)))/Inputs!$K$6)^2)</f>
        <v>402.94465600000001</v>
      </c>
      <c r="AA19" s="9">
        <f>(Inputs!$H$7+Inputs!$L$7*(((Inputs!$I$7+(((A19)+1)/2)*(Inputs!$J$7-Inputs!$I$7)))/Inputs!$K$7)^2)</f>
        <v>303.69986</v>
      </c>
      <c r="AB19" s="9">
        <f>(Inputs!$H$8+Inputs!$L$8*(((Inputs!$I$8+(((A19)+1)/2)*(Inputs!$J$8-Inputs!$I$8)))/Inputs!$K$8)^2)</f>
        <v>745.39825999999994</v>
      </c>
      <c r="AC19" s="9">
        <f>(Inputs!$H$9+Inputs!$L$9*(((Inputs!$I$9+(((A19)+1)/2)*(Inputs!$J$9-Inputs!$I$9)))/Inputs!$K$9)^2)</f>
        <v>742.7598999999999</v>
      </c>
      <c r="AD19" s="10"/>
      <c r="AE19" s="9">
        <f t="shared" si="4"/>
        <v>-0.85799999999999998</v>
      </c>
      <c r="AF19" s="9">
        <f>(((SQRT(((Inputs!$I$6+(((A19)+1)/2)*(Inputs!$J$6-Inputs!$I$6)))^2+Inputs!$C$6^2+((Inputs!$H$6+Inputs!$L$6*(((Inputs!$I$6+(((A19)+1)/2)*(Inputs!$J$6-Inputs!$I$6)))/Inputs!$K$6)^2))^2))-((Inputs!$H$6+Inputs!$L$6*(((Inputs!$I$6+(((A19)+1)/2)*(Inputs!$J$6-Inputs!$I$6)))/Inputs!$K$6)^2)))*1000/Inputs!$C$12)</f>
        <v>2271.7859379457841</v>
      </c>
      <c r="AG19" s="9">
        <f>(((SQRT(((Inputs!$I$7+(((A19)+1)/2)*(Inputs!$J$7-Inputs!$I$7)))^2+Inputs!$C$6^2+((Inputs!$H$7+Inputs!$L$7*(((Inputs!$I$7+(((A19)+1)/2)*(Inputs!$J$7-Inputs!$I$7)))/Inputs!$K$7)^2))^2))-((Inputs!$H$7+Inputs!$L$7*(((Inputs!$I$7+(((A19)+1)/2)*(Inputs!$J$7-Inputs!$I$7)))/Inputs!$K$7)^2)))*1000/Inputs!$C$12)</f>
        <v>87225.142550208111</v>
      </c>
      <c r="AH19" s="9">
        <f>(((SQRT(((Inputs!$I$8+(((A19)+1)/2)*(Inputs!$J$8-Inputs!$I$8)))^2+Inputs!$C$6^2+((Inputs!$H$8+Inputs!$L$8*(((Inputs!$I$8+(((A19)+1)/2)*(Inputs!$J$8-Inputs!$I$8)))/Inputs!$K$8)^2))^2))-((Inputs!$H$8+Inputs!$L$8*(((Inputs!$I$8+(((A19)+1)/2)*(Inputs!$J$8-Inputs!$I$8)))/Inputs!$K$8)^2)))*1000/Inputs!$C$12)</f>
        <v>150676.12307891695</v>
      </c>
      <c r="AI19" s="9">
        <f>(((SQRT(((Inputs!$I$9+(((A19)+1)/2)*(Inputs!$J$9-Inputs!$I$9)))^2+Inputs!$C$6^2+((Inputs!$H$9+Inputs!$L$9*(((Inputs!$I$9+(((A19)+1)/2)*(Inputs!$J$9-Inputs!$I$9)))/Inputs!$K$9)^2))^2))-((Inputs!$H$9+Inputs!$L$9*(((Inputs!$I$9+(((A19)+1)/2)*(Inputs!$J$9-Inputs!$I$9)))/Inputs!$K$9)^2)))*1000/Inputs!$C$12)</f>
        <v>151069.21380145603</v>
      </c>
      <c r="AJ19" s="10"/>
      <c r="AK19" s="9">
        <f t="shared" si="5"/>
        <v>-0.85799999999999998</v>
      </c>
      <c r="AL19" s="9">
        <f>(-2*((1000*((((Inputs!$I$6+(((A19)+1)/2)*(Inputs!$J$6-Inputs!$I$6)))*Inputs!$C$11+((Inputs!$H$6+Inputs!$L$6*(((Inputs!$I$6+(((A19)+1)/2)*(Inputs!$J$6-Inputs!$I$6)))/Inputs!$K$6)^2))*((2*Inputs!$L$6*((Inputs!$I$6+(((A19)+1)/2)*(Inputs!$J$6-Inputs!$I$6)))/(Inputs!$K$6^2)*Inputs!$C$11)))/(SQRT(((Inputs!$I$6+(((A19)+1)/2)*(Inputs!$J$6-Inputs!$I$6)))^2+Inputs!$C$6^2+((Inputs!$H$6+Inputs!$L$6*(((Inputs!$I$6+(((A19)+1)/2)*(Inputs!$J$6-Inputs!$I$6)))/Inputs!$K$6)^2))^2)))))/Inputs!$C$13)</f>
        <v>383.60546988496924</v>
      </c>
      <c r="AM19" s="9">
        <f>(-2*((1000*((((Inputs!$I$7+(((A19)+1)/2)*(Inputs!$J$7-Inputs!$I$7)))*Inputs!$C$11+((Inputs!$H$7+Inputs!$L$7*(((Inputs!$I$7+(((A19)+1)/2)*(Inputs!$J$7-Inputs!$I$7)))/Inputs!$K$7)^2))*((2*Inputs!$L$7*((Inputs!$I$7+(((A19)+1)/2)*(Inputs!$J$7-Inputs!$I$7)))/(Inputs!$K$7^2)*Inputs!$C$11)))/(SQRT(((Inputs!$I$7+(((A19)+1)/2)*(Inputs!$J$7-Inputs!$I$7)))^2+Inputs!$C$6^2+((Inputs!$H$7+Inputs!$L$7*(((Inputs!$I$7+(((A19)+1)/2)*(Inputs!$J$7-Inputs!$I$7)))/Inputs!$K$7)^2))^2)))))/Inputs!$C$13)</f>
        <v>2854.2699352269624</v>
      </c>
      <c r="AN19" s="9">
        <f>(-2*((1000*((((Inputs!$I$8+(((A19)+1)/2)*(Inputs!$J$8-Inputs!$I$8)))*Inputs!$C$11+((Inputs!$H$8+Inputs!$L$8*(((Inputs!$I$8+(((A19)+1)/2)*(Inputs!$J$8-Inputs!$I$8)))/Inputs!$K$8)^2))*((2*Inputs!$L$8*((Inputs!$I$8+(((A19)+1)/2)*(Inputs!$J$8-Inputs!$I$8)))/(Inputs!$K$8^2)*Inputs!$C$11)))/(SQRT(((Inputs!$I$8+(((A19)+1)/2)*(Inputs!$J$8-Inputs!$I$8)))^2+Inputs!$C$6^2+((Inputs!$H$8+Inputs!$L$8*(((Inputs!$I$8+(((A19)+1)/2)*(Inputs!$J$8-Inputs!$I$8)))/Inputs!$K$8)^2))^2)))))/Inputs!$C$13)</f>
        <v>3519.0443952708397</v>
      </c>
      <c r="AO19" s="9">
        <f>(-2*((1000*((((Inputs!$I$9+(((A19)+1)/2)*(Inputs!$J$9-Inputs!$I$9)))*Inputs!$C$11+((Inputs!$H$9+Inputs!$L$9*(((Inputs!$I$9+(((A19)+1)/2)*(Inputs!$J$9-Inputs!$I$9)))/Inputs!$K$9)^2))*((2*Inputs!$L$9*((Inputs!$I$9+(((A19)+1)/2)*(Inputs!$J$9-Inputs!$I$9)))/(Inputs!$K$9^2)*Inputs!$C$11)))/(SQRT(((Inputs!$I$9+(((A19)+1)/2)*(Inputs!$J$9-Inputs!$I$9)))^2+Inputs!$C$6^2+((Inputs!$H$9+Inputs!$L$9*(((Inputs!$I$9+(((A19)+1)/2)*(Inputs!$J$9-Inputs!$I$9)))/Inputs!$K$9)^2))^2)))))/Inputs!$C$13)</f>
        <v>3542.3484116134459</v>
      </c>
    </row>
    <row r="20" spans="1:41">
      <c r="A20" s="9">
        <f>ROUND(-1+18*2/240,3)</f>
        <v>-0.85</v>
      </c>
      <c r="B20" s="9">
        <f>IF(OR(Inputs!$F$6=TRUE,Inputs!$F$6="TRUE",Inputs!$F$6=1),(Inputs!$H$6+Inputs!$L$6*(((Inputs!$I$6+(((A20)+1)/2)*(Inputs!$J$6-Inputs!$I$6)))/Inputs!$K$6)^2),NA())</f>
        <v>402.89</v>
      </c>
      <c r="C20" s="9">
        <f>IF(OR(Inputs!$F$7=TRUE,Inputs!$F$7="TRUE",Inputs!$F$7=1),(Inputs!$H$7+Inputs!$L$7*(((Inputs!$I$7+(((A20)+1)/2)*(Inputs!$J$7-Inputs!$I$7)))/Inputs!$K$7)^2),NA())</f>
        <v>298.71249999999998</v>
      </c>
      <c r="D20" s="9">
        <f>IF(OR(Inputs!$F$8=TRUE,Inputs!$F$8="TRUE",Inputs!$F$8=1),(Inputs!$H$8+Inputs!$L$8*(((Inputs!$I$8+(((A20)+1)/2)*(Inputs!$J$8-Inputs!$I$8)))/Inputs!$K$8)^2),NA())</f>
        <v>732.21249999999998</v>
      </c>
      <c r="E20" s="9">
        <f>IF(OR(Inputs!$F$9=TRUE,Inputs!$F$9="TRUE",Inputs!$F$9=1),(Inputs!$H$9+Inputs!$L$9*(((Inputs!$I$9+(((A20)+1)/2)*(Inputs!$J$9-Inputs!$I$9)))/Inputs!$K$9)^2),NA())</f>
        <v>729.43749999999989</v>
      </c>
      <c r="F20" s="10"/>
      <c r="G20" s="9">
        <f t="shared" si="0"/>
        <v>-0.85</v>
      </c>
      <c r="H20" s="9">
        <f>IF(OR(Inputs!$F$6=TRUE,Inputs!$F$6="TRUE",Inputs!$F$6=1),(((SQRT(((Inputs!$I$6+(((A20)+1)/2)*(Inputs!$J$6-Inputs!$I$6)))^2+Inputs!$C$6^2+((Inputs!$H$6+Inputs!$L$6*(((Inputs!$I$6+(((A20)+1)/2)*(Inputs!$J$6-Inputs!$I$6)))/Inputs!$K$6)^2))^2))-((Inputs!$H$6+Inputs!$L$6*(((Inputs!$I$6+(((A20)+1)/2)*(Inputs!$J$6-Inputs!$I$6)))/Inputs!$K$6)^2)))*1000/Inputs!$C$12),NA())</f>
        <v>2238.133363530445</v>
      </c>
      <c r="I20" s="9">
        <f>IF(OR(Inputs!$F$7=TRUE,Inputs!$F$7="TRUE",Inputs!$F$7=1),(((SQRT(((Inputs!$I$7+(((A20)+1)/2)*(Inputs!$J$7-Inputs!$I$7)))^2+Inputs!$C$6^2+((Inputs!$H$7+Inputs!$L$7*(((Inputs!$I$7+(((A20)+1)/2)*(Inputs!$J$7-Inputs!$I$7)))/Inputs!$K$7)^2))^2))-((Inputs!$H$7+Inputs!$L$7*(((Inputs!$I$7+(((A20)+1)/2)*(Inputs!$J$7-Inputs!$I$7)))/Inputs!$K$7)^2)))*1000/Inputs!$C$12),NA())</f>
        <v>86830.344196706923</v>
      </c>
      <c r="J20" s="9">
        <f>IF(OR(Inputs!$F$8=TRUE,Inputs!$F$8="TRUE",Inputs!$F$8=1),(((SQRT(((Inputs!$I$8+(((A20)+1)/2)*(Inputs!$J$8-Inputs!$I$8)))^2+Inputs!$C$6^2+((Inputs!$H$8+Inputs!$L$8*(((Inputs!$I$8+(((A20)+1)/2)*(Inputs!$J$8-Inputs!$I$8)))/Inputs!$K$8)^2))^2))-((Inputs!$H$8+Inputs!$L$8*(((Inputs!$I$8+(((A20)+1)/2)*(Inputs!$J$8-Inputs!$I$8)))/Inputs!$K$8)^2)))*1000/Inputs!$C$12),NA())</f>
        <v>150206.45189413539</v>
      </c>
      <c r="K20" s="9">
        <f>IF(OR(Inputs!$F$9=TRUE,Inputs!$F$9="TRUE",Inputs!$F$9=1),(((SQRT(((Inputs!$I$9+(((A20)+1)/2)*(Inputs!$J$9-Inputs!$I$9)))^2+Inputs!$C$6^2+((Inputs!$H$9+Inputs!$L$9*(((Inputs!$I$9+(((A20)+1)/2)*(Inputs!$J$9-Inputs!$I$9)))/Inputs!$K$9)^2))^2))-((Inputs!$H$9+Inputs!$L$9*(((Inputs!$I$9+(((A20)+1)/2)*(Inputs!$J$9-Inputs!$I$9)))/Inputs!$K$9)^2)))*1000/Inputs!$C$12),NA())</f>
        <v>150624.45481747933</v>
      </c>
      <c r="L20" s="10"/>
      <c r="M20" s="9">
        <f t="shared" si="1"/>
        <v>-0.85</v>
      </c>
      <c r="N20" s="9">
        <f>IF(OR(Inputs!$F$6=TRUE,Inputs!$F$6="TRUE",Inputs!$F$6=1),(-2*((1000*((((Inputs!$I$6+(((A20)+1)/2)*(Inputs!$J$6-Inputs!$I$6)))*Inputs!$C$11+((Inputs!$H$6+Inputs!$L$6*(((Inputs!$I$6+(((A20)+1)/2)*(Inputs!$J$6-Inputs!$I$6)))/Inputs!$K$6)^2))*((2*Inputs!$L$6*((Inputs!$I$6+(((A20)+1)/2)*(Inputs!$J$6-Inputs!$I$6)))/(Inputs!$K$6^2)*Inputs!$C$11)))/(SQRT(((Inputs!$I$6+(((A20)+1)/2)*(Inputs!$J$6-Inputs!$I$6)))^2+Inputs!$C$6^2+((Inputs!$H$6+Inputs!$L$6*(((Inputs!$I$6+(((A20)+1)/2)*(Inputs!$J$6-Inputs!$I$6)))/Inputs!$K$6)^2))^2)))))/Inputs!$C$13),NA())</f>
        <v>380.1113693016265</v>
      </c>
      <c r="O20" s="9">
        <f>IF(OR(Inputs!$F$7=TRUE,Inputs!$F$7="TRUE",Inputs!$F$7=1),(-2*((1000*((((Inputs!$I$7+(((A20)+1)/2)*(Inputs!$J$7-Inputs!$I$7)))*Inputs!$C$11+((Inputs!$H$7+Inputs!$L$7*(((Inputs!$I$7+(((A20)+1)/2)*(Inputs!$J$7-Inputs!$I$7)))/Inputs!$K$7)^2))*((2*Inputs!$L$7*((Inputs!$I$7+(((A20)+1)/2)*(Inputs!$J$7-Inputs!$I$7)))/(Inputs!$K$7^2)*Inputs!$C$11)))/(SQRT(((Inputs!$I$7+(((A20)+1)/2)*(Inputs!$J$7-Inputs!$I$7)))^2+Inputs!$C$6^2+((Inputs!$H$7+Inputs!$L$7*(((Inputs!$I$7+(((A20)+1)/2)*(Inputs!$J$7-Inputs!$I$7)))/Inputs!$K$7)^2))^2)))))/Inputs!$C$13),NA())</f>
        <v>2835.8439145487414</v>
      </c>
      <c r="P20" s="9">
        <f>IF(OR(Inputs!$F$8=TRUE,Inputs!$F$8="TRUE",Inputs!$F$8=1),(-2*((1000*((((Inputs!$I$8+(((A20)+1)/2)*(Inputs!$J$8-Inputs!$I$8)))*Inputs!$C$11+((Inputs!$H$8+Inputs!$L$8*(((Inputs!$I$8+(((A20)+1)/2)*(Inputs!$J$8-Inputs!$I$8)))/Inputs!$K$8)^2))*((2*Inputs!$L$8*((Inputs!$I$8+(((A20)+1)/2)*(Inputs!$J$8-Inputs!$I$8)))/(Inputs!$K$8^2)*Inputs!$C$11)))/(SQRT(((Inputs!$I$8+(((A20)+1)/2)*(Inputs!$J$8-Inputs!$I$8)))^2+Inputs!$C$6^2+((Inputs!$H$8+Inputs!$L$8*(((Inputs!$I$8+(((A20)+1)/2)*(Inputs!$J$8-Inputs!$I$8)))/Inputs!$K$8)^2))^2)))))/Inputs!$C$13),NA())</f>
        <v>3491.8558465277974</v>
      </c>
      <c r="Q20" s="9">
        <f>IF(OR(Inputs!$F$9=TRUE,Inputs!$F$9="TRUE",Inputs!$F$9=1),(-2*((1000*((((Inputs!$I$9+(((A20)+1)/2)*(Inputs!$J$9-Inputs!$I$9)))*Inputs!$C$11+((Inputs!$H$9+Inputs!$L$9*(((Inputs!$I$9+(((A20)+1)/2)*(Inputs!$J$9-Inputs!$I$9)))/Inputs!$K$9)^2))*((2*Inputs!$L$9*((Inputs!$I$9+(((A20)+1)/2)*(Inputs!$J$9-Inputs!$I$9)))/(Inputs!$K$9^2)*Inputs!$C$11)))/(SQRT(((Inputs!$I$9+(((A20)+1)/2)*(Inputs!$J$9-Inputs!$I$9)))^2+Inputs!$C$6^2+((Inputs!$H$9+Inputs!$L$9*(((Inputs!$I$9+(((A20)+1)/2)*(Inputs!$J$9-Inputs!$I$9)))/Inputs!$K$9)^2))^2)))))/Inputs!$C$13),NA())</f>
        <v>3514.6997376092377</v>
      </c>
      <c r="R20" s="10"/>
      <c r="S20" s="9">
        <f t="shared" si="2"/>
        <v>-0.85</v>
      </c>
      <c r="T20" s="9">
        <f>(Inputs!$I$6+(((A20)+1)/2)*(Inputs!$J$6-Inputs!$I$6))</f>
        <v>-51</v>
      </c>
      <c r="U20" s="9">
        <f>(Inputs!$I$7+(((A20)+1)/2)*(Inputs!$J$7-Inputs!$I$7))</f>
        <v>-340</v>
      </c>
      <c r="V20" s="9">
        <f>(Inputs!$I$8+(((A20)+1)/2)*(Inputs!$J$8-Inputs!$I$8))</f>
        <v>-680</v>
      </c>
      <c r="W20" s="9">
        <f>(Inputs!$I$9+(((A20)+1)/2)*(Inputs!$J$9-Inputs!$I$9))</f>
        <v>-680</v>
      </c>
      <c r="X20" s="10"/>
      <c r="Y20" s="9">
        <f t="shared" si="3"/>
        <v>-0.85</v>
      </c>
      <c r="Z20" s="9">
        <f>(Inputs!$H$6+Inputs!$L$6*(((Inputs!$I$6+(((A20)+1)/2)*(Inputs!$J$6-Inputs!$I$6)))/Inputs!$K$6)^2)</f>
        <v>402.89</v>
      </c>
      <c r="AA20" s="9">
        <f>(Inputs!$H$7+Inputs!$L$7*(((Inputs!$I$7+(((A20)+1)/2)*(Inputs!$J$7-Inputs!$I$7)))/Inputs!$K$7)^2)</f>
        <v>298.71249999999998</v>
      </c>
      <c r="AB20" s="9">
        <f>(Inputs!$H$8+Inputs!$L$8*(((Inputs!$I$8+(((A20)+1)/2)*(Inputs!$J$8-Inputs!$I$8)))/Inputs!$K$8)^2)</f>
        <v>732.21249999999998</v>
      </c>
      <c r="AC20" s="9">
        <f>(Inputs!$H$9+Inputs!$L$9*(((Inputs!$I$9+(((A20)+1)/2)*(Inputs!$J$9-Inputs!$I$9)))/Inputs!$K$9)^2)</f>
        <v>729.43749999999989</v>
      </c>
      <c r="AD20" s="10"/>
      <c r="AE20" s="9">
        <f t="shared" si="4"/>
        <v>-0.85</v>
      </c>
      <c r="AF20" s="9">
        <f>(((SQRT(((Inputs!$I$6+(((A20)+1)/2)*(Inputs!$J$6-Inputs!$I$6)))^2+Inputs!$C$6^2+((Inputs!$H$6+Inputs!$L$6*(((Inputs!$I$6+(((A20)+1)/2)*(Inputs!$J$6-Inputs!$I$6)))/Inputs!$K$6)^2))^2))-((Inputs!$H$6+Inputs!$L$6*(((Inputs!$I$6+(((A20)+1)/2)*(Inputs!$J$6-Inputs!$I$6)))/Inputs!$K$6)^2)))*1000/Inputs!$C$12)</f>
        <v>2238.133363530445</v>
      </c>
      <c r="AG20" s="9">
        <f>(((SQRT(((Inputs!$I$7+(((A20)+1)/2)*(Inputs!$J$7-Inputs!$I$7)))^2+Inputs!$C$6^2+((Inputs!$H$7+Inputs!$L$7*(((Inputs!$I$7+(((A20)+1)/2)*(Inputs!$J$7-Inputs!$I$7)))/Inputs!$K$7)^2))^2))-((Inputs!$H$7+Inputs!$L$7*(((Inputs!$I$7+(((A20)+1)/2)*(Inputs!$J$7-Inputs!$I$7)))/Inputs!$K$7)^2)))*1000/Inputs!$C$12)</f>
        <v>86830.344196706923</v>
      </c>
      <c r="AH20" s="9">
        <f>(((SQRT(((Inputs!$I$8+(((A20)+1)/2)*(Inputs!$J$8-Inputs!$I$8)))^2+Inputs!$C$6^2+((Inputs!$H$8+Inputs!$L$8*(((Inputs!$I$8+(((A20)+1)/2)*(Inputs!$J$8-Inputs!$I$8)))/Inputs!$K$8)^2))^2))-((Inputs!$H$8+Inputs!$L$8*(((Inputs!$I$8+(((A20)+1)/2)*(Inputs!$J$8-Inputs!$I$8)))/Inputs!$K$8)^2)))*1000/Inputs!$C$12)</f>
        <v>150206.45189413539</v>
      </c>
      <c r="AI20" s="9">
        <f>(((SQRT(((Inputs!$I$9+(((A20)+1)/2)*(Inputs!$J$9-Inputs!$I$9)))^2+Inputs!$C$6^2+((Inputs!$H$9+Inputs!$L$9*(((Inputs!$I$9+(((A20)+1)/2)*(Inputs!$J$9-Inputs!$I$9)))/Inputs!$K$9)^2))^2))-((Inputs!$H$9+Inputs!$L$9*(((Inputs!$I$9+(((A20)+1)/2)*(Inputs!$J$9-Inputs!$I$9)))/Inputs!$K$9)^2)))*1000/Inputs!$C$12)</f>
        <v>150624.45481747933</v>
      </c>
      <c r="AJ20" s="10"/>
      <c r="AK20" s="9">
        <f t="shared" si="5"/>
        <v>-0.85</v>
      </c>
      <c r="AL20" s="9">
        <f>(-2*((1000*((((Inputs!$I$6+(((A20)+1)/2)*(Inputs!$J$6-Inputs!$I$6)))*Inputs!$C$11+((Inputs!$H$6+Inputs!$L$6*(((Inputs!$I$6+(((A20)+1)/2)*(Inputs!$J$6-Inputs!$I$6)))/Inputs!$K$6)^2))*((2*Inputs!$L$6*((Inputs!$I$6+(((A20)+1)/2)*(Inputs!$J$6-Inputs!$I$6)))/(Inputs!$K$6^2)*Inputs!$C$11)))/(SQRT(((Inputs!$I$6+(((A20)+1)/2)*(Inputs!$J$6-Inputs!$I$6)))^2+Inputs!$C$6^2+((Inputs!$H$6+Inputs!$L$6*(((Inputs!$I$6+(((A20)+1)/2)*(Inputs!$J$6-Inputs!$I$6)))/Inputs!$K$6)^2))^2)))))/Inputs!$C$13)</f>
        <v>380.1113693016265</v>
      </c>
      <c r="AM20" s="9">
        <f>(-2*((1000*((((Inputs!$I$7+(((A20)+1)/2)*(Inputs!$J$7-Inputs!$I$7)))*Inputs!$C$11+((Inputs!$H$7+Inputs!$L$7*(((Inputs!$I$7+(((A20)+1)/2)*(Inputs!$J$7-Inputs!$I$7)))/Inputs!$K$7)^2))*((2*Inputs!$L$7*((Inputs!$I$7+(((A20)+1)/2)*(Inputs!$J$7-Inputs!$I$7)))/(Inputs!$K$7^2)*Inputs!$C$11)))/(SQRT(((Inputs!$I$7+(((A20)+1)/2)*(Inputs!$J$7-Inputs!$I$7)))^2+Inputs!$C$6^2+((Inputs!$H$7+Inputs!$L$7*(((Inputs!$I$7+(((A20)+1)/2)*(Inputs!$J$7-Inputs!$I$7)))/Inputs!$K$7)^2))^2)))))/Inputs!$C$13)</f>
        <v>2835.8439145487414</v>
      </c>
      <c r="AN20" s="9">
        <f>(-2*((1000*((((Inputs!$I$8+(((A20)+1)/2)*(Inputs!$J$8-Inputs!$I$8)))*Inputs!$C$11+((Inputs!$H$8+Inputs!$L$8*(((Inputs!$I$8+(((A20)+1)/2)*(Inputs!$J$8-Inputs!$I$8)))/Inputs!$K$8)^2))*((2*Inputs!$L$8*((Inputs!$I$8+(((A20)+1)/2)*(Inputs!$J$8-Inputs!$I$8)))/(Inputs!$K$8^2)*Inputs!$C$11)))/(SQRT(((Inputs!$I$8+(((A20)+1)/2)*(Inputs!$J$8-Inputs!$I$8)))^2+Inputs!$C$6^2+((Inputs!$H$8+Inputs!$L$8*(((Inputs!$I$8+(((A20)+1)/2)*(Inputs!$J$8-Inputs!$I$8)))/Inputs!$K$8)^2))^2)))))/Inputs!$C$13)</f>
        <v>3491.8558465277974</v>
      </c>
      <c r="AO20" s="9">
        <f>(-2*((1000*((((Inputs!$I$9+(((A20)+1)/2)*(Inputs!$J$9-Inputs!$I$9)))*Inputs!$C$11+((Inputs!$H$9+Inputs!$L$9*(((Inputs!$I$9+(((A20)+1)/2)*(Inputs!$J$9-Inputs!$I$9)))/Inputs!$K$9)^2))*((2*Inputs!$L$9*((Inputs!$I$9+(((A20)+1)/2)*(Inputs!$J$9-Inputs!$I$9)))/(Inputs!$K$9^2)*Inputs!$C$11)))/(SQRT(((Inputs!$I$9+(((A20)+1)/2)*(Inputs!$J$9-Inputs!$I$9)))^2+Inputs!$C$6^2+((Inputs!$H$9+Inputs!$L$9*(((Inputs!$I$9+(((A20)+1)/2)*(Inputs!$J$9-Inputs!$I$9)))/Inputs!$K$9)^2))^2)))))/Inputs!$C$13)</f>
        <v>3514.6997376092377</v>
      </c>
    </row>
    <row r="21" spans="1:41">
      <c r="A21" s="9">
        <f>ROUND(-1+19*2/240,3)</f>
        <v>-0.84199999999999997</v>
      </c>
      <c r="B21" s="9">
        <f>IF(OR(Inputs!$F$6=TRUE,Inputs!$F$6="TRUE",Inputs!$F$6=1),(Inputs!$H$6+Inputs!$L$6*(((Inputs!$I$6+(((A21)+1)/2)*(Inputs!$J$6-Inputs!$I$6)))/Inputs!$K$6)^2),NA())</f>
        <v>402.83585599999998</v>
      </c>
      <c r="C21" s="9">
        <f>IF(OR(Inputs!$F$7=TRUE,Inputs!$F$7="TRUE",Inputs!$F$7=1),(Inputs!$H$7+Inputs!$L$7*(((Inputs!$I$7+(((A21)+1)/2)*(Inputs!$J$7-Inputs!$I$7)))/Inputs!$K$7)^2),NA())</f>
        <v>293.77186000000006</v>
      </c>
      <c r="D21" s="9">
        <f>IF(OR(Inputs!$F$8=TRUE,Inputs!$F$8="TRUE",Inputs!$F$8=1),(Inputs!$H$8+Inputs!$L$8*(((Inputs!$I$8+(((A21)+1)/2)*(Inputs!$J$8-Inputs!$I$8)))/Inputs!$K$8)^2),NA())</f>
        <v>719.15026000000012</v>
      </c>
      <c r="E21" s="9">
        <f>IF(OR(Inputs!$F$9=TRUE,Inputs!$F$9="TRUE",Inputs!$F$9=1),(Inputs!$H$9+Inputs!$L$9*(((Inputs!$I$9+(((A21)+1)/2)*(Inputs!$J$9-Inputs!$I$9)))/Inputs!$K$9)^2),NA())</f>
        <v>716.23990000000015</v>
      </c>
      <c r="F21" s="10"/>
      <c r="G21" s="9">
        <f t="shared" si="0"/>
        <v>-0.84199999999999997</v>
      </c>
      <c r="H21" s="9">
        <f>IF(OR(Inputs!$F$6=TRUE,Inputs!$F$6="TRUE",Inputs!$F$6=1),(((SQRT(((Inputs!$I$6+(((A21)+1)/2)*(Inputs!$J$6-Inputs!$I$6)))^2+Inputs!$C$6^2+((Inputs!$H$6+Inputs!$L$6*(((Inputs!$I$6+(((A21)+1)/2)*(Inputs!$J$6-Inputs!$I$6)))/Inputs!$K$6)^2))^2))-((Inputs!$H$6+Inputs!$L$6*(((Inputs!$I$6+(((A21)+1)/2)*(Inputs!$J$6-Inputs!$I$6)))/Inputs!$K$6)^2)))*1000/Inputs!$C$12),NA())</f>
        <v>2204.7822322393863</v>
      </c>
      <c r="I21" s="9">
        <f>IF(OR(Inputs!$F$7=TRUE,Inputs!$F$7="TRUE",Inputs!$F$7=1),(((SQRT(((Inputs!$I$7+(((A21)+1)/2)*(Inputs!$J$7-Inputs!$I$7)))^2+Inputs!$C$6^2+((Inputs!$H$7+Inputs!$L$7*(((Inputs!$I$7+(((A21)+1)/2)*(Inputs!$J$7-Inputs!$I$7)))/Inputs!$K$7)^2))^2))-((Inputs!$H$7+Inputs!$L$7*(((Inputs!$I$7+(((A21)+1)/2)*(Inputs!$J$7-Inputs!$I$7)))/Inputs!$K$7)^2)))*1000/Inputs!$C$12),NA())</f>
        <v>86429.958756615073</v>
      </c>
      <c r="J21" s="9">
        <f>IF(OR(Inputs!$F$8=TRUE,Inputs!$F$8="TRUE",Inputs!$F$8=1),(((SQRT(((Inputs!$I$8+(((A21)+1)/2)*(Inputs!$J$8-Inputs!$I$8)))^2+Inputs!$C$6^2+((Inputs!$H$8+Inputs!$L$8*(((Inputs!$I$8+(((A21)+1)/2)*(Inputs!$J$8-Inputs!$I$8)))/Inputs!$K$8)^2))^2))-((Inputs!$H$8+Inputs!$L$8*(((Inputs!$I$8+(((A21)+1)/2)*(Inputs!$J$8-Inputs!$I$8)))/Inputs!$K$8)^2)))*1000/Inputs!$C$12),NA())</f>
        <v>149728.39777137816</v>
      </c>
      <c r="K21" s="9">
        <f>IF(OR(Inputs!$F$9=TRUE,Inputs!$F$9="TRUE",Inputs!$F$9=1),(((SQRT(((Inputs!$I$9+(((A21)+1)/2)*(Inputs!$J$9-Inputs!$I$9)))^2+Inputs!$C$6^2+((Inputs!$H$9+Inputs!$L$9*(((Inputs!$I$9+(((A21)+1)/2)*(Inputs!$J$9-Inputs!$I$9)))/Inputs!$K$9)^2))^2))-((Inputs!$H$9+Inputs!$L$9*(((Inputs!$I$9+(((A21)+1)/2)*(Inputs!$J$9-Inputs!$I$9)))/Inputs!$K$9)^2)))*1000/Inputs!$C$12),NA())</f>
        <v>150171.62935366906</v>
      </c>
      <c r="L21" s="10"/>
      <c r="M21" s="9">
        <f t="shared" si="1"/>
        <v>-0.84199999999999997</v>
      </c>
      <c r="N21" s="9">
        <f>IF(OR(Inputs!$F$6=TRUE,Inputs!$F$6="TRUE",Inputs!$F$6=1),(-2*((1000*((((Inputs!$I$6+(((A21)+1)/2)*(Inputs!$J$6-Inputs!$I$6)))*Inputs!$C$11+((Inputs!$H$6+Inputs!$L$6*(((Inputs!$I$6+(((A21)+1)/2)*(Inputs!$J$6-Inputs!$I$6)))/Inputs!$K$6)^2))*((2*Inputs!$L$6*((Inputs!$I$6+(((A21)+1)/2)*(Inputs!$J$6-Inputs!$I$6)))/(Inputs!$K$6^2)*Inputs!$C$11)))/(SQRT(((Inputs!$I$6+(((A21)+1)/2)*(Inputs!$J$6-Inputs!$I$6)))^2+Inputs!$C$6^2+((Inputs!$H$6+Inputs!$L$6*(((Inputs!$I$6+(((A21)+1)/2)*(Inputs!$J$6-Inputs!$I$6)))/Inputs!$K$6)^2))^2)))))/Inputs!$C$13),NA())</f>
        <v>376.61501448555703</v>
      </c>
      <c r="O21" s="9">
        <f>IF(OR(Inputs!$F$7=TRUE,Inputs!$F$7="TRUE",Inputs!$F$7=1),(-2*((1000*((((Inputs!$I$7+(((A21)+1)/2)*(Inputs!$J$7-Inputs!$I$7)))*Inputs!$C$11+((Inputs!$H$7+Inputs!$L$7*(((Inputs!$I$7+(((A21)+1)/2)*(Inputs!$J$7-Inputs!$I$7)))/Inputs!$K$7)^2))*((2*Inputs!$L$7*((Inputs!$I$7+(((A21)+1)/2)*(Inputs!$J$7-Inputs!$I$7)))/(Inputs!$K$7^2)*Inputs!$C$11)))/(SQRT(((Inputs!$I$7+(((A21)+1)/2)*(Inputs!$J$7-Inputs!$I$7)))^2+Inputs!$C$6^2+((Inputs!$H$7+Inputs!$L$7*(((Inputs!$I$7+(((A21)+1)/2)*(Inputs!$J$7-Inputs!$I$7)))/Inputs!$K$7)^2))^2)))))/Inputs!$C$13),NA())</f>
        <v>2817.4951357143932</v>
      </c>
      <c r="P21" s="9">
        <f>IF(OR(Inputs!$F$8=TRUE,Inputs!$F$8="TRUE",Inputs!$F$8=1),(-2*((1000*((((Inputs!$I$8+(((A21)+1)/2)*(Inputs!$J$8-Inputs!$I$8)))*Inputs!$C$11+((Inputs!$H$8+Inputs!$L$8*(((Inputs!$I$8+(((A21)+1)/2)*(Inputs!$J$8-Inputs!$I$8)))/Inputs!$K$8)^2))*((2*Inputs!$L$8*((Inputs!$I$8+(((A21)+1)/2)*(Inputs!$J$8-Inputs!$I$8)))/(Inputs!$K$8^2)*Inputs!$C$11)))/(SQRT(((Inputs!$I$8+(((A21)+1)/2)*(Inputs!$J$8-Inputs!$I$8)))^2+Inputs!$C$6^2+((Inputs!$H$8+Inputs!$L$8*(((Inputs!$I$8+(((A21)+1)/2)*(Inputs!$J$8-Inputs!$I$8)))/Inputs!$K$8)^2))^2)))))/Inputs!$C$13),NA())</f>
        <v>3464.7455054778306</v>
      </c>
      <c r="Q21" s="9">
        <f>IF(OR(Inputs!$F$9=TRUE,Inputs!$F$9="TRUE",Inputs!$F$9=1),(-2*((1000*((((Inputs!$I$9+(((A21)+1)/2)*(Inputs!$J$9-Inputs!$I$9)))*Inputs!$C$11+((Inputs!$H$9+Inputs!$L$9*(((Inputs!$I$9+(((A21)+1)/2)*(Inputs!$J$9-Inputs!$I$9)))/Inputs!$K$9)^2))*((2*Inputs!$L$9*((Inputs!$I$9+(((A21)+1)/2)*(Inputs!$J$9-Inputs!$I$9)))/(Inputs!$K$9^2)*Inputs!$C$11)))/(SQRT(((Inputs!$I$9+(((A21)+1)/2)*(Inputs!$J$9-Inputs!$I$9)))^2+Inputs!$C$6^2+((Inputs!$H$9+Inputs!$L$9*(((Inputs!$I$9+(((A21)+1)/2)*(Inputs!$J$9-Inputs!$I$9)))/Inputs!$K$9)^2))^2)))))/Inputs!$C$13),NA())</f>
        <v>3487.1278771166581</v>
      </c>
      <c r="R21" s="10"/>
      <c r="S21" s="9">
        <f t="shared" si="2"/>
        <v>-0.84199999999999997</v>
      </c>
      <c r="T21" s="9">
        <f>(Inputs!$I$6+(((A21)+1)/2)*(Inputs!$J$6-Inputs!$I$6))</f>
        <v>-50.519999999999996</v>
      </c>
      <c r="U21" s="9">
        <f>(Inputs!$I$7+(((A21)+1)/2)*(Inputs!$J$7-Inputs!$I$7))</f>
        <v>-336.8</v>
      </c>
      <c r="V21" s="9">
        <f>(Inputs!$I$8+(((A21)+1)/2)*(Inputs!$J$8-Inputs!$I$8))</f>
        <v>-673.6</v>
      </c>
      <c r="W21" s="9">
        <f>(Inputs!$I$9+(((A21)+1)/2)*(Inputs!$J$9-Inputs!$I$9))</f>
        <v>-673.6</v>
      </c>
      <c r="X21" s="10"/>
      <c r="Y21" s="9">
        <f t="shared" si="3"/>
        <v>-0.84199999999999997</v>
      </c>
      <c r="Z21" s="9">
        <f>(Inputs!$H$6+Inputs!$L$6*(((Inputs!$I$6+(((A21)+1)/2)*(Inputs!$J$6-Inputs!$I$6)))/Inputs!$K$6)^2)</f>
        <v>402.83585599999998</v>
      </c>
      <c r="AA21" s="9">
        <f>(Inputs!$H$7+Inputs!$L$7*(((Inputs!$I$7+(((A21)+1)/2)*(Inputs!$J$7-Inputs!$I$7)))/Inputs!$K$7)^2)</f>
        <v>293.77186000000006</v>
      </c>
      <c r="AB21" s="9">
        <f>(Inputs!$H$8+Inputs!$L$8*(((Inputs!$I$8+(((A21)+1)/2)*(Inputs!$J$8-Inputs!$I$8)))/Inputs!$K$8)^2)</f>
        <v>719.15026000000012</v>
      </c>
      <c r="AC21" s="9">
        <f>(Inputs!$H$9+Inputs!$L$9*(((Inputs!$I$9+(((A21)+1)/2)*(Inputs!$J$9-Inputs!$I$9)))/Inputs!$K$9)^2)</f>
        <v>716.23990000000015</v>
      </c>
      <c r="AD21" s="10"/>
      <c r="AE21" s="9">
        <f t="shared" si="4"/>
        <v>-0.84199999999999997</v>
      </c>
      <c r="AF21" s="9">
        <f>(((SQRT(((Inputs!$I$6+(((A21)+1)/2)*(Inputs!$J$6-Inputs!$I$6)))^2+Inputs!$C$6^2+((Inputs!$H$6+Inputs!$L$6*(((Inputs!$I$6+(((A21)+1)/2)*(Inputs!$J$6-Inputs!$I$6)))/Inputs!$K$6)^2))^2))-((Inputs!$H$6+Inputs!$L$6*(((Inputs!$I$6+(((A21)+1)/2)*(Inputs!$J$6-Inputs!$I$6)))/Inputs!$K$6)^2)))*1000/Inputs!$C$12)</f>
        <v>2204.7822322393863</v>
      </c>
      <c r="AG21" s="9">
        <f>(((SQRT(((Inputs!$I$7+(((A21)+1)/2)*(Inputs!$J$7-Inputs!$I$7)))^2+Inputs!$C$6^2+((Inputs!$H$7+Inputs!$L$7*(((Inputs!$I$7+(((A21)+1)/2)*(Inputs!$J$7-Inputs!$I$7)))/Inputs!$K$7)^2))^2))-((Inputs!$H$7+Inputs!$L$7*(((Inputs!$I$7+(((A21)+1)/2)*(Inputs!$J$7-Inputs!$I$7)))/Inputs!$K$7)^2)))*1000/Inputs!$C$12)</f>
        <v>86429.958756615073</v>
      </c>
      <c r="AH21" s="9">
        <f>(((SQRT(((Inputs!$I$8+(((A21)+1)/2)*(Inputs!$J$8-Inputs!$I$8)))^2+Inputs!$C$6^2+((Inputs!$H$8+Inputs!$L$8*(((Inputs!$I$8+(((A21)+1)/2)*(Inputs!$J$8-Inputs!$I$8)))/Inputs!$K$8)^2))^2))-((Inputs!$H$8+Inputs!$L$8*(((Inputs!$I$8+(((A21)+1)/2)*(Inputs!$J$8-Inputs!$I$8)))/Inputs!$K$8)^2)))*1000/Inputs!$C$12)</f>
        <v>149728.39777137816</v>
      </c>
      <c r="AI21" s="9">
        <f>(((SQRT(((Inputs!$I$9+(((A21)+1)/2)*(Inputs!$J$9-Inputs!$I$9)))^2+Inputs!$C$6^2+((Inputs!$H$9+Inputs!$L$9*(((Inputs!$I$9+(((A21)+1)/2)*(Inputs!$J$9-Inputs!$I$9)))/Inputs!$K$9)^2))^2))-((Inputs!$H$9+Inputs!$L$9*(((Inputs!$I$9+(((A21)+1)/2)*(Inputs!$J$9-Inputs!$I$9)))/Inputs!$K$9)^2)))*1000/Inputs!$C$12)</f>
        <v>150171.62935366906</v>
      </c>
      <c r="AJ21" s="10"/>
      <c r="AK21" s="9">
        <f t="shared" si="5"/>
        <v>-0.84199999999999997</v>
      </c>
      <c r="AL21" s="9">
        <f>(-2*((1000*((((Inputs!$I$6+(((A21)+1)/2)*(Inputs!$J$6-Inputs!$I$6)))*Inputs!$C$11+((Inputs!$H$6+Inputs!$L$6*(((Inputs!$I$6+(((A21)+1)/2)*(Inputs!$J$6-Inputs!$I$6)))/Inputs!$K$6)^2))*((2*Inputs!$L$6*((Inputs!$I$6+(((A21)+1)/2)*(Inputs!$J$6-Inputs!$I$6)))/(Inputs!$K$6^2)*Inputs!$C$11)))/(SQRT(((Inputs!$I$6+(((A21)+1)/2)*(Inputs!$J$6-Inputs!$I$6)))^2+Inputs!$C$6^2+((Inputs!$H$6+Inputs!$L$6*(((Inputs!$I$6+(((A21)+1)/2)*(Inputs!$J$6-Inputs!$I$6)))/Inputs!$K$6)^2))^2)))))/Inputs!$C$13)</f>
        <v>376.61501448555703</v>
      </c>
      <c r="AM21" s="9">
        <f>(-2*((1000*((((Inputs!$I$7+(((A21)+1)/2)*(Inputs!$J$7-Inputs!$I$7)))*Inputs!$C$11+((Inputs!$H$7+Inputs!$L$7*(((Inputs!$I$7+(((A21)+1)/2)*(Inputs!$J$7-Inputs!$I$7)))/Inputs!$K$7)^2))*((2*Inputs!$L$7*((Inputs!$I$7+(((A21)+1)/2)*(Inputs!$J$7-Inputs!$I$7)))/(Inputs!$K$7^2)*Inputs!$C$11)))/(SQRT(((Inputs!$I$7+(((A21)+1)/2)*(Inputs!$J$7-Inputs!$I$7)))^2+Inputs!$C$6^2+((Inputs!$H$7+Inputs!$L$7*(((Inputs!$I$7+(((A21)+1)/2)*(Inputs!$J$7-Inputs!$I$7)))/Inputs!$K$7)^2))^2)))))/Inputs!$C$13)</f>
        <v>2817.4951357143932</v>
      </c>
      <c r="AN21" s="9">
        <f>(-2*((1000*((((Inputs!$I$8+(((A21)+1)/2)*(Inputs!$J$8-Inputs!$I$8)))*Inputs!$C$11+((Inputs!$H$8+Inputs!$L$8*(((Inputs!$I$8+(((A21)+1)/2)*(Inputs!$J$8-Inputs!$I$8)))/Inputs!$K$8)^2))*((2*Inputs!$L$8*((Inputs!$I$8+(((A21)+1)/2)*(Inputs!$J$8-Inputs!$I$8)))/(Inputs!$K$8^2)*Inputs!$C$11)))/(SQRT(((Inputs!$I$8+(((A21)+1)/2)*(Inputs!$J$8-Inputs!$I$8)))^2+Inputs!$C$6^2+((Inputs!$H$8+Inputs!$L$8*(((Inputs!$I$8+(((A21)+1)/2)*(Inputs!$J$8-Inputs!$I$8)))/Inputs!$K$8)^2))^2)))))/Inputs!$C$13)</f>
        <v>3464.7455054778306</v>
      </c>
      <c r="AO21" s="9">
        <f>(-2*((1000*((((Inputs!$I$9+(((A21)+1)/2)*(Inputs!$J$9-Inputs!$I$9)))*Inputs!$C$11+((Inputs!$H$9+Inputs!$L$9*(((Inputs!$I$9+(((A21)+1)/2)*(Inputs!$J$9-Inputs!$I$9)))/Inputs!$K$9)^2))*((2*Inputs!$L$9*((Inputs!$I$9+(((A21)+1)/2)*(Inputs!$J$9-Inputs!$I$9)))/(Inputs!$K$9^2)*Inputs!$C$11)))/(SQRT(((Inputs!$I$9+(((A21)+1)/2)*(Inputs!$J$9-Inputs!$I$9)))^2+Inputs!$C$6^2+((Inputs!$H$9+Inputs!$L$9*(((Inputs!$I$9+(((A21)+1)/2)*(Inputs!$J$9-Inputs!$I$9)))/Inputs!$K$9)^2))^2)))))/Inputs!$C$13)</f>
        <v>3487.1278771166581</v>
      </c>
    </row>
    <row r="22" spans="1:41">
      <c r="A22" s="9">
        <f>ROUND(-1+20*2/240,3)</f>
        <v>-0.83299999999999996</v>
      </c>
      <c r="B22" s="9">
        <f>IF(OR(Inputs!$F$6=TRUE,Inputs!$F$6="TRUE",Inputs!$F$6=1),(Inputs!$H$6+Inputs!$L$6*(((Inputs!$I$6+(((A22)+1)/2)*(Inputs!$J$6-Inputs!$I$6)))/Inputs!$K$6)^2),NA())</f>
        <v>402.77555599999999</v>
      </c>
      <c r="C22" s="9">
        <f>IF(OR(Inputs!$F$7=TRUE,Inputs!$F$7="TRUE",Inputs!$F$7=1),(Inputs!$H$7+Inputs!$L$7*(((Inputs!$I$7+(((A22)+1)/2)*(Inputs!$J$7-Inputs!$I$7)))/Inputs!$K$7)^2),NA())</f>
        <v>288.26948500000003</v>
      </c>
      <c r="D22" s="9">
        <f>IF(OR(Inputs!$F$8=TRUE,Inputs!$F$8="TRUE",Inputs!$F$8=1),(Inputs!$H$8+Inputs!$L$8*(((Inputs!$I$8+(((A22)+1)/2)*(Inputs!$J$8-Inputs!$I$8)))/Inputs!$K$8)^2),NA())</f>
        <v>704.60288500000001</v>
      </c>
      <c r="E22" s="9">
        <f>IF(OR(Inputs!$F$9=TRUE,Inputs!$F$9="TRUE",Inputs!$F$9=1),(Inputs!$H$9+Inputs!$L$9*(((Inputs!$I$9+(((A22)+1)/2)*(Inputs!$J$9-Inputs!$I$9)))/Inputs!$K$9)^2),NA())</f>
        <v>701.54177500000003</v>
      </c>
      <c r="F22" s="10"/>
      <c r="G22" s="9">
        <f t="shared" si="0"/>
        <v>-0.83299999999999996</v>
      </c>
      <c r="H22" s="9">
        <f>IF(OR(Inputs!$F$6=TRUE,Inputs!$F$6="TRUE",Inputs!$F$6=1),(((SQRT(((Inputs!$I$6+(((A22)+1)/2)*(Inputs!$J$6-Inputs!$I$6)))^2+Inputs!$C$6^2+((Inputs!$H$6+Inputs!$L$6*(((Inputs!$I$6+(((A22)+1)/2)*(Inputs!$J$6-Inputs!$I$6)))/Inputs!$K$6)^2))^2))-((Inputs!$H$6+Inputs!$L$6*(((Inputs!$I$6+(((A22)+1)/2)*(Inputs!$J$6-Inputs!$I$6)))/Inputs!$K$6)^2)))*1000/Inputs!$C$12),NA())</f>
        <v>2167.6229993089323</v>
      </c>
      <c r="I22" s="9">
        <f>IF(OR(Inputs!$F$7=TRUE,Inputs!$F$7="TRUE",Inputs!$F$7=1),(((SQRT(((Inputs!$I$7+(((A22)+1)/2)*(Inputs!$J$7-Inputs!$I$7)))^2+Inputs!$C$6^2+((Inputs!$H$7+Inputs!$L$7*(((Inputs!$I$7+(((A22)+1)/2)*(Inputs!$J$7-Inputs!$I$7)))/Inputs!$K$7)^2))^2))-((Inputs!$H$7+Inputs!$L$7*(((Inputs!$I$7+(((A22)+1)/2)*(Inputs!$J$7-Inputs!$I$7)))/Inputs!$K$7)^2)))*1000/Inputs!$C$12),NA())</f>
        <v>85972.737927170296</v>
      </c>
      <c r="J22" s="9">
        <f>IF(OR(Inputs!$F$8=TRUE,Inputs!$F$8="TRUE",Inputs!$F$8=1),(((SQRT(((Inputs!$I$8+(((A22)+1)/2)*(Inputs!$J$8-Inputs!$I$8)))^2+Inputs!$C$6^2+((Inputs!$H$8+Inputs!$L$8*(((Inputs!$I$8+(((A22)+1)/2)*(Inputs!$J$8-Inputs!$I$8)))/Inputs!$K$8)^2))^2))-((Inputs!$H$8+Inputs!$L$8*(((Inputs!$I$8+(((A22)+1)/2)*(Inputs!$J$8-Inputs!$I$8)))/Inputs!$K$8)^2)))*1000/Inputs!$C$12),NA())</f>
        <v>149180.34517064891</v>
      </c>
      <c r="K22" s="9">
        <f>IF(OR(Inputs!$F$9=TRUE,Inputs!$F$9="TRUE",Inputs!$F$9=1),(((SQRT(((Inputs!$I$9+(((A22)+1)/2)*(Inputs!$J$9-Inputs!$I$9)))^2+Inputs!$C$6^2+((Inputs!$H$9+Inputs!$L$9*(((Inputs!$I$9+(((A22)+1)/2)*(Inputs!$J$9-Inputs!$I$9)))/Inputs!$K$9)^2))^2))-((Inputs!$H$9+Inputs!$L$9*(((Inputs!$I$9+(((A22)+1)/2)*(Inputs!$J$9-Inputs!$I$9)))/Inputs!$K$9)^2)))*1000/Inputs!$C$12),NA())</f>
        <v>149652.34113318572</v>
      </c>
      <c r="L22" s="10"/>
      <c r="M22" s="9">
        <f t="shared" si="1"/>
        <v>-0.83299999999999996</v>
      </c>
      <c r="N22" s="9">
        <f>IF(OR(Inputs!$F$6=TRUE,Inputs!$F$6="TRUE",Inputs!$F$6=1),(-2*((1000*((((Inputs!$I$6+(((A22)+1)/2)*(Inputs!$J$6-Inputs!$I$6)))*Inputs!$C$11+((Inputs!$H$6+Inputs!$L$6*(((Inputs!$I$6+(((A22)+1)/2)*(Inputs!$J$6-Inputs!$I$6)))/Inputs!$K$6)^2))*((2*Inputs!$L$6*((Inputs!$I$6+(((A22)+1)/2)*(Inputs!$J$6-Inputs!$I$6)))/(Inputs!$K$6^2)*Inputs!$C$11)))/(SQRT(((Inputs!$I$6+(((A22)+1)/2)*(Inputs!$J$6-Inputs!$I$6)))^2+Inputs!$C$6^2+((Inputs!$H$6+Inputs!$L$6*(((Inputs!$I$6+(((A22)+1)/2)*(Inputs!$J$6-Inputs!$I$6)))/Inputs!$K$6)^2))^2)))))/Inputs!$C$13),NA())</f>
        <v>372.67894333802201</v>
      </c>
      <c r="O22" s="9">
        <f>IF(OR(Inputs!$F$7=TRUE,Inputs!$F$7="TRUE",Inputs!$F$7=1),(-2*((1000*((((Inputs!$I$7+(((A22)+1)/2)*(Inputs!$J$7-Inputs!$I$7)))*Inputs!$C$11+((Inputs!$H$7+Inputs!$L$7*(((Inputs!$I$7+(((A22)+1)/2)*(Inputs!$J$7-Inputs!$I$7)))/Inputs!$K$7)^2))*((2*Inputs!$L$7*((Inputs!$I$7+(((A22)+1)/2)*(Inputs!$J$7-Inputs!$I$7)))/(Inputs!$K$7^2)*Inputs!$C$11)))/(SQRT(((Inputs!$I$7+(((A22)+1)/2)*(Inputs!$J$7-Inputs!$I$7)))^2+Inputs!$C$6^2+((Inputs!$H$7+Inputs!$L$7*(((Inputs!$I$7+(((A22)+1)/2)*(Inputs!$J$7-Inputs!$I$7)))/Inputs!$K$7)^2))^2)))))/Inputs!$C$13),NA())</f>
        <v>2796.9464845511202</v>
      </c>
      <c r="P22" s="9">
        <f>IF(OR(Inputs!$F$8=TRUE,Inputs!$F$8="TRUE",Inputs!$F$8=1),(-2*((1000*((((Inputs!$I$8+(((A22)+1)/2)*(Inputs!$J$8-Inputs!$I$8)))*Inputs!$C$11+((Inputs!$H$8+Inputs!$L$8*(((Inputs!$I$8+(((A22)+1)/2)*(Inputs!$J$8-Inputs!$I$8)))/Inputs!$K$8)^2))*((2*Inputs!$L$8*((Inputs!$I$8+(((A22)+1)/2)*(Inputs!$J$8-Inputs!$I$8)))/(Inputs!$K$8^2)*Inputs!$C$11)))/(SQRT(((Inputs!$I$8+(((A22)+1)/2)*(Inputs!$J$8-Inputs!$I$8)))^2+Inputs!$C$6^2+((Inputs!$H$8+Inputs!$L$8*(((Inputs!$I$8+(((A22)+1)/2)*(Inputs!$J$8-Inputs!$I$8)))/Inputs!$K$8)^2))^2)))))/Inputs!$C$13),NA())</f>
        <v>3434.3420872089278</v>
      </c>
      <c r="Q22" s="9">
        <f>IF(OR(Inputs!$F$9=TRUE,Inputs!$F$9="TRUE",Inputs!$F$9=1),(-2*((1000*((((Inputs!$I$9+(((A22)+1)/2)*(Inputs!$J$9-Inputs!$I$9)))*Inputs!$C$11+((Inputs!$H$9+Inputs!$L$9*(((Inputs!$I$9+(((A22)+1)/2)*(Inputs!$J$9-Inputs!$I$9)))/Inputs!$K$9)^2))*((2*Inputs!$L$9*((Inputs!$I$9+(((A22)+1)/2)*(Inputs!$J$9-Inputs!$I$9)))/(Inputs!$K$9^2)*Inputs!$C$11)))/(SQRT(((Inputs!$I$9+(((A22)+1)/2)*(Inputs!$J$9-Inputs!$I$9)))^2+Inputs!$C$6^2+((Inputs!$H$9+Inputs!$L$9*(((Inputs!$I$9+(((A22)+1)/2)*(Inputs!$J$9-Inputs!$I$9)))/Inputs!$K$9)^2))^2)))))/Inputs!$C$13),NA())</f>
        <v>3456.20360726222</v>
      </c>
      <c r="R22" s="10"/>
      <c r="S22" s="9">
        <f t="shared" si="2"/>
        <v>-0.83299999999999996</v>
      </c>
      <c r="T22" s="9">
        <f>(Inputs!$I$6+(((A22)+1)/2)*(Inputs!$J$6-Inputs!$I$6))</f>
        <v>-49.98</v>
      </c>
      <c r="U22" s="9">
        <f>(Inputs!$I$7+(((A22)+1)/2)*(Inputs!$J$7-Inputs!$I$7))</f>
        <v>-333.2</v>
      </c>
      <c r="V22" s="9">
        <f>(Inputs!$I$8+(((A22)+1)/2)*(Inputs!$J$8-Inputs!$I$8))</f>
        <v>-666.4</v>
      </c>
      <c r="W22" s="9">
        <f>(Inputs!$I$9+(((A22)+1)/2)*(Inputs!$J$9-Inputs!$I$9))</f>
        <v>-666.4</v>
      </c>
      <c r="X22" s="10"/>
      <c r="Y22" s="9">
        <f t="shared" si="3"/>
        <v>-0.83299999999999996</v>
      </c>
      <c r="Z22" s="9">
        <f>(Inputs!$H$6+Inputs!$L$6*(((Inputs!$I$6+(((A22)+1)/2)*(Inputs!$J$6-Inputs!$I$6)))/Inputs!$K$6)^2)</f>
        <v>402.77555599999999</v>
      </c>
      <c r="AA22" s="9">
        <f>(Inputs!$H$7+Inputs!$L$7*(((Inputs!$I$7+(((A22)+1)/2)*(Inputs!$J$7-Inputs!$I$7)))/Inputs!$K$7)^2)</f>
        <v>288.26948500000003</v>
      </c>
      <c r="AB22" s="9">
        <f>(Inputs!$H$8+Inputs!$L$8*(((Inputs!$I$8+(((A22)+1)/2)*(Inputs!$J$8-Inputs!$I$8)))/Inputs!$K$8)^2)</f>
        <v>704.60288500000001</v>
      </c>
      <c r="AC22" s="9">
        <f>(Inputs!$H$9+Inputs!$L$9*(((Inputs!$I$9+(((A22)+1)/2)*(Inputs!$J$9-Inputs!$I$9)))/Inputs!$K$9)^2)</f>
        <v>701.54177500000003</v>
      </c>
      <c r="AD22" s="10"/>
      <c r="AE22" s="9">
        <f t="shared" si="4"/>
        <v>-0.83299999999999996</v>
      </c>
      <c r="AF22" s="9">
        <f>(((SQRT(((Inputs!$I$6+(((A22)+1)/2)*(Inputs!$J$6-Inputs!$I$6)))^2+Inputs!$C$6^2+((Inputs!$H$6+Inputs!$L$6*(((Inputs!$I$6+(((A22)+1)/2)*(Inputs!$J$6-Inputs!$I$6)))/Inputs!$K$6)^2))^2))-((Inputs!$H$6+Inputs!$L$6*(((Inputs!$I$6+(((A22)+1)/2)*(Inputs!$J$6-Inputs!$I$6)))/Inputs!$K$6)^2)))*1000/Inputs!$C$12)</f>
        <v>2167.6229993089323</v>
      </c>
      <c r="AG22" s="9">
        <f>(((SQRT(((Inputs!$I$7+(((A22)+1)/2)*(Inputs!$J$7-Inputs!$I$7)))^2+Inputs!$C$6^2+((Inputs!$H$7+Inputs!$L$7*(((Inputs!$I$7+(((A22)+1)/2)*(Inputs!$J$7-Inputs!$I$7)))/Inputs!$K$7)^2))^2))-((Inputs!$H$7+Inputs!$L$7*(((Inputs!$I$7+(((A22)+1)/2)*(Inputs!$J$7-Inputs!$I$7)))/Inputs!$K$7)^2)))*1000/Inputs!$C$12)</f>
        <v>85972.737927170296</v>
      </c>
      <c r="AH22" s="9">
        <f>(((SQRT(((Inputs!$I$8+(((A22)+1)/2)*(Inputs!$J$8-Inputs!$I$8)))^2+Inputs!$C$6^2+((Inputs!$H$8+Inputs!$L$8*(((Inputs!$I$8+(((A22)+1)/2)*(Inputs!$J$8-Inputs!$I$8)))/Inputs!$K$8)^2))^2))-((Inputs!$H$8+Inputs!$L$8*(((Inputs!$I$8+(((A22)+1)/2)*(Inputs!$J$8-Inputs!$I$8)))/Inputs!$K$8)^2)))*1000/Inputs!$C$12)</f>
        <v>149180.34517064891</v>
      </c>
      <c r="AI22" s="9">
        <f>(((SQRT(((Inputs!$I$9+(((A22)+1)/2)*(Inputs!$J$9-Inputs!$I$9)))^2+Inputs!$C$6^2+((Inputs!$H$9+Inputs!$L$9*(((Inputs!$I$9+(((A22)+1)/2)*(Inputs!$J$9-Inputs!$I$9)))/Inputs!$K$9)^2))^2))-((Inputs!$H$9+Inputs!$L$9*(((Inputs!$I$9+(((A22)+1)/2)*(Inputs!$J$9-Inputs!$I$9)))/Inputs!$K$9)^2)))*1000/Inputs!$C$12)</f>
        <v>149652.34113318572</v>
      </c>
      <c r="AJ22" s="10"/>
      <c r="AK22" s="9">
        <f t="shared" si="5"/>
        <v>-0.83299999999999996</v>
      </c>
      <c r="AL22" s="9">
        <f>(-2*((1000*((((Inputs!$I$6+(((A22)+1)/2)*(Inputs!$J$6-Inputs!$I$6)))*Inputs!$C$11+((Inputs!$H$6+Inputs!$L$6*(((Inputs!$I$6+(((A22)+1)/2)*(Inputs!$J$6-Inputs!$I$6)))/Inputs!$K$6)^2))*((2*Inputs!$L$6*((Inputs!$I$6+(((A22)+1)/2)*(Inputs!$J$6-Inputs!$I$6)))/(Inputs!$K$6^2)*Inputs!$C$11)))/(SQRT(((Inputs!$I$6+(((A22)+1)/2)*(Inputs!$J$6-Inputs!$I$6)))^2+Inputs!$C$6^2+((Inputs!$H$6+Inputs!$L$6*(((Inputs!$I$6+(((A22)+1)/2)*(Inputs!$J$6-Inputs!$I$6)))/Inputs!$K$6)^2))^2)))))/Inputs!$C$13)</f>
        <v>372.67894333802201</v>
      </c>
      <c r="AM22" s="9">
        <f>(-2*((1000*((((Inputs!$I$7+(((A22)+1)/2)*(Inputs!$J$7-Inputs!$I$7)))*Inputs!$C$11+((Inputs!$H$7+Inputs!$L$7*(((Inputs!$I$7+(((A22)+1)/2)*(Inputs!$J$7-Inputs!$I$7)))/Inputs!$K$7)^2))*((2*Inputs!$L$7*((Inputs!$I$7+(((A22)+1)/2)*(Inputs!$J$7-Inputs!$I$7)))/(Inputs!$K$7^2)*Inputs!$C$11)))/(SQRT(((Inputs!$I$7+(((A22)+1)/2)*(Inputs!$J$7-Inputs!$I$7)))^2+Inputs!$C$6^2+((Inputs!$H$7+Inputs!$L$7*(((Inputs!$I$7+(((A22)+1)/2)*(Inputs!$J$7-Inputs!$I$7)))/Inputs!$K$7)^2))^2)))))/Inputs!$C$13)</f>
        <v>2796.9464845511202</v>
      </c>
      <c r="AN22" s="9">
        <f>(-2*((1000*((((Inputs!$I$8+(((A22)+1)/2)*(Inputs!$J$8-Inputs!$I$8)))*Inputs!$C$11+((Inputs!$H$8+Inputs!$L$8*(((Inputs!$I$8+(((A22)+1)/2)*(Inputs!$J$8-Inputs!$I$8)))/Inputs!$K$8)^2))*((2*Inputs!$L$8*((Inputs!$I$8+(((A22)+1)/2)*(Inputs!$J$8-Inputs!$I$8)))/(Inputs!$K$8^2)*Inputs!$C$11)))/(SQRT(((Inputs!$I$8+(((A22)+1)/2)*(Inputs!$J$8-Inputs!$I$8)))^2+Inputs!$C$6^2+((Inputs!$H$8+Inputs!$L$8*(((Inputs!$I$8+(((A22)+1)/2)*(Inputs!$J$8-Inputs!$I$8)))/Inputs!$K$8)^2))^2)))))/Inputs!$C$13)</f>
        <v>3434.3420872089278</v>
      </c>
      <c r="AO22" s="9">
        <f>(-2*((1000*((((Inputs!$I$9+(((A22)+1)/2)*(Inputs!$J$9-Inputs!$I$9)))*Inputs!$C$11+((Inputs!$H$9+Inputs!$L$9*(((Inputs!$I$9+(((A22)+1)/2)*(Inputs!$J$9-Inputs!$I$9)))/Inputs!$K$9)^2))*((2*Inputs!$L$9*((Inputs!$I$9+(((A22)+1)/2)*(Inputs!$J$9-Inputs!$I$9)))/(Inputs!$K$9^2)*Inputs!$C$11)))/(SQRT(((Inputs!$I$9+(((A22)+1)/2)*(Inputs!$J$9-Inputs!$I$9)))^2+Inputs!$C$6^2+((Inputs!$H$9+Inputs!$L$9*(((Inputs!$I$9+(((A22)+1)/2)*(Inputs!$J$9-Inputs!$I$9)))/Inputs!$K$9)^2))^2)))))/Inputs!$C$13)</f>
        <v>3456.20360726222</v>
      </c>
    </row>
    <row r="23" spans="1:41">
      <c r="A23" s="9">
        <f>ROUND(-1+21*2/240,3)</f>
        <v>-0.82499999999999996</v>
      </c>
      <c r="B23" s="9">
        <f>IF(OR(Inputs!$F$6=TRUE,Inputs!$F$6="TRUE",Inputs!$F$6=1),(Inputs!$H$6+Inputs!$L$6*(((Inputs!$I$6+(((A23)+1)/2)*(Inputs!$J$6-Inputs!$I$6)))/Inputs!$K$6)^2),NA())</f>
        <v>402.72250000000003</v>
      </c>
      <c r="C23" s="9">
        <f>IF(OR(Inputs!$F$7=TRUE,Inputs!$F$7="TRUE",Inputs!$F$7=1),(Inputs!$H$7+Inputs!$L$7*(((Inputs!$I$7+(((A23)+1)/2)*(Inputs!$J$7-Inputs!$I$7)))/Inputs!$K$7)^2),NA())</f>
        <v>283.42812499999997</v>
      </c>
      <c r="D23" s="9">
        <f>IF(OR(Inputs!$F$8=TRUE,Inputs!$F$8="TRUE",Inputs!$F$8=1),(Inputs!$H$8+Inputs!$L$8*(((Inputs!$I$8+(((A23)+1)/2)*(Inputs!$J$8-Inputs!$I$8)))/Inputs!$K$8)^2),NA())</f>
        <v>691.80312499999991</v>
      </c>
      <c r="E23" s="9">
        <f>IF(OR(Inputs!$F$9=TRUE,Inputs!$F$9="TRUE",Inputs!$F$9=1),(Inputs!$H$9+Inputs!$L$9*(((Inputs!$I$9+(((A23)+1)/2)*(Inputs!$J$9-Inputs!$I$9)))/Inputs!$K$9)^2),NA())</f>
        <v>688.60937499999989</v>
      </c>
      <c r="F23" s="10"/>
      <c r="G23" s="9">
        <f t="shared" si="0"/>
        <v>-0.82499999999999996</v>
      </c>
      <c r="H23" s="9">
        <f>IF(OR(Inputs!$F$6=TRUE,Inputs!$F$6="TRUE",Inputs!$F$6=1),(((SQRT(((Inputs!$I$6+(((A23)+1)/2)*(Inputs!$J$6-Inputs!$I$6)))^2+Inputs!$C$6^2+((Inputs!$H$6+Inputs!$L$6*(((Inputs!$I$6+(((A23)+1)/2)*(Inputs!$J$6-Inputs!$I$6)))/Inputs!$K$6)^2))^2))-((Inputs!$H$6+Inputs!$L$6*(((Inputs!$I$6+(((A23)+1)/2)*(Inputs!$J$6-Inputs!$I$6)))/Inputs!$K$6)^2)))*1000/Inputs!$C$12),NA())</f>
        <v>2134.9136872674544</v>
      </c>
      <c r="I23" s="9">
        <f>IF(OR(Inputs!$F$7=TRUE,Inputs!$F$7="TRUE",Inputs!$F$7=1),(((SQRT(((Inputs!$I$7+(((A23)+1)/2)*(Inputs!$J$7-Inputs!$I$7)))^2+Inputs!$C$6^2+((Inputs!$H$7+Inputs!$L$7*(((Inputs!$I$7+(((A23)+1)/2)*(Inputs!$J$7-Inputs!$I$7)))/Inputs!$K$7)^2))^2))-((Inputs!$H$7+Inputs!$L$7*(((Inputs!$I$7+(((A23)+1)/2)*(Inputs!$J$7-Inputs!$I$7)))/Inputs!$K$7)^2)))*1000/Inputs!$C$12),NA())</f>
        <v>85560.188098421859</v>
      </c>
      <c r="J23" s="9">
        <f>IF(OR(Inputs!$F$8=TRUE,Inputs!$F$8="TRUE",Inputs!$F$8=1),(((SQRT(((Inputs!$I$8+(((A23)+1)/2)*(Inputs!$J$8-Inputs!$I$8)))^2+Inputs!$C$6^2+((Inputs!$H$8+Inputs!$L$8*(((Inputs!$I$8+(((A23)+1)/2)*(Inputs!$J$8-Inputs!$I$8)))/Inputs!$K$8)^2))^2))-((Inputs!$H$8+Inputs!$L$8*(((Inputs!$I$8+(((A23)+1)/2)*(Inputs!$J$8-Inputs!$I$8)))/Inputs!$K$8)^2)))*1000/Inputs!$C$12),NA())</f>
        <v>148683.88203403619</v>
      </c>
      <c r="K23" s="9">
        <f>IF(OR(Inputs!$F$9=TRUE,Inputs!$F$9="TRUE",Inputs!$F$9=1),(((SQRT(((Inputs!$I$9+(((A23)+1)/2)*(Inputs!$J$9-Inputs!$I$9)))^2+Inputs!$C$6^2+((Inputs!$H$9+Inputs!$L$9*(((Inputs!$I$9+(((A23)+1)/2)*(Inputs!$J$9-Inputs!$I$9)))/Inputs!$K$9)^2))^2))-((Inputs!$H$9+Inputs!$L$9*(((Inputs!$I$9+(((A23)+1)/2)*(Inputs!$J$9-Inputs!$I$9)))/Inputs!$K$9)^2)))*1000/Inputs!$C$12),NA())</f>
        <v>149181.78940271804</v>
      </c>
      <c r="L23" s="10"/>
      <c r="M23" s="9">
        <f t="shared" si="1"/>
        <v>-0.82499999999999996</v>
      </c>
      <c r="N23" s="9">
        <f>IF(OR(Inputs!$F$6=TRUE,Inputs!$F$6="TRUE",Inputs!$F$6=1),(-2*((1000*((((Inputs!$I$6+(((A23)+1)/2)*(Inputs!$J$6-Inputs!$I$6)))*Inputs!$C$11+((Inputs!$H$6+Inputs!$L$6*(((Inputs!$I$6+(((A23)+1)/2)*(Inputs!$J$6-Inputs!$I$6)))/Inputs!$K$6)^2))*((2*Inputs!$L$6*((Inputs!$I$6+(((A23)+1)/2)*(Inputs!$J$6-Inputs!$I$6)))/(Inputs!$K$6^2)*Inputs!$C$11)))/(SQRT(((Inputs!$I$6+(((A23)+1)/2)*(Inputs!$J$6-Inputs!$I$6)))^2+Inputs!$C$6^2+((Inputs!$H$6+Inputs!$L$6*(((Inputs!$I$6+(((A23)+1)/2)*(Inputs!$J$6-Inputs!$I$6)))/Inputs!$K$6)^2))^2)))))/Inputs!$C$13),NA())</f>
        <v>369.17785846022554</v>
      </c>
      <c r="O23" s="9">
        <f>IF(OR(Inputs!$F$7=TRUE,Inputs!$F$7="TRUE",Inputs!$F$7=1),(-2*((1000*((((Inputs!$I$7+(((A23)+1)/2)*(Inputs!$J$7-Inputs!$I$7)))*Inputs!$C$11+((Inputs!$H$7+Inputs!$L$7*(((Inputs!$I$7+(((A23)+1)/2)*(Inputs!$J$7-Inputs!$I$7)))/Inputs!$K$7)^2))*((2*Inputs!$L$7*((Inputs!$I$7+(((A23)+1)/2)*(Inputs!$J$7-Inputs!$I$7)))/(Inputs!$K$7^2)*Inputs!$C$11)))/(SQRT(((Inputs!$I$7+(((A23)+1)/2)*(Inputs!$J$7-Inputs!$I$7)))^2+Inputs!$C$6^2+((Inputs!$H$7+Inputs!$L$7*(((Inputs!$I$7+(((A23)+1)/2)*(Inputs!$J$7-Inputs!$I$7)))/Inputs!$K$7)^2))^2)))))/Inputs!$C$13),NA())</f>
        <v>2778.765577278079</v>
      </c>
      <c r="P23" s="9">
        <f>IF(OR(Inputs!$F$8=TRUE,Inputs!$F$8="TRUE",Inputs!$F$8=1),(-2*((1000*((((Inputs!$I$8+(((A23)+1)/2)*(Inputs!$J$8-Inputs!$I$8)))*Inputs!$C$11+((Inputs!$H$8+Inputs!$L$8*(((Inputs!$I$8+(((A23)+1)/2)*(Inputs!$J$8-Inputs!$I$8)))/Inputs!$K$8)^2))*((2*Inputs!$L$8*((Inputs!$I$8+(((A23)+1)/2)*(Inputs!$J$8-Inputs!$I$8)))/(Inputs!$K$8^2)*Inputs!$C$11)))/(SQRT(((Inputs!$I$8+(((A23)+1)/2)*(Inputs!$J$8-Inputs!$I$8)))^2+Inputs!$C$6^2+((Inputs!$H$8+Inputs!$L$8*(((Inputs!$I$8+(((A23)+1)/2)*(Inputs!$J$8-Inputs!$I$8)))/Inputs!$K$8)^2))^2)))))/Inputs!$C$13),NA())</f>
        <v>3407.4039366744537</v>
      </c>
      <c r="Q23" s="9">
        <f>IF(OR(Inputs!$F$9=TRUE,Inputs!$F$9="TRUE",Inputs!$F$9=1),(-2*((1000*((((Inputs!$I$9+(((A23)+1)/2)*(Inputs!$J$9-Inputs!$I$9)))*Inputs!$C$11+((Inputs!$H$9+Inputs!$L$9*(((Inputs!$I$9+(((A23)+1)/2)*(Inputs!$J$9-Inputs!$I$9)))/Inputs!$K$9)^2))*((2*Inputs!$L$9*((Inputs!$I$9+(((A23)+1)/2)*(Inputs!$J$9-Inputs!$I$9)))/(Inputs!$K$9^2)*Inputs!$C$11)))/(SQRT(((Inputs!$I$9+(((A23)+1)/2)*(Inputs!$J$9-Inputs!$I$9)))^2+Inputs!$C$6^2+((Inputs!$H$9+Inputs!$L$9*(((Inputs!$I$9+(((A23)+1)/2)*(Inputs!$J$9-Inputs!$I$9)))/Inputs!$K$9)^2))^2)))))/Inputs!$C$13),NA())</f>
        <v>3428.8010421235908</v>
      </c>
      <c r="R23" s="10"/>
      <c r="S23" s="9">
        <f t="shared" si="2"/>
        <v>-0.82499999999999996</v>
      </c>
      <c r="T23" s="9">
        <f>(Inputs!$I$6+(((A23)+1)/2)*(Inputs!$J$6-Inputs!$I$6))</f>
        <v>-49.5</v>
      </c>
      <c r="U23" s="9">
        <f>(Inputs!$I$7+(((A23)+1)/2)*(Inputs!$J$7-Inputs!$I$7))</f>
        <v>-330</v>
      </c>
      <c r="V23" s="9">
        <f>(Inputs!$I$8+(((A23)+1)/2)*(Inputs!$J$8-Inputs!$I$8))</f>
        <v>-660</v>
      </c>
      <c r="W23" s="9">
        <f>(Inputs!$I$9+(((A23)+1)/2)*(Inputs!$J$9-Inputs!$I$9))</f>
        <v>-660</v>
      </c>
      <c r="X23" s="10"/>
      <c r="Y23" s="9">
        <f t="shared" si="3"/>
        <v>-0.82499999999999996</v>
      </c>
      <c r="Z23" s="9">
        <f>(Inputs!$H$6+Inputs!$L$6*(((Inputs!$I$6+(((A23)+1)/2)*(Inputs!$J$6-Inputs!$I$6)))/Inputs!$K$6)^2)</f>
        <v>402.72250000000003</v>
      </c>
      <c r="AA23" s="9">
        <f>(Inputs!$H$7+Inputs!$L$7*(((Inputs!$I$7+(((A23)+1)/2)*(Inputs!$J$7-Inputs!$I$7)))/Inputs!$K$7)^2)</f>
        <v>283.42812499999997</v>
      </c>
      <c r="AB23" s="9">
        <f>(Inputs!$H$8+Inputs!$L$8*(((Inputs!$I$8+(((A23)+1)/2)*(Inputs!$J$8-Inputs!$I$8)))/Inputs!$K$8)^2)</f>
        <v>691.80312499999991</v>
      </c>
      <c r="AC23" s="9">
        <f>(Inputs!$H$9+Inputs!$L$9*(((Inputs!$I$9+(((A23)+1)/2)*(Inputs!$J$9-Inputs!$I$9)))/Inputs!$K$9)^2)</f>
        <v>688.60937499999989</v>
      </c>
      <c r="AD23" s="10"/>
      <c r="AE23" s="9">
        <f t="shared" si="4"/>
        <v>-0.82499999999999996</v>
      </c>
      <c r="AF23" s="9">
        <f>(((SQRT(((Inputs!$I$6+(((A23)+1)/2)*(Inputs!$J$6-Inputs!$I$6)))^2+Inputs!$C$6^2+((Inputs!$H$6+Inputs!$L$6*(((Inputs!$I$6+(((A23)+1)/2)*(Inputs!$J$6-Inputs!$I$6)))/Inputs!$K$6)^2))^2))-((Inputs!$H$6+Inputs!$L$6*(((Inputs!$I$6+(((A23)+1)/2)*(Inputs!$J$6-Inputs!$I$6)))/Inputs!$K$6)^2)))*1000/Inputs!$C$12)</f>
        <v>2134.9136872674544</v>
      </c>
      <c r="AG23" s="9">
        <f>(((SQRT(((Inputs!$I$7+(((A23)+1)/2)*(Inputs!$J$7-Inputs!$I$7)))^2+Inputs!$C$6^2+((Inputs!$H$7+Inputs!$L$7*(((Inputs!$I$7+(((A23)+1)/2)*(Inputs!$J$7-Inputs!$I$7)))/Inputs!$K$7)^2))^2))-((Inputs!$H$7+Inputs!$L$7*(((Inputs!$I$7+(((A23)+1)/2)*(Inputs!$J$7-Inputs!$I$7)))/Inputs!$K$7)^2)))*1000/Inputs!$C$12)</f>
        <v>85560.188098421859</v>
      </c>
      <c r="AH23" s="9">
        <f>(((SQRT(((Inputs!$I$8+(((A23)+1)/2)*(Inputs!$J$8-Inputs!$I$8)))^2+Inputs!$C$6^2+((Inputs!$H$8+Inputs!$L$8*(((Inputs!$I$8+(((A23)+1)/2)*(Inputs!$J$8-Inputs!$I$8)))/Inputs!$K$8)^2))^2))-((Inputs!$H$8+Inputs!$L$8*(((Inputs!$I$8+(((A23)+1)/2)*(Inputs!$J$8-Inputs!$I$8)))/Inputs!$K$8)^2)))*1000/Inputs!$C$12)</f>
        <v>148683.88203403619</v>
      </c>
      <c r="AI23" s="9">
        <f>(((SQRT(((Inputs!$I$9+(((A23)+1)/2)*(Inputs!$J$9-Inputs!$I$9)))^2+Inputs!$C$6^2+((Inputs!$H$9+Inputs!$L$9*(((Inputs!$I$9+(((A23)+1)/2)*(Inputs!$J$9-Inputs!$I$9)))/Inputs!$K$9)^2))^2))-((Inputs!$H$9+Inputs!$L$9*(((Inputs!$I$9+(((A23)+1)/2)*(Inputs!$J$9-Inputs!$I$9)))/Inputs!$K$9)^2)))*1000/Inputs!$C$12)</f>
        <v>149181.78940271804</v>
      </c>
      <c r="AJ23" s="10"/>
      <c r="AK23" s="9">
        <f t="shared" si="5"/>
        <v>-0.82499999999999996</v>
      </c>
      <c r="AL23" s="9">
        <f>(-2*((1000*((((Inputs!$I$6+(((A23)+1)/2)*(Inputs!$J$6-Inputs!$I$6)))*Inputs!$C$11+((Inputs!$H$6+Inputs!$L$6*(((Inputs!$I$6+(((A23)+1)/2)*(Inputs!$J$6-Inputs!$I$6)))/Inputs!$K$6)^2))*((2*Inputs!$L$6*((Inputs!$I$6+(((A23)+1)/2)*(Inputs!$J$6-Inputs!$I$6)))/(Inputs!$K$6^2)*Inputs!$C$11)))/(SQRT(((Inputs!$I$6+(((A23)+1)/2)*(Inputs!$J$6-Inputs!$I$6)))^2+Inputs!$C$6^2+((Inputs!$H$6+Inputs!$L$6*(((Inputs!$I$6+(((A23)+1)/2)*(Inputs!$J$6-Inputs!$I$6)))/Inputs!$K$6)^2))^2)))))/Inputs!$C$13)</f>
        <v>369.17785846022554</v>
      </c>
      <c r="AM23" s="9">
        <f>(-2*((1000*((((Inputs!$I$7+(((A23)+1)/2)*(Inputs!$J$7-Inputs!$I$7)))*Inputs!$C$11+((Inputs!$H$7+Inputs!$L$7*(((Inputs!$I$7+(((A23)+1)/2)*(Inputs!$J$7-Inputs!$I$7)))/Inputs!$K$7)^2))*((2*Inputs!$L$7*((Inputs!$I$7+(((A23)+1)/2)*(Inputs!$J$7-Inputs!$I$7)))/(Inputs!$K$7^2)*Inputs!$C$11)))/(SQRT(((Inputs!$I$7+(((A23)+1)/2)*(Inputs!$J$7-Inputs!$I$7)))^2+Inputs!$C$6^2+((Inputs!$H$7+Inputs!$L$7*(((Inputs!$I$7+(((A23)+1)/2)*(Inputs!$J$7-Inputs!$I$7)))/Inputs!$K$7)^2))^2)))))/Inputs!$C$13)</f>
        <v>2778.765577278079</v>
      </c>
      <c r="AN23" s="9">
        <f>(-2*((1000*((((Inputs!$I$8+(((A23)+1)/2)*(Inputs!$J$8-Inputs!$I$8)))*Inputs!$C$11+((Inputs!$H$8+Inputs!$L$8*(((Inputs!$I$8+(((A23)+1)/2)*(Inputs!$J$8-Inputs!$I$8)))/Inputs!$K$8)^2))*((2*Inputs!$L$8*((Inputs!$I$8+(((A23)+1)/2)*(Inputs!$J$8-Inputs!$I$8)))/(Inputs!$K$8^2)*Inputs!$C$11)))/(SQRT(((Inputs!$I$8+(((A23)+1)/2)*(Inputs!$J$8-Inputs!$I$8)))^2+Inputs!$C$6^2+((Inputs!$H$8+Inputs!$L$8*(((Inputs!$I$8+(((A23)+1)/2)*(Inputs!$J$8-Inputs!$I$8)))/Inputs!$K$8)^2))^2)))))/Inputs!$C$13)</f>
        <v>3407.4039366744537</v>
      </c>
      <c r="AO23" s="9">
        <f>(-2*((1000*((((Inputs!$I$9+(((A23)+1)/2)*(Inputs!$J$9-Inputs!$I$9)))*Inputs!$C$11+((Inputs!$H$9+Inputs!$L$9*(((Inputs!$I$9+(((A23)+1)/2)*(Inputs!$J$9-Inputs!$I$9)))/Inputs!$K$9)^2))*((2*Inputs!$L$9*((Inputs!$I$9+(((A23)+1)/2)*(Inputs!$J$9-Inputs!$I$9)))/(Inputs!$K$9^2)*Inputs!$C$11)))/(SQRT(((Inputs!$I$9+(((A23)+1)/2)*(Inputs!$J$9-Inputs!$I$9)))^2+Inputs!$C$6^2+((Inputs!$H$9+Inputs!$L$9*(((Inputs!$I$9+(((A23)+1)/2)*(Inputs!$J$9-Inputs!$I$9)))/Inputs!$K$9)^2))^2)))))/Inputs!$C$13)</f>
        <v>3428.8010421235908</v>
      </c>
    </row>
    <row r="24" spans="1:41">
      <c r="A24" s="9">
        <f>ROUND(-1+22*2/240,3)</f>
        <v>-0.81699999999999995</v>
      </c>
      <c r="B24" s="9">
        <f>IF(OR(Inputs!$F$6=TRUE,Inputs!$F$6="TRUE",Inputs!$F$6=1),(Inputs!$H$6+Inputs!$L$6*(((Inputs!$I$6+(((A24)+1)/2)*(Inputs!$J$6-Inputs!$I$6)))/Inputs!$K$6)^2),NA())</f>
        <v>402.66995600000001</v>
      </c>
      <c r="C24" s="9">
        <f>IF(OR(Inputs!$F$7=TRUE,Inputs!$F$7="TRUE",Inputs!$F$7=1),(Inputs!$H$7+Inputs!$L$7*(((Inputs!$I$7+(((A24)+1)/2)*(Inputs!$J$7-Inputs!$I$7)))/Inputs!$K$7)^2),NA())</f>
        <v>278.63348499999995</v>
      </c>
      <c r="D24" s="9">
        <f>IF(OR(Inputs!$F$8=TRUE,Inputs!$F$8="TRUE",Inputs!$F$8=1),(Inputs!$H$8+Inputs!$L$8*(((Inputs!$I$8+(((A24)+1)/2)*(Inputs!$J$8-Inputs!$I$8)))/Inputs!$K$8)^2),NA())</f>
        <v>679.12688499999979</v>
      </c>
      <c r="E24" s="9">
        <f>IF(OR(Inputs!$F$9=TRUE,Inputs!$F$9="TRUE",Inputs!$F$9=1),(Inputs!$H$9+Inputs!$L$9*(((Inputs!$I$9+(((A24)+1)/2)*(Inputs!$J$9-Inputs!$I$9)))/Inputs!$K$9)^2),NA())</f>
        <v>675.80177499999979</v>
      </c>
      <c r="F24" s="10"/>
      <c r="G24" s="9">
        <f t="shared" si="0"/>
        <v>-0.81699999999999995</v>
      </c>
      <c r="H24" s="9">
        <f>IF(OR(Inputs!$F$6=TRUE,Inputs!$F$6="TRUE",Inputs!$F$6=1),(((SQRT(((Inputs!$I$6+(((A24)+1)/2)*(Inputs!$J$6-Inputs!$I$6)))^2+Inputs!$C$6^2+((Inputs!$H$6+Inputs!$L$6*(((Inputs!$I$6+(((A24)+1)/2)*(Inputs!$J$6-Inputs!$I$6)))/Inputs!$K$6)^2))^2))-((Inputs!$H$6+Inputs!$L$6*(((Inputs!$I$6+(((A24)+1)/2)*(Inputs!$J$6-Inputs!$I$6)))/Inputs!$K$6)^2)))*1000/Inputs!$C$12),NA())</f>
        <v>2102.5069906940053</v>
      </c>
      <c r="I24" s="9">
        <f>IF(OR(Inputs!$F$7=TRUE,Inputs!$F$7="TRUE",Inputs!$F$7=1),(((SQRT(((Inputs!$I$7+(((A24)+1)/2)*(Inputs!$J$7-Inputs!$I$7)))^2+Inputs!$C$6^2+((Inputs!$H$7+Inputs!$L$7*(((Inputs!$I$7+(((A24)+1)/2)*(Inputs!$J$7-Inputs!$I$7)))/Inputs!$K$7)^2))^2))-((Inputs!$H$7+Inputs!$L$7*(((Inputs!$I$7+(((A24)+1)/2)*(Inputs!$J$7-Inputs!$I$7)))/Inputs!$K$7)^2)))*1000/Inputs!$C$12),NA())</f>
        <v>85141.7737953123</v>
      </c>
      <c r="J24" s="9">
        <f>IF(OR(Inputs!$F$8=TRUE,Inputs!$F$8="TRUE",Inputs!$F$8=1),(((SQRT(((Inputs!$I$8+(((A24)+1)/2)*(Inputs!$J$8-Inputs!$I$8)))^2+Inputs!$C$6^2+((Inputs!$H$8+Inputs!$L$8*(((Inputs!$I$8+(((A24)+1)/2)*(Inputs!$J$8-Inputs!$I$8)))/Inputs!$K$8)^2))^2))-((Inputs!$H$8+Inputs!$L$8*(((Inputs!$I$8+(((A24)+1)/2)*(Inputs!$J$8-Inputs!$I$8)))/Inputs!$K$8)^2)))*1000/Inputs!$C$12),NA())</f>
        <v>148178.4668499066</v>
      </c>
      <c r="K24" s="9">
        <f>IF(OR(Inputs!$F$9=TRUE,Inputs!$F$9="TRUE",Inputs!$F$9=1),(((SQRT(((Inputs!$I$9+(((A24)+1)/2)*(Inputs!$J$9-Inputs!$I$9)))^2+Inputs!$C$6^2+((Inputs!$H$9+Inputs!$L$9*(((Inputs!$I$9+(((A24)+1)/2)*(Inputs!$J$9-Inputs!$I$9)))/Inputs!$K$9)^2))^2))-((Inputs!$H$9+Inputs!$L$9*(((Inputs!$I$9+(((A24)+1)/2)*(Inputs!$J$9-Inputs!$I$9)))/Inputs!$K$9)^2)))*1000/Inputs!$C$12),NA())</f>
        <v>148702.61164595411</v>
      </c>
      <c r="L24" s="10"/>
      <c r="M24" s="9">
        <f t="shared" si="1"/>
        <v>-0.81699999999999995</v>
      </c>
      <c r="N24" s="9">
        <f>IF(OR(Inputs!$F$6=TRUE,Inputs!$F$6="TRUE",Inputs!$F$6=1),(-2*((1000*((((Inputs!$I$6+(((A24)+1)/2)*(Inputs!$J$6-Inputs!$I$6)))*Inputs!$C$11+((Inputs!$H$6+Inputs!$L$6*(((Inputs!$I$6+(((A24)+1)/2)*(Inputs!$J$6-Inputs!$I$6)))/Inputs!$K$6)^2))*((2*Inputs!$L$6*((Inputs!$I$6+(((A24)+1)/2)*(Inputs!$J$6-Inputs!$I$6)))/(Inputs!$K$6^2)*Inputs!$C$11)))/(SQRT(((Inputs!$I$6+(((A24)+1)/2)*(Inputs!$J$6-Inputs!$I$6)))^2+Inputs!$C$6^2+((Inputs!$H$6+Inputs!$L$6*(((Inputs!$I$6+(((A24)+1)/2)*(Inputs!$J$6-Inputs!$I$6)))/Inputs!$K$6)^2))^2)))))/Inputs!$C$13),NA())</f>
        <v>365.67457616975088</v>
      </c>
      <c r="O24" s="9">
        <f>IF(OR(Inputs!$F$7=TRUE,Inputs!$F$7="TRUE",Inputs!$F$7=1),(-2*((1000*((((Inputs!$I$7+(((A24)+1)/2)*(Inputs!$J$7-Inputs!$I$7)))*Inputs!$C$11+((Inputs!$H$7+Inputs!$L$7*(((Inputs!$I$7+(((A24)+1)/2)*(Inputs!$J$7-Inputs!$I$7)))/Inputs!$K$7)^2))*((2*Inputs!$L$7*((Inputs!$I$7+(((A24)+1)/2)*(Inputs!$J$7-Inputs!$I$7)))/(Inputs!$K$7^2)*Inputs!$C$11)))/(SQRT(((Inputs!$I$7+(((A24)+1)/2)*(Inputs!$J$7-Inputs!$I$7)))^2+Inputs!$C$6^2+((Inputs!$H$7+Inputs!$L$7*(((Inputs!$I$7+(((A24)+1)/2)*(Inputs!$J$7-Inputs!$I$7)))/Inputs!$K$7)^2))^2)))))/Inputs!$C$13),NA())</f>
        <v>2760.6654385746915</v>
      </c>
      <c r="P24" s="9">
        <f>IF(OR(Inputs!$F$8=TRUE,Inputs!$F$8="TRUE",Inputs!$F$8=1),(-2*((1000*((((Inputs!$I$8+(((A24)+1)/2)*(Inputs!$J$8-Inputs!$I$8)))*Inputs!$C$11+((Inputs!$H$8+Inputs!$L$8*(((Inputs!$I$8+(((A24)+1)/2)*(Inputs!$J$8-Inputs!$I$8)))/Inputs!$K$8)^2))*((2*Inputs!$L$8*((Inputs!$I$8+(((A24)+1)/2)*(Inputs!$J$8-Inputs!$I$8)))/(Inputs!$K$8^2)*Inputs!$C$11)))/(SQRT(((Inputs!$I$8+(((A24)+1)/2)*(Inputs!$J$8-Inputs!$I$8)))^2+Inputs!$C$6^2+((Inputs!$H$8+Inputs!$L$8*(((Inputs!$I$8+(((A24)+1)/2)*(Inputs!$J$8-Inputs!$I$8)))/Inputs!$K$8)^2))^2)))))/Inputs!$C$13),NA())</f>
        <v>3380.5497256420495</v>
      </c>
      <c r="Q24" s="9">
        <f>IF(OR(Inputs!$F$9=TRUE,Inputs!$F$9="TRUE",Inputs!$F$9=1),(-2*((1000*((((Inputs!$I$9+(((A24)+1)/2)*(Inputs!$J$9-Inputs!$I$9)))*Inputs!$C$11+((Inputs!$H$9+Inputs!$L$9*(((Inputs!$I$9+(((A24)+1)/2)*(Inputs!$J$9-Inputs!$I$9)))/Inputs!$K$9)^2))*((2*Inputs!$L$9*((Inputs!$I$9+(((A24)+1)/2)*(Inputs!$J$9-Inputs!$I$9)))/(Inputs!$K$9^2)*Inputs!$C$11)))/(SQRT(((Inputs!$I$9+(((A24)+1)/2)*(Inputs!$J$9-Inputs!$I$9)))^2+Inputs!$C$6^2+((Inputs!$H$9+Inputs!$L$9*(((Inputs!$I$9+(((A24)+1)/2)*(Inputs!$J$9-Inputs!$I$9)))/Inputs!$K$9)^2))^2)))))/Inputs!$C$13),NA())</f>
        <v>3401.4810911454879</v>
      </c>
      <c r="R24" s="10"/>
      <c r="S24" s="9">
        <f t="shared" si="2"/>
        <v>-0.81699999999999995</v>
      </c>
      <c r="T24" s="9">
        <f>(Inputs!$I$6+(((A24)+1)/2)*(Inputs!$J$6-Inputs!$I$6))</f>
        <v>-49.019999999999996</v>
      </c>
      <c r="U24" s="9">
        <f>(Inputs!$I$7+(((A24)+1)/2)*(Inputs!$J$7-Inputs!$I$7))</f>
        <v>-326.79999999999995</v>
      </c>
      <c r="V24" s="9">
        <f>(Inputs!$I$8+(((A24)+1)/2)*(Inputs!$J$8-Inputs!$I$8))</f>
        <v>-653.59999999999991</v>
      </c>
      <c r="W24" s="9">
        <f>(Inputs!$I$9+(((A24)+1)/2)*(Inputs!$J$9-Inputs!$I$9))</f>
        <v>-653.59999999999991</v>
      </c>
      <c r="X24" s="10"/>
      <c r="Y24" s="9">
        <f t="shared" si="3"/>
        <v>-0.81699999999999995</v>
      </c>
      <c r="Z24" s="9">
        <f>(Inputs!$H$6+Inputs!$L$6*(((Inputs!$I$6+(((A24)+1)/2)*(Inputs!$J$6-Inputs!$I$6)))/Inputs!$K$6)^2)</f>
        <v>402.66995600000001</v>
      </c>
      <c r="AA24" s="9">
        <f>(Inputs!$H$7+Inputs!$L$7*(((Inputs!$I$7+(((A24)+1)/2)*(Inputs!$J$7-Inputs!$I$7)))/Inputs!$K$7)^2)</f>
        <v>278.63348499999995</v>
      </c>
      <c r="AB24" s="9">
        <f>(Inputs!$H$8+Inputs!$L$8*(((Inputs!$I$8+(((A24)+1)/2)*(Inputs!$J$8-Inputs!$I$8)))/Inputs!$K$8)^2)</f>
        <v>679.12688499999979</v>
      </c>
      <c r="AC24" s="9">
        <f>(Inputs!$H$9+Inputs!$L$9*(((Inputs!$I$9+(((A24)+1)/2)*(Inputs!$J$9-Inputs!$I$9)))/Inputs!$K$9)^2)</f>
        <v>675.80177499999979</v>
      </c>
      <c r="AD24" s="10"/>
      <c r="AE24" s="9">
        <f t="shared" si="4"/>
        <v>-0.81699999999999995</v>
      </c>
      <c r="AF24" s="9">
        <f>(((SQRT(((Inputs!$I$6+(((A24)+1)/2)*(Inputs!$J$6-Inputs!$I$6)))^2+Inputs!$C$6^2+((Inputs!$H$6+Inputs!$L$6*(((Inputs!$I$6+(((A24)+1)/2)*(Inputs!$J$6-Inputs!$I$6)))/Inputs!$K$6)^2))^2))-((Inputs!$H$6+Inputs!$L$6*(((Inputs!$I$6+(((A24)+1)/2)*(Inputs!$J$6-Inputs!$I$6)))/Inputs!$K$6)^2)))*1000/Inputs!$C$12)</f>
        <v>2102.5069906940053</v>
      </c>
      <c r="AG24" s="9">
        <f>(((SQRT(((Inputs!$I$7+(((A24)+1)/2)*(Inputs!$J$7-Inputs!$I$7)))^2+Inputs!$C$6^2+((Inputs!$H$7+Inputs!$L$7*(((Inputs!$I$7+(((A24)+1)/2)*(Inputs!$J$7-Inputs!$I$7)))/Inputs!$K$7)^2))^2))-((Inputs!$H$7+Inputs!$L$7*(((Inputs!$I$7+(((A24)+1)/2)*(Inputs!$J$7-Inputs!$I$7)))/Inputs!$K$7)^2)))*1000/Inputs!$C$12)</f>
        <v>85141.7737953123</v>
      </c>
      <c r="AH24" s="9">
        <f>(((SQRT(((Inputs!$I$8+(((A24)+1)/2)*(Inputs!$J$8-Inputs!$I$8)))^2+Inputs!$C$6^2+((Inputs!$H$8+Inputs!$L$8*(((Inputs!$I$8+(((A24)+1)/2)*(Inputs!$J$8-Inputs!$I$8)))/Inputs!$K$8)^2))^2))-((Inputs!$H$8+Inputs!$L$8*(((Inputs!$I$8+(((A24)+1)/2)*(Inputs!$J$8-Inputs!$I$8)))/Inputs!$K$8)^2)))*1000/Inputs!$C$12)</f>
        <v>148178.4668499066</v>
      </c>
      <c r="AI24" s="9">
        <f>(((SQRT(((Inputs!$I$9+(((A24)+1)/2)*(Inputs!$J$9-Inputs!$I$9)))^2+Inputs!$C$6^2+((Inputs!$H$9+Inputs!$L$9*(((Inputs!$I$9+(((A24)+1)/2)*(Inputs!$J$9-Inputs!$I$9)))/Inputs!$K$9)^2))^2))-((Inputs!$H$9+Inputs!$L$9*(((Inputs!$I$9+(((A24)+1)/2)*(Inputs!$J$9-Inputs!$I$9)))/Inputs!$K$9)^2)))*1000/Inputs!$C$12)</f>
        <v>148702.61164595411</v>
      </c>
      <c r="AJ24" s="10"/>
      <c r="AK24" s="9">
        <f t="shared" si="5"/>
        <v>-0.81699999999999995</v>
      </c>
      <c r="AL24" s="9">
        <f>(-2*((1000*((((Inputs!$I$6+(((A24)+1)/2)*(Inputs!$J$6-Inputs!$I$6)))*Inputs!$C$11+((Inputs!$H$6+Inputs!$L$6*(((Inputs!$I$6+(((A24)+1)/2)*(Inputs!$J$6-Inputs!$I$6)))/Inputs!$K$6)^2))*((2*Inputs!$L$6*((Inputs!$I$6+(((A24)+1)/2)*(Inputs!$J$6-Inputs!$I$6)))/(Inputs!$K$6^2)*Inputs!$C$11)))/(SQRT(((Inputs!$I$6+(((A24)+1)/2)*(Inputs!$J$6-Inputs!$I$6)))^2+Inputs!$C$6^2+((Inputs!$H$6+Inputs!$L$6*(((Inputs!$I$6+(((A24)+1)/2)*(Inputs!$J$6-Inputs!$I$6)))/Inputs!$K$6)^2))^2)))))/Inputs!$C$13)</f>
        <v>365.67457616975088</v>
      </c>
      <c r="AM24" s="9">
        <f>(-2*((1000*((((Inputs!$I$7+(((A24)+1)/2)*(Inputs!$J$7-Inputs!$I$7)))*Inputs!$C$11+((Inputs!$H$7+Inputs!$L$7*(((Inputs!$I$7+(((A24)+1)/2)*(Inputs!$J$7-Inputs!$I$7)))/Inputs!$K$7)^2))*((2*Inputs!$L$7*((Inputs!$I$7+(((A24)+1)/2)*(Inputs!$J$7-Inputs!$I$7)))/(Inputs!$K$7^2)*Inputs!$C$11)))/(SQRT(((Inputs!$I$7+(((A24)+1)/2)*(Inputs!$J$7-Inputs!$I$7)))^2+Inputs!$C$6^2+((Inputs!$H$7+Inputs!$L$7*(((Inputs!$I$7+(((A24)+1)/2)*(Inputs!$J$7-Inputs!$I$7)))/Inputs!$K$7)^2))^2)))))/Inputs!$C$13)</f>
        <v>2760.6654385746915</v>
      </c>
      <c r="AN24" s="9">
        <f>(-2*((1000*((((Inputs!$I$8+(((A24)+1)/2)*(Inputs!$J$8-Inputs!$I$8)))*Inputs!$C$11+((Inputs!$H$8+Inputs!$L$8*(((Inputs!$I$8+(((A24)+1)/2)*(Inputs!$J$8-Inputs!$I$8)))/Inputs!$K$8)^2))*((2*Inputs!$L$8*((Inputs!$I$8+(((A24)+1)/2)*(Inputs!$J$8-Inputs!$I$8)))/(Inputs!$K$8^2)*Inputs!$C$11)))/(SQRT(((Inputs!$I$8+(((A24)+1)/2)*(Inputs!$J$8-Inputs!$I$8)))^2+Inputs!$C$6^2+((Inputs!$H$8+Inputs!$L$8*(((Inputs!$I$8+(((A24)+1)/2)*(Inputs!$J$8-Inputs!$I$8)))/Inputs!$K$8)^2))^2)))))/Inputs!$C$13)</f>
        <v>3380.5497256420495</v>
      </c>
      <c r="AO24" s="9">
        <f>(-2*((1000*((((Inputs!$I$9+(((A24)+1)/2)*(Inputs!$J$9-Inputs!$I$9)))*Inputs!$C$11+((Inputs!$H$9+Inputs!$L$9*(((Inputs!$I$9+(((A24)+1)/2)*(Inputs!$J$9-Inputs!$I$9)))/Inputs!$K$9)^2))*((2*Inputs!$L$9*((Inputs!$I$9+(((A24)+1)/2)*(Inputs!$J$9-Inputs!$I$9)))/(Inputs!$K$9^2)*Inputs!$C$11)))/(SQRT(((Inputs!$I$9+(((A24)+1)/2)*(Inputs!$J$9-Inputs!$I$9)))^2+Inputs!$C$6^2+((Inputs!$H$9+Inputs!$L$9*(((Inputs!$I$9+(((A24)+1)/2)*(Inputs!$J$9-Inputs!$I$9)))/Inputs!$K$9)^2))^2)))))/Inputs!$C$13)</f>
        <v>3401.4810911454879</v>
      </c>
    </row>
    <row r="25" spans="1:41">
      <c r="A25" s="9">
        <f>ROUND(-1+23*2/240,3)</f>
        <v>-0.80800000000000005</v>
      </c>
      <c r="B25" s="9">
        <f>IF(OR(Inputs!$F$6=TRUE,Inputs!$F$6="TRUE",Inputs!$F$6=1),(Inputs!$H$6+Inputs!$L$6*(((Inputs!$I$6+(((A25)+1)/2)*(Inputs!$J$6-Inputs!$I$6)))/Inputs!$K$6)^2),NA())</f>
        <v>402.61145599999998</v>
      </c>
      <c r="C25" s="9">
        <f>IF(OR(Inputs!$F$7=TRUE,Inputs!$F$7="TRUE",Inputs!$F$7=1),(Inputs!$H$7+Inputs!$L$7*(((Inputs!$I$7+(((A25)+1)/2)*(Inputs!$J$7-Inputs!$I$7)))/Inputs!$K$7)^2),NA())</f>
        <v>273.29536000000007</v>
      </c>
      <c r="D25" s="9">
        <f>IF(OR(Inputs!$F$8=TRUE,Inputs!$F$8="TRUE",Inputs!$F$8=1),(Inputs!$H$8+Inputs!$L$8*(((Inputs!$I$8+(((A25)+1)/2)*(Inputs!$J$8-Inputs!$I$8)))/Inputs!$K$8)^2),NA())</f>
        <v>665.01376000000016</v>
      </c>
      <c r="E25" s="9">
        <f>IF(OR(Inputs!$F$9=TRUE,Inputs!$F$9="TRUE",Inputs!$F$9=1),(Inputs!$H$9+Inputs!$L$9*(((Inputs!$I$9+(((A25)+1)/2)*(Inputs!$J$9-Inputs!$I$9)))/Inputs!$K$9)^2),NA())</f>
        <v>661.54240000000027</v>
      </c>
      <c r="F25" s="10"/>
      <c r="G25" s="9">
        <f t="shared" si="0"/>
        <v>-0.80800000000000005</v>
      </c>
      <c r="H25" s="9">
        <f>IF(OR(Inputs!$F$6=TRUE,Inputs!$F$6="TRUE",Inputs!$F$6=1),(((SQRT(((Inputs!$I$6+(((A25)+1)/2)*(Inputs!$J$6-Inputs!$I$6)))^2+Inputs!$C$6^2+((Inputs!$H$6+Inputs!$L$6*(((Inputs!$I$6+(((A25)+1)/2)*(Inputs!$J$6-Inputs!$I$6)))/Inputs!$K$6)^2))^2))-((Inputs!$H$6+Inputs!$L$6*(((Inputs!$I$6+(((A25)+1)/2)*(Inputs!$J$6-Inputs!$I$6)))/Inputs!$K$6)^2)))*1000/Inputs!$C$12),NA())</f>
        <v>2066.411636185434</v>
      </c>
      <c r="I25" s="9">
        <f>IF(OR(Inputs!$F$7=TRUE,Inputs!$F$7="TRUE",Inputs!$F$7=1),(((SQRT(((Inputs!$I$7+(((A25)+1)/2)*(Inputs!$J$7-Inputs!$I$7)))^2+Inputs!$C$6^2+((Inputs!$H$7+Inputs!$L$7*(((Inputs!$I$7+(((A25)+1)/2)*(Inputs!$J$7-Inputs!$I$7)))/Inputs!$K$7)^2))^2))-((Inputs!$H$7+Inputs!$L$7*(((Inputs!$I$7+(((A25)+1)/2)*(Inputs!$J$7-Inputs!$I$7)))/Inputs!$K$7)^2)))*1000/Inputs!$C$12),NA())</f>
        <v>84663.933981793351</v>
      </c>
      <c r="J25" s="9">
        <f>IF(OR(Inputs!$F$8=TRUE,Inputs!$F$8="TRUE",Inputs!$F$8=1),(((SQRT(((Inputs!$I$8+(((A25)+1)/2)*(Inputs!$J$8-Inputs!$I$8)))^2+Inputs!$C$6^2+((Inputs!$H$8+Inputs!$L$8*(((Inputs!$I$8+(((A25)+1)/2)*(Inputs!$J$8-Inputs!$I$8)))/Inputs!$K$8)^2))^2))-((Inputs!$H$8+Inputs!$L$8*(((Inputs!$I$8+(((A25)+1)/2)*(Inputs!$J$8-Inputs!$I$8)))/Inputs!$K$8)^2)))*1000/Inputs!$C$12),NA())</f>
        <v>147598.93656776901</v>
      </c>
      <c r="K25" s="9">
        <f>IF(OR(Inputs!$F$9=TRUE,Inputs!$F$9="TRUE",Inputs!$F$9=1),(((SQRT(((Inputs!$I$9+(((A25)+1)/2)*(Inputs!$J$9-Inputs!$I$9)))^2+Inputs!$C$6^2+((Inputs!$H$9+Inputs!$L$9*(((Inputs!$I$9+(((A25)+1)/2)*(Inputs!$J$9-Inputs!$I$9)))/Inputs!$K$9)^2))^2))-((Inputs!$H$9+Inputs!$L$9*(((Inputs!$I$9+(((A25)+1)/2)*(Inputs!$J$9-Inputs!$I$9)))/Inputs!$K$9)^2)))*1000/Inputs!$C$12),NA())</f>
        <v>148152.99183501268</v>
      </c>
      <c r="L25" s="10"/>
      <c r="M25" s="9">
        <f t="shared" si="1"/>
        <v>-0.80800000000000005</v>
      </c>
      <c r="N25" s="9">
        <f>IF(OR(Inputs!$F$6=TRUE,Inputs!$F$6="TRUE",Inputs!$F$6=1),(-2*((1000*((((Inputs!$I$6+(((A25)+1)/2)*(Inputs!$J$6-Inputs!$I$6)))*Inputs!$C$11+((Inputs!$H$6+Inputs!$L$6*(((Inputs!$I$6+(((A25)+1)/2)*(Inputs!$J$6-Inputs!$I$6)))/Inputs!$K$6)^2))*((2*Inputs!$L$6*((Inputs!$I$6+(((A25)+1)/2)*(Inputs!$J$6-Inputs!$I$6)))/(Inputs!$K$6^2)*Inputs!$C$11)))/(SQRT(((Inputs!$I$6+(((A25)+1)/2)*(Inputs!$J$6-Inputs!$I$6)))^2+Inputs!$C$6^2+((Inputs!$H$6+Inputs!$L$6*(((Inputs!$I$6+(((A25)+1)/2)*(Inputs!$J$6-Inputs!$I$6)))/Inputs!$K$6)^2))^2)))))/Inputs!$C$13),NA())</f>
        <v>361.73077985139912</v>
      </c>
      <c r="O25" s="9">
        <f>IF(OR(Inputs!$F$7=TRUE,Inputs!$F$7="TRUE",Inputs!$F$7=1),(-2*((1000*((((Inputs!$I$7+(((A25)+1)/2)*(Inputs!$J$7-Inputs!$I$7)))*Inputs!$C$11+((Inputs!$H$7+Inputs!$L$7*(((Inputs!$I$7+(((A25)+1)/2)*(Inputs!$J$7-Inputs!$I$7)))/Inputs!$K$7)^2))*((2*Inputs!$L$7*((Inputs!$I$7+(((A25)+1)/2)*(Inputs!$J$7-Inputs!$I$7)))/(Inputs!$K$7^2)*Inputs!$C$11)))/(SQRT(((Inputs!$I$7+(((A25)+1)/2)*(Inputs!$J$7-Inputs!$I$7)))^2+Inputs!$C$6^2+((Inputs!$H$7+Inputs!$L$7*(((Inputs!$I$7+(((A25)+1)/2)*(Inputs!$J$7-Inputs!$I$7)))/Inputs!$K$7)^2))^2)))))/Inputs!$C$13),NA())</f>
        <v>2740.400746440379</v>
      </c>
      <c r="P25" s="9">
        <f>IF(OR(Inputs!$F$8=TRUE,Inputs!$F$8="TRUE",Inputs!$F$8=1),(-2*((1000*((((Inputs!$I$8+(((A25)+1)/2)*(Inputs!$J$8-Inputs!$I$8)))*Inputs!$C$11+((Inputs!$H$8+Inputs!$L$8*(((Inputs!$I$8+(((A25)+1)/2)*(Inputs!$J$8-Inputs!$I$8)))/Inputs!$K$8)^2))*((2*Inputs!$L$8*((Inputs!$I$8+(((A25)+1)/2)*(Inputs!$J$8-Inputs!$I$8)))/(Inputs!$K$8^2)*Inputs!$C$11)))/(SQRT(((Inputs!$I$8+(((A25)+1)/2)*(Inputs!$J$8-Inputs!$I$8)))^2+Inputs!$C$6^2+((Inputs!$H$8+Inputs!$L$8*(((Inputs!$I$8+(((A25)+1)/2)*(Inputs!$J$8-Inputs!$I$8)))/Inputs!$K$8)^2))^2)))))/Inputs!$C$13),NA())</f>
        <v>3350.4414610708473</v>
      </c>
      <c r="Q25" s="9">
        <f>IF(OR(Inputs!$F$9=TRUE,Inputs!$F$9="TRUE",Inputs!$F$9=1),(-2*((1000*((((Inputs!$I$9+(((A25)+1)/2)*(Inputs!$J$9-Inputs!$I$9)))*Inputs!$C$11+((Inputs!$H$9+Inputs!$L$9*(((Inputs!$I$9+(((A25)+1)/2)*(Inputs!$J$9-Inputs!$I$9)))/Inputs!$K$9)^2))*((2*Inputs!$L$9*((Inputs!$I$9+(((A25)+1)/2)*(Inputs!$J$9-Inputs!$I$9)))/(Inputs!$K$9^2)*Inputs!$C$11)))/(SQRT(((Inputs!$I$9+(((A25)+1)/2)*(Inputs!$J$9-Inputs!$I$9)))^2+Inputs!$C$6^2+((Inputs!$H$9+Inputs!$L$9*(((Inputs!$I$9+(((A25)+1)/2)*(Inputs!$J$9-Inputs!$I$9)))/Inputs!$K$9)^2))^2)))))/Inputs!$C$13),NA())</f>
        <v>3370.847319161865</v>
      </c>
      <c r="R25" s="10"/>
      <c r="S25" s="9">
        <f t="shared" si="2"/>
        <v>-0.80800000000000005</v>
      </c>
      <c r="T25" s="9">
        <f>(Inputs!$I$6+(((A25)+1)/2)*(Inputs!$J$6-Inputs!$I$6))</f>
        <v>-48.480000000000004</v>
      </c>
      <c r="U25" s="9">
        <f>(Inputs!$I$7+(((A25)+1)/2)*(Inputs!$J$7-Inputs!$I$7))</f>
        <v>-323.20000000000005</v>
      </c>
      <c r="V25" s="9">
        <f>(Inputs!$I$8+(((A25)+1)/2)*(Inputs!$J$8-Inputs!$I$8))</f>
        <v>-646.40000000000009</v>
      </c>
      <c r="W25" s="9">
        <f>(Inputs!$I$9+(((A25)+1)/2)*(Inputs!$J$9-Inputs!$I$9))</f>
        <v>-646.40000000000009</v>
      </c>
      <c r="X25" s="10"/>
      <c r="Y25" s="9">
        <f t="shared" si="3"/>
        <v>-0.80800000000000005</v>
      </c>
      <c r="Z25" s="9">
        <f>(Inputs!$H$6+Inputs!$L$6*(((Inputs!$I$6+(((A25)+1)/2)*(Inputs!$J$6-Inputs!$I$6)))/Inputs!$K$6)^2)</f>
        <v>402.61145599999998</v>
      </c>
      <c r="AA25" s="9">
        <f>(Inputs!$H$7+Inputs!$L$7*(((Inputs!$I$7+(((A25)+1)/2)*(Inputs!$J$7-Inputs!$I$7)))/Inputs!$K$7)^2)</f>
        <v>273.29536000000007</v>
      </c>
      <c r="AB25" s="9">
        <f>(Inputs!$H$8+Inputs!$L$8*(((Inputs!$I$8+(((A25)+1)/2)*(Inputs!$J$8-Inputs!$I$8)))/Inputs!$K$8)^2)</f>
        <v>665.01376000000016</v>
      </c>
      <c r="AC25" s="9">
        <f>(Inputs!$H$9+Inputs!$L$9*(((Inputs!$I$9+(((A25)+1)/2)*(Inputs!$J$9-Inputs!$I$9)))/Inputs!$K$9)^2)</f>
        <v>661.54240000000027</v>
      </c>
      <c r="AD25" s="10"/>
      <c r="AE25" s="9">
        <f t="shared" si="4"/>
        <v>-0.80800000000000005</v>
      </c>
      <c r="AF25" s="9">
        <f>(((SQRT(((Inputs!$I$6+(((A25)+1)/2)*(Inputs!$J$6-Inputs!$I$6)))^2+Inputs!$C$6^2+((Inputs!$H$6+Inputs!$L$6*(((Inputs!$I$6+(((A25)+1)/2)*(Inputs!$J$6-Inputs!$I$6)))/Inputs!$K$6)^2))^2))-((Inputs!$H$6+Inputs!$L$6*(((Inputs!$I$6+(((A25)+1)/2)*(Inputs!$J$6-Inputs!$I$6)))/Inputs!$K$6)^2)))*1000/Inputs!$C$12)</f>
        <v>2066.411636185434</v>
      </c>
      <c r="AG25" s="9">
        <f>(((SQRT(((Inputs!$I$7+(((A25)+1)/2)*(Inputs!$J$7-Inputs!$I$7)))^2+Inputs!$C$6^2+((Inputs!$H$7+Inputs!$L$7*(((Inputs!$I$7+(((A25)+1)/2)*(Inputs!$J$7-Inputs!$I$7)))/Inputs!$K$7)^2))^2))-((Inputs!$H$7+Inputs!$L$7*(((Inputs!$I$7+(((A25)+1)/2)*(Inputs!$J$7-Inputs!$I$7)))/Inputs!$K$7)^2)))*1000/Inputs!$C$12)</f>
        <v>84663.933981793351</v>
      </c>
      <c r="AH25" s="9">
        <f>(((SQRT(((Inputs!$I$8+(((A25)+1)/2)*(Inputs!$J$8-Inputs!$I$8)))^2+Inputs!$C$6^2+((Inputs!$H$8+Inputs!$L$8*(((Inputs!$I$8+(((A25)+1)/2)*(Inputs!$J$8-Inputs!$I$8)))/Inputs!$K$8)^2))^2))-((Inputs!$H$8+Inputs!$L$8*(((Inputs!$I$8+(((A25)+1)/2)*(Inputs!$J$8-Inputs!$I$8)))/Inputs!$K$8)^2)))*1000/Inputs!$C$12)</f>
        <v>147598.93656776901</v>
      </c>
      <c r="AI25" s="9">
        <f>(((SQRT(((Inputs!$I$9+(((A25)+1)/2)*(Inputs!$J$9-Inputs!$I$9)))^2+Inputs!$C$6^2+((Inputs!$H$9+Inputs!$L$9*(((Inputs!$I$9+(((A25)+1)/2)*(Inputs!$J$9-Inputs!$I$9)))/Inputs!$K$9)^2))^2))-((Inputs!$H$9+Inputs!$L$9*(((Inputs!$I$9+(((A25)+1)/2)*(Inputs!$J$9-Inputs!$I$9)))/Inputs!$K$9)^2)))*1000/Inputs!$C$12)</f>
        <v>148152.99183501268</v>
      </c>
      <c r="AJ25" s="10"/>
      <c r="AK25" s="9">
        <f t="shared" si="5"/>
        <v>-0.80800000000000005</v>
      </c>
      <c r="AL25" s="9">
        <f>(-2*((1000*((((Inputs!$I$6+(((A25)+1)/2)*(Inputs!$J$6-Inputs!$I$6)))*Inputs!$C$11+((Inputs!$H$6+Inputs!$L$6*(((Inputs!$I$6+(((A25)+1)/2)*(Inputs!$J$6-Inputs!$I$6)))/Inputs!$K$6)^2))*((2*Inputs!$L$6*((Inputs!$I$6+(((A25)+1)/2)*(Inputs!$J$6-Inputs!$I$6)))/(Inputs!$K$6^2)*Inputs!$C$11)))/(SQRT(((Inputs!$I$6+(((A25)+1)/2)*(Inputs!$J$6-Inputs!$I$6)))^2+Inputs!$C$6^2+((Inputs!$H$6+Inputs!$L$6*(((Inputs!$I$6+(((A25)+1)/2)*(Inputs!$J$6-Inputs!$I$6)))/Inputs!$K$6)^2))^2)))))/Inputs!$C$13)</f>
        <v>361.73077985139912</v>
      </c>
      <c r="AM25" s="9">
        <f>(-2*((1000*((((Inputs!$I$7+(((A25)+1)/2)*(Inputs!$J$7-Inputs!$I$7)))*Inputs!$C$11+((Inputs!$H$7+Inputs!$L$7*(((Inputs!$I$7+(((A25)+1)/2)*(Inputs!$J$7-Inputs!$I$7)))/Inputs!$K$7)^2))*((2*Inputs!$L$7*((Inputs!$I$7+(((A25)+1)/2)*(Inputs!$J$7-Inputs!$I$7)))/(Inputs!$K$7^2)*Inputs!$C$11)))/(SQRT(((Inputs!$I$7+(((A25)+1)/2)*(Inputs!$J$7-Inputs!$I$7)))^2+Inputs!$C$6^2+((Inputs!$H$7+Inputs!$L$7*(((Inputs!$I$7+(((A25)+1)/2)*(Inputs!$J$7-Inputs!$I$7)))/Inputs!$K$7)^2))^2)))))/Inputs!$C$13)</f>
        <v>2740.400746440379</v>
      </c>
      <c r="AN25" s="9">
        <f>(-2*((1000*((((Inputs!$I$8+(((A25)+1)/2)*(Inputs!$J$8-Inputs!$I$8)))*Inputs!$C$11+((Inputs!$H$8+Inputs!$L$8*(((Inputs!$I$8+(((A25)+1)/2)*(Inputs!$J$8-Inputs!$I$8)))/Inputs!$K$8)^2))*((2*Inputs!$L$8*((Inputs!$I$8+(((A25)+1)/2)*(Inputs!$J$8-Inputs!$I$8)))/(Inputs!$K$8^2)*Inputs!$C$11)))/(SQRT(((Inputs!$I$8+(((A25)+1)/2)*(Inputs!$J$8-Inputs!$I$8)))^2+Inputs!$C$6^2+((Inputs!$H$8+Inputs!$L$8*(((Inputs!$I$8+(((A25)+1)/2)*(Inputs!$J$8-Inputs!$I$8)))/Inputs!$K$8)^2))^2)))))/Inputs!$C$13)</f>
        <v>3350.4414610708473</v>
      </c>
      <c r="AO25" s="9">
        <f>(-2*((1000*((((Inputs!$I$9+(((A25)+1)/2)*(Inputs!$J$9-Inputs!$I$9)))*Inputs!$C$11+((Inputs!$H$9+Inputs!$L$9*(((Inputs!$I$9+(((A25)+1)/2)*(Inputs!$J$9-Inputs!$I$9)))/Inputs!$K$9)^2))*((2*Inputs!$L$9*((Inputs!$I$9+(((A25)+1)/2)*(Inputs!$J$9-Inputs!$I$9)))/(Inputs!$K$9^2)*Inputs!$C$11)))/(SQRT(((Inputs!$I$9+(((A25)+1)/2)*(Inputs!$J$9-Inputs!$I$9)))^2+Inputs!$C$6^2+((Inputs!$H$9+Inputs!$L$9*(((Inputs!$I$9+(((A25)+1)/2)*(Inputs!$J$9-Inputs!$I$9)))/Inputs!$K$9)^2))^2)))))/Inputs!$C$13)</f>
        <v>3370.847319161865</v>
      </c>
    </row>
    <row r="26" spans="1:41">
      <c r="A26" s="9">
        <f>ROUND(-1+24*2/240,3)</f>
        <v>-0.8</v>
      </c>
      <c r="B26" s="9">
        <f>IF(OR(Inputs!$F$6=TRUE,Inputs!$F$6="TRUE",Inputs!$F$6=1),(Inputs!$H$6+Inputs!$L$6*(((Inputs!$I$6+(((A26)+1)/2)*(Inputs!$J$6-Inputs!$I$6)))/Inputs!$K$6)^2),NA())</f>
        <v>402.56</v>
      </c>
      <c r="C26" s="9">
        <f>IF(OR(Inputs!$F$7=TRUE,Inputs!$F$7="TRUE",Inputs!$F$7=1),(Inputs!$H$7+Inputs!$L$7*(((Inputs!$I$7+(((A26)+1)/2)*(Inputs!$J$7-Inputs!$I$7)))/Inputs!$K$7)^2),NA())</f>
        <v>268.60000000000002</v>
      </c>
      <c r="D26" s="9">
        <f>IF(OR(Inputs!$F$8=TRUE,Inputs!$F$8="TRUE",Inputs!$F$8=1),(Inputs!$H$8+Inputs!$L$8*(((Inputs!$I$8+(((A26)+1)/2)*(Inputs!$J$8-Inputs!$I$8)))/Inputs!$K$8)^2),NA())</f>
        <v>652.60000000000014</v>
      </c>
      <c r="E26" s="9">
        <f>IF(OR(Inputs!$F$9=TRUE,Inputs!$F$9="TRUE",Inputs!$F$9=1),(Inputs!$H$9+Inputs!$L$9*(((Inputs!$I$9+(((A26)+1)/2)*(Inputs!$J$9-Inputs!$I$9)))/Inputs!$K$9)^2),NA())</f>
        <v>649.00000000000011</v>
      </c>
      <c r="F26" s="10"/>
      <c r="G26" s="9">
        <f t="shared" si="0"/>
        <v>-0.8</v>
      </c>
      <c r="H26" s="9">
        <f>IF(OR(Inputs!$F$6=TRUE,Inputs!$F$6="TRUE",Inputs!$F$6=1),(((SQRT(((Inputs!$I$6+(((A26)+1)/2)*(Inputs!$J$6-Inputs!$I$6)))^2+Inputs!$C$6^2+((Inputs!$H$6+Inputs!$L$6*(((Inputs!$I$6+(((A26)+1)/2)*(Inputs!$J$6-Inputs!$I$6)))/Inputs!$K$6)^2))^2))-((Inputs!$H$6+Inputs!$L$6*(((Inputs!$I$6+(((A26)+1)/2)*(Inputs!$J$6-Inputs!$I$6)))/Inputs!$K$6)^2)))*1000/Inputs!$C$12),NA())</f>
        <v>2034.6492181694086</v>
      </c>
      <c r="I26" s="9">
        <f>IF(OR(Inputs!$F$7=TRUE,Inputs!$F$7="TRUE",Inputs!$F$7=1),(((SQRT(((Inputs!$I$7+(((A26)+1)/2)*(Inputs!$J$7-Inputs!$I$7)))^2+Inputs!$C$6^2+((Inputs!$H$7+Inputs!$L$7*(((Inputs!$I$7+(((A26)+1)/2)*(Inputs!$J$7-Inputs!$I$7)))/Inputs!$K$7)^2))^2))-((Inputs!$H$7+Inputs!$L$7*(((Inputs!$I$7+(((A26)+1)/2)*(Inputs!$J$7-Inputs!$I$7)))/Inputs!$K$7)^2)))*1000/Inputs!$C$12),NA())</f>
        <v>84232.752623422784</v>
      </c>
      <c r="J26" s="9">
        <f>IF(OR(Inputs!$F$8=TRUE,Inputs!$F$8="TRUE",Inputs!$F$8=1),(((SQRT(((Inputs!$I$8+(((A26)+1)/2)*(Inputs!$J$8-Inputs!$I$8)))^2+Inputs!$C$6^2+((Inputs!$H$8+Inputs!$L$8*(((Inputs!$I$8+(((A26)+1)/2)*(Inputs!$J$8-Inputs!$I$8)))/Inputs!$K$8)^2))^2))-((Inputs!$H$8+Inputs!$L$8*(((Inputs!$I$8+(((A26)+1)/2)*(Inputs!$J$8-Inputs!$I$8)))/Inputs!$K$8)^2)))*1000/Inputs!$C$12),NA())</f>
        <v>147073.85942499142</v>
      </c>
      <c r="K26" s="9">
        <f>IF(OR(Inputs!$F$9=TRUE,Inputs!$F$9="TRUE",Inputs!$F$9=1),(((SQRT(((Inputs!$I$9+(((A26)+1)/2)*(Inputs!$J$9-Inputs!$I$9)))^2+Inputs!$C$6^2+((Inputs!$H$9+Inputs!$L$9*(((Inputs!$I$9+(((A26)+1)/2)*(Inputs!$J$9-Inputs!$I$9)))/Inputs!$K$9)^2))^2))-((Inputs!$H$9+Inputs!$L$9*(((Inputs!$I$9+(((A26)+1)/2)*(Inputs!$J$9-Inputs!$I$9)))/Inputs!$K$9)^2)))*1000/Inputs!$C$12),NA())</f>
        <v>147654.85462220901</v>
      </c>
      <c r="L26" s="10"/>
      <c r="M26" s="9">
        <f t="shared" si="1"/>
        <v>-0.8</v>
      </c>
      <c r="N26" s="9">
        <f>IF(OR(Inputs!$F$6=TRUE,Inputs!$F$6="TRUE",Inputs!$F$6=1),(-2*((1000*((((Inputs!$I$6+(((A26)+1)/2)*(Inputs!$J$6-Inputs!$I$6)))*Inputs!$C$11+((Inputs!$H$6+Inputs!$L$6*(((Inputs!$I$6+(((A26)+1)/2)*(Inputs!$J$6-Inputs!$I$6)))/Inputs!$K$6)^2))*((2*Inputs!$L$6*((Inputs!$I$6+(((A26)+1)/2)*(Inputs!$J$6-Inputs!$I$6)))/(Inputs!$K$6^2)*Inputs!$C$11)))/(SQRT(((Inputs!$I$6+(((A26)+1)/2)*(Inputs!$J$6-Inputs!$I$6)))^2+Inputs!$C$6^2+((Inputs!$H$6+Inputs!$L$6*(((Inputs!$I$6+(((A26)+1)/2)*(Inputs!$J$6-Inputs!$I$6)))/Inputs!$K$6)^2))^2)))))/Inputs!$C$13),NA())</f>
        <v>358.22288909368319</v>
      </c>
      <c r="O26" s="9">
        <f>IF(OR(Inputs!$F$7=TRUE,Inputs!$F$7="TRUE",Inputs!$F$7=1),(-2*((1000*((((Inputs!$I$7+(((A26)+1)/2)*(Inputs!$J$7-Inputs!$I$7)))*Inputs!$C$11+((Inputs!$H$7+Inputs!$L$7*(((Inputs!$I$7+(((A26)+1)/2)*(Inputs!$J$7-Inputs!$I$7)))/Inputs!$K$7)^2))*((2*Inputs!$L$7*((Inputs!$I$7+(((A26)+1)/2)*(Inputs!$J$7-Inputs!$I$7)))/(Inputs!$K$7^2)*Inputs!$C$11)))/(SQRT(((Inputs!$I$7+(((A26)+1)/2)*(Inputs!$J$7-Inputs!$I$7)))^2+Inputs!$C$6^2+((Inputs!$H$7+Inputs!$L$7*(((Inputs!$I$7+(((A26)+1)/2)*(Inputs!$J$7-Inputs!$I$7)))/Inputs!$K$7)^2))^2)))))/Inputs!$C$13),NA())</f>
        <v>2722.4760333842505</v>
      </c>
      <c r="P26" s="9">
        <f>IF(OR(Inputs!$F$8=TRUE,Inputs!$F$8="TRUE",Inputs!$F$8=1),(-2*((1000*((((Inputs!$I$8+(((A26)+1)/2)*(Inputs!$J$8-Inputs!$I$8)))*Inputs!$C$11+((Inputs!$H$8+Inputs!$L$8*(((Inputs!$I$8+(((A26)+1)/2)*(Inputs!$J$8-Inputs!$I$8)))/Inputs!$K$8)^2))*((2*Inputs!$L$8*((Inputs!$I$8+(((A26)+1)/2)*(Inputs!$J$8-Inputs!$I$8)))/(Inputs!$K$8^2)*Inputs!$C$11)))/(SQRT(((Inputs!$I$8+(((A26)+1)/2)*(Inputs!$J$8-Inputs!$I$8)))^2+Inputs!$C$6^2+((Inputs!$H$8+Inputs!$L$8*(((Inputs!$I$8+(((A26)+1)/2)*(Inputs!$J$8-Inputs!$I$8)))/Inputs!$K$8)^2))^2)))))/Inputs!$C$13),NA())</f>
        <v>3323.7720390621243</v>
      </c>
      <c r="Q26" s="9">
        <f>IF(OR(Inputs!$F$9=TRUE,Inputs!$F$9="TRUE",Inputs!$F$9=1),(-2*((1000*((((Inputs!$I$9+(((A26)+1)/2)*(Inputs!$J$9-Inputs!$I$9)))*Inputs!$C$11+((Inputs!$H$9+Inputs!$L$9*(((Inputs!$I$9+(((A26)+1)/2)*(Inputs!$J$9-Inputs!$I$9)))/Inputs!$K$9)^2))*((2*Inputs!$L$9*((Inputs!$I$9+(((A26)+1)/2)*(Inputs!$J$9-Inputs!$I$9)))/(Inputs!$K$9^2)*Inputs!$C$11)))/(SQRT(((Inputs!$I$9+(((A26)+1)/2)*(Inputs!$J$9-Inputs!$I$9)))^2+Inputs!$C$6^2+((Inputs!$H$9+Inputs!$L$9*(((Inputs!$I$9+(((A26)+1)/2)*(Inputs!$J$9-Inputs!$I$9)))/Inputs!$K$9)^2))^2)))))/Inputs!$C$13),NA())</f>
        <v>3343.7094353866705</v>
      </c>
      <c r="R26" s="10"/>
      <c r="S26" s="9">
        <f t="shared" si="2"/>
        <v>-0.8</v>
      </c>
      <c r="T26" s="9">
        <f>(Inputs!$I$6+(((A26)+1)/2)*(Inputs!$J$6-Inputs!$I$6))</f>
        <v>-48</v>
      </c>
      <c r="U26" s="9">
        <f>(Inputs!$I$7+(((A26)+1)/2)*(Inputs!$J$7-Inputs!$I$7))</f>
        <v>-320</v>
      </c>
      <c r="V26" s="9">
        <f>(Inputs!$I$8+(((A26)+1)/2)*(Inputs!$J$8-Inputs!$I$8))</f>
        <v>-640</v>
      </c>
      <c r="W26" s="9">
        <f>(Inputs!$I$9+(((A26)+1)/2)*(Inputs!$J$9-Inputs!$I$9))</f>
        <v>-640</v>
      </c>
      <c r="X26" s="10"/>
      <c r="Y26" s="9">
        <f t="shared" si="3"/>
        <v>-0.8</v>
      </c>
      <c r="Z26" s="9">
        <f>(Inputs!$H$6+Inputs!$L$6*(((Inputs!$I$6+(((A26)+1)/2)*(Inputs!$J$6-Inputs!$I$6)))/Inputs!$K$6)^2)</f>
        <v>402.56</v>
      </c>
      <c r="AA26" s="9">
        <f>(Inputs!$H$7+Inputs!$L$7*(((Inputs!$I$7+(((A26)+1)/2)*(Inputs!$J$7-Inputs!$I$7)))/Inputs!$K$7)^2)</f>
        <v>268.60000000000002</v>
      </c>
      <c r="AB26" s="9">
        <f>(Inputs!$H$8+Inputs!$L$8*(((Inputs!$I$8+(((A26)+1)/2)*(Inputs!$J$8-Inputs!$I$8)))/Inputs!$K$8)^2)</f>
        <v>652.60000000000014</v>
      </c>
      <c r="AC26" s="9">
        <f>(Inputs!$H$9+Inputs!$L$9*(((Inputs!$I$9+(((A26)+1)/2)*(Inputs!$J$9-Inputs!$I$9)))/Inputs!$K$9)^2)</f>
        <v>649.00000000000011</v>
      </c>
      <c r="AD26" s="10"/>
      <c r="AE26" s="9">
        <f t="shared" si="4"/>
        <v>-0.8</v>
      </c>
      <c r="AF26" s="9">
        <f>(((SQRT(((Inputs!$I$6+(((A26)+1)/2)*(Inputs!$J$6-Inputs!$I$6)))^2+Inputs!$C$6^2+((Inputs!$H$6+Inputs!$L$6*(((Inputs!$I$6+(((A26)+1)/2)*(Inputs!$J$6-Inputs!$I$6)))/Inputs!$K$6)^2))^2))-((Inputs!$H$6+Inputs!$L$6*(((Inputs!$I$6+(((A26)+1)/2)*(Inputs!$J$6-Inputs!$I$6)))/Inputs!$K$6)^2)))*1000/Inputs!$C$12)</f>
        <v>2034.6492181694086</v>
      </c>
      <c r="AG26" s="9">
        <f>(((SQRT(((Inputs!$I$7+(((A26)+1)/2)*(Inputs!$J$7-Inputs!$I$7)))^2+Inputs!$C$6^2+((Inputs!$H$7+Inputs!$L$7*(((Inputs!$I$7+(((A26)+1)/2)*(Inputs!$J$7-Inputs!$I$7)))/Inputs!$K$7)^2))^2))-((Inputs!$H$7+Inputs!$L$7*(((Inputs!$I$7+(((A26)+1)/2)*(Inputs!$J$7-Inputs!$I$7)))/Inputs!$K$7)^2)))*1000/Inputs!$C$12)</f>
        <v>84232.752623422784</v>
      </c>
      <c r="AH26" s="9">
        <f>(((SQRT(((Inputs!$I$8+(((A26)+1)/2)*(Inputs!$J$8-Inputs!$I$8)))^2+Inputs!$C$6^2+((Inputs!$H$8+Inputs!$L$8*(((Inputs!$I$8+(((A26)+1)/2)*(Inputs!$J$8-Inputs!$I$8)))/Inputs!$K$8)^2))^2))-((Inputs!$H$8+Inputs!$L$8*(((Inputs!$I$8+(((A26)+1)/2)*(Inputs!$J$8-Inputs!$I$8)))/Inputs!$K$8)^2)))*1000/Inputs!$C$12)</f>
        <v>147073.85942499142</v>
      </c>
      <c r="AI26" s="9">
        <f>(((SQRT(((Inputs!$I$9+(((A26)+1)/2)*(Inputs!$J$9-Inputs!$I$9)))^2+Inputs!$C$6^2+((Inputs!$H$9+Inputs!$L$9*(((Inputs!$I$9+(((A26)+1)/2)*(Inputs!$J$9-Inputs!$I$9)))/Inputs!$K$9)^2))^2))-((Inputs!$H$9+Inputs!$L$9*(((Inputs!$I$9+(((A26)+1)/2)*(Inputs!$J$9-Inputs!$I$9)))/Inputs!$K$9)^2)))*1000/Inputs!$C$12)</f>
        <v>147654.85462220901</v>
      </c>
      <c r="AJ26" s="10"/>
      <c r="AK26" s="9">
        <f t="shared" si="5"/>
        <v>-0.8</v>
      </c>
      <c r="AL26" s="9">
        <f>(-2*((1000*((((Inputs!$I$6+(((A26)+1)/2)*(Inputs!$J$6-Inputs!$I$6)))*Inputs!$C$11+((Inputs!$H$6+Inputs!$L$6*(((Inputs!$I$6+(((A26)+1)/2)*(Inputs!$J$6-Inputs!$I$6)))/Inputs!$K$6)^2))*((2*Inputs!$L$6*((Inputs!$I$6+(((A26)+1)/2)*(Inputs!$J$6-Inputs!$I$6)))/(Inputs!$K$6^2)*Inputs!$C$11)))/(SQRT(((Inputs!$I$6+(((A26)+1)/2)*(Inputs!$J$6-Inputs!$I$6)))^2+Inputs!$C$6^2+((Inputs!$H$6+Inputs!$L$6*(((Inputs!$I$6+(((A26)+1)/2)*(Inputs!$J$6-Inputs!$I$6)))/Inputs!$K$6)^2))^2)))))/Inputs!$C$13)</f>
        <v>358.22288909368319</v>
      </c>
      <c r="AM26" s="9">
        <f>(-2*((1000*((((Inputs!$I$7+(((A26)+1)/2)*(Inputs!$J$7-Inputs!$I$7)))*Inputs!$C$11+((Inputs!$H$7+Inputs!$L$7*(((Inputs!$I$7+(((A26)+1)/2)*(Inputs!$J$7-Inputs!$I$7)))/Inputs!$K$7)^2))*((2*Inputs!$L$7*((Inputs!$I$7+(((A26)+1)/2)*(Inputs!$J$7-Inputs!$I$7)))/(Inputs!$K$7^2)*Inputs!$C$11)))/(SQRT(((Inputs!$I$7+(((A26)+1)/2)*(Inputs!$J$7-Inputs!$I$7)))^2+Inputs!$C$6^2+((Inputs!$H$7+Inputs!$L$7*(((Inputs!$I$7+(((A26)+1)/2)*(Inputs!$J$7-Inputs!$I$7)))/Inputs!$K$7)^2))^2)))))/Inputs!$C$13)</f>
        <v>2722.4760333842505</v>
      </c>
      <c r="AN26" s="9">
        <f>(-2*((1000*((((Inputs!$I$8+(((A26)+1)/2)*(Inputs!$J$8-Inputs!$I$8)))*Inputs!$C$11+((Inputs!$H$8+Inputs!$L$8*(((Inputs!$I$8+(((A26)+1)/2)*(Inputs!$J$8-Inputs!$I$8)))/Inputs!$K$8)^2))*((2*Inputs!$L$8*((Inputs!$I$8+(((A26)+1)/2)*(Inputs!$J$8-Inputs!$I$8)))/(Inputs!$K$8^2)*Inputs!$C$11)))/(SQRT(((Inputs!$I$8+(((A26)+1)/2)*(Inputs!$J$8-Inputs!$I$8)))^2+Inputs!$C$6^2+((Inputs!$H$8+Inputs!$L$8*(((Inputs!$I$8+(((A26)+1)/2)*(Inputs!$J$8-Inputs!$I$8)))/Inputs!$K$8)^2))^2)))))/Inputs!$C$13)</f>
        <v>3323.7720390621243</v>
      </c>
      <c r="AO26" s="9">
        <f>(-2*((1000*((((Inputs!$I$9+(((A26)+1)/2)*(Inputs!$J$9-Inputs!$I$9)))*Inputs!$C$11+((Inputs!$H$9+Inputs!$L$9*(((Inputs!$I$9+(((A26)+1)/2)*(Inputs!$J$9-Inputs!$I$9)))/Inputs!$K$9)^2))*((2*Inputs!$L$9*((Inputs!$I$9+(((A26)+1)/2)*(Inputs!$J$9-Inputs!$I$9)))/(Inputs!$K$9^2)*Inputs!$C$11)))/(SQRT(((Inputs!$I$9+(((A26)+1)/2)*(Inputs!$J$9-Inputs!$I$9)))^2+Inputs!$C$6^2+((Inputs!$H$9+Inputs!$L$9*(((Inputs!$I$9+(((A26)+1)/2)*(Inputs!$J$9-Inputs!$I$9)))/Inputs!$K$9)^2))^2)))))/Inputs!$C$13)</f>
        <v>3343.7094353866705</v>
      </c>
    </row>
    <row r="27" spans="1:41">
      <c r="A27" s="9">
        <f>ROUND(-1+25*2/240,3)</f>
        <v>-0.79200000000000004</v>
      </c>
      <c r="B27" s="9">
        <f>IF(OR(Inputs!$F$6=TRUE,Inputs!$F$6="TRUE",Inputs!$F$6=1),(Inputs!$H$6+Inputs!$L$6*(((Inputs!$I$6+(((A27)+1)/2)*(Inputs!$J$6-Inputs!$I$6)))/Inputs!$K$6)^2),NA())</f>
        <v>402.50905599999999</v>
      </c>
      <c r="C27" s="9">
        <f>IF(OR(Inputs!$F$7=TRUE,Inputs!$F$7="TRUE",Inputs!$F$7=1),(Inputs!$H$7+Inputs!$L$7*(((Inputs!$I$7+(((A27)+1)/2)*(Inputs!$J$7-Inputs!$I$7)))/Inputs!$K$7)^2),NA())</f>
        <v>263.95136000000002</v>
      </c>
      <c r="D27" s="9">
        <f>IF(OR(Inputs!$F$8=TRUE,Inputs!$F$8="TRUE",Inputs!$F$8=1),(Inputs!$H$8+Inputs!$L$8*(((Inputs!$I$8+(((A27)+1)/2)*(Inputs!$J$8-Inputs!$I$8)))/Inputs!$K$8)^2),NA())</f>
        <v>640.3097600000001</v>
      </c>
      <c r="E27" s="9">
        <f>IF(OR(Inputs!$F$9=TRUE,Inputs!$F$9="TRUE",Inputs!$F$9=1),(Inputs!$H$9+Inputs!$L$9*(((Inputs!$I$9+(((A27)+1)/2)*(Inputs!$J$9-Inputs!$I$9)))/Inputs!$K$9)^2),NA())</f>
        <v>636.58240000000001</v>
      </c>
      <c r="F27" s="10"/>
      <c r="G27" s="9">
        <f t="shared" si="0"/>
        <v>-0.79200000000000004</v>
      </c>
      <c r="H27" s="9">
        <f>IF(OR(Inputs!$F$6=TRUE,Inputs!$F$6="TRUE",Inputs!$F$6=1),(((SQRT(((Inputs!$I$6+(((A27)+1)/2)*(Inputs!$J$6-Inputs!$I$6)))^2+Inputs!$C$6^2+((Inputs!$H$6+Inputs!$L$6*(((Inputs!$I$6+(((A27)+1)/2)*(Inputs!$J$6-Inputs!$I$6)))/Inputs!$K$6)^2))^2))-((Inputs!$H$6+Inputs!$L$6*(((Inputs!$I$6+(((A27)+1)/2)*(Inputs!$J$6-Inputs!$I$6)))/Inputs!$K$6)^2)))*1000/Inputs!$C$12),NA())</f>
        <v>2003.1905578278656</v>
      </c>
      <c r="I27" s="9">
        <f>IF(OR(Inputs!$F$7=TRUE,Inputs!$F$7="TRUE",Inputs!$F$7=1),(((SQRT(((Inputs!$I$7+(((A27)+1)/2)*(Inputs!$J$7-Inputs!$I$7)))^2+Inputs!$C$6^2+((Inputs!$H$7+Inputs!$L$7*(((Inputs!$I$7+(((A27)+1)/2)*(Inputs!$J$7-Inputs!$I$7)))/Inputs!$K$7)^2))^2))-((Inputs!$H$7+Inputs!$L$7*(((Inputs!$I$7+(((A27)+1)/2)*(Inputs!$J$7-Inputs!$I$7)))/Inputs!$K$7)^2)))*1000/Inputs!$C$12),NA())</f>
        <v>83795.416923004086</v>
      </c>
      <c r="J27" s="9">
        <f>IF(OR(Inputs!$F$8=TRUE,Inputs!$F$8="TRUE",Inputs!$F$8=1),(((SQRT(((Inputs!$I$8+(((A27)+1)/2)*(Inputs!$J$8-Inputs!$I$8)))^2+Inputs!$C$6^2+((Inputs!$H$8+Inputs!$L$8*(((Inputs!$I$8+(((A27)+1)/2)*(Inputs!$J$8-Inputs!$I$8)))/Inputs!$K$8)^2))^2))-((Inputs!$H$8+Inputs!$L$8*(((Inputs!$I$8+(((A27)+1)/2)*(Inputs!$J$8-Inputs!$I$8)))/Inputs!$K$8)^2)))*1000/Inputs!$C$12),NA())</f>
        <v>146539.21948766877</v>
      </c>
      <c r="K27" s="9">
        <f>IF(OR(Inputs!$F$9=TRUE,Inputs!$F$9="TRUE",Inputs!$F$9=1),(((SQRT(((Inputs!$I$9+(((A27)+1)/2)*(Inputs!$J$9-Inputs!$I$9)))^2+Inputs!$C$6^2+((Inputs!$H$9+Inputs!$L$9*(((Inputs!$I$9+(((A27)+1)/2)*(Inputs!$J$9-Inputs!$I$9)))/Inputs!$K$9)^2))^2))-((Inputs!$H$9+Inputs!$L$9*(((Inputs!$I$9+(((A27)+1)/2)*(Inputs!$J$9-Inputs!$I$9)))/Inputs!$K$9)^2)))*1000/Inputs!$C$12),NA())</f>
        <v>147147.48962548067</v>
      </c>
      <c r="L27" s="10"/>
      <c r="M27" s="9">
        <f t="shared" si="1"/>
        <v>-0.79200000000000004</v>
      </c>
      <c r="N27" s="9">
        <f>IF(OR(Inputs!$F$6=TRUE,Inputs!$F$6="TRUE",Inputs!$F$6=1),(-2*((1000*((((Inputs!$I$6+(((A27)+1)/2)*(Inputs!$J$6-Inputs!$I$6)))*Inputs!$C$11+((Inputs!$H$6+Inputs!$L$6*(((Inputs!$I$6+(((A27)+1)/2)*(Inputs!$J$6-Inputs!$I$6)))/Inputs!$K$6)^2))*((2*Inputs!$L$6*((Inputs!$I$6+(((A27)+1)/2)*(Inputs!$J$6-Inputs!$I$6)))/(Inputs!$K$6^2)*Inputs!$C$11)))/(SQRT(((Inputs!$I$6+(((A27)+1)/2)*(Inputs!$J$6-Inputs!$I$6)))^2+Inputs!$C$6^2+((Inputs!$H$6+Inputs!$L$6*(((Inputs!$I$6+(((A27)+1)/2)*(Inputs!$J$6-Inputs!$I$6)))/Inputs!$K$6)^2))^2)))))/Inputs!$C$13),NA())</f>
        <v>354.71285854147999</v>
      </c>
      <c r="O27" s="9">
        <f>IF(OR(Inputs!$F$7=TRUE,Inputs!$F$7="TRUE",Inputs!$F$7=1),(-2*((1000*((((Inputs!$I$7+(((A27)+1)/2)*(Inputs!$J$7-Inputs!$I$7)))*Inputs!$C$11+((Inputs!$H$7+Inputs!$L$7*(((Inputs!$I$7+(((A27)+1)/2)*(Inputs!$J$7-Inputs!$I$7)))/Inputs!$K$7)^2))*((2*Inputs!$L$7*((Inputs!$I$7+(((A27)+1)/2)*(Inputs!$J$7-Inputs!$I$7)))/(Inputs!$K$7^2)*Inputs!$C$11)))/(SQRT(((Inputs!$I$7+(((A27)+1)/2)*(Inputs!$J$7-Inputs!$I$7)))^2+Inputs!$C$6^2+((Inputs!$H$7+Inputs!$L$7*(((Inputs!$I$7+(((A27)+1)/2)*(Inputs!$J$7-Inputs!$I$7)))/Inputs!$K$7)^2))^2)))))/Inputs!$C$13),NA())</f>
        <v>2704.6356670825417</v>
      </c>
      <c r="P27" s="9">
        <f>IF(OR(Inputs!$F$8=TRUE,Inputs!$F$8="TRUE",Inputs!$F$8=1),(-2*((1000*((((Inputs!$I$8+(((A27)+1)/2)*(Inputs!$J$8-Inputs!$I$8)))*Inputs!$C$11+((Inputs!$H$8+Inputs!$L$8*(((Inputs!$I$8+(((A27)+1)/2)*(Inputs!$J$8-Inputs!$I$8)))/Inputs!$K$8)^2))*((2*Inputs!$L$8*((Inputs!$I$8+(((A27)+1)/2)*(Inputs!$J$8-Inputs!$I$8)))/(Inputs!$K$8^2)*Inputs!$C$11)))/(SQRT(((Inputs!$I$8+(((A27)+1)/2)*(Inputs!$J$8-Inputs!$I$8)))^2+Inputs!$C$6^2+((Inputs!$H$8+Inputs!$L$8*(((Inputs!$I$8+(((A27)+1)/2)*(Inputs!$J$8-Inputs!$I$8)))/Inputs!$K$8)^2))^2)))))/Inputs!$C$13),NA())</f>
        <v>3297.1926860294288</v>
      </c>
      <c r="Q27" s="9">
        <f>IF(OR(Inputs!$F$9=TRUE,Inputs!$F$9="TRUE",Inputs!$F$9=1),(-2*((1000*((((Inputs!$I$9+(((A27)+1)/2)*(Inputs!$J$9-Inputs!$I$9)))*Inputs!$C$11+((Inputs!$H$9+Inputs!$L$9*(((Inputs!$I$9+(((A27)+1)/2)*(Inputs!$J$9-Inputs!$I$9)))/Inputs!$K$9)^2))*((2*Inputs!$L$9*((Inputs!$I$9+(((A27)+1)/2)*(Inputs!$J$9-Inputs!$I$9)))/(Inputs!$K$9^2)*Inputs!$C$11)))/(SQRT(((Inputs!$I$9+(((A27)+1)/2)*(Inputs!$J$9-Inputs!$I$9)))^2+Inputs!$C$6^2+((Inputs!$H$9+Inputs!$L$9*(((Inputs!$I$9+(((A27)+1)/2)*(Inputs!$J$9-Inputs!$I$9)))/Inputs!$K$9)^2))^2)))))/Inputs!$C$13),NA())</f>
        <v>3316.6603905382922</v>
      </c>
      <c r="R27" s="10"/>
      <c r="S27" s="9">
        <f t="shared" si="2"/>
        <v>-0.79200000000000004</v>
      </c>
      <c r="T27" s="9">
        <f>(Inputs!$I$6+(((A27)+1)/2)*(Inputs!$J$6-Inputs!$I$6))</f>
        <v>-47.52</v>
      </c>
      <c r="U27" s="9">
        <f>(Inputs!$I$7+(((A27)+1)/2)*(Inputs!$J$7-Inputs!$I$7))</f>
        <v>-316.8</v>
      </c>
      <c r="V27" s="9">
        <f>(Inputs!$I$8+(((A27)+1)/2)*(Inputs!$J$8-Inputs!$I$8))</f>
        <v>-633.6</v>
      </c>
      <c r="W27" s="9">
        <f>(Inputs!$I$9+(((A27)+1)/2)*(Inputs!$J$9-Inputs!$I$9))</f>
        <v>-633.6</v>
      </c>
      <c r="X27" s="10"/>
      <c r="Y27" s="9">
        <f t="shared" si="3"/>
        <v>-0.79200000000000004</v>
      </c>
      <c r="Z27" s="9">
        <f>(Inputs!$H$6+Inputs!$L$6*(((Inputs!$I$6+(((A27)+1)/2)*(Inputs!$J$6-Inputs!$I$6)))/Inputs!$K$6)^2)</f>
        <v>402.50905599999999</v>
      </c>
      <c r="AA27" s="9">
        <f>(Inputs!$H$7+Inputs!$L$7*(((Inputs!$I$7+(((A27)+1)/2)*(Inputs!$J$7-Inputs!$I$7)))/Inputs!$K$7)^2)</f>
        <v>263.95136000000002</v>
      </c>
      <c r="AB27" s="9">
        <f>(Inputs!$H$8+Inputs!$L$8*(((Inputs!$I$8+(((A27)+1)/2)*(Inputs!$J$8-Inputs!$I$8)))/Inputs!$K$8)^2)</f>
        <v>640.3097600000001</v>
      </c>
      <c r="AC27" s="9">
        <f>(Inputs!$H$9+Inputs!$L$9*(((Inputs!$I$9+(((A27)+1)/2)*(Inputs!$J$9-Inputs!$I$9)))/Inputs!$K$9)^2)</f>
        <v>636.58240000000001</v>
      </c>
      <c r="AD27" s="10"/>
      <c r="AE27" s="9">
        <f t="shared" si="4"/>
        <v>-0.79200000000000004</v>
      </c>
      <c r="AF27" s="9">
        <f>(((SQRT(((Inputs!$I$6+(((A27)+1)/2)*(Inputs!$J$6-Inputs!$I$6)))^2+Inputs!$C$6^2+((Inputs!$H$6+Inputs!$L$6*(((Inputs!$I$6+(((A27)+1)/2)*(Inputs!$J$6-Inputs!$I$6)))/Inputs!$K$6)^2))^2))-((Inputs!$H$6+Inputs!$L$6*(((Inputs!$I$6+(((A27)+1)/2)*(Inputs!$J$6-Inputs!$I$6)))/Inputs!$K$6)^2)))*1000/Inputs!$C$12)</f>
        <v>2003.1905578278656</v>
      </c>
      <c r="AG27" s="9">
        <f>(((SQRT(((Inputs!$I$7+(((A27)+1)/2)*(Inputs!$J$7-Inputs!$I$7)))^2+Inputs!$C$6^2+((Inputs!$H$7+Inputs!$L$7*(((Inputs!$I$7+(((A27)+1)/2)*(Inputs!$J$7-Inputs!$I$7)))/Inputs!$K$7)^2))^2))-((Inputs!$H$7+Inputs!$L$7*(((Inputs!$I$7+(((A27)+1)/2)*(Inputs!$J$7-Inputs!$I$7)))/Inputs!$K$7)^2)))*1000/Inputs!$C$12)</f>
        <v>83795.416923004086</v>
      </c>
      <c r="AH27" s="9">
        <f>(((SQRT(((Inputs!$I$8+(((A27)+1)/2)*(Inputs!$J$8-Inputs!$I$8)))^2+Inputs!$C$6^2+((Inputs!$H$8+Inputs!$L$8*(((Inputs!$I$8+(((A27)+1)/2)*(Inputs!$J$8-Inputs!$I$8)))/Inputs!$K$8)^2))^2))-((Inputs!$H$8+Inputs!$L$8*(((Inputs!$I$8+(((A27)+1)/2)*(Inputs!$J$8-Inputs!$I$8)))/Inputs!$K$8)^2)))*1000/Inputs!$C$12)</f>
        <v>146539.21948766877</v>
      </c>
      <c r="AI27" s="9">
        <f>(((SQRT(((Inputs!$I$9+(((A27)+1)/2)*(Inputs!$J$9-Inputs!$I$9)))^2+Inputs!$C$6^2+((Inputs!$H$9+Inputs!$L$9*(((Inputs!$I$9+(((A27)+1)/2)*(Inputs!$J$9-Inputs!$I$9)))/Inputs!$K$9)^2))^2))-((Inputs!$H$9+Inputs!$L$9*(((Inputs!$I$9+(((A27)+1)/2)*(Inputs!$J$9-Inputs!$I$9)))/Inputs!$K$9)^2)))*1000/Inputs!$C$12)</f>
        <v>147147.48962548067</v>
      </c>
      <c r="AJ27" s="10"/>
      <c r="AK27" s="9">
        <f t="shared" si="5"/>
        <v>-0.79200000000000004</v>
      </c>
      <c r="AL27" s="9">
        <f>(-2*((1000*((((Inputs!$I$6+(((A27)+1)/2)*(Inputs!$J$6-Inputs!$I$6)))*Inputs!$C$11+((Inputs!$H$6+Inputs!$L$6*(((Inputs!$I$6+(((A27)+1)/2)*(Inputs!$J$6-Inputs!$I$6)))/Inputs!$K$6)^2))*((2*Inputs!$L$6*((Inputs!$I$6+(((A27)+1)/2)*(Inputs!$J$6-Inputs!$I$6)))/(Inputs!$K$6^2)*Inputs!$C$11)))/(SQRT(((Inputs!$I$6+(((A27)+1)/2)*(Inputs!$J$6-Inputs!$I$6)))^2+Inputs!$C$6^2+((Inputs!$H$6+Inputs!$L$6*(((Inputs!$I$6+(((A27)+1)/2)*(Inputs!$J$6-Inputs!$I$6)))/Inputs!$K$6)^2))^2)))))/Inputs!$C$13)</f>
        <v>354.71285854147999</v>
      </c>
      <c r="AM27" s="9">
        <f>(-2*((1000*((((Inputs!$I$7+(((A27)+1)/2)*(Inputs!$J$7-Inputs!$I$7)))*Inputs!$C$11+((Inputs!$H$7+Inputs!$L$7*(((Inputs!$I$7+(((A27)+1)/2)*(Inputs!$J$7-Inputs!$I$7)))/Inputs!$K$7)^2))*((2*Inputs!$L$7*((Inputs!$I$7+(((A27)+1)/2)*(Inputs!$J$7-Inputs!$I$7)))/(Inputs!$K$7^2)*Inputs!$C$11)))/(SQRT(((Inputs!$I$7+(((A27)+1)/2)*(Inputs!$J$7-Inputs!$I$7)))^2+Inputs!$C$6^2+((Inputs!$H$7+Inputs!$L$7*(((Inputs!$I$7+(((A27)+1)/2)*(Inputs!$J$7-Inputs!$I$7)))/Inputs!$K$7)^2))^2)))))/Inputs!$C$13)</f>
        <v>2704.6356670825417</v>
      </c>
      <c r="AN27" s="9">
        <f>(-2*((1000*((((Inputs!$I$8+(((A27)+1)/2)*(Inputs!$J$8-Inputs!$I$8)))*Inputs!$C$11+((Inputs!$H$8+Inputs!$L$8*(((Inputs!$I$8+(((A27)+1)/2)*(Inputs!$J$8-Inputs!$I$8)))/Inputs!$K$8)^2))*((2*Inputs!$L$8*((Inputs!$I$8+(((A27)+1)/2)*(Inputs!$J$8-Inputs!$I$8)))/(Inputs!$K$8^2)*Inputs!$C$11)))/(SQRT(((Inputs!$I$8+(((A27)+1)/2)*(Inputs!$J$8-Inputs!$I$8)))^2+Inputs!$C$6^2+((Inputs!$H$8+Inputs!$L$8*(((Inputs!$I$8+(((A27)+1)/2)*(Inputs!$J$8-Inputs!$I$8)))/Inputs!$K$8)^2))^2)))))/Inputs!$C$13)</f>
        <v>3297.1926860294288</v>
      </c>
      <c r="AO27" s="9">
        <f>(-2*((1000*((((Inputs!$I$9+(((A27)+1)/2)*(Inputs!$J$9-Inputs!$I$9)))*Inputs!$C$11+((Inputs!$H$9+Inputs!$L$9*(((Inputs!$I$9+(((A27)+1)/2)*(Inputs!$J$9-Inputs!$I$9)))/Inputs!$K$9)^2))*((2*Inputs!$L$9*((Inputs!$I$9+(((A27)+1)/2)*(Inputs!$J$9-Inputs!$I$9)))/(Inputs!$K$9^2)*Inputs!$C$11)))/(SQRT(((Inputs!$I$9+(((A27)+1)/2)*(Inputs!$J$9-Inputs!$I$9)))^2+Inputs!$C$6^2+((Inputs!$H$9+Inputs!$L$9*(((Inputs!$I$9+(((A27)+1)/2)*(Inputs!$J$9-Inputs!$I$9)))/Inputs!$K$9)^2))^2)))))/Inputs!$C$13)</f>
        <v>3316.6603905382922</v>
      </c>
    </row>
    <row r="28" spans="1:41">
      <c r="A28" s="9">
        <f>ROUND(-1+26*2/240,3)</f>
        <v>-0.78300000000000003</v>
      </c>
      <c r="B28" s="9">
        <f>IF(OR(Inputs!$F$6=TRUE,Inputs!$F$6="TRUE",Inputs!$F$6=1),(Inputs!$H$6+Inputs!$L$6*(((Inputs!$I$6+(((A28)+1)/2)*(Inputs!$J$6-Inputs!$I$6)))/Inputs!$K$6)^2),NA())</f>
        <v>402.45235600000001</v>
      </c>
      <c r="C28" s="9">
        <f>IF(OR(Inputs!$F$7=TRUE,Inputs!$F$7="TRUE",Inputs!$F$7=1),(Inputs!$H$7+Inputs!$L$7*(((Inputs!$I$7+(((A28)+1)/2)*(Inputs!$J$7-Inputs!$I$7)))/Inputs!$K$7)^2),NA())</f>
        <v>258.77748500000007</v>
      </c>
      <c r="D28" s="9">
        <f>IF(OR(Inputs!$F$8=TRUE,Inputs!$F$8="TRUE",Inputs!$F$8=1),(Inputs!$H$8+Inputs!$L$8*(((Inputs!$I$8+(((A28)+1)/2)*(Inputs!$J$8-Inputs!$I$8)))/Inputs!$K$8)^2),NA())</f>
        <v>626.63088500000026</v>
      </c>
      <c r="E28" s="9">
        <f>IF(OR(Inputs!$F$9=TRUE,Inputs!$F$9="TRUE",Inputs!$F$9=1),(Inputs!$H$9+Inputs!$L$9*(((Inputs!$I$9+(((A28)+1)/2)*(Inputs!$J$9-Inputs!$I$9)))/Inputs!$K$9)^2),NA())</f>
        <v>622.76177500000017</v>
      </c>
      <c r="F28" s="10"/>
      <c r="G28" s="9">
        <f t="shared" si="0"/>
        <v>-0.78300000000000003</v>
      </c>
      <c r="H28" s="9">
        <f>IF(OR(Inputs!$F$6=TRUE,Inputs!$F$6="TRUE",Inputs!$F$6=1),(((SQRT(((Inputs!$I$6+(((A28)+1)/2)*(Inputs!$J$6-Inputs!$I$6)))^2+Inputs!$C$6^2+((Inputs!$H$6+Inputs!$L$6*(((Inputs!$I$6+(((A28)+1)/2)*(Inputs!$J$6-Inputs!$I$6)))/Inputs!$K$6)^2))^2))-((Inputs!$H$6+Inputs!$L$6*(((Inputs!$I$6+(((A28)+1)/2)*(Inputs!$J$6-Inputs!$I$6)))/Inputs!$K$6)^2)))*1000/Inputs!$C$12),NA())</f>
        <v>1968.1630972546204</v>
      </c>
      <c r="I28" s="9">
        <f>IF(OR(Inputs!$F$7=TRUE,Inputs!$F$7="TRUE",Inputs!$F$7=1),(((SQRT(((Inputs!$I$7+(((A28)+1)/2)*(Inputs!$J$7-Inputs!$I$7)))^2+Inputs!$C$6^2+((Inputs!$H$7+Inputs!$L$7*(((Inputs!$I$7+(((A28)+1)/2)*(Inputs!$J$7-Inputs!$I$7)))/Inputs!$K$7)^2))^2))-((Inputs!$H$7+Inputs!$L$7*(((Inputs!$I$7+(((A28)+1)/2)*(Inputs!$J$7-Inputs!$I$7)))/Inputs!$K$7)^2)))*1000/Inputs!$C$12),NA())</f>
        <v>83295.939040311539</v>
      </c>
      <c r="J28" s="9">
        <f>IF(OR(Inputs!$F$8=TRUE,Inputs!$F$8="TRUE",Inputs!$F$8=1),(((SQRT(((Inputs!$I$8+(((A28)+1)/2)*(Inputs!$J$8-Inputs!$I$8)))^2+Inputs!$C$6^2+((Inputs!$H$8+Inputs!$L$8*(((Inputs!$I$8+(((A28)+1)/2)*(Inputs!$J$8-Inputs!$I$8)))/Inputs!$K$8)^2))^2))-((Inputs!$H$8+Inputs!$L$8*(((Inputs!$I$8+(((A28)+1)/2)*(Inputs!$J$8-Inputs!$I$8)))/Inputs!$K$8)^2)))*1000/Inputs!$C$12),NA())</f>
        <v>145926.06398008054</v>
      </c>
      <c r="K28" s="9">
        <f>IF(OR(Inputs!$F$9=TRUE,Inputs!$F$9="TRUE",Inputs!$F$9=1),(((SQRT(((Inputs!$I$9+(((A28)+1)/2)*(Inputs!$J$9-Inputs!$I$9)))^2+Inputs!$C$6^2+((Inputs!$H$9+Inputs!$L$9*(((Inputs!$I$9+(((A28)+1)/2)*(Inputs!$J$9-Inputs!$I$9)))/Inputs!$K$9)^2))^2))-((Inputs!$H$9+Inputs!$L$9*(((Inputs!$I$9+(((A28)+1)/2)*(Inputs!$J$9-Inputs!$I$9)))/Inputs!$K$9)^2)))*1000/Inputs!$C$12),NA())</f>
        <v>146565.42225603643</v>
      </c>
      <c r="L28" s="10"/>
      <c r="M28" s="9">
        <f t="shared" si="1"/>
        <v>-0.78300000000000003</v>
      </c>
      <c r="N28" s="9">
        <f>IF(OR(Inputs!$F$6=TRUE,Inputs!$F$6="TRUE",Inputs!$F$6=1),(-2*((1000*((((Inputs!$I$6+(((A28)+1)/2)*(Inputs!$J$6-Inputs!$I$6)))*Inputs!$C$11+((Inputs!$H$6+Inputs!$L$6*(((Inputs!$I$6+(((A28)+1)/2)*(Inputs!$J$6-Inputs!$I$6)))/Inputs!$K$6)^2))*((2*Inputs!$L$6*((Inputs!$I$6+(((A28)+1)/2)*(Inputs!$J$6-Inputs!$I$6)))/(Inputs!$K$6^2)*Inputs!$C$11)))/(SQRT(((Inputs!$I$6+(((A28)+1)/2)*(Inputs!$J$6-Inputs!$I$6)))^2+Inputs!$C$6^2+((Inputs!$H$6+Inputs!$L$6*(((Inputs!$I$6+(((A28)+1)/2)*(Inputs!$J$6-Inputs!$I$6)))/Inputs!$K$6)^2))^2)))))/Inputs!$C$13),NA())</f>
        <v>350.76153961398614</v>
      </c>
      <c r="O28" s="9">
        <f>IF(OR(Inputs!$F$7=TRUE,Inputs!$F$7="TRUE",Inputs!$F$7=1),(-2*((1000*((((Inputs!$I$7+(((A28)+1)/2)*(Inputs!$J$7-Inputs!$I$7)))*Inputs!$C$11+((Inputs!$H$7+Inputs!$L$7*(((Inputs!$I$7+(((A28)+1)/2)*(Inputs!$J$7-Inputs!$I$7)))/Inputs!$K$7)^2))*((2*Inputs!$L$7*((Inputs!$I$7+(((A28)+1)/2)*(Inputs!$J$7-Inputs!$I$7)))/(Inputs!$K$7^2)*Inputs!$C$11)))/(SQRT(((Inputs!$I$7+(((A28)+1)/2)*(Inputs!$J$7-Inputs!$I$7)))^2+Inputs!$C$6^2+((Inputs!$H$7+Inputs!$L$7*(((Inputs!$I$7+(((A28)+1)/2)*(Inputs!$J$7-Inputs!$I$7)))/Inputs!$K$7)^2))^2)))))/Inputs!$C$13),NA())</f>
        <v>2684.6675101697119</v>
      </c>
      <c r="P28" s="9">
        <f>IF(OR(Inputs!$F$8=TRUE,Inputs!$F$8="TRUE",Inputs!$F$8=1),(-2*((1000*((((Inputs!$I$8+(((A28)+1)/2)*(Inputs!$J$8-Inputs!$I$8)))*Inputs!$C$11+((Inputs!$H$8+Inputs!$L$8*(((Inputs!$I$8+(((A28)+1)/2)*(Inputs!$J$8-Inputs!$I$8)))/Inputs!$K$8)^2))*((2*Inputs!$L$8*((Inputs!$I$8+(((A28)+1)/2)*(Inputs!$J$8-Inputs!$I$8)))/(Inputs!$K$8^2)*Inputs!$C$11)))/(SQRT(((Inputs!$I$8+(((A28)+1)/2)*(Inputs!$J$8-Inputs!$I$8)))^2+Inputs!$C$6^2+((Inputs!$H$8+Inputs!$L$8*(((Inputs!$I$8+(((A28)+1)/2)*(Inputs!$J$8-Inputs!$I$8)))/Inputs!$K$8)^2))^2)))))/Inputs!$C$13),NA())</f>
        <v>3267.4011263563657</v>
      </c>
      <c r="Q28" s="9">
        <f>IF(OR(Inputs!$F$9=TRUE,Inputs!$F$9="TRUE",Inputs!$F$9=1),(-2*((1000*((((Inputs!$I$9+(((A28)+1)/2)*(Inputs!$J$9-Inputs!$I$9)))*Inputs!$C$11+((Inputs!$H$9+Inputs!$L$9*(((Inputs!$I$9+(((A28)+1)/2)*(Inputs!$J$9-Inputs!$I$9)))/Inputs!$K$9)^2))*((2*Inputs!$L$9*((Inputs!$I$9+(((A28)+1)/2)*(Inputs!$J$9-Inputs!$I$9)))/(Inputs!$K$9^2)*Inputs!$C$11)))/(SQRT(((Inputs!$I$9+(((A28)+1)/2)*(Inputs!$J$9-Inputs!$I$9)))^2+Inputs!$C$6^2+((Inputs!$H$9+Inputs!$L$9*(((Inputs!$I$9+(((A28)+1)/2)*(Inputs!$J$9-Inputs!$I$9)))/Inputs!$K$9)^2))^2)))))/Inputs!$C$13),NA())</f>
        <v>3286.3390032924194</v>
      </c>
      <c r="R28" s="10"/>
      <c r="S28" s="9">
        <f t="shared" si="2"/>
        <v>-0.78300000000000003</v>
      </c>
      <c r="T28" s="9">
        <f>(Inputs!$I$6+(((A28)+1)/2)*(Inputs!$J$6-Inputs!$I$6))</f>
        <v>-46.980000000000004</v>
      </c>
      <c r="U28" s="9">
        <f>(Inputs!$I$7+(((A28)+1)/2)*(Inputs!$J$7-Inputs!$I$7))</f>
        <v>-313.20000000000005</v>
      </c>
      <c r="V28" s="9">
        <f>(Inputs!$I$8+(((A28)+1)/2)*(Inputs!$J$8-Inputs!$I$8))</f>
        <v>-626.40000000000009</v>
      </c>
      <c r="W28" s="9">
        <f>(Inputs!$I$9+(((A28)+1)/2)*(Inputs!$J$9-Inputs!$I$9))</f>
        <v>-626.40000000000009</v>
      </c>
      <c r="X28" s="10"/>
      <c r="Y28" s="9">
        <f t="shared" si="3"/>
        <v>-0.78300000000000003</v>
      </c>
      <c r="Z28" s="9">
        <f>(Inputs!$H$6+Inputs!$L$6*(((Inputs!$I$6+(((A28)+1)/2)*(Inputs!$J$6-Inputs!$I$6)))/Inputs!$K$6)^2)</f>
        <v>402.45235600000001</v>
      </c>
      <c r="AA28" s="9">
        <f>(Inputs!$H$7+Inputs!$L$7*(((Inputs!$I$7+(((A28)+1)/2)*(Inputs!$J$7-Inputs!$I$7)))/Inputs!$K$7)^2)</f>
        <v>258.77748500000007</v>
      </c>
      <c r="AB28" s="9">
        <f>(Inputs!$H$8+Inputs!$L$8*(((Inputs!$I$8+(((A28)+1)/2)*(Inputs!$J$8-Inputs!$I$8)))/Inputs!$K$8)^2)</f>
        <v>626.63088500000026</v>
      </c>
      <c r="AC28" s="9">
        <f>(Inputs!$H$9+Inputs!$L$9*(((Inputs!$I$9+(((A28)+1)/2)*(Inputs!$J$9-Inputs!$I$9)))/Inputs!$K$9)^2)</f>
        <v>622.76177500000017</v>
      </c>
      <c r="AD28" s="10"/>
      <c r="AE28" s="9">
        <f t="shared" si="4"/>
        <v>-0.78300000000000003</v>
      </c>
      <c r="AF28" s="9">
        <f>(((SQRT(((Inputs!$I$6+(((A28)+1)/2)*(Inputs!$J$6-Inputs!$I$6)))^2+Inputs!$C$6^2+((Inputs!$H$6+Inputs!$L$6*(((Inputs!$I$6+(((A28)+1)/2)*(Inputs!$J$6-Inputs!$I$6)))/Inputs!$K$6)^2))^2))-((Inputs!$H$6+Inputs!$L$6*(((Inputs!$I$6+(((A28)+1)/2)*(Inputs!$J$6-Inputs!$I$6)))/Inputs!$K$6)^2)))*1000/Inputs!$C$12)</f>
        <v>1968.1630972546204</v>
      </c>
      <c r="AG28" s="9">
        <f>(((SQRT(((Inputs!$I$7+(((A28)+1)/2)*(Inputs!$J$7-Inputs!$I$7)))^2+Inputs!$C$6^2+((Inputs!$H$7+Inputs!$L$7*(((Inputs!$I$7+(((A28)+1)/2)*(Inputs!$J$7-Inputs!$I$7)))/Inputs!$K$7)^2))^2))-((Inputs!$H$7+Inputs!$L$7*(((Inputs!$I$7+(((A28)+1)/2)*(Inputs!$J$7-Inputs!$I$7)))/Inputs!$K$7)^2)))*1000/Inputs!$C$12)</f>
        <v>83295.939040311539</v>
      </c>
      <c r="AH28" s="9">
        <f>(((SQRT(((Inputs!$I$8+(((A28)+1)/2)*(Inputs!$J$8-Inputs!$I$8)))^2+Inputs!$C$6^2+((Inputs!$H$8+Inputs!$L$8*(((Inputs!$I$8+(((A28)+1)/2)*(Inputs!$J$8-Inputs!$I$8)))/Inputs!$K$8)^2))^2))-((Inputs!$H$8+Inputs!$L$8*(((Inputs!$I$8+(((A28)+1)/2)*(Inputs!$J$8-Inputs!$I$8)))/Inputs!$K$8)^2)))*1000/Inputs!$C$12)</f>
        <v>145926.06398008054</v>
      </c>
      <c r="AI28" s="9">
        <f>(((SQRT(((Inputs!$I$9+(((A28)+1)/2)*(Inputs!$J$9-Inputs!$I$9)))^2+Inputs!$C$6^2+((Inputs!$H$9+Inputs!$L$9*(((Inputs!$I$9+(((A28)+1)/2)*(Inputs!$J$9-Inputs!$I$9)))/Inputs!$K$9)^2))^2))-((Inputs!$H$9+Inputs!$L$9*(((Inputs!$I$9+(((A28)+1)/2)*(Inputs!$J$9-Inputs!$I$9)))/Inputs!$K$9)^2)))*1000/Inputs!$C$12)</f>
        <v>146565.42225603643</v>
      </c>
      <c r="AJ28" s="10"/>
      <c r="AK28" s="9">
        <f t="shared" si="5"/>
        <v>-0.78300000000000003</v>
      </c>
      <c r="AL28" s="9">
        <f>(-2*((1000*((((Inputs!$I$6+(((A28)+1)/2)*(Inputs!$J$6-Inputs!$I$6)))*Inputs!$C$11+((Inputs!$H$6+Inputs!$L$6*(((Inputs!$I$6+(((A28)+1)/2)*(Inputs!$J$6-Inputs!$I$6)))/Inputs!$K$6)^2))*((2*Inputs!$L$6*((Inputs!$I$6+(((A28)+1)/2)*(Inputs!$J$6-Inputs!$I$6)))/(Inputs!$K$6^2)*Inputs!$C$11)))/(SQRT(((Inputs!$I$6+(((A28)+1)/2)*(Inputs!$J$6-Inputs!$I$6)))^2+Inputs!$C$6^2+((Inputs!$H$6+Inputs!$L$6*(((Inputs!$I$6+(((A28)+1)/2)*(Inputs!$J$6-Inputs!$I$6)))/Inputs!$K$6)^2))^2)))))/Inputs!$C$13)</f>
        <v>350.76153961398614</v>
      </c>
      <c r="AM28" s="9">
        <f>(-2*((1000*((((Inputs!$I$7+(((A28)+1)/2)*(Inputs!$J$7-Inputs!$I$7)))*Inputs!$C$11+((Inputs!$H$7+Inputs!$L$7*(((Inputs!$I$7+(((A28)+1)/2)*(Inputs!$J$7-Inputs!$I$7)))/Inputs!$K$7)^2))*((2*Inputs!$L$7*((Inputs!$I$7+(((A28)+1)/2)*(Inputs!$J$7-Inputs!$I$7)))/(Inputs!$K$7^2)*Inputs!$C$11)))/(SQRT(((Inputs!$I$7+(((A28)+1)/2)*(Inputs!$J$7-Inputs!$I$7)))^2+Inputs!$C$6^2+((Inputs!$H$7+Inputs!$L$7*(((Inputs!$I$7+(((A28)+1)/2)*(Inputs!$J$7-Inputs!$I$7)))/Inputs!$K$7)^2))^2)))))/Inputs!$C$13)</f>
        <v>2684.6675101697119</v>
      </c>
      <c r="AN28" s="9">
        <f>(-2*((1000*((((Inputs!$I$8+(((A28)+1)/2)*(Inputs!$J$8-Inputs!$I$8)))*Inputs!$C$11+((Inputs!$H$8+Inputs!$L$8*(((Inputs!$I$8+(((A28)+1)/2)*(Inputs!$J$8-Inputs!$I$8)))/Inputs!$K$8)^2))*((2*Inputs!$L$8*((Inputs!$I$8+(((A28)+1)/2)*(Inputs!$J$8-Inputs!$I$8)))/(Inputs!$K$8^2)*Inputs!$C$11)))/(SQRT(((Inputs!$I$8+(((A28)+1)/2)*(Inputs!$J$8-Inputs!$I$8)))^2+Inputs!$C$6^2+((Inputs!$H$8+Inputs!$L$8*(((Inputs!$I$8+(((A28)+1)/2)*(Inputs!$J$8-Inputs!$I$8)))/Inputs!$K$8)^2))^2)))))/Inputs!$C$13)</f>
        <v>3267.4011263563657</v>
      </c>
      <c r="AO28" s="9">
        <f>(-2*((1000*((((Inputs!$I$9+(((A28)+1)/2)*(Inputs!$J$9-Inputs!$I$9)))*Inputs!$C$11+((Inputs!$H$9+Inputs!$L$9*(((Inputs!$I$9+(((A28)+1)/2)*(Inputs!$J$9-Inputs!$I$9)))/Inputs!$K$9)^2))*((2*Inputs!$L$9*((Inputs!$I$9+(((A28)+1)/2)*(Inputs!$J$9-Inputs!$I$9)))/(Inputs!$K$9^2)*Inputs!$C$11)))/(SQRT(((Inputs!$I$9+(((A28)+1)/2)*(Inputs!$J$9-Inputs!$I$9)))^2+Inputs!$C$6^2+((Inputs!$H$9+Inputs!$L$9*(((Inputs!$I$9+(((A28)+1)/2)*(Inputs!$J$9-Inputs!$I$9)))/Inputs!$K$9)^2))^2)))))/Inputs!$C$13)</f>
        <v>3286.3390032924194</v>
      </c>
    </row>
    <row r="29" spans="1:41">
      <c r="A29" s="9">
        <f>ROUND(-1+27*2/240,3)</f>
        <v>-0.77500000000000002</v>
      </c>
      <c r="B29" s="9">
        <f>IF(OR(Inputs!$F$6=TRUE,Inputs!$F$6="TRUE",Inputs!$F$6=1),(Inputs!$H$6+Inputs!$L$6*(((Inputs!$I$6+(((A29)+1)/2)*(Inputs!$J$6-Inputs!$I$6)))/Inputs!$K$6)^2),NA())</f>
        <v>402.40249999999997</v>
      </c>
      <c r="C29" s="9">
        <f>IF(OR(Inputs!$F$7=TRUE,Inputs!$F$7="TRUE",Inputs!$F$7=1),(Inputs!$H$7+Inputs!$L$7*(((Inputs!$I$7+(((A29)+1)/2)*(Inputs!$J$7-Inputs!$I$7)))/Inputs!$K$7)^2),NA())</f>
        <v>254.22812500000003</v>
      </c>
      <c r="D29" s="9">
        <f>IF(OR(Inputs!$F$8=TRUE,Inputs!$F$8="TRUE",Inputs!$F$8=1),(Inputs!$H$8+Inputs!$L$8*(((Inputs!$I$8+(((A29)+1)/2)*(Inputs!$J$8-Inputs!$I$8)))/Inputs!$K$8)^2),NA())</f>
        <v>614.60312500000009</v>
      </c>
      <c r="E29" s="9">
        <f>IF(OR(Inputs!$F$9=TRUE,Inputs!$F$9="TRUE",Inputs!$F$9=1),(Inputs!$H$9+Inputs!$L$9*(((Inputs!$I$9+(((A29)+1)/2)*(Inputs!$J$9-Inputs!$I$9)))/Inputs!$K$9)^2),NA())</f>
        <v>610.60937500000011</v>
      </c>
      <c r="F29" s="10"/>
      <c r="G29" s="9">
        <f t="shared" si="0"/>
        <v>-0.77500000000000002</v>
      </c>
      <c r="H29" s="9">
        <f>IF(OR(Inputs!$F$6=TRUE,Inputs!$F$6="TRUE",Inputs!$F$6=1),(((SQRT(((Inputs!$I$6+(((A29)+1)/2)*(Inputs!$J$6-Inputs!$I$6)))^2+Inputs!$C$6^2+((Inputs!$H$6+Inputs!$L$6*(((Inputs!$I$6+(((A29)+1)/2)*(Inputs!$J$6-Inputs!$I$6)))/Inputs!$K$6)^2))^2))-((Inputs!$H$6+Inputs!$L$6*(((Inputs!$I$6+(((A29)+1)/2)*(Inputs!$J$6-Inputs!$I$6)))/Inputs!$K$6)^2)))*1000/Inputs!$C$12),NA())</f>
        <v>1937.3511102927434</v>
      </c>
      <c r="I29" s="9">
        <f>IF(OR(Inputs!$F$7=TRUE,Inputs!$F$7="TRUE",Inputs!$F$7=1),(((SQRT(((Inputs!$I$7+(((A29)+1)/2)*(Inputs!$J$7-Inputs!$I$7)))^2+Inputs!$C$6^2+((Inputs!$H$7+Inputs!$L$7*(((Inputs!$I$7+(((A29)+1)/2)*(Inputs!$J$7-Inputs!$I$7)))/Inputs!$K$7)^2))^2))-((Inputs!$H$7+Inputs!$L$7*(((Inputs!$I$7+(((A29)+1)/2)*(Inputs!$J$7-Inputs!$I$7)))/Inputs!$K$7)^2)))*1000/Inputs!$C$12),NA())</f>
        <v>82845.206930347253</v>
      </c>
      <c r="J29" s="9">
        <f>IF(OR(Inputs!$F$8=TRUE,Inputs!$F$8="TRUE",Inputs!$F$8=1),(((SQRT(((Inputs!$I$8+(((A29)+1)/2)*(Inputs!$J$8-Inputs!$I$8)))^2+Inputs!$C$6^2+((Inputs!$H$8+Inputs!$L$8*(((Inputs!$I$8+(((A29)+1)/2)*(Inputs!$J$8-Inputs!$I$8)))/Inputs!$K$8)^2))^2))-((Inputs!$H$8+Inputs!$L$8*(((Inputs!$I$8+(((A29)+1)/2)*(Inputs!$J$8-Inputs!$I$8)))/Inputs!$K$8)^2)))*1000/Inputs!$C$12),NA())</f>
        <v>145370.41765653883</v>
      </c>
      <c r="K29" s="9">
        <f>IF(OR(Inputs!$F$9=TRUE,Inputs!$F$9="TRUE",Inputs!$F$9=1),(((SQRT(((Inputs!$I$9+(((A29)+1)/2)*(Inputs!$J$9-Inputs!$I$9)))^2+Inputs!$C$6^2+((Inputs!$H$9+Inputs!$L$9*(((Inputs!$I$9+(((A29)+1)/2)*(Inputs!$J$9-Inputs!$I$9)))/Inputs!$K$9)^2))^2))-((Inputs!$H$9+Inputs!$L$9*(((Inputs!$I$9+(((A29)+1)/2)*(Inputs!$J$9-Inputs!$I$9)))/Inputs!$K$9)^2)))*1000/Inputs!$C$12),NA())</f>
        <v>146037.77170499746</v>
      </c>
      <c r="L29" s="10"/>
      <c r="M29" s="9">
        <f t="shared" si="1"/>
        <v>-0.77500000000000002</v>
      </c>
      <c r="N29" s="9">
        <f>IF(OR(Inputs!$F$6=TRUE,Inputs!$F$6="TRUE",Inputs!$F$6=1),(-2*((1000*((((Inputs!$I$6+(((A29)+1)/2)*(Inputs!$J$6-Inputs!$I$6)))*Inputs!$C$11+((Inputs!$H$6+Inputs!$L$6*(((Inputs!$I$6+(((A29)+1)/2)*(Inputs!$J$6-Inputs!$I$6)))/Inputs!$K$6)^2))*((2*Inputs!$L$6*((Inputs!$I$6+(((A29)+1)/2)*(Inputs!$J$6-Inputs!$I$6)))/(Inputs!$K$6^2)*Inputs!$C$11)))/(SQRT(((Inputs!$I$6+(((A29)+1)/2)*(Inputs!$J$6-Inputs!$I$6)))^2+Inputs!$C$6^2+((Inputs!$H$6+Inputs!$L$6*(((Inputs!$I$6+(((A29)+1)/2)*(Inputs!$J$6-Inputs!$I$6)))/Inputs!$K$6)^2))^2)))))/Inputs!$C$13),NA())</f>
        <v>347.24702386736624</v>
      </c>
      <c r="O29" s="9">
        <f>IF(OR(Inputs!$F$7=TRUE,Inputs!$F$7="TRUE",Inputs!$F$7=1),(-2*((1000*((((Inputs!$I$7+(((A29)+1)/2)*(Inputs!$J$7-Inputs!$I$7)))*Inputs!$C$11+((Inputs!$H$7+Inputs!$L$7*(((Inputs!$I$7+(((A29)+1)/2)*(Inputs!$J$7-Inputs!$I$7)))/Inputs!$K$7)^2))*((2*Inputs!$L$7*((Inputs!$I$7+(((A29)+1)/2)*(Inputs!$J$7-Inputs!$I$7)))/(Inputs!$K$7^2)*Inputs!$C$11)))/(SQRT(((Inputs!$I$7+(((A29)+1)/2)*(Inputs!$J$7-Inputs!$I$7)))^2+Inputs!$C$6^2+((Inputs!$H$7+Inputs!$L$7*(((Inputs!$I$7+(((A29)+1)/2)*(Inputs!$J$7-Inputs!$I$7)))/Inputs!$K$7)^2))^2)))))/Inputs!$C$13),NA())</f>
        <v>2667.010207924935</v>
      </c>
      <c r="P29" s="9">
        <f>IF(OR(Inputs!$F$8=TRUE,Inputs!$F$8="TRUE",Inputs!$F$8=1),(-2*((1000*((((Inputs!$I$8+(((A29)+1)/2)*(Inputs!$J$8-Inputs!$I$8)))*Inputs!$C$11+((Inputs!$H$8+Inputs!$L$8*(((Inputs!$I$8+(((A29)+1)/2)*(Inputs!$J$8-Inputs!$I$8)))/Inputs!$K$8)^2))*((2*Inputs!$L$8*((Inputs!$I$8+(((A29)+1)/2)*(Inputs!$J$8-Inputs!$I$8)))/(Inputs!$K$8^2)*Inputs!$C$11)))/(SQRT(((Inputs!$I$8+(((A29)+1)/2)*(Inputs!$J$8-Inputs!$I$8)))^2+Inputs!$C$6^2+((Inputs!$H$8+Inputs!$L$8*(((Inputs!$I$8+(((A29)+1)/2)*(Inputs!$J$8-Inputs!$I$8)))/Inputs!$K$8)^2))^2)))))/Inputs!$C$13),NA())</f>
        <v>3241.0200240574936</v>
      </c>
      <c r="Q29" s="9">
        <f>IF(OR(Inputs!$F$9=TRUE,Inputs!$F$9="TRUE",Inputs!$F$9=1),(-2*((1000*((((Inputs!$I$9+(((A29)+1)/2)*(Inputs!$J$9-Inputs!$I$9)))*Inputs!$C$11+((Inputs!$H$9+Inputs!$L$9*(((Inputs!$I$9+(((A29)+1)/2)*(Inputs!$J$9-Inputs!$I$9)))/Inputs!$K$9)^2))*((2*Inputs!$L$9*((Inputs!$I$9+(((A29)+1)/2)*(Inputs!$J$9-Inputs!$I$9)))/(Inputs!$K$9^2)*Inputs!$C$11)))/(SQRT(((Inputs!$I$9+(((A29)+1)/2)*(Inputs!$J$9-Inputs!$I$9)))^2+Inputs!$C$6^2+((Inputs!$H$9+Inputs!$L$9*(((Inputs!$I$9+(((A29)+1)/2)*(Inputs!$J$9-Inputs!$I$9)))/Inputs!$K$9)^2))^2)))))/Inputs!$C$13),NA())</f>
        <v>3259.4857218843458</v>
      </c>
      <c r="R29" s="10"/>
      <c r="S29" s="9">
        <f t="shared" si="2"/>
        <v>-0.77500000000000002</v>
      </c>
      <c r="T29" s="9">
        <f>(Inputs!$I$6+(((A29)+1)/2)*(Inputs!$J$6-Inputs!$I$6))</f>
        <v>-46.5</v>
      </c>
      <c r="U29" s="9">
        <f>(Inputs!$I$7+(((A29)+1)/2)*(Inputs!$J$7-Inputs!$I$7))</f>
        <v>-310</v>
      </c>
      <c r="V29" s="9">
        <f>(Inputs!$I$8+(((A29)+1)/2)*(Inputs!$J$8-Inputs!$I$8))</f>
        <v>-620</v>
      </c>
      <c r="W29" s="9">
        <f>(Inputs!$I$9+(((A29)+1)/2)*(Inputs!$J$9-Inputs!$I$9))</f>
        <v>-620</v>
      </c>
      <c r="X29" s="10"/>
      <c r="Y29" s="9">
        <f t="shared" si="3"/>
        <v>-0.77500000000000002</v>
      </c>
      <c r="Z29" s="9">
        <f>(Inputs!$H$6+Inputs!$L$6*(((Inputs!$I$6+(((A29)+1)/2)*(Inputs!$J$6-Inputs!$I$6)))/Inputs!$K$6)^2)</f>
        <v>402.40249999999997</v>
      </c>
      <c r="AA29" s="9">
        <f>(Inputs!$H$7+Inputs!$L$7*(((Inputs!$I$7+(((A29)+1)/2)*(Inputs!$J$7-Inputs!$I$7)))/Inputs!$K$7)^2)</f>
        <v>254.22812500000003</v>
      </c>
      <c r="AB29" s="9">
        <f>(Inputs!$H$8+Inputs!$L$8*(((Inputs!$I$8+(((A29)+1)/2)*(Inputs!$J$8-Inputs!$I$8)))/Inputs!$K$8)^2)</f>
        <v>614.60312500000009</v>
      </c>
      <c r="AC29" s="9">
        <f>(Inputs!$H$9+Inputs!$L$9*(((Inputs!$I$9+(((A29)+1)/2)*(Inputs!$J$9-Inputs!$I$9)))/Inputs!$K$9)^2)</f>
        <v>610.60937500000011</v>
      </c>
      <c r="AD29" s="10"/>
      <c r="AE29" s="9">
        <f t="shared" si="4"/>
        <v>-0.77500000000000002</v>
      </c>
      <c r="AF29" s="9">
        <f>(((SQRT(((Inputs!$I$6+(((A29)+1)/2)*(Inputs!$J$6-Inputs!$I$6)))^2+Inputs!$C$6^2+((Inputs!$H$6+Inputs!$L$6*(((Inputs!$I$6+(((A29)+1)/2)*(Inputs!$J$6-Inputs!$I$6)))/Inputs!$K$6)^2))^2))-((Inputs!$H$6+Inputs!$L$6*(((Inputs!$I$6+(((A29)+1)/2)*(Inputs!$J$6-Inputs!$I$6)))/Inputs!$K$6)^2)))*1000/Inputs!$C$12)</f>
        <v>1937.3511102927434</v>
      </c>
      <c r="AG29" s="9">
        <f>(((SQRT(((Inputs!$I$7+(((A29)+1)/2)*(Inputs!$J$7-Inputs!$I$7)))^2+Inputs!$C$6^2+((Inputs!$H$7+Inputs!$L$7*(((Inputs!$I$7+(((A29)+1)/2)*(Inputs!$J$7-Inputs!$I$7)))/Inputs!$K$7)^2))^2))-((Inputs!$H$7+Inputs!$L$7*(((Inputs!$I$7+(((A29)+1)/2)*(Inputs!$J$7-Inputs!$I$7)))/Inputs!$K$7)^2)))*1000/Inputs!$C$12)</f>
        <v>82845.206930347253</v>
      </c>
      <c r="AH29" s="9">
        <f>(((SQRT(((Inputs!$I$8+(((A29)+1)/2)*(Inputs!$J$8-Inputs!$I$8)))^2+Inputs!$C$6^2+((Inputs!$H$8+Inputs!$L$8*(((Inputs!$I$8+(((A29)+1)/2)*(Inputs!$J$8-Inputs!$I$8)))/Inputs!$K$8)^2))^2))-((Inputs!$H$8+Inputs!$L$8*(((Inputs!$I$8+(((A29)+1)/2)*(Inputs!$J$8-Inputs!$I$8)))/Inputs!$K$8)^2)))*1000/Inputs!$C$12)</f>
        <v>145370.41765653883</v>
      </c>
      <c r="AI29" s="9">
        <f>(((SQRT(((Inputs!$I$9+(((A29)+1)/2)*(Inputs!$J$9-Inputs!$I$9)))^2+Inputs!$C$6^2+((Inputs!$H$9+Inputs!$L$9*(((Inputs!$I$9+(((A29)+1)/2)*(Inputs!$J$9-Inputs!$I$9)))/Inputs!$K$9)^2))^2))-((Inputs!$H$9+Inputs!$L$9*(((Inputs!$I$9+(((A29)+1)/2)*(Inputs!$J$9-Inputs!$I$9)))/Inputs!$K$9)^2)))*1000/Inputs!$C$12)</f>
        <v>146037.77170499746</v>
      </c>
      <c r="AJ29" s="10"/>
      <c r="AK29" s="9">
        <f t="shared" si="5"/>
        <v>-0.77500000000000002</v>
      </c>
      <c r="AL29" s="9">
        <f>(-2*((1000*((((Inputs!$I$6+(((A29)+1)/2)*(Inputs!$J$6-Inputs!$I$6)))*Inputs!$C$11+((Inputs!$H$6+Inputs!$L$6*(((Inputs!$I$6+(((A29)+1)/2)*(Inputs!$J$6-Inputs!$I$6)))/Inputs!$K$6)^2))*((2*Inputs!$L$6*((Inputs!$I$6+(((A29)+1)/2)*(Inputs!$J$6-Inputs!$I$6)))/(Inputs!$K$6^2)*Inputs!$C$11)))/(SQRT(((Inputs!$I$6+(((A29)+1)/2)*(Inputs!$J$6-Inputs!$I$6)))^2+Inputs!$C$6^2+((Inputs!$H$6+Inputs!$L$6*(((Inputs!$I$6+(((A29)+1)/2)*(Inputs!$J$6-Inputs!$I$6)))/Inputs!$K$6)^2))^2)))))/Inputs!$C$13)</f>
        <v>347.24702386736624</v>
      </c>
      <c r="AM29" s="9">
        <f>(-2*((1000*((((Inputs!$I$7+(((A29)+1)/2)*(Inputs!$J$7-Inputs!$I$7)))*Inputs!$C$11+((Inputs!$H$7+Inputs!$L$7*(((Inputs!$I$7+(((A29)+1)/2)*(Inputs!$J$7-Inputs!$I$7)))/Inputs!$K$7)^2))*((2*Inputs!$L$7*((Inputs!$I$7+(((A29)+1)/2)*(Inputs!$J$7-Inputs!$I$7)))/(Inputs!$K$7^2)*Inputs!$C$11)))/(SQRT(((Inputs!$I$7+(((A29)+1)/2)*(Inputs!$J$7-Inputs!$I$7)))^2+Inputs!$C$6^2+((Inputs!$H$7+Inputs!$L$7*(((Inputs!$I$7+(((A29)+1)/2)*(Inputs!$J$7-Inputs!$I$7)))/Inputs!$K$7)^2))^2)))))/Inputs!$C$13)</f>
        <v>2667.010207924935</v>
      </c>
      <c r="AN29" s="9">
        <f>(-2*((1000*((((Inputs!$I$8+(((A29)+1)/2)*(Inputs!$J$8-Inputs!$I$8)))*Inputs!$C$11+((Inputs!$H$8+Inputs!$L$8*(((Inputs!$I$8+(((A29)+1)/2)*(Inputs!$J$8-Inputs!$I$8)))/Inputs!$K$8)^2))*((2*Inputs!$L$8*((Inputs!$I$8+(((A29)+1)/2)*(Inputs!$J$8-Inputs!$I$8)))/(Inputs!$K$8^2)*Inputs!$C$11)))/(SQRT(((Inputs!$I$8+(((A29)+1)/2)*(Inputs!$J$8-Inputs!$I$8)))^2+Inputs!$C$6^2+((Inputs!$H$8+Inputs!$L$8*(((Inputs!$I$8+(((A29)+1)/2)*(Inputs!$J$8-Inputs!$I$8)))/Inputs!$K$8)^2))^2)))))/Inputs!$C$13)</f>
        <v>3241.0200240574936</v>
      </c>
      <c r="AO29" s="9">
        <f>(-2*((1000*((((Inputs!$I$9+(((A29)+1)/2)*(Inputs!$J$9-Inputs!$I$9)))*Inputs!$C$11+((Inputs!$H$9+Inputs!$L$9*(((Inputs!$I$9+(((A29)+1)/2)*(Inputs!$J$9-Inputs!$I$9)))/Inputs!$K$9)^2))*((2*Inputs!$L$9*((Inputs!$I$9+(((A29)+1)/2)*(Inputs!$J$9-Inputs!$I$9)))/(Inputs!$K$9^2)*Inputs!$C$11)))/(SQRT(((Inputs!$I$9+(((A29)+1)/2)*(Inputs!$J$9-Inputs!$I$9)))^2+Inputs!$C$6^2+((Inputs!$H$9+Inputs!$L$9*(((Inputs!$I$9+(((A29)+1)/2)*(Inputs!$J$9-Inputs!$I$9)))/Inputs!$K$9)^2))^2)))))/Inputs!$C$13)</f>
        <v>3259.4857218843458</v>
      </c>
    </row>
    <row r="30" spans="1:41">
      <c r="A30" s="9">
        <f>ROUND(-1+28*2/240,3)</f>
        <v>-0.76700000000000002</v>
      </c>
      <c r="B30" s="9">
        <f>IF(OR(Inputs!$F$6=TRUE,Inputs!$F$6="TRUE",Inputs!$F$6=1),(Inputs!$H$6+Inputs!$L$6*(((Inputs!$I$6+(((A30)+1)/2)*(Inputs!$J$6-Inputs!$I$6)))/Inputs!$K$6)^2),NA())</f>
        <v>402.35315600000001</v>
      </c>
      <c r="C30" s="9">
        <f>IF(OR(Inputs!$F$7=TRUE,Inputs!$F$7="TRUE",Inputs!$F$7=1),(Inputs!$H$7+Inputs!$L$7*(((Inputs!$I$7+(((A30)+1)/2)*(Inputs!$J$7-Inputs!$I$7)))/Inputs!$K$7)^2),NA())</f>
        <v>249.72548500000002</v>
      </c>
      <c r="D30" s="9">
        <f>IF(OR(Inputs!$F$8=TRUE,Inputs!$F$8="TRUE",Inputs!$F$8=1),(Inputs!$H$8+Inputs!$L$8*(((Inputs!$I$8+(((A30)+1)/2)*(Inputs!$J$8-Inputs!$I$8)))/Inputs!$K$8)^2),NA())</f>
        <v>602.69888500000002</v>
      </c>
      <c r="E30" s="9">
        <f>IF(OR(Inputs!$F$9=TRUE,Inputs!$F$9="TRUE",Inputs!$F$9=1),(Inputs!$H$9+Inputs!$L$9*(((Inputs!$I$9+(((A30)+1)/2)*(Inputs!$J$9-Inputs!$I$9)))/Inputs!$K$9)^2),NA())</f>
        <v>598.58177500000011</v>
      </c>
      <c r="F30" s="10"/>
      <c r="G30" s="9">
        <f t="shared" si="0"/>
        <v>-0.76700000000000002</v>
      </c>
      <c r="H30" s="9">
        <f>IF(OR(Inputs!$F$6=TRUE,Inputs!$F$6="TRUE",Inputs!$F$6=1),(((SQRT(((Inputs!$I$6+(((A30)+1)/2)*(Inputs!$J$6-Inputs!$I$6)))^2+Inputs!$C$6^2+((Inputs!$H$6+Inputs!$L$6*(((Inputs!$I$6+(((A30)+1)/2)*(Inputs!$J$6-Inputs!$I$6)))/Inputs!$K$6)^2))^2))-((Inputs!$H$6+Inputs!$L$6*(((Inputs!$I$6+(((A30)+1)/2)*(Inputs!$J$6-Inputs!$I$6)))/Inputs!$K$6)^2)))*1000/Inputs!$C$12),NA())</f>
        <v>1906.8439926586877</v>
      </c>
      <c r="I30" s="9">
        <f>IF(OR(Inputs!$F$7=TRUE,Inputs!$F$7="TRUE",Inputs!$F$7=1),(((SQRT(((Inputs!$I$7+(((A30)+1)/2)*(Inputs!$J$7-Inputs!$I$7)))^2+Inputs!$C$6^2+((Inputs!$H$7+Inputs!$L$7*(((Inputs!$I$7+(((A30)+1)/2)*(Inputs!$J$7-Inputs!$I$7)))/Inputs!$K$7)^2))^2))-((Inputs!$H$7+Inputs!$L$7*(((Inputs!$I$7+(((A30)+1)/2)*(Inputs!$J$7-Inputs!$I$7)))/Inputs!$K$7)^2)))*1000/Inputs!$C$12),NA())</f>
        <v>82388.017991982488</v>
      </c>
      <c r="J30" s="9">
        <f>IF(OR(Inputs!$F$8=TRUE,Inputs!$F$8="TRUE",Inputs!$F$8=1),(((SQRT(((Inputs!$I$8+(((A30)+1)/2)*(Inputs!$J$8-Inputs!$I$8)))^2+Inputs!$C$6^2+((Inputs!$H$8+Inputs!$L$8*(((Inputs!$I$8+(((A30)+1)/2)*(Inputs!$J$8-Inputs!$I$8)))/Inputs!$K$8)^2))^2))-((Inputs!$H$8+Inputs!$L$8*(((Inputs!$I$8+(((A30)+1)/2)*(Inputs!$J$8-Inputs!$I$8)))/Inputs!$K$8)^2)))*1000/Inputs!$C$12),NA())</f>
        <v>144804.55330166392</v>
      </c>
      <c r="K30" s="9">
        <f>IF(OR(Inputs!$F$9=TRUE,Inputs!$F$9="TRUE",Inputs!$F$9=1),(((SQRT(((Inputs!$I$9+(((A30)+1)/2)*(Inputs!$J$9-Inputs!$I$9)))^2+Inputs!$C$6^2+((Inputs!$H$9+Inputs!$L$9*(((Inputs!$I$9+(((A30)+1)/2)*(Inputs!$J$9-Inputs!$I$9)))/Inputs!$K$9)^2))^2))-((Inputs!$H$9+Inputs!$L$9*(((Inputs!$I$9+(((A30)+1)/2)*(Inputs!$J$9-Inputs!$I$9)))/Inputs!$K$9)^2)))*1000/Inputs!$C$12),NA())</f>
        <v>145500.24634663132</v>
      </c>
      <c r="L30" s="10"/>
      <c r="M30" s="9">
        <f t="shared" si="1"/>
        <v>-0.76700000000000002</v>
      </c>
      <c r="N30" s="9">
        <f>IF(OR(Inputs!$F$6=TRUE,Inputs!$F$6="TRUE",Inputs!$F$6=1),(-2*((1000*((((Inputs!$I$6+(((A30)+1)/2)*(Inputs!$J$6-Inputs!$I$6)))*Inputs!$C$11+((Inputs!$H$6+Inputs!$L$6*(((Inputs!$I$6+(((A30)+1)/2)*(Inputs!$J$6-Inputs!$I$6)))/Inputs!$K$6)^2))*((2*Inputs!$L$6*((Inputs!$I$6+(((A30)+1)/2)*(Inputs!$J$6-Inputs!$I$6)))/(Inputs!$K$6^2)*Inputs!$C$11)))/(SQRT(((Inputs!$I$6+(((A30)+1)/2)*(Inputs!$J$6-Inputs!$I$6)))^2+Inputs!$C$6^2+((Inputs!$H$6+Inputs!$L$6*(((Inputs!$I$6+(((A30)+1)/2)*(Inputs!$J$6-Inputs!$I$6)))/Inputs!$K$6)^2))^2)))))/Inputs!$C$13),NA())</f>
        <v>343.73042672578498</v>
      </c>
      <c r="O30" s="9">
        <f>IF(OR(Inputs!$F$7=TRUE,Inputs!$F$7="TRUE",Inputs!$F$7=1),(-2*((1000*((((Inputs!$I$7+(((A30)+1)/2)*(Inputs!$J$7-Inputs!$I$7)))*Inputs!$C$11+((Inputs!$H$7+Inputs!$L$7*(((Inputs!$I$7+(((A30)+1)/2)*(Inputs!$J$7-Inputs!$I$7)))/Inputs!$K$7)^2))*((2*Inputs!$L$7*((Inputs!$I$7+(((A30)+1)/2)*(Inputs!$J$7-Inputs!$I$7)))/(Inputs!$K$7^2)*Inputs!$C$11)))/(SQRT(((Inputs!$I$7+(((A30)+1)/2)*(Inputs!$J$7-Inputs!$I$7)))^2+Inputs!$C$6^2+((Inputs!$H$7+Inputs!$L$7*(((Inputs!$I$7+(((A30)+1)/2)*(Inputs!$J$7-Inputs!$I$7)))/Inputs!$K$7)^2))^2)))))/Inputs!$C$13),NA())</f>
        <v>2649.4408571533559</v>
      </c>
      <c r="P30" s="9">
        <f>IF(OR(Inputs!$F$8=TRUE,Inputs!$F$8="TRUE",Inputs!$F$8=1),(-2*((1000*((((Inputs!$I$8+(((A30)+1)/2)*(Inputs!$J$8-Inputs!$I$8)))*Inputs!$C$11+((Inputs!$H$8+Inputs!$L$8*(((Inputs!$I$8+(((A30)+1)/2)*(Inputs!$J$8-Inputs!$I$8)))/Inputs!$K$8)^2))*((2*Inputs!$L$8*((Inputs!$I$8+(((A30)+1)/2)*(Inputs!$J$8-Inputs!$I$8)))/(Inputs!$K$8^2)*Inputs!$C$11)))/(SQRT(((Inputs!$I$8+(((A30)+1)/2)*(Inputs!$J$8-Inputs!$I$8)))^2+Inputs!$C$6^2+((Inputs!$H$8+Inputs!$L$8*(((Inputs!$I$8+(((A30)+1)/2)*(Inputs!$J$8-Inputs!$I$8)))/Inputs!$K$8)^2))^2)))))/Inputs!$C$13),NA())</f>
        <v>3214.7355345645383</v>
      </c>
      <c r="Q30" s="9">
        <f>IF(OR(Inputs!$F$9=TRUE,Inputs!$F$9="TRUE",Inputs!$F$9=1),(-2*((1000*((((Inputs!$I$9+(((A30)+1)/2)*(Inputs!$J$9-Inputs!$I$9)))*Inputs!$C$11+((Inputs!$H$9+Inputs!$L$9*(((Inputs!$I$9+(((A30)+1)/2)*(Inputs!$J$9-Inputs!$I$9)))/Inputs!$K$9)^2))*((2*Inputs!$L$9*((Inputs!$I$9+(((A30)+1)/2)*(Inputs!$J$9-Inputs!$I$9)))/(Inputs!$K$9^2)*Inputs!$C$11)))/(SQRT(((Inputs!$I$9+(((A30)+1)/2)*(Inputs!$J$9-Inputs!$I$9)))^2+Inputs!$C$6^2+((Inputs!$H$9+Inputs!$L$9*(((Inputs!$I$9+(((A30)+1)/2)*(Inputs!$J$9-Inputs!$I$9)))/Inputs!$K$9)^2))^2)))))/Inputs!$C$13),NA())</f>
        <v>3232.7279498161888</v>
      </c>
      <c r="R30" s="10"/>
      <c r="S30" s="9">
        <f t="shared" si="2"/>
        <v>-0.76700000000000002</v>
      </c>
      <c r="T30" s="9">
        <f>(Inputs!$I$6+(((A30)+1)/2)*(Inputs!$J$6-Inputs!$I$6))</f>
        <v>-46.02</v>
      </c>
      <c r="U30" s="9">
        <f>(Inputs!$I$7+(((A30)+1)/2)*(Inputs!$J$7-Inputs!$I$7))</f>
        <v>-306.8</v>
      </c>
      <c r="V30" s="9">
        <f>(Inputs!$I$8+(((A30)+1)/2)*(Inputs!$J$8-Inputs!$I$8))</f>
        <v>-613.6</v>
      </c>
      <c r="W30" s="9">
        <f>(Inputs!$I$9+(((A30)+1)/2)*(Inputs!$J$9-Inputs!$I$9))</f>
        <v>-613.6</v>
      </c>
      <c r="X30" s="10"/>
      <c r="Y30" s="9">
        <f t="shared" si="3"/>
        <v>-0.76700000000000002</v>
      </c>
      <c r="Z30" s="9">
        <f>(Inputs!$H$6+Inputs!$L$6*(((Inputs!$I$6+(((A30)+1)/2)*(Inputs!$J$6-Inputs!$I$6)))/Inputs!$K$6)^2)</f>
        <v>402.35315600000001</v>
      </c>
      <c r="AA30" s="9">
        <f>(Inputs!$H$7+Inputs!$L$7*(((Inputs!$I$7+(((A30)+1)/2)*(Inputs!$J$7-Inputs!$I$7)))/Inputs!$K$7)^2)</f>
        <v>249.72548500000002</v>
      </c>
      <c r="AB30" s="9">
        <f>(Inputs!$H$8+Inputs!$L$8*(((Inputs!$I$8+(((A30)+1)/2)*(Inputs!$J$8-Inputs!$I$8)))/Inputs!$K$8)^2)</f>
        <v>602.69888500000002</v>
      </c>
      <c r="AC30" s="9">
        <f>(Inputs!$H$9+Inputs!$L$9*(((Inputs!$I$9+(((A30)+1)/2)*(Inputs!$J$9-Inputs!$I$9)))/Inputs!$K$9)^2)</f>
        <v>598.58177500000011</v>
      </c>
      <c r="AD30" s="10"/>
      <c r="AE30" s="9">
        <f t="shared" si="4"/>
        <v>-0.76700000000000002</v>
      </c>
      <c r="AF30" s="9">
        <f>(((SQRT(((Inputs!$I$6+(((A30)+1)/2)*(Inputs!$J$6-Inputs!$I$6)))^2+Inputs!$C$6^2+((Inputs!$H$6+Inputs!$L$6*(((Inputs!$I$6+(((A30)+1)/2)*(Inputs!$J$6-Inputs!$I$6)))/Inputs!$K$6)^2))^2))-((Inputs!$H$6+Inputs!$L$6*(((Inputs!$I$6+(((A30)+1)/2)*(Inputs!$J$6-Inputs!$I$6)))/Inputs!$K$6)^2)))*1000/Inputs!$C$12)</f>
        <v>1906.8439926586877</v>
      </c>
      <c r="AG30" s="9">
        <f>(((SQRT(((Inputs!$I$7+(((A30)+1)/2)*(Inputs!$J$7-Inputs!$I$7)))^2+Inputs!$C$6^2+((Inputs!$H$7+Inputs!$L$7*(((Inputs!$I$7+(((A30)+1)/2)*(Inputs!$J$7-Inputs!$I$7)))/Inputs!$K$7)^2))^2))-((Inputs!$H$7+Inputs!$L$7*(((Inputs!$I$7+(((A30)+1)/2)*(Inputs!$J$7-Inputs!$I$7)))/Inputs!$K$7)^2)))*1000/Inputs!$C$12)</f>
        <v>82388.017991982488</v>
      </c>
      <c r="AH30" s="9">
        <f>(((SQRT(((Inputs!$I$8+(((A30)+1)/2)*(Inputs!$J$8-Inputs!$I$8)))^2+Inputs!$C$6^2+((Inputs!$H$8+Inputs!$L$8*(((Inputs!$I$8+(((A30)+1)/2)*(Inputs!$J$8-Inputs!$I$8)))/Inputs!$K$8)^2))^2))-((Inputs!$H$8+Inputs!$L$8*(((Inputs!$I$8+(((A30)+1)/2)*(Inputs!$J$8-Inputs!$I$8)))/Inputs!$K$8)^2)))*1000/Inputs!$C$12)</f>
        <v>144804.55330166392</v>
      </c>
      <c r="AI30" s="9">
        <f>(((SQRT(((Inputs!$I$9+(((A30)+1)/2)*(Inputs!$J$9-Inputs!$I$9)))^2+Inputs!$C$6^2+((Inputs!$H$9+Inputs!$L$9*(((Inputs!$I$9+(((A30)+1)/2)*(Inputs!$J$9-Inputs!$I$9)))/Inputs!$K$9)^2))^2))-((Inputs!$H$9+Inputs!$L$9*(((Inputs!$I$9+(((A30)+1)/2)*(Inputs!$J$9-Inputs!$I$9)))/Inputs!$K$9)^2)))*1000/Inputs!$C$12)</f>
        <v>145500.24634663132</v>
      </c>
      <c r="AJ30" s="10"/>
      <c r="AK30" s="9">
        <f t="shared" si="5"/>
        <v>-0.76700000000000002</v>
      </c>
      <c r="AL30" s="9">
        <f>(-2*((1000*((((Inputs!$I$6+(((A30)+1)/2)*(Inputs!$J$6-Inputs!$I$6)))*Inputs!$C$11+((Inputs!$H$6+Inputs!$L$6*(((Inputs!$I$6+(((A30)+1)/2)*(Inputs!$J$6-Inputs!$I$6)))/Inputs!$K$6)^2))*((2*Inputs!$L$6*((Inputs!$I$6+(((A30)+1)/2)*(Inputs!$J$6-Inputs!$I$6)))/(Inputs!$K$6^2)*Inputs!$C$11)))/(SQRT(((Inputs!$I$6+(((A30)+1)/2)*(Inputs!$J$6-Inputs!$I$6)))^2+Inputs!$C$6^2+((Inputs!$H$6+Inputs!$L$6*(((Inputs!$I$6+(((A30)+1)/2)*(Inputs!$J$6-Inputs!$I$6)))/Inputs!$K$6)^2))^2)))))/Inputs!$C$13)</f>
        <v>343.73042672578498</v>
      </c>
      <c r="AM30" s="9">
        <f>(-2*((1000*((((Inputs!$I$7+(((A30)+1)/2)*(Inputs!$J$7-Inputs!$I$7)))*Inputs!$C$11+((Inputs!$H$7+Inputs!$L$7*(((Inputs!$I$7+(((A30)+1)/2)*(Inputs!$J$7-Inputs!$I$7)))/Inputs!$K$7)^2))*((2*Inputs!$L$7*((Inputs!$I$7+(((A30)+1)/2)*(Inputs!$J$7-Inputs!$I$7)))/(Inputs!$K$7^2)*Inputs!$C$11)))/(SQRT(((Inputs!$I$7+(((A30)+1)/2)*(Inputs!$J$7-Inputs!$I$7)))^2+Inputs!$C$6^2+((Inputs!$H$7+Inputs!$L$7*(((Inputs!$I$7+(((A30)+1)/2)*(Inputs!$J$7-Inputs!$I$7)))/Inputs!$K$7)^2))^2)))))/Inputs!$C$13)</f>
        <v>2649.4408571533559</v>
      </c>
      <c r="AN30" s="9">
        <f>(-2*((1000*((((Inputs!$I$8+(((A30)+1)/2)*(Inputs!$J$8-Inputs!$I$8)))*Inputs!$C$11+((Inputs!$H$8+Inputs!$L$8*(((Inputs!$I$8+(((A30)+1)/2)*(Inputs!$J$8-Inputs!$I$8)))/Inputs!$K$8)^2))*((2*Inputs!$L$8*((Inputs!$I$8+(((A30)+1)/2)*(Inputs!$J$8-Inputs!$I$8)))/(Inputs!$K$8^2)*Inputs!$C$11)))/(SQRT(((Inputs!$I$8+(((A30)+1)/2)*(Inputs!$J$8-Inputs!$I$8)))^2+Inputs!$C$6^2+((Inputs!$H$8+Inputs!$L$8*(((Inputs!$I$8+(((A30)+1)/2)*(Inputs!$J$8-Inputs!$I$8)))/Inputs!$K$8)^2))^2)))))/Inputs!$C$13)</f>
        <v>3214.7355345645383</v>
      </c>
      <c r="AO30" s="9">
        <f>(-2*((1000*((((Inputs!$I$9+(((A30)+1)/2)*(Inputs!$J$9-Inputs!$I$9)))*Inputs!$C$11+((Inputs!$H$9+Inputs!$L$9*(((Inputs!$I$9+(((A30)+1)/2)*(Inputs!$J$9-Inputs!$I$9)))/Inputs!$K$9)^2))*((2*Inputs!$L$9*((Inputs!$I$9+(((A30)+1)/2)*(Inputs!$J$9-Inputs!$I$9)))/(Inputs!$K$9^2)*Inputs!$C$11)))/(SQRT(((Inputs!$I$9+(((A30)+1)/2)*(Inputs!$J$9-Inputs!$I$9)))^2+Inputs!$C$6^2+((Inputs!$H$9+Inputs!$L$9*(((Inputs!$I$9+(((A30)+1)/2)*(Inputs!$J$9-Inputs!$I$9)))/Inputs!$K$9)^2))^2)))))/Inputs!$C$13)</f>
        <v>3232.7279498161888</v>
      </c>
    </row>
    <row r="31" spans="1:41">
      <c r="A31" s="9">
        <f>ROUND(-1+29*2/240,3)</f>
        <v>-0.75800000000000001</v>
      </c>
      <c r="B31" s="9">
        <f>IF(OR(Inputs!$F$6=TRUE,Inputs!$F$6="TRUE",Inputs!$F$6=1),(Inputs!$H$6+Inputs!$L$6*(((Inputs!$I$6+(((A31)+1)/2)*(Inputs!$J$6-Inputs!$I$6)))/Inputs!$K$6)^2),NA())</f>
        <v>402.29825599999998</v>
      </c>
      <c r="C31" s="9">
        <f>IF(OR(Inputs!$F$7=TRUE,Inputs!$F$7="TRUE",Inputs!$F$7=1),(Inputs!$H$7+Inputs!$L$7*(((Inputs!$I$7+(((A31)+1)/2)*(Inputs!$J$7-Inputs!$I$7)))/Inputs!$K$7)^2),NA())</f>
        <v>244.71585999999999</v>
      </c>
      <c r="D31" s="9">
        <f>IF(OR(Inputs!$F$8=TRUE,Inputs!$F$8="TRUE",Inputs!$F$8=1),(Inputs!$H$8+Inputs!$L$8*(((Inputs!$I$8+(((A31)+1)/2)*(Inputs!$J$8-Inputs!$I$8)))/Inputs!$K$8)^2),NA())</f>
        <v>589.45425999999998</v>
      </c>
      <c r="E31" s="9">
        <f>IF(OR(Inputs!$F$9=TRUE,Inputs!$F$9="TRUE",Inputs!$F$9=1),(Inputs!$H$9+Inputs!$L$9*(((Inputs!$I$9+(((A31)+1)/2)*(Inputs!$J$9-Inputs!$I$9)))/Inputs!$K$9)^2),NA())</f>
        <v>585.19989999999996</v>
      </c>
      <c r="F31" s="10"/>
      <c r="G31" s="9">
        <f t="shared" si="0"/>
        <v>-0.75800000000000001</v>
      </c>
      <c r="H31" s="9">
        <f>IF(OR(Inputs!$F$6=TRUE,Inputs!$F$6="TRUE",Inputs!$F$6=1),(((SQRT(((Inputs!$I$6+(((A31)+1)/2)*(Inputs!$J$6-Inputs!$I$6)))^2+Inputs!$C$6^2+((Inputs!$H$6+Inputs!$L$6*(((Inputs!$I$6+(((A31)+1)/2)*(Inputs!$J$6-Inputs!$I$6)))/Inputs!$K$6)^2))^2))-((Inputs!$H$6+Inputs!$L$6*(((Inputs!$I$6+(((A31)+1)/2)*(Inputs!$J$6-Inputs!$I$6)))/Inputs!$K$6)^2)))*1000/Inputs!$C$12),NA())</f>
        <v>1872.8883341218011</v>
      </c>
      <c r="I31" s="9">
        <f>IF(OR(Inputs!$F$7=TRUE,Inputs!$F$7="TRUE",Inputs!$F$7=1),(((SQRT(((Inputs!$I$7+(((A31)+1)/2)*(Inputs!$J$7-Inputs!$I$7)))^2+Inputs!$C$6^2+((Inputs!$H$7+Inputs!$L$7*(((Inputs!$I$7+(((A31)+1)/2)*(Inputs!$J$7-Inputs!$I$7)))/Inputs!$K$7)^2))^2))-((Inputs!$H$7+Inputs!$L$7*(((Inputs!$I$7+(((A31)+1)/2)*(Inputs!$J$7-Inputs!$I$7)))/Inputs!$K$7)^2)))*1000/Inputs!$C$12),NA())</f>
        <v>81865.838605921046</v>
      </c>
      <c r="J31" s="9">
        <f>IF(OR(Inputs!$F$8=TRUE,Inputs!$F$8="TRUE",Inputs!$F$8=1),(((SQRT(((Inputs!$I$8+(((A31)+1)/2)*(Inputs!$J$8-Inputs!$I$8)))^2+Inputs!$C$6^2+((Inputs!$H$8+Inputs!$L$8*(((Inputs!$I$8+(((A31)+1)/2)*(Inputs!$J$8-Inputs!$I$8)))/Inputs!$K$8)^2))^2))-((Inputs!$H$8+Inputs!$L$8*(((Inputs!$I$8+(((A31)+1)/2)*(Inputs!$J$8-Inputs!$I$8)))/Inputs!$K$8)^2)))*1000/Inputs!$C$12),NA())</f>
        <v>144155.46860033617</v>
      </c>
      <c r="K31" s="9">
        <f>IF(OR(Inputs!$F$9=TRUE,Inputs!$F$9="TRUE",Inputs!$F$9=1),(((SQRT(((Inputs!$I$9+(((A31)+1)/2)*(Inputs!$J$9-Inputs!$I$9)))^2+Inputs!$C$6^2+((Inputs!$H$9+Inputs!$L$9*(((Inputs!$I$9+(((A31)+1)/2)*(Inputs!$J$9-Inputs!$I$9)))/Inputs!$K$9)^2))^2))-((Inputs!$H$9+Inputs!$L$9*(((Inputs!$I$9+(((A31)+1)/2)*(Inputs!$J$9-Inputs!$I$9)))/Inputs!$K$9)^2)))*1000/Inputs!$C$12),NA())</f>
        <v>144883.45629326784</v>
      </c>
      <c r="L31" s="10"/>
      <c r="M31" s="9">
        <f t="shared" si="1"/>
        <v>-0.75800000000000001</v>
      </c>
      <c r="N31" s="9">
        <f>IF(OR(Inputs!$F$6=TRUE,Inputs!$F$6="TRUE",Inputs!$F$6=1),(-2*((1000*((((Inputs!$I$6+(((A31)+1)/2)*(Inputs!$J$6-Inputs!$I$6)))*Inputs!$C$11+((Inputs!$H$6+Inputs!$L$6*(((Inputs!$I$6+(((A31)+1)/2)*(Inputs!$J$6-Inputs!$I$6)))/Inputs!$K$6)^2))*((2*Inputs!$L$6*((Inputs!$I$6+(((A31)+1)/2)*(Inputs!$J$6-Inputs!$I$6)))/(Inputs!$K$6^2)*Inputs!$C$11)))/(SQRT(((Inputs!$I$6+(((A31)+1)/2)*(Inputs!$J$6-Inputs!$I$6)))^2+Inputs!$C$6^2+((Inputs!$H$6+Inputs!$L$6*(((Inputs!$I$6+(((A31)+1)/2)*(Inputs!$J$6-Inputs!$I$6)))/Inputs!$K$6)^2))^2)))))/Inputs!$C$13),NA())</f>
        <v>339.77179049762293</v>
      </c>
      <c r="O31" s="9">
        <f>IF(OR(Inputs!$F$7=TRUE,Inputs!$F$7="TRUE",Inputs!$F$7=1),(-2*((1000*((((Inputs!$I$7+(((A31)+1)/2)*(Inputs!$J$7-Inputs!$I$7)))*Inputs!$C$11+((Inputs!$H$7+Inputs!$L$7*(((Inputs!$I$7+(((A31)+1)/2)*(Inputs!$J$7-Inputs!$I$7)))/Inputs!$K$7)^2))*((2*Inputs!$L$7*((Inputs!$I$7+(((A31)+1)/2)*(Inputs!$J$7-Inputs!$I$7)))/(Inputs!$K$7^2)*Inputs!$C$11)))/(SQRT(((Inputs!$I$7+(((A31)+1)/2)*(Inputs!$J$7-Inputs!$I$7)))^2+Inputs!$C$6^2+((Inputs!$H$7+Inputs!$L$7*(((Inputs!$I$7+(((A31)+1)/2)*(Inputs!$J$7-Inputs!$I$7)))/Inputs!$K$7)^2))^2)))))/Inputs!$C$13),NA())</f>
        <v>2629.7819039981837</v>
      </c>
      <c r="P31" s="9">
        <f>IF(OR(Inputs!$F$8=TRUE,Inputs!$F$8="TRUE",Inputs!$F$8=1),(-2*((1000*((((Inputs!$I$8+(((A31)+1)/2)*(Inputs!$J$8-Inputs!$I$8)))*Inputs!$C$11+((Inputs!$H$8+Inputs!$L$8*(((Inputs!$I$8+(((A31)+1)/2)*(Inputs!$J$8-Inputs!$I$8)))/Inputs!$K$8)^2))*((2*Inputs!$L$8*((Inputs!$I$8+(((A31)+1)/2)*(Inputs!$J$8-Inputs!$I$8)))/(Inputs!$K$8^2)*Inputs!$C$11)))/(SQRT(((Inputs!$I$8+(((A31)+1)/2)*(Inputs!$J$8-Inputs!$I$8)))^2+Inputs!$C$6^2+((Inputs!$H$8+Inputs!$L$8*(((Inputs!$I$8+(((A31)+1)/2)*(Inputs!$J$8-Inputs!$I$8)))/Inputs!$K$8)^2))^2)))))/Inputs!$C$13),NA())</f>
        <v>3185.2836874072432</v>
      </c>
      <c r="Q31" s="9">
        <f>IF(OR(Inputs!$F$9=TRUE,Inputs!$F$9="TRUE",Inputs!$F$9=1),(-2*((1000*((((Inputs!$I$9+(((A31)+1)/2)*(Inputs!$J$9-Inputs!$I$9)))*Inputs!$C$11+((Inputs!$H$9+Inputs!$L$9*(((Inputs!$I$9+(((A31)+1)/2)*(Inputs!$J$9-Inputs!$I$9)))/Inputs!$K$9)^2))*((2*Inputs!$L$9*((Inputs!$I$9+(((A31)+1)/2)*(Inputs!$J$9-Inputs!$I$9)))/(Inputs!$K$9^2)*Inputs!$C$11)))/(SQRT(((Inputs!$I$9+(((A31)+1)/2)*(Inputs!$J$9-Inputs!$I$9)))^2+Inputs!$C$6^2+((Inputs!$H$9+Inputs!$L$9*(((Inputs!$I$9+(((A31)+1)/2)*(Inputs!$J$9-Inputs!$I$9)))/Inputs!$K$9)^2))^2)))))/Inputs!$C$13),NA())</f>
        <v>3202.7424007029217</v>
      </c>
      <c r="R31" s="10"/>
      <c r="S31" s="9">
        <f t="shared" si="2"/>
        <v>-0.75800000000000001</v>
      </c>
      <c r="T31" s="9">
        <f>(Inputs!$I$6+(((A31)+1)/2)*(Inputs!$J$6-Inputs!$I$6))</f>
        <v>-45.480000000000004</v>
      </c>
      <c r="U31" s="9">
        <f>(Inputs!$I$7+(((A31)+1)/2)*(Inputs!$J$7-Inputs!$I$7))</f>
        <v>-303.2</v>
      </c>
      <c r="V31" s="9">
        <f>(Inputs!$I$8+(((A31)+1)/2)*(Inputs!$J$8-Inputs!$I$8))</f>
        <v>-606.4</v>
      </c>
      <c r="W31" s="9">
        <f>(Inputs!$I$9+(((A31)+1)/2)*(Inputs!$J$9-Inputs!$I$9))</f>
        <v>-606.4</v>
      </c>
      <c r="X31" s="10"/>
      <c r="Y31" s="9">
        <f t="shared" si="3"/>
        <v>-0.75800000000000001</v>
      </c>
      <c r="Z31" s="9">
        <f>(Inputs!$H$6+Inputs!$L$6*(((Inputs!$I$6+(((A31)+1)/2)*(Inputs!$J$6-Inputs!$I$6)))/Inputs!$K$6)^2)</f>
        <v>402.29825599999998</v>
      </c>
      <c r="AA31" s="9">
        <f>(Inputs!$H$7+Inputs!$L$7*(((Inputs!$I$7+(((A31)+1)/2)*(Inputs!$J$7-Inputs!$I$7)))/Inputs!$K$7)^2)</f>
        <v>244.71585999999999</v>
      </c>
      <c r="AB31" s="9">
        <f>(Inputs!$H$8+Inputs!$L$8*(((Inputs!$I$8+(((A31)+1)/2)*(Inputs!$J$8-Inputs!$I$8)))/Inputs!$K$8)^2)</f>
        <v>589.45425999999998</v>
      </c>
      <c r="AC31" s="9">
        <f>(Inputs!$H$9+Inputs!$L$9*(((Inputs!$I$9+(((A31)+1)/2)*(Inputs!$J$9-Inputs!$I$9)))/Inputs!$K$9)^2)</f>
        <v>585.19989999999996</v>
      </c>
      <c r="AD31" s="10"/>
      <c r="AE31" s="9">
        <f t="shared" si="4"/>
        <v>-0.75800000000000001</v>
      </c>
      <c r="AF31" s="9">
        <f>(((SQRT(((Inputs!$I$6+(((A31)+1)/2)*(Inputs!$J$6-Inputs!$I$6)))^2+Inputs!$C$6^2+((Inputs!$H$6+Inputs!$L$6*(((Inputs!$I$6+(((A31)+1)/2)*(Inputs!$J$6-Inputs!$I$6)))/Inputs!$K$6)^2))^2))-((Inputs!$H$6+Inputs!$L$6*(((Inputs!$I$6+(((A31)+1)/2)*(Inputs!$J$6-Inputs!$I$6)))/Inputs!$K$6)^2)))*1000/Inputs!$C$12)</f>
        <v>1872.8883341218011</v>
      </c>
      <c r="AG31" s="9">
        <f>(((SQRT(((Inputs!$I$7+(((A31)+1)/2)*(Inputs!$J$7-Inputs!$I$7)))^2+Inputs!$C$6^2+((Inputs!$H$7+Inputs!$L$7*(((Inputs!$I$7+(((A31)+1)/2)*(Inputs!$J$7-Inputs!$I$7)))/Inputs!$K$7)^2))^2))-((Inputs!$H$7+Inputs!$L$7*(((Inputs!$I$7+(((A31)+1)/2)*(Inputs!$J$7-Inputs!$I$7)))/Inputs!$K$7)^2)))*1000/Inputs!$C$12)</f>
        <v>81865.838605921046</v>
      </c>
      <c r="AH31" s="9">
        <f>(((SQRT(((Inputs!$I$8+(((A31)+1)/2)*(Inputs!$J$8-Inputs!$I$8)))^2+Inputs!$C$6^2+((Inputs!$H$8+Inputs!$L$8*(((Inputs!$I$8+(((A31)+1)/2)*(Inputs!$J$8-Inputs!$I$8)))/Inputs!$K$8)^2))^2))-((Inputs!$H$8+Inputs!$L$8*(((Inputs!$I$8+(((A31)+1)/2)*(Inputs!$J$8-Inputs!$I$8)))/Inputs!$K$8)^2)))*1000/Inputs!$C$12)</f>
        <v>144155.46860033617</v>
      </c>
      <c r="AI31" s="9">
        <f>(((SQRT(((Inputs!$I$9+(((A31)+1)/2)*(Inputs!$J$9-Inputs!$I$9)))^2+Inputs!$C$6^2+((Inputs!$H$9+Inputs!$L$9*(((Inputs!$I$9+(((A31)+1)/2)*(Inputs!$J$9-Inputs!$I$9)))/Inputs!$K$9)^2))^2))-((Inputs!$H$9+Inputs!$L$9*(((Inputs!$I$9+(((A31)+1)/2)*(Inputs!$J$9-Inputs!$I$9)))/Inputs!$K$9)^2)))*1000/Inputs!$C$12)</f>
        <v>144883.45629326784</v>
      </c>
      <c r="AJ31" s="10"/>
      <c r="AK31" s="9">
        <f t="shared" si="5"/>
        <v>-0.75800000000000001</v>
      </c>
      <c r="AL31" s="9">
        <f>(-2*((1000*((((Inputs!$I$6+(((A31)+1)/2)*(Inputs!$J$6-Inputs!$I$6)))*Inputs!$C$11+((Inputs!$H$6+Inputs!$L$6*(((Inputs!$I$6+(((A31)+1)/2)*(Inputs!$J$6-Inputs!$I$6)))/Inputs!$K$6)^2))*((2*Inputs!$L$6*((Inputs!$I$6+(((A31)+1)/2)*(Inputs!$J$6-Inputs!$I$6)))/(Inputs!$K$6^2)*Inputs!$C$11)))/(SQRT(((Inputs!$I$6+(((A31)+1)/2)*(Inputs!$J$6-Inputs!$I$6)))^2+Inputs!$C$6^2+((Inputs!$H$6+Inputs!$L$6*(((Inputs!$I$6+(((A31)+1)/2)*(Inputs!$J$6-Inputs!$I$6)))/Inputs!$K$6)^2))^2)))))/Inputs!$C$13)</f>
        <v>339.77179049762293</v>
      </c>
      <c r="AM31" s="9">
        <f>(-2*((1000*((((Inputs!$I$7+(((A31)+1)/2)*(Inputs!$J$7-Inputs!$I$7)))*Inputs!$C$11+((Inputs!$H$7+Inputs!$L$7*(((Inputs!$I$7+(((A31)+1)/2)*(Inputs!$J$7-Inputs!$I$7)))/Inputs!$K$7)^2))*((2*Inputs!$L$7*((Inputs!$I$7+(((A31)+1)/2)*(Inputs!$J$7-Inputs!$I$7)))/(Inputs!$K$7^2)*Inputs!$C$11)))/(SQRT(((Inputs!$I$7+(((A31)+1)/2)*(Inputs!$J$7-Inputs!$I$7)))^2+Inputs!$C$6^2+((Inputs!$H$7+Inputs!$L$7*(((Inputs!$I$7+(((A31)+1)/2)*(Inputs!$J$7-Inputs!$I$7)))/Inputs!$K$7)^2))^2)))))/Inputs!$C$13)</f>
        <v>2629.7819039981837</v>
      </c>
      <c r="AN31" s="9">
        <f>(-2*((1000*((((Inputs!$I$8+(((A31)+1)/2)*(Inputs!$J$8-Inputs!$I$8)))*Inputs!$C$11+((Inputs!$H$8+Inputs!$L$8*(((Inputs!$I$8+(((A31)+1)/2)*(Inputs!$J$8-Inputs!$I$8)))/Inputs!$K$8)^2))*((2*Inputs!$L$8*((Inputs!$I$8+(((A31)+1)/2)*(Inputs!$J$8-Inputs!$I$8)))/(Inputs!$K$8^2)*Inputs!$C$11)))/(SQRT(((Inputs!$I$8+(((A31)+1)/2)*(Inputs!$J$8-Inputs!$I$8)))^2+Inputs!$C$6^2+((Inputs!$H$8+Inputs!$L$8*(((Inputs!$I$8+(((A31)+1)/2)*(Inputs!$J$8-Inputs!$I$8)))/Inputs!$K$8)^2))^2)))))/Inputs!$C$13)</f>
        <v>3185.2836874072432</v>
      </c>
      <c r="AO31" s="9">
        <f>(-2*((1000*((((Inputs!$I$9+(((A31)+1)/2)*(Inputs!$J$9-Inputs!$I$9)))*Inputs!$C$11+((Inputs!$H$9+Inputs!$L$9*(((Inputs!$I$9+(((A31)+1)/2)*(Inputs!$J$9-Inputs!$I$9)))/Inputs!$K$9)^2))*((2*Inputs!$L$9*((Inputs!$I$9+(((A31)+1)/2)*(Inputs!$J$9-Inputs!$I$9)))/(Inputs!$K$9^2)*Inputs!$C$11)))/(SQRT(((Inputs!$I$9+(((A31)+1)/2)*(Inputs!$J$9-Inputs!$I$9)))^2+Inputs!$C$6^2+((Inputs!$H$9+Inputs!$L$9*(((Inputs!$I$9+(((A31)+1)/2)*(Inputs!$J$9-Inputs!$I$9)))/Inputs!$K$9)^2))^2)))))/Inputs!$C$13)</f>
        <v>3202.7424007029217</v>
      </c>
    </row>
    <row r="32" spans="1:41">
      <c r="A32" s="9">
        <f>ROUND(-1+30*2/240,3)</f>
        <v>-0.75</v>
      </c>
      <c r="B32" s="9">
        <f>IF(OR(Inputs!$F$6=TRUE,Inputs!$F$6="TRUE",Inputs!$F$6=1),(Inputs!$H$6+Inputs!$L$6*(((Inputs!$I$6+(((A32)+1)/2)*(Inputs!$J$6-Inputs!$I$6)))/Inputs!$K$6)^2),NA())</f>
        <v>402.25</v>
      </c>
      <c r="C32" s="9">
        <f>IF(OR(Inputs!$F$7=TRUE,Inputs!$F$7="TRUE",Inputs!$F$7=1),(Inputs!$H$7+Inputs!$L$7*(((Inputs!$I$7+(((A32)+1)/2)*(Inputs!$J$7-Inputs!$I$7)))/Inputs!$K$7)^2),NA())</f>
        <v>240.3125</v>
      </c>
      <c r="D32" s="9">
        <f>IF(OR(Inputs!$F$8=TRUE,Inputs!$F$8="TRUE",Inputs!$F$8=1),(Inputs!$H$8+Inputs!$L$8*(((Inputs!$I$8+(((A32)+1)/2)*(Inputs!$J$8-Inputs!$I$8)))/Inputs!$K$8)^2),NA())</f>
        <v>577.8125</v>
      </c>
      <c r="E32" s="9">
        <f>IF(OR(Inputs!$F$9=TRUE,Inputs!$F$9="TRUE",Inputs!$F$9=1),(Inputs!$H$9+Inputs!$L$9*(((Inputs!$I$9+(((A32)+1)/2)*(Inputs!$J$9-Inputs!$I$9)))/Inputs!$K$9)^2),NA())</f>
        <v>573.4375</v>
      </c>
      <c r="F32" s="10"/>
      <c r="G32" s="9">
        <f t="shared" si="0"/>
        <v>-0.75</v>
      </c>
      <c r="H32" s="9">
        <f>IF(OR(Inputs!$F$6=TRUE,Inputs!$F$6="TRUE",Inputs!$F$6=1),(((SQRT(((Inputs!$I$6+(((A32)+1)/2)*(Inputs!$J$6-Inputs!$I$6)))^2+Inputs!$C$6^2+((Inputs!$H$6+Inputs!$L$6*(((Inputs!$I$6+(((A32)+1)/2)*(Inputs!$J$6-Inputs!$I$6)))/Inputs!$K$6)^2))^2))-((Inputs!$H$6+Inputs!$L$6*(((Inputs!$I$6+(((A32)+1)/2)*(Inputs!$J$6-Inputs!$I$6)))/Inputs!$K$6)^2)))*1000/Inputs!$C$12),NA())</f>
        <v>1843.0302193297173</v>
      </c>
      <c r="I32" s="9">
        <f>IF(OR(Inputs!$F$7=TRUE,Inputs!$F$7="TRUE",Inputs!$F$7=1),(((SQRT(((Inputs!$I$7+(((A32)+1)/2)*(Inputs!$J$7-Inputs!$I$7)))^2+Inputs!$C$6^2+((Inputs!$H$7+Inputs!$L$7*(((Inputs!$I$7+(((A32)+1)/2)*(Inputs!$J$7-Inputs!$I$7)))/Inputs!$K$7)^2))^2))-((Inputs!$H$7+Inputs!$L$7*(((Inputs!$I$7+(((A32)+1)/2)*(Inputs!$J$7-Inputs!$I$7)))/Inputs!$K$7)^2)))*1000/Inputs!$C$12),NA())</f>
        <v>81394.597021001231</v>
      </c>
      <c r="J32" s="9">
        <f>IF(OR(Inputs!$F$8=TRUE,Inputs!$F$8="TRUE",Inputs!$F$8=1),(((SQRT(((Inputs!$I$8+(((A32)+1)/2)*(Inputs!$J$8-Inputs!$I$8)))^2+Inputs!$C$6^2+((Inputs!$H$8+Inputs!$L$8*(((Inputs!$I$8+(((A32)+1)/2)*(Inputs!$J$8-Inputs!$I$8)))/Inputs!$K$8)^2))^2))-((Inputs!$H$8+Inputs!$L$8*(((Inputs!$I$8+(((A32)+1)/2)*(Inputs!$J$8-Inputs!$I$8)))/Inputs!$K$8)^2)))*1000/Inputs!$C$12),NA())</f>
        <v>143567.15576745349</v>
      </c>
      <c r="K32" s="9">
        <f>IF(OR(Inputs!$F$9=TRUE,Inputs!$F$9="TRUE",Inputs!$F$9=1),(((SQRT(((Inputs!$I$9+(((A32)+1)/2)*(Inputs!$J$9-Inputs!$I$9)))^2+Inputs!$C$6^2+((Inputs!$H$9+Inputs!$L$9*(((Inputs!$I$9+(((A32)+1)/2)*(Inputs!$J$9-Inputs!$I$9)))/Inputs!$K$9)^2))^2))-((Inputs!$H$9+Inputs!$L$9*(((Inputs!$I$9+(((A32)+1)/2)*(Inputs!$J$9-Inputs!$I$9)))/Inputs!$K$9)^2)))*1000/Inputs!$C$12),NA())</f>
        <v>144324.21972439942</v>
      </c>
      <c r="L32" s="10"/>
      <c r="M32" s="9">
        <f t="shared" si="1"/>
        <v>-0.75</v>
      </c>
      <c r="N32" s="9">
        <f>IF(OR(Inputs!$F$6=TRUE,Inputs!$F$6="TRUE",Inputs!$F$6=1),(-2*((1000*((((Inputs!$I$6+(((A32)+1)/2)*(Inputs!$J$6-Inputs!$I$6)))*Inputs!$C$11+((Inputs!$H$6+Inputs!$L$6*(((Inputs!$I$6+(((A32)+1)/2)*(Inputs!$J$6-Inputs!$I$6)))/Inputs!$K$6)^2))*((2*Inputs!$L$6*((Inputs!$I$6+(((A32)+1)/2)*(Inputs!$J$6-Inputs!$I$6)))/(Inputs!$K$6^2)*Inputs!$C$11)))/(SQRT(((Inputs!$I$6+(((A32)+1)/2)*(Inputs!$J$6-Inputs!$I$6)))^2+Inputs!$C$6^2+((Inputs!$H$6+Inputs!$L$6*(((Inputs!$I$6+(((A32)+1)/2)*(Inputs!$J$6-Inputs!$I$6)))/Inputs!$K$6)^2))^2)))))/Inputs!$C$13),NA())</f>
        <v>336.25083307642097</v>
      </c>
      <c r="O32" s="9">
        <f>IF(OR(Inputs!$F$7=TRUE,Inputs!$F$7="TRUE",Inputs!$F$7=1),(-2*((1000*((((Inputs!$I$7+(((A32)+1)/2)*(Inputs!$J$7-Inputs!$I$7)))*Inputs!$C$11+((Inputs!$H$7+Inputs!$L$7*(((Inputs!$I$7+(((A32)+1)/2)*(Inputs!$J$7-Inputs!$I$7)))/Inputs!$K$7)^2))*((2*Inputs!$L$7*((Inputs!$I$7+(((A32)+1)/2)*(Inputs!$J$7-Inputs!$I$7)))/(Inputs!$K$7^2)*Inputs!$C$11)))/(SQRT(((Inputs!$I$7+(((A32)+1)/2)*(Inputs!$J$7-Inputs!$I$7)))^2+Inputs!$C$6^2+((Inputs!$H$7+Inputs!$L$7*(((Inputs!$I$7+(((A32)+1)/2)*(Inputs!$J$7-Inputs!$I$7)))/Inputs!$K$7)^2))^2)))))/Inputs!$C$13),NA())</f>
        <v>2612.4032800055647</v>
      </c>
      <c r="P32" s="9">
        <f>IF(OR(Inputs!$F$8=TRUE,Inputs!$F$8="TRUE",Inputs!$F$8=1),(-2*((1000*((((Inputs!$I$8+(((A32)+1)/2)*(Inputs!$J$8-Inputs!$I$8)))*Inputs!$C$11+((Inputs!$H$8+Inputs!$L$8*(((Inputs!$I$8+(((A32)+1)/2)*(Inputs!$J$8-Inputs!$I$8)))/Inputs!$K$8)^2))*((2*Inputs!$L$8*((Inputs!$I$8+(((A32)+1)/2)*(Inputs!$J$8-Inputs!$I$8)))/(Inputs!$K$8^2)*Inputs!$C$11)))/(SQRT(((Inputs!$I$8+(((A32)+1)/2)*(Inputs!$J$8-Inputs!$I$8)))^2+Inputs!$C$6^2+((Inputs!$H$8+Inputs!$L$8*(((Inputs!$I$8+(((A32)+1)/2)*(Inputs!$J$8-Inputs!$I$8)))/Inputs!$K$8)^2))^2)))))/Inputs!$C$13),NA())</f>
        <v>3159.2118068361656</v>
      </c>
      <c r="Q32" s="9">
        <f>IF(OR(Inputs!$F$9=TRUE,Inputs!$F$9="TRUE",Inputs!$F$9=1),(-2*((1000*((((Inputs!$I$9+(((A32)+1)/2)*(Inputs!$J$9-Inputs!$I$9)))*Inputs!$C$11+((Inputs!$H$9+Inputs!$L$9*(((Inputs!$I$9+(((A32)+1)/2)*(Inputs!$J$9-Inputs!$I$9)))/Inputs!$K$9)^2))*((2*Inputs!$L$9*((Inputs!$I$9+(((A32)+1)/2)*(Inputs!$J$9-Inputs!$I$9)))/(Inputs!$K$9^2)*Inputs!$C$11)))/(SQRT(((Inputs!$I$9+(((A32)+1)/2)*(Inputs!$J$9-Inputs!$I$9)))^2+Inputs!$C$6^2+((Inputs!$H$9+Inputs!$L$9*(((Inputs!$I$9+(((A32)+1)/2)*(Inputs!$J$9-Inputs!$I$9)))/Inputs!$K$9)^2))^2)))))/Inputs!$C$13),NA())</f>
        <v>3176.1950570460153</v>
      </c>
      <c r="R32" s="10"/>
      <c r="S32" s="9">
        <f t="shared" si="2"/>
        <v>-0.75</v>
      </c>
      <c r="T32" s="9">
        <f>(Inputs!$I$6+(((A32)+1)/2)*(Inputs!$J$6-Inputs!$I$6))</f>
        <v>-45</v>
      </c>
      <c r="U32" s="9">
        <f>(Inputs!$I$7+(((A32)+1)/2)*(Inputs!$J$7-Inputs!$I$7))</f>
        <v>-300</v>
      </c>
      <c r="V32" s="9">
        <f>(Inputs!$I$8+(((A32)+1)/2)*(Inputs!$J$8-Inputs!$I$8))</f>
        <v>-600</v>
      </c>
      <c r="W32" s="9">
        <f>(Inputs!$I$9+(((A32)+1)/2)*(Inputs!$J$9-Inputs!$I$9))</f>
        <v>-600</v>
      </c>
      <c r="X32" s="10"/>
      <c r="Y32" s="9">
        <f t="shared" si="3"/>
        <v>-0.75</v>
      </c>
      <c r="Z32" s="9">
        <f>(Inputs!$H$6+Inputs!$L$6*(((Inputs!$I$6+(((A32)+1)/2)*(Inputs!$J$6-Inputs!$I$6)))/Inputs!$K$6)^2)</f>
        <v>402.25</v>
      </c>
      <c r="AA32" s="9">
        <f>(Inputs!$H$7+Inputs!$L$7*(((Inputs!$I$7+(((A32)+1)/2)*(Inputs!$J$7-Inputs!$I$7)))/Inputs!$K$7)^2)</f>
        <v>240.3125</v>
      </c>
      <c r="AB32" s="9">
        <f>(Inputs!$H$8+Inputs!$L$8*(((Inputs!$I$8+(((A32)+1)/2)*(Inputs!$J$8-Inputs!$I$8)))/Inputs!$K$8)^2)</f>
        <v>577.8125</v>
      </c>
      <c r="AC32" s="9">
        <f>(Inputs!$H$9+Inputs!$L$9*(((Inputs!$I$9+(((A32)+1)/2)*(Inputs!$J$9-Inputs!$I$9)))/Inputs!$K$9)^2)</f>
        <v>573.4375</v>
      </c>
      <c r="AD32" s="10"/>
      <c r="AE32" s="9">
        <f t="shared" si="4"/>
        <v>-0.75</v>
      </c>
      <c r="AF32" s="9">
        <f>(((SQRT(((Inputs!$I$6+(((A32)+1)/2)*(Inputs!$J$6-Inputs!$I$6)))^2+Inputs!$C$6^2+((Inputs!$H$6+Inputs!$L$6*(((Inputs!$I$6+(((A32)+1)/2)*(Inputs!$J$6-Inputs!$I$6)))/Inputs!$K$6)^2))^2))-((Inputs!$H$6+Inputs!$L$6*(((Inputs!$I$6+(((A32)+1)/2)*(Inputs!$J$6-Inputs!$I$6)))/Inputs!$K$6)^2)))*1000/Inputs!$C$12)</f>
        <v>1843.0302193297173</v>
      </c>
      <c r="AG32" s="9">
        <f>(((SQRT(((Inputs!$I$7+(((A32)+1)/2)*(Inputs!$J$7-Inputs!$I$7)))^2+Inputs!$C$6^2+((Inputs!$H$7+Inputs!$L$7*(((Inputs!$I$7+(((A32)+1)/2)*(Inputs!$J$7-Inputs!$I$7)))/Inputs!$K$7)^2))^2))-((Inputs!$H$7+Inputs!$L$7*(((Inputs!$I$7+(((A32)+1)/2)*(Inputs!$J$7-Inputs!$I$7)))/Inputs!$K$7)^2)))*1000/Inputs!$C$12)</f>
        <v>81394.597021001231</v>
      </c>
      <c r="AH32" s="9">
        <f>(((SQRT(((Inputs!$I$8+(((A32)+1)/2)*(Inputs!$J$8-Inputs!$I$8)))^2+Inputs!$C$6^2+((Inputs!$H$8+Inputs!$L$8*(((Inputs!$I$8+(((A32)+1)/2)*(Inputs!$J$8-Inputs!$I$8)))/Inputs!$K$8)^2))^2))-((Inputs!$H$8+Inputs!$L$8*(((Inputs!$I$8+(((A32)+1)/2)*(Inputs!$J$8-Inputs!$I$8)))/Inputs!$K$8)^2)))*1000/Inputs!$C$12)</f>
        <v>143567.15576745349</v>
      </c>
      <c r="AI32" s="9">
        <f>(((SQRT(((Inputs!$I$9+(((A32)+1)/2)*(Inputs!$J$9-Inputs!$I$9)))^2+Inputs!$C$6^2+((Inputs!$H$9+Inputs!$L$9*(((Inputs!$I$9+(((A32)+1)/2)*(Inputs!$J$9-Inputs!$I$9)))/Inputs!$K$9)^2))^2))-((Inputs!$H$9+Inputs!$L$9*(((Inputs!$I$9+(((A32)+1)/2)*(Inputs!$J$9-Inputs!$I$9)))/Inputs!$K$9)^2)))*1000/Inputs!$C$12)</f>
        <v>144324.21972439942</v>
      </c>
      <c r="AJ32" s="10"/>
      <c r="AK32" s="9">
        <f t="shared" si="5"/>
        <v>-0.75</v>
      </c>
      <c r="AL32" s="9">
        <f>(-2*((1000*((((Inputs!$I$6+(((A32)+1)/2)*(Inputs!$J$6-Inputs!$I$6)))*Inputs!$C$11+((Inputs!$H$6+Inputs!$L$6*(((Inputs!$I$6+(((A32)+1)/2)*(Inputs!$J$6-Inputs!$I$6)))/Inputs!$K$6)^2))*((2*Inputs!$L$6*((Inputs!$I$6+(((A32)+1)/2)*(Inputs!$J$6-Inputs!$I$6)))/(Inputs!$K$6^2)*Inputs!$C$11)))/(SQRT(((Inputs!$I$6+(((A32)+1)/2)*(Inputs!$J$6-Inputs!$I$6)))^2+Inputs!$C$6^2+((Inputs!$H$6+Inputs!$L$6*(((Inputs!$I$6+(((A32)+1)/2)*(Inputs!$J$6-Inputs!$I$6)))/Inputs!$K$6)^2))^2)))))/Inputs!$C$13)</f>
        <v>336.25083307642097</v>
      </c>
      <c r="AM32" s="9">
        <f>(-2*((1000*((((Inputs!$I$7+(((A32)+1)/2)*(Inputs!$J$7-Inputs!$I$7)))*Inputs!$C$11+((Inputs!$H$7+Inputs!$L$7*(((Inputs!$I$7+(((A32)+1)/2)*(Inputs!$J$7-Inputs!$I$7)))/Inputs!$K$7)^2))*((2*Inputs!$L$7*((Inputs!$I$7+(((A32)+1)/2)*(Inputs!$J$7-Inputs!$I$7)))/(Inputs!$K$7^2)*Inputs!$C$11)))/(SQRT(((Inputs!$I$7+(((A32)+1)/2)*(Inputs!$J$7-Inputs!$I$7)))^2+Inputs!$C$6^2+((Inputs!$H$7+Inputs!$L$7*(((Inputs!$I$7+(((A32)+1)/2)*(Inputs!$J$7-Inputs!$I$7)))/Inputs!$K$7)^2))^2)))))/Inputs!$C$13)</f>
        <v>2612.4032800055647</v>
      </c>
      <c r="AN32" s="9">
        <f>(-2*((1000*((((Inputs!$I$8+(((A32)+1)/2)*(Inputs!$J$8-Inputs!$I$8)))*Inputs!$C$11+((Inputs!$H$8+Inputs!$L$8*(((Inputs!$I$8+(((A32)+1)/2)*(Inputs!$J$8-Inputs!$I$8)))/Inputs!$K$8)^2))*((2*Inputs!$L$8*((Inputs!$I$8+(((A32)+1)/2)*(Inputs!$J$8-Inputs!$I$8)))/(Inputs!$K$8^2)*Inputs!$C$11)))/(SQRT(((Inputs!$I$8+(((A32)+1)/2)*(Inputs!$J$8-Inputs!$I$8)))^2+Inputs!$C$6^2+((Inputs!$H$8+Inputs!$L$8*(((Inputs!$I$8+(((A32)+1)/2)*(Inputs!$J$8-Inputs!$I$8)))/Inputs!$K$8)^2))^2)))))/Inputs!$C$13)</f>
        <v>3159.2118068361656</v>
      </c>
      <c r="AO32" s="9">
        <f>(-2*((1000*((((Inputs!$I$9+(((A32)+1)/2)*(Inputs!$J$9-Inputs!$I$9)))*Inputs!$C$11+((Inputs!$H$9+Inputs!$L$9*(((Inputs!$I$9+(((A32)+1)/2)*(Inputs!$J$9-Inputs!$I$9)))/Inputs!$K$9)^2))*((2*Inputs!$L$9*((Inputs!$I$9+(((A32)+1)/2)*(Inputs!$J$9-Inputs!$I$9)))/(Inputs!$K$9^2)*Inputs!$C$11)))/(SQRT(((Inputs!$I$9+(((A32)+1)/2)*(Inputs!$J$9-Inputs!$I$9)))^2+Inputs!$C$6^2+((Inputs!$H$9+Inputs!$L$9*(((Inputs!$I$9+(((A32)+1)/2)*(Inputs!$J$9-Inputs!$I$9)))/Inputs!$K$9)^2))^2)))))/Inputs!$C$13)</f>
        <v>3176.1950570460153</v>
      </c>
    </row>
    <row r="33" spans="1:41">
      <c r="A33" s="9">
        <f>ROUND(-1+31*2/240,3)</f>
        <v>-0.74199999999999999</v>
      </c>
      <c r="B33" s="9">
        <f>IF(OR(Inputs!$F$6=TRUE,Inputs!$F$6="TRUE",Inputs!$F$6=1),(Inputs!$H$6+Inputs!$L$6*(((Inputs!$I$6+(((A33)+1)/2)*(Inputs!$J$6-Inputs!$I$6)))/Inputs!$K$6)^2),NA())</f>
        <v>402.20225599999998</v>
      </c>
      <c r="C33" s="9">
        <f>IF(OR(Inputs!$F$7=TRUE,Inputs!$F$7="TRUE",Inputs!$F$7=1),(Inputs!$H$7+Inputs!$L$7*(((Inputs!$I$7+(((A33)+1)/2)*(Inputs!$J$7-Inputs!$I$7)))/Inputs!$K$7)^2),NA())</f>
        <v>235.95585999999997</v>
      </c>
      <c r="D33" s="9">
        <f>IF(OR(Inputs!$F$8=TRUE,Inputs!$F$8="TRUE",Inputs!$F$8=1),(Inputs!$H$8+Inputs!$L$8*(((Inputs!$I$8+(((A33)+1)/2)*(Inputs!$J$8-Inputs!$I$8)))/Inputs!$K$8)^2),NA())</f>
        <v>566.29425999999989</v>
      </c>
      <c r="E33" s="9">
        <f>IF(OR(Inputs!$F$9=TRUE,Inputs!$F$9="TRUE",Inputs!$F$9=1),(Inputs!$H$9+Inputs!$L$9*(((Inputs!$I$9+(((A33)+1)/2)*(Inputs!$J$9-Inputs!$I$9)))/Inputs!$K$9)^2),NA())</f>
        <v>561.79989999999998</v>
      </c>
      <c r="F33" s="10"/>
      <c r="G33" s="9">
        <f t="shared" si="0"/>
        <v>-0.74199999999999999</v>
      </c>
      <c r="H33" s="9">
        <f>IF(OR(Inputs!$F$6=TRUE,Inputs!$F$6="TRUE",Inputs!$F$6=1),(((SQRT(((Inputs!$I$6+(((A33)+1)/2)*(Inputs!$J$6-Inputs!$I$6)))^2+Inputs!$C$6^2+((Inputs!$H$6+Inputs!$L$6*(((Inputs!$I$6+(((A33)+1)/2)*(Inputs!$J$6-Inputs!$I$6)))/Inputs!$K$6)^2))^2))-((Inputs!$H$6+Inputs!$L$6*(((Inputs!$I$6+(((A33)+1)/2)*(Inputs!$J$6-Inputs!$I$6)))/Inputs!$K$6)^2)))*1000/Inputs!$C$12),NA())</f>
        <v>1813.4780545586109</v>
      </c>
      <c r="I33" s="9">
        <f>IF(OR(Inputs!$F$7=TRUE,Inputs!$F$7="TRUE",Inputs!$F$7=1),(((SQRT(((Inputs!$I$7+(((A33)+1)/2)*(Inputs!$J$7-Inputs!$I$7)))^2+Inputs!$C$6^2+((Inputs!$H$7+Inputs!$L$7*(((Inputs!$I$7+(((A33)+1)/2)*(Inputs!$J$7-Inputs!$I$7)))/Inputs!$K$7)^2))^2))-((Inputs!$H$7+Inputs!$L$7*(((Inputs!$I$7+(((A33)+1)/2)*(Inputs!$J$7-Inputs!$I$7)))/Inputs!$K$7)^2)))*1000/Inputs!$C$12),NA())</f>
        <v>80916.583463216259</v>
      </c>
      <c r="J33" s="9">
        <f>IF(OR(Inputs!$F$8=TRUE,Inputs!$F$8="TRUE",Inputs!$F$8=1),(((SQRT(((Inputs!$I$8+(((A33)+1)/2)*(Inputs!$J$8-Inputs!$I$8)))^2+Inputs!$C$6^2+((Inputs!$H$8+Inputs!$L$8*(((Inputs!$I$8+(((A33)+1)/2)*(Inputs!$J$8-Inputs!$I$8)))/Inputs!$K$8)^2))^2))-((Inputs!$H$8+Inputs!$L$8*(((Inputs!$I$8+(((A33)+1)/2)*(Inputs!$J$8-Inputs!$I$8)))/Inputs!$K$8)^2)))*1000/Inputs!$C$12),NA())</f>
        <v>142967.92221460855</v>
      </c>
      <c r="K33" s="9">
        <f>IF(OR(Inputs!$F$9=TRUE,Inputs!$F$9="TRUE",Inputs!$F$9=1),(((SQRT(((Inputs!$I$9+(((A33)+1)/2)*(Inputs!$J$9-Inputs!$I$9)))^2+Inputs!$C$6^2+((Inputs!$H$9+Inputs!$L$9*(((Inputs!$I$9+(((A33)+1)/2)*(Inputs!$J$9-Inputs!$I$9)))/Inputs!$K$9)^2))^2))-((Inputs!$H$9+Inputs!$L$9*(((Inputs!$I$9+(((A33)+1)/2)*(Inputs!$J$9-Inputs!$I$9)))/Inputs!$K$9)^2)))*1000/Inputs!$C$12),NA())</f>
        <v>143754.41285800817</v>
      </c>
      <c r="L33" s="10"/>
      <c r="M33" s="9">
        <f t="shared" si="1"/>
        <v>-0.74199999999999999</v>
      </c>
      <c r="N33" s="9">
        <f>IF(OR(Inputs!$F$6=TRUE,Inputs!$F$6="TRUE",Inputs!$F$6=1),(-2*((1000*((((Inputs!$I$6+(((A33)+1)/2)*(Inputs!$J$6-Inputs!$I$6)))*Inputs!$C$11+((Inputs!$H$6+Inputs!$L$6*(((Inputs!$I$6+(((A33)+1)/2)*(Inputs!$J$6-Inputs!$I$6)))/Inputs!$K$6)^2))*((2*Inputs!$L$6*((Inputs!$I$6+(((A33)+1)/2)*(Inputs!$J$6-Inputs!$I$6)))/(Inputs!$K$6^2)*Inputs!$C$11)))/(SQRT(((Inputs!$I$6+(((A33)+1)/2)*(Inputs!$J$6-Inputs!$I$6)))^2+Inputs!$C$6^2+((Inputs!$H$6+Inputs!$L$6*(((Inputs!$I$6+(((A33)+1)/2)*(Inputs!$J$6-Inputs!$I$6)))/Inputs!$K$6)^2))^2)))))/Inputs!$C$13),NA())</f>
        <v>332.72785342369991</v>
      </c>
      <c r="O33" s="9">
        <f>IF(OR(Inputs!$F$7=TRUE,Inputs!$F$7="TRUE",Inputs!$F$7=1),(-2*((1000*((((Inputs!$I$7+(((A33)+1)/2)*(Inputs!$J$7-Inputs!$I$7)))*Inputs!$C$11+((Inputs!$H$7+Inputs!$L$7*(((Inputs!$I$7+(((A33)+1)/2)*(Inputs!$J$7-Inputs!$I$7)))/Inputs!$K$7)^2))*((2*Inputs!$L$7*((Inputs!$I$7+(((A33)+1)/2)*(Inputs!$J$7-Inputs!$I$7)))/(Inputs!$K$7^2)*Inputs!$C$11)))/(SQRT(((Inputs!$I$7+(((A33)+1)/2)*(Inputs!$J$7-Inputs!$I$7)))^2+Inputs!$C$6^2+((Inputs!$H$7+Inputs!$L$7*(((Inputs!$I$7+(((A33)+1)/2)*(Inputs!$J$7-Inputs!$I$7)))/Inputs!$K$7)^2))^2)))))/Inputs!$C$13),NA())</f>
        <v>2595.1162068477761</v>
      </c>
      <c r="P33" s="9">
        <f>IF(OR(Inputs!$F$8=TRUE,Inputs!$F$8="TRUE",Inputs!$F$8=1),(-2*((1000*((((Inputs!$I$8+(((A33)+1)/2)*(Inputs!$J$8-Inputs!$I$8)))*Inputs!$C$11+((Inputs!$H$8+Inputs!$L$8*(((Inputs!$I$8+(((A33)+1)/2)*(Inputs!$J$8-Inputs!$I$8)))/Inputs!$K$8)^2))*((2*Inputs!$L$8*((Inputs!$I$8+(((A33)+1)/2)*(Inputs!$J$8-Inputs!$I$8)))/(Inputs!$K$8^2)*Inputs!$C$11)))/(SQRT(((Inputs!$I$8+(((A33)+1)/2)*(Inputs!$J$8-Inputs!$I$8)))^2+Inputs!$C$6^2+((Inputs!$H$8+Inputs!$L$8*(((Inputs!$I$8+(((A33)+1)/2)*(Inputs!$J$8-Inputs!$I$8)))/Inputs!$K$8)^2))^2)))))/Inputs!$C$13),NA())</f>
        <v>3133.2435116977772</v>
      </c>
      <c r="Q33" s="9">
        <f>IF(OR(Inputs!$F$9=TRUE,Inputs!$F$9="TRUE",Inputs!$F$9=1),(-2*((1000*((((Inputs!$I$9+(((A33)+1)/2)*(Inputs!$J$9-Inputs!$I$9)))*Inputs!$C$11+((Inputs!$H$9+Inputs!$L$9*(((Inputs!$I$9+(((A33)+1)/2)*(Inputs!$J$9-Inputs!$I$9)))/Inputs!$K$9)^2))*((2*Inputs!$L$9*((Inputs!$I$9+(((A33)+1)/2)*(Inputs!$J$9-Inputs!$I$9)))/(Inputs!$K$9^2)*Inputs!$C$11)))/(SQRT(((Inputs!$I$9+(((A33)+1)/2)*(Inputs!$J$9-Inputs!$I$9)))^2+Inputs!$C$6^2+((Inputs!$H$9+Inputs!$L$9*(((Inputs!$I$9+(((A33)+1)/2)*(Inputs!$J$9-Inputs!$I$9)))/Inputs!$K$9)^2))^2)))))/Inputs!$C$13),NA())</f>
        <v>3149.75035883583</v>
      </c>
      <c r="R33" s="10"/>
      <c r="S33" s="9">
        <f t="shared" si="2"/>
        <v>-0.74199999999999999</v>
      </c>
      <c r="T33" s="9">
        <f>(Inputs!$I$6+(((A33)+1)/2)*(Inputs!$J$6-Inputs!$I$6))</f>
        <v>-44.519999999999996</v>
      </c>
      <c r="U33" s="9">
        <f>(Inputs!$I$7+(((A33)+1)/2)*(Inputs!$J$7-Inputs!$I$7))</f>
        <v>-296.8</v>
      </c>
      <c r="V33" s="9">
        <f>(Inputs!$I$8+(((A33)+1)/2)*(Inputs!$J$8-Inputs!$I$8))</f>
        <v>-593.6</v>
      </c>
      <c r="W33" s="9">
        <f>(Inputs!$I$9+(((A33)+1)/2)*(Inputs!$J$9-Inputs!$I$9))</f>
        <v>-593.6</v>
      </c>
      <c r="X33" s="10"/>
      <c r="Y33" s="9">
        <f t="shared" si="3"/>
        <v>-0.74199999999999999</v>
      </c>
      <c r="Z33" s="9">
        <f>(Inputs!$H$6+Inputs!$L$6*(((Inputs!$I$6+(((A33)+1)/2)*(Inputs!$J$6-Inputs!$I$6)))/Inputs!$K$6)^2)</f>
        <v>402.20225599999998</v>
      </c>
      <c r="AA33" s="9">
        <f>(Inputs!$H$7+Inputs!$L$7*(((Inputs!$I$7+(((A33)+1)/2)*(Inputs!$J$7-Inputs!$I$7)))/Inputs!$K$7)^2)</f>
        <v>235.95585999999997</v>
      </c>
      <c r="AB33" s="9">
        <f>(Inputs!$H$8+Inputs!$L$8*(((Inputs!$I$8+(((A33)+1)/2)*(Inputs!$J$8-Inputs!$I$8)))/Inputs!$K$8)^2)</f>
        <v>566.29425999999989</v>
      </c>
      <c r="AC33" s="9">
        <f>(Inputs!$H$9+Inputs!$L$9*(((Inputs!$I$9+(((A33)+1)/2)*(Inputs!$J$9-Inputs!$I$9)))/Inputs!$K$9)^2)</f>
        <v>561.79989999999998</v>
      </c>
      <c r="AD33" s="10"/>
      <c r="AE33" s="9">
        <f t="shared" si="4"/>
        <v>-0.74199999999999999</v>
      </c>
      <c r="AF33" s="9">
        <f>(((SQRT(((Inputs!$I$6+(((A33)+1)/2)*(Inputs!$J$6-Inputs!$I$6)))^2+Inputs!$C$6^2+((Inputs!$H$6+Inputs!$L$6*(((Inputs!$I$6+(((A33)+1)/2)*(Inputs!$J$6-Inputs!$I$6)))/Inputs!$K$6)^2))^2))-((Inputs!$H$6+Inputs!$L$6*(((Inputs!$I$6+(((A33)+1)/2)*(Inputs!$J$6-Inputs!$I$6)))/Inputs!$K$6)^2)))*1000/Inputs!$C$12)</f>
        <v>1813.4780545586109</v>
      </c>
      <c r="AG33" s="9">
        <f>(((SQRT(((Inputs!$I$7+(((A33)+1)/2)*(Inputs!$J$7-Inputs!$I$7)))^2+Inputs!$C$6^2+((Inputs!$H$7+Inputs!$L$7*(((Inputs!$I$7+(((A33)+1)/2)*(Inputs!$J$7-Inputs!$I$7)))/Inputs!$K$7)^2))^2))-((Inputs!$H$7+Inputs!$L$7*(((Inputs!$I$7+(((A33)+1)/2)*(Inputs!$J$7-Inputs!$I$7)))/Inputs!$K$7)^2)))*1000/Inputs!$C$12)</f>
        <v>80916.583463216259</v>
      </c>
      <c r="AH33" s="9">
        <f>(((SQRT(((Inputs!$I$8+(((A33)+1)/2)*(Inputs!$J$8-Inputs!$I$8)))^2+Inputs!$C$6^2+((Inputs!$H$8+Inputs!$L$8*(((Inputs!$I$8+(((A33)+1)/2)*(Inputs!$J$8-Inputs!$I$8)))/Inputs!$K$8)^2))^2))-((Inputs!$H$8+Inputs!$L$8*(((Inputs!$I$8+(((A33)+1)/2)*(Inputs!$J$8-Inputs!$I$8)))/Inputs!$K$8)^2)))*1000/Inputs!$C$12)</f>
        <v>142967.92221460855</v>
      </c>
      <c r="AI33" s="9">
        <f>(((SQRT(((Inputs!$I$9+(((A33)+1)/2)*(Inputs!$J$9-Inputs!$I$9)))^2+Inputs!$C$6^2+((Inputs!$H$9+Inputs!$L$9*(((Inputs!$I$9+(((A33)+1)/2)*(Inputs!$J$9-Inputs!$I$9)))/Inputs!$K$9)^2))^2))-((Inputs!$H$9+Inputs!$L$9*(((Inputs!$I$9+(((A33)+1)/2)*(Inputs!$J$9-Inputs!$I$9)))/Inputs!$K$9)^2)))*1000/Inputs!$C$12)</f>
        <v>143754.41285800817</v>
      </c>
      <c r="AJ33" s="10"/>
      <c r="AK33" s="9">
        <f t="shared" si="5"/>
        <v>-0.74199999999999999</v>
      </c>
      <c r="AL33" s="9">
        <f>(-2*((1000*((((Inputs!$I$6+(((A33)+1)/2)*(Inputs!$J$6-Inputs!$I$6)))*Inputs!$C$11+((Inputs!$H$6+Inputs!$L$6*(((Inputs!$I$6+(((A33)+1)/2)*(Inputs!$J$6-Inputs!$I$6)))/Inputs!$K$6)^2))*((2*Inputs!$L$6*((Inputs!$I$6+(((A33)+1)/2)*(Inputs!$J$6-Inputs!$I$6)))/(Inputs!$K$6^2)*Inputs!$C$11)))/(SQRT(((Inputs!$I$6+(((A33)+1)/2)*(Inputs!$J$6-Inputs!$I$6)))^2+Inputs!$C$6^2+((Inputs!$H$6+Inputs!$L$6*(((Inputs!$I$6+(((A33)+1)/2)*(Inputs!$J$6-Inputs!$I$6)))/Inputs!$K$6)^2))^2)))))/Inputs!$C$13)</f>
        <v>332.72785342369991</v>
      </c>
      <c r="AM33" s="9">
        <f>(-2*((1000*((((Inputs!$I$7+(((A33)+1)/2)*(Inputs!$J$7-Inputs!$I$7)))*Inputs!$C$11+((Inputs!$H$7+Inputs!$L$7*(((Inputs!$I$7+(((A33)+1)/2)*(Inputs!$J$7-Inputs!$I$7)))/Inputs!$K$7)^2))*((2*Inputs!$L$7*((Inputs!$I$7+(((A33)+1)/2)*(Inputs!$J$7-Inputs!$I$7)))/(Inputs!$K$7^2)*Inputs!$C$11)))/(SQRT(((Inputs!$I$7+(((A33)+1)/2)*(Inputs!$J$7-Inputs!$I$7)))^2+Inputs!$C$6^2+((Inputs!$H$7+Inputs!$L$7*(((Inputs!$I$7+(((A33)+1)/2)*(Inputs!$J$7-Inputs!$I$7)))/Inputs!$K$7)^2))^2)))))/Inputs!$C$13)</f>
        <v>2595.1162068477761</v>
      </c>
      <c r="AN33" s="9">
        <f>(-2*((1000*((((Inputs!$I$8+(((A33)+1)/2)*(Inputs!$J$8-Inputs!$I$8)))*Inputs!$C$11+((Inputs!$H$8+Inputs!$L$8*(((Inputs!$I$8+(((A33)+1)/2)*(Inputs!$J$8-Inputs!$I$8)))/Inputs!$K$8)^2))*((2*Inputs!$L$8*((Inputs!$I$8+(((A33)+1)/2)*(Inputs!$J$8-Inputs!$I$8)))/(Inputs!$K$8^2)*Inputs!$C$11)))/(SQRT(((Inputs!$I$8+(((A33)+1)/2)*(Inputs!$J$8-Inputs!$I$8)))^2+Inputs!$C$6^2+((Inputs!$H$8+Inputs!$L$8*(((Inputs!$I$8+(((A33)+1)/2)*(Inputs!$J$8-Inputs!$I$8)))/Inputs!$K$8)^2))^2)))))/Inputs!$C$13)</f>
        <v>3133.2435116977772</v>
      </c>
      <c r="AO33" s="9">
        <f>(-2*((1000*((((Inputs!$I$9+(((A33)+1)/2)*(Inputs!$J$9-Inputs!$I$9)))*Inputs!$C$11+((Inputs!$H$9+Inputs!$L$9*(((Inputs!$I$9+(((A33)+1)/2)*(Inputs!$J$9-Inputs!$I$9)))/Inputs!$K$9)^2))*((2*Inputs!$L$9*((Inputs!$I$9+(((A33)+1)/2)*(Inputs!$J$9-Inputs!$I$9)))/(Inputs!$K$9^2)*Inputs!$C$11)))/(SQRT(((Inputs!$I$9+(((A33)+1)/2)*(Inputs!$J$9-Inputs!$I$9)))^2+Inputs!$C$6^2+((Inputs!$H$9+Inputs!$L$9*(((Inputs!$I$9+(((A33)+1)/2)*(Inputs!$J$9-Inputs!$I$9)))/Inputs!$K$9)^2))^2)))))/Inputs!$C$13)</f>
        <v>3149.75035883583</v>
      </c>
    </row>
    <row r="34" spans="1:41">
      <c r="A34" s="9">
        <f>ROUND(-1+32*2/240,3)</f>
        <v>-0.73299999999999998</v>
      </c>
      <c r="B34" s="9">
        <f>IF(OR(Inputs!$F$6=TRUE,Inputs!$F$6="TRUE",Inputs!$F$6=1),(Inputs!$H$6+Inputs!$L$6*(((Inputs!$I$6+(((A34)+1)/2)*(Inputs!$J$6-Inputs!$I$6)))/Inputs!$K$6)^2),NA())</f>
        <v>402.149156</v>
      </c>
      <c r="C34" s="9">
        <f>IF(OR(Inputs!$F$7=TRUE,Inputs!$F$7="TRUE",Inputs!$F$7=1),(Inputs!$H$7+Inputs!$L$7*(((Inputs!$I$7+(((A34)+1)/2)*(Inputs!$J$7-Inputs!$I$7)))/Inputs!$K$7)^2),NA())</f>
        <v>231.11048500000001</v>
      </c>
      <c r="D34" s="9">
        <f>IF(OR(Inputs!$F$8=TRUE,Inputs!$F$8="TRUE",Inputs!$F$8=1),(Inputs!$H$8+Inputs!$L$8*(((Inputs!$I$8+(((A34)+1)/2)*(Inputs!$J$8-Inputs!$I$8)))/Inputs!$K$8)^2),NA())</f>
        <v>553.48388499999999</v>
      </c>
      <c r="E34" s="9">
        <f>IF(OR(Inputs!$F$9=TRUE,Inputs!$F$9="TRUE",Inputs!$F$9=1),(Inputs!$H$9+Inputs!$L$9*(((Inputs!$I$9+(((A34)+1)/2)*(Inputs!$J$9-Inputs!$I$9)))/Inputs!$K$9)^2),NA())</f>
        <v>548.85677499999997</v>
      </c>
      <c r="F34" s="10"/>
      <c r="G34" s="9">
        <f t="shared" si="0"/>
        <v>-0.73299999999999998</v>
      </c>
      <c r="H34" s="9">
        <f>IF(OR(Inputs!$F$6=TRUE,Inputs!$F$6="TRUE",Inputs!$F$6=1),(((SQRT(((Inputs!$I$6+(((A34)+1)/2)*(Inputs!$J$6-Inputs!$I$6)))^2+Inputs!$C$6^2+((Inputs!$H$6+Inputs!$L$6*(((Inputs!$I$6+(((A34)+1)/2)*(Inputs!$J$6-Inputs!$I$6)))/Inputs!$K$6)^2))^2))-((Inputs!$H$6+Inputs!$L$6*(((Inputs!$I$6+(((A34)+1)/2)*(Inputs!$J$6-Inputs!$I$6)))/Inputs!$K$6)^2)))*1000/Inputs!$C$12),NA())</f>
        <v>1780.5979973162634</v>
      </c>
      <c r="I34" s="9">
        <f>IF(OR(Inputs!$F$7=TRUE,Inputs!$F$7="TRUE",Inputs!$F$7=1),(((SQRT(((Inputs!$I$7+(((A34)+1)/2)*(Inputs!$J$7-Inputs!$I$7)))^2+Inputs!$C$6^2+((Inputs!$H$7+Inputs!$L$7*(((Inputs!$I$7+(((A34)+1)/2)*(Inputs!$J$7-Inputs!$I$7)))/Inputs!$K$7)^2))^2))-((Inputs!$H$7+Inputs!$L$7*(((Inputs!$I$7+(((A34)+1)/2)*(Inputs!$J$7-Inputs!$I$7)))/Inputs!$K$7)^2)))*1000/Inputs!$C$12),NA())</f>
        <v>80370.594655507652</v>
      </c>
      <c r="J34" s="9">
        <f>IF(OR(Inputs!$F$8=TRUE,Inputs!$F$8="TRUE",Inputs!$F$8=1),(((SQRT(((Inputs!$I$8+(((A34)+1)/2)*(Inputs!$J$8-Inputs!$I$8)))^2+Inputs!$C$6^2+((Inputs!$H$8+Inputs!$L$8*(((Inputs!$I$8+(((A34)+1)/2)*(Inputs!$J$8-Inputs!$I$8)))/Inputs!$K$8)^2))^2))-((Inputs!$H$8+Inputs!$L$8*(((Inputs!$I$8+(((A34)+1)/2)*(Inputs!$J$8-Inputs!$I$8)))/Inputs!$K$8)^2)))*1000/Inputs!$C$12),NA())</f>
        <v>142280.43751600158</v>
      </c>
      <c r="K34" s="9">
        <f>IF(OR(Inputs!$F$9=TRUE,Inputs!$F$9="TRUE",Inputs!$F$9=1),(((SQRT(((Inputs!$I$9+(((A34)+1)/2)*(Inputs!$J$9-Inputs!$I$9)))^2+Inputs!$C$6^2+((Inputs!$H$9+Inputs!$L$9*(((Inputs!$I$9+(((A34)+1)/2)*(Inputs!$J$9-Inputs!$I$9)))/Inputs!$K$9)^2))^2))-((Inputs!$H$9+Inputs!$L$9*(((Inputs!$I$9+(((A34)+1)/2)*(Inputs!$J$9-Inputs!$I$9)))/Inputs!$K$9)^2)))*1000/Inputs!$C$12),NA())</f>
        <v>143100.45458612774</v>
      </c>
      <c r="L34" s="10"/>
      <c r="M34" s="9">
        <f t="shared" si="1"/>
        <v>-0.73299999999999998</v>
      </c>
      <c r="N34" s="9">
        <f>IF(OR(Inputs!$F$6=TRUE,Inputs!$F$6="TRUE",Inputs!$F$6=1),(-2*((1000*((((Inputs!$I$6+(((A34)+1)/2)*(Inputs!$J$6-Inputs!$I$6)))*Inputs!$C$11+((Inputs!$H$6+Inputs!$L$6*(((Inputs!$I$6+(((A34)+1)/2)*(Inputs!$J$6-Inputs!$I$6)))/Inputs!$K$6)^2))*((2*Inputs!$L$6*((Inputs!$I$6+(((A34)+1)/2)*(Inputs!$J$6-Inputs!$I$6)))/(Inputs!$K$6^2)*Inputs!$C$11)))/(SQRT(((Inputs!$I$6+(((A34)+1)/2)*(Inputs!$J$6-Inputs!$I$6)))^2+Inputs!$C$6^2+((Inputs!$H$6+Inputs!$L$6*(((Inputs!$I$6+(((A34)+1)/2)*(Inputs!$J$6-Inputs!$I$6)))/Inputs!$K$6)^2))^2)))))/Inputs!$C$13),NA())</f>
        <v>328.7621078889045</v>
      </c>
      <c r="O34" s="9">
        <f>IF(OR(Inputs!$F$7=TRUE,Inputs!$F$7="TRUE",Inputs!$F$7=1),(-2*((1000*((((Inputs!$I$7+(((A34)+1)/2)*(Inputs!$J$7-Inputs!$I$7)))*Inputs!$C$11+((Inputs!$H$7+Inputs!$L$7*(((Inputs!$I$7+(((A34)+1)/2)*(Inputs!$J$7-Inputs!$I$7)))/Inputs!$K$7)^2))*((2*Inputs!$L$7*((Inputs!$I$7+(((A34)+1)/2)*(Inputs!$J$7-Inputs!$I$7)))/(Inputs!$K$7^2)*Inputs!$C$11)))/(SQRT(((Inputs!$I$7+(((A34)+1)/2)*(Inputs!$J$7-Inputs!$I$7)))^2+Inputs!$C$6^2+((Inputs!$H$7+Inputs!$L$7*(((Inputs!$I$7+(((A34)+1)/2)*(Inputs!$J$7-Inputs!$I$7)))/Inputs!$K$7)^2))^2)))))/Inputs!$C$13),NA())</f>
        <v>2575.779105979339</v>
      </c>
      <c r="P34" s="9">
        <f>IF(OR(Inputs!$F$8=TRUE,Inputs!$F$8="TRUE",Inputs!$F$8=1),(-2*((1000*((((Inputs!$I$8+(((A34)+1)/2)*(Inputs!$J$8-Inputs!$I$8)))*Inputs!$C$11+((Inputs!$H$8+Inputs!$L$8*(((Inputs!$I$8+(((A34)+1)/2)*(Inputs!$J$8-Inputs!$I$8)))/Inputs!$K$8)^2))*((2*Inputs!$L$8*((Inputs!$I$8+(((A34)+1)/2)*(Inputs!$J$8-Inputs!$I$8)))/(Inputs!$K$8^2)*Inputs!$C$11)))/(SQRT(((Inputs!$I$8+(((A34)+1)/2)*(Inputs!$J$8-Inputs!$I$8)))^2+Inputs!$C$6^2+((Inputs!$H$8+Inputs!$L$8*(((Inputs!$I$8+(((A34)+1)/2)*(Inputs!$J$8-Inputs!$I$8)))/Inputs!$K$8)^2))^2)))))/Inputs!$C$13),NA())</f>
        <v>3104.1558917312536</v>
      </c>
      <c r="Q34" s="9">
        <f>IF(OR(Inputs!$F$9=TRUE,Inputs!$F$9="TRUE",Inputs!$F$9=1),(-2*((1000*((((Inputs!$I$9+(((A34)+1)/2)*(Inputs!$J$9-Inputs!$I$9)))*Inputs!$C$11+((Inputs!$H$9+Inputs!$L$9*(((Inputs!$I$9+(((A34)+1)/2)*(Inputs!$J$9-Inputs!$I$9)))/Inputs!$K$9)^2))*((2*Inputs!$L$9*((Inputs!$I$9+(((A34)+1)/2)*(Inputs!$J$9-Inputs!$I$9)))/(Inputs!$K$9^2)*Inputs!$C$11)))/(SQRT(((Inputs!$I$9+(((A34)+1)/2)*(Inputs!$J$9-Inputs!$I$9)))^2+Inputs!$C$6^2+((Inputs!$H$9+Inputs!$L$9*(((Inputs!$I$9+(((A34)+1)/2)*(Inputs!$J$9-Inputs!$I$9)))/Inputs!$K$9)^2))^2)))))/Inputs!$C$13),NA())</f>
        <v>3120.1257381445785</v>
      </c>
      <c r="R34" s="10"/>
      <c r="S34" s="9">
        <f t="shared" si="2"/>
        <v>-0.73299999999999998</v>
      </c>
      <c r="T34" s="9">
        <f>(Inputs!$I$6+(((A34)+1)/2)*(Inputs!$J$6-Inputs!$I$6))</f>
        <v>-43.980000000000004</v>
      </c>
      <c r="U34" s="9">
        <f>(Inputs!$I$7+(((A34)+1)/2)*(Inputs!$J$7-Inputs!$I$7))</f>
        <v>-293.2</v>
      </c>
      <c r="V34" s="9">
        <f>(Inputs!$I$8+(((A34)+1)/2)*(Inputs!$J$8-Inputs!$I$8))</f>
        <v>-586.4</v>
      </c>
      <c r="W34" s="9">
        <f>(Inputs!$I$9+(((A34)+1)/2)*(Inputs!$J$9-Inputs!$I$9))</f>
        <v>-586.4</v>
      </c>
      <c r="X34" s="10"/>
      <c r="Y34" s="9">
        <f t="shared" si="3"/>
        <v>-0.73299999999999998</v>
      </c>
      <c r="Z34" s="9">
        <f>(Inputs!$H$6+Inputs!$L$6*(((Inputs!$I$6+(((A34)+1)/2)*(Inputs!$J$6-Inputs!$I$6)))/Inputs!$K$6)^2)</f>
        <v>402.149156</v>
      </c>
      <c r="AA34" s="9">
        <f>(Inputs!$H$7+Inputs!$L$7*(((Inputs!$I$7+(((A34)+1)/2)*(Inputs!$J$7-Inputs!$I$7)))/Inputs!$K$7)^2)</f>
        <v>231.11048500000001</v>
      </c>
      <c r="AB34" s="9">
        <f>(Inputs!$H$8+Inputs!$L$8*(((Inputs!$I$8+(((A34)+1)/2)*(Inputs!$J$8-Inputs!$I$8)))/Inputs!$K$8)^2)</f>
        <v>553.48388499999999</v>
      </c>
      <c r="AC34" s="9">
        <f>(Inputs!$H$9+Inputs!$L$9*(((Inputs!$I$9+(((A34)+1)/2)*(Inputs!$J$9-Inputs!$I$9)))/Inputs!$K$9)^2)</f>
        <v>548.85677499999997</v>
      </c>
      <c r="AD34" s="10"/>
      <c r="AE34" s="9">
        <f t="shared" si="4"/>
        <v>-0.73299999999999998</v>
      </c>
      <c r="AF34" s="9">
        <f>(((SQRT(((Inputs!$I$6+(((A34)+1)/2)*(Inputs!$J$6-Inputs!$I$6)))^2+Inputs!$C$6^2+((Inputs!$H$6+Inputs!$L$6*(((Inputs!$I$6+(((A34)+1)/2)*(Inputs!$J$6-Inputs!$I$6)))/Inputs!$K$6)^2))^2))-((Inputs!$H$6+Inputs!$L$6*(((Inputs!$I$6+(((A34)+1)/2)*(Inputs!$J$6-Inputs!$I$6)))/Inputs!$K$6)^2)))*1000/Inputs!$C$12)</f>
        <v>1780.5979973162634</v>
      </c>
      <c r="AG34" s="9">
        <f>(((SQRT(((Inputs!$I$7+(((A34)+1)/2)*(Inputs!$J$7-Inputs!$I$7)))^2+Inputs!$C$6^2+((Inputs!$H$7+Inputs!$L$7*(((Inputs!$I$7+(((A34)+1)/2)*(Inputs!$J$7-Inputs!$I$7)))/Inputs!$K$7)^2))^2))-((Inputs!$H$7+Inputs!$L$7*(((Inputs!$I$7+(((A34)+1)/2)*(Inputs!$J$7-Inputs!$I$7)))/Inputs!$K$7)^2)))*1000/Inputs!$C$12)</f>
        <v>80370.594655507652</v>
      </c>
      <c r="AH34" s="9">
        <f>(((SQRT(((Inputs!$I$8+(((A34)+1)/2)*(Inputs!$J$8-Inputs!$I$8)))^2+Inputs!$C$6^2+((Inputs!$H$8+Inputs!$L$8*(((Inputs!$I$8+(((A34)+1)/2)*(Inputs!$J$8-Inputs!$I$8)))/Inputs!$K$8)^2))^2))-((Inputs!$H$8+Inputs!$L$8*(((Inputs!$I$8+(((A34)+1)/2)*(Inputs!$J$8-Inputs!$I$8)))/Inputs!$K$8)^2)))*1000/Inputs!$C$12)</f>
        <v>142280.43751600158</v>
      </c>
      <c r="AI34" s="9">
        <f>(((SQRT(((Inputs!$I$9+(((A34)+1)/2)*(Inputs!$J$9-Inputs!$I$9)))^2+Inputs!$C$6^2+((Inputs!$H$9+Inputs!$L$9*(((Inputs!$I$9+(((A34)+1)/2)*(Inputs!$J$9-Inputs!$I$9)))/Inputs!$K$9)^2))^2))-((Inputs!$H$9+Inputs!$L$9*(((Inputs!$I$9+(((A34)+1)/2)*(Inputs!$J$9-Inputs!$I$9)))/Inputs!$K$9)^2)))*1000/Inputs!$C$12)</f>
        <v>143100.45458612774</v>
      </c>
      <c r="AJ34" s="10"/>
      <c r="AK34" s="9">
        <f t="shared" si="5"/>
        <v>-0.73299999999999998</v>
      </c>
      <c r="AL34" s="9">
        <f>(-2*((1000*((((Inputs!$I$6+(((A34)+1)/2)*(Inputs!$J$6-Inputs!$I$6)))*Inputs!$C$11+((Inputs!$H$6+Inputs!$L$6*(((Inputs!$I$6+(((A34)+1)/2)*(Inputs!$J$6-Inputs!$I$6)))/Inputs!$K$6)^2))*((2*Inputs!$L$6*((Inputs!$I$6+(((A34)+1)/2)*(Inputs!$J$6-Inputs!$I$6)))/(Inputs!$K$6^2)*Inputs!$C$11)))/(SQRT(((Inputs!$I$6+(((A34)+1)/2)*(Inputs!$J$6-Inputs!$I$6)))^2+Inputs!$C$6^2+((Inputs!$H$6+Inputs!$L$6*(((Inputs!$I$6+(((A34)+1)/2)*(Inputs!$J$6-Inputs!$I$6)))/Inputs!$K$6)^2))^2)))))/Inputs!$C$13)</f>
        <v>328.7621078889045</v>
      </c>
      <c r="AM34" s="9">
        <f>(-2*((1000*((((Inputs!$I$7+(((A34)+1)/2)*(Inputs!$J$7-Inputs!$I$7)))*Inputs!$C$11+((Inputs!$H$7+Inputs!$L$7*(((Inputs!$I$7+(((A34)+1)/2)*(Inputs!$J$7-Inputs!$I$7)))/Inputs!$K$7)^2))*((2*Inputs!$L$7*((Inputs!$I$7+(((A34)+1)/2)*(Inputs!$J$7-Inputs!$I$7)))/(Inputs!$K$7^2)*Inputs!$C$11)))/(SQRT(((Inputs!$I$7+(((A34)+1)/2)*(Inputs!$J$7-Inputs!$I$7)))^2+Inputs!$C$6^2+((Inputs!$H$7+Inputs!$L$7*(((Inputs!$I$7+(((A34)+1)/2)*(Inputs!$J$7-Inputs!$I$7)))/Inputs!$K$7)^2))^2)))))/Inputs!$C$13)</f>
        <v>2575.779105979339</v>
      </c>
      <c r="AN34" s="9">
        <f>(-2*((1000*((((Inputs!$I$8+(((A34)+1)/2)*(Inputs!$J$8-Inputs!$I$8)))*Inputs!$C$11+((Inputs!$H$8+Inputs!$L$8*(((Inputs!$I$8+(((A34)+1)/2)*(Inputs!$J$8-Inputs!$I$8)))/Inputs!$K$8)^2))*((2*Inputs!$L$8*((Inputs!$I$8+(((A34)+1)/2)*(Inputs!$J$8-Inputs!$I$8)))/(Inputs!$K$8^2)*Inputs!$C$11)))/(SQRT(((Inputs!$I$8+(((A34)+1)/2)*(Inputs!$J$8-Inputs!$I$8)))^2+Inputs!$C$6^2+((Inputs!$H$8+Inputs!$L$8*(((Inputs!$I$8+(((A34)+1)/2)*(Inputs!$J$8-Inputs!$I$8)))/Inputs!$K$8)^2))^2)))))/Inputs!$C$13)</f>
        <v>3104.1558917312536</v>
      </c>
      <c r="AO34" s="9">
        <f>(-2*((1000*((((Inputs!$I$9+(((A34)+1)/2)*(Inputs!$J$9-Inputs!$I$9)))*Inputs!$C$11+((Inputs!$H$9+Inputs!$L$9*(((Inputs!$I$9+(((A34)+1)/2)*(Inputs!$J$9-Inputs!$I$9)))/Inputs!$K$9)^2))*((2*Inputs!$L$9*((Inputs!$I$9+(((A34)+1)/2)*(Inputs!$J$9-Inputs!$I$9)))/(Inputs!$K$9^2)*Inputs!$C$11)))/(SQRT(((Inputs!$I$9+(((A34)+1)/2)*(Inputs!$J$9-Inputs!$I$9)))^2+Inputs!$C$6^2+((Inputs!$H$9+Inputs!$L$9*(((Inputs!$I$9+(((A34)+1)/2)*(Inputs!$J$9-Inputs!$I$9)))/Inputs!$K$9)^2))^2)))))/Inputs!$C$13)</f>
        <v>3120.1257381445785</v>
      </c>
    </row>
    <row r="35" spans="1:41">
      <c r="A35" s="9">
        <f>ROUND(-1+33*2/240,3)</f>
        <v>-0.72499999999999998</v>
      </c>
      <c r="B35" s="9">
        <f>IF(OR(Inputs!$F$6=TRUE,Inputs!$F$6="TRUE",Inputs!$F$6=1),(Inputs!$H$6+Inputs!$L$6*(((Inputs!$I$6+(((A35)+1)/2)*(Inputs!$J$6-Inputs!$I$6)))/Inputs!$K$6)^2),NA())</f>
        <v>402.10250000000002</v>
      </c>
      <c r="C35" s="9">
        <f>IF(OR(Inputs!$F$7=TRUE,Inputs!$F$7="TRUE",Inputs!$F$7=1),(Inputs!$H$7+Inputs!$L$7*(((Inputs!$I$7+(((A35)+1)/2)*(Inputs!$J$7-Inputs!$I$7)))/Inputs!$K$7)^2),NA())</f>
        <v>226.85312500000001</v>
      </c>
      <c r="D35" s="9">
        <f>IF(OR(Inputs!$F$8=TRUE,Inputs!$F$8="TRUE",Inputs!$F$8=1),(Inputs!$H$8+Inputs!$L$8*(((Inputs!$I$8+(((A35)+1)/2)*(Inputs!$J$8-Inputs!$I$8)))/Inputs!$K$8)^2),NA())</f>
        <v>542.22812500000009</v>
      </c>
      <c r="E35" s="9">
        <f>IF(OR(Inputs!$F$9=TRUE,Inputs!$F$9="TRUE",Inputs!$F$9=1),(Inputs!$H$9+Inputs!$L$9*(((Inputs!$I$9+(((A35)+1)/2)*(Inputs!$J$9-Inputs!$I$9)))/Inputs!$K$9)^2),NA())</f>
        <v>537.484375</v>
      </c>
      <c r="F35" s="10"/>
      <c r="G35" s="9">
        <f t="shared" si="0"/>
        <v>-0.72499999999999998</v>
      </c>
      <c r="H35" s="9">
        <f>IF(OR(Inputs!$F$6=TRUE,Inputs!$F$6="TRUE",Inputs!$F$6=1),(((SQRT(((Inputs!$I$6+(((A35)+1)/2)*(Inputs!$J$6-Inputs!$I$6)))^2+Inputs!$C$6^2+((Inputs!$H$6+Inputs!$L$6*(((Inputs!$I$6+(((A35)+1)/2)*(Inputs!$J$6-Inputs!$I$6)))/Inputs!$K$6)^2))^2))-((Inputs!$H$6+Inputs!$L$6*(((Inputs!$I$6+(((A35)+1)/2)*(Inputs!$J$6-Inputs!$I$6)))/Inputs!$K$6)^2)))*1000/Inputs!$C$12),NA())</f>
        <v>1751.6970986344204</v>
      </c>
      <c r="I35" s="9">
        <f>IF(OR(Inputs!$F$7=TRUE,Inputs!$F$7="TRUE",Inputs!$F$7=1),(((SQRT(((Inputs!$I$7+(((A35)+1)/2)*(Inputs!$J$7-Inputs!$I$7)))^2+Inputs!$C$6^2+((Inputs!$H$7+Inputs!$L$7*(((Inputs!$I$7+(((A35)+1)/2)*(Inputs!$J$7-Inputs!$I$7)))/Inputs!$K$7)^2))^2))-((Inputs!$H$7+Inputs!$L$7*(((Inputs!$I$7+(((A35)+1)/2)*(Inputs!$J$7-Inputs!$I$7)))/Inputs!$K$7)^2)))*1000/Inputs!$C$12),NA())</f>
        <v>79877.845375069359</v>
      </c>
      <c r="J35" s="9">
        <f>IF(OR(Inputs!$F$8=TRUE,Inputs!$F$8="TRUE",Inputs!$F$8=1),(((SQRT(((Inputs!$I$8+(((A35)+1)/2)*(Inputs!$J$8-Inputs!$I$8)))^2+Inputs!$C$6^2+((Inputs!$H$8+Inputs!$L$8*(((Inputs!$I$8+(((A35)+1)/2)*(Inputs!$J$8-Inputs!$I$8)))/Inputs!$K$8)^2))^2))-((Inputs!$H$8+Inputs!$L$8*(((Inputs!$I$8+(((A35)+1)/2)*(Inputs!$J$8-Inputs!$I$8)))/Inputs!$K$8)^2)))*1000/Inputs!$C$12),NA())</f>
        <v>141657.20933300967</v>
      </c>
      <c r="K35" s="9">
        <f>IF(OR(Inputs!$F$9=TRUE,Inputs!$F$9="TRUE",Inputs!$F$9=1),(((SQRT(((Inputs!$I$9+(((A35)+1)/2)*(Inputs!$J$9-Inputs!$I$9)))^2+Inputs!$C$6^2+((Inputs!$H$9+Inputs!$L$9*(((Inputs!$I$9+(((A35)+1)/2)*(Inputs!$J$9-Inputs!$I$9)))/Inputs!$K$9)^2))^2))-((Inputs!$H$9+Inputs!$L$9*(((Inputs!$I$9+(((A35)+1)/2)*(Inputs!$J$9-Inputs!$I$9)))/Inputs!$K$9)^2)))*1000/Inputs!$C$12),NA())</f>
        <v>142507.40434762553</v>
      </c>
      <c r="L35" s="10"/>
      <c r="M35" s="9">
        <f t="shared" si="1"/>
        <v>-0.72499999999999998</v>
      </c>
      <c r="N35" s="9">
        <f>IF(OR(Inputs!$F$6=TRUE,Inputs!$F$6="TRUE",Inputs!$F$6=1),(-2*((1000*((((Inputs!$I$6+(((A35)+1)/2)*(Inputs!$J$6-Inputs!$I$6)))*Inputs!$C$11+((Inputs!$H$6+Inputs!$L$6*(((Inputs!$I$6+(((A35)+1)/2)*(Inputs!$J$6-Inputs!$I$6)))/Inputs!$K$6)^2))*((2*Inputs!$L$6*((Inputs!$I$6+(((A35)+1)/2)*(Inputs!$J$6-Inputs!$I$6)))/(Inputs!$K$6^2)*Inputs!$C$11)))/(SQRT(((Inputs!$I$6+(((A35)+1)/2)*(Inputs!$J$6-Inputs!$I$6)))^2+Inputs!$C$6^2+((Inputs!$H$6+Inputs!$L$6*(((Inputs!$I$6+(((A35)+1)/2)*(Inputs!$J$6-Inputs!$I$6)))/Inputs!$K$6)^2))^2)))))/Inputs!$C$13),NA())</f>
        <v>325.23489447567232</v>
      </c>
      <c r="O35" s="9">
        <f>IF(OR(Inputs!$F$7=TRUE,Inputs!$F$7="TRUE",Inputs!$F$7=1),(-2*((1000*((((Inputs!$I$7+(((A35)+1)/2)*(Inputs!$J$7-Inputs!$I$7)))*Inputs!$C$11+((Inputs!$H$7+Inputs!$L$7*(((Inputs!$I$7+(((A35)+1)/2)*(Inputs!$J$7-Inputs!$I$7)))/Inputs!$K$7)^2))*((2*Inputs!$L$7*((Inputs!$I$7+(((A35)+1)/2)*(Inputs!$J$7-Inputs!$I$7)))/(Inputs!$K$7^2)*Inputs!$C$11)))/(SQRT(((Inputs!$I$7+(((A35)+1)/2)*(Inputs!$J$7-Inputs!$I$7)))^2+Inputs!$C$6^2+((Inputs!$H$7+Inputs!$L$7*(((Inputs!$I$7+(((A35)+1)/2)*(Inputs!$J$7-Inputs!$I$7)))/Inputs!$K$7)^2))^2)))))/Inputs!$C$13),NA())</f>
        <v>2558.6903700820367</v>
      </c>
      <c r="P35" s="9">
        <f>IF(OR(Inputs!$F$8=TRUE,Inputs!$F$8="TRUE",Inputs!$F$8=1),(-2*((1000*((((Inputs!$I$8+(((A35)+1)/2)*(Inputs!$J$8-Inputs!$I$8)))*Inputs!$C$11+((Inputs!$H$8+Inputs!$L$8*(((Inputs!$I$8+(((A35)+1)/2)*(Inputs!$J$8-Inputs!$I$8)))/Inputs!$K$8)^2))*((2*Inputs!$L$8*((Inputs!$I$8+(((A35)+1)/2)*(Inputs!$J$8-Inputs!$I$8)))/(Inputs!$K$8^2)*Inputs!$C$11)))/(SQRT(((Inputs!$I$8+(((A35)+1)/2)*(Inputs!$J$8-Inputs!$I$8)))^2+Inputs!$C$6^2+((Inputs!$H$8+Inputs!$L$8*(((Inputs!$I$8+(((A35)+1)/2)*(Inputs!$J$8-Inputs!$I$8)))/Inputs!$K$8)^2))^2)))))/Inputs!$C$13),NA())</f>
        <v>3078.4154877124552</v>
      </c>
      <c r="Q35" s="9">
        <f>IF(OR(Inputs!$F$9=TRUE,Inputs!$F$9="TRUE",Inputs!$F$9=1),(-2*((1000*((((Inputs!$I$9+(((A35)+1)/2)*(Inputs!$J$9-Inputs!$I$9)))*Inputs!$C$11+((Inputs!$H$9+Inputs!$L$9*(((Inputs!$I$9+(((A35)+1)/2)*(Inputs!$J$9-Inputs!$I$9)))/Inputs!$K$9)^2))*((2*Inputs!$L$9*((Inputs!$I$9+(((A35)+1)/2)*(Inputs!$J$9-Inputs!$I$9)))/(Inputs!$K$9^2)*Inputs!$C$11)))/(SQRT(((Inputs!$I$9+(((A35)+1)/2)*(Inputs!$J$9-Inputs!$I$9)))^2+Inputs!$C$6^2+((Inputs!$H$9+Inputs!$L$9*(((Inputs!$I$9+(((A35)+1)/2)*(Inputs!$J$9-Inputs!$I$9)))/Inputs!$K$9)^2))^2)))))/Inputs!$C$13),NA())</f>
        <v>3093.9071424175872</v>
      </c>
      <c r="R35" s="10"/>
      <c r="S35" s="9">
        <f t="shared" si="2"/>
        <v>-0.72499999999999998</v>
      </c>
      <c r="T35" s="9">
        <f>(Inputs!$I$6+(((A35)+1)/2)*(Inputs!$J$6-Inputs!$I$6))</f>
        <v>-43.5</v>
      </c>
      <c r="U35" s="9">
        <f>(Inputs!$I$7+(((A35)+1)/2)*(Inputs!$J$7-Inputs!$I$7))</f>
        <v>-290</v>
      </c>
      <c r="V35" s="9">
        <f>(Inputs!$I$8+(((A35)+1)/2)*(Inputs!$J$8-Inputs!$I$8))</f>
        <v>-580</v>
      </c>
      <c r="W35" s="9">
        <f>(Inputs!$I$9+(((A35)+1)/2)*(Inputs!$J$9-Inputs!$I$9))</f>
        <v>-580</v>
      </c>
      <c r="X35" s="10"/>
      <c r="Y35" s="9">
        <f t="shared" si="3"/>
        <v>-0.72499999999999998</v>
      </c>
      <c r="Z35" s="9">
        <f>(Inputs!$H$6+Inputs!$L$6*(((Inputs!$I$6+(((A35)+1)/2)*(Inputs!$J$6-Inputs!$I$6)))/Inputs!$K$6)^2)</f>
        <v>402.10250000000002</v>
      </c>
      <c r="AA35" s="9">
        <f>(Inputs!$H$7+Inputs!$L$7*(((Inputs!$I$7+(((A35)+1)/2)*(Inputs!$J$7-Inputs!$I$7)))/Inputs!$K$7)^2)</f>
        <v>226.85312500000001</v>
      </c>
      <c r="AB35" s="9">
        <f>(Inputs!$H$8+Inputs!$L$8*(((Inputs!$I$8+(((A35)+1)/2)*(Inputs!$J$8-Inputs!$I$8)))/Inputs!$K$8)^2)</f>
        <v>542.22812500000009</v>
      </c>
      <c r="AC35" s="9">
        <f>(Inputs!$H$9+Inputs!$L$9*(((Inputs!$I$9+(((A35)+1)/2)*(Inputs!$J$9-Inputs!$I$9)))/Inputs!$K$9)^2)</f>
        <v>537.484375</v>
      </c>
      <c r="AD35" s="10"/>
      <c r="AE35" s="9">
        <f t="shared" si="4"/>
        <v>-0.72499999999999998</v>
      </c>
      <c r="AF35" s="9">
        <f>(((SQRT(((Inputs!$I$6+(((A35)+1)/2)*(Inputs!$J$6-Inputs!$I$6)))^2+Inputs!$C$6^2+((Inputs!$H$6+Inputs!$L$6*(((Inputs!$I$6+(((A35)+1)/2)*(Inputs!$J$6-Inputs!$I$6)))/Inputs!$K$6)^2))^2))-((Inputs!$H$6+Inputs!$L$6*(((Inputs!$I$6+(((A35)+1)/2)*(Inputs!$J$6-Inputs!$I$6)))/Inputs!$K$6)^2)))*1000/Inputs!$C$12)</f>
        <v>1751.6970986344204</v>
      </c>
      <c r="AG35" s="9">
        <f>(((SQRT(((Inputs!$I$7+(((A35)+1)/2)*(Inputs!$J$7-Inputs!$I$7)))^2+Inputs!$C$6^2+((Inputs!$H$7+Inputs!$L$7*(((Inputs!$I$7+(((A35)+1)/2)*(Inputs!$J$7-Inputs!$I$7)))/Inputs!$K$7)^2))^2))-((Inputs!$H$7+Inputs!$L$7*(((Inputs!$I$7+(((A35)+1)/2)*(Inputs!$J$7-Inputs!$I$7)))/Inputs!$K$7)^2)))*1000/Inputs!$C$12)</f>
        <v>79877.845375069359</v>
      </c>
      <c r="AH35" s="9">
        <f>(((SQRT(((Inputs!$I$8+(((A35)+1)/2)*(Inputs!$J$8-Inputs!$I$8)))^2+Inputs!$C$6^2+((Inputs!$H$8+Inputs!$L$8*(((Inputs!$I$8+(((A35)+1)/2)*(Inputs!$J$8-Inputs!$I$8)))/Inputs!$K$8)^2))^2))-((Inputs!$H$8+Inputs!$L$8*(((Inputs!$I$8+(((A35)+1)/2)*(Inputs!$J$8-Inputs!$I$8)))/Inputs!$K$8)^2)))*1000/Inputs!$C$12)</f>
        <v>141657.20933300967</v>
      </c>
      <c r="AI35" s="9">
        <f>(((SQRT(((Inputs!$I$9+(((A35)+1)/2)*(Inputs!$J$9-Inputs!$I$9)))^2+Inputs!$C$6^2+((Inputs!$H$9+Inputs!$L$9*(((Inputs!$I$9+(((A35)+1)/2)*(Inputs!$J$9-Inputs!$I$9)))/Inputs!$K$9)^2))^2))-((Inputs!$H$9+Inputs!$L$9*(((Inputs!$I$9+(((A35)+1)/2)*(Inputs!$J$9-Inputs!$I$9)))/Inputs!$K$9)^2)))*1000/Inputs!$C$12)</f>
        <v>142507.40434762553</v>
      </c>
      <c r="AJ35" s="10"/>
      <c r="AK35" s="9">
        <f t="shared" si="5"/>
        <v>-0.72499999999999998</v>
      </c>
      <c r="AL35" s="9">
        <f>(-2*((1000*((((Inputs!$I$6+(((A35)+1)/2)*(Inputs!$J$6-Inputs!$I$6)))*Inputs!$C$11+((Inputs!$H$6+Inputs!$L$6*(((Inputs!$I$6+(((A35)+1)/2)*(Inputs!$J$6-Inputs!$I$6)))/Inputs!$K$6)^2))*((2*Inputs!$L$6*((Inputs!$I$6+(((A35)+1)/2)*(Inputs!$J$6-Inputs!$I$6)))/(Inputs!$K$6^2)*Inputs!$C$11)))/(SQRT(((Inputs!$I$6+(((A35)+1)/2)*(Inputs!$J$6-Inputs!$I$6)))^2+Inputs!$C$6^2+((Inputs!$H$6+Inputs!$L$6*(((Inputs!$I$6+(((A35)+1)/2)*(Inputs!$J$6-Inputs!$I$6)))/Inputs!$K$6)^2))^2)))))/Inputs!$C$13)</f>
        <v>325.23489447567232</v>
      </c>
      <c r="AM35" s="9">
        <f>(-2*((1000*((((Inputs!$I$7+(((A35)+1)/2)*(Inputs!$J$7-Inputs!$I$7)))*Inputs!$C$11+((Inputs!$H$7+Inputs!$L$7*(((Inputs!$I$7+(((A35)+1)/2)*(Inputs!$J$7-Inputs!$I$7)))/Inputs!$K$7)^2))*((2*Inputs!$L$7*((Inputs!$I$7+(((A35)+1)/2)*(Inputs!$J$7-Inputs!$I$7)))/(Inputs!$K$7^2)*Inputs!$C$11)))/(SQRT(((Inputs!$I$7+(((A35)+1)/2)*(Inputs!$J$7-Inputs!$I$7)))^2+Inputs!$C$6^2+((Inputs!$H$7+Inputs!$L$7*(((Inputs!$I$7+(((A35)+1)/2)*(Inputs!$J$7-Inputs!$I$7)))/Inputs!$K$7)^2))^2)))))/Inputs!$C$13)</f>
        <v>2558.6903700820367</v>
      </c>
      <c r="AN35" s="9">
        <f>(-2*((1000*((((Inputs!$I$8+(((A35)+1)/2)*(Inputs!$J$8-Inputs!$I$8)))*Inputs!$C$11+((Inputs!$H$8+Inputs!$L$8*(((Inputs!$I$8+(((A35)+1)/2)*(Inputs!$J$8-Inputs!$I$8)))/Inputs!$K$8)^2))*((2*Inputs!$L$8*((Inputs!$I$8+(((A35)+1)/2)*(Inputs!$J$8-Inputs!$I$8)))/(Inputs!$K$8^2)*Inputs!$C$11)))/(SQRT(((Inputs!$I$8+(((A35)+1)/2)*(Inputs!$J$8-Inputs!$I$8)))^2+Inputs!$C$6^2+((Inputs!$H$8+Inputs!$L$8*(((Inputs!$I$8+(((A35)+1)/2)*(Inputs!$J$8-Inputs!$I$8)))/Inputs!$K$8)^2))^2)))))/Inputs!$C$13)</f>
        <v>3078.4154877124552</v>
      </c>
      <c r="AO35" s="9">
        <f>(-2*((1000*((((Inputs!$I$9+(((A35)+1)/2)*(Inputs!$J$9-Inputs!$I$9)))*Inputs!$C$11+((Inputs!$H$9+Inputs!$L$9*(((Inputs!$I$9+(((A35)+1)/2)*(Inputs!$J$9-Inputs!$I$9)))/Inputs!$K$9)^2))*((2*Inputs!$L$9*((Inputs!$I$9+(((A35)+1)/2)*(Inputs!$J$9-Inputs!$I$9)))/(Inputs!$K$9^2)*Inputs!$C$11)))/(SQRT(((Inputs!$I$9+(((A35)+1)/2)*(Inputs!$J$9-Inputs!$I$9)))^2+Inputs!$C$6^2+((Inputs!$H$9+Inputs!$L$9*(((Inputs!$I$9+(((A35)+1)/2)*(Inputs!$J$9-Inputs!$I$9)))/Inputs!$K$9)^2))^2)))))/Inputs!$C$13)</f>
        <v>3093.9071424175872</v>
      </c>
    </row>
    <row r="36" spans="1:41">
      <c r="A36" s="9">
        <f>ROUND(-1+34*2/240,3)</f>
        <v>-0.71699999999999997</v>
      </c>
      <c r="B36" s="9">
        <f>IF(OR(Inputs!$F$6=TRUE,Inputs!$F$6="TRUE",Inputs!$F$6=1),(Inputs!$H$6+Inputs!$L$6*(((Inputs!$I$6+(((A36)+1)/2)*(Inputs!$J$6-Inputs!$I$6)))/Inputs!$K$6)^2),NA())</f>
        <v>402.05635599999999</v>
      </c>
      <c r="C36" s="9">
        <f>IF(OR(Inputs!$F$7=TRUE,Inputs!$F$7="TRUE",Inputs!$F$7=1),(Inputs!$H$7+Inputs!$L$7*(((Inputs!$I$7+(((A36)+1)/2)*(Inputs!$J$7-Inputs!$I$7)))/Inputs!$K$7)^2),NA())</f>
        <v>222.64248499999994</v>
      </c>
      <c r="D36" s="9">
        <f>IF(OR(Inputs!$F$8=TRUE,Inputs!$F$8="TRUE",Inputs!$F$8=1),(Inputs!$H$8+Inputs!$L$8*(((Inputs!$I$8+(((A36)+1)/2)*(Inputs!$J$8-Inputs!$I$8)))/Inputs!$K$8)^2),NA())</f>
        <v>531.09588499999973</v>
      </c>
      <c r="E36" s="9">
        <f>IF(OR(Inputs!$F$9=TRUE,Inputs!$F$9="TRUE",Inputs!$F$9=1),(Inputs!$H$9+Inputs!$L$9*(((Inputs!$I$9+(((A36)+1)/2)*(Inputs!$J$9-Inputs!$I$9)))/Inputs!$K$9)^2),NA())</f>
        <v>526.23677499999985</v>
      </c>
      <c r="F36" s="10"/>
      <c r="G36" s="9">
        <f t="shared" si="0"/>
        <v>-0.71699999999999997</v>
      </c>
      <c r="H36" s="9">
        <f>IF(OR(Inputs!$F$6=TRUE,Inputs!$F$6="TRUE",Inputs!$F$6=1),(((SQRT(((Inputs!$I$6+(((A36)+1)/2)*(Inputs!$J$6-Inputs!$I$6)))^2+Inputs!$C$6^2+((Inputs!$H$6+Inputs!$L$6*(((Inputs!$I$6+(((A36)+1)/2)*(Inputs!$J$6-Inputs!$I$6)))/Inputs!$K$6)^2))^2))-((Inputs!$H$6+Inputs!$L$6*(((Inputs!$I$6+(((A36)+1)/2)*(Inputs!$J$6-Inputs!$I$6)))/Inputs!$K$6)^2)))*1000/Inputs!$C$12),NA())</f>
        <v>1723.1031993090069</v>
      </c>
      <c r="I36" s="9">
        <f>IF(OR(Inputs!$F$7=TRUE,Inputs!$F$7="TRUE",Inputs!$F$7=1),(((SQRT(((Inputs!$I$7+(((A36)+1)/2)*(Inputs!$J$7-Inputs!$I$7)))^2+Inputs!$C$6^2+((Inputs!$H$7+Inputs!$L$7*(((Inputs!$I$7+(((A36)+1)/2)*(Inputs!$J$7-Inputs!$I$7)))/Inputs!$K$7)^2))^2))-((Inputs!$H$7+Inputs!$L$7*(((Inputs!$I$7+(((A36)+1)/2)*(Inputs!$J$7-Inputs!$I$7)))/Inputs!$K$7)^2)))*1000/Inputs!$C$12),NA())</f>
        <v>79377.996406417573</v>
      </c>
      <c r="J36" s="9">
        <f>IF(OR(Inputs!$F$8=TRUE,Inputs!$F$8="TRUE",Inputs!$F$8=1),(((SQRT(((Inputs!$I$8+(((A36)+1)/2)*(Inputs!$J$8-Inputs!$I$8)))^2+Inputs!$C$6^2+((Inputs!$H$8+Inputs!$L$8*(((Inputs!$I$8+(((A36)+1)/2)*(Inputs!$J$8-Inputs!$I$8)))/Inputs!$K$8)^2))^2))-((Inputs!$H$8+Inputs!$L$8*(((Inputs!$I$8+(((A36)+1)/2)*(Inputs!$J$8-Inputs!$I$8)))/Inputs!$K$8)^2)))*1000/Inputs!$C$12),NA())</f>
        <v>141022.30723672023</v>
      </c>
      <c r="K36" s="9">
        <f>IF(OR(Inputs!$F$9=TRUE,Inputs!$F$9="TRUE",Inputs!$F$9=1),(((SQRT(((Inputs!$I$9+(((A36)+1)/2)*(Inputs!$J$9-Inputs!$I$9)))^2+Inputs!$C$6^2+((Inputs!$H$9+Inputs!$L$9*(((Inputs!$I$9+(((A36)+1)/2)*(Inputs!$J$9-Inputs!$I$9)))/Inputs!$K$9)^2))^2))-((Inputs!$H$9+Inputs!$L$9*(((Inputs!$I$9+(((A36)+1)/2)*(Inputs!$J$9-Inputs!$I$9)))/Inputs!$K$9)^2)))*1000/Inputs!$C$12),NA())</f>
        <v>141903.03652036257</v>
      </c>
      <c r="L36" s="10"/>
      <c r="M36" s="9">
        <f t="shared" si="1"/>
        <v>-0.71699999999999997</v>
      </c>
      <c r="N36" s="9">
        <f>IF(OR(Inputs!$F$6=TRUE,Inputs!$F$6="TRUE",Inputs!$F$6=1),(-2*((1000*((((Inputs!$I$6+(((A36)+1)/2)*(Inputs!$J$6-Inputs!$I$6)))*Inputs!$C$11+((Inputs!$H$6+Inputs!$L$6*(((Inputs!$I$6+(((A36)+1)/2)*(Inputs!$J$6-Inputs!$I$6)))/Inputs!$K$6)^2))*((2*Inputs!$L$6*((Inputs!$I$6+(((A36)+1)/2)*(Inputs!$J$6-Inputs!$I$6)))/(Inputs!$K$6^2)*Inputs!$C$11)))/(SQRT(((Inputs!$I$6+(((A36)+1)/2)*(Inputs!$J$6-Inputs!$I$6)))^2+Inputs!$C$6^2+((Inputs!$H$6+Inputs!$L$6*(((Inputs!$I$6+(((A36)+1)/2)*(Inputs!$J$6-Inputs!$I$6)))/Inputs!$K$6)^2))^2)))))/Inputs!$C$13),NA())</f>
        <v>321.70571874025723</v>
      </c>
      <c r="O36" s="9">
        <f>IF(OR(Inputs!$F$7=TRUE,Inputs!$F$7="TRUE",Inputs!$F$7=1),(-2*((1000*((((Inputs!$I$7+(((A36)+1)/2)*(Inputs!$J$7-Inputs!$I$7)))*Inputs!$C$11+((Inputs!$H$7+Inputs!$L$7*(((Inputs!$I$7+(((A36)+1)/2)*(Inputs!$J$7-Inputs!$I$7)))/Inputs!$K$7)^2))*((2*Inputs!$L$7*((Inputs!$I$7+(((A36)+1)/2)*(Inputs!$J$7-Inputs!$I$7)))/(Inputs!$K$7^2)*Inputs!$C$11)))/(SQRT(((Inputs!$I$7+(((A36)+1)/2)*(Inputs!$J$7-Inputs!$I$7)))^2+Inputs!$C$6^2+((Inputs!$H$7+Inputs!$L$7*(((Inputs!$I$7+(((A36)+1)/2)*(Inputs!$J$7-Inputs!$I$7)))/Inputs!$K$7)^2))^2)))))/Inputs!$C$13),NA())</f>
        <v>2541.6967384343852</v>
      </c>
      <c r="P36" s="9">
        <f>IF(OR(Inputs!$F$8=TRUE,Inputs!$F$8="TRUE",Inputs!$F$8=1),(-2*((1000*((((Inputs!$I$8+(((A36)+1)/2)*(Inputs!$J$8-Inputs!$I$8)))*Inputs!$C$11+((Inputs!$H$8+Inputs!$L$8*(((Inputs!$I$8+(((A36)+1)/2)*(Inputs!$J$8-Inputs!$I$8)))/Inputs!$K$8)^2))*((2*Inputs!$L$8*((Inputs!$I$8+(((A36)+1)/2)*(Inputs!$J$8-Inputs!$I$8)))/(Inputs!$K$8^2)*Inputs!$C$11)))/(SQRT(((Inputs!$I$8+(((A36)+1)/2)*(Inputs!$J$8-Inputs!$I$8)))^2+Inputs!$C$6^2+((Inputs!$H$8+Inputs!$L$8*(((Inputs!$I$8+(((A36)+1)/2)*(Inputs!$J$8-Inputs!$I$8)))/Inputs!$K$8)^2))^2)))))/Inputs!$C$13),NA())</f>
        <v>3052.7860817865858</v>
      </c>
      <c r="Q36" s="9">
        <f>IF(OR(Inputs!$F$9=TRUE,Inputs!$F$9="TRUE",Inputs!$F$9=1),(-2*((1000*((((Inputs!$I$9+(((A36)+1)/2)*(Inputs!$J$9-Inputs!$I$9)))*Inputs!$C$11+((Inputs!$H$9+Inputs!$L$9*(((Inputs!$I$9+(((A36)+1)/2)*(Inputs!$J$9-Inputs!$I$9)))/Inputs!$K$9)^2))*((2*Inputs!$L$9*((Inputs!$I$9+(((A36)+1)/2)*(Inputs!$J$9-Inputs!$I$9)))/(Inputs!$K$9^2)*Inputs!$C$11)))/(SQRT(((Inputs!$I$9+(((A36)+1)/2)*(Inputs!$J$9-Inputs!$I$9)))^2+Inputs!$C$6^2+((Inputs!$H$9+Inputs!$L$9*(((Inputs!$I$9+(((A36)+1)/2)*(Inputs!$J$9-Inputs!$I$9)))/Inputs!$K$9)^2))^2)))))/Inputs!$C$13),NA())</f>
        <v>3067.7988116821698</v>
      </c>
      <c r="R36" s="10"/>
      <c r="S36" s="9">
        <f t="shared" si="2"/>
        <v>-0.71699999999999997</v>
      </c>
      <c r="T36" s="9">
        <f>(Inputs!$I$6+(((A36)+1)/2)*(Inputs!$J$6-Inputs!$I$6))</f>
        <v>-43.019999999999996</v>
      </c>
      <c r="U36" s="9">
        <f>(Inputs!$I$7+(((A36)+1)/2)*(Inputs!$J$7-Inputs!$I$7))</f>
        <v>-286.79999999999995</v>
      </c>
      <c r="V36" s="9">
        <f>(Inputs!$I$8+(((A36)+1)/2)*(Inputs!$J$8-Inputs!$I$8))</f>
        <v>-573.59999999999991</v>
      </c>
      <c r="W36" s="9">
        <f>(Inputs!$I$9+(((A36)+1)/2)*(Inputs!$J$9-Inputs!$I$9))</f>
        <v>-573.59999999999991</v>
      </c>
      <c r="X36" s="10"/>
      <c r="Y36" s="9">
        <f t="shared" si="3"/>
        <v>-0.71699999999999997</v>
      </c>
      <c r="Z36" s="9">
        <f>(Inputs!$H$6+Inputs!$L$6*(((Inputs!$I$6+(((A36)+1)/2)*(Inputs!$J$6-Inputs!$I$6)))/Inputs!$K$6)^2)</f>
        <v>402.05635599999999</v>
      </c>
      <c r="AA36" s="9">
        <f>(Inputs!$H$7+Inputs!$L$7*(((Inputs!$I$7+(((A36)+1)/2)*(Inputs!$J$7-Inputs!$I$7)))/Inputs!$K$7)^2)</f>
        <v>222.64248499999994</v>
      </c>
      <c r="AB36" s="9">
        <f>(Inputs!$H$8+Inputs!$L$8*(((Inputs!$I$8+(((A36)+1)/2)*(Inputs!$J$8-Inputs!$I$8)))/Inputs!$K$8)^2)</f>
        <v>531.09588499999973</v>
      </c>
      <c r="AC36" s="9">
        <f>(Inputs!$H$9+Inputs!$L$9*(((Inputs!$I$9+(((A36)+1)/2)*(Inputs!$J$9-Inputs!$I$9)))/Inputs!$K$9)^2)</f>
        <v>526.23677499999985</v>
      </c>
      <c r="AD36" s="10"/>
      <c r="AE36" s="9">
        <f t="shared" si="4"/>
        <v>-0.71699999999999997</v>
      </c>
      <c r="AF36" s="9">
        <f>(((SQRT(((Inputs!$I$6+(((A36)+1)/2)*(Inputs!$J$6-Inputs!$I$6)))^2+Inputs!$C$6^2+((Inputs!$H$6+Inputs!$L$6*(((Inputs!$I$6+(((A36)+1)/2)*(Inputs!$J$6-Inputs!$I$6)))/Inputs!$K$6)^2))^2))-((Inputs!$H$6+Inputs!$L$6*(((Inputs!$I$6+(((A36)+1)/2)*(Inputs!$J$6-Inputs!$I$6)))/Inputs!$K$6)^2)))*1000/Inputs!$C$12)</f>
        <v>1723.1031993090069</v>
      </c>
      <c r="AG36" s="9">
        <f>(((SQRT(((Inputs!$I$7+(((A36)+1)/2)*(Inputs!$J$7-Inputs!$I$7)))^2+Inputs!$C$6^2+((Inputs!$H$7+Inputs!$L$7*(((Inputs!$I$7+(((A36)+1)/2)*(Inputs!$J$7-Inputs!$I$7)))/Inputs!$K$7)^2))^2))-((Inputs!$H$7+Inputs!$L$7*(((Inputs!$I$7+(((A36)+1)/2)*(Inputs!$J$7-Inputs!$I$7)))/Inputs!$K$7)^2)))*1000/Inputs!$C$12)</f>
        <v>79377.996406417573</v>
      </c>
      <c r="AH36" s="9">
        <f>(((SQRT(((Inputs!$I$8+(((A36)+1)/2)*(Inputs!$J$8-Inputs!$I$8)))^2+Inputs!$C$6^2+((Inputs!$H$8+Inputs!$L$8*(((Inputs!$I$8+(((A36)+1)/2)*(Inputs!$J$8-Inputs!$I$8)))/Inputs!$K$8)^2))^2))-((Inputs!$H$8+Inputs!$L$8*(((Inputs!$I$8+(((A36)+1)/2)*(Inputs!$J$8-Inputs!$I$8)))/Inputs!$K$8)^2)))*1000/Inputs!$C$12)</f>
        <v>141022.30723672023</v>
      </c>
      <c r="AI36" s="9">
        <f>(((SQRT(((Inputs!$I$9+(((A36)+1)/2)*(Inputs!$J$9-Inputs!$I$9)))^2+Inputs!$C$6^2+((Inputs!$H$9+Inputs!$L$9*(((Inputs!$I$9+(((A36)+1)/2)*(Inputs!$J$9-Inputs!$I$9)))/Inputs!$K$9)^2))^2))-((Inputs!$H$9+Inputs!$L$9*(((Inputs!$I$9+(((A36)+1)/2)*(Inputs!$J$9-Inputs!$I$9)))/Inputs!$K$9)^2)))*1000/Inputs!$C$12)</f>
        <v>141903.03652036257</v>
      </c>
      <c r="AJ36" s="10"/>
      <c r="AK36" s="9">
        <f t="shared" si="5"/>
        <v>-0.71699999999999997</v>
      </c>
      <c r="AL36" s="9">
        <f>(-2*((1000*((((Inputs!$I$6+(((A36)+1)/2)*(Inputs!$J$6-Inputs!$I$6)))*Inputs!$C$11+((Inputs!$H$6+Inputs!$L$6*(((Inputs!$I$6+(((A36)+1)/2)*(Inputs!$J$6-Inputs!$I$6)))/Inputs!$K$6)^2))*((2*Inputs!$L$6*((Inputs!$I$6+(((A36)+1)/2)*(Inputs!$J$6-Inputs!$I$6)))/(Inputs!$K$6^2)*Inputs!$C$11)))/(SQRT(((Inputs!$I$6+(((A36)+1)/2)*(Inputs!$J$6-Inputs!$I$6)))^2+Inputs!$C$6^2+((Inputs!$H$6+Inputs!$L$6*(((Inputs!$I$6+(((A36)+1)/2)*(Inputs!$J$6-Inputs!$I$6)))/Inputs!$K$6)^2))^2)))))/Inputs!$C$13)</f>
        <v>321.70571874025723</v>
      </c>
      <c r="AM36" s="9">
        <f>(-2*((1000*((((Inputs!$I$7+(((A36)+1)/2)*(Inputs!$J$7-Inputs!$I$7)))*Inputs!$C$11+((Inputs!$H$7+Inputs!$L$7*(((Inputs!$I$7+(((A36)+1)/2)*(Inputs!$J$7-Inputs!$I$7)))/Inputs!$K$7)^2))*((2*Inputs!$L$7*((Inputs!$I$7+(((A36)+1)/2)*(Inputs!$J$7-Inputs!$I$7)))/(Inputs!$K$7^2)*Inputs!$C$11)))/(SQRT(((Inputs!$I$7+(((A36)+1)/2)*(Inputs!$J$7-Inputs!$I$7)))^2+Inputs!$C$6^2+((Inputs!$H$7+Inputs!$L$7*(((Inputs!$I$7+(((A36)+1)/2)*(Inputs!$J$7-Inputs!$I$7)))/Inputs!$K$7)^2))^2)))))/Inputs!$C$13)</f>
        <v>2541.6967384343852</v>
      </c>
      <c r="AN36" s="9">
        <f>(-2*((1000*((((Inputs!$I$8+(((A36)+1)/2)*(Inputs!$J$8-Inputs!$I$8)))*Inputs!$C$11+((Inputs!$H$8+Inputs!$L$8*(((Inputs!$I$8+(((A36)+1)/2)*(Inputs!$J$8-Inputs!$I$8)))/Inputs!$K$8)^2))*((2*Inputs!$L$8*((Inputs!$I$8+(((A36)+1)/2)*(Inputs!$J$8-Inputs!$I$8)))/(Inputs!$K$8^2)*Inputs!$C$11)))/(SQRT(((Inputs!$I$8+(((A36)+1)/2)*(Inputs!$J$8-Inputs!$I$8)))^2+Inputs!$C$6^2+((Inputs!$H$8+Inputs!$L$8*(((Inputs!$I$8+(((A36)+1)/2)*(Inputs!$J$8-Inputs!$I$8)))/Inputs!$K$8)^2))^2)))))/Inputs!$C$13)</f>
        <v>3052.7860817865858</v>
      </c>
      <c r="AO36" s="9">
        <f>(-2*((1000*((((Inputs!$I$9+(((A36)+1)/2)*(Inputs!$J$9-Inputs!$I$9)))*Inputs!$C$11+((Inputs!$H$9+Inputs!$L$9*(((Inputs!$I$9+(((A36)+1)/2)*(Inputs!$J$9-Inputs!$I$9)))/Inputs!$K$9)^2))*((2*Inputs!$L$9*((Inputs!$I$9+(((A36)+1)/2)*(Inputs!$J$9-Inputs!$I$9)))/(Inputs!$K$9^2)*Inputs!$C$11)))/(SQRT(((Inputs!$I$9+(((A36)+1)/2)*(Inputs!$J$9-Inputs!$I$9)))^2+Inputs!$C$6^2+((Inputs!$H$9+Inputs!$L$9*(((Inputs!$I$9+(((A36)+1)/2)*(Inputs!$J$9-Inputs!$I$9)))/Inputs!$K$9)^2))^2)))))/Inputs!$C$13)</f>
        <v>3067.7988116821698</v>
      </c>
    </row>
    <row r="37" spans="1:41">
      <c r="A37" s="9">
        <f>ROUND(-1+35*2/240,3)</f>
        <v>-0.70799999999999996</v>
      </c>
      <c r="B37" s="9">
        <f>IF(OR(Inputs!$F$6=TRUE,Inputs!$F$6="TRUE",Inputs!$F$6=1),(Inputs!$H$6+Inputs!$L$6*(((Inputs!$I$6+(((A37)+1)/2)*(Inputs!$J$6-Inputs!$I$6)))/Inputs!$K$6)^2),NA())</f>
        <v>402.00505600000002</v>
      </c>
      <c r="C37" s="9">
        <f>IF(OR(Inputs!$F$7=TRUE,Inputs!$F$7="TRUE",Inputs!$F$7=1),(Inputs!$H$7+Inputs!$L$7*(((Inputs!$I$7+(((A37)+1)/2)*(Inputs!$J$7-Inputs!$I$7)))/Inputs!$K$7)^2),NA())</f>
        <v>217.96135999999998</v>
      </c>
      <c r="D37" s="9">
        <f>IF(OR(Inputs!$F$8=TRUE,Inputs!$F$8="TRUE",Inputs!$F$8=1),(Inputs!$H$8+Inputs!$L$8*(((Inputs!$I$8+(((A37)+1)/2)*(Inputs!$J$8-Inputs!$I$8)))/Inputs!$K$8)^2),NA())</f>
        <v>518.71975999999995</v>
      </c>
      <c r="E37" s="9">
        <f>IF(OR(Inputs!$F$9=TRUE,Inputs!$F$9="TRUE",Inputs!$F$9=1),(Inputs!$H$9+Inputs!$L$9*(((Inputs!$I$9+(((A37)+1)/2)*(Inputs!$J$9-Inputs!$I$9)))/Inputs!$K$9)^2),NA())</f>
        <v>513.73239999999987</v>
      </c>
      <c r="F37" s="10"/>
      <c r="G37" s="9">
        <f t="shared" si="0"/>
        <v>-0.70799999999999996</v>
      </c>
      <c r="H37" s="9">
        <f>IF(OR(Inputs!$F$6=TRUE,Inputs!$F$6="TRUE",Inputs!$F$6=1),(((SQRT(((Inputs!$I$6+(((A37)+1)/2)*(Inputs!$J$6-Inputs!$I$6)))^2+Inputs!$C$6^2+((Inputs!$H$6+Inputs!$L$6*(((Inputs!$I$6+(((A37)+1)/2)*(Inputs!$J$6-Inputs!$I$6)))/Inputs!$K$6)^2))^2))-((Inputs!$H$6+Inputs!$L$6*(((Inputs!$I$6+(((A37)+1)/2)*(Inputs!$J$6-Inputs!$I$6)))/Inputs!$K$6)^2)))*1000/Inputs!$C$12),NA())</f>
        <v>1691.3024323785614</v>
      </c>
      <c r="I37" s="9">
        <f>IF(OR(Inputs!$F$7=TRUE,Inputs!$F$7="TRUE",Inputs!$F$7=1),(((SQRT(((Inputs!$I$7+(((A37)+1)/2)*(Inputs!$J$7-Inputs!$I$7)))^2+Inputs!$C$6^2+((Inputs!$H$7+Inputs!$L$7*(((Inputs!$I$7+(((A37)+1)/2)*(Inputs!$J$7-Inputs!$I$7)))/Inputs!$K$7)^2))^2))-((Inputs!$H$7+Inputs!$L$7*(((Inputs!$I$7+(((A37)+1)/2)*(Inputs!$J$7-Inputs!$I$7)))/Inputs!$K$7)^2)))*1000/Inputs!$C$12),NA())</f>
        <v>78807.046085989787</v>
      </c>
      <c r="J37" s="9">
        <f>IF(OR(Inputs!$F$8=TRUE,Inputs!$F$8="TRUE",Inputs!$F$8=1),(((SQRT(((Inputs!$I$8+(((A37)+1)/2)*(Inputs!$J$8-Inputs!$I$8)))^2+Inputs!$C$6^2+((Inputs!$H$8+Inputs!$L$8*(((Inputs!$I$8+(((A37)+1)/2)*(Inputs!$J$8-Inputs!$I$8)))/Inputs!$K$8)^2))^2))-((Inputs!$H$8+Inputs!$L$8*(((Inputs!$I$8+(((A37)+1)/2)*(Inputs!$J$8-Inputs!$I$8)))/Inputs!$K$8)^2)))*1000/Inputs!$C$12),NA())</f>
        <v>140293.77417289227</v>
      </c>
      <c r="K37" s="9">
        <f>IF(OR(Inputs!$F$9=TRUE,Inputs!$F$9="TRUE",Inputs!$F$9=1),(((SQRT(((Inputs!$I$9+(((A37)+1)/2)*(Inputs!$J$9-Inputs!$I$9)))^2+Inputs!$C$6^2+((Inputs!$H$9+Inputs!$L$9*(((Inputs!$I$9+(((A37)+1)/2)*(Inputs!$J$9-Inputs!$I$9)))/Inputs!$K$9)^2))^2))-((Inputs!$H$9+Inputs!$L$9*(((Inputs!$I$9+(((A37)+1)/2)*(Inputs!$J$9-Inputs!$I$9)))/Inputs!$K$9)^2)))*1000/Inputs!$C$12),NA())</f>
        <v>141209.28236686124</v>
      </c>
      <c r="L37" s="10"/>
      <c r="M37" s="9">
        <f t="shared" si="1"/>
        <v>-0.70799999999999996</v>
      </c>
      <c r="N37" s="9">
        <f>IF(OR(Inputs!$F$6=TRUE,Inputs!$F$6="TRUE",Inputs!$F$6=1),(-2*((1000*((((Inputs!$I$6+(((A37)+1)/2)*(Inputs!$J$6-Inputs!$I$6)))*Inputs!$C$11+((Inputs!$H$6+Inputs!$L$6*(((Inputs!$I$6+(((A37)+1)/2)*(Inputs!$J$6-Inputs!$I$6)))/Inputs!$K$6)^2))*((2*Inputs!$L$6*((Inputs!$I$6+(((A37)+1)/2)*(Inputs!$J$6-Inputs!$I$6)))/(Inputs!$K$6^2)*Inputs!$C$11)))/(SQRT(((Inputs!$I$6+(((A37)+1)/2)*(Inputs!$J$6-Inputs!$I$6)))^2+Inputs!$C$6^2+((Inputs!$H$6+Inputs!$L$6*(((Inputs!$I$6+(((A37)+1)/2)*(Inputs!$J$6-Inputs!$I$6)))/Inputs!$K$6)^2))^2)))))/Inputs!$C$13),NA())</f>
        <v>317.73307451506651</v>
      </c>
      <c r="O37" s="9">
        <f>IF(OR(Inputs!$F$7=TRUE,Inputs!$F$7="TRUE",Inputs!$F$7=1),(-2*((1000*((((Inputs!$I$7+(((A37)+1)/2)*(Inputs!$J$7-Inputs!$I$7)))*Inputs!$C$11+((Inputs!$H$7+Inputs!$L$7*(((Inputs!$I$7+(((A37)+1)/2)*(Inputs!$J$7-Inputs!$I$7)))/Inputs!$K$7)^2))*((2*Inputs!$L$7*((Inputs!$I$7+(((A37)+1)/2)*(Inputs!$J$7-Inputs!$I$7)))/(Inputs!$K$7^2)*Inputs!$C$11)))/(SQRT(((Inputs!$I$7+(((A37)+1)/2)*(Inputs!$J$7-Inputs!$I$7)))^2+Inputs!$C$6^2+((Inputs!$H$7+Inputs!$L$7*(((Inputs!$I$7+(((A37)+1)/2)*(Inputs!$J$7-Inputs!$I$7)))/Inputs!$K$7)^2))^2)))))/Inputs!$C$13),NA())</f>
        <v>2522.693975374485</v>
      </c>
      <c r="P37" s="9">
        <f>IF(OR(Inputs!$F$8=TRUE,Inputs!$F$8="TRUE",Inputs!$F$8=1),(-2*((1000*((((Inputs!$I$8+(((A37)+1)/2)*(Inputs!$J$8-Inputs!$I$8)))*Inputs!$C$11+((Inputs!$H$8+Inputs!$L$8*(((Inputs!$I$8+(((A37)+1)/2)*(Inputs!$J$8-Inputs!$I$8)))/Inputs!$K$8)^2))*((2*Inputs!$L$8*((Inputs!$I$8+(((A37)+1)/2)*(Inputs!$J$8-Inputs!$I$8)))/(Inputs!$K$8^2)*Inputs!$C$11)))/(SQRT(((Inputs!$I$8+(((A37)+1)/2)*(Inputs!$J$8-Inputs!$I$8)))^2+Inputs!$C$6^2+((Inputs!$H$8+Inputs!$L$8*(((Inputs!$I$8+(((A37)+1)/2)*(Inputs!$J$8-Inputs!$I$8)))/Inputs!$K$8)^2))^2)))))/Inputs!$C$13),NA())</f>
        <v>3024.0887500848658</v>
      </c>
      <c r="Q37" s="9">
        <f>IF(OR(Inputs!$F$9=TRUE,Inputs!$F$9="TRUE",Inputs!$F$9=1),(-2*((1000*((((Inputs!$I$9+(((A37)+1)/2)*(Inputs!$J$9-Inputs!$I$9)))*Inputs!$C$11+((Inputs!$H$9+Inputs!$L$9*(((Inputs!$I$9+(((A37)+1)/2)*(Inputs!$J$9-Inputs!$I$9)))/Inputs!$K$9)^2))*((2*Inputs!$L$9*((Inputs!$I$9+(((A37)+1)/2)*(Inputs!$J$9-Inputs!$I$9)))/(Inputs!$K$9^2)*Inputs!$C$11)))/(SQRT(((Inputs!$I$9+(((A37)+1)/2)*(Inputs!$J$9-Inputs!$I$9)))^2+Inputs!$C$6^2+((Inputs!$H$9+Inputs!$L$9*(((Inputs!$I$9+(((A37)+1)/2)*(Inputs!$J$9-Inputs!$I$9)))/Inputs!$K$9)^2))^2)))))/Inputs!$C$13),NA())</f>
        <v>3038.5619088403914</v>
      </c>
      <c r="R37" s="10"/>
      <c r="S37" s="9">
        <f t="shared" si="2"/>
        <v>-0.70799999999999996</v>
      </c>
      <c r="T37" s="9">
        <f>(Inputs!$I$6+(((A37)+1)/2)*(Inputs!$J$6-Inputs!$I$6))</f>
        <v>-42.48</v>
      </c>
      <c r="U37" s="9">
        <f>(Inputs!$I$7+(((A37)+1)/2)*(Inputs!$J$7-Inputs!$I$7))</f>
        <v>-283.2</v>
      </c>
      <c r="V37" s="9">
        <f>(Inputs!$I$8+(((A37)+1)/2)*(Inputs!$J$8-Inputs!$I$8))</f>
        <v>-566.4</v>
      </c>
      <c r="W37" s="9">
        <f>(Inputs!$I$9+(((A37)+1)/2)*(Inputs!$J$9-Inputs!$I$9))</f>
        <v>-566.4</v>
      </c>
      <c r="X37" s="10"/>
      <c r="Y37" s="9">
        <f t="shared" si="3"/>
        <v>-0.70799999999999996</v>
      </c>
      <c r="Z37" s="9">
        <f>(Inputs!$H$6+Inputs!$L$6*(((Inputs!$I$6+(((A37)+1)/2)*(Inputs!$J$6-Inputs!$I$6)))/Inputs!$K$6)^2)</f>
        <v>402.00505600000002</v>
      </c>
      <c r="AA37" s="9">
        <f>(Inputs!$H$7+Inputs!$L$7*(((Inputs!$I$7+(((A37)+1)/2)*(Inputs!$J$7-Inputs!$I$7)))/Inputs!$K$7)^2)</f>
        <v>217.96135999999998</v>
      </c>
      <c r="AB37" s="9">
        <f>(Inputs!$H$8+Inputs!$L$8*(((Inputs!$I$8+(((A37)+1)/2)*(Inputs!$J$8-Inputs!$I$8)))/Inputs!$K$8)^2)</f>
        <v>518.71975999999995</v>
      </c>
      <c r="AC37" s="9">
        <f>(Inputs!$H$9+Inputs!$L$9*(((Inputs!$I$9+(((A37)+1)/2)*(Inputs!$J$9-Inputs!$I$9)))/Inputs!$K$9)^2)</f>
        <v>513.73239999999987</v>
      </c>
      <c r="AD37" s="10"/>
      <c r="AE37" s="9">
        <f t="shared" si="4"/>
        <v>-0.70799999999999996</v>
      </c>
      <c r="AF37" s="9">
        <f>(((SQRT(((Inputs!$I$6+(((A37)+1)/2)*(Inputs!$J$6-Inputs!$I$6)))^2+Inputs!$C$6^2+((Inputs!$H$6+Inputs!$L$6*(((Inputs!$I$6+(((A37)+1)/2)*(Inputs!$J$6-Inputs!$I$6)))/Inputs!$K$6)^2))^2))-((Inputs!$H$6+Inputs!$L$6*(((Inputs!$I$6+(((A37)+1)/2)*(Inputs!$J$6-Inputs!$I$6)))/Inputs!$K$6)^2)))*1000/Inputs!$C$12)</f>
        <v>1691.3024323785614</v>
      </c>
      <c r="AG37" s="9">
        <f>(((SQRT(((Inputs!$I$7+(((A37)+1)/2)*(Inputs!$J$7-Inputs!$I$7)))^2+Inputs!$C$6^2+((Inputs!$H$7+Inputs!$L$7*(((Inputs!$I$7+(((A37)+1)/2)*(Inputs!$J$7-Inputs!$I$7)))/Inputs!$K$7)^2))^2))-((Inputs!$H$7+Inputs!$L$7*(((Inputs!$I$7+(((A37)+1)/2)*(Inputs!$J$7-Inputs!$I$7)))/Inputs!$K$7)^2)))*1000/Inputs!$C$12)</f>
        <v>78807.046085989787</v>
      </c>
      <c r="AH37" s="9">
        <f>(((SQRT(((Inputs!$I$8+(((A37)+1)/2)*(Inputs!$J$8-Inputs!$I$8)))^2+Inputs!$C$6^2+((Inputs!$H$8+Inputs!$L$8*(((Inputs!$I$8+(((A37)+1)/2)*(Inputs!$J$8-Inputs!$I$8)))/Inputs!$K$8)^2))^2))-((Inputs!$H$8+Inputs!$L$8*(((Inputs!$I$8+(((A37)+1)/2)*(Inputs!$J$8-Inputs!$I$8)))/Inputs!$K$8)^2)))*1000/Inputs!$C$12)</f>
        <v>140293.77417289227</v>
      </c>
      <c r="AI37" s="9">
        <f>(((SQRT(((Inputs!$I$9+(((A37)+1)/2)*(Inputs!$J$9-Inputs!$I$9)))^2+Inputs!$C$6^2+((Inputs!$H$9+Inputs!$L$9*(((Inputs!$I$9+(((A37)+1)/2)*(Inputs!$J$9-Inputs!$I$9)))/Inputs!$K$9)^2))^2))-((Inputs!$H$9+Inputs!$L$9*(((Inputs!$I$9+(((A37)+1)/2)*(Inputs!$J$9-Inputs!$I$9)))/Inputs!$K$9)^2)))*1000/Inputs!$C$12)</f>
        <v>141209.28236686124</v>
      </c>
      <c r="AJ37" s="10"/>
      <c r="AK37" s="9">
        <f t="shared" si="5"/>
        <v>-0.70799999999999996</v>
      </c>
      <c r="AL37" s="9">
        <f>(-2*((1000*((((Inputs!$I$6+(((A37)+1)/2)*(Inputs!$J$6-Inputs!$I$6)))*Inputs!$C$11+((Inputs!$H$6+Inputs!$L$6*(((Inputs!$I$6+(((A37)+1)/2)*(Inputs!$J$6-Inputs!$I$6)))/Inputs!$K$6)^2))*((2*Inputs!$L$6*((Inputs!$I$6+(((A37)+1)/2)*(Inputs!$J$6-Inputs!$I$6)))/(Inputs!$K$6^2)*Inputs!$C$11)))/(SQRT(((Inputs!$I$6+(((A37)+1)/2)*(Inputs!$J$6-Inputs!$I$6)))^2+Inputs!$C$6^2+((Inputs!$H$6+Inputs!$L$6*(((Inputs!$I$6+(((A37)+1)/2)*(Inputs!$J$6-Inputs!$I$6)))/Inputs!$K$6)^2))^2)))))/Inputs!$C$13)</f>
        <v>317.73307451506651</v>
      </c>
      <c r="AM37" s="9">
        <f>(-2*((1000*((((Inputs!$I$7+(((A37)+1)/2)*(Inputs!$J$7-Inputs!$I$7)))*Inputs!$C$11+((Inputs!$H$7+Inputs!$L$7*(((Inputs!$I$7+(((A37)+1)/2)*(Inputs!$J$7-Inputs!$I$7)))/Inputs!$K$7)^2))*((2*Inputs!$L$7*((Inputs!$I$7+(((A37)+1)/2)*(Inputs!$J$7-Inputs!$I$7)))/(Inputs!$K$7^2)*Inputs!$C$11)))/(SQRT(((Inputs!$I$7+(((A37)+1)/2)*(Inputs!$J$7-Inputs!$I$7)))^2+Inputs!$C$6^2+((Inputs!$H$7+Inputs!$L$7*(((Inputs!$I$7+(((A37)+1)/2)*(Inputs!$J$7-Inputs!$I$7)))/Inputs!$K$7)^2))^2)))))/Inputs!$C$13)</f>
        <v>2522.693975374485</v>
      </c>
      <c r="AN37" s="9">
        <f>(-2*((1000*((((Inputs!$I$8+(((A37)+1)/2)*(Inputs!$J$8-Inputs!$I$8)))*Inputs!$C$11+((Inputs!$H$8+Inputs!$L$8*(((Inputs!$I$8+(((A37)+1)/2)*(Inputs!$J$8-Inputs!$I$8)))/Inputs!$K$8)^2))*((2*Inputs!$L$8*((Inputs!$I$8+(((A37)+1)/2)*(Inputs!$J$8-Inputs!$I$8)))/(Inputs!$K$8^2)*Inputs!$C$11)))/(SQRT(((Inputs!$I$8+(((A37)+1)/2)*(Inputs!$J$8-Inputs!$I$8)))^2+Inputs!$C$6^2+((Inputs!$H$8+Inputs!$L$8*(((Inputs!$I$8+(((A37)+1)/2)*(Inputs!$J$8-Inputs!$I$8)))/Inputs!$K$8)^2))^2)))))/Inputs!$C$13)</f>
        <v>3024.0887500848658</v>
      </c>
      <c r="AO37" s="9">
        <f>(-2*((1000*((((Inputs!$I$9+(((A37)+1)/2)*(Inputs!$J$9-Inputs!$I$9)))*Inputs!$C$11+((Inputs!$H$9+Inputs!$L$9*(((Inputs!$I$9+(((A37)+1)/2)*(Inputs!$J$9-Inputs!$I$9)))/Inputs!$K$9)^2))*((2*Inputs!$L$9*((Inputs!$I$9+(((A37)+1)/2)*(Inputs!$J$9-Inputs!$I$9)))/(Inputs!$K$9^2)*Inputs!$C$11)))/(SQRT(((Inputs!$I$9+(((A37)+1)/2)*(Inputs!$J$9-Inputs!$I$9)))^2+Inputs!$C$6^2+((Inputs!$H$9+Inputs!$L$9*(((Inputs!$I$9+(((A37)+1)/2)*(Inputs!$J$9-Inputs!$I$9)))/Inputs!$K$9)^2))^2)))))/Inputs!$C$13)</f>
        <v>3038.5619088403914</v>
      </c>
    </row>
    <row r="38" spans="1:41">
      <c r="A38" s="9">
        <f>ROUND(-1+36*2/240,3)</f>
        <v>-0.7</v>
      </c>
      <c r="B38" s="9">
        <f>IF(OR(Inputs!$F$6=TRUE,Inputs!$F$6="TRUE",Inputs!$F$6=1),(Inputs!$H$6+Inputs!$L$6*(((Inputs!$I$6+(((A38)+1)/2)*(Inputs!$J$6-Inputs!$I$6)))/Inputs!$K$6)^2),NA())</f>
        <v>401.96</v>
      </c>
      <c r="C38" s="9">
        <f>IF(OR(Inputs!$F$7=TRUE,Inputs!$F$7="TRUE",Inputs!$F$7=1),(Inputs!$H$7+Inputs!$L$7*(((Inputs!$I$7+(((A38)+1)/2)*(Inputs!$J$7-Inputs!$I$7)))/Inputs!$K$7)^2),NA())</f>
        <v>213.84999999999997</v>
      </c>
      <c r="D38" s="9">
        <f>IF(OR(Inputs!$F$8=TRUE,Inputs!$F$8="TRUE",Inputs!$F$8=1),(Inputs!$H$8+Inputs!$L$8*(((Inputs!$I$8+(((A38)+1)/2)*(Inputs!$J$8-Inputs!$I$8)))/Inputs!$K$8)^2),NA())</f>
        <v>507.84999999999997</v>
      </c>
      <c r="E38" s="9">
        <f>IF(OR(Inputs!$F$9=TRUE,Inputs!$F$9="TRUE",Inputs!$F$9=1),(Inputs!$H$9+Inputs!$L$9*(((Inputs!$I$9+(((A38)+1)/2)*(Inputs!$J$9-Inputs!$I$9)))/Inputs!$K$9)^2),NA())</f>
        <v>502.74999999999994</v>
      </c>
      <c r="F38" s="10"/>
      <c r="G38" s="9">
        <f t="shared" si="0"/>
        <v>-0.7</v>
      </c>
      <c r="H38" s="9">
        <f>IF(OR(Inputs!$F$6=TRUE,Inputs!$F$6="TRUE",Inputs!$F$6=1),(((SQRT(((Inputs!$I$6+(((A38)+1)/2)*(Inputs!$J$6-Inputs!$I$6)))^2+Inputs!$C$6^2+((Inputs!$H$6+Inputs!$L$6*(((Inputs!$I$6+(((A38)+1)/2)*(Inputs!$J$6-Inputs!$I$6)))/Inputs!$K$6)^2))^2))-((Inputs!$H$6+Inputs!$L$6*(((Inputs!$I$6+(((A38)+1)/2)*(Inputs!$J$6-Inputs!$I$6)))/Inputs!$K$6)^2)))*1000/Inputs!$C$12),NA())</f>
        <v>1663.3619953398884</v>
      </c>
      <c r="I38" s="9">
        <f>IF(OR(Inputs!$F$7=TRUE,Inputs!$F$7="TRUE",Inputs!$F$7=1),(((SQRT(((Inputs!$I$7+(((A38)+1)/2)*(Inputs!$J$7-Inputs!$I$7)))^2+Inputs!$C$6^2+((Inputs!$H$7+Inputs!$L$7*(((Inputs!$I$7+(((A38)+1)/2)*(Inputs!$J$7-Inputs!$I$7)))/Inputs!$K$7)^2))^2))-((Inputs!$H$7+Inputs!$L$7*(((Inputs!$I$7+(((A38)+1)/2)*(Inputs!$J$7-Inputs!$I$7)))/Inputs!$K$7)^2)))*1000/Inputs!$C$12),NA())</f>
        <v>78291.751826932392</v>
      </c>
      <c r="J38" s="9">
        <f>IF(OR(Inputs!$F$8=TRUE,Inputs!$F$8="TRUE",Inputs!$F$8=1),(((SQRT(((Inputs!$I$8+(((A38)+1)/2)*(Inputs!$J$8-Inputs!$I$8)))^2+Inputs!$C$6^2+((Inputs!$H$8+Inputs!$L$8*(((Inputs!$I$8+(((A38)+1)/2)*(Inputs!$J$8-Inputs!$I$8)))/Inputs!$K$8)^2))^2))-((Inputs!$H$8+Inputs!$L$8*(((Inputs!$I$8+(((A38)+1)/2)*(Inputs!$J$8-Inputs!$I$8)))/Inputs!$K$8)^2)))*1000/Inputs!$C$12),NA())</f>
        <v>139633.22067116378</v>
      </c>
      <c r="K38" s="9">
        <f>IF(OR(Inputs!$F$9=TRUE,Inputs!$F$9="TRUE",Inputs!$F$9=1),(((SQRT(((Inputs!$I$9+(((A38)+1)/2)*(Inputs!$J$9-Inputs!$I$9)))^2+Inputs!$C$6^2+((Inputs!$H$9+Inputs!$L$9*(((Inputs!$I$9+(((A38)+1)/2)*(Inputs!$J$9-Inputs!$I$9)))/Inputs!$K$9)^2))^2))-((Inputs!$H$9+Inputs!$L$9*(((Inputs!$I$9+(((A38)+1)/2)*(Inputs!$J$9-Inputs!$I$9)))/Inputs!$K$9)^2)))*1000/Inputs!$C$12),NA())</f>
        <v>140580.02528903959</v>
      </c>
      <c r="L38" s="10"/>
      <c r="M38" s="9">
        <f t="shared" si="1"/>
        <v>-0.7</v>
      </c>
      <c r="N38" s="9">
        <f>IF(OR(Inputs!$F$6=TRUE,Inputs!$F$6="TRUE",Inputs!$F$6=1),(-2*((1000*((((Inputs!$I$6+(((A38)+1)/2)*(Inputs!$J$6-Inputs!$I$6)))*Inputs!$C$11+((Inputs!$H$6+Inputs!$L$6*(((Inputs!$I$6+(((A38)+1)/2)*(Inputs!$J$6-Inputs!$I$6)))/Inputs!$K$6)^2))*((2*Inputs!$L$6*((Inputs!$I$6+(((A38)+1)/2)*(Inputs!$J$6-Inputs!$I$6)))/(Inputs!$K$6^2)*Inputs!$C$11)))/(SQRT(((Inputs!$I$6+(((A38)+1)/2)*(Inputs!$J$6-Inputs!$I$6)))^2+Inputs!$C$6^2+((Inputs!$H$6+Inputs!$L$6*(((Inputs!$I$6+(((A38)+1)/2)*(Inputs!$J$6-Inputs!$I$6)))/Inputs!$K$6)^2))^2)))))/Inputs!$C$13),NA())</f>
        <v>314.1997931036334</v>
      </c>
      <c r="O38" s="9">
        <f>IF(OR(Inputs!$F$7=TRUE,Inputs!$F$7="TRUE",Inputs!$F$7=1),(-2*((1000*((((Inputs!$I$7+(((A38)+1)/2)*(Inputs!$J$7-Inputs!$I$7)))*Inputs!$C$11+((Inputs!$H$7+Inputs!$L$7*(((Inputs!$I$7+(((A38)+1)/2)*(Inputs!$J$7-Inputs!$I$7)))/Inputs!$K$7)^2))*((2*Inputs!$L$7*((Inputs!$I$7+(((A38)+1)/2)*(Inputs!$J$7-Inputs!$I$7)))/(Inputs!$K$7^2)*Inputs!$C$11)))/(SQRT(((Inputs!$I$7+(((A38)+1)/2)*(Inputs!$J$7-Inputs!$I$7)))^2+Inputs!$C$6^2+((Inputs!$H$7+Inputs!$L$7*(((Inputs!$I$7+(((A38)+1)/2)*(Inputs!$J$7-Inputs!$I$7)))/Inputs!$K$7)^2))^2)))))/Inputs!$C$13),NA())</f>
        <v>2505.9061419457312</v>
      </c>
      <c r="P38" s="9">
        <f>IF(OR(Inputs!$F$8=TRUE,Inputs!$F$8="TRUE",Inputs!$F$8=1),(-2*((1000*((((Inputs!$I$8+(((A38)+1)/2)*(Inputs!$J$8-Inputs!$I$8)))*Inputs!$C$11+((Inputs!$H$8+Inputs!$L$8*(((Inputs!$I$8+(((A38)+1)/2)*(Inputs!$J$8-Inputs!$I$8)))/Inputs!$K$8)^2))*((2*Inputs!$L$8*((Inputs!$I$8+(((A38)+1)/2)*(Inputs!$J$8-Inputs!$I$8)))/(Inputs!$K$8^2)*Inputs!$C$11)))/(SQRT(((Inputs!$I$8+(((A38)+1)/2)*(Inputs!$J$8-Inputs!$I$8)))^2+Inputs!$C$6^2+((Inputs!$H$8+Inputs!$L$8*(((Inputs!$I$8+(((A38)+1)/2)*(Inputs!$J$8-Inputs!$I$8)))/Inputs!$K$8)^2))^2)))))/Inputs!$C$13),NA())</f>
        <v>2998.7034609975431</v>
      </c>
      <c r="Q38" s="9">
        <f>IF(OR(Inputs!$F$9=TRUE,Inputs!$F$9="TRUE",Inputs!$F$9=1),(-2*((1000*((((Inputs!$I$9+(((A38)+1)/2)*(Inputs!$J$9-Inputs!$I$9)))*Inputs!$C$11+((Inputs!$H$9+Inputs!$L$9*(((Inputs!$I$9+(((A38)+1)/2)*(Inputs!$J$9-Inputs!$I$9)))/Inputs!$K$9)^2))*((2*Inputs!$L$9*((Inputs!$I$9+(((A38)+1)/2)*(Inputs!$J$9-Inputs!$I$9)))/(Inputs!$K$9^2)*Inputs!$C$11)))/(SQRT(((Inputs!$I$9+(((A38)+1)/2)*(Inputs!$J$9-Inputs!$I$9)))^2+Inputs!$C$6^2+((Inputs!$H$9+Inputs!$L$9*(((Inputs!$I$9+(((A38)+1)/2)*(Inputs!$J$9-Inputs!$I$9)))/Inputs!$K$9)^2))^2)))))/Inputs!$C$13),NA())</f>
        <v>3012.6963981960357</v>
      </c>
      <c r="R38" s="10"/>
      <c r="S38" s="9">
        <f t="shared" si="2"/>
        <v>-0.7</v>
      </c>
      <c r="T38" s="9">
        <f>(Inputs!$I$6+(((A38)+1)/2)*(Inputs!$J$6-Inputs!$I$6))</f>
        <v>-42</v>
      </c>
      <c r="U38" s="9">
        <f>(Inputs!$I$7+(((A38)+1)/2)*(Inputs!$J$7-Inputs!$I$7))</f>
        <v>-280</v>
      </c>
      <c r="V38" s="9">
        <f>(Inputs!$I$8+(((A38)+1)/2)*(Inputs!$J$8-Inputs!$I$8))</f>
        <v>-560</v>
      </c>
      <c r="W38" s="9">
        <f>(Inputs!$I$9+(((A38)+1)/2)*(Inputs!$J$9-Inputs!$I$9))</f>
        <v>-560</v>
      </c>
      <c r="X38" s="10"/>
      <c r="Y38" s="9">
        <f t="shared" si="3"/>
        <v>-0.7</v>
      </c>
      <c r="Z38" s="9">
        <f>(Inputs!$H$6+Inputs!$L$6*(((Inputs!$I$6+(((A38)+1)/2)*(Inputs!$J$6-Inputs!$I$6)))/Inputs!$K$6)^2)</f>
        <v>401.96</v>
      </c>
      <c r="AA38" s="9">
        <f>(Inputs!$H$7+Inputs!$L$7*(((Inputs!$I$7+(((A38)+1)/2)*(Inputs!$J$7-Inputs!$I$7)))/Inputs!$K$7)^2)</f>
        <v>213.84999999999997</v>
      </c>
      <c r="AB38" s="9">
        <f>(Inputs!$H$8+Inputs!$L$8*(((Inputs!$I$8+(((A38)+1)/2)*(Inputs!$J$8-Inputs!$I$8)))/Inputs!$K$8)^2)</f>
        <v>507.84999999999997</v>
      </c>
      <c r="AC38" s="9">
        <f>(Inputs!$H$9+Inputs!$L$9*(((Inputs!$I$9+(((A38)+1)/2)*(Inputs!$J$9-Inputs!$I$9)))/Inputs!$K$9)^2)</f>
        <v>502.74999999999994</v>
      </c>
      <c r="AD38" s="10"/>
      <c r="AE38" s="9">
        <f t="shared" si="4"/>
        <v>-0.7</v>
      </c>
      <c r="AF38" s="9">
        <f>(((SQRT(((Inputs!$I$6+(((A38)+1)/2)*(Inputs!$J$6-Inputs!$I$6)))^2+Inputs!$C$6^2+((Inputs!$H$6+Inputs!$L$6*(((Inputs!$I$6+(((A38)+1)/2)*(Inputs!$J$6-Inputs!$I$6)))/Inputs!$K$6)^2))^2))-((Inputs!$H$6+Inputs!$L$6*(((Inputs!$I$6+(((A38)+1)/2)*(Inputs!$J$6-Inputs!$I$6)))/Inputs!$K$6)^2)))*1000/Inputs!$C$12)</f>
        <v>1663.3619953398884</v>
      </c>
      <c r="AG38" s="9">
        <f>(((SQRT(((Inputs!$I$7+(((A38)+1)/2)*(Inputs!$J$7-Inputs!$I$7)))^2+Inputs!$C$6^2+((Inputs!$H$7+Inputs!$L$7*(((Inputs!$I$7+(((A38)+1)/2)*(Inputs!$J$7-Inputs!$I$7)))/Inputs!$K$7)^2))^2))-((Inputs!$H$7+Inputs!$L$7*(((Inputs!$I$7+(((A38)+1)/2)*(Inputs!$J$7-Inputs!$I$7)))/Inputs!$K$7)^2)))*1000/Inputs!$C$12)</f>
        <v>78291.751826932392</v>
      </c>
      <c r="AH38" s="9">
        <f>(((SQRT(((Inputs!$I$8+(((A38)+1)/2)*(Inputs!$J$8-Inputs!$I$8)))^2+Inputs!$C$6^2+((Inputs!$H$8+Inputs!$L$8*(((Inputs!$I$8+(((A38)+1)/2)*(Inputs!$J$8-Inputs!$I$8)))/Inputs!$K$8)^2))^2))-((Inputs!$H$8+Inputs!$L$8*(((Inputs!$I$8+(((A38)+1)/2)*(Inputs!$J$8-Inputs!$I$8)))/Inputs!$K$8)^2)))*1000/Inputs!$C$12)</f>
        <v>139633.22067116378</v>
      </c>
      <c r="AI38" s="9">
        <f>(((SQRT(((Inputs!$I$9+(((A38)+1)/2)*(Inputs!$J$9-Inputs!$I$9)))^2+Inputs!$C$6^2+((Inputs!$H$9+Inputs!$L$9*(((Inputs!$I$9+(((A38)+1)/2)*(Inputs!$J$9-Inputs!$I$9)))/Inputs!$K$9)^2))^2))-((Inputs!$H$9+Inputs!$L$9*(((Inputs!$I$9+(((A38)+1)/2)*(Inputs!$J$9-Inputs!$I$9)))/Inputs!$K$9)^2)))*1000/Inputs!$C$12)</f>
        <v>140580.02528903959</v>
      </c>
      <c r="AJ38" s="10"/>
      <c r="AK38" s="9">
        <f t="shared" si="5"/>
        <v>-0.7</v>
      </c>
      <c r="AL38" s="9">
        <f>(-2*((1000*((((Inputs!$I$6+(((A38)+1)/2)*(Inputs!$J$6-Inputs!$I$6)))*Inputs!$C$11+((Inputs!$H$6+Inputs!$L$6*(((Inputs!$I$6+(((A38)+1)/2)*(Inputs!$J$6-Inputs!$I$6)))/Inputs!$K$6)^2))*((2*Inputs!$L$6*((Inputs!$I$6+(((A38)+1)/2)*(Inputs!$J$6-Inputs!$I$6)))/(Inputs!$K$6^2)*Inputs!$C$11)))/(SQRT(((Inputs!$I$6+(((A38)+1)/2)*(Inputs!$J$6-Inputs!$I$6)))^2+Inputs!$C$6^2+((Inputs!$H$6+Inputs!$L$6*(((Inputs!$I$6+(((A38)+1)/2)*(Inputs!$J$6-Inputs!$I$6)))/Inputs!$K$6)^2))^2)))))/Inputs!$C$13)</f>
        <v>314.1997931036334</v>
      </c>
      <c r="AM38" s="9">
        <f>(-2*((1000*((((Inputs!$I$7+(((A38)+1)/2)*(Inputs!$J$7-Inputs!$I$7)))*Inputs!$C$11+((Inputs!$H$7+Inputs!$L$7*(((Inputs!$I$7+(((A38)+1)/2)*(Inputs!$J$7-Inputs!$I$7)))/Inputs!$K$7)^2))*((2*Inputs!$L$7*((Inputs!$I$7+(((A38)+1)/2)*(Inputs!$J$7-Inputs!$I$7)))/(Inputs!$K$7^2)*Inputs!$C$11)))/(SQRT(((Inputs!$I$7+(((A38)+1)/2)*(Inputs!$J$7-Inputs!$I$7)))^2+Inputs!$C$6^2+((Inputs!$H$7+Inputs!$L$7*(((Inputs!$I$7+(((A38)+1)/2)*(Inputs!$J$7-Inputs!$I$7)))/Inputs!$K$7)^2))^2)))))/Inputs!$C$13)</f>
        <v>2505.9061419457312</v>
      </c>
      <c r="AN38" s="9">
        <f>(-2*((1000*((((Inputs!$I$8+(((A38)+1)/2)*(Inputs!$J$8-Inputs!$I$8)))*Inputs!$C$11+((Inputs!$H$8+Inputs!$L$8*(((Inputs!$I$8+(((A38)+1)/2)*(Inputs!$J$8-Inputs!$I$8)))/Inputs!$K$8)^2))*((2*Inputs!$L$8*((Inputs!$I$8+(((A38)+1)/2)*(Inputs!$J$8-Inputs!$I$8)))/(Inputs!$K$8^2)*Inputs!$C$11)))/(SQRT(((Inputs!$I$8+(((A38)+1)/2)*(Inputs!$J$8-Inputs!$I$8)))^2+Inputs!$C$6^2+((Inputs!$H$8+Inputs!$L$8*(((Inputs!$I$8+(((A38)+1)/2)*(Inputs!$J$8-Inputs!$I$8)))/Inputs!$K$8)^2))^2)))))/Inputs!$C$13)</f>
        <v>2998.7034609975431</v>
      </c>
      <c r="AO38" s="9">
        <f>(-2*((1000*((((Inputs!$I$9+(((A38)+1)/2)*(Inputs!$J$9-Inputs!$I$9)))*Inputs!$C$11+((Inputs!$H$9+Inputs!$L$9*(((Inputs!$I$9+(((A38)+1)/2)*(Inputs!$J$9-Inputs!$I$9)))/Inputs!$K$9)^2))*((2*Inputs!$L$9*((Inputs!$I$9+(((A38)+1)/2)*(Inputs!$J$9-Inputs!$I$9)))/(Inputs!$K$9^2)*Inputs!$C$11)))/(SQRT(((Inputs!$I$9+(((A38)+1)/2)*(Inputs!$J$9-Inputs!$I$9)))^2+Inputs!$C$6^2+((Inputs!$H$9+Inputs!$L$9*(((Inputs!$I$9+(((A38)+1)/2)*(Inputs!$J$9-Inputs!$I$9)))/Inputs!$K$9)^2))^2)))))/Inputs!$C$13)</f>
        <v>3012.6963981960357</v>
      </c>
    </row>
    <row r="39" spans="1:41">
      <c r="A39" s="9">
        <f>ROUND(-1+37*2/240,3)</f>
        <v>-0.69199999999999995</v>
      </c>
      <c r="B39" s="9">
        <f>IF(OR(Inputs!$F$6=TRUE,Inputs!$F$6="TRUE",Inputs!$F$6=1),(Inputs!$H$6+Inputs!$L$6*(((Inputs!$I$6+(((A39)+1)/2)*(Inputs!$J$6-Inputs!$I$6)))/Inputs!$K$6)^2),NA())</f>
        <v>401.91545600000001</v>
      </c>
      <c r="C39" s="9">
        <f>IF(OR(Inputs!$F$7=TRUE,Inputs!$F$7="TRUE",Inputs!$F$7=1),(Inputs!$H$7+Inputs!$L$7*(((Inputs!$I$7+(((A39)+1)/2)*(Inputs!$J$7-Inputs!$I$7)))/Inputs!$K$7)^2),NA())</f>
        <v>209.78535999999991</v>
      </c>
      <c r="D39" s="9">
        <f>IF(OR(Inputs!$F$8=TRUE,Inputs!$F$8="TRUE",Inputs!$F$8=1),(Inputs!$H$8+Inputs!$L$8*(((Inputs!$I$8+(((A39)+1)/2)*(Inputs!$J$8-Inputs!$I$8)))/Inputs!$K$8)^2),NA())</f>
        <v>497.1037599999998</v>
      </c>
      <c r="E39" s="9">
        <f>IF(OR(Inputs!$F$9=TRUE,Inputs!$F$9="TRUE",Inputs!$F$9=1),(Inputs!$H$9+Inputs!$L$9*(((Inputs!$I$9+(((A39)+1)/2)*(Inputs!$J$9-Inputs!$I$9)))/Inputs!$K$9)^2),NA())</f>
        <v>491.89239999999978</v>
      </c>
      <c r="F39" s="10"/>
      <c r="G39" s="9">
        <f t="shared" si="0"/>
        <v>-0.69199999999999995</v>
      </c>
      <c r="H39" s="9">
        <f>IF(OR(Inputs!$F$6=TRUE,Inputs!$F$6="TRUE",Inputs!$F$6=1),(((SQRT(((Inputs!$I$6+(((A39)+1)/2)*(Inputs!$J$6-Inputs!$I$6)))^2+Inputs!$C$6^2+((Inputs!$H$6+Inputs!$L$6*(((Inputs!$I$6+(((A39)+1)/2)*(Inputs!$J$6-Inputs!$I$6)))/Inputs!$K$6)^2))^2))-((Inputs!$H$6+Inputs!$L$6*(((Inputs!$I$6+(((A39)+1)/2)*(Inputs!$J$6-Inputs!$I$6)))/Inputs!$K$6)^2)))*1000/Inputs!$C$12),NA())</f>
        <v>1635.7295752474204</v>
      </c>
      <c r="I39" s="9">
        <f>IF(OR(Inputs!$F$7=TRUE,Inputs!$F$7="TRUE",Inputs!$F$7=1),(((SQRT(((Inputs!$I$7+(((A39)+1)/2)*(Inputs!$J$7-Inputs!$I$7)))^2+Inputs!$C$6^2+((Inputs!$H$7+Inputs!$L$7*(((Inputs!$I$7+(((A39)+1)/2)*(Inputs!$J$7-Inputs!$I$7)))/Inputs!$K$7)^2))^2))-((Inputs!$H$7+Inputs!$L$7*(((Inputs!$I$7+(((A39)+1)/2)*(Inputs!$J$7-Inputs!$I$7)))/Inputs!$K$7)^2)))*1000/Inputs!$C$12),NA())</f>
        <v>77769.017841641049</v>
      </c>
      <c r="J39" s="9">
        <f>IF(OR(Inputs!$F$8=TRUE,Inputs!$F$8="TRUE",Inputs!$F$8=1),(((SQRT(((Inputs!$I$8+(((A39)+1)/2)*(Inputs!$J$8-Inputs!$I$8)))^2+Inputs!$C$6^2+((Inputs!$H$8+Inputs!$L$8*(((Inputs!$I$8+(((A39)+1)/2)*(Inputs!$J$8-Inputs!$I$8)))/Inputs!$K$8)^2))^2))-((Inputs!$H$8+Inputs!$L$8*(((Inputs!$I$8+(((A39)+1)/2)*(Inputs!$J$8-Inputs!$I$8)))/Inputs!$K$8)^2)))*1000/Inputs!$C$12),NA())</f>
        <v>138960.18644100227</v>
      </c>
      <c r="K39" s="9">
        <f>IF(OR(Inputs!$F$9=TRUE,Inputs!$F$9="TRUE",Inputs!$F$9=1),(((SQRT(((Inputs!$I$9+(((A39)+1)/2)*(Inputs!$J$9-Inputs!$I$9)))^2+Inputs!$C$6^2+((Inputs!$H$9+Inputs!$L$9*(((Inputs!$I$9+(((A39)+1)/2)*(Inputs!$J$9-Inputs!$I$9)))/Inputs!$K$9)^2))^2))-((Inputs!$H$9+Inputs!$L$9*(((Inputs!$I$9+(((A39)+1)/2)*(Inputs!$J$9-Inputs!$I$9)))/Inputs!$K$9)^2)))*1000/Inputs!$C$12),NA())</f>
        <v>139938.64808234564</v>
      </c>
      <c r="L39" s="10"/>
      <c r="M39" s="9">
        <f t="shared" si="1"/>
        <v>-0.69199999999999995</v>
      </c>
      <c r="N39" s="9">
        <f>IF(OR(Inputs!$F$6=TRUE,Inputs!$F$6="TRUE",Inputs!$F$6=1),(-2*((1000*((((Inputs!$I$6+(((A39)+1)/2)*(Inputs!$J$6-Inputs!$I$6)))*Inputs!$C$11+((Inputs!$H$6+Inputs!$L$6*(((Inputs!$I$6+(((A39)+1)/2)*(Inputs!$J$6-Inputs!$I$6)))/Inputs!$K$6)^2))*((2*Inputs!$L$6*((Inputs!$I$6+(((A39)+1)/2)*(Inputs!$J$6-Inputs!$I$6)))/(Inputs!$K$6^2)*Inputs!$C$11)))/(SQRT(((Inputs!$I$6+(((A39)+1)/2)*(Inputs!$J$6-Inputs!$I$6)))^2+Inputs!$C$6^2+((Inputs!$H$6+Inputs!$L$6*(((Inputs!$I$6+(((A39)+1)/2)*(Inputs!$J$6-Inputs!$I$6)))/Inputs!$K$6)^2))^2)))))/Inputs!$C$13),NA())</f>
        <v>310.66461000663219</v>
      </c>
      <c r="O39" s="9">
        <f>IF(OR(Inputs!$F$7=TRUE,Inputs!$F$7="TRUE",Inputs!$F$7=1),(-2*((1000*((((Inputs!$I$7+(((A39)+1)/2)*(Inputs!$J$7-Inputs!$I$7)))*Inputs!$C$11+((Inputs!$H$7+Inputs!$L$7*(((Inputs!$I$7+(((A39)+1)/2)*(Inputs!$J$7-Inputs!$I$7)))/Inputs!$K$7)^2))*((2*Inputs!$L$7*((Inputs!$I$7+(((A39)+1)/2)*(Inputs!$J$7-Inputs!$I$7)))/(Inputs!$K$7^2)*Inputs!$C$11)))/(SQRT(((Inputs!$I$7+(((A39)+1)/2)*(Inputs!$J$7-Inputs!$I$7)))^2+Inputs!$C$6^2+((Inputs!$H$7+Inputs!$L$7*(((Inputs!$I$7+(((A39)+1)/2)*(Inputs!$J$7-Inputs!$I$7)))/Inputs!$K$7)^2))^2)))))/Inputs!$C$13),NA())</f>
        <v>2489.2168687029039</v>
      </c>
      <c r="P39" s="9">
        <f>IF(OR(Inputs!$F$8=TRUE,Inputs!$F$8="TRUE",Inputs!$F$8=1),(-2*((1000*((((Inputs!$I$8+(((A39)+1)/2)*(Inputs!$J$8-Inputs!$I$8)))*Inputs!$C$11+((Inputs!$H$8+Inputs!$L$8*(((Inputs!$I$8+(((A39)+1)/2)*(Inputs!$J$8-Inputs!$I$8)))/Inputs!$K$8)^2))*((2*Inputs!$L$8*((Inputs!$I$8+(((A39)+1)/2)*(Inputs!$J$8-Inputs!$I$8)))/(Inputs!$K$8^2)*Inputs!$C$11)))/(SQRT(((Inputs!$I$8+(((A39)+1)/2)*(Inputs!$J$8-Inputs!$I$8)))^2+Inputs!$C$6^2+((Inputs!$H$8+Inputs!$L$8*(((Inputs!$I$8+(((A39)+1)/2)*(Inputs!$J$8-Inputs!$I$8)))/Inputs!$K$8)^2))^2)))))/Inputs!$C$13),NA())</f>
        <v>2973.4370295288759</v>
      </c>
      <c r="Q39" s="9">
        <f>IF(OR(Inputs!$F$9=TRUE,Inputs!$F$9="TRUE",Inputs!$F$9=1),(-2*((1000*((((Inputs!$I$9+(((A39)+1)/2)*(Inputs!$J$9-Inputs!$I$9)))*Inputs!$C$11+((Inputs!$H$9+Inputs!$L$9*(((Inputs!$I$9+(((A39)+1)/2)*(Inputs!$J$9-Inputs!$I$9)))/Inputs!$K$9)^2))*((2*Inputs!$L$9*((Inputs!$I$9+(((A39)+1)/2)*(Inputs!$J$9-Inputs!$I$9)))/(Inputs!$K$9^2)*Inputs!$C$11)))/(SQRT(((Inputs!$I$9+(((A39)+1)/2)*(Inputs!$J$9-Inputs!$I$9)))^2+Inputs!$C$6^2+((Inputs!$H$9+Inputs!$L$9*(((Inputs!$I$9+(((A39)+1)/2)*(Inputs!$J$9-Inputs!$I$9)))/Inputs!$K$9)^2))^2)))))/Inputs!$C$13),NA())</f>
        <v>2986.9492699383391</v>
      </c>
      <c r="R39" s="10"/>
      <c r="S39" s="9">
        <f t="shared" si="2"/>
        <v>-0.69199999999999995</v>
      </c>
      <c r="T39" s="9">
        <f>(Inputs!$I$6+(((A39)+1)/2)*(Inputs!$J$6-Inputs!$I$6))</f>
        <v>-41.519999999999996</v>
      </c>
      <c r="U39" s="9">
        <f>(Inputs!$I$7+(((A39)+1)/2)*(Inputs!$J$7-Inputs!$I$7))</f>
        <v>-276.79999999999995</v>
      </c>
      <c r="V39" s="9">
        <f>(Inputs!$I$8+(((A39)+1)/2)*(Inputs!$J$8-Inputs!$I$8))</f>
        <v>-553.59999999999991</v>
      </c>
      <c r="W39" s="9">
        <f>(Inputs!$I$9+(((A39)+1)/2)*(Inputs!$J$9-Inputs!$I$9))</f>
        <v>-553.59999999999991</v>
      </c>
      <c r="X39" s="10"/>
      <c r="Y39" s="9">
        <f t="shared" si="3"/>
        <v>-0.69199999999999995</v>
      </c>
      <c r="Z39" s="9">
        <f>(Inputs!$H$6+Inputs!$L$6*(((Inputs!$I$6+(((A39)+1)/2)*(Inputs!$J$6-Inputs!$I$6)))/Inputs!$K$6)^2)</f>
        <v>401.91545600000001</v>
      </c>
      <c r="AA39" s="9">
        <f>(Inputs!$H$7+Inputs!$L$7*(((Inputs!$I$7+(((A39)+1)/2)*(Inputs!$J$7-Inputs!$I$7)))/Inputs!$K$7)^2)</f>
        <v>209.78535999999991</v>
      </c>
      <c r="AB39" s="9">
        <f>(Inputs!$H$8+Inputs!$L$8*(((Inputs!$I$8+(((A39)+1)/2)*(Inputs!$J$8-Inputs!$I$8)))/Inputs!$K$8)^2)</f>
        <v>497.1037599999998</v>
      </c>
      <c r="AC39" s="9">
        <f>(Inputs!$H$9+Inputs!$L$9*(((Inputs!$I$9+(((A39)+1)/2)*(Inputs!$J$9-Inputs!$I$9)))/Inputs!$K$9)^2)</f>
        <v>491.89239999999978</v>
      </c>
      <c r="AD39" s="10"/>
      <c r="AE39" s="9">
        <f t="shared" si="4"/>
        <v>-0.69199999999999995</v>
      </c>
      <c r="AF39" s="9">
        <f>(((SQRT(((Inputs!$I$6+(((A39)+1)/2)*(Inputs!$J$6-Inputs!$I$6)))^2+Inputs!$C$6^2+((Inputs!$H$6+Inputs!$L$6*(((Inputs!$I$6+(((A39)+1)/2)*(Inputs!$J$6-Inputs!$I$6)))/Inputs!$K$6)^2))^2))-((Inputs!$H$6+Inputs!$L$6*(((Inputs!$I$6+(((A39)+1)/2)*(Inputs!$J$6-Inputs!$I$6)))/Inputs!$K$6)^2)))*1000/Inputs!$C$12)</f>
        <v>1635.7295752474204</v>
      </c>
      <c r="AG39" s="9">
        <f>(((SQRT(((Inputs!$I$7+(((A39)+1)/2)*(Inputs!$J$7-Inputs!$I$7)))^2+Inputs!$C$6^2+((Inputs!$H$7+Inputs!$L$7*(((Inputs!$I$7+(((A39)+1)/2)*(Inputs!$J$7-Inputs!$I$7)))/Inputs!$K$7)^2))^2))-((Inputs!$H$7+Inputs!$L$7*(((Inputs!$I$7+(((A39)+1)/2)*(Inputs!$J$7-Inputs!$I$7)))/Inputs!$K$7)^2)))*1000/Inputs!$C$12)</f>
        <v>77769.017841641049</v>
      </c>
      <c r="AH39" s="9">
        <f>(((SQRT(((Inputs!$I$8+(((A39)+1)/2)*(Inputs!$J$8-Inputs!$I$8)))^2+Inputs!$C$6^2+((Inputs!$H$8+Inputs!$L$8*(((Inputs!$I$8+(((A39)+1)/2)*(Inputs!$J$8-Inputs!$I$8)))/Inputs!$K$8)^2))^2))-((Inputs!$H$8+Inputs!$L$8*(((Inputs!$I$8+(((A39)+1)/2)*(Inputs!$J$8-Inputs!$I$8)))/Inputs!$K$8)^2)))*1000/Inputs!$C$12)</f>
        <v>138960.18644100227</v>
      </c>
      <c r="AI39" s="9">
        <f>(((SQRT(((Inputs!$I$9+(((A39)+1)/2)*(Inputs!$J$9-Inputs!$I$9)))^2+Inputs!$C$6^2+((Inputs!$H$9+Inputs!$L$9*(((Inputs!$I$9+(((A39)+1)/2)*(Inputs!$J$9-Inputs!$I$9)))/Inputs!$K$9)^2))^2))-((Inputs!$H$9+Inputs!$L$9*(((Inputs!$I$9+(((A39)+1)/2)*(Inputs!$J$9-Inputs!$I$9)))/Inputs!$K$9)^2)))*1000/Inputs!$C$12)</f>
        <v>139938.64808234564</v>
      </c>
      <c r="AJ39" s="10"/>
      <c r="AK39" s="9">
        <f t="shared" si="5"/>
        <v>-0.69199999999999995</v>
      </c>
      <c r="AL39" s="9">
        <f>(-2*((1000*((((Inputs!$I$6+(((A39)+1)/2)*(Inputs!$J$6-Inputs!$I$6)))*Inputs!$C$11+((Inputs!$H$6+Inputs!$L$6*(((Inputs!$I$6+(((A39)+1)/2)*(Inputs!$J$6-Inputs!$I$6)))/Inputs!$K$6)^2))*((2*Inputs!$L$6*((Inputs!$I$6+(((A39)+1)/2)*(Inputs!$J$6-Inputs!$I$6)))/(Inputs!$K$6^2)*Inputs!$C$11)))/(SQRT(((Inputs!$I$6+(((A39)+1)/2)*(Inputs!$J$6-Inputs!$I$6)))^2+Inputs!$C$6^2+((Inputs!$H$6+Inputs!$L$6*(((Inputs!$I$6+(((A39)+1)/2)*(Inputs!$J$6-Inputs!$I$6)))/Inputs!$K$6)^2))^2)))))/Inputs!$C$13)</f>
        <v>310.66461000663219</v>
      </c>
      <c r="AM39" s="9">
        <f>(-2*((1000*((((Inputs!$I$7+(((A39)+1)/2)*(Inputs!$J$7-Inputs!$I$7)))*Inputs!$C$11+((Inputs!$H$7+Inputs!$L$7*(((Inputs!$I$7+(((A39)+1)/2)*(Inputs!$J$7-Inputs!$I$7)))/Inputs!$K$7)^2))*((2*Inputs!$L$7*((Inputs!$I$7+(((A39)+1)/2)*(Inputs!$J$7-Inputs!$I$7)))/(Inputs!$K$7^2)*Inputs!$C$11)))/(SQRT(((Inputs!$I$7+(((A39)+1)/2)*(Inputs!$J$7-Inputs!$I$7)))^2+Inputs!$C$6^2+((Inputs!$H$7+Inputs!$L$7*(((Inputs!$I$7+(((A39)+1)/2)*(Inputs!$J$7-Inputs!$I$7)))/Inputs!$K$7)^2))^2)))))/Inputs!$C$13)</f>
        <v>2489.2168687029039</v>
      </c>
      <c r="AN39" s="9">
        <f>(-2*((1000*((((Inputs!$I$8+(((A39)+1)/2)*(Inputs!$J$8-Inputs!$I$8)))*Inputs!$C$11+((Inputs!$H$8+Inputs!$L$8*(((Inputs!$I$8+(((A39)+1)/2)*(Inputs!$J$8-Inputs!$I$8)))/Inputs!$K$8)^2))*((2*Inputs!$L$8*((Inputs!$I$8+(((A39)+1)/2)*(Inputs!$J$8-Inputs!$I$8)))/(Inputs!$K$8^2)*Inputs!$C$11)))/(SQRT(((Inputs!$I$8+(((A39)+1)/2)*(Inputs!$J$8-Inputs!$I$8)))^2+Inputs!$C$6^2+((Inputs!$H$8+Inputs!$L$8*(((Inputs!$I$8+(((A39)+1)/2)*(Inputs!$J$8-Inputs!$I$8)))/Inputs!$K$8)^2))^2)))))/Inputs!$C$13)</f>
        <v>2973.4370295288759</v>
      </c>
      <c r="AO39" s="9">
        <f>(-2*((1000*((((Inputs!$I$9+(((A39)+1)/2)*(Inputs!$J$9-Inputs!$I$9)))*Inputs!$C$11+((Inputs!$H$9+Inputs!$L$9*(((Inputs!$I$9+(((A39)+1)/2)*(Inputs!$J$9-Inputs!$I$9)))/Inputs!$K$9)^2))*((2*Inputs!$L$9*((Inputs!$I$9+(((A39)+1)/2)*(Inputs!$J$9-Inputs!$I$9)))/(Inputs!$K$9^2)*Inputs!$C$11)))/(SQRT(((Inputs!$I$9+(((A39)+1)/2)*(Inputs!$J$9-Inputs!$I$9)))^2+Inputs!$C$6^2+((Inputs!$H$9+Inputs!$L$9*(((Inputs!$I$9+(((A39)+1)/2)*(Inputs!$J$9-Inputs!$I$9)))/Inputs!$K$9)^2))^2)))))/Inputs!$C$13)</f>
        <v>2986.9492699383391</v>
      </c>
    </row>
    <row r="40" spans="1:41">
      <c r="A40" s="9">
        <f>ROUND(-1+38*2/240,3)</f>
        <v>-0.68300000000000005</v>
      </c>
      <c r="B40" s="9">
        <f>IF(OR(Inputs!$F$6=TRUE,Inputs!$F$6="TRUE",Inputs!$F$6=1),(Inputs!$H$6+Inputs!$L$6*(((Inputs!$I$6+(((A40)+1)/2)*(Inputs!$J$6-Inputs!$I$6)))/Inputs!$K$6)^2),NA())</f>
        <v>401.86595599999998</v>
      </c>
      <c r="C40" s="9">
        <f>IF(OR(Inputs!$F$7=TRUE,Inputs!$F$7="TRUE",Inputs!$F$7=1),(Inputs!$H$7+Inputs!$L$7*(((Inputs!$I$7+(((A40)+1)/2)*(Inputs!$J$7-Inputs!$I$7)))/Inputs!$K$7)^2),NA())</f>
        <v>205.26848500000008</v>
      </c>
      <c r="D40" s="9">
        <f>IF(OR(Inputs!$F$8=TRUE,Inputs!$F$8="TRUE",Inputs!$F$8=1),(Inputs!$H$8+Inputs!$L$8*(((Inputs!$I$8+(((A40)+1)/2)*(Inputs!$J$8-Inputs!$I$8)))/Inputs!$K$8)^2),NA())</f>
        <v>485.16188500000021</v>
      </c>
      <c r="E40" s="9">
        <f>IF(OR(Inputs!$F$9=TRUE,Inputs!$F$9="TRUE",Inputs!$F$9=1),(Inputs!$H$9+Inputs!$L$9*(((Inputs!$I$9+(((A40)+1)/2)*(Inputs!$J$9-Inputs!$I$9)))/Inputs!$K$9)^2),NA())</f>
        <v>479.82677500000023</v>
      </c>
      <c r="F40" s="10"/>
      <c r="G40" s="9">
        <f t="shared" si="0"/>
        <v>-0.68300000000000005</v>
      </c>
      <c r="H40" s="9">
        <f>IF(OR(Inputs!$F$6=TRUE,Inputs!$F$6="TRUE",Inputs!$F$6=1),(((SQRT(((Inputs!$I$6+(((A40)+1)/2)*(Inputs!$J$6-Inputs!$I$6)))^2+Inputs!$C$6^2+((Inputs!$H$6+Inputs!$L$6*(((Inputs!$I$6+(((A40)+1)/2)*(Inputs!$J$6-Inputs!$I$6)))/Inputs!$K$6)^2))^2))-((Inputs!$H$6+Inputs!$L$6*(((Inputs!$I$6+(((A40)+1)/2)*(Inputs!$J$6-Inputs!$I$6)))/Inputs!$K$6)^2)))*1000/Inputs!$C$12),NA())</f>
        <v>1605.0116760415644</v>
      </c>
      <c r="I40" s="9">
        <f>IF(OR(Inputs!$F$7=TRUE,Inputs!$F$7="TRUE",Inputs!$F$7=1),(((SQRT(((Inputs!$I$7+(((A40)+1)/2)*(Inputs!$J$7-Inputs!$I$7)))^2+Inputs!$C$6^2+((Inputs!$H$7+Inputs!$L$7*(((Inputs!$I$7+(((A40)+1)/2)*(Inputs!$J$7-Inputs!$I$7)))/Inputs!$K$7)^2))^2))-((Inputs!$H$7+Inputs!$L$7*(((Inputs!$I$7+(((A40)+1)/2)*(Inputs!$J$7-Inputs!$I$7)))/Inputs!$K$7)^2)))*1000/Inputs!$C$12),NA())</f>
        <v>77171.91062309152</v>
      </c>
      <c r="J40" s="9">
        <f>IF(OR(Inputs!$F$8=TRUE,Inputs!$F$8="TRUE",Inputs!$F$8=1),(((SQRT(((Inputs!$I$8+(((A40)+1)/2)*(Inputs!$J$8-Inputs!$I$8)))^2+Inputs!$C$6^2+((Inputs!$H$8+Inputs!$L$8*(((Inputs!$I$8+(((A40)+1)/2)*(Inputs!$J$8-Inputs!$I$8)))/Inputs!$K$8)^2))^2))-((Inputs!$H$8+Inputs!$L$8*(((Inputs!$I$8+(((A40)+1)/2)*(Inputs!$J$8-Inputs!$I$8)))/Inputs!$K$8)^2)))*1000/Inputs!$C$12),NA())</f>
        <v>138187.76812593368</v>
      </c>
      <c r="K40" s="9">
        <f>IF(OR(Inputs!$F$9=TRUE,Inputs!$F$9="TRUE",Inputs!$F$9=1),(((SQRT(((Inputs!$I$9+(((A40)+1)/2)*(Inputs!$J$9-Inputs!$I$9)))^2+Inputs!$C$6^2+((Inputs!$H$9+Inputs!$L$9*(((Inputs!$I$9+(((A40)+1)/2)*(Inputs!$J$9-Inputs!$I$9)))/Inputs!$K$9)^2))^2))-((Inputs!$H$9+Inputs!$L$9*(((Inputs!$I$9+(((A40)+1)/2)*(Inputs!$J$9-Inputs!$I$9)))/Inputs!$K$9)^2)))*1000/Inputs!$C$12),NA())</f>
        <v>139202.27613807251</v>
      </c>
      <c r="L40" s="10"/>
      <c r="M40" s="9">
        <f t="shared" si="1"/>
        <v>-0.68300000000000005</v>
      </c>
      <c r="N40" s="9">
        <f>IF(OR(Inputs!$F$6=TRUE,Inputs!$F$6="TRUE",Inputs!$F$6=1),(-2*((1000*((((Inputs!$I$6+(((A40)+1)/2)*(Inputs!$J$6-Inputs!$I$6)))*Inputs!$C$11+((Inputs!$H$6+Inputs!$L$6*(((Inputs!$I$6+(((A40)+1)/2)*(Inputs!$J$6-Inputs!$I$6)))/Inputs!$K$6)^2))*((2*Inputs!$L$6*((Inputs!$I$6+(((A40)+1)/2)*(Inputs!$J$6-Inputs!$I$6)))/(Inputs!$K$6^2)*Inputs!$C$11)))/(SQRT(((Inputs!$I$6+(((A40)+1)/2)*(Inputs!$J$6-Inputs!$I$6)))^2+Inputs!$C$6^2+((Inputs!$H$6+Inputs!$L$6*(((Inputs!$I$6+(((A40)+1)/2)*(Inputs!$J$6-Inputs!$I$6)))/Inputs!$K$6)^2))^2)))))/Inputs!$C$13),NA())</f>
        <v>306.68528026404471</v>
      </c>
      <c r="O40" s="9">
        <f>IF(OR(Inputs!$F$7=TRUE,Inputs!$F$7="TRUE",Inputs!$F$7=1),(-2*((1000*((((Inputs!$I$7+(((A40)+1)/2)*(Inputs!$J$7-Inputs!$I$7)))*Inputs!$C$11+((Inputs!$H$7+Inputs!$L$7*(((Inputs!$I$7+(((A40)+1)/2)*(Inputs!$J$7-Inputs!$I$7)))/Inputs!$K$7)^2))*((2*Inputs!$L$7*((Inputs!$I$7+(((A40)+1)/2)*(Inputs!$J$7-Inputs!$I$7)))/(Inputs!$K$7^2)*Inputs!$C$11)))/(SQRT(((Inputs!$I$7+(((A40)+1)/2)*(Inputs!$J$7-Inputs!$I$7)))^2+Inputs!$C$6^2+((Inputs!$H$7+Inputs!$L$7*(((Inputs!$I$7+(((A40)+1)/2)*(Inputs!$J$7-Inputs!$I$7)))/Inputs!$K$7)^2))^2)))))/Inputs!$C$13),NA())</f>
        <v>2470.5605844041247</v>
      </c>
      <c r="P40" s="9">
        <f>IF(OR(Inputs!$F$8=TRUE,Inputs!$F$8="TRUE",Inputs!$F$8=1),(-2*((1000*((((Inputs!$I$8+(((A40)+1)/2)*(Inputs!$J$8-Inputs!$I$8)))*Inputs!$C$11+((Inputs!$H$8+Inputs!$L$8*(((Inputs!$I$8+(((A40)+1)/2)*(Inputs!$J$8-Inputs!$I$8)))/Inputs!$K$8)^2))*((2*Inputs!$L$8*((Inputs!$I$8+(((A40)+1)/2)*(Inputs!$J$8-Inputs!$I$8)))/(Inputs!$K$8^2)*Inputs!$C$11)))/(SQRT(((Inputs!$I$8+(((A40)+1)/2)*(Inputs!$J$8-Inputs!$I$8)))^2+Inputs!$C$6^2+((Inputs!$H$8+Inputs!$L$8*(((Inputs!$I$8+(((A40)+1)/2)*(Inputs!$J$8-Inputs!$I$8)))/Inputs!$K$8)^2))^2)))))/Inputs!$C$13),NA())</f>
        <v>2945.1576173798694</v>
      </c>
      <c r="Q40" s="9">
        <f>IF(OR(Inputs!$F$9=TRUE,Inputs!$F$9="TRUE",Inputs!$F$9=1),(-2*((1000*((((Inputs!$I$9+(((A40)+1)/2)*(Inputs!$J$9-Inputs!$I$9)))*Inputs!$C$11+((Inputs!$H$9+Inputs!$L$9*(((Inputs!$I$9+(((A40)+1)/2)*(Inputs!$J$9-Inputs!$I$9)))/Inputs!$K$9)^2))*((2*Inputs!$L$9*((Inputs!$I$9+(((A40)+1)/2)*(Inputs!$J$9-Inputs!$I$9)))/(Inputs!$K$9^2)*Inputs!$C$11)))/(SQRT(((Inputs!$I$9+(((A40)+1)/2)*(Inputs!$J$9-Inputs!$I$9)))^2+Inputs!$C$6^2+((Inputs!$H$9+Inputs!$L$9*(((Inputs!$I$9+(((A40)+1)/2)*(Inputs!$J$9-Inputs!$I$9)))/Inputs!$K$9)^2))^2)))))/Inputs!$C$13),NA())</f>
        <v>2958.1286240052505</v>
      </c>
      <c r="R40" s="10"/>
      <c r="S40" s="9">
        <f t="shared" si="2"/>
        <v>-0.68300000000000005</v>
      </c>
      <c r="T40" s="9">
        <f>(Inputs!$I$6+(((A40)+1)/2)*(Inputs!$J$6-Inputs!$I$6))</f>
        <v>-40.980000000000004</v>
      </c>
      <c r="U40" s="9">
        <f>(Inputs!$I$7+(((A40)+1)/2)*(Inputs!$J$7-Inputs!$I$7))</f>
        <v>-273.20000000000005</v>
      </c>
      <c r="V40" s="9">
        <f>(Inputs!$I$8+(((A40)+1)/2)*(Inputs!$J$8-Inputs!$I$8))</f>
        <v>-546.40000000000009</v>
      </c>
      <c r="W40" s="9">
        <f>(Inputs!$I$9+(((A40)+1)/2)*(Inputs!$J$9-Inputs!$I$9))</f>
        <v>-546.40000000000009</v>
      </c>
      <c r="X40" s="10"/>
      <c r="Y40" s="9">
        <f t="shared" si="3"/>
        <v>-0.68300000000000005</v>
      </c>
      <c r="Z40" s="9">
        <f>(Inputs!$H$6+Inputs!$L$6*(((Inputs!$I$6+(((A40)+1)/2)*(Inputs!$J$6-Inputs!$I$6)))/Inputs!$K$6)^2)</f>
        <v>401.86595599999998</v>
      </c>
      <c r="AA40" s="9">
        <f>(Inputs!$H$7+Inputs!$L$7*(((Inputs!$I$7+(((A40)+1)/2)*(Inputs!$J$7-Inputs!$I$7)))/Inputs!$K$7)^2)</f>
        <v>205.26848500000008</v>
      </c>
      <c r="AB40" s="9">
        <f>(Inputs!$H$8+Inputs!$L$8*(((Inputs!$I$8+(((A40)+1)/2)*(Inputs!$J$8-Inputs!$I$8)))/Inputs!$K$8)^2)</f>
        <v>485.16188500000021</v>
      </c>
      <c r="AC40" s="9">
        <f>(Inputs!$H$9+Inputs!$L$9*(((Inputs!$I$9+(((A40)+1)/2)*(Inputs!$J$9-Inputs!$I$9)))/Inputs!$K$9)^2)</f>
        <v>479.82677500000023</v>
      </c>
      <c r="AD40" s="10"/>
      <c r="AE40" s="9">
        <f t="shared" si="4"/>
        <v>-0.68300000000000005</v>
      </c>
      <c r="AF40" s="9">
        <f>(((SQRT(((Inputs!$I$6+(((A40)+1)/2)*(Inputs!$J$6-Inputs!$I$6)))^2+Inputs!$C$6^2+((Inputs!$H$6+Inputs!$L$6*(((Inputs!$I$6+(((A40)+1)/2)*(Inputs!$J$6-Inputs!$I$6)))/Inputs!$K$6)^2))^2))-((Inputs!$H$6+Inputs!$L$6*(((Inputs!$I$6+(((A40)+1)/2)*(Inputs!$J$6-Inputs!$I$6)))/Inputs!$K$6)^2)))*1000/Inputs!$C$12)</f>
        <v>1605.0116760415644</v>
      </c>
      <c r="AG40" s="9">
        <f>(((SQRT(((Inputs!$I$7+(((A40)+1)/2)*(Inputs!$J$7-Inputs!$I$7)))^2+Inputs!$C$6^2+((Inputs!$H$7+Inputs!$L$7*(((Inputs!$I$7+(((A40)+1)/2)*(Inputs!$J$7-Inputs!$I$7)))/Inputs!$K$7)^2))^2))-((Inputs!$H$7+Inputs!$L$7*(((Inputs!$I$7+(((A40)+1)/2)*(Inputs!$J$7-Inputs!$I$7)))/Inputs!$K$7)^2)))*1000/Inputs!$C$12)</f>
        <v>77171.91062309152</v>
      </c>
      <c r="AH40" s="9">
        <f>(((SQRT(((Inputs!$I$8+(((A40)+1)/2)*(Inputs!$J$8-Inputs!$I$8)))^2+Inputs!$C$6^2+((Inputs!$H$8+Inputs!$L$8*(((Inputs!$I$8+(((A40)+1)/2)*(Inputs!$J$8-Inputs!$I$8)))/Inputs!$K$8)^2))^2))-((Inputs!$H$8+Inputs!$L$8*(((Inputs!$I$8+(((A40)+1)/2)*(Inputs!$J$8-Inputs!$I$8)))/Inputs!$K$8)^2)))*1000/Inputs!$C$12)</f>
        <v>138187.76812593368</v>
      </c>
      <c r="AI40" s="9">
        <f>(((SQRT(((Inputs!$I$9+(((A40)+1)/2)*(Inputs!$J$9-Inputs!$I$9)))^2+Inputs!$C$6^2+((Inputs!$H$9+Inputs!$L$9*(((Inputs!$I$9+(((A40)+1)/2)*(Inputs!$J$9-Inputs!$I$9)))/Inputs!$K$9)^2))^2))-((Inputs!$H$9+Inputs!$L$9*(((Inputs!$I$9+(((A40)+1)/2)*(Inputs!$J$9-Inputs!$I$9)))/Inputs!$K$9)^2)))*1000/Inputs!$C$12)</f>
        <v>139202.27613807251</v>
      </c>
      <c r="AJ40" s="10"/>
      <c r="AK40" s="9">
        <f t="shared" si="5"/>
        <v>-0.68300000000000005</v>
      </c>
      <c r="AL40" s="9">
        <f>(-2*((1000*((((Inputs!$I$6+(((A40)+1)/2)*(Inputs!$J$6-Inputs!$I$6)))*Inputs!$C$11+((Inputs!$H$6+Inputs!$L$6*(((Inputs!$I$6+(((A40)+1)/2)*(Inputs!$J$6-Inputs!$I$6)))/Inputs!$K$6)^2))*((2*Inputs!$L$6*((Inputs!$I$6+(((A40)+1)/2)*(Inputs!$J$6-Inputs!$I$6)))/(Inputs!$K$6^2)*Inputs!$C$11)))/(SQRT(((Inputs!$I$6+(((A40)+1)/2)*(Inputs!$J$6-Inputs!$I$6)))^2+Inputs!$C$6^2+((Inputs!$H$6+Inputs!$L$6*(((Inputs!$I$6+(((A40)+1)/2)*(Inputs!$J$6-Inputs!$I$6)))/Inputs!$K$6)^2))^2)))))/Inputs!$C$13)</f>
        <v>306.68528026404471</v>
      </c>
      <c r="AM40" s="9">
        <f>(-2*((1000*((((Inputs!$I$7+(((A40)+1)/2)*(Inputs!$J$7-Inputs!$I$7)))*Inputs!$C$11+((Inputs!$H$7+Inputs!$L$7*(((Inputs!$I$7+(((A40)+1)/2)*(Inputs!$J$7-Inputs!$I$7)))/Inputs!$K$7)^2))*((2*Inputs!$L$7*((Inputs!$I$7+(((A40)+1)/2)*(Inputs!$J$7-Inputs!$I$7)))/(Inputs!$K$7^2)*Inputs!$C$11)))/(SQRT(((Inputs!$I$7+(((A40)+1)/2)*(Inputs!$J$7-Inputs!$I$7)))^2+Inputs!$C$6^2+((Inputs!$H$7+Inputs!$L$7*(((Inputs!$I$7+(((A40)+1)/2)*(Inputs!$J$7-Inputs!$I$7)))/Inputs!$K$7)^2))^2)))))/Inputs!$C$13)</f>
        <v>2470.5605844041247</v>
      </c>
      <c r="AN40" s="9">
        <f>(-2*((1000*((((Inputs!$I$8+(((A40)+1)/2)*(Inputs!$J$8-Inputs!$I$8)))*Inputs!$C$11+((Inputs!$H$8+Inputs!$L$8*(((Inputs!$I$8+(((A40)+1)/2)*(Inputs!$J$8-Inputs!$I$8)))/Inputs!$K$8)^2))*((2*Inputs!$L$8*((Inputs!$I$8+(((A40)+1)/2)*(Inputs!$J$8-Inputs!$I$8)))/(Inputs!$K$8^2)*Inputs!$C$11)))/(SQRT(((Inputs!$I$8+(((A40)+1)/2)*(Inputs!$J$8-Inputs!$I$8)))^2+Inputs!$C$6^2+((Inputs!$H$8+Inputs!$L$8*(((Inputs!$I$8+(((A40)+1)/2)*(Inputs!$J$8-Inputs!$I$8)))/Inputs!$K$8)^2))^2)))))/Inputs!$C$13)</f>
        <v>2945.1576173798694</v>
      </c>
      <c r="AO40" s="9">
        <f>(-2*((1000*((((Inputs!$I$9+(((A40)+1)/2)*(Inputs!$J$9-Inputs!$I$9)))*Inputs!$C$11+((Inputs!$H$9+Inputs!$L$9*(((Inputs!$I$9+(((A40)+1)/2)*(Inputs!$J$9-Inputs!$I$9)))/Inputs!$K$9)^2))*((2*Inputs!$L$9*((Inputs!$I$9+(((A40)+1)/2)*(Inputs!$J$9-Inputs!$I$9)))/(Inputs!$K$9^2)*Inputs!$C$11)))/(SQRT(((Inputs!$I$9+(((A40)+1)/2)*(Inputs!$J$9-Inputs!$I$9)))^2+Inputs!$C$6^2+((Inputs!$H$9+Inputs!$L$9*(((Inputs!$I$9+(((A40)+1)/2)*(Inputs!$J$9-Inputs!$I$9)))/Inputs!$K$9)^2))^2)))))/Inputs!$C$13)</f>
        <v>2958.1286240052505</v>
      </c>
    </row>
    <row r="41" spans="1:41">
      <c r="A41" s="9">
        <f>ROUND(-1+39*2/240,3)</f>
        <v>-0.67500000000000004</v>
      </c>
      <c r="B41" s="9">
        <f>IF(OR(Inputs!$F$6=TRUE,Inputs!$F$6="TRUE",Inputs!$F$6=1),(Inputs!$H$6+Inputs!$L$6*(((Inputs!$I$6+(((A41)+1)/2)*(Inputs!$J$6-Inputs!$I$6)))/Inputs!$K$6)^2),NA())</f>
        <v>401.82249999999999</v>
      </c>
      <c r="C41" s="9">
        <f>IF(OR(Inputs!$F$7=TRUE,Inputs!$F$7="TRUE",Inputs!$F$7=1),(Inputs!$H$7+Inputs!$L$7*(((Inputs!$I$7+(((A41)+1)/2)*(Inputs!$J$7-Inputs!$I$7)))/Inputs!$K$7)^2),NA())</f>
        <v>201.30312500000002</v>
      </c>
      <c r="D41" s="9">
        <f>IF(OR(Inputs!$F$8=TRUE,Inputs!$F$8="TRUE",Inputs!$F$8=1),(Inputs!$H$8+Inputs!$L$8*(((Inputs!$I$8+(((A41)+1)/2)*(Inputs!$J$8-Inputs!$I$8)))/Inputs!$K$8)^2),NA())</f>
        <v>474.67812500000008</v>
      </c>
      <c r="E41" s="9">
        <f>IF(OR(Inputs!$F$9=TRUE,Inputs!$F$9="TRUE",Inputs!$F$9=1),(Inputs!$H$9+Inputs!$L$9*(((Inputs!$I$9+(((A41)+1)/2)*(Inputs!$J$9-Inputs!$I$9)))/Inputs!$K$9)^2),NA())</f>
        <v>469.23437500000006</v>
      </c>
      <c r="F41" s="10"/>
      <c r="G41" s="9">
        <f t="shared" si="0"/>
        <v>-0.67500000000000004</v>
      </c>
      <c r="H41" s="9">
        <f>IF(OR(Inputs!$F$6=TRUE,Inputs!$F$6="TRUE",Inputs!$F$6=1),(((SQRT(((Inputs!$I$6+(((A41)+1)/2)*(Inputs!$J$6-Inputs!$I$6)))^2+Inputs!$C$6^2+((Inputs!$H$6+Inputs!$L$6*(((Inputs!$I$6+(((A41)+1)/2)*(Inputs!$J$6-Inputs!$I$6)))/Inputs!$K$6)^2))^2))-((Inputs!$H$6+Inputs!$L$6*(((Inputs!$I$6+(((A41)+1)/2)*(Inputs!$J$6-Inputs!$I$6)))/Inputs!$K$6)^2)))*1000/Inputs!$C$12),NA())</f>
        <v>1578.0348465697127</v>
      </c>
      <c r="I41" s="9">
        <f>IF(OR(Inputs!$F$7=TRUE,Inputs!$F$7="TRUE",Inputs!$F$7=1),(((SQRT(((Inputs!$I$7+(((A41)+1)/2)*(Inputs!$J$7-Inputs!$I$7)))^2+Inputs!$C$6^2+((Inputs!$H$7+Inputs!$L$7*(((Inputs!$I$7+(((A41)+1)/2)*(Inputs!$J$7-Inputs!$I$7)))/Inputs!$K$7)^2))^2))-((Inputs!$H$7+Inputs!$L$7*(((Inputs!$I$7+(((A41)+1)/2)*(Inputs!$J$7-Inputs!$I$7)))/Inputs!$K$7)^2)))*1000/Inputs!$C$12),NA())</f>
        <v>76632.996021156898</v>
      </c>
      <c r="J41" s="9">
        <f>IF(OR(Inputs!$F$8=TRUE,Inputs!$F$8="TRUE",Inputs!$F$8=1),(((SQRT(((Inputs!$I$8+(((A41)+1)/2)*(Inputs!$J$8-Inputs!$I$8)))^2+Inputs!$C$6^2+((Inputs!$H$8+Inputs!$L$8*(((Inputs!$I$8+(((A41)+1)/2)*(Inputs!$J$8-Inputs!$I$8)))/Inputs!$K$8)^2))^2))-((Inputs!$H$8+Inputs!$L$8*(((Inputs!$I$8+(((A41)+1)/2)*(Inputs!$J$8-Inputs!$I$8)))/Inputs!$K$8)^2)))*1000/Inputs!$C$12),NA())</f>
        <v>137487.30842840724</v>
      </c>
      <c r="K41" s="9">
        <f>IF(OR(Inputs!$F$9=TRUE,Inputs!$F$9="TRUE",Inputs!$F$9=1),(((SQRT(((Inputs!$I$9+(((A41)+1)/2)*(Inputs!$J$9-Inputs!$I$9)))^2+Inputs!$C$6^2+((Inputs!$H$9+Inputs!$L$9*(((Inputs!$I$9+(((A41)+1)/2)*(Inputs!$J$9-Inputs!$I$9)))/Inputs!$K$9)^2))^2))-((Inputs!$H$9+Inputs!$L$9*(((Inputs!$I$9+(((A41)+1)/2)*(Inputs!$J$9-Inputs!$I$9)))/Inputs!$K$9)^2)))*1000/Inputs!$C$12),NA())</f>
        <v>138534.24266012842</v>
      </c>
      <c r="L41" s="10"/>
      <c r="M41" s="9">
        <f t="shared" si="1"/>
        <v>-0.67500000000000004</v>
      </c>
      <c r="N41" s="9">
        <f>IF(OR(Inputs!$F$6=TRUE,Inputs!$F$6="TRUE",Inputs!$F$6=1),(-2*((1000*((((Inputs!$I$6+(((A41)+1)/2)*(Inputs!$J$6-Inputs!$I$6)))*Inputs!$C$11+((Inputs!$H$6+Inputs!$L$6*(((Inputs!$I$6+(((A41)+1)/2)*(Inputs!$J$6-Inputs!$I$6)))/Inputs!$K$6)^2))*((2*Inputs!$L$6*((Inputs!$I$6+(((A41)+1)/2)*(Inputs!$J$6-Inputs!$I$6)))/(Inputs!$K$6^2)*Inputs!$C$11)))/(SQRT(((Inputs!$I$6+(((A41)+1)/2)*(Inputs!$J$6-Inputs!$I$6)))^2+Inputs!$C$6^2+((Inputs!$H$6+Inputs!$L$6*(((Inputs!$I$6+(((A41)+1)/2)*(Inputs!$J$6-Inputs!$I$6)))/Inputs!$K$6)^2))^2)))))/Inputs!$C$13),NA())</f>
        <v>303.14612110072255</v>
      </c>
      <c r="O41" s="9">
        <f>IF(OR(Inputs!$F$7=TRUE,Inputs!$F$7="TRUE",Inputs!$F$7=1),(-2*((1000*((((Inputs!$I$7+(((A41)+1)/2)*(Inputs!$J$7-Inputs!$I$7)))*Inputs!$C$11+((Inputs!$H$7+Inputs!$L$7*(((Inputs!$I$7+(((A41)+1)/2)*(Inputs!$J$7-Inputs!$I$7)))/Inputs!$K$7)^2))*((2*Inputs!$L$7*((Inputs!$I$7+(((A41)+1)/2)*(Inputs!$J$7-Inputs!$I$7)))/(Inputs!$K$7^2)*Inputs!$C$11)))/(SQRT(((Inputs!$I$7+(((A41)+1)/2)*(Inputs!$J$7-Inputs!$I$7)))^2+Inputs!$C$6^2+((Inputs!$H$7+Inputs!$L$7*(((Inputs!$I$7+(((A41)+1)/2)*(Inputs!$J$7-Inputs!$I$7)))/Inputs!$K$7)^2))^2)))))/Inputs!$C$13),NA())</f>
        <v>2454.084297346958</v>
      </c>
      <c r="P41" s="9">
        <f>IF(OR(Inputs!$F$8=TRUE,Inputs!$F$8="TRUE",Inputs!$F$8=1),(-2*((1000*((((Inputs!$I$8+(((A41)+1)/2)*(Inputs!$J$8-Inputs!$I$8)))*Inputs!$C$11+((Inputs!$H$8+Inputs!$L$8*(((Inputs!$I$8+(((A41)+1)/2)*(Inputs!$J$8-Inputs!$I$8)))/Inputs!$K$8)^2))*((2*Inputs!$L$8*((Inputs!$I$8+(((A41)+1)/2)*(Inputs!$J$8-Inputs!$I$8)))/(Inputs!$K$8^2)*Inputs!$C$11)))/(SQRT(((Inputs!$I$8+(((A41)+1)/2)*(Inputs!$J$8-Inputs!$I$8)))^2+Inputs!$C$6^2+((Inputs!$H$8+Inputs!$L$8*(((Inputs!$I$8+(((A41)+1)/2)*(Inputs!$J$8-Inputs!$I$8)))/Inputs!$K$8)^2))^2)))))/Inputs!$C$13),NA())</f>
        <v>2920.1524806174339</v>
      </c>
      <c r="Q41" s="9">
        <f>IF(OR(Inputs!$F$9=TRUE,Inputs!$F$9="TRUE",Inputs!$F$9=1),(-2*((1000*((((Inputs!$I$9+(((A41)+1)/2)*(Inputs!$J$9-Inputs!$I$9)))*Inputs!$C$11+((Inputs!$H$9+Inputs!$L$9*(((Inputs!$I$9+(((A41)+1)/2)*(Inputs!$J$9-Inputs!$I$9)))/Inputs!$K$9)^2))*((2*Inputs!$L$9*((Inputs!$I$9+(((A41)+1)/2)*(Inputs!$J$9-Inputs!$I$9)))/(Inputs!$K$9^2)*Inputs!$C$11)))/(SQRT(((Inputs!$I$9+(((A41)+1)/2)*(Inputs!$J$9-Inputs!$I$9)))^2+Inputs!$C$6^2+((Inputs!$H$9+Inputs!$L$9*(((Inputs!$I$9+(((A41)+1)/2)*(Inputs!$J$9-Inputs!$I$9)))/Inputs!$K$9)^2))^2)))))/Inputs!$C$13),NA())</f>
        <v>2932.642103033661</v>
      </c>
      <c r="R41" s="10"/>
      <c r="S41" s="9">
        <f t="shared" si="2"/>
        <v>-0.67500000000000004</v>
      </c>
      <c r="T41" s="9">
        <f>(Inputs!$I$6+(((A41)+1)/2)*(Inputs!$J$6-Inputs!$I$6))</f>
        <v>-40.5</v>
      </c>
      <c r="U41" s="9">
        <f>(Inputs!$I$7+(((A41)+1)/2)*(Inputs!$J$7-Inputs!$I$7))</f>
        <v>-270</v>
      </c>
      <c r="V41" s="9">
        <f>(Inputs!$I$8+(((A41)+1)/2)*(Inputs!$J$8-Inputs!$I$8))</f>
        <v>-540</v>
      </c>
      <c r="W41" s="9">
        <f>(Inputs!$I$9+(((A41)+1)/2)*(Inputs!$J$9-Inputs!$I$9))</f>
        <v>-540</v>
      </c>
      <c r="X41" s="10"/>
      <c r="Y41" s="9">
        <f t="shared" si="3"/>
        <v>-0.67500000000000004</v>
      </c>
      <c r="Z41" s="9">
        <f>(Inputs!$H$6+Inputs!$L$6*(((Inputs!$I$6+(((A41)+1)/2)*(Inputs!$J$6-Inputs!$I$6)))/Inputs!$K$6)^2)</f>
        <v>401.82249999999999</v>
      </c>
      <c r="AA41" s="9">
        <f>(Inputs!$H$7+Inputs!$L$7*(((Inputs!$I$7+(((A41)+1)/2)*(Inputs!$J$7-Inputs!$I$7)))/Inputs!$K$7)^2)</f>
        <v>201.30312500000002</v>
      </c>
      <c r="AB41" s="9">
        <f>(Inputs!$H$8+Inputs!$L$8*(((Inputs!$I$8+(((A41)+1)/2)*(Inputs!$J$8-Inputs!$I$8)))/Inputs!$K$8)^2)</f>
        <v>474.67812500000008</v>
      </c>
      <c r="AC41" s="9">
        <f>(Inputs!$H$9+Inputs!$L$9*(((Inputs!$I$9+(((A41)+1)/2)*(Inputs!$J$9-Inputs!$I$9)))/Inputs!$K$9)^2)</f>
        <v>469.23437500000006</v>
      </c>
      <c r="AD41" s="10"/>
      <c r="AE41" s="9">
        <f t="shared" si="4"/>
        <v>-0.67500000000000004</v>
      </c>
      <c r="AF41" s="9">
        <f>(((SQRT(((Inputs!$I$6+(((A41)+1)/2)*(Inputs!$J$6-Inputs!$I$6)))^2+Inputs!$C$6^2+((Inputs!$H$6+Inputs!$L$6*(((Inputs!$I$6+(((A41)+1)/2)*(Inputs!$J$6-Inputs!$I$6)))/Inputs!$K$6)^2))^2))-((Inputs!$H$6+Inputs!$L$6*(((Inputs!$I$6+(((A41)+1)/2)*(Inputs!$J$6-Inputs!$I$6)))/Inputs!$K$6)^2)))*1000/Inputs!$C$12)</f>
        <v>1578.0348465697127</v>
      </c>
      <c r="AG41" s="9">
        <f>(((SQRT(((Inputs!$I$7+(((A41)+1)/2)*(Inputs!$J$7-Inputs!$I$7)))^2+Inputs!$C$6^2+((Inputs!$H$7+Inputs!$L$7*(((Inputs!$I$7+(((A41)+1)/2)*(Inputs!$J$7-Inputs!$I$7)))/Inputs!$K$7)^2))^2))-((Inputs!$H$7+Inputs!$L$7*(((Inputs!$I$7+(((A41)+1)/2)*(Inputs!$J$7-Inputs!$I$7)))/Inputs!$K$7)^2)))*1000/Inputs!$C$12)</f>
        <v>76632.996021156898</v>
      </c>
      <c r="AH41" s="9">
        <f>(((SQRT(((Inputs!$I$8+(((A41)+1)/2)*(Inputs!$J$8-Inputs!$I$8)))^2+Inputs!$C$6^2+((Inputs!$H$8+Inputs!$L$8*(((Inputs!$I$8+(((A41)+1)/2)*(Inputs!$J$8-Inputs!$I$8)))/Inputs!$K$8)^2))^2))-((Inputs!$H$8+Inputs!$L$8*(((Inputs!$I$8+(((A41)+1)/2)*(Inputs!$J$8-Inputs!$I$8)))/Inputs!$K$8)^2)))*1000/Inputs!$C$12)</f>
        <v>137487.30842840724</v>
      </c>
      <c r="AI41" s="9">
        <f>(((SQRT(((Inputs!$I$9+(((A41)+1)/2)*(Inputs!$J$9-Inputs!$I$9)))^2+Inputs!$C$6^2+((Inputs!$H$9+Inputs!$L$9*(((Inputs!$I$9+(((A41)+1)/2)*(Inputs!$J$9-Inputs!$I$9)))/Inputs!$K$9)^2))^2))-((Inputs!$H$9+Inputs!$L$9*(((Inputs!$I$9+(((A41)+1)/2)*(Inputs!$J$9-Inputs!$I$9)))/Inputs!$K$9)^2)))*1000/Inputs!$C$12)</f>
        <v>138534.24266012842</v>
      </c>
      <c r="AJ41" s="10"/>
      <c r="AK41" s="9">
        <f t="shared" si="5"/>
        <v>-0.67500000000000004</v>
      </c>
      <c r="AL41" s="9">
        <f>(-2*((1000*((((Inputs!$I$6+(((A41)+1)/2)*(Inputs!$J$6-Inputs!$I$6)))*Inputs!$C$11+((Inputs!$H$6+Inputs!$L$6*(((Inputs!$I$6+(((A41)+1)/2)*(Inputs!$J$6-Inputs!$I$6)))/Inputs!$K$6)^2))*((2*Inputs!$L$6*((Inputs!$I$6+(((A41)+1)/2)*(Inputs!$J$6-Inputs!$I$6)))/(Inputs!$K$6^2)*Inputs!$C$11)))/(SQRT(((Inputs!$I$6+(((A41)+1)/2)*(Inputs!$J$6-Inputs!$I$6)))^2+Inputs!$C$6^2+((Inputs!$H$6+Inputs!$L$6*(((Inputs!$I$6+(((A41)+1)/2)*(Inputs!$J$6-Inputs!$I$6)))/Inputs!$K$6)^2))^2)))))/Inputs!$C$13)</f>
        <v>303.14612110072255</v>
      </c>
      <c r="AM41" s="9">
        <f>(-2*((1000*((((Inputs!$I$7+(((A41)+1)/2)*(Inputs!$J$7-Inputs!$I$7)))*Inputs!$C$11+((Inputs!$H$7+Inputs!$L$7*(((Inputs!$I$7+(((A41)+1)/2)*(Inputs!$J$7-Inputs!$I$7)))/Inputs!$K$7)^2))*((2*Inputs!$L$7*((Inputs!$I$7+(((A41)+1)/2)*(Inputs!$J$7-Inputs!$I$7)))/(Inputs!$K$7^2)*Inputs!$C$11)))/(SQRT(((Inputs!$I$7+(((A41)+1)/2)*(Inputs!$J$7-Inputs!$I$7)))^2+Inputs!$C$6^2+((Inputs!$H$7+Inputs!$L$7*(((Inputs!$I$7+(((A41)+1)/2)*(Inputs!$J$7-Inputs!$I$7)))/Inputs!$K$7)^2))^2)))))/Inputs!$C$13)</f>
        <v>2454.084297346958</v>
      </c>
      <c r="AN41" s="9">
        <f>(-2*((1000*((((Inputs!$I$8+(((A41)+1)/2)*(Inputs!$J$8-Inputs!$I$8)))*Inputs!$C$11+((Inputs!$H$8+Inputs!$L$8*(((Inputs!$I$8+(((A41)+1)/2)*(Inputs!$J$8-Inputs!$I$8)))/Inputs!$K$8)^2))*((2*Inputs!$L$8*((Inputs!$I$8+(((A41)+1)/2)*(Inputs!$J$8-Inputs!$I$8)))/(Inputs!$K$8^2)*Inputs!$C$11)))/(SQRT(((Inputs!$I$8+(((A41)+1)/2)*(Inputs!$J$8-Inputs!$I$8)))^2+Inputs!$C$6^2+((Inputs!$H$8+Inputs!$L$8*(((Inputs!$I$8+(((A41)+1)/2)*(Inputs!$J$8-Inputs!$I$8)))/Inputs!$K$8)^2))^2)))))/Inputs!$C$13)</f>
        <v>2920.1524806174339</v>
      </c>
      <c r="AO41" s="9">
        <f>(-2*((1000*((((Inputs!$I$9+(((A41)+1)/2)*(Inputs!$J$9-Inputs!$I$9)))*Inputs!$C$11+((Inputs!$H$9+Inputs!$L$9*(((Inputs!$I$9+(((A41)+1)/2)*(Inputs!$J$9-Inputs!$I$9)))/Inputs!$K$9)^2))*((2*Inputs!$L$9*((Inputs!$I$9+(((A41)+1)/2)*(Inputs!$J$9-Inputs!$I$9)))/(Inputs!$K$9^2)*Inputs!$C$11)))/(SQRT(((Inputs!$I$9+(((A41)+1)/2)*(Inputs!$J$9-Inputs!$I$9)))^2+Inputs!$C$6^2+((Inputs!$H$9+Inputs!$L$9*(((Inputs!$I$9+(((A41)+1)/2)*(Inputs!$J$9-Inputs!$I$9)))/Inputs!$K$9)^2))^2)))))/Inputs!$C$13)</f>
        <v>2932.642103033661</v>
      </c>
    </row>
    <row r="42" spans="1:41">
      <c r="A42" s="9">
        <f>ROUND(-1+40*2/240,3)</f>
        <v>-0.66700000000000004</v>
      </c>
      <c r="B42" s="9">
        <f>IF(OR(Inputs!$F$6=TRUE,Inputs!$F$6="TRUE",Inputs!$F$6=1),(Inputs!$H$6+Inputs!$L$6*(((Inputs!$I$6+(((A42)+1)/2)*(Inputs!$J$6-Inputs!$I$6)))/Inputs!$K$6)^2),NA())</f>
        <v>401.77955600000001</v>
      </c>
      <c r="C42" s="9">
        <f>IF(OR(Inputs!$F$7=TRUE,Inputs!$F$7="TRUE",Inputs!$F$7=1),(Inputs!$H$7+Inputs!$L$7*(((Inputs!$I$7+(((A42)+1)/2)*(Inputs!$J$7-Inputs!$I$7)))/Inputs!$K$7)^2),NA())</f>
        <v>197.38448500000001</v>
      </c>
      <c r="D42" s="9">
        <f>IF(OR(Inputs!$F$8=TRUE,Inputs!$F$8="TRUE",Inputs!$F$8=1),(Inputs!$H$8+Inputs!$L$8*(((Inputs!$I$8+(((A42)+1)/2)*(Inputs!$J$8-Inputs!$I$8)))/Inputs!$K$8)^2),NA())</f>
        <v>464.31788500000005</v>
      </c>
      <c r="E42" s="9">
        <f>IF(OR(Inputs!$F$9=TRUE,Inputs!$F$9="TRUE",Inputs!$F$9=1),(Inputs!$H$9+Inputs!$L$9*(((Inputs!$I$9+(((A42)+1)/2)*(Inputs!$J$9-Inputs!$I$9)))/Inputs!$K$9)^2),NA())</f>
        <v>458.76677500000005</v>
      </c>
      <c r="F42" s="10"/>
      <c r="G42" s="9">
        <f t="shared" si="0"/>
        <v>-0.66700000000000004</v>
      </c>
      <c r="H42" s="9">
        <f>IF(OR(Inputs!$F$6=TRUE,Inputs!$F$6="TRUE",Inputs!$F$6=1),(((SQRT(((Inputs!$I$6+(((A42)+1)/2)*(Inputs!$J$6-Inputs!$I$6)))^2+Inputs!$C$6^2+((Inputs!$H$6+Inputs!$L$6*(((Inputs!$I$6+(((A42)+1)/2)*(Inputs!$J$6-Inputs!$I$6)))/Inputs!$K$6)^2))^2))-((Inputs!$H$6+Inputs!$L$6*(((Inputs!$I$6+(((A42)+1)/2)*(Inputs!$J$6-Inputs!$I$6)))/Inputs!$K$6)^2)))*1000/Inputs!$C$12),NA())</f>
        <v>1551.3670195100287</v>
      </c>
      <c r="I42" s="9">
        <f>IF(OR(Inputs!$F$7=TRUE,Inputs!$F$7="TRUE",Inputs!$F$7=1),(((SQRT(((Inputs!$I$7+(((A42)+1)/2)*(Inputs!$J$7-Inputs!$I$7)))^2+Inputs!$C$6^2+((Inputs!$H$7+Inputs!$L$7*(((Inputs!$I$7+(((A42)+1)/2)*(Inputs!$J$7-Inputs!$I$7)))/Inputs!$K$7)^2))^2))-((Inputs!$H$7+Inputs!$L$7*(((Inputs!$I$7+(((A42)+1)/2)*(Inputs!$J$7-Inputs!$I$7)))/Inputs!$K$7)^2)))*1000/Inputs!$C$12),NA())</f>
        <v>76086.289784834909</v>
      </c>
      <c r="J42" s="9">
        <f>IF(OR(Inputs!$F$8=TRUE,Inputs!$F$8="TRUE",Inputs!$F$8=1),(((SQRT(((Inputs!$I$8+(((A42)+1)/2)*(Inputs!$J$8-Inputs!$I$8)))^2+Inputs!$C$6^2+((Inputs!$H$8+Inputs!$L$8*(((Inputs!$I$8+(((A42)+1)/2)*(Inputs!$J$8-Inputs!$I$8)))/Inputs!$K$8)^2))^2))-((Inputs!$H$8+Inputs!$L$8*(((Inputs!$I$8+(((A42)+1)/2)*(Inputs!$J$8-Inputs!$I$8)))/Inputs!$K$8)^2)))*1000/Inputs!$C$12),NA())</f>
        <v>136773.50442022432</v>
      </c>
      <c r="K42" s="9">
        <f>IF(OR(Inputs!$F$9=TRUE,Inputs!$F$9="TRUE",Inputs!$F$9=1),(((SQRT(((Inputs!$I$9+(((A42)+1)/2)*(Inputs!$J$9-Inputs!$I$9)))^2+Inputs!$C$6^2+((Inputs!$H$9+Inputs!$L$9*(((Inputs!$I$9+(((A42)+1)/2)*(Inputs!$J$9-Inputs!$I$9)))/Inputs!$K$9)^2))^2))-((Inputs!$H$9+Inputs!$L$9*(((Inputs!$I$9+(((A42)+1)/2)*(Inputs!$J$9-Inputs!$I$9)))/Inputs!$K$9)^2)))*1000/Inputs!$C$12),NA())</f>
        <v>137853.22773067432</v>
      </c>
      <c r="L42" s="10"/>
      <c r="M42" s="9">
        <f t="shared" si="1"/>
        <v>-0.66700000000000004</v>
      </c>
      <c r="N42" s="9">
        <f>IF(OR(Inputs!$F$6=TRUE,Inputs!$F$6="TRUE",Inputs!$F$6=1),(-2*((1000*((((Inputs!$I$6+(((A42)+1)/2)*(Inputs!$J$6-Inputs!$I$6)))*Inputs!$C$11+((Inputs!$H$6+Inputs!$L$6*(((Inputs!$I$6+(((A42)+1)/2)*(Inputs!$J$6-Inputs!$I$6)))/Inputs!$K$6)^2))*((2*Inputs!$L$6*((Inputs!$I$6+(((A42)+1)/2)*(Inputs!$J$6-Inputs!$I$6)))/(Inputs!$K$6^2)*Inputs!$C$11)))/(SQRT(((Inputs!$I$6+(((A42)+1)/2)*(Inputs!$J$6-Inputs!$I$6)))^2+Inputs!$C$6^2+((Inputs!$H$6+Inputs!$L$6*(((Inputs!$I$6+(((A42)+1)/2)*(Inputs!$J$6-Inputs!$I$6)))/Inputs!$K$6)^2))^2)))))/Inputs!$C$13),NA())</f>
        <v>299.60512159652797</v>
      </c>
      <c r="O42" s="9">
        <f>IF(OR(Inputs!$F$7=TRUE,Inputs!$F$7="TRUE",Inputs!$F$7=1),(-2*((1000*((((Inputs!$I$7+(((A42)+1)/2)*(Inputs!$J$7-Inputs!$I$7)))*Inputs!$C$11+((Inputs!$H$7+Inputs!$L$7*(((Inputs!$I$7+(((A42)+1)/2)*(Inputs!$J$7-Inputs!$I$7)))/Inputs!$K$7)^2))*((2*Inputs!$L$7*((Inputs!$I$7+(((A42)+1)/2)*(Inputs!$J$7-Inputs!$I$7)))/(Inputs!$K$7^2)*Inputs!$C$11)))/(SQRT(((Inputs!$I$7+(((A42)+1)/2)*(Inputs!$J$7-Inputs!$I$7)))^2+Inputs!$C$6^2+((Inputs!$H$7+Inputs!$L$7*(((Inputs!$I$7+(((A42)+1)/2)*(Inputs!$J$7-Inputs!$I$7)))/Inputs!$K$7)^2))^2)))))/Inputs!$C$13),NA())</f>
        <v>2437.7098635199627</v>
      </c>
      <c r="P42" s="9">
        <f>IF(OR(Inputs!$F$8=TRUE,Inputs!$F$8="TRUE",Inputs!$F$8=1),(-2*((1000*((((Inputs!$I$8+(((A42)+1)/2)*(Inputs!$J$8-Inputs!$I$8)))*Inputs!$C$11+((Inputs!$H$8+Inputs!$L$8*(((Inputs!$I$8+(((A42)+1)/2)*(Inputs!$J$8-Inputs!$I$8)))/Inputs!$K$8)^2))*((2*Inputs!$L$8*((Inputs!$I$8+(((A42)+1)/2)*(Inputs!$J$8-Inputs!$I$8)))/(Inputs!$K$8^2)*Inputs!$C$11)))/(SQRT(((Inputs!$I$8+(((A42)+1)/2)*(Inputs!$J$8-Inputs!$I$8)))^2+Inputs!$C$6^2+((Inputs!$H$8+Inputs!$L$8*(((Inputs!$I$8+(((A42)+1)/2)*(Inputs!$J$8-Inputs!$I$8)))/Inputs!$K$8)^2))^2)))))/Inputs!$C$13),NA())</f>
        <v>2895.2745087802164</v>
      </c>
      <c r="Q42" s="9">
        <f>IF(OR(Inputs!$F$9=TRUE,Inputs!$F$9="TRUE",Inputs!$F$9=1),(-2*((1000*((((Inputs!$I$9+(((A42)+1)/2)*(Inputs!$J$9-Inputs!$I$9)))*Inputs!$C$11+((Inputs!$H$9+Inputs!$L$9*(((Inputs!$I$9+(((A42)+1)/2)*(Inputs!$J$9-Inputs!$I$9)))/Inputs!$K$9)^2))*((2*Inputs!$L$9*((Inputs!$I$9+(((A42)+1)/2)*(Inputs!$J$9-Inputs!$I$9)))/(Inputs!$K$9^2)*Inputs!$C$11)))/(SQRT(((Inputs!$I$9+(((A42)+1)/2)*(Inputs!$J$9-Inputs!$I$9)))^2+Inputs!$C$6^2+((Inputs!$H$9+Inputs!$L$9*(((Inputs!$I$9+(((A42)+1)/2)*(Inputs!$J$9-Inputs!$I$9)))/Inputs!$K$9)^2))^2)))))/Inputs!$C$13),NA())</f>
        <v>2907.2825894839652</v>
      </c>
      <c r="R42" s="10"/>
      <c r="S42" s="9">
        <f t="shared" si="2"/>
        <v>-0.66700000000000004</v>
      </c>
      <c r="T42" s="9">
        <f>(Inputs!$I$6+(((A42)+1)/2)*(Inputs!$J$6-Inputs!$I$6))</f>
        <v>-40.020000000000003</v>
      </c>
      <c r="U42" s="9">
        <f>(Inputs!$I$7+(((A42)+1)/2)*(Inputs!$J$7-Inputs!$I$7))</f>
        <v>-266.8</v>
      </c>
      <c r="V42" s="9">
        <f>(Inputs!$I$8+(((A42)+1)/2)*(Inputs!$J$8-Inputs!$I$8))</f>
        <v>-533.6</v>
      </c>
      <c r="W42" s="9">
        <f>(Inputs!$I$9+(((A42)+1)/2)*(Inputs!$J$9-Inputs!$I$9))</f>
        <v>-533.6</v>
      </c>
      <c r="X42" s="10"/>
      <c r="Y42" s="9">
        <f t="shared" si="3"/>
        <v>-0.66700000000000004</v>
      </c>
      <c r="Z42" s="9">
        <f>(Inputs!$H$6+Inputs!$L$6*(((Inputs!$I$6+(((A42)+1)/2)*(Inputs!$J$6-Inputs!$I$6)))/Inputs!$K$6)^2)</f>
        <v>401.77955600000001</v>
      </c>
      <c r="AA42" s="9">
        <f>(Inputs!$H$7+Inputs!$L$7*(((Inputs!$I$7+(((A42)+1)/2)*(Inputs!$J$7-Inputs!$I$7)))/Inputs!$K$7)^2)</f>
        <v>197.38448500000001</v>
      </c>
      <c r="AB42" s="9">
        <f>(Inputs!$H$8+Inputs!$L$8*(((Inputs!$I$8+(((A42)+1)/2)*(Inputs!$J$8-Inputs!$I$8)))/Inputs!$K$8)^2)</f>
        <v>464.31788500000005</v>
      </c>
      <c r="AC42" s="9">
        <f>(Inputs!$H$9+Inputs!$L$9*(((Inputs!$I$9+(((A42)+1)/2)*(Inputs!$J$9-Inputs!$I$9)))/Inputs!$K$9)^2)</f>
        <v>458.76677500000005</v>
      </c>
      <c r="AD42" s="10"/>
      <c r="AE42" s="9">
        <f t="shared" si="4"/>
        <v>-0.66700000000000004</v>
      </c>
      <c r="AF42" s="9">
        <f>(((SQRT(((Inputs!$I$6+(((A42)+1)/2)*(Inputs!$J$6-Inputs!$I$6)))^2+Inputs!$C$6^2+((Inputs!$H$6+Inputs!$L$6*(((Inputs!$I$6+(((A42)+1)/2)*(Inputs!$J$6-Inputs!$I$6)))/Inputs!$K$6)^2))^2))-((Inputs!$H$6+Inputs!$L$6*(((Inputs!$I$6+(((A42)+1)/2)*(Inputs!$J$6-Inputs!$I$6)))/Inputs!$K$6)^2)))*1000/Inputs!$C$12)</f>
        <v>1551.3670195100287</v>
      </c>
      <c r="AG42" s="9">
        <f>(((SQRT(((Inputs!$I$7+(((A42)+1)/2)*(Inputs!$J$7-Inputs!$I$7)))^2+Inputs!$C$6^2+((Inputs!$H$7+Inputs!$L$7*(((Inputs!$I$7+(((A42)+1)/2)*(Inputs!$J$7-Inputs!$I$7)))/Inputs!$K$7)^2))^2))-((Inputs!$H$7+Inputs!$L$7*(((Inputs!$I$7+(((A42)+1)/2)*(Inputs!$J$7-Inputs!$I$7)))/Inputs!$K$7)^2)))*1000/Inputs!$C$12)</f>
        <v>76086.289784834909</v>
      </c>
      <c r="AH42" s="9">
        <f>(((SQRT(((Inputs!$I$8+(((A42)+1)/2)*(Inputs!$J$8-Inputs!$I$8)))^2+Inputs!$C$6^2+((Inputs!$H$8+Inputs!$L$8*(((Inputs!$I$8+(((A42)+1)/2)*(Inputs!$J$8-Inputs!$I$8)))/Inputs!$K$8)^2))^2))-((Inputs!$H$8+Inputs!$L$8*(((Inputs!$I$8+(((A42)+1)/2)*(Inputs!$J$8-Inputs!$I$8)))/Inputs!$K$8)^2)))*1000/Inputs!$C$12)</f>
        <v>136773.50442022432</v>
      </c>
      <c r="AI42" s="9">
        <f>(((SQRT(((Inputs!$I$9+(((A42)+1)/2)*(Inputs!$J$9-Inputs!$I$9)))^2+Inputs!$C$6^2+((Inputs!$H$9+Inputs!$L$9*(((Inputs!$I$9+(((A42)+1)/2)*(Inputs!$J$9-Inputs!$I$9)))/Inputs!$K$9)^2))^2))-((Inputs!$H$9+Inputs!$L$9*(((Inputs!$I$9+(((A42)+1)/2)*(Inputs!$J$9-Inputs!$I$9)))/Inputs!$K$9)^2)))*1000/Inputs!$C$12)</f>
        <v>137853.22773067432</v>
      </c>
      <c r="AJ42" s="10"/>
      <c r="AK42" s="9">
        <f t="shared" si="5"/>
        <v>-0.66700000000000004</v>
      </c>
      <c r="AL42" s="9">
        <f>(-2*((1000*((((Inputs!$I$6+(((A42)+1)/2)*(Inputs!$J$6-Inputs!$I$6)))*Inputs!$C$11+((Inputs!$H$6+Inputs!$L$6*(((Inputs!$I$6+(((A42)+1)/2)*(Inputs!$J$6-Inputs!$I$6)))/Inputs!$K$6)^2))*((2*Inputs!$L$6*((Inputs!$I$6+(((A42)+1)/2)*(Inputs!$J$6-Inputs!$I$6)))/(Inputs!$K$6^2)*Inputs!$C$11)))/(SQRT(((Inputs!$I$6+(((A42)+1)/2)*(Inputs!$J$6-Inputs!$I$6)))^2+Inputs!$C$6^2+((Inputs!$H$6+Inputs!$L$6*(((Inputs!$I$6+(((A42)+1)/2)*(Inputs!$J$6-Inputs!$I$6)))/Inputs!$K$6)^2))^2)))))/Inputs!$C$13)</f>
        <v>299.60512159652797</v>
      </c>
      <c r="AM42" s="9">
        <f>(-2*((1000*((((Inputs!$I$7+(((A42)+1)/2)*(Inputs!$J$7-Inputs!$I$7)))*Inputs!$C$11+((Inputs!$H$7+Inputs!$L$7*(((Inputs!$I$7+(((A42)+1)/2)*(Inputs!$J$7-Inputs!$I$7)))/Inputs!$K$7)^2))*((2*Inputs!$L$7*((Inputs!$I$7+(((A42)+1)/2)*(Inputs!$J$7-Inputs!$I$7)))/(Inputs!$K$7^2)*Inputs!$C$11)))/(SQRT(((Inputs!$I$7+(((A42)+1)/2)*(Inputs!$J$7-Inputs!$I$7)))^2+Inputs!$C$6^2+((Inputs!$H$7+Inputs!$L$7*(((Inputs!$I$7+(((A42)+1)/2)*(Inputs!$J$7-Inputs!$I$7)))/Inputs!$K$7)^2))^2)))))/Inputs!$C$13)</f>
        <v>2437.7098635199627</v>
      </c>
      <c r="AN42" s="9">
        <f>(-2*((1000*((((Inputs!$I$8+(((A42)+1)/2)*(Inputs!$J$8-Inputs!$I$8)))*Inputs!$C$11+((Inputs!$H$8+Inputs!$L$8*(((Inputs!$I$8+(((A42)+1)/2)*(Inputs!$J$8-Inputs!$I$8)))/Inputs!$K$8)^2))*((2*Inputs!$L$8*((Inputs!$I$8+(((A42)+1)/2)*(Inputs!$J$8-Inputs!$I$8)))/(Inputs!$K$8^2)*Inputs!$C$11)))/(SQRT(((Inputs!$I$8+(((A42)+1)/2)*(Inputs!$J$8-Inputs!$I$8)))^2+Inputs!$C$6^2+((Inputs!$H$8+Inputs!$L$8*(((Inputs!$I$8+(((A42)+1)/2)*(Inputs!$J$8-Inputs!$I$8)))/Inputs!$K$8)^2))^2)))))/Inputs!$C$13)</f>
        <v>2895.2745087802164</v>
      </c>
      <c r="AO42" s="9">
        <f>(-2*((1000*((((Inputs!$I$9+(((A42)+1)/2)*(Inputs!$J$9-Inputs!$I$9)))*Inputs!$C$11+((Inputs!$H$9+Inputs!$L$9*(((Inputs!$I$9+(((A42)+1)/2)*(Inputs!$J$9-Inputs!$I$9)))/Inputs!$K$9)^2))*((2*Inputs!$L$9*((Inputs!$I$9+(((A42)+1)/2)*(Inputs!$J$9-Inputs!$I$9)))/(Inputs!$K$9^2)*Inputs!$C$11)))/(SQRT(((Inputs!$I$9+(((A42)+1)/2)*(Inputs!$J$9-Inputs!$I$9)))^2+Inputs!$C$6^2+((Inputs!$H$9+Inputs!$L$9*(((Inputs!$I$9+(((A42)+1)/2)*(Inputs!$J$9-Inputs!$I$9)))/Inputs!$K$9)^2))^2)))))/Inputs!$C$13)</f>
        <v>2907.2825894839652</v>
      </c>
    </row>
    <row r="43" spans="1:41">
      <c r="A43" s="9">
        <f>ROUND(-1+41*2/240,3)</f>
        <v>-0.65800000000000003</v>
      </c>
      <c r="B43" s="9">
        <f>IF(OR(Inputs!$F$6=TRUE,Inputs!$F$6="TRUE",Inputs!$F$6=1),(Inputs!$H$6+Inputs!$L$6*(((Inputs!$I$6+(((A43)+1)/2)*(Inputs!$J$6-Inputs!$I$6)))/Inputs!$K$6)^2),NA())</f>
        <v>401.73185599999999</v>
      </c>
      <c r="C43" s="9">
        <f>IF(OR(Inputs!$F$7=TRUE,Inputs!$F$7="TRUE",Inputs!$F$7=1),(Inputs!$H$7+Inputs!$L$7*(((Inputs!$I$7+(((A43)+1)/2)*(Inputs!$J$7-Inputs!$I$7)))/Inputs!$K$7)^2),NA())</f>
        <v>193.03186000000008</v>
      </c>
      <c r="D43" s="9">
        <f>IF(OR(Inputs!$F$8=TRUE,Inputs!$F$8="TRUE",Inputs!$F$8=1),(Inputs!$H$8+Inputs!$L$8*(((Inputs!$I$8+(((A43)+1)/2)*(Inputs!$J$8-Inputs!$I$8)))/Inputs!$K$8)^2),NA())</f>
        <v>452.8102600000002</v>
      </c>
      <c r="E43" s="9">
        <f>IF(OR(Inputs!$F$9=TRUE,Inputs!$F$9="TRUE",Inputs!$F$9=1),(Inputs!$H$9+Inputs!$L$9*(((Inputs!$I$9+(((A43)+1)/2)*(Inputs!$J$9-Inputs!$I$9)))/Inputs!$K$9)^2),NA())</f>
        <v>447.13990000000018</v>
      </c>
      <c r="F43" s="10"/>
      <c r="G43" s="9">
        <f t="shared" si="0"/>
        <v>-0.65800000000000003</v>
      </c>
      <c r="H43" s="9">
        <f>IF(OR(Inputs!$F$6=TRUE,Inputs!$F$6="TRUE",Inputs!$F$6=1),(((SQRT(((Inputs!$I$6+(((A43)+1)/2)*(Inputs!$J$6-Inputs!$I$6)))^2+Inputs!$C$6^2+((Inputs!$H$6+Inputs!$L$6*(((Inputs!$I$6+(((A43)+1)/2)*(Inputs!$J$6-Inputs!$I$6)))/Inputs!$K$6)^2))^2))-((Inputs!$H$6+Inputs!$L$6*(((Inputs!$I$6+(((A43)+1)/2)*(Inputs!$J$6-Inputs!$I$6)))/Inputs!$K$6)^2)))*1000/Inputs!$C$12),NA())</f>
        <v>1521.7354525077872</v>
      </c>
      <c r="I43" s="9">
        <f>IF(OR(Inputs!$F$7=TRUE,Inputs!$F$7="TRUE",Inputs!$F$7=1),(((SQRT(((Inputs!$I$7+(((A43)+1)/2)*(Inputs!$J$7-Inputs!$I$7)))^2+Inputs!$C$6^2+((Inputs!$H$7+Inputs!$L$7*(((Inputs!$I$7+(((A43)+1)/2)*(Inputs!$J$7-Inputs!$I$7)))/Inputs!$K$7)^2))^2))-((Inputs!$H$7+Inputs!$L$7*(((Inputs!$I$7+(((A43)+1)/2)*(Inputs!$J$7-Inputs!$I$7)))/Inputs!$K$7)^2)))*1000/Inputs!$C$12),NA())</f>
        <v>75461.788586835115</v>
      </c>
      <c r="J43" s="9">
        <f>IF(OR(Inputs!$F$8=TRUE,Inputs!$F$8="TRUE",Inputs!$F$8=1),(((SQRT(((Inputs!$I$8+(((A43)+1)/2)*(Inputs!$J$8-Inputs!$I$8)))^2+Inputs!$C$6^2+((Inputs!$H$8+Inputs!$L$8*(((Inputs!$I$8+(((A43)+1)/2)*(Inputs!$J$8-Inputs!$I$8)))/Inputs!$K$8)^2))^2))-((Inputs!$H$8+Inputs!$L$8*(((Inputs!$I$8+(((A43)+1)/2)*(Inputs!$J$8-Inputs!$I$8)))/Inputs!$K$8)^2)))*1000/Inputs!$C$12),NA())</f>
        <v>135954.16439863585</v>
      </c>
      <c r="K43" s="9">
        <f>IF(OR(Inputs!$F$9=TRUE,Inputs!$F$9="TRUE",Inputs!$F$9=1),(((SQRT(((Inputs!$I$9+(((A43)+1)/2)*(Inputs!$J$9-Inputs!$I$9)))^2+Inputs!$C$6^2+((Inputs!$H$9+Inputs!$L$9*(((Inputs!$I$9+(((A43)+1)/2)*(Inputs!$J$9-Inputs!$I$9)))/Inputs!$K$9)^2))^2))-((Inputs!$H$9+Inputs!$L$9*(((Inputs!$I$9+(((A43)+1)/2)*(Inputs!$J$9-Inputs!$I$9)))/Inputs!$K$9)^2)))*1000/Inputs!$C$12),NA())</f>
        <v>137071.20942254559</v>
      </c>
      <c r="L43" s="10"/>
      <c r="M43" s="9">
        <f t="shared" si="1"/>
        <v>-0.65800000000000003</v>
      </c>
      <c r="N43" s="9">
        <f>IF(OR(Inputs!$F$6=TRUE,Inputs!$F$6="TRUE",Inputs!$F$6=1),(-2*((1000*((((Inputs!$I$6+(((A43)+1)/2)*(Inputs!$J$6-Inputs!$I$6)))*Inputs!$C$11+((Inputs!$H$6+Inputs!$L$6*(((Inputs!$I$6+(((A43)+1)/2)*(Inputs!$J$6-Inputs!$I$6)))/Inputs!$K$6)^2))*((2*Inputs!$L$6*((Inputs!$I$6+(((A43)+1)/2)*(Inputs!$J$6-Inputs!$I$6)))/(Inputs!$K$6^2)*Inputs!$C$11)))/(SQRT(((Inputs!$I$6+(((A43)+1)/2)*(Inputs!$J$6-Inputs!$I$6)))^2+Inputs!$C$6^2+((Inputs!$H$6+Inputs!$L$6*(((Inputs!$I$6+(((A43)+1)/2)*(Inputs!$J$6-Inputs!$I$6)))/Inputs!$K$6)^2))^2)))))/Inputs!$C$13),NA())</f>
        <v>295.61932199881079</v>
      </c>
      <c r="O43" s="9">
        <f>IF(OR(Inputs!$F$7=TRUE,Inputs!$F$7="TRUE",Inputs!$F$7=1),(-2*((1000*((((Inputs!$I$7+(((A43)+1)/2)*(Inputs!$J$7-Inputs!$I$7)))*Inputs!$C$11+((Inputs!$H$7+Inputs!$L$7*(((Inputs!$I$7+(((A43)+1)/2)*(Inputs!$J$7-Inputs!$I$7)))/Inputs!$K$7)^2))*((2*Inputs!$L$7*((Inputs!$I$7+(((A43)+1)/2)*(Inputs!$J$7-Inputs!$I$7)))/(Inputs!$K$7^2)*Inputs!$C$11)))/(SQRT(((Inputs!$I$7+(((A43)+1)/2)*(Inputs!$J$7-Inputs!$I$7)))^2+Inputs!$C$6^2+((Inputs!$H$7+Inputs!$L$7*(((Inputs!$I$7+(((A43)+1)/2)*(Inputs!$J$7-Inputs!$I$7)))/Inputs!$K$7)^2))^2)))))/Inputs!$C$13),NA())</f>
        <v>2419.4116238719457</v>
      </c>
      <c r="P43" s="9">
        <f>IF(OR(Inputs!$F$8=TRUE,Inputs!$F$8="TRUE",Inputs!$F$8=1),(-2*((1000*((((Inputs!$I$8+(((A43)+1)/2)*(Inputs!$J$8-Inputs!$I$8)))*Inputs!$C$11+((Inputs!$H$8+Inputs!$L$8*(((Inputs!$I$8+(((A43)+1)/2)*(Inputs!$J$8-Inputs!$I$8)))/Inputs!$K$8)^2))*((2*Inputs!$L$8*((Inputs!$I$8+(((A43)+1)/2)*(Inputs!$J$8-Inputs!$I$8)))/(Inputs!$K$8^2)*Inputs!$C$11)))/(SQRT(((Inputs!$I$8+(((A43)+1)/2)*(Inputs!$J$8-Inputs!$I$8)))^2+Inputs!$C$6^2+((Inputs!$H$8+Inputs!$L$8*(((Inputs!$I$8+(((A43)+1)/2)*(Inputs!$J$8-Inputs!$I$8)))/Inputs!$K$8)^2))^2)))))/Inputs!$C$13),NA())</f>
        <v>2867.4422206456561</v>
      </c>
      <c r="Q43" s="9">
        <f>IF(OR(Inputs!$F$9=TRUE,Inputs!$F$9="TRUE",Inputs!$F$9=1),(-2*((1000*((((Inputs!$I$9+(((A43)+1)/2)*(Inputs!$J$9-Inputs!$I$9)))*Inputs!$C$11+((Inputs!$H$9+Inputs!$L$9*(((Inputs!$I$9+(((A43)+1)/2)*(Inputs!$J$9-Inputs!$I$9)))/Inputs!$K$9)^2))*((2*Inputs!$L$9*((Inputs!$I$9+(((A43)+1)/2)*(Inputs!$J$9-Inputs!$I$9)))/(Inputs!$K$9^2)*Inputs!$C$11)))/(SQRT(((Inputs!$I$9+(((A43)+1)/2)*(Inputs!$J$9-Inputs!$I$9)))^2+Inputs!$C$6^2+((Inputs!$H$9+Inputs!$L$9*(((Inputs!$I$9+(((A43)+1)/2)*(Inputs!$J$9-Inputs!$I$9)))/Inputs!$K$9)^2))^2)))))/Inputs!$C$13),NA())</f>
        <v>2878.9085233499363</v>
      </c>
      <c r="R43" s="10"/>
      <c r="S43" s="9">
        <f t="shared" si="2"/>
        <v>-0.65800000000000003</v>
      </c>
      <c r="T43" s="9">
        <f>(Inputs!$I$6+(((A43)+1)/2)*(Inputs!$J$6-Inputs!$I$6))</f>
        <v>-39.480000000000004</v>
      </c>
      <c r="U43" s="9">
        <f>(Inputs!$I$7+(((A43)+1)/2)*(Inputs!$J$7-Inputs!$I$7))</f>
        <v>-263.20000000000005</v>
      </c>
      <c r="V43" s="9">
        <f>(Inputs!$I$8+(((A43)+1)/2)*(Inputs!$J$8-Inputs!$I$8))</f>
        <v>-526.40000000000009</v>
      </c>
      <c r="W43" s="9">
        <f>(Inputs!$I$9+(((A43)+1)/2)*(Inputs!$J$9-Inputs!$I$9))</f>
        <v>-526.40000000000009</v>
      </c>
      <c r="X43" s="10"/>
      <c r="Y43" s="9">
        <f t="shared" si="3"/>
        <v>-0.65800000000000003</v>
      </c>
      <c r="Z43" s="9">
        <f>(Inputs!$H$6+Inputs!$L$6*(((Inputs!$I$6+(((A43)+1)/2)*(Inputs!$J$6-Inputs!$I$6)))/Inputs!$K$6)^2)</f>
        <v>401.73185599999999</v>
      </c>
      <c r="AA43" s="9">
        <f>(Inputs!$H$7+Inputs!$L$7*(((Inputs!$I$7+(((A43)+1)/2)*(Inputs!$J$7-Inputs!$I$7)))/Inputs!$K$7)^2)</f>
        <v>193.03186000000008</v>
      </c>
      <c r="AB43" s="9">
        <f>(Inputs!$H$8+Inputs!$L$8*(((Inputs!$I$8+(((A43)+1)/2)*(Inputs!$J$8-Inputs!$I$8)))/Inputs!$K$8)^2)</f>
        <v>452.8102600000002</v>
      </c>
      <c r="AC43" s="9">
        <f>(Inputs!$H$9+Inputs!$L$9*(((Inputs!$I$9+(((A43)+1)/2)*(Inputs!$J$9-Inputs!$I$9)))/Inputs!$K$9)^2)</f>
        <v>447.13990000000018</v>
      </c>
      <c r="AD43" s="10"/>
      <c r="AE43" s="9">
        <f t="shared" si="4"/>
        <v>-0.65800000000000003</v>
      </c>
      <c r="AF43" s="9">
        <f>(((SQRT(((Inputs!$I$6+(((A43)+1)/2)*(Inputs!$J$6-Inputs!$I$6)))^2+Inputs!$C$6^2+((Inputs!$H$6+Inputs!$L$6*(((Inputs!$I$6+(((A43)+1)/2)*(Inputs!$J$6-Inputs!$I$6)))/Inputs!$K$6)^2))^2))-((Inputs!$H$6+Inputs!$L$6*(((Inputs!$I$6+(((A43)+1)/2)*(Inputs!$J$6-Inputs!$I$6)))/Inputs!$K$6)^2)))*1000/Inputs!$C$12)</f>
        <v>1521.7354525077872</v>
      </c>
      <c r="AG43" s="9">
        <f>(((SQRT(((Inputs!$I$7+(((A43)+1)/2)*(Inputs!$J$7-Inputs!$I$7)))^2+Inputs!$C$6^2+((Inputs!$H$7+Inputs!$L$7*(((Inputs!$I$7+(((A43)+1)/2)*(Inputs!$J$7-Inputs!$I$7)))/Inputs!$K$7)^2))^2))-((Inputs!$H$7+Inputs!$L$7*(((Inputs!$I$7+(((A43)+1)/2)*(Inputs!$J$7-Inputs!$I$7)))/Inputs!$K$7)^2)))*1000/Inputs!$C$12)</f>
        <v>75461.788586835115</v>
      </c>
      <c r="AH43" s="9">
        <f>(((SQRT(((Inputs!$I$8+(((A43)+1)/2)*(Inputs!$J$8-Inputs!$I$8)))^2+Inputs!$C$6^2+((Inputs!$H$8+Inputs!$L$8*(((Inputs!$I$8+(((A43)+1)/2)*(Inputs!$J$8-Inputs!$I$8)))/Inputs!$K$8)^2))^2))-((Inputs!$H$8+Inputs!$L$8*(((Inputs!$I$8+(((A43)+1)/2)*(Inputs!$J$8-Inputs!$I$8)))/Inputs!$K$8)^2)))*1000/Inputs!$C$12)</f>
        <v>135954.16439863585</v>
      </c>
      <c r="AI43" s="9">
        <f>(((SQRT(((Inputs!$I$9+(((A43)+1)/2)*(Inputs!$J$9-Inputs!$I$9)))^2+Inputs!$C$6^2+((Inputs!$H$9+Inputs!$L$9*(((Inputs!$I$9+(((A43)+1)/2)*(Inputs!$J$9-Inputs!$I$9)))/Inputs!$K$9)^2))^2))-((Inputs!$H$9+Inputs!$L$9*(((Inputs!$I$9+(((A43)+1)/2)*(Inputs!$J$9-Inputs!$I$9)))/Inputs!$K$9)^2)))*1000/Inputs!$C$12)</f>
        <v>137071.20942254559</v>
      </c>
      <c r="AJ43" s="10"/>
      <c r="AK43" s="9">
        <f t="shared" si="5"/>
        <v>-0.65800000000000003</v>
      </c>
      <c r="AL43" s="9">
        <f>(-2*((1000*((((Inputs!$I$6+(((A43)+1)/2)*(Inputs!$J$6-Inputs!$I$6)))*Inputs!$C$11+((Inputs!$H$6+Inputs!$L$6*(((Inputs!$I$6+(((A43)+1)/2)*(Inputs!$J$6-Inputs!$I$6)))/Inputs!$K$6)^2))*((2*Inputs!$L$6*((Inputs!$I$6+(((A43)+1)/2)*(Inputs!$J$6-Inputs!$I$6)))/(Inputs!$K$6^2)*Inputs!$C$11)))/(SQRT(((Inputs!$I$6+(((A43)+1)/2)*(Inputs!$J$6-Inputs!$I$6)))^2+Inputs!$C$6^2+((Inputs!$H$6+Inputs!$L$6*(((Inputs!$I$6+(((A43)+1)/2)*(Inputs!$J$6-Inputs!$I$6)))/Inputs!$K$6)^2))^2)))))/Inputs!$C$13)</f>
        <v>295.61932199881079</v>
      </c>
      <c r="AM43" s="9">
        <f>(-2*((1000*((((Inputs!$I$7+(((A43)+1)/2)*(Inputs!$J$7-Inputs!$I$7)))*Inputs!$C$11+((Inputs!$H$7+Inputs!$L$7*(((Inputs!$I$7+(((A43)+1)/2)*(Inputs!$J$7-Inputs!$I$7)))/Inputs!$K$7)^2))*((2*Inputs!$L$7*((Inputs!$I$7+(((A43)+1)/2)*(Inputs!$J$7-Inputs!$I$7)))/(Inputs!$K$7^2)*Inputs!$C$11)))/(SQRT(((Inputs!$I$7+(((A43)+1)/2)*(Inputs!$J$7-Inputs!$I$7)))^2+Inputs!$C$6^2+((Inputs!$H$7+Inputs!$L$7*(((Inputs!$I$7+(((A43)+1)/2)*(Inputs!$J$7-Inputs!$I$7)))/Inputs!$K$7)^2))^2)))))/Inputs!$C$13)</f>
        <v>2419.4116238719457</v>
      </c>
      <c r="AN43" s="9">
        <f>(-2*((1000*((((Inputs!$I$8+(((A43)+1)/2)*(Inputs!$J$8-Inputs!$I$8)))*Inputs!$C$11+((Inputs!$H$8+Inputs!$L$8*(((Inputs!$I$8+(((A43)+1)/2)*(Inputs!$J$8-Inputs!$I$8)))/Inputs!$K$8)^2))*((2*Inputs!$L$8*((Inputs!$I$8+(((A43)+1)/2)*(Inputs!$J$8-Inputs!$I$8)))/(Inputs!$K$8^2)*Inputs!$C$11)))/(SQRT(((Inputs!$I$8+(((A43)+1)/2)*(Inputs!$J$8-Inputs!$I$8)))^2+Inputs!$C$6^2+((Inputs!$H$8+Inputs!$L$8*(((Inputs!$I$8+(((A43)+1)/2)*(Inputs!$J$8-Inputs!$I$8)))/Inputs!$K$8)^2))^2)))))/Inputs!$C$13)</f>
        <v>2867.4422206456561</v>
      </c>
      <c r="AO43" s="9">
        <f>(-2*((1000*((((Inputs!$I$9+(((A43)+1)/2)*(Inputs!$J$9-Inputs!$I$9)))*Inputs!$C$11+((Inputs!$H$9+Inputs!$L$9*(((Inputs!$I$9+(((A43)+1)/2)*(Inputs!$J$9-Inputs!$I$9)))/Inputs!$K$9)^2))*((2*Inputs!$L$9*((Inputs!$I$9+(((A43)+1)/2)*(Inputs!$J$9-Inputs!$I$9)))/(Inputs!$K$9^2)*Inputs!$C$11)))/(SQRT(((Inputs!$I$9+(((A43)+1)/2)*(Inputs!$J$9-Inputs!$I$9)))^2+Inputs!$C$6^2+((Inputs!$H$9+Inputs!$L$9*(((Inputs!$I$9+(((A43)+1)/2)*(Inputs!$J$9-Inputs!$I$9)))/Inputs!$K$9)^2))^2)))))/Inputs!$C$13)</f>
        <v>2878.9085233499363</v>
      </c>
    </row>
    <row r="44" spans="1:41">
      <c r="A44" s="9">
        <f>ROUND(-1+42*2/240,3)</f>
        <v>-0.65</v>
      </c>
      <c r="B44" s="9">
        <f>IF(OR(Inputs!$F$6=TRUE,Inputs!$F$6="TRUE",Inputs!$F$6=1),(Inputs!$H$6+Inputs!$L$6*(((Inputs!$I$6+(((A44)+1)/2)*(Inputs!$J$6-Inputs!$I$6)))/Inputs!$K$6)^2),NA())</f>
        <v>401.69</v>
      </c>
      <c r="C44" s="9">
        <f>IF(OR(Inputs!$F$7=TRUE,Inputs!$F$7="TRUE",Inputs!$F$7=1),(Inputs!$H$7+Inputs!$L$7*(((Inputs!$I$7+(((A44)+1)/2)*(Inputs!$J$7-Inputs!$I$7)))/Inputs!$K$7)^2),NA())</f>
        <v>189.21250000000001</v>
      </c>
      <c r="D44" s="9">
        <f>IF(OR(Inputs!$F$8=TRUE,Inputs!$F$8="TRUE",Inputs!$F$8=1),(Inputs!$H$8+Inputs!$L$8*(((Inputs!$I$8+(((A44)+1)/2)*(Inputs!$J$8-Inputs!$I$8)))/Inputs!$K$8)^2),NA())</f>
        <v>442.71250000000003</v>
      </c>
      <c r="E44" s="9">
        <f>IF(OR(Inputs!$F$9=TRUE,Inputs!$F$9="TRUE",Inputs!$F$9=1),(Inputs!$H$9+Inputs!$L$9*(((Inputs!$I$9+(((A44)+1)/2)*(Inputs!$J$9-Inputs!$I$9)))/Inputs!$K$9)^2),NA())</f>
        <v>436.93750000000006</v>
      </c>
      <c r="F44" s="10"/>
      <c r="G44" s="9">
        <f t="shared" si="0"/>
        <v>-0.65</v>
      </c>
      <c r="H44" s="9">
        <f>IF(OR(Inputs!$F$6=TRUE,Inputs!$F$6="TRUE",Inputs!$F$6=1),(((SQRT(((Inputs!$I$6+(((A44)+1)/2)*(Inputs!$J$6-Inputs!$I$6)))^2+Inputs!$C$6^2+((Inputs!$H$6+Inputs!$L$6*(((Inputs!$I$6+(((A44)+1)/2)*(Inputs!$J$6-Inputs!$I$6)))/Inputs!$K$6)^2))^2))-((Inputs!$H$6+Inputs!$L$6*(((Inputs!$I$6+(((A44)+1)/2)*(Inputs!$J$6-Inputs!$I$6)))/Inputs!$K$6)^2)))*1000/Inputs!$C$12),NA())</f>
        <v>1495.7252757464753</v>
      </c>
      <c r="I44" s="9">
        <f>IF(OR(Inputs!$F$7=TRUE,Inputs!$F$7="TRUE",Inputs!$F$7=1),(((SQRT(((Inputs!$I$7+(((A44)+1)/2)*(Inputs!$J$7-Inputs!$I$7)))^2+Inputs!$C$6^2+((Inputs!$H$7+Inputs!$L$7*(((Inputs!$I$7+(((A44)+1)/2)*(Inputs!$J$7-Inputs!$I$7)))/Inputs!$K$7)^2))^2))-((Inputs!$H$7+Inputs!$L$7*(((Inputs!$I$7+(((A44)+1)/2)*(Inputs!$J$7-Inputs!$I$7)))/Inputs!$K$7)^2)))*1000/Inputs!$C$12),NA())</f>
        <v>74898.141872028515</v>
      </c>
      <c r="J44" s="9">
        <f>IF(OR(Inputs!$F$8=TRUE,Inputs!$F$8="TRUE",Inputs!$F$8=1),(((SQRT(((Inputs!$I$8+(((A44)+1)/2)*(Inputs!$J$8-Inputs!$I$8)))^2+Inputs!$C$6^2+((Inputs!$H$8+Inputs!$L$8*(((Inputs!$I$8+(((A44)+1)/2)*(Inputs!$J$8-Inputs!$I$8)))/Inputs!$K$8)^2))^2))-((Inputs!$H$8+Inputs!$L$8*(((Inputs!$I$8+(((A44)+1)/2)*(Inputs!$J$8-Inputs!$I$8)))/Inputs!$K$8)^2)))*1000/Inputs!$C$12),NA())</f>
        <v>135211.03689900014</v>
      </c>
      <c r="K44" s="9">
        <f>IF(OR(Inputs!$F$9=TRUE,Inputs!$F$9="TRUE",Inputs!$F$9=1),(((SQRT(((Inputs!$I$9+(((A44)+1)/2)*(Inputs!$J$9-Inputs!$I$9)))^2+Inputs!$C$6^2+((Inputs!$H$9+Inputs!$L$9*(((Inputs!$I$9+(((A44)+1)/2)*(Inputs!$J$9-Inputs!$I$9)))/Inputs!$K$9)^2))^2))-((Inputs!$H$9+Inputs!$L$9*(((Inputs!$I$9+(((A44)+1)/2)*(Inputs!$J$9-Inputs!$I$9)))/Inputs!$K$9)^2)))*1000/Inputs!$C$12),NA())</f>
        <v>136361.64248877275</v>
      </c>
      <c r="L44" s="10"/>
      <c r="M44" s="9">
        <f t="shared" si="1"/>
        <v>-0.65</v>
      </c>
      <c r="N44" s="9">
        <f>IF(OR(Inputs!$F$6=TRUE,Inputs!$F$6="TRUE",Inputs!$F$6=1),(-2*((1000*((((Inputs!$I$6+(((A44)+1)/2)*(Inputs!$J$6-Inputs!$I$6)))*Inputs!$C$11+((Inputs!$H$6+Inputs!$L$6*(((Inputs!$I$6+(((A44)+1)/2)*(Inputs!$J$6-Inputs!$I$6)))/Inputs!$K$6)^2))*((2*Inputs!$L$6*((Inputs!$I$6+(((A44)+1)/2)*(Inputs!$J$6-Inputs!$I$6)))/(Inputs!$K$6^2)*Inputs!$C$11)))/(SQRT(((Inputs!$I$6+(((A44)+1)/2)*(Inputs!$J$6-Inputs!$I$6)))^2+Inputs!$C$6^2+((Inputs!$H$6+Inputs!$L$6*(((Inputs!$I$6+(((A44)+1)/2)*(Inputs!$J$6-Inputs!$I$6)))/Inputs!$K$6)^2))^2)))))/Inputs!$C$13),NA())</f>
        <v>292.07447752179121</v>
      </c>
      <c r="O44" s="9">
        <f>IF(OR(Inputs!$F$7=TRUE,Inputs!$F$7="TRUE",Inputs!$F$7=1),(-2*((1000*((((Inputs!$I$7+(((A44)+1)/2)*(Inputs!$J$7-Inputs!$I$7)))*Inputs!$C$11+((Inputs!$H$7+Inputs!$L$7*(((Inputs!$I$7+(((A44)+1)/2)*(Inputs!$J$7-Inputs!$I$7)))/Inputs!$K$7)^2))*((2*Inputs!$L$7*((Inputs!$I$7+(((A44)+1)/2)*(Inputs!$J$7-Inputs!$I$7)))/(Inputs!$K$7^2)*Inputs!$C$11)))/(SQRT(((Inputs!$I$7+(((A44)+1)/2)*(Inputs!$J$7-Inputs!$I$7)))^2+Inputs!$C$6^2+((Inputs!$H$7+Inputs!$L$7*(((Inputs!$I$7+(((A44)+1)/2)*(Inputs!$J$7-Inputs!$I$7)))/Inputs!$K$7)^2))^2)))))/Inputs!$C$13),NA())</f>
        <v>2403.2569343586488</v>
      </c>
      <c r="P44" s="9">
        <f>IF(OR(Inputs!$F$8=TRUE,Inputs!$F$8="TRUE",Inputs!$F$8=1),(-2*((1000*((((Inputs!$I$8+(((A44)+1)/2)*(Inputs!$J$8-Inputs!$I$8)))*Inputs!$C$11+((Inputs!$H$8+Inputs!$L$8*(((Inputs!$I$8+(((A44)+1)/2)*(Inputs!$J$8-Inputs!$I$8)))/Inputs!$K$8)^2))*((2*Inputs!$L$8*((Inputs!$I$8+(((A44)+1)/2)*(Inputs!$J$8-Inputs!$I$8)))/(Inputs!$K$8^2)*Inputs!$C$11)))/(SQRT(((Inputs!$I$8+(((A44)+1)/2)*(Inputs!$J$8-Inputs!$I$8)))^2+Inputs!$C$6^2+((Inputs!$H$8+Inputs!$L$8*(((Inputs!$I$8+(((A44)+1)/2)*(Inputs!$J$8-Inputs!$I$8)))/Inputs!$K$8)^2))^2)))))/Inputs!$C$13),NA())</f>
        <v>2842.8436676586489</v>
      </c>
      <c r="Q44" s="9">
        <f>IF(OR(Inputs!$F$9=TRUE,Inputs!$F$9="TRUE",Inputs!$F$9=1),(-2*((1000*((((Inputs!$I$9+(((A44)+1)/2)*(Inputs!$J$9-Inputs!$I$9)))*Inputs!$C$11+((Inputs!$H$9+Inputs!$L$9*(((Inputs!$I$9+(((A44)+1)/2)*(Inputs!$J$9-Inputs!$I$9)))/Inputs!$K$9)^2))*((2*Inputs!$L$9*((Inputs!$I$9+(((A44)+1)/2)*(Inputs!$J$9-Inputs!$I$9)))/(Inputs!$K$9^2)*Inputs!$C$11)))/(SQRT(((Inputs!$I$9+(((A44)+1)/2)*(Inputs!$J$9-Inputs!$I$9)))^2+Inputs!$C$6^2+((Inputs!$H$9+Inputs!$L$9*(((Inputs!$I$9+(((A44)+1)/2)*(Inputs!$J$9-Inputs!$I$9)))/Inputs!$K$9)^2))^2)))))/Inputs!$C$13),NA())</f>
        <v>2853.82848846453</v>
      </c>
      <c r="R44" s="10"/>
      <c r="S44" s="9">
        <f t="shared" si="2"/>
        <v>-0.65</v>
      </c>
      <c r="T44" s="9">
        <f>(Inputs!$I$6+(((A44)+1)/2)*(Inputs!$J$6-Inputs!$I$6))</f>
        <v>-39</v>
      </c>
      <c r="U44" s="9">
        <f>(Inputs!$I$7+(((A44)+1)/2)*(Inputs!$J$7-Inputs!$I$7))</f>
        <v>-260</v>
      </c>
      <c r="V44" s="9">
        <f>(Inputs!$I$8+(((A44)+1)/2)*(Inputs!$J$8-Inputs!$I$8))</f>
        <v>-520</v>
      </c>
      <c r="W44" s="9">
        <f>(Inputs!$I$9+(((A44)+1)/2)*(Inputs!$J$9-Inputs!$I$9))</f>
        <v>-520</v>
      </c>
      <c r="X44" s="10"/>
      <c r="Y44" s="9">
        <f t="shared" si="3"/>
        <v>-0.65</v>
      </c>
      <c r="Z44" s="9">
        <f>(Inputs!$H$6+Inputs!$L$6*(((Inputs!$I$6+(((A44)+1)/2)*(Inputs!$J$6-Inputs!$I$6)))/Inputs!$K$6)^2)</f>
        <v>401.69</v>
      </c>
      <c r="AA44" s="9">
        <f>(Inputs!$H$7+Inputs!$L$7*(((Inputs!$I$7+(((A44)+1)/2)*(Inputs!$J$7-Inputs!$I$7)))/Inputs!$K$7)^2)</f>
        <v>189.21250000000001</v>
      </c>
      <c r="AB44" s="9">
        <f>(Inputs!$H$8+Inputs!$L$8*(((Inputs!$I$8+(((A44)+1)/2)*(Inputs!$J$8-Inputs!$I$8)))/Inputs!$K$8)^2)</f>
        <v>442.71250000000003</v>
      </c>
      <c r="AC44" s="9">
        <f>(Inputs!$H$9+Inputs!$L$9*(((Inputs!$I$9+(((A44)+1)/2)*(Inputs!$J$9-Inputs!$I$9)))/Inputs!$K$9)^2)</f>
        <v>436.93750000000006</v>
      </c>
      <c r="AD44" s="10"/>
      <c r="AE44" s="9">
        <f t="shared" si="4"/>
        <v>-0.65</v>
      </c>
      <c r="AF44" s="9">
        <f>(((SQRT(((Inputs!$I$6+(((A44)+1)/2)*(Inputs!$J$6-Inputs!$I$6)))^2+Inputs!$C$6^2+((Inputs!$H$6+Inputs!$L$6*(((Inputs!$I$6+(((A44)+1)/2)*(Inputs!$J$6-Inputs!$I$6)))/Inputs!$K$6)^2))^2))-((Inputs!$H$6+Inputs!$L$6*(((Inputs!$I$6+(((A44)+1)/2)*(Inputs!$J$6-Inputs!$I$6)))/Inputs!$K$6)^2)))*1000/Inputs!$C$12)</f>
        <v>1495.7252757464753</v>
      </c>
      <c r="AG44" s="9">
        <f>(((SQRT(((Inputs!$I$7+(((A44)+1)/2)*(Inputs!$J$7-Inputs!$I$7)))^2+Inputs!$C$6^2+((Inputs!$H$7+Inputs!$L$7*(((Inputs!$I$7+(((A44)+1)/2)*(Inputs!$J$7-Inputs!$I$7)))/Inputs!$K$7)^2))^2))-((Inputs!$H$7+Inputs!$L$7*(((Inputs!$I$7+(((A44)+1)/2)*(Inputs!$J$7-Inputs!$I$7)))/Inputs!$K$7)^2)))*1000/Inputs!$C$12)</f>
        <v>74898.141872028515</v>
      </c>
      <c r="AH44" s="9">
        <f>(((SQRT(((Inputs!$I$8+(((A44)+1)/2)*(Inputs!$J$8-Inputs!$I$8)))^2+Inputs!$C$6^2+((Inputs!$H$8+Inputs!$L$8*(((Inputs!$I$8+(((A44)+1)/2)*(Inputs!$J$8-Inputs!$I$8)))/Inputs!$K$8)^2))^2))-((Inputs!$H$8+Inputs!$L$8*(((Inputs!$I$8+(((A44)+1)/2)*(Inputs!$J$8-Inputs!$I$8)))/Inputs!$K$8)^2)))*1000/Inputs!$C$12)</f>
        <v>135211.03689900014</v>
      </c>
      <c r="AI44" s="9">
        <f>(((SQRT(((Inputs!$I$9+(((A44)+1)/2)*(Inputs!$J$9-Inputs!$I$9)))^2+Inputs!$C$6^2+((Inputs!$H$9+Inputs!$L$9*(((Inputs!$I$9+(((A44)+1)/2)*(Inputs!$J$9-Inputs!$I$9)))/Inputs!$K$9)^2))^2))-((Inputs!$H$9+Inputs!$L$9*(((Inputs!$I$9+(((A44)+1)/2)*(Inputs!$J$9-Inputs!$I$9)))/Inputs!$K$9)^2)))*1000/Inputs!$C$12)</f>
        <v>136361.64248877275</v>
      </c>
      <c r="AJ44" s="10"/>
      <c r="AK44" s="9">
        <f t="shared" si="5"/>
        <v>-0.65</v>
      </c>
      <c r="AL44" s="9">
        <f>(-2*((1000*((((Inputs!$I$6+(((A44)+1)/2)*(Inputs!$J$6-Inputs!$I$6)))*Inputs!$C$11+((Inputs!$H$6+Inputs!$L$6*(((Inputs!$I$6+(((A44)+1)/2)*(Inputs!$J$6-Inputs!$I$6)))/Inputs!$K$6)^2))*((2*Inputs!$L$6*((Inputs!$I$6+(((A44)+1)/2)*(Inputs!$J$6-Inputs!$I$6)))/(Inputs!$K$6^2)*Inputs!$C$11)))/(SQRT(((Inputs!$I$6+(((A44)+1)/2)*(Inputs!$J$6-Inputs!$I$6)))^2+Inputs!$C$6^2+((Inputs!$H$6+Inputs!$L$6*(((Inputs!$I$6+(((A44)+1)/2)*(Inputs!$J$6-Inputs!$I$6)))/Inputs!$K$6)^2))^2)))))/Inputs!$C$13)</f>
        <v>292.07447752179121</v>
      </c>
      <c r="AM44" s="9">
        <f>(-2*((1000*((((Inputs!$I$7+(((A44)+1)/2)*(Inputs!$J$7-Inputs!$I$7)))*Inputs!$C$11+((Inputs!$H$7+Inputs!$L$7*(((Inputs!$I$7+(((A44)+1)/2)*(Inputs!$J$7-Inputs!$I$7)))/Inputs!$K$7)^2))*((2*Inputs!$L$7*((Inputs!$I$7+(((A44)+1)/2)*(Inputs!$J$7-Inputs!$I$7)))/(Inputs!$K$7^2)*Inputs!$C$11)))/(SQRT(((Inputs!$I$7+(((A44)+1)/2)*(Inputs!$J$7-Inputs!$I$7)))^2+Inputs!$C$6^2+((Inputs!$H$7+Inputs!$L$7*(((Inputs!$I$7+(((A44)+1)/2)*(Inputs!$J$7-Inputs!$I$7)))/Inputs!$K$7)^2))^2)))))/Inputs!$C$13)</f>
        <v>2403.2569343586488</v>
      </c>
      <c r="AN44" s="9">
        <f>(-2*((1000*((((Inputs!$I$8+(((A44)+1)/2)*(Inputs!$J$8-Inputs!$I$8)))*Inputs!$C$11+((Inputs!$H$8+Inputs!$L$8*(((Inputs!$I$8+(((A44)+1)/2)*(Inputs!$J$8-Inputs!$I$8)))/Inputs!$K$8)^2))*((2*Inputs!$L$8*((Inputs!$I$8+(((A44)+1)/2)*(Inputs!$J$8-Inputs!$I$8)))/(Inputs!$K$8^2)*Inputs!$C$11)))/(SQRT(((Inputs!$I$8+(((A44)+1)/2)*(Inputs!$J$8-Inputs!$I$8)))^2+Inputs!$C$6^2+((Inputs!$H$8+Inputs!$L$8*(((Inputs!$I$8+(((A44)+1)/2)*(Inputs!$J$8-Inputs!$I$8)))/Inputs!$K$8)^2))^2)))))/Inputs!$C$13)</f>
        <v>2842.8436676586489</v>
      </c>
      <c r="AO44" s="9">
        <f>(-2*((1000*((((Inputs!$I$9+(((A44)+1)/2)*(Inputs!$J$9-Inputs!$I$9)))*Inputs!$C$11+((Inputs!$H$9+Inputs!$L$9*(((Inputs!$I$9+(((A44)+1)/2)*(Inputs!$J$9-Inputs!$I$9)))/Inputs!$K$9)^2))*((2*Inputs!$L$9*((Inputs!$I$9+(((A44)+1)/2)*(Inputs!$J$9-Inputs!$I$9)))/(Inputs!$K$9^2)*Inputs!$C$11)))/(SQRT(((Inputs!$I$9+(((A44)+1)/2)*(Inputs!$J$9-Inputs!$I$9)))^2+Inputs!$C$6^2+((Inputs!$H$9+Inputs!$L$9*(((Inputs!$I$9+(((A44)+1)/2)*(Inputs!$J$9-Inputs!$I$9)))/Inputs!$K$9)^2))^2)))))/Inputs!$C$13)</f>
        <v>2853.82848846453</v>
      </c>
    </row>
    <row r="45" spans="1:41">
      <c r="A45" s="9">
        <f>ROUND(-1+43*2/240,3)</f>
        <v>-0.64200000000000002</v>
      </c>
      <c r="B45" s="9">
        <f>IF(OR(Inputs!$F$6=TRUE,Inputs!$F$6="TRUE",Inputs!$F$6=1),(Inputs!$H$6+Inputs!$L$6*(((Inputs!$I$6+(((A45)+1)/2)*(Inputs!$J$6-Inputs!$I$6)))/Inputs!$K$6)^2),NA())</f>
        <v>401.64865600000002</v>
      </c>
      <c r="C45" s="9">
        <f>IF(OR(Inputs!$F$7=TRUE,Inputs!$F$7="TRUE",Inputs!$F$7=1),(Inputs!$H$7+Inputs!$L$7*(((Inputs!$I$7+(((A45)+1)/2)*(Inputs!$J$7-Inputs!$I$7)))/Inputs!$K$7)^2),NA())</f>
        <v>185.43986000000001</v>
      </c>
      <c r="D45" s="9">
        <f>IF(OR(Inputs!$F$8=TRUE,Inputs!$F$8="TRUE",Inputs!$F$8=1),(Inputs!$H$8+Inputs!$L$8*(((Inputs!$I$8+(((A45)+1)/2)*(Inputs!$J$8-Inputs!$I$8)))/Inputs!$K$8)^2),NA())</f>
        <v>432.73826000000003</v>
      </c>
      <c r="E45" s="9">
        <f>IF(OR(Inputs!$F$9=TRUE,Inputs!$F$9="TRUE",Inputs!$F$9=1),(Inputs!$H$9+Inputs!$L$9*(((Inputs!$I$9+(((A45)+1)/2)*(Inputs!$J$9-Inputs!$I$9)))/Inputs!$K$9)^2),NA())</f>
        <v>426.85990000000004</v>
      </c>
      <c r="F45" s="10"/>
      <c r="G45" s="9">
        <f t="shared" si="0"/>
        <v>-0.64200000000000002</v>
      </c>
      <c r="H45" s="9">
        <f>IF(OR(Inputs!$F$6=TRUE,Inputs!$F$6="TRUE",Inputs!$F$6=1),(((SQRT(((Inputs!$I$6+(((A45)+1)/2)*(Inputs!$J$6-Inputs!$I$6)))^2+Inputs!$C$6^2+((Inputs!$H$6+Inputs!$L$6*(((Inputs!$I$6+(((A45)+1)/2)*(Inputs!$J$6-Inputs!$I$6)))/Inputs!$K$6)^2))^2))-((Inputs!$H$6+Inputs!$L$6*(((Inputs!$I$6+(((A45)+1)/2)*(Inputs!$J$6-Inputs!$I$6)))/Inputs!$K$6)^2)))*1000/Inputs!$C$12),NA())</f>
        <v>1470.0250543717877</v>
      </c>
      <c r="I45" s="9">
        <f>IF(OR(Inputs!$F$7=TRUE,Inputs!$F$7="TRUE",Inputs!$F$7=1),(((SQRT(((Inputs!$I$7+(((A45)+1)/2)*(Inputs!$J$7-Inputs!$I$7)))^2+Inputs!$C$6^2+((Inputs!$H$7+Inputs!$L$7*(((Inputs!$I$7+(((A45)+1)/2)*(Inputs!$J$7-Inputs!$I$7)))/Inputs!$K$7)^2))^2))-((Inputs!$H$7+Inputs!$L$7*(((Inputs!$I$7+(((A45)+1)/2)*(Inputs!$J$7-Inputs!$I$7)))/Inputs!$K$7)^2)))*1000/Inputs!$C$12),NA())</f>
        <v>74326.340456672449</v>
      </c>
      <c r="J45" s="9">
        <f>IF(OR(Inputs!$F$8=TRUE,Inputs!$F$8="TRUE",Inputs!$F$8=1),(((SQRT(((Inputs!$I$8+(((A45)+1)/2)*(Inputs!$J$8-Inputs!$I$8)))^2+Inputs!$C$6^2+((Inputs!$H$8+Inputs!$L$8*(((Inputs!$I$8+(((A45)+1)/2)*(Inputs!$J$8-Inputs!$I$8)))/Inputs!$K$8)^2))^2))-((Inputs!$H$8+Inputs!$L$8*(((Inputs!$I$8+(((A45)+1)/2)*(Inputs!$J$8-Inputs!$I$8)))/Inputs!$K$8)^2)))*1000/Inputs!$C$12),NA())</f>
        <v>134453.64161391766</v>
      </c>
      <c r="K45" s="9">
        <f>IF(OR(Inputs!$F$9=TRUE,Inputs!$F$9="TRUE",Inputs!$F$9=1),(((SQRT(((Inputs!$I$9+(((A45)+1)/2)*(Inputs!$J$9-Inputs!$I$9)))^2+Inputs!$C$6^2+((Inputs!$H$9+Inputs!$L$9*(((Inputs!$I$9+(((A45)+1)/2)*(Inputs!$J$9-Inputs!$I$9)))/Inputs!$K$9)^2))^2))-((Inputs!$H$9+Inputs!$L$9*(((Inputs!$I$9+(((A45)+1)/2)*(Inputs!$J$9-Inputs!$I$9)))/Inputs!$K$9)^2)))*1000/Inputs!$C$12),NA())</f>
        <v>135638.17041677618</v>
      </c>
      <c r="L45" s="10"/>
      <c r="M45" s="9">
        <f t="shared" si="1"/>
        <v>-0.64200000000000002</v>
      </c>
      <c r="N45" s="9">
        <f>IF(OR(Inputs!$F$6=TRUE,Inputs!$F$6="TRUE",Inputs!$F$6=1),(-2*((1000*((((Inputs!$I$6+(((A45)+1)/2)*(Inputs!$J$6-Inputs!$I$6)))*Inputs!$C$11+((Inputs!$H$6+Inputs!$L$6*(((Inputs!$I$6+(((A45)+1)/2)*(Inputs!$J$6-Inputs!$I$6)))/Inputs!$K$6)^2))*((2*Inputs!$L$6*((Inputs!$I$6+(((A45)+1)/2)*(Inputs!$J$6-Inputs!$I$6)))/(Inputs!$K$6^2)*Inputs!$C$11)))/(SQRT(((Inputs!$I$6+(((A45)+1)/2)*(Inputs!$J$6-Inputs!$I$6)))^2+Inputs!$C$6^2+((Inputs!$H$6+Inputs!$L$6*(((Inputs!$I$6+(((A45)+1)/2)*(Inputs!$J$6-Inputs!$I$6)))/Inputs!$K$6)^2))^2)))))/Inputs!$C$13),NA())</f>
        <v>288.52785473690625</v>
      </c>
      <c r="O45" s="9">
        <f>IF(OR(Inputs!$F$7=TRUE,Inputs!$F$7="TRUE",Inputs!$F$7=1),(-2*((1000*((((Inputs!$I$7+(((A45)+1)/2)*(Inputs!$J$7-Inputs!$I$7)))*Inputs!$C$11+((Inputs!$H$7+Inputs!$L$7*(((Inputs!$I$7+(((A45)+1)/2)*(Inputs!$J$7-Inputs!$I$7)))/Inputs!$K$7)^2))*((2*Inputs!$L$7*((Inputs!$I$7+(((A45)+1)/2)*(Inputs!$J$7-Inputs!$I$7)))/(Inputs!$K$7^2)*Inputs!$C$11)))/(SQRT(((Inputs!$I$7+(((A45)+1)/2)*(Inputs!$J$7-Inputs!$I$7)))^2+Inputs!$C$6^2+((Inputs!$H$7+Inputs!$L$7*(((Inputs!$I$7+(((A45)+1)/2)*(Inputs!$J$7-Inputs!$I$7)))/Inputs!$K$7)^2))^2)))))/Inputs!$C$13),NA())</f>
        <v>2387.2071450340841</v>
      </c>
      <c r="P45" s="9">
        <f>IF(OR(Inputs!$F$8=TRUE,Inputs!$F$8="TRUE",Inputs!$F$8=1),(-2*((1000*((((Inputs!$I$8+(((A45)+1)/2)*(Inputs!$J$8-Inputs!$I$8)))*Inputs!$C$11+((Inputs!$H$8+Inputs!$L$8*(((Inputs!$I$8+(((A45)+1)/2)*(Inputs!$J$8-Inputs!$I$8)))/Inputs!$K$8)^2))*((2*Inputs!$L$8*((Inputs!$I$8+(((A45)+1)/2)*(Inputs!$J$8-Inputs!$I$8)))/(Inputs!$K$8^2)*Inputs!$C$11)))/(SQRT(((Inputs!$I$8+(((A45)+1)/2)*(Inputs!$J$8-Inputs!$I$8)))^2+Inputs!$C$6^2+((Inputs!$H$8+Inputs!$L$8*(((Inputs!$I$8+(((A45)+1)/2)*(Inputs!$J$8-Inputs!$I$8)))/Inputs!$K$8)^2))^2)))))/Inputs!$C$13),NA())</f>
        <v>2818.3810277687039</v>
      </c>
      <c r="Q45" s="9">
        <f>IF(OR(Inputs!$F$9=TRUE,Inputs!$F$9="TRUE",Inputs!$F$9=1),(-2*((1000*((((Inputs!$I$9+(((A45)+1)/2)*(Inputs!$J$9-Inputs!$I$9)))*Inputs!$C$11+((Inputs!$H$9+Inputs!$L$9*(((Inputs!$I$9+(((A45)+1)/2)*(Inputs!$J$9-Inputs!$I$9)))/Inputs!$K$9)^2))*((2*Inputs!$L$9*((Inputs!$I$9+(((A45)+1)/2)*(Inputs!$J$9-Inputs!$I$9)))/(Inputs!$K$9^2)*Inputs!$C$11)))/(SQRT(((Inputs!$I$9+(((A45)+1)/2)*(Inputs!$J$9-Inputs!$I$9)))^2+Inputs!$C$6^2+((Inputs!$H$9+Inputs!$L$9*(((Inputs!$I$9+(((A45)+1)/2)*(Inputs!$J$9-Inputs!$I$9)))/Inputs!$K$9)^2))^2)))))/Inputs!$C$13),NA())</f>
        <v>2828.8845972260715</v>
      </c>
      <c r="R45" s="10"/>
      <c r="S45" s="9">
        <f t="shared" si="2"/>
        <v>-0.64200000000000002</v>
      </c>
      <c r="T45" s="9">
        <f>(Inputs!$I$6+(((A45)+1)/2)*(Inputs!$J$6-Inputs!$I$6))</f>
        <v>-38.519999999999996</v>
      </c>
      <c r="U45" s="9">
        <f>(Inputs!$I$7+(((A45)+1)/2)*(Inputs!$J$7-Inputs!$I$7))</f>
        <v>-256.8</v>
      </c>
      <c r="V45" s="9">
        <f>(Inputs!$I$8+(((A45)+1)/2)*(Inputs!$J$8-Inputs!$I$8))</f>
        <v>-513.6</v>
      </c>
      <c r="W45" s="9">
        <f>(Inputs!$I$9+(((A45)+1)/2)*(Inputs!$J$9-Inputs!$I$9))</f>
        <v>-513.6</v>
      </c>
      <c r="X45" s="10"/>
      <c r="Y45" s="9">
        <f t="shared" si="3"/>
        <v>-0.64200000000000002</v>
      </c>
      <c r="Z45" s="9">
        <f>(Inputs!$H$6+Inputs!$L$6*(((Inputs!$I$6+(((A45)+1)/2)*(Inputs!$J$6-Inputs!$I$6)))/Inputs!$K$6)^2)</f>
        <v>401.64865600000002</v>
      </c>
      <c r="AA45" s="9">
        <f>(Inputs!$H$7+Inputs!$L$7*(((Inputs!$I$7+(((A45)+1)/2)*(Inputs!$J$7-Inputs!$I$7)))/Inputs!$K$7)^2)</f>
        <v>185.43986000000001</v>
      </c>
      <c r="AB45" s="9">
        <f>(Inputs!$H$8+Inputs!$L$8*(((Inputs!$I$8+(((A45)+1)/2)*(Inputs!$J$8-Inputs!$I$8)))/Inputs!$K$8)^2)</f>
        <v>432.73826000000003</v>
      </c>
      <c r="AC45" s="9">
        <f>(Inputs!$H$9+Inputs!$L$9*(((Inputs!$I$9+(((A45)+1)/2)*(Inputs!$J$9-Inputs!$I$9)))/Inputs!$K$9)^2)</f>
        <v>426.85990000000004</v>
      </c>
      <c r="AD45" s="10"/>
      <c r="AE45" s="9">
        <f t="shared" si="4"/>
        <v>-0.64200000000000002</v>
      </c>
      <c r="AF45" s="9">
        <f>(((SQRT(((Inputs!$I$6+(((A45)+1)/2)*(Inputs!$J$6-Inputs!$I$6)))^2+Inputs!$C$6^2+((Inputs!$H$6+Inputs!$L$6*(((Inputs!$I$6+(((A45)+1)/2)*(Inputs!$J$6-Inputs!$I$6)))/Inputs!$K$6)^2))^2))-((Inputs!$H$6+Inputs!$L$6*(((Inputs!$I$6+(((A45)+1)/2)*(Inputs!$J$6-Inputs!$I$6)))/Inputs!$K$6)^2)))*1000/Inputs!$C$12)</f>
        <v>1470.0250543717877</v>
      </c>
      <c r="AG45" s="9">
        <f>(((SQRT(((Inputs!$I$7+(((A45)+1)/2)*(Inputs!$J$7-Inputs!$I$7)))^2+Inputs!$C$6^2+((Inputs!$H$7+Inputs!$L$7*(((Inputs!$I$7+(((A45)+1)/2)*(Inputs!$J$7-Inputs!$I$7)))/Inputs!$K$7)^2))^2))-((Inputs!$H$7+Inputs!$L$7*(((Inputs!$I$7+(((A45)+1)/2)*(Inputs!$J$7-Inputs!$I$7)))/Inputs!$K$7)^2)))*1000/Inputs!$C$12)</f>
        <v>74326.340456672449</v>
      </c>
      <c r="AH45" s="9">
        <f>(((SQRT(((Inputs!$I$8+(((A45)+1)/2)*(Inputs!$J$8-Inputs!$I$8)))^2+Inputs!$C$6^2+((Inputs!$H$8+Inputs!$L$8*(((Inputs!$I$8+(((A45)+1)/2)*(Inputs!$J$8-Inputs!$I$8)))/Inputs!$K$8)^2))^2))-((Inputs!$H$8+Inputs!$L$8*(((Inputs!$I$8+(((A45)+1)/2)*(Inputs!$J$8-Inputs!$I$8)))/Inputs!$K$8)^2)))*1000/Inputs!$C$12)</f>
        <v>134453.64161391766</v>
      </c>
      <c r="AI45" s="9">
        <f>(((SQRT(((Inputs!$I$9+(((A45)+1)/2)*(Inputs!$J$9-Inputs!$I$9)))^2+Inputs!$C$6^2+((Inputs!$H$9+Inputs!$L$9*(((Inputs!$I$9+(((A45)+1)/2)*(Inputs!$J$9-Inputs!$I$9)))/Inputs!$K$9)^2))^2))-((Inputs!$H$9+Inputs!$L$9*(((Inputs!$I$9+(((A45)+1)/2)*(Inputs!$J$9-Inputs!$I$9)))/Inputs!$K$9)^2)))*1000/Inputs!$C$12)</f>
        <v>135638.17041677618</v>
      </c>
      <c r="AJ45" s="10"/>
      <c r="AK45" s="9">
        <f t="shared" si="5"/>
        <v>-0.64200000000000002</v>
      </c>
      <c r="AL45" s="9">
        <f>(-2*((1000*((((Inputs!$I$6+(((A45)+1)/2)*(Inputs!$J$6-Inputs!$I$6)))*Inputs!$C$11+((Inputs!$H$6+Inputs!$L$6*(((Inputs!$I$6+(((A45)+1)/2)*(Inputs!$J$6-Inputs!$I$6)))/Inputs!$K$6)^2))*((2*Inputs!$L$6*((Inputs!$I$6+(((A45)+1)/2)*(Inputs!$J$6-Inputs!$I$6)))/(Inputs!$K$6^2)*Inputs!$C$11)))/(SQRT(((Inputs!$I$6+(((A45)+1)/2)*(Inputs!$J$6-Inputs!$I$6)))^2+Inputs!$C$6^2+((Inputs!$H$6+Inputs!$L$6*(((Inputs!$I$6+(((A45)+1)/2)*(Inputs!$J$6-Inputs!$I$6)))/Inputs!$K$6)^2))^2)))))/Inputs!$C$13)</f>
        <v>288.52785473690625</v>
      </c>
      <c r="AM45" s="9">
        <f>(-2*((1000*((((Inputs!$I$7+(((A45)+1)/2)*(Inputs!$J$7-Inputs!$I$7)))*Inputs!$C$11+((Inputs!$H$7+Inputs!$L$7*(((Inputs!$I$7+(((A45)+1)/2)*(Inputs!$J$7-Inputs!$I$7)))/Inputs!$K$7)^2))*((2*Inputs!$L$7*((Inputs!$I$7+(((A45)+1)/2)*(Inputs!$J$7-Inputs!$I$7)))/(Inputs!$K$7^2)*Inputs!$C$11)))/(SQRT(((Inputs!$I$7+(((A45)+1)/2)*(Inputs!$J$7-Inputs!$I$7)))^2+Inputs!$C$6^2+((Inputs!$H$7+Inputs!$L$7*(((Inputs!$I$7+(((A45)+1)/2)*(Inputs!$J$7-Inputs!$I$7)))/Inputs!$K$7)^2))^2)))))/Inputs!$C$13)</f>
        <v>2387.2071450340841</v>
      </c>
      <c r="AN45" s="9">
        <f>(-2*((1000*((((Inputs!$I$8+(((A45)+1)/2)*(Inputs!$J$8-Inputs!$I$8)))*Inputs!$C$11+((Inputs!$H$8+Inputs!$L$8*(((Inputs!$I$8+(((A45)+1)/2)*(Inputs!$J$8-Inputs!$I$8)))/Inputs!$K$8)^2))*((2*Inputs!$L$8*((Inputs!$I$8+(((A45)+1)/2)*(Inputs!$J$8-Inputs!$I$8)))/(Inputs!$K$8^2)*Inputs!$C$11)))/(SQRT(((Inputs!$I$8+(((A45)+1)/2)*(Inputs!$J$8-Inputs!$I$8)))^2+Inputs!$C$6^2+((Inputs!$H$8+Inputs!$L$8*(((Inputs!$I$8+(((A45)+1)/2)*(Inputs!$J$8-Inputs!$I$8)))/Inputs!$K$8)^2))^2)))))/Inputs!$C$13)</f>
        <v>2818.3810277687039</v>
      </c>
      <c r="AO45" s="9">
        <f>(-2*((1000*((((Inputs!$I$9+(((A45)+1)/2)*(Inputs!$J$9-Inputs!$I$9)))*Inputs!$C$11+((Inputs!$H$9+Inputs!$L$9*(((Inputs!$I$9+(((A45)+1)/2)*(Inputs!$J$9-Inputs!$I$9)))/Inputs!$K$9)^2))*((2*Inputs!$L$9*((Inputs!$I$9+(((A45)+1)/2)*(Inputs!$J$9-Inputs!$I$9)))/(Inputs!$K$9^2)*Inputs!$C$11)))/(SQRT(((Inputs!$I$9+(((A45)+1)/2)*(Inputs!$J$9-Inputs!$I$9)))^2+Inputs!$C$6^2+((Inputs!$H$9+Inputs!$L$9*(((Inputs!$I$9+(((A45)+1)/2)*(Inputs!$J$9-Inputs!$I$9)))/Inputs!$K$9)^2))^2)))))/Inputs!$C$13)</f>
        <v>2828.8845972260715</v>
      </c>
    </row>
    <row r="46" spans="1:41">
      <c r="A46" s="9">
        <f>ROUND(-1+44*2/240,3)</f>
        <v>-0.63300000000000001</v>
      </c>
      <c r="B46" s="9">
        <f>IF(OR(Inputs!$F$6=TRUE,Inputs!$F$6="TRUE",Inputs!$F$6=1),(Inputs!$H$6+Inputs!$L$6*(((Inputs!$I$6+(((A46)+1)/2)*(Inputs!$J$6-Inputs!$I$6)))/Inputs!$K$6)^2),NA())</f>
        <v>401.602756</v>
      </c>
      <c r="C46" s="9">
        <f>IF(OR(Inputs!$F$7=TRUE,Inputs!$F$7="TRUE",Inputs!$F$7=1),(Inputs!$H$7+Inputs!$L$7*(((Inputs!$I$7+(((A46)+1)/2)*(Inputs!$J$7-Inputs!$I$7)))/Inputs!$K$7)^2),NA())</f>
        <v>181.251485</v>
      </c>
      <c r="D46" s="9">
        <f>IF(OR(Inputs!$F$8=TRUE,Inputs!$F$8="TRUE",Inputs!$F$8=1),(Inputs!$H$8+Inputs!$L$8*(((Inputs!$I$8+(((A46)+1)/2)*(Inputs!$J$8-Inputs!$I$8)))/Inputs!$K$8)^2),NA())</f>
        <v>421.66488500000003</v>
      </c>
      <c r="E46" s="9">
        <f>IF(OR(Inputs!$F$9=TRUE,Inputs!$F$9="TRUE",Inputs!$F$9=1),(Inputs!$H$9+Inputs!$L$9*(((Inputs!$I$9+(((A46)+1)/2)*(Inputs!$J$9-Inputs!$I$9)))/Inputs!$K$9)^2),NA())</f>
        <v>415.67177500000003</v>
      </c>
      <c r="F46" s="10"/>
      <c r="G46" s="9">
        <f t="shared" si="0"/>
        <v>-0.63300000000000001</v>
      </c>
      <c r="H46" s="9">
        <f>IF(OR(Inputs!$F$6=TRUE,Inputs!$F$6="TRUE",Inputs!$F$6=1),(((SQRT(((Inputs!$I$6+(((A46)+1)/2)*(Inputs!$J$6-Inputs!$I$6)))^2+Inputs!$C$6^2+((Inputs!$H$6+Inputs!$L$6*(((Inputs!$I$6+(((A46)+1)/2)*(Inputs!$J$6-Inputs!$I$6)))/Inputs!$K$6)^2))^2))-((Inputs!$H$6+Inputs!$L$6*(((Inputs!$I$6+(((A46)+1)/2)*(Inputs!$J$6-Inputs!$I$6)))/Inputs!$K$6)^2)))*1000/Inputs!$C$12),NA())</f>
        <v>1441.4831698256544</v>
      </c>
      <c r="I46" s="9">
        <f>IF(OR(Inputs!$F$7=TRUE,Inputs!$F$7="TRUE",Inputs!$F$7=1),(((SQRT(((Inputs!$I$7+(((A46)+1)/2)*(Inputs!$J$7-Inputs!$I$7)))^2+Inputs!$C$6^2+((Inputs!$H$7+Inputs!$L$7*(((Inputs!$I$7+(((A46)+1)/2)*(Inputs!$J$7-Inputs!$I$7)))/Inputs!$K$7)^2))^2))-((Inputs!$H$7+Inputs!$L$7*(((Inputs!$I$7+(((A46)+1)/2)*(Inputs!$J$7-Inputs!$I$7)))/Inputs!$K$7)^2)))*1000/Inputs!$C$12),NA())</f>
        <v>73673.169015115825</v>
      </c>
      <c r="J46" s="9">
        <f>IF(OR(Inputs!$F$8=TRUE,Inputs!$F$8="TRUE",Inputs!$F$8=1),(((SQRT(((Inputs!$I$8+(((A46)+1)/2)*(Inputs!$J$8-Inputs!$I$8)))^2+Inputs!$C$6^2+((Inputs!$H$8+Inputs!$L$8*(((Inputs!$I$8+(((A46)+1)/2)*(Inputs!$J$8-Inputs!$I$8)))/Inputs!$K$8)^2))^2))-((Inputs!$H$8+Inputs!$L$8*(((Inputs!$I$8+(((A46)+1)/2)*(Inputs!$J$8-Inputs!$I$8)))/Inputs!$K$8)^2)))*1000/Inputs!$C$12),NA())</f>
        <v>133584.13288178091</v>
      </c>
      <c r="K46" s="9">
        <f>IF(OR(Inputs!$F$9=TRUE,Inputs!$F$9="TRUE",Inputs!$F$9=1),(((SQRT(((Inputs!$I$9+(((A46)+1)/2)*(Inputs!$J$9-Inputs!$I$9)))^2+Inputs!$C$6^2+((Inputs!$H$9+Inputs!$L$9*(((Inputs!$I$9+(((A46)+1)/2)*(Inputs!$J$9-Inputs!$I$9)))/Inputs!$K$9)^2))^2))-((Inputs!$H$9+Inputs!$L$9*(((Inputs!$I$9+(((A46)+1)/2)*(Inputs!$J$9-Inputs!$I$9)))/Inputs!$K$9)^2)))*1000/Inputs!$C$12),NA())</f>
        <v>134807.25792322456</v>
      </c>
      <c r="L46" s="10"/>
      <c r="M46" s="9">
        <f t="shared" si="1"/>
        <v>-0.63300000000000001</v>
      </c>
      <c r="N46" s="9">
        <f>IF(OR(Inputs!$F$6=TRUE,Inputs!$F$6="TRUE",Inputs!$F$6=1),(-2*((1000*((((Inputs!$I$6+(((A46)+1)/2)*(Inputs!$J$6-Inputs!$I$6)))*Inputs!$C$11+((Inputs!$H$6+Inputs!$L$6*(((Inputs!$I$6+(((A46)+1)/2)*(Inputs!$J$6-Inputs!$I$6)))/Inputs!$K$6)^2))*((2*Inputs!$L$6*((Inputs!$I$6+(((A46)+1)/2)*(Inputs!$J$6-Inputs!$I$6)))/(Inputs!$K$6^2)*Inputs!$C$11)))/(SQRT(((Inputs!$I$6+(((A46)+1)/2)*(Inputs!$J$6-Inputs!$I$6)))^2+Inputs!$C$6^2+((Inputs!$H$6+Inputs!$L$6*(((Inputs!$I$6+(((A46)+1)/2)*(Inputs!$J$6-Inputs!$I$6)))/Inputs!$K$6)^2))^2)))))/Inputs!$C$13),NA())</f>
        <v>284.53580336609599</v>
      </c>
      <c r="O46" s="9">
        <f>IF(OR(Inputs!$F$7=TRUE,Inputs!$F$7="TRUE",Inputs!$F$7=1),(-2*((1000*((((Inputs!$I$7+(((A46)+1)/2)*(Inputs!$J$7-Inputs!$I$7)))*Inputs!$C$11+((Inputs!$H$7+Inputs!$L$7*(((Inputs!$I$7+(((A46)+1)/2)*(Inputs!$J$7-Inputs!$I$7)))/Inputs!$K$7)^2))*((2*Inputs!$L$7*((Inputs!$I$7+(((A46)+1)/2)*(Inputs!$J$7-Inputs!$I$7)))/(Inputs!$K$7^2)*Inputs!$C$11)))/(SQRT(((Inputs!$I$7+(((A46)+1)/2)*(Inputs!$J$7-Inputs!$I$7)))^2+Inputs!$C$6^2+((Inputs!$H$7+Inputs!$L$7*(((Inputs!$I$7+(((A46)+1)/2)*(Inputs!$J$7-Inputs!$I$7)))/Inputs!$K$7)^2))^2)))))/Inputs!$C$13),NA())</f>
        <v>2369.2776476820554</v>
      </c>
      <c r="P46" s="9">
        <f>IF(OR(Inputs!$F$8=TRUE,Inputs!$F$8="TRUE",Inputs!$F$8=1),(-2*((1000*((((Inputs!$I$8+(((A46)+1)/2)*(Inputs!$J$8-Inputs!$I$8)))*Inputs!$C$11+((Inputs!$H$8+Inputs!$L$8*(((Inputs!$I$8+(((A46)+1)/2)*(Inputs!$J$8-Inputs!$I$8)))/Inputs!$K$8)^2))*((2*Inputs!$L$8*((Inputs!$I$8+(((A46)+1)/2)*(Inputs!$J$8-Inputs!$I$8)))/(Inputs!$K$8^2)*Inputs!$C$11)))/(SQRT(((Inputs!$I$8+(((A46)+1)/2)*(Inputs!$J$8-Inputs!$I$8)))^2+Inputs!$C$6^2+((Inputs!$H$8+Inputs!$L$8*(((Inputs!$I$8+(((A46)+1)/2)*(Inputs!$J$8-Inputs!$I$8)))/Inputs!$K$8)^2))^2)))))/Inputs!$C$13),NA())</f>
        <v>2791.0266166424972</v>
      </c>
      <c r="Q46" s="9">
        <f>IF(OR(Inputs!$F$9=TRUE,Inputs!$F$9="TRUE",Inputs!$F$9=1),(-2*((1000*((((Inputs!$I$9+(((A46)+1)/2)*(Inputs!$J$9-Inputs!$I$9)))*Inputs!$C$11+((Inputs!$H$9+Inputs!$L$9*(((Inputs!$I$9+(((A46)+1)/2)*(Inputs!$J$9-Inputs!$I$9)))/Inputs!$K$9)^2))*((2*Inputs!$L$9*((Inputs!$I$9+(((A46)+1)/2)*(Inputs!$J$9-Inputs!$I$9)))/(Inputs!$K$9^2)*Inputs!$C$11)))/(SQRT(((Inputs!$I$9+(((A46)+1)/2)*(Inputs!$J$9-Inputs!$I$9)))^2+Inputs!$C$6^2+((Inputs!$H$9+Inputs!$L$9*(((Inputs!$I$9+(((A46)+1)/2)*(Inputs!$J$9-Inputs!$I$9)))/Inputs!$K$9)^2))^2)))))/Inputs!$C$13),NA())</f>
        <v>2800.989229817093</v>
      </c>
      <c r="R46" s="10"/>
      <c r="S46" s="9">
        <f t="shared" si="2"/>
        <v>-0.63300000000000001</v>
      </c>
      <c r="T46" s="9">
        <f>(Inputs!$I$6+(((A46)+1)/2)*(Inputs!$J$6-Inputs!$I$6))</f>
        <v>-37.980000000000004</v>
      </c>
      <c r="U46" s="9">
        <f>(Inputs!$I$7+(((A46)+1)/2)*(Inputs!$J$7-Inputs!$I$7))</f>
        <v>-253.2</v>
      </c>
      <c r="V46" s="9">
        <f>(Inputs!$I$8+(((A46)+1)/2)*(Inputs!$J$8-Inputs!$I$8))</f>
        <v>-506.4</v>
      </c>
      <c r="W46" s="9">
        <f>(Inputs!$I$9+(((A46)+1)/2)*(Inputs!$J$9-Inputs!$I$9))</f>
        <v>-506.4</v>
      </c>
      <c r="X46" s="10"/>
      <c r="Y46" s="9">
        <f t="shared" si="3"/>
        <v>-0.63300000000000001</v>
      </c>
      <c r="Z46" s="9">
        <f>(Inputs!$H$6+Inputs!$L$6*(((Inputs!$I$6+(((A46)+1)/2)*(Inputs!$J$6-Inputs!$I$6)))/Inputs!$K$6)^2)</f>
        <v>401.602756</v>
      </c>
      <c r="AA46" s="9">
        <f>(Inputs!$H$7+Inputs!$L$7*(((Inputs!$I$7+(((A46)+1)/2)*(Inputs!$J$7-Inputs!$I$7)))/Inputs!$K$7)^2)</f>
        <v>181.251485</v>
      </c>
      <c r="AB46" s="9">
        <f>(Inputs!$H$8+Inputs!$L$8*(((Inputs!$I$8+(((A46)+1)/2)*(Inputs!$J$8-Inputs!$I$8)))/Inputs!$K$8)^2)</f>
        <v>421.66488500000003</v>
      </c>
      <c r="AC46" s="9">
        <f>(Inputs!$H$9+Inputs!$L$9*(((Inputs!$I$9+(((A46)+1)/2)*(Inputs!$J$9-Inputs!$I$9)))/Inputs!$K$9)^2)</f>
        <v>415.67177500000003</v>
      </c>
      <c r="AD46" s="10"/>
      <c r="AE46" s="9">
        <f t="shared" si="4"/>
        <v>-0.63300000000000001</v>
      </c>
      <c r="AF46" s="9">
        <f>(((SQRT(((Inputs!$I$6+(((A46)+1)/2)*(Inputs!$J$6-Inputs!$I$6)))^2+Inputs!$C$6^2+((Inputs!$H$6+Inputs!$L$6*(((Inputs!$I$6+(((A46)+1)/2)*(Inputs!$J$6-Inputs!$I$6)))/Inputs!$K$6)^2))^2))-((Inputs!$H$6+Inputs!$L$6*(((Inputs!$I$6+(((A46)+1)/2)*(Inputs!$J$6-Inputs!$I$6)))/Inputs!$K$6)^2)))*1000/Inputs!$C$12)</f>
        <v>1441.4831698256544</v>
      </c>
      <c r="AG46" s="9">
        <f>(((SQRT(((Inputs!$I$7+(((A46)+1)/2)*(Inputs!$J$7-Inputs!$I$7)))^2+Inputs!$C$6^2+((Inputs!$H$7+Inputs!$L$7*(((Inputs!$I$7+(((A46)+1)/2)*(Inputs!$J$7-Inputs!$I$7)))/Inputs!$K$7)^2))^2))-((Inputs!$H$7+Inputs!$L$7*(((Inputs!$I$7+(((A46)+1)/2)*(Inputs!$J$7-Inputs!$I$7)))/Inputs!$K$7)^2)))*1000/Inputs!$C$12)</f>
        <v>73673.169015115825</v>
      </c>
      <c r="AH46" s="9">
        <f>(((SQRT(((Inputs!$I$8+(((A46)+1)/2)*(Inputs!$J$8-Inputs!$I$8)))^2+Inputs!$C$6^2+((Inputs!$H$8+Inputs!$L$8*(((Inputs!$I$8+(((A46)+1)/2)*(Inputs!$J$8-Inputs!$I$8)))/Inputs!$K$8)^2))^2))-((Inputs!$H$8+Inputs!$L$8*(((Inputs!$I$8+(((A46)+1)/2)*(Inputs!$J$8-Inputs!$I$8)))/Inputs!$K$8)^2)))*1000/Inputs!$C$12)</f>
        <v>133584.13288178091</v>
      </c>
      <c r="AI46" s="9">
        <f>(((SQRT(((Inputs!$I$9+(((A46)+1)/2)*(Inputs!$J$9-Inputs!$I$9)))^2+Inputs!$C$6^2+((Inputs!$H$9+Inputs!$L$9*(((Inputs!$I$9+(((A46)+1)/2)*(Inputs!$J$9-Inputs!$I$9)))/Inputs!$K$9)^2))^2))-((Inputs!$H$9+Inputs!$L$9*(((Inputs!$I$9+(((A46)+1)/2)*(Inputs!$J$9-Inputs!$I$9)))/Inputs!$K$9)^2)))*1000/Inputs!$C$12)</f>
        <v>134807.25792322456</v>
      </c>
      <c r="AJ46" s="10"/>
      <c r="AK46" s="9">
        <f t="shared" si="5"/>
        <v>-0.63300000000000001</v>
      </c>
      <c r="AL46" s="9">
        <f>(-2*((1000*((((Inputs!$I$6+(((A46)+1)/2)*(Inputs!$J$6-Inputs!$I$6)))*Inputs!$C$11+((Inputs!$H$6+Inputs!$L$6*(((Inputs!$I$6+(((A46)+1)/2)*(Inputs!$J$6-Inputs!$I$6)))/Inputs!$K$6)^2))*((2*Inputs!$L$6*((Inputs!$I$6+(((A46)+1)/2)*(Inputs!$J$6-Inputs!$I$6)))/(Inputs!$K$6^2)*Inputs!$C$11)))/(SQRT(((Inputs!$I$6+(((A46)+1)/2)*(Inputs!$J$6-Inputs!$I$6)))^2+Inputs!$C$6^2+((Inputs!$H$6+Inputs!$L$6*(((Inputs!$I$6+(((A46)+1)/2)*(Inputs!$J$6-Inputs!$I$6)))/Inputs!$K$6)^2))^2)))))/Inputs!$C$13)</f>
        <v>284.53580336609599</v>
      </c>
      <c r="AM46" s="9">
        <f>(-2*((1000*((((Inputs!$I$7+(((A46)+1)/2)*(Inputs!$J$7-Inputs!$I$7)))*Inputs!$C$11+((Inputs!$H$7+Inputs!$L$7*(((Inputs!$I$7+(((A46)+1)/2)*(Inputs!$J$7-Inputs!$I$7)))/Inputs!$K$7)^2))*((2*Inputs!$L$7*((Inputs!$I$7+(((A46)+1)/2)*(Inputs!$J$7-Inputs!$I$7)))/(Inputs!$K$7^2)*Inputs!$C$11)))/(SQRT(((Inputs!$I$7+(((A46)+1)/2)*(Inputs!$J$7-Inputs!$I$7)))^2+Inputs!$C$6^2+((Inputs!$H$7+Inputs!$L$7*(((Inputs!$I$7+(((A46)+1)/2)*(Inputs!$J$7-Inputs!$I$7)))/Inputs!$K$7)^2))^2)))))/Inputs!$C$13)</f>
        <v>2369.2776476820554</v>
      </c>
      <c r="AN46" s="9">
        <f>(-2*((1000*((((Inputs!$I$8+(((A46)+1)/2)*(Inputs!$J$8-Inputs!$I$8)))*Inputs!$C$11+((Inputs!$H$8+Inputs!$L$8*(((Inputs!$I$8+(((A46)+1)/2)*(Inputs!$J$8-Inputs!$I$8)))/Inputs!$K$8)^2))*((2*Inputs!$L$8*((Inputs!$I$8+(((A46)+1)/2)*(Inputs!$J$8-Inputs!$I$8)))/(Inputs!$K$8^2)*Inputs!$C$11)))/(SQRT(((Inputs!$I$8+(((A46)+1)/2)*(Inputs!$J$8-Inputs!$I$8)))^2+Inputs!$C$6^2+((Inputs!$H$8+Inputs!$L$8*(((Inputs!$I$8+(((A46)+1)/2)*(Inputs!$J$8-Inputs!$I$8)))/Inputs!$K$8)^2))^2)))))/Inputs!$C$13)</f>
        <v>2791.0266166424972</v>
      </c>
      <c r="AO46" s="9">
        <f>(-2*((1000*((((Inputs!$I$9+(((A46)+1)/2)*(Inputs!$J$9-Inputs!$I$9)))*Inputs!$C$11+((Inputs!$H$9+Inputs!$L$9*(((Inputs!$I$9+(((A46)+1)/2)*(Inputs!$J$9-Inputs!$I$9)))/Inputs!$K$9)^2))*((2*Inputs!$L$9*((Inputs!$I$9+(((A46)+1)/2)*(Inputs!$J$9-Inputs!$I$9)))/(Inputs!$K$9^2)*Inputs!$C$11)))/(SQRT(((Inputs!$I$9+(((A46)+1)/2)*(Inputs!$J$9-Inputs!$I$9)))^2+Inputs!$C$6^2+((Inputs!$H$9+Inputs!$L$9*(((Inputs!$I$9+(((A46)+1)/2)*(Inputs!$J$9-Inputs!$I$9)))/Inputs!$K$9)^2))^2)))))/Inputs!$C$13)</f>
        <v>2800.989229817093</v>
      </c>
    </row>
    <row r="47" spans="1:41">
      <c r="A47" s="9">
        <f>ROUND(-1+45*2/240,3)</f>
        <v>-0.625</v>
      </c>
      <c r="B47" s="9">
        <f>IF(OR(Inputs!$F$6=TRUE,Inputs!$F$6="TRUE",Inputs!$F$6=1),(Inputs!$H$6+Inputs!$L$6*(((Inputs!$I$6+(((A47)+1)/2)*(Inputs!$J$6-Inputs!$I$6)))/Inputs!$K$6)^2),NA())</f>
        <v>401.5625</v>
      </c>
      <c r="C47" s="9">
        <f>IF(OR(Inputs!$F$7=TRUE,Inputs!$F$7="TRUE",Inputs!$F$7=1),(Inputs!$H$7+Inputs!$L$7*(((Inputs!$I$7+(((A47)+1)/2)*(Inputs!$J$7-Inputs!$I$7)))/Inputs!$K$7)^2),NA())</f>
        <v>177.578125</v>
      </c>
      <c r="D47" s="9">
        <f>IF(OR(Inputs!$F$8=TRUE,Inputs!$F$8="TRUE",Inputs!$F$8=1),(Inputs!$H$8+Inputs!$L$8*(((Inputs!$I$8+(((A47)+1)/2)*(Inputs!$J$8-Inputs!$I$8)))/Inputs!$K$8)^2),NA())</f>
        <v>411.953125</v>
      </c>
      <c r="E47" s="9">
        <f>IF(OR(Inputs!$F$9=TRUE,Inputs!$F$9="TRUE",Inputs!$F$9=1),(Inputs!$H$9+Inputs!$L$9*(((Inputs!$I$9+(((A47)+1)/2)*(Inputs!$J$9-Inputs!$I$9)))/Inputs!$K$9)^2),NA())</f>
        <v>405.859375</v>
      </c>
      <c r="F47" s="10"/>
      <c r="G47" s="9">
        <f t="shared" si="0"/>
        <v>-0.625</v>
      </c>
      <c r="H47" s="9">
        <f>IF(OR(Inputs!$F$6=TRUE,Inputs!$F$6="TRUE",Inputs!$F$6=1),(((SQRT(((Inputs!$I$6+(((A47)+1)/2)*(Inputs!$J$6-Inputs!$I$6)))^2+Inputs!$C$6^2+((Inputs!$H$6+Inputs!$L$6*(((Inputs!$I$6+(((A47)+1)/2)*(Inputs!$J$6-Inputs!$I$6)))/Inputs!$K$6)^2))^2))-((Inputs!$H$6+Inputs!$L$6*(((Inputs!$I$6+(((A47)+1)/2)*(Inputs!$J$6-Inputs!$I$6)))/Inputs!$K$6)^2)))*1000/Inputs!$C$12),NA())</f>
        <v>1416.4425890006503</v>
      </c>
      <c r="I47" s="9">
        <f>IF(OR(Inputs!$F$7=TRUE,Inputs!$F$7="TRUE",Inputs!$F$7=1),(((SQRT(((Inputs!$I$7+(((A47)+1)/2)*(Inputs!$J$7-Inputs!$I$7)))^2+Inputs!$C$6^2+((Inputs!$H$7+Inputs!$L$7*(((Inputs!$I$7+(((A47)+1)/2)*(Inputs!$J$7-Inputs!$I$7)))/Inputs!$K$7)^2))^2))-((Inputs!$H$7+Inputs!$L$7*(((Inputs!$I$7+(((A47)+1)/2)*(Inputs!$J$7-Inputs!$I$7)))/Inputs!$K$7)^2)))*1000/Inputs!$C$12),NA())</f>
        <v>73083.644569650074</v>
      </c>
      <c r="J47" s="9">
        <f>IF(OR(Inputs!$F$8=TRUE,Inputs!$F$8="TRUE",Inputs!$F$8=1),(((SQRT(((Inputs!$I$8+(((A47)+1)/2)*(Inputs!$J$8-Inputs!$I$8)))^2+Inputs!$C$6^2+((Inputs!$H$8+Inputs!$L$8*(((Inputs!$I$8+(((A47)+1)/2)*(Inputs!$J$8-Inputs!$I$8)))/Inputs!$K$8)^2))^2))-((Inputs!$H$8+Inputs!$L$8*(((Inputs!$I$8+(((A47)+1)/2)*(Inputs!$J$8-Inputs!$I$8)))/Inputs!$K$8)^2)))*1000/Inputs!$C$12),NA())</f>
        <v>132795.38554872278</v>
      </c>
      <c r="K47" s="9">
        <f>IF(OR(Inputs!$F$9=TRUE,Inputs!$F$9="TRUE",Inputs!$F$9=1),(((SQRT(((Inputs!$I$9+(((A47)+1)/2)*(Inputs!$J$9-Inputs!$I$9)))^2+Inputs!$C$6^2+((Inputs!$H$9+Inputs!$L$9*(((Inputs!$I$9+(((A47)+1)/2)*(Inputs!$J$9-Inputs!$I$9)))/Inputs!$K$9)^2))^2))-((Inputs!$H$9+Inputs!$L$9*(((Inputs!$I$9+(((A47)+1)/2)*(Inputs!$J$9-Inputs!$I$9)))/Inputs!$K$9)^2)))*1000/Inputs!$C$12),NA())</f>
        <v>134053.20178007596</v>
      </c>
      <c r="L47" s="10"/>
      <c r="M47" s="9">
        <f t="shared" si="1"/>
        <v>-0.625</v>
      </c>
      <c r="N47" s="9">
        <f>IF(OR(Inputs!$F$6=TRUE,Inputs!$F$6="TRUE",Inputs!$F$6=1),(-2*((1000*((((Inputs!$I$6+(((A47)+1)/2)*(Inputs!$J$6-Inputs!$I$6)))*Inputs!$C$11+((Inputs!$H$6+Inputs!$L$6*(((Inputs!$I$6+(((A47)+1)/2)*(Inputs!$J$6-Inputs!$I$6)))/Inputs!$K$6)^2))*((2*Inputs!$L$6*((Inputs!$I$6+(((A47)+1)/2)*(Inputs!$J$6-Inputs!$I$6)))/(Inputs!$K$6^2)*Inputs!$C$11)))/(SQRT(((Inputs!$I$6+(((A47)+1)/2)*(Inputs!$J$6-Inputs!$I$6)))^2+Inputs!$C$6^2+((Inputs!$H$6+Inputs!$L$6*(((Inputs!$I$6+(((A47)+1)/2)*(Inputs!$J$6-Inputs!$I$6)))/Inputs!$K$6)^2))^2)))))/Inputs!$C$13),NA())</f>
        <v>280.98546814307451</v>
      </c>
      <c r="O47" s="9">
        <f>IF(OR(Inputs!$F$7=TRUE,Inputs!$F$7="TRUE",Inputs!$F$7=1),(-2*((1000*((((Inputs!$I$7+(((A47)+1)/2)*(Inputs!$J$7-Inputs!$I$7)))*Inputs!$C$11+((Inputs!$H$7+Inputs!$L$7*(((Inputs!$I$7+(((A47)+1)/2)*(Inputs!$J$7-Inputs!$I$7)))/Inputs!$K$7)^2))*((2*Inputs!$L$7*((Inputs!$I$7+(((A47)+1)/2)*(Inputs!$J$7-Inputs!$I$7)))/(Inputs!$K$7^2)*Inputs!$C$11)))/(SQRT(((Inputs!$I$7+(((A47)+1)/2)*(Inputs!$J$7-Inputs!$I$7)))^2+Inputs!$C$6^2+((Inputs!$H$7+Inputs!$L$7*(((Inputs!$I$7+(((A47)+1)/2)*(Inputs!$J$7-Inputs!$I$7)))/Inputs!$K$7)^2))^2)))))/Inputs!$C$13),NA())</f>
        <v>2353.4537311364411</v>
      </c>
      <c r="P47" s="9">
        <f>IF(OR(Inputs!$F$8=TRUE,Inputs!$F$8="TRUE",Inputs!$F$8=1),(-2*((1000*((((Inputs!$I$8+(((A47)+1)/2)*(Inputs!$J$8-Inputs!$I$8)))*Inputs!$C$11+((Inputs!$H$8+Inputs!$L$8*(((Inputs!$I$8+(((A47)+1)/2)*(Inputs!$J$8-Inputs!$I$8)))/Inputs!$K$8)^2))*((2*Inputs!$L$8*((Inputs!$I$8+(((A47)+1)/2)*(Inputs!$J$8-Inputs!$I$8)))/(Inputs!$K$8^2)*Inputs!$C$11)))/(SQRT(((Inputs!$I$8+(((A47)+1)/2)*(Inputs!$J$8-Inputs!$I$8)))^2+Inputs!$C$6^2+((Inputs!$H$8+Inputs!$L$8*(((Inputs!$I$8+(((A47)+1)/2)*(Inputs!$J$8-Inputs!$I$8)))/Inputs!$K$8)^2))^2)))))/Inputs!$C$13),NA())</f>
        <v>2766.8624410563048</v>
      </c>
      <c r="Q47" s="9">
        <f>IF(OR(Inputs!$F$9=TRUE,Inputs!$F$9="TRUE",Inputs!$F$9=1),(-2*((1000*((((Inputs!$I$9+(((A47)+1)/2)*(Inputs!$J$9-Inputs!$I$9)))*Inputs!$C$11+((Inputs!$H$9+Inputs!$L$9*(((Inputs!$I$9+(((A47)+1)/2)*(Inputs!$J$9-Inputs!$I$9)))/Inputs!$K$9)^2))*((2*Inputs!$L$9*((Inputs!$I$9+(((A47)+1)/2)*(Inputs!$J$9-Inputs!$I$9)))/(Inputs!$K$9^2)*Inputs!$C$11)))/(SQRT(((Inputs!$I$9+(((A47)+1)/2)*(Inputs!$J$9-Inputs!$I$9)))^2+Inputs!$C$6^2+((Inputs!$H$9+Inputs!$L$9*(((Inputs!$I$9+(((A47)+1)/2)*(Inputs!$J$9-Inputs!$I$9)))/Inputs!$K$9)^2))^2)))))/Inputs!$C$13),NA())</f>
        <v>2776.3447720855688</v>
      </c>
      <c r="R47" s="10"/>
      <c r="S47" s="9">
        <f t="shared" si="2"/>
        <v>-0.625</v>
      </c>
      <c r="T47" s="9">
        <f>(Inputs!$I$6+(((A47)+1)/2)*(Inputs!$J$6-Inputs!$I$6))</f>
        <v>-37.5</v>
      </c>
      <c r="U47" s="9">
        <f>(Inputs!$I$7+(((A47)+1)/2)*(Inputs!$J$7-Inputs!$I$7))</f>
        <v>-250</v>
      </c>
      <c r="V47" s="9">
        <f>(Inputs!$I$8+(((A47)+1)/2)*(Inputs!$J$8-Inputs!$I$8))</f>
        <v>-500</v>
      </c>
      <c r="W47" s="9">
        <f>(Inputs!$I$9+(((A47)+1)/2)*(Inputs!$J$9-Inputs!$I$9))</f>
        <v>-500</v>
      </c>
      <c r="X47" s="10"/>
      <c r="Y47" s="9">
        <f t="shared" si="3"/>
        <v>-0.625</v>
      </c>
      <c r="Z47" s="9">
        <f>(Inputs!$H$6+Inputs!$L$6*(((Inputs!$I$6+(((A47)+1)/2)*(Inputs!$J$6-Inputs!$I$6)))/Inputs!$K$6)^2)</f>
        <v>401.5625</v>
      </c>
      <c r="AA47" s="9">
        <f>(Inputs!$H$7+Inputs!$L$7*(((Inputs!$I$7+(((A47)+1)/2)*(Inputs!$J$7-Inputs!$I$7)))/Inputs!$K$7)^2)</f>
        <v>177.578125</v>
      </c>
      <c r="AB47" s="9">
        <f>(Inputs!$H$8+Inputs!$L$8*(((Inputs!$I$8+(((A47)+1)/2)*(Inputs!$J$8-Inputs!$I$8)))/Inputs!$K$8)^2)</f>
        <v>411.953125</v>
      </c>
      <c r="AC47" s="9">
        <f>(Inputs!$H$9+Inputs!$L$9*(((Inputs!$I$9+(((A47)+1)/2)*(Inputs!$J$9-Inputs!$I$9)))/Inputs!$K$9)^2)</f>
        <v>405.859375</v>
      </c>
      <c r="AD47" s="10"/>
      <c r="AE47" s="9">
        <f t="shared" si="4"/>
        <v>-0.625</v>
      </c>
      <c r="AF47" s="9">
        <f>(((SQRT(((Inputs!$I$6+(((A47)+1)/2)*(Inputs!$J$6-Inputs!$I$6)))^2+Inputs!$C$6^2+((Inputs!$H$6+Inputs!$L$6*(((Inputs!$I$6+(((A47)+1)/2)*(Inputs!$J$6-Inputs!$I$6)))/Inputs!$K$6)^2))^2))-((Inputs!$H$6+Inputs!$L$6*(((Inputs!$I$6+(((A47)+1)/2)*(Inputs!$J$6-Inputs!$I$6)))/Inputs!$K$6)^2)))*1000/Inputs!$C$12)</f>
        <v>1416.4425890006503</v>
      </c>
      <c r="AG47" s="9">
        <f>(((SQRT(((Inputs!$I$7+(((A47)+1)/2)*(Inputs!$J$7-Inputs!$I$7)))^2+Inputs!$C$6^2+((Inputs!$H$7+Inputs!$L$7*(((Inputs!$I$7+(((A47)+1)/2)*(Inputs!$J$7-Inputs!$I$7)))/Inputs!$K$7)^2))^2))-((Inputs!$H$7+Inputs!$L$7*(((Inputs!$I$7+(((A47)+1)/2)*(Inputs!$J$7-Inputs!$I$7)))/Inputs!$K$7)^2)))*1000/Inputs!$C$12)</f>
        <v>73083.644569650074</v>
      </c>
      <c r="AH47" s="9">
        <f>(((SQRT(((Inputs!$I$8+(((A47)+1)/2)*(Inputs!$J$8-Inputs!$I$8)))^2+Inputs!$C$6^2+((Inputs!$H$8+Inputs!$L$8*(((Inputs!$I$8+(((A47)+1)/2)*(Inputs!$J$8-Inputs!$I$8)))/Inputs!$K$8)^2))^2))-((Inputs!$H$8+Inputs!$L$8*(((Inputs!$I$8+(((A47)+1)/2)*(Inputs!$J$8-Inputs!$I$8)))/Inputs!$K$8)^2)))*1000/Inputs!$C$12)</f>
        <v>132795.38554872278</v>
      </c>
      <c r="AI47" s="9">
        <f>(((SQRT(((Inputs!$I$9+(((A47)+1)/2)*(Inputs!$J$9-Inputs!$I$9)))^2+Inputs!$C$6^2+((Inputs!$H$9+Inputs!$L$9*(((Inputs!$I$9+(((A47)+1)/2)*(Inputs!$J$9-Inputs!$I$9)))/Inputs!$K$9)^2))^2))-((Inputs!$H$9+Inputs!$L$9*(((Inputs!$I$9+(((A47)+1)/2)*(Inputs!$J$9-Inputs!$I$9)))/Inputs!$K$9)^2)))*1000/Inputs!$C$12)</f>
        <v>134053.20178007596</v>
      </c>
      <c r="AJ47" s="10"/>
      <c r="AK47" s="9">
        <f t="shared" si="5"/>
        <v>-0.625</v>
      </c>
      <c r="AL47" s="9">
        <f>(-2*((1000*((((Inputs!$I$6+(((A47)+1)/2)*(Inputs!$J$6-Inputs!$I$6)))*Inputs!$C$11+((Inputs!$H$6+Inputs!$L$6*(((Inputs!$I$6+(((A47)+1)/2)*(Inputs!$J$6-Inputs!$I$6)))/Inputs!$K$6)^2))*((2*Inputs!$L$6*((Inputs!$I$6+(((A47)+1)/2)*(Inputs!$J$6-Inputs!$I$6)))/(Inputs!$K$6^2)*Inputs!$C$11)))/(SQRT(((Inputs!$I$6+(((A47)+1)/2)*(Inputs!$J$6-Inputs!$I$6)))^2+Inputs!$C$6^2+((Inputs!$H$6+Inputs!$L$6*(((Inputs!$I$6+(((A47)+1)/2)*(Inputs!$J$6-Inputs!$I$6)))/Inputs!$K$6)^2))^2)))))/Inputs!$C$13)</f>
        <v>280.98546814307451</v>
      </c>
      <c r="AM47" s="9">
        <f>(-2*((1000*((((Inputs!$I$7+(((A47)+1)/2)*(Inputs!$J$7-Inputs!$I$7)))*Inputs!$C$11+((Inputs!$H$7+Inputs!$L$7*(((Inputs!$I$7+(((A47)+1)/2)*(Inputs!$J$7-Inputs!$I$7)))/Inputs!$K$7)^2))*((2*Inputs!$L$7*((Inputs!$I$7+(((A47)+1)/2)*(Inputs!$J$7-Inputs!$I$7)))/(Inputs!$K$7^2)*Inputs!$C$11)))/(SQRT(((Inputs!$I$7+(((A47)+1)/2)*(Inputs!$J$7-Inputs!$I$7)))^2+Inputs!$C$6^2+((Inputs!$H$7+Inputs!$L$7*(((Inputs!$I$7+(((A47)+1)/2)*(Inputs!$J$7-Inputs!$I$7)))/Inputs!$K$7)^2))^2)))))/Inputs!$C$13)</f>
        <v>2353.4537311364411</v>
      </c>
      <c r="AN47" s="9">
        <f>(-2*((1000*((((Inputs!$I$8+(((A47)+1)/2)*(Inputs!$J$8-Inputs!$I$8)))*Inputs!$C$11+((Inputs!$H$8+Inputs!$L$8*(((Inputs!$I$8+(((A47)+1)/2)*(Inputs!$J$8-Inputs!$I$8)))/Inputs!$K$8)^2))*((2*Inputs!$L$8*((Inputs!$I$8+(((A47)+1)/2)*(Inputs!$J$8-Inputs!$I$8)))/(Inputs!$K$8^2)*Inputs!$C$11)))/(SQRT(((Inputs!$I$8+(((A47)+1)/2)*(Inputs!$J$8-Inputs!$I$8)))^2+Inputs!$C$6^2+((Inputs!$H$8+Inputs!$L$8*(((Inputs!$I$8+(((A47)+1)/2)*(Inputs!$J$8-Inputs!$I$8)))/Inputs!$K$8)^2))^2)))))/Inputs!$C$13)</f>
        <v>2766.8624410563048</v>
      </c>
      <c r="AO47" s="9">
        <f>(-2*((1000*((((Inputs!$I$9+(((A47)+1)/2)*(Inputs!$J$9-Inputs!$I$9)))*Inputs!$C$11+((Inputs!$H$9+Inputs!$L$9*(((Inputs!$I$9+(((A47)+1)/2)*(Inputs!$J$9-Inputs!$I$9)))/Inputs!$K$9)^2))*((2*Inputs!$L$9*((Inputs!$I$9+(((A47)+1)/2)*(Inputs!$J$9-Inputs!$I$9)))/(Inputs!$K$9^2)*Inputs!$C$11)))/(SQRT(((Inputs!$I$9+(((A47)+1)/2)*(Inputs!$J$9-Inputs!$I$9)))^2+Inputs!$C$6^2+((Inputs!$H$9+Inputs!$L$9*(((Inputs!$I$9+(((A47)+1)/2)*(Inputs!$J$9-Inputs!$I$9)))/Inputs!$K$9)^2))^2)))))/Inputs!$C$13)</f>
        <v>2776.3447720855688</v>
      </c>
    </row>
    <row r="48" spans="1:41">
      <c r="A48" s="9">
        <f>ROUND(-1+46*2/240,3)</f>
        <v>-0.61699999999999999</v>
      </c>
      <c r="B48" s="9">
        <f>IF(OR(Inputs!$F$6=TRUE,Inputs!$F$6="TRUE",Inputs!$F$6=1),(Inputs!$H$6+Inputs!$L$6*(((Inputs!$I$6+(((A48)+1)/2)*(Inputs!$J$6-Inputs!$I$6)))/Inputs!$K$6)^2),NA())</f>
        <v>401.52275600000002</v>
      </c>
      <c r="C48" s="9">
        <f>IF(OR(Inputs!$F$7=TRUE,Inputs!$F$7="TRUE",Inputs!$F$7=1),(Inputs!$H$7+Inputs!$L$7*(((Inputs!$I$7+(((A48)+1)/2)*(Inputs!$J$7-Inputs!$I$7)))/Inputs!$K$7)^2),NA())</f>
        <v>173.95148499999999</v>
      </c>
      <c r="D48" s="9">
        <f>IF(OR(Inputs!$F$8=TRUE,Inputs!$F$8="TRUE",Inputs!$F$8=1),(Inputs!$H$8+Inputs!$L$8*(((Inputs!$I$8+(((A48)+1)/2)*(Inputs!$J$8-Inputs!$I$8)))/Inputs!$K$8)^2),NA())</f>
        <v>402.36488500000002</v>
      </c>
      <c r="E48" s="9">
        <f>IF(OR(Inputs!$F$9=TRUE,Inputs!$F$9="TRUE",Inputs!$F$9=1),(Inputs!$H$9+Inputs!$L$9*(((Inputs!$I$9+(((A48)+1)/2)*(Inputs!$J$9-Inputs!$I$9)))/Inputs!$K$9)^2),NA())</f>
        <v>396.17177500000003</v>
      </c>
      <c r="F48" s="10"/>
      <c r="G48" s="9">
        <f t="shared" si="0"/>
        <v>-0.61699999999999999</v>
      </c>
      <c r="H48" s="9">
        <f>IF(OR(Inputs!$F$6=TRUE,Inputs!$F$6="TRUE",Inputs!$F$6=1),(((SQRT(((Inputs!$I$6+(((A48)+1)/2)*(Inputs!$J$6-Inputs!$I$6)))^2+Inputs!$C$6^2+((Inputs!$H$6+Inputs!$L$6*(((Inputs!$I$6+(((A48)+1)/2)*(Inputs!$J$6-Inputs!$I$6)))/Inputs!$K$6)^2))^2))-((Inputs!$H$6+Inputs!$L$6*(((Inputs!$I$6+(((A48)+1)/2)*(Inputs!$J$6-Inputs!$I$6)))/Inputs!$K$6)^2)))*1000/Inputs!$C$12),NA())</f>
        <v>1391.7128836880649</v>
      </c>
      <c r="I48" s="9">
        <f>IF(OR(Inputs!$F$7=TRUE,Inputs!$F$7="TRUE",Inputs!$F$7=1),(((SQRT(((Inputs!$I$7+(((A48)+1)/2)*(Inputs!$J$7-Inputs!$I$7)))^2+Inputs!$C$6^2+((Inputs!$H$7+Inputs!$L$7*(((Inputs!$I$7+(((A48)+1)/2)*(Inputs!$J$7-Inputs!$I$7)))/Inputs!$K$7)^2))^2))-((Inputs!$H$7+Inputs!$L$7*(((Inputs!$I$7+(((A48)+1)/2)*(Inputs!$J$7-Inputs!$I$7)))/Inputs!$K$7)^2)))*1000/Inputs!$C$12),NA())</f>
        <v>72485.592242333747</v>
      </c>
      <c r="J48" s="9">
        <f>IF(OR(Inputs!$F$8=TRUE,Inputs!$F$8="TRUE",Inputs!$F$8=1),(((SQRT(((Inputs!$I$8+(((A48)+1)/2)*(Inputs!$J$8-Inputs!$I$8)))^2+Inputs!$C$6^2+((Inputs!$H$8+Inputs!$L$8*(((Inputs!$I$8+(((A48)+1)/2)*(Inputs!$J$8-Inputs!$I$8)))/Inputs!$K$8)^2))^2))-((Inputs!$H$8+Inputs!$L$8*(((Inputs!$I$8+(((A48)+1)/2)*(Inputs!$J$8-Inputs!$I$8)))/Inputs!$K$8)^2)))*1000/Inputs!$C$12),NA())</f>
        <v>131991.38402040576</v>
      </c>
      <c r="K48" s="9">
        <f>IF(OR(Inputs!$F$9=TRUE,Inputs!$F$9="TRUE",Inputs!$F$9=1),(((SQRT(((Inputs!$I$9+(((A48)+1)/2)*(Inputs!$J$9-Inputs!$I$9)))^2+Inputs!$C$6^2+((Inputs!$H$9+Inputs!$L$9*(((Inputs!$I$9+(((A48)+1)/2)*(Inputs!$J$9-Inputs!$I$9)))/Inputs!$K$9)^2))^2))-((Inputs!$H$9+Inputs!$L$9*(((Inputs!$I$9+(((A48)+1)/2)*(Inputs!$J$9-Inputs!$I$9)))/Inputs!$K$9)^2)))*1000/Inputs!$C$12),NA())</f>
        <v>133284.25086916701</v>
      </c>
      <c r="L48" s="10"/>
      <c r="M48" s="9">
        <f t="shared" si="1"/>
        <v>-0.61699999999999999</v>
      </c>
      <c r="N48" s="9">
        <f>IF(OR(Inputs!$F$6=TRUE,Inputs!$F$6="TRUE",Inputs!$F$6=1),(-2*((1000*((((Inputs!$I$6+(((A48)+1)/2)*(Inputs!$J$6-Inputs!$I$6)))*Inputs!$C$11+((Inputs!$H$6+Inputs!$L$6*(((Inputs!$I$6+(((A48)+1)/2)*(Inputs!$J$6-Inputs!$I$6)))/Inputs!$K$6)^2))*((2*Inputs!$L$6*((Inputs!$I$6+(((A48)+1)/2)*(Inputs!$J$6-Inputs!$I$6)))/(Inputs!$K$6^2)*Inputs!$C$11)))/(SQRT(((Inputs!$I$6+(((A48)+1)/2)*(Inputs!$J$6-Inputs!$I$6)))^2+Inputs!$C$6^2+((Inputs!$H$6+Inputs!$L$6*(((Inputs!$I$6+(((A48)+1)/2)*(Inputs!$J$6-Inputs!$I$6)))/Inputs!$K$6)^2))^2)))))/Inputs!$C$13),NA())</f>
        <v>277.43341731317827</v>
      </c>
      <c r="O48" s="9">
        <f>IF(OR(Inputs!$F$7=TRUE,Inputs!$F$7="TRUE",Inputs!$F$7=1),(-2*((1000*((((Inputs!$I$7+(((A48)+1)/2)*(Inputs!$J$7-Inputs!$I$7)))*Inputs!$C$11+((Inputs!$H$7+Inputs!$L$7*(((Inputs!$I$7+(((A48)+1)/2)*(Inputs!$J$7-Inputs!$I$7)))/Inputs!$K$7)^2))*((2*Inputs!$L$7*((Inputs!$I$7+(((A48)+1)/2)*(Inputs!$J$7-Inputs!$I$7)))/(Inputs!$K$7^2)*Inputs!$C$11)))/(SQRT(((Inputs!$I$7+(((A48)+1)/2)*(Inputs!$J$7-Inputs!$I$7)))^2+Inputs!$C$6^2+((Inputs!$H$7+Inputs!$L$7*(((Inputs!$I$7+(((A48)+1)/2)*(Inputs!$J$7-Inputs!$I$7)))/Inputs!$K$7)^2))^2)))))/Inputs!$C$13),NA())</f>
        <v>2337.7374094442707</v>
      </c>
      <c r="P48" s="9">
        <f>IF(OR(Inputs!$F$8=TRUE,Inputs!$F$8="TRUE",Inputs!$F$8=1),(-2*((1000*((((Inputs!$I$8+(((A48)+1)/2)*(Inputs!$J$8-Inputs!$I$8)))*Inputs!$C$11+((Inputs!$H$8+Inputs!$L$8*(((Inputs!$I$8+(((A48)+1)/2)*(Inputs!$J$8-Inputs!$I$8)))/Inputs!$K$8)^2))*((2*Inputs!$L$8*((Inputs!$I$8+(((A48)+1)/2)*(Inputs!$J$8-Inputs!$I$8)))/(Inputs!$K$8^2)*Inputs!$C$11)))/(SQRT(((Inputs!$I$8+(((A48)+1)/2)*(Inputs!$J$8-Inputs!$I$8)))^2+Inputs!$C$6^2+((Inputs!$H$8+Inputs!$L$8*(((Inputs!$I$8+(((A48)+1)/2)*(Inputs!$J$8-Inputs!$I$8)))/Inputs!$K$8)^2))^2)))))/Inputs!$C$13),NA())</f>
        <v>2742.8433504150089</v>
      </c>
      <c r="Q48" s="9">
        <f>IF(OR(Inputs!$F$9=TRUE,Inputs!$F$9="TRUE",Inputs!$F$9=1),(-2*((1000*((((Inputs!$I$9+(((A48)+1)/2)*(Inputs!$J$9-Inputs!$I$9)))*Inputs!$C$11+((Inputs!$H$9+Inputs!$L$9*(((Inputs!$I$9+(((A48)+1)/2)*(Inputs!$J$9-Inputs!$I$9)))/Inputs!$K$9)^2))*((2*Inputs!$L$9*((Inputs!$I$9+(((A48)+1)/2)*(Inputs!$J$9-Inputs!$I$9)))/(Inputs!$K$9^2)*Inputs!$C$11)))/(SQRT(((Inputs!$I$9+(((A48)+1)/2)*(Inputs!$J$9-Inputs!$I$9)))^2+Inputs!$C$6^2+((Inputs!$H$9+Inputs!$L$9*(((Inputs!$I$9+(((A48)+1)/2)*(Inputs!$J$9-Inputs!$I$9)))/Inputs!$K$9)^2))^2)))))/Inputs!$C$13),NA())</f>
        <v>2751.8461006871571</v>
      </c>
      <c r="R48" s="10"/>
      <c r="S48" s="9">
        <f t="shared" si="2"/>
        <v>-0.61699999999999999</v>
      </c>
      <c r="T48" s="9">
        <f>(Inputs!$I$6+(((A48)+1)/2)*(Inputs!$J$6-Inputs!$I$6))</f>
        <v>-37.019999999999996</v>
      </c>
      <c r="U48" s="9">
        <f>(Inputs!$I$7+(((A48)+1)/2)*(Inputs!$J$7-Inputs!$I$7))</f>
        <v>-246.8</v>
      </c>
      <c r="V48" s="9">
        <f>(Inputs!$I$8+(((A48)+1)/2)*(Inputs!$J$8-Inputs!$I$8))</f>
        <v>-493.6</v>
      </c>
      <c r="W48" s="9">
        <f>(Inputs!$I$9+(((A48)+1)/2)*(Inputs!$J$9-Inputs!$I$9))</f>
        <v>-493.6</v>
      </c>
      <c r="X48" s="10"/>
      <c r="Y48" s="9">
        <f t="shared" si="3"/>
        <v>-0.61699999999999999</v>
      </c>
      <c r="Z48" s="9">
        <f>(Inputs!$H$6+Inputs!$L$6*(((Inputs!$I$6+(((A48)+1)/2)*(Inputs!$J$6-Inputs!$I$6)))/Inputs!$K$6)^2)</f>
        <v>401.52275600000002</v>
      </c>
      <c r="AA48" s="9">
        <f>(Inputs!$H$7+Inputs!$L$7*(((Inputs!$I$7+(((A48)+1)/2)*(Inputs!$J$7-Inputs!$I$7)))/Inputs!$K$7)^2)</f>
        <v>173.95148499999999</v>
      </c>
      <c r="AB48" s="9">
        <f>(Inputs!$H$8+Inputs!$L$8*(((Inputs!$I$8+(((A48)+1)/2)*(Inputs!$J$8-Inputs!$I$8)))/Inputs!$K$8)^2)</f>
        <v>402.36488500000002</v>
      </c>
      <c r="AC48" s="9">
        <f>(Inputs!$H$9+Inputs!$L$9*(((Inputs!$I$9+(((A48)+1)/2)*(Inputs!$J$9-Inputs!$I$9)))/Inputs!$K$9)^2)</f>
        <v>396.17177500000003</v>
      </c>
      <c r="AD48" s="10"/>
      <c r="AE48" s="9">
        <f t="shared" si="4"/>
        <v>-0.61699999999999999</v>
      </c>
      <c r="AF48" s="9">
        <f>(((SQRT(((Inputs!$I$6+(((A48)+1)/2)*(Inputs!$J$6-Inputs!$I$6)))^2+Inputs!$C$6^2+((Inputs!$H$6+Inputs!$L$6*(((Inputs!$I$6+(((A48)+1)/2)*(Inputs!$J$6-Inputs!$I$6)))/Inputs!$K$6)^2))^2))-((Inputs!$H$6+Inputs!$L$6*(((Inputs!$I$6+(((A48)+1)/2)*(Inputs!$J$6-Inputs!$I$6)))/Inputs!$K$6)^2)))*1000/Inputs!$C$12)</f>
        <v>1391.7128836880649</v>
      </c>
      <c r="AG48" s="9">
        <f>(((SQRT(((Inputs!$I$7+(((A48)+1)/2)*(Inputs!$J$7-Inputs!$I$7)))^2+Inputs!$C$6^2+((Inputs!$H$7+Inputs!$L$7*(((Inputs!$I$7+(((A48)+1)/2)*(Inputs!$J$7-Inputs!$I$7)))/Inputs!$K$7)^2))^2))-((Inputs!$H$7+Inputs!$L$7*(((Inputs!$I$7+(((A48)+1)/2)*(Inputs!$J$7-Inputs!$I$7)))/Inputs!$K$7)^2)))*1000/Inputs!$C$12)</f>
        <v>72485.592242333747</v>
      </c>
      <c r="AH48" s="9">
        <f>(((SQRT(((Inputs!$I$8+(((A48)+1)/2)*(Inputs!$J$8-Inputs!$I$8)))^2+Inputs!$C$6^2+((Inputs!$H$8+Inputs!$L$8*(((Inputs!$I$8+(((A48)+1)/2)*(Inputs!$J$8-Inputs!$I$8)))/Inputs!$K$8)^2))^2))-((Inputs!$H$8+Inputs!$L$8*(((Inputs!$I$8+(((A48)+1)/2)*(Inputs!$J$8-Inputs!$I$8)))/Inputs!$K$8)^2)))*1000/Inputs!$C$12)</f>
        <v>131991.38402040576</v>
      </c>
      <c r="AI48" s="9">
        <f>(((SQRT(((Inputs!$I$9+(((A48)+1)/2)*(Inputs!$J$9-Inputs!$I$9)))^2+Inputs!$C$6^2+((Inputs!$H$9+Inputs!$L$9*(((Inputs!$I$9+(((A48)+1)/2)*(Inputs!$J$9-Inputs!$I$9)))/Inputs!$K$9)^2))^2))-((Inputs!$H$9+Inputs!$L$9*(((Inputs!$I$9+(((A48)+1)/2)*(Inputs!$J$9-Inputs!$I$9)))/Inputs!$K$9)^2)))*1000/Inputs!$C$12)</f>
        <v>133284.25086916701</v>
      </c>
      <c r="AJ48" s="10"/>
      <c r="AK48" s="9">
        <f t="shared" si="5"/>
        <v>-0.61699999999999999</v>
      </c>
      <c r="AL48" s="9">
        <f>(-2*((1000*((((Inputs!$I$6+(((A48)+1)/2)*(Inputs!$J$6-Inputs!$I$6)))*Inputs!$C$11+((Inputs!$H$6+Inputs!$L$6*(((Inputs!$I$6+(((A48)+1)/2)*(Inputs!$J$6-Inputs!$I$6)))/Inputs!$K$6)^2))*((2*Inputs!$L$6*((Inputs!$I$6+(((A48)+1)/2)*(Inputs!$J$6-Inputs!$I$6)))/(Inputs!$K$6^2)*Inputs!$C$11)))/(SQRT(((Inputs!$I$6+(((A48)+1)/2)*(Inputs!$J$6-Inputs!$I$6)))^2+Inputs!$C$6^2+((Inputs!$H$6+Inputs!$L$6*(((Inputs!$I$6+(((A48)+1)/2)*(Inputs!$J$6-Inputs!$I$6)))/Inputs!$K$6)^2))^2)))))/Inputs!$C$13)</f>
        <v>277.43341731317827</v>
      </c>
      <c r="AM48" s="9">
        <f>(-2*((1000*((((Inputs!$I$7+(((A48)+1)/2)*(Inputs!$J$7-Inputs!$I$7)))*Inputs!$C$11+((Inputs!$H$7+Inputs!$L$7*(((Inputs!$I$7+(((A48)+1)/2)*(Inputs!$J$7-Inputs!$I$7)))/Inputs!$K$7)^2))*((2*Inputs!$L$7*((Inputs!$I$7+(((A48)+1)/2)*(Inputs!$J$7-Inputs!$I$7)))/(Inputs!$K$7^2)*Inputs!$C$11)))/(SQRT(((Inputs!$I$7+(((A48)+1)/2)*(Inputs!$J$7-Inputs!$I$7)))^2+Inputs!$C$6^2+((Inputs!$H$7+Inputs!$L$7*(((Inputs!$I$7+(((A48)+1)/2)*(Inputs!$J$7-Inputs!$I$7)))/Inputs!$K$7)^2))^2)))))/Inputs!$C$13)</f>
        <v>2337.7374094442707</v>
      </c>
      <c r="AN48" s="9">
        <f>(-2*((1000*((((Inputs!$I$8+(((A48)+1)/2)*(Inputs!$J$8-Inputs!$I$8)))*Inputs!$C$11+((Inputs!$H$8+Inputs!$L$8*(((Inputs!$I$8+(((A48)+1)/2)*(Inputs!$J$8-Inputs!$I$8)))/Inputs!$K$8)^2))*((2*Inputs!$L$8*((Inputs!$I$8+(((A48)+1)/2)*(Inputs!$J$8-Inputs!$I$8)))/(Inputs!$K$8^2)*Inputs!$C$11)))/(SQRT(((Inputs!$I$8+(((A48)+1)/2)*(Inputs!$J$8-Inputs!$I$8)))^2+Inputs!$C$6^2+((Inputs!$H$8+Inputs!$L$8*(((Inputs!$I$8+(((A48)+1)/2)*(Inputs!$J$8-Inputs!$I$8)))/Inputs!$K$8)^2))^2)))))/Inputs!$C$13)</f>
        <v>2742.8433504150089</v>
      </c>
      <c r="AO48" s="9">
        <f>(-2*((1000*((((Inputs!$I$9+(((A48)+1)/2)*(Inputs!$J$9-Inputs!$I$9)))*Inputs!$C$11+((Inputs!$H$9+Inputs!$L$9*(((Inputs!$I$9+(((A48)+1)/2)*(Inputs!$J$9-Inputs!$I$9)))/Inputs!$K$9)^2))*((2*Inputs!$L$9*((Inputs!$I$9+(((A48)+1)/2)*(Inputs!$J$9-Inputs!$I$9)))/(Inputs!$K$9^2)*Inputs!$C$11)))/(SQRT(((Inputs!$I$9+(((A48)+1)/2)*(Inputs!$J$9-Inputs!$I$9)))^2+Inputs!$C$6^2+((Inputs!$H$9+Inputs!$L$9*(((Inputs!$I$9+(((A48)+1)/2)*(Inputs!$J$9-Inputs!$I$9)))/Inputs!$K$9)^2))^2)))))/Inputs!$C$13)</f>
        <v>2751.8461006871571</v>
      </c>
    </row>
    <row r="49" spans="1:41">
      <c r="A49" s="9">
        <f>ROUND(-1+47*2/240,3)</f>
        <v>-0.60799999999999998</v>
      </c>
      <c r="B49" s="9">
        <f>IF(OR(Inputs!$F$6=TRUE,Inputs!$F$6="TRUE",Inputs!$F$6=1),(Inputs!$H$6+Inputs!$L$6*(((Inputs!$I$6+(((A49)+1)/2)*(Inputs!$J$6-Inputs!$I$6)))/Inputs!$K$6)^2),NA())</f>
        <v>401.478656</v>
      </c>
      <c r="C49" s="9">
        <f>IF(OR(Inputs!$F$7=TRUE,Inputs!$F$7="TRUE",Inputs!$F$7=1),(Inputs!$H$7+Inputs!$L$7*(((Inputs!$I$7+(((A49)+1)/2)*(Inputs!$J$7-Inputs!$I$7)))/Inputs!$K$7)^2),NA())</f>
        <v>169.92735999999999</v>
      </c>
      <c r="D49" s="9">
        <f>IF(OR(Inputs!$F$8=TRUE,Inputs!$F$8="TRUE",Inputs!$F$8=1),(Inputs!$H$8+Inputs!$L$8*(((Inputs!$I$8+(((A49)+1)/2)*(Inputs!$J$8-Inputs!$I$8)))/Inputs!$K$8)^2),NA())</f>
        <v>391.72575999999998</v>
      </c>
      <c r="E49" s="9">
        <f>IF(OR(Inputs!$F$9=TRUE,Inputs!$F$9="TRUE",Inputs!$F$9=1),(Inputs!$H$9+Inputs!$L$9*(((Inputs!$I$9+(((A49)+1)/2)*(Inputs!$J$9-Inputs!$I$9)))/Inputs!$K$9)^2),NA())</f>
        <v>385.42239999999998</v>
      </c>
      <c r="F49" s="10"/>
      <c r="G49" s="9">
        <f t="shared" si="0"/>
        <v>-0.60799999999999998</v>
      </c>
      <c r="H49" s="9">
        <f>IF(OR(Inputs!$F$6=TRUE,Inputs!$F$6="TRUE",Inputs!$F$6=1),(((SQRT(((Inputs!$I$6+(((A49)+1)/2)*(Inputs!$J$6-Inputs!$I$6)))^2+Inputs!$C$6^2+((Inputs!$H$6+Inputs!$L$6*(((Inputs!$I$6+(((A49)+1)/2)*(Inputs!$J$6-Inputs!$I$6)))/Inputs!$K$6)^2))^2))-((Inputs!$H$6+Inputs!$L$6*(((Inputs!$I$6+(((A49)+1)/2)*(Inputs!$J$6-Inputs!$I$6)))/Inputs!$K$6)^2)))*1000/Inputs!$C$12),NA())</f>
        <v>1364.2639163684019</v>
      </c>
      <c r="I49" s="9">
        <f>IF(OR(Inputs!$F$7=TRUE,Inputs!$F$7="TRUE",Inputs!$F$7=1),(((SQRT(((Inputs!$I$7+(((A49)+1)/2)*(Inputs!$J$7-Inputs!$I$7)))^2+Inputs!$C$6^2+((Inputs!$H$7+Inputs!$L$7*(((Inputs!$I$7+(((A49)+1)/2)*(Inputs!$J$7-Inputs!$I$7)))/Inputs!$K$7)^2))^2))-((Inputs!$H$7+Inputs!$L$7*(((Inputs!$I$7+(((A49)+1)/2)*(Inputs!$J$7-Inputs!$I$7)))/Inputs!$K$7)^2)))*1000/Inputs!$C$12),NA())</f>
        <v>71802.43878914848</v>
      </c>
      <c r="J49" s="9">
        <f>IF(OR(Inputs!$F$8=TRUE,Inputs!$F$8="TRUE",Inputs!$F$8=1),(((SQRT(((Inputs!$I$8+(((A49)+1)/2)*(Inputs!$J$8-Inputs!$I$8)))^2+Inputs!$C$6^2+((Inputs!$H$8+Inputs!$L$8*(((Inputs!$I$8+(((A49)+1)/2)*(Inputs!$J$8-Inputs!$I$8)))/Inputs!$K$8)^2))^2))-((Inputs!$H$8+Inputs!$L$8*(((Inputs!$I$8+(((A49)+1)/2)*(Inputs!$J$8-Inputs!$I$8)))/Inputs!$K$8)^2)))*1000/Inputs!$C$12),NA())</f>
        <v>131068.23833996318</v>
      </c>
      <c r="K49" s="9">
        <f>IF(OR(Inputs!$F$9=TRUE,Inputs!$F$9="TRUE",Inputs!$F$9=1),(((SQRT(((Inputs!$I$9+(((A49)+1)/2)*(Inputs!$J$9-Inputs!$I$9)))^2+Inputs!$C$6^2+((Inputs!$H$9+Inputs!$L$9*(((Inputs!$I$9+(((A49)+1)/2)*(Inputs!$J$9-Inputs!$I$9)))/Inputs!$K$9)^2))^2))-((Inputs!$H$9+Inputs!$L$9*(((Inputs!$I$9+(((A49)+1)/2)*(Inputs!$J$9-Inputs!$I$9)))/Inputs!$K$9)^2)))*1000/Inputs!$C$12),NA())</f>
        <v>132400.9645476228</v>
      </c>
      <c r="L49" s="10"/>
      <c r="M49" s="9">
        <f t="shared" si="1"/>
        <v>-0.60799999999999998</v>
      </c>
      <c r="N49" s="9">
        <f>IF(OR(Inputs!$F$6=TRUE,Inputs!$F$6="TRUE",Inputs!$F$6=1),(-2*((1000*((((Inputs!$I$6+(((A49)+1)/2)*(Inputs!$J$6-Inputs!$I$6)))*Inputs!$C$11+((Inputs!$H$6+Inputs!$L$6*(((Inputs!$I$6+(((A49)+1)/2)*(Inputs!$J$6-Inputs!$I$6)))/Inputs!$K$6)^2))*((2*Inputs!$L$6*((Inputs!$I$6+(((A49)+1)/2)*(Inputs!$J$6-Inputs!$I$6)))/(Inputs!$K$6^2)*Inputs!$C$11)))/(SQRT(((Inputs!$I$6+(((A49)+1)/2)*(Inputs!$J$6-Inputs!$I$6)))^2+Inputs!$C$6^2+((Inputs!$H$6+Inputs!$L$6*(((Inputs!$I$6+(((A49)+1)/2)*(Inputs!$J$6-Inputs!$I$6)))/Inputs!$K$6)^2))^2)))))/Inputs!$C$13),NA())</f>
        <v>273.43533459961702</v>
      </c>
      <c r="O49" s="9">
        <f>IF(OR(Inputs!$F$7=TRUE,Inputs!$F$7="TRUE",Inputs!$F$7=1),(-2*((1000*((((Inputs!$I$7+(((A49)+1)/2)*(Inputs!$J$7-Inputs!$I$7)))*Inputs!$C$11+((Inputs!$H$7+Inputs!$L$7*(((Inputs!$I$7+(((A49)+1)/2)*(Inputs!$J$7-Inputs!$I$7)))/Inputs!$K$7)^2))*((2*Inputs!$L$7*((Inputs!$I$7+(((A49)+1)/2)*(Inputs!$J$7-Inputs!$I$7)))/(Inputs!$K$7^2)*Inputs!$C$11)))/(SQRT(((Inputs!$I$7+(((A49)+1)/2)*(Inputs!$J$7-Inputs!$I$7)))^2+Inputs!$C$6^2+((Inputs!$H$7+Inputs!$L$7*(((Inputs!$I$7+(((A49)+1)/2)*(Inputs!$J$7-Inputs!$I$7)))/Inputs!$K$7)^2))^2)))))/Inputs!$C$13),NA())</f>
        <v>2320.1861094445107</v>
      </c>
      <c r="P49" s="9">
        <f>IF(OR(Inputs!$F$8=TRUE,Inputs!$F$8="TRUE",Inputs!$F$8=1),(-2*((1000*((((Inputs!$I$8+(((A49)+1)/2)*(Inputs!$J$8-Inputs!$I$8)))*Inputs!$C$11+((Inputs!$H$8+Inputs!$L$8*(((Inputs!$I$8+(((A49)+1)/2)*(Inputs!$J$8-Inputs!$I$8)))/Inputs!$K$8)^2))*((2*Inputs!$L$8*((Inputs!$I$8+(((A49)+1)/2)*(Inputs!$J$8-Inputs!$I$8)))/(Inputs!$K$8^2)*Inputs!$C$11)))/(SQRT(((Inputs!$I$8+(((A49)+1)/2)*(Inputs!$J$8-Inputs!$I$8)))^2+Inputs!$C$6^2+((Inputs!$H$8+Inputs!$L$8*(((Inputs!$I$8+(((A49)+1)/2)*(Inputs!$J$8-Inputs!$I$8)))/Inputs!$K$8)^2))^2)))))/Inputs!$C$13),NA())</f>
        <v>2715.9990569675006</v>
      </c>
      <c r="Q49" s="9">
        <f>IF(OR(Inputs!$F$9=TRUE,Inputs!$F$9="TRUE",Inputs!$F$9=1),(-2*((1000*((((Inputs!$I$9+(((A49)+1)/2)*(Inputs!$J$9-Inputs!$I$9)))*Inputs!$C$11+((Inputs!$H$9+Inputs!$L$9*(((Inputs!$I$9+(((A49)+1)/2)*(Inputs!$J$9-Inputs!$I$9)))/Inputs!$K$9)^2))*((2*Inputs!$L$9*((Inputs!$I$9+(((A49)+1)/2)*(Inputs!$J$9-Inputs!$I$9)))/(Inputs!$K$9^2)*Inputs!$C$11)))/(SQRT(((Inputs!$I$9+(((A49)+1)/2)*(Inputs!$J$9-Inputs!$I$9)))^2+Inputs!$C$6^2+((Inputs!$H$9+Inputs!$L$9*(((Inputs!$I$9+(((A49)+1)/2)*(Inputs!$J$9-Inputs!$I$9)))/Inputs!$K$9)^2))^2)))))/Inputs!$C$13),NA())</f>
        <v>2724.4633299916431</v>
      </c>
      <c r="R49" s="10"/>
      <c r="S49" s="9">
        <f t="shared" si="2"/>
        <v>-0.60799999999999998</v>
      </c>
      <c r="T49" s="9">
        <f>(Inputs!$I$6+(((A49)+1)/2)*(Inputs!$J$6-Inputs!$I$6))</f>
        <v>-36.480000000000004</v>
      </c>
      <c r="U49" s="9">
        <f>(Inputs!$I$7+(((A49)+1)/2)*(Inputs!$J$7-Inputs!$I$7))</f>
        <v>-243.2</v>
      </c>
      <c r="V49" s="9">
        <f>(Inputs!$I$8+(((A49)+1)/2)*(Inputs!$J$8-Inputs!$I$8))</f>
        <v>-486.4</v>
      </c>
      <c r="W49" s="9">
        <f>(Inputs!$I$9+(((A49)+1)/2)*(Inputs!$J$9-Inputs!$I$9))</f>
        <v>-486.4</v>
      </c>
      <c r="X49" s="10"/>
      <c r="Y49" s="9">
        <f t="shared" si="3"/>
        <v>-0.60799999999999998</v>
      </c>
      <c r="Z49" s="9">
        <f>(Inputs!$H$6+Inputs!$L$6*(((Inputs!$I$6+(((A49)+1)/2)*(Inputs!$J$6-Inputs!$I$6)))/Inputs!$K$6)^2)</f>
        <v>401.478656</v>
      </c>
      <c r="AA49" s="9">
        <f>(Inputs!$H$7+Inputs!$L$7*(((Inputs!$I$7+(((A49)+1)/2)*(Inputs!$J$7-Inputs!$I$7)))/Inputs!$K$7)^2)</f>
        <v>169.92735999999999</v>
      </c>
      <c r="AB49" s="9">
        <f>(Inputs!$H$8+Inputs!$L$8*(((Inputs!$I$8+(((A49)+1)/2)*(Inputs!$J$8-Inputs!$I$8)))/Inputs!$K$8)^2)</f>
        <v>391.72575999999998</v>
      </c>
      <c r="AC49" s="9">
        <f>(Inputs!$H$9+Inputs!$L$9*(((Inputs!$I$9+(((A49)+1)/2)*(Inputs!$J$9-Inputs!$I$9)))/Inputs!$K$9)^2)</f>
        <v>385.42239999999998</v>
      </c>
      <c r="AD49" s="10"/>
      <c r="AE49" s="9">
        <f t="shared" si="4"/>
        <v>-0.60799999999999998</v>
      </c>
      <c r="AF49" s="9">
        <f>(((SQRT(((Inputs!$I$6+(((A49)+1)/2)*(Inputs!$J$6-Inputs!$I$6)))^2+Inputs!$C$6^2+((Inputs!$H$6+Inputs!$L$6*(((Inputs!$I$6+(((A49)+1)/2)*(Inputs!$J$6-Inputs!$I$6)))/Inputs!$K$6)^2))^2))-((Inputs!$H$6+Inputs!$L$6*(((Inputs!$I$6+(((A49)+1)/2)*(Inputs!$J$6-Inputs!$I$6)))/Inputs!$K$6)^2)))*1000/Inputs!$C$12)</f>
        <v>1364.2639163684019</v>
      </c>
      <c r="AG49" s="9">
        <f>(((SQRT(((Inputs!$I$7+(((A49)+1)/2)*(Inputs!$J$7-Inputs!$I$7)))^2+Inputs!$C$6^2+((Inputs!$H$7+Inputs!$L$7*(((Inputs!$I$7+(((A49)+1)/2)*(Inputs!$J$7-Inputs!$I$7)))/Inputs!$K$7)^2))^2))-((Inputs!$H$7+Inputs!$L$7*(((Inputs!$I$7+(((A49)+1)/2)*(Inputs!$J$7-Inputs!$I$7)))/Inputs!$K$7)^2)))*1000/Inputs!$C$12)</f>
        <v>71802.43878914848</v>
      </c>
      <c r="AH49" s="9">
        <f>(((SQRT(((Inputs!$I$8+(((A49)+1)/2)*(Inputs!$J$8-Inputs!$I$8)))^2+Inputs!$C$6^2+((Inputs!$H$8+Inputs!$L$8*(((Inputs!$I$8+(((A49)+1)/2)*(Inputs!$J$8-Inputs!$I$8)))/Inputs!$K$8)^2))^2))-((Inputs!$H$8+Inputs!$L$8*(((Inputs!$I$8+(((A49)+1)/2)*(Inputs!$J$8-Inputs!$I$8)))/Inputs!$K$8)^2)))*1000/Inputs!$C$12)</f>
        <v>131068.23833996318</v>
      </c>
      <c r="AI49" s="9">
        <f>(((SQRT(((Inputs!$I$9+(((A49)+1)/2)*(Inputs!$J$9-Inputs!$I$9)))^2+Inputs!$C$6^2+((Inputs!$H$9+Inputs!$L$9*(((Inputs!$I$9+(((A49)+1)/2)*(Inputs!$J$9-Inputs!$I$9)))/Inputs!$K$9)^2))^2))-((Inputs!$H$9+Inputs!$L$9*(((Inputs!$I$9+(((A49)+1)/2)*(Inputs!$J$9-Inputs!$I$9)))/Inputs!$K$9)^2)))*1000/Inputs!$C$12)</f>
        <v>132400.9645476228</v>
      </c>
      <c r="AJ49" s="10"/>
      <c r="AK49" s="9">
        <f t="shared" si="5"/>
        <v>-0.60799999999999998</v>
      </c>
      <c r="AL49" s="9">
        <f>(-2*((1000*((((Inputs!$I$6+(((A49)+1)/2)*(Inputs!$J$6-Inputs!$I$6)))*Inputs!$C$11+((Inputs!$H$6+Inputs!$L$6*(((Inputs!$I$6+(((A49)+1)/2)*(Inputs!$J$6-Inputs!$I$6)))/Inputs!$K$6)^2))*((2*Inputs!$L$6*((Inputs!$I$6+(((A49)+1)/2)*(Inputs!$J$6-Inputs!$I$6)))/(Inputs!$K$6^2)*Inputs!$C$11)))/(SQRT(((Inputs!$I$6+(((A49)+1)/2)*(Inputs!$J$6-Inputs!$I$6)))^2+Inputs!$C$6^2+((Inputs!$H$6+Inputs!$L$6*(((Inputs!$I$6+(((A49)+1)/2)*(Inputs!$J$6-Inputs!$I$6)))/Inputs!$K$6)^2))^2)))))/Inputs!$C$13)</f>
        <v>273.43533459961702</v>
      </c>
      <c r="AM49" s="9">
        <f>(-2*((1000*((((Inputs!$I$7+(((A49)+1)/2)*(Inputs!$J$7-Inputs!$I$7)))*Inputs!$C$11+((Inputs!$H$7+Inputs!$L$7*(((Inputs!$I$7+(((A49)+1)/2)*(Inputs!$J$7-Inputs!$I$7)))/Inputs!$K$7)^2))*((2*Inputs!$L$7*((Inputs!$I$7+(((A49)+1)/2)*(Inputs!$J$7-Inputs!$I$7)))/(Inputs!$K$7^2)*Inputs!$C$11)))/(SQRT(((Inputs!$I$7+(((A49)+1)/2)*(Inputs!$J$7-Inputs!$I$7)))^2+Inputs!$C$6^2+((Inputs!$H$7+Inputs!$L$7*(((Inputs!$I$7+(((A49)+1)/2)*(Inputs!$J$7-Inputs!$I$7)))/Inputs!$K$7)^2))^2)))))/Inputs!$C$13)</f>
        <v>2320.1861094445107</v>
      </c>
      <c r="AN49" s="9">
        <f>(-2*((1000*((((Inputs!$I$8+(((A49)+1)/2)*(Inputs!$J$8-Inputs!$I$8)))*Inputs!$C$11+((Inputs!$H$8+Inputs!$L$8*(((Inputs!$I$8+(((A49)+1)/2)*(Inputs!$J$8-Inputs!$I$8)))/Inputs!$K$8)^2))*((2*Inputs!$L$8*((Inputs!$I$8+(((A49)+1)/2)*(Inputs!$J$8-Inputs!$I$8)))/(Inputs!$K$8^2)*Inputs!$C$11)))/(SQRT(((Inputs!$I$8+(((A49)+1)/2)*(Inputs!$J$8-Inputs!$I$8)))^2+Inputs!$C$6^2+((Inputs!$H$8+Inputs!$L$8*(((Inputs!$I$8+(((A49)+1)/2)*(Inputs!$J$8-Inputs!$I$8)))/Inputs!$K$8)^2))^2)))))/Inputs!$C$13)</f>
        <v>2715.9990569675006</v>
      </c>
      <c r="AO49" s="9">
        <f>(-2*((1000*((((Inputs!$I$9+(((A49)+1)/2)*(Inputs!$J$9-Inputs!$I$9)))*Inputs!$C$11+((Inputs!$H$9+Inputs!$L$9*(((Inputs!$I$9+(((A49)+1)/2)*(Inputs!$J$9-Inputs!$I$9)))/Inputs!$K$9)^2))*((2*Inputs!$L$9*((Inputs!$I$9+(((A49)+1)/2)*(Inputs!$J$9-Inputs!$I$9)))/(Inputs!$K$9^2)*Inputs!$C$11)))/(SQRT(((Inputs!$I$9+(((A49)+1)/2)*(Inputs!$J$9-Inputs!$I$9)))^2+Inputs!$C$6^2+((Inputs!$H$9+Inputs!$L$9*(((Inputs!$I$9+(((A49)+1)/2)*(Inputs!$J$9-Inputs!$I$9)))/Inputs!$K$9)^2))^2)))))/Inputs!$C$13)</f>
        <v>2724.4633299916431</v>
      </c>
    </row>
    <row r="50" spans="1:41">
      <c r="A50" s="9">
        <f>ROUND(-1+48*2/240,3)</f>
        <v>-0.6</v>
      </c>
      <c r="B50" s="9">
        <f>IF(OR(Inputs!$F$6=TRUE,Inputs!$F$6="TRUE",Inputs!$F$6=1),(Inputs!$H$6+Inputs!$L$6*(((Inputs!$I$6+(((A50)+1)/2)*(Inputs!$J$6-Inputs!$I$6)))/Inputs!$K$6)^2),NA())</f>
        <v>401.44</v>
      </c>
      <c r="C50" s="9">
        <f>IF(OR(Inputs!$F$7=TRUE,Inputs!$F$7="TRUE",Inputs!$F$7=1),(Inputs!$H$7+Inputs!$L$7*(((Inputs!$I$7+(((A50)+1)/2)*(Inputs!$J$7-Inputs!$I$7)))/Inputs!$K$7)^2),NA())</f>
        <v>166.4</v>
      </c>
      <c r="D50" s="9">
        <f>IF(OR(Inputs!$F$8=TRUE,Inputs!$F$8="TRUE",Inputs!$F$8=1),(Inputs!$H$8+Inputs!$L$8*(((Inputs!$I$8+(((A50)+1)/2)*(Inputs!$J$8-Inputs!$I$8)))/Inputs!$K$8)^2),NA())</f>
        <v>382.4</v>
      </c>
      <c r="E50" s="9">
        <f>IF(OR(Inputs!$F$9=TRUE,Inputs!$F$9="TRUE",Inputs!$F$9=1),(Inputs!$H$9+Inputs!$L$9*(((Inputs!$I$9+(((A50)+1)/2)*(Inputs!$J$9-Inputs!$I$9)))/Inputs!$K$9)^2),NA())</f>
        <v>376</v>
      </c>
      <c r="F50" s="10"/>
      <c r="G50" s="9">
        <f t="shared" si="0"/>
        <v>-0.6</v>
      </c>
      <c r="H50" s="9">
        <f>IF(OR(Inputs!$F$6=TRUE,Inputs!$F$6="TRUE",Inputs!$F$6=1),(((SQRT(((Inputs!$I$6+(((A50)+1)/2)*(Inputs!$J$6-Inputs!$I$6)))^2+Inputs!$C$6^2+((Inputs!$H$6+Inputs!$L$6*(((Inputs!$I$6+(((A50)+1)/2)*(Inputs!$J$6-Inputs!$I$6)))/Inputs!$K$6)^2))^2))-((Inputs!$H$6+Inputs!$L$6*(((Inputs!$I$6+(((A50)+1)/2)*(Inputs!$J$6-Inputs!$I$6)))/Inputs!$K$6)^2)))*1000/Inputs!$C$12),NA())</f>
        <v>1340.1957716827169</v>
      </c>
      <c r="I50" s="9">
        <f>IF(OR(Inputs!$F$7=TRUE,Inputs!$F$7="TRUE",Inputs!$F$7=1),(((SQRT(((Inputs!$I$7+(((A50)+1)/2)*(Inputs!$J$7-Inputs!$I$7)))^2+Inputs!$C$6^2+((Inputs!$H$7+Inputs!$L$7*(((Inputs!$I$7+(((A50)+1)/2)*(Inputs!$J$7-Inputs!$I$7)))/Inputs!$K$7)^2))^2))-((Inputs!$H$7+Inputs!$L$7*(((Inputs!$I$7+(((A50)+1)/2)*(Inputs!$J$7-Inputs!$I$7)))/Inputs!$K$7)^2)))*1000/Inputs!$C$12),NA())</f>
        <v>71185.860831581143</v>
      </c>
      <c r="J50" s="9">
        <f>IF(OR(Inputs!$F$8=TRUE,Inputs!$F$8="TRUE",Inputs!$F$8=1),(((SQRT(((Inputs!$I$8+(((A50)+1)/2)*(Inputs!$J$8-Inputs!$I$8)))^2+Inputs!$C$6^2+((Inputs!$H$8+Inputs!$L$8*(((Inputs!$I$8+(((A50)+1)/2)*(Inputs!$J$8-Inputs!$I$8)))/Inputs!$K$8)^2))^2))-((Inputs!$H$8+Inputs!$L$8*(((Inputs!$I$8+(((A50)+1)/2)*(Inputs!$J$8-Inputs!$I$8)))/Inputs!$K$8)^2)))*1000/Inputs!$C$12),NA())</f>
        <v>130230.71936360429</v>
      </c>
      <c r="K50" s="9">
        <f>IF(OR(Inputs!$F$9=TRUE,Inputs!$F$9="TRUE",Inputs!$F$9=1),(((SQRT(((Inputs!$I$9+(((A50)+1)/2)*(Inputs!$J$9-Inputs!$I$9)))^2+Inputs!$C$6^2+((Inputs!$H$9+Inputs!$L$9*(((Inputs!$I$9+(((A50)+1)/2)*(Inputs!$J$9-Inputs!$I$9)))/Inputs!$K$9)^2))^2))-((Inputs!$H$9+Inputs!$L$9*(((Inputs!$I$9+(((A50)+1)/2)*(Inputs!$J$9-Inputs!$I$9)))/Inputs!$K$9)^2)))*1000/Inputs!$C$12),NA())</f>
        <v>131599.25361632076</v>
      </c>
      <c r="L50" s="10"/>
      <c r="M50" s="9">
        <f t="shared" si="1"/>
        <v>-0.6</v>
      </c>
      <c r="N50" s="9">
        <f>IF(OR(Inputs!$F$6=TRUE,Inputs!$F$6="TRUE",Inputs!$F$6=1),(-2*((1000*((((Inputs!$I$6+(((A50)+1)/2)*(Inputs!$J$6-Inputs!$I$6)))*Inputs!$C$11+((Inputs!$H$6+Inputs!$L$6*(((Inputs!$I$6+(((A50)+1)/2)*(Inputs!$J$6-Inputs!$I$6)))/Inputs!$K$6)^2))*((2*Inputs!$L$6*((Inputs!$I$6+(((A50)+1)/2)*(Inputs!$J$6-Inputs!$I$6)))/(Inputs!$K$6^2)*Inputs!$C$11)))/(SQRT(((Inputs!$I$6+(((A50)+1)/2)*(Inputs!$J$6-Inputs!$I$6)))^2+Inputs!$C$6^2+((Inputs!$H$6+Inputs!$L$6*(((Inputs!$I$6+(((A50)+1)/2)*(Inputs!$J$6-Inputs!$I$6)))/Inputs!$K$6)^2))^2)))))/Inputs!$C$13),NA())</f>
        <v>269.87970526368542</v>
      </c>
      <c r="O50" s="9">
        <f>IF(OR(Inputs!$F$7=TRUE,Inputs!$F$7="TRUE",Inputs!$F$7=1),(-2*((1000*((((Inputs!$I$7+(((A50)+1)/2)*(Inputs!$J$7-Inputs!$I$7)))*Inputs!$C$11+((Inputs!$H$7+Inputs!$L$7*(((Inputs!$I$7+(((A50)+1)/2)*(Inputs!$J$7-Inputs!$I$7)))/Inputs!$K$7)^2))*((2*Inputs!$L$7*((Inputs!$I$7+(((A50)+1)/2)*(Inputs!$J$7-Inputs!$I$7)))/(Inputs!$K$7^2)*Inputs!$C$11)))/(SQRT(((Inputs!$I$7+(((A50)+1)/2)*(Inputs!$J$7-Inputs!$I$7)))^2+Inputs!$C$6^2+((Inputs!$H$7+Inputs!$L$7*(((Inputs!$I$7+(((A50)+1)/2)*(Inputs!$J$7-Inputs!$I$7)))/Inputs!$K$7)^2))^2)))))/Inputs!$C$13),NA())</f>
        <v>2304.7009035619312</v>
      </c>
      <c r="P50" s="9">
        <f>IF(OR(Inputs!$F$8=TRUE,Inputs!$F$8="TRUE",Inputs!$F$8=1),(-2*((1000*((((Inputs!$I$8+(((A50)+1)/2)*(Inputs!$J$8-Inputs!$I$8)))*Inputs!$C$11+((Inputs!$H$8+Inputs!$L$8*(((Inputs!$I$8+(((A50)+1)/2)*(Inputs!$J$8-Inputs!$I$8)))/Inputs!$K$8)^2))*((2*Inputs!$L$8*((Inputs!$I$8+(((A50)+1)/2)*(Inputs!$J$8-Inputs!$I$8)))/(Inputs!$K$8^2)*Inputs!$C$11)))/(SQRT(((Inputs!$I$8+(((A50)+1)/2)*(Inputs!$J$8-Inputs!$I$8)))^2+Inputs!$C$6^2+((Inputs!$H$8+Inputs!$L$8*(((Inputs!$I$8+(((A50)+1)/2)*(Inputs!$J$8-Inputs!$I$8)))/Inputs!$K$8)^2))^2)))))/Inputs!$C$13),NA())</f>
        <v>2692.2983474369348</v>
      </c>
      <c r="Q50" s="9">
        <f>IF(OR(Inputs!$F$9=TRUE,Inputs!$F$9="TRUE",Inputs!$F$9=1),(-2*((1000*((((Inputs!$I$9+(((A50)+1)/2)*(Inputs!$J$9-Inputs!$I$9)))*Inputs!$C$11+((Inputs!$H$9+Inputs!$L$9*(((Inputs!$I$9+(((A50)+1)/2)*(Inputs!$J$9-Inputs!$I$9)))/Inputs!$K$9)^2))*((2*Inputs!$L$9*((Inputs!$I$9+(((A50)+1)/2)*(Inputs!$J$9-Inputs!$I$9)))/(Inputs!$K$9^2)*Inputs!$C$11)))/(SQRT(((Inputs!$I$9+(((A50)+1)/2)*(Inputs!$J$9-Inputs!$I$9)))^2+Inputs!$C$6^2+((Inputs!$H$9+Inputs!$L$9*(((Inputs!$I$9+(((A50)+1)/2)*(Inputs!$J$9-Inputs!$I$9)))/Inputs!$K$9)^2))^2)))))/Inputs!$C$13),NA())</f>
        <v>2700.2851094944162</v>
      </c>
      <c r="R50" s="10"/>
      <c r="S50" s="9">
        <f t="shared" si="2"/>
        <v>-0.6</v>
      </c>
      <c r="T50" s="9">
        <f>(Inputs!$I$6+(((A50)+1)/2)*(Inputs!$J$6-Inputs!$I$6))</f>
        <v>-36</v>
      </c>
      <c r="U50" s="9">
        <f>(Inputs!$I$7+(((A50)+1)/2)*(Inputs!$J$7-Inputs!$I$7))</f>
        <v>-240</v>
      </c>
      <c r="V50" s="9">
        <f>(Inputs!$I$8+(((A50)+1)/2)*(Inputs!$J$8-Inputs!$I$8))</f>
        <v>-480</v>
      </c>
      <c r="W50" s="9">
        <f>(Inputs!$I$9+(((A50)+1)/2)*(Inputs!$J$9-Inputs!$I$9))</f>
        <v>-480</v>
      </c>
      <c r="X50" s="10"/>
      <c r="Y50" s="9">
        <f t="shared" si="3"/>
        <v>-0.6</v>
      </c>
      <c r="Z50" s="9">
        <f>(Inputs!$H$6+Inputs!$L$6*(((Inputs!$I$6+(((A50)+1)/2)*(Inputs!$J$6-Inputs!$I$6)))/Inputs!$K$6)^2)</f>
        <v>401.44</v>
      </c>
      <c r="AA50" s="9">
        <f>(Inputs!$H$7+Inputs!$L$7*(((Inputs!$I$7+(((A50)+1)/2)*(Inputs!$J$7-Inputs!$I$7)))/Inputs!$K$7)^2)</f>
        <v>166.4</v>
      </c>
      <c r="AB50" s="9">
        <f>(Inputs!$H$8+Inputs!$L$8*(((Inputs!$I$8+(((A50)+1)/2)*(Inputs!$J$8-Inputs!$I$8)))/Inputs!$K$8)^2)</f>
        <v>382.4</v>
      </c>
      <c r="AC50" s="9">
        <f>(Inputs!$H$9+Inputs!$L$9*(((Inputs!$I$9+(((A50)+1)/2)*(Inputs!$J$9-Inputs!$I$9)))/Inputs!$K$9)^2)</f>
        <v>376</v>
      </c>
      <c r="AD50" s="10"/>
      <c r="AE50" s="9">
        <f t="shared" si="4"/>
        <v>-0.6</v>
      </c>
      <c r="AF50" s="9">
        <f>(((SQRT(((Inputs!$I$6+(((A50)+1)/2)*(Inputs!$J$6-Inputs!$I$6)))^2+Inputs!$C$6^2+((Inputs!$H$6+Inputs!$L$6*(((Inputs!$I$6+(((A50)+1)/2)*(Inputs!$J$6-Inputs!$I$6)))/Inputs!$K$6)^2))^2))-((Inputs!$H$6+Inputs!$L$6*(((Inputs!$I$6+(((A50)+1)/2)*(Inputs!$J$6-Inputs!$I$6)))/Inputs!$K$6)^2)))*1000/Inputs!$C$12)</f>
        <v>1340.1957716827169</v>
      </c>
      <c r="AG50" s="9">
        <f>(((SQRT(((Inputs!$I$7+(((A50)+1)/2)*(Inputs!$J$7-Inputs!$I$7)))^2+Inputs!$C$6^2+((Inputs!$H$7+Inputs!$L$7*(((Inputs!$I$7+(((A50)+1)/2)*(Inputs!$J$7-Inputs!$I$7)))/Inputs!$K$7)^2))^2))-((Inputs!$H$7+Inputs!$L$7*(((Inputs!$I$7+(((A50)+1)/2)*(Inputs!$J$7-Inputs!$I$7)))/Inputs!$K$7)^2)))*1000/Inputs!$C$12)</f>
        <v>71185.860831581143</v>
      </c>
      <c r="AH50" s="9">
        <f>(((SQRT(((Inputs!$I$8+(((A50)+1)/2)*(Inputs!$J$8-Inputs!$I$8)))^2+Inputs!$C$6^2+((Inputs!$H$8+Inputs!$L$8*(((Inputs!$I$8+(((A50)+1)/2)*(Inputs!$J$8-Inputs!$I$8)))/Inputs!$K$8)^2))^2))-((Inputs!$H$8+Inputs!$L$8*(((Inputs!$I$8+(((A50)+1)/2)*(Inputs!$J$8-Inputs!$I$8)))/Inputs!$K$8)^2)))*1000/Inputs!$C$12)</f>
        <v>130230.71936360429</v>
      </c>
      <c r="AI50" s="9">
        <f>(((SQRT(((Inputs!$I$9+(((A50)+1)/2)*(Inputs!$J$9-Inputs!$I$9)))^2+Inputs!$C$6^2+((Inputs!$H$9+Inputs!$L$9*(((Inputs!$I$9+(((A50)+1)/2)*(Inputs!$J$9-Inputs!$I$9)))/Inputs!$K$9)^2))^2))-((Inputs!$H$9+Inputs!$L$9*(((Inputs!$I$9+(((A50)+1)/2)*(Inputs!$J$9-Inputs!$I$9)))/Inputs!$K$9)^2)))*1000/Inputs!$C$12)</f>
        <v>131599.25361632076</v>
      </c>
      <c r="AJ50" s="10"/>
      <c r="AK50" s="9">
        <f t="shared" si="5"/>
        <v>-0.6</v>
      </c>
      <c r="AL50" s="9">
        <f>(-2*((1000*((((Inputs!$I$6+(((A50)+1)/2)*(Inputs!$J$6-Inputs!$I$6)))*Inputs!$C$11+((Inputs!$H$6+Inputs!$L$6*(((Inputs!$I$6+(((A50)+1)/2)*(Inputs!$J$6-Inputs!$I$6)))/Inputs!$K$6)^2))*((2*Inputs!$L$6*((Inputs!$I$6+(((A50)+1)/2)*(Inputs!$J$6-Inputs!$I$6)))/(Inputs!$K$6^2)*Inputs!$C$11)))/(SQRT(((Inputs!$I$6+(((A50)+1)/2)*(Inputs!$J$6-Inputs!$I$6)))^2+Inputs!$C$6^2+((Inputs!$H$6+Inputs!$L$6*(((Inputs!$I$6+(((A50)+1)/2)*(Inputs!$J$6-Inputs!$I$6)))/Inputs!$K$6)^2))^2)))))/Inputs!$C$13)</f>
        <v>269.87970526368542</v>
      </c>
      <c r="AM50" s="9">
        <f>(-2*((1000*((((Inputs!$I$7+(((A50)+1)/2)*(Inputs!$J$7-Inputs!$I$7)))*Inputs!$C$11+((Inputs!$H$7+Inputs!$L$7*(((Inputs!$I$7+(((A50)+1)/2)*(Inputs!$J$7-Inputs!$I$7)))/Inputs!$K$7)^2))*((2*Inputs!$L$7*((Inputs!$I$7+(((A50)+1)/2)*(Inputs!$J$7-Inputs!$I$7)))/(Inputs!$K$7^2)*Inputs!$C$11)))/(SQRT(((Inputs!$I$7+(((A50)+1)/2)*(Inputs!$J$7-Inputs!$I$7)))^2+Inputs!$C$6^2+((Inputs!$H$7+Inputs!$L$7*(((Inputs!$I$7+(((A50)+1)/2)*(Inputs!$J$7-Inputs!$I$7)))/Inputs!$K$7)^2))^2)))))/Inputs!$C$13)</f>
        <v>2304.7009035619312</v>
      </c>
      <c r="AN50" s="9">
        <f>(-2*((1000*((((Inputs!$I$8+(((A50)+1)/2)*(Inputs!$J$8-Inputs!$I$8)))*Inputs!$C$11+((Inputs!$H$8+Inputs!$L$8*(((Inputs!$I$8+(((A50)+1)/2)*(Inputs!$J$8-Inputs!$I$8)))/Inputs!$K$8)^2))*((2*Inputs!$L$8*((Inputs!$I$8+(((A50)+1)/2)*(Inputs!$J$8-Inputs!$I$8)))/(Inputs!$K$8^2)*Inputs!$C$11)))/(SQRT(((Inputs!$I$8+(((A50)+1)/2)*(Inputs!$J$8-Inputs!$I$8)))^2+Inputs!$C$6^2+((Inputs!$H$8+Inputs!$L$8*(((Inputs!$I$8+(((A50)+1)/2)*(Inputs!$J$8-Inputs!$I$8)))/Inputs!$K$8)^2))^2)))))/Inputs!$C$13)</f>
        <v>2692.2983474369348</v>
      </c>
      <c r="AO50" s="9">
        <f>(-2*((1000*((((Inputs!$I$9+(((A50)+1)/2)*(Inputs!$J$9-Inputs!$I$9)))*Inputs!$C$11+((Inputs!$H$9+Inputs!$L$9*(((Inputs!$I$9+(((A50)+1)/2)*(Inputs!$J$9-Inputs!$I$9)))/Inputs!$K$9)^2))*((2*Inputs!$L$9*((Inputs!$I$9+(((A50)+1)/2)*(Inputs!$J$9-Inputs!$I$9)))/(Inputs!$K$9^2)*Inputs!$C$11)))/(SQRT(((Inputs!$I$9+(((A50)+1)/2)*(Inputs!$J$9-Inputs!$I$9)))^2+Inputs!$C$6^2+((Inputs!$H$9+Inputs!$L$9*(((Inputs!$I$9+(((A50)+1)/2)*(Inputs!$J$9-Inputs!$I$9)))/Inputs!$K$9)^2))^2)))))/Inputs!$C$13)</f>
        <v>2700.2851094944162</v>
      </c>
    </row>
    <row r="51" spans="1:41">
      <c r="A51" s="9">
        <f>ROUND(-1+49*2/240,3)</f>
        <v>-0.59199999999999997</v>
      </c>
      <c r="B51" s="9">
        <f>IF(OR(Inputs!$F$6=TRUE,Inputs!$F$6="TRUE",Inputs!$F$6=1),(Inputs!$H$6+Inputs!$L$6*(((Inputs!$I$6+(((A51)+1)/2)*(Inputs!$J$6-Inputs!$I$6)))/Inputs!$K$6)^2),NA())</f>
        <v>401.40185600000001</v>
      </c>
      <c r="C51" s="9">
        <f>IF(OR(Inputs!$F$7=TRUE,Inputs!$F$7="TRUE",Inputs!$F$7=1),(Inputs!$H$7+Inputs!$L$7*(((Inputs!$I$7+(((A51)+1)/2)*(Inputs!$J$7-Inputs!$I$7)))/Inputs!$K$7)^2),NA())</f>
        <v>162.91935999999998</v>
      </c>
      <c r="D51" s="9">
        <f>IF(OR(Inputs!$F$8=TRUE,Inputs!$F$8="TRUE",Inputs!$F$8=1),(Inputs!$H$8+Inputs!$L$8*(((Inputs!$I$8+(((A51)+1)/2)*(Inputs!$J$8-Inputs!$I$8)))/Inputs!$K$8)^2),NA())</f>
        <v>373.19775999999996</v>
      </c>
      <c r="E51" s="9">
        <f>IF(OR(Inputs!$F$9=TRUE,Inputs!$F$9="TRUE",Inputs!$F$9=1),(Inputs!$H$9+Inputs!$L$9*(((Inputs!$I$9+(((A51)+1)/2)*(Inputs!$J$9-Inputs!$I$9)))/Inputs!$K$9)^2),NA())</f>
        <v>366.70239999999995</v>
      </c>
      <c r="F51" s="10"/>
      <c r="G51" s="9">
        <f t="shared" si="0"/>
        <v>-0.59199999999999997</v>
      </c>
      <c r="H51" s="9">
        <f>IF(OR(Inputs!$F$6=TRUE,Inputs!$F$6="TRUE",Inputs!$F$6=1),(((SQRT(((Inputs!$I$6+(((A51)+1)/2)*(Inputs!$J$6-Inputs!$I$6)))^2+Inputs!$C$6^2+((Inputs!$H$6+Inputs!$L$6*(((Inputs!$I$6+(((A51)+1)/2)*(Inputs!$J$6-Inputs!$I$6)))/Inputs!$K$6)^2))^2))-((Inputs!$H$6+Inputs!$L$6*(((Inputs!$I$6+(((A51)+1)/2)*(Inputs!$J$6-Inputs!$I$6)))/Inputs!$K$6)^2)))*1000/Inputs!$C$12),NA())</f>
        <v>1316.439389440221</v>
      </c>
      <c r="I51" s="9">
        <f>IF(OR(Inputs!$F$7=TRUE,Inputs!$F$7="TRUE",Inputs!$F$7=1),(((SQRT(((Inputs!$I$7+(((A51)+1)/2)*(Inputs!$J$7-Inputs!$I$7)))^2+Inputs!$C$6^2+((Inputs!$H$7+Inputs!$L$7*(((Inputs!$I$7+(((A51)+1)/2)*(Inputs!$J$7-Inputs!$I$7)))/Inputs!$K$7)^2))^2))-((Inputs!$H$7+Inputs!$L$7*(((Inputs!$I$7+(((A51)+1)/2)*(Inputs!$J$7-Inputs!$I$7)))/Inputs!$K$7)^2)))*1000/Inputs!$C$12),NA())</f>
        <v>70560.373161991447</v>
      </c>
      <c r="J51" s="9">
        <f>IF(OR(Inputs!$F$8=TRUE,Inputs!$F$8="TRUE",Inputs!$F$8=1),(((SQRT(((Inputs!$I$8+(((A51)+1)/2)*(Inputs!$J$8-Inputs!$I$8)))^2+Inputs!$C$6^2+((Inputs!$H$8+Inputs!$L$8*(((Inputs!$I$8+(((A51)+1)/2)*(Inputs!$J$8-Inputs!$I$8)))/Inputs!$K$8)^2))^2))-((Inputs!$H$8+Inputs!$L$8*(((Inputs!$I$8+(((A51)+1)/2)*(Inputs!$J$8-Inputs!$I$8)))/Inputs!$K$8)^2)))*1000/Inputs!$C$12),NA())</f>
        <v>129376.89397045772</v>
      </c>
      <c r="K51" s="9">
        <f>IF(OR(Inputs!$F$9=TRUE,Inputs!$F$9="TRUE",Inputs!$F$9=1),(((SQRT(((Inputs!$I$9+(((A51)+1)/2)*(Inputs!$J$9-Inputs!$I$9)))^2+Inputs!$C$6^2+((Inputs!$H$9+Inputs!$L$9*(((Inputs!$I$9+(((A51)+1)/2)*(Inputs!$J$9-Inputs!$I$9)))/Inputs!$K$9)^2))^2))-((Inputs!$H$9+Inputs!$L$9*(((Inputs!$I$9+(((A51)+1)/2)*(Inputs!$J$9-Inputs!$I$9)))/Inputs!$K$9)^2)))*1000/Inputs!$C$12),NA())</f>
        <v>130781.58883580848</v>
      </c>
      <c r="L51" s="10"/>
      <c r="M51" s="9">
        <f t="shared" si="1"/>
        <v>-0.59199999999999997</v>
      </c>
      <c r="N51" s="9">
        <f>IF(OR(Inputs!$F$6=TRUE,Inputs!$F$6="TRUE",Inputs!$F$6=1),(-2*((1000*((((Inputs!$I$6+(((A51)+1)/2)*(Inputs!$J$6-Inputs!$I$6)))*Inputs!$C$11+((Inputs!$H$6+Inputs!$L$6*(((Inputs!$I$6+(((A51)+1)/2)*(Inputs!$J$6-Inputs!$I$6)))/Inputs!$K$6)^2))*((2*Inputs!$L$6*((Inputs!$I$6+(((A51)+1)/2)*(Inputs!$J$6-Inputs!$I$6)))/(Inputs!$K$6^2)*Inputs!$C$11)))/(SQRT(((Inputs!$I$6+(((A51)+1)/2)*(Inputs!$J$6-Inputs!$I$6)))^2+Inputs!$C$6^2+((Inputs!$H$6+Inputs!$L$6*(((Inputs!$I$6+(((A51)+1)/2)*(Inputs!$J$6-Inputs!$I$6)))/Inputs!$K$6)^2))^2)))))/Inputs!$C$13),NA())</f>
        <v>266.32242366897924</v>
      </c>
      <c r="O51" s="9">
        <f>IF(OR(Inputs!$F$7=TRUE,Inputs!$F$7="TRUE",Inputs!$F$7=1),(-2*((1000*((((Inputs!$I$7+(((A51)+1)/2)*(Inputs!$J$7-Inputs!$I$7)))*Inputs!$C$11+((Inputs!$H$7+Inputs!$L$7*(((Inputs!$I$7+(((A51)+1)/2)*(Inputs!$J$7-Inputs!$I$7)))/Inputs!$K$7)^2))*((2*Inputs!$L$7*((Inputs!$I$7+(((A51)+1)/2)*(Inputs!$J$7-Inputs!$I$7)))/(Inputs!$K$7^2)*Inputs!$C$11)))/(SQRT(((Inputs!$I$7+(((A51)+1)/2)*(Inputs!$J$7-Inputs!$I$7)))^2+Inputs!$C$6^2+((Inputs!$H$7+Inputs!$L$7*(((Inputs!$I$7+(((A51)+1)/2)*(Inputs!$J$7-Inputs!$I$7)))/Inputs!$K$7)^2))^2)))))/Inputs!$C$13),NA())</f>
        <v>2289.3254985631074</v>
      </c>
      <c r="P51" s="9">
        <f>IF(OR(Inputs!$F$8=TRUE,Inputs!$F$8="TRUE",Inputs!$F$8=1),(-2*((1000*((((Inputs!$I$8+(((A51)+1)/2)*(Inputs!$J$8-Inputs!$I$8)))*Inputs!$C$11+((Inputs!$H$8+Inputs!$L$8*(((Inputs!$I$8+(((A51)+1)/2)*(Inputs!$J$8-Inputs!$I$8)))/Inputs!$K$8)^2))*((2*Inputs!$L$8*((Inputs!$I$8+(((A51)+1)/2)*(Inputs!$J$8-Inputs!$I$8)))/(Inputs!$K$8^2)*Inputs!$C$11)))/(SQRT(((Inputs!$I$8+(((A51)+1)/2)*(Inputs!$J$8-Inputs!$I$8)))^2+Inputs!$C$6^2+((Inputs!$H$8+Inputs!$L$8*(((Inputs!$I$8+(((A51)+1)/2)*(Inputs!$J$8-Inputs!$I$8)))/Inputs!$K$8)^2))^2)))))/Inputs!$C$13),NA())</f>
        <v>2668.7522877585679</v>
      </c>
      <c r="Q51" s="9">
        <f>IF(OR(Inputs!$F$9=TRUE,Inputs!$F$9="TRUE",Inputs!$F$9=1),(-2*((1000*((((Inputs!$I$9+(((A51)+1)/2)*(Inputs!$J$9-Inputs!$I$9)))*Inputs!$C$11+((Inputs!$H$9+Inputs!$L$9*(((Inputs!$I$9+(((A51)+1)/2)*(Inputs!$J$9-Inputs!$I$9)))/Inputs!$K$9)^2))*((2*Inputs!$L$9*((Inputs!$I$9+(((A51)+1)/2)*(Inputs!$J$9-Inputs!$I$9)))/(Inputs!$K$9^2)*Inputs!$C$11)))/(SQRT(((Inputs!$I$9+(((A51)+1)/2)*(Inputs!$J$9-Inputs!$I$9)))^2+Inputs!$C$6^2+((Inputs!$H$9+Inputs!$L$9*(((Inputs!$I$9+(((A51)+1)/2)*(Inputs!$J$9-Inputs!$I$9)))/Inputs!$K$9)^2))^2)))))/Inputs!$C$13),NA())</f>
        <v>2676.2628088819924</v>
      </c>
      <c r="R51" s="10"/>
      <c r="S51" s="9">
        <f t="shared" si="2"/>
        <v>-0.59199999999999997</v>
      </c>
      <c r="T51" s="9">
        <f>(Inputs!$I$6+(((A51)+1)/2)*(Inputs!$J$6-Inputs!$I$6))</f>
        <v>-35.519999999999996</v>
      </c>
      <c r="U51" s="9">
        <f>(Inputs!$I$7+(((A51)+1)/2)*(Inputs!$J$7-Inputs!$I$7))</f>
        <v>-236.79999999999998</v>
      </c>
      <c r="V51" s="9">
        <f>(Inputs!$I$8+(((A51)+1)/2)*(Inputs!$J$8-Inputs!$I$8))</f>
        <v>-473.59999999999997</v>
      </c>
      <c r="W51" s="9">
        <f>(Inputs!$I$9+(((A51)+1)/2)*(Inputs!$J$9-Inputs!$I$9))</f>
        <v>-473.59999999999997</v>
      </c>
      <c r="X51" s="10"/>
      <c r="Y51" s="9">
        <f t="shared" si="3"/>
        <v>-0.59199999999999997</v>
      </c>
      <c r="Z51" s="9">
        <f>(Inputs!$H$6+Inputs!$L$6*(((Inputs!$I$6+(((A51)+1)/2)*(Inputs!$J$6-Inputs!$I$6)))/Inputs!$K$6)^2)</f>
        <v>401.40185600000001</v>
      </c>
      <c r="AA51" s="9">
        <f>(Inputs!$H$7+Inputs!$L$7*(((Inputs!$I$7+(((A51)+1)/2)*(Inputs!$J$7-Inputs!$I$7)))/Inputs!$K$7)^2)</f>
        <v>162.91935999999998</v>
      </c>
      <c r="AB51" s="9">
        <f>(Inputs!$H$8+Inputs!$L$8*(((Inputs!$I$8+(((A51)+1)/2)*(Inputs!$J$8-Inputs!$I$8)))/Inputs!$K$8)^2)</f>
        <v>373.19775999999996</v>
      </c>
      <c r="AC51" s="9">
        <f>(Inputs!$H$9+Inputs!$L$9*(((Inputs!$I$9+(((A51)+1)/2)*(Inputs!$J$9-Inputs!$I$9)))/Inputs!$K$9)^2)</f>
        <v>366.70239999999995</v>
      </c>
      <c r="AD51" s="10"/>
      <c r="AE51" s="9">
        <f t="shared" si="4"/>
        <v>-0.59199999999999997</v>
      </c>
      <c r="AF51" s="9">
        <f>(((SQRT(((Inputs!$I$6+(((A51)+1)/2)*(Inputs!$J$6-Inputs!$I$6)))^2+Inputs!$C$6^2+((Inputs!$H$6+Inputs!$L$6*(((Inputs!$I$6+(((A51)+1)/2)*(Inputs!$J$6-Inputs!$I$6)))/Inputs!$K$6)^2))^2))-((Inputs!$H$6+Inputs!$L$6*(((Inputs!$I$6+(((A51)+1)/2)*(Inputs!$J$6-Inputs!$I$6)))/Inputs!$K$6)^2)))*1000/Inputs!$C$12)</f>
        <v>1316.439389440221</v>
      </c>
      <c r="AG51" s="9">
        <f>(((SQRT(((Inputs!$I$7+(((A51)+1)/2)*(Inputs!$J$7-Inputs!$I$7)))^2+Inputs!$C$6^2+((Inputs!$H$7+Inputs!$L$7*(((Inputs!$I$7+(((A51)+1)/2)*(Inputs!$J$7-Inputs!$I$7)))/Inputs!$K$7)^2))^2))-((Inputs!$H$7+Inputs!$L$7*(((Inputs!$I$7+(((A51)+1)/2)*(Inputs!$J$7-Inputs!$I$7)))/Inputs!$K$7)^2)))*1000/Inputs!$C$12)</f>
        <v>70560.373161991447</v>
      </c>
      <c r="AH51" s="9">
        <f>(((SQRT(((Inputs!$I$8+(((A51)+1)/2)*(Inputs!$J$8-Inputs!$I$8)))^2+Inputs!$C$6^2+((Inputs!$H$8+Inputs!$L$8*(((Inputs!$I$8+(((A51)+1)/2)*(Inputs!$J$8-Inputs!$I$8)))/Inputs!$K$8)^2))^2))-((Inputs!$H$8+Inputs!$L$8*(((Inputs!$I$8+(((A51)+1)/2)*(Inputs!$J$8-Inputs!$I$8)))/Inputs!$K$8)^2)))*1000/Inputs!$C$12)</f>
        <v>129376.89397045772</v>
      </c>
      <c r="AI51" s="9">
        <f>(((SQRT(((Inputs!$I$9+(((A51)+1)/2)*(Inputs!$J$9-Inputs!$I$9)))^2+Inputs!$C$6^2+((Inputs!$H$9+Inputs!$L$9*(((Inputs!$I$9+(((A51)+1)/2)*(Inputs!$J$9-Inputs!$I$9)))/Inputs!$K$9)^2))^2))-((Inputs!$H$9+Inputs!$L$9*(((Inputs!$I$9+(((A51)+1)/2)*(Inputs!$J$9-Inputs!$I$9)))/Inputs!$K$9)^2)))*1000/Inputs!$C$12)</f>
        <v>130781.58883580848</v>
      </c>
      <c r="AJ51" s="10"/>
      <c r="AK51" s="9">
        <f t="shared" si="5"/>
        <v>-0.59199999999999997</v>
      </c>
      <c r="AL51" s="9">
        <f>(-2*((1000*((((Inputs!$I$6+(((A51)+1)/2)*(Inputs!$J$6-Inputs!$I$6)))*Inputs!$C$11+((Inputs!$H$6+Inputs!$L$6*(((Inputs!$I$6+(((A51)+1)/2)*(Inputs!$J$6-Inputs!$I$6)))/Inputs!$K$6)^2))*((2*Inputs!$L$6*((Inputs!$I$6+(((A51)+1)/2)*(Inputs!$J$6-Inputs!$I$6)))/(Inputs!$K$6^2)*Inputs!$C$11)))/(SQRT(((Inputs!$I$6+(((A51)+1)/2)*(Inputs!$J$6-Inputs!$I$6)))^2+Inputs!$C$6^2+((Inputs!$H$6+Inputs!$L$6*(((Inputs!$I$6+(((A51)+1)/2)*(Inputs!$J$6-Inputs!$I$6)))/Inputs!$K$6)^2))^2)))))/Inputs!$C$13)</f>
        <v>266.32242366897924</v>
      </c>
      <c r="AM51" s="9">
        <f>(-2*((1000*((((Inputs!$I$7+(((A51)+1)/2)*(Inputs!$J$7-Inputs!$I$7)))*Inputs!$C$11+((Inputs!$H$7+Inputs!$L$7*(((Inputs!$I$7+(((A51)+1)/2)*(Inputs!$J$7-Inputs!$I$7)))/Inputs!$K$7)^2))*((2*Inputs!$L$7*((Inputs!$I$7+(((A51)+1)/2)*(Inputs!$J$7-Inputs!$I$7)))/(Inputs!$K$7^2)*Inputs!$C$11)))/(SQRT(((Inputs!$I$7+(((A51)+1)/2)*(Inputs!$J$7-Inputs!$I$7)))^2+Inputs!$C$6^2+((Inputs!$H$7+Inputs!$L$7*(((Inputs!$I$7+(((A51)+1)/2)*(Inputs!$J$7-Inputs!$I$7)))/Inputs!$K$7)^2))^2)))))/Inputs!$C$13)</f>
        <v>2289.3254985631074</v>
      </c>
      <c r="AN51" s="9">
        <f>(-2*((1000*((((Inputs!$I$8+(((A51)+1)/2)*(Inputs!$J$8-Inputs!$I$8)))*Inputs!$C$11+((Inputs!$H$8+Inputs!$L$8*(((Inputs!$I$8+(((A51)+1)/2)*(Inputs!$J$8-Inputs!$I$8)))/Inputs!$K$8)^2))*((2*Inputs!$L$8*((Inputs!$I$8+(((A51)+1)/2)*(Inputs!$J$8-Inputs!$I$8)))/(Inputs!$K$8^2)*Inputs!$C$11)))/(SQRT(((Inputs!$I$8+(((A51)+1)/2)*(Inputs!$J$8-Inputs!$I$8)))^2+Inputs!$C$6^2+((Inputs!$H$8+Inputs!$L$8*(((Inputs!$I$8+(((A51)+1)/2)*(Inputs!$J$8-Inputs!$I$8)))/Inputs!$K$8)^2))^2)))))/Inputs!$C$13)</f>
        <v>2668.7522877585679</v>
      </c>
      <c r="AO51" s="9">
        <f>(-2*((1000*((((Inputs!$I$9+(((A51)+1)/2)*(Inputs!$J$9-Inputs!$I$9)))*Inputs!$C$11+((Inputs!$H$9+Inputs!$L$9*(((Inputs!$I$9+(((A51)+1)/2)*(Inputs!$J$9-Inputs!$I$9)))/Inputs!$K$9)^2))*((2*Inputs!$L$9*((Inputs!$I$9+(((A51)+1)/2)*(Inputs!$J$9-Inputs!$I$9)))/(Inputs!$K$9^2)*Inputs!$C$11)))/(SQRT(((Inputs!$I$9+(((A51)+1)/2)*(Inputs!$J$9-Inputs!$I$9)))^2+Inputs!$C$6^2+((Inputs!$H$9+Inputs!$L$9*(((Inputs!$I$9+(((A51)+1)/2)*(Inputs!$J$9-Inputs!$I$9)))/Inputs!$K$9)^2))^2)))))/Inputs!$C$13)</f>
        <v>2676.2628088819924</v>
      </c>
    </row>
    <row r="52" spans="1:41">
      <c r="A52" s="9">
        <f>ROUND(-1+50*2/240,3)</f>
        <v>-0.58299999999999996</v>
      </c>
      <c r="B52" s="9">
        <f>IF(OR(Inputs!$F$6=TRUE,Inputs!$F$6="TRUE",Inputs!$F$6=1),(Inputs!$H$6+Inputs!$L$6*(((Inputs!$I$6+(((A52)+1)/2)*(Inputs!$J$6-Inputs!$I$6)))/Inputs!$K$6)^2),NA())</f>
        <v>401.359556</v>
      </c>
      <c r="C52" s="9">
        <f>IF(OR(Inputs!$F$7=TRUE,Inputs!$F$7="TRUE",Inputs!$F$7=1),(Inputs!$H$7+Inputs!$L$7*(((Inputs!$I$7+(((A52)+1)/2)*(Inputs!$J$7-Inputs!$I$7)))/Inputs!$K$7)^2),NA())</f>
        <v>159.059485</v>
      </c>
      <c r="D52" s="9">
        <f>IF(OR(Inputs!$F$8=TRUE,Inputs!$F$8="TRUE",Inputs!$F$8=1),(Inputs!$H$8+Inputs!$L$8*(((Inputs!$I$8+(((A52)+1)/2)*(Inputs!$J$8-Inputs!$I$8)))/Inputs!$K$8)^2),NA())</f>
        <v>362.99288499999994</v>
      </c>
      <c r="E52" s="9">
        <f>IF(OR(Inputs!$F$9=TRUE,Inputs!$F$9="TRUE",Inputs!$F$9=1),(Inputs!$H$9+Inputs!$L$9*(((Inputs!$I$9+(((A52)+1)/2)*(Inputs!$J$9-Inputs!$I$9)))/Inputs!$K$9)^2),NA())</f>
        <v>356.39177499999994</v>
      </c>
      <c r="F52" s="10"/>
      <c r="G52" s="9">
        <f t="shared" si="0"/>
        <v>-0.58299999999999996</v>
      </c>
      <c r="H52" s="9">
        <f>IF(OR(Inputs!$F$6=TRUE,Inputs!$F$6="TRUE",Inputs!$F$6=1),(((SQRT(((Inputs!$I$6+(((A52)+1)/2)*(Inputs!$J$6-Inputs!$I$6)))^2+Inputs!$C$6^2+((Inputs!$H$6+Inputs!$L$6*(((Inputs!$I$6+(((A52)+1)/2)*(Inputs!$J$6-Inputs!$I$6)))/Inputs!$K$6)^2))^2))-((Inputs!$H$6+Inputs!$L$6*(((Inputs!$I$6+(((A52)+1)/2)*(Inputs!$J$6-Inputs!$I$6)))/Inputs!$K$6)^2)))*1000/Inputs!$C$12),NA())</f>
        <v>1290.0864574175641</v>
      </c>
      <c r="I52" s="9">
        <f>IF(OR(Inputs!$F$7=TRUE,Inputs!$F$7="TRUE",Inputs!$F$7=1),(((SQRT(((Inputs!$I$7+(((A52)+1)/2)*(Inputs!$J$7-Inputs!$I$7)))^2+Inputs!$C$6^2+((Inputs!$H$7+Inputs!$L$7*(((Inputs!$I$7+(((A52)+1)/2)*(Inputs!$J$7-Inputs!$I$7)))/Inputs!$K$7)^2))^2))-((Inputs!$H$7+Inputs!$L$7*(((Inputs!$I$7+(((A52)+1)/2)*(Inputs!$J$7-Inputs!$I$7)))/Inputs!$K$7)^2)))*1000/Inputs!$C$12),NA())</f>
        <v>69845.895596417482</v>
      </c>
      <c r="J52" s="9">
        <f>IF(OR(Inputs!$F$8=TRUE,Inputs!$F$8="TRUE",Inputs!$F$8=1),(((SQRT(((Inputs!$I$8+(((A52)+1)/2)*(Inputs!$J$8-Inputs!$I$8)))^2+Inputs!$C$6^2+((Inputs!$H$8+Inputs!$L$8*(((Inputs!$I$8+(((A52)+1)/2)*(Inputs!$J$8-Inputs!$I$8)))/Inputs!$K$8)^2))^2))-((Inputs!$H$8+Inputs!$L$8*(((Inputs!$I$8+(((A52)+1)/2)*(Inputs!$J$8-Inputs!$I$8)))/Inputs!$K$8)^2)))*1000/Inputs!$C$12),NA())</f>
        <v>128396.4117714109</v>
      </c>
      <c r="K52" s="9">
        <f>IF(OR(Inputs!$F$9=TRUE,Inputs!$F$9="TRUE",Inputs!$F$9=1),(((SQRT(((Inputs!$I$9+(((A52)+1)/2)*(Inputs!$J$9-Inputs!$I$9)))^2+Inputs!$C$6^2+((Inputs!$H$9+Inputs!$L$9*(((Inputs!$I$9+(((A52)+1)/2)*(Inputs!$J$9-Inputs!$I$9)))/Inputs!$K$9)^2))^2))-((Inputs!$H$9+Inputs!$L$9*(((Inputs!$I$9+(((A52)+1)/2)*(Inputs!$J$9-Inputs!$I$9)))/Inputs!$K$9)^2)))*1000/Inputs!$C$12),NA())</f>
        <v>129842.20489784692</v>
      </c>
      <c r="L52" s="10"/>
      <c r="M52" s="9">
        <f t="shared" si="1"/>
        <v>-0.58299999999999996</v>
      </c>
      <c r="N52" s="9">
        <f>IF(OR(Inputs!$F$6=TRUE,Inputs!$F$6="TRUE",Inputs!$F$6=1),(-2*((1000*((((Inputs!$I$6+(((A52)+1)/2)*(Inputs!$J$6-Inputs!$I$6)))*Inputs!$C$11+((Inputs!$H$6+Inputs!$L$6*(((Inputs!$I$6+(((A52)+1)/2)*(Inputs!$J$6-Inputs!$I$6)))/Inputs!$K$6)^2))*((2*Inputs!$L$6*((Inputs!$I$6+(((A52)+1)/2)*(Inputs!$J$6-Inputs!$I$6)))/(Inputs!$K$6^2)*Inputs!$C$11)))/(SQRT(((Inputs!$I$6+(((A52)+1)/2)*(Inputs!$J$6-Inputs!$I$6)))^2+Inputs!$C$6^2+((Inputs!$H$6+Inputs!$L$6*(((Inputs!$I$6+(((A52)+1)/2)*(Inputs!$J$6-Inputs!$I$6)))/Inputs!$K$6)^2))^2)))))/Inputs!$C$13),NA())</f>
        <v>262.31853231793161</v>
      </c>
      <c r="O52" s="9">
        <f>IF(OR(Inputs!$F$7=TRUE,Inputs!$F$7="TRUE",Inputs!$F$7=1),(-2*((1000*((((Inputs!$I$7+(((A52)+1)/2)*(Inputs!$J$7-Inputs!$I$7)))*Inputs!$C$11+((Inputs!$H$7+Inputs!$L$7*(((Inputs!$I$7+(((A52)+1)/2)*(Inputs!$J$7-Inputs!$I$7)))/Inputs!$K$7)^2))*((2*Inputs!$L$7*((Inputs!$I$7+(((A52)+1)/2)*(Inputs!$J$7-Inputs!$I$7)))/(Inputs!$K$7^2)*Inputs!$C$11)))/(SQRT(((Inputs!$I$7+(((A52)+1)/2)*(Inputs!$J$7-Inputs!$I$7)))^2+Inputs!$C$6^2+((Inputs!$H$7+Inputs!$L$7*(((Inputs!$I$7+(((A52)+1)/2)*(Inputs!$J$7-Inputs!$I$7)))/Inputs!$K$7)^2))^2)))))/Inputs!$C$13),NA())</f>
        <v>2272.160127743894</v>
      </c>
      <c r="P52" s="9">
        <f>IF(OR(Inputs!$F$8=TRUE,Inputs!$F$8="TRUE",Inputs!$F$8=1),(-2*((1000*((((Inputs!$I$8+(((A52)+1)/2)*(Inputs!$J$8-Inputs!$I$8)))*Inputs!$C$11+((Inputs!$H$8+Inputs!$L$8*(((Inputs!$I$8+(((A52)+1)/2)*(Inputs!$J$8-Inputs!$I$8)))/Inputs!$K$8)^2))*((2*Inputs!$L$8*((Inputs!$I$8+(((A52)+1)/2)*(Inputs!$J$8-Inputs!$I$8)))/(Inputs!$K$8^2)*Inputs!$C$11)))/(SQRT(((Inputs!$I$8+(((A52)+1)/2)*(Inputs!$J$8-Inputs!$I$8)))^2+Inputs!$C$6^2+((Inputs!$H$8+Inputs!$L$8*(((Inputs!$I$8+(((A52)+1)/2)*(Inputs!$J$8-Inputs!$I$8)))/Inputs!$K$8)^2))^2)))))/Inputs!$C$13),NA())</f>
        <v>2642.4517321444073</v>
      </c>
      <c r="Q52" s="9">
        <f>IF(OR(Inputs!$F$9=TRUE,Inputs!$F$9="TRUE",Inputs!$F$9=1),(-2*((1000*((((Inputs!$I$9+(((A52)+1)/2)*(Inputs!$J$9-Inputs!$I$9)))*Inputs!$C$11+((Inputs!$H$9+Inputs!$L$9*(((Inputs!$I$9+(((A52)+1)/2)*(Inputs!$J$9-Inputs!$I$9)))/Inputs!$K$9)^2))*((2*Inputs!$L$9*((Inputs!$I$9+(((A52)+1)/2)*(Inputs!$J$9-Inputs!$I$9)))/(Inputs!$K$9^2)*Inputs!$C$11)))/(SQRT(((Inputs!$I$9+(((A52)+1)/2)*(Inputs!$J$9-Inputs!$I$9)))^2+Inputs!$C$6^2+((Inputs!$H$9+Inputs!$L$9*(((Inputs!$I$9+(((A52)+1)/2)*(Inputs!$J$9-Inputs!$I$9)))/Inputs!$K$9)^2))^2)))))/Inputs!$C$13),NA())</f>
        <v>2649.4282566743777</v>
      </c>
      <c r="R52" s="10"/>
      <c r="S52" s="9">
        <f t="shared" si="2"/>
        <v>-0.58299999999999996</v>
      </c>
      <c r="T52" s="9">
        <f>(Inputs!$I$6+(((A52)+1)/2)*(Inputs!$J$6-Inputs!$I$6))</f>
        <v>-34.979999999999997</v>
      </c>
      <c r="U52" s="9">
        <f>(Inputs!$I$7+(((A52)+1)/2)*(Inputs!$J$7-Inputs!$I$7))</f>
        <v>-233.2</v>
      </c>
      <c r="V52" s="9">
        <f>(Inputs!$I$8+(((A52)+1)/2)*(Inputs!$J$8-Inputs!$I$8))</f>
        <v>-466.4</v>
      </c>
      <c r="W52" s="9">
        <f>(Inputs!$I$9+(((A52)+1)/2)*(Inputs!$J$9-Inputs!$I$9))</f>
        <v>-466.4</v>
      </c>
      <c r="X52" s="10"/>
      <c r="Y52" s="9">
        <f t="shared" si="3"/>
        <v>-0.58299999999999996</v>
      </c>
      <c r="Z52" s="9">
        <f>(Inputs!$H$6+Inputs!$L$6*(((Inputs!$I$6+(((A52)+1)/2)*(Inputs!$J$6-Inputs!$I$6)))/Inputs!$K$6)^2)</f>
        <v>401.359556</v>
      </c>
      <c r="AA52" s="9">
        <f>(Inputs!$H$7+Inputs!$L$7*(((Inputs!$I$7+(((A52)+1)/2)*(Inputs!$J$7-Inputs!$I$7)))/Inputs!$K$7)^2)</f>
        <v>159.059485</v>
      </c>
      <c r="AB52" s="9">
        <f>(Inputs!$H$8+Inputs!$L$8*(((Inputs!$I$8+(((A52)+1)/2)*(Inputs!$J$8-Inputs!$I$8)))/Inputs!$K$8)^2)</f>
        <v>362.99288499999994</v>
      </c>
      <c r="AC52" s="9">
        <f>(Inputs!$H$9+Inputs!$L$9*(((Inputs!$I$9+(((A52)+1)/2)*(Inputs!$J$9-Inputs!$I$9)))/Inputs!$K$9)^2)</f>
        <v>356.39177499999994</v>
      </c>
      <c r="AD52" s="10"/>
      <c r="AE52" s="9">
        <f t="shared" si="4"/>
        <v>-0.58299999999999996</v>
      </c>
      <c r="AF52" s="9">
        <f>(((SQRT(((Inputs!$I$6+(((A52)+1)/2)*(Inputs!$J$6-Inputs!$I$6)))^2+Inputs!$C$6^2+((Inputs!$H$6+Inputs!$L$6*(((Inputs!$I$6+(((A52)+1)/2)*(Inputs!$J$6-Inputs!$I$6)))/Inputs!$K$6)^2))^2))-((Inputs!$H$6+Inputs!$L$6*(((Inputs!$I$6+(((A52)+1)/2)*(Inputs!$J$6-Inputs!$I$6)))/Inputs!$K$6)^2)))*1000/Inputs!$C$12)</f>
        <v>1290.0864574175641</v>
      </c>
      <c r="AG52" s="9">
        <f>(((SQRT(((Inputs!$I$7+(((A52)+1)/2)*(Inputs!$J$7-Inputs!$I$7)))^2+Inputs!$C$6^2+((Inputs!$H$7+Inputs!$L$7*(((Inputs!$I$7+(((A52)+1)/2)*(Inputs!$J$7-Inputs!$I$7)))/Inputs!$K$7)^2))^2))-((Inputs!$H$7+Inputs!$L$7*(((Inputs!$I$7+(((A52)+1)/2)*(Inputs!$J$7-Inputs!$I$7)))/Inputs!$K$7)^2)))*1000/Inputs!$C$12)</f>
        <v>69845.895596417482</v>
      </c>
      <c r="AH52" s="9">
        <f>(((SQRT(((Inputs!$I$8+(((A52)+1)/2)*(Inputs!$J$8-Inputs!$I$8)))^2+Inputs!$C$6^2+((Inputs!$H$8+Inputs!$L$8*(((Inputs!$I$8+(((A52)+1)/2)*(Inputs!$J$8-Inputs!$I$8)))/Inputs!$K$8)^2))^2))-((Inputs!$H$8+Inputs!$L$8*(((Inputs!$I$8+(((A52)+1)/2)*(Inputs!$J$8-Inputs!$I$8)))/Inputs!$K$8)^2)))*1000/Inputs!$C$12)</f>
        <v>128396.4117714109</v>
      </c>
      <c r="AI52" s="9">
        <f>(((SQRT(((Inputs!$I$9+(((A52)+1)/2)*(Inputs!$J$9-Inputs!$I$9)))^2+Inputs!$C$6^2+((Inputs!$H$9+Inputs!$L$9*(((Inputs!$I$9+(((A52)+1)/2)*(Inputs!$J$9-Inputs!$I$9)))/Inputs!$K$9)^2))^2))-((Inputs!$H$9+Inputs!$L$9*(((Inputs!$I$9+(((A52)+1)/2)*(Inputs!$J$9-Inputs!$I$9)))/Inputs!$K$9)^2)))*1000/Inputs!$C$12)</f>
        <v>129842.20489784692</v>
      </c>
      <c r="AJ52" s="10"/>
      <c r="AK52" s="9">
        <f t="shared" si="5"/>
        <v>-0.58299999999999996</v>
      </c>
      <c r="AL52" s="9">
        <f>(-2*((1000*((((Inputs!$I$6+(((A52)+1)/2)*(Inputs!$J$6-Inputs!$I$6)))*Inputs!$C$11+((Inputs!$H$6+Inputs!$L$6*(((Inputs!$I$6+(((A52)+1)/2)*(Inputs!$J$6-Inputs!$I$6)))/Inputs!$K$6)^2))*((2*Inputs!$L$6*((Inputs!$I$6+(((A52)+1)/2)*(Inputs!$J$6-Inputs!$I$6)))/(Inputs!$K$6^2)*Inputs!$C$11)))/(SQRT(((Inputs!$I$6+(((A52)+1)/2)*(Inputs!$J$6-Inputs!$I$6)))^2+Inputs!$C$6^2+((Inputs!$H$6+Inputs!$L$6*(((Inputs!$I$6+(((A52)+1)/2)*(Inputs!$J$6-Inputs!$I$6)))/Inputs!$K$6)^2))^2)))))/Inputs!$C$13)</f>
        <v>262.31853231793161</v>
      </c>
      <c r="AM52" s="9">
        <f>(-2*((1000*((((Inputs!$I$7+(((A52)+1)/2)*(Inputs!$J$7-Inputs!$I$7)))*Inputs!$C$11+((Inputs!$H$7+Inputs!$L$7*(((Inputs!$I$7+(((A52)+1)/2)*(Inputs!$J$7-Inputs!$I$7)))/Inputs!$K$7)^2))*((2*Inputs!$L$7*((Inputs!$I$7+(((A52)+1)/2)*(Inputs!$J$7-Inputs!$I$7)))/(Inputs!$K$7^2)*Inputs!$C$11)))/(SQRT(((Inputs!$I$7+(((A52)+1)/2)*(Inputs!$J$7-Inputs!$I$7)))^2+Inputs!$C$6^2+((Inputs!$H$7+Inputs!$L$7*(((Inputs!$I$7+(((A52)+1)/2)*(Inputs!$J$7-Inputs!$I$7)))/Inputs!$K$7)^2))^2)))))/Inputs!$C$13)</f>
        <v>2272.160127743894</v>
      </c>
      <c r="AN52" s="9">
        <f>(-2*((1000*((((Inputs!$I$8+(((A52)+1)/2)*(Inputs!$J$8-Inputs!$I$8)))*Inputs!$C$11+((Inputs!$H$8+Inputs!$L$8*(((Inputs!$I$8+(((A52)+1)/2)*(Inputs!$J$8-Inputs!$I$8)))/Inputs!$K$8)^2))*((2*Inputs!$L$8*((Inputs!$I$8+(((A52)+1)/2)*(Inputs!$J$8-Inputs!$I$8)))/(Inputs!$K$8^2)*Inputs!$C$11)))/(SQRT(((Inputs!$I$8+(((A52)+1)/2)*(Inputs!$J$8-Inputs!$I$8)))^2+Inputs!$C$6^2+((Inputs!$H$8+Inputs!$L$8*(((Inputs!$I$8+(((A52)+1)/2)*(Inputs!$J$8-Inputs!$I$8)))/Inputs!$K$8)^2))^2)))))/Inputs!$C$13)</f>
        <v>2642.4517321444073</v>
      </c>
      <c r="AO52" s="9">
        <f>(-2*((1000*((((Inputs!$I$9+(((A52)+1)/2)*(Inputs!$J$9-Inputs!$I$9)))*Inputs!$C$11+((Inputs!$H$9+Inputs!$L$9*(((Inputs!$I$9+(((A52)+1)/2)*(Inputs!$J$9-Inputs!$I$9)))/Inputs!$K$9)^2))*((2*Inputs!$L$9*((Inputs!$I$9+(((A52)+1)/2)*(Inputs!$J$9-Inputs!$I$9)))/(Inputs!$K$9^2)*Inputs!$C$11)))/(SQRT(((Inputs!$I$9+(((A52)+1)/2)*(Inputs!$J$9-Inputs!$I$9)))^2+Inputs!$C$6^2+((Inputs!$H$9+Inputs!$L$9*(((Inputs!$I$9+(((A52)+1)/2)*(Inputs!$J$9-Inputs!$I$9)))/Inputs!$K$9)^2))^2)))))/Inputs!$C$13)</f>
        <v>2649.4282566743777</v>
      </c>
    </row>
    <row r="53" spans="1:41">
      <c r="A53" s="9">
        <f>ROUND(-1+51*2/240,3)</f>
        <v>-0.57499999999999996</v>
      </c>
      <c r="B53" s="9">
        <f>IF(OR(Inputs!$F$6=TRUE,Inputs!$F$6="TRUE",Inputs!$F$6=1),(Inputs!$H$6+Inputs!$L$6*(((Inputs!$I$6+(((A53)+1)/2)*(Inputs!$J$6-Inputs!$I$6)))/Inputs!$K$6)^2),NA())</f>
        <v>401.32249999999999</v>
      </c>
      <c r="C53" s="9">
        <f>IF(OR(Inputs!$F$7=TRUE,Inputs!$F$7="TRUE",Inputs!$F$7=1),(Inputs!$H$7+Inputs!$L$7*(((Inputs!$I$7+(((A53)+1)/2)*(Inputs!$J$7-Inputs!$I$7)))/Inputs!$K$7)^2),NA())</f>
        <v>155.67812499999997</v>
      </c>
      <c r="D53" s="9">
        <f>IF(OR(Inputs!$F$8=TRUE,Inputs!$F$8="TRUE",Inputs!$F$8=1),(Inputs!$H$8+Inputs!$L$8*(((Inputs!$I$8+(((A53)+1)/2)*(Inputs!$J$8-Inputs!$I$8)))/Inputs!$K$8)^2),NA())</f>
        <v>354.05312499999997</v>
      </c>
      <c r="E53" s="9">
        <f>IF(OR(Inputs!$F$9=TRUE,Inputs!$F$9="TRUE",Inputs!$F$9=1),(Inputs!$H$9+Inputs!$L$9*(((Inputs!$I$9+(((A53)+1)/2)*(Inputs!$J$9-Inputs!$I$9)))/Inputs!$K$9)^2),NA())</f>
        <v>347.35937499999994</v>
      </c>
      <c r="F53" s="10"/>
      <c r="G53" s="9">
        <f t="shared" si="0"/>
        <v>-0.57499999999999996</v>
      </c>
      <c r="H53" s="9">
        <f>IF(OR(Inputs!$F$6=TRUE,Inputs!$F$6="TRUE",Inputs!$F$6=1),(((SQRT(((Inputs!$I$6+(((A53)+1)/2)*(Inputs!$J$6-Inputs!$I$6)))^2+Inputs!$C$6^2+((Inputs!$H$6+Inputs!$L$6*(((Inputs!$I$6+(((A53)+1)/2)*(Inputs!$J$6-Inputs!$I$6)))/Inputs!$K$6)^2))^2))-((Inputs!$H$6+Inputs!$L$6*(((Inputs!$I$6+(((A53)+1)/2)*(Inputs!$J$6-Inputs!$I$6)))/Inputs!$K$6)^2)))*1000/Inputs!$C$12),NA())</f>
        <v>1266.9934849810077</v>
      </c>
      <c r="I53" s="9">
        <f>IF(OR(Inputs!$F$7=TRUE,Inputs!$F$7="TRUE",Inputs!$F$7=1),(((SQRT(((Inputs!$I$7+(((A53)+1)/2)*(Inputs!$J$7-Inputs!$I$7)))^2+Inputs!$C$6^2+((Inputs!$H$7+Inputs!$L$7*(((Inputs!$I$7+(((A53)+1)/2)*(Inputs!$J$7-Inputs!$I$7)))/Inputs!$K$7)^2))^2))-((Inputs!$H$7+Inputs!$L$7*(((Inputs!$I$7+(((A53)+1)/2)*(Inputs!$J$7-Inputs!$I$7)))/Inputs!$K$7)^2)))*1000/Inputs!$C$12),NA())</f>
        <v>69201.063310590413</v>
      </c>
      <c r="J53" s="9">
        <f>IF(OR(Inputs!$F$8=TRUE,Inputs!$F$8="TRUE",Inputs!$F$8=1),(((SQRT(((Inputs!$I$8+(((A53)+1)/2)*(Inputs!$J$8-Inputs!$I$8)))^2+Inputs!$C$6^2+((Inputs!$H$8+Inputs!$L$8*(((Inputs!$I$8+(((A53)+1)/2)*(Inputs!$J$8-Inputs!$I$8)))/Inputs!$K$8)^2))^2))-((Inputs!$H$8+Inputs!$L$8*(((Inputs!$I$8+(((A53)+1)/2)*(Inputs!$J$8-Inputs!$I$8)))/Inputs!$K$8)^2)))*1000/Inputs!$C$12),NA())</f>
        <v>127506.76083586103</v>
      </c>
      <c r="K53" s="9">
        <f>IF(OR(Inputs!$F$9=TRUE,Inputs!$F$9="TRUE",Inputs!$F$9=1),(((SQRT(((Inputs!$I$9+(((A53)+1)/2)*(Inputs!$J$9-Inputs!$I$9)))^2+Inputs!$C$6^2+((Inputs!$H$9+Inputs!$L$9*(((Inputs!$I$9+(((A53)+1)/2)*(Inputs!$J$9-Inputs!$I$9)))/Inputs!$K$9)^2))^2))-((Inputs!$H$9+Inputs!$L$9*(((Inputs!$I$9+(((A53)+1)/2)*(Inputs!$J$9-Inputs!$I$9)))/Inputs!$K$9)^2)))*1000/Inputs!$C$12),NA())</f>
        <v>128989.45295217878</v>
      </c>
      <c r="L53" s="10"/>
      <c r="M53" s="9">
        <f t="shared" si="1"/>
        <v>-0.57499999999999996</v>
      </c>
      <c r="N53" s="9">
        <f>IF(OR(Inputs!$F$6=TRUE,Inputs!$F$6="TRUE",Inputs!$F$6=1),(-2*((1000*((((Inputs!$I$6+(((A53)+1)/2)*(Inputs!$J$6-Inputs!$I$6)))*Inputs!$C$11+((Inputs!$H$6+Inputs!$L$6*(((Inputs!$I$6+(((A53)+1)/2)*(Inputs!$J$6-Inputs!$I$6)))/Inputs!$K$6)^2))*((2*Inputs!$L$6*((Inputs!$I$6+(((A53)+1)/2)*(Inputs!$J$6-Inputs!$I$6)))/(Inputs!$K$6^2)*Inputs!$C$11)))/(SQRT(((Inputs!$I$6+(((A53)+1)/2)*(Inputs!$J$6-Inputs!$I$6)))^2+Inputs!$C$6^2+((Inputs!$H$6+Inputs!$L$6*(((Inputs!$I$6+(((A53)+1)/2)*(Inputs!$J$6-Inputs!$I$6)))/Inputs!$K$6)^2))^2)))))/Inputs!$C$13),NA())</f>
        <v>258.75780750177796</v>
      </c>
      <c r="O53" s="9">
        <f>IF(OR(Inputs!$F$7=TRUE,Inputs!$F$7="TRUE",Inputs!$F$7=1),(-2*((1000*((((Inputs!$I$7+(((A53)+1)/2)*(Inputs!$J$7-Inputs!$I$7)))*Inputs!$C$11+((Inputs!$H$7+Inputs!$L$7*(((Inputs!$I$7+(((A53)+1)/2)*(Inputs!$J$7-Inputs!$I$7)))/Inputs!$K$7)^2))*((2*Inputs!$L$7*((Inputs!$I$7+(((A53)+1)/2)*(Inputs!$J$7-Inputs!$I$7)))/(Inputs!$K$7^2)*Inputs!$C$11)))/(SQRT(((Inputs!$I$7+(((A53)+1)/2)*(Inputs!$J$7-Inputs!$I$7)))^2+Inputs!$C$6^2+((Inputs!$H$7+Inputs!$L$7*(((Inputs!$I$7+(((A53)+1)/2)*(Inputs!$J$7-Inputs!$I$7)))/Inputs!$K$7)^2))^2)))))/Inputs!$C$13),NA())</f>
        <v>2257.0198666762913</v>
      </c>
      <c r="P53" s="9">
        <f>IF(OR(Inputs!$F$8=TRUE,Inputs!$F$8="TRUE",Inputs!$F$8=1),(-2*((1000*((((Inputs!$I$8+(((A53)+1)/2)*(Inputs!$J$8-Inputs!$I$8)))*Inputs!$C$11+((Inputs!$H$8+Inputs!$L$8*(((Inputs!$I$8+(((A53)+1)/2)*(Inputs!$J$8-Inputs!$I$8)))/Inputs!$K$8)^2))*((2*Inputs!$L$8*((Inputs!$I$8+(((A53)+1)/2)*(Inputs!$J$8-Inputs!$I$8)))/(Inputs!$K$8^2)*Inputs!$C$11)))/(SQRT(((Inputs!$I$8+(((A53)+1)/2)*(Inputs!$J$8-Inputs!$I$8)))^2+Inputs!$C$6^2+((Inputs!$H$8+Inputs!$L$8*(((Inputs!$I$8+(((A53)+1)/2)*(Inputs!$J$8-Inputs!$I$8)))/Inputs!$K$8)^2))^2)))))/Inputs!$C$13),NA())</f>
        <v>2619.244759126148</v>
      </c>
      <c r="Q53" s="9">
        <f>IF(OR(Inputs!$F$9=TRUE,Inputs!$F$9="TRUE",Inputs!$F$9=1),(-2*((1000*((((Inputs!$I$9+(((A53)+1)/2)*(Inputs!$J$9-Inputs!$I$9)))*Inputs!$C$11+((Inputs!$H$9+Inputs!$L$9*(((Inputs!$I$9+(((A53)+1)/2)*(Inputs!$J$9-Inputs!$I$9)))/Inputs!$K$9)^2))*((2*Inputs!$L$9*((Inputs!$I$9+(((A53)+1)/2)*(Inputs!$J$9-Inputs!$I$9)))/(Inputs!$K$9^2)*Inputs!$C$11)))/(SQRT(((Inputs!$I$9+(((A53)+1)/2)*(Inputs!$J$9-Inputs!$I$9)))^2+Inputs!$C$6^2+((Inputs!$H$9+Inputs!$L$9*(((Inputs!$I$9+(((A53)+1)/2)*(Inputs!$J$9-Inputs!$I$9)))/Inputs!$K$9)^2))^2)))))/Inputs!$C$13),NA())</f>
        <v>2625.7484395684996</v>
      </c>
      <c r="R53" s="10"/>
      <c r="S53" s="9">
        <f t="shared" si="2"/>
        <v>-0.57499999999999996</v>
      </c>
      <c r="T53" s="9">
        <f>(Inputs!$I$6+(((A53)+1)/2)*(Inputs!$J$6-Inputs!$I$6))</f>
        <v>-34.5</v>
      </c>
      <c r="U53" s="9">
        <f>(Inputs!$I$7+(((A53)+1)/2)*(Inputs!$J$7-Inputs!$I$7))</f>
        <v>-229.99999999999997</v>
      </c>
      <c r="V53" s="9">
        <f>(Inputs!$I$8+(((A53)+1)/2)*(Inputs!$J$8-Inputs!$I$8))</f>
        <v>-459.99999999999994</v>
      </c>
      <c r="W53" s="9">
        <f>(Inputs!$I$9+(((A53)+1)/2)*(Inputs!$J$9-Inputs!$I$9))</f>
        <v>-459.99999999999994</v>
      </c>
      <c r="X53" s="10"/>
      <c r="Y53" s="9">
        <f t="shared" si="3"/>
        <v>-0.57499999999999996</v>
      </c>
      <c r="Z53" s="9">
        <f>(Inputs!$H$6+Inputs!$L$6*(((Inputs!$I$6+(((A53)+1)/2)*(Inputs!$J$6-Inputs!$I$6)))/Inputs!$K$6)^2)</f>
        <v>401.32249999999999</v>
      </c>
      <c r="AA53" s="9">
        <f>(Inputs!$H$7+Inputs!$L$7*(((Inputs!$I$7+(((A53)+1)/2)*(Inputs!$J$7-Inputs!$I$7)))/Inputs!$K$7)^2)</f>
        <v>155.67812499999997</v>
      </c>
      <c r="AB53" s="9">
        <f>(Inputs!$H$8+Inputs!$L$8*(((Inputs!$I$8+(((A53)+1)/2)*(Inputs!$J$8-Inputs!$I$8)))/Inputs!$K$8)^2)</f>
        <v>354.05312499999997</v>
      </c>
      <c r="AC53" s="9">
        <f>(Inputs!$H$9+Inputs!$L$9*(((Inputs!$I$9+(((A53)+1)/2)*(Inputs!$J$9-Inputs!$I$9)))/Inputs!$K$9)^2)</f>
        <v>347.35937499999994</v>
      </c>
      <c r="AD53" s="10"/>
      <c r="AE53" s="9">
        <f t="shared" si="4"/>
        <v>-0.57499999999999996</v>
      </c>
      <c r="AF53" s="9">
        <f>(((SQRT(((Inputs!$I$6+(((A53)+1)/2)*(Inputs!$J$6-Inputs!$I$6)))^2+Inputs!$C$6^2+((Inputs!$H$6+Inputs!$L$6*(((Inputs!$I$6+(((A53)+1)/2)*(Inputs!$J$6-Inputs!$I$6)))/Inputs!$K$6)^2))^2))-((Inputs!$H$6+Inputs!$L$6*(((Inputs!$I$6+(((A53)+1)/2)*(Inputs!$J$6-Inputs!$I$6)))/Inputs!$K$6)^2)))*1000/Inputs!$C$12)</f>
        <v>1266.9934849810077</v>
      </c>
      <c r="AG53" s="9">
        <f>(((SQRT(((Inputs!$I$7+(((A53)+1)/2)*(Inputs!$J$7-Inputs!$I$7)))^2+Inputs!$C$6^2+((Inputs!$H$7+Inputs!$L$7*(((Inputs!$I$7+(((A53)+1)/2)*(Inputs!$J$7-Inputs!$I$7)))/Inputs!$K$7)^2))^2))-((Inputs!$H$7+Inputs!$L$7*(((Inputs!$I$7+(((A53)+1)/2)*(Inputs!$J$7-Inputs!$I$7)))/Inputs!$K$7)^2)))*1000/Inputs!$C$12)</f>
        <v>69201.063310590413</v>
      </c>
      <c r="AH53" s="9">
        <f>(((SQRT(((Inputs!$I$8+(((A53)+1)/2)*(Inputs!$J$8-Inputs!$I$8)))^2+Inputs!$C$6^2+((Inputs!$H$8+Inputs!$L$8*(((Inputs!$I$8+(((A53)+1)/2)*(Inputs!$J$8-Inputs!$I$8)))/Inputs!$K$8)^2))^2))-((Inputs!$H$8+Inputs!$L$8*(((Inputs!$I$8+(((A53)+1)/2)*(Inputs!$J$8-Inputs!$I$8)))/Inputs!$K$8)^2)))*1000/Inputs!$C$12)</f>
        <v>127506.76083586103</v>
      </c>
      <c r="AI53" s="9">
        <f>(((SQRT(((Inputs!$I$9+(((A53)+1)/2)*(Inputs!$J$9-Inputs!$I$9)))^2+Inputs!$C$6^2+((Inputs!$H$9+Inputs!$L$9*(((Inputs!$I$9+(((A53)+1)/2)*(Inputs!$J$9-Inputs!$I$9)))/Inputs!$K$9)^2))^2))-((Inputs!$H$9+Inputs!$L$9*(((Inputs!$I$9+(((A53)+1)/2)*(Inputs!$J$9-Inputs!$I$9)))/Inputs!$K$9)^2)))*1000/Inputs!$C$12)</f>
        <v>128989.45295217878</v>
      </c>
      <c r="AJ53" s="10"/>
      <c r="AK53" s="9">
        <f t="shared" si="5"/>
        <v>-0.57499999999999996</v>
      </c>
      <c r="AL53" s="9">
        <f>(-2*((1000*((((Inputs!$I$6+(((A53)+1)/2)*(Inputs!$J$6-Inputs!$I$6)))*Inputs!$C$11+((Inputs!$H$6+Inputs!$L$6*(((Inputs!$I$6+(((A53)+1)/2)*(Inputs!$J$6-Inputs!$I$6)))/Inputs!$K$6)^2))*((2*Inputs!$L$6*((Inputs!$I$6+(((A53)+1)/2)*(Inputs!$J$6-Inputs!$I$6)))/(Inputs!$K$6^2)*Inputs!$C$11)))/(SQRT(((Inputs!$I$6+(((A53)+1)/2)*(Inputs!$J$6-Inputs!$I$6)))^2+Inputs!$C$6^2+((Inputs!$H$6+Inputs!$L$6*(((Inputs!$I$6+(((A53)+1)/2)*(Inputs!$J$6-Inputs!$I$6)))/Inputs!$K$6)^2))^2)))))/Inputs!$C$13)</f>
        <v>258.75780750177796</v>
      </c>
      <c r="AM53" s="9">
        <f>(-2*((1000*((((Inputs!$I$7+(((A53)+1)/2)*(Inputs!$J$7-Inputs!$I$7)))*Inputs!$C$11+((Inputs!$H$7+Inputs!$L$7*(((Inputs!$I$7+(((A53)+1)/2)*(Inputs!$J$7-Inputs!$I$7)))/Inputs!$K$7)^2))*((2*Inputs!$L$7*((Inputs!$I$7+(((A53)+1)/2)*(Inputs!$J$7-Inputs!$I$7)))/(Inputs!$K$7^2)*Inputs!$C$11)))/(SQRT(((Inputs!$I$7+(((A53)+1)/2)*(Inputs!$J$7-Inputs!$I$7)))^2+Inputs!$C$6^2+((Inputs!$H$7+Inputs!$L$7*(((Inputs!$I$7+(((A53)+1)/2)*(Inputs!$J$7-Inputs!$I$7)))/Inputs!$K$7)^2))^2)))))/Inputs!$C$13)</f>
        <v>2257.0198666762913</v>
      </c>
      <c r="AN53" s="9">
        <f>(-2*((1000*((((Inputs!$I$8+(((A53)+1)/2)*(Inputs!$J$8-Inputs!$I$8)))*Inputs!$C$11+((Inputs!$H$8+Inputs!$L$8*(((Inputs!$I$8+(((A53)+1)/2)*(Inputs!$J$8-Inputs!$I$8)))/Inputs!$K$8)^2))*((2*Inputs!$L$8*((Inputs!$I$8+(((A53)+1)/2)*(Inputs!$J$8-Inputs!$I$8)))/(Inputs!$K$8^2)*Inputs!$C$11)))/(SQRT(((Inputs!$I$8+(((A53)+1)/2)*(Inputs!$J$8-Inputs!$I$8)))^2+Inputs!$C$6^2+((Inputs!$H$8+Inputs!$L$8*(((Inputs!$I$8+(((A53)+1)/2)*(Inputs!$J$8-Inputs!$I$8)))/Inputs!$K$8)^2))^2)))))/Inputs!$C$13)</f>
        <v>2619.244759126148</v>
      </c>
      <c r="AO53" s="9">
        <f>(-2*((1000*((((Inputs!$I$9+(((A53)+1)/2)*(Inputs!$J$9-Inputs!$I$9)))*Inputs!$C$11+((Inputs!$H$9+Inputs!$L$9*(((Inputs!$I$9+(((A53)+1)/2)*(Inputs!$J$9-Inputs!$I$9)))/Inputs!$K$9)^2))*((2*Inputs!$L$9*((Inputs!$I$9+(((A53)+1)/2)*(Inputs!$J$9-Inputs!$I$9)))/(Inputs!$K$9^2)*Inputs!$C$11)))/(SQRT(((Inputs!$I$9+(((A53)+1)/2)*(Inputs!$J$9-Inputs!$I$9)))^2+Inputs!$C$6^2+((Inputs!$H$9+Inputs!$L$9*(((Inputs!$I$9+(((A53)+1)/2)*(Inputs!$J$9-Inputs!$I$9)))/Inputs!$K$9)^2))^2)))))/Inputs!$C$13)</f>
        <v>2625.7484395684996</v>
      </c>
    </row>
    <row r="54" spans="1:41">
      <c r="A54" s="9">
        <f>ROUND(-1+52*2/240,3)</f>
        <v>-0.56699999999999995</v>
      </c>
      <c r="B54" s="9">
        <f>IF(OR(Inputs!$F$6=TRUE,Inputs!$F$6="TRUE",Inputs!$F$6=1),(Inputs!$H$6+Inputs!$L$6*(((Inputs!$I$6+(((A54)+1)/2)*(Inputs!$J$6-Inputs!$I$6)))/Inputs!$K$6)^2),NA())</f>
        <v>401.285956</v>
      </c>
      <c r="C54" s="9">
        <f>IF(OR(Inputs!$F$7=TRUE,Inputs!$F$7="TRUE",Inputs!$F$7=1),(Inputs!$H$7+Inputs!$L$7*(((Inputs!$I$7+(((A54)+1)/2)*(Inputs!$J$7-Inputs!$I$7)))/Inputs!$K$7)^2),NA())</f>
        <v>152.34348499999999</v>
      </c>
      <c r="D54" s="9">
        <f>IF(OR(Inputs!$F$8=TRUE,Inputs!$F$8="TRUE",Inputs!$F$8=1),(Inputs!$H$8+Inputs!$L$8*(((Inputs!$I$8+(((A54)+1)/2)*(Inputs!$J$8-Inputs!$I$8)))/Inputs!$K$8)^2),NA())</f>
        <v>345.23688499999997</v>
      </c>
      <c r="E54" s="9">
        <f>IF(OR(Inputs!$F$9=TRUE,Inputs!$F$9="TRUE",Inputs!$F$9=1),(Inputs!$H$9+Inputs!$L$9*(((Inputs!$I$9+(((A54)+1)/2)*(Inputs!$J$9-Inputs!$I$9)))/Inputs!$K$9)^2),NA())</f>
        <v>338.451775</v>
      </c>
      <c r="F54" s="10"/>
      <c r="G54" s="9">
        <f t="shared" si="0"/>
        <v>-0.56699999999999995</v>
      </c>
      <c r="H54" s="9">
        <f>IF(OR(Inputs!$F$6=TRUE,Inputs!$F$6="TRUE",Inputs!$F$6=1),(((SQRT(((Inputs!$I$6+(((A54)+1)/2)*(Inputs!$J$6-Inputs!$I$6)))^2+Inputs!$C$6^2+((Inputs!$H$6+Inputs!$L$6*(((Inputs!$I$6+(((A54)+1)/2)*(Inputs!$J$6-Inputs!$I$6)))/Inputs!$K$6)^2))^2))-((Inputs!$H$6+Inputs!$L$6*(((Inputs!$I$6+(((A54)+1)/2)*(Inputs!$J$6-Inputs!$I$6)))/Inputs!$K$6)^2)))*1000/Inputs!$C$12),NA())</f>
        <v>1244.2131283881388</v>
      </c>
      <c r="I54" s="9">
        <f>IF(OR(Inputs!$F$7=TRUE,Inputs!$F$7="TRUE",Inputs!$F$7=1),(((SQRT(((Inputs!$I$7+(((A54)+1)/2)*(Inputs!$J$7-Inputs!$I$7)))^2+Inputs!$C$6^2+((Inputs!$H$7+Inputs!$L$7*(((Inputs!$I$7+(((A54)+1)/2)*(Inputs!$J$7-Inputs!$I$7)))/Inputs!$K$7)^2))^2))-((Inputs!$H$7+Inputs!$L$7*(((Inputs!$I$7+(((A54)+1)/2)*(Inputs!$J$7-Inputs!$I$7)))/Inputs!$K$7)^2)))*1000/Inputs!$C$12),NA())</f>
        <v>68546.93284544679</v>
      </c>
      <c r="J54" s="9">
        <f>IF(OR(Inputs!$F$8=TRUE,Inputs!$F$8="TRUE",Inputs!$F$8=1),(((SQRT(((Inputs!$I$8+(((A54)+1)/2)*(Inputs!$J$8-Inputs!$I$8)))^2+Inputs!$C$6^2+((Inputs!$H$8+Inputs!$L$8*(((Inputs!$I$8+(((A54)+1)/2)*(Inputs!$J$8-Inputs!$I$8)))/Inputs!$K$8)^2))^2))-((Inputs!$H$8+Inputs!$L$8*(((Inputs!$I$8+(((A54)+1)/2)*(Inputs!$J$8-Inputs!$I$8)))/Inputs!$K$8)^2)))*1000/Inputs!$C$12),NA())</f>
        <v>126599.68284747351</v>
      </c>
      <c r="K54" s="9">
        <f>IF(OR(Inputs!$F$9=TRUE,Inputs!$F$9="TRUE",Inputs!$F$9=1),(((SQRT(((Inputs!$I$9+(((A54)+1)/2)*(Inputs!$J$9-Inputs!$I$9)))^2+Inputs!$C$6^2+((Inputs!$H$9+Inputs!$L$9*(((Inputs!$I$9+(((A54)+1)/2)*(Inputs!$J$9-Inputs!$I$9)))/Inputs!$K$9)^2))^2))-((Inputs!$H$9+Inputs!$L$9*(((Inputs!$I$9+(((A54)+1)/2)*(Inputs!$J$9-Inputs!$I$9)))/Inputs!$K$9)^2)))*1000/Inputs!$C$12),NA())</f>
        <v>128119.61527199976</v>
      </c>
      <c r="L54" s="10"/>
      <c r="M54" s="9">
        <f t="shared" si="1"/>
        <v>-0.56699999999999995</v>
      </c>
      <c r="N54" s="9">
        <f>IF(OR(Inputs!$F$6=TRUE,Inputs!$F$6="TRUE",Inputs!$F$6=1),(-2*((1000*((((Inputs!$I$6+(((A54)+1)/2)*(Inputs!$J$6-Inputs!$I$6)))*Inputs!$C$11+((Inputs!$H$6+Inputs!$L$6*(((Inputs!$I$6+(((A54)+1)/2)*(Inputs!$J$6-Inputs!$I$6)))/Inputs!$K$6)^2))*((2*Inputs!$L$6*((Inputs!$I$6+(((A54)+1)/2)*(Inputs!$J$6-Inputs!$I$6)))/(Inputs!$K$6^2)*Inputs!$C$11)))/(SQRT(((Inputs!$I$6+(((A54)+1)/2)*(Inputs!$J$6-Inputs!$I$6)))^2+Inputs!$C$6^2+((Inputs!$H$6+Inputs!$L$6*(((Inputs!$I$6+(((A54)+1)/2)*(Inputs!$J$6-Inputs!$I$6)))/Inputs!$K$6)^2))^2)))))/Inputs!$C$13),NA())</f>
        <v>255.19549440065356</v>
      </c>
      <c r="O54" s="9">
        <f>IF(OR(Inputs!$F$7=TRUE,Inputs!$F$7="TRUE",Inputs!$F$7=1),(-2*((1000*((((Inputs!$I$7+(((A54)+1)/2)*(Inputs!$J$7-Inputs!$I$7)))*Inputs!$C$11+((Inputs!$H$7+Inputs!$L$7*(((Inputs!$I$7+(((A54)+1)/2)*(Inputs!$J$7-Inputs!$I$7)))/Inputs!$K$7)^2))*((2*Inputs!$L$7*((Inputs!$I$7+(((A54)+1)/2)*(Inputs!$J$7-Inputs!$I$7)))/(Inputs!$K$7^2)*Inputs!$C$11)))/(SQRT(((Inputs!$I$7+(((A54)+1)/2)*(Inputs!$J$7-Inputs!$I$7)))^2+Inputs!$C$6^2+((Inputs!$H$7+Inputs!$L$7*(((Inputs!$I$7+(((A54)+1)/2)*(Inputs!$J$7-Inputs!$I$7)))/Inputs!$K$7)^2))^2)))))/Inputs!$C$13),NA())</f>
        <v>2241.99094760963</v>
      </c>
      <c r="P54" s="9">
        <f>IF(OR(Inputs!$F$8=TRUE,Inputs!$F$8="TRUE",Inputs!$F$8=1),(-2*((1000*((((Inputs!$I$8+(((A54)+1)/2)*(Inputs!$J$8-Inputs!$I$8)))*Inputs!$C$11+((Inputs!$H$8+Inputs!$L$8*(((Inputs!$I$8+(((A54)+1)/2)*(Inputs!$J$8-Inputs!$I$8)))/Inputs!$K$8)^2))*((2*Inputs!$L$8*((Inputs!$I$8+(((A54)+1)/2)*(Inputs!$J$8-Inputs!$I$8)))/(Inputs!$K$8^2)*Inputs!$C$11)))/(SQRT(((Inputs!$I$8+(((A54)+1)/2)*(Inputs!$J$8-Inputs!$I$8)))^2+Inputs!$C$6^2+((Inputs!$H$8+Inputs!$L$8*(((Inputs!$I$8+(((A54)+1)/2)*(Inputs!$J$8-Inputs!$I$8)))/Inputs!$K$8)^2))^2)))))/Inputs!$C$13),NA())</f>
        <v>2596.2023457503556</v>
      </c>
      <c r="Q54" s="9">
        <f>IF(OR(Inputs!$F$9=TRUE,Inputs!$F$9="TRUE",Inputs!$F$9=1),(-2*((1000*((((Inputs!$I$9+(((A54)+1)/2)*(Inputs!$J$9-Inputs!$I$9)))*Inputs!$C$11+((Inputs!$H$9+Inputs!$L$9*(((Inputs!$I$9+(((A54)+1)/2)*(Inputs!$J$9-Inputs!$I$9)))/Inputs!$K$9)^2))*((2*Inputs!$L$9*((Inputs!$I$9+(((A54)+1)/2)*(Inputs!$J$9-Inputs!$I$9)))/(Inputs!$K$9^2)*Inputs!$C$11)))/(SQRT(((Inputs!$I$9+(((A54)+1)/2)*(Inputs!$J$9-Inputs!$I$9)))^2+Inputs!$C$6^2+((Inputs!$H$9+Inputs!$L$9*(((Inputs!$I$9+(((A54)+1)/2)*(Inputs!$J$9-Inputs!$I$9)))/Inputs!$K$9)^2))^2)))))/Inputs!$C$13),NA())</f>
        <v>2602.2351369734879</v>
      </c>
      <c r="R54" s="10"/>
      <c r="S54" s="9">
        <f t="shared" si="2"/>
        <v>-0.56699999999999995</v>
      </c>
      <c r="T54" s="9">
        <f>(Inputs!$I$6+(((A54)+1)/2)*(Inputs!$J$6-Inputs!$I$6))</f>
        <v>-34.019999999999996</v>
      </c>
      <c r="U54" s="9">
        <f>(Inputs!$I$7+(((A54)+1)/2)*(Inputs!$J$7-Inputs!$I$7))</f>
        <v>-226.79999999999998</v>
      </c>
      <c r="V54" s="9">
        <f>(Inputs!$I$8+(((A54)+1)/2)*(Inputs!$J$8-Inputs!$I$8))</f>
        <v>-453.59999999999997</v>
      </c>
      <c r="W54" s="9">
        <f>(Inputs!$I$9+(((A54)+1)/2)*(Inputs!$J$9-Inputs!$I$9))</f>
        <v>-453.59999999999997</v>
      </c>
      <c r="X54" s="10"/>
      <c r="Y54" s="9">
        <f t="shared" si="3"/>
        <v>-0.56699999999999995</v>
      </c>
      <c r="Z54" s="9">
        <f>(Inputs!$H$6+Inputs!$L$6*(((Inputs!$I$6+(((A54)+1)/2)*(Inputs!$J$6-Inputs!$I$6)))/Inputs!$K$6)^2)</f>
        <v>401.285956</v>
      </c>
      <c r="AA54" s="9">
        <f>(Inputs!$H$7+Inputs!$L$7*(((Inputs!$I$7+(((A54)+1)/2)*(Inputs!$J$7-Inputs!$I$7)))/Inputs!$K$7)^2)</f>
        <v>152.34348499999999</v>
      </c>
      <c r="AB54" s="9">
        <f>(Inputs!$H$8+Inputs!$L$8*(((Inputs!$I$8+(((A54)+1)/2)*(Inputs!$J$8-Inputs!$I$8)))/Inputs!$K$8)^2)</f>
        <v>345.23688499999997</v>
      </c>
      <c r="AC54" s="9">
        <f>(Inputs!$H$9+Inputs!$L$9*(((Inputs!$I$9+(((A54)+1)/2)*(Inputs!$J$9-Inputs!$I$9)))/Inputs!$K$9)^2)</f>
        <v>338.451775</v>
      </c>
      <c r="AD54" s="10"/>
      <c r="AE54" s="9">
        <f t="shared" si="4"/>
        <v>-0.56699999999999995</v>
      </c>
      <c r="AF54" s="9">
        <f>(((SQRT(((Inputs!$I$6+(((A54)+1)/2)*(Inputs!$J$6-Inputs!$I$6)))^2+Inputs!$C$6^2+((Inputs!$H$6+Inputs!$L$6*(((Inputs!$I$6+(((A54)+1)/2)*(Inputs!$J$6-Inputs!$I$6)))/Inputs!$K$6)^2))^2))-((Inputs!$H$6+Inputs!$L$6*(((Inputs!$I$6+(((A54)+1)/2)*(Inputs!$J$6-Inputs!$I$6)))/Inputs!$K$6)^2)))*1000/Inputs!$C$12)</f>
        <v>1244.2131283881388</v>
      </c>
      <c r="AG54" s="9">
        <f>(((SQRT(((Inputs!$I$7+(((A54)+1)/2)*(Inputs!$J$7-Inputs!$I$7)))^2+Inputs!$C$6^2+((Inputs!$H$7+Inputs!$L$7*(((Inputs!$I$7+(((A54)+1)/2)*(Inputs!$J$7-Inputs!$I$7)))/Inputs!$K$7)^2))^2))-((Inputs!$H$7+Inputs!$L$7*(((Inputs!$I$7+(((A54)+1)/2)*(Inputs!$J$7-Inputs!$I$7)))/Inputs!$K$7)^2)))*1000/Inputs!$C$12)</f>
        <v>68546.93284544679</v>
      </c>
      <c r="AH54" s="9">
        <f>(((SQRT(((Inputs!$I$8+(((A54)+1)/2)*(Inputs!$J$8-Inputs!$I$8)))^2+Inputs!$C$6^2+((Inputs!$H$8+Inputs!$L$8*(((Inputs!$I$8+(((A54)+1)/2)*(Inputs!$J$8-Inputs!$I$8)))/Inputs!$K$8)^2))^2))-((Inputs!$H$8+Inputs!$L$8*(((Inputs!$I$8+(((A54)+1)/2)*(Inputs!$J$8-Inputs!$I$8)))/Inputs!$K$8)^2)))*1000/Inputs!$C$12)</f>
        <v>126599.68284747351</v>
      </c>
      <c r="AI54" s="9">
        <f>(((SQRT(((Inputs!$I$9+(((A54)+1)/2)*(Inputs!$J$9-Inputs!$I$9)))^2+Inputs!$C$6^2+((Inputs!$H$9+Inputs!$L$9*(((Inputs!$I$9+(((A54)+1)/2)*(Inputs!$J$9-Inputs!$I$9)))/Inputs!$K$9)^2))^2))-((Inputs!$H$9+Inputs!$L$9*(((Inputs!$I$9+(((A54)+1)/2)*(Inputs!$J$9-Inputs!$I$9)))/Inputs!$K$9)^2)))*1000/Inputs!$C$12)</f>
        <v>128119.61527199976</v>
      </c>
      <c r="AJ54" s="10"/>
      <c r="AK54" s="9">
        <f t="shared" si="5"/>
        <v>-0.56699999999999995</v>
      </c>
      <c r="AL54" s="9">
        <f>(-2*((1000*((((Inputs!$I$6+(((A54)+1)/2)*(Inputs!$J$6-Inputs!$I$6)))*Inputs!$C$11+((Inputs!$H$6+Inputs!$L$6*(((Inputs!$I$6+(((A54)+1)/2)*(Inputs!$J$6-Inputs!$I$6)))/Inputs!$K$6)^2))*((2*Inputs!$L$6*((Inputs!$I$6+(((A54)+1)/2)*(Inputs!$J$6-Inputs!$I$6)))/(Inputs!$K$6^2)*Inputs!$C$11)))/(SQRT(((Inputs!$I$6+(((A54)+1)/2)*(Inputs!$J$6-Inputs!$I$6)))^2+Inputs!$C$6^2+((Inputs!$H$6+Inputs!$L$6*(((Inputs!$I$6+(((A54)+1)/2)*(Inputs!$J$6-Inputs!$I$6)))/Inputs!$K$6)^2))^2)))))/Inputs!$C$13)</f>
        <v>255.19549440065356</v>
      </c>
      <c r="AM54" s="9">
        <f>(-2*((1000*((((Inputs!$I$7+(((A54)+1)/2)*(Inputs!$J$7-Inputs!$I$7)))*Inputs!$C$11+((Inputs!$H$7+Inputs!$L$7*(((Inputs!$I$7+(((A54)+1)/2)*(Inputs!$J$7-Inputs!$I$7)))/Inputs!$K$7)^2))*((2*Inputs!$L$7*((Inputs!$I$7+(((A54)+1)/2)*(Inputs!$J$7-Inputs!$I$7)))/(Inputs!$K$7^2)*Inputs!$C$11)))/(SQRT(((Inputs!$I$7+(((A54)+1)/2)*(Inputs!$J$7-Inputs!$I$7)))^2+Inputs!$C$6^2+((Inputs!$H$7+Inputs!$L$7*(((Inputs!$I$7+(((A54)+1)/2)*(Inputs!$J$7-Inputs!$I$7)))/Inputs!$K$7)^2))^2)))))/Inputs!$C$13)</f>
        <v>2241.99094760963</v>
      </c>
      <c r="AN54" s="9">
        <f>(-2*((1000*((((Inputs!$I$8+(((A54)+1)/2)*(Inputs!$J$8-Inputs!$I$8)))*Inputs!$C$11+((Inputs!$H$8+Inputs!$L$8*(((Inputs!$I$8+(((A54)+1)/2)*(Inputs!$J$8-Inputs!$I$8)))/Inputs!$K$8)^2))*((2*Inputs!$L$8*((Inputs!$I$8+(((A54)+1)/2)*(Inputs!$J$8-Inputs!$I$8)))/(Inputs!$K$8^2)*Inputs!$C$11)))/(SQRT(((Inputs!$I$8+(((A54)+1)/2)*(Inputs!$J$8-Inputs!$I$8)))^2+Inputs!$C$6^2+((Inputs!$H$8+Inputs!$L$8*(((Inputs!$I$8+(((A54)+1)/2)*(Inputs!$J$8-Inputs!$I$8)))/Inputs!$K$8)^2))^2)))))/Inputs!$C$13)</f>
        <v>2596.2023457503556</v>
      </c>
      <c r="AO54" s="9">
        <f>(-2*((1000*((((Inputs!$I$9+(((A54)+1)/2)*(Inputs!$J$9-Inputs!$I$9)))*Inputs!$C$11+((Inputs!$H$9+Inputs!$L$9*(((Inputs!$I$9+(((A54)+1)/2)*(Inputs!$J$9-Inputs!$I$9)))/Inputs!$K$9)^2))*((2*Inputs!$L$9*((Inputs!$I$9+(((A54)+1)/2)*(Inputs!$J$9-Inputs!$I$9)))/(Inputs!$K$9^2)*Inputs!$C$11)))/(SQRT(((Inputs!$I$9+(((A54)+1)/2)*(Inputs!$J$9-Inputs!$I$9)))^2+Inputs!$C$6^2+((Inputs!$H$9+Inputs!$L$9*(((Inputs!$I$9+(((A54)+1)/2)*(Inputs!$J$9-Inputs!$I$9)))/Inputs!$K$9)^2))^2)))))/Inputs!$C$13)</f>
        <v>2602.2351369734879</v>
      </c>
    </row>
    <row r="55" spans="1:41">
      <c r="A55" s="9">
        <f>ROUND(-1+53*2/240,3)</f>
        <v>-0.55800000000000005</v>
      </c>
      <c r="B55" s="9">
        <f>IF(OR(Inputs!$F$6=TRUE,Inputs!$F$6="TRUE",Inputs!$F$6=1),(Inputs!$H$6+Inputs!$L$6*(((Inputs!$I$6+(((A55)+1)/2)*(Inputs!$J$6-Inputs!$I$6)))/Inputs!$K$6)^2),NA())</f>
        <v>401.24545599999999</v>
      </c>
      <c r="C55" s="9">
        <f>IF(OR(Inputs!$F$7=TRUE,Inputs!$F$7="TRUE",Inputs!$F$7=1),(Inputs!$H$7+Inputs!$L$7*(((Inputs!$I$7+(((A55)+1)/2)*(Inputs!$J$7-Inputs!$I$7)))/Inputs!$K$7)^2),NA())</f>
        <v>148.64786000000004</v>
      </c>
      <c r="D55" s="9">
        <f>IF(OR(Inputs!$F$8=TRUE,Inputs!$F$8="TRUE",Inputs!$F$8=1),(Inputs!$H$8+Inputs!$L$8*(((Inputs!$I$8+(((A55)+1)/2)*(Inputs!$J$8-Inputs!$I$8)))/Inputs!$K$8)^2),NA())</f>
        <v>335.46626000000009</v>
      </c>
      <c r="E55" s="9">
        <f>IF(OR(Inputs!$F$9=TRUE,Inputs!$F$9="TRUE",Inputs!$F$9=1),(Inputs!$H$9+Inputs!$L$9*(((Inputs!$I$9+(((A55)+1)/2)*(Inputs!$J$9-Inputs!$I$9)))/Inputs!$K$9)^2),NA())</f>
        <v>328.57990000000007</v>
      </c>
      <c r="F55" s="10"/>
      <c r="G55" s="9">
        <f t="shared" si="0"/>
        <v>-0.55800000000000005</v>
      </c>
      <c r="H55" s="9">
        <f>IF(OR(Inputs!$F$6=TRUE,Inputs!$F$6="TRUE",Inputs!$F$6=1),(((SQRT(((Inputs!$I$6+(((A55)+1)/2)*(Inputs!$J$6-Inputs!$I$6)))^2+Inputs!$C$6^2+((Inputs!$H$6+Inputs!$L$6*(((Inputs!$I$6+(((A55)+1)/2)*(Inputs!$J$6-Inputs!$I$6)))/Inputs!$K$6)^2))^2))-((Inputs!$H$6+Inputs!$L$6*(((Inputs!$I$6+(((A55)+1)/2)*(Inputs!$J$6-Inputs!$I$6)))/Inputs!$K$6)^2)))*1000/Inputs!$C$12),NA())</f>
        <v>1218.9592318547825</v>
      </c>
      <c r="I55" s="9">
        <f>IF(OR(Inputs!$F$7=TRUE,Inputs!$F$7="TRUE",Inputs!$F$7=1),(((SQRT(((Inputs!$I$7+(((A55)+1)/2)*(Inputs!$J$7-Inputs!$I$7)))^2+Inputs!$C$6^2+((Inputs!$H$7+Inputs!$L$7*(((Inputs!$I$7+(((A55)+1)/2)*(Inputs!$J$7-Inputs!$I$7)))/Inputs!$K$7)^2))^2))-((Inputs!$H$7+Inputs!$L$7*(((Inputs!$I$7+(((A55)+1)/2)*(Inputs!$J$7-Inputs!$I$7)))/Inputs!$K$7)^2)))*1000/Inputs!$C$12),NA())</f>
        <v>67799.76582849666</v>
      </c>
      <c r="J55" s="9">
        <f>IF(OR(Inputs!$F$8=TRUE,Inputs!$F$8="TRUE",Inputs!$F$8=1),(((SQRT(((Inputs!$I$8+(((A55)+1)/2)*(Inputs!$J$8-Inputs!$I$8)))^2+Inputs!$C$6^2+((Inputs!$H$8+Inputs!$L$8*(((Inputs!$I$8+(((A55)+1)/2)*(Inputs!$J$8-Inputs!$I$8)))/Inputs!$K$8)^2))^2))-((Inputs!$H$8+Inputs!$L$8*(((Inputs!$I$8+(((A55)+1)/2)*(Inputs!$J$8-Inputs!$I$8)))/Inputs!$K$8)^2)))*1000/Inputs!$C$12),NA())</f>
        <v>125557.92409558372</v>
      </c>
      <c r="K55" s="9">
        <f>IF(OR(Inputs!$F$9=TRUE,Inputs!$F$9="TRUE",Inputs!$F$9=1),(((SQRT(((Inputs!$I$9+(((A55)+1)/2)*(Inputs!$J$9-Inputs!$I$9)))^2+Inputs!$C$6^2+((Inputs!$H$9+Inputs!$L$9*(((Inputs!$I$9+(((A55)+1)/2)*(Inputs!$J$9-Inputs!$I$9)))/Inputs!$K$9)^2))^2))-((Inputs!$H$9+Inputs!$L$9*(((Inputs!$I$9+(((A55)+1)/2)*(Inputs!$J$9-Inputs!$I$9)))/Inputs!$K$9)^2)))*1000/Inputs!$C$12),NA())</f>
        <v>127120.1540145812</v>
      </c>
      <c r="L55" s="10"/>
      <c r="M55" s="9">
        <f t="shared" si="1"/>
        <v>-0.55800000000000005</v>
      </c>
      <c r="N55" s="9">
        <f>IF(OR(Inputs!$F$6=TRUE,Inputs!$F$6="TRUE",Inputs!$F$6=1),(-2*((1000*((((Inputs!$I$6+(((A55)+1)/2)*(Inputs!$J$6-Inputs!$I$6)))*Inputs!$C$11+((Inputs!$H$6+Inputs!$L$6*(((Inputs!$I$6+(((A55)+1)/2)*(Inputs!$J$6-Inputs!$I$6)))/Inputs!$K$6)^2))*((2*Inputs!$L$6*((Inputs!$I$6+(((A55)+1)/2)*(Inputs!$J$6-Inputs!$I$6)))/(Inputs!$K$6^2)*Inputs!$C$11)))/(SQRT(((Inputs!$I$6+(((A55)+1)/2)*(Inputs!$J$6-Inputs!$I$6)))^2+Inputs!$C$6^2+((Inputs!$H$6+Inputs!$L$6*(((Inputs!$I$6+(((A55)+1)/2)*(Inputs!$J$6-Inputs!$I$6)))/Inputs!$K$6)^2))^2)))))/Inputs!$C$13),NA())</f>
        <v>251.18601931705444</v>
      </c>
      <c r="O55" s="9">
        <f>IF(OR(Inputs!$F$7=TRUE,Inputs!$F$7="TRUE",Inputs!$F$7=1),(-2*((1000*((((Inputs!$I$7+(((A55)+1)/2)*(Inputs!$J$7-Inputs!$I$7)))*Inputs!$C$11+((Inputs!$H$7+Inputs!$L$7*(((Inputs!$I$7+(((A55)+1)/2)*(Inputs!$J$7-Inputs!$I$7)))/Inputs!$K$7)^2))*((2*Inputs!$L$7*((Inputs!$I$7+(((A55)+1)/2)*(Inputs!$J$7-Inputs!$I$7)))/(Inputs!$K$7^2)*Inputs!$C$11)))/(SQRT(((Inputs!$I$7+(((A55)+1)/2)*(Inputs!$J$7-Inputs!$I$7)))^2+Inputs!$C$6^2+((Inputs!$H$7+Inputs!$L$7*(((Inputs!$I$7+(((A55)+1)/2)*(Inputs!$J$7-Inputs!$I$7)))/Inputs!$K$7)^2))^2)))))/Inputs!$C$13),NA())</f>
        <v>2225.2168930042126</v>
      </c>
      <c r="P55" s="9">
        <f>IF(OR(Inputs!$F$8=TRUE,Inputs!$F$8="TRUE",Inputs!$F$8=1),(-2*((1000*((((Inputs!$I$8+(((A55)+1)/2)*(Inputs!$J$8-Inputs!$I$8)))*Inputs!$C$11+((Inputs!$H$8+Inputs!$L$8*(((Inputs!$I$8+(((A55)+1)/2)*(Inputs!$J$8-Inputs!$I$8)))/Inputs!$K$8)^2))*((2*Inputs!$L$8*((Inputs!$I$8+(((A55)+1)/2)*(Inputs!$J$8-Inputs!$I$8)))/(Inputs!$K$8^2)*Inputs!$C$11)))/(SQRT(((Inputs!$I$8+(((A55)+1)/2)*(Inputs!$J$8-Inputs!$I$8)))^2+Inputs!$C$6^2+((Inputs!$H$8+Inputs!$L$8*(((Inputs!$I$8+(((A55)+1)/2)*(Inputs!$J$8-Inputs!$I$8)))/Inputs!$K$8)^2))^2)))))/Inputs!$C$13),NA())</f>
        <v>2570.4803574964621</v>
      </c>
      <c r="Q55" s="9">
        <f>IF(OR(Inputs!$F$9=TRUE,Inputs!$F$9="TRUE",Inputs!$F$9=1),(-2*((1000*((((Inputs!$I$9+(((A55)+1)/2)*(Inputs!$J$9-Inputs!$I$9)))*Inputs!$C$11+((Inputs!$H$9+Inputs!$L$9*(((Inputs!$I$9+(((A55)+1)/2)*(Inputs!$J$9-Inputs!$I$9)))/Inputs!$K$9)^2))*((2*Inputs!$L$9*((Inputs!$I$9+(((A55)+1)/2)*(Inputs!$J$9-Inputs!$I$9)))/(Inputs!$K$9^2)*Inputs!$C$11)))/(SQRT(((Inputs!$I$9+(((A55)+1)/2)*(Inputs!$J$9-Inputs!$I$9)))^2+Inputs!$C$6^2+((Inputs!$H$9+Inputs!$L$9*(((Inputs!$I$9+(((A55)+1)/2)*(Inputs!$J$9-Inputs!$I$9)))/Inputs!$K$9)^2))^2)))))/Inputs!$C$13),NA())</f>
        <v>2575.9860434940883</v>
      </c>
      <c r="R55" s="10"/>
      <c r="S55" s="9">
        <f t="shared" si="2"/>
        <v>-0.55800000000000005</v>
      </c>
      <c r="T55" s="9">
        <f>(Inputs!$I$6+(((A55)+1)/2)*(Inputs!$J$6-Inputs!$I$6))</f>
        <v>-33.480000000000004</v>
      </c>
      <c r="U55" s="9">
        <f>(Inputs!$I$7+(((A55)+1)/2)*(Inputs!$J$7-Inputs!$I$7))</f>
        <v>-223.20000000000002</v>
      </c>
      <c r="V55" s="9">
        <f>(Inputs!$I$8+(((A55)+1)/2)*(Inputs!$J$8-Inputs!$I$8))</f>
        <v>-446.40000000000003</v>
      </c>
      <c r="W55" s="9">
        <f>(Inputs!$I$9+(((A55)+1)/2)*(Inputs!$J$9-Inputs!$I$9))</f>
        <v>-446.40000000000003</v>
      </c>
      <c r="X55" s="10"/>
      <c r="Y55" s="9">
        <f t="shared" si="3"/>
        <v>-0.55800000000000005</v>
      </c>
      <c r="Z55" s="9">
        <f>(Inputs!$H$6+Inputs!$L$6*(((Inputs!$I$6+(((A55)+1)/2)*(Inputs!$J$6-Inputs!$I$6)))/Inputs!$K$6)^2)</f>
        <v>401.24545599999999</v>
      </c>
      <c r="AA55" s="9">
        <f>(Inputs!$H$7+Inputs!$L$7*(((Inputs!$I$7+(((A55)+1)/2)*(Inputs!$J$7-Inputs!$I$7)))/Inputs!$K$7)^2)</f>
        <v>148.64786000000004</v>
      </c>
      <c r="AB55" s="9">
        <f>(Inputs!$H$8+Inputs!$L$8*(((Inputs!$I$8+(((A55)+1)/2)*(Inputs!$J$8-Inputs!$I$8)))/Inputs!$K$8)^2)</f>
        <v>335.46626000000009</v>
      </c>
      <c r="AC55" s="9">
        <f>(Inputs!$H$9+Inputs!$L$9*(((Inputs!$I$9+(((A55)+1)/2)*(Inputs!$J$9-Inputs!$I$9)))/Inputs!$K$9)^2)</f>
        <v>328.57990000000007</v>
      </c>
      <c r="AD55" s="10"/>
      <c r="AE55" s="9">
        <f t="shared" si="4"/>
        <v>-0.55800000000000005</v>
      </c>
      <c r="AF55" s="9">
        <f>(((SQRT(((Inputs!$I$6+(((A55)+1)/2)*(Inputs!$J$6-Inputs!$I$6)))^2+Inputs!$C$6^2+((Inputs!$H$6+Inputs!$L$6*(((Inputs!$I$6+(((A55)+1)/2)*(Inputs!$J$6-Inputs!$I$6)))/Inputs!$K$6)^2))^2))-((Inputs!$H$6+Inputs!$L$6*(((Inputs!$I$6+(((A55)+1)/2)*(Inputs!$J$6-Inputs!$I$6)))/Inputs!$K$6)^2)))*1000/Inputs!$C$12)</f>
        <v>1218.9592318547825</v>
      </c>
      <c r="AG55" s="9">
        <f>(((SQRT(((Inputs!$I$7+(((A55)+1)/2)*(Inputs!$J$7-Inputs!$I$7)))^2+Inputs!$C$6^2+((Inputs!$H$7+Inputs!$L$7*(((Inputs!$I$7+(((A55)+1)/2)*(Inputs!$J$7-Inputs!$I$7)))/Inputs!$K$7)^2))^2))-((Inputs!$H$7+Inputs!$L$7*(((Inputs!$I$7+(((A55)+1)/2)*(Inputs!$J$7-Inputs!$I$7)))/Inputs!$K$7)^2)))*1000/Inputs!$C$12)</f>
        <v>67799.76582849666</v>
      </c>
      <c r="AH55" s="9">
        <f>(((SQRT(((Inputs!$I$8+(((A55)+1)/2)*(Inputs!$J$8-Inputs!$I$8)))^2+Inputs!$C$6^2+((Inputs!$H$8+Inputs!$L$8*(((Inputs!$I$8+(((A55)+1)/2)*(Inputs!$J$8-Inputs!$I$8)))/Inputs!$K$8)^2))^2))-((Inputs!$H$8+Inputs!$L$8*(((Inputs!$I$8+(((A55)+1)/2)*(Inputs!$J$8-Inputs!$I$8)))/Inputs!$K$8)^2)))*1000/Inputs!$C$12)</f>
        <v>125557.92409558372</v>
      </c>
      <c r="AI55" s="9">
        <f>(((SQRT(((Inputs!$I$9+(((A55)+1)/2)*(Inputs!$J$9-Inputs!$I$9)))^2+Inputs!$C$6^2+((Inputs!$H$9+Inputs!$L$9*(((Inputs!$I$9+(((A55)+1)/2)*(Inputs!$J$9-Inputs!$I$9)))/Inputs!$K$9)^2))^2))-((Inputs!$H$9+Inputs!$L$9*(((Inputs!$I$9+(((A55)+1)/2)*(Inputs!$J$9-Inputs!$I$9)))/Inputs!$K$9)^2)))*1000/Inputs!$C$12)</f>
        <v>127120.1540145812</v>
      </c>
      <c r="AJ55" s="10"/>
      <c r="AK55" s="9">
        <f t="shared" si="5"/>
        <v>-0.55800000000000005</v>
      </c>
      <c r="AL55" s="9">
        <f>(-2*((1000*((((Inputs!$I$6+(((A55)+1)/2)*(Inputs!$J$6-Inputs!$I$6)))*Inputs!$C$11+((Inputs!$H$6+Inputs!$L$6*(((Inputs!$I$6+(((A55)+1)/2)*(Inputs!$J$6-Inputs!$I$6)))/Inputs!$K$6)^2))*((2*Inputs!$L$6*((Inputs!$I$6+(((A55)+1)/2)*(Inputs!$J$6-Inputs!$I$6)))/(Inputs!$K$6^2)*Inputs!$C$11)))/(SQRT(((Inputs!$I$6+(((A55)+1)/2)*(Inputs!$J$6-Inputs!$I$6)))^2+Inputs!$C$6^2+((Inputs!$H$6+Inputs!$L$6*(((Inputs!$I$6+(((A55)+1)/2)*(Inputs!$J$6-Inputs!$I$6)))/Inputs!$K$6)^2))^2)))))/Inputs!$C$13)</f>
        <v>251.18601931705444</v>
      </c>
      <c r="AM55" s="9">
        <f>(-2*((1000*((((Inputs!$I$7+(((A55)+1)/2)*(Inputs!$J$7-Inputs!$I$7)))*Inputs!$C$11+((Inputs!$H$7+Inputs!$L$7*(((Inputs!$I$7+(((A55)+1)/2)*(Inputs!$J$7-Inputs!$I$7)))/Inputs!$K$7)^2))*((2*Inputs!$L$7*((Inputs!$I$7+(((A55)+1)/2)*(Inputs!$J$7-Inputs!$I$7)))/(Inputs!$K$7^2)*Inputs!$C$11)))/(SQRT(((Inputs!$I$7+(((A55)+1)/2)*(Inputs!$J$7-Inputs!$I$7)))^2+Inputs!$C$6^2+((Inputs!$H$7+Inputs!$L$7*(((Inputs!$I$7+(((A55)+1)/2)*(Inputs!$J$7-Inputs!$I$7)))/Inputs!$K$7)^2))^2)))))/Inputs!$C$13)</f>
        <v>2225.2168930042126</v>
      </c>
      <c r="AN55" s="9">
        <f>(-2*((1000*((((Inputs!$I$8+(((A55)+1)/2)*(Inputs!$J$8-Inputs!$I$8)))*Inputs!$C$11+((Inputs!$H$8+Inputs!$L$8*(((Inputs!$I$8+(((A55)+1)/2)*(Inputs!$J$8-Inputs!$I$8)))/Inputs!$K$8)^2))*((2*Inputs!$L$8*((Inputs!$I$8+(((A55)+1)/2)*(Inputs!$J$8-Inputs!$I$8)))/(Inputs!$K$8^2)*Inputs!$C$11)))/(SQRT(((Inputs!$I$8+(((A55)+1)/2)*(Inputs!$J$8-Inputs!$I$8)))^2+Inputs!$C$6^2+((Inputs!$H$8+Inputs!$L$8*(((Inputs!$I$8+(((A55)+1)/2)*(Inputs!$J$8-Inputs!$I$8)))/Inputs!$K$8)^2))^2)))))/Inputs!$C$13)</f>
        <v>2570.4803574964621</v>
      </c>
      <c r="AO55" s="9">
        <f>(-2*((1000*((((Inputs!$I$9+(((A55)+1)/2)*(Inputs!$J$9-Inputs!$I$9)))*Inputs!$C$11+((Inputs!$H$9+Inputs!$L$9*(((Inputs!$I$9+(((A55)+1)/2)*(Inputs!$J$9-Inputs!$I$9)))/Inputs!$K$9)^2))*((2*Inputs!$L$9*((Inputs!$I$9+(((A55)+1)/2)*(Inputs!$J$9-Inputs!$I$9)))/(Inputs!$K$9^2)*Inputs!$C$11)))/(SQRT(((Inputs!$I$9+(((A55)+1)/2)*(Inputs!$J$9-Inputs!$I$9)))^2+Inputs!$C$6^2+((Inputs!$H$9+Inputs!$L$9*(((Inputs!$I$9+(((A55)+1)/2)*(Inputs!$J$9-Inputs!$I$9)))/Inputs!$K$9)^2))^2)))))/Inputs!$C$13)</f>
        <v>2575.9860434940883</v>
      </c>
    </row>
    <row r="56" spans="1:41">
      <c r="A56" s="9">
        <f>ROUND(-1+54*2/240,3)</f>
        <v>-0.55000000000000004</v>
      </c>
      <c r="B56" s="9">
        <f>IF(OR(Inputs!$F$6=TRUE,Inputs!$F$6="TRUE",Inputs!$F$6=1),(Inputs!$H$6+Inputs!$L$6*(((Inputs!$I$6+(((A56)+1)/2)*(Inputs!$J$6-Inputs!$I$6)))/Inputs!$K$6)^2),NA())</f>
        <v>401.21</v>
      </c>
      <c r="C56" s="9">
        <f>IF(OR(Inputs!$F$7=TRUE,Inputs!$F$7="TRUE",Inputs!$F$7=1),(Inputs!$H$7+Inputs!$L$7*(((Inputs!$I$7+(((A56)+1)/2)*(Inputs!$J$7-Inputs!$I$7)))/Inputs!$K$7)^2),NA())</f>
        <v>145.41250000000002</v>
      </c>
      <c r="D56" s="9">
        <f>IF(OR(Inputs!$F$8=TRUE,Inputs!$F$8="TRUE",Inputs!$F$8=1),(Inputs!$H$8+Inputs!$L$8*(((Inputs!$I$8+(((A56)+1)/2)*(Inputs!$J$8-Inputs!$I$8)))/Inputs!$K$8)^2),NA())</f>
        <v>326.91250000000002</v>
      </c>
      <c r="E56" s="9">
        <f>IF(OR(Inputs!$F$9=TRUE,Inputs!$F$9="TRUE",Inputs!$F$9=1),(Inputs!$H$9+Inputs!$L$9*(((Inputs!$I$9+(((A56)+1)/2)*(Inputs!$J$9-Inputs!$I$9)))/Inputs!$K$9)^2),NA())</f>
        <v>319.93750000000006</v>
      </c>
      <c r="F56" s="10"/>
      <c r="G56" s="9">
        <f t="shared" si="0"/>
        <v>-0.55000000000000004</v>
      </c>
      <c r="H56" s="9">
        <f>IF(OR(Inputs!$F$6=TRUE,Inputs!$F$6="TRUE",Inputs!$F$6=1),(((SQRT(((Inputs!$I$6+(((A56)+1)/2)*(Inputs!$J$6-Inputs!$I$6)))^2+Inputs!$C$6^2+((Inputs!$H$6+Inputs!$L$6*(((Inputs!$I$6+(((A56)+1)/2)*(Inputs!$J$6-Inputs!$I$6)))/Inputs!$K$6)^2))^2))-((Inputs!$H$6+Inputs!$L$6*(((Inputs!$I$6+(((A56)+1)/2)*(Inputs!$J$6-Inputs!$I$6)))/Inputs!$K$6)^2)))*1000/Inputs!$C$12),NA())</f>
        <v>1196.8440626483268</v>
      </c>
      <c r="I56" s="9">
        <f>IF(OR(Inputs!$F$7=TRUE,Inputs!$F$7="TRUE",Inputs!$F$7=1),(((SQRT(((Inputs!$I$7+(((A56)+1)/2)*(Inputs!$J$7-Inputs!$I$7)))^2+Inputs!$C$6^2+((Inputs!$H$7+Inputs!$L$7*(((Inputs!$I$7+(((A56)+1)/2)*(Inputs!$J$7-Inputs!$I$7)))/Inputs!$K$7)^2))^2))-((Inputs!$H$7+Inputs!$L$7*(((Inputs!$I$7+(((A56)+1)/2)*(Inputs!$J$7-Inputs!$I$7)))/Inputs!$K$7)^2)))*1000/Inputs!$C$12),NA())</f>
        <v>67125.460358978933</v>
      </c>
      <c r="J56" s="9">
        <f>IF(OR(Inputs!$F$8=TRUE,Inputs!$F$8="TRUE",Inputs!$F$8=1),(((SQRT(((Inputs!$I$8+(((A56)+1)/2)*(Inputs!$J$8-Inputs!$I$8)))^2+Inputs!$C$6^2+((Inputs!$H$8+Inputs!$L$8*(((Inputs!$I$8+(((A56)+1)/2)*(Inputs!$J$8-Inputs!$I$8)))/Inputs!$K$8)^2))^2))-((Inputs!$H$8+Inputs!$L$8*(((Inputs!$I$8+(((A56)+1)/2)*(Inputs!$J$8-Inputs!$I$8)))/Inputs!$K$8)^2)))*1000/Inputs!$C$12),NA())</f>
        <v>124612.56464894471</v>
      </c>
      <c r="K56" s="9">
        <f>IF(OR(Inputs!$F$9=TRUE,Inputs!$F$9="TRUE",Inputs!$F$9=1),(((SQRT(((Inputs!$I$9+(((A56)+1)/2)*(Inputs!$J$9-Inputs!$I$9)))^2+Inputs!$C$6^2+((Inputs!$H$9+Inputs!$L$9*(((Inputs!$I$9+(((A56)+1)/2)*(Inputs!$J$9-Inputs!$I$9)))/Inputs!$K$9)^2))^2))-((Inputs!$H$9+Inputs!$L$9*(((Inputs!$I$9+(((A56)+1)/2)*(Inputs!$J$9-Inputs!$I$9)))/Inputs!$K$9)^2)))*1000/Inputs!$C$12),NA())</f>
        <v>126212.74396407328</v>
      </c>
      <c r="L56" s="10"/>
      <c r="M56" s="9">
        <f t="shared" si="1"/>
        <v>-0.55000000000000004</v>
      </c>
      <c r="N56" s="9">
        <f>IF(OR(Inputs!$F$6=TRUE,Inputs!$F$6="TRUE",Inputs!$F$6=1),(-2*((1000*((((Inputs!$I$6+(((A56)+1)/2)*(Inputs!$J$6-Inputs!$I$6)))*Inputs!$C$11+((Inputs!$H$6+Inputs!$L$6*(((Inputs!$I$6+(((A56)+1)/2)*(Inputs!$J$6-Inputs!$I$6)))/Inputs!$K$6)^2))*((2*Inputs!$L$6*((Inputs!$I$6+(((A56)+1)/2)*(Inputs!$J$6-Inputs!$I$6)))/(Inputs!$K$6^2)*Inputs!$C$11)))/(SQRT(((Inputs!$I$6+(((A56)+1)/2)*(Inputs!$J$6-Inputs!$I$6)))^2+Inputs!$C$6^2+((Inputs!$H$6+Inputs!$L$6*(((Inputs!$I$6+(((A56)+1)/2)*(Inputs!$J$6-Inputs!$I$6)))/Inputs!$K$6)^2))^2)))))/Inputs!$C$13),NA())</f>
        <v>247.62039958551682</v>
      </c>
      <c r="O56" s="9">
        <f>IF(OR(Inputs!$F$7=TRUE,Inputs!$F$7="TRUE",Inputs!$F$7=1),(-2*((1000*((((Inputs!$I$7+(((A56)+1)/2)*(Inputs!$J$7-Inputs!$I$7)))*Inputs!$C$11+((Inputs!$H$7+Inputs!$L$7*(((Inputs!$I$7+(((A56)+1)/2)*(Inputs!$J$7-Inputs!$I$7)))/Inputs!$K$7)^2))*((2*Inputs!$L$7*((Inputs!$I$7+(((A56)+1)/2)*(Inputs!$J$7-Inputs!$I$7)))/(Inputs!$K$7^2)*Inputs!$C$11)))/(SQRT(((Inputs!$I$7+(((A56)+1)/2)*(Inputs!$J$7-Inputs!$I$7)))^2+Inputs!$C$6^2+((Inputs!$H$7+Inputs!$L$7*(((Inputs!$I$7+(((A56)+1)/2)*(Inputs!$J$7-Inputs!$I$7)))/Inputs!$K$7)^2))^2)))))/Inputs!$C$13),NA())</f>
        <v>2210.4255032793171</v>
      </c>
      <c r="P56" s="9">
        <f>IF(OR(Inputs!$F$8=TRUE,Inputs!$F$8="TRUE",Inputs!$F$8=1),(-2*((1000*((((Inputs!$I$8+(((A56)+1)/2)*(Inputs!$J$8-Inputs!$I$8)))*Inputs!$C$11+((Inputs!$H$8+Inputs!$L$8*(((Inputs!$I$8+(((A56)+1)/2)*(Inputs!$J$8-Inputs!$I$8)))/Inputs!$K$8)^2))*((2*Inputs!$L$8*((Inputs!$I$8+(((A56)+1)/2)*(Inputs!$J$8-Inputs!$I$8)))/(Inputs!$K$8^2)*Inputs!$C$11)))/(SQRT(((Inputs!$I$8+(((A56)+1)/2)*(Inputs!$J$8-Inputs!$I$8)))^2+Inputs!$C$6^2+((Inputs!$H$8+Inputs!$L$8*(((Inputs!$I$8+(((A56)+1)/2)*(Inputs!$J$8-Inputs!$I$8)))/Inputs!$K$8)^2))^2)))))/Inputs!$C$13),NA())</f>
        <v>2547.7983996686662</v>
      </c>
      <c r="Q56" s="9">
        <f>IF(OR(Inputs!$F$9=TRUE,Inputs!$F$9="TRUE",Inputs!$F$9=1),(-2*((1000*((((Inputs!$I$9+(((A56)+1)/2)*(Inputs!$J$9-Inputs!$I$9)))*Inputs!$C$11+((Inputs!$H$9+Inputs!$L$9*(((Inputs!$I$9+(((A56)+1)/2)*(Inputs!$J$9-Inputs!$I$9)))/Inputs!$K$9)^2))*((2*Inputs!$L$9*((Inputs!$I$9+(((A56)+1)/2)*(Inputs!$J$9-Inputs!$I$9)))/(Inputs!$K$9^2)*Inputs!$C$11)))/(SQRT(((Inputs!$I$9+(((A56)+1)/2)*(Inputs!$J$9-Inputs!$I$9)))^2+Inputs!$C$6^2+((Inputs!$H$9+Inputs!$L$9*(((Inputs!$I$9+(((A56)+1)/2)*(Inputs!$J$9-Inputs!$I$9)))/Inputs!$K$9)^2))^2)))))/Inputs!$C$13),NA())</f>
        <v>2552.838190372529</v>
      </c>
      <c r="R56" s="10"/>
      <c r="S56" s="9">
        <f t="shared" si="2"/>
        <v>-0.55000000000000004</v>
      </c>
      <c r="T56" s="9">
        <f>(Inputs!$I$6+(((A56)+1)/2)*(Inputs!$J$6-Inputs!$I$6))</f>
        <v>-33</v>
      </c>
      <c r="U56" s="9">
        <f>(Inputs!$I$7+(((A56)+1)/2)*(Inputs!$J$7-Inputs!$I$7))</f>
        <v>-220.00000000000003</v>
      </c>
      <c r="V56" s="9">
        <f>(Inputs!$I$8+(((A56)+1)/2)*(Inputs!$J$8-Inputs!$I$8))</f>
        <v>-440.00000000000006</v>
      </c>
      <c r="W56" s="9">
        <f>(Inputs!$I$9+(((A56)+1)/2)*(Inputs!$J$9-Inputs!$I$9))</f>
        <v>-440.00000000000006</v>
      </c>
      <c r="X56" s="10"/>
      <c r="Y56" s="9">
        <f t="shared" si="3"/>
        <v>-0.55000000000000004</v>
      </c>
      <c r="Z56" s="9">
        <f>(Inputs!$H$6+Inputs!$L$6*(((Inputs!$I$6+(((A56)+1)/2)*(Inputs!$J$6-Inputs!$I$6)))/Inputs!$K$6)^2)</f>
        <v>401.21</v>
      </c>
      <c r="AA56" s="9">
        <f>(Inputs!$H$7+Inputs!$L$7*(((Inputs!$I$7+(((A56)+1)/2)*(Inputs!$J$7-Inputs!$I$7)))/Inputs!$K$7)^2)</f>
        <v>145.41250000000002</v>
      </c>
      <c r="AB56" s="9">
        <f>(Inputs!$H$8+Inputs!$L$8*(((Inputs!$I$8+(((A56)+1)/2)*(Inputs!$J$8-Inputs!$I$8)))/Inputs!$K$8)^2)</f>
        <v>326.91250000000002</v>
      </c>
      <c r="AC56" s="9">
        <f>(Inputs!$H$9+Inputs!$L$9*(((Inputs!$I$9+(((A56)+1)/2)*(Inputs!$J$9-Inputs!$I$9)))/Inputs!$K$9)^2)</f>
        <v>319.93750000000006</v>
      </c>
      <c r="AD56" s="10"/>
      <c r="AE56" s="9">
        <f t="shared" si="4"/>
        <v>-0.55000000000000004</v>
      </c>
      <c r="AF56" s="9">
        <f>(((SQRT(((Inputs!$I$6+(((A56)+1)/2)*(Inputs!$J$6-Inputs!$I$6)))^2+Inputs!$C$6^2+((Inputs!$H$6+Inputs!$L$6*(((Inputs!$I$6+(((A56)+1)/2)*(Inputs!$J$6-Inputs!$I$6)))/Inputs!$K$6)^2))^2))-((Inputs!$H$6+Inputs!$L$6*(((Inputs!$I$6+(((A56)+1)/2)*(Inputs!$J$6-Inputs!$I$6)))/Inputs!$K$6)^2)))*1000/Inputs!$C$12)</f>
        <v>1196.8440626483268</v>
      </c>
      <c r="AG56" s="9">
        <f>(((SQRT(((Inputs!$I$7+(((A56)+1)/2)*(Inputs!$J$7-Inputs!$I$7)))^2+Inputs!$C$6^2+((Inputs!$H$7+Inputs!$L$7*(((Inputs!$I$7+(((A56)+1)/2)*(Inputs!$J$7-Inputs!$I$7)))/Inputs!$K$7)^2))^2))-((Inputs!$H$7+Inputs!$L$7*(((Inputs!$I$7+(((A56)+1)/2)*(Inputs!$J$7-Inputs!$I$7)))/Inputs!$K$7)^2)))*1000/Inputs!$C$12)</f>
        <v>67125.460358978933</v>
      </c>
      <c r="AH56" s="9">
        <f>(((SQRT(((Inputs!$I$8+(((A56)+1)/2)*(Inputs!$J$8-Inputs!$I$8)))^2+Inputs!$C$6^2+((Inputs!$H$8+Inputs!$L$8*(((Inputs!$I$8+(((A56)+1)/2)*(Inputs!$J$8-Inputs!$I$8)))/Inputs!$K$8)^2))^2))-((Inputs!$H$8+Inputs!$L$8*(((Inputs!$I$8+(((A56)+1)/2)*(Inputs!$J$8-Inputs!$I$8)))/Inputs!$K$8)^2)))*1000/Inputs!$C$12)</f>
        <v>124612.56464894471</v>
      </c>
      <c r="AI56" s="9">
        <f>(((SQRT(((Inputs!$I$9+(((A56)+1)/2)*(Inputs!$J$9-Inputs!$I$9)))^2+Inputs!$C$6^2+((Inputs!$H$9+Inputs!$L$9*(((Inputs!$I$9+(((A56)+1)/2)*(Inputs!$J$9-Inputs!$I$9)))/Inputs!$K$9)^2))^2))-((Inputs!$H$9+Inputs!$L$9*(((Inputs!$I$9+(((A56)+1)/2)*(Inputs!$J$9-Inputs!$I$9)))/Inputs!$K$9)^2)))*1000/Inputs!$C$12)</f>
        <v>126212.74396407328</v>
      </c>
      <c r="AJ56" s="10"/>
      <c r="AK56" s="9">
        <f t="shared" si="5"/>
        <v>-0.55000000000000004</v>
      </c>
      <c r="AL56" s="9">
        <f>(-2*((1000*((((Inputs!$I$6+(((A56)+1)/2)*(Inputs!$J$6-Inputs!$I$6)))*Inputs!$C$11+((Inputs!$H$6+Inputs!$L$6*(((Inputs!$I$6+(((A56)+1)/2)*(Inputs!$J$6-Inputs!$I$6)))/Inputs!$K$6)^2))*((2*Inputs!$L$6*((Inputs!$I$6+(((A56)+1)/2)*(Inputs!$J$6-Inputs!$I$6)))/(Inputs!$K$6^2)*Inputs!$C$11)))/(SQRT(((Inputs!$I$6+(((A56)+1)/2)*(Inputs!$J$6-Inputs!$I$6)))^2+Inputs!$C$6^2+((Inputs!$H$6+Inputs!$L$6*(((Inputs!$I$6+(((A56)+1)/2)*(Inputs!$J$6-Inputs!$I$6)))/Inputs!$K$6)^2))^2)))))/Inputs!$C$13)</f>
        <v>247.62039958551682</v>
      </c>
      <c r="AM56" s="9">
        <f>(-2*((1000*((((Inputs!$I$7+(((A56)+1)/2)*(Inputs!$J$7-Inputs!$I$7)))*Inputs!$C$11+((Inputs!$H$7+Inputs!$L$7*(((Inputs!$I$7+(((A56)+1)/2)*(Inputs!$J$7-Inputs!$I$7)))/Inputs!$K$7)^2))*((2*Inputs!$L$7*((Inputs!$I$7+(((A56)+1)/2)*(Inputs!$J$7-Inputs!$I$7)))/(Inputs!$K$7^2)*Inputs!$C$11)))/(SQRT(((Inputs!$I$7+(((A56)+1)/2)*(Inputs!$J$7-Inputs!$I$7)))^2+Inputs!$C$6^2+((Inputs!$H$7+Inputs!$L$7*(((Inputs!$I$7+(((A56)+1)/2)*(Inputs!$J$7-Inputs!$I$7)))/Inputs!$K$7)^2))^2)))))/Inputs!$C$13)</f>
        <v>2210.4255032793171</v>
      </c>
      <c r="AN56" s="9">
        <f>(-2*((1000*((((Inputs!$I$8+(((A56)+1)/2)*(Inputs!$J$8-Inputs!$I$8)))*Inputs!$C$11+((Inputs!$H$8+Inputs!$L$8*(((Inputs!$I$8+(((A56)+1)/2)*(Inputs!$J$8-Inputs!$I$8)))/Inputs!$K$8)^2))*((2*Inputs!$L$8*((Inputs!$I$8+(((A56)+1)/2)*(Inputs!$J$8-Inputs!$I$8)))/(Inputs!$K$8^2)*Inputs!$C$11)))/(SQRT(((Inputs!$I$8+(((A56)+1)/2)*(Inputs!$J$8-Inputs!$I$8)))^2+Inputs!$C$6^2+((Inputs!$H$8+Inputs!$L$8*(((Inputs!$I$8+(((A56)+1)/2)*(Inputs!$J$8-Inputs!$I$8)))/Inputs!$K$8)^2))^2)))))/Inputs!$C$13)</f>
        <v>2547.7983996686662</v>
      </c>
      <c r="AO56" s="9">
        <f>(-2*((1000*((((Inputs!$I$9+(((A56)+1)/2)*(Inputs!$J$9-Inputs!$I$9)))*Inputs!$C$11+((Inputs!$H$9+Inputs!$L$9*(((Inputs!$I$9+(((A56)+1)/2)*(Inputs!$J$9-Inputs!$I$9)))/Inputs!$K$9)^2))*((2*Inputs!$L$9*((Inputs!$I$9+(((A56)+1)/2)*(Inputs!$J$9-Inputs!$I$9)))/(Inputs!$K$9^2)*Inputs!$C$11)))/(SQRT(((Inputs!$I$9+(((A56)+1)/2)*(Inputs!$J$9-Inputs!$I$9)))^2+Inputs!$C$6^2+((Inputs!$H$9+Inputs!$L$9*(((Inputs!$I$9+(((A56)+1)/2)*(Inputs!$J$9-Inputs!$I$9)))/Inputs!$K$9)^2))^2)))))/Inputs!$C$13)</f>
        <v>2552.838190372529</v>
      </c>
    </row>
    <row r="57" spans="1:41">
      <c r="A57" s="9">
        <f>ROUND(-1+55*2/240,3)</f>
        <v>-0.54200000000000004</v>
      </c>
      <c r="B57" s="9">
        <f>IF(OR(Inputs!$F$6=TRUE,Inputs!$F$6="TRUE",Inputs!$F$6=1),(Inputs!$H$6+Inputs!$L$6*(((Inputs!$I$6+(((A57)+1)/2)*(Inputs!$J$6-Inputs!$I$6)))/Inputs!$K$6)^2),NA())</f>
        <v>401.17505599999998</v>
      </c>
      <c r="C57" s="9">
        <f>IF(OR(Inputs!$F$7=TRUE,Inputs!$F$7="TRUE",Inputs!$F$7=1),(Inputs!$H$7+Inputs!$L$7*(((Inputs!$I$7+(((A57)+1)/2)*(Inputs!$J$7-Inputs!$I$7)))/Inputs!$K$7)^2),NA())</f>
        <v>142.22386</v>
      </c>
      <c r="D57" s="9">
        <f>IF(OR(Inputs!$F$8=TRUE,Inputs!$F$8="TRUE",Inputs!$F$8=1),(Inputs!$H$8+Inputs!$L$8*(((Inputs!$I$8+(((A57)+1)/2)*(Inputs!$J$8-Inputs!$I$8)))/Inputs!$K$8)^2),NA())</f>
        <v>318.48226</v>
      </c>
      <c r="E57" s="9">
        <f>IF(OR(Inputs!$F$9=TRUE,Inputs!$F$9="TRUE",Inputs!$F$9=1),(Inputs!$H$9+Inputs!$L$9*(((Inputs!$I$9+(((A57)+1)/2)*(Inputs!$J$9-Inputs!$I$9)))/Inputs!$K$9)^2),NA())</f>
        <v>311.41990000000004</v>
      </c>
      <c r="F57" s="10"/>
      <c r="G57" s="9">
        <f t="shared" si="0"/>
        <v>-0.54200000000000004</v>
      </c>
      <c r="H57" s="9">
        <f>IF(OR(Inputs!$F$6=TRUE,Inputs!$F$6="TRUE",Inputs!$F$6=1),(((SQRT(((Inputs!$I$6+(((A57)+1)/2)*(Inputs!$J$6-Inputs!$I$6)))^2+Inputs!$C$6^2+((Inputs!$H$6+Inputs!$L$6*(((Inputs!$I$6+(((A57)+1)/2)*(Inputs!$J$6-Inputs!$I$6)))/Inputs!$K$6)^2))^2))-((Inputs!$H$6+Inputs!$L$6*(((Inputs!$I$6+(((A57)+1)/2)*(Inputs!$J$6-Inputs!$I$6)))/Inputs!$K$6)^2)))*1000/Inputs!$C$12),NA())</f>
        <v>1175.0423288320967</v>
      </c>
      <c r="I57" s="9">
        <f>IF(OR(Inputs!$F$7=TRUE,Inputs!$F$7="TRUE",Inputs!$F$7=1),(((SQRT(((Inputs!$I$7+(((A57)+1)/2)*(Inputs!$J$7-Inputs!$I$7)))^2+Inputs!$C$6^2+((Inputs!$H$7+Inputs!$L$7*(((Inputs!$I$7+(((A57)+1)/2)*(Inputs!$J$7-Inputs!$I$7)))/Inputs!$K$7)^2))^2))-((Inputs!$H$7+Inputs!$L$7*(((Inputs!$I$7+(((A57)+1)/2)*(Inputs!$J$7-Inputs!$I$7)))/Inputs!$K$7)^2)))*1000/Inputs!$C$12),NA())</f>
        <v>66441.464325862529</v>
      </c>
      <c r="J57" s="9">
        <f>IF(OR(Inputs!$F$8=TRUE,Inputs!$F$8="TRUE",Inputs!$F$8=1),(((SQRT(((Inputs!$I$8+(((A57)+1)/2)*(Inputs!$J$8-Inputs!$I$8)))^2+Inputs!$C$6^2+((Inputs!$H$8+Inputs!$L$8*(((Inputs!$I$8+(((A57)+1)/2)*(Inputs!$J$8-Inputs!$I$8)))/Inputs!$K$8)^2))^2))-((Inputs!$H$8+Inputs!$L$8*(((Inputs!$I$8+(((A57)+1)/2)*(Inputs!$J$8-Inputs!$I$8)))/Inputs!$K$8)^2)))*1000/Inputs!$C$12),NA())</f>
        <v>123648.58691170765</v>
      </c>
      <c r="K57" s="9">
        <f>IF(OR(Inputs!$F$9=TRUE,Inputs!$F$9="TRUE",Inputs!$F$9=1),(((SQRT(((Inputs!$I$9+(((A57)+1)/2)*(Inputs!$J$9-Inputs!$I$9)))^2+Inputs!$C$6^2+((Inputs!$H$9+Inputs!$L$9*(((Inputs!$I$9+(((A57)+1)/2)*(Inputs!$J$9-Inputs!$I$9)))/Inputs!$K$9)^2))^2))-((Inputs!$H$9+Inputs!$L$9*(((Inputs!$I$9+(((A57)+1)/2)*(Inputs!$J$9-Inputs!$I$9)))/Inputs!$K$9)^2)))*1000/Inputs!$C$12),NA())</f>
        <v>125287.04040938598</v>
      </c>
      <c r="L57" s="10"/>
      <c r="M57" s="9">
        <f t="shared" si="1"/>
        <v>-0.54200000000000004</v>
      </c>
      <c r="N57" s="9">
        <f>IF(OR(Inputs!$F$6=TRUE,Inputs!$F$6="TRUE",Inputs!$F$6=1),(-2*((1000*((((Inputs!$I$6+(((A57)+1)/2)*(Inputs!$J$6-Inputs!$I$6)))*Inputs!$C$11+((Inputs!$H$6+Inputs!$L$6*(((Inputs!$I$6+(((A57)+1)/2)*(Inputs!$J$6-Inputs!$I$6)))/Inputs!$K$6)^2))*((2*Inputs!$L$6*((Inputs!$I$6+(((A57)+1)/2)*(Inputs!$J$6-Inputs!$I$6)))/(Inputs!$K$6^2)*Inputs!$C$11)))/(SQRT(((Inputs!$I$6+(((A57)+1)/2)*(Inputs!$J$6-Inputs!$I$6)))^2+Inputs!$C$6^2+((Inputs!$H$6+Inputs!$L$6*(((Inputs!$I$6+(((A57)+1)/2)*(Inputs!$J$6-Inputs!$I$6)))/Inputs!$K$6)^2))^2)))))/Inputs!$C$13),NA())</f>
        <v>244.05325614659301</v>
      </c>
      <c r="O57" s="9">
        <f>IF(OR(Inputs!$F$7=TRUE,Inputs!$F$7="TRUE",Inputs!$F$7=1),(-2*((1000*((((Inputs!$I$7+(((A57)+1)/2)*(Inputs!$J$7-Inputs!$I$7)))*Inputs!$C$11+((Inputs!$H$7+Inputs!$L$7*(((Inputs!$I$7+(((A57)+1)/2)*(Inputs!$J$7-Inputs!$I$7)))/Inputs!$K$7)^2))*((2*Inputs!$L$7*((Inputs!$I$7+(((A57)+1)/2)*(Inputs!$J$7-Inputs!$I$7)))/(Inputs!$K$7^2)*Inputs!$C$11)))/(SQRT(((Inputs!$I$7+(((A57)+1)/2)*(Inputs!$J$7-Inputs!$I$7)))^2+Inputs!$C$6^2+((Inputs!$H$7+Inputs!$L$7*(((Inputs!$I$7+(((A57)+1)/2)*(Inputs!$J$7-Inputs!$I$7)))/Inputs!$K$7)^2))^2)))))/Inputs!$C$13),NA())</f>
        <v>2195.7461018528443</v>
      </c>
      <c r="P57" s="9">
        <f>IF(OR(Inputs!$F$8=TRUE,Inputs!$F$8="TRUE",Inputs!$F$8=1),(-2*((1000*((((Inputs!$I$8+(((A57)+1)/2)*(Inputs!$J$8-Inputs!$I$8)))*Inputs!$C$11+((Inputs!$H$8+Inputs!$L$8*(((Inputs!$I$8+(((A57)+1)/2)*(Inputs!$J$8-Inputs!$I$8)))/Inputs!$K$8)^2))*((2*Inputs!$L$8*((Inputs!$I$8+(((A57)+1)/2)*(Inputs!$J$8-Inputs!$I$8)))/(Inputs!$K$8^2)*Inputs!$C$11)))/(SQRT(((Inputs!$I$8+(((A57)+1)/2)*(Inputs!$J$8-Inputs!$I$8)))^2+Inputs!$C$6^2+((Inputs!$H$8+Inputs!$L$8*(((Inputs!$I$8+(((A57)+1)/2)*(Inputs!$J$8-Inputs!$I$8)))/Inputs!$K$8)^2))^2)))))/Inputs!$C$13),NA())</f>
        <v>2525.2911849018224</v>
      </c>
      <c r="Q57" s="9">
        <f>IF(OR(Inputs!$F$9=TRUE,Inputs!$F$9="TRUE",Inputs!$F$9=1),(-2*((1000*((((Inputs!$I$9+(((A57)+1)/2)*(Inputs!$J$9-Inputs!$I$9)))*Inputs!$C$11+((Inputs!$H$9+Inputs!$L$9*(((Inputs!$I$9+(((A57)+1)/2)*(Inputs!$J$9-Inputs!$I$9)))/Inputs!$K$9)^2))*((2*Inputs!$L$9*((Inputs!$I$9+(((A57)+1)/2)*(Inputs!$J$9-Inputs!$I$9)))/(Inputs!$K$9^2)*Inputs!$C$11)))/(SQRT(((Inputs!$I$9+(((A57)+1)/2)*(Inputs!$J$9-Inputs!$I$9)))^2+Inputs!$C$6^2+((Inputs!$H$9+Inputs!$L$9*(((Inputs!$I$9+(((A57)+1)/2)*(Inputs!$J$9-Inputs!$I$9)))/Inputs!$K$9)^2))^2)))))/Inputs!$C$13),NA())</f>
        <v>2529.8678591214994</v>
      </c>
      <c r="R57" s="10"/>
      <c r="S57" s="9">
        <f t="shared" si="2"/>
        <v>-0.54200000000000004</v>
      </c>
      <c r="T57" s="9">
        <f>(Inputs!$I$6+(((A57)+1)/2)*(Inputs!$J$6-Inputs!$I$6))</f>
        <v>-32.520000000000003</v>
      </c>
      <c r="U57" s="9">
        <f>(Inputs!$I$7+(((A57)+1)/2)*(Inputs!$J$7-Inputs!$I$7))</f>
        <v>-216.8</v>
      </c>
      <c r="V57" s="9">
        <f>(Inputs!$I$8+(((A57)+1)/2)*(Inputs!$J$8-Inputs!$I$8))</f>
        <v>-433.6</v>
      </c>
      <c r="W57" s="9">
        <f>(Inputs!$I$9+(((A57)+1)/2)*(Inputs!$J$9-Inputs!$I$9))</f>
        <v>-433.6</v>
      </c>
      <c r="X57" s="10"/>
      <c r="Y57" s="9">
        <f t="shared" si="3"/>
        <v>-0.54200000000000004</v>
      </c>
      <c r="Z57" s="9">
        <f>(Inputs!$H$6+Inputs!$L$6*(((Inputs!$I$6+(((A57)+1)/2)*(Inputs!$J$6-Inputs!$I$6)))/Inputs!$K$6)^2)</f>
        <v>401.17505599999998</v>
      </c>
      <c r="AA57" s="9">
        <f>(Inputs!$H$7+Inputs!$L$7*(((Inputs!$I$7+(((A57)+1)/2)*(Inputs!$J$7-Inputs!$I$7)))/Inputs!$K$7)^2)</f>
        <v>142.22386</v>
      </c>
      <c r="AB57" s="9">
        <f>(Inputs!$H$8+Inputs!$L$8*(((Inputs!$I$8+(((A57)+1)/2)*(Inputs!$J$8-Inputs!$I$8)))/Inputs!$K$8)^2)</f>
        <v>318.48226</v>
      </c>
      <c r="AC57" s="9">
        <f>(Inputs!$H$9+Inputs!$L$9*(((Inputs!$I$9+(((A57)+1)/2)*(Inputs!$J$9-Inputs!$I$9)))/Inputs!$K$9)^2)</f>
        <v>311.41990000000004</v>
      </c>
      <c r="AD57" s="10"/>
      <c r="AE57" s="9">
        <f t="shared" si="4"/>
        <v>-0.54200000000000004</v>
      </c>
      <c r="AF57" s="9">
        <f>(((SQRT(((Inputs!$I$6+(((A57)+1)/2)*(Inputs!$J$6-Inputs!$I$6)))^2+Inputs!$C$6^2+((Inputs!$H$6+Inputs!$L$6*(((Inputs!$I$6+(((A57)+1)/2)*(Inputs!$J$6-Inputs!$I$6)))/Inputs!$K$6)^2))^2))-((Inputs!$H$6+Inputs!$L$6*(((Inputs!$I$6+(((A57)+1)/2)*(Inputs!$J$6-Inputs!$I$6)))/Inputs!$K$6)^2)))*1000/Inputs!$C$12)</f>
        <v>1175.0423288320967</v>
      </c>
      <c r="AG57" s="9">
        <f>(((SQRT(((Inputs!$I$7+(((A57)+1)/2)*(Inputs!$J$7-Inputs!$I$7)))^2+Inputs!$C$6^2+((Inputs!$H$7+Inputs!$L$7*(((Inputs!$I$7+(((A57)+1)/2)*(Inputs!$J$7-Inputs!$I$7)))/Inputs!$K$7)^2))^2))-((Inputs!$H$7+Inputs!$L$7*(((Inputs!$I$7+(((A57)+1)/2)*(Inputs!$J$7-Inputs!$I$7)))/Inputs!$K$7)^2)))*1000/Inputs!$C$12)</f>
        <v>66441.464325862529</v>
      </c>
      <c r="AH57" s="9">
        <f>(((SQRT(((Inputs!$I$8+(((A57)+1)/2)*(Inputs!$J$8-Inputs!$I$8)))^2+Inputs!$C$6^2+((Inputs!$H$8+Inputs!$L$8*(((Inputs!$I$8+(((A57)+1)/2)*(Inputs!$J$8-Inputs!$I$8)))/Inputs!$K$8)^2))^2))-((Inputs!$H$8+Inputs!$L$8*(((Inputs!$I$8+(((A57)+1)/2)*(Inputs!$J$8-Inputs!$I$8)))/Inputs!$K$8)^2)))*1000/Inputs!$C$12)</f>
        <v>123648.58691170765</v>
      </c>
      <c r="AI57" s="9">
        <f>(((SQRT(((Inputs!$I$9+(((A57)+1)/2)*(Inputs!$J$9-Inputs!$I$9)))^2+Inputs!$C$6^2+((Inputs!$H$9+Inputs!$L$9*(((Inputs!$I$9+(((A57)+1)/2)*(Inputs!$J$9-Inputs!$I$9)))/Inputs!$K$9)^2))^2))-((Inputs!$H$9+Inputs!$L$9*(((Inputs!$I$9+(((A57)+1)/2)*(Inputs!$J$9-Inputs!$I$9)))/Inputs!$K$9)^2)))*1000/Inputs!$C$12)</f>
        <v>125287.04040938598</v>
      </c>
      <c r="AJ57" s="10"/>
      <c r="AK57" s="9">
        <f t="shared" si="5"/>
        <v>-0.54200000000000004</v>
      </c>
      <c r="AL57" s="9">
        <f>(-2*((1000*((((Inputs!$I$6+(((A57)+1)/2)*(Inputs!$J$6-Inputs!$I$6)))*Inputs!$C$11+((Inputs!$H$6+Inputs!$L$6*(((Inputs!$I$6+(((A57)+1)/2)*(Inputs!$J$6-Inputs!$I$6)))/Inputs!$K$6)^2))*((2*Inputs!$L$6*((Inputs!$I$6+(((A57)+1)/2)*(Inputs!$J$6-Inputs!$I$6)))/(Inputs!$K$6^2)*Inputs!$C$11)))/(SQRT(((Inputs!$I$6+(((A57)+1)/2)*(Inputs!$J$6-Inputs!$I$6)))^2+Inputs!$C$6^2+((Inputs!$H$6+Inputs!$L$6*(((Inputs!$I$6+(((A57)+1)/2)*(Inputs!$J$6-Inputs!$I$6)))/Inputs!$K$6)^2))^2)))))/Inputs!$C$13)</f>
        <v>244.05325614659301</v>
      </c>
      <c r="AM57" s="9">
        <f>(-2*((1000*((((Inputs!$I$7+(((A57)+1)/2)*(Inputs!$J$7-Inputs!$I$7)))*Inputs!$C$11+((Inputs!$H$7+Inputs!$L$7*(((Inputs!$I$7+(((A57)+1)/2)*(Inputs!$J$7-Inputs!$I$7)))/Inputs!$K$7)^2))*((2*Inputs!$L$7*((Inputs!$I$7+(((A57)+1)/2)*(Inputs!$J$7-Inputs!$I$7)))/(Inputs!$K$7^2)*Inputs!$C$11)))/(SQRT(((Inputs!$I$7+(((A57)+1)/2)*(Inputs!$J$7-Inputs!$I$7)))^2+Inputs!$C$6^2+((Inputs!$H$7+Inputs!$L$7*(((Inputs!$I$7+(((A57)+1)/2)*(Inputs!$J$7-Inputs!$I$7)))/Inputs!$K$7)^2))^2)))))/Inputs!$C$13)</f>
        <v>2195.7461018528443</v>
      </c>
      <c r="AN57" s="9">
        <f>(-2*((1000*((((Inputs!$I$8+(((A57)+1)/2)*(Inputs!$J$8-Inputs!$I$8)))*Inputs!$C$11+((Inputs!$H$8+Inputs!$L$8*(((Inputs!$I$8+(((A57)+1)/2)*(Inputs!$J$8-Inputs!$I$8)))/Inputs!$K$8)^2))*((2*Inputs!$L$8*((Inputs!$I$8+(((A57)+1)/2)*(Inputs!$J$8-Inputs!$I$8)))/(Inputs!$K$8^2)*Inputs!$C$11)))/(SQRT(((Inputs!$I$8+(((A57)+1)/2)*(Inputs!$J$8-Inputs!$I$8)))^2+Inputs!$C$6^2+((Inputs!$H$8+Inputs!$L$8*(((Inputs!$I$8+(((A57)+1)/2)*(Inputs!$J$8-Inputs!$I$8)))/Inputs!$K$8)^2))^2)))))/Inputs!$C$13)</f>
        <v>2525.2911849018224</v>
      </c>
      <c r="AO57" s="9">
        <f>(-2*((1000*((((Inputs!$I$9+(((A57)+1)/2)*(Inputs!$J$9-Inputs!$I$9)))*Inputs!$C$11+((Inputs!$H$9+Inputs!$L$9*(((Inputs!$I$9+(((A57)+1)/2)*(Inputs!$J$9-Inputs!$I$9)))/Inputs!$K$9)^2))*((2*Inputs!$L$9*((Inputs!$I$9+(((A57)+1)/2)*(Inputs!$J$9-Inputs!$I$9)))/(Inputs!$K$9^2)*Inputs!$C$11)))/(SQRT(((Inputs!$I$9+(((A57)+1)/2)*(Inputs!$J$9-Inputs!$I$9)))^2+Inputs!$C$6^2+((Inputs!$H$9+Inputs!$L$9*(((Inputs!$I$9+(((A57)+1)/2)*(Inputs!$J$9-Inputs!$I$9)))/Inputs!$K$9)^2))^2)))))/Inputs!$C$13)</f>
        <v>2529.8678591214994</v>
      </c>
    </row>
    <row r="58" spans="1:41">
      <c r="A58" s="9">
        <f>ROUND(-1+56*2/240,3)</f>
        <v>-0.53300000000000003</v>
      </c>
      <c r="B58" s="9">
        <f>IF(OR(Inputs!$F$6=TRUE,Inputs!$F$6="TRUE",Inputs!$F$6=1),(Inputs!$H$6+Inputs!$L$6*(((Inputs!$I$6+(((A58)+1)/2)*(Inputs!$J$6-Inputs!$I$6)))/Inputs!$K$6)^2),NA())</f>
        <v>401.13635599999998</v>
      </c>
      <c r="C58" s="9">
        <f>IF(OR(Inputs!$F$7=TRUE,Inputs!$F$7="TRUE",Inputs!$F$7=1),(Inputs!$H$7+Inputs!$L$7*(((Inputs!$I$7+(((A58)+1)/2)*(Inputs!$J$7-Inputs!$I$7)))/Inputs!$K$7)^2),NA())</f>
        <v>138.69248500000003</v>
      </c>
      <c r="D58" s="9">
        <f>IF(OR(Inputs!$F$8=TRUE,Inputs!$F$8="TRUE",Inputs!$F$8=1),(Inputs!$H$8+Inputs!$L$8*(((Inputs!$I$8+(((A58)+1)/2)*(Inputs!$J$8-Inputs!$I$8)))/Inputs!$K$8)^2),NA())</f>
        <v>309.14588500000002</v>
      </c>
      <c r="E58" s="9">
        <f>IF(OR(Inputs!$F$9=TRUE,Inputs!$F$9="TRUE",Inputs!$F$9=1),(Inputs!$H$9+Inputs!$L$9*(((Inputs!$I$9+(((A58)+1)/2)*(Inputs!$J$9-Inputs!$I$9)))/Inputs!$K$9)^2),NA())</f>
        <v>301.98677500000002</v>
      </c>
      <c r="F58" s="10"/>
      <c r="G58" s="9">
        <f t="shared" si="0"/>
        <v>-0.53300000000000003</v>
      </c>
      <c r="H58" s="9">
        <f>IF(OR(Inputs!$F$6=TRUE,Inputs!$F$6="TRUE",Inputs!$F$6=1),(((SQRT(((Inputs!$I$6+(((A58)+1)/2)*(Inputs!$J$6-Inputs!$I$6)))^2+Inputs!$C$6^2+((Inputs!$H$6+Inputs!$L$6*(((Inputs!$I$6+(((A58)+1)/2)*(Inputs!$J$6-Inputs!$I$6)))/Inputs!$K$6)^2))^2))-((Inputs!$H$6+Inputs!$L$6*(((Inputs!$I$6+(((A58)+1)/2)*(Inputs!$J$6-Inputs!$I$6)))/Inputs!$K$6)^2)))*1000/Inputs!$C$12),NA())</f>
        <v>1150.8903489637885</v>
      </c>
      <c r="I58" s="9">
        <f>IF(OR(Inputs!$F$7=TRUE,Inputs!$F$7="TRUE",Inputs!$F$7=1),(((SQRT(((Inputs!$I$7+(((A58)+1)/2)*(Inputs!$J$7-Inputs!$I$7)))^2+Inputs!$C$6^2+((Inputs!$H$7+Inputs!$L$7*(((Inputs!$I$7+(((A58)+1)/2)*(Inputs!$J$7-Inputs!$I$7)))/Inputs!$K$7)^2))^2))-((Inputs!$H$7+Inputs!$L$7*(((Inputs!$I$7+(((A58)+1)/2)*(Inputs!$J$7-Inputs!$I$7)))/Inputs!$K$7)^2)))*1000/Inputs!$C$12),NA())</f>
        <v>65660.228872902939</v>
      </c>
      <c r="J58" s="9">
        <f>IF(OR(Inputs!$F$8=TRUE,Inputs!$F$8="TRUE",Inputs!$F$8=1),(((SQRT(((Inputs!$I$8+(((A58)+1)/2)*(Inputs!$J$8-Inputs!$I$8)))^2+Inputs!$C$6^2+((Inputs!$H$8+Inputs!$L$8*(((Inputs!$I$8+(((A58)+1)/2)*(Inputs!$J$8-Inputs!$I$8)))/Inputs!$K$8)^2))^2))-((Inputs!$H$8+Inputs!$L$8*(((Inputs!$I$8+(((A58)+1)/2)*(Inputs!$J$8-Inputs!$I$8)))/Inputs!$K$8)^2)))*1000/Inputs!$C$12),NA())</f>
        <v>122541.36344463685</v>
      </c>
      <c r="K58" s="9">
        <f>IF(OR(Inputs!$F$9=TRUE,Inputs!$F$9="TRUE",Inputs!$F$9=1),(((SQRT(((Inputs!$I$9+(((A58)+1)/2)*(Inputs!$J$9-Inputs!$I$9)))^2+Inputs!$C$6^2+((Inputs!$H$9+Inputs!$L$9*(((Inputs!$I$9+(((A58)+1)/2)*(Inputs!$J$9-Inputs!$I$9)))/Inputs!$K$9)^2))^2))-((Inputs!$H$9+Inputs!$L$9*(((Inputs!$I$9+(((A58)+1)/2)*(Inputs!$J$9-Inputs!$I$9)))/Inputs!$K$9)^2)))*1000/Inputs!$C$12),NA())</f>
        <v>124223.25540506945</v>
      </c>
      <c r="L58" s="10"/>
      <c r="M58" s="9">
        <f t="shared" si="1"/>
        <v>-0.53300000000000003</v>
      </c>
      <c r="N58" s="9">
        <f>IF(OR(Inputs!$F$6=TRUE,Inputs!$F$6="TRUE",Inputs!$F$6=1),(-2*((1000*((((Inputs!$I$6+(((A58)+1)/2)*(Inputs!$J$6-Inputs!$I$6)))*Inputs!$C$11+((Inputs!$H$6+Inputs!$L$6*(((Inputs!$I$6+(((A58)+1)/2)*(Inputs!$J$6-Inputs!$I$6)))/Inputs!$K$6)^2))*((2*Inputs!$L$6*((Inputs!$I$6+(((A58)+1)/2)*(Inputs!$J$6-Inputs!$I$6)))/(Inputs!$K$6^2)*Inputs!$C$11)))/(SQRT(((Inputs!$I$6+(((A58)+1)/2)*(Inputs!$J$6-Inputs!$I$6)))^2+Inputs!$C$6^2+((Inputs!$H$6+Inputs!$L$6*(((Inputs!$I$6+(((A58)+1)/2)*(Inputs!$J$6-Inputs!$I$6)))/Inputs!$K$6)^2))^2)))))/Inputs!$C$13),NA())</f>
        <v>240.03842435797438</v>
      </c>
      <c r="O58" s="9">
        <f>IF(OR(Inputs!$F$7=TRUE,Inputs!$F$7="TRUE",Inputs!$F$7=1),(-2*((1000*((((Inputs!$I$7+(((A58)+1)/2)*(Inputs!$J$7-Inputs!$I$7)))*Inputs!$C$11+((Inputs!$H$7+Inputs!$L$7*(((Inputs!$I$7+(((A58)+1)/2)*(Inputs!$J$7-Inputs!$I$7)))/Inputs!$K$7)^2))*((2*Inputs!$L$7*((Inputs!$I$7+(((A58)+1)/2)*(Inputs!$J$7-Inputs!$I$7)))/(Inputs!$K$7^2)*Inputs!$C$11)))/(SQRT(((Inputs!$I$7+(((A58)+1)/2)*(Inputs!$J$7-Inputs!$I$7)))^2+Inputs!$C$6^2+((Inputs!$H$7+Inputs!$L$7*(((Inputs!$I$7+(((A58)+1)/2)*(Inputs!$J$7-Inputs!$I$7)))/Inputs!$K$7)^2))^2)))))/Inputs!$C$13),NA())</f>
        <v>2179.3655948359751</v>
      </c>
      <c r="P58" s="9">
        <f>IF(OR(Inputs!$F$8=TRUE,Inputs!$F$8="TRUE",Inputs!$F$8=1),(-2*((1000*((((Inputs!$I$8+(((A58)+1)/2)*(Inputs!$J$8-Inputs!$I$8)))*Inputs!$C$11+((Inputs!$H$8+Inputs!$L$8*(((Inputs!$I$8+(((A58)+1)/2)*(Inputs!$J$8-Inputs!$I$8)))/Inputs!$K$8)^2))*((2*Inputs!$L$8*((Inputs!$I$8+(((A58)+1)/2)*(Inputs!$J$8-Inputs!$I$8)))/(Inputs!$K$8^2)*Inputs!$C$11)))/(SQRT(((Inputs!$I$8+(((A58)+1)/2)*(Inputs!$J$8-Inputs!$I$8)))^2+Inputs!$C$6^2+((Inputs!$H$8+Inputs!$L$8*(((Inputs!$I$8+(((A58)+1)/2)*(Inputs!$J$8-Inputs!$I$8)))/Inputs!$K$8)^2))^2)))))/Inputs!$C$13),NA())</f>
        <v>2500.1835513916053</v>
      </c>
      <c r="Q58" s="9">
        <f>IF(OR(Inputs!$F$9=TRUE,Inputs!$F$9="TRUE",Inputs!$F$9=1),(-2*((1000*((((Inputs!$I$9+(((A58)+1)/2)*(Inputs!$J$9-Inputs!$I$9)))*Inputs!$C$11+((Inputs!$H$9+Inputs!$L$9*(((Inputs!$I$9+(((A58)+1)/2)*(Inputs!$J$9-Inputs!$I$9)))/Inputs!$K$9)^2))*((2*Inputs!$L$9*((Inputs!$I$9+(((A58)+1)/2)*(Inputs!$J$9-Inputs!$I$9)))/(Inputs!$K$9^2)*Inputs!$C$11)))/(SQRT(((Inputs!$I$9+(((A58)+1)/2)*(Inputs!$J$9-Inputs!$I$9)))^2+Inputs!$C$6^2+((Inputs!$H$9+Inputs!$L$9*(((Inputs!$I$9+(((A58)+1)/2)*(Inputs!$J$9-Inputs!$I$9)))/Inputs!$K$9)^2))^2)))))/Inputs!$C$13),NA())</f>
        <v>2504.2429123467873</v>
      </c>
      <c r="R58" s="10"/>
      <c r="S58" s="9">
        <f t="shared" si="2"/>
        <v>-0.53300000000000003</v>
      </c>
      <c r="T58" s="9">
        <f>(Inputs!$I$6+(((A58)+1)/2)*(Inputs!$J$6-Inputs!$I$6))</f>
        <v>-31.98</v>
      </c>
      <c r="U58" s="9">
        <f>(Inputs!$I$7+(((A58)+1)/2)*(Inputs!$J$7-Inputs!$I$7))</f>
        <v>-213.20000000000002</v>
      </c>
      <c r="V58" s="9">
        <f>(Inputs!$I$8+(((A58)+1)/2)*(Inputs!$J$8-Inputs!$I$8))</f>
        <v>-426.40000000000003</v>
      </c>
      <c r="W58" s="9">
        <f>(Inputs!$I$9+(((A58)+1)/2)*(Inputs!$J$9-Inputs!$I$9))</f>
        <v>-426.40000000000003</v>
      </c>
      <c r="X58" s="10"/>
      <c r="Y58" s="9">
        <f t="shared" si="3"/>
        <v>-0.53300000000000003</v>
      </c>
      <c r="Z58" s="9">
        <f>(Inputs!$H$6+Inputs!$L$6*(((Inputs!$I$6+(((A58)+1)/2)*(Inputs!$J$6-Inputs!$I$6)))/Inputs!$K$6)^2)</f>
        <v>401.13635599999998</v>
      </c>
      <c r="AA58" s="9">
        <f>(Inputs!$H$7+Inputs!$L$7*(((Inputs!$I$7+(((A58)+1)/2)*(Inputs!$J$7-Inputs!$I$7)))/Inputs!$K$7)^2)</f>
        <v>138.69248500000003</v>
      </c>
      <c r="AB58" s="9">
        <f>(Inputs!$H$8+Inputs!$L$8*(((Inputs!$I$8+(((A58)+1)/2)*(Inputs!$J$8-Inputs!$I$8)))/Inputs!$K$8)^2)</f>
        <v>309.14588500000002</v>
      </c>
      <c r="AC58" s="9">
        <f>(Inputs!$H$9+Inputs!$L$9*(((Inputs!$I$9+(((A58)+1)/2)*(Inputs!$J$9-Inputs!$I$9)))/Inputs!$K$9)^2)</f>
        <v>301.98677500000002</v>
      </c>
      <c r="AD58" s="10"/>
      <c r="AE58" s="9">
        <f t="shared" si="4"/>
        <v>-0.53300000000000003</v>
      </c>
      <c r="AF58" s="9">
        <f>(((SQRT(((Inputs!$I$6+(((A58)+1)/2)*(Inputs!$J$6-Inputs!$I$6)))^2+Inputs!$C$6^2+((Inputs!$H$6+Inputs!$L$6*(((Inputs!$I$6+(((A58)+1)/2)*(Inputs!$J$6-Inputs!$I$6)))/Inputs!$K$6)^2))^2))-((Inputs!$H$6+Inputs!$L$6*(((Inputs!$I$6+(((A58)+1)/2)*(Inputs!$J$6-Inputs!$I$6)))/Inputs!$K$6)^2)))*1000/Inputs!$C$12)</f>
        <v>1150.8903489637885</v>
      </c>
      <c r="AG58" s="9">
        <f>(((SQRT(((Inputs!$I$7+(((A58)+1)/2)*(Inputs!$J$7-Inputs!$I$7)))^2+Inputs!$C$6^2+((Inputs!$H$7+Inputs!$L$7*(((Inputs!$I$7+(((A58)+1)/2)*(Inputs!$J$7-Inputs!$I$7)))/Inputs!$K$7)^2))^2))-((Inputs!$H$7+Inputs!$L$7*(((Inputs!$I$7+(((A58)+1)/2)*(Inputs!$J$7-Inputs!$I$7)))/Inputs!$K$7)^2)))*1000/Inputs!$C$12)</f>
        <v>65660.228872902939</v>
      </c>
      <c r="AH58" s="9">
        <f>(((SQRT(((Inputs!$I$8+(((A58)+1)/2)*(Inputs!$J$8-Inputs!$I$8)))^2+Inputs!$C$6^2+((Inputs!$H$8+Inputs!$L$8*(((Inputs!$I$8+(((A58)+1)/2)*(Inputs!$J$8-Inputs!$I$8)))/Inputs!$K$8)^2))^2))-((Inputs!$H$8+Inputs!$L$8*(((Inputs!$I$8+(((A58)+1)/2)*(Inputs!$J$8-Inputs!$I$8)))/Inputs!$K$8)^2)))*1000/Inputs!$C$12)</f>
        <v>122541.36344463685</v>
      </c>
      <c r="AI58" s="9">
        <f>(((SQRT(((Inputs!$I$9+(((A58)+1)/2)*(Inputs!$J$9-Inputs!$I$9)))^2+Inputs!$C$6^2+((Inputs!$H$9+Inputs!$L$9*(((Inputs!$I$9+(((A58)+1)/2)*(Inputs!$J$9-Inputs!$I$9)))/Inputs!$K$9)^2))^2))-((Inputs!$H$9+Inputs!$L$9*(((Inputs!$I$9+(((A58)+1)/2)*(Inputs!$J$9-Inputs!$I$9)))/Inputs!$K$9)^2)))*1000/Inputs!$C$12)</f>
        <v>124223.25540506945</v>
      </c>
      <c r="AJ58" s="10"/>
      <c r="AK58" s="9">
        <f t="shared" si="5"/>
        <v>-0.53300000000000003</v>
      </c>
      <c r="AL58" s="9">
        <f>(-2*((1000*((((Inputs!$I$6+(((A58)+1)/2)*(Inputs!$J$6-Inputs!$I$6)))*Inputs!$C$11+((Inputs!$H$6+Inputs!$L$6*(((Inputs!$I$6+(((A58)+1)/2)*(Inputs!$J$6-Inputs!$I$6)))/Inputs!$K$6)^2))*((2*Inputs!$L$6*((Inputs!$I$6+(((A58)+1)/2)*(Inputs!$J$6-Inputs!$I$6)))/(Inputs!$K$6^2)*Inputs!$C$11)))/(SQRT(((Inputs!$I$6+(((A58)+1)/2)*(Inputs!$J$6-Inputs!$I$6)))^2+Inputs!$C$6^2+((Inputs!$H$6+Inputs!$L$6*(((Inputs!$I$6+(((A58)+1)/2)*(Inputs!$J$6-Inputs!$I$6)))/Inputs!$K$6)^2))^2)))))/Inputs!$C$13)</f>
        <v>240.03842435797438</v>
      </c>
      <c r="AM58" s="9">
        <f>(-2*((1000*((((Inputs!$I$7+(((A58)+1)/2)*(Inputs!$J$7-Inputs!$I$7)))*Inputs!$C$11+((Inputs!$H$7+Inputs!$L$7*(((Inputs!$I$7+(((A58)+1)/2)*(Inputs!$J$7-Inputs!$I$7)))/Inputs!$K$7)^2))*((2*Inputs!$L$7*((Inputs!$I$7+(((A58)+1)/2)*(Inputs!$J$7-Inputs!$I$7)))/(Inputs!$K$7^2)*Inputs!$C$11)))/(SQRT(((Inputs!$I$7+(((A58)+1)/2)*(Inputs!$J$7-Inputs!$I$7)))^2+Inputs!$C$6^2+((Inputs!$H$7+Inputs!$L$7*(((Inputs!$I$7+(((A58)+1)/2)*(Inputs!$J$7-Inputs!$I$7)))/Inputs!$K$7)^2))^2)))))/Inputs!$C$13)</f>
        <v>2179.3655948359751</v>
      </c>
      <c r="AN58" s="9">
        <f>(-2*((1000*((((Inputs!$I$8+(((A58)+1)/2)*(Inputs!$J$8-Inputs!$I$8)))*Inputs!$C$11+((Inputs!$H$8+Inputs!$L$8*(((Inputs!$I$8+(((A58)+1)/2)*(Inputs!$J$8-Inputs!$I$8)))/Inputs!$K$8)^2))*((2*Inputs!$L$8*((Inputs!$I$8+(((A58)+1)/2)*(Inputs!$J$8-Inputs!$I$8)))/(Inputs!$K$8^2)*Inputs!$C$11)))/(SQRT(((Inputs!$I$8+(((A58)+1)/2)*(Inputs!$J$8-Inputs!$I$8)))^2+Inputs!$C$6^2+((Inputs!$H$8+Inputs!$L$8*(((Inputs!$I$8+(((A58)+1)/2)*(Inputs!$J$8-Inputs!$I$8)))/Inputs!$K$8)^2))^2)))))/Inputs!$C$13)</f>
        <v>2500.1835513916053</v>
      </c>
      <c r="AO58" s="9">
        <f>(-2*((1000*((((Inputs!$I$9+(((A58)+1)/2)*(Inputs!$J$9-Inputs!$I$9)))*Inputs!$C$11+((Inputs!$H$9+Inputs!$L$9*(((Inputs!$I$9+(((A58)+1)/2)*(Inputs!$J$9-Inputs!$I$9)))/Inputs!$K$9)^2))*((2*Inputs!$L$9*((Inputs!$I$9+(((A58)+1)/2)*(Inputs!$J$9-Inputs!$I$9)))/(Inputs!$K$9^2)*Inputs!$C$11)))/(SQRT(((Inputs!$I$9+(((A58)+1)/2)*(Inputs!$J$9-Inputs!$I$9)))^2+Inputs!$C$6^2+((Inputs!$H$9+Inputs!$L$9*(((Inputs!$I$9+(((A58)+1)/2)*(Inputs!$J$9-Inputs!$I$9)))/Inputs!$K$9)^2))^2)))))/Inputs!$C$13)</f>
        <v>2504.2429123467873</v>
      </c>
    </row>
    <row r="59" spans="1:41">
      <c r="A59" s="9">
        <f>ROUND(-1+57*2/240,3)</f>
        <v>-0.52500000000000002</v>
      </c>
      <c r="B59" s="9">
        <f>IF(OR(Inputs!$F$6=TRUE,Inputs!$F$6="TRUE",Inputs!$F$6=1),(Inputs!$H$6+Inputs!$L$6*(((Inputs!$I$6+(((A59)+1)/2)*(Inputs!$J$6-Inputs!$I$6)))/Inputs!$K$6)^2),NA())</f>
        <v>401.10250000000002</v>
      </c>
      <c r="C59" s="9">
        <f>IF(OR(Inputs!$F$7=TRUE,Inputs!$F$7="TRUE",Inputs!$F$7=1),(Inputs!$H$7+Inputs!$L$7*(((Inputs!$I$7+(((A59)+1)/2)*(Inputs!$J$7-Inputs!$I$7)))/Inputs!$K$7)^2),NA())</f>
        <v>135.60312500000001</v>
      </c>
      <c r="D59" s="9">
        <f>IF(OR(Inputs!$F$8=TRUE,Inputs!$F$8="TRUE",Inputs!$F$8=1),(Inputs!$H$8+Inputs!$L$8*(((Inputs!$I$8+(((A59)+1)/2)*(Inputs!$J$8-Inputs!$I$8)))/Inputs!$K$8)^2),NA())</f>
        <v>300.97812500000003</v>
      </c>
      <c r="E59" s="9">
        <f>IF(OR(Inputs!$F$9=TRUE,Inputs!$F$9="TRUE",Inputs!$F$9=1),(Inputs!$H$9+Inputs!$L$9*(((Inputs!$I$9+(((A59)+1)/2)*(Inputs!$J$9-Inputs!$I$9)))/Inputs!$K$9)^2),NA())</f>
        <v>293.734375</v>
      </c>
      <c r="F59" s="10"/>
      <c r="G59" s="9">
        <f t="shared" si="0"/>
        <v>-0.52500000000000002</v>
      </c>
      <c r="H59" s="9">
        <f>IF(OR(Inputs!$F$6=TRUE,Inputs!$F$6="TRUE",Inputs!$F$6=1),(((SQRT(((Inputs!$I$6+(((A59)+1)/2)*(Inputs!$J$6-Inputs!$I$6)))^2+Inputs!$C$6^2+((Inputs!$H$6+Inputs!$L$6*(((Inputs!$I$6+(((A59)+1)/2)*(Inputs!$J$6-Inputs!$I$6)))/Inputs!$K$6)^2))^2))-((Inputs!$H$6+Inputs!$L$6*(((Inputs!$I$6+(((A59)+1)/2)*(Inputs!$J$6-Inputs!$I$6)))/Inputs!$K$6)^2)))*1000/Inputs!$C$12),NA())</f>
        <v>1129.7555078402418</v>
      </c>
      <c r="I59" s="9">
        <f>IF(OR(Inputs!$F$7=TRUE,Inputs!$F$7="TRUE",Inputs!$F$7=1),(((SQRT(((Inputs!$I$7+(((A59)+1)/2)*(Inputs!$J$7-Inputs!$I$7)))^2+Inputs!$C$6^2+((Inputs!$H$7+Inputs!$L$7*(((Inputs!$I$7+(((A59)+1)/2)*(Inputs!$J$7-Inputs!$I$7)))/Inputs!$K$7)^2))^2))-((Inputs!$H$7+Inputs!$L$7*(((Inputs!$I$7+(((A59)+1)/2)*(Inputs!$J$7-Inputs!$I$7)))/Inputs!$K$7)^2)))*1000/Inputs!$C$12),NA())</f>
        <v>64955.222752360576</v>
      </c>
      <c r="J59" s="9">
        <f>IF(OR(Inputs!$F$8=TRUE,Inputs!$F$8="TRUE",Inputs!$F$8=1),(((SQRT(((Inputs!$I$8+(((A59)+1)/2)*(Inputs!$J$8-Inputs!$I$8)))^2+Inputs!$C$6^2+((Inputs!$H$8+Inputs!$L$8*(((Inputs!$I$8+(((A59)+1)/2)*(Inputs!$J$8-Inputs!$I$8)))/Inputs!$K$8)^2))^2))-((Inputs!$H$8+Inputs!$L$8*(((Inputs!$I$8+(((A59)+1)/2)*(Inputs!$J$8-Inputs!$I$8)))/Inputs!$K$8)^2)))*1000/Inputs!$C$12),NA())</f>
        <v>121536.49645425682</v>
      </c>
      <c r="K59" s="9">
        <f>IF(OR(Inputs!$F$9=TRUE,Inputs!$F$9="TRUE",Inputs!$F$9=1),(((SQRT(((Inputs!$I$9+(((A59)+1)/2)*(Inputs!$J$9-Inputs!$I$9)))^2+Inputs!$C$6^2+((Inputs!$H$9+Inputs!$L$9*(((Inputs!$I$9+(((A59)+1)/2)*(Inputs!$J$9-Inputs!$I$9)))/Inputs!$K$9)^2))^2))-((Inputs!$H$9+Inputs!$L$9*(((Inputs!$I$9+(((A59)+1)/2)*(Inputs!$J$9-Inputs!$I$9)))/Inputs!$K$9)^2)))*1000/Inputs!$C$12),NA())</f>
        <v>123257.33007584426</v>
      </c>
      <c r="L59" s="10"/>
      <c r="M59" s="9">
        <f t="shared" si="1"/>
        <v>-0.52500000000000002</v>
      </c>
      <c r="N59" s="9">
        <f>IF(OR(Inputs!$F$6=TRUE,Inputs!$F$6="TRUE",Inputs!$F$6=1),(-2*((1000*((((Inputs!$I$6+(((A59)+1)/2)*(Inputs!$J$6-Inputs!$I$6)))*Inputs!$C$11+((Inputs!$H$6+Inputs!$L$6*(((Inputs!$I$6+(((A59)+1)/2)*(Inputs!$J$6-Inputs!$I$6)))/Inputs!$K$6)^2))*((2*Inputs!$L$6*((Inputs!$I$6+(((A59)+1)/2)*(Inputs!$J$6-Inputs!$I$6)))/(Inputs!$K$6^2)*Inputs!$C$11)))/(SQRT(((Inputs!$I$6+(((A59)+1)/2)*(Inputs!$J$6-Inputs!$I$6)))^2+Inputs!$C$6^2+((Inputs!$H$6+Inputs!$L$6*(((Inputs!$I$6+(((A59)+1)/2)*(Inputs!$J$6-Inputs!$I$6)))/Inputs!$K$6)^2))^2)))))/Inputs!$C$13),NA())</f>
        <v>236.46811213899355</v>
      </c>
      <c r="O59" s="9">
        <f>IF(OR(Inputs!$F$7=TRUE,Inputs!$F$7="TRUE",Inputs!$F$7=1),(-2*((1000*((((Inputs!$I$7+(((A59)+1)/2)*(Inputs!$J$7-Inputs!$I$7)))*Inputs!$C$11+((Inputs!$H$7+Inputs!$L$7*(((Inputs!$I$7+(((A59)+1)/2)*(Inputs!$J$7-Inputs!$I$7)))/Inputs!$K$7)^2))*((2*Inputs!$L$7*((Inputs!$I$7+(((A59)+1)/2)*(Inputs!$J$7-Inputs!$I$7)))/(Inputs!$K$7^2)*Inputs!$C$11)))/(SQRT(((Inputs!$I$7+(((A59)+1)/2)*(Inputs!$J$7-Inputs!$I$7)))^2+Inputs!$C$6^2+((Inputs!$H$7+Inputs!$L$7*(((Inputs!$I$7+(((A59)+1)/2)*(Inputs!$J$7-Inputs!$I$7)))/Inputs!$K$7)^2))^2)))))/Inputs!$C$13),NA())</f>
        <v>2164.9239047033993</v>
      </c>
      <c r="P59" s="9">
        <f>IF(OR(Inputs!$F$8=TRUE,Inputs!$F$8="TRUE",Inputs!$F$8=1),(-2*((1000*((((Inputs!$I$8+(((A59)+1)/2)*(Inputs!$J$8-Inputs!$I$8)))*Inputs!$C$11+((Inputs!$H$8+Inputs!$L$8*(((Inputs!$I$8+(((A59)+1)/2)*(Inputs!$J$8-Inputs!$I$8)))/Inputs!$K$8)^2))*((2*Inputs!$L$8*((Inputs!$I$8+(((A59)+1)/2)*(Inputs!$J$8-Inputs!$I$8)))/(Inputs!$K$8^2)*Inputs!$C$11)))/(SQRT(((Inputs!$I$8+(((A59)+1)/2)*(Inputs!$J$8-Inputs!$I$8)))^2+Inputs!$C$6^2+((Inputs!$H$8+Inputs!$L$8*(((Inputs!$I$8+(((A59)+1)/2)*(Inputs!$J$8-Inputs!$I$8)))/Inputs!$K$8)^2))^2)))))/Inputs!$C$13),NA())</f>
        <v>2478.058642518175</v>
      </c>
      <c r="Q59" s="9">
        <f>IF(OR(Inputs!$F$9=TRUE,Inputs!$F$9="TRUE",Inputs!$F$9=1),(-2*((1000*((((Inputs!$I$9+(((A59)+1)/2)*(Inputs!$J$9-Inputs!$I$9)))*Inputs!$C$11+((Inputs!$H$9+Inputs!$L$9*(((Inputs!$I$9+(((A59)+1)/2)*(Inputs!$J$9-Inputs!$I$9)))/Inputs!$K$9)^2))*((2*Inputs!$L$9*((Inputs!$I$9+(((A59)+1)/2)*(Inputs!$J$9-Inputs!$I$9)))/(Inputs!$K$9^2)*Inputs!$C$11)))/(SQRT(((Inputs!$I$9+(((A59)+1)/2)*(Inputs!$J$9-Inputs!$I$9)))^2+Inputs!$C$6^2+((Inputs!$H$9+Inputs!$L$9*(((Inputs!$I$9+(((A59)+1)/2)*(Inputs!$J$9-Inputs!$I$9)))/Inputs!$K$9)^2))^2)))))/Inputs!$C$13),NA())</f>
        <v>2481.661802856815</v>
      </c>
      <c r="R59" s="10"/>
      <c r="S59" s="9">
        <f t="shared" si="2"/>
        <v>-0.52500000000000002</v>
      </c>
      <c r="T59" s="9">
        <f>(Inputs!$I$6+(((A59)+1)/2)*(Inputs!$J$6-Inputs!$I$6))</f>
        <v>-31.5</v>
      </c>
      <c r="U59" s="9">
        <f>(Inputs!$I$7+(((A59)+1)/2)*(Inputs!$J$7-Inputs!$I$7))</f>
        <v>-210</v>
      </c>
      <c r="V59" s="9">
        <f>(Inputs!$I$8+(((A59)+1)/2)*(Inputs!$J$8-Inputs!$I$8))</f>
        <v>-420</v>
      </c>
      <c r="W59" s="9">
        <f>(Inputs!$I$9+(((A59)+1)/2)*(Inputs!$J$9-Inputs!$I$9))</f>
        <v>-420</v>
      </c>
      <c r="X59" s="10"/>
      <c r="Y59" s="9">
        <f t="shared" si="3"/>
        <v>-0.52500000000000002</v>
      </c>
      <c r="Z59" s="9">
        <f>(Inputs!$H$6+Inputs!$L$6*(((Inputs!$I$6+(((A59)+1)/2)*(Inputs!$J$6-Inputs!$I$6)))/Inputs!$K$6)^2)</f>
        <v>401.10250000000002</v>
      </c>
      <c r="AA59" s="9">
        <f>(Inputs!$H$7+Inputs!$L$7*(((Inputs!$I$7+(((A59)+1)/2)*(Inputs!$J$7-Inputs!$I$7)))/Inputs!$K$7)^2)</f>
        <v>135.60312500000001</v>
      </c>
      <c r="AB59" s="9">
        <f>(Inputs!$H$8+Inputs!$L$8*(((Inputs!$I$8+(((A59)+1)/2)*(Inputs!$J$8-Inputs!$I$8)))/Inputs!$K$8)^2)</f>
        <v>300.97812500000003</v>
      </c>
      <c r="AC59" s="9">
        <f>(Inputs!$H$9+Inputs!$L$9*(((Inputs!$I$9+(((A59)+1)/2)*(Inputs!$J$9-Inputs!$I$9)))/Inputs!$K$9)^2)</f>
        <v>293.734375</v>
      </c>
      <c r="AD59" s="10"/>
      <c r="AE59" s="9">
        <f t="shared" si="4"/>
        <v>-0.52500000000000002</v>
      </c>
      <c r="AF59" s="9">
        <f>(((SQRT(((Inputs!$I$6+(((A59)+1)/2)*(Inputs!$J$6-Inputs!$I$6)))^2+Inputs!$C$6^2+((Inputs!$H$6+Inputs!$L$6*(((Inputs!$I$6+(((A59)+1)/2)*(Inputs!$J$6-Inputs!$I$6)))/Inputs!$K$6)^2))^2))-((Inputs!$H$6+Inputs!$L$6*(((Inputs!$I$6+(((A59)+1)/2)*(Inputs!$J$6-Inputs!$I$6)))/Inputs!$K$6)^2)))*1000/Inputs!$C$12)</f>
        <v>1129.7555078402418</v>
      </c>
      <c r="AG59" s="9">
        <f>(((SQRT(((Inputs!$I$7+(((A59)+1)/2)*(Inputs!$J$7-Inputs!$I$7)))^2+Inputs!$C$6^2+((Inputs!$H$7+Inputs!$L$7*(((Inputs!$I$7+(((A59)+1)/2)*(Inputs!$J$7-Inputs!$I$7)))/Inputs!$K$7)^2))^2))-((Inputs!$H$7+Inputs!$L$7*(((Inputs!$I$7+(((A59)+1)/2)*(Inputs!$J$7-Inputs!$I$7)))/Inputs!$K$7)^2)))*1000/Inputs!$C$12)</f>
        <v>64955.222752360576</v>
      </c>
      <c r="AH59" s="9">
        <f>(((SQRT(((Inputs!$I$8+(((A59)+1)/2)*(Inputs!$J$8-Inputs!$I$8)))^2+Inputs!$C$6^2+((Inputs!$H$8+Inputs!$L$8*(((Inputs!$I$8+(((A59)+1)/2)*(Inputs!$J$8-Inputs!$I$8)))/Inputs!$K$8)^2))^2))-((Inputs!$H$8+Inputs!$L$8*(((Inputs!$I$8+(((A59)+1)/2)*(Inputs!$J$8-Inputs!$I$8)))/Inputs!$K$8)^2)))*1000/Inputs!$C$12)</f>
        <v>121536.49645425682</v>
      </c>
      <c r="AI59" s="9">
        <f>(((SQRT(((Inputs!$I$9+(((A59)+1)/2)*(Inputs!$J$9-Inputs!$I$9)))^2+Inputs!$C$6^2+((Inputs!$H$9+Inputs!$L$9*(((Inputs!$I$9+(((A59)+1)/2)*(Inputs!$J$9-Inputs!$I$9)))/Inputs!$K$9)^2))^2))-((Inputs!$H$9+Inputs!$L$9*(((Inputs!$I$9+(((A59)+1)/2)*(Inputs!$J$9-Inputs!$I$9)))/Inputs!$K$9)^2)))*1000/Inputs!$C$12)</f>
        <v>123257.33007584426</v>
      </c>
      <c r="AJ59" s="10"/>
      <c r="AK59" s="9">
        <f t="shared" si="5"/>
        <v>-0.52500000000000002</v>
      </c>
      <c r="AL59" s="9">
        <f>(-2*((1000*((((Inputs!$I$6+(((A59)+1)/2)*(Inputs!$J$6-Inputs!$I$6)))*Inputs!$C$11+((Inputs!$H$6+Inputs!$L$6*(((Inputs!$I$6+(((A59)+1)/2)*(Inputs!$J$6-Inputs!$I$6)))/Inputs!$K$6)^2))*((2*Inputs!$L$6*((Inputs!$I$6+(((A59)+1)/2)*(Inputs!$J$6-Inputs!$I$6)))/(Inputs!$K$6^2)*Inputs!$C$11)))/(SQRT(((Inputs!$I$6+(((A59)+1)/2)*(Inputs!$J$6-Inputs!$I$6)))^2+Inputs!$C$6^2+((Inputs!$H$6+Inputs!$L$6*(((Inputs!$I$6+(((A59)+1)/2)*(Inputs!$J$6-Inputs!$I$6)))/Inputs!$K$6)^2))^2)))))/Inputs!$C$13)</f>
        <v>236.46811213899355</v>
      </c>
      <c r="AM59" s="9">
        <f>(-2*((1000*((((Inputs!$I$7+(((A59)+1)/2)*(Inputs!$J$7-Inputs!$I$7)))*Inputs!$C$11+((Inputs!$H$7+Inputs!$L$7*(((Inputs!$I$7+(((A59)+1)/2)*(Inputs!$J$7-Inputs!$I$7)))/Inputs!$K$7)^2))*((2*Inputs!$L$7*((Inputs!$I$7+(((A59)+1)/2)*(Inputs!$J$7-Inputs!$I$7)))/(Inputs!$K$7^2)*Inputs!$C$11)))/(SQRT(((Inputs!$I$7+(((A59)+1)/2)*(Inputs!$J$7-Inputs!$I$7)))^2+Inputs!$C$6^2+((Inputs!$H$7+Inputs!$L$7*(((Inputs!$I$7+(((A59)+1)/2)*(Inputs!$J$7-Inputs!$I$7)))/Inputs!$K$7)^2))^2)))))/Inputs!$C$13)</f>
        <v>2164.9239047033993</v>
      </c>
      <c r="AN59" s="9">
        <f>(-2*((1000*((((Inputs!$I$8+(((A59)+1)/2)*(Inputs!$J$8-Inputs!$I$8)))*Inputs!$C$11+((Inputs!$H$8+Inputs!$L$8*(((Inputs!$I$8+(((A59)+1)/2)*(Inputs!$J$8-Inputs!$I$8)))/Inputs!$K$8)^2))*((2*Inputs!$L$8*((Inputs!$I$8+(((A59)+1)/2)*(Inputs!$J$8-Inputs!$I$8)))/(Inputs!$K$8^2)*Inputs!$C$11)))/(SQRT(((Inputs!$I$8+(((A59)+1)/2)*(Inputs!$J$8-Inputs!$I$8)))^2+Inputs!$C$6^2+((Inputs!$H$8+Inputs!$L$8*(((Inputs!$I$8+(((A59)+1)/2)*(Inputs!$J$8-Inputs!$I$8)))/Inputs!$K$8)^2))^2)))))/Inputs!$C$13)</f>
        <v>2478.058642518175</v>
      </c>
      <c r="AO59" s="9">
        <f>(-2*((1000*((((Inputs!$I$9+(((A59)+1)/2)*(Inputs!$J$9-Inputs!$I$9)))*Inputs!$C$11+((Inputs!$H$9+Inputs!$L$9*(((Inputs!$I$9+(((A59)+1)/2)*(Inputs!$J$9-Inputs!$I$9)))/Inputs!$K$9)^2))*((2*Inputs!$L$9*((Inputs!$I$9+(((A59)+1)/2)*(Inputs!$J$9-Inputs!$I$9)))/(Inputs!$K$9^2)*Inputs!$C$11)))/(SQRT(((Inputs!$I$9+(((A59)+1)/2)*(Inputs!$J$9-Inputs!$I$9)))^2+Inputs!$C$6^2+((Inputs!$H$9+Inputs!$L$9*(((Inputs!$I$9+(((A59)+1)/2)*(Inputs!$J$9-Inputs!$I$9)))/Inputs!$K$9)^2))^2)))))/Inputs!$C$13)</f>
        <v>2481.661802856815</v>
      </c>
    </row>
    <row r="60" spans="1:41">
      <c r="A60" s="9">
        <f>ROUND(-1+58*2/240,3)</f>
        <v>-0.51700000000000002</v>
      </c>
      <c r="B60" s="9">
        <f>IF(OR(Inputs!$F$6=TRUE,Inputs!$F$6="TRUE",Inputs!$F$6=1),(Inputs!$H$6+Inputs!$L$6*(((Inputs!$I$6+(((A60)+1)/2)*(Inputs!$J$6-Inputs!$I$6)))/Inputs!$K$6)^2),NA())</f>
        <v>401.06915600000002</v>
      </c>
      <c r="C60" s="9">
        <f>IF(OR(Inputs!$F$7=TRUE,Inputs!$F$7="TRUE",Inputs!$F$7=1),(Inputs!$H$7+Inputs!$L$7*(((Inputs!$I$7+(((A60)+1)/2)*(Inputs!$J$7-Inputs!$I$7)))/Inputs!$K$7)^2),NA())</f>
        <v>132.560485</v>
      </c>
      <c r="D60" s="9">
        <f>IF(OR(Inputs!$F$8=TRUE,Inputs!$F$8="TRUE",Inputs!$F$8=1),(Inputs!$H$8+Inputs!$L$8*(((Inputs!$I$8+(((A60)+1)/2)*(Inputs!$J$8-Inputs!$I$8)))/Inputs!$K$8)^2),NA())</f>
        <v>292.93388499999998</v>
      </c>
      <c r="E60" s="9">
        <f>IF(OR(Inputs!$F$9=TRUE,Inputs!$F$9="TRUE",Inputs!$F$9=1),(Inputs!$H$9+Inputs!$L$9*(((Inputs!$I$9+(((A60)+1)/2)*(Inputs!$J$9-Inputs!$I$9)))/Inputs!$K$9)^2),NA())</f>
        <v>285.60677499999997</v>
      </c>
      <c r="F60" s="10"/>
      <c r="G60" s="9">
        <f t="shared" si="0"/>
        <v>-0.51700000000000002</v>
      </c>
      <c r="H60" s="9">
        <f>IF(OR(Inputs!$F$6=TRUE,Inputs!$F$6="TRUE",Inputs!$F$6=1),(((SQRT(((Inputs!$I$6+(((A60)+1)/2)*(Inputs!$J$6-Inputs!$I$6)))^2+Inputs!$C$6^2+((Inputs!$H$6+Inputs!$L$6*(((Inputs!$I$6+(((A60)+1)/2)*(Inputs!$J$6-Inputs!$I$6)))/Inputs!$K$6)^2))^2))-((Inputs!$H$6+Inputs!$L$6*(((Inputs!$I$6+(((A60)+1)/2)*(Inputs!$J$6-Inputs!$I$6)))/Inputs!$K$6)^2)))*1000/Inputs!$C$12),NA())</f>
        <v>1108.934887487211</v>
      </c>
      <c r="I60" s="9">
        <f>IF(OR(Inputs!$F$7=TRUE,Inputs!$F$7="TRUE",Inputs!$F$7=1),(((SQRT(((Inputs!$I$7+(((A60)+1)/2)*(Inputs!$J$7-Inputs!$I$7)))^2+Inputs!$C$6^2+((Inputs!$H$7+Inputs!$L$7*(((Inputs!$I$7+(((A60)+1)/2)*(Inputs!$J$7-Inputs!$I$7)))/Inputs!$K$7)^2))^2))-((Inputs!$H$7+Inputs!$L$7*(((Inputs!$I$7+(((A60)+1)/2)*(Inputs!$J$7-Inputs!$I$7)))/Inputs!$K$7)^2)))*1000/Inputs!$C$12),NA())</f>
        <v>64240.133415782147</v>
      </c>
      <c r="J60" s="9">
        <f>IF(OR(Inputs!$F$8=TRUE,Inputs!$F$8="TRUE",Inputs!$F$8=1),(((SQRT(((Inputs!$I$8+(((A60)+1)/2)*(Inputs!$J$8-Inputs!$I$8)))^2+Inputs!$C$6^2+((Inputs!$H$8+Inputs!$L$8*(((Inputs!$I$8+(((A60)+1)/2)*(Inputs!$J$8-Inputs!$I$8)))/Inputs!$K$8)^2))^2))-((Inputs!$H$8+Inputs!$L$8*(((Inputs!$I$8+(((A60)+1)/2)*(Inputs!$J$8-Inputs!$I$8)))/Inputs!$K$8)^2)))*1000/Inputs!$C$12),NA())</f>
        <v>120511.74774932805</v>
      </c>
      <c r="K60" s="9">
        <f>IF(OR(Inputs!$F$9=TRUE,Inputs!$F$9="TRUE",Inputs!$F$9=1),(((SQRT(((Inputs!$I$9+(((A60)+1)/2)*(Inputs!$J$9-Inputs!$I$9)))^2+Inputs!$C$6^2+((Inputs!$H$9+Inputs!$L$9*(((Inputs!$I$9+(((A60)+1)/2)*(Inputs!$J$9-Inputs!$I$9)))/Inputs!$K$9)^2))^2))-((Inputs!$H$9+Inputs!$L$9*(((Inputs!$I$9+(((A60)+1)/2)*(Inputs!$J$9-Inputs!$I$9)))/Inputs!$K$9)^2)))*1000/Inputs!$C$12),NA())</f>
        <v>122271.82492897964</v>
      </c>
      <c r="L60" s="10"/>
      <c r="M60" s="9">
        <f t="shared" si="1"/>
        <v>-0.51700000000000002</v>
      </c>
      <c r="N60" s="9">
        <f>IF(OR(Inputs!$F$6=TRUE,Inputs!$F$6="TRUE",Inputs!$F$6=1),(-2*((1000*((((Inputs!$I$6+(((A60)+1)/2)*(Inputs!$J$6-Inputs!$I$6)))*Inputs!$C$11+((Inputs!$H$6+Inputs!$L$6*(((Inputs!$I$6+(((A60)+1)/2)*(Inputs!$J$6-Inputs!$I$6)))/Inputs!$K$6)^2))*((2*Inputs!$L$6*((Inputs!$I$6+(((A60)+1)/2)*(Inputs!$J$6-Inputs!$I$6)))/(Inputs!$K$6^2)*Inputs!$C$11)))/(SQRT(((Inputs!$I$6+(((A60)+1)/2)*(Inputs!$J$6-Inputs!$I$6)))^2+Inputs!$C$6^2+((Inputs!$H$6+Inputs!$L$6*(((Inputs!$I$6+(((A60)+1)/2)*(Inputs!$J$6-Inputs!$I$6)))/Inputs!$K$6)^2))^2)))))/Inputs!$C$13),NA())</f>
        <v>232.896341371566</v>
      </c>
      <c r="O60" s="9">
        <f>IF(OR(Inputs!$F$7=TRUE,Inputs!$F$7="TRUE",Inputs!$F$7=1),(-2*((1000*((((Inputs!$I$7+(((A60)+1)/2)*(Inputs!$J$7-Inputs!$I$7)))*Inputs!$C$11+((Inputs!$H$7+Inputs!$L$7*(((Inputs!$I$7+(((A60)+1)/2)*(Inputs!$J$7-Inputs!$I$7)))/Inputs!$K$7)^2))*((2*Inputs!$L$7*((Inputs!$I$7+(((A60)+1)/2)*(Inputs!$J$7-Inputs!$I$7)))/(Inputs!$K$7^2)*Inputs!$C$11)))/(SQRT(((Inputs!$I$7+(((A60)+1)/2)*(Inputs!$J$7-Inputs!$I$7)))^2+Inputs!$C$6^2+((Inputs!$H$7+Inputs!$L$7*(((Inputs!$I$7+(((A60)+1)/2)*(Inputs!$J$7-Inputs!$I$7)))/Inputs!$K$7)^2))^2)))))/Inputs!$C$13),NA())</f>
        <v>2150.5936514378695</v>
      </c>
      <c r="P60" s="9">
        <f>IF(OR(Inputs!$F$8=TRUE,Inputs!$F$8="TRUE",Inputs!$F$8=1),(-2*((1000*((((Inputs!$I$8+(((A60)+1)/2)*(Inputs!$J$8-Inputs!$I$8)))*Inputs!$C$11+((Inputs!$H$8+Inputs!$L$8*(((Inputs!$I$8+(((A60)+1)/2)*(Inputs!$J$8-Inputs!$I$8)))/Inputs!$K$8)^2))*((2*Inputs!$L$8*((Inputs!$I$8+(((A60)+1)/2)*(Inputs!$J$8-Inputs!$I$8)))/(Inputs!$K$8^2)*Inputs!$C$11)))/(SQRT(((Inputs!$I$8+(((A60)+1)/2)*(Inputs!$J$8-Inputs!$I$8)))^2+Inputs!$C$6^2+((Inputs!$H$8+Inputs!$L$8*(((Inputs!$I$8+(((A60)+1)/2)*(Inputs!$J$8-Inputs!$I$8)))/Inputs!$K$8)^2))^2)))))/Inputs!$C$13),NA())</f>
        <v>2456.1188318875147</v>
      </c>
      <c r="Q60" s="9">
        <f>IF(OR(Inputs!$F$9=TRUE,Inputs!$F$9="TRUE",Inputs!$F$9=1),(-2*((1000*((((Inputs!$I$9+(((A60)+1)/2)*(Inputs!$J$9-Inputs!$I$9)))*Inputs!$C$11+((Inputs!$H$9+Inputs!$L$9*(((Inputs!$I$9+(((A60)+1)/2)*(Inputs!$J$9-Inputs!$I$9)))/Inputs!$K$9)^2))*((2*Inputs!$L$9*((Inputs!$I$9+(((A60)+1)/2)*(Inputs!$J$9-Inputs!$I$9)))/(Inputs!$K$9^2)*Inputs!$C$11)))/(SQRT(((Inputs!$I$9+(((A60)+1)/2)*(Inputs!$J$9-Inputs!$I$9)))^2+Inputs!$C$6^2+((Inputs!$H$9+Inputs!$L$9*(((Inputs!$I$9+(((A60)+1)/2)*(Inputs!$J$9-Inputs!$I$9)))/Inputs!$K$9)^2))^2)))))/Inputs!$C$13),NA())</f>
        <v>2459.269562620605</v>
      </c>
      <c r="R60" s="10"/>
      <c r="S60" s="9">
        <f t="shared" si="2"/>
        <v>-0.51700000000000002</v>
      </c>
      <c r="T60" s="9">
        <f>(Inputs!$I$6+(((A60)+1)/2)*(Inputs!$J$6-Inputs!$I$6))</f>
        <v>-31.02</v>
      </c>
      <c r="U60" s="9">
        <f>(Inputs!$I$7+(((A60)+1)/2)*(Inputs!$J$7-Inputs!$I$7))</f>
        <v>-206.8</v>
      </c>
      <c r="V60" s="9">
        <f>(Inputs!$I$8+(((A60)+1)/2)*(Inputs!$J$8-Inputs!$I$8))</f>
        <v>-413.6</v>
      </c>
      <c r="W60" s="9">
        <f>(Inputs!$I$9+(((A60)+1)/2)*(Inputs!$J$9-Inputs!$I$9))</f>
        <v>-413.6</v>
      </c>
      <c r="X60" s="10"/>
      <c r="Y60" s="9">
        <f t="shared" si="3"/>
        <v>-0.51700000000000002</v>
      </c>
      <c r="Z60" s="9">
        <f>(Inputs!$H$6+Inputs!$L$6*(((Inputs!$I$6+(((A60)+1)/2)*(Inputs!$J$6-Inputs!$I$6)))/Inputs!$K$6)^2)</f>
        <v>401.06915600000002</v>
      </c>
      <c r="AA60" s="9">
        <f>(Inputs!$H$7+Inputs!$L$7*(((Inputs!$I$7+(((A60)+1)/2)*(Inputs!$J$7-Inputs!$I$7)))/Inputs!$K$7)^2)</f>
        <v>132.560485</v>
      </c>
      <c r="AB60" s="9">
        <f>(Inputs!$H$8+Inputs!$L$8*(((Inputs!$I$8+(((A60)+1)/2)*(Inputs!$J$8-Inputs!$I$8)))/Inputs!$K$8)^2)</f>
        <v>292.93388499999998</v>
      </c>
      <c r="AC60" s="9">
        <f>(Inputs!$H$9+Inputs!$L$9*(((Inputs!$I$9+(((A60)+1)/2)*(Inputs!$J$9-Inputs!$I$9)))/Inputs!$K$9)^2)</f>
        <v>285.60677499999997</v>
      </c>
      <c r="AD60" s="10"/>
      <c r="AE60" s="9">
        <f t="shared" si="4"/>
        <v>-0.51700000000000002</v>
      </c>
      <c r="AF60" s="9">
        <f>(((SQRT(((Inputs!$I$6+(((A60)+1)/2)*(Inputs!$J$6-Inputs!$I$6)))^2+Inputs!$C$6^2+((Inputs!$H$6+Inputs!$L$6*(((Inputs!$I$6+(((A60)+1)/2)*(Inputs!$J$6-Inputs!$I$6)))/Inputs!$K$6)^2))^2))-((Inputs!$H$6+Inputs!$L$6*(((Inputs!$I$6+(((A60)+1)/2)*(Inputs!$J$6-Inputs!$I$6)))/Inputs!$K$6)^2)))*1000/Inputs!$C$12)</f>
        <v>1108.934887487211</v>
      </c>
      <c r="AG60" s="9">
        <f>(((SQRT(((Inputs!$I$7+(((A60)+1)/2)*(Inputs!$J$7-Inputs!$I$7)))^2+Inputs!$C$6^2+((Inputs!$H$7+Inputs!$L$7*(((Inputs!$I$7+(((A60)+1)/2)*(Inputs!$J$7-Inputs!$I$7)))/Inputs!$K$7)^2))^2))-((Inputs!$H$7+Inputs!$L$7*(((Inputs!$I$7+(((A60)+1)/2)*(Inputs!$J$7-Inputs!$I$7)))/Inputs!$K$7)^2)))*1000/Inputs!$C$12)</f>
        <v>64240.133415782147</v>
      </c>
      <c r="AH60" s="9">
        <f>(((SQRT(((Inputs!$I$8+(((A60)+1)/2)*(Inputs!$J$8-Inputs!$I$8)))^2+Inputs!$C$6^2+((Inputs!$H$8+Inputs!$L$8*(((Inputs!$I$8+(((A60)+1)/2)*(Inputs!$J$8-Inputs!$I$8)))/Inputs!$K$8)^2))^2))-((Inputs!$H$8+Inputs!$L$8*(((Inputs!$I$8+(((A60)+1)/2)*(Inputs!$J$8-Inputs!$I$8)))/Inputs!$K$8)^2)))*1000/Inputs!$C$12)</f>
        <v>120511.74774932805</v>
      </c>
      <c r="AI60" s="9">
        <f>(((SQRT(((Inputs!$I$9+(((A60)+1)/2)*(Inputs!$J$9-Inputs!$I$9)))^2+Inputs!$C$6^2+((Inputs!$H$9+Inputs!$L$9*(((Inputs!$I$9+(((A60)+1)/2)*(Inputs!$J$9-Inputs!$I$9)))/Inputs!$K$9)^2))^2))-((Inputs!$H$9+Inputs!$L$9*(((Inputs!$I$9+(((A60)+1)/2)*(Inputs!$J$9-Inputs!$I$9)))/Inputs!$K$9)^2)))*1000/Inputs!$C$12)</f>
        <v>122271.82492897964</v>
      </c>
      <c r="AJ60" s="10"/>
      <c r="AK60" s="9">
        <f t="shared" si="5"/>
        <v>-0.51700000000000002</v>
      </c>
      <c r="AL60" s="9">
        <f>(-2*((1000*((((Inputs!$I$6+(((A60)+1)/2)*(Inputs!$J$6-Inputs!$I$6)))*Inputs!$C$11+((Inputs!$H$6+Inputs!$L$6*(((Inputs!$I$6+(((A60)+1)/2)*(Inputs!$J$6-Inputs!$I$6)))/Inputs!$K$6)^2))*((2*Inputs!$L$6*((Inputs!$I$6+(((A60)+1)/2)*(Inputs!$J$6-Inputs!$I$6)))/(Inputs!$K$6^2)*Inputs!$C$11)))/(SQRT(((Inputs!$I$6+(((A60)+1)/2)*(Inputs!$J$6-Inputs!$I$6)))^2+Inputs!$C$6^2+((Inputs!$H$6+Inputs!$L$6*(((Inputs!$I$6+(((A60)+1)/2)*(Inputs!$J$6-Inputs!$I$6)))/Inputs!$K$6)^2))^2)))))/Inputs!$C$13)</f>
        <v>232.896341371566</v>
      </c>
      <c r="AM60" s="9">
        <f>(-2*((1000*((((Inputs!$I$7+(((A60)+1)/2)*(Inputs!$J$7-Inputs!$I$7)))*Inputs!$C$11+((Inputs!$H$7+Inputs!$L$7*(((Inputs!$I$7+(((A60)+1)/2)*(Inputs!$J$7-Inputs!$I$7)))/Inputs!$K$7)^2))*((2*Inputs!$L$7*((Inputs!$I$7+(((A60)+1)/2)*(Inputs!$J$7-Inputs!$I$7)))/(Inputs!$K$7^2)*Inputs!$C$11)))/(SQRT(((Inputs!$I$7+(((A60)+1)/2)*(Inputs!$J$7-Inputs!$I$7)))^2+Inputs!$C$6^2+((Inputs!$H$7+Inputs!$L$7*(((Inputs!$I$7+(((A60)+1)/2)*(Inputs!$J$7-Inputs!$I$7)))/Inputs!$K$7)^2))^2)))))/Inputs!$C$13)</f>
        <v>2150.5936514378695</v>
      </c>
      <c r="AN60" s="9">
        <f>(-2*((1000*((((Inputs!$I$8+(((A60)+1)/2)*(Inputs!$J$8-Inputs!$I$8)))*Inputs!$C$11+((Inputs!$H$8+Inputs!$L$8*(((Inputs!$I$8+(((A60)+1)/2)*(Inputs!$J$8-Inputs!$I$8)))/Inputs!$K$8)^2))*((2*Inputs!$L$8*((Inputs!$I$8+(((A60)+1)/2)*(Inputs!$J$8-Inputs!$I$8)))/(Inputs!$K$8^2)*Inputs!$C$11)))/(SQRT(((Inputs!$I$8+(((A60)+1)/2)*(Inputs!$J$8-Inputs!$I$8)))^2+Inputs!$C$6^2+((Inputs!$H$8+Inputs!$L$8*(((Inputs!$I$8+(((A60)+1)/2)*(Inputs!$J$8-Inputs!$I$8)))/Inputs!$K$8)^2))^2)))))/Inputs!$C$13)</f>
        <v>2456.1188318875147</v>
      </c>
      <c r="AO60" s="9">
        <f>(-2*((1000*((((Inputs!$I$9+(((A60)+1)/2)*(Inputs!$J$9-Inputs!$I$9)))*Inputs!$C$11+((Inputs!$H$9+Inputs!$L$9*(((Inputs!$I$9+(((A60)+1)/2)*(Inputs!$J$9-Inputs!$I$9)))/Inputs!$K$9)^2))*((2*Inputs!$L$9*((Inputs!$I$9+(((A60)+1)/2)*(Inputs!$J$9-Inputs!$I$9)))/(Inputs!$K$9^2)*Inputs!$C$11)))/(SQRT(((Inputs!$I$9+(((A60)+1)/2)*(Inputs!$J$9-Inputs!$I$9)))^2+Inputs!$C$6^2+((Inputs!$H$9+Inputs!$L$9*(((Inputs!$I$9+(((A60)+1)/2)*(Inputs!$J$9-Inputs!$I$9)))/Inputs!$K$9)^2))^2)))))/Inputs!$C$13)</f>
        <v>2459.269562620605</v>
      </c>
    </row>
    <row r="61" spans="1:41">
      <c r="A61" s="9">
        <f>ROUND(-1+59*2/240,3)</f>
        <v>-0.50800000000000001</v>
      </c>
      <c r="B61" s="9">
        <f>IF(OR(Inputs!$F$6=TRUE,Inputs!$F$6="TRUE",Inputs!$F$6=1),(Inputs!$H$6+Inputs!$L$6*(((Inputs!$I$6+(((A61)+1)/2)*(Inputs!$J$6-Inputs!$I$6)))/Inputs!$K$6)^2),NA())</f>
        <v>401.03225600000002</v>
      </c>
      <c r="C61" s="9">
        <f>IF(OR(Inputs!$F$7=TRUE,Inputs!$F$7="TRUE",Inputs!$F$7=1),(Inputs!$H$7+Inputs!$L$7*(((Inputs!$I$7+(((A61)+1)/2)*(Inputs!$J$7-Inputs!$I$7)))/Inputs!$K$7)^2),NA())</f>
        <v>129.19336000000001</v>
      </c>
      <c r="D61" s="9">
        <f>IF(OR(Inputs!$F$8=TRUE,Inputs!$F$8="TRUE",Inputs!$F$8=1),(Inputs!$H$8+Inputs!$L$8*(((Inputs!$I$8+(((A61)+1)/2)*(Inputs!$J$8-Inputs!$I$8)))/Inputs!$K$8)^2),NA())</f>
        <v>284.03176000000002</v>
      </c>
      <c r="E61" s="9">
        <f>IF(OR(Inputs!$F$9=TRUE,Inputs!$F$9="TRUE",Inputs!$F$9=1),(Inputs!$H$9+Inputs!$L$9*(((Inputs!$I$9+(((A61)+1)/2)*(Inputs!$J$9-Inputs!$I$9)))/Inputs!$K$9)^2),NA())</f>
        <v>276.61239999999998</v>
      </c>
      <c r="F61" s="10"/>
      <c r="G61" s="9">
        <f t="shared" si="0"/>
        <v>-0.50800000000000001</v>
      </c>
      <c r="H61" s="9">
        <f>IF(OR(Inputs!$F$6=TRUE,Inputs!$F$6="TRUE",Inputs!$F$6=1),(((SQRT(((Inputs!$I$6+(((A61)+1)/2)*(Inputs!$J$6-Inputs!$I$6)))^2+Inputs!$C$6^2+((Inputs!$H$6+Inputs!$L$6*(((Inputs!$I$6+(((A61)+1)/2)*(Inputs!$J$6-Inputs!$I$6)))/Inputs!$K$6)^2))^2))-((Inputs!$H$6+Inputs!$L$6*(((Inputs!$I$6+(((A61)+1)/2)*(Inputs!$J$6-Inputs!$I$6)))/Inputs!$K$6)^2)))*1000/Inputs!$C$12),NA())</f>
        <v>1085.8875853460092</v>
      </c>
      <c r="I61" s="9">
        <f>IF(OR(Inputs!$F$7=TRUE,Inputs!$F$7="TRUE",Inputs!$F$7=1),(((SQRT(((Inputs!$I$7+(((A61)+1)/2)*(Inputs!$J$7-Inputs!$I$7)))^2+Inputs!$C$6^2+((Inputs!$H$7+Inputs!$L$7*(((Inputs!$I$7+(((A61)+1)/2)*(Inputs!$J$7-Inputs!$I$7)))/Inputs!$K$7)^2))^2))-((Inputs!$H$7+Inputs!$L$7*(((Inputs!$I$7+(((A61)+1)/2)*(Inputs!$J$7-Inputs!$I$7)))/Inputs!$K$7)^2)))*1000/Inputs!$C$12),NA())</f>
        <v>63423.44976504115</v>
      </c>
      <c r="J61" s="9">
        <f>IF(OR(Inputs!$F$8=TRUE,Inputs!$F$8="TRUE",Inputs!$F$8=1),(((SQRT(((Inputs!$I$8+(((A61)+1)/2)*(Inputs!$J$8-Inputs!$I$8)))^2+Inputs!$C$6^2+((Inputs!$H$8+Inputs!$L$8*(((Inputs!$I$8+(((A61)+1)/2)*(Inputs!$J$8-Inputs!$I$8)))/Inputs!$K$8)^2))^2))-((Inputs!$H$8+Inputs!$L$8*(((Inputs!$I$8+(((A61)+1)/2)*(Inputs!$J$8-Inputs!$I$8)))/Inputs!$K$8)^2)))*1000/Inputs!$C$12),NA())</f>
        <v>119334.61773979013</v>
      </c>
      <c r="K61" s="9">
        <f>IF(OR(Inputs!$F$9=TRUE,Inputs!$F$9="TRUE",Inputs!$F$9=1),(((SQRT(((Inputs!$I$9+(((A61)+1)/2)*(Inputs!$J$9-Inputs!$I$9)))^2+Inputs!$C$6^2+((Inputs!$H$9+Inputs!$L$9*(((Inputs!$I$9+(((A61)+1)/2)*(Inputs!$J$9-Inputs!$I$9)))/Inputs!$K$9)^2))^2))-((Inputs!$H$9+Inputs!$L$9*(((Inputs!$I$9+(((A61)+1)/2)*(Inputs!$J$9-Inputs!$I$9)))/Inputs!$K$9)^2)))*1000/Inputs!$C$12),NA())</f>
        <v>121139.19370297399</v>
      </c>
      <c r="L61" s="10"/>
      <c r="M61" s="9">
        <f t="shared" si="1"/>
        <v>-0.50800000000000001</v>
      </c>
      <c r="N61" s="9">
        <f>IF(OR(Inputs!$F$6=TRUE,Inputs!$F$6="TRUE",Inputs!$F$6=1),(-2*((1000*((((Inputs!$I$6+(((A61)+1)/2)*(Inputs!$J$6-Inputs!$I$6)))*Inputs!$C$11+((Inputs!$H$6+Inputs!$L$6*(((Inputs!$I$6+(((A61)+1)/2)*(Inputs!$J$6-Inputs!$I$6)))/Inputs!$K$6)^2))*((2*Inputs!$L$6*((Inputs!$I$6+(((A61)+1)/2)*(Inputs!$J$6-Inputs!$I$6)))/(Inputs!$K$6^2)*Inputs!$C$11)))/(SQRT(((Inputs!$I$6+(((A61)+1)/2)*(Inputs!$J$6-Inputs!$I$6)))^2+Inputs!$C$6^2+((Inputs!$H$6+Inputs!$L$6*(((Inputs!$I$6+(((A61)+1)/2)*(Inputs!$J$6-Inputs!$I$6)))/Inputs!$K$6)^2))^2)))))/Inputs!$C$13),NA())</f>
        <v>228.87638194922107</v>
      </c>
      <c r="O61" s="9">
        <f>IF(OR(Inputs!$F$7=TRUE,Inputs!$F$7="TRUE",Inputs!$F$7=1),(-2*((1000*((((Inputs!$I$7+(((A61)+1)/2)*(Inputs!$J$7-Inputs!$I$7)))*Inputs!$C$11+((Inputs!$H$7+Inputs!$L$7*(((Inputs!$I$7+(((A61)+1)/2)*(Inputs!$J$7-Inputs!$I$7)))/Inputs!$K$7)^2))*((2*Inputs!$L$7*((Inputs!$I$7+(((A61)+1)/2)*(Inputs!$J$7-Inputs!$I$7)))/(Inputs!$K$7^2)*Inputs!$C$11)))/(SQRT(((Inputs!$I$7+(((A61)+1)/2)*(Inputs!$J$7-Inputs!$I$7)))^2+Inputs!$C$6^2+((Inputs!$H$7+Inputs!$L$7*(((Inputs!$I$7+(((A61)+1)/2)*(Inputs!$J$7-Inputs!$I$7)))/Inputs!$K$7)^2))^2)))))/Inputs!$C$13),NA())</f>
        <v>2134.6046990845202</v>
      </c>
      <c r="P61" s="9">
        <f>IF(OR(Inputs!$F$8=TRUE,Inputs!$F$8="TRUE",Inputs!$F$8=1),(-2*((1000*((((Inputs!$I$8+(((A61)+1)/2)*(Inputs!$J$8-Inputs!$I$8)))*Inputs!$C$11+((Inputs!$H$8+Inputs!$L$8*(((Inputs!$I$8+(((A61)+1)/2)*(Inputs!$J$8-Inputs!$I$8)))/Inputs!$K$8)^2))*((2*Inputs!$L$8*((Inputs!$I$8+(((A61)+1)/2)*(Inputs!$J$8-Inputs!$I$8)))/(Inputs!$K$8^2)*Inputs!$C$11)))/(SQRT(((Inputs!$I$8+(((A61)+1)/2)*(Inputs!$J$8-Inputs!$I$8)))^2+Inputs!$C$6^2+((Inputs!$H$8+Inputs!$L$8*(((Inputs!$I$8+(((A61)+1)/2)*(Inputs!$J$8-Inputs!$I$8)))/Inputs!$K$8)^2))^2)))))/Inputs!$C$13),NA())</f>
        <v>2431.6619388298814</v>
      </c>
      <c r="Q61" s="9">
        <f>IF(OR(Inputs!$F$9=TRUE,Inputs!$F$9="TRUE",Inputs!$F$9=1),(-2*((1000*((((Inputs!$I$9+(((A61)+1)/2)*(Inputs!$J$9-Inputs!$I$9)))*Inputs!$C$11+((Inputs!$H$9+Inputs!$L$9*(((Inputs!$I$9+(((A61)+1)/2)*(Inputs!$J$9-Inputs!$I$9)))/Inputs!$K$9)^2))*((2*Inputs!$L$9*((Inputs!$I$9+(((A61)+1)/2)*(Inputs!$J$9-Inputs!$I$9)))/(Inputs!$K$9^2)*Inputs!$C$11)))/(SQRT(((Inputs!$I$9+(((A61)+1)/2)*(Inputs!$J$9-Inputs!$I$9)))^2+Inputs!$C$6^2+((Inputs!$H$9+Inputs!$L$9*(((Inputs!$I$9+(((A61)+1)/2)*(Inputs!$J$9-Inputs!$I$9)))/Inputs!$K$9)^2))^2)))))/Inputs!$C$13),NA())</f>
        <v>2434.3086415714479</v>
      </c>
      <c r="R61" s="10"/>
      <c r="S61" s="9">
        <f t="shared" si="2"/>
        <v>-0.50800000000000001</v>
      </c>
      <c r="T61" s="9">
        <f>(Inputs!$I$6+(((A61)+1)/2)*(Inputs!$J$6-Inputs!$I$6))</f>
        <v>-30.48</v>
      </c>
      <c r="U61" s="9">
        <f>(Inputs!$I$7+(((A61)+1)/2)*(Inputs!$J$7-Inputs!$I$7))</f>
        <v>-203.2</v>
      </c>
      <c r="V61" s="9">
        <f>(Inputs!$I$8+(((A61)+1)/2)*(Inputs!$J$8-Inputs!$I$8))</f>
        <v>-406.4</v>
      </c>
      <c r="W61" s="9">
        <f>(Inputs!$I$9+(((A61)+1)/2)*(Inputs!$J$9-Inputs!$I$9))</f>
        <v>-406.4</v>
      </c>
      <c r="X61" s="10"/>
      <c r="Y61" s="9">
        <f t="shared" si="3"/>
        <v>-0.50800000000000001</v>
      </c>
      <c r="Z61" s="9">
        <f>(Inputs!$H$6+Inputs!$L$6*(((Inputs!$I$6+(((A61)+1)/2)*(Inputs!$J$6-Inputs!$I$6)))/Inputs!$K$6)^2)</f>
        <v>401.03225600000002</v>
      </c>
      <c r="AA61" s="9">
        <f>(Inputs!$H$7+Inputs!$L$7*(((Inputs!$I$7+(((A61)+1)/2)*(Inputs!$J$7-Inputs!$I$7)))/Inputs!$K$7)^2)</f>
        <v>129.19336000000001</v>
      </c>
      <c r="AB61" s="9">
        <f>(Inputs!$H$8+Inputs!$L$8*(((Inputs!$I$8+(((A61)+1)/2)*(Inputs!$J$8-Inputs!$I$8)))/Inputs!$K$8)^2)</f>
        <v>284.03176000000002</v>
      </c>
      <c r="AC61" s="9">
        <f>(Inputs!$H$9+Inputs!$L$9*(((Inputs!$I$9+(((A61)+1)/2)*(Inputs!$J$9-Inputs!$I$9)))/Inputs!$K$9)^2)</f>
        <v>276.61239999999998</v>
      </c>
      <c r="AD61" s="10"/>
      <c r="AE61" s="9">
        <f t="shared" si="4"/>
        <v>-0.50800000000000001</v>
      </c>
      <c r="AF61" s="9">
        <f>(((SQRT(((Inputs!$I$6+(((A61)+1)/2)*(Inputs!$J$6-Inputs!$I$6)))^2+Inputs!$C$6^2+((Inputs!$H$6+Inputs!$L$6*(((Inputs!$I$6+(((A61)+1)/2)*(Inputs!$J$6-Inputs!$I$6)))/Inputs!$K$6)^2))^2))-((Inputs!$H$6+Inputs!$L$6*(((Inputs!$I$6+(((A61)+1)/2)*(Inputs!$J$6-Inputs!$I$6)))/Inputs!$K$6)^2)))*1000/Inputs!$C$12)</f>
        <v>1085.8875853460092</v>
      </c>
      <c r="AG61" s="9">
        <f>(((SQRT(((Inputs!$I$7+(((A61)+1)/2)*(Inputs!$J$7-Inputs!$I$7)))^2+Inputs!$C$6^2+((Inputs!$H$7+Inputs!$L$7*(((Inputs!$I$7+(((A61)+1)/2)*(Inputs!$J$7-Inputs!$I$7)))/Inputs!$K$7)^2))^2))-((Inputs!$H$7+Inputs!$L$7*(((Inputs!$I$7+(((A61)+1)/2)*(Inputs!$J$7-Inputs!$I$7)))/Inputs!$K$7)^2)))*1000/Inputs!$C$12)</f>
        <v>63423.44976504115</v>
      </c>
      <c r="AH61" s="9">
        <f>(((SQRT(((Inputs!$I$8+(((A61)+1)/2)*(Inputs!$J$8-Inputs!$I$8)))^2+Inputs!$C$6^2+((Inputs!$H$8+Inputs!$L$8*(((Inputs!$I$8+(((A61)+1)/2)*(Inputs!$J$8-Inputs!$I$8)))/Inputs!$K$8)^2))^2))-((Inputs!$H$8+Inputs!$L$8*(((Inputs!$I$8+(((A61)+1)/2)*(Inputs!$J$8-Inputs!$I$8)))/Inputs!$K$8)^2)))*1000/Inputs!$C$12)</f>
        <v>119334.61773979013</v>
      </c>
      <c r="AI61" s="9">
        <f>(((SQRT(((Inputs!$I$9+(((A61)+1)/2)*(Inputs!$J$9-Inputs!$I$9)))^2+Inputs!$C$6^2+((Inputs!$H$9+Inputs!$L$9*(((Inputs!$I$9+(((A61)+1)/2)*(Inputs!$J$9-Inputs!$I$9)))/Inputs!$K$9)^2))^2))-((Inputs!$H$9+Inputs!$L$9*(((Inputs!$I$9+(((A61)+1)/2)*(Inputs!$J$9-Inputs!$I$9)))/Inputs!$K$9)^2)))*1000/Inputs!$C$12)</f>
        <v>121139.19370297399</v>
      </c>
      <c r="AJ61" s="10"/>
      <c r="AK61" s="9">
        <f t="shared" si="5"/>
        <v>-0.50800000000000001</v>
      </c>
      <c r="AL61" s="9">
        <f>(-2*((1000*((((Inputs!$I$6+(((A61)+1)/2)*(Inputs!$J$6-Inputs!$I$6)))*Inputs!$C$11+((Inputs!$H$6+Inputs!$L$6*(((Inputs!$I$6+(((A61)+1)/2)*(Inputs!$J$6-Inputs!$I$6)))/Inputs!$K$6)^2))*((2*Inputs!$L$6*((Inputs!$I$6+(((A61)+1)/2)*(Inputs!$J$6-Inputs!$I$6)))/(Inputs!$K$6^2)*Inputs!$C$11)))/(SQRT(((Inputs!$I$6+(((A61)+1)/2)*(Inputs!$J$6-Inputs!$I$6)))^2+Inputs!$C$6^2+((Inputs!$H$6+Inputs!$L$6*(((Inputs!$I$6+(((A61)+1)/2)*(Inputs!$J$6-Inputs!$I$6)))/Inputs!$K$6)^2))^2)))))/Inputs!$C$13)</f>
        <v>228.87638194922107</v>
      </c>
      <c r="AM61" s="9">
        <f>(-2*((1000*((((Inputs!$I$7+(((A61)+1)/2)*(Inputs!$J$7-Inputs!$I$7)))*Inputs!$C$11+((Inputs!$H$7+Inputs!$L$7*(((Inputs!$I$7+(((A61)+1)/2)*(Inputs!$J$7-Inputs!$I$7)))/Inputs!$K$7)^2))*((2*Inputs!$L$7*((Inputs!$I$7+(((A61)+1)/2)*(Inputs!$J$7-Inputs!$I$7)))/(Inputs!$K$7^2)*Inputs!$C$11)))/(SQRT(((Inputs!$I$7+(((A61)+1)/2)*(Inputs!$J$7-Inputs!$I$7)))^2+Inputs!$C$6^2+((Inputs!$H$7+Inputs!$L$7*(((Inputs!$I$7+(((A61)+1)/2)*(Inputs!$J$7-Inputs!$I$7)))/Inputs!$K$7)^2))^2)))))/Inputs!$C$13)</f>
        <v>2134.6046990845202</v>
      </c>
      <c r="AN61" s="9">
        <f>(-2*((1000*((((Inputs!$I$8+(((A61)+1)/2)*(Inputs!$J$8-Inputs!$I$8)))*Inputs!$C$11+((Inputs!$H$8+Inputs!$L$8*(((Inputs!$I$8+(((A61)+1)/2)*(Inputs!$J$8-Inputs!$I$8)))/Inputs!$K$8)^2))*((2*Inputs!$L$8*((Inputs!$I$8+(((A61)+1)/2)*(Inputs!$J$8-Inputs!$I$8)))/(Inputs!$K$8^2)*Inputs!$C$11)))/(SQRT(((Inputs!$I$8+(((A61)+1)/2)*(Inputs!$J$8-Inputs!$I$8)))^2+Inputs!$C$6^2+((Inputs!$H$8+Inputs!$L$8*(((Inputs!$I$8+(((A61)+1)/2)*(Inputs!$J$8-Inputs!$I$8)))/Inputs!$K$8)^2))^2)))))/Inputs!$C$13)</f>
        <v>2431.6619388298814</v>
      </c>
      <c r="AO61" s="9">
        <f>(-2*((1000*((((Inputs!$I$9+(((A61)+1)/2)*(Inputs!$J$9-Inputs!$I$9)))*Inputs!$C$11+((Inputs!$H$9+Inputs!$L$9*(((Inputs!$I$9+(((A61)+1)/2)*(Inputs!$J$9-Inputs!$I$9)))/Inputs!$K$9)^2))*((2*Inputs!$L$9*((Inputs!$I$9+(((A61)+1)/2)*(Inputs!$J$9-Inputs!$I$9)))/(Inputs!$K$9^2)*Inputs!$C$11)))/(SQRT(((Inputs!$I$9+(((A61)+1)/2)*(Inputs!$J$9-Inputs!$I$9)))^2+Inputs!$C$6^2+((Inputs!$H$9+Inputs!$L$9*(((Inputs!$I$9+(((A61)+1)/2)*(Inputs!$J$9-Inputs!$I$9)))/Inputs!$K$9)^2))^2)))))/Inputs!$C$13)</f>
        <v>2434.3086415714479</v>
      </c>
    </row>
    <row r="62" spans="1:41">
      <c r="A62" s="9">
        <f>ROUND(-1+60*2/240,3)</f>
        <v>-0.5</v>
      </c>
      <c r="B62" s="9">
        <f>IF(OR(Inputs!$F$6=TRUE,Inputs!$F$6="TRUE",Inputs!$F$6=1),(Inputs!$H$6+Inputs!$L$6*(((Inputs!$I$6+(((A62)+1)/2)*(Inputs!$J$6-Inputs!$I$6)))/Inputs!$K$6)^2),NA())</f>
        <v>401</v>
      </c>
      <c r="C62" s="9">
        <f>IF(OR(Inputs!$F$7=TRUE,Inputs!$F$7="TRUE",Inputs!$F$7=1),(Inputs!$H$7+Inputs!$L$7*(((Inputs!$I$7+(((A62)+1)/2)*(Inputs!$J$7-Inputs!$I$7)))/Inputs!$K$7)^2),NA())</f>
        <v>126.25</v>
      </c>
      <c r="D62" s="9">
        <f>IF(OR(Inputs!$F$8=TRUE,Inputs!$F$8="TRUE",Inputs!$F$8=1),(Inputs!$H$8+Inputs!$L$8*(((Inputs!$I$8+(((A62)+1)/2)*(Inputs!$J$8-Inputs!$I$8)))/Inputs!$K$8)^2),NA())</f>
        <v>276.25</v>
      </c>
      <c r="E62" s="9">
        <f>IF(OR(Inputs!$F$9=TRUE,Inputs!$F$9="TRUE",Inputs!$F$9=1),(Inputs!$H$9+Inputs!$L$9*(((Inputs!$I$9+(((A62)+1)/2)*(Inputs!$J$9-Inputs!$I$9)))/Inputs!$K$9)^2),NA())</f>
        <v>268.75</v>
      </c>
      <c r="F62" s="10"/>
      <c r="G62" s="9">
        <f t="shared" si="0"/>
        <v>-0.5</v>
      </c>
      <c r="H62" s="9">
        <f>IF(OR(Inputs!$F$6=TRUE,Inputs!$F$6="TRUE",Inputs!$F$6=1),(((SQRT(((Inputs!$I$6+(((A62)+1)/2)*(Inputs!$J$6-Inputs!$I$6)))^2+Inputs!$C$6^2+((Inputs!$H$6+Inputs!$L$6*(((Inputs!$I$6+(((A62)+1)/2)*(Inputs!$J$6-Inputs!$I$6)))/Inputs!$K$6)^2))^2))-((Inputs!$H$6+Inputs!$L$6*(((Inputs!$I$6+(((A62)+1)/2)*(Inputs!$J$6-Inputs!$I$6)))/Inputs!$K$6)^2)))*1000/Inputs!$C$12),NA())</f>
        <v>1065.7354900670628</v>
      </c>
      <c r="I62" s="9">
        <f>IF(OR(Inputs!$F$7=TRUE,Inputs!$F$7="TRUE",Inputs!$F$7=1),(((SQRT(((Inputs!$I$7+(((A62)+1)/2)*(Inputs!$J$7-Inputs!$I$7)))^2+Inputs!$C$6^2+((Inputs!$H$7+Inputs!$L$7*(((Inputs!$I$7+(((A62)+1)/2)*(Inputs!$J$7-Inputs!$I$7)))/Inputs!$K$7)^2))^2))-((Inputs!$H$7+Inputs!$L$7*(((Inputs!$I$7+(((A62)+1)/2)*(Inputs!$J$7-Inputs!$I$7)))/Inputs!$K$7)^2)))*1000/Inputs!$C$12),NA())</f>
        <v>62686.519542073103</v>
      </c>
      <c r="J62" s="9">
        <f>IF(OR(Inputs!$F$8=TRUE,Inputs!$F$8="TRUE",Inputs!$F$8=1),(((SQRT(((Inputs!$I$8+(((A62)+1)/2)*(Inputs!$J$8-Inputs!$I$8)))^2+Inputs!$C$6^2+((Inputs!$H$8+Inputs!$L$8*(((Inputs!$I$8+(((A62)+1)/2)*(Inputs!$J$8-Inputs!$I$8)))/Inputs!$K$8)^2))^2))-((Inputs!$H$8+Inputs!$L$8*(((Inputs!$I$8+(((A62)+1)/2)*(Inputs!$J$8-Inputs!$I$8)))/Inputs!$K$8)^2)))*1000/Inputs!$C$12),NA())</f>
        <v>118266.21757916138</v>
      </c>
      <c r="K62" s="9">
        <f>IF(OR(Inputs!$F$9=TRUE,Inputs!$F$9="TRUE",Inputs!$F$9=1),(((SQRT(((Inputs!$I$9+(((A62)+1)/2)*(Inputs!$J$9-Inputs!$I$9)))^2+Inputs!$C$6^2+((Inputs!$H$9+Inputs!$L$9*(((Inputs!$I$9+(((A62)+1)/2)*(Inputs!$J$9-Inputs!$I$9)))/Inputs!$K$9)^2))^2))-((Inputs!$H$9+Inputs!$L$9*(((Inputs!$I$9+(((A62)+1)/2)*(Inputs!$J$9-Inputs!$I$9)))/Inputs!$K$9)^2)))*1000/Inputs!$C$12),NA())</f>
        <v>120110.64813142721</v>
      </c>
      <c r="L62" s="10"/>
      <c r="M62" s="9">
        <f t="shared" si="1"/>
        <v>-0.5</v>
      </c>
      <c r="N62" s="9">
        <f>IF(OR(Inputs!$F$6=TRUE,Inputs!$F$6="TRUE",Inputs!$F$6=1),(-2*((1000*((((Inputs!$I$6+(((A62)+1)/2)*(Inputs!$J$6-Inputs!$I$6)))*Inputs!$C$11+((Inputs!$H$6+Inputs!$L$6*(((Inputs!$I$6+(((A62)+1)/2)*(Inputs!$J$6-Inputs!$I$6)))/Inputs!$K$6)^2))*((2*Inputs!$L$6*((Inputs!$I$6+(((A62)+1)/2)*(Inputs!$J$6-Inputs!$I$6)))/(Inputs!$K$6^2)*Inputs!$C$11)))/(SQRT(((Inputs!$I$6+(((A62)+1)/2)*(Inputs!$J$6-Inputs!$I$6)))^2+Inputs!$C$6^2+((Inputs!$H$6+Inputs!$L$6*(((Inputs!$I$6+(((A62)+1)/2)*(Inputs!$J$6-Inputs!$I$6)))/Inputs!$K$6)^2))^2)))))/Inputs!$C$13),NA())</f>
        <v>225.30158146324069</v>
      </c>
      <c r="O62" s="9">
        <f>IF(OR(Inputs!$F$7=TRUE,Inputs!$F$7="TRUE",Inputs!$F$7=1),(-2*((1000*((((Inputs!$I$7+(((A62)+1)/2)*(Inputs!$J$7-Inputs!$I$7)))*Inputs!$C$11+((Inputs!$H$7+Inputs!$L$7*(((Inputs!$I$7+(((A62)+1)/2)*(Inputs!$J$7-Inputs!$I$7)))/Inputs!$K$7)^2))*((2*Inputs!$L$7*((Inputs!$I$7+(((A62)+1)/2)*(Inputs!$J$7-Inputs!$I$7)))/(Inputs!$K$7^2)*Inputs!$C$11)))/(SQRT(((Inputs!$I$7+(((A62)+1)/2)*(Inputs!$J$7-Inputs!$I$7)))^2+Inputs!$C$6^2+((Inputs!$H$7+Inputs!$L$7*(((Inputs!$I$7+(((A62)+1)/2)*(Inputs!$J$7-Inputs!$I$7)))/Inputs!$K$7)^2))^2)))))/Inputs!$C$13),NA())</f>
        <v>2120.5093925695264</v>
      </c>
      <c r="P62" s="9">
        <f>IF(OR(Inputs!$F$8=TRUE,Inputs!$F$8="TRUE",Inputs!$F$8=1),(-2*((1000*((((Inputs!$I$8+(((A62)+1)/2)*(Inputs!$J$8-Inputs!$I$8)))*Inputs!$C$11+((Inputs!$H$8+Inputs!$L$8*(((Inputs!$I$8+(((A62)+1)/2)*(Inputs!$J$8-Inputs!$I$8)))/Inputs!$K$8)^2))*((2*Inputs!$L$8*((Inputs!$I$8+(((A62)+1)/2)*(Inputs!$J$8-Inputs!$I$8)))/(Inputs!$K$8^2)*Inputs!$C$11)))/(SQRT(((Inputs!$I$8+(((A62)+1)/2)*(Inputs!$J$8-Inputs!$I$8)))^2+Inputs!$C$6^2+((Inputs!$H$8+Inputs!$L$8*(((Inputs!$I$8+(((A62)+1)/2)*(Inputs!$J$8-Inputs!$I$8)))/Inputs!$K$8)^2))^2)))))/Inputs!$C$13),NA())</f>
        <v>2410.1265086277999</v>
      </c>
      <c r="Q62" s="9">
        <f>IF(OR(Inputs!$F$9=TRUE,Inputs!$F$9="TRUE",Inputs!$F$9=1),(-2*((1000*((((Inputs!$I$9+(((A62)+1)/2)*(Inputs!$J$9-Inputs!$I$9)))*Inputs!$C$11+((Inputs!$H$9+Inputs!$L$9*(((Inputs!$I$9+(((A62)+1)/2)*(Inputs!$J$9-Inputs!$I$9)))/Inputs!$K$9)^2))*((2*Inputs!$L$9*((Inputs!$I$9+(((A62)+1)/2)*(Inputs!$J$9-Inputs!$I$9)))/(Inputs!$K$9^2)*Inputs!$C$11)))/(SQRT(((Inputs!$I$9+(((A62)+1)/2)*(Inputs!$J$9-Inputs!$I$9)))^2+Inputs!$C$6^2+((Inputs!$H$9+Inputs!$L$9*(((Inputs!$I$9+(((A62)+1)/2)*(Inputs!$J$9-Inputs!$I$9)))/Inputs!$K$9)^2))^2)))))/Inputs!$C$13),NA())</f>
        <v>2412.3300150114787</v>
      </c>
      <c r="R62" s="10"/>
      <c r="S62" s="9">
        <f t="shared" si="2"/>
        <v>-0.5</v>
      </c>
      <c r="T62" s="9">
        <f>(Inputs!$I$6+(((A62)+1)/2)*(Inputs!$J$6-Inputs!$I$6))</f>
        <v>-30</v>
      </c>
      <c r="U62" s="9">
        <f>(Inputs!$I$7+(((A62)+1)/2)*(Inputs!$J$7-Inputs!$I$7))</f>
        <v>-200</v>
      </c>
      <c r="V62" s="9">
        <f>(Inputs!$I$8+(((A62)+1)/2)*(Inputs!$J$8-Inputs!$I$8))</f>
        <v>-400</v>
      </c>
      <c r="W62" s="9">
        <f>(Inputs!$I$9+(((A62)+1)/2)*(Inputs!$J$9-Inputs!$I$9))</f>
        <v>-400</v>
      </c>
      <c r="X62" s="10"/>
      <c r="Y62" s="9">
        <f t="shared" si="3"/>
        <v>-0.5</v>
      </c>
      <c r="Z62" s="9">
        <f>(Inputs!$H$6+Inputs!$L$6*(((Inputs!$I$6+(((A62)+1)/2)*(Inputs!$J$6-Inputs!$I$6)))/Inputs!$K$6)^2)</f>
        <v>401</v>
      </c>
      <c r="AA62" s="9">
        <f>(Inputs!$H$7+Inputs!$L$7*(((Inputs!$I$7+(((A62)+1)/2)*(Inputs!$J$7-Inputs!$I$7)))/Inputs!$K$7)^2)</f>
        <v>126.25</v>
      </c>
      <c r="AB62" s="9">
        <f>(Inputs!$H$8+Inputs!$L$8*(((Inputs!$I$8+(((A62)+1)/2)*(Inputs!$J$8-Inputs!$I$8)))/Inputs!$K$8)^2)</f>
        <v>276.25</v>
      </c>
      <c r="AC62" s="9">
        <f>(Inputs!$H$9+Inputs!$L$9*(((Inputs!$I$9+(((A62)+1)/2)*(Inputs!$J$9-Inputs!$I$9)))/Inputs!$K$9)^2)</f>
        <v>268.75</v>
      </c>
      <c r="AD62" s="10"/>
      <c r="AE62" s="9">
        <f t="shared" si="4"/>
        <v>-0.5</v>
      </c>
      <c r="AF62" s="9">
        <f>(((SQRT(((Inputs!$I$6+(((A62)+1)/2)*(Inputs!$J$6-Inputs!$I$6)))^2+Inputs!$C$6^2+((Inputs!$H$6+Inputs!$L$6*(((Inputs!$I$6+(((A62)+1)/2)*(Inputs!$J$6-Inputs!$I$6)))/Inputs!$K$6)^2))^2))-((Inputs!$H$6+Inputs!$L$6*(((Inputs!$I$6+(((A62)+1)/2)*(Inputs!$J$6-Inputs!$I$6)))/Inputs!$K$6)^2)))*1000/Inputs!$C$12)</f>
        <v>1065.7354900670628</v>
      </c>
      <c r="AG62" s="9">
        <f>(((SQRT(((Inputs!$I$7+(((A62)+1)/2)*(Inputs!$J$7-Inputs!$I$7)))^2+Inputs!$C$6^2+((Inputs!$H$7+Inputs!$L$7*(((Inputs!$I$7+(((A62)+1)/2)*(Inputs!$J$7-Inputs!$I$7)))/Inputs!$K$7)^2))^2))-((Inputs!$H$7+Inputs!$L$7*(((Inputs!$I$7+(((A62)+1)/2)*(Inputs!$J$7-Inputs!$I$7)))/Inputs!$K$7)^2)))*1000/Inputs!$C$12)</f>
        <v>62686.519542073103</v>
      </c>
      <c r="AH62" s="9">
        <f>(((SQRT(((Inputs!$I$8+(((A62)+1)/2)*(Inputs!$J$8-Inputs!$I$8)))^2+Inputs!$C$6^2+((Inputs!$H$8+Inputs!$L$8*(((Inputs!$I$8+(((A62)+1)/2)*(Inputs!$J$8-Inputs!$I$8)))/Inputs!$K$8)^2))^2))-((Inputs!$H$8+Inputs!$L$8*(((Inputs!$I$8+(((A62)+1)/2)*(Inputs!$J$8-Inputs!$I$8)))/Inputs!$K$8)^2)))*1000/Inputs!$C$12)</f>
        <v>118266.21757916138</v>
      </c>
      <c r="AI62" s="9">
        <f>(((SQRT(((Inputs!$I$9+(((A62)+1)/2)*(Inputs!$J$9-Inputs!$I$9)))^2+Inputs!$C$6^2+((Inputs!$H$9+Inputs!$L$9*(((Inputs!$I$9+(((A62)+1)/2)*(Inputs!$J$9-Inputs!$I$9)))/Inputs!$K$9)^2))^2))-((Inputs!$H$9+Inputs!$L$9*(((Inputs!$I$9+(((A62)+1)/2)*(Inputs!$J$9-Inputs!$I$9)))/Inputs!$K$9)^2)))*1000/Inputs!$C$12)</f>
        <v>120110.64813142721</v>
      </c>
      <c r="AJ62" s="10"/>
      <c r="AK62" s="9">
        <f t="shared" si="5"/>
        <v>-0.5</v>
      </c>
      <c r="AL62" s="9">
        <f>(-2*((1000*((((Inputs!$I$6+(((A62)+1)/2)*(Inputs!$J$6-Inputs!$I$6)))*Inputs!$C$11+((Inputs!$H$6+Inputs!$L$6*(((Inputs!$I$6+(((A62)+1)/2)*(Inputs!$J$6-Inputs!$I$6)))/Inputs!$K$6)^2))*((2*Inputs!$L$6*((Inputs!$I$6+(((A62)+1)/2)*(Inputs!$J$6-Inputs!$I$6)))/(Inputs!$K$6^2)*Inputs!$C$11)))/(SQRT(((Inputs!$I$6+(((A62)+1)/2)*(Inputs!$J$6-Inputs!$I$6)))^2+Inputs!$C$6^2+((Inputs!$H$6+Inputs!$L$6*(((Inputs!$I$6+(((A62)+1)/2)*(Inputs!$J$6-Inputs!$I$6)))/Inputs!$K$6)^2))^2)))))/Inputs!$C$13)</f>
        <v>225.30158146324069</v>
      </c>
      <c r="AM62" s="9">
        <f>(-2*((1000*((((Inputs!$I$7+(((A62)+1)/2)*(Inputs!$J$7-Inputs!$I$7)))*Inputs!$C$11+((Inputs!$H$7+Inputs!$L$7*(((Inputs!$I$7+(((A62)+1)/2)*(Inputs!$J$7-Inputs!$I$7)))/Inputs!$K$7)^2))*((2*Inputs!$L$7*((Inputs!$I$7+(((A62)+1)/2)*(Inputs!$J$7-Inputs!$I$7)))/(Inputs!$K$7^2)*Inputs!$C$11)))/(SQRT(((Inputs!$I$7+(((A62)+1)/2)*(Inputs!$J$7-Inputs!$I$7)))^2+Inputs!$C$6^2+((Inputs!$H$7+Inputs!$L$7*(((Inputs!$I$7+(((A62)+1)/2)*(Inputs!$J$7-Inputs!$I$7)))/Inputs!$K$7)^2))^2)))))/Inputs!$C$13)</f>
        <v>2120.5093925695264</v>
      </c>
      <c r="AN62" s="9">
        <f>(-2*((1000*((((Inputs!$I$8+(((A62)+1)/2)*(Inputs!$J$8-Inputs!$I$8)))*Inputs!$C$11+((Inputs!$H$8+Inputs!$L$8*(((Inputs!$I$8+(((A62)+1)/2)*(Inputs!$J$8-Inputs!$I$8)))/Inputs!$K$8)^2))*((2*Inputs!$L$8*((Inputs!$I$8+(((A62)+1)/2)*(Inputs!$J$8-Inputs!$I$8)))/(Inputs!$K$8^2)*Inputs!$C$11)))/(SQRT(((Inputs!$I$8+(((A62)+1)/2)*(Inputs!$J$8-Inputs!$I$8)))^2+Inputs!$C$6^2+((Inputs!$H$8+Inputs!$L$8*(((Inputs!$I$8+(((A62)+1)/2)*(Inputs!$J$8-Inputs!$I$8)))/Inputs!$K$8)^2))^2)))))/Inputs!$C$13)</f>
        <v>2410.1265086277999</v>
      </c>
      <c r="AO62" s="9">
        <f>(-2*((1000*((((Inputs!$I$9+(((A62)+1)/2)*(Inputs!$J$9-Inputs!$I$9)))*Inputs!$C$11+((Inputs!$H$9+Inputs!$L$9*(((Inputs!$I$9+(((A62)+1)/2)*(Inputs!$J$9-Inputs!$I$9)))/Inputs!$K$9)^2))*((2*Inputs!$L$9*((Inputs!$I$9+(((A62)+1)/2)*(Inputs!$J$9-Inputs!$I$9)))/(Inputs!$K$9^2)*Inputs!$C$11)))/(SQRT(((Inputs!$I$9+(((A62)+1)/2)*(Inputs!$J$9-Inputs!$I$9)))^2+Inputs!$C$6^2+((Inputs!$H$9+Inputs!$L$9*(((Inputs!$I$9+(((A62)+1)/2)*(Inputs!$J$9-Inputs!$I$9)))/Inputs!$K$9)^2))^2)))))/Inputs!$C$13)</f>
        <v>2412.3300150114787</v>
      </c>
    </row>
    <row r="63" spans="1:41">
      <c r="A63" s="9">
        <f>ROUND(-1+61*2/240,3)</f>
        <v>-0.49199999999999999</v>
      </c>
      <c r="B63" s="9">
        <f>IF(OR(Inputs!$F$6=TRUE,Inputs!$F$6="TRUE",Inputs!$F$6=1),(Inputs!$H$6+Inputs!$L$6*(((Inputs!$I$6+(((A63)+1)/2)*(Inputs!$J$6-Inputs!$I$6)))/Inputs!$K$6)^2),NA())</f>
        <v>400.968256</v>
      </c>
      <c r="C63" s="9">
        <f>IF(OR(Inputs!$F$7=TRUE,Inputs!$F$7="TRUE",Inputs!$F$7=1),(Inputs!$H$7+Inputs!$L$7*(((Inputs!$I$7+(((A63)+1)/2)*(Inputs!$J$7-Inputs!$I$7)))/Inputs!$K$7)^2),NA())</f>
        <v>123.35336000000002</v>
      </c>
      <c r="D63" s="9">
        <f>IF(OR(Inputs!$F$8=TRUE,Inputs!$F$8="TRUE",Inputs!$F$8=1),(Inputs!$H$8+Inputs!$L$8*(((Inputs!$I$8+(((A63)+1)/2)*(Inputs!$J$8-Inputs!$I$8)))/Inputs!$K$8)^2),NA())</f>
        <v>268.59176000000002</v>
      </c>
      <c r="E63" s="9">
        <f>IF(OR(Inputs!$F$9=TRUE,Inputs!$F$9="TRUE",Inputs!$F$9=1),(Inputs!$H$9+Inputs!$L$9*(((Inputs!$I$9+(((A63)+1)/2)*(Inputs!$J$9-Inputs!$I$9)))/Inputs!$K$9)^2),NA())</f>
        <v>261.01240000000007</v>
      </c>
      <c r="F63" s="10"/>
      <c r="G63" s="9">
        <f t="shared" si="0"/>
        <v>-0.49199999999999999</v>
      </c>
      <c r="H63" s="9">
        <f>IF(OR(Inputs!$F$6=TRUE,Inputs!$F$6="TRUE",Inputs!$F$6=1),(((SQRT(((Inputs!$I$6+(((A63)+1)/2)*(Inputs!$J$6-Inputs!$I$6)))^2+Inputs!$C$6^2+((Inputs!$H$6+Inputs!$L$6*(((Inputs!$I$6+(((A63)+1)/2)*(Inputs!$J$6-Inputs!$I$6)))/Inputs!$K$6)^2))^2))-((Inputs!$H$6+Inputs!$L$6*(((Inputs!$I$6+(((A63)+1)/2)*(Inputs!$J$6-Inputs!$I$6)))/Inputs!$K$6)^2)))*1000/Inputs!$C$12),NA())</f>
        <v>1045.8983664725858</v>
      </c>
      <c r="I63" s="9">
        <f>IF(OR(Inputs!$F$7=TRUE,Inputs!$F$7="TRUE",Inputs!$F$7=1),(((SQRT(((Inputs!$I$7+(((A63)+1)/2)*(Inputs!$J$7-Inputs!$I$7)))^2+Inputs!$C$6^2+((Inputs!$H$7+Inputs!$L$7*(((Inputs!$I$7+(((A63)+1)/2)*(Inputs!$J$7-Inputs!$I$7)))/Inputs!$K$7)^2))^2))-((Inputs!$H$7+Inputs!$L$7*(((Inputs!$I$7+(((A63)+1)/2)*(Inputs!$J$7-Inputs!$I$7)))/Inputs!$K$7)^2)))*1000/Inputs!$C$12),NA())</f>
        <v>61939.118062168112</v>
      </c>
      <c r="J63" s="9">
        <f>IF(OR(Inputs!$F$8=TRUE,Inputs!$F$8="TRUE",Inputs!$F$8=1),(((SQRT(((Inputs!$I$8+(((A63)+1)/2)*(Inputs!$J$8-Inputs!$I$8)))^2+Inputs!$C$6^2+((Inputs!$H$8+Inputs!$L$8*(((Inputs!$I$8+(((A63)+1)/2)*(Inputs!$J$8-Inputs!$I$8)))/Inputs!$K$8)^2))^2))-((Inputs!$H$8+Inputs!$L$8*(((Inputs!$I$8+(((A63)+1)/2)*(Inputs!$J$8-Inputs!$I$8)))/Inputs!$K$8)^2)))*1000/Inputs!$C$12),NA())</f>
        <v>117176.59936188685</v>
      </c>
      <c r="K63" s="9">
        <f>IF(OR(Inputs!$F$9=TRUE,Inputs!$F$9="TRUE",Inputs!$F$9=1),(((SQRT(((Inputs!$I$9+(((A63)+1)/2)*(Inputs!$J$9-Inputs!$I$9)))^2+Inputs!$C$6^2+((Inputs!$H$9+Inputs!$L$9*(((Inputs!$I$9+(((A63)+1)/2)*(Inputs!$J$9-Inputs!$I$9)))/Inputs!$K$9)^2))^2))-((Inputs!$H$9+Inputs!$L$9*(((Inputs!$I$9+(((A63)+1)/2)*(Inputs!$J$9-Inputs!$I$9)))/Inputs!$K$9)^2)))*1000/Inputs!$C$12),NA())</f>
        <v>119061.15584428063</v>
      </c>
      <c r="L63" s="10"/>
      <c r="M63" s="9">
        <f t="shared" si="1"/>
        <v>-0.49199999999999999</v>
      </c>
      <c r="N63" s="9">
        <f>IF(OR(Inputs!$F$6=TRUE,Inputs!$F$6="TRUE",Inputs!$F$6=1),(-2*((1000*((((Inputs!$I$6+(((A63)+1)/2)*(Inputs!$J$6-Inputs!$I$6)))*Inputs!$C$11+((Inputs!$H$6+Inputs!$L$6*(((Inputs!$I$6+(((A63)+1)/2)*(Inputs!$J$6-Inputs!$I$6)))/Inputs!$K$6)^2))*((2*Inputs!$L$6*((Inputs!$I$6+(((A63)+1)/2)*(Inputs!$J$6-Inputs!$I$6)))/(Inputs!$K$6^2)*Inputs!$C$11)))/(SQRT(((Inputs!$I$6+(((A63)+1)/2)*(Inputs!$J$6-Inputs!$I$6)))^2+Inputs!$C$6^2+((Inputs!$H$6+Inputs!$L$6*(((Inputs!$I$6+(((A63)+1)/2)*(Inputs!$J$6-Inputs!$I$6)))/Inputs!$K$6)^2))^2)))))/Inputs!$C$13),NA())</f>
        <v>221.72538814619696</v>
      </c>
      <c r="O63" s="9">
        <f>IF(OR(Inputs!$F$7=TRUE,Inputs!$F$7="TRUE",Inputs!$F$7=1),(-2*((1000*((((Inputs!$I$7+(((A63)+1)/2)*(Inputs!$J$7-Inputs!$I$7)))*Inputs!$C$11+((Inputs!$H$7+Inputs!$L$7*(((Inputs!$I$7+(((A63)+1)/2)*(Inputs!$J$7-Inputs!$I$7)))/Inputs!$K$7)^2))*((2*Inputs!$L$7*((Inputs!$I$7+(((A63)+1)/2)*(Inputs!$J$7-Inputs!$I$7)))/(Inputs!$K$7^2)*Inputs!$C$11)))/(SQRT(((Inputs!$I$7+(((A63)+1)/2)*(Inputs!$J$7-Inputs!$I$7)))^2+Inputs!$C$6^2+((Inputs!$H$7+Inputs!$L$7*(((Inputs!$I$7+(((A63)+1)/2)*(Inputs!$J$7-Inputs!$I$7)))/Inputs!$K$7)^2))^2)))))/Inputs!$C$13),NA())</f>
        <v>2106.5233700403096</v>
      </c>
      <c r="P63" s="9">
        <f>IF(OR(Inputs!$F$8=TRUE,Inputs!$F$8="TRUE",Inputs!$F$8=1),(-2*((1000*((((Inputs!$I$8+(((A63)+1)/2)*(Inputs!$J$8-Inputs!$I$8)))*Inputs!$C$11+((Inputs!$H$8+Inputs!$L$8*(((Inputs!$I$8+(((A63)+1)/2)*(Inputs!$J$8-Inputs!$I$8)))/Inputs!$K$8)^2))*((2*Inputs!$L$8*((Inputs!$I$8+(((A63)+1)/2)*(Inputs!$J$8-Inputs!$I$8)))/(Inputs!$K$8^2)*Inputs!$C$11)))/(SQRT(((Inputs!$I$8+(((A63)+1)/2)*(Inputs!$J$8-Inputs!$I$8)))^2+Inputs!$C$6^2+((Inputs!$H$8+Inputs!$L$8*(((Inputs!$I$8+(((A63)+1)/2)*(Inputs!$J$8-Inputs!$I$8)))/Inputs!$K$8)^2))^2)))))/Inputs!$C$13),NA())</f>
        <v>2388.7865606005753</v>
      </c>
      <c r="Q63" s="9">
        <f>IF(OR(Inputs!$F$9=TRUE,Inputs!$F$9="TRUE",Inputs!$F$9=1),(-2*((1000*((((Inputs!$I$9+(((A63)+1)/2)*(Inputs!$J$9-Inputs!$I$9)))*Inputs!$C$11+((Inputs!$H$9+Inputs!$L$9*(((Inputs!$I$9+(((A63)+1)/2)*(Inputs!$J$9-Inputs!$I$9)))/Inputs!$K$9)^2))*((2*Inputs!$L$9*((Inputs!$I$9+(((A63)+1)/2)*(Inputs!$J$9-Inputs!$I$9)))/(Inputs!$K$9^2)*Inputs!$C$11)))/(SQRT(((Inputs!$I$9+(((A63)+1)/2)*(Inputs!$J$9-Inputs!$I$9)))^2+Inputs!$C$6^2+((Inputs!$H$9+Inputs!$L$9*(((Inputs!$I$9+(((A63)+1)/2)*(Inputs!$J$9-Inputs!$I$9)))/Inputs!$K$9)^2))^2)))))/Inputs!$C$13),NA())</f>
        <v>2390.5518400502733</v>
      </c>
      <c r="R63" s="10"/>
      <c r="S63" s="9">
        <f t="shared" si="2"/>
        <v>-0.49199999999999999</v>
      </c>
      <c r="T63" s="9">
        <f>(Inputs!$I$6+(((A63)+1)/2)*(Inputs!$J$6-Inputs!$I$6))</f>
        <v>-29.52</v>
      </c>
      <c r="U63" s="9">
        <f>(Inputs!$I$7+(((A63)+1)/2)*(Inputs!$J$7-Inputs!$I$7))</f>
        <v>-196.8</v>
      </c>
      <c r="V63" s="9">
        <f>(Inputs!$I$8+(((A63)+1)/2)*(Inputs!$J$8-Inputs!$I$8))</f>
        <v>-393.6</v>
      </c>
      <c r="W63" s="9">
        <f>(Inputs!$I$9+(((A63)+1)/2)*(Inputs!$J$9-Inputs!$I$9))</f>
        <v>-393.6</v>
      </c>
      <c r="X63" s="10"/>
      <c r="Y63" s="9">
        <f t="shared" si="3"/>
        <v>-0.49199999999999999</v>
      </c>
      <c r="Z63" s="9">
        <f>(Inputs!$H$6+Inputs!$L$6*(((Inputs!$I$6+(((A63)+1)/2)*(Inputs!$J$6-Inputs!$I$6)))/Inputs!$K$6)^2)</f>
        <v>400.968256</v>
      </c>
      <c r="AA63" s="9">
        <f>(Inputs!$H$7+Inputs!$L$7*(((Inputs!$I$7+(((A63)+1)/2)*(Inputs!$J$7-Inputs!$I$7)))/Inputs!$K$7)^2)</f>
        <v>123.35336000000002</v>
      </c>
      <c r="AB63" s="9">
        <f>(Inputs!$H$8+Inputs!$L$8*(((Inputs!$I$8+(((A63)+1)/2)*(Inputs!$J$8-Inputs!$I$8)))/Inputs!$K$8)^2)</f>
        <v>268.59176000000002</v>
      </c>
      <c r="AC63" s="9">
        <f>(Inputs!$H$9+Inputs!$L$9*(((Inputs!$I$9+(((A63)+1)/2)*(Inputs!$J$9-Inputs!$I$9)))/Inputs!$K$9)^2)</f>
        <v>261.01240000000007</v>
      </c>
      <c r="AD63" s="10"/>
      <c r="AE63" s="9">
        <f t="shared" si="4"/>
        <v>-0.49199999999999999</v>
      </c>
      <c r="AF63" s="9">
        <f>(((SQRT(((Inputs!$I$6+(((A63)+1)/2)*(Inputs!$J$6-Inputs!$I$6)))^2+Inputs!$C$6^2+((Inputs!$H$6+Inputs!$L$6*(((Inputs!$I$6+(((A63)+1)/2)*(Inputs!$J$6-Inputs!$I$6)))/Inputs!$K$6)^2))^2))-((Inputs!$H$6+Inputs!$L$6*(((Inputs!$I$6+(((A63)+1)/2)*(Inputs!$J$6-Inputs!$I$6)))/Inputs!$K$6)^2)))*1000/Inputs!$C$12)</f>
        <v>1045.8983664725858</v>
      </c>
      <c r="AG63" s="9">
        <f>(((SQRT(((Inputs!$I$7+(((A63)+1)/2)*(Inputs!$J$7-Inputs!$I$7)))^2+Inputs!$C$6^2+((Inputs!$H$7+Inputs!$L$7*(((Inputs!$I$7+(((A63)+1)/2)*(Inputs!$J$7-Inputs!$I$7)))/Inputs!$K$7)^2))^2))-((Inputs!$H$7+Inputs!$L$7*(((Inputs!$I$7+(((A63)+1)/2)*(Inputs!$J$7-Inputs!$I$7)))/Inputs!$K$7)^2)))*1000/Inputs!$C$12)</f>
        <v>61939.118062168112</v>
      </c>
      <c r="AH63" s="9">
        <f>(((SQRT(((Inputs!$I$8+(((A63)+1)/2)*(Inputs!$J$8-Inputs!$I$8)))^2+Inputs!$C$6^2+((Inputs!$H$8+Inputs!$L$8*(((Inputs!$I$8+(((A63)+1)/2)*(Inputs!$J$8-Inputs!$I$8)))/Inputs!$K$8)^2))^2))-((Inputs!$H$8+Inputs!$L$8*(((Inputs!$I$8+(((A63)+1)/2)*(Inputs!$J$8-Inputs!$I$8)))/Inputs!$K$8)^2)))*1000/Inputs!$C$12)</f>
        <v>117176.59936188685</v>
      </c>
      <c r="AI63" s="9">
        <f>(((SQRT(((Inputs!$I$9+(((A63)+1)/2)*(Inputs!$J$9-Inputs!$I$9)))^2+Inputs!$C$6^2+((Inputs!$H$9+Inputs!$L$9*(((Inputs!$I$9+(((A63)+1)/2)*(Inputs!$J$9-Inputs!$I$9)))/Inputs!$K$9)^2))^2))-((Inputs!$H$9+Inputs!$L$9*(((Inputs!$I$9+(((A63)+1)/2)*(Inputs!$J$9-Inputs!$I$9)))/Inputs!$K$9)^2)))*1000/Inputs!$C$12)</f>
        <v>119061.15584428063</v>
      </c>
      <c r="AJ63" s="10"/>
      <c r="AK63" s="9">
        <f t="shared" si="5"/>
        <v>-0.49199999999999999</v>
      </c>
      <c r="AL63" s="9">
        <f>(-2*((1000*((((Inputs!$I$6+(((A63)+1)/2)*(Inputs!$J$6-Inputs!$I$6)))*Inputs!$C$11+((Inputs!$H$6+Inputs!$L$6*(((Inputs!$I$6+(((A63)+1)/2)*(Inputs!$J$6-Inputs!$I$6)))/Inputs!$K$6)^2))*((2*Inputs!$L$6*((Inputs!$I$6+(((A63)+1)/2)*(Inputs!$J$6-Inputs!$I$6)))/(Inputs!$K$6^2)*Inputs!$C$11)))/(SQRT(((Inputs!$I$6+(((A63)+1)/2)*(Inputs!$J$6-Inputs!$I$6)))^2+Inputs!$C$6^2+((Inputs!$H$6+Inputs!$L$6*(((Inputs!$I$6+(((A63)+1)/2)*(Inputs!$J$6-Inputs!$I$6)))/Inputs!$K$6)^2))^2)))))/Inputs!$C$13)</f>
        <v>221.72538814619696</v>
      </c>
      <c r="AM63" s="9">
        <f>(-2*((1000*((((Inputs!$I$7+(((A63)+1)/2)*(Inputs!$J$7-Inputs!$I$7)))*Inputs!$C$11+((Inputs!$H$7+Inputs!$L$7*(((Inputs!$I$7+(((A63)+1)/2)*(Inputs!$J$7-Inputs!$I$7)))/Inputs!$K$7)^2))*((2*Inputs!$L$7*((Inputs!$I$7+(((A63)+1)/2)*(Inputs!$J$7-Inputs!$I$7)))/(Inputs!$K$7^2)*Inputs!$C$11)))/(SQRT(((Inputs!$I$7+(((A63)+1)/2)*(Inputs!$J$7-Inputs!$I$7)))^2+Inputs!$C$6^2+((Inputs!$H$7+Inputs!$L$7*(((Inputs!$I$7+(((A63)+1)/2)*(Inputs!$J$7-Inputs!$I$7)))/Inputs!$K$7)^2))^2)))))/Inputs!$C$13)</f>
        <v>2106.5233700403096</v>
      </c>
      <c r="AN63" s="9">
        <f>(-2*((1000*((((Inputs!$I$8+(((A63)+1)/2)*(Inputs!$J$8-Inputs!$I$8)))*Inputs!$C$11+((Inputs!$H$8+Inputs!$L$8*(((Inputs!$I$8+(((A63)+1)/2)*(Inputs!$J$8-Inputs!$I$8)))/Inputs!$K$8)^2))*((2*Inputs!$L$8*((Inputs!$I$8+(((A63)+1)/2)*(Inputs!$J$8-Inputs!$I$8)))/(Inputs!$K$8^2)*Inputs!$C$11)))/(SQRT(((Inputs!$I$8+(((A63)+1)/2)*(Inputs!$J$8-Inputs!$I$8)))^2+Inputs!$C$6^2+((Inputs!$H$8+Inputs!$L$8*(((Inputs!$I$8+(((A63)+1)/2)*(Inputs!$J$8-Inputs!$I$8)))/Inputs!$K$8)^2))^2)))))/Inputs!$C$13)</f>
        <v>2388.7865606005753</v>
      </c>
      <c r="AO63" s="9">
        <f>(-2*((1000*((((Inputs!$I$9+(((A63)+1)/2)*(Inputs!$J$9-Inputs!$I$9)))*Inputs!$C$11+((Inputs!$H$9+Inputs!$L$9*(((Inputs!$I$9+(((A63)+1)/2)*(Inputs!$J$9-Inputs!$I$9)))/Inputs!$K$9)^2))*((2*Inputs!$L$9*((Inputs!$I$9+(((A63)+1)/2)*(Inputs!$J$9-Inputs!$I$9)))/(Inputs!$K$9^2)*Inputs!$C$11)))/(SQRT(((Inputs!$I$9+(((A63)+1)/2)*(Inputs!$J$9-Inputs!$I$9)))^2+Inputs!$C$6^2+((Inputs!$H$9+Inputs!$L$9*(((Inputs!$I$9+(((A63)+1)/2)*(Inputs!$J$9-Inputs!$I$9)))/Inputs!$K$9)^2))^2)))))/Inputs!$C$13)</f>
        <v>2390.5518400502733</v>
      </c>
    </row>
    <row r="64" spans="1:41">
      <c r="A64" s="9">
        <f>ROUND(-1+62*2/240,3)</f>
        <v>-0.48299999999999998</v>
      </c>
      <c r="B64" s="9">
        <f>IF(OR(Inputs!$F$6=TRUE,Inputs!$F$6="TRUE",Inputs!$F$6=1),(Inputs!$H$6+Inputs!$L$6*(((Inputs!$I$6+(((A64)+1)/2)*(Inputs!$J$6-Inputs!$I$6)))/Inputs!$K$6)^2),NA())</f>
        <v>400.933156</v>
      </c>
      <c r="C64" s="9">
        <f>IF(OR(Inputs!$F$7=TRUE,Inputs!$F$7="TRUE",Inputs!$F$7=1),(Inputs!$H$7+Inputs!$L$7*(((Inputs!$I$7+(((A64)+1)/2)*(Inputs!$J$7-Inputs!$I$7)))/Inputs!$K$7)^2),NA())</f>
        <v>120.150485</v>
      </c>
      <c r="D64" s="9">
        <f>IF(OR(Inputs!$F$8=TRUE,Inputs!$F$8="TRUE",Inputs!$F$8=1),(Inputs!$H$8+Inputs!$L$8*(((Inputs!$I$8+(((A64)+1)/2)*(Inputs!$J$8-Inputs!$I$8)))/Inputs!$K$8)^2),NA())</f>
        <v>260.12388499999997</v>
      </c>
      <c r="E64" s="9">
        <f>IF(OR(Inputs!$F$9=TRUE,Inputs!$F$9="TRUE",Inputs!$F$9=1),(Inputs!$H$9+Inputs!$L$9*(((Inputs!$I$9+(((A64)+1)/2)*(Inputs!$J$9-Inputs!$I$9)))/Inputs!$K$9)^2),NA())</f>
        <v>252.45677499999999</v>
      </c>
      <c r="F64" s="10"/>
      <c r="G64" s="9">
        <f t="shared" si="0"/>
        <v>-0.48299999999999998</v>
      </c>
      <c r="H64" s="9">
        <f>IF(OR(Inputs!$F$6=TRUE,Inputs!$F$6="TRUE",Inputs!$F$6=1),(((SQRT(((Inputs!$I$6+(((A64)+1)/2)*(Inputs!$J$6-Inputs!$I$6)))^2+Inputs!$C$6^2+((Inputs!$H$6+Inputs!$L$6*(((Inputs!$I$6+(((A64)+1)/2)*(Inputs!$J$6-Inputs!$I$6)))/Inputs!$K$6)^2))^2))-((Inputs!$H$6+Inputs!$L$6*(((Inputs!$I$6+(((A64)+1)/2)*(Inputs!$J$6-Inputs!$I$6)))/Inputs!$K$6)^2)))*1000/Inputs!$C$12),NA())</f>
        <v>1023.9583819513614</v>
      </c>
      <c r="I64" s="9">
        <f>IF(OR(Inputs!$F$7=TRUE,Inputs!$F$7="TRUE",Inputs!$F$7=1),(((SQRT(((Inputs!$I$7+(((A64)+1)/2)*(Inputs!$J$7-Inputs!$I$7)))^2+Inputs!$C$6^2+((Inputs!$H$7+Inputs!$L$7*(((Inputs!$I$7+(((A64)+1)/2)*(Inputs!$J$7-Inputs!$I$7)))/Inputs!$K$7)^2))^2))-((Inputs!$H$7+Inputs!$L$7*(((Inputs!$I$7+(((A64)+1)/2)*(Inputs!$J$7-Inputs!$I$7)))/Inputs!$K$7)^2)))*1000/Inputs!$C$12),NA())</f>
        <v>61085.622886338439</v>
      </c>
      <c r="J64" s="9">
        <f>IF(OR(Inputs!$F$8=TRUE,Inputs!$F$8="TRUE",Inputs!$F$8=1),(((SQRT(((Inputs!$I$8+(((A64)+1)/2)*(Inputs!$J$8-Inputs!$I$8)))^2+Inputs!$C$6^2+((Inputs!$H$8+Inputs!$L$8*(((Inputs!$I$8+(((A64)+1)/2)*(Inputs!$J$8-Inputs!$I$8)))/Inputs!$K$8)^2))^2))-((Inputs!$H$8+Inputs!$L$8*(((Inputs!$I$8+(((A64)+1)/2)*(Inputs!$J$8-Inputs!$I$8)))/Inputs!$K$8)^2)))*1000/Inputs!$C$12),NA())</f>
        <v>115924.86478987196</v>
      </c>
      <c r="K64" s="9">
        <f>IF(OR(Inputs!$F$9=TRUE,Inputs!$F$9="TRUE",Inputs!$F$9=1),(((SQRT(((Inputs!$I$9+(((A64)+1)/2)*(Inputs!$J$9-Inputs!$I$9)))^2+Inputs!$C$6^2+((Inputs!$H$9+Inputs!$L$9*(((Inputs!$I$9+(((A64)+1)/2)*(Inputs!$J$9-Inputs!$I$9)))/Inputs!$K$9)^2))^2))-((Inputs!$H$9+Inputs!$L$9*(((Inputs!$I$9+(((A64)+1)/2)*(Inputs!$J$9-Inputs!$I$9)))/Inputs!$K$9)^2)))*1000/Inputs!$C$12),NA())</f>
        <v>117854.87273561949</v>
      </c>
      <c r="L64" s="10"/>
      <c r="M64" s="9">
        <f t="shared" si="1"/>
        <v>-0.48299999999999998</v>
      </c>
      <c r="N64" s="9">
        <f>IF(OR(Inputs!$F$6=TRUE,Inputs!$F$6="TRUE",Inputs!$F$6=1),(-2*((1000*((((Inputs!$I$6+(((A64)+1)/2)*(Inputs!$J$6-Inputs!$I$6)))*Inputs!$C$11+((Inputs!$H$6+Inputs!$L$6*(((Inputs!$I$6+(((A64)+1)/2)*(Inputs!$J$6-Inputs!$I$6)))/Inputs!$K$6)^2))*((2*Inputs!$L$6*((Inputs!$I$6+(((A64)+1)/2)*(Inputs!$J$6-Inputs!$I$6)))/(Inputs!$K$6^2)*Inputs!$C$11)))/(SQRT(((Inputs!$I$6+(((A64)+1)/2)*(Inputs!$J$6-Inputs!$I$6)))^2+Inputs!$C$6^2+((Inputs!$H$6+Inputs!$L$6*(((Inputs!$I$6+(((A64)+1)/2)*(Inputs!$J$6-Inputs!$I$6)))/Inputs!$K$6)^2))^2)))))/Inputs!$C$13),NA())</f>
        <v>217.70053212463367</v>
      </c>
      <c r="O64" s="9">
        <f>IF(OR(Inputs!$F$7=TRUE,Inputs!$F$7="TRUE",Inputs!$F$7=1),(-2*((1000*((((Inputs!$I$7+(((A64)+1)/2)*(Inputs!$J$7-Inputs!$I$7)))*Inputs!$C$11+((Inputs!$H$7+Inputs!$L$7*(((Inputs!$I$7+(((A64)+1)/2)*(Inputs!$J$7-Inputs!$I$7)))/Inputs!$K$7)^2))*((2*Inputs!$L$7*((Inputs!$I$7+(((A64)+1)/2)*(Inputs!$J$7-Inputs!$I$7)))/(Inputs!$K$7^2)*Inputs!$C$11)))/(SQRT(((Inputs!$I$7+(((A64)+1)/2)*(Inputs!$J$7-Inputs!$I$7)))^2+Inputs!$C$6^2+((Inputs!$H$7+Inputs!$L$7*(((Inputs!$I$7+(((A64)+1)/2)*(Inputs!$J$7-Inputs!$I$7)))/Inputs!$K$7)^2))^2)))))/Inputs!$C$13),NA())</f>
        <v>2090.9183303715336</v>
      </c>
      <c r="P64" s="9">
        <f>IF(OR(Inputs!$F$8=TRUE,Inputs!$F$8="TRUE",Inputs!$F$8=1),(-2*((1000*((((Inputs!$I$8+(((A64)+1)/2)*(Inputs!$J$8-Inputs!$I$8)))*Inputs!$C$11+((Inputs!$H$8+Inputs!$L$8*(((Inputs!$I$8+(((A64)+1)/2)*(Inputs!$J$8-Inputs!$I$8)))/Inputs!$K$8)^2))*((2*Inputs!$L$8*((Inputs!$I$8+(((A64)+1)/2)*(Inputs!$J$8-Inputs!$I$8)))/(Inputs!$K$8^2)*Inputs!$C$11)))/(SQRT(((Inputs!$I$8+(((A64)+1)/2)*(Inputs!$J$8-Inputs!$I$8)))^2+Inputs!$C$6^2+((Inputs!$H$8+Inputs!$L$8*(((Inputs!$I$8+(((A64)+1)/2)*(Inputs!$J$8-Inputs!$I$8)))/Inputs!$K$8)^2))^2)))))/Inputs!$C$13),NA())</f>
        <v>2365.0168872230556</v>
      </c>
      <c r="Q64" s="9">
        <f>IF(OR(Inputs!$F$9=TRUE,Inputs!$F$9="TRUE",Inputs!$F$9=1),(-2*((1000*((((Inputs!$I$9+(((A64)+1)/2)*(Inputs!$J$9-Inputs!$I$9)))*Inputs!$C$11+((Inputs!$H$9+Inputs!$L$9*(((Inputs!$I$9+(((A64)+1)/2)*(Inputs!$J$9-Inputs!$I$9)))/Inputs!$K$9)^2))*((2*Inputs!$L$9*((Inputs!$I$9+(((A64)+1)/2)*(Inputs!$J$9-Inputs!$I$9)))/(Inputs!$K$9^2)*Inputs!$C$11)))/(SQRT(((Inputs!$I$9+(((A64)+1)/2)*(Inputs!$J$9-Inputs!$I$9)))^2+Inputs!$C$6^2+((Inputs!$H$9+Inputs!$L$9*(((Inputs!$I$9+(((A64)+1)/2)*(Inputs!$J$9-Inputs!$I$9)))/Inputs!$K$9)^2))^2)))))/Inputs!$C$13),NA())</f>
        <v>2366.2956439243544</v>
      </c>
      <c r="R64" s="10"/>
      <c r="S64" s="9">
        <f t="shared" si="2"/>
        <v>-0.48299999999999998</v>
      </c>
      <c r="T64" s="9">
        <f>(Inputs!$I$6+(((A64)+1)/2)*(Inputs!$J$6-Inputs!$I$6))</f>
        <v>-28.98</v>
      </c>
      <c r="U64" s="9">
        <f>(Inputs!$I$7+(((A64)+1)/2)*(Inputs!$J$7-Inputs!$I$7))</f>
        <v>-193.2</v>
      </c>
      <c r="V64" s="9">
        <f>(Inputs!$I$8+(((A64)+1)/2)*(Inputs!$J$8-Inputs!$I$8))</f>
        <v>-386.4</v>
      </c>
      <c r="W64" s="9">
        <f>(Inputs!$I$9+(((A64)+1)/2)*(Inputs!$J$9-Inputs!$I$9))</f>
        <v>-386.4</v>
      </c>
      <c r="X64" s="10"/>
      <c r="Y64" s="9">
        <f t="shared" si="3"/>
        <v>-0.48299999999999998</v>
      </c>
      <c r="Z64" s="9">
        <f>(Inputs!$H$6+Inputs!$L$6*(((Inputs!$I$6+(((A64)+1)/2)*(Inputs!$J$6-Inputs!$I$6)))/Inputs!$K$6)^2)</f>
        <v>400.933156</v>
      </c>
      <c r="AA64" s="9">
        <f>(Inputs!$H$7+Inputs!$L$7*(((Inputs!$I$7+(((A64)+1)/2)*(Inputs!$J$7-Inputs!$I$7)))/Inputs!$K$7)^2)</f>
        <v>120.150485</v>
      </c>
      <c r="AB64" s="9">
        <f>(Inputs!$H$8+Inputs!$L$8*(((Inputs!$I$8+(((A64)+1)/2)*(Inputs!$J$8-Inputs!$I$8)))/Inputs!$K$8)^2)</f>
        <v>260.12388499999997</v>
      </c>
      <c r="AC64" s="9">
        <f>(Inputs!$H$9+Inputs!$L$9*(((Inputs!$I$9+(((A64)+1)/2)*(Inputs!$J$9-Inputs!$I$9)))/Inputs!$K$9)^2)</f>
        <v>252.45677499999999</v>
      </c>
      <c r="AD64" s="10"/>
      <c r="AE64" s="9">
        <f t="shared" si="4"/>
        <v>-0.48299999999999998</v>
      </c>
      <c r="AF64" s="9">
        <f>(((SQRT(((Inputs!$I$6+(((A64)+1)/2)*(Inputs!$J$6-Inputs!$I$6)))^2+Inputs!$C$6^2+((Inputs!$H$6+Inputs!$L$6*(((Inputs!$I$6+(((A64)+1)/2)*(Inputs!$J$6-Inputs!$I$6)))/Inputs!$K$6)^2))^2))-((Inputs!$H$6+Inputs!$L$6*(((Inputs!$I$6+(((A64)+1)/2)*(Inputs!$J$6-Inputs!$I$6)))/Inputs!$K$6)^2)))*1000/Inputs!$C$12)</f>
        <v>1023.9583819513614</v>
      </c>
      <c r="AG64" s="9">
        <f>(((SQRT(((Inputs!$I$7+(((A64)+1)/2)*(Inputs!$J$7-Inputs!$I$7)))^2+Inputs!$C$6^2+((Inputs!$H$7+Inputs!$L$7*(((Inputs!$I$7+(((A64)+1)/2)*(Inputs!$J$7-Inputs!$I$7)))/Inputs!$K$7)^2))^2))-((Inputs!$H$7+Inputs!$L$7*(((Inputs!$I$7+(((A64)+1)/2)*(Inputs!$J$7-Inputs!$I$7)))/Inputs!$K$7)^2)))*1000/Inputs!$C$12)</f>
        <v>61085.622886338439</v>
      </c>
      <c r="AH64" s="9">
        <f>(((SQRT(((Inputs!$I$8+(((A64)+1)/2)*(Inputs!$J$8-Inputs!$I$8)))^2+Inputs!$C$6^2+((Inputs!$H$8+Inputs!$L$8*(((Inputs!$I$8+(((A64)+1)/2)*(Inputs!$J$8-Inputs!$I$8)))/Inputs!$K$8)^2))^2))-((Inputs!$H$8+Inputs!$L$8*(((Inputs!$I$8+(((A64)+1)/2)*(Inputs!$J$8-Inputs!$I$8)))/Inputs!$K$8)^2)))*1000/Inputs!$C$12)</f>
        <v>115924.86478987196</v>
      </c>
      <c r="AI64" s="9">
        <f>(((SQRT(((Inputs!$I$9+(((A64)+1)/2)*(Inputs!$J$9-Inputs!$I$9)))^2+Inputs!$C$6^2+((Inputs!$H$9+Inputs!$L$9*(((Inputs!$I$9+(((A64)+1)/2)*(Inputs!$J$9-Inputs!$I$9)))/Inputs!$K$9)^2))^2))-((Inputs!$H$9+Inputs!$L$9*(((Inputs!$I$9+(((A64)+1)/2)*(Inputs!$J$9-Inputs!$I$9)))/Inputs!$K$9)^2)))*1000/Inputs!$C$12)</f>
        <v>117854.87273561949</v>
      </c>
      <c r="AJ64" s="10"/>
      <c r="AK64" s="9">
        <f t="shared" si="5"/>
        <v>-0.48299999999999998</v>
      </c>
      <c r="AL64" s="9">
        <f>(-2*((1000*((((Inputs!$I$6+(((A64)+1)/2)*(Inputs!$J$6-Inputs!$I$6)))*Inputs!$C$11+((Inputs!$H$6+Inputs!$L$6*(((Inputs!$I$6+(((A64)+1)/2)*(Inputs!$J$6-Inputs!$I$6)))/Inputs!$K$6)^2))*((2*Inputs!$L$6*((Inputs!$I$6+(((A64)+1)/2)*(Inputs!$J$6-Inputs!$I$6)))/(Inputs!$K$6^2)*Inputs!$C$11)))/(SQRT(((Inputs!$I$6+(((A64)+1)/2)*(Inputs!$J$6-Inputs!$I$6)))^2+Inputs!$C$6^2+((Inputs!$H$6+Inputs!$L$6*(((Inputs!$I$6+(((A64)+1)/2)*(Inputs!$J$6-Inputs!$I$6)))/Inputs!$K$6)^2))^2)))))/Inputs!$C$13)</f>
        <v>217.70053212463367</v>
      </c>
      <c r="AM64" s="9">
        <f>(-2*((1000*((((Inputs!$I$7+(((A64)+1)/2)*(Inputs!$J$7-Inputs!$I$7)))*Inputs!$C$11+((Inputs!$H$7+Inputs!$L$7*(((Inputs!$I$7+(((A64)+1)/2)*(Inputs!$J$7-Inputs!$I$7)))/Inputs!$K$7)^2))*((2*Inputs!$L$7*((Inputs!$I$7+(((A64)+1)/2)*(Inputs!$J$7-Inputs!$I$7)))/(Inputs!$K$7^2)*Inputs!$C$11)))/(SQRT(((Inputs!$I$7+(((A64)+1)/2)*(Inputs!$J$7-Inputs!$I$7)))^2+Inputs!$C$6^2+((Inputs!$H$7+Inputs!$L$7*(((Inputs!$I$7+(((A64)+1)/2)*(Inputs!$J$7-Inputs!$I$7)))/Inputs!$K$7)^2))^2)))))/Inputs!$C$13)</f>
        <v>2090.9183303715336</v>
      </c>
      <c r="AN64" s="9">
        <f>(-2*((1000*((((Inputs!$I$8+(((A64)+1)/2)*(Inputs!$J$8-Inputs!$I$8)))*Inputs!$C$11+((Inputs!$H$8+Inputs!$L$8*(((Inputs!$I$8+(((A64)+1)/2)*(Inputs!$J$8-Inputs!$I$8)))/Inputs!$K$8)^2))*((2*Inputs!$L$8*((Inputs!$I$8+(((A64)+1)/2)*(Inputs!$J$8-Inputs!$I$8)))/(Inputs!$K$8^2)*Inputs!$C$11)))/(SQRT(((Inputs!$I$8+(((A64)+1)/2)*(Inputs!$J$8-Inputs!$I$8)))^2+Inputs!$C$6^2+((Inputs!$H$8+Inputs!$L$8*(((Inputs!$I$8+(((A64)+1)/2)*(Inputs!$J$8-Inputs!$I$8)))/Inputs!$K$8)^2))^2)))))/Inputs!$C$13)</f>
        <v>2365.0168872230556</v>
      </c>
      <c r="AO64" s="9">
        <f>(-2*((1000*((((Inputs!$I$9+(((A64)+1)/2)*(Inputs!$J$9-Inputs!$I$9)))*Inputs!$C$11+((Inputs!$H$9+Inputs!$L$9*(((Inputs!$I$9+(((A64)+1)/2)*(Inputs!$J$9-Inputs!$I$9)))/Inputs!$K$9)^2))*((2*Inputs!$L$9*((Inputs!$I$9+(((A64)+1)/2)*(Inputs!$J$9-Inputs!$I$9)))/(Inputs!$K$9^2)*Inputs!$C$11)))/(SQRT(((Inputs!$I$9+(((A64)+1)/2)*(Inputs!$J$9-Inputs!$I$9)))^2+Inputs!$C$6^2+((Inputs!$H$9+Inputs!$L$9*(((Inputs!$I$9+(((A64)+1)/2)*(Inputs!$J$9-Inputs!$I$9)))/Inputs!$K$9)^2))^2)))))/Inputs!$C$13)</f>
        <v>2366.2956439243544</v>
      </c>
    </row>
    <row r="65" spans="1:41">
      <c r="A65" s="9">
        <f>ROUND(-1+63*2/240,3)</f>
        <v>-0.47499999999999998</v>
      </c>
      <c r="B65" s="9">
        <f>IF(OR(Inputs!$F$6=TRUE,Inputs!$F$6="TRUE",Inputs!$F$6=1),(Inputs!$H$6+Inputs!$L$6*(((Inputs!$I$6+(((A65)+1)/2)*(Inputs!$J$6-Inputs!$I$6)))/Inputs!$K$6)^2),NA())</f>
        <v>400.90249999999997</v>
      </c>
      <c r="C65" s="9">
        <f>IF(OR(Inputs!$F$7=TRUE,Inputs!$F$7="TRUE",Inputs!$F$7=1),(Inputs!$H$7+Inputs!$L$7*(((Inputs!$I$7+(((A65)+1)/2)*(Inputs!$J$7-Inputs!$I$7)))/Inputs!$K$7)^2),NA())</f>
        <v>117.35312499999999</v>
      </c>
      <c r="D65" s="9">
        <f>IF(OR(Inputs!$F$8=TRUE,Inputs!$F$8="TRUE",Inputs!$F$8=1),(Inputs!$H$8+Inputs!$L$8*(((Inputs!$I$8+(((A65)+1)/2)*(Inputs!$J$8-Inputs!$I$8)))/Inputs!$K$8)^2),NA())</f>
        <v>252.72812500000001</v>
      </c>
      <c r="E65" s="9">
        <f>IF(OR(Inputs!$F$9=TRUE,Inputs!$F$9="TRUE",Inputs!$F$9=1),(Inputs!$H$9+Inputs!$L$9*(((Inputs!$I$9+(((A65)+1)/2)*(Inputs!$J$9-Inputs!$I$9)))/Inputs!$K$9)^2),NA())</f>
        <v>244.984375</v>
      </c>
      <c r="F65" s="10"/>
      <c r="G65" s="9">
        <f t="shared" si="0"/>
        <v>-0.47499999999999998</v>
      </c>
      <c r="H65" s="9">
        <f>IF(OR(Inputs!$F$6=TRUE,Inputs!$F$6="TRUE",Inputs!$F$6=1),(((SQRT(((Inputs!$I$6+(((A65)+1)/2)*(Inputs!$J$6-Inputs!$I$6)))^2+Inputs!$C$6^2+((Inputs!$H$6+Inputs!$L$6*(((Inputs!$I$6+(((A65)+1)/2)*(Inputs!$J$6-Inputs!$I$6)))/Inputs!$K$6)^2))^2))-((Inputs!$H$6+Inputs!$L$6*(((Inputs!$I$6+(((A65)+1)/2)*(Inputs!$J$6-Inputs!$I$6)))/Inputs!$K$6)^2)))*1000/Inputs!$C$12),NA())</f>
        <v>1004.7913422626065</v>
      </c>
      <c r="I65" s="9">
        <f>IF(OR(Inputs!$F$7=TRUE,Inputs!$F$7="TRUE",Inputs!$F$7=1),(((SQRT(((Inputs!$I$7+(((A65)+1)/2)*(Inputs!$J$7-Inputs!$I$7)))^2+Inputs!$C$6^2+((Inputs!$H$7+Inputs!$L$7*(((Inputs!$I$7+(((A65)+1)/2)*(Inputs!$J$7-Inputs!$I$7)))/Inputs!$K$7)^2))^2))-((Inputs!$H$7+Inputs!$L$7*(((Inputs!$I$7+(((A65)+1)/2)*(Inputs!$J$7-Inputs!$I$7)))/Inputs!$K$7)^2)))*1000/Inputs!$C$12),NA())</f>
        <v>60315.566013439195</v>
      </c>
      <c r="J65" s="9">
        <f>IF(OR(Inputs!$F$8=TRUE,Inputs!$F$8="TRUE",Inputs!$F$8=1),(((SQRT(((Inputs!$I$8+(((A65)+1)/2)*(Inputs!$J$8-Inputs!$I$8)))^2+Inputs!$C$6^2+((Inputs!$H$8+Inputs!$L$8*(((Inputs!$I$8+(((A65)+1)/2)*(Inputs!$J$8-Inputs!$I$8)))/Inputs!$K$8)^2))^2))-((Inputs!$H$8+Inputs!$L$8*(((Inputs!$I$8+(((A65)+1)/2)*(Inputs!$J$8-Inputs!$I$8)))/Inputs!$K$8)^2)))*1000/Inputs!$C$12),NA())</f>
        <v>114788.67812487425</v>
      </c>
      <c r="K65" s="9">
        <f>IF(OR(Inputs!$F$9=TRUE,Inputs!$F$9="TRUE",Inputs!$F$9=1),(((SQRT(((Inputs!$I$9+(((A65)+1)/2)*(Inputs!$J$9-Inputs!$I$9)))^2+Inputs!$C$6^2+((Inputs!$H$9+Inputs!$L$9*(((Inputs!$I$9+(((A65)+1)/2)*(Inputs!$J$9-Inputs!$I$9)))/Inputs!$K$9)^2))^2))-((Inputs!$H$9+Inputs!$L$9*(((Inputs!$I$9+(((A65)+1)/2)*(Inputs!$J$9-Inputs!$I$9)))/Inputs!$K$9)^2)))*1000/Inputs!$C$12),NA())</f>
        <v>116759.34865806319</v>
      </c>
      <c r="L65" s="10"/>
      <c r="M65" s="9">
        <f t="shared" si="1"/>
        <v>-0.47499999999999998</v>
      </c>
      <c r="N65" s="9">
        <f>IF(OR(Inputs!$F$6=TRUE,Inputs!$F$6="TRUE",Inputs!$F$6=1),(-2*((1000*((((Inputs!$I$6+(((A65)+1)/2)*(Inputs!$J$6-Inputs!$I$6)))*Inputs!$C$11+((Inputs!$H$6+Inputs!$L$6*(((Inputs!$I$6+(((A65)+1)/2)*(Inputs!$J$6-Inputs!$I$6)))/Inputs!$K$6)^2))*((2*Inputs!$L$6*((Inputs!$I$6+(((A65)+1)/2)*(Inputs!$J$6-Inputs!$I$6)))/(Inputs!$K$6^2)*Inputs!$C$11)))/(SQRT(((Inputs!$I$6+(((A65)+1)/2)*(Inputs!$J$6-Inputs!$I$6)))^2+Inputs!$C$6^2+((Inputs!$H$6+Inputs!$L$6*(((Inputs!$I$6+(((A65)+1)/2)*(Inputs!$J$6-Inputs!$I$6)))/Inputs!$K$6)^2))^2)))))/Inputs!$C$13),NA())</f>
        <v>214.12144931249978</v>
      </c>
      <c r="O65" s="9">
        <f>IF(OR(Inputs!$F$7=TRUE,Inputs!$F$7="TRUE",Inputs!$F$7=1),(-2*((1000*((((Inputs!$I$7+(((A65)+1)/2)*(Inputs!$J$7-Inputs!$I$7)))*Inputs!$C$11+((Inputs!$H$7+Inputs!$L$7*(((Inputs!$I$7+(((A65)+1)/2)*(Inputs!$J$7-Inputs!$I$7)))/Inputs!$K$7)^2))*((2*Inputs!$L$7*((Inputs!$I$7+(((A65)+1)/2)*(Inputs!$J$7-Inputs!$I$7)))/(Inputs!$K$7^2)*Inputs!$C$11)))/(SQRT(((Inputs!$I$7+(((A65)+1)/2)*(Inputs!$J$7-Inputs!$I$7)))^2+Inputs!$C$6^2+((Inputs!$H$7+Inputs!$L$7*(((Inputs!$I$7+(((A65)+1)/2)*(Inputs!$J$7-Inputs!$I$7)))/Inputs!$K$7)^2))^2)))))/Inputs!$C$13),NA())</f>
        <v>2077.1605468760226</v>
      </c>
      <c r="P65" s="9">
        <f>IF(OR(Inputs!$F$8=TRUE,Inputs!$F$8="TRUE",Inputs!$F$8=1),(-2*((1000*((((Inputs!$I$8+(((A65)+1)/2)*(Inputs!$J$8-Inputs!$I$8)))*Inputs!$C$11+((Inputs!$H$8+Inputs!$L$8*(((Inputs!$I$8+(((A65)+1)/2)*(Inputs!$J$8-Inputs!$I$8)))/Inputs!$K$8)^2))*((2*Inputs!$L$8*((Inputs!$I$8+(((A65)+1)/2)*(Inputs!$J$8-Inputs!$I$8)))/(Inputs!$K$8^2)*Inputs!$C$11)))/(SQRT(((Inputs!$I$8+(((A65)+1)/2)*(Inputs!$J$8-Inputs!$I$8)))^2+Inputs!$C$6^2+((Inputs!$H$8+Inputs!$L$8*(((Inputs!$I$8+(((A65)+1)/2)*(Inputs!$J$8-Inputs!$I$8)))/Inputs!$K$8)^2))^2)))))/Inputs!$C$13),NA())</f>
        <v>2344.1032588773473</v>
      </c>
      <c r="Q65" s="9">
        <f>IF(OR(Inputs!$F$9=TRUE,Inputs!$F$9="TRUE",Inputs!$F$9=1),(-2*((1000*((((Inputs!$I$9+(((A65)+1)/2)*(Inputs!$J$9-Inputs!$I$9)))*Inputs!$C$11+((Inputs!$H$9+Inputs!$L$9*(((Inputs!$I$9+(((A65)+1)/2)*(Inputs!$J$9-Inputs!$I$9)))/Inputs!$K$9)^2))*((2*Inputs!$L$9*((Inputs!$I$9+(((A65)+1)/2)*(Inputs!$J$9-Inputs!$I$9)))/(Inputs!$K$9^2)*Inputs!$C$11)))/(SQRT(((Inputs!$I$9+(((A65)+1)/2)*(Inputs!$J$9-Inputs!$I$9)))^2+Inputs!$C$6^2+((Inputs!$H$9+Inputs!$L$9*(((Inputs!$I$9+(((A65)+1)/2)*(Inputs!$J$9-Inputs!$I$9)))/Inputs!$K$9)^2))^2)))))/Inputs!$C$13),NA())</f>
        <v>2344.9558277083142</v>
      </c>
      <c r="R65" s="10"/>
      <c r="S65" s="9">
        <f t="shared" si="2"/>
        <v>-0.47499999999999998</v>
      </c>
      <c r="T65" s="9">
        <f>(Inputs!$I$6+(((A65)+1)/2)*(Inputs!$J$6-Inputs!$I$6))</f>
        <v>-28.5</v>
      </c>
      <c r="U65" s="9">
        <f>(Inputs!$I$7+(((A65)+1)/2)*(Inputs!$J$7-Inputs!$I$7))</f>
        <v>-190</v>
      </c>
      <c r="V65" s="9">
        <f>(Inputs!$I$8+(((A65)+1)/2)*(Inputs!$J$8-Inputs!$I$8))</f>
        <v>-380</v>
      </c>
      <c r="W65" s="9">
        <f>(Inputs!$I$9+(((A65)+1)/2)*(Inputs!$J$9-Inputs!$I$9))</f>
        <v>-380</v>
      </c>
      <c r="X65" s="10"/>
      <c r="Y65" s="9">
        <f t="shared" si="3"/>
        <v>-0.47499999999999998</v>
      </c>
      <c r="Z65" s="9">
        <f>(Inputs!$H$6+Inputs!$L$6*(((Inputs!$I$6+(((A65)+1)/2)*(Inputs!$J$6-Inputs!$I$6)))/Inputs!$K$6)^2)</f>
        <v>400.90249999999997</v>
      </c>
      <c r="AA65" s="9">
        <f>(Inputs!$H$7+Inputs!$L$7*(((Inputs!$I$7+(((A65)+1)/2)*(Inputs!$J$7-Inputs!$I$7)))/Inputs!$K$7)^2)</f>
        <v>117.35312499999999</v>
      </c>
      <c r="AB65" s="9">
        <f>(Inputs!$H$8+Inputs!$L$8*(((Inputs!$I$8+(((A65)+1)/2)*(Inputs!$J$8-Inputs!$I$8)))/Inputs!$K$8)^2)</f>
        <v>252.72812500000001</v>
      </c>
      <c r="AC65" s="9">
        <f>(Inputs!$H$9+Inputs!$L$9*(((Inputs!$I$9+(((A65)+1)/2)*(Inputs!$J$9-Inputs!$I$9)))/Inputs!$K$9)^2)</f>
        <v>244.984375</v>
      </c>
      <c r="AD65" s="10"/>
      <c r="AE65" s="9">
        <f t="shared" si="4"/>
        <v>-0.47499999999999998</v>
      </c>
      <c r="AF65" s="9">
        <f>(((SQRT(((Inputs!$I$6+(((A65)+1)/2)*(Inputs!$J$6-Inputs!$I$6)))^2+Inputs!$C$6^2+((Inputs!$H$6+Inputs!$L$6*(((Inputs!$I$6+(((A65)+1)/2)*(Inputs!$J$6-Inputs!$I$6)))/Inputs!$K$6)^2))^2))-((Inputs!$H$6+Inputs!$L$6*(((Inputs!$I$6+(((A65)+1)/2)*(Inputs!$J$6-Inputs!$I$6)))/Inputs!$K$6)^2)))*1000/Inputs!$C$12)</f>
        <v>1004.7913422626065</v>
      </c>
      <c r="AG65" s="9">
        <f>(((SQRT(((Inputs!$I$7+(((A65)+1)/2)*(Inputs!$J$7-Inputs!$I$7)))^2+Inputs!$C$6^2+((Inputs!$H$7+Inputs!$L$7*(((Inputs!$I$7+(((A65)+1)/2)*(Inputs!$J$7-Inputs!$I$7)))/Inputs!$K$7)^2))^2))-((Inputs!$H$7+Inputs!$L$7*(((Inputs!$I$7+(((A65)+1)/2)*(Inputs!$J$7-Inputs!$I$7)))/Inputs!$K$7)^2)))*1000/Inputs!$C$12)</f>
        <v>60315.566013439195</v>
      </c>
      <c r="AH65" s="9">
        <f>(((SQRT(((Inputs!$I$8+(((A65)+1)/2)*(Inputs!$J$8-Inputs!$I$8)))^2+Inputs!$C$6^2+((Inputs!$H$8+Inputs!$L$8*(((Inputs!$I$8+(((A65)+1)/2)*(Inputs!$J$8-Inputs!$I$8)))/Inputs!$K$8)^2))^2))-((Inputs!$H$8+Inputs!$L$8*(((Inputs!$I$8+(((A65)+1)/2)*(Inputs!$J$8-Inputs!$I$8)))/Inputs!$K$8)^2)))*1000/Inputs!$C$12)</f>
        <v>114788.67812487425</v>
      </c>
      <c r="AI65" s="9">
        <f>(((SQRT(((Inputs!$I$9+(((A65)+1)/2)*(Inputs!$J$9-Inputs!$I$9)))^2+Inputs!$C$6^2+((Inputs!$H$9+Inputs!$L$9*(((Inputs!$I$9+(((A65)+1)/2)*(Inputs!$J$9-Inputs!$I$9)))/Inputs!$K$9)^2))^2))-((Inputs!$H$9+Inputs!$L$9*(((Inputs!$I$9+(((A65)+1)/2)*(Inputs!$J$9-Inputs!$I$9)))/Inputs!$K$9)^2)))*1000/Inputs!$C$12)</f>
        <v>116759.34865806319</v>
      </c>
      <c r="AJ65" s="10"/>
      <c r="AK65" s="9">
        <f t="shared" si="5"/>
        <v>-0.47499999999999998</v>
      </c>
      <c r="AL65" s="9">
        <f>(-2*((1000*((((Inputs!$I$6+(((A65)+1)/2)*(Inputs!$J$6-Inputs!$I$6)))*Inputs!$C$11+((Inputs!$H$6+Inputs!$L$6*(((Inputs!$I$6+(((A65)+1)/2)*(Inputs!$J$6-Inputs!$I$6)))/Inputs!$K$6)^2))*((2*Inputs!$L$6*((Inputs!$I$6+(((A65)+1)/2)*(Inputs!$J$6-Inputs!$I$6)))/(Inputs!$K$6^2)*Inputs!$C$11)))/(SQRT(((Inputs!$I$6+(((A65)+1)/2)*(Inputs!$J$6-Inputs!$I$6)))^2+Inputs!$C$6^2+((Inputs!$H$6+Inputs!$L$6*(((Inputs!$I$6+(((A65)+1)/2)*(Inputs!$J$6-Inputs!$I$6)))/Inputs!$K$6)^2))^2)))))/Inputs!$C$13)</f>
        <v>214.12144931249978</v>
      </c>
      <c r="AM65" s="9">
        <f>(-2*((1000*((((Inputs!$I$7+(((A65)+1)/2)*(Inputs!$J$7-Inputs!$I$7)))*Inputs!$C$11+((Inputs!$H$7+Inputs!$L$7*(((Inputs!$I$7+(((A65)+1)/2)*(Inputs!$J$7-Inputs!$I$7)))/Inputs!$K$7)^2))*((2*Inputs!$L$7*((Inputs!$I$7+(((A65)+1)/2)*(Inputs!$J$7-Inputs!$I$7)))/(Inputs!$K$7^2)*Inputs!$C$11)))/(SQRT(((Inputs!$I$7+(((A65)+1)/2)*(Inputs!$J$7-Inputs!$I$7)))^2+Inputs!$C$6^2+((Inputs!$H$7+Inputs!$L$7*(((Inputs!$I$7+(((A65)+1)/2)*(Inputs!$J$7-Inputs!$I$7)))/Inputs!$K$7)^2))^2)))))/Inputs!$C$13)</f>
        <v>2077.1605468760226</v>
      </c>
      <c r="AN65" s="9">
        <f>(-2*((1000*((((Inputs!$I$8+(((A65)+1)/2)*(Inputs!$J$8-Inputs!$I$8)))*Inputs!$C$11+((Inputs!$H$8+Inputs!$L$8*(((Inputs!$I$8+(((A65)+1)/2)*(Inputs!$J$8-Inputs!$I$8)))/Inputs!$K$8)^2))*((2*Inputs!$L$8*((Inputs!$I$8+(((A65)+1)/2)*(Inputs!$J$8-Inputs!$I$8)))/(Inputs!$K$8^2)*Inputs!$C$11)))/(SQRT(((Inputs!$I$8+(((A65)+1)/2)*(Inputs!$J$8-Inputs!$I$8)))^2+Inputs!$C$6^2+((Inputs!$H$8+Inputs!$L$8*(((Inputs!$I$8+(((A65)+1)/2)*(Inputs!$J$8-Inputs!$I$8)))/Inputs!$K$8)^2))^2)))))/Inputs!$C$13)</f>
        <v>2344.1032588773473</v>
      </c>
      <c r="AO65" s="9">
        <f>(-2*((1000*((((Inputs!$I$9+(((A65)+1)/2)*(Inputs!$J$9-Inputs!$I$9)))*Inputs!$C$11+((Inputs!$H$9+Inputs!$L$9*(((Inputs!$I$9+(((A65)+1)/2)*(Inputs!$J$9-Inputs!$I$9)))/Inputs!$K$9)^2))*((2*Inputs!$L$9*((Inputs!$I$9+(((A65)+1)/2)*(Inputs!$J$9-Inputs!$I$9)))/(Inputs!$K$9^2)*Inputs!$C$11)))/(SQRT(((Inputs!$I$9+(((A65)+1)/2)*(Inputs!$J$9-Inputs!$I$9)))^2+Inputs!$C$6^2+((Inputs!$H$9+Inputs!$L$9*(((Inputs!$I$9+(((A65)+1)/2)*(Inputs!$J$9-Inputs!$I$9)))/Inputs!$K$9)^2))^2)))))/Inputs!$C$13)</f>
        <v>2344.9558277083142</v>
      </c>
    </row>
    <row r="66" spans="1:41">
      <c r="A66" s="9">
        <f>ROUND(-1+64*2/240,3)</f>
        <v>-0.46700000000000003</v>
      </c>
      <c r="B66" s="9">
        <f>IF(OR(Inputs!$F$6=TRUE,Inputs!$F$6="TRUE",Inputs!$F$6=1),(Inputs!$H$6+Inputs!$L$6*(((Inputs!$I$6+(((A66)+1)/2)*(Inputs!$J$6-Inputs!$I$6)))/Inputs!$K$6)^2),NA())</f>
        <v>400.87235600000002</v>
      </c>
      <c r="C66" s="9">
        <f>IF(OR(Inputs!$F$7=TRUE,Inputs!$F$7="TRUE",Inputs!$F$7=1),(Inputs!$H$7+Inputs!$L$7*(((Inputs!$I$7+(((A66)+1)/2)*(Inputs!$J$7-Inputs!$I$7)))/Inputs!$K$7)^2),NA())</f>
        <v>114.60248500000003</v>
      </c>
      <c r="D66" s="9">
        <f>IF(OR(Inputs!$F$8=TRUE,Inputs!$F$8="TRUE",Inputs!$F$8=1),(Inputs!$H$8+Inputs!$L$8*(((Inputs!$I$8+(((A66)+1)/2)*(Inputs!$J$8-Inputs!$I$8)))/Inputs!$K$8)^2),NA())</f>
        <v>245.45588500000008</v>
      </c>
      <c r="E66" s="9">
        <f>IF(OR(Inputs!$F$9=TRUE,Inputs!$F$9="TRUE",Inputs!$F$9=1),(Inputs!$H$9+Inputs!$L$9*(((Inputs!$I$9+(((A66)+1)/2)*(Inputs!$J$9-Inputs!$I$9)))/Inputs!$K$9)^2),NA())</f>
        <v>237.63677500000009</v>
      </c>
      <c r="F66" s="10"/>
      <c r="G66" s="9">
        <f t="shared" ref="G66:G129" si="6">A66</f>
        <v>-0.46700000000000003</v>
      </c>
      <c r="H66" s="9">
        <f>IF(OR(Inputs!$F$6=TRUE,Inputs!$F$6="TRUE",Inputs!$F$6=1),(((SQRT(((Inputs!$I$6+(((A66)+1)/2)*(Inputs!$J$6-Inputs!$I$6)))^2+Inputs!$C$6^2+((Inputs!$H$6+Inputs!$L$6*(((Inputs!$I$6+(((A66)+1)/2)*(Inputs!$J$6-Inputs!$I$6)))/Inputs!$K$6)^2))^2))-((Inputs!$H$6+Inputs!$L$6*(((Inputs!$I$6+(((A66)+1)/2)*(Inputs!$J$6-Inputs!$I$6)))/Inputs!$K$6)^2)))*1000/Inputs!$C$12),NA())</f>
        <v>985.93999041798509</v>
      </c>
      <c r="I66" s="9">
        <f>IF(OR(Inputs!$F$7=TRUE,Inputs!$F$7="TRUE",Inputs!$F$7=1),(((SQRT(((Inputs!$I$7+(((A66)+1)/2)*(Inputs!$J$7-Inputs!$I$7)))^2+Inputs!$C$6^2+((Inputs!$H$7+Inputs!$L$7*(((Inputs!$I$7+(((A66)+1)/2)*(Inputs!$J$7-Inputs!$I$7)))/Inputs!$K$7)^2))^2))-((Inputs!$H$7+Inputs!$L$7*(((Inputs!$I$7+(((A66)+1)/2)*(Inputs!$J$7-Inputs!$I$7)))/Inputs!$K$7)^2)))*1000/Inputs!$C$12),NA())</f>
        <v>59534.660985340124</v>
      </c>
      <c r="J66" s="9">
        <f>IF(OR(Inputs!$F$8=TRUE,Inputs!$F$8="TRUE",Inputs!$F$8=1),(((SQRT(((Inputs!$I$8+(((A66)+1)/2)*(Inputs!$J$8-Inputs!$I$8)))^2+Inputs!$C$6^2+((Inputs!$H$8+Inputs!$L$8*(((Inputs!$I$8+(((A66)+1)/2)*(Inputs!$J$8-Inputs!$I$8)))/Inputs!$K$8)^2))^2))-((Inputs!$H$8+Inputs!$L$8*(((Inputs!$I$8+(((A66)+1)/2)*(Inputs!$J$8-Inputs!$I$8)))/Inputs!$K$8)^2)))*1000/Inputs!$C$12),NA())</f>
        <v>113629.86460237192</v>
      </c>
      <c r="K66" s="9">
        <f>IF(OR(Inputs!$F$9=TRUE,Inputs!$F$9="TRUE",Inputs!$F$9=1),(((SQRT(((Inputs!$I$9+(((A66)+1)/2)*(Inputs!$J$9-Inputs!$I$9)))^2+Inputs!$C$6^2+((Inputs!$H$9+Inputs!$L$9*(((Inputs!$I$9+(((A66)+1)/2)*(Inputs!$J$9-Inputs!$I$9)))/Inputs!$K$9)^2))^2))-((Inputs!$H$9+Inputs!$L$9*(((Inputs!$I$9+(((A66)+1)/2)*(Inputs!$J$9-Inputs!$I$9)))/Inputs!$K$9)^2)))*1000/Inputs!$C$12),NA())</f>
        <v>115641.42922486359</v>
      </c>
      <c r="L66" s="10"/>
      <c r="M66" s="9">
        <f t="shared" ref="M66:M129" si="7">A66</f>
        <v>-0.46700000000000003</v>
      </c>
      <c r="N66" s="9">
        <f>IF(OR(Inputs!$F$6=TRUE,Inputs!$F$6="TRUE",Inputs!$F$6=1),(-2*((1000*((((Inputs!$I$6+(((A66)+1)/2)*(Inputs!$J$6-Inputs!$I$6)))*Inputs!$C$11+((Inputs!$H$6+Inputs!$L$6*(((Inputs!$I$6+(((A66)+1)/2)*(Inputs!$J$6-Inputs!$I$6)))/Inputs!$K$6)^2))*((2*Inputs!$L$6*((Inputs!$I$6+(((A66)+1)/2)*(Inputs!$J$6-Inputs!$I$6)))/(Inputs!$K$6^2)*Inputs!$C$11)))/(SQRT(((Inputs!$I$6+(((A66)+1)/2)*(Inputs!$J$6-Inputs!$I$6)))^2+Inputs!$C$6^2+((Inputs!$H$6+Inputs!$L$6*(((Inputs!$I$6+(((A66)+1)/2)*(Inputs!$J$6-Inputs!$I$6)))/Inputs!$K$6)^2))^2)))))/Inputs!$C$13),NA())</f>
        <v>210.54103992174888</v>
      </c>
      <c r="O66" s="9">
        <f>IF(OR(Inputs!$F$7=TRUE,Inputs!$F$7="TRUE",Inputs!$F$7=1),(-2*((1000*((((Inputs!$I$7+(((A66)+1)/2)*(Inputs!$J$7-Inputs!$I$7)))*Inputs!$C$11+((Inputs!$H$7+Inputs!$L$7*(((Inputs!$I$7+(((A66)+1)/2)*(Inputs!$J$7-Inputs!$I$7)))/Inputs!$K$7)^2))*((2*Inputs!$L$7*((Inputs!$I$7+(((A66)+1)/2)*(Inputs!$J$7-Inputs!$I$7)))/(Inputs!$K$7^2)*Inputs!$C$11)))/(SQRT(((Inputs!$I$7+(((A66)+1)/2)*(Inputs!$J$7-Inputs!$I$7)))^2+Inputs!$C$6^2+((Inputs!$H$7+Inputs!$L$7*(((Inputs!$I$7+(((A66)+1)/2)*(Inputs!$J$7-Inputs!$I$7)))/Inputs!$K$7)^2))^2)))))/Inputs!$C$13),NA())</f>
        <v>2063.5077480007144</v>
      </c>
      <c r="P66" s="9">
        <f>IF(OR(Inputs!$F$8=TRUE,Inputs!$F$8="TRUE",Inputs!$F$8=1),(-2*((1000*((((Inputs!$I$8+(((A66)+1)/2)*(Inputs!$J$8-Inputs!$I$8)))*Inputs!$C$11+((Inputs!$H$8+Inputs!$L$8*(((Inputs!$I$8+(((A66)+1)/2)*(Inputs!$J$8-Inputs!$I$8)))/Inputs!$K$8)^2))*((2*Inputs!$L$8*((Inputs!$I$8+(((A66)+1)/2)*(Inputs!$J$8-Inputs!$I$8)))/(Inputs!$K$8^2)*Inputs!$C$11)))/(SQRT(((Inputs!$I$8+(((A66)+1)/2)*(Inputs!$J$8-Inputs!$I$8)))^2+Inputs!$C$6^2+((Inputs!$H$8+Inputs!$L$8*(((Inputs!$I$8+(((A66)+1)/2)*(Inputs!$J$8-Inputs!$I$8)))/Inputs!$K$8)^2))^2)))))/Inputs!$C$13),NA())</f>
        <v>2323.3953260818262</v>
      </c>
      <c r="Q66" s="9">
        <f>IF(OR(Inputs!$F$9=TRUE,Inputs!$F$9="TRUE",Inputs!$F$9=1),(-2*((1000*((((Inputs!$I$9+(((A66)+1)/2)*(Inputs!$J$9-Inputs!$I$9)))*Inputs!$C$11+((Inputs!$H$9+Inputs!$L$9*(((Inputs!$I$9+(((A66)+1)/2)*(Inputs!$J$9-Inputs!$I$9)))/Inputs!$K$9)^2))*((2*Inputs!$L$9*((Inputs!$I$9+(((A66)+1)/2)*(Inputs!$J$9-Inputs!$I$9)))/(Inputs!$K$9^2)*Inputs!$C$11)))/(SQRT(((Inputs!$I$9+(((A66)+1)/2)*(Inputs!$J$9-Inputs!$I$9)))^2+Inputs!$C$6^2+((Inputs!$H$9+Inputs!$L$9*(((Inputs!$I$9+(((A66)+1)/2)*(Inputs!$J$9-Inputs!$I$9)))/Inputs!$K$9)^2))^2)))))/Inputs!$C$13),NA())</f>
        <v>2323.8281317080573</v>
      </c>
      <c r="R66" s="10"/>
      <c r="S66" s="9">
        <f t="shared" ref="S66:S129" si="8">A66</f>
        <v>-0.46700000000000003</v>
      </c>
      <c r="T66" s="9">
        <f>(Inputs!$I$6+(((A66)+1)/2)*(Inputs!$J$6-Inputs!$I$6))</f>
        <v>-28.020000000000003</v>
      </c>
      <c r="U66" s="9">
        <f>(Inputs!$I$7+(((A66)+1)/2)*(Inputs!$J$7-Inputs!$I$7))</f>
        <v>-186.80000000000004</v>
      </c>
      <c r="V66" s="9">
        <f>(Inputs!$I$8+(((A66)+1)/2)*(Inputs!$J$8-Inputs!$I$8))</f>
        <v>-373.60000000000008</v>
      </c>
      <c r="W66" s="9">
        <f>(Inputs!$I$9+(((A66)+1)/2)*(Inputs!$J$9-Inputs!$I$9))</f>
        <v>-373.60000000000008</v>
      </c>
      <c r="X66" s="10"/>
      <c r="Y66" s="9">
        <f t="shared" ref="Y66:Y129" si="9">A66</f>
        <v>-0.46700000000000003</v>
      </c>
      <c r="Z66" s="9">
        <f>(Inputs!$H$6+Inputs!$L$6*(((Inputs!$I$6+(((A66)+1)/2)*(Inputs!$J$6-Inputs!$I$6)))/Inputs!$K$6)^2)</f>
        <v>400.87235600000002</v>
      </c>
      <c r="AA66" s="9">
        <f>(Inputs!$H$7+Inputs!$L$7*(((Inputs!$I$7+(((A66)+1)/2)*(Inputs!$J$7-Inputs!$I$7)))/Inputs!$K$7)^2)</f>
        <v>114.60248500000003</v>
      </c>
      <c r="AB66" s="9">
        <f>(Inputs!$H$8+Inputs!$L$8*(((Inputs!$I$8+(((A66)+1)/2)*(Inputs!$J$8-Inputs!$I$8)))/Inputs!$K$8)^2)</f>
        <v>245.45588500000008</v>
      </c>
      <c r="AC66" s="9">
        <f>(Inputs!$H$9+Inputs!$L$9*(((Inputs!$I$9+(((A66)+1)/2)*(Inputs!$J$9-Inputs!$I$9)))/Inputs!$K$9)^2)</f>
        <v>237.63677500000009</v>
      </c>
      <c r="AD66" s="10"/>
      <c r="AE66" s="9">
        <f t="shared" ref="AE66:AE129" si="10">A66</f>
        <v>-0.46700000000000003</v>
      </c>
      <c r="AF66" s="9">
        <f>(((SQRT(((Inputs!$I$6+(((A66)+1)/2)*(Inputs!$J$6-Inputs!$I$6)))^2+Inputs!$C$6^2+((Inputs!$H$6+Inputs!$L$6*(((Inputs!$I$6+(((A66)+1)/2)*(Inputs!$J$6-Inputs!$I$6)))/Inputs!$K$6)^2))^2))-((Inputs!$H$6+Inputs!$L$6*(((Inputs!$I$6+(((A66)+1)/2)*(Inputs!$J$6-Inputs!$I$6)))/Inputs!$K$6)^2)))*1000/Inputs!$C$12)</f>
        <v>985.93999041798509</v>
      </c>
      <c r="AG66" s="9">
        <f>(((SQRT(((Inputs!$I$7+(((A66)+1)/2)*(Inputs!$J$7-Inputs!$I$7)))^2+Inputs!$C$6^2+((Inputs!$H$7+Inputs!$L$7*(((Inputs!$I$7+(((A66)+1)/2)*(Inputs!$J$7-Inputs!$I$7)))/Inputs!$K$7)^2))^2))-((Inputs!$H$7+Inputs!$L$7*(((Inputs!$I$7+(((A66)+1)/2)*(Inputs!$J$7-Inputs!$I$7)))/Inputs!$K$7)^2)))*1000/Inputs!$C$12)</f>
        <v>59534.660985340124</v>
      </c>
      <c r="AH66" s="9">
        <f>(((SQRT(((Inputs!$I$8+(((A66)+1)/2)*(Inputs!$J$8-Inputs!$I$8)))^2+Inputs!$C$6^2+((Inputs!$H$8+Inputs!$L$8*(((Inputs!$I$8+(((A66)+1)/2)*(Inputs!$J$8-Inputs!$I$8)))/Inputs!$K$8)^2))^2))-((Inputs!$H$8+Inputs!$L$8*(((Inputs!$I$8+(((A66)+1)/2)*(Inputs!$J$8-Inputs!$I$8)))/Inputs!$K$8)^2)))*1000/Inputs!$C$12)</f>
        <v>113629.86460237192</v>
      </c>
      <c r="AI66" s="9">
        <f>(((SQRT(((Inputs!$I$9+(((A66)+1)/2)*(Inputs!$J$9-Inputs!$I$9)))^2+Inputs!$C$6^2+((Inputs!$H$9+Inputs!$L$9*(((Inputs!$I$9+(((A66)+1)/2)*(Inputs!$J$9-Inputs!$I$9)))/Inputs!$K$9)^2))^2))-((Inputs!$H$9+Inputs!$L$9*(((Inputs!$I$9+(((A66)+1)/2)*(Inputs!$J$9-Inputs!$I$9)))/Inputs!$K$9)^2)))*1000/Inputs!$C$12)</f>
        <v>115641.42922486359</v>
      </c>
      <c r="AJ66" s="10"/>
      <c r="AK66" s="9">
        <f t="shared" ref="AK66:AK129" si="11">A66</f>
        <v>-0.46700000000000003</v>
      </c>
      <c r="AL66" s="9">
        <f>(-2*((1000*((((Inputs!$I$6+(((A66)+1)/2)*(Inputs!$J$6-Inputs!$I$6)))*Inputs!$C$11+((Inputs!$H$6+Inputs!$L$6*(((Inputs!$I$6+(((A66)+1)/2)*(Inputs!$J$6-Inputs!$I$6)))/Inputs!$K$6)^2))*((2*Inputs!$L$6*((Inputs!$I$6+(((A66)+1)/2)*(Inputs!$J$6-Inputs!$I$6)))/(Inputs!$K$6^2)*Inputs!$C$11)))/(SQRT(((Inputs!$I$6+(((A66)+1)/2)*(Inputs!$J$6-Inputs!$I$6)))^2+Inputs!$C$6^2+((Inputs!$H$6+Inputs!$L$6*(((Inputs!$I$6+(((A66)+1)/2)*(Inputs!$J$6-Inputs!$I$6)))/Inputs!$K$6)^2))^2)))))/Inputs!$C$13)</f>
        <v>210.54103992174888</v>
      </c>
      <c r="AM66" s="9">
        <f>(-2*((1000*((((Inputs!$I$7+(((A66)+1)/2)*(Inputs!$J$7-Inputs!$I$7)))*Inputs!$C$11+((Inputs!$H$7+Inputs!$L$7*(((Inputs!$I$7+(((A66)+1)/2)*(Inputs!$J$7-Inputs!$I$7)))/Inputs!$K$7)^2))*((2*Inputs!$L$7*((Inputs!$I$7+(((A66)+1)/2)*(Inputs!$J$7-Inputs!$I$7)))/(Inputs!$K$7^2)*Inputs!$C$11)))/(SQRT(((Inputs!$I$7+(((A66)+1)/2)*(Inputs!$J$7-Inputs!$I$7)))^2+Inputs!$C$6^2+((Inputs!$H$7+Inputs!$L$7*(((Inputs!$I$7+(((A66)+1)/2)*(Inputs!$J$7-Inputs!$I$7)))/Inputs!$K$7)^2))^2)))))/Inputs!$C$13)</f>
        <v>2063.5077480007144</v>
      </c>
      <c r="AN66" s="9">
        <f>(-2*((1000*((((Inputs!$I$8+(((A66)+1)/2)*(Inputs!$J$8-Inputs!$I$8)))*Inputs!$C$11+((Inputs!$H$8+Inputs!$L$8*(((Inputs!$I$8+(((A66)+1)/2)*(Inputs!$J$8-Inputs!$I$8)))/Inputs!$K$8)^2))*((2*Inputs!$L$8*((Inputs!$I$8+(((A66)+1)/2)*(Inputs!$J$8-Inputs!$I$8)))/(Inputs!$K$8^2)*Inputs!$C$11)))/(SQRT(((Inputs!$I$8+(((A66)+1)/2)*(Inputs!$J$8-Inputs!$I$8)))^2+Inputs!$C$6^2+((Inputs!$H$8+Inputs!$L$8*(((Inputs!$I$8+(((A66)+1)/2)*(Inputs!$J$8-Inputs!$I$8)))/Inputs!$K$8)^2))^2)))))/Inputs!$C$13)</f>
        <v>2323.3953260818262</v>
      </c>
      <c r="AO66" s="9">
        <f>(-2*((1000*((((Inputs!$I$9+(((A66)+1)/2)*(Inputs!$J$9-Inputs!$I$9)))*Inputs!$C$11+((Inputs!$H$9+Inputs!$L$9*(((Inputs!$I$9+(((A66)+1)/2)*(Inputs!$J$9-Inputs!$I$9)))/Inputs!$K$9)^2))*((2*Inputs!$L$9*((Inputs!$I$9+(((A66)+1)/2)*(Inputs!$J$9-Inputs!$I$9)))/(Inputs!$K$9^2)*Inputs!$C$11)))/(SQRT(((Inputs!$I$9+(((A66)+1)/2)*(Inputs!$J$9-Inputs!$I$9)))^2+Inputs!$C$6^2+((Inputs!$H$9+Inputs!$L$9*(((Inputs!$I$9+(((A66)+1)/2)*(Inputs!$J$9-Inputs!$I$9)))/Inputs!$K$9)^2))^2)))))/Inputs!$C$13)</f>
        <v>2323.8281317080573</v>
      </c>
    </row>
    <row r="67" spans="1:41">
      <c r="A67" s="9">
        <f>ROUND(-1+65*2/240,3)</f>
        <v>-0.45800000000000002</v>
      </c>
      <c r="B67" s="9">
        <f>IF(OR(Inputs!$F$6=TRUE,Inputs!$F$6="TRUE",Inputs!$F$6=1),(Inputs!$H$6+Inputs!$L$6*(((Inputs!$I$6+(((A67)+1)/2)*(Inputs!$J$6-Inputs!$I$6)))/Inputs!$K$6)^2),NA())</f>
        <v>400.83905600000003</v>
      </c>
      <c r="C67" s="9">
        <f>IF(OR(Inputs!$F$7=TRUE,Inputs!$F$7="TRUE",Inputs!$F$7=1),(Inputs!$H$7+Inputs!$L$7*(((Inputs!$I$7+(((A67)+1)/2)*(Inputs!$J$7-Inputs!$I$7)))/Inputs!$K$7)^2),NA())</f>
        <v>111.56385999999999</v>
      </c>
      <c r="D67" s="9">
        <f>IF(OR(Inputs!$F$8=TRUE,Inputs!$F$8="TRUE",Inputs!$F$8=1),(Inputs!$H$8+Inputs!$L$8*(((Inputs!$I$8+(((A67)+1)/2)*(Inputs!$J$8-Inputs!$I$8)))/Inputs!$K$8)^2),NA())</f>
        <v>237.42225999999997</v>
      </c>
      <c r="E67" s="9">
        <f>IF(OR(Inputs!$F$9=TRUE,Inputs!$F$9="TRUE",Inputs!$F$9=1),(Inputs!$H$9+Inputs!$L$9*(((Inputs!$I$9+(((A67)+1)/2)*(Inputs!$J$9-Inputs!$I$9)))/Inputs!$K$9)^2),NA())</f>
        <v>229.51989999999998</v>
      </c>
      <c r="F67" s="10"/>
      <c r="G67" s="9">
        <f t="shared" si="6"/>
        <v>-0.45800000000000002</v>
      </c>
      <c r="H67" s="9">
        <f>IF(OR(Inputs!$F$6=TRUE,Inputs!$F$6="TRUE",Inputs!$F$6=1),(((SQRT(((Inputs!$I$6+(((A67)+1)/2)*(Inputs!$J$6-Inputs!$I$6)))^2+Inputs!$C$6^2+((Inputs!$H$6+Inputs!$L$6*(((Inputs!$I$6+(((A67)+1)/2)*(Inputs!$J$6-Inputs!$I$6)))/Inputs!$K$6)^2))^2))-((Inputs!$H$6+Inputs!$L$6*(((Inputs!$I$6+(((A67)+1)/2)*(Inputs!$J$6-Inputs!$I$6)))/Inputs!$K$6)^2)))*1000/Inputs!$C$12),NA())</f>
        <v>965.10984122816035</v>
      </c>
      <c r="I67" s="9">
        <f>IF(OR(Inputs!$F$7=TRUE,Inputs!$F$7="TRUE",Inputs!$F$7=1),(((SQRT(((Inputs!$I$7+(((A67)+1)/2)*(Inputs!$J$7-Inputs!$I$7)))^2+Inputs!$C$6^2+((Inputs!$H$7+Inputs!$L$7*(((Inputs!$I$7+(((A67)+1)/2)*(Inputs!$J$7-Inputs!$I$7)))/Inputs!$K$7)^2))^2))-((Inputs!$H$7+Inputs!$L$7*(((Inputs!$I$7+(((A67)+1)/2)*(Inputs!$J$7-Inputs!$I$7)))/Inputs!$K$7)^2)))*1000/Inputs!$C$12),NA())</f>
        <v>58643.030432177133</v>
      </c>
      <c r="J67" s="9">
        <f>IF(OR(Inputs!$F$8=TRUE,Inputs!$F$8="TRUE",Inputs!$F$8=1),(((SQRT(((Inputs!$I$8+(((A67)+1)/2)*(Inputs!$J$8-Inputs!$I$8)))^2+Inputs!$C$6^2+((Inputs!$H$8+Inputs!$L$8*(((Inputs!$I$8+(((A67)+1)/2)*(Inputs!$J$8-Inputs!$I$8)))/Inputs!$K$8)^2))^2))-((Inputs!$H$8+Inputs!$L$8*(((Inputs!$I$8+(((A67)+1)/2)*(Inputs!$J$8-Inputs!$I$8)))/Inputs!$K$8)^2)))*1000/Inputs!$C$12),NA())</f>
        <v>112298.57293303528</v>
      </c>
      <c r="K67" s="9">
        <f>IF(OR(Inputs!$F$9=TRUE,Inputs!$F$9="TRUE",Inputs!$F$9=1),(((SQRT(((Inputs!$I$9+(((A67)+1)/2)*(Inputs!$J$9-Inputs!$I$9)))^2+Inputs!$C$6^2+((Inputs!$H$9+Inputs!$L$9*(((Inputs!$I$9+(((A67)+1)/2)*(Inputs!$J$9-Inputs!$I$9)))/Inputs!$K$9)^2))^2))-((Inputs!$H$9+Inputs!$L$9*(((Inputs!$I$9+(((A67)+1)/2)*(Inputs!$J$9-Inputs!$I$9)))/Inputs!$K$9)^2)))*1000/Inputs!$C$12),NA())</f>
        <v>114356.40136514757</v>
      </c>
      <c r="L67" s="10"/>
      <c r="M67" s="9">
        <f t="shared" si="7"/>
        <v>-0.45800000000000002</v>
      </c>
      <c r="N67" s="9">
        <f>IF(OR(Inputs!$F$6=TRUE,Inputs!$F$6="TRUE",Inputs!$F$6=1),(-2*((1000*((((Inputs!$I$6+(((A67)+1)/2)*(Inputs!$J$6-Inputs!$I$6)))*Inputs!$C$11+((Inputs!$H$6+Inputs!$L$6*(((Inputs!$I$6+(((A67)+1)/2)*(Inputs!$J$6-Inputs!$I$6)))/Inputs!$K$6)^2))*((2*Inputs!$L$6*((Inputs!$I$6+(((A67)+1)/2)*(Inputs!$J$6-Inputs!$I$6)))/(Inputs!$K$6^2)*Inputs!$C$11)))/(SQRT(((Inputs!$I$6+(((A67)+1)/2)*(Inputs!$J$6-Inputs!$I$6)))^2+Inputs!$C$6^2+((Inputs!$H$6+Inputs!$L$6*(((Inputs!$I$6+(((A67)+1)/2)*(Inputs!$J$6-Inputs!$I$6)))/Inputs!$K$6)^2))^2)))))/Inputs!$C$13),NA())</f>
        <v>206.51152021649509</v>
      </c>
      <c r="O67" s="9">
        <f>IF(OR(Inputs!$F$7=TRUE,Inputs!$F$7="TRUE",Inputs!$F$7=1),(-2*((1000*((((Inputs!$I$7+(((A67)+1)/2)*(Inputs!$J$7-Inputs!$I$7)))*Inputs!$C$11+((Inputs!$H$7+Inputs!$L$7*(((Inputs!$I$7+(((A67)+1)/2)*(Inputs!$J$7-Inputs!$I$7)))/Inputs!$K$7)^2))*((2*Inputs!$L$7*((Inputs!$I$7+(((A67)+1)/2)*(Inputs!$J$7-Inputs!$I$7)))/(Inputs!$K$7^2)*Inputs!$C$11)))/(SQRT(((Inputs!$I$7+(((A67)+1)/2)*(Inputs!$J$7-Inputs!$I$7)))^2+Inputs!$C$6^2+((Inputs!$H$7+Inputs!$L$7*(((Inputs!$I$7+(((A67)+1)/2)*(Inputs!$J$7-Inputs!$I$7)))/Inputs!$K$7)^2))^2)))))/Inputs!$C$13),NA())</f>
        <v>2048.2714058368683</v>
      </c>
      <c r="P67" s="9">
        <f>IF(OR(Inputs!$F$8=TRUE,Inputs!$F$8="TRUE",Inputs!$F$8=1),(-2*((1000*((((Inputs!$I$8+(((A67)+1)/2)*(Inputs!$J$8-Inputs!$I$8)))*Inputs!$C$11+((Inputs!$H$8+Inputs!$L$8*(((Inputs!$I$8+(((A67)+1)/2)*(Inputs!$J$8-Inputs!$I$8)))/Inputs!$K$8)^2))*((2*Inputs!$L$8*((Inputs!$I$8+(((A67)+1)/2)*(Inputs!$J$8-Inputs!$I$8)))/(Inputs!$K$8^2)*Inputs!$C$11)))/(SQRT(((Inputs!$I$8+(((A67)+1)/2)*(Inputs!$J$8-Inputs!$I$8)))^2+Inputs!$C$6^2+((Inputs!$H$8+Inputs!$L$8*(((Inputs!$I$8+(((A67)+1)/2)*(Inputs!$J$8-Inputs!$I$8)))/Inputs!$K$8)^2))^2)))))/Inputs!$C$13),NA())</f>
        <v>2300.3487414504534</v>
      </c>
      <c r="Q67" s="9">
        <f>IF(OR(Inputs!$F$9=TRUE,Inputs!$F$9="TRUE",Inputs!$F$9=1),(-2*((1000*((((Inputs!$I$9+(((A67)+1)/2)*(Inputs!$J$9-Inputs!$I$9)))*Inputs!$C$11+((Inputs!$H$9+Inputs!$L$9*(((Inputs!$I$9+(((A67)+1)/2)*(Inputs!$J$9-Inputs!$I$9)))/Inputs!$K$9)^2))*((2*Inputs!$L$9*((Inputs!$I$9+(((A67)+1)/2)*(Inputs!$J$9-Inputs!$I$9)))/(Inputs!$K$9^2)*Inputs!$C$11)))/(SQRT(((Inputs!$I$9+(((A67)+1)/2)*(Inputs!$J$9-Inputs!$I$9)))^2+Inputs!$C$6^2+((Inputs!$H$9+Inputs!$L$9*(((Inputs!$I$9+(((A67)+1)/2)*(Inputs!$J$9-Inputs!$I$9)))/Inputs!$K$9)^2))^2)))))/Inputs!$C$13),NA())</f>
        <v>2300.3176549447867</v>
      </c>
      <c r="R67" s="10"/>
      <c r="S67" s="9">
        <f t="shared" si="8"/>
        <v>-0.45800000000000002</v>
      </c>
      <c r="T67" s="9">
        <f>(Inputs!$I$6+(((A67)+1)/2)*(Inputs!$J$6-Inputs!$I$6))</f>
        <v>-27.479999999999997</v>
      </c>
      <c r="U67" s="9">
        <f>(Inputs!$I$7+(((A67)+1)/2)*(Inputs!$J$7-Inputs!$I$7))</f>
        <v>-183.2</v>
      </c>
      <c r="V67" s="9">
        <f>(Inputs!$I$8+(((A67)+1)/2)*(Inputs!$J$8-Inputs!$I$8))</f>
        <v>-366.4</v>
      </c>
      <c r="W67" s="9">
        <f>(Inputs!$I$9+(((A67)+1)/2)*(Inputs!$J$9-Inputs!$I$9))</f>
        <v>-366.4</v>
      </c>
      <c r="X67" s="10"/>
      <c r="Y67" s="9">
        <f t="shared" si="9"/>
        <v>-0.45800000000000002</v>
      </c>
      <c r="Z67" s="9">
        <f>(Inputs!$H$6+Inputs!$L$6*(((Inputs!$I$6+(((A67)+1)/2)*(Inputs!$J$6-Inputs!$I$6)))/Inputs!$K$6)^2)</f>
        <v>400.83905600000003</v>
      </c>
      <c r="AA67" s="9">
        <f>(Inputs!$H$7+Inputs!$L$7*(((Inputs!$I$7+(((A67)+1)/2)*(Inputs!$J$7-Inputs!$I$7)))/Inputs!$K$7)^2)</f>
        <v>111.56385999999999</v>
      </c>
      <c r="AB67" s="9">
        <f>(Inputs!$H$8+Inputs!$L$8*(((Inputs!$I$8+(((A67)+1)/2)*(Inputs!$J$8-Inputs!$I$8)))/Inputs!$K$8)^2)</f>
        <v>237.42225999999997</v>
      </c>
      <c r="AC67" s="9">
        <f>(Inputs!$H$9+Inputs!$L$9*(((Inputs!$I$9+(((A67)+1)/2)*(Inputs!$J$9-Inputs!$I$9)))/Inputs!$K$9)^2)</f>
        <v>229.51989999999998</v>
      </c>
      <c r="AD67" s="10"/>
      <c r="AE67" s="9">
        <f t="shared" si="10"/>
        <v>-0.45800000000000002</v>
      </c>
      <c r="AF67" s="9">
        <f>(((SQRT(((Inputs!$I$6+(((A67)+1)/2)*(Inputs!$J$6-Inputs!$I$6)))^2+Inputs!$C$6^2+((Inputs!$H$6+Inputs!$L$6*(((Inputs!$I$6+(((A67)+1)/2)*(Inputs!$J$6-Inputs!$I$6)))/Inputs!$K$6)^2))^2))-((Inputs!$H$6+Inputs!$L$6*(((Inputs!$I$6+(((A67)+1)/2)*(Inputs!$J$6-Inputs!$I$6)))/Inputs!$K$6)^2)))*1000/Inputs!$C$12)</f>
        <v>965.10984122816035</v>
      </c>
      <c r="AG67" s="9">
        <f>(((SQRT(((Inputs!$I$7+(((A67)+1)/2)*(Inputs!$J$7-Inputs!$I$7)))^2+Inputs!$C$6^2+((Inputs!$H$7+Inputs!$L$7*(((Inputs!$I$7+(((A67)+1)/2)*(Inputs!$J$7-Inputs!$I$7)))/Inputs!$K$7)^2))^2))-((Inputs!$H$7+Inputs!$L$7*(((Inputs!$I$7+(((A67)+1)/2)*(Inputs!$J$7-Inputs!$I$7)))/Inputs!$K$7)^2)))*1000/Inputs!$C$12)</f>
        <v>58643.030432177133</v>
      </c>
      <c r="AH67" s="9">
        <f>(((SQRT(((Inputs!$I$8+(((A67)+1)/2)*(Inputs!$J$8-Inputs!$I$8)))^2+Inputs!$C$6^2+((Inputs!$H$8+Inputs!$L$8*(((Inputs!$I$8+(((A67)+1)/2)*(Inputs!$J$8-Inputs!$I$8)))/Inputs!$K$8)^2))^2))-((Inputs!$H$8+Inputs!$L$8*(((Inputs!$I$8+(((A67)+1)/2)*(Inputs!$J$8-Inputs!$I$8)))/Inputs!$K$8)^2)))*1000/Inputs!$C$12)</f>
        <v>112298.57293303528</v>
      </c>
      <c r="AI67" s="9">
        <f>(((SQRT(((Inputs!$I$9+(((A67)+1)/2)*(Inputs!$J$9-Inputs!$I$9)))^2+Inputs!$C$6^2+((Inputs!$H$9+Inputs!$L$9*(((Inputs!$I$9+(((A67)+1)/2)*(Inputs!$J$9-Inputs!$I$9)))/Inputs!$K$9)^2))^2))-((Inputs!$H$9+Inputs!$L$9*(((Inputs!$I$9+(((A67)+1)/2)*(Inputs!$J$9-Inputs!$I$9)))/Inputs!$K$9)^2)))*1000/Inputs!$C$12)</f>
        <v>114356.40136514757</v>
      </c>
      <c r="AJ67" s="10"/>
      <c r="AK67" s="9">
        <f t="shared" si="11"/>
        <v>-0.45800000000000002</v>
      </c>
      <c r="AL67" s="9">
        <f>(-2*((1000*((((Inputs!$I$6+(((A67)+1)/2)*(Inputs!$J$6-Inputs!$I$6)))*Inputs!$C$11+((Inputs!$H$6+Inputs!$L$6*(((Inputs!$I$6+(((A67)+1)/2)*(Inputs!$J$6-Inputs!$I$6)))/Inputs!$K$6)^2))*((2*Inputs!$L$6*((Inputs!$I$6+(((A67)+1)/2)*(Inputs!$J$6-Inputs!$I$6)))/(Inputs!$K$6^2)*Inputs!$C$11)))/(SQRT(((Inputs!$I$6+(((A67)+1)/2)*(Inputs!$J$6-Inputs!$I$6)))^2+Inputs!$C$6^2+((Inputs!$H$6+Inputs!$L$6*(((Inputs!$I$6+(((A67)+1)/2)*(Inputs!$J$6-Inputs!$I$6)))/Inputs!$K$6)^2))^2)))))/Inputs!$C$13)</f>
        <v>206.51152021649509</v>
      </c>
      <c r="AM67" s="9">
        <f>(-2*((1000*((((Inputs!$I$7+(((A67)+1)/2)*(Inputs!$J$7-Inputs!$I$7)))*Inputs!$C$11+((Inputs!$H$7+Inputs!$L$7*(((Inputs!$I$7+(((A67)+1)/2)*(Inputs!$J$7-Inputs!$I$7)))/Inputs!$K$7)^2))*((2*Inputs!$L$7*((Inputs!$I$7+(((A67)+1)/2)*(Inputs!$J$7-Inputs!$I$7)))/(Inputs!$K$7^2)*Inputs!$C$11)))/(SQRT(((Inputs!$I$7+(((A67)+1)/2)*(Inputs!$J$7-Inputs!$I$7)))^2+Inputs!$C$6^2+((Inputs!$H$7+Inputs!$L$7*(((Inputs!$I$7+(((A67)+1)/2)*(Inputs!$J$7-Inputs!$I$7)))/Inputs!$K$7)^2))^2)))))/Inputs!$C$13)</f>
        <v>2048.2714058368683</v>
      </c>
      <c r="AN67" s="9">
        <f>(-2*((1000*((((Inputs!$I$8+(((A67)+1)/2)*(Inputs!$J$8-Inputs!$I$8)))*Inputs!$C$11+((Inputs!$H$8+Inputs!$L$8*(((Inputs!$I$8+(((A67)+1)/2)*(Inputs!$J$8-Inputs!$I$8)))/Inputs!$K$8)^2))*((2*Inputs!$L$8*((Inputs!$I$8+(((A67)+1)/2)*(Inputs!$J$8-Inputs!$I$8)))/(Inputs!$K$8^2)*Inputs!$C$11)))/(SQRT(((Inputs!$I$8+(((A67)+1)/2)*(Inputs!$J$8-Inputs!$I$8)))^2+Inputs!$C$6^2+((Inputs!$H$8+Inputs!$L$8*(((Inputs!$I$8+(((A67)+1)/2)*(Inputs!$J$8-Inputs!$I$8)))/Inputs!$K$8)^2))^2)))))/Inputs!$C$13)</f>
        <v>2300.3487414504534</v>
      </c>
      <c r="AO67" s="9">
        <f>(-2*((1000*((((Inputs!$I$9+(((A67)+1)/2)*(Inputs!$J$9-Inputs!$I$9)))*Inputs!$C$11+((Inputs!$H$9+Inputs!$L$9*(((Inputs!$I$9+(((A67)+1)/2)*(Inputs!$J$9-Inputs!$I$9)))/Inputs!$K$9)^2))*((2*Inputs!$L$9*((Inputs!$I$9+(((A67)+1)/2)*(Inputs!$J$9-Inputs!$I$9)))/(Inputs!$K$9^2)*Inputs!$C$11)))/(SQRT(((Inputs!$I$9+(((A67)+1)/2)*(Inputs!$J$9-Inputs!$I$9)))^2+Inputs!$C$6^2+((Inputs!$H$9+Inputs!$L$9*(((Inputs!$I$9+(((A67)+1)/2)*(Inputs!$J$9-Inputs!$I$9)))/Inputs!$K$9)^2))^2)))))/Inputs!$C$13)</f>
        <v>2300.3176549447867</v>
      </c>
    </row>
    <row r="68" spans="1:41">
      <c r="A68" s="9">
        <f>ROUND(-1+66*2/240,3)</f>
        <v>-0.45</v>
      </c>
      <c r="B68" s="9">
        <f>IF(OR(Inputs!$F$6=TRUE,Inputs!$F$6="TRUE",Inputs!$F$6=1),(Inputs!$H$6+Inputs!$L$6*(((Inputs!$I$6+(((A68)+1)/2)*(Inputs!$J$6-Inputs!$I$6)))/Inputs!$K$6)^2),NA())</f>
        <v>400.81</v>
      </c>
      <c r="C68" s="9">
        <f>IF(OR(Inputs!$F$7=TRUE,Inputs!$F$7="TRUE",Inputs!$F$7=1),(Inputs!$H$7+Inputs!$L$7*(((Inputs!$I$7+(((A68)+1)/2)*(Inputs!$J$7-Inputs!$I$7)))/Inputs!$K$7)^2),NA())</f>
        <v>108.91249999999998</v>
      </c>
      <c r="D68" s="9">
        <f>IF(OR(Inputs!$F$8=TRUE,Inputs!$F$8="TRUE",Inputs!$F$8=1),(Inputs!$H$8+Inputs!$L$8*(((Inputs!$I$8+(((A68)+1)/2)*(Inputs!$J$8-Inputs!$I$8)))/Inputs!$K$8)^2),NA())</f>
        <v>230.41249999999997</v>
      </c>
      <c r="E68" s="9">
        <f>IF(OR(Inputs!$F$9=TRUE,Inputs!$F$9="TRUE",Inputs!$F$9=1),(Inputs!$H$9+Inputs!$L$9*(((Inputs!$I$9+(((A68)+1)/2)*(Inputs!$J$9-Inputs!$I$9)))/Inputs!$K$9)^2),NA())</f>
        <v>222.43749999999997</v>
      </c>
      <c r="F68" s="10"/>
      <c r="G68" s="9">
        <f t="shared" si="6"/>
        <v>-0.45</v>
      </c>
      <c r="H68" s="9">
        <f>IF(OR(Inputs!$F$6=TRUE,Inputs!$F$6="TRUE",Inputs!$F$6=1),(((SQRT(((Inputs!$I$6+(((A68)+1)/2)*(Inputs!$J$6-Inputs!$I$6)))^2+Inputs!$C$6^2+((Inputs!$H$6+Inputs!$L$6*(((Inputs!$I$6+(((A68)+1)/2)*(Inputs!$J$6-Inputs!$I$6)))/Inputs!$K$6)^2))^2))-((Inputs!$H$6+Inputs!$L$6*(((Inputs!$I$6+(((A68)+1)/2)*(Inputs!$J$6-Inputs!$I$6)))/Inputs!$K$6)^2)))*1000/Inputs!$C$12),NA())</f>
        <v>946.93005797213948</v>
      </c>
      <c r="I68" s="9">
        <f>IF(OR(Inputs!$F$7=TRUE,Inputs!$F$7="TRUE",Inputs!$F$7=1),(((SQRT(((Inputs!$I$7+(((A68)+1)/2)*(Inputs!$J$7-Inputs!$I$7)))^2+Inputs!$C$6^2+((Inputs!$H$7+Inputs!$L$7*(((Inputs!$I$7+(((A68)+1)/2)*(Inputs!$J$7-Inputs!$I$7)))/Inputs!$K$7)^2))^2))-((Inputs!$H$7+Inputs!$L$7*(((Inputs!$I$7+(((A68)+1)/2)*(Inputs!$J$7-Inputs!$I$7)))/Inputs!$K$7)^2)))*1000/Inputs!$C$12),NA())</f>
        <v>57838.687896862924</v>
      </c>
      <c r="J68" s="9">
        <f>IF(OR(Inputs!$F$8=TRUE,Inputs!$F$8="TRUE",Inputs!$F$8=1),(((SQRT(((Inputs!$I$8+(((A68)+1)/2)*(Inputs!$J$8-Inputs!$I$8)))^2+Inputs!$C$6^2+((Inputs!$H$8+Inputs!$L$8*(((Inputs!$I$8+(((A68)+1)/2)*(Inputs!$J$8-Inputs!$I$8)))/Inputs!$K$8)^2))^2))-((Inputs!$H$8+Inputs!$L$8*(((Inputs!$I$8+(((A68)+1)/2)*(Inputs!$J$8-Inputs!$I$8)))/Inputs!$K$8)^2)))*1000/Inputs!$C$12),NA())</f>
        <v>111090.12179244011</v>
      </c>
      <c r="K68" s="9">
        <f>IF(OR(Inputs!$F$9=TRUE,Inputs!$F$9="TRUE",Inputs!$F$9=1),(((SQRT(((Inputs!$I$9+(((A68)+1)/2)*(Inputs!$J$9-Inputs!$I$9)))^2+Inputs!$C$6^2+((Inputs!$H$9+Inputs!$L$9*(((Inputs!$I$9+(((A68)+1)/2)*(Inputs!$J$9-Inputs!$I$9)))/Inputs!$K$9)^2))^2))-((Inputs!$H$9+Inputs!$L$9*(((Inputs!$I$9+(((A68)+1)/2)*(Inputs!$J$9-Inputs!$I$9)))/Inputs!$K$9)^2)))*1000/Inputs!$C$12),NA())</f>
        <v>113189.28482318549</v>
      </c>
      <c r="L68" s="10"/>
      <c r="M68" s="9">
        <f t="shared" si="7"/>
        <v>-0.45</v>
      </c>
      <c r="N68" s="9">
        <f>IF(OR(Inputs!$F$6=TRUE,Inputs!$F$6="TRUE",Inputs!$F$6=1),(-2*((1000*((((Inputs!$I$6+(((A68)+1)/2)*(Inputs!$J$6-Inputs!$I$6)))*Inputs!$C$11+((Inputs!$H$6+Inputs!$L$6*(((Inputs!$I$6+(((A68)+1)/2)*(Inputs!$J$6-Inputs!$I$6)))/Inputs!$K$6)^2))*((2*Inputs!$L$6*((Inputs!$I$6+(((A68)+1)/2)*(Inputs!$J$6-Inputs!$I$6)))/(Inputs!$K$6^2)*Inputs!$C$11)))/(SQRT(((Inputs!$I$6+(((A68)+1)/2)*(Inputs!$J$6-Inputs!$I$6)))^2+Inputs!$C$6^2+((Inputs!$H$6+Inputs!$L$6*(((Inputs!$I$6+(((A68)+1)/2)*(Inputs!$J$6-Inputs!$I$6)))/Inputs!$K$6)^2))^2)))))/Inputs!$C$13),NA())</f>
        <v>202.92836266590729</v>
      </c>
      <c r="O68" s="9">
        <f>IF(OR(Inputs!$F$7=TRUE,Inputs!$F$7="TRUE",Inputs!$F$7=1),(-2*((1000*((((Inputs!$I$7+(((A68)+1)/2)*(Inputs!$J$7-Inputs!$I$7)))*Inputs!$C$11+((Inputs!$H$7+Inputs!$L$7*(((Inputs!$I$7+(((A68)+1)/2)*(Inputs!$J$7-Inputs!$I$7)))/Inputs!$K$7)^2))*((2*Inputs!$L$7*((Inputs!$I$7+(((A68)+1)/2)*(Inputs!$J$7-Inputs!$I$7)))/(Inputs!$K$7^2)*Inputs!$C$11)))/(SQRT(((Inputs!$I$7+(((A68)+1)/2)*(Inputs!$J$7-Inputs!$I$7)))^2+Inputs!$C$6^2+((Inputs!$H$7+Inputs!$L$7*(((Inputs!$I$7+(((A68)+1)/2)*(Inputs!$J$7-Inputs!$I$7)))/Inputs!$K$7)^2))^2)))))/Inputs!$C$13),NA())</f>
        <v>2034.8348400697942</v>
      </c>
      <c r="P68" s="9">
        <f>IF(OR(Inputs!$F$8=TRUE,Inputs!$F$8="TRUE",Inputs!$F$8=1),(-2*((1000*((((Inputs!$I$8+(((A68)+1)/2)*(Inputs!$J$8-Inputs!$I$8)))*Inputs!$C$11+((Inputs!$H$8+Inputs!$L$8*(((Inputs!$I$8+(((A68)+1)/2)*(Inputs!$J$8-Inputs!$I$8)))/Inputs!$K$8)^2))*((2*Inputs!$L$8*((Inputs!$I$8+(((A68)+1)/2)*(Inputs!$J$8-Inputs!$I$8)))/(Inputs!$K$8^2)*Inputs!$C$11)))/(SQRT(((Inputs!$I$8+(((A68)+1)/2)*(Inputs!$J$8-Inputs!$I$8)))^2+Inputs!$C$6^2+((Inputs!$H$8+Inputs!$L$8*(((Inputs!$I$8+(((A68)+1)/2)*(Inputs!$J$8-Inputs!$I$8)))/Inputs!$K$8)^2))^2)))))/Inputs!$C$13),NA())</f>
        <v>2280.0884315301291</v>
      </c>
      <c r="Q68" s="9">
        <f>IF(OR(Inputs!$F$9=TRUE,Inputs!$F$9="TRUE",Inputs!$F$9=1),(-2*((1000*((((Inputs!$I$9+(((A68)+1)/2)*(Inputs!$J$9-Inputs!$I$9)))*Inputs!$C$11+((Inputs!$H$9+Inputs!$L$9*(((Inputs!$I$9+(((A68)+1)/2)*(Inputs!$J$9-Inputs!$I$9)))/Inputs!$K$9)^2))*((2*Inputs!$L$9*((Inputs!$I$9+(((A68)+1)/2)*(Inputs!$J$9-Inputs!$I$9)))/(Inputs!$K$9^2)*Inputs!$C$11)))/(SQRT(((Inputs!$I$9+(((A68)+1)/2)*(Inputs!$J$9-Inputs!$I$9)))^2+Inputs!$C$6^2+((Inputs!$H$9+Inputs!$L$9*(((Inputs!$I$9+(((A68)+1)/2)*(Inputs!$J$9-Inputs!$I$9)))/Inputs!$K$9)^2))^2)))))/Inputs!$C$13),NA())</f>
        <v>2279.6530407623486</v>
      </c>
      <c r="R68" s="10"/>
      <c r="S68" s="9">
        <f t="shared" si="8"/>
        <v>-0.45</v>
      </c>
      <c r="T68" s="9">
        <f>(Inputs!$I$6+(((A68)+1)/2)*(Inputs!$J$6-Inputs!$I$6))</f>
        <v>-27</v>
      </c>
      <c r="U68" s="9">
        <f>(Inputs!$I$7+(((A68)+1)/2)*(Inputs!$J$7-Inputs!$I$7))</f>
        <v>-179.99999999999997</v>
      </c>
      <c r="V68" s="9">
        <f>(Inputs!$I$8+(((A68)+1)/2)*(Inputs!$J$8-Inputs!$I$8))</f>
        <v>-359.99999999999994</v>
      </c>
      <c r="W68" s="9">
        <f>(Inputs!$I$9+(((A68)+1)/2)*(Inputs!$J$9-Inputs!$I$9))</f>
        <v>-359.99999999999994</v>
      </c>
      <c r="X68" s="10"/>
      <c r="Y68" s="9">
        <f t="shared" si="9"/>
        <v>-0.45</v>
      </c>
      <c r="Z68" s="9">
        <f>(Inputs!$H$6+Inputs!$L$6*(((Inputs!$I$6+(((A68)+1)/2)*(Inputs!$J$6-Inputs!$I$6)))/Inputs!$K$6)^2)</f>
        <v>400.81</v>
      </c>
      <c r="AA68" s="9">
        <f>(Inputs!$H$7+Inputs!$L$7*(((Inputs!$I$7+(((A68)+1)/2)*(Inputs!$J$7-Inputs!$I$7)))/Inputs!$K$7)^2)</f>
        <v>108.91249999999998</v>
      </c>
      <c r="AB68" s="9">
        <f>(Inputs!$H$8+Inputs!$L$8*(((Inputs!$I$8+(((A68)+1)/2)*(Inputs!$J$8-Inputs!$I$8)))/Inputs!$K$8)^2)</f>
        <v>230.41249999999997</v>
      </c>
      <c r="AC68" s="9">
        <f>(Inputs!$H$9+Inputs!$L$9*(((Inputs!$I$9+(((A68)+1)/2)*(Inputs!$J$9-Inputs!$I$9)))/Inputs!$K$9)^2)</f>
        <v>222.43749999999997</v>
      </c>
      <c r="AD68" s="10"/>
      <c r="AE68" s="9">
        <f t="shared" si="10"/>
        <v>-0.45</v>
      </c>
      <c r="AF68" s="9">
        <f>(((SQRT(((Inputs!$I$6+(((A68)+1)/2)*(Inputs!$J$6-Inputs!$I$6)))^2+Inputs!$C$6^2+((Inputs!$H$6+Inputs!$L$6*(((Inputs!$I$6+(((A68)+1)/2)*(Inputs!$J$6-Inputs!$I$6)))/Inputs!$K$6)^2))^2))-((Inputs!$H$6+Inputs!$L$6*(((Inputs!$I$6+(((A68)+1)/2)*(Inputs!$J$6-Inputs!$I$6)))/Inputs!$K$6)^2)))*1000/Inputs!$C$12)</f>
        <v>946.93005797213948</v>
      </c>
      <c r="AG68" s="9">
        <f>(((SQRT(((Inputs!$I$7+(((A68)+1)/2)*(Inputs!$J$7-Inputs!$I$7)))^2+Inputs!$C$6^2+((Inputs!$H$7+Inputs!$L$7*(((Inputs!$I$7+(((A68)+1)/2)*(Inputs!$J$7-Inputs!$I$7)))/Inputs!$K$7)^2))^2))-((Inputs!$H$7+Inputs!$L$7*(((Inputs!$I$7+(((A68)+1)/2)*(Inputs!$J$7-Inputs!$I$7)))/Inputs!$K$7)^2)))*1000/Inputs!$C$12)</f>
        <v>57838.687896862924</v>
      </c>
      <c r="AH68" s="9">
        <f>(((SQRT(((Inputs!$I$8+(((A68)+1)/2)*(Inputs!$J$8-Inputs!$I$8)))^2+Inputs!$C$6^2+((Inputs!$H$8+Inputs!$L$8*(((Inputs!$I$8+(((A68)+1)/2)*(Inputs!$J$8-Inputs!$I$8)))/Inputs!$K$8)^2))^2))-((Inputs!$H$8+Inputs!$L$8*(((Inputs!$I$8+(((A68)+1)/2)*(Inputs!$J$8-Inputs!$I$8)))/Inputs!$K$8)^2)))*1000/Inputs!$C$12)</f>
        <v>111090.12179244011</v>
      </c>
      <c r="AI68" s="9">
        <f>(((SQRT(((Inputs!$I$9+(((A68)+1)/2)*(Inputs!$J$9-Inputs!$I$9)))^2+Inputs!$C$6^2+((Inputs!$H$9+Inputs!$L$9*(((Inputs!$I$9+(((A68)+1)/2)*(Inputs!$J$9-Inputs!$I$9)))/Inputs!$K$9)^2))^2))-((Inputs!$H$9+Inputs!$L$9*(((Inputs!$I$9+(((A68)+1)/2)*(Inputs!$J$9-Inputs!$I$9)))/Inputs!$K$9)^2)))*1000/Inputs!$C$12)</f>
        <v>113189.28482318549</v>
      </c>
      <c r="AJ68" s="10"/>
      <c r="AK68" s="9">
        <f t="shared" si="11"/>
        <v>-0.45</v>
      </c>
      <c r="AL68" s="9">
        <f>(-2*((1000*((((Inputs!$I$6+(((A68)+1)/2)*(Inputs!$J$6-Inputs!$I$6)))*Inputs!$C$11+((Inputs!$H$6+Inputs!$L$6*(((Inputs!$I$6+(((A68)+1)/2)*(Inputs!$J$6-Inputs!$I$6)))/Inputs!$K$6)^2))*((2*Inputs!$L$6*((Inputs!$I$6+(((A68)+1)/2)*(Inputs!$J$6-Inputs!$I$6)))/(Inputs!$K$6^2)*Inputs!$C$11)))/(SQRT(((Inputs!$I$6+(((A68)+1)/2)*(Inputs!$J$6-Inputs!$I$6)))^2+Inputs!$C$6^2+((Inputs!$H$6+Inputs!$L$6*(((Inputs!$I$6+(((A68)+1)/2)*(Inputs!$J$6-Inputs!$I$6)))/Inputs!$K$6)^2))^2)))))/Inputs!$C$13)</f>
        <v>202.92836266590729</v>
      </c>
      <c r="AM68" s="9">
        <f>(-2*((1000*((((Inputs!$I$7+(((A68)+1)/2)*(Inputs!$J$7-Inputs!$I$7)))*Inputs!$C$11+((Inputs!$H$7+Inputs!$L$7*(((Inputs!$I$7+(((A68)+1)/2)*(Inputs!$J$7-Inputs!$I$7)))/Inputs!$K$7)^2))*((2*Inputs!$L$7*((Inputs!$I$7+(((A68)+1)/2)*(Inputs!$J$7-Inputs!$I$7)))/(Inputs!$K$7^2)*Inputs!$C$11)))/(SQRT(((Inputs!$I$7+(((A68)+1)/2)*(Inputs!$J$7-Inputs!$I$7)))^2+Inputs!$C$6^2+((Inputs!$H$7+Inputs!$L$7*(((Inputs!$I$7+(((A68)+1)/2)*(Inputs!$J$7-Inputs!$I$7)))/Inputs!$K$7)^2))^2)))))/Inputs!$C$13)</f>
        <v>2034.8348400697942</v>
      </c>
      <c r="AN68" s="9">
        <f>(-2*((1000*((((Inputs!$I$8+(((A68)+1)/2)*(Inputs!$J$8-Inputs!$I$8)))*Inputs!$C$11+((Inputs!$H$8+Inputs!$L$8*(((Inputs!$I$8+(((A68)+1)/2)*(Inputs!$J$8-Inputs!$I$8)))/Inputs!$K$8)^2))*((2*Inputs!$L$8*((Inputs!$I$8+(((A68)+1)/2)*(Inputs!$J$8-Inputs!$I$8)))/(Inputs!$K$8^2)*Inputs!$C$11)))/(SQRT(((Inputs!$I$8+(((A68)+1)/2)*(Inputs!$J$8-Inputs!$I$8)))^2+Inputs!$C$6^2+((Inputs!$H$8+Inputs!$L$8*(((Inputs!$I$8+(((A68)+1)/2)*(Inputs!$J$8-Inputs!$I$8)))/Inputs!$K$8)^2))^2)))))/Inputs!$C$13)</f>
        <v>2280.0884315301291</v>
      </c>
      <c r="AO68" s="9">
        <f>(-2*((1000*((((Inputs!$I$9+(((A68)+1)/2)*(Inputs!$J$9-Inputs!$I$9)))*Inputs!$C$11+((Inputs!$H$9+Inputs!$L$9*(((Inputs!$I$9+(((A68)+1)/2)*(Inputs!$J$9-Inputs!$I$9)))/Inputs!$K$9)^2))*((2*Inputs!$L$9*((Inputs!$I$9+(((A68)+1)/2)*(Inputs!$J$9-Inputs!$I$9)))/(Inputs!$K$9^2)*Inputs!$C$11)))/(SQRT(((Inputs!$I$9+(((A68)+1)/2)*(Inputs!$J$9-Inputs!$I$9)))^2+Inputs!$C$6^2+((Inputs!$H$9+Inputs!$L$9*(((Inputs!$I$9+(((A68)+1)/2)*(Inputs!$J$9-Inputs!$I$9)))/Inputs!$K$9)^2))^2)))))/Inputs!$C$13)</f>
        <v>2279.6530407623486</v>
      </c>
    </row>
    <row r="69" spans="1:41">
      <c r="A69" s="9">
        <f>ROUND(-1+67*2/240,3)</f>
        <v>-0.442</v>
      </c>
      <c r="B69" s="9">
        <f>IF(OR(Inputs!$F$6=TRUE,Inputs!$F$6="TRUE",Inputs!$F$6=1),(Inputs!$H$6+Inputs!$L$6*(((Inputs!$I$6+(((A69)+1)/2)*(Inputs!$J$6-Inputs!$I$6)))/Inputs!$K$6)^2),NA())</f>
        <v>400.78145599999999</v>
      </c>
      <c r="C69" s="9">
        <f>IF(OR(Inputs!$F$7=TRUE,Inputs!$F$7="TRUE",Inputs!$F$7=1),(Inputs!$H$7+Inputs!$L$7*(((Inputs!$I$7+(((A69)+1)/2)*(Inputs!$J$7-Inputs!$I$7)))/Inputs!$K$7)^2),NA())</f>
        <v>106.30785999999998</v>
      </c>
      <c r="D69" s="9">
        <f>IF(OR(Inputs!$F$8=TRUE,Inputs!$F$8="TRUE",Inputs!$F$8=1),(Inputs!$H$8+Inputs!$L$8*(((Inputs!$I$8+(((A69)+1)/2)*(Inputs!$J$8-Inputs!$I$8)))/Inputs!$K$8)^2),NA())</f>
        <v>223.52625999999995</v>
      </c>
      <c r="E69" s="9">
        <f>IF(OR(Inputs!$F$9=TRUE,Inputs!$F$9="TRUE",Inputs!$F$9=1),(Inputs!$H$9+Inputs!$L$9*(((Inputs!$I$9+(((A69)+1)/2)*(Inputs!$J$9-Inputs!$I$9)))/Inputs!$K$9)^2),NA())</f>
        <v>215.47989999999996</v>
      </c>
      <c r="F69" s="10"/>
      <c r="G69" s="9">
        <f t="shared" si="6"/>
        <v>-0.442</v>
      </c>
      <c r="H69" s="9">
        <f>IF(OR(Inputs!$F$6=TRUE,Inputs!$F$6="TRUE",Inputs!$F$6=1),(((SQRT(((Inputs!$I$6+(((A69)+1)/2)*(Inputs!$J$6-Inputs!$I$6)))^2+Inputs!$C$6^2+((Inputs!$H$6+Inputs!$L$6*(((Inputs!$I$6+(((A69)+1)/2)*(Inputs!$J$6-Inputs!$I$6)))/Inputs!$K$6)^2))^2))-((Inputs!$H$6+Inputs!$L$6*(((Inputs!$I$6+(((A69)+1)/2)*(Inputs!$J$6-Inputs!$I$6)))/Inputs!$K$6)^2)))*1000/Inputs!$C$12),NA())</f>
        <v>929.0666436899993</v>
      </c>
      <c r="I69" s="9">
        <f>IF(OR(Inputs!$F$7=TRUE,Inputs!$F$7="TRUE",Inputs!$F$7=1),(((SQRT(((Inputs!$I$7+(((A69)+1)/2)*(Inputs!$J$7-Inputs!$I$7)))^2+Inputs!$C$6^2+((Inputs!$H$7+Inputs!$L$7*(((Inputs!$I$7+(((A69)+1)/2)*(Inputs!$J$7-Inputs!$I$7)))/Inputs!$K$7)^2))^2))-((Inputs!$H$7+Inputs!$L$7*(((Inputs!$I$7+(((A69)+1)/2)*(Inputs!$J$7-Inputs!$I$7)))/Inputs!$K$7)^2)))*1000/Inputs!$C$12),NA())</f>
        <v>57023.140227590608</v>
      </c>
      <c r="J69" s="9">
        <f>IF(OR(Inputs!$F$8=TRUE,Inputs!$F$8="TRUE",Inputs!$F$8=1),(((SQRT(((Inputs!$I$8+(((A69)+1)/2)*(Inputs!$J$8-Inputs!$I$8)))^2+Inputs!$C$6^2+((Inputs!$H$8+Inputs!$L$8*(((Inputs!$I$8+(((A69)+1)/2)*(Inputs!$J$8-Inputs!$I$8)))/Inputs!$K$8)^2))^2))-((Inputs!$H$8+Inputs!$L$8*(((Inputs!$I$8+(((A69)+1)/2)*(Inputs!$J$8-Inputs!$I$8)))/Inputs!$K$8)^2)))*1000/Inputs!$C$12),NA())</f>
        <v>109857.56465410536</v>
      </c>
      <c r="K69" s="9">
        <f>IF(OR(Inputs!$F$9=TRUE,Inputs!$F$9="TRUE",Inputs!$F$9=1),(((SQRT(((Inputs!$I$9+(((A69)+1)/2)*(Inputs!$J$9-Inputs!$I$9)))^2+Inputs!$C$6^2+((Inputs!$H$9+Inputs!$L$9*(((Inputs!$I$9+(((A69)+1)/2)*(Inputs!$J$9-Inputs!$I$9)))/Inputs!$K$9)^2))^2))-((Inputs!$H$9+Inputs!$L$9*(((Inputs!$I$9+(((A69)+1)/2)*(Inputs!$J$9-Inputs!$I$9)))/Inputs!$K$9)^2)))*1000/Inputs!$C$12),NA())</f>
        <v>111998.2426293427</v>
      </c>
      <c r="L69" s="10"/>
      <c r="M69" s="9">
        <f t="shared" si="7"/>
        <v>-0.442</v>
      </c>
      <c r="N69" s="9">
        <f>IF(OR(Inputs!$F$6=TRUE,Inputs!$F$6="TRUE",Inputs!$F$6=1),(-2*((1000*((((Inputs!$I$6+(((A69)+1)/2)*(Inputs!$J$6-Inputs!$I$6)))*Inputs!$C$11+((Inputs!$H$6+Inputs!$L$6*(((Inputs!$I$6+(((A69)+1)/2)*(Inputs!$J$6-Inputs!$I$6)))/Inputs!$K$6)^2))*((2*Inputs!$L$6*((Inputs!$I$6+(((A69)+1)/2)*(Inputs!$J$6-Inputs!$I$6)))/(Inputs!$K$6^2)*Inputs!$C$11)))/(SQRT(((Inputs!$I$6+(((A69)+1)/2)*(Inputs!$J$6-Inputs!$I$6)))^2+Inputs!$C$6^2+((Inputs!$H$6+Inputs!$L$6*(((Inputs!$I$6+(((A69)+1)/2)*(Inputs!$J$6-Inputs!$I$6)))/Inputs!$K$6)^2))^2)))))/Inputs!$C$13),NA())</f>
        <v>199.34394530037937</v>
      </c>
      <c r="O69" s="9">
        <f>IF(OR(Inputs!$F$7=TRUE,Inputs!$F$7="TRUE",Inputs!$F$7=1),(-2*((1000*((((Inputs!$I$7+(((A69)+1)/2)*(Inputs!$J$7-Inputs!$I$7)))*Inputs!$C$11+((Inputs!$H$7+Inputs!$L$7*(((Inputs!$I$7+(((A69)+1)/2)*(Inputs!$J$7-Inputs!$I$7)))/Inputs!$K$7)^2))*((2*Inputs!$L$7*((Inputs!$I$7+(((A69)+1)/2)*(Inputs!$J$7-Inputs!$I$7)))/(Inputs!$K$7^2)*Inputs!$C$11)))/(SQRT(((Inputs!$I$7+(((A69)+1)/2)*(Inputs!$J$7-Inputs!$I$7)))^2+Inputs!$C$6^2+((Inputs!$H$7+Inputs!$L$7*(((Inputs!$I$7+(((A69)+1)/2)*(Inputs!$J$7-Inputs!$I$7)))/Inputs!$K$7)^2))^2)))))/Inputs!$C$13),NA())</f>
        <v>2021.4960668395627</v>
      </c>
      <c r="P69" s="9">
        <f>IF(OR(Inputs!$F$8=TRUE,Inputs!$F$8="TRUE",Inputs!$F$8=1),(-2*((1000*((((Inputs!$I$8+(((A69)+1)/2)*(Inputs!$J$8-Inputs!$I$8)))*Inputs!$C$11+((Inputs!$H$8+Inputs!$L$8*(((Inputs!$I$8+(((A69)+1)/2)*(Inputs!$J$8-Inputs!$I$8)))/Inputs!$K$8)^2))*((2*Inputs!$L$8*((Inputs!$I$8+(((A69)+1)/2)*(Inputs!$J$8-Inputs!$I$8)))/(Inputs!$K$8^2)*Inputs!$C$11)))/(SQRT(((Inputs!$I$8+(((A69)+1)/2)*(Inputs!$J$8-Inputs!$I$8)))^2+Inputs!$C$6^2+((Inputs!$H$8+Inputs!$L$8*(((Inputs!$I$8+(((A69)+1)/2)*(Inputs!$J$8-Inputs!$I$8)))/Inputs!$K$8)^2))^2)))))/Inputs!$C$13),NA())</f>
        <v>2260.0435819836789</v>
      </c>
      <c r="Q69" s="9">
        <f>IF(OR(Inputs!$F$9=TRUE,Inputs!$F$9="TRUE",Inputs!$F$9=1),(-2*((1000*((((Inputs!$I$9+(((A69)+1)/2)*(Inputs!$J$9-Inputs!$I$9)))*Inputs!$C$11+((Inputs!$H$9+Inputs!$L$9*(((Inputs!$I$9+(((A69)+1)/2)*(Inputs!$J$9-Inputs!$I$9)))/Inputs!$K$9)^2))*((2*Inputs!$L$9*((Inputs!$I$9+(((A69)+1)/2)*(Inputs!$J$9-Inputs!$I$9)))/(Inputs!$K$9^2)*Inputs!$C$11)))/(SQRT(((Inputs!$I$9+(((A69)+1)/2)*(Inputs!$J$9-Inputs!$I$9)))^2+Inputs!$C$6^2+((Inputs!$H$9+Inputs!$L$9*(((Inputs!$I$9+(((A69)+1)/2)*(Inputs!$J$9-Inputs!$I$9)))/Inputs!$K$9)^2))^2)))))/Inputs!$C$13),NA())</f>
        <v>2259.2120929206963</v>
      </c>
      <c r="R69" s="10"/>
      <c r="S69" s="9">
        <f t="shared" si="8"/>
        <v>-0.442</v>
      </c>
      <c r="T69" s="9">
        <f>(Inputs!$I$6+(((A69)+1)/2)*(Inputs!$J$6-Inputs!$I$6))</f>
        <v>-26.519999999999996</v>
      </c>
      <c r="U69" s="9">
        <f>(Inputs!$I$7+(((A69)+1)/2)*(Inputs!$J$7-Inputs!$I$7))</f>
        <v>-176.79999999999998</v>
      </c>
      <c r="V69" s="9">
        <f>(Inputs!$I$8+(((A69)+1)/2)*(Inputs!$J$8-Inputs!$I$8))</f>
        <v>-353.59999999999997</v>
      </c>
      <c r="W69" s="9">
        <f>(Inputs!$I$9+(((A69)+1)/2)*(Inputs!$J$9-Inputs!$I$9))</f>
        <v>-353.59999999999997</v>
      </c>
      <c r="X69" s="10"/>
      <c r="Y69" s="9">
        <f t="shared" si="9"/>
        <v>-0.442</v>
      </c>
      <c r="Z69" s="9">
        <f>(Inputs!$H$6+Inputs!$L$6*(((Inputs!$I$6+(((A69)+1)/2)*(Inputs!$J$6-Inputs!$I$6)))/Inputs!$K$6)^2)</f>
        <v>400.78145599999999</v>
      </c>
      <c r="AA69" s="9">
        <f>(Inputs!$H$7+Inputs!$L$7*(((Inputs!$I$7+(((A69)+1)/2)*(Inputs!$J$7-Inputs!$I$7)))/Inputs!$K$7)^2)</f>
        <v>106.30785999999998</v>
      </c>
      <c r="AB69" s="9">
        <f>(Inputs!$H$8+Inputs!$L$8*(((Inputs!$I$8+(((A69)+1)/2)*(Inputs!$J$8-Inputs!$I$8)))/Inputs!$K$8)^2)</f>
        <v>223.52625999999995</v>
      </c>
      <c r="AC69" s="9">
        <f>(Inputs!$H$9+Inputs!$L$9*(((Inputs!$I$9+(((A69)+1)/2)*(Inputs!$J$9-Inputs!$I$9)))/Inputs!$K$9)^2)</f>
        <v>215.47989999999996</v>
      </c>
      <c r="AD69" s="10"/>
      <c r="AE69" s="9">
        <f t="shared" si="10"/>
        <v>-0.442</v>
      </c>
      <c r="AF69" s="9">
        <f>(((SQRT(((Inputs!$I$6+(((A69)+1)/2)*(Inputs!$J$6-Inputs!$I$6)))^2+Inputs!$C$6^2+((Inputs!$H$6+Inputs!$L$6*(((Inputs!$I$6+(((A69)+1)/2)*(Inputs!$J$6-Inputs!$I$6)))/Inputs!$K$6)^2))^2))-((Inputs!$H$6+Inputs!$L$6*(((Inputs!$I$6+(((A69)+1)/2)*(Inputs!$J$6-Inputs!$I$6)))/Inputs!$K$6)^2)))*1000/Inputs!$C$12)</f>
        <v>929.0666436899993</v>
      </c>
      <c r="AG69" s="9">
        <f>(((SQRT(((Inputs!$I$7+(((A69)+1)/2)*(Inputs!$J$7-Inputs!$I$7)))^2+Inputs!$C$6^2+((Inputs!$H$7+Inputs!$L$7*(((Inputs!$I$7+(((A69)+1)/2)*(Inputs!$J$7-Inputs!$I$7)))/Inputs!$K$7)^2))^2))-((Inputs!$H$7+Inputs!$L$7*(((Inputs!$I$7+(((A69)+1)/2)*(Inputs!$J$7-Inputs!$I$7)))/Inputs!$K$7)^2)))*1000/Inputs!$C$12)</f>
        <v>57023.140227590608</v>
      </c>
      <c r="AH69" s="9">
        <f>(((SQRT(((Inputs!$I$8+(((A69)+1)/2)*(Inputs!$J$8-Inputs!$I$8)))^2+Inputs!$C$6^2+((Inputs!$H$8+Inputs!$L$8*(((Inputs!$I$8+(((A69)+1)/2)*(Inputs!$J$8-Inputs!$I$8)))/Inputs!$K$8)^2))^2))-((Inputs!$H$8+Inputs!$L$8*(((Inputs!$I$8+(((A69)+1)/2)*(Inputs!$J$8-Inputs!$I$8)))/Inputs!$K$8)^2)))*1000/Inputs!$C$12)</f>
        <v>109857.56465410536</v>
      </c>
      <c r="AI69" s="9">
        <f>(((SQRT(((Inputs!$I$9+(((A69)+1)/2)*(Inputs!$J$9-Inputs!$I$9)))^2+Inputs!$C$6^2+((Inputs!$H$9+Inputs!$L$9*(((Inputs!$I$9+(((A69)+1)/2)*(Inputs!$J$9-Inputs!$I$9)))/Inputs!$K$9)^2))^2))-((Inputs!$H$9+Inputs!$L$9*(((Inputs!$I$9+(((A69)+1)/2)*(Inputs!$J$9-Inputs!$I$9)))/Inputs!$K$9)^2)))*1000/Inputs!$C$12)</f>
        <v>111998.2426293427</v>
      </c>
      <c r="AJ69" s="10"/>
      <c r="AK69" s="9">
        <f t="shared" si="11"/>
        <v>-0.442</v>
      </c>
      <c r="AL69" s="9">
        <f>(-2*((1000*((((Inputs!$I$6+(((A69)+1)/2)*(Inputs!$J$6-Inputs!$I$6)))*Inputs!$C$11+((Inputs!$H$6+Inputs!$L$6*(((Inputs!$I$6+(((A69)+1)/2)*(Inputs!$J$6-Inputs!$I$6)))/Inputs!$K$6)^2))*((2*Inputs!$L$6*((Inputs!$I$6+(((A69)+1)/2)*(Inputs!$J$6-Inputs!$I$6)))/(Inputs!$K$6^2)*Inputs!$C$11)))/(SQRT(((Inputs!$I$6+(((A69)+1)/2)*(Inputs!$J$6-Inputs!$I$6)))^2+Inputs!$C$6^2+((Inputs!$H$6+Inputs!$L$6*(((Inputs!$I$6+(((A69)+1)/2)*(Inputs!$J$6-Inputs!$I$6)))/Inputs!$K$6)^2))^2)))))/Inputs!$C$13)</f>
        <v>199.34394530037937</v>
      </c>
      <c r="AM69" s="9">
        <f>(-2*((1000*((((Inputs!$I$7+(((A69)+1)/2)*(Inputs!$J$7-Inputs!$I$7)))*Inputs!$C$11+((Inputs!$H$7+Inputs!$L$7*(((Inputs!$I$7+(((A69)+1)/2)*(Inputs!$J$7-Inputs!$I$7)))/Inputs!$K$7)^2))*((2*Inputs!$L$7*((Inputs!$I$7+(((A69)+1)/2)*(Inputs!$J$7-Inputs!$I$7)))/(Inputs!$K$7^2)*Inputs!$C$11)))/(SQRT(((Inputs!$I$7+(((A69)+1)/2)*(Inputs!$J$7-Inputs!$I$7)))^2+Inputs!$C$6^2+((Inputs!$H$7+Inputs!$L$7*(((Inputs!$I$7+(((A69)+1)/2)*(Inputs!$J$7-Inputs!$I$7)))/Inputs!$K$7)^2))^2)))))/Inputs!$C$13)</f>
        <v>2021.4960668395627</v>
      </c>
      <c r="AN69" s="9">
        <f>(-2*((1000*((((Inputs!$I$8+(((A69)+1)/2)*(Inputs!$J$8-Inputs!$I$8)))*Inputs!$C$11+((Inputs!$H$8+Inputs!$L$8*(((Inputs!$I$8+(((A69)+1)/2)*(Inputs!$J$8-Inputs!$I$8)))/Inputs!$K$8)^2))*((2*Inputs!$L$8*((Inputs!$I$8+(((A69)+1)/2)*(Inputs!$J$8-Inputs!$I$8)))/(Inputs!$K$8^2)*Inputs!$C$11)))/(SQRT(((Inputs!$I$8+(((A69)+1)/2)*(Inputs!$J$8-Inputs!$I$8)))^2+Inputs!$C$6^2+((Inputs!$H$8+Inputs!$L$8*(((Inputs!$I$8+(((A69)+1)/2)*(Inputs!$J$8-Inputs!$I$8)))/Inputs!$K$8)^2))^2)))))/Inputs!$C$13)</f>
        <v>2260.0435819836789</v>
      </c>
      <c r="AO69" s="9">
        <f>(-2*((1000*((((Inputs!$I$9+(((A69)+1)/2)*(Inputs!$J$9-Inputs!$I$9)))*Inputs!$C$11+((Inputs!$H$9+Inputs!$L$9*(((Inputs!$I$9+(((A69)+1)/2)*(Inputs!$J$9-Inputs!$I$9)))/Inputs!$K$9)^2))*((2*Inputs!$L$9*((Inputs!$I$9+(((A69)+1)/2)*(Inputs!$J$9-Inputs!$I$9)))/(Inputs!$K$9^2)*Inputs!$C$11)))/(SQRT(((Inputs!$I$9+(((A69)+1)/2)*(Inputs!$J$9-Inputs!$I$9)))^2+Inputs!$C$6^2+((Inputs!$H$9+Inputs!$L$9*(((Inputs!$I$9+(((A69)+1)/2)*(Inputs!$J$9-Inputs!$I$9)))/Inputs!$K$9)^2))^2)))))/Inputs!$C$13)</f>
        <v>2259.2120929206963</v>
      </c>
    </row>
    <row r="70" spans="1:41">
      <c r="A70" s="9">
        <f>ROUND(-1+68*2/240,3)</f>
        <v>-0.433</v>
      </c>
      <c r="B70" s="9">
        <f>IF(OR(Inputs!$F$6=TRUE,Inputs!$F$6="TRUE",Inputs!$F$6=1),(Inputs!$H$6+Inputs!$L$6*(((Inputs!$I$6+(((A70)+1)/2)*(Inputs!$J$6-Inputs!$I$6)))/Inputs!$K$6)^2),NA())</f>
        <v>400.749956</v>
      </c>
      <c r="C70" s="9">
        <f>IF(OR(Inputs!$F$7=TRUE,Inputs!$F$7="TRUE",Inputs!$F$7=1),(Inputs!$H$7+Inputs!$L$7*(((Inputs!$I$7+(((A70)+1)/2)*(Inputs!$J$7-Inputs!$I$7)))/Inputs!$K$7)^2),NA())</f>
        <v>103.43348500000002</v>
      </c>
      <c r="D70" s="9">
        <f>IF(OR(Inputs!$F$8=TRUE,Inputs!$F$8="TRUE",Inputs!$F$8=1),(Inputs!$H$8+Inputs!$L$8*(((Inputs!$I$8+(((A70)+1)/2)*(Inputs!$J$8-Inputs!$I$8)))/Inputs!$K$8)^2),NA())</f>
        <v>215.92688500000006</v>
      </c>
      <c r="E70" s="9">
        <f>IF(OR(Inputs!$F$9=TRUE,Inputs!$F$9="TRUE",Inputs!$F$9=1),(Inputs!$H$9+Inputs!$L$9*(((Inputs!$I$9+(((A70)+1)/2)*(Inputs!$J$9-Inputs!$I$9)))/Inputs!$K$9)^2),NA())</f>
        <v>207.80177500000005</v>
      </c>
      <c r="F70" s="10"/>
      <c r="G70" s="9">
        <f t="shared" si="6"/>
        <v>-0.433</v>
      </c>
      <c r="H70" s="9">
        <f>IF(OR(Inputs!$F$6=TRUE,Inputs!$F$6="TRUE",Inputs!$F$6=1),(((SQRT(((Inputs!$I$6+(((A70)+1)/2)*(Inputs!$J$6-Inputs!$I$6)))^2+Inputs!$C$6^2+((Inputs!$H$6+Inputs!$L$6*(((Inputs!$I$6+(((A70)+1)/2)*(Inputs!$J$6-Inputs!$I$6)))/Inputs!$K$6)^2))^2))-((Inputs!$H$6+Inputs!$L$6*(((Inputs!$I$6+(((A70)+1)/2)*(Inputs!$J$6-Inputs!$I$6)))/Inputs!$K$6)^2)))*1000/Inputs!$C$12),NA())</f>
        <v>909.34872439278388</v>
      </c>
      <c r="I70" s="9">
        <f>IF(OR(Inputs!$F$7=TRUE,Inputs!$F$7="TRUE",Inputs!$F$7=1),(((SQRT(((Inputs!$I$7+(((A70)+1)/2)*(Inputs!$J$7-Inputs!$I$7)))^2+Inputs!$C$6^2+((Inputs!$H$7+Inputs!$L$7*(((Inputs!$I$7+(((A70)+1)/2)*(Inputs!$J$7-Inputs!$I$7)))/Inputs!$K$7)^2))^2))-((Inputs!$H$7+Inputs!$L$7*(((Inputs!$I$7+(((A70)+1)/2)*(Inputs!$J$7-Inputs!$I$7)))/Inputs!$K$7)^2)))*1000/Inputs!$C$12),NA())</f>
        <v>56092.120890423139</v>
      </c>
      <c r="J70" s="9">
        <f>IF(OR(Inputs!$F$8=TRUE,Inputs!$F$8="TRUE",Inputs!$F$8=1),(((SQRT(((Inputs!$I$8+(((A70)+1)/2)*(Inputs!$J$8-Inputs!$I$8)))^2+Inputs!$C$6^2+((Inputs!$H$8+Inputs!$L$8*(((Inputs!$I$8+(((A70)+1)/2)*(Inputs!$J$8-Inputs!$I$8)))/Inputs!$K$8)^2))^2))-((Inputs!$H$8+Inputs!$L$8*(((Inputs!$I$8+(((A70)+1)/2)*(Inputs!$J$8-Inputs!$I$8)))/Inputs!$K$8)^2)))*1000/Inputs!$C$12),NA())</f>
        <v>108441.51637761801</v>
      </c>
      <c r="K70" s="9">
        <f>IF(OR(Inputs!$F$9=TRUE,Inputs!$F$9="TRUE",Inputs!$F$9=1),(((SQRT(((Inputs!$I$9+(((A70)+1)/2)*(Inputs!$J$9-Inputs!$I$9)))^2+Inputs!$C$6^2+((Inputs!$H$9+Inputs!$L$9*(((Inputs!$I$9+(((A70)+1)/2)*(Inputs!$J$9-Inputs!$I$9)))/Inputs!$K$9)^2))^2))-((Inputs!$H$9+Inputs!$L$9*(((Inputs!$I$9+(((A70)+1)/2)*(Inputs!$J$9-Inputs!$I$9)))/Inputs!$K$9)^2)))*1000/Inputs!$C$12),NA())</f>
        <v>110629.0903120775</v>
      </c>
      <c r="L70" s="10"/>
      <c r="M70" s="9">
        <f t="shared" si="7"/>
        <v>-0.433</v>
      </c>
      <c r="N70" s="9">
        <f>IF(OR(Inputs!$F$6=TRUE,Inputs!$F$6="TRUE",Inputs!$F$6=1),(-2*((1000*((((Inputs!$I$6+(((A70)+1)/2)*(Inputs!$J$6-Inputs!$I$6)))*Inputs!$C$11+((Inputs!$H$6+Inputs!$L$6*(((Inputs!$I$6+(((A70)+1)/2)*(Inputs!$J$6-Inputs!$I$6)))/Inputs!$K$6)^2))*((2*Inputs!$L$6*((Inputs!$I$6+(((A70)+1)/2)*(Inputs!$J$6-Inputs!$I$6)))/(Inputs!$K$6^2)*Inputs!$C$11)))/(SQRT(((Inputs!$I$6+(((A70)+1)/2)*(Inputs!$J$6-Inputs!$I$6)))^2+Inputs!$C$6^2+((Inputs!$H$6+Inputs!$L$6*(((Inputs!$I$6+(((A70)+1)/2)*(Inputs!$J$6-Inputs!$I$6)))/Inputs!$K$6)^2))^2)))))/Inputs!$C$13),NA())</f>
        <v>195.30999662419933</v>
      </c>
      <c r="O70" s="9">
        <f>IF(OR(Inputs!$F$7=TRUE,Inputs!$F$7="TRUE",Inputs!$F$7=1),(-2*((1000*((((Inputs!$I$7+(((A70)+1)/2)*(Inputs!$J$7-Inputs!$I$7)))*Inputs!$C$11+((Inputs!$H$7+Inputs!$L$7*(((Inputs!$I$7+(((A70)+1)/2)*(Inputs!$J$7-Inputs!$I$7)))/Inputs!$K$7)^2))*((2*Inputs!$L$7*((Inputs!$I$7+(((A70)+1)/2)*(Inputs!$J$7-Inputs!$I$7)))/(Inputs!$K$7^2)*Inputs!$C$11)))/(SQRT(((Inputs!$I$7+(((A70)+1)/2)*(Inputs!$J$7-Inputs!$I$7)))^2+Inputs!$C$6^2+((Inputs!$H$7+Inputs!$L$7*(((Inputs!$I$7+(((A70)+1)/2)*(Inputs!$J$7-Inputs!$I$7)))/Inputs!$K$7)^2))^2)))))/Inputs!$C$13),NA())</f>
        <v>2006.6029983032665</v>
      </c>
      <c r="P70" s="9">
        <f>IF(OR(Inputs!$F$8=TRUE,Inputs!$F$8="TRUE",Inputs!$F$8=1),(-2*((1000*((((Inputs!$I$8+(((A70)+1)/2)*(Inputs!$J$8-Inputs!$I$8)))*Inputs!$C$11+((Inputs!$H$8+Inputs!$L$8*(((Inputs!$I$8+(((A70)+1)/2)*(Inputs!$J$8-Inputs!$I$8)))/Inputs!$K$8)^2))*((2*Inputs!$L$8*((Inputs!$I$8+(((A70)+1)/2)*(Inputs!$J$8-Inputs!$I$8)))/(Inputs!$K$8^2)*Inputs!$C$11)))/(SQRT(((Inputs!$I$8+(((A70)+1)/2)*(Inputs!$J$8-Inputs!$I$8)))^2+Inputs!$C$6^2+((Inputs!$H$8+Inputs!$L$8*(((Inputs!$I$8+(((A70)+1)/2)*(Inputs!$J$8-Inputs!$I$8)))/Inputs!$K$8)^2))^2)))))/Inputs!$C$13),NA())</f>
        <v>2237.7543631315721</v>
      </c>
      <c r="Q70" s="9">
        <f>IF(OR(Inputs!$F$9=TRUE,Inputs!$F$9="TRUE",Inputs!$F$9=1),(-2*((1000*((((Inputs!$I$9+(((A70)+1)/2)*(Inputs!$J$9-Inputs!$I$9)))*Inputs!$C$11+((Inputs!$H$9+Inputs!$L$9*(((Inputs!$I$9+(((A70)+1)/2)*(Inputs!$J$9-Inputs!$I$9)))/Inputs!$K$9)^2))*((2*Inputs!$L$9*((Inputs!$I$9+(((A70)+1)/2)*(Inputs!$J$9-Inputs!$I$9)))/(Inputs!$K$9^2)*Inputs!$C$11)))/(SQRT(((Inputs!$I$9+(((A70)+1)/2)*(Inputs!$J$9-Inputs!$I$9)))^2+Inputs!$C$6^2+((Inputs!$H$9+Inputs!$L$9*(((Inputs!$I$9+(((A70)+1)/2)*(Inputs!$J$9-Inputs!$I$9)))/Inputs!$K$9)^2))^2)))))/Inputs!$C$13),NA())</f>
        <v>2236.4878879575317</v>
      </c>
      <c r="R70" s="10"/>
      <c r="S70" s="9">
        <f t="shared" si="8"/>
        <v>-0.433</v>
      </c>
      <c r="T70" s="9">
        <f>(Inputs!$I$6+(((A70)+1)/2)*(Inputs!$J$6-Inputs!$I$6))</f>
        <v>-25.980000000000004</v>
      </c>
      <c r="U70" s="9">
        <f>(Inputs!$I$7+(((A70)+1)/2)*(Inputs!$J$7-Inputs!$I$7))</f>
        <v>-173.20000000000002</v>
      </c>
      <c r="V70" s="9">
        <f>(Inputs!$I$8+(((A70)+1)/2)*(Inputs!$J$8-Inputs!$I$8))</f>
        <v>-346.40000000000003</v>
      </c>
      <c r="W70" s="9">
        <f>(Inputs!$I$9+(((A70)+1)/2)*(Inputs!$J$9-Inputs!$I$9))</f>
        <v>-346.40000000000003</v>
      </c>
      <c r="X70" s="10"/>
      <c r="Y70" s="9">
        <f t="shared" si="9"/>
        <v>-0.433</v>
      </c>
      <c r="Z70" s="9">
        <f>(Inputs!$H$6+Inputs!$L$6*(((Inputs!$I$6+(((A70)+1)/2)*(Inputs!$J$6-Inputs!$I$6)))/Inputs!$K$6)^2)</f>
        <v>400.749956</v>
      </c>
      <c r="AA70" s="9">
        <f>(Inputs!$H$7+Inputs!$L$7*(((Inputs!$I$7+(((A70)+1)/2)*(Inputs!$J$7-Inputs!$I$7)))/Inputs!$K$7)^2)</f>
        <v>103.43348500000002</v>
      </c>
      <c r="AB70" s="9">
        <f>(Inputs!$H$8+Inputs!$L$8*(((Inputs!$I$8+(((A70)+1)/2)*(Inputs!$J$8-Inputs!$I$8)))/Inputs!$K$8)^2)</f>
        <v>215.92688500000006</v>
      </c>
      <c r="AC70" s="9">
        <f>(Inputs!$H$9+Inputs!$L$9*(((Inputs!$I$9+(((A70)+1)/2)*(Inputs!$J$9-Inputs!$I$9)))/Inputs!$K$9)^2)</f>
        <v>207.80177500000005</v>
      </c>
      <c r="AD70" s="10"/>
      <c r="AE70" s="9">
        <f t="shared" si="10"/>
        <v>-0.433</v>
      </c>
      <c r="AF70" s="9">
        <f>(((SQRT(((Inputs!$I$6+(((A70)+1)/2)*(Inputs!$J$6-Inputs!$I$6)))^2+Inputs!$C$6^2+((Inputs!$H$6+Inputs!$L$6*(((Inputs!$I$6+(((A70)+1)/2)*(Inputs!$J$6-Inputs!$I$6)))/Inputs!$K$6)^2))^2))-((Inputs!$H$6+Inputs!$L$6*(((Inputs!$I$6+(((A70)+1)/2)*(Inputs!$J$6-Inputs!$I$6)))/Inputs!$K$6)^2)))*1000/Inputs!$C$12)</f>
        <v>909.34872439278388</v>
      </c>
      <c r="AG70" s="9">
        <f>(((SQRT(((Inputs!$I$7+(((A70)+1)/2)*(Inputs!$J$7-Inputs!$I$7)))^2+Inputs!$C$6^2+((Inputs!$H$7+Inputs!$L$7*(((Inputs!$I$7+(((A70)+1)/2)*(Inputs!$J$7-Inputs!$I$7)))/Inputs!$K$7)^2))^2))-((Inputs!$H$7+Inputs!$L$7*(((Inputs!$I$7+(((A70)+1)/2)*(Inputs!$J$7-Inputs!$I$7)))/Inputs!$K$7)^2)))*1000/Inputs!$C$12)</f>
        <v>56092.120890423139</v>
      </c>
      <c r="AH70" s="9">
        <f>(((SQRT(((Inputs!$I$8+(((A70)+1)/2)*(Inputs!$J$8-Inputs!$I$8)))^2+Inputs!$C$6^2+((Inputs!$H$8+Inputs!$L$8*(((Inputs!$I$8+(((A70)+1)/2)*(Inputs!$J$8-Inputs!$I$8)))/Inputs!$K$8)^2))^2))-((Inputs!$H$8+Inputs!$L$8*(((Inputs!$I$8+(((A70)+1)/2)*(Inputs!$J$8-Inputs!$I$8)))/Inputs!$K$8)^2)))*1000/Inputs!$C$12)</f>
        <v>108441.51637761801</v>
      </c>
      <c r="AI70" s="9">
        <f>(((SQRT(((Inputs!$I$9+(((A70)+1)/2)*(Inputs!$J$9-Inputs!$I$9)))^2+Inputs!$C$6^2+((Inputs!$H$9+Inputs!$L$9*(((Inputs!$I$9+(((A70)+1)/2)*(Inputs!$J$9-Inputs!$I$9)))/Inputs!$K$9)^2))^2))-((Inputs!$H$9+Inputs!$L$9*(((Inputs!$I$9+(((A70)+1)/2)*(Inputs!$J$9-Inputs!$I$9)))/Inputs!$K$9)^2)))*1000/Inputs!$C$12)</f>
        <v>110629.0903120775</v>
      </c>
      <c r="AJ70" s="10"/>
      <c r="AK70" s="9">
        <f t="shared" si="11"/>
        <v>-0.433</v>
      </c>
      <c r="AL70" s="9">
        <f>(-2*((1000*((((Inputs!$I$6+(((A70)+1)/2)*(Inputs!$J$6-Inputs!$I$6)))*Inputs!$C$11+((Inputs!$H$6+Inputs!$L$6*(((Inputs!$I$6+(((A70)+1)/2)*(Inputs!$J$6-Inputs!$I$6)))/Inputs!$K$6)^2))*((2*Inputs!$L$6*((Inputs!$I$6+(((A70)+1)/2)*(Inputs!$J$6-Inputs!$I$6)))/(Inputs!$K$6^2)*Inputs!$C$11)))/(SQRT(((Inputs!$I$6+(((A70)+1)/2)*(Inputs!$J$6-Inputs!$I$6)))^2+Inputs!$C$6^2+((Inputs!$H$6+Inputs!$L$6*(((Inputs!$I$6+(((A70)+1)/2)*(Inputs!$J$6-Inputs!$I$6)))/Inputs!$K$6)^2))^2)))))/Inputs!$C$13)</f>
        <v>195.30999662419933</v>
      </c>
      <c r="AM70" s="9">
        <f>(-2*((1000*((((Inputs!$I$7+(((A70)+1)/2)*(Inputs!$J$7-Inputs!$I$7)))*Inputs!$C$11+((Inputs!$H$7+Inputs!$L$7*(((Inputs!$I$7+(((A70)+1)/2)*(Inputs!$J$7-Inputs!$I$7)))/Inputs!$K$7)^2))*((2*Inputs!$L$7*((Inputs!$I$7+(((A70)+1)/2)*(Inputs!$J$7-Inputs!$I$7)))/(Inputs!$K$7^2)*Inputs!$C$11)))/(SQRT(((Inputs!$I$7+(((A70)+1)/2)*(Inputs!$J$7-Inputs!$I$7)))^2+Inputs!$C$6^2+((Inputs!$H$7+Inputs!$L$7*(((Inputs!$I$7+(((A70)+1)/2)*(Inputs!$J$7-Inputs!$I$7)))/Inputs!$K$7)^2))^2)))))/Inputs!$C$13)</f>
        <v>2006.6029983032665</v>
      </c>
      <c r="AN70" s="9">
        <f>(-2*((1000*((((Inputs!$I$8+(((A70)+1)/2)*(Inputs!$J$8-Inputs!$I$8)))*Inputs!$C$11+((Inputs!$H$8+Inputs!$L$8*(((Inputs!$I$8+(((A70)+1)/2)*(Inputs!$J$8-Inputs!$I$8)))/Inputs!$K$8)^2))*((2*Inputs!$L$8*((Inputs!$I$8+(((A70)+1)/2)*(Inputs!$J$8-Inputs!$I$8)))/(Inputs!$K$8^2)*Inputs!$C$11)))/(SQRT(((Inputs!$I$8+(((A70)+1)/2)*(Inputs!$J$8-Inputs!$I$8)))^2+Inputs!$C$6^2+((Inputs!$H$8+Inputs!$L$8*(((Inputs!$I$8+(((A70)+1)/2)*(Inputs!$J$8-Inputs!$I$8)))/Inputs!$K$8)^2))^2)))))/Inputs!$C$13)</f>
        <v>2237.7543631315721</v>
      </c>
      <c r="AO70" s="9">
        <f>(-2*((1000*((((Inputs!$I$9+(((A70)+1)/2)*(Inputs!$J$9-Inputs!$I$9)))*Inputs!$C$11+((Inputs!$H$9+Inputs!$L$9*(((Inputs!$I$9+(((A70)+1)/2)*(Inputs!$J$9-Inputs!$I$9)))/Inputs!$K$9)^2))*((2*Inputs!$L$9*((Inputs!$I$9+(((A70)+1)/2)*(Inputs!$J$9-Inputs!$I$9)))/(Inputs!$K$9^2)*Inputs!$C$11)))/(SQRT(((Inputs!$I$9+(((A70)+1)/2)*(Inputs!$J$9-Inputs!$I$9)))^2+Inputs!$C$6^2+((Inputs!$H$9+Inputs!$L$9*(((Inputs!$I$9+(((A70)+1)/2)*(Inputs!$J$9-Inputs!$I$9)))/Inputs!$K$9)^2))^2)))))/Inputs!$C$13)</f>
        <v>2236.4878879575317</v>
      </c>
    </row>
    <row r="71" spans="1:41">
      <c r="A71" s="9">
        <f>ROUND(-1+69*2/240,3)</f>
        <v>-0.42499999999999999</v>
      </c>
      <c r="B71" s="9">
        <f>IF(OR(Inputs!$F$6=TRUE,Inputs!$F$6="TRUE",Inputs!$F$6=1),(Inputs!$H$6+Inputs!$L$6*(((Inputs!$I$6+(((A71)+1)/2)*(Inputs!$J$6-Inputs!$I$6)))/Inputs!$K$6)^2),NA())</f>
        <v>400.72250000000003</v>
      </c>
      <c r="C71" s="9">
        <f>IF(OR(Inputs!$F$7=TRUE,Inputs!$F$7="TRUE",Inputs!$F$7=1),(Inputs!$H$7+Inputs!$L$7*(((Inputs!$I$7+(((A71)+1)/2)*(Inputs!$J$7-Inputs!$I$7)))/Inputs!$K$7)^2),NA())</f>
        <v>100.92812500000001</v>
      </c>
      <c r="D71" s="9">
        <f>IF(OR(Inputs!$F$8=TRUE,Inputs!$F$8="TRUE",Inputs!$F$8=1),(Inputs!$H$8+Inputs!$L$8*(((Inputs!$I$8+(((A71)+1)/2)*(Inputs!$J$8-Inputs!$I$8)))/Inputs!$K$8)^2),NA())</f>
        <v>209.30312500000002</v>
      </c>
      <c r="E71" s="9">
        <f>IF(OR(Inputs!$F$9=TRUE,Inputs!$F$9="TRUE",Inputs!$F$9=1),(Inputs!$H$9+Inputs!$L$9*(((Inputs!$I$9+(((A71)+1)/2)*(Inputs!$J$9-Inputs!$I$9)))/Inputs!$K$9)^2),NA())</f>
        <v>201.10937500000003</v>
      </c>
      <c r="F71" s="10"/>
      <c r="G71" s="9">
        <f t="shared" si="6"/>
        <v>-0.42499999999999999</v>
      </c>
      <c r="H71" s="9">
        <f>IF(OR(Inputs!$F$6=TRUE,Inputs!$F$6="TRUE",Inputs!$F$6=1),(((SQRT(((Inputs!$I$6+(((A71)+1)/2)*(Inputs!$J$6-Inputs!$I$6)))^2+Inputs!$C$6^2+((Inputs!$H$6+Inputs!$L$6*(((Inputs!$I$6+(((A71)+1)/2)*(Inputs!$J$6-Inputs!$I$6)))/Inputs!$K$6)^2))^2))-((Inputs!$H$6+Inputs!$L$6*(((Inputs!$I$6+(((A71)+1)/2)*(Inputs!$J$6-Inputs!$I$6)))/Inputs!$K$6)^2)))*1000/Inputs!$C$12),NA())</f>
        <v>892.1582886614168</v>
      </c>
      <c r="I71" s="9">
        <f>IF(OR(Inputs!$F$7=TRUE,Inputs!$F$7="TRUE",Inputs!$F$7=1),(((SQRT(((Inputs!$I$7+(((A71)+1)/2)*(Inputs!$J$7-Inputs!$I$7)))^2+Inputs!$C$6^2+((Inputs!$H$7+Inputs!$L$7*(((Inputs!$I$7+(((A71)+1)/2)*(Inputs!$J$7-Inputs!$I$7)))/Inputs!$K$7)^2))^2))-((Inputs!$H$7+Inputs!$L$7*(((Inputs!$I$7+(((A71)+1)/2)*(Inputs!$J$7-Inputs!$I$7)))/Inputs!$K$7)^2)))*1000/Inputs!$C$12),NA())</f>
        <v>55252.407697642928</v>
      </c>
      <c r="J71" s="9">
        <f>IF(OR(Inputs!$F$8=TRUE,Inputs!$F$8="TRUE",Inputs!$F$8=1),(((SQRT(((Inputs!$I$8+(((A71)+1)/2)*(Inputs!$J$8-Inputs!$I$8)))^2+Inputs!$C$6^2+((Inputs!$H$8+Inputs!$L$8*(((Inputs!$I$8+(((A71)+1)/2)*(Inputs!$J$8-Inputs!$I$8)))/Inputs!$K$8)^2))^2))-((Inputs!$H$8+Inputs!$L$8*(((Inputs!$I$8+(((A71)+1)/2)*(Inputs!$J$8-Inputs!$I$8)))/Inputs!$K$8)^2)))*1000/Inputs!$C$12),NA())</f>
        <v>107156.10706048392</v>
      </c>
      <c r="K71" s="9">
        <f>IF(OR(Inputs!$F$9=TRUE,Inputs!$F$9="TRUE",Inputs!$F$9=1),(((SQRT(((Inputs!$I$9+(((A71)+1)/2)*(Inputs!$J$9-Inputs!$I$9)))^2+Inputs!$C$6^2+((Inputs!$H$9+Inputs!$L$9*(((Inputs!$I$9+(((A71)+1)/2)*(Inputs!$J$9-Inputs!$I$9)))/Inputs!$K$9)^2))^2))-((Inputs!$H$9+Inputs!$L$9*(((Inputs!$I$9+(((A71)+1)/2)*(Inputs!$J$9-Inputs!$I$9)))/Inputs!$K$9)^2)))*1000/Inputs!$C$12),NA())</f>
        <v>109385.51363748086</v>
      </c>
      <c r="L71" s="10"/>
      <c r="M71" s="9">
        <f t="shared" si="7"/>
        <v>-0.42499999999999999</v>
      </c>
      <c r="N71" s="9">
        <f>IF(OR(Inputs!$F$6=TRUE,Inputs!$F$6="TRUE",Inputs!$F$6=1),(-2*((1000*((((Inputs!$I$6+(((A71)+1)/2)*(Inputs!$J$6-Inputs!$I$6)))*Inputs!$C$11+((Inputs!$H$6+Inputs!$L$6*(((Inputs!$I$6+(((A71)+1)/2)*(Inputs!$J$6-Inputs!$I$6)))/Inputs!$K$6)^2))*((2*Inputs!$L$6*((Inputs!$I$6+(((A71)+1)/2)*(Inputs!$J$6-Inputs!$I$6)))/(Inputs!$K$6^2)*Inputs!$C$11)))/(SQRT(((Inputs!$I$6+(((A71)+1)/2)*(Inputs!$J$6-Inputs!$I$6)))^2+Inputs!$C$6^2+((Inputs!$H$6+Inputs!$L$6*(((Inputs!$I$6+(((A71)+1)/2)*(Inputs!$J$6-Inputs!$I$6)))/Inputs!$K$6)^2))^2)))))/Inputs!$C$13),NA())</f>
        <v>191.72297349476912</v>
      </c>
      <c r="O71" s="9">
        <f>IF(OR(Inputs!$F$7=TRUE,Inputs!$F$7="TRUE",Inputs!$F$7=1),(-2*((1000*((((Inputs!$I$7+(((A71)+1)/2)*(Inputs!$J$7-Inputs!$I$7)))*Inputs!$C$11+((Inputs!$H$7+Inputs!$L$7*(((Inputs!$I$7+(((A71)+1)/2)*(Inputs!$J$7-Inputs!$I$7)))/Inputs!$K$7)^2))*((2*Inputs!$L$7*((Inputs!$I$7+(((A71)+1)/2)*(Inputs!$J$7-Inputs!$I$7)))/(Inputs!$K$7^2)*Inputs!$C$11)))/(SQRT(((Inputs!$I$7+(((A71)+1)/2)*(Inputs!$J$7-Inputs!$I$7)))^2+Inputs!$C$6^2+((Inputs!$H$7+Inputs!$L$7*(((Inputs!$I$7+(((A71)+1)/2)*(Inputs!$J$7-Inputs!$I$7)))/Inputs!$K$7)^2))^2)))))/Inputs!$C$13),NA())</f>
        <v>1993.4612845780164</v>
      </c>
      <c r="P71" s="9">
        <f>IF(OR(Inputs!$F$8=TRUE,Inputs!$F$8="TRUE",Inputs!$F$8=1),(-2*((1000*((((Inputs!$I$8+(((A71)+1)/2)*(Inputs!$J$8-Inputs!$I$8)))*Inputs!$C$11+((Inputs!$H$8+Inputs!$L$8*(((Inputs!$I$8+(((A71)+1)/2)*(Inputs!$J$8-Inputs!$I$8)))/Inputs!$K$8)^2))*((2*Inputs!$L$8*((Inputs!$I$8+(((A71)+1)/2)*(Inputs!$J$8-Inputs!$I$8)))/(Inputs!$K$8^2)*Inputs!$C$11)))/(SQRT(((Inputs!$I$8+(((A71)+1)/2)*(Inputs!$J$8-Inputs!$I$8)))^2+Inputs!$C$6^2+((Inputs!$H$8+Inputs!$L$8*(((Inputs!$I$8+(((A71)+1)/2)*(Inputs!$J$8-Inputs!$I$8)))/Inputs!$K$8)^2))^2)))))/Inputs!$C$13),NA())</f>
        <v>2218.1771028324902</v>
      </c>
      <c r="Q71" s="9">
        <f>IF(OR(Inputs!$F$9=TRUE,Inputs!$F$9="TRUE",Inputs!$F$9=1),(-2*((1000*((((Inputs!$I$9+(((A71)+1)/2)*(Inputs!$J$9-Inputs!$I$9)))*Inputs!$C$11+((Inputs!$H$9+Inputs!$L$9*(((Inputs!$I$9+(((A71)+1)/2)*(Inputs!$J$9-Inputs!$I$9)))/Inputs!$K$9)^2))*((2*Inputs!$L$9*((Inputs!$I$9+(((A71)+1)/2)*(Inputs!$J$9-Inputs!$I$9)))/(Inputs!$K$9^2)*Inputs!$C$11)))/(SQRT(((Inputs!$I$9+(((A71)+1)/2)*(Inputs!$J$9-Inputs!$I$9)))^2+Inputs!$C$6^2+((Inputs!$H$9+Inputs!$L$9*(((Inputs!$I$9+(((A71)+1)/2)*(Inputs!$J$9-Inputs!$I$9)))/Inputs!$K$9)^2))^2)))))/Inputs!$C$13),NA())</f>
        <v>2216.5341963163128</v>
      </c>
      <c r="R71" s="10"/>
      <c r="S71" s="9">
        <f t="shared" si="8"/>
        <v>-0.42499999999999999</v>
      </c>
      <c r="T71" s="9">
        <f>(Inputs!$I$6+(((A71)+1)/2)*(Inputs!$J$6-Inputs!$I$6))</f>
        <v>-25.5</v>
      </c>
      <c r="U71" s="9">
        <f>(Inputs!$I$7+(((A71)+1)/2)*(Inputs!$J$7-Inputs!$I$7))</f>
        <v>-170.00000000000003</v>
      </c>
      <c r="V71" s="9">
        <f>(Inputs!$I$8+(((A71)+1)/2)*(Inputs!$J$8-Inputs!$I$8))</f>
        <v>-340.00000000000006</v>
      </c>
      <c r="W71" s="9">
        <f>(Inputs!$I$9+(((A71)+1)/2)*(Inputs!$J$9-Inputs!$I$9))</f>
        <v>-340.00000000000006</v>
      </c>
      <c r="X71" s="10"/>
      <c r="Y71" s="9">
        <f t="shared" si="9"/>
        <v>-0.42499999999999999</v>
      </c>
      <c r="Z71" s="9">
        <f>(Inputs!$H$6+Inputs!$L$6*(((Inputs!$I$6+(((A71)+1)/2)*(Inputs!$J$6-Inputs!$I$6)))/Inputs!$K$6)^2)</f>
        <v>400.72250000000003</v>
      </c>
      <c r="AA71" s="9">
        <f>(Inputs!$H$7+Inputs!$L$7*(((Inputs!$I$7+(((A71)+1)/2)*(Inputs!$J$7-Inputs!$I$7)))/Inputs!$K$7)^2)</f>
        <v>100.92812500000001</v>
      </c>
      <c r="AB71" s="9">
        <f>(Inputs!$H$8+Inputs!$L$8*(((Inputs!$I$8+(((A71)+1)/2)*(Inputs!$J$8-Inputs!$I$8)))/Inputs!$K$8)^2)</f>
        <v>209.30312500000002</v>
      </c>
      <c r="AC71" s="9">
        <f>(Inputs!$H$9+Inputs!$L$9*(((Inputs!$I$9+(((A71)+1)/2)*(Inputs!$J$9-Inputs!$I$9)))/Inputs!$K$9)^2)</f>
        <v>201.10937500000003</v>
      </c>
      <c r="AD71" s="10"/>
      <c r="AE71" s="9">
        <f t="shared" si="10"/>
        <v>-0.42499999999999999</v>
      </c>
      <c r="AF71" s="9">
        <f>(((SQRT(((Inputs!$I$6+(((A71)+1)/2)*(Inputs!$J$6-Inputs!$I$6)))^2+Inputs!$C$6^2+((Inputs!$H$6+Inputs!$L$6*(((Inputs!$I$6+(((A71)+1)/2)*(Inputs!$J$6-Inputs!$I$6)))/Inputs!$K$6)^2))^2))-((Inputs!$H$6+Inputs!$L$6*(((Inputs!$I$6+(((A71)+1)/2)*(Inputs!$J$6-Inputs!$I$6)))/Inputs!$K$6)^2)))*1000/Inputs!$C$12)</f>
        <v>892.1582886614168</v>
      </c>
      <c r="AG71" s="9">
        <f>(((SQRT(((Inputs!$I$7+(((A71)+1)/2)*(Inputs!$J$7-Inputs!$I$7)))^2+Inputs!$C$6^2+((Inputs!$H$7+Inputs!$L$7*(((Inputs!$I$7+(((A71)+1)/2)*(Inputs!$J$7-Inputs!$I$7)))/Inputs!$K$7)^2))^2))-((Inputs!$H$7+Inputs!$L$7*(((Inputs!$I$7+(((A71)+1)/2)*(Inputs!$J$7-Inputs!$I$7)))/Inputs!$K$7)^2)))*1000/Inputs!$C$12)</f>
        <v>55252.407697642928</v>
      </c>
      <c r="AH71" s="9">
        <f>(((SQRT(((Inputs!$I$8+(((A71)+1)/2)*(Inputs!$J$8-Inputs!$I$8)))^2+Inputs!$C$6^2+((Inputs!$H$8+Inputs!$L$8*(((Inputs!$I$8+(((A71)+1)/2)*(Inputs!$J$8-Inputs!$I$8)))/Inputs!$K$8)^2))^2))-((Inputs!$H$8+Inputs!$L$8*(((Inputs!$I$8+(((A71)+1)/2)*(Inputs!$J$8-Inputs!$I$8)))/Inputs!$K$8)^2)))*1000/Inputs!$C$12)</f>
        <v>107156.10706048392</v>
      </c>
      <c r="AI71" s="9">
        <f>(((SQRT(((Inputs!$I$9+(((A71)+1)/2)*(Inputs!$J$9-Inputs!$I$9)))^2+Inputs!$C$6^2+((Inputs!$H$9+Inputs!$L$9*(((Inputs!$I$9+(((A71)+1)/2)*(Inputs!$J$9-Inputs!$I$9)))/Inputs!$K$9)^2))^2))-((Inputs!$H$9+Inputs!$L$9*(((Inputs!$I$9+(((A71)+1)/2)*(Inputs!$J$9-Inputs!$I$9)))/Inputs!$K$9)^2)))*1000/Inputs!$C$12)</f>
        <v>109385.51363748086</v>
      </c>
      <c r="AJ71" s="10"/>
      <c r="AK71" s="9">
        <f t="shared" si="11"/>
        <v>-0.42499999999999999</v>
      </c>
      <c r="AL71" s="9">
        <f>(-2*((1000*((((Inputs!$I$6+(((A71)+1)/2)*(Inputs!$J$6-Inputs!$I$6)))*Inputs!$C$11+((Inputs!$H$6+Inputs!$L$6*(((Inputs!$I$6+(((A71)+1)/2)*(Inputs!$J$6-Inputs!$I$6)))/Inputs!$K$6)^2))*((2*Inputs!$L$6*((Inputs!$I$6+(((A71)+1)/2)*(Inputs!$J$6-Inputs!$I$6)))/(Inputs!$K$6^2)*Inputs!$C$11)))/(SQRT(((Inputs!$I$6+(((A71)+1)/2)*(Inputs!$J$6-Inputs!$I$6)))^2+Inputs!$C$6^2+((Inputs!$H$6+Inputs!$L$6*(((Inputs!$I$6+(((A71)+1)/2)*(Inputs!$J$6-Inputs!$I$6)))/Inputs!$K$6)^2))^2)))))/Inputs!$C$13)</f>
        <v>191.72297349476912</v>
      </c>
      <c r="AM71" s="9">
        <f>(-2*((1000*((((Inputs!$I$7+(((A71)+1)/2)*(Inputs!$J$7-Inputs!$I$7)))*Inputs!$C$11+((Inputs!$H$7+Inputs!$L$7*(((Inputs!$I$7+(((A71)+1)/2)*(Inputs!$J$7-Inputs!$I$7)))/Inputs!$K$7)^2))*((2*Inputs!$L$7*((Inputs!$I$7+(((A71)+1)/2)*(Inputs!$J$7-Inputs!$I$7)))/(Inputs!$K$7^2)*Inputs!$C$11)))/(SQRT(((Inputs!$I$7+(((A71)+1)/2)*(Inputs!$J$7-Inputs!$I$7)))^2+Inputs!$C$6^2+((Inputs!$H$7+Inputs!$L$7*(((Inputs!$I$7+(((A71)+1)/2)*(Inputs!$J$7-Inputs!$I$7)))/Inputs!$K$7)^2))^2)))))/Inputs!$C$13)</f>
        <v>1993.4612845780164</v>
      </c>
      <c r="AN71" s="9">
        <f>(-2*((1000*((((Inputs!$I$8+(((A71)+1)/2)*(Inputs!$J$8-Inputs!$I$8)))*Inputs!$C$11+((Inputs!$H$8+Inputs!$L$8*(((Inputs!$I$8+(((A71)+1)/2)*(Inputs!$J$8-Inputs!$I$8)))/Inputs!$K$8)^2))*((2*Inputs!$L$8*((Inputs!$I$8+(((A71)+1)/2)*(Inputs!$J$8-Inputs!$I$8)))/(Inputs!$K$8^2)*Inputs!$C$11)))/(SQRT(((Inputs!$I$8+(((A71)+1)/2)*(Inputs!$J$8-Inputs!$I$8)))^2+Inputs!$C$6^2+((Inputs!$H$8+Inputs!$L$8*(((Inputs!$I$8+(((A71)+1)/2)*(Inputs!$J$8-Inputs!$I$8)))/Inputs!$K$8)^2))^2)))))/Inputs!$C$13)</f>
        <v>2218.1771028324902</v>
      </c>
      <c r="AO71" s="9">
        <f>(-2*((1000*((((Inputs!$I$9+(((A71)+1)/2)*(Inputs!$J$9-Inputs!$I$9)))*Inputs!$C$11+((Inputs!$H$9+Inputs!$L$9*(((Inputs!$I$9+(((A71)+1)/2)*(Inputs!$J$9-Inputs!$I$9)))/Inputs!$K$9)^2))*((2*Inputs!$L$9*((Inputs!$I$9+(((A71)+1)/2)*(Inputs!$J$9-Inputs!$I$9)))/(Inputs!$K$9^2)*Inputs!$C$11)))/(SQRT(((Inputs!$I$9+(((A71)+1)/2)*(Inputs!$J$9-Inputs!$I$9)))^2+Inputs!$C$6^2+((Inputs!$H$9+Inputs!$L$9*(((Inputs!$I$9+(((A71)+1)/2)*(Inputs!$J$9-Inputs!$I$9)))/Inputs!$K$9)^2))^2)))))/Inputs!$C$13)</f>
        <v>2216.5341963163128</v>
      </c>
    </row>
    <row r="72" spans="1:41">
      <c r="A72" s="9">
        <f>ROUND(-1+70*2/240,3)</f>
        <v>-0.41699999999999998</v>
      </c>
      <c r="B72" s="9">
        <f>IF(OR(Inputs!$F$6=TRUE,Inputs!$F$6="TRUE",Inputs!$F$6=1),(Inputs!$H$6+Inputs!$L$6*(((Inputs!$I$6+(((A72)+1)/2)*(Inputs!$J$6-Inputs!$I$6)))/Inputs!$K$6)^2),NA())</f>
        <v>400.69555600000001</v>
      </c>
      <c r="C72" s="9">
        <f>IF(OR(Inputs!$F$7=TRUE,Inputs!$F$7="TRUE",Inputs!$F$7=1),(Inputs!$H$7+Inputs!$L$7*(((Inputs!$I$7+(((A72)+1)/2)*(Inputs!$J$7-Inputs!$I$7)))/Inputs!$K$7)^2),NA())</f>
        <v>98.46948500000002</v>
      </c>
      <c r="D72" s="9">
        <f>IF(OR(Inputs!$F$8=TRUE,Inputs!$F$8="TRUE",Inputs!$F$8=1),(Inputs!$H$8+Inputs!$L$8*(((Inputs!$I$8+(((A72)+1)/2)*(Inputs!$J$8-Inputs!$I$8)))/Inputs!$K$8)^2),NA())</f>
        <v>202.80288500000003</v>
      </c>
      <c r="E72" s="9">
        <f>IF(OR(Inputs!$F$9=TRUE,Inputs!$F$9="TRUE",Inputs!$F$9=1),(Inputs!$H$9+Inputs!$L$9*(((Inputs!$I$9+(((A72)+1)/2)*(Inputs!$J$9-Inputs!$I$9)))/Inputs!$K$9)^2),NA())</f>
        <v>194.54177500000003</v>
      </c>
      <c r="F72" s="10"/>
      <c r="G72" s="9">
        <f t="shared" si="6"/>
        <v>-0.41699999999999998</v>
      </c>
      <c r="H72" s="9">
        <f>IF(OR(Inputs!$F$6=TRUE,Inputs!$F$6="TRUE",Inputs!$F$6=1),(((SQRT(((Inputs!$I$6+(((A72)+1)/2)*(Inputs!$J$6-Inputs!$I$6)))^2+Inputs!$C$6^2+((Inputs!$H$6+Inputs!$L$6*(((Inputs!$I$6+(((A72)+1)/2)*(Inputs!$J$6-Inputs!$I$6)))/Inputs!$K$6)^2))^2))-((Inputs!$H$6+Inputs!$L$6*(((Inputs!$I$6+(((A72)+1)/2)*(Inputs!$J$6-Inputs!$I$6)))/Inputs!$K$6)^2)))*1000/Inputs!$C$12),NA())</f>
        <v>875.28486774094029</v>
      </c>
      <c r="I72" s="9">
        <f>IF(OR(Inputs!$F$7=TRUE,Inputs!$F$7="TRUE",Inputs!$F$7=1),(((SQRT(((Inputs!$I$7+(((A72)+1)/2)*(Inputs!$J$7-Inputs!$I$7)))^2+Inputs!$C$6^2+((Inputs!$H$7+Inputs!$L$7*(((Inputs!$I$7+(((A72)+1)/2)*(Inputs!$J$7-Inputs!$I$7)))/Inputs!$K$7)^2))^2))-((Inputs!$H$7+Inputs!$L$7*(((Inputs!$I$7+(((A72)+1)/2)*(Inputs!$J$7-Inputs!$I$7)))/Inputs!$K$7)^2)))*1000/Inputs!$C$12),NA())</f>
        <v>54401.164187782495</v>
      </c>
      <c r="J72" s="9">
        <f>IF(OR(Inputs!$F$8=TRUE,Inputs!$F$8="TRUE",Inputs!$F$8=1),(((SQRT(((Inputs!$I$8+(((A72)+1)/2)*(Inputs!$J$8-Inputs!$I$8)))^2+Inputs!$C$6^2+((Inputs!$H$8+Inputs!$L$8*(((Inputs!$I$8+(((A72)+1)/2)*(Inputs!$J$8-Inputs!$I$8)))/Inputs!$K$8)^2))^2))-((Inputs!$H$8+Inputs!$L$8*(((Inputs!$I$8+(((A72)+1)/2)*(Inputs!$J$8-Inputs!$I$8)))/Inputs!$K$8)^2)))*1000/Inputs!$C$12),NA())</f>
        <v>105845.04670903459</v>
      </c>
      <c r="K72" s="9">
        <f>IF(OR(Inputs!$F$9=TRUE,Inputs!$F$9="TRUE",Inputs!$F$9=1),(((SQRT(((Inputs!$I$9+(((A72)+1)/2)*(Inputs!$J$9-Inputs!$I$9)))^2+Inputs!$C$6^2+((Inputs!$H$9+Inputs!$L$9*(((Inputs!$I$9+(((A72)+1)/2)*(Inputs!$J$9-Inputs!$I$9)))/Inputs!$K$9)^2))^2))-((Inputs!$H$9+Inputs!$L$9*(((Inputs!$I$9+(((A72)+1)/2)*(Inputs!$J$9-Inputs!$I$9)))/Inputs!$K$9)^2)))*1000/Inputs!$C$12),NA())</f>
        <v>108116.40119071386</v>
      </c>
      <c r="L72" s="10"/>
      <c r="M72" s="9">
        <f t="shared" si="7"/>
        <v>-0.41699999999999998</v>
      </c>
      <c r="N72" s="9">
        <f>IF(OR(Inputs!$F$6=TRUE,Inputs!$F$6="TRUE",Inputs!$F$6=1),(-2*((1000*((((Inputs!$I$6+(((A72)+1)/2)*(Inputs!$J$6-Inputs!$I$6)))*Inputs!$C$11+((Inputs!$H$6+Inputs!$L$6*(((Inputs!$I$6+(((A72)+1)/2)*(Inputs!$J$6-Inputs!$I$6)))/Inputs!$K$6)^2))*((2*Inputs!$L$6*((Inputs!$I$6+(((A72)+1)/2)*(Inputs!$J$6-Inputs!$I$6)))/(Inputs!$K$6^2)*Inputs!$C$11)))/(SQRT(((Inputs!$I$6+(((A72)+1)/2)*(Inputs!$J$6-Inputs!$I$6)))^2+Inputs!$C$6^2+((Inputs!$H$6+Inputs!$L$6*(((Inputs!$I$6+(((A72)+1)/2)*(Inputs!$J$6-Inputs!$I$6)))/Inputs!$K$6)^2))^2)))))/Inputs!$C$13),NA())</f>
        <v>188.13475780104019</v>
      </c>
      <c r="O72" s="9">
        <f>IF(OR(Inputs!$F$7=TRUE,Inputs!$F$7="TRUE",Inputs!$F$7=1),(-2*((1000*((((Inputs!$I$7+(((A72)+1)/2)*(Inputs!$J$7-Inputs!$I$7)))*Inputs!$C$11+((Inputs!$H$7+Inputs!$L$7*(((Inputs!$I$7+(((A72)+1)/2)*(Inputs!$J$7-Inputs!$I$7)))/Inputs!$K$7)^2))*((2*Inputs!$L$7*((Inputs!$I$7+(((A72)+1)/2)*(Inputs!$J$7-Inputs!$I$7)))/(Inputs!$K$7^2)*Inputs!$C$11)))/(SQRT(((Inputs!$I$7+(((A72)+1)/2)*(Inputs!$J$7-Inputs!$I$7)))^2+Inputs!$C$6^2+((Inputs!$H$7+Inputs!$L$7*(((Inputs!$I$7+(((A72)+1)/2)*(Inputs!$J$7-Inputs!$I$7)))/Inputs!$K$7)^2))^2)))))/Inputs!$C$13),NA())</f>
        <v>1980.4062412026428</v>
      </c>
      <c r="P72" s="9">
        <f>IF(OR(Inputs!$F$8=TRUE,Inputs!$F$8="TRUE",Inputs!$F$8=1),(-2*((1000*((((Inputs!$I$8+(((A72)+1)/2)*(Inputs!$J$8-Inputs!$I$8)))*Inputs!$C$11+((Inputs!$H$8+Inputs!$L$8*(((Inputs!$I$8+(((A72)+1)/2)*(Inputs!$J$8-Inputs!$I$8)))/Inputs!$K$8)^2))*((2*Inputs!$L$8*((Inputs!$I$8+(((A72)+1)/2)*(Inputs!$J$8-Inputs!$I$8)))/(Inputs!$K$8^2)*Inputs!$C$11)))/(SQRT(((Inputs!$I$8+(((A72)+1)/2)*(Inputs!$J$8-Inputs!$I$8)))^2+Inputs!$C$6^2+((Inputs!$H$8+Inputs!$L$8*(((Inputs!$I$8+(((A72)+1)/2)*(Inputs!$J$8-Inputs!$I$8)))/Inputs!$K$8)^2))^2)))))/Inputs!$C$13),NA())</f>
        <v>2198.8242284039907</v>
      </c>
      <c r="Q72" s="9">
        <f>IF(OR(Inputs!$F$9=TRUE,Inputs!$F$9="TRUE",Inputs!$F$9=1),(-2*((1000*((((Inputs!$I$9+(((A72)+1)/2)*(Inputs!$J$9-Inputs!$I$9)))*Inputs!$C$11+((Inputs!$H$9+Inputs!$L$9*(((Inputs!$I$9+(((A72)+1)/2)*(Inputs!$J$9-Inputs!$I$9)))/Inputs!$K$9)^2))*((2*Inputs!$L$9*((Inputs!$I$9+(((A72)+1)/2)*(Inputs!$J$9-Inputs!$I$9)))/(Inputs!$K$9^2)*Inputs!$C$11)))/(SQRT(((Inputs!$I$9+(((A72)+1)/2)*(Inputs!$J$9-Inputs!$I$9)))^2+Inputs!$C$6^2+((Inputs!$H$9+Inputs!$L$9*(((Inputs!$I$9+(((A72)+1)/2)*(Inputs!$J$9-Inputs!$I$9)))/Inputs!$K$9)^2))^2)))))/Inputs!$C$13),NA())</f>
        <v>2196.8153010067972</v>
      </c>
      <c r="R72" s="10"/>
      <c r="S72" s="9">
        <f t="shared" si="8"/>
        <v>-0.41699999999999998</v>
      </c>
      <c r="T72" s="9">
        <f>(Inputs!$I$6+(((A72)+1)/2)*(Inputs!$J$6-Inputs!$I$6))</f>
        <v>-25.020000000000003</v>
      </c>
      <c r="U72" s="9">
        <f>(Inputs!$I$7+(((A72)+1)/2)*(Inputs!$J$7-Inputs!$I$7))</f>
        <v>-166.8</v>
      </c>
      <c r="V72" s="9">
        <f>(Inputs!$I$8+(((A72)+1)/2)*(Inputs!$J$8-Inputs!$I$8))</f>
        <v>-333.6</v>
      </c>
      <c r="W72" s="9">
        <f>(Inputs!$I$9+(((A72)+1)/2)*(Inputs!$J$9-Inputs!$I$9))</f>
        <v>-333.6</v>
      </c>
      <c r="X72" s="10"/>
      <c r="Y72" s="9">
        <f t="shared" si="9"/>
        <v>-0.41699999999999998</v>
      </c>
      <c r="Z72" s="9">
        <f>(Inputs!$H$6+Inputs!$L$6*(((Inputs!$I$6+(((A72)+1)/2)*(Inputs!$J$6-Inputs!$I$6)))/Inputs!$K$6)^2)</f>
        <v>400.69555600000001</v>
      </c>
      <c r="AA72" s="9">
        <f>(Inputs!$H$7+Inputs!$L$7*(((Inputs!$I$7+(((A72)+1)/2)*(Inputs!$J$7-Inputs!$I$7)))/Inputs!$K$7)^2)</f>
        <v>98.46948500000002</v>
      </c>
      <c r="AB72" s="9">
        <f>(Inputs!$H$8+Inputs!$L$8*(((Inputs!$I$8+(((A72)+1)/2)*(Inputs!$J$8-Inputs!$I$8)))/Inputs!$K$8)^2)</f>
        <v>202.80288500000003</v>
      </c>
      <c r="AC72" s="9">
        <f>(Inputs!$H$9+Inputs!$L$9*(((Inputs!$I$9+(((A72)+1)/2)*(Inputs!$J$9-Inputs!$I$9)))/Inputs!$K$9)^2)</f>
        <v>194.54177500000003</v>
      </c>
      <c r="AD72" s="10"/>
      <c r="AE72" s="9">
        <f t="shared" si="10"/>
        <v>-0.41699999999999998</v>
      </c>
      <c r="AF72" s="9">
        <f>(((SQRT(((Inputs!$I$6+(((A72)+1)/2)*(Inputs!$J$6-Inputs!$I$6)))^2+Inputs!$C$6^2+((Inputs!$H$6+Inputs!$L$6*(((Inputs!$I$6+(((A72)+1)/2)*(Inputs!$J$6-Inputs!$I$6)))/Inputs!$K$6)^2))^2))-((Inputs!$H$6+Inputs!$L$6*(((Inputs!$I$6+(((A72)+1)/2)*(Inputs!$J$6-Inputs!$I$6)))/Inputs!$K$6)^2)))*1000/Inputs!$C$12)</f>
        <v>875.28486774094029</v>
      </c>
      <c r="AG72" s="9">
        <f>(((SQRT(((Inputs!$I$7+(((A72)+1)/2)*(Inputs!$J$7-Inputs!$I$7)))^2+Inputs!$C$6^2+((Inputs!$H$7+Inputs!$L$7*(((Inputs!$I$7+(((A72)+1)/2)*(Inputs!$J$7-Inputs!$I$7)))/Inputs!$K$7)^2))^2))-((Inputs!$H$7+Inputs!$L$7*(((Inputs!$I$7+(((A72)+1)/2)*(Inputs!$J$7-Inputs!$I$7)))/Inputs!$K$7)^2)))*1000/Inputs!$C$12)</f>
        <v>54401.164187782495</v>
      </c>
      <c r="AH72" s="9">
        <f>(((SQRT(((Inputs!$I$8+(((A72)+1)/2)*(Inputs!$J$8-Inputs!$I$8)))^2+Inputs!$C$6^2+((Inputs!$H$8+Inputs!$L$8*(((Inputs!$I$8+(((A72)+1)/2)*(Inputs!$J$8-Inputs!$I$8)))/Inputs!$K$8)^2))^2))-((Inputs!$H$8+Inputs!$L$8*(((Inputs!$I$8+(((A72)+1)/2)*(Inputs!$J$8-Inputs!$I$8)))/Inputs!$K$8)^2)))*1000/Inputs!$C$12)</f>
        <v>105845.04670903459</v>
      </c>
      <c r="AI72" s="9">
        <f>(((SQRT(((Inputs!$I$9+(((A72)+1)/2)*(Inputs!$J$9-Inputs!$I$9)))^2+Inputs!$C$6^2+((Inputs!$H$9+Inputs!$L$9*(((Inputs!$I$9+(((A72)+1)/2)*(Inputs!$J$9-Inputs!$I$9)))/Inputs!$K$9)^2))^2))-((Inputs!$H$9+Inputs!$L$9*(((Inputs!$I$9+(((A72)+1)/2)*(Inputs!$J$9-Inputs!$I$9)))/Inputs!$K$9)^2)))*1000/Inputs!$C$12)</f>
        <v>108116.40119071386</v>
      </c>
      <c r="AJ72" s="10"/>
      <c r="AK72" s="9">
        <f t="shared" si="11"/>
        <v>-0.41699999999999998</v>
      </c>
      <c r="AL72" s="9">
        <f>(-2*((1000*((((Inputs!$I$6+(((A72)+1)/2)*(Inputs!$J$6-Inputs!$I$6)))*Inputs!$C$11+((Inputs!$H$6+Inputs!$L$6*(((Inputs!$I$6+(((A72)+1)/2)*(Inputs!$J$6-Inputs!$I$6)))/Inputs!$K$6)^2))*((2*Inputs!$L$6*((Inputs!$I$6+(((A72)+1)/2)*(Inputs!$J$6-Inputs!$I$6)))/(Inputs!$K$6^2)*Inputs!$C$11)))/(SQRT(((Inputs!$I$6+(((A72)+1)/2)*(Inputs!$J$6-Inputs!$I$6)))^2+Inputs!$C$6^2+((Inputs!$H$6+Inputs!$L$6*(((Inputs!$I$6+(((A72)+1)/2)*(Inputs!$J$6-Inputs!$I$6)))/Inputs!$K$6)^2))^2)))))/Inputs!$C$13)</f>
        <v>188.13475780104019</v>
      </c>
      <c r="AM72" s="9">
        <f>(-2*((1000*((((Inputs!$I$7+(((A72)+1)/2)*(Inputs!$J$7-Inputs!$I$7)))*Inputs!$C$11+((Inputs!$H$7+Inputs!$L$7*(((Inputs!$I$7+(((A72)+1)/2)*(Inputs!$J$7-Inputs!$I$7)))/Inputs!$K$7)^2))*((2*Inputs!$L$7*((Inputs!$I$7+(((A72)+1)/2)*(Inputs!$J$7-Inputs!$I$7)))/(Inputs!$K$7^2)*Inputs!$C$11)))/(SQRT(((Inputs!$I$7+(((A72)+1)/2)*(Inputs!$J$7-Inputs!$I$7)))^2+Inputs!$C$6^2+((Inputs!$H$7+Inputs!$L$7*(((Inputs!$I$7+(((A72)+1)/2)*(Inputs!$J$7-Inputs!$I$7)))/Inputs!$K$7)^2))^2)))))/Inputs!$C$13)</f>
        <v>1980.4062412026428</v>
      </c>
      <c r="AN72" s="9">
        <f>(-2*((1000*((((Inputs!$I$8+(((A72)+1)/2)*(Inputs!$J$8-Inputs!$I$8)))*Inputs!$C$11+((Inputs!$H$8+Inputs!$L$8*(((Inputs!$I$8+(((A72)+1)/2)*(Inputs!$J$8-Inputs!$I$8)))/Inputs!$K$8)^2))*((2*Inputs!$L$8*((Inputs!$I$8+(((A72)+1)/2)*(Inputs!$J$8-Inputs!$I$8)))/(Inputs!$K$8^2)*Inputs!$C$11)))/(SQRT(((Inputs!$I$8+(((A72)+1)/2)*(Inputs!$J$8-Inputs!$I$8)))^2+Inputs!$C$6^2+((Inputs!$H$8+Inputs!$L$8*(((Inputs!$I$8+(((A72)+1)/2)*(Inputs!$J$8-Inputs!$I$8)))/Inputs!$K$8)^2))^2)))))/Inputs!$C$13)</f>
        <v>2198.8242284039907</v>
      </c>
      <c r="AO72" s="9">
        <f>(-2*((1000*((((Inputs!$I$9+(((A72)+1)/2)*(Inputs!$J$9-Inputs!$I$9)))*Inputs!$C$11+((Inputs!$H$9+Inputs!$L$9*(((Inputs!$I$9+(((A72)+1)/2)*(Inputs!$J$9-Inputs!$I$9)))/Inputs!$K$9)^2))*((2*Inputs!$L$9*((Inputs!$I$9+(((A72)+1)/2)*(Inputs!$J$9-Inputs!$I$9)))/(Inputs!$K$9^2)*Inputs!$C$11)))/(SQRT(((Inputs!$I$9+(((A72)+1)/2)*(Inputs!$J$9-Inputs!$I$9)))^2+Inputs!$C$6^2+((Inputs!$H$9+Inputs!$L$9*(((Inputs!$I$9+(((A72)+1)/2)*(Inputs!$J$9-Inputs!$I$9)))/Inputs!$K$9)^2))^2)))))/Inputs!$C$13)</f>
        <v>2196.8153010067972</v>
      </c>
    </row>
    <row r="73" spans="1:41">
      <c r="A73" s="9">
        <f>ROUND(-1+71*2/240,3)</f>
        <v>-0.40799999999999997</v>
      </c>
      <c r="B73" s="9">
        <f>IF(OR(Inputs!$F$6=TRUE,Inputs!$F$6="TRUE",Inputs!$F$6=1),(Inputs!$H$6+Inputs!$L$6*(((Inputs!$I$6+(((A73)+1)/2)*(Inputs!$J$6-Inputs!$I$6)))/Inputs!$K$6)^2),NA())</f>
        <v>400.66585600000002</v>
      </c>
      <c r="C73" s="9">
        <f>IF(OR(Inputs!$F$7=TRUE,Inputs!$F$7="TRUE",Inputs!$F$7=1),(Inputs!$H$7+Inputs!$L$7*(((Inputs!$I$7+(((A73)+1)/2)*(Inputs!$J$7-Inputs!$I$7)))/Inputs!$K$7)^2),NA())</f>
        <v>95.759359999999987</v>
      </c>
      <c r="D73" s="9">
        <f>IF(OR(Inputs!$F$8=TRUE,Inputs!$F$8="TRUE",Inputs!$F$8=1),(Inputs!$H$8+Inputs!$L$8*(((Inputs!$I$8+(((A73)+1)/2)*(Inputs!$J$8-Inputs!$I$8)))/Inputs!$K$8)^2),NA())</f>
        <v>195.63775999999996</v>
      </c>
      <c r="E73" s="9">
        <f>IF(OR(Inputs!$F$9=TRUE,Inputs!$F$9="TRUE",Inputs!$F$9=1),(Inputs!$H$9+Inputs!$L$9*(((Inputs!$I$9+(((A73)+1)/2)*(Inputs!$J$9-Inputs!$I$9)))/Inputs!$K$9)^2),NA())</f>
        <v>187.30239999999995</v>
      </c>
      <c r="F73" s="10"/>
      <c r="G73" s="9">
        <f t="shared" si="6"/>
        <v>-0.40799999999999997</v>
      </c>
      <c r="H73" s="9">
        <f>IF(OR(Inputs!$F$6=TRUE,Inputs!$F$6="TRUE",Inputs!$F$6=1),(((SQRT(((Inputs!$I$6+(((A73)+1)/2)*(Inputs!$J$6-Inputs!$I$6)))^2+Inputs!$C$6^2+((Inputs!$H$6+Inputs!$L$6*(((Inputs!$I$6+(((A73)+1)/2)*(Inputs!$J$6-Inputs!$I$6)))/Inputs!$K$6)^2))^2))-((Inputs!$H$6+Inputs!$L$6*(((Inputs!$I$6+(((A73)+1)/2)*(Inputs!$J$6-Inputs!$I$6)))/Inputs!$K$6)^2)))*1000/Inputs!$C$12),NA())</f>
        <v>856.68144882314596</v>
      </c>
      <c r="I73" s="9">
        <f>IF(OR(Inputs!$F$7=TRUE,Inputs!$F$7="TRUE",Inputs!$F$7=1),(((SQRT(((Inputs!$I$7+(((A73)+1)/2)*(Inputs!$J$7-Inputs!$I$7)))^2+Inputs!$C$6^2+((Inputs!$H$7+Inputs!$L$7*(((Inputs!$I$7+(((A73)+1)/2)*(Inputs!$J$7-Inputs!$I$7)))/Inputs!$K$7)^2))^2))-((Inputs!$H$7+Inputs!$L$7*(((Inputs!$I$7+(((A73)+1)/2)*(Inputs!$J$7-Inputs!$I$7)))/Inputs!$K$7)^2)))*1000/Inputs!$C$12),NA())</f>
        <v>53429.615024316394</v>
      </c>
      <c r="J73" s="9">
        <f>IF(OR(Inputs!$F$8=TRUE,Inputs!$F$8="TRUE",Inputs!$F$8=1),(((SQRT(((Inputs!$I$8+(((A73)+1)/2)*(Inputs!$J$8-Inputs!$I$8)))^2+Inputs!$C$6^2+((Inputs!$H$8+Inputs!$L$8*(((Inputs!$I$8+(((A73)+1)/2)*(Inputs!$J$8-Inputs!$I$8)))/Inputs!$K$8)^2))^2))-((Inputs!$H$8+Inputs!$L$8*(((Inputs!$I$8+(((A73)+1)/2)*(Inputs!$J$8-Inputs!$I$8)))/Inputs!$K$8)^2)))*1000/Inputs!$C$12),NA())</f>
        <v>104338.81108969086</v>
      </c>
      <c r="K73" s="9">
        <f>IF(OR(Inputs!$F$9=TRUE,Inputs!$F$9="TRUE",Inputs!$F$9=1),(((SQRT(((Inputs!$I$9+(((A73)+1)/2)*(Inputs!$J$9-Inputs!$I$9)))^2+Inputs!$C$6^2+((Inputs!$H$9+Inputs!$L$9*(((Inputs!$I$9+(((A73)+1)/2)*(Inputs!$J$9-Inputs!$I$9)))/Inputs!$K$9)^2))^2))-((Inputs!$H$9+Inputs!$L$9*(((Inputs!$I$9+(((A73)+1)/2)*(Inputs!$J$9-Inputs!$I$9)))/Inputs!$K$9)^2)))*1000/Inputs!$C$12),NA())</f>
        <v>106657.46440895561</v>
      </c>
      <c r="L73" s="10"/>
      <c r="M73" s="9">
        <f t="shared" si="7"/>
        <v>-0.40799999999999997</v>
      </c>
      <c r="N73" s="9">
        <f>IF(OR(Inputs!$F$6=TRUE,Inputs!$F$6="TRUE",Inputs!$F$6=1),(-2*((1000*((((Inputs!$I$6+(((A73)+1)/2)*(Inputs!$J$6-Inputs!$I$6)))*Inputs!$C$11+((Inputs!$H$6+Inputs!$L$6*(((Inputs!$I$6+(((A73)+1)/2)*(Inputs!$J$6-Inputs!$I$6)))/Inputs!$K$6)^2))*((2*Inputs!$L$6*((Inputs!$I$6+(((A73)+1)/2)*(Inputs!$J$6-Inputs!$I$6)))/(Inputs!$K$6^2)*Inputs!$C$11)))/(SQRT(((Inputs!$I$6+(((A73)+1)/2)*(Inputs!$J$6-Inputs!$I$6)))^2+Inputs!$C$6^2+((Inputs!$H$6+Inputs!$L$6*(((Inputs!$I$6+(((A73)+1)/2)*(Inputs!$J$6-Inputs!$I$6)))/Inputs!$K$6)^2))^2)))))/Inputs!$C$13),NA())</f>
        <v>184.09661657862614</v>
      </c>
      <c r="O73" s="9">
        <f>IF(OR(Inputs!$F$7=TRUE,Inputs!$F$7="TRUE",Inputs!$F$7=1),(-2*((1000*((((Inputs!$I$7+(((A73)+1)/2)*(Inputs!$J$7-Inputs!$I$7)))*Inputs!$C$11+((Inputs!$H$7+Inputs!$L$7*(((Inputs!$I$7+(((A73)+1)/2)*(Inputs!$J$7-Inputs!$I$7)))/Inputs!$K$7)^2))*((2*Inputs!$L$7*((Inputs!$I$7+(((A73)+1)/2)*(Inputs!$J$7-Inputs!$I$7)))/(Inputs!$K$7^2)*Inputs!$C$11)))/(SQRT(((Inputs!$I$7+(((A73)+1)/2)*(Inputs!$J$7-Inputs!$I$7)))^2+Inputs!$C$6^2+((Inputs!$H$7+Inputs!$L$7*(((Inputs!$I$7+(((A73)+1)/2)*(Inputs!$J$7-Inputs!$I$7)))/Inputs!$K$7)^2))^2)))))/Inputs!$C$13),NA())</f>
        <v>1965.8171483253632</v>
      </c>
      <c r="P73" s="9">
        <f>IF(OR(Inputs!$F$8=TRUE,Inputs!$F$8="TRUE",Inputs!$F$8=1),(-2*((1000*((((Inputs!$I$8+(((A73)+1)/2)*(Inputs!$J$8-Inputs!$I$8)))*Inputs!$C$11+((Inputs!$H$8+Inputs!$L$8*(((Inputs!$I$8+(((A73)+1)/2)*(Inputs!$J$8-Inputs!$I$8)))/Inputs!$K$8)^2))*((2*Inputs!$L$8*((Inputs!$I$8+(((A73)+1)/2)*(Inputs!$J$8-Inputs!$I$8)))/(Inputs!$K$8^2)*Inputs!$C$11)))/(SQRT(((Inputs!$I$8+(((A73)+1)/2)*(Inputs!$J$8-Inputs!$I$8)))^2+Inputs!$C$6^2+((Inputs!$H$8+Inputs!$L$8*(((Inputs!$I$8+(((A73)+1)/2)*(Inputs!$J$8-Inputs!$I$8)))/Inputs!$K$8)^2))^2)))))/Inputs!$C$13),NA())</f>
        <v>2177.3236793960596</v>
      </c>
      <c r="Q73" s="9">
        <f>IF(OR(Inputs!$F$9=TRUE,Inputs!$F$9="TRUE",Inputs!$F$9=1),(-2*((1000*((((Inputs!$I$9+(((A73)+1)/2)*(Inputs!$J$9-Inputs!$I$9)))*Inputs!$C$11+((Inputs!$H$9+Inputs!$L$9*(((Inputs!$I$9+(((A73)+1)/2)*(Inputs!$J$9-Inputs!$I$9)))/Inputs!$K$9)^2))*((2*Inputs!$L$9*((Inputs!$I$9+(((A73)+1)/2)*(Inputs!$J$9-Inputs!$I$9)))/(Inputs!$K$9^2)*Inputs!$C$11)))/(SQRT(((Inputs!$I$9+(((A73)+1)/2)*(Inputs!$J$9-Inputs!$I$9)))^2+Inputs!$C$6^2+((Inputs!$H$9+Inputs!$L$9*(((Inputs!$I$9+(((A73)+1)/2)*(Inputs!$J$9-Inputs!$I$9)))/Inputs!$K$9)^2))^2)))))/Inputs!$C$13),NA())</f>
        <v>2174.9164407933777</v>
      </c>
      <c r="R73" s="10"/>
      <c r="S73" s="9">
        <f t="shared" si="8"/>
        <v>-0.40799999999999997</v>
      </c>
      <c r="T73" s="9">
        <f>(Inputs!$I$6+(((A73)+1)/2)*(Inputs!$J$6-Inputs!$I$6))</f>
        <v>-24.479999999999997</v>
      </c>
      <c r="U73" s="9">
        <f>(Inputs!$I$7+(((A73)+1)/2)*(Inputs!$J$7-Inputs!$I$7))</f>
        <v>-163.19999999999996</v>
      </c>
      <c r="V73" s="9">
        <f>(Inputs!$I$8+(((A73)+1)/2)*(Inputs!$J$8-Inputs!$I$8))</f>
        <v>-326.39999999999992</v>
      </c>
      <c r="W73" s="9">
        <f>(Inputs!$I$9+(((A73)+1)/2)*(Inputs!$J$9-Inputs!$I$9))</f>
        <v>-326.39999999999992</v>
      </c>
      <c r="X73" s="10"/>
      <c r="Y73" s="9">
        <f t="shared" si="9"/>
        <v>-0.40799999999999997</v>
      </c>
      <c r="Z73" s="9">
        <f>(Inputs!$H$6+Inputs!$L$6*(((Inputs!$I$6+(((A73)+1)/2)*(Inputs!$J$6-Inputs!$I$6)))/Inputs!$K$6)^2)</f>
        <v>400.66585600000002</v>
      </c>
      <c r="AA73" s="9">
        <f>(Inputs!$H$7+Inputs!$L$7*(((Inputs!$I$7+(((A73)+1)/2)*(Inputs!$J$7-Inputs!$I$7)))/Inputs!$K$7)^2)</f>
        <v>95.759359999999987</v>
      </c>
      <c r="AB73" s="9">
        <f>(Inputs!$H$8+Inputs!$L$8*(((Inputs!$I$8+(((A73)+1)/2)*(Inputs!$J$8-Inputs!$I$8)))/Inputs!$K$8)^2)</f>
        <v>195.63775999999996</v>
      </c>
      <c r="AC73" s="9">
        <f>(Inputs!$H$9+Inputs!$L$9*(((Inputs!$I$9+(((A73)+1)/2)*(Inputs!$J$9-Inputs!$I$9)))/Inputs!$K$9)^2)</f>
        <v>187.30239999999995</v>
      </c>
      <c r="AD73" s="10"/>
      <c r="AE73" s="9">
        <f t="shared" si="10"/>
        <v>-0.40799999999999997</v>
      </c>
      <c r="AF73" s="9">
        <f>(((SQRT(((Inputs!$I$6+(((A73)+1)/2)*(Inputs!$J$6-Inputs!$I$6)))^2+Inputs!$C$6^2+((Inputs!$H$6+Inputs!$L$6*(((Inputs!$I$6+(((A73)+1)/2)*(Inputs!$J$6-Inputs!$I$6)))/Inputs!$K$6)^2))^2))-((Inputs!$H$6+Inputs!$L$6*(((Inputs!$I$6+(((A73)+1)/2)*(Inputs!$J$6-Inputs!$I$6)))/Inputs!$K$6)^2)))*1000/Inputs!$C$12)</f>
        <v>856.68144882314596</v>
      </c>
      <c r="AG73" s="9">
        <f>(((SQRT(((Inputs!$I$7+(((A73)+1)/2)*(Inputs!$J$7-Inputs!$I$7)))^2+Inputs!$C$6^2+((Inputs!$H$7+Inputs!$L$7*(((Inputs!$I$7+(((A73)+1)/2)*(Inputs!$J$7-Inputs!$I$7)))/Inputs!$K$7)^2))^2))-((Inputs!$H$7+Inputs!$L$7*(((Inputs!$I$7+(((A73)+1)/2)*(Inputs!$J$7-Inputs!$I$7)))/Inputs!$K$7)^2)))*1000/Inputs!$C$12)</f>
        <v>53429.615024316394</v>
      </c>
      <c r="AH73" s="9">
        <f>(((SQRT(((Inputs!$I$8+(((A73)+1)/2)*(Inputs!$J$8-Inputs!$I$8)))^2+Inputs!$C$6^2+((Inputs!$H$8+Inputs!$L$8*(((Inputs!$I$8+(((A73)+1)/2)*(Inputs!$J$8-Inputs!$I$8)))/Inputs!$K$8)^2))^2))-((Inputs!$H$8+Inputs!$L$8*(((Inputs!$I$8+(((A73)+1)/2)*(Inputs!$J$8-Inputs!$I$8)))/Inputs!$K$8)^2)))*1000/Inputs!$C$12)</f>
        <v>104338.81108969086</v>
      </c>
      <c r="AI73" s="9">
        <f>(((SQRT(((Inputs!$I$9+(((A73)+1)/2)*(Inputs!$J$9-Inputs!$I$9)))^2+Inputs!$C$6^2+((Inputs!$H$9+Inputs!$L$9*(((Inputs!$I$9+(((A73)+1)/2)*(Inputs!$J$9-Inputs!$I$9)))/Inputs!$K$9)^2))^2))-((Inputs!$H$9+Inputs!$L$9*(((Inputs!$I$9+(((A73)+1)/2)*(Inputs!$J$9-Inputs!$I$9)))/Inputs!$K$9)^2)))*1000/Inputs!$C$12)</f>
        <v>106657.46440895561</v>
      </c>
      <c r="AJ73" s="10"/>
      <c r="AK73" s="9">
        <f t="shared" si="11"/>
        <v>-0.40799999999999997</v>
      </c>
      <c r="AL73" s="9">
        <f>(-2*((1000*((((Inputs!$I$6+(((A73)+1)/2)*(Inputs!$J$6-Inputs!$I$6)))*Inputs!$C$11+((Inputs!$H$6+Inputs!$L$6*(((Inputs!$I$6+(((A73)+1)/2)*(Inputs!$J$6-Inputs!$I$6)))/Inputs!$K$6)^2))*((2*Inputs!$L$6*((Inputs!$I$6+(((A73)+1)/2)*(Inputs!$J$6-Inputs!$I$6)))/(Inputs!$K$6^2)*Inputs!$C$11)))/(SQRT(((Inputs!$I$6+(((A73)+1)/2)*(Inputs!$J$6-Inputs!$I$6)))^2+Inputs!$C$6^2+((Inputs!$H$6+Inputs!$L$6*(((Inputs!$I$6+(((A73)+1)/2)*(Inputs!$J$6-Inputs!$I$6)))/Inputs!$K$6)^2))^2)))))/Inputs!$C$13)</f>
        <v>184.09661657862614</v>
      </c>
      <c r="AM73" s="9">
        <f>(-2*((1000*((((Inputs!$I$7+(((A73)+1)/2)*(Inputs!$J$7-Inputs!$I$7)))*Inputs!$C$11+((Inputs!$H$7+Inputs!$L$7*(((Inputs!$I$7+(((A73)+1)/2)*(Inputs!$J$7-Inputs!$I$7)))/Inputs!$K$7)^2))*((2*Inputs!$L$7*((Inputs!$I$7+(((A73)+1)/2)*(Inputs!$J$7-Inputs!$I$7)))/(Inputs!$K$7^2)*Inputs!$C$11)))/(SQRT(((Inputs!$I$7+(((A73)+1)/2)*(Inputs!$J$7-Inputs!$I$7)))^2+Inputs!$C$6^2+((Inputs!$H$7+Inputs!$L$7*(((Inputs!$I$7+(((A73)+1)/2)*(Inputs!$J$7-Inputs!$I$7)))/Inputs!$K$7)^2))^2)))))/Inputs!$C$13)</f>
        <v>1965.8171483253632</v>
      </c>
      <c r="AN73" s="9">
        <f>(-2*((1000*((((Inputs!$I$8+(((A73)+1)/2)*(Inputs!$J$8-Inputs!$I$8)))*Inputs!$C$11+((Inputs!$H$8+Inputs!$L$8*(((Inputs!$I$8+(((A73)+1)/2)*(Inputs!$J$8-Inputs!$I$8)))/Inputs!$K$8)^2))*((2*Inputs!$L$8*((Inputs!$I$8+(((A73)+1)/2)*(Inputs!$J$8-Inputs!$I$8)))/(Inputs!$K$8^2)*Inputs!$C$11)))/(SQRT(((Inputs!$I$8+(((A73)+1)/2)*(Inputs!$J$8-Inputs!$I$8)))^2+Inputs!$C$6^2+((Inputs!$H$8+Inputs!$L$8*(((Inputs!$I$8+(((A73)+1)/2)*(Inputs!$J$8-Inputs!$I$8)))/Inputs!$K$8)^2))^2)))))/Inputs!$C$13)</f>
        <v>2177.3236793960596</v>
      </c>
      <c r="AO73" s="9">
        <f>(-2*((1000*((((Inputs!$I$9+(((A73)+1)/2)*(Inputs!$J$9-Inputs!$I$9)))*Inputs!$C$11+((Inputs!$H$9+Inputs!$L$9*(((Inputs!$I$9+(((A73)+1)/2)*(Inputs!$J$9-Inputs!$I$9)))/Inputs!$K$9)^2))*((2*Inputs!$L$9*((Inputs!$I$9+(((A73)+1)/2)*(Inputs!$J$9-Inputs!$I$9)))/(Inputs!$K$9^2)*Inputs!$C$11)))/(SQRT(((Inputs!$I$9+(((A73)+1)/2)*(Inputs!$J$9-Inputs!$I$9)))^2+Inputs!$C$6^2+((Inputs!$H$9+Inputs!$L$9*(((Inputs!$I$9+(((A73)+1)/2)*(Inputs!$J$9-Inputs!$I$9)))/Inputs!$K$9)^2))^2)))))/Inputs!$C$13)</f>
        <v>2174.9164407933777</v>
      </c>
    </row>
    <row r="74" spans="1:41">
      <c r="A74" s="9">
        <f>ROUND(-1+72*2/240,3)</f>
        <v>-0.4</v>
      </c>
      <c r="B74" s="9">
        <f>IF(OR(Inputs!$F$6=TRUE,Inputs!$F$6="TRUE",Inputs!$F$6=1),(Inputs!$H$6+Inputs!$L$6*(((Inputs!$I$6+(((A74)+1)/2)*(Inputs!$J$6-Inputs!$I$6)))/Inputs!$K$6)^2),NA())</f>
        <v>400.64</v>
      </c>
      <c r="C74" s="9">
        <f>IF(OR(Inputs!$F$7=TRUE,Inputs!$F$7="TRUE",Inputs!$F$7=1),(Inputs!$H$7+Inputs!$L$7*(((Inputs!$I$7+(((A74)+1)/2)*(Inputs!$J$7-Inputs!$I$7)))/Inputs!$K$7)^2),NA())</f>
        <v>93.4</v>
      </c>
      <c r="D74" s="9">
        <f>IF(OR(Inputs!$F$8=TRUE,Inputs!$F$8="TRUE",Inputs!$F$8=1),(Inputs!$H$8+Inputs!$L$8*(((Inputs!$I$8+(((A74)+1)/2)*(Inputs!$J$8-Inputs!$I$8)))/Inputs!$K$8)^2),NA())</f>
        <v>189.40000000000003</v>
      </c>
      <c r="E74" s="9">
        <f>IF(OR(Inputs!$F$9=TRUE,Inputs!$F$9="TRUE",Inputs!$F$9=1),(Inputs!$H$9+Inputs!$L$9*(((Inputs!$I$9+(((A74)+1)/2)*(Inputs!$J$9-Inputs!$I$9)))/Inputs!$K$9)^2),NA())</f>
        <v>181.00000000000003</v>
      </c>
      <c r="F74" s="10"/>
      <c r="G74" s="9">
        <f t="shared" si="6"/>
        <v>-0.4</v>
      </c>
      <c r="H74" s="9">
        <f>IF(OR(Inputs!$F$6=TRUE,Inputs!$F$6="TRUE",Inputs!$F$6=1),(((SQRT(((Inputs!$I$6+(((A74)+1)/2)*(Inputs!$J$6-Inputs!$I$6)))^2+Inputs!$C$6^2+((Inputs!$H$6+Inputs!$L$6*(((Inputs!$I$6+(((A74)+1)/2)*(Inputs!$J$6-Inputs!$I$6)))/Inputs!$K$6)^2))^2))-((Inputs!$H$6+Inputs!$L$6*(((Inputs!$I$6+(((A74)+1)/2)*(Inputs!$J$6-Inputs!$I$6)))/Inputs!$K$6)^2)))*1000/Inputs!$C$12),NA())</f>
        <v>840.48234114978698</v>
      </c>
      <c r="I74" s="9">
        <f>IF(OR(Inputs!$F$7=TRUE,Inputs!$F$7="TRUE",Inputs!$F$7=1),(((SQRT(((Inputs!$I$7+(((A74)+1)/2)*(Inputs!$J$7-Inputs!$I$7)))^2+Inputs!$C$6^2+((Inputs!$H$7+Inputs!$L$7*(((Inputs!$I$7+(((A74)+1)/2)*(Inputs!$J$7-Inputs!$I$7)))/Inputs!$K$7)^2))^2))-((Inputs!$H$7+Inputs!$L$7*(((Inputs!$I$7+(((A74)+1)/2)*(Inputs!$J$7-Inputs!$I$7)))/Inputs!$K$7)^2)))*1000/Inputs!$C$12),NA())</f>
        <v>52553.561575799453</v>
      </c>
      <c r="J74" s="9">
        <f>IF(OR(Inputs!$F$8=TRUE,Inputs!$F$8="TRUE",Inputs!$F$8=1),(((SQRT(((Inputs!$I$8+(((A74)+1)/2)*(Inputs!$J$8-Inputs!$I$8)))^2+Inputs!$C$6^2+((Inputs!$H$8+Inputs!$L$8*(((Inputs!$I$8+(((A74)+1)/2)*(Inputs!$J$8-Inputs!$I$8)))/Inputs!$K$8)^2))^2))-((Inputs!$H$8+Inputs!$L$8*(((Inputs!$I$8+(((A74)+1)/2)*(Inputs!$J$8-Inputs!$I$8)))/Inputs!$K$8)^2)))*1000/Inputs!$C$12),NA())</f>
        <v>102971.5512723862</v>
      </c>
      <c r="K74" s="9">
        <f>IF(OR(Inputs!$F$9=TRUE,Inputs!$F$9="TRUE",Inputs!$F$9=1),(((SQRT(((Inputs!$I$9+(((A74)+1)/2)*(Inputs!$J$9-Inputs!$I$9)))^2+Inputs!$C$6^2+((Inputs!$H$9+Inputs!$L$9*(((Inputs!$I$9+(((A74)+1)/2)*(Inputs!$J$9-Inputs!$I$9)))/Inputs!$K$9)^2))^2))-((Inputs!$H$9+Inputs!$L$9*(((Inputs!$I$9+(((A74)+1)/2)*(Inputs!$J$9-Inputs!$I$9)))/Inputs!$K$9)^2)))*1000/Inputs!$C$12),NA())</f>
        <v>105332.31436897411</v>
      </c>
      <c r="L74" s="10"/>
      <c r="M74" s="9">
        <f t="shared" si="7"/>
        <v>-0.4</v>
      </c>
      <c r="N74" s="9">
        <f>IF(OR(Inputs!$F$6=TRUE,Inputs!$F$6="TRUE",Inputs!$F$6=1),(-2*((1000*((((Inputs!$I$6+(((A74)+1)/2)*(Inputs!$J$6-Inputs!$I$6)))*Inputs!$C$11+((Inputs!$H$6+Inputs!$L$6*(((Inputs!$I$6+(((A74)+1)/2)*(Inputs!$J$6-Inputs!$I$6)))/Inputs!$K$6)^2))*((2*Inputs!$L$6*((Inputs!$I$6+(((A74)+1)/2)*(Inputs!$J$6-Inputs!$I$6)))/(Inputs!$K$6^2)*Inputs!$C$11)))/(SQRT(((Inputs!$I$6+(((A74)+1)/2)*(Inputs!$J$6-Inputs!$I$6)))^2+Inputs!$C$6^2+((Inputs!$H$6+Inputs!$L$6*(((Inputs!$I$6+(((A74)+1)/2)*(Inputs!$J$6-Inputs!$I$6)))/Inputs!$K$6)^2))^2)))))/Inputs!$C$13),NA())</f>
        <v>180.50593852560044</v>
      </c>
      <c r="O74" s="9">
        <f>IF(OR(Inputs!$F$7=TRUE,Inputs!$F$7="TRUE",Inputs!$F$7=1),(-2*((1000*((((Inputs!$I$7+(((A74)+1)/2)*(Inputs!$J$7-Inputs!$I$7)))*Inputs!$C$11+((Inputs!$H$7+Inputs!$L$7*(((Inputs!$I$7+(((A74)+1)/2)*(Inputs!$J$7-Inputs!$I$7)))/Inputs!$K$7)^2))*((2*Inputs!$L$7*((Inputs!$I$7+(((A74)+1)/2)*(Inputs!$J$7-Inputs!$I$7)))/(Inputs!$K$7^2)*Inputs!$C$11)))/(SQRT(((Inputs!$I$7+(((A74)+1)/2)*(Inputs!$J$7-Inputs!$I$7)))^2+Inputs!$C$6^2+((Inputs!$H$7+Inputs!$L$7*(((Inputs!$I$7+(((A74)+1)/2)*(Inputs!$J$7-Inputs!$I$7)))/Inputs!$K$7)^2))^2)))))/Inputs!$C$13),NA())</f>
        <v>1952.9302028686984</v>
      </c>
      <c r="P74" s="9">
        <f>IF(OR(Inputs!$F$8=TRUE,Inputs!$F$8="TRUE",Inputs!$F$8=1),(-2*((1000*((((Inputs!$I$8+(((A74)+1)/2)*(Inputs!$J$8-Inputs!$I$8)))*Inputs!$C$11+((Inputs!$H$8+Inputs!$L$8*(((Inputs!$I$8+(((A74)+1)/2)*(Inputs!$J$8-Inputs!$I$8)))/Inputs!$K$8)^2))*((2*Inputs!$L$8*((Inputs!$I$8+(((A74)+1)/2)*(Inputs!$J$8-Inputs!$I$8)))/(Inputs!$K$8^2)*Inputs!$C$11)))/(SQRT(((Inputs!$I$8+(((A74)+1)/2)*(Inputs!$J$8-Inputs!$I$8)))^2+Inputs!$C$6^2+((Inputs!$H$8+Inputs!$L$8*(((Inputs!$I$8+(((A74)+1)/2)*(Inputs!$J$8-Inputs!$I$8)))/Inputs!$K$8)^2))^2)))))/Inputs!$C$13),NA())</f>
        <v>2158.456032310346</v>
      </c>
      <c r="Q74" s="9">
        <f>IF(OR(Inputs!$F$9=TRUE,Inputs!$F$9="TRUE",Inputs!$F$9=1),(-2*((1000*((((Inputs!$I$9+(((A74)+1)/2)*(Inputs!$J$9-Inputs!$I$9)))*Inputs!$C$11+((Inputs!$H$9+Inputs!$L$9*(((Inputs!$I$9+(((A74)+1)/2)*(Inputs!$J$9-Inputs!$I$9)))/Inputs!$K$9)^2))*((2*Inputs!$L$9*((Inputs!$I$9+(((A74)+1)/2)*(Inputs!$J$9-Inputs!$I$9)))/(Inputs!$K$9^2)*Inputs!$C$11)))/(SQRT(((Inputs!$I$9+(((A74)+1)/2)*(Inputs!$J$9-Inputs!$I$9)))^2+Inputs!$C$6^2+((Inputs!$H$9+Inputs!$L$9*(((Inputs!$I$9+(((A74)+1)/2)*(Inputs!$J$9-Inputs!$I$9)))/Inputs!$K$9)^2))^2)))))/Inputs!$C$13),NA())</f>
        <v>2155.7076833473716</v>
      </c>
      <c r="R74" s="10"/>
      <c r="S74" s="9">
        <f t="shared" si="8"/>
        <v>-0.4</v>
      </c>
      <c r="T74" s="9">
        <f>(Inputs!$I$6+(((A74)+1)/2)*(Inputs!$J$6-Inputs!$I$6))</f>
        <v>-24</v>
      </c>
      <c r="U74" s="9">
        <f>(Inputs!$I$7+(((A74)+1)/2)*(Inputs!$J$7-Inputs!$I$7))</f>
        <v>-160</v>
      </c>
      <c r="V74" s="9">
        <f>(Inputs!$I$8+(((A74)+1)/2)*(Inputs!$J$8-Inputs!$I$8))</f>
        <v>-320</v>
      </c>
      <c r="W74" s="9">
        <f>(Inputs!$I$9+(((A74)+1)/2)*(Inputs!$J$9-Inputs!$I$9))</f>
        <v>-320</v>
      </c>
      <c r="X74" s="10"/>
      <c r="Y74" s="9">
        <f t="shared" si="9"/>
        <v>-0.4</v>
      </c>
      <c r="Z74" s="9">
        <f>(Inputs!$H$6+Inputs!$L$6*(((Inputs!$I$6+(((A74)+1)/2)*(Inputs!$J$6-Inputs!$I$6)))/Inputs!$K$6)^2)</f>
        <v>400.64</v>
      </c>
      <c r="AA74" s="9">
        <f>(Inputs!$H$7+Inputs!$L$7*(((Inputs!$I$7+(((A74)+1)/2)*(Inputs!$J$7-Inputs!$I$7)))/Inputs!$K$7)^2)</f>
        <v>93.4</v>
      </c>
      <c r="AB74" s="9">
        <f>(Inputs!$H$8+Inputs!$L$8*(((Inputs!$I$8+(((A74)+1)/2)*(Inputs!$J$8-Inputs!$I$8)))/Inputs!$K$8)^2)</f>
        <v>189.40000000000003</v>
      </c>
      <c r="AC74" s="9">
        <f>(Inputs!$H$9+Inputs!$L$9*(((Inputs!$I$9+(((A74)+1)/2)*(Inputs!$J$9-Inputs!$I$9)))/Inputs!$K$9)^2)</f>
        <v>181.00000000000003</v>
      </c>
      <c r="AD74" s="10"/>
      <c r="AE74" s="9">
        <f t="shared" si="10"/>
        <v>-0.4</v>
      </c>
      <c r="AF74" s="9">
        <f>(((SQRT(((Inputs!$I$6+(((A74)+1)/2)*(Inputs!$J$6-Inputs!$I$6)))^2+Inputs!$C$6^2+((Inputs!$H$6+Inputs!$L$6*(((Inputs!$I$6+(((A74)+1)/2)*(Inputs!$J$6-Inputs!$I$6)))/Inputs!$K$6)^2))^2))-((Inputs!$H$6+Inputs!$L$6*(((Inputs!$I$6+(((A74)+1)/2)*(Inputs!$J$6-Inputs!$I$6)))/Inputs!$K$6)^2)))*1000/Inputs!$C$12)</f>
        <v>840.48234114978698</v>
      </c>
      <c r="AG74" s="9">
        <f>(((SQRT(((Inputs!$I$7+(((A74)+1)/2)*(Inputs!$J$7-Inputs!$I$7)))^2+Inputs!$C$6^2+((Inputs!$H$7+Inputs!$L$7*(((Inputs!$I$7+(((A74)+1)/2)*(Inputs!$J$7-Inputs!$I$7)))/Inputs!$K$7)^2))^2))-((Inputs!$H$7+Inputs!$L$7*(((Inputs!$I$7+(((A74)+1)/2)*(Inputs!$J$7-Inputs!$I$7)))/Inputs!$K$7)^2)))*1000/Inputs!$C$12)</f>
        <v>52553.561575799453</v>
      </c>
      <c r="AH74" s="9">
        <f>(((SQRT(((Inputs!$I$8+(((A74)+1)/2)*(Inputs!$J$8-Inputs!$I$8)))^2+Inputs!$C$6^2+((Inputs!$H$8+Inputs!$L$8*(((Inputs!$I$8+(((A74)+1)/2)*(Inputs!$J$8-Inputs!$I$8)))/Inputs!$K$8)^2))^2))-((Inputs!$H$8+Inputs!$L$8*(((Inputs!$I$8+(((A74)+1)/2)*(Inputs!$J$8-Inputs!$I$8)))/Inputs!$K$8)^2)))*1000/Inputs!$C$12)</f>
        <v>102971.5512723862</v>
      </c>
      <c r="AI74" s="9">
        <f>(((SQRT(((Inputs!$I$9+(((A74)+1)/2)*(Inputs!$J$9-Inputs!$I$9)))^2+Inputs!$C$6^2+((Inputs!$H$9+Inputs!$L$9*(((Inputs!$I$9+(((A74)+1)/2)*(Inputs!$J$9-Inputs!$I$9)))/Inputs!$K$9)^2))^2))-((Inputs!$H$9+Inputs!$L$9*(((Inputs!$I$9+(((A74)+1)/2)*(Inputs!$J$9-Inputs!$I$9)))/Inputs!$K$9)^2)))*1000/Inputs!$C$12)</f>
        <v>105332.31436897411</v>
      </c>
      <c r="AJ74" s="10"/>
      <c r="AK74" s="9">
        <f t="shared" si="11"/>
        <v>-0.4</v>
      </c>
      <c r="AL74" s="9">
        <f>(-2*((1000*((((Inputs!$I$6+(((A74)+1)/2)*(Inputs!$J$6-Inputs!$I$6)))*Inputs!$C$11+((Inputs!$H$6+Inputs!$L$6*(((Inputs!$I$6+(((A74)+1)/2)*(Inputs!$J$6-Inputs!$I$6)))/Inputs!$K$6)^2))*((2*Inputs!$L$6*((Inputs!$I$6+(((A74)+1)/2)*(Inputs!$J$6-Inputs!$I$6)))/(Inputs!$K$6^2)*Inputs!$C$11)))/(SQRT(((Inputs!$I$6+(((A74)+1)/2)*(Inputs!$J$6-Inputs!$I$6)))^2+Inputs!$C$6^2+((Inputs!$H$6+Inputs!$L$6*(((Inputs!$I$6+(((A74)+1)/2)*(Inputs!$J$6-Inputs!$I$6)))/Inputs!$K$6)^2))^2)))))/Inputs!$C$13)</f>
        <v>180.50593852560044</v>
      </c>
      <c r="AM74" s="9">
        <f>(-2*((1000*((((Inputs!$I$7+(((A74)+1)/2)*(Inputs!$J$7-Inputs!$I$7)))*Inputs!$C$11+((Inputs!$H$7+Inputs!$L$7*(((Inputs!$I$7+(((A74)+1)/2)*(Inputs!$J$7-Inputs!$I$7)))/Inputs!$K$7)^2))*((2*Inputs!$L$7*((Inputs!$I$7+(((A74)+1)/2)*(Inputs!$J$7-Inputs!$I$7)))/(Inputs!$K$7^2)*Inputs!$C$11)))/(SQRT(((Inputs!$I$7+(((A74)+1)/2)*(Inputs!$J$7-Inputs!$I$7)))^2+Inputs!$C$6^2+((Inputs!$H$7+Inputs!$L$7*(((Inputs!$I$7+(((A74)+1)/2)*(Inputs!$J$7-Inputs!$I$7)))/Inputs!$K$7)^2))^2)))))/Inputs!$C$13)</f>
        <v>1952.9302028686984</v>
      </c>
      <c r="AN74" s="9">
        <f>(-2*((1000*((((Inputs!$I$8+(((A74)+1)/2)*(Inputs!$J$8-Inputs!$I$8)))*Inputs!$C$11+((Inputs!$H$8+Inputs!$L$8*(((Inputs!$I$8+(((A74)+1)/2)*(Inputs!$J$8-Inputs!$I$8)))/Inputs!$K$8)^2))*((2*Inputs!$L$8*((Inputs!$I$8+(((A74)+1)/2)*(Inputs!$J$8-Inputs!$I$8)))/(Inputs!$K$8^2)*Inputs!$C$11)))/(SQRT(((Inputs!$I$8+(((A74)+1)/2)*(Inputs!$J$8-Inputs!$I$8)))^2+Inputs!$C$6^2+((Inputs!$H$8+Inputs!$L$8*(((Inputs!$I$8+(((A74)+1)/2)*(Inputs!$J$8-Inputs!$I$8)))/Inputs!$K$8)^2))^2)))))/Inputs!$C$13)</f>
        <v>2158.456032310346</v>
      </c>
      <c r="AO74" s="9">
        <f>(-2*((1000*((((Inputs!$I$9+(((A74)+1)/2)*(Inputs!$J$9-Inputs!$I$9)))*Inputs!$C$11+((Inputs!$H$9+Inputs!$L$9*(((Inputs!$I$9+(((A74)+1)/2)*(Inputs!$J$9-Inputs!$I$9)))/Inputs!$K$9)^2))*((2*Inputs!$L$9*((Inputs!$I$9+(((A74)+1)/2)*(Inputs!$J$9-Inputs!$I$9)))/(Inputs!$K$9^2)*Inputs!$C$11)))/(SQRT(((Inputs!$I$9+(((A74)+1)/2)*(Inputs!$J$9-Inputs!$I$9)))^2+Inputs!$C$6^2+((Inputs!$H$9+Inputs!$L$9*(((Inputs!$I$9+(((A74)+1)/2)*(Inputs!$J$9-Inputs!$I$9)))/Inputs!$K$9)^2))^2)))))/Inputs!$C$13)</f>
        <v>2155.7076833473716</v>
      </c>
    </row>
    <row r="75" spans="1:41">
      <c r="A75" s="9">
        <f>ROUND(-1+73*2/240,3)</f>
        <v>-0.39200000000000002</v>
      </c>
      <c r="B75" s="9">
        <f>IF(OR(Inputs!$F$6=TRUE,Inputs!$F$6="TRUE",Inputs!$F$6=1),(Inputs!$H$6+Inputs!$L$6*(((Inputs!$I$6+(((A75)+1)/2)*(Inputs!$J$6-Inputs!$I$6)))/Inputs!$K$6)^2),NA())</f>
        <v>400.61465600000002</v>
      </c>
      <c r="C75" s="9">
        <f>IF(OR(Inputs!$F$7=TRUE,Inputs!$F$7="TRUE",Inputs!$F$7=1),(Inputs!$H$7+Inputs!$L$7*(((Inputs!$I$7+(((A75)+1)/2)*(Inputs!$J$7-Inputs!$I$7)))/Inputs!$K$7)^2),NA())</f>
        <v>91.087360000000018</v>
      </c>
      <c r="D75" s="9">
        <f>IF(OR(Inputs!$F$8=TRUE,Inputs!$F$8="TRUE",Inputs!$F$8=1),(Inputs!$H$8+Inputs!$L$8*(((Inputs!$I$8+(((A75)+1)/2)*(Inputs!$J$8-Inputs!$I$8)))/Inputs!$K$8)^2),NA())</f>
        <v>183.28576000000001</v>
      </c>
      <c r="E75" s="9">
        <f>IF(OR(Inputs!$F$9=TRUE,Inputs!$F$9="TRUE",Inputs!$F$9=1),(Inputs!$H$9+Inputs!$L$9*(((Inputs!$I$9+(((A75)+1)/2)*(Inputs!$J$9-Inputs!$I$9)))/Inputs!$K$9)^2),NA())</f>
        <v>174.82240000000002</v>
      </c>
      <c r="F75" s="10"/>
      <c r="G75" s="9">
        <f t="shared" si="6"/>
        <v>-0.39200000000000002</v>
      </c>
      <c r="H75" s="9">
        <f>IF(OR(Inputs!$F$6=TRUE,Inputs!$F$6="TRUE",Inputs!$F$6=1),(((SQRT(((Inputs!$I$6+(((A75)+1)/2)*(Inputs!$J$6-Inputs!$I$6)))^2+Inputs!$C$6^2+((Inputs!$H$6+Inputs!$L$6*(((Inputs!$I$6+(((A75)+1)/2)*(Inputs!$J$6-Inputs!$I$6)))/Inputs!$K$6)^2))^2))-((Inputs!$H$6+Inputs!$L$6*(((Inputs!$I$6+(((A75)+1)/2)*(Inputs!$J$6-Inputs!$I$6)))/Inputs!$K$6)^2)))*1000/Inputs!$C$12),NA())</f>
        <v>824.60085858154378</v>
      </c>
      <c r="I75" s="9">
        <f>IF(OR(Inputs!$F$7=TRUE,Inputs!$F$7="TRUE",Inputs!$F$7=1),(((SQRT(((Inputs!$I$7+(((A75)+1)/2)*(Inputs!$J$7-Inputs!$I$7)))^2+Inputs!$C$6^2+((Inputs!$H$7+Inputs!$L$7*(((Inputs!$I$7+(((A75)+1)/2)*(Inputs!$J$7-Inputs!$I$7)))/Inputs!$K$7)^2))^2))-((Inputs!$H$7+Inputs!$L$7*(((Inputs!$I$7+(((A75)+1)/2)*(Inputs!$J$7-Inputs!$I$7)))/Inputs!$K$7)^2)))*1000/Inputs!$C$12),NA())</f>
        <v>51665.700644274562</v>
      </c>
      <c r="J75" s="9">
        <f>IF(OR(Inputs!$F$8=TRUE,Inputs!$F$8="TRUE",Inputs!$F$8=1),(((SQRT(((Inputs!$I$8+(((A75)+1)/2)*(Inputs!$J$8-Inputs!$I$8)))^2+Inputs!$C$6^2+((Inputs!$H$8+Inputs!$L$8*(((Inputs!$I$8+(((A75)+1)/2)*(Inputs!$J$8-Inputs!$I$8)))/Inputs!$K$8)^2))^2))-((Inputs!$H$8+Inputs!$L$8*(((Inputs!$I$8+(((A75)+1)/2)*(Inputs!$J$8-Inputs!$I$8)))/Inputs!$K$8)^2)))*1000/Inputs!$C$12),NA())</f>
        <v>101577.03721981258</v>
      </c>
      <c r="K75" s="9">
        <f>IF(OR(Inputs!$F$9=TRUE,Inputs!$F$9="TRUE",Inputs!$F$9=1),(((SQRT(((Inputs!$I$9+(((A75)+1)/2)*(Inputs!$J$9-Inputs!$I$9)))^2+Inputs!$C$6^2+((Inputs!$H$9+Inputs!$L$9*(((Inputs!$I$9+(((A75)+1)/2)*(Inputs!$J$9-Inputs!$I$9)))/Inputs!$K$9)^2))^2))-((Inputs!$H$9+Inputs!$L$9*(((Inputs!$I$9+(((A75)+1)/2)*(Inputs!$J$9-Inputs!$I$9)))/Inputs!$K$9)^2)))*1000/Inputs!$C$12),NA())</f>
        <v>103979.94291242861</v>
      </c>
      <c r="L75" s="10"/>
      <c r="M75" s="9">
        <f t="shared" si="7"/>
        <v>-0.39200000000000002</v>
      </c>
      <c r="N75" s="9">
        <f>IF(OR(Inputs!$F$6=TRUE,Inputs!$F$6="TRUE",Inputs!$F$6=1),(-2*((1000*((((Inputs!$I$6+(((A75)+1)/2)*(Inputs!$J$6-Inputs!$I$6)))*Inputs!$C$11+((Inputs!$H$6+Inputs!$L$6*(((Inputs!$I$6+(((A75)+1)/2)*(Inputs!$J$6-Inputs!$I$6)))/Inputs!$K$6)^2))*((2*Inputs!$L$6*((Inputs!$I$6+(((A75)+1)/2)*(Inputs!$J$6-Inputs!$I$6)))/(Inputs!$K$6^2)*Inputs!$C$11)))/(SQRT(((Inputs!$I$6+(((A75)+1)/2)*(Inputs!$J$6-Inputs!$I$6)))^2+Inputs!$C$6^2+((Inputs!$H$6+Inputs!$L$6*(((Inputs!$I$6+(((A75)+1)/2)*(Inputs!$J$6-Inputs!$I$6)))/Inputs!$K$6)^2))^2)))))/Inputs!$C$13),NA())</f>
        <v>176.91413562120078</v>
      </c>
      <c r="O75" s="9">
        <f>IF(OR(Inputs!$F$7=TRUE,Inputs!$F$7="TRUE",Inputs!$F$7=1),(-2*((1000*((((Inputs!$I$7+(((A75)+1)/2)*(Inputs!$J$7-Inputs!$I$7)))*Inputs!$C$11+((Inputs!$H$7+Inputs!$L$7*(((Inputs!$I$7+(((A75)+1)/2)*(Inputs!$J$7-Inputs!$I$7)))/Inputs!$K$7)^2))*((2*Inputs!$L$7*((Inputs!$I$7+(((A75)+1)/2)*(Inputs!$J$7-Inputs!$I$7)))/(Inputs!$K$7^2)*Inputs!$C$11)))/(SQRT(((Inputs!$I$7+(((A75)+1)/2)*(Inputs!$J$7-Inputs!$I$7)))^2+Inputs!$C$6^2+((Inputs!$H$7+Inputs!$L$7*(((Inputs!$I$7+(((A75)+1)/2)*(Inputs!$J$7-Inputs!$I$7)))/Inputs!$K$7)^2))^2)))))/Inputs!$C$13),NA())</f>
        <v>1940.1134095817456</v>
      </c>
      <c r="P75" s="9">
        <f>IF(OR(Inputs!$F$8=TRUE,Inputs!$F$8="TRUE",Inputs!$F$8=1),(-2*((1000*((((Inputs!$I$8+(((A75)+1)/2)*(Inputs!$J$8-Inputs!$I$8)))*Inputs!$C$11+((Inputs!$H$8+Inputs!$L$8*(((Inputs!$I$8+(((A75)+1)/2)*(Inputs!$J$8-Inputs!$I$8)))/Inputs!$K$8)^2))*((2*Inputs!$L$8*((Inputs!$I$8+(((A75)+1)/2)*(Inputs!$J$8-Inputs!$I$8)))/(Inputs!$K$8^2)*Inputs!$C$11)))/(SQRT(((Inputs!$I$8+(((A75)+1)/2)*(Inputs!$J$8-Inputs!$I$8)))^2+Inputs!$C$6^2+((Inputs!$H$8+Inputs!$L$8*(((Inputs!$I$8+(((A75)+1)/2)*(Inputs!$J$8-Inputs!$I$8)))/Inputs!$K$8)^2))^2)))))/Inputs!$C$13),NA())</f>
        <v>2139.8203002338669</v>
      </c>
      <c r="Q75" s="9">
        <f>IF(OR(Inputs!$F$9=TRUE,Inputs!$F$9="TRUE",Inputs!$F$9=1),(-2*((1000*((((Inputs!$I$9+(((A75)+1)/2)*(Inputs!$J$9-Inputs!$I$9)))*Inputs!$C$11+((Inputs!$H$9+Inputs!$L$9*(((Inputs!$I$9+(((A75)+1)/2)*(Inputs!$J$9-Inputs!$I$9)))/Inputs!$K$9)^2))*((2*Inputs!$L$9*((Inputs!$I$9+(((A75)+1)/2)*(Inputs!$J$9-Inputs!$I$9)))/(Inputs!$K$9^2)*Inputs!$C$11)))/(SQRT(((Inputs!$I$9+(((A75)+1)/2)*(Inputs!$J$9-Inputs!$I$9)))^2+Inputs!$C$6^2+((Inputs!$H$9+Inputs!$L$9*(((Inputs!$I$9+(((A75)+1)/2)*(Inputs!$J$9-Inputs!$I$9)))/Inputs!$K$9)^2))^2)))))/Inputs!$C$13),NA())</f>
        <v>2136.7440188602095</v>
      </c>
      <c r="R75" s="10"/>
      <c r="S75" s="9">
        <f t="shared" si="8"/>
        <v>-0.39200000000000002</v>
      </c>
      <c r="T75" s="9">
        <f>(Inputs!$I$6+(((A75)+1)/2)*(Inputs!$J$6-Inputs!$I$6))</f>
        <v>-23.520000000000003</v>
      </c>
      <c r="U75" s="9">
        <f>(Inputs!$I$7+(((A75)+1)/2)*(Inputs!$J$7-Inputs!$I$7))</f>
        <v>-156.80000000000001</v>
      </c>
      <c r="V75" s="9">
        <f>(Inputs!$I$8+(((A75)+1)/2)*(Inputs!$J$8-Inputs!$I$8))</f>
        <v>-313.60000000000002</v>
      </c>
      <c r="W75" s="9">
        <f>(Inputs!$I$9+(((A75)+1)/2)*(Inputs!$J$9-Inputs!$I$9))</f>
        <v>-313.60000000000002</v>
      </c>
      <c r="X75" s="10"/>
      <c r="Y75" s="9">
        <f t="shared" si="9"/>
        <v>-0.39200000000000002</v>
      </c>
      <c r="Z75" s="9">
        <f>(Inputs!$H$6+Inputs!$L$6*(((Inputs!$I$6+(((A75)+1)/2)*(Inputs!$J$6-Inputs!$I$6)))/Inputs!$K$6)^2)</f>
        <v>400.61465600000002</v>
      </c>
      <c r="AA75" s="9">
        <f>(Inputs!$H$7+Inputs!$L$7*(((Inputs!$I$7+(((A75)+1)/2)*(Inputs!$J$7-Inputs!$I$7)))/Inputs!$K$7)^2)</f>
        <v>91.087360000000018</v>
      </c>
      <c r="AB75" s="9">
        <f>(Inputs!$H$8+Inputs!$L$8*(((Inputs!$I$8+(((A75)+1)/2)*(Inputs!$J$8-Inputs!$I$8)))/Inputs!$K$8)^2)</f>
        <v>183.28576000000001</v>
      </c>
      <c r="AC75" s="9">
        <f>(Inputs!$H$9+Inputs!$L$9*(((Inputs!$I$9+(((A75)+1)/2)*(Inputs!$J$9-Inputs!$I$9)))/Inputs!$K$9)^2)</f>
        <v>174.82240000000002</v>
      </c>
      <c r="AD75" s="10"/>
      <c r="AE75" s="9">
        <f t="shared" si="10"/>
        <v>-0.39200000000000002</v>
      </c>
      <c r="AF75" s="9">
        <f>(((SQRT(((Inputs!$I$6+(((A75)+1)/2)*(Inputs!$J$6-Inputs!$I$6)))^2+Inputs!$C$6^2+((Inputs!$H$6+Inputs!$L$6*(((Inputs!$I$6+(((A75)+1)/2)*(Inputs!$J$6-Inputs!$I$6)))/Inputs!$K$6)^2))^2))-((Inputs!$H$6+Inputs!$L$6*(((Inputs!$I$6+(((A75)+1)/2)*(Inputs!$J$6-Inputs!$I$6)))/Inputs!$K$6)^2)))*1000/Inputs!$C$12)</f>
        <v>824.60085858154378</v>
      </c>
      <c r="AG75" s="9">
        <f>(((SQRT(((Inputs!$I$7+(((A75)+1)/2)*(Inputs!$J$7-Inputs!$I$7)))^2+Inputs!$C$6^2+((Inputs!$H$7+Inputs!$L$7*(((Inputs!$I$7+(((A75)+1)/2)*(Inputs!$J$7-Inputs!$I$7)))/Inputs!$K$7)^2))^2))-((Inputs!$H$7+Inputs!$L$7*(((Inputs!$I$7+(((A75)+1)/2)*(Inputs!$J$7-Inputs!$I$7)))/Inputs!$K$7)^2)))*1000/Inputs!$C$12)</f>
        <v>51665.700644274562</v>
      </c>
      <c r="AH75" s="9">
        <f>(((SQRT(((Inputs!$I$8+(((A75)+1)/2)*(Inputs!$J$8-Inputs!$I$8)))^2+Inputs!$C$6^2+((Inputs!$H$8+Inputs!$L$8*(((Inputs!$I$8+(((A75)+1)/2)*(Inputs!$J$8-Inputs!$I$8)))/Inputs!$K$8)^2))^2))-((Inputs!$H$8+Inputs!$L$8*(((Inputs!$I$8+(((A75)+1)/2)*(Inputs!$J$8-Inputs!$I$8)))/Inputs!$K$8)^2)))*1000/Inputs!$C$12)</f>
        <v>101577.03721981258</v>
      </c>
      <c r="AI75" s="9">
        <f>(((SQRT(((Inputs!$I$9+(((A75)+1)/2)*(Inputs!$J$9-Inputs!$I$9)))^2+Inputs!$C$6^2+((Inputs!$H$9+Inputs!$L$9*(((Inputs!$I$9+(((A75)+1)/2)*(Inputs!$J$9-Inputs!$I$9)))/Inputs!$K$9)^2))^2))-((Inputs!$H$9+Inputs!$L$9*(((Inputs!$I$9+(((A75)+1)/2)*(Inputs!$J$9-Inputs!$I$9)))/Inputs!$K$9)^2)))*1000/Inputs!$C$12)</f>
        <v>103979.94291242861</v>
      </c>
      <c r="AJ75" s="10"/>
      <c r="AK75" s="9">
        <f t="shared" si="11"/>
        <v>-0.39200000000000002</v>
      </c>
      <c r="AL75" s="9">
        <f>(-2*((1000*((((Inputs!$I$6+(((A75)+1)/2)*(Inputs!$J$6-Inputs!$I$6)))*Inputs!$C$11+((Inputs!$H$6+Inputs!$L$6*(((Inputs!$I$6+(((A75)+1)/2)*(Inputs!$J$6-Inputs!$I$6)))/Inputs!$K$6)^2))*((2*Inputs!$L$6*((Inputs!$I$6+(((A75)+1)/2)*(Inputs!$J$6-Inputs!$I$6)))/(Inputs!$K$6^2)*Inputs!$C$11)))/(SQRT(((Inputs!$I$6+(((A75)+1)/2)*(Inputs!$J$6-Inputs!$I$6)))^2+Inputs!$C$6^2+((Inputs!$H$6+Inputs!$L$6*(((Inputs!$I$6+(((A75)+1)/2)*(Inputs!$J$6-Inputs!$I$6)))/Inputs!$K$6)^2))^2)))))/Inputs!$C$13)</f>
        <v>176.91413562120078</v>
      </c>
      <c r="AM75" s="9">
        <f>(-2*((1000*((((Inputs!$I$7+(((A75)+1)/2)*(Inputs!$J$7-Inputs!$I$7)))*Inputs!$C$11+((Inputs!$H$7+Inputs!$L$7*(((Inputs!$I$7+(((A75)+1)/2)*(Inputs!$J$7-Inputs!$I$7)))/Inputs!$K$7)^2))*((2*Inputs!$L$7*((Inputs!$I$7+(((A75)+1)/2)*(Inputs!$J$7-Inputs!$I$7)))/(Inputs!$K$7^2)*Inputs!$C$11)))/(SQRT(((Inputs!$I$7+(((A75)+1)/2)*(Inputs!$J$7-Inputs!$I$7)))^2+Inputs!$C$6^2+((Inputs!$H$7+Inputs!$L$7*(((Inputs!$I$7+(((A75)+1)/2)*(Inputs!$J$7-Inputs!$I$7)))/Inputs!$K$7)^2))^2)))))/Inputs!$C$13)</f>
        <v>1940.1134095817456</v>
      </c>
      <c r="AN75" s="9">
        <f>(-2*((1000*((((Inputs!$I$8+(((A75)+1)/2)*(Inputs!$J$8-Inputs!$I$8)))*Inputs!$C$11+((Inputs!$H$8+Inputs!$L$8*(((Inputs!$I$8+(((A75)+1)/2)*(Inputs!$J$8-Inputs!$I$8)))/Inputs!$K$8)^2))*((2*Inputs!$L$8*((Inputs!$I$8+(((A75)+1)/2)*(Inputs!$J$8-Inputs!$I$8)))/(Inputs!$K$8^2)*Inputs!$C$11)))/(SQRT(((Inputs!$I$8+(((A75)+1)/2)*(Inputs!$J$8-Inputs!$I$8)))^2+Inputs!$C$6^2+((Inputs!$H$8+Inputs!$L$8*(((Inputs!$I$8+(((A75)+1)/2)*(Inputs!$J$8-Inputs!$I$8)))/Inputs!$K$8)^2))^2)))))/Inputs!$C$13)</f>
        <v>2139.8203002338669</v>
      </c>
      <c r="AO75" s="9">
        <f>(-2*((1000*((((Inputs!$I$9+(((A75)+1)/2)*(Inputs!$J$9-Inputs!$I$9)))*Inputs!$C$11+((Inputs!$H$9+Inputs!$L$9*(((Inputs!$I$9+(((A75)+1)/2)*(Inputs!$J$9-Inputs!$I$9)))/Inputs!$K$9)^2))*((2*Inputs!$L$9*((Inputs!$I$9+(((A75)+1)/2)*(Inputs!$J$9-Inputs!$I$9)))/(Inputs!$K$9^2)*Inputs!$C$11)))/(SQRT(((Inputs!$I$9+(((A75)+1)/2)*(Inputs!$J$9-Inputs!$I$9)))^2+Inputs!$C$6^2+((Inputs!$H$9+Inputs!$L$9*(((Inputs!$I$9+(((A75)+1)/2)*(Inputs!$J$9-Inputs!$I$9)))/Inputs!$K$9)^2))^2)))))/Inputs!$C$13)</f>
        <v>2136.7440188602095</v>
      </c>
    </row>
    <row r="76" spans="1:41">
      <c r="A76" s="9">
        <f>ROUND(-1+74*2/240,3)</f>
        <v>-0.38300000000000001</v>
      </c>
      <c r="B76" s="9">
        <f>IF(OR(Inputs!$F$6=TRUE,Inputs!$F$6="TRUE",Inputs!$F$6=1),(Inputs!$H$6+Inputs!$L$6*(((Inputs!$I$6+(((A76)+1)/2)*(Inputs!$J$6-Inputs!$I$6)))/Inputs!$K$6)^2),NA())</f>
        <v>400.58675599999998</v>
      </c>
      <c r="C76" s="9">
        <f>IF(OR(Inputs!$F$7=TRUE,Inputs!$F$7="TRUE",Inputs!$F$7=1),(Inputs!$H$7+Inputs!$L$7*(((Inputs!$I$7+(((A76)+1)/2)*(Inputs!$J$7-Inputs!$I$7)))/Inputs!$K$7)^2),NA())</f>
        <v>88.541484999999994</v>
      </c>
      <c r="D76" s="9">
        <f>IF(OR(Inputs!$F$8=TRUE,Inputs!$F$8="TRUE",Inputs!$F$8=1),(Inputs!$H$8+Inputs!$L$8*(((Inputs!$I$8+(((A76)+1)/2)*(Inputs!$J$8-Inputs!$I$8)))/Inputs!$K$8)^2),NA())</f>
        <v>176.55488499999996</v>
      </c>
      <c r="E76" s="9">
        <f>IF(OR(Inputs!$F$9=TRUE,Inputs!$F$9="TRUE",Inputs!$F$9=1),(Inputs!$H$9+Inputs!$L$9*(((Inputs!$I$9+(((A76)+1)/2)*(Inputs!$J$9-Inputs!$I$9)))/Inputs!$K$9)^2),NA())</f>
        <v>168.02177499999996</v>
      </c>
      <c r="F76" s="10"/>
      <c r="G76" s="9">
        <f t="shared" si="6"/>
        <v>-0.38300000000000001</v>
      </c>
      <c r="H76" s="9">
        <f>IF(OR(Inputs!$F$6=TRUE,Inputs!$F$6="TRUE",Inputs!$F$6=1),(((SQRT(((Inputs!$I$6+(((A76)+1)/2)*(Inputs!$J$6-Inputs!$I$6)))^2+Inputs!$C$6^2+((Inputs!$H$6+Inputs!$L$6*(((Inputs!$I$6+(((A76)+1)/2)*(Inputs!$J$6-Inputs!$I$6)))/Inputs!$K$6)^2))^2))-((Inputs!$H$6+Inputs!$L$6*(((Inputs!$I$6+(((A76)+1)/2)*(Inputs!$J$6-Inputs!$I$6)))/Inputs!$K$6)^2)))*1000/Inputs!$C$12),NA())</f>
        <v>807.11408557674713</v>
      </c>
      <c r="I76" s="9">
        <f>IF(OR(Inputs!$F$7=TRUE,Inputs!$F$7="TRUE",Inputs!$F$7=1),(((SQRT(((Inputs!$I$7+(((A76)+1)/2)*(Inputs!$J$7-Inputs!$I$7)))^2+Inputs!$C$6^2+((Inputs!$H$7+Inputs!$L$7*(((Inputs!$I$7+(((A76)+1)/2)*(Inputs!$J$7-Inputs!$I$7)))/Inputs!$K$7)^2))^2))-((Inputs!$H$7+Inputs!$L$7*(((Inputs!$I$7+(((A76)+1)/2)*(Inputs!$J$7-Inputs!$I$7)))/Inputs!$K$7)^2)))*1000/Inputs!$C$12),NA())</f>
        <v>50652.650252996886</v>
      </c>
      <c r="J76" s="9">
        <f>IF(OR(Inputs!$F$8=TRUE,Inputs!$F$8="TRUE",Inputs!$F$8=1),(((SQRT(((Inputs!$I$8+(((A76)+1)/2)*(Inputs!$J$8-Inputs!$I$8)))^2+Inputs!$C$6^2+((Inputs!$H$8+Inputs!$L$8*(((Inputs!$I$8+(((A76)+1)/2)*(Inputs!$J$8-Inputs!$I$8)))/Inputs!$K$8)^2))^2))-((Inputs!$H$8+Inputs!$L$8*(((Inputs!$I$8+(((A76)+1)/2)*(Inputs!$J$8-Inputs!$I$8)))/Inputs!$K$8)^2)))*1000/Inputs!$C$12),NA())</f>
        <v>99974.979671689231</v>
      </c>
      <c r="K76" s="9">
        <f>IF(OR(Inputs!$F$9=TRUE,Inputs!$F$9="TRUE",Inputs!$F$9=1),(((SQRT(((Inputs!$I$9+(((A76)+1)/2)*(Inputs!$J$9-Inputs!$I$9)))^2+Inputs!$C$6^2+((Inputs!$H$9+Inputs!$L$9*(((Inputs!$I$9+(((A76)+1)/2)*(Inputs!$J$9-Inputs!$I$9)))/Inputs!$K$9)^2))^2))-((Inputs!$H$9+Inputs!$L$9*(((Inputs!$I$9+(((A76)+1)/2)*(Inputs!$J$9-Inputs!$I$9)))/Inputs!$K$9)^2)))*1000/Inputs!$C$12),NA())</f>
        <v>102425.29661853185</v>
      </c>
      <c r="L76" s="10"/>
      <c r="M76" s="9">
        <f t="shared" si="7"/>
        <v>-0.38300000000000001</v>
      </c>
      <c r="N76" s="9">
        <f>IF(OR(Inputs!$F$6=TRUE,Inputs!$F$6="TRUE",Inputs!$F$6=1),(-2*((1000*((((Inputs!$I$6+(((A76)+1)/2)*(Inputs!$J$6-Inputs!$I$6)))*Inputs!$C$11+((Inputs!$H$6+Inputs!$L$6*(((Inputs!$I$6+(((A76)+1)/2)*(Inputs!$J$6-Inputs!$I$6)))/Inputs!$K$6)^2))*((2*Inputs!$L$6*((Inputs!$I$6+(((A76)+1)/2)*(Inputs!$J$6-Inputs!$I$6)))/(Inputs!$K$6^2)*Inputs!$C$11)))/(SQRT(((Inputs!$I$6+(((A76)+1)/2)*(Inputs!$J$6-Inputs!$I$6)))^2+Inputs!$C$6^2+((Inputs!$H$6+Inputs!$L$6*(((Inputs!$I$6+(((A76)+1)/2)*(Inputs!$J$6-Inputs!$I$6)))/Inputs!$K$6)^2))^2)))))/Inputs!$C$13),NA())</f>
        <v>172.87203990240704</v>
      </c>
      <c r="O76" s="9">
        <f>IF(OR(Inputs!$F$7=TRUE,Inputs!$F$7="TRUE",Inputs!$F$7=1),(-2*((1000*((((Inputs!$I$7+(((A76)+1)/2)*(Inputs!$J$7-Inputs!$I$7)))*Inputs!$C$11+((Inputs!$H$7+Inputs!$L$7*(((Inputs!$I$7+(((A76)+1)/2)*(Inputs!$J$7-Inputs!$I$7)))/Inputs!$K$7)^2))*((2*Inputs!$L$7*((Inputs!$I$7+(((A76)+1)/2)*(Inputs!$J$7-Inputs!$I$7)))/(Inputs!$K$7^2)*Inputs!$C$11)))/(SQRT(((Inputs!$I$7+(((A76)+1)/2)*(Inputs!$J$7-Inputs!$I$7)))^2+Inputs!$C$6^2+((Inputs!$H$7+Inputs!$L$7*(((Inputs!$I$7+(((A76)+1)/2)*(Inputs!$J$7-Inputs!$I$7)))/Inputs!$K$7)^2))^2)))))/Inputs!$C$13),NA())</f>
        <v>1925.769938343687</v>
      </c>
      <c r="P76" s="9">
        <f>IF(OR(Inputs!$F$8=TRUE,Inputs!$F$8="TRUE",Inputs!$F$8=1),(-2*((1000*((((Inputs!$I$8+(((A76)+1)/2)*(Inputs!$J$8-Inputs!$I$8)))*Inputs!$C$11+((Inputs!$H$8+Inputs!$L$8*(((Inputs!$I$8+(((A76)+1)/2)*(Inputs!$J$8-Inputs!$I$8)))/Inputs!$K$8)^2))*((2*Inputs!$L$8*((Inputs!$I$8+(((A76)+1)/2)*(Inputs!$J$8-Inputs!$I$8)))/(Inputs!$K$8^2)*Inputs!$C$11)))/(SQRT(((Inputs!$I$8+(((A76)+1)/2)*(Inputs!$J$8-Inputs!$I$8)))^2+Inputs!$C$6^2+((Inputs!$H$8+Inputs!$L$8*(((Inputs!$I$8+(((A76)+1)/2)*(Inputs!$J$8-Inputs!$I$8)))/Inputs!$K$8)^2))^2)))))/Inputs!$C$13),NA())</f>
        <v>2119.1347823728947</v>
      </c>
      <c r="Q76" s="9">
        <f>IF(OR(Inputs!$F$9=TRUE,Inputs!$F$9="TRUE",Inputs!$F$9=1),(-2*((1000*((((Inputs!$I$9+(((A76)+1)/2)*(Inputs!$J$9-Inputs!$I$9)))*Inputs!$C$11+((Inputs!$H$9+Inputs!$L$9*(((Inputs!$I$9+(((A76)+1)/2)*(Inputs!$J$9-Inputs!$I$9)))/Inputs!$K$9)^2))*((2*Inputs!$L$9*((Inputs!$I$9+(((A76)+1)/2)*(Inputs!$J$9-Inputs!$I$9)))/(Inputs!$K$9^2)*Inputs!$C$11)))/(SQRT(((Inputs!$I$9+(((A76)+1)/2)*(Inputs!$J$9-Inputs!$I$9)))^2+Inputs!$C$6^2+((Inputs!$H$9+Inputs!$L$9*(((Inputs!$I$9+(((A76)+1)/2)*(Inputs!$J$9-Inputs!$I$9)))/Inputs!$K$9)^2))^2)))))/Inputs!$C$13),NA())</f>
        <v>2115.7066217347515</v>
      </c>
      <c r="R76" s="10"/>
      <c r="S76" s="9">
        <f t="shared" si="8"/>
        <v>-0.38300000000000001</v>
      </c>
      <c r="T76" s="9">
        <f>(Inputs!$I$6+(((A76)+1)/2)*(Inputs!$J$6-Inputs!$I$6))</f>
        <v>-22.980000000000004</v>
      </c>
      <c r="U76" s="9">
        <f>(Inputs!$I$7+(((A76)+1)/2)*(Inputs!$J$7-Inputs!$I$7))</f>
        <v>-153.19999999999999</v>
      </c>
      <c r="V76" s="9">
        <f>(Inputs!$I$8+(((A76)+1)/2)*(Inputs!$J$8-Inputs!$I$8))</f>
        <v>-306.39999999999998</v>
      </c>
      <c r="W76" s="9">
        <f>(Inputs!$I$9+(((A76)+1)/2)*(Inputs!$J$9-Inputs!$I$9))</f>
        <v>-306.39999999999998</v>
      </c>
      <c r="X76" s="10"/>
      <c r="Y76" s="9">
        <f t="shared" si="9"/>
        <v>-0.38300000000000001</v>
      </c>
      <c r="Z76" s="9">
        <f>(Inputs!$H$6+Inputs!$L$6*(((Inputs!$I$6+(((A76)+1)/2)*(Inputs!$J$6-Inputs!$I$6)))/Inputs!$K$6)^2)</f>
        <v>400.58675599999998</v>
      </c>
      <c r="AA76" s="9">
        <f>(Inputs!$H$7+Inputs!$L$7*(((Inputs!$I$7+(((A76)+1)/2)*(Inputs!$J$7-Inputs!$I$7)))/Inputs!$K$7)^2)</f>
        <v>88.541484999999994</v>
      </c>
      <c r="AB76" s="9">
        <f>(Inputs!$H$8+Inputs!$L$8*(((Inputs!$I$8+(((A76)+1)/2)*(Inputs!$J$8-Inputs!$I$8)))/Inputs!$K$8)^2)</f>
        <v>176.55488499999996</v>
      </c>
      <c r="AC76" s="9">
        <f>(Inputs!$H$9+Inputs!$L$9*(((Inputs!$I$9+(((A76)+1)/2)*(Inputs!$J$9-Inputs!$I$9)))/Inputs!$K$9)^2)</f>
        <v>168.02177499999996</v>
      </c>
      <c r="AD76" s="10"/>
      <c r="AE76" s="9">
        <f t="shared" si="10"/>
        <v>-0.38300000000000001</v>
      </c>
      <c r="AF76" s="9">
        <f>(((SQRT(((Inputs!$I$6+(((A76)+1)/2)*(Inputs!$J$6-Inputs!$I$6)))^2+Inputs!$C$6^2+((Inputs!$H$6+Inputs!$L$6*(((Inputs!$I$6+(((A76)+1)/2)*(Inputs!$J$6-Inputs!$I$6)))/Inputs!$K$6)^2))^2))-((Inputs!$H$6+Inputs!$L$6*(((Inputs!$I$6+(((A76)+1)/2)*(Inputs!$J$6-Inputs!$I$6)))/Inputs!$K$6)^2)))*1000/Inputs!$C$12)</f>
        <v>807.11408557674713</v>
      </c>
      <c r="AG76" s="9">
        <f>(((SQRT(((Inputs!$I$7+(((A76)+1)/2)*(Inputs!$J$7-Inputs!$I$7)))^2+Inputs!$C$6^2+((Inputs!$H$7+Inputs!$L$7*(((Inputs!$I$7+(((A76)+1)/2)*(Inputs!$J$7-Inputs!$I$7)))/Inputs!$K$7)^2))^2))-((Inputs!$H$7+Inputs!$L$7*(((Inputs!$I$7+(((A76)+1)/2)*(Inputs!$J$7-Inputs!$I$7)))/Inputs!$K$7)^2)))*1000/Inputs!$C$12)</f>
        <v>50652.650252996886</v>
      </c>
      <c r="AH76" s="9">
        <f>(((SQRT(((Inputs!$I$8+(((A76)+1)/2)*(Inputs!$J$8-Inputs!$I$8)))^2+Inputs!$C$6^2+((Inputs!$H$8+Inputs!$L$8*(((Inputs!$I$8+(((A76)+1)/2)*(Inputs!$J$8-Inputs!$I$8)))/Inputs!$K$8)^2))^2))-((Inputs!$H$8+Inputs!$L$8*(((Inputs!$I$8+(((A76)+1)/2)*(Inputs!$J$8-Inputs!$I$8)))/Inputs!$K$8)^2)))*1000/Inputs!$C$12)</f>
        <v>99974.979671689231</v>
      </c>
      <c r="AI76" s="9">
        <f>(((SQRT(((Inputs!$I$9+(((A76)+1)/2)*(Inputs!$J$9-Inputs!$I$9)))^2+Inputs!$C$6^2+((Inputs!$H$9+Inputs!$L$9*(((Inputs!$I$9+(((A76)+1)/2)*(Inputs!$J$9-Inputs!$I$9)))/Inputs!$K$9)^2))^2))-((Inputs!$H$9+Inputs!$L$9*(((Inputs!$I$9+(((A76)+1)/2)*(Inputs!$J$9-Inputs!$I$9)))/Inputs!$K$9)^2)))*1000/Inputs!$C$12)</f>
        <v>102425.29661853185</v>
      </c>
      <c r="AJ76" s="10"/>
      <c r="AK76" s="9">
        <f t="shared" si="11"/>
        <v>-0.38300000000000001</v>
      </c>
      <c r="AL76" s="9">
        <f>(-2*((1000*((((Inputs!$I$6+(((A76)+1)/2)*(Inputs!$J$6-Inputs!$I$6)))*Inputs!$C$11+((Inputs!$H$6+Inputs!$L$6*(((Inputs!$I$6+(((A76)+1)/2)*(Inputs!$J$6-Inputs!$I$6)))/Inputs!$K$6)^2))*((2*Inputs!$L$6*((Inputs!$I$6+(((A76)+1)/2)*(Inputs!$J$6-Inputs!$I$6)))/(Inputs!$K$6^2)*Inputs!$C$11)))/(SQRT(((Inputs!$I$6+(((A76)+1)/2)*(Inputs!$J$6-Inputs!$I$6)))^2+Inputs!$C$6^2+((Inputs!$H$6+Inputs!$L$6*(((Inputs!$I$6+(((A76)+1)/2)*(Inputs!$J$6-Inputs!$I$6)))/Inputs!$K$6)^2))^2)))))/Inputs!$C$13)</f>
        <v>172.87203990240704</v>
      </c>
      <c r="AM76" s="9">
        <f>(-2*((1000*((((Inputs!$I$7+(((A76)+1)/2)*(Inputs!$J$7-Inputs!$I$7)))*Inputs!$C$11+((Inputs!$H$7+Inputs!$L$7*(((Inputs!$I$7+(((A76)+1)/2)*(Inputs!$J$7-Inputs!$I$7)))/Inputs!$K$7)^2))*((2*Inputs!$L$7*((Inputs!$I$7+(((A76)+1)/2)*(Inputs!$J$7-Inputs!$I$7)))/(Inputs!$K$7^2)*Inputs!$C$11)))/(SQRT(((Inputs!$I$7+(((A76)+1)/2)*(Inputs!$J$7-Inputs!$I$7)))^2+Inputs!$C$6^2+((Inputs!$H$7+Inputs!$L$7*(((Inputs!$I$7+(((A76)+1)/2)*(Inputs!$J$7-Inputs!$I$7)))/Inputs!$K$7)^2))^2)))))/Inputs!$C$13)</f>
        <v>1925.769938343687</v>
      </c>
      <c r="AN76" s="9">
        <f>(-2*((1000*((((Inputs!$I$8+(((A76)+1)/2)*(Inputs!$J$8-Inputs!$I$8)))*Inputs!$C$11+((Inputs!$H$8+Inputs!$L$8*(((Inputs!$I$8+(((A76)+1)/2)*(Inputs!$J$8-Inputs!$I$8)))/Inputs!$K$8)^2))*((2*Inputs!$L$8*((Inputs!$I$8+(((A76)+1)/2)*(Inputs!$J$8-Inputs!$I$8)))/(Inputs!$K$8^2)*Inputs!$C$11)))/(SQRT(((Inputs!$I$8+(((A76)+1)/2)*(Inputs!$J$8-Inputs!$I$8)))^2+Inputs!$C$6^2+((Inputs!$H$8+Inputs!$L$8*(((Inputs!$I$8+(((A76)+1)/2)*(Inputs!$J$8-Inputs!$I$8)))/Inputs!$K$8)^2))^2)))))/Inputs!$C$13)</f>
        <v>2119.1347823728947</v>
      </c>
      <c r="AO76" s="9">
        <f>(-2*((1000*((((Inputs!$I$9+(((A76)+1)/2)*(Inputs!$J$9-Inputs!$I$9)))*Inputs!$C$11+((Inputs!$H$9+Inputs!$L$9*(((Inputs!$I$9+(((A76)+1)/2)*(Inputs!$J$9-Inputs!$I$9)))/Inputs!$K$9)^2))*((2*Inputs!$L$9*((Inputs!$I$9+(((A76)+1)/2)*(Inputs!$J$9-Inputs!$I$9)))/(Inputs!$K$9^2)*Inputs!$C$11)))/(SQRT(((Inputs!$I$9+(((A76)+1)/2)*(Inputs!$J$9-Inputs!$I$9)))^2+Inputs!$C$6^2+((Inputs!$H$9+Inputs!$L$9*(((Inputs!$I$9+(((A76)+1)/2)*(Inputs!$J$9-Inputs!$I$9)))/Inputs!$K$9)^2))^2)))))/Inputs!$C$13)</f>
        <v>2115.7066217347515</v>
      </c>
    </row>
    <row r="77" spans="1:41">
      <c r="A77" s="9">
        <f>ROUND(-1+75*2/240,3)</f>
        <v>-0.375</v>
      </c>
      <c r="B77" s="9">
        <f>IF(OR(Inputs!$F$6=TRUE,Inputs!$F$6="TRUE",Inputs!$F$6=1),(Inputs!$H$6+Inputs!$L$6*(((Inputs!$I$6+(((A77)+1)/2)*(Inputs!$J$6-Inputs!$I$6)))/Inputs!$K$6)^2),NA())</f>
        <v>400.5625</v>
      </c>
      <c r="C77" s="9">
        <f>IF(OR(Inputs!$F$7=TRUE,Inputs!$F$7="TRUE",Inputs!$F$7=1),(Inputs!$H$7+Inputs!$L$7*(((Inputs!$I$7+(((A77)+1)/2)*(Inputs!$J$7-Inputs!$I$7)))/Inputs!$K$7)^2),NA())</f>
        <v>86.328125</v>
      </c>
      <c r="D77" s="9">
        <f>IF(OR(Inputs!$F$8=TRUE,Inputs!$F$8="TRUE",Inputs!$F$8=1),(Inputs!$H$8+Inputs!$L$8*(((Inputs!$I$8+(((A77)+1)/2)*(Inputs!$J$8-Inputs!$I$8)))/Inputs!$K$8)^2),NA())</f>
        <v>170.703125</v>
      </c>
      <c r="E77" s="9">
        <f>IF(OR(Inputs!$F$9=TRUE,Inputs!$F$9="TRUE",Inputs!$F$9=1),(Inputs!$H$9+Inputs!$L$9*(((Inputs!$I$9+(((A77)+1)/2)*(Inputs!$J$9-Inputs!$I$9)))/Inputs!$K$9)^2),NA())</f>
        <v>162.109375</v>
      </c>
      <c r="F77" s="10"/>
      <c r="G77" s="9">
        <f t="shared" si="6"/>
        <v>-0.375</v>
      </c>
      <c r="H77" s="9">
        <f>IF(OR(Inputs!$F$6=TRUE,Inputs!$F$6="TRUE",Inputs!$F$6=1),(((SQRT(((Inputs!$I$6+(((A77)+1)/2)*(Inputs!$J$6-Inputs!$I$6)))^2+Inputs!$C$6^2+((Inputs!$H$6+Inputs!$L$6*(((Inputs!$I$6+(((A77)+1)/2)*(Inputs!$J$6-Inputs!$I$6)))/Inputs!$K$6)^2))^2))-((Inputs!$H$6+Inputs!$L$6*(((Inputs!$I$6+(((A77)+1)/2)*(Inputs!$J$6-Inputs!$I$6)))/Inputs!$K$6)^2)))*1000/Inputs!$C$12),NA())</f>
        <v>791.90817516879872</v>
      </c>
      <c r="I77" s="9">
        <f>IF(OR(Inputs!$F$7=TRUE,Inputs!$F$7="TRUE",Inputs!$F$7=1),(((SQRT(((Inputs!$I$7+(((A77)+1)/2)*(Inputs!$J$7-Inputs!$I$7)))^2+Inputs!$C$6^2+((Inputs!$H$7+Inputs!$L$7*(((Inputs!$I$7+(((A77)+1)/2)*(Inputs!$J$7-Inputs!$I$7)))/Inputs!$K$7)^2))^2))-((Inputs!$H$7+Inputs!$L$7*(((Inputs!$I$7+(((A77)+1)/2)*(Inputs!$J$7-Inputs!$I$7)))/Inputs!$K$7)^2)))*1000/Inputs!$C$12),NA())</f>
        <v>49739.459098557942</v>
      </c>
      <c r="J77" s="9">
        <f>IF(OR(Inputs!$F$8=TRUE,Inputs!$F$8="TRUE",Inputs!$F$8=1),(((SQRT(((Inputs!$I$8+(((A77)+1)/2)*(Inputs!$J$8-Inputs!$I$8)))^2+Inputs!$C$6^2+((Inputs!$H$8+Inputs!$L$8*(((Inputs!$I$8+(((A77)+1)/2)*(Inputs!$J$8-Inputs!$I$8)))/Inputs!$K$8)^2))^2))-((Inputs!$H$8+Inputs!$L$8*(((Inputs!$I$8+(((A77)+1)/2)*(Inputs!$J$8-Inputs!$I$8)))/Inputs!$K$8)^2)))*1000/Inputs!$C$12),NA())</f>
        <v>98520.80718816015</v>
      </c>
      <c r="K77" s="9">
        <f>IF(OR(Inputs!$F$9=TRUE,Inputs!$F$9="TRUE",Inputs!$F$9=1),(((SQRT(((Inputs!$I$9+(((A77)+1)/2)*(Inputs!$J$9-Inputs!$I$9)))^2+Inputs!$C$6^2+((Inputs!$H$9+Inputs!$L$9*(((Inputs!$I$9+(((A77)+1)/2)*(Inputs!$J$9-Inputs!$I$9)))/Inputs!$K$9)^2))^2))-((Inputs!$H$9+Inputs!$L$9*(((Inputs!$I$9+(((A77)+1)/2)*(Inputs!$J$9-Inputs!$I$9)))/Inputs!$K$9)^2)))*1000/Inputs!$C$12),NA())</f>
        <v>101013.23130719473</v>
      </c>
      <c r="L77" s="10"/>
      <c r="M77" s="9">
        <f t="shared" si="7"/>
        <v>-0.375</v>
      </c>
      <c r="N77" s="9">
        <f>IF(OR(Inputs!$F$6=TRUE,Inputs!$F$6="TRUE",Inputs!$F$6=1),(-2*((1000*((((Inputs!$I$6+(((A77)+1)/2)*(Inputs!$J$6-Inputs!$I$6)))*Inputs!$C$11+((Inputs!$H$6+Inputs!$L$6*(((Inputs!$I$6+(((A77)+1)/2)*(Inputs!$J$6-Inputs!$I$6)))/Inputs!$K$6)^2))*((2*Inputs!$L$6*((Inputs!$I$6+(((A77)+1)/2)*(Inputs!$J$6-Inputs!$I$6)))/(Inputs!$K$6^2)*Inputs!$C$11)))/(SQRT(((Inputs!$I$6+(((A77)+1)/2)*(Inputs!$J$6-Inputs!$I$6)))^2+Inputs!$C$6^2+((Inputs!$H$6+Inputs!$L$6*(((Inputs!$I$6+(((A77)+1)/2)*(Inputs!$J$6-Inputs!$I$6)))/Inputs!$K$6)^2))^2)))))/Inputs!$C$13),NA())</f>
        <v>169.27791899911475</v>
      </c>
      <c r="O77" s="9">
        <f>IF(OR(Inputs!$F$7=TRUE,Inputs!$F$7="TRUE",Inputs!$F$7=1),(-2*((1000*((((Inputs!$I$7+(((A77)+1)/2)*(Inputs!$J$7-Inputs!$I$7)))*Inputs!$C$11+((Inputs!$H$7+Inputs!$L$7*(((Inputs!$I$7+(((A77)+1)/2)*(Inputs!$J$7-Inputs!$I$7)))/Inputs!$K$7)^2))*((2*Inputs!$L$7*((Inputs!$I$7+(((A77)+1)/2)*(Inputs!$J$7-Inputs!$I$7)))/(Inputs!$K$7^2)*Inputs!$C$11)))/(SQRT(((Inputs!$I$7+(((A77)+1)/2)*(Inputs!$J$7-Inputs!$I$7)))^2+Inputs!$C$6^2+((Inputs!$H$7+Inputs!$L$7*(((Inputs!$I$7+(((A77)+1)/2)*(Inputs!$J$7-Inputs!$I$7)))/Inputs!$K$7)^2))^2)))))/Inputs!$C$13),NA())</f>
        <v>1913.0787581584004</v>
      </c>
      <c r="P77" s="9">
        <f>IF(OR(Inputs!$F$8=TRUE,Inputs!$F$8="TRUE",Inputs!$F$8=1),(-2*((1000*((((Inputs!$I$8+(((A77)+1)/2)*(Inputs!$J$8-Inputs!$I$8)))*Inputs!$C$11+((Inputs!$H$8+Inputs!$L$8*(((Inputs!$I$8+(((A77)+1)/2)*(Inputs!$J$8-Inputs!$I$8)))/Inputs!$K$8)^2))*((2*Inputs!$L$8*((Inputs!$I$8+(((A77)+1)/2)*(Inputs!$J$8-Inputs!$I$8)))/(Inputs!$K$8^2)*Inputs!$C$11)))/(SQRT(((Inputs!$I$8+(((A77)+1)/2)*(Inputs!$J$8-Inputs!$I$8)))^2+Inputs!$C$6^2+((Inputs!$H$8+Inputs!$L$8*(((Inputs!$I$8+(((A77)+1)/2)*(Inputs!$J$8-Inputs!$I$8)))/Inputs!$K$8)^2))^2)))))/Inputs!$C$13),NA())</f>
        <v>2100.9981607959662</v>
      </c>
      <c r="Q77" s="9">
        <f>IF(OR(Inputs!$F$9=TRUE,Inputs!$F$9="TRUE",Inputs!$F$9=1),(-2*((1000*((((Inputs!$I$9+(((A77)+1)/2)*(Inputs!$J$9-Inputs!$I$9)))*Inputs!$C$11+((Inputs!$H$9+Inputs!$L$9*(((Inputs!$I$9+(((A77)+1)/2)*(Inputs!$J$9-Inputs!$I$9)))/Inputs!$K$9)^2))*((2*Inputs!$L$9*((Inputs!$I$9+(((A77)+1)/2)*(Inputs!$J$9-Inputs!$I$9)))/(Inputs!$K$9^2)*Inputs!$C$11)))/(SQRT(((Inputs!$I$9+(((A77)+1)/2)*(Inputs!$J$9-Inputs!$I$9)))^2+Inputs!$C$6^2+((Inputs!$H$9+Inputs!$L$9*(((Inputs!$I$9+(((A77)+1)/2)*(Inputs!$J$9-Inputs!$I$9)))/Inputs!$K$9)^2))^2)))))/Inputs!$C$13),NA())</f>
        <v>2097.2736181760724</v>
      </c>
      <c r="R77" s="10"/>
      <c r="S77" s="9">
        <f t="shared" si="8"/>
        <v>-0.375</v>
      </c>
      <c r="T77" s="9">
        <f>(Inputs!$I$6+(((A77)+1)/2)*(Inputs!$J$6-Inputs!$I$6))</f>
        <v>-22.5</v>
      </c>
      <c r="U77" s="9">
        <f>(Inputs!$I$7+(((A77)+1)/2)*(Inputs!$J$7-Inputs!$I$7))</f>
        <v>-150</v>
      </c>
      <c r="V77" s="9">
        <f>(Inputs!$I$8+(((A77)+1)/2)*(Inputs!$J$8-Inputs!$I$8))</f>
        <v>-300</v>
      </c>
      <c r="W77" s="9">
        <f>(Inputs!$I$9+(((A77)+1)/2)*(Inputs!$J$9-Inputs!$I$9))</f>
        <v>-300</v>
      </c>
      <c r="X77" s="10"/>
      <c r="Y77" s="9">
        <f t="shared" si="9"/>
        <v>-0.375</v>
      </c>
      <c r="Z77" s="9">
        <f>(Inputs!$H$6+Inputs!$L$6*(((Inputs!$I$6+(((A77)+1)/2)*(Inputs!$J$6-Inputs!$I$6)))/Inputs!$K$6)^2)</f>
        <v>400.5625</v>
      </c>
      <c r="AA77" s="9">
        <f>(Inputs!$H$7+Inputs!$L$7*(((Inputs!$I$7+(((A77)+1)/2)*(Inputs!$J$7-Inputs!$I$7)))/Inputs!$K$7)^2)</f>
        <v>86.328125</v>
      </c>
      <c r="AB77" s="9">
        <f>(Inputs!$H$8+Inputs!$L$8*(((Inputs!$I$8+(((A77)+1)/2)*(Inputs!$J$8-Inputs!$I$8)))/Inputs!$K$8)^2)</f>
        <v>170.703125</v>
      </c>
      <c r="AC77" s="9">
        <f>(Inputs!$H$9+Inputs!$L$9*(((Inputs!$I$9+(((A77)+1)/2)*(Inputs!$J$9-Inputs!$I$9)))/Inputs!$K$9)^2)</f>
        <v>162.109375</v>
      </c>
      <c r="AD77" s="10"/>
      <c r="AE77" s="9">
        <f t="shared" si="10"/>
        <v>-0.375</v>
      </c>
      <c r="AF77" s="9">
        <f>(((SQRT(((Inputs!$I$6+(((A77)+1)/2)*(Inputs!$J$6-Inputs!$I$6)))^2+Inputs!$C$6^2+((Inputs!$H$6+Inputs!$L$6*(((Inputs!$I$6+(((A77)+1)/2)*(Inputs!$J$6-Inputs!$I$6)))/Inputs!$K$6)^2))^2))-((Inputs!$H$6+Inputs!$L$6*(((Inputs!$I$6+(((A77)+1)/2)*(Inputs!$J$6-Inputs!$I$6)))/Inputs!$K$6)^2)))*1000/Inputs!$C$12)</f>
        <v>791.90817516879872</v>
      </c>
      <c r="AG77" s="9">
        <f>(((SQRT(((Inputs!$I$7+(((A77)+1)/2)*(Inputs!$J$7-Inputs!$I$7)))^2+Inputs!$C$6^2+((Inputs!$H$7+Inputs!$L$7*(((Inputs!$I$7+(((A77)+1)/2)*(Inputs!$J$7-Inputs!$I$7)))/Inputs!$K$7)^2))^2))-((Inputs!$H$7+Inputs!$L$7*(((Inputs!$I$7+(((A77)+1)/2)*(Inputs!$J$7-Inputs!$I$7)))/Inputs!$K$7)^2)))*1000/Inputs!$C$12)</f>
        <v>49739.459098557942</v>
      </c>
      <c r="AH77" s="9">
        <f>(((SQRT(((Inputs!$I$8+(((A77)+1)/2)*(Inputs!$J$8-Inputs!$I$8)))^2+Inputs!$C$6^2+((Inputs!$H$8+Inputs!$L$8*(((Inputs!$I$8+(((A77)+1)/2)*(Inputs!$J$8-Inputs!$I$8)))/Inputs!$K$8)^2))^2))-((Inputs!$H$8+Inputs!$L$8*(((Inputs!$I$8+(((A77)+1)/2)*(Inputs!$J$8-Inputs!$I$8)))/Inputs!$K$8)^2)))*1000/Inputs!$C$12)</f>
        <v>98520.80718816015</v>
      </c>
      <c r="AI77" s="9">
        <f>(((SQRT(((Inputs!$I$9+(((A77)+1)/2)*(Inputs!$J$9-Inputs!$I$9)))^2+Inputs!$C$6^2+((Inputs!$H$9+Inputs!$L$9*(((Inputs!$I$9+(((A77)+1)/2)*(Inputs!$J$9-Inputs!$I$9)))/Inputs!$K$9)^2))^2))-((Inputs!$H$9+Inputs!$L$9*(((Inputs!$I$9+(((A77)+1)/2)*(Inputs!$J$9-Inputs!$I$9)))/Inputs!$K$9)^2)))*1000/Inputs!$C$12)</f>
        <v>101013.23130719473</v>
      </c>
      <c r="AJ77" s="10"/>
      <c r="AK77" s="9">
        <f t="shared" si="11"/>
        <v>-0.375</v>
      </c>
      <c r="AL77" s="9">
        <f>(-2*((1000*((((Inputs!$I$6+(((A77)+1)/2)*(Inputs!$J$6-Inputs!$I$6)))*Inputs!$C$11+((Inputs!$H$6+Inputs!$L$6*(((Inputs!$I$6+(((A77)+1)/2)*(Inputs!$J$6-Inputs!$I$6)))/Inputs!$K$6)^2))*((2*Inputs!$L$6*((Inputs!$I$6+(((A77)+1)/2)*(Inputs!$J$6-Inputs!$I$6)))/(Inputs!$K$6^2)*Inputs!$C$11)))/(SQRT(((Inputs!$I$6+(((A77)+1)/2)*(Inputs!$J$6-Inputs!$I$6)))^2+Inputs!$C$6^2+((Inputs!$H$6+Inputs!$L$6*(((Inputs!$I$6+(((A77)+1)/2)*(Inputs!$J$6-Inputs!$I$6)))/Inputs!$K$6)^2))^2)))))/Inputs!$C$13)</f>
        <v>169.27791899911475</v>
      </c>
      <c r="AM77" s="9">
        <f>(-2*((1000*((((Inputs!$I$7+(((A77)+1)/2)*(Inputs!$J$7-Inputs!$I$7)))*Inputs!$C$11+((Inputs!$H$7+Inputs!$L$7*(((Inputs!$I$7+(((A77)+1)/2)*(Inputs!$J$7-Inputs!$I$7)))/Inputs!$K$7)^2))*((2*Inputs!$L$7*((Inputs!$I$7+(((A77)+1)/2)*(Inputs!$J$7-Inputs!$I$7)))/(Inputs!$K$7^2)*Inputs!$C$11)))/(SQRT(((Inputs!$I$7+(((A77)+1)/2)*(Inputs!$J$7-Inputs!$I$7)))^2+Inputs!$C$6^2+((Inputs!$H$7+Inputs!$L$7*(((Inputs!$I$7+(((A77)+1)/2)*(Inputs!$J$7-Inputs!$I$7)))/Inputs!$K$7)^2))^2)))))/Inputs!$C$13)</f>
        <v>1913.0787581584004</v>
      </c>
      <c r="AN77" s="9">
        <f>(-2*((1000*((((Inputs!$I$8+(((A77)+1)/2)*(Inputs!$J$8-Inputs!$I$8)))*Inputs!$C$11+((Inputs!$H$8+Inputs!$L$8*(((Inputs!$I$8+(((A77)+1)/2)*(Inputs!$J$8-Inputs!$I$8)))/Inputs!$K$8)^2))*((2*Inputs!$L$8*((Inputs!$I$8+(((A77)+1)/2)*(Inputs!$J$8-Inputs!$I$8)))/(Inputs!$K$8^2)*Inputs!$C$11)))/(SQRT(((Inputs!$I$8+(((A77)+1)/2)*(Inputs!$J$8-Inputs!$I$8)))^2+Inputs!$C$6^2+((Inputs!$H$8+Inputs!$L$8*(((Inputs!$I$8+(((A77)+1)/2)*(Inputs!$J$8-Inputs!$I$8)))/Inputs!$K$8)^2))^2)))))/Inputs!$C$13)</f>
        <v>2100.9981607959662</v>
      </c>
      <c r="AO77" s="9">
        <f>(-2*((1000*((((Inputs!$I$9+(((A77)+1)/2)*(Inputs!$J$9-Inputs!$I$9)))*Inputs!$C$11+((Inputs!$H$9+Inputs!$L$9*(((Inputs!$I$9+(((A77)+1)/2)*(Inputs!$J$9-Inputs!$I$9)))/Inputs!$K$9)^2))*((2*Inputs!$L$9*((Inputs!$I$9+(((A77)+1)/2)*(Inputs!$J$9-Inputs!$I$9)))/(Inputs!$K$9^2)*Inputs!$C$11)))/(SQRT(((Inputs!$I$9+(((A77)+1)/2)*(Inputs!$J$9-Inputs!$I$9)))^2+Inputs!$C$6^2+((Inputs!$H$9+Inputs!$L$9*(((Inputs!$I$9+(((A77)+1)/2)*(Inputs!$J$9-Inputs!$I$9)))/Inputs!$K$9)^2))^2)))))/Inputs!$C$13)</f>
        <v>2097.2736181760724</v>
      </c>
    </row>
    <row r="78" spans="1:41">
      <c r="A78" s="9">
        <f>ROUND(-1+76*2/240,3)</f>
        <v>-0.36699999999999999</v>
      </c>
      <c r="B78" s="9">
        <f>IF(OR(Inputs!$F$6=TRUE,Inputs!$F$6="TRUE",Inputs!$F$6=1),(Inputs!$H$6+Inputs!$L$6*(((Inputs!$I$6+(((A78)+1)/2)*(Inputs!$J$6-Inputs!$I$6)))/Inputs!$K$6)^2),NA())</f>
        <v>400.53875599999998</v>
      </c>
      <c r="C78" s="9">
        <f>IF(OR(Inputs!$F$7=TRUE,Inputs!$F$7="TRUE",Inputs!$F$7=1),(Inputs!$H$7+Inputs!$L$7*(((Inputs!$I$7+(((A78)+1)/2)*(Inputs!$J$7-Inputs!$I$7)))/Inputs!$K$7)^2),NA())</f>
        <v>84.161485000000013</v>
      </c>
      <c r="D78" s="9">
        <f>IF(OR(Inputs!$F$8=TRUE,Inputs!$F$8="TRUE",Inputs!$F$8=1),(Inputs!$H$8+Inputs!$L$8*(((Inputs!$I$8+(((A78)+1)/2)*(Inputs!$J$8-Inputs!$I$8)))/Inputs!$K$8)^2),NA())</f>
        <v>164.97488500000003</v>
      </c>
      <c r="E78" s="9">
        <f>IF(OR(Inputs!$F$9=TRUE,Inputs!$F$9="TRUE",Inputs!$F$9=1),(Inputs!$H$9+Inputs!$L$9*(((Inputs!$I$9+(((A78)+1)/2)*(Inputs!$J$9-Inputs!$I$9)))/Inputs!$K$9)^2),NA())</f>
        <v>156.32177500000003</v>
      </c>
      <c r="F78" s="10"/>
      <c r="G78" s="9">
        <f t="shared" si="6"/>
        <v>-0.36699999999999999</v>
      </c>
      <c r="H78" s="9">
        <f>IF(OR(Inputs!$F$6=TRUE,Inputs!$F$6="TRUE",Inputs!$F$6=1),(((SQRT(((Inputs!$I$6+(((A78)+1)/2)*(Inputs!$J$6-Inputs!$I$6)))^2+Inputs!$C$6^2+((Inputs!$H$6+Inputs!$L$6*(((Inputs!$I$6+(((A78)+1)/2)*(Inputs!$J$6-Inputs!$I$6)))/Inputs!$K$6)^2))^2))-((Inputs!$H$6+Inputs!$L$6*(((Inputs!$I$6+(((A78)+1)/2)*(Inputs!$J$6-Inputs!$I$6)))/Inputs!$K$6)^2)))*1000/Inputs!$C$12),NA())</f>
        <v>777.02046438054845</v>
      </c>
      <c r="I78" s="9">
        <f>IF(OR(Inputs!$F$7=TRUE,Inputs!$F$7="TRUE",Inputs!$F$7=1),(((SQRT(((Inputs!$I$7+(((A78)+1)/2)*(Inputs!$J$7-Inputs!$I$7)))^2+Inputs!$C$6^2+((Inputs!$H$7+Inputs!$L$7*(((Inputs!$I$7+(((A78)+1)/2)*(Inputs!$J$7-Inputs!$I$7)))/Inputs!$K$7)^2))^2))-((Inputs!$H$7+Inputs!$L$7*(((Inputs!$I$7+(((A78)+1)/2)*(Inputs!$J$7-Inputs!$I$7)))/Inputs!$K$7)^2)))*1000/Inputs!$C$12),NA())</f>
        <v>48814.253730546283</v>
      </c>
      <c r="J78" s="9">
        <f>IF(OR(Inputs!$F$8=TRUE,Inputs!$F$8="TRUE",Inputs!$F$8=1),(((SQRT(((Inputs!$I$8+(((A78)+1)/2)*(Inputs!$J$8-Inputs!$I$8)))^2+Inputs!$C$6^2+((Inputs!$H$8+Inputs!$L$8*(((Inputs!$I$8+(((A78)+1)/2)*(Inputs!$J$8-Inputs!$I$8)))/Inputs!$K$8)^2))^2))-((Inputs!$H$8+Inputs!$L$8*(((Inputs!$I$8+(((A78)+1)/2)*(Inputs!$J$8-Inputs!$I$8)))/Inputs!$K$8)^2)))*1000/Inputs!$C$12),NA())</f>
        <v>97037.731571114098</v>
      </c>
      <c r="K78" s="9">
        <f>IF(OR(Inputs!$F$9=TRUE,Inputs!$F$9="TRUE",Inputs!$F$9=1),(((SQRT(((Inputs!$I$9+(((A78)+1)/2)*(Inputs!$J$9-Inputs!$I$9)))^2+Inputs!$C$6^2+((Inputs!$H$9+Inputs!$L$9*(((Inputs!$I$9+(((A78)+1)/2)*(Inputs!$J$9-Inputs!$I$9)))/Inputs!$K$9)^2))^2))-((Inputs!$H$9+Inputs!$L$9*(((Inputs!$I$9+(((A78)+1)/2)*(Inputs!$J$9-Inputs!$I$9)))/Inputs!$K$9)^2)))*1000/Inputs!$C$12),NA())</f>
        <v>99572.191247935756</v>
      </c>
      <c r="L78" s="10"/>
      <c r="M78" s="9">
        <f t="shared" si="7"/>
        <v>-0.36699999999999999</v>
      </c>
      <c r="N78" s="9">
        <f>IF(OR(Inputs!$F$6=TRUE,Inputs!$F$6="TRUE",Inputs!$F$6=1),(-2*((1000*((((Inputs!$I$6+(((A78)+1)/2)*(Inputs!$J$6-Inputs!$I$6)))*Inputs!$C$11+((Inputs!$H$6+Inputs!$L$6*(((Inputs!$I$6+(((A78)+1)/2)*(Inputs!$J$6-Inputs!$I$6)))/Inputs!$K$6)^2))*((2*Inputs!$L$6*((Inputs!$I$6+(((A78)+1)/2)*(Inputs!$J$6-Inputs!$I$6)))/(Inputs!$K$6^2)*Inputs!$C$11)))/(SQRT(((Inputs!$I$6+(((A78)+1)/2)*(Inputs!$J$6-Inputs!$I$6)))^2+Inputs!$C$6^2+((Inputs!$H$6+Inputs!$L$6*(((Inputs!$I$6+(((A78)+1)/2)*(Inputs!$J$6-Inputs!$I$6)))/Inputs!$K$6)^2))^2)))))/Inputs!$C$13),NA())</f>
        <v>165.68274139458043</v>
      </c>
      <c r="O78" s="9">
        <f>IF(OR(Inputs!$F$7=TRUE,Inputs!$F$7="TRUE",Inputs!$F$7=1),(-2*((1000*((((Inputs!$I$7+(((A78)+1)/2)*(Inputs!$J$7-Inputs!$I$7)))*Inputs!$C$11+((Inputs!$H$7+Inputs!$L$7*(((Inputs!$I$7+(((A78)+1)/2)*(Inputs!$J$7-Inputs!$I$7)))/Inputs!$K$7)^2))*((2*Inputs!$L$7*((Inputs!$I$7+(((A78)+1)/2)*(Inputs!$J$7-Inputs!$I$7)))/(Inputs!$K$7^2)*Inputs!$C$11)))/(SQRT(((Inputs!$I$7+(((A78)+1)/2)*(Inputs!$J$7-Inputs!$I$7)))^2+Inputs!$C$6^2+((Inputs!$H$7+Inputs!$L$7*(((Inputs!$I$7+(((A78)+1)/2)*(Inputs!$J$7-Inputs!$I$7)))/Inputs!$K$7)^2))^2)))))/Inputs!$C$13),NA())</f>
        <v>1900.4337082558347</v>
      </c>
      <c r="P78" s="9">
        <f>IF(OR(Inputs!$F$8=TRUE,Inputs!$F$8="TRUE",Inputs!$F$8=1),(-2*((1000*((((Inputs!$I$8+(((A78)+1)/2)*(Inputs!$J$8-Inputs!$I$8)))*Inputs!$C$11+((Inputs!$H$8+Inputs!$L$8*(((Inputs!$I$8+(((A78)+1)/2)*(Inputs!$J$8-Inputs!$I$8)))/Inputs!$K$8)^2))*((2*Inputs!$L$8*((Inputs!$I$8+(((A78)+1)/2)*(Inputs!$J$8-Inputs!$I$8)))/(Inputs!$K$8^2)*Inputs!$C$11)))/(SQRT(((Inputs!$I$8+(((A78)+1)/2)*(Inputs!$J$8-Inputs!$I$8)))^2+Inputs!$C$6^2+((Inputs!$H$8+Inputs!$L$8*(((Inputs!$I$8+(((A78)+1)/2)*(Inputs!$J$8-Inputs!$I$8)))/Inputs!$K$8)^2))^2)))))/Inputs!$C$13),NA())</f>
        <v>2083.0987772460794</v>
      </c>
      <c r="Q78" s="9">
        <f>IF(OR(Inputs!$F$9=TRUE,Inputs!$F$9="TRUE",Inputs!$F$9=1),(-2*((1000*((((Inputs!$I$9+(((A78)+1)/2)*(Inputs!$J$9-Inputs!$I$9)))*Inputs!$C$11+((Inputs!$H$9+Inputs!$L$9*(((Inputs!$I$9+(((A78)+1)/2)*(Inputs!$J$9-Inputs!$I$9)))/Inputs!$K$9)^2))*((2*Inputs!$L$9*((Inputs!$I$9+(((A78)+1)/2)*(Inputs!$J$9-Inputs!$I$9)))/(Inputs!$K$9^2)*Inputs!$C$11)))/(SQRT(((Inputs!$I$9+(((A78)+1)/2)*(Inputs!$J$9-Inputs!$I$9)))^2+Inputs!$C$6^2+((Inputs!$H$9+Inputs!$L$9*(((Inputs!$I$9+(((A78)+1)/2)*(Inputs!$J$9-Inputs!$I$9)))/Inputs!$K$9)^2))^2)))))/Inputs!$C$13),NA())</f>
        <v>2079.0945674856639</v>
      </c>
      <c r="R78" s="10"/>
      <c r="S78" s="9">
        <f t="shared" si="8"/>
        <v>-0.36699999999999999</v>
      </c>
      <c r="T78" s="9">
        <f>(Inputs!$I$6+(((A78)+1)/2)*(Inputs!$J$6-Inputs!$I$6))</f>
        <v>-22.019999999999996</v>
      </c>
      <c r="U78" s="9">
        <f>(Inputs!$I$7+(((A78)+1)/2)*(Inputs!$J$7-Inputs!$I$7))</f>
        <v>-146.80000000000001</v>
      </c>
      <c r="V78" s="9">
        <f>(Inputs!$I$8+(((A78)+1)/2)*(Inputs!$J$8-Inputs!$I$8))</f>
        <v>-293.60000000000002</v>
      </c>
      <c r="W78" s="9">
        <f>(Inputs!$I$9+(((A78)+1)/2)*(Inputs!$J$9-Inputs!$I$9))</f>
        <v>-293.60000000000002</v>
      </c>
      <c r="X78" s="10"/>
      <c r="Y78" s="9">
        <f t="shared" si="9"/>
        <v>-0.36699999999999999</v>
      </c>
      <c r="Z78" s="9">
        <f>(Inputs!$H$6+Inputs!$L$6*(((Inputs!$I$6+(((A78)+1)/2)*(Inputs!$J$6-Inputs!$I$6)))/Inputs!$K$6)^2)</f>
        <v>400.53875599999998</v>
      </c>
      <c r="AA78" s="9">
        <f>(Inputs!$H$7+Inputs!$L$7*(((Inputs!$I$7+(((A78)+1)/2)*(Inputs!$J$7-Inputs!$I$7)))/Inputs!$K$7)^2)</f>
        <v>84.161485000000013</v>
      </c>
      <c r="AB78" s="9">
        <f>(Inputs!$H$8+Inputs!$L$8*(((Inputs!$I$8+(((A78)+1)/2)*(Inputs!$J$8-Inputs!$I$8)))/Inputs!$K$8)^2)</f>
        <v>164.97488500000003</v>
      </c>
      <c r="AC78" s="9">
        <f>(Inputs!$H$9+Inputs!$L$9*(((Inputs!$I$9+(((A78)+1)/2)*(Inputs!$J$9-Inputs!$I$9)))/Inputs!$K$9)^2)</f>
        <v>156.32177500000003</v>
      </c>
      <c r="AD78" s="10"/>
      <c r="AE78" s="9">
        <f t="shared" si="10"/>
        <v>-0.36699999999999999</v>
      </c>
      <c r="AF78" s="9">
        <f>(((SQRT(((Inputs!$I$6+(((A78)+1)/2)*(Inputs!$J$6-Inputs!$I$6)))^2+Inputs!$C$6^2+((Inputs!$H$6+Inputs!$L$6*(((Inputs!$I$6+(((A78)+1)/2)*(Inputs!$J$6-Inputs!$I$6)))/Inputs!$K$6)^2))^2))-((Inputs!$H$6+Inputs!$L$6*(((Inputs!$I$6+(((A78)+1)/2)*(Inputs!$J$6-Inputs!$I$6)))/Inputs!$K$6)^2)))*1000/Inputs!$C$12)</f>
        <v>777.02046438054845</v>
      </c>
      <c r="AG78" s="9">
        <f>(((SQRT(((Inputs!$I$7+(((A78)+1)/2)*(Inputs!$J$7-Inputs!$I$7)))^2+Inputs!$C$6^2+((Inputs!$H$7+Inputs!$L$7*(((Inputs!$I$7+(((A78)+1)/2)*(Inputs!$J$7-Inputs!$I$7)))/Inputs!$K$7)^2))^2))-((Inputs!$H$7+Inputs!$L$7*(((Inputs!$I$7+(((A78)+1)/2)*(Inputs!$J$7-Inputs!$I$7)))/Inputs!$K$7)^2)))*1000/Inputs!$C$12)</f>
        <v>48814.253730546283</v>
      </c>
      <c r="AH78" s="9">
        <f>(((SQRT(((Inputs!$I$8+(((A78)+1)/2)*(Inputs!$J$8-Inputs!$I$8)))^2+Inputs!$C$6^2+((Inputs!$H$8+Inputs!$L$8*(((Inputs!$I$8+(((A78)+1)/2)*(Inputs!$J$8-Inputs!$I$8)))/Inputs!$K$8)^2))^2))-((Inputs!$H$8+Inputs!$L$8*(((Inputs!$I$8+(((A78)+1)/2)*(Inputs!$J$8-Inputs!$I$8)))/Inputs!$K$8)^2)))*1000/Inputs!$C$12)</f>
        <v>97037.731571114098</v>
      </c>
      <c r="AI78" s="9">
        <f>(((SQRT(((Inputs!$I$9+(((A78)+1)/2)*(Inputs!$J$9-Inputs!$I$9)))^2+Inputs!$C$6^2+((Inputs!$H$9+Inputs!$L$9*(((Inputs!$I$9+(((A78)+1)/2)*(Inputs!$J$9-Inputs!$I$9)))/Inputs!$K$9)^2))^2))-((Inputs!$H$9+Inputs!$L$9*(((Inputs!$I$9+(((A78)+1)/2)*(Inputs!$J$9-Inputs!$I$9)))/Inputs!$K$9)^2)))*1000/Inputs!$C$12)</f>
        <v>99572.191247935756</v>
      </c>
      <c r="AJ78" s="10"/>
      <c r="AK78" s="9">
        <f t="shared" si="11"/>
        <v>-0.36699999999999999</v>
      </c>
      <c r="AL78" s="9">
        <f>(-2*((1000*((((Inputs!$I$6+(((A78)+1)/2)*(Inputs!$J$6-Inputs!$I$6)))*Inputs!$C$11+((Inputs!$H$6+Inputs!$L$6*(((Inputs!$I$6+(((A78)+1)/2)*(Inputs!$J$6-Inputs!$I$6)))/Inputs!$K$6)^2))*((2*Inputs!$L$6*((Inputs!$I$6+(((A78)+1)/2)*(Inputs!$J$6-Inputs!$I$6)))/(Inputs!$K$6^2)*Inputs!$C$11)))/(SQRT(((Inputs!$I$6+(((A78)+1)/2)*(Inputs!$J$6-Inputs!$I$6)))^2+Inputs!$C$6^2+((Inputs!$H$6+Inputs!$L$6*(((Inputs!$I$6+(((A78)+1)/2)*(Inputs!$J$6-Inputs!$I$6)))/Inputs!$K$6)^2))^2)))))/Inputs!$C$13)</f>
        <v>165.68274139458043</v>
      </c>
      <c r="AM78" s="9">
        <f>(-2*((1000*((((Inputs!$I$7+(((A78)+1)/2)*(Inputs!$J$7-Inputs!$I$7)))*Inputs!$C$11+((Inputs!$H$7+Inputs!$L$7*(((Inputs!$I$7+(((A78)+1)/2)*(Inputs!$J$7-Inputs!$I$7)))/Inputs!$K$7)^2))*((2*Inputs!$L$7*((Inputs!$I$7+(((A78)+1)/2)*(Inputs!$J$7-Inputs!$I$7)))/(Inputs!$K$7^2)*Inputs!$C$11)))/(SQRT(((Inputs!$I$7+(((A78)+1)/2)*(Inputs!$J$7-Inputs!$I$7)))^2+Inputs!$C$6^2+((Inputs!$H$7+Inputs!$L$7*(((Inputs!$I$7+(((A78)+1)/2)*(Inputs!$J$7-Inputs!$I$7)))/Inputs!$K$7)^2))^2)))))/Inputs!$C$13)</f>
        <v>1900.4337082558347</v>
      </c>
      <c r="AN78" s="9">
        <f>(-2*((1000*((((Inputs!$I$8+(((A78)+1)/2)*(Inputs!$J$8-Inputs!$I$8)))*Inputs!$C$11+((Inputs!$H$8+Inputs!$L$8*(((Inputs!$I$8+(((A78)+1)/2)*(Inputs!$J$8-Inputs!$I$8)))/Inputs!$K$8)^2))*((2*Inputs!$L$8*((Inputs!$I$8+(((A78)+1)/2)*(Inputs!$J$8-Inputs!$I$8)))/(Inputs!$K$8^2)*Inputs!$C$11)))/(SQRT(((Inputs!$I$8+(((A78)+1)/2)*(Inputs!$J$8-Inputs!$I$8)))^2+Inputs!$C$6^2+((Inputs!$H$8+Inputs!$L$8*(((Inputs!$I$8+(((A78)+1)/2)*(Inputs!$J$8-Inputs!$I$8)))/Inputs!$K$8)^2))^2)))))/Inputs!$C$13)</f>
        <v>2083.0987772460794</v>
      </c>
      <c r="AO78" s="9">
        <f>(-2*((1000*((((Inputs!$I$9+(((A78)+1)/2)*(Inputs!$J$9-Inputs!$I$9)))*Inputs!$C$11+((Inputs!$H$9+Inputs!$L$9*(((Inputs!$I$9+(((A78)+1)/2)*(Inputs!$J$9-Inputs!$I$9)))/Inputs!$K$9)^2))*((2*Inputs!$L$9*((Inputs!$I$9+(((A78)+1)/2)*(Inputs!$J$9-Inputs!$I$9)))/(Inputs!$K$9^2)*Inputs!$C$11)))/(SQRT(((Inputs!$I$9+(((A78)+1)/2)*(Inputs!$J$9-Inputs!$I$9)))^2+Inputs!$C$6^2+((Inputs!$H$9+Inputs!$L$9*(((Inputs!$I$9+(((A78)+1)/2)*(Inputs!$J$9-Inputs!$I$9)))/Inputs!$K$9)^2))^2)))))/Inputs!$C$13)</f>
        <v>2079.0945674856639</v>
      </c>
    </row>
    <row r="79" spans="1:41">
      <c r="A79" s="9">
        <f>ROUND(-1+77*2/240,3)</f>
        <v>-0.35799999999999998</v>
      </c>
      <c r="B79" s="9">
        <f>IF(OR(Inputs!$F$6=TRUE,Inputs!$F$6="TRUE",Inputs!$F$6=1),(Inputs!$H$6+Inputs!$L$6*(((Inputs!$I$6+(((A79)+1)/2)*(Inputs!$J$6-Inputs!$I$6)))/Inputs!$K$6)^2),NA())</f>
        <v>400.51265599999999</v>
      </c>
      <c r="C79" s="9">
        <f>IF(OR(Inputs!$F$7=TRUE,Inputs!$F$7="TRUE",Inputs!$F$7=1),(Inputs!$H$7+Inputs!$L$7*(((Inputs!$I$7+(((A79)+1)/2)*(Inputs!$J$7-Inputs!$I$7)))/Inputs!$K$7)^2),NA())</f>
        <v>81.779859999999999</v>
      </c>
      <c r="D79" s="9">
        <f>IF(OR(Inputs!$F$8=TRUE,Inputs!$F$8="TRUE",Inputs!$F$8=1),(Inputs!$H$8+Inputs!$L$8*(((Inputs!$I$8+(((A79)+1)/2)*(Inputs!$J$8-Inputs!$I$8)))/Inputs!$K$8)^2),NA())</f>
        <v>158.67825999999999</v>
      </c>
      <c r="E79" s="9">
        <f>IF(OR(Inputs!$F$9=TRUE,Inputs!$F$9="TRUE",Inputs!$F$9=1),(Inputs!$H$9+Inputs!$L$9*(((Inputs!$I$9+(((A79)+1)/2)*(Inputs!$J$9-Inputs!$I$9)))/Inputs!$K$9)^2),NA())</f>
        <v>149.9599</v>
      </c>
      <c r="F79" s="10"/>
      <c r="G79" s="9">
        <f t="shared" si="6"/>
        <v>-0.35799999999999998</v>
      </c>
      <c r="H79" s="9">
        <f>IF(OR(Inputs!$F$6=TRUE,Inputs!$F$6="TRUE",Inputs!$F$6=1),(((SQRT(((Inputs!$I$6+(((A79)+1)/2)*(Inputs!$J$6-Inputs!$I$6)))^2+Inputs!$C$6^2+((Inputs!$H$6+Inputs!$L$6*(((Inputs!$I$6+(((A79)+1)/2)*(Inputs!$J$6-Inputs!$I$6)))/Inputs!$K$6)^2))^2))-((Inputs!$H$6+Inputs!$L$6*(((Inputs!$I$6+(((A79)+1)/2)*(Inputs!$J$6-Inputs!$I$6)))/Inputs!$K$6)^2)))*1000/Inputs!$C$12),NA())</f>
        <v>760.65235703630265</v>
      </c>
      <c r="I79" s="9">
        <f>IF(OR(Inputs!$F$7=TRUE,Inputs!$F$7="TRUE",Inputs!$F$7=1),(((SQRT(((Inputs!$I$7+(((A79)+1)/2)*(Inputs!$J$7-Inputs!$I$7)))^2+Inputs!$C$6^2+((Inputs!$H$7+Inputs!$L$7*(((Inputs!$I$7+(((A79)+1)/2)*(Inputs!$J$7-Inputs!$I$7)))/Inputs!$K$7)^2))^2))-((Inputs!$H$7+Inputs!$L$7*(((Inputs!$I$7+(((A79)+1)/2)*(Inputs!$J$7-Inputs!$I$7)))/Inputs!$K$7)^2)))*1000/Inputs!$C$12),NA())</f>
        <v>47758.979538469583</v>
      </c>
      <c r="J79" s="9">
        <f>IF(OR(Inputs!$F$8=TRUE,Inputs!$F$8="TRUE",Inputs!$F$8=1),(((SQRT(((Inputs!$I$8+(((A79)+1)/2)*(Inputs!$J$8-Inputs!$I$8)))^2+Inputs!$C$6^2+((Inputs!$H$8+Inputs!$L$8*(((Inputs!$I$8+(((A79)+1)/2)*(Inputs!$J$8-Inputs!$I$8)))/Inputs!$K$8)^2))^2))-((Inputs!$H$8+Inputs!$L$8*(((Inputs!$I$8+(((A79)+1)/2)*(Inputs!$J$8-Inputs!$I$8)))/Inputs!$K$8)^2)))*1000/Inputs!$C$12),NA())</f>
        <v>95334.057785524812</v>
      </c>
      <c r="K79" s="9">
        <f>IF(OR(Inputs!$F$9=TRUE,Inputs!$F$9="TRUE",Inputs!$F$9=1),(((SQRT(((Inputs!$I$9+(((A79)+1)/2)*(Inputs!$J$9-Inputs!$I$9)))^2+Inputs!$C$6^2+((Inputs!$H$9+Inputs!$L$9*(((Inputs!$I$9+(((A79)+1)/2)*(Inputs!$J$9-Inputs!$I$9)))/Inputs!$K$9)^2))^2))-((Inputs!$H$9+Inputs!$L$9*(((Inputs!$I$9+(((A79)+1)/2)*(Inputs!$J$9-Inputs!$I$9)))/Inputs!$K$9)^2)))*1000/Inputs!$C$12),NA())</f>
        <v>97915.673124643086</v>
      </c>
      <c r="L79" s="10"/>
      <c r="M79" s="9">
        <f t="shared" si="7"/>
        <v>-0.35799999999999998</v>
      </c>
      <c r="N79" s="9">
        <f>IF(OR(Inputs!$F$6=TRUE,Inputs!$F$6="TRUE",Inputs!$F$6=1),(-2*((1000*((((Inputs!$I$6+(((A79)+1)/2)*(Inputs!$J$6-Inputs!$I$6)))*Inputs!$C$11+((Inputs!$H$6+Inputs!$L$6*(((Inputs!$I$6+(((A79)+1)/2)*(Inputs!$J$6-Inputs!$I$6)))/Inputs!$K$6)^2))*((2*Inputs!$L$6*((Inputs!$I$6+(((A79)+1)/2)*(Inputs!$J$6-Inputs!$I$6)))/(Inputs!$K$6^2)*Inputs!$C$11)))/(SQRT(((Inputs!$I$6+(((A79)+1)/2)*(Inputs!$J$6-Inputs!$I$6)))^2+Inputs!$C$6^2+((Inputs!$H$6+Inputs!$L$6*(((Inputs!$I$6+(((A79)+1)/2)*(Inputs!$J$6-Inputs!$I$6)))/Inputs!$K$6)^2))^2)))))/Inputs!$C$13),NA())</f>
        <v>161.63693076626629</v>
      </c>
      <c r="O79" s="9">
        <f>IF(OR(Inputs!$F$7=TRUE,Inputs!$F$7="TRUE",Inputs!$F$7=1),(-2*((1000*((((Inputs!$I$7+(((A79)+1)/2)*(Inputs!$J$7-Inputs!$I$7)))*Inputs!$C$11+((Inputs!$H$7+Inputs!$L$7*(((Inputs!$I$7+(((A79)+1)/2)*(Inputs!$J$7-Inputs!$I$7)))/Inputs!$K$7)^2))*((2*Inputs!$L$7*((Inputs!$I$7+(((A79)+1)/2)*(Inputs!$J$7-Inputs!$I$7)))/(Inputs!$K$7^2)*Inputs!$C$11)))/(SQRT(((Inputs!$I$7+(((A79)+1)/2)*(Inputs!$J$7-Inputs!$I$7)))^2+Inputs!$C$6^2+((Inputs!$H$7+Inputs!$L$7*(((Inputs!$I$7+(((A79)+1)/2)*(Inputs!$J$7-Inputs!$I$7)))/Inputs!$K$7)^2))^2)))))/Inputs!$C$13),NA())</f>
        <v>1886.2509937577888</v>
      </c>
      <c r="P79" s="9">
        <f>IF(OR(Inputs!$F$8=TRUE,Inputs!$F$8="TRUE",Inputs!$F$8=1),(-2*((1000*((((Inputs!$I$8+(((A79)+1)/2)*(Inputs!$J$8-Inputs!$I$8)))*Inputs!$C$11+((Inputs!$H$8+Inputs!$L$8*(((Inputs!$I$8+(((A79)+1)/2)*(Inputs!$J$8-Inputs!$I$8)))/Inputs!$K$8)^2))*((2*Inputs!$L$8*((Inputs!$I$8+(((A79)+1)/2)*(Inputs!$J$8-Inputs!$I$8)))/(Inputs!$K$8^2)*Inputs!$C$11)))/(SQRT(((Inputs!$I$8+(((A79)+1)/2)*(Inputs!$J$8-Inputs!$I$8)))^2+Inputs!$C$6^2+((Inputs!$H$8+Inputs!$L$8*(((Inputs!$I$8+(((A79)+1)/2)*(Inputs!$J$8-Inputs!$I$8)))/Inputs!$K$8)^2))^2)))))/Inputs!$C$13),NA())</f>
        <v>2063.2468431362458</v>
      </c>
      <c r="Q79" s="9">
        <f>IF(OR(Inputs!$F$9=TRUE,Inputs!$F$9="TRUE",Inputs!$F$9=1),(-2*((1000*((((Inputs!$I$9+(((A79)+1)/2)*(Inputs!$J$9-Inputs!$I$9)))*Inputs!$C$11+((Inputs!$H$9+Inputs!$L$9*(((Inputs!$I$9+(((A79)+1)/2)*(Inputs!$J$9-Inputs!$I$9)))/Inputs!$K$9)^2))*((2*Inputs!$L$9*((Inputs!$I$9+(((A79)+1)/2)*(Inputs!$J$9-Inputs!$I$9)))/(Inputs!$K$9^2)*Inputs!$C$11)))/(SQRT(((Inputs!$I$9+(((A79)+1)/2)*(Inputs!$J$9-Inputs!$I$9)))^2+Inputs!$C$6^2+((Inputs!$H$9+Inputs!$L$9*(((Inputs!$I$9+(((A79)+1)/2)*(Inputs!$J$9-Inputs!$I$9)))/Inputs!$K$9)^2))^2)))))/Inputs!$C$13),NA())</f>
        <v>2058.9496621574726</v>
      </c>
      <c r="R79" s="10"/>
      <c r="S79" s="9">
        <f t="shared" si="8"/>
        <v>-0.35799999999999998</v>
      </c>
      <c r="T79" s="9">
        <f>(Inputs!$I$6+(((A79)+1)/2)*(Inputs!$J$6-Inputs!$I$6))</f>
        <v>-21.479999999999997</v>
      </c>
      <c r="U79" s="9">
        <f>(Inputs!$I$7+(((A79)+1)/2)*(Inputs!$J$7-Inputs!$I$7))</f>
        <v>-143.19999999999999</v>
      </c>
      <c r="V79" s="9">
        <f>(Inputs!$I$8+(((A79)+1)/2)*(Inputs!$J$8-Inputs!$I$8))</f>
        <v>-286.39999999999998</v>
      </c>
      <c r="W79" s="9">
        <f>(Inputs!$I$9+(((A79)+1)/2)*(Inputs!$J$9-Inputs!$I$9))</f>
        <v>-286.39999999999998</v>
      </c>
      <c r="X79" s="10"/>
      <c r="Y79" s="9">
        <f t="shared" si="9"/>
        <v>-0.35799999999999998</v>
      </c>
      <c r="Z79" s="9">
        <f>(Inputs!$H$6+Inputs!$L$6*(((Inputs!$I$6+(((A79)+1)/2)*(Inputs!$J$6-Inputs!$I$6)))/Inputs!$K$6)^2)</f>
        <v>400.51265599999999</v>
      </c>
      <c r="AA79" s="9">
        <f>(Inputs!$H$7+Inputs!$L$7*(((Inputs!$I$7+(((A79)+1)/2)*(Inputs!$J$7-Inputs!$I$7)))/Inputs!$K$7)^2)</f>
        <v>81.779859999999999</v>
      </c>
      <c r="AB79" s="9">
        <f>(Inputs!$H$8+Inputs!$L$8*(((Inputs!$I$8+(((A79)+1)/2)*(Inputs!$J$8-Inputs!$I$8)))/Inputs!$K$8)^2)</f>
        <v>158.67825999999999</v>
      </c>
      <c r="AC79" s="9">
        <f>(Inputs!$H$9+Inputs!$L$9*(((Inputs!$I$9+(((A79)+1)/2)*(Inputs!$J$9-Inputs!$I$9)))/Inputs!$K$9)^2)</f>
        <v>149.9599</v>
      </c>
      <c r="AD79" s="10"/>
      <c r="AE79" s="9">
        <f t="shared" si="10"/>
        <v>-0.35799999999999998</v>
      </c>
      <c r="AF79" s="9">
        <f>(((SQRT(((Inputs!$I$6+(((A79)+1)/2)*(Inputs!$J$6-Inputs!$I$6)))^2+Inputs!$C$6^2+((Inputs!$H$6+Inputs!$L$6*(((Inputs!$I$6+(((A79)+1)/2)*(Inputs!$J$6-Inputs!$I$6)))/Inputs!$K$6)^2))^2))-((Inputs!$H$6+Inputs!$L$6*(((Inputs!$I$6+(((A79)+1)/2)*(Inputs!$J$6-Inputs!$I$6)))/Inputs!$K$6)^2)))*1000/Inputs!$C$12)</f>
        <v>760.65235703630265</v>
      </c>
      <c r="AG79" s="9">
        <f>(((SQRT(((Inputs!$I$7+(((A79)+1)/2)*(Inputs!$J$7-Inputs!$I$7)))^2+Inputs!$C$6^2+((Inputs!$H$7+Inputs!$L$7*(((Inputs!$I$7+(((A79)+1)/2)*(Inputs!$J$7-Inputs!$I$7)))/Inputs!$K$7)^2))^2))-((Inputs!$H$7+Inputs!$L$7*(((Inputs!$I$7+(((A79)+1)/2)*(Inputs!$J$7-Inputs!$I$7)))/Inputs!$K$7)^2)))*1000/Inputs!$C$12)</f>
        <v>47758.979538469583</v>
      </c>
      <c r="AH79" s="9">
        <f>(((SQRT(((Inputs!$I$8+(((A79)+1)/2)*(Inputs!$J$8-Inputs!$I$8)))^2+Inputs!$C$6^2+((Inputs!$H$8+Inputs!$L$8*(((Inputs!$I$8+(((A79)+1)/2)*(Inputs!$J$8-Inputs!$I$8)))/Inputs!$K$8)^2))^2))-((Inputs!$H$8+Inputs!$L$8*(((Inputs!$I$8+(((A79)+1)/2)*(Inputs!$J$8-Inputs!$I$8)))/Inputs!$K$8)^2)))*1000/Inputs!$C$12)</f>
        <v>95334.057785524812</v>
      </c>
      <c r="AI79" s="9">
        <f>(((SQRT(((Inputs!$I$9+(((A79)+1)/2)*(Inputs!$J$9-Inputs!$I$9)))^2+Inputs!$C$6^2+((Inputs!$H$9+Inputs!$L$9*(((Inputs!$I$9+(((A79)+1)/2)*(Inputs!$J$9-Inputs!$I$9)))/Inputs!$K$9)^2))^2))-((Inputs!$H$9+Inputs!$L$9*(((Inputs!$I$9+(((A79)+1)/2)*(Inputs!$J$9-Inputs!$I$9)))/Inputs!$K$9)^2)))*1000/Inputs!$C$12)</f>
        <v>97915.673124643086</v>
      </c>
      <c r="AJ79" s="10"/>
      <c r="AK79" s="9">
        <f t="shared" si="11"/>
        <v>-0.35799999999999998</v>
      </c>
      <c r="AL79" s="9">
        <f>(-2*((1000*((((Inputs!$I$6+(((A79)+1)/2)*(Inputs!$J$6-Inputs!$I$6)))*Inputs!$C$11+((Inputs!$H$6+Inputs!$L$6*(((Inputs!$I$6+(((A79)+1)/2)*(Inputs!$J$6-Inputs!$I$6)))/Inputs!$K$6)^2))*((2*Inputs!$L$6*((Inputs!$I$6+(((A79)+1)/2)*(Inputs!$J$6-Inputs!$I$6)))/(Inputs!$K$6^2)*Inputs!$C$11)))/(SQRT(((Inputs!$I$6+(((A79)+1)/2)*(Inputs!$J$6-Inputs!$I$6)))^2+Inputs!$C$6^2+((Inputs!$H$6+Inputs!$L$6*(((Inputs!$I$6+(((A79)+1)/2)*(Inputs!$J$6-Inputs!$I$6)))/Inputs!$K$6)^2))^2)))))/Inputs!$C$13)</f>
        <v>161.63693076626629</v>
      </c>
      <c r="AM79" s="9">
        <f>(-2*((1000*((((Inputs!$I$7+(((A79)+1)/2)*(Inputs!$J$7-Inputs!$I$7)))*Inputs!$C$11+((Inputs!$H$7+Inputs!$L$7*(((Inputs!$I$7+(((A79)+1)/2)*(Inputs!$J$7-Inputs!$I$7)))/Inputs!$K$7)^2))*((2*Inputs!$L$7*((Inputs!$I$7+(((A79)+1)/2)*(Inputs!$J$7-Inputs!$I$7)))/(Inputs!$K$7^2)*Inputs!$C$11)))/(SQRT(((Inputs!$I$7+(((A79)+1)/2)*(Inputs!$J$7-Inputs!$I$7)))^2+Inputs!$C$6^2+((Inputs!$H$7+Inputs!$L$7*(((Inputs!$I$7+(((A79)+1)/2)*(Inputs!$J$7-Inputs!$I$7)))/Inputs!$K$7)^2))^2)))))/Inputs!$C$13)</f>
        <v>1886.2509937577888</v>
      </c>
      <c r="AN79" s="9">
        <f>(-2*((1000*((((Inputs!$I$8+(((A79)+1)/2)*(Inputs!$J$8-Inputs!$I$8)))*Inputs!$C$11+((Inputs!$H$8+Inputs!$L$8*(((Inputs!$I$8+(((A79)+1)/2)*(Inputs!$J$8-Inputs!$I$8)))/Inputs!$K$8)^2))*((2*Inputs!$L$8*((Inputs!$I$8+(((A79)+1)/2)*(Inputs!$J$8-Inputs!$I$8)))/(Inputs!$K$8^2)*Inputs!$C$11)))/(SQRT(((Inputs!$I$8+(((A79)+1)/2)*(Inputs!$J$8-Inputs!$I$8)))^2+Inputs!$C$6^2+((Inputs!$H$8+Inputs!$L$8*(((Inputs!$I$8+(((A79)+1)/2)*(Inputs!$J$8-Inputs!$I$8)))/Inputs!$K$8)^2))^2)))))/Inputs!$C$13)</f>
        <v>2063.2468431362458</v>
      </c>
      <c r="AO79" s="9">
        <f>(-2*((1000*((((Inputs!$I$9+(((A79)+1)/2)*(Inputs!$J$9-Inputs!$I$9)))*Inputs!$C$11+((Inputs!$H$9+Inputs!$L$9*(((Inputs!$I$9+(((A79)+1)/2)*(Inputs!$J$9-Inputs!$I$9)))/Inputs!$K$9)^2))*((2*Inputs!$L$9*((Inputs!$I$9+(((A79)+1)/2)*(Inputs!$J$9-Inputs!$I$9)))/(Inputs!$K$9^2)*Inputs!$C$11)))/(SQRT(((Inputs!$I$9+(((A79)+1)/2)*(Inputs!$J$9-Inputs!$I$9)))^2+Inputs!$C$6^2+((Inputs!$H$9+Inputs!$L$9*(((Inputs!$I$9+(((A79)+1)/2)*(Inputs!$J$9-Inputs!$I$9)))/Inputs!$K$9)^2))^2)))))/Inputs!$C$13)</f>
        <v>2058.9496621574726</v>
      </c>
    </row>
    <row r="80" spans="1:41">
      <c r="A80" s="9">
        <f>ROUND(-1+78*2/240,3)</f>
        <v>-0.35</v>
      </c>
      <c r="B80" s="9">
        <f>IF(OR(Inputs!$F$6=TRUE,Inputs!$F$6="TRUE",Inputs!$F$6=1),(Inputs!$H$6+Inputs!$L$6*(((Inputs!$I$6+(((A80)+1)/2)*(Inputs!$J$6-Inputs!$I$6)))/Inputs!$K$6)^2),NA())</f>
        <v>400.49</v>
      </c>
      <c r="C80" s="9">
        <f>IF(OR(Inputs!$F$7=TRUE,Inputs!$F$7="TRUE",Inputs!$F$7=1),(Inputs!$H$7+Inputs!$L$7*(((Inputs!$I$7+(((A80)+1)/2)*(Inputs!$J$7-Inputs!$I$7)))/Inputs!$K$7)^2),NA())</f>
        <v>79.712499999999991</v>
      </c>
      <c r="D80" s="9">
        <f>IF(OR(Inputs!$F$8=TRUE,Inputs!$F$8="TRUE",Inputs!$F$8=1),(Inputs!$H$8+Inputs!$L$8*(((Inputs!$I$8+(((A80)+1)/2)*(Inputs!$J$8-Inputs!$I$8)))/Inputs!$K$8)^2),NA())</f>
        <v>153.21249999999998</v>
      </c>
      <c r="E80" s="9">
        <f>IF(OR(Inputs!$F$9=TRUE,Inputs!$F$9="TRUE",Inputs!$F$9=1),(Inputs!$H$9+Inputs!$L$9*(((Inputs!$I$9+(((A80)+1)/2)*(Inputs!$J$9-Inputs!$I$9)))/Inputs!$K$9)^2),NA())</f>
        <v>144.4375</v>
      </c>
      <c r="F80" s="10"/>
      <c r="G80" s="9">
        <f t="shared" si="6"/>
        <v>-0.35</v>
      </c>
      <c r="H80" s="9">
        <f>IF(OR(Inputs!$F$6=TRUE,Inputs!$F$6="TRUE",Inputs!$F$6=1),(((SQRT(((Inputs!$I$6+(((A80)+1)/2)*(Inputs!$J$6-Inputs!$I$6)))^2+Inputs!$C$6^2+((Inputs!$H$6+Inputs!$L$6*(((Inputs!$I$6+(((A80)+1)/2)*(Inputs!$J$6-Inputs!$I$6)))/Inputs!$K$6)^2))^2))-((Inputs!$H$6+Inputs!$L$6*(((Inputs!$I$6+(((A80)+1)/2)*(Inputs!$J$6-Inputs!$I$6)))/Inputs!$K$6)^2)))*1000/Inputs!$C$12),NA())</f>
        <v>746.44140104912105</v>
      </c>
      <c r="I80" s="9">
        <f>IF(OR(Inputs!$F$7=TRUE,Inputs!$F$7="TRUE",Inputs!$F$7=1),(((SQRT(((Inputs!$I$7+(((A80)+1)/2)*(Inputs!$J$7-Inputs!$I$7)))^2+Inputs!$C$6^2+((Inputs!$H$7+Inputs!$L$7*(((Inputs!$I$7+(((A80)+1)/2)*(Inputs!$J$7-Inputs!$I$7)))/Inputs!$K$7)^2))^2))-((Inputs!$H$7+Inputs!$L$7*(((Inputs!$I$7+(((A80)+1)/2)*(Inputs!$J$7-Inputs!$I$7)))/Inputs!$K$7)^2)))*1000/Inputs!$C$12),NA())</f>
        <v>46808.104190849153</v>
      </c>
      <c r="J80" s="9">
        <f>IF(OR(Inputs!$F$8=TRUE,Inputs!$F$8="TRUE",Inputs!$F$8=1),(((SQRT(((Inputs!$I$8+(((A80)+1)/2)*(Inputs!$J$8-Inputs!$I$8)))^2+Inputs!$C$6^2+((Inputs!$H$8+Inputs!$L$8*(((Inputs!$I$8+(((A80)+1)/2)*(Inputs!$J$8-Inputs!$I$8)))/Inputs!$K$8)^2))^2))-((Inputs!$H$8+Inputs!$L$8*(((Inputs!$I$8+(((A80)+1)/2)*(Inputs!$J$8-Inputs!$I$8)))/Inputs!$K$8)^2)))*1000/Inputs!$C$12),NA())</f>
        <v>93787.786346283683</v>
      </c>
      <c r="K80" s="9">
        <f>IF(OR(Inputs!$F$9=TRUE,Inputs!$F$9="TRUE",Inputs!$F$9=1),(((SQRT(((Inputs!$I$9+(((A80)+1)/2)*(Inputs!$J$9-Inputs!$I$9)))^2+Inputs!$C$6^2+((Inputs!$H$9+Inputs!$L$9*(((Inputs!$I$9+(((A80)+1)/2)*(Inputs!$J$9-Inputs!$I$9)))/Inputs!$K$9)^2))^2))-((Inputs!$H$9+Inputs!$L$9*(((Inputs!$I$9+(((A80)+1)/2)*(Inputs!$J$9-Inputs!$I$9)))/Inputs!$K$9)^2)))*1000/Inputs!$C$12),NA())</f>
        <v>96411.151481708919</v>
      </c>
      <c r="L80" s="10"/>
      <c r="M80" s="9">
        <f t="shared" si="7"/>
        <v>-0.35</v>
      </c>
      <c r="N80" s="9">
        <f>IF(OR(Inputs!$F$6=TRUE,Inputs!$F$6="TRUE",Inputs!$F$6=1),(-2*((1000*((((Inputs!$I$6+(((A80)+1)/2)*(Inputs!$J$6-Inputs!$I$6)))*Inputs!$C$11+((Inputs!$H$6+Inputs!$L$6*(((Inputs!$I$6+(((A80)+1)/2)*(Inputs!$J$6-Inputs!$I$6)))/Inputs!$K$6)^2))*((2*Inputs!$L$6*((Inputs!$I$6+(((A80)+1)/2)*(Inputs!$J$6-Inputs!$I$6)))/(Inputs!$K$6^2)*Inputs!$C$11)))/(SQRT(((Inputs!$I$6+(((A80)+1)/2)*(Inputs!$J$6-Inputs!$I$6)))^2+Inputs!$C$6^2+((Inputs!$H$6+Inputs!$L$6*(((Inputs!$I$6+(((A80)+1)/2)*(Inputs!$J$6-Inputs!$I$6)))/Inputs!$K$6)^2))^2)))))/Inputs!$C$13),NA())</f>
        <v>158.03958042535132</v>
      </c>
      <c r="O80" s="9">
        <f>IF(OR(Inputs!$F$7=TRUE,Inputs!$F$7="TRUE",Inputs!$F$7=1),(-2*((1000*((((Inputs!$I$7+(((A80)+1)/2)*(Inputs!$J$7-Inputs!$I$7)))*Inputs!$C$11+((Inputs!$H$7+Inputs!$L$7*(((Inputs!$I$7+(((A80)+1)/2)*(Inputs!$J$7-Inputs!$I$7)))/Inputs!$K$7)^2))*((2*Inputs!$L$7*((Inputs!$I$7+(((A80)+1)/2)*(Inputs!$J$7-Inputs!$I$7)))/(Inputs!$K$7^2)*Inputs!$C$11)))/(SQRT(((Inputs!$I$7+(((A80)+1)/2)*(Inputs!$J$7-Inputs!$I$7)))^2+Inputs!$C$6^2+((Inputs!$H$7+Inputs!$L$7*(((Inputs!$I$7+(((A80)+1)/2)*(Inputs!$J$7-Inputs!$I$7)))/Inputs!$K$7)^2))^2)))))/Inputs!$C$13),NA())</f>
        <v>1873.6701281591352</v>
      </c>
      <c r="P80" s="9">
        <f>IF(OR(Inputs!$F$8=TRUE,Inputs!$F$8="TRUE",Inputs!$F$8=1),(-2*((1000*((((Inputs!$I$8+(((A80)+1)/2)*(Inputs!$J$8-Inputs!$I$8)))*Inputs!$C$11+((Inputs!$H$8+Inputs!$L$8*(((Inputs!$I$8+(((A80)+1)/2)*(Inputs!$J$8-Inputs!$I$8)))/Inputs!$K$8)^2))*((2*Inputs!$L$8*((Inputs!$I$8+(((A80)+1)/2)*(Inputs!$J$8-Inputs!$I$8)))/(Inputs!$K$8^2)*Inputs!$C$11)))/(SQRT(((Inputs!$I$8+(((A80)+1)/2)*(Inputs!$J$8-Inputs!$I$8)))^2+Inputs!$C$6^2+((Inputs!$H$8+Inputs!$L$8*(((Inputs!$I$8+(((A80)+1)/2)*(Inputs!$J$8-Inputs!$I$8)))/Inputs!$K$8)^2))^2)))))/Inputs!$C$13),NA())</f>
        <v>2045.8545989481845</v>
      </c>
      <c r="Q80" s="9">
        <f>IF(OR(Inputs!$F$9=TRUE,Inputs!$F$9="TRUE",Inputs!$F$9=1),(-2*((1000*((((Inputs!$I$9+(((A80)+1)/2)*(Inputs!$J$9-Inputs!$I$9)))*Inputs!$C$11+((Inputs!$H$9+Inputs!$L$9*(((Inputs!$I$9+(((A80)+1)/2)*(Inputs!$J$9-Inputs!$I$9)))/Inputs!$K$9)^2))*((2*Inputs!$L$9*((Inputs!$I$9+(((A80)+1)/2)*(Inputs!$J$9-Inputs!$I$9)))/(Inputs!$K$9^2)*Inputs!$C$11)))/(SQRT(((Inputs!$I$9+(((A80)+1)/2)*(Inputs!$J$9-Inputs!$I$9)))^2+Inputs!$C$6^2+((Inputs!$H$9+Inputs!$L$9*(((Inputs!$I$9+(((A80)+1)/2)*(Inputs!$J$9-Inputs!$I$9)))/Inputs!$K$9)^2))^2)))))/Inputs!$C$13),NA())</f>
        <v>2041.3178772242259</v>
      </c>
      <c r="R80" s="10"/>
      <c r="S80" s="9">
        <f t="shared" si="8"/>
        <v>-0.35</v>
      </c>
      <c r="T80" s="9">
        <f>(Inputs!$I$6+(((A80)+1)/2)*(Inputs!$J$6-Inputs!$I$6))</f>
        <v>-21</v>
      </c>
      <c r="U80" s="9">
        <f>(Inputs!$I$7+(((A80)+1)/2)*(Inputs!$J$7-Inputs!$I$7))</f>
        <v>-140</v>
      </c>
      <c r="V80" s="9">
        <f>(Inputs!$I$8+(((A80)+1)/2)*(Inputs!$J$8-Inputs!$I$8))</f>
        <v>-280</v>
      </c>
      <c r="W80" s="9">
        <f>(Inputs!$I$9+(((A80)+1)/2)*(Inputs!$J$9-Inputs!$I$9))</f>
        <v>-280</v>
      </c>
      <c r="X80" s="10"/>
      <c r="Y80" s="9">
        <f t="shared" si="9"/>
        <v>-0.35</v>
      </c>
      <c r="Z80" s="9">
        <f>(Inputs!$H$6+Inputs!$L$6*(((Inputs!$I$6+(((A80)+1)/2)*(Inputs!$J$6-Inputs!$I$6)))/Inputs!$K$6)^2)</f>
        <v>400.49</v>
      </c>
      <c r="AA80" s="9">
        <f>(Inputs!$H$7+Inputs!$L$7*(((Inputs!$I$7+(((A80)+1)/2)*(Inputs!$J$7-Inputs!$I$7)))/Inputs!$K$7)^2)</f>
        <v>79.712499999999991</v>
      </c>
      <c r="AB80" s="9">
        <f>(Inputs!$H$8+Inputs!$L$8*(((Inputs!$I$8+(((A80)+1)/2)*(Inputs!$J$8-Inputs!$I$8)))/Inputs!$K$8)^2)</f>
        <v>153.21249999999998</v>
      </c>
      <c r="AC80" s="9">
        <f>(Inputs!$H$9+Inputs!$L$9*(((Inputs!$I$9+(((A80)+1)/2)*(Inputs!$J$9-Inputs!$I$9)))/Inputs!$K$9)^2)</f>
        <v>144.4375</v>
      </c>
      <c r="AD80" s="10"/>
      <c r="AE80" s="9">
        <f t="shared" si="10"/>
        <v>-0.35</v>
      </c>
      <c r="AF80" s="9">
        <f>(((SQRT(((Inputs!$I$6+(((A80)+1)/2)*(Inputs!$J$6-Inputs!$I$6)))^2+Inputs!$C$6^2+((Inputs!$H$6+Inputs!$L$6*(((Inputs!$I$6+(((A80)+1)/2)*(Inputs!$J$6-Inputs!$I$6)))/Inputs!$K$6)^2))^2))-((Inputs!$H$6+Inputs!$L$6*(((Inputs!$I$6+(((A80)+1)/2)*(Inputs!$J$6-Inputs!$I$6)))/Inputs!$K$6)^2)))*1000/Inputs!$C$12)</f>
        <v>746.44140104912105</v>
      </c>
      <c r="AG80" s="9">
        <f>(((SQRT(((Inputs!$I$7+(((A80)+1)/2)*(Inputs!$J$7-Inputs!$I$7)))^2+Inputs!$C$6^2+((Inputs!$H$7+Inputs!$L$7*(((Inputs!$I$7+(((A80)+1)/2)*(Inputs!$J$7-Inputs!$I$7)))/Inputs!$K$7)^2))^2))-((Inputs!$H$7+Inputs!$L$7*(((Inputs!$I$7+(((A80)+1)/2)*(Inputs!$J$7-Inputs!$I$7)))/Inputs!$K$7)^2)))*1000/Inputs!$C$12)</f>
        <v>46808.104190849153</v>
      </c>
      <c r="AH80" s="9">
        <f>(((SQRT(((Inputs!$I$8+(((A80)+1)/2)*(Inputs!$J$8-Inputs!$I$8)))^2+Inputs!$C$6^2+((Inputs!$H$8+Inputs!$L$8*(((Inputs!$I$8+(((A80)+1)/2)*(Inputs!$J$8-Inputs!$I$8)))/Inputs!$K$8)^2))^2))-((Inputs!$H$8+Inputs!$L$8*(((Inputs!$I$8+(((A80)+1)/2)*(Inputs!$J$8-Inputs!$I$8)))/Inputs!$K$8)^2)))*1000/Inputs!$C$12)</f>
        <v>93787.786346283683</v>
      </c>
      <c r="AI80" s="9">
        <f>(((SQRT(((Inputs!$I$9+(((A80)+1)/2)*(Inputs!$J$9-Inputs!$I$9)))^2+Inputs!$C$6^2+((Inputs!$H$9+Inputs!$L$9*(((Inputs!$I$9+(((A80)+1)/2)*(Inputs!$J$9-Inputs!$I$9)))/Inputs!$K$9)^2))^2))-((Inputs!$H$9+Inputs!$L$9*(((Inputs!$I$9+(((A80)+1)/2)*(Inputs!$J$9-Inputs!$I$9)))/Inputs!$K$9)^2)))*1000/Inputs!$C$12)</f>
        <v>96411.151481708919</v>
      </c>
      <c r="AJ80" s="10"/>
      <c r="AK80" s="9">
        <f t="shared" si="11"/>
        <v>-0.35</v>
      </c>
      <c r="AL80" s="9">
        <f>(-2*((1000*((((Inputs!$I$6+(((A80)+1)/2)*(Inputs!$J$6-Inputs!$I$6)))*Inputs!$C$11+((Inputs!$H$6+Inputs!$L$6*(((Inputs!$I$6+(((A80)+1)/2)*(Inputs!$J$6-Inputs!$I$6)))/Inputs!$K$6)^2))*((2*Inputs!$L$6*((Inputs!$I$6+(((A80)+1)/2)*(Inputs!$J$6-Inputs!$I$6)))/(Inputs!$K$6^2)*Inputs!$C$11)))/(SQRT(((Inputs!$I$6+(((A80)+1)/2)*(Inputs!$J$6-Inputs!$I$6)))^2+Inputs!$C$6^2+((Inputs!$H$6+Inputs!$L$6*(((Inputs!$I$6+(((A80)+1)/2)*(Inputs!$J$6-Inputs!$I$6)))/Inputs!$K$6)^2))^2)))))/Inputs!$C$13)</f>
        <v>158.03958042535132</v>
      </c>
      <c r="AM80" s="9">
        <f>(-2*((1000*((((Inputs!$I$7+(((A80)+1)/2)*(Inputs!$J$7-Inputs!$I$7)))*Inputs!$C$11+((Inputs!$H$7+Inputs!$L$7*(((Inputs!$I$7+(((A80)+1)/2)*(Inputs!$J$7-Inputs!$I$7)))/Inputs!$K$7)^2))*((2*Inputs!$L$7*((Inputs!$I$7+(((A80)+1)/2)*(Inputs!$J$7-Inputs!$I$7)))/(Inputs!$K$7^2)*Inputs!$C$11)))/(SQRT(((Inputs!$I$7+(((A80)+1)/2)*(Inputs!$J$7-Inputs!$I$7)))^2+Inputs!$C$6^2+((Inputs!$H$7+Inputs!$L$7*(((Inputs!$I$7+(((A80)+1)/2)*(Inputs!$J$7-Inputs!$I$7)))/Inputs!$K$7)^2))^2)))))/Inputs!$C$13)</f>
        <v>1873.6701281591352</v>
      </c>
      <c r="AN80" s="9">
        <f>(-2*((1000*((((Inputs!$I$8+(((A80)+1)/2)*(Inputs!$J$8-Inputs!$I$8)))*Inputs!$C$11+((Inputs!$H$8+Inputs!$L$8*(((Inputs!$I$8+(((A80)+1)/2)*(Inputs!$J$8-Inputs!$I$8)))/Inputs!$K$8)^2))*((2*Inputs!$L$8*((Inputs!$I$8+(((A80)+1)/2)*(Inputs!$J$8-Inputs!$I$8)))/(Inputs!$K$8^2)*Inputs!$C$11)))/(SQRT(((Inputs!$I$8+(((A80)+1)/2)*(Inputs!$J$8-Inputs!$I$8)))^2+Inputs!$C$6^2+((Inputs!$H$8+Inputs!$L$8*(((Inputs!$I$8+(((A80)+1)/2)*(Inputs!$J$8-Inputs!$I$8)))/Inputs!$K$8)^2))^2)))))/Inputs!$C$13)</f>
        <v>2045.8545989481845</v>
      </c>
      <c r="AO80" s="9">
        <f>(-2*((1000*((((Inputs!$I$9+(((A80)+1)/2)*(Inputs!$J$9-Inputs!$I$9)))*Inputs!$C$11+((Inputs!$H$9+Inputs!$L$9*(((Inputs!$I$9+(((A80)+1)/2)*(Inputs!$J$9-Inputs!$I$9)))/Inputs!$K$9)^2))*((2*Inputs!$L$9*((Inputs!$I$9+(((A80)+1)/2)*(Inputs!$J$9-Inputs!$I$9)))/(Inputs!$K$9^2)*Inputs!$C$11)))/(SQRT(((Inputs!$I$9+(((A80)+1)/2)*(Inputs!$J$9-Inputs!$I$9)))^2+Inputs!$C$6^2+((Inputs!$H$9+Inputs!$L$9*(((Inputs!$I$9+(((A80)+1)/2)*(Inputs!$J$9-Inputs!$I$9)))/Inputs!$K$9)^2))^2)))))/Inputs!$C$13)</f>
        <v>2041.3178772242259</v>
      </c>
    </row>
    <row r="81" spans="1:41">
      <c r="A81" s="9">
        <f>ROUND(-1+79*2/240,3)</f>
        <v>-0.34200000000000003</v>
      </c>
      <c r="B81" s="9">
        <f>IF(OR(Inputs!$F$6=TRUE,Inputs!$F$6="TRUE",Inputs!$F$6=1),(Inputs!$H$6+Inputs!$L$6*(((Inputs!$I$6+(((A81)+1)/2)*(Inputs!$J$6-Inputs!$I$6)))/Inputs!$K$6)^2),NA())</f>
        <v>400.46785599999998</v>
      </c>
      <c r="C81" s="9">
        <f>IF(OR(Inputs!$F$7=TRUE,Inputs!$F$7="TRUE",Inputs!$F$7=1),(Inputs!$H$7+Inputs!$L$7*(((Inputs!$I$7+(((A81)+1)/2)*(Inputs!$J$7-Inputs!$I$7)))/Inputs!$K$7)^2),NA())</f>
        <v>77.691860000000005</v>
      </c>
      <c r="D81" s="9">
        <f>IF(OR(Inputs!$F$8=TRUE,Inputs!$F$8="TRUE",Inputs!$F$8=1),(Inputs!$H$8+Inputs!$L$8*(((Inputs!$I$8+(((A81)+1)/2)*(Inputs!$J$8-Inputs!$I$8)))/Inputs!$K$8)^2),NA())</f>
        <v>147.87026000000003</v>
      </c>
      <c r="E81" s="9">
        <f>IF(OR(Inputs!$F$9=TRUE,Inputs!$F$9="TRUE",Inputs!$F$9=1),(Inputs!$H$9+Inputs!$L$9*(((Inputs!$I$9+(((A81)+1)/2)*(Inputs!$J$9-Inputs!$I$9)))/Inputs!$K$9)^2),NA())</f>
        <v>139.03990000000002</v>
      </c>
      <c r="F81" s="10"/>
      <c r="G81" s="9">
        <f t="shared" si="6"/>
        <v>-0.34200000000000003</v>
      </c>
      <c r="H81" s="9">
        <f>IF(OR(Inputs!$F$6=TRUE,Inputs!$F$6="TRUE",Inputs!$F$6=1),(((SQRT(((Inputs!$I$6+(((A81)+1)/2)*(Inputs!$J$6-Inputs!$I$6)))^2+Inputs!$C$6^2+((Inputs!$H$6+Inputs!$L$6*(((Inputs!$I$6+(((A81)+1)/2)*(Inputs!$J$6-Inputs!$I$6)))/Inputs!$K$6)^2))^2))-((Inputs!$H$6+Inputs!$L$6*(((Inputs!$I$6+(((A81)+1)/2)*(Inputs!$J$6-Inputs!$I$6)))/Inputs!$K$6)^2)))*1000/Inputs!$C$12),NA())</f>
        <v>732.54918319297133</v>
      </c>
      <c r="I81" s="9">
        <f>IF(OR(Inputs!$F$7=TRUE,Inputs!$F$7="TRUE",Inputs!$F$7=1),(((SQRT(((Inputs!$I$7+(((A81)+1)/2)*(Inputs!$J$7-Inputs!$I$7)))^2+Inputs!$C$6^2+((Inputs!$H$7+Inputs!$L$7*(((Inputs!$I$7+(((A81)+1)/2)*(Inputs!$J$7-Inputs!$I$7)))/Inputs!$K$7)^2))^2))-((Inputs!$H$7+Inputs!$L$7*(((Inputs!$I$7+(((A81)+1)/2)*(Inputs!$J$7-Inputs!$I$7)))/Inputs!$K$7)^2)))*1000/Inputs!$C$12),NA())</f>
        <v>45845.109748898431</v>
      </c>
      <c r="J81" s="9">
        <f>IF(OR(Inputs!$F$8=TRUE,Inputs!$F$8="TRUE",Inputs!$F$8=1),(((SQRT(((Inputs!$I$8+(((A81)+1)/2)*(Inputs!$J$8-Inputs!$I$8)))^2+Inputs!$C$6^2+((Inputs!$H$8+Inputs!$L$8*(((Inputs!$I$8+(((A81)+1)/2)*(Inputs!$J$8-Inputs!$I$8)))/Inputs!$K$8)^2))^2))-((Inputs!$H$8+Inputs!$L$8*(((Inputs!$I$8+(((A81)+1)/2)*(Inputs!$J$8-Inputs!$I$8)))/Inputs!$K$8)^2)))*1000/Inputs!$C$12),NA())</f>
        <v>92210.936617389627</v>
      </c>
      <c r="K81" s="9">
        <f>IF(OR(Inputs!$F$9=TRUE,Inputs!$F$9="TRUE",Inputs!$F$9=1),(((SQRT(((Inputs!$I$9+(((A81)+1)/2)*(Inputs!$J$9-Inputs!$I$9)))^2+Inputs!$C$6^2+((Inputs!$H$9+Inputs!$L$9*(((Inputs!$I$9+(((A81)+1)/2)*(Inputs!$J$9-Inputs!$I$9)))/Inputs!$K$9)^2))^2))-((Inputs!$H$9+Inputs!$L$9*(((Inputs!$I$9+(((A81)+1)/2)*(Inputs!$J$9-Inputs!$I$9)))/Inputs!$K$9)^2)))*1000/Inputs!$C$12),NA())</f>
        <v>94875.847088928262</v>
      </c>
      <c r="L81" s="10"/>
      <c r="M81" s="9">
        <f t="shared" si="7"/>
        <v>-0.34200000000000003</v>
      </c>
      <c r="N81" s="9">
        <f>IF(OR(Inputs!$F$6=TRUE,Inputs!$F$6="TRUE",Inputs!$F$6=1),(-2*((1000*((((Inputs!$I$6+(((A81)+1)/2)*(Inputs!$J$6-Inputs!$I$6)))*Inputs!$C$11+((Inputs!$H$6+Inputs!$L$6*(((Inputs!$I$6+(((A81)+1)/2)*(Inputs!$J$6-Inputs!$I$6)))/Inputs!$K$6)^2))*((2*Inputs!$L$6*((Inputs!$I$6+(((A81)+1)/2)*(Inputs!$J$6-Inputs!$I$6)))/(Inputs!$K$6^2)*Inputs!$C$11)))/(SQRT(((Inputs!$I$6+(((A81)+1)/2)*(Inputs!$J$6-Inputs!$I$6)))^2+Inputs!$C$6^2+((Inputs!$H$6+Inputs!$L$6*(((Inputs!$I$6+(((A81)+1)/2)*(Inputs!$J$6-Inputs!$I$6)))/Inputs!$K$6)^2))^2)))))/Inputs!$C$13),NA())</f>
        <v>154.44124194508149</v>
      </c>
      <c r="O81" s="9">
        <f>IF(OR(Inputs!$F$7=TRUE,Inputs!$F$7="TRUE",Inputs!$F$7=1),(-2*((1000*((((Inputs!$I$7+(((A81)+1)/2)*(Inputs!$J$7-Inputs!$I$7)))*Inputs!$C$11+((Inputs!$H$7+Inputs!$L$7*(((Inputs!$I$7+(((A81)+1)/2)*(Inputs!$J$7-Inputs!$I$7)))/Inputs!$K$7)^2))*((2*Inputs!$L$7*((Inputs!$I$7+(((A81)+1)/2)*(Inputs!$J$7-Inputs!$I$7)))/(Inputs!$K$7^2)*Inputs!$C$11)))/(SQRT(((Inputs!$I$7+(((A81)+1)/2)*(Inputs!$J$7-Inputs!$I$7)))^2+Inputs!$C$6^2+((Inputs!$H$7+Inputs!$L$7*(((Inputs!$I$7+(((A81)+1)/2)*(Inputs!$J$7-Inputs!$I$7)))/Inputs!$K$7)^2))^2)))))/Inputs!$C$13),NA())</f>
        <v>1861.1007805766465</v>
      </c>
      <c r="P81" s="9">
        <f>IF(OR(Inputs!$F$8=TRUE,Inputs!$F$8="TRUE",Inputs!$F$8=1),(-2*((1000*((((Inputs!$I$8+(((A81)+1)/2)*(Inputs!$J$8-Inputs!$I$8)))*Inputs!$C$11+((Inputs!$H$8+Inputs!$L$8*(((Inputs!$I$8+(((A81)+1)/2)*(Inputs!$J$8-Inputs!$I$8)))/Inputs!$K$8)^2))*((2*Inputs!$L$8*((Inputs!$I$8+(((A81)+1)/2)*(Inputs!$J$8-Inputs!$I$8)))/(Inputs!$K$8^2)*Inputs!$C$11)))/(SQRT(((Inputs!$I$8+(((A81)+1)/2)*(Inputs!$J$8-Inputs!$I$8)))^2+Inputs!$C$6^2+((Inputs!$H$8+Inputs!$L$8*(((Inputs!$I$8+(((A81)+1)/2)*(Inputs!$J$8-Inputs!$I$8)))/Inputs!$K$8)^2))^2)))))/Inputs!$C$13),NA())</f>
        <v>2028.7015028674673</v>
      </c>
      <c r="Q81" s="9">
        <f>IF(OR(Inputs!$F$9=TRUE,Inputs!$F$9="TRUE",Inputs!$F$9=1),(-2*((1000*((((Inputs!$I$9+(((A81)+1)/2)*(Inputs!$J$9-Inputs!$I$9)))*Inputs!$C$11+((Inputs!$H$9+Inputs!$L$9*(((Inputs!$I$9+(((A81)+1)/2)*(Inputs!$J$9-Inputs!$I$9)))/Inputs!$K$9)^2))*((2*Inputs!$L$9*((Inputs!$I$9+(((A81)+1)/2)*(Inputs!$J$9-Inputs!$I$9)))/(Inputs!$K$9^2)*Inputs!$C$11)))/(SQRT(((Inputs!$I$9+(((A81)+1)/2)*(Inputs!$J$9-Inputs!$I$9)))^2+Inputs!$C$6^2+((Inputs!$H$9+Inputs!$L$9*(((Inputs!$I$9+(((A81)+1)/2)*(Inputs!$J$9-Inputs!$I$9)))/Inputs!$K$9)^2))^2)))))/Inputs!$C$13),NA())</f>
        <v>2023.9465742317025</v>
      </c>
      <c r="R81" s="10"/>
      <c r="S81" s="9">
        <f t="shared" si="8"/>
        <v>-0.34200000000000003</v>
      </c>
      <c r="T81" s="9">
        <f>(Inputs!$I$6+(((A81)+1)/2)*(Inputs!$J$6-Inputs!$I$6))</f>
        <v>-20.520000000000003</v>
      </c>
      <c r="U81" s="9">
        <f>(Inputs!$I$7+(((A81)+1)/2)*(Inputs!$J$7-Inputs!$I$7))</f>
        <v>-136.80000000000001</v>
      </c>
      <c r="V81" s="9">
        <f>(Inputs!$I$8+(((A81)+1)/2)*(Inputs!$J$8-Inputs!$I$8))</f>
        <v>-273.60000000000002</v>
      </c>
      <c r="W81" s="9">
        <f>(Inputs!$I$9+(((A81)+1)/2)*(Inputs!$J$9-Inputs!$I$9))</f>
        <v>-273.60000000000002</v>
      </c>
      <c r="X81" s="10"/>
      <c r="Y81" s="9">
        <f t="shared" si="9"/>
        <v>-0.34200000000000003</v>
      </c>
      <c r="Z81" s="9">
        <f>(Inputs!$H$6+Inputs!$L$6*(((Inputs!$I$6+(((A81)+1)/2)*(Inputs!$J$6-Inputs!$I$6)))/Inputs!$K$6)^2)</f>
        <v>400.46785599999998</v>
      </c>
      <c r="AA81" s="9">
        <f>(Inputs!$H$7+Inputs!$L$7*(((Inputs!$I$7+(((A81)+1)/2)*(Inputs!$J$7-Inputs!$I$7)))/Inputs!$K$7)^2)</f>
        <v>77.691860000000005</v>
      </c>
      <c r="AB81" s="9">
        <f>(Inputs!$H$8+Inputs!$L$8*(((Inputs!$I$8+(((A81)+1)/2)*(Inputs!$J$8-Inputs!$I$8)))/Inputs!$K$8)^2)</f>
        <v>147.87026000000003</v>
      </c>
      <c r="AC81" s="9">
        <f>(Inputs!$H$9+Inputs!$L$9*(((Inputs!$I$9+(((A81)+1)/2)*(Inputs!$J$9-Inputs!$I$9)))/Inputs!$K$9)^2)</f>
        <v>139.03990000000002</v>
      </c>
      <c r="AD81" s="10"/>
      <c r="AE81" s="9">
        <f t="shared" si="10"/>
        <v>-0.34200000000000003</v>
      </c>
      <c r="AF81" s="9">
        <f>(((SQRT(((Inputs!$I$6+(((A81)+1)/2)*(Inputs!$J$6-Inputs!$I$6)))^2+Inputs!$C$6^2+((Inputs!$H$6+Inputs!$L$6*(((Inputs!$I$6+(((A81)+1)/2)*(Inputs!$J$6-Inputs!$I$6)))/Inputs!$K$6)^2))^2))-((Inputs!$H$6+Inputs!$L$6*(((Inputs!$I$6+(((A81)+1)/2)*(Inputs!$J$6-Inputs!$I$6)))/Inputs!$K$6)^2)))*1000/Inputs!$C$12)</f>
        <v>732.54918319297133</v>
      </c>
      <c r="AG81" s="9">
        <f>(((SQRT(((Inputs!$I$7+(((A81)+1)/2)*(Inputs!$J$7-Inputs!$I$7)))^2+Inputs!$C$6^2+((Inputs!$H$7+Inputs!$L$7*(((Inputs!$I$7+(((A81)+1)/2)*(Inputs!$J$7-Inputs!$I$7)))/Inputs!$K$7)^2))^2))-((Inputs!$H$7+Inputs!$L$7*(((Inputs!$I$7+(((A81)+1)/2)*(Inputs!$J$7-Inputs!$I$7)))/Inputs!$K$7)^2)))*1000/Inputs!$C$12)</f>
        <v>45845.109748898431</v>
      </c>
      <c r="AH81" s="9">
        <f>(((SQRT(((Inputs!$I$8+(((A81)+1)/2)*(Inputs!$J$8-Inputs!$I$8)))^2+Inputs!$C$6^2+((Inputs!$H$8+Inputs!$L$8*(((Inputs!$I$8+(((A81)+1)/2)*(Inputs!$J$8-Inputs!$I$8)))/Inputs!$K$8)^2))^2))-((Inputs!$H$8+Inputs!$L$8*(((Inputs!$I$8+(((A81)+1)/2)*(Inputs!$J$8-Inputs!$I$8)))/Inputs!$K$8)^2)))*1000/Inputs!$C$12)</f>
        <v>92210.936617389627</v>
      </c>
      <c r="AI81" s="9">
        <f>(((SQRT(((Inputs!$I$9+(((A81)+1)/2)*(Inputs!$J$9-Inputs!$I$9)))^2+Inputs!$C$6^2+((Inputs!$H$9+Inputs!$L$9*(((Inputs!$I$9+(((A81)+1)/2)*(Inputs!$J$9-Inputs!$I$9)))/Inputs!$K$9)^2))^2))-((Inputs!$H$9+Inputs!$L$9*(((Inputs!$I$9+(((A81)+1)/2)*(Inputs!$J$9-Inputs!$I$9)))/Inputs!$K$9)^2)))*1000/Inputs!$C$12)</f>
        <v>94875.847088928262</v>
      </c>
      <c r="AJ81" s="10"/>
      <c r="AK81" s="9">
        <f t="shared" si="11"/>
        <v>-0.34200000000000003</v>
      </c>
      <c r="AL81" s="9">
        <f>(-2*((1000*((((Inputs!$I$6+(((A81)+1)/2)*(Inputs!$J$6-Inputs!$I$6)))*Inputs!$C$11+((Inputs!$H$6+Inputs!$L$6*(((Inputs!$I$6+(((A81)+1)/2)*(Inputs!$J$6-Inputs!$I$6)))/Inputs!$K$6)^2))*((2*Inputs!$L$6*((Inputs!$I$6+(((A81)+1)/2)*(Inputs!$J$6-Inputs!$I$6)))/(Inputs!$K$6^2)*Inputs!$C$11)))/(SQRT(((Inputs!$I$6+(((A81)+1)/2)*(Inputs!$J$6-Inputs!$I$6)))^2+Inputs!$C$6^2+((Inputs!$H$6+Inputs!$L$6*(((Inputs!$I$6+(((A81)+1)/2)*(Inputs!$J$6-Inputs!$I$6)))/Inputs!$K$6)^2))^2)))))/Inputs!$C$13)</f>
        <v>154.44124194508149</v>
      </c>
      <c r="AM81" s="9">
        <f>(-2*((1000*((((Inputs!$I$7+(((A81)+1)/2)*(Inputs!$J$7-Inputs!$I$7)))*Inputs!$C$11+((Inputs!$H$7+Inputs!$L$7*(((Inputs!$I$7+(((A81)+1)/2)*(Inputs!$J$7-Inputs!$I$7)))/Inputs!$K$7)^2))*((2*Inputs!$L$7*((Inputs!$I$7+(((A81)+1)/2)*(Inputs!$J$7-Inputs!$I$7)))/(Inputs!$K$7^2)*Inputs!$C$11)))/(SQRT(((Inputs!$I$7+(((A81)+1)/2)*(Inputs!$J$7-Inputs!$I$7)))^2+Inputs!$C$6^2+((Inputs!$H$7+Inputs!$L$7*(((Inputs!$I$7+(((A81)+1)/2)*(Inputs!$J$7-Inputs!$I$7)))/Inputs!$K$7)^2))^2)))))/Inputs!$C$13)</f>
        <v>1861.1007805766465</v>
      </c>
      <c r="AN81" s="9">
        <f>(-2*((1000*((((Inputs!$I$8+(((A81)+1)/2)*(Inputs!$J$8-Inputs!$I$8)))*Inputs!$C$11+((Inputs!$H$8+Inputs!$L$8*(((Inputs!$I$8+(((A81)+1)/2)*(Inputs!$J$8-Inputs!$I$8)))/Inputs!$K$8)^2))*((2*Inputs!$L$8*((Inputs!$I$8+(((A81)+1)/2)*(Inputs!$J$8-Inputs!$I$8)))/(Inputs!$K$8^2)*Inputs!$C$11)))/(SQRT(((Inputs!$I$8+(((A81)+1)/2)*(Inputs!$J$8-Inputs!$I$8)))^2+Inputs!$C$6^2+((Inputs!$H$8+Inputs!$L$8*(((Inputs!$I$8+(((A81)+1)/2)*(Inputs!$J$8-Inputs!$I$8)))/Inputs!$K$8)^2))^2)))))/Inputs!$C$13)</f>
        <v>2028.7015028674673</v>
      </c>
      <c r="AO81" s="9">
        <f>(-2*((1000*((((Inputs!$I$9+(((A81)+1)/2)*(Inputs!$J$9-Inputs!$I$9)))*Inputs!$C$11+((Inputs!$H$9+Inputs!$L$9*(((Inputs!$I$9+(((A81)+1)/2)*(Inputs!$J$9-Inputs!$I$9)))/Inputs!$K$9)^2))*((2*Inputs!$L$9*((Inputs!$I$9+(((A81)+1)/2)*(Inputs!$J$9-Inputs!$I$9)))/(Inputs!$K$9^2)*Inputs!$C$11)))/(SQRT(((Inputs!$I$9+(((A81)+1)/2)*(Inputs!$J$9-Inputs!$I$9)))^2+Inputs!$C$6^2+((Inputs!$H$9+Inputs!$L$9*(((Inputs!$I$9+(((A81)+1)/2)*(Inputs!$J$9-Inputs!$I$9)))/Inputs!$K$9)^2))^2)))))/Inputs!$C$13)</f>
        <v>2023.9465742317025</v>
      </c>
    </row>
    <row r="82" spans="1:41">
      <c r="A82" s="9">
        <f>ROUND(-1+80*2/240,3)</f>
        <v>-0.33300000000000002</v>
      </c>
      <c r="B82" s="9">
        <f>IF(OR(Inputs!$F$6=TRUE,Inputs!$F$6="TRUE",Inputs!$F$6=1),(Inputs!$H$6+Inputs!$L$6*(((Inputs!$I$6+(((A82)+1)/2)*(Inputs!$J$6-Inputs!$I$6)))/Inputs!$K$6)^2),NA())</f>
        <v>400.443556</v>
      </c>
      <c r="C82" s="9">
        <f>IF(OR(Inputs!$F$7=TRUE,Inputs!$F$7="TRUE",Inputs!$F$7=1),(Inputs!$H$7+Inputs!$L$7*(((Inputs!$I$7+(((A82)+1)/2)*(Inputs!$J$7-Inputs!$I$7)))/Inputs!$K$7)^2),NA())</f>
        <v>75.474484999999987</v>
      </c>
      <c r="D82" s="9">
        <f>IF(OR(Inputs!$F$8=TRUE,Inputs!$F$8="TRUE",Inputs!$F$8=1),(Inputs!$H$8+Inputs!$L$8*(((Inputs!$I$8+(((A82)+1)/2)*(Inputs!$J$8-Inputs!$I$8)))/Inputs!$K$8)^2),NA())</f>
        <v>142.00788499999999</v>
      </c>
      <c r="E82" s="9">
        <f>IF(OR(Inputs!$F$9=TRUE,Inputs!$F$9="TRUE",Inputs!$F$9=1),(Inputs!$H$9+Inputs!$L$9*(((Inputs!$I$9+(((A82)+1)/2)*(Inputs!$J$9-Inputs!$I$9)))/Inputs!$K$9)^2),NA())</f>
        <v>133.11677499999996</v>
      </c>
      <c r="F82" s="10"/>
      <c r="G82" s="9">
        <f t="shared" si="6"/>
        <v>-0.33300000000000002</v>
      </c>
      <c r="H82" s="9">
        <f>IF(OR(Inputs!$F$6=TRUE,Inputs!$F$6="TRUE",Inputs!$F$6=1),(((SQRT(((Inputs!$I$6+(((A82)+1)/2)*(Inputs!$J$6-Inputs!$I$6)))^2+Inputs!$C$6^2+((Inputs!$H$6+Inputs!$L$6*(((Inputs!$I$6+(((A82)+1)/2)*(Inputs!$J$6-Inputs!$I$6)))/Inputs!$K$6)^2))^2))-((Inputs!$H$6+Inputs!$L$6*(((Inputs!$I$6+(((A82)+1)/2)*(Inputs!$J$6-Inputs!$I$6)))/Inputs!$K$6)^2)))*1000/Inputs!$C$12),NA())</f>
        <v>717.30163468477042</v>
      </c>
      <c r="I82" s="9">
        <f>IF(OR(Inputs!$F$7=TRUE,Inputs!$F$7="TRUE",Inputs!$F$7=1),(((SQRT(((Inputs!$I$7+(((A82)+1)/2)*(Inputs!$J$7-Inputs!$I$7)))^2+Inputs!$C$6^2+((Inputs!$H$7+Inputs!$L$7*(((Inputs!$I$7+(((A82)+1)/2)*(Inputs!$J$7-Inputs!$I$7)))/Inputs!$K$7)^2))^2))-((Inputs!$H$7+Inputs!$L$7*(((Inputs!$I$7+(((A82)+1)/2)*(Inputs!$J$7-Inputs!$I$7)))/Inputs!$K$7)^2)))*1000/Inputs!$C$12),NA())</f>
        <v>44747.249028231498</v>
      </c>
      <c r="J82" s="9">
        <f>IF(OR(Inputs!$F$8=TRUE,Inputs!$F$8="TRUE",Inputs!$F$8=1),(((SQRT(((Inputs!$I$8+(((A82)+1)/2)*(Inputs!$J$8-Inputs!$I$8)))^2+Inputs!$C$6^2+((Inputs!$H$8+Inputs!$L$8*(((Inputs!$I$8+(((A82)+1)/2)*(Inputs!$J$8-Inputs!$I$8)))/Inputs!$K$8)^2))^2))-((Inputs!$H$8+Inputs!$L$8*(((Inputs!$I$8+(((A82)+1)/2)*(Inputs!$J$8-Inputs!$I$8)))/Inputs!$K$8)^2)))*1000/Inputs!$C$12),NA())</f>
        <v>90399.761380134005</v>
      </c>
      <c r="K82" s="9">
        <f>IF(OR(Inputs!$F$9=TRUE,Inputs!$F$9="TRUE",Inputs!$F$9=1),(((SQRT(((Inputs!$I$9+(((A82)+1)/2)*(Inputs!$J$9-Inputs!$I$9)))^2+Inputs!$C$6^2+((Inputs!$H$9+Inputs!$L$9*(((Inputs!$I$9+(((A82)+1)/2)*(Inputs!$J$9-Inputs!$I$9)))/Inputs!$K$9)^2))^2))-((Inputs!$H$9+Inputs!$L$9*(((Inputs!$I$9+(((A82)+1)/2)*(Inputs!$J$9-Inputs!$I$9)))/Inputs!$K$9)^2)))*1000/Inputs!$C$12),NA())</f>
        <v>93111.103657929809</v>
      </c>
      <c r="L82" s="10"/>
      <c r="M82" s="9">
        <f t="shared" si="7"/>
        <v>-0.33300000000000002</v>
      </c>
      <c r="N82" s="9">
        <f>IF(OR(Inputs!$F$6=TRUE,Inputs!$F$6="TRUE",Inputs!$F$6=1),(-2*((1000*((((Inputs!$I$6+(((A82)+1)/2)*(Inputs!$J$6-Inputs!$I$6)))*Inputs!$C$11+((Inputs!$H$6+Inputs!$L$6*(((Inputs!$I$6+(((A82)+1)/2)*(Inputs!$J$6-Inputs!$I$6)))/Inputs!$K$6)^2))*((2*Inputs!$L$6*((Inputs!$I$6+(((A82)+1)/2)*(Inputs!$J$6-Inputs!$I$6)))/(Inputs!$K$6^2)*Inputs!$C$11)))/(SQRT(((Inputs!$I$6+(((A82)+1)/2)*(Inputs!$J$6-Inputs!$I$6)))^2+Inputs!$C$6^2+((Inputs!$H$6+Inputs!$L$6*(((Inputs!$I$6+(((A82)+1)/2)*(Inputs!$J$6-Inputs!$I$6)))/Inputs!$K$6)^2))^2)))))/Inputs!$C$13),NA())</f>
        <v>150.39195744163487</v>
      </c>
      <c r="O82" s="9">
        <f>IF(OR(Inputs!$F$7=TRUE,Inputs!$F$7="TRUE",Inputs!$F$7=1),(-2*((1000*((((Inputs!$I$7+(((A82)+1)/2)*(Inputs!$J$7-Inputs!$I$7)))*Inputs!$C$11+((Inputs!$H$7+Inputs!$L$7*(((Inputs!$I$7+(((A82)+1)/2)*(Inputs!$J$7-Inputs!$I$7)))/Inputs!$K$7)^2))*((2*Inputs!$L$7*((Inputs!$I$7+(((A82)+1)/2)*(Inputs!$J$7-Inputs!$I$7)))/(Inputs!$K$7^2)*Inputs!$C$11)))/(SQRT(((Inputs!$I$7+(((A82)+1)/2)*(Inputs!$J$7-Inputs!$I$7)))^2+Inputs!$C$6^2+((Inputs!$H$7+Inputs!$L$7*(((Inputs!$I$7+(((A82)+1)/2)*(Inputs!$J$7-Inputs!$I$7)))/Inputs!$K$7)^2))^2)))))/Inputs!$C$13),NA())</f>
        <v>1846.9565233298551</v>
      </c>
      <c r="P82" s="9">
        <f>IF(OR(Inputs!$F$8=TRUE,Inputs!$F$8="TRUE",Inputs!$F$8=1),(-2*((1000*((((Inputs!$I$8+(((A82)+1)/2)*(Inputs!$J$8-Inputs!$I$8)))*Inputs!$C$11+((Inputs!$H$8+Inputs!$L$8*(((Inputs!$I$8+(((A82)+1)/2)*(Inputs!$J$8-Inputs!$I$8)))/Inputs!$K$8)^2))*((2*Inputs!$L$8*((Inputs!$I$8+(((A82)+1)/2)*(Inputs!$J$8-Inputs!$I$8)))/(Inputs!$K$8^2)*Inputs!$C$11)))/(SQRT(((Inputs!$I$8+(((A82)+1)/2)*(Inputs!$J$8-Inputs!$I$8)))^2+Inputs!$C$6^2+((Inputs!$H$8+Inputs!$L$8*(((Inputs!$I$8+(((A82)+1)/2)*(Inputs!$J$8-Inputs!$I$8)))/Inputs!$K$8)^2))^2)))))/Inputs!$C$13),NA())</f>
        <v>2009.6896208171511</v>
      </c>
      <c r="Q82" s="9">
        <f>IF(OR(Inputs!$F$9=TRUE,Inputs!$F$9="TRUE",Inputs!$F$9=1),(-2*((1000*((((Inputs!$I$9+(((A82)+1)/2)*(Inputs!$J$9-Inputs!$I$9)))*Inputs!$C$11+((Inputs!$H$9+Inputs!$L$9*(((Inputs!$I$9+(((A82)+1)/2)*(Inputs!$J$9-Inputs!$I$9)))/Inputs!$K$9)^2))*((2*Inputs!$L$9*((Inputs!$I$9+(((A82)+1)/2)*(Inputs!$J$9-Inputs!$I$9)))/(Inputs!$K$9^2)*Inputs!$C$11)))/(SQRT(((Inputs!$I$9+(((A82)+1)/2)*(Inputs!$J$9-Inputs!$I$9)))^2+Inputs!$C$6^2+((Inputs!$H$9+Inputs!$L$9*(((Inputs!$I$9+(((A82)+1)/2)*(Inputs!$J$9-Inputs!$I$9)))/Inputs!$K$9)^2))^2)))))/Inputs!$C$13),NA())</f>
        <v>2004.7169324333365</v>
      </c>
      <c r="R82" s="10"/>
      <c r="S82" s="9">
        <f t="shared" si="8"/>
        <v>-0.33300000000000002</v>
      </c>
      <c r="T82" s="9">
        <f>(Inputs!$I$6+(((A82)+1)/2)*(Inputs!$J$6-Inputs!$I$6))</f>
        <v>-19.979999999999997</v>
      </c>
      <c r="U82" s="9">
        <f>(Inputs!$I$7+(((A82)+1)/2)*(Inputs!$J$7-Inputs!$I$7))</f>
        <v>-133.19999999999999</v>
      </c>
      <c r="V82" s="9">
        <f>(Inputs!$I$8+(((A82)+1)/2)*(Inputs!$J$8-Inputs!$I$8))</f>
        <v>-266.39999999999998</v>
      </c>
      <c r="W82" s="9">
        <f>(Inputs!$I$9+(((A82)+1)/2)*(Inputs!$J$9-Inputs!$I$9))</f>
        <v>-266.39999999999998</v>
      </c>
      <c r="X82" s="10"/>
      <c r="Y82" s="9">
        <f t="shared" si="9"/>
        <v>-0.33300000000000002</v>
      </c>
      <c r="Z82" s="9">
        <f>(Inputs!$H$6+Inputs!$L$6*(((Inputs!$I$6+(((A82)+1)/2)*(Inputs!$J$6-Inputs!$I$6)))/Inputs!$K$6)^2)</f>
        <v>400.443556</v>
      </c>
      <c r="AA82" s="9">
        <f>(Inputs!$H$7+Inputs!$L$7*(((Inputs!$I$7+(((A82)+1)/2)*(Inputs!$J$7-Inputs!$I$7)))/Inputs!$K$7)^2)</f>
        <v>75.474484999999987</v>
      </c>
      <c r="AB82" s="9">
        <f>(Inputs!$H$8+Inputs!$L$8*(((Inputs!$I$8+(((A82)+1)/2)*(Inputs!$J$8-Inputs!$I$8)))/Inputs!$K$8)^2)</f>
        <v>142.00788499999999</v>
      </c>
      <c r="AC82" s="9">
        <f>(Inputs!$H$9+Inputs!$L$9*(((Inputs!$I$9+(((A82)+1)/2)*(Inputs!$J$9-Inputs!$I$9)))/Inputs!$K$9)^2)</f>
        <v>133.11677499999996</v>
      </c>
      <c r="AD82" s="10"/>
      <c r="AE82" s="9">
        <f t="shared" si="10"/>
        <v>-0.33300000000000002</v>
      </c>
      <c r="AF82" s="9">
        <f>(((SQRT(((Inputs!$I$6+(((A82)+1)/2)*(Inputs!$J$6-Inputs!$I$6)))^2+Inputs!$C$6^2+((Inputs!$H$6+Inputs!$L$6*(((Inputs!$I$6+(((A82)+1)/2)*(Inputs!$J$6-Inputs!$I$6)))/Inputs!$K$6)^2))^2))-((Inputs!$H$6+Inputs!$L$6*(((Inputs!$I$6+(((A82)+1)/2)*(Inputs!$J$6-Inputs!$I$6)))/Inputs!$K$6)^2)))*1000/Inputs!$C$12)</f>
        <v>717.30163468477042</v>
      </c>
      <c r="AG82" s="9">
        <f>(((SQRT(((Inputs!$I$7+(((A82)+1)/2)*(Inputs!$J$7-Inputs!$I$7)))^2+Inputs!$C$6^2+((Inputs!$H$7+Inputs!$L$7*(((Inputs!$I$7+(((A82)+1)/2)*(Inputs!$J$7-Inputs!$I$7)))/Inputs!$K$7)^2))^2))-((Inputs!$H$7+Inputs!$L$7*(((Inputs!$I$7+(((A82)+1)/2)*(Inputs!$J$7-Inputs!$I$7)))/Inputs!$K$7)^2)))*1000/Inputs!$C$12)</f>
        <v>44747.249028231498</v>
      </c>
      <c r="AH82" s="9">
        <f>(((SQRT(((Inputs!$I$8+(((A82)+1)/2)*(Inputs!$J$8-Inputs!$I$8)))^2+Inputs!$C$6^2+((Inputs!$H$8+Inputs!$L$8*(((Inputs!$I$8+(((A82)+1)/2)*(Inputs!$J$8-Inputs!$I$8)))/Inputs!$K$8)^2))^2))-((Inputs!$H$8+Inputs!$L$8*(((Inputs!$I$8+(((A82)+1)/2)*(Inputs!$J$8-Inputs!$I$8)))/Inputs!$K$8)^2)))*1000/Inputs!$C$12)</f>
        <v>90399.761380134005</v>
      </c>
      <c r="AI82" s="9">
        <f>(((SQRT(((Inputs!$I$9+(((A82)+1)/2)*(Inputs!$J$9-Inputs!$I$9)))^2+Inputs!$C$6^2+((Inputs!$H$9+Inputs!$L$9*(((Inputs!$I$9+(((A82)+1)/2)*(Inputs!$J$9-Inputs!$I$9)))/Inputs!$K$9)^2))^2))-((Inputs!$H$9+Inputs!$L$9*(((Inputs!$I$9+(((A82)+1)/2)*(Inputs!$J$9-Inputs!$I$9)))/Inputs!$K$9)^2)))*1000/Inputs!$C$12)</f>
        <v>93111.103657929809</v>
      </c>
      <c r="AJ82" s="10"/>
      <c r="AK82" s="9">
        <f t="shared" si="11"/>
        <v>-0.33300000000000002</v>
      </c>
      <c r="AL82" s="9">
        <f>(-2*((1000*((((Inputs!$I$6+(((A82)+1)/2)*(Inputs!$J$6-Inputs!$I$6)))*Inputs!$C$11+((Inputs!$H$6+Inputs!$L$6*(((Inputs!$I$6+(((A82)+1)/2)*(Inputs!$J$6-Inputs!$I$6)))/Inputs!$K$6)^2))*((2*Inputs!$L$6*((Inputs!$I$6+(((A82)+1)/2)*(Inputs!$J$6-Inputs!$I$6)))/(Inputs!$K$6^2)*Inputs!$C$11)))/(SQRT(((Inputs!$I$6+(((A82)+1)/2)*(Inputs!$J$6-Inputs!$I$6)))^2+Inputs!$C$6^2+((Inputs!$H$6+Inputs!$L$6*(((Inputs!$I$6+(((A82)+1)/2)*(Inputs!$J$6-Inputs!$I$6)))/Inputs!$K$6)^2))^2)))))/Inputs!$C$13)</f>
        <v>150.39195744163487</v>
      </c>
      <c r="AM82" s="9">
        <f>(-2*((1000*((((Inputs!$I$7+(((A82)+1)/2)*(Inputs!$J$7-Inputs!$I$7)))*Inputs!$C$11+((Inputs!$H$7+Inputs!$L$7*(((Inputs!$I$7+(((A82)+1)/2)*(Inputs!$J$7-Inputs!$I$7)))/Inputs!$K$7)^2))*((2*Inputs!$L$7*((Inputs!$I$7+(((A82)+1)/2)*(Inputs!$J$7-Inputs!$I$7)))/(Inputs!$K$7^2)*Inputs!$C$11)))/(SQRT(((Inputs!$I$7+(((A82)+1)/2)*(Inputs!$J$7-Inputs!$I$7)))^2+Inputs!$C$6^2+((Inputs!$H$7+Inputs!$L$7*(((Inputs!$I$7+(((A82)+1)/2)*(Inputs!$J$7-Inputs!$I$7)))/Inputs!$K$7)^2))^2)))))/Inputs!$C$13)</f>
        <v>1846.9565233298551</v>
      </c>
      <c r="AN82" s="9">
        <f>(-2*((1000*((((Inputs!$I$8+(((A82)+1)/2)*(Inputs!$J$8-Inputs!$I$8)))*Inputs!$C$11+((Inputs!$H$8+Inputs!$L$8*(((Inputs!$I$8+(((A82)+1)/2)*(Inputs!$J$8-Inputs!$I$8)))/Inputs!$K$8)^2))*((2*Inputs!$L$8*((Inputs!$I$8+(((A82)+1)/2)*(Inputs!$J$8-Inputs!$I$8)))/(Inputs!$K$8^2)*Inputs!$C$11)))/(SQRT(((Inputs!$I$8+(((A82)+1)/2)*(Inputs!$J$8-Inputs!$I$8)))^2+Inputs!$C$6^2+((Inputs!$H$8+Inputs!$L$8*(((Inputs!$I$8+(((A82)+1)/2)*(Inputs!$J$8-Inputs!$I$8)))/Inputs!$K$8)^2))^2)))))/Inputs!$C$13)</f>
        <v>2009.6896208171511</v>
      </c>
      <c r="AO82" s="9">
        <f>(-2*((1000*((((Inputs!$I$9+(((A82)+1)/2)*(Inputs!$J$9-Inputs!$I$9)))*Inputs!$C$11+((Inputs!$H$9+Inputs!$L$9*(((Inputs!$I$9+(((A82)+1)/2)*(Inputs!$J$9-Inputs!$I$9)))/Inputs!$K$9)^2))*((2*Inputs!$L$9*((Inputs!$I$9+(((A82)+1)/2)*(Inputs!$J$9-Inputs!$I$9)))/(Inputs!$K$9^2)*Inputs!$C$11)))/(SQRT(((Inputs!$I$9+(((A82)+1)/2)*(Inputs!$J$9-Inputs!$I$9)))^2+Inputs!$C$6^2+((Inputs!$H$9+Inputs!$L$9*(((Inputs!$I$9+(((A82)+1)/2)*(Inputs!$J$9-Inputs!$I$9)))/Inputs!$K$9)^2))^2)))))/Inputs!$C$13)</f>
        <v>2004.7169324333365</v>
      </c>
    </row>
    <row r="83" spans="1:41">
      <c r="A83" s="9">
        <f>ROUND(-1+81*2/240,3)</f>
        <v>-0.32500000000000001</v>
      </c>
      <c r="B83" s="9">
        <f>IF(OR(Inputs!$F$6=TRUE,Inputs!$F$6="TRUE",Inputs!$F$6=1),(Inputs!$H$6+Inputs!$L$6*(((Inputs!$I$6+(((A83)+1)/2)*(Inputs!$J$6-Inputs!$I$6)))/Inputs!$K$6)^2),NA())</f>
        <v>400.42250000000001</v>
      </c>
      <c r="C83" s="9">
        <f>IF(OR(Inputs!$F$7=TRUE,Inputs!$F$7="TRUE",Inputs!$F$7=1),(Inputs!$H$7+Inputs!$L$7*(((Inputs!$I$7+(((A83)+1)/2)*(Inputs!$J$7-Inputs!$I$7)))/Inputs!$K$7)^2),NA())</f>
        <v>73.553124999999994</v>
      </c>
      <c r="D83" s="9">
        <f>IF(OR(Inputs!$F$8=TRUE,Inputs!$F$8="TRUE",Inputs!$F$8=1),(Inputs!$H$8+Inputs!$L$8*(((Inputs!$I$8+(((A83)+1)/2)*(Inputs!$J$8-Inputs!$I$8)))/Inputs!$K$8)^2),NA())</f>
        <v>136.92812500000002</v>
      </c>
      <c r="E83" s="9">
        <f>IF(OR(Inputs!$F$9=TRUE,Inputs!$F$9="TRUE",Inputs!$F$9=1),(Inputs!$H$9+Inputs!$L$9*(((Inputs!$I$9+(((A83)+1)/2)*(Inputs!$J$9-Inputs!$I$9)))/Inputs!$K$9)^2),NA())</f>
        <v>127.98437500000001</v>
      </c>
      <c r="F83" s="10"/>
      <c r="G83" s="9">
        <f t="shared" si="6"/>
        <v>-0.32500000000000001</v>
      </c>
      <c r="H83" s="9">
        <f>IF(OR(Inputs!$F$6=TRUE,Inputs!$F$6="TRUE",Inputs!$F$6=1),(((SQRT(((Inputs!$I$6+(((A83)+1)/2)*(Inputs!$J$6-Inputs!$I$6)))^2+Inputs!$C$6^2+((Inputs!$H$6+Inputs!$L$6*(((Inputs!$I$6+(((A83)+1)/2)*(Inputs!$J$6-Inputs!$I$6)))/Inputs!$K$6)^2))^2))-((Inputs!$H$6+Inputs!$L$6*(((Inputs!$I$6+(((A83)+1)/2)*(Inputs!$J$6-Inputs!$I$6)))/Inputs!$K$6)^2)))*1000/Inputs!$C$12),NA())</f>
        <v>704.08727753711707</v>
      </c>
      <c r="I83" s="9">
        <f>IF(OR(Inputs!$F$7=TRUE,Inputs!$F$7="TRUE",Inputs!$F$7=1),(((SQRT(((Inputs!$I$7+(((A83)+1)/2)*(Inputs!$J$7-Inputs!$I$7)))^2+Inputs!$C$6^2+((Inputs!$H$7+Inputs!$L$7*(((Inputs!$I$7+(((A83)+1)/2)*(Inputs!$J$7-Inputs!$I$7)))/Inputs!$K$7)^2))^2))-((Inputs!$H$7+Inputs!$L$7*(((Inputs!$I$7+(((A83)+1)/2)*(Inputs!$J$7-Inputs!$I$7)))/Inputs!$K$7)^2)))*1000/Inputs!$C$12),NA())</f>
        <v>43758.50503075387</v>
      </c>
      <c r="J83" s="9">
        <f>IF(OR(Inputs!$F$8=TRUE,Inputs!$F$8="TRUE",Inputs!$F$8=1),(((SQRT(((Inputs!$I$8+(((A83)+1)/2)*(Inputs!$J$8-Inputs!$I$8)))^2+Inputs!$C$6^2+((Inputs!$H$8+Inputs!$L$8*(((Inputs!$I$8+(((A83)+1)/2)*(Inputs!$J$8-Inputs!$I$8)))/Inputs!$K$8)^2))^2))-((Inputs!$H$8+Inputs!$L$8*(((Inputs!$I$8+(((A83)+1)/2)*(Inputs!$J$8-Inputs!$I$8)))/Inputs!$K$8)^2)))*1000/Inputs!$C$12),NA())</f>
        <v>88756.151478620013</v>
      </c>
      <c r="K83" s="9">
        <f>IF(OR(Inputs!$F$9=TRUE,Inputs!$F$9="TRUE",Inputs!$F$9=1),(((SQRT(((Inputs!$I$9+(((A83)+1)/2)*(Inputs!$J$9-Inputs!$I$9)))^2+Inputs!$C$6^2+((Inputs!$H$9+Inputs!$L$9*(((Inputs!$I$9+(((A83)+1)/2)*(Inputs!$J$9-Inputs!$I$9)))/Inputs!$K$9)^2))^2))-((Inputs!$H$9+Inputs!$L$9*(((Inputs!$I$9+(((A83)+1)/2)*(Inputs!$J$9-Inputs!$I$9)))/Inputs!$K$9)^2)))*1000/Inputs!$C$12),NA())</f>
        <v>91508.433659950737</v>
      </c>
      <c r="L83" s="10"/>
      <c r="M83" s="9">
        <f t="shared" si="7"/>
        <v>-0.32500000000000001</v>
      </c>
      <c r="N83" s="9">
        <f>IF(OR(Inputs!$F$6=TRUE,Inputs!$F$6="TRUE",Inputs!$F$6=1),(-2*((1000*((((Inputs!$I$6+(((A83)+1)/2)*(Inputs!$J$6-Inputs!$I$6)))*Inputs!$C$11+((Inputs!$H$6+Inputs!$L$6*(((Inputs!$I$6+(((A83)+1)/2)*(Inputs!$J$6-Inputs!$I$6)))/Inputs!$K$6)^2))*((2*Inputs!$L$6*((Inputs!$I$6+(((A83)+1)/2)*(Inputs!$J$6-Inputs!$I$6)))/(Inputs!$K$6^2)*Inputs!$C$11)))/(SQRT(((Inputs!$I$6+(((A83)+1)/2)*(Inputs!$J$6-Inputs!$I$6)))^2+Inputs!$C$6^2+((Inputs!$H$6+Inputs!$L$6*(((Inputs!$I$6+(((A83)+1)/2)*(Inputs!$J$6-Inputs!$I$6)))/Inputs!$K$6)^2))^2)))))/Inputs!$C$13),NA())</f>
        <v>146.79159233513667</v>
      </c>
      <c r="O83" s="9">
        <f>IF(OR(Inputs!$F$7=TRUE,Inputs!$F$7="TRUE",Inputs!$F$7=1),(-2*((1000*((((Inputs!$I$7+(((A83)+1)/2)*(Inputs!$J$7-Inputs!$I$7)))*Inputs!$C$11+((Inputs!$H$7+Inputs!$L$7*(((Inputs!$I$7+(((A83)+1)/2)*(Inputs!$J$7-Inputs!$I$7)))/Inputs!$K$7)^2))*((2*Inputs!$L$7*((Inputs!$I$7+(((A83)+1)/2)*(Inputs!$J$7-Inputs!$I$7)))/(Inputs!$K$7^2)*Inputs!$C$11)))/(SQRT(((Inputs!$I$7+(((A83)+1)/2)*(Inputs!$J$7-Inputs!$I$7)))^2+Inputs!$C$6^2+((Inputs!$H$7+Inputs!$L$7*(((Inputs!$I$7+(((A83)+1)/2)*(Inputs!$J$7-Inputs!$I$7)))/Inputs!$K$7)^2))^2)))))/Inputs!$C$13),NA())</f>
        <v>1834.3629711257395</v>
      </c>
      <c r="P83" s="9">
        <f>IF(OR(Inputs!$F$8=TRUE,Inputs!$F$8="TRUE",Inputs!$F$8=1),(-2*((1000*((((Inputs!$I$8+(((A83)+1)/2)*(Inputs!$J$8-Inputs!$I$8)))*Inputs!$C$11+((Inputs!$H$8+Inputs!$L$8*(((Inputs!$I$8+(((A83)+1)/2)*(Inputs!$J$8-Inputs!$I$8)))/Inputs!$K$8)^2))*((2*Inputs!$L$8*((Inputs!$I$8+(((A83)+1)/2)*(Inputs!$J$8-Inputs!$I$8)))/(Inputs!$K$8^2)*Inputs!$C$11)))/(SQRT(((Inputs!$I$8+(((A83)+1)/2)*(Inputs!$J$8-Inputs!$I$8)))^2+Inputs!$C$6^2+((Inputs!$H$8+Inputs!$L$8*(((Inputs!$I$8+(((A83)+1)/2)*(Inputs!$J$8-Inputs!$I$8)))/Inputs!$K$8)^2))^2)))))/Inputs!$C$13),NA())</f>
        <v>1993.0426635149645</v>
      </c>
      <c r="Q83" s="9">
        <f>IF(OR(Inputs!$F$9=TRUE,Inputs!$F$9="TRUE",Inputs!$F$9=1),(-2*((1000*((((Inputs!$I$9+(((A83)+1)/2)*(Inputs!$J$9-Inputs!$I$9)))*Inputs!$C$11+((Inputs!$H$9+Inputs!$L$9*(((Inputs!$I$9+(((A83)+1)/2)*(Inputs!$J$9-Inputs!$I$9)))/Inputs!$K$9)^2))*((2*Inputs!$L$9*((Inputs!$I$9+(((A83)+1)/2)*(Inputs!$J$9-Inputs!$I$9)))/(Inputs!$K$9^2)*Inputs!$C$11)))/(SQRT(((Inputs!$I$9+(((A83)+1)/2)*(Inputs!$J$9-Inputs!$I$9)))^2+Inputs!$C$6^2+((Inputs!$H$9+Inputs!$L$9*(((Inputs!$I$9+(((A83)+1)/2)*(Inputs!$J$9-Inputs!$I$9)))/Inputs!$K$9)^2))^2)))))/Inputs!$C$13),NA())</f>
        <v>1987.9032353516245</v>
      </c>
      <c r="R83" s="10"/>
      <c r="S83" s="9">
        <f t="shared" si="8"/>
        <v>-0.32500000000000001</v>
      </c>
      <c r="T83" s="9">
        <f>(Inputs!$I$6+(((A83)+1)/2)*(Inputs!$J$6-Inputs!$I$6))</f>
        <v>-19.5</v>
      </c>
      <c r="U83" s="9">
        <f>(Inputs!$I$7+(((A83)+1)/2)*(Inputs!$J$7-Inputs!$I$7))</f>
        <v>-130</v>
      </c>
      <c r="V83" s="9">
        <f>(Inputs!$I$8+(((A83)+1)/2)*(Inputs!$J$8-Inputs!$I$8))</f>
        <v>-260</v>
      </c>
      <c r="W83" s="9">
        <f>(Inputs!$I$9+(((A83)+1)/2)*(Inputs!$J$9-Inputs!$I$9))</f>
        <v>-260</v>
      </c>
      <c r="X83" s="10"/>
      <c r="Y83" s="9">
        <f t="shared" si="9"/>
        <v>-0.32500000000000001</v>
      </c>
      <c r="Z83" s="9">
        <f>(Inputs!$H$6+Inputs!$L$6*(((Inputs!$I$6+(((A83)+1)/2)*(Inputs!$J$6-Inputs!$I$6)))/Inputs!$K$6)^2)</f>
        <v>400.42250000000001</v>
      </c>
      <c r="AA83" s="9">
        <f>(Inputs!$H$7+Inputs!$L$7*(((Inputs!$I$7+(((A83)+1)/2)*(Inputs!$J$7-Inputs!$I$7)))/Inputs!$K$7)^2)</f>
        <v>73.553124999999994</v>
      </c>
      <c r="AB83" s="9">
        <f>(Inputs!$H$8+Inputs!$L$8*(((Inputs!$I$8+(((A83)+1)/2)*(Inputs!$J$8-Inputs!$I$8)))/Inputs!$K$8)^2)</f>
        <v>136.92812500000002</v>
      </c>
      <c r="AC83" s="9">
        <f>(Inputs!$H$9+Inputs!$L$9*(((Inputs!$I$9+(((A83)+1)/2)*(Inputs!$J$9-Inputs!$I$9)))/Inputs!$K$9)^2)</f>
        <v>127.98437500000001</v>
      </c>
      <c r="AD83" s="10"/>
      <c r="AE83" s="9">
        <f t="shared" si="10"/>
        <v>-0.32500000000000001</v>
      </c>
      <c r="AF83" s="9">
        <f>(((SQRT(((Inputs!$I$6+(((A83)+1)/2)*(Inputs!$J$6-Inputs!$I$6)))^2+Inputs!$C$6^2+((Inputs!$H$6+Inputs!$L$6*(((Inputs!$I$6+(((A83)+1)/2)*(Inputs!$J$6-Inputs!$I$6)))/Inputs!$K$6)^2))^2))-((Inputs!$H$6+Inputs!$L$6*(((Inputs!$I$6+(((A83)+1)/2)*(Inputs!$J$6-Inputs!$I$6)))/Inputs!$K$6)^2)))*1000/Inputs!$C$12)</f>
        <v>704.08727753711707</v>
      </c>
      <c r="AG83" s="9">
        <f>(((SQRT(((Inputs!$I$7+(((A83)+1)/2)*(Inputs!$J$7-Inputs!$I$7)))^2+Inputs!$C$6^2+((Inputs!$H$7+Inputs!$L$7*(((Inputs!$I$7+(((A83)+1)/2)*(Inputs!$J$7-Inputs!$I$7)))/Inputs!$K$7)^2))^2))-((Inputs!$H$7+Inputs!$L$7*(((Inputs!$I$7+(((A83)+1)/2)*(Inputs!$J$7-Inputs!$I$7)))/Inputs!$K$7)^2)))*1000/Inputs!$C$12)</f>
        <v>43758.50503075387</v>
      </c>
      <c r="AH83" s="9">
        <f>(((SQRT(((Inputs!$I$8+(((A83)+1)/2)*(Inputs!$J$8-Inputs!$I$8)))^2+Inputs!$C$6^2+((Inputs!$H$8+Inputs!$L$8*(((Inputs!$I$8+(((A83)+1)/2)*(Inputs!$J$8-Inputs!$I$8)))/Inputs!$K$8)^2))^2))-((Inputs!$H$8+Inputs!$L$8*(((Inputs!$I$8+(((A83)+1)/2)*(Inputs!$J$8-Inputs!$I$8)))/Inputs!$K$8)^2)))*1000/Inputs!$C$12)</f>
        <v>88756.151478620013</v>
      </c>
      <c r="AI83" s="9">
        <f>(((SQRT(((Inputs!$I$9+(((A83)+1)/2)*(Inputs!$J$9-Inputs!$I$9)))^2+Inputs!$C$6^2+((Inputs!$H$9+Inputs!$L$9*(((Inputs!$I$9+(((A83)+1)/2)*(Inputs!$J$9-Inputs!$I$9)))/Inputs!$K$9)^2))^2))-((Inputs!$H$9+Inputs!$L$9*(((Inputs!$I$9+(((A83)+1)/2)*(Inputs!$J$9-Inputs!$I$9)))/Inputs!$K$9)^2)))*1000/Inputs!$C$12)</f>
        <v>91508.433659950737</v>
      </c>
      <c r="AJ83" s="10"/>
      <c r="AK83" s="9">
        <f t="shared" si="11"/>
        <v>-0.32500000000000001</v>
      </c>
      <c r="AL83" s="9">
        <f>(-2*((1000*((((Inputs!$I$6+(((A83)+1)/2)*(Inputs!$J$6-Inputs!$I$6)))*Inputs!$C$11+((Inputs!$H$6+Inputs!$L$6*(((Inputs!$I$6+(((A83)+1)/2)*(Inputs!$J$6-Inputs!$I$6)))/Inputs!$K$6)^2))*((2*Inputs!$L$6*((Inputs!$I$6+(((A83)+1)/2)*(Inputs!$J$6-Inputs!$I$6)))/(Inputs!$K$6^2)*Inputs!$C$11)))/(SQRT(((Inputs!$I$6+(((A83)+1)/2)*(Inputs!$J$6-Inputs!$I$6)))^2+Inputs!$C$6^2+((Inputs!$H$6+Inputs!$L$6*(((Inputs!$I$6+(((A83)+1)/2)*(Inputs!$J$6-Inputs!$I$6)))/Inputs!$K$6)^2))^2)))))/Inputs!$C$13)</f>
        <v>146.79159233513667</v>
      </c>
      <c r="AM83" s="9">
        <f>(-2*((1000*((((Inputs!$I$7+(((A83)+1)/2)*(Inputs!$J$7-Inputs!$I$7)))*Inputs!$C$11+((Inputs!$H$7+Inputs!$L$7*(((Inputs!$I$7+(((A83)+1)/2)*(Inputs!$J$7-Inputs!$I$7)))/Inputs!$K$7)^2))*((2*Inputs!$L$7*((Inputs!$I$7+(((A83)+1)/2)*(Inputs!$J$7-Inputs!$I$7)))/(Inputs!$K$7^2)*Inputs!$C$11)))/(SQRT(((Inputs!$I$7+(((A83)+1)/2)*(Inputs!$J$7-Inputs!$I$7)))^2+Inputs!$C$6^2+((Inputs!$H$7+Inputs!$L$7*(((Inputs!$I$7+(((A83)+1)/2)*(Inputs!$J$7-Inputs!$I$7)))/Inputs!$K$7)^2))^2)))))/Inputs!$C$13)</f>
        <v>1834.3629711257395</v>
      </c>
      <c r="AN83" s="9">
        <f>(-2*((1000*((((Inputs!$I$8+(((A83)+1)/2)*(Inputs!$J$8-Inputs!$I$8)))*Inputs!$C$11+((Inputs!$H$8+Inputs!$L$8*(((Inputs!$I$8+(((A83)+1)/2)*(Inputs!$J$8-Inputs!$I$8)))/Inputs!$K$8)^2))*((2*Inputs!$L$8*((Inputs!$I$8+(((A83)+1)/2)*(Inputs!$J$8-Inputs!$I$8)))/(Inputs!$K$8^2)*Inputs!$C$11)))/(SQRT(((Inputs!$I$8+(((A83)+1)/2)*(Inputs!$J$8-Inputs!$I$8)))^2+Inputs!$C$6^2+((Inputs!$H$8+Inputs!$L$8*(((Inputs!$I$8+(((A83)+1)/2)*(Inputs!$J$8-Inputs!$I$8)))/Inputs!$K$8)^2))^2)))))/Inputs!$C$13)</f>
        <v>1993.0426635149645</v>
      </c>
      <c r="AO83" s="9">
        <f>(-2*((1000*((((Inputs!$I$9+(((A83)+1)/2)*(Inputs!$J$9-Inputs!$I$9)))*Inputs!$C$11+((Inputs!$H$9+Inputs!$L$9*(((Inputs!$I$9+(((A83)+1)/2)*(Inputs!$J$9-Inputs!$I$9)))/Inputs!$K$9)^2))*((2*Inputs!$L$9*((Inputs!$I$9+(((A83)+1)/2)*(Inputs!$J$9-Inputs!$I$9)))/(Inputs!$K$9^2)*Inputs!$C$11)))/(SQRT(((Inputs!$I$9+(((A83)+1)/2)*(Inputs!$J$9-Inputs!$I$9)))^2+Inputs!$C$6^2+((Inputs!$H$9+Inputs!$L$9*(((Inputs!$I$9+(((A83)+1)/2)*(Inputs!$J$9-Inputs!$I$9)))/Inputs!$K$9)^2))^2)))))/Inputs!$C$13)</f>
        <v>1987.9032353516245</v>
      </c>
    </row>
    <row r="84" spans="1:41">
      <c r="A84" s="9">
        <f>ROUND(-1+82*2/240,3)</f>
        <v>-0.317</v>
      </c>
      <c r="B84" s="9">
        <f>IF(OR(Inputs!$F$6=TRUE,Inputs!$F$6="TRUE",Inputs!$F$6=1),(Inputs!$H$6+Inputs!$L$6*(((Inputs!$I$6+(((A84)+1)/2)*(Inputs!$J$6-Inputs!$I$6)))/Inputs!$K$6)^2),NA())</f>
        <v>400.40195599999998</v>
      </c>
      <c r="C84" s="9">
        <f>IF(OR(Inputs!$F$7=TRUE,Inputs!$F$7="TRUE",Inputs!$F$7=1),(Inputs!$H$7+Inputs!$L$7*(((Inputs!$I$7+(((A84)+1)/2)*(Inputs!$J$7-Inputs!$I$7)))/Inputs!$K$7)^2),NA())</f>
        <v>71.678484999999966</v>
      </c>
      <c r="D84" s="9">
        <f>IF(OR(Inputs!$F$8=TRUE,Inputs!$F$8="TRUE",Inputs!$F$8=1),(Inputs!$H$8+Inputs!$L$8*(((Inputs!$I$8+(((A84)+1)/2)*(Inputs!$J$8-Inputs!$I$8)))/Inputs!$K$8)^2),NA())</f>
        <v>131.97188499999993</v>
      </c>
      <c r="E84" s="9">
        <f>IF(OR(Inputs!$F$9=TRUE,Inputs!$F$9="TRUE",Inputs!$F$9=1),(Inputs!$H$9+Inputs!$L$9*(((Inputs!$I$9+(((A84)+1)/2)*(Inputs!$J$9-Inputs!$I$9)))/Inputs!$K$9)^2),NA())</f>
        <v>122.97677499999993</v>
      </c>
      <c r="F84" s="10"/>
      <c r="G84" s="9">
        <f t="shared" si="6"/>
        <v>-0.317</v>
      </c>
      <c r="H84" s="9">
        <f>IF(OR(Inputs!$F$6=TRUE,Inputs!$F$6="TRUE",Inputs!$F$6=1),(((SQRT(((Inputs!$I$6+(((A84)+1)/2)*(Inputs!$J$6-Inputs!$I$6)))^2+Inputs!$C$6^2+((Inputs!$H$6+Inputs!$L$6*(((Inputs!$I$6+(((A84)+1)/2)*(Inputs!$J$6-Inputs!$I$6)))/Inputs!$K$6)^2))^2))-((Inputs!$H$6+Inputs!$L$6*(((Inputs!$I$6+(((A84)+1)/2)*(Inputs!$J$6-Inputs!$I$6)))/Inputs!$K$6)^2)))*1000/Inputs!$C$12),NA())</f>
        <v>691.1921608185479</v>
      </c>
      <c r="I84" s="9">
        <f>IF(OR(Inputs!$F$7=TRUE,Inputs!$F$7="TRUE",Inputs!$F$7=1),(((SQRT(((Inputs!$I$7+(((A84)+1)/2)*(Inputs!$J$7-Inputs!$I$7)))^2+Inputs!$C$6^2+((Inputs!$H$7+Inputs!$L$7*(((Inputs!$I$7+(((A84)+1)/2)*(Inputs!$J$7-Inputs!$I$7)))/Inputs!$K$7)^2))^2))-((Inputs!$H$7+Inputs!$L$7*(((Inputs!$I$7+(((A84)+1)/2)*(Inputs!$J$7-Inputs!$I$7)))/Inputs!$K$7)^2)))*1000/Inputs!$C$12),NA())</f>
        <v>42757.683631610977</v>
      </c>
      <c r="J84" s="9">
        <f>IF(OR(Inputs!$F$8=TRUE,Inputs!$F$8="TRUE",Inputs!$F$8=1),(((SQRT(((Inputs!$I$8+(((A84)+1)/2)*(Inputs!$J$8-Inputs!$I$8)))^2+Inputs!$C$6^2+((Inputs!$H$8+Inputs!$L$8*(((Inputs!$I$8+(((A84)+1)/2)*(Inputs!$J$8-Inputs!$I$8)))/Inputs!$K$8)^2))^2))-((Inputs!$H$8+Inputs!$L$8*(((Inputs!$I$8+(((A84)+1)/2)*(Inputs!$J$8-Inputs!$I$8)))/Inputs!$K$8)^2)))*1000/Inputs!$C$12),NA())</f>
        <v>87080.291866304935</v>
      </c>
      <c r="K84" s="9">
        <f>IF(OR(Inputs!$F$9=TRUE,Inputs!$F$9="TRUE",Inputs!$F$9=1),(((SQRT(((Inputs!$I$9+(((A84)+1)/2)*(Inputs!$J$9-Inputs!$I$9)))^2+Inputs!$C$6^2+((Inputs!$H$9+Inputs!$L$9*(((Inputs!$I$9+(((A84)+1)/2)*(Inputs!$J$9-Inputs!$I$9)))/Inputs!$K$9)^2))^2))-((Inputs!$H$9+Inputs!$L$9*(((Inputs!$I$9+(((A84)+1)/2)*(Inputs!$J$9-Inputs!$I$9)))/Inputs!$K$9)^2)))*1000/Inputs!$C$12),NA())</f>
        <v>89873.139054597515</v>
      </c>
      <c r="L84" s="10"/>
      <c r="M84" s="9">
        <f t="shared" si="7"/>
        <v>-0.317</v>
      </c>
      <c r="N84" s="9">
        <f>IF(OR(Inputs!$F$6=TRUE,Inputs!$F$6="TRUE",Inputs!$F$6=1),(-2*((1000*((((Inputs!$I$6+(((A84)+1)/2)*(Inputs!$J$6-Inputs!$I$6)))*Inputs!$C$11+((Inputs!$H$6+Inputs!$L$6*(((Inputs!$I$6+(((A84)+1)/2)*(Inputs!$J$6-Inputs!$I$6)))/Inputs!$K$6)^2))*((2*Inputs!$L$6*((Inputs!$I$6+(((A84)+1)/2)*(Inputs!$J$6-Inputs!$I$6)))/(Inputs!$K$6^2)*Inputs!$C$11)))/(SQRT(((Inputs!$I$6+(((A84)+1)/2)*(Inputs!$J$6-Inputs!$I$6)))^2+Inputs!$C$6^2+((Inputs!$H$6+Inputs!$L$6*(((Inputs!$I$6+(((A84)+1)/2)*(Inputs!$J$6-Inputs!$I$6)))/Inputs!$K$6)^2))^2)))))/Inputs!$C$13),NA())</f>
        <v>143.19030803711888</v>
      </c>
      <c r="O84" s="9">
        <f>IF(OR(Inputs!$F$7=TRUE,Inputs!$F$7="TRUE",Inputs!$F$7=1),(-2*((1000*((((Inputs!$I$7+(((A84)+1)/2)*(Inputs!$J$7-Inputs!$I$7)))*Inputs!$C$11+((Inputs!$H$7+Inputs!$L$7*(((Inputs!$I$7+(((A84)+1)/2)*(Inputs!$J$7-Inputs!$I$7)))/Inputs!$K$7)^2))*((2*Inputs!$L$7*((Inputs!$I$7+(((A84)+1)/2)*(Inputs!$J$7-Inputs!$I$7)))/(Inputs!$K$7^2)*Inputs!$C$11)))/(SQRT(((Inputs!$I$7+(((A84)+1)/2)*(Inputs!$J$7-Inputs!$I$7)))^2+Inputs!$C$6^2+((Inputs!$H$7+Inputs!$L$7*(((Inputs!$I$7+(((A84)+1)/2)*(Inputs!$J$7-Inputs!$I$7)))/Inputs!$K$7)^2))^2)))))/Inputs!$C$13),NA())</f>
        <v>1821.7311264334853</v>
      </c>
      <c r="P84" s="9">
        <f>IF(OR(Inputs!$F$8=TRUE,Inputs!$F$8="TRUE",Inputs!$F$8=1),(-2*((1000*((((Inputs!$I$8+(((A84)+1)/2)*(Inputs!$J$8-Inputs!$I$8)))*Inputs!$C$11+((Inputs!$H$8+Inputs!$L$8*(((Inputs!$I$8+(((A84)+1)/2)*(Inputs!$J$8-Inputs!$I$8)))/Inputs!$K$8)^2))*((2*Inputs!$L$8*((Inputs!$I$8+(((A84)+1)/2)*(Inputs!$J$8-Inputs!$I$8)))/(Inputs!$K$8^2)*Inputs!$C$11)))/(SQRT(((Inputs!$I$8+(((A84)+1)/2)*(Inputs!$J$8-Inputs!$I$8)))^2+Inputs!$C$6^2+((Inputs!$H$8+Inputs!$L$8*(((Inputs!$I$8+(((A84)+1)/2)*(Inputs!$J$8-Inputs!$I$8)))/Inputs!$K$8)^2))^2)))))/Inputs!$C$13),NA())</f>
        <v>1976.6314986031077</v>
      </c>
      <c r="Q84" s="9">
        <f>IF(OR(Inputs!$F$9=TRUE,Inputs!$F$9="TRUE",Inputs!$F$9=1),(-2*((1000*((((Inputs!$I$9+(((A84)+1)/2)*(Inputs!$J$9-Inputs!$I$9)))*Inputs!$C$11+((Inputs!$H$9+Inputs!$L$9*(((Inputs!$I$9+(((A84)+1)/2)*(Inputs!$J$9-Inputs!$I$9)))/Inputs!$K$9)^2))*((2*Inputs!$L$9*((Inputs!$I$9+(((A84)+1)/2)*(Inputs!$J$9-Inputs!$I$9)))/(Inputs!$K$9^2)*Inputs!$C$11)))/(SQRT(((Inputs!$I$9+(((A84)+1)/2)*(Inputs!$J$9-Inputs!$I$9)))^2+Inputs!$C$6^2+((Inputs!$H$9+Inputs!$L$9*(((Inputs!$I$9+(((A84)+1)/2)*(Inputs!$J$9-Inputs!$I$9)))/Inputs!$K$9)^2))^2)))))/Inputs!$C$13),NA())</f>
        <v>1971.3528519933029</v>
      </c>
      <c r="R84" s="10"/>
      <c r="S84" s="9">
        <f t="shared" si="8"/>
        <v>-0.317</v>
      </c>
      <c r="T84" s="9">
        <f>(Inputs!$I$6+(((A84)+1)/2)*(Inputs!$J$6-Inputs!$I$6))</f>
        <v>-19.019999999999996</v>
      </c>
      <c r="U84" s="9">
        <f>(Inputs!$I$7+(((A84)+1)/2)*(Inputs!$J$7-Inputs!$I$7))</f>
        <v>-126.79999999999995</v>
      </c>
      <c r="V84" s="9">
        <f>(Inputs!$I$8+(((A84)+1)/2)*(Inputs!$J$8-Inputs!$I$8))</f>
        <v>-253.59999999999991</v>
      </c>
      <c r="W84" s="9">
        <f>(Inputs!$I$9+(((A84)+1)/2)*(Inputs!$J$9-Inputs!$I$9))</f>
        <v>-253.59999999999991</v>
      </c>
      <c r="X84" s="10"/>
      <c r="Y84" s="9">
        <f t="shared" si="9"/>
        <v>-0.317</v>
      </c>
      <c r="Z84" s="9">
        <f>(Inputs!$H$6+Inputs!$L$6*(((Inputs!$I$6+(((A84)+1)/2)*(Inputs!$J$6-Inputs!$I$6)))/Inputs!$K$6)^2)</f>
        <v>400.40195599999998</v>
      </c>
      <c r="AA84" s="9">
        <f>(Inputs!$H$7+Inputs!$L$7*(((Inputs!$I$7+(((A84)+1)/2)*(Inputs!$J$7-Inputs!$I$7)))/Inputs!$K$7)^2)</f>
        <v>71.678484999999966</v>
      </c>
      <c r="AB84" s="9">
        <f>(Inputs!$H$8+Inputs!$L$8*(((Inputs!$I$8+(((A84)+1)/2)*(Inputs!$J$8-Inputs!$I$8)))/Inputs!$K$8)^2)</f>
        <v>131.97188499999993</v>
      </c>
      <c r="AC84" s="9">
        <f>(Inputs!$H$9+Inputs!$L$9*(((Inputs!$I$9+(((A84)+1)/2)*(Inputs!$J$9-Inputs!$I$9)))/Inputs!$K$9)^2)</f>
        <v>122.97677499999993</v>
      </c>
      <c r="AD84" s="10"/>
      <c r="AE84" s="9">
        <f t="shared" si="10"/>
        <v>-0.317</v>
      </c>
      <c r="AF84" s="9">
        <f>(((SQRT(((Inputs!$I$6+(((A84)+1)/2)*(Inputs!$J$6-Inputs!$I$6)))^2+Inputs!$C$6^2+((Inputs!$H$6+Inputs!$L$6*(((Inputs!$I$6+(((A84)+1)/2)*(Inputs!$J$6-Inputs!$I$6)))/Inputs!$K$6)^2))^2))-((Inputs!$H$6+Inputs!$L$6*(((Inputs!$I$6+(((A84)+1)/2)*(Inputs!$J$6-Inputs!$I$6)))/Inputs!$K$6)^2)))*1000/Inputs!$C$12)</f>
        <v>691.1921608185479</v>
      </c>
      <c r="AG84" s="9">
        <f>(((SQRT(((Inputs!$I$7+(((A84)+1)/2)*(Inputs!$J$7-Inputs!$I$7)))^2+Inputs!$C$6^2+((Inputs!$H$7+Inputs!$L$7*(((Inputs!$I$7+(((A84)+1)/2)*(Inputs!$J$7-Inputs!$I$7)))/Inputs!$K$7)^2))^2))-((Inputs!$H$7+Inputs!$L$7*(((Inputs!$I$7+(((A84)+1)/2)*(Inputs!$J$7-Inputs!$I$7)))/Inputs!$K$7)^2)))*1000/Inputs!$C$12)</f>
        <v>42757.683631610977</v>
      </c>
      <c r="AH84" s="9">
        <f>(((SQRT(((Inputs!$I$8+(((A84)+1)/2)*(Inputs!$J$8-Inputs!$I$8)))^2+Inputs!$C$6^2+((Inputs!$H$8+Inputs!$L$8*(((Inputs!$I$8+(((A84)+1)/2)*(Inputs!$J$8-Inputs!$I$8)))/Inputs!$K$8)^2))^2))-((Inputs!$H$8+Inputs!$L$8*(((Inputs!$I$8+(((A84)+1)/2)*(Inputs!$J$8-Inputs!$I$8)))/Inputs!$K$8)^2)))*1000/Inputs!$C$12)</f>
        <v>87080.291866304935</v>
      </c>
      <c r="AI84" s="9">
        <f>(((SQRT(((Inputs!$I$9+(((A84)+1)/2)*(Inputs!$J$9-Inputs!$I$9)))^2+Inputs!$C$6^2+((Inputs!$H$9+Inputs!$L$9*(((Inputs!$I$9+(((A84)+1)/2)*(Inputs!$J$9-Inputs!$I$9)))/Inputs!$K$9)^2))^2))-((Inputs!$H$9+Inputs!$L$9*(((Inputs!$I$9+(((A84)+1)/2)*(Inputs!$J$9-Inputs!$I$9)))/Inputs!$K$9)^2)))*1000/Inputs!$C$12)</f>
        <v>89873.139054597515</v>
      </c>
      <c r="AJ84" s="10"/>
      <c r="AK84" s="9">
        <f t="shared" si="11"/>
        <v>-0.317</v>
      </c>
      <c r="AL84" s="9">
        <f>(-2*((1000*((((Inputs!$I$6+(((A84)+1)/2)*(Inputs!$J$6-Inputs!$I$6)))*Inputs!$C$11+((Inputs!$H$6+Inputs!$L$6*(((Inputs!$I$6+(((A84)+1)/2)*(Inputs!$J$6-Inputs!$I$6)))/Inputs!$K$6)^2))*((2*Inputs!$L$6*((Inputs!$I$6+(((A84)+1)/2)*(Inputs!$J$6-Inputs!$I$6)))/(Inputs!$K$6^2)*Inputs!$C$11)))/(SQRT(((Inputs!$I$6+(((A84)+1)/2)*(Inputs!$J$6-Inputs!$I$6)))^2+Inputs!$C$6^2+((Inputs!$H$6+Inputs!$L$6*(((Inputs!$I$6+(((A84)+1)/2)*(Inputs!$J$6-Inputs!$I$6)))/Inputs!$K$6)^2))^2)))))/Inputs!$C$13)</f>
        <v>143.19030803711888</v>
      </c>
      <c r="AM84" s="9">
        <f>(-2*((1000*((((Inputs!$I$7+(((A84)+1)/2)*(Inputs!$J$7-Inputs!$I$7)))*Inputs!$C$11+((Inputs!$H$7+Inputs!$L$7*(((Inputs!$I$7+(((A84)+1)/2)*(Inputs!$J$7-Inputs!$I$7)))/Inputs!$K$7)^2))*((2*Inputs!$L$7*((Inputs!$I$7+(((A84)+1)/2)*(Inputs!$J$7-Inputs!$I$7)))/(Inputs!$K$7^2)*Inputs!$C$11)))/(SQRT(((Inputs!$I$7+(((A84)+1)/2)*(Inputs!$J$7-Inputs!$I$7)))^2+Inputs!$C$6^2+((Inputs!$H$7+Inputs!$L$7*(((Inputs!$I$7+(((A84)+1)/2)*(Inputs!$J$7-Inputs!$I$7)))/Inputs!$K$7)^2))^2)))))/Inputs!$C$13)</f>
        <v>1821.7311264334853</v>
      </c>
      <c r="AN84" s="9">
        <f>(-2*((1000*((((Inputs!$I$8+(((A84)+1)/2)*(Inputs!$J$8-Inputs!$I$8)))*Inputs!$C$11+((Inputs!$H$8+Inputs!$L$8*(((Inputs!$I$8+(((A84)+1)/2)*(Inputs!$J$8-Inputs!$I$8)))/Inputs!$K$8)^2))*((2*Inputs!$L$8*((Inputs!$I$8+(((A84)+1)/2)*(Inputs!$J$8-Inputs!$I$8)))/(Inputs!$K$8^2)*Inputs!$C$11)))/(SQRT(((Inputs!$I$8+(((A84)+1)/2)*(Inputs!$J$8-Inputs!$I$8)))^2+Inputs!$C$6^2+((Inputs!$H$8+Inputs!$L$8*(((Inputs!$I$8+(((A84)+1)/2)*(Inputs!$J$8-Inputs!$I$8)))/Inputs!$K$8)^2))^2)))))/Inputs!$C$13)</f>
        <v>1976.6314986031077</v>
      </c>
      <c r="AO84" s="9">
        <f>(-2*((1000*((((Inputs!$I$9+(((A84)+1)/2)*(Inputs!$J$9-Inputs!$I$9)))*Inputs!$C$11+((Inputs!$H$9+Inputs!$L$9*(((Inputs!$I$9+(((A84)+1)/2)*(Inputs!$J$9-Inputs!$I$9)))/Inputs!$K$9)^2))*((2*Inputs!$L$9*((Inputs!$I$9+(((A84)+1)/2)*(Inputs!$J$9-Inputs!$I$9)))/(Inputs!$K$9^2)*Inputs!$C$11)))/(SQRT(((Inputs!$I$9+(((A84)+1)/2)*(Inputs!$J$9-Inputs!$I$9)))^2+Inputs!$C$6^2+((Inputs!$H$9+Inputs!$L$9*(((Inputs!$I$9+(((A84)+1)/2)*(Inputs!$J$9-Inputs!$I$9)))/Inputs!$K$9)^2))^2)))))/Inputs!$C$13)</f>
        <v>1971.3528519933029</v>
      </c>
    </row>
    <row r="85" spans="1:41">
      <c r="A85" s="9">
        <f>ROUND(-1+83*2/240,3)</f>
        <v>-0.308</v>
      </c>
      <c r="B85" s="9">
        <f>IF(OR(Inputs!$F$6=TRUE,Inputs!$F$6="TRUE",Inputs!$F$6=1),(Inputs!$H$6+Inputs!$L$6*(((Inputs!$I$6+(((A85)+1)/2)*(Inputs!$J$6-Inputs!$I$6)))/Inputs!$K$6)^2),NA())</f>
        <v>400.379456</v>
      </c>
      <c r="C85" s="9">
        <f>IF(OR(Inputs!$F$7=TRUE,Inputs!$F$7="TRUE",Inputs!$F$7=1),(Inputs!$H$7+Inputs!$L$7*(((Inputs!$I$7+(((A85)+1)/2)*(Inputs!$J$7-Inputs!$I$7)))/Inputs!$K$7)^2),NA())</f>
        <v>69.625360000000029</v>
      </c>
      <c r="D85" s="9">
        <f>IF(OR(Inputs!$F$8=TRUE,Inputs!$F$8="TRUE",Inputs!$F$8=1),(Inputs!$H$8+Inputs!$L$8*(((Inputs!$I$8+(((A85)+1)/2)*(Inputs!$J$8-Inputs!$I$8)))/Inputs!$K$8)^2),NA())</f>
        <v>126.54376000000006</v>
      </c>
      <c r="E85" s="9">
        <f>IF(OR(Inputs!$F$9=TRUE,Inputs!$F$9="TRUE",Inputs!$F$9=1),(Inputs!$H$9+Inputs!$L$9*(((Inputs!$I$9+(((A85)+1)/2)*(Inputs!$J$9-Inputs!$I$9)))/Inputs!$K$9)^2),NA())</f>
        <v>117.49240000000006</v>
      </c>
      <c r="F85" s="10"/>
      <c r="G85" s="9">
        <f t="shared" si="6"/>
        <v>-0.308</v>
      </c>
      <c r="H85" s="9">
        <f>IF(OR(Inputs!$F$6=TRUE,Inputs!$F$6="TRUE",Inputs!$F$6=1),(((SQRT(((Inputs!$I$6+(((A85)+1)/2)*(Inputs!$J$6-Inputs!$I$6)))^2+Inputs!$C$6^2+((Inputs!$H$6+Inputs!$L$6*(((Inputs!$I$6+(((A85)+1)/2)*(Inputs!$J$6-Inputs!$I$6)))/Inputs!$K$6)^2))^2))-((Inputs!$H$6+Inputs!$L$6*(((Inputs!$I$6+(((A85)+1)/2)*(Inputs!$J$6-Inputs!$I$6)))/Inputs!$K$6)^2)))*1000/Inputs!$C$12),NA())</f>
        <v>677.06693701127733</v>
      </c>
      <c r="I85" s="9">
        <f>IF(OR(Inputs!$F$7=TRUE,Inputs!$F$7="TRUE",Inputs!$F$7=1),(((SQRT(((Inputs!$I$7+(((A85)+1)/2)*(Inputs!$J$7-Inputs!$I$7)))^2+Inputs!$C$6^2+((Inputs!$H$7+Inputs!$L$7*(((Inputs!$I$7+(((A85)+1)/2)*(Inputs!$J$7-Inputs!$I$7)))/Inputs!$K$7)^2))^2))-((Inputs!$H$7+Inputs!$L$7*(((Inputs!$I$7+(((A85)+1)/2)*(Inputs!$J$7-Inputs!$I$7)))/Inputs!$K$7)^2)))*1000/Inputs!$C$12),NA())</f>
        <v>41617.391633029561</v>
      </c>
      <c r="J85" s="9">
        <f>IF(OR(Inputs!$F$8=TRUE,Inputs!$F$8="TRUE",Inputs!$F$8=1),(((SQRT(((Inputs!$I$8+(((A85)+1)/2)*(Inputs!$J$8-Inputs!$I$8)))^2+Inputs!$C$6^2+((Inputs!$H$8+Inputs!$L$8*(((Inputs!$I$8+(((A85)+1)/2)*(Inputs!$J$8-Inputs!$I$8)))/Inputs!$K$8)^2))^2))-((Inputs!$H$8+Inputs!$L$8*(((Inputs!$I$8+(((A85)+1)/2)*(Inputs!$J$8-Inputs!$I$8)))/Inputs!$K$8)^2)))*1000/Inputs!$C$12),NA())</f>
        <v>85155.745288554826</v>
      </c>
      <c r="K85" s="9">
        <f>IF(OR(Inputs!$F$9=TRUE,Inputs!$F$9="TRUE",Inputs!$F$9=1),(((SQRT(((Inputs!$I$9+(((A85)+1)/2)*(Inputs!$J$9-Inputs!$I$9)))^2+Inputs!$C$6^2+((Inputs!$H$9+Inputs!$L$9*(((Inputs!$I$9+(((A85)+1)/2)*(Inputs!$J$9-Inputs!$I$9)))/Inputs!$K$9)^2))^2))-((Inputs!$H$9+Inputs!$L$9*(((Inputs!$I$9+(((A85)+1)/2)*(Inputs!$J$9-Inputs!$I$9)))/Inputs!$K$9)^2)))*1000/Inputs!$C$12),NA())</f>
        <v>87993.699429959161</v>
      </c>
      <c r="L85" s="10"/>
      <c r="M85" s="9">
        <f t="shared" si="7"/>
        <v>-0.308</v>
      </c>
      <c r="N85" s="9">
        <f>IF(OR(Inputs!$F$6=TRUE,Inputs!$F$6="TRUE",Inputs!$F$6=1),(-2*((1000*((((Inputs!$I$6+(((A85)+1)/2)*(Inputs!$J$6-Inputs!$I$6)))*Inputs!$C$11+((Inputs!$H$6+Inputs!$L$6*(((Inputs!$I$6+(((A85)+1)/2)*(Inputs!$J$6-Inputs!$I$6)))/Inputs!$K$6)^2))*((2*Inputs!$L$6*((Inputs!$I$6+(((A85)+1)/2)*(Inputs!$J$6-Inputs!$I$6)))/(Inputs!$K$6^2)*Inputs!$C$11)))/(SQRT(((Inputs!$I$6+(((A85)+1)/2)*(Inputs!$J$6-Inputs!$I$6)))^2+Inputs!$C$6^2+((Inputs!$H$6+Inputs!$L$6*(((Inputs!$I$6+(((A85)+1)/2)*(Inputs!$J$6-Inputs!$I$6)))/Inputs!$K$6)^2))^2)))))/Inputs!$C$13),NA())</f>
        <v>139.13779204973227</v>
      </c>
      <c r="O85" s="9">
        <f>IF(OR(Inputs!$F$7=TRUE,Inputs!$F$7="TRUE",Inputs!$F$7=1),(-2*((1000*((((Inputs!$I$7+(((A85)+1)/2)*(Inputs!$J$7-Inputs!$I$7)))*Inputs!$C$11+((Inputs!$H$7+Inputs!$L$7*(((Inputs!$I$7+(((A85)+1)/2)*(Inputs!$J$7-Inputs!$I$7)))/Inputs!$K$7)^2))*((2*Inputs!$L$7*((Inputs!$I$7+(((A85)+1)/2)*(Inputs!$J$7-Inputs!$I$7)))/(Inputs!$K$7^2)*Inputs!$C$11)))/(SQRT(((Inputs!$I$7+(((A85)+1)/2)*(Inputs!$J$7-Inputs!$I$7)))^2+Inputs!$C$6^2+((Inputs!$H$7+Inputs!$L$7*(((Inputs!$I$7+(((A85)+1)/2)*(Inputs!$J$7-Inputs!$I$7)))/Inputs!$K$7)^2))^2)))))/Inputs!$C$13),NA())</f>
        <v>1807.4492750038808</v>
      </c>
      <c r="P85" s="9">
        <f>IF(OR(Inputs!$F$8=TRUE,Inputs!$F$8="TRUE",Inputs!$F$8=1),(-2*((1000*((((Inputs!$I$8+(((A85)+1)/2)*(Inputs!$J$8-Inputs!$I$8)))*Inputs!$C$11+((Inputs!$H$8+Inputs!$L$8*(((Inputs!$I$8+(((A85)+1)/2)*(Inputs!$J$8-Inputs!$I$8)))/Inputs!$K$8)^2))*((2*Inputs!$L$8*((Inputs!$I$8+(((A85)+1)/2)*(Inputs!$J$8-Inputs!$I$8)))/(Inputs!$K$8^2)*Inputs!$C$11)))/(SQRT(((Inputs!$I$8+(((A85)+1)/2)*(Inputs!$J$8-Inputs!$I$8)))^2+Inputs!$C$6^2+((Inputs!$H$8+Inputs!$L$8*(((Inputs!$I$8+(((A85)+1)/2)*(Inputs!$J$8-Inputs!$I$8)))/Inputs!$K$8)^2))^2)))))/Inputs!$C$13),NA())</f>
        <v>1958.4474800727289</v>
      </c>
      <c r="Q85" s="9">
        <f>IF(OR(Inputs!$F$9=TRUE,Inputs!$F$9="TRUE",Inputs!$F$9=1),(-2*((1000*((((Inputs!$I$9+(((A85)+1)/2)*(Inputs!$J$9-Inputs!$I$9)))*Inputs!$C$11+((Inputs!$H$9+Inputs!$L$9*(((Inputs!$I$9+(((A85)+1)/2)*(Inputs!$J$9-Inputs!$I$9)))/Inputs!$K$9)^2))*((2*Inputs!$L$9*((Inputs!$I$9+(((A85)+1)/2)*(Inputs!$J$9-Inputs!$I$9)))/(Inputs!$K$9^2)*Inputs!$C$11)))/(SQRT(((Inputs!$I$9+(((A85)+1)/2)*(Inputs!$J$9-Inputs!$I$9)))^2+Inputs!$C$6^2+((Inputs!$H$9+Inputs!$L$9*(((Inputs!$I$9+(((A85)+1)/2)*(Inputs!$J$9-Inputs!$I$9)))/Inputs!$K$9)^2))^2)))))/Inputs!$C$13),NA())</f>
        <v>1953.0481414949984</v>
      </c>
      <c r="R85" s="10"/>
      <c r="S85" s="9">
        <f t="shared" si="8"/>
        <v>-0.308</v>
      </c>
      <c r="T85" s="9">
        <f>(Inputs!$I$6+(((A85)+1)/2)*(Inputs!$J$6-Inputs!$I$6))</f>
        <v>-18.480000000000004</v>
      </c>
      <c r="U85" s="9">
        <f>(Inputs!$I$7+(((A85)+1)/2)*(Inputs!$J$7-Inputs!$I$7))</f>
        <v>-123.20000000000005</v>
      </c>
      <c r="V85" s="9">
        <f>(Inputs!$I$8+(((A85)+1)/2)*(Inputs!$J$8-Inputs!$I$8))</f>
        <v>-246.40000000000009</v>
      </c>
      <c r="W85" s="9">
        <f>(Inputs!$I$9+(((A85)+1)/2)*(Inputs!$J$9-Inputs!$I$9))</f>
        <v>-246.40000000000009</v>
      </c>
      <c r="X85" s="10"/>
      <c r="Y85" s="9">
        <f t="shared" si="9"/>
        <v>-0.308</v>
      </c>
      <c r="Z85" s="9">
        <f>(Inputs!$H$6+Inputs!$L$6*(((Inputs!$I$6+(((A85)+1)/2)*(Inputs!$J$6-Inputs!$I$6)))/Inputs!$K$6)^2)</f>
        <v>400.379456</v>
      </c>
      <c r="AA85" s="9">
        <f>(Inputs!$H$7+Inputs!$L$7*(((Inputs!$I$7+(((A85)+1)/2)*(Inputs!$J$7-Inputs!$I$7)))/Inputs!$K$7)^2)</f>
        <v>69.625360000000029</v>
      </c>
      <c r="AB85" s="9">
        <f>(Inputs!$H$8+Inputs!$L$8*(((Inputs!$I$8+(((A85)+1)/2)*(Inputs!$J$8-Inputs!$I$8)))/Inputs!$K$8)^2)</f>
        <v>126.54376000000006</v>
      </c>
      <c r="AC85" s="9">
        <f>(Inputs!$H$9+Inputs!$L$9*(((Inputs!$I$9+(((A85)+1)/2)*(Inputs!$J$9-Inputs!$I$9)))/Inputs!$K$9)^2)</f>
        <v>117.49240000000006</v>
      </c>
      <c r="AD85" s="10"/>
      <c r="AE85" s="9">
        <f t="shared" si="10"/>
        <v>-0.308</v>
      </c>
      <c r="AF85" s="9">
        <f>(((SQRT(((Inputs!$I$6+(((A85)+1)/2)*(Inputs!$J$6-Inputs!$I$6)))^2+Inputs!$C$6^2+((Inputs!$H$6+Inputs!$L$6*(((Inputs!$I$6+(((A85)+1)/2)*(Inputs!$J$6-Inputs!$I$6)))/Inputs!$K$6)^2))^2))-((Inputs!$H$6+Inputs!$L$6*(((Inputs!$I$6+(((A85)+1)/2)*(Inputs!$J$6-Inputs!$I$6)))/Inputs!$K$6)^2)))*1000/Inputs!$C$12)</f>
        <v>677.06693701127733</v>
      </c>
      <c r="AG85" s="9">
        <f>(((SQRT(((Inputs!$I$7+(((A85)+1)/2)*(Inputs!$J$7-Inputs!$I$7)))^2+Inputs!$C$6^2+((Inputs!$H$7+Inputs!$L$7*(((Inputs!$I$7+(((A85)+1)/2)*(Inputs!$J$7-Inputs!$I$7)))/Inputs!$K$7)^2))^2))-((Inputs!$H$7+Inputs!$L$7*(((Inputs!$I$7+(((A85)+1)/2)*(Inputs!$J$7-Inputs!$I$7)))/Inputs!$K$7)^2)))*1000/Inputs!$C$12)</f>
        <v>41617.391633029561</v>
      </c>
      <c r="AH85" s="9">
        <f>(((SQRT(((Inputs!$I$8+(((A85)+1)/2)*(Inputs!$J$8-Inputs!$I$8)))^2+Inputs!$C$6^2+((Inputs!$H$8+Inputs!$L$8*(((Inputs!$I$8+(((A85)+1)/2)*(Inputs!$J$8-Inputs!$I$8)))/Inputs!$K$8)^2))^2))-((Inputs!$H$8+Inputs!$L$8*(((Inputs!$I$8+(((A85)+1)/2)*(Inputs!$J$8-Inputs!$I$8)))/Inputs!$K$8)^2)))*1000/Inputs!$C$12)</f>
        <v>85155.745288554826</v>
      </c>
      <c r="AI85" s="9">
        <f>(((SQRT(((Inputs!$I$9+(((A85)+1)/2)*(Inputs!$J$9-Inputs!$I$9)))^2+Inputs!$C$6^2+((Inputs!$H$9+Inputs!$L$9*(((Inputs!$I$9+(((A85)+1)/2)*(Inputs!$J$9-Inputs!$I$9)))/Inputs!$K$9)^2))^2))-((Inputs!$H$9+Inputs!$L$9*(((Inputs!$I$9+(((A85)+1)/2)*(Inputs!$J$9-Inputs!$I$9)))/Inputs!$K$9)^2)))*1000/Inputs!$C$12)</f>
        <v>87993.699429959161</v>
      </c>
      <c r="AJ85" s="10"/>
      <c r="AK85" s="9">
        <f t="shared" si="11"/>
        <v>-0.308</v>
      </c>
      <c r="AL85" s="9">
        <f>(-2*((1000*((((Inputs!$I$6+(((A85)+1)/2)*(Inputs!$J$6-Inputs!$I$6)))*Inputs!$C$11+((Inputs!$H$6+Inputs!$L$6*(((Inputs!$I$6+(((A85)+1)/2)*(Inputs!$J$6-Inputs!$I$6)))/Inputs!$K$6)^2))*((2*Inputs!$L$6*((Inputs!$I$6+(((A85)+1)/2)*(Inputs!$J$6-Inputs!$I$6)))/(Inputs!$K$6^2)*Inputs!$C$11)))/(SQRT(((Inputs!$I$6+(((A85)+1)/2)*(Inputs!$J$6-Inputs!$I$6)))^2+Inputs!$C$6^2+((Inputs!$H$6+Inputs!$L$6*(((Inputs!$I$6+(((A85)+1)/2)*(Inputs!$J$6-Inputs!$I$6)))/Inputs!$K$6)^2))^2)))))/Inputs!$C$13)</f>
        <v>139.13779204973227</v>
      </c>
      <c r="AM85" s="9">
        <f>(-2*((1000*((((Inputs!$I$7+(((A85)+1)/2)*(Inputs!$J$7-Inputs!$I$7)))*Inputs!$C$11+((Inputs!$H$7+Inputs!$L$7*(((Inputs!$I$7+(((A85)+1)/2)*(Inputs!$J$7-Inputs!$I$7)))/Inputs!$K$7)^2))*((2*Inputs!$L$7*((Inputs!$I$7+(((A85)+1)/2)*(Inputs!$J$7-Inputs!$I$7)))/(Inputs!$K$7^2)*Inputs!$C$11)))/(SQRT(((Inputs!$I$7+(((A85)+1)/2)*(Inputs!$J$7-Inputs!$I$7)))^2+Inputs!$C$6^2+((Inputs!$H$7+Inputs!$L$7*(((Inputs!$I$7+(((A85)+1)/2)*(Inputs!$J$7-Inputs!$I$7)))/Inputs!$K$7)^2))^2)))))/Inputs!$C$13)</f>
        <v>1807.4492750038808</v>
      </c>
      <c r="AN85" s="9">
        <f>(-2*((1000*((((Inputs!$I$8+(((A85)+1)/2)*(Inputs!$J$8-Inputs!$I$8)))*Inputs!$C$11+((Inputs!$H$8+Inputs!$L$8*(((Inputs!$I$8+(((A85)+1)/2)*(Inputs!$J$8-Inputs!$I$8)))/Inputs!$K$8)^2))*((2*Inputs!$L$8*((Inputs!$I$8+(((A85)+1)/2)*(Inputs!$J$8-Inputs!$I$8)))/(Inputs!$K$8^2)*Inputs!$C$11)))/(SQRT(((Inputs!$I$8+(((A85)+1)/2)*(Inputs!$J$8-Inputs!$I$8)))^2+Inputs!$C$6^2+((Inputs!$H$8+Inputs!$L$8*(((Inputs!$I$8+(((A85)+1)/2)*(Inputs!$J$8-Inputs!$I$8)))/Inputs!$K$8)^2))^2)))))/Inputs!$C$13)</f>
        <v>1958.4474800727289</v>
      </c>
      <c r="AO85" s="9">
        <f>(-2*((1000*((((Inputs!$I$9+(((A85)+1)/2)*(Inputs!$J$9-Inputs!$I$9)))*Inputs!$C$11+((Inputs!$H$9+Inputs!$L$9*(((Inputs!$I$9+(((A85)+1)/2)*(Inputs!$J$9-Inputs!$I$9)))/Inputs!$K$9)^2))*((2*Inputs!$L$9*((Inputs!$I$9+(((A85)+1)/2)*(Inputs!$J$9-Inputs!$I$9)))/(Inputs!$K$9^2)*Inputs!$C$11)))/(SQRT(((Inputs!$I$9+(((A85)+1)/2)*(Inputs!$J$9-Inputs!$I$9)))^2+Inputs!$C$6^2+((Inputs!$H$9+Inputs!$L$9*(((Inputs!$I$9+(((A85)+1)/2)*(Inputs!$J$9-Inputs!$I$9)))/Inputs!$K$9)^2))^2)))))/Inputs!$C$13)</f>
        <v>1953.0481414949984</v>
      </c>
    </row>
    <row r="86" spans="1:41">
      <c r="A86" s="9">
        <f>ROUND(-1+84*2/240,3)</f>
        <v>-0.3</v>
      </c>
      <c r="B86" s="9">
        <f>IF(OR(Inputs!$F$6=TRUE,Inputs!$F$6="TRUE",Inputs!$F$6=1),(Inputs!$H$6+Inputs!$L$6*(((Inputs!$I$6+(((A86)+1)/2)*(Inputs!$J$6-Inputs!$I$6)))/Inputs!$K$6)^2),NA())</f>
        <v>400.36</v>
      </c>
      <c r="C86" s="9">
        <f>IF(OR(Inputs!$F$7=TRUE,Inputs!$F$7="TRUE",Inputs!$F$7=1),(Inputs!$H$7+Inputs!$L$7*(((Inputs!$I$7+(((A86)+1)/2)*(Inputs!$J$7-Inputs!$I$7)))/Inputs!$K$7)^2),NA())</f>
        <v>67.849999999999994</v>
      </c>
      <c r="D86" s="9">
        <f>IF(OR(Inputs!$F$8=TRUE,Inputs!$F$8="TRUE",Inputs!$F$8=1),(Inputs!$H$8+Inputs!$L$8*(((Inputs!$I$8+(((A86)+1)/2)*(Inputs!$J$8-Inputs!$I$8)))/Inputs!$K$8)^2),NA())</f>
        <v>121.85</v>
      </c>
      <c r="E86" s="9">
        <f>IF(OR(Inputs!$F$9=TRUE,Inputs!$F$9="TRUE",Inputs!$F$9=1),(Inputs!$H$9+Inputs!$L$9*(((Inputs!$I$9+(((A86)+1)/2)*(Inputs!$J$9-Inputs!$I$9)))/Inputs!$K$9)^2),NA())</f>
        <v>112.75</v>
      </c>
      <c r="F86" s="10"/>
      <c r="G86" s="9">
        <f t="shared" si="6"/>
        <v>-0.3</v>
      </c>
      <c r="H86" s="9">
        <f>IF(OR(Inputs!$F$6=TRUE,Inputs!$F$6="TRUE",Inputs!$F$6=1),(((SQRT(((Inputs!$I$6+(((A86)+1)/2)*(Inputs!$J$6-Inputs!$I$6)))^2+Inputs!$C$6^2+((Inputs!$H$6+Inputs!$L$6*(((Inputs!$I$6+(((A86)+1)/2)*(Inputs!$J$6-Inputs!$I$6)))/Inputs!$K$6)^2))^2))-((Inputs!$H$6+Inputs!$L$6*(((Inputs!$I$6+(((A86)+1)/2)*(Inputs!$J$6-Inputs!$I$6)))/Inputs!$K$6)^2)))*1000/Inputs!$C$12),NA())</f>
        <v>664.85070974349935</v>
      </c>
      <c r="I86" s="9">
        <f>IF(OR(Inputs!$F$7=TRUE,Inputs!$F$7="TRUE",Inputs!$F$7=1),(((SQRT(((Inputs!$I$7+(((A86)+1)/2)*(Inputs!$J$7-Inputs!$I$7)))^2+Inputs!$C$6^2+((Inputs!$H$7+Inputs!$L$7*(((Inputs!$I$7+(((A86)+1)/2)*(Inputs!$J$7-Inputs!$I$7)))/Inputs!$K$7)^2))^2))-((Inputs!$H$7+Inputs!$L$7*(((Inputs!$I$7+(((A86)+1)/2)*(Inputs!$J$7-Inputs!$I$7)))/Inputs!$K$7)^2)))*1000/Inputs!$C$12),NA())</f>
        <v>40591.115686270939</v>
      </c>
      <c r="J86" s="9">
        <f>IF(OR(Inputs!$F$8=TRUE,Inputs!$F$8="TRUE",Inputs!$F$8=1),(((SQRT(((Inputs!$I$8+(((A86)+1)/2)*(Inputs!$J$8-Inputs!$I$8)))^2+Inputs!$C$6^2+((Inputs!$H$8+Inputs!$L$8*(((Inputs!$I$8+(((A86)+1)/2)*(Inputs!$J$8-Inputs!$I$8)))/Inputs!$K$8)^2))^2))-((Inputs!$H$8+Inputs!$L$8*(((Inputs!$I$8+(((A86)+1)/2)*(Inputs!$J$8-Inputs!$I$8)))/Inputs!$K$8)^2)))*1000/Inputs!$C$12),NA())</f>
        <v>83409.613678017136</v>
      </c>
      <c r="K86" s="9">
        <f>IF(OR(Inputs!$F$9=TRUE,Inputs!$F$9="TRUE",Inputs!$F$9=1),(((SQRT(((Inputs!$I$9+(((A86)+1)/2)*(Inputs!$J$9-Inputs!$I$9)))^2+Inputs!$C$6^2+((Inputs!$H$9+Inputs!$L$9*(((Inputs!$I$9+(((A86)+1)/2)*(Inputs!$J$9-Inputs!$I$9)))/Inputs!$K$9)^2))^2))-((Inputs!$H$9+Inputs!$L$9*(((Inputs!$I$9+(((A86)+1)/2)*(Inputs!$J$9-Inputs!$I$9)))/Inputs!$K$9)^2)))*1000/Inputs!$C$12),NA())</f>
        <v>86287.114741050129</v>
      </c>
      <c r="L86" s="10"/>
      <c r="M86" s="9">
        <f t="shared" si="7"/>
        <v>-0.3</v>
      </c>
      <c r="N86" s="9">
        <f>IF(OR(Inputs!$F$6=TRUE,Inputs!$F$6="TRUE",Inputs!$F$6=1),(-2*((1000*((((Inputs!$I$6+(((A86)+1)/2)*(Inputs!$J$6-Inputs!$I$6)))*Inputs!$C$11+((Inputs!$H$6+Inputs!$L$6*(((Inputs!$I$6+(((A86)+1)/2)*(Inputs!$J$6-Inputs!$I$6)))/Inputs!$K$6)^2))*((2*Inputs!$L$6*((Inputs!$I$6+(((A86)+1)/2)*(Inputs!$J$6-Inputs!$I$6)))/(Inputs!$K$6^2)*Inputs!$C$11)))/(SQRT(((Inputs!$I$6+(((A86)+1)/2)*(Inputs!$J$6-Inputs!$I$6)))^2+Inputs!$C$6^2+((Inputs!$H$6+Inputs!$L$6*(((Inputs!$I$6+(((A86)+1)/2)*(Inputs!$J$6-Inputs!$I$6)))/Inputs!$K$6)^2))^2)))))/Inputs!$C$13),NA())</f>
        <v>135.53462802807991</v>
      </c>
      <c r="O86" s="9">
        <f>IF(OR(Inputs!$F$7=TRUE,Inputs!$F$7="TRUE",Inputs!$F$7=1),(-2*((1000*((((Inputs!$I$7+(((A86)+1)/2)*(Inputs!$J$7-Inputs!$I$7)))*Inputs!$C$11+((Inputs!$H$7+Inputs!$L$7*(((Inputs!$I$7+(((A86)+1)/2)*(Inputs!$J$7-Inputs!$I$7)))/Inputs!$K$7)^2))*((2*Inputs!$L$7*((Inputs!$I$7+(((A86)+1)/2)*(Inputs!$J$7-Inputs!$I$7)))/(Inputs!$K$7^2)*Inputs!$C$11)))/(SQRT(((Inputs!$I$7+(((A86)+1)/2)*(Inputs!$J$7-Inputs!$I$7)))^2+Inputs!$C$6^2+((Inputs!$H$7+Inputs!$L$7*(((Inputs!$I$7+(((A86)+1)/2)*(Inputs!$J$7-Inputs!$I$7)))/Inputs!$K$7)^2))^2)))))/Inputs!$C$13),NA())</f>
        <v>1794.6657887320155</v>
      </c>
      <c r="P86" s="9">
        <f>IF(OR(Inputs!$F$8=TRUE,Inputs!$F$8="TRUE",Inputs!$F$8=1),(-2*((1000*((((Inputs!$I$8+(((A86)+1)/2)*(Inputs!$J$8-Inputs!$I$8)))*Inputs!$C$11+((Inputs!$H$8+Inputs!$L$8*(((Inputs!$I$8+(((A86)+1)/2)*(Inputs!$J$8-Inputs!$I$8)))/Inputs!$K$8)^2))*((2*Inputs!$L$8*((Inputs!$I$8+(((A86)+1)/2)*(Inputs!$J$8-Inputs!$I$8)))/(Inputs!$K$8^2)*Inputs!$C$11)))/(SQRT(((Inputs!$I$8+(((A86)+1)/2)*(Inputs!$J$8-Inputs!$I$8)))^2+Inputs!$C$6^2+((Inputs!$H$8+Inputs!$L$8*(((Inputs!$I$8+(((A86)+1)/2)*(Inputs!$J$8-Inputs!$I$8)))/Inputs!$K$8)^2))^2)))))/Inputs!$C$13),NA())</f>
        <v>1942.5274648216309</v>
      </c>
      <c r="Q86" s="9">
        <f>IF(OR(Inputs!$F$9=TRUE,Inputs!$F$9="TRUE",Inputs!$F$9=1),(-2*((1000*((((Inputs!$I$9+(((A86)+1)/2)*(Inputs!$J$9-Inputs!$I$9)))*Inputs!$C$11+((Inputs!$H$9+Inputs!$L$9*(((Inputs!$I$9+(((A86)+1)/2)*(Inputs!$J$9-Inputs!$I$9)))/Inputs!$K$9)^2))*((2*Inputs!$L$9*((Inputs!$I$9+(((A86)+1)/2)*(Inputs!$J$9-Inputs!$I$9)))/(Inputs!$K$9^2)*Inputs!$C$11)))/(SQRT(((Inputs!$I$9+(((A86)+1)/2)*(Inputs!$J$9-Inputs!$I$9)))^2+Inputs!$C$6^2+((Inputs!$H$9+Inputs!$L$9*(((Inputs!$I$9+(((A86)+1)/2)*(Inputs!$J$9-Inputs!$I$9)))/Inputs!$K$9)^2))^2)))))/Inputs!$C$13),NA())</f>
        <v>1937.0557877508127</v>
      </c>
      <c r="R86" s="10"/>
      <c r="S86" s="9">
        <f t="shared" si="8"/>
        <v>-0.3</v>
      </c>
      <c r="T86" s="9">
        <f>(Inputs!$I$6+(((A86)+1)/2)*(Inputs!$J$6-Inputs!$I$6))</f>
        <v>-18</v>
      </c>
      <c r="U86" s="9">
        <f>(Inputs!$I$7+(((A86)+1)/2)*(Inputs!$J$7-Inputs!$I$7))</f>
        <v>-120</v>
      </c>
      <c r="V86" s="9">
        <f>(Inputs!$I$8+(((A86)+1)/2)*(Inputs!$J$8-Inputs!$I$8))</f>
        <v>-240</v>
      </c>
      <c r="W86" s="9">
        <f>(Inputs!$I$9+(((A86)+1)/2)*(Inputs!$J$9-Inputs!$I$9))</f>
        <v>-240</v>
      </c>
      <c r="X86" s="10"/>
      <c r="Y86" s="9">
        <f t="shared" si="9"/>
        <v>-0.3</v>
      </c>
      <c r="Z86" s="9">
        <f>(Inputs!$H$6+Inputs!$L$6*(((Inputs!$I$6+(((A86)+1)/2)*(Inputs!$J$6-Inputs!$I$6)))/Inputs!$K$6)^2)</f>
        <v>400.36</v>
      </c>
      <c r="AA86" s="9">
        <f>(Inputs!$H$7+Inputs!$L$7*(((Inputs!$I$7+(((A86)+1)/2)*(Inputs!$J$7-Inputs!$I$7)))/Inputs!$K$7)^2)</f>
        <v>67.849999999999994</v>
      </c>
      <c r="AB86" s="9">
        <f>(Inputs!$H$8+Inputs!$L$8*(((Inputs!$I$8+(((A86)+1)/2)*(Inputs!$J$8-Inputs!$I$8)))/Inputs!$K$8)^2)</f>
        <v>121.85</v>
      </c>
      <c r="AC86" s="9">
        <f>(Inputs!$H$9+Inputs!$L$9*(((Inputs!$I$9+(((A86)+1)/2)*(Inputs!$J$9-Inputs!$I$9)))/Inputs!$K$9)^2)</f>
        <v>112.75</v>
      </c>
      <c r="AD86" s="10"/>
      <c r="AE86" s="9">
        <f t="shared" si="10"/>
        <v>-0.3</v>
      </c>
      <c r="AF86" s="9">
        <f>(((SQRT(((Inputs!$I$6+(((A86)+1)/2)*(Inputs!$J$6-Inputs!$I$6)))^2+Inputs!$C$6^2+((Inputs!$H$6+Inputs!$L$6*(((Inputs!$I$6+(((A86)+1)/2)*(Inputs!$J$6-Inputs!$I$6)))/Inputs!$K$6)^2))^2))-((Inputs!$H$6+Inputs!$L$6*(((Inputs!$I$6+(((A86)+1)/2)*(Inputs!$J$6-Inputs!$I$6)))/Inputs!$K$6)^2)))*1000/Inputs!$C$12)</f>
        <v>664.85070974349935</v>
      </c>
      <c r="AG86" s="9">
        <f>(((SQRT(((Inputs!$I$7+(((A86)+1)/2)*(Inputs!$J$7-Inputs!$I$7)))^2+Inputs!$C$6^2+((Inputs!$H$7+Inputs!$L$7*(((Inputs!$I$7+(((A86)+1)/2)*(Inputs!$J$7-Inputs!$I$7)))/Inputs!$K$7)^2))^2))-((Inputs!$H$7+Inputs!$L$7*(((Inputs!$I$7+(((A86)+1)/2)*(Inputs!$J$7-Inputs!$I$7)))/Inputs!$K$7)^2)))*1000/Inputs!$C$12)</f>
        <v>40591.115686270939</v>
      </c>
      <c r="AH86" s="9">
        <f>(((SQRT(((Inputs!$I$8+(((A86)+1)/2)*(Inputs!$J$8-Inputs!$I$8)))^2+Inputs!$C$6^2+((Inputs!$H$8+Inputs!$L$8*(((Inputs!$I$8+(((A86)+1)/2)*(Inputs!$J$8-Inputs!$I$8)))/Inputs!$K$8)^2))^2))-((Inputs!$H$8+Inputs!$L$8*(((Inputs!$I$8+(((A86)+1)/2)*(Inputs!$J$8-Inputs!$I$8)))/Inputs!$K$8)^2)))*1000/Inputs!$C$12)</f>
        <v>83409.613678017136</v>
      </c>
      <c r="AI86" s="9">
        <f>(((SQRT(((Inputs!$I$9+(((A86)+1)/2)*(Inputs!$J$9-Inputs!$I$9)))^2+Inputs!$C$6^2+((Inputs!$H$9+Inputs!$L$9*(((Inputs!$I$9+(((A86)+1)/2)*(Inputs!$J$9-Inputs!$I$9)))/Inputs!$K$9)^2))^2))-((Inputs!$H$9+Inputs!$L$9*(((Inputs!$I$9+(((A86)+1)/2)*(Inputs!$J$9-Inputs!$I$9)))/Inputs!$K$9)^2)))*1000/Inputs!$C$12)</f>
        <v>86287.114741050129</v>
      </c>
      <c r="AJ86" s="10"/>
      <c r="AK86" s="9">
        <f t="shared" si="11"/>
        <v>-0.3</v>
      </c>
      <c r="AL86" s="9">
        <f>(-2*((1000*((((Inputs!$I$6+(((A86)+1)/2)*(Inputs!$J$6-Inputs!$I$6)))*Inputs!$C$11+((Inputs!$H$6+Inputs!$L$6*(((Inputs!$I$6+(((A86)+1)/2)*(Inputs!$J$6-Inputs!$I$6)))/Inputs!$K$6)^2))*((2*Inputs!$L$6*((Inputs!$I$6+(((A86)+1)/2)*(Inputs!$J$6-Inputs!$I$6)))/(Inputs!$K$6^2)*Inputs!$C$11)))/(SQRT(((Inputs!$I$6+(((A86)+1)/2)*(Inputs!$J$6-Inputs!$I$6)))^2+Inputs!$C$6^2+((Inputs!$H$6+Inputs!$L$6*(((Inputs!$I$6+(((A86)+1)/2)*(Inputs!$J$6-Inputs!$I$6)))/Inputs!$K$6)^2))^2)))))/Inputs!$C$13)</f>
        <v>135.53462802807991</v>
      </c>
      <c r="AM86" s="9">
        <f>(-2*((1000*((((Inputs!$I$7+(((A86)+1)/2)*(Inputs!$J$7-Inputs!$I$7)))*Inputs!$C$11+((Inputs!$H$7+Inputs!$L$7*(((Inputs!$I$7+(((A86)+1)/2)*(Inputs!$J$7-Inputs!$I$7)))/Inputs!$K$7)^2))*((2*Inputs!$L$7*((Inputs!$I$7+(((A86)+1)/2)*(Inputs!$J$7-Inputs!$I$7)))/(Inputs!$K$7^2)*Inputs!$C$11)))/(SQRT(((Inputs!$I$7+(((A86)+1)/2)*(Inputs!$J$7-Inputs!$I$7)))^2+Inputs!$C$6^2+((Inputs!$H$7+Inputs!$L$7*(((Inputs!$I$7+(((A86)+1)/2)*(Inputs!$J$7-Inputs!$I$7)))/Inputs!$K$7)^2))^2)))))/Inputs!$C$13)</f>
        <v>1794.6657887320155</v>
      </c>
      <c r="AN86" s="9">
        <f>(-2*((1000*((((Inputs!$I$8+(((A86)+1)/2)*(Inputs!$J$8-Inputs!$I$8)))*Inputs!$C$11+((Inputs!$H$8+Inputs!$L$8*(((Inputs!$I$8+(((A86)+1)/2)*(Inputs!$J$8-Inputs!$I$8)))/Inputs!$K$8)^2))*((2*Inputs!$L$8*((Inputs!$I$8+(((A86)+1)/2)*(Inputs!$J$8-Inputs!$I$8)))/(Inputs!$K$8^2)*Inputs!$C$11)))/(SQRT(((Inputs!$I$8+(((A86)+1)/2)*(Inputs!$J$8-Inputs!$I$8)))^2+Inputs!$C$6^2+((Inputs!$H$8+Inputs!$L$8*(((Inputs!$I$8+(((A86)+1)/2)*(Inputs!$J$8-Inputs!$I$8)))/Inputs!$K$8)^2))^2)))))/Inputs!$C$13)</f>
        <v>1942.5274648216309</v>
      </c>
      <c r="AO86" s="9">
        <f>(-2*((1000*((((Inputs!$I$9+(((A86)+1)/2)*(Inputs!$J$9-Inputs!$I$9)))*Inputs!$C$11+((Inputs!$H$9+Inputs!$L$9*(((Inputs!$I$9+(((A86)+1)/2)*(Inputs!$J$9-Inputs!$I$9)))/Inputs!$K$9)^2))*((2*Inputs!$L$9*((Inputs!$I$9+(((A86)+1)/2)*(Inputs!$J$9-Inputs!$I$9)))/(Inputs!$K$9^2)*Inputs!$C$11)))/(SQRT(((Inputs!$I$9+(((A86)+1)/2)*(Inputs!$J$9-Inputs!$I$9)))^2+Inputs!$C$6^2+((Inputs!$H$9+Inputs!$L$9*(((Inputs!$I$9+(((A86)+1)/2)*(Inputs!$J$9-Inputs!$I$9)))/Inputs!$K$9)^2))^2)))))/Inputs!$C$13)</f>
        <v>1937.0557877508127</v>
      </c>
    </row>
    <row r="87" spans="1:41">
      <c r="A87" s="9">
        <f>ROUND(-1+85*2/240,3)</f>
        <v>-0.29199999999999998</v>
      </c>
      <c r="B87" s="9">
        <f>IF(OR(Inputs!$F$6=TRUE,Inputs!$F$6="TRUE",Inputs!$F$6=1),(Inputs!$H$6+Inputs!$L$6*(((Inputs!$I$6+(((A87)+1)/2)*(Inputs!$J$6-Inputs!$I$6)))/Inputs!$K$6)^2),NA())</f>
        <v>400.34105599999998</v>
      </c>
      <c r="C87" s="9">
        <f>IF(OR(Inputs!$F$7=TRUE,Inputs!$F$7="TRUE",Inputs!$F$7=1),(Inputs!$H$7+Inputs!$L$7*(((Inputs!$I$7+(((A87)+1)/2)*(Inputs!$J$7-Inputs!$I$7)))/Inputs!$K$7)^2),NA())</f>
        <v>66.12136000000001</v>
      </c>
      <c r="D87" s="9">
        <f>IF(OR(Inputs!$F$8=TRUE,Inputs!$F$8="TRUE",Inputs!$F$8=1),(Inputs!$H$8+Inputs!$L$8*(((Inputs!$I$8+(((A87)+1)/2)*(Inputs!$J$8-Inputs!$I$8)))/Inputs!$K$8)^2),NA())</f>
        <v>117.27976000000002</v>
      </c>
      <c r="E87" s="9">
        <f>IF(OR(Inputs!$F$9=TRUE,Inputs!$F$9="TRUE",Inputs!$F$9=1),(Inputs!$H$9+Inputs!$L$9*(((Inputs!$I$9+(((A87)+1)/2)*(Inputs!$J$9-Inputs!$I$9)))/Inputs!$K$9)^2),NA())</f>
        <v>108.13240000000002</v>
      </c>
      <c r="F87" s="10"/>
      <c r="G87" s="9">
        <f t="shared" si="6"/>
        <v>-0.29199999999999998</v>
      </c>
      <c r="H87" s="9">
        <f>IF(OR(Inputs!$F$6=TRUE,Inputs!$F$6="TRUE",Inputs!$F$6=1),(((SQRT(((Inputs!$I$6+(((A87)+1)/2)*(Inputs!$J$6-Inputs!$I$6)))^2+Inputs!$C$6^2+((Inputs!$H$6+Inputs!$L$6*(((Inputs!$I$6+(((A87)+1)/2)*(Inputs!$J$6-Inputs!$I$6)))/Inputs!$K$6)^2))^2))-((Inputs!$H$6+Inputs!$L$6*(((Inputs!$I$6+(((A87)+1)/2)*(Inputs!$J$6-Inputs!$I$6)))/Inputs!$K$6)^2)))*1000/Inputs!$C$12),NA())</f>
        <v>652.9541887930834</v>
      </c>
      <c r="I87" s="9">
        <f>IF(OR(Inputs!$F$7=TRUE,Inputs!$F$7="TRUE",Inputs!$F$7=1),(((SQRT(((Inputs!$I$7+(((A87)+1)/2)*(Inputs!$J$7-Inputs!$I$7)))^2+Inputs!$C$6^2+((Inputs!$H$7+Inputs!$L$7*(((Inputs!$I$7+(((A87)+1)/2)*(Inputs!$J$7-Inputs!$I$7)))/Inputs!$K$7)^2))^2))-((Inputs!$H$7+Inputs!$L$7*(((Inputs!$I$7+(((A87)+1)/2)*(Inputs!$J$7-Inputs!$I$7)))/Inputs!$K$7)^2)))*1000/Inputs!$C$12),NA())</f>
        <v>39553.015405912927</v>
      </c>
      <c r="J87" s="9">
        <f>IF(OR(Inputs!$F$8=TRUE,Inputs!$F$8="TRUE",Inputs!$F$8=1),(((SQRT(((Inputs!$I$8+(((A87)+1)/2)*(Inputs!$J$8-Inputs!$I$8)))^2+Inputs!$C$6^2+((Inputs!$H$8+Inputs!$L$8*(((Inputs!$I$8+(((A87)+1)/2)*(Inputs!$J$8-Inputs!$I$8)))/Inputs!$K$8)^2))^2))-((Inputs!$H$8+Inputs!$L$8*(((Inputs!$I$8+(((A87)+1)/2)*(Inputs!$J$8-Inputs!$I$8)))/Inputs!$K$8)^2)))*1000/Inputs!$C$12),NA())</f>
        <v>81629.611161669192</v>
      </c>
      <c r="K87" s="9">
        <f>IF(OR(Inputs!$F$9=TRUE,Inputs!$F$9="TRUE",Inputs!$F$9=1),(((SQRT(((Inputs!$I$9+(((A87)+1)/2)*(Inputs!$J$9-Inputs!$I$9)))^2+Inputs!$C$6^2+((Inputs!$H$9+Inputs!$L$9*(((Inputs!$I$9+(((A87)+1)/2)*(Inputs!$J$9-Inputs!$I$9)))/Inputs!$K$9)^2))^2))-((Inputs!$H$9+Inputs!$L$9*(((Inputs!$I$9+(((A87)+1)/2)*(Inputs!$J$9-Inputs!$I$9)))/Inputs!$K$9)^2)))*1000/Inputs!$C$12),NA())</f>
        <v>84546.062695857894</v>
      </c>
      <c r="L87" s="10"/>
      <c r="M87" s="9">
        <f t="shared" si="7"/>
        <v>-0.29199999999999998</v>
      </c>
      <c r="N87" s="9">
        <f>IF(OR(Inputs!$F$6=TRUE,Inputs!$F$6="TRUE",Inputs!$F$6=1),(-2*((1000*((((Inputs!$I$6+(((A87)+1)/2)*(Inputs!$J$6-Inputs!$I$6)))*Inputs!$C$11+((Inputs!$H$6+Inputs!$L$6*(((Inputs!$I$6+(((A87)+1)/2)*(Inputs!$J$6-Inputs!$I$6)))/Inputs!$K$6)^2))*((2*Inputs!$L$6*((Inputs!$I$6+(((A87)+1)/2)*(Inputs!$J$6-Inputs!$I$6)))/(Inputs!$K$6^2)*Inputs!$C$11)))/(SQRT(((Inputs!$I$6+(((A87)+1)/2)*(Inputs!$J$6-Inputs!$I$6)))^2+Inputs!$C$6^2+((Inputs!$H$6+Inputs!$L$6*(((Inputs!$I$6+(((A87)+1)/2)*(Inputs!$J$6-Inputs!$I$6)))/Inputs!$K$6)^2))^2)))))/Inputs!$C$13),NA())</f>
        <v>131.93061412255116</v>
      </c>
      <c r="O87" s="9">
        <f>IF(OR(Inputs!$F$7=TRUE,Inputs!$F$7="TRUE",Inputs!$F$7=1),(-2*((1000*((((Inputs!$I$7+(((A87)+1)/2)*(Inputs!$J$7-Inputs!$I$7)))*Inputs!$C$11+((Inputs!$H$7+Inputs!$L$7*(((Inputs!$I$7+(((A87)+1)/2)*(Inputs!$J$7-Inputs!$I$7)))/Inputs!$K$7)^2))*((2*Inputs!$L$7*((Inputs!$I$7+(((A87)+1)/2)*(Inputs!$J$7-Inputs!$I$7)))/(Inputs!$K$7^2)*Inputs!$C$11)))/(SQRT(((Inputs!$I$7+(((A87)+1)/2)*(Inputs!$J$7-Inputs!$I$7)))^2+Inputs!$C$6^2+((Inputs!$H$7+Inputs!$L$7*(((Inputs!$I$7+(((A87)+1)/2)*(Inputs!$J$7-Inputs!$I$7)))/Inputs!$K$7)^2))^2)))))/Inputs!$C$13),NA())</f>
        <v>1781.7719852724665</v>
      </c>
      <c r="P87" s="9">
        <f>IF(OR(Inputs!$F$8=TRUE,Inputs!$F$8="TRUE",Inputs!$F$8=1),(-2*((1000*((((Inputs!$I$8+(((A87)+1)/2)*(Inputs!$J$8-Inputs!$I$8)))*Inputs!$C$11+((Inputs!$H$8+Inputs!$L$8*(((Inputs!$I$8+(((A87)+1)/2)*(Inputs!$J$8-Inputs!$I$8)))/Inputs!$K$8)^2))*((2*Inputs!$L$8*((Inputs!$I$8+(((A87)+1)/2)*(Inputs!$J$8-Inputs!$I$8)))/(Inputs!$K$8^2)*Inputs!$C$11)))/(SQRT(((Inputs!$I$8+(((A87)+1)/2)*(Inputs!$J$8-Inputs!$I$8)))^2+Inputs!$C$6^2+((Inputs!$H$8+Inputs!$L$8*(((Inputs!$I$8+(((A87)+1)/2)*(Inputs!$J$8-Inputs!$I$8)))/Inputs!$K$8)^2))^2)))))/Inputs!$C$13),NA())</f>
        <v>1926.8316763986527</v>
      </c>
      <c r="Q87" s="9">
        <f>IF(OR(Inputs!$F$9=TRUE,Inputs!$F$9="TRUE",Inputs!$F$9=1),(-2*((1000*((((Inputs!$I$9+(((A87)+1)/2)*(Inputs!$J$9-Inputs!$I$9)))*Inputs!$C$11+((Inputs!$H$9+Inputs!$L$9*(((Inputs!$I$9+(((A87)+1)/2)*(Inputs!$J$9-Inputs!$I$9)))/Inputs!$K$9)^2))*((2*Inputs!$L$9*((Inputs!$I$9+(((A87)+1)/2)*(Inputs!$J$9-Inputs!$I$9)))/(Inputs!$K$9^2)*Inputs!$C$11)))/(SQRT(((Inputs!$I$9+(((A87)+1)/2)*(Inputs!$J$9-Inputs!$I$9)))^2+Inputs!$C$6^2+((Inputs!$H$9+Inputs!$L$9*(((Inputs!$I$9+(((A87)+1)/2)*(Inputs!$J$9-Inputs!$I$9)))/Inputs!$K$9)^2))^2)))))/Inputs!$C$13),NA())</f>
        <v>1921.3237160212152</v>
      </c>
      <c r="R87" s="10"/>
      <c r="S87" s="9">
        <f t="shared" si="8"/>
        <v>-0.29199999999999998</v>
      </c>
      <c r="T87" s="9">
        <f>(Inputs!$I$6+(((A87)+1)/2)*(Inputs!$J$6-Inputs!$I$6))</f>
        <v>-17.520000000000003</v>
      </c>
      <c r="U87" s="9">
        <f>(Inputs!$I$7+(((A87)+1)/2)*(Inputs!$J$7-Inputs!$I$7))</f>
        <v>-116.80000000000001</v>
      </c>
      <c r="V87" s="9">
        <f>(Inputs!$I$8+(((A87)+1)/2)*(Inputs!$J$8-Inputs!$I$8))</f>
        <v>-233.60000000000002</v>
      </c>
      <c r="W87" s="9">
        <f>(Inputs!$I$9+(((A87)+1)/2)*(Inputs!$J$9-Inputs!$I$9))</f>
        <v>-233.60000000000002</v>
      </c>
      <c r="X87" s="10"/>
      <c r="Y87" s="9">
        <f t="shared" si="9"/>
        <v>-0.29199999999999998</v>
      </c>
      <c r="Z87" s="9">
        <f>(Inputs!$H$6+Inputs!$L$6*(((Inputs!$I$6+(((A87)+1)/2)*(Inputs!$J$6-Inputs!$I$6)))/Inputs!$K$6)^2)</f>
        <v>400.34105599999998</v>
      </c>
      <c r="AA87" s="9">
        <f>(Inputs!$H$7+Inputs!$L$7*(((Inputs!$I$7+(((A87)+1)/2)*(Inputs!$J$7-Inputs!$I$7)))/Inputs!$K$7)^2)</f>
        <v>66.12136000000001</v>
      </c>
      <c r="AB87" s="9">
        <f>(Inputs!$H$8+Inputs!$L$8*(((Inputs!$I$8+(((A87)+1)/2)*(Inputs!$J$8-Inputs!$I$8)))/Inputs!$K$8)^2)</f>
        <v>117.27976000000002</v>
      </c>
      <c r="AC87" s="9">
        <f>(Inputs!$H$9+Inputs!$L$9*(((Inputs!$I$9+(((A87)+1)/2)*(Inputs!$J$9-Inputs!$I$9)))/Inputs!$K$9)^2)</f>
        <v>108.13240000000002</v>
      </c>
      <c r="AD87" s="10"/>
      <c r="AE87" s="9">
        <f t="shared" si="10"/>
        <v>-0.29199999999999998</v>
      </c>
      <c r="AF87" s="9">
        <f>(((SQRT(((Inputs!$I$6+(((A87)+1)/2)*(Inputs!$J$6-Inputs!$I$6)))^2+Inputs!$C$6^2+((Inputs!$H$6+Inputs!$L$6*(((Inputs!$I$6+(((A87)+1)/2)*(Inputs!$J$6-Inputs!$I$6)))/Inputs!$K$6)^2))^2))-((Inputs!$H$6+Inputs!$L$6*(((Inputs!$I$6+(((A87)+1)/2)*(Inputs!$J$6-Inputs!$I$6)))/Inputs!$K$6)^2)))*1000/Inputs!$C$12)</f>
        <v>652.9541887930834</v>
      </c>
      <c r="AG87" s="9">
        <f>(((SQRT(((Inputs!$I$7+(((A87)+1)/2)*(Inputs!$J$7-Inputs!$I$7)))^2+Inputs!$C$6^2+((Inputs!$H$7+Inputs!$L$7*(((Inputs!$I$7+(((A87)+1)/2)*(Inputs!$J$7-Inputs!$I$7)))/Inputs!$K$7)^2))^2))-((Inputs!$H$7+Inputs!$L$7*(((Inputs!$I$7+(((A87)+1)/2)*(Inputs!$J$7-Inputs!$I$7)))/Inputs!$K$7)^2)))*1000/Inputs!$C$12)</f>
        <v>39553.015405912927</v>
      </c>
      <c r="AH87" s="9">
        <f>(((SQRT(((Inputs!$I$8+(((A87)+1)/2)*(Inputs!$J$8-Inputs!$I$8)))^2+Inputs!$C$6^2+((Inputs!$H$8+Inputs!$L$8*(((Inputs!$I$8+(((A87)+1)/2)*(Inputs!$J$8-Inputs!$I$8)))/Inputs!$K$8)^2))^2))-((Inputs!$H$8+Inputs!$L$8*(((Inputs!$I$8+(((A87)+1)/2)*(Inputs!$J$8-Inputs!$I$8)))/Inputs!$K$8)^2)))*1000/Inputs!$C$12)</f>
        <v>81629.611161669192</v>
      </c>
      <c r="AI87" s="9">
        <f>(((SQRT(((Inputs!$I$9+(((A87)+1)/2)*(Inputs!$J$9-Inputs!$I$9)))^2+Inputs!$C$6^2+((Inputs!$H$9+Inputs!$L$9*(((Inputs!$I$9+(((A87)+1)/2)*(Inputs!$J$9-Inputs!$I$9)))/Inputs!$K$9)^2))^2))-((Inputs!$H$9+Inputs!$L$9*(((Inputs!$I$9+(((A87)+1)/2)*(Inputs!$J$9-Inputs!$I$9)))/Inputs!$K$9)^2)))*1000/Inputs!$C$12)</f>
        <v>84546.062695857894</v>
      </c>
      <c r="AJ87" s="10"/>
      <c r="AK87" s="9">
        <f t="shared" si="11"/>
        <v>-0.29199999999999998</v>
      </c>
      <c r="AL87" s="9">
        <f>(-2*((1000*((((Inputs!$I$6+(((A87)+1)/2)*(Inputs!$J$6-Inputs!$I$6)))*Inputs!$C$11+((Inputs!$H$6+Inputs!$L$6*(((Inputs!$I$6+(((A87)+1)/2)*(Inputs!$J$6-Inputs!$I$6)))/Inputs!$K$6)^2))*((2*Inputs!$L$6*((Inputs!$I$6+(((A87)+1)/2)*(Inputs!$J$6-Inputs!$I$6)))/(Inputs!$K$6^2)*Inputs!$C$11)))/(SQRT(((Inputs!$I$6+(((A87)+1)/2)*(Inputs!$J$6-Inputs!$I$6)))^2+Inputs!$C$6^2+((Inputs!$H$6+Inputs!$L$6*(((Inputs!$I$6+(((A87)+1)/2)*(Inputs!$J$6-Inputs!$I$6)))/Inputs!$K$6)^2))^2)))))/Inputs!$C$13)</f>
        <v>131.93061412255116</v>
      </c>
      <c r="AM87" s="9">
        <f>(-2*((1000*((((Inputs!$I$7+(((A87)+1)/2)*(Inputs!$J$7-Inputs!$I$7)))*Inputs!$C$11+((Inputs!$H$7+Inputs!$L$7*(((Inputs!$I$7+(((A87)+1)/2)*(Inputs!$J$7-Inputs!$I$7)))/Inputs!$K$7)^2))*((2*Inputs!$L$7*((Inputs!$I$7+(((A87)+1)/2)*(Inputs!$J$7-Inputs!$I$7)))/(Inputs!$K$7^2)*Inputs!$C$11)))/(SQRT(((Inputs!$I$7+(((A87)+1)/2)*(Inputs!$J$7-Inputs!$I$7)))^2+Inputs!$C$6^2+((Inputs!$H$7+Inputs!$L$7*(((Inputs!$I$7+(((A87)+1)/2)*(Inputs!$J$7-Inputs!$I$7)))/Inputs!$K$7)^2))^2)))))/Inputs!$C$13)</f>
        <v>1781.7719852724665</v>
      </c>
      <c r="AN87" s="9">
        <f>(-2*((1000*((((Inputs!$I$8+(((A87)+1)/2)*(Inputs!$J$8-Inputs!$I$8)))*Inputs!$C$11+((Inputs!$H$8+Inputs!$L$8*(((Inputs!$I$8+(((A87)+1)/2)*(Inputs!$J$8-Inputs!$I$8)))/Inputs!$K$8)^2))*((2*Inputs!$L$8*((Inputs!$I$8+(((A87)+1)/2)*(Inputs!$J$8-Inputs!$I$8)))/(Inputs!$K$8^2)*Inputs!$C$11)))/(SQRT(((Inputs!$I$8+(((A87)+1)/2)*(Inputs!$J$8-Inputs!$I$8)))^2+Inputs!$C$6^2+((Inputs!$H$8+Inputs!$L$8*(((Inputs!$I$8+(((A87)+1)/2)*(Inputs!$J$8-Inputs!$I$8)))/Inputs!$K$8)^2))^2)))))/Inputs!$C$13)</f>
        <v>1926.8316763986527</v>
      </c>
      <c r="AO87" s="9">
        <f>(-2*((1000*((((Inputs!$I$9+(((A87)+1)/2)*(Inputs!$J$9-Inputs!$I$9)))*Inputs!$C$11+((Inputs!$H$9+Inputs!$L$9*(((Inputs!$I$9+(((A87)+1)/2)*(Inputs!$J$9-Inputs!$I$9)))/Inputs!$K$9)^2))*((2*Inputs!$L$9*((Inputs!$I$9+(((A87)+1)/2)*(Inputs!$J$9-Inputs!$I$9)))/(Inputs!$K$9^2)*Inputs!$C$11)))/(SQRT(((Inputs!$I$9+(((A87)+1)/2)*(Inputs!$J$9-Inputs!$I$9)))^2+Inputs!$C$6^2+((Inputs!$H$9+Inputs!$L$9*(((Inputs!$I$9+(((A87)+1)/2)*(Inputs!$J$9-Inputs!$I$9)))/Inputs!$K$9)^2))^2)))))/Inputs!$C$13)</f>
        <v>1921.3237160212152</v>
      </c>
    </row>
    <row r="88" spans="1:41">
      <c r="A88" s="9">
        <f>ROUND(-1+86*2/240,3)</f>
        <v>-0.28299999999999997</v>
      </c>
      <c r="B88" s="9">
        <f>IF(OR(Inputs!$F$6=TRUE,Inputs!$F$6="TRUE",Inputs!$F$6=1),(Inputs!$H$6+Inputs!$L$6*(((Inputs!$I$6+(((A88)+1)/2)*(Inputs!$J$6-Inputs!$I$6)))/Inputs!$K$6)^2),NA())</f>
        <v>400.320356</v>
      </c>
      <c r="C88" s="9">
        <f>IF(OR(Inputs!$F$7=TRUE,Inputs!$F$7="TRUE",Inputs!$F$7=1),(Inputs!$H$7+Inputs!$L$7*(((Inputs!$I$7+(((A88)+1)/2)*(Inputs!$J$7-Inputs!$I$7)))/Inputs!$K$7)^2),NA())</f>
        <v>64.232484999999997</v>
      </c>
      <c r="D88" s="9">
        <f>IF(OR(Inputs!$F$8=TRUE,Inputs!$F$8="TRUE",Inputs!$F$8=1),(Inputs!$H$8+Inputs!$L$8*(((Inputs!$I$8+(((A88)+1)/2)*(Inputs!$J$8-Inputs!$I$8)))/Inputs!$K$8)^2),NA())</f>
        <v>112.28588499999998</v>
      </c>
      <c r="E88" s="9">
        <f>IF(OR(Inputs!$F$9=TRUE,Inputs!$F$9="TRUE",Inputs!$F$9=1),(Inputs!$H$9+Inputs!$L$9*(((Inputs!$I$9+(((A88)+1)/2)*(Inputs!$J$9-Inputs!$I$9)))/Inputs!$K$9)^2),NA())</f>
        <v>103.08677499999997</v>
      </c>
      <c r="F88" s="10"/>
      <c r="G88" s="9">
        <f t="shared" si="6"/>
        <v>-0.28299999999999997</v>
      </c>
      <c r="H88" s="9">
        <f>IF(OR(Inputs!$F$6=TRUE,Inputs!$F$6="TRUE",Inputs!$F$6=1),(((SQRT(((Inputs!$I$6+(((A88)+1)/2)*(Inputs!$J$6-Inputs!$I$6)))^2+Inputs!$C$6^2+((Inputs!$H$6+Inputs!$L$6*(((Inputs!$I$6+(((A88)+1)/2)*(Inputs!$J$6-Inputs!$I$6)))/Inputs!$K$6)^2))^2))-((Inputs!$H$6+Inputs!$L$6*(((Inputs!$I$6+(((A88)+1)/2)*(Inputs!$J$6-Inputs!$I$6)))/Inputs!$K$6)^2)))*1000/Inputs!$C$12),NA())</f>
        <v>639.95292755053242</v>
      </c>
      <c r="I88" s="9">
        <f>IF(OR(Inputs!$F$7=TRUE,Inputs!$F$7="TRUE",Inputs!$F$7=1),(((SQRT(((Inputs!$I$7+(((A88)+1)/2)*(Inputs!$J$7-Inputs!$I$7)))^2+Inputs!$C$6^2+((Inputs!$H$7+Inputs!$L$7*(((Inputs!$I$7+(((A88)+1)/2)*(Inputs!$J$7-Inputs!$I$7)))/Inputs!$K$7)^2))^2))-((Inputs!$H$7+Inputs!$L$7*(((Inputs!$I$7+(((A88)+1)/2)*(Inputs!$J$7-Inputs!$I$7)))/Inputs!$K$7)^2)))*1000/Inputs!$C$12),NA())</f>
        <v>38371.194617928377</v>
      </c>
      <c r="J88" s="9">
        <f>IF(OR(Inputs!$F$8=TRUE,Inputs!$F$8="TRUE",Inputs!$F$8=1),(((SQRT(((Inputs!$I$8+(((A88)+1)/2)*(Inputs!$J$8-Inputs!$I$8)))^2+Inputs!$C$6^2+((Inputs!$H$8+Inputs!$L$8*(((Inputs!$I$8+(((A88)+1)/2)*(Inputs!$J$8-Inputs!$I$8)))/Inputs!$K$8)^2))^2))-((Inputs!$H$8+Inputs!$L$8*(((Inputs!$I$8+(((A88)+1)/2)*(Inputs!$J$8-Inputs!$I$8)))/Inputs!$K$8)^2)))*1000/Inputs!$C$12),NA())</f>
        <v>79586.0034794901</v>
      </c>
      <c r="K88" s="9">
        <f>IF(OR(Inputs!$F$9=TRUE,Inputs!$F$9="TRUE",Inputs!$F$9=1),(((SQRT(((Inputs!$I$9+(((A88)+1)/2)*(Inputs!$J$9-Inputs!$I$9)))^2+Inputs!$C$6^2+((Inputs!$H$9+Inputs!$L$9*(((Inputs!$I$9+(((A88)+1)/2)*(Inputs!$J$9-Inputs!$I$9)))/Inputs!$K$9)^2))^2))-((Inputs!$H$9+Inputs!$L$9*(((Inputs!$I$9+(((A88)+1)/2)*(Inputs!$J$9-Inputs!$I$9)))/Inputs!$K$9)^2)))*1000/Inputs!$C$12),NA())</f>
        <v>82545.455468669024</v>
      </c>
      <c r="L88" s="10"/>
      <c r="M88" s="9">
        <f t="shared" si="7"/>
        <v>-0.28299999999999997</v>
      </c>
      <c r="N88" s="9">
        <f>IF(OR(Inputs!$F$6=TRUE,Inputs!$F$6="TRUE",Inputs!$F$6=1),(-2*((1000*((((Inputs!$I$6+(((A88)+1)/2)*(Inputs!$J$6-Inputs!$I$6)))*Inputs!$C$11+((Inputs!$H$6+Inputs!$L$6*(((Inputs!$I$6+(((A88)+1)/2)*(Inputs!$J$6-Inputs!$I$6)))/Inputs!$K$6)^2))*((2*Inputs!$L$6*((Inputs!$I$6+(((A88)+1)/2)*(Inputs!$J$6-Inputs!$I$6)))/(Inputs!$K$6^2)*Inputs!$C$11)))/(SQRT(((Inputs!$I$6+(((A88)+1)/2)*(Inputs!$J$6-Inputs!$I$6)))^2+Inputs!$C$6^2+((Inputs!$H$6+Inputs!$L$6*(((Inputs!$I$6+(((A88)+1)/2)*(Inputs!$J$6-Inputs!$I$6)))/Inputs!$K$6)^2))^2)))))/Inputs!$C$13),NA())</f>
        <v>127.87511030732364</v>
      </c>
      <c r="O88" s="9">
        <f>IF(OR(Inputs!$F$7=TRUE,Inputs!$F$7="TRUE",Inputs!$F$7=1),(-2*((1000*((((Inputs!$I$7+(((A88)+1)/2)*(Inputs!$J$7-Inputs!$I$7)))*Inputs!$C$11+((Inputs!$H$7+Inputs!$L$7*(((Inputs!$I$7+(((A88)+1)/2)*(Inputs!$J$7-Inputs!$I$7)))/Inputs!$K$7)^2))*((2*Inputs!$L$7*((Inputs!$I$7+(((A88)+1)/2)*(Inputs!$J$7-Inputs!$I$7)))/(Inputs!$K$7^2)*Inputs!$C$11)))/(SQRT(((Inputs!$I$7+(((A88)+1)/2)*(Inputs!$J$7-Inputs!$I$7)))^2+Inputs!$C$6^2+((Inputs!$H$7+Inputs!$L$7*(((Inputs!$I$7+(((A88)+1)/2)*(Inputs!$J$7-Inputs!$I$7)))/Inputs!$K$7)^2))^2)))))/Inputs!$C$13),NA())</f>
        <v>1767.0978752833012</v>
      </c>
      <c r="P88" s="9">
        <f>IF(OR(Inputs!$F$8=TRUE,Inputs!$F$8="TRUE",Inputs!$F$8=1),(-2*((1000*((((Inputs!$I$8+(((A88)+1)/2)*(Inputs!$J$8-Inputs!$I$8)))*Inputs!$C$11+((Inputs!$H$8+Inputs!$L$8*(((Inputs!$I$8+(((A88)+1)/2)*(Inputs!$J$8-Inputs!$I$8)))/Inputs!$K$8)^2))*((2*Inputs!$L$8*((Inputs!$I$8+(((A88)+1)/2)*(Inputs!$J$8-Inputs!$I$8)))/(Inputs!$K$8^2)*Inputs!$C$11)))/(SQRT(((Inputs!$I$8+(((A88)+1)/2)*(Inputs!$J$8-Inputs!$I$8)))^2+Inputs!$C$6^2+((Inputs!$H$8+Inputs!$L$8*(((Inputs!$I$8+(((A88)+1)/2)*(Inputs!$J$8-Inputs!$I$8)))/Inputs!$K$8)^2))^2)))))/Inputs!$C$13),NA())</f>
        <v>1909.4342173445507</v>
      </c>
      <c r="Q88" s="9">
        <f>IF(OR(Inputs!$F$9=TRUE,Inputs!$F$9="TRUE",Inputs!$F$9=1),(-2*((1000*((((Inputs!$I$9+(((A88)+1)/2)*(Inputs!$J$9-Inputs!$I$9)))*Inputs!$C$11+((Inputs!$H$9+Inputs!$L$9*(((Inputs!$I$9+(((A88)+1)/2)*(Inputs!$J$9-Inputs!$I$9)))/Inputs!$K$9)^2))*((2*Inputs!$L$9*((Inputs!$I$9+(((A88)+1)/2)*(Inputs!$J$9-Inputs!$I$9)))/(Inputs!$K$9^2)*Inputs!$C$11)))/(SQRT(((Inputs!$I$9+(((A88)+1)/2)*(Inputs!$J$9-Inputs!$I$9)))^2+Inputs!$C$6^2+((Inputs!$H$9+Inputs!$L$9*(((Inputs!$I$9+(((A88)+1)/2)*(Inputs!$J$9-Inputs!$I$9)))/Inputs!$K$9)^2))^2)))))/Inputs!$C$13),NA())</f>
        <v>1903.9328044717065</v>
      </c>
      <c r="R88" s="10"/>
      <c r="S88" s="9">
        <f t="shared" si="8"/>
        <v>-0.28299999999999997</v>
      </c>
      <c r="T88" s="9">
        <f>(Inputs!$I$6+(((A88)+1)/2)*(Inputs!$J$6-Inputs!$I$6))</f>
        <v>-16.979999999999997</v>
      </c>
      <c r="U88" s="9">
        <f>(Inputs!$I$7+(((A88)+1)/2)*(Inputs!$J$7-Inputs!$I$7))</f>
        <v>-113.19999999999999</v>
      </c>
      <c r="V88" s="9">
        <f>(Inputs!$I$8+(((A88)+1)/2)*(Inputs!$J$8-Inputs!$I$8))</f>
        <v>-226.39999999999998</v>
      </c>
      <c r="W88" s="9">
        <f>(Inputs!$I$9+(((A88)+1)/2)*(Inputs!$J$9-Inputs!$I$9))</f>
        <v>-226.39999999999998</v>
      </c>
      <c r="X88" s="10"/>
      <c r="Y88" s="9">
        <f t="shared" si="9"/>
        <v>-0.28299999999999997</v>
      </c>
      <c r="Z88" s="9">
        <f>(Inputs!$H$6+Inputs!$L$6*(((Inputs!$I$6+(((A88)+1)/2)*(Inputs!$J$6-Inputs!$I$6)))/Inputs!$K$6)^2)</f>
        <v>400.320356</v>
      </c>
      <c r="AA88" s="9">
        <f>(Inputs!$H$7+Inputs!$L$7*(((Inputs!$I$7+(((A88)+1)/2)*(Inputs!$J$7-Inputs!$I$7)))/Inputs!$K$7)^2)</f>
        <v>64.232484999999997</v>
      </c>
      <c r="AB88" s="9">
        <f>(Inputs!$H$8+Inputs!$L$8*(((Inputs!$I$8+(((A88)+1)/2)*(Inputs!$J$8-Inputs!$I$8)))/Inputs!$K$8)^2)</f>
        <v>112.28588499999998</v>
      </c>
      <c r="AC88" s="9">
        <f>(Inputs!$H$9+Inputs!$L$9*(((Inputs!$I$9+(((A88)+1)/2)*(Inputs!$J$9-Inputs!$I$9)))/Inputs!$K$9)^2)</f>
        <v>103.08677499999997</v>
      </c>
      <c r="AD88" s="10"/>
      <c r="AE88" s="9">
        <f t="shared" si="10"/>
        <v>-0.28299999999999997</v>
      </c>
      <c r="AF88" s="9">
        <f>(((SQRT(((Inputs!$I$6+(((A88)+1)/2)*(Inputs!$J$6-Inputs!$I$6)))^2+Inputs!$C$6^2+((Inputs!$H$6+Inputs!$L$6*(((Inputs!$I$6+(((A88)+1)/2)*(Inputs!$J$6-Inputs!$I$6)))/Inputs!$K$6)^2))^2))-((Inputs!$H$6+Inputs!$L$6*(((Inputs!$I$6+(((A88)+1)/2)*(Inputs!$J$6-Inputs!$I$6)))/Inputs!$K$6)^2)))*1000/Inputs!$C$12)</f>
        <v>639.95292755053242</v>
      </c>
      <c r="AG88" s="9">
        <f>(((SQRT(((Inputs!$I$7+(((A88)+1)/2)*(Inputs!$J$7-Inputs!$I$7)))^2+Inputs!$C$6^2+((Inputs!$H$7+Inputs!$L$7*(((Inputs!$I$7+(((A88)+1)/2)*(Inputs!$J$7-Inputs!$I$7)))/Inputs!$K$7)^2))^2))-((Inputs!$H$7+Inputs!$L$7*(((Inputs!$I$7+(((A88)+1)/2)*(Inputs!$J$7-Inputs!$I$7)))/Inputs!$K$7)^2)))*1000/Inputs!$C$12)</f>
        <v>38371.194617928377</v>
      </c>
      <c r="AH88" s="9">
        <f>(((SQRT(((Inputs!$I$8+(((A88)+1)/2)*(Inputs!$J$8-Inputs!$I$8)))^2+Inputs!$C$6^2+((Inputs!$H$8+Inputs!$L$8*(((Inputs!$I$8+(((A88)+1)/2)*(Inputs!$J$8-Inputs!$I$8)))/Inputs!$K$8)^2))^2))-((Inputs!$H$8+Inputs!$L$8*(((Inputs!$I$8+(((A88)+1)/2)*(Inputs!$J$8-Inputs!$I$8)))/Inputs!$K$8)^2)))*1000/Inputs!$C$12)</f>
        <v>79586.0034794901</v>
      </c>
      <c r="AI88" s="9">
        <f>(((SQRT(((Inputs!$I$9+(((A88)+1)/2)*(Inputs!$J$9-Inputs!$I$9)))^2+Inputs!$C$6^2+((Inputs!$H$9+Inputs!$L$9*(((Inputs!$I$9+(((A88)+1)/2)*(Inputs!$J$9-Inputs!$I$9)))/Inputs!$K$9)^2))^2))-((Inputs!$H$9+Inputs!$L$9*(((Inputs!$I$9+(((A88)+1)/2)*(Inputs!$J$9-Inputs!$I$9)))/Inputs!$K$9)^2)))*1000/Inputs!$C$12)</f>
        <v>82545.455468669024</v>
      </c>
      <c r="AJ88" s="10"/>
      <c r="AK88" s="9">
        <f t="shared" si="11"/>
        <v>-0.28299999999999997</v>
      </c>
      <c r="AL88" s="9">
        <f>(-2*((1000*((((Inputs!$I$6+(((A88)+1)/2)*(Inputs!$J$6-Inputs!$I$6)))*Inputs!$C$11+((Inputs!$H$6+Inputs!$L$6*(((Inputs!$I$6+(((A88)+1)/2)*(Inputs!$J$6-Inputs!$I$6)))/Inputs!$K$6)^2))*((2*Inputs!$L$6*((Inputs!$I$6+(((A88)+1)/2)*(Inputs!$J$6-Inputs!$I$6)))/(Inputs!$K$6^2)*Inputs!$C$11)))/(SQRT(((Inputs!$I$6+(((A88)+1)/2)*(Inputs!$J$6-Inputs!$I$6)))^2+Inputs!$C$6^2+((Inputs!$H$6+Inputs!$L$6*(((Inputs!$I$6+(((A88)+1)/2)*(Inputs!$J$6-Inputs!$I$6)))/Inputs!$K$6)^2))^2)))))/Inputs!$C$13)</f>
        <v>127.87511030732364</v>
      </c>
      <c r="AM88" s="9">
        <f>(-2*((1000*((((Inputs!$I$7+(((A88)+1)/2)*(Inputs!$J$7-Inputs!$I$7)))*Inputs!$C$11+((Inputs!$H$7+Inputs!$L$7*(((Inputs!$I$7+(((A88)+1)/2)*(Inputs!$J$7-Inputs!$I$7)))/Inputs!$K$7)^2))*((2*Inputs!$L$7*((Inputs!$I$7+(((A88)+1)/2)*(Inputs!$J$7-Inputs!$I$7)))/(Inputs!$K$7^2)*Inputs!$C$11)))/(SQRT(((Inputs!$I$7+(((A88)+1)/2)*(Inputs!$J$7-Inputs!$I$7)))^2+Inputs!$C$6^2+((Inputs!$H$7+Inputs!$L$7*(((Inputs!$I$7+(((A88)+1)/2)*(Inputs!$J$7-Inputs!$I$7)))/Inputs!$K$7)^2))^2)))))/Inputs!$C$13)</f>
        <v>1767.0978752833012</v>
      </c>
      <c r="AN88" s="9">
        <f>(-2*((1000*((((Inputs!$I$8+(((A88)+1)/2)*(Inputs!$J$8-Inputs!$I$8)))*Inputs!$C$11+((Inputs!$H$8+Inputs!$L$8*(((Inputs!$I$8+(((A88)+1)/2)*(Inputs!$J$8-Inputs!$I$8)))/Inputs!$K$8)^2))*((2*Inputs!$L$8*((Inputs!$I$8+(((A88)+1)/2)*(Inputs!$J$8-Inputs!$I$8)))/(Inputs!$K$8^2)*Inputs!$C$11)))/(SQRT(((Inputs!$I$8+(((A88)+1)/2)*(Inputs!$J$8-Inputs!$I$8)))^2+Inputs!$C$6^2+((Inputs!$H$8+Inputs!$L$8*(((Inputs!$I$8+(((A88)+1)/2)*(Inputs!$J$8-Inputs!$I$8)))/Inputs!$K$8)^2))^2)))))/Inputs!$C$13)</f>
        <v>1909.4342173445507</v>
      </c>
      <c r="AO88" s="9">
        <f>(-2*((1000*((((Inputs!$I$9+(((A88)+1)/2)*(Inputs!$J$9-Inputs!$I$9)))*Inputs!$C$11+((Inputs!$H$9+Inputs!$L$9*(((Inputs!$I$9+(((A88)+1)/2)*(Inputs!$J$9-Inputs!$I$9)))/Inputs!$K$9)^2))*((2*Inputs!$L$9*((Inputs!$I$9+(((A88)+1)/2)*(Inputs!$J$9-Inputs!$I$9)))/(Inputs!$K$9^2)*Inputs!$C$11)))/(SQRT(((Inputs!$I$9+(((A88)+1)/2)*(Inputs!$J$9-Inputs!$I$9)))^2+Inputs!$C$6^2+((Inputs!$H$9+Inputs!$L$9*(((Inputs!$I$9+(((A88)+1)/2)*(Inputs!$J$9-Inputs!$I$9)))/Inputs!$K$9)^2))^2)))))/Inputs!$C$13)</f>
        <v>1903.9328044717065</v>
      </c>
    </row>
    <row r="89" spans="1:41">
      <c r="A89" s="9">
        <f>ROUND(-1+87*2/240,3)</f>
        <v>-0.27500000000000002</v>
      </c>
      <c r="B89" s="9">
        <f>IF(OR(Inputs!$F$6=TRUE,Inputs!$F$6="TRUE",Inputs!$F$6=1),(Inputs!$H$6+Inputs!$L$6*(((Inputs!$I$6+(((A89)+1)/2)*(Inputs!$J$6-Inputs!$I$6)))/Inputs!$K$6)^2),NA())</f>
        <v>400.30250000000001</v>
      </c>
      <c r="C89" s="9">
        <f>IF(OR(Inputs!$F$7=TRUE,Inputs!$F$7="TRUE",Inputs!$F$7=1),(Inputs!$H$7+Inputs!$L$7*(((Inputs!$I$7+(((A89)+1)/2)*(Inputs!$J$7-Inputs!$I$7)))/Inputs!$K$7)^2),NA())</f>
        <v>62.603125000000006</v>
      </c>
      <c r="D89" s="9">
        <f>IF(OR(Inputs!$F$8=TRUE,Inputs!$F$8="TRUE",Inputs!$F$8=1),(Inputs!$H$8+Inputs!$L$8*(((Inputs!$I$8+(((A89)+1)/2)*(Inputs!$J$8-Inputs!$I$8)))/Inputs!$K$8)^2),NA())</f>
        <v>107.97812500000001</v>
      </c>
      <c r="E89" s="9">
        <f>IF(OR(Inputs!$F$9=TRUE,Inputs!$F$9="TRUE",Inputs!$F$9=1),(Inputs!$H$9+Inputs!$L$9*(((Inputs!$I$9+(((A89)+1)/2)*(Inputs!$J$9-Inputs!$I$9)))/Inputs!$K$9)^2),NA())</f>
        <v>98.734375000000014</v>
      </c>
      <c r="F89" s="10"/>
      <c r="G89" s="9">
        <f t="shared" si="6"/>
        <v>-0.27500000000000002</v>
      </c>
      <c r="H89" s="9">
        <f>IF(OR(Inputs!$F$6=TRUE,Inputs!$F$6="TRUE",Inputs!$F$6=1),(((SQRT(((Inputs!$I$6+(((A89)+1)/2)*(Inputs!$J$6-Inputs!$I$6)))^2+Inputs!$C$6^2+((Inputs!$H$6+Inputs!$L$6*(((Inputs!$I$6+(((A89)+1)/2)*(Inputs!$J$6-Inputs!$I$6)))/Inputs!$K$6)^2))^2))-((Inputs!$H$6+Inputs!$L$6*(((Inputs!$I$6+(((A89)+1)/2)*(Inputs!$J$6-Inputs!$I$6)))/Inputs!$K$6)^2)))*1000/Inputs!$C$12),NA())</f>
        <v>628.73624722527984</v>
      </c>
      <c r="I89" s="9">
        <f>IF(OR(Inputs!$F$7=TRUE,Inputs!$F$7="TRUE",Inputs!$F$7=1),(((SQRT(((Inputs!$I$7+(((A89)+1)/2)*(Inputs!$J$7-Inputs!$I$7)))^2+Inputs!$C$6^2+((Inputs!$H$7+Inputs!$L$7*(((Inputs!$I$7+(((A89)+1)/2)*(Inputs!$J$7-Inputs!$I$7)))/Inputs!$K$7)^2))^2))-((Inputs!$H$7+Inputs!$L$7*(((Inputs!$I$7+(((A89)+1)/2)*(Inputs!$J$7-Inputs!$I$7)))/Inputs!$K$7)^2)))*1000/Inputs!$C$12),NA())</f>
        <v>37308.476745478256</v>
      </c>
      <c r="J89" s="9">
        <f>IF(OR(Inputs!$F$8=TRUE,Inputs!$F$8="TRUE",Inputs!$F$8=1),(((SQRT(((Inputs!$I$8+(((A89)+1)/2)*(Inputs!$J$8-Inputs!$I$8)))^2+Inputs!$C$6^2+((Inputs!$H$8+Inputs!$L$8*(((Inputs!$I$8+(((A89)+1)/2)*(Inputs!$J$8-Inputs!$I$8)))/Inputs!$K$8)^2))^2))-((Inputs!$H$8+Inputs!$L$8*(((Inputs!$I$8+(((A89)+1)/2)*(Inputs!$J$8-Inputs!$I$8)))/Inputs!$K$8)^2)))*1000/Inputs!$C$12),NA())</f>
        <v>77732.393761894593</v>
      </c>
      <c r="K89" s="9">
        <f>IF(OR(Inputs!$F$9=TRUE,Inputs!$F$9="TRUE",Inputs!$F$9=1),(((SQRT(((Inputs!$I$9+(((A89)+1)/2)*(Inputs!$J$9-Inputs!$I$9)))^2+Inputs!$C$6^2+((Inputs!$H$9+Inputs!$L$9*(((Inputs!$I$9+(((A89)+1)/2)*(Inputs!$J$9-Inputs!$I$9)))/Inputs!$K$9)^2))^2))-((Inputs!$H$9+Inputs!$L$9*(((Inputs!$I$9+(((A89)+1)/2)*(Inputs!$J$9-Inputs!$I$9)))/Inputs!$K$9)^2)))*1000/Inputs!$C$12),NA())</f>
        <v>80729.237071906769</v>
      </c>
      <c r="L89" s="10"/>
      <c r="M89" s="9">
        <f t="shared" si="7"/>
        <v>-0.27500000000000002</v>
      </c>
      <c r="N89" s="9">
        <f>IF(OR(Inputs!$F$6=TRUE,Inputs!$F$6="TRUE",Inputs!$F$6=1),(-2*((1000*((((Inputs!$I$6+(((A89)+1)/2)*(Inputs!$J$6-Inputs!$I$6)))*Inputs!$C$11+((Inputs!$H$6+Inputs!$L$6*(((Inputs!$I$6+(((A89)+1)/2)*(Inputs!$J$6-Inputs!$I$6)))/Inputs!$K$6)^2))*((2*Inputs!$L$6*((Inputs!$I$6+(((A89)+1)/2)*(Inputs!$J$6-Inputs!$I$6)))/(Inputs!$K$6^2)*Inputs!$C$11)))/(SQRT(((Inputs!$I$6+(((A89)+1)/2)*(Inputs!$J$6-Inputs!$I$6)))^2+Inputs!$C$6^2+((Inputs!$H$6+Inputs!$L$6*(((Inputs!$I$6+(((A89)+1)/2)*(Inputs!$J$6-Inputs!$I$6)))/Inputs!$K$6)^2))^2)))))/Inputs!$C$13),NA())</f>
        <v>124.26936431730994</v>
      </c>
      <c r="O89" s="9">
        <f>IF(OR(Inputs!$F$7=TRUE,Inputs!$F$7="TRUE",Inputs!$F$7=1),(-2*((1000*((((Inputs!$I$7+(((A89)+1)/2)*(Inputs!$J$7-Inputs!$I$7)))*Inputs!$C$11+((Inputs!$H$7+Inputs!$L$7*(((Inputs!$I$7+(((A89)+1)/2)*(Inputs!$J$7-Inputs!$I$7)))/Inputs!$K$7)^2))*((2*Inputs!$L$7*((Inputs!$I$7+(((A89)+1)/2)*(Inputs!$J$7-Inputs!$I$7)))/(Inputs!$K$7^2)*Inputs!$C$11)))/(SQRT(((Inputs!$I$7+(((A89)+1)/2)*(Inputs!$J$7-Inputs!$I$7)))^2+Inputs!$C$6^2+((Inputs!$H$7+Inputs!$L$7*(((Inputs!$I$7+(((A89)+1)/2)*(Inputs!$J$7-Inputs!$I$7)))/Inputs!$K$7)^2))^2)))))/Inputs!$C$13),NA())</f>
        <v>1753.8673513839185</v>
      </c>
      <c r="P89" s="9">
        <f>IF(OR(Inputs!$F$8=TRUE,Inputs!$F$8="TRUE",Inputs!$F$8=1),(-2*((1000*((((Inputs!$I$8+(((A89)+1)/2)*(Inputs!$J$8-Inputs!$I$8)))*Inputs!$C$11+((Inputs!$H$8+Inputs!$L$8*(((Inputs!$I$8+(((A89)+1)/2)*(Inputs!$J$8-Inputs!$I$8)))/Inputs!$K$8)^2))*((2*Inputs!$L$8*((Inputs!$I$8+(((A89)+1)/2)*(Inputs!$J$8-Inputs!$I$8)))/(Inputs!$K$8^2)*Inputs!$C$11)))/(SQRT(((Inputs!$I$8+(((A89)+1)/2)*(Inputs!$J$8-Inputs!$I$8)))^2+Inputs!$C$6^2+((Inputs!$H$8+Inputs!$L$8*(((Inputs!$I$8+(((A89)+1)/2)*(Inputs!$J$8-Inputs!$I$8)))/Inputs!$K$8)^2))^2)))))/Inputs!$C$13),NA())</f>
        <v>1894.1925666000061</v>
      </c>
      <c r="Q89" s="9">
        <f>IF(OR(Inputs!$F$9=TRUE,Inputs!$F$9="TRUE",Inputs!$F$9=1),(-2*((1000*((((Inputs!$I$9+(((A89)+1)/2)*(Inputs!$J$9-Inputs!$I$9)))*Inputs!$C$11+((Inputs!$H$9+Inputs!$L$9*(((Inputs!$I$9+(((A89)+1)/2)*(Inputs!$J$9-Inputs!$I$9)))/Inputs!$K$9)^2))*((2*Inputs!$L$9*((Inputs!$I$9+(((A89)+1)/2)*(Inputs!$J$9-Inputs!$I$9)))/(Inputs!$K$9^2)*Inputs!$C$11)))/(SQRT(((Inputs!$I$9+(((A89)+1)/2)*(Inputs!$J$9-Inputs!$I$9)))^2+Inputs!$C$6^2+((Inputs!$H$9+Inputs!$L$9*(((Inputs!$I$9+(((A89)+1)/2)*(Inputs!$J$9-Inputs!$I$9)))/Inputs!$K$9)^2))^2)))))/Inputs!$C$13),NA())</f>
        <v>1888.7433573298745</v>
      </c>
      <c r="R89" s="10"/>
      <c r="S89" s="9">
        <f t="shared" si="8"/>
        <v>-0.27500000000000002</v>
      </c>
      <c r="T89" s="9">
        <f>(Inputs!$I$6+(((A89)+1)/2)*(Inputs!$J$6-Inputs!$I$6))</f>
        <v>-16.5</v>
      </c>
      <c r="U89" s="9">
        <f>(Inputs!$I$7+(((A89)+1)/2)*(Inputs!$J$7-Inputs!$I$7))</f>
        <v>-110</v>
      </c>
      <c r="V89" s="9">
        <f>(Inputs!$I$8+(((A89)+1)/2)*(Inputs!$J$8-Inputs!$I$8))</f>
        <v>-220</v>
      </c>
      <c r="W89" s="9">
        <f>(Inputs!$I$9+(((A89)+1)/2)*(Inputs!$J$9-Inputs!$I$9))</f>
        <v>-220</v>
      </c>
      <c r="X89" s="10"/>
      <c r="Y89" s="9">
        <f t="shared" si="9"/>
        <v>-0.27500000000000002</v>
      </c>
      <c r="Z89" s="9">
        <f>(Inputs!$H$6+Inputs!$L$6*(((Inputs!$I$6+(((A89)+1)/2)*(Inputs!$J$6-Inputs!$I$6)))/Inputs!$K$6)^2)</f>
        <v>400.30250000000001</v>
      </c>
      <c r="AA89" s="9">
        <f>(Inputs!$H$7+Inputs!$L$7*(((Inputs!$I$7+(((A89)+1)/2)*(Inputs!$J$7-Inputs!$I$7)))/Inputs!$K$7)^2)</f>
        <v>62.603125000000006</v>
      </c>
      <c r="AB89" s="9">
        <f>(Inputs!$H$8+Inputs!$L$8*(((Inputs!$I$8+(((A89)+1)/2)*(Inputs!$J$8-Inputs!$I$8)))/Inputs!$K$8)^2)</f>
        <v>107.97812500000001</v>
      </c>
      <c r="AC89" s="9">
        <f>(Inputs!$H$9+Inputs!$L$9*(((Inputs!$I$9+(((A89)+1)/2)*(Inputs!$J$9-Inputs!$I$9)))/Inputs!$K$9)^2)</f>
        <v>98.734375000000014</v>
      </c>
      <c r="AD89" s="10"/>
      <c r="AE89" s="9">
        <f t="shared" si="10"/>
        <v>-0.27500000000000002</v>
      </c>
      <c r="AF89" s="9">
        <f>(((SQRT(((Inputs!$I$6+(((A89)+1)/2)*(Inputs!$J$6-Inputs!$I$6)))^2+Inputs!$C$6^2+((Inputs!$H$6+Inputs!$L$6*(((Inputs!$I$6+(((A89)+1)/2)*(Inputs!$J$6-Inputs!$I$6)))/Inputs!$K$6)^2))^2))-((Inputs!$H$6+Inputs!$L$6*(((Inputs!$I$6+(((A89)+1)/2)*(Inputs!$J$6-Inputs!$I$6)))/Inputs!$K$6)^2)))*1000/Inputs!$C$12)</f>
        <v>628.73624722527984</v>
      </c>
      <c r="AG89" s="9">
        <f>(((SQRT(((Inputs!$I$7+(((A89)+1)/2)*(Inputs!$J$7-Inputs!$I$7)))^2+Inputs!$C$6^2+((Inputs!$H$7+Inputs!$L$7*(((Inputs!$I$7+(((A89)+1)/2)*(Inputs!$J$7-Inputs!$I$7)))/Inputs!$K$7)^2))^2))-((Inputs!$H$7+Inputs!$L$7*(((Inputs!$I$7+(((A89)+1)/2)*(Inputs!$J$7-Inputs!$I$7)))/Inputs!$K$7)^2)))*1000/Inputs!$C$12)</f>
        <v>37308.476745478256</v>
      </c>
      <c r="AH89" s="9">
        <f>(((SQRT(((Inputs!$I$8+(((A89)+1)/2)*(Inputs!$J$8-Inputs!$I$8)))^2+Inputs!$C$6^2+((Inputs!$H$8+Inputs!$L$8*(((Inputs!$I$8+(((A89)+1)/2)*(Inputs!$J$8-Inputs!$I$8)))/Inputs!$K$8)^2))^2))-((Inputs!$H$8+Inputs!$L$8*(((Inputs!$I$8+(((A89)+1)/2)*(Inputs!$J$8-Inputs!$I$8)))/Inputs!$K$8)^2)))*1000/Inputs!$C$12)</f>
        <v>77732.393761894593</v>
      </c>
      <c r="AI89" s="9">
        <f>(((SQRT(((Inputs!$I$9+(((A89)+1)/2)*(Inputs!$J$9-Inputs!$I$9)))^2+Inputs!$C$6^2+((Inputs!$H$9+Inputs!$L$9*(((Inputs!$I$9+(((A89)+1)/2)*(Inputs!$J$9-Inputs!$I$9)))/Inputs!$K$9)^2))^2))-((Inputs!$H$9+Inputs!$L$9*(((Inputs!$I$9+(((A89)+1)/2)*(Inputs!$J$9-Inputs!$I$9)))/Inputs!$K$9)^2)))*1000/Inputs!$C$12)</f>
        <v>80729.237071906769</v>
      </c>
      <c r="AJ89" s="10"/>
      <c r="AK89" s="9">
        <f t="shared" si="11"/>
        <v>-0.27500000000000002</v>
      </c>
      <c r="AL89" s="9">
        <f>(-2*((1000*((((Inputs!$I$6+(((A89)+1)/2)*(Inputs!$J$6-Inputs!$I$6)))*Inputs!$C$11+((Inputs!$H$6+Inputs!$L$6*(((Inputs!$I$6+(((A89)+1)/2)*(Inputs!$J$6-Inputs!$I$6)))/Inputs!$K$6)^2))*((2*Inputs!$L$6*((Inputs!$I$6+(((A89)+1)/2)*(Inputs!$J$6-Inputs!$I$6)))/(Inputs!$K$6^2)*Inputs!$C$11)))/(SQRT(((Inputs!$I$6+(((A89)+1)/2)*(Inputs!$J$6-Inputs!$I$6)))^2+Inputs!$C$6^2+((Inputs!$H$6+Inputs!$L$6*(((Inputs!$I$6+(((A89)+1)/2)*(Inputs!$J$6-Inputs!$I$6)))/Inputs!$K$6)^2))^2)))))/Inputs!$C$13)</f>
        <v>124.26936431730994</v>
      </c>
      <c r="AM89" s="9">
        <f>(-2*((1000*((((Inputs!$I$7+(((A89)+1)/2)*(Inputs!$J$7-Inputs!$I$7)))*Inputs!$C$11+((Inputs!$H$7+Inputs!$L$7*(((Inputs!$I$7+(((A89)+1)/2)*(Inputs!$J$7-Inputs!$I$7)))/Inputs!$K$7)^2))*((2*Inputs!$L$7*((Inputs!$I$7+(((A89)+1)/2)*(Inputs!$J$7-Inputs!$I$7)))/(Inputs!$K$7^2)*Inputs!$C$11)))/(SQRT(((Inputs!$I$7+(((A89)+1)/2)*(Inputs!$J$7-Inputs!$I$7)))^2+Inputs!$C$6^2+((Inputs!$H$7+Inputs!$L$7*(((Inputs!$I$7+(((A89)+1)/2)*(Inputs!$J$7-Inputs!$I$7)))/Inputs!$K$7)^2))^2)))))/Inputs!$C$13)</f>
        <v>1753.8673513839185</v>
      </c>
      <c r="AN89" s="9">
        <f>(-2*((1000*((((Inputs!$I$8+(((A89)+1)/2)*(Inputs!$J$8-Inputs!$I$8)))*Inputs!$C$11+((Inputs!$H$8+Inputs!$L$8*(((Inputs!$I$8+(((A89)+1)/2)*(Inputs!$J$8-Inputs!$I$8)))/Inputs!$K$8)^2))*((2*Inputs!$L$8*((Inputs!$I$8+(((A89)+1)/2)*(Inputs!$J$8-Inputs!$I$8)))/(Inputs!$K$8^2)*Inputs!$C$11)))/(SQRT(((Inputs!$I$8+(((A89)+1)/2)*(Inputs!$J$8-Inputs!$I$8)))^2+Inputs!$C$6^2+((Inputs!$H$8+Inputs!$L$8*(((Inputs!$I$8+(((A89)+1)/2)*(Inputs!$J$8-Inputs!$I$8)))/Inputs!$K$8)^2))^2)))))/Inputs!$C$13)</f>
        <v>1894.1925666000061</v>
      </c>
      <c r="AO89" s="9">
        <f>(-2*((1000*((((Inputs!$I$9+(((A89)+1)/2)*(Inputs!$J$9-Inputs!$I$9)))*Inputs!$C$11+((Inputs!$H$9+Inputs!$L$9*(((Inputs!$I$9+(((A89)+1)/2)*(Inputs!$J$9-Inputs!$I$9)))/Inputs!$K$9)^2))*((2*Inputs!$L$9*((Inputs!$I$9+(((A89)+1)/2)*(Inputs!$J$9-Inputs!$I$9)))/(Inputs!$K$9^2)*Inputs!$C$11)))/(SQRT(((Inputs!$I$9+(((A89)+1)/2)*(Inputs!$J$9-Inputs!$I$9)))^2+Inputs!$C$6^2+((Inputs!$H$9+Inputs!$L$9*(((Inputs!$I$9+(((A89)+1)/2)*(Inputs!$J$9-Inputs!$I$9)))/Inputs!$K$9)^2))^2)))))/Inputs!$C$13)</f>
        <v>1888.7433573298745</v>
      </c>
    </row>
    <row r="90" spans="1:41">
      <c r="A90" s="9">
        <f>ROUND(-1+88*2/240,3)</f>
        <v>-0.26700000000000002</v>
      </c>
      <c r="B90" s="9">
        <f>IF(OR(Inputs!$F$6=TRUE,Inputs!$F$6="TRUE",Inputs!$F$6=1),(Inputs!$H$6+Inputs!$L$6*(((Inputs!$I$6+(((A90)+1)/2)*(Inputs!$J$6-Inputs!$I$6)))/Inputs!$K$6)^2),NA())</f>
        <v>400.28515599999997</v>
      </c>
      <c r="C90" s="9">
        <f>IF(OR(Inputs!$F$7=TRUE,Inputs!$F$7="TRUE",Inputs!$F$7=1),(Inputs!$H$7+Inputs!$L$7*(((Inputs!$I$7+(((A90)+1)/2)*(Inputs!$J$7-Inputs!$I$7)))/Inputs!$K$7)^2),NA())</f>
        <v>61.020485000000001</v>
      </c>
      <c r="D90" s="9">
        <f>IF(OR(Inputs!$F$8=TRUE,Inputs!$F$8="TRUE",Inputs!$F$8=1),(Inputs!$H$8+Inputs!$L$8*(((Inputs!$I$8+(((A90)+1)/2)*(Inputs!$J$8-Inputs!$I$8)))/Inputs!$K$8)^2),NA())</f>
        <v>103.793885</v>
      </c>
      <c r="E90" s="9">
        <f>IF(OR(Inputs!$F$9=TRUE,Inputs!$F$9="TRUE",Inputs!$F$9=1),(Inputs!$H$9+Inputs!$L$9*(((Inputs!$I$9+(((A90)+1)/2)*(Inputs!$J$9-Inputs!$I$9)))/Inputs!$K$9)^2),NA())</f>
        <v>94.506775000000005</v>
      </c>
      <c r="F90" s="10"/>
      <c r="G90" s="9">
        <f t="shared" si="6"/>
        <v>-0.26700000000000002</v>
      </c>
      <c r="H90" s="9">
        <f>IF(OR(Inputs!$F$6=TRUE,Inputs!$F$6="TRUE",Inputs!$F$6=1),(((SQRT(((Inputs!$I$6+(((A90)+1)/2)*(Inputs!$J$6-Inputs!$I$6)))^2+Inputs!$C$6^2+((Inputs!$H$6+Inputs!$L$6*(((Inputs!$I$6+(((A90)+1)/2)*(Inputs!$J$6-Inputs!$I$6)))/Inputs!$K$6)^2))^2))-((Inputs!$H$6+Inputs!$L$6*(((Inputs!$I$6+(((A90)+1)/2)*(Inputs!$J$6-Inputs!$I$6)))/Inputs!$K$6)^2)))*1000/Inputs!$C$12),NA())</f>
        <v>617.83970251345056</v>
      </c>
      <c r="I90" s="9">
        <f>IF(OR(Inputs!$F$7=TRUE,Inputs!$F$7="TRUE",Inputs!$F$7=1),(((SQRT(((Inputs!$I$7+(((A90)+1)/2)*(Inputs!$J$7-Inputs!$I$7)))^2+Inputs!$C$6^2+((Inputs!$H$7+Inputs!$L$7*(((Inputs!$I$7+(((A90)+1)/2)*(Inputs!$J$7-Inputs!$I$7)))/Inputs!$K$7)^2))^2))-((Inputs!$H$7+Inputs!$L$7*(((Inputs!$I$7+(((A90)+1)/2)*(Inputs!$J$7-Inputs!$I$7)))/Inputs!$K$7)^2)))*1000/Inputs!$C$12),NA())</f>
        <v>36234.494683608929</v>
      </c>
      <c r="J90" s="9">
        <f>IF(OR(Inputs!$F$8=TRUE,Inputs!$F$8="TRUE",Inputs!$F$8=1),(((SQRT(((Inputs!$I$8+(((A90)+1)/2)*(Inputs!$J$8-Inputs!$I$8)))^2+Inputs!$C$6^2+((Inputs!$H$8+Inputs!$L$8*(((Inputs!$I$8+(((A90)+1)/2)*(Inputs!$J$8-Inputs!$I$8)))/Inputs!$K$8)^2))^2))-((Inputs!$H$8+Inputs!$L$8*(((Inputs!$I$8+(((A90)+1)/2)*(Inputs!$J$8-Inputs!$I$8)))/Inputs!$K$8)^2)))*1000/Inputs!$C$12),NA())</f>
        <v>75843.415419808167</v>
      </c>
      <c r="K90" s="9">
        <f>IF(OR(Inputs!$F$9=TRUE,Inputs!$F$9="TRUE",Inputs!$F$9=1),(((SQRT(((Inputs!$I$9+(((A90)+1)/2)*(Inputs!$J$9-Inputs!$I$9)))^2+Inputs!$C$6^2+((Inputs!$H$9+Inputs!$L$9*(((Inputs!$I$9+(((A90)+1)/2)*(Inputs!$J$9-Inputs!$I$9)))/Inputs!$K$9)^2))^2))-((Inputs!$H$9+Inputs!$L$9*(((Inputs!$I$9+(((A90)+1)/2)*(Inputs!$J$9-Inputs!$I$9)))/Inputs!$K$9)^2)))*1000/Inputs!$C$12),NA())</f>
        <v>78876.760336715422</v>
      </c>
      <c r="L90" s="10"/>
      <c r="M90" s="9">
        <f t="shared" si="7"/>
        <v>-0.26700000000000002</v>
      </c>
      <c r="N90" s="9">
        <f>IF(OR(Inputs!$F$6=TRUE,Inputs!$F$6="TRUE",Inputs!$F$6=1),(-2*((1000*((((Inputs!$I$6+(((A90)+1)/2)*(Inputs!$J$6-Inputs!$I$6)))*Inputs!$C$11+((Inputs!$H$6+Inputs!$L$6*(((Inputs!$I$6+(((A90)+1)/2)*(Inputs!$J$6-Inputs!$I$6)))/Inputs!$K$6)^2))*((2*Inputs!$L$6*((Inputs!$I$6+(((A90)+1)/2)*(Inputs!$J$6-Inputs!$I$6)))/(Inputs!$K$6^2)*Inputs!$C$11)))/(SQRT(((Inputs!$I$6+(((A90)+1)/2)*(Inputs!$J$6-Inputs!$I$6)))^2+Inputs!$C$6^2+((Inputs!$H$6+Inputs!$L$6*(((Inputs!$I$6+(((A90)+1)/2)*(Inputs!$J$6-Inputs!$I$6)))/Inputs!$K$6)^2))^2)))))/Inputs!$C$13),NA())</f>
        <v>120.66283808441808</v>
      </c>
      <c r="O90" s="9">
        <f>IF(OR(Inputs!$F$7=TRUE,Inputs!$F$7="TRUE",Inputs!$F$7=1),(-2*((1000*((((Inputs!$I$7+(((A90)+1)/2)*(Inputs!$J$7-Inputs!$I$7)))*Inputs!$C$11+((Inputs!$H$7+Inputs!$L$7*(((Inputs!$I$7+(((A90)+1)/2)*(Inputs!$J$7-Inputs!$I$7)))/Inputs!$K$7)^2))*((2*Inputs!$L$7*((Inputs!$I$7+(((A90)+1)/2)*(Inputs!$J$7-Inputs!$I$7)))/(Inputs!$K$7^2)*Inputs!$C$11)))/(SQRT(((Inputs!$I$7+(((A90)+1)/2)*(Inputs!$J$7-Inputs!$I$7)))^2+Inputs!$C$6^2+((Inputs!$H$7+Inputs!$L$7*(((Inputs!$I$7+(((A90)+1)/2)*(Inputs!$J$7-Inputs!$I$7)))/Inputs!$K$7)^2))^2)))))/Inputs!$C$13),NA())</f>
        <v>1740.4213749387206</v>
      </c>
      <c r="P90" s="9">
        <f>IF(OR(Inputs!$F$8=TRUE,Inputs!$F$8="TRUE",Inputs!$F$8=1),(-2*((1000*((((Inputs!$I$8+(((A90)+1)/2)*(Inputs!$J$8-Inputs!$I$8)))*Inputs!$C$11+((Inputs!$H$8+Inputs!$L$8*(((Inputs!$I$8+(((A90)+1)/2)*(Inputs!$J$8-Inputs!$I$8)))/Inputs!$K$8)^2))*((2*Inputs!$L$8*((Inputs!$I$8+(((A90)+1)/2)*(Inputs!$J$8-Inputs!$I$8)))/(Inputs!$K$8^2)*Inputs!$C$11)))/(SQRT(((Inputs!$I$8+(((A90)+1)/2)*(Inputs!$J$8-Inputs!$I$8)))^2+Inputs!$C$6^2+((Inputs!$H$8+Inputs!$L$8*(((Inputs!$I$8+(((A90)+1)/2)*(Inputs!$J$8-Inputs!$I$8)))/Inputs!$K$8)^2))^2)))))/Inputs!$C$13),NA())</f>
        <v>1879.1505045647991</v>
      </c>
      <c r="Q90" s="9">
        <f>IF(OR(Inputs!$F$9=TRUE,Inputs!$F$9="TRUE",Inputs!$F$9=1),(-2*((1000*((((Inputs!$I$9+(((A90)+1)/2)*(Inputs!$J$9-Inputs!$I$9)))*Inputs!$C$11+((Inputs!$H$9+Inputs!$L$9*(((Inputs!$I$9+(((A90)+1)/2)*(Inputs!$J$9-Inputs!$I$9)))/Inputs!$K$9)^2))*((2*Inputs!$L$9*((Inputs!$I$9+(((A90)+1)/2)*(Inputs!$J$9-Inputs!$I$9)))/(Inputs!$K$9^2)*Inputs!$C$11)))/(SQRT(((Inputs!$I$9+(((A90)+1)/2)*(Inputs!$J$9-Inputs!$I$9)))^2+Inputs!$C$6^2+((Inputs!$H$9+Inputs!$L$9*(((Inputs!$I$9+(((A90)+1)/2)*(Inputs!$J$9-Inputs!$I$9)))/Inputs!$K$9)^2))^2)))))/Inputs!$C$13),NA())</f>
        <v>1873.8017153515691</v>
      </c>
      <c r="R90" s="10"/>
      <c r="S90" s="9">
        <f t="shared" si="8"/>
        <v>-0.26700000000000002</v>
      </c>
      <c r="T90" s="9">
        <f>(Inputs!$I$6+(((A90)+1)/2)*(Inputs!$J$6-Inputs!$I$6))</f>
        <v>-16.020000000000003</v>
      </c>
      <c r="U90" s="9">
        <f>(Inputs!$I$7+(((A90)+1)/2)*(Inputs!$J$7-Inputs!$I$7))</f>
        <v>-106.80000000000001</v>
      </c>
      <c r="V90" s="9">
        <f>(Inputs!$I$8+(((A90)+1)/2)*(Inputs!$J$8-Inputs!$I$8))</f>
        <v>-213.60000000000002</v>
      </c>
      <c r="W90" s="9">
        <f>(Inputs!$I$9+(((A90)+1)/2)*(Inputs!$J$9-Inputs!$I$9))</f>
        <v>-213.60000000000002</v>
      </c>
      <c r="X90" s="10"/>
      <c r="Y90" s="9">
        <f t="shared" si="9"/>
        <v>-0.26700000000000002</v>
      </c>
      <c r="Z90" s="9">
        <f>(Inputs!$H$6+Inputs!$L$6*(((Inputs!$I$6+(((A90)+1)/2)*(Inputs!$J$6-Inputs!$I$6)))/Inputs!$K$6)^2)</f>
        <v>400.28515599999997</v>
      </c>
      <c r="AA90" s="9">
        <f>(Inputs!$H$7+Inputs!$L$7*(((Inputs!$I$7+(((A90)+1)/2)*(Inputs!$J$7-Inputs!$I$7)))/Inputs!$K$7)^2)</f>
        <v>61.020485000000001</v>
      </c>
      <c r="AB90" s="9">
        <f>(Inputs!$H$8+Inputs!$L$8*(((Inputs!$I$8+(((A90)+1)/2)*(Inputs!$J$8-Inputs!$I$8)))/Inputs!$K$8)^2)</f>
        <v>103.793885</v>
      </c>
      <c r="AC90" s="9">
        <f>(Inputs!$H$9+Inputs!$L$9*(((Inputs!$I$9+(((A90)+1)/2)*(Inputs!$J$9-Inputs!$I$9)))/Inputs!$K$9)^2)</f>
        <v>94.506775000000005</v>
      </c>
      <c r="AD90" s="10"/>
      <c r="AE90" s="9">
        <f t="shared" si="10"/>
        <v>-0.26700000000000002</v>
      </c>
      <c r="AF90" s="9">
        <f>(((SQRT(((Inputs!$I$6+(((A90)+1)/2)*(Inputs!$J$6-Inputs!$I$6)))^2+Inputs!$C$6^2+((Inputs!$H$6+Inputs!$L$6*(((Inputs!$I$6+(((A90)+1)/2)*(Inputs!$J$6-Inputs!$I$6)))/Inputs!$K$6)^2))^2))-((Inputs!$H$6+Inputs!$L$6*(((Inputs!$I$6+(((A90)+1)/2)*(Inputs!$J$6-Inputs!$I$6)))/Inputs!$K$6)^2)))*1000/Inputs!$C$12)</f>
        <v>617.83970251345056</v>
      </c>
      <c r="AG90" s="9">
        <f>(((SQRT(((Inputs!$I$7+(((A90)+1)/2)*(Inputs!$J$7-Inputs!$I$7)))^2+Inputs!$C$6^2+((Inputs!$H$7+Inputs!$L$7*(((Inputs!$I$7+(((A90)+1)/2)*(Inputs!$J$7-Inputs!$I$7)))/Inputs!$K$7)^2))^2))-((Inputs!$H$7+Inputs!$L$7*(((Inputs!$I$7+(((A90)+1)/2)*(Inputs!$J$7-Inputs!$I$7)))/Inputs!$K$7)^2)))*1000/Inputs!$C$12)</f>
        <v>36234.494683608929</v>
      </c>
      <c r="AH90" s="9">
        <f>(((SQRT(((Inputs!$I$8+(((A90)+1)/2)*(Inputs!$J$8-Inputs!$I$8)))^2+Inputs!$C$6^2+((Inputs!$H$8+Inputs!$L$8*(((Inputs!$I$8+(((A90)+1)/2)*(Inputs!$J$8-Inputs!$I$8)))/Inputs!$K$8)^2))^2))-((Inputs!$H$8+Inputs!$L$8*(((Inputs!$I$8+(((A90)+1)/2)*(Inputs!$J$8-Inputs!$I$8)))/Inputs!$K$8)^2)))*1000/Inputs!$C$12)</f>
        <v>75843.415419808167</v>
      </c>
      <c r="AI90" s="9">
        <f>(((SQRT(((Inputs!$I$9+(((A90)+1)/2)*(Inputs!$J$9-Inputs!$I$9)))^2+Inputs!$C$6^2+((Inputs!$H$9+Inputs!$L$9*(((Inputs!$I$9+(((A90)+1)/2)*(Inputs!$J$9-Inputs!$I$9)))/Inputs!$K$9)^2))^2))-((Inputs!$H$9+Inputs!$L$9*(((Inputs!$I$9+(((A90)+1)/2)*(Inputs!$J$9-Inputs!$I$9)))/Inputs!$K$9)^2)))*1000/Inputs!$C$12)</f>
        <v>78876.760336715422</v>
      </c>
      <c r="AJ90" s="10"/>
      <c r="AK90" s="9">
        <f t="shared" si="11"/>
        <v>-0.26700000000000002</v>
      </c>
      <c r="AL90" s="9">
        <f>(-2*((1000*((((Inputs!$I$6+(((A90)+1)/2)*(Inputs!$J$6-Inputs!$I$6)))*Inputs!$C$11+((Inputs!$H$6+Inputs!$L$6*(((Inputs!$I$6+(((A90)+1)/2)*(Inputs!$J$6-Inputs!$I$6)))/Inputs!$K$6)^2))*((2*Inputs!$L$6*((Inputs!$I$6+(((A90)+1)/2)*(Inputs!$J$6-Inputs!$I$6)))/(Inputs!$K$6^2)*Inputs!$C$11)))/(SQRT(((Inputs!$I$6+(((A90)+1)/2)*(Inputs!$J$6-Inputs!$I$6)))^2+Inputs!$C$6^2+((Inputs!$H$6+Inputs!$L$6*(((Inputs!$I$6+(((A90)+1)/2)*(Inputs!$J$6-Inputs!$I$6)))/Inputs!$K$6)^2))^2)))))/Inputs!$C$13)</f>
        <v>120.66283808441808</v>
      </c>
      <c r="AM90" s="9">
        <f>(-2*((1000*((((Inputs!$I$7+(((A90)+1)/2)*(Inputs!$J$7-Inputs!$I$7)))*Inputs!$C$11+((Inputs!$H$7+Inputs!$L$7*(((Inputs!$I$7+(((A90)+1)/2)*(Inputs!$J$7-Inputs!$I$7)))/Inputs!$K$7)^2))*((2*Inputs!$L$7*((Inputs!$I$7+(((A90)+1)/2)*(Inputs!$J$7-Inputs!$I$7)))/(Inputs!$K$7^2)*Inputs!$C$11)))/(SQRT(((Inputs!$I$7+(((A90)+1)/2)*(Inputs!$J$7-Inputs!$I$7)))^2+Inputs!$C$6^2+((Inputs!$H$7+Inputs!$L$7*(((Inputs!$I$7+(((A90)+1)/2)*(Inputs!$J$7-Inputs!$I$7)))/Inputs!$K$7)^2))^2)))))/Inputs!$C$13)</f>
        <v>1740.4213749387206</v>
      </c>
      <c r="AN90" s="9">
        <f>(-2*((1000*((((Inputs!$I$8+(((A90)+1)/2)*(Inputs!$J$8-Inputs!$I$8)))*Inputs!$C$11+((Inputs!$H$8+Inputs!$L$8*(((Inputs!$I$8+(((A90)+1)/2)*(Inputs!$J$8-Inputs!$I$8)))/Inputs!$K$8)^2))*((2*Inputs!$L$8*((Inputs!$I$8+(((A90)+1)/2)*(Inputs!$J$8-Inputs!$I$8)))/(Inputs!$K$8^2)*Inputs!$C$11)))/(SQRT(((Inputs!$I$8+(((A90)+1)/2)*(Inputs!$J$8-Inputs!$I$8)))^2+Inputs!$C$6^2+((Inputs!$H$8+Inputs!$L$8*(((Inputs!$I$8+(((A90)+1)/2)*(Inputs!$J$8-Inputs!$I$8)))/Inputs!$K$8)^2))^2)))))/Inputs!$C$13)</f>
        <v>1879.1505045647991</v>
      </c>
      <c r="AO90" s="9">
        <f>(-2*((1000*((((Inputs!$I$9+(((A90)+1)/2)*(Inputs!$J$9-Inputs!$I$9)))*Inputs!$C$11+((Inputs!$H$9+Inputs!$L$9*(((Inputs!$I$9+(((A90)+1)/2)*(Inputs!$J$9-Inputs!$I$9)))/Inputs!$K$9)^2))*((2*Inputs!$L$9*((Inputs!$I$9+(((A90)+1)/2)*(Inputs!$J$9-Inputs!$I$9)))/(Inputs!$K$9^2)*Inputs!$C$11)))/(SQRT(((Inputs!$I$9+(((A90)+1)/2)*(Inputs!$J$9-Inputs!$I$9)))^2+Inputs!$C$6^2+((Inputs!$H$9+Inputs!$L$9*(((Inputs!$I$9+(((A90)+1)/2)*(Inputs!$J$9-Inputs!$I$9)))/Inputs!$K$9)^2))^2)))))/Inputs!$C$13)</f>
        <v>1873.8017153515691</v>
      </c>
    </row>
    <row r="91" spans="1:41">
      <c r="A91" s="9">
        <f>ROUND(-1+89*2/240,3)</f>
        <v>-0.25800000000000001</v>
      </c>
      <c r="B91" s="9">
        <f>IF(OR(Inputs!$F$6=TRUE,Inputs!$F$6="TRUE",Inputs!$F$6=1),(Inputs!$H$6+Inputs!$L$6*(((Inputs!$I$6+(((A91)+1)/2)*(Inputs!$J$6-Inputs!$I$6)))/Inputs!$K$6)^2),NA())</f>
        <v>400.266256</v>
      </c>
      <c r="C91" s="9">
        <f>IF(OR(Inputs!$F$7=TRUE,Inputs!$F$7="TRUE",Inputs!$F$7=1),(Inputs!$H$7+Inputs!$L$7*(((Inputs!$I$7+(((A91)+1)/2)*(Inputs!$J$7-Inputs!$I$7)))/Inputs!$K$7)^2),NA())</f>
        <v>59.29585999999999</v>
      </c>
      <c r="D91" s="9">
        <f>IF(OR(Inputs!$F$8=TRUE,Inputs!$F$8="TRUE",Inputs!$F$8=1),(Inputs!$H$8+Inputs!$L$8*(((Inputs!$I$8+(((A91)+1)/2)*(Inputs!$J$8-Inputs!$I$8)))/Inputs!$K$8)^2),NA())</f>
        <v>99.234259999999978</v>
      </c>
      <c r="E91" s="9">
        <f>IF(OR(Inputs!$F$9=TRUE,Inputs!$F$9="TRUE",Inputs!$F$9=1),(Inputs!$H$9+Inputs!$L$9*(((Inputs!$I$9+(((A91)+1)/2)*(Inputs!$J$9-Inputs!$I$9)))/Inputs!$K$9)^2),NA())</f>
        <v>89.899899999999974</v>
      </c>
      <c r="F91" s="10"/>
      <c r="G91" s="9">
        <f t="shared" si="6"/>
        <v>-0.25800000000000001</v>
      </c>
      <c r="H91" s="9">
        <f>IF(OR(Inputs!$F$6=TRUE,Inputs!$F$6="TRUE",Inputs!$F$6=1),(((SQRT(((Inputs!$I$6+(((A91)+1)/2)*(Inputs!$J$6-Inputs!$I$6)))^2+Inputs!$C$6^2+((Inputs!$H$6+Inputs!$L$6*(((Inputs!$I$6+(((A91)+1)/2)*(Inputs!$J$6-Inputs!$I$6)))/Inputs!$K$6)^2))^2))-((Inputs!$H$6+Inputs!$L$6*(((Inputs!$I$6+(((A91)+1)/2)*(Inputs!$J$6-Inputs!$I$6)))/Inputs!$K$6)^2)))*1000/Inputs!$C$12),NA())</f>
        <v>605.96391305658813</v>
      </c>
      <c r="I91" s="9">
        <f>IF(OR(Inputs!$F$7=TRUE,Inputs!$F$7="TRUE",Inputs!$F$7=1),(((SQRT(((Inputs!$I$7+(((A91)+1)/2)*(Inputs!$J$7-Inputs!$I$7)))^2+Inputs!$C$6^2+((Inputs!$H$7+Inputs!$L$7*(((Inputs!$I$7+(((A91)+1)/2)*(Inputs!$J$7-Inputs!$I$7)))/Inputs!$K$7)^2))^2))-((Inputs!$H$7+Inputs!$L$7*(((Inputs!$I$7+(((A91)+1)/2)*(Inputs!$J$7-Inputs!$I$7)))/Inputs!$K$7)^2)))*1000/Inputs!$C$12),NA())</f>
        <v>35013.133618802334</v>
      </c>
      <c r="J91" s="9">
        <f>IF(OR(Inputs!$F$8=TRUE,Inputs!$F$8="TRUE",Inputs!$F$8=1),(((SQRT(((Inputs!$I$8+(((A91)+1)/2)*(Inputs!$J$8-Inputs!$I$8)))^2+Inputs!$C$6^2+((Inputs!$H$8+Inputs!$L$8*(((Inputs!$I$8+(((A91)+1)/2)*(Inputs!$J$8-Inputs!$I$8)))/Inputs!$K$8)^2))^2))-((Inputs!$H$8+Inputs!$L$8*(((Inputs!$I$8+(((A91)+1)/2)*(Inputs!$J$8-Inputs!$I$8)))/Inputs!$K$8)^2)))*1000/Inputs!$C$12),NA())</f>
        <v>73675.496942629004</v>
      </c>
      <c r="K91" s="9">
        <f>IF(OR(Inputs!$F$9=TRUE,Inputs!$F$9="TRUE",Inputs!$F$9=1),(((SQRT(((Inputs!$I$9+(((A91)+1)/2)*(Inputs!$J$9-Inputs!$I$9)))^2+Inputs!$C$6^2+((Inputs!$H$9+Inputs!$L$9*(((Inputs!$I$9+(((A91)+1)/2)*(Inputs!$J$9-Inputs!$I$9)))/Inputs!$K$9)^2))^2))-((Inputs!$H$9+Inputs!$L$9*(((Inputs!$I$9+(((A91)+1)/2)*(Inputs!$J$9-Inputs!$I$9)))/Inputs!$K$9)^2)))*1000/Inputs!$C$12),NA())</f>
        <v>76748.700500508698</v>
      </c>
      <c r="L91" s="10"/>
      <c r="M91" s="9">
        <f t="shared" si="7"/>
        <v>-0.25800000000000001</v>
      </c>
      <c r="N91" s="9">
        <f>IF(OR(Inputs!$F$6=TRUE,Inputs!$F$6="TRUE",Inputs!$F$6=1),(-2*((1000*((((Inputs!$I$6+(((A91)+1)/2)*(Inputs!$J$6-Inputs!$I$6)))*Inputs!$C$11+((Inputs!$H$6+Inputs!$L$6*(((Inputs!$I$6+(((A91)+1)/2)*(Inputs!$J$6-Inputs!$I$6)))/Inputs!$K$6)^2))*((2*Inputs!$L$6*((Inputs!$I$6+(((A91)+1)/2)*(Inputs!$J$6-Inputs!$I$6)))/(Inputs!$K$6^2)*Inputs!$C$11)))/(SQRT(((Inputs!$I$6+(((A91)+1)/2)*(Inputs!$J$6-Inputs!$I$6)))^2+Inputs!$C$6^2+((Inputs!$H$6+Inputs!$L$6*(((Inputs!$I$6+(((A91)+1)/2)*(Inputs!$J$6-Inputs!$I$6)))/Inputs!$K$6)^2))^2)))))/Inputs!$C$13),NA())</f>
        <v>116.60459126936105</v>
      </c>
      <c r="O91" s="9">
        <f>IF(OR(Inputs!$F$7=TRUE,Inputs!$F$7="TRUE",Inputs!$F$7=1),(-2*((1000*((((Inputs!$I$7+(((A91)+1)/2)*(Inputs!$J$7-Inputs!$I$7)))*Inputs!$C$11+((Inputs!$H$7+Inputs!$L$7*(((Inputs!$I$7+(((A91)+1)/2)*(Inputs!$J$7-Inputs!$I$7)))/Inputs!$K$7)^2))*((2*Inputs!$L$7*((Inputs!$I$7+(((A91)+1)/2)*(Inputs!$J$7-Inputs!$I$7)))/(Inputs!$K$7^2)*Inputs!$C$11)))/(SQRT(((Inputs!$I$7+(((A91)+1)/2)*(Inputs!$J$7-Inputs!$I$7)))^2+Inputs!$C$6^2+((Inputs!$H$7+Inputs!$L$7*(((Inputs!$I$7+(((A91)+1)/2)*(Inputs!$J$7-Inputs!$I$7)))/Inputs!$K$7)^2))^2)))))/Inputs!$C$13),NA())</f>
        <v>1724.9830932427381</v>
      </c>
      <c r="P91" s="9">
        <f>IF(OR(Inputs!$F$8=TRUE,Inputs!$F$8="TRUE",Inputs!$F$8=1),(-2*((1000*((((Inputs!$I$8+(((A91)+1)/2)*(Inputs!$J$8-Inputs!$I$8)))*Inputs!$C$11+((Inputs!$H$8+Inputs!$L$8*(((Inputs!$I$8+(((A91)+1)/2)*(Inputs!$J$8-Inputs!$I$8)))/Inputs!$K$8)^2))*((2*Inputs!$L$8*((Inputs!$I$8+(((A91)+1)/2)*(Inputs!$J$8-Inputs!$I$8)))/(Inputs!$K$8^2)*Inputs!$C$11)))/(SQRT(((Inputs!$I$8+(((A91)+1)/2)*(Inputs!$J$8-Inputs!$I$8)))^2+Inputs!$C$6^2+((Inputs!$H$8+Inputs!$L$8*(((Inputs!$I$8+(((A91)+1)/2)*(Inputs!$J$8-Inputs!$I$8)))/Inputs!$K$8)^2))^2)))))/Inputs!$C$13),NA())</f>
        <v>1862.4518803641222</v>
      </c>
      <c r="Q91" s="9">
        <f>IF(OR(Inputs!$F$9=TRUE,Inputs!$F$9="TRUE",Inputs!$F$9=1),(-2*((1000*((((Inputs!$I$9+(((A91)+1)/2)*(Inputs!$J$9-Inputs!$I$9)))*Inputs!$C$11+((Inputs!$H$9+Inputs!$L$9*(((Inputs!$I$9+(((A91)+1)/2)*(Inputs!$J$9-Inputs!$I$9)))/Inputs!$K$9)^2))*((2*Inputs!$L$9*((Inputs!$I$9+(((A91)+1)/2)*(Inputs!$J$9-Inputs!$I$9)))/(Inputs!$K$9^2)*Inputs!$C$11)))/(SQRT(((Inputs!$I$9+(((A91)+1)/2)*(Inputs!$J$9-Inputs!$I$9)))^2+Inputs!$C$6^2+((Inputs!$H$9+Inputs!$L$9*(((Inputs!$I$9+(((A91)+1)/2)*(Inputs!$J$9-Inputs!$I$9)))/Inputs!$K$9)^2))^2)))))/Inputs!$C$13),NA())</f>
        <v>1857.2799205309464</v>
      </c>
      <c r="R91" s="10"/>
      <c r="S91" s="9">
        <f t="shared" si="8"/>
        <v>-0.25800000000000001</v>
      </c>
      <c r="T91" s="9">
        <f>(Inputs!$I$6+(((A91)+1)/2)*(Inputs!$J$6-Inputs!$I$6))</f>
        <v>-15.480000000000004</v>
      </c>
      <c r="U91" s="9">
        <f>(Inputs!$I$7+(((A91)+1)/2)*(Inputs!$J$7-Inputs!$I$7))</f>
        <v>-103.19999999999999</v>
      </c>
      <c r="V91" s="9">
        <f>(Inputs!$I$8+(((A91)+1)/2)*(Inputs!$J$8-Inputs!$I$8))</f>
        <v>-206.39999999999998</v>
      </c>
      <c r="W91" s="9">
        <f>(Inputs!$I$9+(((A91)+1)/2)*(Inputs!$J$9-Inputs!$I$9))</f>
        <v>-206.39999999999998</v>
      </c>
      <c r="X91" s="10"/>
      <c r="Y91" s="9">
        <f t="shared" si="9"/>
        <v>-0.25800000000000001</v>
      </c>
      <c r="Z91" s="9">
        <f>(Inputs!$H$6+Inputs!$L$6*(((Inputs!$I$6+(((A91)+1)/2)*(Inputs!$J$6-Inputs!$I$6)))/Inputs!$K$6)^2)</f>
        <v>400.266256</v>
      </c>
      <c r="AA91" s="9">
        <f>(Inputs!$H$7+Inputs!$L$7*(((Inputs!$I$7+(((A91)+1)/2)*(Inputs!$J$7-Inputs!$I$7)))/Inputs!$K$7)^2)</f>
        <v>59.29585999999999</v>
      </c>
      <c r="AB91" s="9">
        <f>(Inputs!$H$8+Inputs!$L$8*(((Inputs!$I$8+(((A91)+1)/2)*(Inputs!$J$8-Inputs!$I$8)))/Inputs!$K$8)^2)</f>
        <v>99.234259999999978</v>
      </c>
      <c r="AC91" s="9">
        <f>(Inputs!$H$9+Inputs!$L$9*(((Inputs!$I$9+(((A91)+1)/2)*(Inputs!$J$9-Inputs!$I$9)))/Inputs!$K$9)^2)</f>
        <v>89.899899999999974</v>
      </c>
      <c r="AD91" s="10"/>
      <c r="AE91" s="9">
        <f t="shared" si="10"/>
        <v>-0.25800000000000001</v>
      </c>
      <c r="AF91" s="9">
        <f>(((SQRT(((Inputs!$I$6+(((A91)+1)/2)*(Inputs!$J$6-Inputs!$I$6)))^2+Inputs!$C$6^2+((Inputs!$H$6+Inputs!$L$6*(((Inputs!$I$6+(((A91)+1)/2)*(Inputs!$J$6-Inputs!$I$6)))/Inputs!$K$6)^2))^2))-((Inputs!$H$6+Inputs!$L$6*(((Inputs!$I$6+(((A91)+1)/2)*(Inputs!$J$6-Inputs!$I$6)))/Inputs!$K$6)^2)))*1000/Inputs!$C$12)</f>
        <v>605.96391305658813</v>
      </c>
      <c r="AG91" s="9">
        <f>(((SQRT(((Inputs!$I$7+(((A91)+1)/2)*(Inputs!$J$7-Inputs!$I$7)))^2+Inputs!$C$6^2+((Inputs!$H$7+Inputs!$L$7*(((Inputs!$I$7+(((A91)+1)/2)*(Inputs!$J$7-Inputs!$I$7)))/Inputs!$K$7)^2))^2))-((Inputs!$H$7+Inputs!$L$7*(((Inputs!$I$7+(((A91)+1)/2)*(Inputs!$J$7-Inputs!$I$7)))/Inputs!$K$7)^2)))*1000/Inputs!$C$12)</f>
        <v>35013.133618802334</v>
      </c>
      <c r="AH91" s="9">
        <f>(((SQRT(((Inputs!$I$8+(((A91)+1)/2)*(Inputs!$J$8-Inputs!$I$8)))^2+Inputs!$C$6^2+((Inputs!$H$8+Inputs!$L$8*(((Inputs!$I$8+(((A91)+1)/2)*(Inputs!$J$8-Inputs!$I$8)))/Inputs!$K$8)^2))^2))-((Inputs!$H$8+Inputs!$L$8*(((Inputs!$I$8+(((A91)+1)/2)*(Inputs!$J$8-Inputs!$I$8)))/Inputs!$K$8)^2)))*1000/Inputs!$C$12)</f>
        <v>73675.496942629004</v>
      </c>
      <c r="AI91" s="9">
        <f>(((SQRT(((Inputs!$I$9+(((A91)+1)/2)*(Inputs!$J$9-Inputs!$I$9)))^2+Inputs!$C$6^2+((Inputs!$H$9+Inputs!$L$9*(((Inputs!$I$9+(((A91)+1)/2)*(Inputs!$J$9-Inputs!$I$9)))/Inputs!$K$9)^2))^2))-((Inputs!$H$9+Inputs!$L$9*(((Inputs!$I$9+(((A91)+1)/2)*(Inputs!$J$9-Inputs!$I$9)))/Inputs!$K$9)^2)))*1000/Inputs!$C$12)</f>
        <v>76748.700500508698</v>
      </c>
      <c r="AJ91" s="10"/>
      <c r="AK91" s="9">
        <f t="shared" si="11"/>
        <v>-0.25800000000000001</v>
      </c>
      <c r="AL91" s="9">
        <f>(-2*((1000*((((Inputs!$I$6+(((A91)+1)/2)*(Inputs!$J$6-Inputs!$I$6)))*Inputs!$C$11+((Inputs!$H$6+Inputs!$L$6*(((Inputs!$I$6+(((A91)+1)/2)*(Inputs!$J$6-Inputs!$I$6)))/Inputs!$K$6)^2))*((2*Inputs!$L$6*((Inputs!$I$6+(((A91)+1)/2)*(Inputs!$J$6-Inputs!$I$6)))/(Inputs!$K$6^2)*Inputs!$C$11)))/(SQRT(((Inputs!$I$6+(((A91)+1)/2)*(Inputs!$J$6-Inputs!$I$6)))^2+Inputs!$C$6^2+((Inputs!$H$6+Inputs!$L$6*(((Inputs!$I$6+(((A91)+1)/2)*(Inputs!$J$6-Inputs!$I$6)))/Inputs!$K$6)^2))^2)))))/Inputs!$C$13)</f>
        <v>116.60459126936105</v>
      </c>
      <c r="AM91" s="9">
        <f>(-2*((1000*((((Inputs!$I$7+(((A91)+1)/2)*(Inputs!$J$7-Inputs!$I$7)))*Inputs!$C$11+((Inputs!$H$7+Inputs!$L$7*(((Inputs!$I$7+(((A91)+1)/2)*(Inputs!$J$7-Inputs!$I$7)))/Inputs!$K$7)^2))*((2*Inputs!$L$7*((Inputs!$I$7+(((A91)+1)/2)*(Inputs!$J$7-Inputs!$I$7)))/(Inputs!$K$7^2)*Inputs!$C$11)))/(SQRT(((Inputs!$I$7+(((A91)+1)/2)*(Inputs!$J$7-Inputs!$I$7)))^2+Inputs!$C$6^2+((Inputs!$H$7+Inputs!$L$7*(((Inputs!$I$7+(((A91)+1)/2)*(Inputs!$J$7-Inputs!$I$7)))/Inputs!$K$7)^2))^2)))))/Inputs!$C$13)</f>
        <v>1724.9830932427381</v>
      </c>
      <c r="AN91" s="9">
        <f>(-2*((1000*((((Inputs!$I$8+(((A91)+1)/2)*(Inputs!$J$8-Inputs!$I$8)))*Inputs!$C$11+((Inputs!$H$8+Inputs!$L$8*(((Inputs!$I$8+(((A91)+1)/2)*(Inputs!$J$8-Inputs!$I$8)))/Inputs!$K$8)^2))*((2*Inputs!$L$8*((Inputs!$I$8+(((A91)+1)/2)*(Inputs!$J$8-Inputs!$I$8)))/(Inputs!$K$8^2)*Inputs!$C$11)))/(SQRT(((Inputs!$I$8+(((A91)+1)/2)*(Inputs!$J$8-Inputs!$I$8)))^2+Inputs!$C$6^2+((Inputs!$H$8+Inputs!$L$8*(((Inputs!$I$8+(((A91)+1)/2)*(Inputs!$J$8-Inputs!$I$8)))/Inputs!$K$8)^2))^2)))))/Inputs!$C$13)</f>
        <v>1862.4518803641222</v>
      </c>
      <c r="AO91" s="9">
        <f>(-2*((1000*((((Inputs!$I$9+(((A91)+1)/2)*(Inputs!$J$9-Inputs!$I$9)))*Inputs!$C$11+((Inputs!$H$9+Inputs!$L$9*(((Inputs!$I$9+(((A91)+1)/2)*(Inputs!$J$9-Inputs!$I$9)))/Inputs!$K$9)^2))*((2*Inputs!$L$9*((Inputs!$I$9+(((A91)+1)/2)*(Inputs!$J$9-Inputs!$I$9)))/(Inputs!$K$9^2)*Inputs!$C$11)))/(SQRT(((Inputs!$I$9+(((A91)+1)/2)*(Inputs!$J$9-Inputs!$I$9)))^2+Inputs!$C$6^2+((Inputs!$H$9+Inputs!$L$9*(((Inputs!$I$9+(((A91)+1)/2)*(Inputs!$J$9-Inputs!$I$9)))/Inputs!$K$9)^2))^2)))))/Inputs!$C$13)</f>
        <v>1857.2799205309464</v>
      </c>
    </row>
    <row r="92" spans="1:41">
      <c r="A92" s="9">
        <f>ROUND(-1+90*2/240,3)</f>
        <v>-0.25</v>
      </c>
      <c r="B92" s="9">
        <f>IF(OR(Inputs!$F$6=TRUE,Inputs!$F$6="TRUE",Inputs!$F$6=1),(Inputs!$H$6+Inputs!$L$6*(((Inputs!$I$6+(((A92)+1)/2)*(Inputs!$J$6-Inputs!$I$6)))/Inputs!$K$6)^2),NA())</f>
        <v>400.25</v>
      </c>
      <c r="C92" s="9">
        <f>IF(OR(Inputs!$F$7=TRUE,Inputs!$F$7="TRUE",Inputs!$F$7=1),(Inputs!$H$7+Inputs!$L$7*(((Inputs!$I$7+(((A92)+1)/2)*(Inputs!$J$7-Inputs!$I$7)))/Inputs!$K$7)^2),NA())</f>
        <v>57.8125</v>
      </c>
      <c r="D92" s="9">
        <f>IF(OR(Inputs!$F$8=TRUE,Inputs!$F$8="TRUE",Inputs!$F$8=1),(Inputs!$H$8+Inputs!$L$8*(((Inputs!$I$8+(((A92)+1)/2)*(Inputs!$J$8-Inputs!$I$8)))/Inputs!$K$8)^2),NA())</f>
        <v>95.3125</v>
      </c>
      <c r="E92" s="9">
        <f>IF(OR(Inputs!$F$9=TRUE,Inputs!$F$9="TRUE",Inputs!$F$9=1),(Inputs!$H$9+Inputs!$L$9*(((Inputs!$I$9+(((A92)+1)/2)*(Inputs!$J$9-Inputs!$I$9)))/Inputs!$K$9)^2),NA())</f>
        <v>85.9375</v>
      </c>
      <c r="F92" s="10"/>
      <c r="G92" s="9">
        <f t="shared" si="6"/>
        <v>-0.25</v>
      </c>
      <c r="H92" s="9">
        <f>IF(OR(Inputs!$F$6=TRUE,Inputs!$F$6="TRUE",Inputs!$F$6=1),(((SQRT(((Inputs!$I$6+(((A92)+1)/2)*(Inputs!$J$6-Inputs!$I$6)))^2+Inputs!$C$6^2+((Inputs!$H$6+Inputs!$L$6*(((Inputs!$I$6+(((A92)+1)/2)*(Inputs!$J$6-Inputs!$I$6)))/Inputs!$K$6)^2))^2))-((Inputs!$H$6+Inputs!$L$6*(((Inputs!$I$6+(((A92)+1)/2)*(Inputs!$J$6-Inputs!$I$6)))/Inputs!$K$6)^2)))*1000/Inputs!$C$12),NA())</f>
        <v>595.74808220334489</v>
      </c>
      <c r="I92" s="9">
        <f>IF(OR(Inputs!$F$7=TRUE,Inputs!$F$7="TRUE",Inputs!$F$7=1),(((SQRT(((Inputs!$I$7+(((A92)+1)/2)*(Inputs!$J$7-Inputs!$I$7)))^2+Inputs!$C$6^2+((Inputs!$H$7+Inputs!$L$7*(((Inputs!$I$7+(((A92)+1)/2)*(Inputs!$J$7-Inputs!$I$7)))/Inputs!$K$7)^2))^2))-((Inputs!$H$7+Inputs!$L$7*(((Inputs!$I$7+(((A92)+1)/2)*(Inputs!$J$7-Inputs!$I$7)))/Inputs!$K$7)^2)))*1000/Inputs!$C$12),NA())</f>
        <v>33916.162560922341</v>
      </c>
      <c r="J92" s="9">
        <f>IF(OR(Inputs!$F$8=TRUE,Inputs!$F$8="TRUE",Inputs!$F$8=1),(((SQRT(((Inputs!$I$8+(((A92)+1)/2)*(Inputs!$J$8-Inputs!$I$8)))^2+Inputs!$C$6^2+((Inputs!$H$8+Inputs!$L$8*(((Inputs!$I$8+(((A92)+1)/2)*(Inputs!$J$8-Inputs!$I$8)))/Inputs!$K$8)^2))^2))-((Inputs!$H$8+Inputs!$L$8*(((Inputs!$I$8+(((A92)+1)/2)*(Inputs!$J$8-Inputs!$I$8)))/Inputs!$K$8)^2)))*1000/Inputs!$C$12),NA())</f>
        <v>71709.950797220939</v>
      </c>
      <c r="K92" s="9">
        <f>IF(OR(Inputs!$F$9=TRUE,Inputs!$F$9="TRUE",Inputs!$F$9=1),(((SQRT(((Inputs!$I$9+(((A92)+1)/2)*(Inputs!$J$9-Inputs!$I$9)))^2+Inputs!$C$6^2+((Inputs!$H$9+Inputs!$L$9*(((Inputs!$I$9+(((A92)+1)/2)*(Inputs!$J$9-Inputs!$I$9)))/Inputs!$K$9)^2))^2))-((Inputs!$H$9+Inputs!$L$9*(((Inputs!$I$9+(((A92)+1)/2)*(Inputs!$J$9-Inputs!$I$9)))/Inputs!$K$9)^2)))*1000/Inputs!$C$12),NA())</f>
        <v>74817.372463345266</v>
      </c>
      <c r="L92" s="10"/>
      <c r="M92" s="9">
        <f t="shared" si="7"/>
        <v>-0.25</v>
      </c>
      <c r="N92" s="9">
        <f>IF(OR(Inputs!$F$6=TRUE,Inputs!$F$6="TRUE",Inputs!$F$6=1),(-2*((1000*((((Inputs!$I$6+(((A92)+1)/2)*(Inputs!$J$6-Inputs!$I$6)))*Inputs!$C$11+((Inputs!$H$6+Inputs!$L$6*(((Inputs!$I$6+(((A92)+1)/2)*(Inputs!$J$6-Inputs!$I$6)))/Inputs!$K$6)^2))*((2*Inputs!$L$6*((Inputs!$I$6+(((A92)+1)/2)*(Inputs!$J$6-Inputs!$I$6)))/(Inputs!$K$6^2)*Inputs!$C$11)))/(SQRT(((Inputs!$I$6+(((A92)+1)/2)*(Inputs!$J$6-Inputs!$I$6)))^2+Inputs!$C$6^2+((Inputs!$H$6+Inputs!$L$6*(((Inputs!$I$6+(((A92)+1)/2)*(Inputs!$J$6-Inputs!$I$6)))/Inputs!$K$6)^2))^2)))))/Inputs!$C$13),NA())</f>
        <v>112.99648127116424</v>
      </c>
      <c r="O92" s="9">
        <f>IF(OR(Inputs!$F$7=TRUE,Inputs!$F$7="TRUE",Inputs!$F$7=1),(-2*((1000*((((Inputs!$I$7+(((A92)+1)/2)*(Inputs!$J$7-Inputs!$I$7)))*Inputs!$C$11+((Inputs!$H$7+Inputs!$L$7*(((Inputs!$I$7+(((A92)+1)/2)*(Inputs!$J$7-Inputs!$I$7)))/Inputs!$K$7)^2))*((2*Inputs!$L$7*((Inputs!$I$7+(((A92)+1)/2)*(Inputs!$J$7-Inputs!$I$7)))/(Inputs!$K$7^2)*Inputs!$C$11)))/(SQRT(((Inputs!$I$7+(((A92)+1)/2)*(Inputs!$J$7-Inputs!$I$7)))^2+Inputs!$C$6^2+((Inputs!$H$7+Inputs!$L$7*(((Inputs!$I$7+(((A92)+1)/2)*(Inputs!$J$7-Inputs!$I$7)))/Inputs!$K$7)^2))^2)))))/Inputs!$C$13),NA())</f>
        <v>1710.928510419963</v>
      </c>
      <c r="P92" s="9">
        <f>IF(OR(Inputs!$F$8=TRUE,Inputs!$F$8="TRUE",Inputs!$F$8=1),(-2*((1000*((((Inputs!$I$8+(((A92)+1)/2)*(Inputs!$J$8-Inputs!$I$8)))*Inputs!$C$11+((Inputs!$H$8+Inputs!$L$8*(((Inputs!$I$8+(((A92)+1)/2)*(Inputs!$J$8-Inputs!$I$8)))/Inputs!$K$8)^2))*((2*Inputs!$L$8*((Inputs!$I$8+(((A92)+1)/2)*(Inputs!$J$8-Inputs!$I$8)))/(Inputs!$K$8^2)*Inputs!$C$11)))/(SQRT(((Inputs!$I$8+(((A92)+1)/2)*(Inputs!$J$8-Inputs!$I$8)))^2+Inputs!$C$6^2+((Inputs!$H$8+Inputs!$L$8*(((Inputs!$I$8+(((A92)+1)/2)*(Inputs!$J$8-Inputs!$I$8)))/Inputs!$K$8)^2))^2)))))/Inputs!$C$13),NA())</f>
        <v>1847.7913579087763</v>
      </c>
      <c r="Q92" s="9">
        <f>IF(OR(Inputs!$F$9=TRUE,Inputs!$F$9="TRUE",Inputs!$F$9=1),(-2*((1000*((((Inputs!$I$9+(((A92)+1)/2)*(Inputs!$J$9-Inputs!$I$9)))*Inputs!$C$11+((Inputs!$H$9+Inputs!$L$9*(((Inputs!$I$9+(((A92)+1)/2)*(Inputs!$J$9-Inputs!$I$9)))/Inputs!$K$9)^2))*((2*Inputs!$L$9*((Inputs!$I$9+(((A92)+1)/2)*(Inputs!$J$9-Inputs!$I$9)))/(Inputs!$K$9^2)*Inputs!$C$11)))/(SQRT(((Inputs!$I$9+(((A92)+1)/2)*(Inputs!$J$9-Inputs!$I$9)))^2+Inputs!$C$6^2+((Inputs!$H$9+Inputs!$L$9*(((Inputs!$I$9+(((A92)+1)/2)*(Inputs!$J$9-Inputs!$I$9)))/Inputs!$K$9)^2))^2)))))/Inputs!$C$13),NA())</f>
        <v>1842.8396573757705</v>
      </c>
      <c r="R92" s="10"/>
      <c r="S92" s="9">
        <f t="shared" si="8"/>
        <v>-0.25</v>
      </c>
      <c r="T92" s="9">
        <f>(Inputs!$I$6+(((A92)+1)/2)*(Inputs!$J$6-Inputs!$I$6))</f>
        <v>-15</v>
      </c>
      <c r="U92" s="9">
        <f>(Inputs!$I$7+(((A92)+1)/2)*(Inputs!$J$7-Inputs!$I$7))</f>
        <v>-100</v>
      </c>
      <c r="V92" s="9">
        <f>(Inputs!$I$8+(((A92)+1)/2)*(Inputs!$J$8-Inputs!$I$8))</f>
        <v>-200</v>
      </c>
      <c r="W92" s="9">
        <f>(Inputs!$I$9+(((A92)+1)/2)*(Inputs!$J$9-Inputs!$I$9))</f>
        <v>-200</v>
      </c>
      <c r="X92" s="10"/>
      <c r="Y92" s="9">
        <f t="shared" si="9"/>
        <v>-0.25</v>
      </c>
      <c r="Z92" s="9">
        <f>(Inputs!$H$6+Inputs!$L$6*(((Inputs!$I$6+(((A92)+1)/2)*(Inputs!$J$6-Inputs!$I$6)))/Inputs!$K$6)^2)</f>
        <v>400.25</v>
      </c>
      <c r="AA92" s="9">
        <f>(Inputs!$H$7+Inputs!$L$7*(((Inputs!$I$7+(((A92)+1)/2)*(Inputs!$J$7-Inputs!$I$7)))/Inputs!$K$7)^2)</f>
        <v>57.8125</v>
      </c>
      <c r="AB92" s="9">
        <f>(Inputs!$H$8+Inputs!$L$8*(((Inputs!$I$8+(((A92)+1)/2)*(Inputs!$J$8-Inputs!$I$8)))/Inputs!$K$8)^2)</f>
        <v>95.3125</v>
      </c>
      <c r="AC92" s="9">
        <f>(Inputs!$H$9+Inputs!$L$9*(((Inputs!$I$9+(((A92)+1)/2)*(Inputs!$J$9-Inputs!$I$9)))/Inputs!$K$9)^2)</f>
        <v>85.9375</v>
      </c>
      <c r="AD92" s="10"/>
      <c r="AE92" s="9">
        <f t="shared" si="10"/>
        <v>-0.25</v>
      </c>
      <c r="AF92" s="9">
        <f>(((SQRT(((Inputs!$I$6+(((A92)+1)/2)*(Inputs!$J$6-Inputs!$I$6)))^2+Inputs!$C$6^2+((Inputs!$H$6+Inputs!$L$6*(((Inputs!$I$6+(((A92)+1)/2)*(Inputs!$J$6-Inputs!$I$6)))/Inputs!$K$6)^2))^2))-((Inputs!$H$6+Inputs!$L$6*(((Inputs!$I$6+(((A92)+1)/2)*(Inputs!$J$6-Inputs!$I$6)))/Inputs!$K$6)^2)))*1000/Inputs!$C$12)</f>
        <v>595.74808220334489</v>
      </c>
      <c r="AG92" s="9">
        <f>(((SQRT(((Inputs!$I$7+(((A92)+1)/2)*(Inputs!$J$7-Inputs!$I$7)))^2+Inputs!$C$6^2+((Inputs!$H$7+Inputs!$L$7*(((Inputs!$I$7+(((A92)+1)/2)*(Inputs!$J$7-Inputs!$I$7)))/Inputs!$K$7)^2))^2))-((Inputs!$H$7+Inputs!$L$7*(((Inputs!$I$7+(((A92)+1)/2)*(Inputs!$J$7-Inputs!$I$7)))/Inputs!$K$7)^2)))*1000/Inputs!$C$12)</f>
        <v>33916.162560922341</v>
      </c>
      <c r="AH92" s="9">
        <f>(((SQRT(((Inputs!$I$8+(((A92)+1)/2)*(Inputs!$J$8-Inputs!$I$8)))^2+Inputs!$C$6^2+((Inputs!$H$8+Inputs!$L$8*(((Inputs!$I$8+(((A92)+1)/2)*(Inputs!$J$8-Inputs!$I$8)))/Inputs!$K$8)^2))^2))-((Inputs!$H$8+Inputs!$L$8*(((Inputs!$I$8+(((A92)+1)/2)*(Inputs!$J$8-Inputs!$I$8)))/Inputs!$K$8)^2)))*1000/Inputs!$C$12)</f>
        <v>71709.950797220939</v>
      </c>
      <c r="AI92" s="9">
        <f>(((SQRT(((Inputs!$I$9+(((A92)+1)/2)*(Inputs!$J$9-Inputs!$I$9)))^2+Inputs!$C$6^2+((Inputs!$H$9+Inputs!$L$9*(((Inputs!$I$9+(((A92)+1)/2)*(Inputs!$J$9-Inputs!$I$9)))/Inputs!$K$9)^2))^2))-((Inputs!$H$9+Inputs!$L$9*(((Inputs!$I$9+(((A92)+1)/2)*(Inputs!$J$9-Inputs!$I$9)))/Inputs!$K$9)^2)))*1000/Inputs!$C$12)</f>
        <v>74817.372463345266</v>
      </c>
      <c r="AJ92" s="10"/>
      <c r="AK92" s="9">
        <f t="shared" si="11"/>
        <v>-0.25</v>
      </c>
      <c r="AL92" s="9">
        <f>(-2*((1000*((((Inputs!$I$6+(((A92)+1)/2)*(Inputs!$J$6-Inputs!$I$6)))*Inputs!$C$11+((Inputs!$H$6+Inputs!$L$6*(((Inputs!$I$6+(((A92)+1)/2)*(Inputs!$J$6-Inputs!$I$6)))/Inputs!$K$6)^2))*((2*Inputs!$L$6*((Inputs!$I$6+(((A92)+1)/2)*(Inputs!$J$6-Inputs!$I$6)))/(Inputs!$K$6^2)*Inputs!$C$11)))/(SQRT(((Inputs!$I$6+(((A92)+1)/2)*(Inputs!$J$6-Inputs!$I$6)))^2+Inputs!$C$6^2+((Inputs!$H$6+Inputs!$L$6*(((Inputs!$I$6+(((A92)+1)/2)*(Inputs!$J$6-Inputs!$I$6)))/Inputs!$K$6)^2))^2)))))/Inputs!$C$13)</f>
        <v>112.99648127116424</v>
      </c>
      <c r="AM92" s="9">
        <f>(-2*((1000*((((Inputs!$I$7+(((A92)+1)/2)*(Inputs!$J$7-Inputs!$I$7)))*Inputs!$C$11+((Inputs!$H$7+Inputs!$L$7*(((Inputs!$I$7+(((A92)+1)/2)*(Inputs!$J$7-Inputs!$I$7)))/Inputs!$K$7)^2))*((2*Inputs!$L$7*((Inputs!$I$7+(((A92)+1)/2)*(Inputs!$J$7-Inputs!$I$7)))/(Inputs!$K$7^2)*Inputs!$C$11)))/(SQRT(((Inputs!$I$7+(((A92)+1)/2)*(Inputs!$J$7-Inputs!$I$7)))^2+Inputs!$C$6^2+((Inputs!$H$7+Inputs!$L$7*(((Inputs!$I$7+(((A92)+1)/2)*(Inputs!$J$7-Inputs!$I$7)))/Inputs!$K$7)^2))^2)))))/Inputs!$C$13)</f>
        <v>1710.928510419963</v>
      </c>
      <c r="AN92" s="9">
        <f>(-2*((1000*((((Inputs!$I$8+(((A92)+1)/2)*(Inputs!$J$8-Inputs!$I$8)))*Inputs!$C$11+((Inputs!$H$8+Inputs!$L$8*(((Inputs!$I$8+(((A92)+1)/2)*(Inputs!$J$8-Inputs!$I$8)))/Inputs!$K$8)^2))*((2*Inputs!$L$8*((Inputs!$I$8+(((A92)+1)/2)*(Inputs!$J$8-Inputs!$I$8)))/(Inputs!$K$8^2)*Inputs!$C$11)))/(SQRT(((Inputs!$I$8+(((A92)+1)/2)*(Inputs!$J$8-Inputs!$I$8)))^2+Inputs!$C$6^2+((Inputs!$H$8+Inputs!$L$8*(((Inputs!$I$8+(((A92)+1)/2)*(Inputs!$J$8-Inputs!$I$8)))/Inputs!$K$8)^2))^2)))))/Inputs!$C$13)</f>
        <v>1847.7913579087763</v>
      </c>
      <c r="AO92" s="9">
        <f>(-2*((1000*((((Inputs!$I$9+(((A92)+1)/2)*(Inputs!$J$9-Inputs!$I$9)))*Inputs!$C$11+((Inputs!$H$9+Inputs!$L$9*(((Inputs!$I$9+(((A92)+1)/2)*(Inputs!$J$9-Inputs!$I$9)))/Inputs!$K$9)^2))*((2*Inputs!$L$9*((Inputs!$I$9+(((A92)+1)/2)*(Inputs!$J$9-Inputs!$I$9)))/(Inputs!$K$9^2)*Inputs!$C$11)))/(SQRT(((Inputs!$I$9+(((A92)+1)/2)*(Inputs!$J$9-Inputs!$I$9)))^2+Inputs!$C$6^2+((Inputs!$H$9+Inputs!$L$9*(((Inputs!$I$9+(((A92)+1)/2)*(Inputs!$J$9-Inputs!$I$9)))/Inputs!$K$9)^2))^2)))))/Inputs!$C$13)</f>
        <v>1842.8396573757705</v>
      </c>
    </row>
    <row r="93" spans="1:41">
      <c r="A93" s="9">
        <f>ROUND(-1+91*2/240,3)</f>
        <v>-0.24199999999999999</v>
      </c>
      <c r="B93" s="9">
        <f>IF(OR(Inputs!$F$6=TRUE,Inputs!$F$6="TRUE",Inputs!$F$6=1),(Inputs!$H$6+Inputs!$L$6*(((Inputs!$I$6+(((A93)+1)/2)*(Inputs!$J$6-Inputs!$I$6)))/Inputs!$K$6)^2),NA())</f>
        <v>400.23425600000002</v>
      </c>
      <c r="C93" s="9">
        <f>IF(OR(Inputs!$F$7=TRUE,Inputs!$F$7="TRUE",Inputs!$F$7=1),(Inputs!$H$7+Inputs!$L$7*(((Inputs!$I$7+(((A93)+1)/2)*(Inputs!$J$7-Inputs!$I$7)))/Inputs!$K$7)^2),NA())</f>
        <v>56.375860000000003</v>
      </c>
      <c r="D93" s="9">
        <f>IF(OR(Inputs!$F$8=TRUE,Inputs!$F$8="TRUE",Inputs!$F$8=1),(Inputs!$H$8+Inputs!$L$8*(((Inputs!$I$8+(((A93)+1)/2)*(Inputs!$J$8-Inputs!$I$8)))/Inputs!$K$8)^2),NA())</f>
        <v>91.514260000000007</v>
      </c>
      <c r="E93" s="9">
        <f>IF(OR(Inputs!$F$9=TRUE,Inputs!$F$9="TRUE",Inputs!$F$9=1),(Inputs!$H$9+Inputs!$L$9*(((Inputs!$I$9+(((A93)+1)/2)*(Inputs!$J$9-Inputs!$I$9)))/Inputs!$K$9)^2),NA())</f>
        <v>82.099900000000019</v>
      </c>
      <c r="F93" s="10"/>
      <c r="G93" s="9">
        <f t="shared" si="6"/>
        <v>-0.24199999999999999</v>
      </c>
      <c r="H93" s="9">
        <f>IF(OR(Inputs!$F$6=TRUE,Inputs!$F$6="TRUE",Inputs!$F$6=1),(((SQRT(((Inputs!$I$6+(((A93)+1)/2)*(Inputs!$J$6-Inputs!$I$6)))^2+Inputs!$C$6^2+((Inputs!$H$6+Inputs!$L$6*(((Inputs!$I$6+(((A93)+1)/2)*(Inputs!$J$6-Inputs!$I$6)))/Inputs!$K$6)^2))^2))-((Inputs!$H$6+Inputs!$L$6*(((Inputs!$I$6+(((A93)+1)/2)*(Inputs!$J$6-Inputs!$I$6)))/Inputs!$K$6)^2)))*1000/Inputs!$C$12),NA())</f>
        <v>585.85277949869203</v>
      </c>
      <c r="I93" s="9">
        <f>IF(OR(Inputs!$F$7=TRUE,Inputs!$F$7="TRUE",Inputs!$F$7=1),(((SQRT(((Inputs!$I$7+(((A93)+1)/2)*(Inputs!$J$7-Inputs!$I$7)))^2+Inputs!$C$6^2+((Inputs!$H$7+Inputs!$L$7*(((Inputs!$I$7+(((A93)+1)/2)*(Inputs!$J$7-Inputs!$I$7)))/Inputs!$K$7)^2))^2))-((Inputs!$H$7+Inputs!$L$7*(((Inputs!$I$7+(((A93)+1)/2)*(Inputs!$J$7-Inputs!$I$7)))/Inputs!$K$7)^2)))*1000/Inputs!$C$12),NA())</f>
        <v>32808.93872022516</v>
      </c>
      <c r="J93" s="9">
        <f>IF(OR(Inputs!$F$8=TRUE,Inputs!$F$8="TRUE",Inputs!$F$8=1),(((SQRT(((Inputs!$I$8+(((A93)+1)/2)*(Inputs!$J$8-Inputs!$I$8)))^2+Inputs!$C$6^2+((Inputs!$H$8+Inputs!$L$8*(((Inputs!$I$8+(((A93)+1)/2)*(Inputs!$J$8-Inputs!$I$8)))/Inputs!$K$8)^2))^2))-((Inputs!$H$8+Inputs!$L$8*(((Inputs!$I$8+(((A93)+1)/2)*(Inputs!$J$8-Inputs!$I$8)))/Inputs!$K$8)^2)))*1000/Inputs!$C$12),NA())</f>
        <v>69707.780269123919</v>
      </c>
      <c r="K93" s="9">
        <f>IF(OR(Inputs!$F$9=TRUE,Inputs!$F$9="TRUE",Inputs!$F$9=1),(((SQRT(((Inputs!$I$9+(((A93)+1)/2)*(Inputs!$J$9-Inputs!$I$9)))^2+Inputs!$C$6^2+((Inputs!$H$9+Inputs!$L$9*(((Inputs!$I$9+(((A93)+1)/2)*(Inputs!$J$9-Inputs!$I$9)))/Inputs!$K$9)^2))^2))-((Inputs!$H$9+Inputs!$L$9*(((Inputs!$I$9+(((A93)+1)/2)*(Inputs!$J$9-Inputs!$I$9)))/Inputs!$K$9)^2)))*1000/Inputs!$C$12),NA())</f>
        <v>72848.132930191307</v>
      </c>
      <c r="L93" s="10"/>
      <c r="M93" s="9">
        <f t="shared" si="7"/>
        <v>-0.24199999999999999</v>
      </c>
      <c r="N93" s="9">
        <f>IF(OR(Inputs!$F$6=TRUE,Inputs!$F$6="TRUE",Inputs!$F$6=1),(-2*((1000*((((Inputs!$I$6+(((A93)+1)/2)*(Inputs!$J$6-Inputs!$I$6)))*Inputs!$C$11+((Inputs!$H$6+Inputs!$L$6*(((Inputs!$I$6+(((A93)+1)/2)*(Inputs!$J$6-Inputs!$I$6)))/Inputs!$K$6)^2))*((2*Inputs!$L$6*((Inputs!$I$6+(((A93)+1)/2)*(Inputs!$J$6-Inputs!$I$6)))/(Inputs!$K$6^2)*Inputs!$C$11)))/(SQRT(((Inputs!$I$6+(((A93)+1)/2)*(Inputs!$J$6-Inputs!$I$6)))^2+Inputs!$C$6^2+((Inputs!$H$6+Inputs!$L$6*(((Inputs!$I$6+(((A93)+1)/2)*(Inputs!$J$6-Inputs!$I$6)))/Inputs!$K$6)^2))^2)))))/Inputs!$C$13),NA())</f>
        <v>109.38766097769974</v>
      </c>
      <c r="O93" s="9">
        <f>IF(OR(Inputs!$F$7=TRUE,Inputs!$F$7="TRUE",Inputs!$F$7=1),(-2*((1000*((((Inputs!$I$7+(((A93)+1)/2)*(Inputs!$J$7-Inputs!$I$7)))*Inputs!$C$11+((Inputs!$H$7+Inputs!$L$7*(((Inputs!$I$7+(((A93)+1)/2)*(Inputs!$J$7-Inputs!$I$7)))/Inputs!$K$7)^2))*((2*Inputs!$L$7*((Inputs!$I$7+(((A93)+1)/2)*(Inputs!$J$7-Inputs!$I$7)))/(Inputs!$K$7^2)*Inputs!$C$11)))/(SQRT(((Inputs!$I$7+(((A93)+1)/2)*(Inputs!$J$7-Inputs!$I$7)))^2+Inputs!$C$6^2+((Inputs!$H$7+Inputs!$L$7*(((Inputs!$I$7+(((A93)+1)/2)*(Inputs!$J$7-Inputs!$I$7)))/Inputs!$K$7)^2))^2)))))/Inputs!$C$13),NA())</f>
        <v>1696.5029826959376</v>
      </c>
      <c r="P93" s="9">
        <f>IF(OR(Inputs!$F$8=TRUE,Inputs!$F$8="TRUE",Inputs!$F$8=1),(-2*((1000*((((Inputs!$I$8+(((A93)+1)/2)*(Inputs!$J$8-Inputs!$I$8)))*Inputs!$C$11+((Inputs!$H$8+Inputs!$L$8*(((Inputs!$I$8+(((A93)+1)/2)*(Inputs!$J$8-Inputs!$I$8)))/Inputs!$K$8)^2))*((2*Inputs!$L$8*((Inputs!$I$8+(((A93)+1)/2)*(Inputs!$J$8-Inputs!$I$8)))/(Inputs!$K$8^2)*Inputs!$C$11)))/(SQRT(((Inputs!$I$8+(((A93)+1)/2)*(Inputs!$J$8-Inputs!$I$8)))^2+Inputs!$C$6^2+((Inputs!$H$8+Inputs!$L$8*(((Inputs!$I$8+(((A93)+1)/2)*(Inputs!$J$8-Inputs!$I$8)))/Inputs!$K$8)^2))^2)))))/Inputs!$C$13),NA())</f>
        <v>1833.2843258391306</v>
      </c>
      <c r="Q93" s="9">
        <f>IF(OR(Inputs!$F$9=TRUE,Inputs!$F$9="TRUE",Inputs!$F$9=1),(-2*((1000*((((Inputs!$I$9+(((A93)+1)/2)*(Inputs!$J$9-Inputs!$I$9)))*Inputs!$C$11+((Inputs!$H$9+Inputs!$L$9*(((Inputs!$I$9+(((A93)+1)/2)*(Inputs!$J$9-Inputs!$I$9)))/Inputs!$K$9)^2))*((2*Inputs!$L$9*((Inputs!$I$9+(((A93)+1)/2)*(Inputs!$J$9-Inputs!$I$9)))/(Inputs!$K$9^2)*Inputs!$C$11)))/(SQRT(((Inputs!$I$9+(((A93)+1)/2)*(Inputs!$J$9-Inputs!$I$9)))^2+Inputs!$C$6^2+((Inputs!$H$9+Inputs!$L$9*(((Inputs!$I$9+(((A93)+1)/2)*(Inputs!$J$9-Inputs!$I$9)))/Inputs!$K$9)^2))^2)))))/Inputs!$C$13),NA())</f>
        <v>1828.6190670469357</v>
      </c>
      <c r="R93" s="10"/>
      <c r="S93" s="9">
        <f t="shared" si="8"/>
        <v>-0.24199999999999999</v>
      </c>
      <c r="T93" s="9">
        <f>(Inputs!$I$6+(((A93)+1)/2)*(Inputs!$J$6-Inputs!$I$6))</f>
        <v>-14.519999999999996</v>
      </c>
      <c r="U93" s="9">
        <f>(Inputs!$I$7+(((A93)+1)/2)*(Inputs!$J$7-Inputs!$I$7))</f>
        <v>-96.800000000000011</v>
      </c>
      <c r="V93" s="9">
        <f>(Inputs!$I$8+(((A93)+1)/2)*(Inputs!$J$8-Inputs!$I$8))</f>
        <v>-193.60000000000002</v>
      </c>
      <c r="W93" s="9">
        <f>(Inputs!$I$9+(((A93)+1)/2)*(Inputs!$J$9-Inputs!$I$9))</f>
        <v>-193.60000000000002</v>
      </c>
      <c r="X93" s="10"/>
      <c r="Y93" s="9">
        <f t="shared" si="9"/>
        <v>-0.24199999999999999</v>
      </c>
      <c r="Z93" s="9">
        <f>(Inputs!$H$6+Inputs!$L$6*(((Inputs!$I$6+(((A93)+1)/2)*(Inputs!$J$6-Inputs!$I$6)))/Inputs!$K$6)^2)</f>
        <v>400.23425600000002</v>
      </c>
      <c r="AA93" s="9">
        <f>(Inputs!$H$7+Inputs!$L$7*(((Inputs!$I$7+(((A93)+1)/2)*(Inputs!$J$7-Inputs!$I$7)))/Inputs!$K$7)^2)</f>
        <v>56.375860000000003</v>
      </c>
      <c r="AB93" s="9">
        <f>(Inputs!$H$8+Inputs!$L$8*(((Inputs!$I$8+(((A93)+1)/2)*(Inputs!$J$8-Inputs!$I$8)))/Inputs!$K$8)^2)</f>
        <v>91.514260000000007</v>
      </c>
      <c r="AC93" s="9">
        <f>(Inputs!$H$9+Inputs!$L$9*(((Inputs!$I$9+(((A93)+1)/2)*(Inputs!$J$9-Inputs!$I$9)))/Inputs!$K$9)^2)</f>
        <v>82.099900000000019</v>
      </c>
      <c r="AD93" s="10"/>
      <c r="AE93" s="9">
        <f t="shared" si="10"/>
        <v>-0.24199999999999999</v>
      </c>
      <c r="AF93" s="9">
        <f>(((SQRT(((Inputs!$I$6+(((A93)+1)/2)*(Inputs!$J$6-Inputs!$I$6)))^2+Inputs!$C$6^2+((Inputs!$H$6+Inputs!$L$6*(((Inputs!$I$6+(((A93)+1)/2)*(Inputs!$J$6-Inputs!$I$6)))/Inputs!$K$6)^2))^2))-((Inputs!$H$6+Inputs!$L$6*(((Inputs!$I$6+(((A93)+1)/2)*(Inputs!$J$6-Inputs!$I$6)))/Inputs!$K$6)^2)))*1000/Inputs!$C$12)</f>
        <v>585.85277949869203</v>
      </c>
      <c r="AG93" s="9">
        <f>(((SQRT(((Inputs!$I$7+(((A93)+1)/2)*(Inputs!$J$7-Inputs!$I$7)))^2+Inputs!$C$6^2+((Inputs!$H$7+Inputs!$L$7*(((Inputs!$I$7+(((A93)+1)/2)*(Inputs!$J$7-Inputs!$I$7)))/Inputs!$K$7)^2))^2))-((Inputs!$H$7+Inputs!$L$7*(((Inputs!$I$7+(((A93)+1)/2)*(Inputs!$J$7-Inputs!$I$7)))/Inputs!$K$7)^2)))*1000/Inputs!$C$12)</f>
        <v>32808.93872022516</v>
      </c>
      <c r="AH93" s="9">
        <f>(((SQRT(((Inputs!$I$8+(((A93)+1)/2)*(Inputs!$J$8-Inputs!$I$8)))^2+Inputs!$C$6^2+((Inputs!$H$8+Inputs!$L$8*(((Inputs!$I$8+(((A93)+1)/2)*(Inputs!$J$8-Inputs!$I$8)))/Inputs!$K$8)^2))^2))-((Inputs!$H$8+Inputs!$L$8*(((Inputs!$I$8+(((A93)+1)/2)*(Inputs!$J$8-Inputs!$I$8)))/Inputs!$K$8)^2)))*1000/Inputs!$C$12)</f>
        <v>69707.780269123919</v>
      </c>
      <c r="AI93" s="9">
        <f>(((SQRT(((Inputs!$I$9+(((A93)+1)/2)*(Inputs!$J$9-Inputs!$I$9)))^2+Inputs!$C$6^2+((Inputs!$H$9+Inputs!$L$9*(((Inputs!$I$9+(((A93)+1)/2)*(Inputs!$J$9-Inputs!$I$9)))/Inputs!$K$9)^2))^2))-((Inputs!$H$9+Inputs!$L$9*(((Inputs!$I$9+(((A93)+1)/2)*(Inputs!$J$9-Inputs!$I$9)))/Inputs!$K$9)^2)))*1000/Inputs!$C$12)</f>
        <v>72848.132930191307</v>
      </c>
      <c r="AJ93" s="10"/>
      <c r="AK93" s="9">
        <f t="shared" si="11"/>
        <v>-0.24199999999999999</v>
      </c>
      <c r="AL93" s="9">
        <f>(-2*((1000*((((Inputs!$I$6+(((A93)+1)/2)*(Inputs!$J$6-Inputs!$I$6)))*Inputs!$C$11+((Inputs!$H$6+Inputs!$L$6*(((Inputs!$I$6+(((A93)+1)/2)*(Inputs!$J$6-Inputs!$I$6)))/Inputs!$K$6)^2))*((2*Inputs!$L$6*((Inputs!$I$6+(((A93)+1)/2)*(Inputs!$J$6-Inputs!$I$6)))/(Inputs!$K$6^2)*Inputs!$C$11)))/(SQRT(((Inputs!$I$6+(((A93)+1)/2)*(Inputs!$J$6-Inputs!$I$6)))^2+Inputs!$C$6^2+((Inputs!$H$6+Inputs!$L$6*(((Inputs!$I$6+(((A93)+1)/2)*(Inputs!$J$6-Inputs!$I$6)))/Inputs!$K$6)^2))^2)))))/Inputs!$C$13)</f>
        <v>109.38766097769974</v>
      </c>
      <c r="AM93" s="9">
        <f>(-2*((1000*((((Inputs!$I$7+(((A93)+1)/2)*(Inputs!$J$7-Inputs!$I$7)))*Inputs!$C$11+((Inputs!$H$7+Inputs!$L$7*(((Inputs!$I$7+(((A93)+1)/2)*(Inputs!$J$7-Inputs!$I$7)))/Inputs!$K$7)^2))*((2*Inputs!$L$7*((Inputs!$I$7+(((A93)+1)/2)*(Inputs!$J$7-Inputs!$I$7)))/(Inputs!$K$7^2)*Inputs!$C$11)))/(SQRT(((Inputs!$I$7+(((A93)+1)/2)*(Inputs!$J$7-Inputs!$I$7)))^2+Inputs!$C$6^2+((Inputs!$H$7+Inputs!$L$7*(((Inputs!$I$7+(((A93)+1)/2)*(Inputs!$J$7-Inputs!$I$7)))/Inputs!$K$7)^2))^2)))))/Inputs!$C$13)</f>
        <v>1696.5029826959376</v>
      </c>
      <c r="AN93" s="9">
        <f>(-2*((1000*((((Inputs!$I$8+(((A93)+1)/2)*(Inputs!$J$8-Inputs!$I$8)))*Inputs!$C$11+((Inputs!$H$8+Inputs!$L$8*(((Inputs!$I$8+(((A93)+1)/2)*(Inputs!$J$8-Inputs!$I$8)))/Inputs!$K$8)^2))*((2*Inputs!$L$8*((Inputs!$I$8+(((A93)+1)/2)*(Inputs!$J$8-Inputs!$I$8)))/(Inputs!$K$8^2)*Inputs!$C$11)))/(SQRT(((Inputs!$I$8+(((A93)+1)/2)*(Inputs!$J$8-Inputs!$I$8)))^2+Inputs!$C$6^2+((Inputs!$H$8+Inputs!$L$8*(((Inputs!$I$8+(((A93)+1)/2)*(Inputs!$J$8-Inputs!$I$8)))/Inputs!$K$8)^2))^2)))))/Inputs!$C$13)</f>
        <v>1833.2843258391306</v>
      </c>
      <c r="AO93" s="9">
        <f>(-2*((1000*((((Inputs!$I$9+(((A93)+1)/2)*(Inputs!$J$9-Inputs!$I$9)))*Inputs!$C$11+((Inputs!$H$9+Inputs!$L$9*(((Inputs!$I$9+(((A93)+1)/2)*(Inputs!$J$9-Inputs!$I$9)))/Inputs!$K$9)^2))*((2*Inputs!$L$9*((Inputs!$I$9+(((A93)+1)/2)*(Inputs!$J$9-Inputs!$I$9)))/(Inputs!$K$9^2)*Inputs!$C$11)))/(SQRT(((Inputs!$I$9+(((A93)+1)/2)*(Inputs!$J$9-Inputs!$I$9)))^2+Inputs!$C$6^2+((Inputs!$H$9+Inputs!$L$9*(((Inputs!$I$9+(((A93)+1)/2)*(Inputs!$J$9-Inputs!$I$9)))/Inputs!$K$9)^2))^2)))))/Inputs!$C$13)</f>
        <v>1828.6190670469357</v>
      </c>
    </row>
    <row r="94" spans="1:41">
      <c r="A94" s="9">
        <f>ROUND(-1+92*2/240,3)</f>
        <v>-0.23300000000000001</v>
      </c>
      <c r="B94" s="9">
        <f>IF(OR(Inputs!$F$6=TRUE,Inputs!$F$6="TRUE",Inputs!$F$6=1),(Inputs!$H$6+Inputs!$L$6*(((Inputs!$I$6+(((A94)+1)/2)*(Inputs!$J$6-Inputs!$I$6)))/Inputs!$K$6)^2),NA())</f>
        <v>400.21715599999999</v>
      </c>
      <c r="C94" s="9">
        <f>IF(OR(Inputs!$F$7=TRUE,Inputs!$F$7="TRUE",Inputs!$F$7=1),(Inputs!$H$7+Inputs!$L$7*(((Inputs!$I$7+(((A94)+1)/2)*(Inputs!$J$7-Inputs!$I$7)))/Inputs!$K$7)^2),NA())</f>
        <v>54.815484999999995</v>
      </c>
      <c r="D94" s="9">
        <f>IF(OR(Inputs!$F$8=TRUE,Inputs!$F$8="TRUE",Inputs!$F$8=1),(Inputs!$H$8+Inputs!$L$8*(((Inputs!$I$8+(((A94)+1)/2)*(Inputs!$J$8-Inputs!$I$8)))/Inputs!$K$8)^2),NA())</f>
        <v>87.388884999999988</v>
      </c>
      <c r="E94" s="9">
        <f>IF(OR(Inputs!$F$9=TRUE,Inputs!$F$9="TRUE",Inputs!$F$9=1),(Inputs!$H$9+Inputs!$L$9*(((Inputs!$I$9+(((A94)+1)/2)*(Inputs!$J$9-Inputs!$I$9)))/Inputs!$K$9)^2),NA())</f>
        <v>77.931774999999988</v>
      </c>
      <c r="F94" s="10"/>
      <c r="G94" s="9">
        <f t="shared" si="6"/>
        <v>-0.23300000000000001</v>
      </c>
      <c r="H94" s="9">
        <f>IF(OR(Inputs!$F$6=TRUE,Inputs!$F$6="TRUE",Inputs!$F$6=1),(((SQRT(((Inputs!$I$6+(((A94)+1)/2)*(Inputs!$J$6-Inputs!$I$6)))^2+Inputs!$C$6^2+((Inputs!$H$6+Inputs!$L$6*(((Inputs!$I$6+(((A94)+1)/2)*(Inputs!$J$6-Inputs!$I$6)))/Inputs!$K$6)^2))^2))-((Inputs!$H$6+Inputs!$L$6*(((Inputs!$I$6+(((A94)+1)/2)*(Inputs!$J$6-Inputs!$I$6)))/Inputs!$K$6)^2)))*1000/Inputs!$C$12),NA())</f>
        <v>575.10384181321774</v>
      </c>
      <c r="I94" s="9">
        <f>IF(OR(Inputs!$F$7=TRUE,Inputs!$F$7="TRUE",Inputs!$F$7=1),(((SQRT(((Inputs!$I$7+(((A94)+1)/2)*(Inputs!$J$7-Inputs!$I$7)))^2+Inputs!$C$6^2+((Inputs!$H$7+Inputs!$L$7*(((Inputs!$I$7+(((A94)+1)/2)*(Inputs!$J$7-Inputs!$I$7)))/Inputs!$K$7)^2))^2))-((Inputs!$H$7+Inputs!$L$7*(((Inputs!$I$7+(((A94)+1)/2)*(Inputs!$J$7-Inputs!$I$7)))/Inputs!$K$7)^2)))*1000/Inputs!$C$12),NA())</f>
        <v>31551.622668842894</v>
      </c>
      <c r="J94" s="9">
        <f>IF(OR(Inputs!$F$8=TRUE,Inputs!$F$8="TRUE",Inputs!$F$8=1),(((SQRT(((Inputs!$I$8+(((A94)+1)/2)*(Inputs!$J$8-Inputs!$I$8)))^2+Inputs!$C$6^2+((Inputs!$H$8+Inputs!$L$8*(((Inputs!$I$8+(((A94)+1)/2)*(Inputs!$J$8-Inputs!$I$8)))/Inputs!$K$8)^2))^2))-((Inputs!$H$8+Inputs!$L$8*(((Inputs!$I$8+(((A94)+1)/2)*(Inputs!$J$8-Inputs!$I$8)))/Inputs!$K$8)^2)))*1000/Inputs!$C$12),NA())</f>
        <v>67411.162484076835</v>
      </c>
      <c r="K94" s="9">
        <f>IF(OR(Inputs!$F$9=TRUE,Inputs!$F$9="TRUE",Inputs!$F$9=1),(((SQRT(((Inputs!$I$9+(((A94)+1)/2)*(Inputs!$J$9-Inputs!$I$9)))^2+Inputs!$C$6^2+((Inputs!$H$9+Inputs!$L$9*(((Inputs!$I$9+(((A94)+1)/2)*(Inputs!$J$9-Inputs!$I$9)))/Inputs!$K$9)^2))^2))-((Inputs!$H$9+Inputs!$L$9*(((Inputs!$I$9+(((A94)+1)/2)*(Inputs!$J$9-Inputs!$I$9)))/Inputs!$K$9)^2)))*1000/Inputs!$C$12),NA())</f>
        <v>70586.82784915634</v>
      </c>
      <c r="L94" s="10"/>
      <c r="M94" s="9">
        <f t="shared" si="7"/>
        <v>-0.23300000000000001</v>
      </c>
      <c r="N94" s="9">
        <f>IF(OR(Inputs!$F$6=TRUE,Inputs!$F$6="TRUE",Inputs!$F$6=1),(-2*((1000*((((Inputs!$I$6+(((A94)+1)/2)*(Inputs!$J$6-Inputs!$I$6)))*Inputs!$C$11+((Inputs!$H$6+Inputs!$L$6*(((Inputs!$I$6+(((A94)+1)/2)*(Inputs!$J$6-Inputs!$I$6)))/Inputs!$K$6)^2))*((2*Inputs!$L$6*((Inputs!$I$6+(((A94)+1)/2)*(Inputs!$J$6-Inputs!$I$6)))/(Inputs!$K$6^2)*Inputs!$C$11)))/(SQRT(((Inputs!$I$6+(((A94)+1)/2)*(Inputs!$J$6-Inputs!$I$6)))^2+Inputs!$C$6^2+((Inputs!$H$6+Inputs!$L$6*(((Inputs!$I$6+(((A94)+1)/2)*(Inputs!$J$6-Inputs!$I$6)))/Inputs!$K$6)^2))^2)))))/Inputs!$C$13),NA())</f>
        <v>105.32691706872197</v>
      </c>
      <c r="O94" s="9">
        <f>IF(OR(Inputs!$F$7=TRUE,Inputs!$F$7="TRUE",Inputs!$F$7=1),(-2*((1000*((((Inputs!$I$7+(((A94)+1)/2)*(Inputs!$J$7-Inputs!$I$7)))*Inputs!$C$11+((Inputs!$H$7+Inputs!$L$7*(((Inputs!$I$7+(((A94)+1)/2)*(Inputs!$J$7-Inputs!$I$7)))/Inputs!$K$7)^2))*((2*Inputs!$L$7*((Inputs!$I$7+(((A94)+1)/2)*(Inputs!$J$7-Inputs!$I$7)))/(Inputs!$K$7^2)*Inputs!$C$11)))/(SQRT(((Inputs!$I$7+(((A94)+1)/2)*(Inputs!$J$7-Inputs!$I$7)))^2+Inputs!$C$6^2+((Inputs!$H$7+Inputs!$L$7*(((Inputs!$I$7+(((A94)+1)/2)*(Inputs!$J$7-Inputs!$I$7)))/Inputs!$K$7)^2))^2)))))/Inputs!$C$13),NA())</f>
        <v>1679.7501846234886</v>
      </c>
      <c r="P94" s="9">
        <f>IF(OR(Inputs!$F$8=TRUE,Inputs!$F$8="TRUE",Inputs!$F$8=1),(-2*((1000*((((Inputs!$I$8+(((A94)+1)/2)*(Inputs!$J$8-Inputs!$I$8)))*Inputs!$C$11+((Inputs!$H$8+Inputs!$L$8*(((Inputs!$I$8+(((A94)+1)/2)*(Inputs!$J$8-Inputs!$I$8)))/Inputs!$K$8)^2))*((2*Inputs!$L$8*((Inputs!$I$8+(((A94)+1)/2)*(Inputs!$J$8-Inputs!$I$8)))/(Inputs!$K$8^2)*Inputs!$C$11)))/(SQRT(((Inputs!$I$8+(((A94)+1)/2)*(Inputs!$J$8-Inputs!$I$8)))^2+Inputs!$C$6^2+((Inputs!$H$8+Inputs!$L$8*(((Inputs!$I$8+(((A94)+1)/2)*(Inputs!$J$8-Inputs!$I$8)))/Inputs!$K$8)^2))^2)))))/Inputs!$C$13),NA())</f>
        <v>1817.120478733156</v>
      </c>
      <c r="Q94" s="9">
        <f>IF(OR(Inputs!$F$9=TRUE,Inputs!$F$9="TRUE",Inputs!$F$9=1),(-2*((1000*((((Inputs!$I$9+(((A94)+1)/2)*(Inputs!$J$9-Inputs!$I$9)))*Inputs!$C$11+((Inputs!$H$9+Inputs!$L$9*(((Inputs!$I$9+(((A94)+1)/2)*(Inputs!$J$9-Inputs!$I$9)))/Inputs!$K$9)^2))*((2*Inputs!$L$9*((Inputs!$I$9+(((A94)+1)/2)*(Inputs!$J$9-Inputs!$I$9)))/(Inputs!$K$9^2)*Inputs!$C$11)))/(SQRT(((Inputs!$I$9+(((A94)+1)/2)*(Inputs!$J$9-Inputs!$I$9)))^2+Inputs!$C$6^2+((Inputs!$H$9+Inputs!$L$9*(((Inputs!$I$9+(((A94)+1)/2)*(Inputs!$J$9-Inputs!$I$9)))/Inputs!$K$9)^2))^2)))))/Inputs!$C$13),NA())</f>
        <v>1812.8659973985293</v>
      </c>
      <c r="R94" s="10"/>
      <c r="S94" s="9">
        <f t="shared" si="8"/>
        <v>-0.23300000000000001</v>
      </c>
      <c r="T94" s="9">
        <f>(Inputs!$I$6+(((A94)+1)/2)*(Inputs!$J$6-Inputs!$I$6))</f>
        <v>-13.979999999999997</v>
      </c>
      <c r="U94" s="9">
        <f>(Inputs!$I$7+(((A94)+1)/2)*(Inputs!$J$7-Inputs!$I$7))</f>
        <v>-93.199999999999989</v>
      </c>
      <c r="V94" s="9">
        <f>(Inputs!$I$8+(((A94)+1)/2)*(Inputs!$J$8-Inputs!$I$8))</f>
        <v>-186.39999999999998</v>
      </c>
      <c r="W94" s="9">
        <f>(Inputs!$I$9+(((A94)+1)/2)*(Inputs!$J$9-Inputs!$I$9))</f>
        <v>-186.39999999999998</v>
      </c>
      <c r="X94" s="10"/>
      <c r="Y94" s="9">
        <f t="shared" si="9"/>
        <v>-0.23300000000000001</v>
      </c>
      <c r="Z94" s="9">
        <f>(Inputs!$H$6+Inputs!$L$6*(((Inputs!$I$6+(((A94)+1)/2)*(Inputs!$J$6-Inputs!$I$6)))/Inputs!$K$6)^2)</f>
        <v>400.21715599999999</v>
      </c>
      <c r="AA94" s="9">
        <f>(Inputs!$H$7+Inputs!$L$7*(((Inputs!$I$7+(((A94)+1)/2)*(Inputs!$J$7-Inputs!$I$7)))/Inputs!$K$7)^2)</f>
        <v>54.815484999999995</v>
      </c>
      <c r="AB94" s="9">
        <f>(Inputs!$H$8+Inputs!$L$8*(((Inputs!$I$8+(((A94)+1)/2)*(Inputs!$J$8-Inputs!$I$8)))/Inputs!$K$8)^2)</f>
        <v>87.388884999999988</v>
      </c>
      <c r="AC94" s="9">
        <f>(Inputs!$H$9+Inputs!$L$9*(((Inputs!$I$9+(((A94)+1)/2)*(Inputs!$J$9-Inputs!$I$9)))/Inputs!$K$9)^2)</f>
        <v>77.931774999999988</v>
      </c>
      <c r="AD94" s="10"/>
      <c r="AE94" s="9">
        <f t="shared" si="10"/>
        <v>-0.23300000000000001</v>
      </c>
      <c r="AF94" s="9">
        <f>(((SQRT(((Inputs!$I$6+(((A94)+1)/2)*(Inputs!$J$6-Inputs!$I$6)))^2+Inputs!$C$6^2+((Inputs!$H$6+Inputs!$L$6*(((Inputs!$I$6+(((A94)+1)/2)*(Inputs!$J$6-Inputs!$I$6)))/Inputs!$K$6)^2))^2))-((Inputs!$H$6+Inputs!$L$6*(((Inputs!$I$6+(((A94)+1)/2)*(Inputs!$J$6-Inputs!$I$6)))/Inputs!$K$6)^2)))*1000/Inputs!$C$12)</f>
        <v>575.10384181321774</v>
      </c>
      <c r="AG94" s="9">
        <f>(((SQRT(((Inputs!$I$7+(((A94)+1)/2)*(Inputs!$J$7-Inputs!$I$7)))^2+Inputs!$C$6^2+((Inputs!$H$7+Inputs!$L$7*(((Inputs!$I$7+(((A94)+1)/2)*(Inputs!$J$7-Inputs!$I$7)))/Inputs!$K$7)^2))^2))-((Inputs!$H$7+Inputs!$L$7*(((Inputs!$I$7+(((A94)+1)/2)*(Inputs!$J$7-Inputs!$I$7)))/Inputs!$K$7)^2)))*1000/Inputs!$C$12)</f>
        <v>31551.622668842894</v>
      </c>
      <c r="AH94" s="9">
        <f>(((SQRT(((Inputs!$I$8+(((A94)+1)/2)*(Inputs!$J$8-Inputs!$I$8)))^2+Inputs!$C$6^2+((Inputs!$H$8+Inputs!$L$8*(((Inputs!$I$8+(((A94)+1)/2)*(Inputs!$J$8-Inputs!$I$8)))/Inputs!$K$8)^2))^2))-((Inputs!$H$8+Inputs!$L$8*(((Inputs!$I$8+(((A94)+1)/2)*(Inputs!$J$8-Inputs!$I$8)))/Inputs!$K$8)^2)))*1000/Inputs!$C$12)</f>
        <v>67411.162484076835</v>
      </c>
      <c r="AI94" s="9">
        <f>(((SQRT(((Inputs!$I$9+(((A94)+1)/2)*(Inputs!$J$9-Inputs!$I$9)))^2+Inputs!$C$6^2+((Inputs!$H$9+Inputs!$L$9*(((Inputs!$I$9+(((A94)+1)/2)*(Inputs!$J$9-Inputs!$I$9)))/Inputs!$K$9)^2))^2))-((Inputs!$H$9+Inputs!$L$9*(((Inputs!$I$9+(((A94)+1)/2)*(Inputs!$J$9-Inputs!$I$9)))/Inputs!$K$9)^2)))*1000/Inputs!$C$12)</f>
        <v>70586.82784915634</v>
      </c>
      <c r="AJ94" s="10"/>
      <c r="AK94" s="9">
        <f t="shared" si="11"/>
        <v>-0.23300000000000001</v>
      </c>
      <c r="AL94" s="9">
        <f>(-2*((1000*((((Inputs!$I$6+(((A94)+1)/2)*(Inputs!$J$6-Inputs!$I$6)))*Inputs!$C$11+((Inputs!$H$6+Inputs!$L$6*(((Inputs!$I$6+(((A94)+1)/2)*(Inputs!$J$6-Inputs!$I$6)))/Inputs!$K$6)^2))*((2*Inputs!$L$6*((Inputs!$I$6+(((A94)+1)/2)*(Inputs!$J$6-Inputs!$I$6)))/(Inputs!$K$6^2)*Inputs!$C$11)))/(SQRT(((Inputs!$I$6+(((A94)+1)/2)*(Inputs!$J$6-Inputs!$I$6)))^2+Inputs!$C$6^2+((Inputs!$H$6+Inputs!$L$6*(((Inputs!$I$6+(((A94)+1)/2)*(Inputs!$J$6-Inputs!$I$6)))/Inputs!$K$6)^2))^2)))))/Inputs!$C$13)</f>
        <v>105.32691706872197</v>
      </c>
      <c r="AM94" s="9">
        <f>(-2*((1000*((((Inputs!$I$7+(((A94)+1)/2)*(Inputs!$J$7-Inputs!$I$7)))*Inputs!$C$11+((Inputs!$H$7+Inputs!$L$7*(((Inputs!$I$7+(((A94)+1)/2)*(Inputs!$J$7-Inputs!$I$7)))/Inputs!$K$7)^2))*((2*Inputs!$L$7*((Inputs!$I$7+(((A94)+1)/2)*(Inputs!$J$7-Inputs!$I$7)))/(Inputs!$K$7^2)*Inputs!$C$11)))/(SQRT(((Inputs!$I$7+(((A94)+1)/2)*(Inputs!$J$7-Inputs!$I$7)))^2+Inputs!$C$6^2+((Inputs!$H$7+Inputs!$L$7*(((Inputs!$I$7+(((A94)+1)/2)*(Inputs!$J$7-Inputs!$I$7)))/Inputs!$K$7)^2))^2)))))/Inputs!$C$13)</f>
        <v>1679.7501846234886</v>
      </c>
      <c r="AN94" s="9">
        <f>(-2*((1000*((((Inputs!$I$8+(((A94)+1)/2)*(Inputs!$J$8-Inputs!$I$8)))*Inputs!$C$11+((Inputs!$H$8+Inputs!$L$8*(((Inputs!$I$8+(((A94)+1)/2)*(Inputs!$J$8-Inputs!$I$8)))/Inputs!$K$8)^2))*((2*Inputs!$L$8*((Inputs!$I$8+(((A94)+1)/2)*(Inputs!$J$8-Inputs!$I$8)))/(Inputs!$K$8^2)*Inputs!$C$11)))/(SQRT(((Inputs!$I$8+(((A94)+1)/2)*(Inputs!$J$8-Inputs!$I$8)))^2+Inputs!$C$6^2+((Inputs!$H$8+Inputs!$L$8*(((Inputs!$I$8+(((A94)+1)/2)*(Inputs!$J$8-Inputs!$I$8)))/Inputs!$K$8)^2))^2)))))/Inputs!$C$13)</f>
        <v>1817.120478733156</v>
      </c>
      <c r="AO94" s="9">
        <f>(-2*((1000*((((Inputs!$I$9+(((A94)+1)/2)*(Inputs!$J$9-Inputs!$I$9)))*Inputs!$C$11+((Inputs!$H$9+Inputs!$L$9*(((Inputs!$I$9+(((A94)+1)/2)*(Inputs!$J$9-Inputs!$I$9)))/Inputs!$K$9)^2))*((2*Inputs!$L$9*((Inputs!$I$9+(((A94)+1)/2)*(Inputs!$J$9-Inputs!$I$9)))/(Inputs!$K$9^2)*Inputs!$C$11)))/(SQRT(((Inputs!$I$9+(((A94)+1)/2)*(Inputs!$J$9-Inputs!$I$9)))^2+Inputs!$C$6^2+((Inputs!$H$9+Inputs!$L$9*(((Inputs!$I$9+(((A94)+1)/2)*(Inputs!$J$9-Inputs!$I$9)))/Inputs!$K$9)^2))^2)))))/Inputs!$C$13)</f>
        <v>1812.8659973985293</v>
      </c>
    </row>
    <row r="95" spans="1:41">
      <c r="A95" s="9">
        <f>ROUND(-1+93*2/240,3)</f>
        <v>-0.22500000000000001</v>
      </c>
      <c r="B95" s="9">
        <f>IF(OR(Inputs!$F$6=TRUE,Inputs!$F$6="TRUE",Inputs!$F$6=1),(Inputs!$H$6+Inputs!$L$6*(((Inputs!$I$6+(((A95)+1)/2)*(Inputs!$J$6-Inputs!$I$6)))/Inputs!$K$6)^2),NA())</f>
        <v>400.20249999999999</v>
      </c>
      <c r="C95" s="9">
        <f>IF(OR(Inputs!$F$7=TRUE,Inputs!$F$7="TRUE",Inputs!$F$7=1),(Inputs!$H$7+Inputs!$L$7*(((Inputs!$I$7+(((A95)+1)/2)*(Inputs!$J$7-Inputs!$I$7)))/Inputs!$K$7)^2),NA())</f>
        <v>53.478125000000006</v>
      </c>
      <c r="D95" s="9">
        <f>IF(OR(Inputs!$F$8=TRUE,Inputs!$F$8="TRUE",Inputs!$F$8=1),(Inputs!$H$8+Inputs!$L$8*(((Inputs!$I$8+(((A95)+1)/2)*(Inputs!$J$8-Inputs!$I$8)))/Inputs!$K$8)^2),NA())</f>
        <v>83.853125000000006</v>
      </c>
      <c r="E95" s="9">
        <f>IF(OR(Inputs!$F$9=TRUE,Inputs!$F$9="TRUE",Inputs!$F$9=1),(Inputs!$H$9+Inputs!$L$9*(((Inputs!$I$9+(((A95)+1)/2)*(Inputs!$J$9-Inputs!$I$9)))/Inputs!$K$9)^2),NA())</f>
        <v>74.359375</v>
      </c>
      <c r="F95" s="10"/>
      <c r="G95" s="9">
        <f t="shared" si="6"/>
        <v>-0.22500000000000001</v>
      </c>
      <c r="H95" s="9">
        <f>IF(OR(Inputs!$F$6=TRUE,Inputs!$F$6="TRUE",Inputs!$F$6=1),(((SQRT(((Inputs!$I$6+(((A95)+1)/2)*(Inputs!$J$6-Inputs!$I$6)))^2+Inputs!$C$6^2+((Inputs!$H$6+Inputs!$L$6*(((Inputs!$I$6+(((A95)+1)/2)*(Inputs!$J$6-Inputs!$I$6)))/Inputs!$K$6)^2))^2))-((Inputs!$H$6+Inputs!$L$6*(((Inputs!$I$6+(((A95)+1)/2)*(Inputs!$J$6-Inputs!$I$6)))/Inputs!$K$6)^2)))*1000/Inputs!$C$12),NA())</f>
        <v>565.89004791648767</v>
      </c>
      <c r="I95" s="9">
        <f>IF(OR(Inputs!$F$7=TRUE,Inputs!$F$7="TRUE",Inputs!$F$7=1),(((SQRT(((Inputs!$I$7+(((A95)+1)/2)*(Inputs!$J$7-Inputs!$I$7)))^2+Inputs!$C$6^2+((Inputs!$H$7+Inputs!$L$7*(((Inputs!$I$7+(((A95)+1)/2)*(Inputs!$J$7-Inputs!$I$7)))/Inputs!$K$7)^2))^2))-((Inputs!$H$7+Inputs!$L$7*(((Inputs!$I$7+(((A95)+1)/2)*(Inputs!$J$7-Inputs!$I$7)))/Inputs!$K$7)^2)))*1000/Inputs!$C$12),NA())</f>
        <v>30424.210167722518</v>
      </c>
      <c r="J95" s="9">
        <f>IF(OR(Inputs!$F$8=TRUE,Inputs!$F$8="TRUE",Inputs!$F$8=1),(((SQRT(((Inputs!$I$8+(((A95)+1)/2)*(Inputs!$J$8-Inputs!$I$8)))^2+Inputs!$C$6^2+((Inputs!$H$8+Inputs!$L$8*(((Inputs!$I$8+(((A95)+1)/2)*(Inputs!$J$8-Inputs!$I$8)))/Inputs!$K$8)^2))^2))-((Inputs!$H$8+Inputs!$L$8*(((Inputs!$I$8+(((A95)+1)/2)*(Inputs!$J$8-Inputs!$I$8)))/Inputs!$K$8)^2)))*1000/Inputs!$C$12),NA())</f>
        <v>65330.163964716783</v>
      </c>
      <c r="K95" s="9">
        <f>IF(OR(Inputs!$F$9=TRUE,Inputs!$F$9="TRUE",Inputs!$F$9=1),(((SQRT(((Inputs!$I$9+(((A95)+1)/2)*(Inputs!$J$9-Inputs!$I$9)))^2+Inputs!$C$6^2+((Inputs!$H$9+Inputs!$L$9*(((Inputs!$I$9+(((A95)+1)/2)*(Inputs!$J$9-Inputs!$I$9)))/Inputs!$K$9)^2))^2))-((Inputs!$H$9+Inputs!$L$9*(((Inputs!$I$9+(((A95)+1)/2)*(Inputs!$J$9-Inputs!$I$9)))/Inputs!$K$9)^2)))*1000/Inputs!$C$12),NA())</f>
        <v>68535.481214012209</v>
      </c>
      <c r="L95" s="10"/>
      <c r="M95" s="9">
        <f t="shared" si="7"/>
        <v>-0.22500000000000001</v>
      </c>
      <c r="N95" s="9">
        <f>IF(OR(Inputs!$F$6=TRUE,Inputs!$F$6="TRUE",Inputs!$F$6=1),(-2*((1000*((((Inputs!$I$6+(((A95)+1)/2)*(Inputs!$J$6-Inputs!$I$6)))*Inputs!$C$11+((Inputs!$H$6+Inputs!$L$6*(((Inputs!$I$6+(((A95)+1)/2)*(Inputs!$J$6-Inputs!$I$6)))/Inputs!$K$6)^2))*((2*Inputs!$L$6*((Inputs!$I$6+(((A95)+1)/2)*(Inputs!$J$6-Inputs!$I$6)))/(Inputs!$K$6^2)*Inputs!$C$11)))/(SQRT(((Inputs!$I$6+(((A95)+1)/2)*(Inputs!$J$6-Inputs!$I$6)))^2+Inputs!$C$6^2+((Inputs!$H$6+Inputs!$L$6*(((Inputs!$I$6+(((A95)+1)/2)*(Inputs!$J$6-Inputs!$I$6)))/Inputs!$K$6)^2))^2)))))/Inputs!$C$13),NA())</f>
        <v>101.71666195204531</v>
      </c>
      <c r="O95" s="9">
        <f>IF(OR(Inputs!$F$7=TRUE,Inputs!$F$7="TRUE",Inputs!$F$7=1),(-2*((1000*((((Inputs!$I$7+(((A95)+1)/2)*(Inputs!$J$7-Inputs!$I$7)))*Inputs!$C$11+((Inputs!$H$7+Inputs!$L$7*(((Inputs!$I$7+(((A95)+1)/2)*(Inputs!$J$7-Inputs!$I$7)))/Inputs!$K$7)^2))*((2*Inputs!$L$7*((Inputs!$I$7+(((A95)+1)/2)*(Inputs!$J$7-Inputs!$I$7)))/(Inputs!$K$7^2)*Inputs!$C$11)))/(SQRT(((Inputs!$I$7+(((A95)+1)/2)*(Inputs!$J$7-Inputs!$I$7)))^2+Inputs!$C$6^2+((Inputs!$H$7+Inputs!$L$7*(((Inputs!$I$7+(((A95)+1)/2)*(Inputs!$J$7-Inputs!$I$7)))/Inputs!$K$7)^2))^2)))))/Inputs!$C$13),NA())</f>
        <v>1664.3107920147654</v>
      </c>
      <c r="P95" s="9">
        <f>IF(OR(Inputs!$F$8=TRUE,Inputs!$F$8="TRUE",Inputs!$F$8=1),(-2*((1000*((((Inputs!$I$8+(((A95)+1)/2)*(Inputs!$J$8-Inputs!$I$8)))*Inputs!$C$11+((Inputs!$H$8+Inputs!$L$8*(((Inputs!$I$8+(((A95)+1)/2)*(Inputs!$J$8-Inputs!$I$8)))/Inputs!$K$8)^2))*((2*Inputs!$L$8*((Inputs!$I$8+(((A95)+1)/2)*(Inputs!$J$8-Inputs!$I$8)))/(Inputs!$K$8^2)*Inputs!$C$11)))/(SQRT(((Inputs!$I$8+(((A95)+1)/2)*(Inputs!$J$8-Inputs!$I$8)))^2+Inputs!$C$6^2+((Inputs!$H$8+Inputs!$L$8*(((Inputs!$I$8+(((A95)+1)/2)*(Inputs!$J$8-Inputs!$I$8)))/Inputs!$K$8)^2))^2)))))/Inputs!$C$13),NA())</f>
        <v>1802.8628279255813</v>
      </c>
      <c r="Q95" s="9">
        <f>IF(OR(Inputs!$F$9=TRUE,Inputs!$F$9="TRUE",Inputs!$F$9=1),(-2*((1000*((((Inputs!$I$9+(((A95)+1)/2)*(Inputs!$J$9-Inputs!$I$9)))*Inputs!$C$11+((Inputs!$H$9+Inputs!$L$9*(((Inputs!$I$9+(((A95)+1)/2)*(Inputs!$J$9-Inputs!$I$9)))/Inputs!$K$9)^2))*((2*Inputs!$L$9*((Inputs!$I$9+(((A95)+1)/2)*(Inputs!$J$9-Inputs!$I$9)))/(Inputs!$K$9^2)*Inputs!$C$11)))/(SQRT(((Inputs!$I$9+(((A95)+1)/2)*(Inputs!$J$9-Inputs!$I$9)))^2+Inputs!$C$6^2+((Inputs!$H$9+Inputs!$L$9*(((Inputs!$I$9+(((A95)+1)/2)*(Inputs!$J$9-Inputs!$I$9)))/Inputs!$K$9)^2))^2)))))/Inputs!$C$13),NA())</f>
        <v>1799.0618646689668</v>
      </c>
      <c r="R95" s="10"/>
      <c r="S95" s="9">
        <f t="shared" si="8"/>
        <v>-0.22500000000000001</v>
      </c>
      <c r="T95" s="9">
        <f>(Inputs!$I$6+(((A95)+1)/2)*(Inputs!$J$6-Inputs!$I$6))</f>
        <v>-13.5</v>
      </c>
      <c r="U95" s="9">
        <f>(Inputs!$I$7+(((A95)+1)/2)*(Inputs!$J$7-Inputs!$I$7))</f>
        <v>-90</v>
      </c>
      <c r="V95" s="9">
        <f>(Inputs!$I$8+(((A95)+1)/2)*(Inputs!$J$8-Inputs!$I$8))</f>
        <v>-180</v>
      </c>
      <c r="W95" s="9">
        <f>(Inputs!$I$9+(((A95)+1)/2)*(Inputs!$J$9-Inputs!$I$9))</f>
        <v>-180</v>
      </c>
      <c r="X95" s="10"/>
      <c r="Y95" s="9">
        <f t="shared" si="9"/>
        <v>-0.22500000000000001</v>
      </c>
      <c r="Z95" s="9">
        <f>(Inputs!$H$6+Inputs!$L$6*(((Inputs!$I$6+(((A95)+1)/2)*(Inputs!$J$6-Inputs!$I$6)))/Inputs!$K$6)^2)</f>
        <v>400.20249999999999</v>
      </c>
      <c r="AA95" s="9">
        <f>(Inputs!$H$7+Inputs!$L$7*(((Inputs!$I$7+(((A95)+1)/2)*(Inputs!$J$7-Inputs!$I$7)))/Inputs!$K$7)^2)</f>
        <v>53.478125000000006</v>
      </c>
      <c r="AB95" s="9">
        <f>(Inputs!$H$8+Inputs!$L$8*(((Inputs!$I$8+(((A95)+1)/2)*(Inputs!$J$8-Inputs!$I$8)))/Inputs!$K$8)^2)</f>
        <v>83.853125000000006</v>
      </c>
      <c r="AC95" s="9">
        <f>(Inputs!$H$9+Inputs!$L$9*(((Inputs!$I$9+(((A95)+1)/2)*(Inputs!$J$9-Inputs!$I$9)))/Inputs!$K$9)^2)</f>
        <v>74.359375</v>
      </c>
      <c r="AD95" s="10"/>
      <c r="AE95" s="9">
        <f t="shared" si="10"/>
        <v>-0.22500000000000001</v>
      </c>
      <c r="AF95" s="9">
        <f>(((SQRT(((Inputs!$I$6+(((A95)+1)/2)*(Inputs!$J$6-Inputs!$I$6)))^2+Inputs!$C$6^2+((Inputs!$H$6+Inputs!$L$6*(((Inputs!$I$6+(((A95)+1)/2)*(Inputs!$J$6-Inputs!$I$6)))/Inputs!$K$6)^2))^2))-((Inputs!$H$6+Inputs!$L$6*(((Inputs!$I$6+(((A95)+1)/2)*(Inputs!$J$6-Inputs!$I$6)))/Inputs!$K$6)^2)))*1000/Inputs!$C$12)</f>
        <v>565.89004791648767</v>
      </c>
      <c r="AG95" s="9">
        <f>(((SQRT(((Inputs!$I$7+(((A95)+1)/2)*(Inputs!$J$7-Inputs!$I$7)))^2+Inputs!$C$6^2+((Inputs!$H$7+Inputs!$L$7*(((Inputs!$I$7+(((A95)+1)/2)*(Inputs!$J$7-Inputs!$I$7)))/Inputs!$K$7)^2))^2))-((Inputs!$H$7+Inputs!$L$7*(((Inputs!$I$7+(((A95)+1)/2)*(Inputs!$J$7-Inputs!$I$7)))/Inputs!$K$7)^2)))*1000/Inputs!$C$12)</f>
        <v>30424.210167722518</v>
      </c>
      <c r="AH95" s="9">
        <f>(((SQRT(((Inputs!$I$8+(((A95)+1)/2)*(Inputs!$J$8-Inputs!$I$8)))^2+Inputs!$C$6^2+((Inputs!$H$8+Inputs!$L$8*(((Inputs!$I$8+(((A95)+1)/2)*(Inputs!$J$8-Inputs!$I$8)))/Inputs!$K$8)^2))^2))-((Inputs!$H$8+Inputs!$L$8*(((Inputs!$I$8+(((A95)+1)/2)*(Inputs!$J$8-Inputs!$I$8)))/Inputs!$K$8)^2)))*1000/Inputs!$C$12)</f>
        <v>65330.163964716783</v>
      </c>
      <c r="AI95" s="9">
        <f>(((SQRT(((Inputs!$I$9+(((A95)+1)/2)*(Inputs!$J$9-Inputs!$I$9)))^2+Inputs!$C$6^2+((Inputs!$H$9+Inputs!$L$9*(((Inputs!$I$9+(((A95)+1)/2)*(Inputs!$J$9-Inputs!$I$9)))/Inputs!$K$9)^2))^2))-((Inputs!$H$9+Inputs!$L$9*(((Inputs!$I$9+(((A95)+1)/2)*(Inputs!$J$9-Inputs!$I$9)))/Inputs!$K$9)^2)))*1000/Inputs!$C$12)</f>
        <v>68535.481214012209</v>
      </c>
      <c r="AJ95" s="10"/>
      <c r="AK95" s="9">
        <f t="shared" si="11"/>
        <v>-0.22500000000000001</v>
      </c>
      <c r="AL95" s="9">
        <f>(-2*((1000*((((Inputs!$I$6+(((A95)+1)/2)*(Inputs!$J$6-Inputs!$I$6)))*Inputs!$C$11+((Inputs!$H$6+Inputs!$L$6*(((Inputs!$I$6+(((A95)+1)/2)*(Inputs!$J$6-Inputs!$I$6)))/Inputs!$K$6)^2))*((2*Inputs!$L$6*((Inputs!$I$6+(((A95)+1)/2)*(Inputs!$J$6-Inputs!$I$6)))/(Inputs!$K$6^2)*Inputs!$C$11)))/(SQRT(((Inputs!$I$6+(((A95)+1)/2)*(Inputs!$J$6-Inputs!$I$6)))^2+Inputs!$C$6^2+((Inputs!$H$6+Inputs!$L$6*(((Inputs!$I$6+(((A95)+1)/2)*(Inputs!$J$6-Inputs!$I$6)))/Inputs!$K$6)^2))^2)))))/Inputs!$C$13)</f>
        <v>101.71666195204531</v>
      </c>
      <c r="AM95" s="9">
        <f>(-2*((1000*((((Inputs!$I$7+(((A95)+1)/2)*(Inputs!$J$7-Inputs!$I$7)))*Inputs!$C$11+((Inputs!$H$7+Inputs!$L$7*(((Inputs!$I$7+(((A95)+1)/2)*(Inputs!$J$7-Inputs!$I$7)))/Inputs!$K$7)^2))*((2*Inputs!$L$7*((Inputs!$I$7+(((A95)+1)/2)*(Inputs!$J$7-Inputs!$I$7)))/(Inputs!$K$7^2)*Inputs!$C$11)))/(SQRT(((Inputs!$I$7+(((A95)+1)/2)*(Inputs!$J$7-Inputs!$I$7)))^2+Inputs!$C$6^2+((Inputs!$H$7+Inputs!$L$7*(((Inputs!$I$7+(((A95)+1)/2)*(Inputs!$J$7-Inputs!$I$7)))/Inputs!$K$7)^2))^2)))))/Inputs!$C$13)</f>
        <v>1664.3107920147654</v>
      </c>
      <c r="AN95" s="9">
        <f>(-2*((1000*((((Inputs!$I$8+(((A95)+1)/2)*(Inputs!$J$8-Inputs!$I$8)))*Inputs!$C$11+((Inputs!$H$8+Inputs!$L$8*(((Inputs!$I$8+(((A95)+1)/2)*(Inputs!$J$8-Inputs!$I$8)))/Inputs!$K$8)^2))*((2*Inputs!$L$8*((Inputs!$I$8+(((A95)+1)/2)*(Inputs!$J$8-Inputs!$I$8)))/(Inputs!$K$8^2)*Inputs!$C$11)))/(SQRT(((Inputs!$I$8+(((A95)+1)/2)*(Inputs!$J$8-Inputs!$I$8)))^2+Inputs!$C$6^2+((Inputs!$H$8+Inputs!$L$8*(((Inputs!$I$8+(((A95)+1)/2)*(Inputs!$J$8-Inputs!$I$8)))/Inputs!$K$8)^2))^2)))))/Inputs!$C$13)</f>
        <v>1802.8628279255813</v>
      </c>
      <c r="AO95" s="9">
        <f>(-2*((1000*((((Inputs!$I$9+(((A95)+1)/2)*(Inputs!$J$9-Inputs!$I$9)))*Inputs!$C$11+((Inputs!$H$9+Inputs!$L$9*(((Inputs!$I$9+(((A95)+1)/2)*(Inputs!$J$9-Inputs!$I$9)))/Inputs!$K$9)^2))*((2*Inputs!$L$9*((Inputs!$I$9+(((A95)+1)/2)*(Inputs!$J$9-Inputs!$I$9)))/(Inputs!$K$9^2)*Inputs!$C$11)))/(SQRT(((Inputs!$I$9+(((A95)+1)/2)*(Inputs!$J$9-Inputs!$I$9)))^2+Inputs!$C$6^2+((Inputs!$H$9+Inputs!$L$9*(((Inputs!$I$9+(((A95)+1)/2)*(Inputs!$J$9-Inputs!$I$9)))/Inputs!$K$9)^2))^2)))))/Inputs!$C$13)</f>
        <v>1799.0618646689668</v>
      </c>
    </row>
    <row r="96" spans="1:41">
      <c r="A96" s="9">
        <f>ROUND(-1+94*2/240,3)</f>
        <v>-0.217</v>
      </c>
      <c r="B96" s="9">
        <f>IF(OR(Inputs!$F$6=TRUE,Inputs!$F$6="TRUE",Inputs!$F$6=1),(Inputs!$H$6+Inputs!$L$6*(((Inputs!$I$6+(((A96)+1)/2)*(Inputs!$J$6-Inputs!$I$6)))/Inputs!$K$6)^2),NA())</f>
        <v>400.188356</v>
      </c>
      <c r="C96" s="9">
        <f>IF(OR(Inputs!$F$7=TRUE,Inputs!$F$7="TRUE",Inputs!$F$7=1),(Inputs!$H$7+Inputs!$L$7*(((Inputs!$I$7+(((A96)+1)/2)*(Inputs!$J$7-Inputs!$I$7)))/Inputs!$K$7)^2),NA())</f>
        <v>52.187485000000009</v>
      </c>
      <c r="D96" s="9">
        <f>IF(OR(Inputs!$F$8=TRUE,Inputs!$F$8="TRUE",Inputs!$F$8=1),(Inputs!$H$8+Inputs!$L$8*(((Inputs!$I$8+(((A96)+1)/2)*(Inputs!$J$8-Inputs!$I$8)))/Inputs!$K$8)^2),NA())</f>
        <v>80.440885000000009</v>
      </c>
      <c r="E96" s="9">
        <f>IF(OR(Inputs!$F$9=TRUE,Inputs!$F$9="TRUE",Inputs!$F$9=1),(Inputs!$H$9+Inputs!$L$9*(((Inputs!$I$9+(((A96)+1)/2)*(Inputs!$J$9-Inputs!$I$9)))/Inputs!$K$9)^2),NA())</f>
        <v>70.911775000000006</v>
      </c>
      <c r="F96" s="10"/>
      <c r="G96" s="9">
        <f t="shared" si="6"/>
        <v>-0.217</v>
      </c>
      <c r="H96" s="9">
        <f>IF(OR(Inputs!$F$6=TRUE,Inputs!$F$6="TRUE",Inputs!$F$6=1),(((SQRT(((Inputs!$I$6+(((A96)+1)/2)*(Inputs!$J$6-Inputs!$I$6)))^2+Inputs!$C$6^2+((Inputs!$H$6+Inputs!$L$6*(((Inputs!$I$6+(((A96)+1)/2)*(Inputs!$J$6-Inputs!$I$6)))/Inputs!$K$6)^2))^2))-((Inputs!$H$6+Inputs!$L$6*(((Inputs!$I$6+(((A96)+1)/2)*(Inputs!$J$6-Inputs!$I$6)))/Inputs!$K$6)^2)))*1000/Inputs!$C$12),NA())</f>
        <v>556.9971377883129</v>
      </c>
      <c r="I96" s="9">
        <f>IF(OR(Inputs!$F$7=TRUE,Inputs!$F$7="TRUE",Inputs!$F$7=1),(((SQRT(((Inputs!$I$7+(((A96)+1)/2)*(Inputs!$J$7-Inputs!$I$7)))^2+Inputs!$C$6^2+((Inputs!$H$7+Inputs!$L$7*(((Inputs!$I$7+(((A96)+1)/2)*(Inputs!$J$7-Inputs!$I$7)))/Inputs!$K$7)^2))^2))-((Inputs!$H$7+Inputs!$L$7*(((Inputs!$I$7+(((A96)+1)/2)*(Inputs!$J$7-Inputs!$I$7)))/Inputs!$K$7)^2)))*1000/Inputs!$C$12),NA())</f>
        <v>29288.229173688811</v>
      </c>
      <c r="J96" s="9">
        <f>IF(OR(Inputs!$F$8=TRUE,Inputs!$F$8="TRUE",Inputs!$F$8=1),(((SQRT(((Inputs!$I$8+(((A96)+1)/2)*(Inputs!$J$8-Inputs!$I$8)))^2+Inputs!$C$6^2+((Inputs!$H$8+Inputs!$L$8*(((Inputs!$I$8+(((A96)+1)/2)*(Inputs!$J$8-Inputs!$I$8)))/Inputs!$K$8)^2))^2))-((Inputs!$H$8+Inputs!$L$8*(((Inputs!$I$8+(((A96)+1)/2)*(Inputs!$J$8-Inputs!$I$8)))/Inputs!$K$8)^2)))*1000/Inputs!$C$12),NA())</f>
        <v>63211.725832669654</v>
      </c>
      <c r="K96" s="9">
        <f>IF(OR(Inputs!$F$9=TRUE,Inputs!$F$9="TRUE",Inputs!$F$9=1),(((SQRT(((Inputs!$I$9+(((A96)+1)/2)*(Inputs!$J$9-Inputs!$I$9)))^2+Inputs!$C$6^2+((Inputs!$H$9+Inputs!$L$9*(((Inputs!$I$9+(((A96)+1)/2)*(Inputs!$J$9-Inputs!$I$9)))/Inputs!$K$9)^2))^2))-((Inputs!$H$9+Inputs!$L$9*(((Inputs!$I$9+(((A96)+1)/2)*(Inputs!$J$9-Inputs!$I$9)))/Inputs!$K$9)^2)))*1000/Inputs!$C$12),NA())</f>
        <v>66444.853411692078</v>
      </c>
      <c r="L96" s="10"/>
      <c r="M96" s="9">
        <f t="shared" si="7"/>
        <v>-0.217</v>
      </c>
      <c r="N96" s="9">
        <f>IF(OR(Inputs!$F$6=TRUE,Inputs!$F$6="TRUE",Inputs!$F$6=1),(-2*((1000*((((Inputs!$I$6+(((A96)+1)/2)*(Inputs!$J$6-Inputs!$I$6)))*Inputs!$C$11+((Inputs!$H$6+Inputs!$L$6*(((Inputs!$I$6+(((A96)+1)/2)*(Inputs!$J$6-Inputs!$I$6)))/Inputs!$K$6)^2))*((2*Inputs!$L$6*((Inputs!$I$6+(((A96)+1)/2)*(Inputs!$J$6-Inputs!$I$6)))/(Inputs!$K$6^2)*Inputs!$C$11)))/(SQRT(((Inputs!$I$6+(((A96)+1)/2)*(Inputs!$J$6-Inputs!$I$6)))^2+Inputs!$C$6^2+((Inputs!$H$6+Inputs!$L$6*(((Inputs!$I$6+(((A96)+1)/2)*(Inputs!$J$6-Inputs!$I$6)))/Inputs!$K$6)^2))^2)))))/Inputs!$C$13),NA())</f>
        <v>98.105766767313426</v>
      </c>
      <c r="O96" s="9">
        <f>IF(OR(Inputs!$F$7=TRUE,Inputs!$F$7="TRUE",Inputs!$F$7=1),(-2*((1000*((((Inputs!$I$7+(((A96)+1)/2)*(Inputs!$J$7-Inputs!$I$7)))*Inputs!$C$11+((Inputs!$H$7+Inputs!$L$7*(((Inputs!$I$7+(((A96)+1)/2)*(Inputs!$J$7-Inputs!$I$7)))/Inputs!$K$7)^2))*((2*Inputs!$L$7*((Inputs!$I$7+(((A96)+1)/2)*(Inputs!$J$7-Inputs!$I$7)))/(Inputs!$K$7^2)*Inputs!$C$11)))/(SQRT(((Inputs!$I$7+(((A96)+1)/2)*(Inputs!$J$7-Inputs!$I$7)))^2+Inputs!$C$6^2+((Inputs!$H$7+Inputs!$L$7*(((Inputs!$I$7+(((A96)+1)/2)*(Inputs!$J$7-Inputs!$I$7)))/Inputs!$K$7)^2))^2)))))/Inputs!$C$13),NA())</f>
        <v>1648.2668671962517</v>
      </c>
      <c r="P96" s="9">
        <f>IF(OR(Inputs!$F$8=TRUE,Inputs!$F$8="TRUE",Inputs!$F$8=1),(-2*((1000*((((Inputs!$I$8+(((A96)+1)/2)*(Inputs!$J$8-Inputs!$I$8)))*Inputs!$C$11+((Inputs!$H$8+Inputs!$L$8*(((Inputs!$I$8+(((A96)+1)/2)*(Inputs!$J$8-Inputs!$I$8)))/Inputs!$K$8)^2))*((2*Inputs!$L$8*((Inputs!$I$8+(((A96)+1)/2)*(Inputs!$J$8-Inputs!$I$8)))/(Inputs!$K$8^2)*Inputs!$C$11)))/(SQRT(((Inputs!$I$8+(((A96)+1)/2)*(Inputs!$J$8-Inputs!$I$8)))^2+Inputs!$C$6^2+((Inputs!$H$8+Inputs!$L$8*(((Inputs!$I$8+(((A96)+1)/2)*(Inputs!$J$8-Inputs!$I$8)))/Inputs!$K$8)^2))^2)))))/Inputs!$C$13),NA())</f>
        <v>1788.6759231225119</v>
      </c>
      <c r="Q96" s="9">
        <f>IF(OR(Inputs!$F$9=TRUE,Inputs!$F$9="TRUE",Inputs!$F$9=1),(-2*((1000*((((Inputs!$I$9+(((A96)+1)/2)*(Inputs!$J$9-Inputs!$I$9)))*Inputs!$C$11+((Inputs!$H$9+Inputs!$L$9*(((Inputs!$I$9+(((A96)+1)/2)*(Inputs!$J$9-Inputs!$I$9)))/Inputs!$K$9)^2))*((2*Inputs!$L$9*((Inputs!$I$9+(((A96)+1)/2)*(Inputs!$J$9-Inputs!$I$9)))/(Inputs!$K$9^2)*Inputs!$C$11)))/(SQRT(((Inputs!$I$9+(((A96)+1)/2)*(Inputs!$J$9-Inputs!$I$9)))^2+Inputs!$C$6^2+((Inputs!$H$9+Inputs!$L$9*(((Inputs!$I$9+(((A96)+1)/2)*(Inputs!$J$9-Inputs!$I$9)))/Inputs!$K$9)^2))^2)))))/Inputs!$C$13),NA())</f>
        <v>1785.4222567737822</v>
      </c>
      <c r="R96" s="10"/>
      <c r="S96" s="9">
        <f t="shared" si="8"/>
        <v>-0.217</v>
      </c>
      <c r="T96" s="9">
        <f>(Inputs!$I$6+(((A96)+1)/2)*(Inputs!$J$6-Inputs!$I$6))</f>
        <v>-13.019999999999996</v>
      </c>
      <c r="U96" s="9">
        <f>(Inputs!$I$7+(((A96)+1)/2)*(Inputs!$J$7-Inputs!$I$7))</f>
        <v>-86.800000000000011</v>
      </c>
      <c r="V96" s="9">
        <f>(Inputs!$I$8+(((A96)+1)/2)*(Inputs!$J$8-Inputs!$I$8))</f>
        <v>-173.60000000000002</v>
      </c>
      <c r="W96" s="9">
        <f>(Inputs!$I$9+(((A96)+1)/2)*(Inputs!$J$9-Inputs!$I$9))</f>
        <v>-173.60000000000002</v>
      </c>
      <c r="X96" s="10"/>
      <c r="Y96" s="9">
        <f t="shared" si="9"/>
        <v>-0.217</v>
      </c>
      <c r="Z96" s="9">
        <f>(Inputs!$H$6+Inputs!$L$6*(((Inputs!$I$6+(((A96)+1)/2)*(Inputs!$J$6-Inputs!$I$6)))/Inputs!$K$6)^2)</f>
        <v>400.188356</v>
      </c>
      <c r="AA96" s="9">
        <f>(Inputs!$H$7+Inputs!$L$7*(((Inputs!$I$7+(((A96)+1)/2)*(Inputs!$J$7-Inputs!$I$7)))/Inputs!$K$7)^2)</f>
        <v>52.187485000000009</v>
      </c>
      <c r="AB96" s="9">
        <f>(Inputs!$H$8+Inputs!$L$8*(((Inputs!$I$8+(((A96)+1)/2)*(Inputs!$J$8-Inputs!$I$8)))/Inputs!$K$8)^2)</f>
        <v>80.440885000000009</v>
      </c>
      <c r="AC96" s="9">
        <f>(Inputs!$H$9+Inputs!$L$9*(((Inputs!$I$9+(((A96)+1)/2)*(Inputs!$J$9-Inputs!$I$9)))/Inputs!$K$9)^2)</f>
        <v>70.911775000000006</v>
      </c>
      <c r="AD96" s="10"/>
      <c r="AE96" s="9">
        <f t="shared" si="10"/>
        <v>-0.217</v>
      </c>
      <c r="AF96" s="9">
        <f>(((SQRT(((Inputs!$I$6+(((A96)+1)/2)*(Inputs!$J$6-Inputs!$I$6)))^2+Inputs!$C$6^2+((Inputs!$H$6+Inputs!$L$6*(((Inputs!$I$6+(((A96)+1)/2)*(Inputs!$J$6-Inputs!$I$6)))/Inputs!$K$6)^2))^2))-((Inputs!$H$6+Inputs!$L$6*(((Inputs!$I$6+(((A96)+1)/2)*(Inputs!$J$6-Inputs!$I$6)))/Inputs!$K$6)^2)))*1000/Inputs!$C$12)</f>
        <v>556.9971377883129</v>
      </c>
      <c r="AG96" s="9">
        <f>(((SQRT(((Inputs!$I$7+(((A96)+1)/2)*(Inputs!$J$7-Inputs!$I$7)))^2+Inputs!$C$6^2+((Inputs!$H$7+Inputs!$L$7*(((Inputs!$I$7+(((A96)+1)/2)*(Inputs!$J$7-Inputs!$I$7)))/Inputs!$K$7)^2))^2))-((Inputs!$H$7+Inputs!$L$7*(((Inputs!$I$7+(((A96)+1)/2)*(Inputs!$J$7-Inputs!$I$7)))/Inputs!$K$7)^2)))*1000/Inputs!$C$12)</f>
        <v>29288.229173688811</v>
      </c>
      <c r="AH96" s="9">
        <f>(((SQRT(((Inputs!$I$8+(((A96)+1)/2)*(Inputs!$J$8-Inputs!$I$8)))^2+Inputs!$C$6^2+((Inputs!$H$8+Inputs!$L$8*(((Inputs!$I$8+(((A96)+1)/2)*(Inputs!$J$8-Inputs!$I$8)))/Inputs!$K$8)^2))^2))-((Inputs!$H$8+Inputs!$L$8*(((Inputs!$I$8+(((A96)+1)/2)*(Inputs!$J$8-Inputs!$I$8)))/Inputs!$K$8)^2)))*1000/Inputs!$C$12)</f>
        <v>63211.725832669654</v>
      </c>
      <c r="AI96" s="9">
        <f>(((SQRT(((Inputs!$I$9+(((A96)+1)/2)*(Inputs!$J$9-Inputs!$I$9)))^2+Inputs!$C$6^2+((Inputs!$H$9+Inputs!$L$9*(((Inputs!$I$9+(((A96)+1)/2)*(Inputs!$J$9-Inputs!$I$9)))/Inputs!$K$9)^2))^2))-((Inputs!$H$9+Inputs!$L$9*(((Inputs!$I$9+(((A96)+1)/2)*(Inputs!$J$9-Inputs!$I$9)))/Inputs!$K$9)^2)))*1000/Inputs!$C$12)</f>
        <v>66444.853411692078</v>
      </c>
      <c r="AJ96" s="10"/>
      <c r="AK96" s="9">
        <f t="shared" si="11"/>
        <v>-0.217</v>
      </c>
      <c r="AL96" s="9">
        <f>(-2*((1000*((((Inputs!$I$6+(((A96)+1)/2)*(Inputs!$J$6-Inputs!$I$6)))*Inputs!$C$11+((Inputs!$H$6+Inputs!$L$6*(((Inputs!$I$6+(((A96)+1)/2)*(Inputs!$J$6-Inputs!$I$6)))/Inputs!$K$6)^2))*((2*Inputs!$L$6*((Inputs!$I$6+(((A96)+1)/2)*(Inputs!$J$6-Inputs!$I$6)))/(Inputs!$K$6^2)*Inputs!$C$11)))/(SQRT(((Inputs!$I$6+(((A96)+1)/2)*(Inputs!$J$6-Inputs!$I$6)))^2+Inputs!$C$6^2+((Inputs!$H$6+Inputs!$L$6*(((Inputs!$I$6+(((A96)+1)/2)*(Inputs!$J$6-Inputs!$I$6)))/Inputs!$K$6)^2))^2)))))/Inputs!$C$13)</f>
        <v>98.105766767313426</v>
      </c>
      <c r="AM96" s="9">
        <f>(-2*((1000*((((Inputs!$I$7+(((A96)+1)/2)*(Inputs!$J$7-Inputs!$I$7)))*Inputs!$C$11+((Inputs!$H$7+Inputs!$L$7*(((Inputs!$I$7+(((A96)+1)/2)*(Inputs!$J$7-Inputs!$I$7)))/Inputs!$K$7)^2))*((2*Inputs!$L$7*((Inputs!$I$7+(((A96)+1)/2)*(Inputs!$J$7-Inputs!$I$7)))/(Inputs!$K$7^2)*Inputs!$C$11)))/(SQRT(((Inputs!$I$7+(((A96)+1)/2)*(Inputs!$J$7-Inputs!$I$7)))^2+Inputs!$C$6^2+((Inputs!$H$7+Inputs!$L$7*(((Inputs!$I$7+(((A96)+1)/2)*(Inputs!$J$7-Inputs!$I$7)))/Inputs!$K$7)^2))^2)))))/Inputs!$C$13)</f>
        <v>1648.2668671962517</v>
      </c>
      <c r="AN96" s="9">
        <f>(-2*((1000*((((Inputs!$I$8+(((A96)+1)/2)*(Inputs!$J$8-Inputs!$I$8)))*Inputs!$C$11+((Inputs!$H$8+Inputs!$L$8*(((Inputs!$I$8+(((A96)+1)/2)*(Inputs!$J$8-Inputs!$I$8)))/Inputs!$K$8)^2))*((2*Inputs!$L$8*((Inputs!$I$8+(((A96)+1)/2)*(Inputs!$J$8-Inputs!$I$8)))/(Inputs!$K$8^2)*Inputs!$C$11)))/(SQRT(((Inputs!$I$8+(((A96)+1)/2)*(Inputs!$J$8-Inputs!$I$8)))^2+Inputs!$C$6^2+((Inputs!$H$8+Inputs!$L$8*(((Inputs!$I$8+(((A96)+1)/2)*(Inputs!$J$8-Inputs!$I$8)))/Inputs!$K$8)^2))^2)))))/Inputs!$C$13)</f>
        <v>1788.6759231225119</v>
      </c>
      <c r="AO96" s="9">
        <f>(-2*((1000*((((Inputs!$I$9+(((A96)+1)/2)*(Inputs!$J$9-Inputs!$I$9)))*Inputs!$C$11+((Inputs!$H$9+Inputs!$L$9*(((Inputs!$I$9+(((A96)+1)/2)*(Inputs!$J$9-Inputs!$I$9)))/Inputs!$K$9)^2))*((2*Inputs!$L$9*((Inputs!$I$9+(((A96)+1)/2)*(Inputs!$J$9-Inputs!$I$9)))/(Inputs!$K$9^2)*Inputs!$C$11)))/(SQRT(((Inputs!$I$9+(((A96)+1)/2)*(Inputs!$J$9-Inputs!$I$9)))^2+Inputs!$C$6^2+((Inputs!$H$9+Inputs!$L$9*(((Inputs!$I$9+(((A96)+1)/2)*(Inputs!$J$9-Inputs!$I$9)))/Inputs!$K$9)^2))^2)))))/Inputs!$C$13)</f>
        <v>1785.4222567737822</v>
      </c>
    </row>
    <row r="97" spans="1:41">
      <c r="A97" s="9">
        <f>ROUND(-1+95*2/240,3)</f>
        <v>-0.20799999999999999</v>
      </c>
      <c r="B97" s="9">
        <f>IF(OR(Inputs!$F$6=TRUE,Inputs!$F$6="TRUE",Inputs!$F$6=1),(Inputs!$H$6+Inputs!$L$6*(((Inputs!$I$6+(((A97)+1)/2)*(Inputs!$J$6-Inputs!$I$6)))/Inputs!$K$6)^2),NA())</f>
        <v>400.17305599999997</v>
      </c>
      <c r="C97" s="9">
        <f>IF(OR(Inputs!$F$7=TRUE,Inputs!$F$7="TRUE",Inputs!$F$7=1),(Inputs!$H$7+Inputs!$L$7*(((Inputs!$I$7+(((A97)+1)/2)*(Inputs!$J$7-Inputs!$I$7)))/Inputs!$K$7)^2),NA())</f>
        <v>50.791359999999997</v>
      </c>
      <c r="D97" s="9">
        <f>IF(OR(Inputs!$F$8=TRUE,Inputs!$F$8="TRUE",Inputs!$F$8=1),(Inputs!$H$8+Inputs!$L$8*(((Inputs!$I$8+(((A97)+1)/2)*(Inputs!$J$8-Inputs!$I$8)))/Inputs!$K$8)^2),NA())</f>
        <v>76.749759999999981</v>
      </c>
      <c r="E97" s="9">
        <f>IF(OR(Inputs!$F$9=TRUE,Inputs!$F$9="TRUE",Inputs!$F$9=1),(Inputs!$H$9+Inputs!$L$9*(((Inputs!$I$9+(((A97)+1)/2)*(Inputs!$J$9-Inputs!$I$9)))/Inputs!$K$9)^2),NA())</f>
        <v>67.182399999999973</v>
      </c>
      <c r="F97" s="10"/>
      <c r="G97" s="9">
        <f t="shared" si="6"/>
        <v>-0.20799999999999999</v>
      </c>
      <c r="H97" s="9">
        <f>IF(OR(Inputs!$F$6=TRUE,Inputs!$F$6="TRUE",Inputs!$F$6=1),(((SQRT(((Inputs!$I$6+(((A97)+1)/2)*(Inputs!$J$6-Inputs!$I$6)))^2+Inputs!$C$6^2+((Inputs!$H$6+Inputs!$L$6*(((Inputs!$I$6+(((A97)+1)/2)*(Inputs!$J$6-Inputs!$I$6)))/Inputs!$K$6)^2))^2))-((Inputs!$H$6+Inputs!$L$6*(((Inputs!$I$6+(((A97)+1)/2)*(Inputs!$J$6-Inputs!$I$6)))/Inputs!$K$6)^2)))*1000/Inputs!$C$12),NA())</f>
        <v>547.37630208177086</v>
      </c>
      <c r="I97" s="9">
        <f>IF(OR(Inputs!$F$7=TRUE,Inputs!$F$7="TRUE",Inputs!$F$7=1),(((SQRT(((Inputs!$I$7+(((A97)+1)/2)*(Inputs!$J$7-Inputs!$I$7)))^2+Inputs!$C$6^2+((Inputs!$H$7+Inputs!$L$7*(((Inputs!$I$7+(((A97)+1)/2)*(Inputs!$J$7-Inputs!$I$7)))/Inputs!$K$7)^2))^2))-((Inputs!$H$7+Inputs!$L$7*(((Inputs!$I$7+(((A97)+1)/2)*(Inputs!$J$7-Inputs!$I$7)))/Inputs!$K$7)^2)))*1000/Inputs!$C$12),NA())</f>
        <v>28000.925707377744</v>
      </c>
      <c r="J97" s="9">
        <f>IF(OR(Inputs!$F$8=TRUE,Inputs!$F$8="TRUE",Inputs!$F$8=1),(((SQRT(((Inputs!$I$8+(((A97)+1)/2)*(Inputs!$J$8-Inputs!$I$8)))^2+Inputs!$C$6^2+((Inputs!$H$8+Inputs!$L$8*(((Inputs!$I$8+(((A97)+1)/2)*(Inputs!$J$8-Inputs!$I$8)))/Inputs!$K$8)^2))^2))-((Inputs!$H$8+Inputs!$L$8*(((Inputs!$I$8+(((A97)+1)/2)*(Inputs!$J$8-Inputs!$I$8)))/Inputs!$K$8)^2)))*1000/Inputs!$C$12),NA())</f>
        <v>60783.588498452576</v>
      </c>
      <c r="K97" s="9">
        <f>IF(OR(Inputs!$F$9=TRUE,Inputs!$F$9="TRUE",Inputs!$F$9=1),(((SQRT(((Inputs!$I$9+(((A97)+1)/2)*(Inputs!$J$9-Inputs!$I$9)))^2+Inputs!$C$6^2+((Inputs!$H$9+Inputs!$L$9*(((Inputs!$I$9+(((A97)+1)/2)*(Inputs!$J$9-Inputs!$I$9)))/Inputs!$K$9)^2))^2))-((Inputs!$H$9+Inputs!$L$9*(((Inputs!$I$9+(((A97)+1)/2)*(Inputs!$J$9-Inputs!$I$9)))/Inputs!$K$9)^2)))*1000/Inputs!$C$12),NA())</f>
        <v>64045.521794706867</v>
      </c>
      <c r="L97" s="10"/>
      <c r="M97" s="9">
        <f t="shared" si="7"/>
        <v>-0.20799999999999999</v>
      </c>
      <c r="N97" s="9">
        <f>IF(OR(Inputs!$F$6=TRUE,Inputs!$F$6="TRUE",Inputs!$F$6=1),(-2*((1000*((((Inputs!$I$6+(((A97)+1)/2)*(Inputs!$J$6-Inputs!$I$6)))*Inputs!$C$11+((Inputs!$H$6+Inputs!$L$6*(((Inputs!$I$6+(((A97)+1)/2)*(Inputs!$J$6-Inputs!$I$6)))/Inputs!$K$6)^2))*((2*Inputs!$L$6*((Inputs!$I$6+(((A97)+1)/2)*(Inputs!$J$6-Inputs!$I$6)))/(Inputs!$K$6^2)*Inputs!$C$11)))/(SQRT(((Inputs!$I$6+(((A97)+1)/2)*(Inputs!$J$6-Inputs!$I$6)))^2+Inputs!$C$6^2+((Inputs!$H$6+Inputs!$L$6*(((Inputs!$I$6+(((A97)+1)/2)*(Inputs!$J$6-Inputs!$I$6)))/Inputs!$K$6)^2))^2)))))/Inputs!$C$13),NA())</f>
        <v>94.042772653266496</v>
      </c>
      <c r="O97" s="9">
        <f>IF(OR(Inputs!$F$7=TRUE,Inputs!$F$7="TRUE",Inputs!$F$7=1),(-2*((1000*((((Inputs!$I$7+(((A97)+1)/2)*(Inputs!$J$7-Inputs!$I$7)))*Inputs!$C$11+((Inputs!$H$7+Inputs!$L$7*(((Inputs!$I$7+(((A97)+1)/2)*(Inputs!$J$7-Inputs!$I$7)))/Inputs!$K$7)^2))*((2*Inputs!$L$7*((Inputs!$I$7+(((A97)+1)/2)*(Inputs!$J$7-Inputs!$I$7)))/(Inputs!$K$7^2)*Inputs!$C$11)))/(SQRT(((Inputs!$I$7+(((A97)+1)/2)*(Inputs!$J$7-Inputs!$I$7)))^2+Inputs!$C$6^2+((Inputs!$H$7+Inputs!$L$7*(((Inputs!$I$7+(((A97)+1)/2)*(Inputs!$J$7-Inputs!$I$7)))/Inputs!$K$7)^2))^2)))))/Inputs!$C$13),NA())</f>
        <v>1629.3723506909682</v>
      </c>
      <c r="P97" s="9">
        <f>IF(OR(Inputs!$F$8=TRUE,Inputs!$F$8="TRUE",Inputs!$F$8=1),(-2*((1000*((((Inputs!$I$8+(((A97)+1)/2)*(Inputs!$J$8-Inputs!$I$8)))*Inputs!$C$11+((Inputs!$H$8+Inputs!$L$8*(((Inputs!$I$8+(((A97)+1)/2)*(Inputs!$J$8-Inputs!$I$8)))/Inputs!$K$8)^2))*((2*Inputs!$L$8*((Inputs!$I$8+(((A97)+1)/2)*(Inputs!$J$8-Inputs!$I$8)))/(Inputs!$K$8^2)*Inputs!$C$11)))/(SQRT(((Inputs!$I$8+(((A97)+1)/2)*(Inputs!$J$8-Inputs!$I$8)))^2+Inputs!$C$6^2+((Inputs!$H$8+Inputs!$L$8*(((Inputs!$I$8+(((A97)+1)/2)*(Inputs!$J$8-Inputs!$I$8)))/Inputs!$K$8)^2))^2)))))/Inputs!$C$13),NA())</f>
        <v>1772.7521664865533</v>
      </c>
      <c r="Q97" s="9">
        <f>IF(OR(Inputs!$F$9=TRUE,Inputs!$F$9="TRUE",Inputs!$F$9=1),(-2*((1000*((((Inputs!$I$9+(((A97)+1)/2)*(Inputs!$J$9-Inputs!$I$9)))*Inputs!$C$11+((Inputs!$H$9+Inputs!$L$9*(((Inputs!$I$9+(((A97)+1)/2)*(Inputs!$J$9-Inputs!$I$9)))/Inputs!$K$9)^2))*((2*Inputs!$L$9*((Inputs!$I$9+(((A97)+1)/2)*(Inputs!$J$9-Inputs!$I$9)))/(Inputs!$K$9^2)*Inputs!$C$11)))/(SQRT(((Inputs!$I$9+(((A97)+1)/2)*(Inputs!$J$9-Inputs!$I$9)))^2+Inputs!$C$6^2+((Inputs!$H$9+Inputs!$L$9*(((Inputs!$I$9+(((A97)+1)/2)*(Inputs!$J$9-Inputs!$I$9)))/Inputs!$K$9)^2))^2)))))/Inputs!$C$13),NA())</f>
        <v>1770.2411584430611</v>
      </c>
      <c r="R97" s="10"/>
      <c r="S97" s="9">
        <f t="shared" si="8"/>
        <v>-0.20799999999999999</v>
      </c>
      <c r="T97" s="9">
        <f>(Inputs!$I$6+(((A97)+1)/2)*(Inputs!$J$6-Inputs!$I$6))</f>
        <v>-12.479999999999997</v>
      </c>
      <c r="U97" s="9">
        <f>(Inputs!$I$7+(((A97)+1)/2)*(Inputs!$J$7-Inputs!$I$7))</f>
        <v>-83.199999999999989</v>
      </c>
      <c r="V97" s="9">
        <f>(Inputs!$I$8+(((A97)+1)/2)*(Inputs!$J$8-Inputs!$I$8))</f>
        <v>-166.39999999999998</v>
      </c>
      <c r="W97" s="9">
        <f>(Inputs!$I$9+(((A97)+1)/2)*(Inputs!$J$9-Inputs!$I$9))</f>
        <v>-166.39999999999998</v>
      </c>
      <c r="X97" s="10"/>
      <c r="Y97" s="9">
        <f t="shared" si="9"/>
        <v>-0.20799999999999999</v>
      </c>
      <c r="Z97" s="9">
        <f>(Inputs!$H$6+Inputs!$L$6*(((Inputs!$I$6+(((A97)+1)/2)*(Inputs!$J$6-Inputs!$I$6)))/Inputs!$K$6)^2)</f>
        <v>400.17305599999997</v>
      </c>
      <c r="AA97" s="9">
        <f>(Inputs!$H$7+Inputs!$L$7*(((Inputs!$I$7+(((A97)+1)/2)*(Inputs!$J$7-Inputs!$I$7)))/Inputs!$K$7)^2)</f>
        <v>50.791359999999997</v>
      </c>
      <c r="AB97" s="9">
        <f>(Inputs!$H$8+Inputs!$L$8*(((Inputs!$I$8+(((A97)+1)/2)*(Inputs!$J$8-Inputs!$I$8)))/Inputs!$K$8)^2)</f>
        <v>76.749759999999981</v>
      </c>
      <c r="AC97" s="9">
        <f>(Inputs!$H$9+Inputs!$L$9*(((Inputs!$I$9+(((A97)+1)/2)*(Inputs!$J$9-Inputs!$I$9)))/Inputs!$K$9)^2)</f>
        <v>67.182399999999973</v>
      </c>
      <c r="AD97" s="10"/>
      <c r="AE97" s="9">
        <f t="shared" si="10"/>
        <v>-0.20799999999999999</v>
      </c>
      <c r="AF97" s="9">
        <f>(((SQRT(((Inputs!$I$6+(((A97)+1)/2)*(Inputs!$J$6-Inputs!$I$6)))^2+Inputs!$C$6^2+((Inputs!$H$6+Inputs!$L$6*(((Inputs!$I$6+(((A97)+1)/2)*(Inputs!$J$6-Inputs!$I$6)))/Inputs!$K$6)^2))^2))-((Inputs!$H$6+Inputs!$L$6*(((Inputs!$I$6+(((A97)+1)/2)*(Inputs!$J$6-Inputs!$I$6)))/Inputs!$K$6)^2)))*1000/Inputs!$C$12)</f>
        <v>547.37630208177086</v>
      </c>
      <c r="AG97" s="9">
        <f>(((SQRT(((Inputs!$I$7+(((A97)+1)/2)*(Inputs!$J$7-Inputs!$I$7)))^2+Inputs!$C$6^2+((Inputs!$H$7+Inputs!$L$7*(((Inputs!$I$7+(((A97)+1)/2)*(Inputs!$J$7-Inputs!$I$7)))/Inputs!$K$7)^2))^2))-((Inputs!$H$7+Inputs!$L$7*(((Inputs!$I$7+(((A97)+1)/2)*(Inputs!$J$7-Inputs!$I$7)))/Inputs!$K$7)^2)))*1000/Inputs!$C$12)</f>
        <v>28000.925707377744</v>
      </c>
      <c r="AH97" s="9">
        <f>(((SQRT(((Inputs!$I$8+(((A97)+1)/2)*(Inputs!$J$8-Inputs!$I$8)))^2+Inputs!$C$6^2+((Inputs!$H$8+Inputs!$L$8*(((Inputs!$I$8+(((A97)+1)/2)*(Inputs!$J$8-Inputs!$I$8)))/Inputs!$K$8)^2))^2))-((Inputs!$H$8+Inputs!$L$8*(((Inputs!$I$8+(((A97)+1)/2)*(Inputs!$J$8-Inputs!$I$8)))/Inputs!$K$8)^2)))*1000/Inputs!$C$12)</f>
        <v>60783.588498452576</v>
      </c>
      <c r="AI97" s="9">
        <f>(((SQRT(((Inputs!$I$9+(((A97)+1)/2)*(Inputs!$J$9-Inputs!$I$9)))^2+Inputs!$C$6^2+((Inputs!$H$9+Inputs!$L$9*(((Inputs!$I$9+(((A97)+1)/2)*(Inputs!$J$9-Inputs!$I$9)))/Inputs!$K$9)^2))^2))-((Inputs!$H$9+Inputs!$L$9*(((Inputs!$I$9+(((A97)+1)/2)*(Inputs!$J$9-Inputs!$I$9)))/Inputs!$K$9)^2)))*1000/Inputs!$C$12)</f>
        <v>64045.521794706867</v>
      </c>
      <c r="AJ97" s="10"/>
      <c r="AK97" s="9">
        <f t="shared" si="11"/>
        <v>-0.20799999999999999</v>
      </c>
      <c r="AL97" s="9">
        <f>(-2*((1000*((((Inputs!$I$6+(((A97)+1)/2)*(Inputs!$J$6-Inputs!$I$6)))*Inputs!$C$11+((Inputs!$H$6+Inputs!$L$6*(((Inputs!$I$6+(((A97)+1)/2)*(Inputs!$J$6-Inputs!$I$6)))/Inputs!$K$6)^2))*((2*Inputs!$L$6*((Inputs!$I$6+(((A97)+1)/2)*(Inputs!$J$6-Inputs!$I$6)))/(Inputs!$K$6^2)*Inputs!$C$11)))/(SQRT(((Inputs!$I$6+(((A97)+1)/2)*(Inputs!$J$6-Inputs!$I$6)))^2+Inputs!$C$6^2+((Inputs!$H$6+Inputs!$L$6*(((Inputs!$I$6+(((A97)+1)/2)*(Inputs!$J$6-Inputs!$I$6)))/Inputs!$K$6)^2))^2)))))/Inputs!$C$13)</f>
        <v>94.042772653266496</v>
      </c>
      <c r="AM97" s="9">
        <f>(-2*((1000*((((Inputs!$I$7+(((A97)+1)/2)*(Inputs!$J$7-Inputs!$I$7)))*Inputs!$C$11+((Inputs!$H$7+Inputs!$L$7*(((Inputs!$I$7+(((A97)+1)/2)*(Inputs!$J$7-Inputs!$I$7)))/Inputs!$K$7)^2))*((2*Inputs!$L$7*((Inputs!$I$7+(((A97)+1)/2)*(Inputs!$J$7-Inputs!$I$7)))/(Inputs!$K$7^2)*Inputs!$C$11)))/(SQRT(((Inputs!$I$7+(((A97)+1)/2)*(Inputs!$J$7-Inputs!$I$7)))^2+Inputs!$C$6^2+((Inputs!$H$7+Inputs!$L$7*(((Inputs!$I$7+(((A97)+1)/2)*(Inputs!$J$7-Inputs!$I$7)))/Inputs!$K$7)^2))^2)))))/Inputs!$C$13)</f>
        <v>1629.3723506909682</v>
      </c>
      <c r="AN97" s="9">
        <f>(-2*((1000*((((Inputs!$I$8+(((A97)+1)/2)*(Inputs!$J$8-Inputs!$I$8)))*Inputs!$C$11+((Inputs!$H$8+Inputs!$L$8*(((Inputs!$I$8+(((A97)+1)/2)*(Inputs!$J$8-Inputs!$I$8)))/Inputs!$K$8)^2))*((2*Inputs!$L$8*((Inputs!$I$8+(((A97)+1)/2)*(Inputs!$J$8-Inputs!$I$8)))/(Inputs!$K$8^2)*Inputs!$C$11)))/(SQRT(((Inputs!$I$8+(((A97)+1)/2)*(Inputs!$J$8-Inputs!$I$8)))^2+Inputs!$C$6^2+((Inputs!$H$8+Inputs!$L$8*(((Inputs!$I$8+(((A97)+1)/2)*(Inputs!$J$8-Inputs!$I$8)))/Inputs!$K$8)^2))^2)))))/Inputs!$C$13)</f>
        <v>1772.7521664865533</v>
      </c>
      <c r="AO97" s="9">
        <f>(-2*((1000*((((Inputs!$I$9+(((A97)+1)/2)*(Inputs!$J$9-Inputs!$I$9)))*Inputs!$C$11+((Inputs!$H$9+Inputs!$L$9*(((Inputs!$I$9+(((A97)+1)/2)*(Inputs!$J$9-Inputs!$I$9)))/Inputs!$K$9)^2))*((2*Inputs!$L$9*((Inputs!$I$9+(((A97)+1)/2)*(Inputs!$J$9-Inputs!$I$9)))/(Inputs!$K$9^2)*Inputs!$C$11)))/(SQRT(((Inputs!$I$9+(((A97)+1)/2)*(Inputs!$J$9-Inputs!$I$9)))^2+Inputs!$C$6^2+((Inputs!$H$9+Inputs!$L$9*(((Inputs!$I$9+(((A97)+1)/2)*(Inputs!$J$9-Inputs!$I$9)))/Inputs!$K$9)^2))^2)))))/Inputs!$C$13)</f>
        <v>1770.2411584430611</v>
      </c>
    </row>
    <row r="98" spans="1:41">
      <c r="A98" s="9">
        <f>ROUND(-1+96*2/240,3)</f>
        <v>-0.2</v>
      </c>
      <c r="B98" s="9">
        <f>IF(OR(Inputs!$F$6=TRUE,Inputs!$F$6="TRUE",Inputs!$F$6=1),(Inputs!$H$6+Inputs!$L$6*(((Inputs!$I$6+(((A98)+1)/2)*(Inputs!$J$6-Inputs!$I$6)))/Inputs!$K$6)^2),NA())</f>
        <v>400.16</v>
      </c>
      <c r="C98" s="9">
        <f>IF(OR(Inputs!$F$7=TRUE,Inputs!$F$7="TRUE",Inputs!$F$7=1),(Inputs!$H$7+Inputs!$L$7*(((Inputs!$I$7+(((A98)+1)/2)*(Inputs!$J$7-Inputs!$I$7)))/Inputs!$K$7)^2),NA())</f>
        <v>49.6</v>
      </c>
      <c r="D98" s="9">
        <f>IF(OR(Inputs!$F$8=TRUE,Inputs!$F$8="TRUE",Inputs!$F$8=1),(Inputs!$H$8+Inputs!$L$8*(((Inputs!$I$8+(((A98)+1)/2)*(Inputs!$J$8-Inputs!$I$8)))/Inputs!$K$8)^2),NA())</f>
        <v>73.600000000000009</v>
      </c>
      <c r="E98" s="9">
        <f>IF(OR(Inputs!$F$9=TRUE,Inputs!$F$9="TRUE",Inputs!$F$9=1),(Inputs!$H$9+Inputs!$L$9*(((Inputs!$I$9+(((A98)+1)/2)*(Inputs!$J$9-Inputs!$I$9)))/Inputs!$K$9)^2),NA())</f>
        <v>64</v>
      </c>
      <c r="F98" s="10"/>
      <c r="G98" s="9">
        <f t="shared" si="6"/>
        <v>-0.2</v>
      </c>
      <c r="H98" s="9">
        <f>IF(OR(Inputs!$F$6=TRUE,Inputs!$F$6="TRUE",Inputs!$F$6=1),(((SQRT(((Inputs!$I$6+(((A98)+1)/2)*(Inputs!$J$6-Inputs!$I$6)))^2+Inputs!$C$6^2+((Inputs!$H$6+Inputs!$L$6*(((Inputs!$I$6+(((A98)+1)/2)*(Inputs!$J$6-Inputs!$I$6)))/Inputs!$K$6)^2))^2))-((Inputs!$H$6+Inputs!$L$6*(((Inputs!$I$6+(((A98)+1)/2)*(Inputs!$J$6-Inputs!$I$6)))/Inputs!$K$6)^2)))*1000/Inputs!$C$12),NA())</f>
        <v>539.16561711384361</v>
      </c>
      <c r="I98" s="9">
        <f>IF(OR(Inputs!$F$7=TRUE,Inputs!$F$7="TRUE",Inputs!$F$7=1),(((SQRT(((Inputs!$I$7+(((A98)+1)/2)*(Inputs!$J$7-Inputs!$I$7)))^2+Inputs!$C$6^2+((Inputs!$H$7+Inputs!$L$7*(((Inputs!$I$7+(((A98)+1)/2)*(Inputs!$J$7-Inputs!$I$7)))/Inputs!$K$7)^2))^2))-((Inputs!$H$7+Inputs!$L$7*(((Inputs!$I$7+(((A98)+1)/2)*(Inputs!$J$7-Inputs!$I$7)))/Inputs!$K$7)^2)))*1000/Inputs!$C$12),NA())</f>
        <v>26849.31803443424</v>
      </c>
      <c r="J98" s="9">
        <f>IF(OR(Inputs!$F$8=TRUE,Inputs!$F$8="TRUE",Inputs!$F$8=1),(((SQRT(((Inputs!$I$8+(((A98)+1)/2)*(Inputs!$J$8-Inputs!$I$8)))^2+Inputs!$C$6^2+((Inputs!$H$8+Inputs!$L$8*(((Inputs!$I$8+(((A98)+1)/2)*(Inputs!$J$8-Inputs!$I$8)))/Inputs!$K$8)^2))^2))-((Inputs!$H$8+Inputs!$L$8*(((Inputs!$I$8+(((A98)+1)/2)*(Inputs!$J$8-Inputs!$I$8)))/Inputs!$K$8)^2)))*1000/Inputs!$C$12),NA())</f>
        <v>58585.320738415496</v>
      </c>
      <c r="K98" s="9">
        <f>IF(OR(Inputs!$F$9=TRUE,Inputs!$F$9="TRUE",Inputs!$F$9=1),(((SQRT(((Inputs!$I$9+(((A98)+1)/2)*(Inputs!$J$9-Inputs!$I$9)))^2+Inputs!$C$6^2+((Inputs!$H$9+Inputs!$L$9*(((Inputs!$I$9+(((A98)+1)/2)*(Inputs!$J$9-Inputs!$I$9)))/Inputs!$K$9)^2))^2))-((Inputs!$H$9+Inputs!$L$9*(((Inputs!$I$9+(((A98)+1)/2)*(Inputs!$J$9-Inputs!$I$9)))/Inputs!$K$9)^2)))*1000/Inputs!$C$12),NA())</f>
        <v>61870.372096167092</v>
      </c>
      <c r="L98" s="10"/>
      <c r="M98" s="9">
        <f t="shared" si="7"/>
        <v>-0.2</v>
      </c>
      <c r="N98" s="9">
        <f>IF(OR(Inputs!$F$6=TRUE,Inputs!$F$6="TRUE",Inputs!$F$6=1),(-2*((1000*((((Inputs!$I$6+(((A98)+1)/2)*(Inputs!$J$6-Inputs!$I$6)))*Inputs!$C$11+((Inputs!$H$6+Inputs!$L$6*(((Inputs!$I$6+(((A98)+1)/2)*(Inputs!$J$6-Inputs!$I$6)))/Inputs!$K$6)^2))*((2*Inputs!$L$6*((Inputs!$I$6+(((A98)+1)/2)*(Inputs!$J$6-Inputs!$I$6)))/(Inputs!$K$6^2)*Inputs!$C$11)))/(SQRT(((Inputs!$I$6+(((A98)+1)/2)*(Inputs!$J$6-Inputs!$I$6)))^2+Inputs!$C$6^2+((Inputs!$H$6+Inputs!$L$6*(((Inputs!$I$6+(((A98)+1)/2)*(Inputs!$J$6-Inputs!$I$6)))/Inputs!$K$6)^2))^2)))))/Inputs!$C$13),NA())</f>
        <v>90.430592152665639</v>
      </c>
      <c r="O98" s="9">
        <f>IF(OR(Inputs!$F$7=TRUE,Inputs!$F$7="TRUE",Inputs!$F$7=1),(-2*((1000*((((Inputs!$I$7+(((A98)+1)/2)*(Inputs!$J$7-Inputs!$I$7)))*Inputs!$C$11+((Inputs!$H$7+Inputs!$L$7*(((Inputs!$I$7+(((A98)+1)/2)*(Inputs!$J$7-Inputs!$I$7)))/Inputs!$K$7)^2))*((2*Inputs!$L$7*((Inputs!$I$7+(((A98)+1)/2)*(Inputs!$J$7-Inputs!$I$7)))/(Inputs!$K$7^2)*Inputs!$C$11)))/(SQRT(((Inputs!$I$7+(((A98)+1)/2)*(Inputs!$J$7-Inputs!$I$7)))^2+Inputs!$C$6^2+((Inputs!$H$7+Inputs!$L$7*(((Inputs!$I$7+(((A98)+1)/2)*(Inputs!$J$7-Inputs!$I$7)))/Inputs!$K$7)^2))^2)))))/Inputs!$C$13),NA())</f>
        <v>1611.7005990294304</v>
      </c>
      <c r="P98" s="9">
        <f>IF(OR(Inputs!$F$8=TRUE,Inputs!$F$8="TRUE",Inputs!$F$8=1),(-2*((1000*((((Inputs!$I$8+(((A98)+1)/2)*(Inputs!$J$8-Inputs!$I$8)))*Inputs!$C$11+((Inputs!$H$8+Inputs!$L$8*(((Inputs!$I$8+(((A98)+1)/2)*(Inputs!$J$8-Inputs!$I$8)))/Inputs!$K$8)^2))*((2*Inputs!$L$8*((Inputs!$I$8+(((A98)+1)/2)*(Inputs!$J$8-Inputs!$I$8)))/(Inputs!$K$8^2)*Inputs!$C$11)))/(SQRT(((Inputs!$I$8+(((A98)+1)/2)*(Inputs!$J$8-Inputs!$I$8)))^2+Inputs!$C$6^2+((Inputs!$H$8+Inputs!$L$8*(((Inputs!$I$8+(((A98)+1)/2)*(Inputs!$J$8-Inputs!$I$8)))/Inputs!$K$8)^2))^2)))))/Inputs!$C$13),NA())</f>
        <v>1758.5783103808831</v>
      </c>
      <c r="Q98" s="9">
        <f>IF(OR(Inputs!$F$9=TRUE,Inputs!$F$9="TRUE",Inputs!$F$9=1),(-2*((1000*((((Inputs!$I$9+(((A98)+1)/2)*(Inputs!$J$9-Inputs!$I$9)))*Inputs!$C$11+((Inputs!$H$9+Inputs!$L$9*(((Inputs!$I$9+(((A98)+1)/2)*(Inputs!$J$9-Inputs!$I$9)))/Inputs!$K$9)^2))*((2*Inputs!$L$9*((Inputs!$I$9+(((A98)+1)/2)*(Inputs!$J$9-Inputs!$I$9)))/(Inputs!$K$9^2)*Inputs!$C$11)))/(SQRT(((Inputs!$I$9+(((A98)+1)/2)*(Inputs!$J$9-Inputs!$I$9)))^2+Inputs!$C$6^2+((Inputs!$H$9+Inputs!$L$9*(((Inputs!$I$9+(((A98)+1)/2)*(Inputs!$J$9-Inputs!$I$9)))/Inputs!$K$9)^2))^2)))))/Inputs!$C$13),NA())</f>
        <v>1756.8557742935191</v>
      </c>
      <c r="R98" s="10"/>
      <c r="S98" s="9">
        <f t="shared" si="8"/>
        <v>-0.2</v>
      </c>
      <c r="T98" s="9">
        <f>(Inputs!$I$6+(((A98)+1)/2)*(Inputs!$J$6-Inputs!$I$6))</f>
        <v>-12</v>
      </c>
      <c r="U98" s="9">
        <f>(Inputs!$I$7+(((A98)+1)/2)*(Inputs!$J$7-Inputs!$I$7))</f>
        <v>-80</v>
      </c>
      <c r="V98" s="9">
        <f>(Inputs!$I$8+(((A98)+1)/2)*(Inputs!$J$8-Inputs!$I$8))</f>
        <v>-160</v>
      </c>
      <c r="W98" s="9">
        <f>(Inputs!$I$9+(((A98)+1)/2)*(Inputs!$J$9-Inputs!$I$9))</f>
        <v>-160</v>
      </c>
      <c r="X98" s="10"/>
      <c r="Y98" s="9">
        <f t="shared" si="9"/>
        <v>-0.2</v>
      </c>
      <c r="Z98" s="9">
        <f>(Inputs!$H$6+Inputs!$L$6*(((Inputs!$I$6+(((A98)+1)/2)*(Inputs!$J$6-Inputs!$I$6)))/Inputs!$K$6)^2)</f>
        <v>400.16</v>
      </c>
      <c r="AA98" s="9">
        <f>(Inputs!$H$7+Inputs!$L$7*(((Inputs!$I$7+(((A98)+1)/2)*(Inputs!$J$7-Inputs!$I$7)))/Inputs!$K$7)^2)</f>
        <v>49.6</v>
      </c>
      <c r="AB98" s="9">
        <f>(Inputs!$H$8+Inputs!$L$8*(((Inputs!$I$8+(((A98)+1)/2)*(Inputs!$J$8-Inputs!$I$8)))/Inputs!$K$8)^2)</f>
        <v>73.600000000000009</v>
      </c>
      <c r="AC98" s="9">
        <f>(Inputs!$H$9+Inputs!$L$9*(((Inputs!$I$9+(((A98)+1)/2)*(Inputs!$J$9-Inputs!$I$9)))/Inputs!$K$9)^2)</f>
        <v>64</v>
      </c>
      <c r="AD98" s="10"/>
      <c r="AE98" s="9">
        <f t="shared" si="10"/>
        <v>-0.2</v>
      </c>
      <c r="AF98" s="9">
        <f>(((SQRT(((Inputs!$I$6+(((A98)+1)/2)*(Inputs!$J$6-Inputs!$I$6)))^2+Inputs!$C$6^2+((Inputs!$H$6+Inputs!$L$6*(((Inputs!$I$6+(((A98)+1)/2)*(Inputs!$J$6-Inputs!$I$6)))/Inputs!$K$6)^2))^2))-((Inputs!$H$6+Inputs!$L$6*(((Inputs!$I$6+(((A98)+1)/2)*(Inputs!$J$6-Inputs!$I$6)))/Inputs!$K$6)^2)))*1000/Inputs!$C$12)</f>
        <v>539.16561711384361</v>
      </c>
      <c r="AG98" s="9">
        <f>(((SQRT(((Inputs!$I$7+(((A98)+1)/2)*(Inputs!$J$7-Inputs!$I$7)))^2+Inputs!$C$6^2+((Inputs!$H$7+Inputs!$L$7*(((Inputs!$I$7+(((A98)+1)/2)*(Inputs!$J$7-Inputs!$I$7)))/Inputs!$K$7)^2))^2))-((Inputs!$H$7+Inputs!$L$7*(((Inputs!$I$7+(((A98)+1)/2)*(Inputs!$J$7-Inputs!$I$7)))/Inputs!$K$7)^2)))*1000/Inputs!$C$12)</f>
        <v>26849.31803443424</v>
      </c>
      <c r="AH98" s="9">
        <f>(((SQRT(((Inputs!$I$8+(((A98)+1)/2)*(Inputs!$J$8-Inputs!$I$8)))^2+Inputs!$C$6^2+((Inputs!$H$8+Inputs!$L$8*(((Inputs!$I$8+(((A98)+1)/2)*(Inputs!$J$8-Inputs!$I$8)))/Inputs!$K$8)^2))^2))-((Inputs!$H$8+Inputs!$L$8*(((Inputs!$I$8+(((A98)+1)/2)*(Inputs!$J$8-Inputs!$I$8)))/Inputs!$K$8)^2)))*1000/Inputs!$C$12)</f>
        <v>58585.320738415496</v>
      </c>
      <c r="AI98" s="9">
        <f>(((SQRT(((Inputs!$I$9+(((A98)+1)/2)*(Inputs!$J$9-Inputs!$I$9)))^2+Inputs!$C$6^2+((Inputs!$H$9+Inputs!$L$9*(((Inputs!$I$9+(((A98)+1)/2)*(Inputs!$J$9-Inputs!$I$9)))/Inputs!$K$9)^2))^2))-((Inputs!$H$9+Inputs!$L$9*(((Inputs!$I$9+(((A98)+1)/2)*(Inputs!$J$9-Inputs!$I$9)))/Inputs!$K$9)^2)))*1000/Inputs!$C$12)</f>
        <v>61870.372096167092</v>
      </c>
      <c r="AJ98" s="10"/>
      <c r="AK98" s="9">
        <f t="shared" si="11"/>
        <v>-0.2</v>
      </c>
      <c r="AL98" s="9">
        <f>(-2*((1000*((((Inputs!$I$6+(((A98)+1)/2)*(Inputs!$J$6-Inputs!$I$6)))*Inputs!$C$11+((Inputs!$H$6+Inputs!$L$6*(((Inputs!$I$6+(((A98)+1)/2)*(Inputs!$J$6-Inputs!$I$6)))/Inputs!$K$6)^2))*((2*Inputs!$L$6*((Inputs!$I$6+(((A98)+1)/2)*(Inputs!$J$6-Inputs!$I$6)))/(Inputs!$K$6^2)*Inputs!$C$11)))/(SQRT(((Inputs!$I$6+(((A98)+1)/2)*(Inputs!$J$6-Inputs!$I$6)))^2+Inputs!$C$6^2+((Inputs!$H$6+Inputs!$L$6*(((Inputs!$I$6+(((A98)+1)/2)*(Inputs!$J$6-Inputs!$I$6)))/Inputs!$K$6)^2))^2)))))/Inputs!$C$13)</f>
        <v>90.430592152665639</v>
      </c>
      <c r="AM98" s="9">
        <f>(-2*((1000*((((Inputs!$I$7+(((A98)+1)/2)*(Inputs!$J$7-Inputs!$I$7)))*Inputs!$C$11+((Inputs!$H$7+Inputs!$L$7*(((Inputs!$I$7+(((A98)+1)/2)*(Inputs!$J$7-Inputs!$I$7)))/Inputs!$K$7)^2))*((2*Inputs!$L$7*((Inputs!$I$7+(((A98)+1)/2)*(Inputs!$J$7-Inputs!$I$7)))/(Inputs!$K$7^2)*Inputs!$C$11)))/(SQRT(((Inputs!$I$7+(((A98)+1)/2)*(Inputs!$J$7-Inputs!$I$7)))^2+Inputs!$C$6^2+((Inputs!$H$7+Inputs!$L$7*(((Inputs!$I$7+(((A98)+1)/2)*(Inputs!$J$7-Inputs!$I$7)))/Inputs!$K$7)^2))^2)))))/Inputs!$C$13)</f>
        <v>1611.7005990294304</v>
      </c>
      <c r="AN98" s="9">
        <f>(-2*((1000*((((Inputs!$I$8+(((A98)+1)/2)*(Inputs!$J$8-Inputs!$I$8)))*Inputs!$C$11+((Inputs!$H$8+Inputs!$L$8*(((Inputs!$I$8+(((A98)+1)/2)*(Inputs!$J$8-Inputs!$I$8)))/Inputs!$K$8)^2))*((2*Inputs!$L$8*((Inputs!$I$8+(((A98)+1)/2)*(Inputs!$J$8-Inputs!$I$8)))/(Inputs!$K$8^2)*Inputs!$C$11)))/(SQRT(((Inputs!$I$8+(((A98)+1)/2)*(Inputs!$J$8-Inputs!$I$8)))^2+Inputs!$C$6^2+((Inputs!$H$8+Inputs!$L$8*(((Inputs!$I$8+(((A98)+1)/2)*(Inputs!$J$8-Inputs!$I$8)))/Inputs!$K$8)^2))^2)))))/Inputs!$C$13)</f>
        <v>1758.5783103808831</v>
      </c>
      <c r="AO98" s="9">
        <f>(-2*((1000*((((Inputs!$I$9+(((A98)+1)/2)*(Inputs!$J$9-Inputs!$I$9)))*Inputs!$C$11+((Inputs!$H$9+Inputs!$L$9*(((Inputs!$I$9+(((A98)+1)/2)*(Inputs!$J$9-Inputs!$I$9)))/Inputs!$K$9)^2))*((2*Inputs!$L$9*((Inputs!$I$9+(((A98)+1)/2)*(Inputs!$J$9-Inputs!$I$9)))/(Inputs!$K$9^2)*Inputs!$C$11)))/(SQRT(((Inputs!$I$9+(((A98)+1)/2)*(Inputs!$J$9-Inputs!$I$9)))^2+Inputs!$C$6^2+((Inputs!$H$9+Inputs!$L$9*(((Inputs!$I$9+(((A98)+1)/2)*(Inputs!$J$9-Inputs!$I$9)))/Inputs!$K$9)^2))^2)))))/Inputs!$C$13)</f>
        <v>1756.8557742935191</v>
      </c>
    </row>
    <row r="99" spans="1:41">
      <c r="A99" s="9">
        <f>ROUND(-1+97*2/240,3)</f>
        <v>-0.192</v>
      </c>
      <c r="B99" s="9">
        <f>IF(OR(Inputs!$F$6=TRUE,Inputs!$F$6="TRUE",Inputs!$F$6=1),(Inputs!$H$6+Inputs!$L$6*(((Inputs!$I$6+(((A99)+1)/2)*(Inputs!$J$6-Inputs!$I$6)))/Inputs!$K$6)^2),NA())</f>
        <v>400.14745599999998</v>
      </c>
      <c r="C99" s="9">
        <f>IF(OR(Inputs!$F$7=TRUE,Inputs!$F$7="TRUE",Inputs!$F$7=1),(Inputs!$H$7+Inputs!$L$7*(((Inputs!$I$7+(((A99)+1)/2)*(Inputs!$J$7-Inputs!$I$7)))/Inputs!$K$7)^2),NA())</f>
        <v>48.455359999999985</v>
      </c>
      <c r="D99" s="9">
        <f>IF(OR(Inputs!$F$8=TRUE,Inputs!$F$8="TRUE",Inputs!$F$8=1),(Inputs!$H$8+Inputs!$L$8*(((Inputs!$I$8+(((A99)+1)/2)*(Inputs!$J$8-Inputs!$I$8)))/Inputs!$K$8)^2),NA())</f>
        <v>70.573759999999965</v>
      </c>
      <c r="E99" s="9">
        <f>IF(OR(Inputs!$F$9=TRUE,Inputs!$F$9="TRUE",Inputs!$F$9=1),(Inputs!$H$9+Inputs!$L$9*(((Inputs!$I$9+(((A99)+1)/2)*(Inputs!$J$9-Inputs!$I$9)))/Inputs!$K$9)^2),NA())</f>
        <v>60.942399999999964</v>
      </c>
      <c r="F99" s="10"/>
      <c r="G99" s="9">
        <f t="shared" si="6"/>
        <v>-0.192</v>
      </c>
      <c r="H99" s="9">
        <f>IF(OR(Inputs!$F$6=TRUE,Inputs!$F$6="TRUE",Inputs!$F$6=1),(((SQRT(((Inputs!$I$6+(((A99)+1)/2)*(Inputs!$J$6-Inputs!$I$6)))^2+Inputs!$C$6^2+((Inputs!$H$6+Inputs!$L$6*(((Inputs!$I$6+(((A99)+1)/2)*(Inputs!$J$6-Inputs!$I$6)))/Inputs!$K$6)^2))^2))-((Inputs!$H$6+Inputs!$L$6*(((Inputs!$I$6+(((A99)+1)/2)*(Inputs!$J$6-Inputs!$I$6)))/Inputs!$K$6)^2)))*1000/Inputs!$C$12),NA())</f>
        <v>531.27613447916985</v>
      </c>
      <c r="I99" s="9">
        <f>IF(OR(Inputs!$F$7=TRUE,Inputs!$F$7="TRUE",Inputs!$F$7=1),(((SQRT(((Inputs!$I$7+(((A99)+1)/2)*(Inputs!$J$7-Inputs!$I$7)))^2+Inputs!$C$6^2+((Inputs!$H$7+Inputs!$L$7*(((Inputs!$I$7+(((A99)+1)/2)*(Inputs!$J$7-Inputs!$I$7)))/Inputs!$K$7)^2))^2))-((Inputs!$H$7+Inputs!$L$7*(((Inputs!$I$7+(((A99)+1)/2)*(Inputs!$J$7-Inputs!$I$7)))/Inputs!$K$7)^2)))*1000/Inputs!$C$12),NA())</f>
        <v>25691.845928145231</v>
      </c>
      <c r="J99" s="9">
        <f>IF(OR(Inputs!$F$8=TRUE,Inputs!$F$8="TRUE",Inputs!$F$8=1),(((SQRT(((Inputs!$I$8+(((A99)+1)/2)*(Inputs!$J$8-Inputs!$I$8)))^2+Inputs!$C$6^2+((Inputs!$H$8+Inputs!$L$8*(((Inputs!$I$8+(((A99)+1)/2)*(Inputs!$J$8-Inputs!$I$8)))/Inputs!$K$8)^2))^2))-((Inputs!$H$8+Inputs!$L$8*(((Inputs!$I$8+(((A99)+1)/2)*(Inputs!$J$8-Inputs!$I$8)))/Inputs!$K$8)^2)))*1000/Inputs!$C$12),NA())</f>
        <v>56349.586553823043</v>
      </c>
      <c r="K99" s="9">
        <f>IF(OR(Inputs!$F$9=TRUE,Inputs!$F$9="TRUE",Inputs!$F$9=1),(((SQRT(((Inputs!$I$9+(((A99)+1)/2)*(Inputs!$J$9-Inputs!$I$9)))^2+Inputs!$C$6^2+((Inputs!$H$9+Inputs!$L$9*(((Inputs!$I$9+(((A99)+1)/2)*(Inputs!$J$9-Inputs!$I$9)))/Inputs!$K$9)^2))^2))-((Inputs!$H$9+Inputs!$L$9*(((Inputs!$I$9+(((A99)+1)/2)*(Inputs!$J$9-Inputs!$I$9)))/Inputs!$K$9)^2)))*1000/Inputs!$C$12),NA())</f>
        <v>59655.113377252943</v>
      </c>
      <c r="L99" s="10"/>
      <c r="M99" s="9">
        <f t="shared" si="7"/>
        <v>-0.192</v>
      </c>
      <c r="N99" s="9">
        <f>IF(OR(Inputs!$F$6=TRUE,Inputs!$F$6="TRUE",Inputs!$F$6=1),(-2*((1000*((((Inputs!$I$6+(((A99)+1)/2)*(Inputs!$J$6-Inputs!$I$6)))*Inputs!$C$11+((Inputs!$H$6+Inputs!$L$6*(((Inputs!$I$6+(((A99)+1)/2)*(Inputs!$J$6-Inputs!$I$6)))/Inputs!$K$6)^2))*((2*Inputs!$L$6*((Inputs!$I$6+(((A99)+1)/2)*(Inputs!$J$6-Inputs!$I$6)))/(Inputs!$K$6^2)*Inputs!$C$11)))/(SQRT(((Inputs!$I$6+(((A99)+1)/2)*(Inputs!$J$6-Inputs!$I$6)))^2+Inputs!$C$6^2+((Inputs!$H$6+Inputs!$L$6*(((Inputs!$I$6+(((A99)+1)/2)*(Inputs!$J$6-Inputs!$I$6)))/Inputs!$K$6)^2))^2)))))/Inputs!$C$13),NA())</f>
        <v>86.81784206356933</v>
      </c>
      <c r="O99" s="9">
        <f>IF(OR(Inputs!$F$7=TRUE,Inputs!$F$7="TRUE",Inputs!$F$7=1),(-2*((1000*((((Inputs!$I$7+(((A99)+1)/2)*(Inputs!$J$7-Inputs!$I$7)))*Inputs!$C$11+((Inputs!$H$7+Inputs!$L$7*(((Inputs!$I$7+(((A99)+1)/2)*(Inputs!$J$7-Inputs!$I$7)))/Inputs!$K$7)^2))*((2*Inputs!$L$7*((Inputs!$I$7+(((A99)+1)/2)*(Inputs!$J$7-Inputs!$I$7)))/(Inputs!$K$7^2)*Inputs!$C$11)))/(SQRT(((Inputs!$I$7+(((A99)+1)/2)*(Inputs!$J$7-Inputs!$I$7)))^2+Inputs!$C$6^2+((Inputs!$H$7+Inputs!$L$7*(((Inputs!$I$7+(((A99)+1)/2)*(Inputs!$J$7-Inputs!$I$7)))/Inputs!$K$7)^2))^2)))))/Inputs!$C$13),NA())</f>
        <v>1593.067607607582</v>
      </c>
      <c r="P99" s="9">
        <f>IF(OR(Inputs!$F$8=TRUE,Inputs!$F$8="TRUE",Inputs!$F$8=1),(-2*((1000*((((Inputs!$I$8+(((A99)+1)/2)*(Inputs!$J$8-Inputs!$I$8)))*Inputs!$C$11+((Inputs!$H$8+Inputs!$L$8*(((Inputs!$I$8+(((A99)+1)/2)*(Inputs!$J$8-Inputs!$I$8)))/Inputs!$K$8)^2))*((2*Inputs!$L$8*((Inputs!$I$8+(((A99)+1)/2)*(Inputs!$J$8-Inputs!$I$8)))/(Inputs!$K$8^2)*Inputs!$C$11)))/(SQRT(((Inputs!$I$8+(((A99)+1)/2)*(Inputs!$J$8-Inputs!$I$8)))^2+Inputs!$C$6^2+((Inputs!$H$8+Inputs!$L$8*(((Inputs!$I$8+(((A99)+1)/2)*(Inputs!$J$8-Inputs!$I$8)))/Inputs!$K$8)^2))^2)))))/Inputs!$C$13),NA())</f>
        <v>1744.3267810141369</v>
      </c>
      <c r="Q99" s="9">
        <f>IF(OR(Inputs!$F$9=TRUE,Inputs!$F$9="TRUE",Inputs!$F$9=1),(-2*((1000*((((Inputs!$I$9+(((A99)+1)/2)*(Inputs!$J$9-Inputs!$I$9)))*Inputs!$C$11+((Inputs!$H$9+Inputs!$L$9*(((Inputs!$I$9+(((A99)+1)/2)*(Inputs!$J$9-Inputs!$I$9)))/Inputs!$K$9)^2))*((2*Inputs!$L$9*((Inputs!$I$9+(((A99)+1)/2)*(Inputs!$J$9-Inputs!$I$9)))/(Inputs!$K$9^2)*Inputs!$C$11)))/(SQRT(((Inputs!$I$9+(((A99)+1)/2)*(Inputs!$J$9-Inputs!$I$9)))^2+Inputs!$C$6^2+((Inputs!$H$9+Inputs!$L$9*(((Inputs!$I$9+(((A99)+1)/2)*(Inputs!$J$9-Inputs!$I$9)))/Inputs!$K$9)^2))^2)))))/Inputs!$C$13),NA())</f>
        <v>1743.5306722765788</v>
      </c>
      <c r="R99" s="10"/>
      <c r="S99" s="9">
        <f t="shared" si="8"/>
        <v>-0.192</v>
      </c>
      <c r="T99" s="9">
        <f>(Inputs!$I$6+(((A99)+1)/2)*(Inputs!$J$6-Inputs!$I$6))</f>
        <v>-11.519999999999996</v>
      </c>
      <c r="U99" s="9">
        <f>(Inputs!$I$7+(((A99)+1)/2)*(Inputs!$J$7-Inputs!$I$7))</f>
        <v>-76.799999999999955</v>
      </c>
      <c r="V99" s="9">
        <f>(Inputs!$I$8+(((A99)+1)/2)*(Inputs!$J$8-Inputs!$I$8))</f>
        <v>-153.59999999999991</v>
      </c>
      <c r="W99" s="9">
        <f>(Inputs!$I$9+(((A99)+1)/2)*(Inputs!$J$9-Inputs!$I$9))</f>
        <v>-153.59999999999991</v>
      </c>
      <c r="X99" s="10"/>
      <c r="Y99" s="9">
        <f t="shared" si="9"/>
        <v>-0.192</v>
      </c>
      <c r="Z99" s="9">
        <f>(Inputs!$H$6+Inputs!$L$6*(((Inputs!$I$6+(((A99)+1)/2)*(Inputs!$J$6-Inputs!$I$6)))/Inputs!$K$6)^2)</f>
        <v>400.14745599999998</v>
      </c>
      <c r="AA99" s="9">
        <f>(Inputs!$H$7+Inputs!$L$7*(((Inputs!$I$7+(((A99)+1)/2)*(Inputs!$J$7-Inputs!$I$7)))/Inputs!$K$7)^2)</f>
        <v>48.455359999999985</v>
      </c>
      <c r="AB99" s="9">
        <f>(Inputs!$H$8+Inputs!$L$8*(((Inputs!$I$8+(((A99)+1)/2)*(Inputs!$J$8-Inputs!$I$8)))/Inputs!$K$8)^2)</f>
        <v>70.573759999999965</v>
      </c>
      <c r="AC99" s="9">
        <f>(Inputs!$H$9+Inputs!$L$9*(((Inputs!$I$9+(((A99)+1)/2)*(Inputs!$J$9-Inputs!$I$9)))/Inputs!$K$9)^2)</f>
        <v>60.942399999999964</v>
      </c>
      <c r="AD99" s="10"/>
      <c r="AE99" s="9">
        <f t="shared" si="10"/>
        <v>-0.192</v>
      </c>
      <c r="AF99" s="9">
        <f>(((SQRT(((Inputs!$I$6+(((A99)+1)/2)*(Inputs!$J$6-Inputs!$I$6)))^2+Inputs!$C$6^2+((Inputs!$H$6+Inputs!$L$6*(((Inputs!$I$6+(((A99)+1)/2)*(Inputs!$J$6-Inputs!$I$6)))/Inputs!$K$6)^2))^2))-((Inputs!$H$6+Inputs!$L$6*(((Inputs!$I$6+(((A99)+1)/2)*(Inputs!$J$6-Inputs!$I$6)))/Inputs!$K$6)^2)))*1000/Inputs!$C$12)</f>
        <v>531.27613447916985</v>
      </c>
      <c r="AG99" s="9">
        <f>(((SQRT(((Inputs!$I$7+(((A99)+1)/2)*(Inputs!$J$7-Inputs!$I$7)))^2+Inputs!$C$6^2+((Inputs!$H$7+Inputs!$L$7*(((Inputs!$I$7+(((A99)+1)/2)*(Inputs!$J$7-Inputs!$I$7)))/Inputs!$K$7)^2))^2))-((Inputs!$H$7+Inputs!$L$7*(((Inputs!$I$7+(((A99)+1)/2)*(Inputs!$J$7-Inputs!$I$7)))/Inputs!$K$7)^2)))*1000/Inputs!$C$12)</f>
        <v>25691.845928145231</v>
      </c>
      <c r="AH99" s="9">
        <f>(((SQRT(((Inputs!$I$8+(((A99)+1)/2)*(Inputs!$J$8-Inputs!$I$8)))^2+Inputs!$C$6^2+((Inputs!$H$8+Inputs!$L$8*(((Inputs!$I$8+(((A99)+1)/2)*(Inputs!$J$8-Inputs!$I$8)))/Inputs!$K$8)^2))^2))-((Inputs!$H$8+Inputs!$L$8*(((Inputs!$I$8+(((A99)+1)/2)*(Inputs!$J$8-Inputs!$I$8)))/Inputs!$K$8)^2)))*1000/Inputs!$C$12)</f>
        <v>56349.586553823043</v>
      </c>
      <c r="AI99" s="9">
        <f>(((SQRT(((Inputs!$I$9+(((A99)+1)/2)*(Inputs!$J$9-Inputs!$I$9)))^2+Inputs!$C$6^2+((Inputs!$H$9+Inputs!$L$9*(((Inputs!$I$9+(((A99)+1)/2)*(Inputs!$J$9-Inputs!$I$9)))/Inputs!$K$9)^2))^2))-((Inputs!$H$9+Inputs!$L$9*(((Inputs!$I$9+(((A99)+1)/2)*(Inputs!$J$9-Inputs!$I$9)))/Inputs!$K$9)^2)))*1000/Inputs!$C$12)</f>
        <v>59655.113377252943</v>
      </c>
      <c r="AJ99" s="10"/>
      <c r="AK99" s="9">
        <f t="shared" si="11"/>
        <v>-0.192</v>
      </c>
      <c r="AL99" s="9">
        <f>(-2*((1000*((((Inputs!$I$6+(((A99)+1)/2)*(Inputs!$J$6-Inputs!$I$6)))*Inputs!$C$11+((Inputs!$H$6+Inputs!$L$6*(((Inputs!$I$6+(((A99)+1)/2)*(Inputs!$J$6-Inputs!$I$6)))/Inputs!$K$6)^2))*((2*Inputs!$L$6*((Inputs!$I$6+(((A99)+1)/2)*(Inputs!$J$6-Inputs!$I$6)))/(Inputs!$K$6^2)*Inputs!$C$11)))/(SQRT(((Inputs!$I$6+(((A99)+1)/2)*(Inputs!$J$6-Inputs!$I$6)))^2+Inputs!$C$6^2+((Inputs!$H$6+Inputs!$L$6*(((Inputs!$I$6+(((A99)+1)/2)*(Inputs!$J$6-Inputs!$I$6)))/Inputs!$K$6)^2))^2)))))/Inputs!$C$13)</f>
        <v>86.81784206356933</v>
      </c>
      <c r="AM99" s="9">
        <f>(-2*((1000*((((Inputs!$I$7+(((A99)+1)/2)*(Inputs!$J$7-Inputs!$I$7)))*Inputs!$C$11+((Inputs!$H$7+Inputs!$L$7*(((Inputs!$I$7+(((A99)+1)/2)*(Inputs!$J$7-Inputs!$I$7)))/Inputs!$K$7)^2))*((2*Inputs!$L$7*((Inputs!$I$7+(((A99)+1)/2)*(Inputs!$J$7-Inputs!$I$7)))/(Inputs!$K$7^2)*Inputs!$C$11)))/(SQRT(((Inputs!$I$7+(((A99)+1)/2)*(Inputs!$J$7-Inputs!$I$7)))^2+Inputs!$C$6^2+((Inputs!$H$7+Inputs!$L$7*(((Inputs!$I$7+(((A99)+1)/2)*(Inputs!$J$7-Inputs!$I$7)))/Inputs!$K$7)^2))^2)))))/Inputs!$C$13)</f>
        <v>1593.067607607582</v>
      </c>
      <c r="AN99" s="9">
        <f>(-2*((1000*((((Inputs!$I$8+(((A99)+1)/2)*(Inputs!$J$8-Inputs!$I$8)))*Inputs!$C$11+((Inputs!$H$8+Inputs!$L$8*(((Inputs!$I$8+(((A99)+1)/2)*(Inputs!$J$8-Inputs!$I$8)))/Inputs!$K$8)^2))*((2*Inputs!$L$8*((Inputs!$I$8+(((A99)+1)/2)*(Inputs!$J$8-Inputs!$I$8)))/(Inputs!$K$8^2)*Inputs!$C$11)))/(SQRT(((Inputs!$I$8+(((A99)+1)/2)*(Inputs!$J$8-Inputs!$I$8)))^2+Inputs!$C$6^2+((Inputs!$H$8+Inputs!$L$8*(((Inputs!$I$8+(((A99)+1)/2)*(Inputs!$J$8-Inputs!$I$8)))/Inputs!$K$8)^2))^2)))))/Inputs!$C$13)</f>
        <v>1744.3267810141369</v>
      </c>
      <c r="AO99" s="9">
        <f>(-2*((1000*((((Inputs!$I$9+(((A99)+1)/2)*(Inputs!$J$9-Inputs!$I$9)))*Inputs!$C$11+((Inputs!$H$9+Inputs!$L$9*(((Inputs!$I$9+(((A99)+1)/2)*(Inputs!$J$9-Inputs!$I$9)))/Inputs!$K$9)^2))*((2*Inputs!$L$9*((Inputs!$I$9+(((A99)+1)/2)*(Inputs!$J$9-Inputs!$I$9)))/(Inputs!$K$9^2)*Inputs!$C$11)))/(SQRT(((Inputs!$I$9+(((A99)+1)/2)*(Inputs!$J$9-Inputs!$I$9)))^2+Inputs!$C$6^2+((Inputs!$H$9+Inputs!$L$9*(((Inputs!$I$9+(((A99)+1)/2)*(Inputs!$J$9-Inputs!$I$9)))/Inputs!$K$9)^2))^2)))))/Inputs!$C$13)</f>
        <v>1743.5306722765788</v>
      </c>
    </row>
    <row r="100" spans="1:41">
      <c r="A100" s="9">
        <f>ROUND(-1+98*2/240,3)</f>
        <v>-0.183</v>
      </c>
      <c r="B100" s="9">
        <f>IF(OR(Inputs!$F$6=TRUE,Inputs!$F$6="TRUE",Inputs!$F$6=1),(Inputs!$H$6+Inputs!$L$6*(((Inputs!$I$6+(((A100)+1)/2)*(Inputs!$J$6-Inputs!$I$6)))/Inputs!$K$6)^2),NA())</f>
        <v>400.13395600000001</v>
      </c>
      <c r="C100" s="9">
        <f>IF(OR(Inputs!$F$7=TRUE,Inputs!$F$7="TRUE",Inputs!$F$7=1),(Inputs!$H$7+Inputs!$L$7*(((Inputs!$I$7+(((A100)+1)/2)*(Inputs!$J$7-Inputs!$I$7)))/Inputs!$K$7)^2),NA())</f>
        <v>47.223485000000011</v>
      </c>
      <c r="D100" s="9">
        <f>IF(OR(Inputs!$F$8=TRUE,Inputs!$F$8="TRUE",Inputs!$F$8=1),(Inputs!$H$8+Inputs!$L$8*(((Inputs!$I$8+(((A100)+1)/2)*(Inputs!$J$8-Inputs!$I$8)))/Inputs!$K$8)^2),NA())</f>
        <v>67.316885000000042</v>
      </c>
      <c r="E100" s="9">
        <f>IF(OR(Inputs!$F$9=TRUE,Inputs!$F$9="TRUE",Inputs!$F$9=1),(Inputs!$H$9+Inputs!$L$9*(((Inputs!$I$9+(((A100)+1)/2)*(Inputs!$J$9-Inputs!$I$9)))/Inputs!$K$9)^2),NA())</f>
        <v>57.651775000000036</v>
      </c>
      <c r="F100" s="10"/>
      <c r="G100" s="9">
        <f t="shared" si="6"/>
        <v>-0.183</v>
      </c>
      <c r="H100" s="9">
        <f>IF(OR(Inputs!$F$6=TRUE,Inputs!$F$6="TRUE",Inputs!$F$6=1),(((SQRT(((Inputs!$I$6+(((A100)+1)/2)*(Inputs!$J$6-Inputs!$I$6)))^2+Inputs!$C$6^2+((Inputs!$H$6+Inputs!$L$6*(((Inputs!$I$6+(((A100)+1)/2)*(Inputs!$J$6-Inputs!$I$6)))/Inputs!$K$6)^2))^2))-((Inputs!$H$6+Inputs!$L$6*(((Inputs!$I$6+(((A100)+1)/2)*(Inputs!$J$6-Inputs!$I$6)))/Inputs!$K$6)^2)))*1000/Inputs!$C$12),NA())</f>
        <v>522.78452068855017</v>
      </c>
      <c r="I100" s="9">
        <f>IF(OR(Inputs!$F$7=TRUE,Inputs!$F$7="TRUE",Inputs!$F$7=1),(((SQRT(((Inputs!$I$7+(((A100)+1)/2)*(Inputs!$J$7-Inputs!$I$7)))^2+Inputs!$C$6^2+((Inputs!$H$7+Inputs!$L$7*(((Inputs!$I$7+(((A100)+1)/2)*(Inputs!$J$7-Inputs!$I$7)))/Inputs!$K$7)^2))^2))-((Inputs!$H$7+Inputs!$L$7*(((Inputs!$I$7+(((A100)+1)/2)*(Inputs!$J$7-Inputs!$I$7)))/Inputs!$K$7)^2)))*1000/Inputs!$C$12),NA())</f>
        <v>24384.13482915219</v>
      </c>
      <c r="J100" s="9">
        <f>IF(OR(Inputs!$F$8=TRUE,Inputs!$F$8="TRUE",Inputs!$F$8=1),(((SQRT(((Inputs!$I$8+(((A100)+1)/2)*(Inputs!$J$8-Inputs!$I$8)))^2+Inputs!$C$6^2+((Inputs!$H$8+Inputs!$L$8*(((Inputs!$I$8+(((A100)+1)/2)*(Inputs!$J$8-Inputs!$I$8)))/Inputs!$K$8)^2))^2))-((Inputs!$H$8+Inputs!$L$8*(((Inputs!$I$8+(((A100)+1)/2)*(Inputs!$J$8-Inputs!$I$8)))/Inputs!$K$8)^2)))*1000/Inputs!$C$12),NA())</f>
        <v>53789.919580937225</v>
      </c>
      <c r="K100" s="9">
        <f>IF(OR(Inputs!$F$9=TRUE,Inputs!$F$9="TRUE",Inputs!$F$9=1),(((SQRT(((Inputs!$I$9+(((A100)+1)/2)*(Inputs!$J$9-Inputs!$I$9)))^2+Inputs!$C$6^2+((Inputs!$H$9+Inputs!$L$9*(((Inputs!$I$9+(((A100)+1)/2)*(Inputs!$J$9-Inputs!$I$9)))/Inputs!$K$9)^2))^2))-((Inputs!$H$9+Inputs!$L$9*(((Inputs!$I$9+(((A100)+1)/2)*(Inputs!$J$9-Inputs!$I$9)))/Inputs!$K$9)^2)))*1000/Inputs!$C$12),NA())</f>
        <v>57114.908235433861</v>
      </c>
      <c r="L100" s="10"/>
      <c r="M100" s="9">
        <f t="shared" si="7"/>
        <v>-0.183</v>
      </c>
      <c r="N100" s="9">
        <f>IF(OR(Inputs!$F$6=TRUE,Inputs!$F$6="TRUE",Inputs!$F$6=1),(-2*((1000*((((Inputs!$I$6+(((A100)+1)/2)*(Inputs!$J$6-Inputs!$I$6)))*Inputs!$C$11+((Inputs!$H$6+Inputs!$L$6*(((Inputs!$I$6+(((A100)+1)/2)*(Inputs!$J$6-Inputs!$I$6)))/Inputs!$K$6)^2))*((2*Inputs!$L$6*((Inputs!$I$6+(((A100)+1)/2)*(Inputs!$J$6-Inputs!$I$6)))/(Inputs!$K$6^2)*Inputs!$C$11)))/(SQRT(((Inputs!$I$6+(((A100)+1)/2)*(Inputs!$J$6-Inputs!$I$6)))^2+Inputs!$C$6^2+((Inputs!$H$6+Inputs!$L$6*(((Inputs!$I$6+(((A100)+1)/2)*(Inputs!$J$6-Inputs!$I$6)))/Inputs!$K$6)^2))^2)))))/Inputs!$C$13),NA())</f>
        <v>82.752845520433183</v>
      </c>
      <c r="O100" s="9">
        <f>IF(OR(Inputs!$F$7=TRUE,Inputs!$F$7="TRUE",Inputs!$F$7=1),(-2*((1000*((((Inputs!$I$7+(((A100)+1)/2)*(Inputs!$J$7-Inputs!$I$7)))*Inputs!$C$11+((Inputs!$H$7+Inputs!$L$7*(((Inputs!$I$7+(((A100)+1)/2)*(Inputs!$J$7-Inputs!$I$7)))/Inputs!$K$7)^2))*((2*Inputs!$L$7*((Inputs!$I$7+(((A100)+1)/2)*(Inputs!$J$7-Inputs!$I$7)))/(Inputs!$K$7^2)*Inputs!$C$11)))/(SQRT(((Inputs!$I$7+(((A100)+1)/2)*(Inputs!$J$7-Inputs!$I$7)))^2+Inputs!$C$6^2+((Inputs!$H$7+Inputs!$L$7*(((Inputs!$I$7+(((A100)+1)/2)*(Inputs!$J$7-Inputs!$I$7)))/Inputs!$K$7)^2))^2)))))/Inputs!$C$13),NA())</f>
        <v>1570.7676146511408</v>
      </c>
      <c r="P100" s="9">
        <f>IF(OR(Inputs!$F$8=TRUE,Inputs!$F$8="TRUE",Inputs!$F$8=1),(-2*((1000*((((Inputs!$I$8+(((A100)+1)/2)*(Inputs!$J$8-Inputs!$I$8)))*Inputs!$C$11+((Inputs!$H$8+Inputs!$L$8*(((Inputs!$I$8+(((A100)+1)/2)*(Inputs!$J$8-Inputs!$I$8)))/Inputs!$K$8)^2))*((2*Inputs!$L$8*((Inputs!$I$8+(((A100)+1)/2)*(Inputs!$J$8-Inputs!$I$8)))/(Inputs!$K$8^2)*Inputs!$C$11)))/(SQRT(((Inputs!$I$8+(((A100)+1)/2)*(Inputs!$J$8-Inputs!$I$8)))^2+Inputs!$C$6^2+((Inputs!$H$8+Inputs!$L$8*(((Inputs!$I$8+(((A100)+1)/2)*(Inputs!$J$8-Inputs!$I$8)))/Inputs!$K$8)^2))^2)))))/Inputs!$C$13),NA())</f>
        <v>1728.1136843372224</v>
      </c>
      <c r="Q100" s="9">
        <f>IF(OR(Inputs!$F$9=TRUE,Inputs!$F$9="TRUE",Inputs!$F$9=1),(-2*((1000*((((Inputs!$I$9+(((A100)+1)/2)*(Inputs!$J$9-Inputs!$I$9)))*Inputs!$C$11+((Inputs!$H$9+Inputs!$L$9*(((Inputs!$I$9+(((A100)+1)/2)*(Inputs!$J$9-Inputs!$I$9)))/Inputs!$K$9)^2))*((2*Inputs!$L$9*((Inputs!$I$9+(((A100)+1)/2)*(Inputs!$J$9-Inputs!$I$9)))/(Inputs!$K$9^2)*Inputs!$C$11)))/(SQRT(((Inputs!$I$9+(((A100)+1)/2)*(Inputs!$J$9-Inputs!$I$9)))^2+Inputs!$C$6^2+((Inputs!$H$9+Inputs!$L$9*(((Inputs!$I$9+(((A100)+1)/2)*(Inputs!$J$9-Inputs!$I$9)))/Inputs!$K$9)^2))^2)))))/Inputs!$C$13),NA())</f>
        <v>1728.549129399948</v>
      </c>
      <c r="R100" s="10"/>
      <c r="S100" s="9">
        <f t="shared" si="8"/>
        <v>-0.183</v>
      </c>
      <c r="T100" s="9">
        <f>(Inputs!$I$6+(((A100)+1)/2)*(Inputs!$J$6-Inputs!$I$6))</f>
        <v>-10.980000000000004</v>
      </c>
      <c r="U100" s="9">
        <f>(Inputs!$I$7+(((A100)+1)/2)*(Inputs!$J$7-Inputs!$I$7))</f>
        <v>-73.200000000000045</v>
      </c>
      <c r="V100" s="9">
        <f>(Inputs!$I$8+(((A100)+1)/2)*(Inputs!$J$8-Inputs!$I$8))</f>
        <v>-146.40000000000009</v>
      </c>
      <c r="W100" s="9">
        <f>(Inputs!$I$9+(((A100)+1)/2)*(Inputs!$J$9-Inputs!$I$9))</f>
        <v>-146.40000000000009</v>
      </c>
      <c r="X100" s="10"/>
      <c r="Y100" s="9">
        <f t="shared" si="9"/>
        <v>-0.183</v>
      </c>
      <c r="Z100" s="9">
        <f>(Inputs!$H$6+Inputs!$L$6*(((Inputs!$I$6+(((A100)+1)/2)*(Inputs!$J$6-Inputs!$I$6)))/Inputs!$K$6)^2)</f>
        <v>400.13395600000001</v>
      </c>
      <c r="AA100" s="9">
        <f>(Inputs!$H$7+Inputs!$L$7*(((Inputs!$I$7+(((A100)+1)/2)*(Inputs!$J$7-Inputs!$I$7)))/Inputs!$K$7)^2)</f>
        <v>47.223485000000011</v>
      </c>
      <c r="AB100" s="9">
        <f>(Inputs!$H$8+Inputs!$L$8*(((Inputs!$I$8+(((A100)+1)/2)*(Inputs!$J$8-Inputs!$I$8)))/Inputs!$K$8)^2)</f>
        <v>67.316885000000042</v>
      </c>
      <c r="AC100" s="9">
        <f>(Inputs!$H$9+Inputs!$L$9*(((Inputs!$I$9+(((A100)+1)/2)*(Inputs!$J$9-Inputs!$I$9)))/Inputs!$K$9)^2)</f>
        <v>57.651775000000036</v>
      </c>
      <c r="AD100" s="10"/>
      <c r="AE100" s="9">
        <f t="shared" si="10"/>
        <v>-0.183</v>
      </c>
      <c r="AF100" s="9">
        <f>(((SQRT(((Inputs!$I$6+(((A100)+1)/2)*(Inputs!$J$6-Inputs!$I$6)))^2+Inputs!$C$6^2+((Inputs!$H$6+Inputs!$L$6*(((Inputs!$I$6+(((A100)+1)/2)*(Inputs!$J$6-Inputs!$I$6)))/Inputs!$K$6)^2))^2))-((Inputs!$H$6+Inputs!$L$6*(((Inputs!$I$6+(((A100)+1)/2)*(Inputs!$J$6-Inputs!$I$6)))/Inputs!$K$6)^2)))*1000/Inputs!$C$12)</f>
        <v>522.78452068855017</v>
      </c>
      <c r="AG100" s="9">
        <f>(((SQRT(((Inputs!$I$7+(((A100)+1)/2)*(Inputs!$J$7-Inputs!$I$7)))^2+Inputs!$C$6^2+((Inputs!$H$7+Inputs!$L$7*(((Inputs!$I$7+(((A100)+1)/2)*(Inputs!$J$7-Inputs!$I$7)))/Inputs!$K$7)^2))^2))-((Inputs!$H$7+Inputs!$L$7*(((Inputs!$I$7+(((A100)+1)/2)*(Inputs!$J$7-Inputs!$I$7)))/Inputs!$K$7)^2)))*1000/Inputs!$C$12)</f>
        <v>24384.13482915219</v>
      </c>
      <c r="AH100" s="9">
        <f>(((SQRT(((Inputs!$I$8+(((A100)+1)/2)*(Inputs!$J$8-Inputs!$I$8)))^2+Inputs!$C$6^2+((Inputs!$H$8+Inputs!$L$8*(((Inputs!$I$8+(((A100)+1)/2)*(Inputs!$J$8-Inputs!$I$8)))/Inputs!$K$8)^2))^2))-((Inputs!$H$8+Inputs!$L$8*(((Inputs!$I$8+(((A100)+1)/2)*(Inputs!$J$8-Inputs!$I$8)))/Inputs!$K$8)^2)))*1000/Inputs!$C$12)</f>
        <v>53789.919580937225</v>
      </c>
      <c r="AI100" s="9">
        <f>(((SQRT(((Inputs!$I$9+(((A100)+1)/2)*(Inputs!$J$9-Inputs!$I$9)))^2+Inputs!$C$6^2+((Inputs!$H$9+Inputs!$L$9*(((Inputs!$I$9+(((A100)+1)/2)*(Inputs!$J$9-Inputs!$I$9)))/Inputs!$K$9)^2))^2))-((Inputs!$H$9+Inputs!$L$9*(((Inputs!$I$9+(((A100)+1)/2)*(Inputs!$J$9-Inputs!$I$9)))/Inputs!$K$9)^2)))*1000/Inputs!$C$12)</f>
        <v>57114.908235433861</v>
      </c>
      <c r="AJ100" s="10"/>
      <c r="AK100" s="9">
        <f t="shared" si="11"/>
        <v>-0.183</v>
      </c>
      <c r="AL100" s="9">
        <f>(-2*((1000*((((Inputs!$I$6+(((A100)+1)/2)*(Inputs!$J$6-Inputs!$I$6)))*Inputs!$C$11+((Inputs!$H$6+Inputs!$L$6*(((Inputs!$I$6+(((A100)+1)/2)*(Inputs!$J$6-Inputs!$I$6)))/Inputs!$K$6)^2))*((2*Inputs!$L$6*((Inputs!$I$6+(((A100)+1)/2)*(Inputs!$J$6-Inputs!$I$6)))/(Inputs!$K$6^2)*Inputs!$C$11)))/(SQRT(((Inputs!$I$6+(((A100)+1)/2)*(Inputs!$J$6-Inputs!$I$6)))^2+Inputs!$C$6^2+((Inputs!$H$6+Inputs!$L$6*(((Inputs!$I$6+(((A100)+1)/2)*(Inputs!$J$6-Inputs!$I$6)))/Inputs!$K$6)^2))^2)))))/Inputs!$C$13)</f>
        <v>82.752845520433183</v>
      </c>
      <c r="AM100" s="9">
        <f>(-2*((1000*((((Inputs!$I$7+(((A100)+1)/2)*(Inputs!$J$7-Inputs!$I$7)))*Inputs!$C$11+((Inputs!$H$7+Inputs!$L$7*(((Inputs!$I$7+(((A100)+1)/2)*(Inputs!$J$7-Inputs!$I$7)))/Inputs!$K$7)^2))*((2*Inputs!$L$7*((Inputs!$I$7+(((A100)+1)/2)*(Inputs!$J$7-Inputs!$I$7)))/(Inputs!$K$7^2)*Inputs!$C$11)))/(SQRT(((Inputs!$I$7+(((A100)+1)/2)*(Inputs!$J$7-Inputs!$I$7)))^2+Inputs!$C$6^2+((Inputs!$H$7+Inputs!$L$7*(((Inputs!$I$7+(((A100)+1)/2)*(Inputs!$J$7-Inputs!$I$7)))/Inputs!$K$7)^2))^2)))))/Inputs!$C$13)</f>
        <v>1570.7676146511408</v>
      </c>
      <c r="AN100" s="9">
        <f>(-2*((1000*((((Inputs!$I$8+(((A100)+1)/2)*(Inputs!$J$8-Inputs!$I$8)))*Inputs!$C$11+((Inputs!$H$8+Inputs!$L$8*(((Inputs!$I$8+(((A100)+1)/2)*(Inputs!$J$8-Inputs!$I$8)))/Inputs!$K$8)^2))*((2*Inputs!$L$8*((Inputs!$I$8+(((A100)+1)/2)*(Inputs!$J$8-Inputs!$I$8)))/(Inputs!$K$8^2)*Inputs!$C$11)))/(SQRT(((Inputs!$I$8+(((A100)+1)/2)*(Inputs!$J$8-Inputs!$I$8)))^2+Inputs!$C$6^2+((Inputs!$H$8+Inputs!$L$8*(((Inputs!$I$8+(((A100)+1)/2)*(Inputs!$J$8-Inputs!$I$8)))/Inputs!$K$8)^2))^2)))))/Inputs!$C$13)</f>
        <v>1728.1136843372224</v>
      </c>
      <c r="AO100" s="9">
        <f>(-2*((1000*((((Inputs!$I$9+(((A100)+1)/2)*(Inputs!$J$9-Inputs!$I$9)))*Inputs!$C$11+((Inputs!$H$9+Inputs!$L$9*(((Inputs!$I$9+(((A100)+1)/2)*(Inputs!$J$9-Inputs!$I$9)))/Inputs!$K$9)^2))*((2*Inputs!$L$9*((Inputs!$I$9+(((A100)+1)/2)*(Inputs!$J$9-Inputs!$I$9)))/(Inputs!$K$9^2)*Inputs!$C$11)))/(SQRT(((Inputs!$I$9+(((A100)+1)/2)*(Inputs!$J$9-Inputs!$I$9)))^2+Inputs!$C$6^2+((Inputs!$H$9+Inputs!$L$9*(((Inputs!$I$9+(((A100)+1)/2)*(Inputs!$J$9-Inputs!$I$9)))/Inputs!$K$9)^2))^2)))))/Inputs!$C$13)</f>
        <v>1728.549129399948</v>
      </c>
    </row>
    <row r="101" spans="1:41">
      <c r="A101" s="9">
        <f>ROUND(-1+99*2/240,3)</f>
        <v>-0.17499999999999999</v>
      </c>
      <c r="B101" s="9">
        <f>IF(OR(Inputs!$F$6=TRUE,Inputs!$F$6="TRUE",Inputs!$F$6=1),(Inputs!$H$6+Inputs!$L$6*(((Inputs!$I$6+(((A101)+1)/2)*(Inputs!$J$6-Inputs!$I$6)))/Inputs!$K$6)^2),NA())</f>
        <v>400.1225</v>
      </c>
      <c r="C101" s="9">
        <f>IF(OR(Inputs!$F$7=TRUE,Inputs!$F$7="TRUE",Inputs!$F$7=1),(Inputs!$H$7+Inputs!$L$7*(((Inputs!$I$7+(((A101)+1)/2)*(Inputs!$J$7-Inputs!$I$7)))/Inputs!$K$7)^2),NA())</f>
        <v>46.178124999999994</v>
      </c>
      <c r="D101" s="9">
        <f>IF(OR(Inputs!$F$8=TRUE,Inputs!$F$8="TRUE",Inputs!$F$8=1),(Inputs!$H$8+Inputs!$L$8*(((Inputs!$I$8+(((A101)+1)/2)*(Inputs!$J$8-Inputs!$I$8)))/Inputs!$K$8)^2),NA())</f>
        <v>64.553124999999994</v>
      </c>
      <c r="E101" s="9">
        <f>IF(OR(Inputs!$F$9=TRUE,Inputs!$F$9="TRUE",Inputs!$F$9=1),(Inputs!$H$9+Inputs!$L$9*(((Inputs!$I$9+(((A101)+1)/2)*(Inputs!$J$9-Inputs!$I$9)))/Inputs!$K$9)^2),NA())</f>
        <v>54.859375</v>
      </c>
      <c r="F101" s="10"/>
      <c r="G101" s="9">
        <f t="shared" si="6"/>
        <v>-0.17499999999999999</v>
      </c>
      <c r="H101" s="9">
        <f>IF(OR(Inputs!$F$6=TRUE,Inputs!$F$6="TRUE",Inputs!$F$6=1),(((SQRT(((Inputs!$I$6+(((A101)+1)/2)*(Inputs!$J$6-Inputs!$I$6)))^2+Inputs!$C$6^2+((Inputs!$H$6+Inputs!$L$6*(((Inputs!$I$6+(((A101)+1)/2)*(Inputs!$J$6-Inputs!$I$6)))/Inputs!$K$6)^2))^2))-((Inputs!$H$6+Inputs!$L$6*(((Inputs!$I$6+(((A101)+1)/2)*(Inputs!$J$6-Inputs!$I$6)))/Inputs!$K$6)^2)))*1000/Inputs!$C$12),NA())</f>
        <v>515.57790068694419</v>
      </c>
      <c r="I101" s="9">
        <f>IF(OR(Inputs!$F$7=TRUE,Inputs!$F$7="TRUE",Inputs!$F$7=1),(((SQRT(((Inputs!$I$7+(((A101)+1)/2)*(Inputs!$J$7-Inputs!$I$7)))^2+Inputs!$C$6^2+((Inputs!$H$7+Inputs!$L$7*(((Inputs!$I$7+(((A101)+1)/2)*(Inputs!$J$7-Inputs!$I$7)))/Inputs!$K$7)^2))^2))-((Inputs!$H$7+Inputs!$L$7*(((Inputs!$I$7+(((A101)+1)/2)*(Inputs!$J$7-Inputs!$I$7)))/Inputs!$K$7)^2)))*1000/Inputs!$C$12),NA())</f>
        <v>23218.289916145059</v>
      </c>
      <c r="J101" s="9">
        <f>IF(OR(Inputs!$F$8=TRUE,Inputs!$F$8="TRUE",Inputs!$F$8=1),(((SQRT(((Inputs!$I$8+(((A101)+1)/2)*(Inputs!$J$8-Inputs!$I$8)))^2+Inputs!$C$6^2+((Inputs!$H$8+Inputs!$L$8*(((Inputs!$I$8+(((A101)+1)/2)*(Inputs!$J$8-Inputs!$I$8)))/Inputs!$K$8)^2))^2))-((Inputs!$H$8+Inputs!$L$8*(((Inputs!$I$8+(((A101)+1)/2)*(Inputs!$J$8-Inputs!$I$8)))/Inputs!$K$8)^2)))*1000/Inputs!$C$12),NA())</f>
        <v>51475.616981466606</v>
      </c>
      <c r="K101" s="9">
        <f>IF(OR(Inputs!$F$9=TRUE,Inputs!$F$9="TRUE",Inputs!$F$9=1),(((SQRT(((Inputs!$I$9+(((A101)+1)/2)*(Inputs!$J$9-Inputs!$I$9)))^2+Inputs!$C$6^2+((Inputs!$H$9+Inputs!$L$9*(((Inputs!$I$9+(((A101)+1)/2)*(Inputs!$J$9-Inputs!$I$9)))/Inputs!$K$9)^2))^2))-((Inputs!$H$9+Inputs!$L$9*(((Inputs!$I$9+(((A101)+1)/2)*(Inputs!$J$9-Inputs!$I$9)))/Inputs!$K$9)^2)))*1000/Inputs!$C$12),NA())</f>
        <v>54814.305740530028</v>
      </c>
      <c r="L101" s="10"/>
      <c r="M101" s="9">
        <f t="shared" si="7"/>
        <v>-0.17499999999999999</v>
      </c>
      <c r="N101" s="9">
        <f>IF(OR(Inputs!$F$6=TRUE,Inputs!$F$6="TRUE",Inputs!$F$6=1),(-2*((1000*((((Inputs!$I$6+(((A101)+1)/2)*(Inputs!$J$6-Inputs!$I$6)))*Inputs!$C$11+((Inputs!$H$6+Inputs!$L$6*(((Inputs!$I$6+(((A101)+1)/2)*(Inputs!$J$6-Inputs!$I$6)))/Inputs!$K$6)^2))*((2*Inputs!$L$6*((Inputs!$I$6+(((A101)+1)/2)*(Inputs!$J$6-Inputs!$I$6)))/(Inputs!$K$6^2)*Inputs!$C$11)))/(SQRT(((Inputs!$I$6+(((A101)+1)/2)*(Inputs!$J$6-Inputs!$I$6)))^2+Inputs!$C$6^2+((Inputs!$H$6+Inputs!$L$6*(((Inputs!$I$6+(((A101)+1)/2)*(Inputs!$J$6-Inputs!$I$6)))/Inputs!$K$6)^2))^2)))))/Inputs!$C$13),NA())</f>
        <v>79.138960129904746</v>
      </c>
      <c r="O101" s="9">
        <f>IF(OR(Inputs!$F$7=TRUE,Inputs!$F$7="TRUE",Inputs!$F$7=1),(-2*((1000*((((Inputs!$I$7+(((A101)+1)/2)*(Inputs!$J$7-Inputs!$I$7)))*Inputs!$C$11+((Inputs!$H$7+Inputs!$L$7*(((Inputs!$I$7+(((A101)+1)/2)*(Inputs!$J$7-Inputs!$I$7)))/Inputs!$K$7)^2))*((2*Inputs!$L$7*((Inputs!$I$7+(((A101)+1)/2)*(Inputs!$J$7-Inputs!$I$7)))/(Inputs!$K$7^2)*Inputs!$C$11)))/(SQRT(((Inputs!$I$7+(((A101)+1)/2)*(Inputs!$J$7-Inputs!$I$7)))^2+Inputs!$C$6^2+((Inputs!$H$7+Inputs!$L$7*(((Inputs!$I$7+(((A101)+1)/2)*(Inputs!$J$7-Inputs!$I$7)))/Inputs!$K$7)^2))^2)))))/Inputs!$C$13),NA())</f>
        <v>1549.5619334068679</v>
      </c>
      <c r="P101" s="9">
        <f>IF(OR(Inputs!$F$8=TRUE,Inputs!$F$8="TRUE",Inputs!$F$8=1),(-2*((1000*((((Inputs!$I$8+(((A101)+1)/2)*(Inputs!$J$8-Inputs!$I$8)))*Inputs!$C$11+((Inputs!$H$8+Inputs!$L$8*(((Inputs!$I$8+(((A101)+1)/2)*(Inputs!$J$8-Inputs!$I$8)))/Inputs!$K$8)^2))*((2*Inputs!$L$8*((Inputs!$I$8+(((A101)+1)/2)*(Inputs!$J$8-Inputs!$I$8)))/(Inputs!$K$8^2)*Inputs!$C$11)))/(SQRT(((Inputs!$I$8+(((A101)+1)/2)*(Inputs!$J$8-Inputs!$I$8)))^2+Inputs!$C$6^2+((Inputs!$H$8+Inputs!$L$8*(((Inputs!$I$8+(((A101)+1)/2)*(Inputs!$J$8-Inputs!$I$8)))/Inputs!$K$8)^2))^2)))))/Inputs!$C$13),NA())</f>
        <v>1713.4467292436516</v>
      </c>
      <c r="Q101" s="9">
        <f>IF(OR(Inputs!$F$9=TRUE,Inputs!$F$9="TRUE",Inputs!$F$9=1),(-2*((1000*((((Inputs!$I$9+(((A101)+1)/2)*(Inputs!$J$9-Inputs!$I$9)))*Inputs!$C$11+((Inputs!$H$9+Inputs!$L$9*(((Inputs!$I$9+(((A101)+1)/2)*(Inputs!$J$9-Inputs!$I$9)))/Inputs!$K$9)^2))*((2*Inputs!$L$9*((Inputs!$I$9+(((A101)+1)/2)*(Inputs!$J$9-Inputs!$I$9)))/(Inputs!$K$9^2)*Inputs!$C$11)))/(SQRT(((Inputs!$I$9+(((A101)+1)/2)*(Inputs!$J$9-Inputs!$I$9)))^2+Inputs!$C$6^2+((Inputs!$H$9+Inputs!$L$9*(((Inputs!$I$9+(((A101)+1)/2)*(Inputs!$J$9-Inputs!$I$9)))/Inputs!$K$9)^2))^2)))))/Inputs!$C$13),NA())</f>
        <v>1715.1709924350121</v>
      </c>
      <c r="R101" s="10"/>
      <c r="S101" s="9">
        <f t="shared" si="8"/>
        <v>-0.17499999999999999</v>
      </c>
      <c r="T101" s="9">
        <f>(Inputs!$I$6+(((A101)+1)/2)*(Inputs!$J$6-Inputs!$I$6))</f>
        <v>-10.5</v>
      </c>
      <c r="U101" s="9">
        <f>(Inputs!$I$7+(((A101)+1)/2)*(Inputs!$J$7-Inputs!$I$7))</f>
        <v>-70</v>
      </c>
      <c r="V101" s="9">
        <f>(Inputs!$I$8+(((A101)+1)/2)*(Inputs!$J$8-Inputs!$I$8))</f>
        <v>-140</v>
      </c>
      <c r="W101" s="9">
        <f>(Inputs!$I$9+(((A101)+1)/2)*(Inputs!$J$9-Inputs!$I$9))</f>
        <v>-140</v>
      </c>
      <c r="X101" s="10"/>
      <c r="Y101" s="9">
        <f t="shared" si="9"/>
        <v>-0.17499999999999999</v>
      </c>
      <c r="Z101" s="9">
        <f>(Inputs!$H$6+Inputs!$L$6*(((Inputs!$I$6+(((A101)+1)/2)*(Inputs!$J$6-Inputs!$I$6)))/Inputs!$K$6)^2)</f>
        <v>400.1225</v>
      </c>
      <c r="AA101" s="9">
        <f>(Inputs!$H$7+Inputs!$L$7*(((Inputs!$I$7+(((A101)+1)/2)*(Inputs!$J$7-Inputs!$I$7)))/Inputs!$K$7)^2)</f>
        <v>46.178124999999994</v>
      </c>
      <c r="AB101" s="9">
        <f>(Inputs!$H$8+Inputs!$L$8*(((Inputs!$I$8+(((A101)+1)/2)*(Inputs!$J$8-Inputs!$I$8)))/Inputs!$K$8)^2)</f>
        <v>64.553124999999994</v>
      </c>
      <c r="AC101" s="9">
        <f>(Inputs!$H$9+Inputs!$L$9*(((Inputs!$I$9+(((A101)+1)/2)*(Inputs!$J$9-Inputs!$I$9)))/Inputs!$K$9)^2)</f>
        <v>54.859375</v>
      </c>
      <c r="AD101" s="10"/>
      <c r="AE101" s="9">
        <f t="shared" si="10"/>
        <v>-0.17499999999999999</v>
      </c>
      <c r="AF101" s="9">
        <f>(((SQRT(((Inputs!$I$6+(((A101)+1)/2)*(Inputs!$J$6-Inputs!$I$6)))^2+Inputs!$C$6^2+((Inputs!$H$6+Inputs!$L$6*(((Inputs!$I$6+(((A101)+1)/2)*(Inputs!$J$6-Inputs!$I$6)))/Inputs!$K$6)^2))^2))-((Inputs!$H$6+Inputs!$L$6*(((Inputs!$I$6+(((A101)+1)/2)*(Inputs!$J$6-Inputs!$I$6)))/Inputs!$K$6)^2)))*1000/Inputs!$C$12)</f>
        <v>515.57790068694419</v>
      </c>
      <c r="AG101" s="9">
        <f>(((SQRT(((Inputs!$I$7+(((A101)+1)/2)*(Inputs!$J$7-Inputs!$I$7)))^2+Inputs!$C$6^2+((Inputs!$H$7+Inputs!$L$7*(((Inputs!$I$7+(((A101)+1)/2)*(Inputs!$J$7-Inputs!$I$7)))/Inputs!$K$7)^2))^2))-((Inputs!$H$7+Inputs!$L$7*(((Inputs!$I$7+(((A101)+1)/2)*(Inputs!$J$7-Inputs!$I$7)))/Inputs!$K$7)^2)))*1000/Inputs!$C$12)</f>
        <v>23218.289916145059</v>
      </c>
      <c r="AH101" s="9">
        <f>(((SQRT(((Inputs!$I$8+(((A101)+1)/2)*(Inputs!$J$8-Inputs!$I$8)))^2+Inputs!$C$6^2+((Inputs!$H$8+Inputs!$L$8*(((Inputs!$I$8+(((A101)+1)/2)*(Inputs!$J$8-Inputs!$I$8)))/Inputs!$K$8)^2))^2))-((Inputs!$H$8+Inputs!$L$8*(((Inputs!$I$8+(((A101)+1)/2)*(Inputs!$J$8-Inputs!$I$8)))/Inputs!$K$8)^2)))*1000/Inputs!$C$12)</f>
        <v>51475.616981466606</v>
      </c>
      <c r="AI101" s="9">
        <f>(((SQRT(((Inputs!$I$9+(((A101)+1)/2)*(Inputs!$J$9-Inputs!$I$9)))^2+Inputs!$C$6^2+((Inputs!$H$9+Inputs!$L$9*(((Inputs!$I$9+(((A101)+1)/2)*(Inputs!$J$9-Inputs!$I$9)))/Inputs!$K$9)^2))^2))-((Inputs!$H$9+Inputs!$L$9*(((Inputs!$I$9+(((A101)+1)/2)*(Inputs!$J$9-Inputs!$I$9)))/Inputs!$K$9)^2)))*1000/Inputs!$C$12)</f>
        <v>54814.305740530028</v>
      </c>
      <c r="AJ101" s="10"/>
      <c r="AK101" s="9">
        <f t="shared" si="11"/>
        <v>-0.17499999999999999</v>
      </c>
      <c r="AL101" s="9">
        <f>(-2*((1000*((((Inputs!$I$6+(((A101)+1)/2)*(Inputs!$J$6-Inputs!$I$6)))*Inputs!$C$11+((Inputs!$H$6+Inputs!$L$6*(((Inputs!$I$6+(((A101)+1)/2)*(Inputs!$J$6-Inputs!$I$6)))/Inputs!$K$6)^2))*((2*Inputs!$L$6*((Inputs!$I$6+(((A101)+1)/2)*(Inputs!$J$6-Inputs!$I$6)))/(Inputs!$K$6^2)*Inputs!$C$11)))/(SQRT(((Inputs!$I$6+(((A101)+1)/2)*(Inputs!$J$6-Inputs!$I$6)))^2+Inputs!$C$6^2+((Inputs!$H$6+Inputs!$L$6*(((Inputs!$I$6+(((A101)+1)/2)*(Inputs!$J$6-Inputs!$I$6)))/Inputs!$K$6)^2))^2)))))/Inputs!$C$13)</f>
        <v>79.138960129904746</v>
      </c>
      <c r="AM101" s="9">
        <f>(-2*((1000*((((Inputs!$I$7+(((A101)+1)/2)*(Inputs!$J$7-Inputs!$I$7)))*Inputs!$C$11+((Inputs!$H$7+Inputs!$L$7*(((Inputs!$I$7+(((A101)+1)/2)*(Inputs!$J$7-Inputs!$I$7)))/Inputs!$K$7)^2))*((2*Inputs!$L$7*((Inputs!$I$7+(((A101)+1)/2)*(Inputs!$J$7-Inputs!$I$7)))/(Inputs!$K$7^2)*Inputs!$C$11)))/(SQRT(((Inputs!$I$7+(((A101)+1)/2)*(Inputs!$J$7-Inputs!$I$7)))^2+Inputs!$C$6^2+((Inputs!$H$7+Inputs!$L$7*(((Inputs!$I$7+(((A101)+1)/2)*(Inputs!$J$7-Inputs!$I$7)))/Inputs!$K$7)^2))^2)))))/Inputs!$C$13)</f>
        <v>1549.5619334068679</v>
      </c>
      <c r="AN101" s="9">
        <f>(-2*((1000*((((Inputs!$I$8+(((A101)+1)/2)*(Inputs!$J$8-Inputs!$I$8)))*Inputs!$C$11+((Inputs!$H$8+Inputs!$L$8*(((Inputs!$I$8+(((A101)+1)/2)*(Inputs!$J$8-Inputs!$I$8)))/Inputs!$K$8)^2))*((2*Inputs!$L$8*((Inputs!$I$8+(((A101)+1)/2)*(Inputs!$J$8-Inputs!$I$8)))/(Inputs!$K$8^2)*Inputs!$C$11)))/(SQRT(((Inputs!$I$8+(((A101)+1)/2)*(Inputs!$J$8-Inputs!$I$8)))^2+Inputs!$C$6^2+((Inputs!$H$8+Inputs!$L$8*(((Inputs!$I$8+(((A101)+1)/2)*(Inputs!$J$8-Inputs!$I$8)))/Inputs!$K$8)^2))^2)))))/Inputs!$C$13)</f>
        <v>1713.4467292436516</v>
      </c>
      <c r="AO101" s="9">
        <f>(-2*((1000*((((Inputs!$I$9+(((A101)+1)/2)*(Inputs!$J$9-Inputs!$I$9)))*Inputs!$C$11+((Inputs!$H$9+Inputs!$L$9*(((Inputs!$I$9+(((A101)+1)/2)*(Inputs!$J$9-Inputs!$I$9)))/Inputs!$K$9)^2))*((2*Inputs!$L$9*((Inputs!$I$9+(((A101)+1)/2)*(Inputs!$J$9-Inputs!$I$9)))/(Inputs!$K$9^2)*Inputs!$C$11)))/(SQRT(((Inputs!$I$9+(((A101)+1)/2)*(Inputs!$J$9-Inputs!$I$9)))^2+Inputs!$C$6^2+((Inputs!$H$9+Inputs!$L$9*(((Inputs!$I$9+(((A101)+1)/2)*(Inputs!$J$9-Inputs!$I$9)))/Inputs!$K$9)^2))^2)))))/Inputs!$C$13)</f>
        <v>1715.1709924350121</v>
      </c>
    </row>
    <row r="102" spans="1:41">
      <c r="A102" s="9">
        <f>ROUND(-1+100*2/240,3)</f>
        <v>-0.16700000000000001</v>
      </c>
      <c r="B102" s="9">
        <f>IF(OR(Inputs!$F$6=TRUE,Inputs!$F$6="TRUE",Inputs!$F$6=1),(Inputs!$H$6+Inputs!$L$6*(((Inputs!$I$6+(((A102)+1)/2)*(Inputs!$J$6-Inputs!$I$6)))/Inputs!$K$6)^2),NA())</f>
        <v>400.11155600000001</v>
      </c>
      <c r="C102" s="9">
        <f>IF(OR(Inputs!$F$7=TRUE,Inputs!$F$7="TRUE",Inputs!$F$7=1),(Inputs!$H$7+Inputs!$L$7*(((Inputs!$I$7+(((A102)+1)/2)*(Inputs!$J$7-Inputs!$I$7)))/Inputs!$K$7)^2),NA())</f>
        <v>45.179485</v>
      </c>
      <c r="D102" s="9">
        <f>IF(OR(Inputs!$F$8=TRUE,Inputs!$F$8="TRUE",Inputs!$F$8=1),(Inputs!$H$8+Inputs!$L$8*(((Inputs!$I$8+(((A102)+1)/2)*(Inputs!$J$8-Inputs!$I$8)))/Inputs!$K$8)^2),NA())</f>
        <v>61.91288500000001</v>
      </c>
      <c r="E102" s="9">
        <f>IF(OR(Inputs!$F$9=TRUE,Inputs!$F$9="TRUE",Inputs!$F$9=1),(Inputs!$H$9+Inputs!$L$9*(((Inputs!$I$9+(((A102)+1)/2)*(Inputs!$J$9-Inputs!$I$9)))/Inputs!$K$9)^2),NA())</f>
        <v>52.191775000000007</v>
      </c>
      <c r="F102" s="10"/>
      <c r="G102" s="9">
        <f t="shared" si="6"/>
        <v>-0.16700000000000001</v>
      </c>
      <c r="H102" s="9">
        <f>IF(OR(Inputs!$F$6=TRUE,Inputs!$F$6="TRUE",Inputs!$F$6=1),(((SQRT(((Inputs!$I$6+(((A102)+1)/2)*(Inputs!$J$6-Inputs!$I$6)))^2+Inputs!$C$6^2+((Inputs!$H$6+Inputs!$L$6*(((Inputs!$I$6+(((A102)+1)/2)*(Inputs!$J$6-Inputs!$I$6)))/Inputs!$K$6)^2))^2))-((Inputs!$H$6+Inputs!$L$6*(((Inputs!$I$6+(((A102)+1)/2)*(Inputs!$J$6-Inputs!$I$6)))/Inputs!$K$6)^2)))*1000/Inputs!$C$12),NA())</f>
        <v>508.69276440232881</v>
      </c>
      <c r="I102" s="9">
        <f>IF(OR(Inputs!$F$7=TRUE,Inputs!$F$7="TRUE",Inputs!$F$7=1),(((SQRT(((Inputs!$I$7+(((A102)+1)/2)*(Inputs!$J$7-Inputs!$I$7)))^2+Inputs!$C$6^2+((Inputs!$H$7+Inputs!$L$7*(((Inputs!$I$7+(((A102)+1)/2)*(Inputs!$J$7-Inputs!$I$7)))/Inputs!$K$7)^2))^2))-((Inputs!$H$7+Inputs!$L$7*(((Inputs!$I$7+(((A102)+1)/2)*(Inputs!$J$7-Inputs!$I$7)))/Inputs!$K$7)^2)))*1000/Inputs!$C$12),NA())</f>
        <v>22050.854333705047</v>
      </c>
      <c r="J102" s="9">
        <f>IF(OR(Inputs!$F$8=TRUE,Inputs!$F$8="TRUE",Inputs!$F$8=1),(((SQRT(((Inputs!$I$8+(((A102)+1)/2)*(Inputs!$J$8-Inputs!$I$8)))^2+Inputs!$C$6^2+((Inputs!$H$8+Inputs!$L$8*(((Inputs!$I$8+(((A102)+1)/2)*(Inputs!$J$8-Inputs!$I$8)))/Inputs!$K$8)^2))^2))-((Inputs!$H$8+Inputs!$L$8*(((Inputs!$I$8+(((A102)+1)/2)*(Inputs!$J$8-Inputs!$I$8)))/Inputs!$K$8)^2)))*1000/Inputs!$C$12),NA())</f>
        <v>49125.252584195696</v>
      </c>
      <c r="K102" s="9">
        <f>IF(OR(Inputs!$F$9=TRUE,Inputs!$F$9="TRUE",Inputs!$F$9=1),(((SQRT(((Inputs!$I$9+(((A102)+1)/2)*(Inputs!$J$9-Inputs!$I$9)))^2+Inputs!$C$6^2+((Inputs!$H$9+Inputs!$L$9*(((Inputs!$I$9+(((A102)+1)/2)*(Inputs!$J$9-Inputs!$I$9)))/Inputs!$K$9)^2))^2))-((Inputs!$H$9+Inputs!$L$9*(((Inputs!$I$9+(((A102)+1)/2)*(Inputs!$J$9-Inputs!$I$9)))/Inputs!$K$9)^2)))*1000/Inputs!$C$12),NA())</f>
        <v>52473.79397517621</v>
      </c>
      <c r="L102" s="10"/>
      <c r="M102" s="9">
        <f t="shared" si="7"/>
        <v>-0.16700000000000001</v>
      </c>
      <c r="N102" s="9">
        <f>IF(OR(Inputs!$F$6=TRUE,Inputs!$F$6="TRUE",Inputs!$F$6=1),(-2*((1000*((((Inputs!$I$6+(((A102)+1)/2)*(Inputs!$J$6-Inputs!$I$6)))*Inputs!$C$11+((Inputs!$H$6+Inputs!$L$6*(((Inputs!$I$6+(((A102)+1)/2)*(Inputs!$J$6-Inputs!$I$6)))/Inputs!$K$6)^2))*((2*Inputs!$L$6*((Inputs!$I$6+(((A102)+1)/2)*(Inputs!$J$6-Inputs!$I$6)))/(Inputs!$K$6^2)*Inputs!$C$11)))/(SQRT(((Inputs!$I$6+(((A102)+1)/2)*(Inputs!$J$6-Inputs!$I$6)))^2+Inputs!$C$6^2+((Inputs!$H$6+Inputs!$L$6*(((Inputs!$I$6+(((A102)+1)/2)*(Inputs!$J$6-Inputs!$I$6)))/Inputs!$K$6)^2))^2)))))/Inputs!$C$13),NA())</f>
        <v>75.52457585531198</v>
      </c>
      <c r="O102" s="9">
        <f>IF(OR(Inputs!$F$7=TRUE,Inputs!$F$7="TRUE",Inputs!$F$7=1),(-2*((1000*((((Inputs!$I$7+(((A102)+1)/2)*(Inputs!$J$7-Inputs!$I$7)))*Inputs!$C$11+((Inputs!$H$7+Inputs!$L$7*(((Inputs!$I$7+(((A102)+1)/2)*(Inputs!$J$7-Inputs!$I$7)))/Inputs!$K$7)^2))*((2*Inputs!$L$7*((Inputs!$I$7+(((A102)+1)/2)*(Inputs!$J$7-Inputs!$I$7)))/(Inputs!$K$7^2)*Inputs!$C$11)))/(SQRT(((Inputs!$I$7+(((A102)+1)/2)*(Inputs!$J$7-Inputs!$I$7)))^2+Inputs!$C$6^2+((Inputs!$H$7+Inputs!$L$7*(((Inputs!$I$7+(((A102)+1)/2)*(Inputs!$J$7-Inputs!$I$7)))/Inputs!$K$7)^2))^2)))))/Inputs!$C$13),NA())</f>
        <v>1526.8425363144549</v>
      </c>
      <c r="P102" s="9">
        <f>IF(OR(Inputs!$F$8=TRUE,Inputs!$F$8="TRUE",Inputs!$F$8=1),(-2*((1000*((((Inputs!$I$8+(((A102)+1)/2)*(Inputs!$J$8-Inputs!$I$8)))*Inputs!$C$11+((Inputs!$H$8+Inputs!$L$8*(((Inputs!$I$8+(((A102)+1)/2)*(Inputs!$J$8-Inputs!$I$8)))/Inputs!$K$8)^2))*((2*Inputs!$L$8*((Inputs!$I$8+(((A102)+1)/2)*(Inputs!$J$8-Inputs!$I$8)))/(Inputs!$K$8^2)*Inputs!$C$11)))/(SQRT(((Inputs!$I$8+(((A102)+1)/2)*(Inputs!$J$8-Inputs!$I$8)))^2+Inputs!$C$6^2+((Inputs!$H$8+Inputs!$L$8*(((Inputs!$I$8+(((A102)+1)/2)*(Inputs!$J$8-Inputs!$I$8)))/Inputs!$K$8)^2))^2)))))/Inputs!$C$13),NA())</f>
        <v>1698.4290209237238</v>
      </c>
      <c r="Q102" s="9">
        <f>IF(OR(Inputs!$F$9=TRUE,Inputs!$F$9="TRUE",Inputs!$F$9=1),(-2*((1000*((((Inputs!$I$9+(((A102)+1)/2)*(Inputs!$J$9-Inputs!$I$9)))*Inputs!$C$11+((Inputs!$H$9+Inputs!$L$9*(((Inputs!$I$9+(((A102)+1)/2)*(Inputs!$J$9-Inputs!$I$9)))/Inputs!$K$9)^2))*((2*Inputs!$L$9*((Inputs!$I$9+(((A102)+1)/2)*(Inputs!$J$9-Inputs!$I$9)))/(Inputs!$K$9^2)*Inputs!$C$11)))/(SQRT(((Inputs!$I$9+(((A102)+1)/2)*(Inputs!$J$9-Inputs!$I$9)))^2+Inputs!$C$6^2+((Inputs!$H$9+Inputs!$L$9*(((Inputs!$I$9+(((A102)+1)/2)*(Inputs!$J$9-Inputs!$I$9)))/Inputs!$K$9)^2))^2)))))/Inputs!$C$13),NA())</f>
        <v>1701.6537983891926</v>
      </c>
      <c r="R102" s="10"/>
      <c r="S102" s="9">
        <f t="shared" si="8"/>
        <v>-0.16700000000000001</v>
      </c>
      <c r="T102" s="9">
        <f>(Inputs!$I$6+(((A102)+1)/2)*(Inputs!$J$6-Inputs!$I$6))</f>
        <v>-10.020000000000003</v>
      </c>
      <c r="U102" s="9">
        <f>(Inputs!$I$7+(((A102)+1)/2)*(Inputs!$J$7-Inputs!$I$7))</f>
        <v>-66.800000000000011</v>
      </c>
      <c r="V102" s="9">
        <f>(Inputs!$I$8+(((A102)+1)/2)*(Inputs!$J$8-Inputs!$I$8))</f>
        <v>-133.60000000000002</v>
      </c>
      <c r="W102" s="9">
        <f>(Inputs!$I$9+(((A102)+1)/2)*(Inputs!$J$9-Inputs!$I$9))</f>
        <v>-133.60000000000002</v>
      </c>
      <c r="X102" s="10"/>
      <c r="Y102" s="9">
        <f t="shared" si="9"/>
        <v>-0.16700000000000001</v>
      </c>
      <c r="Z102" s="9">
        <f>(Inputs!$H$6+Inputs!$L$6*(((Inputs!$I$6+(((A102)+1)/2)*(Inputs!$J$6-Inputs!$I$6)))/Inputs!$K$6)^2)</f>
        <v>400.11155600000001</v>
      </c>
      <c r="AA102" s="9">
        <f>(Inputs!$H$7+Inputs!$L$7*(((Inputs!$I$7+(((A102)+1)/2)*(Inputs!$J$7-Inputs!$I$7)))/Inputs!$K$7)^2)</f>
        <v>45.179485</v>
      </c>
      <c r="AB102" s="9">
        <f>(Inputs!$H$8+Inputs!$L$8*(((Inputs!$I$8+(((A102)+1)/2)*(Inputs!$J$8-Inputs!$I$8)))/Inputs!$K$8)^2)</f>
        <v>61.91288500000001</v>
      </c>
      <c r="AC102" s="9">
        <f>(Inputs!$H$9+Inputs!$L$9*(((Inputs!$I$9+(((A102)+1)/2)*(Inputs!$J$9-Inputs!$I$9)))/Inputs!$K$9)^2)</f>
        <v>52.191775000000007</v>
      </c>
      <c r="AD102" s="10"/>
      <c r="AE102" s="9">
        <f t="shared" si="10"/>
        <v>-0.16700000000000001</v>
      </c>
      <c r="AF102" s="9">
        <f>(((SQRT(((Inputs!$I$6+(((A102)+1)/2)*(Inputs!$J$6-Inputs!$I$6)))^2+Inputs!$C$6^2+((Inputs!$H$6+Inputs!$L$6*(((Inputs!$I$6+(((A102)+1)/2)*(Inputs!$J$6-Inputs!$I$6)))/Inputs!$K$6)^2))^2))-((Inputs!$H$6+Inputs!$L$6*(((Inputs!$I$6+(((A102)+1)/2)*(Inputs!$J$6-Inputs!$I$6)))/Inputs!$K$6)^2)))*1000/Inputs!$C$12)</f>
        <v>508.69276440232881</v>
      </c>
      <c r="AG102" s="9">
        <f>(((SQRT(((Inputs!$I$7+(((A102)+1)/2)*(Inputs!$J$7-Inputs!$I$7)))^2+Inputs!$C$6^2+((Inputs!$H$7+Inputs!$L$7*(((Inputs!$I$7+(((A102)+1)/2)*(Inputs!$J$7-Inputs!$I$7)))/Inputs!$K$7)^2))^2))-((Inputs!$H$7+Inputs!$L$7*(((Inputs!$I$7+(((A102)+1)/2)*(Inputs!$J$7-Inputs!$I$7)))/Inputs!$K$7)^2)))*1000/Inputs!$C$12)</f>
        <v>22050.854333705047</v>
      </c>
      <c r="AH102" s="9">
        <f>(((SQRT(((Inputs!$I$8+(((A102)+1)/2)*(Inputs!$J$8-Inputs!$I$8)))^2+Inputs!$C$6^2+((Inputs!$H$8+Inputs!$L$8*(((Inputs!$I$8+(((A102)+1)/2)*(Inputs!$J$8-Inputs!$I$8)))/Inputs!$K$8)^2))^2))-((Inputs!$H$8+Inputs!$L$8*(((Inputs!$I$8+(((A102)+1)/2)*(Inputs!$J$8-Inputs!$I$8)))/Inputs!$K$8)^2)))*1000/Inputs!$C$12)</f>
        <v>49125.252584195696</v>
      </c>
      <c r="AI102" s="9">
        <f>(((SQRT(((Inputs!$I$9+(((A102)+1)/2)*(Inputs!$J$9-Inputs!$I$9)))^2+Inputs!$C$6^2+((Inputs!$H$9+Inputs!$L$9*(((Inputs!$I$9+(((A102)+1)/2)*(Inputs!$J$9-Inputs!$I$9)))/Inputs!$K$9)^2))^2))-((Inputs!$H$9+Inputs!$L$9*(((Inputs!$I$9+(((A102)+1)/2)*(Inputs!$J$9-Inputs!$I$9)))/Inputs!$K$9)^2)))*1000/Inputs!$C$12)</f>
        <v>52473.79397517621</v>
      </c>
      <c r="AJ102" s="10"/>
      <c r="AK102" s="9">
        <f t="shared" si="11"/>
        <v>-0.16700000000000001</v>
      </c>
      <c r="AL102" s="9">
        <f>(-2*((1000*((((Inputs!$I$6+(((A102)+1)/2)*(Inputs!$J$6-Inputs!$I$6)))*Inputs!$C$11+((Inputs!$H$6+Inputs!$L$6*(((Inputs!$I$6+(((A102)+1)/2)*(Inputs!$J$6-Inputs!$I$6)))/Inputs!$K$6)^2))*((2*Inputs!$L$6*((Inputs!$I$6+(((A102)+1)/2)*(Inputs!$J$6-Inputs!$I$6)))/(Inputs!$K$6^2)*Inputs!$C$11)))/(SQRT(((Inputs!$I$6+(((A102)+1)/2)*(Inputs!$J$6-Inputs!$I$6)))^2+Inputs!$C$6^2+((Inputs!$H$6+Inputs!$L$6*(((Inputs!$I$6+(((A102)+1)/2)*(Inputs!$J$6-Inputs!$I$6)))/Inputs!$K$6)^2))^2)))))/Inputs!$C$13)</f>
        <v>75.52457585531198</v>
      </c>
      <c r="AM102" s="9">
        <f>(-2*((1000*((((Inputs!$I$7+(((A102)+1)/2)*(Inputs!$J$7-Inputs!$I$7)))*Inputs!$C$11+((Inputs!$H$7+Inputs!$L$7*(((Inputs!$I$7+(((A102)+1)/2)*(Inputs!$J$7-Inputs!$I$7)))/Inputs!$K$7)^2))*((2*Inputs!$L$7*((Inputs!$I$7+(((A102)+1)/2)*(Inputs!$J$7-Inputs!$I$7)))/(Inputs!$K$7^2)*Inputs!$C$11)))/(SQRT(((Inputs!$I$7+(((A102)+1)/2)*(Inputs!$J$7-Inputs!$I$7)))^2+Inputs!$C$6^2+((Inputs!$H$7+Inputs!$L$7*(((Inputs!$I$7+(((A102)+1)/2)*(Inputs!$J$7-Inputs!$I$7)))/Inputs!$K$7)^2))^2)))))/Inputs!$C$13)</f>
        <v>1526.8425363144549</v>
      </c>
      <c r="AN102" s="9">
        <f>(-2*((1000*((((Inputs!$I$8+(((A102)+1)/2)*(Inputs!$J$8-Inputs!$I$8)))*Inputs!$C$11+((Inputs!$H$8+Inputs!$L$8*(((Inputs!$I$8+(((A102)+1)/2)*(Inputs!$J$8-Inputs!$I$8)))/Inputs!$K$8)^2))*((2*Inputs!$L$8*((Inputs!$I$8+(((A102)+1)/2)*(Inputs!$J$8-Inputs!$I$8)))/(Inputs!$K$8^2)*Inputs!$C$11)))/(SQRT(((Inputs!$I$8+(((A102)+1)/2)*(Inputs!$J$8-Inputs!$I$8)))^2+Inputs!$C$6^2+((Inputs!$H$8+Inputs!$L$8*(((Inputs!$I$8+(((A102)+1)/2)*(Inputs!$J$8-Inputs!$I$8)))/Inputs!$K$8)^2))^2)))))/Inputs!$C$13)</f>
        <v>1698.4290209237238</v>
      </c>
      <c r="AO102" s="9">
        <f>(-2*((1000*((((Inputs!$I$9+(((A102)+1)/2)*(Inputs!$J$9-Inputs!$I$9)))*Inputs!$C$11+((Inputs!$H$9+Inputs!$L$9*(((Inputs!$I$9+(((A102)+1)/2)*(Inputs!$J$9-Inputs!$I$9)))/Inputs!$K$9)^2))*((2*Inputs!$L$9*((Inputs!$I$9+(((A102)+1)/2)*(Inputs!$J$9-Inputs!$I$9)))/(Inputs!$K$9^2)*Inputs!$C$11)))/(SQRT(((Inputs!$I$9+(((A102)+1)/2)*(Inputs!$J$9-Inputs!$I$9)))^2+Inputs!$C$6^2+((Inputs!$H$9+Inputs!$L$9*(((Inputs!$I$9+(((A102)+1)/2)*(Inputs!$J$9-Inputs!$I$9)))/Inputs!$K$9)^2))^2)))))/Inputs!$C$13)</f>
        <v>1701.6537983891926</v>
      </c>
    </row>
    <row r="103" spans="1:41">
      <c r="A103" s="9">
        <f>ROUND(-1+101*2/240,3)</f>
        <v>-0.158</v>
      </c>
      <c r="B103" s="9">
        <f>IF(OR(Inputs!$F$6=TRUE,Inputs!$F$6="TRUE",Inputs!$F$6=1),(Inputs!$H$6+Inputs!$L$6*(((Inputs!$I$6+(((A103)+1)/2)*(Inputs!$J$6-Inputs!$I$6)))/Inputs!$K$6)^2),NA())</f>
        <v>400.09985599999999</v>
      </c>
      <c r="C103" s="9">
        <f>IF(OR(Inputs!$F$7=TRUE,Inputs!$F$7="TRUE",Inputs!$F$7=1),(Inputs!$H$7+Inputs!$L$7*(((Inputs!$I$7+(((A103)+1)/2)*(Inputs!$J$7-Inputs!$I$7)))/Inputs!$K$7)^2),NA())</f>
        <v>44.11186</v>
      </c>
      <c r="D103" s="9">
        <f>IF(OR(Inputs!$F$8=TRUE,Inputs!$F$8="TRUE",Inputs!$F$8=1),(Inputs!$H$8+Inputs!$L$8*(((Inputs!$I$8+(((A103)+1)/2)*(Inputs!$J$8-Inputs!$I$8)))/Inputs!$K$8)^2),NA())</f>
        <v>59.090259999999994</v>
      </c>
      <c r="E103" s="9">
        <f>IF(OR(Inputs!$F$9=TRUE,Inputs!$F$9="TRUE",Inputs!$F$9=1),(Inputs!$H$9+Inputs!$L$9*(((Inputs!$I$9+(((A103)+1)/2)*(Inputs!$J$9-Inputs!$I$9)))/Inputs!$K$9)^2),NA())</f>
        <v>49.339899999999993</v>
      </c>
      <c r="F103" s="10"/>
      <c r="G103" s="9">
        <f t="shared" si="6"/>
        <v>-0.158</v>
      </c>
      <c r="H103" s="9">
        <f>IF(OR(Inputs!$F$6=TRUE,Inputs!$F$6="TRUE",Inputs!$F$6=1),(((SQRT(((Inputs!$I$6+(((A103)+1)/2)*(Inputs!$J$6-Inputs!$I$6)))^2+Inputs!$C$6^2+((Inputs!$H$6+Inputs!$L$6*(((Inputs!$I$6+(((A103)+1)/2)*(Inputs!$J$6-Inputs!$I$6)))/Inputs!$K$6)^2))^2))-((Inputs!$H$6+Inputs!$L$6*(((Inputs!$I$6+(((A103)+1)/2)*(Inputs!$J$6-Inputs!$I$6)))/Inputs!$K$6)^2)))*1000/Inputs!$C$12),NA())</f>
        <v>501.33136175215793</v>
      </c>
      <c r="I103" s="9">
        <f>IF(OR(Inputs!$F$7=TRUE,Inputs!$F$7="TRUE",Inputs!$F$7=1),(((SQRT(((Inputs!$I$7+(((A103)+1)/2)*(Inputs!$J$7-Inputs!$I$7)))^2+Inputs!$C$6^2+((Inputs!$H$7+Inputs!$L$7*(((Inputs!$I$7+(((A103)+1)/2)*(Inputs!$J$7-Inputs!$I$7)))/Inputs!$K$7)^2))^2))-((Inputs!$H$7+Inputs!$L$7*(((Inputs!$I$7+(((A103)+1)/2)*(Inputs!$J$7-Inputs!$I$7)))/Inputs!$K$7)^2)))*1000/Inputs!$C$12),NA())</f>
        <v>20737.877075602719</v>
      </c>
      <c r="J103" s="9">
        <f>IF(OR(Inputs!$F$8=TRUE,Inputs!$F$8="TRUE",Inputs!$F$8=1),(((SQRT(((Inputs!$I$8+(((A103)+1)/2)*(Inputs!$J$8-Inputs!$I$8)))^2+Inputs!$C$6^2+((Inputs!$H$8+Inputs!$L$8*(((Inputs!$I$8+(((A103)+1)/2)*(Inputs!$J$8-Inputs!$I$8)))/Inputs!$K$8)^2))^2))-((Inputs!$H$8+Inputs!$L$8*(((Inputs!$I$8+(((A103)+1)/2)*(Inputs!$J$8-Inputs!$I$8)))/Inputs!$K$8)^2)))*1000/Inputs!$C$12),NA())</f>
        <v>46439.158617238005</v>
      </c>
      <c r="K103" s="9">
        <f>IF(OR(Inputs!$F$9=TRUE,Inputs!$F$9="TRUE",Inputs!$F$9=1),(((SQRT(((Inputs!$I$9+(((A103)+1)/2)*(Inputs!$J$9-Inputs!$I$9)))^2+Inputs!$C$6^2+((Inputs!$H$9+Inputs!$L$9*(((Inputs!$I$9+(((A103)+1)/2)*(Inputs!$J$9-Inputs!$I$9)))/Inputs!$K$9)^2))^2))-((Inputs!$H$9+Inputs!$L$9*(((Inputs!$I$9+(((A103)+1)/2)*(Inputs!$J$9-Inputs!$I$9)))/Inputs!$K$9)^2)))*1000/Inputs!$C$12),NA())</f>
        <v>49793.54455863063</v>
      </c>
      <c r="L103" s="10"/>
      <c r="M103" s="9">
        <f t="shared" si="7"/>
        <v>-0.158</v>
      </c>
      <c r="N103" s="9">
        <f>IF(OR(Inputs!$F$6=TRUE,Inputs!$F$6="TRUE",Inputs!$F$6=1),(-2*((1000*((((Inputs!$I$6+(((A103)+1)/2)*(Inputs!$J$6-Inputs!$I$6)))*Inputs!$C$11+((Inputs!$H$6+Inputs!$L$6*(((Inputs!$I$6+(((A103)+1)/2)*(Inputs!$J$6-Inputs!$I$6)))/Inputs!$K$6)^2))*((2*Inputs!$L$6*((Inputs!$I$6+(((A103)+1)/2)*(Inputs!$J$6-Inputs!$I$6)))/(Inputs!$K$6^2)*Inputs!$C$11)))/(SQRT(((Inputs!$I$6+(((A103)+1)/2)*(Inputs!$J$6-Inputs!$I$6)))^2+Inputs!$C$6^2+((Inputs!$H$6+Inputs!$L$6*(((Inputs!$I$6+(((A103)+1)/2)*(Inputs!$J$6-Inputs!$I$6)))/Inputs!$K$6)^2))^2)))))/Inputs!$C$13),NA())</f>
        <v>71.457825449602922</v>
      </c>
      <c r="O103" s="9">
        <f>IF(OR(Inputs!$F$7=TRUE,Inputs!$F$7="TRUE",Inputs!$F$7=1),(-2*((1000*((((Inputs!$I$7+(((A103)+1)/2)*(Inputs!$J$7-Inputs!$I$7)))*Inputs!$C$11+((Inputs!$H$7+Inputs!$L$7*(((Inputs!$I$7+(((A103)+1)/2)*(Inputs!$J$7-Inputs!$I$7)))/Inputs!$K$7)^2))*((2*Inputs!$L$7*((Inputs!$I$7+(((A103)+1)/2)*(Inputs!$J$7-Inputs!$I$7)))/(Inputs!$K$7^2)*Inputs!$C$11)))/(SQRT(((Inputs!$I$7+(((A103)+1)/2)*(Inputs!$J$7-Inputs!$I$7)))^2+Inputs!$C$6^2+((Inputs!$H$7+Inputs!$L$7*(((Inputs!$I$7+(((A103)+1)/2)*(Inputs!$J$7-Inputs!$I$7)))/Inputs!$K$7)^2))^2)))))/Inputs!$C$13),NA())</f>
        <v>1499.1795886261764</v>
      </c>
      <c r="P103" s="9">
        <f>IF(OR(Inputs!$F$8=TRUE,Inputs!$F$8="TRUE",Inputs!$F$8=1),(-2*((1000*((((Inputs!$I$8+(((A103)+1)/2)*(Inputs!$J$8-Inputs!$I$8)))*Inputs!$C$11+((Inputs!$H$8+Inputs!$L$8*(((Inputs!$I$8+(((A103)+1)/2)*(Inputs!$J$8-Inputs!$I$8)))/Inputs!$K$8)^2))*((2*Inputs!$L$8*((Inputs!$I$8+(((A103)+1)/2)*(Inputs!$J$8-Inputs!$I$8)))/(Inputs!$K$8^2)*Inputs!$C$11)))/(SQRT(((Inputs!$I$8+(((A103)+1)/2)*(Inputs!$J$8-Inputs!$I$8)))^2+Inputs!$C$6^2+((Inputs!$H$8+Inputs!$L$8*(((Inputs!$I$8+(((A103)+1)/2)*(Inputs!$J$8-Inputs!$I$8)))/Inputs!$K$8)^2))^2)))))/Inputs!$C$13),NA())</f>
        <v>1680.9500470934552</v>
      </c>
      <c r="Q103" s="9">
        <f>IF(OR(Inputs!$F$9=TRUE,Inputs!$F$9="TRUE",Inputs!$F$9=1),(-2*((1000*((((Inputs!$I$9+(((A103)+1)/2)*(Inputs!$J$9-Inputs!$I$9)))*Inputs!$C$11+((Inputs!$H$9+Inputs!$L$9*(((Inputs!$I$9+(((A103)+1)/2)*(Inputs!$J$9-Inputs!$I$9)))/Inputs!$K$9)^2))*((2*Inputs!$L$9*((Inputs!$I$9+(((A103)+1)/2)*(Inputs!$J$9-Inputs!$I$9)))/(Inputs!$K$9^2)*Inputs!$C$11)))/(SQRT(((Inputs!$I$9+(((A103)+1)/2)*(Inputs!$J$9-Inputs!$I$9)))^2+Inputs!$C$6^2+((Inputs!$H$9+Inputs!$L$9*(((Inputs!$I$9+(((A103)+1)/2)*(Inputs!$J$9-Inputs!$I$9)))/Inputs!$K$9)^2))^2)))))/Inputs!$C$13),NA())</f>
        <v>1686.1577436829066</v>
      </c>
      <c r="R103" s="10"/>
      <c r="S103" s="9">
        <f t="shared" si="8"/>
        <v>-0.158</v>
      </c>
      <c r="T103" s="9">
        <f>(Inputs!$I$6+(((A103)+1)/2)*(Inputs!$J$6-Inputs!$I$6))</f>
        <v>-9.480000000000004</v>
      </c>
      <c r="U103" s="9">
        <f>(Inputs!$I$7+(((A103)+1)/2)*(Inputs!$J$7-Inputs!$I$7))</f>
        <v>-63.199999999999989</v>
      </c>
      <c r="V103" s="9">
        <f>(Inputs!$I$8+(((A103)+1)/2)*(Inputs!$J$8-Inputs!$I$8))</f>
        <v>-126.39999999999998</v>
      </c>
      <c r="W103" s="9">
        <f>(Inputs!$I$9+(((A103)+1)/2)*(Inputs!$J$9-Inputs!$I$9))</f>
        <v>-126.39999999999998</v>
      </c>
      <c r="X103" s="10"/>
      <c r="Y103" s="9">
        <f t="shared" si="9"/>
        <v>-0.158</v>
      </c>
      <c r="Z103" s="9">
        <f>(Inputs!$H$6+Inputs!$L$6*(((Inputs!$I$6+(((A103)+1)/2)*(Inputs!$J$6-Inputs!$I$6)))/Inputs!$K$6)^2)</f>
        <v>400.09985599999999</v>
      </c>
      <c r="AA103" s="9">
        <f>(Inputs!$H$7+Inputs!$L$7*(((Inputs!$I$7+(((A103)+1)/2)*(Inputs!$J$7-Inputs!$I$7)))/Inputs!$K$7)^2)</f>
        <v>44.11186</v>
      </c>
      <c r="AB103" s="9">
        <f>(Inputs!$H$8+Inputs!$L$8*(((Inputs!$I$8+(((A103)+1)/2)*(Inputs!$J$8-Inputs!$I$8)))/Inputs!$K$8)^2)</f>
        <v>59.090259999999994</v>
      </c>
      <c r="AC103" s="9">
        <f>(Inputs!$H$9+Inputs!$L$9*(((Inputs!$I$9+(((A103)+1)/2)*(Inputs!$J$9-Inputs!$I$9)))/Inputs!$K$9)^2)</f>
        <v>49.339899999999993</v>
      </c>
      <c r="AD103" s="10"/>
      <c r="AE103" s="9">
        <f t="shared" si="10"/>
        <v>-0.158</v>
      </c>
      <c r="AF103" s="9">
        <f>(((SQRT(((Inputs!$I$6+(((A103)+1)/2)*(Inputs!$J$6-Inputs!$I$6)))^2+Inputs!$C$6^2+((Inputs!$H$6+Inputs!$L$6*(((Inputs!$I$6+(((A103)+1)/2)*(Inputs!$J$6-Inputs!$I$6)))/Inputs!$K$6)^2))^2))-((Inputs!$H$6+Inputs!$L$6*(((Inputs!$I$6+(((A103)+1)/2)*(Inputs!$J$6-Inputs!$I$6)))/Inputs!$K$6)^2)))*1000/Inputs!$C$12)</f>
        <v>501.33136175215793</v>
      </c>
      <c r="AG103" s="9">
        <f>(((SQRT(((Inputs!$I$7+(((A103)+1)/2)*(Inputs!$J$7-Inputs!$I$7)))^2+Inputs!$C$6^2+((Inputs!$H$7+Inputs!$L$7*(((Inputs!$I$7+(((A103)+1)/2)*(Inputs!$J$7-Inputs!$I$7)))/Inputs!$K$7)^2))^2))-((Inputs!$H$7+Inputs!$L$7*(((Inputs!$I$7+(((A103)+1)/2)*(Inputs!$J$7-Inputs!$I$7)))/Inputs!$K$7)^2)))*1000/Inputs!$C$12)</f>
        <v>20737.877075602719</v>
      </c>
      <c r="AH103" s="9">
        <f>(((SQRT(((Inputs!$I$8+(((A103)+1)/2)*(Inputs!$J$8-Inputs!$I$8)))^2+Inputs!$C$6^2+((Inputs!$H$8+Inputs!$L$8*(((Inputs!$I$8+(((A103)+1)/2)*(Inputs!$J$8-Inputs!$I$8)))/Inputs!$K$8)^2))^2))-((Inputs!$H$8+Inputs!$L$8*(((Inputs!$I$8+(((A103)+1)/2)*(Inputs!$J$8-Inputs!$I$8)))/Inputs!$K$8)^2)))*1000/Inputs!$C$12)</f>
        <v>46439.158617238005</v>
      </c>
      <c r="AI103" s="9">
        <f>(((SQRT(((Inputs!$I$9+(((A103)+1)/2)*(Inputs!$J$9-Inputs!$I$9)))^2+Inputs!$C$6^2+((Inputs!$H$9+Inputs!$L$9*(((Inputs!$I$9+(((A103)+1)/2)*(Inputs!$J$9-Inputs!$I$9)))/Inputs!$K$9)^2))^2))-((Inputs!$H$9+Inputs!$L$9*(((Inputs!$I$9+(((A103)+1)/2)*(Inputs!$J$9-Inputs!$I$9)))/Inputs!$K$9)^2)))*1000/Inputs!$C$12)</f>
        <v>49793.54455863063</v>
      </c>
      <c r="AJ103" s="10"/>
      <c r="AK103" s="9">
        <f t="shared" si="11"/>
        <v>-0.158</v>
      </c>
      <c r="AL103" s="9">
        <f>(-2*((1000*((((Inputs!$I$6+(((A103)+1)/2)*(Inputs!$J$6-Inputs!$I$6)))*Inputs!$C$11+((Inputs!$H$6+Inputs!$L$6*(((Inputs!$I$6+(((A103)+1)/2)*(Inputs!$J$6-Inputs!$I$6)))/Inputs!$K$6)^2))*((2*Inputs!$L$6*((Inputs!$I$6+(((A103)+1)/2)*(Inputs!$J$6-Inputs!$I$6)))/(Inputs!$K$6^2)*Inputs!$C$11)))/(SQRT(((Inputs!$I$6+(((A103)+1)/2)*(Inputs!$J$6-Inputs!$I$6)))^2+Inputs!$C$6^2+((Inputs!$H$6+Inputs!$L$6*(((Inputs!$I$6+(((A103)+1)/2)*(Inputs!$J$6-Inputs!$I$6)))/Inputs!$K$6)^2))^2)))))/Inputs!$C$13)</f>
        <v>71.457825449602922</v>
      </c>
      <c r="AM103" s="9">
        <f>(-2*((1000*((((Inputs!$I$7+(((A103)+1)/2)*(Inputs!$J$7-Inputs!$I$7)))*Inputs!$C$11+((Inputs!$H$7+Inputs!$L$7*(((Inputs!$I$7+(((A103)+1)/2)*(Inputs!$J$7-Inputs!$I$7)))/Inputs!$K$7)^2))*((2*Inputs!$L$7*((Inputs!$I$7+(((A103)+1)/2)*(Inputs!$J$7-Inputs!$I$7)))/(Inputs!$K$7^2)*Inputs!$C$11)))/(SQRT(((Inputs!$I$7+(((A103)+1)/2)*(Inputs!$J$7-Inputs!$I$7)))^2+Inputs!$C$6^2+((Inputs!$H$7+Inputs!$L$7*(((Inputs!$I$7+(((A103)+1)/2)*(Inputs!$J$7-Inputs!$I$7)))/Inputs!$K$7)^2))^2)))))/Inputs!$C$13)</f>
        <v>1499.1795886261764</v>
      </c>
      <c r="AN103" s="9">
        <f>(-2*((1000*((((Inputs!$I$8+(((A103)+1)/2)*(Inputs!$J$8-Inputs!$I$8)))*Inputs!$C$11+((Inputs!$H$8+Inputs!$L$8*(((Inputs!$I$8+(((A103)+1)/2)*(Inputs!$J$8-Inputs!$I$8)))/Inputs!$K$8)^2))*((2*Inputs!$L$8*((Inputs!$I$8+(((A103)+1)/2)*(Inputs!$J$8-Inputs!$I$8)))/(Inputs!$K$8^2)*Inputs!$C$11)))/(SQRT(((Inputs!$I$8+(((A103)+1)/2)*(Inputs!$J$8-Inputs!$I$8)))^2+Inputs!$C$6^2+((Inputs!$H$8+Inputs!$L$8*(((Inputs!$I$8+(((A103)+1)/2)*(Inputs!$J$8-Inputs!$I$8)))/Inputs!$K$8)^2))^2)))))/Inputs!$C$13)</f>
        <v>1680.9500470934552</v>
      </c>
      <c r="AO103" s="9">
        <f>(-2*((1000*((((Inputs!$I$9+(((A103)+1)/2)*(Inputs!$J$9-Inputs!$I$9)))*Inputs!$C$11+((Inputs!$H$9+Inputs!$L$9*(((Inputs!$I$9+(((A103)+1)/2)*(Inputs!$J$9-Inputs!$I$9)))/Inputs!$K$9)^2))*((2*Inputs!$L$9*((Inputs!$I$9+(((A103)+1)/2)*(Inputs!$J$9-Inputs!$I$9)))/(Inputs!$K$9^2)*Inputs!$C$11)))/(SQRT(((Inputs!$I$9+(((A103)+1)/2)*(Inputs!$J$9-Inputs!$I$9)))^2+Inputs!$C$6^2+((Inputs!$H$9+Inputs!$L$9*(((Inputs!$I$9+(((A103)+1)/2)*(Inputs!$J$9-Inputs!$I$9)))/Inputs!$K$9)^2))^2)))))/Inputs!$C$13)</f>
        <v>1686.1577436829066</v>
      </c>
    </row>
    <row r="104" spans="1:41">
      <c r="A104" s="9">
        <f>ROUND(-1+102*2/240,3)</f>
        <v>-0.15</v>
      </c>
      <c r="B104" s="9">
        <f>IF(OR(Inputs!$F$6=TRUE,Inputs!$F$6="TRUE",Inputs!$F$6=1),(Inputs!$H$6+Inputs!$L$6*(((Inputs!$I$6+(((A104)+1)/2)*(Inputs!$J$6-Inputs!$I$6)))/Inputs!$K$6)^2),NA())</f>
        <v>400.09</v>
      </c>
      <c r="C104" s="9">
        <f>IF(OR(Inputs!$F$7=TRUE,Inputs!$F$7="TRUE",Inputs!$F$7=1),(Inputs!$H$7+Inputs!$L$7*(((Inputs!$I$7+(((A104)+1)/2)*(Inputs!$J$7-Inputs!$I$7)))/Inputs!$K$7)^2),NA())</f>
        <v>43.212499999999999</v>
      </c>
      <c r="D104" s="9">
        <f>IF(OR(Inputs!$F$8=TRUE,Inputs!$F$8="TRUE",Inputs!$F$8=1),(Inputs!$H$8+Inputs!$L$8*(((Inputs!$I$8+(((A104)+1)/2)*(Inputs!$J$8-Inputs!$I$8)))/Inputs!$K$8)^2),NA())</f>
        <v>56.712499999999999</v>
      </c>
      <c r="E104" s="9">
        <f>IF(OR(Inputs!$F$9=TRUE,Inputs!$F$9="TRUE",Inputs!$F$9=1),(Inputs!$H$9+Inputs!$L$9*(((Inputs!$I$9+(((A104)+1)/2)*(Inputs!$J$9-Inputs!$I$9)))/Inputs!$K$9)^2),NA())</f>
        <v>46.9375</v>
      </c>
      <c r="F104" s="10"/>
      <c r="G104" s="9">
        <f t="shared" si="6"/>
        <v>-0.15</v>
      </c>
      <c r="H104" s="9">
        <f>IF(OR(Inputs!$F$6=TRUE,Inputs!$F$6="TRUE",Inputs!$F$6=1),(((SQRT(((Inputs!$I$6+(((A104)+1)/2)*(Inputs!$J$6-Inputs!$I$6)))^2+Inputs!$C$6^2+((Inputs!$H$6+Inputs!$L$6*(((Inputs!$I$6+(((A104)+1)/2)*(Inputs!$J$6-Inputs!$I$6)))/Inputs!$K$6)^2))^2))-((Inputs!$H$6+Inputs!$L$6*(((Inputs!$I$6+(((A104)+1)/2)*(Inputs!$J$6-Inputs!$I$6)))/Inputs!$K$6)^2)))*1000/Inputs!$C$12),NA())</f>
        <v>495.12964644237769</v>
      </c>
      <c r="I104" s="9">
        <f>IF(OR(Inputs!$F$7=TRUE,Inputs!$F$7="TRUE",Inputs!$F$7=1),(((SQRT(((Inputs!$I$7+(((A104)+1)/2)*(Inputs!$J$7-Inputs!$I$7)))^2+Inputs!$C$6^2+((Inputs!$H$7+Inputs!$L$7*(((Inputs!$I$7+(((A104)+1)/2)*(Inputs!$J$7-Inputs!$I$7)))/Inputs!$K$7)^2))^2))-((Inputs!$H$7+Inputs!$L$7*(((Inputs!$I$7+(((A104)+1)/2)*(Inputs!$J$7-Inputs!$I$7)))/Inputs!$K$7)^2)))*1000/Inputs!$C$12),NA())</f>
        <v>19573.492198365329</v>
      </c>
      <c r="J104" s="9">
        <f>IF(OR(Inputs!$F$8=TRUE,Inputs!$F$8="TRUE",Inputs!$F$8=1),(((SQRT(((Inputs!$I$8+(((A104)+1)/2)*(Inputs!$J$8-Inputs!$I$8)))^2+Inputs!$C$6^2+((Inputs!$H$8+Inputs!$L$8*(((Inputs!$I$8+(((A104)+1)/2)*(Inputs!$J$8-Inputs!$I$8)))/Inputs!$K$8)^2))^2))-((Inputs!$H$8+Inputs!$L$8*(((Inputs!$I$8+(((A104)+1)/2)*(Inputs!$J$8-Inputs!$I$8)))/Inputs!$K$8)^2)))*1000/Inputs!$C$12),NA())</f>
        <v>44015.665854920902</v>
      </c>
      <c r="K104" s="9">
        <f>IF(OR(Inputs!$F$9=TRUE,Inputs!$F$9="TRUE",Inputs!$F$9=1),(((SQRT(((Inputs!$I$9+(((A104)+1)/2)*(Inputs!$J$9-Inputs!$I$9)))^2+Inputs!$C$6^2+((Inputs!$H$9+Inputs!$L$9*(((Inputs!$I$9+(((A104)+1)/2)*(Inputs!$J$9-Inputs!$I$9)))/Inputs!$K$9)^2))^2))-((Inputs!$H$9+Inputs!$L$9*(((Inputs!$I$9+(((A104)+1)/2)*(Inputs!$J$9-Inputs!$I$9)))/Inputs!$K$9)^2)))*1000/Inputs!$C$12),NA())</f>
        <v>47369.925351831793</v>
      </c>
      <c r="L104" s="10"/>
      <c r="M104" s="9">
        <f t="shared" si="7"/>
        <v>-0.15</v>
      </c>
      <c r="N104" s="9">
        <f>IF(OR(Inputs!$F$6=TRUE,Inputs!$F$6="TRUE",Inputs!$F$6=1),(-2*((1000*((((Inputs!$I$6+(((A104)+1)/2)*(Inputs!$J$6-Inputs!$I$6)))*Inputs!$C$11+((Inputs!$H$6+Inputs!$L$6*(((Inputs!$I$6+(((A104)+1)/2)*(Inputs!$J$6-Inputs!$I$6)))/Inputs!$K$6)^2))*((2*Inputs!$L$6*((Inputs!$I$6+(((A104)+1)/2)*(Inputs!$J$6-Inputs!$I$6)))/(Inputs!$K$6^2)*Inputs!$C$11)))/(SQRT(((Inputs!$I$6+(((A104)+1)/2)*(Inputs!$J$6-Inputs!$I$6)))^2+Inputs!$C$6^2+((Inputs!$H$6+Inputs!$L$6*(((Inputs!$I$6+(((A104)+1)/2)*(Inputs!$J$6-Inputs!$I$6)))/Inputs!$K$6)^2))^2)))))/Inputs!$C$13),NA())</f>
        <v>67.842456336506729</v>
      </c>
      <c r="O104" s="9">
        <f>IF(OR(Inputs!$F$7=TRUE,Inputs!$F$7="TRUE",Inputs!$F$7=1),(-2*((1000*((((Inputs!$I$7+(((A104)+1)/2)*(Inputs!$J$7-Inputs!$I$7)))*Inputs!$C$11+((Inputs!$H$7+Inputs!$L$7*(((Inputs!$I$7+(((A104)+1)/2)*(Inputs!$J$7-Inputs!$I$7)))/Inputs!$K$7)^2))*((2*Inputs!$L$7*((Inputs!$I$7+(((A104)+1)/2)*(Inputs!$J$7-Inputs!$I$7)))/(Inputs!$K$7^2)*Inputs!$C$11)))/(SQRT(((Inputs!$I$7+(((A104)+1)/2)*(Inputs!$J$7-Inputs!$I$7)))^2+Inputs!$C$6^2+((Inputs!$H$7+Inputs!$L$7*(((Inputs!$I$7+(((A104)+1)/2)*(Inputs!$J$7-Inputs!$I$7)))/Inputs!$K$7)^2))^2)))))/Inputs!$C$13),NA())</f>
        <v>1472.4175822777838</v>
      </c>
      <c r="P104" s="9">
        <f>IF(OR(Inputs!$F$8=TRUE,Inputs!$F$8="TRUE",Inputs!$F$8=1),(-2*((1000*((((Inputs!$I$8+(((A104)+1)/2)*(Inputs!$J$8-Inputs!$I$8)))*Inputs!$C$11+((Inputs!$H$8+Inputs!$L$8*(((Inputs!$I$8+(((A104)+1)/2)*(Inputs!$J$8-Inputs!$I$8)))/Inputs!$K$8)^2))*((2*Inputs!$L$8*((Inputs!$I$8+(((A104)+1)/2)*(Inputs!$J$8-Inputs!$I$8)))/(Inputs!$K$8^2)*Inputs!$C$11)))/(SQRT(((Inputs!$I$8+(((A104)+1)/2)*(Inputs!$J$8-Inputs!$I$8)))^2+Inputs!$C$6^2+((Inputs!$H$8+Inputs!$L$8*(((Inputs!$I$8+(((A104)+1)/2)*(Inputs!$J$8-Inputs!$I$8)))/Inputs!$K$8)^2))^2)))))/Inputs!$C$13),NA())</f>
        <v>1664.7112114394974</v>
      </c>
      <c r="Q104" s="9">
        <f>IF(OR(Inputs!$F$9=TRUE,Inputs!$F$9="TRUE",Inputs!$F$9=1),(-2*((1000*((((Inputs!$I$9+(((A104)+1)/2)*(Inputs!$J$9-Inputs!$I$9)))*Inputs!$C$11+((Inputs!$H$9+Inputs!$L$9*(((Inputs!$I$9+(((A104)+1)/2)*(Inputs!$J$9-Inputs!$I$9)))/Inputs!$K$9)^2))*((2*Inputs!$L$9*((Inputs!$I$9+(((A104)+1)/2)*(Inputs!$J$9-Inputs!$I$9)))/(Inputs!$K$9^2)*Inputs!$C$11)))/(SQRT(((Inputs!$I$9+(((A104)+1)/2)*(Inputs!$J$9-Inputs!$I$9)))^2+Inputs!$C$6^2+((Inputs!$H$9+Inputs!$L$9*(((Inputs!$I$9+(((A104)+1)/2)*(Inputs!$J$9-Inputs!$I$9)))/Inputs!$K$9)^2))^2)))))/Inputs!$C$13),NA())</f>
        <v>1671.9882707419597</v>
      </c>
      <c r="R104" s="10"/>
      <c r="S104" s="9">
        <f t="shared" si="8"/>
        <v>-0.15</v>
      </c>
      <c r="T104" s="9">
        <f>(Inputs!$I$6+(((A104)+1)/2)*(Inputs!$J$6-Inputs!$I$6))</f>
        <v>-9</v>
      </c>
      <c r="U104" s="9">
        <f>(Inputs!$I$7+(((A104)+1)/2)*(Inputs!$J$7-Inputs!$I$7))</f>
        <v>-60</v>
      </c>
      <c r="V104" s="9">
        <f>(Inputs!$I$8+(((A104)+1)/2)*(Inputs!$J$8-Inputs!$I$8))</f>
        <v>-120</v>
      </c>
      <c r="W104" s="9">
        <f>(Inputs!$I$9+(((A104)+1)/2)*(Inputs!$J$9-Inputs!$I$9))</f>
        <v>-120</v>
      </c>
      <c r="X104" s="10"/>
      <c r="Y104" s="9">
        <f t="shared" si="9"/>
        <v>-0.15</v>
      </c>
      <c r="Z104" s="9">
        <f>(Inputs!$H$6+Inputs!$L$6*(((Inputs!$I$6+(((A104)+1)/2)*(Inputs!$J$6-Inputs!$I$6)))/Inputs!$K$6)^2)</f>
        <v>400.09</v>
      </c>
      <c r="AA104" s="9">
        <f>(Inputs!$H$7+Inputs!$L$7*(((Inputs!$I$7+(((A104)+1)/2)*(Inputs!$J$7-Inputs!$I$7)))/Inputs!$K$7)^2)</f>
        <v>43.212499999999999</v>
      </c>
      <c r="AB104" s="9">
        <f>(Inputs!$H$8+Inputs!$L$8*(((Inputs!$I$8+(((A104)+1)/2)*(Inputs!$J$8-Inputs!$I$8)))/Inputs!$K$8)^2)</f>
        <v>56.712499999999999</v>
      </c>
      <c r="AC104" s="9">
        <f>(Inputs!$H$9+Inputs!$L$9*(((Inputs!$I$9+(((A104)+1)/2)*(Inputs!$J$9-Inputs!$I$9)))/Inputs!$K$9)^2)</f>
        <v>46.9375</v>
      </c>
      <c r="AD104" s="10"/>
      <c r="AE104" s="9">
        <f t="shared" si="10"/>
        <v>-0.15</v>
      </c>
      <c r="AF104" s="9">
        <f>(((SQRT(((Inputs!$I$6+(((A104)+1)/2)*(Inputs!$J$6-Inputs!$I$6)))^2+Inputs!$C$6^2+((Inputs!$H$6+Inputs!$L$6*(((Inputs!$I$6+(((A104)+1)/2)*(Inputs!$J$6-Inputs!$I$6)))/Inputs!$K$6)^2))^2))-((Inputs!$H$6+Inputs!$L$6*(((Inputs!$I$6+(((A104)+1)/2)*(Inputs!$J$6-Inputs!$I$6)))/Inputs!$K$6)^2)))*1000/Inputs!$C$12)</f>
        <v>495.12964644237769</v>
      </c>
      <c r="AG104" s="9">
        <f>(((SQRT(((Inputs!$I$7+(((A104)+1)/2)*(Inputs!$J$7-Inputs!$I$7)))^2+Inputs!$C$6^2+((Inputs!$H$7+Inputs!$L$7*(((Inputs!$I$7+(((A104)+1)/2)*(Inputs!$J$7-Inputs!$I$7)))/Inputs!$K$7)^2))^2))-((Inputs!$H$7+Inputs!$L$7*(((Inputs!$I$7+(((A104)+1)/2)*(Inputs!$J$7-Inputs!$I$7)))/Inputs!$K$7)^2)))*1000/Inputs!$C$12)</f>
        <v>19573.492198365329</v>
      </c>
      <c r="AH104" s="9">
        <f>(((SQRT(((Inputs!$I$8+(((A104)+1)/2)*(Inputs!$J$8-Inputs!$I$8)))^2+Inputs!$C$6^2+((Inputs!$H$8+Inputs!$L$8*(((Inputs!$I$8+(((A104)+1)/2)*(Inputs!$J$8-Inputs!$I$8)))/Inputs!$K$8)^2))^2))-((Inputs!$H$8+Inputs!$L$8*(((Inputs!$I$8+(((A104)+1)/2)*(Inputs!$J$8-Inputs!$I$8)))/Inputs!$K$8)^2)))*1000/Inputs!$C$12)</f>
        <v>44015.665854920902</v>
      </c>
      <c r="AI104" s="9">
        <f>(((SQRT(((Inputs!$I$9+(((A104)+1)/2)*(Inputs!$J$9-Inputs!$I$9)))^2+Inputs!$C$6^2+((Inputs!$H$9+Inputs!$L$9*(((Inputs!$I$9+(((A104)+1)/2)*(Inputs!$J$9-Inputs!$I$9)))/Inputs!$K$9)^2))^2))-((Inputs!$H$9+Inputs!$L$9*(((Inputs!$I$9+(((A104)+1)/2)*(Inputs!$J$9-Inputs!$I$9)))/Inputs!$K$9)^2)))*1000/Inputs!$C$12)</f>
        <v>47369.925351831793</v>
      </c>
      <c r="AJ104" s="10"/>
      <c r="AK104" s="9">
        <f t="shared" si="11"/>
        <v>-0.15</v>
      </c>
      <c r="AL104" s="9">
        <f>(-2*((1000*((((Inputs!$I$6+(((A104)+1)/2)*(Inputs!$J$6-Inputs!$I$6)))*Inputs!$C$11+((Inputs!$H$6+Inputs!$L$6*(((Inputs!$I$6+(((A104)+1)/2)*(Inputs!$J$6-Inputs!$I$6)))/Inputs!$K$6)^2))*((2*Inputs!$L$6*((Inputs!$I$6+(((A104)+1)/2)*(Inputs!$J$6-Inputs!$I$6)))/(Inputs!$K$6^2)*Inputs!$C$11)))/(SQRT(((Inputs!$I$6+(((A104)+1)/2)*(Inputs!$J$6-Inputs!$I$6)))^2+Inputs!$C$6^2+((Inputs!$H$6+Inputs!$L$6*(((Inputs!$I$6+(((A104)+1)/2)*(Inputs!$J$6-Inputs!$I$6)))/Inputs!$K$6)^2))^2)))))/Inputs!$C$13)</f>
        <v>67.842456336506729</v>
      </c>
      <c r="AM104" s="9">
        <f>(-2*((1000*((((Inputs!$I$7+(((A104)+1)/2)*(Inputs!$J$7-Inputs!$I$7)))*Inputs!$C$11+((Inputs!$H$7+Inputs!$L$7*(((Inputs!$I$7+(((A104)+1)/2)*(Inputs!$J$7-Inputs!$I$7)))/Inputs!$K$7)^2))*((2*Inputs!$L$7*((Inputs!$I$7+(((A104)+1)/2)*(Inputs!$J$7-Inputs!$I$7)))/(Inputs!$K$7^2)*Inputs!$C$11)))/(SQRT(((Inputs!$I$7+(((A104)+1)/2)*(Inputs!$J$7-Inputs!$I$7)))^2+Inputs!$C$6^2+((Inputs!$H$7+Inputs!$L$7*(((Inputs!$I$7+(((A104)+1)/2)*(Inputs!$J$7-Inputs!$I$7)))/Inputs!$K$7)^2))^2)))))/Inputs!$C$13)</f>
        <v>1472.4175822777838</v>
      </c>
      <c r="AN104" s="9">
        <f>(-2*((1000*((((Inputs!$I$8+(((A104)+1)/2)*(Inputs!$J$8-Inputs!$I$8)))*Inputs!$C$11+((Inputs!$H$8+Inputs!$L$8*(((Inputs!$I$8+(((A104)+1)/2)*(Inputs!$J$8-Inputs!$I$8)))/Inputs!$K$8)^2))*((2*Inputs!$L$8*((Inputs!$I$8+(((A104)+1)/2)*(Inputs!$J$8-Inputs!$I$8)))/(Inputs!$K$8^2)*Inputs!$C$11)))/(SQRT(((Inputs!$I$8+(((A104)+1)/2)*(Inputs!$J$8-Inputs!$I$8)))^2+Inputs!$C$6^2+((Inputs!$H$8+Inputs!$L$8*(((Inputs!$I$8+(((A104)+1)/2)*(Inputs!$J$8-Inputs!$I$8)))/Inputs!$K$8)^2))^2)))))/Inputs!$C$13)</f>
        <v>1664.7112114394974</v>
      </c>
      <c r="AO104" s="9">
        <f>(-2*((1000*((((Inputs!$I$9+(((A104)+1)/2)*(Inputs!$J$9-Inputs!$I$9)))*Inputs!$C$11+((Inputs!$H$9+Inputs!$L$9*(((Inputs!$I$9+(((A104)+1)/2)*(Inputs!$J$9-Inputs!$I$9)))/Inputs!$K$9)^2))*((2*Inputs!$L$9*((Inputs!$I$9+(((A104)+1)/2)*(Inputs!$J$9-Inputs!$I$9)))/(Inputs!$K$9^2)*Inputs!$C$11)))/(SQRT(((Inputs!$I$9+(((A104)+1)/2)*(Inputs!$J$9-Inputs!$I$9)))^2+Inputs!$C$6^2+((Inputs!$H$9+Inputs!$L$9*(((Inputs!$I$9+(((A104)+1)/2)*(Inputs!$J$9-Inputs!$I$9)))/Inputs!$K$9)^2))^2)))))/Inputs!$C$13)</f>
        <v>1671.9882707419597</v>
      </c>
    </row>
    <row r="105" spans="1:41">
      <c r="A105" s="9">
        <f>ROUND(-1+103*2/240,3)</f>
        <v>-0.14199999999999999</v>
      </c>
      <c r="B105" s="9">
        <f>IF(OR(Inputs!$F$6=TRUE,Inputs!$F$6="TRUE",Inputs!$F$6=1),(Inputs!$H$6+Inputs!$L$6*(((Inputs!$I$6+(((A105)+1)/2)*(Inputs!$J$6-Inputs!$I$6)))/Inputs!$K$6)^2),NA())</f>
        <v>400.08065599999998</v>
      </c>
      <c r="C105" s="9">
        <f>IF(OR(Inputs!$F$7=TRUE,Inputs!$F$7="TRUE",Inputs!$F$7=1),(Inputs!$H$7+Inputs!$L$7*(((Inputs!$I$7+(((A105)+1)/2)*(Inputs!$J$7-Inputs!$I$7)))/Inputs!$K$7)^2),NA())</f>
        <v>42.359860000000005</v>
      </c>
      <c r="D105" s="9">
        <f>IF(OR(Inputs!$F$8=TRUE,Inputs!$F$8="TRUE",Inputs!$F$8=1),(Inputs!$H$8+Inputs!$L$8*(((Inputs!$I$8+(((A105)+1)/2)*(Inputs!$J$8-Inputs!$I$8)))/Inputs!$K$8)^2),NA())</f>
        <v>54.45826000000001</v>
      </c>
      <c r="E105" s="9">
        <f>IF(OR(Inputs!$F$9=TRUE,Inputs!$F$9="TRUE",Inputs!$F$9=1),(Inputs!$H$9+Inputs!$L$9*(((Inputs!$I$9+(((A105)+1)/2)*(Inputs!$J$9-Inputs!$I$9)))/Inputs!$K$9)^2),NA())</f>
        <v>44.659900000000007</v>
      </c>
      <c r="F105" s="10"/>
      <c r="G105" s="9">
        <f t="shared" si="6"/>
        <v>-0.14199999999999999</v>
      </c>
      <c r="H105" s="9">
        <f>IF(OR(Inputs!$F$6=TRUE,Inputs!$F$6="TRUE",Inputs!$F$6=1),(((SQRT(((Inputs!$I$6+(((A105)+1)/2)*(Inputs!$J$6-Inputs!$I$6)))^2+Inputs!$C$6^2+((Inputs!$H$6+Inputs!$L$6*(((Inputs!$I$6+(((A105)+1)/2)*(Inputs!$J$6-Inputs!$I$6)))/Inputs!$K$6)^2))^2))-((Inputs!$H$6+Inputs!$L$6*(((Inputs!$I$6+(((A105)+1)/2)*(Inputs!$J$6-Inputs!$I$6)))/Inputs!$K$6)^2)))*1000/Inputs!$C$12),NA())</f>
        <v>489.24965894113654</v>
      </c>
      <c r="I105" s="9">
        <f>IF(OR(Inputs!$F$7=TRUE,Inputs!$F$7="TRUE",Inputs!$F$7=1),(((SQRT(((Inputs!$I$7+(((A105)+1)/2)*(Inputs!$J$7-Inputs!$I$7)))^2+Inputs!$C$6^2+((Inputs!$H$7+Inputs!$L$7*(((Inputs!$I$7+(((A105)+1)/2)*(Inputs!$J$7-Inputs!$I$7)))/Inputs!$K$7)^2))^2))-((Inputs!$H$7+Inputs!$L$7*(((Inputs!$I$7+(((A105)+1)/2)*(Inputs!$J$7-Inputs!$I$7)))/Inputs!$K$7)^2)))*1000/Inputs!$C$12),NA())</f>
        <v>18414.231900224935</v>
      </c>
      <c r="J105" s="9">
        <f>IF(OR(Inputs!$F$8=TRUE,Inputs!$F$8="TRUE",Inputs!$F$8=1),(((SQRT(((Inputs!$I$8+(((A105)+1)/2)*(Inputs!$J$8-Inputs!$I$8)))^2+Inputs!$C$6^2+((Inputs!$H$8+Inputs!$L$8*(((Inputs!$I$8+(((A105)+1)/2)*(Inputs!$J$8-Inputs!$I$8)))/Inputs!$K$8)^2))^2))-((Inputs!$H$8+Inputs!$L$8*(((Inputs!$I$8+(((A105)+1)/2)*(Inputs!$J$8-Inputs!$I$8)))/Inputs!$K$8)^2)))*1000/Inputs!$C$12),NA())</f>
        <v>41560.21312060218</v>
      </c>
      <c r="K105" s="9">
        <f>IF(OR(Inputs!$F$9=TRUE,Inputs!$F$9="TRUE",Inputs!$F$9=1),(((SQRT(((Inputs!$I$9+(((A105)+1)/2)*(Inputs!$J$9-Inputs!$I$9)))^2+Inputs!$C$6^2+((Inputs!$H$9+Inputs!$L$9*(((Inputs!$I$9+(((A105)+1)/2)*(Inputs!$J$9-Inputs!$I$9)))/Inputs!$K$9)^2))^2))-((Inputs!$H$9+Inputs!$L$9*(((Inputs!$I$9+(((A105)+1)/2)*(Inputs!$J$9-Inputs!$I$9)))/Inputs!$K$9)^2)))*1000/Inputs!$C$12),NA())</f>
        <v>44908.605470695031</v>
      </c>
      <c r="L105" s="10"/>
      <c r="M105" s="9">
        <f t="shared" si="7"/>
        <v>-0.14199999999999999</v>
      </c>
      <c r="N105" s="9">
        <f>IF(OR(Inputs!$F$6=TRUE,Inputs!$F$6="TRUE",Inputs!$F$6=1),(-2*((1000*((((Inputs!$I$6+(((A105)+1)/2)*(Inputs!$J$6-Inputs!$I$6)))*Inputs!$C$11+((Inputs!$H$6+Inputs!$L$6*(((Inputs!$I$6+(((A105)+1)/2)*(Inputs!$J$6-Inputs!$I$6)))/Inputs!$K$6)^2))*((2*Inputs!$L$6*((Inputs!$I$6+(((A105)+1)/2)*(Inputs!$J$6-Inputs!$I$6)))/(Inputs!$K$6^2)*Inputs!$C$11)))/(SQRT(((Inputs!$I$6+(((A105)+1)/2)*(Inputs!$J$6-Inputs!$I$6)))^2+Inputs!$C$6^2+((Inputs!$H$6+Inputs!$L$6*(((Inputs!$I$6+(((A105)+1)/2)*(Inputs!$J$6-Inputs!$I$6)))/Inputs!$K$6)^2))^2)))))/Inputs!$C$13),NA())</f>
        <v>64.226659240975181</v>
      </c>
      <c r="O105" s="9">
        <f>IF(OR(Inputs!$F$7=TRUE,Inputs!$F$7="TRUE",Inputs!$F$7=1),(-2*((1000*((((Inputs!$I$7+(((A105)+1)/2)*(Inputs!$J$7-Inputs!$I$7)))*Inputs!$C$11+((Inputs!$H$7+Inputs!$L$7*(((Inputs!$I$7+(((A105)+1)/2)*(Inputs!$J$7-Inputs!$I$7)))/Inputs!$K$7)^2))*((2*Inputs!$L$7*((Inputs!$I$7+(((A105)+1)/2)*(Inputs!$J$7-Inputs!$I$7)))/(Inputs!$K$7^2)*Inputs!$C$11)))/(SQRT(((Inputs!$I$7+(((A105)+1)/2)*(Inputs!$J$7-Inputs!$I$7)))^2+Inputs!$C$6^2+((Inputs!$H$7+Inputs!$L$7*(((Inputs!$I$7+(((A105)+1)/2)*(Inputs!$J$7-Inputs!$I$7)))/Inputs!$K$7)^2))^2)))))/Inputs!$C$13),NA())</f>
        <v>1443.2811279555976</v>
      </c>
      <c r="P105" s="9">
        <f>IF(OR(Inputs!$F$8=TRUE,Inputs!$F$8="TRUE",Inputs!$F$8=1),(-2*((1000*((((Inputs!$I$8+(((A105)+1)/2)*(Inputs!$J$8-Inputs!$I$8)))*Inputs!$C$11+((Inputs!$H$8+Inputs!$L$8*(((Inputs!$I$8+(((A105)+1)/2)*(Inputs!$J$8-Inputs!$I$8)))/Inputs!$K$8)^2))*((2*Inputs!$L$8*((Inputs!$I$8+(((A105)+1)/2)*(Inputs!$J$8-Inputs!$I$8)))/(Inputs!$K$8^2)*Inputs!$C$11)))/(SQRT(((Inputs!$I$8+(((A105)+1)/2)*(Inputs!$J$8-Inputs!$I$8)))^2+Inputs!$C$6^2+((Inputs!$H$8+Inputs!$L$8*(((Inputs!$I$8+(((A105)+1)/2)*(Inputs!$J$8-Inputs!$I$8)))/Inputs!$K$8)^2))^2)))))/Inputs!$C$13),NA())</f>
        <v>1647.5955743557993</v>
      </c>
      <c r="Q105" s="9">
        <f>IF(OR(Inputs!$F$9=TRUE,Inputs!$F$9="TRUE",Inputs!$F$9=1),(-2*((1000*((((Inputs!$I$9+(((A105)+1)/2)*(Inputs!$J$9-Inputs!$I$9)))*Inputs!$C$11+((Inputs!$H$9+Inputs!$L$9*(((Inputs!$I$9+(((A105)+1)/2)*(Inputs!$J$9-Inputs!$I$9)))/Inputs!$K$9)^2))*((2*Inputs!$L$9*((Inputs!$I$9+(((A105)+1)/2)*(Inputs!$J$9-Inputs!$I$9)))/(Inputs!$K$9^2)*Inputs!$C$11)))/(SQRT(((Inputs!$I$9+(((A105)+1)/2)*(Inputs!$J$9-Inputs!$I$9)))^2+Inputs!$C$6^2+((Inputs!$H$9+Inputs!$L$9*(((Inputs!$I$9+(((A105)+1)/2)*(Inputs!$J$9-Inputs!$I$9)))/Inputs!$K$9)^2))^2)))))/Inputs!$C$13),NA())</f>
        <v>1657.2814094009514</v>
      </c>
      <c r="R105" s="10"/>
      <c r="S105" s="9">
        <f t="shared" si="8"/>
        <v>-0.14199999999999999</v>
      </c>
      <c r="T105" s="9">
        <f>(Inputs!$I$6+(((A105)+1)/2)*(Inputs!$J$6-Inputs!$I$6))</f>
        <v>-8.5200000000000031</v>
      </c>
      <c r="U105" s="9">
        <f>(Inputs!$I$7+(((A105)+1)/2)*(Inputs!$J$7-Inputs!$I$7))</f>
        <v>-56.800000000000011</v>
      </c>
      <c r="V105" s="9">
        <f>(Inputs!$I$8+(((A105)+1)/2)*(Inputs!$J$8-Inputs!$I$8))</f>
        <v>-113.60000000000002</v>
      </c>
      <c r="W105" s="9">
        <f>(Inputs!$I$9+(((A105)+1)/2)*(Inputs!$J$9-Inputs!$I$9))</f>
        <v>-113.60000000000002</v>
      </c>
      <c r="X105" s="10"/>
      <c r="Y105" s="9">
        <f t="shared" si="9"/>
        <v>-0.14199999999999999</v>
      </c>
      <c r="Z105" s="9">
        <f>(Inputs!$H$6+Inputs!$L$6*(((Inputs!$I$6+(((A105)+1)/2)*(Inputs!$J$6-Inputs!$I$6)))/Inputs!$K$6)^2)</f>
        <v>400.08065599999998</v>
      </c>
      <c r="AA105" s="9">
        <f>(Inputs!$H$7+Inputs!$L$7*(((Inputs!$I$7+(((A105)+1)/2)*(Inputs!$J$7-Inputs!$I$7)))/Inputs!$K$7)^2)</f>
        <v>42.359860000000005</v>
      </c>
      <c r="AB105" s="9">
        <f>(Inputs!$H$8+Inputs!$L$8*(((Inputs!$I$8+(((A105)+1)/2)*(Inputs!$J$8-Inputs!$I$8)))/Inputs!$K$8)^2)</f>
        <v>54.45826000000001</v>
      </c>
      <c r="AC105" s="9">
        <f>(Inputs!$H$9+Inputs!$L$9*(((Inputs!$I$9+(((A105)+1)/2)*(Inputs!$J$9-Inputs!$I$9)))/Inputs!$K$9)^2)</f>
        <v>44.659900000000007</v>
      </c>
      <c r="AD105" s="10"/>
      <c r="AE105" s="9">
        <f t="shared" si="10"/>
        <v>-0.14199999999999999</v>
      </c>
      <c r="AF105" s="9">
        <f>(((SQRT(((Inputs!$I$6+(((A105)+1)/2)*(Inputs!$J$6-Inputs!$I$6)))^2+Inputs!$C$6^2+((Inputs!$H$6+Inputs!$L$6*(((Inputs!$I$6+(((A105)+1)/2)*(Inputs!$J$6-Inputs!$I$6)))/Inputs!$K$6)^2))^2))-((Inputs!$H$6+Inputs!$L$6*(((Inputs!$I$6+(((A105)+1)/2)*(Inputs!$J$6-Inputs!$I$6)))/Inputs!$K$6)^2)))*1000/Inputs!$C$12)</f>
        <v>489.24965894113654</v>
      </c>
      <c r="AG105" s="9">
        <f>(((SQRT(((Inputs!$I$7+(((A105)+1)/2)*(Inputs!$J$7-Inputs!$I$7)))^2+Inputs!$C$6^2+((Inputs!$H$7+Inputs!$L$7*(((Inputs!$I$7+(((A105)+1)/2)*(Inputs!$J$7-Inputs!$I$7)))/Inputs!$K$7)^2))^2))-((Inputs!$H$7+Inputs!$L$7*(((Inputs!$I$7+(((A105)+1)/2)*(Inputs!$J$7-Inputs!$I$7)))/Inputs!$K$7)^2)))*1000/Inputs!$C$12)</f>
        <v>18414.231900224935</v>
      </c>
      <c r="AH105" s="9">
        <f>(((SQRT(((Inputs!$I$8+(((A105)+1)/2)*(Inputs!$J$8-Inputs!$I$8)))^2+Inputs!$C$6^2+((Inputs!$H$8+Inputs!$L$8*(((Inputs!$I$8+(((A105)+1)/2)*(Inputs!$J$8-Inputs!$I$8)))/Inputs!$K$8)^2))^2))-((Inputs!$H$8+Inputs!$L$8*(((Inputs!$I$8+(((A105)+1)/2)*(Inputs!$J$8-Inputs!$I$8)))/Inputs!$K$8)^2)))*1000/Inputs!$C$12)</f>
        <v>41560.21312060218</v>
      </c>
      <c r="AI105" s="9">
        <f>(((SQRT(((Inputs!$I$9+(((A105)+1)/2)*(Inputs!$J$9-Inputs!$I$9)))^2+Inputs!$C$6^2+((Inputs!$H$9+Inputs!$L$9*(((Inputs!$I$9+(((A105)+1)/2)*(Inputs!$J$9-Inputs!$I$9)))/Inputs!$K$9)^2))^2))-((Inputs!$H$9+Inputs!$L$9*(((Inputs!$I$9+(((A105)+1)/2)*(Inputs!$J$9-Inputs!$I$9)))/Inputs!$K$9)^2)))*1000/Inputs!$C$12)</f>
        <v>44908.605470695031</v>
      </c>
      <c r="AJ105" s="10"/>
      <c r="AK105" s="9">
        <f t="shared" si="11"/>
        <v>-0.14199999999999999</v>
      </c>
      <c r="AL105" s="9">
        <f>(-2*((1000*((((Inputs!$I$6+(((A105)+1)/2)*(Inputs!$J$6-Inputs!$I$6)))*Inputs!$C$11+((Inputs!$H$6+Inputs!$L$6*(((Inputs!$I$6+(((A105)+1)/2)*(Inputs!$J$6-Inputs!$I$6)))/Inputs!$K$6)^2))*((2*Inputs!$L$6*((Inputs!$I$6+(((A105)+1)/2)*(Inputs!$J$6-Inputs!$I$6)))/(Inputs!$K$6^2)*Inputs!$C$11)))/(SQRT(((Inputs!$I$6+(((A105)+1)/2)*(Inputs!$J$6-Inputs!$I$6)))^2+Inputs!$C$6^2+((Inputs!$H$6+Inputs!$L$6*(((Inputs!$I$6+(((A105)+1)/2)*(Inputs!$J$6-Inputs!$I$6)))/Inputs!$K$6)^2))^2)))))/Inputs!$C$13)</f>
        <v>64.226659240975181</v>
      </c>
      <c r="AM105" s="9">
        <f>(-2*((1000*((((Inputs!$I$7+(((A105)+1)/2)*(Inputs!$J$7-Inputs!$I$7)))*Inputs!$C$11+((Inputs!$H$7+Inputs!$L$7*(((Inputs!$I$7+(((A105)+1)/2)*(Inputs!$J$7-Inputs!$I$7)))/Inputs!$K$7)^2))*((2*Inputs!$L$7*((Inputs!$I$7+(((A105)+1)/2)*(Inputs!$J$7-Inputs!$I$7)))/(Inputs!$K$7^2)*Inputs!$C$11)))/(SQRT(((Inputs!$I$7+(((A105)+1)/2)*(Inputs!$J$7-Inputs!$I$7)))^2+Inputs!$C$6^2+((Inputs!$H$7+Inputs!$L$7*(((Inputs!$I$7+(((A105)+1)/2)*(Inputs!$J$7-Inputs!$I$7)))/Inputs!$K$7)^2))^2)))))/Inputs!$C$13)</f>
        <v>1443.2811279555976</v>
      </c>
      <c r="AN105" s="9">
        <f>(-2*((1000*((((Inputs!$I$8+(((A105)+1)/2)*(Inputs!$J$8-Inputs!$I$8)))*Inputs!$C$11+((Inputs!$H$8+Inputs!$L$8*(((Inputs!$I$8+(((A105)+1)/2)*(Inputs!$J$8-Inputs!$I$8)))/Inputs!$K$8)^2))*((2*Inputs!$L$8*((Inputs!$I$8+(((A105)+1)/2)*(Inputs!$J$8-Inputs!$I$8)))/(Inputs!$K$8^2)*Inputs!$C$11)))/(SQRT(((Inputs!$I$8+(((A105)+1)/2)*(Inputs!$J$8-Inputs!$I$8)))^2+Inputs!$C$6^2+((Inputs!$H$8+Inputs!$L$8*(((Inputs!$I$8+(((A105)+1)/2)*(Inputs!$J$8-Inputs!$I$8)))/Inputs!$K$8)^2))^2)))))/Inputs!$C$13)</f>
        <v>1647.5955743557993</v>
      </c>
      <c r="AO105" s="9">
        <f>(-2*((1000*((((Inputs!$I$9+(((A105)+1)/2)*(Inputs!$J$9-Inputs!$I$9)))*Inputs!$C$11+((Inputs!$H$9+Inputs!$L$9*(((Inputs!$I$9+(((A105)+1)/2)*(Inputs!$J$9-Inputs!$I$9)))/Inputs!$K$9)^2))*((2*Inputs!$L$9*((Inputs!$I$9+(((A105)+1)/2)*(Inputs!$J$9-Inputs!$I$9)))/(Inputs!$K$9^2)*Inputs!$C$11)))/(SQRT(((Inputs!$I$9+(((A105)+1)/2)*(Inputs!$J$9-Inputs!$I$9)))^2+Inputs!$C$6^2+((Inputs!$H$9+Inputs!$L$9*(((Inputs!$I$9+(((A105)+1)/2)*(Inputs!$J$9-Inputs!$I$9)))/Inputs!$K$9)^2))^2)))))/Inputs!$C$13)</f>
        <v>1657.2814094009514</v>
      </c>
    </row>
    <row r="106" spans="1:41">
      <c r="A106" s="9">
        <f>ROUND(-1+104*2/240,3)</f>
        <v>-0.13300000000000001</v>
      </c>
      <c r="B106" s="9">
        <f>IF(OR(Inputs!$F$6=TRUE,Inputs!$F$6="TRUE",Inputs!$F$6=1),(Inputs!$H$6+Inputs!$L$6*(((Inputs!$I$6+(((A106)+1)/2)*(Inputs!$J$6-Inputs!$I$6)))/Inputs!$K$6)^2),NA())</f>
        <v>400.07075600000002</v>
      </c>
      <c r="C106" s="9">
        <f>IF(OR(Inputs!$F$7=TRUE,Inputs!$F$7="TRUE",Inputs!$F$7=1),(Inputs!$H$7+Inputs!$L$7*(((Inputs!$I$7+(((A106)+1)/2)*(Inputs!$J$7-Inputs!$I$7)))/Inputs!$K$7)^2),NA())</f>
        <v>41.456485000000001</v>
      </c>
      <c r="D106" s="9">
        <f>IF(OR(Inputs!$F$8=TRUE,Inputs!$F$8="TRUE",Inputs!$F$8=1),(Inputs!$H$8+Inputs!$L$8*(((Inputs!$I$8+(((A106)+1)/2)*(Inputs!$J$8-Inputs!$I$8)))/Inputs!$K$8)^2),NA())</f>
        <v>52.069884999999992</v>
      </c>
      <c r="E106" s="9">
        <f>IF(OR(Inputs!$F$9=TRUE,Inputs!$F$9="TRUE",Inputs!$F$9=1),(Inputs!$H$9+Inputs!$L$9*(((Inputs!$I$9+(((A106)+1)/2)*(Inputs!$J$9-Inputs!$I$9)))/Inputs!$K$9)^2),NA())</f>
        <v>42.246774999999992</v>
      </c>
      <c r="F106" s="10"/>
      <c r="G106" s="9">
        <f t="shared" si="6"/>
        <v>-0.13300000000000001</v>
      </c>
      <c r="H106" s="9">
        <f>IF(OR(Inputs!$F$6=TRUE,Inputs!$F$6="TRUE",Inputs!$F$6=1),(((SQRT(((Inputs!$I$6+(((A106)+1)/2)*(Inputs!$J$6-Inputs!$I$6)))^2+Inputs!$C$6^2+((Inputs!$H$6+Inputs!$L$6*(((Inputs!$I$6+(((A106)+1)/2)*(Inputs!$J$6-Inputs!$I$6)))/Inputs!$K$6)^2))^2))-((Inputs!$H$6+Inputs!$L$6*(((Inputs!$I$6+(((A106)+1)/2)*(Inputs!$J$6-Inputs!$I$6)))/Inputs!$K$6)^2)))*1000/Inputs!$C$12),NA())</f>
        <v>483.01932555279075</v>
      </c>
      <c r="I106" s="9">
        <f>IF(OR(Inputs!$F$7=TRUE,Inputs!$F$7="TRUE",Inputs!$F$7=1),(((SQRT(((Inputs!$I$7+(((A106)+1)/2)*(Inputs!$J$7-Inputs!$I$7)))^2+Inputs!$C$6^2+((Inputs!$H$7+Inputs!$L$7*(((Inputs!$I$7+(((A106)+1)/2)*(Inputs!$J$7-Inputs!$I$7)))/Inputs!$K$7)^2))^2))-((Inputs!$H$7+Inputs!$L$7*(((Inputs!$I$7+(((A106)+1)/2)*(Inputs!$J$7-Inputs!$I$7)))/Inputs!$K$7)^2)))*1000/Inputs!$C$12),NA())</f>
        <v>17119.777484814567</v>
      </c>
      <c r="J106" s="9">
        <f>IF(OR(Inputs!$F$8=TRUE,Inputs!$F$8="TRUE",Inputs!$F$8=1),(((SQRT(((Inputs!$I$8+(((A106)+1)/2)*(Inputs!$J$8-Inputs!$I$8)))^2+Inputs!$C$6^2+((Inputs!$H$8+Inputs!$L$8*(((Inputs!$I$8+(((A106)+1)/2)*(Inputs!$J$8-Inputs!$I$8)))/Inputs!$K$8)^2))^2))-((Inputs!$H$8+Inputs!$L$8*(((Inputs!$I$8+(((A106)+1)/2)*(Inputs!$J$8-Inputs!$I$8)))/Inputs!$K$8)^2)))*1000/Inputs!$C$12),NA())</f>
        <v>38762.45764908813</v>
      </c>
      <c r="K106" s="9">
        <f>IF(OR(Inputs!$F$9=TRUE,Inputs!$F$9="TRUE",Inputs!$F$9=1),(((SQRT(((Inputs!$I$9+(((A106)+1)/2)*(Inputs!$J$9-Inputs!$I$9)))^2+Inputs!$C$6^2+((Inputs!$H$9+Inputs!$L$9*(((Inputs!$I$9+(((A106)+1)/2)*(Inputs!$J$9-Inputs!$I$9)))/Inputs!$K$9)^2))^2))-((Inputs!$H$9+Inputs!$L$9*(((Inputs!$I$9+(((A106)+1)/2)*(Inputs!$J$9-Inputs!$I$9)))/Inputs!$K$9)^2)))*1000/Inputs!$C$12),NA())</f>
        <v>42096.352787587908</v>
      </c>
      <c r="L106" s="10"/>
      <c r="M106" s="9">
        <f t="shared" si="7"/>
        <v>-0.13300000000000001</v>
      </c>
      <c r="N106" s="9">
        <f>IF(OR(Inputs!$F$6=TRUE,Inputs!$F$6="TRUE",Inputs!$F$6=1),(-2*((1000*((((Inputs!$I$6+(((A106)+1)/2)*(Inputs!$J$6-Inputs!$I$6)))*Inputs!$C$11+((Inputs!$H$6+Inputs!$L$6*(((Inputs!$I$6+(((A106)+1)/2)*(Inputs!$J$6-Inputs!$I$6)))/Inputs!$K$6)^2))*((2*Inputs!$L$6*((Inputs!$I$6+(((A106)+1)/2)*(Inputs!$J$6-Inputs!$I$6)))/(Inputs!$K$6^2)*Inputs!$C$11)))/(SQRT(((Inputs!$I$6+(((A106)+1)/2)*(Inputs!$J$6-Inputs!$I$6)))^2+Inputs!$C$6^2+((Inputs!$H$6+Inputs!$L$6*(((Inputs!$I$6+(((A106)+1)/2)*(Inputs!$J$6-Inputs!$I$6)))/Inputs!$K$6)^2))^2)))))/Inputs!$C$13),NA())</f>
        <v>60.15840423245983</v>
      </c>
      <c r="O106" s="9">
        <f>IF(OR(Inputs!$F$7=TRUE,Inputs!$F$7="TRUE",Inputs!$F$7=1),(-2*((1000*((((Inputs!$I$7+(((A106)+1)/2)*(Inputs!$J$7-Inputs!$I$7)))*Inputs!$C$11+((Inputs!$H$7+Inputs!$L$7*(((Inputs!$I$7+(((A106)+1)/2)*(Inputs!$J$7-Inputs!$I$7)))/Inputs!$K$7)^2))*((2*Inputs!$L$7*((Inputs!$I$7+(((A106)+1)/2)*(Inputs!$J$7-Inputs!$I$7)))/(Inputs!$K$7^2)*Inputs!$C$11)))/(SQRT(((Inputs!$I$7+(((A106)+1)/2)*(Inputs!$J$7-Inputs!$I$7)))^2+Inputs!$C$6^2+((Inputs!$H$7+Inputs!$L$7*(((Inputs!$I$7+(((A106)+1)/2)*(Inputs!$J$7-Inputs!$I$7)))/Inputs!$K$7)^2))^2)))))/Inputs!$C$13),NA())</f>
        <v>1407.2080948799503</v>
      </c>
      <c r="P106" s="9">
        <f>IF(OR(Inputs!$F$8=TRUE,Inputs!$F$8="TRUE",Inputs!$F$8=1),(-2*((1000*((((Inputs!$I$8+(((A106)+1)/2)*(Inputs!$J$8-Inputs!$I$8)))*Inputs!$C$11+((Inputs!$H$8+Inputs!$L$8*(((Inputs!$I$8+(((A106)+1)/2)*(Inputs!$J$8-Inputs!$I$8)))/Inputs!$K$8)^2))*((2*Inputs!$L$8*((Inputs!$I$8+(((A106)+1)/2)*(Inputs!$J$8-Inputs!$I$8)))/(Inputs!$K$8^2)*Inputs!$C$11)))/(SQRT(((Inputs!$I$8+(((A106)+1)/2)*(Inputs!$J$8-Inputs!$I$8)))^2+Inputs!$C$6^2+((Inputs!$H$8+Inputs!$L$8*(((Inputs!$I$8+(((A106)+1)/2)*(Inputs!$J$8-Inputs!$I$8)))/Inputs!$K$8)^2))^2)))))/Inputs!$C$13),NA())</f>
        <v>1626.9630912575853</v>
      </c>
      <c r="Q106" s="9">
        <f>IF(OR(Inputs!$F$9=TRUE,Inputs!$F$9="TRUE",Inputs!$F$9=1),(-2*((1000*((((Inputs!$I$9+(((A106)+1)/2)*(Inputs!$J$9-Inputs!$I$9)))*Inputs!$C$11+((Inputs!$H$9+Inputs!$L$9*(((Inputs!$I$9+(((A106)+1)/2)*(Inputs!$J$9-Inputs!$I$9)))/Inputs!$K$9)^2))*((2*Inputs!$L$9*((Inputs!$I$9+(((A106)+1)/2)*(Inputs!$J$9-Inputs!$I$9)))/(Inputs!$K$9^2)*Inputs!$C$11)))/(SQRT(((Inputs!$I$9+(((A106)+1)/2)*(Inputs!$J$9-Inputs!$I$9)))^2+Inputs!$C$6^2+((Inputs!$H$9+Inputs!$L$9*(((Inputs!$I$9+(((A106)+1)/2)*(Inputs!$J$9-Inputs!$I$9)))/Inputs!$K$9)^2))^2)))))/Inputs!$C$13),NA())</f>
        <v>1639.8380086774882</v>
      </c>
      <c r="R106" s="10"/>
      <c r="S106" s="9">
        <f t="shared" si="8"/>
        <v>-0.13300000000000001</v>
      </c>
      <c r="T106" s="9">
        <f>(Inputs!$I$6+(((A106)+1)/2)*(Inputs!$J$6-Inputs!$I$6))</f>
        <v>-7.980000000000004</v>
      </c>
      <c r="U106" s="9">
        <f>(Inputs!$I$7+(((A106)+1)/2)*(Inputs!$J$7-Inputs!$I$7))</f>
        <v>-53.199999999999989</v>
      </c>
      <c r="V106" s="9">
        <f>(Inputs!$I$8+(((A106)+1)/2)*(Inputs!$J$8-Inputs!$I$8))</f>
        <v>-106.39999999999998</v>
      </c>
      <c r="W106" s="9">
        <f>(Inputs!$I$9+(((A106)+1)/2)*(Inputs!$J$9-Inputs!$I$9))</f>
        <v>-106.39999999999998</v>
      </c>
      <c r="X106" s="10"/>
      <c r="Y106" s="9">
        <f t="shared" si="9"/>
        <v>-0.13300000000000001</v>
      </c>
      <c r="Z106" s="9">
        <f>(Inputs!$H$6+Inputs!$L$6*(((Inputs!$I$6+(((A106)+1)/2)*(Inputs!$J$6-Inputs!$I$6)))/Inputs!$K$6)^2)</f>
        <v>400.07075600000002</v>
      </c>
      <c r="AA106" s="9">
        <f>(Inputs!$H$7+Inputs!$L$7*(((Inputs!$I$7+(((A106)+1)/2)*(Inputs!$J$7-Inputs!$I$7)))/Inputs!$K$7)^2)</f>
        <v>41.456485000000001</v>
      </c>
      <c r="AB106" s="9">
        <f>(Inputs!$H$8+Inputs!$L$8*(((Inputs!$I$8+(((A106)+1)/2)*(Inputs!$J$8-Inputs!$I$8)))/Inputs!$K$8)^2)</f>
        <v>52.069884999999992</v>
      </c>
      <c r="AC106" s="9">
        <f>(Inputs!$H$9+Inputs!$L$9*(((Inputs!$I$9+(((A106)+1)/2)*(Inputs!$J$9-Inputs!$I$9)))/Inputs!$K$9)^2)</f>
        <v>42.246774999999992</v>
      </c>
      <c r="AD106" s="10"/>
      <c r="AE106" s="9">
        <f t="shared" si="10"/>
        <v>-0.13300000000000001</v>
      </c>
      <c r="AF106" s="9">
        <f>(((SQRT(((Inputs!$I$6+(((A106)+1)/2)*(Inputs!$J$6-Inputs!$I$6)))^2+Inputs!$C$6^2+((Inputs!$H$6+Inputs!$L$6*(((Inputs!$I$6+(((A106)+1)/2)*(Inputs!$J$6-Inputs!$I$6)))/Inputs!$K$6)^2))^2))-((Inputs!$H$6+Inputs!$L$6*(((Inputs!$I$6+(((A106)+1)/2)*(Inputs!$J$6-Inputs!$I$6)))/Inputs!$K$6)^2)))*1000/Inputs!$C$12)</f>
        <v>483.01932555279075</v>
      </c>
      <c r="AG106" s="9">
        <f>(((SQRT(((Inputs!$I$7+(((A106)+1)/2)*(Inputs!$J$7-Inputs!$I$7)))^2+Inputs!$C$6^2+((Inputs!$H$7+Inputs!$L$7*(((Inputs!$I$7+(((A106)+1)/2)*(Inputs!$J$7-Inputs!$I$7)))/Inputs!$K$7)^2))^2))-((Inputs!$H$7+Inputs!$L$7*(((Inputs!$I$7+(((A106)+1)/2)*(Inputs!$J$7-Inputs!$I$7)))/Inputs!$K$7)^2)))*1000/Inputs!$C$12)</f>
        <v>17119.777484814567</v>
      </c>
      <c r="AH106" s="9">
        <f>(((SQRT(((Inputs!$I$8+(((A106)+1)/2)*(Inputs!$J$8-Inputs!$I$8)))^2+Inputs!$C$6^2+((Inputs!$H$8+Inputs!$L$8*(((Inputs!$I$8+(((A106)+1)/2)*(Inputs!$J$8-Inputs!$I$8)))/Inputs!$K$8)^2))^2))-((Inputs!$H$8+Inputs!$L$8*(((Inputs!$I$8+(((A106)+1)/2)*(Inputs!$J$8-Inputs!$I$8)))/Inputs!$K$8)^2)))*1000/Inputs!$C$12)</f>
        <v>38762.45764908813</v>
      </c>
      <c r="AI106" s="9">
        <f>(((SQRT(((Inputs!$I$9+(((A106)+1)/2)*(Inputs!$J$9-Inputs!$I$9)))^2+Inputs!$C$6^2+((Inputs!$H$9+Inputs!$L$9*(((Inputs!$I$9+(((A106)+1)/2)*(Inputs!$J$9-Inputs!$I$9)))/Inputs!$K$9)^2))^2))-((Inputs!$H$9+Inputs!$L$9*(((Inputs!$I$9+(((A106)+1)/2)*(Inputs!$J$9-Inputs!$I$9)))/Inputs!$K$9)^2)))*1000/Inputs!$C$12)</f>
        <v>42096.352787587908</v>
      </c>
      <c r="AJ106" s="10"/>
      <c r="AK106" s="9">
        <f t="shared" si="11"/>
        <v>-0.13300000000000001</v>
      </c>
      <c r="AL106" s="9">
        <f>(-2*((1000*((((Inputs!$I$6+(((A106)+1)/2)*(Inputs!$J$6-Inputs!$I$6)))*Inputs!$C$11+((Inputs!$H$6+Inputs!$L$6*(((Inputs!$I$6+(((A106)+1)/2)*(Inputs!$J$6-Inputs!$I$6)))/Inputs!$K$6)^2))*((2*Inputs!$L$6*((Inputs!$I$6+(((A106)+1)/2)*(Inputs!$J$6-Inputs!$I$6)))/(Inputs!$K$6^2)*Inputs!$C$11)))/(SQRT(((Inputs!$I$6+(((A106)+1)/2)*(Inputs!$J$6-Inputs!$I$6)))^2+Inputs!$C$6^2+((Inputs!$H$6+Inputs!$L$6*(((Inputs!$I$6+(((A106)+1)/2)*(Inputs!$J$6-Inputs!$I$6)))/Inputs!$K$6)^2))^2)))))/Inputs!$C$13)</f>
        <v>60.15840423245983</v>
      </c>
      <c r="AM106" s="9">
        <f>(-2*((1000*((((Inputs!$I$7+(((A106)+1)/2)*(Inputs!$J$7-Inputs!$I$7)))*Inputs!$C$11+((Inputs!$H$7+Inputs!$L$7*(((Inputs!$I$7+(((A106)+1)/2)*(Inputs!$J$7-Inputs!$I$7)))/Inputs!$K$7)^2))*((2*Inputs!$L$7*((Inputs!$I$7+(((A106)+1)/2)*(Inputs!$J$7-Inputs!$I$7)))/(Inputs!$K$7^2)*Inputs!$C$11)))/(SQRT(((Inputs!$I$7+(((A106)+1)/2)*(Inputs!$J$7-Inputs!$I$7)))^2+Inputs!$C$6^2+((Inputs!$H$7+Inputs!$L$7*(((Inputs!$I$7+(((A106)+1)/2)*(Inputs!$J$7-Inputs!$I$7)))/Inputs!$K$7)^2))^2)))))/Inputs!$C$13)</f>
        <v>1407.2080948799503</v>
      </c>
      <c r="AN106" s="9">
        <f>(-2*((1000*((((Inputs!$I$8+(((A106)+1)/2)*(Inputs!$J$8-Inputs!$I$8)))*Inputs!$C$11+((Inputs!$H$8+Inputs!$L$8*(((Inputs!$I$8+(((A106)+1)/2)*(Inputs!$J$8-Inputs!$I$8)))/Inputs!$K$8)^2))*((2*Inputs!$L$8*((Inputs!$I$8+(((A106)+1)/2)*(Inputs!$J$8-Inputs!$I$8)))/(Inputs!$K$8^2)*Inputs!$C$11)))/(SQRT(((Inputs!$I$8+(((A106)+1)/2)*(Inputs!$J$8-Inputs!$I$8)))^2+Inputs!$C$6^2+((Inputs!$H$8+Inputs!$L$8*(((Inputs!$I$8+(((A106)+1)/2)*(Inputs!$J$8-Inputs!$I$8)))/Inputs!$K$8)^2))^2)))))/Inputs!$C$13)</f>
        <v>1626.9630912575853</v>
      </c>
      <c r="AO106" s="9">
        <f>(-2*((1000*((((Inputs!$I$9+(((A106)+1)/2)*(Inputs!$J$9-Inputs!$I$9)))*Inputs!$C$11+((Inputs!$H$9+Inputs!$L$9*(((Inputs!$I$9+(((A106)+1)/2)*(Inputs!$J$9-Inputs!$I$9)))/Inputs!$K$9)^2))*((2*Inputs!$L$9*((Inputs!$I$9+(((A106)+1)/2)*(Inputs!$J$9-Inputs!$I$9)))/(Inputs!$K$9^2)*Inputs!$C$11)))/(SQRT(((Inputs!$I$9+(((A106)+1)/2)*(Inputs!$J$9-Inputs!$I$9)))^2+Inputs!$C$6^2+((Inputs!$H$9+Inputs!$L$9*(((Inputs!$I$9+(((A106)+1)/2)*(Inputs!$J$9-Inputs!$I$9)))/Inputs!$K$9)^2))^2)))))/Inputs!$C$13)</f>
        <v>1639.8380086774882</v>
      </c>
    </row>
    <row r="107" spans="1:41">
      <c r="A107" s="9">
        <f>ROUND(-1+105*2/240,3)</f>
        <v>-0.125</v>
      </c>
      <c r="B107" s="9">
        <f>IF(OR(Inputs!$F$6=TRUE,Inputs!$F$6="TRUE",Inputs!$F$6=1),(Inputs!$H$6+Inputs!$L$6*(((Inputs!$I$6+(((A107)+1)/2)*(Inputs!$J$6-Inputs!$I$6)))/Inputs!$K$6)^2),NA())</f>
        <v>400.0625</v>
      </c>
      <c r="C107" s="9">
        <f>IF(OR(Inputs!$F$7=TRUE,Inputs!$F$7="TRUE",Inputs!$F$7=1),(Inputs!$H$7+Inputs!$L$7*(((Inputs!$I$7+(((A107)+1)/2)*(Inputs!$J$7-Inputs!$I$7)))/Inputs!$K$7)^2),NA())</f>
        <v>40.703125</v>
      </c>
      <c r="D107" s="9">
        <f>IF(OR(Inputs!$F$8=TRUE,Inputs!$F$8="TRUE",Inputs!$F$8=1),(Inputs!$H$8+Inputs!$L$8*(((Inputs!$I$8+(((A107)+1)/2)*(Inputs!$J$8-Inputs!$I$8)))/Inputs!$K$8)^2),NA())</f>
        <v>50.078125</v>
      </c>
      <c r="E107" s="9">
        <f>IF(OR(Inputs!$F$9=TRUE,Inputs!$F$9="TRUE",Inputs!$F$9=1),(Inputs!$H$9+Inputs!$L$9*(((Inputs!$I$9+(((A107)+1)/2)*(Inputs!$J$9-Inputs!$I$9)))/Inputs!$K$9)^2),NA())</f>
        <v>40.234375</v>
      </c>
      <c r="F107" s="10"/>
      <c r="G107" s="9">
        <f t="shared" si="6"/>
        <v>-0.125</v>
      </c>
      <c r="H107" s="9">
        <f>IF(OR(Inputs!$F$6=TRUE,Inputs!$F$6="TRUE",Inputs!$F$6=1),(((SQRT(((Inputs!$I$6+(((A107)+1)/2)*(Inputs!$J$6-Inputs!$I$6)))^2+Inputs!$C$6^2+((Inputs!$H$6+Inputs!$L$6*(((Inputs!$I$6+(((A107)+1)/2)*(Inputs!$J$6-Inputs!$I$6)))/Inputs!$K$6)^2))^2))-((Inputs!$H$6+Inputs!$L$6*(((Inputs!$I$6+(((A107)+1)/2)*(Inputs!$J$6-Inputs!$I$6)))/Inputs!$K$6)^2)))*1000/Inputs!$C$12),NA())</f>
        <v>477.82323801636795</v>
      </c>
      <c r="I107" s="9">
        <f>IF(OR(Inputs!$F$7=TRUE,Inputs!$F$7="TRUE",Inputs!$F$7=1),(((SQRT(((Inputs!$I$7+(((A107)+1)/2)*(Inputs!$J$7-Inputs!$I$7)))^2+Inputs!$C$6^2+((Inputs!$H$7+Inputs!$L$7*(((Inputs!$I$7+(((A107)+1)/2)*(Inputs!$J$7-Inputs!$I$7)))/Inputs!$K$7)^2))^2))-((Inputs!$H$7+Inputs!$L$7*(((Inputs!$I$7+(((A107)+1)/2)*(Inputs!$J$7-Inputs!$I$7)))/Inputs!$K$7)^2)))*1000/Inputs!$C$12),NA())</f>
        <v>15981.479348918183</v>
      </c>
      <c r="J107" s="9">
        <f>IF(OR(Inputs!$F$8=TRUE,Inputs!$F$8="TRUE",Inputs!$F$8=1),(((SQRT(((Inputs!$I$8+(((A107)+1)/2)*(Inputs!$J$8-Inputs!$I$8)))^2+Inputs!$C$6^2+((Inputs!$H$8+Inputs!$L$8*(((Inputs!$I$8+(((A107)+1)/2)*(Inputs!$J$8-Inputs!$I$8)))/Inputs!$K$8)^2))^2))-((Inputs!$H$8+Inputs!$L$8*(((Inputs!$I$8+(((A107)+1)/2)*(Inputs!$J$8-Inputs!$I$8)))/Inputs!$K$8)^2)))*1000/Inputs!$C$12),NA())</f>
        <v>36247.407571271222</v>
      </c>
      <c r="K107" s="9">
        <f>IF(OR(Inputs!$F$9=TRUE,Inputs!$F$9="TRUE",Inputs!$F$9=1),(((SQRT(((Inputs!$I$9+(((A107)+1)/2)*(Inputs!$J$9-Inputs!$I$9)))^2+Inputs!$C$6^2+((Inputs!$H$9+Inputs!$L$9*(((Inputs!$I$9+(((A107)+1)/2)*(Inputs!$J$9-Inputs!$I$9)))/Inputs!$K$9)^2))^2))-((Inputs!$H$9+Inputs!$L$9*(((Inputs!$I$9+(((A107)+1)/2)*(Inputs!$J$9-Inputs!$I$9)))/Inputs!$K$9)^2)))*1000/Inputs!$C$12),NA())</f>
        <v>39560.310730652614</v>
      </c>
      <c r="L107" s="10"/>
      <c r="M107" s="9">
        <f t="shared" si="7"/>
        <v>-0.125</v>
      </c>
      <c r="N107" s="9">
        <f>IF(OR(Inputs!$F$6=TRUE,Inputs!$F$6="TRUE",Inputs!$F$6=1),(-2*((1000*((((Inputs!$I$6+(((A107)+1)/2)*(Inputs!$J$6-Inputs!$I$6)))*Inputs!$C$11+((Inputs!$H$6+Inputs!$L$6*(((Inputs!$I$6+(((A107)+1)/2)*(Inputs!$J$6-Inputs!$I$6)))/Inputs!$K$6)^2))*((2*Inputs!$L$6*((Inputs!$I$6+(((A107)+1)/2)*(Inputs!$J$6-Inputs!$I$6)))/(Inputs!$K$6^2)*Inputs!$C$11)))/(SQRT(((Inputs!$I$6+(((A107)+1)/2)*(Inputs!$J$6-Inputs!$I$6)))^2+Inputs!$C$6^2+((Inputs!$H$6+Inputs!$L$6*(((Inputs!$I$6+(((A107)+1)/2)*(Inputs!$J$6-Inputs!$I$6)))/Inputs!$K$6)^2))^2)))))/Inputs!$C$13),NA())</f>
        <v>56.541773150849451</v>
      </c>
      <c r="O107" s="9">
        <f>IF(OR(Inputs!$F$7=TRUE,Inputs!$F$7="TRUE",Inputs!$F$7=1),(-2*((1000*((((Inputs!$I$7+(((A107)+1)/2)*(Inputs!$J$7-Inputs!$I$7)))*Inputs!$C$11+((Inputs!$H$7+Inputs!$L$7*(((Inputs!$I$7+(((A107)+1)/2)*(Inputs!$J$7-Inputs!$I$7)))/Inputs!$K$7)^2))*((2*Inputs!$L$7*((Inputs!$I$7+(((A107)+1)/2)*(Inputs!$J$7-Inputs!$I$7)))/(Inputs!$K$7^2)*Inputs!$C$11)))/(SQRT(((Inputs!$I$7+(((A107)+1)/2)*(Inputs!$J$7-Inputs!$I$7)))^2+Inputs!$C$6^2+((Inputs!$H$7+Inputs!$L$7*(((Inputs!$I$7+(((A107)+1)/2)*(Inputs!$J$7-Inputs!$I$7)))/Inputs!$K$7)^2))^2)))))/Inputs!$C$13),NA())</f>
        <v>1371.7487137817755</v>
      </c>
      <c r="P107" s="9">
        <f>IF(OR(Inputs!$F$8=TRUE,Inputs!$F$8="TRUE",Inputs!$F$8=1),(-2*((1000*((((Inputs!$I$8+(((A107)+1)/2)*(Inputs!$J$8-Inputs!$I$8)))*Inputs!$C$11+((Inputs!$H$8+Inputs!$L$8*(((Inputs!$I$8+(((A107)+1)/2)*(Inputs!$J$8-Inputs!$I$8)))/Inputs!$K$8)^2))*((2*Inputs!$L$8*((Inputs!$I$8+(((A107)+1)/2)*(Inputs!$J$8-Inputs!$I$8)))/(Inputs!$K$8^2)*Inputs!$C$11)))/(SQRT(((Inputs!$I$8+(((A107)+1)/2)*(Inputs!$J$8-Inputs!$I$8)))^2+Inputs!$C$6^2+((Inputs!$H$8+Inputs!$L$8*(((Inputs!$I$8+(((A107)+1)/2)*(Inputs!$J$8-Inputs!$I$8)))/Inputs!$K$8)^2))^2)))))/Inputs!$C$13),NA())</f>
        <v>1607.0252095439068</v>
      </c>
      <c r="Q107" s="9">
        <f>IF(OR(Inputs!$F$9=TRUE,Inputs!$F$9="TRUE",Inputs!$F$9=1),(-2*((1000*((((Inputs!$I$9+(((A107)+1)/2)*(Inputs!$J$9-Inputs!$I$9)))*Inputs!$C$11+((Inputs!$H$9+Inputs!$L$9*(((Inputs!$I$9+(((A107)+1)/2)*(Inputs!$J$9-Inputs!$I$9)))/Inputs!$K$9)^2))*((2*Inputs!$L$9*((Inputs!$I$9+(((A107)+1)/2)*(Inputs!$J$9-Inputs!$I$9)))/(Inputs!$K$9^2)*Inputs!$C$11)))/(SQRT(((Inputs!$I$9+(((A107)+1)/2)*(Inputs!$J$9-Inputs!$I$9)))^2+Inputs!$C$6^2+((Inputs!$H$9+Inputs!$L$9*(((Inputs!$I$9+(((A107)+1)/2)*(Inputs!$J$9-Inputs!$I$9)))/Inputs!$K$9)^2))^2)))))/Inputs!$C$13),NA())</f>
        <v>1623.2395182230171</v>
      </c>
      <c r="R107" s="10"/>
      <c r="S107" s="9">
        <f t="shared" si="8"/>
        <v>-0.125</v>
      </c>
      <c r="T107" s="9">
        <f>(Inputs!$I$6+(((A107)+1)/2)*(Inputs!$J$6-Inputs!$I$6))</f>
        <v>-7.5</v>
      </c>
      <c r="U107" s="9">
        <f>(Inputs!$I$7+(((A107)+1)/2)*(Inputs!$J$7-Inputs!$I$7))</f>
        <v>-50</v>
      </c>
      <c r="V107" s="9">
        <f>(Inputs!$I$8+(((A107)+1)/2)*(Inputs!$J$8-Inputs!$I$8))</f>
        <v>-100</v>
      </c>
      <c r="W107" s="9">
        <f>(Inputs!$I$9+(((A107)+1)/2)*(Inputs!$J$9-Inputs!$I$9))</f>
        <v>-100</v>
      </c>
      <c r="X107" s="10"/>
      <c r="Y107" s="9">
        <f t="shared" si="9"/>
        <v>-0.125</v>
      </c>
      <c r="Z107" s="9">
        <f>(Inputs!$H$6+Inputs!$L$6*(((Inputs!$I$6+(((A107)+1)/2)*(Inputs!$J$6-Inputs!$I$6)))/Inputs!$K$6)^2)</f>
        <v>400.0625</v>
      </c>
      <c r="AA107" s="9">
        <f>(Inputs!$H$7+Inputs!$L$7*(((Inputs!$I$7+(((A107)+1)/2)*(Inputs!$J$7-Inputs!$I$7)))/Inputs!$K$7)^2)</f>
        <v>40.703125</v>
      </c>
      <c r="AB107" s="9">
        <f>(Inputs!$H$8+Inputs!$L$8*(((Inputs!$I$8+(((A107)+1)/2)*(Inputs!$J$8-Inputs!$I$8)))/Inputs!$K$8)^2)</f>
        <v>50.078125</v>
      </c>
      <c r="AC107" s="9">
        <f>(Inputs!$H$9+Inputs!$L$9*(((Inputs!$I$9+(((A107)+1)/2)*(Inputs!$J$9-Inputs!$I$9)))/Inputs!$K$9)^2)</f>
        <v>40.234375</v>
      </c>
      <c r="AD107" s="10"/>
      <c r="AE107" s="9">
        <f t="shared" si="10"/>
        <v>-0.125</v>
      </c>
      <c r="AF107" s="9">
        <f>(((SQRT(((Inputs!$I$6+(((A107)+1)/2)*(Inputs!$J$6-Inputs!$I$6)))^2+Inputs!$C$6^2+((Inputs!$H$6+Inputs!$L$6*(((Inputs!$I$6+(((A107)+1)/2)*(Inputs!$J$6-Inputs!$I$6)))/Inputs!$K$6)^2))^2))-((Inputs!$H$6+Inputs!$L$6*(((Inputs!$I$6+(((A107)+1)/2)*(Inputs!$J$6-Inputs!$I$6)))/Inputs!$K$6)^2)))*1000/Inputs!$C$12)</f>
        <v>477.82323801636795</v>
      </c>
      <c r="AG107" s="9">
        <f>(((SQRT(((Inputs!$I$7+(((A107)+1)/2)*(Inputs!$J$7-Inputs!$I$7)))^2+Inputs!$C$6^2+((Inputs!$H$7+Inputs!$L$7*(((Inputs!$I$7+(((A107)+1)/2)*(Inputs!$J$7-Inputs!$I$7)))/Inputs!$K$7)^2))^2))-((Inputs!$H$7+Inputs!$L$7*(((Inputs!$I$7+(((A107)+1)/2)*(Inputs!$J$7-Inputs!$I$7)))/Inputs!$K$7)^2)))*1000/Inputs!$C$12)</f>
        <v>15981.479348918183</v>
      </c>
      <c r="AH107" s="9">
        <f>(((SQRT(((Inputs!$I$8+(((A107)+1)/2)*(Inputs!$J$8-Inputs!$I$8)))^2+Inputs!$C$6^2+((Inputs!$H$8+Inputs!$L$8*(((Inputs!$I$8+(((A107)+1)/2)*(Inputs!$J$8-Inputs!$I$8)))/Inputs!$K$8)^2))^2))-((Inputs!$H$8+Inputs!$L$8*(((Inputs!$I$8+(((A107)+1)/2)*(Inputs!$J$8-Inputs!$I$8)))/Inputs!$K$8)^2)))*1000/Inputs!$C$12)</f>
        <v>36247.407571271222</v>
      </c>
      <c r="AI107" s="9">
        <f>(((SQRT(((Inputs!$I$9+(((A107)+1)/2)*(Inputs!$J$9-Inputs!$I$9)))^2+Inputs!$C$6^2+((Inputs!$H$9+Inputs!$L$9*(((Inputs!$I$9+(((A107)+1)/2)*(Inputs!$J$9-Inputs!$I$9)))/Inputs!$K$9)^2))^2))-((Inputs!$H$9+Inputs!$L$9*(((Inputs!$I$9+(((A107)+1)/2)*(Inputs!$J$9-Inputs!$I$9)))/Inputs!$K$9)^2)))*1000/Inputs!$C$12)</f>
        <v>39560.310730652614</v>
      </c>
      <c r="AJ107" s="10"/>
      <c r="AK107" s="9">
        <f t="shared" si="11"/>
        <v>-0.125</v>
      </c>
      <c r="AL107" s="9">
        <f>(-2*((1000*((((Inputs!$I$6+(((A107)+1)/2)*(Inputs!$J$6-Inputs!$I$6)))*Inputs!$C$11+((Inputs!$H$6+Inputs!$L$6*(((Inputs!$I$6+(((A107)+1)/2)*(Inputs!$J$6-Inputs!$I$6)))/Inputs!$K$6)^2))*((2*Inputs!$L$6*((Inputs!$I$6+(((A107)+1)/2)*(Inputs!$J$6-Inputs!$I$6)))/(Inputs!$K$6^2)*Inputs!$C$11)))/(SQRT(((Inputs!$I$6+(((A107)+1)/2)*(Inputs!$J$6-Inputs!$I$6)))^2+Inputs!$C$6^2+((Inputs!$H$6+Inputs!$L$6*(((Inputs!$I$6+(((A107)+1)/2)*(Inputs!$J$6-Inputs!$I$6)))/Inputs!$K$6)^2))^2)))))/Inputs!$C$13)</f>
        <v>56.541773150849451</v>
      </c>
      <c r="AM107" s="9">
        <f>(-2*((1000*((((Inputs!$I$7+(((A107)+1)/2)*(Inputs!$J$7-Inputs!$I$7)))*Inputs!$C$11+((Inputs!$H$7+Inputs!$L$7*(((Inputs!$I$7+(((A107)+1)/2)*(Inputs!$J$7-Inputs!$I$7)))/Inputs!$K$7)^2))*((2*Inputs!$L$7*((Inputs!$I$7+(((A107)+1)/2)*(Inputs!$J$7-Inputs!$I$7)))/(Inputs!$K$7^2)*Inputs!$C$11)))/(SQRT(((Inputs!$I$7+(((A107)+1)/2)*(Inputs!$J$7-Inputs!$I$7)))^2+Inputs!$C$6^2+((Inputs!$H$7+Inputs!$L$7*(((Inputs!$I$7+(((A107)+1)/2)*(Inputs!$J$7-Inputs!$I$7)))/Inputs!$K$7)^2))^2)))))/Inputs!$C$13)</f>
        <v>1371.7487137817755</v>
      </c>
      <c r="AN107" s="9">
        <f>(-2*((1000*((((Inputs!$I$8+(((A107)+1)/2)*(Inputs!$J$8-Inputs!$I$8)))*Inputs!$C$11+((Inputs!$H$8+Inputs!$L$8*(((Inputs!$I$8+(((A107)+1)/2)*(Inputs!$J$8-Inputs!$I$8)))/Inputs!$K$8)^2))*((2*Inputs!$L$8*((Inputs!$I$8+(((A107)+1)/2)*(Inputs!$J$8-Inputs!$I$8)))/(Inputs!$K$8^2)*Inputs!$C$11)))/(SQRT(((Inputs!$I$8+(((A107)+1)/2)*(Inputs!$J$8-Inputs!$I$8)))^2+Inputs!$C$6^2+((Inputs!$H$8+Inputs!$L$8*(((Inputs!$I$8+(((A107)+1)/2)*(Inputs!$J$8-Inputs!$I$8)))/Inputs!$K$8)^2))^2)))))/Inputs!$C$13)</f>
        <v>1607.0252095439068</v>
      </c>
      <c r="AO107" s="9">
        <f>(-2*((1000*((((Inputs!$I$9+(((A107)+1)/2)*(Inputs!$J$9-Inputs!$I$9)))*Inputs!$C$11+((Inputs!$H$9+Inputs!$L$9*(((Inputs!$I$9+(((A107)+1)/2)*(Inputs!$J$9-Inputs!$I$9)))/Inputs!$K$9)^2))*((2*Inputs!$L$9*((Inputs!$I$9+(((A107)+1)/2)*(Inputs!$J$9-Inputs!$I$9)))/(Inputs!$K$9^2)*Inputs!$C$11)))/(SQRT(((Inputs!$I$9+(((A107)+1)/2)*(Inputs!$J$9-Inputs!$I$9)))^2+Inputs!$C$6^2+((Inputs!$H$9+Inputs!$L$9*(((Inputs!$I$9+(((A107)+1)/2)*(Inputs!$J$9-Inputs!$I$9)))/Inputs!$K$9)^2))^2)))))/Inputs!$C$13)</f>
        <v>1623.2395182230171</v>
      </c>
    </row>
    <row r="108" spans="1:41">
      <c r="A108" s="9">
        <f>ROUND(-1+106*2/240,3)</f>
        <v>-0.11700000000000001</v>
      </c>
      <c r="B108" s="9">
        <f>IF(OR(Inputs!$F$6=TRUE,Inputs!$F$6="TRUE",Inputs!$F$6=1),(Inputs!$H$6+Inputs!$L$6*(((Inputs!$I$6+(((A108)+1)/2)*(Inputs!$J$6-Inputs!$I$6)))/Inputs!$K$6)^2),NA())</f>
        <v>400.054756</v>
      </c>
      <c r="C108" s="9">
        <f>IF(OR(Inputs!$F$7=TRUE,Inputs!$F$7="TRUE",Inputs!$F$7=1),(Inputs!$H$7+Inputs!$L$7*(((Inputs!$I$7+(((A108)+1)/2)*(Inputs!$J$7-Inputs!$I$7)))/Inputs!$K$7)^2),NA())</f>
        <v>39.996485000000007</v>
      </c>
      <c r="D108" s="9">
        <f>IF(OR(Inputs!$F$8=TRUE,Inputs!$F$8="TRUE",Inputs!$F$8=1),(Inputs!$H$8+Inputs!$L$8*(((Inputs!$I$8+(((A108)+1)/2)*(Inputs!$J$8-Inputs!$I$8)))/Inputs!$K$8)^2),NA())</f>
        <v>48.209885000000007</v>
      </c>
      <c r="E108" s="9">
        <f>IF(OR(Inputs!$F$9=TRUE,Inputs!$F$9="TRUE",Inputs!$F$9=1),(Inputs!$H$9+Inputs!$L$9*(((Inputs!$I$9+(((A108)+1)/2)*(Inputs!$J$9-Inputs!$I$9)))/Inputs!$K$9)^2),NA())</f>
        <v>38.346775000000008</v>
      </c>
      <c r="F108" s="10"/>
      <c r="G108" s="9">
        <f t="shared" si="6"/>
        <v>-0.11700000000000001</v>
      </c>
      <c r="H108" s="9">
        <f>IF(OR(Inputs!$F$6=TRUE,Inputs!$F$6="TRUE",Inputs!$F$6=1),(((SQRT(((Inputs!$I$6+(((A108)+1)/2)*(Inputs!$J$6-Inputs!$I$6)))^2+Inputs!$C$6^2+((Inputs!$H$6+Inputs!$L$6*(((Inputs!$I$6+(((A108)+1)/2)*(Inputs!$J$6-Inputs!$I$6)))/Inputs!$K$6)^2))^2))-((Inputs!$H$6+Inputs!$L$6*(((Inputs!$I$6+(((A108)+1)/2)*(Inputs!$J$6-Inputs!$I$6)))/Inputs!$K$6)^2)))*1000/Inputs!$C$12),NA())</f>
        <v>472.94908499136989</v>
      </c>
      <c r="I108" s="9">
        <f>IF(OR(Inputs!$F$7=TRUE,Inputs!$F$7="TRUE",Inputs!$F$7=1),(((SQRT(((Inputs!$I$7+(((A108)+1)/2)*(Inputs!$J$7-Inputs!$I$7)))^2+Inputs!$C$6^2+((Inputs!$H$7+Inputs!$L$7*(((Inputs!$I$7+(((A108)+1)/2)*(Inputs!$J$7-Inputs!$I$7)))/Inputs!$K$7)^2))^2))-((Inputs!$H$7+Inputs!$L$7*(((Inputs!$I$7+(((A108)+1)/2)*(Inputs!$J$7-Inputs!$I$7)))/Inputs!$K$7)^2)))*1000/Inputs!$C$12),NA())</f>
        <v>14858.804171401191</v>
      </c>
      <c r="J108" s="9">
        <f>IF(OR(Inputs!$F$8=TRUE,Inputs!$F$8="TRUE",Inputs!$F$8=1),(((SQRT(((Inputs!$I$8+(((A108)+1)/2)*(Inputs!$J$8-Inputs!$I$8)))^2+Inputs!$C$6^2+((Inputs!$H$8+Inputs!$L$8*(((Inputs!$I$8+(((A108)+1)/2)*(Inputs!$J$8-Inputs!$I$8)))/Inputs!$K$8)^2))^2))-((Inputs!$H$8+Inputs!$L$8*(((Inputs!$I$8+(((A108)+1)/2)*(Inputs!$J$8-Inputs!$I$8)))/Inputs!$K$8)^2)))*1000/Inputs!$C$12),NA())</f>
        <v>33709.873820149078</v>
      </c>
      <c r="K108" s="9">
        <f>IF(OR(Inputs!$F$9=TRUE,Inputs!$F$9="TRUE",Inputs!$F$9=1),(((SQRT(((Inputs!$I$9+(((A108)+1)/2)*(Inputs!$J$9-Inputs!$I$9)))^2+Inputs!$C$6^2+((Inputs!$H$9+Inputs!$L$9*(((Inputs!$I$9+(((A108)+1)/2)*(Inputs!$J$9-Inputs!$I$9)))/Inputs!$K$9)^2))^2))-((Inputs!$H$9+Inputs!$L$9*(((Inputs!$I$9+(((A108)+1)/2)*(Inputs!$J$9-Inputs!$I$9)))/Inputs!$K$9)^2)))*1000/Inputs!$C$12),NA())</f>
        <v>36992.945743584089</v>
      </c>
      <c r="L108" s="10"/>
      <c r="M108" s="9">
        <f t="shared" si="7"/>
        <v>-0.11700000000000001</v>
      </c>
      <c r="N108" s="9">
        <f>IF(OR(Inputs!$F$6=TRUE,Inputs!$F$6="TRUE",Inputs!$F$6=1),(-2*((1000*((((Inputs!$I$6+(((A108)+1)/2)*(Inputs!$J$6-Inputs!$I$6)))*Inputs!$C$11+((Inputs!$H$6+Inputs!$L$6*(((Inputs!$I$6+(((A108)+1)/2)*(Inputs!$J$6-Inputs!$I$6)))/Inputs!$K$6)^2))*((2*Inputs!$L$6*((Inputs!$I$6+(((A108)+1)/2)*(Inputs!$J$6-Inputs!$I$6)))/(Inputs!$K$6^2)*Inputs!$C$11)))/(SQRT(((Inputs!$I$6+(((A108)+1)/2)*(Inputs!$J$6-Inputs!$I$6)))^2+Inputs!$C$6^2+((Inputs!$H$6+Inputs!$L$6*(((Inputs!$I$6+(((A108)+1)/2)*(Inputs!$J$6-Inputs!$I$6)))/Inputs!$K$6)^2))^2)))))/Inputs!$C$13),NA())</f>
        <v>52.924785157783582</v>
      </c>
      <c r="O108" s="9">
        <f>IF(OR(Inputs!$F$7=TRUE,Inputs!$F$7="TRUE",Inputs!$F$7=1),(-2*((1000*((((Inputs!$I$7+(((A108)+1)/2)*(Inputs!$J$7-Inputs!$I$7)))*Inputs!$C$11+((Inputs!$H$7+Inputs!$L$7*(((Inputs!$I$7+(((A108)+1)/2)*(Inputs!$J$7-Inputs!$I$7)))/Inputs!$K$7)^2))*((2*Inputs!$L$7*((Inputs!$I$7+(((A108)+1)/2)*(Inputs!$J$7-Inputs!$I$7)))/(Inputs!$K$7^2)*Inputs!$C$11)))/(SQRT(((Inputs!$I$7+(((A108)+1)/2)*(Inputs!$J$7-Inputs!$I$7)))^2+Inputs!$C$6^2+((Inputs!$H$7+Inputs!$L$7*(((Inputs!$I$7+(((A108)+1)/2)*(Inputs!$J$7-Inputs!$I$7)))/Inputs!$K$7)^2))^2)))))/Inputs!$C$13),NA())</f>
        <v>1332.5937344314798</v>
      </c>
      <c r="P108" s="9">
        <f>IF(OR(Inputs!$F$8=TRUE,Inputs!$F$8="TRUE",Inputs!$F$8=1),(-2*((1000*((((Inputs!$I$8+(((A108)+1)/2)*(Inputs!$J$8-Inputs!$I$8)))*Inputs!$C$11+((Inputs!$H$8+Inputs!$L$8*(((Inputs!$I$8+(((A108)+1)/2)*(Inputs!$J$8-Inputs!$I$8)))/Inputs!$K$8)^2))*((2*Inputs!$L$8*((Inputs!$I$8+(((A108)+1)/2)*(Inputs!$J$8-Inputs!$I$8)))/(Inputs!$K$8^2)*Inputs!$C$11)))/(SQRT(((Inputs!$I$8+(((A108)+1)/2)*(Inputs!$J$8-Inputs!$I$8)))^2+Inputs!$C$6^2+((Inputs!$H$8+Inputs!$L$8*(((Inputs!$I$8+(((A108)+1)/2)*(Inputs!$J$8-Inputs!$I$8)))/Inputs!$K$8)^2))^2)))))/Inputs!$C$13),NA())</f>
        <v>1585.1313471527565</v>
      </c>
      <c r="Q108" s="9">
        <f>IF(OR(Inputs!$F$9=TRUE,Inputs!$F$9="TRUE",Inputs!$F$9=1),(-2*((1000*((((Inputs!$I$9+(((A108)+1)/2)*(Inputs!$J$9-Inputs!$I$9)))*Inputs!$C$11+((Inputs!$H$9+Inputs!$L$9*(((Inputs!$I$9+(((A108)+1)/2)*(Inputs!$J$9-Inputs!$I$9)))/Inputs!$K$9)^2))*((2*Inputs!$L$9*((Inputs!$I$9+(((A108)+1)/2)*(Inputs!$J$9-Inputs!$I$9)))/(Inputs!$K$9^2)*Inputs!$C$11)))/(SQRT(((Inputs!$I$9+(((A108)+1)/2)*(Inputs!$J$9-Inputs!$I$9)))^2+Inputs!$C$6^2+((Inputs!$H$9+Inputs!$L$9*(((Inputs!$I$9+(((A108)+1)/2)*(Inputs!$J$9-Inputs!$I$9)))/Inputs!$K$9)^2))^2)))))/Inputs!$C$13),NA())</f>
        <v>1605.248697701722</v>
      </c>
      <c r="R108" s="10"/>
      <c r="S108" s="9">
        <f t="shared" si="8"/>
        <v>-0.11700000000000001</v>
      </c>
      <c r="T108" s="9">
        <f>(Inputs!$I$6+(((A108)+1)/2)*(Inputs!$J$6-Inputs!$I$6))</f>
        <v>-7.019999999999996</v>
      </c>
      <c r="U108" s="9">
        <f>(Inputs!$I$7+(((A108)+1)/2)*(Inputs!$J$7-Inputs!$I$7))</f>
        <v>-46.800000000000011</v>
      </c>
      <c r="V108" s="9">
        <f>(Inputs!$I$8+(((A108)+1)/2)*(Inputs!$J$8-Inputs!$I$8))</f>
        <v>-93.600000000000023</v>
      </c>
      <c r="W108" s="9">
        <f>(Inputs!$I$9+(((A108)+1)/2)*(Inputs!$J$9-Inputs!$I$9))</f>
        <v>-93.600000000000023</v>
      </c>
      <c r="X108" s="10"/>
      <c r="Y108" s="9">
        <f t="shared" si="9"/>
        <v>-0.11700000000000001</v>
      </c>
      <c r="Z108" s="9">
        <f>(Inputs!$H$6+Inputs!$L$6*(((Inputs!$I$6+(((A108)+1)/2)*(Inputs!$J$6-Inputs!$I$6)))/Inputs!$K$6)^2)</f>
        <v>400.054756</v>
      </c>
      <c r="AA108" s="9">
        <f>(Inputs!$H$7+Inputs!$L$7*(((Inputs!$I$7+(((A108)+1)/2)*(Inputs!$J$7-Inputs!$I$7)))/Inputs!$K$7)^2)</f>
        <v>39.996485000000007</v>
      </c>
      <c r="AB108" s="9">
        <f>(Inputs!$H$8+Inputs!$L$8*(((Inputs!$I$8+(((A108)+1)/2)*(Inputs!$J$8-Inputs!$I$8)))/Inputs!$K$8)^2)</f>
        <v>48.209885000000007</v>
      </c>
      <c r="AC108" s="9">
        <f>(Inputs!$H$9+Inputs!$L$9*(((Inputs!$I$9+(((A108)+1)/2)*(Inputs!$J$9-Inputs!$I$9)))/Inputs!$K$9)^2)</f>
        <v>38.346775000000008</v>
      </c>
      <c r="AD108" s="10"/>
      <c r="AE108" s="9">
        <f t="shared" si="10"/>
        <v>-0.11700000000000001</v>
      </c>
      <c r="AF108" s="9">
        <f>(((SQRT(((Inputs!$I$6+(((A108)+1)/2)*(Inputs!$J$6-Inputs!$I$6)))^2+Inputs!$C$6^2+((Inputs!$H$6+Inputs!$L$6*(((Inputs!$I$6+(((A108)+1)/2)*(Inputs!$J$6-Inputs!$I$6)))/Inputs!$K$6)^2))^2))-((Inputs!$H$6+Inputs!$L$6*(((Inputs!$I$6+(((A108)+1)/2)*(Inputs!$J$6-Inputs!$I$6)))/Inputs!$K$6)^2)))*1000/Inputs!$C$12)</f>
        <v>472.94908499136989</v>
      </c>
      <c r="AG108" s="9">
        <f>(((SQRT(((Inputs!$I$7+(((A108)+1)/2)*(Inputs!$J$7-Inputs!$I$7)))^2+Inputs!$C$6^2+((Inputs!$H$7+Inputs!$L$7*(((Inputs!$I$7+(((A108)+1)/2)*(Inputs!$J$7-Inputs!$I$7)))/Inputs!$K$7)^2))^2))-((Inputs!$H$7+Inputs!$L$7*(((Inputs!$I$7+(((A108)+1)/2)*(Inputs!$J$7-Inputs!$I$7)))/Inputs!$K$7)^2)))*1000/Inputs!$C$12)</f>
        <v>14858.804171401191</v>
      </c>
      <c r="AH108" s="9">
        <f>(((SQRT(((Inputs!$I$8+(((A108)+1)/2)*(Inputs!$J$8-Inputs!$I$8)))^2+Inputs!$C$6^2+((Inputs!$H$8+Inputs!$L$8*(((Inputs!$I$8+(((A108)+1)/2)*(Inputs!$J$8-Inputs!$I$8)))/Inputs!$K$8)^2))^2))-((Inputs!$H$8+Inputs!$L$8*(((Inputs!$I$8+(((A108)+1)/2)*(Inputs!$J$8-Inputs!$I$8)))/Inputs!$K$8)^2)))*1000/Inputs!$C$12)</f>
        <v>33709.873820149078</v>
      </c>
      <c r="AI108" s="9">
        <f>(((SQRT(((Inputs!$I$9+(((A108)+1)/2)*(Inputs!$J$9-Inputs!$I$9)))^2+Inputs!$C$6^2+((Inputs!$H$9+Inputs!$L$9*(((Inputs!$I$9+(((A108)+1)/2)*(Inputs!$J$9-Inputs!$I$9)))/Inputs!$K$9)^2))^2))-((Inputs!$H$9+Inputs!$L$9*(((Inputs!$I$9+(((A108)+1)/2)*(Inputs!$J$9-Inputs!$I$9)))/Inputs!$K$9)^2)))*1000/Inputs!$C$12)</f>
        <v>36992.945743584089</v>
      </c>
      <c r="AJ108" s="10"/>
      <c r="AK108" s="9">
        <f t="shared" si="11"/>
        <v>-0.11700000000000001</v>
      </c>
      <c r="AL108" s="9">
        <f>(-2*((1000*((((Inputs!$I$6+(((A108)+1)/2)*(Inputs!$J$6-Inputs!$I$6)))*Inputs!$C$11+((Inputs!$H$6+Inputs!$L$6*(((Inputs!$I$6+(((A108)+1)/2)*(Inputs!$J$6-Inputs!$I$6)))/Inputs!$K$6)^2))*((2*Inputs!$L$6*((Inputs!$I$6+(((A108)+1)/2)*(Inputs!$J$6-Inputs!$I$6)))/(Inputs!$K$6^2)*Inputs!$C$11)))/(SQRT(((Inputs!$I$6+(((A108)+1)/2)*(Inputs!$J$6-Inputs!$I$6)))^2+Inputs!$C$6^2+((Inputs!$H$6+Inputs!$L$6*(((Inputs!$I$6+(((A108)+1)/2)*(Inputs!$J$6-Inputs!$I$6)))/Inputs!$K$6)^2))^2)))))/Inputs!$C$13)</f>
        <v>52.924785157783582</v>
      </c>
      <c r="AM108" s="9">
        <f>(-2*((1000*((((Inputs!$I$7+(((A108)+1)/2)*(Inputs!$J$7-Inputs!$I$7)))*Inputs!$C$11+((Inputs!$H$7+Inputs!$L$7*(((Inputs!$I$7+(((A108)+1)/2)*(Inputs!$J$7-Inputs!$I$7)))/Inputs!$K$7)^2))*((2*Inputs!$L$7*((Inputs!$I$7+(((A108)+1)/2)*(Inputs!$J$7-Inputs!$I$7)))/(Inputs!$K$7^2)*Inputs!$C$11)))/(SQRT(((Inputs!$I$7+(((A108)+1)/2)*(Inputs!$J$7-Inputs!$I$7)))^2+Inputs!$C$6^2+((Inputs!$H$7+Inputs!$L$7*(((Inputs!$I$7+(((A108)+1)/2)*(Inputs!$J$7-Inputs!$I$7)))/Inputs!$K$7)^2))^2)))))/Inputs!$C$13)</f>
        <v>1332.5937344314798</v>
      </c>
      <c r="AN108" s="9">
        <f>(-2*((1000*((((Inputs!$I$8+(((A108)+1)/2)*(Inputs!$J$8-Inputs!$I$8)))*Inputs!$C$11+((Inputs!$H$8+Inputs!$L$8*(((Inputs!$I$8+(((A108)+1)/2)*(Inputs!$J$8-Inputs!$I$8)))/Inputs!$K$8)^2))*((2*Inputs!$L$8*((Inputs!$I$8+(((A108)+1)/2)*(Inputs!$J$8-Inputs!$I$8)))/(Inputs!$K$8^2)*Inputs!$C$11)))/(SQRT(((Inputs!$I$8+(((A108)+1)/2)*(Inputs!$J$8-Inputs!$I$8)))^2+Inputs!$C$6^2+((Inputs!$H$8+Inputs!$L$8*(((Inputs!$I$8+(((A108)+1)/2)*(Inputs!$J$8-Inputs!$I$8)))/Inputs!$K$8)^2))^2)))))/Inputs!$C$13)</f>
        <v>1585.1313471527565</v>
      </c>
      <c r="AO108" s="9">
        <f>(-2*((1000*((((Inputs!$I$9+(((A108)+1)/2)*(Inputs!$J$9-Inputs!$I$9)))*Inputs!$C$11+((Inputs!$H$9+Inputs!$L$9*(((Inputs!$I$9+(((A108)+1)/2)*(Inputs!$J$9-Inputs!$I$9)))/Inputs!$K$9)^2))*((2*Inputs!$L$9*((Inputs!$I$9+(((A108)+1)/2)*(Inputs!$J$9-Inputs!$I$9)))/(Inputs!$K$9^2)*Inputs!$C$11)))/(SQRT(((Inputs!$I$9+(((A108)+1)/2)*(Inputs!$J$9-Inputs!$I$9)))^2+Inputs!$C$6^2+((Inputs!$H$9+Inputs!$L$9*(((Inputs!$I$9+(((A108)+1)/2)*(Inputs!$J$9-Inputs!$I$9)))/Inputs!$K$9)^2))^2)))))/Inputs!$C$13)</f>
        <v>1605.248697701722</v>
      </c>
    </row>
    <row r="109" spans="1:41">
      <c r="A109" s="9">
        <f>ROUND(-1+107*2/240,3)</f>
        <v>-0.108</v>
      </c>
      <c r="B109" s="9">
        <f>IF(OR(Inputs!$F$6=TRUE,Inputs!$F$6="TRUE",Inputs!$F$6=1),(Inputs!$H$6+Inputs!$L$6*(((Inputs!$I$6+(((A109)+1)/2)*(Inputs!$J$6-Inputs!$I$6)))/Inputs!$K$6)^2),NA())</f>
        <v>400.04665599999998</v>
      </c>
      <c r="C109" s="9">
        <f>IF(OR(Inputs!$F$7=TRUE,Inputs!$F$7="TRUE",Inputs!$F$7=1),(Inputs!$H$7+Inputs!$L$7*(((Inputs!$I$7+(((A109)+1)/2)*(Inputs!$J$7-Inputs!$I$7)))/Inputs!$K$7)^2),NA())</f>
        <v>39.257359999999998</v>
      </c>
      <c r="D109" s="9">
        <f>IF(OR(Inputs!$F$8=TRUE,Inputs!$F$8="TRUE",Inputs!$F$8=1),(Inputs!$H$8+Inputs!$L$8*(((Inputs!$I$8+(((A109)+1)/2)*(Inputs!$J$8-Inputs!$I$8)))/Inputs!$K$8)^2),NA())</f>
        <v>46.255759999999995</v>
      </c>
      <c r="E109" s="9">
        <f>IF(OR(Inputs!$F$9=TRUE,Inputs!$F$9="TRUE",Inputs!$F$9=1),(Inputs!$H$9+Inputs!$L$9*(((Inputs!$I$9+(((A109)+1)/2)*(Inputs!$J$9-Inputs!$I$9)))/Inputs!$K$9)^2),NA())</f>
        <v>36.372399999999992</v>
      </c>
      <c r="F109" s="10"/>
      <c r="G109" s="9">
        <f t="shared" si="6"/>
        <v>-0.108</v>
      </c>
      <c r="H109" s="9">
        <f>IF(OR(Inputs!$F$6=TRUE,Inputs!$F$6="TRUE",Inputs!$F$6=1),(((SQRT(((Inputs!$I$6+(((A109)+1)/2)*(Inputs!$J$6-Inputs!$I$6)))^2+Inputs!$C$6^2+((Inputs!$H$6+Inputs!$L$6*(((Inputs!$I$6+(((A109)+1)/2)*(Inputs!$J$6-Inputs!$I$6)))/Inputs!$K$6)^2))^2))-((Inputs!$H$6+Inputs!$L$6*(((Inputs!$I$6+(((A109)+1)/2)*(Inputs!$J$6-Inputs!$I$6)))/Inputs!$K$6)^2)))*1000/Inputs!$C$12),NA())</f>
        <v>467.85054754357924</v>
      </c>
      <c r="I109" s="9">
        <f>IF(OR(Inputs!$F$7=TRUE,Inputs!$F$7="TRUE",Inputs!$F$7=1),(((SQRT(((Inputs!$I$7+(((A109)+1)/2)*(Inputs!$J$7-Inputs!$I$7)))^2+Inputs!$C$6^2+((Inputs!$H$7+Inputs!$L$7*(((Inputs!$I$7+(((A109)+1)/2)*(Inputs!$J$7-Inputs!$I$7)))/Inputs!$K$7)^2))^2))-((Inputs!$H$7+Inputs!$L$7*(((Inputs!$I$7+(((A109)+1)/2)*(Inputs!$J$7-Inputs!$I$7)))/Inputs!$K$7)^2)))*1000/Inputs!$C$12),NA())</f>
        <v>13620.03712782776</v>
      </c>
      <c r="J109" s="9">
        <f>IF(OR(Inputs!$F$8=TRUE,Inputs!$F$8="TRUE",Inputs!$F$8=1),(((SQRT(((Inputs!$I$8+(((A109)+1)/2)*(Inputs!$J$8-Inputs!$I$8)))^2+Inputs!$C$6^2+((Inputs!$H$8+Inputs!$L$8*(((Inputs!$I$8+(((A109)+1)/2)*(Inputs!$J$8-Inputs!$I$8)))/Inputs!$K$8)^2))^2))-((Inputs!$H$8+Inputs!$L$8*(((Inputs!$I$8+(((A109)+1)/2)*(Inputs!$J$8-Inputs!$I$8)))/Inputs!$K$8)^2)))*1000/Inputs!$C$12),NA())</f>
        <v>30834.552946908836</v>
      </c>
      <c r="K109" s="9">
        <f>IF(OR(Inputs!$F$9=TRUE,Inputs!$F$9="TRUE",Inputs!$F$9=1),(((SQRT(((Inputs!$I$9+(((A109)+1)/2)*(Inputs!$J$9-Inputs!$I$9)))^2+Inputs!$C$6^2+((Inputs!$H$9+Inputs!$L$9*(((Inputs!$I$9+(((A109)+1)/2)*(Inputs!$J$9-Inputs!$I$9)))/Inputs!$K$9)^2))^2))-((Inputs!$H$9+Inputs!$L$9*(((Inputs!$I$9+(((A109)+1)/2)*(Inputs!$J$9-Inputs!$I$9)))/Inputs!$K$9)^2)))*1000/Inputs!$C$12),NA())</f>
        <v>34071.775383201246</v>
      </c>
      <c r="L109" s="10"/>
      <c r="M109" s="9">
        <f t="shared" si="7"/>
        <v>-0.108</v>
      </c>
      <c r="N109" s="9">
        <f>IF(OR(Inputs!$F$6=TRUE,Inputs!$F$6="TRUE",Inputs!$F$6=1),(-2*((1000*((((Inputs!$I$6+(((A109)+1)/2)*(Inputs!$J$6-Inputs!$I$6)))*Inputs!$C$11+((Inputs!$H$6+Inputs!$L$6*(((Inputs!$I$6+(((A109)+1)/2)*(Inputs!$J$6-Inputs!$I$6)))/Inputs!$K$6)^2))*((2*Inputs!$L$6*((Inputs!$I$6+(((A109)+1)/2)*(Inputs!$J$6-Inputs!$I$6)))/(Inputs!$K$6^2)*Inputs!$C$11)))/(SQRT(((Inputs!$I$6+(((A109)+1)/2)*(Inputs!$J$6-Inputs!$I$6)))^2+Inputs!$C$6^2+((Inputs!$H$6+Inputs!$L$6*(((Inputs!$I$6+(((A109)+1)/2)*(Inputs!$J$6-Inputs!$I$6)))/Inputs!$K$6)^2))^2)))))/Inputs!$C$13),NA())</f>
        <v>48.855275401582887</v>
      </c>
      <c r="O109" s="9">
        <f>IF(OR(Inputs!$F$7=TRUE,Inputs!$F$7="TRUE",Inputs!$F$7=1),(-2*((1000*((((Inputs!$I$7+(((A109)+1)/2)*(Inputs!$J$7-Inputs!$I$7)))*Inputs!$C$11+((Inputs!$H$7+Inputs!$L$7*(((Inputs!$I$7+(((A109)+1)/2)*(Inputs!$J$7-Inputs!$I$7)))/Inputs!$K$7)^2))*((2*Inputs!$L$7*((Inputs!$I$7+(((A109)+1)/2)*(Inputs!$J$7-Inputs!$I$7)))/(Inputs!$K$7^2)*Inputs!$C$11)))/(SQRT(((Inputs!$I$7+(((A109)+1)/2)*(Inputs!$J$7-Inputs!$I$7)))^2+Inputs!$C$6^2+((Inputs!$H$7+Inputs!$L$7*(((Inputs!$I$7+(((A109)+1)/2)*(Inputs!$J$7-Inputs!$I$7)))/Inputs!$K$7)^2))^2)))))/Inputs!$C$13),NA())</f>
        <v>1283.4469940258209</v>
      </c>
      <c r="P109" s="9">
        <f>IF(OR(Inputs!$F$8=TRUE,Inputs!$F$8="TRUE",Inputs!$F$8=1),(-2*((1000*((((Inputs!$I$8+(((A109)+1)/2)*(Inputs!$J$8-Inputs!$I$8)))*Inputs!$C$11+((Inputs!$H$8+Inputs!$L$8*(((Inputs!$I$8+(((A109)+1)/2)*(Inputs!$J$8-Inputs!$I$8)))/Inputs!$K$8)^2))*((2*Inputs!$L$8*((Inputs!$I$8+(((A109)+1)/2)*(Inputs!$J$8-Inputs!$I$8)))/(Inputs!$K$8^2)*Inputs!$C$11)))/(SQRT(((Inputs!$I$8+(((A109)+1)/2)*(Inputs!$J$8-Inputs!$I$8)))^2+Inputs!$C$6^2+((Inputs!$H$8+Inputs!$L$8*(((Inputs!$I$8+(((A109)+1)/2)*(Inputs!$J$8-Inputs!$I$8)))/Inputs!$K$8)^2))^2)))))/Inputs!$C$13),NA())</f>
        <v>1557.4563201666924</v>
      </c>
      <c r="Q109" s="9">
        <f>IF(OR(Inputs!$F$9=TRUE,Inputs!$F$9="TRUE",Inputs!$F$9=1),(-2*((1000*((((Inputs!$I$9+(((A109)+1)/2)*(Inputs!$J$9-Inputs!$I$9)))*Inputs!$C$11+((Inputs!$H$9+Inputs!$L$9*(((Inputs!$I$9+(((A109)+1)/2)*(Inputs!$J$9-Inputs!$I$9)))/Inputs!$K$9)^2))*((2*Inputs!$L$9*((Inputs!$I$9+(((A109)+1)/2)*(Inputs!$J$9-Inputs!$I$9)))/(Inputs!$K$9^2)*Inputs!$C$11)))/(SQRT(((Inputs!$I$9+(((A109)+1)/2)*(Inputs!$J$9-Inputs!$I$9)))^2+Inputs!$C$6^2+((Inputs!$H$9+Inputs!$L$9*(((Inputs!$I$9+(((A109)+1)/2)*(Inputs!$J$9-Inputs!$I$9)))/Inputs!$K$9)^2))^2)))))/Inputs!$C$13),NA())</f>
        <v>1582.7643923879471</v>
      </c>
      <c r="R109" s="10"/>
      <c r="S109" s="9">
        <f t="shared" si="8"/>
        <v>-0.108</v>
      </c>
      <c r="T109" s="9">
        <f>(Inputs!$I$6+(((A109)+1)/2)*(Inputs!$J$6-Inputs!$I$6))</f>
        <v>-6.4799999999999969</v>
      </c>
      <c r="U109" s="9">
        <f>(Inputs!$I$7+(((A109)+1)/2)*(Inputs!$J$7-Inputs!$I$7))</f>
        <v>-43.199999999999989</v>
      </c>
      <c r="V109" s="9">
        <f>(Inputs!$I$8+(((A109)+1)/2)*(Inputs!$J$8-Inputs!$I$8))</f>
        <v>-86.399999999999977</v>
      </c>
      <c r="W109" s="9">
        <f>(Inputs!$I$9+(((A109)+1)/2)*(Inputs!$J$9-Inputs!$I$9))</f>
        <v>-86.399999999999977</v>
      </c>
      <c r="X109" s="10"/>
      <c r="Y109" s="9">
        <f t="shared" si="9"/>
        <v>-0.108</v>
      </c>
      <c r="Z109" s="9">
        <f>(Inputs!$H$6+Inputs!$L$6*(((Inputs!$I$6+(((A109)+1)/2)*(Inputs!$J$6-Inputs!$I$6)))/Inputs!$K$6)^2)</f>
        <v>400.04665599999998</v>
      </c>
      <c r="AA109" s="9">
        <f>(Inputs!$H$7+Inputs!$L$7*(((Inputs!$I$7+(((A109)+1)/2)*(Inputs!$J$7-Inputs!$I$7)))/Inputs!$K$7)^2)</f>
        <v>39.257359999999998</v>
      </c>
      <c r="AB109" s="9">
        <f>(Inputs!$H$8+Inputs!$L$8*(((Inputs!$I$8+(((A109)+1)/2)*(Inputs!$J$8-Inputs!$I$8)))/Inputs!$K$8)^2)</f>
        <v>46.255759999999995</v>
      </c>
      <c r="AC109" s="9">
        <f>(Inputs!$H$9+Inputs!$L$9*(((Inputs!$I$9+(((A109)+1)/2)*(Inputs!$J$9-Inputs!$I$9)))/Inputs!$K$9)^2)</f>
        <v>36.372399999999992</v>
      </c>
      <c r="AD109" s="10"/>
      <c r="AE109" s="9">
        <f t="shared" si="10"/>
        <v>-0.108</v>
      </c>
      <c r="AF109" s="9">
        <f>(((SQRT(((Inputs!$I$6+(((A109)+1)/2)*(Inputs!$J$6-Inputs!$I$6)))^2+Inputs!$C$6^2+((Inputs!$H$6+Inputs!$L$6*(((Inputs!$I$6+(((A109)+1)/2)*(Inputs!$J$6-Inputs!$I$6)))/Inputs!$K$6)^2))^2))-((Inputs!$H$6+Inputs!$L$6*(((Inputs!$I$6+(((A109)+1)/2)*(Inputs!$J$6-Inputs!$I$6)))/Inputs!$K$6)^2)))*1000/Inputs!$C$12)</f>
        <v>467.85054754357924</v>
      </c>
      <c r="AG109" s="9">
        <f>(((SQRT(((Inputs!$I$7+(((A109)+1)/2)*(Inputs!$J$7-Inputs!$I$7)))^2+Inputs!$C$6^2+((Inputs!$H$7+Inputs!$L$7*(((Inputs!$I$7+(((A109)+1)/2)*(Inputs!$J$7-Inputs!$I$7)))/Inputs!$K$7)^2))^2))-((Inputs!$H$7+Inputs!$L$7*(((Inputs!$I$7+(((A109)+1)/2)*(Inputs!$J$7-Inputs!$I$7)))/Inputs!$K$7)^2)))*1000/Inputs!$C$12)</f>
        <v>13620.03712782776</v>
      </c>
      <c r="AH109" s="9">
        <f>(((SQRT(((Inputs!$I$8+(((A109)+1)/2)*(Inputs!$J$8-Inputs!$I$8)))^2+Inputs!$C$6^2+((Inputs!$H$8+Inputs!$L$8*(((Inputs!$I$8+(((A109)+1)/2)*(Inputs!$J$8-Inputs!$I$8)))/Inputs!$K$8)^2))^2))-((Inputs!$H$8+Inputs!$L$8*(((Inputs!$I$8+(((A109)+1)/2)*(Inputs!$J$8-Inputs!$I$8)))/Inputs!$K$8)^2)))*1000/Inputs!$C$12)</f>
        <v>30834.552946908836</v>
      </c>
      <c r="AI109" s="9">
        <f>(((SQRT(((Inputs!$I$9+(((A109)+1)/2)*(Inputs!$J$9-Inputs!$I$9)))^2+Inputs!$C$6^2+((Inputs!$H$9+Inputs!$L$9*(((Inputs!$I$9+(((A109)+1)/2)*(Inputs!$J$9-Inputs!$I$9)))/Inputs!$K$9)^2))^2))-((Inputs!$H$9+Inputs!$L$9*(((Inputs!$I$9+(((A109)+1)/2)*(Inputs!$J$9-Inputs!$I$9)))/Inputs!$K$9)^2)))*1000/Inputs!$C$12)</f>
        <v>34071.775383201246</v>
      </c>
      <c r="AJ109" s="10"/>
      <c r="AK109" s="9">
        <f t="shared" si="11"/>
        <v>-0.108</v>
      </c>
      <c r="AL109" s="9">
        <f>(-2*((1000*((((Inputs!$I$6+(((A109)+1)/2)*(Inputs!$J$6-Inputs!$I$6)))*Inputs!$C$11+((Inputs!$H$6+Inputs!$L$6*(((Inputs!$I$6+(((A109)+1)/2)*(Inputs!$J$6-Inputs!$I$6)))/Inputs!$K$6)^2))*((2*Inputs!$L$6*((Inputs!$I$6+(((A109)+1)/2)*(Inputs!$J$6-Inputs!$I$6)))/(Inputs!$K$6^2)*Inputs!$C$11)))/(SQRT(((Inputs!$I$6+(((A109)+1)/2)*(Inputs!$J$6-Inputs!$I$6)))^2+Inputs!$C$6^2+((Inputs!$H$6+Inputs!$L$6*(((Inputs!$I$6+(((A109)+1)/2)*(Inputs!$J$6-Inputs!$I$6)))/Inputs!$K$6)^2))^2)))))/Inputs!$C$13)</f>
        <v>48.855275401582887</v>
      </c>
      <c r="AM109" s="9">
        <f>(-2*((1000*((((Inputs!$I$7+(((A109)+1)/2)*(Inputs!$J$7-Inputs!$I$7)))*Inputs!$C$11+((Inputs!$H$7+Inputs!$L$7*(((Inputs!$I$7+(((A109)+1)/2)*(Inputs!$J$7-Inputs!$I$7)))/Inputs!$K$7)^2))*((2*Inputs!$L$7*((Inputs!$I$7+(((A109)+1)/2)*(Inputs!$J$7-Inputs!$I$7)))/(Inputs!$K$7^2)*Inputs!$C$11)))/(SQRT(((Inputs!$I$7+(((A109)+1)/2)*(Inputs!$J$7-Inputs!$I$7)))^2+Inputs!$C$6^2+((Inputs!$H$7+Inputs!$L$7*(((Inputs!$I$7+(((A109)+1)/2)*(Inputs!$J$7-Inputs!$I$7)))/Inputs!$K$7)^2))^2)))))/Inputs!$C$13)</f>
        <v>1283.4469940258209</v>
      </c>
      <c r="AN109" s="9">
        <f>(-2*((1000*((((Inputs!$I$8+(((A109)+1)/2)*(Inputs!$J$8-Inputs!$I$8)))*Inputs!$C$11+((Inputs!$H$8+Inputs!$L$8*(((Inputs!$I$8+(((A109)+1)/2)*(Inputs!$J$8-Inputs!$I$8)))/Inputs!$K$8)^2))*((2*Inputs!$L$8*((Inputs!$I$8+(((A109)+1)/2)*(Inputs!$J$8-Inputs!$I$8)))/(Inputs!$K$8^2)*Inputs!$C$11)))/(SQRT(((Inputs!$I$8+(((A109)+1)/2)*(Inputs!$J$8-Inputs!$I$8)))^2+Inputs!$C$6^2+((Inputs!$H$8+Inputs!$L$8*(((Inputs!$I$8+(((A109)+1)/2)*(Inputs!$J$8-Inputs!$I$8)))/Inputs!$K$8)^2))^2)))))/Inputs!$C$13)</f>
        <v>1557.4563201666924</v>
      </c>
      <c r="AO109" s="9">
        <f>(-2*((1000*((((Inputs!$I$9+(((A109)+1)/2)*(Inputs!$J$9-Inputs!$I$9)))*Inputs!$C$11+((Inputs!$H$9+Inputs!$L$9*(((Inputs!$I$9+(((A109)+1)/2)*(Inputs!$J$9-Inputs!$I$9)))/Inputs!$K$9)^2))*((2*Inputs!$L$9*((Inputs!$I$9+(((A109)+1)/2)*(Inputs!$J$9-Inputs!$I$9)))/(Inputs!$K$9^2)*Inputs!$C$11)))/(SQRT(((Inputs!$I$9+(((A109)+1)/2)*(Inputs!$J$9-Inputs!$I$9)))^2+Inputs!$C$6^2+((Inputs!$H$9+Inputs!$L$9*(((Inputs!$I$9+(((A109)+1)/2)*(Inputs!$J$9-Inputs!$I$9)))/Inputs!$K$9)^2))^2)))))/Inputs!$C$13)</f>
        <v>1582.7643923879471</v>
      </c>
    </row>
    <row r="110" spans="1:41">
      <c r="A110" s="9">
        <f>ROUND(-1+108*2/240,3)</f>
        <v>-0.1</v>
      </c>
      <c r="B110" s="9">
        <f>IF(OR(Inputs!$F$6=TRUE,Inputs!$F$6="TRUE",Inputs!$F$6=1),(Inputs!$H$6+Inputs!$L$6*(((Inputs!$I$6+(((A110)+1)/2)*(Inputs!$J$6-Inputs!$I$6)))/Inputs!$K$6)^2),NA())</f>
        <v>400.04</v>
      </c>
      <c r="C110" s="9">
        <f>IF(OR(Inputs!$F$7=TRUE,Inputs!$F$7="TRUE",Inputs!$F$7=1),(Inputs!$H$7+Inputs!$L$7*(((Inputs!$I$7+(((A110)+1)/2)*(Inputs!$J$7-Inputs!$I$7)))/Inputs!$K$7)^2),NA())</f>
        <v>38.65</v>
      </c>
      <c r="D110" s="9">
        <f>IF(OR(Inputs!$F$8=TRUE,Inputs!$F$8="TRUE",Inputs!$F$8=1),(Inputs!$H$8+Inputs!$L$8*(((Inputs!$I$8+(((A110)+1)/2)*(Inputs!$J$8-Inputs!$I$8)))/Inputs!$K$8)^2),NA())</f>
        <v>44.650000000000006</v>
      </c>
      <c r="E110" s="9">
        <f>IF(OR(Inputs!$F$9=TRUE,Inputs!$F$9="TRUE",Inputs!$F$9=1),(Inputs!$H$9+Inputs!$L$9*(((Inputs!$I$9+(((A110)+1)/2)*(Inputs!$J$9-Inputs!$I$9)))/Inputs!$K$9)^2),NA())</f>
        <v>34.75</v>
      </c>
      <c r="F110" s="10"/>
      <c r="G110" s="9">
        <f t="shared" si="6"/>
        <v>-0.1</v>
      </c>
      <c r="H110" s="9">
        <f>IF(OR(Inputs!$F$6=TRUE,Inputs!$F$6="TRUE",Inputs!$F$6=1),(((SQRT(((Inputs!$I$6+(((A110)+1)/2)*(Inputs!$J$6-Inputs!$I$6)))^2+Inputs!$C$6^2+((Inputs!$H$6+Inputs!$L$6*(((Inputs!$I$6+(((A110)+1)/2)*(Inputs!$J$6-Inputs!$I$6)))/Inputs!$K$6)^2))^2))-((Inputs!$H$6+Inputs!$L$6*(((Inputs!$I$6+(((A110)+1)/2)*(Inputs!$J$6-Inputs!$I$6)))/Inputs!$K$6)^2)))*1000/Inputs!$C$12),NA())</f>
        <v>463.66069393203549</v>
      </c>
      <c r="I110" s="9">
        <f>IF(OR(Inputs!$F$7=TRUE,Inputs!$F$7="TRUE",Inputs!$F$7=1),(((SQRT(((Inputs!$I$7+(((A110)+1)/2)*(Inputs!$J$7-Inputs!$I$7)))^2+Inputs!$C$6^2+((Inputs!$H$7+Inputs!$L$7*(((Inputs!$I$7+(((A110)+1)/2)*(Inputs!$J$7-Inputs!$I$7)))/Inputs!$K$7)^2))^2))-((Inputs!$H$7+Inputs!$L$7*(((Inputs!$I$7+(((A110)+1)/2)*(Inputs!$J$7-Inputs!$I$7)))/Inputs!$K$7)^2)))*1000/Inputs!$C$12),NA())</f>
        <v>12546.151138988658</v>
      </c>
      <c r="J110" s="9">
        <f>IF(OR(Inputs!$F$8=TRUE,Inputs!$F$8="TRUE",Inputs!$F$8=1),(((SQRT(((Inputs!$I$8+(((A110)+1)/2)*(Inputs!$J$8-Inputs!$I$8)))^2+Inputs!$C$6^2+((Inputs!$H$8+Inputs!$L$8*(((Inputs!$I$8+(((A110)+1)/2)*(Inputs!$J$8-Inputs!$I$8)))/Inputs!$K$8)^2))^2))-((Inputs!$H$8+Inputs!$L$8*(((Inputs!$I$8+(((A110)+1)/2)*(Inputs!$J$8-Inputs!$I$8)))/Inputs!$K$8)^2)))*1000/Inputs!$C$12),NA())</f>
        <v>28267.656336308472</v>
      </c>
      <c r="K110" s="9">
        <f>IF(OR(Inputs!$F$9=TRUE,Inputs!$F$9="TRUE",Inputs!$F$9=1),(((SQRT(((Inputs!$I$9+(((A110)+1)/2)*(Inputs!$J$9-Inputs!$I$9)))^2+Inputs!$C$6^2+((Inputs!$H$9+Inputs!$L$9*(((Inputs!$I$9+(((A110)+1)/2)*(Inputs!$J$9-Inputs!$I$9)))/Inputs!$K$9)^2))^2))-((Inputs!$H$9+Inputs!$L$9*(((Inputs!$I$9+(((A110)+1)/2)*(Inputs!$J$9-Inputs!$I$9)))/Inputs!$K$9)^2)))*1000/Inputs!$C$12),NA())</f>
        <v>31451.387398225914</v>
      </c>
      <c r="L110" s="10"/>
      <c r="M110" s="9">
        <f t="shared" si="7"/>
        <v>-0.1</v>
      </c>
      <c r="N110" s="9">
        <f>IF(OR(Inputs!$F$6=TRUE,Inputs!$F$6="TRUE",Inputs!$F$6=1),(-2*((1000*((((Inputs!$I$6+(((A110)+1)/2)*(Inputs!$J$6-Inputs!$I$6)))*Inputs!$C$11+((Inputs!$H$6+Inputs!$L$6*(((Inputs!$I$6+(((A110)+1)/2)*(Inputs!$J$6-Inputs!$I$6)))/Inputs!$K$6)^2))*((2*Inputs!$L$6*((Inputs!$I$6+(((A110)+1)/2)*(Inputs!$J$6-Inputs!$I$6)))/(Inputs!$K$6^2)*Inputs!$C$11)))/(SQRT(((Inputs!$I$6+(((A110)+1)/2)*(Inputs!$J$6-Inputs!$I$6)))^2+Inputs!$C$6^2+((Inputs!$H$6+Inputs!$L$6*(((Inputs!$I$6+(((A110)+1)/2)*(Inputs!$J$6-Inputs!$I$6)))/Inputs!$K$6)^2))^2)))))/Inputs!$C$13),NA())</f>
        <v>45.237604605019875</v>
      </c>
      <c r="O110" s="9">
        <f>IF(OR(Inputs!$F$7=TRUE,Inputs!$F$7="TRUE",Inputs!$F$7=1),(-2*((1000*((((Inputs!$I$7+(((A110)+1)/2)*(Inputs!$J$7-Inputs!$I$7)))*Inputs!$C$11+((Inputs!$H$7+Inputs!$L$7*(((Inputs!$I$7+(((A110)+1)/2)*(Inputs!$J$7-Inputs!$I$7)))/Inputs!$K$7)^2))*((2*Inputs!$L$7*((Inputs!$I$7+(((A110)+1)/2)*(Inputs!$J$7-Inputs!$I$7)))/(Inputs!$K$7^2)*Inputs!$C$11)))/(SQRT(((Inputs!$I$7+(((A110)+1)/2)*(Inputs!$J$7-Inputs!$I$7)))^2+Inputs!$C$6^2+((Inputs!$H$7+Inputs!$L$7*(((Inputs!$I$7+(((A110)+1)/2)*(Inputs!$J$7-Inputs!$I$7)))/Inputs!$K$7)^2))^2)))))/Inputs!$C$13),NA())</f>
        <v>1234.5547213525292</v>
      </c>
      <c r="P110" s="9">
        <f>IF(OR(Inputs!$F$8=TRUE,Inputs!$F$8="TRUE",Inputs!$F$8=1),(-2*((1000*((((Inputs!$I$8+(((A110)+1)/2)*(Inputs!$J$8-Inputs!$I$8)))*Inputs!$C$11+((Inputs!$H$8+Inputs!$L$8*(((Inputs!$I$8+(((A110)+1)/2)*(Inputs!$J$8-Inputs!$I$8)))/Inputs!$K$8)^2))*((2*Inputs!$L$8*((Inputs!$I$8+(((A110)+1)/2)*(Inputs!$J$8-Inputs!$I$8)))/(Inputs!$K$8^2)*Inputs!$C$11)))/(SQRT(((Inputs!$I$8+(((A110)+1)/2)*(Inputs!$J$8-Inputs!$I$8)))^2+Inputs!$C$6^2+((Inputs!$H$8+Inputs!$L$8*(((Inputs!$I$8+(((A110)+1)/2)*(Inputs!$J$8-Inputs!$I$8)))/Inputs!$K$8)^2))^2)))))/Inputs!$C$13),NA())</f>
        <v>1529.3288652900001</v>
      </c>
      <c r="Q110" s="9">
        <f>IF(OR(Inputs!$F$9=TRUE,Inputs!$F$9="TRUE",Inputs!$F$9=1),(-2*((1000*((((Inputs!$I$9+(((A110)+1)/2)*(Inputs!$J$9-Inputs!$I$9)))*Inputs!$C$11+((Inputs!$H$9+Inputs!$L$9*(((Inputs!$I$9+(((A110)+1)/2)*(Inputs!$J$9-Inputs!$I$9)))/Inputs!$K$9)^2))*((2*Inputs!$L$9*((Inputs!$I$9+(((A110)+1)/2)*(Inputs!$J$9-Inputs!$I$9)))/(Inputs!$K$9^2)*Inputs!$C$11)))/(SQRT(((Inputs!$I$9+(((A110)+1)/2)*(Inputs!$J$9-Inputs!$I$9)))^2+Inputs!$C$6^2+((Inputs!$H$9+Inputs!$L$9*(((Inputs!$I$9+(((A110)+1)/2)*(Inputs!$J$9-Inputs!$I$9)))/Inputs!$K$9)^2))^2)))))/Inputs!$C$13),NA())</f>
        <v>1560.0913386498464</v>
      </c>
      <c r="R110" s="10"/>
      <c r="S110" s="9">
        <f t="shared" si="8"/>
        <v>-0.1</v>
      </c>
      <c r="T110" s="9">
        <f>(Inputs!$I$6+(((A110)+1)/2)*(Inputs!$J$6-Inputs!$I$6))</f>
        <v>-6</v>
      </c>
      <c r="U110" s="9">
        <f>(Inputs!$I$7+(((A110)+1)/2)*(Inputs!$J$7-Inputs!$I$7))</f>
        <v>-40</v>
      </c>
      <c r="V110" s="9">
        <f>(Inputs!$I$8+(((A110)+1)/2)*(Inputs!$J$8-Inputs!$I$8))</f>
        <v>-80</v>
      </c>
      <c r="W110" s="9">
        <f>(Inputs!$I$9+(((A110)+1)/2)*(Inputs!$J$9-Inputs!$I$9))</f>
        <v>-80</v>
      </c>
      <c r="X110" s="10"/>
      <c r="Y110" s="9">
        <f t="shared" si="9"/>
        <v>-0.1</v>
      </c>
      <c r="Z110" s="9">
        <f>(Inputs!$H$6+Inputs!$L$6*(((Inputs!$I$6+(((A110)+1)/2)*(Inputs!$J$6-Inputs!$I$6)))/Inputs!$K$6)^2)</f>
        <v>400.04</v>
      </c>
      <c r="AA110" s="9">
        <f>(Inputs!$H$7+Inputs!$L$7*(((Inputs!$I$7+(((A110)+1)/2)*(Inputs!$J$7-Inputs!$I$7)))/Inputs!$K$7)^2)</f>
        <v>38.65</v>
      </c>
      <c r="AB110" s="9">
        <f>(Inputs!$H$8+Inputs!$L$8*(((Inputs!$I$8+(((A110)+1)/2)*(Inputs!$J$8-Inputs!$I$8)))/Inputs!$K$8)^2)</f>
        <v>44.650000000000006</v>
      </c>
      <c r="AC110" s="9">
        <f>(Inputs!$H$9+Inputs!$L$9*(((Inputs!$I$9+(((A110)+1)/2)*(Inputs!$J$9-Inputs!$I$9)))/Inputs!$K$9)^2)</f>
        <v>34.75</v>
      </c>
      <c r="AD110" s="10"/>
      <c r="AE110" s="9">
        <f t="shared" si="10"/>
        <v>-0.1</v>
      </c>
      <c r="AF110" s="9">
        <f>(((SQRT(((Inputs!$I$6+(((A110)+1)/2)*(Inputs!$J$6-Inputs!$I$6)))^2+Inputs!$C$6^2+((Inputs!$H$6+Inputs!$L$6*(((Inputs!$I$6+(((A110)+1)/2)*(Inputs!$J$6-Inputs!$I$6)))/Inputs!$K$6)^2))^2))-((Inputs!$H$6+Inputs!$L$6*(((Inputs!$I$6+(((A110)+1)/2)*(Inputs!$J$6-Inputs!$I$6)))/Inputs!$K$6)^2)))*1000/Inputs!$C$12)</f>
        <v>463.66069393203549</v>
      </c>
      <c r="AG110" s="9">
        <f>(((SQRT(((Inputs!$I$7+(((A110)+1)/2)*(Inputs!$J$7-Inputs!$I$7)))^2+Inputs!$C$6^2+((Inputs!$H$7+Inputs!$L$7*(((Inputs!$I$7+(((A110)+1)/2)*(Inputs!$J$7-Inputs!$I$7)))/Inputs!$K$7)^2))^2))-((Inputs!$H$7+Inputs!$L$7*(((Inputs!$I$7+(((A110)+1)/2)*(Inputs!$J$7-Inputs!$I$7)))/Inputs!$K$7)^2)))*1000/Inputs!$C$12)</f>
        <v>12546.151138988658</v>
      </c>
      <c r="AH110" s="9">
        <f>(((SQRT(((Inputs!$I$8+(((A110)+1)/2)*(Inputs!$J$8-Inputs!$I$8)))^2+Inputs!$C$6^2+((Inputs!$H$8+Inputs!$L$8*(((Inputs!$I$8+(((A110)+1)/2)*(Inputs!$J$8-Inputs!$I$8)))/Inputs!$K$8)^2))^2))-((Inputs!$H$8+Inputs!$L$8*(((Inputs!$I$8+(((A110)+1)/2)*(Inputs!$J$8-Inputs!$I$8)))/Inputs!$K$8)^2)))*1000/Inputs!$C$12)</f>
        <v>28267.656336308472</v>
      </c>
      <c r="AI110" s="9">
        <f>(((SQRT(((Inputs!$I$9+(((A110)+1)/2)*(Inputs!$J$9-Inputs!$I$9)))^2+Inputs!$C$6^2+((Inputs!$H$9+Inputs!$L$9*(((Inputs!$I$9+(((A110)+1)/2)*(Inputs!$J$9-Inputs!$I$9)))/Inputs!$K$9)^2))^2))-((Inputs!$H$9+Inputs!$L$9*(((Inputs!$I$9+(((A110)+1)/2)*(Inputs!$J$9-Inputs!$I$9)))/Inputs!$K$9)^2)))*1000/Inputs!$C$12)</f>
        <v>31451.387398225914</v>
      </c>
      <c r="AJ110" s="10"/>
      <c r="AK110" s="9">
        <f t="shared" si="11"/>
        <v>-0.1</v>
      </c>
      <c r="AL110" s="9">
        <f>(-2*((1000*((((Inputs!$I$6+(((A110)+1)/2)*(Inputs!$J$6-Inputs!$I$6)))*Inputs!$C$11+((Inputs!$H$6+Inputs!$L$6*(((Inputs!$I$6+(((A110)+1)/2)*(Inputs!$J$6-Inputs!$I$6)))/Inputs!$K$6)^2))*((2*Inputs!$L$6*((Inputs!$I$6+(((A110)+1)/2)*(Inputs!$J$6-Inputs!$I$6)))/(Inputs!$K$6^2)*Inputs!$C$11)))/(SQRT(((Inputs!$I$6+(((A110)+1)/2)*(Inputs!$J$6-Inputs!$I$6)))^2+Inputs!$C$6^2+((Inputs!$H$6+Inputs!$L$6*(((Inputs!$I$6+(((A110)+1)/2)*(Inputs!$J$6-Inputs!$I$6)))/Inputs!$K$6)^2))^2)))))/Inputs!$C$13)</f>
        <v>45.237604605019875</v>
      </c>
      <c r="AM110" s="9">
        <f>(-2*((1000*((((Inputs!$I$7+(((A110)+1)/2)*(Inputs!$J$7-Inputs!$I$7)))*Inputs!$C$11+((Inputs!$H$7+Inputs!$L$7*(((Inputs!$I$7+(((A110)+1)/2)*(Inputs!$J$7-Inputs!$I$7)))/Inputs!$K$7)^2))*((2*Inputs!$L$7*((Inputs!$I$7+(((A110)+1)/2)*(Inputs!$J$7-Inputs!$I$7)))/(Inputs!$K$7^2)*Inputs!$C$11)))/(SQRT(((Inputs!$I$7+(((A110)+1)/2)*(Inputs!$J$7-Inputs!$I$7)))^2+Inputs!$C$6^2+((Inputs!$H$7+Inputs!$L$7*(((Inputs!$I$7+(((A110)+1)/2)*(Inputs!$J$7-Inputs!$I$7)))/Inputs!$K$7)^2))^2)))))/Inputs!$C$13)</f>
        <v>1234.5547213525292</v>
      </c>
      <c r="AN110" s="9">
        <f>(-2*((1000*((((Inputs!$I$8+(((A110)+1)/2)*(Inputs!$J$8-Inputs!$I$8)))*Inputs!$C$11+((Inputs!$H$8+Inputs!$L$8*(((Inputs!$I$8+(((A110)+1)/2)*(Inputs!$J$8-Inputs!$I$8)))/Inputs!$K$8)^2))*((2*Inputs!$L$8*((Inputs!$I$8+(((A110)+1)/2)*(Inputs!$J$8-Inputs!$I$8)))/(Inputs!$K$8^2)*Inputs!$C$11)))/(SQRT(((Inputs!$I$8+(((A110)+1)/2)*(Inputs!$J$8-Inputs!$I$8)))^2+Inputs!$C$6^2+((Inputs!$H$8+Inputs!$L$8*(((Inputs!$I$8+(((A110)+1)/2)*(Inputs!$J$8-Inputs!$I$8)))/Inputs!$K$8)^2))^2)))))/Inputs!$C$13)</f>
        <v>1529.3288652900001</v>
      </c>
      <c r="AO110" s="9">
        <f>(-2*((1000*((((Inputs!$I$9+(((A110)+1)/2)*(Inputs!$J$9-Inputs!$I$9)))*Inputs!$C$11+((Inputs!$H$9+Inputs!$L$9*(((Inputs!$I$9+(((A110)+1)/2)*(Inputs!$J$9-Inputs!$I$9)))/Inputs!$K$9)^2))*((2*Inputs!$L$9*((Inputs!$I$9+(((A110)+1)/2)*(Inputs!$J$9-Inputs!$I$9)))/(Inputs!$K$9^2)*Inputs!$C$11)))/(SQRT(((Inputs!$I$9+(((A110)+1)/2)*(Inputs!$J$9-Inputs!$I$9)))^2+Inputs!$C$6^2+((Inputs!$H$9+Inputs!$L$9*(((Inputs!$I$9+(((A110)+1)/2)*(Inputs!$J$9-Inputs!$I$9)))/Inputs!$K$9)^2))^2)))))/Inputs!$C$13)</f>
        <v>1560.0913386498464</v>
      </c>
    </row>
    <row r="111" spans="1:41">
      <c r="A111" s="9">
        <f>ROUND(-1+109*2/240,3)</f>
        <v>-9.1999999999999998E-2</v>
      </c>
      <c r="B111" s="9">
        <f>IF(OR(Inputs!$F$6=TRUE,Inputs!$F$6="TRUE",Inputs!$F$6=1),(Inputs!$H$6+Inputs!$L$6*(((Inputs!$I$6+(((A111)+1)/2)*(Inputs!$J$6-Inputs!$I$6)))/Inputs!$K$6)^2),NA())</f>
        <v>400.03385600000001</v>
      </c>
      <c r="C111" s="9">
        <f>IF(OR(Inputs!$F$7=TRUE,Inputs!$F$7="TRUE",Inputs!$F$7=1),(Inputs!$H$7+Inputs!$L$7*(((Inputs!$I$7+(((A111)+1)/2)*(Inputs!$J$7-Inputs!$I$7)))/Inputs!$K$7)^2),NA())</f>
        <v>38.089359999999999</v>
      </c>
      <c r="D111" s="9">
        <f>IF(OR(Inputs!$F$8=TRUE,Inputs!$F$8="TRUE",Inputs!$F$8=1),(Inputs!$H$8+Inputs!$L$8*(((Inputs!$I$8+(((A111)+1)/2)*(Inputs!$J$8-Inputs!$I$8)))/Inputs!$K$8)^2),NA())</f>
        <v>43.167760000000001</v>
      </c>
      <c r="E111" s="9">
        <f>IF(OR(Inputs!$F$9=TRUE,Inputs!$F$9="TRUE",Inputs!$F$9=1),(Inputs!$H$9+Inputs!$L$9*(((Inputs!$I$9+(((A111)+1)/2)*(Inputs!$J$9-Inputs!$I$9)))/Inputs!$K$9)^2),NA())</f>
        <v>33.252400000000009</v>
      </c>
      <c r="F111" s="10"/>
      <c r="G111" s="9">
        <f t="shared" si="6"/>
        <v>-9.1999999999999998E-2</v>
      </c>
      <c r="H111" s="9">
        <f>IF(OR(Inputs!$F$6=TRUE,Inputs!$F$6="TRUE",Inputs!$F$6=1),(((SQRT(((Inputs!$I$6+(((A111)+1)/2)*(Inputs!$J$6-Inputs!$I$6)))^2+Inputs!$C$6^2+((Inputs!$H$6+Inputs!$L$6*(((Inputs!$I$6+(((A111)+1)/2)*(Inputs!$J$6-Inputs!$I$6)))/Inputs!$K$6)^2))^2))-((Inputs!$H$6+Inputs!$L$6*(((Inputs!$I$6+(((A111)+1)/2)*(Inputs!$J$6-Inputs!$I$6)))/Inputs!$K$6)^2)))*1000/Inputs!$C$12),NA())</f>
        <v>459.7929440643228</v>
      </c>
      <c r="I111" s="9">
        <f>IF(OR(Inputs!$F$7=TRUE,Inputs!$F$7="TRUE",Inputs!$F$7=1),(((SQRT(((Inputs!$I$7+(((A111)+1)/2)*(Inputs!$J$7-Inputs!$I$7)))^2+Inputs!$C$6^2+((Inputs!$H$7+Inputs!$L$7*(((Inputs!$I$7+(((A111)+1)/2)*(Inputs!$J$7-Inputs!$I$7)))/Inputs!$K$7)^2))^2))-((Inputs!$H$7+Inputs!$L$7*(((Inputs!$I$7+(((A111)+1)/2)*(Inputs!$J$7-Inputs!$I$7)))/Inputs!$K$7)^2)))*1000/Inputs!$C$12),NA())</f>
        <v>11504.032449515398</v>
      </c>
      <c r="J111" s="9">
        <f>IF(OR(Inputs!$F$8=TRUE,Inputs!$F$8="TRUE",Inputs!$F$8=1),(((SQRT(((Inputs!$I$8+(((A111)+1)/2)*(Inputs!$J$8-Inputs!$I$8)))^2+Inputs!$C$6^2+((Inputs!$H$8+Inputs!$L$8*(((Inputs!$I$8+(((A111)+1)/2)*(Inputs!$J$8-Inputs!$I$8)))/Inputs!$K$8)^2))^2))-((Inputs!$H$8+Inputs!$L$8*(((Inputs!$I$8+(((A111)+1)/2)*(Inputs!$J$8-Inputs!$I$8)))/Inputs!$K$8)^2)))*1000/Inputs!$C$12),NA())</f>
        <v>25699.237944318753</v>
      </c>
      <c r="K111" s="9">
        <f>IF(OR(Inputs!$F$9=TRUE,Inputs!$F$9="TRUE",Inputs!$F$9=1),(((SQRT(((Inputs!$I$9+(((A111)+1)/2)*(Inputs!$J$9-Inputs!$I$9)))^2+Inputs!$C$6^2+((Inputs!$H$9+Inputs!$L$9*(((Inputs!$I$9+(((A111)+1)/2)*(Inputs!$J$9-Inputs!$I$9)))/Inputs!$K$9)^2))^2))-((Inputs!$H$9+Inputs!$L$9*(((Inputs!$I$9+(((A111)+1)/2)*(Inputs!$J$9-Inputs!$I$9)))/Inputs!$K$9)^2)))*1000/Inputs!$C$12),NA())</f>
        <v>28815.486246902132</v>
      </c>
      <c r="L111" s="10"/>
      <c r="M111" s="9">
        <f t="shared" si="7"/>
        <v>-9.1999999999999998E-2</v>
      </c>
      <c r="N111" s="9">
        <f>IF(OR(Inputs!$F$6=TRUE,Inputs!$F$6="TRUE",Inputs!$F$6=1),(-2*((1000*((((Inputs!$I$6+(((A111)+1)/2)*(Inputs!$J$6-Inputs!$I$6)))*Inputs!$C$11+((Inputs!$H$6+Inputs!$L$6*(((Inputs!$I$6+(((A111)+1)/2)*(Inputs!$J$6-Inputs!$I$6)))/Inputs!$K$6)^2))*((2*Inputs!$L$6*((Inputs!$I$6+(((A111)+1)/2)*(Inputs!$J$6-Inputs!$I$6)))/(Inputs!$K$6^2)*Inputs!$C$11)))/(SQRT(((Inputs!$I$6+(((A111)+1)/2)*(Inputs!$J$6-Inputs!$I$6)))^2+Inputs!$C$6^2+((Inputs!$H$6+Inputs!$L$6*(((Inputs!$I$6+(((A111)+1)/2)*(Inputs!$J$6-Inputs!$I$6)))/Inputs!$K$6)^2))^2)))))/Inputs!$C$13),NA())</f>
        <v>41.619648109336076</v>
      </c>
      <c r="O111" s="9">
        <f>IF(OR(Inputs!$F$7=TRUE,Inputs!$F$7="TRUE",Inputs!$F$7=1),(-2*((1000*((((Inputs!$I$7+(((A111)+1)/2)*(Inputs!$J$7-Inputs!$I$7)))*Inputs!$C$11+((Inputs!$H$7+Inputs!$L$7*(((Inputs!$I$7+(((A111)+1)/2)*(Inputs!$J$7-Inputs!$I$7)))/Inputs!$K$7)^2))*((2*Inputs!$L$7*((Inputs!$I$7+(((A111)+1)/2)*(Inputs!$J$7-Inputs!$I$7)))/(Inputs!$K$7^2)*Inputs!$C$11)))/(SQRT(((Inputs!$I$7+(((A111)+1)/2)*(Inputs!$J$7-Inputs!$I$7)))^2+Inputs!$C$6^2+((Inputs!$H$7+Inputs!$L$7*(((Inputs!$I$7+(((A111)+1)/2)*(Inputs!$J$7-Inputs!$I$7)))/Inputs!$K$7)^2))^2)))))/Inputs!$C$13),NA())</f>
        <v>1180.0650732241249</v>
      </c>
      <c r="P111" s="9">
        <f>IF(OR(Inputs!$F$8=TRUE,Inputs!$F$8="TRUE",Inputs!$F$8=1),(-2*((1000*((((Inputs!$I$8+(((A111)+1)/2)*(Inputs!$J$8-Inputs!$I$8)))*Inputs!$C$11+((Inputs!$H$8+Inputs!$L$8*(((Inputs!$I$8+(((A111)+1)/2)*(Inputs!$J$8-Inputs!$I$8)))/Inputs!$K$8)^2))*((2*Inputs!$L$8*((Inputs!$I$8+(((A111)+1)/2)*(Inputs!$J$8-Inputs!$I$8)))/(Inputs!$K$8^2)*Inputs!$C$11)))/(SQRT(((Inputs!$I$8+(((A111)+1)/2)*(Inputs!$J$8-Inputs!$I$8)))^2+Inputs!$C$6^2+((Inputs!$H$8+Inputs!$L$8*(((Inputs!$I$8+(((A111)+1)/2)*(Inputs!$J$8-Inputs!$I$8)))/Inputs!$K$8)^2))^2)))))/Inputs!$C$13),NA())</f>
        <v>1496.863537942681</v>
      </c>
      <c r="Q111" s="9">
        <f>IF(OR(Inputs!$F$9=TRUE,Inputs!$F$9="TRUE",Inputs!$F$9=1),(-2*((1000*((((Inputs!$I$9+(((A111)+1)/2)*(Inputs!$J$9-Inputs!$I$9)))*Inputs!$C$11+((Inputs!$H$9+Inputs!$L$9*(((Inputs!$I$9+(((A111)+1)/2)*(Inputs!$J$9-Inputs!$I$9)))/Inputs!$K$9)^2))*((2*Inputs!$L$9*((Inputs!$I$9+(((A111)+1)/2)*(Inputs!$J$9-Inputs!$I$9)))/(Inputs!$K$9^2)*Inputs!$C$11)))/(SQRT(((Inputs!$I$9+(((A111)+1)/2)*(Inputs!$J$9-Inputs!$I$9)))^2+Inputs!$C$6^2+((Inputs!$H$9+Inputs!$L$9*(((Inputs!$I$9+(((A111)+1)/2)*(Inputs!$J$9-Inputs!$I$9)))/Inputs!$K$9)^2))^2)))))/Inputs!$C$13),NA())</f>
        <v>1534.006127144683</v>
      </c>
      <c r="R111" s="10"/>
      <c r="S111" s="9">
        <f t="shared" si="8"/>
        <v>-9.1999999999999998E-2</v>
      </c>
      <c r="T111" s="9">
        <f>(Inputs!$I$6+(((A111)+1)/2)*(Inputs!$J$6-Inputs!$I$6))</f>
        <v>-5.519999999999996</v>
      </c>
      <c r="U111" s="9">
        <f>(Inputs!$I$7+(((A111)+1)/2)*(Inputs!$J$7-Inputs!$I$7))</f>
        <v>-36.800000000000011</v>
      </c>
      <c r="V111" s="9">
        <f>(Inputs!$I$8+(((A111)+1)/2)*(Inputs!$J$8-Inputs!$I$8))</f>
        <v>-73.600000000000023</v>
      </c>
      <c r="W111" s="9">
        <f>(Inputs!$I$9+(((A111)+1)/2)*(Inputs!$J$9-Inputs!$I$9))</f>
        <v>-73.600000000000023</v>
      </c>
      <c r="X111" s="10"/>
      <c r="Y111" s="9">
        <f t="shared" si="9"/>
        <v>-9.1999999999999998E-2</v>
      </c>
      <c r="Z111" s="9">
        <f>(Inputs!$H$6+Inputs!$L$6*(((Inputs!$I$6+(((A111)+1)/2)*(Inputs!$J$6-Inputs!$I$6)))/Inputs!$K$6)^2)</f>
        <v>400.03385600000001</v>
      </c>
      <c r="AA111" s="9">
        <f>(Inputs!$H$7+Inputs!$L$7*(((Inputs!$I$7+(((A111)+1)/2)*(Inputs!$J$7-Inputs!$I$7)))/Inputs!$K$7)^2)</f>
        <v>38.089359999999999</v>
      </c>
      <c r="AB111" s="9">
        <f>(Inputs!$H$8+Inputs!$L$8*(((Inputs!$I$8+(((A111)+1)/2)*(Inputs!$J$8-Inputs!$I$8)))/Inputs!$K$8)^2)</f>
        <v>43.167760000000001</v>
      </c>
      <c r="AC111" s="9">
        <f>(Inputs!$H$9+Inputs!$L$9*(((Inputs!$I$9+(((A111)+1)/2)*(Inputs!$J$9-Inputs!$I$9)))/Inputs!$K$9)^2)</f>
        <v>33.252400000000009</v>
      </c>
      <c r="AD111" s="10"/>
      <c r="AE111" s="9">
        <f t="shared" si="10"/>
        <v>-9.1999999999999998E-2</v>
      </c>
      <c r="AF111" s="9">
        <f>(((SQRT(((Inputs!$I$6+(((A111)+1)/2)*(Inputs!$J$6-Inputs!$I$6)))^2+Inputs!$C$6^2+((Inputs!$H$6+Inputs!$L$6*(((Inputs!$I$6+(((A111)+1)/2)*(Inputs!$J$6-Inputs!$I$6)))/Inputs!$K$6)^2))^2))-((Inputs!$H$6+Inputs!$L$6*(((Inputs!$I$6+(((A111)+1)/2)*(Inputs!$J$6-Inputs!$I$6)))/Inputs!$K$6)^2)))*1000/Inputs!$C$12)</f>
        <v>459.7929440643228</v>
      </c>
      <c r="AG111" s="9">
        <f>(((SQRT(((Inputs!$I$7+(((A111)+1)/2)*(Inputs!$J$7-Inputs!$I$7)))^2+Inputs!$C$6^2+((Inputs!$H$7+Inputs!$L$7*(((Inputs!$I$7+(((A111)+1)/2)*(Inputs!$J$7-Inputs!$I$7)))/Inputs!$K$7)^2))^2))-((Inputs!$H$7+Inputs!$L$7*(((Inputs!$I$7+(((A111)+1)/2)*(Inputs!$J$7-Inputs!$I$7)))/Inputs!$K$7)^2)))*1000/Inputs!$C$12)</f>
        <v>11504.032449515398</v>
      </c>
      <c r="AH111" s="9">
        <f>(((SQRT(((Inputs!$I$8+(((A111)+1)/2)*(Inputs!$J$8-Inputs!$I$8)))^2+Inputs!$C$6^2+((Inputs!$H$8+Inputs!$L$8*(((Inputs!$I$8+(((A111)+1)/2)*(Inputs!$J$8-Inputs!$I$8)))/Inputs!$K$8)^2))^2))-((Inputs!$H$8+Inputs!$L$8*(((Inputs!$I$8+(((A111)+1)/2)*(Inputs!$J$8-Inputs!$I$8)))/Inputs!$K$8)^2)))*1000/Inputs!$C$12)</f>
        <v>25699.237944318753</v>
      </c>
      <c r="AI111" s="9">
        <f>(((SQRT(((Inputs!$I$9+(((A111)+1)/2)*(Inputs!$J$9-Inputs!$I$9)))^2+Inputs!$C$6^2+((Inputs!$H$9+Inputs!$L$9*(((Inputs!$I$9+(((A111)+1)/2)*(Inputs!$J$9-Inputs!$I$9)))/Inputs!$K$9)^2))^2))-((Inputs!$H$9+Inputs!$L$9*(((Inputs!$I$9+(((A111)+1)/2)*(Inputs!$J$9-Inputs!$I$9)))/Inputs!$K$9)^2)))*1000/Inputs!$C$12)</f>
        <v>28815.486246902132</v>
      </c>
      <c r="AJ111" s="10"/>
      <c r="AK111" s="9">
        <f t="shared" si="11"/>
        <v>-9.1999999999999998E-2</v>
      </c>
      <c r="AL111" s="9">
        <f>(-2*((1000*((((Inputs!$I$6+(((A111)+1)/2)*(Inputs!$J$6-Inputs!$I$6)))*Inputs!$C$11+((Inputs!$H$6+Inputs!$L$6*(((Inputs!$I$6+(((A111)+1)/2)*(Inputs!$J$6-Inputs!$I$6)))/Inputs!$K$6)^2))*((2*Inputs!$L$6*((Inputs!$I$6+(((A111)+1)/2)*(Inputs!$J$6-Inputs!$I$6)))/(Inputs!$K$6^2)*Inputs!$C$11)))/(SQRT(((Inputs!$I$6+(((A111)+1)/2)*(Inputs!$J$6-Inputs!$I$6)))^2+Inputs!$C$6^2+((Inputs!$H$6+Inputs!$L$6*(((Inputs!$I$6+(((A111)+1)/2)*(Inputs!$J$6-Inputs!$I$6)))/Inputs!$K$6)^2))^2)))))/Inputs!$C$13)</f>
        <v>41.619648109336076</v>
      </c>
      <c r="AM111" s="9">
        <f>(-2*((1000*((((Inputs!$I$7+(((A111)+1)/2)*(Inputs!$J$7-Inputs!$I$7)))*Inputs!$C$11+((Inputs!$H$7+Inputs!$L$7*(((Inputs!$I$7+(((A111)+1)/2)*(Inputs!$J$7-Inputs!$I$7)))/Inputs!$K$7)^2))*((2*Inputs!$L$7*((Inputs!$I$7+(((A111)+1)/2)*(Inputs!$J$7-Inputs!$I$7)))/(Inputs!$K$7^2)*Inputs!$C$11)))/(SQRT(((Inputs!$I$7+(((A111)+1)/2)*(Inputs!$J$7-Inputs!$I$7)))^2+Inputs!$C$6^2+((Inputs!$H$7+Inputs!$L$7*(((Inputs!$I$7+(((A111)+1)/2)*(Inputs!$J$7-Inputs!$I$7)))/Inputs!$K$7)^2))^2)))))/Inputs!$C$13)</f>
        <v>1180.0650732241249</v>
      </c>
      <c r="AN111" s="9">
        <f>(-2*((1000*((((Inputs!$I$8+(((A111)+1)/2)*(Inputs!$J$8-Inputs!$I$8)))*Inputs!$C$11+((Inputs!$H$8+Inputs!$L$8*(((Inputs!$I$8+(((A111)+1)/2)*(Inputs!$J$8-Inputs!$I$8)))/Inputs!$K$8)^2))*((2*Inputs!$L$8*((Inputs!$I$8+(((A111)+1)/2)*(Inputs!$J$8-Inputs!$I$8)))/(Inputs!$K$8^2)*Inputs!$C$11)))/(SQRT(((Inputs!$I$8+(((A111)+1)/2)*(Inputs!$J$8-Inputs!$I$8)))^2+Inputs!$C$6^2+((Inputs!$H$8+Inputs!$L$8*(((Inputs!$I$8+(((A111)+1)/2)*(Inputs!$J$8-Inputs!$I$8)))/Inputs!$K$8)^2))^2)))))/Inputs!$C$13)</f>
        <v>1496.863537942681</v>
      </c>
      <c r="AO111" s="9">
        <f>(-2*((1000*((((Inputs!$I$9+(((A111)+1)/2)*(Inputs!$J$9-Inputs!$I$9)))*Inputs!$C$11+((Inputs!$H$9+Inputs!$L$9*(((Inputs!$I$9+(((A111)+1)/2)*(Inputs!$J$9-Inputs!$I$9)))/Inputs!$K$9)^2))*((2*Inputs!$L$9*((Inputs!$I$9+(((A111)+1)/2)*(Inputs!$J$9-Inputs!$I$9)))/(Inputs!$K$9^2)*Inputs!$C$11)))/(SQRT(((Inputs!$I$9+(((A111)+1)/2)*(Inputs!$J$9-Inputs!$I$9)))^2+Inputs!$C$6^2+((Inputs!$H$9+Inputs!$L$9*(((Inputs!$I$9+(((A111)+1)/2)*(Inputs!$J$9-Inputs!$I$9)))/Inputs!$K$9)^2))^2)))))/Inputs!$C$13)</f>
        <v>1534.006127144683</v>
      </c>
    </row>
    <row r="112" spans="1:41">
      <c r="A112" s="9">
        <f>ROUND(-1+110*2/240,3)</f>
        <v>-8.3000000000000004E-2</v>
      </c>
      <c r="B112" s="9">
        <f>IF(OR(Inputs!$F$6=TRUE,Inputs!$F$6="TRUE",Inputs!$F$6=1),(Inputs!$H$6+Inputs!$L$6*(((Inputs!$I$6+(((A112)+1)/2)*(Inputs!$J$6-Inputs!$I$6)))/Inputs!$K$6)^2),NA())</f>
        <v>400.027556</v>
      </c>
      <c r="C112" s="9">
        <f>IF(OR(Inputs!$F$7=TRUE,Inputs!$F$7="TRUE",Inputs!$F$7=1),(Inputs!$H$7+Inputs!$L$7*(((Inputs!$I$7+(((A112)+1)/2)*(Inputs!$J$7-Inputs!$I$7)))/Inputs!$K$7)^2),NA())</f>
        <v>37.514485000000001</v>
      </c>
      <c r="D112" s="9">
        <f>IF(OR(Inputs!$F$8=TRUE,Inputs!$F$8="TRUE",Inputs!$F$8=1),(Inputs!$H$8+Inputs!$L$8*(((Inputs!$I$8+(((A112)+1)/2)*(Inputs!$J$8-Inputs!$I$8)))/Inputs!$K$8)^2),NA())</f>
        <v>41.647884999999995</v>
      </c>
      <c r="E112" s="9">
        <f>IF(OR(Inputs!$F$9=TRUE,Inputs!$F$9="TRUE",Inputs!$F$9=1),(Inputs!$H$9+Inputs!$L$9*(((Inputs!$I$9+(((A112)+1)/2)*(Inputs!$J$9-Inputs!$I$9)))/Inputs!$K$9)^2),NA())</f>
        <v>31.716774999999995</v>
      </c>
      <c r="F112" s="10"/>
      <c r="G112" s="9">
        <f t="shared" si="6"/>
        <v>-8.3000000000000004E-2</v>
      </c>
      <c r="H112" s="9">
        <f>IF(OR(Inputs!$F$6=TRUE,Inputs!$F$6="TRUE",Inputs!$F$6=1),(((SQRT(((Inputs!$I$6+(((A112)+1)/2)*(Inputs!$J$6-Inputs!$I$6)))^2+Inputs!$C$6^2+((Inputs!$H$6+Inputs!$L$6*(((Inputs!$I$6+(((A112)+1)/2)*(Inputs!$J$6-Inputs!$I$6)))/Inputs!$K$6)^2))^2))-((Inputs!$H$6+Inputs!$L$6*(((Inputs!$I$6+(((A112)+1)/2)*(Inputs!$J$6-Inputs!$I$6)))/Inputs!$K$6)^2)))*1000/Inputs!$C$12),NA())</f>
        <v>455.82679750566513</v>
      </c>
      <c r="I112" s="9">
        <f>IF(OR(Inputs!$F$7=TRUE,Inputs!$F$7="TRUE",Inputs!$F$7=1),(((SQRT(((Inputs!$I$7+(((A112)+1)/2)*(Inputs!$J$7-Inputs!$I$7)))^2+Inputs!$C$6^2+((Inputs!$H$7+Inputs!$L$7*(((Inputs!$I$7+(((A112)+1)/2)*(Inputs!$J$7-Inputs!$I$7)))/Inputs!$K$7)^2))^2))-((Inputs!$H$7+Inputs!$L$7*(((Inputs!$I$7+(((A112)+1)/2)*(Inputs!$J$7-Inputs!$I$7)))/Inputs!$K$7)^2)))*1000/Inputs!$C$12),NA())</f>
        <v>10377.980052459096</v>
      </c>
      <c r="J112" s="9">
        <f>IF(OR(Inputs!$F$8=TRUE,Inputs!$F$8="TRUE",Inputs!$F$8=1),(((SQRT(((Inputs!$I$8+(((A112)+1)/2)*(Inputs!$J$8-Inputs!$I$8)))^2+Inputs!$C$6^2+((Inputs!$H$8+Inputs!$L$8*(((Inputs!$I$8+(((A112)+1)/2)*(Inputs!$J$8-Inputs!$I$8)))/Inputs!$K$8)^2))^2))-((Inputs!$H$8+Inputs!$L$8*(((Inputs!$I$8+(((A112)+1)/2)*(Inputs!$J$8-Inputs!$I$8)))/Inputs!$K$8)^2)))*1000/Inputs!$C$12),NA())</f>
        <v>22821.936765500046</v>
      </c>
      <c r="K112" s="9">
        <f>IF(OR(Inputs!$F$9=TRUE,Inputs!$F$9="TRUE",Inputs!$F$9=1),(((SQRT(((Inputs!$I$9+(((A112)+1)/2)*(Inputs!$J$9-Inputs!$I$9)))^2+Inputs!$C$6^2+((Inputs!$H$9+Inputs!$L$9*(((Inputs!$I$9+(((A112)+1)/2)*(Inputs!$J$9-Inputs!$I$9)))/Inputs!$K$9)^2))^2))-((Inputs!$H$9+Inputs!$L$9*(((Inputs!$I$9+(((A112)+1)/2)*(Inputs!$J$9-Inputs!$I$9)))/Inputs!$K$9)^2)))*1000/Inputs!$C$12),NA())</f>
        <v>25842.756989515266</v>
      </c>
      <c r="L112" s="10"/>
      <c r="M112" s="9">
        <f t="shared" si="7"/>
        <v>-8.3000000000000004E-2</v>
      </c>
      <c r="N112" s="9">
        <f>IF(OR(Inputs!$F$6=TRUE,Inputs!$F$6="TRUE",Inputs!$F$6=1),(-2*((1000*((((Inputs!$I$6+(((A112)+1)/2)*(Inputs!$J$6-Inputs!$I$6)))*Inputs!$C$11+((Inputs!$H$6+Inputs!$L$6*(((Inputs!$I$6+(((A112)+1)/2)*(Inputs!$J$6-Inputs!$I$6)))/Inputs!$K$6)^2))*((2*Inputs!$L$6*((Inputs!$I$6+(((A112)+1)/2)*(Inputs!$J$6-Inputs!$I$6)))/(Inputs!$K$6^2)*Inputs!$C$11)))/(SQRT(((Inputs!$I$6+(((A112)+1)/2)*(Inputs!$J$6-Inputs!$I$6)))^2+Inputs!$C$6^2+((Inputs!$H$6+Inputs!$L$6*(((Inputs!$I$6+(((A112)+1)/2)*(Inputs!$J$6-Inputs!$I$6)))/Inputs!$K$6)^2))^2)))))/Inputs!$C$13),NA())</f>
        <v>37.549133957504708</v>
      </c>
      <c r="O112" s="9">
        <f>IF(OR(Inputs!$F$7=TRUE,Inputs!$F$7="TRUE",Inputs!$F$7=1),(-2*((1000*((((Inputs!$I$7+(((A112)+1)/2)*(Inputs!$J$7-Inputs!$I$7)))*Inputs!$C$11+((Inputs!$H$7+Inputs!$L$7*(((Inputs!$I$7+(((A112)+1)/2)*(Inputs!$J$7-Inputs!$I$7)))/Inputs!$K$7)^2))*((2*Inputs!$L$7*((Inputs!$I$7+(((A112)+1)/2)*(Inputs!$J$7-Inputs!$I$7)))/(Inputs!$K$7^2)*Inputs!$C$11)))/(SQRT(((Inputs!$I$7+(((A112)+1)/2)*(Inputs!$J$7-Inputs!$I$7)))^2+Inputs!$C$6^2+((Inputs!$H$7+Inputs!$L$7*(((Inputs!$I$7+(((A112)+1)/2)*(Inputs!$J$7-Inputs!$I$7)))/Inputs!$K$7)^2))^2)))))/Inputs!$C$13),NA())</f>
        <v>1111.18096888686</v>
      </c>
      <c r="P112" s="9">
        <f>IF(OR(Inputs!$F$8=TRUE,Inputs!$F$8="TRUE",Inputs!$F$8=1),(-2*((1000*((((Inputs!$I$8+(((A112)+1)/2)*(Inputs!$J$8-Inputs!$I$8)))*Inputs!$C$11+((Inputs!$H$8+Inputs!$L$8*(((Inputs!$I$8+(((A112)+1)/2)*(Inputs!$J$8-Inputs!$I$8)))/Inputs!$K$8)^2))*((2*Inputs!$L$8*((Inputs!$I$8+(((A112)+1)/2)*(Inputs!$J$8-Inputs!$I$8)))/(Inputs!$K$8^2)*Inputs!$C$11)))/(SQRT(((Inputs!$I$8+(((A112)+1)/2)*(Inputs!$J$8-Inputs!$I$8)))^2+Inputs!$C$6^2+((Inputs!$H$8+Inputs!$L$8*(((Inputs!$I$8+(((A112)+1)/2)*(Inputs!$J$8-Inputs!$I$8)))/Inputs!$K$8)^2))^2)))))/Inputs!$C$13),NA())</f>
        <v>1453.528553110139</v>
      </c>
      <c r="Q112" s="9">
        <f>IF(OR(Inputs!$F$9=TRUE,Inputs!$F$9="TRUE",Inputs!$F$9=1),(-2*((1000*((((Inputs!$I$9+(((A112)+1)/2)*(Inputs!$J$9-Inputs!$I$9)))*Inputs!$C$11+((Inputs!$H$9+Inputs!$L$9*(((Inputs!$I$9+(((A112)+1)/2)*(Inputs!$J$9-Inputs!$I$9)))/Inputs!$K$9)^2))*((2*Inputs!$L$9*((Inputs!$I$9+(((A112)+1)/2)*(Inputs!$J$9-Inputs!$I$9)))/(Inputs!$K$9^2)*Inputs!$C$11)))/(SQRT(((Inputs!$I$9+(((A112)+1)/2)*(Inputs!$J$9-Inputs!$I$9)))^2+Inputs!$C$6^2+((Inputs!$H$9+Inputs!$L$9*(((Inputs!$I$9+(((A112)+1)/2)*(Inputs!$J$9-Inputs!$I$9)))/Inputs!$K$9)^2))^2)))))/Inputs!$C$13),NA())</f>
        <v>1499.1172626545128</v>
      </c>
      <c r="R112" s="10"/>
      <c r="S112" s="9">
        <f t="shared" si="8"/>
        <v>-8.3000000000000004E-2</v>
      </c>
      <c r="T112" s="9">
        <f>(Inputs!$I$6+(((A112)+1)/2)*(Inputs!$J$6-Inputs!$I$6))</f>
        <v>-4.9799999999999969</v>
      </c>
      <c r="U112" s="9">
        <f>(Inputs!$I$7+(((A112)+1)/2)*(Inputs!$J$7-Inputs!$I$7))</f>
        <v>-33.199999999999989</v>
      </c>
      <c r="V112" s="9">
        <f>(Inputs!$I$8+(((A112)+1)/2)*(Inputs!$J$8-Inputs!$I$8))</f>
        <v>-66.399999999999977</v>
      </c>
      <c r="W112" s="9">
        <f>(Inputs!$I$9+(((A112)+1)/2)*(Inputs!$J$9-Inputs!$I$9))</f>
        <v>-66.399999999999977</v>
      </c>
      <c r="X112" s="10"/>
      <c r="Y112" s="9">
        <f t="shared" si="9"/>
        <v>-8.3000000000000004E-2</v>
      </c>
      <c r="Z112" s="9">
        <f>(Inputs!$H$6+Inputs!$L$6*(((Inputs!$I$6+(((A112)+1)/2)*(Inputs!$J$6-Inputs!$I$6)))/Inputs!$K$6)^2)</f>
        <v>400.027556</v>
      </c>
      <c r="AA112" s="9">
        <f>(Inputs!$H$7+Inputs!$L$7*(((Inputs!$I$7+(((A112)+1)/2)*(Inputs!$J$7-Inputs!$I$7)))/Inputs!$K$7)^2)</f>
        <v>37.514485000000001</v>
      </c>
      <c r="AB112" s="9">
        <f>(Inputs!$H$8+Inputs!$L$8*(((Inputs!$I$8+(((A112)+1)/2)*(Inputs!$J$8-Inputs!$I$8)))/Inputs!$K$8)^2)</f>
        <v>41.647884999999995</v>
      </c>
      <c r="AC112" s="9">
        <f>(Inputs!$H$9+Inputs!$L$9*(((Inputs!$I$9+(((A112)+1)/2)*(Inputs!$J$9-Inputs!$I$9)))/Inputs!$K$9)^2)</f>
        <v>31.716774999999995</v>
      </c>
      <c r="AD112" s="10"/>
      <c r="AE112" s="9">
        <f t="shared" si="10"/>
        <v>-8.3000000000000004E-2</v>
      </c>
      <c r="AF112" s="9">
        <f>(((SQRT(((Inputs!$I$6+(((A112)+1)/2)*(Inputs!$J$6-Inputs!$I$6)))^2+Inputs!$C$6^2+((Inputs!$H$6+Inputs!$L$6*(((Inputs!$I$6+(((A112)+1)/2)*(Inputs!$J$6-Inputs!$I$6)))/Inputs!$K$6)^2))^2))-((Inputs!$H$6+Inputs!$L$6*(((Inputs!$I$6+(((A112)+1)/2)*(Inputs!$J$6-Inputs!$I$6)))/Inputs!$K$6)^2)))*1000/Inputs!$C$12)</f>
        <v>455.82679750566513</v>
      </c>
      <c r="AG112" s="9">
        <f>(((SQRT(((Inputs!$I$7+(((A112)+1)/2)*(Inputs!$J$7-Inputs!$I$7)))^2+Inputs!$C$6^2+((Inputs!$H$7+Inputs!$L$7*(((Inputs!$I$7+(((A112)+1)/2)*(Inputs!$J$7-Inputs!$I$7)))/Inputs!$K$7)^2))^2))-((Inputs!$H$7+Inputs!$L$7*(((Inputs!$I$7+(((A112)+1)/2)*(Inputs!$J$7-Inputs!$I$7)))/Inputs!$K$7)^2)))*1000/Inputs!$C$12)</f>
        <v>10377.980052459096</v>
      </c>
      <c r="AH112" s="9">
        <f>(((SQRT(((Inputs!$I$8+(((A112)+1)/2)*(Inputs!$J$8-Inputs!$I$8)))^2+Inputs!$C$6^2+((Inputs!$H$8+Inputs!$L$8*(((Inputs!$I$8+(((A112)+1)/2)*(Inputs!$J$8-Inputs!$I$8)))/Inputs!$K$8)^2))^2))-((Inputs!$H$8+Inputs!$L$8*(((Inputs!$I$8+(((A112)+1)/2)*(Inputs!$J$8-Inputs!$I$8)))/Inputs!$K$8)^2)))*1000/Inputs!$C$12)</f>
        <v>22821.936765500046</v>
      </c>
      <c r="AI112" s="9">
        <f>(((SQRT(((Inputs!$I$9+(((A112)+1)/2)*(Inputs!$J$9-Inputs!$I$9)))^2+Inputs!$C$6^2+((Inputs!$H$9+Inputs!$L$9*(((Inputs!$I$9+(((A112)+1)/2)*(Inputs!$J$9-Inputs!$I$9)))/Inputs!$K$9)^2))^2))-((Inputs!$H$9+Inputs!$L$9*(((Inputs!$I$9+(((A112)+1)/2)*(Inputs!$J$9-Inputs!$I$9)))/Inputs!$K$9)^2)))*1000/Inputs!$C$12)</f>
        <v>25842.756989515266</v>
      </c>
      <c r="AJ112" s="10"/>
      <c r="AK112" s="9">
        <f t="shared" si="11"/>
        <v>-8.3000000000000004E-2</v>
      </c>
      <c r="AL112" s="9">
        <f>(-2*((1000*((((Inputs!$I$6+(((A112)+1)/2)*(Inputs!$J$6-Inputs!$I$6)))*Inputs!$C$11+((Inputs!$H$6+Inputs!$L$6*(((Inputs!$I$6+(((A112)+1)/2)*(Inputs!$J$6-Inputs!$I$6)))/Inputs!$K$6)^2))*((2*Inputs!$L$6*((Inputs!$I$6+(((A112)+1)/2)*(Inputs!$J$6-Inputs!$I$6)))/(Inputs!$K$6^2)*Inputs!$C$11)))/(SQRT(((Inputs!$I$6+(((A112)+1)/2)*(Inputs!$J$6-Inputs!$I$6)))^2+Inputs!$C$6^2+((Inputs!$H$6+Inputs!$L$6*(((Inputs!$I$6+(((A112)+1)/2)*(Inputs!$J$6-Inputs!$I$6)))/Inputs!$K$6)^2))^2)))))/Inputs!$C$13)</f>
        <v>37.549133957504708</v>
      </c>
      <c r="AM112" s="9">
        <f>(-2*((1000*((((Inputs!$I$7+(((A112)+1)/2)*(Inputs!$J$7-Inputs!$I$7)))*Inputs!$C$11+((Inputs!$H$7+Inputs!$L$7*(((Inputs!$I$7+(((A112)+1)/2)*(Inputs!$J$7-Inputs!$I$7)))/Inputs!$K$7)^2))*((2*Inputs!$L$7*((Inputs!$I$7+(((A112)+1)/2)*(Inputs!$J$7-Inputs!$I$7)))/(Inputs!$K$7^2)*Inputs!$C$11)))/(SQRT(((Inputs!$I$7+(((A112)+1)/2)*(Inputs!$J$7-Inputs!$I$7)))^2+Inputs!$C$6^2+((Inputs!$H$7+Inputs!$L$7*(((Inputs!$I$7+(((A112)+1)/2)*(Inputs!$J$7-Inputs!$I$7)))/Inputs!$K$7)^2))^2)))))/Inputs!$C$13)</f>
        <v>1111.18096888686</v>
      </c>
      <c r="AN112" s="9">
        <f>(-2*((1000*((((Inputs!$I$8+(((A112)+1)/2)*(Inputs!$J$8-Inputs!$I$8)))*Inputs!$C$11+((Inputs!$H$8+Inputs!$L$8*(((Inputs!$I$8+(((A112)+1)/2)*(Inputs!$J$8-Inputs!$I$8)))/Inputs!$K$8)^2))*((2*Inputs!$L$8*((Inputs!$I$8+(((A112)+1)/2)*(Inputs!$J$8-Inputs!$I$8)))/(Inputs!$K$8^2)*Inputs!$C$11)))/(SQRT(((Inputs!$I$8+(((A112)+1)/2)*(Inputs!$J$8-Inputs!$I$8)))^2+Inputs!$C$6^2+((Inputs!$H$8+Inputs!$L$8*(((Inputs!$I$8+(((A112)+1)/2)*(Inputs!$J$8-Inputs!$I$8)))/Inputs!$K$8)^2))^2)))))/Inputs!$C$13)</f>
        <v>1453.528553110139</v>
      </c>
      <c r="AO112" s="9">
        <f>(-2*((1000*((((Inputs!$I$9+(((A112)+1)/2)*(Inputs!$J$9-Inputs!$I$9)))*Inputs!$C$11+((Inputs!$H$9+Inputs!$L$9*(((Inputs!$I$9+(((A112)+1)/2)*(Inputs!$J$9-Inputs!$I$9)))/Inputs!$K$9)^2))*((2*Inputs!$L$9*((Inputs!$I$9+(((A112)+1)/2)*(Inputs!$J$9-Inputs!$I$9)))/(Inputs!$K$9^2)*Inputs!$C$11)))/(SQRT(((Inputs!$I$9+(((A112)+1)/2)*(Inputs!$J$9-Inputs!$I$9)))^2+Inputs!$C$6^2+((Inputs!$H$9+Inputs!$L$9*(((Inputs!$I$9+(((A112)+1)/2)*(Inputs!$J$9-Inputs!$I$9)))/Inputs!$K$9)^2))^2)))))/Inputs!$C$13)</f>
        <v>1499.1172626545128</v>
      </c>
    </row>
    <row r="113" spans="1:41">
      <c r="A113" s="9">
        <f>ROUND(-1+111*2/240,3)</f>
        <v>-7.4999999999999997E-2</v>
      </c>
      <c r="B113" s="9">
        <f>IF(OR(Inputs!$F$6=TRUE,Inputs!$F$6="TRUE",Inputs!$F$6=1),(Inputs!$H$6+Inputs!$L$6*(((Inputs!$I$6+(((A113)+1)/2)*(Inputs!$J$6-Inputs!$I$6)))/Inputs!$K$6)^2),NA())</f>
        <v>400.02249999999998</v>
      </c>
      <c r="C113" s="9">
        <f>IF(OR(Inputs!$F$7=TRUE,Inputs!$F$7="TRUE",Inputs!$F$7=1),(Inputs!$H$7+Inputs!$L$7*(((Inputs!$I$7+(((A113)+1)/2)*(Inputs!$J$7-Inputs!$I$7)))/Inputs!$K$7)^2),NA())</f>
        <v>37.053125000000001</v>
      </c>
      <c r="D113" s="9">
        <f>IF(OR(Inputs!$F$8=TRUE,Inputs!$F$8="TRUE",Inputs!$F$8=1),(Inputs!$H$8+Inputs!$L$8*(((Inputs!$I$8+(((A113)+1)/2)*(Inputs!$J$8-Inputs!$I$8)))/Inputs!$K$8)^2),NA())</f>
        <v>40.428125000000001</v>
      </c>
      <c r="E113" s="9">
        <f>IF(OR(Inputs!$F$9=TRUE,Inputs!$F$9="TRUE",Inputs!$F$9=1),(Inputs!$H$9+Inputs!$L$9*(((Inputs!$I$9+(((A113)+1)/2)*(Inputs!$J$9-Inputs!$I$9)))/Inputs!$K$9)^2),NA())</f>
        <v>30.484375</v>
      </c>
      <c r="F113" s="10"/>
      <c r="G113" s="9">
        <f t="shared" si="6"/>
        <v>-7.4999999999999997E-2</v>
      </c>
      <c r="H113" s="9">
        <f>IF(OR(Inputs!$F$6=TRUE,Inputs!$F$6="TRUE",Inputs!$F$6=1),(((SQRT(((Inputs!$I$6+(((A113)+1)/2)*(Inputs!$J$6-Inputs!$I$6)))^2+Inputs!$C$6^2+((Inputs!$H$6+Inputs!$L$6*(((Inputs!$I$6+(((A113)+1)/2)*(Inputs!$J$6-Inputs!$I$6)))/Inputs!$K$6)^2))^2))-((Inputs!$H$6+Inputs!$L$6*(((Inputs!$I$6+(((A113)+1)/2)*(Inputs!$J$6-Inputs!$I$6)))/Inputs!$K$6)^2)))*1000/Inputs!$C$12),NA())</f>
        <v>452.64366680049187</v>
      </c>
      <c r="I113" s="9">
        <f>IF(OR(Inputs!$F$7=TRUE,Inputs!$F$7="TRUE",Inputs!$F$7=1),(((SQRT(((Inputs!$I$7+(((A113)+1)/2)*(Inputs!$J$7-Inputs!$I$7)))^2+Inputs!$C$6^2+((Inputs!$H$7+Inputs!$L$7*(((Inputs!$I$7+(((A113)+1)/2)*(Inputs!$J$7-Inputs!$I$7)))/Inputs!$K$7)^2))^2))-((Inputs!$H$7+Inputs!$L$7*(((Inputs!$I$7+(((A113)+1)/2)*(Inputs!$J$7-Inputs!$I$7)))/Inputs!$K$7)^2)))*1000/Inputs!$C$12),NA())</f>
        <v>9426.5943800357454</v>
      </c>
      <c r="J113" s="9">
        <f>IF(OR(Inputs!$F$8=TRUE,Inputs!$F$8="TRUE",Inputs!$F$8=1),(((SQRT(((Inputs!$I$8+(((A113)+1)/2)*(Inputs!$J$8-Inputs!$I$8)))^2+Inputs!$C$6^2+((Inputs!$H$8+Inputs!$L$8*(((Inputs!$I$8+(((A113)+1)/2)*(Inputs!$J$8-Inputs!$I$8)))/Inputs!$K$8)^2))^2))-((Inputs!$H$8+Inputs!$L$8*(((Inputs!$I$8+(((A113)+1)/2)*(Inputs!$J$8-Inputs!$I$8)))/Inputs!$K$8)^2)))*1000/Inputs!$C$12),NA())</f>
        <v>20291.466413678096</v>
      </c>
      <c r="K113" s="9">
        <f>IF(OR(Inputs!$F$9=TRUE,Inputs!$F$9="TRUE",Inputs!$F$9=1),(((SQRT(((Inputs!$I$9+(((A113)+1)/2)*(Inputs!$J$9-Inputs!$I$9)))^2+Inputs!$C$6^2+((Inputs!$H$9+Inputs!$L$9*(((Inputs!$I$9+(((A113)+1)/2)*(Inputs!$J$9-Inputs!$I$9)))/Inputs!$K$9)^2))^2))-((Inputs!$H$9+Inputs!$L$9*(((Inputs!$I$9+(((A113)+1)/2)*(Inputs!$J$9-Inputs!$I$9)))/Inputs!$K$9)^2)))*1000/Inputs!$C$12),NA())</f>
        <v>23207.336335419968</v>
      </c>
      <c r="L113" s="10"/>
      <c r="M113" s="9">
        <f t="shared" si="7"/>
        <v>-7.4999999999999997E-2</v>
      </c>
      <c r="N113" s="9">
        <f>IF(OR(Inputs!$F$6=TRUE,Inputs!$F$6="TRUE",Inputs!$F$6=1),(-2*((1000*((((Inputs!$I$6+(((A113)+1)/2)*(Inputs!$J$6-Inputs!$I$6)))*Inputs!$C$11+((Inputs!$H$6+Inputs!$L$6*(((Inputs!$I$6+(((A113)+1)/2)*(Inputs!$J$6-Inputs!$I$6)))/Inputs!$K$6)^2))*((2*Inputs!$L$6*((Inputs!$I$6+(((A113)+1)/2)*(Inputs!$J$6-Inputs!$I$6)))/(Inputs!$K$6^2)*Inputs!$C$11)))/(SQRT(((Inputs!$I$6+(((A113)+1)/2)*(Inputs!$J$6-Inputs!$I$6)))^2+Inputs!$C$6^2+((Inputs!$H$6+Inputs!$L$6*(((Inputs!$I$6+(((A113)+1)/2)*(Inputs!$J$6-Inputs!$I$6)))/Inputs!$K$6)^2))^2)))))/Inputs!$C$13),NA())</f>
        <v>33.930646111432324</v>
      </c>
      <c r="O113" s="9">
        <f>IF(OR(Inputs!$F$7=TRUE,Inputs!$F$7="TRUE",Inputs!$F$7=1),(-2*((1000*((((Inputs!$I$7+(((A113)+1)/2)*(Inputs!$J$7-Inputs!$I$7)))*Inputs!$C$11+((Inputs!$H$7+Inputs!$L$7*(((Inputs!$I$7+(((A113)+1)/2)*(Inputs!$J$7-Inputs!$I$7)))/Inputs!$K$7)^2))*((2*Inputs!$L$7*((Inputs!$I$7+(((A113)+1)/2)*(Inputs!$J$7-Inputs!$I$7)))/(Inputs!$K$7^2)*Inputs!$C$11)))/(SQRT(((Inputs!$I$7+(((A113)+1)/2)*(Inputs!$J$7-Inputs!$I$7)))^2+Inputs!$C$6^2+((Inputs!$H$7+Inputs!$L$7*(((Inputs!$I$7+(((A113)+1)/2)*(Inputs!$J$7-Inputs!$I$7)))/Inputs!$K$7)^2))^2)))))/Inputs!$C$13),NA())</f>
        <v>1042.3939617751896</v>
      </c>
      <c r="P113" s="9">
        <f>IF(OR(Inputs!$F$8=TRUE,Inputs!$F$8="TRUE",Inputs!$F$8=1),(-2*((1000*((((Inputs!$I$8+(((A113)+1)/2)*(Inputs!$J$8-Inputs!$I$8)))*Inputs!$C$11+((Inputs!$H$8+Inputs!$L$8*(((Inputs!$I$8+(((A113)+1)/2)*(Inputs!$J$8-Inputs!$I$8)))/Inputs!$K$8)^2))*((2*Inputs!$L$8*((Inputs!$I$8+(((A113)+1)/2)*(Inputs!$J$8-Inputs!$I$8)))/(Inputs!$K$8^2)*Inputs!$C$11)))/(SQRT(((Inputs!$I$8+(((A113)+1)/2)*(Inputs!$J$8-Inputs!$I$8)))^2+Inputs!$C$6^2+((Inputs!$H$8+Inputs!$L$8*(((Inputs!$I$8+(((A113)+1)/2)*(Inputs!$J$8-Inputs!$I$8)))/Inputs!$K$8)^2))^2)))))/Inputs!$C$13),NA())</f>
        <v>1407.0314099851676</v>
      </c>
      <c r="Q113" s="9">
        <f>IF(OR(Inputs!$F$9=TRUE,Inputs!$F$9="TRUE",Inputs!$F$9=1),(-2*((1000*((((Inputs!$I$9+(((A113)+1)/2)*(Inputs!$J$9-Inputs!$I$9)))*Inputs!$C$11+((Inputs!$H$9+Inputs!$L$9*(((Inputs!$I$9+(((A113)+1)/2)*(Inputs!$J$9-Inputs!$I$9)))/Inputs!$K$9)^2))*((2*Inputs!$L$9*((Inputs!$I$9+(((A113)+1)/2)*(Inputs!$J$9-Inputs!$I$9)))/(Inputs!$K$9^2)*Inputs!$C$11)))/(SQRT(((Inputs!$I$9+(((A113)+1)/2)*(Inputs!$J$9-Inputs!$I$9)))^2+Inputs!$C$6^2+((Inputs!$H$9+Inputs!$L$9*(((Inputs!$I$9+(((A113)+1)/2)*(Inputs!$J$9-Inputs!$I$9)))/Inputs!$K$9)^2))^2)))))/Inputs!$C$13),NA())</f>
        <v>1461.3687396461996</v>
      </c>
      <c r="R113" s="10"/>
      <c r="S113" s="9">
        <f t="shared" si="8"/>
        <v>-7.4999999999999997E-2</v>
      </c>
      <c r="T113" s="9">
        <f>(Inputs!$I$6+(((A113)+1)/2)*(Inputs!$J$6-Inputs!$I$6))</f>
        <v>-4.5</v>
      </c>
      <c r="U113" s="9">
        <f>(Inputs!$I$7+(((A113)+1)/2)*(Inputs!$J$7-Inputs!$I$7))</f>
        <v>-30</v>
      </c>
      <c r="V113" s="9">
        <f>(Inputs!$I$8+(((A113)+1)/2)*(Inputs!$J$8-Inputs!$I$8))</f>
        <v>-60</v>
      </c>
      <c r="W113" s="9">
        <f>(Inputs!$I$9+(((A113)+1)/2)*(Inputs!$J$9-Inputs!$I$9))</f>
        <v>-60</v>
      </c>
      <c r="X113" s="10"/>
      <c r="Y113" s="9">
        <f t="shared" si="9"/>
        <v>-7.4999999999999997E-2</v>
      </c>
      <c r="Z113" s="9">
        <f>(Inputs!$H$6+Inputs!$L$6*(((Inputs!$I$6+(((A113)+1)/2)*(Inputs!$J$6-Inputs!$I$6)))/Inputs!$K$6)^2)</f>
        <v>400.02249999999998</v>
      </c>
      <c r="AA113" s="9">
        <f>(Inputs!$H$7+Inputs!$L$7*(((Inputs!$I$7+(((A113)+1)/2)*(Inputs!$J$7-Inputs!$I$7)))/Inputs!$K$7)^2)</f>
        <v>37.053125000000001</v>
      </c>
      <c r="AB113" s="9">
        <f>(Inputs!$H$8+Inputs!$L$8*(((Inputs!$I$8+(((A113)+1)/2)*(Inputs!$J$8-Inputs!$I$8)))/Inputs!$K$8)^2)</f>
        <v>40.428125000000001</v>
      </c>
      <c r="AC113" s="9">
        <f>(Inputs!$H$9+Inputs!$L$9*(((Inputs!$I$9+(((A113)+1)/2)*(Inputs!$J$9-Inputs!$I$9)))/Inputs!$K$9)^2)</f>
        <v>30.484375</v>
      </c>
      <c r="AD113" s="10"/>
      <c r="AE113" s="9">
        <f t="shared" si="10"/>
        <v>-7.4999999999999997E-2</v>
      </c>
      <c r="AF113" s="9">
        <f>(((SQRT(((Inputs!$I$6+(((A113)+1)/2)*(Inputs!$J$6-Inputs!$I$6)))^2+Inputs!$C$6^2+((Inputs!$H$6+Inputs!$L$6*(((Inputs!$I$6+(((A113)+1)/2)*(Inputs!$J$6-Inputs!$I$6)))/Inputs!$K$6)^2))^2))-((Inputs!$H$6+Inputs!$L$6*(((Inputs!$I$6+(((A113)+1)/2)*(Inputs!$J$6-Inputs!$I$6)))/Inputs!$K$6)^2)))*1000/Inputs!$C$12)</f>
        <v>452.64366680049187</v>
      </c>
      <c r="AG113" s="9">
        <f>(((SQRT(((Inputs!$I$7+(((A113)+1)/2)*(Inputs!$J$7-Inputs!$I$7)))^2+Inputs!$C$6^2+((Inputs!$H$7+Inputs!$L$7*(((Inputs!$I$7+(((A113)+1)/2)*(Inputs!$J$7-Inputs!$I$7)))/Inputs!$K$7)^2))^2))-((Inputs!$H$7+Inputs!$L$7*(((Inputs!$I$7+(((A113)+1)/2)*(Inputs!$J$7-Inputs!$I$7)))/Inputs!$K$7)^2)))*1000/Inputs!$C$12)</f>
        <v>9426.5943800357454</v>
      </c>
      <c r="AH113" s="9">
        <f>(((SQRT(((Inputs!$I$8+(((A113)+1)/2)*(Inputs!$J$8-Inputs!$I$8)))^2+Inputs!$C$6^2+((Inputs!$H$8+Inputs!$L$8*(((Inputs!$I$8+(((A113)+1)/2)*(Inputs!$J$8-Inputs!$I$8)))/Inputs!$K$8)^2))^2))-((Inputs!$H$8+Inputs!$L$8*(((Inputs!$I$8+(((A113)+1)/2)*(Inputs!$J$8-Inputs!$I$8)))/Inputs!$K$8)^2)))*1000/Inputs!$C$12)</f>
        <v>20291.466413678096</v>
      </c>
      <c r="AI113" s="9">
        <f>(((SQRT(((Inputs!$I$9+(((A113)+1)/2)*(Inputs!$J$9-Inputs!$I$9)))^2+Inputs!$C$6^2+((Inputs!$H$9+Inputs!$L$9*(((Inputs!$I$9+(((A113)+1)/2)*(Inputs!$J$9-Inputs!$I$9)))/Inputs!$K$9)^2))^2))-((Inputs!$H$9+Inputs!$L$9*(((Inputs!$I$9+(((A113)+1)/2)*(Inputs!$J$9-Inputs!$I$9)))/Inputs!$K$9)^2)))*1000/Inputs!$C$12)</f>
        <v>23207.336335419968</v>
      </c>
      <c r="AJ113" s="10"/>
      <c r="AK113" s="9">
        <f t="shared" si="11"/>
        <v>-7.4999999999999997E-2</v>
      </c>
      <c r="AL113" s="9">
        <f>(-2*((1000*((((Inputs!$I$6+(((A113)+1)/2)*(Inputs!$J$6-Inputs!$I$6)))*Inputs!$C$11+((Inputs!$H$6+Inputs!$L$6*(((Inputs!$I$6+(((A113)+1)/2)*(Inputs!$J$6-Inputs!$I$6)))/Inputs!$K$6)^2))*((2*Inputs!$L$6*((Inputs!$I$6+(((A113)+1)/2)*(Inputs!$J$6-Inputs!$I$6)))/(Inputs!$K$6^2)*Inputs!$C$11)))/(SQRT(((Inputs!$I$6+(((A113)+1)/2)*(Inputs!$J$6-Inputs!$I$6)))^2+Inputs!$C$6^2+((Inputs!$H$6+Inputs!$L$6*(((Inputs!$I$6+(((A113)+1)/2)*(Inputs!$J$6-Inputs!$I$6)))/Inputs!$K$6)^2))^2)))))/Inputs!$C$13)</f>
        <v>33.930646111432324</v>
      </c>
      <c r="AM113" s="9">
        <f>(-2*((1000*((((Inputs!$I$7+(((A113)+1)/2)*(Inputs!$J$7-Inputs!$I$7)))*Inputs!$C$11+((Inputs!$H$7+Inputs!$L$7*(((Inputs!$I$7+(((A113)+1)/2)*(Inputs!$J$7-Inputs!$I$7)))/Inputs!$K$7)^2))*((2*Inputs!$L$7*((Inputs!$I$7+(((A113)+1)/2)*(Inputs!$J$7-Inputs!$I$7)))/(Inputs!$K$7^2)*Inputs!$C$11)))/(SQRT(((Inputs!$I$7+(((A113)+1)/2)*(Inputs!$J$7-Inputs!$I$7)))^2+Inputs!$C$6^2+((Inputs!$H$7+Inputs!$L$7*(((Inputs!$I$7+(((A113)+1)/2)*(Inputs!$J$7-Inputs!$I$7)))/Inputs!$K$7)^2))^2)))))/Inputs!$C$13)</f>
        <v>1042.3939617751896</v>
      </c>
      <c r="AN113" s="9">
        <f>(-2*((1000*((((Inputs!$I$8+(((A113)+1)/2)*(Inputs!$J$8-Inputs!$I$8)))*Inputs!$C$11+((Inputs!$H$8+Inputs!$L$8*(((Inputs!$I$8+(((A113)+1)/2)*(Inputs!$J$8-Inputs!$I$8)))/Inputs!$K$8)^2))*((2*Inputs!$L$8*((Inputs!$I$8+(((A113)+1)/2)*(Inputs!$J$8-Inputs!$I$8)))/(Inputs!$K$8^2)*Inputs!$C$11)))/(SQRT(((Inputs!$I$8+(((A113)+1)/2)*(Inputs!$J$8-Inputs!$I$8)))^2+Inputs!$C$6^2+((Inputs!$H$8+Inputs!$L$8*(((Inputs!$I$8+(((A113)+1)/2)*(Inputs!$J$8-Inputs!$I$8)))/Inputs!$K$8)^2))^2)))))/Inputs!$C$13)</f>
        <v>1407.0314099851676</v>
      </c>
      <c r="AO113" s="9">
        <f>(-2*((1000*((((Inputs!$I$9+(((A113)+1)/2)*(Inputs!$J$9-Inputs!$I$9)))*Inputs!$C$11+((Inputs!$H$9+Inputs!$L$9*(((Inputs!$I$9+(((A113)+1)/2)*(Inputs!$J$9-Inputs!$I$9)))/Inputs!$K$9)^2))*((2*Inputs!$L$9*((Inputs!$I$9+(((A113)+1)/2)*(Inputs!$J$9-Inputs!$I$9)))/(Inputs!$K$9^2)*Inputs!$C$11)))/(SQRT(((Inputs!$I$9+(((A113)+1)/2)*(Inputs!$J$9-Inputs!$I$9)))^2+Inputs!$C$6^2+((Inputs!$H$9+Inputs!$L$9*(((Inputs!$I$9+(((A113)+1)/2)*(Inputs!$J$9-Inputs!$I$9)))/Inputs!$K$9)^2))^2)))))/Inputs!$C$13)</f>
        <v>1461.3687396461996</v>
      </c>
    </row>
    <row r="114" spans="1:41">
      <c r="A114" s="9">
        <f>ROUND(-1+112*2/240,3)</f>
        <v>-6.7000000000000004E-2</v>
      </c>
      <c r="B114" s="9">
        <f>IF(OR(Inputs!$F$6=TRUE,Inputs!$F$6="TRUE",Inputs!$F$6=1),(Inputs!$H$6+Inputs!$L$6*(((Inputs!$I$6+(((A114)+1)/2)*(Inputs!$J$6-Inputs!$I$6)))/Inputs!$K$6)^2),NA())</f>
        <v>400.01795600000003</v>
      </c>
      <c r="C114" s="9">
        <f>IF(OR(Inputs!$F$7=TRUE,Inputs!$F$7="TRUE",Inputs!$F$7=1),(Inputs!$H$7+Inputs!$L$7*(((Inputs!$I$7+(((A114)+1)/2)*(Inputs!$J$7-Inputs!$I$7)))/Inputs!$K$7)^2),NA())</f>
        <v>36.638484999999996</v>
      </c>
      <c r="D114" s="9">
        <f>IF(OR(Inputs!$F$8=TRUE,Inputs!$F$8="TRUE",Inputs!$F$8=1),(Inputs!$H$8+Inputs!$L$8*(((Inputs!$I$8+(((A114)+1)/2)*(Inputs!$J$8-Inputs!$I$8)))/Inputs!$K$8)^2),NA())</f>
        <v>39.331884999999986</v>
      </c>
      <c r="E114" s="9">
        <f>IF(OR(Inputs!$F$9=TRUE,Inputs!$F$9="TRUE",Inputs!$F$9=1),(Inputs!$H$9+Inputs!$L$9*(((Inputs!$I$9+(((A114)+1)/2)*(Inputs!$J$9-Inputs!$I$9)))/Inputs!$K$9)^2),NA())</f>
        <v>29.376774999999988</v>
      </c>
      <c r="F114" s="10"/>
      <c r="G114" s="9">
        <f t="shared" si="6"/>
        <v>-6.7000000000000004E-2</v>
      </c>
      <c r="H114" s="9">
        <f>IF(OR(Inputs!$F$6=TRUE,Inputs!$F$6="TRUE",Inputs!$F$6=1),(((SQRT(((Inputs!$I$6+(((A114)+1)/2)*(Inputs!$J$6-Inputs!$I$6)))^2+Inputs!$C$6^2+((Inputs!$H$6+Inputs!$L$6*(((Inputs!$I$6+(((A114)+1)/2)*(Inputs!$J$6-Inputs!$I$6)))/Inputs!$K$6)^2))^2))-((Inputs!$H$6+Inputs!$L$6*(((Inputs!$I$6+(((A114)+1)/2)*(Inputs!$J$6-Inputs!$I$6)))/Inputs!$K$6)^2)))*1000/Inputs!$C$12),NA())</f>
        <v>449.78277153401439</v>
      </c>
      <c r="I114" s="9">
        <f>IF(OR(Inputs!$F$7=TRUE,Inputs!$F$7="TRUE",Inputs!$F$7=1),(((SQRT(((Inputs!$I$7+(((A114)+1)/2)*(Inputs!$J$7-Inputs!$I$7)))^2+Inputs!$C$6^2+((Inputs!$H$7+Inputs!$L$7*(((Inputs!$I$7+(((A114)+1)/2)*(Inputs!$J$7-Inputs!$I$7)))/Inputs!$K$7)^2))^2))-((Inputs!$H$7+Inputs!$L$7*(((Inputs!$I$7+(((A114)+1)/2)*(Inputs!$J$7-Inputs!$I$7)))/Inputs!$K$7)^2)))*1000/Inputs!$C$12),NA())</f>
        <v>8530.6006800108826</v>
      </c>
      <c r="J114" s="9">
        <f>IF(OR(Inputs!$F$8=TRUE,Inputs!$F$8="TRUE",Inputs!$F$8=1),(((SQRT(((Inputs!$I$8+(((A114)+1)/2)*(Inputs!$J$8-Inputs!$I$8)))^2+Inputs!$C$6^2+((Inputs!$H$8+Inputs!$L$8*(((Inputs!$I$8+(((A114)+1)/2)*(Inputs!$J$8-Inputs!$I$8)))/Inputs!$K$8)^2))^2))-((Inputs!$H$8+Inputs!$L$8*(((Inputs!$I$8+(((A114)+1)/2)*(Inputs!$J$8-Inputs!$I$8)))/Inputs!$K$8)^2)))*1000/Inputs!$C$12),NA())</f>
        <v>17806.728641253387</v>
      </c>
      <c r="K114" s="9">
        <f>IF(OR(Inputs!$F$9=TRUE,Inputs!$F$9="TRUE",Inputs!$F$9=1),(((SQRT(((Inputs!$I$9+(((A114)+1)/2)*(Inputs!$J$9-Inputs!$I$9)))^2+Inputs!$C$6^2+((Inputs!$H$9+Inputs!$L$9*(((Inputs!$I$9+(((A114)+1)/2)*(Inputs!$J$9-Inputs!$I$9)))/Inputs!$K$9)^2))^2))-((Inputs!$H$9+Inputs!$L$9*(((Inputs!$I$9+(((A114)+1)/2)*(Inputs!$J$9-Inputs!$I$9)))/Inputs!$K$9)^2)))*1000/Inputs!$C$12),NA())</f>
        <v>20595.927822440484</v>
      </c>
      <c r="L114" s="10"/>
      <c r="M114" s="9">
        <f t="shared" si="7"/>
        <v>-6.7000000000000004E-2</v>
      </c>
      <c r="N114" s="9">
        <f>IF(OR(Inputs!$F$6=TRUE,Inputs!$F$6="TRUE",Inputs!$F$6=1),(-2*((1000*((((Inputs!$I$6+(((A114)+1)/2)*(Inputs!$J$6-Inputs!$I$6)))*Inputs!$C$11+((Inputs!$H$6+Inputs!$L$6*(((Inputs!$I$6+(((A114)+1)/2)*(Inputs!$J$6-Inputs!$I$6)))/Inputs!$K$6)^2))*((2*Inputs!$L$6*((Inputs!$I$6+(((A114)+1)/2)*(Inputs!$J$6-Inputs!$I$6)))/(Inputs!$K$6^2)*Inputs!$C$11)))/(SQRT(((Inputs!$I$6+(((A114)+1)/2)*(Inputs!$J$6-Inputs!$I$6)))^2+Inputs!$C$6^2+((Inputs!$H$6+Inputs!$L$6*(((Inputs!$I$6+(((A114)+1)/2)*(Inputs!$J$6-Inputs!$I$6)))/Inputs!$K$6)^2))^2)))))/Inputs!$C$13),NA())</f>
        <v>30.31194389180796</v>
      </c>
      <c r="O114" s="9">
        <f>IF(OR(Inputs!$F$7=TRUE,Inputs!$F$7="TRUE",Inputs!$F$7=1),(-2*((1000*((((Inputs!$I$7+(((A114)+1)/2)*(Inputs!$J$7-Inputs!$I$7)))*Inputs!$C$11+((Inputs!$H$7+Inputs!$L$7*(((Inputs!$I$7+(((A114)+1)/2)*(Inputs!$J$7-Inputs!$I$7)))/Inputs!$K$7)^2))*((2*Inputs!$L$7*((Inputs!$I$7+(((A114)+1)/2)*(Inputs!$J$7-Inputs!$I$7)))/(Inputs!$K$7^2)*Inputs!$C$11)))/(SQRT(((Inputs!$I$7+(((A114)+1)/2)*(Inputs!$J$7-Inputs!$I$7)))^2+Inputs!$C$6^2+((Inputs!$H$7+Inputs!$L$7*(((Inputs!$I$7+(((A114)+1)/2)*(Inputs!$J$7-Inputs!$I$7)))/Inputs!$K$7)^2))^2)))))/Inputs!$C$13),NA())</f>
        <v>965.74874913899498</v>
      </c>
      <c r="P114" s="9">
        <f>IF(OR(Inputs!$F$8=TRUE,Inputs!$F$8="TRUE",Inputs!$F$8=1),(-2*((1000*((((Inputs!$I$8+(((A114)+1)/2)*(Inputs!$J$8-Inputs!$I$8)))*Inputs!$C$11+((Inputs!$H$8+Inputs!$L$8*(((Inputs!$I$8+(((A114)+1)/2)*(Inputs!$J$8-Inputs!$I$8)))/Inputs!$K$8)^2))*((2*Inputs!$L$8*((Inputs!$I$8+(((A114)+1)/2)*(Inputs!$J$8-Inputs!$I$8)))/(Inputs!$K$8^2)*Inputs!$C$11)))/(SQRT(((Inputs!$I$8+(((A114)+1)/2)*(Inputs!$J$8-Inputs!$I$8)))^2+Inputs!$C$6^2+((Inputs!$H$8+Inputs!$L$8*(((Inputs!$I$8+(((A114)+1)/2)*(Inputs!$J$8-Inputs!$I$8)))/Inputs!$K$8)^2))^2)))))/Inputs!$C$13),NA())</f>
        <v>1350.625084615099</v>
      </c>
      <c r="Q114" s="9">
        <f>IF(OR(Inputs!$F$9=TRUE,Inputs!$F$9="TRUE",Inputs!$F$9=1),(-2*((1000*((((Inputs!$I$9+(((A114)+1)/2)*(Inputs!$J$9-Inputs!$I$9)))*Inputs!$C$11+((Inputs!$H$9+Inputs!$L$9*(((Inputs!$I$9+(((A114)+1)/2)*(Inputs!$J$9-Inputs!$I$9)))/Inputs!$K$9)^2))*((2*Inputs!$L$9*((Inputs!$I$9+(((A114)+1)/2)*(Inputs!$J$9-Inputs!$I$9)))/(Inputs!$K$9^2)*Inputs!$C$11)))/(SQRT(((Inputs!$I$9+(((A114)+1)/2)*(Inputs!$J$9-Inputs!$I$9)))^2+Inputs!$C$6^2+((Inputs!$H$9+Inputs!$L$9*(((Inputs!$I$9+(((A114)+1)/2)*(Inputs!$J$9-Inputs!$I$9)))/Inputs!$K$9)^2))^2)))))/Inputs!$C$13),NA())</f>
        <v>1414.8947761334084</v>
      </c>
      <c r="R114" s="10"/>
      <c r="S114" s="9">
        <f t="shared" si="8"/>
        <v>-6.7000000000000004E-2</v>
      </c>
      <c r="T114" s="9">
        <f>(Inputs!$I$6+(((A114)+1)/2)*(Inputs!$J$6-Inputs!$I$6))</f>
        <v>-4.019999999999996</v>
      </c>
      <c r="U114" s="9">
        <f>(Inputs!$I$7+(((A114)+1)/2)*(Inputs!$J$7-Inputs!$I$7))</f>
        <v>-26.799999999999955</v>
      </c>
      <c r="V114" s="9">
        <f>(Inputs!$I$8+(((A114)+1)/2)*(Inputs!$J$8-Inputs!$I$8))</f>
        <v>-53.599999999999909</v>
      </c>
      <c r="W114" s="9">
        <f>(Inputs!$I$9+(((A114)+1)/2)*(Inputs!$J$9-Inputs!$I$9))</f>
        <v>-53.599999999999909</v>
      </c>
      <c r="X114" s="10"/>
      <c r="Y114" s="9">
        <f t="shared" si="9"/>
        <v>-6.7000000000000004E-2</v>
      </c>
      <c r="Z114" s="9">
        <f>(Inputs!$H$6+Inputs!$L$6*(((Inputs!$I$6+(((A114)+1)/2)*(Inputs!$J$6-Inputs!$I$6)))/Inputs!$K$6)^2)</f>
        <v>400.01795600000003</v>
      </c>
      <c r="AA114" s="9">
        <f>(Inputs!$H$7+Inputs!$L$7*(((Inputs!$I$7+(((A114)+1)/2)*(Inputs!$J$7-Inputs!$I$7)))/Inputs!$K$7)^2)</f>
        <v>36.638484999999996</v>
      </c>
      <c r="AB114" s="9">
        <f>(Inputs!$H$8+Inputs!$L$8*(((Inputs!$I$8+(((A114)+1)/2)*(Inputs!$J$8-Inputs!$I$8)))/Inputs!$K$8)^2)</f>
        <v>39.331884999999986</v>
      </c>
      <c r="AC114" s="9">
        <f>(Inputs!$H$9+Inputs!$L$9*(((Inputs!$I$9+(((A114)+1)/2)*(Inputs!$J$9-Inputs!$I$9)))/Inputs!$K$9)^2)</f>
        <v>29.376774999999988</v>
      </c>
      <c r="AD114" s="10"/>
      <c r="AE114" s="9">
        <f t="shared" si="10"/>
        <v>-6.7000000000000004E-2</v>
      </c>
      <c r="AF114" s="9">
        <f>(((SQRT(((Inputs!$I$6+(((A114)+1)/2)*(Inputs!$J$6-Inputs!$I$6)))^2+Inputs!$C$6^2+((Inputs!$H$6+Inputs!$L$6*(((Inputs!$I$6+(((A114)+1)/2)*(Inputs!$J$6-Inputs!$I$6)))/Inputs!$K$6)^2))^2))-((Inputs!$H$6+Inputs!$L$6*(((Inputs!$I$6+(((A114)+1)/2)*(Inputs!$J$6-Inputs!$I$6)))/Inputs!$K$6)^2)))*1000/Inputs!$C$12)</f>
        <v>449.78277153401439</v>
      </c>
      <c r="AG114" s="9">
        <f>(((SQRT(((Inputs!$I$7+(((A114)+1)/2)*(Inputs!$J$7-Inputs!$I$7)))^2+Inputs!$C$6^2+((Inputs!$H$7+Inputs!$L$7*(((Inputs!$I$7+(((A114)+1)/2)*(Inputs!$J$7-Inputs!$I$7)))/Inputs!$K$7)^2))^2))-((Inputs!$H$7+Inputs!$L$7*(((Inputs!$I$7+(((A114)+1)/2)*(Inputs!$J$7-Inputs!$I$7)))/Inputs!$K$7)^2)))*1000/Inputs!$C$12)</f>
        <v>8530.6006800108826</v>
      </c>
      <c r="AH114" s="9">
        <f>(((SQRT(((Inputs!$I$8+(((A114)+1)/2)*(Inputs!$J$8-Inputs!$I$8)))^2+Inputs!$C$6^2+((Inputs!$H$8+Inputs!$L$8*(((Inputs!$I$8+(((A114)+1)/2)*(Inputs!$J$8-Inputs!$I$8)))/Inputs!$K$8)^2))^2))-((Inputs!$H$8+Inputs!$L$8*(((Inputs!$I$8+(((A114)+1)/2)*(Inputs!$J$8-Inputs!$I$8)))/Inputs!$K$8)^2)))*1000/Inputs!$C$12)</f>
        <v>17806.728641253387</v>
      </c>
      <c r="AI114" s="9">
        <f>(((SQRT(((Inputs!$I$9+(((A114)+1)/2)*(Inputs!$J$9-Inputs!$I$9)))^2+Inputs!$C$6^2+((Inputs!$H$9+Inputs!$L$9*(((Inputs!$I$9+(((A114)+1)/2)*(Inputs!$J$9-Inputs!$I$9)))/Inputs!$K$9)^2))^2))-((Inputs!$H$9+Inputs!$L$9*(((Inputs!$I$9+(((A114)+1)/2)*(Inputs!$J$9-Inputs!$I$9)))/Inputs!$K$9)^2)))*1000/Inputs!$C$12)</f>
        <v>20595.927822440484</v>
      </c>
      <c r="AJ114" s="10"/>
      <c r="AK114" s="9">
        <f t="shared" si="11"/>
        <v>-6.7000000000000004E-2</v>
      </c>
      <c r="AL114" s="9">
        <f>(-2*((1000*((((Inputs!$I$6+(((A114)+1)/2)*(Inputs!$J$6-Inputs!$I$6)))*Inputs!$C$11+((Inputs!$H$6+Inputs!$L$6*(((Inputs!$I$6+(((A114)+1)/2)*(Inputs!$J$6-Inputs!$I$6)))/Inputs!$K$6)^2))*((2*Inputs!$L$6*((Inputs!$I$6+(((A114)+1)/2)*(Inputs!$J$6-Inputs!$I$6)))/(Inputs!$K$6^2)*Inputs!$C$11)))/(SQRT(((Inputs!$I$6+(((A114)+1)/2)*(Inputs!$J$6-Inputs!$I$6)))^2+Inputs!$C$6^2+((Inputs!$H$6+Inputs!$L$6*(((Inputs!$I$6+(((A114)+1)/2)*(Inputs!$J$6-Inputs!$I$6)))/Inputs!$K$6)^2))^2)))))/Inputs!$C$13)</f>
        <v>30.31194389180796</v>
      </c>
      <c r="AM114" s="9">
        <f>(-2*((1000*((((Inputs!$I$7+(((A114)+1)/2)*(Inputs!$J$7-Inputs!$I$7)))*Inputs!$C$11+((Inputs!$H$7+Inputs!$L$7*(((Inputs!$I$7+(((A114)+1)/2)*(Inputs!$J$7-Inputs!$I$7)))/Inputs!$K$7)^2))*((2*Inputs!$L$7*((Inputs!$I$7+(((A114)+1)/2)*(Inputs!$J$7-Inputs!$I$7)))/(Inputs!$K$7^2)*Inputs!$C$11)))/(SQRT(((Inputs!$I$7+(((A114)+1)/2)*(Inputs!$J$7-Inputs!$I$7)))^2+Inputs!$C$6^2+((Inputs!$H$7+Inputs!$L$7*(((Inputs!$I$7+(((A114)+1)/2)*(Inputs!$J$7-Inputs!$I$7)))/Inputs!$K$7)^2))^2)))))/Inputs!$C$13)</f>
        <v>965.74874913899498</v>
      </c>
      <c r="AN114" s="9">
        <f>(-2*((1000*((((Inputs!$I$8+(((A114)+1)/2)*(Inputs!$J$8-Inputs!$I$8)))*Inputs!$C$11+((Inputs!$H$8+Inputs!$L$8*(((Inputs!$I$8+(((A114)+1)/2)*(Inputs!$J$8-Inputs!$I$8)))/Inputs!$K$8)^2))*((2*Inputs!$L$8*((Inputs!$I$8+(((A114)+1)/2)*(Inputs!$J$8-Inputs!$I$8)))/(Inputs!$K$8^2)*Inputs!$C$11)))/(SQRT(((Inputs!$I$8+(((A114)+1)/2)*(Inputs!$J$8-Inputs!$I$8)))^2+Inputs!$C$6^2+((Inputs!$H$8+Inputs!$L$8*(((Inputs!$I$8+(((A114)+1)/2)*(Inputs!$J$8-Inputs!$I$8)))/Inputs!$K$8)^2))^2)))))/Inputs!$C$13)</f>
        <v>1350.625084615099</v>
      </c>
      <c r="AO114" s="9">
        <f>(-2*((1000*((((Inputs!$I$9+(((A114)+1)/2)*(Inputs!$J$9-Inputs!$I$9)))*Inputs!$C$11+((Inputs!$H$9+Inputs!$L$9*(((Inputs!$I$9+(((A114)+1)/2)*(Inputs!$J$9-Inputs!$I$9)))/Inputs!$K$9)^2))*((2*Inputs!$L$9*((Inputs!$I$9+(((A114)+1)/2)*(Inputs!$J$9-Inputs!$I$9)))/(Inputs!$K$9^2)*Inputs!$C$11)))/(SQRT(((Inputs!$I$9+(((A114)+1)/2)*(Inputs!$J$9-Inputs!$I$9)))^2+Inputs!$C$6^2+((Inputs!$H$9+Inputs!$L$9*(((Inputs!$I$9+(((A114)+1)/2)*(Inputs!$J$9-Inputs!$I$9)))/Inputs!$K$9)^2))^2)))))/Inputs!$C$13)</f>
        <v>1414.8947761334084</v>
      </c>
    </row>
    <row r="115" spans="1:41">
      <c r="A115" s="9">
        <f>ROUND(-1+113*2/240,3)</f>
        <v>-5.8000000000000003E-2</v>
      </c>
      <c r="B115" s="9">
        <f>IF(OR(Inputs!$F$6=TRUE,Inputs!$F$6="TRUE",Inputs!$F$6=1),(Inputs!$H$6+Inputs!$L$6*(((Inputs!$I$6+(((A115)+1)/2)*(Inputs!$J$6-Inputs!$I$6)))/Inputs!$K$6)^2),NA())</f>
        <v>400.01345600000002</v>
      </c>
      <c r="C115" s="9">
        <f>IF(OR(Inputs!$F$7=TRUE,Inputs!$F$7="TRUE",Inputs!$F$7=1),(Inputs!$H$7+Inputs!$L$7*(((Inputs!$I$7+(((A115)+1)/2)*(Inputs!$J$7-Inputs!$I$7)))/Inputs!$K$7)^2),NA())</f>
        <v>36.227860000000007</v>
      </c>
      <c r="D115" s="9">
        <f>IF(OR(Inputs!$F$8=TRUE,Inputs!$F$8="TRUE",Inputs!$F$8=1),(Inputs!$H$8+Inputs!$L$8*(((Inputs!$I$8+(((A115)+1)/2)*(Inputs!$J$8-Inputs!$I$8)))/Inputs!$K$8)^2),NA())</f>
        <v>38.246260000000014</v>
      </c>
      <c r="E115" s="9">
        <f>IF(OR(Inputs!$F$9=TRUE,Inputs!$F$9="TRUE",Inputs!$F$9=1),(Inputs!$H$9+Inputs!$L$9*(((Inputs!$I$9+(((A115)+1)/2)*(Inputs!$J$9-Inputs!$I$9)))/Inputs!$K$9)^2),NA())</f>
        <v>28.279900000000012</v>
      </c>
      <c r="F115" s="10"/>
      <c r="G115" s="9">
        <f t="shared" si="6"/>
        <v>-5.8000000000000003E-2</v>
      </c>
      <c r="H115" s="9">
        <f>IF(OR(Inputs!$F$6=TRUE,Inputs!$F$6="TRUE",Inputs!$F$6=1),(((SQRT(((Inputs!$I$6+(((A115)+1)/2)*(Inputs!$J$6-Inputs!$I$6)))^2+Inputs!$C$6^2+((Inputs!$H$6+Inputs!$L$6*(((Inputs!$I$6+(((A115)+1)/2)*(Inputs!$J$6-Inputs!$I$6)))/Inputs!$K$6)^2))^2))-((Inputs!$H$6+Inputs!$L$6*(((Inputs!$I$6+(((A115)+1)/2)*(Inputs!$J$6-Inputs!$I$6)))/Inputs!$K$6)^2)))*1000/Inputs!$C$12),NA())</f>
        <v>446.94947884704686</v>
      </c>
      <c r="I115" s="9">
        <f>IF(OR(Inputs!$F$7=TRUE,Inputs!$F$7="TRUE",Inputs!$F$7=1),(((SQRT(((Inputs!$I$7+(((A115)+1)/2)*(Inputs!$J$7-Inputs!$I$7)))^2+Inputs!$C$6^2+((Inputs!$H$7+Inputs!$L$7*(((Inputs!$I$7+(((A115)+1)/2)*(Inputs!$J$7-Inputs!$I$7)))/Inputs!$K$7)^2))^2))-((Inputs!$H$7+Inputs!$L$7*(((Inputs!$I$7+(((A115)+1)/2)*(Inputs!$J$7-Inputs!$I$7)))/Inputs!$K$7)^2)))*1000/Inputs!$C$12),NA())</f>
        <v>7600.2948981560312</v>
      </c>
      <c r="J115" s="9">
        <f>IF(OR(Inputs!$F$8=TRUE,Inputs!$F$8="TRUE",Inputs!$F$8=1),(((SQRT(((Inputs!$I$8+(((A115)+1)/2)*(Inputs!$J$8-Inputs!$I$8)))^2+Inputs!$C$6^2+((Inputs!$H$8+Inputs!$L$8*(((Inputs!$I$8+(((A115)+1)/2)*(Inputs!$J$8-Inputs!$I$8)))/Inputs!$K$8)^2))^2))-((Inputs!$H$8+Inputs!$L$8*(((Inputs!$I$8+(((A115)+1)/2)*(Inputs!$J$8-Inputs!$I$8)))/Inputs!$K$8)^2)))*1000/Inputs!$C$12),NA())</f>
        <v>15098.133009026098</v>
      </c>
      <c r="K115" s="9">
        <f>IF(OR(Inputs!$F$9=TRUE,Inputs!$F$9="TRUE",Inputs!$F$9=1),(((SQRT(((Inputs!$I$9+(((A115)+1)/2)*(Inputs!$J$9-Inputs!$I$9)))^2+Inputs!$C$6^2+((Inputs!$H$9+Inputs!$L$9*(((Inputs!$I$9+(((A115)+1)/2)*(Inputs!$J$9-Inputs!$I$9)))/Inputs!$K$9)^2))^2))-((Inputs!$H$9+Inputs!$L$9*(((Inputs!$I$9+(((A115)+1)/2)*(Inputs!$J$9-Inputs!$I$9)))/Inputs!$K$9)^2)))*1000/Inputs!$C$12),NA())</f>
        <v>17715.77781952596</v>
      </c>
      <c r="L115" s="10"/>
      <c r="M115" s="9">
        <f t="shared" si="7"/>
        <v>-5.8000000000000003E-2</v>
      </c>
      <c r="N115" s="9">
        <f>IF(OR(Inputs!$F$6=TRUE,Inputs!$F$6="TRUE",Inputs!$F$6=1),(-2*((1000*((((Inputs!$I$6+(((A115)+1)/2)*(Inputs!$J$6-Inputs!$I$6)))*Inputs!$C$11+((Inputs!$H$6+Inputs!$L$6*(((Inputs!$I$6+(((A115)+1)/2)*(Inputs!$J$6-Inputs!$I$6)))/Inputs!$K$6)^2))*((2*Inputs!$L$6*((Inputs!$I$6+(((A115)+1)/2)*(Inputs!$J$6-Inputs!$I$6)))/(Inputs!$K$6^2)*Inputs!$C$11)))/(SQRT(((Inputs!$I$6+(((A115)+1)/2)*(Inputs!$J$6-Inputs!$I$6)))^2+Inputs!$C$6^2+((Inputs!$H$6+Inputs!$L$6*(((Inputs!$I$6+(((A115)+1)/2)*(Inputs!$J$6-Inputs!$I$6)))/Inputs!$K$6)^2))^2)))))/Inputs!$C$13),NA())</f>
        <v>26.240676094475539</v>
      </c>
      <c r="O115" s="9">
        <f>IF(OR(Inputs!$F$7=TRUE,Inputs!$F$7="TRUE",Inputs!$F$7=1),(-2*((1000*((((Inputs!$I$7+(((A115)+1)/2)*(Inputs!$J$7-Inputs!$I$7)))*Inputs!$C$11+((Inputs!$H$7+Inputs!$L$7*(((Inputs!$I$7+(((A115)+1)/2)*(Inputs!$J$7-Inputs!$I$7)))/Inputs!$K$7)^2))*((2*Inputs!$L$7*((Inputs!$I$7+(((A115)+1)/2)*(Inputs!$J$7-Inputs!$I$7)))/(Inputs!$K$7^2)*Inputs!$C$11)))/(SQRT(((Inputs!$I$7+(((A115)+1)/2)*(Inputs!$J$7-Inputs!$I$7)))^2+Inputs!$C$6^2+((Inputs!$H$7+Inputs!$L$7*(((Inputs!$I$7+(((A115)+1)/2)*(Inputs!$J$7-Inputs!$I$7)))/Inputs!$K$7)^2))^2)))))/Inputs!$C$13),NA())</f>
        <v>869.34672686254339</v>
      </c>
      <c r="P115" s="9">
        <f>IF(OR(Inputs!$F$8=TRUE,Inputs!$F$8="TRUE",Inputs!$F$8=1),(-2*((1000*((((Inputs!$I$8+(((A115)+1)/2)*(Inputs!$J$8-Inputs!$I$8)))*Inputs!$C$11+((Inputs!$H$8+Inputs!$L$8*(((Inputs!$I$8+(((A115)+1)/2)*(Inputs!$J$8-Inputs!$I$8)))/Inputs!$K$8)^2))*((2*Inputs!$L$8*((Inputs!$I$8+(((A115)+1)/2)*(Inputs!$J$8-Inputs!$I$8)))/(Inputs!$K$8^2)*Inputs!$C$11)))/(SQRT(((Inputs!$I$8+(((A115)+1)/2)*(Inputs!$J$8-Inputs!$I$8)))^2+Inputs!$C$6^2+((Inputs!$H$8+Inputs!$L$8*(((Inputs!$I$8+(((A115)+1)/2)*(Inputs!$J$8-Inputs!$I$8)))/Inputs!$K$8)^2))^2)))))/Inputs!$C$13),NA())</f>
        <v>1271.5199874806242</v>
      </c>
      <c r="Q115" s="9">
        <f>IF(OR(Inputs!$F$9=TRUE,Inputs!$F$9="TRUE",Inputs!$F$9=1),(-2*((1000*((((Inputs!$I$9+(((A115)+1)/2)*(Inputs!$J$9-Inputs!$I$9)))*Inputs!$C$11+((Inputs!$H$9+Inputs!$L$9*(((Inputs!$I$9+(((A115)+1)/2)*(Inputs!$J$9-Inputs!$I$9)))/Inputs!$K$9)^2))*((2*Inputs!$L$9*((Inputs!$I$9+(((A115)+1)/2)*(Inputs!$J$9-Inputs!$I$9)))/(Inputs!$K$9^2)*Inputs!$C$11)))/(SQRT(((Inputs!$I$9+(((A115)+1)/2)*(Inputs!$J$9-Inputs!$I$9)))^2+Inputs!$C$6^2+((Inputs!$H$9+Inputs!$L$9*(((Inputs!$I$9+(((A115)+1)/2)*(Inputs!$J$9-Inputs!$I$9)))/Inputs!$K$9)^2))^2)))))/Inputs!$C$13),NA())</f>
        <v>1348.1281012923387</v>
      </c>
      <c r="R115" s="10"/>
      <c r="S115" s="9">
        <f t="shared" si="8"/>
        <v>-5.8000000000000003E-2</v>
      </c>
      <c r="T115" s="9">
        <f>(Inputs!$I$6+(((A115)+1)/2)*(Inputs!$J$6-Inputs!$I$6))</f>
        <v>-3.480000000000004</v>
      </c>
      <c r="U115" s="9">
        <f>(Inputs!$I$7+(((A115)+1)/2)*(Inputs!$J$7-Inputs!$I$7))</f>
        <v>-23.200000000000045</v>
      </c>
      <c r="V115" s="9">
        <f>(Inputs!$I$8+(((A115)+1)/2)*(Inputs!$J$8-Inputs!$I$8))</f>
        <v>-46.400000000000091</v>
      </c>
      <c r="W115" s="9">
        <f>(Inputs!$I$9+(((A115)+1)/2)*(Inputs!$J$9-Inputs!$I$9))</f>
        <v>-46.400000000000091</v>
      </c>
      <c r="X115" s="10"/>
      <c r="Y115" s="9">
        <f t="shared" si="9"/>
        <v>-5.8000000000000003E-2</v>
      </c>
      <c r="Z115" s="9">
        <f>(Inputs!$H$6+Inputs!$L$6*(((Inputs!$I$6+(((A115)+1)/2)*(Inputs!$J$6-Inputs!$I$6)))/Inputs!$K$6)^2)</f>
        <v>400.01345600000002</v>
      </c>
      <c r="AA115" s="9">
        <f>(Inputs!$H$7+Inputs!$L$7*(((Inputs!$I$7+(((A115)+1)/2)*(Inputs!$J$7-Inputs!$I$7)))/Inputs!$K$7)^2)</f>
        <v>36.227860000000007</v>
      </c>
      <c r="AB115" s="9">
        <f>(Inputs!$H$8+Inputs!$L$8*(((Inputs!$I$8+(((A115)+1)/2)*(Inputs!$J$8-Inputs!$I$8)))/Inputs!$K$8)^2)</f>
        <v>38.246260000000014</v>
      </c>
      <c r="AC115" s="9">
        <f>(Inputs!$H$9+Inputs!$L$9*(((Inputs!$I$9+(((A115)+1)/2)*(Inputs!$J$9-Inputs!$I$9)))/Inputs!$K$9)^2)</f>
        <v>28.279900000000012</v>
      </c>
      <c r="AD115" s="10"/>
      <c r="AE115" s="9">
        <f t="shared" si="10"/>
        <v>-5.8000000000000003E-2</v>
      </c>
      <c r="AF115" s="9">
        <f>(((SQRT(((Inputs!$I$6+(((A115)+1)/2)*(Inputs!$J$6-Inputs!$I$6)))^2+Inputs!$C$6^2+((Inputs!$H$6+Inputs!$L$6*(((Inputs!$I$6+(((A115)+1)/2)*(Inputs!$J$6-Inputs!$I$6)))/Inputs!$K$6)^2))^2))-((Inputs!$H$6+Inputs!$L$6*(((Inputs!$I$6+(((A115)+1)/2)*(Inputs!$J$6-Inputs!$I$6)))/Inputs!$K$6)^2)))*1000/Inputs!$C$12)</f>
        <v>446.94947884704686</v>
      </c>
      <c r="AG115" s="9">
        <f>(((SQRT(((Inputs!$I$7+(((A115)+1)/2)*(Inputs!$J$7-Inputs!$I$7)))^2+Inputs!$C$6^2+((Inputs!$H$7+Inputs!$L$7*(((Inputs!$I$7+(((A115)+1)/2)*(Inputs!$J$7-Inputs!$I$7)))/Inputs!$K$7)^2))^2))-((Inputs!$H$7+Inputs!$L$7*(((Inputs!$I$7+(((A115)+1)/2)*(Inputs!$J$7-Inputs!$I$7)))/Inputs!$K$7)^2)))*1000/Inputs!$C$12)</f>
        <v>7600.2948981560312</v>
      </c>
      <c r="AH115" s="9">
        <f>(((SQRT(((Inputs!$I$8+(((A115)+1)/2)*(Inputs!$J$8-Inputs!$I$8)))^2+Inputs!$C$6^2+((Inputs!$H$8+Inputs!$L$8*(((Inputs!$I$8+(((A115)+1)/2)*(Inputs!$J$8-Inputs!$I$8)))/Inputs!$K$8)^2))^2))-((Inputs!$H$8+Inputs!$L$8*(((Inputs!$I$8+(((A115)+1)/2)*(Inputs!$J$8-Inputs!$I$8)))/Inputs!$K$8)^2)))*1000/Inputs!$C$12)</f>
        <v>15098.133009026098</v>
      </c>
      <c r="AI115" s="9">
        <f>(((SQRT(((Inputs!$I$9+(((A115)+1)/2)*(Inputs!$J$9-Inputs!$I$9)))^2+Inputs!$C$6^2+((Inputs!$H$9+Inputs!$L$9*(((Inputs!$I$9+(((A115)+1)/2)*(Inputs!$J$9-Inputs!$I$9)))/Inputs!$K$9)^2))^2))-((Inputs!$H$9+Inputs!$L$9*(((Inputs!$I$9+(((A115)+1)/2)*(Inputs!$J$9-Inputs!$I$9)))/Inputs!$K$9)^2)))*1000/Inputs!$C$12)</f>
        <v>17715.77781952596</v>
      </c>
      <c r="AJ115" s="10"/>
      <c r="AK115" s="9">
        <f t="shared" si="11"/>
        <v>-5.8000000000000003E-2</v>
      </c>
      <c r="AL115" s="9">
        <f>(-2*((1000*((((Inputs!$I$6+(((A115)+1)/2)*(Inputs!$J$6-Inputs!$I$6)))*Inputs!$C$11+((Inputs!$H$6+Inputs!$L$6*(((Inputs!$I$6+(((A115)+1)/2)*(Inputs!$J$6-Inputs!$I$6)))/Inputs!$K$6)^2))*((2*Inputs!$L$6*((Inputs!$I$6+(((A115)+1)/2)*(Inputs!$J$6-Inputs!$I$6)))/(Inputs!$K$6^2)*Inputs!$C$11)))/(SQRT(((Inputs!$I$6+(((A115)+1)/2)*(Inputs!$J$6-Inputs!$I$6)))^2+Inputs!$C$6^2+((Inputs!$H$6+Inputs!$L$6*(((Inputs!$I$6+(((A115)+1)/2)*(Inputs!$J$6-Inputs!$I$6)))/Inputs!$K$6)^2))^2)))))/Inputs!$C$13)</f>
        <v>26.240676094475539</v>
      </c>
      <c r="AM115" s="9">
        <f>(-2*((1000*((((Inputs!$I$7+(((A115)+1)/2)*(Inputs!$J$7-Inputs!$I$7)))*Inputs!$C$11+((Inputs!$H$7+Inputs!$L$7*(((Inputs!$I$7+(((A115)+1)/2)*(Inputs!$J$7-Inputs!$I$7)))/Inputs!$K$7)^2))*((2*Inputs!$L$7*((Inputs!$I$7+(((A115)+1)/2)*(Inputs!$J$7-Inputs!$I$7)))/(Inputs!$K$7^2)*Inputs!$C$11)))/(SQRT(((Inputs!$I$7+(((A115)+1)/2)*(Inputs!$J$7-Inputs!$I$7)))^2+Inputs!$C$6^2+((Inputs!$H$7+Inputs!$L$7*(((Inputs!$I$7+(((A115)+1)/2)*(Inputs!$J$7-Inputs!$I$7)))/Inputs!$K$7)^2))^2)))))/Inputs!$C$13)</f>
        <v>869.34672686254339</v>
      </c>
      <c r="AN115" s="9">
        <f>(-2*((1000*((((Inputs!$I$8+(((A115)+1)/2)*(Inputs!$J$8-Inputs!$I$8)))*Inputs!$C$11+((Inputs!$H$8+Inputs!$L$8*(((Inputs!$I$8+(((A115)+1)/2)*(Inputs!$J$8-Inputs!$I$8)))/Inputs!$K$8)^2))*((2*Inputs!$L$8*((Inputs!$I$8+(((A115)+1)/2)*(Inputs!$J$8-Inputs!$I$8)))/(Inputs!$K$8^2)*Inputs!$C$11)))/(SQRT(((Inputs!$I$8+(((A115)+1)/2)*(Inputs!$J$8-Inputs!$I$8)))^2+Inputs!$C$6^2+((Inputs!$H$8+Inputs!$L$8*(((Inputs!$I$8+(((A115)+1)/2)*(Inputs!$J$8-Inputs!$I$8)))/Inputs!$K$8)^2))^2)))))/Inputs!$C$13)</f>
        <v>1271.5199874806242</v>
      </c>
      <c r="AO115" s="9">
        <f>(-2*((1000*((((Inputs!$I$9+(((A115)+1)/2)*(Inputs!$J$9-Inputs!$I$9)))*Inputs!$C$11+((Inputs!$H$9+Inputs!$L$9*(((Inputs!$I$9+(((A115)+1)/2)*(Inputs!$J$9-Inputs!$I$9)))/Inputs!$K$9)^2))*((2*Inputs!$L$9*((Inputs!$I$9+(((A115)+1)/2)*(Inputs!$J$9-Inputs!$I$9)))/(Inputs!$K$9^2)*Inputs!$C$11)))/(SQRT(((Inputs!$I$9+(((A115)+1)/2)*(Inputs!$J$9-Inputs!$I$9)))^2+Inputs!$C$6^2+((Inputs!$H$9+Inputs!$L$9*(((Inputs!$I$9+(((A115)+1)/2)*(Inputs!$J$9-Inputs!$I$9)))/Inputs!$K$9)^2))^2)))))/Inputs!$C$13)</f>
        <v>1348.1281012923387</v>
      </c>
    </row>
    <row r="116" spans="1:41">
      <c r="A116" s="9">
        <f>ROUND(-1+114*2/240,3)</f>
        <v>-0.05</v>
      </c>
      <c r="B116" s="9">
        <f>IF(OR(Inputs!$F$6=TRUE,Inputs!$F$6="TRUE",Inputs!$F$6=1),(Inputs!$H$6+Inputs!$L$6*(((Inputs!$I$6+(((A116)+1)/2)*(Inputs!$J$6-Inputs!$I$6)))/Inputs!$K$6)^2),NA())</f>
        <v>400.01</v>
      </c>
      <c r="C116" s="9">
        <f>IF(OR(Inputs!$F$7=TRUE,Inputs!$F$7="TRUE",Inputs!$F$7=1),(Inputs!$H$7+Inputs!$L$7*(((Inputs!$I$7+(((A116)+1)/2)*(Inputs!$J$7-Inputs!$I$7)))/Inputs!$K$7)^2),NA())</f>
        <v>35.912500000000001</v>
      </c>
      <c r="D116" s="9">
        <f>IF(OR(Inputs!$F$8=TRUE,Inputs!$F$8="TRUE",Inputs!$F$8=1),(Inputs!$H$8+Inputs!$L$8*(((Inputs!$I$8+(((A116)+1)/2)*(Inputs!$J$8-Inputs!$I$8)))/Inputs!$K$8)^2),NA())</f>
        <v>37.412500000000001</v>
      </c>
      <c r="E116" s="9">
        <f>IF(OR(Inputs!$F$9=TRUE,Inputs!$F$9="TRUE",Inputs!$F$9=1),(Inputs!$H$9+Inputs!$L$9*(((Inputs!$I$9+(((A116)+1)/2)*(Inputs!$J$9-Inputs!$I$9)))/Inputs!$K$9)^2),NA())</f>
        <v>27.4375</v>
      </c>
      <c r="F116" s="10"/>
      <c r="G116" s="9">
        <f t="shared" si="6"/>
        <v>-0.05</v>
      </c>
      <c r="H116" s="9">
        <f>IF(OR(Inputs!$F$6=TRUE,Inputs!$F$6="TRUE",Inputs!$F$6=1),(((SQRT(((Inputs!$I$6+(((A116)+1)/2)*(Inputs!$J$6-Inputs!$I$6)))^2+Inputs!$C$6^2+((Inputs!$H$6+Inputs!$L$6*(((Inputs!$I$6+(((A116)+1)/2)*(Inputs!$J$6-Inputs!$I$6)))/Inputs!$K$6)^2))^2))-((Inputs!$H$6+Inputs!$L$6*(((Inputs!$I$6+(((A116)+1)/2)*(Inputs!$J$6-Inputs!$I$6)))/Inputs!$K$6)^2)))*1000/Inputs!$C$12),NA())</f>
        <v>444.77344266602285</v>
      </c>
      <c r="I116" s="9">
        <f>IF(OR(Inputs!$F$7=TRUE,Inputs!$F$7="TRUE",Inputs!$F$7=1),(((SQRT(((Inputs!$I$7+(((A116)+1)/2)*(Inputs!$J$7-Inputs!$I$7)))^2+Inputs!$C$6^2+((Inputs!$H$7+Inputs!$L$7*(((Inputs!$I$7+(((A116)+1)/2)*(Inputs!$J$7-Inputs!$I$7)))/Inputs!$K$7)^2))^2))-((Inputs!$H$7+Inputs!$L$7*(((Inputs!$I$7+(((A116)+1)/2)*(Inputs!$J$7-Inputs!$I$7)))/Inputs!$K$7)^2)))*1000/Inputs!$C$12),NA())</f>
        <v>6853.3195478135085</v>
      </c>
      <c r="J116" s="9">
        <f>IF(OR(Inputs!$F$8=TRUE,Inputs!$F$8="TRUE",Inputs!$F$8=1),(((SQRT(((Inputs!$I$8+(((A116)+1)/2)*(Inputs!$J$8-Inputs!$I$8)))^2+Inputs!$C$6^2+((Inputs!$H$8+Inputs!$L$8*(((Inputs!$I$8+(((A116)+1)/2)*(Inputs!$J$8-Inputs!$I$8)))/Inputs!$K$8)^2))^2))-((Inputs!$H$8+Inputs!$L$8*(((Inputs!$I$8+(((A116)+1)/2)*(Inputs!$J$8-Inputs!$I$8)))/Inputs!$K$8)^2)))*1000/Inputs!$C$12),NA())</f>
        <v>12805.023174823551</v>
      </c>
      <c r="K116" s="9">
        <f>IF(OR(Inputs!$F$9=TRUE,Inputs!$F$9="TRUE",Inputs!$F$9=1),(((SQRT(((Inputs!$I$9+(((A116)+1)/2)*(Inputs!$J$9-Inputs!$I$9)))^2+Inputs!$C$6^2+((Inputs!$H$9+Inputs!$L$9*(((Inputs!$I$9+(((A116)+1)/2)*(Inputs!$J$9-Inputs!$I$9)))/Inputs!$K$9)^2))^2))-((Inputs!$H$9+Inputs!$L$9*(((Inputs!$I$9+(((A116)+1)/2)*(Inputs!$J$9-Inputs!$I$9)))/Inputs!$K$9)^2)))*1000/Inputs!$C$12),NA())</f>
        <v>15242.62495473365</v>
      </c>
      <c r="L116" s="10"/>
      <c r="M116" s="9">
        <f t="shared" si="7"/>
        <v>-0.05</v>
      </c>
      <c r="N116" s="9">
        <f>IF(OR(Inputs!$F$6=TRUE,Inputs!$F$6="TRUE",Inputs!$F$6=1),(-2*((1000*((((Inputs!$I$6+(((A116)+1)/2)*(Inputs!$J$6-Inputs!$I$6)))*Inputs!$C$11+((Inputs!$H$6+Inputs!$L$6*(((Inputs!$I$6+(((A116)+1)/2)*(Inputs!$J$6-Inputs!$I$6)))/Inputs!$K$6)^2))*((2*Inputs!$L$6*((Inputs!$I$6+(((A116)+1)/2)*(Inputs!$J$6-Inputs!$I$6)))/(Inputs!$K$6^2)*Inputs!$C$11)))/(SQRT(((Inputs!$I$6+(((A116)+1)/2)*(Inputs!$J$6-Inputs!$I$6)))^2+Inputs!$C$6^2+((Inputs!$H$6+Inputs!$L$6*(((Inputs!$I$6+(((A116)+1)/2)*(Inputs!$J$6-Inputs!$I$6)))/Inputs!$K$6)^2))^2)))))/Inputs!$C$13),NA())</f>
        <v>22.621594188229295</v>
      </c>
      <c r="O116" s="9">
        <f>IF(OR(Inputs!$F$7=TRUE,Inputs!$F$7="TRUE",Inputs!$F$7=1),(-2*((1000*((((Inputs!$I$7+(((A116)+1)/2)*(Inputs!$J$7-Inputs!$I$7)))*Inputs!$C$11+((Inputs!$H$7+Inputs!$L$7*(((Inputs!$I$7+(((A116)+1)/2)*(Inputs!$J$7-Inputs!$I$7)))/Inputs!$K$7)^2))*((2*Inputs!$L$7*((Inputs!$I$7+(((A116)+1)/2)*(Inputs!$J$7-Inputs!$I$7)))/(Inputs!$K$7^2)*Inputs!$C$11)))/(SQRT(((Inputs!$I$7+(((A116)+1)/2)*(Inputs!$J$7-Inputs!$I$7)))^2+Inputs!$C$6^2+((Inputs!$H$7+Inputs!$L$7*(((Inputs!$I$7+(((A116)+1)/2)*(Inputs!$J$7-Inputs!$I$7)))/Inputs!$K$7)^2))^2)))))/Inputs!$C$13),NA())</f>
        <v>774.10381306038335</v>
      </c>
      <c r="P116" s="9">
        <f>IF(OR(Inputs!$F$8=TRUE,Inputs!$F$8="TRUE",Inputs!$F$8=1),(-2*((1000*((((Inputs!$I$8+(((A116)+1)/2)*(Inputs!$J$8-Inputs!$I$8)))*Inputs!$C$11+((Inputs!$H$8+Inputs!$L$8*(((Inputs!$I$8+(((A116)+1)/2)*(Inputs!$J$8-Inputs!$I$8)))/Inputs!$K$8)^2))*((2*Inputs!$L$8*((Inputs!$I$8+(((A116)+1)/2)*(Inputs!$J$8-Inputs!$I$8)))/(Inputs!$K$8^2)*Inputs!$C$11)))/(SQRT(((Inputs!$I$8+(((A116)+1)/2)*(Inputs!$J$8-Inputs!$I$8)))^2+Inputs!$C$6^2+((Inputs!$H$8+Inputs!$L$8*(((Inputs!$I$8+(((A116)+1)/2)*(Inputs!$J$8-Inputs!$I$8)))/Inputs!$K$8)^2))^2)))))/Inputs!$C$13),NA())</f>
        <v>1182.9597295509748</v>
      </c>
      <c r="Q116" s="9">
        <f>IF(OR(Inputs!$F$9=TRUE,Inputs!$F$9="TRUE",Inputs!$F$9=1),(-2*((1000*((((Inputs!$I$9+(((A116)+1)/2)*(Inputs!$J$9-Inputs!$I$9)))*Inputs!$C$11+((Inputs!$H$9+Inputs!$L$9*(((Inputs!$I$9+(((A116)+1)/2)*(Inputs!$J$9-Inputs!$I$9)))/Inputs!$K$9)^2))*((2*Inputs!$L$9*((Inputs!$I$9+(((A116)+1)/2)*(Inputs!$J$9-Inputs!$I$9)))/(Inputs!$K$9^2)*Inputs!$C$11)))/(SQRT(((Inputs!$I$9+(((A116)+1)/2)*(Inputs!$J$9-Inputs!$I$9)))^2+Inputs!$C$6^2+((Inputs!$H$9+Inputs!$L$9*(((Inputs!$I$9+(((A116)+1)/2)*(Inputs!$J$9-Inputs!$I$9)))/Inputs!$K$9)^2))^2)))))/Inputs!$C$13),NA())</f>
        <v>1270.8651286470044</v>
      </c>
      <c r="R116" s="10"/>
      <c r="S116" s="9">
        <f t="shared" si="8"/>
        <v>-0.05</v>
      </c>
      <c r="T116" s="9">
        <f>(Inputs!$I$6+(((A116)+1)/2)*(Inputs!$J$6-Inputs!$I$6))</f>
        <v>-3</v>
      </c>
      <c r="U116" s="9">
        <f>(Inputs!$I$7+(((A116)+1)/2)*(Inputs!$J$7-Inputs!$I$7))</f>
        <v>-20</v>
      </c>
      <c r="V116" s="9">
        <f>(Inputs!$I$8+(((A116)+1)/2)*(Inputs!$J$8-Inputs!$I$8))</f>
        <v>-40</v>
      </c>
      <c r="W116" s="9">
        <f>(Inputs!$I$9+(((A116)+1)/2)*(Inputs!$J$9-Inputs!$I$9))</f>
        <v>-40</v>
      </c>
      <c r="X116" s="10"/>
      <c r="Y116" s="9">
        <f t="shared" si="9"/>
        <v>-0.05</v>
      </c>
      <c r="Z116" s="9">
        <f>(Inputs!$H$6+Inputs!$L$6*(((Inputs!$I$6+(((A116)+1)/2)*(Inputs!$J$6-Inputs!$I$6)))/Inputs!$K$6)^2)</f>
        <v>400.01</v>
      </c>
      <c r="AA116" s="9">
        <f>(Inputs!$H$7+Inputs!$L$7*(((Inputs!$I$7+(((A116)+1)/2)*(Inputs!$J$7-Inputs!$I$7)))/Inputs!$K$7)^2)</f>
        <v>35.912500000000001</v>
      </c>
      <c r="AB116" s="9">
        <f>(Inputs!$H$8+Inputs!$L$8*(((Inputs!$I$8+(((A116)+1)/2)*(Inputs!$J$8-Inputs!$I$8)))/Inputs!$K$8)^2)</f>
        <v>37.412500000000001</v>
      </c>
      <c r="AC116" s="9">
        <f>(Inputs!$H$9+Inputs!$L$9*(((Inputs!$I$9+(((A116)+1)/2)*(Inputs!$J$9-Inputs!$I$9)))/Inputs!$K$9)^2)</f>
        <v>27.4375</v>
      </c>
      <c r="AD116" s="10"/>
      <c r="AE116" s="9">
        <f t="shared" si="10"/>
        <v>-0.05</v>
      </c>
      <c r="AF116" s="9">
        <f>(((SQRT(((Inputs!$I$6+(((A116)+1)/2)*(Inputs!$J$6-Inputs!$I$6)))^2+Inputs!$C$6^2+((Inputs!$H$6+Inputs!$L$6*(((Inputs!$I$6+(((A116)+1)/2)*(Inputs!$J$6-Inputs!$I$6)))/Inputs!$K$6)^2))^2))-((Inputs!$H$6+Inputs!$L$6*(((Inputs!$I$6+(((A116)+1)/2)*(Inputs!$J$6-Inputs!$I$6)))/Inputs!$K$6)^2)))*1000/Inputs!$C$12)</f>
        <v>444.77344266602285</v>
      </c>
      <c r="AG116" s="9">
        <f>(((SQRT(((Inputs!$I$7+(((A116)+1)/2)*(Inputs!$J$7-Inputs!$I$7)))^2+Inputs!$C$6^2+((Inputs!$H$7+Inputs!$L$7*(((Inputs!$I$7+(((A116)+1)/2)*(Inputs!$J$7-Inputs!$I$7)))/Inputs!$K$7)^2))^2))-((Inputs!$H$7+Inputs!$L$7*(((Inputs!$I$7+(((A116)+1)/2)*(Inputs!$J$7-Inputs!$I$7)))/Inputs!$K$7)^2)))*1000/Inputs!$C$12)</f>
        <v>6853.3195478135085</v>
      </c>
      <c r="AH116" s="9">
        <f>(((SQRT(((Inputs!$I$8+(((A116)+1)/2)*(Inputs!$J$8-Inputs!$I$8)))^2+Inputs!$C$6^2+((Inputs!$H$8+Inputs!$L$8*(((Inputs!$I$8+(((A116)+1)/2)*(Inputs!$J$8-Inputs!$I$8)))/Inputs!$K$8)^2))^2))-((Inputs!$H$8+Inputs!$L$8*(((Inputs!$I$8+(((A116)+1)/2)*(Inputs!$J$8-Inputs!$I$8)))/Inputs!$K$8)^2)))*1000/Inputs!$C$12)</f>
        <v>12805.023174823551</v>
      </c>
      <c r="AI116" s="9">
        <f>(((SQRT(((Inputs!$I$9+(((A116)+1)/2)*(Inputs!$J$9-Inputs!$I$9)))^2+Inputs!$C$6^2+((Inputs!$H$9+Inputs!$L$9*(((Inputs!$I$9+(((A116)+1)/2)*(Inputs!$J$9-Inputs!$I$9)))/Inputs!$K$9)^2))^2))-((Inputs!$H$9+Inputs!$L$9*(((Inputs!$I$9+(((A116)+1)/2)*(Inputs!$J$9-Inputs!$I$9)))/Inputs!$K$9)^2)))*1000/Inputs!$C$12)</f>
        <v>15242.62495473365</v>
      </c>
      <c r="AJ116" s="10"/>
      <c r="AK116" s="9">
        <f t="shared" si="11"/>
        <v>-0.05</v>
      </c>
      <c r="AL116" s="9">
        <f>(-2*((1000*((((Inputs!$I$6+(((A116)+1)/2)*(Inputs!$J$6-Inputs!$I$6)))*Inputs!$C$11+((Inputs!$H$6+Inputs!$L$6*(((Inputs!$I$6+(((A116)+1)/2)*(Inputs!$J$6-Inputs!$I$6)))/Inputs!$K$6)^2))*((2*Inputs!$L$6*((Inputs!$I$6+(((A116)+1)/2)*(Inputs!$J$6-Inputs!$I$6)))/(Inputs!$K$6^2)*Inputs!$C$11)))/(SQRT(((Inputs!$I$6+(((A116)+1)/2)*(Inputs!$J$6-Inputs!$I$6)))^2+Inputs!$C$6^2+((Inputs!$H$6+Inputs!$L$6*(((Inputs!$I$6+(((A116)+1)/2)*(Inputs!$J$6-Inputs!$I$6)))/Inputs!$K$6)^2))^2)))))/Inputs!$C$13)</f>
        <v>22.621594188229295</v>
      </c>
      <c r="AM116" s="9">
        <f>(-2*((1000*((((Inputs!$I$7+(((A116)+1)/2)*(Inputs!$J$7-Inputs!$I$7)))*Inputs!$C$11+((Inputs!$H$7+Inputs!$L$7*(((Inputs!$I$7+(((A116)+1)/2)*(Inputs!$J$7-Inputs!$I$7)))/Inputs!$K$7)^2))*((2*Inputs!$L$7*((Inputs!$I$7+(((A116)+1)/2)*(Inputs!$J$7-Inputs!$I$7)))/(Inputs!$K$7^2)*Inputs!$C$11)))/(SQRT(((Inputs!$I$7+(((A116)+1)/2)*(Inputs!$J$7-Inputs!$I$7)))^2+Inputs!$C$6^2+((Inputs!$H$7+Inputs!$L$7*(((Inputs!$I$7+(((A116)+1)/2)*(Inputs!$J$7-Inputs!$I$7)))/Inputs!$K$7)^2))^2)))))/Inputs!$C$13)</f>
        <v>774.10381306038335</v>
      </c>
      <c r="AN116" s="9">
        <f>(-2*((1000*((((Inputs!$I$8+(((A116)+1)/2)*(Inputs!$J$8-Inputs!$I$8)))*Inputs!$C$11+((Inputs!$H$8+Inputs!$L$8*(((Inputs!$I$8+(((A116)+1)/2)*(Inputs!$J$8-Inputs!$I$8)))/Inputs!$K$8)^2))*((2*Inputs!$L$8*((Inputs!$I$8+(((A116)+1)/2)*(Inputs!$J$8-Inputs!$I$8)))/(Inputs!$K$8^2)*Inputs!$C$11)))/(SQRT(((Inputs!$I$8+(((A116)+1)/2)*(Inputs!$J$8-Inputs!$I$8)))^2+Inputs!$C$6^2+((Inputs!$H$8+Inputs!$L$8*(((Inputs!$I$8+(((A116)+1)/2)*(Inputs!$J$8-Inputs!$I$8)))/Inputs!$K$8)^2))^2)))))/Inputs!$C$13)</f>
        <v>1182.9597295509748</v>
      </c>
      <c r="AO116" s="9">
        <f>(-2*((1000*((((Inputs!$I$9+(((A116)+1)/2)*(Inputs!$J$9-Inputs!$I$9)))*Inputs!$C$11+((Inputs!$H$9+Inputs!$L$9*(((Inputs!$I$9+(((A116)+1)/2)*(Inputs!$J$9-Inputs!$I$9)))/Inputs!$K$9)^2))*((2*Inputs!$L$9*((Inputs!$I$9+(((A116)+1)/2)*(Inputs!$J$9-Inputs!$I$9)))/(Inputs!$K$9^2)*Inputs!$C$11)))/(SQRT(((Inputs!$I$9+(((A116)+1)/2)*(Inputs!$J$9-Inputs!$I$9)))^2+Inputs!$C$6^2+((Inputs!$H$9+Inputs!$L$9*(((Inputs!$I$9+(((A116)+1)/2)*(Inputs!$J$9-Inputs!$I$9)))/Inputs!$K$9)^2))^2)))))/Inputs!$C$13)</f>
        <v>1270.8651286470044</v>
      </c>
    </row>
    <row r="117" spans="1:41">
      <c r="A117" s="9">
        <f>ROUND(-1+115*2/240,3)</f>
        <v>-4.2000000000000003E-2</v>
      </c>
      <c r="B117" s="9">
        <f>IF(OR(Inputs!$F$6=TRUE,Inputs!$F$6="TRUE",Inputs!$F$6=1),(Inputs!$H$6+Inputs!$L$6*(((Inputs!$I$6+(((A117)+1)/2)*(Inputs!$J$6-Inputs!$I$6)))/Inputs!$K$6)^2),NA())</f>
        <v>400.00705599999998</v>
      </c>
      <c r="C117" s="9">
        <f>IF(OR(Inputs!$F$7=TRUE,Inputs!$F$7="TRUE",Inputs!$F$7=1),(Inputs!$H$7+Inputs!$L$7*(((Inputs!$I$7+(((A117)+1)/2)*(Inputs!$J$7-Inputs!$I$7)))/Inputs!$K$7)^2),NA())</f>
        <v>35.643860000000004</v>
      </c>
      <c r="D117" s="9">
        <f>IF(OR(Inputs!$F$8=TRUE,Inputs!$F$8="TRUE",Inputs!$F$8=1),(Inputs!$H$8+Inputs!$L$8*(((Inputs!$I$8+(((A117)+1)/2)*(Inputs!$J$8-Inputs!$I$8)))/Inputs!$K$8)^2),NA())</f>
        <v>36.702260000000003</v>
      </c>
      <c r="E117" s="9">
        <f>IF(OR(Inputs!$F$9=TRUE,Inputs!$F$9="TRUE",Inputs!$F$9=1),(Inputs!$H$9+Inputs!$L$9*(((Inputs!$I$9+(((A117)+1)/2)*(Inputs!$J$9-Inputs!$I$9)))/Inputs!$K$9)^2),NA())</f>
        <v>26.719900000000003</v>
      </c>
      <c r="F117" s="10"/>
      <c r="G117" s="9">
        <f t="shared" si="6"/>
        <v>-4.2000000000000003E-2</v>
      </c>
      <c r="H117" s="9">
        <f>IF(OR(Inputs!$F$6=TRUE,Inputs!$F$6="TRUE",Inputs!$F$6=1),(((SQRT(((Inputs!$I$6+(((A117)+1)/2)*(Inputs!$J$6-Inputs!$I$6)))^2+Inputs!$C$6^2+((Inputs!$H$6+Inputs!$L$6*(((Inputs!$I$6+(((A117)+1)/2)*(Inputs!$J$6-Inputs!$I$6)))/Inputs!$K$6)^2))^2))-((Inputs!$H$6+Inputs!$L$6*(((Inputs!$I$6+(((A117)+1)/2)*(Inputs!$J$6-Inputs!$I$6)))/Inputs!$K$6)^2)))*1000/Inputs!$C$12),NA())</f>
        <v>442.91973602870905</v>
      </c>
      <c r="I117" s="9">
        <f>IF(OR(Inputs!$F$7=TRUE,Inputs!$F$7="TRUE",Inputs!$F$7=1),(((SQRT(((Inputs!$I$7+(((A117)+1)/2)*(Inputs!$J$7-Inputs!$I$7)))^2+Inputs!$C$6^2+((Inputs!$H$7+Inputs!$L$7*(((Inputs!$I$7+(((A117)+1)/2)*(Inputs!$J$7-Inputs!$I$7)))/Inputs!$K$7)^2))^2))-((Inputs!$H$7+Inputs!$L$7*(((Inputs!$I$7+(((A117)+1)/2)*(Inputs!$J$7-Inputs!$I$7)))/Inputs!$K$7)^2)))*1000/Inputs!$C$12),NA())</f>
        <v>6192.268859277553</v>
      </c>
      <c r="J117" s="9">
        <f>IF(OR(Inputs!$F$8=TRUE,Inputs!$F$8="TRUE",Inputs!$F$8=1),(((SQRT(((Inputs!$I$8+(((A117)+1)/2)*(Inputs!$J$8-Inputs!$I$8)))^2+Inputs!$C$6^2+((Inputs!$H$8+Inputs!$L$8*(((Inputs!$I$8+(((A117)+1)/2)*(Inputs!$J$8-Inputs!$I$8)))/Inputs!$K$8)^2))^2))-((Inputs!$H$8+Inputs!$L$8*(((Inputs!$I$8+(((A117)+1)/2)*(Inputs!$J$8-Inputs!$I$8)))/Inputs!$K$8)^2)))*1000/Inputs!$C$12),NA())</f>
        <v>10665.452716017111</v>
      </c>
      <c r="K117" s="9">
        <f>IF(OR(Inputs!$F$9=TRUE,Inputs!$F$9="TRUE",Inputs!$F$9=1),(((SQRT(((Inputs!$I$9+(((A117)+1)/2)*(Inputs!$J$9-Inputs!$I$9)))^2+Inputs!$C$6^2+((Inputs!$H$9+Inputs!$L$9*(((Inputs!$I$9+(((A117)+1)/2)*(Inputs!$J$9-Inputs!$I$9)))/Inputs!$K$9)^2))^2))-((Inputs!$H$9+Inputs!$L$9*(((Inputs!$I$9+(((A117)+1)/2)*(Inputs!$J$9-Inputs!$I$9)))/Inputs!$K$9)^2)))*1000/Inputs!$C$12),NA())</f>
        <v>12897.861981730344</v>
      </c>
      <c r="L117" s="10"/>
      <c r="M117" s="9">
        <f t="shared" si="7"/>
        <v>-4.2000000000000003E-2</v>
      </c>
      <c r="N117" s="9">
        <f>IF(OR(Inputs!$F$6=TRUE,Inputs!$F$6="TRUE",Inputs!$F$6=1),(-2*((1000*((((Inputs!$I$6+(((A117)+1)/2)*(Inputs!$J$6-Inputs!$I$6)))*Inputs!$C$11+((Inputs!$H$6+Inputs!$L$6*(((Inputs!$I$6+(((A117)+1)/2)*(Inputs!$J$6-Inputs!$I$6)))/Inputs!$K$6)^2))*((2*Inputs!$L$6*((Inputs!$I$6+(((A117)+1)/2)*(Inputs!$J$6-Inputs!$I$6)))/(Inputs!$K$6^2)*Inputs!$C$11)))/(SQRT(((Inputs!$I$6+(((A117)+1)/2)*(Inputs!$J$6-Inputs!$I$6)))^2+Inputs!$C$6^2+((Inputs!$H$6+Inputs!$L$6*(((Inputs!$I$6+(((A117)+1)/2)*(Inputs!$J$6-Inputs!$I$6)))/Inputs!$K$6)^2))^2)))))/Inputs!$C$13),NA())</f>
        <v>19.002369319013233</v>
      </c>
      <c r="O117" s="9">
        <f>IF(OR(Inputs!$F$7=TRUE,Inputs!$F$7="TRUE",Inputs!$F$7=1),(-2*((1000*((((Inputs!$I$7+(((A117)+1)/2)*(Inputs!$J$7-Inputs!$I$7)))*Inputs!$C$11+((Inputs!$H$7+Inputs!$L$7*(((Inputs!$I$7+(((A117)+1)/2)*(Inputs!$J$7-Inputs!$I$7)))/Inputs!$K$7)^2))*((2*Inputs!$L$7*((Inputs!$I$7+(((A117)+1)/2)*(Inputs!$J$7-Inputs!$I$7)))/(Inputs!$K$7^2)*Inputs!$C$11)))/(SQRT(((Inputs!$I$7+(((A117)+1)/2)*(Inputs!$J$7-Inputs!$I$7)))^2+Inputs!$C$6^2+((Inputs!$H$7+Inputs!$L$7*(((Inputs!$I$7+(((A117)+1)/2)*(Inputs!$J$7-Inputs!$I$7)))/Inputs!$K$7)^2))^2)))))/Inputs!$C$13),NA())</f>
        <v>669.68021643908878</v>
      </c>
      <c r="P117" s="9">
        <f>IF(OR(Inputs!$F$8=TRUE,Inputs!$F$8="TRUE",Inputs!$F$8=1),(-2*((1000*((((Inputs!$I$8+(((A117)+1)/2)*(Inputs!$J$8-Inputs!$I$8)))*Inputs!$C$11+((Inputs!$H$8+Inputs!$L$8*(((Inputs!$I$8+(((A117)+1)/2)*(Inputs!$J$8-Inputs!$I$8)))/Inputs!$K$8)^2))*((2*Inputs!$L$8*((Inputs!$I$8+(((A117)+1)/2)*(Inputs!$J$8-Inputs!$I$8)))/(Inputs!$K$8^2)*Inputs!$C$11)))/(SQRT(((Inputs!$I$8+(((A117)+1)/2)*(Inputs!$J$8-Inputs!$I$8)))^2+Inputs!$C$6^2+((Inputs!$H$8+Inputs!$L$8*(((Inputs!$I$8+(((A117)+1)/2)*(Inputs!$J$8-Inputs!$I$8)))/Inputs!$K$8)^2))^2)))))/Inputs!$C$13),NA())</f>
        <v>1072.250641537458</v>
      </c>
      <c r="Q117" s="9">
        <f>IF(OR(Inputs!$F$9=TRUE,Inputs!$F$9="TRUE",Inputs!$F$9=1),(-2*((1000*((((Inputs!$I$9+(((A117)+1)/2)*(Inputs!$J$9-Inputs!$I$9)))*Inputs!$C$11+((Inputs!$H$9+Inputs!$L$9*(((Inputs!$I$9+(((A117)+1)/2)*(Inputs!$J$9-Inputs!$I$9)))/Inputs!$K$9)^2))*((2*Inputs!$L$9*((Inputs!$I$9+(((A117)+1)/2)*(Inputs!$J$9-Inputs!$I$9)))/(Inputs!$K$9^2)*Inputs!$C$11)))/(SQRT(((Inputs!$I$9+(((A117)+1)/2)*(Inputs!$J$9-Inputs!$I$9)))^2+Inputs!$C$6^2+((Inputs!$H$9+Inputs!$L$9*(((Inputs!$I$9+(((A117)+1)/2)*(Inputs!$J$9-Inputs!$I$9)))/Inputs!$K$9)^2))^2)))))/Inputs!$C$13),NA())</f>
        <v>1170.2687151556261</v>
      </c>
      <c r="R117" s="10"/>
      <c r="S117" s="9">
        <f t="shared" si="8"/>
        <v>-4.2000000000000003E-2</v>
      </c>
      <c r="T117" s="9">
        <f>(Inputs!$I$6+(((A117)+1)/2)*(Inputs!$J$6-Inputs!$I$6))</f>
        <v>-2.5200000000000031</v>
      </c>
      <c r="U117" s="9">
        <f>(Inputs!$I$7+(((A117)+1)/2)*(Inputs!$J$7-Inputs!$I$7))</f>
        <v>-16.800000000000011</v>
      </c>
      <c r="V117" s="9">
        <f>(Inputs!$I$8+(((A117)+1)/2)*(Inputs!$J$8-Inputs!$I$8))</f>
        <v>-33.600000000000023</v>
      </c>
      <c r="W117" s="9">
        <f>(Inputs!$I$9+(((A117)+1)/2)*(Inputs!$J$9-Inputs!$I$9))</f>
        <v>-33.600000000000023</v>
      </c>
      <c r="X117" s="10"/>
      <c r="Y117" s="9">
        <f t="shared" si="9"/>
        <v>-4.2000000000000003E-2</v>
      </c>
      <c r="Z117" s="9">
        <f>(Inputs!$H$6+Inputs!$L$6*(((Inputs!$I$6+(((A117)+1)/2)*(Inputs!$J$6-Inputs!$I$6)))/Inputs!$K$6)^2)</f>
        <v>400.00705599999998</v>
      </c>
      <c r="AA117" s="9">
        <f>(Inputs!$H$7+Inputs!$L$7*(((Inputs!$I$7+(((A117)+1)/2)*(Inputs!$J$7-Inputs!$I$7)))/Inputs!$K$7)^2)</f>
        <v>35.643860000000004</v>
      </c>
      <c r="AB117" s="9">
        <f>(Inputs!$H$8+Inputs!$L$8*(((Inputs!$I$8+(((A117)+1)/2)*(Inputs!$J$8-Inputs!$I$8)))/Inputs!$K$8)^2)</f>
        <v>36.702260000000003</v>
      </c>
      <c r="AC117" s="9">
        <f>(Inputs!$H$9+Inputs!$L$9*(((Inputs!$I$9+(((A117)+1)/2)*(Inputs!$J$9-Inputs!$I$9)))/Inputs!$K$9)^2)</f>
        <v>26.719900000000003</v>
      </c>
      <c r="AD117" s="10"/>
      <c r="AE117" s="9">
        <f t="shared" si="10"/>
        <v>-4.2000000000000003E-2</v>
      </c>
      <c r="AF117" s="9">
        <f>(((SQRT(((Inputs!$I$6+(((A117)+1)/2)*(Inputs!$J$6-Inputs!$I$6)))^2+Inputs!$C$6^2+((Inputs!$H$6+Inputs!$L$6*(((Inputs!$I$6+(((A117)+1)/2)*(Inputs!$J$6-Inputs!$I$6)))/Inputs!$K$6)^2))^2))-((Inputs!$H$6+Inputs!$L$6*(((Inputs!$I$6+(((A117)+1)/2)*(Inputs!$J$6-Inputs!$I$6)))/Inputs!$K$6)^2)))*1000/Inputs!$C$12)</f>
        <v>442.91973602870905</v>
      </c>
      <c r="AG117" s="9">
        <f>(((SQRT(((Inputs!$I$7+(((A117)+1)/2)*(Inputs!$J$7-Inputs!$I$7)))^2+Inputs!$C$6^2+((Inputs!$H$7+Inputs!$L$7*(((Inputs!$I$7+(((A117)+1)/2)*(Inputs!$J$7-Inputs!$I$7)))/Inputs!$K$7)^2))^2))-((Inputs!$H$7+Inputs!$L$7*(((Inputs!$I$7+(((A117)+1)/2)*(Inputs!$J$7-Inputs!$I$7)))/Inputs!$K$7)^2)))*1000/Inputs!$C$12)</f>
        <v>6192.268859277553</v>
      </c>
      <c r="AH117" s="9">
        <f>(((SQRT(((Inputs!$I$8+(((A117)+1)/2)*(Inputs!$J$8-Inputs!$I$8)))^2+Inputs!$C$6^2+((Inputs!$H$8+Inputs!$L$8*(((Inputs!$I$8+(((A117)+1)/2)*(Inputs!$J$8-Inputs!$I$8)))/Inputs!$K$8)^2))^2))-((Inputs!$H$8+Inputs!$L$8*(((Inputs!$I$8+(((A117)+1)/2)*(Inputs!$J$8-Inputs!$I$8)))/Inputs!$K$8)^2)))*1000/Inputs!$C$12)</f>
        <v>10665.452716017111</v>
      </c>
      <c r="AI117" s="9">
        <f>(((SQRT(((Inputs!$I$9+(((A117)+1)/2)*(Inputs!$J$9-Inputs!$I$9)))^2+Inputs!$C$6^2+((Inputs!$H$9+Inputs!$L$9*(((Inputs!$I$9+(((A117)+1)/2)*(Inputs!$J$9-Inputs!$I$9)))/Inputs!$K$9)^2))^2))-((Inputs!$H$9+Inputs!$L$9*(((Inputs!$I$9+(((A117)+1)/2)*(Inputs!$J$9-Inputs!$I$9)))/Inputs!$K$9)^2)))*1000/Inputs!$C$12)</f>
        <v>12897.861981730344</v>
      </c>
      <c r="AJ117" s="10"/>
      <c r="AK117" s="9">
        <f t="shared" si="11"/>
        <v>-4.2000000000000003E-2</v>
      </c>
      <c r="AL117" s="9">
        <f>(-2*((1000*((((Inputs!$I$6+(((A117)+1)/2)*(Inputs!$J$6-Inputs!$I$6)))*Inputs!$C$11+((Inputs!$H$6+Inputs!$L$6*(((Inputs!$I$6+(((A117)+1)/2)*(Inputs!$J$6-Inputs!$I$6)))/Inputs!$K$6)^2))*((2*Inputs!$L$6*((Inputs!$I$6+(((A117)+1)/2)*(Inputs!$J$6-Inputs!$I$6)))/(Inputs!$K$6^2)*Inputs!$C$11)))/(SQRT(((Inputs!$I$6+(((A117)+1)/2)*(Inputs!$J$6-Inputs!$I$6)))^2+Inputs!$C$6^2+((Inputs!$H$6+Inputs!$L$6*(((Inputs!$I$6+(((A117)+1)/2)*(Inputs!$J$6-Inputs!$I$6)))/Inputs!$K$6)^2))^2)))))/Inputs!$C$13)</f>
        <v>19.002369319013233</v>
      </c>
      <c r="AM117" s="9">
        <f>(-2*((1000*((((Inputs!$I$7+(((A117)+1)/2)*(Inputs!$J$7-Inputs!$I$7)))*Inputs!$C$11+((Inputs!$H$7+Inputs!$L$7*(((Inputs!$I$7+(((A117)+1)/2)*(Inputs!$J$7-Inputs!$I$7)))/Inputs!$K$7)^2))*((2*Inputs!$L$7*((Inputs!$I$7+(((A117)+1)/2)*(Inputs!$J$7-Inputs!$I$7)))/(Inputs!$K$7^2)*Inputs!$C$11)))/(SQRT(((Inputs!$I$7+(((A117)+1)/2)*(Inputs!$J$7-Inputs!$I$7)))^2+Inputs!$C$6^2+((Inputs!$H$7+Inputs!$L$7*(((Inputs!$I$7+(((A117)+1)/2)*(Inputs!$J$7-Inputs!$I$7)))/Inputs!$K$7)^2))^2)))))/Inputs!$C$13)</f>
        <v>669.68021643908878</v>
      </c>
      <c r="AN117" s="9">
        <f>(-2*((1000*((((Inputs!$I$8+(((A117)+1)/2)*(Inputs!$J$8-Inputs!$I$8)))*Inputs!$C$11+((Inputs!$H$8+Inputs!$L$8*(((Inputs!$I$8+(((A117)+1)/2)*(Inputs!$J$8-Inputs!$I$8)))/Inputs!$K$8)^2))*((2*Inputs!$L$8*((Inputs!$I$8+(((A117)+1)/2)*(Inputs!$J$8-Inputs!$I$8)))/(Inputs!$K$8^2)*Inputs!$C$11)))/(SQRT(((Inputs!$I$8+(((A117)+1)/2)*(Inputs!$J$8-Inputs!$I$8)))^2+Inputs!$C$6^2+((Inputs!$H$8+Inputs!$L$8*(((Inputs!$I$8+(((A117)+1)/2)*(Inputs!$J$8-Inputs!$I$8)))/Inputs!$K$8)^2))^2)))))/Inputs!$C$13)</f>
        <v>1072.250641537458</v>
      </c>
      <c r="AO117" s="9">
        <f>(-2*((1000*((((Inputs!$I$9+(((A117)+1)/2)*(Inputs!$J$9-Inputs!$I$9)))*Inputs!$C$11+((Inputs!$H$9+Inputs!$L$9*(((Inputs!$I$9+(((A117)+1)/2)*(Inputs!$J$9-Inputs!$I$9)))/Inputs!$K$9)^2))*((2*Inputs!$L$9*((Inputs!$I$9+(((A117)+1)/2)*(Inputs!$J$9-Inputs!$I$9)))/(Inputs!$K$9^2)*Inputs!$C$11)))/(SQRT(((Inputs!$I$9+(((A117)+1)/2)*(Inputs!$J$9-Inputs!$I$9)))^2+Inputs!$C$6^2+((Inputs!$H$9+Inputs!$L$9*(((Inputs!$I$9+(((A117)+1)/2)*(Inputs!$J$9-Inputs!$I$9)))/Inputs!$K$9)^2))^2)))))/Inputs!$C$13)</f>
        <v>1170.2687151556261</v>
      </c>
    </row>
    <row r="118" spans="1:41">
      <c r="A118" s="9">
        <f>ROUND(-1+116*2/240,3)</f>
        <v>-3.3000000000000002E-2</v>
      </c>
      <c r="B118" s="9">
        <f>IF(OR(Inputs!$F$6=TRUE,Inputs!$F$6="TRUE",Inputs!$F$6=1),(Inputs!$H$6+Inputs!$L$6*(((Inputs!$I$6+(((A118)+1)/2)*(Inputs!$J$6-Inputs!$I$6)))/Inputs!$K$6)^2),NA())</f>
        <v>400.00435599999997</v>
      </c>
      <c r="C118" s="9">
        <f>IF(OR(Inputs!$F$7=TRUE,Inputs!$F$7="TRUE",Inputs!$F$7=1),(Inputs!$H$7+Inputs!$L$7*(((Inputs!$I$7+(((A118)+1)/2)*(Inputs!$J$7-Inputs!$I$7)))/Inputs!$K$7)^2),NA())</f>
        <v>35.397484999999996</v>
      </c>
      <c r="D118" s="9">
        <f>IF(OR(Inputs!$F$8=TRUE,Inputs!$F$8="TRUE",Inputs!$F$8=1),(Inputs!$H$8+Inputs!$L$8*(((Inputs!$I$8+(((A118)+1)/2)*(Inputs!$J$8-Inputs!$I$8)))/Inputs!$K$8)^2),NA())</f>
        <v>36.050885000000001</v>
      </c>
      <c r="E118" s="9">
        <f>IF(OR(Inputs!$F$9=TRUE,Inputs!$F$9="TRUE",Inputs!$F$9=1),(Inputs!$H$9+Inputs!$L$9*(((Inputs!$I$9+(((A118)+1)/2)*(Inputs!$J$9-Inputs!$I$9)))/Inputs!$K$9)^2),NA())</f>
        <v>26.061774999999997</v>
      </c>
      <c r="F118" s="10"/>
      <c r="G118" s="9">
        <f t="shared" si="6"/>
        <v>-3.3000000000000002E-2</v>
      </c>
      <c r="H118" s="9">
        <f>IF(OR(Inputs!$F$6=TRUE,Inputs!$F$6="TRUE",Inputs!$F$6=1),(((SQRT(((Inputs!$I$6+(((A118)+1)/2)*(Inputs!$J$6-Inputs!$I$6)))^2+Inputs!$C$6^2+((Inputs!$H$6+Inputs!$L$6*(((Inputs!$I$6+(((A118)+1)/2)*(Inputs!$J$6-Inputs!$I$6)))/Inputs!$K$6)^2))^2))-((Inputs!$H$6+Inputs!$L$6*(((Inputs!$I$6+(((A118)+1)/2)*(Inputs!$J$6-Inputs!$I$6)))/Inputs!$K$6)^2)))*1000/Inputs!$C$12),NA())</f>
        <v>441.21962804653646</v>
      </c>
      <c r="I118" s="9">
        <f>IF(OR(Inputs!$F$7=TRUE,Inputs!$F$7="TRUE",Inputs!$F$7=1),(((SQRT(((Inputs!$I$7+(((A118)+1)/2)*(Inputs!$J$7-Inputs!$I$7)))^2+Inputs!$C$6^2+((Inputs!$H$7+Inputs!$L$7*(((Inputs!$I$7+(((A118)+1)/2)*(Inputs!$J$7-Inputs!$I$7)))/Inputs!$K$7)^2))^2))-((Inputs!$H$7+Inputs!$L$7*(((Inputs!$I$7+(((A118)+1)/2)*(Inputs!$J$7-Inputs!$I$7)))/Inputs!$K$7)^2)))*1000/Inputs!$C$12),NA())</f>
        <v>5564.0288290570297</v>
      </c>
      <c r="J118" s="9">
        <f>IF(OR(Inputs!$F$8=TRUE,Inputs!$F$8="TRUE",Inputs!$F$8=1),(((SQRT(((Inputs!$I$8+(((A118)+1)/2)*(Inputs!$J$8-Inputs!$I$8)))^2+Inputs!$C$6^2+((Inputs!$H$8+Inputs!$L$8*(((Inputs!$I$8+(((A118)+1)/2)*(Inputs!$J$8-Inputs!$I$8)))/Inputs!$K$8)^2))^2))-((Inputs!$H$8+Inputs!$L$8*(((Inputs!$I$8+(((A118)+1)/2)*(Inputs!$J$8-Inputs!$I$8)))/Inputs!$K$8)^2)))*1000/Inputs!$C$12),NA())</f>
        <v>8511.7608956560944</v>
      </c>
      <c r="K118" s="9">
        <f>IF(OR(Inputs!$F$9=TRUE,Inputs!$F$9="TRUE",Inputs!$F$9=1),(((SQRT(((Inputs!$I$9+(((A118)+1)/2)*(Inputs!$J$9-Inputs!$I$9)))^2+Inputs!$C$6^2+((Inputs!$H$9+Inputs!$L$9*(((Inputs!$I$9+(((A118)+1)/2)*(Inputs!$J$9-Inputs!$I$9)))/Inputs!$K$9)^2))^2))-((Inputs!$H$9+Inputs!$L$9*(((Inputs!$I$9+(((A118)+1)/2)*(Inputs!$J$9-Inputs!$I$9)))/Inputs!$K$9)^2)))*1000/Inputs!$C$12),NA())</f>
        <v>10490.298874003152</v>
      </c>
      <c r="L118" s="10"/>
      <c r="M118" s="9">
        <f t="shared" si="7"/>
        <v>-3.3000000000000002E-2</v>
      </c>
      <c r="N118" s="9">
        <f>IF(OR(Inputs!$F$6=TRUE,Inputs!$F$6="TRUE",Inputs!$F$6=1),(-2*((1000*((((Inputs!$I$6+(((A118)+1)/2)*(Inputs!$J$6-Inputs!$I$6)))*Inputs!$C$11+((Inputs!$H$6+Inputs!$L$6*(((Inputs!$I$6+(((A118)+1)/2)*(Inputs!$J$6-Inputs!$I$6)))/Inputs!$K$6)^2))*((2*Inputs!$L$6*((Inputs!$I$6+(((A118)+1)/2)*(Inputs!$J$6-Inputs!$I$6)))/(Inputs!$K$6^2)*Inputs!$C$11)))/(SQRT(((Inputs!$I$6+(((A118)+1)/2)*(Inputs!$J$6-Inputs!$I$6)))^2+Inputs!$C$6^2+((Inputs!$H$6+Inputs!$L$6*(((Inputs!$I$6+(((A118)+1)/2)*(Inputs!$J$6-Inputs!$I$6)))/Inputs!$K$6)^2))^2)))))/Inputs!$C$13),NA())</f>
        <v>14.930598925173706</v>
      </c>
      <c r="O118" s="9">
        <f>IF(OR(Inputs!$F$7=TRUE,Inputs!$F$7="TRUE",Inputs!$F$7=1),(-2*((1000*((((Inputs!$I$7+(((A118)+1)/2)*(Inputs!$J$7-Inputs!$I$7)))*Inputs!$C$11+((Inputs!$H$7+Inputs!$L$7*(((Inputs!$I$7+(((A118)+1)/2)*(Inputs!$J$7-Inputs!$I$7)))/Inputs!$K$7)^2))*((2*Inputs!$L$7*((Inputs!$I$7+(((A118)+1)/2)*(Inputs!$J$7-Inputs!$I$7)))/(Inputs!$K$7^2)*Inputs!$C$11)))/(SQRT(((Inputs!$I$7+(((A118)+1)/2)*(Inputs!$J$7-Inputs!$I$7)))^2+Inputs!$C$6^2+((Inputs!$H$7+Inputs!$L$7*(((Inputs!$I$7+(((A118)+1)/2)*(Inputs!$J$7-Inputs!$I$7)))/Inputs!$K$7)^2))^2)))))/Inputs!$C$13),NA())</f>
        <v>541.50359943476519</v>
      </c>
      <c r="P118" s="9">
        <f>IF(OR(Inputs!$F$8=TRUE,Inputs!$F$8="TRUE",Inputs!$F$8=1),(-2*((1000*((((Inputs!$I$8+(((A118)+1)/2)*(Inputs!$J$8-Inputs!$I$8)))*Inputs!$C$11+((Inputs!$H$8+Inputs!$L$8*(((Inputs!$I$8+(((A118)+1)/2)*(Inputs!$J$8-Inputs!$I$8)))/Inputs!$K$8)^2))*((2*Inputs!$L$8*((Inputs!$I$8+(((A118)+1)/2)*(Inputs!$J$8-Inputs!$I$8)))/(Inputs!$K$8^2)*Inputs!$C$11)))/(SQRT(((Inputs!$I$8+(((A118)+1)/2)*(Inputs!$J$8-Inputs!$I$8)))^2+Inputs!$C$6^2+((Inputs!$H$8+Inputs!$L$8*(((Inputs!$I$8+(((A118)+1)/2)*(Inputs!$J$8-Inputs!$I$8)))/Inputs!$K$8)^2))^2)))))/Inputs!$C$13),NA())</f>
        <v>914.65815639635093</v>
      </c>
      <c r="Q118" s="9">
        <f>IF(OR(Inputs!$F$9=TRUE,Inputs!$F$9="TRUE",Inputs!$F$9=1),(-2*((1000*((((Inputs!$I$9+(((A118)+1)/2)*(Inputs!$J$9-Inputs!$I$9)))*Inputs!$C$11+((Inputs!$H$9+Inputs!$L$9*(((Inputs!$I$9+(((A118)+1)/2)*(Inputs!$J$9-Inputs!$I$9)))/Inputs!$K$9)^2))*((2*Inputs!$L$9*((Inputs!$I$9+(((A118)+1)/2)*(Inputs!$J$9-Inputs!$I$9)))/(Inputs!$K$9^2)*Inputs!$C$11)))/(SQRT(((Inputs!$I$9+(((A118)+1)/2)*(Inputs!$J$9-Inputs!$I$9)))^2+Inputs!$C$6^2+((Inputs!$H$9+Inputs!$L$9*(((Inputs!$I$9+(((A118)+1)/2)*(Inputs!$J$9-Inputs!$I$9)))/Inputs!$K$9)^2))^2)))))/Inputs!$C$13),NA())</f>
        <v>1019.2165624370576</v>
      </c>
      <c r="R118" s="10"/>
      <c r="S118" s="9">
        <f t="shared" si="8"/>
        <v>-3.3000000000000002E-2</v>
      </c>
      <c r="T118" s="9">
        <f>(Inputs!$I$6+(((A118)+1)/2)*(Inputs!$J$6-Inputs!$I$6))</f>
        <v>-1.980000000000004</v>
      </c>
      <c r="U118" s="9">
        <f>(Inputs!$I$7+(((A118)+1)/2)*(Inputs!$J$7-Inputs!$I$7))</f>
        <v>-13.199999999999989</v>
      </c>
      <c r="V118" s="9">
        <f>(Inputs!$I$8+(((A118)+1)/2)*(Inputs!$J$8-Inputs!$I$8))</f>
        <v>-26.399999999999977</v>
      </c>
      <c r="W118" s="9">
        <f>(Inputs!$I$9+(((A118)+1)/2)*(Inputs!$J$9-Inputs!$I$9))</f>
        <v>-26.399999999999977</v>
      </c>
      <c r="X118" s="10"/>
      <c r="Y118" s="9">
        <f t="shared" si="9"/>
        <v>-3.3000000000000002E-2</v>
      </c>
      <c r="Z118" s="9">
        <f>(Inputs!$H$6+Inputs!$L$6*(((Inputs!$I$6+(((A118)+1)/2)*(Inputs!$J$6-Inputs!$I$6)))/Inputs!$K$6)^2)</f>
        <v>400.00435599999997</v>
      </c>
      <c r="AA118" s="9">
        <f>(Inputs!$H$7+Inputs!$L$7*(((Inputs!$I$7+(((A118)+1)/2)*(Inputs!$J$7-Inputs!$I$7)))/Inputs!$K$7)^2)</f>
        <v>35.397484999999996</v>
      </c>
      <c r="AB118" s="9">
        <f>(Inputs!$H$8+Inputs!$L$8*(((Inputs!$I$8+(((A118)+1)/2)*(Inputs!$J$8-Inputs!$I$8)))/Inputs!$K$8)^2)</f>
        <v>36.050885000000001</v>
      </c>
      <c r="AC118" s="9">
        <f>(Inputs!$H$9+Inputs!$L$9*(((Inputs!$I$9+(((A118)+1)/2)*(Inputs!$J$9-Inputs!$I$9)))/Inputs!$K$9)^2)</f>
        <v>26.061774999999997</v>
      </c>
      <c r="AD118" s="10"/>
      <c r="AE118" s="9">
        <f t="shared" si="10"/>
        <v>-3.3000000000000002E-2</v>
      </c>
      <c r="AF118" s="9">
        <f>(((SQRT(((Inputs!$I$6+(((A118)+1)/2)*(Inputs!$J$6-Inputs!$I$6)))^2+Inputs!$C$6^2+((Inputs!$H$6+Inputs!$L$6*(((Inputs!$I$6+(((A118)+1)/2)*(Inputs!$J$6-Inputs!$I$6)))/Inputs!$K$6)^2))^2))-((Inputs!$H$6+Inputs!$L$6*(((Inputs!$I$6+(((A118)+1)/2)*(Inputs!$J$6-Inputs!$I$6)))/Inputs!$K$6)^2)))*1000/Inputs!$C$12)</f>
        <v>441.21962804653646</v>
      </c>
      <c r="AG118" s="9">
        <f>(((SQRT(((Inputs!$I$7+(((A118)+1)/2)*(Inputs!$J$7-Inputs!$I$7)))^2+Inputs!$C$6^2+((Inputs!$H$7+Inputs!$L$7*(((Inputs!$I$7+(((A118)+1)/2)*(Inputs!$J$7-Inputs!$I$7)))/Inputs!$K$7)^2))^2))-((Inputs!$H$7+Inputs!$L$7*(((Inputs!$I$7+(((A118)+1)/2)*(Inputs!$J$7-Inputs!$I$7)))/Inputs!$K$7)^2)))*1000/Inputs!$C$12)</f>
        <v>5564.0288290570297</v>
      </c>
      <c r="AH118" s="9">
        <f>(((SQRT(((Inputs!$I$8+(((A118)+1)/2)*(Inputs!$J$8-Inputs!$I$8)))^2+Inputs!$C$6^2+((Inputs!$H$8+Inputs!$L$8*(((Inputs!$I$8+(((A118)+1)/2)*(Inputs!$J$8-Inputs!$I$8)))/Inputs!$K$8)^2))^2))-((Inputs!$H$8+Inputs!$L$8*(((Inputs!$I$8+(((A118)+1)/2)*(Inputs!$J$8-Inputs!$I$8)))/Inputs!$K$8)^2)))*1000/Inputs!$C$12)</f>
        <v>8511.7608956560944</v>
      </c>
      <c r="AI118" s="9">
        <f>(((SQRT(((Inputs!$I$9+(((A118)+1)/2)*(Inputs!$J$9-Inputs!$I$9)))^2+Inputs!$C$6^2+((Inputs!$H$9+Inputs!$L$9*(((Inputs!$I$9+(((A118)+1)/2)*(Inputs!$J$9-Inputs!$I$9)))/Inputs!$K$9)^2))^2))-((Inputs!$H$9+Inputs!$L$9*(((Inputs!$I$9+(((A118)+1)/2)*(Inputs!$J$9-Inputs!$I$9)))/Inputs!$K$9)^2)))*1000/Inputs!$C$12)</f>
        <v>10490.298874003152</v>
      </c>
      <c r="AJ118" s="10"/>
      <c r="AK118" s="9">
        <f t="shared" si="11"/>
        <v>-3.3000000000000002E-2</v>
      </c>
      <c r="AL118" s="9">
        <f>(-2*((1000*((((Inputs!$I$6+(((A118)+1)/2)*(Inputs!$J$6-Inputs!$I$6)))*Inputs!$C$11+((Inputs!$H$6+Inputs!$L$6*(((Inputs!$I$6+(((A118)+1)/2)*(Inputs!$J$6-Inputs!$I$6)))/Inputs!$K$6)^2))*((2*Inputs!$L$6*((Inputs!$I$6+(((A118)+1)/2)*(Inputs!$J$6-Inputs!$I$6)))/(Inputs!$K$6^2)*Inputs!$C$11)))/(SQRT(((Inputs!$I$6+(((A118)+1)/2)*(Inputs!$J$6-Inputs!$I$6)))^2+Inputs!$C$6^2+((Inputs!$H$6+Inputs!$L$6*(((Inputs!$I$6+(((A118)+1)/2)*(Inputs!$J$6-Inputs!$I$6)))/Inputs!$K$6)^2))^2)))))/Inputs!$C$13)</f>
        <v>14.930598925173706</v>
      </c>
      <c r="AM118" s="9">
        <f>(-2*((1000*((((Inputs!$I$7+(((A118)+1)/2)*(Inputs!$J$7-Inputs!$I$7)))*Inputs!$C$11+((Inputs!$H$7+Inputs!$L$7*(((Inputs!$I$7+(((A118)+1)/2)*(Inputs!$J$7-Inputs!$I$7)))/Inputs!$K$7)^2))*((2*Inputs!$L$7*((Inputs!$I$7+(((A118)+1)/2)*(Inputs!$J$7-Inputs!$I$7)))/(Inputs!$K$7^2)*Inputs!$C$11)))/(SQRT(((Inputs!$I$7+(((A118)+1)/2)*(Inputs!$J$7-Inputs!$I$7)))^2+Inputs!$C$6^2+((Inputs!$H$7+Inputs!$L$7*(((Inputs!$I$7+(((A118)+1)/2)*(Inputs!$J$7-Inputs!$I$7)))/Inputs!$K$7)^2))^2)))))/Inputs!$C$13)</f>
        <v>541.50359943476519</v>
      </c>
      <c r="AN118" s="9">
        <f>(-2*((1000*((((Inputs!$I$8+(((A118)+1)/2)*(Inputs!$J$8-Inputs!$I$8)))*Inputs!$C$11+((Inputs!$H$8+Inputs!$L$8*(((Inputs!$I$8+(((A118)+1)/2)*(Inputs!$J$8-Inputs!$I$8)))/Inputs!$K$8)^2))*((2*Inputs!$L$8*((Inputs!$I$8+(((A118)+1)/2)*(Inputs!$J$8-Inputs!$I$8)))/(Inputs!$K$8^2)*Inputs!$C$11)))/(SQRT(((Inputs!$I$8+(((A118)+1)/2)*(Inputs!$J$8-Inputs!$I$8)))^2+Inputs!$C$6^2+((Inputs!$H$8+Inputs!$L$8*(((Inputs!$I$8+(((A118)+1)/2)*(Inputs!$J$8-Inputs!$I$8)))/Inputs!$K$8)^2))^2)))))/Inputs!$C$13)</f>
        <v>914.65815639635093</v>
      </c>
      <c r="AO118" s="9">
        <f>(-2*((1000*((((Inputs!$I$9+(((A118)+1)/2)*(Inputs!$J$9-Inputs!$I$9)))*Inputs!$C$11+((Inputs!$H$9+Inputs!$L$9*(((Inputs!$I$9+(((A118)+1)/2)*(Inputs!$J$9-Inputs!$I$9)))/Inputs!$K$9)^2))*((2*Inputs!$L$9*((Inputs!$I$9+(((A118)+1)/2)*(Inputs!$J$9-Inputs!$I$9)))/(Inputs!$K$9^2)*Inputs!$C$11)))/(SQRT(((Inputs!$I$9+(((A118)+1)/2)*(Inputs!$J$9-Inputs!$I$9)))^2+Inputs!$C$6^2+((Inputs!$H$9+Inputs!$L$9*(((Inputs!$I$9+(((A118)+1)/2)*(Inputs!$J$9-Inputs!$I$9)))/Inputs!$K$9)^2))^2)))))/Inputs!$C$13)</f>
        <v>1019.2165624370576</v>
      </c>
    </row>
    <row r="119" spans="1:41">
      <c r="A119" s="9">
        <f>ROUND(-1+117*2/240,3)</f>
        <v>-2.5000000000000001E-2</v>
      </c>
      <c r="B119" s="9">
        <f>IF(OR(Inputs!$F$6=TRUE,Inputs!$F$6="TRUE",Inputs!$F$6=1),(Inputs!$H$6+Inputs!$L$6*(((Inputs!$I$6+(((A119)+1)/2)*(Inputs!$J$6-Inputs!$I$6)))/Inputs!$K$6)^2),NA())</f>
        <v>400.0025</v>
      </c>
      <c r="C119" s="9">
        <f>IF(OR(Inputs!$F$7=TRUE,Inputs!$F$7="TRUE",Inputs!$F$7=1),(Inputs!$H$7+Inputs!$L$7*(((Inputs!$I$7+(((A119)+1)/2)*(Inputs!$J$7-Inputs!$I$7)))/Inputs!$K$7)^2),NA())</f>
        <v>35.228124999999999</v>
      </c>
      <c r="D119" s="9">
        <f>IF(OR(Inputs!$F$8=TRUE,Inputs!$F$8="TRUE",Inputs!$F$8=1),(Inputs!$H$8+Inputs!$L$8*(((Inputs!$I$8+(((A119)+1)/2)*(Inputs!$J$8-Inputs!$I$8)))/Inputs!$K$8)^2),NA())</f>
        <v>35.603124999999999</v>
      </c>
      <c r="E119" s="9">
        <f>IF(OR(Inputs!$F$9=TRUE,Inputs!$F$9="TRUE",Inputs!$F$9=1),(Inputs!$H$9+Inputs!$L$9*(((Inputs!$I$9+(((A119)+1)/2)*(Inputs!$J$9-Inputs!$I$9)))/Inputs!$K$9)^2),NA())</f>
        <v>25.609375</v>
      </c>
      <c r="F119" s="10"/>
      <c r="G119" s="9">
        <f t="shared" si="6"/>
        <v>-2.5000000000000001E-2</v>
      </c>
      <c r="H119" s="9">
        <f>IF(OR(Inputs!$F$6=TRUE,Inputs!$F$6="TRUE",Inputs!$F$6=1),(((SQRT(((Inputs!$I$6+(((A119)+1)/2)*(Inputs!$J$6-Inputs!$I$6)))^2+Inputs!$C$6^2+((Inputs!$H$6+Inputs!$L$6*(((Inputs!$I$6+(((A119)+1)/2)*(Inputs!$J$6-Inputs!$I$6)))/Inputs!$K$6)^2))^2))-((Inputs!$H$6+Inputs!$L$6*(((Inputs!$I$6+(((A119)+1)/2)*(Inputs!$J$6-Inputs!$I$6)))/Inputs!$K$6)^2)))*1000/Inputs!$C$12),NA())</f>
        <v>440.05094049615832</v>
      </c>
      <c r="I119" s="9">
        <f>IF(OR(Inputs!$F$7=TRUE,Inputs!$F$7="TRUE",Inputs!$F$7=1),(((SQRT(((Inputs!$I$7+(((A119)+1)/2)*(Inputs!$J$7-Inputs!$I$7)))^2+Inputs!$C$6^2+((Inputs!$H$7+Inputs!$L$7*(((Inputs!$I$7+(((A119)+1)/2)*(Inputs!$J$7-Inputs!$I$7)))/Inputs!$K$7)^2))^2))-((Inputs!$H$7+Inputs!$L$7*(((Inputs!$I$7+(((A119)+1)/2)*(Inputs!$J$7-Inputs!$I$7)))/Inputs!$K$7)^2)))*1000/Inputs!$C$12),NA())</f>
        <v>5118.9370821216689</v>
      </c>
      <c r="J119" s="9">
        <f>IF(OR(Inputs!$F$8=TRUE,Inputs!$F$8="TRUE",Inputs!$F$8=1),(((SQRT(((Inputs!$I$8+(((A119)+1)/2)*(Inputs!$J$8-Inputs!$I$8)))^2+Inputs!$C$6^2+((Inputs!$H$8+Inputs!$L$8*(((Inputs!$I$8+(((A119)+1)/2)*(Inputs!$J$8-Inputs!$I$8)))/Inputs!$K$8)^2))^2))-((Inputs!$H$8+Inputs!$L$8*(((Inputs!$I$8+(((A119)+1)/2)*(Inputs!$J$8-Inputs!$I$8)))/Inputs!$K$8)^2)))*1000/Inputs!$C$12),NA())</f>
        <v>6897.6376974683835</v>
      </c>
      <c r="K119" s="9">
        <f>IF(OR(Inputs!$F$9=TRUE,Inputs!$F$9="TRUE",Inputs!$F$9=1),(((SQRT(((Inputs!$I$9+(((A119)+1)/2)*(Inputs!$J$9-Inputs!$I$9)))^2+Inputs!$C$6^2+((Inputs!$H$9+Inputs!$L$9*(((Inputs!$I$9+(((A119)+1)/2)*(Inputs!$J$9-Inputs!$I$9)))/Inputs!$K$9)^2))^2))-((Inputs!$H$9+Inputs!$L$9*(((Inputs!$I$9+(((A119)+1)/2)*(Inputs!$J$9-Inputs!$I$9)))/Inputs!$K$9)^2)))*1000/Inputs!$C$12),NA())</f>
        <v>8645.3229246873689</v>
      </c>
      <c r="L119" s="10"/>
      <c r="M119" s="9">
        <f t="shared" si="7"/>
        <v>-2.5000000000000001E-2</v>
      </c>
      <c r="N119" s="9">
        <f>IF(OR(Inputs!$F$6=TRUE,Inputs!$F$6="TRUE",Inputs!$F$6=1),(-2*((1000*((((Inputs!$I$6+(((A119)+1)/2)*(Inputs!$J$6-Inputs!$I$6)))*Inputs!$C$11+((Inputs!$H$6+Inputs!$L$6*(((Inputs!$I$6+(((A119)+1)/2)*(Inputs!$J$6-Inputs!$I$6)))/Inputs!$K$6)^2))*((2*Inputs!$L$6*((Inputs!$I$6+(((A119)+1)/2)*(Inputs!$J$6-Inputs!$I$6)))/(Inputs!$K$6^2)*Inputs!$C$11)))/(SQRT(((Inputs!$I$6+(((A119)+1)/2)*(Inputs!$J$6-Inputs!$I$6)))^2+Inputs!$C$6^2+((Inputs!$H$6+Inputs!$L$6*(((Inputs!$I$6+(((A119)+1)/2)*(Inputs!$J$6-Inputs!$I$6)))/Inputs!$K$6)^2))^2)))))/Inputs!$C$13),NA())</f>
        <v>11.311146183705798</v>
      </c>
      <c r="O119" s="9">
        <f>IF(OR(Inputs!$F$7=TRUE,Inputs!$F$7="TRUE",Inputs!$F$7=1),(-2*((1000*((((Inputs!$I$7+(((A119)+1)/2)*(Inputs!$J$7-Inputs!$I$7)))*Inputs!$C$11+((Inputs!$H$7+Inputs!$L$7*(((Inputs!$I$7+(((A119)+1)/2)*(Inputs!$J$7-Inputs!$I$7)))/Inputs!$K$7)^2))*((2*Inputs!$L$7*((Inputs!$I$7+(((A119)+1)/2)*(Inputs!$J$7-Inputs!$I$7)))/(Inputs!$K$7^2)*Inputs!$C$11)))/(SQRT(((Inputs!$I$7+(((A119)+1)/2)*(Inputs!$J$7-Inputs!$I$7)))^2+Inputs!$C$6^2+((Inputs!$H$7+Inputs!$L$7*(((Inputs!$I$7+(((A119)+1)/2)*(Inputs!$J$7-Inputs!$I$7)))/Inputs!$K$7)^2))^2)))))/Inputs!$C$13),NA())</f>
        <v>418.84806202163537</v>
      </c>
      <c r="P119" s="9">
        <f>IF(OR(Inputs!$F$8=TRUE,Inputs!$F$8="TRUE",Inputs!$F$8=1),(-2*((1000*((((Inputs!$I$8+(((A119)+1)/2)*(Inputs!$J$8-Inputs!$I$8)))*Inputs!$C$11+((Inputs!$H$8+Inputs!$L$8*(((Inputs!$I$8+(((A119)+1)/2)*(Inputs!$J$8-Inputs!$I$8)))/Inputs!$K$8)^2))*((2*Inputs!$L$8*((Inputs!$I$8+(((A119)+1)/2)*(Inputs!$J$8-Inputs!$I$8)))/(Inputs!$K$8^2)*Inputs!$C$11)))/(SQRT(((Inputs!$I$8+(((A119)+1)/2)*(Inputs!$J$8-Inputs!$I$8)))^2+Inputs!$C$6^2+((Inputs!$H$8+Inputs!$L$8*(((Inputs!$I$8+(((A119)+1)/2)*(Inputs!$J$8-Inputs!$I$8)))/Inputs!$K$8)^2))^2)))))/Inputs!$C$13),NA())</f>
        <v>740.07979561350419</v>
      </c>
      <c r="Q119" s="9">
        <f>IF(OR(Inputs!$F$9=TRUE,Inputs!$F$9="TRUE",Inputs!$F$9=1),(-2*((1000*((((Inputs!$I$9+(((A119)+1)/2)*(Inputs!$J$9-Inputs!$I$9)))*Inputs!$C$11+((Inputs!$H$9+Inputs!$L$9*(((Inputs!$I$9+(((A119)+1)/2)*(Inputs!$J$9-Inputs!$I$9)))/Inputs!$K$9)^2))*((2*Inputs!$L$9*((Inputs!$I$9+(((A119)+1)/2)*(Inputs!$J$9-Inputs!$I$9)))/(Inputs!$K$9^2)*Inputs!$C$11)))/(SQRT(((Inputs!$I$9+(((A119)+1)/2)*(Inputs!$J$9-Inputs!$I$9)))^2+Inputs!$C$6^2+((Inputs!$H$9+Inputs!$L$9*(((Inputs!$I$9+(((A119)+1)/2)*(Inputs!$J$9-Inputs!$I$9)))/Inputs!$K$9)^2))^2)))))/Inputs!$C$13),NA())</f>
        <v>841.42817099312265</v>
      </c>
      <c r="R119" s="10"/>
      <c r="S119" s="9">
        <f t="shared" si="8"/>
        <v>-2.5000000000000001E-2</v>
      </c>
      <c r="T119" s="9">
        <f>(Inputs!$I$6+(((A119)+1)/2)*(Inputs!$J$6-Inputs!$I$6))</f>
        <v>-1.5</v>
      </c>
      <c r="U119" s="9">
        <f>(Inputs!$I$7+(((A119)+1)/2)*(Inputs!$J$7-Inputs!$I$7))</f>
        <v>-10</v>
      </c>
      <c r="V119" s="9">
        <f>(Inputs!$I$8+(((A119)+1)/2)*(Inputs!$J$8-Inputs!$I$8))</f>
        <v>-20</v>
      </c>
      <c r="W119" s="9">
        <f>(Inputs!$I$9+(((A119)+1)/2)*(Inputs!$J$9-Inputs!$I$9))</f>
        <v>-20</v>
      </c>
      <c r="X119" s="10"/>
      <c r="Y119" s="9">
        <f t="shared" si="9"/>
        <v>-2.5000000000000001E-2</v>
      </c>
      <c r="Z119" s="9">
        <f>(Inputs!$H$6+Inputs!$L$6*(((Inputs!$I$6+(((A119)+1)/2)*(Inputs!$J$6-Inputs!$I$6)))/Inputs!$K$6)^2)</f>
        <v>400.0025</v>
      </c>
      <c r="AA119" s="9">
        <f>(Inputs!$H$7+Inputs!$L$7*(((Inputs!$I$7+(((A119)+1)/2)*(Inputs!$J$7-Inputs!$I$7)))/Inputs!$K$7)^2)</f>
        <v>35.228124999999999</v>
      </c>
      <c r="AB119" s="9">
        <f>(Inputs!$H$8+Inputs!$L$8*(((Inputs!$I$8+(((A119)+1)/2)*(Inputs!$J$8-Inputs!$I$8)))/Inputs!$K$8)^2)</f>
        <v>35.603124999999999</v>
      </c>
      <c r="AC119" s="9">
        <f>(Inputs!$H$9+Inputs!$L$9*(((Inputs!$I$9+(((A119)+1)/2)*(Inputs!$J$9-Inputs!$I$9)))/Inputs!$K$9)^2)</f>
        <v>25.609375</v>
      </c>
      <c r="AD119" s="10"/>
      <c r="AE119" s="9">
        <f t="shared" si="10"/>
        <v>-2.5000000000000001E-2</v>
      </c>
      <c r="AF119" s="9">
        <f>(((SQRT(((Inputs!$I$6+(((A119)+1)/2)*(Inputs!$J$6-Inputs!$I$6)))^2+Inputs!$C$6^2+((Inputs!$H$6+Inputs!$L$6*(((Inputs!$I$6+(((A119)+1)/2)*(Inputs!$J$6-Inputs!$I$6)))/Inputs!$K$6)^2))^2))-((Inputs!$H$6+Inputs!$L$6*(((Inputs!$I$6+(((A119)+1)/2)*(Inputs!$J$6-Inputs!$I$6)))/Inputs!$K$6)^2)))*1000/Inputs!$C$12)</f>
        <v>440.05094049615832</v>
      </c>
      <c r="AG119" s="9">
        <f>(((SQRT(((Inputs!$I$7+(((A119)+1)/2)*(Inputs!$J$7-Inputs!$I$7)))^2+Inputs!$C$6^2+((Inputs!$H$7+Inputs!$L$7*(((Inputs!$I$7+(((A119)+1)/2)*(Inputs!$J$7-Inputs!$I$7)))/Inputs!$K$7)^2))^2))-((Inputs!$H$7+Inputs!$L$7*(((Inputs!$I$7+(((A119)+1)/2)*(Inputs!$J$7-Inputs!$I$7)))/Inputs!$K$7)^2)))*1000/Inputs!$C$12)</f>
        <v>5118.9370821216689</v>
      </c>
      <c r="AH119" s="9">
        <f>(((SQRT(((Inputs!$I$8+(((A119)+1)/2)*(Inputs!$J$8-Inputs!$I$8)))^2+Inputs!$C$6^2+((Inputs!$H$8+Inputs!$L$8*(((Inputs!$I$8+(((A119)+1)/2)*(Inputs!$J$8-Inputs!$I$8)))/Inputs!$K$8)^2))^2))-((Inputs!$H$8+Inputs!$L$8*(((Inputs!$I$8+(((A119)+1)/2)*(Inputs!$J$8-Inputs!$I$8)))/Inputs!$K$8)^2)))*1000/Inputs!$C$12)</f>
        <v>6897.6376974683835</v>
      </c>
      <c r="AI119" s="9">
        <f>(((SQRT(((Inputs!$I$9+(((A119)+1)/2)*(Inputs!$J$9-Inputs!$I$9)))^2+Inputs!$C$6^2+((Inputs!$H$9+Inputs!$L$9*(((Inputs!$I$9+(((A119)+1)/2)*(Inputs!$J$9-Inputs!$I$9)))/Inputs!$K$9)^2))^2))-((Inputs!$H$9+Inputs!$L$9*(((Inputs!$I$9+(((A119)+1)/2)*(Inputs!$J$9-Inputs!$I$9)))/Inputs!$K$9)^2)))*1000/Inputs!$C$12)</f>
        <v>8645.3229246873689</v>
      </c>
      <c r="AJ119" s="10"/>
      <c r="AK119" s="9">
        <f t="shared" si="11"/>
        <v>-2.5000000000000001E-2</v>
      </c>
      <c r="AL119" s="9">
        <f>(-2*((1000*((((Inputs!$I$6+(((A119)+1)/2)*(Inputs!$J$6-Inputs!$I$6)))*Inputs!$C$11+((Inputs!$H$6+Inputs!$L$6*(((Inputs!$I$6+(((A119)+1)/2)*(Inputs!$J$6-Inputs!$I$6)))/Inputs!$K$6)^2))*((2*Inputs!$L$6*((Inputs!$I$6+(((A119)+1)/2)*(Inputs!$J$6-Inputs!$I$6)))/(Inputs!$K$6^2)*Inputs!$C$11)))/(SQRT(((Inputs!$I$6+(((A119)+1)/2)*(Inputs!$J$6-Inputs!$I$6)))^2+Inputs!$C$6^2+((Inputs!$H$6+Inputs!$L$6*(((Inputs!$I$6+(((A119)+1)/2)*(Inputs!$J$6-Inputs!$I$6)))/Inputs!$K$6)^2))^2)))))/Inputs!$C$13)</f>
        <v>11.311146183705798</v>
      </c>
      <c r="AM119" s="9">
        <f>(-2*((1000*((((Inputs!$I$7+(((A119)+1)/2)*(Inputs!$J$7-Inputs!$I$7)))*Inputs!$C$11+((Inputs!$H$7+Inputs!$L$7*(((Inputs!$I$7+(((A119)+1)/2)*(Inputs!$J$7-Inputs!$I$7)))/Inputs!$K$7)^2))*((2*Inputs!$L$7*((Inputs!$I$7+(((A119)+1)/2)*(Inputs!$J$7-Inputs!$I$7)))/(Inputs!$K$7^2)*Inputs!$C$11)))/(SQRT(((Inputs!$I$7+(((A119)+1)/2)*(Inputs!$J$7-Inputs!$I$7)))^2+Inputs!$C$6^2+((Inputs!$H$7+Inputs!$L$7*(((Inputs!$I$7+(((A119)+1)/2)*(Inputs!$J$7-Inputs!$I$7)))/Inputs!$K$7)^2))^2)))))/Inputs!$C$13)</f>
        <v>418.84806202163537</v>
      </c>
      <c r="AN119" s="9">
        <f>(-2*((1000*((((Inputs!$I$8+(((A119)+1)/2)*(Inputs!$J$8-Inputs!$I$8)))*Inputs!$C$11+((Inputs!$H$8+Inputs!$L$8*(((Inputs!$I$8+(((A119)+1)/2)*(Inputs!$J$8-Inputs!$I$8)))/Inputs!$K$8)^2))*((2*Inputs!$L$8*((Inputs!$I$8+(((A119)+1)/2)*(Inputs!$J$8-Inputs!$I$8)))/(Inputs!$K$8^2)*Inputs!$C$11)))/(SQRT(((Inputs!$I$8+(((A119)+1)/2)*(Inputs!$J$8-Inputs!$I$8)))^2+Inputs!$C$6^2+((Inputs!$H$8+Inputs!$L$8*(((Inputs!$I$8+(((A119)+1)/2)*(Inputs!$J$8-Inputs!$I$8)))/Inputs!$K$8)^2))^2)))))/Inputs!$C$13)</f>
        <v>740.07979561350419</v>
      </c>
      <c r="AO119" s="9">
        <f>(-2*((1000*((((Inputs!$I$9+(((A119)+1)/2)*(Inputs!$J$9-Inputs!$I$9)))*Inputs!$C$11+((Inputs!$H$9+Inputs!$L$9*(((Inputs!$I$9+(((A119)+1)/2)*(Inputs!$J$9-Inputs!$I$9)))/Inputs!$K$9)^2))*((2*Inputs!$L$9*((Inputs!$I$9+(((A119)+1)/2)*(Inputs!$J$9-Inputs!$I$9)))/(Inputs!$K$9^2)*Inputs!$C$11)))/(SQRT(((Inputs!$I$9+(((A119)+1)/2)*(Inputs!$J$9-Inputs!$I$9)))^2+Inputs!$C$6^2+((Inputs!$H$9+Inputs!$L$9*(((Inputs!$I$9+(((A119)+1)/2)*(Inputs!$J$9-Inputs!$I$9)))/Inputs!$K$9)^2))^2)))))/Inputs!$C$13)</f>
        <v>841.42817099312265</v>
      </c>
    </row>
    <row r="120" spans="1:41">
      <c r="A120" s="9">
        <f>ROUND(-1+118*2/240,3)</f>
        <v>-1.7000000000000001E-2</v>
      </c>
      <c r="B120" s="9">
        <f>IF(OR(Inputs!$F$6=TRUE,Inputs!$F$6="TRUE",Inputs!$F$6=1),(Inputs!$H$6+Inputs!$L$6*(((Inputs!$I$6+(((A120)+1)/2)*(Inputs!$J$6-Inputs!$I$6)))/Inputs!$K$6)^2),NA())</f>
        <v>400.00115599999998</v>
      </c>
      <c r="C120" s="9">
        <f>IF(OR(Inputs!$F$7=TRUE,Inputs!$F$7="TRUE",Inputs!$F$7=1),(Inputs!$H$7+Inputs!$L$7*(((Inputs!$I$7+(((A120)+1)/2)*(Inputs!$J$7-Inputs!$I$7)))/Inputs!$K$7)^2),NA())</f>
        <v>35.105485000000002</v>
      </c>
      <c r="D120" s="9">
        <f>IF(OR(Inputs!$F$8=TRUE,Inputs!$F$8="TRUE",Inputs!$F$8=1),(Inputs!$H$8+Inputs!$L$8*(((Inputs!$I$8+(((A120)+1)/2)*(Inputs!$J$8-Inputs!$I$8)))/Inputs!$K$8)^2),NA())</f>
        <v>35.278885000000002</v>
      </c>
      <c r="E120" s="9">
        <f>IF(OR(Inputs!$F$9=TRUE,Inputs!$F$9="TRUE",Inputs!$F$9=1),(Inputs!$H$9+Inputs!$L$9*(((Inputs!$I$9+(((A120)+1)/2)*(Inputs!$J$9-Inputs!$I$9)))/Inputs!$K$9)^2),NA())</f>
        <v>25.281775</v>
      </c>
      <c r="F120" s="10"/>
      <c r="G120" s="9">
        <f t="shared" si="6"/>
        <v>-1.7000000000000001E-2</v>
      </c>
      <c r="H120" s="9">
        <f>IF(OR(Inputs!$F$6=TRUE,Inputs!$F$6="TRUE",Inputs!$F$6=1),(((SQRT(((Inputs!$I$6+(((A120)+1)/2)*(Inputs!$J$6-Inputs!$I$6)))^2+Inputs!$C$6^2+((Inputs!$H$6+Inputs!$L$6*(((Inputs!$I$6+(((A120)+1)/2)*(Inputs!$J$6-Inputs!$I$6)))/Inputs!$K$6)^2))^2))-((Inputs!$H$6+Inputs!$L$6*(((Inputs!$I$6+(((A120)+1)/2)*(Inputs!$J$6-Inputs!$I$6)))/Inputs!$K$6)^2)))*1000/Inputs!$C$12),NA())</f>
        <v>439.20463896751465</v>
      </c>
      <c r="I120" s="9">
        <f>IF(OR(Inputs!$F$7=TRUE,Inputs!$F$7="TRUE",Inputs!$F$7=1),(((SQRT(((Inputs!$I$7+(((A120)+1)/2)*(Inputs!$J$7-Inputs!$I$7)))^2+Inputs!$C$6^2+((Inputs!$H$7+Inputs!$L$7*(((Inputs!$I$7+(((A120)+1)/2)*(Inputs!$J$7-Inputs!$I$7)))/Inputs!$K$7)^2))^2))-((Inputs!$H$7+Inputs!$L$7*(((Inputs!$I$7+(((A120)+1)/2)*(Inputs!$J$7-Inputs!$I$7)))/Inputs!$K$7)^2)))*1000/Inputs!$C$12),NA())</f>
        <v>4789.4279239154203</v>
      </c>
      <c r="J120" s="9">
        <f>IF(OR(Inputs!$F$8=TRUE,Inputs!$F$8="TRUE",Inputs!$F$8=1),(((SQRT(((Inputs!$I$8+(((A120)+1)/2)*(Inputs!$J$8-Inputs!$I$8)))^2+Inputs!$C$6^2+((Inputs!$H$8+Inputs!$L$8*(((Inputs!$I$8+(((A120)+1)/2)*(Inputs!$J$8-Inputs!$I$8)))/Inputs!$K$8)^2))^2))-((Inputs!$H$8+Inputs!$L$8*(((Inputs!$I$8+(((A120)+1)/2)*(Inputs!$J$8-Inputs!$I$8)))/Inputs!$K$8)^2)))*1000/Inputs!$C$12),NA())</f>
        <v>5645.1497085596393</v>
      </c>
      <c r="K120" s="9">
        <f>IF(OR(Inputs!$F$9=TRUE,Inputs!$F$9="TRUE",Inputs!$F$9=1),(((SQRT(((Inputs!$I$9+(((A120)+1)/2)*(Inputs!$J$9-Inputs!$I$9)))^2+Inputs!$C$6^2+((Inputs!$H$9+Inputs!$L$9*(((Inputs!$I$9+(((A120)+1)/2)*(Inputs!$J$9-Inputs!$I$9)))/Inputs!$K$9)^2))^2))-((Inputs!$H$9+Inputs!$L$9*(((Inputs!$I$9+(((A120)+1)/2)*(Inputs!$J$9-Inputs!$I$9)))/Inputs!$K$9)^2)))*1000/Inputs!$C$12),NA())</f>
        <v>7182.9442804401942</v>
      </c>
      <c r="L120" s="10"/>
      <c r="M120" s="9">
        <f t="shared" si="7"/>
        <v>-1.7000000000000001E-2</v>
      </c>
      <c r="N120" s="9">
        <f>IF(OR(Inputs!$F$6=TRUE,Inputs!$F$6="TRUE",Inputs!$F$6=1),(-2*((1000*((((Inputs!$I$6+(((A120)+1)/2)*(Inputs!$J$6-Inputs!$I$6)))*Inputs!$C$11+((Inputs!$H$6+Inputs!$L$6*(((Inputs!$I$6+(((A120)+1)/2)*(Inputs!$J$6-Inputs!$I$6)))/Inputs!$K$6)^2))*((2*Inputs!$L$6*((Inputs!$I$6+(((A120)+1)/2)*(Inputs!$J$6-Inputs!$I$6)))/(Inputs!$K$6^2)*Inputs!$C$11)))/(SQRT(((Inputs!$I$6+(((A120)+1)/2)*(Inputs!$J$6-Inputs!$I$6)))^2+Inputs!$C$6^2+((Inputs!$H$6+Inputs!$L$6*(((Inputs!$I$6+(((A120)+1)/2)*(Inputs!$J$6-Inputs!$I$6)))/Inputs!$K$6)^2))^2)))))/Inputs!$C$13),NA())</f>
        <v>7.6916219465674116</v>
      </c>
      <c r="O120" s="9">
        <f>IF(OR(Inputs!$F$7=TRUE,Inputs!$F$7="TRUE",Inputs!$F$7=1),(-2*((1000*((((Inputs!$I$7+(((A120)+1)/2)*(Inputs!$J$7-Inputs!$I$7)))*Inputs!$C$11+((Inputs!$H$7+Inputs!$L$7*(((Inputs!$I$7+(((A120)+1)/2)*(Inputs!$J$7-Inputs!$I$7)))/Inputs!$K$7)^2))*((2*Inputs!$L$7*((Inputs!$I$7+(((A120)+1)/2)*(Inputs!$J$7-Inputs!$I$7)))/(Inputs!$K$7^2)*Inputs!$C$11)))/(SQRT(((Inputs!$I$7+(((A120)+1)/2)*(Inputs!$J$7-Inputs!$I$7)))^2+Inputs!$C$6^2+((Inputs!$H$7+Inputs!$L$7*(((Inputs!$I$7+(((A120)+1)/2)*(Inputs!$J$7-Inputs!$I$7)))/Inputs!$K$7)^2))^2)))))/Inputs!$C$13),NA())</f>
        <v>289.3065182998464</v>
      </c>
      <c r="P120" s="9">
        <f>IF(OR(Inputs!$F$8=TRUE,Inputs!$F$8="TRUE",Inputs!$F$8=1),(-2*((1000*((((Inputs!$I$8+(((A120)+1)/2)*(Inputs!$J$8-Inputs!$I$8)))*Inputs!$C$11+((Inputs!$H$8+Inputs!$L$8*(((Inputs!$I$8+(((A120)+1)/2)*(Inputs!$J$8-Inputs!$I$8)))/Inputs!$K$8)^2))*((2*Inputs!$L$8*((Inputs!$I$8+(((A120)+1)/2)*(Inputs!$J$8-Inputs!$I$8)))/(Inputs!$K$8^2)*Inputs!$C$11)))/(SQRT(((Inputs!$I$8+(((A120)+1)/2)*(Inputs!$J$8-Inputs!$I$8)))^2+Inputs!$C$6^2+((Inputs!$H$8+Inputs!$L$8*(((Inputs!$I$8+(((A120)+1)/2)*(Inputs!$J$8-Inputs!$I$8)))/Inputs!$K$8)^2))^2)))))/Inputs!$C$13),NA())</f>
        <v>531.13744264123795</v>
      </c>
      <c r="Q120" s="9">
        <f>IF(OR(Inputs!$F$9=TRUE,Inputs!$F$9="TRUE",Inputs!$F$9=1),(-2*((1000*((((Inputs!$I$9+(((A120)+1)/2)*(Inputs!$J$9-Inputs!$I$9)))*Inputs!$C$11+((Inputs!$H$9+Inputs!$L$9*(((Inputs!$I$9+(((A120)+1)/2)*(Inputs!$J$9-Inputs!$I$9)))/Inputs!$K$9)^2))*((2*Inputs!$L$9*((Inputs!$I$9+(((A120)+1)/2)*(Inputs!$J$9-Inputs!$I$9)))/(Inputs!$K$9^2)*Inputs!$C$11)))/(SQRT(((Inputs!$I$9+(((A120)+1)/2)*(Inputs!$J$9-Inputs!$I$9)))^2+Inputs!$C$6^2+((Inputs!$H$9+Inputs!$L$9*(((Inputs!$I$9+(((A120)+1)/2)*(Inputs!$J$9-Inputs!$I$9)))/Inputs!$K$9)^2))^2)))))/Inputs!$C$13),NA())</f>
        <v>615.64939931356469</v>
      </c>
      <c r="R120" s="10"/>
      <c r="S120" s="9">
        <f t="shared" si="8"/>
        <v>-1.7000000000000001E-2</v>
      </c>
      <c r="T120" s="9">
        <f>(Inputs!$I$6+(((A120)+1)/2)*(Inputs!$J$6-Inputs!$I$6))</f>
        <v>-1.0200000000000031</v>
      </c>
      <c r="U120" s="9">
        <f>(Inputs!$I$7+(((A120)+1)/2)*(Inputs!$J$7-Inputs!$I$7))</f>
        <v>-6.8000000000000114</v>
      </c>
      <c r="V120" s="9">
        <f>(Inputs!$I$8+(((A120)+1)/2)*(Inputs!$J$8-Inputs!$I$8))</f>
        <v>-13.600000000000023</v>
      </c>
      <c r="W120" s="9">
        <f>(Inputs!$I$9+(((A120)+1)/2)*(Inputs!$J$9-Inputs!$I$9))</f>
        <v>-13.600000000000023</v>
      </c>
      <c r="X120" s="10"/>
      <c r="Y120" s="9">
        <f t="shared" si="9"/>
        <v>-1.7000000000000001E-2</v>
      </c>
      <c r="Z120" s="9">
        <f>(Inputs!$H$6+Inputs!$L$6*(((Inputs!$I$6+(((A120)+1)/2)*(Inputs!$J$6-Inputs!$I$6)))/Inputs!$K$6)^2)</f>
        <v>400.00115599999998</v>
      </c>
      <c r="AA120" s="9">
        <f>(Inputs!$H$7+Inputs!$L$7*(((Inputs!$I$7+(((A120)+1)/2)*(Inputs!$J$7-Inputs!$I$7)))/Inputs!$K$7)^2)</f>
        <v>35.105485000000002</v>
      </c>
      <c r="AB120" s="9">
        <f>(Inputs!$H$8+Inputs!$L$8*(((Inputs!$I$8+(((A120)+1)/2)*(Inputs!$J$8-Inputs!$I$8)))/Inputs!$K$8)^2)</f>
        <v>35.278885000000002</v>
      </c>
      <c r="AC120" s="9">
        <f>(Inputs!$H$9+Inputs!$L$9*(((Inputs!$I$9+(((A120)+1)/2)*(Inputs!$J$9-Inputs!$I$9)))/Inputs!$K$9)^2)</f>
        <v>25.281775</v>
      </c>
      <c r="AD120" s="10"/>
      <c r="AE120" s="9">
        <f t="shared" si="10"/>
        <v>-1.7000000000000001E-2</v>
      </c>
      <c r="AF120" s="9">
        <f>(((SQRT(((Inputs!$I$6+(((A120)+1)/2)*(Inputs!$J$6-Inputs!$I$6)))^2+Inputs!$C$6^2+((Inputs!$H$6+Inputs!$L$6*(((Inputs!$I$6+(((A120)+1)/2)*(Inputs!$J$6-Inputs!$I$6)))/Inputs!$K$6)^2))^2))-((Inputs!$H$6+Inputs!$L$6*(((Inputs!$I$6+(((A120)+1)/2)*(Inputs!$J$6-Inputs!$I$6)))/Inputs!$K$6)^2)))*1000/Inputs!$C$12)</f>
        <v>439.20463896751465</v>
      </c>
      <c r="AG120" s="9">
        <f>(((SQRT(((Inputs!$I$7+(((A120)+1)/2)*(Inputs!$J$7-Inputs!$I$7)))^2+Inputs!$C$6^2+((Inputs!$H$7+Inputs!$L$7*(((Inputs!$I$7+(((A120)+1)/2)*(Inputs!$J$7-Inputs!$I$7)))/Inputs!$K$7)^2))^2))-((Inputs!$H$7+Inputs!$L$7*(((Inputs!$I$7+(((A120)+1)/2)*(Inputs!$J$7-Inputs!$I$7)))/Inputs!$K$7)^2)))*1000/Inputs!$C$12)</f>
        <v>4789.4279239154203</v>
      </c>
      <c r="AH120" s="9">
        <f>(((SQRT(((Inputs!$I$8+(((A120)+1)/2)*(Inputs!$J$8-Inputs!$I$8)))^2+Inputs!$C$6^2+((Inputs!$H$8+Inputs!$L$8*(((Inputs!$I$8+(((A120)+1)/2)*(Inputs!$J$8-Inputs!$I$8)))/Inputs!$K$8)^2))^2))-((Inputs!$H$8+Inputs!$L$8*(((Inputs!$I$8+(((A120)+1)/2)*(Inputs!$J$8-Inputs!$I$8)))/Inputs!$K$8)^2)))*1000/Inputs!$C$12)</f>
        <v>5645.1497085596393</v>
      </c>
      <c r="AI120" s="9">
        <f>(((SQRT(((Inputs!$I$9+(((A120)+1)/2)*(Inputs!$J$9-Inputs!$I$9)))^2+Inputs!$C$6^2+((Inputs!$H$9+Inputs!$L$9*(((Inputs!$I$9+(((A120)+1)/2)*(Inputs!$J$9-Inputs!$I$9)))/Inputs!$K$9)^2))^2))-((Inputs!$H$9+Inputs!$L$9*(((Inputs!$I$9+(((A120)+1)/2)*(Inputs!$J$9-Inputs!$I$9)))/Inputs!$K$9)^2)))*1000/Inputs!$C$12)</f>
        <v>7182.9442804401942</v>
      </c>
      <c r="AJ120" s="10"/>
      <c r="AK120" s="9">
        <f t="shared" si="11"/>
        <v>-1.7000000000000001E-2</v>
      </c>
      <c r="AL120" s="9">
        <f>(-2*((1000*((((Inputs!$I$6+(((A120)+1)/2)*(Inputs!$J$6-Inputs!$I$6)))*Inputs!$C$11+((Inputs!$H$6+Inputs!$L$6*(((Inputs!$I$6+(((A120)+1)/2)*(Inputs!$J$6-Inputs!$I$6)))/Inputs!$K$6)^2))*((2*Inputs!$L$6*((Inputs!$I$6+(((A120)+1)/2)*(Inputs!$J$6-Inputs!$I$6)))/(Inputs!$K$6^2)*Inputs!$C$11)))/(SQRT(((Inputs!$I$6+(((A120)+1)/2)*(Inputs!$J$6-Inputs!$I$6)))^2+Inputs!$C$6^2+((Inputs!$H$6+Inputs!$L$6*(((Inputs!$I$6+(((A120)+1)/2)*(Inputs!$J$6-Inputs!$I$6)))/Inputs!$K$6)^2))^2)))))/Inputs!$C$13)</f>
        <v>7.6916219465674116</v>
      </c>
      <c r="AM120" s="9">
        <f>(-2*((1000*((((Inputs!$I$7+(((A120)+1)/2)*(Inputs!$J$7-Inputs!$I$7)))*Inputs!$C$11+((Inputs!$H$7+Inputs!$L$7*(((Inputs!$I$7+(((A120)+1)/2)*(Inputs!$J$7-Inputs!$I$7)))/Inputs!$K$7)^2))*((2*Inputs!$L$7*((Inputs!$I$7+(((A120)+1)/2)*(Inputs!$J$7-Inputs!$I$7)))/(Inputs!$K$7^2)*Inputs!$C$11)))/(SQRT(((Inputs!$I$7+(((A120)+1)/2)*(Inputs!$J$7-Inputs!$I$7)))^2+Inputs!$C$6^2+((Inputs!$H$7+Inputs!$L$7*(((Inputs!$I$7+(((A120)+1)/2)*(Inputs!$J$7-Inputs!$I$7)))/Inputs!$K$7)^2))^2)))))/Inputs!$C$13)</f>
        <v>289.3065182998464</v>
      </c>
      <c r="AN120" s="9">
        <f>(-2*((1000*((((Inputs!$I$8+(((A120)+1)/2)*(Inputs!$J$8-Inputs!$I$8)))*Inputs!$C$11+((Inputs!$H$8+Inputs!$L$8*(((Inputs!$I$8+(((A120)+1)/2)*(Inputs!$J$8-Inputs!$I$8)))/Inputs!$K$8)^2))*((2*Inputs!$L$8*((Inputs!$I$8+(((A120)+1)/2)*(Inputs!$J$8-Inputs!$I$8)))/(Inputs!$K$8^2)*Inputs!$C$11)))/(SQRT(((Inputs!$I$8+(((A120)+1)/2)*(Inputs!$J$8-Inputs!$I$8)))^2+Inputs!$C$6^2+((Inputs!$H$8+Inputs!$L$8*(((Inputs!$I$8+(((A120)+1)/2)*(Inputs!$J$8-Inputs!$I$8)))/Inputs!$K$8)^2))^2)))))/Inputs!$C$13)</f>
        <v>531.13744264123795</v>
      </c>
      <c r="AO120" s="9">
        <f>(-2*((1000*((((Inputs!$I$9+(((A120)+1)/2)*(Inputs!$J$9-Inputs!$I$9)))*Inputs!$C$11+((Inputs!$H$9+Inputs!$L$9*(((Inputs!$I$9+(((A120)+1)/2)*(Inputs!$J$9-Inputs!$I$9)))/Inputs!$K$9)^2))*((2*Inputs!$L$9*((Inputs!$I$9+(((A120)+1)/2)*(Inputs!$J$9-Inputs!$I$9)))/(Inputs!$K$9^2)*Inputs!$C$11)))/(SQRT(((Inputs!$I$9+(((A120)+1)/2)*(Inputs!$J$9-Inputs!$I$9)))^2+Inputs!$C$6^2+((Inputs!$H$9+Inputs!$L$9*(((Inputs!$I$9+(((A120)+1)/2)*(Inputs!$J$9-Inputs!$I$9)))/Inputs!$K$9)^2))^2)))))/Inputs!$C$13)</f>
        <v>615.64939931356469</v>
      </c>
    </row>
    <row r="121" spans="1:41">
      <c r="A121" s="9">
        <f>ROUND(-1+119*2/240,3)</f>
        <v>-8.0000000000000002E-3</v>
      </c>
      <c r="B121" s="9">
        <f>IF(OR(Inputs!$F$6=TRUE,Inputs!$F$6="TRUE",Inputs!$F$6=1),(Inputs!$H$6+Inputs!$L$6*(((Inputs!$I$6+(((A121)+1)/2)*(Inputs!$J$6-Inputs!$I$6)))/Inputs!$K$6)^2),NA())</f>
        <v>400.00025599999998</v>
      </c>
      <c r="C121" s="9">
        <f>IF(OR(Inputs!$F$7=TRUE,Inputs!$F$7="TRUE",Inputs!$F$7=1),(Inputs!$H$7+Inputs!$L$7*(((Inputs!$I$7+(((A121)+1)/2)*(Inputs!$J$7-Inputs!$I$7)))/Inputs!$K$7)^2),NA())</f>
        <v>35.023359999999997</v>
      </c>
      <c r="D121" s="9">
        <f>IF(OR(Inputs!$F$8=TRUE,Inputs!$F$8="TRUE",Inputs!$F$8=1),(Inputs!$H$8+Inputs!$L$8*(((Inputs!$I$8+(((A121)+1)/2)*(Inputs!$J$8-Inputs!$I$8)))/Inputs!$K$8)^2),NA())</f>
        <v>35.06176</v>
      </c>
      <c r="E121" s="9">
        <f>IF(OR(Inputs!$F$9=TRUE,Inputs!$F$9="TRUE",Inputs!$F$9=1),(Inputs!$H$9+Inputs!$L$9*(((Inputs!$I$9+(((A121)+1)/2)*(Inputs!$J$9-Inputs!$I$9)))/Inputs!$K$9)^2),NA())</f>
        <v>25.0624</v>
      </c>
      <c r="F121" s="10"/>
      <c r="G121" s="9">
        <f t="shared" si="6"/>
        <v>-8.0000000000000002E-3</v>
      </c>
      <c r="H121" s="9">
        <f>IF(OR(Inputs!$F$6=TRUE,Inputs!$F$6="TRUE",Inputs!$F$6=1),(((SQRT(((Inputs!$I$6+(((A121)+1)/2)*(Inputs!$J$6-Inputs!$I$6)))^2+Inputs!$C$6^2+((Inputs!$H$6+Inputs!$L$6*(((Inputs!$I$6+(((A121)+1)/2)*(Inputs!$J$6-Inputs!$I$6)))/Inputs!$K$6)^2))^2))-((Inputs!$H$6+Inputs!$L$6*(((Inputs!$I$6+(((A121)+1)/2)*(Inputs!$J$6-Inputs!$I$6)))/Inputs!$K$6)^2)))*1000/Inputs!$C$12),NA())</f>
        <v>438.63791424247449</v>
      </c>
      <c r="I121" s="9">
        <f>IF(OR(Inputs!$F$7=TRUE,Inputs!$F$7="TRUE",Inputs!$F$7=1),(((SQRT(((Inputs!$I$7+(((A121)+1)/2)*(Inputs!$J$7-Inputs!$I$7)))^2+Inputs!$C$6^2+((Inputs!$H$7+Inputs!$L$7*(((Inputs!$I$7+(((A121)+1)/2)*(Inputs!$J$7-Inputs!$I$7)))/Inputs!$K$7)^2))^2))-((Inputs!$H$7+Inputs!$L$7*(((Inputs!$I$7+(((A121)+1)/2)*(Inputs!$J$7-Inputs!$I$7)))/Inputs!$K$7)^2)))*1000/Inputs!$C$12),NA())</f>
        <v>4565.2237256766111</v>
      </c>
      <c r="J121" s="9">
        <f>IF(OR(Inputs!$F$8=TRUE,Inputs!$F$8="TRUE",Inputs!$F$8=1),(((SQRT(((Inputs!$I$8+(((A121)+1)/2)*(Inputs!$J$8-Inputs!$I$8)))^2+Inputs!$C$6^2+((Inputs!$H$8+Inputs!$L$8*(((Inputs!$I$8+(((A121)+1)/2)*(Inputs!$J$8-Inputs!$I$8)))/Inputs!$K$8)^2))^2))-((Inputs!$H$8+Inputs!$L$8*(((Inputs!$I$8+(((A121)+1)/2)*(Inputs!$J$8-Inputs!$I$8)))/Inputs!$K$8)^2)))*1000/Inputs!$C$12),NA())</f>
        <v>4760.1877611479404</v>
      </c>
      <c r="K121" s="9">
        <f>IF(OR(Inputs!$F$9=TRUE,Inputs!$F$9="TRUE",Inputs!$F$9=1),(((SQRT(((Inputs!$I$9+(((A121)+1)/2)*(Inputs!$J$9-Inputs!$I$9)))^2+Inputs!$C$6^2+((Inputs!$H$9+Inputs!$L$9*(((Inputs!$I$9+(((A121)+1)/2)*(Inputs!$J$9-Inputs!$I$9)))/Inputs!$K$9)^2))^2))-((Inputs!$H$9+Inputs!$L$9*(((Inputs!$I$9+(((A121)+1)/2)*(Inputs!$J$9-Inputs!$I$9)))/Inputs!$K$9)^2)))*1000/Inputs!$C$12),NA())</f>
        <v>6129.7626795115111</v>
      </c>
      <c r="L121" s="10"/>
      <c r="M121" s="9">
        <f t="shared" si="7"/>
        <v>-8.0000000000000002E-3</v>
      </c>
      <c r="N121" s="9">
        <f>IF(OR(Inputs!$F$6=TRUE,Inputs!$F$6="TRUE",Inputs!$F$6=1),(-2*((1000*((((Inputs!$I$6+(((A121)+1)/2)*(Inputs!$J$6-Inputs!$I$6)))*Inputs!$C$11+((Inputs!$H$6+Inputs!$L$6*(((Inputs!$I$6+(((A121)+1)/2)*(Inputs!$J$6-Inputs!$I$6)))/Inputs!$K$6)^2))*((2*Inputs!$L$6*((Inputs!$I$6+(((A121)+1)/2)*(Inputs!$J$6-Inputs!$I$6)))/(Inputs!$K$6^2)*Inputs!$C$11)))/(SQRT(((Inputs!$I$6+(((A121)+1)/2)*(Inputs!$J$6-Inputs!$I$6)))^2+Inputs!$C$6^2+((Inputs!$H$6+Inputs!$L$6*(((Inputs!$I$6+(((A121)+1)/2)*(Inputs!$J$6-Inputs!$I$6)))/Inputs!$K$6)^2))^2)))))/Inputs!$C$13),NA())</f>
        <v>3.6196002046048124</v>
      </c>
      <c r="O121" s="9">
        <f>IF(OR(Inputs!$F$7=TRUE,Inputs!$F$7="TRUE",Inputs!$F$7=1),(-2*((1000*((((Inputs!$I$7+(((A121)+1)/2)*(Inputs!$J$7-Inputs!$I$7)))*Inputs!$C$11+((Inputs!$H$7+Inputs!$L$7*(((Inputs!$I$7+(((A121)+1)/2)*(Inputs!$J$7-Inputs!$I$7)))/Inputs!$K$7)^2))*((2*Inputs!$L$7*((Inputs!$I$7+(((A121)+1)/2)*(Inputs!$J$7-Inputs!$I$7)))/(Inputs!$K$7^2)*Inputs!$C$11)))/(SQRT(((Inputs!$I$7+(((A121)+1)/2)*(Inputs!$J$7-Inputs!$I$7)))^2+Inputs!$C$6^2+((Inputs!$H$7+Inputs!$L$7*(((Inputs!$I$7+(((A121)+1)/2)*(Inputs!$J$7-Inputs!$I$7)))/Inputs!$K$7)^2))^2)))))/Inputs!$C$13),NA())</f>
        <v>137.61808219499</v>
      </c>
      <c r="P121" s="9">
        <f>IF(OR(Inputs!$F$8=TRUE,Inputs!$F$8="TRUE",Inputs!$F$8=1),(-2*((1000*((((Inputs!$I$8+(((A121)+1)/2)*(Inputs!$J$8-Inputs!$I$8)))*Inputs!$C$11+((Inputs!$H$8+Inputs!$L$8*(((Inputs!$I$8+(((A121)+1)/2)*(Inputs!$J$8-Inputs!$I$8)))/Inputs!$K$8)^2))*((2*Inputs!$L$8*((Inputs!$I$8+(((A121)+1)/2)*(Inputs!$J$8-Inputs!$I$8)))/(Inputs!$K$8^2)*Inputs!$C$11)))/(SQRT(((Inputs!$I$8+(((A121)+1)/2)*(Inputs!$J$8-Inputs!$I$8)))^2+Inputs!$C$6^2+((Inputs!$H$8+Inputs!$L$8*(((Inputs!$I$8+(((A121)+1)/2)*(Inputs!$J$8-Inputs!$I$8)))/Inputs!$K$8)^2))^2)))))/Inputs!$C$13),NA())</f>
        <v>260.0834882685773</v>
      </c>
      <c r="Q121" s="9">
        <f>IF(OR(Inputs!$F$9=TRUE,Inputs!$F$9="TRUE",Inputs!$F$9=1),(-2*((1000*((((Inputs!$I$9+(((A121)+1)/2)*(Inputs!$J$9-Inputs!$I$9)))*Inputs!$C$11+((Inputs!$H$9+Inputs!$L$9*(((Inputs!$I$9+(((A121)+1)/2)*(Inputs!$J$9-Inputs!$I$9)))/Inputs!$K$9)^2))*((2*Inputs!$L$9*((Inputs!$I$9+(((A121)+1)/2)*(Inputs!$J$9-Inputs!$I$9)))/(Inputs!$K$9^2)*Inputs!$C$11)))/(SQRT(((Inputs!$I$9+(((A121)+1)/2)*(Inputs!$J$9-Inputs!$I$9)))^2+Inputs!$C$6^2+((Inputs!$H$9+Inputs!$L$9*(((Inputs!$I$9+(((A121)+1)/2)*(Inputs!$J$9-Inputs!$I$9)))/Inputs!$K$9)^2))^2)))))/Inputs!$C$13),NA())</f>
        <v>306.39177148980212</v>
      </c>
      <c r="R121" s="10"/>
      <c r="S121" s="9">
        <f t="shared" si="8"/>
        <v>-8.0000000000000002E-3</v>
      </c>
      <c r="T121" s="9">
        <f>(Inputs!$I$6+(((A121)+1)/2)*(Inputs!$J$6-Inputs!$I$6))</f>
        <v>-0.48000000000000398</v>
      </c>
      <c r="U121" s="9">
        <f>(Inputs!$I$7+(((A121)+1)/2)*(Inputs!$J$7-Inputs!$I$7))</f>
        <v>-3.1999999999999886</v>
      </c>
      <c r="V121" s="9">
        <f>(Inputs!$I$8+(((A121)+1)/2)*(Inputs!$J$8-Inputs!$I$8))</f>
        <v>-6.3999999999999773</v>
      </c>
      <c r="W121" s="9">
        <f>(Inputs!$I$9+(((A121)+1)/2)*(Inputs!$J$9-Inputs!$I$9))</f>
        <v>-6.3999999999999773</v>
      </c>
      <c r="X121" s="10"/>
      <c r="Y121" s="9">
        <f t="shared" si="9"/>
        <v>-8.0000000000000002E-3</v>
      </c>
      <c r="Z121" s="9">
        <f>(Inputs!$H$6+Inputs!$L$6*(((Inputs!$I$6+(((A121)+1)/2)*(Inputs!$J$6-Inputs!$I$6)))/Inputs!$K$6)^2)</f>
        <v>400.00025599999998</v>
      </c>
      <c r="AA121" s="9">
        <f>(Inputs!$H$7+Inputs!$L$7*(((Inputs!$I$7+(((A121)+1)/2)*(Inputs!$J$7-Inputs!$I$7)))/Inputs!$K$7)^2)</f>
        <v>35.023359999999997</v>
      </c>
      <c r="AB121" s="9">
        <f>(Inputs!$H$8+Inputs!$L$8*(((Inputs!$I$8+(((A121)+1)/2)*(Inputs!$J$8-Inputs!$I$8)))/Inputs!$K$8)^2)</f>
        <v>35.06176</v>
      </c>
      <c r="AC121" s="9">
        <f>(Inputs!$H$9+Inputs!$L$9*(((Inputs!$I$9+(((A121)+1)/2)*(Inputs!$J$9-Inputs!$I$9)))/Inputs!$K$9)^2)</f>
        <v>25.0624</v>
      </c>
      <c r="AD121" s="10"/>
      <c r="AE121" s="9">
        <f t="shared" si="10"/>
        <v>-8.0000000000000002E-3</v>
      </c>
      <c r="AF121" s="9">
        <f>(((SQRT(((Inputs!$I$6+(((A121)+1)/2)*(Inputs!$J$6-Inputs!$I$6)))^2+Inputs!$C$6^2+((Inputs!$H$6+Inputs!$L$6*(((Inputs!$I$6+(((A121)+1)/2)*(Inputs!$J$6-Inputs!$I$6)))/Inputs!$K$6)^2))^2))-((Inputs!$H$6+Inputs!$L$6*(((Inputs!$I$6+(((A121)+1)/2)*(Inputs!$J$6-Inputs!$I$6)))/Inputs!$K$6)^2)))*1000/Inputs!$C$12)</f>
        <v>438.63791424247449</v>
      </c>
      <c r="AG121" s="9">
        <f>(((SQRT(((Inputs!$I$7+(((A121)+1)/2)*(Inputs!$J$7-Inputs!$I$7)))^2+Inputs!$C$6^2+((Inputs!$H$7+Inputs!$L$7*(((Inputs!$I$7+(((A121)+1)/2)*(Inputs!$J$7-Inputs!$I$7)))/Inputs!$K$7)^2))^2))-((Inputs!$H$7+Inputs!$L$7*(((Inputs!$I$7+(((A121)+1)/2)*(Inputs!$J$7-Inputs!$I$7)))/Inputs!$K$7)^2)))*1000/Inputs!$C$12)</f>
        <v>4565.2237256766111</v>
      </c>
      <c r="AH121" s="9">
        <f>(((SQRT(((Inputs!$I$8+(((A121)+1)/2)*(Inputs!$J$8-Inputs!$I$8)))^2+Inputs!$C$6^2+((Inputs!$H$8+Inputs!$L$8*(((Inputs!$I$8+(((A121)+1)/2)*(Inputs!$J$8-Inputs!$I$8)))/Inputs!$K$8)^2))^2))-((Inputs!$H$8+Inputs!$L$8*(((Inputs!$I$8+(((A121)+1)/2)*(Inputs!$J$8-Inputs!$I$8)))/Inputs!$K$8)^2)))*1000/Inputs!$C$12)</f>
        <v>4760.1877611479404</v>
      </c>
      <c r="AI121" s="9">
        <f>(((SQRT(((Inputs!$I$9+(((A121)+1)/2)*(Inputs!$J$9-Inputs!$I$9)))^2+Inputs!$C$6^2+((Inputs!$H$9+Inputs!$L$9*(((Inputs!$I$9+(((A121)+1)/2)*(Inputs!$J$9-Inputs!$I$9)))/Inputs!$K$9)^2))^2))-((Inputs!$H$9+Inputs!$L$9*(((Inputs!$I$9+(((A121)+1)/2)*(Inputs!$J$9-Inputs!$I$9)))/Inputs!$K$9)^2)))*1000/Inputs!$C$12)</f>
        <v>6129.7626795115111</v>
      </c>
      <c r="AJ121" s="10"/>
      <c r="AK121" s="9">
        <f t="shared" si="11"/>
        <v>-8.0000000000000002E-3</v>
      </c>
      <c r="AL121" s="9">
        <f>(-2*((1000*((((Inputs!$I$6+(((A121)+1)/2)*(Inputs!$J$6-Inputs!$I$6)))*Inputs!$C$11+((Inputs!$H$6+Inputs!$L$6*(((Inputs!$I$6+(((A121)+1)/2)*(Inputs!$J$6-Inputs!$I$6)))/Inputs!$K$6)^2))*((2*Inputs!$L$6*((Inputs!$I$6+(((A121)+1)/2)*(Inputs!$J$6-Inputs!$I$6)))/(Inputs!$K$6^2)*Inputs!$C$11)))/(SQRT(((Inputs!$I$6+(((A121)+1)/2)*(Inputs!$J$6-Inputs!$I$6)))^2+Inputs!$C$6^2+((Inputs!$H$6+Inputs!$L$6*(((Inputs!$I$6+(((A121)+1)/2)*(Inputs!$J$6-Inputs!$I$6)))/Inputs!$K$6)^2))^2)))))/Inputs!$C$13)</f>
        <v>3.6196002046048124</v>
      </c>
      <c r="AM121" s="9">
        <f>(-2*((1000*((((Inputs!$I$7+(((A121)+1)/2)*(Inputs!$J$7-Inputs!$I$7)))*Inputs!$C$11+((Inputs!$H$7+Inputs!$L$7*(((Inputs!$I$7+(((A121)+1)/2)*(Inputs!$J$7-Inputs!$I$7)))/Inputs!$K$7)^2))*((2*Inputs!$L$7*((Inputs!$I$7+(((A121)+1)/2)*(Inputs!$J$7-Inputs!$I$7)))/(Inputs!$K$7^2)*Inputs!$C$11)))/(SQRT(((Inputs!$I$7+(((A121)+1)/2)*(Inputs!$J$7-Inputs!$I$7)))^2+Inputs!$C$6^2+((Inputs!$H$7+Inputs!$L$7*(((Inputs!$I$7+(((A121)+1)/2)*(Inputs!$J$7-Inputs!$I$7)))/Inputs!$K$7)^2))^2)))))/Inputs!$C$13)</f>
        <v>137.61808219499</v>
      </c>
      <c r="AN121" s="9">
        <f>(-2*((1000*((((Inputs!$I$8+(((A121)+1)/2)*(Inputs!$J$8-Inputs!$I$8)))*Inputs!$C$11+((Inputs!$H$8+Inputs!$L$8*(((Inputs!$I$8+(((A121)+1)/2)*(Inputs!$J$8-Inputs!$I$8)))/Inputs!$K$8)^2))*((2*Inputs!$L$8*((Inputs!$I$8+(((A121)+1)/2)*(Inputs!$J$8-Inputs!$I$8)))/(Inputs!$K$8^2)*Inputs!$C$11)))/(SQRT(((Inputs!$I$8+(((A121)+1)/2)*(Inputs!$J$8-Inputs!$I$8)))^2+Inputs!$C$6^2+((Inputs!$H$8+Inputs!$L$8*(((Inputs!$I$8+(((A121)+1)/2)*(Inputs!$J$8-Inputs!$I$8)))/Inputs!$K$8)^2))^2)))))/Inputs!$C$13)</f>
        <v>260.0834882685773</v>
      </c>
      <c r="AO121" s="9">
        <f>(-2*((1000*((((Inputs!$I$9+(((A121)+1)/2)*(Inputs!$J$9-Inputs!$I$9)))*Inputs!$C$11+((Inputs!$H$9+Inputs!$L$9*(((Inputs!$I$9+(((A121)+1)/2)*(Inputs!$J$9-Inputs!$I$9)))/Inputs!$K$9)^2))*((2*Inputs!$L$9*((Inputs!$I$9+(((A121)+1)/2)*(Inputs!$J$9-Inputs!$I$9)))/(Inputs!$K$9^2)*Inputs!$C$11)))/(SQRT(((Inputs!$I$9+(((A121)+1)/2)*(Inputs!$J$9-Inputs!$I$9)))^2+Inputs!$C$6^2+((Inputs!$H$9+Inputs!$L$9*(((Inputs!$I$9+(((A121)+1)/2)*(Inputs!$J$9-Inputs!$I$9)))/Inputs!$K$9)^2))^2)))))/Inputs!$C$13)</f>
        <v>306.39177148980212</v>
      </c>
    </row>
    <row r="122" spans="1:41">
      <c r="A122" s="9">
        <f>ROUND(-1+120*2/240,3)</f>
        <v>0</v>
      </c>
      <c r="B122" s="9">
        <f>IF(OR(Inputs!$F$6=TRUE,Inputs!$F$6="TRUE",Inputs!$F$6=1),(Inputs!$H$6+Inputs!$L$6*(((Inputs!$I$6+(((A122)+1)/2)*(Inputs!$J$6-Inputs!$I$6)))/Inputs!$K$6)^2),NA())</f>
        <v>400</v>
      </c>
      <c r="C122" s="9">
        <f>IF(OR(Inputs!$F$7=TRUE,Inputs!$F$7="TRUE",Inputs!$F$7=1),(Inputs!$H$7+Inputs!$L$7*(((Inputs!$I$7+(((A122)+1)/2)*(Inputs!$J$7-Inputs!$I$7)))/Inputs!$K$7)^2),NA())</f>
        <v>35</v>
      </c>
      <c r="D122" s="9">
        <f>IF(OR(Inputs!$F$8=TRUE,Inputs!$F$8="TRUE",Inputs!$F$8=1),(Inputs!$H$8+Inputs!$L$8*(((Inputs!$I$8+(((A122)+1)/2)*(Inputs!$J$8-Inputs!$I$8)))/Inputs!$K$8)^2),NA())</f>
        <v>35</v>
      </c>
      <c r="E122" s="9">
        <f>IF(OR(Inputs!$F$9=TRUE,Inputs!$F$9="TRUE",Inputs!$F$9=1),(Inputs!$H$9+Inputs!$L$9*(((Inputs!$I$9+(((A122)+1)/2)*(Inputs!$J$9-Inputs!$I$9)))/Inputs!$K$9)^2),NA())</f>
        <v>25</v>
      </c>
      <c r="F122" s="10"/>
      <c r="G122" s="9">
        <f t="shared" si="6"/>
        <v>0</v>
      </c>
      <c r="H122" s="9">
        <f>IF(OR(Inputs!$F$6=TRUE,Inputs!$F$6="TRUE",Inputs!$F$6=1),(((SQRT(((Inputs!$I$6+(((A122)+1)/2)*(Inputs!$J$6-Inputs!$I$6)))^2+Inputs!$C$6^2+((Inputs!$H$6+Inputs!$L$6*(((Inputs!$I$6+(((A122)+1)/2)*(Inputs!$J$6-Inputs!$I$6)))/Inputs!$K$6)^2))^2))-((Inputs!$H$6+Inputs!$L$6*(((Inputs!$I$6+(((A122)+1)/2)*(Inputs!$J$6-Inputs!$I$6)))/Inputs!$K$6)^2)))*1000/Inputs!$C$12),NA())</f>
        <v>438.47671181736308</v>
      </c>
      <c r="I122" s="9">
        <f>IF(OR(Inputs!$F$7=TRUE,Inputs!$F$7="TRUE",Inputs!$F$7=1),(((SQRT(((Inputs!$I$7+(((A122)+1)/2)*(Inputs!$J$7-Inputs!$I$7)))^2+Inputs!$C$6^2+((Inputs!$H$7+Inputs!$L$7*(((Inputs!$I$7+(((A122)+1)/2)*(Inputs!$J$7-Inputs!$I$7)))/Inputs!$K$7)^2))^2))-((Inputs!$H$7+Inputs!$L$7*(((Inputs!$I$7+(((A122)+1)/2)*(Inputs!$J$7-Inputs!$I$7)))/Inputs!$K$7)^2)))*1000/Inputs!$C$12),NA())</f>
        <v>4500.9136714680544</v>
      </c>
      <c r="J122" s="9">
        <f>IF(OR(Inputs!$F$8=TRUE,Inputs!$F$8="TRUE",Inputs!$F$8=1),(((SQRT(((Inputs!$I$8+(((A122)+1)/2)*(Inputs!$J$8-Inputs!$I$8)))^2+Inputs!$C$6^2+((Inputs!$H$8+Inputs!$L$8*(((Inputs!$I$8+(((A122)+1)/2)*(Inputs!$J$8-Inputs!$I$8)))/Inputs!$K$8)^2))^2))-((Inputs!$H$8+Inputs!$L$8*(((Inputs!$I$8+(((A122)+1)/2)*(Inputs!$J$8-Inputs!$I$8)))/Inputs!$K$8)^2)))*1000/Inputs!$C$12),NA())</f>
        <v>4500.9136714680544</v>
      </c>
      <c r="K122" s="9">
        <f>IF(OR(Inputs!$F$9=TRUE,Inputs!$F$9="TRUE",Inputs!$F$9=1),(((SQRT(((Inputs!$I$9+(((A122)+1)/2)*(Inputs!$J$9-Inputs!$I$9)))^2+Inputs!$C$6^2+((Inputs!$H$9+Inputs!$L$9*(((Inputs!$I$9+(((A122)+1)/2)*(Inputs!$J$9-Inputs!$I$9)))/Inputs!$K$9)^2))^2))-((Inputs!$H$9+Inputs!$L$9*(((Inputs!$I$9+(((A122)+1)/2)*(Inputs!$J$9-Inputs!$I$9)))/Inputs!$K$9)^2)))*1000/Inputs!$C$12),NA())</f>
        <v>5817.6062131052686</v>
      </c>
      <c r="L122" s="10"/>
      <c r="M122" s="9">
        <f t="shared" si="7"/>
        <v>0</v>
      </c>
      <c r="N122" s="9">
        <f>IF(OR(Inputs!$F$6=TRUE,Inputs!$F$6="TRUE",Inputs!$F$6=1),(-2*((1000*((((Inputs!$I$6+(((A122)+1)/2)*(Inputs!$J$6-Inputs!$I$6)))*Inputs!$C$11+((Inputs!$H$6+Inputs!$L$6*(((Inputs!$I$6+(((A122)+1)/2)*(Inputs!$J$6-Inputs!$I$6)))/Inputs!$K$6)^2))*((2*Inputs!$L$6*((Inputs!$I$6+(((A122)+1)/2)*(Inputs!$J$6-Inputs!$I$6)))/(Inputs!$K$6^2)*Inputs!$C$11)))/(SQRT(((Inputs!$I$6+(((A122)+1)/2)*(Inputs!$J$6-Inputs!$I$6)))^2+Inputs!$C$6^2+((Inputs!$H$6+Inputs!$L$6*(((Inputs!$I$6+(((A122)+1)/2)*(Inputs!$J$6-Inputs!$I$6)))/Inputs!$K$6)^2))^2)))))/Inputs!$C$13),NA())</f>
        <v>0</v>
      </c>
      <c r="O122" s="9">
        <f>IF(OR(Inputs!$F$7=TRUE,Inputs!$F$7="TRUE",Inputs!$F$7=1),(-2*((1000*((((Inputs!$I$7+(((A122)+1)/2)*(Inputs!$J$7-Inputs!$I$7)))*Inputs!$C$11+((Inputs!$H$7+Inputs!$L$7*(((Inputs!$I$7+(((A122)+1)/2)*(Inputs!$J$7-Inputs!$I$7)))/Inputs!$K$7)^2))*((2*Inputs!$L$7*((Inputs!$I$7+(((A122)+1)/2)*(Inputs!$J$7-Inputs!$I$7)))/(Inputs!$K$7^2)*Inputs!$C$11)))/(SQRT(((Inputs!$I$7+(((A122)+1)/2)*(Inputs!$J$7-Inputs!$I$7)))^2+Inputs!$C$6^2+((Inputs!$H$7+Inputs!$L$7*(((Inputs!$I$7+(((A122)+1)/2)*(Inputs!$J$7-Inputs!$I$7)))/Inputs!$K$7)^2))^2)))))/Inputs!$C$13),NA())</f>
        <v>0</v>
      </c>
      <c r="P122" s="9">
        <f>IF(OR(Inputs!$F$8=TRUE,Inputs!$F$8="TRUE",Inputs!$F$8=1),(-2*((1000*((((Inputs!$I$8+(((A122)+1)/2)*(Inputs!$J$8-Inputs!$I$8)))*Inputs!$C$11+((Inputs!$H$8+Inputs!$L$8*(((Inputs!$I$8+(((A122)+1)/2)*(Inputs!$J$8-Inputs!$I$8)))/Inputs!$K$8)^2))*((2*Inputs!$L$8*((Inputs!$I$8+(((A122)+1)/2)*(Inputs!$J$8-Inputs!$I$8)))/(Inputs!$K$8^2)*Inputs!$C$11)))/(SQRT(((Inputs!$I$8+(((A122)+1)/2)*(Inputs!$J$8-Inputs!$I$8)))^2+Inputs!$C$6^2+((Inputs!$H$8+Inputs!$L$8*(((Inputs!$I$8+(((A122)+1)/2)*(Inputs!$J$8-Inputs!$I$8)))/Inputs!$K$8)^2))^2)))))/Inputs!$C$13),NA())</f>
        <v>0</v>
      </c>
      <c r="Q122" s="9">
        <f>IF(OR(Inputs!$F$9=TRUE,Inputs!$F$9="TRUE",Inputs!$F$9=1),(-2*((1000*((((Inputs!$I$9+(((A122)+1)/2)*(Inputs!$J$9-Inputs!$I$9)))*Inputs!$C$11+((Inputs!$H$9+Inputs!$L$9*(((Inputs!$I$9+(((A122)+1)/2)*(Inputs!$J$9-Inputs!$I$9)))/Inputs!$K$9)^2))*((2*Inputs!$L$9*((Inputs!$I$9+(((A122)+1)/2)*(Inputs!$J$9-Inputs!$I$9)))/(Inputs!$K$9^2)*Inputs!$C$11)))/(SQRT(((Inputs!$I$9+(((A122)+1)/2)*(Inputs!$J$9-Inputs!$I$9)))^2+Inputs!$C$6^2+((Inputs!$H$9+Inputs!$L$9*(((Inputs!$I$9+(((A122)+1)/2)*(Inputs!$J$9-Inputs!$I$9)))/Inputs!$K$9)^2))^2)))))/Inputs!$C$13),NA())</f>
        <v>0</v>
      </c>
      <c r="R122" s="10"/>
      <c r="S122" s="9">
        <f t="shared" si="8"/>
        <v>0</v>
      </c>
      <c r="T122" s="9">
        <f>(Inputs!$I$6+(((A122)+1)/2)*(Inputs!$J$6-Inputs!$I$6))</f>
        <v>0</v>
      </c>
      <c r="U122" s="9">
        <f>(Inputs!$I$7+(((A122)+1)/2)*(Inputs!$J$7-Inputs!$I$7))</f>
        <v>0</v>
      </c>
      <c r="V122" s="9">
        <f>(Inputs!$I$8+(((A122)+1)/2)*(Inputs!$J$8-Inputs!$I$8))</f>
        <v>0</v>
      </c>
      <c r="W122" s="9">
        <f>(Inputs!$I$9+(((A122)+1)/2)*(Inputs!$J$9-Inputs!$I$9))</f>
        <v>0</v>
      </c>
      <c r="X122" s="10"/>
      <c r="Y122" s="9">
        <f t="shared" si="9"/>
        <v>0</v>
      </c>
      <c r="Z122" s="9">
        <f>(Inputs!$H$6+Inputs!$L$6*(((Inputs!$I$6+(((A122)+1)/2)*(Inputs!$J$6-Inputs!$I$6)))/Inputs!$K$6)^2)</f>
        <v>400</v>
      </c>
      <c r="AA122" s="9">
        <f>(Inputs!$H$7+Inputs!$L$7*(((Inputs!$I$7+(((A122)+1)/2)*(Inputs!$J$7-Inputs!$I$7)))/Inputs!$K$7)^2)</f>
        <v>35</v>
      </c>
      <c r="AB122" s="9">
        <f>(Inputs!$H$8+Inputs!$L$8*(((Inputs!$I$8+(((A122)+1)/2)*(Inputs!$J$8-Inputs!$I$8)))/Inputs!$K$8)^2)</f>
        <v>35</v>
      </c>
      <c r="AC122" s="9">
        <f>(Inputs!$H$9+Inputs!$L$9*(((Inputs!$I$9+(((A122)+1)/2)*(Inputs!$J$9-Inputs!$I$9)))/Inputs!$K$9)^2)</f>
        <v>25</v>
      </c>
      <c r="AD122" s="10"/>
      <c r="AE122" s="9">
        <f t="shared" si="10"/>
        <v>0</v>
      </c>
      <c r="AF122" s="9">
        <f>(((SQRT(((Inputs!$I$6+(((A122)+1)/2)*(Inputs!$J$6-Inputs!$I$6)))^2+Inputs!$C$6^2+((Inputs!$H$6+Inputs!$L$6*(((Inputs!$I$6+(((A122)+1)/2)*(Inputs!$J$6-Inputs!$I$6)))/Inputs!$K$6)^2))^2))-((Inputs!$H$6+Inputs!$L$6*(((Inputs!$I$6+(((A122)+1)/2)*(Inputs!$J$6-Inputs!$I$6)))/Inputs!$K$6)^2)))*1000/Inputs!$C$12)</f>
        <v>438.47671181736308</v>
      </c>
      <c r="AG122" s="9">
        <f>(((SQRT(((Inputs!$I$7+(((A122)+1)/2)*(Inputs!$J$7-Inputs!$I$7)))^2+Inputs!$C$6^2+((Inputs!$H$7+Inputs!$L$7*(((Inputs!$I$7+(((A122)+1)/2)*(Inputs!$J$7-Inputs!$I$7)))/Inputs!$K$7)^2))^2))-((Inputs!$H$7+Inputs!$L$7*(((Inputs!$I$7+(((A122)+1)/2)*(Inputs!$J$7-Inputs!$I$7)))/Inputs!$K$7)^2)))*1000/Inputs!$C$12)</f>
        <v>4500.9136714680544</v>
      </c>
      <c r="AH122" s="9">
        <f>(((SQRT(((Inputs!$I$8+(((A122)+1)/2)*(Inputs!$J$8-Inputs!$I$8)))^2+Inputs!$C$6^2+((Inputs!$H$8+Inputs!$L$8*(((Inputs!$I$8+(((A122)+1)/2)*(Inputs!$J$8-Inputs!$I$8)))/Inputs!$K$8)^2))^2))-((Inputs!$H$8+Inputs!$L$8*(((Inputs!$I$8+(((A122)+1)/2)*(Inputs!$J$8-Inputs!$I$8)))/Inputs!$K$8)^2)))*1000/Inputs!$C$12)</f>
        <v>4500.9136714680544</v>
      </c>
      <c r="AI122" s="9">
        <f>(((SQRT(((Inputs!$I$9+(((A122)+1)/2)*(Inputs!$J$9-Inputs!$I$9)))^2+Inputs!$C$6^2+((Inputs!$H$9+Inputs!$L$9*(((Inputs!$I$9+(((A122)+1)/2)*(Inputs!$J$9-Inputs!$I$9)))/Inputs!$K$9)^2))^2))-((Inputs!$H$9+Inputs!$L$9*(((Inputs!$I$9+(((A122)+1)/2)*(Inputs!$J$9-Inputs!$I$9)))/Inputs!$K$9)^2)))*1000/Inputs!$C$12)</f>
        <v>5817.6062131052686</v>
      </c>
      <c r="AJ122" s="10"/>
      <c r="AK122" s="9">
        <f t="shared" si="11"/>
        <v>0</v>
      </c>
      <c r="AL122" s="9">
        <f>(-2*((1000*((((Inputs!$I$6+(((A122)+1)/2)*(Inputs!$J$6-Inputs!$I$6)))*Inputs!$C$11+((Inputs!$H$6+Inputs!$L$6*(((Inputs!$I$6+(((A122)+1)/2)*(Inputs!$J$6-Inputs!$I$6)))/Inputs!$K$6)^2))*((2*Inputs!$L$6*((Inputs!$I$6+(((A122)+1)/2)*(Inputs!$J$6-Inputs!$I$6)))/(Inputs!$K$6^2)*Inputs!$C$11)))/(SQRT(((Inputs!$I$6+(((A122)+1)/2)*(Inputs!$J$6-Inputs!$I$6)))^2+Inputs!$C$6^2+((Inputs!$H$6+Inputs!$L$6*(((Inputs!$I$6+(((A122)+1)/2)*(Inputs!$J$6-Inputs!$I$6)))/Inputs!$K$6)^2))^2)))))/Inputs!$C$13)</f>
        <v>0</v>
      </c>
      <c r="AM122" s="9">
        <f>(-2*((1000*((((Inputs!$I$7+(((A122)+1)/2)*(Inputs!$J$7-Inputs!$I$7)))*Inputs!$C$11+((Inputs!$H$7+Inputs!$L$7*(((Inputs!$I$7+(((A122)+1)/2)*(Inputs!$J$7-Inputs!$I$7)))/Inputs!$K$7)^2))*((2*Inputs!$L$7*((Inputs!$I$7+(((A122)+1)/2)*(Inputs!$J$7-Inputs!$I$7)))/(Inputs!$K$7^2)*Inputs!$C$11)))/(SQRT(((Inputs!$I$7+(((A122)+1)/2)*(Inputs!$J$7-Inputs!$I$7)))^2+Inputs!$C$6^2+((Inputs!$H$7+Inputs!$L$7*(((Inputs!$I$7+(((A122)+1)/2)*(Inputs!$J$7-Inputs!$I$7)))/Inputs!$K$7)^2))^2)))))/Inputs!$C$13)</f>
        <v>0</v>
      </c>
      <c r="AN122" s="9">
        <f>(-2*((1000*((((Inputs!$I$8+(((A122)+1)/2)*(Inputs!$J$8-Inputs!$I$8)))*Inputs!$C$11+((Inputs!$H$8+Inputs!$L$8*(((Inputs!$I$8+(((A122)+1)/2)*(Inputs!$J$8-Inputs!$I$8)))/Inputs!$K$8)^2))*((2*Inputs!$L$8*((Inputs!$I$8+(((A122)+1)/2)*(Inputs!$J$8-Inputs!$I$8)))/(Inputs!$K$8^2)*Inputs!$C$11)))/(SQRT(((Inputs!$I$8+(((A122)+1)/2)*(Inputs!$J$8-Inputs!$I$8)))^2+Inputs!$C$6^2+((Inputs!$H$8+Inputs!$L$8*(((Inputs!$I$8+(((A122)+1)/2)*(Inputs!$J$8-Inputs!$I$8)))/Inputs!$K$8)^2))^2)))))/Inputs!$C$13)</f>
        <v>0</v>
      </c>
      <c r="AO122" s="9">
        <f>(-2*((1000*((((Inputs!$I$9+(((A122)+1)/2)*(Inputs!$J$9-Inputs!$I$9)))*Inputs!$C$11+((Inputs!$H$9+Inputs!$L$9*(((Inputs!$I$9+(((A122)+1)/2)*(Inputs!$J$9-Inputs!$I$9)))/Inputs!$K$9)^2))*((2*Inputs!$L$9*((Inputs!$I$9+(((A122)+1)/2)*(Inputs!$J$9-Inputs!$I$9)))/(Inputs!$K$9^2)*Inputs!$C$11)))/(SQRT(((Inputs!$I$9+(((A122)+1)/2)*(Inputs!$J$9-Inputs!$I$9)))^2+Inputs!$C$6^2+((Inputs!$H$9+Inputs!$L$9*(((Inputs!$I$9+(((A122)+1)/2)*(Inputs!$J$9-Inputs!$I$9)))/Inputs!$K$9)^2))^2)))))/Inputs!$C$13)</f>
        <v>0</v>
      </c>
    </row>
    <row r="123" spans="1:41">
      <c r="A123" s="9">
        <f>ROUND(-1+121*2/240,3)</f>
        <v>8.0000000000000002E-3</v>
      </c>
      <c r="B123" s="9">
        <f>IF(OR(Inputs!$F$6=TRUE,Inputs!$F$6="TRUE",Inputs!$F$6=1),(Inputs!$H$6+Inputs!$L$6*(((Inputs!$I$6+(((A123)+1)/2)*(Inputs!$J$6-Inputs!$I$6)))/Inputs!$K$6)^2),NA())</f>
        <v>400.00025599999998</v>
      </c>
      <c r="C123" s="9">
        <f>IF(OR(Inputs!$F$7=TRUE,Inputs!$F$7="TRUE",Inputs!$F$7=1),(Inputs!$H$7+Inputs!$L$7*(((Inputs!$I$7+(((A123)+1)/2)*(Inputs!$J$7-Inputs!$I$7)))/Inputs!$K$7)^2),NA())</f>
        <v>35.023359999999997</v>
      </c>
      <c r="D123" s="9">
        <f>IF(OR(Inputs!$F$8=TRUE,Inputs!$F$8="TRUE",Inputs!$F$8=1),(Inputs!$H$8+Inputs!$L$8*(((Inputs!$I$8+(((A123)+1)/2)*(Inputs!$J$8-Inputs!$I$8)))/Inputs!$K$8)^2),NA())</f>
        <v>35.06176</v>
      </c>
      <c r="E123" s="9">
        <f>IF(OR(Inputs!$F$9=TRUE,Inputs!$F$9="TRUE",Inputs!$F$9=1),(Inputs!$H$9+Inputs!$L$9*(((Inputs!$I$9+(((A123)+1)/2)*(Inputs!$J$9-Inputs!$I$9)))/Inputs!$K$9)^2),NA())</f>
        <v>25.0624</v>
      </c>
      <c r="F123" s="10"/>
      <c r="G123" s="9">
        <f t="shared" si="6"/>
        <v>8.0000000000000002E-3</v>
      </c>
      <c r="H123" s="9">
        <f>IF(OR(Inputs!$F$6=TRUE,Inputs!$F$6="TRUE",Inputs!$F$6=1),(((SQRT(((Inputs!$I$6+(((A123)+1)/2)*(Inputs!$J$6-Inputs!$I$6)))^2+Inputs!$C$6^2+((Inputs!$H$6+Inputs!$L$6*(((Inputs!$I$6+(((A123)+1)/2)*(Inputs!$J$6-Inputs!$I$6)))/Inputs!$K$6)^2))^2))-((Inputs!$H$6+Inputs!$L$6*(((Inputs!$I$6+(((A123)+1)/2)*(Inputs!$J$6-Inputs!$I$6)))/Inputs!$K$6)^2)))*1000/Inputs!$C$12),NA())</f>
        <v>438.63791424247449</v>
      </c>
      <c r="I123" s="9">
        <f>IF(OR(Inputs!$F$7=TRUE,Inputs!$F$7="TRUE",Inputs!$F$7=1),(((SQRT(((Inputs!$I$7+(((A123)+1)/2)*(Inputs!$J$7-Inputs!$I$7)))^2+Inputs!$C$6^2+((Inputs!$H$7+Inputs!$L$7*(((Inputs!$I$7+(((A123)+1)/2)*(Inputs!$J$7-Inputs!$I$7)))/Inputs!$K$7)^2))^2))-((Inputs!$H$7+Inputs!$L$7*(((Inputs!$I$7+(((A123)+1)/2)*(Inputs!$J$7-Inputs!$I$7)))/Inputs!$K$7)^2)))*1000/Inputs!$C$12),NA())</f>
        <v>4565.2237256766111</v>
      </c>
      <c r="J123" s="9">
        <f>IF(OR(Inputs!$F$8=TRUE,Inputs!$F$8="TRUE",Inputs!$F$8=1),(((SQRT(((Inputs!$I$8+(((A123)+1)/2)*(Inputs!$J$8-Inputs!$I$8)))^2+Inputs!$C$6^2+((Inputs!$H$8+Inputs!$L$8*(((Inputs!$I$8+(((A123)+1)/2)*(Inputs!$J$8-Inputs!$I$8)))/Inputs!$K$8)^2))^2))-((Inputs!$H$8+Inputs!$L$8*(((Inputs!$I$8+(((A123)+1)/2)*(Inputs!$J$8-Inputs!$I$8)))/Inputs!$K$8)^2)))*1000/Inputs!$C$12),NA())</f>
        <v>4760.1877611479404</v>
      </c>
      <c r="K123" s="9">
        <f>IF(OR(Inputs!$F$9=TRUE,Inputs!$F$9="TRUE",Inputs!$F$9=1),(((SQRT(((Inputs!$I$9+(((A123)+1)/2)*(Inputs!$J$9-Inputs!$I$9)))^2+Inputs!$C$6^2+((Inputs!$H$9+Inputs!$L$9*(((Inputs!$I$9+(((A123)+1)/2)*(Inputs!$J$9-Inputs!$I$9)))/Inputs!$K$9)^2))^2))-((Inputs!$H$9+Inputs!$L$9*(((Inputs!$I$9+(((A123)+1)/2)*(Inputs!$J$9-Inputs!$I$9)))/Inputs!$K$9)^2)))*1000/Inputs!$C$12),NA())</f>
        <v>6129.7626795115111</v>
      </c>
      <c r="L123" s="10"/>
      <c r="M123" s="9">
        <f t="shared" si="7"/>
        <v>8.0000000000000002E-3</v>
      </c>
      <c r="N123" s="9">
        <f>IF(OR(Inputs!$F$6=TRUE,Inputs!$F$6="TRUE",Inputs!$F$6=1),(-2*((1000*((((Inputs!$I$6+(((A123)+1)/2)*(Inputs!$J$6-Inputs!$I$6)))*Inputs!$C$11+((Inputs!$H$6+Inputs!$L$6*(((Inputs!$I$6+(((A123)+1)/2)*(Inputs!$J$6-Inputs!$I$6)))/Inputs!$K$6)^2))*((2*Inputs!$L$6*((Inputs!$I$6+(((A123)+1)/2)*(Inputs!$J$6-Inputs!$I$6)))/(Inputs!$K$6^2)*Inputs!$C$11)))/(SQRT(((Inputs!$I$6+(((A123)+1)/2)*(Inputs!$J$6-Inputs!$I$6)))^2+Inputs!$C$6^2+((Inputs!$H$6+Inputs!$L$6*(((Inputs!$I$6+(((A123)+1)/2)*(Inputs!$J$6-Inputs!$I$6)))/Inputs!$K$6)^2))^2)))))/Inputs!$C$13),NA())</f>
        <v>-3.6196002046048124</v>
      </c>
      <c r="O123" s="9">
        <f>IF(OR(Inputs!$F$7=TRUE,Inputs!$F$7="TRUE",Inputs!$F$7=1),(-2*((1000*((((Inputs!$I$7+(((A123)+1)/2)*(Inputs!$J$7-Inputs!$I$7)))*Inputs!$C$11+((Inputs!$H$7+Inputs!$L$7*(((Inputs!$I$7+(((A123)+1)/2)*(Inputs!$J$7-Inputs!$I$7)))/Inputs!$K$7)^2))*((2*Inputs!$L$7*((Inputs!$I$7+(((A123)+1)/2)*(Inputs!$J$7-Inputs!$I$7)))/(Inputs!$K$7^2)*Inputs!$C$11)))/(SQRT(((Inputs!$I$7+(((A123)+1)/2)*(Inputs!$J$7-Inputs!$I$7)))^2+Inputs!$C$6^2+((Inputs!$H$7+Inputs!$L$7*(((Inputs!$I$7+(((A123)+1)/2)*(Inputs!$J$7-Inputs!$I$7)))/Inputs!$K$7)^2))^2)))))/Inputs!$C$13),NA())</f>
        <v>-137.61808219499</v>
      </c>
      <c r="P123" s="9">
        <f>IF(OR(Inputs!$F$8=TRUE,Inputs!$F$8="TRUE",Inputs!$F$8=1),(-2*((1000*((((Inputs!$I$8+(((A123)+1)/2)*(Inputs!$J$8-Inputs!$I$8)))*Inputs!$C$11+((Inputs!$H$8+Inputs!$L$8*(((Inputs!$I$8+(((A123)+1)/2)*(Inputs!$J$8-Inputs!$I$8)))/Inputs!$K$8)^2))*((2*Inputs!$L$8*((Inputs!$I$8+(((A123)+1)/2)*(Inputs!$J$8-Inputs!$I$8)))/(Inputs!$K$8^2)*Inputs!$C$11)))/(SQRT(((Inputs!$I$8+(((A123)+1)/2)*(Inputs!$J$8-Inputs!$I$8)))^2+Inputs!$C$6^2+((Inputs!$H$8+Inputs!$L$8*(((Inputs!$I$8+(((A123)+1)/2)*(Inputs!$J$8-Inputs!$I$8)))/Inputs!$K$8)^2))^2)))))/Inputs!$C$13),NA())</f>
        <v>-260.0834882685773</v>
      </c>
      <c r="Q123" s="9">
        <f>IF(OR(Inputs!$F$9=TRUE,Inputs!$F$9="TRUE",Inputs!$F$9=1),(-2*((1000*((((Inputs!$I$9+(((A123)+1)/2)*(Inputs!$J$9-Inputs!$I$9)))*Inputs!$C$11+((Inputs!$H$9+Inputs!$L$9*(((Inputs!$I$9+(((A123)+1)/2)*(Inputs!$J$9-Inputs!$I$9)))/Inputs!$K$9)^2))*((2*Inputs!$L$9*((Inputs!$I$9+(((A123)+1)/2)*(Inputs!$J$9-Inputs!$I$9)))/(Inputs!$K$9^2)*Inputs!$C$11)))/(SQRT(((Inputs!$I$9+(((A123)+1)/2)*(Inputs!$J$9-Inputs!$I$9)))^2+Inputs!$C$6^2+((Inputs!$H$9+Inputs!$L$9*(((Inputs!$I$9+(((A123)+1)/2)*(Inputs!$J$9-Inputs!$I$9)))/Inputs!$K$9)^2))^2)))))/Inputs!$C$13),NA())</f>
        <v>-306.39177148980212</v>
      </c>
      <c r="R123" s="10"/>
      <c r="S123" s="9">
        <f t="shared" si="8"/>
        <v>8.0000000000000002E-3</v>
      </c>
      <c r="T123" s="9">
        <f>(Inputs!$I$6+(((A123)+1)/2)*(Inputs!$J$6-Inputs!$I$6))</f>
        <v>0.48000000000000398</v>
      </c>
      <c r="U123" s="9">
        <f>(Inputs!$I$7+(((A123)+1)/2)*(Inputs!$J$7-Inputs!$I$7))</f>
        <v>3.1999999999999886</v>
      </c>
      <c r="V123" s="9">
        <f>(Inputs!$I$8+(((A123)+1)/2)*(Inputs!$J$8-Inputs!$I$8))</f>
        <v>6.3999999999999773</v>
      </c>
      <c r="W123" s="9">
        <f>(Inputs!$I$9+(((A123)+1)/2)*(Inputs!$J$9-Inputs!$I$9))</f>
        <v>6.3999999999999773</v>
      </c>
      <c r="X123" s="10"/>
      <c r="Y123" s="9">
        <f t="shared" si="9"/>
        <v>8.0000000000000002E-3</v>
      </c>
      <c r="Z123" s="9">
        <f>(Inputs!$H$6+Inputs!$L$6*(((Inputs!$I$6+(((A123)+1)/2)*(Inputs!$J$6-Inputs!$I$6)))/Inputs!$K$6)^2)</f>
        <v>400.00025599999998</v>
      </c>
      <c r="AA123" s="9">
        <f>(Inputs!$H$7+Inputs!$L$7*(((Inputs!$I$7+(((A123)+1)/2)*(Inputs!$J$7-Inputs!$I$7)))/Inputs!$K$7)^2)</f>
        <v>35.023359999999997</v>
      </c>
      <c r="AB123" s="9">
        <f>(Inputs!$H$8+Inputs!$L$8*(((Inputs!$I$8+(((A123)+1)/2)*(Inputs!$J$8-Inputs!$I$8)))/Inputs!$K$8)^2)</f>
        <v>35.06176</v>
      </c>
      <c r="AC123" s="9">
        <f>(Inputs!$H$9+Inputs!$L$9*(((Inputs!$I$9+(((A123)+1)/2)*(Inputs!$J$9-Inputs!$I$9)))/Inputs!$K$9)^2)</f>
        <v>25.0624</v>
      </c>
      <c r="AD123" s="10"/>
      <c r="AE123" s="9">
        <f t="shared" si="10"/>
        <v>8.0000000000000002E-3</v>
      </c>
      <c r="AF123" s="9">
        <f>(((SQRT(((Inputs!$I$6+(((A123)+1)/2)*(Inputs!$J$6-Inputs!$I$6)))^2+Inputs!$C$6^2+((Inputs!$H$6+Inputs!$L$6*(((Inputs!$I$6+(((A123)+1)/2)*(Inputs!$J$6-Inputs!$I$6)))/Inputs!$K$6)^2))^2))-((Inputs!$H$6+Inputs!$L$6*(((Inputs!$I$6+(((A123)+1)/2)*(Inputs!$J$6-Inputs!$I$6)))/Inputs!$K$6)^2)))*1000/Inputs!$C$12)</f>
        <v>438.63791424247449</v>
      </c>
      <c r="AG123" s="9">
        <f>(((SQRT(((Inputs!$I$7+(((A123)+1)/2)*(Inputs!$J$7-Inputs!$I$7)))^2+Inputs!$C$6^2+((Inputs!$H$7+Inputs!$L$7*(((Inputs!$I$7+(((A123)+1)/2)*(Inputs!$J$7-Inputs!$I$7)))/Inputs!$K$7)^2))^2))-((Inputs!$H$7+Inputs!$L$7*(((Inputs!$I$7+(((A123)+1)/2)*(Inputs!$J$7-Inputs!$I$7)))/Inputs!$K$7)^2)))*1000/Inputs!$C$12)</f>
        <v>4565.2237256766111</v>
      </c>
      <c r="AH123" s="9">
        <f>(((SQRT(((Inputs!$I$8+(((A123)+1)/2)*(Inputs!$J$8-Inputs!$I$8)))^2+Inputs!$C$6^2+((Inputs!$H$8+Inputs!$L$8*(((Inputs!$I$8+(((A123)+1)/2)*(Inputs!$J$8-Inputs!$I$8)))/Inputs!$K$8)^2))^2))-((Inputs!$H$8+Inputs!$L$8*(((Inputs!$I$8+(((A123)+1)/2)*(Inputs!$J$8-Inputs!$I$8)))/Inputs!$K$8)^2)))*1000/Inputs!$C$12)</f>
        <v>4760.1877611479404</v>
      </c>
      <c r="AI123" s="9">
        <f>(((SQRT(((Inputs!$I$9+(((A123)+1)/2)*(Inputs!$J$9-Inputs!$I$9)))^2+Inputs!$C$6^2+((Inputs!$H$9+Inputs!$L$9*(((Inputs!$I$9+(((A123)+1)/2)*(Inputs!$J$9-Inputs!$I$9)))/Inputs!$K$9)^2))^2))-((Inputs!$H$9+Inputs!$L$9*(((Inputs!$I$9+(((A123)+1)/2)*(Inputs!$J$9-Inputs!$I$9)))/Inputs!$K$9)^2)))*1000/Inputs!$C$12)</f>
        <v>6129.7626795115111</v>
      </c>
      <c r="AJ123" s="10"/>
      <c r="AK123" s="9">
        <f t="shared" si="11"/>
        <v>8.0000000000000002E-3</v>
      </c>
      <c r="AL123" s="9">
        <f>(-2*((1000*((((Inputs!$I$6+(((A123)+1)/2)*(Inputs!$J$6-Inputs!$I$6)))*Inputs!$C$11+((Inputs!$H$6+Inputs!$L$6*(((Inputs!$I$6+(((A123)+1)/2)*(Inputs!$J$6-Inputs!$I$6)))/Inputs!$K$6)^2))*((2*Inputs!$L$6*((Inputs!$I$6+(((A123)+1)/2)*(Inputs!$J$6-Inputs!$I$6)))/(Inputs!$K$6^2)*Inputs!$C$11)))/(SQRT(((Inputs!$I$6+(((A123)+1)/2)*(Inputs!$J$6-Inputs!$I$6)))^2+Inputs!$C$6^2+((Inputs!$H$6+Inputs!$L$6*(((Inputs!$I$6+(((A123)+1)/2)*(Inputs!$J$6-Inputs!$I$6)))/Inputs!$K$6)^2))^2)))))/Inputs!$C$13)</f>
        <v>-3.6196002046048124</v>
      </c>
      <c r="AM123" s="9">
        <f>(-2*((1000*((((Inputs!$I$7+(((A123)+1)/2)*(Inputs!$J$7-Inputs!$I$7)))*Inputs!$C$11+((Inputs!$H$7+Inputs!$L$7*(((Inputs!$I$7+(((A123)+1)/2)*(Inputs!$J$7-Inputs!$I$7)))/Inputs!$K$7)^2))*((2*Inputs!$L$7*((Inputs!$I$7+(((A123)+1)/2)*(Inputs!$J$7-Inputs!$I$7)))/(Inputs!$K$7^2)*Inputs!$C$11)))/(SQRT(((Inputs!$I$7+(((A123)+1)/2)*(Inputs!$J$7-Inputs!$I$7)))^2+Inputs!$C$6^2+((Inputs!$H$7+Inputs!$L$7*(((Inputs!$I$7+(((A123)+1)/2)*(Inputs!$J$7-Inputs!$I$7)))/Inputs!$K$7)^2))^2)))))/Inputs!$C$13)</f>
        <v>-137.61808219499</v>
      </c>
      <c r="AN123" s="9">
        <f>(-2*((1000*((((Inputs!$I$8+(((A123)+1)/2)*(Inputs!$J$8-Inputs!$I$8)))*Inputs!$C$11+((Inputs!$H$8+Inputs!$L$8*(((Inputs!$I$8+(((A123)+1)/2)*(Inputs!$J$8-Inputs!$I$8)))/Inputs!$K$8)^2))*((2*Inputs!$L$8*((Inputs!$I$8+(((A123)+1)/2)*(Inputs!$J$8-Inputs!$I$8)))/(Inputs!$K$8^2)*Inputs!$C$11)))/(SQRT(((Inputs!$I$8+(((A123)+1)/2)*(Inputs!$J$8-Inputs!$I$8)))^2+Inputs!$C$6^2+((Inputs!$H$8+Inputs!$L$8*(((Inputs!$I$8+(((A123)+1)/2)*(Inputs!$J$8-Inputs!$I$8)))/Inputs!$K$8)^2))^2)))))/Inputs!$C$13)</f>
        <v>-260.0834882685773</v>
      </c>
      <c r="AO123" s="9">
        <f>(-2*((1000*((((Inputs!$I$9+(((A123)+1)/2)*(Inputs!$J$9-Inputs!$I$9)))*Inputs!$C$11+((Inputs!$H$9+Inputs!$L$9*(((Inputs!$I$9+(((A123)+1)/2)*(Inputs!$J$9-Inputs!$I$9)))/Inputs!$K$9)^2))*((2*Inputs!$L$9*((Inputs!$I$9+(((A123)+1)/2)*(Inputs!$J$9-Inputs!$I$9)))/(Inputs!$K$9^2)*Inputs!$C$11)))/(SQRT(((Inputs!$I$9+(((A123)+1)/2)*(Inputs!$J$9-Inputs!$I$9)))^2+Inputs!$C$6^2+((Inputs!$H$9+Inputs!$L$9*(((Inputs!$I$9+(((A123)+1)/2)*(Inputs!$J$9-Inputs!$I$9)))/Inputs!$K$9)^2))^2)))))/Inputs!$C$13)</f>
        <v>-306.39177148980212</v>
      </c>
    </row>
    <row r="124" spans="1:41">
      <c r="A124" s="9">
        <f>ROUND(-1+122*2/240,3)</f>
        <v>1.7000000000000001E-2</v>
      </c>
      <c r="B124" s="9">
        <f>IF(OR(Inputs!$F$6=TRUE,Inputs!$F$6="TRUE",Inputs!$F$6=1),(Inputs!$H$6+Inputs!$L$6*(((Inputs!$I$6+(((A124)+1)/2)*(Inputs!$J$6-Inputs!$I$6)))/Inputs!$K$6)^2),NA())</f>
        <v>400.00115599999998</v>
      </c>
      <c r="C124" s="9">
        <f>IF(OR(Inputs!$F$7=TRUE,Inputs!$F$7="TRUE",Inputs!$F$7=1),(Inputs!$H$7+Inputs!$L$7*(((Inputs!$I$7+(((A124)+1)/2)*(Inputs!$J$7-Inputs!$I$7)))/Inputs!$K$7)^2),NA())</f>
        <v>35.105485000000002</v>
      </c>
      <c r="D124" s="9">
        <f>IF(OR(Inputs!$F$8=TRUE,Inputs!$F$8="TRUE",Inputs!$F$8=1),(Inputs!$H$8+Inputs!$L$8*(((Inputs!$I$8+(((A124)+1)/2)*(Inputs!$J$8-Inputs!$I$8)))/Inputs!$K$8)^2),NA())</f>
        <v>35.278884999999995</v>
      </c>
      <c r="E124" s="9">
        <f>IF(OR(Inputs!$F$9=TRUE,Inputs!$F$9="TRUE",Inputs!$F$9=1),(Inputs!$H$9+Inputs!$L$9*(((Inputs!$I$9+(((A124)+1)/2)*(Inputs!$J$9-Inputs!$I$9)))/Inputs!$K$9)^2),NA())</f>
        <v>25.281774999999996</v>
      </c>
      <c r="F124" s="10"/>
      <c r="G124" s="9">
        <f t="shared" si="6"/>
        <v>1.7000000000000001E-2</v>
      </c>
      <c r="H124" s="9">
        <f>IF(OR(Inputs!$F$6=TRUE,Inputs!$F$6="TRUE",Inputs!$F$6=1),(((SQRT(((Inputs!$I$6+(((A124)+1)/2)*(Inputs!$J$6-Inputs!$I$6)))^2+Inputs!$C$6^2+((Inputs!$H$6+Inputs!$L$6*(((Inputs!$I$6+(((A124)+1)/2)*(Inputs!$J$6-Inputs!$I$6)))/Inputs!$K$6)^2))^2))-((Inputs!$H$6+Inputs!$L$6*(((Inputs!$I$6+(((A124)+1)/2)*(Inputs!$J$6-Inputs!$I$6)))/Inputs!$K$6)^2)))*1000/Inputs!$C$12),NA())</f>
        <v>439.20463896751465</v>
      </c>
      <c r="I124" s="9">
        <f>IF(OR(Inputs!$F$7=TRUE,Inputs!$F$7="TRUE",Inputs!$F$7=1),(((SQRT(((Inputs!$I$7+(((A124)+1)/2)*(Inputs!$J$7-Inputs!$I$7)))^2+Inputs!$C$6^2+((Inputs!$H$7+Inputs!$L$7*(((Inputs!$I$7+(((A124)+1)/2)*(Inputs!$J$7-Inputs!$I$7)))/Inputs!$K$7)^2))^2))-((Inputs!$H$7+Inputs!$L$7*(((Inputs!$I$7+(((A124)+1)/2)*(Inputs!$J$7-Inputs!$I$7)))/Inputs!$K$7)^2)))*1000/Inputs!$C$12),NA())</f>
        <v>4789.4279239154157</v>
      </c>
      <c r="J124" s="9">
        <f>IF(OR(Inputs!$F$8=TRUE,Inputs!$F$8="TRUE",Inputs!$F$8=1),(((SQRT(((Inputs!$I$8+(((A124)+1)/2)*(Inputs!$J$8-Inputs!$I$8)))^2+Inputs!$C$6^2+((Inputs!$H$8+Inputs!$L$8*(((Inputs!$I$8+(((A124)+1)/2)*(Inputs!$J$8-Inputs!$I$8)))/Inputs!$K$8)^2))^2))-((Inputs!$H$8+Inputs!$L$8*(((Inputs!$I$8+(((A124)+1)/2)*(Inputs!$J$8-Inputs!$I$8)))/Inputs!$K$8)^2)))*1000/Inputs!$C$12),NA())</f>
        <v>5645.1497085596193</v>
      </c>
      <c r="K124" s="9">
        <f>IF(OR(Inputs!$F$9=TRUE,Inputs!$F$9="TRUE",Inputs!$F$9=1),(((SQRT(((Inputs!$I$9+(((A124)+1)/2)*(Inputs!$J$9-Inputs!$I$9)))^2+Inputs!$C$6^2+((Inputs!$H$9+Inputs!$L$9*(((Inputs!$I$9+(((A124)+1)/2)*(Inputs!$J$9-Inputs!$I$9)))/Inputs!$K$9)^2))^2))-((Inputs!$H$9+Inputs!$L$9*(((Inputs!$I$9+(((A124)+1)/2)*(Inputs!$J$9-Inputs!$I$9)))/Inputs!$K$9)^2)))*1000/Inputs!$C$12),NA())</f>
        <v>7182.9442804401715</v>
      </c>
      <c r="L124" s="10"/>
      <c r="M124" s="9">
        <f t="shared" si="7"/>
        <v>1.7000000000000001E-2</v>
      </c>
      <c r="N124" s="9">
        <f>IF(OR(Inputs!$F$6=TRUE,Inputs!$F$6="TRUE",Inputs!$F$6=1),(-2*((1000*((((Inputs!$I$6+(((A124)+1)/2)*(Inputs!$J$6-Inputs!$I$6)))*Inputs!$C$11+((Inputs!$H$6+Inputs!$L$6*(((Inputs!$I$6+(((A124)+1)/2)*(Inputs!$J$6-Inputs!$I$6)))/Inputs!$K$6)^2))*((2*Inputs!$L$6*((Inputs!$I$6+(((A124)+1)/2)*(Inputs!$J$6-Inputs!$I$6)))/(Inputs!$K$6^2)*Inputs!$C$11)))/(SQRT(((Inputs!$I$6+(((A124)+1)/2)*(Inputs!$J$6-Inputs!$I$6)))^2+Inputs!$C$6^2+((Inputs!$H$6+Inputs!$L$6*(((Inputs!$I$6+(((A124)+1)/2)*(Inputs!$J$6-Inputs!$I$6)))/Inputs!$K$6)^2))^2)))))/Inputs!$C$13),NA())</f>
        <v>-7.6916219465673574</v>
      </c>
      <c r="O124" s="9">
        <f>IF(OR(Inputs!$F$7=TRUE,Inputs!$F$7="TRUE",Inputs!$F$7=1),(-2*((1000*((((Inputs!$I$7+(((A124)+1)/2)*(Inputs!$J$7-Inputs!$I$7)))*Inputs!$C$11+((Inputs!$H$7+Inputs!$L$7*(((Inputs!$I$7+(((A124)+1)/2)*(Inputs!$J$7-Inputs!$I$7)))/Inputs!$K$7)^2))*((2*Inputs!$L$7*((Inputs!$I$7+(((A124)+1)/2)*(Inputs!$J$7-Inputs!$I$7)))/(Inputs!$K$7^2)*Inputs!$C$11)))/(SQRT(((Inputs!$I$7+(((A124)+1)/2)*(Inputs!$J$7-Inputs!$I$7)))^2+Inputs!$C$6^2+((Inputs!$H$7+Inputs!$L$7*(((Inputs!$I$7+(((A124)+1)/2)*(Inputs!$J$7-Inputs!$I$7)))/Inputs!$K$7)^2))^2)))))/Inputs!$C$13),NA())</f>
        <v>-289.30651829984402</v>
      </c>
      <c r="P124" s="9">
        <f>IF(OR(Inputs!$F$8=TRUE,Inputs!$F$8="TRUE",Inputs!$F$8=1),(-2*((1000*((((Inputs!$I$8+(((A124)+1)/2)*(Inputs!$J$8-Inputs!$I$8)))*Inputs!$C$11+((Inputs!$H$8+Inputs!$L$8*(((Inputs!$I$8+(((A124)+1)/2)*(Inputs!$J$8-Inputs!$I$8)))/Inputs!$K$8)^2))*((2*Inputs!$L$8*((Inputs!$I$8+(((A124)+1)/2)*(Inputs!$J$8-Inputs!$I$8)))/(Inputs!$K$8^2)*Inputs!$C$11)))/(SQRT(((Inputs!$I$8+(((A124)+1)/2)*(Inputs!$J$8-Inputs!$I$8)))^2+Inputs!$C$6^2+((Inputs!$H$8+Inputs!$L$8*(((Inputs!$I$8+(((A124)+1)/2)*(Inputs!$J$8-Inputs!$I$8)))/Inputs!$K$8)^2))^2)))))/Inputs!$C$13),NA())</f>
        <v>-531.13744264123397</v>
      </c>
      <c r="Q124" s="9">
        <f>IF(OR(Inputs!$F$9=TRUE,Inputs!$F$9="TRUE",Inputs!$F$9=1),(-2*((1000*((((Inputs!$I$9+(((A124)+1)/2)*(Inputs!$J$9-Inputs!$I$9)))*Inputs!$C$11+((Inputs!$H$9+Inputs!$L$9*(((Inputs!$I$9+(((A124)+1)/2)*(Inputs!$J$9-Inputs!$I$9)))/Inputs!$K$9)^2))*((2*Inputs!$L$9*((Inputs!$I$9+(((A124)+1)/2)*(Inputs!$J$9-Inputs!$I$9)))/(Inputs!$K$9^2)*Inputs!$C$11)))/(SQRT(((Inputs!$I$9+(((A124)+1)/2)*(Inputs!$J$9-Inputs!$I$9)))^2+Inputs!$C$6^2+((Inputs!$H$9+Inputs!$L$9*(((Inputs!$I$9+(((A124)+1)/2)*(Inputs!$J$9-Inputs!$I$9)))/Inputs!$K$9)^2))^2)))))/Inputs!$C$13),NA())</f>
        <v>-615.64939931356025</v>
      </c>
      <c r="R124" s="10"/>
      <c r="S124" s="9">
        <f t="shared" si="8"/>
        <v>1.7000000000000001E-2</v>
      </c>
      <c r="T124" s="9">
        <f>(Inputs!$I$6+(((A124)+1)/2)*(Inputs!$J$6-Inputs!$I$6))</f>
        <v>1.019999999999996</v>
      </c>
      <c r="U124" s="9">
        <f>(Inputs!$I$7+(((A124)+1)/2)*(Inputs!$J$7-Inputs!$I$7))</f>
        <v>6.7999999999999545</v>
      </c>
      <c r="V124" s="9">
        <f>(Inputs!$I$8+(((A124)+1)/2)*(Inputs!$J$8-Inputs!$I$8))</f>
        <v>13.599999999999909</v>
      </c>
      <c r="W124" s="9">
        <f>(Inputs!$I$9+(((A124)+1)/2)*(Inputs!$J$9-Inputs!$I$9))</f>
        <v>13.599999999999909</v>
      </c>
      <c r="X124" s="10"/>
      <c r="Y124" s="9">
        <f t="shared" si="9"/>
        <v>1.7000000000000001E-2</v>
      </c>
      <c r="Z124" s="9">
        <f>(Inputs!$H$6+Inputs!$L$6*(((Inputs!$I$6+(((A124)+1)/2)*(Inputs!$J$6-Inputs!$I$6)))/Inputs!$K$6)^2)</f>
        <v>400.00115599999998</v>
      </c>
      <c r="AA124" s="9">
        <f>(Inputs!$H$7+Inputs!$L$7*(((Inputs!$I$7+(((A124)+1)/2)*(Inputs!$J$7-Inputs!$I$7)))/Inputs!$K$7)^2)</f>
        <v>35.105485000000002</v>
      </c>
      <c r="AB124" s="9">
        <f>(Inputs!$H$8+Inputs!$L$8*(((Inputs!$I$8+(((A124)+1)/2)*(Inputs!$J$8-Inputs!$I$8)))/Inputs!$K$8)^2)</f>
        <v>35.278884999999995</v>
      </c>
      <c r="AC124" s="9">
        <f>(Inputs!$H$9+Inputs!$L$9*(((Inputs!$I$9+(((A124)+1)/2)*(Inputs!$J$9-Inputs!$I$9)))/Inputs!$K$9)^2)</f>
        <v>25.281774999999996</v>
      </c>
      <c r="AD124" s="10"/>
      <c r="AE124" s="9">
        <f t="shared" si="10"/>
        <v>1.7000000000000001E-2</v>
      </c>
      <c r="AF124" s="9">
        <f>(((SQRT(((Inputs!$I$6+(((A124)+1)/2)*(Inputs!$J$6-Inputs!$I$6)))^2+Inputs!$C$6^2+((Inputs!$H$6+Inputs!$L$6*(((Inputs!$I$6+(((A124)+1)/2)*(Inputs!$J$6-Inputs!$I$6)))/Inputs!$K$6)^2))^2))-((Inputs!$H$6+Inputs!$L$6*(((Inputs!$I$6+(((A124)+1)/2)*(Inputs!$J$6-Inputs!$I$6)))/Inputs!$K$6)^2)))*1000/Inputs!$C$12)</f>
        <v>439.20463896751465</v>
      </c>
      <c r="AG124" s="9">
        <f>(((SQRT(((Inputs!$I$7+(((A124)+1)/2)*(Inputs!$J$7-Inputs!$I$7)))^2+Inputs!$C$6^2+((Inputs!$H$7+Inputs!$L$7*(((Inputs!$I$7+(((A124)+1)/2)*(Inputs!$J$7-Inputs!$I$7)))/Inputs!$K$7)^2))^2))-((Inputs!$H$7+Inputs!$L$7*(((Inputs!$I$7+(((A124)+1)/2)*(Inputs!$J$7-Inputs!$I$7)))/Inputs!$K$7)^2)))*1000/Inputs!$C$12)</f>
        <v>4789.4279239154157</v>
      </c>
      <c r="AH124" s="9">
        <f>(((SQRT(((Inputs!$I$8+(((A124)+1)/2)*(Inputs!$J$8-Inputs!$I$8)))^2+Inputs!$C$6^2+((Inputs!$H$8+Inputs!$L$8*(((Inputs!$I$8+(((A124)+1)/2)*(Inputs!$J$8-Inputs!$I$8)))/Inputs!$K$8)^2))^2))-((Inputs!$H$8+Inputs!$L$8*(((Inputs!$I$8+(((A124)+1)/2)*(Inputs!$J$8-Inputs!$I$8)))/Inputs!$K$8)^2)))*1000/Inputs!$C$12)</f>
        <v>5645.1497085596193</v>
      </c>
      <c r="AI124" s="9">
        <f>(((SQRT(((Inputs!$I$9+(((A124)+1)/2)*(Inputs!$J$9-Inputs!$I$9)))^2+Inputs!$C$6^2+((Inputs!$H$9+Inputs!$L$9*(((Inputs!$I$9+(((A124)+1)/2)*(Inputs!$J$9-Inputs!$I$9)))/Inputs!$K$9)^2))^2))-((Inputs!$H$9+Inputs!$L$9*(((Inputs!$I$9+(((A124)+1)/2)*(Inputs!$J$9-Inputs!$I$9)))/Inputs!$K$9)^2)))*1000/Inputs!$C$12)</f>
        <v>7182.9442804401715</v>
      </c>
      <c r="AJ124" s="10"/>
      <c r="AK124" s="9">
        <f t="shared" si="11"/>
        <v>1.7000000000000001E-2</v>
      </c>
      <c r="AL124" s="9">
        <f>(-2*((1000*((((Inputs!$I$6+(((A124)+1)/2)*(Inputs!$J$6-Inputs!$I$6)))*Inputs!$C$11+((Inputs!$H$6+Inputs!$L$6*(((Inputs!$I$6+(((A124)+1)/2)*(Inputs!$J$6-Inputs!$I$6)))/Inputs!$K$6)^2))*((2*Inputs!$L$6*((Inputs!$I$6+(((A124)+1)/2)*(Inputs!$J$6-Inputs!$I$6)))/(Inputs!$K$6^2)*Inputs!$C$11)))/(SQRT(((Inputs!$I$6+(((A124)+1)/2)*(Inputs!$J$6-Inputs!$I$6)))^2+Inputs!$C$6^2+((Inputs!$H$6+Inputs!$L$6*(((Inputs!$I$6+(((A124)+1)/2)*(Inputs!$J$6-Inputs!$I$6)))/Inputs!$K$6)^2))^2)))))/Inputs!$C$13)</f>
        <v>-7.6916219465673574</v>
      </c>
      <c r="AM124" s="9">
        <f>(-2*((1000*((((Inputs!$I$7+(((A124)+1)/2)*(Inputs!$J$7-Inputs!$I$7)))*Inputs!$C$11+((Inputs!$H$7+Inputs!$L$7*(((Inputs!$I$7+(((A124)+1)/2)*(Inputs!$J$7-Inputs!$I$7)))/Inputs!$K$7)^2))*((2*Inputs!$L$7*((Inputs!$I$7+(((A124)+1)/2)*(Inputs!$J$7-Inputs!$I$7)))/(Inputs!$K$7^2)*Inputs!$C$11)))/(SQRT(((Inputs!$I$7+(((A124)+1)/2)*(Inputs!$J$7-Inputs!$I$7)))^2+Inputs!$C$6^2+((Inputs!$H$7+Inputs!$L$7*(((Inputs!$I$7+(((A124)+1)/2)*(Inputs!$J$7-Inputs!$I$7)))/Inputs!$K$7)^2))^2)))))/Inputs!$C$13)</f>
        <v>-289.30651829984402</v>
      </c>
      <c r="AN124" s="9">
        <f>(-2*((1000*((((Inputs!$I$8+(((A124)+1)/2)*(Inputs!$J$8-Inputs!$I$8)))*Inputs!$C$11+((Inputs!$H$8+Inputs!$L$8*(((Inputs!$I$8+(((A124)+1)/2)*(Inputs!$J$8-Inputs!$I$8)))/Inputs!$K$8)^2))*((2*Inputs!$L$8*((Inputs!$I$8+(((A124)+1)/2)*(Inputs!$J$8-Inputs!$I$8)))/(Inputs!$K$8^2)*Inputs!$C$11)))/(SQRT(((Inputs!$I$8+(((A124)+1)/2)*(Inputs!$J$8-Inputs!$I$8)))^2+Inputs!$C$6^2+((Inputs!$H$8+Inputs!$L$8*(((Inputs!$I$8+(((A124)+1)/2)*(Inputs!$J$8-Inputs!$I$8)))/Inputs!$K$8)^2))^2)))))/Inputs!$C$13)</f>
        <v>-531.13744264123397</v>
      </c>
      <c r="AO124" s="9">
        <f>(-2*((1000*((((Inputs!$I$9+(((A124)+1)/2)*(Inputs!$J$9-Inputs!$I$9)))*Inputs!$C$11+((Inputs!$H$9+Inputs!$L$9*(((Inputs!$I$9+(((A124)+1)/2)*(Inputs!$J$9-Inputs!$I$9)))/Inputs!$K$9)^2))*((2*Inputs!$L$9*((Inputs!$I$9+(((A124)+1)/2)*(Inputs!$J$9-Inputs!$I$9)))/(Inputs!$K$9^2)*Inputs!$C$11)))/(SQRT(((Inputs!$I$9+(((A124)+1)/2)*(Inputs!$J$9-Inputs!$I$9)))^2+Inputs!$C$6^2+((Inputs!$H$9+Inputs!$L$9*(((Inputs!$I$9+(((A124)+1)/2)*(Inputs!$J$9-Inputs!$I$9)))/Inputs!$K$9)^2))^2)))))/Inputs!$C$13)</f>
        <v>-615.64939931356025</v>
      </c>
    </row>
    <row r="125" spans="1:41">
      <c r="A125" s="9">
        <f>ROUND(-1+123*2/240,3)</f>
        <v>2.5000000000000001E-2</v>
      </c>
      <c r="B125" s="9">
        <f>IF(OR(Inputs!$F$6=TRUE,Inputs!$F$6="TRUE",Inputs!$F$6=1),(Inputs!$H$6+Inputs!$L$6*(((Inputs!$I$6+(((A125)+1)/2)*(Inputs!$J$6-Inputs!$I$6)))/Inputs!$K$6)^2),NA())</f>
        <v>400.0025</v>
      </c>
      <c r="C125" s="9">
        <f>IF(OR(Inputs!$F$7=TRUE,Inputs!$F$7="TRUE",Inputs!$F$7=1),(Inputs!$H$7+Inputs!$L$7*(((Inputs!$I$7+(((A125)+1)/2)*(Inputs!$J$7-Inputs!$I$7)))/Inputs!$K$7)^2),NA())</f>
        <v>35.228124999999999</v>
      </c>
      <c r="D125" s="9">
        <f>IF(OR(Inputs!$F$8=TRUE,Inputs!$F$8="TRUE",Inputs!$F$8=1),(Inputs!$H$8+Inputs!$L$8*(((Inputs!$I$8+(((A125)+1)/2)*(Inputs!$J$8-Inputs!$I$8)))/Inputs!$K$8)^2),NA())</f>
        <v>35.603124999999991</v>
      </c>
      <c r="E125" s="9">
        <f>IF(OR(Inputs!$F$9=TRUE,Inputs!$F$9="TRUE",Inputs!$F$9=1),(Inputs!$H$9+Inputs!$L$9*(((Inputs!$I$9+(((A125)+1)/2)*(Inputs!$J$9-Inputs!$I$9)))/Inputs!$K$9)^2),NA())</f>
        <v>25.609374999999993</v>
      </c>
      <c r="F125" s="10"/>
      <c r="G125" s="9">
        <f t="shared" si="6"/>
        <v>2.5000000000000001E-2</v>
      </c>
      <c r="H125" s="9">
        <f>IF(OR(Inputs!$F$6=TRUE,Inputs!$F$6="TRUE",Inputs!$F$6=1),(((SQRT(((Inputs!$I$6+(((A125)+1)/2)*(Inputs!$J$6-Inputs!$I$6)))^2+Inputs!$C$6^2+((Inputs!$H$6+Inputs!$L$6*(((Inputs!$I$6+(((A125)+1)/2)*(Inputs!$J$6-Inputs!$I$6)))/Inputs!$K$6)^2))^2))-((Inputs!$H$6+Inputs!$L$6*(((Inputs!$I$6+(((A125)+1)/2)*(Inputs!$J$6-Inputs!$I$6)))/Inputs!$K$6)^2)))*1000/Inputs!$C$12),NA())</f>
        <v>440.05094049615832</v>
      </c>
      <c r="I125" s="9">
        <f>IF(OR(Inputs!$F$7=TRUE,Inputs!$F$7="TRUE",Inputs!$F$7=1),(((SQRT(((Inputs!$I$7+(((A125)+1)/2)*(Inputs!$J$7-Inputs!$I$7)))^2+Inputs!$C$6^2+((Inputs!$H$7+Inputs!$L$7*(((Inputs!$I$7+(((A125)+1)/2)*(Inputs!$J$7-Inputs!$I$7)))/Inputs!$K$7)^2))^2))-((Inputs!$H$7+Inputs!$L$7*(((Inputs!$I$7+(((A125)+1)/2)*(Inputs!$J$7-Inputs!$I$7)))/Inputs!$K$7)^2)))*1000/Inputs!$C$12),NA())</f>
        <v>5118.9370821216608</v>
      </c>
      <c r="J125" s="9">
        <f>IF(OR(Inputs!$F$8=TRUE,Inputs!$F$8="TRUE",Inputs!$F$8=1),(((SQRT(((Inputs!$I$8+(((A125)+1)/2)*(Inputs!$J$8-Inputs!$I$8)))^2+Inputs!$C$6^2+((Inputs!$H$8+Inputs!$L$8*(((Inputs!$I$8+(((A125)+1)/2)*(Inputs!$J$8-Inputs!$I$8)))/Inputs!$K$8)^2))^2))-((Inputs!$H$8+Inputs!$L$8*(((Inputs!$I$8+(((A125)+1)/2)*(Inputs!$J$8-Inputs!$I$8)))/Inputs!$K$8)^2)))*1000/Inputs!$C$12),NA())</f>
        <v>6897.6376974683553</v>
      </c>
      <c r="K125" s="9">
        <f>IF(OR(Inputs!$F$9=TRUE,Inputs!$F$9="TRUE",Inputs!$F$9=1),(((SQRT(((Inputs!$I$9+(((A125)+1)/2)*(Inputs!$J$9-Inputs!$I$9)))^2+Inputs!$C$6^2+((Inputs!$H$9+Inputs!$L$9*(((Inputs!$I$9+(((A125)+1)/2)*(Inputs!$J$9-Inputs!$I$9)))/Inputs!$K$9)^2))^2))-((Inputs!$H$9+Inputs!$L$9*(((Inputs!$I$9+(((A125)+1)/2)*(Inputs!$J$9-Inputs!$I$9)))/Inputs!$K$9)^2)))*1000/Inputs!$C$12),NA())</f>
        <v>8645.3229246873361</v>
      </c>
      <c r="L125" s="10"/>
      <c r="M125" s="9">
        <f t="shared" si="7"/>
        <v>2.5000000000000001E-2</v>
      </c>
      <c r="N125" s="9">
        <f>IF(OR(Inputs!$F$6=TRUE,Inputs!$F$6="TRUE",Inputs!$F$6=1),(-2*((1000*((((Inputs!$I$6+(((A125)+1)/2)*(Inputs!$J$6-Inputs!$I$6)))*Inputs!$C$11+((Inputs!$H$6+Inputs!$L$6*(((Inputs!$I$6+(((A125)+1)/2)*(Inputs!$J$6-Inputs!$I$6)))/Inputs!$K$6)^2))*((2*Inputs!$L$6*((Inputs!$I$6+(((A125)+1)/2)*(Inputs!$J$6-Inputs!$I$6)))/(Inputs!$K$6^2)*Inputs!$C$11)))/(SQRT(((Inputs!$I$6+(((A125)+1)/2)*(Inputs!$J$6-Inputs!$I$6)))^2+Inputs!$C$6^2+((Inputs!$H$6+Inputs!$L$6*(((Inputs!$I$6+(((A125)+1)/2)*(Inputs!$J$6-Inputs!$I$6)))/Inputs!$K$6)^2))^2)))))/Inputs!$C$13),NA())</f>
        <v>-11.311146183705745</v>
      </c>
      <c r="O125" s="9">
        <f>IF(OR(Inputs!$F$7=TRUE,Inputs!$F$7="TRUE",Inputs!$F$7=1),(-2*((1000*((((Inputs!$I$7+(((A125)+1)/2)*(Inputs!$J$7-Inputs!$I$7)))*Inputs!$C$11+((Inputs!$H$7+Inputs!$L$7*(((Inputs!$I$7+(((A125)+1)/2)*(Inputs!$J$7-Inputs!$I$7)))/Inputs!$K$7)^2))*((2*Inputs!$L$7*((Inputs!$I$7+(((A125)+1)/2)*(Inputs!$J$7-Inputs!$I$7)))/(Inputs!$K$7^2)*Inputs!$C$11)))/(SQRT(((Inputs!$I$7+(((A125)+1)/2)*(Inputs!$J$7-Inputs!$I$7)))^2+Inputs!$C$6^2+((Inputs!$H$7+Inputs!$L$7*(((Inputs!$I$7+(((A125)+1)/2)*(Inputs!$J$7-Inputs!$I$7)))/Inputs!$K$7)^2))^2)))))/Inputs!$C$13),NA())</f>
        <v>-418.84806202163315</v>
      </c>
      <c r="P125" s="9">
        <f>IF(OR(Inputs!$F$8=TRUE,Inputs!$F$8="TRUE",Inputs!$F$8=1),(-2*((1000*((((Inputs!$I$8+(((A125)+1)/2)*(Inputs!$J$8-Inputs!$I$8)))*Inputs!$C$11+((Inputs!$H$8+Inputs!$L$8*(((Inputs!$I$8+(((A125)+1)/2)*(Inputs!$J$8-Inputs!$I$8)))/Inputs!$K$8)^2))*((2*Inputs!$L$8*((Inputs!$I$8+(((A125)+1)/2)*(Inputs!$J$8-Inputs!$I$8)))/(Inputs!$K$8^2)*Inputs!$C$11)))/(SQRT(((Inputs!$I$8+(((A125)+1)/2)*(Inputs!$J$8-Inputs!$I$8)))^2+Inputs!$C$6^2+((Inputs!$H$8+Inputs!$L$8*(((Inputs!$I$8+(((A125)+1)/2)*(Inputs!$J$8-Inputs!$I$8)))/Inputs!$K$8)^2))^2)))))/Inputs!$C$13),NA())</f>
        <v>-740.07979561350089</v>
      </c>
      <c r="Q125" s="9">
        <f>IF(OR(Inputs!$F$9=TRUE,Inputs!$F$9="TRUE",Inputs!$F$9=1),(-2*((1000*((((Inputs!$I$9+(((A125)+1)/2)*(Inputs!$J$9-Inputs!$I$9)))*Inputs!$C$11+((Inputs!$H$9+Inputs!$L$9*(((Inputs!$I$9+(((A125)+1)/2)*(Inputs!$J$9-Inputs!$I$9)))/Inputs!$K$9)^2))*((2*Inputs!$L$9*((Inputs!$I$9+(((A125)+1)/2)*(Inputs!$J$9-Inputs!$I$9)))/(Inputs!$K$9^2)*Inputs!$C$11)))/(SQRT(((Inputs!$I$9+(((A125)+1)/2)*(Inputs!$J$9-Inputs!$I$9)))^2+Inputs!$C$6^2+((Inputs!$H$9+Inputs!$L$9*(((Inputs!$I$9+(((A125)+1)/2)*(Inputs!$J$9-Inputs!$I$9)))/Inputs!$K$9)^2))^2)))))/Inputs!$C$13),NA())</f>
        <v>-841.42817099311924</v>
      </c>
      <c r="R125" s="10"/>
      <c r="S125" s="9">
        <f t="shared" si="8"/>
        <v>2.5000000000000001E-2</v>
      </c>
      <c r="T125" s="9">
        <f>(Inputs!$I$6+(((A125)+1)/2)*(Inputs!$J$6-Inputs!$I$6))</f>
        <v>1.4999999999999929</v>
      </c>
      <c r="U125" s="9">
        <f>(Inputs!$I$7+(((A125)+1)/2)*(Inputs!$J$7-Inputs!$I$7))</f>
        <v>9.9999999999999432</v>
      </c>
      <c r="V125" s="9">
        <f>(Inputs!$I$8+(((A125)+1)/2)*(Inputs!$J$8-Inputs!$I$8))</f>
        <v>19.999999999999886</v>
      </c>
      <c r="W125" s="9">
        <f>(Inputs!$I$9+(((A125)+1)/2)*(Inputs!$J$9-Inputs!$I$9))</f>
        <v>19.999999999999886</v>
      </c>
      <c r="X125" s="10"/>
      <c r="Y125" s="9">
        <f t="shared" si="9"/>
        <v>2.5000000000000001E-2</v>
      </c>
      <c r="Z125" s="9">
        <f>(Inputs!$H$6+Inputs!$L$6*(((Inputs!$I$6+(((A125)+1)/2)*(Inputs!$J$6-Inputs!$I$6)))/Inputs!$K$6)^2)</f>
        <v>400.0025</v>
      </c>
      <c r="AA125" s="9">
        <f>(Inputs!$H$7+Inputs!$L$7*(((Inputs!$I$7+(((A125)+1)/2)*(Inputs!$J$7-Inputs!$I$7)))/Inputs!$K$7)^2)</f>
        <v>35.228124999999999</v>
      </c>
      <c r="AB125" s="9">
        <f>(Inputs!$H$8+Inputs!$L$8*(((Inputs!$I$8+(((A125)+1)/2)*(Inputs!$J$8-Inputs!$I$8)))/Inputs!$K$8)^2)</f>
        <v>35.603124999999991</v>
      </c>
      <c r="AC125" s="9">
        <f>(Inputs!$H$9+Inputs!$L$9*(((Inputs!$I$9+(((A125)+1)/2)*(Inputs!$J$9-Inputs!$I$9)))/Inputs!$K$9)^2)</f>
        <v>25.609374999999993</v>
      </c>
      <c r="AD125" s="10"/>
      <c r="AE125" s="9">
        <f t="shared" si="10"/>
        <v>2.5000000000000001E-2</v>
      </c>
      <c r="AF125" s="9">
        <f>(((SQRT(((Inputs!$I$6+(((A125)+1)/2)*(Inputs!$J$6-Inputs!$I$6)))^2+Inputs!$C$6^2+((Inputs!$H$6+Inputs!$L$6*(((Inputs!$I$6+(((A125)+1)/2)*(Inputs!$J$6-Inputs!$I$6)))/Inputs!$K$6)^2))^2))-((Inputs!$H$6+Inputs!$L$6*(((Inputs!$I$6+(((A125)+1)/2)*(Inputs!$J$6-Inputs!$I$6)))/Inputs!$K$6)^2)))*1000/Inputs!$C$12)</f>
        <v>440.05094049615832</v>
      </c>
      <c r="AG125" s="9">
        <f>(((SQRT(((Inputs!$I$7+(((A125)+1)/2)*(Inputs!$J$7-Inputs!$I$7)))^2+Inputs!$C$6^2+((Inputs!$H$7+Inputs!$L$7*(((Inputs!$I$7+(((A125)+1)/2)*(Inputs!$J$7-Inputs!$I$7)))/Inputs!$K$7)^2))^2))-((Inputs!$H$7+Inputs!$L$7*(((Inputs!$I$7+(((A125)+1)/2)*(Inputs!$J$7-Inputs!$I$7)))/Inputs!$K$7)^2)))*1000/Inputs!$C$12)</f>
        <v>5118.9370821216608</v>
      </c>
      <c r="AH125" s="9">
        <f>(((SQRT(((Inputs!$I$8+(((A125)+1)/2)*(Inputs!$J$8-Inputs!$I$8)))^2+Inputs!$C$6^2+((Inputs!$H$8+Inputs!$L$8*(((Inputs!$I$8+(((A125)+1)/2)*(Inputs!$J$8-Inputs!$I$8)))/Inputs!$K$8)^2))^2))-((Inputs!$H$8+Inputs!$L$8*(((Inputs!$I$8+(((A125)+1)/2)*(Inputs!$J$8-Inputs!$I$8)))/Inputs!$K$8)^2)))*1000/Inputs!$C$12)</f>
        <v>6897.6376974683553</v>
      </c>
      <c r="AI125" s="9">
        <f>(((SQRT(((Inputs!$I$9+(((A125)+1)/2)*(Inputs!$J$9-Inputs!$I$9)))^2+Inputs!$C$6^2+((Inputs!$H$9+Inputs!$L$9*(((Inputs!$I$9+(((A125)+1)/2)*(Inputs!$J$9-Inputs!$I$9)))/Inputs!$K$9)^2))^2))-((Inputs!$H$9+Inputs!$L$9*(((Inputs!$I$9+(((A125)+1)/2)*(Inputs!$J$9-Inputs!$I$9)))/Inputs!$K$9)^2)))*1000/Inputs!$C$12)</f>
        <v>8645.3229246873361</v>
      </c>
      <c r="AJ125" s="10"/>
      <c r="AK125" s="9">
        <f t="shared" si="11"/>
        <v>2.5000000000000001E-2</v>
      </c>
      <c r="AL125" s="9">
        <f>(-2*((1000*((((Inputs!$I$6+(((A125)+1)/2)*(Inputs!$J$6-Inputs!$I$6)))*Inputs!$C$11+((Inputs!$H$6+Inputs!$L$6*(((Inputs!$I$6+(((A125)+1)/2)*(Inputs!$J$6-Inputs!$I$6)))/Inputs!$K$6)^2))*((2*Inputs!$L$6*((Inputs!$I$6+(((A125)+1)/2)*(Inputs!$J$6-Inputs!$I$6)))/(Inputs!$K$6^2)*Inputs!$C$11)))/(SQRT(((Inputs!$I$6+(((A125)+1)/2)*(Inputs!$J$6-Inputs!$I$6)))^2+Inputs!$C$6^2+((Inputs!$H$6+Inputs!$L$6*(((Inputs!$I$6+(((A125)+1)/2)*(Inputs!$J$6-Inputs!$I$6)))/Inputs!$K$6)^2))^2)))))/Inputs!$C$13)</f>
        <v>-11.311146183705745</v>
      </c>
      <c r="AM125" s="9">
        <f>(-2*((1000*((((Inputs!$I$7+(((A125)+1)/2)*(Inputs!$J$7-Inputs!$I$7)))*Inputs!$C$11+((Inputs!$H$7+Inputs!$L$7*(((Inputs!$I$7+(((A125)+1)/2)*(Inputs!$J$7-Inputs!$I$7)))/Inputs!$K$7)^2))*((2*Inputs!$L$7*((Inputs!$I$7+(((A125)+1)/2)*(Inputs!$J$7-Inputs!$I$7)))/(Inputs!$K$7^2)*Inputs!$C$11)))/(SQRT(((Inputs!$I$7+(((A125)+1)/2)*(Inputs!$J$7-Inputs!$I$7)))^2+Inputs!$C$6^2+((Inputs!$H$7+Inputs!$L$7*(((Inputs!$I$7+(((A125)+1)/2)*(Inputs!$J$7-Inputs!$I$7)))/Inputs!$K$7)^2))^2)))))/Inputs!$C$13)</f>
        <v>-418.84806202163315</v>
      </c>
      <c r="AN125" s="9">
        <f>(-2*((1000*((((Inputs!$I$8+(((A125)+1)/2)*(Inputs!$J$8-Inputs!$I$8)))*Inputs!$C$11+((Inputs!$H$8+Inputs!$L$8*(((Inputs!$I$8+(((A125)+1)/2)*(Inputs!$J$8-Inputs!$I$8)))/Inputs!$K$8)^2))*((2*Inputs!$L$8*((Inputs!$I$8+(((A125)+1)/2)*(Inputs!$J$8-Inputs!$I$8)))/(Inputs!$K$8^2)*Inputs!$C$11)))/(SQRT(((Inputs!$I$8+(((A125)+1)/2)*(Inputs!$J$8-Inputs!$I$8)))^2+Inputs!$C$6^2+((Inputs!$H$8+Inputs!$L$8*(((Inputs!$I$8+(((A125)+1)/2)*(Inputs!$J$8-Inputs!$I$8)))/Inputs!$K$8)^2))^2)))))/Inputs!$C$13)</f>
        <v>-740.07979561350089</v>
      </c>
      <c r="AO125" s="9">
        <f>(-2*((1000*((((Inputs!$I$9+(((A125)+1)/2)*(Inputs!$J$9-Inputs!$I$9)))*Inputs!$C$11+((Inputs!$H$9+Inputs!$L$9*(((Inputs!$I$9+(((A125)+1)/2)*(Inputs!$J$9-Inputs!$I$9)))/Inputs!$K$9)^2))*((2*Inputs!$L$9*((Inputs!$I$9+(((A125)+1)/2)*(Inputs!$J$9-Inputs!$I$9)))/(Inputs!$K$9^2)*Inputs!$C$11)))/(SQRT(((Inputs!$I$9+(((A125)+1)/2)*(Inputs!$J$9-Inputs!$I$9)))^2+Inputs!$C$6^2+((Inputs!$H$9+Inputs!$L$9*(((Inputs!$I$9+(((A125)+1)/2)*(Inputs!$J$9-Inputs!$I$9)))/Inputs!$K$9)^2))^2)))))/Inputs!$C$13)</f>
        <v>-841.42817099311924</v>
      </c>
    </row>
    <row r="126" spans="1:41">
      <c r="A126" s="9">
        <f>ROUND(-1+124*2/240,3)</f>
        <v>3.3000000000000002E-2</v>
      </c>
      <c r="B126" s="9">
        <f>IF(OR(Inputs!$F$6=TRUE,Inputs!$F$6="TRUE",Inputs!$F$6=1),(Inputs!$H$6+Inputs!$L$6*(((Inputs!$I$6+(((A126)+1)/2)*(Inputs!$J$6-Inputs!$I$6)))/Inputs!$K$6)^2),NA())</f>
        <v>400.00435599999997</v>
      </c>
      <c r="C126" s="9">
        <f>IF(OR(Inputs!$F$7=TRUE,Inputs!$F$7="TRUE",Inputs!$F$7=1),(Inputs!$H$7+Inputs!$L$7*(((Inputs!$I$7+(((A126)+1)/2)*(Inputs!$J$7-Inputs!$I$7)))/Inputs!$K$7)^2),NA())</f>
        <v>35.397484999999996</v>
      </c>
      <c r="D126" s="9">
        <f>IF(OR(Inputs!$F$8=TRUE,Inputs!$F$8="TRUE",Inputs!$F$8=1),(Inputs!$H$8+Inputs!$L$8*(((Inputs!$I$8+(((A126)+1)/2)*(Inputs!$J$8-Inputs!$I$8)))/Inputs!$K$8)^2),NA())</f>
        <v>36.050885000000001</v>
      </c>
      <c r="E126" s="9">
        <f>IF(OR(Inputs!$F$9=TRUE,Inputs!$F$9="TRUE",Inputs!$F$9=1),(Inputs!$H$9+Inputs!$L$9*(((Inputs!$I$9+(((A126)+1)/2)*(Inputs!$J$9-Inputs!$I$9)))/Inputs!$K$9)^2),NA())</f>
        <v>26.061774999999997</v>
      </c>
      <c r="F126" s="10"/>
      <c r="G126" s="9">
        <f t="shared" si="6"/>
        <v>3.3000000000000002E-2</v>
      </c>
      <c r="H126" s="9">
        <f>IF(OR(Inputs!$F$6=TRUE,Inputs!$F$6="TRUE",Inputs!$F$6=1),(((SQRT(((Inputs!$I$6+(((A126)+1)/2)*(Inputs!$J$6-Inputs!$I$6)))^2+Inputs!$C$6^2+((Inputs!$H$6+Inputs!$L$6*(((Inputs!$I$6+(((A126)+1)/2)*(Inputs!$J$6-Inputs!$I$6)))/Inputs!$K$6)^2))^2))-((Inputs!$H$6+Inputs!$L$6*(((Inputs!$I$6+(((A126)+1)/2)*(Inputs!$J$6-Inputs!$I$6)))/Inputs!$K$6)^2)))*1000/Inputs!$C$12),NA())</f>
        <v>441.21962804653646</v>
      </c>
      <c r="I126" s="9">
        <f>IF(OR(Inputs!$F$7=TRUE,Inputs!$F$7="TRUE",Inputs!$F$7=1),(((SQRT(((Inputs!$I$7+(((A126)+1)/2)*(Inputs!$J$7-Inputs!$I$7)))^2+Inputs!$C$6^2+((Inputs!$H$7+Inputs!$L$7*(((Inputs!$I$7+(((A126)+1)/2)*(Inputs!$J$7-Inputs!$I$7)))/Inputs!$K$7)^2))^2))-((Inputs!$H$7+Inputs!$L$7*(((Inputs!$I$7+(((A126)+1)/2)*(Inputs!$J$7-Inputs!$I$7)))/Inputs!$K$7)^2)))*1000/Inputs!$C$12),NA())</f>
        <v>5564.0288290570297</v>
      </c>
      <c r="J126" s="9">
        <f>IF(OR(Inputs!$F$8=TRUE,Inputs!$F$8="TRUE",Inputs!$F$8=1),(((SQRT(((Inputs!$I$8+(((A126)+1)/2)*(Inputs!$J$8-Inputs!$I$8)))^2+Inputs!$C$6^2+((Inputs!$H$8+Inputs!$L$8*(((Inputs!$I$8+(((A126)+1)/2)*(Inputs!$J$8-Inputs!$I$8)))/Inputs!$K$8)^2))^2))-((Inputs!$H$8+Inputs!$L$8*(((Inputs!$I$8+(((A126)+1)/2)*(Inputs!$J$8-Inputs!$I$8)))/Inputs!$K$8)^2)))*1000/Inputs!$C$12),NA())</f>
        <v>8511.7608956560944</v>
      </c>
      <c r="K126" s="9">
        <f>IF(OR(Inputs!$F$9=TRUE,Inputs!$F$9="TRUE",Inputs!$F$9=1),(((SQRT(((Inputs!$I$9+(((A126)+1)/2)*(Inputs!$J$9-Inputs!$I$9)))^2+Inputs!$C$6^2+((Inputs!$H$9+Inputs!$L$9*(((Inputs!$I$9+(((A126)+1)/2)*(Inputs!$J$9-Inputs!$I$9)))/Inputs!$K$9)^2))^2))-((Inputs!$H$9+Inputs!$L$9*(((Inputs!$I$9+(((A126)+1)/2)*(Inputs!$J$9-Inputs!$I$9)))/Inputs!$K$9)^2)))*1000/Inputs!$C$12),NA())</f>
        <v>10490.298874003152</v>
      </c>
      <c r="L126" s="10"/>
      <c r="M126" s="9">
        <f t="shared" si="7"/>
        <v>3.3000000000000002E-2</v>
      </c>
      <c r="N126" s="9">
        <f>IF(OR(Inputs!$F$6=TRUE,Inputs!$F$6="TRUE",Inputs!$F$6=1),(-2*((1000*((((Inputs!$I$6+(((A126)+1)/2)*(Inputs!$J$6-Inputs!$I$6)))*Inputs!$C$11+((Inputs!$H$6+Inputs!$L$6*(((Inputs!$I$6+(((A126)+1)/2)*(Inputs!$J$6-Inputs!$I$6)))/Inputs!$K$6)^2))*((2*Inputs!$L$6*((Inputs!$I$6+(((A126)+1)/2)*(Inputs!$J$6-Inputs!$I$6)))/(Inputs!$K$6^2)*Inputs!$C$11)))/(SQRT(((Inputs!$I$6+(((A126)+1)/2)*(Inputs!$J$6-Inputs!$I$6)))^2+Inputs!$C$6^2+((Inputs!$H$6+Inputs!$L$6*(((Inputs!$I$6+(((A126)+1)/2)*(Inputs!$J$6-Inputs!$I$6)))/Inputs!$K$6)^2))^2)))))/Inputs!$C$13),NA())</f>
        <v>-14.93059892517365</v>
      </c>
      <c r="O126" s="9">
        <f>IF(OR(Inputs!$F$7=TRUE,Inputs!$F$7="TRUE",Inputs!$F$7=1),(-2*((1000*((((Inputs!$I$7+(((A126)+1)/2)*(Inputs!$J$7-Inputs!$I$7)))*Inputs!$C$11+((Inputs!$H$7+Inputs!$L$7*(((Inputs!$I$7+(((A126)+1)/2)*(Inputs!$J$7-Inputs!$I$7)))/Inputs!$K$7)^2))*((2*Inputs!$L$7*((Inputs!$I$7+(((A126)+1)/2)*(Inputs!$J$7-Inputs!$I$7)))/(Inputs!$K$7^2)*Inputs!$C$11)))/(SQRT(((Inputs!$I$7+(((A126)+1)/2)*(Inputs!$J$7-Inputs!$I$7)))^2+Inputs!$C$6^2+((Inputs!$H$7+Inputs!$L$7*(((Inputs!$I$7+(((A126)+1)/2)*(Inputs!$J$7-Inputs!$I$7)))/Inputs!$K$7)^2))^2)))))/Inputs!$C$13),NA())</f>
        <v>-541.50359943476519</v>
      </c>
      <c r="P126" s="9">
        <f>IF(OR(Inputs!$F$8=TRUE,Inputs!$F$8="TRUE",Inputs!$F$8=1),(-2*((1000*((((Inputs!$I$8+(((A126)+1)/2)*(Inputs!$J$8-Inputs!$I$8)))*Inputs!$C$11+((Inputs!$H$8+Inputs!$L$8*(((Inputs!$I$8+(((A126)+1)/2)*(Inputs!$J$8-Inputs!$I$8)))/Inputs!$K$8)^2))*((2*Inputs!$L$8*((Inputs!$I$8+(((A126)+1)/2)*(Inputs!$J$8-Inputs!$I$8)))/(Inputs!$K$8^2)*Inputs!$C$11)))/(SQRT(((Inputs!$I$8+(((A126)+1)/2)*(Inputs!$J$8-Inputs!$I$8)))^2+Inputs!$C$6^2+((Inputs!$H$8+Inputs!$L$8*(((Inputs!$I$8+(((A126)+1)/2)*(Inputs!$J$8-Inputs!$I$8)))/Inputs!$K$8)^2))^2)))))/Inputs!$C$13),NA())</f>
        <v>-914.65815639635093</v>
      </c>
      <c r="Q126" s="9">
        <f>IF(OR(Inputs!$F$9=TRUE,Inputs!$F$9="TRUE",Inputs!$F$9=1),(-2*((1000*((((Inputs!$I$9+(((A126)+1)/2)*(Inputs!$J$9-Inputs!$I$9)))*Inputs!$C$11+((Inputs!$H$9+Inputs!$L$9*(((Inputs!$I$9+(((A126)+1)/2)*(Inputs!$J$9-Inputs!$I$9)))/Inputs!$K$9)^2))*((2*Inputs!$L$9*((Inputs!$I$9+(((A126)+1)/2)*(Inputs!$J$9-Inputs!$I$9)))/(Inputs!$K$9^2)*Inputs!$C$11)))/(SQRT(((Inputs!$I$9+(((A126)+1)/2)*(Inputs!$J$9-Inputs!$I$9)))^2+Inputs!$C$6^2+((Inputs!$H$9+Inputs!$L$9*(((Inputs!$I$9+(((A126)+1)/2)*(Inputs!$J$9-Inputs!$I$9)))/Inputs!$K$9)^2))^2)))))/Inputs!$C$13),NA())</f>
        <v>-1019.2165624370576</v>
      </c>
      <c r="R126" s="10"/>
      <c r="S126" s="9">
        <f t="shared" si="8"/>
        <v>3.3000000000000002E-2</v>
      </c>
      <c r="T126" s="9">
        <f>(Inputs!$I$6+(((A126)+1)/2)*(Inputs!$J$6-Inputs!$I$6))</f>
        <v>1.9799999999999969</v>
      </c>
      <c r="U126" s="9">
        <f>(Inputs!$I$7+(((A126)+1)/2)*(Inputs!$J$7-Inputs!$I$7))</f>
        <v>13.199999999999989</v>
      </c>
      <c r="V126" s="9">
        <f>(Inputs!$I$8+(((A126)+1)/2)*(Inputs!$J$8-Inputs!$I$8))</f>
        <v>26.399999999999977</v>
      </c>
      <c r="W126" s="9">
        <f>(Inputs!$I$9+(((A126)+1)/2)*(Inputs!$J$9-Inputs!$I$9))</f>
        <v>26.399999999999977</v>
      </c>
      <c r="X126" s="10"/>
      <c r="Y126" s="9">
        <f t="shared" si="9"/>
        <v>3.3000000000000002E-2</v>
      </c>
      <c r="Z126" s="9">
        <f>(Inputs!$H$6+Inputs!$L$6*(((Inputs!$I$6+(((A126)+1)/2)*(Inputs!$J$6-Inputs!$I$6)))/Inputs!$K$6)^2)</f>
        <v>400.00435599999997</v>
      </c>
      <c r="AA126" s="9">
        <f>(Inputs!$H$7+Inputs!$L$7*(((Inputs!$I$7+(((A126)+1)/2)*(Inputs!$J$7-Inputs!$I$7)))/Inputs!$K$7)^2)</f>
        <v>35.397484999999996</v>
      </c>
      <c r="AB126" s="9">
        <f>(Inputs!$H$8+Inputs!$L$8*(((Inputs!$I$8+(((A126)+1)/2)*(Inputs!$J$8-Inputs!$I$8)))/Inputs!$K$8)^2)</f>
        <v>36.050885000000001</v>
      </c>
      <c r="AC126" s="9">
        <f>(Inputs!$H$9+Inputs!$L$9*(((Inputs!$I$9+(((A126)+1)/2)*(Inputs!$J$9-Inputs!$I$9)))/Inputs!$K$9)^2)</f>
        <v>26.061774999999997</v>
      </c>
      <c r="AD126" s="10"/>
      <c r="AE126" s="9">
        <f t="shared" si="10"/>
        <v>3.3000000000000002E-2</v>
      </c>
      <c r="AF126" s="9">
        <f>(((SQRT(((Inputs!$I$6+(((A126)+1)/2)*(Inputs!$J$6-Inputs!$I$6)))^2+Inputs!$C$6^2+((Inputs!$H$6+Inputs!$L$6*(((Inputs!$I$6+(((A126)+1)/2)*(Inputs!$J$6-Inputs!$I$6)))/Inputs!$K$6)^2))^2))-((Inputs!$H$6+Inputs!$L$6*(((Inputs!$I$6+(((A126)+1)/2)*(Inputs!$J$6-Inputs!$I$6)))/Inputs!$K$6)^2)))*1000/Inputs!$C$12)</f>
        <v>441.21962804653646</v>
      </c>
      <c r="AG126" s="9">
        <f>(((SQRT(((Inputs!$I$7+(((A126)+1)/2)*(Inputs!$J$7-Inputs!$I$7)))^2+Inputs!$C$6^2+((Inputs!$H$7+Inputs!$L$7*(((Inputs!$I$7+(((A126)+1)/2)*(Inputs!$J$7-Inputs!$I$7)))/Inputs!$K$7)^2))^2))-((Inputs!$H$7+Inputs!$L$7*(((Inputs!$I$7+(((A126)+1)/2)*(Inputs!$J$7-Inputs!$I$7)))/Inputs!$K$7)^2)))*1000/Inputs!$C$12)</f>
        <v>5564.0288290570297</v>
      </c>
      <c r="AH126" s="9">
        <f>(((SQRT(((Inputs!$I$8+(((A126)+1)/2)*(Inputs!$J$8-Inputs!$I$8)))^2+Inputs!$C$6^2+((Inputs!$H$8+Inputs!$L$8*(((Inputs!$I$8+(((A126)+1)/2)*(Inputs!$J$8-Inputs!$I$8)))/Inputs!$K$8)^2))^2))-((Inputs!$H$8+Inputs!$L$8*(((Inputs!$I$8+(((A126)+1)/2)*(Inputs!$J$8-Inputs!$I$8)))/Inputs!$K$8)^2)))*1000/Inputs!$C$12)</f>
        <v>8511.7608956560944</v>
      </c>
      <c r="AI126" s="9">
        <f>(((SQRT(((Inputs!$I$9+(((A126)+1)/2)*(Inputs!$J$9-Inputs!$I$9)))^2+Inputs!$C$6^2+((Inputs!$H$9+Inputs!$L$9*(((Inputs!$I$9+(((A126)+1)/2)*(Inputs!$J$9-Inputs!$I$9)))/Inputs!$K$9)^2))^2))-((Inputs!$H$9+Inputs!$L$9*(((Inputs!$I$9+(((A126)+1)/2)*(Inputs!$J$9-Inputs!$I$9)))/Inputs!$K$9)^2)))*1000/Inputs!$C$12)</f>
        <v>10490.298874003152</v>
      </c>
      <c r="AJ126" s="10"/>
      <c r="AK126" s="9">
        <f t="shared" si="11"/>
        <v>3.3000000000000002E-2</v>
      </c>
      <c r="AL126" s="9">
        <f>(-2*((1000*((((Inputs!$I$6+(((A126)+1)/2)*(Inputs!$J$6-Inputs!$I$6)))*Inputs!$C$11+((Inputs!$H$6+Inputs!$L$6*(((Inputs!$I$6+(((A126)+1)/2)*(Inputs!$J$6-Inputs!$I$6)))/Inputs!$K$6)^2))*((2*Inputs!$L$6*((Inputs!$I$6+(((A126)+1)/2)*(Inputs!$J$6-Inputs!$I$6)))/(Inputs!$K$6^2)*Inputs!$C$11)))/(SQRT(((Inputs!$I$6+(((A126)+1)/2)*(Inputs!$J$6-Inputs!$I$6)))^2+Inputs!$C$6^2+((Inputs!$H$6+Inputs!$L$6*(((Inputs!$I$6+(((A126)+1)/2)*(Inputs!$J$6-Inputs!$I$6)))/Inputs!$K$6)^2))^2)))))/Inputs!$C$13)</f>
        <v>-14.93059892517365</v>
      </c>
      <c r="AM126" s="9">
        <f>(-2*((1000*((((Inputs!$I$7+(((A126)+1)/2)*(Inputs!$J$7-Inputs!$I$7)))*Inputs!$C$11+((Inputs!$H$7+Inputs!$L$7*(((Inputs!$I$7+(((A126)+1)/2)*(Inputs!$J$7-Inputs!$I$7)))/Inputs!$K$7)^2))*((2*Inputs!$L$7*((Inputs!$I$7+(((A126)+1)/2)*(Inputs!$J$7-Inputs!$I$7)))/(Inputs!$K$7^2)*Inputs!$C$11)))/(SQRT(((Inputs!$I$7+(((A126)+1)/2)*(Inputs!$J$7-Inputs!$I$7)))^2+Inputs!$C$6^2+((Inputs!$H$7+Inputs!$L$7*(((Inputs!$I$7+(((A126)+1)/2)*(Inputs!$J$7-Inputs!$I$7)))/Inputs!$K$7)^2))^2)))))/Inputs!$C$13)</f>
        <v>-541.50359943476519</v>
      </c>
      <c r="AN126" s="9">
        <f>(-2*((1000*((((Inputs!$I$8+(((A126)+1)/2)*(Inputs!$J$8-Inputs!$I$8)))*Inputs!$C$11+((Inputs!$H$8+Inputs!$L$8*(((Inputs!$I$8+(((A126)+1)/2)*(Inputs!$J$8-Inputs!$I$8)))/Inputs!$K$8)^2))*((2*Inputs!$L$8*((Inputs!$I$8+(((A126)+1)/2)*(Inputs!$J$8-Inputs!$I$8)))/(Inputs!$K$8^2)*Inputs!$C$11)))/(SQRT(((Inputs!$I$8+(((A126)+1)/2)*(Inputs!$J$8-Inputs!$I$8)))^2+Inputs!$C$6^2+((Inputs!$H$8+Inputs!$L$8*(((Inputs!$I$8+(((A126)+1)/2)*(Inputs!$J$8-Inputs!$I$8)))/Inputs!$K$8)^2))^2)))))/Inputs!$C$13)</f>
        <v>-914.65815639635093</v>
      </c>
      <c r="AO126" s="9">
        <f>(-2*((1000*((((Inputs!$I$9+(((A126)+1)/2)*(Inputs!$J$9-Inputs!$I$9)))*Inputs!$C$11+((Inputs!$H$9+Inputs!$L$9*(((Inputs!$I$9+(((A126)+1)/2)*(Inputs!$J$9-Inputs!$I$9)))/Inputs!$K$9)^2))*((2*Inputs!$L$9*((Inputs!$I$9+(((A126)+1)/2)*(Inputs!$J$9-Inputs!$I$9)))/(Inputs!$K$9^2)*Inputs!$C$11)))/(SQRT(((Inputs!$I$9+(((A126)+1)/2)*(Inputs!$J$9-Inputs!$I$9)))^2+Inputs!$C$6^2+((Inputs!$H$9+Inputs!$L$9*(((Inputs!$I$9+(((A126)+1)/2)*(Inputs!$J$9-Inputs!$I$9)))/Inputs!$K$9)^2))^2)))))/Inputs!$C$13)</f>
        <v>-1019.2165624370576</v>
      </c>
    </row>
    <row r="127" spans="1:41">
      <c r="A127" s="9">
        <f>ROUND(-1+125*2/240,3)</f>
        <v>4.2000000000000003E-2</v>
      </c>
      <c r="B127" s="9">
        <f>IF(OR(Inputs!$F$6=TRUE,Inputs!$F$6="TRUE",Inputs!$F$6=1),(Inputs!$H$6+Inputs!$L$6*(((Inputs!$I$6+(((A127)+1)/2)*(Inputs!$J$6-Inputs!$I$6)))/Inputs!$K$6)^2),NA())</f>
        <v>400.00705599999998</v>
      </c>
      <c r="C127" s="9">
        <f>IF(OR(Inputs!$F$7=TRUE,Inputs!$F$7="TRUE",Inputs!$F$7=1),(Inputs!$H$7+Inputs!$L$7*(((Inputs!$I$7+(((A127)+1)/2)*(Inputs!$J$7-Inputs!$I$7)))/Inputs!$K$7)^2),NA())</f>
        <v>35.643860000000004</v>
      </c>
      <c r="D127" s="9">
        <f>IF(OR(Inputs!$F$8=TRUE,Inputs!$F$8="TRUE",Inputs!$F$8=1),(Inputs!$H$8+Inputs!$L$8*(((Inputs!$I$8+(((A127)+1)/2)*(Inputs!$J$8-Inputs!$I$8)))/Inputs!$K$8)^2),NA())</f>
        <v>36.702260000000003</v>
      </c>
      <c r="E127" s="9">
        <f>IF(OR(Inputs!$F$9=TRUE,Inputs!$F$9="TRUE",Inputs!$F$9=1),(Inputs!$H$9+Inputs!$L$9*(((Inputs!$I$9+(((A127)+1)/2)*(Inputs!$J$9-Inputs!$I$9)))/Inputs!$K$9)^2),NA())</f>
        <v>26.719900000000003</v>
      </c>
      <c r="F127" s="10"/>
      <c r="G127" s="9">
        <f t="shared" si="6"/>
        <v>4.2000000000000003E-2</v>
      </c>
      <c r="H127" s="9">
        <f>IF(OR(Inputs!$F$6=TRUE,Inputs!$F$6="TRUE",Inputs!$F$6=1),(((SQRT(((Inputs!$I$6+(((A127)+1)/2)*(Inputs!$J$6-Inputs!$I$6)))^2+Inputs!$C$6^2+((Inputs!$H$6+Inputs!$L$6*(((Inputs!$I$6+(((A127)+1)/2)*(Inputs!$J$6-Inputs!$I$6)))/Inputs!$K$6)^2))^2))-((Inputs!$H$6+Inputs!$L$6*(((Inputs!$I$6+(((A127)+1)/2)*(Inputs!$J$6-Inputs!$I$6)))/Inputs!$K$6)^2)))*1000/Inputs!$C$12),NA())</f>
        <v>442.91973602870905</v>
      </c>
      <c r="I127" s="9">
        <f>IF(OR(Inputs!$F$7=TRUE,Inputs!$F$7="TRUE",Inputs!$F$7=1),(((SQRT(((Inputs!$I$7+(((A127)+1)/2)*(Inputs!$J$7-Inputs!$I$7)))^2+Inputs!$C$6^2+((Inputs!$H$7+Inputs!$L$7*(((Inputs!$I$7+(((A127)+1)/2)*(Inputs!$J$7-Inputs!$I$7)))/Inputs!$K$7)^2))^2))-((Inputs!$H$7+Inputs!$L$7*(((Inputs!$I$7+(((A127)+1)/2)*(Inputs!$J$7-Inputs!$I$7)))/Inputs!$K$7)^2)))*1000/Inputs!$C$12),NA())</f>
        <v>6192.268859277553</v>
      </c>
      <c r="J127" s="9">
        <f>IF(OR(Inputs!$F$8=TRUE,Inputs!$F$8="TRUE",Inputs!$F$8=1),(((SQRT(((Inputs!$I$8+(((A127)+1)/2)*(Inputs!$J$8-Inputs!$I$8)))^2+Inputs!$C$6^2+((Inputs!$H$8+Inputs!$L$8*(((Inputs!$I$8+(((A127)+1)/2)*(Inputs!$J$8-Inputs!$I$8)))/Inputs!$K$8)^2))^2))-((Inputs!$H$8+Inputs!$L$8*(((Inputs!$I$8+(((A127)+1)/2)*(Inputs!$J$8-Inputs!$I$8)))/Inputs!$K$8)^2)))*1000/Inputs!$C$12),NA())</f>
        <v>10665.452716017111</v>
      </c>
      <c r="K127" s="9">
        <f>IF(OR(Inputs!$F$9=TRUE,Inputs!$F$9="TRUE",Inputs!$F$9=1),(((SQRT(((Inputs!$I$9+(((A127)+1)/2)*(Inputs!$J$9-Inputs!$I$9)))^2+Inputs!$C$6^2+((Inputs!$H$9+Inputs!$L$9*(((Inputs!$I$9+(((A127)+1)/2)*(Inputs!$J$9-Inputs!$I$9)))/Inputs!$K$9)^2))^2))-((Inputs!$H$9+Inputs!$L$9*(((Inputs!$I$9+(((A127)+1)/2)*(Inputs!$J$9-Inputs!$I$9)))/Inputs!$K$9)^2)))*1000/Inputs!$C$12),NA())</f>
        <v>12897.861981730344</v>
      </c>
      <c r="L127" s="10"/>
      <c r="M127" s="9">
        <f t="shared" si="7"/>
        <v>4.2000000000000003E-2</v>
      </c>
      <c r="N127" s="9">
        <f>IF(OR(Inputs!$F$6=TRUE,Inputs!$F$6="TRUE",Inputs!$F$6=1),(-2*((1000*((((Inputs!$I$6+(((A127)+1)/2)*(Inputs!$J$6-Inputs!$I$6)))*Inputs!$C$11+((Inputs!$H$6+Inputs!$L$6*(((Inputs!$I$6+(((A127)+1)/2)*(Inputs!$J$6-Inputs!$I$6)))/Inputs!$K$6)^2))*((2*Inputs!$L$6*((Inputs!$I$6+(((A127)+1)/2)*(Inputs!$J$6-Inputs!$I$6)))/(Inputs!$K$6^2)*Inputs!$C$11)))/(SQRT(((Inputs!$I$6+(((A127)+1)/2)*(Inputs!$J$6-Inputs!$I$6)))^2+Inputs!$C$6^2+((Inputs!$H$6+Inputs!$L$6*(((Inputs!$I$6+(((A127)+1)/2)*(Inputs!$J$6-Inputs!$I$6)))/Inputs!$K$6)^2))^2)))))/Inputs!$C$13),NA())</f>
        <v>-19.002369319013233</v>
      </c>
      <c r="O127" s="9">
        <f>IF(OR(Inputs!$F$7=TRUE,Inputs!$F$7="TRUE",Inputs!$F$7=1),(-2*((1000*((((Inputs!$I$7+(((A127)+1)/2)*(Inputs!$J$7-Inputs!$I$7)))*Inputs!$C$11+((Inputs!$H$7+Inputs!$L$7*(((Inputs!$I$7+(((A127)+1)/2)*(Inputs!$J$7-Inputs!$I$7)))/Inputs!$K$7)^2))*((2*Inputs!$L$7*((Inputs!$I$7+(((A127)+1)/2)*(Inputs!$J$7-Inputs!$I$7)))/(Inputs!$K$7^2)*Inputs!$C$11)))/(SQRT(((Inputs!$I$7+(((A127)+1)/2)*(Inputs!$J$7-Inputs!$I$7)))^2+Inputs!$C$6^2+((Inputs!$H$7+Inputs!$L$7*(((Inputs!$I$7+(((A127)+1)/2)*(Inputs!$J$7-Inputs!$I$7)))/Inputs!$K$7)^2))^2)))))/Inputs!$C$13),NA())</f>
        <v>-669.68021643908878</v>
      </c>
      <c r="P127" s="9">
        <f>IF(OR(Inputs!$F$8=TRUE,Inputs!$F$8="TRUE",Inputs!$F$8=1),(-2*((1000*((((Inputs!$I$8+(((A127)+1)/2)*(Inputs!$J$8-Inputs!$I$8)))*Inputs!$C$11+((Inputs!$H$8+Inputs!$L$8*(((Inputs!$I$8+(((A127)+1)/2)*(Inputs!$J$8-Inputs!$I$8)))/Inputs!$K$8)^2))*((2*Inputs!$L$8*((Inputs!$I$8+(((A127)+1)/2)*(Inputs!$J$8-Inputs!$I$8)))/(Inputs!$K$8^2)*Inputs!$C$11)))/(SQRT(((Inputs!$I$8+(((A127)+1)/2)*(Inputs!$J$8-Inputs!$I$8)))^2+Inputs!$C$6^2+((Inputs!$H$8+Inputs!$L$8*(((Inputs!$I$8+(((A127)+1)/2)*(Inputs!$J$8-Inputs!$I$8)))/Inputs!$K$8)^2))^2)))))/Inputs!$C$13),NA())</f>
        <v>-1072.250641537458</v>
      </c>
      <c r="Q127" s="9">
        <f>IF(OR(Inputs!$F$9=TRUE,Inputs!$F$9="TRUE",Inputs!$F$9=1),(-2*((1000*((((Inputs!$I$9+(((A127)+1)/2)*(Inputs!$J$9-Inputs!$I$9)))*Inputs!$C$11+((Inputs!$H$9+Inputs!$L$9*(((Inputs!$I$9+(((A127)+1)/2)*(Inputs!$J$9-Inputs!$I$9)))/Inputs!$K$9)^2))*((2*Inputs!$L$9*((Inputs!$I$9+(((A127)+1)/2)*(Inputs!$J$9-Inputs!$I$9)))/(Inputs!$K$9^2)*Inputs!$C$11)))/(SQRT(((Inputs!$I$9+(((A127)+1)/2)*(Inputs!$J$9-Inputs!$I$9)))^2+Inputs!$C$6^2+((Inputs!$H$9+Inputs!$L$9*(((Inputs!$I$9+(((A127)+1)/2)*(Inputs!$J$9-Inputs!$I$9)))/Inputs!$K$9)^2))^2)))))/Inputs!$C$13),NA())</f>
        <v>-1170.2687151556261</v>
      </c>
      <c r="R127" s="10"/>
      <c r="S127" s="9">
        <f t="shared" si="8"/>
        <v>4.2000000000000003E-2</v>
      </c>
      <c r="T127" s="9">
        <f>(Inputs!$I$6+(((A127)+1)/2)*(Inputs!$J$6-Inputs!$I$6))</f>
        <v>2.5200000000000031</v>
      </c>
      <c r="U127" s="9">
        <f>(Inputs!$I$7+(((A127)+1)/2)*(Inputs!$J$7-Inputs!$I$7))</f>
        <v>16.800000000000011</v>
      </c>
      <c r="V127" s="9">
        <f>(Inputs!$I$8+(((A127)+1)/2)*(Inputs!$J$8-Inputs!$I$8))</f>
        <v>33.600000000000023</v>
      </c>
      <c r="W127" s="9">
        <f>(Inputs!$I$9+(((A127)+1)/2)*(Inputs!$J$9-Inputs!$I$9))</f>
        <v>33.600000000000023</v>
      </c>
      <c r="X127" s="10"/>
      <c r="Y127" s="9">
        <f t="shared" si="9"/>
        <v>4.2000000000000003E-2</v>
      </c>
      <c r="Z127" s="9">
        <f>(Inputs!$H$6+Inputs!$L$6*(((Inputs!$I$6+(((A127)+1)/2)*(Inputs!$J$6-Inputs!$I$6)))/Inputs!$K$6)^2)</f>
        <v>400.00705599999998</v>
      </c>
      <c r="AA127" s="9">
        <f>(Inputs!$H$7+Inputs!$L$7*(((Inputs!$I$7+(((A127)+1)/2)*(Inputs!$J$7-Inputs!$I$7)))/Inputs!$K$7)^2)</f>
        <v>35.643860000000004</v>
      </c>
      <c r="AB127" s="9">
        <f>(Inputs!$H$8+Inputs!$L$8*(((Inputs!$I$8+(((A127)+1)/2)*(Inputs!$J$8-Inputs!$I$8)))/Inputs!$K$8)^2)</f>
        <v>36.702260000000003</v>
      </c>
      <c r="AC127" s="9">
        <f>(Inputs!$H$9+Inputs!$L$9*(((Inputs!$I$9+(((A127)+1)/2)*(Inputs!$J$9-Inputs!$I$9)))/Inputs!$K$9)^2)</f>
        <v>26.719900000000003</v>
      </c>
      <c r="AD127" s="10"/>
      <c r="AE127" s="9">
        <f t="shared" si="10"/>
        <v>4.2000000000000003E-2</v>
      </c>
      <c r="AF127" s="9">
        <f>(((SQRT(((Inputs!$I$6+(((A127)+1)/2)*(Inputs!$J$6-Inputs!$I$6)))^2+Inputs!$C$6^2+((Inputs!$H$6+Inputs!$L$6*(((Inputs!$I$6+(((A127)+1)/2)*(Inputs!$J$6-Inputs!$I$6)))/Inputs!$K$6)^2))^2))-((Inputs!$H$6+Inputs!$L$6*(((Inputs!$I$6+(((A127)+1)/2)*(Inputs!$J$6-Inputs!$I$6)))/Inputs!$K$6)^2)))*1000/Inputs!$C$12)</f>
        <v>442.91973602870905</v>
      </c>
      <c r="AG127" s="9">
        <f>(((SQRT(((Inputs!$I$7+(((A127)+1)/2)*(Inputs!$J$7-Inputs!$I$7)))^2+Inputs!$C$6^2+((Inputs!$H$7+Inputs!$L$7*(((Inputs!$I$7+(((A127)+1)/2)*(Inputs!$J$7-Inputs!$I$7)))/Inputs!$K$7)^2))^2))-((Inputs!$H$7+Inputs!$L$7*(((Inputs!$I$7+(((A127)+1)/2)*(Inputs!$J$7-Inputs!$I$7)))/Inputs!$K$7)^2)))*1000/Inputs!$C$12)</f>
        <v>6192.268859277553</v>
      </c>
      <c r="AH127" s="9">
        <f>(((SQRT(((Inputs!$I$8+(((A127)+1)/2)*(Inputs!$J$8-Inputs!$I$8)))^2+Inputs!$C$6^2+((Inputs!$H$8+Inputs!$L$8*(((Inputs!$I$8+(((A127)+1)/2)*(Inputs!$J$8-Inputs!$I$8)))/Inputs!$K$8)^2))^2))-((Inputs!$H$8+Inputs!$L$8*(((Inputs!$I$8+(((A127)+1)/2)*(Inputs!$J$8-Inputs!$I$8)))/Inputs!$K$8)^2)))*1000/Inputs!$C$12)</f>
        <v>10665.452716017111</v>
      </c>
      <c r="AI127" s="9">
        <f>(((SQRT(((Inputs!$I$9+(((A127)+1)/2)*(Inputs!$J$9-Inputs!$I$9)))^2+Inputs!$C$6^2+((Inputs!$H$9+Inputs!$L$9*(((Inputs!$I$9+(((A127)+1)/2)*(Inputs!$J$9-Inputs!$I$9)))/Inputs!$K$9)^2))^2))-((Inputs!$H$9+Inputs!$L$9*(((Inputs!$I$9+(((A127)+1)/2)*(Inputs!$J$9-Inputs!$I$9)))/Inputs!$K$9)^2)))*1000/Inputs!$C$12)</f>
        <v>12897.861981730344</v>
      </c>
      <c r="AJ127" s="10"/>
      <c r="AK127" s="9">
        <f t="shared" si="11"/>
        <v>4.2000000000000003E-2</v>
      </c>
      <c r="AL127" s="9">
        <f>(-2*((1000*((((Inputs!$I$6+(((A127)+1)/2)*(Inputs!$J$6-Inputs!$I$6)))*Inputs!$C$11+((Inputs!$H$6+Inputs!$L$6*(((Inputs!$I$6+(((A127)+1)/2)*(Inputs!$J$6-Inputs!$I$6)))/Inputs!$K$6)^2))*((2*Inputs!$L$6*((Inputs!$I$6+(((A127)+1)/2)*(Inputs!$J$6-Inputs!$I$6)))/(Inputs!$K$6^2)*Inputs!$C$11)))/(SQRT(((Inputs!$I$6+(((A127)+1)/2)*(Inputs!$J$6-Inputs!$I$6)))^2+Inputs!$C$6^2+((Inputs!$H$6+Inputs!$L$6*(((Inputs!$I$6+(((A127)+1)/2)*(Inputs!$J$6-Inputs!$I$6)))/Inputs!$K$6)^2))^2)))))/Inputs!$C$13)</f>
        <v>-19.002369319013233</v>
      </c>
      <c r="AM127" s="9">
        <f>(-2*((1000*((((Inputs!$I$7+(((A127)+1)/2)*(Inputs!$J$7-Inputs!$I$7)))*Inputs!$C$11+((Inputs!$H$7+Inputs!$L$7*(((Inputs!$I$7+(((A127)+1)/2)*(Inputs!$J$7-Inputs!$I$7)))/Inputs!$K$7)^2))*((2*Inputs!$L$7*((Inputs!$I$7+(((A127)+1)/2)*(Inputs!$J$7-Inputs!$I$7)))/(Inputs!$K$7^2)*Inputs!$C$11)))/(SQRT(((Inputs!$I$7+(((A127)+1)/2)*(Inputs!$J$7-Inputs!$I$7)))^2+Inputs!$C$6^2+((Inputs!$H$7+Inputs!$L$7*(((Inputs!$I$7+(((A127)+1)/2)*(Inputs!$J$7-Inputs!$I$7)))/Inputs!$K$7)^2))^2)))))/Inputs!$C$13)</f>
        <v>-669.68021643908878</v>
      </c>
      <c r="AN127" s="9">
        <f>(-2*((1000*((((Inputs!$I$8+(((A127)+1)/2)*(Inputs!$J$8-Inputs!$I$8)))*Inputs!$C$11+((Inputs!$H$8+Inputs!$L$8*(((Inputs!$I$8+(((A127)+1)/2)*(Inputs!$J$8-Inputs!$I$8)))/Inputs!$K$8)^2))*((2*Inputs!$L$8*((Inputs!$I$8+(((A127)+1)/2)*(Inputs!$J$8-Inputs!$I$8)))/(Inputs!$K$8^2)*Inputs!$C$11)))/(SQRT(((Inputs!$I$8+(((A127)+1)/2)*(Inputs!$J$8-Inputs!$I$8)))^2+Inputs!$C$6^2+((Inputs!$H$8+Inputs!$L$8*(((Inputs!$I$8+(((A127)+1)/2)*(Inputs!$J$8-Inputs!$I$8)))/Inputs!$K$8)^2))^2)))))/Inputs!$C$13)</f>
        <v>-1072.250641537458</v>
      </c>
      <c r="AO127" s="9">
        <f>(-2*((1000*((((Inputs!$I$9+(((A127)+1)/2)*(Inputs!$J$9-Inputs!$I$9)))*Inputs!$C$11+((Inputs!$H$9+Inputs!$L$9*(((Inputs!$I$9+(((A127)+1)/2)*(Inputs!$J$9-Inputs!$I$9)))/Inputs!$K$9)^2))*((2*Inputs!$L$9*((Inputs!$I$9+(((A127)+1)/2)*(Inputs!$J$9-Inputs!$I$9)))/(Inputs!$K$9^2)*Inputs!$C$11)))/(SQRT(((Inputs!$I$9+(((A127)+1)/2)*(Inputs!$J$9-Inputs!$I$9)))^2+Inputs!$C$6^2+((Inputs!$H$9+Inputs!$L$9*(((Inputs!$I$9+(((A127)+1)/2)*(Inputs!$J$9-Inputs!$I$9)))/Inputs!$K$9)^2))^2)))))/Inputs!$C$13)</f>
        <v>-1170.2687151556261</v>
      </c>
    </row>
    <row r="128" spans="1:41">
      <c r="A128" s="9">
        <f>ROUND(-1+126*2/240,3)</f>
        <v>0.05</v>
      </c>
      <c r="B128" s="9">
        <f>IF(OR(Inputs!$F$6=TRUE,Inputs!$F$6="TRUE",Inputs!$F$6=1),(Inputs!$H$6+Inputs!$L$6*(((Inputs!$I$6+(((A128)+1)/2)*(Inputs!$J$6-Inputs!$I$6)))/Inputs!$K$6)^2),NA())</f>
        <v>400.01</v>
      </c>
      <c r="C128" s="9">
        <f>IF(OR(Inputs!$F$7=TRUE,Inputs!$F$7="TRUE",Inputs!$F$7=1),(Inputs!$H$7+Inputs!$L$7*(((Inputs!$I$7+(((A128)+1)/2)*(Inputs!$J$7-Inputs!$I$7)))/Inputs!$K$7)^2),NA())</f>
        <v>35.912500000000001</v>
      </c>
      <c r="D128" s="9">
        <f>IF(OR(Inputs!$F$8=TRUE,Inputs!$F$8="TRUE",Inputs!$F$8=1),(Inputs!$H$8+Inputs!$L$8*(((Inputs!$I$8+(((A128)+1)/2)*(Inputs!$J$8-Inputs!$I$8)))/Inputs!$K$8)^2),NA())</f>
        <v>37.412500000000001</v>
      </c>
      <c r="E128" s="9">
        <f>IF(OR(Inputs!$F$9=TRUE,Inputs!$F$9="TRUE",Inputs!$F$9=1),(Inputs!$H$9+Inputs!$L$9*(((Inputs!$I$9+(((A128)+1)/2)*(Inputs!$J$9-Inputs!$I$9)))/Inputs!$K$9)^2),NA())</f>
        <v>27.4375</v>
      </c>
      <c r="F128" s="10"/>
      <c r="G128" s="9">
        <f t="shared" si="6"/>
        <v>0.05</v>
      </c>
      <c r="H128" s="9">
        <f>IF(OR(Inputs!$F$6=TRUE,Inputs!$F$6="TRUE",Inputs!$F$6=1),(((SQRT(((Inputs!$I$6+(((A128)+1)/2)*(Inputs!$J$6-Inputs!$I$6)))^2+Inputs!$C$6^2+((Inputs!$H$6+Inputs!$L$6*(((Inputs!$I$6+(((A128)+1)/2)*(Inputs!$J$6-Inputs!$I$6)))/Inputs!$K$6)^2))^2))-((Inputs!$H$6+Inputs!$L$6*(((Inputs!$I$6+(((A128)+1)/2)*(Inputs!$J$6-Inputs!$I$6)))/Inputs!$K$6)^2)))*1000/Inputs!$C$12),NA())</f>
        <v>444.77344266602285</v>
      </c>
      <c r="I128" s="9">
        <f>IF(OR(Inputs!$F$7=TRUE,Inputs!$F$7="TRUE",Inputs!$F$7=1),(((SQRT(((Inputs!$I$7+(((A128)+1)/2)*(Inputs!$J$7-Inputs!$I$7)))^2+Inputs!$C$6^2+((Inputs!$H$7+Inputs!$L$7*(((Inputs!$I$7+(((A128)+1)/2)*(Inputs!$J$7-Inputs!$I$7)))/Inputs!$K$7)^2))^2))-((Inputs!$H$7+Inputs!$L$7*(((Inputs!$I$7+(((A128)+1)/2)*(Inputs!$J$7-Inputs!$I$7)))/Inputs!$K$7)^2)))*1000/Inputs!$C$12),NA())</f>
        <v>6853.3195478135085</v>
      </c>
      <c r="J128" s="9">
        <f>IF(OR(Inputs!$F$8=TRUE,Inputs!$F$8="TRUE",Inputs!$F$8=1),(((SQRT(((Inputs!$I$8+(((A128)+1)/2)*(Inputs!$J$8-Inputs!$I$8)))^2+Inputs!$C$6^2+((Inputs!$H$8+Inputs!$L$8*(((Inputs!$I$8+(((A128)+1)/2)*(Inputs!$J$8-Inputs!$I$8)))/Inputs!$K$8)^2))^2))-((Inputs!$H$8+Inputs!$L$8*(((Inputs!$I$8+(((A128)+1)/2)*(Inputs!$J$8-Inputs!$I$8)))/Inputs!$K$8)^2)))*1000/Inputs!$C$12),NA())</f>
        <v>12805.023174823551</v>
      </c>
      <c r="K128" s="9">
        <f>IF(OR(Inputs!$F$9=TRUE,Inputs!$F$9="TRUE",Inputs!$F$9=1),(((SQRT(((Inputs!$I$9+(((A128)+1)/2)*(Inputs!$J$9-Inputs!$I$9)))^2+Inputs!$C$6^2+((Inputs!$H$9+Inputs!$L$9*(((Inputs!$I$9+(((A128)+1)/2)*(Inputs!$J$9-Inputs!$I$9)))/Inputs!$K$9)^2))^2))-((Inputs!$H$9+Inputs!$L$9*(((Inputs!$I$9+(((A128)+1)/2)*(Inputs!$J$9-Inputs!$I$9)))/Inputs!$K$9)^2)))*1000/Inputs!$C$12),NA())</f>
        <v>15242.62495473365</v>
      </c>
      <c r="L128" s="10"/>
      <c r="M128" s="9">
        <f t="shared" si="7"/>
        <v>0.05</v>
      </c>
      <c r="N128" s="9">
        <f>IF(OR(Inputs!$F$6=TRUE,Inputs!$F$6="TRUE",Inputs!$F$6=1),(-2*((1000*((((Inputs!$I$6+(((A128)+1)/2)*(Inputs!$J$6-Inputs!$I$6)))*Inputs!$C$11+((Inputs!$H$6+Inputs!$L$6*(((Inputs!$I$6+(((A128)+1)/2)*(Inputs!$J$6-Inputs!$I$6)))/Inputs!$K$6)^2))*((2*Inputs!$L$6*((Inputs!$I$6+(((A128)+1)/2)*(Inputs!$J$6-Inputs!$I$6)))/(Inputs!$K$6^2)*Inputs!$C$11)))/(SQRT(((Inputs!$I$6+(((A128)+1)/2)*(Inputs!$J$6-Inputs!$I$6)))^2+Inputs!$C$6^2+((Inputs!$H$6+Inputs!$L$6*(((Inputs!$I$6+(((A128)+1)/2)*(Inputs!$J$6-Inputs!$I$6)))/Inputs!$K$6)^2))^2)))))/Inputs!$C$13),NA())</f>
        <v>-22.621594188229295</v>
      </c>
      <c r="O128" s="9">
        <f>IF(OR(Inputs!$F$7=TRUE,Inputs!$F$7="TRUE",Inputs!$F$7=1),(-2*((1000*((((Inputs!$I$7+(((A128)+1)/2)*(Inputs!$J$7-Inputs!$I$7)))*Inputs!$C$11+((Inputs!$H$7+Inputs!$L$7*(((Inputs!$I$7+(((A128)+1)/2)*(Inputs!$J$7-Inputs!$I$7)))/Inputs!$K$7)^2))*((2*Inputs!$L$7*((Inputs!$I$7+(((A128)+1)/2)*(Inputs!$J$7-Inputs!$I$7)))/(Inputs!$K$7^2)*Inputs!$C$11)))/(SQRT(((Inputs!$I$7+(((A128)+1)/2)*(Inputs!$J$7-Inputs!$I$7)))^2+Inputs!$C$6^2+((Inputs!$H$7+Inputs!$L$7*(((Inputs!$I$7+(((A128)+1)/2)*(Inputs!$J$7-Inputs!$I$7)))/Inputs!$K$7)^2))^2)))))/Inputs!$C$13),NA())</f>
        <v>-774.10381306038335</v>
      </c>
      <c r="P128" s="9">
        <f>IF(OR(Inputs!$F$8=TRUE,Inputs!$F$8="TRUE",Inputs!$F$8=1),(-2*((1000*((((Inputs!$I$8+(((A128)+1)/2)*(Inputs!$J$8-Inputs!$I$8)))*Inputs!$C$11+((Inputs!$H$8+Inputs!$L$8*(((Inputs!$I$8+(((A128)+1)/2)*(Inputs!$J$8-Inputs!$I$8)))/Inputs!$K$8)^2))*((2*Inputs!$L$8*((Inputs!$I$8+(((A128)+1)/2)*(Inputs!$J$8-Inputs!$I$8)))/(Inputs!$K$8^2)*Inputs!$C$11)))/(SQRT(((Inputs!$I$8+(((A128)+1)/2)*(Inputs!$J$8-Inputs!$I$8)))^2+Inputs!$C$6^2+((Inputs!$H$8+Inputs!$L$8*(((Inputs!$I$8+(((A128)+1)/2)*(Inputs!$J$8-Inputs!$I$8)))/Inputs!$K$8)^2))^2)))))/Inputs!$C$13),NA())</f>
        <v>-1182.9597295509748</v>
      </c>
      <c r="Q128" s="9">
        <f>IF(OR(Inputs!$F$9=TRUE,Inputs!$F$9="TRUE",Inputs!$F$9=1),(-2*((1000*((((Inputs!$I$9+(((A128)+1)/2)*(Inputs!$J$9-Inputs!$I$9)))*Inputs!$C$11+((Inputs!$H$9+Inputs!$L$9*(((Inputs!$I$9+(((A128)+1)/2)*(Inputs!$J$9-Inputs!$I$9)))/Inputs!$K$9)^2))*((2*Inputs!$L$9*((Inputs!$I$9+(((A128)+1)/2)*(Inputs!$J$9-Inputs!$I$9)))/(Inputs!$K$9^2)*Inputs!$C$11)))/(SQRT(((Inputs!$I$9+(((A128)+1)/2)*(Inputs!$J$9-Inputs!$I$9)))^2+Inputs!$C$6^2+((Inputs!$H$9+Inputs!$L$9*(((Inputs!$I$9+(((A128)+1)/2)*(Inputs!$J$9-Inputs!$I$9)))/Inputs!$K$9)^2))^2)))))/Inputs!$C$13),NA())</f>
        <v>-1270.8651286470044</v>
      </c>
      <c r="R128" s="10"/>
      <c r="S128" s="9">
        <f t="shared" si="8"/>
        <v>0.05</v>
      </c>
      <c r="T128" s="9">
        <f>(Inputs!$I$6+(((A128)+1)/2)*(Inputs!$J$6-Inputs!$I$6))</f>
        <v>3</v>
      </c>
      <c r="U128" s="9">
        <f>(Inputs!$I$7+(((A128)+1)/2)*(Inputs!$J$7-Inputs!$I$7))</f>
        <v>20</v>
      </c>
      <c r="V128" s="9">
        <f>(Inputs!$I$8+(((A128)+1)/2)*(Inputs!$J$8-Inputs!$I$8))</f>
        <v>40</v>
      </c>
      <c r="W128" s="9">
        <f>(Inputs!$I$9+(((A128)+1)/2)*(Inputs!$J$9-Inputs!$I$9))</f>
        <v>40</v>
      </c>
      <c r="X128" s="10"/>
      <c r="Y128" s="9">
        <f t="shared" si="9"/>
        <v>0.05</v>
      </c>
      <c r="Z128" s="9">
        <f>(Inputs!$H$6+Inputs!$L$6*(((Inputs!$I$6+(((A128)+1)/2)*(Inputs!$J$6-Inputs!$I$6)))/Inputs!$K$6)^2)</f>
        <v>400.01</v>
      </c>
      <c r="AA128" s="9">
        <f>(Inputs!$H$7+Inputs!$L$7*(((Inputs!$I$7+(((A128)+1)/2)*(Inputs!$J$7-Inputs!$I$7)))/Inputs!$K$7)^2)</f>
        <v>35.912500000000001</v>
      </c>
      <c r="AB128" s="9">
        <f>(Inputs!$H$8+Inputs!$L$8*(((Inputs!$I$8+(((A128)+1)/2)*(Inputs!$J$8-Inputs!$I$8)))/Inputs!$K$8)^2)</f>
        <v>37.412500000000001</v>
      </c>
      <c r="AC128" s="9">
        <f>(Inputs!$H$9+Inputs!$L$9*(((Inputs!$I$9+(((A128)+1)/2)*(Inputs!$J$9-Inputs!$I$9)))/Inputs!$K$9)^2)</f>
        <v>27.4375</v>
      </c>
      <c r="AD128" s="10"/>
      <c r="AE128" s="9">
        <f t="shared" si="10"/>
        <v>0.05</v>
      </c>
      <c r="AF128" s="9">
        <f>(((SQRT(((Inputs!$I$6+(((A128)+1)/2)*(Inputs!$J$6-Inputs!$I$6)))^2+Inputs!$C$6^2+((Inputs!$H$6+Inputs!$L$6*(((Inputs!$I$6+(((A128)+1)/2)*(Inputs!$J$6-Inputs!$I$6)))/Inputs!$K$6)^2))^2))-((Inputs!$H$6+Inputs!$L$6*(((Inputs!$I$6+(((A128)+1)/2)*(Inputs!$J$6-Inputs!$I$6)))/Inputs!$K$6)^2)))*1000/Inputs!$C$12)</f>
        <v>444.77344266602285</v>
      </c>
      <c r="AG128" s="9">
        <f>(((SQRT(((Inputs!$I$7+(((A128)+1)/2)*(Inputs!$J$7-Inputs!$I$7)))^2+Inputs!$C$6^2+((Inputs!$H$7+Inputs!$L$7*(((Inputs!$I$7+(((A128)+1)/2)*(Inputs!$J$7-Inputs!$I$7)))/Inputs!$K$7)^2))^2))-((Inputs!$H$7+Inputs!$L$7*(((Inputs!$I$7+(((A128)+1)/2)*(Inputs!$J$7-Inputs!$I$7)))/Inputs!$K$7)^2)))*1000/Inputs!$C$12)</f>
        <v>6853.3195478135085</v>
      </c>
      <c r="AH128" s="9">
        <f>(((SQRT(((Inputs!$I$8+(((A128)+1)/2)*(Inputs!$J$8-Inputs!$I$8)))^2+Inputs!$C$6^2+((Inputs!$H$8+Inputs!$L$8*(((Inputs!$I$8+(((A128)+1)/2)*(Inputs!$J$8-Inputs!$I$8)))/Inputs!$K$8)^2))^2))-((Inputs!$H$8+Inputs!$L$8*(((Inputs!$I$8+(((A128)+1)/2)*(Inputs!$J$8-Inputs!$I$8)))/Inputs!$K$8)^2)))*1000/Inputs!$C$12)</f>
        <v>12805.023174823551</v>
      </c>
      <c r="AI128" s="9">
        <f>(((SQRT(((Inputs!$I$9+(((A128)+1)/2)*(Inputs!$J$9-Inputs!$I$9)))^2+Inputs!$C$6^2+((Inputs!$H$9+Inputs!$L$9*(((Inputs!$I$9+(((A128)+1)/2)*(Inputs!$J$9-Inputs!$I$9)))/Inputs!$K$9)^2))^2))-((Inputs!$H$9+Inputs!$L$9*(((Inputs!$I$9+(((A128)+1)/2)*(Inputs!$J$9-Inputs!$I$9)))/Inputs!$K$9)^2)))*1000/Inputs!$C$12)</f>
        <v>15242.62495473365</v>
      </c>
      <c r="AJ128" s="10"/>
      <c r="AK128" s="9">
        <f t="shared" si="11"/>
        <v>0.05</v>
      </c>
      <c r="AL128" s="9">
        <f>(-2*((1000*((((Inputs!$I$6+(((A128)+1)/2)*(Inputs!$J$6-Inputs!$I$6)))*Inputs!$C$11+((Inputs!$H$6+Inputs!$L$6*(((Inputs!$I$6+(((A128)+1)/2)*(Inputs!$J$6-Inputs!$I$6)))/Inputs!$K$6)^2))*((2*Inputs!$L$6*((Inputs!$I$6+(((A128)+1)/2)*(Inputs!$J$6-Inputs!$I$6)))/(Inputs!$K$6^2)*Inputs!$C$11)))/(SQRT(((Inputs!$I$6+(((A128)+1)/2)*(Inputs!$J$6-Inputs!$I$6)))^2+Inputs!$C$6^2+((Inputs!$H$6+Inputs!$L$6*(((Inputs!$I$6+(((A128)+1)/2)*(Inputs!$J$6-Inputs!$I$6)))/Inputs!$K$6)^2))^2)))))/Inputs!$C$13)</f>
        <v>-22.621594188229295</v>
      </c>
      <c r="AM128" s="9">
        <f>(-2*((1000*((((Inputs!$I$7+(((A128)+1)/2)*(Inputs!$J$7-Inputs!$I$7)))*Inputs!$C$11+((Inputs!$H$7+Inputs!$L$7*(((Inputs!$I$7+(((A128)+1)/2)*(Inputs!$J$7-Inputs!$I$7)))/Inputs!$K$7)^2))*((2*Inputs!$L$7*((Inputs!$I$7+(((A128)+1)/2)*(Inputs!$J$7-Inputs!$I$7)))/(Inputs!$K$7^2)*Inputs!$C$11)))/(SQRT(((Inputs!$I$7+(((A128)+1)/2)*(Inputs!$J$7-Inputs!$I$7)))^2+Inputs!$C$6^2+((Inputs!$H$7+Inputs!$L$7*(((Inputs!$I$7+(((A128)+1)/2)*(Inputs!$J$7-Inputs!$I$7)))/Inputs!$K$7)^2))^2)))))/Inputs!$C$13)</f>
        <v>-774.10381306038335</v>
      </c>
      <c r="AN128" s="9">
        <f>(-2*((1000*((((Inputs!$I$8+(((A128)+1)/2)*(Inputs!$J$8-Inputs!$I$8)))*Inputs!$C$11+((Inputs!$H$8+Inputs!$L$8*(((Inputs!$I$8+(((A128)+1)/2)*(Inputs!$J$8-Inputs!$I$8)))/Inputs!$K$8)^2))*((2*Inputs!$L$8*((Inputs!$I$8+(((A128)+1)/2)*(Inputs!$J$8-Inputs!$I$8)))/(Inputs!$K$8^2)*Inputs!$C$11)))/(SQRT(((Inputs!$I$8+(((A128)+1)/2)*(Inputs!$J$8-Inputs!$I$8)))^2+Inputs!$C$6^2+((Inputs!$H$8+Inputs!$L$8*(((Inputs!$I$8+(((A128)+1)/2)*(Inputs!$J$8-Inputs!$I$8)))/Inputs!$K$8)^2))^2)))))/Inputs!$C$13)</f>
        <v>-1182.9597295509748</v>
      </c>
      <c r="AO128" s="9">
        <f>(-2*((1000*((((Inputs!$I$9+(((A128)+1)/2)*(Inputs!$J$9-Inputs!$I$9)))*Inputs!$C$11+((Inputs!$H$9+Inputs!$L$9*(((Inputs!$I$9+(((A128)+1)/2)*(Inputs!$J$9-Inputs!$I$9)))/Inputs!$K$9)^2))*((2*Inputs!$L$9*((Inputs!$I$9+(((A128)+1)/2)*(Inputs!$J$9-Inputs!$I$9)))/(Inputs!$K$9^2)*Inputs!$C$11)))/(SQRT(((Inputs!$I$9+(((A128)+1)/2)*(Inputs!$J$9-Inputs!$I$9)))^2+Inputs!$C$6^2+((Inputs!$H$9+Inputs!$L$9*(((Inputs!$I$9+(((A128)+1)/2)*(Inputs!$J$9-Inputs!$I$9)))/Inputs!$K$9)^2))^2)))))/Inputs!$C$13)</f>
        <v>-1270.8651286470044</v>
      </c>
    </row>
    <row r="129" spans="1:41">
      <c r="A129" s="9">
        <f>ROUND(-1+127*2/240,3)</f>
        <v>5.8000000000000003E-2</v>
      </c>
      <c r="B129" s="9">
        <f>IF(OR(Inputs!$F$6=TRUE,Inputs!$F$6="TRUE",Inputs!$F$6=1),(Inputs!$H$6+Inputs!$L$6*(((Inputs!$I$6+(((A129)+1)/2)*(Inputs!$J$6-Inputs!$I$6)))/Inputs!$K$6)^2),NA())</f>
        <v>400.01345600000002</v>
      </c>
      <c r="C129" s="9">
        <f>IF(OR(Inputs!$F$7=TRUE,Inputs!$F$7="TRUE",Inputs!$F$7=1),(Inputs!$H$7+Inputs!$L$7*(((Inputs!$I$7+(((A129)+1)/2)*(Inputs!$J$7-Inputs!$I$7)))/Inputs!$K$7)^2),NA())</f>
        <v>36.227860000000007</v>
      </c>
      <c r="D129" s="9">
        <f>IF(OR(Inputs!$F$8=TRUE,Inputs!$F$8="TRUE",Inputs!$F$8=1),(Inputs!$H$8+Inputs!$L$8*(((Inputs!$I$8+(((A129)+1)/2)*(Inputs!$J$8-Inputs!$I$8)))/Inputs!$K$8)^2),NA())</f>
        <v>38.246260000000014</v>
      </c>
      <c r="E129" s="9">
        <f>IF(OR(Inputs!$F$9=TRUE,Inputs!$F$9="TRUE",Inputs!$F$9=1),(Inputs!$H$9+Inputs!$L$9*(((Inputs!$I$9+(((A129)+1)/2)*(Inputs!$J$9-Inputs!$I$9)))/Inputs!$K$9)^2),NA())</f>
        <v>28.279900000000012</v>
      </c>
      <c r="F129" s="10"/>
      <c r="G129" s="9">
        <f t="shared" si="6"/>
        <v>5.8000000000000003E-2</v>
      </c>
      <c r="H129" s="9">
        <f>IF(OR(Inputs!$F$6=TRUE,Inputs!$F$6="TRUE",Inputs!$F$6=1),(((SQRT(((Inputs!$I$6+(((A129)+1)/2)*(Inputs!$J$6-Inputs!$I$6)))^2+Inputs!$C$6^2+((Inputs!$H$6+Inputs!$L$6*(((Inputs!$I$6+(((A129)+1)/2)*(Inputs!$J$6-Inputs!$I$6)))/Inputs!$K$6)^2))^2))-((Inputs!$H$6+Inputs!$L$6*(((Inputs!$I$6+(((A129)+1)/2)*(Inputs!$J$6-Inputs!$I$6)))/Inputs!$K$6)^2)))*1000/Inputs!$C$12),NA())</f>
        <v>446.94947884704686</v>
      </c>
      <c r="I129" s="9">
        <f>IF(OR(Inputs!$F$7=TRUE,Inputs!$F$7="TRUE",Inputs!$F$7=1),(((SQRT(((Inputs!$I$7+(((A129)+1)/2)*(Inputs!$J$7-Inputs!$I$7)))^2+Inputs!$C$6^2+((Inputs!$H$7+Inputs!$L$7*(((Inputs!$I$7+(((A129)+1)/2)*(Inputs!$J$7-Inputs!$I$7)))/Inputs!$K$7)^2))^2))-((Inputs!$H$7+Inputs!$L$7*(((Inputs!$I$7+(((A129)+1)/2)*(Inputs!$J$7-Inputs!$I$7)))/Inputs!$K$7)^2)))*1000/Inputs!$C$12),NA())</f>
        <v>7600.2948981560312</v>
      </c>
      <c r="J129" s="9">
        <f>IF(OR(Inputs!$F$8=TRUE,Inputs!$F$8="TRUE",Inputs!$F$8=1),(((SQRT(((Inputs!$I$8+(((A129)+1)/2)*(Inputs!$J$8-Inputs!$I$8)))^2+Inputs!$C$6^2+((Inputs!$H$8+Inputs!$L$8*(((Inputs!$I$8+(((A129)+1)/2)*(Inputs!$J$8-Inputs!$I$8)))/Inputs!$K$8)^2))^2))-((Inputs!$H$8+Inputs!$L$8*(((Inputs!$I$8+(((A129)+1)/2)*(Inputs!$J$8-Inputs!$I$8)))/Inputs!$K$8)^2)))*1000/Inputs!$C$12),NA())</f>
        <v>15098.133009026098</v>
      </c>
      <c r="K129" s="9">
        <f>IF(OR(Inputs!$F$9=TRUE,Inputs!$F$9="TRUE",Inputs!$F$9=1),(((SQRT(((Inputs!$I$9+(((A129)+1)/2)*(Inputs!$J$9-Inputs!$I$9)))^2+Inputs!$C$6^2+((Inputs!$H$9+Inputs!$L$9*(((Inputs!$I$9+(((A129)+1)/2)*(Inputs!$J$9-Inputs!$I$9)))/Inputs!$K$9)^2))^2))-((Inputs!$H$9+Inputs!$L$9*(((Inputs!$I$9+(((A129)+1)/2)*(Inputs!$J$9-Inputs!$I$9)))/Inputs!$K$9)^2)))*1000/Inputs!$C$12),NA())</f>
        <v>17715.77781952596</v>
      </c>
      <c r="L129" s="10"/>
      <c r="M129" s="9">
        <f t="shared" si="7"/>
        <v>5.8000000000000003E-2</v>
      </c>
      <c r="N129" s="9">
        <f>IF(OR(Inputs!$F$6=TRUE,Inputs!$F$6="TRUE",Inputs!$F$6=1),(-2*((1000*((((Inputs!$I$6+(((A129)+1)/2)*(Inputs!$J$6-Inputs!$I$6)))*Inputs!$C$11+((Inputs!$H$6+Inputs!$L$6*(((Inputs!$I$6+(((A129)+1)/2)*(Inputs!$J$6-Inputs!$I$6)))/Inputs!$K$6)^2))*((2*Inputs!$L$6*((Inputs!$I$6+(((A129)+1)/2)*(Inputs!$J$6-Inputs!$I$6)))/(Inputs!$K$6^2)*Inputs!$C$11)))/(SQRT(((Inputs!$I$6+(((A129)+1)/2)*(Inputs!$J$6-Inputs!$I$6)))^2+Inputs!$C$6^2+((Inputs!$H$6+Inputs!$L$6*(((Inputs!$I$6+(((A129)+1)/2)*(Inputs!$J$6-Inputs!$I$6)))/Inputs!$K$6)^2))^2)))))/Inputs!$C$13),NA())</f>
        <v>-26.240676094475539</v>
      </c>
      <c r="O129" s="9">
        <f>IF(OR(Inputs!$F$7=TRUE,Inputs!$F$7="TRUE",Inputs!$F$7=1),(-2*((1000*((((Inputs!$I$7+(((A129)+1)/2)*(Inputs!$J$7-Inputs!$I$7)))*Inputs!$C$11+((Inputs!$H$7+Inputs!$L$7*(((Inputs!$I$7+(((A129)+1)/2)*(Inputs!$J$7-Inputs!$I$7)))/Inputs!$K$7)^2))*((2*Inputs!$L$7*((Inputs!$I$7+(((A129)+1)/2)*(Inputs!$J$7-Inputs!$I$7)))/(Inputs!$K$7^2)*Inputs!$C$11)))/(SQRT(((Inputs!$I$7+(((A129)+1)/2)*(Inputs!$J$7-Inputs!$I$7)))^2+Inputs!$C$6^2+((Inputs!$H$7+Inputs!$L$7*(((Inputs!$I$7+(((A129)+1)/2)*(Inputs!$J$7-Inputs!$I$7)))/Inputs!$K$7)^2))^2)))))/Inputs!$C$13),NA())</f>
        <v>-869.34672686254339</v>
      </c>
      <c r="P129" s="9">
        <f>IF(OR(Inputs!$F$8=TRUE,Inputs!$F$8="TRUE",Inputs!$F$8=1),(-2*((1000*((((Inputs!$I$8+(((A129)+1)/2)*(Inputs!$J$8-Inputs!$I$8)))*Inputs!$C$11+((Inputs!$H$8+Inputs!$L$8*(((Inputs!$I$8+(((A129)+1)/2)*(Inputs!$J$8-Inputs!$I$8)))/Inputs!$K$8)^2))*((2*Inputs!$L$8*((Inputs!$I$8+(((A129)+1)/2)*(Inputs!$J$8-Inputs!$I$8)))/(Inputs!$K$8^2)*Inputs!$C$11)))/(SQRT(((Inputs!$I$8+(((A129)+1)/2)*(Inputs!$J$8-Inputs!$I$8)))^2+Inputs!$C$6^2+((Inputs!$H$8+Inputs!$L$8*(((Inputs!$I$8+(((A129)+1)/2)*(Inputs!$J$8-Inputs!$I$8)))/Inputs!$K$8)^2))^2)))))/Inputs!$C$13),NA())</f>
        <v>-1271.5199874806242</v>
      </c>
      <c r="Q129" s="9">
        <f>IF(OR(Inputs!$F$9=TRUE,Inputs!$F$9="TRUE",Inputs!$F$9=1),(-2*((1000*((((Inputs!$I$9+(((A129)+1)/2)*(Inputs!$J$9-Inputs!$I$9)))*Inputs!$C$11+((Inputs!$H$9+Inputs!$L$9*(((Inputs!$I$9+(((A129)+1)/2)*(Inputs!$J$9-Inputs!$I$9)))/Inputs!$K$9)^2))*((2*Inputs!$L$9*((Inputs!$I$9+(((A129)+1)/2)*(Inputs!$J$9-Inputs!$I$9)))/(Inputs!$K$9^2)*Inputs!$C$11)))/(SQRT(((Inputs!$I$9+(((A129)+1)/2)*(Inputs!$J$9-Inputs!$I$9)))^2+Inputs!$C$6^2+((Inputs!$H$9+Inputs!$L$9*(((Inputs!$I$9+(((A129)+1)/2)*(Inputs!$J$9-Inputs!$I$9)))/Inputs!$K$9)^2))^2)))))/Inputs!$C$13),NA())</f>
        <v>-1348.1281012923387</v>
      </c>
      <c r="R129" s="10"/>
      <c r="S129" s="9">
        <f t="shared" si="8"/>
        <v>5.8000000000000003E-2</v>
      </c>
      <c r="T129" s="9">
        <f>(Inputs!$I$6+(((A129)+1)/2)*(Inputs!$J$6-Inputs!$I$6))</f>
        <v>3.480000000000004</v>
      </c>
      <c r="U129" s="9">
        <f>(Inputs!$I$7+(((A129)+1)/2)*(Inputs!$J$7-Inputs!$I$7))</f>
        <v>23.200000000000045</v>
      </c>
      <c r="V129" s="9">
        <f>(Inputs!$I$8+(((A129)+1)/2)*(Inputs!$J$8-Inputs!$I$8))</f>
        <v>46.400000000000091</v>
      </c>
      <c r="W129" s="9">
        <f>(Inputs!$I$9+(((A129)+1)/2)*(Inputs!$J$9-Inputs!$I$9))</f>
        <v>46.400000000000091</v>
      </c>
      <c r="X129" s="10"/>
      <c r="Y129" s="9">
        <f t="shared" si="9"/>
        <v>5.8000000000000003E-2</v>
      </c>
      <c r="Z129" s="9">
        <f>(Inputs!$H$6+Inputs!$L$6*(((Inputs!$I$6+(((A129)+1)/2)*(Inputs!$J$6-Inputs!$I$6)))/Inputs!$K$6)^2)</f>
        <v>400.01345600000002</v>
      </c>
      <c r="AA129" s="9">
        <f>(Inputs!$H$7+Inputs!$L$7*(((Inputs!$I$7+(((A129)+1)/2)*(Inputs!$J$7-Inputs!$I$7)))/Inputs!$K$7)^2)</f>
        <v>36.227860000000007</v>
      </c>
      <c r="AB129" s="9">
        <f>(Inputs!$H$8+Inputs!$L$8*(((Inputs!$I$8+(((A129)+1)/2)*(Inputs!$J$8-Inputs!$I$8)))/Inputs!$K$8)^2)</f>
        <v>38.246260000000014</v>
      </c>
      <c r="AC129" s="9">
        <f>(Inputs!$H$9+Inputs!$L$9*(((Inputs!$I$9+(((A129)+1)/2)*(Inputs!$J$9-Inputs!$I$9)))/Inputs!$K$9)^2)</f>
        <v>28.279900000000012</v>
      </c>
      <c r="AD129" s="10"/>
      <c r="AE129" s="9">
        <f t="shared" si="10"/>
        <v>5.8000000000000003E-2</v>
      </c>
      <c r="AF129" s="9">
        <f>(((SQRT(((Inputs!$I$6+(((A129)+1)/2)*(Inputs!$J$6-Inputs!$I$6)))^2+Inputs!$C$6^2+((Inputs!$H$6+Inputs!$L$6*(((Inputs!$I$6+(((A129)+1)/2)*(Inputs!$J$6-Inputs!$I$6)))/Inputs!$K$6)^2))^2))-((Inputs!$H$6+Inputs!$L$6*(((Inputs!$I$6+(((A129)+1)/2)*(Inputs!$J$6-Inputs!$I$6)))/Inputs!$K$6)^2)))*1000/Inputs!$C$12)</f>
        <v>446.94947884704686</v>
      </c>
      <c r="AG129" s="9">
        <f>(((SQRT(((Inputs!$I$7+(((A129)+1)/2)*(Inputs!$J$7-Inputs!$I$7)))^2+Inputs!$C$6^2+((Inputs!$H$7+Inputs!$L$7*(((Inputs!$I$7+(((A129)+1)/2)*(Inputs!$J$7-Inputs!$I$7)))/Inputs!$K$7)^2))^2))-((Inputs!$H$7+Inputs!$L$7*(((Inputs!$I$7+(((A129)+1)/2)*(Inputs!$J$7-Inputs!$I$7)))/Inputs!$K$7)^2)))*1000/Inputs!$C$12)</f>
        <v>7600.2948981560312</v>
      </c>
      <c r="AH129" s="9">
        <f>(((SQRT(((Inputs!$I$8+(((A129)+1)/2)*(Inputs!$J$8-Inputs!$I$8)))^2+Inputs!$C$6^2+((Inputs!$H$8+Inputs!$L$8*(((Inputs!$I$8+(((A129)+1)/2)*(Inputs!$J$8-Inputs!$I$8)))/Inputs!$K$8)^2))^2))-((Inputs!$H$8+Inputs!$L$8*(((Inputs!$I$8+(((A129)+1)/2)*(Inputs!$J$8-Inputs!$I$8)))/Inputs!$K$8)^2)))*1000/Inputs!$C$12)</f>
        <v>15098.133009026098</v>
      </c>
      <c r="AI129" s="9">
        <f>(((SQRT(((Inputs!$I$9+(((A129)+1)/2)*(Inputs!$J$9-Inputs!$I$9)))^2+Inputs!$C$6^2+((Inputs!$H$9+Inputs!$L$9*(((Inputs!$I$9+(((A129)+1)/2)*(Inputs!$J$9-Inputs!$I$9)))/Inputs!$K$9)^2))^2))-((Inputs!$H$9+Inputs!$L$9*(((Inputs!$I$9+(((A129)+1)/2)*(Inputs!$J$9-Inputs!$I$9)))/Inputs!$K$9)^2)))*1000/Inputs!$C$12)</f>
        <v>17715.77781952596</v>
      </c>
      <c r="AJ129" s="10"/>
      <c r="AK129" s="9">
        <f t="shared" si="11"/>
        <v>5.8000000000000003E-2</v>
      </c>
      <c r="AL129" s="9">
        <f>(-2*((1000*((((Inputs!$I$6+(((A129)+1)/2)*(Inputs!$J$6-Inputs!$I$6)))*Inputs!$C$11+((Inputs!$H$6+Inputs!$L$6*(((Inputs!$I$6+(((A129)+1)/2)*(Inputs!$J$6-Inputs!$I$6)))/Inputs!$K$6)^2))*((2*Inputs!$L$6*((Inputs!$I$6+(((A129)+1)/2)*(Inputs!$J$6-Inputs!$I$6)))/(Inputs!$K$6^2)*Inputs!$C$11)))/(SQRT(((Inputs!$I$6+(((A129)+1)/2)*(Inputs!$J$6-Inputs!$I$6)))^2+Inputs!$C$6^2+((Inputs!$H$6+Inputs!$L$6*(((Inputs!$I$6+(((A129)+1)/2)*(Inputs!$J$6-Inputs!$I$6)))/Inputs!$K$6)^2))^2)))))/Inputs!$C$13)</f>
        <v>-26.240676094475539</v>
      </c>
      <c r="AM129" s="9">
        <f>(-2*((1000*((((Inputs!$I$7+(((A129)+1)/2)*(Inputs!$J$7-Inputs!$I$7)))*Inputs!$C$11+((Inputs!$H$7+Inputs!$L$7*(((Inputs!$I$7+(((A129)+1)/2)*(Inputs!$J$7-Inputs!$I$7)))/Inputs!$K$7)^2))*((2*Inputs!$L$7*((Inputs!$I$7+(((A129)+1)/2)*(Inputs!$J$7-Inputs!$I$7)))/(Inputs!$K$7^2)*Inputs!$C$11)))/(SQRT(((Inputs!$I$7+(((A129)+1)/2)*(Inputs!$J$7-Inputs!$I$7)))^2+Inputs!$C$6^2+((Inputs!$H$7+Inputs!$L$7*(((Inputs!$I$7+(((A129)+1)/2)*(Inputs!$J$7-Inputs!$I$7)))/Inputs!$K$7)^2))^2)))))/Inputs!$C$13)</f>
        <v>-869.34672686254339</v>
      </c>
      <c r="AN129" s="9">
        <f>(-2*((1000*((((Inputs!$I$8+(((A129)+1)/2)*(Inputs!$J$8-Inputs!$I$8)))*Inputs!$C$11+((Inputs!$H$8+Inputs!$L$8*(((Inputs!$I$8+(((A129)+1)/2)*(Inputs!$J$8-Inputs!$I$8)))/Inputs!$K$8)^2))*((2*Inputs!$L$8*((Inputs!$I$8+(((A129)+1)/2)*(Inputs!$J$8-Inputs!$I$8)))/(Inputs!$K$8^2)*Inputs!$C$11)))/(SQRT(((Inputs!$I$8+(((A129)+1)/2)*(Inputs!$J$8-Inputs!$I$8)))^2+Inputs!$C$6^2+((Inputs!$H$8+Inputs!$L$8*(((Inputs!$I$8+(((A129)+1)/2)*(Inputs!$J$8-Inputs!$I$8)))/Inputs!$K$8)^2))^2)))))/Inputs!$C$13)</f>
        <v>-1271.5199874806242</v>
      </c>
      <c r="AO129" s="9">
        <f>(-2*((1000*((((Inputs!$I$9+(((A129)+1)/2)*(Inputs!$J$9-Inputs!$I$9)))*Inputs!$C$11+((Inputs!$H$9+Inputs!$L$9*(((Inputs!$I$9+(((A129)+1)/2)*(Inputs!$J$9-Inputs!$I$9)))/Inputs!$K$9)^2))*((2*Inputs!$L$9*((Inputs!$I$9+(((A129)+1)/2)*(Inputs!$J$9-Inputs!$I$9)))/(Inputs!$K$9^2)*Inputs!$C$11)))/(SQRT(((Inputs!$I$9+(((A129)+1)/2)*(Inputs!$J$9-Inputs!$I$9)))^2+Inputs!$C$6^2+((Inputs!$H$9+Inputs!$L$9*(((Inputs!$I$9+(((A129)+1)/2)*(Inputs!$J$9-Inputs!$I$9)))/Inputs!$K$9)^2))^2)))))/Inputs!$C$13)</f>
        <v>-1348.1281012923387</v>
      </c>
    </row>
    <row r="130" spans="1:41">
      <c r="A130" s="9">
        <f>ROUND(-1+128*2/240,3)</f>
        <v>6.7000000000000004E-2</v>
      </c>
      <c r="B130" s="9">
        <f>IF(OR(Inputs!$F$6=TRUE,Inputs!$F$6="TRUE",Inputs!$F$6=1),(Inputs!$H$6+Inputs!$L$6*(((Inputs!$I$6+(((A130)+1)/2)*(Inputs!$J$6-Inputs!$I$6)))/Inputs!$K$6)^2),NA())</f>
        <v>400.01795600000003</v>
      </c>
      <c r="C130" s="9">
        <f>IF(OR(Inputs!$F$7=TRUE,Inputs!$F$7="TRUE",Inputs!$F$7=1),(Inputs!$H$7+Inputs!$L$7*(((Inputs!$I$7+(((A130)+1)/2)*(Inputs!$J$7-Inputs!$I$7)))/Inputs!$K$7)^2),NA())</f>
        <v>36.638484999999996</v>
      </c>
      <c r="D130" s="9">
        <f>IF(OR(Inputs!$F$8=TRUE,Inputs!$F$8="TRUE",Inputs!$F$8=1),(Inputs!$H$8+Inputs!$L$8*(((Inputs!$I$8+(((A130)+1)/2)*(Inputs!$J$8-Inputs!$I$8)))/Inputs!$K$8)^2),NA())</f>
        <v>39.331884999999986</v>
      </c>
      <c r="E130" s="9">
        <f>IF(OR(Inputs!$F$9=TRUE,Inputs!$F$9="TRUE",Inputs!$F$9=1),(Inputs!$H$9+Inputs!$L$9*(((Inputs!$I$9+(((A130)+1)/2)*(Inputs!$J$9-Inputs!$I$9)))/Inputs!$K$9)^2),NA())</f>
        <v>29.376774999999988</v>
      </c>
      <c r="F130" s="10"/>
      <c r="G130" s="9">
        <f t="shared" ref="G130:G193" si="12">A130</f>
        <v>6.7000000000000004E-2</v>
      </c>
      <c r="H130" s="9">
        <f>IF(OR(Inputs!$F$6=TRUE,Inputs!$F$6="TRUE",Inputs!$F$6=1),(((SQRT(((Inputs!$I$6+(((A130)+1)/2)*(Inputs!$J$6-Inputs!$I$6)))^2+Inputs!$C$6^2+((Inputs!$H$6+Inputs!$L$6*(((Inputs!$I$6+(((A130)+1)/2)*(Inputs!$J$6-Inputs!$I$6)))/Inputs!$K$6)^2))^2))-((Inputs!$H$6+Inputs!$L$6*(((Inputs!$I$6+(((A130)+1)/2)*(Inputs!$J$6-Inputs!$I$6)))/Inputs!$K$6)^2)))*1000/Inputs!$C$12),NA())</f>
        <v>449.78277153401439</v>
      </c>
      <c r="I130" s="9">
        <f>IF(OR(Inputs!$F$7=TRUE,Inputs!$F$7="TRUE",Inputs!$F$7=1),(((SQRT(((Inputs!$I$7+(((A130)+1)/2)*(Inputs!$J$7-Inputs!$I$7)))^2+Inputs!$C$6^2+((Inputs!$H$7+Inputs!$L$7*(((Inputs!$I$7+(((A130)+1)/2)*(Inputs!$J$7-Inputs!$I$7)))/Inputs!$K$7)^2))^2))-((Inputs!$H$7+Inputs!$L$7*(((Inputs!$I$7+(((A130)+1)/2)*(Inputs!$J$7-Inputs!$I$7)))/Inputs!$K$7)^2)))*1000/Inputs!$C$12),NA())</f>
        <v>8530.6006800108826</v>
      </c>
      <c r="J130" s="9">
        <f>IF(OR(Inputs!$F$8=TRUE,Inputs!$F$8="TRUE",Inputs!$F$8=1),(((SQRT(((Inputs!$I$8+(((A130)+1)/2)*(Inputs!$J$8-Inputs!$I$8)))^2+Inputs!$C$6^2+((Inputs!$H$8+Inputs!$L$8*(((Inputs!$I$8+(((A130)+1)/2)*(Inputs!$J$8-Inputs!$I$8)))/Inputs!$K$8)^2))^2))-((Inputs!$H$8+Inputs!$L$8*(((Inputs!$I$8+(((A130)+1)/2)*(Inputs!$J$8-Inputs!$I$8)))/Inputs!$K$8)^2)))*1000/Inputs!$C$12),NA())</f>
        <v>17806.728641253387</v>
      </c>
      <c r="K130" s="9">
        <f>IF(OR(Inputs!$F$9=TRUE,Inputs!$F$9="TRUE",Inputs!$F$9=1),(((SQRT(((Inputs!$I$9+(((A130)+1)/2)*(Inputs!$J$9-Inputs!$I$9)))^2+Inputs!$C$6^2+((Inputs!$H$9+Inputs!$L$9*(((Inputs!$I$9+(((A130)+1)/2)*(Inputs!$J$9-Inputs!$I$9)))/Inputs!$K$9)^2))^2))-((Inputs!$H$9+Inputs!$L$9*(((Inputs!$I$9+(((A130)+1)/2)*(Inputs!$J$9-Inputs!$I$9)))/Inputs!$K$9)^2)))*1000/Inputs!$C$12),NA())</f>
        <v>20595.927822440484</v>
      </c>
      <c r="L130" s="10"/>
      <c r="M130" s="9">
        <f t="shared" ref="M130:M193" si="13">A130</f>
        <v>6.7000000000000004E-2</v>
      </c>
      <c r="N130" s="9">
        <f>IF(OR(Inputs!$F$6=TRUE,Inputs!$F$6="TRUE",Inputs!$F$6=1),(-2*((1000*((((Inputs!$I$6+(((A130)+1)/2)*(Inputs!$J$6-Inputs!$I$6)))*Inputs!$C$11+((Inputs!$H$6+Inputs!$L$6*(((Inputs!$I$6+(((A130)+1)/2)*(Inputs!$J$6-Inputs!$I$6)))/Inputs!$K$6)^2))*((2*Inputs!$L$6*((Inputs!$I$6+(((A130)+1)/2)*(Inputs!$J$6-Inputs!$I$6)))/(Inputs!$K$6^2)*Inputs!$C$11)))/(SQRT(((Inputs!$I$6+(((A130)+1)/2)*(Inputs!$J$6-Inputs!$I$6)))^2+Inputs!$C$6^2+((Inputs!$H$6+Inputs!$L$6*(((Inputs!$I$6+(((A130)+1)/2)*(Inputs!$J$6-Inputs!$I$6)))/Inputs!$K$6)^2))^2)))))/Inputs!$C$13),NA())</f>
        <v>-30.31194389180796</v>
      </c>
      <c r="O130" s="9">
        <f>IF(OR(Inputs!$F$7=TRUE,Inputs!$F$7="TRUE",Inputs!$F$7=1),(-2*((1000*((((Inputs!$I$7+(((A130)+1)/2)*(Inputs!$J$7-Inputs!$I$7)))*Inputs!$C$11+((Inputs!$H$7+Inputs!$L$7*(((Inputs!$I$7+(((A130)+1)/2)*(Inputs!$J$7-Inputs!$I$7)))/Inputs!$K$7)^2))*((2*Inputs!$L$7*((Inputs!$I$7+(((A130)+1)/2)*(Inputs!$J$7-Inputs!$I$7)))/(Inputs!$K$7^2)*Inputs!$C$11)))/(SQRT(((Inputs!$I$7+(((A130)+1)/2)*(Inputs!$J$7-Inputs!$I$7)))^2+Inputs!$C$6^2+((Inputs!$H$7+Inputs!$L$7*(((Inputs!$I$7+(((A130)+1)/2)*(Inputs!$J$7-Inputs!$I$7)))/Inputs!$K$7)^2))^2)))))/Inputs!$C$13),NA())</f>
        <v>-965.74874913899498</v>
      </c>
      <c r="P130" s="9">
        <f>IF(OR(Inputs!$F$8=TRUE,Inputs!$F$8="TRUE",Inputs!$F$8=1),(-2*((1000*((((Inputs!$I$8+(((A130)+1)/2)*(Inputs!$J$8-Inputs!$I$8)))*Inputs!$C$11+((Inputs!$H$8+Inputs!$L$8*(((Inputs!$I$8+(((A130)+1)/2)*(Inputs!$J$8-Inputs!$I$8)))/Inputs!$K$8)^2))*((2*Inputs!$L$8*((Inputs!$I$8+(((A130)+1)/2)*(Inputs!$J$8-Inputs!$I$8)))/(Inputs!$K$8^2)*Inputs!$C$11)))/(SQRT(((Inputs!$I$8+(((A130)+1)/2)*(Inputs!$J$8-Inputs!$I$8)))^2+Inputs!$C$6^2+((Inputs!$H$8+Inputs!$L$8*(((Inputs!$I$8+(((A130)+1)/2)*(Inputs!$J$8-Inputs!$I$8)))/Inputs!$K$8)^2))^2)))))/Inputs!$C$13),NA())</f>
        <v>-1350.625084615099</v>
      </c>
      <c r="Q130" s="9">
        <f>IF(OR(Inputs!$F$9=TRUE,Inputs!$F$9="TRUE",Inputs!$F$9=1),(-2*((1000*((((Inputs!$I$9+(((A130)+1)/2)*(Inputs!$J$9-Inputs!$I$9)))*Inputs!$C$11+((Inputs!$H$9+Inputs!$L$9*(((Inputs!$I$9+(((A130)+1)/2)*(Inputs!$J$9-Inputs!$I$9)))/Inputs!$K$9)^2))*((2*Inputs!$L$9*((Inputs!$I$9+(((A130)+1)/2)*(Inputs!$J$9-Inputs!$I$9)))/(Inputs!$K$9^2)*Inputs!$C$11)))/(SQRT(((Inputs!$I$9+(((A130)+1)/2)*(Inputs!$J$9-Inputs!$I$9)))^2+Inputs!$C$6^2+((Inputs!$H$9+Inputs!$L$9*(((Inputs!$I$9+(((A130)+1)/2)*(Inputs!$J$9-Inputs!$I$9)))/Inputs!$K$9)^2))^2)))))/Inputs!$C$13),NA())</f>
        <v>-1414.8947761334084</v>
      </c>
      <c r="R130" s="10"/>
      <c r="S130" s="9">
        <f t="shared" ref="S130:S193" si="14">A130</f>
        <v>6.7000000000000004E-2</v>
      </c>
      <c r="T130" s="9">
        <f>(Inputs!$I$6+(((A130)+1)/2)*(Inputs!$J$6-Inputs!$I$6))</f>
        <v>4.019999999999996</v>
      </c>
      <c r="U130" s="9">
        <f>(Inputs!$I$7+(((A130)+1)/2)*(Inputs!$J$7-Inputs!$I$7))</f>
        <v>26.799999999999955</v>
      </c>
      <c r="V130" s="9">
        <f>(Inputs!$I$8+(((A130)+1)/2)*(Inputs!$J$8-Inputs!$I$8))</f>
        <v>53.599999999999909</v>
      </c>
      <c r="W130" s="9">
        <f>(Inputs!$I$9+(((A130)+1)/2)*(Inputs!$J$9-Inputs!$I$9))</f>
        <v>53.599999999999909</v>
      </c>
      <c r="X130" s="10"/>
      <c r="Y130" s="9">
        <f t="shared" ref="Y130:Y193" si="15">A130</f>
        <v>6.7000000000000004E-2</v>
      </c>
      <c r="Z130" s="9">
        <f>(Inputs!$H$6+Inputs!$L$6*(((Inputs!$I$6+(((A130)+1)/2)*(Inputs!$J$6-Inputs!$I$6)))/Inputs!$K$6)^2)</f>
        <v>400.01795600000003</v>
      </c>
      <c r="AA130" s="9">
        <f>(Inputs!$H$7+Inputs!$L$7*(((Inputs!$I$7+(((A130)+1)/2)*(Inputs!$J$7-Inputs!$I$7)))/Inputs!$K$7)^2)</f>
        <v>36.638484999999996</v>
      </c>
      <c r="AB130" s="9">
        <f>(Inputs!$H$8+Inputs!$L$8*(((Inputs!$I$8+(((A130)+1)/2)*(Inputs!$J$8-Inputs!$I$8)))/Inputs!$K$8)^2)</f>
        <v>39.331884999999986</v>
      </c>
      <c r="AC130" s="9">
        <f>(Inputs!$H$9+Inputs!$L$9*(((Inputs!$I$9+(((A130)+1)/2)*(Inputs!$J$9-Inputs!$I$9)))/Inputs!$K$9)^2)</f>
        <v>29.376774999999988</v>
      </c>
      <c r="AD130" s="10"/>
      <c r="AE130" s="9">
        <f t="shared" ref="AE130:AE193" si="16">A130</f>
        <v>6.7000000000000004E-2</v>
      </c>
      <c r="AF130" s="9">
        <f>(((SQRT(((Inputs!$I$6+(((A130)+1)/2)*(Inputs!$J$6-Inputs!$I$6)))^2+Inputs!$C$6^2+((Inputs!$H$6+Inputs!$L$6*(((Inputs!$I$6+(((A130)+1)/2)*(Inputs!$J$6-Inputs!$I$6)))/Inputs!$K$6)^2))^2))-((Inputs!$H$6+Inputs!$L$6*(((Inputs!$I$6+(((A130)+1)/2)*(Inputs!$J$6-Inputs!$I$6)))/Inputs!$K$6)^2)))*1000/Inputs!$C$12)</f>
        <v>449.78277153401439</v>
      </c>
      <c r="AG130" s="9">
        <f>(((SQRT(((Inputs!$I$7+(((A130)+1)/2)*(Inputs!$J$7-Inputs!$I$7)))^2+Inputs!$C$6^2+((Inputs!$H$7+Inputs!$L$7*(((Inputs!$I$7+(((A130)+1)/2)*(Inputs!$J$7-Inputs!$I$7)))/Inputs!$K$7)^2))^2))-((Inputs!$H$7+Inputs!$L$7*(((Inputs!$I$7+(((A130)+1)/2)*(Inputs!$J$7-Inputs!$I$7)))/Inputs!$K$7)^2)))*1000/Inputs!$C$12)</f>
        <v>8530.6006800108826</v>
      </c>
      <c r="AH130" s="9">
        <f>(((SQRT(((Inputs!$I$8+(((A130)+1)/2)*(Inputs!$J$8-Inputs!$I$8)))^2+Inputs!$C$6^2+((Inputs!$H$8+Inputs!$L$8*(((Inputs!$I$8+(((A130)+1)/2)*(Inputs!$J$8-Inputs!$I$8)))/Inputs!$K$8)^2))^2))-((Inputs!$H$8+Inputs!$L$8*(((Inputs!$I$8+(((A130)+1)/2)*(Inputs!$J$8-Inputs!$I$8)))/Inputs!$K$8)^2)))*1000/Inputs!$C$12)</f>
        <v>17806.728641253387</v>
      </c>
      <c r="AI130" s="9">
        <f>(((SQRT(((Inputs!$I$9+(((A130)+1)/2)*(Inputs!$J$9-Inputs!$I$9)))^2+Inputs!$C$6^2+((Inputs!$H$9+Inputs!$L$9*(((Inputs!$I$9+(((A130)+1)/2)*(Inputs!$J$9-Inputs!$I$9)))/Inputs!$K$9)^2))^2))-((Inputs!$H$9+Inputs!$L$9*(((Inputs!$I$9+(((A130)+1)/2)*(Inputs!$J$9-Inputs!$I$9)))/Inputs!$K$9)^2)))*1000/Inputs!$C$12)</f>
        <v>20595.927822440484</v>
      </c>
      <c r="AJ130" s="10"/>
      <c r="AK130" s="9">
        <f t="shared" ref="AK130:AK193" si="17">A130</f>
        <v>6.7000000000000004E-2</v>
      </c>
      <c r="AL130" s="9">
        <f>(-2*((1000*((((Inputs!$I$6+(((A130)+1)/2)*(Inputs!$J$6-Inputs!$I$6)))*Inputs!$C$11+((Inputs!$H$6+Inputs!$L$6*(((Inputs!$I$6+(((A130)+1)/2)*(Inputs!$J$6-Inputs!$I$6)))/Inputs!$K$6)^2))*((2*Inputs!$L$6*((Inputs!$I$6+(((A130)+1)/2)*(Inputs!$J$6-Inputs!$I$6)))/(Inputs!$K$6^2)*Inputs!$C$11)))/(SQRT(((Inputs!$I$6+(((A130)+1)/2)*(Inputs!$J$6-Inputs!$I$6)))^2+Inputs!$C$6^2+((Inputs!$H$6+Inputs!$L$6*(((Inputs!$I$6+(((A130)+1)/2)*(Inputs!$J$6-Inputs!$I$6)))/Inputs!$K$6)^2))^2)))))/Inputs!$C$13)</f>
        <v>-30.31194389180796</v>
      </c>
      <c r="AM130" s="9">
        <f>(-2*((1000*((((Inputs!$I$7+(((A130)+1)/2)*(Inputs!$J$7-Inputs!$I$7)))*Inputs!$C$11+((Inputs!$H$7+Inputs!$L$7*(((Inputs!$I$7+(((A130)+1)/2)*(Inputs!$J$7-Inputs!$I$7)))/Inputs!$K$7)^2))*((2*Inputs!$L$7*((Inputs!$I$7+(((A130)+1)/2)*(Inputs!$J$7-Inputs!$I$7)))/(Inputs!$K$7^2)*Inputs!$C$11)))/(SQRT(((Inputs!$I$7+(((A130)+1)/2)*(Inputs!$J$7-Inputs!$I$7)))^2+Inputs!$C$6^2+((Inputs!$H$7+Inputs!$L$7*(((Inputs!$I$7+(((A130)+1)/2)*(Inputs!$J$7-Inputs!$I$7)))/Inputs!$K$7)^2))^2)))))/Inputs!$C$13)</f>
        <v>-965.74874913899498</v>
      </c>
      <c r="AN130" s="9">
        <f>(-2*((1000*((((Inputs!$I$8+(((A130)+1)/2)*(Inputs!$J$8-Inputs!$I$8)))*Inputs!$C$11+((Inputs!$H$8+Inputs!$L$8*(((Inputs!$I$8+(((A130)+1)/2)*(Inputs!$J$8-Inputs!$I$8)))/Inputs!$K$8)^2))*((2*Inputs!$L$8*((Inputs!$I$8+(((A130)+1)/2)*(Inputs!$J$8-Inputs!$I$8)))/(Inputs!$K$8^2)*Inputs!$C$11)))/(SQRT(((Inputs!$I$8+(((A130)+1)/2)*(Inputs!$J$8-Inputs!$I$8)))^2+Inputs!$C$6^2+((Inputs!$H$8+Inputs!$L$8*(((Inputs!$I$8+(((A130)+1)/2)*(Inputs!$J$8-Inputs!$I$8)))/Inputs!$K$8)^2))^2)))))/Inputs!$C$13)</f>
        <v>-1350.625084615099</v>
      </c>
      <c r="AO130" s="9">
        <f>(-2*((1000*((((Inputs!$I$9+(((A130)+1)/2)*(Inputs!$J$9-Inputs!$I$9)))*Inputs!$C$11+((Inputs!$H$9+Inputs!$L$9*(((Inputs!$I$9+(((A130)+1)/2)*(Inputs!$J$9-Inputs!$I$9)))/Inputs!$K$9)^2))*((2*Inputs!$L$9*((Inputs!$I$9+(((A130)+1)/2)*(Inputs!$J$9-Inputs!$I$9)))/(Inputs!$K$9^2)*Inputs!$C$11)))/(SQRT(((Inputs!$I$9+(((A130)+1)/2)*(Inputs!$J$9-Inputs!$I$9)))^2+Inputs!$C$6^2+((Inputs!$H$9+Inputs!$L$9*(((Inputs!$I$9+(((A130)+1)/2)*(Inputs!$J$9-Inputs!$I$9)))/Inputs!$K$9)^2))^2)))))/Inputs!$C$13)</f>
        <v>-1414.8947761334084</v>
      </c>
    </row>
    <row r="131" spans="1:41">
      <c r="A131" s="9">
        <f>ROUND(-1+129*2/240,3)</f>
        <v>7.4999999999999997E-2</v>
      </c>
      <c r="B131" s="9">
        <f>IF(OR(Inputs!$F$6=TRUE,Inputs!$F$6="TRUE",Inputs!$F$6=1),(Inputs!$H$6+Inputs!$L$6*(((Inputs!$I$6+(((A131)+1)/2)*(Inputs!$J$6-Inputs!$I$6)))/Inputs!$K$6)^2),NA())</f>
        <v>400.02249999999998</v>
      </c>
      <c r="C131" s="9">
        <f>IF(OR(Inputs!$F$7=TRUE,Inputs!$F$7="TRUE",Inputs!$F$7=1),(Inputs!$H$7+Inputs!$L$7*(((Inputs!$I$7+(((A131)+1)/2)*(Inputs!$J$7-Inputs!$I$7)))/Inputs!$K$7)^2),NA())</f>
        <v>37.053125000000001</v>
      </c>
      <c r="D131" s="9">
        <f>IF(OR(Inputs!$F$8=TRUE,Inputs!$F$8="TRUE",Inputs!$F$8=1),(Inputs!$H$8+Inputs!$L$8*(((Inputs!$I$8+(((A131)+1)/2)*(Inputs!$J$8-Inputs!$I$8)))/Inputs!$K$8)^2),NA())</f>
        <v>40.428125000000001</v>
      </c>
      <c r="E131" s="9">
        <f>IF(OR(Inputs!$F$9=TRUE,Inputs!$F$9="TRUE",Inputs!$F$9=1),(Inputs!$H$9+Inputs!$L$9*(((Inputs!$I$9+(((A131)+1)/2)*(Inputs!$J$9-Inputs!$I$9)))/Inputs!$K$9)^2),NA())</f>
        <v>30.484375</v>
      </c>
      <c r="F131" s="10"/>
      <c r="G131" s="9">
        <f t="shared" si="12"/>
        <v>7.4999999999999997E-2</v>
      </c>
      <c r="H131" s="9">
        <f>IF(OR(Inputs!$F$6=TRUE,Inputs!$F$6="TRUE",Inputs!$F$6=1),(((SQRT(((Inputs!$I$6+(((A131)+1)/2)*(Inputs!$J$6-Inputs!$I$6)))^2+Inputs!$C$6^2+((Inputs!$H$6+Inputs!$L$6*(((Inputs!$I$6+(((A131)+1)/2)*(Inputs!$J$6-Inputs!$I$6)))/Inputs!$K$6)^2))^2))-((Inputs!$H$6+Inputs!$L$6*(((Inputs!$I$6+(((A131)+1)/2)*(Inputs!$J$6-Inputs!$I$6)))/Inputs!$K$6)^2)))*1000/Inputs!$C$12),NA())</f>
        <v>452.64366680049187</v>
      </c>
      <c r="I131" s="9">
        <f>IF(OR(Inputs!$F$7=TRUE,Inputs!$F$7="TRUE",Inputs!$F$7=1),(((SQRT(((Inputs!$I$7+(((A131)+1)/2)*(Inputs!$J$7-Inputs!$I$7)))^2+Inputs!$C$6^2+((Inputs!$H$7+Inputs!$L$7*(((Inputs!$I$7+(((A131)+1)/2)*(Inputs!$J$7-Inputs!$I$7)))/Inputs!$K$7)^2))^2))-((Inputs!$H$7+Inputs!$L$7*(((Inputs!$I$7+(((A131)+1)/2)*(Inputs!$J$7-Inputs!$I$7)))/Inputs!$K$7)^2)))*1000/Inputs!$C$12),NA())</f>
        <v>9426.5943800357454</v>
      </c>
      <c r="J131" s="9">
        <f>IF(OR(Inputs!$F$8=TRUE,Inputs!$F$8="TRUE",Inputs!$F$8=1),(((SQRT(((Inputs!$I$8+(((A131)+1)/2)*(Inputs!$J$8-Inputs!$I$8)))^2+Inputs!$C$6^2+((Inputs!$H$8+Inputs!$L$8*(((Inputs!$I$8+(((A131)+1)/2)*(Inputs!$J$8-Inputs!$I$8)))/Inputs!$K$8)^2))^2))-((Inputs!$H$8+Inputs!$L$8*(((Inputs!$I$8+(((A131)+1)/2)*(Inputs!$J$8-Inputs!$I$8)))/Inputs!$K$8)^2)))*1000/Inputs!$C$12),NA())</f>
        <v>20291.466413678096</v>
      </c>
      <c r="K131" s="9">
        <f>IF(OR(Inputs!$F$9=TRUE,Inputs!$F$9="TRUE",Inputs!$F$9=1),(((SQRT(((Inputs!$I$9+(((A131)+1)/2)*(Inputs!$J$9-Inputs!$I$9)))^2+Inputs!$C$6^2+((Inputs!$H$9+Inputs!$L$9*(((Inputs!$I$9+(((A131)+1)/2)*(Inputs!$J$9-Inputs!$I$9)))/Inputs!$K$9)^2))^2))-((Inputs!$H$9+Inputs!$L$9*(((Inputs!$I$9+(((A131)+1)/2)*(Inputs!$J$9-Inputs!$I$9)))/Inputs!$K$9)^2)))*1000/Inputs!$C$12),NA())</f>
        <v>23207.336335419968</v>
      </c>
      <c r="L131" s="10"/>
      <c r="M131" s="9">
        <f t="shared" si="13"/>
        <v>7.4999999999999997E-2</v>
      </c>
      <c r="N131" s="9">
        <f>IF(OR(Inputs!$F$6=TRUE,Inputs!$F$6="TRUE",Inputs!$F$6=1),(-2*((1000*((((Inputs!$I$6+(((A131)+1)/2)*(Inputs!$J$6-Inputs!$I$6)))*Inputs!$C$11+((Inputs!$H$6+Inputs!$L$6*(((Inputs!$I$6+(((A131)+1)/2)*(Inputs!$J$6-Inputs!$I$6)))/Inputs!$K$6)^2))*((2*Inputs!$L$6*((Inputs!$I$6+(((A131)+1)/2)*(Inputs!$J$6-Inputs!$I$6)))/(Inputs!$K$6^2)*Inputs!$C$11)))/(SQRT(((Inputs!$I$6+(((A131)+1)/2)*(Inputs!$J$6-Inputs!$I$6)))^2+Inputs!$C$6^2+((Inputs!$H$6+Inputs!$L$6*(((Inputs!$I$6+(((A131)+1)/2)*(Inputs!$J$6-Inputs!$I$6)))/Inputs!$K$6)^2))^2)))))/Inputs!$C$13),NA())</f>
        <v>-33.930646111432324</v>
      </c>
      <c r="O131" s="9">
        <f>IF(OR(Inputs!$F$7=TRUE,Inputs!$F$7="TRUE",Inputs!$F$7=1),(-2*((1000*((((Inputs!$I$7+(((A131)+1)/2)*(Inputs!$J$7-Inputs!$I$7)))*Inputs!$C$11+((Inputs!$H$7+Inputs!$L$7*(((Inputs!$I$7+(((A131)+1)/2)*(Inputs!$J$7-Inputs!$I$7)))/Inputs!$K$7)^2))*((2*Inputs!$L$7*((Inputs!$I$7+(((A131)+1)/2)*(Inputs!$J$7-Inputs!$I$7)))/(Inputs!$K$7^2)*Inputs!$C$11)))/(SQRT(((Inputs!$I$7+(((A131)+1)/2)*(Inputs!$J$7-Inputs!$I$7)))^2+Inputs!$C$6^2+((Inputs!$H$7+Inputs!$L$7*(((Inputs!$I$7+(((A131)+1)/2)*(Inputs!$J$7-Inputs!$I$7)))/Inputs!$K$7)^2))^2)))))/Inputs!$C$13),NA())</f>
        <v>-1042.3939617751896</v>
      </c>
      <c r="P131" s="9">
        <f>IF(OR(Inputs!$F$8=TRUE,Inputs!$F$8="TRUE",Inputs!$F$8=1),(-2*((1000*((((Inputs!$I$8+(((A131)+1)/2)*(Inputs!$J$8-Inputs!$I$8)))*Inputs!$C$11+((Inputs!$H$8+Inputs!$L$8*(((Inputs!$I$8+(((A131)+1)/2)*(Inputs!$J$8-Inputs!$I$8)))/Inputs!$K$8)^2))*((2*Inputs!$L$8*((Inputs!$I$8+(((A131)+1)/2)*(Inputs!$J$8-Inputs!$I$8)))/(Inputs!$K$8^2)*Inputs!$C$11)))/(SQRT(((Inputs!$I$8+(((A131)+1)/2)*(Inputs!$J$8-Inputs!$I$8)))^2+Inputs!$C$6^2+((Inputs!$H$8+Inputs!$L$8*(((Inputs!$I$8+(((A131)+1)/2)*(Inputs!$J$8-Inputs!$I$8)))/Inputs!$K$8)^2))^2)))))/Inputs!$C$13),NA())</f>
        <v>-1407.0314099851676</v>
      </c>
      <c r="Q131" s="9">
        <f>IF(OR(Inputs!$F$9=TRUE,Inputs!$F$9="TRUE",Inputs!$F$9=1),(-2*((1000*((((Inputs!$I$9+(((A131)+1)/2)*(Inputs!$J$9-Inputs!$I$9)))*Inputs!$C$11+((Inputs!$H$9+Inputs!$L$9*(((Inputs!$I$9+(((A131)+1)/2)*(Inputs!$J$9-Inputs!$I$9)))/Inputs!$K$9)^2))*((2*Inputs!$L$9*((Inputs!$I$9+(((A131)+1)/2)*(Inputs!$J$9-Inputs!$I$9)))/(Inputs!$K$9^2)*Inputs!$C$11)))/(SQRT(((Inputs!$I$9+(((A131)+1)/2)*(Inputs!$J$9-Inputs!$I$9)))^2+Inputs!$C$6^2+((Inputs!$H$9+Inputs!$L$9*(((Inputs!$I$9+(((A131)+1)/2)*(Inputs!$J$9-Inputs!$I$9)))/Inputs!$K$9)^2))^2)))))/Inputs!$C$13),NA())</f>
        <v>-1461.3687396461996</v>
      </c>
      <c r="R131" s="10"/>
      <c r="S131" s="9">
        <f t="shared" si="14"/>
        <v>7.4999999999999997E-2</v>
      </c>
      <c r="T131" s="9">
        <f>(Inputs!$I$6+(((A131)+1)/2)*(Inputs!$J$6-Inputs!$I$6))</f>
        <v>4.5</v>
      </c>
      <c r="U131" s="9">
        <f>(Inputs!$I$7+(((A131)+1)/2)*(Inputs!$J$7-Inputs!$I$7))</f>
        <v>30</v>
      </c>
      <c r="V131" s="9">
        <f>(Inputs!$I$8+(((A131)+1)/2)*(Inputs!$J$8-Inputs!$I$8))</f>
        <v>60</v>
      </c>
      <c r="W131" s="9">
        <f>(Inputs!$I$9+(((A131)+1)/2)*(Inputs!$J$9-Inputs!$I$9))</f>
        <v>60</v>
      </c>
      <c r="X131" s="10"/>
      <c r="Y131" s="9">
        <f t="shared" si="15"/>
        <v>7.4999999999999997E-2</v>
      </c>
      <c r="Z131" s="9">
        <f>(Inputs!$H$6+Inputs!$L$6*(((Inputs!$I$6+(((A131)+1)/2)*(Inputs!$J$6-Inputs!$I$6)))/Inputs!$K$6)^2)</f>
        <v>400.02249999999998</v>
      </c>
      <c r="AA131" s="9">
        <f>(Inputs!$H$7+Inputs!$L$7*(((Inputs!$I$7+(((A131)+1)/2)*(Inputs!$J$7-Inputs!$I$7)))/Inputs!$K$7)^2)</f>
        <v>37.053125000000001</v>
      </c>
      <c r="AB131" s="9">
        <f>(Inputs!$H$8+Inputs!$L$8*(((Inputs!$I$8+(((A131)+1)/2)*(Inputs!$J$8-Inputs!$I$8)))/Inputs!$K$8)^2)</f>
        <v>40.428125000000001</v>
      </c>
      <c r="AC131" s="9">
        <f>(Inputs!$H$9+Inputs!$L$9*(((Inputs!$I$9+(((A131)+1)/2)*(Inputs!$J$9-Inputs!$I$9)))/Inputs!$K$9)^2)</f>
        <v>30.484375</v>
      </c>
      <c r="AD131" s="10"/>
      <c r="AE131" s="9">
        <f t="shared" si="16"/>
        <v>7.4999999999999997E-2</v>
      </c>
      <c r="AF131" s="9">
        <f>(((SQRT(((Inputs!$I$6+(((A131)+1)/2)*(Inputs!$J$6-Inputs!$I$6)))^2+Inputs!$C$6^2+((Inputs!$H$6+Inputs!$L$6*(((Inputs!$I$6+(((A131)+1)/2)*(Inputs!$J$6-Inputs!$I$6)))/Inputs!$K$6)^2))^2))-((Inputs!$H$6+Inputs!$L$6*(((Inputs!$I$6+(((A131)+1)/2)*(Inputs!$J$6-Inputs!$I$6)))/Inputs!$K$6)^2)))*1000/Inputs!$C$12)</f>
        <v>452.64366680049187</v>
      </c>
      <c r="AG131" s="9">
        <f>(((SQRT(((Inputs!$I$7+(((A131)+1)/2)*(Inputs!$J$7-Inputs!$I$7)))^2+Inputs!$C$6^2+((Inputs!$H$7+Inputs!$L$7*(((Inputs!$I$7+(((A131)+1)/2)*(Inputs!$J$7-Inputs!$I$7)))/Inputs!$K$7)^2))^2))-((Inputs!$H$7+Inputs!$L$7*(((Inputs!$I$7+(((A131)+1)/2)*(Inputs!$J$7-Inputs!$I$7)))/Inputs!$K$7)^2)))*1000/Inputs!$C$12)</f>
        <v>9426.5943800357454</v>
      </c>
      <c r="AH131" s="9">
        <f>(((SQRT(((Inputs!$I$8+(((A131)+1)/2)*(Inputs!$J$8-Inputs!$I$8)))^2+Inputs!$C$6^2+((Inputs!$H$8+Inputs!$L$8*(((Inputs!$I$8+(((A131)+1)/2)*(Inputs!$J$8-Inputs!$I$8)))/Inputs!$K$8)^2))^2))-((Inputs!$H$8+Inputs!$L$8*(((Inputs!$I$8+(((A131)+1)/2)*(Inputs!$J$8-Inputs!$I$8)))/Inputs!$K$8)^2)))*1000/Inputs!$C$12)</f>
        <v>20291.466413678096</v>
      </c>
      <c r="AI131" s="9">
        <f>(((SQRT(((Inputs!$I$9+(((A131)+1)/2)*(Inputs!$J$9-Inputs!$I$9)))^2+Inputs!$C$6^2+((Inputs!$H$9+Inputs!$L$9*(((Inputs!$I$9+(((A131)+1)/2)*(Inputs!$J$9-Inputs!$I$9)))/Inputs!$K$9)^2))^2))-((Inputs!$H$9+Inputs!$L$9*(((Inputs!$I$9+(((A131)+1)/2)*(Inputs!$J$9-Inputs!$I$9)))/Inputs!$K$9)^2)))*1000/Inputs!$C$12)</f>
        <v>23207.336335419968</v>
      </c>
      <c r="AJ131" s="10"/>
      <c r="AK131" s="9">
        <f t="shared" si="17"/>
        <v>7.4999999999999997E-2</v>
      </c>
      <c r="AL131" s="9">
        <f>(-2*((1000*((((Inputs!$I$6+(((A131)+1)/2)*(Inputs!$J$6-Inputs!$I$6)))*Inputs!$C$11+((Inputs!$H$6+Inputs!$L$6*(((Inputs!$I$6+(((A131)+1)/2)*(Inputs!$J$6-Inputs!$I$6)))/Inputs!$K$6)^2))*((2*Inputs!$L$6*((Inputs!$I$6+(((A131)+1)/2)*(Inputs!$J$6-Inputs!$I$6)))/(Inputs!$K$6^2)*Inputs!$C$11)))/(SQRT(((Inputs!$I$6+(((A131)+1)/2)*(Inputs!$J$6-Inputs!$I$6)))^2+Inputs!$C$6^2+((Inputs!$H$6+Inputs!$L$6*(((Inputs!$I$6+(((A131)+1)/2)*(Inputs!$J$6-Inputs!$I$6)))/Inputs!$K$6)^2))^2)))))/Inputs!$C$13)</f>
        <v>-33.930646111432324</v>
      </c>
      <c r="AM131" s="9">
        <f>(-2*((1000*((((Inputs!$I$7+(((A131)+1)/2)*(Inputs!$J$7-Inputs!$I$7)))*Inputs!$C$11+((Inputs!$H$7+Inputs!$L$7*(((Inputs!$I$7+(((A131)+1)/2)*(Inputs!$J$7-Inputs!$I$7)))/Inputs!$K$7)^2))*((2*Inputs!$L$7*((Inputs!$I$7+(((A131)+1)/2)*(Inputs!$J$7-Inputs!$I$7)))/(Inputs!$K$7^2)*Inputs!$C$11)))/(SQRT(((Inputs!$I$7+(((A131)+1)/2)*(Inputs!$J$7-Inputs!$I$7)))^2+Inputs!$C$6^2+((Inputs!$H$7+Inputs!$L$7*(((Inputs!$I$7+(((A131)+1)/2)*(Inputs!$J$7-Inputs!$I$7)))/Inputs!$K$7)^2))^2)))))/Inputs!$C$13)</f>
        <v>-1042.3939617751896</v>
      </c>
      <c r="AN131" s="9">
        <f>(-2*((1000*((((Inputs!$I$8+(((A131)+1)/2)*(Inputs!$J$8-Inputs!$I$8)))*Inputs!$C$11+((Inputs!$H$8+Inputs!$L$8*(((Inputs!$I$8+(((A131)+1)/2)*(Inputs!$J$8-Inputs!$I$8)))/Inputs!$K$8)^2))*((2*Inputs!$L$8*((Inputs!$I$8+(((A131)+1)/2)*(Inputs!$J$8-Inputs!$I$8)))/(Inputs!$K$8^2)*Inputs!$C$11)))/(SQRT(((Inputs!$I$8+(((A131)+1)/2)*(Inputs!$J$8-Inputs!$I$8)))^2+Inputs!$C$6^2+((Inputs!$H$8+Inputs!$L$8*(((Inputs!$I$8+(((A131)+1)/2)*(Inputs!$J$8-Inputs!$I$8)))/Inputs!$K$8)^2))^2)))))/Inputs!$C$13)</f>
        <v>-1407.0314099851676</v>
      </c>
      <c r="AO131" s="9">
        <f>(-2*((1000*((((Inputs!$I$9+(((A131)+1)/2)*(Inputs!$J$9-Inputs!$I$9)))*Inputs!$C$11+((Inputs!$H$9+Inputs!$L$9*(((Inputs!$I$9+(((A131)+1)/2)*(Inputs!$J$9-Inputs!$I$9)))/Inputs!$K$9)^2))*((2*Inputs!$L$9*((Inputs!$I$9+(((A131)+1)/2)*(Inputs!$J$9-Inputs!$I$9)))/(Inputs!$K$9^2)*Inputs!$C$11)))/(SQRT(((Inputs!$I$9+(((A131)+1)/2)*(Inputs!$J$9-Inputs!$I$9)))^2+Inputs!$C$6^2+((Inputs!$H$9+Inputs!$L$9*(((Inputs!$I$9+(((A131)+1)/2)*(Inputs!$J$9-Inputs!$I$9)))/Inputs!$K$9)^2))^2)))))/Inputs!$C$13)</f>
        <v>-1461.3687396461996</v>
      </c>
    </row>
    <row r="132" spans="1:41">
      <c r="A132" s="9">
        <f>ROUND(-1+130*2/240,3)</f>
        <v>8.3000000000000004E-2</v>
      </c>
      <c r="B132" s="9">
        <f>IF(OR(Inputs!$F$6=TRUE,Inputs!$F$6="TRUE",Inputs!$F$6=1),(Inputs!$H$6+Inputs!$L$6*(((Inputs!$I$6+(((A132)+1)/2)*(Inputs!$J$6-Inputs!$I$6)))/Inputs!$K$6)^2),NA())</f>
        <v>400.027556</v>
      </c>
      <c r="C132" s="9">
        <f>IF(OR(Inputs!$F$7=TRUE,Inputs!$F$7="TRUE",Inputs!$F$7=1),(Inputs!$H$7+Inputs!$L$7*(((Inputs!$I$7+(((A132)+1)/2)*(Inputs!$J$7-Inputs!$I$7)))/Inputs!$K$7)^2),NA())</f>
        <v>37.514485000000001</v>
      </c>
      <c r="D132" s="9">
        <f>IF(OR(Inputs!$F$8=TRUE,Inputs!$F$8="TRUE",Inputs!$F$8=1),(Inputs!$H$8+Inputs!$L$8*(((Inputs!$I$8+(((A132)+1)/2)*(Inputs!$J$8-Inputs!$I$8)))/Inputs!$K$8)^2),NA())</f>
        <v>41.647884999999995</v>
      </c>
      <c r="E132" s="9">
        <f>IF(OR(Inputs!$F$9=TRUE,Inputs!$F$9="TRUE",Inputs!$F$9=1),(Inputs!$H$9+Inputs!$L$9*(((Inputs!$I$9+(((A132)+1)/2)*(Inputs!$J$9-Inputs!$I$9)))/Inputs!$K$9)^2),NA())</f>
        <v>31.716774999999995</v>
      </c>
      <c r="F132" s="10"/>
      <c r="G132" s="9">
        <f t="shared" si="12"/>
        <v>8.3000000000000004E-2</v>
      </c>
      <c r="H132" s="9">
        <f>IF(OR(Inputs!$F$6=TRUE,Inputs!$F$6="TRUE",Inputs!$F$6=1),(((SQRT(((Inputs!$I$6+(((A132)+1)/2)*(Inputs!$J$6-Inputs!$I$6)))^2+Inputs!$C$6^2+((Inputs!$H$6+Inputs!$L$6*(((Inputs!$I$6+(((A132)+1)/2)*(Inputs!$J$6-Inputs!$I$6)))/Inputs!$K$6)^2))^2))-((Inputs!$H$6+Inputs!$L$6*(((Inputs!$I$6+(((A132)+1)/2)*(Inputs!$J$6-Inputs!$I$6)))/Inputs!$K$6)^2)))*1000/Inputs!$C$12),NA())</f>
        <v>455.82679750566513</v>
      </c>
      <c r="I132" s="9">
        <f>IF(OR(Inputs!$F$7=TRUE,Inputs!$F$7="TRUE",Inputs!$F$7=1),(((SQRT(((Inputs!$I$7+(((A132)+1)/2)*(Inputs!$J$7-Inputs!$I$7)))^2+Inputs!$C$6^2+((Inputs!$H$7+Inputs!$L$7*(((Inputs!$I$7+(((A132)+1)/2)*(Inputs!$J$7-Inputs!$I$7)))/Inputs!$K$7)^2))^2))-((Inputs!$H$7+Inputs!$L$7*(((Inputs!$I$7+(((A132)+1)/2)*(Inputs!$J$7-Inputs!$I$7)))/Inputs!$K$7)^2)))*1000/Inputs!$C$12),NA())</f>
        <v>10377.980052459096</v>
      </c>
      <c r="J132" s="9">
        <f>IF(OR(Inputs!$F$8=TRUE,Inputs!$F$8="TRUE",Inputs!$F$8=1),(((SQRT(((Inputs!$I$8+(((A132)+1)/2)*(Inputs!$J$8-Inputs!$I$8)))^2+Inputs!$C$6^2+((Inputs!$H$8+Inputs!$L$8*(((Inputs!$I$8+(((A132)+1)/2)*(Inputs!$J$8-Inputs!$I$8)))/Inputs!$K$8)^2))^2))-((Inputs!$H$8+Inputs!$L$8*(((Inputs!$I$8+(((A132)+1)/2)*(Inputs!$J$8-Inputs!$I$8)))/Inputs!$K$8)^2)))*1000/Inputs!$C$12),NA())</f>
        <v>22821.936765500046</v>
      </c>
      <c r="K132" s="9">
        <f>IF(OR(Inputs!$F$9=TRUE,Inputs!$F$9="TRUE",Inputs!$F$9=1),(((SQRT(((Inputs!$I$9+(((A132)+1)/2)*(Inputs!$J$9-Inputs!$I$9)))^2+Inputs!$C$6^2+((Inputs!$H$9+Inputs!$L$9*(((Inputs!$I$9+(((A132)+1)/2)*(Inputs!$J$9-Inputs!$I$9)))/Inputs!$K$9)^2))^2))-((Inputs!$H$9+Inputs!$L$9*(((Inputs!$I$9+(((A132)+1)/2)*(Inputs!$J$9-Inputs!$I$9)))/Inputs!$K$9)^2)))*1000/Inputs!$C$12),NA())</f>
        <v>25842.756989515266</v>
      </c>
      <c r="L132" s="10"/>
      <c r="M132" s="9">
        <f t="shared" si="13"/>
        <v>8.3000000000000004E-2</v>
      </c>
      <c r="N132" s="9">
        <f>IF(OR(Inputs!$F$6=TRUE,Inputs!$F$6="TRUE",Inputs!$F$6=1),(-2*((1000*((((Inputs!$I$6+(((A132)+1)/2)*(Inputs!$J$6-Inputs!$I$6)))*Inputs!$C$11+((Inputs!$H$6+Inputs!$L$6*(((Inputs!$I$6+(((A132)+1)/2)*(Inputs!$J$6-Inputs!$I$6)))/Inputs!$K$6)^2))*((2*Inputs!$L$6*((Inputs!$I$6+(((A132)+1)/2)*(Inputs!$J$6-Inputs!$I$6)))/(Inputs!$K$6^2)*Inputs!$C$11)))/(SQRT(((Inputs!$I$6+(((A132)+1)/2)*(Inputs!$J$6-Inputs!$I$6)))^2+Inputs!$C$6^2+((Inputs!$H$6+Inputs!$L$6*(((Inputs!$I$6+(((A132)+1)/2)*(Inputs!$J$6-Inputs!$I$6)))/Inputs!$K$6)^2))^2)))))/Inputs!$C$13),NA())</f>
        <v>-37.549133957504758</v>
      </c>
      <c r="O132" s="9">
        <f>IF(OR(Inputs!$F$7=TRUE,Inputs!$F$7="TRUE",Inputs!$F$7=1),(-2*((1000*((((Inputs!$I$7+(((A132)+1)/2)*(Inputs!$J$7-Inputs!$I$7)))*Inputs!$C$11+((Inputs!$H$7+Inputs!$L$7*(((Inputs!$I$7+(((A132)+1)/2)*(Inputs!$J$7-Inputs!$I$7)))/Inputs!$K$7)^2))*((2*Inputs!$L$7*((Inputs!$I$7+(((A132)+1)/2)*(Inputs!$J$7-Inputs!$I$7)))/(Inputs!$K$7^2)*Inputs!$C$11)))/(SQRT(((Inputs!$I$7+(((A132)+1)/2)*(Inputs!$J$7-Inputs!$I$7)))^2+Inputs!$C$6^2+((Inputs!$H$7+Inputs!$L$7*(((Inputs!$I$7+(((A132)+1)/2)*(Inputs!$J$7-Inputs!$I$7)))/Inputs!$K$7)^2))^2)))))/Inputs!$C$13),NA())</f>
        <v>-1111.18096888686</v>
      </c>
      <c r="P132" s="9">
        <f>IF(OR(Inputs!$F$8=TRUE,Inputs!$F$8="TRUE",Inputs!$F$8=1),(-2*((1000*((((Inputs!$I$8+(((A132)+1)/2)*(Inputs!$J$8-Inputs!$I$8)))*Inputs!$C$11+((Inputs!$H$8+Inputs!$L$8*(((Inputs!$I$8+(((A132)+1)/2)*(Inputs!$J$8-Inputs!$I$8)))/Inputs!$K$8)^2))*((2*Inputs!$L$8*((Inputs!$I$8+(((A132)+1)/2)*(Inputs!$J$8-Inputs!$I$8)))/(Inputs!$K$8^2)*Inputs!$C$11)))/(SQRT(((Inputs!$I$8+(((A132)+1)/2)*(Inputs!$J$8-Inputs!$I$8)))^2+Inputs!$C$6^2+((Inputs!$H$8+Inputs!$L$8*(((Inputs!$I$8+(((A132)+1)/2)*(Inputs!$J$8-Inputs!$I$8)))/Inputs!$K$8)^2))^2)))))/Inputs!$C$13),NA())</f>
        <v>-1453.528553110139</v>
      </c>
      <c r="Q132" s="9">
        <f>IF(OR(Inputs!$F$9=TRUE,Inputs!$F$9="TRUE",Inputs!$F$9=1),(-2*((1000*((((Inputs!$I$9+(((A132)+1)/2)*(Inputs!$J$9-Inputs!$I$9)))*Inputs!$C$11+((Inputs!$H$9+Inputs!$L$9*(((Inputs!$I$9+(((A132)+1)/2)*(Inputs!$J$9-Inputs!$I$9)))/Inputs!$K$9)^2))*((2*Inputs!$L$9*((Inputs!$I$9+(((A132)+1)/2)*(Inputs!$J$9-Inputs!$I$9)))/(Inputs!$K$9^2)*Inputs!$C$11)))/(SQRT(((Inputs!$I$9+(((A132)+1)/2)*(Inputs!$J$9-Inputs!$I$9)))^2+Inputs!$C$6^2+((Inputs!$H$9+Inputs!$L$9*(((Inputs!$I$9+(((A132)+1)/2)*(Inputs!$J$9-Inputs!$I$9)))/Inputs!$K$9)^2))^2)))))/Inputs!$C$13),NA())</f>
        <v>-1499.1172626545128</v>
      </c>
      <c r="R132" s="10"/>
      <c r="S132" s="9">
        <f t="shared" si="14"/>
        <v>8.3000000000000004E-2</v>
      </c>
      <c r="T132" s="9">
        <f>(Inputs!$I$6+(((A132)+1)/2)*(Inputs!$J$6-Inputs!$I$6))</f>
        <v>4.980000000000004</v>
      </c>
      <c r="U132" s="9">
        <f>(Inputs!$I$7+(((A132)+1)/2)*(Inputs!$J$7-Inputs!$I$7))</f>
        <v>33.199999999999989</v>
      </c>
      <c r="V132" s="9">
        <f>(Inputs!$I$8+(((A132)+1)/2)*(Inputs!$J$8-Inputs!$I$8))</f>
        <v>66.399999999999977</v>
      </c>
      <c r="W132" s="9">
        <f>(Inputs!$I$9+(((A132)+1)/2)*(Inputs!$J$9-Inputs!$I$9))</f>
        <v>66.399999999999977</v>
      </c>
      <c r="X132" s="10"/>
      <c r="Y132" s="9">
        <f t="shared" si="15"/>
        <v>8.3000000000000004E-2</v>
      </c>
      <c r="Z132" s="9">
        <f>(Inputs!$H$6+Inputs!$L$6*(((Inputs!$I$6+(((A132)+1)/2)*(Inputs!$J$6-Inputs!$I$6)))/Inputs!$K$6)^2)</f>
        <v>400.027556</v>
      </c>
      <c r="AA132" s="9">
        <f>(Inputs!$H$7+Inputs!$L$7*(((Inputs!$I$7+(((A132)+1)/2)*(Inputs!$J$7-Inputs!$I$7)))/Inputs!$K$7)^2)</f>
        <v>37.514485000000001</v>
      </c>
      <c r="AB132" s="9">
        <f>(Inputs!$H$8+Inputs!$L$8*(((Inputs!$I$8+(((A132)+1)/2)*(Inputs!$J$8-Inputs!$I$8)))/Inputs!$K$8)^2)</f>
        <v>41.647884999999995</v>
      </c>
      <c r="AC132" s="9">
        <f>(Inputs!$H$9+Inputs!$L$9*(((Inputs!$I$9+(((A132)+1)/2)*(Inputs!$J$9-Inputs!$I$9)))/Inputs!$K$9)^2)</f>
        <v>31.716774999999995</v>
      </c>
      <c r="AD132" s="10"/>
      <c r="AE132" s="9">
        <f t="shared" si="16"/>
        <v>8.3000000000000004E-2</v>
      </c>
      <c r="AF132" s="9">
        <f>(((SQRT(((Inputs!$I$6+(((A132)+1)/2)*(Inputs!$J$6-Inputs!$I$6)))^2+Inputs!$C$6^2+((Inputs!$H$6+Inputs!$L$6*(((Inputs!$I$6+(((A132)+1)/2)*(Inputs!$J$6-Inputs!$I$6)))/Inputs!$K$6)^2))^2))-((Inputs!$H$6+Inputs!$L$6*(((Inputs!$I$6+(((A132)+1)/2)*(Inputs!$J$6-Inputs!$I$6)))/Inputs!$K$6)^2)))*1000/Inputs!$C$12)</f>
        <v>455.82679750566513</v>
      </c>
      <c r="AG132" s="9">
        <f>(((SQRT(((Inputs!$I$7+(((A132)+1)/2)*(Inputs!$J$7-Inputs!$I$7)))^2+Inputs!$C$6^2+((Inputs!$H$7+Inputs!$L$7*(((Inputs!$I$7+(((A132)+1)/2)*(Inputs!$J$7-Inputs!$I$7)))/Inputs!$K$7)^2))^2))-((Inputs!$H$7+Inputs!$L$7*(((Inputs!$I$7+(((A132)+1)/2)*(Inputs!$J$7-Inputs!$I$7)))/Inputs!$K$7)^2)))*1000/Inputs!$C$12)</f>
        <v>10377.980052459096</v>
      </c>
      <c r="AH132" s="9">
        <f>(((SQRT(((Inputs!$I$8+(((A132)+1)/2)*(Inputs!$J$8-Inputs!$I$8)))^2+Inputs!$C$6^2+((Inputs!$H$8+Inputs!$L$8*(((Inputs!$I$8+(((A132)+1)/2)*(Inputs!$J$8-Inputs!$I$8)))/Inputs!$K$8)^2))^2))-((Inputs!$H$8+Inputs!$L$8*(((Inputs!$I$8+(((A132)+1)/2)*(Inputs!$J$8-Inputs!$I$8)))/Inputs!$K$8)^2)))*1000/Inputs!$C$12)</f>
        <v>22821.936765500046</v>
      </c>
      <c r="AI132" s="9">
        <f>(((SQRT(((Inputs!$I$9+(((A132)+1)/2)*(Inputs!$J$9-Inputs!$I$9)))^2+Inputs!$C$6^2+((Inputs!$H$9+Inputs!$L$9*(((Inputs!$I$9+(((A132)+1)/2)*(Inputs!$J$9-Inputs!$I$9)))/Inputs!$K$9)^2))^2))-((Inputs!$H$9+Inputs!$L$9*(((Inputs!$I$9+(((A132)+1)/2)*(Inputs!$J$9-Inputs!$I$9)))/Inputs!$K$9)^2)))*1000/Inputs!$C$12)</f>
        <v>25842.756989515266</v>
      </c>
      <c r="AJ132" s="10"/>
      <c r="AK132" s="9">
        <f t="shared" si="17"/>
        <v>8.3000000000000004E-2</v>
      </c>
      <c r="AL132" s="9">
        <f>(-2*((1000*((((Inputs!$I$6+(((A132)+1)/2)*(Inputs!$J$6-Inputs!$I$6)))*Inputs!$C$11+((Inputs!$H$6+Inputs!$L$6*(((Inputs!$I$6+(((A132)+1)/2)*(Inputs!$J$6-Inputs!$I$6)))/Inputs!$K$6)^2))*((2*Inputs!$L$6*((Inputs!$I$6+(((A132)+1)/2)*(Inputs!$J$6-Inputs!$I$6)))/(Inputs!$K$6^2)*Inputs!$C$11)))/(SQRT(((Inputs!$I$6+(((A132)+1)/2)*(Inputs!$J$6-Inputs!$I$6)))^2+Inputs!$C$6^2+((Inputs!$H$6+Inputs!$L$6*(((Inputs!$I$6+(((A132)+1)/2)*(Inputs!$J$6-Inputs!$I$6)))/Inputs!$K$6)^2))^2)))))/Inputs!$C$13)</f>
        <v>-37.549133957504758</v>
      </c>
      <c r="AM132" s="9">
        <f>(-2*((1000*((((Inputs!$I$7+(((A132)+1)/2)*(Inputs!$J$7-Inputs!$I$7)))*Inputs!$C$11+((Inputs!$H$7+Inputs!$L$7*(((Inputs!$I$7+(((A132)+1)/2)*(Inputs!$J$7-Inputs!$I$7)))/Inputs!$K$7)^2))*((2*Inputs!$L$7*((Inputs!$I$7+(((A132)+1)/2)*(Inputs!$J$7-Inputs!$I$7)))/(Inputs!$K$7^2)*Inputs!$C$11)))/(SQRT(((Inputs!$I$7+(((A132)+1)/2)*(Inputs!$J$7-Inputs!$I$7)))^2+Inputs!$C$6^2+((Inputs!$H$7+Inputs!$L$7*(((Inputs!$I$7+(((A132)+1)/2)*(Inputs!$J$7-Inputs!$I$7)))/Inputs!$K$7)^2))^2)))))/Inputs!$C$13)</f>
        <v>-1111.18096888686</v>
      </c>
      <c r="AN132" s="9">
        <f>(-2*((1000*((((Inputs!$I$8+(((A132)+1)/2)*(Inputs!$J$8-Inputs!$I$8)))*Inputs!$C$11+((Inputs!$H$8+Inputs!$L$8*(((Inputs!$I$8+(((A132)+1)/2)*(Inputs!$J$8-Inputs!$I$8)))/Inputs!$K$8)^2))*((2*Inputs!$L$8*((Inputs!$I$8+(((A132)+1)/2)*(Inputs!$J$8-Inputs!$I$8)))/(Inputs!$K$8^2)*Inputs!$C$11)))/(SQRT(((Inputs!$I$8+(((A132)+1)/2)*(Inputs!$J$8-Inputs!$I$8)))^2+Inputs!$C$6^2+((Inputs!$H$8+Inputs!$L$8*(((Inputs!$I$8+(((A132)+1)/2)*(Inputs!$J$8-Inputs!$I$8)))/Inputs!$K$8)^2))^2)))))/Inputs!$C$13)</f>
        <v>-1453.528553110139</v>
      </c>
      <c r="AO132" s="9">
        <f>(-2*((1000*((((Inputs!$I$9+(((A132)+1)/2)*(Inputs!$J$9-Inputs!$I$9)))*Inputs!$C$11+((Inputs!$H$9+Inputs!$L$9*(((Inputs!$I$9+(((A132)+1)/2)*(Inputs!$J$9-Inputs!$I$9)))/Inputs!$K$9)^2))*((2*Inputs!$L$9*((Inputs!$I$9+(((A132)+1)/2)*(Inputs!$J$9-Inputs!$I$9)))/(Inputs!$K$9^2)*Inputs!$C$11)))/(SQRT(((Inputs!$I$9+(((A132)+1)/2)*(Inputs!$J$9-Inputs!$I$9)))^2+Inputs!$C$6^2+((Inputs!$H$9+Inputs!$L$9*(((Inputs!$I$9+(((A132)+1)/2)*(Inputs!$J$9-Inputs!$I$9)))/Inputs!$K$9)^2))^2)))))/Inputs!$C$13)</f>
        <v>-1499.1172626545128</v>
      </c>
    </row>
    <row r="133" spans="1:41">
      <c r="A133" s="9">
        <f>ROUND(-1+131*2/240,3)</f>
        <v>9.1999999999999998E-2</v>
      </c>
      <c r="B133" s="9">
        <f>IF(OR(Inputs!$F$6=TRUE,Inputs!$F$6="TRUE",Inputs!$F$6=1),(Inputs!$H$6+Inputs!$L$6*(((Inputs!$I$6+(((A133)+1)/2)*(Inputs!$J$6-Inputs!$I$6)))/Inputs!$K$6)^2),NA())</f>
        <v>400.03385600000001</v>
      </c>
      <c r="C133" s="9">
        <f>IF(OR(Inputs!$F$7=TRUE,Inputs!$F$7="TRUE",Inputs!$F$7=1),(Inputs!$H$7+Inputs!$L$7*(((Inputs!$I$7+(((A133)+1)/2)*(Inputs!$J$7-Inputs!$I$7)))/Inputs!$K$7)^2),NA())</f>
        <v>38.089359999999999</v>
      </c>
      <c r="D133" s="9">
        <f>IF(OR(Inputs!$F$8=TRUE,Inputs!$F$8="TRUE",Inputs!$F$8=1),(Inputs!$H$8+Inputs!$L$8*(((Inputs!$I$8+(((A133)+1)/2)*(Inputs!$J$8-Inputs!$I$8)))/Inputs!$K$8)^2),NA())</f>
        <v>43.167760000000001</v>
      </c>
      <c r="E133" s="9">
        <f>IF(OR(Inputs!$F$9=TRUE,Inputs!$F$9="TRUE",Inputs!$F$9=1),(Inputs!$H$9+Inputs!$L$9*(((Inputs!$I$9+(((A133)+1)/2)*(Inputs!$J$9-Inputs!$I$9)))/Inputs!$K$9)^2),NA())</f>
        <v>33.252400000000009</v>
      </c>
      <c r="F133" s="10"/>
      <c r="G133" s="9">
        <f t="shared" si="12"/>
        <v>9.1999999999999998E-2</v>
      </c>
      <c r="H133" s="9">
        <f>IF(OR(Inputs!$F$6=TRUE,Inputs!$F$6="TRUE",Inputs!$F$6=1),(((SQRT(((Inputs!$I$6+(((A133)+1)/2)*(Inputs!$J$6-Inputs!$I$6)))^2+Inputs!$C$6^2+((Inputs!$H$6+Inputs!$L$6*(((Inputs!$I$6+(((A133)+1)/2)*(Inputs!$J$6-Inputs!$I$6)))/Inputs!$K$6)^2))^2))-((Inputs!$H$6+Inputs!$L$6*(((Inputs!$I$6+(((A133)+1)/2)*(Inputs!$J$6-Inputs!$I$6)))/Inputs!$K$6)^2)))*1000/Inputs!$C$12),NA())</f>
        <v>459.7929440643228</v>
      </c>
      <c r="I133" s="9">
        <f>IF(OR(Inputs!$F$7=TRUE,Inputs!$F$7="TRUE",Inputs!$F$7=1),(((SQRT(((Inputs!$I$7+(((A133)+1)/2)*(Inputs!$J$7-Inputs!$I$7)))^2+Inputs!$C$6^2+((Inputs!$H$7+Inputs!$L$7*(((Inputs!$I$7+(((A133)+1)/2)*(Inputs!$J$7-Inputs!$I$7)))/Inputs!$K$7)^2))^2))-((Inputs!$H$7+Inputs!$L$7*(((Inputs!$I$7+(((A133)+1)/2)*(Inputs!$J$7-Inputs!$I$7)))/Inputs!$K$7)^2)))*1000/Inputs!$C$12),NA())</f>
        <v>11504.032449515398</v>
      </c>
      <c r="J133" s="9">
        <f>IF(OR(Inputs!$F$8=TRUE,Inputs!$F$8="TRUE",Inputs!$F$8=1),(((SQRT(((Inputs!$I$8+(((A133)+1)/2)*(Inputs!$J$8-Inputs!$I$8)))^2+Inputs!$C$6^2+((Inputs!$H$8+Inputs!$L$8*(((Inputs!$I$8+(((A133)+1)/2)*(Inputs!$J$8-Inputs!$I$8)))/Inputs!$K$8)^2))^2))-((Inputs!$H$8+Inputs!$L$8*(((Inputs!$I$8+(((A133)+1)/2)*(Inputs!$J$8-Inputs!$I$8)))/Inputs!$K$8)^2)))*1000/Inputs!$C$12),NA())</f>
        <v>25699.237944318753</v>
      </c>
      <c r="K133" s="9">
        <f>IF(OR(Inputs!$F$9=TRUE,Inputs!$F$9="TRUE",Inputs!$F$9=1),(((SQRT(((Inputs!$I$9+(((A133)+1)/2)*(Inputs!$J$9-Inputs!$I$9)))^2+Inputs!$C$6^2+((Inputs!$H$9+Inputs!$L$9*(((Inputs!$I$9+(((A133)+1)/2)*(Inputs!$J$9-Inputs!$I$9)))/Inputs!$K$9)^2))^2))-((Inputs!$H$9+Inputs!$L$9*(((Inputs!$I$9+(((A133)+1)/2)*(Inputs!$J$9-Inputs!$I$9)))/Inputs!$K$9)^2)))*1000/Inputs!$C$12),NA())</f>
        <v>28815.486246902132</v>
      </c>
      <c r="L133" s="10"/>
      <c r="M133" s="9">
        <f t="shared" si="13"/>
        <v>9.1999999999999998E-2</v>
      </c>
      <c r="N133" s="9">
        <f>IF(OR(Inputs!$F$6=TRUE,Inputs!$F$6="TRUE",Inputs!$F$6=1),(-2*((1000*((((Inputs!$I$6+(((A133)+1)/2)*(Inputs!$J$6-Inputs!$I$6)))*Inputs!$C$11+((Inputs!$H$6+Inputs!$L$6*(((Inputs!$I$6+(((A133)+1)/2)*(Inputs!$J$6-Inputs!$I$6)))/Inputs!$K$6)^2))*((2*Inputs!$L$6*((Inputs!$I$6+(((A133)+1)/2)*(Inputs!$J$6-Inputs!$I$6)))/(Inputs!$K$6^2)*Inputs!$C$11)))/(SQRT(((Inputs!$I$6+(((A133)+1)/2)*(Inputs!$J$6-Inputs!$I$6)))^2+Inputs!$C$6^2+((Inputs!$H$6+Inputs!$L$6*(((Inputs!$I$6+(((A133)+1)/2)*(Inputs!$J$6-Inputs!$I$6)))/Inputs!$K$6)^2))^2)))))/Inputs!$C$13),NA())</f>
        <v>-41.619648109336183</v>
      </c>
      <c r="O133" s="9">
        <f>IF(OR(Inputs!$F$7=TRUE,Inputs!$F$7="TRUE",Inputs!$F$7=1),(-2*((1000*((((Inputs!$I$7+(((A133)+1)/2)*(Inputs!$J$7-Inputs!$I$7)))*Inputs!$C$11+((Inputs!$H$7+Inputs!$L$7*(((Inputs!$I$7+(((A133)+1)/2)*(Inputs!$J$7-Inputs!$I$7)))/Inputs!$K$7)^2))*((2*Inputs!$L$7*((Inputs!$I$7+(((A133)+1)/2)*(Inputs!$J$7-Inputs!$I$7)))/(Inputs!$K$7^2)*Inputs!$C$11)))/(SQRT(((Inputs!$I$7+(((A133)+1)/2)*(Inputs!$J$7-Inputs!$I$7)))^2+Inputs!$C$6^2+((Inputs!$H$7+Inputs!$L$7*(((Inputs!$I$7+(((A133)+1)/2)*(Inputs!$J$7-Inputs!$I$7)))/Inputs!$K$7)^2))^2)))))/Inputs!$C$13),NA())</f>
        <v>-1180.0650732241249</v>
      </c>
      <c r="P133" s="9">
        <f>IF(OR(Inputs!$F$8=TRUE,Inputs!$F$8="TRUE",Inputs!$F$8=1),(-2*((1000*((((Inputs!$I$8+(((A133)+1)/2)*(Inputs!$J$8-Inputs!$I$8)))*Inputs!$C$11+((Inputs!$H$8+Inputs!$L$8*(((Inputs!$I$8+(((A133)+1)/2)*(Inputs!$J$8-Inputs!$I$8)))/Inputs!$K$8)^2))*((2*Inputs!$L$8*((Inputs!$I$8+(((A133)+1)/2)*(Inputs!$J$8-Inputs!$I$8)))/(Inputs!$K$8^2)*Inputs!$C$11)))/(SQRT(((Inputs!$I$8+(((A133)+1)/2)*(Inputs!$J$8-Inputs!$I$8)))^2+Inputs!$C$6^2+((Inputs!$H$8+Inputs!$L$8*(((Inputs!$I$8+(((A133)+1)/2)*(Inputs!$J$8-Inputs!$I$8)))/Inputs!$K$8)^2))^2)))))/Inputs!$C$13),NA())</f>
        <v>-1496.863537942681</v>
      </c>
      <c r="Q133" s="9">
        <f>IF(OR(Inputs!$F$9=TRUE,Inputs!$F$9="TRUE",Inputs!$F$9=1),(-2*((1000*((((Inputs!$I$9+(((A133)+1)/2)*(Inputs!$J$9-Inputs!$I$9)))*Inputs!$C$11+((Inputs!$H$9+Inputs!$L$9*(((Inputs!$I$9+(((A133)+1)/2)*(Inputs!$J$9-Inputs!$I$9)))/Inputs!$K$9)^2))*((2*Inputs!$L$9*((Inputs!$I$9+(((A133)+1)/2)*(Inputs!$J$9-Inputs!$I$9)))/(Inputs!$K$9^2)*Inputs!$C$11)))/(SQRT(((Inputs!$I$9+(((A133)+1)/2)*(Inputs!$J$9-Inputs!$I$9)))^2+Inputs!$C$6^2+((Inputs!$H$9+Inputs!$L$9*(((Inputs!$I$9+(((A133)+1)/2)*(Inputs!$J$9-Inputs!$I$9)))/Inputs!$K$9)^2))^2)))))/Inputs!$C$13),NA())</f>
        <v>-1534.006127144683</v>
      </c>
      <c r="R133" s="10"/>
      <c r="S133" s="9">
        <f t="shared" si="14"/>
        <v>9.1999999999999998E-2</v>
      </c>
      <c r="T133" s="9">
        <f>(Inputs!$I$6+(((A133)+1)/2)*(Inputs!$J$6-Inputs!$I$6))</f>
        <v>5.5200000000000102</v>
      </c>
      <c r="U133" s="9">
        <f>(Inputs!$I$7+(((A133)+1)/2)*(Inputs!$J$7-Inputs!$I$7))</f>
        <v>36.800000000000011</v>
      </c>
      <c r="V133" s="9">
        <f>(Inputs!$I$8+(((A133)+1)/2)*(Inputs!$J$8-Inputs!$I$8))</f>
        <v>73.600000000000023</v>
      </c>
      <c r="W133" s="9">
        <f>(Inputs!$I$9+(((A133)+1)/2)*(Inputs!$J$9-Inputs!$I$9))</f>
        <v>73.600000000000023</v>
      </c>
      <c r="X133" s="10"/>
      <c r="Y133" s="9">
        <f t="shared" si="15"/>
        <v>9.1999999999999998E-2</v>
      </c>
      <c r="Z133" s="9">
        <f>(Inputs!$H$6+Inputs!$L$6*(((Inputs!$I$6+(((A133)+1)/2)*(Inputs!$J$6-Inputs!$I$6)))/Inputs!$K$6)^2)</f>
        <v>400.03385600000001</v>
      </c>
      <c r="AA133" s="9">
        <f>(Inputs!$H$7+Inputs!$L$7*(((Inputs!$I$7+(((A133)+1)/2)*(Inputs!$J$7-Inputs!$I$7)))/Inputs!$K$7)^2)</f>
        <v>38.089359999999999</v>
      </c>
      <c r="AB133" s="9">
        <f>(Inputs!$H$8+Inputs!$L$8*(((Inputs!$I$8+(((A133)+1)/2)*(Inputs!$J$8-Inputs!$I$8)))/Inputs!$K$8)^2)</f>
        <v>43.167760000000001</v>
      </c>
      <c r="AC133" s="9">
        <f>(Inputs!$H$9+Inputs!$L$9*(((Inputs!$I$9+(((A133)+1)/2)*(Inputs!$J$9-Inputs!$I$9)))/Inputs!$K$9)^2)</f>
        <v>33.252400000000009</v>
      </c>
      <c r="AD133" s="10"/>
      <c r="AE133" s="9">
        <f t="shared" si="16"/>
        <v>9.1999999999999998E-2</v>
      </c>
      <c r="AF133" s="9">
        <f>(((SQRT(((Inputs!$I$6+(((A133)+1)/2)*(Inputs!$J$6-Inputs!$I$6)))^2+Inputs!$C$6^2+((Inputs!$H$6+Inputs!$L$6*(((Inputs!$I$6+(((A133)+1)/2)*(Inputs!$J$6-Inputs!$I$6)))/Inputs!$K$6)^2))^2))-((Inputs!$H$6+Inputs!$L$6*(((Inputs!$I$6+(((A133)+1)/2)*(Inputs!$J$6-Inputs!$I$6)))/Inputs!$K$6)^2)))*1000/Inputs!$C$12)</f>
        <v>459.7929440643228</v>
      </c>
      <c r="AG133" s="9">
        <f>(((SQRT(((Inputs!$I$7+(((A133)+1)/2)*(Inputs!$J$7-Inputs!$I$7)))^2+Inputs!$C$6^2+((Inputs!$H$7+Inputs!$L$7*(((Inputs!$I$7+(((A133)+1)/2)*(Inputs!$J$7-Inputs!$I$7)))/Inputs!$K$7)^2))^2))-((Inputs!$H$7+Inputs!$L$7*(((Inputs!$I$7+(((A133)+1)/2)*(Inputs!$J$7-Inputs!$I$7)))/Inputs!$K$7)^2)))*1000/Inputs!$C$12)</f>
        <v>11504.032449515398</v>
      </c>
      <c r="AH133" s="9">
        <f>(((SQRT(((Inputs!$I$8+(((A133)+1)/2)*(Inputs!$J$8-Inputs!$I$8)))^2+Inputs!$C$6^2+((Inputs!$H$8+Inputs!$L$8*(((Inputs!$I$8+(((A133)+1)/2)*(Inputs!$J$8-Inputs!$I$8)))/Inputs!$K$8)^2))^2))-((Inputs!$H$8+Inputs!$L$8*(((Inputs!$I$8+(((A133)+1)/2)*(Inputs!$J$8-Inputs!$I$8)))/Inputs!$K$8)^2)))*1000/Inputs!$C$12)</f>
        <v>25699.237944318753</v>
      </c>
      <c r="AI133" s="9">
        <f>(((SQRT(((Inputs!$I$9+(((A133)+1)/2)*(Inputs!$J$9-Inputs!$I$9)))^2+Inputs!$C$6^2+((Inputs!$H$9+Inputs!$L$9*(((Inputs!$I$9+(((A133)+1)/2)*(Inputs!$J$9-Inputs!$I$9)))/Inputs!$K$9)^2))^2))-((Inputs!$H$9+Inputs!$L$9*(((Inputs!$I$9+(((A133)+1)/2)*(Inputs!$J$9-Inputs!$I$9)))/Inputs!$K$9)^2)))*1000/Inputs!$C$12)</f>
        <v>28815.486246902132</v>
      </c>
      <c r="AJ133" s="10"/>
      <c r="AK133" s="9">
        <f t="shared" si="17"/>
        <v>9.1999999999999998E-2</v>
      </c>
      <c r="AL133" s="9">
        <f>(-2*((1000*((((Inputs!$I$6+(((A133)+1)/2)*(Inputs!$J$6-Inputs!$I$6)))*Inputs!$C$11+((Inputs!$H$6+Inputs!$L$6*(((Inputs!$I$6+(((A133)+1)/2)*(Inputs!$J$6-Inputs!$I$6)))/Inputs!$K$6)^2))*((2*Inputs!$L$6*((Inputs!$I$6+(((A133)+1)/2)*(Inputs!$J$6-Inputs!$I$6)))/(Inputs!$K$6^2)*Inputs!$C$11)))/(SQRT(((Inputs!$I$6+(((A133)+1)/2)*(Inputs!$J$6-Inputs!$I$6)))^2+Inputs!$C$6^2+((Inputs!$H$6+Inputs!$L$6*(((Inputs!$I$6+(((A133)+1)/2)*(Inputs!$J$6-Inputs!$I$6)))/Inputs!$K$6)^2))^2)))))/Inputs!$C$13)</f>
        <v>-41.619648109336183</v>
      </c>
      <c r="AM133" s="9">
        <f>(-2*((1000*((((Inputs!$I$7+(((A133)+1)/2)*(Inputs!$J$7-Inputs!$I$7)))*Inputs!$C$11+((Inputs!$H$7+Inputs!$L$7*(((Inputs!$I$7+(((A133)+1)/2)*(Inputs!$J$7-Inputs!$I$7)))/Inputs!$K$7)^2))*((2*Inputs!$L$7*((Inputs!$I$7+(((A133)+1)/2)*(Inputs!$J$7-Inputs!$I$7)))/(Inputs!$K$7^2)*Inputs!$C$11)))/(SQRT(((Inputs!$I$7+(((A133)+1)/2)*(Inputs!$J$7-Inputs!$I$7)))^2+Inputs!$C$6^2+((Inputs!$H$7+Inputs!$L$7*(((Inputs!$I$7+(((A133)+1)/2)*(Inputs!$J$7-Inputs!$I$7)))/Inputs!$K$7)^2))^2)))))/Inputs!$C$13)</f>
        <v>-1180.0650732241249</v>
      </c>
      <c r="AN133" s="9">
        <f>(-2*((1000*((((Inputs!$I$8+(((A133)+1)/2)*(Inputs!$J$8-Inputs!$I$8)))*Inputs!$C$11+((Inputs!$H$8+Inputs!$L$8*(((Inputs!$I$8+(((A133)+1)/2)*(Inputs!$J$8-Inputs!$I$8)))/Inputs!$K$8)^2))*((2*Inputs!$L$8*((Inputs!$I$8+(((A133)+1)/2)*(Inputs!$J$8-Inputs!$I$8)))/(Inputs!$K$8^2)*Inputs!$C$11)))/(SQRT(((Inputs!$I$8+(((A133)+1)/2)*(Inputs!$J$8-Inputs!$I$8)))^2+Inputs!$C$6^2+((Inputs!$H$8+Inputs!$L$8*(((Inputs!$I$8+(((A133)+1)/2)*(Inputs!$J$8-Inputs!$I$8)))/Inputs!$K$8)^2))^2)))))/Inputs!$C$13)</f>
        <v>-1496.863537942681</v>
      </c>
      <c r="AO133" s="9">
        <f>(-2*((1000*((((Inputs!$I$9+(((A133)+1)/2)*(Inputs!$J$9-Inputs!$I$9)))*Inputs!$C$11+((Inputs!$H$9+Inputs!$L$9*(((Inputs!$I$9+(((A133)+1)/2)*(Inputs!$J$9-Inputs!$I$9)))/Inputs!$K$9)^2))*((2*Inputs!$L$9*((Inputs!$I$9+(((A133)+1)/2)*(Inputs!$J$9-Inputs!$I$9)))/(Inputs!$K$9^2)*Inputs!$C$11)))/(SQRT(((Inputs!$I$9+(((A133)+1)/2)*(Inputs!$J$9-Inputs!$I$9)))^2+Inputs!$C$6^2+((Inputs!$H$9+Inputs!$L$9*(((Inputs!$I$9+(((A133)+1)/2)*(Inputs!$J$9-Inputs!$I$9)))/Inputs!$K$9)^2))^2)))))/Inputs!$C$13)</f>
        <v>-1534.006127144683</v>
      </c>
    </row>
    <row r="134" spans="1:41">
      <c r="A134" s="9">
        <f>ROUND(-1+132*2/240,3)</f>
        <v>0.1</v>
      </c>
      <c r="B134" s="9">
        <f>IF(OR(Inputs!$F$6=TRUE,Inputs!$F$6="TRUE",Inputs!$F$6=1),(Inputs!$H$6+Inputs!$L$6*(((Inputs!$I$6+(((A134)+1)/2)*(Inputs!$J$6-Inputs!$I$6)))/Inputs!$K$6)^2),NA())</f>
        <v>400.04</v>
      </c>
      <c r="C134" s="9">
        <f>IF(OR(Inputs!$F$7=TRUE,Inputs!$F$7="TRUE",Inputs!$F$7=1),(Inputs!$H$7+Inputs!$L$7*(((Inputs!$I$7+(((A134)+1)/2)*(Inputs!$J$7-Inputs!$I$7)))/Inputs!$K$7)^2),NA())</f>
        <v>38.650000000000013</v>
      </c>
      <c r="D134" s="9">
        <f>IF(OR(Inputs!$F$8=TRUE,Inputs!$F$8="TRUE",Inputs!$F$8=1),(Inputs!$H$8+Inputs!$L$8*(((Inputs!$I$8+(((A134)+1)/2)*(Inputs!$J$8-Inputs!$I$8)))/Inputs!$K$8)^2),NA())</f>
        <v>44.650000000000027</v>
      </c>
      <c r="E134" s="9">
        <f>IF(OR(Inputs!$F$9=TRUE,Inputs!$F$9="TRUE",Inputs!$F$9=1),(Inputs!$H$9+Inputs!$L$9*(((Inputs!$I$9+(((A134)+1)/2)*(Inputs!$J$9-Inputs!$I$9)))/Inputs!$K$9)^2),NA())</f>
        <v>34.750000000000028</v>
      </c>
      <c r="F134" s="10"/>
      <c r="G134" s="9">
        <f t="shared" si="12"/>
        <v>0.1</v>
      </c>
      <c r="H134" s="9">
        <f>IF(OR(Inputs!$F$6=TRUE,Inputs!$F$6="TRUE",Inputs!$F$6=1),(((SQRT(((Inputs!$I$6+(((A134)+1)/2)*(Inputs!$J$6-Inputs!$I$6)))^2+Inputs!$C$6^2+((Inputs!$H$6+Inputs!$L$6*(((Inputs!$I$6+(((A134)+1)/2)*(Inputs!$J$6-Inputs!$I$6)))/Inputs!$K$6)^2))^2))-((Inputs!$H$6+Inputs!$L$6*(((Inputs!$I$6+(((A134)+1)/2)*(Inputs!$J$6-Inputs!$I$6)))/Inputs!$K$6)^2)))*1000/Inputs!$C$12),NA())</f>
        <v>463.66069393203549</v>
      </c>
      <c r="I134" s="9">
        <f>IF(OR(Inputs!$F$7=TRUE,Inputs!$F$7="TRUE",Inputs!$F$7=1),(((SQRT(((Inputs!$I$7+(((A134)+1)/2)*(Inputs!$J$7-Inputs!$I$7)))^2+Inputs!$C$6^2+((Inputs!$H$7+Inputs!$L$7*(((Inputs!$I$7+(((A134)+1)/2)*(Inputs!$J$7-Inputs!$I$7)))/Inputs!$K$7)^2))^2))-((Inputs!$H$7+Inputs!$L$7*(((Inputs!$I$7+(((A134)+1)/2)*(Inputs!$J$7-Inputs!$I$7)))/Inputs!$K$7)^2)))*1000/Inputs!$C$12),NA())</f>
        <v>12546.151138988675</v>
      </c>
      <c r="J134" s="9">
        <f>IF(OR(Inputs!$F$8=TRUE,Inputs!$F$8="TRUE",Inputs!$F$8=1),(((SQRT(((Inputs!$I$8+(((A134)+1)/2)*(Inputs!$J$8-Inputs!$I$8)))^2+Inputs!$C$6^2+((Inputs!$H$8+Inputs!$L$8*(((Inputs!$I$8+(((A134)+1)/2)*(Inputs!$J$8-Inputs!$I$8)))/Inputs!$K$8)^2))^2))-((Inputs!$H$8+Inputs!$L$8*(((Inputs!$I$8+(((A134)+1)/2)*(Inputs!$J$8-Inputs!$I$8)))/Inputs!$K$8)^2)))*1000/Inputs!$C$12),NA())</f>
        <v>28267.656336308512</v>
      </c>
      <c r="K134" s="9">
        <f>IF(OR(Inputs!$F$9=TRUE,Inputs!$F$9="TRUE",Inputs!$F$9=1),(((SQRT(((Inputs!$I$9+(((A134)+1)/2)*(Inputs!$J$9-Inputs!$I$9)))^2+Inputs!$C$6^2+((Inputs!$H$9+Inputs!$L$9*(((Inputs!$I$9+(((A134)+1)/2)*(Inputs!$J$9-Inputs!$I$9)))/Inputs!$K$9)^2))^2))-((Inputs!$H$9+Inputs!$L$9*(((Inputs!$I$9+(((A134)+1)/2)*(Inputs!$J$9-Inputs!$I$9)))/Inputs!$K$9)^2)))*1000/Inputs!$C$12),NA())</f>
        <v>31451.387398225957</v>
      </c>
      <c r="L134" s="10"/>
      <c r="M134" s="9">
        <f t="shared" si="13"/>
        <v>0.1</v>
      </c>
      <c r="N134" s="9">
        <f>IF(OR(Inputs!$F$6=TRUE,Inputs!$F$6="TRUE",Inputs!$F$6=1),(-2*((1000*((((Inputs!$I$6+(((A134)+1)/2)*(Inputs!$J$6-Inputs!$I$6)))*Inputs!$C$11+((Inputs!$H$6+Inputs!$L$6*(((Inputs!$I$6+(((A134)+1)/2)*(Inputs!$J$6-Inputs!$I$6)))/Inputs!$K$6)^2))*((2*Inputs!$L$6*((Inputs!$I$6+(((A134)+1)/2)*(Inputs!$J$6-Inputs!$I$6)))/(Inputs!$K$6^2)*Inputs!$C$11)))/(SQRT(((Inputs!$I$6+(((A134)+1)/2)*(Inputs!$J$6-Inputs!$I$6)))^2+Inputs!$C$6^2+((Inputs!$H$6+Inputs!$L$6*(((Inputs!$I$6+(((A134)+1)/2)*(Inputs!$J$6-Inputs!$I$6)))/Inputs!$K$6)^2))^2)))))/Inputs!$C$13),NA())</f>
        <v>-45.237604605019875</v>
      </c>
      <c r="O134" s="9">
        <f>IF(OR(Inputs!$F$7=TRUE,Inputs!$F$7="TRUE",Inputs!$F$7=1),(-2*((1000*((((Inputs!$I$7+(((A134)+1)/2)*(Inputs!$J$7-Inputs!$I$7)))*Inputs!$C$11+((Inputs!$H$7+Inputs!$L$7*(((Inputs!$I$7+(((A134)+1)/2)*(Inputs!$J$7-Inputs!$I$7)))/Inputs!$K$7)^2))*((2*Inputs!$L$7*((Inputs!$I$7+(((A134)+1)/2)*(Inputs!$J$7-Inputs!$I$7)))/(Inputs!$K$7^2)*Inputs!$C$11)))/(SQRT(((Inputs!$I$7+(((A134)+1)/2)*(Inputs!$J$7-Inputs!$I$7)))^2+Inputs!$C$6^2+((Inputs!$H$7+Inputs!$L$7*(((Inputs!$I$7+(((A134)+1)/2)*(Inputs!$J$7-Inputs!$I$7)))/Inputs!$K$7)^2))^2)))))/Inputs!$C$13),NA())</f>
        <v>-1234.5547213525304</v>
      </c>
      <c r="P134" s="9">
        <f>IF(OR(Inputs!$F$8=TRUE,Inputs!$F$8="TRUE",Inputs!$F$8=1),(-2*((1000*((((Inputs!$I$8+(((A134)+1)/2)*(Inputs!$J$8-Inputs!$I$8)))*Inputs!$C$11+((Inputs!$H$8+Inputs!$L$8*(((Inputs!$I$8+(((A134)+1)/2)*(Inputs!$J$8-Inputs!$I$8)))/Inputs!$K$8)^2))*((2*Inputs!$L$8*((Inputs!$I$8+(((A134)+1)/2)*(Inputs!$J$8-Inputs!$I$8)))/(Inputs!$K$8^2)*Inputs!$C$11)))/(SQRT(((Inputs!$I$8+(((A134)+1)/2)*(Inputs!$J$8-Inputs!$I$8)))^2+Inputs!$C$6^2+((Inputs!$H$8+Inputs!$L$8*(((Inputs!$I$8+(((A134)+1)/2)*(Inputs!$J$8-Inputs!$I$8)))/Inputs!$K$8)^2))^2)))))/Inputs!$C$13),NA())</f>
        <v>-1529.328865290001</v>
      </c>
      <c r="Q134" s="9">
        <f>IF(OR(Inputs!$F$9=TRUE,Inputs!$F$9="TRUE",Inputs!$F$9=1),(-2*((1000*((((Inputs!$I$9+(((A134)+1)/2)*(Inputs!$J$9-Inputs!$I$9)))*Inputs!$C$11+((Inputs!$H$9+Inputs!$L$9*(((Inputs!$I$9+(((A134)+1)/2)*(Inputs!$J$9-Inputs!$I$9)))/Inputs!$K$9)^2))*((2*Inputs!$L$9*((Inputs!$I$9+(((A134)+1)/2)*(Inputs!$J$9-Inputs!$I$9)))/(Inputs!$K$9^2)*Inputs!$C$11)))/(SQRT(((Inputs!$I$9+(((A134)+1)/2)*(Inputs!$J$9-Inputs!$I$9)))^2+Inputs!$C$6^2+((Inputs!$H$9+Inputs!$L$9*(((Inputs!$I$9+(((A134)+1)/2)*(Inputs!$J$9-Inputs!$I$9)))/Inputs!$K$9)^2))^2)))))/Inputs!$C$13),NA())</f>
        <v>-1560.0913386498466</v>
      </c>
      <c r="R134" s="10"/>
      <c r="S134" s="9">
        <f t="shared" si="14"/>
        <v>0.1</v>
      </c>
      <c r="T134" s="9">
        <f>(Inputs!$I$6+(((A134)+1)/2)*(Inputs!$J$6-Inputs!$I$6))</f>
        <v>6</v>
      </c>
      <c r="U134" s="9">
        <f>(Inputs!$I$7+(((A134)+1)/2)*(Inputs!$J$7-Inputs!$I$7))</f>
        <v>40.000000000000057</v>
      </c>
      <c r="V134" s="9">
        <f>(Inputs!$I$8+(((A134)+1)/2)*(Inputs!$J$8-Inputs!$I$8))</f>
        <v>80.000000000000114</v>
      </c>
      <c r="W134" s="9">
        <f>(Inputs!$I$9+(((A134)+1)/2)*(Inputs!$J$9-Inputs!$I$9))</f>
        <v>80.000000000000114</v>
      </c>
      <c r="X134" s="10"/>
      <c r="Y134" s="9">
        <f t="shared" si="15"/>
        <v>0.1</v>
      </c>
      <c r="Z134" s="9">
        <f>(Inputs!$H$6+Inputs!$L$6*(((Inputs!$I$6+(((A134)+1)/2)*(Inputs!$J$6-Inputs!$I$6)))/Inputs!$K$6)^2)</f>
        <v>400.04</v>
      </c>
      <c r="AA134" s="9">
        <f>(Inputs!$H$7+Inputs!$L$7*(((Inputs!$I$7+(((A134)+1)/2)*(Inputs!$J$7-Inputs!$I$7)))/Inputs!$K$7)^2)</f>
        <v>38.650000000000013</v>
      </c>
      <c r="AB134" s="9">
        <f>(Inputs!$H$8+Inputs!$L$8*(((Inputs!$I$8+(((A134)+1)/2)*(Inputs!$J$8-Inputs!$I$8)))/Inputs!$K$8)^2)</f>
        <v>44.650000000000027</v>
      </c>
      <c r="AC134" s="9">
        <f>(Inputs!$H$9+Inputs!$L$9*(((Inputs!$I$9+(((A134)+1)/2)*(Inputs!$J$9-Inputs!$I$9)))/Inputs!$K$9)^2)</f>
        <v>34.750000000000028</v>
      </c>
      <c r="AD134" s="10"/>
      <c r="AE134" s="9">
        <f t="shared" si="16"/>
        <v>0.1</v>
      </c>
      <c r="AF134" s="9">
        <f>(((SQRT(((Inputs!$I$6+(((A134)+1)/2)*(Inputs!$J$6-Inputs!$I$6)))^2+Inputs!$C$6^2+((Inputs!$H$6+Inputs!$L$6*(((Inputs!$I$6+(((A134)+1)/2)*(Inputs!$J$6-Inputs!$I$6)))/Inputs!$K$6)^2))^2))-((Inputs!$H$6+Inputs!$L$6*(((Inputs!$I$6+(((A134)+1)/2)*(Inputs!$J$6-Inputs!$I$6)))/Inputs!$K$6)^2)))*1000/Inputs!$C$12)</f>
        <v>463.66069393203549</v>
      </c>
      <c r="AG134" s="9">
        <f>(((SQRT(((Inputs!$I$7+(((A134)+1)/2)*(Inputs!$J$7-Inputs!$I$7)))^2+Inputs!$C$6^2+((Inputs!$H$7+Inputs!$L$7*(((Inputs!$I$7+(((A134)+1)/2)*(Inputs!$J$7-Inputs!$I$7)))/Inputs!$K$7)^2))^2))-((Inputs!$H$7+Inputs!$L$7*(((Inputs!$I$7+(((A134)+1)/2)*(Inputs!$J$7-Inputs!$I$7)))/Inputs!$K$7)^2)))*1000/Inputs!$C$12)</f>
        <v>12546.151138988675</v>
      </c>
      <c r="AH134" s="9">
        <f>(((SQRT(((Inputs!$I$8+(((A134)+1)/2)*(Inputs!$J$8-Inputs!$I$8)))^2+Inputs!$C$6^2+((Inputs!$H$8+Inputs!$L$8*(((Inputs!$I$8+(((A134)+1)/2)*(Inputs!$J$8-Inputs!$I$8)))/Inputs!$K$8)^2))^2))-((Inputs!$H$8+Inputs!$L$8*(((Inputs!$I$8+(((A134)+1)/2)*(Inputs!$J$8-Inputs!$I$8)))/Inputs!$K$8)^2)))*1000/Inputs!$C$12)</f>
        <v>28267.656336308512</v>
      </c>
      <c r="AI134" s="9">
        <f>(((SQRT(((Inputs!$I$9+(((A134)+1)/2)*(Inputs!$J$9-Inputs!$I$9)))^2+Inputs!$C$6^2+((Inputs!$H$9+Inputs!$L$9*(((Inputs!$I$9+(((A134)+1)/2)*(Inputs!$J$9-Inputs!$I$9)))/Inputs!$K$9)^2))^2))-((Inputs!$H$9+Inputs!$L$9*(((Inputs!$I$9+(((A134)+1)/2)*(Inputs!$J$9-Inputs!$I$9)))/Inputs!$K$9)^2)))*1000/Inputs!$C$12)</f>
        <v>31451.387398225957</v>
      </c>
      <c r="AJ134" s="10"/>
      <c r="AK134" s="9">
        <f t="shared" si="17"/>
        <v>0.1</v>
      </c>
      <c r="AL134" s="9">
        <f>(-2*((1000*((((Inputs!$I$6+(((A134)+1)/2)*(Inputs!$J$6-Inputs!$I$6)))*Inputs!$C$11+((Inputs!$H$6+Inputs!$L$6*(((Inputs!$I$6+(((A134)+1)/2)*(Inputs!$J$6-Inputs!$I$6)))/Inputs!$K$6)^2))*((2*Inputs!$L$6*((Inputs!$I$6+(((A134)+1)/2)*(Inputs!$J$6-Inputs!$I$6)))/(Inputs!$K$6^2)*Inputs!$C$11)))/(SQRT(((Inputs!$I$6+(((A134)+1)/2)*(Inputs!$J$6-Inputs!$I$6)))^2+Inputs!$C$6^2+((Inputs!$H$6+Inputs!$L$6*(((Inputs!$I$6+(((A134)+1)/2)*(Inputs!$J$6-Inputs!$I$6)))/Inputs!$K$6)^2))^2)))))/Inputs!$C$13)</f>
        <v>-45.237604605019875</v>
      </c>
      <c r="AM134" s="9">
        <f>(-2*((1000*((((Inputs!$I$7+(((A134)+1)/2)*(Inputs!$J$7-Inputs!$I$7)))*Inputs!$C$11+((Inputs!$H$7+Inputs!$L$7*(((Inputs!$I$7+(((A134)+1)/2)*(Inputs!$J$7-Inputs!$I$7)))/Inputs!$K$7)^2))*((2*Inputs!$L$7*((Inputs!$I$7+(((A134)+1)/2)*(Inputs!$J$7-Inputs!$I$7)))/(Inputs!$K$7^2)*Inputs!$C$11)))/(SQRT(((Inputs!$I$7+(((A134)+1)/2)*(Inputs!$J$7-Inputs!$I$7)))^2+Inputs!$C$6^2+((Inputs!$H$7+Inputs!$L$7*(((Inputs!$I$7+(((A134)+1)/2)*(Inputs!$J$7-Inputs!$I$7)))/Inputs!$K$7)^2))^2)))))/Inputs!$C$13)</f>
        <v>-1234.5547213525304</v>
      </c>
      <c r="AN134" s="9">
        <f>(-2*((1000*((((Inputs!$I$8+(((A134)+1)/2)*(Inputs!$J$8-Inputs!$I$8)))*Inputs!$C$11+((Inputs!$H$8+Inputs!$L$8*(((Inputs!$I$8+(((A134)+1)/2)*(Inputs!$J$8-Inputs!$I$8)))/Inputs!$K$8)^2))*((2*Inputs!$L$8*((Inputs!$I$8+(((A134)+1)/2)*(Inputs!$J$8-Inputs!$I$8)))/(Inputs!$K$8^2)*Inputs!$C$11)))/(SQRT(((Inputs!$I$8+(((A134)+1)/2)*(Inputs!$J$8-Inputs!$I$8)))^2+Inputs!$C$6^2+((Inputs!$H$8+Inputs!$L$8*(((Inputs!$I$8+(((A134)+1)/2)*(Inputs!$J$8-Inputs!$I$8)))/Inputs!$K$8)^2))^2)))))/Inputs!$C$13)</f>
        <v>-1529.328865290001</v>
      </c>
      <c r="AO134" s="9">
        <f>(-2*((1000*((((Inputs!$I$9+(((A134)+1)/2)*(Inputs!$J$9-Inputs!$I$9)))*Inputs!$C$11+((Inputs!$H$9+Inputs!$L$9*(((Inputs!$I$9+(((A134)+1)/2)*(Inputs!$J$9-Inputs!$I$9)))/Inputs!$K$9)^2))*((2*Inputs!$L$9*((Inputs!$I$9+(((A134)+1)/2)*(Inputs!$J$9-Inputs!$I$9)))/(Inputs!$K$9^2)*Inputs!$C$11)))/(SQRT(((Inputs!$I$9+(((A134)+1)/2)*(Inputs!$J$9-Inputs!$I$9)))^2+Inputs!$C$6^2+((Inputs!$H$9+Inputs!$L$9*(((Inputs!$I$9+(((A134)+1)/2)*(Inputs!$J$9-Inputs!$I$9)))/Inputs!$K$9)^2))^2)))))/Inputs!$C$13)</f>
        <v>-1560.0913386498466</v>
      </c>
    </row>
    <row r="135" spans="1:41">
      <c r="A135" s="9">
        <f>ROUND(-1+133*2/240,3)</f>
        <v>0.108</v>
      </c>
      <c r="B135" s="9">
        <f>IF(OR(Inputs!$F$6=TRUE,Inputs!$F$6="TRUE",Inputs!$F$6=1),(Inputs!$H$6+Inputs!$L$6*(((Inputs!$I$6+(((A135)+1)/2)*(Inputs!$J$6-Inputs!$I$6)))/Inputs!$K$6)^2),NA())</f>
        <v>400.04665599999998</v>
      </c>
      <c r="C135" s="9">
        <f>IF(OR(Inputs!$F$7=TRUE,Inputs!$F$7="TRUE",Inputs!$F$7=1),(Inputs!$H$7+Inputs!$L$7*(((Inputs!$I$7+(((A135)+1)/2)*(Inputs!$J$7-Inputs!$I$7)))/Inputs!$K$7)^2),NA())</f>
        <v>39.257360000000006</v>
      </c>
      <c r="D135" s="9">
        <f>IF(OR(Inputs!$F$8=TRUE,Inputs!$F$8="TRUE",Inputs!$F$8=1),(Inputs!$H$8+Inputs!$L$8*(((Inputs!$I$8+(((A135)+1)/2)*(Inputs!$J$8-Inputs!$I$8)))/Inputs!$K$8)^2),NA())</f>
        <v>46.255760000000024</v>
      </c>
      <c r="E135" s="9">
        <f>IF(OR(Inputs!$F$9=TRUE,Inputs!$F$9="TRUE",Inputs!$F$9=1),(Inputs!$H$9+Inputs!$L$9*(((Inputs!$I$9+(((A135)+1)/2)*(Inputs!$J$9-Inputs!$I$9)))/Inputs!$K$9)^2),NA())</f>
        <v>36.37240000000002</v>
      </c>
      <c r="F135" s="10"/>
      <c r="G135" s="9">
        <f t="shared" si="12"/>
        <v>0.108</v>
      </c>
      <c r="H135" s="9">
        <f>IF(OR(Inputs!$F$6=TRUE,Inputs!$F$6="TRUE",Inputs!$F$6=1),(((SQRT(((Inputs!$I$6+(((A135)+1)/2)*(Inputs!$J$6-Inputs!$I$6)))^2+Inputs!$C$6^2+((Inputs!$H$6+Inputs!$L$6*(((Inputs!$I$6+(((A135)+1)/2)*(Inputs!$J$6-Inputs!$I$6)))/Inputs!$K$6)^2))^2))-((Inputs!$H$6+Inputs!$L$6*(((Inputs!$I$6+(((A135)+1)/2)*(Inputs!$J$6-Inputs!$I$6)))/Inputs!$K$6)^2)))*1000/Inputs!$C$12),NA())</f>
        <v>467.85054754357924</v>
      </c>
      <c r="I135" s="9">
        <f>IF(OR(Inputs!$F$7=TRUE,Inputs!$F$7="TRUE",Inputs!$F$7=1),(((SQRT(((Inputs!$I$7+(((A135)+1)/2)*(Inputs!$J$7-Inputs!$I$7)))^2+Inputs!$C$6^2+((Inputs!$H$7+Inputs!$L$7*(((Inputs!$I$7+(((A135)+1)/2)*(Inputs!$J$7-Inputs!$I$7)))/Inputs!$K$7)^2))^2))-((Inputs!$H$7+Inputs!$L$7*(((Inputs!$I$7+(((A135)+1)/2)*(Inputs!$J$7-Inputs!$I$7)))/Inputs!$K$7)^2)))*1000/Inputs!$C$12),NA())</f>
        <v>13620.03712782778</v>
      </c>
      <c r="J135" s="9">
        <f>IF(OR(Inputs!$F$8=TRUE,Inputs!$F$8="TRUE",Inputs!$F$8=1),(((SQRT(((Inputs!$I$8+(((A135)+1)/2)*(Inputs!$J$8-Inputs!$I$8)))^2+Inputs!$C$6^2+((Inputs!$H$8+Inputs!$L$8*(((Inputs!$I$8+(((A135)+1)/2)*(Inputs!$J$8-Inputs!$I$8)))/Inputs!$K$8)^2))^2))-((Inputs!$H$8+Inputs!$L$8*(((Inputs!$I$8+(((A135)+1)/2)*(Inputs!$J$8-Inputs!$I$8)))/Inputs!$K$8)^2)))*1000/Inputs!$C$12),NA())</f>
        <v>30834.552946908872</v>
      </c>
      <c r="K135" s="9">
        <f>IF(OR(Inputs!$F$9=TRUE,Inputs!$F$9="TRUE",Inputs!$F$9=1),(((SQRT(((Inputs!$I$9+(((A135)+1)/2)*(Inputs!$J$9-Inputs!$I$9)))^2+Inputs!$C$6^2+((Inputs!$H$9+Inputs!$L$9*(((Inputs!$I$9+(((A135)+1)/2)*(Inputs!$J$9-Inputs!$I$9)))/Inputs!$K$9)^2))^2))-((Inputs!$H$9+Inputs!$L$9*(((Inputs!$I$9+(((A135)+1)/2)*(Inputs!$J$9-Inputs!$I$9)))/Inputs!$K$9)^2)))*1000/Inputs!$C$12),NA())</f>
        <v>34071.775383201297</v>
      </c>
      <c r="L135" s="10"/>
      <c r="M135" s="9">
        <f t="shared" si="13"/>
        <v>0.108</v>
      </c>
      <c r="N135" s="9">
        <f>IF(OR(Inputs!$F$6=TRUE,Inputs!$F$6="TRUE",Inputs!$F$6=1),(-2*((1000*((((Inputs!$I$6+(((A135)+1)/2)*(Inputs!$J$6-Inputs!$I$6)))*Inputs!$C$11+((Inputs!$H$6+Inputs!$L$6*(((Inputs!$I$6+(((A135)+1)/2)*(Inputs!$J$6-Inputs!$I$6)))/Inputs!$K$6)^2))*((2*Inputs!$L$6*((Inputs!$I$6+(((A135)+1)/2)*(Inputs!$J$6-Inputs!$I$6)))/(Inputs!$K$6^2)*Inputs!$C$11)))/(SQRT(((Inputs!$I$6+(((A135)+1)/2)*(Inputs!$J$6-Inputs!$I$6)))^2+Inputs!$C$6^2+((Inputs!$H$6+Inputs!$L$6*(((Inputs!$I$6+(((A135)+1)/2)*(Inputs!$J$6-Inputs!$I$6)))/Inputs!$K$6)^2))^2)))))/Inputs!$C$13),NA())</f>
        <v>-48.855275401582936</v>
      </c>
      <c r="O135" s="9">
        <f>IF(OR(Inputs!$F$7=TRUE,Inputs!$F$7="TRUE",Inputs!$F$7=1),(-2*((1000*((((Inputs!$I$7+(((A135)+1)/2)*(Inputs!$J$7-Inputs!$I$7)))*Inputs!$C$11+((Inputs!$H$7+Inputs!$L$7*(((Inputs!$I$7+(((A135)+1)/2)*(Inputs!$J$7-Inputs!$I$7)))/Inputs!$K$7)^2))*((2*Inputs!$L$7*((Inputs!$I$7+(((A135)+1)/2)*(Inputs!$J$7-Inputs!$I$7)))/(Inputs!$K$7^2)*Inputs!$C$11)))/(SQRT(((Inputs!$I$7+(((A135)+1)/2)*(Inputs!$J$7-Inputs!$I$7)))^2+Inputs!$C$6^2+((Inputs!$H$7+Inputs!$L$7*(((Inputs!$I$7+(((A135)+1)/2)*(Inputs!$J$7-Inputs!$I$7)))/Inputs!$K$7)^2))^2)))))/Inputs!$C$13),NA())</f>
        <v>-1283.4469940258216</v>
      </c>
      <c r="P135" s="9">
        <f>IF(OR(Inputs!$F$8=TRUE,Inputs!$F$8="TRUE",Inputs!$F$8=1),(-2*((1000*((((Inputs!$I$8+(((A135)+1)/2)*(Inputs!$J$8-Inputs!$I$8)))*Inputs!$C$11+((Inputs!$H$8+Inputs!$L$8*(((Inputs!$I$8+(((A135)+1)/2)*(Inputs!$J$8-Inputs!$I$8)))/Inputs!$K$8)^2))*((2*Inputs!$L$8*((Inputs!$I$8+(((A135)+1)/2)*(Inputs!$J$8-Inputs!$I$8)))/(Inputs!$K$8^2)*Inputs!$C$11)))/(SQRT(((Inputs!$I$8+(((A135)+1)/2)*(Inputs!$J$8-Inputs!$I$8)))^2+Inputs!$C$6^2+((Inputs!$H$8+Inputs!$L$8*(((Inputs!$I$8+(((A135)+1)/2)*(Inputs!$J$8-Inputs!$I$8)))/Inputs!$K$8)^2))^2)))))/Inputs!$C$13),NA())</f>
        <v>-1557.4563201666931</v>
      </c>
      <c r="Q135" s="9">
        <f>IF(OR(Inputs!$F$9=TRUE,Inputs!$F$9="TRUE",Inputs!$F$9=1),(-2*((1000*((((Inputs!$I$9+(((A135)+1)/2)*(Inputs!$J$9-Inputs!$I$9)))*Inputs!$C$11+((Inputs!$H$9+Inputs!$L$9*(((Inputs!$I$9+(((A135)+1)/2)*(Inputs!$J$9-Inputs!$I$9)))/Inputs!$K$9)^2))*((2*Inputs!$L$9*((Inputs!$I$9+(((A135)+1)/2)*(Inputs!$J$9-Inputs!$I$9)))/(Inputs!$K$9^2)*Inputs!$C$11)))/(SQRT(((Inputs!$I$9+(((A135)+1)/2)*(Inputs!$J$9-Inputs!$I$9)))^2+Inputs!$C$6^2+((Inputs!$H$9+Inputs!$L$9*(((Inputs!$I$9+(((A135)+1)/2)*(Inputs!$J$9-Inputs!$I$9)))/Inputs!$K$9)^2))^2)))))/Inputs!$C$13),NA())</f>
        <v>-1582.7643923879473</v>
      </c>
      <c r="R135" s="10"/>
      <c r="S135" s="9">
        <f t="shared" si="14"/>
        <v>0.108</v>
      </c>
      <c r="T135" s="9">
        <f>(Inputs!$I$6+(((A135)+1)/2)*(Inputs!$J$6-Inputs!$I$6))</f>
        <v>6.480000000000004</v>
      </c>
      <c r="U135" s="9">
        <f>(Inputs!$I$7+(((A135)+1)/2)*(Inputs!$J$7-Inputs!$I$7))</f>
        <v>43.200000000000045</v>
      </c>
      <c r="V135" s="9">
        <f>(Inputs!$I$8+(((A135)+1)/2)*(Inputs!$J$8-Inputs!$I$8))</f>
        <v>86.400000000000091</v>
      </c>
      <c r="W135" s="9">
        <f>(Inputs!$I$9+(((A135)+1)/2)*(Inputs!$J$9-Inputs!$I$9))</f>
        <v>86.400000000000091</v>
      </c>
      <c r="X135" s="10"/>
      <c r="Y135" s="9">
        <f t="shared" si="15"/>
        <v>0.108</v>
      </c>
      <c r="Z135" s="9">
        <f>(Inputs!$H$6+Inputs!$L$6*(((Inputs!$I$6+(((A135)+1)/2)*(Inputs!$J$6-Inputs!$I$6)))/Inputs!$K$6)^2)</f>
        <v>400.04665599999998</v>
      </c>
      <c r="AA135" s="9">
        <f>(Inputs!$H$7+Inputs!$L$7*(((Inputs!$I$7+(((A135)+1)/2)*(Inputs!$J$7-Inputs!$I$7)))/Inputs!$K$7)^2)</f>
        <v>39.257360000000006</v>
      </c>
      <c r="AB135" s="9">
        <f>(Inputs!$H$8+Inputs!$L$8*(((Inputs!$I$8+(((A135)+1)/2)*(Inputs!$J$8-Inputs!$I$8)))/Inputs!$K$8)^2)</f>
        <v>46.255760000000024</v>
      </c>
      <c r="AC135" s="9">
        <f>(Inputs!$H$9+Inputs!$L$9*(((Inputs!$I$9+(((A135)+1)/2)*(Inputs!$J$9-Inputs!$I$9)))/Inputs!$K$9)^2)</f>
        <v>36.37240000000002</v>
      </c>
      <c r="AD135" s="10"/>
      <c r="AE135" s="9">
        <f t="shared" si="16"/>
        <v>0.108</v>
      </c>
      <c r="AF135" s="9">
        <f>(((SQRT(((Inputs!$I$6+(((A135)+1)/2)*(Inputs!$J$6-Inputs!$I$6)))^2+Inputs!$C$6^2+((Inputs!$H$6+Inputs!$L$6*(((Inputs!$I$6+(((A135)+1)/2)*(Inputs!$J$6-Inputs!$I$6)))/Inputs!$K$6)^2))^2))-((Inputs!$H$6+Inputs!$L$6*(((Inputs!$I$6+(((A135)+1)/2)*(Inputs!$J$6-Inputs!$I$6)))/Inputs!$K$6)^2)))*1000/Inputs!$C$12)</f>
        <v>467.85054754357924</v>
      </c>
      <c r="AG135" s="9">
        <f>(((SQRT(((Inputs!$I$7+(((A135)+1)/2)*(Inputs!$J$7-Inputs!$I$7)))^2+Inputs!$C$6^2+((Inputs!$H$7+Inputs!$L$7*(((Inputs!$I$7+(((A135)+1)/2)*(Inputs!$J$7-Inputs!$I$7)))/Inputs!$K$7)^2))^2))-((Inputs!$H$7+Inputs!$L$7*(((Inputs!$I$7+(((A135)+1)/2)*(Inputs!$J$7-Inputs!$I$7)))/Inputs!$K$7)^2)))*1000/Inputs!$C$12)</f>
        <v>13620.03712782778</v>
      </c>
      <c r="AH135" s="9">
        <f>(((SQRT(((Inputs!$I$8+(((A135)+1)/2)*(Inputs!$J$8-Inputs!$I$8)))^2+Inputs!$C$6^2+((Inputs!$H$8+Inputs!$L$8*(((Inputs!$I$8+(((A135)+1)/2)*(Inputs!$J$8-Inputs!$I$8)))/Inputs!$K$8)^2))^2))-((Inputs!$H$8+Inputs!$L$8*(((Inputs!$I$8+(((A135)+1)/2)*(Inputs!$J$8-Inputs!$I$8)))/Inputs!$K$8)^2)))*1000/Inputs!$C$12)</f>
        <v>30834.552946908872</v>
      </c>
      <c r="AI135" s="9">
        <f>(((SQRT(((Inputs!$I$9+(((A135)+1)/2)*(Inputs!$J$9-Inputs!$I$9)))^2+Inputs!$C$6^2+((Inputs!$H$9+Inputs!$L$9*(((Inputs!$I$9+(((A135)+1)/2)*(Inputs!$J$9-Inputs!$I$9)))/Inputs!$K$9)^2))^2))-((Inputs!$H$9+Inputs!$L$9*(((Inputs!$I$9+(((A135)+1)/2)*(Inputs!$J$9-Inputs!$I$9)))/Inputs!$K$9)^2)))*1000/Inputs!$C$12)</f>
        <v>34071.775383201297</v>
      </c>
      <c r="AJ135" s="10"/>
      <c r="AK135" s="9">
        <f t="shared" si="17"/>
        <v>0.108</v>
      </c>
      <c r="AL135" s="9">
        <f>(-2*((1000*((((Inputs!$I$6+(((A135)+1)/2)*(Inputs!$J$6-Inputs!$I$6)))*Inputs!$C$11+((Inputs!$H$6+Inputs!$L$6*(((Inputs!$I$6+(((A135)+1)/2)*(Inputs!$J$6-Inputs!$I$6)))/Inputs!$K$6)^2))*((2*Inputs!$L$6*((Inputs!$I$6+(((A135)+1)/2)*(Inputs!$J$6-Inputs!$I$6)))/(Inputs!$K$6^2)*Inputs!$C$11)))/(SQRT(((Inputs!$I$6+(((A135)+1)/2)*(Inputs!$J$6-Inputs!$I$6)))^2+Inputs!$C$6^2+((Inputs!$H$6+Inputs!$L$6*(((Inputs!$I$6+(((A135)+1)/2)*(Inputs!$J$6-Inputs!$I$6)))/Inputs!$K$6)^2))^2)))))/Inputs!$C$13)</f>
        <v>-48.855275401582936</v>
      </c>
      <c r="AM135" s="9">
        <f>(-2*((1000*((((Inputs!$I$7+(((A135)+1)/2)*(Inputs!$J$7-Inputs!$I$7)))*Inputs!$C$11+((Inputs!$H$7+Inputs!$L$7*(((Inputs!$I$7+(((A135)+1)/2)*(Inputs!$J$7-Inputs!$I$7)))/Inputs!$K$7)^2))*((2*Inputs!$L$7*((Inputs!$I$7+(((A135)+1)/2)*(Inputs!$J$7-Inputs!$I$7)))/(Inputs!$K$7^2)*Inputs!$C$11)))/(SQRT(((Inputs!$I$7+(((A135)+1)/2)*(Inputs!$J$7-Inputs!$I$7)))^2+Inputs!$C$6^2+((Inputs!$H$7+Inputs!$L$7*(((Inputs!$I$7+(((A135)+1)/2)*(Inputs!$J$7-Inputs!$I$7)))/Inputs!$K$7)^2))^2)))))/Inputs!$C$13)</f>
        <v>-1283.4469940258216</v>
      </c>
      <c r="AN135" s="9">
        <f>(-2*((1000*((((Inputs!$I$8+(((A135)+1)/2)*(Inputs!$J$8-Inputs!$I$8)))*Inputs!$C$11+((Inputs!$H$8+Inputs!$L$8*(((Inputs!$I$8+(((A135)+1)/2)*(Inputs!$J$8-Inputs!$I$8)))/Inputs!$K$8)^2))*((2*Inputs!$L$8*((Inputs!$I$8+(((A135)+1)/2)*(Inputs!$J$8-Inputs!$I$8)))/(Inputs!$K$8^2)*Inputs!$C$11)))/(SQRT(((Inputs!$I$8+(((A135)+1)/2)*(Inputs!$J$8-Inputs!$I$8)))^2+Inputs!$C$6^2+((Inputs!$H$8+Inputs!$L$8*(((Inputs!$I$8+(((A135)+1)/2)*(Inputs!$J$8-Inputs!$I$8)))/Inputs!$K$8)^2))^2)))))/Inputs!$C$13)</f>
        <v>-1557.4563201666931</v>
      </c>
      <c r="AO135" s="9">
        <f>(-2*((1000*((((Inputs!$I$9+(((A135)+1)/2)*(Inputs!$J$9-Inputs!$I$9)))*Inputs!$C$11+((Inputs!$H$9+Inputs!$L$9*(((Inputs!$I$9+(((A135)+1)/2)*(Inputs!$J$9-Inputs!$I$9)))/Inputs!$K$9)^2))*((2*Inputs!$L$9*((Inputs!$I$9+(((A135)+1)/2)*(Inputs!$J$9-Inputs!$I$9)))/(Inputs!$K$9^2)*Inputs!$C$11)))/(SQRT(((Inputs!$I$9+(((A135)+1)/2)*(Inputs!$J$9-Inputs!$I$9)))^2+Inputs!$C$6^2+((Inputs!$H$9+Inputs!$L$9*(((Inputs!$I$9+(((A135)+1)/2)*(Inputs!$J$9-Inputs!$I$9)))/Inputs!$K$9)^2))^2)))))/Inputs!$C$13)</f>
        <v>-1582.7643923879473</v>
      </c>
    </row>
    <row r="136" spans="1:41">
      <c r="A136" s="9">
        <f>ROUND(-1+134*2/240,3)</f>
        <v>0.11700000000000001</v>
      </c>
      <c r="B136" s="9">
        <f>IF(OR(Inputs!$F$6=TRUE,Inputs!$F$6="TRUE",Inputs!$F$6=1),(Inputs!$H$6+Inputs!$L$6*(((Inputs!$I$6+(((A136)+1)/2)*(Inputs!$J$6-Inputs!$I$6)))/Inputs!$K$6)^2),NA())</f>
        <v>400.054756</v>
      </c>
      <c r="C136" s="9">
        <f>IF(OR(Inputs!$F$7=TRUE,Inputs!$F$7="TRUE",Inputs!$F$7=1),(Inputs!$H$7+Inputs!$L$7*(((Inputs!$I$7+(((A136)+1)/2)*(Inputs!$J$7-Inputs!$I$7)))/Inputs!$K$7)^2),NA())</f>
        <v>39.996485000000007</v>
      </c>
      <c r="D136" s="9">
        <f>IF(OR(Inputs!$F$8=TRUE,Inputs!$F$8="TRUE",Inputs!$F$8=1),(Inputs!$H$8+Inputs!$L$8*(((Inputs!$I$8+(((A136)+1)/2)*(Inputs!$J$8-Inputs!$I$8)))/Inputs!$K$8)^2),NA())</f>
        <v>48.209885000000007</v>
      </c>
      <c r="E136" s="9">
        <f>IF(OR(Inputs!$F$9=TRUE,Inputs!$F$9="TRUE",Inputs!$F$9=1),(Inputs!$H$9+Inputs!$L$9*(((Inputs!$I$9+(((A136)+1)/2)*(Inputs!$J$9-Inputs!$I$9)))/Inputs!$K$9)^2),NA())</f>
        <v>38.346775000000008</v>
      </c>
      <c r="F136" s="10"/>
      <c r="G136" s="9">
        <f t="shared" si="12"/>
        <v>0.11700000000000001</v>
      </c>
      <c r="H136" s="9">
        <f>IF(OR(Inputs!$F$6=TRUE,Inputs!$F$6="TRUE",Inputs!$F$6=1),(((SQRT(((Inputs!$I$6+(((A136)+1)/2)*(Inputs!$J$6-Inputs!$I$6)))^2+Inputs!$C$6^2+((Inputs!$H$6+Inputs!$L$6*(((Inputs!$I$6+(((A136)+1)/2)*(Inputs!$J$6-Inputs!$I$6)))/Inputs!$K$6)^2))^2))-((Inputs!$H$6+Inputs!$L$6*(((Inputs!$I$6+(((A136)+1)/2)*(Inputs!$J$6-Inputs!$I$6)))/Inputs!$K$6)^2)))*1000/Inputs!$C$12),NA())</f>
        <v>472.94908499136989</v>
      </c>
      <c r="I136" s="9">
        <f>IF(OR(Inputs!$F$7=TRUE,Inputs!$F$7="TRUE",Inputs!$F$7=1),(((SQRT(((Inputs!$I$7+(((A136)+1)/2)*(Inputs!$J$7-Inputs!$I$7)))^2+Inputs!$C$6^2+((Inputs!$H$7+Inputs!$L$7*(((Inputs!$I$7+(((A136)+1)/2)*(Inputs!$J$7-Inputs!$I$7)))/Inputs!$K$7)^2))^2))-((Inputs!$H$7+Inputs!$L$7*(((Inputs!$I$7+(((A136)+1)/2)*(Inputs!$J$7-Inputs!$I$7)))/Inputs!$K$7)^2)))*1000/Inputs!$C$12),NA())</f>
        <v>14858.804171401191</v>
      </c>
      <c r="J136" s="9">
        <f>IF(OR(Inputs!$F$8=TRUE,Inputs!$F$8="TRUE",Inputs!$F$8=1),(((SQRT(((Inputs!$I$8+(((A136)+1)/2)*(Inputs!$J$8-Inputs!$I$8)))^2+Inputs!$C$6^2+((Inputs!$H$8+Inputs!$L$8*(((Inputs!$I$8+(((A136)+1)/2)*(Inputs!$J$8-Inputs!$I$8)))/Inputs!$K$8)^2))^2))-((Inputs!$H$8+Inputs!$L$8*(((Inputs!$I$8+(((A136)+1)/2)*(Inputs!$J$8-Inputs!$I$8)))/Inputs!$K$8)^2)))*1000/Inputs!$C$12),NA())</f>
        <v>33709.873820149078</v>
      </c>
      <c r="K136" s="9">
        <f>IF(OR(Inputs!$F$9=TRUE,Inputs!$F$9="TRUE",Inputs!$F$9=1),(((SQRT(((Inputs!$I$9+(((A136)+1)/2)*(Inputs!$J$9-Inputs!$I$9)))^2+Inputs!$C$6^2+((Inputs!$H$9+Inputs!$L$9*(((Inputs!$I$9+(((A136)+1)/2)*(Inputs!$J$9-Inputs!$I$9)))/Inputs!$K$9)^2))^2))-((Inputs!$H$9+Inputs!$L$9*(((Inputs!$I$9+(((A136)+1)/2)*(Inputs!$J$9-Inputs!$I$9)))/Inputs!$K$9)^2)))*1000/Inputs!$C$12),NA())</f>
        <v>36992.945743584089</v>
      </c>
      <c r="L136" s="10"/>
      <c r="M136" s="9">
        <f t="shared" si="13"/>
        <v>0.11700000000000001</v>
      </c>
      <c r="N136" s="9">
        <f>IF(OR(Inputs!$F$6=TRUE,Inputs!$F$6="TRUE",Inputs!$F$6=1),(-2*((1000*((((Inputs!$I$6+(((A136)+1)/2)*(Inputs!$J$6-Inputs!$I$6)))*Inputs!$C$11+((Inputs!$H$6+Inputs!$L$6*(((Inputs!$I$6+(((A136)+1)/2)*(Inputs!$J$6-Inputs!$I$6)))/Inputs!$K$6)^2))*((2*Inputs!$L$6*((Inputs!$I$6+(((A136)+1)/2)*(Inputs!$J$6-Inputs!$I$6)))/(Inputs!$K$6^2)*Inputs!$C$11)))/(SQRT(((Inputs!$I$6+(((A136)+1)/2)*(Inputs!$J$6-Inputs!$I$6)))^2+Inputs!$C$6^2+((Inputs!$H$6+Inputs!$L$6*(((Inputs!$I$6+(((A136)+1)/2)*(Inputs!$J$6-Inputs!$I$6)))/Inputs!$K$6)^2))^2)))))/Inputs!$C$13),NA())</f>
        <v>-52.924785157783582</v>
      </c>
      <c r="O136" s="9">
        <f>IF(OR(Inputs!$F$7=TRUE,Inputs!$F$7="TRUE",Inputs!$F$7=1),(-2*((1000*((((Inputs!$I$7+(((A136)+1)/2)*(Inputs!$J$7-Inputs!$I$7)))*Inputs!$C$11+((Inputs!$H$7+Inputs!$L$7*(((Inputs!$I$7+(((A136)+1)/2)*(Inputs!$J$7-Inputs!$I$7)))/Inputs!$K$7)^2))*((2*Inputs!$L$7*((Inputs!$I$7+(((A136)+1)/2)*(Inputs!$J$7-Inputs!$I$7)))/(Inputs!$K$7^2)*Inputs!$C$11)))/(SQRT(((Inputs!$I$7+(((A136)+1)/2)*(Inputs!$J$7-Inputs!$I$7)))^2+Inputs!$C$6^2+((Inputs!$H$7+Inputs!$L$7*(((Inputs!$I$7+(((A136)+1)/2)*(Inputs!$J$7-Inputs!$I$7)))/Inputs!$K$7)^2))^2)))))/Inputs!$C$13),NA())</f>
        <v>-1332.5937344314798</v>
      </c>
      <c r="P136" s="9">
        <f>IF(OR(Inputs!$F$8=TRUE,Inputs!$F$8="TRUE",Inputs!$F$8=1),(-2*((1000*((((Inputs!$I$8+(((A136)+1)/2)*(Inputs!$J$8-Inputs!$I$8)))*Inputs!$C$11+((Inputs!$H$8+Inputs!$L$8*(((Inputs!$I$8+(((A136)+1)/2)*(Inputs!$J$8-Inputs!$I$8)))/Inputs!$K$8)^2))*((2*Inputs!$L$8*((Inputs!$I$8+(((A136)+1)/2)*(Inputs!$J$8-Inputs!$I$8)))/(Inputs!$K$8^2)*Inputs!$C$11)))/(SQRT(((Inputs!$I$8+(((A136)+1)/2)*(Inputs!$J$8-Inputs!$I$8)))^2+Inputs!$C$6^2+((Inputs!$H$8+Inputs!$L$8*(((Inputs!$I$8+(((A136)+1)/2)*(Inputs!$J$8-Inputs!$I$8)))/Inputs!$K$8)^2))^2)))))/Inputs!$C$13),NA())</f>
        <v>-1585.1313471527565</v>
      </c>
      <c r="Q136" s="9">
        <f>IF(OR(Inputs!$F$9=TRUE,Inputs!$F$9="TRUE",Inputs!$F$9=1),(-2*((1000*((((Inputs!$I$9+(((A136)+1)/2)*(Inputs!$J$9-Inputs!$I$9)))*Inputs!$C$11+((Inputs!$H$9+Inputs!$L$9*(((Inputs!$I$9+(((A136)+1)/2)*(Inputs!$J$9-Inputs!$I$9)))/Inputs!$K$9)^2))*((2*Inputs!$L$9*((Inputs!$I$9+(((A136)+1)/2)*(Inputs!$J$9-Inputs!$I$9)))/(Inputs!$K$9^2)*Inputs!$C$11)))/(SQRT(((Inputs!$I$9+(((A136)+1)/2)*(Inputs!$J$9-Inputs!$I$9)))^2+Inputs!$C$6^2+((Inputs!$H$9+Inputs!$L$9*(((Inputs!$I$9+(((A136)+1)/2)*(Inputs!$J$9-Inputs!$I$9)))/Inputs!$K$9)^2))^2)))))/Inputs!$C$13),NA())</f>
        <v>-1605.248697701722</v>
      </c>
      <c r="R136" s="10"/>
      <c r="S136" s="9">
        <f t="shared" si="14"/>
        <v>0.11700000000000001</v>
      </c>
      <c r="T136" s="9">
        <f>(Inputs!$I$6+(((A136)+1)/2)*(Inputs!$J$6-Inputs!$I$6))</f>
        <v>7.019999999999996</v>
      </c>
      <c r="U136" s="9">
        <f>(Inputs!$I$7+(((A136)+1)/2)*(Inputs!$J$7-Inputs!$I$7))</f>
        <v>46.800000000000011</v>
      </c>
      <c r="V136" s="9">
        <f>(Inputs!$I$8+(((A136)+1)/2)*(Inputs!$J$8-Inputs!$I$8))</f>
        <v>93.600000000000023</v>
      </c>
      <c r="W136" s="9">
        <f>(Inputs!$I$9+(((A136)+1)/2)*(Inputs!$J$9-Inputs!$I$9))</f>
        <v>93.600000000000023</v>
      </c>
      <c r="X136" s="10"/>
      <c r="Y136" s="9">
        <f t="shared" si="15"/>
        <v>0.11700000000000001</v>
      </c>
      <c r="Z136" s="9">
        <f>(Inputs!$H$6+Inputs!$L$6*(((Inputs!$I$6+(((A136)+1)/2)*(Inputs!$J$6-Inputs!$I$6)))/Inputs!$K$6)^2)</f>
        <v>400.054756</v>
      </c>
      <c r="AA136" s="9">
        <f>(Inputs!$H$7+Inputs!$L$7*(((Inputs!$I$7+(((A136)+1)/2)*(Inputs!$J$7-Inputs!$I$7)))/Inputs!$K$7)^2)</f>
        <v>39.996485000000007</v>
      </c>
      <c r="AB136" s="9">
        <f>(Inputs!$H$8+Inputs!$L$8*(((Inputs!$I$8+(((A136)+1)/2)*(Inputs!$J$8-Inputs!$I$8)))/Inputs!$K$8)^2)</f>
        <v>48.209885000000007</v>
      </c>
      <c r="AC136" s="9">
        <f>(Inputs!$H$9+Inputs!$L$9*(((Inputs!$I$9+(((A136)+1)/2)*(Inputs!$J$9-Inputs!$I$9)))/Inputs!$K$9)^2)</f>
        <v>38.346775000000008</v>
      </c>
      <c r="AD136" s="10"/>
      <c r="AE136" s="9">
        <f t="shared" si="16"/>
        <v>0.11700000000000001</v>
      </c>
      <c r="AF136" s="9">
        <f>(((SQRT(((Inputs!$I$6+(((A136)+1)/2)*(Inputs!$J$6-Inputs!$I$6)))^2+Inputs!$C$6^2+((Inputs!$H$6+Inputs!$L$6*(((Inputs!$I$6+(((A136)+1)/2)*(Inputs!$J$6-Inputs!$I$6)))/Inputs!$K$6)^2))^2))-((Inputs!$H$6+Inputs!$L$6*(((Inputs!$I$6+(((A136)+1)/2)*(Inputs!$J$6-Inputs!$I$6)))/Inputs!$K$6)^2)))*1000/Inputs!$C$12)</f>
        <v>472.94908499136989</v>
      </c>
      <c r="AG136" s="9">
        <f>(((SQRT(((Inputs!$I$7+(((A136)+1)/2)*(Inputs!$J$7-Inputs!$I$7)))^2+Inputs!$C$6^2+((Inputs!$H$7+Inputs!$L$7*(((Inputs!$I$7+(((A136)+1)/2)*(Inputs!$J$7-Inputs!$I$7)))/Inputs!$K$7)^2))^2))-((Inputs!$H$7+Inputs!$L$7*(((Inputs!$I$7+(((A136)+1)/2)*(Inputs!$J$7-Inputs!$I$7)))/Inputs!$K$7)^2)))*1000/Inputs!$C$12)</f>
        <v>14858.804171401191</v>
      </c>
      <c r="AH136" s="9">
        <f>(((SQRT(((Inputs!$I$8+(((A136)+1)/2)*(Inputs!$J$8-Inputs!$I$8)))^2+Inputs!$C$6^2+((Inputs!$H$8+Inputs!$L$8*(((Inputs!$I$8+(((A136)+1)/2)*(Inputs!$J$8-Inputs!$I$8)))/Inputs!$K$8)^2))^2))-((Inputs!$H$8+Inputs!$L$8*(((Inputs!$I$8+(((A136)+1)/2)*(Inputs!$J$8-Inputs!$I$8)))/Inputs!$K$8)^2)))*1000/Inputs!$C$12)</f>
        <v>33709.873820149078</v>
      </c>
      <c r="AI136" s="9">
        <f>(((SQRT(((Inputs!$I$9+(((A136)+1)/2)*(Inputs!$J$9-Inputs!$I$9)))^2+Inputs!$C$6^2+((Inputs!$H$9+Inputs!$L$9*(((Inputs!$I$9+(((A136)+1)/2)*(Inputs!$J$9-Inputs!$I$9)))/Inputs!$K$9)^2))^2))-((Inputs!$H$9+Inputs!$L$9*(((Inputs!$I$9+(((A136)+1)/2)*(Inputs!$J$9-Inputs!$I$9)))/Inputs!$K$9)^2)))*1000/Inputs!$C$12)</f>
        <v>36992.945743584089</v>
      </c>
      <c r="AJ136" s="10"/>
      <c r="AK136" s="9">
        <f t="shared" si="17"/>
        <v>0.11700000000000001</v>
      </c>
      <c r="AL136" s="9">
        <f>(-2*((1000*((((Inputs!$I$6+(((A136)+1)/2)*(Inputs!$J$6-Inputs!$I$6)))*Inputs!$C$11+((Inputs!$H$6+Inputs!$L$6*(((Inputs!$I$6+(((A136)+1)/2)*(Inputs!$J$6-Inputs!$I$6)))/Inputs!$K$6)^2))*((2*Inputs!$L$6*((Inputs!$I$6+(((A136)+1)/2)*(Inputs!$J$6-Inputs!$I$6)))/(Inputs!$K$6^2)*Inputs!$C$11)))/(SQRT(((Inputs!$I$6+(((A136)+1)/2)*(Inputs!$J$6-Inputs!$I$6)))^2+Inputs!$C$6^2+((Inputs!$H$6+Inputs!$L$6*(((Inputs!$I$6+(((A136)+1)/2)*(Inputs!$J$6-Inputs!$I$6)))/Inputs!$K$6)^2))^2)))))/Inputs!$C$13)</f>
        <v>-52.924785157783582</v>
      </c>
      <c r="AM136" s="9">
        <f>(-2*((1000*((((Inputs!$I$7+(((A136)+1)/2)*(Inputs!$J$7-Inputs!$I$7)))*Inputs!$C$11+((Inputs!$H$7+Inputs!$L$7*(((Inputs!$I$7+(((A136)+1)/2)*(Inputs!$J$7-Inputs!$I$7)))/Inputs!$K$7)^2))*((2*Inputs!$L$7*((Inputs!$I$7+(((A136)+1)/2)*(Inputs!$J$7-Inputs!$I$7)))/(Inputs!$K$7^2)*Inputs!$C$11)))/(SQRT(((Inputs!$I$7+(((A136)+1)/2)*(Inputs!$J$7-Inputs!$I$7)))^2+Inputs!$C$6^2+((Inputs!$H$7+Inputs!$L$7*(((Inputs!$I$7+(((A136)+1)/2)*(Inputs!$J$7-Inputs!$I$7)))/Inputs!$K$7)^2))^2)))))/Inputs!$C$13)</f>
        <v>-1332.5937344314798</v>
      </c>
      <c r="AN136" s="9">
        <f>(-2*((1000*((((Inputs!$I$8+(((A136)+1)/2)*(Inputs!$J$8-Inputs!$I$8)))*Inputs!$C$11+((Inputs!$H$8+Inputs!$L$8*(((Inputs!$I$8+(((A136)+1)/2)*(Inputs!$J$8-Inputs!$I$8)))/Inputs!$K$8)^2))*((2*Inputs!$L$8*((Inputs!$I$8+(((A136)+1)/2)*(Inputs!$J$8-Inputs!$I$8)))/(Inputs!$K$8^2)*Inputs!$C$11)))/(SQRT(((Inputs!$I$8+(((A136)+1)/2)*(Inputs!$J$8-Inputs!$I$8)))^2+Inputs!$C$6^2+((Inputs!$H$8+Inputs!$L$8*(((Inputs!$I$8+(((A136)+1)/2)*(Inputs!$J$8-Inputs!$I$8)))/Inputs!$K$8)^2))^2)))))/Inputs!$C$13)</f>
        <v>-1585.1313471527565</v>
      </c>
      <c r="AO136" s="9">
        <f>(-2*((1000*((((Inputs!$I$9+(((A136)+1)/2)*(Inputs!$J$9-Inputs!$I$9)))*Inputs!$C$11+((Inputs!$H$9+Inputs!$L$9*(((Inputs!$I$9+(((A136)+1)/2)*(Inputs!$J$9-Inputs!$I$9)))/Inputs!$K$9)^2))*((2*Inputs!$L$9*((Inputs!$I$9+(((A136)+1)/2)*(Inputs!$J$9-Inputs!$I$9)))/(Inputs!$K$9^2)*Inputs!$C$11)))/(SQRT(((Inputs!$I$9+(((A136)+1)/2)*(Inputs!$J$9-Inputs!$I$9)))^2+Inputs!$C$6^2+((Inputs!$H$9+Inputs!$L$9*(((Inputs!$I$9+(((A136)+1)/2)*(Inputs!$J$9-Inputs!$I$9)))/Inputs!$K$9)^2))^2)))))/Inputs!$C$13)</f>
        <v>-1605.248697701722</v>
      </c>
    </row>
    <row r="137" spans="1:41">
      <c r="A137" s="9">
        <f>ROUND(-1+135*2/240,3)</f>
        <v>0.125</v>
      </c>
      <c r="B137" s="9">
        <f>IF(OR(Inputs!$F$6=TRUE,Inputs!$F$6="TRUE",Inputs!$F$6=1),(Inputs!$H$6+Inputs!$L$6*(((Inputs!$I$6+(((A137)+1)/2)*(Inputs!$J$6-Inputs!$I$6)))/Inputs!$K$6)^2),NA())</f>
        <v>400.0625</v>
      </c>
      <c r="C137" s="9">
        <f>IF(OR(Inputs!$F$7=TRUE,Inputs!$F$7="TRUE",Inputs!$F$7=1),(Inputs!$H$7+Inputs!$L$7*(((Inputs!$I$7+(((A137)+1)/2)*(Inputs!$J$7-Inputs!$I$7)))/Inputs!$K$7)^2),NA())</f>
        <v>40.703125</v>
      </c>
      <c r="D137" s="9">
        <f>IF(OR(Inputs!$F$8=TRUE,Inputs!$F$8="TRUE",Inputs!$F$8=1),(Inputs!$H$8+Inputs!$L$8*(((Inputs!$I$8+(((A137)+1)/2)*(Inputs!$J$8-Inputs!$I$8)))/Inputs!$K$8)^2),NA())</f>
        <v>50.078125</v>
      </c>
      <c r="E137" s="9">
        <f>IF(OR(Inputs!$F$9=TRUE,Inputs!$F$9="TRUE",Inputs!$F$9=1),(Inputs!$H$9+Inputs!$L$9*(((Inputs!$I$9+(((A137)+1)/2)*(Inputs!$J$9-Inputs!$I$9)))/Inputs!$K$9)^2),NA())</f>
        <v>40.234375</v>
      </c>
      <c r="F137" s="10"/>
      <c r="G137" s="9">
        <f t="shared" si="12"/>
        <v>0.125</v>
      </c>
      <c r="H137" s="9">
        <f>IF(OR(Inputs!$F$6=TRUE,Inputs!$F$6="TRUE",Inputs!$F$6=1),(((SQRT(((Inputs!$I$6+(((A137)+1)/2)*(Inputs!$J$6-Inputs!$I$6)))^2+Inputs!$C$6^2+((Inputs!$H$6+Inputs!$L$6*(((Inputs!$I$6+(((A137)+1)/2)*(Inputs!$J$6-Inputs!$I$6)))/Inputs!$K$6)^2))^2))-((Inputs!$H$6+Inputs!$L$6*(((Inputs!$I$6+(((A137)+1)/2)*(Inputs!$J$6-Inputs!$I$6)))/Inputs!$K$6)^2)))*1000/Inputs!$C$12),NA())</f>
        <v>477.82323801636795</v>
      </c>
      <c r="I137" s="9">
        <f>IF(OR(Inputs!$F$7=TRUE,Inputs!$F$7="TRUE",Inputs!$F$7=1),(((SQRT(((Inputs!$I$7+(((A137)+1)/2)*(Inputs!$J$7-Inputs!$I$7)))^2+Inputs!$C$6^2+((Inputs!$H$7+Inputs!$L$7*(((Inputs!$I$7+(((A137)+1)/2)*(Inputs!$J$7-Inputs!$I$7)))/Inputs!$K$7)^2))^2))-((Inputs!$H$7+Inputs!$L$7*(((Inputs!$I$7+(((A137)+1)/2)*(Inputs!$J$7-Inputs!$I$7)))/Inputs!$K$7)^2)))*1000/Inputs!$C$12),NA())</f>
        <v>15981.479348918183</v>
      </c>
      <c r="J137" s="9">
        <f>IF(OR(Inputs!$F$8=TRUE,Inputs!$F$8="TRUE",Inputs!$F$8=1),(((SQRT(((Inputs!$I$8+(((A137)+1)/2)*(Inputs!$J$8-Inputs!$I$8)))^2+Inputs!$C$6^2+((Inputs!$H$8+Inputs!$L$8*(((Inputs!$I$8+(((A137)+1)/2)*(Inputs!$J$8-Inputs!$I$8)))/Inputs!$K$8)^2))^2))-((Inputs!$H$8+Inputs!$L$8*(((Inputs!$I$8+(((A137)+1)/2)*(Inputs!$J$8-Inputs!$I$8)))/Inputs!$K$8)^2)))*1000/Inputs!$C$12),NA())</f>
        <v>36247.407571271222</v>
      </c>
      <c r="K137" s="9">
        <f>IF(OR(Inputs!$F$9=TRUE,Inputs!$F$9="TRUE",Inputs!$F$9=1),(((SQRT(((Inputs!$I$9+(((A137)+1)/2)*(Inputs!$J$9-Inputs!$I$9)))^2+Inputs!$C$6^2+((Inputs!$H$9+Inputs!$L$9*(((Inputs!$I$9+(((A137)+1)/2)*(Inputs!$J$9-Inputs!$I$9)))/Inputs!$K$9)^2))^2))-((Inputs!$H$9+Inputs!$L$9*(((Inputs!$I$9+(((A137)+1)/2)*(Inputs!$J$9-Inputs!$I$9)))/Inputs!$K$9)^2)))*1000/Inputs!$C$12),NA())</f>
        <v>39560.310730652614</v>
      </c>
      <c r="L137" s="10"/>
      <c r="M137" s="9">
        <f t="shared" si="13"/>
        <v>0.125</v>
      </c>
      <c r="N137" s="9">
        <f>IF(OR(Inputs!$F$6=TRUE,Inputs!$F$6="TRUE",Inputs!$F$6=1),(-2*((1000*((((Inputs!$I$6+(((A137)+1)/2)*(Inputs!$J$6-Inputs!$I$6)))*Inputs!$C$11+((Inputs!$H$6+Inputs!$L$6*(((Inputs!$I$6+(((A137)+1)/2)*(Inputs!$J$6-Inputs!$I$6)))/Inputs!$K$6)^2))*((2*Inputs!$L$6*((Inputs!$I$6+(((A137)+1)/2)*(Inputs!$J$6-Inputs!$I$6)))/(Inputs!$K$6^2)*Inputs!$C$11)))/(SQRT(((Inputs!$I$6+(((A137)+1)/2)*(Inputs!$J$6-Inputs!$I$6)))^2+Inputs!$C$6^2+((Inputs!$H$6+Inputs!$L$6*(((Inputs!$I$6+(((A137)+1)/2)*(Inputs!$J$6-Inputs!$I$6)))/Inputs!$K$6)^2))^2)))))/Inputs!$C$13),NA())</f>
        <v>-56.541773150849451</v>
      </c>
      <c r="O137" s="9">
        <f>IF(OR(Inputs!$F$7=TRUE,Inputs!$F$7="TRUE",Inputs!$F$7=1),(-2*((1000*((((Inputs!$I$7+(((A137)+1)/2)*(Inputs!$J$7-Inputs!$I$7)))*Inputs!$C$11+((Inputs!$H$7+Inputs!$L$7*(((Inputs!$I$7+(((A137)+1)/2)*(Inputs!$J$7-Inputs!$I$7)))/Inputs!$K$7)^2))*((2*Inputs!$L$7*((Inputs!$I$7+(((A137)+1)/2)*(Inputs!$J$7-Inputs!$I$7)))/(Inputs!$K$7^2)*Inputs!$C$11)))/(SQRT(((Inputs!$I$7+(((A137)+1)/2)*(Inputs!$J$7-Inputs!$I$7)))^2+Inputs!$C$6^2+((Inputs!$H$7+Inputs!$L$7*(((Inputs!$I$7+(((A137)+1)/2)*(Inputs!$J$7-Inputs!$I$7)))/Inputs!$K$7)^2))^2)))))/Inputs!$C$13),NA())</f>
        <v>-1371.7487137817755</v>
      </c>
      <c r="P137" s="9">
        <f>IF(OR(Inputs!$F$8=TRUE,Inputs!$F$8="TRUE",Inputs!$F$8=1),(-2*((1000*((((Inputs!$I$8+(((A137)+1)/2)*(Inputs!$J$8-Inputs!$I$8)))*Inputs!$C$11+((Inputs!$H$8+Inputs!$L$8*(((Inputs!$I$8+(((A137)+1)/2)*(Inputs!$J$8-Inputs!$I$8)))/Inputs!$K$8)^2))*((2*Inputs!$L$8*((Inputs!$I$8+(((A137)+1)/2)*(Inputs!$J$8-Inputs!$I$8)))/(Inputs!$K$8^2)*Inputs!$C$11)))/(SQRT(((Inputs!$I$8+(((A137)+1)/2)*(Inputs!$J$8-Inputs!$I$8)))^2+Inputs!$C$6^2+((Inputs!$H$8+Inputs!$L$8*(((Inputs!$I$8+(((A137)+1)/2)*(Inputs!$J$8-Inputs!$I$8)))/Inputs!$K$8)^2))^2)))))/Inputs!$C$13),NA())</f>
        <v>-1607.0252095439068</v>
      </c>
      <c r="Q137" s="9">
        <f>IF(OR(Inputs!$F$9=TRUE,Inputs!$F$9="TRUE",Inputs!$F$9=1),(-2*((1000*((((Inputs!$I$9+(((A137)+1)/2)*(Inputs!$J$9-Inputs!$I$9)))*Inputs!$C$11+((Inputs!$H$9+Inputs!$L$9*(((Inputs!$I$9+(((A137)+1)/2)*(Inputs!$J$9-Inputs!$I$9)))/Inputs!$K$9)^2))*((2*Inputs!$L$9*((Inputs!$I$9+(((A137)+1)/2)*(Inputs!$J$9-Inputs!$I$9)))/(Inputs!$K$9^2)*Inputs!$C$11)))/(SQRT(((Inputs!$I$9+(((A137)+1)/2)*(Inputs!$J$9-Inputs!$I$9)))^2+Inputs!$C$6^2+((Inputs!$H$9+Inputs!$L$9*(((Inputs!$I$9+(((A137)+1)/2)*(Inputs!$J$9-Inputs!$I$9)))/Inputs!$K$9)^2))^2)))))/Inputs!$C$13),NA())</f>
        <v>-1623.2395182230171</v>
      </c>
      <c r="R137" s="10"/>
      <c r="S137" s="9">
        <f t="shared" si="14"/>
        <v>0.125</v>
      </c>
      <c r="T137" s="9">
        <f>(Inputs!$I$6+(((A137)+1)/2)*(Inputs!$J$6-Inputs!$I$6))</f>
        <v>7.5</v>
      </c>
      <c r="U137" s="9">
        <f>(Inputs!$I$7+(((A137)+1)/2)*(Inputs!$J$7-Inputs!$I$7))</f>
        <v>50</v>
      </c>
      <c r="V137" s="9">
        <f>(Inputs!$I$8+(((A137)+1)/2)*(Inputs!$J$8-Inputs!$I$8))</f>
        <v>100</v>
      </c>
      <c r="W137" s="9">
        <f>(Inputs!$I$9+(((A137)+1)/2)*(Inputs!$J$9-Inputs!$I$9))</f>
        <v>100</v>
      </c>
      <c r="X137" s="10"/>
      <c r="Y137" s="9">
        <f t="shared" si="15"/>
        <v>0.125</v>
      </c>
      <c r="Z137" s="9">
        <f>(Inputs!$H$6+Inputs!$L$6*(((Inputs!$I$6+(((A137)+1)/2)*(Inputs!$J$6-Inputs!$I$6)))/Inputs!$K$6)^2)</f>
        <v>400.0625</v>
      </c>
      <c r="AA137" s="9">
        <f>(Inputs!$H$7+Inputs!$L$7*(((Inputs!$I$7+(((A137)+1)/2)*(Inputs!$J$7-Inputs!$I$7)))/Inputs!$K$7)^2)</f>
        <v>40.703125</v>
      </c>
      <c r="AB137" s="9">
        <f>(Inputs!$H$8+Inputs!$L$8*(((Inputs!$I$8+(((A137)+1)/2)*(Inputs!$J$8-Inputs!$I$8)))/Inputs!$K$8)^2)</f>
        <v>50.078125</v>
      </c>
      <c r="AC137" s="9">
        <f>(Inputs!$H$9+Inputs!$L$9*(((Inputs!$I$9+(((A137)+1)/2)*(Inputs!$J$9-Inputs!$I$9)))/Inputs!$K$9)^2)</f>
        <v>40.234375</v>
      </c>
      <c r="AD137" s="10"/>
      <c r="AE137" s="9">
        <f t="shared" si="16"/>
        <v>0.125</v>
      </c>
      <c r="AF137" s="9">
        <f>(((SQRT(((Inputs!$I$6+(((A137)+1)/2)*(Inputs!$J$6-Inputs!$I$6)))^2+Inputs!$C$6^2+((Inputs!$H$6+Inputs!$L$6*(((Inputs!$I$6+(((A137)+1)/2)*(Inputs!$J$6-Inputs!$I$6)))/Inputs!$K$6)^2))^2))-((Inputs!$H$6+Inputs!$L$6*(((Inputs!$I$6+(((A137)+1)/2)*(Inputs!$J$6-Inputs!$I$6)))/Inputs!$K$6)^2)))*1000/Inputs!$C$12)</f>
        <v>477.82323801636795</v>
      </c>
      <c r="AG137" s="9">
        <f>(((SQRT(((Inputs!$I$7+(((A137)+1)/2)*(Inputs!$J$7-Inputs!$I$7)))^2+Inputs!$C$6^2+((Inputs!$H$7+Inputs!$L$7*(((Inputs!$I$7+(((A137)+1)/2)*(Inputs!$J$7-Inputs!$I$7)))/Inputs!$K$7)^2))^2))-((Inputs!$H$7+Inputs!$L$7*(((Inputs!$I$7+(((A137)+1)/2)*(Inputs!$J$7-Inputs!$I$7)))/Inputs!$K$7)^2)))*1000/Inputs!$C$12)</f>
        <v>15981.479348918183</v>
      </c>
      <c r="AH137" s="9">
        <f>(((SQRT(((Inputs!$I$8+(((A137)+1)/2)*(Inputs!$J$8-Inputs!$I$8)))^2+Inputs!$C$6^2+((Inputs!$H$8+Inputs!$L$8*(((Inputs!$I$8+(((A137)+1)/2)*(Inputs!$J$8-Inputs!$I$8)))/Inputs!$K$8)^2))^2))-((Inputs!$H$8+Inputs!$L$8*(((Inputs!$I$8+(((A137)+1)/2)*(Inputs!$J$8-Inputs!$I$8)))/Inputs!$K$8)^2)))*1000/Inputs!$C$12)</f>
        <v>36247.407571271222</v>
      </c>
      <c r="AI137" s="9">
        <f>(((SQRT(((Inputs!$I$9+(((A137)+1)/2)*(Inputs!$J$9-Inputs!$I$9)))^2+Inputs!$C$6^2+((Inputs!$H$9+Inputs!$L$9*(((Inputs!$I$9+(((A137)+1)/2)*(Inputs!$J$9-Inputs!$I$9)))/Inputs!$K$9)^2))^2))-((Inputs!$H$9+Inputs!$L$9*(((Inputs!$I$9+(((A137)+1)/2)*(Inputs!$J$9-Inputs!$I$9)))/Inputs!$K$9)^2)))*1000/Inputs!$C$12)</f>
        <v>39560.310730652614</v>
      </c>
      <c r="AJ137" s="10"/>
      <c r="AK137" s="9">
        <f t="shared" si="17"/>
        <v>0.125</v>
      </c>
      <c r="AL137" s="9">
        <f>(-2*((1000*((((Inputs!$I$6+(((A137)+1)/2)*(Inputs!$J$6-Inputs!$I$6)))*Inputs!$C$11+((Inputs!$H$6+Inputs!$L$6*(((Inputs!$I$6+(((A137)+1)/2)*(Inputs!$J$6-Inputs!$I$6)))/Inputs!$K$6)^2))*((2*Inputs!$L$6*((Inputs!$I$6+(((A137)+1)/2)*(Inputs!$J$6-Inputs!$I$6)))/(Inputs!$K$6^2)*Inputs!$C$11)))/(SQRT(((Inputs!$I$6+(((A137)+1)/2)*(Inputs!$J$6-Inputs!$I$6)))^2+Inputs!$C$6^2+((Inputs!$H$6+Inputs!$L$6*(((Inputs!$I$6+(((A137)+1)/2)*(Inputs!$J$6-Inputs!$I$6)))/Inputs!$K$6)^2))^2)))))/Inputs!$C$13)</f>
        <v>-56.541773150849451</v>
      </c>
      <c r="AM137" s="9">
        <f>(-2*((1000*((((Inputs!$I$7+(((A137)+1)/2)*(Inputs!$J$7-Inputs!$I$7)))*Inputs!$C$11+((Inputs!$H$7+Inputs!$L$7*(((Inputs!$I$7+(((A137)+1)/2)*(Inputs!$J$7-Inputs!$I$7)))/Inputs!$K$7)^2))*((2*Inputs!$L$7*((Inputs!$I$7+(((A137)+1)/2)*(Inputs!$J$7-Inputs!$I$7)))/(Inputs!$K$7^2)*Inputs!$C$11)))/(SQRT(((Inputs!$I$7+(((A137)+1)/2)*(Inputs!$J$7-Inputs!$I$7)))^2+Inputs!$C$6^2+((Inputs!$H$7+Inputs!$L$7*(((Inputs!$I$7+(((A137)+1)/2)*(Inputs!$J$7-Inputs!$I$7)))/Inputs!$K$7)^2))^2)))))/Inputs!$C$13)</f>
        <v>-1371.7487137817755</v>
      </c>
      <c r="AN137" s="9">
        <f>(-2*((1000*((((Inputs!$I$8+(((A137)+1)/2)*(Inputs!$J$8-Inputs!$I$8)))*Inputs!$C$11+((Inputs!$H$8+Inputs!$L$8*(((Inputs!$I$8+(((A137)+1)/2)*(Inputs!$J$8-Inputs!$I$8)))/Inputs!$K$8)^2))*((2*Inputs!$L$8*((Inputs!$I$8+(((A137)+1)/2)*(Inputs!$J$8-Inputs!$I$8)))/(Inputs!$K$8^2)*Inputs!$C$11)))/(SQRT(((Inputs!$I$8+(((A137)+1)/2)*(Inputs!$J$8-Inputs!$I$8)))^2+Inputs!$C$6^2+((Inputs!$H$8+Inputs!$L$8*(((Inputs!$I$8+(((A137)+1)/2)*(Inputs!$J$8-Inputs!$I$8)))/Inputs!$K$8)^2))^2)))))/Inputs!$C$13)</f>
        <v>-1607.0252095439068</v>
      </c>
      <c r="AO137" s="9">
        <f>(-2*((1000*((((Inputs!$I$9+(((A137)+1)/2)*(Inputs!$J$9-Inputs!$I$9)))*Inputs!$C$11+((Inputs!$H$9+Inputs!$L$9*(((Inputs!$I$9+(((A137)+1)/2)*(Inputs!$J$9-Inputs!$I$9)))/Inputs!$K$9)^2))*((2*Inputs!$L$9*((Inputs!$I$9+(((A137)+1)/2)*(Inputs!$J$9-Inputs!$I$9)))/(Inputs!$K$9^2)*Inputs!$C$11)))/(SQRT(((Inputs!$I$9+(((A137)+1)/2)*(Inputs!$J$9-Inputs!$I$9)))^2+Inputs!$C$6^2+((Inputs!$H$9+Inputs!$L$9*(((Inputs!$I$9+(((A137)+1)/2)*(Inputs!$J$9-Inputs!$I$9)))/Inputs!$K$9)^2))^2)))))/Inputs!$C$13)</f>
        <v>-1623.2395182230171</v>
      </c>
    </row>
    <row r="138" spans="1:41">
      <c r="A138" s="9">
        <f>ROUND(-1+136*2/240,3)</f>
        <v>0.13300000000000001</v>
      </c>
      <c r="B138" s="9">
        <f>IF(OR(Inputs!$F$6=TRUE,Inputs!$F$6="TRUE",Inputs!$F$6=1),(Inputs!$H$6+Inputs!$L$6*(((Inputs!$I$6+(((A138)+1)/2)*(Inputs!$J$6-Inputs!$I$6)))/Inputs!$K$6)^2),NA())</f>
        <v>400.07075600000002</v>
      </c>
      <c r="C138" s="9">
        <f>IF(OR(Inputs!$F$7=TRUE,Inputs!$F$7="TRUE",Inputs!$F$7=1),(Inputs!$H$7+Inputs!$L$7*(((Inputs!$I$7+(((A138)+1)/2)*(Inputs!$J$7-Inputs!$I$7)))/Inputs!$K$7)^2),NA())</f>
        <v>41.456485000000001</v>
      </c>
      <c r="D138" s="9">
        <f>IF(OR(Inputs!$F$8=TRUE,Inputs!$F$8="TRUE",Inputs!$F$8=1),(Inputs!$H$8+Inputs!$L$8*(((Inputs!$I$8+(((A138)+1)/2)*(Inputs!$J$8-Inputs!$I$8)))/Inputs!$K$8)^2),NA())</f>
        <v>52.069884999999992</v>
      </c>
      <c r="E138" s="9">
        <f>IF(OR(Inputs!$F$9=TRUE,Inputs!$F$9="TRUE",Inputs!$F$9=1),(Inputs!$H$9+Inputs!$L$9*(((Inputs!$I$9+(((A138)+1)/2)*(Inputs!$J$9-Inputs!$I$9)))/Inputs!$K$9)^2),NA())</f>
        <v>42.246774999999992</v>
      </c>
      <c r="F138" s="10"/>
      <c r="G138" s="9">
        <f t="shared" si="12"/>
        <v>0.13300000000000001</v>
      </c>
      <c r="H138" s="9">
        <f>IF(OR(Inputs!$F$6=TRUE,Inputs!$F$6="TRUE",Inputs!$F$6=1),(((SQRT(((Inputs!$I$6+(((A138)+1)/2)*(Inputs!$J$6-Inputs!$I$6)))^2+Inputs!$C$6^2+((Inputs!$H$6+Inputs!$L$6*(((Inputs!$I$6+(((A138)+1)/2)*(Inputs!$J$6-Inputs!$I$6)))/Inputs!$K$6)^2))^2))-((Inputs!$H$6+Inputs!$L$6*(((Inputs!$I$6+(((A138)+1)/2)*(Inputs!$J$6-Inputs!$I$6)))/Inputs!$K$6)^2)))*1000/Inputs!$C$12),NA())</f>
        <v>483.01932555279075</v>
      </c>
      <c r="I138" s="9">
        <f>IF(OR(Inputs!$F$7=TRUE,Inputs!$F$7="TRUE",Inputs!$F$7=1),(((SQRT(((Inputs!$I$7+(((A138)+1)/2)*(Inputs!$J$7-Inputs!$I$7)))^2+Inputs!$C$6^2+((Inputs!$H$7+Inputs!$L$7*(((Inputs!$I$7+(((A138)+1)/2)*(Inputs!$J$7-Inputs!$I$7)))/Inputs!$K$7)^2))^2))-((Inputs!$H$7+Inputs!$L$7*(((Inputs!$I$7+(((A138)+1)/2)*(Inputs!$J$7-Inputs!$I$7)))/Inputs!$K$7)^2)))*1000/Inputs!$C$12),NA())</f>
        <v>17119.777484814567</v>
      </c>
      <c r="J138" s="9">
        <f>IF(OR(Inputs!$F$8=TRUE,Inputs!$F$8="TRUE",Inputs!$F$8=1),(((SQRT(((Inputs!$I$8+(((A138)+1)/2)*(Inputs!$J$8-Inputs!$I$8)))^2+Inputs!$C$6^2+((Inputs!$H$8+Inputs!$L$8*(((Inputs!$I$8+(((A138)+1)/2)*(Inputs!$J$8-Inputs!$I$8)))/Inputs!$K$8)^2))^2))-((Inputs!$H$8+Inputs!$L$8*(((Inputs!$I$8+(((A138)+1)/2)*(Inputs!$J$8-Inputs!$I$8)))/Inputs!$K$8)^2)))*1000/Inputs!$C$12),NA())</f>
        <v>38762.45764908813</v>
      </c>
      <c r="K138" s="9">
        <f>IF(OR(Inputs!$F$9=TRUE,Inputs!$F$9="TRUE",Inputs!$F$9=1),(((SQRT(((Inputs!$I$9+(((A138)+1)/2)*(Inputs!$J$9-Inputs!$I$9)))^2+Inputs!$C$6^2+((Inputs!$H$9+Inputs!$L$9*(((Inputs!$I$9+(((A138)+1)/2)*(Inputs!$J$9-Inputs!$I$9)))/Inputs!$K$9)^2))^2))-((Inputs!$H$9+Inputs!$L$9*(((Inputs!$I$9+(((A138)+1)/2)*(Inputs!$J$9-Inputs!$I$9)))/Inputs!$K$9)^2)))*1000/Inputs!$C$12),NA())</f>
        <v>42096.352787587908</v>
      </c>
      <c r="L138" s="10"/>
      <c r="M138" s="9">
        <f t="shared" si="13"/>
        <v>0.13300000000000001</v>
      </c>
      <c r="N138" s="9">
        <f>IF(OR(Inputs!$F$6=TRUE,Inputs!$F$6="TRUE",Inputs!$F$6=1),(-2*((1000*((((Inputs!$I$6+(((A138)+1)/2)*(Inputs!$J$6-Inputs!$I$6)))*Inputs!$C$11+((Inputs!$H$6+Inputs!$L$6*(((Inputs!$I$6+(((A138)+1)/2)*(Inputs!$J$6-Inputs!$I$6)))/Inputs!$K$6)^2))*((2*Inputs!$L$6*((Inputs!$I$6+(((A138)+1)/2)*(Inputs!$J$6-Inputs!$I$6)))/(Inputs!$K$6^2)*Inputs!$C$11)))/(SQRT(((Inputs!$I$6+(((A138)+1)/2)*(Inputs!$J$6-Inputs!$I$6)))^2+Inputs!$C$6^2+((Inputs!$H$6+Inputs!$L$6*(((Inputs!$I$6+(((A138)+1)/2)*(Inputs!$J$6-Inputs!$I$6)))/Inputs!$K$6)^2))^2)))))/Inputs!$C$13),NA())</f>
        <v>-60.15840423245983</v>
      </c>
      <c r="O138" s="9">
        <f>IF(OR(Inputs!$F$7=TRUE,Inputs!$F$7="TRUE",Inputs!$F$7=1),(-2*((1000*((((Inputs!$I$7+(((A138)+1)/2)*(Inputs!$J$7-Inputs!$I$7)))*Inputs!$C$11+((Inputs!$H$7+Inputs!$L$7*(((Inputs!$I$7+(((A138)+1)/2)*(Inputs!$J$7-Inputs!$I$7)))/Inputs!$K$7)^2))*((2*Inputs!$L$7*((Inputs!$I$7+(((A138)+1)/2)*(Inputs!$J$7-Inputs!$I$7)))/(Inputs!$K$7^2)*Inputs!$C$11)))/(SQRT(((Inputs!$I$7+(((A138)+1)/2)*(Inputs!$J$7-Inputs!$I$7)))^2+Inputs!$C$6^2+((Inputs!$H$7+Inputs!$L$7*(((Inputs!$I$7+(((A138)+1)/2)*(Inputs!$J$7-Inputs!$I$7)))/Inputs!$K$7)^2))^2)))))/Inputs!$C$13),NA())</f>
        <v>-1407.2080948799503</v>
      </c>
      <c r="P138" s="9">
        <f>IF(OR(Inputs!$F$8=TRUE,Inputs!$F$8="TRUE",Inputs!$F$8=1),(-2*((1000*((((Inputs!$I$8+(((A138)+1)/2)*(Inputs!$J$8-Inputs!$I$8)))*Inputs!$C$11+((Inputs!$H$8+Inputs!$L$8*(((Inputs!$I$8+(((A138)+1)/2)*(Inputs!$J$8-Inputs!$I$8)))/Inputs!$K$8)^2))*((2*Inputs!$L$8*((Inputs!$I$8+(((A138)+1)/2)*(Inputs!$J$8-Inputs!$I$8)))/(Inputs!$K$8^2)*Inputs!$C$11)))/(SQRT(((Inputs!$I$8+(((A138)+1)/2)*(Inputs!$J$8-Inputs!$I$8)))^2+Inputs!$C$6^2+((Inputs!$H$8+Inputs!$L$8*(((Inputs!$I$8+(((A138)+1)/2)*(Inputs!$J$8-Inputs!$I$8)))/Inputs!$K$8)^2))^2)))))/Inputs!$C$13),NA())</f>
        <v>-1626.9630912575853</v>
      </c>
      <c r="Q138" s="9">
        <f>IF(OR(Inputs!$F$9=TRUE,Inputs!$F$9="TRUE",Inputs!$F$9=1),(-2*((1000*((((Inputs!$I$9+(((A138)+1)/2)*(Inputs!$J$9-Inputs!$I$9)))*Inputs!$C$11+((Inputs!$H$9+Inputs!$L$9*(((Inputs!$I$9+(((A138)+1)/2)*(Inputs!$J$9-Inputs!$I$9)))/Inputs!$K$9)^2))*((2*Inputs!$L$9*((Inputs!$I$9+(((A138)+1)/2)*(Inputs!$J$9-Inputs!$I$9)))/(Inputs!$K$9^2)*Inputs!$C$11)))/(SQRT(((Inputs!$I$9+(((A138)+1)/2)*(Inputs!$J$9-Inputs!$I$9)))^2+Inputs!$C$6^2+((Inputs!$H$9+Inputs!$L$9*(((Inputs!$I$9+(((A138)+1)/2)*(Inputs!$J$9-Inputs!$I$9)))/Inputs!$K$9)^2))^2)))))/Inputs!$C$13),NA())</f>
        <v>-1639.8380086774882</v>
      </c>
      <c r="R138" s="10"/>
      <c r="S138" s="9">
        <f t="shared" si="14"/>
        <v>0.13300000000000001</v>
      </c>
      <c r="T138" s="9">
        <f>(Inputs!$I$6+(((A138)+1)/2)*(Inputs!$J$6-Inputs!$I$6))</f>
        <v>7.980000000000004</v>
      </c>
      <c r="U138" s="9">
        <f>(Inputs!$I$7+(((A138)+1)/2)*(Inputs!$J$7-Inputs!$I$7))</f>
        <v>53.199999999999989</v>
      </c>
      <c r="V138" s="9">
        <f>(Inputs!$I$8+(((A138)+1)/2)*(Inputs!$J$8-Inputs!$I$8))</f>
        <v>106.39999999999998</v>
      </c>
      <c r="W138" s="9">
        <f>(Inputs!$I$9+(((A138)+1)/2)*(Inputs!$J$9-Inputs!$I$9))</f>
        <v>106.39999999999998</v>
      </c>
      <c r="X138" s="10"/>
      <c r="Y138" s="9">
        <f t="shared" si="15"/>
        <v>0.13300000000000001</v>
      </c>
      <c r="Z138" s="9">
        <f>(Inputs!$H$6+Inputs!$L$6*(((Inputs!$I$6+(((A138)+1)/2)*(Inputs!$J$6-Inputs!$I$6)))/Inputs!$K$6)^2)</f>
        <v>400.07075600000002</v>
      </c>
      <c r="AA138" s="9">
        <f>(Inputs!$H$7+Inputs!$L$7*(((Inputs!$I$7+(((A138)+1)/2)*(Inputs!$J$7-Inputs!$I$7)))/Inputs!$K$7)^2)</f>
        <v>41.456485000000001</v>
      </c>
      <c r="AB138" s="9">
        <f>(Inputs!$H$8+Inputs!$L$8*(((Inputs!$I$8+(((A138)+1)/2)*(Inputs!$J$8-Inputs!$I$8)))/Inputs!$K$8)^2)</f>
        <v>52.069884999999992</v>
      </c>
      <c r="AC138" s="9">
        <f>(Inputs!$H$9+Inputs!$L$9*(((Inputs!$I$9+(((A138)+1)/2)*(Inputs!$J$9-Inputs!$I$9)))/Inputs!$K$9)^2)</f>
        <v>42.246774999999992</v>
      </c>
      <c r="AD138" s="10"/>
      <c r="AE138" s="9">
        <f t="shared" si="16"/>
        <v>0.13300000000000001</v>
      </c>
      <c r="AF138" s="9">
        <f>(((SQRT(((Inputs!$I$6+(((A138)+1)/2)*(Inputs!$J$6-Inputs!$I$6)))^2+Inputs!$C$6^2+((Inputs!$H$6+Inputs!$L$6*(((Inputs!$I$6+(((A138)+1)/2)*(Inputs!$J$6-Inputs!$I$6)))/Inputs!$K$6)^2))^2))-((Inputs!$H$6+Inputs!$L$6*(((Inputs!$I$6+(((A138)+1)/2)*(Inputs!$J$6-Inputs!$I$6)))/Inputs!$K$6)^2)))*1000/Inputs!$C$12)</f>
        <v>483.01932555279075</v>
      </c>
      <c r="AG138" s="9">
        <f>(((SQRT(((Inputs!$I$7+(((A138)+1)/2)*(Inputs!$J$7-Inputs!$I$7)))^2+Inputs!$C$6^2+((Inputs!$H$7+Inputs!$L$7*(((Inputs!$I$7+(((A138)+1)/2)*(Inputs!$J$7-Inputs!$I$7)))/Inputs!$K$7)^2))^2))-((Inputs!$H$7+Inputs!$L$7*(((Inputs!$I$7+(((A138)+1)/2)*(Inputs!$J$7-Inputs!$I$7)))/Inputs!$K$7)^2)))*1000/Inputs!$C$12)</f>
        <v>17119.777484814567</v>
      </c>
      <c r="AH138" s="9">
        <f>(((SQRT(((Inputs!$I$8+(((A138)+1)/2)*(Inputs!$J$8-Inputs!$I$8)))^2+Inputs!$C$6^2+((Inputs!$H$8+Inputs!$L$8*(((Inputs!$I$8+(((A138)+1)/2)*(Inputs!$J$8-Inputs!$I$8)))/Inputs!$K$8)^2))^2))-((Inputs!$H$8+Inputs!$L$8*(((Inputs!$I$8+(((A138)+1)/2)*(Inputs!$J$8-Inputs!$I$8)))/Inputs!$K$8)^2)))*1000/Inputs!$C$12)</f>
        <v>38762.45764908813</v>
      </c>
      <c r="AI138" s="9">
        <f>(((SQRT(((Inputs!$I$9+(((A138)+1)/2)*(Inputs!$J$9-Inputs!$I$9)))^2+Inputs!$C$6^2+((Inputs!$H$9+Inputs!$L$9*(((Inputs!$I$9+(((A138)+1)/2)*(Inputs!$J$9-Inputs!$I$9)))/Inputs!$K$9)^2))^2))-((Inputs!$H$9+Inputs!$L$9*(((Inputs!$I$9+(((A138)+1)/2)*(Inputs!$J$9-Inputs!$I$9)))/Inputs!$K$9)^2)))*1000/Inputs!$C$12)</f>
        <v>42096.352787587908</v>
      </c>
      <c r="AJ138" s="10"/>
      <c r="AK138" s="9">
        <f t="shared" si="17"/>
        <v>0.13300000000000001</v>
      </c>
      <c r="AL138" s="9">
        <f>(-2*((1000*((((Inputs!$I$6+(((A138)+1)/2)*(Inputs!$J$6-Inputs!$I$6)))*Inputs!$C$11+((Inputs!$H$6+Inputs!$L$6*(((Inputs!$I$6+(((A138)+1)/2)*(Inputs!$J$6-Inputs!$I$6)))/Inputs!$K$6)^2))*((2*Inputs!$L$6*((Inputs!$I$6+(((A138)+1)/2)*(Inputs!$J$6-Inputs!$I$6)))/(Inputs!$K$6^2)*Inputs!$C$11)))/(SQRT(((Inputs!$I$6+(((A138)+1)/2)*(Inputs!$J$6-Inputs!$I$6)))^2+Inputs!$C$6^2+((Inputs!$H$6+Inputs!$L$6*(((Inputs!$I$6+(((A138)+1)/2)*(Inputs!$J$6-Inputs!$I$6)))/Inputs!$K$6)^2))^2)))))/Inputs!$C$13)</f>
        <v>-60.15840423245983</v>
      </c>
      <c r="AM138" s="9">
        <f>(-2*((1000*((((Inputs!$I$7+(((A138)+1)/2)*(Inputs!$J$7-Inputs!$I$7)))*Inputs!$C$11+((Inputs!$H$7+Inputs!$L$7*(((Inputs!$I$7+(((A138)+1)/2)*(Inputs!$J$7-Inputs!$I$7)))/Inputs!$K$7)^2))*((2*Inputs!$L$7*((Inputs!$I$7+(((A138)+1)/2)*(Inputs!$J$7-Inputs!$I$7)))/(Inputs!$K$7^2)*Inputs!$C$11)))/(SQRT(((Inputs!$I$7+(((A138)+1)/2)*(Inputs!$J$7-Inputs!$I$7)))^2+Inputs!$C$6^2+((Inputs!$H$7+Inputs!$L$7*(((Inputs!$I$7+(((A138)+1)/2)*(Inputs!$J$7-Inputs!$I$7)))/Inputs!$K$7)^2))^2)))))/Inputs!$C$13)</f>
        <v>-1407.2080948799503</v>
      </c>
      <c r="AN138" s="9">
        <f>(-2*((1000*((((Inputs!$I$8+(((A138)+1)/2)*(Inputs!$J$8-Inputs!$I$8)))*Inputs!$C$11+((Inputs!$H$8+Inputs!$L$8*(((Inputs!$I$8+(((A138)+1)/2)*(Inputs!$J$8-Inputs!$I$8)))/Inputs!$K$8)^2))*((2*Inputs!$L$8*((Inputs!$I$8+(((A138)+1)/2)*(Inputs!$J$8-Inputs!$I$8)))/(Inputs!$K$8^2)*Inputs!$C$11)))/(SQRT(((Inputs!$I$8+(((A138)+1)/2)*(Inputs!$J$8-Inputs!$I$8)))^2+Inputs!$C$6^2+((Inputs!$H$8+Inputs!$L$8*(((Inputs!$I$8+(((A138)+1)/2)*(Inputs!$J$8-Inputs!$I$8)))/Inputs!$K$8)^2))^2)))))/Inputs!$C$13)</f>
        <v>-1626.9630912575853</v>
      </c>
      <c r="AO138" s="9">
        <f>(-2*((1000*((((Inputs!$I$9+(((A138)+1)/2)*(Inputs!$J$9-Inputs!$I$9)))*Inputs!$C$11+((Inputs!$H$9+Inputs!$L$9*(((Inputs!$I$9+(((A138)+1)/2)*(Inputs!$J$9-Inputs!$I$9)))/Inputs!$K$9)^2))*((2*Inputs!$L$9*((Inputs!$I$9+(((A138)+1)/2)*(Inputs!$J$9-Inputs!$I$9)))/(Inputs!$K$9^2)*Inputs!$C$11)))/(SQRT(((Inputs!$I$9+(((A138)+1)/2)*(Inputs!$J$9-Inputs!$I$9)))^2+Inputs!$C$6^2+((Inputs!$H$9+Inputs!$L$9*(((Inputs!$I$9+(((A138)+1)/2)*(Inputs!$J$9-Inputs!$I$9)))/Inputs!$K$9)^2))^2)))))/Inputs!$C$13)</f>
        <v>-1639.8380086774882</v>
      </c>
    </row>
    <row r="139" spans="1:41">
      <c r="A139" s="9">
        <f>ROUND(-1+137*2/240,3)</f>
        <v>0.14199999999999999</v>
      </c>
      <c r="B139" s="9">
        <f>IF(OR(Inputs!$F$6=TRUE,Inputs!$F$6="TRUE",Inputs!$F$6=1),(Inputs!$H$6+Inputs!$L$6*(((Inputs!$I$6+(((A139)+1)/2)*(Inputs!$J$6-Inputs!$I$6)))/Inputs!$K$6)^2),NA())</f>
        <v>400.08065599999998</v>
      </c>
      <c r="C139" s="9">
        <f>IF(OR(Inputs!$F$7=TRUE,Inputs!$F$7="TRUE",Inputs!$F$7=1),(Inputs!$H$7+Inputs!$L$7*(((Inputs!$I$7+(((A139)+1)/2)*(Inputs!$J$7-Inputs!$I$7)))/Inputs!$K$7)^2),NA())</f>
        <v>42.359859999999983</v>
      </c>
      <c r="D139" s="9">
        <f>IF(OR(Inputs!$F$8=TRUE,Inputs!$F$8="TRUE",Inputs!$F$8=1),(Inputs!$H$8+Inputs!$L$8*(((Inputs!$I$8+(((A139)+1)/2)*(Inputs!$J$8-Inputs!$I$8)))/Inputs!$K$8)^2),NA())</f>
        <v>54.458259999999967</v>
      </c>
      <c r="E139" s="9">
        <f>IF(OR(Inputs!$F$9=TRUE,Inputs!$F$9="TRUE",Inputs!$F$9=1),(Inputs!$H$9+Inputs!$L$9*(((Inputs!$I$9+(((A139)+1)/2)*(Inputs!$J$9-Inputs!$I$9)))/Inputs!$K$9)^2),NA())</f>
        <v>44.659899999999965</v>
      </c>
      <c r="F139" s="10"/>
      <c r="G139" s="9">
        <f t="shared" si="12"/>
        <v>0.14199999999999999</v>
      </c>
      <c r="H139" s="9">
        <f>IF(OR(Inputs!$F$6=TRUE,Inputs!$F$6="TRUE",Inputs!$F$6=1),(((SQRT(((Inputs!$I$6+(((A139)+1)/2)*(Inputs!$J$6-Inputs!$I$6)))^2+Inputs!$C$6^2+((Inputs!$H$6+Inputs!$L$6*(((Inputs!$I$6+(((A139)+1)/2)*(Inputs!$J$6-Inputs!$I$6)))/Inputs!$K$6)^2))^2))-((Inputs!$H$6+Inputs!$L$6*(((Inputs!$I$6+(((A139)+1)/2)*(Inputs!$J$6-Inputs!$I$6)))/Inputs!$K$6)^2)))*1000/Inputs!$C$12),NA())</f>
        <v>489.24965894113654</v>
      </c>
      <c r="I139" s="9">
        <f>IF(OR(Inputs!$F$7=TRUE,Inputs!$F$7="TRUE",Inputs!$F$7=1),(((SQRT(((Inputs!$I$7+(((A139)+1)/2)*(Inputs!$J$7-Inputs!$I$7)))^2+Inputs!$C$6^2+((Inputs!$H$7+Inputs!$L$7*(((Inputs!$I$7+(((A139)+1)/2)*(Inputs!$J$7-Inputs!$I$7)))/Inputs!$K$7)^2))^2))-((Inputs!$H$7+Inputs!$L$7*(((Inputs!$I$7+(((A139)+1)/2)*(Inputs!$J$7-Inputs!$I$7)))/Inputs!$K$7)^2)))*1000/Inputs!$C$12),NA())</f>
        <v>18414.231900224917</v>
      </c>
      <c r="J139" s="9">
        <f>IF(OR(Inputs!$F$8=TRUE,Inputs!$F$8="TRUE",Inputs!$F$8=1),(((SQRT(((Inputs!$I$8+(((A139)+1)/2)*(Inputs!$J$8-Inputs!$I$8)))^2+Inputs!$C$6^2+((Inputs!$H$8+Inputs!$L$8*(((Inputs!$I$8+(((A139)+1)/2)*(Inputs!$J$8-Inputs!$I$8)))/Inputs!$K$8)^2))^2))-((Inputs!$H$8+Inputs!$L$8*(((Inputs!$I$8+(((A139)+1)/2)*(Inputs!$J$8-Inputs!$I$8)))/Inputs!$K$8)^2)))*1000/Inputs!$C$12),NA())</f>
        <v>41560.213120602151</v>
      </c>
      <c r="K139" s="9">
        <f>IF(OR(Inputs!$F$9=TRUE,Inputs!$F$9="TRUE",Inputs!$F$9=1),(((SQRT(((Inputs!$I$9+(((A139)+1)/2)*(Inputs!$J$9-Inputs!$I$9)))^2+Inputs!$C$6^2+((Inputs!$H$9+Inputs!$L$9*(((Inputs!$I$9+(((A139)+1)/2)*(Inputs!$J$9-Inputs!$I$9)))/Inputs!$K$9)^2))^2))-((Inputs!$H$9+Inputs!$L$9*(((Inputs!$I$9+(((A139)+1)/2)*(Inputs!$J$9-Inputs!$I$9)))/Inputs!$K$9)^2)))*1000/Inputs!$C$12),NA())</f>
        <v>44908.605470694994</v>
      </c>
      <c r="L139" s="10"/>
      <c r="M139" s="9">
        <f t="shared" si="13"/>
        <v>0.14199999999999999</v>
      </c>
      <c r="N139" s="9">
        <f>IF(OR(Inputs!$F$6=TRUE,Inputs!$F$6="TRUE",Inputs!$F$6=1),(-2*((1000*((((Inputs!$I$6+(((A139)+1)/2)*(Inputs!$J$6-Inputs!$I$6)))*Inputs!$C$11+((Inputs!$H$6+Inputs!$L$6*(((Inputs!$I$6+(((A139)+1)/2)*(Inputs!$J$6-Inputs!$I$6)))/Inputs!$K$6)^2))*((2*Inputs!$L$6*((Inputs!$I$6+(((A139)+1)/2)*(Inputs!$J$6-Inputs!$I$6)))/(Inputs!$K$6^2)*Inputs!$C$11)))/(SQRT(((Inputs!$I$6+(((A139)+1)/2)*(Inputs!$J$6-Inputs!$I$6)))^2+Inputs!$C$6^2+((Inputs!$H$6+Inputs!$L$6*(((Inputs!$I$6+(((A139)+1)/2)*(Inputs!$J$6-Inputs!$I$6)))/Inputs!$K$6)^2))^2)))))/Inputs!$C$13),NA())</f>
        <v>-64.226659240975124</v>
      </c>
      <c r="O139" s="9">
        <f>IF(OR(Inputs!$F$7=TRUE,Inputs!$F$7="TRUE",Inputs!$F$7=1),(-2*((1000*((((Inputs!$I$7+(((A139)+1)/2)*(Inputs!$J$7-Inputs!$I$7)))*Inputs!$C$11+((Inputs!$H$7+Inputs!$L$7*(((Inputs!$I$7+(((A139)+1)/2)*(Inputs!$J$7-Inputs!$I$7)))/Inputs!$K$7)^2))*((2*Inputs!$L$7*((Inputs!$I$7+(((A139)+1)/2)*(Inputs!$J$7-Inputs!$I$7)))/(Inputs!$K$7^2)*Inputs!$C$11)))/(SQRT(((Inputs!$I$7+(((A139)+1)/2)*(Inputs!$J$7-Inputs!$I$7)))^2+Inputs!$C$6^2+((Inputs!$H$7+Inputs!$L$7*(((Inputs!$I$7+(((A139)+1)/2)*(Inputs!$J$7-Inputs!$I$7)))/Inputs!$K$7)^2))^2)))))/Inputs!$C$13),NA())</f>
        <v>-1443.2811279555972</v>
      </c>
      <c r="P139" s="9">
        <f>IF(OR(Inputs!$F$8=TRUE,Inputs!$F$8="TRUE",Inputs!$F$8=1),(-2*((1000*((((Inputs!$I$8+(((A139)+1)/2)*(Inputs!$J$8-Inputs!$I$8)))*Inputs!$C$11+((Inputs!$H$8+Inputs!$L$8*(((Inputs!$I$8+(((A139)+1)/2)*(Inputs!$J$8-Inputs!$I$8)))/Inputs!$K$8)^2))*((2*Inputs!$L$8*((Inputs!$I$8+(((A139)+1)/2)*(Inputs!$J$8-Inputs!$I$8)))/(Inputs!$K$8^2)*Inputs!$C$11)))/(SQRT(((Inputs!$I$8+(((A139)+1)/2)*(Inputs!$J$8-Inputs!$I$8)))^2+Inputs!$C$6^2+((Inputs!$H$8+Inputs!$L$8*(((Inputs!$I$8+(((A139)+1)/2)*(Inputs!$J$8-Inputs!$I$8)))/Inputs!$K$8)^2))^2)))))/Inputs!$C$13),NA())</f>
        <v>-1647.5955743557984</v>
      </c>
      <c r="Q139" s="9">
        <f>IF(OR(Inputs!$F$9=TRUE,Inputs!$F$9="TRUE",Inputs!$F$9=1),(-2*((1000*((((Inputs!$I$9+(((A139)+1)/2)*(Inputs!$J$9-Inputs!$I$9)))*Inputs!$C$11+((Inputs!$H$9+Inputs!$L$9*(((Inputs!$I$9+(((A139)+1)/2)*(Inputs!$J$9-Inputs!$I$9)))/Inputs!$K$9)^2))*((2*Inputs!$L$9*((Inputs!$I$9+(((A139)+1)/2)*(Inputs!$J$9-Inputs!$I$9)))/(Inputs!$K$9^2)*Inputs!$C$11)))/(SQRT(((Inputs!$I$9+(((A139)+1)/2)*(Inputs!$J$9-Inputs!$I$9)))^2+Inputs!$C$6^2+((Inputs!$H$9+Inputs!$L$9*(((Inputs!$I$9+(((A139)+1)/2)*(Inputs!$J$9-Inputs!$I$9)))/Inputs!$K$9)^2))^2)))))/Inputs!$C$13),NA())</f>
        <v>-1657.2814094009511</v>
      </c>
      <c r="R139" s="10"/>
      <c r="S139" s="9">
        <f t="shared" si="14"/>
        <v>0.14199999999999999</v>
      </c>
      <c r="T139" s="9">
        <f>(Inputs!$I$6+(((A139)+1)/2)*(Inputs!$J$6-Inputs!$I$6))</f>
        <v>8.519999999999996</v>
      </c>
      <c r="U139" s="9">
        <f>(Inputs!$I$7+(((A139)+1)/2)*(Inputs!$J$7-Inputs!$I$7))</f>
        <v>56.799999999999955</v>
      </c>
      <c r="V139" s="9">
        <f>(Inputs!$I$8+(((A139)+1)/2)*(Inputs!$J$8-Inputs!$I$8))</f>
        <v>113.59999999999991</v>
      </c>
      <c r="W139" s="9">
        <f>(Inputs!$I$9+(((A139)+1)/2)*(Inputs!$J$9-Inputs!$I$9))</f>
        <v>113.59999999999991</v>
      </c>
      <c r="X139" s="10"/>
      <c r="Y139" s="9">
        <f t="shared" si="15"/>
        <v>0.14199999999999999</v>
      </c>
      <c r="Z139" s="9">
        <f>(Inputs!$H$6+Inputs!$L$6*(((Inputs!$I$6+(((A139)+1)/2)*(Inputs!$J$6-Inputs!$I$6)))/Inputs!$K$6)^2)</f>
        <v>400.08065599999998</v>
      </c>
      <c r="AA139" s="9">
        <f>(Inputs!$H$7+Inputs!$L$7*(((Inputs!$I$7+(((A139)+1)/2)*(Inputs!$J$7-Inputs!$I$7)))/Inputs!$K$7)^2)</f>
        <v>42.359859999999983</v>
      </c>
      <c r="AB139" s="9">
        <f>(Inputs!$H$8+Inputs!$L$8*(((Inputs!$I$8+(((A139)+1)/2)*(Inputs!$J$8-Inputs!$I$8)))/Inputs!$K$8)^2)</f>
        <v>54.458259999999967</v>
      </c>
      <c r="AC139" s="9">
        <f>(Inputs!$H$9+Inputs!$L$9*(((Inputs!$I$9+(((A139)+1)/2)*(Inputs!$J$9-Inputs!$I$9)))/Inputs!$K$9)^2)</f>
        <v>44.659899999999965</v>
      </c>
      <c r="AD139" s="10"/>
      <c r="AE139" s="9">
        <f t="shared" si="16"/>
        <v>0.14199999999999999</v>
      </c>
      <c r="AF139" s="9">
        <f>(((SQRT(((Inputs!$I$6+(((A139)+1)/2)*(Inputs!$J$6-Inputs!$I$6)))^2+Inputs!$C$6^2+((Inputs!$H$6+Inputs!$L$6*(((Inputs!$I$6+(((A139)+1)/2)*(Inputs!$J$6-Inputs!$I$6)))/Inputs!$K$6)^2))^2))-((Inputs!$H$6+Inputs!$L$6*(((Inputs!$I$6+(((A139)+1)/2)*(Inputs!$J$6-Inputs!$I$6)))/Inputs!$K$6)^2)))*1000/Inputs!$C$12)</f>
        <v>489.24965894113654</v>
      </c>
      <c r="AG139" s="9">
        <f>(((SQRT(((Inputs!$I$7+(((A139)+1)/2)*(Inputs!$J$7-Inputs!$I$7)))^2+Inputs!$C$6^2+((Inputs!$H$7+Inputs!$L$7*(((Inputs!$I$7+(((A139)+1)/2)*(Inputs!$J$7-Inputs!$I$7)))/Inputs!$K$7)^2))^2))-((Inputs!$H$7+Inputs!$L$7*(((Inputs!$I$7+(((A139)+1)/2)*(Inputs!$J$7-Inputs!$I$7)))/Inputs!$K$7)^2)))*1000/Inputs!$C$12)</f>
        <v>18414.231900224917</v>
      </c>
      <c r="AH139" s="9">
        <f>(((SQRT(((Inputs!$I$8+(((A139)+1)/2)*(Inputs!$J$8-Inputs!$I$8)))^2+Inputs!$C$6^2+((Inputs!$H$8+Inputs!$L$8*(((Inputs!$I$8+(((A139)+1)/2)*(Inputs!$J$8-Inputs!$I$8)))/Inputs!$K$8)^2))^2))-((Inputs!$H$8+Inputs!$L$8*(((Inputs!$I$8+(((A139)+1)/2)*(Inputs!$J$8-Inputs!$I$8)))/Inputs!$K$8)^2)))*1000/Inputs!$C$12)</f>
        <v>41560.213120602151</v>
      </c>
      <c r="AI139" s="9">
        <f>(((SQRT(((Inputs!$I$9+(((A139)+1)/2)*(Inputs!$J$9-Inputs!$I$9)))^2+Inputs!$C$6^2+((Inputs!$H$9+Inputs!$L$9*(((Inputs!$I$9+(((A139)+1)/2)*(Inputs!$J$9-Inputs!$I$9)))/Inputs!$K$9)^2))^2))-((Inputs!$H$9+Inputs!$L$9*(((Inputs!$I$9+(((A139)+1)/2)*(Inputs!$J$9-Inputs!$I$9)))/Inputs!$K$9)^2)))*1000/Inputs!$C$12)</f>
        <v>44908.605470694994</v>
      </c>
      <c r="AJ139" s="10"/>
      <c r="AK139" s="9">
        <f t="shared" si="17"/>
        <v>0.14199999999999999</v>
      </c>
      <c r="AL139" s="9">
        <f>(-2*((1000*((((Inputs!$I$6+(((A139)+1)/2)*(Inputs!$J$6-Inputs!$I$6)))*Inputs!$C$11+((Inputs!$H$6+Inputs!$L$6*(((Inputs!$I$6+(((A139)+1)/2)*(Inputs!$J$6-Inputs!$I$6)))/Inputs!$K$6)^2))*((2*Inputs!$L$6*((Inputs!$I$6+(((A139)+1)/2)*(Inputs!$J$6-Inputs!$I$6)))/(Inputs!$K$6^2)*Inputs!$C$11)))/(SQRT(((Inputs!$I$6+(((A139)+1)/2)*(Inputs!$J$6-Inputs!$I$6)))^2+Inputs!$C$6^2+((Inputs!$H$6+Inputs!$L$6*(((Inputs!$I$6+(((A139)+1)/2)*(Inputs!$J$6-Inputs!$I$6)))/Inputs!$K$6)^2))^2)))))/Inputs!$C$13)</f>
        <v>-64.226659240975124</v>
      </c>
      <c r="AM139" s="9">
        <f>(-2*((1000*((((Inputs!$I$7+(((A139)+1)/2)*(Inputs!$J$7-Inputs!$I$7)))*Inputs!$C$11+((Inputs!$H$7+Inputs!$L$7*(((Inputs!$I$7+(((A139)+1)/2)*(Inputs!$J$7-Inputs!$I$7)))/Inputs!$K$7)^2))*((2*Inputs!$L$7*((Inputs!$I$7+(((A139)+1)/2)*(Inputs!$J$7-Inputs!$I$7)))/(Inputs!$K$7^2)*Inputs!$C$11)))/(SQRT(((Inputs!$I$7+(((A139)+1)/2)*(Inputs!$J$7-Inputs!$I$7)))^2+Inputs!$C$6^2+((Inputs!$H$7+Inputs!$L$7*(((Inputs!$I$7+(((A139)+1)/2)*(Inputs!$J$7-Inputs!$I$7)))/Inputs!$K$7)^2))^2)))))/Inputs!$C$13)</f>
        <v>-1443.2811279555972</v>
      </c>
      <c r="AN139" s="9">
        <f>(-2*((1000*((((Inputs!$I$8+(((A139)+1)/2)*(Inputs!$J$8-Inputs!$I$8)))*Inputs!$C$11+((Inputs!$H$8+Inputs!$L$8*(((Inputs!$I$8+(((A139)+1)/2)*(Inputs!$J$8-Inputs!$I$8)))/Inputs!$K$8)^2))*((2*Inputs!$L$8*((Inputs!$I$8+(((A139)+1)/2)*(Inputs!$J$8-Inputs!$I$8)))/(Inputs!$K$8^2)*Inputs!$C$11)))/(SQRT(((Inputs!$I$8+(((A139)+1)/2)*(Inputs!$J$8-Inputs!$I$8)))^2+Inputs!$C$6^2+((Inputs!$H$8+Inputs!$L$8*(((Inputs!$I$8+(((A139)+1)/2)*(Inputs!$J$8-Inputs!$I$8)))/Inputs!$K$8)^2))^2)))))/Inputs!$C$13)</f>
        <v>-1647.5955743557984</v>
      </c>
      <c r="AO139" s="9">
        <f>(-2*((1000*((((Inputs!$I$9+(((A139)+1)/2)*(Inputs!$J$9-Inputs!$I$9)))*Inputs!$C$11+((Inputs!$H$9+Inputs!$L$9*(((Inputs!$I$9+(((A139)+1)/2)*(Inputs!$J$9-Inputs!$I$9)))/Inputs!$K$9)^2))*((2*Inputs!$L$9*((Inputs!$I$9+(((A139)+1)/2)*(Inputs!$J$9-Inputs!$I$9)))/(Inputs!$K$9^2)*Inputs!$C$11)))/(SQRT(((Inputs!$I$9+(((A139)+1)/2)*(Inputs!$J$9-Inputs!$I$9)))^2+Inputs!$C$6^2+((Inputs!$H$9+Inputs!$L$9*(((Inputs!$I$9+(((A139)+1)/2)*(Inputs!$J$9-Inputs!$I$9)))/Inputs!$K$9)^2))^2)))))/Inputs!$C$13)</f>
        <v>-1657.2814094009511</v>
      </c>
    </row>
    <row r="140" spans="1:41">
      <c r="A140" s="9">
        <f>ROUND(-1+138*2/240,3)</f>
        <v>0.15</v>
      </c>
      <c r="B140" s="9">
        <f>IF(OR(Inputs!$F$6=TRUE,Inputs!$F$6="TRUE",Inputs!$F$6=1),(Inputs!$H$6+Inputs!$L$6*(((Inputs!$I$6+(((A140)+1)/2)*(Inputs!$J$6-Inputs!$I$6)))/Inputs!$K$6)^2),NA())</f>
        <v>400.09</v>
      </c>
      <c r="C140" s="9">
        <f>IF(OR(Inputs!$F$7=TRUE,Inputs!$F$7="TRUE",Inputs!$F$7=1),(Inputs!$H$7+Inputs!$L$7*(((Inputs!$I$7+(((A140)+1)/2)*(Inputs!$J$7-Inputs!$I$7)))/Inputs!$K$7)^2),NA())</f>
        <v>43.212499999999984</v>
      </c>
      <c r="D140" s="9">
        <f>IF(OR(Inputs!$F$8=TRUE,Inputs!$F$8="TRUE",Inputs!$F$8=1),(Inputs!$H$8+Inputs!$L$8*(((Inputs!$I$8+(((A140)+1)/2)*(Inputs!$J$8-Inputs!$I$8)))/Inputs!$K$8)^2),NA())</f>
        <v>56.712499999999963</v>
      </c>
      <c r="E140" s="9">
        <f>IF(OR(Inputs!$F$9=TRUE,Inputs!$F$9="TRUE",Inputs!$F$9=1),(Inputs!$H$9+Inputs!$L$9*(((Inputs!$I$9+(((A140)+1)/2)*(Inputs!$J$9-Inputs!$I$9)))/Inputs!$K$9)^2),NA())</f>
        <v>46.937499999999957</v>
      </c>
      <c r="F140" s="10"/>
      <c r="G140" s="9">
        <f t="shared" si="12"/>
        <v>0.15</v>
      </c>
      <c r="H140" s="9">
        <f>IF(OR(Inputs!$F$6=TRUE,Inputs!$F$6="TRUE",Inputs!$F$6=1),(((SQRT(((Inputs!$I$6+(((A140)+1)/2)*(Inputs!$J$6-Inputs!$I$6)))^2+Inputs!$C$6^2+((Inputs!$H$6+Inputs!$L$6*(((Inputs!$I$6+(((A140)+1)/2)*(Inputs!$J$6-Inputs!$I$6)))/Inputs!$K$6)^2))^2))-((Inputs!$H$6+Inputs!$L$6*(((Inputs!$I$6+(((A140)+1)/2)*(Inputs!$J$6-Inputs!$I$6)))/Inputs!$K$6)^2)))*1000/Inputs!$C$12),NA())</f>
        <v>495.12964644237769</v>
      </c>
      <c r="I140" s="9">
        <f>IF(OR(Inputs!$F$7=TRUE,Inputs!$F$7="TRUE",Inputs!$F$7=1),(((SQRT(((Inputs!$I$7+(((A140)+1)/2)*(Inputs!$J$7-Inputs!$I$7)))^2+Inputs!$C$6^2+((Inputs!$H$7+Inputs!$L$7*(((Inputs!$I$7+(((A140)+1)/2)*(Inputs!$J$7-Inputs!$I$7)))/Inputs!$K$7)^2))^2))-((Inputs!$H$7+Inputs!$L$7*(((Inputs!$I$7+(((A140)+1)/2)*(Inputs!$J$7-Inputs!$I$7)))/Inputs!$K$7)^2)))*1000/Inputs!$C$12),NA())</f>
        <v>19573.492198365311</v>
      </c>
      <c r="J140" s="9">
        <f>IF(OR(Inputs!$F$8=TRUE,Inputs!$F$8="TRUE",Inputs!$F$8=1),(((SQRT(((Inputs!$I$8+(((A140)+1)/2)*(Inputs!$J$8-Inputs!$I$8)))^2+Inputs!$C$6^2+((Inputs!$H$8+Inputs!$L$8*(((Inputs!$I$8+(((A140)+1)/2)*(Inputs!$J$8-Inputs!$I$8)))/Inputs!$K$8)^2))^2))-((Inputs!$H$8+Inputs!$L$8*(((Inputs!$I$8+(((A140)+1)/2)*(Inputs!$J$8-Inputs!$I$8)))/Inputs!$K$8)^2)))*1000/Inputs!$C$12),NA())</f>
        <v>44015.665854920888</v>
      </c>
      <c r="K140" s="9">
        <f>IF(OR(Inputs!$F$9=TRUE,Inputs!$F$9="TRUE",Inputs!$F$9=1),(((SQRT(((Inputs!$I$9+(((A140)+1)/2)*(Inputs!$J$9-Inputs!$I$9)))^2+Inputs!$C$6^2+((Inputs!$H$9+Inputs!$L$9*(((Inputs!$I$9+(((A140)+1)/2)*(Inputs!$J$9-Inputs!$I$9)))/Inputs!$K$9)^2))^2))-((Inputs!$H$9+Inputs!$L$9*(((Inputs!$I$9+(((A140)+1)/2)*(Inputs!$J$9-Inputs!$I$9)))/Inputs!$K$9)^2)))*1000/Inputs!$C$12),NA())</f>
        <v>47369.925351831742</v>
      </c>
      <c r="L140" s="10"/>
      <c r="M140" s="9">
        <f t="shared" si="13"/>
        <v>0.15</v>
      </c>
      <c r="N140" s="9">
        <f>IF(OR(Inputs!$F$6=TRUE,Inputs!$F$6="TRUE",Inputs!$F$6=1),(-2*((1000*((((Inputs!$I$6+(((A140)+1)/2)*(Inputs!$J$6-Inputs!$I$6)))*Inputs!$C$11+((Inputs!$H$6+Inputs!$L$6*(((Inputs!$I$6+(((A140)+1)/2)*(Inputs!$J$6-Inputs!$I$6)))/Inputs!$K$6)^2))*((2*Inputs!$L$6*((Inputs!$I$6+(((A140)+1)/2)*(Inputs!$J$6-Inputs!$I$6)))/(Inputs!$K$6^2)*Inputs!$C$11)))/(SQRT(((Inputs!$I$6+(((A140)+1)/2)*(Inputs!$J$6-Inputs!$I$6)))^2+Inputs!$C$6^2+((Inputs!$H$6+Inputs!$L$6*(((Inputs!$I$6+(((A140)+1)/2)*(Inputs!$J$6-Inputs!$I$6)))/Inputs!$K$6)^2))^2)))))/Inputs!$C$13),NA())</f>
        <v>-67.842456336506729</v>
      </c>
      <c r="O140" s="9">
        <f>IF(OR(Inputs!$F$7=TRUE,Inputs!$F$7="TRUE",Inputs!$F$7=1),(-2*((1000*((((Inputs!$I$7+(((A140)+1)/2)*(Inputs!$J$7-Inputs!$I$7)))*Inputs!$C$11+((Inputs!$H$7+Inputs!$L$7*(((Inputs!$I$7+(((A140)+1)/2)*(Inputs!$J$7-Inputs!$I$7)))/Inputs!$K$7)^2))*((2*Inputs!$L$7*((Inputs!$I$7+(((A140)+1)/2)*(Inputs!$J$7-Inputs!$I$7)))/(Inputs!$K$7^2)*Inputs!$C$11)))/(SQRT(((Inputs!$I$7+(((A140)+1)/2)*(Inputs!$J$7-Inputs!$I$7)))^2+Inputs!$C$6^2+((Inputs!$H$7+Inputs!$L$7*(((Inputs!$I$7+(((A140)+1)/2)*(Inputs!$J$7-Inputs!$I$7)))/Inputs!$K$7)^2))^2)))))/Inputs!$C$13),NA())</f>
        <v>-1472.4175822777834</v>
      </c>
      <c r="P140" s="9">
        <f>IF(OR(Inputs!$F$8=TRUE,Inputs!$F$8="TRUE",Inputs!$F$8=1),(-2*((1000*((((Inputs!$I$8+(((A140)+1)/2)*(Inputs!$J$8-Inputs!$I$8)))*Inputs!$C$11+((Inputs!$H$8+Inputs!$L$8*(((Inputs!$I$8+(((A140)+1)/2)*(Inputs!$J$8-Inputs!$I$8)))/Inputs!$K$8)^2))*((2*Inputs!$L$8*((Inputs!$I$8+(((A140)+1)/2)*(Inputs!$J$8-Inputs!$I$8)))/(Inputs!$K$8^2)*Inputs!$C$11)))/(SQRT(((Inputs!$I$8+(((A140)+1)/2)*(Inputs!$J$8-Inputs!$I$8)))^2+Inputs!$C$6^2+((Inputs!$H$8+Inputs!$L$8*(((Inputs!$I$8+(((A140)+1)/2)*(Inputs!$J$8-Inputs!$I$8)))/Inputs!$K$8)^2))^2)))))/Inputs!$C$13),NA())</f>
        <v>-1664.7112114394968</v>
      </c>
      <c r="Q140" s="9">
        <f>IF(OR(Inputs!$F$9=TRUE,Inputs!$F$9="TRUE",Inputs!$F$9=1),(-2*((1000*((((Inputs!$I$9+(((A140)+1)/2)*(Inputs!$J$9-Inputs!$I$9)))*Inputs!$C$11+((Inputs!$H$9+Inputs!$L$9*(((Inputs!$I$9+(((A140)+1)/2)*(Inputs!$J$9-Inputs!$I$9)))/Inputs!$K$9)^2))*((2*Inputs!$L$9*((Inputs!$I$9+(((A140)+1)/2)*(Inputs!$J$9-Inputs!$I$9)))/(Inputs!$K$9^2)*Inputs!$C$11)))/(SQRT(((Inputs!$I$9+(((A140)+1)/2)*(Inputs!$J$9-Inputs!$I$9)))^2+Inputs!$C$6^2+((Inputs!$H$9+Inputs!$L$9*(((Inputs!$I$9+(((A140)+1)/2)*(Inputs!$J$9-Inputs!$I$9)))/Inputs!$K$9)^2))^2)))))/Inputs!$C$13),NA())</f>
        <v>-1671.9882707419602</v>
      </c>
      <c r="R140" s="10"/>
      <c r="S140" s="9">
        <f t="shared" si="14"/>
        <v>0.15</v>
      </c>
      <c r="T140" s="9">
        <f>(Inputs!$I$6+(((A140)+1)/2)*(Inputs!$J$6-Inputs!$I$6))</f>
        <v>9</v>
      </c>
      <c r="U140" s="9">
        <f>(Inputs!$I$7+(((A140)+1)/2)*(Inputs!$J$7-Inputs!$I$7))</f>
        <v>59.999999999999943</v>
      </c>
      <c r="V140" s="9">
        <f>(Inputs!$I$8+(((A140)+1)/2)*(Inputs!$J$8-Inputs!$I$8))</f>
        <v>119.99999999999989</v>
      </c>
      <c r="W140" s="9">
        <f>(Inputs!$I$9+(((A140)+1)/2)*(Inputs!$J$9-Inputs!$I$9))</f>
        <v>119.99999999999989</v>
      </c>
      <c r="X140" s="10"/>
      <c r="Y140" s="9">
        <f t="shared" si="15"/>
        <v>0.15</v>
      </c>
      <c r="Z140" s="9">
        <f>(Inputs!$H$6+Inputs!$L$6*(((Inputs!$I$6+(((A140)+1)/2)*(Inputs!$J$6-Inputs!$I$6)))/Inputs!$K$6)^2)</f>
        <v>400.09</v>
      </c>
      <c r="AA140" s="9">
        <f>(Inputs!$H$7+Inputs!$L$7*(((Inputs!$I$7+(((A140)+1)/2)*(Inputs!$J$7-Inputs!$I$7)))/Inputs!$K$7)^2)</f>
        <v>43.212499999999984</v>
      </c>
      <c r="AB140" s="9">
        <f>(Inputs!$H$8+Inputs!$L$8*(((Inputs!$I$8+(((A140)+1)/2)*(Inputs!$J$8-Inputs!$I$8)))/Inputs!$K$8)^2)</f>
        <v>56.712499999999963</v>
      </c>
      <c r="AC140" s="9">
        <f>(Inputs!$H$9+Inputs!$L$9*(((Inputs!$I$9+(((A140)+1)/2)*(Inputs!$J$9-Inputs!$I$9)))/Inputs!$K$9)^2)</f>
        <v>46.937499999999957</v>
      </c>
      <c r="AD140" s="10"/>
      <c r="AE140" s="9">
        <f t="shared" si="16"/>
        <v>0.15</v>
      </c>
      <c r="AF140" s="9">
        <f>(((SQRT(((Inputs!$I$6+(((A140)+1)/2)*(Inputs!$J$6-Inputs!$I$6)))^2+Inputs!$C$6^2+((Inputs!$H$6+Inputs!$L$6*(((Inputs!$I$6+(((A140)+1)/2)*(Inputs!$J$6-Inputs!$I$6)))/Inputs!$K$6)^2))^2))-((Inputs!$H$6+Inputs!$L$6*(((Inputs!$I$6+(((A140)+1)/2)*(Inputs!$J$6-Inputs!$I$6)))/Inputs!$K$6)^2)))*1000/Inputs!$C$12)</f>
        <v>495.12964644237769</v>
      </c>
      <c r="AG140" s="9">
        <f>(((SQRT(((Inputs!$I$7+(((A140)+1)/2)*(Inputs!$J$7-Inputs!$I$7)))^2+Inputs!$C$6^2+((Inputs!$H$7+Inputs!$L$7*(((Inputs!$I$7+(((A140)+1)/2)*(Inputs!$J$7-Inputs!$I$7)))/Inputs!$K$7)^2))^2))-((Inputs!$H$7+Inputs!$L$7*(((Inputs!$I$7+(((A140)+1)/2)*(Inputs!$J$7-Inputs!$I$7)))/Inputs!$K$7)^2)))*1000/Inputs!$C$12)</f>
        <v>19573.492198365311</v>
      </c>
      <c r="AH140" s="9">
        <f>(((SQRT(((Inputs!$I$8+(((A140)+1)/2)*(Inputs!$J$8-Inputs!$I$8)))^2+Inputs!$C$6^2+((Inputs!$H$8+Inputs!$L$8*(((Inputs!$I$8+(((A140)+1)/2)*(Inputs!$J$8-Inputs!$I$8)))/Inputs!$K$8)^2))^2))-((Inputs!$H$8+Inputs!$L$8*(((Inputs!$I$8+(((A140)+1)/2)*(Inputs!$J$8-Inputs!$I$8)))/Inputs!$K$8)^2)))*1000/Inputs!$C$12)</f>
        <v>44015.665854920888</v>
      </c>
      <c r="AI140" s="9">
        <f>(((SQRT(((Inputs!$I$9+(((A140)+1)/2)*(Inputs!$J$9-Inputs!$I$9)))^2+Inputs!$C$6^2+((Inputs!$H$9+Inputs!$L$9*(((Inputs!$I$9+(((A140)+1)/2)*(Inputs!$J$9-Inputs!$I$9)))/Inputs!$K$9)^2))^2))-((Inputs!$H$9+Inputs!$L$9*(((Inputs!$I$9+(((A140)+1)/2)*(Inputs!$J$9-Inputs!$I$9)))/Inputs!$K$9)^2)))*1000/Inputs!$C$12)</f>
        <v>47369.925351831742</v>
      </c>
      <c r="AJ140" s="10"/>
      <c r="AK140" s="9">
        <f t="shared" si="17"/>
        <v>0.15</v>
      </c>
      <c r="AL140" s="9">
        <f>(-2*((1000*((((Inputs!$I$6+(((A140)+1)/2)*(Inputs!$J$6-Inputs!$I$6)))*Inputs!$C$11+((Inputs!$H$6+Inputs!$L$6*(((Inputs!$I$6+(((A140)+1)/2)*(Inputs!$J$6-Inputs!$I$6)))/Inputs!$K$6)^2))*((2*Inputs!$L$6*((Inputs!$I$6+(((A140)+1)/2)*(Inputs!$J$6-Inputs!$I$6)))/(Inputs!$K$6^2)*Inputs!$C$11)))/(SQRT(((Inputs!$I$6+(((A140)+1)/2)*(Inputs!$J$6-Inputs!$I$6)))^2+Inputs!$C$6^2+((Inputs!$H$6+Inputs!$L$6*(((Inputs!$I$6+(((A140)+1)/2)*(Inputs!$J$6-Inputs!$I$6)))/Inputs!$K$6)^2))^2)))))/Inputs!$C$13)</f>
        <v>-67.842456336506729</v>
      </c>
      <c r="AM140" s="9">
        <f>(-2*((1000*((((Inputs!$I$7+(((A140)+1)/2)*(Inputs!$J$7-Inputs!$I$7)))*Inputs!$C$11+((Inputs!$H$7+Inputs!$L$7*(((Inputs!$I$7+(((A140)+1)/2)*(Inputs!$J$7-Inputs!$I$7)))/Inputs!$K$7)^2))*((2*Inputs!$L$7*((Inputs!$I$7+(((A140)+1)/2)*(Inputs!$J$7-Inputs!$I$7)))/(Inputs!$K$7^2)*Inputs!$C$11)))/(SQRT(((Inputs!$I$7+(((A140)+1)/2)*(Inputs!$J$7-Inputs!$I$7)))^2+Inputs!$C$6^2+((Inputs!$H$7+Inputs!$L$7*(((Inputs!$I$7+(((A140)+1)/2)*(Inputs!$J$7-Inputs!$I$7)))/Inputs!$K$7)^2))^2)))))/Inputs!$C$13)</f>
        <v>-1472.4175822777834</v>
      </c>
      <c r="AN140" s="9">
        <f>(-2*((1000*((((Inputs!$I$8+(((A140)+1)/2)*(Inputs!$J$8-Inputs!$I$8)))*Inputs!$C$11+((Inputs!$H$8+Inputs!$L$8*(((Inputs!$I$8+(((A140)+1)/2)*(Inputs!$J$8-Inputs!$I$8)))/Inputs!$K$8)^2))*((2*Inputs!$L$8*((Inputs!$I$8+(((A140)+1)/2)*(Inputs!$J$8-Inputs!$I$8)))/(Inputs!$K$8^2)*Inputs!$C$11)))/(SQRT(((Inputs!$I$8+(((A140)+1)/2)*(Inputs!$J$8-Inputs!$I$8)))^2+Inputs!$C$6^2+((Inputs!$H$8+Inputs!$L$8*(((Inputs!$I$8+(((A140)+1)/2)*(Inputs!$J$8-Inputs!$I$8)))/Inputs!$K$8)^2))^2)))))/Inputs!$C$13)</f>
        <v>-1664.7112114394968</v>
      </c>
      <c r="AO140" s="9">
        <f>(-2*((1000*((((Inputs!$I$9+(((A140)+1)/2)*(Inputs!$J$9-Inputs!$I$9)))*Inputs!$C$11+((Inputs!$H$9+Inputs!$L$9*(((Inputs!$I$9+(((A140)+1)/2)*(Inputs!$J$9-Inputs!$I$9)))/Inputs!$K$9)^2))*((2*Inputs!$L$9*((Inputs!$I$9+(((A140)+1)/2)*(Inputs!$J$9-Inputs!$I$9)))/(Inputs!$K$9^2)*Inputs!$C$11)))/(SQRT(((Inputs!$I$9+(((A140)+1)/2)*(Inputs!$J$9-Inputs!$I$9)))^2+Inputs!$C$6^2+((Inputs!$H$9+Inputs!$L$9*(((Inputs!$I$9+(((A140)+1)/2)*(Inputs!$J$9-Inputs!$I$9)))/Inputs!$K$9)^2))^2)))))/Inputs!$C$13)</f>
        <v>-1671.9882707419602</v>
      </c>
    </row>
    <row r="141" spans="1:41">
      <c r="A141" s="9">
        <f>ROUND(-1+139*2/240,3)</f>
        <v>0.158</v>
      </c>
      <c r="B141" s="9">
        <f>IF(OR(Inputs!$F$6=TRUE,Inputs!$F$6="TRUE",Inputs!$F$6=1),(Inputs!$H$6+Inputs!$L$6*(((Inputs!$I$6+(((A141)+1)/2)*(Inputs!$J$6-Inputs!$I$6)))/Inputs!$K$6)^2),NA())</f>
        <v>400.09985599999999</v>
      </c>
      <c r="C141" s="9">
        <f>IF(OR(Inputs!$F$7=TRUE,Inputs!$F$7="TRUE",Inputs!$F$7=1),(Inputs!$H$7+Inputs!$L$7*(((Inputs!$I$7+(((A141)+1)/2)*(Inputs!$J$7-Inputs!$I$7)))/Inputs!$K$7)^2),NA())</f>
        <v>44.11186</v>
      </c>
      <c r="D141" s="9">
        <f>IF(OR(Inputs!$F$8=TRUE,Inputs!$F$8="TRUE",Inputs!$F$8=1),(Inputs!$H$8+Inputs!$L$8*(((Inputs!$I$8+(((A141)+1)/2)*(Inputs!$J$8-Inputs!$I$8)))/Inputs!$K$8)^2),NA())</f>
        <v>59.090259999999994</v>
      </c>
      <c r="E141" s="9">
        <f>IF(OR(Inputs!$F$9=TRUE,Inputs!$F$9="TRUE",Inputs!$F$9=1),(Inputs!$H$9+Inputs!$L$9*(((Inputs!$I$9+(((A141)+1)/2)*(Inputs!$J$9-Inputs!$I$9)))/Inputs!$K$9)^2),NA())</f>
        <v>49.339899999999993</v>
      </c>
      <c r="F141" s="10"/>
      <c r="G141" s="9">
        <f t="shared" si="12"/>
        <v>0.158</v>
      </c>
      <c r="H141" s="9">
        <f>IF(OR(Inputs!$F$6=TRUE,Inputs!$F$6="TRUE",Inputs!$F$6=1),(((SQRT(((Inputs!$I$6+(((A141)+1)/2)*(Inputs!$J$6-Inputs!$I$6)))^2+Inputs!$C$6^2+((Inputs!$H$6+Inputs!$L$6*(((Inputs!$I$6+(((A141)+1)/2)*(Inputs!$J$6-Inputs!$I$6)))/Inputs!$K$6)^2))^2))-((Inputs!$H$6+Inputs!$L$6*(((Inputs!$I$6+(((A141)+1)/2)*(Inputs!$J$6-Inputs!$I$6)))/Inputs!$K$6)^2)))*1000/Inputs!$C$12),NA())</f>
        <v>501.33136175215793</v>
      </c>
      <c r="I141" s="9">
        <f>IF(OR(Inputs!$F$7=TRUE,Inputs!$F$7="TRUE",Inputs!$F$7=1),(((SQRT(((Inputs!$I$7+(((A141)+1)/2)*(Inputs!$J$7-Inputs!$I$7)))^2+Inputs!$C$6^2+((Inputs!$H$7+Inputs!$L$7*(((Inputs!$I$7+(((A141)+1)/2)*(Inputs!$J$7-Inputs!$I$7)))/Inputs!$K$7)^2))^2))-((Inputs!$H$7+Inputs!$L$7*(((Inputs!$I$7+(((A141)+1)/2)*(Inputs!$J$7-Inputs!$I$7)))/Inputs!$K$7)^2)))*1000/Inputs!$C$12),NA())</f>
        <v>20737.877075602719</v>
      </c>
      <c r="J141" s="9">
        <f>IF(OR(Inputs!$F$8=TRUE,Inputs!$F$8="TRUE",Inputs!$F$8=1),(((SQRT(((Inputs!$I$8+(((A141)+1)/2)*(Inputs!$J$8-Inputs!$I$8)))^2+Inputs!$C$6^2+((Inputs!$H$8+Inputs!$L$8*(((Inputs!$I$8+(((A141)+1)/2)*(Inputs!$J$8-Inputs!$I$8)))/Inputs!$K$8)^2))^2))-((Inputs!$H$8+Inputs!$L$8*(((Inputs!$I$8+(((A141)+1)/2)*(Inputs!$J$8-Inputs!$I$8)))/Inputs!$K$8)^2)))*1000/Inputs!$C$12),NA())</f>
        <v>46439.158617238005</v>
      </c>
      <c r="K141" s="9">
        <f>IF(OR(Inputs!$F$9=TRUE,Inputs!$F$9="TRUE",Inputs!$F$9=1),(((SQRT(((Inputs!$I$9+(((A141)+1)/2)*(Inputs!$J$9-Inputs!$I$9)))^2+Inputs!$C$6^2+((Inputs!$H$9+Inputs!$L$9*(((Inputs!$I$9+(((A141)+1)/2)*(Inputs!$J$9-Inputs!$I$9)))/Inputs!$K$9)^2))^2))-((Inputs!$H$9+Inputs!$L$9*(((Inputs!$I$9+(((A141)+1)/2)*(Inputs!$J$9-Inputs!$I$9)))/Inputs!$K$9)^2)))*1000/Inputs!$C$12),NA())</f>
        <v>49793.54455863063</v>
      </c>
      <c r="L141" s="10"/>
      <c r="M141" s="9">
        <f t="shared" si="13"/>
        <v>0.158</v>
      </c>
      <c r="N141" s="9">
        <f>IF(OR(Inputs!$F$6=TRUE,Inputs!$F$6="TRUE",Inputs!$F$6=1),(-2*((1000*((((Inputs!$I$6+(((A141)+1)/2)*(Inputs!$J$6-Inputs!$I$6)))*Inputs!$C$11+((Inputs!$H$6+Inputs!$L$6*(((Inputs!$I$6+(((A141)+1)/2)*(Inputs!$J$6-Inputs!$I$6)))/Inputs!$K$6)^2))*((2*Inputs!$L$6*((Inputs!$I$6+(((A141)+1)/2)*(Inputs!$J$6-Inputs!$I$6)))/(Inputs!$K$6^2)*Inputs!$C$11)))/(SQRT(((Inputs!$I$6+(((A141)+1)/2)*(Inputs!$J$6-Inputs!$I$6)))^2+Inputs!$C$6^2+((Inputs!$H$6+Inputs!$L$6*(((Inputs!$I$6+(((A141)+1)/2)*(Inputs!$J$6-Inputs!$I$6)))/Inputs!$K$6)^2))^2)))))/Inputs!$C$13),NA())</f>
        <v>-71.457825449602794</v>
      </c>
      <c r="O141" s="9">
        <f>IF(OR(Inputs!$F$7=TRUE,Inputs!$F$7="TRUE",Inputs!$F$7=1),(-2*((1000*((((Inputs!$I$7+(((A141)+1)/2)*(Inputs!$J$7-Inputs!$I$7)))*Inputs!$C$11+((Inputs!$H$7+Inputs!$L$7*(((Inputs!$I$7+(((A141)+1)/2)*(Inputs!$J$7-Inputs!$I$7)))/Inputs!$K$7)^2))*((2*Inputs!$L$7*((Inputs!$I$7+(((A141)+1)/2)*(Inputs!$J$7-Inputs!$I$7)))/(Inputs!$K$7^2)*Inputs!$C$11)))/(SQRT(((Inputs!$I$7+(((A141)+1)/2)*(Inputs!$J$7-Inputs!$I$7)))^2+Inputs!$C$6^2+((Inputs!$H$7+Inputs!$L$7*(((Inputs!$I$7+(((A141)+1)/2)*(Inputs!$J$7-Inputs!$I$7)))/Inputs!$K$7)^2))^2)))))/Inputs!$C$13),NA())</f>
        <v>-1499.1795886261764</v>
      </c>
      <c r="P141" s="9">
        <f>IF(OR(Inputs!$F$8=TRUE,Inputs!$F$8="TRUE",Inputs!$F$8=1),(-2*((1000*((((Inputs!$I$8+(((A141)+1)/2)*(Inputs!$J$8-Inputs!$I$8)))*Inputs!$C$11+((Inputs!$H$8+Inputs!$L$8*(((Inputs!$I$8+(((A141)+1)/2)*(Inputs!$J$8-Inputs!$I$8)))/Inputs!$K$8)^2))*((2*Inputs!$L$8*((Inputs!$I$8+(((A141)+1)/2)*(Inputs!$J$8-Inputs!$I$8)))/(Inputs!$K$8^2)*Inputs!$C$11)))/(SQRT(((Inputs!$I$8+(((A141)+1)/2)*(Inputs!$J$8-Inputs!$I$8)))^2+Inputs!$C$6^2+((Inputs!$H$8+Inputs!$L$8*(((Inputs!$I$8+(((A141)+1)/2)*(Inputs!$J$8-Inputs!$I$8)))/Inputs!$K$8)^2))^2)))))/Inputs!$C$13),NA())</f>
        <v>-1680.9500470934552</v>
      </c>
      <c r="Q141" s="9">
        <f>IF(OR(Inputs!$F$9=TRUE,Inputs!$F$9="TRUE",Inputs!$F$9=1),(-2*((1000*((((Inputs!$I$9+(((A141)+1)/2)*(Inputs!$J$9-Inputs!$I$9)))*Inputs!$C$11+((Inputs!$H$9+Inputs!$L$9*(((Inputs!$I$9+(((A141)+1)/2)*(Inputs!$J$9-Inputs!$I$9)))/Inputs!$K$9)^2))*((2*Inputs!$L$9*((Inputs!$I$9+(((A141)+1)/2)*(Inputs!$J$9-Inputs!$I$9)))/(Inputs!$K$9^2)*Inputs!$C$11)))/(SQRT(((Inputs!$I$9+(((A141)+1)/2)*(Inputs!$J$9-Inputs!$I$9)))^2+Inputs!$C$6^2+((Inputs!$H$9+Inputs!$L$9*(((Inputs!$I$9+(((A141)+1)/2)*(Inputs!$J$9-Inputs!$I$9)))/Inputs!$K$9)^2))^2)))))/Inputs!$C$13),NA())</f>
        <v>-1686.1577436829066</v>
      </c>
      <c r="R141" s="10"/>
      <c r="S141" s="9">
        <f t="shared" si="14"/>
        <v>0.158</v>
      </c>
      <c r="T141" s="9">
        <f>(Inputs!$I$6+(((A141)+1)/2)*(Inputs!$J$6-Inputs!$I$6))</f>
        <v>9.4799999999999898</v>
      </c>
      <c r="U141" s="9">
        <f>(Inputs!$I$7+(((A141)+1)/2)*(Inputs!$J$7-Inputs!$I$7))</f>
        <v>63.199999999999989</v>
      </c>
      <c r="V141" s="9">
        <f>(Inputs!$I$8+(((A141)+1)/2)*(Inputs!$J$8-Inputs!$I$8))</f>
        <v>126.39999999999998</v>
      </c>
      <c r="W141" s="9">
        <f>(Inputs!$I$9+(((A141)+1)/2)*(Inputs!$J$9-Inputs!$I$9))</f>
        <v>126.39999999999998</v>
      </c>
      <c r="X141" s="10"/>
      <c r="Y141" s="9">
        <f t="shared" si="15"/>
        <v>0.158</v>
      </c>
      <c r="Z141" s="9">
        <f>(Inputs!$H$6+Inputs!$L$6*(((Inputs!$I$6+(((A141)+1)/2)*(Inputs!$J$6-Inputs!$I$6)))/Inputs!$K$6)^2)</f>
        <v>400.09985599999999</v>
      </c>
      <c r="AA141" s="9">
        <f>(Inputs!$H$7+Inputs!$L$7*(((Inputs!$I$7+(((A141)+1)/2)*(Inputs!$J$7-Inputs!$I$7)))/Inputs!$K$7)^2)</f>
        <v>44.11186</v>
      </c>
      <c r="AB141" s="9">
        <f>(Inputs!$H$8+Inputs!$L$8*(((Inputs!$I$8+(((A141)+1)/2)*(Inputs!$J$8-Inputs!$I$8)))/Inputs!$K$8)^2)</f>
        <v>59.090259999999994</v>
      </c>
      <c r="AC141" s="9">
        <f>(Inputs!$H$9+Inputs!$L$9*(((Inputs!$I$9+(((A141)+1)/2)*(Inputs!$J$9-Inputs!$I$9)))/Inputs!$K$9)^2)</f>
        <v>49.339899999999993</v>
      </c>
      <c r="AD141" s="10"/>
      <c r="AE141" s="9">
        <f t="shared" si="16"/>
        <v>0.158</v>
      </c>
      <c r="AF141" s="9">
        <f>(((SQRT(((Inputs!$I$6+(((A141)+1)/2)*(Inputs!$J$6-Inputs!$I$6)))^2+Inputs!$C$6^2+((Inputs!$H$6+Inputs!$L$6*(((Inputs!$I$6+(((A141)+1)/2)*(Inputs!$J$6-Inputs!$I$6)))/Inputs!$K$6)^2))^2))-((Inputs!$H$6+Inputs!$L$6*(((Inputs!$I$6+(((A141)+1)/2)*(Inputs!$J$6-Inputs!$I$6)))/Inputs!$K$6)^2)))*1000/Inputs!$C$12)</f>
        <v>501.33136175215793</v>
      </c>
      <c r="AG141" s="9">
        <f>(((SQRT(((Inputs!$I$7+(((A141)+1)/2)*(Inputs!$J$7-Inputs!$I$7)))^2+Inputs!$C$6^2+((Inputs!$H$7+Inputs!$L$7*(((Inputs!$I$7+(((A141)+1)/2)*(Inputs!$J$7-Inputs!$I$7)))/Inputs!$K$7)^2))^2))-((Inputs!$H$7+Inputs!$L$7*(((Inputs!$I$7+(((A141)+1)/2)*(Inputs!$J$7-Inputs!$I$7)))/Inputs!$K$7)^2)))*1000/Inputs!$C$12)</f>
        <v>20737.877075602719</v>
      </c>
      <c r="AH141" s="9">
        <f>(((SQRT(((Inputs!$I$8+(((A141)+1)/2)*(Inputs!$J$8-Inputs!$I$8)))^2+Inputs!$C$6^2+((Inputs!$H$8+Inputs!$L$8*(((Inputs!$I$8+(((A141)+1)/2)*(Inputs!$J$8-Inputs!$I$8)))/Inputs!$K$8)^2))^2))-((Inputs!$H$8+Inputs!$L$8*(((Inputs!$I$8+(((A141)+1)/2)*(Inputs!$J$8-Inputs!$I$8)))/Inputs!$K$8)^2)))*1000/Inputs!$C$12)</f>
        <v>46439.158617238005</v>
      </c>
      <c r="AI141" s="9">
        <f>(((SQRT(((Inputs!$I$9+(((A141)+1)/2)*(Inputs!$J$9-Inputs!$I$9)))^2+Inputs!$C$6^2+((Inputs!$H$9+Inputs!$L$9*(((Inputs!$I$9+(((A141)+1)/2)*(Inputs!$J$9-Inputs!$I$9)))/Inputs!$K$9)^2))^2))-((Inputs!$H$9+Inputs!$L$9*(((Inputs!$I$9+(((A141)+1)/2)*(Inputs!$J$9-Inputs!$I$9)))/Inputs!$K$9)^2)))*1000/Inputs!$C$12)</f>
        <v>49793.54455863063</v>
      </c>
      <c r="AJ141" s="10"/>
      <c r="AK141" s="9">
        <f t="shared" si="17"/>
        <v>0.158</v>
      </c>
      <c r="AL141" s="9">
        <f>(-2*((1000*((((Inputs!$I$6+(((A141)+1)/2)*(Inputs!$J$6-Inputs!$I$6)))*Inputs!$C$11+((Inputs!$H$6+Inputs!$L$6*(((Inputs!$I$6+(((A141)+1)/2)*(Inputs!$J$6-Inputs!$I$6)))/Inputs!$K$6)^2))*((2*Inputs!$L$6*((Inputs!$I$6+(((A141)+1)/2)*(Inputs!$J$6-Inputs!$I$6)))/(Inputs!$K$6^2)*Inputs!$C$11)))/(SQRT(((Inputs!$I$6+(((A141)+1)/2)*(Inputs!$J$6-Inputs!$I$6)))^2+Inputs!$C$6^2+((Inputs!$H$6+Inputs!$L$6*(((Inputs!$I$6+(((A141)+1)/2)*(Inputs!$J$6-Inputs!$I$6)))/Inputs!$K$6)^2))^2)))))/Inputs!$C$13)</f>
        <v>-71.457825449602794</v>
      </c>
      <c r="AM141" s="9">
        <f>(-2*((1000*((((Inputs!$I$7+(((A141)+1)/2)*(Inputs!$J$7-Inputs!$I$7)))*Inputs!$C$11+((Inputs!$H$7+Inputs!$L$7*(((Inputs!$I$7+(((A141)+1)/2)*(Inputs!$J$7-Inputs!$I$7)))/Inputs!$K$7)^2))*((2*Inputs!$L$7*((Inputs!$I$7+(((A141)+1)/2)*(Inputs!$J$7-Inputs!$I$7)))/(Inputs!$K$7^2)*Inputs!$C$11)))/(SQRT(((Inputs!$I$7+(((A141)+1)/2)*(Inputs!$J$7-Inputs!$I$7)))^2+Inputs!$C$6^2+((Inputs!$H$7+Inputs!$L$7*(((Inputs!$I$7+(((A141)+1)/2)*(Inputs!$J$7-Inputs!$I$7)))/Inputs!$K$7)^2))^2)))))/Inputs!$C$13)</f>
        <v>-1499.1795886261764</v>
      </c>
      <c r="AN141" s="9">
        <f>(-2*((1000*((((Inputs!$I$8+(((A141)+1)/2)*(Inputs!$J$8-Inputs!$I$8)))*Inputs!$C$11+((Inputs!$H$8+Inputs!$L$8*(((Inputs!$I$8+(((A141)+1)/2)*(Inputs!$J$8-Inputs!$I$8)))/Inputs!$K$8)^2))*((2*Inputs!$L$8*((Inputs!$I$8+(((A141)+1)/2)*(Inputs!$J$8-Inputs!$I$8)))/(Inputs!$K$8^2)*Inputs!$C$11)))/(SQRT(((Inputs!$I$8+(((A141)+1)/2)*(Inputs!$J$8-Inputs!$I$8)))^2+Inputs!$C$6^2+((Inputs!$H$8+Inputs!$L$8*(((Inputs!$I$8+(((A141)+1)/2)*(Inputs!$J$8-Inputs!$I$8)))/Inputs!$K$8)^2))^2)))))/Inputs!$C$13)</f>
        <v>-1680.9500470934552</v>
      </c>
      <c r="AO141" s="9">
        <f>(-2*((1000*((((Inputs!$I$9+(((A141)+1)/2)*(Inputs!$J$9-Inputs!$I$9)))*Inputs!$C$11+((Inputs!$H$9+Inputs!$L$9*(((Inputs!$I$9+(((A141)+1)/2)*(Inputs!$J$9-Inputs!$I$9)))/Inputs!$K$9)^2))*((2*Inputs!$L$9*((Inputs!$I$9+(((A141)+1)/2)*(Inputs!$J$9-Inputs!$I$9)))/(Inputs!$K$9^2)*Inputs!$C$11)))/(SQRT(((Inputs!$I$9+(((A141)+1)/2)*(Inputs!$J$9-Inputs!$I$9)))^2+Inputs!$C$6^2+((Inputs!$H$9+Inputs!$L$9*(((Inputs!$I$9+(((A141)+1)/2)*(Inputs!$J$9-Inputs!$I$9)))/Inputs!$K$9)^2))^2)))))/Inputs!$C$13)</f>
        <v>-1686.1577436829066</v>
      </c>
    </row>
    <row r="142" spans="1:41">
      <c r="A142" s="9">
        <f>ROUND(-1+140*2/240,3)</f>
        <v>0.16700000000000001</v>
      </c>
      <c r="B142" s="9">
        <f>IF(OR(Inputs!$F$6=TRUE,Inputs!$F$6="TRUE",Inputs!$F$6=1),(Inputs!$H$6+Inputs!$L$6*(((Inputs!$I$6+(((A142)+1)/2)*(Inputs!$J$6-Inputs!$I$6)))/Inputs!$K$6)^2),NA())</f>
        <v>400.11155600000001</v>
      </c>
      <c r="C142" s="9">
        <f>IF(OR(Inputs!$F$7=TRUE,Inputs!$F$7="TRUE",Inputs!$F$7=1),(Inputs!$H$7+Inputs!$L$7*(((Inputs!$I$7+(((A142)+1)/2)*(Inputs!$J$7-Inputs!$I$7)))/Inputs!$K$7)^2),NA())</f>
        <v>45.179485</v>
      </c>
      <c r="D142" s="9">
        <f>IF(OR(Inputs!$F$8=TRUE,Inputs!$F$8="TRUE",Inputs!$F$8=1),(Inputs!$H$8+Inputs!$L$8*(((Inputs!$I$8+(((A142)+1)/2)*(Inputs!$J$8-Inputs!$I$8)))/Inputs!$K$8)^2),NA())</f>
        <v>61.91288500000001</v>
      </c>
      <c r="E142" s="9">
        <f>IF(OR(Inputs!$F$9=TRUE,Inputs!$F$9="TRUE",Inputs!$F$9=1),(Inputs!$H$9+Inputs!$L$9*(((Inputs!$I$9+(((A142)+1)/2)*(Inputs!$J$9-Inputs!$I$9)))/Inputs!$K$9)^2),NA())</f>
        <v>52.191775000000007</v>
      </c>
      <c r="F142" s="10"/>
      <c r="G142" s="9">
        <f t="shared" si="12"/>
        <v>0.16700000000000001</v>
      </c>
      <c r="H142" s="9">
        <f>IF(OR(Inputs!$F$6=TRUE,Inputs!$F$6="TRUE",Inputs!$F$6=1),(((SQRT(((Inputs!$I$6+(((A142)+1)/2)*(Inputs!$J$6-Inputs!$I$6)))^2+Inputs!$C$6^2+((Inputs!$H$6+Inputs!$L$6*(((Inputs!$I$6+(((A142)+1)/2)*(Inputs!$J$6-Inputs!$I$6)))/Inputs!$K$6)^2))^2))-((Inputs!$H$6+Inputs!$L$6*(((Inputs!$I$6+(((A142)+1)/2)*(Inputs!$J$6-Inputs!$I$6)))/Inputs!$K$6)^2)))*1000/Inputs!$C$12),NA())</f>
        <v>508.69276440232881</v>
      </c>
      <c r="I142" s="9">
        <f>IF(OR(Inputs!$F$7=TRUE,Inputs!$F$7="TRUE",Inputs!$F$7=1),(((SQRT(((Inputs!$I$7+(((A142)+1)/2)*(Inputs!$J$7-Inputs!$I$7)))^2+Inputs!$C$6^2+((Inputs!$H$7+Inputs!$L$7*(((Inputs!$I$7+(((A142)+1)/2)*(Inputs!$J$7-Inputs!$I$7)))/Inputs!$K$7)^2))^2))-((Inputs!$H$7+Inputs!$L$7*(((Inputs!$I$7+(((A142)+1)/2)*(Inputs!$J$7-Inputs!$I$7)))/Inputs!$K$7)^2)))*1000/Inputs!$C$12),NA())</f>
        <v>22050.854333705047</v>
      </c>
      <c r="J142" s="9">
        <f>IF(OR(Inputs!$F$8=TRUE,Inputs!$F$8="TRUE",Inputs!$F$8=1),(((SQRT(((Inputs!$I$8+(((A142)+1)/2)*(Inputs!$J$8-Inputs!$I$8)))^2+Inputs!$C$6^2+((Inputs!$H$8+Inputs!$L$8*(((Inputs!$I$8+(((A142)+1)/2)*(Inputs!$J$8-Inputs!$I$8)))/Inputs!$K$8)^2))^2))-((Inputs!$H$8+Inputs!$L$8*(((Inputs!$I$8+(((A142)+1)/2)*(Inputs!$J$8-Inputs!$I$8)))/Inputs!$K$8)^2)))*1000/Inputs!$C$12),NA())</f>
        <v>49125.252584195696</v>
      </c>
      <c r="K142" s="9">
        <f>IF(OR(Inputs!$F$9=TRUE,Inputs!$F$9="TRUE",Inputs!$F$9=1),(((SQRT(((Inputs!$I$9+(((A142)+1)/2)*(Inputs!$J$9-Inputs!$I$9)))^2+Inputs!$C$6^2+((Inputs!$H$9+Inputs!$L$9*(((Inputs!$I$9+(((A142)+1)/2)*(Inputs!$J$9-Inputs!$I$9)))/Inputs!$K$9)^2))^2))-((Inputs!$H$9+Inputs!$L$9*(((Inputs!$I$9+(((A142)+1)/2)*(Inputs!$J$9-Inputs!$I$9)))/Inputs!$K$9)^2)))*1000/Inputs!$C$12),NA())</f>
        <v>52473.79397517621</v>
      </c>
      <c r="L142" s="10"/>
      <c r="M142" s="9">
        <f t="shared" si="13"/>
        <v>0.16700000000000001</v>
      </c>
      <c r="N142" s="9">
        <f>IF(OR(Inputs!$F$6=TRUE,Inputs!$F$6="TRUE",Inputs!$F$6=1),(-2*((1000*((((Inputs!$I$6+(((A142)+1)/2)*(Inputs!$J$6-Inputs!$I$6)))*Inputs!$C$11+((Inputs!$H$6+Inputs!$L$6*(((Inputs!$I$6+(((A142)+1)/2)*(Inputs!$J$6-Inputs!$I$6)))/Inputs!$K$6)^2))*((2*Inputs!$L$6*((Inputs!$I$6+(((A142)+1)/2)*(Inputs!$J$6-Inputs!$I$6)))/(Inputs!$K$6^2)*Inputs!$C$11)))/(SQRT(((Inputs!$I$6+(((A142)+1)/2)*(Inputs!$J$6-Inputs!$I$6)))^2+Inputs!$C$6^2+((Inputs!$H$6+Inputs!$L$6*(((Inputs!$I$6+(((A142)+1)/2)*(Inputs!$J$6-Inputs!$I$6)))/Inputs!$K$6)^2))^2)))))/Inputs!$C$13),NA())</f>
        <v>-75.524575855311937</v>
      </c>
      <c r="O142" s="9">
        <f>IF(OR(Inputs!$F$7=TRUE,Inputs!$F$7="TRUE",Inputs!$F$7=1),(-2*((1000*((((Inputs!$I$7+(((A142)+1)/2)*(Inputs!$J$7-Inputs!$I$7)))*Inputs!$C$11+((Inputs!$H$7+Inputs!$L$7*(((Inputs!$I$7+(((A142)+1)/2)*(Inputs!$J$7-Inputs!$I$7)))/Inputs!$K$7)^2))*((2*Inputs!$L$7*((Inputs!$I$7+(((A142)+1)/2)*(Inputs!$J$7-Inputs!$I$7)))/(Inputs!$K$7^2)*Inputs!$C$11)))/(SQRT(((Inputs!$I$7+(((A142)+1)/2)*(Inputs!$J$7-Inputs!$I$7)))^2+Inputs!$C$6^2+((Inputs!$H$7+Inputs!$L$7*(((Inputs!$I$7+(((A142)+1)/2)*(Inputs!$J$7-Inputs!$I$7)))/Inputs!$K$7)^2))^2)))))/Inputs!$C$13),NA())</f>
        <v>-1526.8425363144549</v>
      </c>
      <c r="P142" s="9">
        <f>IF(OR(Inputs!$F$8=TRUE,Inputs!$F$8="TRUE",Inputs!$F$8=1),(-2*((1000*((((Inputs!$I$8+(((A142)+1)/2)*(Inputs!$J$8-Inputs!$I$8)))*Inputs!$C$11+((Inputs!$H$8+Inputs!$L$8*(((Inputs!$I$8+(((A142)+1)/2)*(Inputs!$J$8-Inputs!$I$8)))/Inputs!$K$8)^2))*((2*Inputs!$L$8*((Inputs!$I$8+(((A142)+1)/2)*(Inputs!$J$8-Inputs!$I$8)))/(Inputs!$K$8^2)*Inputs!$C$11)))/(SQRT(((Inputs!$I$8+(((A142)+1)/2)*(Inputs!$J$8-Inputs!$I$8)))^2+Inputs!$C$6^2+((Inputs!$H$8+Inputs!$L$8*(((Inputs!$I$8+(((A142)+1)/2)*(Inputs!$J$8-Inputs!$I$8)))/Inputs!$K$8)^2))^2)))))/Inputs!$C$13),NA())</f>
        <v>-1698.4290209237238</v>
      </c>
      <c r="Q142" s="9">
        <f>IF(OR(Inputs!$F$9=TRUE,Inputs!$F$9="TRUE",Inputs!$F$9=1),(-2*((1000*((((Inputs!$I$9+(((A142)+1)/2)*(Inputs!$J$9-Inputs!$I$9)))*Inputs!$C$11+((Inputs!$H$9+Inputs!$L$9*(((Inputs!$I$9+(((A142)+1)/2)*(Inputs!$J$9-Inputs!$I$9)))/Inputs!$K$9)^2))*((2*Inputs!$L$9*((Inputs!$I$9+(((A142)+1)/2)*(Inputs!$J$9-Inputs!$I$9)))/(Inputs!$K$9^2)*Inputs!$C$11)))/(SQRT(((Inputs!$I$9+(((A142)+1)/2)*(Inputs!$J$9-Inputs!$I$9)))^2+Inputs!$C$6^2+((Inputs!$H$9+Inputs!$L$9*(((Inputs!$I$9+(((A142)+1)/2)*(Inputs!$J$9-Inputs!$I$9)))/Inputs!$K$9)^2))^2)))))/Inputs!$C$13),NA())</f>
        <v>-1701.6537983891926</v>
      </c>
      <c r="R142" s="10"/>
      <c r="S142" s="9">
        <f t="shared" si="14"/>
        <v>0.16700000000000001</v>
      </c>
      <c r="T142" s="9">
        <f>(Inputs!$I$6+(((A142)+1)/2)*(Inputs!$J$6-Inputs!$I$6))</f>
        <v>10.019999999999996</v>
      </c>
      <c r="U142" s="9">
        <f>(Inputs!$I$7+(((A142)+1)/2)*(Inputs!$J$7-Inputs!$I$7))</f>
        <v>66.800000000000011</v>
      </c>
      <c r="V142" s="9">
        <f>(Inputs!$I$8+(((A142)+1)/2)*(Inputs!$J$8-Inputs!$I$8))</f>
        <v>133.60000000000002</v>
      </c>
      <c r="W142" s="9">
        <f>(Inputs!$I$9+(((A142)+1)/2)*(Inputs!$J$9-Inputs!$I$9))</f>
        <v>133.60000000000002</v>
      </c>
      <c r="X142" s="10"/>
      <c r="Y142" s="9">
        <f t="shared" si="15"/>
        <v>0.16700000000000001</v>
      </c>
      <c r="Z142" s="9">
        <f>(Inputs!$H$6+Inputs!$L$6*(((Inputs!$I$6+(((A142)+1)/2)*(Inputs!$J$6-Inputs!$I$6)))/Inputs!$K$6)^2)</f>
        <v>400.11155600000001</v>
      </c>
      <c r="AA142" s="9">
        <f>(Inputs!$H$7+Inputs!$L$7*(((Inputs!$I$7+(((A142)+1)/2)*(Inputs!$J$7-Inputs!$I$7)))/Inputs!$K$7)^2)</f>
        <v>45.179485</v>
      </c>
      <c r="AB142" s="9">
        <f>(Inputs!$H$8+Inputs!$L$8*(((Inputs!$I$8+(((A142)+1)/2)*(Inputs!$J$8-Inputs!$I$8)))/Inputs!$K$8)^2)</f>
        <v>61.91288500000001</v>
      </c>
      <c r="AC142" s="9">
        <f>(Inputs!$H$9+Inputs!$L$9*(((Inputs!$I$9+(((A142)+1)/2)*(Inputs!$J$9-Inputs!$I$9)))/Inputs!$K$9)^2)</f>
        <v>52.191775000000007</v>
      </c>
      <c r="AD142" s="10"/>
      <c r="AE142" s="9">
        <f t="shared" si="16"/>
        <v>0.16700000000000001</v>
      </c>
      <c r="AF142" s="9">
        <f>(((SQRT(((Inputs!$I$6+(((A142)+1)/2)*(Inputs!$J$6-Inputs!$I$6)))^2+Inputs!$C$6^2+((Inputs!$H$6+Inputs!$L$6*(((Inputs!$I$6+(((A142)+1)/2)*(Inputs!$J$6-Inputs!$I$6)))/Inputs!$K$6)^2))^2))-((Inputs!$H$6+Inputs!$L$6*(((Inputs!$I$6+(((A142)+1)/2)*(Inputs!$J$6-Inputs!$I$6)))/Inputs!$K$6)^2)))*1000/Inputs!$C$12)</f>
        <v>508.69276440232881</v>
      </c>
      <c r="AG142" s="9">
        <f>(((SQRT(((Inputs!$I$7+(((A142)+1)/2)*(Inputs!$J$7-Inputs!$I$7)))^2+Inputs!$C$6^2+((Inputs!$H$7+Inputs!$L$7*(((Inputs!$I$7+(((A142)+1)/2)*(Inputs!$J$7-Inputs!$I$7)))/Inputs!$K$7)^2))^2))-((Inputs!$H$7+Inputs!$L$7*(((Inputs!$I$7+(((A142)+1)/2)*(Inputs!$J$7-Inputs!$I$7)))/Inputs!$K$7)^2)))*1000/Inputs!$C$12)</f>
        <v>22050.854333705047</v>
      </c>
      <c r="AH142" s="9">
        <f>(((SQRT(((Inputs!$I$8+(((A142)+1)/2)*(Inputs!$J$8-Inputs!$I$8)))^2+Inputs!$C$6^2+((Inputs!$H$8+Inputs!$L$8*(((Inputs!$I$8+(((A142)+1)/2)*(Inputs!$J$8-Inputs!$I$8)))/Inputs!$K$8)^2))^2))-((Inputs!$H$8+Inputs!$L$8*(((Inputs!$I$8+(((A142)+1)/2)*(Inputs!$J$8-Inputs!$I$8)))/Inputs!$K$8)^2)))*1000/Inputs!$C$12)</f>
        <v>49125.252584195696</v>
      </c>
      <c r="AI142" s="9">
        <f>(((SQRT(((Inputs!$I$9+(((A142)+1)/2)*(Inputs!$J$9-Inputs!$I$9)))^2+Inputs!$C$6^2+((Inputs!$H$9+Inputs!$L$9*(((Inputs!$I$9+(((A142)+1)/2)*(Inputs!$J$9-Inputs!$I$9)))/Inputs!$K$9)^2))^2))-((Inputs!$H$9+Inputs!$L$9*(((Inputs!$I$9+(((A142)+1)/2)*(Inputs!$J$9-Inputs!$I$9)))/Inputs!$K$9)^2)))*1000/Inputs!$C$12)</f>
        <v>52473.79397517621</v>
      </c>
      <c r="AJ142" s="10"/>
      <c r="AK142" s="9">
        <f t="shared" si="17"/>
        <v>0.16700000000000001</v>
      </c>
      <c r="AL142" s="9">
        <f>(-2*((1000*((((Inputs!$I$6+(((A142)+1)/2)*(Inputs!$J$6-Inputs!$I$6)))*Inputs!$C$11+((Inputs!$H$6+Inputs!$L$6*(((Inputs!$I$6+(((A142)+1)/2)*(Inputs!$J$6-Inputs!$I$6)))/Inputs!$K$6)^2))*((2*Inputs!$L$6*((Inputs!$I$6+(((A142)+1)/2)*(Inputs!$J$6-Inputs!$I$6)))/(Inputs!$K$6^2)*Inputs!$C$11)))/(SQRT(((Inputs!$I$6+(((A142)+1)/2)*(Inputs!$J$6-Inputs!$I$6)))^2+Inputs!$C$6^2+((Inputs!$H$6+Inputs!$L$6*(((Inputs!$I$6+(((A142)+1)/2)*(Inputs!$J$6-Inputs!$I$6)))/Inputs!$K$6)^2))^2)))))/Inputs!$C$13)</f>
        <v>-75.524575855311937</v>
      </c>
      <c r="AM142" s="9">
        <f>(-2*((1000*((((Inputs!$I$7+(((A142)+1)/2)*(Inputs!$J$7-Inputs!$I$7)))*Inputs!$C$11+((Inputs!$H$7+Inputs!$L$7*(((Inputs!$I$7+(((A142)+1)/2)*(Inputs!$J$7-Inputs!$I$7)))/Inputs!$K$7)^2))*((2*Inputs!$L$7*((Inputs!$I$7+(((A142)+1)/2)*(Inputs!$J$7-Inputs!$I$7)))/(Inputs!$K$7^2)*Inputs!$C$11)))/(SQRT(((Inputs!$I$7+(((A142)+1)/2)*(Inputs!$J$7-Inputs!$I$7)))^2+Inputs!$C$6^2+((Inputs!$H$7+Inputs!$L$7*(((Inputs!$I$7+(((A142)+1)/2)*(Inputs!$J$7-Inputs!$I$7)))/Inputs!$K$7)^2))^2)))))/Inputs!$C$13)</f>
        <v>-1526.8425363144549</v>
      </c>
      <c r="AN142" s="9">
        <f>(-2*((1000*((((Inputs!$I$8+(((A142)+1)/2)*(Inputs!$J$8-Inputs!$I$8)))*Inputs!$C$11+((Inputs!$H$8+Inputs!$L$8*(((Inputs!$I$8+(((A142)+1)/2)*(Inputs!$J$8-Inputs!$I$8)))/Inputs!$K$8)^2))*((2*Inputs!$L$8*((Inputs!$I$8+(((A142)+1)/2)*(Inputs!$J$8-Inputs!$I$8)))/(Inputs!$K$8^2)*Inputs!$C$11)))/(SQRT(((Inputs!$I$8+(((A142)+1)/2)*(Inputs!$J$8-Inputs!$I$8)))^2+Inputs!$C$6^2+((Inputs!$H$8+Inputs!$L$8*(((Inputs!$I$8+(((A142)+1)/2)*(Inputs!$J$8-Inputs!$I$8)))/Inputs!$K$8)^2))^2)))))/Inputs!$C$13)</f>
        <v>-1698.4290209237238</v>
      </c>
      <c r="AO142" s="9">
        <f>(-2*((1000*((((Inputs!$I$9+(((A142)+1)/2)*(Inputs!$J$9-Inputs!$I$9)))*Inputs!$C$11+((Inputs!$H$9+Inputs!$L$9*(((Inputs!$I$9+(((A142)+1)/2)*(Inputs!$J$9-Inputs!$I$9)))/Inputs!$K$9)^2))*((2*Inputs!$L$9*((Inputs!$I$9+(((A142)+1)/2)*(Inputs!$J$9-Inputs!$I$9)))/(Inputs!$K$9^2)*Inputs!$C$11)))/(SQRT(((Inputs!$I$9+(((A142)+1)/2)*(Inputs!$J$9-Inputs!$I$9)))^2+Inputs!$C$6^2+((Inputs!$H$9+Inputs!$L$9*(((Inputs!$I$9+(((A142)+1)/2)*(Inputs!$J$9-Inputs!$I$9)))/Inputs!$K$9)^2))^2)))))/Inputs!$C$13)</f>
        <v>-1701.6537983891926</v>
      </c>
    </row>
    <row r="143" spans="1:41">
      <c r="A143" s="9">
        <f>ROUND(-1+141*2/240,3)</f>
        <v>0.17499999999999999</v>
      </c>
      <c r="B143" s="9">
        <f>IF(OR(Inputs!$F$6=TRUE,Inputs!$F$6="TRUE",Inputs!$F$6=1),(Inputs!$H$6+Inputs!$L$6*(((Inputs!$I$6+(((A143)+1)/2)*(Inputs!$J$6-Inputs!$I$6)))/Inputs!$K$6)^2),NA())</f>
        <v>400.1225</v>
      </c>
      <c r="C143" s="9">
        <f>IF(OR(Inputs!$F$7=TRUE,Inputs!$F$7="TRUE",Inputs!$F$7=1),(Inputs!$H$7+Inputs!$L$7*(((Inputs!$I$7+(((A143)+1)/2)*(Inputs!$J$7-Inputs!$I$7)))/Inputs!$K$7)^2),NA())</f>
        <v>46.178124999999994</v>
      </c>
      <c r="D143" s="9">
        <f>IF(OR(Inputs!$F$8=TRUE,Inputs!$F$8="TRUE",Inputs!$F$8=1),(Inputs!$H$8+Inputs!$L$8*(((Inputs!$I$8+(((A143)+1)/2)*(Inputs!$J$8-Inputs!$I$8)))/Inputs!$K$8)^2),NA())</f>
        <v>64.553124999999994</v>
      </c>
      <c r="E143" s="9">
        <f>IF(OR(Inputs!$F$9=TRUE,Inputs!$F$9="TRUE",Inputs!$F$9=1),(Inputs!$H$9+Inputs!$L$9*(((Inputs!$I$9+(((A143)+1)/2)*(Inputs!$J$9-Inputs!$I$9)))/Inputs!$K$9)^2),NA())</f>
        <v>54.859375</v>
      </c>
      <c r="F143" s="10"/>
      <c r="G143" s="9">
        <f t="shared" si="12"/>
        <v>0.17499999999999999</v>
      </c>
      <c r="H143" s="9">
        <f>IF(OR(Inputs!$F$6=TRUE,Inputs!$F$6="TRUE",Inputs!$F$6=1),(((SQRT(((Inputs!$I$6+(((A143)+1)/2)*(Inputs!$J$6-Inputs!$I$6)))^2+Inputs!$C$6^2+((Inputs!$H$6+Inputs!$L$6*(((Inputs!$I$6+(((A143)+1)/2)*(Inputs!$J$6-Inputs!$I$6)))/Inputs!$K$6)^2))^2))-((Inputs!$H$6+Inputs!$L$6*(((Inputs!$I$6+(((A143)+1)/2)*(Inputs!$J$6-Inputs!$I$6)))/Inputs!$K$6)^2)))*1000/Inputs!$C$12),NA())</f>
        <v>515.57790068694419</v>
      </c>
      <c r="I143" s="9">
        <f>IF(OR(Inputs!$F$7=TRUE,Inputs!$F$7="TRUE",Inputs!$F$7=1),(((SQRT(((Inputs!$I$7+(((A143)+1)/2)*(Inputs!$J$7-Inputs!$I$7)))^2+Inputs!$C$6^2+((Inputs!$H$7+Inputs!$L$7*(((Inputs!$I$7+(((A143)+1)/2)*(Inputs!$J$7-Inputs!$I$7)))/Inputs!$K$7)^2))^2))-((Inputs!$H$7+Inputs!$L$7*(((Inputs!$I$7+(((A143)+1)/2)*(Inputs!$J$7-Inputs!$I$7)))/Inputs!$K$7)^2)))*1000/Inputs!$C$12),NA())</f>
        <v>23218.289916145059</v>
      </c>
      <c r="J143" s="9">
        <f>IF(OR(Inputs!$F$8=TRUE,Inputs!$F$8="TRUE",Inputs!$F$8=1),(((SQRT(((Inputs!$I$8+(((A143)+1)/2)*(Inputs!$J$8-Inputs!$I$8)))^2+Inputs!$C$6^2+((Inputs!$H$8+Inputs!$L$8*(((Inputs!$I$8+(((A143)+1)/2)*(Inputs!$J$8-Inputs!$I$8)))/Inputs!$K$8)^2))^2))-((Inputs!$H$8+Inputs!$L$8*(((Inputs!$I$8+(((A143)+1)/2)*(Inputs!$J$8-Inputs!$I$8)))/Inputs!$K$8)^2)))*1000/Inputs!$C$12),NA())</f>
        <v>51475.616981466606</v>
      </c>
      <c r="K143" s="9">
        <f>IF(OR(Inputs!$F$9=TRUE,Inputs!$F$9="TRUE",Inputs!$F$9=1),(((SQRT(((Inputs!$I$9+(((A143)+1)/2)*(Inputs!$J$9-Inputs!$I$9)))^2+Inputs!$C$6^2+((Inputs!$H$9+Inputs!$L$9*(((Inputs!$I$9+(((A143)+1)/2)*(Inputs!$J$9-Inputs!$I$9)))/Inputs!$K$9)^2))^2))-((Inputs!$H$9+Inputs!$L$9*(((Inputs!$I$9+(((A143)+1)/2)*(Inputs!$J$9-Inputs!$I$9)))/Inputs!$K$9)^2)))*1000/Inputs!$C$12),NA())</f>
        <v>54814.305740530028</v>
      </c>
      <c r="L143" s="10"/>
      <c r="M143" s="9">
        <f t="shared" si="13"/>
        <v>0.17499999999999999</v>
      </c>
      <c r="N143" s="9">
        <f>IF(OR(Inputs!$F$6=TRUE,Inputs!$F$6="TRUE",Inputs!$F$6=1),(-2*((1000*((((Inputs!$I$6+(((A143)+1)/2)*(Inputs!$J$6-Inputs!$I$6)))*Inputs!$C$11+((Inputs!$H$6+Inputs!$L$6*(((Inputs!$I$6+(((A143)+1)/2)*(Inputs!$J$6-Inputs!$I$6)))/Inputs!$K$6)^2))*((2*Inputs!$L$6*((Inputs!$I$6+(((A143)+1)/2)*(Inputs!$J$6-Inputs!$I$6)))/(Inputs!$K$6^2)*Inputs!$C$11)))/(SQRT(((Inputs!$I$6+(((A143)+1)/2)*(Inputs!$J$6-Inputs!$I$6)))^2+Inputs!$C$6^2+((Inputs!$H$6+Inputs!$L$6*(((Inputs!$I$6+(((A143)+1)/2)*(Inputs!$J$6-Inputs!$I$6)))/Inputs!$K$6)^2))^2)))))/Inputs!$C$13),NA())</f>
        <v>-79.138960129904746</v>
      </c>
      <c r="O143" s="9">
        <f>IF(OR(Inputs!$F$7=TRUE,Inputs!$F$7="TRUE",Inputs!$F$7=1),(-2*((1000*((((Inputs!$I$7+(((A143)+1)/2)*(Inputs!$J$7-Inputs!$I$7)))*Inputs!$C$11+((Inputs!$H$7+Inputs!$L$7*(((Inputs!$I$7+(((A143)+1)/2)*(Inputs!$J$7-Inputs!$I$7)))/Inputs!$K$7)^2))*((2*Inputs!$L$7*((Inputs!$I$7+(((A143)+1)/2)*(Inputs!$J$7-Inputs!$I$7)))/(Inputs!$K$7^2)*Inputs!$C$11)))/(SQRT(((Inputs!$I$7+(((A143)+1)/2)*(Inputs!$J$7-Inputs!$I$7)))^2+Inputs!$C$6^2+((Inputs!$H$7+Inputs!$L$7*(((Inputs!$I$7+(((A143)+1)/2)*(Inputs!$J$7-Inputs!$I$7)))/Inputs!$K$7)^2))^2)))))/Inputs!$C$13),NA())</f>
        <v>-1549.5619334068679</v>
      </c>
      <c r="P143" s="9">
        <f>IF(OR(Inputs!$F$8=TRUE,Inputs!$F$8="TRUE",Inputs!$F$8=1),(-2*((1000*((((Inputs!$I$8+(((A143)+1)/2)*(Inputs!$J$8-Inputs!$I$8)))*Inputs!$C$11+((Inputs!$H$8+Inputs!$L$8*(((Inputs!$I$8+(((A143)+1)/2)*(Inputs!$J$8-Inputs!$I$8)))/Inputs!$K$8)^2))*((2*Inputs!$L$8*((Inputs!$I$8+(((A143)+1)/2)*(Inputs!$J$8-Inputs!$I$8)))/(Inputs!$K$8^2)*Inputs!$C$11)))/(SQRT(((Inputs!$I$8+(((A143)+1)/2)*(Inputs!$J$8-Inputs!$I$8)))^2+Inputs!$C$6^2+((Inputs!$H$8+Inputs!$L$8*(((Inputs!$I$8+(((A143)+1)/2)*(Inputs!$J$8-Inputs!$I$8)))/Inputs!$K$8)^2))^2)))))/Inputs!$C$13),NA())</f>
        <v>-1713.4467292436516</v>
      </c>
      <c r="Q143" s="9">
        <f>IF(OR(Inputs!$F$9=TRUE,Inputs!$F$9="TRUE",Inputs!$F$9=1),(-2*((1000*((((Inputs!$I$9+(((A143)+1)/2)*(Inputs!$J$9-Inputs!$I$9)))*Inputs!$C$11+((Inputs!$H$9+Inputs!$L$9*(((Inputs!$I$9+(((A143)+1)/2)*(Inputs!$J$9-Inputs!$I$9)))/Inputs!$K$9)^2))*((2*Inputs!$L$9*((Inputs!$I$9+(((A143)+1)/2)*(Inputs!$J$9-Inputs!$I$9)))/(Inputs!$K$9^2)*Inputs!$C$11)))/(SQRT(((Inputs!$I$9+(((A143)+1)/2)*(Inputs!$J$9-Inputs!$I$9)))^2+Inputs!$C$6^2+((Inputs!$H$9+Inputs!$L$9*(((Inputs!$I$9+(((A143)+1)/2)*(Inputs!$J$9-Inputs!$I$9)))/Inputs!$K$9)^2))^2)))))/Inputs!$C$13),NA())</f>
        <v>-1715.1709924350121</v>
      </c>
      <c r="R143" s="10"/>
      <c r="S143" s="9">
        <f t="shared" si="14"/>
        <v>0.17499999999999999</v>
      </c>
      <c r="T143" s="9">
        <f>(Inputs!$I$6+(((A143)+1)/2)*(Inputs!$J$6-Inputs!$I$6))</f>
        <v>10.5</v>
      </c>
      <c r="U143" s="9">
        <f>(Inputs!$I$7+(((A143)+1)/2)*(Inputs!$J$7-Inputs!$I$7))</f>
        <v>70</v>
      </c>
      <c r="V143" s="9">
        <f>(Inputs!$I$8+(((A143)+1)/2)*(Inputs!$J$8-Inputs!$I$8))</f>
        <v>140</v>
      </c>
      <c r="W143" s="9">
        <f>(Inputs!$I$9+(((A143)+1)/2)*(Inputs!$J$9-Inputs!$I$9))</f>
        <v>140</v>
      </c>
      <c r="X143" s="10"/>
      <c r="Y143" s="9">
        <f t="shared" si="15"/>
        <v>0.17499999999999999</v>
      </c>
      <c r="Z143" s="9">
        <f>(Inputs!$H$6+Inputs!$L$6*(((Inputs!$I$6+(((A143)+1)/2)*(Inputs!$J$6-Inputs!$I$6)))/Inputs!$K$6)^2)</f>
        <v>400.1225</v>
      </c>
      <c r="AA143" s="9">
        <f>(Inputs!$H$7+Inputs!$L$7*(((Inputs!$I$7+(((A143)+1)/2)*(Inputs!$J$7-Inputs!$I$7)))/Inputs!$K$7)^2)</f>
        <v>46.178124999999994</v>
      </c>
      <c r="AB143" s="9">
        <f>(Inputs!$H$8+Inputs!$L$8*(((Inputs!$I$8+(((A143)+1)/2)*(Inputs!$J$8-Inputs!$I$8)))/Inputs!$K$8)^2)</f>
        <v>64.553124999999994</v>
      </c>
      <c r="AC143" s="9">
        <f>(Inputs!$H$9+Inputs!$L$9*(((Inputs!$I$9+(((A143)+1)/2)*(Inputs!$J$9-Inputs!$I$9)))/Inputs!$K$9)^2)</f>
        <v>54.859375</v>
      </c>
      <c r="AD143" s="10"/>
      <c r="AE143" s="9">
        <f t="shared" si="16"/>
        <v>0.17499999999999999</v>
      </c>
      <c r="AF143" s="9">
        <f>(((SQRT(((Inputs!$I$6+(((A143)+1)/2)*(Inputs!$J$6-Inputs!$I$6)))^2+Inputs!$C$6^2+((Inputs!$H$6+Inputs!$L$6*(((Inputs!$I$6+(((A143)+1)/2)*(Inputs!$J$6-Inputs!$I$6)))/Inputs!$K$6)^2))^2))-((Inputs!$H$6+Inputs!$L$6*(((Inputs!$I$6+(((A143)+1)/2)*(Inputs!$J$6-Inputs!$I$6)))/Inputs!$K$6)^2)))*1000/Inputs!$C$12)</f>
        <v>515.57790068694419</v>
      </c>
      <c r="AG143" s="9">
        <f>(((SQRT(((Inputs!$I$7+(((A143)+1)/2)*(Inputs!$J$7-Inputs!$I$7)))^2+Inputs!$C$6^2+((Inputs!$H$7+Inputs!$L$7*(((Inputs!$I$7+(((A143)+1)/2)*(Inputs!$J$7-Inputs!$I$7)))/Inputs!$K$7)^2))^2))-((Inputs!$H$7+Inputs!$L$7*(((Inputs!$I$7+(((A143)+1)/2)*(Inputs!$J$7-Inputs!$I$7)))/Inputs!$K$7)^2)))*1000/Inputs!$C$12)</f>
        <v>23218.289916145059</v>
      </c>
      <c r="AH143" s="9">
        <f>(((SQRT(((Inputs!$I$8+(((A143)+1)/2)*(Inputs!$J$8-Inputs!$I$8)))^2+Inputs!$C$6^2+((Inputs!$H$8+Inputs!$L$8*(((Inputs!$I$8+(((A143)+1)/2)*(Inputs!$J$8-Inputs!$I$8)))/Inputs!$K$8)^2))^2))-((Inputs!$H$8+Inputs!$L$8*(((Inputs!$I$8+(((A143)+1)/2)*(Inputs!$J$8-Inputs!$I$8)))/Inputs!$K$8)^2)))*1000/Inputs!$C$12)</f>
        <v>51475.616981466606</v>
      </c>
      <c r="AI143" s="9">
        <f>(((SQRT(((Inputs!$I$9+(((A143)+1)/2)*(Inputs!$J$9-Inputs!$I$9)))^2+Inputs!$C$6^2+((Inputs!$H$9+Inputs!$L$9*(((Inputs!$I$9+(((A143)+1)/2)*(Inputs!$J$9-Inputs!$I$9)))/Inputs!$K$9)^2))^2))-((Inputs!$H$9+Inputs!$L$9*(((Inputs!$I$9+(((A143)+1)/2)*(Inputs!$J$9-Inputs!$I$9)))/Inputs!$K$9)^2)))*1000/Inputs!$C$12)</f>
        <v>54814.305740530028</v>
      </c>
      <c r="AJ143" s="10"/>
      <c r="AK143" s="9">
        <f t="shared" si="17"/>
        <v>0.17499999999999999</v>
      </c>
      <c r="AL143" s="9">
        <f>(-2*((1000*((((Inputs!$I$6+(((A143)+1)/2)*(Inputs!$J$6-Inputs!$I$6)))*Inputs!$C$11+((Inputs!$H$6+Inputs!$L$6*(((Inputs!$I$6+(((A143)+1)/2)*(Inputs!$J$6-Inputs!$I$6)))/Inputs!$K$6)^2))*((2*Inputs!$L$6*((Inputs!$I$6+(((A143)+1)/2)*(Inputs!$J$6-Inputs!$I$6)))/(Inputs!$K$6^2)*Inputs!$C$11)))/(SQRT(((Inputs!$I$6+(((A143)+1)/2)*(Inputs!$J$6-Inputs!$I$6)))^2+Inputs!$C$6^2+((Inputs!$H$6+Inputs!$L$6*(((Inputs!$I$6+(((A143)+1)/2)*(Inputs!$J$6-Inputs!$I$6)))/Inputs!$K$6)^2))^2)))))/Inputs!$C$13)</f>
        <v>-79.138960129904746</v>
      </c>
      <c r="AM143" s="9">
        <f>(-2*((1000*((((Inputs!$I$7+(((A143)+1)/2)*(Inputs!$J$7-Inputs!$I$7)))*Inputs!$C$11+((Inputs!$H$7+Inputs!$L$7*(((Inputs!$I$7+(((A143)+1)/2)*(Inputs!$J$7-Inputs!$I$7)))/Inputs!$K$7)^2))*((2*Inputs!$L$7*((Inputs!$I$7+(((A143)+1)/2)*(Inputs!$J$7-Inputs!$I$7)))/(Inputs!$K$7^2)*Inputs!$C$11)))/(SQRT(((Inputs!$I$7+(((A143)+1)/2)*(Inputs!$J$7-Inputs!$I$7)))^2+Inputs!$C$6^2+((Inputs!$H$7+Inputs!$L$7*(((Inputs!$I$7+(((A143)+1)/2)*(Inputs!$J$7-Inputs!$I$7)))/Inputs!$K$7)^2))^2)))))/Inputs!$C$13)</f>
        <v>-1549.5619334068679</v>
      </c>
      <c r="AN143" s="9">
        <f>(-2*((1000*((((Inputs!$I$8+(((A143)+1)/2)*(Inputs!$J$8-Inputs!$I$8)))*Inputs!$C$11+((Inputs!$H$8+Inputs!$L$8*(((Inputs!$I$8+(((A143)+1)/2)*(Inputs!$J$8-Inputs!$I$8)))/Inputs!$K$8)^2))*((2*Inputs!$L$8*((Inputs!$I$8+(((A143)+1)/2)*(Inputs!$J$8-Inputs!$I$8)))/(Inputs!$K$8^2)*Inputs!$C$11)))/(SQRT(((Inputs!$I$8+(((A143)+1)/2)*(Inputs!$J$8-Inputs!$I$8)))^2+Inputs!$C$6^2+((Inputs!$H$8+Inputs!$L$8*(((Inputs!$I$8+(((A143)+1)/2)*(Inputs!$J$8-Inputs!$I$8)))/Inputs!$K$8)^2))^2)))))/Inputs!$C$13)</f>
        <v>-1713.4467292436516</v>
      </c>
      <c r="AO143" s="9">
        <f>(-2*((1000*((((Inputs!$I$9+(((A143)+1)/2)*(Inputs!$J$9-Inputs!$I$9)))*Inputs!$C$11+((Inputs!$H$9+Inputs!$L$9*(((Inputs!$I$9+(((A143)+1)/2)*(Inputs!$J$9-Inputs!$I$9)))/Inputs!$K$9)^2))*((2*Inputs!$L$9*((Inputs!$I$9+(((A143)+1)/2)*(Inputs!$J$9-Inputs!$I$9)))/(Inputs!$K$9^2)*Inputs!$C$11)))/(SQRT(((Inputs!$I$9+(((A143)+1)/2)*(Inputs!$J$9-Inputs!$I$9)))^2+Inputs!$C$6^2+((Inputs!$H$9+Inputs!$L$9*(((Inputs!$I$9+(((A143)+1)/2)*(Inputs!$J$9-Inputs!$I$9)))/Inputs!$K$9)^2))^2)))))/Inputs!$C$13)</f>
        <v>-1715.1709924350121</v>
      </c>
    </row>
    <row r="144" spans="1:41">
      <c r="A144" s="9">
        <f>ROUND(-1+142*2/240,3)</f>
        <v>0.183</v>
      </c>
      <c r="B144" s="9">
        <f>IF(OR(Inputs!$F$6=TRUE,Inputs!$F$6="TRUE",Inputs!$F$6=1),(Inputs!$H$6+Inputs!$L$6*(((Inputs!$I$6+(((A144)+1)/2)*(Inputs!$J$6-Inputs!$I$6)))/Inputs!$K$6)^2),NA())</f>
        <v>400.13395600000001</v>
      </c>
      <c r="C144" s="9">
        <f>IF(OR(Inputs!$F$7=TRUE,Inputs!$F$7="TRUE",Inputs!$F$7=1),(Inputs!$H$7+Inputs!$L$7*(((Inputs!$I$7+(((A144)+1)/2)*(Inputs!$J$7-Inputs!$I$7)))/Inputs!$K$7)^2),NA())</f>
        <v>47.223485000000011</v>
      </c>
      <c r="D144" s="9">
        <f>IF(OR(Inputs!$F$8=TRUE,Inputs!$F$8="TRUE",Inputs!$F$8=1),(Inputs!$H$8+Inputs!$L$8*(((Inputs!$I$8+(((A144)+1)/2)*(Inputs!$J$8-Inputs!$I$8)))/Inputs!$K$8)^2),NA())</f>
        <v>67.316885000000042</v>
      </c>
      <c r="E144" s="9">
        <f>IF(OR(Inputs!$F$9=TRUE,Inputs!$F$9="TRUE",Inputs!$F$9=1),(Inputs!$H$9+Inputs!$L$9*(((Inputs!$I$9+(((A144)+1)/2)*(Inputs!$J$9-Inputs!$I$9)))/Inputs!$K$9)^2),NA())</f>
        <v>57.651775000000036</v>
      </c>
      <c r="F144" s="10"/>
      <c r="G144" s="9">
        <f t="shared" si="12"/>
        <v>0.183</v>
      </c>
      <c r="H144" s="9">
        <f>IF(OR(Inputs!$F$6=TRUE,Inputs!$F$6="TRUE",Inputs!$F$6=1),(((SQRT(((Inputs!$I$6+(((A144)+1)/2)*(Inputs!$J$6-Inputs!$I$6)))^2+Inputs!$C$6^2+((Inputs!$H$6+Inputs!$L$6*(((Inputs!$I$6+(((A144)+1)/2)*(Inputs!$J$6-Inputs!$I$6)))/Inputs!$K$6)^2))^2))-((Inputs!$H$6+Inputs!$L$6*(((Inputs!$I$6+(((A144)+1)/2)*(Inputs!$J$6-Inputs!$I$6)))/Inputs!$K$6)^2)))*1000/Inputs!$C$12),NA())</f>
        <v>522.78452068855017</v>
      </c>
      <c r="I144" s="9">
        <f>IF(OR(Inputs!$F$7=TRUE,Inputs!$F$7="TRUE",Inputs!$F$7=1),(((SQRT(((Inputs!$I$7+(((A144)+1)/2)*(Inputs!$J$7-Inputs!$I$7)))^2+Inputs!$C$6^2+((Inputs!$H$7+Inputs!$L$7*(((Inputs!$I$7+(((A144)+1)/2)*(Inputs!$J$7-Inputs!$I$7)))/Inputs!$K$7)^2))^2))-((Inputs!$H$7+Inputs!$L$7*(((Inputs!$I$7+(((A144)+1)/2)*(Inputs!$J$7-Inputs!$I$7)))/Inputs!$K$7)^2)))*1000/Inputs!$C$12),NA())</f>
        <v>24384.13482915219</v>
      </c>
      <c r="J144" s="9">
        <f>IF(OR(Inputs!$F$8=TRUE,Inputs!$F$8="TRUE",Inputs!$F$8=1),(((SQRT(((Inputs!$I$8+(((A144)+1)/2)*(Inputs!$J$8-Inputs!$I$8)))^2+Inputs!$C$6^2+((Inputs!$H$8+Inputs!$L$8*(((Inputs!$I$8+(((A144)+1)/2)*(Inputs!$J$8-Inputs!$I$8)))/Inputs!$K$8)^2))^2))-((Inputs!$H$8+Inputs!$L$8*(((Inputs!$I$8+(((A144)+1)/2)*(Inputs!$J$8-Inputs!$I$8)))/Inputs!$K$8)^2)))*1000/Inputs!$C$12),NA())</f>
        <v>53789.919580937225</v>
      </c>
      <c r="K144" s="9">
        <f>IF(OR(Inputs!$F$9=TRUE,Inputs!$F$9="TRUE",Inputs!$F$9=1),(((SQRT(((Inputs!$I$9+(((A144)+1)/2)*(Inputs!$J$9-Inputs!$I$9)))^2+Inputs!$C$6^2+((Inputs!$H$9+Inputs!$L$9*(((Inputs!$I$9+(((A144)+1)/2)*(Inputs!$J$9-Inputs!$I$9)))/Inputs!$K$9)^2))^2))-((Inputs!$H$9+Inputs!$L$9*(((Inputs!$I$9+(((A144)+1)/2)*(Inputs!$J$9-Inputs!$I$9)))/Inputs!$K$9)^2)))*1000/Inputs!$C$12),NA())</f>
        <v>57114.908235433861</v>
      </c>
      <c r="L144" s="10"/>
      <c r="M144" s="9">
        <f t="shared" si="13"/>
        <v>0.183</v>
      </c>
      <c r="N144" s="9">
        <f>IF(OR(Inputs!$F$6=TRUE,Inputs!$F$6="TRUE",Inputs!$F$6=1),(-2*((1000*((((Inputs!$I$6+(((A144)+1)/2)*(Inputs!$J$6-Inputs!$I$6)))*Inputs!$C$11+((Inputs!$H$6+Inputs!$L$6*(((Inputs!$I$6+(((A144)+1)/2)*(Inputs!$J$6-Inputs!$I$6)))/Inputs!$K$6)^2))*((2*Inputs!$L$6*((Inputs!$I$6+(((A144)+1)/2)*(Inputs!$J$6-Inputs!$I$6)))/(Inputs!$K$6^2)*Inputs!$C$11)))/(SQRT(((Inputs!$I$6+(((A144)+1)/2)*(Inputs!$J$6-Inputs!$I$6)))^2+Inputs!$C$6^2+((Inputs!$H$6+Inputs!$L$6*(((Inputs!$I$6+(((A144)+1)/2)*(Inputs!$J$6-Inputs!$I$6)))/Inputs!$K$6)^2))^2)))))/Inputs!$C$13),NA())</f>
        <v>-82.752845520433183</v>
      </c>
      <c r="O144" s="9">
        <f>IF(OR(Inputs!$F$7=TRUE,Inputs!$F$7="TRUE",Inputs!$F$7=1),(-2*((1000*((((Inputs!$I$7+(((A144)+1)/2)*(Inputs!$J$7-Inputs!$I$7)))*Inputs!$C$11+((Inputs!$H$7+Inputs!$L$7*(((Inputs!$I$7+(((A144)+1)/2)*(Inputs!$J$7-Inputs!$I$7)))/Inputs!$K$7)^2))*((2*Inputs!$L$7*((Inputs!$I$7+(((A144)+1)/2)*(Inputs!$J$7-Inputs!$I$7)))/(Inputs!$K$7^2)*Inputs!$C$11)))/(SQRT(((Inputs!$I$7+(((A144)+1)/2)*(Inputs!$J$7-Inputs!$I$7)))^2+Inputs!$C$6^2+((Inputs!$H$7+Inputs!$L$7*(((Inputs!$I$7+(((A144)+1)/2)*(Inputs!$J$7-Inputs!$I$7)))/Inputs!$K$7)^2))^2)))))/Inputs!$C$13),NA())</f>
        <v>-1570.7676146511408</v>
      </c>
      <c r="P144" s="9">
        <f>IF(OR(Inputs!$F$8=TRUE,Inputs!$F$8="TRUE",Inputs!$F$8=1),(-2*((1000*((((Inputs!$I$8+(((A144)+1)/2)*(Inputs!$J$8-Inputs!$I$8)))*Inputs!$C$11+((Inputs!$H$8+Inputs!$L$8*(((Inputs!$I$8+(((A144)+1)/2)*(Inputs!$J$8-Inputs!$I$8)))/Inputs!$K$8)^2))*((2*Inputs!$L$8*((Inputs!$I$8+(((A144)+1)/2)*(Inputs!$J$8-Inputs!$I$8)))/(Inputs!$K$8^2)*Inputs!$C$11)))/(SQRT(((Inputs!$I$8+(((A144)+1)/2)*(Inputs!$J$8-Inputs!$I$8)))^2+Inputs!$C$6^2+((Inputs!$H$8+Inputs!$L$8*(((Inputs!$I$8+(((A144)+1)/2)*(Inputs!$J$8-Inputs!$I$8)))/Inputs!$K$8)^2))^2)))))/Inputs!$C$13),NA())</f>
        <v>-1728.1136843372224</v>
      </c>
      <c r="Q144" s="9">
        <f>IF(OR(Inputs!$F$9=TRUE,Inputs!$F$9="TRUE",Inputs!$F$9=1),(-2*((1000*((((Inputs!$I$9+(((A144)+1)/2)*(Inputs!$J$9-Inputs!$I$9)))*Inputs!$C$11+((Inputs!$H$9+Inputs!$L$9*(((Inputs!$I$9+(((A144)+1)/2)*(Inputs!$J$9-Inputs!$I$9)))/Inputs!$K$9)^2))*((2*Inputs!$L$9*((Inputs!$I$9+(((A144)+1)/2)*(Inputs!$J$9-Inputs!$I$9)))/(Inputs!$K$9^2)*Inputs!$C$11)))/(SQRT(((Inputs!$I$9+(((A144)+1)/2)*(Inputs!$J$9-Inputs!$I$9)))^2+Inputs!$C$6^2+((Inputs!$H$9+Inputs!$L$9*(((Inputs!$I$9+(((A144)+1)/2)*(Inputs!$J$9-Inputs!$I$9)))/Inputs!$K$9)^2))^2)))))/Inputs!$C$13),NA())</f>
        <v>-1728.549129399948</v>
      </c>
      <c r="R144" s="10"/>
      <c r="S144" s="9">
        <f t="shared" si="14"/>
        <v>0.183</v>
      </c>
      <c r="T144" s="9">
        <f>(Inputs!$I$6+(((A144)+1)/2)*(Inputs!$J$6-Inputs!$I$6))</f>
        <v>10.980000000000004</v>
      </c>
      <c r="U144" s="9">
        <f>(Inputs!$I$7+(((A144)+1)/2)*(Inputs!$J$7-Inputs!$I$7))</f>
        <v>73.200000000000045</v>
      </c>
      <c r="V144" s="9">
        <f>(Inputs!$I$8+(((A144)+1)/2)*(Inputs!$J$8-Inputs!$I$8))</f>
        <v>146.40000000000009</v>
      </c>
      <c r="W144" s="9">
        <f>(Inputs!$I$9+(((A144)+1)/2)*(Inputs!$J$9-Inputs!$I$9))</f>
        <v>146.40000000000009</v>
      </c>
      <c r="X144" s="10"/>
      <c r="Y144" s="9">
        <f t="shared" si="15"/>
        <v>0.183</v>
      </c>
      <c r="Z144" s="9">
        <f>(Inputs!$H$6+Inputs!$L$6*(((Inputs!$I$6+(((A144)+1)/2)*(Inputs!$J$6-Inputs!$I$6)))/Inputs!$K$6)^2)</f>
        <v>400.13395600000001</v>
      </c>
      <c r="AA144" s="9">
        <f>(Inputs!$H$7+Inputs!$L$7*(((Inputs!$I$7+(((A144)+1)/2)*(Inputs!$J$7-Inputs!$I$7)))/Inputs!$K$7)^2)</f>
        <v>47.223485000000011</v>
      </c>
      <c r="AB144" s="9">
        <f>(Inputs!$H$8+Inputs!$L$8*(((Inputs!$I$8+(((A144)+1)/2)*(Inputs!$J$8-Inputs!$I$8)))/Inputs!$K$8)^2)</f>
        <v>67.316885000000042</v>
      </c>
      <c r="AC144" s="9">
        <f>(Inputs!$H$9+Inputs!$L$9*(((Inputs!$I$9+(((A144)+1)/2)*(Inputs!$J$9-Inputs!$I$9)))/Inputs!$K$9)^2)</f>
        <v>57.651775000000036</v>
      </c>
      <c r="AD144" s="10"/>
      <c r="AE144" s="9">
        <f t="shared" si="16"/>
        <v>0.183</v>
      </c>
      <c r="AF144" s="9">
        <f>(((SQRT(((Inputs!$I$6+(((A144)+1)/2)*(Inputs!$J$6-Inputs!$I$6)))^2+Inputs!$C$6^2+((Inputs!$H$6+Inputs!$L$6*(((Inputs!$I$6+(((A144)+1)/2)*(Inputs!$J$6-Inputs!$I$6)))/Inputs!$K$6)^2))^2))-((Inputs!$H$6+Inputs!$L$6*(((Inputs!$I$6+(((A144)+1)/2)*(Inputs!$J$6-Inputs!$I$6)))/Inputs!$K$6)^2)))*1000/Inputs!$C$12)</f>
        <v>522.78452068855017</v>
      </c>
      <c r="AG144" s="9">
        <f>(((SQRT(((Inputs!$I$7+(((A144)+1)/2)*(Inputs!$J$7-Inputs!$I$7)))^2+Inputs!$C$6^2+((Inputs!$H$7+Inputs!$L$7*(((Inputs!$I$7+(((A144)+1)/2)*(Inputs!$J$7-Inputs!$I$7)))/Inputs!$K$7)^2))^2))-((Inputs!$H$7+Inputs!$L$7*(((Inputs!$I$7+(((A144)+1)/2)*(Inputs!$J$7-Inputs!$I$7)))/Inputs!$K$7)^2)))*1000/Inputs!$C$12)</f>
        <v>24384.13482915219</v>
      </c>
      <c r="AH144" s="9">
        <f>(((SQRT(((Inputs!$I$8+(((A144)+1)/2)*(Inputs!$J$8-Inputs!$I$8)))^2+Inputs!$C$6^2+((Inputs!$H$8+Inputs!$L$8*(((Inputs!$I$8+(((A144)+1)/2)*(Inputs!$J$8-Inputs!$I$8)))/Inputs!$K$8)^2))^2))-((Inputs!$H$8+Inputs!$L$8*(((Inputs!$I$8+(((A144)+1)/2)*(Inputs!$J$8-Inputs!$I$8)))/Inputs!$K$8)^2)))*1000/Inputs!$C$12)</f>
        <v>53789.919580937225</v>
      </c>
      <c r="AI144" s="9">
        <f>(((SQRT(((Inputs!$I$9+(((A144)+1)/2)*(Inputs!$J$9-Inputs!$I$9)))^2+Inputs!$C$6^2+((Inputs!$H$9+Inputs!$L$9*(((Inputs!$I$9+(((A144)+1)/2)*(Inputs!$J$9-Inputs!$I$9)))/Inputs!$K$9)^2))^2))-((Inputs!$H$9+Inputs!$L$9*(((Inputs!$I$9+(((A144)+1)/2)*(Inputs!$J$9-Inputs!$I$9)))/Inputs!$K$9)^2)))*1000/Inputs!$C$12)</f>
        <v>57114.908235433861</v>
      </c>
      <c r="AJ144" s="10"/>
      <c r="AK144" s="9">
        <f t="shared" si="17"/>
        <v>0.183</v>
      </c>
      <c r="AL144" s="9">
        <f>(-2*((1000*((((Inputs!$I$6+(((A144)+1)/2)*(Inputs!$J$6-Inputs!$I$6)))*Inputs!$C$11+((Inputs!$H$6+Inputs!$L$6*(((Inputs!$I$6+(((A144)+1)/2)*(Inputs!$J$6-Inputs!$I$6)))/Inputs!$K$6)^2))*((2*Inputs!$L$6*((Inputs!$I$6+(((A144)+1)/2)*(Inputs!$J$6-Inputs!$I$6)))/(Inputs!$K$6^2)*Inputs!$C$11)))/(SQRT(((Inputs!$I$6+(((A144)+1)/2)*(Inputs!$J$6-Inputs!$I$6)))^2+Inputs!$C$6^2+((Inputs!$H$6+Inputs!$L$6*(((Inputs!$I$6+(((A144)+1)/2)*(Inputs!$J$6-Inputs!$I$6)))/Inputs!$K$6)^2))^2)))))/Inputs!$C$13)</f>
        <v>-82.752845520433183</v>
      </c>
      <c r="AM144" s="9">
        <f>(-2*((1000*((((Inputs!$I$7+(((A144)+1)/2)*(Inputs!$J$7-Inputs!$I$7)))*Inputs!$C$11+((Inputs!$H$7+Inputs!$L$7*(((Inputs!$I$7+(((A144)+1)/2)*(Inputs!$J$7-Inputs!$I$7)))/Inputs!$K$7)^2))*((2*Inputs!$L$7*((Inputs!$I$7+(((A144)+1)/2)*(Inputs!$J$7-Inputs!$I$7)))/(Inputs!$K$7^2)*Inputs!$C$11)))/(SQRT(((Inputs!$I$7+(((A144)+1)/2)*(Inputs!$J$7-Inputs!$I$7)))^2+Inputs!$C$6^2+((Inputs!$H$7+Inputs!$L$7*(((Inputs!$I$7+(((A144)+1)/2)*(Inputs!$J$7-Inputs!$I$7)))/Inputs!$K$7)^2))^2)))))/Inputs!$C$13)</f>
        <v>-1570.7676146511408</v>
      </c>
      <c r="AN144" s="9">
        <f>(-2*((1000*((((Inputs!$I$8+(((A144)+1)/2)*(Inputs!$J$8-Inputs!$I$8)))*Inputs!$C$11+((Inputs!$H$8+Inputs!$L$8*(((Inputs!$I$8+(((A144)+1)/2)*(Inputs!$J$8-Inputs!$I$8)))/Inputs!$K$8)^2))*((2*Inputs!$L$8*((Inputs!$I$8+(((A144)+1)/2)*(Inputs!$J$8-Inputs!$I$8)))/(Inputs!$K$8^2)*Inputs!$C$11)))/(SQRT(((Inputs!$I$8+(((A144)+1)/2)*(Inputs!$J$8-Inputs!$I$8)))^2+Inputs!$C$6^2+((Inputs!$H$8+Inputs!$L$8*(((Inputs!$I$8+(((A144)+1)/2)*(Inputs!$J$8-Inputs!$I$8)))/Inputs!$K$8)^2))^2)))))/Inputs!$C$13)</f>
        <v>-1728.1136843372224</v>
      </c>
      <c r="AO144" s="9">
        <f>(-2*((1000*((((Inputs!$I$9+(((A144)+1)/2)*(Inputs!$J$9-Inputs!$I$9)))*Inputs!$C$11+((Inputs!$H$9+Inputs!$L$9*(((Inputs!$I$9+(((A144)+1)/2)*(Inputs!$J$9-Inputs!$I$9)))/Inputs!$K$9)^2))*((2*Inputs!$L$9*((Inputs!$I$9+(((A144)+1)/2)*(Inputs!$J$9-Inputs!$I$9)))/(Inputs!$K$9^2)*Inputs!$C$11)))/(SQRT(((Inputs!$I$9+(((A144)+1)/2)*(Inputs!$J$9-Inputs!$I$9)))^2+Inputs!$C$6^2+((Inputs!$H$9+Inputs!$L$9*(((Inputs!$I$9+(((A144)+1)/2)*(Inputs!$J$9-Inputs!$I$9)))/Inputs!$K$9)^2))^2)))))/Inputs!$C$13)</f>
        <v>-1728.549129399948</v>
      </c>
    </row>
    <row r="145" spans="1:41">
      <c r="A145" s="9">
        <f>ROUND(-1+143*2/240,3)</f>
        <v>0.192</v>
      </c>
      <c r="B145" s="9">
        <f>IF(OR(Inputs!$F$6=TRUE,Inputs!$F$6="TRUE",Inputs!$F$6=1),(Inputs!$H$6+Inputs!$L$6*(((Inputs!$I$6+(((A145)+1)/2)*(Inputs!$J$6-Inputs!$I$6)))/Inputs!$K$6)^2),NA())</f>
        <v>400.14745599999998</v>
      </c>
      <c r="C145" s="9">
        <f>IF(OR(Inputs!$F$7=TRUE,Inputs!$F$7="TRUE",Inputs!$F$7=1),(Inputs!$H$7+Inputs!$L$7*(((Inputs!$I$7+(((A145)+1)/2)*(Inputs!$J$7-Inputs!$I$7)))/Inputs!$K$7)^2),NA())</f>
        <v>48.455359999999985</v>
      </c>
      <c r="D145" s="9">
        <f>IF(OR(Inputs!$F$8=TRUE,Inputs!$F$8="TRUE",Inputs!$F$8=1),(Inputs!$H$8+Inputs!$L$8*(((Inputs!$I$8+(((A145)+1)/2)*(Inputs!$J$8-Inputs!$I$8)))/Inputs!$K$8)^2),NA())</f>
        <v>70.573759999999965</v>
      </c>
      <c r="E145" s="9">
        <f>IF(OR(Inputs!$F$9=TRUE,Inputs!$F$9="TRUE",Inputs!$F$9=1),(Inputs!$H$9+Inputs!$L$9*(((Inputs!$I$9+(((A145)+1)/2)*(Inputs!$J$9-Inputs!$I$9)))/Inputs!$K$9)^2),NA())</f>
        <v>60.942399999999964</v>
      </c>
      <c r="F145" s="10"/>
      <c r="G145" s="9">
        <f t="shared" si="12"/>
        <v>0.192</v>
      </c>
      <c r="H145" s="9">
        <f>IF(OR(Inputs!$F$6=TRUE,Inputs!$F$6="TRUE",Inputs!$F$6=1),(((SQRT(((Inputs!$I$6+(((A145)+1)/2)*(Inputs!$J$6-Inputs!$I$6)))^2+Inputs!$C$6^2+((Inputs!$H$6+Inputs!$L$6*(((Inputs!$I$6+(((A145)+1)/2)*(Inputs!$J$6-Inputs!$I$6)))/Inputs!$K$6)^2))^2))-((Inputs!$H$6+Inputs!$L$6*(((Inputs!$I$6+(((A145)+1)/2)*(Inputs!$J$6-Inputs!$I$6)))/Inputs!$K$6)^2)))*1000/Inputs!$C$12),NA())</f>
        <v>531.27613447916985</v>
      </c>
      <c r="I145" s="9">
        <f>IF(OR(Inputs!$F$7=TRUE,Inputs!$F$7="TRUE",Inputs!$F$7=1),(((SQRT(((Inputs!$I$7+(((A145)+1)/2)*(Inputs!$J$7-Inputs!$I$7)))^2+Inputs!$C$6^2+((Inputs!$H$7+Inputs!$L$7*(((Inputs!$I$7+(((A145)+1)/2)*(Inputs!$J$7-Inputs!$I$7)))/Inputs!$K$7)^2))^2))-((Inputs!$H$7+Inputs!$L$7*(((Inputs!$I$7+(((A145)+1)/2)*(Inputs!$J$7-Inputs!$I$7)))/Inputs!$K$7)^2)))*1000/Inputs!$C$12),NA())</f>
        <v>25691.845928145231</v>
      </c>
      <c r="J145" s="9">
        <f>IF(OR(Inputs!$F$8=TRUE,Inputs!$F$8="TRUE",Inputs!$F$8=1),(((SQRT(((Inputs!$I$8+(((A145)+1)/2)*(Inputs!$J$8-Inputs!$I$8)))^2+Inputs!$C$6^2+((Inputs!$H$8+Inputs!$L$8*(((Inputs!$I$8+(((A145)+1)/2)*(Inputs!$J$8-Inputs!$I$8)))/Inputs!$K$8)^2))^2))-((Inputs!$H$8+Inputs!$L$8*(((Inputs!$I$8+(((A145)+1)/2)*(Inputs!$J$8-Inputs!$I$8)))/Inputs!$K$8)^2)))*1000/Inputs!$C$12),NA())</f>
        <v>56349.586553823043</v>
      </c>
      <c r="K145" s="9">
        <f>IF(OR(Inputs!$F$9=TRUE,Inputs!$F$9="TRUE",Inputs!$F$9=1),(((SQRT(((Inputs!$I$9+(((A145)+1)/2)*(Inputs!$J$9-Inputs!$I$9)))^2+Inputs!$C$6^2+((Inputs!$H$9+Inputs!$L$9*(((Inputs!$I$9+(((A145)+1)/2)*(Inputs!$J$9-Inputs!$I$9)))/Inputs!$K$9)^2))^2))-((Inputs!$H$9+Inputs!$L$9*(((Inputs!$I$9+(((A145)+1)/2)*(Inputs!$J$9-Inputs!$I$9)))/Inputs!$K$9)^2)))*1000/Inputs!$C$12),NA())</f>
        <v>59655.113377252943</v>
      </c>
      <c r="L145" s="10"/>
      <c r="M145" s="9">
        <f t="shared" si="13"/>
        <v>0.192</v>
      </c>
      <c r="N145" s="9">
        <f>IF(OR(Inputs!$F$6=TRUE,Inputs!$F$6="TRUE",Inputs!$F$6=1),(-2*((1000*((((Inputs!$I$6+(((A145)+1)/2)*(Inputs!$J$6-Inputs!$I$6)))*Inputs!$C$11+((Inputs!$H$6+Inputs!$L$6*(((Inputs!$I$6+(((A145)+1)/2)*(Inputs!$J$6-Inputs!$I$6)))/Inputs!$K$6)^2))*((2*Inputs!$L$6*((Inputs!$I$6+(((A145)+1)/2)*(Inputs!$J$6-Inputs!$I$6)))/(Inputs!$K$6^2)*Inputs!$C$11)))/(SQRT(((Inputs!$I$6+(((A145)+1)/2)*(Inputs!$J$6-Inputs!$I$6)))^2+Inputs!$C$6^2+((Inputs!$H$6+Inputs!$L$6*(((Inputs!$I$6+(((A145)+1)/2)*(Inputs!$J$6-Inputs!$I$6)))/Inputs!$K$6)^2))^2)))))/Inputs!$C$13),NA())</f>
        <v>-86.81784206356933</v>
      </c>
      <c r="O145" s="9">
        <f>IF(OR(Inputs!$F$7=TRUE,Inputs!$F$7="TRUE",Inputs!$F$7=1),(-2*((1000*((((Inputs!$I$7+(((A145)+1)/2)*(Inputs!$J$7-Inputs!$I$7)))*Inputs!$C$11+((Inputs!$H$7+Inputs!$L$7*(((Inputs!$I$7+(((A145)+1)/2)*(Inputs!$J$7-Inputs!$I$7)))/Inputs!$K$7)^2))*((2*Inputs!$L$7*((Inputs!$I$7+(((A145)+1)/2)*(Inputs!$J$7-Inputs!$I$7)))/(Inputs!$K$7^2)*Inputs!$C$11)))/(SQRT(((Inputs!$I$7+(((A145)+1)/2)*(Inputs!$J$7-Inputs!$I$7)))^2+Inputs!$C$6^2+((Inputs!$H$7+Inputs!$L$7*(((Inputs!$I$7+(((A145)+1)/2)*(Inputs!$J$7-Inputs!$I$7)))/Inputs!$K$7)^2))^2)))))/Inputs!$C$13),NA())</f>
        <v>-1593.067607607582</v>
      </c>
      <c r="P145" s="9">
        <f>IF(OR(Inputs!$F$8=TRUE,Inputs!$F$8="TRUE",Inputs!$F$8=1),(-2*((1000*((((Inputs!$I$8+(((A145)+1)/2)*(Inputs!$J$8-Inputs!$I$8)))*Inputs!$C$11+((Inputs!$H$8+Inputs!$L$8*(((Inputs!$I$8+(((A145)+1)/2)*(Inputs!$J$8-Inputs!$I$8)))/Inputs!$K$8)^2))*((2*Inputs!$L$8*((Inputs!$I$8+(((A145)+1)/2)*(Inputs!$J$8-Inputs!$I$8)))/(Inputs!$K$8^2)*Inputs!$C$11)))/(SQRT(((Inputs!$I$8+(((A145)+1)/2)*(Inputs!$J$8-Inputs!$I$8)))^2+Inputs!$C$6^2+((Inputs!$H$8+Inputs!$L$8*(((Inputs!$I$8+(((A145)+1)/2)*(Inputs!$J$8-Inputs!$I$8)))/Inputs!$K$8)^2))^2)))))/Inputs!$C$13),NA())</f>
        <v>-1744.3267810141369</v>
      </c>
      <c r="Q145" s="9">
        <f>IF(OR(Inputs!$F$9=TRUE,Inputs!$F$9="TRUE",Inputs!$F$9=1),(-2*((1000*((((Inputs!$I$9+(((A145)+1)/2)*(Inputs!$J$9-Inputs!$I$9)))*Inputs!$C$11+((Inputs!$H$9+Inputs!$L$9*(((Inputs!$I$9+(((A145)+1)/2)*(Inputs!$J$9-Inputs!$I$9)))/Inputs!$K$9)^2))*((2*Inputs!$L$9*((Inputs!$I$9+(((A145)+1)/2)*(Inputs!$J$9-Inputs!$I$9)))/(Inputs!$K$9^2)*Inputs!$C$11)))/(SQRT(((Inputs!$I$9+(((A145)+1)/2)*(Inputs!$J$9-Inputs!$I$9)))^2+Inputs!$C$6^2+((Inputs!$H$9+Inputs!$L$9*(((Inputs!$I$9+(((A145)+1)/2)*(Inputs!$J$9-Inputs!$I$9)))/Inputs!$K$9)^2))^2)))))/Inputs!$C$13),NA())</f>
        <v>-1743.5306722765788</v>
      </c>
      <c r="R145" s="10"/>
      <c r="S145" s="9">
        <f t="shared" si="14"/>
        <v>0.192</v>
      </c>
      <c r="T145" s="9">
        <f>(Inputs!$I$6+(((A145)+1)/2)*(Inputs!$J$6-Inputs!$I$6))</f>
        <v>11.519999999999996</v>
      </c>
      <c r="U145" s="9">
        <f>(Inputs!$I$7+(((A145)+1)/2)*(Inputs!$J$7-Inputs!$I$7))</f>
        <v>76.799999999999955</v>
      </c>
      <c r="V145" s="9">
        <f>(Inputs!$I$8+(((A145)+1)/2)*(Inputs!$J$8-Inputs!$I$8))</f>
        <v>153.59999999999991</v>
      </c>
      <c r="W145" s="9">
        <f>(Inputs!$I$9+(((A145)+1)/2)*(Inputs!$J$9-Inputs!$I$9))</f>
        <v>153.59999999999991</v>
      </c>
      <c r="X145" s="10"/>
      <c r="Y145" s="9">
        <f t="shared" si="15"/>
        <v>0.192</v>
      </c>
      <c r="Z145" s="9">
        <f>(Inputs!$H$6+Inputs!$L$6*(((Inputs!$I$6+(((A145)+1)/2)*(Inputs!$J$6-Inputs!$I$6)))/Inputs!$K$6)^2)</f>
        <v>400.14745599999998</v>
      </c>
      <c r="AA145" s="9">
        <f>(Inputs!$H$7+Inputs!$L$7*(((Inputs!$I$7+(((A145)+1)/2)*(Inputs!$J$7-Inputs!$I$7)))/Inputs!$K$7)^2)</f>
        <v>48.455359999999985</v>
      </c>
      <c r="AB145" s="9">
        <f>(Inputs!$H$8+Inputs!$L$8*(((Inputs!$I$8+(((A145)+1)/2)*(Inputs!$J$8-Inputs!$I$8)))/Inputs!$K$8)^2)</f>
        <v>70.573759999999965</v>
      </c>
      <c r="AC145" s="9">
        <f>(Inputs!$H$9+Inputs!$L$9*(((Inputs!$I$9+(((A145)+1)/2)*(Inputs!$J$9-Inputs!$I$9)))/Inputs!$K$9)^2)</f>
        <v>60.942399999999964</v>
      </c>
      <c r="AD145" s="10"/>
      <c r="AE145" s="9">
        <f t="shared" si="16"/>
        <v>0.192</v>
      </c>
      <c r="AF145" s="9">
        <f>(((SQRT(((Inputs!$I$6+(((A145)+1)/2)*(Inputs!$J$6-Inputs!$I$6)))^2+Inputs!$C$6^2+((Inputs!$H$6+Inputs!$L$6*(((Inputs!$I$6+(((A145)+1)/2)*(Inputs!$J$6-Inputs!$I$6)))/Inputs!$K$6)^2))^2))-((Inputs!$H$6+Inputs!$L$6*(((Inputs!$I$6+(((A145)+1)/2)*(Inputs!$J$6-Inputs!$I$6)))/Inputs!$K$6)^2)))*1000/Inputs!$C$12)</f>
        <v>531.27613447916985</v>
      </c>
      <c r="AG145" s="9">
        <f>(((SQRT(((Inputs!$I$7+(((A145)+1)/2)*(Inputs!$J$7-Inputs!$I$7)))^2+Inputs!$C$6^2+((Inputs!$H$7+Inputs!$L$7*(((Inputs!$I$7+(((A145)+1)/2)*(Inputs!$J$7-Inputs!$I$7)))/Inputs!$K$7)^2))^2))-((Inputs!$H$7+Inputs!$L$7*(((Inputs!$I$7+(((A145)+1)/2)*(Inputs!$J$7-Inputs!$I$7)))/Inputs!$K$7)^2)))*1000/Inputs!$C$12)</f>
        <v>25691.845928145231</v>
      </c>
      <c r="AH145" s="9">
        <f>(((SQRT(((Inputs!$I$8+(((A145)+1)/2)*(Inputs!$J$8-Inputs!$I$8)))^2+Inputs!$C$6^2+((Inputs!$H$8+Inputs!$L$8*(((Inputs!$I$8+(((A145)+1)/2)*(Inputs!$J$8-Inputs!$I$8)))/Inputs!$K$8)^2))^2))-((Inputs!$H$8+Inputs!$L$8*(((Inputs!$I$8+(((A145)+1)/2)*(Inputs!$J$8-Inputs!$I$8)))/Inputs!$K$8)^2)))*1000/Inputs!$C$12)</f>
        <v>56349.586553823043</v>
      </c>
      <c r="AI145" s="9">
        <f>(((SQRT(((Inputs!$I$9+(((A145)+1)/2)*(Inputs!$J$9-Inputs!$I$9)))^2+Inputs!$C$6^2+((Inputs!$H$9+Inputs!$L$9*(((Inputs!$I$9+(((A145)+1)/2)*(Inputs!$J$9-Inputs!$I$9)))/Inputs!$K$9)^2))^2))-((Inputs!$H$9+Inputs!$L$9*(((Inputs!$I$9+(((A145)+1)/2)*(Inputs!$J$9-Inputs!$I$9)))/Inputs!$K$9)^2)))*1000/Inputs!$C$12)</f>
        <v>59655.113377252943</v>
      </c>
      <c r="AJ145" s="10"/>
      <c r="AK145" s="9">
        <f t="shared" si="17"/>
        <v>0.192</v>
      </c>
      <c r="AL145" s="9">
        <f>(-2*((1000*((((Inputs!$I$6+(((A145)+1)/2)*(Inputs!$J$6-Inputs!$I$6)))*Inputs!$C$11+((Inputs!$H$6+Inputs!$L$6*(((Inputs!$I$6+(((A145)+1)/2)*(Inputs!$J$6-Inputs!$I$6)))/Inputs!$K$6)^2))*((2*Inputs!$L$6*((Inputs!$I$6+(((A145)+1)/2)*(Inputs!$J$6-Inputs!$I$6)))/(Inputs!$K$6^2)*Inputs!$C$11)))/(SQRT(((Inputs!$I$6+(((A145)+1)/2)*(Inputs!$J$6-Inputs!$I$6)))^2+Inputs!$C$6^2+((Inputs!$H$6+Inputs!$L$6*(((Inputs!$I$6+(((A145)+1)/2)*(Inputs!$J$6-Inputs!$I$6)))/Inputs!$K$6)^2))^2)))))/Inputs!$C$13)</f>
        <v>-86.81784206356933</v>
      </c>
      <c r="AM145" s="9">
        <f>(-2*((1000*((((Inputs!$I$7+(((A145)+1)/2)*(Inputs!$J$7-Inputs!$I$7)))*Inputs!$C$11+((Inputs!$H$7+Inputs!$L$7*(((Inputs!$I$7+(((A145)+1)/2)*(Inputs!$J$7-Inputs!$I$7)))/Inputs!$K$7)^2))*((2*Inputs!$L$7*((Inputs!$I$7+(((A145)+1)/2)*(Inputs!$J$7-Inputs!$I$7)))/(Inputs!$K$7^2)*Inputs!$C$11)))/(SQRT(((Inputs!$I$7+(((A145)+1)/2)*(Inputs!$J$7-Inputs!$I$7)))^2+Inputs!$C$6^2+((Inputs!$H$7+Inputs!$L$7*(((Inputs!$I$7+(((A145)+1)/2)*(Inputs!$J$7-Inputs!$I$7)))/Inputs!$K$7)^2))^2)))))/Inputs!$C$13)</f>
        <v>-1593.067607607582</v>
      </c>
      <c r="AN145" s="9">
        <f>(-2*((1000*((((Inputs!$I$8+(((A145)+1)/2)*(Inputs!$J$8-Inputs!$I$8)))*Inputs!$C$11+((Inputs!$H$8+Inputs!$L$8*(((Inputs!$I$8+(((A145)+1)/2)*(Inputs!$J$8-Inputs!$I$8)))/Inputs!$K$8)^2))*((2*Inputs!$L$8*((Inputs!$I$8+(((A145)+1)/2)*(Inputs!$J$8-Inputs!$I$8)))/(Inputs!$K$8^2)*Inputs!$C$11)))/(SQRT(((Inputs!$I$8+(((A145)+1)/2)*(Inputs!$J$8-Inputs!$I$8)))^2+Inputs!$C$6^2+((Inputs!$H$8+Inputs!$L$8*(((Inputs!$I$8+(((A145)+1)/2)*(Inputs!$J$8-Inputs!$I$8)))/Inputs!$K$8)^2))^2)))))/Inputs!$C$13)</f>
        <v>-1744.3267810141369</v>
      </c>
      <c r="AO145" s="9">
        <f>(-2*((1000*((((Inputs!$I$9+(((A145)+1)/2)*(Inputs!$J$9-Inputs!$I$9)))*Inputs!$C$11+((Inputs!$H$9+Inputs!$L$9*(((Inputs!$I$9+(((A145)+1)/2)*(Inputs!$J$9-Inputs!$I$9)))/Inputs!$K$9)^2))*((2*Inputs!$L$9*((Inputs!$I$9+(((A145)+1)/2)*(Inputs!$J$9-Inputs!$I$9)))/(Inputs!$K$9^2)*Inputs!$C$11)))/(SQRT(((Inputs!$I$9+(((A145)+1)/2)*(Inputs!$J$9-Inputs!$I$9)))^2+Inputs!$C$6^2+((Inputs!$H$9+Inputs!$L$9*(((Inputs!$I$9+(((A145)+1)/2)*(Inputs!$J$9-Inputs!$I$9)))/Inputs!$K$9)^2))^2)))))/Inputs!$C$13)</f>
        <v>-1743.5306722765788</v>
      </c>
    </row>
    <row r="146" spans="1:41">
      <c r="A146" s="9">
        <f>ROUND(-1+144*2/240,3)</f>
        <v>0.2</v>
      </c>
      <c r="B146" s="9">
        <f>IF(OR(Inputs!$F$6=TRUE,Inputs!$F$6="TRUE",Inputs!$F$6=1),(Inputs!$H$6+Inputs!$L$6*(((Inputs!$I$6+(((A146)+1)/2)*(Inputs!$J$6-Inputs!$I$6)))/Inputs!$K$6)^2),NA())</f>
        <v>400.16</v>
      </c>
      <c r="C146" s="9">
        <f>IF(OR(Inputs!$F$7=TRUE,Inputs!$F$7="TRUE",Inputs!$F$7=1),(Inputs!$H$7+Inputs!$L$7*(((Inputs!$I$7+(((A146)+1)/2)*(Inputs!$J$7-Inputs!$I$7)))/Inputs!$K$7)^2),NA())</f>
        <v>49.6</v>
      </c>
      <c r="D146" s="9">
        <f>IF(OR(Inputs!$F$8=TRUE,Inputs!$F$8="TRUE",Inputs!$F$8=1),(Inputs!$H$8+Inputs!$L$8*(((Inputs!$I$8+(((A146)+1)/2)*(Inputs!$J$8-Inputs!$I$8)))/Inputs!$K$8)^2),NA())</f>
        <v>73.600000000000009</v>
      </c>
      <c r="E146" s="9">
        <f>IF(OR(Inputs!$F$9=TRUE,Inputs!$F$9="TRUE",Inputs!$F$9=1),(Inputs!$H$9+Inputs!$L$9*(((Inputs!$I$9+(((A146)+1)/2)*(Inputs!$J$9-Inputs!$I$9)))/Inputs!$K$9)^2),NA())</f>
        <v>64</v>
      </c>
      <c r="F146" s="10"/>
      <c r="G146" s="9">
        <f t="shared" si="12"/>
        <v>0.2</v>
      </c>
      <c r="H146" s="9">
        <f>IF(OR(Inputs!$F$6=TRUE,Inputs!$F$6="TRUE",Inputs!$F$6=1),(((SQRT(((Inputs!$I$6+(((A146)+1)/2)*(Inputs!$J$6-Inputs!$I$6)))^2+Inputs!$C$6^2+((Inputs!$H$6+Inputs!$L$6*(((Inputs!$I$6+(((A146)+1)/2)*(Inputs!$J$6-Inputs!$I$6)))/Inputs!$K$6)^2))^2))-((Inputs!$H$6+Inputs!$L$6*(((Inputs!$I$6+(((A146)+1)/2)*(Inputs!$J$6-Inputs!$I$6)))/Inputs!$K$6)^2)))*1000/Inputs!$C$12),NA())</f>
        <v>539.16561711384361</v>
      </c>
      <c r="I146" s="9">
        <f>IF(OR(Inputs!$F$7=TRUE,Inputs!$F$7="TRUE",Inputs!$F$7=1),(((SQRT(((Inputs!$I$7+(((A146)+1)/2)*(Inputs!$J$7-Inputs!$I$7)))^2+Inputs!$C$6^2+((Inputs!$H$7+Inputs!$L$7*(((Inputs!$I$7+(((A146)+1)/2)*(Inputs!$J$7-Inputs!$I$7)))/Inputs!$K$7)^2))^2))-((Inputs!$H$7+Inputs!$L$7*(((Inputs!$I$7+(((A146)+1)/2)*(Inputs!$J$7-Inputs!$I$7)))/Inputs!$K$7)^2)))*1000/Inputs!$C$12),NA())</f>
        <v>26849.31803443424</v>
      </c>
      <c r="J146" s="9">
        <f>IF(OR(Inputs!$F$8=TRUE,Inputs!$F$8="TRUE",Inputs!$F$8=1),(((SQRT(((Inputs!$I$8+(((A146)+1)/2)*(Inputs!$J$8-Inputs!$I$8)))^2+Inputs!$C$6^2+((Inputs!$H$8+Inputs!$L$8*(((Inputs!$I$8+(((A146)+1)/2)*(Inputs!$J$8-Inputs!$I$8)))/Inputs!$K$8)^2))^2))-((Inputs!$H$8+Inputs!$L$8*(((Inputs!$I$8+(((A146)+1)/2)*(Inputs!$J$8-Inputs!$I$8)))/Inputs!$K$8)^2)))*1000/Inputs!$C$12),NA())</f>
        <v>58585.320738415496</v>
      </c>
      <c r="K146" s="9">
        <f>IF(OR(Inputs!$F$9=TRUE,Inputs!$F$9="TRUE",Inputs!$F$9=1),(((SQRT(((Inputs!$I$9+(((A146)+1)/2)*(Inputs!$J$9-Inputs!$I$9)))^2+Inputs!$C$6^2+((Inputs!$H$9+Inputs!$L$9*(((Inputs!$I$9+(((A146)+1)/2)*(Inputs!$J$9-Inputs!$I$9)))/Inputs!$K$9)^2))^2))-((Inputs!$H$9+Inputs!$L$9*(((Inputs!$I$9+(((A146)+1)/2)*(Inputs!$J$9-Inputs!$I$9)))/Inputs!$K$9)^2)))*1000/Inputs!$C$12),NA())</f>
        <v>61870.372096167092</v>
      </c>
      <c r="L146" s="10"/>
      <c r="M146" s="9">
        <f t="shared" si="13"/>
        <v>0.2</v>
      </c>
      <c r="N146" s="9">
        <f>IF(OR(Inputs!$F$6=TRUE,Inputs!$F$6="TRUE",Inputs!$F$6=1),(-2*((1000*((((Inputs!$I$6+(((A146)+1)/2)*(Inputs!$J$6-Inputs!$I$6)))*Inputs!$C$11+((Inputs!$H$6+Inputs!$L$6*(((Inputs!$I$6+(((A146)+1)/2)*(Inputs!$J$6-Inputs!$I$6)))/Inputs!$K$6)^2))*((2*Inputs!$L$6*((Inputs!$I$6+(((A146)+1)/2)*(Inputs!$J$6-Inputs!$I$6)))/(Inputs!$K$6^2)*Inputs!$C$11)))/(SQRT(((Inputs!$I$6+(((A146)+1)/2)*(Inputs!$J$6-Inputs!$I$6)))^2+Inputs!$C$6^2+((Inputs!$H$6+Inputs!$L$6*(((Inputs!$I$6+(((A146)+1)/2)*(Inputs!$J$6-Inputs!$I$6)))/Inputs!$K$6)^2))^2)))))/Inputs!$C$13),NA())</f>
        <v>-90.430592152665639</v>
      </c>
      <c r="O146" s="9">
        <f>IF(OR(Inputs!$F$7=TRUE,Inputs!$F$7="TRUE",Inputs!$F$7=1),(-2*((1000*((((Inputs!$I$7+(((A146)+1)/2)*(Inputs!$J$7-Inputs!$I$7)))*Inputs!$C$11+((Inputs!$H$7+Inputs!$L$7*(((Inputs!$I$7+(((A146)+1)/2)*(Inputs!$J$7-Inputs!$I$7)))/Inputs!$K$7)^2))*((2*Inputs!$L$7*((Inputs!$I$7+(((A146)+1)/2)*(Inputs!$J$7-Inputs!$I$7)))/(Inputs!$K$7^2)*Inputs!$C$11)))/(SQRT(((Inputs!$I$7+(((A146)+1)/2)*(Inputs!$J$7-Inputs!$I$7)))^2+Inputs!$C$6^2+((Inputs!$H$7+Inputs!$L$7*(((Inputs!$I$7+(((A146)+1)/2)*(Inputs!$J$7-Inputs!$I$7)))/Inputs!$K$7)^2))^2)))))/Inputs!$C$13),NA())</f>
        <v>-1611.7005990294304</v>
      </c>
      <c r="P146" s="9">
        <f>IF(OR(Inputs!$F$8=TRUE,Inputs!$F$8="TRUE",Inputs!$F$8=1),(-2*((1000*((((Inputs!$I$8+(((A146)+1)/2)*(Inputs!$J$8-Inputs!$I$8)))*Inputs!$C$11+((Inputs!$H$8+Inputs!$L$8*(((Inputs!$I$8+(((A146)+1)/2)*(Inputs!$J$8-Inputs!$I$8)))/Inputs!$K$8)^2))*((2*Inputs!$L$8*((Inputs!$I$8+(((A146)+1)/2)*(Inputs!$J$8-Inputs!$I$8)))/(Inputs!$K$8^2)*Inputs!$C$11)))/(SQRT(((Inputs!$I$8+(((A146)+1)/2)*(Inputs!$J$8-Inputs!$I$8)))^2+Inputs!$C$6^2+((Inputs!$H$8+Inputs!$L$8*(((Inputs!$I$8+(((A146)+1)/2)*(Inputs!$J$8-Inputs!$I$8)))/Inputs!$K$8)^2))^2)))))/Inputs!$C$13),NA())</f>
        <v>-1758.5783103808831</v>
      </c>
      <c r="Q146" s="9">
        <f>IF(OR(Inputs!$F$9=TRUE,Inputs!$F$9="TRUE",Inputs!$F$9=1),(-2*((1000*((((Inputs!$I$9+(((A146)+1)/2)*(Inputs!$J$9-Inputs!$I$9)))*Inputs!$C$11+((Inputs!$H$9+Inputs!$L$9*(((Inputs!$I$9+(((A146)+1)/2)*(Inputs!$J$9-Inputs!$I$9)))/Inputs!$K$9)^2))*((2*Inputs!$L$9*((Inputs!$I$9+(((A146)+1)/2)*(Inputs!$J$9-Inputs!$I$9)))/(Inputs!$K$9^2)*Inputs!$C$11)))/(SQRT(((Inputs!$I$9+(((A146)+1)/2)*(Inputs!$J$9-Inputs!$I$9)))^2+Inputs!$C$6^2+((Inputs!$H$9+Inputs!$L$9*(((Inputs!$I$9+(((A146)+1)/2)*(Inputs!$J$9-Inputs!$I$9)))/Inputs!$K$9)^2))^2)))))/Inputs!$C$13),NA())</f>
        <v>-1756.8557742935191</v>
      </c>
      <c r="R146" s="10"/>
      <c r="S146" s="9">
        <f t="shared" si="14"/>
        <v>0.2</v>
      </c>
      <c r="T146" s="9">
        <f>(Inputs!$I$6+(((A146)+1)/2)*(Inputs!$J$6-Inputs!$I$6))</f>
        <v>12</v>
      </c>
      <c r="U146" s="9">
        <f>(Inputs!$I$7+(((A146)+1)/2)*(Inputs!$J$7-Inputs!$I$7))</f>
        <v>80</v>
      </c>
      <c r="V146" s="9">
        <f>(Inputs!$I$8+(((A146)+1)/2)*(Inputs!$J$8-Inputs!$I$8))</f>
        <v>160</v>
      </c>
      <c r="W146" s="9">
        <f>(Inputs!$I$9+(((A146)+1)/2)*(Inputs!$J$9-Inputs!$I$9))</f>
        <v>160</v>
      </c>
      <c r="X146" s="10"/>
      <c r="Y146" s="9">
        <f t="shared" si="15"/>
        <v>0.2</v>
      </c>
      <c r="Z146" s="9">
        <f>(Inputs!$H$6+Inputs!$L$6*(((Inputs!$I$6+(((A146)+1)/2)*(Inputs!$J$6-Inputs!$I$6)))/Inputs!$K$6)^2)</f>
        <v>400.16</v>
      </c>
      <c r="AA146" s="9">
        <f>(Inputs!$H$7+Inputs!$L$7*(((Inputs!$I$7+(((A146)+1)/2)*(Inputs!$J$7-Inputs!$I$7)))/Inputs!$K$7)^2)</f>
        <v>49.6</v>
      </c>
      <c r="AB146" s="9">
        <f>(Inputs!$H$8+Inputs!$L$8*(((Inputs!$I$8+(((A146)+1)/2)*(Inputs!$J$8-Inputs!$I$8)))/Inputs!$K$8)^2)</f>
        <v>73.600000000000009</v>
      </c>
      <c r="AC146" s="9">
        <f>(Inputs!$H$9+Inputs!$L$9*(((Inputs!$I$9+(((A146)+1)/2)*(Inputs!$J$9-Inputs!$I$9)))/Inputs!$K$9)^2)</f>
        <v>64</v>
      </c>
      <c r="AD146" s="10"/>
      <c r="AE146" s="9">
        <f t="shared" si="16"/>
        <v>0.2</v>
      </c>
      <c r="AF146" s="9">
        <f>(((SQRT(((Inputs!$I$6+(((A146)+1)/2)*(Inputs!$J$6-Inputs!$I$6)))^2+Inputs!$C$6^2+((Inputs!$H$6+Inputs!$L$6*(((Inputs!$I$6+(((A146)+1)/2)*(Inputs!$J$6-Inputs!$I$6)))/Inputs!$K$6)^2))^2))-((Inputs!$H$6+Inputs!$L$6*(((Inputs!$I$6+(((A146)+1)/2)*(Inputs!$J$6-Inputs!$I$6)))/Inputs!$K$6)^2)))*1000/Inputs!$C$12)</f>
        <v>539.16561711384361</v>
      </c>
      <c r="AG146" s="9">
        <f>(((SQRT(((Inputs!$I$7+(((A146)+1)/2)*(Inputs!$J$7-Inputs!$I$7)))^2+Inputs!$C$6^2+((Inputs!$H$7+Inputs!$L$7*(((Inputs!$I$7+(((A146)+1)/2)*(Inputs!$J$7-Inputs!$I$7)))/Inputs!$K$7)^2))^2))-((Inputs!$H$7+Inputs!$L$7*(((Inputs!$I$7+(((A146)+1)/2)*(Inputs!$J$7-Inputs!$I$7)))/Inputs!$K$7)^2)))*1000/Inputs!$C$12)</f>
        <v>26849.31803443424</v>
      </c>
      <c r="AH146" s="9">
        <f>(((SQRT(((Inputs!$I$8+(((A146)+1)/2)*(Inputs!$J$8-Inputs!$I$8)))^2+Inputs!$C$6^2+((Inputs!$H$8+Inputs!$L$8*(((Inputs!$I$8+(((A146)+1)/2)*(Inputs!$J$8-Inputs!$I$8)))/Inputs!$K$8)^2))^2))-((Inputs!$H$8+Inputs!$L$8*(((Inputs!$I$8+(((A146)+1)/2)*(Inputs!$J$8-Inputs!$I$8)))/Inputs!$K$8)^2)))*1000/Inputs!$C$12)</f>
        <v>58585.320738415496</v>
      </c>
      <c r="AI146" s="9">
        <f>(((SQRT(((Inputs!$I$9+(((A146)+1)/2)*(Inputs!$J$9-Inputs!$I$9)))^2+Inputs!$C$6^2+((Inputs!$H$9+Inputs!$L$9*(((Inputs!$I$9+(((A146)+1)/2)*(Inputs!$J$9-Inputs!$I$9)))/Inputs!$K$9)^2))^2))-((Inputs!$H$9+Inputs!$L$9*(((Inputs!$I$9+(((A146)+1)/2)*(Inputs!$J$9-Inputs!$I$9)))/Inputs!$K$9)^2)))*1000/Inputs!$C$12)</f>
        <v>61870.372096167092</v>
      </c>
      <c r="AJ146" s="10"/>
      <c r="AK146" s="9">
        <f t="shared" si="17"/>
        <v>0.2</v>
      </c>
      <c r="AL146" s="9">
        <f>(-2*((1000*((((Inputs!$I$6+(((A146)+1)/2)*(Inputs!$J$6-Inputs!$I$6)))*Inputs!$C$11+((Inputs!$H$6+Inputs!$L$6*(((Inputs!$I$6+(((A146)+1)/2)*(Inputs!$J$6-Inputs!$I$6)))/Inputs!$K$6)^2))*((2*Inputs!$L$6*((Inputs!$I$6+(((A146)+1)/2)*(Inputs!$J$6-Inputs!$I$6)))/(Inputs!$K$6^2)*Inputs!$C$11)))/(SQRT(((Inputs!$I$6+(((A146)+1)/2)*(Inputs!$J$6-Inputs!$I$6)))^2+Inputs!$C$6^2+((Inputs!$H$6+Inputs!$L$6*(((Inputs!$I$6+(((A146)+1)/2)*(Inputs!$J$6-Inputs!$I$6)))/Inputs!$K$6)^2))^2)))))/Inputs!$C$13)</f>
        <v>-90.430592152665639</v>
      </c>
      <c r="AM146" s="9">
        <f>(-2*((1000*((((Inputs!$I$7+(((A146)+1)/2)*(Inputs!$J$7-Inputs!$I$7)))*Inputs!$C$11+((Inputs!$H$7+Inputs!$L$7*(((Inputs!$I$7+(((A146)+1)/2)*(Inputs!$J$7-Inputs!$I$7)))/Inputs!$K$7)^2))*((2*Inputs!$L$7*((Inputs!$I$7+(((A146)+1)/2)*(Inputs!$J$7-Inputs!$I$7)))/(Inputs!$K$7^2)*Inputs!$C$11)))/(SQRT(((Inputs!$I$7+(((A146)+1)/2)*(Inputs!$J$7-Inputs!$I$7)))^2+Inputs!$C$6^2+((Inputs!$H$7+Inputs!$L$7*(((Inputs!$I$7+(((A146)+1)/2)*(Inputs!$J$7-Inputs!$I$7)))/Inputs!$K$7)^2))^2)))))/Inputs!$C$13)</f>
        <v>-1611.7005990294304</v>
      </c>
      <c r="AN146" s="9">
        <f>(-2*((1000*((((Inputs!$I$8+(((A146)+1)/2)*(Inputs!$J$8-Inputs!$I$8)))*Inputs!$C$11+((Inputs!$H$8+Inputs!$L$8*(((Inputs!$I$8+(((A146)+1)/2)*(Inputs!$J$8-Inputs!$I$8)))/Inputs!$K$8)^2))*((2*Inputs!$L$8*((Inputs!$I$8+(((A146)+1)/2)*(Inputs!$J$8-Inputs!$I$8)))/(Inputs!$K$8^2)*Inputs!$C$11)))/(SQRT(((Inputs!$I$8+(((A146)+1)/2)*(Inputs!$J$8-Inputs!$I$8)))^2+Inputs!$C$6^2+((Inputs!$H$8+Inputs!$L$8*(((Inputs!$I$8+(((A146)+1)/2)*(Inputs!$J$8-Inputs!$I$8)))/Inputs!$K$8)^2))^2)))))/Inputs!$C$13)</f>
        <v>-1758.5783103808831</v>
      </c>
      <c r="AO146" s="9">
        <f>(-2*((1000*((((Inputs!$I$9+(((A146)+1)/2)*(Inputs!$J$9-Inputs!$I$9)))*Inputs!$C$11+((Inputs!$H$9+Inputs!$L$9*(((Inputs!$I$9+(((A146)+1)/2)*(Inputs!$J$9-Inputs!$I$9)))/Inputs!$K$9)^2))*((2*Inputs!$L$9*((Inputs!$I$9+(((A146)+1)/2)*(Inputs!$J$9-Inputs!$I$9)))/(Inputs!$K$9^2)*Inputs!$C$11)))/(SQRT(((Inputs!$I$9+(((A146)+1)/2)*(Inputs!$J$9-Inputs!$I$9)))^2+Inputs!$C$6^2+((Inputs!$H$9+Inputs!$L$9*(((Inputs!$I$9+(((A146)+1)/2)*(Inputs!$J$9-Inputs!$I$9)))/Inputs!$K$9)^2))^2)))))/Inputs!$C$13)</f>
        <v>-1756.8557742935191</v>
      </c>
    </row>
    <row r="147" spans="1:41">
      <c r="A147" s="9">
        <f>ROUND(-1+145*2/240,3)</f>
        <v>0.20799999999999999</v>
      </c>
      <c r="B147" s="9">
        <f>IF(OR(Inputs!$F$6=TRUE,Inputs!$F$6="TRUE",Inputs!$F$6=1),(Inputs!$H$6+Inputs!$L$6*(((Inputs!$I$6+(((A147)+1)/2)*(Inputs!$J$6-Inputs!$I$6)))/Inputs!$K$6)^2),NA())</f>
        <v>400.17305599999997</v>
      </c>
      <c r="C147" s="9">
        <f>IF(OR(Inputs!$F$7=TRUE,Inputs!$F$7="TRUE",Inputs!$F$7=1),(Inputs!$H$7+Inputs!$L$7*(((Inputs!$I$7+(((A147)+1)/2)*(Inputs!$J$7-Inputs!$I$7)))/Inputs!$K$7)^2),NA())</f>
        <v>50.791359999999997</v>
      </c>
      <c r="D147" s="9">
        <f>IF(OR(Inputs!$F$8=TRUE,Inputs!$F$8="TRUE",Inputs!$F$8=1),(Inputs!$H$8+Inputs!$L$8*(((Inputs!$I$8+(((A147)+1)/2)*(Inputs!$J$8-Inputs!$I$8)))/Inputs!$K$8)^2),NA())</f>
        <v>76.749759999999981</v>
      </c>
      <c r="E147" s="9">
        <f>IF(OR(Inputs!$F$9=TRUE,Inputs!$F$9="TRUE",Inputs!$F$9=1),(Inputs!$H$9+Inputs!$L$9*(((Inputs!$I$9+(((A147)+1)/2)*(Inputs!$J$9-Inputs!$I$9)))/Inputs!$K$9)^2),NA())</f>
        <v>67.182399999999973</v>
      </c>
      <c r="F147" s="10"/>
      <c r="G147" s="9">
        <f t="shared" si="12"/>
        <v>0.20799999999999999</v>
      </c>
      <c r="H147" s="9">
        <f>IF(OR(Inputs!$F$6=TRUE,Inputs!$F$6="TRUE",Inputs!$F$6=1),(((SQRT(((Inputs!$I$6+(((A147)+1)/2)*(Inputs!$J$6-Inputs!$I$6)))^2+Inputs!$C$6^2+((Inputs!$H$6+Inputs!$L$6*(((Inputs!$I$6+(((A147)+1)/2)*(Inputs!$J$6-Inputs!$I$6)))/Inputs!$K$6)^2))^2))-((Inputs!$H$6+Inputs!$L$6*(((Inputs!$I$6+(((A147)+1)/2)*(Inputs!$J$6-Inputs!$I$6)))/Inputs!$K$6)^2)))*1000/Inputs!$C$12),NA())</f>
        <v>547.37630208177086</v>
      </c>
      <c r="I147" s="9">
        <f>IF(OR(Inputs!$F$7=TRUE,Inputs!$F$7="TRUE",Inputs!$F$7=1),(((SQRT(((Inputs!$I$7+(((A147)+1)/2)*(Inputs!$J$7-Inputs!$I$7)))^2+Inputs!$C$6^2+((Inputs!$H$7+Inputs!$L$7*(((Inputs!$I$7+(((A147)+1)/2)*(Inputs!$J$7-Inputs!$I$7)))/Inputs!$K$7)^2))^2))-((Inputs!$H$7+Inputs!$L$7*(((Inputs!$I$7+(((A147)+1)/2)*(Inputs!$J$7-Inputs!$I$7)))/Inputs!$K$7)^2)))*1000/Inputs!$C$12),NA())</f>
        <v>28000.925707377744</v>
      </c>
      <c r="J147" s="9">
        <f>IF(OR(Inputs!$F$8=TRUE,Inputs!$F$8="TRUE",Inputs!$F$8=1),(((SQRT(((Inputs!$I$8+(((A147)+1)/2)*(Inputs!$J$8-Inputs!$I$8)))^2+Inputs!$C$6^2+((Inputs!$H$8+Inputs!$L$8*(((Inputs!$I$8+(((A147)+1)/2)*(Inputs!$J$8-Inputs!$I$8)))/Inputs!$K$8)^2))^2))-((Inputs!$H$8+Inputs!$L$8*(((Inputs!$I$8+(((A147)+1)/2)*(Inputs!$J$8-Inputs!$I$8)))/Inputs!$K$8)^2)))*1000/Inputs!$C$12),NA())</f>
        <v>60783.588498452576</v>
      </c>
      <c r="K147" s="9">
        <f>IF(OR(Inputs!$F$9=TRUE,Inputs!$F$9="TRUE",Inputs!$F$9=1),(((SQRT(((Inputs!$I$9+(((A147)+1)/2)*(Inputs!$J$9-Inputs!$I$9)))^2+Inputs!$C$6^2+((Inputs!$H$9+Inputs!$L$9*(((Inputs!$I$9+(((A147)+1)/2)*(Inputs!$J$9-Inputs!$I$9)))/Inputs!$K$9)^2))^2))-((Inputs!$H$9+Inputs!$L$9*(((Inputs!$I$9+(((A147)+1)/2)*(Inputs!$J$9-Inputs!$I$9)))/Inputs!$K$9)^2)))*1000/Inputs!$C$12),NA())</f>
        <v>64045.521794706867</v>
      </c>
      <c r="L147" s="10"/>
      <c r="M147" s="9">
        <f t="shared" si="13"/>
        <v>0.20799999999999999</v>
      </c>
      <c r="N147" s="9">
        <f>IF(OR(Inputs!$F$6=TRUE,Inputs!$F$6="TRUE",Inputs!$F$6=1),(-2*((1000*((((Inputs!$I$6+(((A147)+1)/2)*(Inputs!$J$6-Inputs!$I$6)))*Inputs!$C$11+((Inputs!$H$6+Inputs!$L$6*(((Inputs!$I$6+(((A147)+1)/2)*(Inputs!$J$6-Inputs!$I$6)))/Inputs!$K$6)^2))*((2*Inputs!$L$6*((Inputs!$I$6+(((A147)+1)/2)*(Inputs!$J$6-Inputs!$I$6)))/(Inputs!$K$6^2)*Inputs!$C$11)))/(SQRT(((Inputs!$I$6+(((A147)+1)/2)*(Inputs!$J$6-Inputs!$I$6)))^2+Inputs!$C$6^2+((Inputs!$H$6+Inputs!$L$6*(((Inputs!$I$6+(((A147)+1)/2)*(Inputs!$J$6-Inputs!$I$6)))/Inputs!$K$6)^2))^2)))))/Inputs!$C$13),NA())</f>
        <v>-94.042772653266553</v>
      </c>
      <c r="O147" s="9">
        <f>IF(OR(Inputs!$F$7=TRUE,Inputs!$F$7="TRUE",Inputs!$F$7=1),(-2*((1000*((((Inputs!$I$7+(((A147)+1)/2)*(Inputs!$J$7-Inputs!$I$7)))*Inputs!$C$11+((Inputs!$H$7+Inputs!$L$7*(((Inputs!$I$7+(((A147)+1)/2)*(Inputs!$J$7-Inputs!$I$7)))/Inputs!$K$7)^2))*((2*Inputs!$L$7*((Inputs!$I$7+(((A147)+1)/2)*(Inputs!$J$7-Inputs!$I$7)))/(Inputs!$K$7^2)*Inputs!$C$11)))/(SQRT(((Inputs!$I$7+(((A147)+1)/2)*(Inputs!$J$7-Inputs!$I$7)))^2+Inputs!$C$6^2+((Inputs!$H$7+Inputs!$L$7*(((Inputs!$I$7+(((A147)+1)/2)*(Inputs!$J$7-Inputs!$I$7)))/Inputs!$K$7)^2))^2)))))/Inputs!$C$13),NA())</f>
        <v>-1629.3723506909682</v>
      </c>
      <c r="P147" s="9">
        <f>IF(OR(Inputs!$F$8=TRUE,Inputs!$F$8="TRUE",Inputs!$F$8=1),(-2*((1000*((((Inputs!$I$8+(((A147)+1)/2)*(Inputs!$J$8-Inputs!$I$8)))*Inputs!$C$11+((Inputs!$H$8+Inputs!$L$8*(((Inputs!$I$8+(((A147)+1)/2)*(Inputs!$J$8-Inputs!$I$8)))/Inputs!$K$8)^2))*((2*Inputs!$L$8*((Inputs!$I$8+(((A147)+1)/2)*(Inputs!$J$8-Inputs!$I$8)))/(Inputs!$K$8^2)*Inputs!$C$11)))/(SQRT(((Inputs!$I$8+(((A147)+1)/2)*(Inputs!$J$8-Inputs!$I$8)))^2+Inputs!$C$6^2+((Inputs!$H$8+Inputs!$L$8*(((Inputs!$I$8+(((A147)+1)/2)*(Inputs!$J$8-Inputs!$I$8)))/Inputs!$K$8)^2))^2)))))/Inputs!$C$13),NA())</f>
        <v>-1772.7521664865533</v>
      </c>
      <c r="Q147" s="9">
        <f>IF(OR(Inputs!$F$9=TRUE,Inputs!$F$9="TRUE",Inputs!$F$9=1),(-2*((1000*((((Inputs!$I$9+(((A147)+1)/2)*(Inputs!$J$9-Inputs!$I$9)))*Inputs!$C$11+((Inputs!$H$9+Inputs!$L$9*(((Inputs!$I$9+(((A147)+1)/2)*(Inputs!$J$9-Inputs!$I$9)))/Inputs!$K$9)^2))*((2*Inputs!$L$9*((Inputs!$I$9+(((A147)+1)/2)*(Inputs!$J$9-Inputs!$I$9)))/(Inputs!$K$9^2)*Inputs!$C$11)))/(SQRT(((Inputs!$I$9+(((A147)+1)/2)*(Inputs!$J$9-Inputs!$I$9)))^2+Inputs!$C$6^2+((Inputs!$H$9+Inputs!$L$9*(((Inputs!$I$9+(((A147)+1)/2)*(Inputs!$J$9-Inputs!$I$9)))/Inputs!$K$9)^2))^2)))))/Inputs!$C$13),NA())</f>
        <v>-1770.2411584430611</v>
      </c>
      <c r="R147" s="10"/>
      <c r="S147" s="9">
        <f t="shared" si="14"/>
        <v>0.20799999999999999</v>
      </c>
      <c r="T147" s="9">
        <f>(Inputs!$I$6+(((A147)+1)/2)*(Inputs!$J$6-Inputs!$I$6))</f>
        <v>12.480000000000004</v>
      </c>
      <c r="U147" s="9">
        <f>(Inputs!$I$7+(((A147)+1)/2)*(Inputs!$J$7-Inputs!$I$7))</f>
        <v>83.199999999999989</v>
      </c>
      <c r="V147" s="9">
        <f>(Inputs!$I$8+(((A147)+1)/2)*(Inputs!$J$8-Inputs!$I$8))</f>
        <v>166.39999999999998</v>
      </c>
      <c r="W147" s="9">
        <f>(Inputs!$I$9+(((A147)+1)/2)*(Inputs!$J$9-Inputs!$I$9))</f>
        <v>166.39999999999998</v>
      </c>
      <c r="X147" s="10"/>
      <c r="Y147" s="9">
        <f t="shared" si="15"/>
        <v>0.20799999999999999</v>
      </c>
      <c r="Z147" s="9">
        <f>(Inputs!$H$6+Inputs!$L$6*(((Inputs!$I$6+(((A147)+1)/2)*(Inputs!$J$6-Inputs!$I$6)))/Inputs!$K$6)^2)</f>
        <v>400.17305599999997</v>
      </c>
      <c r="AA147" s="9">
        <f>(Inputs!$H$7+Inputs!$L$7*(((Inputs!$I$7+(((A147)+1)/2)*(Inputs!$J$7-Inputs!$I$7)))/Inputs!$K$7)^2)</f>
        <v>50.791359999999997</v>
      </c>
      <c r="AB147" s="9">
        <f>(Inputs!$H$8+Inputs!$L$8*(((Inputs!$I$8+(((A147)+1)/2)*(Inputs!$J$8-Inputs!$I$8)))/Inputs!$K$8)^2)</f>
        <v>76.749759999999981</v>
      </c>
      <c r="AC147" s="9">
        <f>(Inputs!$H$9+Inputs!$L$9*(((Inputs!$I$9+(((A147)+1)/2)*(Inputs!$J$9-Inputs!$I$9)))/Inputs!$K$9)^2)</f>
        <v>67.182399999999973</v>
      </c>
      <c r="AD147" s="10"/>
      <c r="AE147" s="9">
        <f t="shared" si="16"/>
        <v>0.20799999999999999</v>
      </c>
      <c r="AF147" s="9">
        <f>(((SQRT(((Inputs!$I$6+(((A147)+1)/2)*(Inputs!$J$6-Inputs!$I$6)))^2+Inputs!$C$6^2+((Inputs!$H$6+Inputs!$L$6*(((Inputs!$I$6+(((A147)+1)/2)*(Inputs!$J$6-Inputs!$I$6)))/Inputs!$K$6)^2))^2))-((Inputs!$H$6+Inputs!$L$6*(((Inputs!$I$6+(((A147)+1)/2)*(Inputs!$J$6-Inputs!$I$6)))/Inputs!$K$6)^2)))*1000/Inputs!$C$12)</f>
        <v>547.37630208177086</v>
      </c>
      <c r="AG147" s="9">
        <f>(((SQRT(((Inputs!$I$7+(((A147)+1)/2)*(Inputs!$J$7-Inputs!$I$7)))^2+Inputs!$C$6^2+((Inputs!$H$7+Inputs!$L$7*(((Inputs!$I$7+(((A147)+1)/2)*(Inputs!$J$7-Inputs!$I$7)))/Inputs!$K$7)^2))^2))-((Inputs!$H$7+Inputs!$L$7*(((Inputs!$I$7+(((A147)+1)/2)*(Inputs!$J$7-Inputs!$I$7)))/Inputs!$K$7)^2)))*1000/Inputs!$C$12)</f>
        <v>28000.925707377744</v>
      </c>
      <c r="AH147" s="9">
        <f>(((SQRT(((Inputs!$I$8+(((A147)+1)/2)*(Inputs!$J$8-Inputs!$I$8)))^2+Inputs!$C$6^2+((Inputs!$H$8+Inputs!$L$8*(((Inputs!$I$8+(((A147)+1)/2)*(Inputs!$J$8-Inputs!$I$8)))/Inputs!$K$8)^2))^2))-((Inputs!$H$8+Inputs!$L$8*(((Inputs!$I$8+(((A147)+1)/2)*(Inputs!$J$8-Inputs!$I$8)))/Inputs!$K$8)^2)))*1000/Inputs!$C$12)</f>
        <v>60783.588498452576</v>
      </c>
      <c r="AI147" s="9">
        <f>(((SQRT(((Inputs!$I$9+(((A147)+1)/2)*(Inputs!$J$9-Inputs!$I$9)))^2+Inputs!$C$6^2+((Inputs!$H$9+Inputs!$L$9*(((Inputs!$I$9+(((A147)+1)/2)*(Inputs!$J$9-Inputs!$I$9)))/Inputs!$K$9)^2))^2))-((Inputs!$H$9+Inputs!$L$9*(((Inputs!$I$9+(((A147)+1)/2)*(Inputs!$J$9-Inputs!$I$9)))/Inputs!$K$9)^2)))*1000/Inputs!$C$12)</f>
        <v>64045.521794706867</v>
      </c>
      <c r="AJ147" s="10"/>
      <c r="AK147" s="9">
        <f t="shared" si="17"/>
        <v>0.20799999999999999</v>
      </c>
      <c r="AL147" s="9">
        <f>(-2*((1000*((((Inputs!$I$6+(((A147)+1)/2)*(Inputs!$J$6-Inputs!$I$6)))*Inputs!$C$11+((Inputs!$H$6+Inputs!$L$6*(((Inputs!$I$6+(((A147)+1)/2)*(Inputs!$J$6-Inputs!$I$6)))/Inputs!$K$6)^2))*((2*Inputs!$L$6*((Inputs!$I$6+(((A147)+1)/2)*(Inputs!$J$6-Inputs!$I$6)))/(Inputs!$K$6^2)*Inputs!$C$11)))/(SQRT(((Inputs!$I$6+(((A147)+1)/2)*(Inputs!$J$6-Inputs!$I$6)))^2+Inputs!$C$6^2+((Inputs!$H$6+Inputs!$L$6*(((Inputs!$I$6+(((A147)+1)/2)*(Inputs!$J$6-Inputs!$I$6)))/Inputs!$K$6)^2))^2)))))/Inputs!$C$13)</f>
        <v>-94.042772653266553</v>
      </c>
      <c r="AM147" s="9">
        <f>(-2*((1000*((((Inputs!$I$7+(((A147)+1)/2)*(Inputs!$J$7-Inputs!$I$7)))*Inputs!$C$11+((Inputs!$H$7+Inputs!$L$7*(((Inputs!$I$7+(((A147)+1)/2)*(Inputs!$J$7-Inputs!$I$7)))/Inputs!$K$7)^2))*((2*Inputs!$L$7*((Inputs!$I$7+(((A147)+1)/2)*(Inputs!$J$7-Inputs!$I$7)))/(Inputs!$K$7^2)*Inputs!$C$11)))/(SQRT(((Inputs!$I$7+(((A147)+1)/2)*(Inputs!$J$7-Inputs!$I$7)))^2+Inputs!$C$6^2+((Inputs!$H$7+Inputs!$L$7*(((Inputs!$I$7+(((A147)+1)/2)*(Inputs!$J$7-Inputs!$I$7)))/Inputs!$K$7)^2))^2)))))/Inputs!$C$13)</f>
        <v>-1629.3723506909682</v>
      </c>
      <c r="AN147" s="9">
        <f>(-2*((1000*((((Inputs!$I$8+(((A147)+1)/2)*(Inputs!$J$8-Inputs!$I$8)))*Inputs!$C$11+((Inputs!$H$8+Inputs!$L$8*(((Inputs!$I$8+(((A147)+1)/2)*(Inputs!$J$8-Inputs!$I$8)))/Inputs!$K$8)^2))*((2*Inputs!$L$8*((Inputs!$I$8+(((A147)+1)/2)*(Inputs!$J$8-Inputs!$I$8)))/(Inputs!$K$8^2)*Inputs!$C$11)))/(SQRT(((Inputs!$I$8+(((A147)+1)/2)*(Inputs!$J$8-Inputs!$I$8)))^2+Inputs!$C$6^2+((Inputs!$H$8+Inputs!$L$8*(((Inputs!$I$8+(((A147)+1)/2)*(Inputs!$J$8-Inputs!$I$8)))/Inputs!$K$8)^2))^2)))))/Inputs!$C$13)</f>
        <v>-1772.7521664865533</v>
      </c>
      <c r="AO147" s="9">
        <f>(-2*((1000*((((Inputs!$I$9+(((A147)+1)/2)*(Inputs!$J$9-Inputs!$I$9)))*Inputs!$C$11+((Inputs!$H$9+Inputs!$L$9*(((Inputs!$I$9+(((A147)+1)/2)*(Inputs!$J$9-Inputs!$I$9)))/Inputs!$K$9)^2))*((2*Inputs!$L$9*((Inputs!$I$9+(((A147)+1)/2)*(Inputs!$J$9-Inputs!$I$9)))/(Inputs!$K$9^2)*Inputs!$C$11)))/(SQRT(((Inputs!$I$9+(((A147)+1)/2)*(Inputs!$J$9-Inputs!$I$9)))^2+Inputs!$C$6^2+((Inputs!$H$9+Inputs!$L$9*(((Inputs!$I$9+(((A147)+1)/2)*(Inputs!$J$9-Inputs!$I$9)))/Inputs!$K$9)^2))^2)))))/Inputs!$C$13)</f>
        <v>-1770.2411584430611</v>
      </c>
    </row>
    <row r="148" spans="1:41">
      <c r="A148" s="9">
        <f>ROUND(-1+146*2/240,3)</f>
        <v>0.217</v>
      </c>
      <c r="B148" s="9">
        <f>IF(OR(Inputs!$F$6=TRUE,Inputs!$F$6="TRUE",Inputs!$F$6=1),(Inputs!$H$6+Inputs!$L$6*(((Inputs!$I$6+(((A148)+1)/2)*(Inputs!$J$6-Inputs!$I$6)))/Inputs!$K$6)^2),NA())</f>
        <v>400.188356</v>
      </c>
      <c r="C148" s="9">
        <f>IF(OR(Inputs!$F$7=TRUE,Inputs!$F$7="TRUE",Inputs!$F$7=1),(Inputs!$H$7+Inputs!$L$7*(((Inputs!$I$7+(((A148)+1)/2)*(Inputs!$J$7-Inputs!$I$7)))/Inputs!$K$7)^2),NA())</f>
        <v>52.187485000000009</v>
      </c>
      <c r="D148" s="9">
        <f>IF(OR(Inputs!$F$8=TRUE,Inputs!$F$8="TRUE",Inputs!$F$8=1),(Inputs!$H$8+Inputs!$L$8*(((Inputs!$I$8+(((A148)+1)/2)*(Inputs!$J$8-Inputs!$I$8)))/Inputs!$K$8)^2),NA())</f>
        <v>80.440885000000009</v>
      </c>
      <c r="E148" s="9">
        <f>IF(OR(Inputs!$F$9=TRUE,Inputs!$F$9="TRUE",Inputs!$F$9=1),(Inputs!$H$9+Inputs!$L$9*(((Inputs!$I$9+(((A148)+1)/2)*(Inputs!$J$9-Inputs!$I$9)))/Inputs!$K$9)^2),NA())</f>
        <v>70.911775000000006</v>
      </c>
      <c r="F148" s="10"/>
      <c r="G148" s="9">
        <f t="shared" si="12"/>
        <v>0.217</v>
      </c>
      <c r="H148" s="9">
        <f>IF(OR(Inputs!$F$6=TRUE,Inputs!$F$6="TRUE",Inputs!$F$6=1),(((SQRT(((Inputs!$I$6+(((A148)+1)/2)*(Inputs!$J$6-Inputs!$I$6)))^2+Inputs!$C$6^2+((Inputs!$H$6+Inputs!$L$6*(((Inputs!$I$6+(((A148)+1)/2)*(Inputs!$J$6-Inputs!$I$6)))/Inputs!$K$6)^2))^2))-((Inputs!$H$6+Inputs!$L$6*(((Inputs!$I$6+(((A148)+1)/2)*(Inputs!$J$6-Inputs!$I$6)))/Inputs!$K$6)^2)))*1000/Inputs!$C$12),NA())</f>
        <v>556.9971377883129</v>
      </c>
      <c r="I148" s="9">
        <f>IF(OR(Inputs!$F$7=TRUE,Inputs!$F$7="TRUE",Inputs!$F$7=1),(((SQRT(((Inputs!$I$7+(((A148)+1)/2)*(Inputs!$J$7-Inputs!$I$7)))^2+Inputs!$C$6^2+((Inputs!$H$7+Inputs!$L$7*(((Inputs!$I$7+(((A148)+1)/2)*(Inputs!$J$7-Inputs!$I$7)))/Inputs!$K$7)^2))^2))-((Inputs!$H$7+Inputs!$L$7*(((Inputs!$I$7+(((A148)+1)/2)*(Inputs!$J$7-Inputs!$I$7)))/Inputs!$K$7)^2)))*1000/Inputs!$C$12),NA())</f>
        <v>29288.229173688811</v>
      </c>
      <c r="J148" s="9">
        <f>IF(OR(Inputs!$F$8=TRUE,Inputs!$F$8="TRUE",Inputs!$F$8=1),(((SQRT(((Inputs!$I$8+(((A148)+1)/2)*(Inputs!$J$8-Inputs!$I$8)))^2+Inputs!$C$6^2+((Inputs!$H$8+Inputs!$L$8*(((Inputs!$I$8+(((A148)+1)/2)*(Inputs!$J$8-Inputs!$I$8)))/Inputs!$K$8)^2))^2))-((Inputs!$H$8+Inputs!$L$8*(((Inputs!$I$8+(((A148)+1)/2)*(Inputs!$J$8-Inputs!$I$8)))/Inputs!$K$8)^2)))*1000/Inputs!$C$12),NA())</f>
        <v>63211.725832669654</v>
      </c>
      <c r="K148" s="9">
        <f>IF(OR(Inputs!$F$9=TRUE,Inputs!$F$9="TRUE",Inputs!$F$9=1),(((SQRT(((Inputs!$I$9+(((A148)+1)/2)*(Inputs!$J$9-Inputs!$I$9)))^2+Inputs!$C$6^2+((Inputs!$H$9+Inputs!$L$9*(((Inputs!$I$9+(((A148)+1)/2)*(Inputs!$J$9-Inputs!$I$9)))/Inputs!$K$9)^2))^2))-((Inputs!$H$9+Inputs!$L$9*(((Inputs!$I$9+(((A148)+1)/2)*(Inputs!$J$9-Inputs!$I$9)))/Inputs!$K$9)^2)))*1000/Inputs!$C$12),NA())</f>
        <v>66444.853411692078</v>
      </c>
      <c r="L148" s="10"/>
      <c r="M148" s="9">
        <f t="shared" si="13"/>
        <v>0.217</v>
      </c>
      <c r="N148" s="9">
        <f>IF(OR(Inputs!$F$6=TRUE,Inputs!$F$6="TRUE",Inputs!$F$6=1),(-2*((1000*((((Inputs!$I$6+(((A148)+1)/2)*(Inputs!$J$6-Inputs!$I$6)))*Inputs!$C$11+((Inputs!$H$6+Inputs!$L$6*(((Inputs!$I$6+(((A148)+1)/2)*(Inputs!$J$6-Inputs!$I$6)))/Inputs!$K$6)^2))*((2*Inputs!$L$6*((Inputs!$I$6+(((A148)+1)/2)*(Inputs!$J$6-Inputs!$I$6)))/(Inputs!$K$6^2)*Inputs!$C$11)))/(SQRT(((Inputs!$I$6+(((A148)+1)/2)*(Inputs!$J$6-Inputs!$I$6)))^2+Inputs!$C$6^2+((Inputs!$H$6+Inputs!$L$6*(((Inputs!$I$6+(((A148)+1)/2)*(Inputs!$J$6-Inputs!$I$6)))/Inputs!$K$6)^2))^2)))))/Inputs!$C$13),NA())</f>
        <v>-98.10576676731354</v>
      </c>
      <c r="O148" s="9">
        <f>IF(OR(Inputs!$F$7=TRUE,Inputs!$F$7="TRUE",Inputs!$F$7=1),(-2*((1000*((((Inputs!$I$7+(((A148)+1)/2)*(Inputs!$J$7-Inputs!$I$7)))*Inputs!$C$11+((Inputs!$H$7+Inputs!$L$7*(((Inputs!$I$7+(((A148)+1)/2)*(Inputs!$J$7-Inputs!$I$7)))/Inputs!$K$7)^2))*((2*Inputs!$L$7*((Inputs!$I$7+(((A148)+1)/2)*(Inputs!$J$7-Inputs!$I$7)))/(Inputs!$K$7^2)*Inputs!$C$11)))/(SQRT(((Inputs!$I$7+(((A148)+1)/2)*(Inputs!$J$7-Inputs!$I$7)))^2+Inputs!$C$6^2+((Inputs!$H$7+Inputs!$L$7*(((Inputs!$I$7+(((A148)+1)/2)*(Inputs!$J$7-Inputs!$I$7)))/Inputs!$K$7)^2))^2)))))/Inputs!$C$13),NA())</f>
        <v>-1648.2668671962517</v>
      </c>
      <c r="P148" s="9">
        <f>IF(OR(Inputs!$F$8=TRUE,Inputs!$F$8="TRUE",Inputs!$F$8=1),(-2*((1000*((((Inputs!$I$8+(((A148)+1)/2)*(Inputs!$J$8-Inputs!$I$8)))*Inputs!$C$11+((Inputs!$H$8+Inputs!$L$8*(((Inputs!$I$8+(((A148)+1)/2)*(Inputs!$J$8-Inputs!$I$8)))/Inputs!$K$8)^2))*((2*Inputs!$L$8*((Inputs!$I$8+(((A148)+1)/2)*(Inputs!$J$8-Inputs!$I$8)))/(Inputs!$K$8^2)*Inputs!$C$11)))/(SQRT(((Inputs!$I$8+(((A148)+1)/2)*(Inputs!$J$8-Inputs!$I$8)))^2+Inputs!$C$6^2+((Inputs!$H$8+Inputs!$L$8*(((Inputs!$I$8+(((A148)+1)/2)*(Inputs!$J$8-Inputs!$I$8)))/Inputs!$K$8)^2))^2)))))/Inputs!$C$13),NA())</f>
        <v>-1788.6759231225119</v>
      </c>
      <c r="Q148" s="9">
        <f>IF(OR(Inputs!$F$9=TRUE,Inputs!$F$9="TRUE",Inputs!$F$9=1),(-2*((1000*((((Inputs!$I$9+(((A148)+1)/2)*(Inputs!$J$9-Inputs!$I$9)))*Inputs!$C$11+((Inputs!$H$9+Inputs!$L$9*(((Inputs!$I$9+(((A148)+1)/2)*(Inputs!$J$9-Inputs!$I$9)))/Inputs!$K$9)^2))*((2*Inputs!$L$9*((Inputs!$I$9+(((A148)+1)/2)*(Inputs!$J$9-Inputs!$I$9)))/(Inputs!$K$9^2)*Inputs!$C$11)))/(SQRT(((Inputs!$I$9+(((A148)+1)/2)*(Inputs!$J$9-Inputs!$I$9)))^2+Inputs!$C$6^2+((Inputs!$H$9+Inputs!$L$9*(((Inputs!$I$9+(((A148)+1)/2)*(Inputs!$J$9-Inputs!$I$9)))/Inputs!$K$9)^2))^2)))))/Inputs!$C$13),NA())</f>
        <v>-1785.4222567737822</v>
      </c>
      <c r="R148" s="10"/>
      <c r="S148" s="9">
        <f t="shared" si="14"/>
        <v>0.217</v>
      </c>
      <c r="T148" s="9">
        <f>(Inputs!$I$6+(((A148)+1)/2)*(Inputs!$J$6-Inputs!$I$6))</f>
        <v>13.02000000000001</v>
      </c>
      <c r="U148" s="9">
        <f>(Inputs!$I$7+(((A148)+1)/2)*(Inputs!$J$7-Inputs!$I$7))</f>
        <v>86.800000000000011</v>
      </c>
      <c r="V148" s="9">
        <f>(Inputs!$I$8+(((A148)+1)/2)*(Inputs!$J$8-Inputs!$I$8))</f>
        <v>173.60000000000002</v>
      </c>
      <c r="W148" s="9">
        <f>(Inputs!$I$9+(((A148)+1)/2)*(Inputs!$J$9-Inputs!$I$9))</f>
        <v>173.60000000000002</v>
      </c>
      <c r="X148" s="10"/>
      <c r="Y148" s="9">
        <f t="shared" si="15"/>
        <v>0.217</v>
      </c>
      <c r="Z148" s="9">
        <f>(Inputs!$H$6+Inputs!$L$6*(((Inputs!$I$6+(((A148)+1)/2)*(Inputs!$J$6-Inputs!$I$6)))/Inputs!$K$6)^2)</f>
        <v>400.188356</v>
      </c>
      <c r="AA148" s="9">
        <f>(Inputs!$H$7+Inputs!$L$7*(((Inputs!$I$7+(((A148)+1)/2)*(Inputs!$J$7-Inputs!$I$7)))/Inputs!$K$7)^2)</f>
        <v>52.187485000000009</v>
      </c>
      <c r="AB148" s="9">
        <f>(Inputs!$H$8+Inputs!$L$8*(((Inputs!$I$8+(((A148)+1)/2)*(Inputs!$J$8-Inputs!$I$8)))/Inputs!$K$8)^2)</f>
        <v>80.440885000000009</v>
      </c>
      <c r="AC148" s="9">
        <f>(Inputs!$H$9+Inputs!$L$9*(((Inputs!$I$9+(((A148)+1)/2)*(Inputs!$J$9-Inputs!$I$9)))/Inputs!$K$9)^2)</f>
        <v>70.911775000000006</v>
      </c>
      <c r="AD148" s="10"/>
      <c r="AE148" s="9">
        <f t="shared" si="16"/>
        <v>0.217</v>
      </c>
      <c r="AF148" s="9">
        <f>(((SQRT(((Inputs!$I$6+(((A148)+1)/2)*(Inputs!$J$6-Inputs!$I$6)))^2+Inputs!$C$6^2+((Inputs!$H$6+Inputs!$L$6*(((Inputs!$I$6+(((A148)+1)/2)*(Inputs!$J$6-Inputs!$I$6)))/Inputs!$K$6)^2))^2))-((Inputs!$H$6+Inputs!$L$6*(((Inputs!$I$6+(((A148)+1)/2)*(Inputs!$J$6-Inputs!$I$6)))/Inputs!$K$6)^2)))*1000/Inputs!$C$12)</f>
        <v>556.9971377883129</v>
      </c>
      <c r="AG148" s="9">
        <f>(((SQRT(((Inputs!$I$7+(((A148)+1)/2)*(Inputs!$J$7-Inputs!$I$7)))^2+Inputs!$C$6^2+((Inputs!$H$7+Inputs!$L$7*(((Inputs!$I$7+(((A148)+1)/2)*(Inputs!$J$7-Inputs!$I$7)))/Inputs!$K$7)^2))^2))-((Inputs!$H$7+Inputs!$L$7*(((Inputs!$I$7+(((A148)+1)/2)*(Inputs!$J$7-Inputs!$I$7)))/Inputs!$K$7)^2)))*1000/Inputs!$C$12)</f>
        <v>29288.229173688811</v>
      </c>
      <c r="AH148" s="9">
        <f>(((SQRT(((Inputs!$I$8+(((A148)+1)/2)*(Inputs!$J$8-Inputs!$I$8)))^2+Inputs!$C$6^2+((Inputs!$H$8+Inputs!$L$8*(((Inputs!$I$8+(((A148)+1)/2)*(Inputs!$J$8-Inputs!$I$8)))/Inputs!$K$8)^2))^2))-((Inputs!$H$8+Inputs!$L$8*(((Inputs!$I$8+(((A148)+1)/2)*(Inputs!$J$8-Inputs!$I$8)))/Inputs!$K$8)^2)))*1000/Inputs!$C$12)</f>
        <v>63211.725832669654</v>
      </c>
      <c r="AI148" s="9">
        <f>(((SQRT(((Inputs!$I$9+(((A148)+1)/2)*(Inputs!$J$9-Inputs!$I$9)))^2+Inputs!$C$6^2+((Inputs!$H$9+Inputs!$L$9*(((Inputs!$I$9+(((A148)+1)/2)*(Inputs!$J$9-Inputs!$I$9)))/Inputs!$K$9)^2))^2))-((Inputs!$H$9+Inputs!$L$9*(((Inputs!$I$9+(((A148)+1)/2)*(Inputs!$J$9-Inputs!$I$9)))/Inputs!$K$9)^2)))*1000/Inputs!$C$12)</f>
        <v>66444.853411692078</v>
      </c>
      <c r="AJ148" s="10"/>
      <c r="AK148" s="9">
        <f t="shared" si="17"/>
        <v>0.217</v>
      </c>
      <c r="AL148" s="9">
        <f>(-2*((1000*((((Inputs!$I$6+(((A148)+1)/2)*(Inputs!$J$6-Inputs!$I$6)))*Inputs!$C$11+((Inputs!$H$6+Inputs!$L$6*(((Inputs!$I$6+(((A148)+1)/2)*(Inputs!$J$6-Inputs!$I$6)))/Inputs!$K$6)^2))*((2*Inputs!$L$6*((Inputs!$I$6+(((A148)+1)/2)*(Inputs!$J$6-Inputs!$I$6)))/(Inputs!$K$6^2)*Inputs!$C$11)))/(SQRT(((Inputs!$I$6+(((A148)+1)/2)*(Inputs!$J$6-Inputs!$I$6)))^2+Inputs!$C$6^2+((Inputs!$H$6+Inputs!$L$6*(((Inputs!$I$6+(((A148)+1)/2)*(Inputs!$J$6-Inputs!$I$6)))/Inputs!$K$6)^2))^2)))))/Inputs!$C$13)</f>
        <v>-98.10576676731354</v>
      </c>
      <c r="AM148" s="9">
        <f>(-2*((1000*((((Inputs!$I$7+(((A148)+1)/2)*(Inputs!$J$7-Inputs!$I$7)))*Inputs!$C$11+((Inputs!$H$7+Inputs!$L$7*(((Inputs!$I$7+(((A148)+1)/2)*(Inputs!$J$7-Inputs!$I$7)))/Inputs!$K$7)^2))*((2*Inputs!$L$7*((Inputs!$I$7+(((A148)+1)/2)*(Inputs!$J$7-Inputs!$I$7)))/(Inputs!$K$7^2)*Inputs!$C$11)))/(SQRT(((Inputs!$I$7+(((A148)+1)/2)*(Inputs!$J$7-Inputs!$I$7)))^2+Inputs!$C$6^2+((Inputs!$H$7+Inputs!$L$7*(((Inputs!$I$7+(((A148)+1)/2)*(Inputs!$J$7-Inputs!$I$7)))/Inputs!$K$7)^2))^2)))))/Inputs!$C$13)</f>
        <v>-1648.2668671962517</v>
      </c>
      <c r="AN148" s="9">
        <f>(-2*((1000*((((Inputs!$I$8+(((A148)+1)/2)*(Inputs!$J$8-Inputs!$I$8)))*Inputs!$C$11+((Inputs!$H$8+Inputs!$L$8*(((Inputs!$I$8+(((A148)+1)/2)*(Inputs!$J$8-Inputs!$I$8)))/Inputs!$K$8)^2))*((2*Inputs!$L$8*((Inputs!$I$8+(((A148)+1)/2)*(Inputs!$J$8-Inputs!$I$8)))/(Inputs!$K$8^2)*Inputs!$C$11)))/(SQRT(((Inputs!$I$8+(((A148)+1)/2)*(Inputs!$J$8-Inputs!$I$8)))^2+Inputs!$C$6^2+((Inputs!$H$8+Inputs!$L$8*(((Inputs!$I$8+(((A148)+1)/2)*(Inputs!$J$8-Inputs!$I$8)))/Inputs!$K$8)^2))^2)))))/Inputs!$C$13)</f>
        <v>-1788.6759231225119</v>
      </c>
      <c r="AO148" s="9">
        <f>(-2*((1000*((((Inputs!$I$9+(((A148)+1)/2)*(Inputs!$J$9-Inputs!$I$9)))*Inputs!$C$11+((Inputs!$H$9+Inputs!$L$9*(((Inputs!$I$9+(((A148)+1)/2)*(Inputs!$J$9-Inputs!$I$9)))/Inputs!$K$9)^2))*((2*Inputs!$L$9*((Inputs!$I$9+(((A148)+1)/2)*(Inputs!$J$9-Inputs!$I$9)))/(Inputs!$K$9^2)*Inputs!$C$11)))/(SQRT(((Inputs!$I$9+(((A148)+1)/2)*(Inputs!$J$9-Inputs!$I$9)))^2+Inputs!$C$6^2+((Inputs!$H$9+Inputs!$L$9*(((Inputs!$I$9+(((A148)+1)/2)*(Inputs!$J$9-Inputs!$I$9)))/Inputs!$K$9)^2))^2)))))/Inputs!$C$13)</f>
        <v>-1785.4222567737822</v>
      </c>
    </row>
    <row r="149" spans="1:41">
      <c r="A149" s="9">
        <f>ROUND(-1+147*2/240,3)</f>
        <v>0.22500000000000001</v>
      </c>
      <c r="B149" s="9">
        <f>IF(OR(Inputs!$F$6=TRUE,Inputs!$F$6="TRUE",Inputs!$F$6=1),(Inputs!$H$6+Inputs!$L$6*(((Inputs!$I$6+(((A149)+1)/2)*(Inputs!$J$6-Inputs!$I$6)))/Inputs!$K$6)^2),NA())</f>
        <v>400.20249999999999</v>
      </c>
      <c r="C149" s="9">
        <f>IF(OR(Inputs!$F$7=TRUE,Inputs!$F$7="TRUE",Inputs!$F$7=1),(Inputs!$H$7+Inputs!$L$7*(((Inputs!$I$7+(((A149)+1)/2)*(Inputs!$J$7-Inputs!$I$7)))/Inputs!$K$7)^2),NA())</f>
        <v>53.47812500000002</v>
      </c>
      <c r="D149" s="9">
        <f>IF(OR(Inputs!$F$8=TRUE,Inputs!$F$8="TRUE",Inputs!$F$8=1),(Inputs!$H$8+Inputs!$L$8*(((Inputs!$I$8+(((A149)+1)/2)*(Inputs!$J$8-Inputs!$I$8)))/Inputs!$K$8)^2),NA())</f>
        <v>83.853125000000063</v>
      </c>
      <c r="E149" s="9">
        <f>IF(OR(Inputs!$F$9=TRUE,Inputs!$F$9="TRUE",Inputs!$F$9=1),(Inputs!$H$9+Inputs!$L$9*(((Inputs!$I$9+(((A149)+1)/2)*(Inputs!$J$9-Inputs!$I$9)))/Inputs!$K$9)^2),NA())</f>
        <v>74.359375000000057</v>
      </c>
      <c r="F149" s="10"/>
      <c r="G149" s="9">
        <f t="shared" si="12"/>
        <v>0.22500000000000001</v>
      </c>
      <c r="H149" s="9">
        <f>IF(OR(Inputs!$F$6=TRUE,Inputs!$F$6="TRUE",Inputs!$F$6=1),(((SQRT(((Inputs!$I$6+(((A149)+1)/2)*(Inputs!$J$6-Inputs!$I$6)))^2+Inputs!$C$6^2+((Inputs!$H$6+Inputs!$L$6*(((Inputs!$I$6+(((A149)+1)/2)*(Inputs!$J$6-Inputs!$I$6)))/Inputs!$K$6)^2))^2))-((Inputs!$H$6+Inputs!$L$6*(((Inputs!$I$6+(((A149)+1)/2)*(Inputs!$J$6-Inputs!$I$6)))/Inputs!$K$6)^2)))*1000/Inputs!$C$12),NA())</f>
        <v>565.89004791648767</v>
      </c>
      <c r="I149" s="9">
        <f>IF(OR(Inputs!$F$7=TRUE,Inputs!$F$7="TRUE",Inputs!$F$7=1),(((SQRT(((Inputs!$I$7+(((A149)+1)/2)*(Inputs!$J$7-Inputs!$I$7)))^2+Inputs!$C$6^2+((Inputs!$H$7+Inputs!$L$7*(((Inputs!$I$7+(((A149)+1)/2)*(Inputs!$J$7-Inputs!$I$7)))/Inputs!$K$7)^2))^2))-((Inputs!$H$7+Inputs!$L$7*(((Inputs!$I$7+(((A149)+1)/2)*(Inputs!$J$7-Inputs!$I$7)))/Inputs!$K$7)^2)))*1000/Inputs!$C$12),NA())</f>
        <v>30424.210167722536</v>
      </c>
      <c r="J149" s="9">
        <f>IF(OR(Inputs!$F$8=TRUE,Inputs!$F$8="TRUE",Inputs!$F$8=1),(((SQRT(((Inputs!$I$8+(((A149)+1)/2)*(Inputs!$J$8-Inputs!$I$8)))^2+Inputs!$C$6^2+((Inputs!$H$8+Inputs!$L$8*(((Inputs!$I$8+(((A149)+1)/2)*(Inputs!$J$8-Inputs!$I$8)))/Inputs!$K$8)^2))^2))-((Inputs!$H$8+Inputs!$L$8*(((Inputs!$I$8+(((A149)+1)/2)*(Inputs!$J$8-Inputs!$I$8)))/Inputs!$K$8)^2)))*1000/Inputs!$C$12),NA())</f>
        <v>65330.163964716834</v>
      </c>
      <c r="K149" s="9">
        <f>IF(OR(Inputs!$F$9=TRUE,Inputs!$F$9="TRUE",Inputs!$F$9=1),(((SQRT(((Inputs!$I$9+(((A149)+1)/2)*(Inputs!$J$9-Inputs!$I$9)))^2+Inputs!$C$6^2+((Inputs!$H$9+Inputs!$L$9*(((Inputs!$I$9+(((A149)+1)/2)*(Inputs!$J$9-Inputs!$I$9)))/Inputs!$K$9)^2))^2))-((Inputs!$H$9+Inputs!$L$9*(((Inputs!$I$9+(((A149)+1)/2)*(Inputs!$J$9-Inputs!$I$9)))/Inputs!$K$9)^2)))*1000/Inputs!$C$12),NA())</f>
        <v>68535.481214012267</v>
      </c>
      <c r="L149" s="10"/>
      <c r="M149" s="9">
        <f t="shared" si="13"/>
        <v>0.22500000000000001</v>
      </c>
      <c r="N149" s="9">
        <f>IF(OR(Inputs!$F$6=TRUE,Inputs!$F$6="TRUE",Inputs!$F$6=1),(-2*((1000*((((Inputs!$I$6+(((A149)+1)/2)*(Inputs!$J$6-Inputs!$I$6)))*Inputs!$C$11+((Inputs!$H$6+Inputs!$L$6*(((Inputs!$I$6+(((A149)+1)/2)*(Inputs!$J$6-Inputs!$I$6)))/Inputs!$K$6)^2))*((2*Inputs!$L$6*((Inputs!$I$6+(((A149)+1)/2)*(Inputs!$J$6-Inputs!$I$6)))/(Inputs!$K$6^2)*Inputs!$C$11)))/(SQRT(((Inputs!$I$6+(((A149)+1)/2)*(Inputs!$J$6-Inputs!$I$6)))^2+Inputs!$C$6^2+((Inputs!$H$6+Inputs!$L$6*(((Inputs!$I$6+(((A149)+1)/2)*(Inputs!$J$6-Inputs!$I$6)))/Inputs!$K$6)^2))^2)))))/Inputs!$C$13),NA())</f>
        <v>-101.71666195204531</v>
      </c>
      <c r="O149" s="9">
        <f>IF(OR(Inputs!$F$7=TRUE,Inputs!$F$7="TRUE",Inputs!$F$7=1),(-2*((1000*((((Inputs!$I$7+(((A149)+1)/2)*(Inputs!$J$7-Inputs!$I$7)))*Inputs!$C$11+((Inputs!$H$7+Inputs!$L$7*(((Inputs!$I$7+(((A149)+1)/2)*(Inputs!$J$7-Inputs!$I$7)))/Inputs!$K$7)^2))*((2*Inputs!$L$7*((Inputs!$I$7+(((A149)+1)/2)*(Inputs!$J$7-Inputs!$I$7)))/(Inputs!$K$7^2)*Inputs!$C$11)))/(SQRT(((Inputs!$I$7+(((A149)+1)/2)*(Inputs!$J$7-Inputs!$I$7)))^2+Inputs!$C$6^2+((Inputs!$H$7+Inputs!$L$7*(((Inputs!$I$7+(((A149)+1)/2)*(Inputs!$J$7-Inputs!$I$7)))/Inputs!$K$7)^2))^2)))))/Inputs!$C$13),NA())</f>
        <v>-1664.3107920147656</v>
      </c>
      <c r="P149" s="9">
        <f>IF(OR(Inputs!$F$8=TRUE,Inputs!$F$8="TRUE",Inputs!$F$8=1),(-2*((1000*((((Inputs!$I$8+(((A149)+1)/2)*(Inputs!$J$8-Inputs!$I$8)))*Inputs!$C$11+((Inputs!$H$8+Inputs!$L$8*(((Inputs!$I$8+(((A149)+1)/2)*(Inputs!$J$8-Inputs!$I$8)))/Inputs!$K$8)^2))*((2*Inputs!$L$8*((Inputs!$I$8+(((A149)+1)/2)*(Inputs!$J$8-Inputs!$I$8)))/(Inputs!$K$8^2)*Inputs!$C$11)))/(SQRT(((Inputs!$I$8+(((A149)+1)/2)*(Inputs!$J$8-Inputs!$I$8)))^2+Inputs!$C$6^2+((Inputs!$H$8+Inputs!$L$8*(((Inputs!$I$8+(((A149)+1)/2)*(Inputs!$J$8-Inputs!$I$8)))/Inputs!$K$8)^2))^2)))))/Inputs!$C$13),NA())</f>
        <v>-1802.8628279255813</v>
      </c>
      <c r="Q149" s="9">
        <f>IF(OR(Inputs!$F$9=TRUE,Inputs!$F$9="TRUE",Inputs!$F$9=1),(-2*((1000*((((Inputs!$I$9+(((A149)+1)/2)*(Inputs!$J$9-Inputs!$I$9)))*Inputs!$C$11+((Inputs!$H$9+Inputs!$L$9*(((Inputs!$I$9+(((A149)+1)/2)*(Inputs!$J$9-Inputs!$I$9)))/Inputs!$K$9)^2))*((2*Inputs!$L$9*((Inputs!$I$9+(((A149)+1)/2)*(Inputs!$J$9-Inputs!$I$9)))/(Inputs!$K$9^2)*Inputs!$C$11)))/(SQRT(((Inputs!$I$9+(((A149)+1)/2)*(Inputs!$J$9-Inputs!$I$9)))^2+Inputs!$C$6^2+((Inputs!$H$9+Inputs!$L$9*(((Inputs!$I$9+(((A149)+1)/2)*(Inputs!$J$9-Inputs!$I$9)))/Inputs!$K$9)^2))^2)))))/Inputs!$C$13),NA())</f>
        <v>-1799.0618646689668</v>
      </c>
      <c r="R149" s="10"/>
      <c r="S149" s="9">
        <f t="shared" si="14"/>
        <v>0.22500000000000001</v>
      </c>
      <c r="T149" s="9">
        <f>(Inputs!$I$6+(((A149)+1)/2)*(Inputs!$J$6-Inputs!$I$6))</f>
        <v>13.5</v>
      </c>
      <c r="U149" s="9">
        <f>(Inputs!$I$7+(((A149)+1)/2)*(Inputs!$J$7-Inputs!$I$7))</f>
        <v>90.000000000000057</v>
      </c>
      <c r="V149" s="9">
        <f>(Inputs!$I$8+(((A149)+1)/2)*(Inputs!$J$8-Inputs!$I$8))</f>
        <v>180.00000000000011</v>
      </c>
      <c r="W149" s="9">
        <f>(Inputs!$I$9+(((A149)+1)/2)*(Inputs!$J$9-Inputs!$I$9))</f>
        <v>180.00000000000011</v>
      </c>
      <c r="X149" s="10"/>
      <c r="Y149" s="9">
        <f t="shared" si="15"/>
        <v>0.22500000000000001</v>
      </c>
      <c r="Z149" s="9">
        <f>(Inputs!$H$6+Inputs!$L$6*(((Inputs!$I$6+(((A149)+1)/2)*(Inputs!$J$6-Inputs!$I$6)))/Inputs!$K$6)^2)</f>
        <v>400.20249999999999</v>
      </c>
      <c r="AA149" s="9">
        <f>(Inputs!$H$7+Inputs!$L$7*(((Inputs!$I$7+(((A149)+1)/2)*(Inputs!$J$7-Inputs!$I$7)))/Inputs!$K$7)^2)</f>
        <v>53.47812500000002</v>
      </c>
      <c r="AB149" s="9">
        <f>(Inputs!$H$8+Inputs!$L$8*(((Inputs!$I$8+(((A149)+1)/2)*(Inputs!$J$8-Inputs!$I$8)))/Inputs!$K$8)^2)</f>
        <v>83.853125000000063</v>
      </c>
      <c r="AC149" s="9">
        <f>(Inputs!$H$9+Inputs!$L$9*(((Inputs!$I$9+(((A149)+1)/2)*(Inputs!$J$9-Inputs!$I$9)))/Inputs!$K$9)^2)</f>
        <v>74.359375000000057</v>
      </c>
      <c r="AD149" s="10"/>
      <c r="AE149" s="9">
        <f t="shared" si="16"/>
        <v>0.22500000000000001</v>
      </c>
      <c r="AF149" s="9">
        <f>(((SQRT(((Inputs!$I$6+(((A149)+1)/2)*(Inputs!$J$6-Inputs!$I$6)))^2+Inputs!$C$6^2+((Inputs!$H$6+Inputs!$L$6*(((Inputs!$I$6+(((A149)+1)/2)*(Inputs!$J$6-Inputs!$I$6)))/Inputs!$K$6)^2))^2))-((Inputs!$H$6+Inputs!$L$6*(((Inputs!$I$6+(((A149)+1)/2)*(Inputs!$J$6-Inputs!$I$6)))/Inputs!$K$6)^2)))*1000/Inputs!$C$12)</f>
        <v>565.89004791648767</v>
      </c>
      <c r="AG149" s="9">
        <f>(((SQRT(((Inputs!$I$7+(((A149)+1)/2)*(Inputs!$J$7-Inputs!$I$7)))^2+Inputs!$C$6^2+((Inputs!$H$7+Inputs!$L$7*(((Inputs!$I$7+(((A149)+1)/2)*(Inputs!$J$7-Inputs!$I$7)))/Inputs!$K$7)^2))^2))-((Inputs!$H$7+Inputs!$L$7*(((Inputs!$I$7+(((A149)+1)/2)*(Inputs!$J$7-Inputs!$I$7)))/Inputs!$K$7)^2)))*1000/Inputs!$C$12)</f>
        <v>30424.210167722536</v>
      </c>
      <c r="AH149" s="9">
        <f>(((SQRT(((Inputs!$I$8+(((A149)+1)/2)*(Inputs!$J$8-Inputs!$I$8)))^2+Inputs!$C$6^2+((Inputs!$H$8+Inputs!$L$8*(((Inputs!$I$8+(((A149)+1)/2)*(Inputs!$J$8-Inputs!$I$8)))/Inputs!$K$8)^2))^2))-((Inputs!$H$8+Inputs!$L$8*(((Inputs!$I$8+(((A149)+1)/2)*(Inputs!$J$8-Inputs!$I$8)))/Inputs!$K$8)^2)))*1000/Inputs!$C$12)</f>
        <v>65330.163964716834</v>
      </c>
      <c r="AI149" s="9">
        <f>(((SQRT(((Inputs!$I$9+(((A149)+1)/2)*(Inputs!$J$9-Inputs!$I$9)))^2+Inputs!$C$6^2+((Inputs!$H$9+Inputs!$L$9*(((Inputs!$I$9+(((A149)+1)/2)*(Inputs!$J$9-Inputs!$I$9)))/Inputs!$K$9)^2))^2))-((Inputs!$H$9+Inputs!$L$9*(((Inputs!$I$9+(((A149)+1)/2)*(Inputs!$J$9-Inputs!$I$9)))/Inputs!$K$9)^2)))*1000/Inputs!$C$12)</f>
        <v>68535.481214012267</v>
      </c>
      <c r="AJ149" s="10"/>
      <c r="AK149" s="9">
        <f t="shared" si="17"/>
        <v>0.22500000000000001</v>
      </c>
      <c r="AL149" s="9">
        <f>(-2*((1000*((((Inputs!$I$6+(((A149)+1)/2)*(Inputs!$J$6-Inputs!$I$6)))*Inputs!$C$11+((Inputs!$H$6+Inputs!$L$6*(((Inputs!$I$6+(((A149)+1)/2)*(Inputs!$J$6-Inputs!$I$6)))/Inputs!$K$6)^2))*((2*Inputs!$L$6*((Inputs!$I$6+(((A149)+1)/2)*(Inputs!$J$6-Inputs!$I$6)))/(Inputs!$K$6^2)*Inputs!$C$11)))/(SQRT(((Inputs!$I$6+(((A149)+1)/2)*(Inputs!$J$6-Inputs!$I$6)))^2+Inputs!$C$6^2+((Inputs!$H$6+Inputs!$L$6*(((Inputs!$I$6+(((A149)+1)/2)*(Inputs!$J$6-Inputs!$I$6)))/Inputs!$K$6)^2))^2)))))/Inputs!$C$13)</f>
        <v>-101.71666195204531</v>
      </c>
      <c r="AM149" s="9">
        <f>(-2*((1000*((((Inputs!$I$7+(((A149)+1)/2)*(Inputs!$J$7-Inputs!$I$7)))*Inputs!$C$11+((Inputs!$H$7+Inputs!$L$7*(((Inputs!$I$7+(((A149)+1)/2)*(Inputs!$J$7-Inputs!$I$7)))/Inputs!$K$7)^2))*((2*Inputs!$L$7*((Inputs!$I$7+(((A149)+1)/2)*(Inputs!$J$7-Inputs!$I$7)))/(Inputs!$K$7^2)*Inputs!$C$11)))/(SQRT(((Inputs!$I$7+(((A149)+1)/2)*(Inputs!$J$7-Inputs!$I$7)))^2+Inputs!$C$6^2+((Inputs!$H$7+Inputs!$L$7*(((Inputs!$I$7+(((A149)+1)/2)*(Inputs!$J$7-Inputs!$I$7)))/Inputs!$K$7)^2))^2)))))/Inputs!$C$13)</f>
        <v>-1664.3107920147656</v>
      </c>
      <c r="AN149" s="9">
        <f>(-2*((1000*((((Inputs!$I$8+(((A149)+1)/2)*(Inputs!$J$8-Inputs!$I$8)))*Inputs!$C$11+((Inputs!$H$8+Inputs!$L$8*(((Inputs!$I$8+(((A149)+1)/2)*(Inputs!$J$8-Inputs!$I$8)))/Inputs!$K$8)^2))*((2*Inputs!$L$8*((Inputs!$I$8+(((A149)+1)/2)*(Inputs!$J$8-Inputs!$I$8)))/(Inputs!$K$8^2)*Inputs!$C$11)))/(SQRT(((Inputs!$I$8+(((A149)+1)/2)*(Inputs!$J$8-Inputs!$I$8)))^2+Inputs!$C$6^2+((Inputs!$H$8+Inputs!$L$8*(((Inputs!$I$8+(((A149)+1)/2)*(Inputs!$J$8-Inputs!$I$8)))/Inputs!$K$8)^2))^2)))))/Inputs!$C$13)</f>
        <v>-1802.8628279255813</v>
      </c>
      <c r="AO149" s="9">
        <f>(-2*((1000*((((Inputs!$I$9+(((A149)+1)/2)*(Inputs!$J$9-Inputs!$I$9)))*Inputs!$C$11+((Inputs!$H$9+Inputs!$L$9*(((Inputs!$I$9+(((A149)+1)/2)*(Inputs!$J$9-Inputs!$I$9)))/Inputs!$K$9)^2))*((2*Inputs!$L$9*((Inputs!$I$9+(((A149)+1)/2)*(Inputs!$J$9-Inputs!$I$9)))/(Inputs!$K$9^2)*Inputs!$C$11)))/(SQRT(((Inputs!$I$9+(((A149)+1)/2)*(Inputs!$J$9-Inputs!$I$9)))^2+Inputs!$C$6^2+((Inputs!$H$9+Inputs!$L$9*(((Inputs!$I$9+(((A149)+1)/2)*(Inputs!$J$9-Inputs!$I$9)))/Inputs!$K$9)^2))^2)))))/Inputs!$C$13)</f>
        <v>-1799.0618646689668</v>
      </c>
    </row>
    <row r="150" spans="1:41">
      <c r="A150" s="9">
        <f>ROUND(-1+148*2/240,3)</f>
        <v>0.23300000000000001</v>
      </c>
      <c r="B150" s="9">
        <f>IF(OR(Inputs!$F$6=TRUE,Inputs!$F$6="TRUE",Inputs!$F$6=1),(Inputs!$H$6+Inputs!$L$6*(((Inputs!$I$6+(((A150)+1)/2)*(Inputs!$J$6-Inputs!$I$6)))/Inputs!$K$6)^2),NA())</f>
        <v>400.21715599999999</v>
      </c>
      <c r="C150" s="9">
        <f>IF(OR(Inputs!$F$7=TRUE,Inputs!$F$7="TRUE",Inputs!$F$7=1),(Inputs!$H$7+Inputs!$L$7*(((Inputs!$I$7+(((A150)+1)/2)*(Inputs!$J$7-Inputs!$I$7)))/Inputs!$K$7)^2),NA())</f>
        <v>54.815485000000024</v>
      </c>
      <c r="D150" s="9">
        <f>IF(OR(Inputs!$F$8=TRUE,Inputs!$F$8="TRUE",Inputs!$F$8=1),(Inputs!$H$8+Inputs!$L$8*(((Inputs!$I$8+(((A150)+1)/2)*(Inputs!$J$8-Inputs!$I$8)))/Inputs!$K$8)^2),NA())</f>
        <v>87.388885000000059</v>
      </c>
      <c r="E150" s="9">
        <f>IF(OR(Inputs!$F$9=TRUE,Inputs!$F$9="TRUE",Inputs!$F$9=1),(Inputs!$H$9+Inputs!$L$9*(((Inputs!$I$9+(((A150)+1)/2)*(Inputs!$J$9-Inputs!$I$9)))/Inputs!$K$9)^2),NA())</f>
        <v>77.931775000000059</v>
      </c>
      <c r="F150" s="10"/>
      <c r="G150" s="9">
        <f t="shared" si="12"/>
        <v>0.23300000000000001</v>
      </c>
      <c r="H150" s="9">
        <f>IF(OR(Inputs!$F$6=TRUE,Inputs!$F$6="TRUE",Inputs!$F$6=1),(((SQRT(((Inputs!$I$6+(((A150)+1)/2)*(Inputs!$J$6-Inputs!$I$6)))^2+Inputs!$C$6^2+((Inputs!$H$6+Inputs!$L$6*(((Inputs!$I$6+(((A150)+1)/2)*(Inputs!$J$6-Inputs!$I$6)))/Inputs!$K$6)^2))^2))-((Inputs!$H$6+Inputs!$L$6*(((Inputs!$I$6+(((A150)+1)/2)*(Inputs!$J$6-Inputs!$I$6)))/Inputs!$K$6)^2)))*1000/Inputs!$C$12),NA())</f>
        <v>575.10384181321774</v>
      </c>
      <c r="I150" s="9">
        <f>IF(OR(Inputs!$F$7=TRUE,Inputs!$F$7="TRUE",Inputs!$F$7=1),(((SQRT(((Inputs!$I$7+(((A150)+1)/2)*(Inputs!$J$7-Inputs!$I$7)))^2+Inputs!$C$6^2+((Inputs!$H$7+Inputs!$L$7*(((Inputs!$I$7+(((A150)+1)/2)*(Inputs!$J$7-Inputs!$I$7)))/Inputs!$K$7)^2))^2))-((Inputs!$H$7+Inputs!$L$7*(((Inputs!$I$7+(((A150)+1)/2)*(Inputs!$J$7-Inputs!$I$7)))/Inputs!$K$7)^2)))*1000/Inputs!$C$12),NA())</f>
        <v>31551.622668842916</v>
      </c>
      <c r="J150" s="9">
        <f>IF(OR(Inputs!$F$8=TRUE,Inputs!$F$8="TRUE",Inputs!$F$8=1),(((SQRT(((Inputs!$I$8+(((A150)+1)/2)*(Inputs!$J$8-Inputs!$I$8)))^2+Inputs!$C$6^2+((Inputs!$H$8+Inputs!$L$8*(((Inputs!$I$8+(((A150)+1)/2)*(Inputs!$J$8-Inputs!$I$8)))/Inputs!$K$8)^2))^2))-((Inputs!$H$8+Inputs!$L$8*(((Inputs!$I$8+(((A150)+1)/2)*(Inputs!$J$8-Inputs!$I$8)))/Inputs!$K$8)^2)))*1000/Inputs!$C$12),NA())</f>
        <v>67411.162484076878</v>
      </c>
      <c r="K150" s="9">
        <f>IF(OR(Inputs!$F$9=TRUE,Inputs!$F$9="TRUE",Inputs!$F$9=1),(((SQRT(((Inputs!$I$9+(((A150)+1)/2)*(Inputs!$J$9-Inputs!$I$9)))^2+Inputs!$C$6^2+((Inputs!$H$9+Inputs!$L$9*(((Inputs!$I$9+(((A150)+1)/2)*(Inputs!$J$9-Inputs!$I$9)))/Inputs!$K$9)^2))^2))-((Inputs!$H$9+Inputs!$L$9*(((Inputs!$I$9+(((A150)+1)/2)*(Inputs!$J$9-Inputs!$I$9)))/Inputs!$K$9)^2)))*1000/Inputs!$C$12),NA())</f>
        <v>70586.827849156369</v>
      </c>
      <c r="L150" s="10"/>
      <c r="M150" s="9">
        <f t="shared" si="13"/>
        <v>0.23300000000000001</v>
      </c>
      <c r="N150" s="9">
        <f>IF(OR(Inputs!$F$6=TRUE,Inputs!$F$6="TRUE",Inputs!$F$6=1),(-2*((1000*((((Inputs!$I$6+(((A150)+1)/2)*(Inputs!$J$6-Inputs!$I$6)))*Inputs!$C$11+((Inputs!$H$6+Inputs!$L$6*(((Inputs!$I$6+(((A150)+1)/2)*(Inputs!$J$6-Inputs!$I$6)))/Inputs!$K$6)^2))*((2*Inputs!$L$6*((Inputs!$I$6+(((A150)+1)/2)*(Inputs!$J$6-Inputs!$I$6)))/(Inputs!$K$6^2)*Inputs!$C$11)))/(SQRT(((Inputs!$I$6+(((A150)+1)/2)*(Inputs!$J$6-Inputs!$I$6)))^2+Inputs!$C$6^2+((Inputs!$H$6+Inputs!$L$6*(((Inputs!$I$6+(((A150)+1)/2)*(Inputs!$J$6-Inputs!$I$6)))/Inputs!$K$6)^2))^2)))))/Inputs!$C$13),NA())</f>
        <v>-105.32691706872201</v>
      </c>
      <c r="O150" s="9">
        <f>IF(OR(Inputs!$F$7=TRUE,Inputs!$F$7="TRUE",Inputs!$F$7=1),(-2*((1000*((((Inputs!$I$7+(((A150)+1)/2)*(Inputs!$J$7-Inputs!$I$7)))*Inputs!$C$11+((Inputs!$H$7+Inputs!$L$7*(((Inputs!$I$7+(((A150)+1)/2)*(Inputs!$J$7-Inputs!$I$7)))/Inputs!$K$7)^2))*((2*Inputs!$L$7*((Inputs!$I$7+(((A150)+1)/2)*(Inputs!$J$7-Inputs!$I$7)))/(Inputs!$K$7^2)*Inputs!$C$11)))/(SQRT(((Inputs!$I$7+(((A150)+1)/2)*(Inputs!$J$7-Inputs!$I$7)))^2+Inputs!$C$6^2+((Inputs!$H$7+Inputs!$L$7*(((Inputs!$I$7+(((A150)+1)/2)*(Inputs!$J$7-Inputs!$I$7)))/Inputs!$K$7)^2))^2)))))/Inputs!$C$13),NA())</f>
        <v>-1679.7501846234886</v>
      </c>
      <c r="P150" s="9">
        <f>IF(OR(Inputs!$F$8=TRUE,Inputs!$F$8="TRUE",Inputs!$F$8=1),(-2*((1000*((((Inputs!$I$8+(((A150)+1)/2)*(Inputs!$J$8-Inputs!$I$8)))*Inputs!$C$11+((Inputs!$H$8+Inputs!$L$8*(((Inputs!$I$8+(((A150)+1)/2)*(Inputs!$J$8-Inputs!$I$8)))/Inputs!$K$8)^2))*((2*Inputs!$L$8*((Inputs!$I$8+(((A150)+1)/2)*(Inputs!$J$8-Inputs!$I$8)))/(Inputs!$K$8^2)*Inputs!$C$11)))/(SQRT(((Inputs!$I$8+(((A150)+1)/2)*(Inputs!$J$8-Inputs!$I$8)))^2+Inputs!$C$6^2+((Inputs!$H$8+Inputs!$L$8*(((Inputs!$I$8+(((A150)+1)/2)*(Inputs!$J$8-Inputs!$I$8)))/Inputs!$K$8)^2))^2)))))/Inputs!$C$13),NA())</f>
        <v>-1817.1204787331565</v>
      </c>
      <c r="Q150" s="9">
        <f>IF(OR(Inputs!$F$9=TRUE,Inputs!$F$9="TRUE",Inputs!$F$9=1),(-2*((1000*((((Inputs!$I$9+(((A150)+1)/2)*(Inputs!$J$9-Inputs!$I$9)))*Inputs!$C$11+((Inputs!$H$9+Inputs!$L$9*(((Inputs!$I$9+(((A150)+1)/2)*(Inputs!$J$9-Inputs!$I$9)))/Inputs!$K$9)^2))*((2*Inputs!$L$9*((Inputs!$I$9+(((A150)+1)/2)*(Inputs!$J$9-Inputs!$I$9)))/(Inputs!$K$9^2)*Inputs!$C$11)))/(SQRT(((Inputs!$I$9+(((A150)+1)/2)*(Inputs!$J$9-Inputs!$I$9)))^2+Inputs!$C$6^2+((Inputs!$H$9+Inputs!$L$9*(((Inputs!$I$9+(((A150)+1)/2)*(Inputs!$J$9-Inputs!$I$9)))/Inputs!$K$9)^2))^2)))))/Inputs!$C$13),NA())</f>
        <v>-1812.86599739853</v>
      </c>
      <c r="R150" s="10"/>
      <c r="S150" s="9">
        <f t="shared" si="14"/>
        <v>0.23300000000000001</v>
      </c>
      <c r="T150" s="9">
        <f>(Inputs!$I$6+(((A150)+1)/2)*(Inputs!$J$6-Inputs!$I$6))</f>
        <v>13.980000000000004</v>
      </c>
      <c r="U150" s="9">
        <f>(Inputs!$I$7+(((A150)+1)/2)*(Inputs!$J$7-Inputs!$I$7))</f>
        <v>93.200000000000045</v>
      </c>
      <c r="V150" s="9">
        <f>(Inputs!$I$8+(((A150)+1)/2)*(Inputs!$J$8-Inputs!$I$8))</f>
        <v>186.40000000000009</v>
      </c>
      <c r="W150" s="9">
        <f>(Inputs!$I$9+(((A150)+1)/2)*(Inputs!$J$9-Inputs!$I$9))</f>
        <v>186.40000000000009</v>
      </c>
      <c r="X150" s="10"/>
      <c r="Y150" s="9">
        <f t="shared" si="15"/>
        <v>0.23300000000000001</v>
      </c>
      <c r="Z150" s="9">
        <f>(Inputs!$H$6+Inputs!$L$6*(((Inputs!$I$6+(((A150)+1)/2)*(Inputs!$J$6-Inputs!$I$6)))/Inputs!$K$6)^2)</f>
        <v>400.21715599999999</v>
      </c>
      <c r="AA150" s="9">
        <f>(Inputs!$H$7+Inputs!$L$7*(((Inputs!$I$7+(((A150)+1)/2)*(Inputs!$J$7-Inputs!$I$7)))/Inputs!$K$7)^2)</f>
        <v>54.815485000000024</v>
      </c>
      <c r="AB150" s="9">
        <f>(Inputs!$H$8+Inputs!$L$8*(((Inputs!$I$8+(((A150)+1)/2)*(Inputs!$J$8-Inputs!$I$8)))/Inputs!$K$8)^2)</f>
        <v>87.388885000000059</v>
      </c>
      <c r="AC150" s="9">
        <f>(Inputs!$H$9+Inputs!$L$9*(((Inputs!$I$9+(((A150)+1)/2)*(Inputs!$J$9-Inputs!$I$9)))/Inputs!$K$9)^2)</f>
        <v>77.931775000000059</v>
      </c>
      <c r="AD150" s="10"/>
      <c r="AE150" s="9">
        <f t="shared" si="16"/>
        <v>0.23300000000000001</v>
      </c>
      <c r="AF150" s="9">
        <f>(((SQRT(((Inputs!$I$6+(((A150)+1)/2)*(Inputs!$J$6-Inputs!$I$6)))^2+Inputs!$C$6^2+((Inputs!$H$6+Inputs!$L$6*(((Inputs!$I$6+(((A150)+1)/2)*(Inputs!$J$6-Inputs!$I$6)))/Inputs!$K$6)^2))^2))-((Inputs!$H$6+Inputs!$L$6*(((Inputs!$I$6+(((A150)+1)/2)*(Inputs!$J$6-Inputs!$I$6)))/Inputs!$K$6)^2)))*1000/Inputs!$C$12)</f>
        <v>575.10384181321774</v>
      </c>
      <c r="AG150" s="9">
        <f>(((SQRT(((Inputs!$I$7+(((A150)+1)/2)*(Inputs!$J$7-Inputs!$I$7)))^2+Inputs!$C$6^2+((Inputs!$H$7+Inputs!$L$7*(((Inputs!$I$7+(((A150)+1)/2)*(Inputs!$J$7-Inputs!$I$7)))/Inputs!$K$7)^2))^2))-((Inputs!$H$7+Inputs!$L$7*(((Inputs!$I$7+(((A150)+1)/2)*(Inputs!$J$7-Inputs!$I$7)))/Inputs!$K$7)^2)))*1000/Inputs!$C$12)</f>
        <v>31551.622668842916</v>
      </c>
      <c r="AH150" s="9">
        <f>(((SQRT(((Inputs!$I$8+(((A150)+1)/2)*(Inputs!$J$8-Inputs!$I$8)))^2+Inputs!$C$6^2+((Inputs!$H$8+Inputs!$L$8*(((Inputs!$I$8+(((A150)+1)/2)*(Inputs!$J$8-Inputs!$I$8)))/Inputs!$K$8)^2))^2))-((Inputs!$H$8+Inputs!$L$8*(((Inputs!$I$8+(((A150)+1)/2)*(Inputs!$J$8-Inputs!$I$8)))/Inputs!$K$8)^2)))*1000/Inputs!$C$12)</f>
        <v>67411.162484076878</v>
      </c>
      <c r="AI150" s="9">
        <f>(((SQRT(((Inputs!$I$9+(((A150)+1)/2)*(Inputs!$J$9-Inputs!$I$9)))^2+Inputs!$C$6^2+((Inputs!$H$9+Inputs!$L$9*(((Inputs!$I$9+(((A150)+1)/2)*(Inputs!$J$9-Inputs!$I$9)))/Inputs!$K$9)^2))^2))-((Inputs!$H$9+Inputs!$L$9*(((Inputs!$I$9+(((A150)+1)/2)*(Inputs!$J$9-Inputs!$I$9)))/Inputs!$K$9)^2)))*1000/Inputs!$C$12)</f>
        <v>70586.827849156369</v>
      </c>
      <c r="AJ150" s="10"/>
      <c r="AK150" s="9">
        <f t="shared" si="17"/>
        <v>0.23300000000000001</v>
      </c>
      <c r="AL150" s="9">
        <f>(-2*((1000*((((Inputs!$I$6+(((A150)+1)/2)*(Inputs!$J$6-Inputs!$I$6)))*Inputs!$C$11+((Inputs!$H$6+Inputs!$L$6*(((Inputs!$I$6+(((A150)+1)/2)*(Inputs!$J$6-Inputs!$I$6)))/Inputs!$K$6)^2))*((2*Inputs!$L$6*((Inputs!$I$6+(((A150)+1)/2)*(Inputs!$J$6-Inputs!$I$6)))/(Inputs!$K$6^2)*Inputs!$C$11)))/(SQRT(((Inputs!$I$6+(((A150)+1)/2)*(Inputs!$J$6-Inputs!$I$6)))^2+Inputs!$C$6^2+((Inputs!$H$6+Inputs!$L$6*(((Inputs!$I$6+(((A150)+1)/2)*(Inputs!$J$6-Inputs!$I$6)))/Inputs!$K$6)^2))^2)))))/Inputs!$C$13)</f>
        <v>-105.32691706872201</v>
      </c>
      <c r="AM150" s="9">
        <f>(-2*((1000*((((Inputs!$I$7+(((A150)+1)/2)*(Inputs!$J$7-Inputs!$I$7)))*Inputs!$C$11+((Inputs!$H$7+Inputs!$L$7*(((Inputs!$I$7+(((A150)+1)/2)*(Inputs!$J$7-Inputs!$I$7)))/Inputs!$K$7)^2))*((2*Inputs!$L$7*((Inputs!$I$7+(((A150)+1)/2)*(Inputs!$J$7-Inputs!$I$7)))/(Inputs!$K$7^2)*Inputs!$C$11)))/(SQRT(((Inputs!$I$7+(((A150)+1)/2)*(Inputs!$J$7-Inputs!$I$7)))^2+Inputs!$C$6^2+((Inputs!$H$7+Inputs!$L$7*(((Inputs!$I$7+(((A150)+1)/2)*(Inputs!$J$7-Inputs!$I$7)))/Inputs!$K$7)^2))^2)))))/Inputs!$C$13)</f>
        <v>-1679.7501846234886</v>
      </c>
      <c r="AN150" s="9">
        <f>(-2*((1000*((((Inputs!$I$8+(((A150)+1)/2)*(Inputs!$J$8-Inputs!$I$8)))*Inputs!$C$11+((Inputs!$H$8+Inputs!$L$8*(((Inputs!$I$8+(((A150)+1)/2)*(Inputs!$J$8-Inputs!$I$8)))/Inputs!$K$8)^2))*((2*Inputs!$L$8*((Inputs!$I$8+(((A150)+1)/2)*(Inputs!$J$8-Inputs!$I$8)))/(Inputs!$K$8^2)*Inputs!$C$11)))/(SQRT(((Inputs!$I$8+(((A150)+1)/2)*(Inputs!$J$8-Inputs!$I$8)))^2+Inputs!$C$6^2+((Inputs!$H$8+Inputs!$L$8*(((Inputs!$I$8+(((A150)+1)/2)*(Inputs!$J$8-Inputs!$I$8)))/Inputs!$K$8)^2))^2)))))/Inputs!$C$13)</f>
        <v>-1817.1204787331565</v>
      </c>
      <c r="AO150" s="9">
        <f>(-2*((1000*((((Inputs!$I$9+(((A150)+1)/2)*(Inputs!$J$9-Inputs!$I$9)))*Inputs!$C$11+((Inputs!$H$9+Inputs!$L$9*(((Inputs!$I$9+(((A150)+1)/2)*(Inputs!$J$9-Inputs!$I$9)))/Inputs!$K$9)^2))*((2*Inputs!$L$9*((Inputs!$I$9+(((A150)+1)/2)*(Inputs!$J$9-Inputs!$I$9)))/(Inputs!$K$9^2)*Inputs!$C$11)))/(SQRT(((Inputs!$I$9+(((A150)+1)/2)*(Inputs!$J$9-Inputs!$I$9)))^2+Inputs!$C$6^2+((Inputs!$H$9+Inputs!$L$9*(((Inputs!$I$9+(((A150)+1)/2)*(Inputs!$J$9-Inputs!$I$9)))/Inputs!$K$9)^2))^2)))))/Inputs!$C$13)</f>
        <v>-1812.86599739853</v>
      </c>
    </row>
    <row r="151" spans="1:41">
      <c r="A151" s="9">
        <f>ROUND(-1+149*2/240,3)</f>
        <v>0.24199999999999999</v>
      </c>
      <c r="B151" s="9">
        <f>IF(OR(Inputs!$F$6=TRUE,Inputs!$F$6="TRUE",Inputs!$F$6=1),(Inputs!$H$6+Inputs!$L$6*(((Inputs!$I$6+(((A151)+1)/2)*(Inputs!$J$6-Inputs!$I$6)))/Inputs!$K$6)^2),NA())</f>
        <v>400.23425600000002</v>
      </c>
      <c r="C151" s="9">
        <f>IF(OR(Inputs!$F$7=TRUE,Inputs!$F$7="TRUE",Inputs!$F$7=1),(Inputs!$H$7+Inputs!$L$7*(((Inputs!$I$7+(((A151)+1)/2)*(Inputs!$J$7-Inputs!$I$7)))/Inputs!$K$7)^2),NA())</f>
        <v>56.375860000000003</v>
      </c>
      <c r="D151" s="9">
        <f>IF(OR(Inputs!$F$8=TRUE,Inputs!$F$8="TRUE",Inputs!$F$8=1),(Inputs!$H$8+Inputs!$L$8*(((Inputs!$I$8+(((A151)+1)/2)*(Inputs!$J$8-Inputs!$I$8)))/Inputs!$K$8)^2),NA())</f>
        <v>91.514260000000007</v>
      </c>
      <c r="E151" s="9">
        <f>IF(OR(Inputs!$F$9=TRUE,Inputs!$F$9="TRUE",Inputs!$F$9=1),(Inputs!$H$9+Inputs!$L$9*(((Inputs!$I$9+(((A151)+1)/2)*(Inputs!$J$9-Inputs!$I$9)))/Inputs!$K$9)^2),NA())</f>
        <v>82.099900000000019</v>
      </c>
      <c r="F151" s="10"/>
      <c r="G151" s="9">
        <f t="shared" si="12"/>
        <v>0.24199999999999999</v>
      </c>
      <c r="H151" s="9">
        <f>IF(OR(Inputs!$F$6=TRUE,Inputs!$F$6="TRUE",Inputs!$F$6=1),(((SQRT(((Inputs!$I$6+(((A151)+1)/2)*(Inputs!$J$6-Inputs!$I$6)))^2+Inputs!$C$6^2+((Inputs!$H$6+Inputs!$L$6*(((Inputs!$I$6+(((A151)+1)/2)*(Inputs!$J$6-Inputs!$I$6)))/Inputs!$K$6)^2))^2))-((Inputs!$H$6+Inputs!$L$6*(((Inputs!$I$6+(((A151)+1)/2)*(Inputs!$J$6-Inputs!$I$6)))/Inputs!$K$6)^2)))*1000/Inputs!$C$12),NA())</f>
        <v>585.85277949869203</v>
      </c>
      <c r="I151" s="9">
        <f>IF(OR(Inputs!$F$7=TRUE,Inputs!$F$7="TRUE",Inputs!$F$7=1),(((SQRT(((Inputs!$I$7+(((A151)+1)/2)*(Inputs!$J$7-Inputs!$I$7)))^2+Inputs!$C$6^2+((Inputs!$H$7+Inputs!$L$7*(((Inputs!$I$7+(((A151)+1)/2)*(Inputs!$J$7-Inputs!$I$7)))/Inputs!$K$7)^2))^2))-((Inputs!$H$7+Inputs!$L$7*(((Inputs!$I$7+(((A151)+1)/2)*(Inputs!$J$7-Inputs!$I$7)))/Inputs!$K$7)^2)))*1000/Inputs!$C$12),NA())</f>
        <v>32808.93872022516</v>
      </c>
      <c r="J151" s="9">
        <f>IF(OR(Inputs!$F$8=TRUE,Inputs!$F$8="TRUE",Inputs!$F$8=1),(((SQRT(((Inputs!$I$8+(((A151)+1)/2)*(Inputs!$J$8-Inputs!$I$8)))^2+Inputs!$C$6^2+((Inputs!$H$8+Inputs!$L$8*(((Inputs!$I$8+(((A151)+1)/2)*(Inputs!$J$8-Inputs!$I$8)))/Inputs!$K$8)^2))^2))-((Inputs!$H$8+Inputs!$L$8*(((Inputs!$I$8+(((A151)+1)/2)*(Inputs!$J$8-Inputs!$I$8)))/Inputs!$K$8)^2)))*1000/Inputs!$C$12),NA())</f>
        <v>69707.780269123919</v>
      </c>
      <c r="K151" s="9">
        <f>IF(OR(Inputs!$F$9=TRUE,Inputs!$F$9="TRUE",Inputs!$F$9=1),(((SQRT(((Inputs!$I$9+(((A151)+1)/2)*(Inputs!$J$9-Inputs!$I$9)))^2+Inputs!$C$6^2+((Inputs!$H$9+Inputs!$L$9*(((Inputs!$I$9+(((A151)+1)/2)*(Inputs!$J$9-Inputs!$I$9)))/Inputs!$K$9)^2))^2))-((Inputs!$H$9+Inputs!$L$9*(((Inputs!$I$9+(((A151)+1)/2)*(Inputs!$J$9-Inputs!$I$9)))/Inputs!$K$9)^2)))*1000/Inputs!$C$12),NA())</f>
        <v>72848.132930191307</v>
      </c>
      <c r="L151" s="10"/>
      <c r="M151" s="9">
        <f t="shared" si="13"/>
        <v>0.24199999999999999</v>
      </c>
      <c r="N151" s="9">
        <f>IF(OR(Inputs!$F$6=TRUE,Inputs!$F$6="TRUE",Inputs!$F$6=1),(-2*((1000*((((Inputs!$I$6+(((A151)+1)/2)*(Inputs!$J$6-Inputs!$I$6)))*Inputs!$C$11+((Inputs!$H$6+Inputs!$L$6*(((Inputs!$I$6+(((A151)+1)/2)*(Inputs!$J$6-Inputs!$I$6)))/Inputs!$K$6)^2))*((2*Inputs!$L$6*((Inputs!$I$6+(((A151)+1)/2)*(Inputs!$J$6-Inputs!$I$6)))/(Inputs!$K$6^2)*Inputs!$C$11)))/(SQRT(((Inputs!$I$6+(((A151)+1)/2)*(Inputs!$J$6-Inputs!$I$6)))^2+Inputs!$C$6^2+((Inputs!$H$6+Inputs!$L$6*(((Inputs!$I$6+(((A151)+1)/2)*(Inputs!$J$6-Inputs!$I$6)))/Inputs!$K$6)^2))^2)))))/Inputs!$C$13),NA())</f>
        <v>-109.38766097769974</v>
      </c>
      <c r="O151" s="9">
        <f>IF(OR(Inputs!$F$7=TRUE,Inputs!$F$7="TRUE",Inputs!$F$7=1),(-2*((1000*((((Inputs!$I$7+(((A151)+1)/2)*(Inputs!$J$7-Inputs!$I$7)))*Inputs!$C$11+((Inputs!$H$7+Inputs!$L$7*(((Inputs!$I$7+(((A151)+1)/2)*(Inputs!$J$7-Inputs!$I$7)))/Inputs!$K$7)^2))*((2*Inputs!$L$7*((Inputs!$I$7+(((A151)+1)/2)*(Inputs!$J$7-Inputs!$I$7)))/(Inputs!$K$7^2)*Inputs!$C$11)))/(SQRT(((Inputs!$I$7+(((A151)+1)/2)*(Inputs!$J$7-Inputs!$I$7)))^2+Inputs!$C$6^2+((Inputs!$H$7+Inputs!$L$7*(((Inputs!$I$7+(((A151)+1)/2)*(Inputs!$J$7-Inputs!$I$7)))/Inputs!$K$7)^2))^2)))))/Inputs!$C$13),NA())</f>
        <v>-1696.5029826959376</v>
      </c>
      <c r="P151" s="9">
        <f>IF(OR(Inputs!$F$8=TRUE,Inputs!$F$8="TRUE",Inputs!$F$8=1),(-2*((1000*((((Inputs!$I$8+(((A151)+1)/2)*(Inputs!$J$8-Inputs!$I$8)))*Inputs!$C$11+((Inputs!$H$8+Inputs!$L$8*(((Inputs!$I$8+(((A151)+1)/2)*(Inputs!$J$8-Inputs!$I$8)))/Inputs!$K$8)^2))*((2*Inputs!$L$8*((Inputs!$I$8+(((A151)+1)/2)*(Inputs!$J$8-Inputs!$I$8)))/(Inputs!$K$8^2)*Inputs!$C$11)))/(SQRT(((Inputs!$I$8+(((A151)+1)/2)*(Inputs!$J$8-Inputs!$I$8)))^2+Inputs!$C$6^2+((Inputs!$H$8+Inputs!$L$8*(((Inputs!$I$8+(((A151)+1)/2)*(Inputs!$J$8-Inputs!$I$8)))/Inputs!$K$8)^2))^2)))))/Inputs!$C$13),NA())</f>
        <v>-1833.2843258391306</v>
      </c>
      <c r="Q151" s="9">
        <f>IF(OR(Inputs!$F$9=TRUE,Inputs!$F$9="TRUE",Inputs!$F$9=1),(-2*((1000*((((Inputs!$I$9+(((A151)+1)/2)*(Inputs!$J$9-Inputs!$I$9)))*Inputs!$C$11+((Inputs!$H$9+Inputs!$L$9*(((Inputs!$I$9+(((A151)+1)/2)*(Inputs!$J$9-Inputs!$I$9)))/Inputs!$K$9)^2))*((2*Inputs!$L$9*((Inputs!$I$9+(((A151)+1)/2)*(Inputs!$J$9-Inputs!$I$9)))/(Inputs!$K$9^2)*Inputs!$C$11)))/(SQRT(((Inputs!$I$9+(((A151)+1)/2)*(Inputs!$J$9-Inputs!$I$9)))^2+Inputs!$C$6^2+((Inputs!$H$9+Inputs!$L$9*(((Inputs!$I$9+(((A151)+1)/2)*(Inputs!$J$9-Inputs!$I$9)))/Inputs!$K$9)^2))^2)))))/Inputs!$C$13),NA())</f>
        <v>-1828.6190670469357</v>
      </c>
      <c r="R151" s="10"/>
      <c r="S151" s="9">
        <f t="shared" si="14"/>
        <v>0.24199999999999999</v>
      </c>
      <c r="T151" s="9">
        <f>(Inputs!$I$6+(((A151)+1)/2)*(Inputs!$J$6-Inputs!$I$6))</f>
        <v>14.519999999999996</v>
      </c>
      <c r="U151" s="9">
        <f>(Inputs!$I$7+(((A151)+1)/2)*(Inputs!$J$7-Inputs!$I$7))</f>
        <v>96.800000000000011</v>
      </c>
      <c r="V151" s="9">
        <f>(Inputs!$I$8+(((A151)+1)/2)*(Inputs!$J$8-Inputs!$I$8))</f>
        <v>193.60000000000002</v>
      </c>
      <c r="W151" s="9">
        <f>(Inputs!$I$9+(((A151)+1)/2)*(Inputs!$J$9-Inputs!$I$9))</f>
        <v>193.60000000000002</v>
      </c>
      <c r="X151" s="10"/>
      <c r="Y151" s="9">
        <f t="shared" si="15"/>
        <v>0.24199999999999999</v>
      </c>
      <c r="Z151" s="9">
        <f>(Inputs!$H$6+Inputs!$L$6*(((Inputs!$I$6+(((A151)+1)/2)*(Inputs!$J$6-Inputs!$I$6)))/Inputs!$K$6)^2)</f>
        <v>400.23425600000002</v>
      </c>
      <c r="AA151" s="9">
        <f>(Inputs!$H$7+Inputs!$L$7*(((Inputs!$I$7+(((A151)+1)/2)*(Inputs!$J$7-Inputs!$I$7)))/Inputs!$K$7)^2)</f>
        <v>56.375860000000003</v>
      </c>
      <c r="AB151" s="9">
        <f>(Inputs!$H$8+Inputs!$L$8*(((Inputs!$I$8+(((A151)+1)/2)*(Inputs!$J$8-Inputs!$I$8)))/Inputs!$K$8)^2)</f>
        <v>91.514260000000007</v>
      </c>
      <c r="AC151" s="9">
        <f>(Inputs!$H$9+Inputs!$L$9*(((Inputs!$I$9+(((A151)+1)/2)*(Inputs!$J$9-Inputs!$I$9)))/Inputs!$K$9)^2)</f>
        <v>82.099900000000019</v>
      </c>
      <c r="AD151" s="10"/>
      <c r="AE151" s="9">
        <f t="shared" si="16"/>
        <v>0.24199999999999999</v>
      </c>
      <c r="AF151" s="9">
        <f>(((SQRT(((Inputs!$I$6+(((A151)+1)/2)*(Inputs!$J$6-Inputs!$I$6)))^2+Inputs!$C$6^2+((Inputs!$H$6+Inputs!$L$6*(((Inputs!$I$6+(((A151)+1)/2)*(Inputs!$J$6-Inputs!$I$6)))/Inputs!$K$6)^2))^2))-((Inputs!$H$6+Inputs!$L$6*(((Inputs!$I$6+(((A151)+1)/2)*(Inputs!$J$6-Inputs!$I$6)))/Inputs!$K$6)^2)))*1000/Inputs!$C$12)</f>
        <v>585.85277949869203</v>
      </c>
      <c r="AG151" s="9">
        <f>(((SQRT(((Inputs!$I$7+(((A151)+1)/2)*(Inputs!$J$7-Inputs!$I$7)))^2+Inputs!$C$6^2+((Inputs!$H$7+Inputs!$L$7*(((Inputs!$I$7+(((A151)+1)/2)*(Inputs!$J$7-Inputs!$I$7)))/Inputs!$K$7)^2))^2))-((Inputs!$H$7+Inputs!$L$7*(((Inputs!$I$7+(((A151)+1)/2)*(Inputs!$J$7-Inputs!$I$7)))/Inputs!$K$7)^2)))*1000/Inputs!$C$12)</f>
        <v>32808.93872022516</v>
      </c>
      <c r="AH151" s="9">
        <f>(((SQRT(((Inputs!$I$8+(((A151)+1)/2)*(Inputs!$J$8-Inputs!$I$8)))^2+Inputs!$C$6^2+((Inputs!$H$8+Inputs!$L$8*(((Inputs!$I$8+(((A151)+1)/2)*(Inputs!$J$8-Inputs!$I$8)))/Inputs!$K$8)^2))^2))-((Inputs!$H$8+Inputs!$L$8*(((Inputs!$I$8+(((A151)+1)/2)*(Inputs!$J$8-Inputs!$I$8)))/Inputs!$K$8)^2)))*1000/Inputs!$C$12)</f>
        <v>69707.780269123919</v>
      </c>
      <c r="AI151" s="9">
        <f>(((SQRT(((Inputs!$I$9+(((A151)+1)/2)*(Inputs!$J$9-Inputs!$I$9)))^2+Inputs!$C$6^2+((Inputs!$H$9+Inputs!$L$9*(((Inputs!$I$9+(((A151)+1)/2)*(Inputs!$J$9-Inputs!$I$9)))/Inputs!$K$9)^2))^2))-((Inputs!$H$9+Inputs!$L$9*(((Inputs!$I$9+(((A151)+1)/2)*(Inputs!$J$9-Inputs!$I$9)))/Inputs!$K$9)^2)))*1000/Inputs!$C$12)</f>
        <v>72848.132930191307</v>
      </c>
      <c r="AJ151" s="10"/>
      <c r="AK151" s="9">
        <f t="shared" si="17"/>
        <v>0.24199999999999999</v>
      </c>
      <c r="AL151" s="9">
        <f>(-2*((1000*((((Inputs!$I$6+(((A151)+1)/2)*(Inputs!$J$6-Inputs!$I$6)))*Inputs!$C$11+((Inputs!$H$6+Inputs!$L$6*(((Inputs!$I$6+(((A151)+1)/2)*(Inputs!$J$6-Inputs!$I$6)))/Inputs!$K$6)^2))*((2*Inputs!$L$6*((Inputs!$I$6+(((A151)+1)/2)*(Inputs!$J$6-Inputs!$I$6)))/(Inputs!$K$6^2)*Inputs!$C$11)))/(SQRT(((Inputs!$I$6+(((A151)+1)/2)*(Inputs!$J$6-Inputs!$I$6)))^2+Inputs!$C$6^2+((Inputs!$H$6+Inputs!$L$6*(((Inputs!$I$6+(((A151)+1)/2)*(Inputs!$J$6-Inputs!$I$6)))/Inputs!$K$6)^2))^2)))))/Inputs!$C$13)</f>
        <v>-109.38766097769974</v>
      </c>
      <c r="AM151" s="9">
        <f>(-2*((1000*((((Inputs!$I$7+(((A151)+1)/2)*(Inputs!$J$7-Inputs!$I$7)))*Inputs!$C$11+((Inputs!$H$7+Inputs!$L$7*(((Inputs!$I$7+(((A151)+1)/2)*(Inputs!$J$7-Inputs!$I$7)))/Inputs!$K$7)^2))*((2*Inputs!$L$7*((Inputs!$I$7+(((A151)+1)/2)*(Inputs!$J$7-Inputs!$I$7)))/(Inputs!$K$7^2)*Inputs!$C$11)))/(SQRT(((Inputs!$I$7+(((A151)+1)/2)*(Inputs!$J$7-Inputs!$I$7)))^2+Inputs!$C$6^2+((Inputs!$H$7+Inputs!$L$7*(((Inputs!$I$7+(((A151)+1)/2)*(Inputs!$J$7-Inputs!$I$7)))/Inputs!$K$7)^2))^2)))))/Inputs!$C$13)</f>
        <v>-1696.5029826959376</v>
      </c>
      <c r="AN151" s="9">
        <f>(-2*((1000*((((Inputs!$I$8+(((A151)+1)/2)*(Inputs!$J$8-Inputs!$I$8)))*Inputs!$C$11+((Inputs!$H$8+Inputs!$L$8*(((Inputs!$I$8+(((A151)+1)/2)*(Inputs!$J$8-Inputs!$I$8)))/Inputs!$K$8)^2))*((2*Inputs!$L$8*((Inputs!$I$8+(((A151)+1)/2)*(Inputs!$J$8-Inputs!$I$8)))/(Inputs!$K$8^2)*Inputs!$C$11)))/(SQRT(((Inputs!$I$8+(((A151)+1)/2)*(Inputs!$J$8-Inputs!$I$8)))^2+Inputs!$C$6^2+((Inputs!$H$8+Inputs!$L$8*(((Inputs!$I$8+(((A151)+1)/2)*(Inputs!$J$8-Inputs!$I$8)))/Inputs!$K$8)^2))^2)))))/Inputs!$C$13)</f>
        <v>-1833.2843258391306</v>
      </c>
      <c r="AO151" s="9">
        <f>(-2*((1000*((((Inputs!$I$9+(((A151)+1)/2)*(Inputs!$J$9-Inputs!$I$9)))*Inputs!$C$11+((Inputs!$H$9+Inputs!$L$9*(((Inputs!$I$9+(((A151)+1)/2)*(Inputs!$J$9-Inputs!$I$9)))/Inputs!$K$9)^2))*((2*Inputs!$L$9*((Inputs!$I$9+(((A151)+1)/2)*(Inputs!$J$9-Inputs!$I$9)))/(Inputs!$K$9^2)*Inputs!$C$11)))/(SQRT(((Inputs!$I$9+(((A151)+1)/2)*(Inputs!$J$9-Inputs!$I$9)))^2+Inputs!$C$6^2+((Inputs!$H$9+Inputs!$L$9*(((Inputs!$I$9+(((A151)+1)/2)*(Inputs!$J$9-Inputs!$I$9)))/Inputs!$K$9)^2))^2)))))/Inputs!$C$13)</f>
        <v>-1828.6190670469357</v>
      </c>
    </row>
    <row r="152" spans="1:41">
      <c r="A152" s="9">
        <f>ROUND(-1+150*2/240,3)</f>
        <v>0.25</v>
      </c>
      <c r="B152" s="9">
        <f>IF(OR(Inputs!$F$6=TRUE,Inputs!$F$6="TRUE",Inputs!$F$6=1),(Inputs!$H$6+Inputs!$L$6*(((Inputs!$I$6+(((A152)+1)/2)*(Inputs!$J$6-Inputs!$I$6)))/Inputs!$K$6)^2),NA())</f>
        <v>400.25</v>
      </c>
      <c r="C152" s="9">
        <f>IF(OR(Inputs!$F$7=TRUE,Inputs!$F$7="TRUE",Inputs!$F$7=1),(Inputs!$H$7+Inputs!$L$7*(((Inputs!$I$7+(((A152)+1)/2)*(Inputs!$J$7-Inputs!$I$7)))/Inputs!$K$7)^2),NA())</f>
        <v>57.8125</v>
      </c>
      <c r="D152" s="9">
        <f>IF(OR(Inputs!$F$8=TRUE,Inputs!$F$8="TRUE",Inputs!$F$8=1),(Inputs!$H$8+Inputs!$L$8*(((Inputs!$I$8+(((A152)+1)/2)*(Inputs!$J$8-Inputs!$I$8)))/Inputs!$K$8)^2),NA())</f>
        <v>95.3125</v>
      </c>
      <c r="E152" s="9">
        <f>IF(OR(Inputs!$F$9=TRUE,Inputs!$F$9="TRUE",Inputs!$F$9=1),(Inputs!$H$9+Inputs!$L$9*(((Inputs!$I$9+(((A152)+1)/2)*(Inputs!$J$9-Inputs!$I$9)))/Inputs!$K$9)^2),NA())</f>
        <v>85.9375</v>
      </c>
      <c r="F152" s="10"/>
      <c r="G152" s="9">
        <f t="shared" si="12"/>
        <v>0.25</v>
      </c>
      <c r="H152" s="9">
        <f>IF(OR(Inputs!$F$6=TRUE,Inputs!$F$6="TRUE",Inputs!$F$6=1),(((SQRT(((Inputs!$I$6+(((A152)+1)/2)*(Inputs!$J$6-Inputs!$I$6)))^2+Inputs!$C$6^2+((Inputs!$H$6+Inputs!$L$6*(((Inputs!$I$6+(((A152)+1)/2)*(Inputs!$J$6-Inputs!$I$6)))/Inputs!$K$6)^2))^2))-((Inputs!$H$6+Inputs!$L$6*(((Inputs!$I$6+(((A152)+1)/2)*(Inputs!$J$6-Inputs!$I$6)))/Inputs!$K$6)^2)))*1000/Inputs!$C$12),NA())</f>
        <v>595.74808220334489</v>
      </c>
      <c r="I152" s="9">
        <f>IF(OR(Inputs!$F$7=TRUE,Inputs!$F$7="TRUE",Inputs!$F$7=1),(((SQRT(((Inputs!$I$7+(((A152)+1)/2)*(Inputs!$J$7-Inputs!$I$7)))^2+Inputs!$C$6^2+((Inputs!$H$7+Inputs!$L$7*(((Inputs!$I$7+(((A152)+1)/2)*(Inputs!$J$7-Inputs!$I$7)))/Inputs!$K$7)^2))^2))-((Inputs!$H$7+Inputs!$L$7*(((Inputs!$I$7+(((A152)+1)/2)*(Inputs!$J$7-Inputs!$I$7)))/Inputs!$K$7)^2)))*1000/Inputs!$C$12),NA())</f>
        <v>33916.162560922341</v>
      </c>
      <c r="J152" s="9">
        <f>IF(OR(Inputs!$F$8=TRUE,Inputs!$F$8="TRUE",Inputs!$F$8=1),(((SQRT(((Inputs!$I$8+(((A152)+1)/2)*(Inputs!$J$8-Inputs!$I$8)))^2+Inputs!$C$6^2+((Inputs!$H$8+Inputs!$L$8*(((Inputs!$I$8+(((A152)+1)/2)*(Inputs!$J$8-Inputs!$I$8)))/Inputs!$K$8)^2))^2))-((Inputs!$H$8+Inputs!$L$8*(((Inputs!$I$8+(((A152)+1)/2)*(Inputs!$J$8-Inputs!$I$8)))/Inputs!$K$8)^2)))*1000/Inputs!$C$12),NA())</f>
        <v>71709.950797220939</v>
      </c>
      <c r="K152" s="9">
        <f>IF(OR(Inputs!$F$9=TRUE,Inputs!$F$9="TRUE",Inputs!$F$9=1),(((SQRT(((Inputs!$I$9+(((A152)+1)/2)*(Inputs!$J$9-Inputs!$I$9)))^2+Inputs!$C$6^2+((Inputs!$H$9+Inputs!$L$9*(((Inputs!$I$9+(((A152)+1)/2)*(Inputs!$J$9-Inputs!$I$9)))/Inputs!$K$9)^2))^2))-((Inputs!$H$9+Inputs!$L$9*(((Inputs!$I$9+(((A152)+1)/2)*(Inputs!$J$9-Inputs!$I$9)))/Inputs!$K$9)^2)))*1000/Inputs!$C$12),NA())</f>
        <v>74817.372463345266</v>
      </c>
      <c r="L152" s="10"/>
      <c r="M152" s="9">
        <f t="shared" si="13"/>
        <v>0.25</v>
      </c>
      <c r="N152" s="9">
        <f>IF(OR(Inputs!$F$6=TRUE,Inputs!$F$6="TRUE",Inputs!$F$6=1),(-2*((1000*((((Inputs!$I$6+(((A152)+1)/2)*(Inputs!$J$6-Inputs!$I$6)))*Inputs!$C$11+((Inputs!$H$6+Inputs!$L$6*(((Inputs!$I$6+(((A152)+1)/2)*(Inputs!$J$6-Inputs!$I$6)))/Inputs!$K$6)^2))*((2*Inputs!$L$6*((Inputs!$I$6+(((A152)+1)/2)*(Inputs!$J$6-Inputs!$I$6)))/(Inputs!$K$6^2)*Inputs!$C$11)))/(SQRT(((Inputs!$I$6+(((A152)+1)/2)*(Inputs!$J$6-Inputs!$I$6)))^2+Inputs!$C$6^2+((Inputs!$H$6+Inputs!$L$6*(((Inputs!$I$6+(((A152)+1)/2)*(Inputs!$J$6-Inputs!$I$6)))/Inputs!$K$6)^2))^2)))))/Inputs!$C$13),NA())</f>
        <v>-112.99648127116424</v>
      </c>
      <c r="O152" s="9">
        <f>IF(OR(Inputs!$F$7=TRUE,Inputs!$F$7="TRUE",Inputs!$F$7=1),(-2*((1000*((((Inputs!$I$7+(((A152)+1)/2)*(Inputs!$J$7-Inputs!$I$7)))*Inputs!$C$11+((Inputs!$H$7+Inputs!$L$7*(((Inputs!$I$7+(((A152)+1)/2)*(Inputs!$J$7-Inputs!$I$7)))/Inputs!$K$7)^2))*((2*Inputs!$L$7*((Inputs!$I$7+(((A152)+1)/2)*(Inputs!$J$7-Inputs!$I$7)))/(Inputs!$K$7^2)*Inputs!$C$11)))/(SQRT(((Inputs!$I$7+(((A152)+1)/2)*(Inputs!$J$7-Inputs!$I$7)))^2+Inputs!$C$6^2+((Inputs!$H$7+Inputs!$L$7*(((Inputs!$I$7+(((A152)+1)/2)*(Inputs!$J$7-Inputs!$I$7)))/Inputs!$K$7)^2))^2)))))/Inputs!$C$13),NA())</f>
        <v>-1710.928510419963</v>
      </c>
      <c r="P152" s="9">
        <f>IF(OR(Inputs!$F$8=TRUE,Inputs!$F$8="TRUE",Inputs!$F$8=1),(-2*((1000*((((Inputs!$I$8+(((A152)+1)/2)*(Inputs!$J$8-Inputs!$I$8)))*Inputs!$C$11+((Inputs!$H$8+Inputs!$L$8*(((Inputs!$I$8+(((A152)+1)/2)*(Inputs!$J$8-Inputs!$I$8)))/Inputs!$K$8)^2))*((2*Inputs!$L$8*((Inputs!$I$8+(((A152)+1)/2)*(Inputs!$J$8-Inputs!$I$8)))/(Inputs!$K$8^2)*Inputs!$C$11)))/(SQRT(((Inputs!$I$8+(((A152)+1)/2)*(Inputs!$J$8-Inputs!$I$8)))^2+Inputs!$C$6^2+((Inputs!$H$8+Inputs!$L$8*(((Inputs!$I$8+(((A152)+1)/2)*(Inputs!$J$8-Inputs!$I$8)))/Inputs!$K$8)^2))^2)))))/Inputs!$C$13),NA())</f>
        <v>-1847.7913579087763</v>
      </c>
      <c r="Q152" s="9">
        <f>IF(OR(Inputs!$F$9=TRUE,Inputs!$F$9="TRUE",Inputs!$F$9=1),(-2*((1000*((((Inputs!$I$9+(((A152)+1)/2)*(Inputs!$J$9-Inputs!$I$9)))*Inputs!$C$11+((Inputs!$H$9+Inputs!$L$9*(((Inputs!$I$9+(((A152)+1)/2)*(Inputs!$J$9-Inputs!$I$9)))/Inputs!$K$9)^2))*((2*Inputs!$L$9*((Inputs!$I$9+(((A152)+1)/2)*(Inputs!$J$9-Inputs!$I$9)))/(Inputs!$K$9^2)*Inputs!$C$11)))/(SQRT(((Inputs!$I$9+(((A152)+1)/2)*(Inputs!$J$9-Inputs!$I$9)))^2+Inputs!$C$6^2+((Inputs!$H$9+Inputs!$L$9*(((Inputs!$I$9+(((A152)+1)/2)*(Inputs!$J$9-Inputs!$I$9)))/Inputs!$K$9)^2))^2)))))/Inputs!$C$13),NA())</f>
        <v>-1842.8396573757705</v>
      </c>
      <c r="R152" s="10"/>
      <c r="S152" s="9">
        <f t="shared" si="14"/>
        <v>0.25</v>
      </c>
      <c r="T152" s="9">
        <f>(Inputs!$I$6+(((A152)+1)/2)*(Inputs!$J$6-Inputs!$I$6))</f>
        <v>15</v>
      </c>
      <c r="U152" s="9">
        <f>(Inputs!$I$7+(((A152)+1)/2)*(Inputs!$J$7-Inputs!$I$7))</f>
        <v>100</v>
      </c>
      <c r="V152" s="9">
        <f>(Inputs!$I$8+(((A152)+1)/2)*(Inputs!$J$8-Inputs!$I$8))</f>
        <v>200</v>
      </c>
      <c r="W152" s="9">
        <f>(Inputs!$I$9+(((A152)+1)/2)*(Inputs!$J$9-Inputs!$I$9))</f>
        <v>200</v>
      </c>
      <c r="X152" s="10"/>
      <c r="Y152" s="9">
        <f t="shared" si="15"/>
        <v>0.25</v>
      </c>
      <c r="Z152" s="9">
        <f>(Inputs!$H$6+Inputs!$L$6*(((Inputs!$I$6+(((A152)+1)/2)*(Inputs!$J$6-Inputs!$I$6)))/Inputs!$K$6)^2)</f>
        <v>400.25</v>
      </c>
      <c r="AA152" s="9">
        <f>(Inputs!$H$7+Inputs!$L$7*(((Inputs!$I$7+(((A152)+1)/2)*(Inputs!$J$7-Inputs!$I$7)))/Inputs!$K$7)^2)</f>
        <v>57.8125</v>
      </c>
      <c r="AB152" s="9">
        <f>(Inputs!$H$8+Inputs!$L$8*(((Inputs!$I$8+(((A152)+1)/2)*(Inputs!$J$8-Inputs!$I$8)))/Inputs!$K$8)^2)</f>
        <v>95.3125</v>
      </c>
      <c r="AC152" s="9">
        <f>(Inputs!$H$9+Inputs!$L$9*(((Inputs!$I$9+(((A152)+1)/2)*(Inputs!$J$9-Inputs!$I$9)))/Inputs!$K$9)^2)</f>
        <v>85.9375</v>
      </c>
      <c r="AD152" s="10"/>
      <c r="AE152" s="9">
        <f t="shared" si="16"/>
        <v>0.25</v>
      </c>
      <c r="AF152" s="9">
        <f>(((SQRT(((Inputs!$I$6+(((A152)+1)/2)*(Inputs!$J$6-Inputs!$I$6)))^2+Inputs!$C$6^2+((Inputs!$H$6+Inputs!$L$6*(((Inputs!$I$6+(((A152)+1)/2)*(Inputs!$J$6-Inputs!$I$6)))/Inputs!$K$6)^2))^2))-((Inputs!$H$6+Inputs!$L$6*(((Inputs!$I$6+(((A152)+1)/2)*(Inputs!$J$6-Inputs!$I$6)))/Inputs!$K$6)^2)))*1000/Inputs!$C$12)</f>
        <v>595.74808220334489</v>
      </c>
      <c r="AG152" s="9">
        <f>(((SQRT(((Inputs!$I$7+(((A152)+1)/2)*(Inputs!$J$7-Inputs!$I$7)))^2+Inputs!$C$6^2+((Inputs!$H$7+Inputs!$L$7*(((Inputs!$I$7+(((A152)+1)/2)*(Inputs!$J$7-Inputs!$I$7)))/Inputs!$K$7)^2))^2))-((Inputs!$H$7+Inputs!$L$7*(((Inputs!$I$7+(((A152)+1)/2)*(Inputs!$J$7-Inputs!$I$7)))/Inputs!$K$7)^2)))*1000/Inputs!$C$12)</f>
        <v>33916.162560922341</v>
      </c>
      <c r="AH152" s="9">
        <f>(((SQRT(((Inputs!$I$8+(((A152)+1)/2)*(Inputs!$J$8-Inputs!$I$8)))^2+Inputs!$C$6^2+((Inputs!$H$8+Inputs!$L$8*(((Inputs!$I$8+(((A152)+1)/2)*(Inputs!$J$8-Inputs!$I$8)))/Inputs!$K$8)^2))^2))-((Inputs!$H$8+Inputs!$L$8*(((Inputs!$I$8+(((A152)+1)/2)*(Inputs!$J$8-Inputs!$I$8)))/Inputs!$K$8)^2)))*1000/Inputs!$C$12)</f>
        <v>71709.950797220939</v>
      </c>
      <c r="AI152" s="9">
        <f>(((SQRT(((Inputs!$I$9+(((A152)+1)/2)*(Inputs!$J$9-Inputs!$I$9)))^2+Inputs!$C$6^2+((Inputs!$H$9+Inputs!$L$9*(((Inputs!$I$9+(((A152)+1)/2)*(Inputs!$J$9-Inputs!$I$9)))/Inputs!$K$9)^2))^2))-((Inputs!$H$9+Inputs!$L$9*(((Inputs!$I$9+(((A152)+1)/2)*(Inputs!$J$9-Inputs!$I$9)))/Inputs!$K$9)^2)))*1000/Inputs!$C$12)</f>
        <v>74817.372463345266</v>
      </c>
      <c r="AJ152" s="10"/>
      <c r="AK152" s="9">
        <f t="shared" si="17"/>
        <v>0.25</v>
      </c>
      <c r="AL152" s="9">
        <f>(-2*((1000*((((Inputs!$I$6+(((A152)+1)/2)*(Inputs!$J$6-Inputs!$I$6)))*Inputs!$C$11+((Inputs!$H$6+Inputs!$L$6*(((Inputs!$I$6+(((A152)+1)/2)*(Inputs!$J$6-Inputs!$I$6)))/Inputs!$K$6)^2))*((2*Inputs!$L$6*((Inputs!$I$6+(((A152)+1)/2)*(Inputs!$J$6-Inputs!$I$6)))/(Inputs!$K$6^2)*Inputs!$C$11)))/(SQRT(((Inputs!$I$6+(((A152)+1)/2)*(Inputs!$J$6-Inputs!$I$6)))^2+Inputs!$C$6^2+((Inputs!$H$6+Inputs!$L$6*(((Inputs!$I$6+(((A152)+1)/2)*(Inputs!$J$6-Inputs!$I$6)))/Inputs!$K$6)^2))^2)))))/Inputs!$C$13)</f>
        <v>-112.99648127116424</v>
      </c>
      <c r="AM152" s="9">
        <f>(-2*((1000*((((Inputs!$I$7+(((A152)+1)/2)*(Inputs!$J$7-Inputs!$I$7)))*Inputs!$C$11+((Inputs!$H$7+Inputs!$L$7*(((Inputs!$I$7+(((A152)+1)/2)*(Inputs!$J$7-Inputs!$I$7)))/Inputs!$K$7)^2))*((2*Inputs!$L$7*((Inputs!$I$7+(((A152)+1)/2)*(Inputs!$J$7-Inputs!$I$7)))/(Inputs!$K$7^2)*Inputs!$C$11)))/(SQRT(((Inputs!$I$7+(((A152)+1)/2)*(Inputs!$J$7-Inputs!$I$7)))^2+Inputs!$C$6^2+((Inputs!$H$7+Inputs!$L$7*(((Inputs!$I$7+(((A152)+1)/2)*(Inputs!$J$7-Inputs!$I$7)))/Inputs!$K$7)^2))^2)))))/Inputs!$C$13)</f>
        <v>-1710.928510419963</v>
      </c>
      <c r="AN152" s="9">
        <f>(-2*((1000*((((Inputs!$I$8+(((A152)+1)/2)*(Inputs!$J$8-Inputs!$I$8)))*Inputs!$C$11+((Inputs!$H$8+Inputs!$L$8*(((Inputs!$I$8+(((A152)+1)/2)*(Inputs!$J$8-Inputs!$I$8)))/Inputs!$K$8)^2))*((2*Inputs!$L$8*((Inputs!$I$8+(((A152)+1)/2)*(Inputs!$J$8-Inputs!$I$8)))/(Inputs!$K$8^2)*Inputs!$C$11)))/(SQRT(((Inputs!$I$8+(((A152)+1)/2)*(Inputs!$J$8-Inputs!$I$8)))^2+Inputs!$C$6^2+((Inputs!$H$8+Inputs!$L$8*(((Inputs!$I$8+(((A152)+1)/2)*(Inputs!$J$8-Inputs!$I$8)))/Inputs!$K$8)^2))^2)))))/Inputs!$C$13)</f>
        <v>-1847.7913579087763</v>
      </c>
      <c r="AO152" s="9">
        <f>(-2*((1000*((((Inputs!$I$9+(((A152)+1)/2)*(Inputs!$J$9-Inputs!$I$9)))*Inputs!$C$11+((Inputs!$H$9+Inputs!$L$9*(((Inputs!$I$9+(((A152)+1)/2)*(Inputs!$J$9-Inputs!$I$9)))/Inputs!$K$9)^2))*((2*Inputs!$L$9*((Inputs!$I$9+(((A152)+1)/2)*(Inputs!$J$9-Inputs!$I$9)))/(Inputs!$K$9^2)*Inputs!$C$11)))/(SQRT(((Inputs!$I$9+(((A152)+1)/2)*(Inputs!$J$9-Inputs!$I$9)))^2+Inputs!$C$6^2+((Inputs!$H$9+Inputs!$L$9*(((Inputs!$I$9+(((A152)+1)/2)*(Inputs!$J$9-Inputs!$I$9)))/Inputs!$K$9)^2))^2)))))/Inputs!$C$13)</f>
        <v>-1842.8396573757705</v>
      </c>
    </row>
    <row r="153" spans="1:41">
      <c r="A153" s="9">
        <f>ROUND(-1+151*2/240,3)</f>
        <v>0.25800000000000001</v>
      </c>
      <c r="B153" s="9">
        <f>IF(OR(Inputs!$F$6=TRUE,Inputs!$F$6="TRUE",Inputs!$F$6=1),(Inputs!$H$6+Inputs!$L$6*(((Inputs!$I$6+(((A153)+1)/2)*(Inputs!$J$6-Inputs!$I$6)))/Inputs!$K$6)^2),NA())</f>
        <v>400.266256</v>
      </c>
      <c r="C153" s="9">
        <f>IF(OR(Inputs!$F$7=TRUE,Inputs!$F$7="TRUE",Inputs!$F$7=1),(Inputs!$H$7+Inputs!$L$7*(((Inputs!$I$7+(((A153)+1)/2)*(Inputs!$J$7-Inputs!$I$7)))/Inputs!$K$7)^2),NA())</f>
        <v>59.29585999999999</v>
      </c>
      <c r="D153" s="9">
        <f>IF(OR(Inputs!$F$8=TRUE,Inputs!$F$8="TRUE",Inputs!$F$8=1),(Inputs!$H$8+Inputs!$L$8*(((Inputs!$I$8+(((A153)+1)/2)*(Inputs!$J$8-Inputs!$I$8)))/Inputs!$K$8)^2),NA())</f>
        <v>99.234259999999978</v>
      </c>
      <c r="E153" s="9">
        <f>IF(OR(Inputs!$F$9=TRUE,Inputs!$F$9="TRUE",Inputs!$F$9=1),(Inputs!$H$9+Inputs!$L$9*(((Inputs!$I$9+(((A153)+1)/2)*(Inputs!$J$9-Inputs!$I$9)))/Inputs!$K$9)^2),NA())</f>
        <v>89.899899999999974</v>
      </c>
      <c r="F153" s="10"/>
      <c r="G153" s="9">
        <f t="shared" si="12"/>
        <v>0.25800000000000001</v>
      </c>
      <c r="H153" s="9">
        <f>IF(OR(Inputs!$F$6=TRUE,Inputs!$F$6="TRUE",Inputs!$F$6=1),(((SQRT(((Inputs!$I$6+(((A153)+1)/2)*(Inputs!$J$6-Inputs!$I$6)))^2+Inputs!$C$6^2+((Inputs!$H$6+Inputs!$L$6*(((Inputs!$I$6+(((A153)+1)/2)*(Inputs!$J$6-Inputs!$I$6)))/Inputs!$K$6)^2))^2))-((Inputs!$H$6+Inputs!$L$6*(((Inputs!$I$6+(((A153)+1)/2)*(Inputs!$J$6-Inputs!$I$6)))/Inputs!$K$6)^2)))*1000/Inputs!$C$12),NA())</f>
        <v>605.96391305658813</v>
      </c>
      <c r="I153" s="9">
        <f>IF(OR(Inputs!$F$7=TRUE,Inputs!$F$7="TRUE",Inputs!$F$7=1),(((SQRT(((Inputs!$I$7+(((A153)+1)/2)*(Inputs!$J$7-Inputs!$I$7)))^2+Inputs!$C$6^2+((Inputs!$H$7+Inputs!$L$7*(((Inputs!$I$7+(((A153)+1)/2)*(Inputs!$J$7-Inputs!$I$7)))/Inputs!$K$7)^2))^2))-((Inputs!$H$7+Inputs!$L$7*(((Inputs!$I$7+(((A153)+1)/2)*(Inputs!$J$7-Inputs!$I$7)))/Inputs!$K$7)^2)))*1000/Inputs!$C$12),NA())</f>
        <v>35013.133618802334</v>
      </c>
      <c r="J153" s="9">
        <f>IF(OR(Inputs!$F$8=TRUE,Inputs!$F$8="TRUE",Inputs!$F$8=1),(((SQRT(((Inputs!$I$8+(((A153)+1)/2)*(Inputs!$J$8-Inputs!$I$8)))^2+Inputs!$C$6^2+((Inputs!$H$8+Inputs!$L$8*(((Inputs!$I$8+(((A153)+1)/2)*(Inputs!$J$8-Inputs!$I$8)))/Inputs!$K$8)^2))^2))-((Inputs!$H$8+Inputs!$L$8*(((Inputs!$I$8+(((A153)+1)/2)*(Inputs!$J$8-Inputs!$I$8)))/Inputs!$K$8)^2)))*1000/Inputs!$C$12),NA())</f>
        <v>73675.496942629004</v>
      </c>
      <c r="K153" s="9">
        <f>IF(OR(Inputs!$F$9=TRUE,Inputs!$F$9="TRUE",Inputs!$F$9=1),(((SQRT(((Inputs!$I$9+(((A153)+1)/2)*(Inputs!$J$9-Inputs!$I$9)))^2+Inputs!$C$6^2+((Inputs!$H$9+Inputs!$L$9*(((Inputs!$I$9+(((A153)+1)/2)*(Inputs!$J$9-Inputs!$I$9)))/Inputs!$K$9)^2))^2))-((Inputs!$H$9+Inputs!$L$9*(((Inputs!$I$9+(((A153)+1)/2)*(Inputs!$J$9-Inputs!$I$9)))/Inputs!$K$9)^2)))*1000/Inputs!$C$12),NA())</f>
        <v>76748.700500508698</v>
      </c>
      <c r="L153" s="10"/>
      <c r="M153" s="9">
        <f t="shared" si="13"/>
        <v>0.25800000000000001</v>
      </c>
      <c r="N153" s="9">
        <f>IF(OR(Inputs!$F$6=TRUE,Inputs!$F$6="TRUE",Inputs!$F$6=1),(-2*((1000*((((Inputs!$I$6+(((A153)+1)/2)*(Inputs!$J$6-Inputs!$I$6)))*Inputs!$C$11+((Inputs!$H$6+Inputs!$L$6*(((Inputs!$I$6+(((A153)+1)/2)*(Inputs!$J$6-Inputs!$I$6)))/Inputs!$K$6)^2))*((2*Inputs!$L$6*((Inputs!$I$6+(((A153)+1)/2)*(Inputs!$J$6-Inputs!$I$6)))/(Inputs!$K$6^2)*Inputs!$C$11)))/(SQRT(((Inputs!$I$6+(((A153)+1)/2)*(Inputs!$J$6-Inputs!$I$6)))^2+Inputs!$C$6^2+((Inputs!$H$6+Inputs!$L$6*(((Inputs!$I$6+(((A153)+1)/2)*(Inputs!$J$6-Inputs!$I$6)))/Inputs!$K$6)^2))^2)))))/Inputs!$C$13),NA())</f>
        <v>-116.60459126936105</v>
      </c>
      <c r="O153" s="9">
        <f>IF(OR(Inputs!$F$7=TRUE,Inputs!$F$7="TRUE",Inputs!$F$7=1),(-2*((1000*((((Inputs!$I$7+(((A153)+1)/2)*(Inputs!$J$7-Inputs!$I$7)))*Inputs!$C$11+((Inputs!$H$7+Inputs!$L$7*(((Inputs!$I$7+(((A153)+1)/2)*(Inputs!$J$7-Inputs!$I$7)))/Inputs!$K$7)^2))*((2*Inputs!$L$7*((Inputs!$I$7+(((A153)+1)/2)*(Inputs!$J$7-Inputs!$I$7)))/(Inputs!$K$7^2)*Inputs!$C$11)))/(SQRT(((Inputs!$I$7+(((A153)+1)/2)*(Inputs!$J$7-Inputs!$I$7)))^2+Inputs!$C$6^2+((Inputs!$H$7+Inputs!$L$7*(((Inputs!$I$7+(((A153)+1)/2)*(Inputs!$J$7-Inputs!$I$7)))/Inputs!$K$7)^2))^2)))))/Inputs!$C$13),NA())</f>
        <v>-1724.9830932427381</v>
      </c>
      <c r="P153" s="9">
        <f>IF(OR(Inputs!$F$8=TRUE,Inputs!$F$8="TRUE",Inputs!$F$8=1),(-2*((1000*((((Inputs!$I$8+(((A153)+1)/2)*(Inputs!$J$8-Inputs!$I$8)))*Inputs!$C$11+((Inputs!$H$8+Inputs!$L$8*(((Inputs!$I$8+(((A153)+1)/2)*(Inputs!$J$8-Inputs!$I$8)))/Inputs!$K$8)^2))*((2*Inputs!$L$8*((Inputs!$I$8+(((A153)+1)/2)*(Inputs!$J$8-Inputs!$I$8)))/(Inputs!$K$8^2)*Inputs!$C$11)))/(SQRT(((Inputs!$I$8+(((A153)+1)/2)*(Inputs!$J$8-Inputs!$I$8)))^2+Inputs!$C$6^2+((Inputs!$H$8+Inputs!$L$8*(((Inputs!$I$8+(((A153)+1)/2)*(Inputs!$J$8-Inputs!$I$8)))/Inputs!$K$8)^2))^2)))))/Inputs!$C$13),NA())</f>
        <v>-1862.4518803641222</v>
      </c>
      <c r="Q153" s="9">
        <f>IF(OR(Inputs!$F$9=TRUE,Inputs!$F$9="TRUE",Inputs!$F$9=1),(-2*((1000*((((Inputs!$I$9+(((A153)+1)/2)*(Inputs!$J$9-Inputs!$I$9)))*Inputs!$C$11+((Inputs!$H$9+Inputs!$L$9*(((Inputs!$I$9+(((A153)+1)/2)*(Inputs!$J$9-Inputs!$I$9)))/Inputs!$K$9)^2))*((2*Inputs!$L$9*((Inputs!$I$9+(((A153)+1)/2)*(Inputs!$J$9-Inputs!$I$9)))/(Inputs!$K$9^2)*Inputs!$C$11)))/(SQRT(((Inputs!$I$9+(((A153)+1)/2)*(Inputs!$J$9-Inputs!$I$9)))^2+Inputs!$C$6^2+((Inputs!$H$9+Inputs!$L$9*(((Inputs!$I$9+(((A153)+1)/2)*(Inputs!$J$9-Inputs!$I$9)))/Inputs!$K$9)^2))^2)))))/Inputs!$C$13),NA())</f>
        <v>-1857.2799205309464</v>
      </c>
      <c r="R153" s="10"/>
      <c r="S153" s="9">
        <f t="shared" si="14"/>
        <v>0.25800000000000001</v>
      </c>
      <c r="T153" s="9">
        <f>(Inputs!$I$6+(((A153)+1)/2)*(Inputs!$J$6-Inputs!$I$6))</f>
        <v>15.480000000000004</v>
      </c>
      <c r="U153" s="9">
        <f>(Inputs!$I$7+(((A153)+1)/2)*(Inputs!$J$7-Inputs!$I$7))</f>
        <v>103.19999999999999</v>
      </c>
      <c r="V153" s="9">
        <f>(Inputs!$I$8+(((A153)+1)/2)*(Inputs!$J$8-Inputs!$I$8))</f>
        <v>206.39999999999998</v>
      </c>
      <c r="W153" s="9">
        <f>(Inputs!$I$9+(((A153)+1)/2)*(Inputs!$J$9-Inputs!$I$9))</f>
        <v>206.39999999999998</v>
      </c>
      <c r="X153" s="10"/>
      <c r="Y153" s="9">
        <f t="shared" si="15"/>
        <v>0.25800000000000001</v>
      </c>
      <c r="Z153" s="9">
        <f>(Inputs!$H$6+Inputs!$L$6*(((Inputs!$I$6+(((A153)+1)/2)*(Inputs!$J$6-Inputs!$I$6)))/Inputs!$K$6)^2)</f>
        <v>400.266256</v>
      </c>
      <c r="AA153" s="9">
        <f>(Inputs!$H$7+Inputs!$L$7*(((Inputs!$I$7+(((A153)+1)/2)*(Inputs!$J$7-Inputs!$I$7)))/Inputs!$K$7)^2)</f>
        <v>59.29585999999999</v>
      </c>
      <c r="AB153" s="9">
        <f>(Inputs!$H$8+Inputs!$L$8*(((Inputs!$I$8+(((A153)+1)/2)*(Inputs!$J$8-Inputs!$I$8)))/Inputs!$K$8)^2)</f>
        <v>99.234259999999978</v>
      </c>
      <c r="AC153" s="9">
        <f>(Inputs!$H$9+Inputs!$L$9*(((Inputs!$I$9+(((A153)+1)/2)*(Inputs!$J$9-Inputs!$I$9)))/Inputs!$K$9)^2)</f>
        <v>89.899899999999974</v>
      </c>
      <c r="AD153" s="10"/>
      <c r="AE153" s="9">
        <f t="shared" si="16"/>
        <v>0.25800000000000001</v>
      </c>
      <c r="AF153" s="9">
        <f>(((SQRT(((Inputs!$I$6+(((A153)+1)/2)*(Inputs!$J$6-Inputs!$I$6)))^2+Inputs!$C$6^2+((Inputs!$H$6+Inputs!$L$6*(((Inputs!$I$6+(((A153)+1)/2)*(Inputs!$J$6-Inputs!$I$6)))/Inputs!$K$6)^2))^2))-((Inputs!$H$6+Inputs!$L$6*(((Inputs!$I$6+(((A153)+1)/2)*(Inputs!$J$6-Inputs!$I$6)))/Inputs!$K$6)^2)))*1000/Inputs!$C$12)</f>
        <v>605.96391305658813</v>
      </c>
      <c r="AG153" s="9">
        <f>(((SQRT(((Inputs!$I$7+(((A153)+1)/2)*(Inputs!$J$7-Inputs!$I$7)))^2+Inputs!$C$6^2+((Inputs!$H$7+Inputs!$L$7*(((Inputs!$I$7+(((A153)+1)/2)*(Inputs!$J$7-Inputs!$I$7)))/Inputs!$K$7)^2))^2))-((Inputs!$H$7+Inputs!$L$7*(((Inputs!$I$7+(((A153)+1)/2)*(Inputs!$J$7-Inputs!$I$7)))/Inputs!$K$7)^2)))*1000/Inputs!$C$12)</f>
        <v>35013.133618802334</v>
      </c>
      <c r="AH153" s="9">
        <f>(((SQRT(((Inputs!$I$8+(((A153)+1)/2)*(Inputs!$J$8-Inputs!$I$8)))^2+Inputs!$C$6^2+((Inputs!$H$8+Inputs!$L$8*(((Inputs!$I$8+(((A153)+1)/2)*(Inputs!$J$8-Inputs!$I$8)))/Inputs!$K$8)^2))^2))-((Inputs!$H$8+Inputs!$L$8*(((Inputs!$I$8+(((A153)+1)/2)*(Inputs!$J$8-Inputs!$I$8)))/Inputs!$K$8)^2)))*1000/Inputs!$C$12)</f>
        <v>73675.496942629004</v>
      </c>
      <c r="AI153" s="9">
        <f>(((SQRT(((Inputs!$I$9+(((A153)+1)/2)*(Inputs!$J$9-Inputs!$I$9)))^2+Inputs!$C$6^2+((Inputs!$H$9+Inputs!$L$9*(((Inputs!$I$9+(((A153)+1)/2)*(Inputs!$J$9-Inputs!$I$9)))/Inputs!$K$9)^2))^2))-((Inputs!$H$9+Inputs!$L$9*(((Inputs!$I$9+(((A153)+1)/2)*(Inputs!$J$9-Inputs!$I$9)))/Inputs!$K$9)^2)))*1000/Inputs!$C$12)</f>
        <v>76748.700500508698</v>
      </c>
      <c r="AJ153" s="10"/>
      <c r="AK153" s="9">
        <f t="shared" si="17"/>
        <v>0.25800000000000001</v>
      </c>
      <c r="AL153" s="9">
        <f>(-2*((1000*((((Inputs!$I$6+(((A153)+1)/2)*(Inputs!$J$6-Inputs!$I$6)))*Inputs!$C$11+((Inputs!$H$6+Inputs!$L$6*(((Inputs!$I$6+(((A153)+1)/2)*(Inputs!$J$6-Inputs!$I$6)))/Inputs!$K$6)^2))*((2*Inputs!$L$6*((Inputs!$I$6+(((A153)+1)/2)*(Inputs!$J$6-Inputs!$I$6)))/(Inputs!$K$6^2)*Inputs!$C$11)))/(SQRT(((Inputs!$I$6+(((A153)+1)/2)*(Inputs!$J$6-Inputs!$I$6)))^2+Inputs!$C$6^2+((Inputs!$H$6+Inputs!$L$6*(((Inputs!$I$6+(((A153)+1)/2)*(Inputs!$J$6-Inputs!$I$6)))/Inputs!$K$6)^2))^2)))))/Inputs!$C$13)</f>
        <v>-116.60459126936105</v>
      </c>
      <c r="AM153" s="9">
        <f>(-2*((1000*((((Inputs!$I$7+(((A153)+1)/2)*(Inputs!$J$7-Inputs!$I$7)))*Inputs!$C$11+((Inputs!$H$7+Inputs!$L$7*(((Inputs!$I$7+(((A153)+1)/2)*(Inputs!$J$7-Inputs!$I$7)))/Inputs!$K$7)^2))*((2*Inputs!$L$7*((Inputs!$I$7+(((A153)+1)/2)*(Inputs!$J$7-Inputs!$I$7)))/(Inputs!$K$7^2)*Inputs!$C$11)))/(SQRT(((Inputs!$I$7+(((A153)+1)/2)*(Inputs!$J$7-Inputs!$I$7)))^2+Inputs!$C$6^2+((Inputs!$H$7+Inputs!$L$7*(((Inputs!$I$7+(((A153)+1)/2)*(Inputs!$J$7-Inputs!$I$7)))/Inputs!$K$7)^2))^2)))))/Inputs!$C$13)</f>
        <v>-1724.9830932427381</v>
      </c>
      <c r="AN153" s="9">
        <f>(-2*((1000*((((Inputs!$I$8+(((A153)+1)/2)*(Inputs!$J$8-Inputs!$I$8)))*Inputs!$C$11+((Inputs!$H$8+Inputs!$L$8*(((Inputs!$I$8+(((A153)+1)/2)*(Inputs!$J$8-Inputs!$I$8)))/Inputs!$K$8)^2))*((2*Inputs!$L$8*((Inputs!$I$8+(((A153)+1)/2)*(Inputs!$J$8-Inputs!$I$8)))/(Inputs!$K$8^2)*Inputs!$C$11)))/(SQRT(((Inputs!$I$8+(((A153)+1)/2)*(Inputs!$J$8-Inputs!$I$8)))^2+Inputs!$C$6^2+((Inputs!$H$8+Inputs!$L$8*(((Inputs!$I$8+(((A153)+1)/2)*(Inputs!$J$8-Inputs!$I$8)))/Inputs!$K$8)^2))^2)))))/Inputs!$C$13)</f>
        <v>-1862.4518803641222</v>
      </c>
      <c r="AO153" s="9">
        <f>(-2*((1000*((((Inputs!$I$9+(((A153)+1)/2)*(Inputs!$J$9-Inputs!$I$9)))*Inputs!$C$11+((Inputs!$H$9+Inputs!$L$9*(((Inputs!$I$9+(((A153)+1)/2)*(Inputs!$J$9-Inputs!$I$9)))/Inputs!$K$9)^2))*((2*Inputs!$L$9*((Inputs!$I$9+(((A153)+1)/2)*(Inputs!$J$9-Inputs!$I$9)))/(Inputs!$K$9^2)*Inputs!$C$11)))/(SQRT(((Inputs!$I$9+(((A153)+1)/2)*(Inputs!$J$9-Inputs!$I$9)))^2+Inputs!$C$6^2+((Inputs!$H$9+Inputs!$L$9*(((Inputs!$I$9+(((A153)+1)/2)*(Inputs!$J$9-Inputs!$I$9)))/Inputs!$K$9)^2))^2)))))/Inputs!$C$13)</f>
        <v>-1857.2799205309464</v>
      </c>
    </row>
    <row r="154" spans="1:41">
      <c r="A154" s="9">
        <f>ROUND(-1+152*2/240,3)</f>
        <v>0.26700000000000002</v>
      </c>
      <c r="B154" s="9">
        <f>IF(OR(Inputs!$F$6=TRUE,Inputs!$F$6="TRUE",Inputs!$F$6=1),(Inputs!$H$6+Inputs!$L$6*(((Inputs!$I$6+(((A154)+1)/2)*(Inputs!$J$6-Inputs!$I$6)))/Inputs!$K$6)^2),NA())</f>
        <v>400.28515599999997</v>
      </c>
      <c r="C154" s="9">
        <f>IF(OR(Inputs!$F$7=TRUE,Inputs!$F$7="TRUE",Inputs!$F$7=1),(Inputs!$H$7+Inputs!$L$7*(((Inputs!$I$7+(((A154)+1)/2)*(Inputs!$J$7-Inputs!$I$7)))/Inputs!$K$7)^2),NA())</f>
        <v>61.020484999999979</v>
      </c>
      <c r="D154" s="9">
        <f>IF(OR(Inputs!$F$8=TRUE,Inputs!$F$8="TRUE",Inputs!$F$8=1),(Inputs!$H$8+Inputs!$L$8*(((Inputs!$I$8+(((A154)+1)/2)*(Inputs!$J$8-Inputs!$I$8)))/Inputs!$K$8)^2),NA())</f>
        <v>103.79388499999995</v>
      </c>
      <c r="E154" s="9">
        <f>IF(OR(Inputs!$F$9=TRUE,Inputs!$F$9="TRUE",Inputs!$F$9=1),(Inputs!$H$9+Inputs!$L$9*(((Inputs!$I$9+(((A154)+1)/2)*(Inputs!$J$9-Inputs!$I$9)))/Inputs!$K$9)^2),NA())</f>
        <v>94.506774999999948</v>
      </c>
      <c r="F154" s="10"/>
      <c r="G154" s="9">
        <f t="shared" si="12"/>
        <v>0.26700000000000002</v>
      </c>
      <c r="H154" s="9">
        <f>IF(OR(Inputs!$F$6=TRUE,Inputs!$F$6="TRUE",Inputs!$F$6=1),(((SQRT(((Inputs!$I$6+(((A154)+1)/2)*(Inputs!$J$6-Inputs!$I$6)))^2+Inputs!$C$6^2+((Inputs!$H$6+Inputs!$L$6*(((Inputs!$I$6+(((A154)+1)/2)*(Inputs!$J$6-Inputs!$I$6)))/Inputs!$K$6)^2))^2))-((Inputs!$H$6+Inputs!$L$6*(((Inputs!$I$6+(((A154)+1)/2)*(Inputs!$J$6-Inputs!$I$6)))/Inputs!$K$6)^2)))*1000/Inputs!$C$12),NA())</f>
        <v>617.83970251345056</v>
      </c>
      <c r="I154" s="9">
        <f>IF(OR(Inputs!$F$7=TRUE,Inputs!$F$7="TRUE",Inputs!$F$7=1),(((SQRT(((Inputs!$I$7+(((A154)+1)/2)*(Inputs!$J$7-Inputs!$I$7)))^2+Inputs!$C$6^2+((Inputs!$H$7+Inputs!$L$7*(((Inputs!$I$7+(((A154)+1)/2)*(Inputs!$J$7-Inputs!$I$7)))/Inputs!$K$7)^2))^2))-((Inputs!$H$7+Inputs!$L$7*(((Inputs!$I$7+(((A154)+1)/2)*(Inputs!$J$7-Inputs!$I$7)))/Inputs!$K$7)^2)))*1000/Inputs!$C$12),NA())</f>
        <v>36234.494683608915</v>
      </c>
      <c r="J154" s="9">
        <f>IF(OR(Inputs!$F$8=TRUE,Inputs!$F$8="TRUE",Inputs!$F$8=1),(((SQRT(((Inputs!$I$8+(((A154)+1)/2)*(Inputs!$J$8-Inputs!$I$8)))^2+Inputs!$C$6^2+((Inputs!$H$8+Inputs!$L$8*(((Inputs!$I$8+(((A154)+1)/2)*(Inputs!$J$8-Inputs!$I$8)))/Inputs!$K$8)^2))^2))-((Inputs!$H$8+Inputs!$L$8*(((Inputs!$I$8+(((A154)+1)/2)*(Inputs!$J$8-Inputs!$I$8)))/Inputs!$K$8)^2)))*1000/Inputs!$C$12),NA())</f>
        <v>75843.415419808138</v>
      </c>
      <c r="K154" s="9">
        <f>IF(OR(Inputs!$F$9=TRUE,Inputs!$F$9="TRUE",Inputs!$F$9=1),(((SQRT(((Inputs!$I$9+(((A154)+1)/2)*(Inputs!$J$9-Inputs!$I$9)))^2+Inputs!$C$6^2+((Inputs!$H$9+Inputs!$L$9*(((Inputs!$I$9+(((A154)+1)/2)*(Inputs!$J$9-Inputs!$I$9)))/Inputs!$K$9)^2))^2))-((Inputs!$H$9+Inputs!$L$9*(((Inputs!$I$9+(((A154)+1)/2)*(Inputs!$J$9-Inputs!$I$9)))/Inputs!$K$9)^2)))*1000/Inputs!$C$12),NA())</f>
        <v>78876.760336715393</v>
      </c>
      <c r="L154" s="10"/>
      <c r="M154" s="9">
        <f t="shared" si="13"/>
        <v>0.26700000000000002</v>
      </c>
      <c r="N154" s="9">
        <f>IF(OR(Inputs!$F$6=TRUE,Inputs!$F$6="TRUE",Inputs!$F$6=1),(-2*((1000*((((Inputs!$I$6+(((A154)+1)/2)*(Inputs!$J$6-Inputs!$I$6)))*Inputs!$C$11+((Inputs!$H$6+Inputs!$L$6*(((Inputs!$I$6+(((A154)+1)/2)*(Inputs!$J$6-Inputs!$I$6)))/Inputs!$K$6)^2))*((2*Inputs!$L$6*((Inputs!$I$6+(((A154)+1)/2)*(Inputs!$J$6-Inputs!$I$6)))/(Inputs!$K$6^2)*Inputs!$C$11)))/(SQRT(((Inputs!$I$6+(((A154)+1)/2)*(Inputs!$J$6-Inputs!$I$6)))^2+Inputs!$C$6^2+((Inputs!$H$6+Inputs!$L$6*(((Inputs!$I$6+(((A154)+1)/2)*(Inputs!$J$6-Inputs!$I$6)))/Inputs!$K$6)^2))^2)))))/Inputs!$C$13),NA())</f>
        <v>-120.66283808441804</v>
      </c>
      <c r="O154" s="9">
        <f>IF(OR(Inputs!$F$7=TRUE,Inputs!$F$7="TRUE",Inputs!$F$7=1),(-2*((1000*((((Inputs!$I$7+(((A154)+1)/2)*(Inputs!$J$7-Inputs!$I$7)))*Inputs!$C$11+((Inputs!$H$7+Inputs!$L$7*(((Inputs!$I$7+(((A154)+1)/2)*(Inputs!$J$7-Inputs!$I$7)))/Inputs!$K$7)^2))*((2*Inputs!$L$7*((Inputs!$I$7+(((A154)+1)/2)*(Inputs!$J$7-Inputs!$I$7)))/(Inputs!$K$7^2)*Inputs!$C$11)))/(SQRT(((Inputs!$I$7+(((A154)+1)/2)*(Inputs!$J$7-Inputs!$I$7)))^2+Inputs!$C$6^2+((Inputs!$H$7+Inputs!$L$7*(((Inputs!$I$7+(((A154)+1)/2)*(Inputs!$J$7-Inputs!$I$7)))/Inputs!$K$7)^2))^2)))))/Inputs!$C$13),NA())</f>
        <v>-1740.4213749387204</v>
      </c>
      <c r="P154" s="9">
        <f>IF(OR(Inputs!$F$8=TRUE,Inputs!$F$8="TRUE",Inputs!$F$8=1),(-2*((1000*((((Inputs!$I$8+(((A154)+1)/2)*(Inputs!$J$8-Inputs!$I$8)))*Inputs!$C$11+((Inputs!$H$8+Inputs!$L$8*(((Inputs!$I$8+(((A154)+1)/2)*(Inputs!$J$8-Inputs!$I$8)))/Inputs!$K$8)^2))*((2*Inputs!$L$8*((Inputs!$I$8+(((A154)+1)/2)*(Inputs!$J$8-Inputs!$I$8)))/(Inputs!$K$8^2)*Inputs!$C$11)))/(SQRT(((Inputs!$I$8+(((A154)+1)/2)*(Inputs!$J$8-Inputs!$I$8)))^2+Inputs!$C$6^2+((Inputs!$H$8+Inputs!$L$8*(((Inputs!$I$8+(((A154)+1)/2)*(Inputs!$J$8-Inputs!$I$8)))/Inputs!$K$8)^2))^2)))))/Inputs!$C$13),NA())</f>
        <v>-1879.1505045647987</v>
      </c>
      <c r="Q154" s="9">
        <f>IF(OR(Inputs!$F$9=TRUE,Inputs!$F$9="TRUE",Inputs!$F$9=1),(-2*((1000*((((Inputs!$I$9+(((A154)+1)/2)*(Inputs!$J$9-Inputs!$I$9)))*Inputs!$C$11+((Inputs!$H$9+Inputs!$L$9*(((Inputs!$I$9+(((A154)+1)/2)*(Inputs!$J$9-Inputs!$I$9)))/Inputs!$K$9)^2))*((2*Inputs!$L$9*((Inputs!$I$9+(((A154)+1)/2)*(Inputs!$J$9-Inputs!$I$9)))/(Inputs!$K$9^2)*Inputs!$C$11)))/(SQRT(((Inputs!$I$9+(((A154)+1)/2)*(Inputs!$J$9-Inputs!$I$9)))^2+Inputs!$C$6^2+((Inputs!$H$9+Inputs!$L$9*(((Inputs!$I$9+(((A154)+1)/2)*(Inputs!$J$9-Inputs!$I$9)))/Inputs!$K$9)^2))^2)))))/Inputs!$C$13),NA())</f>
        <v>-1873.8017153515684</v>
      </c>
      <c r="R154" s="10"/>
      <c r="S154" s="9">
        <f t="shared" si="14"/>
        <v>0.26700000000000002</v>
      </c>
      <c r="T154" s="9">
        <f>(Inputs!$I$6+(((A154)+1)/2)*(Inputs!$J$6-Inputs!$I$6))</f>
        <v>16.019999999999996</v>
      </c>
      <c r="U154" s="9">
        <f>(Inputs!$I$7+(((A154)+1)/2)*(Inputs!$J$7-Inputs!$I$7))</f>
        <v>106.79999999999995</v>
      </c>
      <c r="V154" s="9">
        <f>(Inputs!$I$8+(((A154)+1)/2)*(Inputs!$J$8-Inputs!$I$8))</f>
        <v>213.59999999999991</v>
      </c>
      <c r="W154" s="9">
        <f>(Inputs!$I$9+(((A154)+1)/2)*(Inputs!$J$9-Inputs!$I$9))</f>
        <v>213.59999999999991</v>
      </c>
      <c r="X154" s="10"/>
      <c r="Y154" s="9">
        <f t="shared" si="15"/>
        <v>0.26700000000000002</v>
      </c>
      <c r="Z154" s="9">
        <f>(Inputs!$H$6+Inputs!$L$6*(((Inputs!$I$6+(((A154)+1)/2)*(Inputs!$J$6-Inputs!$I$6)))/Inputs!$K$6)^2)</f>
        <v>400.28515599999997</v>
      </c>
      <c r="AA154" s="9">
        <f>(Inputs!$H$7+Inputs!$L$7*(((Inputs!$I$7+(((A154)+1)/2)*(Inputs!$J$7-Inputs!$I$7)))/Inputs!$K$7)^2)</f>
        <v>61.020484999999979</v>
      </c>
      <c r="AB154" s="9">
        <f>(Inputs!$H$8+Inputs!$L$8*(((Inputs!$I$8+(((A154)+1)/2)*(Inputs!$J$8-Inputs!$I$8)))/Inputs!$K$8)^2)</f>
        <v>103.79388499999995</v>
      </c>
      <c r="AC154" s="9">
        <f>(Inputs!$H$9+Inputs!$L$9*(((Inputs!$I$9+(((A154)+1)/2)*(Inputs!$J$9-Inputs!$I$9)))/Inputs!$K$9)^2)</f>
        <v>94.506774999999948</v>
      </c>
      <c r="AD154" s="10"/>
      <c r="AE154" s="9">
        <f t="shared" si="16"/>
        <v>0.26700000000000002</v>
      </c>
      <c r="AF154" s="9">
        <f>(((SQRT(((Inputs!$I$6+(((A154)+1)/2)*(Inputs!$J$6-Inputs!$I$6)))^2+Inputs!$C$6^2+((Inputs!$H$6+Inputs!$L$6*(((Inputs!$I$6+(((A154)+1)/2)*(Inputs!$J$6-Inputs!$I$6)))/Inputs!$K$6)^2))^2))-((Inputs!$H$6+Inputs!$L$6*(((Inputs!$I$6+(((A154)+1)/2)*(Inputs!$J$6-Inputs!$I$6)))/Inputs!$K$6)^2)))*1000/Inputs!$C$12)</f>
        <v>617.83970251345056</v>
      </c>
      <c r="AG154" s="9">
        <f>(((SQRT(((Inputs!$I$7+(((A154)+1)/2)*(Inputs!$J$7-Inputs!$I$7)))^2+Inputs!$C$6^2+((Inputs!$H$7+Inputs!$L$7*(((Inputs!$I$7+(((A154)+1)/2)*(Inputs!$J$7-Inputs!$I$7)))/Inputs!$K$7)^2))^2))-((Inputs!$H$7+Inputs!$L$7*(((Inputs!$I$7+(((A154)+1)/2)*(Inputs!$J$7-Inputs!$I$7)))/Inputs!$K$7)^2)))*1000/Inputs!$C$12)</f>
        <v>36234.494683608915</v>
      </c>
      <c r="AH154" s="9">
        <f>(((SQRT(((Inputs!$I$8+(((A154)+1)/2)*(Inputs!$J$8-Inputs!$I$8)))^2+Inputs!$C$6^2+((Inputs!$H$8+Inputs!$L$8*(((Inputs!$I$8+(((A154)+1)/2)*(Inputs!$J$8-Inputs!$I$8)))/Inputs!$K$8)^2))^2))-((Inputs!$H$8+Inputs!$L$8*(((Inputs!$I$8+(((A154)+1)/2)*(Inputs!$J$8-Inputs!$I$8)))/Inputs!$K$8)^2)))*1000/Inputs!$C$12)</f>
        <v>75843.415419808138</v>
      </c>
      <c r="AI154" s="9">
        <f>(((SQRT(((Inputs!$I$9+(((A154)+1)/2)*(Inputs!$J$9-Inputs!$I$9)))^2+Inputs!$C$6^2+((Inputs!$H$9+Inputs!$L$9*(((Inputs!$I$9+(((A154)+1)/2)*(Inputs!$J$9-Inputs!$I$9)))/Inputs!$K$9)^2))^2))-((Inputs!$H$9+Inputs!$L$9*(((Inputs!$I$9+(((A154)+1)/2)*(Inputs!$J$9-Inputs!$I$9)))/Inputs!$K$9)^2)))*1000/Inputs!$C$12)</f>
        <v>78876.760336715393</v>
      </c>
      <c r="AJ154" s="10"/>
      <c r="AK154" s="9">
        <f t="shared" si="17"/>
        <v>0.26700000000000002</v>
      </c>
      <c r="AL154" s="9">
        <f>(-2*((1000*((((Inputs!$I$6+(((A154)+1)/2)*(Inputs!$J$6-Inputs!$I$6)))*Inputs!$C$11+((Inputs!$H$6+Inputs!$L$6*(((Inputs!$I$6+(((A154)+1)/2)*(Inputs!$J$6-Inputs!$I$6)))/Inputs!$K$6)^2))*((2*Inputs!$L$6*((Inputs!$I$6+(((A154)+1)/2)*(Inputs!$J$6-Inputs!$I$6)))/(Inputs!$K$6^2)*Inputs!$C$11)))/(SQRT(((Inputs!$I$6+(((A154)+1)/2)*(Inputs!$J$6-Inputs!$I$6)))^2+Inputs!$C$6^2+((Inputs!$H$6+Inputs!$L$6*(((Inputs!$I$6+(((A154)+1)/2)*(Inputs!$J$6-Inputs!$I$6)))/Inputs!$K$6)^2))^2)))))/Inputs!$C$13)</f>
        <v>-120.66283808441804</v>
      </c>
      <c r="AM154" s="9">
        <f>(-2*((1000*((((Inputs!$I$7+(((A154)+1)/2)*(Inputs!$J$7-Inputs!$I$7)))*Inputs!$C$11+((Inputs!$H$7+Inputs!$L$7*(((Inputs!$I$7+(((A154)+1)/2)*(Inputs!$J$7-Inputs!$I$7)))/Inputs!$K$7)^2))*((2*Inputs!$L$7*((Inputs!$I$7+(((A154)+1)/2)*(Inputs!$J$7-Inputs!$I$7)))/(Inputs!$K$7^2)*Inputs!$C$11)))/(SQRT(((Inputs!$I$7+(((A154)+1)/2)*(Inputs!$J$7-Inputs!$I$7)))^2+Inputs!$C$6^2+((Inputs!$H$7+Inputs!$L$7*(((Inputs!$I$7+(((A154)+1)/2)*(Inputs!$J$7-Inputs!$I$7)))/Inputs!$K$7)^2))^2)))))/Inputs!$C$13)</f>
        <v>-1740.4213749387204</v>
      </c>
      <c r="AN154" s="9">
        <f>(-2*((1000*((((Inputs!$I$8+(((A154)+1)/2)*(Inputs!$J$8-Inputs!$I$8)))*Inputs!$C$11+((Inputs!$H$8+Inputs!$L$8*(((Inputs!$I$8+(((A154)+1)/2)*(Inputs!$J$8-Inputs!$I$8)))/Inputs!$K$8)^2))*((2*Inputs!$L$8*((Inputs!$I$8+(((A154)+1)/2)*(Inputs!$J$8-Inputs!$I$8)))/(Inputs!$K$8^2)*Inputs!$C$11)))/(SQRT(((Inputs!$I$8+(((A154)+1)/2)*(Inputs!$J$8-Inputs!$I$8)))^2+Inputs!$C$6^2+((Inputs!$H$8+Inputs!$L$8*(((Inputs!$I$8+(((A154)+1)/2)*(Inputs!$J$8-Inputs!$I$8)))/Inputs!$K$8)^2))^2)))))/Inputs!$C$13)</f>
        <v>-1879.1505045647987</v>
      </c>
      <c r="AO154" s="9">
        <f>(-2*((1000*((((Inputs!$I$9+(((A154)+1)/2)*(Inputs!$J$9-Inputs!$I$9)))*Inputs!$C$11+((Inputs!$H$9+Inputs!$L$9*(((Inputs!$I$9+(((A154)+1)/2)*(Inputs!$J$9-Inputs!$I$9)))/Inputs!$K$9)^2))*((2*Inputs!$L$9*((Inputs!$I$9+(((A154)+1)/2)*(Inputs!$J$9-Inputs!$I$9)))/(Inputs!$K$9^2)*Inputs!$C$11)))/(SQRT(((Inputs!$I$9+(((A154)+1)/2)*(Inputs!$J$9-Inputs!$I$9)))^2+Inputs!$C$6^2+((Inputs!$H$9+Inputs!$L$9*(((Inputs!$I$9+(((A154)+1)/2)*(Inputs!$J$9-Inputs!$I$9)))/Inputs!$K$9)^2))^2)))))/Inputs!$C$13)</f>
        <v>-1873.8017153515684</v>
      </c>
    </row>
    <row r="155" spans="1:41">
      <c r="A155" s="9">
        <f>ROUND(-1+153*2/240,3)</f>
        <v>0.27500000000000002</v>
      </c>
      <c r="B155" s="9">
        <f>IF(OR(Inputs!$F$6=TRUE,Inputs!$F$6="TRUE",Inputs!$F$6=1),(Inputs!$H$6+Inputs!$L$6*(((Inputs!$I$6+(((A155)+1)/2)*(Inputs!$J$6-Inputs!$I$6)))/Inputs!$K$6)^2),NA())</f>
        <v>400.30250000000001</v>
      </c>
      <c r="C155" s="9">
        <f>IF(OR(Inputs!$F$7=TRUE,Inputs!$F$7="TRUE",Inputs!$F$7=1),(Inputs!$H$7+Inputs!$L$7*(((Inputs!$I$7+(((A155)+1)/2)*(Inputs!$J$7-Inputs!$I$7)))/Inputs!$K$7)^2),NA())</f>
        <v>62.60312499999997</v>
      </c>
      <c r="D155" s="9">
        <f>IF(OR(Inputs!$F$8=TRUE,Inputs!$F$8="TRUE",Inputs!$F$8=1),(Inputs!$H$8+Inputs!$L$8*(((Inputs!$I$8+(((A155)+1)/2)*(Inputs!$J$8-Inputs!$I$8)))/Inputs!$K$8)^2),NA())</f>
        <v>107.97812499999992</v>
      </c>
      <c r="E155" s="9">
        <f>IF(OR(Inputs!$F$9=TRUE,Inputs!$F$9="TRUE",Inputs!$F$9=1),(Inputs!$H$9+Inputs!$L$9*(((Inputs!$I$9+(((A155)+1)/2)*(Inputs!$J$9-Inputs!$I$9)))/Inputs!$K$9)^2),NA())</f>
        <v>98.734374999999915</v>
      </c>
      <c r="F155" s="10"/>
      <c r="G155" s="9">
        <f t="shared" si="12"/>
        <v>0.27500000000000002</v>
      </c>
      <c r="H155" s="9">
        <f>IF(OR(Inputs!$F$6=TRUE,Inputs!$F$6="TRUE",Inputs!$F$6=1),(((SQRT(((Inputs!$I$6+(((A155)+1)/2)*(Inputs!$J$6-Inputs!$I$6)))^2+Inputs!$C$6^2+((Inputs!$H$6+Inputs!$L$6*(((Inputs!$I$6+(((A155)+1)/2)*(Inputs!$J$6-Inputs!$I$6)))/Inputs!$K$6)^2))^2))-((Inputs!$H$6+Inputs!$L$6*(((Inputs!$I$6+(((A155)+1)/2)*(Inputs!$J$6-Inputs!$I$6)))/Inputs!$K$6)^2)))*1000/Inputs!$C$12),NA())</f>
        <v>628.73624722527984</v>
      </c>
      <c r="I155" s="9">
        <f>IF(OR(Inputs!$F$7=TRUE,Inputs!$F$7="TRUE",Inputs!$F$7=1),(((SQRT(((Inputs!$I$7+(((A155)+1)/2)*(Inputs!$J$7-Inputs!$I$7)))^2+Inputs!$C$6^2+((Inputs!$H$7+Inputs!$L$7*(((Inputs!$I$7+(((A155)+1)/2)*(Inputs!$J$7-Inputs!$I$7)))/Inputs!$K$7)^2))^2))-((Inputs!$H$7+Inputs!$L$7*(((Inputs!$I$7+(((A155)+1)/2)*(Inputs!$J$7-Inputs!$I$7)))/Inputs!$K$7)^2)))*1000/Inputs!$C$12),NA())</f>
        <v>37308.47674547822</v>
      </c>
      <c r="J155" s="9">
        <f>IF(OR(Inputs!$F$8=TRUE,Inputs!$F$8="TRUE",Inputs!$F$8=1),(((SQRT(((Inputs!$I$8+(((A155)+1)/2)*(Inputs!$J$8-Inputs!$I$8)))^2+Inputs!$C$6^2+((Inputs!$H$8+Inputs!$L$8*(((Inputs!$I$8+(((A155)+1)/2)*(Inputs!$J$8-Inputs!$I$8)))/Inputs!$K$8)^2))^2))-((Inputs!$H$8+Inputs!$L$8*(((Inputs!$I$8+(((A155)+1)/2)*(Inputs!$J$8-Inputs!$I$8)))/Inputs!$K$8)^2)))*1000/Inputs!$C$12),NA())</f>
        <v>77732.393761894535</v>
      </c>
      <c r="K155" s="9">
        <f>IF(OR(Inputs!$F$9=TRUE,Inputs!$F$9="TRUE",Inputs!$F$9=1),(((SQRT(((Inputs!$I$9+(((A155)+1)/2)*(Inputs!$J$9-Inputs!$I$9)))^2+Inputs!$C$6^2+((Inputs!$H$9+Inputs!$L$9*(((Inputs!$I$9+(((A155)+1)/2)*(Inputs!$J$9-Inputs!$I$9)))/Inputs!$K$9)^2))^2))-((Inputs!$H$9+Inputs!$L$9*(((Inputs!$I$9+(((A155)+1)/2)*(Inputs!$J$9-Inputs!$I$9)))/Inputs!$K$9)^2)))*1000/Inputs!$C$12),NA())</f>
        <v>80729.237071906755</v>
      </c>
      <c r="L155" s="10"/>
      <c r="M155" s="9">
        <f t="shared" si="13"/>
        <v>0.27500000000000002</v>
      </c>
      <c r="N155" s="9">
        <f>IF(OR(Inputs!$F$6=TRUE,Inputs!$F$6="TRUE",Inputs!$F$6=1),(-2*((1000*((((Inputs!$I$6+(((A155)+1)/2)*(Inputs!$J$6-Inputs!$I$6)))*Inputs!$C$11+((Inputs!$H$6+Inputs!$L$6*(((Inputs!$I$6+(((A155)+1)/2)*(Inputs!$J$6-Inputs!$I$6)))/Inputs!$K$6)^2))*((2*Inputs!$L$6*((Inputs!$I$6+(((A155)+1)/2)*(Inputs!$J$6-Inputs!$I$6)))/(Inputs!$K$6^2)*Inputs!$C$11)))/(SQRT(((Inputs!$I$6+(((A155)+1)/2)*(Inputs!$J$6-Inputs!$I$6)))^2+Inputs!$C$6^2+((Inputs!$H$6+Inputs!$L$6*(((Inputs!$I$6+(((A155)+1)/2)*(Inputs!$J$6-Inputs!$I$6)))/Inputs!$K$6)^2))^2)))))/Inputs!$C$13),NA())</f>
        <v>-124.26936431730994</v>
      </c>
      <c r="O155" s="9">
        <f>IF(OR(Inputs!$F$7=TRUE,Inputs!$F$7="TRUE",Inputs!$F$7=1),(-2*((1000*((((Inputs!$I$7+(((A155)+1)/2)*(Inputs!$J$7-Inputs!$I$7)))*Inputs!$C$11+((Inputs!$H$7+Inputs!$L$7*(((Inputs!$I$7+(((A155)+1)/2)*(Inputs!$J$7-Inputs!$I$7)))/Inputs!$K$7)^2))*((2*Inputs!$L$7*((Inputs!$I$7+(((A155)+1)/2)*(Inputs!$J$7-Inputs!$I$7)))/(Inputs!$K$7^2)*Inputs!$C$11)))/(SQRT(((Inputs!$I$7+(((A155)+1)/2)*(Inputs!$J$7-Inputs!$I$7)))^2+Inputs!$C$6^2+((Inputs!$H$7+Inputs!$L$7*(((Inputs!$I$7+(((A155)+1)/2)*(Inputs!$J$7-Inputs!$I$7)))/Inputs!$K$7)^2))^2)))))/Inputs!$C$13),NA())</f>
        <v>-1753.8673513839185</v>
      </c>
      <c r="P155" s="9">
        <f>IF(OR(Inputs!$F$8=TRUE,Inputs!$F$8="TRUE",Inputs!$F$8=1),(-2*((1000*((((Inputs!$I$8+(((A155)+1)/2)*(Inputs!$J$8-Inputs!$I$8)))*Inputs!$C$11+((Inputs!$H$8+Inputs!$L$8*(((Inputs!$I$8+(((A155)+1)/2)*(Inputs!$J$8-Inputs!$I$8)))/Inputs!$K$8)^2))*((2*Inputs!$L$8*((Inputs!$I$8+(((A155)+1)/2)*(Inputs!$J$8-Inputs!$I$8)))/(Inputs!$K$8^2)*Inputs!$C$11)))/(SQRT(((Inputs!$I$8+(((A155)+1)/2)*(Inputs!$J$8-Inputs!$I$8)))^2+Inputs!$C$6^2+((Inputs!$H$8+Inputs!$L$8*(((Inputs!$I$8+(((A155)+1)/2)*(Inputs!$J$8-Inputs!$I$8)))/Inputs!$K$8)^2))^2)))))/Inputs!$C$13),NA())</f>
        <v>-1894.1925666000066</v>
      </c>
      <c r="Q155" s="9">
        <f>IF(OR(Inputs!$F$9=TRUE,Inputs!$F$9="TRUE",Inputs!$F$9=1),(-2*((1000*((((Inputs!$I$9+(((A155)+1)/2)*(Inputs!$J$9-Inputs!$I$9)))*Inputs!$C$11+((Inputs!$H$9+Inputs!$L$9*(((Inputs!$I$9+(((A155)+1)/2)*(Inputs!$J$9-Inputs!$I$9)))/Inputs!$K$9)^2))*((2*Inputs!$L$9*((Inputs!$I$9+(((A155)+1)/2)*(Inputs!$J$9-Inputs!$I$9)))/(Inputs!$K$9^2)*Inputs!$C$11)))/(SQRT(((Inputs!$I$9+(((A155)+1)/2)*(Inputs!$J$9-Inputs!$I$9)))^2+Inputs!$C$6^2+((Inputs!$H$9+Inputs!$L$9*(((Inputs!$I$9+(((A155)+1)/2)*(Inputs!$J$9-Inputs!$I$9)))/Inputs!$K$9)^2))^2)))))/Inputs!$C$13),NA())</f>
        <v>-1888.7433573298742</v>
      </c>
      <c r="R155" s="10"/>
      <c r="S155" s="9">
        <f t="shared" si="14"/>
        <v>0.27500000000000002</v>
      </c>
      <c r="T155" s="9">
        <f>(Inputs!$I$6+(((A155)+1)/2)*(Inputs!$J$6-Inputs!$I$6))</f>
        <v>16.5</v>
      </c>
      <c r="U155" s="9">
        <f>(Inputs!$I$7+(((A155)+1)/2)*(Inputs!$J$7-Inputs!$I$7))</f>
        <v>109.99999999999994</v>
      </c>
      <c r="V155" s="9">
        <f>(Inputs!$I$8+(((A155)+1)/2)*(Inputs!$J$8-Inputs!$I$8))</f>
        <v>219.99999999999989</v>
      </c>
      <c r="W155" s="9">
        <f>(Inputs!$I$9+(((A155)+1)/2)*(Inputs!$J$9-Inputs!$I$9))</f>
        <v>219.99999999999989</v>
      </c>
      <c r="X155" s="10"/>
      <c r="Y155" s="9">
        <f t="shared" si="15"/>
        <v>0.27500000000000002</v>
      </c>
      <c r="Z155" s="9">
        <f>(Inputs!$H$6+Inputs!$L$6*(((Inputs!$I$6+(((A155)+1)/2)*(Inputs!$J$6-Inputs!$I$6)))/Inputs!$K$6)^2)</f>
        <v>400.30250000000001</v>
      </c>
      <c r="AA155" s="9">
        <f>(Inputs!$H$7+Inputs!$L$7*(((Inputs!$I$7+(((A155)+1)/2)*(Inputs!$J$7-Inputs!$I$7)))/Inputs!$K$7)^2)</f>
        <v>62.60312499999997</v>
      </c>
      <c r="AB155" s="9">
        <f>(Inputs!$H$8+Inputs!$L$8*(((Inputs!$I$8+(((A155)+1)/2)*(Inputs!$J$8-Inputs!$I$8)))/Inputs!$K$8)^2)</f>
        <v>107.97812499999992</v>
      </c>
      <c r="AC155" s="9">
        <f>(Inputs!$H$9+Inputs!$L$9*(((Inputs!$I$9+(((A155)+1)/2)*(Inputs!$J$9-Inputs!$I$9)))/Inputs!$K$9)^2)</f>
        <v>98.734374999999915</v>
      </c>
      <c r="AD155" s="10"/>
      <c r="AE155" s="9">
        <f t="shared" si="16"/>
        <v>0.27500000000000002</v>
      </c>
      <c r="AF155" s="9">
        <f>(((SQRT(((Inputs!$I$6+(((A155)+1)/2)*(Inputs!$J$6-Inputs!$I$6)))^2+Inputs!$C$6^2+((Inputs!$H$6+Inputs!$L$6*(((Inputs!$I$6+(((A155)+1)/2)*(Inputs!$J$6-Inputs!$I$6)))/Inputs!$K$6)^2))^2))-((Inputs!$H$6+Inputs!$L$6*(((Inputs!$I$6+(((A155)+1)/2)*(Inputs!$J$6-Inputs!$I$6)))/Inputs!$K$6)^2)))*1000/Inputs!$C$12)</f>
        <v>628.73624722527984</v>
      </c>
      <c r="AG155" s="9">
        <f>(((SQRT(((Inputs!$I$7+(((A155)+1)/2)*(Inputs!$J$7-Inputs!$I$7)))^2+Inputs!$C$6^2+((Inputs!$H$7+Inputs!$L$7*(((Inputs!$I$7+(((A155)+1)/2)*(Inputs!$J$7-Inputs!$I$7)))/Inputs!$K$7)^2))^2))-((Inputs!$H$7+Inputs!$L$7*(((Inputs!$I$7+(((A155)+1)/2)*(Inputs!$J$7-Inputs!$I$7)))/Inputs!$K$7)^2)))*1000/Inputs!$C$12)</f>
        <v>37308.47674547822</v>
      </c>
      <c r="AH155" s="9">
        <f>(((SQRT(((Inputs!$I$8+(((A155)+1)/2)*(Inputs!$J$8-Inputs!$I$8)))^2+Inputs!$C$6^2+((Inputs!$H$8+Inputs!$L$8*(((Inputs!$I$8+(((A155)+1)/2)*(Inputs!$J$8-Inputs!$I$8)))/Inputs!$K$8)^2))^2))-((Inputs!$H$8+Inputs!$L$8*(((Inputs!$I$8+(((A155)+1)/2)*(Inputs!$J$8-Inputs!$I$8)))/Inputs!$K$8)^2)))*1000/Inputs!$C$12)</f>
        <v>77732.393761894535</v>
      </c>
      <c r="AI155" s="9">
        <f>(((SQRT(((Inputs!$I$9+(((A155)+1)/2)*(Inputs!$J$9-Inputs!$I$9)))^2+Inputs!$C$6^2+((Inputs!$H$9+Inputs!$L$9*(((Inputs!$I$9+(((A155)+1)/2)*(Inputs!$J$9-Inputs!$I$9)))/Inputs!$K$9)^2))^2))-((Inputs!$H$9+Inputs!$L$9*(((Inputs!$I$9+(((A155)+1)/2)*(Inputs!$J$9-Inputs!$I$9)))/Inputs!$K$9)^2)))*1000/Inputs!$C$12)</f>
        <v>80729.237071906755</v>
      </c>
      <c r="AJ155" s="10"/>
      <c r="AK155" s="9">
        <f t="shared" si="17"/>
        <v>0.27500000000000002</v>
      </c>
      <c r="AL155" s="9">
        <f>(-2*((1000*((((Inputs!$I$6+(((A155)+1)/2)*(Inputs!$J$6-Inputs!$I$6)))*Inputs!$C$11+((Inputs!$H$6+Inputs!$L$6*(((Inputs!$I$6+(((A155)+1)/2)*(Inputs!$J$6-Inputs!$I$6)))/Inputs!$K$6)^2))*((2*Inputs!$L$6*((Inputs!$I$6+(((A155)+1)/2)*(Inputs!$J$6-Inputs!$I$6)))/(Inputs!$K$6^2)*Inputs!$C$11)))/(SQRT(((Inputs!$I$6+(((A155)+1)/2)*(Inputs!$J$6-Inputs!$I$6)))^2+Inputs!$C$6^2+((Inputs!$H$6+Inputs!$L$6*(((Inputs!$I$6+(((A155)+1)/2)*(Inputs!$J$6-Inputs!$I$6)))/Inputs!$K$6)^2))^2)))))/Inputs!$C$13)</f>
        <v>-124.26936431730994</v>
      </c>
      <c r="AM155" s="9">
        <f>(-2*((1000*((((Inputs!$I$7+(((A155)+1)/2)*(Inputs!$J$7-Inputs!$I$7)))*Inputs!$C$11+((Inputs!$H$7+Inputs!$L$7*(((Inputs!$I$7+(((A155)+1)/2)*(Inputs!$J$7-Inputs!$I$7)))/Inputs!$K$7)^2))*((2*Inputs!$L$7*((Inputs!$I$7+(((A155)+1)/2)*(Inputs!$J$7-Inputs!$I$7)))/(Inputs!$K$7^2)*Inputs!$C$11)))/(SQRT(((Inputs!$I$7+(((A155)+1)/2)*(Inputs!$J$7-Inputs!$I$7)))^2+Inputs!$C$6^2+((Inputs!$H$7+Inputs!$L$7*(((Inputs!$I$7+(((A155)+1)/2)*(Inputs!$J$7-Inputs!$I$7)))/Inputs!$K$7)^2))^2)))))/Inputs!$C$13)</f>
        <v>-1753.8673513839185</v>
      </c>
      <c r="AN155" s="9">
        <f>(-2*((1000*((((Inputs!$I$8+(((A155)+1)/2)*(Inputs!$J$8-Inputs!$I$8)))*Inputs!$C$11+((Inputs!$H$8+Inputs!$L$8*(((Inputs!$I$8+(((A155)+1)/2)*(Inputs!$J$8-Inputs!$I$8)))/Inputs!$K$8)^2))*((2*Inputs!$L$8*((Inputs!$I$8+(((A155)+1)/2)*(Inputs!$J$8-Inputs!$I$8)))/(Inputs!$K$8^2)*Inputs!$C$11)))/(SQRT(((Inputs!$I$8+(((A155)+1)/2)*(Inputs!$J$8-Inputs!$I$8)))^2+Inputs!$C$6^2+((Inputs!$H$8+Inputs!$L$8*(((Inputs!$I$8+(((A155)+1)/2)*(Inputs!$J$8-Inputs!$I$8)))/Inputs!$K$8)^2))^2)))))/Inputs!$C$13)</f>
        <v>-1894.1925666000066</v>
      </c>
      <c r="AO155" s="9">
        <f>(-2*((1000*((((Inputs!$I$9+(((A155)+1)/2)*(Inputs!$J$9-Inputs!$I$9)))*Inputs!$C$11+((Inputs!$H$9+Inputs!$L$9*(((Inputs!$I$9+(((A155)+1)/2)*(Inputs!$J$9-Inputs!$I$9)))/Inputs!$K$9)^2))*((2*Inputs!$L$9*((Inputs!$I$9+(((A155)+1)/2)*(Inputs!$J$9-Inputs!$I$9)))/(Inputs!$K$9^2)*Inputs!$C$11)))/(SQRT(((Inputs!$I$9+(((A155)+1)/2)*(Inputs!$J$9-Inputs!$I$9)))^2+Inputs!$C$6^2+((Inputs!$H$9+Inputs!$L$9*(((Inputs!$I$9+(((A155)+1)/2)*(Inputs!$J$9-Inputs!$I$9)))/Inputs!$K$9)^2))^2)))))/Inputs!$C$13)</f>
        <v>-1888.7433573298742</v>
      </c>
    </row>
    <row r="156" spans="1:41">
      <c r="A156" s="9">
        <f>ROUND(-1+154*2/240,3)</f>
        <v>0.28299999999999997</v>
      </c>
      <c r="B156" s="9">
        <f>IF(OR(Inputs!$F$6=TRUE,Inputs!$F$6="TRUE",Inputs!$F$6=1),(Inputs!$H$6+Inputs!$L$6*(((Inputs!$I$6+(((A156)+1)/2)*(Inputs!$J$6-Inputs!$I$6)))/Inputs!$K$6)^2),NA())</f>
        <v>400.320356</v>
      </c>
      <c r="C156" s="9">
        <f>IF(OR(Inputs!$F$7=TRUE,Inputs!$F$7="TRUE",Inputs!$F$7=1),(Inputs!$H$7+Inputs!$L$7*(((Inputs!$I$7+(((A156)+1)/2)*(Inputs!$J$7-Inputs!$I$7)))/Inputs!$K$7)^2),NA())</f>
        <v>64.232484999999969</v>
      </c>
      <c r="D156" s="9">
        <f>IF(OR(Inputs!$F$8=TRUE,Inputs!$F$8="TRUE",Inputs!$F$8=1),(Inputs!$H$8+Inputs!$L$8*(((Inputs!$I$8+(((A156)+1)/2)*(Inputs!$J$8-Inputs!$I$8)))/Inputs!$K$8)^2),NA())</f>
        <v>112.28588499999989</v>
      </c>
      <c r="E156" s="9">
        <f>IF(OR(Inputs!$F$9=TRUE,Inputs!$F$9="TRUE",Inputs!$F$9=1),(Inputs!$H$9+Inputs!$L$9*(((Inputs!$I$9+(((A156)+1)/2)*(Inputs!$J$9-Inputs!$I$9)))/Inputs!$K$9)^2),NA())</f>
        <v>103.0867749999999</v>
      </c>
      <c r="F156" s="10"/>
      <c r="G156" s="9">
        <f t="shared" si="12"/>
        <v>0.28299999999999997</v>
      </c>
      <c r="H156" s="9">
        <f>IF(OR(Inputs!$F$6=TRUE,Inputs!$F$6="TRUE",Inputs!$F$6=1),(((SQRT(((Inputs!$I$6+(((A156)+1)/2)*(Inputs!$J$6-Inputs!$I$6)))^2+Inputs!$C$6^2+((Inputs!$H$6+Inputs!$L$6*(((Inputs!$I$6+(((A156)+1)/2)*(Inputs!$J$6-Inputs!$I$6)))/Inputs!$K$6)^2))^2))-((Inputs!$H$6+Inputs!$L$6*(((Inputs!$I$6+(((A156)+1)/2)*(Inputs!$J$6-Inputs!$I$6)))/Inputs!$K$6)^2)))*1000/Inputs!$C$12),NA())</f>
        <v>639.95292755053242</v>
      </c>
      <c r="I156" s="9">
        <f>IF(OR(Inputs!$F$7=TRUE,Inputs!$F$7="TRUE",Inputs!$F$7=1),(((SQRT(((Inputs!$I$7+(((A156)+1)/2)*(Inputs!$J$7-Inputs!$I$7)))^2+Inputs!$C$6^2+((Inputs!$H$7+Inputs!$L$7*(((Inputs!$I$7+(((A156)+1)/2)*(Inputs!$J$7-Inputs!$I$7)))/Inputs!$K$7)^2))^2))-((Inputs!$H$7+Inputs!$L$7*(((Inputs!$I$7+(((A156)+1)/2)*(Inputs!$J$7-Inputs!$I$7)))/Inputs!$K$7)^2)))*1000/Inputs!$C$12),NA())</f>
        <v>38371.19461792834</v>
      </c>
      <c r="J156" s="9">
        <f>IF(OR(Inputs!$F$8=TRUE,Inputs!$F$8="TRUE",Inputs!$F$8=1),(((SQRT(((Inputs!$I$8+(((A156)+1)/2)*(Inputs!$J$8-Inputs!$I$8)))^2+Inputs!$C$6^2+((Inputs!$H$8+Inputs!$L$8*(((Inputs!$I$8+(((A156)+1)/2)*(Inputs!$J$8-Inputs!$I$8)))/Inputs!$K$8)^2))^2))-((Inputs!$H$8+Inputs!$L$8*(((Inputs!$I$8+(((A156)+1)/2)*(Inputs!$J$8-Inputs!$I$8)))/Inputs!$K$8)^2)))*1000/Inputs!$C$12),NA())</f>
        <v>79586.003479490071</v>
      </c>
      <c r="K156" s="9">
        <f>IF(OR(Inputs!$F$9=TRUE,Inputs!$F$9="TRUE",Inputs!$F$9=1),(((SQRT(((Inputs!$I$9+(((A156)+1)/2)*(Inputs!$J$9-Inputs!$I$9)))^2+Inputs!$C$6^2+((Inputs!$H$9+Inputs!$L$9*(((Inputs!$I$9+(((A156)+1)/2)*(Inputs!$J$9-Inputs!$I$9)))/Inputs!$K$9)^2))^2))-((Inputs!$H$9+Inputs!$L$9*(((Inputs!$I$9+(((A156)+1)/2)*(Inputs!$J$9-Inputs!$I$9)))/Inputs!$K$9)^2)))*1000/Inputs!$C$12),NA())</f>
        <v>82545.455468668981</v>
      </c>
      <c r="L156" s="10"/>
      <c r="M156" s="9">
        <f t="shared" si="13"/>
        <v>0.28299999999999997</v>
      </c>
      <c r="N156" s="9">
        <f>IF(OR(Inputs!$F$6=TRUE,Inputs!$F$6="TRUE",Inputs!$F$6=1),(-2*((1000*((((Inputs!$I$6+(((A156)+1)/2)*(Inputs!$J$6-Inputs!$I$6)))*Inputs!$C$11+((Inputs!$H$6+Inputs!$L$6*(((Inputs!$I$6+(((A156)+1)/2)*(Inputs!$J$6-Inputs!$I$6)))/Inputs!$K$6)^2))*((2*Inputs!$L$6*((Inputs!$I$6+(((A156)+1)/2)*(Inputs!$J$6-Inputs!$I$6)))/(Inputs!$K$6^2)*Inputs!$C$11)))/(SQRT(((Inputs!$I$6+(((A156)+1)/2)*(Inputs!$J$6-Inputs!$I$6)))^2+Inputs!$C$6^2+((Inputs!$H$6+Inputs!$L$6*(((Inputs!$I$6+(((A156)+1)/2)*(Inputs!$J$6-Inputs!$I$6)))/Inputs!$K$6)^2))^2)))))/Inputs!$C$13),NA())</f>
        <v>-127.87511030732358</v>
      </c>
      <c r="O156" s="9">
        <f>IF(OR(Inputs!$F$7=TRUE,Inputs!$F$7="TRUE",Inputs!$F$7=1),(-2*((1000*((((Inputs!$I$7+(((A156)+1)/2)*(Inputs!$J$7-Inputs!$I$7)))*Inputs!$C$11+((Inputs!$H$7+Inputs!$L$7*(((Inputs!$I$7+(((A156)+1)/2)*(Inputs!$J$7-Inputs!$I$7)))/Inputs!$K$7)^2))*((2*Inputs!$L$7*((Inputs!$I$7+(((A156)+1)/2)*(Inputs!$J$7-Inputs!$I$7)))/(Inputs!$K$7^2)*Inputs!$C$11)))/(SQRT(((Inputs!$I$7+(((A156)+1)/2)*(Inputs!$J$7-Inputs!$I$7)))^2+Inputs!$C$6^2+((Inputs!$H$7+Inputs!$L$7*(((Inputs!$I$7+(((A156)+1)/2)*(Inputs!$J$7-Inputs!$I$7)))/Inputs!$K$7)^2))^2)))))/Inputs!$C$13),NA())</f>
        <v>-1767.0978752833016</v>
      </c>
      <c r="P156" s="9">
        <f>IF(OR(Inputs!$F$8=TRUE,Inputs!$F$8="TRUE",Inputs!$F$8=1),(-2*((1000*((((Inputs!$I$8+(((A156)+1)/2)*(Inputs!$J$8-Inputs!$I$8)))*Inputs!$C$11+((Inputs!$H$8+Inputs!$L$8*(((Inputs!$I$8+(((A156)+1)/2)*(Inputs!$J$8-Inputs!$I$8)))/Inputs!$K$8)^2))*((2*Inputs!$L$8*((Inputs!$I$8+(((A156)+1)/2)*(Inputs!$J$8-Inputs!$I$8)))/(Inputs!$K$8^2)*Inputs!$C$11)))/(SQRT(((Inputs!$I$8+(((A156)+1)/2)*(Inputs!$J$8-Inputs!$I$8)))^2+Inputs!$C$6^2+((Inputs!$H$8+Inputs!$L$8*(((Inputs!$I$8+(((A156)+1)/2)*(Inputs!$J$8-Inputs!$I$8)))/Inputs!$K$8)^2))^2)))))/Inputs!$C$13),NA())</f>
        <v>-1909.4342173445505</v>
      </c>
      <c r="Q156" s="9">
        <f>IF(OR(Inputs!$F$9=TRUE,Inputs!$F$9="TRUE",Inputs!$F$9=1),(-2*((1000*((((Inputs!$I$9+(((A156)+1)/2)*(Inputs!$J$9-Inputs!$I$9)))*Inputs!$C$11+((Inputs!$H$9+Inputs!$L$9*(((Inputs!$I$9+(((A156)+1)/2)*(Inputs!$J$9-Inputs!$I$9)))/Inputs!$K$9)^2))*((2*Inputs!$L$9*((Inputs!$I$9+(((A156)+1)/2)*(Inputs!$J$9-Inputs!$I$9)))/(Inputs!$K$9^2)*Inputs!$C$11)))/(SQRT(((Inputs!$I$9+(((A156)+1)/2)*(Inputs!$J$9-Inputs!$I$9)))^2+Inputs!$C$6^2+((Inputs!$H$9+Inputs!$L$9*(((Inputs!$I$9+(((A156)+1)/2)*(Inputs!$J$9-Inputs!$I$9)))/Inputs!$K$9)^2))^2)))))/Inputs!$C$13),NA())</f>
        <v>-1903.9328044717065</v>
      </c>
      <c r="R156" s="10"/>
      <c r="S156" s="9">
        <f t="shared" si="14"/>
        <v>0.28299999999999997</v>
      </c>
      <c r="T156" s="9">
        <f>(Inputs!$I$6+(((A156)+1)/2)*(Inputs!$J$6-Inputs!$I$6))</f>
        <v>16.97999999999999</v>
      </c>
      <c r="U156" s="9">
        <f>(Inputs!$I$7+(((A156)+1)/2)*(Inputs!$J$7-Inputs!$I$7))</f>
        <v>113.19999999999993</v>
      </c>
      <c r="V156" s="9">
        <f>(Inputs!$I$8+(((A156)+1)/2)*(Inputs!$J$8-Inputs!$I$8))</f>
        <v>226.39999999999986</v>
      </c>
      <c r="W156" s="9">
        <f>(Inputs!$I$9+(((A156)+1)/2)*(Inputs!$J$9-Inputs!$I$9))</f>
        <v>226.39999999999986</v>
      </c>
      <c r="X156" s="10"/>
      <c r="Y156" s="9">
        <f t="shared" si="15"/>
        <v>0.28299999999999997</v>
      </c>
      <c r="Z156" s="9">
        <f>(Inputs!$H$6+Inputs!$L$6*(((Inputs!$I$6+(((A156)+1)/2)*(Inputs!$J$6-Inputs!$I$6)))/Inputs!$K$6)^2)</f>
        <v>400.320356</v>
      </c>
      <c r="AA156" s="9">
        <f>(Inputs!$H$7+Inputs!$L$7*(((Inputs!$I$7+(((A156)+1)/2)*(Inputs!$J$7-Inputs!$I$7)))/Inputs!$K$7)^2)</f>
        <v>64.232484999999969</v>
      </c>
      <c r="AB156" s="9">
        <f>(Inputs!$H$8+Inputs!$L$8*(((Inputs!$I$8+(((A156)+1)/2)*(Inputs!$J$8-Inputs!$I$8)))/Inputs!$K$8)^2)</f>
        <v>112.28588499999989</v>
      </c>
      <c r="AC156" s="9">
        <f>(Inputs!$H$9+Inputs!$L$9*(((Inputs!$I$9+(((A156)+1)/2)*(Inputs!$J$9-Inputs!$I$9)))/Inputs!$K$9)^2)</f>
        <v>103.0867749999999</v>
      </c>
      <c r="AD156" s="10"/>
      <c r="AE156" s="9">
        <f t="shared" si="16"/>
        <v>0.28299999999999997</v>
      </c>
      <c r="AF156" s="9">
        <f>(((SQRT(((Inputs!$I$6+(((A156)+1)/2)*(Inputs!$J$6-Inputs!$I$6)))^2+Inputs!$C$6^2+((Inputs!$H$6+Inputs!$L$6*(((Inputs!$I$6+(((A156)+1)/2)*(Inputs!$J$6-Inputs!$I$6)))/Inputs!$K$6)^2))^2))-((Inputs!$H$6+Inputs!$L$6*(((Inputs!$I$6+(((A156)+1)/2)*(Inputs!$J$6-Inputs!$I$6)))/Inputs!$K$6)^2)))*1000/Inputs!$C$12)</f>
        <v>639.95292755053242</v>
      </c>
      <c r="AG156" s="9">
        <f>(((SQRT(((Inputs!$I$7+(((A156)+1)/2)*(Inputs!$J$7-Inputs!$I$7)))^2+Inputs!$C$6^2+((Inputs!$H$7+Inputs!$L$7*(((Inputs!$I$7+(((A156)+1)/2)*(Inputs!$J$7-Inputs!$I$7)))/Inputs!$K$7)^2))^2))-((Inputs!$H$7+Inputs!$L$7*(((Inputs!$I$7+(((A156)+1)/2)*(Inputs!$J$7-Inputs!$I$7)))/Inputs!$K$7)^2)))*1000/Inputs!$C$12)</f>
        <v>38371.19461792834</v>
      </c>
      <c r="AH156" s="9">
        <f>(((SQRT(((Inputs!$I$8+(((A156)+1)/2)*(Inputs!$J$8-Inputs!$I$8)))^2+Inputs!$C$6^2+((Inputs!$H$8+Inputs!$L$8*(((Inputs!$I$8+(((A156)+1)/2)*(Inputs!$J$8-Inputs!$I$8)))/Inputs!$K$8)^2))^2))-((Inputs!$H$8+Inputs!$L$8*(((Inputs!$I$8+(((A156)+1)/2)*(Inputs!$J$8-Inputs!$I$8)))/Inputs!$K$8)^2)))*1000/Inputs!$C$12)</f>
        <v>79586.003479490071</v>
      </c>
      <c r="AI156" s="9">
        <f>(((SQRT(((Inputs!$I$9+(((A156)+1)/2)*(Inputs!$J$9-Inputs!$I$9)))^2+Inputs!$C$6^2+((Inputs!$H$9+Inputs!$L$9*(((Inputs!$I$9+(((A156)+1)/2)*(Inputs!$J$9-Inputs!$I$9)))/Inputs!$K$9)^2))^2))-((Inputs!$H$9+Inputs!$L$9*(((Inputs!$I$9+(((A156)+1)/2)*(Inputs!$J$9-Inputs!$I$9)))/Inputs!$K$9)^2)))*1000/Inputs!$C$12)</f>
        <v>82545.455468668981</v>
      </c>
      <c r="AJ156" s="10"/>
      <c r="AK156" s="9">
        <f t="shared" si="17"/>
        <v>0.28299999999999997</v>
      </c>
      <c r="AL156" s="9">
        <f>(-2*((1000*((((Inputs!$I$6+(((A156)+1)/2)*(Inputs!$J$6-Inputs!$I$6)))*Inputs!$C$11+((Inputs!$H$6+Inputs!$L$6*(((Inputs!$I$6+(((A156)+1)/2)*(Inputs!$J$6-Inputs!$I$6)))/Inputs!$K$6)^2))*((2*Inputs!$L$6*((Inputs!$I$6+(((A156)+1)/2)*(Inputs!$J$6-Inputs!$I$6)))/(Inputs!$K$6^2)*Inputs!$C$11)))/(SQRT(((Inputs!$I$6+(((A156)+1)/2)*(Inputs!$J$6-Inputs!$I$6)))^2+Inputs!$C$6^2+((Inputs!$H$6+Inputs!$L$6*(((Inputs!$I$6+(((A156)+1)/2)*(Inputs!$J$6-Inputs!$I$6)))/Inputs!$K$6)^2))^2)))))/Inputs!$C$13)</f>
        <v>-127.87511030732358</v>
      </c>
      <c r="AM156" s="9">
        <f>(-2*((1000*((((Inputs!$I$7+(((A156)+1)/2)*(Inputs!$J$7-Inputs!$I$7)))*Inputs!$C$11+((Inputs!$H$7+Inputs!$L$7*(((Inputs!$I$7+(((A156)+1)/2)*(Inputs!$J$7-Inputs!$I$7)))/Inputs!$K$7)^2))*((2*Inputs!$L$7*((Inputs!$I$7+(((A156)+1)/2)*(Inputs!$J$7-Inputs!$I$7)))/(Inputs!$K$7^2)*Inputs!$C$11)))/(SQRT(((Inputs!$I$7+(((A156)+1)/2)*(Inputs!$J$7-Inputs!$I$7)))^2+Inputs!$C$6^2+((Inputs!$H$7+Inputs!$L$7*(((Inputs!$I$7+(((A156)+1)/2)*(Inputs!$J$7-Inputs!$I$7)))/Inputs!$K$7)^2))^2)))))/Inputs!$C$13)</f>
        <v>-1767.0978752833016</v>
      </c>
      <c r="AN156" s="9">
        <f>(-2*((1000*((((Inputs!$I$8+(((A156)+1)/2)*(Inputs!$J$8-Inputs!$I$8)))*Inputs!$C$11+((Inputs!$H$8+Inputs!$L$8*(((Inputs!$I$8+(((A156)+1)/2)*(Inputs!$J$8-Inputs!$I$8)))/Inputs!$K$8)^2))*((2*Inputs!$L$8*((Inputs!$I$8+(((A156)+1)/2)*(Inputs!$J$8-Inputs!$I$8)))/(Inputs!$K$8^2)*Inputs!$C$11)))/(SQRT(((Inputs!$I$8+(((A156)+1)/2)*(Inputs!$J$8-Inputs!$I$8)))^2+Inputs!$C$6^2+((Inputs!$H$8+Inputs!$L$8*(((Inputs!$I$8+(((A156)+1)/2)*(Inputs!$J$8-Inputs!$I$8)))/Inputs!$K$8)^2))^2)))))/Inputs!$C$13)</f>
        <v>-1909.4342173445505</v>
      </c>
      <c r="AO156" s="9">
        <f>(-2*((1000*((((Inputs!$I$9+(((A156)+1)/2)*(Inputs!$J$9-Inputs!$I$9)))*Inputs!$C$11+((Inputs!$H$9+Inputs!$L$9*(((Inputs!$I$9+(((A156)+1)/2)*(Inputs!$J$9-Inputs!$I$9)))/Inputs!$K$9)^2))*((2*Inputs!$L$9*((Inputs!$I$9+(((A156)+1)/2)*(Inputs!$J$9-Inputs!$I$9)))/(Inputs!$K$9^2)*Inputs!$C$11)))/(SQRT(((Inputs!$I$9+(((A156)+1)/2)*(Inputs!$J$9-Inputs!$I$9)))^2+Inputs!$C$6^2+((Inputs!$H$9+Inputs!$L$9*(((Inputs!$I$9+(((A156)+1)/2)*(Inputs!$J$9-Inputs!$I$9)))/Inputs!$K$9)^2))^2)))))/Inputs!$C$13)</f>
        <v>-1903.9328044717065</v>
      </c>
    </row>
    <row r="157" spans="1:41">
      <c r="A157" s="9">
        <f>ROUND(-1+155*2/240,3)</f>
        <v>0.29199999999999998</v>
      </c>
      <c r="B157" s="9">
        <f>IF(OR(Inputs!$F$6=TRUE,Inputs!$F$6="TRUE",Inputs!$F$6=1),(Inputs!$H$6+Inputs!$L$6*(((Inputs!$I$6+(((A157)+1)/2)*(Inputs!$J$6-Inputs!$I$6)))/Inputs!$K$6)^2),NA())</f>
        <v>400.34105599999998</v>
      </c>
      <c r="C157" s="9">
        <f>IF(OR(Inputs!$F$7=TRUE,Inputs!$F$7="TRUE",Inputs!$F$7=1),(Inputs!$H$7+Inputs!$L$7*(((Inputs!$I$7+(((A157)+1)/2)*(Inputs!$J$7-Inputs!$I$7)))/Inputs!$K$7)^2),NA())</f>
        <v>66.121360000000038</v>
      </c>
      <c r="D157" s="9">
        <f>IF(OR(Inputs!$F$8=TRUE,Inputs!$F$8="TRUE",Inputs!$F$8=1),(Inputs!$H$8+Inputs!$L$8*(((Inputs!$I$8+(((A157)+1)/2)*(Inputs!$J$8-Inputs!$I$8)))/Inputs!$K$8)^2),NA())</f>
        <v>117.27976000000008</v>
      </c>
      <c r="E157" s="9">
        <f>IF(OR(Inputs!$F$9=TRUE,Inputs!$F$9="TRUE",Inputs!$F$9=1),(Inputs!$H$9+Inputs!$L$9*(((Inputs!$I$9+(((A157)+1)/2)*(Inputs!$J$9-Inputs!$I$9)))/Inputs!$K$9)^2),NA())</f>
        <v>108.13240000000009</v>
      </c>
      <c r="F157" s="10"/>
      <c r="G157" s="9">
        <f t="shared" si="12"/>
        <v>0.29199999999999998</v>
      </c>
      <c r="H157" s="9">
        <f>IF(OR(Inputs!$F$6=TRUE,Inputs!$F$6="TRUE",Inputs!$F$6=1),(((SQRT(((Inputs!$I$6+(((A157)+1)/2)*(Inputs!$J$6-Inputs!$I$6)))^2+Inputs!$C$6^2+((Inputs!$H$6+Inputs!$L$6*(((Inputs!$I$6+(((A157)+1)/2)*(Inputs!$J$6-Inputs!$I$6)))/Inputs!$K$6)^2))^2))-((Inputs!$H$6+Inputs!$L$6*(((Inputs!$I$6+(((A157)+1)/2)*(Inputs!$J$6-Inputs!$I$6)))/Inputs!$K$6)^2)))*1000/Inputs!$C$12),NA())</f>
        <v>652.9541887930834</v>
      </c>
      <c r="I157" s="9">
        <f>IF(OR(Inputs!$F$7=TRUE,Inputs!$F$7="TRUE",Inputs!$F$7=1),(((SQRT(((Inputs!$I$7+(((A157)+1)/2)*(Inputs!$J$7-Inputs!$I$7)))^2+Inputs!$C$6^2+((Inputs!$H$7+Inputs!$L$7*(((Inputs!$I$7+(((A157)+1)/2)*(Inputs!$J$7-Inputs!$I$7)))/Inputs!$K$7)^2))^2))-((Inputs!$H$7+Inputs!$L$7*(((Inputs!$I$7+(((A157)+1)/2)*(Inputs!$J$7-Inputs!$I$7)))/Inputs!$K$7)^2)))*1000/Inputs!$C$12),NA())</f>
        <v>39553.015405912964</v>
      </c>
      <c r="J157" s="9">
        <f>IF(OR(Inputs!$F$8=TRUE,Inputs!$F$8="TRUE",Inputs!$F$8=1),(((SQRT(((Inputs!$I$8+(((A157)+1)/2)*(Inputs!$J$8-Inputs!$I$8)))^2+Inputs!$C$6^2+((Inputs!$H$8+Inputs!$L$8*(((Inputs!$I$8+(((A157)+1)/2)*(Inputs!$J$8-Inputs!$I$8)))/Inputs!$K$8)^2))^2))-((Inputs!$H$8+Inputs!$L$8*(((Inputs!$I$8+(((A157)+1)/2)*(Inputs!$J$8-Inputs!$I$8)))/Inputs!$K$8)^2)))*1000/Inputs!$C$12),NA())</f>
        <v>81629.611161669221</v>
      </c>
      <c r="K157" s="9">
        <f>IF(OR(Inputs!$F$9=TRUE,Inputs!$F$9="TRUE",Inputs!$F$9=1),(((SQRT(((Inputs!$I$9+(((A157)+1)/2)*(Inputs!$J$9-Inputs!$I$9)))^2+Inputs!$C$6^2+((Inputs!$H$9+Inputs!$L$9*(((Inputs!$I$9+(((A157)+1)/2)*(Inputs!$J$9-Inputs!$I$9)))/Inputs!$K$9)^2))^2))-((Inputs!$H$9+Inputs!$L$9*(((Inputs!$I$9+(((A157)+1)/2)*(Inputs!$J$9-Inputs!$I$9)))/Inputs!$K$9)^2)))*1000/Inputs!$C$12),NA())</f>
        <v>84546.062695857967</v>
      </c>
      <c r="L157" s="10"/>
      <c r="M157" s="9">
        <f t="shared" si="13"/>
        <v>0.29199999999999998</v>
      </c>
      <c r="N157" s="9">
        <f>IF(OR(Inputs!$F$6=TRUE,Inputs!$F$6="TRUE",Inputs!$F$6=1),(-2*((1000*((((Inputs!$I$6+(((A157)+1)/2)*(Inputs!$J$6-Inputs!$I$6)))*Inputs!$C$11+((Inputs!$H$6+Inputs!$L$6*(((Inputs!$I$6+(((A157)+1)/2)*(Inputs!$J$6-Inputs!$I$6)))/Inputs!$K$6)^2))*((2*Inputs!$L$6*((Inputs!$I$6+(((A157)+1)/2)*(Inputs!$J$6-Inputs!$I$6)))/(Inputs!$K$6^2)*Inputs!$C$11)))/(SQRT(((Inputs!$I$6+(((A157)+1)/2)*(Inputs!$J$6-Inputs!$I$6)))^2+Inputs!$C$6^2+((Inputs!$H$6+Inputs!$L$6*(((Inputs!$I$6+(((A157)+1)/2)*(Inputs!$J$6-Inputs!$I$6)))/Inputs!$K$6)^2))^2)))))/Inputs!$C$13),NA())</f>
        <v>-131.93061412255113</v>
      </c>
      <c r="O157" s="9">
        <f>IF(OR(Inputs!$F$7=TRUE,Inputs!$F$7="TRUE",Inputs!$F$7=1),(-2*((1000*((((Inputs!$I$7+(((A157)+1)/2)*(Inputs!$J$7-Inputs!$I$7)))*Inputs!$C$11+((Inputs!$H$7+Inputs!$L$7*(((Inputs!$I$7+(((A157)+1)/2)*(Inputs!$J$7-Inputs!$I$7)))/Inputs!$K$7)^2))*((2*Inputs!$L$7*((Inputs!$I$7+(((A157)+1)/2)*(Inputs!$J$7-Inputs!$I$7)))/(Inputs!$K$7^2)*Inputs!$C$11)))/(SQRT(((Inputs!$I$7+(((A157)+1)/2)*(Inputs!$J$7-Inputs!$I$7)))^2+Inputs!$C$6^2+((Inputs!$H$7+Inputs!$L$7*(((Inputs!$I$7+(((A157)+1)/2)*(Inputs!$J$7-Inputs!$I$7)))/Inputs!$K$7)^2))^2)))))/Inputs!$C$13),NA())</f>
        <v>-1781.7719852724665</v>
      </c>
      <c r="P157" s="9">
        <f>IF(OR(Inputs!$F$8=TRUE,Inputs!$F$8="TRUE",Inputs!$F$8=1),(-2*((1000*((((Inputs!$I$8+(((A157)+1)/2)*(Inputs!$J$8-Inputs!$I$8)))*Inputs!$C$11+((Inputs!$H$8+Inputs!$L$8*(((Inputs!$I$8+(((A157)+1)/2)*(Inputs!$J$8-Inputs!$I$8)))/Inputs!$K$8)^2))*((2*Inputs!$L$8*((Inputs!$I$8+(((A157)+1)/2)*(Inputs!$J$8-Inputs!$I$8)))/(Inputs!$K$8^2)*Inputs!$C$11)))/(SQRT(((Inputs!$I$8+(((A157)+1)/2)*(Inputs!$J$8-Inputs!$I$8)))^2+Inputs!$C$6^2+((Inputs!$H$8+Inputs!$L$8*(((Inputs!$I$8+(((A157)+1)/2)*(Inputs!$J$8-Inputs!$I$8)))/Inputs!$K$8)^2))^2)))))/Inputs!$C$13),NA())</f>
        <v>-1926.8316763986527</v>
      </c>
      <c r="Q157" s="9">
        <f>IF(OR(Inputs!$F$9=TRUE,Inputs!$F$9="TRUE",Inputs!$F$9=1),(-2*((1000*((((Inputs!$I$9+(((A157)+1)/2)*(Inputs!$J$9-Inputs!$I$9)))*Inputs!$C$11+((Inputs!$H$9+Inputs!$L$9*(((Inputs!$I$9+(((A157)+1)/2)*(Inputs!$J$9-Inputs!$I$9)))/Inputs!$K$9)^2))*((2*Inputs!$L$9*((Inputs!$I$9+(((A157)+1)/2)*(Inputs!$J$9-Inputs!$I$9)))/(Inputs!$K$9^2)*Inputs!$C$11)))/(SQRT(((Inputs!$I$9+(((A157)+1)/2)*(Inputs!$J$9-Inputs!$I$9)))^2+Inputs!$C$6^2+((Inputs!$H$9+Inputs!$L$9*(((Inputs!$I$9+(((A157)+1)/2)*(Inputs!$J$9-Inputs!$I$9)))/Inputs!$K$9)^2))^2)))))/Inputs!$C$13),NA())</f>
        <v>-1921.323716021215</v>
      </c>
      <c r="R157" s="10"/>
      <c r="S157" s="9">
        <f t="shared" si="14"/>
        <v>0.29199999999999998</v>
      </c>
      <c r="T157" s="9">
        <f>(Inputs!$I$6+(((A157)+1)/2)*(Inputs!$J$6-Inputs!$I$6))</f>
        <v>17.519999999999996</v>
      </c>
      <c r="U157" s="9">
        <f>(Inputs!$I$7+(((A157)+1)/2)*(Inputs!$J$7-Inputs!$I$7))</f>
        <v>116.80000000000007</v>
      </c>
      <c r="V157" s="9">
        <f>(Inputs!$I$8+(((A157)+1)/2)*(Inputs!$J$8-Inputs!$I$8))</f>
        <v>233.60000000000014</v>
      </c>
      <c r="W157" s="9">
        <f>(Inputs!$I$9+(((A157)+1)/2)*(Inputs!$J$9-Inputs!$I$9))</f>
        <v>233.60000000000014</v>
      </c>
      <c r="X157" s="10"/>
      <c r="Y157" s="9">
        <f t="shared" si="15"/>
        <v>0.29199999999999998</v>
      </c>
      <c r="Z157" s="9">
        <f>(Inputs!$H$6+Inputs!$L$6*(((Inputs!$I$6+(((A157)+1)/2)*(Inputs!$J$6-Inputs!$I$6)))/Inputs!$K$6)^2)</f>
        <v>400.34105599999998</v>
      </c>
      <c r="AA157" s="9">
        <f>(Inputs!$H$7+Inputs!$L$7*(((Inputs!$I$7+(((A157)+1)/2)*(Inputs!$J$7-Inputs!$I$7)))/Inputs!$K$7)^2)</f>
        <v>66.121360000000038</v>
      </c>
      <c r="AB157" s="9">
        <f>(Inputs!$H$8+Inputs!$L$8*(((Inputs!$I$8+(((A157)+1)/2)*(Inputs!$J$8-Inputs!$I$8)))/Inputs!$K$8)^2)</f>
        <v>117.27976000000008</v>
      </c>
      <c r="AC157" s="9">
        <f>(Inputs!$H$9+Inputs!$L$9*(((Inputs!$I$9+(((A157)+1)/2)*(Inputs!$J$9-Inputs!$I$9)))/Inputs!$K$9)^2)</f>
        <v>108.13240000000009</v>
      </c>
      <c r="AD157" s="10"/>
      <c r="AE157" s="9">
        <f t="shared" si="16"/>
        <v>0.29199999999999998</v>
      </c>
      <c r="AF157" s="9">
        <f>(((SQRT(((Inputs!$I$6+(((A157)+1)/2)*(Inputs!$J$6-Inputs!$I$6)))^2+Inputs!$C$6^2+((Inputs!$H$6+Inputs!$L$6*(((Inputs!$I$6+(((A157)+1)/2)*(Inputs!$J$6-Inputs!$I$6)))/Inputs!$K$6)^2))^2))-((Inputs!$H$6+Inputs!$L$6*(((Inputs!$I$6+(((A157)+1)/2)*(Inputs!$J$6-Inputs!$I$6)))/Inputs!$K$6)^2)))*1000/Inputs!$C$12)</f>
        <v>652.9541887930834</v>
      </c>
      <c r="AG157" s="9">
        <f>(((SQRT(((Inputs!$I$7+(((A157)+1)/2)*(Inputs!$J$7-Inputs!$I$7)))^2+Inputs!$C$6^2+((Inputs!$H$7+Inputs!$L$7*(((Inputs!$I$7+(((A157)+1)/2)*(Inputs!$J$7-Inputs!$I$7)))/Inputs!$K$7)^2))^2))-((Inputs!$H$7+Inputs!$L$7*(((Inputs!$I$7+(((A157)+1)/2)*(Inputs!$J$7-Inputs!$I$7)))/Inputs!$K$7)^2)))*1000/Inputs!$C$12)</f>
        <v>39553.015405912964</v>
      </c>
      <c r="AH157" s="9">
        <f>(((SQRT(((Inputs!$I$8+(((A157)+1)/2)*(Inputs!$J$8-Inputs!$I$8)))^2+Inputs!$C$6^2+((Inputs!$H$8+Inputs!$L$8*(((Inputs!$I$8+(((A157)+1)/2)*(Inputs!$J$8-Inputs!$I$8)))/Inputs!$K$8)^2))^2))-((Inputs!$H$8+Inputs!$L$8*(((Inputs!$I$8+(((A157)+1)/2)*(Inputs!$J$8-Inputs!$I$8)))/Inputs!$K$8)^2)))*1000/Inputs!$C$12)</f>
        <v>81629.611161669221</v>
      </c>
      <c r="AI157" s="9">
        <f>(((SQRT(((Inputs!$I$9+(((A157)+1)/2)*(Inputs!$J$9-Inputs!$I$9)))^2+Inputs!$C$6^2+((Inputs!$H$9+Inputs!$L$9*(((Inputs!$I$9+(((A157)+1)/2)*(Inputs!$J$9-Inputs!$I$9)))/Inputs!$K$9)^2))^2))-((Inputs!$H$9+Inputs!$L$9*(((Inputs!$I$9+(((A157)+1)/2)*(Inputs!$J$9-Inputs!$I$9)))/Inputs!$K$9)^2)))*1000/Inputs!$C$12)</f>
        <v>84546.062695857967</v>
      </c>
      <c r="AJ157" s="10"/>
      <c r="AK157" s="9">
        <f t="shared" si="17"/>
        <v>0.29199999999999998</v>
      </c>
      <c r="AL157" s="9">
        <f>(-2*((1000*((((Inputs!$I$6+(((A157)+1)/2)*(Inputs!$J$6-Inputs!$I$6)))*Inputs!$C$11+((Inputs!$H$6+Inputs!$L$6*(((Inputs!$I$6+(((A157)+1)/2)*(Inputs!$J$6-Inputs!$I$6)))/Inputs!$K$6)^2))*((2*Inputs!$L$6*((Inputs!$I$6+(((A157)+1)/2)*(Inputs!$J$6-Inputs!$I$6)))/(Inputs!$K$6^2)*Inputs!$C$11)))/(SQRT(((Inputs!$I$6+(((A157)+1)/2)*(Inputs!$J$6-Inputs!$I$6)))^2+Inputs!$C$6^2+((Inputs!$H$6+Inputs!$L$6*(((Inputs!$I$6+(((A157)+1)/2)*(Inputs!$J$6-Inputs!$I$6)))/Inputs!$K$6)^2))^2)))))/Inputs!$C$13)</f>
        <v>-131.93061412255113</v>
      </c>
      <c r="AM157" s="9">
        <f>(-2*((1000*((((Inputs!$I$7+(((A157)+1)/2)*(Inputs!$J$7-Inputs!$I$7)))*Inputs!$C$11+((Inputs!$H$7+Inputs!$L$7*(((Inputs!$I$7+(((A157)+1)/2)*(Inputs!$J$7-Inputs!$I$7)))/Inputs!$K$7)^2))*((2*Inputs!$L$7*((Inputs!$I$7+(((A157)+1)/2)*(Inputs!$J$7-Inputs!$I$7)))/(Inputs!$K$7^2)*Inputs!$C$11)))/(SQRT(((Inputs!$I$7+(((A157)+1)/2)*(Inputs!$J$7-Inputs!$I$7)))^2+Inputs!$C$6^2+((Inputs!$H$7+Inputs!$L$7*(((Inputs!$I$7+(((A157)+1)/2)*(Inputs!$J$7-Inputs!$I$7)))/Inputs!$K$7)^2))^2)))))/Inputs!$C$13)</f>
        <v>-1781.7719852724665</v>
      </c>
      <c r="AN157" s="9">
        <f>(-2*((1000*((((Inputs!$I$8+(((A157)+1)/2)*(Inputs!$J$8-Inputs!$I$8)))*Inputs!$C$11+((Inputs!$H$8+Inputs!$L$8*(((Inputs!$I$8+(((A157)+1)/2)*(Inputs!$J$8-Inputs!$I$8)))/Inputs!$K$8)^2))*((2*Inputs!$L$8*((Inputs!$I$8+(((A157)+1)/2)*(Inputs!$J$8-Inputs!$I$8)))/(Inputs!$K$8^2)*Inputs!$C$11)))/(SQRT(((Inputs!$I$8+(((A157)+1)/2)*(Inputs!$J$8-Inputs!$I$8)))^2+Inputs!$C$6^2+((Inputs!$H$8+Inputs!$L$8*(((Inputs!$I$8+(((A157)+1)/2)*(Inputs!$J$8-Inputs!$I$8)))/Inputs!$K$8)^2))^2)))))/Inputs!$C$13)</f>
        <v>-1926.8316763986527</v>
      </c>
      <c r="AO157" s="9">
        <f>(-2*((1000*((((Inputs!$I$9+(((A157)+1)/2)*(Inputs!$J$9-Inputs!$I$9)))*Inputs!$C$11+((Inputs!$H$9+Inputs!$L$9*(((Inputs!$I$9+(((A157)+1)/2)*(Inputs!$J$9-Inputs!$I$9)))/Inputs!$K$9)^2))*((2*Inputs!$L$9*((Inputs!$I$9+(((A157)+1)/2)*(Inputs!$J$9-Inputs!$I$9)))/(Inputs!$K$9^2)*Inputs!$C$11)))/(SQRT(((Inputs!$I$9+(((A157)+1)/2)*(Inputs!$J$9-Inputs!$I$9)))^2+Inputs!$C$6^2+((Inputs!$H$9+Inputs!$L$9*(((Inputs!$I$9+(((A157)+1)/2)*(Inputs!$J$9-Inputs!$I$9)))/Inputs!$K$9)^2))^2)))))/Inputs!$C$13)</f>
        <v>-1921.323716021215</v>
      </c>
    </row>
    <row r="158" spans="1:41">
      <c r="A158" s="9">
        <f>ROUND(-1+156*2/240,3)</f>
        <v>0.3</v>
      </c>
      <c r="B158" s="9">
        <f>IF(OR(Inputs!$F$6=TRUE,Inputs!$F$6="TRUE",Inputs!$F$6=1),(Inputs!$H$6+Inputs!$L$6*(((Inputs!$I$6+(((A158)+1)/2)*(Inputs!$J$6-Inputs!$I$6)))/Inputs!$K$6)^2),NA())</f>
        <v>400.36</v>
      </c>
      <c r="C158" s="9">
        <f>IF(OR(Inputs!$F$7=TRUE,Inputs!$F$7="TRUE",Inputs!$F$7=1),(Inputs!$H$7+Inputs!$L$7*(((Inputs!$I$7+(((A158)+1)/2)*(Inputs!$J$7-Inputs!$I$7)))/Inputs!$K$7)^2),NA())</f>
        <v>67.849999999999994</v>
      </c>
      <c r="D158" s="9">
        <f>IF(OR(Inputs!$F$8=TRUE,Inputs!$F$8="TRUE",Inputs!$F$8=1),(Inputs!$H$8+Inputs!$L$8*(((Inputs!$I$8+(((A158)+1)/2)*(Inputs!$J$8-Inputs!$I$8)))/Inputs!$K$8)^2),NA())</f>
        <v>121.85</v>
      </c>
      <c r="E158" s="9">
        <f>IF(OR(Inputs!$F$9=TRUE,Inputs!$F$9="TRUE",Inputs!$F$9=1),(Inputs!$H$9+Inputs!$L$9*(((Inputs!$I$9+(((A158)+1)/2)*(Inputs!$J$9-Inputs!$I$9)))/Inputs!$K$9)^2),NA())</f>
        <v>112.75</v>
      </c>
      <c r="F158" s="10"/>
      <c r="G158" s="9">
        <f t="shared" si="12"/>
        <v>0.3</v>
      </c>
      <c r="H158" s="9">
        <f>IF(OR(Inputs!$F$6=TRUE,Inputs!$F$6="TRUE",Inputs!$F$6=1),(((SQRT(((Inputs!$I$6+(((A158)+1)/2)*(Inputs!$J$6-Inputs!$I$6)))^2+Inputs!$C$6^2+((Inputs!$H$6+Inputs!$L$6*(((Inputs!$I$6+(((A158)+1)/2)*(Inputs!$J$6-Inputs!$I$6)))/Inputs!$K$6)^2))^2))-((Inputs!$H$6+Inputs!$L$6*(((Inputs!$I$6+(((A158)+1)/2)*(Inputs!$J$6-Inputs!$I$6)))/Inputs!$K$6)^2)))*1000/Inputs!$C$12),NA())</f>
        <v>664.85070974349935</v>
      </c>
      <c r="I158" s="9">
        <f>IF(OR(Inputs!$F$7=TRUE,Inputs!$F$7="TRUE",Inputs!$F$7=1),(((SQRT(((Inputs!$I$7+(((A158)+1)/2)*(Inputs!$J$7-Inputs!$I$7)))^2+Inputs!$C$6^2+((Inputs!$H$7+Inputs!$L$7*(((Inputs!$I$7+(((A158)+1)/2)*(Inputs!$J$7-Inputs!$I$7)))/Inputs!$K$7)^2))^2))-((Inputs!$H$7+Inputs!$L$7*(((Inputs!$I$7+(((A158)+1)/2)*(Inputs!$J$7-Inputs!$I$7)))/Inputs!$K$7)^2)))*1000/Inputs!$C$12),NA())</f>
        <v>40591.115686270939</v>
      </c>
      <c r="J158" s="9">
        <f>IF(OR(Inputs!$F$8=TRUE,Inputs!$F$8="TRUE",Inputs!$F$8=1),(((SQRT(((Inputs!$I$8+(((A158)+1)/2)*(Inputs!$J$8-Inputs!$I$8)))^2+Inputs!$C$6^2+((Inputs!$H$8+Inputs!$L$8*(((Inputs!$I$8+(((A158)+1)/2)*(Inputs!$J$8-Inputs!$I$8)))/Inputs!$K$8)^2))^2))-((Inputs!$H$8+Inputs!$L$8*(((Inputs!$I$8+(((A158)+1)/2)*(Inputs!$J$8-Inputs!$I$8)))/Inputs!$K$8)^2)))*1000/Inputs!$C$12),NA())</f>
        <v>83409.613678017136</v>
      </c>
      <c r="K158" s="9">
        <f>IF(OR(Inputs!$F$9=TRUE,Inputs!$F$9="TRUE",Inputs!$F$9=1),(((SQRT(((Inputs!$I$9+(((A158)+1)/2)*(Inputs!$J$9-Inputs!$I$9)))^2+Inputs!$C$6^2+((Inputs!$H$9+Inputs!$L$9*(((Inputs!$I$9+(((A158)+1)/2)*(Inputs!$J$9-Inputs!$I$9)))/Inputs!$K$9)^2))^2))-((Inputs!$H$9+Inputs!$L$9*(((Inputs!$I$9+(((A158)+1)/2)*(Inputs!$J$9-Inputs!$I$9)))/Inputs!$K$9)^2)))*1000/Inputs!$C$12),NA())</f>
        <v>86287.114741050129</v>
      </c>
      <c r="L158" s="10"/>
      <c r="M158" s="9">
        <f t="shared" si="13"/>
        <v>0.3</v>
      </c>
      <c r="N158" s="9">
        <f>IF(OR(Inputs!$F$6=TRUE,Inputs!$F$6="TRUE",Inputs!$F$6=1),(-2*((1000*((((Inputs!$I$6+(((A158)+1)/2)*(Inputs!$J$6-Inputs!$I$6)))*Inputs!$C$11+((Inputs!$H$6+Inputs!$L$6*(((Inputs!$I$6+(((A158)+1)/2)*(Inputs!$J$6-Inputs!$I$6)))/Inputs!$K$6)^2))*((2*Inputs!$L$6*((Inputs!$I$6+(((A158)+1)/2)*(Inputs!$J$6-Inputs!$I$6)))/(Inputs!$K$6^2)*Inputs!$C$11)))/(SQRT(((Inputs!$I$6+(((A158)+1)/2)*(Inputs!$J$6-Inputs!$I$6)))^2+Inputs!$C$6^2+((Inputs!$H$6+Inputs!$L$6*(((Inputs!$I$6+(((A158)+1)/2)*(Inputs!$J$6-Inputs!$I$6)))/Inputs!$K$6)^2))^2)))))/Inputs!$C$13),NA())</f>
        <v>-135.53462802807991</v>
      </c>
      <c r="O158" s="9">
        <f>IF(OR(Inputs!$F$7=TRUE,Inputs!$F$7="TRUE",Inputs!$F$7=1),(-2*((1000*((((Inputs!$I$7+(((A158)+1)/2)*(Inputs!$J$7-Inputs!$I$7)))*Inputs!$C$11+((Inputs!$H$7+Inputs!$L$7*(((Inputs!$I$7+(((A158)+1)/2)*(Inputs!$J$7-Inputs!$I$7)))/Inputs!$K$7)^2))*((2*Inputs!$L$7*((Inputs!$I$7+(((A158)+1)/2)*(Inputs!$J$7-Inputs!$I$7)))/(Inputs!$K$7^2)*Inputs!$C$11)))/(SQRT(((Inputs!$I$7+(((A158)+1)/2)*(Inputs!$J$7-Inputs!$I$7)))^2+Inputs!$C$6^2+((Inputs!$H$7+Inputs!$L$7*(((Inputs!$I$7+(((A158)+1)/2)*(Inputs!$J$7-Inputs!$I$7)))/Inputs!$K$7)^2))^2)))))/Inputs!$C$13),NA())</f>
        <v>-1794.6657887320155</v>
      </c>
      <c r="P158" s="9">
        <f>IF(OR(Inputs!$F$8=TRUE,Inputs!$F$8="TRUE",Inputs!$F$8=1),(-2*((1000*((((Inputs!$I$8+(((A158)+1)/2)*(Inputs!$J$8-Inputs!$I$8)))*Inputs!$C$11+((Inputs!$H$8+Inputs!$L$8*(((Inputs!$I$8+(((A158)+1)/2)*(Inputs!$J$8-Inputs!$I$8)))/Inputs!$K$8)^2))*((2*Inputs!$L$8*((Inputs!$I$8+(((A158)+1)/2)*(Inputs!$J$8-Inputs!$I$8)))/(Inputs!$K$8^2)*Inputs!$C$11)))/(SQRT(((Inputs!$I$8+(((A158)+1)/2)*(Inputs!$J$8-Inputs!$I$8)))^2+Inputs!$C$6^2+((Inputs!$H$8+Inputs!$L$8*(((Inputs!$I$8+(((A158)+1)/2)*(Inputs!$J$8-Inputs!$I$8)))/Inputs!$K$8)^2))^2)))))/Inputs!$C$13),NA())</f>
        <v>-1942.5274648216309</v>
      </c>
      <c r="Q158" s="9">
        <f>IF(OR(Inputs!$F$9=TRUE,Inputs!$F$9="TRUE",Inputs!$F$9=1),(-2*((1000*((((Inputs!$I$9+(((A158)+1)/2)*(Inputs!$J$9-Inputs!$I$9)))*Inputs!$C$11+((Inputs!$H$9+Inputs!$L$9*(((Inputs!$I$9+(((A158)+1)/2)*(Inputs!$J$9-Inputs!$I$9)))/Inputs!$K$9)^2))*((2*Inputs!$L$9*((Inputs!$I$9+(((A158)+1)/2)*(Inputs!$J$9-Inputs!$I$9)))/(Inputs!$K$9^2)*Inputs!$C$11)))/(SQRT(((Inputs!$I$9+(((A158)+1)/2)*(Inputs!$J$9-Inputs!$I$9)))^2+Inputs!$C$6^2+((Inputs!$H$9+Inputs!$L$9*(((Inputs!$I$9+(((A158)+1)/2)*(Inputs!$J$9-Inputs!$I$9)))/Inputs!$K$9)^2))^2)))))/Inputs!$C$13),NA())</f>
        <v>-1937.0557877508127</v>
      </c>
      <c r="R158" s="10"/>
      <c r="S158" s="9">
        <f t="shared" si="14"/>
        <v>0.3</v>
      </c>
      <c r="T158" s="9">
        <f>(Inputs!$I$6+(((A158)+1)/2)*(Inputs!$J$6-Inputs!$I$6))</f>
        <v>18</v>
      </c>
      <c r="U158" s="9">
        <f>(Inputs!$I$7+(((A158)+1)/2)*(Inputs!$J$7-Inputs!$I$7))</f>
        <v>120</v>
      </c>
      <c r="V158" s="9">
        <f>(Inputs!$I$8+(((A158)+1)/2)*(Inputs!$J$8-Inputs!$I$8))</f>
        <v>240</v>
      </c>
      <c r="W158" s="9">
        <f>(Inputs!$I$9+(((A158)+1)/2)*(Inputs!$J$9-Inputs!$I$9))</f>
        <v>240</v>
      </c>
      <c r="X158" s="10"/>
      <c r="Y158" s="9">
        <f t="shared" si="15"/>
        <v>0.3</v>
      </c>
      <c r="Z158" s="9">
        <f>(Inputs!$H$6+Inputs!$L$6*(((Inputs!$I$6+(((A158)+1)/2)*(Inputs!$J$6-Inputs!$I$6)))/Inputs!$K$6)^2)</f>
        <v>400.36</v>
      </c>
      <c r="AA158" s="9">
        <f>(Inputs!$H$7+Inputs!$L$7*(((Inputs!$I$7+(((A158)+1)/2)*(Inputs!$J$7-Inputs!$I$7)))/Inputs!$K$7)^2)</f>
        <v>67.849999999999994</v>
      </c>
      <c r="AB158" s="9">
        <f>(Inputs!$H$8+Inputs!$L$8*(((Inputs!$I$8+(((A158)+1)/2)*(Inputs!$J$8-Inputs!$I$8)))/Inputs!$K$8)^2)</f>
        <v>121.85</v>
      </c>
      <c r="AC158" s="9">
        <f>(Inputs!$H$9+Inputs!$L$9*(((Inputs!$I$9+(((A158)+1)/2)*(Inputs!$J$9-Inputs!$I$9)))/Inputs!$K$9)^2)</f>
        <v>112.75</v>
      </c>
      <c r="AD158" s="10"/>
      <c r="AE158" s="9">
        <f t="shared" si="16"/>
        <v>0.3</v>
      </c>
      <c r="AF158" s="9">
        <f>(((SQRT(((Inputs!$I$6+(((A158)+1)/2)*(Inputs!$J$6-Inputs!$I$6)))^2+Inputs!$C$6^2+((Inputs!$H$6+Inputs!$L$6*(((Inputs!$I$6+(((A158)+1)/2)*(Inputs!$J$6-Inputs!$I$6)))/Inputs!$K$6)^2))^2))-((Inputs!$H$6+Inputs!$L$6*(((Inputs!$I$6+(((A158)+1)/2)*(Inputs!$J$6-Inputs!$I$6)))/Inputs!$K$6)^2)))*1000/Inputs!$C$12)</f>
        <v>664.85070974349935</v>
      </c>
      <c r="AG158" s="9">
        <f>(((SQRT(((Inputs!$I$7+(((A158)+1)/2)*(Inputs!$J$7-Inputs!$I$7)))^2+Inputs!$C$6^2+((Inputs!$H$7+Inputs!$L$7*(((Inputs!$I$7+(((A158)+1)/2)*(Inputs!$J$7-Inputs!$I$7)))/Inputs!$K$7)^2))^2))-((Inputs!$H$7+Inputs!$L$7*(((Inputs!$I$7+(((A158)+1)/2)*(Inputs!$J$7-Inputs!$I$7)))/Inputs!$K$7)^2)))*1000/Inputs!$C$12)</f>
        <v>40591.115686270939</v>
      </c>
      <c r="AH158" s="9">
        <f>(((SQRT(((Inputs!$I$8+(((A158)+1)/2)*(Inputs!$J$8-Inputs!$I$8)))^2+Inputs!$C$6^2+((Inputs!$H$8+Inputs!$L$8*(((Inputs!$I$8+(((A158)+1)/2)*(Inputs!$J$8-Inputs!$I$8)))/Inputs!$K$8)^2))^2))-((Inputs!$H$8+Inputs!$L$8*(((Inputs!$I$8+(((A158)+1)/2)*(Inputs!$J$8-Inputs!$I$8)))/Inputs!$K$8)^2)))*1000/Inputs!$C$12)</f>
        <v>83409.613678017136</v>
      </c>
      <c r="AI158" s="9">
        <f>(((SQRT(((Inputs!$I$9+(((A158)+1)/2)*(Inputs!$J$9-Inputs!$I$9)))^2+Inputs!$C$6^2+((Inputs!$H$9+Inputs!$L$9*(((Inputs!$I$9+(((A158)+1)/2)*(Inputs!$J$9-Inputs!$I$9)))/Inputs!$K$9)^2))^2))-((Inputs!$H$9+Inputs!$L$9*(((Inputs!$I$9+(((A158)+1)/2)*(Inputs!$J$9-Inputs!$I$9)))/Inputs!$K$9)^2)))*1000/Inputs!$C$12)</f>
        <v>86287.114741050129</v>
      </c>
      <c r="AJ158" s="10"/>
      <c r="AK158" s="9">
        <f t="shared" si="17"/>
        <v>0.3</v>
      </c>
      <c r="AL158" s="9">
        <f>(-2*((1000*((((Inputs!$I$6+(((A158)+1)/2)*(Inputs!$J$6-Inputs!$I$6)))*Inputs!$C$11+((Inputs!$H$6+Inputs!$L$6*(((Inputs!$I$6+(((A158)+1)/2)*(Inputs!$J$6-Inputs!$I$6)))/Inputs!$K$6)^2))*((2*Inputs!$L$6*((Inputs!$I$6+(((A158)+1)/2)*(Inputs!$J$6-Inputs!$I$6)))/(Inputs!$K$6^2)*Inputs!$C$11)))/(SQRT(((Inputs!$I$6+(((A158)+1)/2)*(Inputs!$J$6-Inputs!$I$6)))^2+Inputs!$C$6^2+((Inputs!$H$6+Inputs!$L$6*(((Inputs!$I$6+(((A158)+1)/2)*(Inputs!$J$6-Inputs!$I$6)))/Inputs!$K$6)^2))^2)))))/Inputs!$C$13)</f>
        <v>-135.53462802807991</v>
      </c>
      <c r="AM158" s="9">
        <f>(-2*((1000*((((Inputs!$I$7+(((A158)+1)/2)*(Inputs!$J$7-Inputs!$I$7)))*Inputs!$C$11+((Inputs!$H$7+Inputs!$L$7*(((Inputs!$I$7+(((A158)+1)/2)*(Inputs!$J$7-Inputs!$I$7)))/Inputs!$K$7)^2))*((2*Inputs!$L$7*((Inputs!$I$7+(((A158)+1)/2)*(Inputs!$J$7-Inputs!$I$7)))/(Inputs!$K$7^2)*Inputs!$C$11)))/(SQRT(((Inputs!$I$7+(((A158)+1)/2)*(Inputs!$J$7-Inputs!$I$7)))^2+Inputs!$C$6^2+((Inputs!$H$7+Inputs!$L$7*(((Inputs!$I$7+(((A158)+1)/2)*(Inputs!$J$7-Inputs!$I$7)))/Inputs!$K$7)^2))^2)))))/Inputs!$C$13)</f>
        <v>-1794.6657887320155</v>
      </c>
      <c r="AN158" s="9">
        <f>(-2*((1000*((((Inputs!$I$8+(((A158)+1)/2)*(Inputs!$J$8-Inputs!$I$8)))*Inputs!$C$11+((Inputs!$H$8+Inputs!$L$8*(((Inputs!$I$8+(((A158)+1)/2)*(Inputs!$J$8-Inputs!$I$8)))/Inputs!$K$8)^2))*((2*Inputs!$L$8*((Inputs!$I$8+(((A158)+1)/2)*(Inputs!$J$8-Inputs!$I$8)))/(Inputs!$K$8^2)*Inputs!$C$11)))/(SQRT(((Inputs!$I$8+(((A158)+1)/2)*(Inputs!$J$8-Inputs!$I$8)))^2+Inputs!$C$6^2+((Inputs!$H$8+Inputs!$L$8*(((Inputs!$I$8+(((A158)+1)/2)*(Inputs!$J$8-Inputs!$I$8)))/Inputs!$K$8)^2))^2)))))/Inputs!$C$13)</f>
        <v>-1942.5274648216309</v>
      </c>
      <c r="AO158" s="9">
        <f>(-2*((1000*((((Inputs!$I$9+(((A158)+1)/2)*(Inputs!$J$9-Inputs!$I$9)))*Inputs!$C$11+((Inputs!$H$9+Inputs!$L$9*(((Inputs!$I$9+(((A158)+1)/2)*(Inputs!$J$9-Inputs!$I$9)))/Inputs!$K$9)^2))*((2*Inputs!$L$9*((Inputs!$I$9+(((A158)+1)/2)*(Inputs!$J$9-Inputs!$I$9)))/(Inputs!$K$9^2)*Inputs!$C$11)))/(SQRT(((Inputs!$I$9+(((A158)+1)/2)*(Inputs!$J$9-Inputs!$I$9)))^2+Inputs!$C$6^2+((Inputs!$H$9+Inputs!$L$9*(((Inputs!$I$9+(((A158)+1)/2)*(Inputs!$J$9-Inputs!$I$9)))/Inputs!$K$9)^2))^2)))))/Inputs!$C$13)</f>
        <v>-1937.0557877508127</v>
      </c>
    </row>
    <row r="159" spans="1:41">
      <c r="A159" s="9">
        <f>ROUND(-1+157*2/240,3)</f>
        <v>0.308</v>
      </c>
      <c r="B159" s="9">
        <f>IF(OR(Inputs!$F$6=TRUE,Inputs!$F$6="TRUE",Inputs!$F$6=1),(Inputs!$H$6+Inputs!$L$6*(((Inputs!$I$6+(((A159)+1)/2)*(Inputs!$J$6-Inputs!$I$6)))/Inputs!$K$6)^2),NA())</f>
        <v>400.379456</v>
      </c>
      <c r="C159" s="9">
        <f>IF(OR(Inputs!$F$7=TRUE,Inputs!$F$7="TRUE",Inputs!$F$7=1),(Inputs!$H$7+Inputs!$L$7*(((Inputs!$I$7+(((A159)+1)/2)*(Inputs!$J$7-Inputs!$I$7)))/Inputs!$K$7)^2),NA())</f>
        <v>69.625360000000029</v>
      </c>
      <c r="D159" s="9">
        <f>IF(OR(Inputs!$F$8=TRUE,Inputs!$F$8="TRUE",Inputs!$F$8=1),(Inputs!$H$8+Inputs!$L$8*(((Inputs!$I$8+(((A159)+1)/2)*(Inputs!$J$8-Inputs!$I$8)))/Inputs!$K$8)^2),NA())</f>
        <v>126.54376000000006</v>
      </c>
      <c r="E159" s="9">
        <f>IF(OR(Inputs!$F$9=TRUE,Inputs!$F$9="TRUE",Inputs!$F$9=1),(Inputs!$H$9+Inputs!$L$9*(((Inputs!$I$9+(((A159)+1)/2)*(Inputs!$J$9-Inputs!$I$9)))/Inputs!$K$9)^2),NA())</f>
        <v>117.49240000000006</v>
      </c>
      <c r="F159" s="10"/>
      <c r="G159" s="9">
        <f t="shared" si="12"/>
        <v>0.308</v>
      </c>
      <c r="H159" s="9">
        <f>IF(OR(Inputs!$F$6=TRUE,Inputs!$F$6="TRUE",Inputs!$F$6=1),(((SQRT(((Inputs!$I$6+(((A159)+1)/2)*(Inputs!$J$6-Inputs!$I$6)))^2+Inputs!$C$6^2+((Inputs!$H$6+Inputs!$L$6*(((Inputs!$I$6+(((A159)+1)/2)*(Inputs!$J$6-Inputs!$I$6)))/Inputs!$K$6)^2))^2))-((Inputs!$H$6+Inputs!$L$6*(((Inputs!$I$6+(((A159)+1)/2)*(Inputs!$J$6-Inputs!$I$6)))/Inputs!$K$6)^2)))*1000/Inputs!$C$12),NA())</f>
        <v>677.06693701127733</v>
      </c>
      <c r="I159" s="9">
        <f>IF(OR(Inputs!$F$7=TRUE,Inputs!$F$7="TRUE",Inputs!$F$7=1),(((SQRT(((Inputs!$I$7+(((A159)+1)/2)*(Inputs!$J$7-Inputs!$I$7)))^2+Inputs!$C$6^2+((Inputs!$H$7+Inputs!$L$7*(((Inputs!$I$7+(((A159)+1)/2)*(Inputs!$J$7-Inputs!$I$7)))/Inputs!$K$7)^2))^2))-((Inputs!$H$7+Inputs!$L$7*(((Inputs!$I$7+(((A159)+1)/2)*(Inputs!$J$7-Inputs!$I$7)))/Inputs!$K$7)^2)))*1000/Inputs!$C$12),NA())</f>
        <v>41617.391633029561</v>
      </c>
      <c r="J159" s="9">
        <f>IF(OR(Inputs!$F$8=TRUE,Inputs!$F$8="TRUE",Inputs!$F$8=1),(((SQRT(((Inputs!$I$8+(((A159)+1)/2)*(Inputs!$J$8-Inputs!$I$8)))^2+Inputs!$C$6^2+((Inputs!$H$8+Inputs!$L$8*(((Inputs!$I$8+(((A159)+1)/2)*(Inputs!$J$8-Inputs!$I$8)))/Inputs!$K$8)^2))^2))-((Inputs!$H$8+Inputs!$L$8*(((Inputs!$I$8+(((A159)+1)/2)*(Inputs!$J$8-Inputs!$I$8)))/Inputs!$K$8)^2)))*1000/Inputs!$C$12),NA())</f>
        <v>85155.745288554826</v>
      </c>
      <c r="K159" s="9">
        <f>IF(OR(Inputs!$F$9=TRUE,Inputs!$F$9="TRUE",Inputs!$F$9=1),(((SQRT(((Inputs!$I$9+(((A159)+1)/2)*(Inputs!$J$9-Inputs!$I$9)))^2+Inputs!$C$6^2+((Inputs!$H$9+Inputs!$L$9*(((Inputs!$I$9+(((A159)+1)/2)*(Inputs!$J$9-Inputs!$I$9)))/Inputs!$K$9)^2))^2))-((Inputs!$H$9+Inputs!$L$9*(((Inputs!$I$9+(((A159)+1)/2)*(Inputs!$J$9-Inputs!$I$9)))/Inputs!$K$9)^2)))*1000/Inputs!$C$12),NA())</f>
        <v>87993.699429959161</v>
      </c>
      <c r="L159" s="10"/>
      <c r="M159" s="9">
        <f t="shared" si="13"/>
        <v>0.308</v>
      </c>
      <c r="N159" s="9">
        <f>IF(OR(Inputs!$F$6=TRUE,Inputs!$F$6="TRUE",Inputs!$F$6=1),(-2*((1000*((((Inputs!$I$6+(((A159)+1)/2)*(Inputs!$J$6-Inputs!$I$6)))*Inputs!$C$11+((Inputs!$H$6+Inputs!$L$6*(((Inputs!$I$6+(((A159)+1)/2)*(Inputs!$J$6-Inputs!$I$6)))/Inputs!$K$6)^2))*((2*Inputs!$L$6*((Inputs!$I$6+(((A159)+1)/2)*(Inputs!$J$6-Inputs!$I$6)))/(Inputs!$K$6^2)*Inputs!$C$11)))/(SQRT(((Inputs!$I$6+(((A159)+1)/2)*(Inputs!$J$6-Inputs!$I$6)))^2+Inputs!$C$6^2+((Inputs!$H$6+Inputs!$L$6*(((Inputs!$I$6+(((A159)+1)/2)*(Inputs!$J$6-Inputs!$I$6)))/Inputs!$K$6)^2))^2)))))/Inputs!$C$13),NA())</f>
        <v>-139.13779204973227</v>
      </c>
      <c r="O159" s="9">
        <f>IF(OR(Inputs!$F$7=TRUE,Inputs!$F$7="TRUE",Inputs!$F$7=1),(-2*((1000*((((Inputs!$I$7+(((A159)+1)/2)*(Inputs!$J$7-Inputs!$I$7)))*Inputs!$C$11+((Inputs!$H$7+Inputs!$L$7*(((Inputs!$I$7+(((A159)+1)/2)*(Inputs!$J$7-Inputs!$I$7)))/Inputs!$K$7)^2))*((2*Inputs!$L$7*((Inputs!$I$7+(((A159)+1)/2)*(Inputs!$J$7-Inputs!$I$7)))/(Inputs!$K$7^2)*Inputs!$C$11)))/(SQRT(((Inputs!$I$7+(((A159)+1)/2)*(Inputs!$J$7-Inputs!$I$7)))^2+Inputs!$C$6^2+((Inputs!$H$7+Inputs!$L$7*(((Inputs!$I$7+(((A159)+1)/2)*(Inputs!$J$7-Inputs!$I$7)))/Inputs!$K$7)^2))^2)))))/Inputs!$C$13),NA())</f>
        <v>-1807.4492750038808</v>
      </c>
      <c r="P159" s="9">
        <f>IF(OR(Inputs!$F$8=TRUE,Inputs!$F$8="TRUE",Inputs!$F$8=1),(-2*((1000*((((Inputs!$I$8+(((A159)+1)/2)*(Inputs!$J$8-Inputs!$I$8)))*Inputs!$C$11+((Inputs!$H$8+Inputs!$L$8*(((Inputs!$I$8+(((A159)+1)/2)*(Inputs!$J$8-Inputs!$I$8)))/Inputs!$K$8)^2))*((2*Inputs!$L$8*((Inputs!$I$8+(((A159)+1)/2)*(Inputs!$J$8-Inputs!$I$8)))/(Inputs!$K$8^2)*Inputs!$C$11)))/(SQRT(((Inputs!$I$8+(((A159)+1)/2)*(Inputs!$J$8-Inputs!$I$8)))^2+Inputs!$C$6^2+((Inputs!$H$8+Inputs!$L$8*(((Inputs!$I$8+(((A159)+1)/2)*(Inputs!$J$8-Inputs!$I$8)))/Inputs!$K$8)^2))^2)))))/Inputs!$C$13),NA())</f>
        <v>-1958.4474800727289</v>
      </c>
      <c r="Q159" s="9">
        <f>IF(OR(Inputs!$F$9=TRUE,Inputs!$F$9="TRUE",Inputs!$F$9=1),(-2*((1000*((((Inputs!$I$9+(((A159)+1)/2)*(Inputs!$J$9-Inputs!$I$9)))*Inputs!$C$11+((Inputs!$H$9+Inputs!$L$9*(((Inputs!$I$9+(((A159)+1)/2)*(Inputs!$J$9-Inputs!$I$9)))/Inputs!$K$9)^2))*((2*Inputs!$L$9*((Inputs!$I$9+(((A159)+1)/2)*(Inputs!$J$9-Inputs!$I$9)))/(Inputs!$K$9^2)*Inputs!$C$11)))/(SQRT(((Inputs!$I$9+(((A159)+1)/2)*(Inputs!$J$9-Inputs!$I$9)))^2+Inputs!$C$6^2+((Inputs!$H$9+Inputs!$L$9*(((Inputs!$I$9+(((A159)+1)/2)*(Inputs!$J$9-Inputs!$I$9)))/Inputs!$K$9)^2))^2)))))/Inputs!$C$13),NA())</f>
        <v>-1953.0481414949984</v>
      </c>
      <c r="R159" s="10"/>
      <c r="S159" s="9">
        <f t="shared" si="14"/>
        <v>0.308</v>
      </c>
      <c r="T159" s="9">
        <f>(Inputs!$I$6+(((A159)+1)/2)*(Inputs!$J$6-Inputs!$I$6))</f>
        <v>18.480000000000004</v>
      </c>
      <c r="U159" s="9">
        <f>(Inputs!$I$7+(((A159)+1)/2)*(Inputs!$J$7-Inputs!$I$7))</f>
        <v>123.20000000000005</v>
      </c>
      <c r="V159" s="9">
        <f>(Inputs!$I$8+(((A159)+1)/2)*(Inputs!$J$8-Inputs!$I$8))</f>
        <v>246.40000000000009</v>
      </c>
      <c r="W159" s="9">
        <f>(Inputs!$I$9+(((A159)+1)/2)*(Inputs!$J$9-Inputs!$I$9))</f>
        <v>246.40000000000009</v>
      </c>
      <c r="X159" s="10"/>
      <c r="Y159" s="9">
        <f t="shared" si="15"/>
        <v>0.308</v>
      </c>
      <c r="Z159" s="9">
        <f>(Inputs!$H$6+Inputs!$L$6*(((Inputs!$I$6+(((A159)+1)/2)*(Inputs!$J$6-Inputs!$I$6)))/Inputs!$K$6)^2)</f>
        <v>400.379456</v>
      </c>
      <c r="AA159" s="9">
        <f>(Inputs!$H$7+Inputs!$L$7*(((Inputs!$I$7+(((A159)+1)/2)*(Inputs!$J$7-Inputs!$I$7)))/Inputs!$K$7)^2)</f>
        <v>69.625360000000029</v>
      </c>
      <c r="AB159" s="9">
        <f>(Inputs!$H$8+Inputs!$L$8*(((Inputs!$I$8+(((A159)+1)/2)*(Inputs!$J$8-Inputs!$I$8)))/Inputs!$K$8)^2)</f>
        <v>126.54376000000006</v>
      </c>
      <c r="AC159" s="9">
        <f>(Inputs!$H$9+Inputs!$L$9*(((Inputs!$I$9+(((A159)+1)/2)*(Inputs!$J$9-Inputs!$I$9)))/Inputs!$K$9)^2)</f>
        <v>117.49240000000006</v>
      </c>
      <c r="AD159" s="10"/>
      <c r="AE159" s="9">
        <f t="shared" si="16"/>
        <v>0.308</v>
      </c>
      <c r="AF159" s="9">
        <f>(((SQRT(((Inputs!$I$6+(((A159)+1)/2)*(Inputs!$J$6-Inputs!$I$6)))^2+Inputs!$C$6^2+((Inputs!$H$6+Inputs!$L$6*(((Inputs!$I$6+(((A159)+1)/2)*(Inputs!$J$6-Inputs!$I$6)))/Inputs!$K$6)^2))^2))-((Inputs!$H$6+Inputs!$L$6*(((Inputs!$I$6+(((A159)+1)/2)*(Inputs!$J$6-Inputs!$I$6)))/Inputs!$K$6)^2)))*1000/Inputs!$C$12)</f>
        <v>677.06693701127733</v>
      </c>
      <c r="AG159" s="9">
        <f>(((SQRT(((Inputs!$I$7+(((A159)+1)/2)*(Inputs!$J$7-Inputs!$I$7)))^2+Inputs!$C$6^2+((Inputs!$H$7+Inputs!$L$7*(((Inputs!$I$7+(((A159)+1)/2)*(Inputs!$J$7-Inputs!$I$7)))/Inputs!$K$7)^2))^2))-((Inputs!$H$7+Inputs!$L$7*(((Inputs!$I$7+(((A159)+1)/2)*(Inputs!$J$7-Inputs!$I$7)))/Inputs!$K$7)^2)))*1000/Inputs!$C$12)</f>
        <v>41617.391633029561</v>
      </c>
      <c r="AH159" s="9">
        <f>(((SQRT(((Inputs!$I$8+(((A159)+1)/2)*(Inputs!$J$8-Inputs!$I$8)))^2+Inputs!$C$6^2+((Inputs!$H$8+Inputs!$L$8*(((Inputs!$I$8+(((A159)+1)/2)*(Inputs!$J$8-Inputs!$I$8)))/Inputs!$K$8)^2))^2))-((Inputs!$H$8+Inputs!$L$8*(((Inputs!$I$8+(((A159)+1)/2)*(Inputs!$J$8-Inputs!$I$8)))/Inputs!$K$8)^2)))*1000/Inputs!$C$12)</f>
        <v>85155.745288554826</v>
      </c>
      <c r="AI159" s="9">
        <f>(((SQRT(((Inputs!$I$9+(((A159)+1)/2)*(Inputs!$J$9-Inputs!$I$9)))^2+Inputs!$C$6^2+((Inputs!$H$9+Inputs!$L$9*(((Inputs!$I$9+(((A159)+1)/2)*(Inputs!$J$9-Inputs!$I$9)))/Inputs!$K$9)^2))^2))-((Inputs!$H$9+Inputs!$L$9*(((Inputs!$I$9+(((A159)+1)/2)*(Inputs!$J$9-Inputs!$I$9)))/Inputs!$K$9)^2)))*1000/Inputs!$C$12)</f>
        <v>87993.699429959161</v>
      </c>
      <c r="AJ159" s="10"/>
      <c r="AK159" s="9">
        <f t="shared" si="17"/>
        <v>0.308</v>
      </c>
      <c r="AL159" s="9">
        <f>(-2*((1000*((((Inputs!$I$6+(((A159)+1)/2)*(Inputs!$J$6-Inputs!$I$6)))*Inputs!$C$11+((Inputs!$H$6+Inputs!$L$6*(((Inputs!$I$6+(((A159)+1)/2)*(Inputs!$J$6-Inputs!$I$6)))/Inputs!$K$6)^2))*((2*Inputs!$L$6*((Inputs!$I$6+(((A159)+1)/2)*(Inputs!$J$6-Inputs!$I$6)))/(Inputs!$K$6^2)*Inputs!$C$11)))/(SQRT(((Inputs!$I$6+(((A159)+1)/2)*(Inputs!$J$6-Inputs!$I$6)))^2+Inputs!$C$6^2+((Inputs!$H$6+Inputs!$L$6*(((Inputs!$I$6+(((A159)+1)/2)*(Inputs!$J$6-Inputs!$I$6)))/Inputs!$K$6)^2))^2)))))/Inputs!$C$13)</f>
        <v>-139.13779204973227</v>
      </c>
      <c r="AM159" s="9">
        <f>(-2*((1000*((((Inputs!$I$7+(((A159)+1)/2)*(Inputs!$J$7-Inputs!$I$7)))*Inputs!$C$11+((Inputs!$H$7+Inputs!$L$7*(((Inputs!$I$7+(((A159)+1)/2)*(Inputs!$J$7-Inputs!$I$7)))/Inputs!$K$7)^2))*((2*Inputs!$L$7*((Inputs!$I$7+(((A159)+1)/2)*(Inputs!$J$7-Inputs!$I$7)))/(Inputs!$K$7^2)*Inputs!$C$11)))/(SQRT(((Inputs!$I$7+(((A159)+1)/2)*(Inputs!$J$7-Inputs!$I$7)))^2+Inputs!$C$6^2+((Inputs!$H$7+Inputs!$L$7*(((Inputs!$I$7+(((A159)+1)/2)*(Inputs!$J$7-Inputs!$I$7)))/Inputs!$K$7)^2))^2)))))/Inputs!$C$13)</f>
        <v>-1807.4492750038808</v>
      </c>
      <c r="AN159" s="9">
        <f>(-2*((1000*((((Inputs!$I$8+(((A159)+1)/2)*(Inputs!$J$8-Inputs!$I$8)))*Inputs!$C$11+((Inputs!$H$8+Inputs!$L$8*(((Inputs!$I$8+(((A159)+1)/2)*(Inputs!$J$8-Inputs!$I$8)))/Inputs!$K$8)^2))*((2*Inputs!$L$8*((Inputs!$I$8+(((A159)+1)/2)*(Inputs!$J$8-Inputs!$I$8)))/(Inputs!$K$8^2)*Inputs!$C$11)))/(SQRT(((Inputs!$I$8+(((A159)+1)/2)*(Inputs!$J$8-Inputs!$I$8)))^2+Inputs!$C$6^2+((Inputs!$H$8+Inputs!$L$8*(((Inputs!$I$8+(((A159)+1)/2)*(Inputs!$J$8-Inputs!$I$8)))/Inputs!$K$8)^2))^2)))))/Inputs!$C$13)</f>
        <v>-1958.4474800727289</v>
      </c>
      <c r="AO159" s="9">
        <f>(-2*((1000*((((Inputs!$I$9+(((A159)+1)/2)*(Inputs!$J$9-Inputs!$I$9)))*Inputs!$C$11+((Inputs!$H$9+Inputs!$L$9*(((Inputs!$I$9+(((A159)+1)/2)*(Inputs!$J$9-Inputs!$I$9)))/Inputs!$K$9)^2))*((2*Inputs!$L$9*((Inputs!$I$9+(((A159)+1)/2)*(Inputs!$J$9-Inputs!$I$9)))/(Inputs!$K$9^2)*Inputs!$C$11)))/(SQRT(((Inputs!$I$9+(((A159)+1)/2)*(Inputs!$J$9-Inputs!$I$9)))^2+Inputs!$C$6^2+((Inputs!$H$9+Inputs!$L$9*(((Inputs!$I$9+(((A159)+1)/2)*(Inputs!$J$9-Inputs!$I$9)))/Inputs!$K$9)^2))^2)))))/Inputs!$C$13)</f>
        <v>-1953.0481414949984</v>
      </c>
    </row>
    <row r="160" spans="1:41">
      <c r="A160" s="9">
        <f>ROUND(-1+158*2/240,3)</f>
        <v>0.317</v>
      </c>
      <c r="B160" s="9">
        <f>IF(OR(Inputs!$F$6=TRUE,Inputs!$F$6="TRUE",Inputs!$F$6=1),(Inputs!$H$6+Inputs!$L$6*(((Inputs!$I$6+(((A160)+1)/2)*(Inputs!$J$6-Inputs!$I$6)))/Inputs!$K$6)^2),NA())</f>
        <v>400.40195599999998</v>
      </c>
      <c r="C160" s="9">
        <f>IF(OR(Inputs!$F$7=TRUE,Inputs!$F$7="TRUE",Inputs!$F$7=1),(Inputs!$H$7+Inputs!$L$7*(((Inputs!$I$7+(((A160)+1)/2)*(Inputs!$J$7-Inputs!$I$7)))/Inputs!$K$7)^2),NA())</f>
        <v>71.678484999999966</v>
      </c>
      <c r="D160" s="9">
        <f>IF(OR(Inputs!$F$8=TRUE,Inputs!$F$8="TRUE",Inputs!$F$8=1),(Inputs!$H$8+Inputs!$L$8*(((Inputs!$I$8+(((A160)+1)/2)*(Inputs!$J$8-Inputs!$I$8)))/Inputs!$K$8)^2),NA())</f>
        <v>131.97188499999993</v>
      </c>
      <c r="E160" s="9">
        <f>IF(OR(Inputs!$F$9=TRUE,Inputs!$F$9="TRUE",Inputs!$F$9=1),(Inputs!$H$9+Inputs!$L$9*(((Inputs!$I$9+(((A160)+1)/2)*(Inputs!$J$9-Inputs!$I$9)))/Inputs!$K$9)^2),NA())</f>
        <v>122.97677499999993</v>
      </c>
      <c r="F160" s="10"/>
      <c r="G160" s="9">
        <f t="shared" si="12"/>
        <v>0.317</v>
      </c>
      <c r="H160" s="9">
        <f>IF(OR(Inputs!$F$6=TRUE,Inputs!$F$6="TRUE",Inputs!$F$6=1),(((SQRT(((Inputs!$I$6+(((A160)+1)/2)*(Inputs!$J$6-Inputs!$I$6)))^2+Inputs!$C$6^2+((Inputs!$H$6+Inputs!$L$6*(((Inputs!$I$6+(((A160)+1)/2)*(Inputs!$J$6-Inputs!$I$6)))/Inputs!$K$6)^2))^2))-((Inputs!$H$6+Inputs!$L$6*(((Inputs!$I$6+(((A160)+1)/2)*(Inputs!$J$6-Inputs!$I$6)))/Inputs!$K$6)^2)))*1000/Inputs!$C$12),NA())</f>
        <v>691.1921608185479</v>
      </c>
      <c r="I160" s="9">
        <f>IF(OR(Inputs!$F$7=TRUE,Inputs!$F$7="TRUE",Inputs!$F$7=1),(((SQRT(((Inputs!$I$7+(((A160)+1)/2)*(Inputs!$J$7-Inputs!$I$7)))^2+Inputs!$C$6^2+((Inputs!$H$7+Inputs!$L$7*(((Inputs!$I$7+(((A160)+1)/2)*(Inputs!$J$7-Inputs!$I$7)))/Inputs!$K$7)^2))^2))-((Inputs!$H$7+Inputs!$L$7*(((Inputs!$I$7+(((A160)+1)/2)*(Inputs!$J$7-Inputs!$I$7)))/Inputs!$K$7)^2)))*1000/Inputs!$C$12),NA())</f>
        <v>42757.683631610977</v>
      </c>
      <c r="J160" s="9">
        <f>IF(OR(Inputs!$F$8=TRUE,Inputs!$F$8="TRUE",Inputs!$F$8=1),(((SQRT(((Inputs!$I$8+(((A160)+1)/2)*(Inputs!$J$8-Inputs!$I$8)))^2+Inputs!$C$6^2+((Inputs!$H$8+Inputs!$L$8*(((Inputs!$I$8+(((A160)+1)/2)*(Inputs!$J$8-Inputs!$I$8)))/Inputs!$K$8)^2))^2))-((Inputs!$H$8+Inputs!$L$8*(((Inputs!$I$8+(((A160)+1)/2)*(Inputs!$J$8-Inputs!$I$8)))/Inputs!$K$8)^2)))*1000/Inputs!$C$12),NA())</f>
        <v>87080.291866304935</v>
      </c>
      <c r="K160" s="9">
        <f>IF(OR(Inputs!$F$9=TRUE,Inputs!$F$9="TRUE",Inputs!$F$9=1),(((SQRT(((Inputs!$I$9+(((A160)+1)/2)*(Inputs!$J$9-Inputs!$I$9)))^2+Inputs!$C$6^2+((Inputs!$H$9+Inputs!$L$9*(((Inputs!$I$9+(((A160)+1)/2)*(Inputs!$J$9-Inputs!$I$9)))/Inputs!$K$9)^2))^2))-((Inputs!$H$9+Inputs!$L$9*(((Inputs!$I$9+(((A160)+1)/2)*(Inputs!$J$9-Inputs!$I$9)))/Inputs!$K$9)^2)))*1000/Inputs!$C$12),NA())</f>
        <v>89873.139054597515</v>
      </c>
      <c r="L160" s="10"/>
      <c r="M160" s="9">
        <f t="shared" si="13"/>
        <v>0.317</v>
      </c>
      <c r="N160" s="9">
        <f>IF(OR(Inputs!$F$6=TRUE,Inputs!$F$6="TRUE",Inputs!$F$6=1),(-2*((1000*((((Inputs!$I$6+(((A160)+1)/2)*(Inputs!$J$6-Inputs!$I$6)))*Inputs!$C$11+((Inputs!$H$6+Inputs!$L$6*(((Inputs!$I$6+(((A160)+1)/2)*(Inputs!$J$6-Inputs!$I$6)))/Inputs!$K$6)^2))*((2*Inputs!$L$6*((Inputs!$I$6+(((A160)+1)/2)*(Inputs!$J$6-Inputs!$I$6)))/(Inputs!$K$6^2)*Inputs!$C$11)))/(SQRT(((Inputs!$I$6+(((A160)+1)/2)*(Inputs!$J$6-Inputs!$I$6)))^2+Inputs!$C$6^2+((Inputs!$H$6+Inputs!$L$6*(((Inputs!$I$6+(((A160)+1)/2)*(Inputs!$J$6-Inputs!$I$6)))/Inputs!$K$6)^2))^2)))))/Inputs!$C$13),NA())</f>
        <v>-143.19030803711888</v>
      </c>
      <c r="O160" s="9">
        <f>IF(OR(Inputs!$F$7=TRUE,Inputs!$F$7="TRUE",Inputs!$F$7=1),(-2*((1000*((((Inputs!$I$7+(((A160)+1)/2)*(Inputs!$J$7-Inputs!$I$7)))*Inputs!$C$11+((Inputs!$H$7+Inputs!$L$7*(((Inputs!$I$7+(((A160)+1)/2)*(Inputs!$J$7-Inputs!$I$7)))/Inputs!$K$7)^2))*((2*Inputs!$L$7*((Inputs!$I$7+(((A160)+1)/2)*(Inputs!$J$7-Inputs!$I$7)))/(Inputs!$K$7^2)*Inputs!$C$11)))/(SQRT(((Inputs!$I$7+(((A160)+1)/2)*(Inputs!$J$7-Inputs!$I$7)))^2+Inputs!$C$6^2+((Inputs!$H$7+Inputs!$L$7*(((Inputs!$I$7+(((A160)+1)/2)*(Inputs!$J$7-Inputs!$I$7)))/Inputs!$K$7)^2))^2)))))/Inputs!$C$13),NA())</f>
        <v>-1821.7311264334853</v>
      </c>
      <c r="P160" s="9">
        <f>IF(OR(Inputs!$F$8=TRUE,Inputs!$F$8="TRUE",Inputs!$F$8=1),(-2*((1000*((((Inputs!$I$8+(((A160)+1)/2)*(Inputs!$J$8-Inputs!$I$8)))*Inputs!$C$11+((Inputs!$H$8+Inputs!$L$8*(((Inputs!$I$8+(((A160)+1)/2)*(Inputs!$J$8-Inputs!$I$8)))/Inputs!$K$8)^2))*((2*Inputs!$L$8*((Inputs!$I$8+(((A160)+1)/2)*(Inputs!$J$8-Inputs!$I$8)))/(Inputs!$K$8^2)*Inputs!$C$11)))/(SQRT(((Inputs!$I$8+(((A160)+1)/2)*(Inputs!$J$8-Inputs!$I$8)))^2+Inputs!$C$6^2+((Inputs!$H$8+Inputs!$L$8*(((Inputs!$I$8+(((A160)+1)/2)*(Inputs!$J$8-Inputs!$I$8)))/Inputs!$K$8)^2))^2)))))/Inputs!$C$13),NA())</f>
        <v>-1976.6314986031077</v>
      </c>
      <c r="Q160" s="9">
        <f>IF(OR(Inputs!$F$9=TRUE,Inputs!$F$9="TRUE",Inputs!$F$9=1),(-2*((1000*((((Inputs!$I$9+(((A160)+1)/2)*(Inputs!$J$9-Inputs!$I$9)))*Inputs!$C$11+((Inputs!$H$9+Inputs!$L$9*(((Inputs!$I$9+(((A160)+1)/2)*(Inputs!$J$9-Inputs!$I$9)))/Inputs!$K$9)^2))*((2*Inputs!$L$9*((Inputs!$I$9+(((A160)+1)/2)*(Inputs!$J$9-Inputs!$I$9)))/(Inputs!$K$9^2)*Inputs!$C$11)))/(SQRT(((Inputs!$I$9+(((A160)+1)/2)*(Inputs!$J$9-Inputs!$I$9)))^2+Inputs!$C$6^2+((Inputs!$H$9+Inputs!$L$9*(((Inputs!$I$9+(((A160)+1)/2)*(Inputs!$J$9-Inputs!$I$9)))/Inputs!$K$9)^2))^2)))))/Inputs!$C$13),NA())</f>
        <v>-1971.3528519933029</v>
      </c>
      <c r="R160" s="10"/>
      <c r="S160" s="9">
        <f t="shared" si="14"/>
        <v>0.317</v>
      </c>
      <c r="T160" s="9">
        <f>(Inputs!$I$6+(((A160)+1)/2)*(Inputs!$J$6-Inputs!$I$6))</f>
        <v>19.019999999999996</v>
      </c>
      <c r="U160" s="9">
        <f>(Inputs!$I$7+(((A160)+1)/2)*(Inputs!$J$7-Inputs!$I$7))</f>
        <v>126.79999999999995</v>
      </c>
      <c r="V160" s="9">
        <f>(Inputs!$I$8+(((A160)+1)/2)*(Inputs!$J$8-Inputs!$I$8))</f>
        <v>253.59999999999991</v>
      </c>
      <c r="W160" s="9">
        <f>(Inputs!$I$9+(((A160)+1)/2)*(Inputs!$J$9-Inputs!$I$9))</f>
        <v>253.59999999999991</v>
      </c>
      <c r="X160" s="10"/>
      <c r="Y160" s="9">
        <f t="shared" si="15"/>
        <v>0.317</v>
      </c>
      <c r="Z160" s="9">
        <f>(Inputs!$H$6+Inputs!$L$6*(((Inputs!$I$6+(((A160)+1)/2)*(Inputs!$J$6-Inputs!$I$6)))/Inputs!$K$6)^2)</f>
        <v>400.40195599999998</v>
      </c>
      <c r="AA160" s="9">
        <f>(Inputs!$H$7+Inputs!$L$7*(((Inputs!$I$7+(((A160)+1)/2)*(Inputs!$J$7-Inputs!$I$7)))/Inputs!$K$7)^2)</f>
        <v>71.678484999999966</v>
      </c>
      <c r="AB160" s="9">
        <f>(Inputs!$H$8+Inputs!$L$8*(((Inputs!$I$8+(((A160)+1)/2)*(Inputs!$J$8-Inputs!$I$8)))/Inputs!$K$8)^2)</f>
        <v>131.97188499999993</v>
      </c>
      <c r="AC160" s="9">
        <f>(Inputs!$H$9+Inputs!$L$9*(((Inputs!$I$9+(((A160)+1)/2)*(Inputs!$J$9-Inputs!$I$9)))/Inputs!$K$9)^2)</f>
        <v>122.97677499999993</v>
      </c>
      <c r="AD160" s="10"/>
      <c r="AE160" s="9">
        <f t="shared" si="16"/>
        <v>0.317</v>
      </c>
      <c r="AF160" s="9">
        <f>(((SQRT(((Inputs!$I$6+(((A160)+1)/2)*(Inputs!$J$6-Inputs!$I$6)))^2+Inputs!$C$6^2+((Inputs!$H$6+Inputs!$L$6*(((Inputs!$I$6+(((A160)+1)/2)*(Inputs!$J$6-Inputs!$I$6)))/Inputs!$K$6)^2))^2))-((Inputs!$H$6+Inputs!$L$6*(((Inputs!$I$6+(((A160)+1)/2)*(Inputs!$J$6-Inputs!$I$6)))/Inputs!$K$6)^2)))*1000/Inputs!$C$12)</f>
        <v>691.1921608185479</v>
      </c>
      <c r="AG160" s="9">
        <f>(((SQRT(((Inputs!$I$7+(((A160)+1)/2)*(Inputs!$J$7-Inputs!$I$7)))^2+Inputs!$C$6^2+((Inputs!$H$7+Inputs!$L$7*(((Inputs!$I$7+(((A160)+1)/2)*(Inputs!$J$7-Inputs!$I$7)))/Inputs!$K$7)^2))^2))-((Inputs!$H$7+Inputs!$L$7*(((Inputs!$I$7+(((A160)+1)/2)*(Inputs!$J$7-Inputs!$I$7)))/Inputs!$K$7)^2)))*1000/Inputs!$C$12)</f>
        <v>42757.683631610977</v>
      </c>
      <c r="AH160" s="9">
        <f>(((SQRT(((Inputs!$I$8+(((A160)+1)/2)*(Inputs!$J$8-Inputs!$I$8)))^2+Inputs!$C$6^2+((Inputs!$H$8+Inputs!$L$8*(((Inputs!$I$8+(((A160)+1)/2)*(Inputs!$J$8-Inputs!$I$8)))/Inputs!$K$8)^2))^2))-((Inputs!$H$8+Inputs!$L$8*(((Inputs!$I$8+(((A160)+1)/2)*(Inputs!$J$8-Inputs!$I$8)))/Inputs!$K$8)^2)))*1000/Inputs!$C$12)</f>
        <v>87080.291866304935</v>
      </c>
      <c r="AI160" s="9">
        <f>(((SQRT(((Inputs!$I$9+(((A160)+1)/2)*(Inputs!$J$9-Inputs!$I$9)))^2+Inputs!$C$6^2+((Inputs!$H$9+Inputs!$L$9*(((Inputs!$I$9+(((A160)+1)/2)*(Inputs!$J$9-Inputs!$I$9)))/Inputs!$K$9)^2))^2))-((Inputs!$H$9+Inputs!$L$9*(((Inputs!$I$9+(((A160)+1)/2)*(Inputs!$J$9-Inputs!$I$9)))/Inputs!$K$9)^2)))*1000/Inputs!$C$12)</f>
        <v>89873.139054597515</v>
      </c>
      <c r="AJ160" s="10"/>
      <c r="AK160" s="9">
        <f t="shared" si="17"/>
        <v>0.317</v>
      </c>
      <c r="AL160" s="9">
        <f>(-2*((1000*((((Inputs!$I$6+(((A160)+1)/2)*(Inputs!$J$6-Inputs!$I$6)))*Inputs!$C$11+((Inputs!$H$6+Inputs!$L$6*(((Inputs!$I$6+(((A160)+1)/2)*(Inputs!$J$6-Inputs!$I$6)))/Inputs!$K$6)^2))*((2*Inputs!$L$6*((Inputs!$I$6+(((A160)+1)/2)*(Inputs!$J$6-Inputs!$I$6)))/(Inputs!$K$6^2)*Inputs!$C$11)))/(SQRT(((Inputs!$I$6+(((A160)+1)/2)*(Inputs!$J$6-Inputs!$I$6)))^2+Inputs!$C$6^2+((Inputs!$H$6+Inputs!$L$6*(((Inputs!$I$6+(((A160)+1)/2)*(Inputs!$J$6-Inputs!$I$6)))/Inputs!$K$6)^2))^2)))))/Inputs!$C$13)</f>
        <v>-143.19030803711888</v>
      </c>
      <c r="AM160" s="9">
        <f>(-2*((1000*((((Inputs!$I$7+(((A160)+1)/2)*(Inputs!$J$7-Inputs!$I$7)))*Inputs!$C$11+((Inputs!$H$7+Inputs!$L$7*(((Inputs!$I$7+(((A160)+1)/2)*(Inputs!$J$7-Inputs!$I$7)))/Inputs!$K$7)^2))*((2*Inputs!$L$7*((Inputs!$I$7+(((A160)+1)/2)*(Inputs!$J$7-Inputs!$I$7)))/(Inputs!$K$7^2)*Inputs!$C$11)))/(SQRT(((Inputs!$I$7+(((A160)+1)/2)*(Inputs!$J$7-Inputs!$I$7)))^2+Inputs!$C$6^2+((Inputs!$H$7+Inputs!$L$7*(((Inputs!$I$7+(((A160)+1)/2)*(Inputs!$J$7-Inputs!$I$7)))/Inputs!$K$7)^2))^2)))))/Inputs!$C$13)</f>
        <v>-1821.7311264334853</v>
      </c>
      <c r="AN160" s="9">
        <f>(-2*((1000*((((Inputs!$I$8+(((A160)+1)/2)*(Inputs!$J$8-Inputs!$I$8)))*Inputs!$C$11+((Inputs!$H$8+Inputs!$L$8*(((Inputs!$I$8+(((A160)+1)/2)*(Inputs!$J$8-Inputs!$I$8)))/Inputs!$K$8)^2))*((2*Inputs!$L$8*((Inputs!$I$8+(((A160)+1)/2)*(Inputs!$J$8-Inputs!$I$8)))/(Inputs!$K$8^2)*Inputs!$C$11)))/(SQRT(((Inputs!$I$8+(((A160)+1)/2)*(Inputs!$J$8-Inputs!$I$8)))^2+Inputs!$C$6^2+((Inputs!$H$8+Inputs!$L$8*(((Inputs!$I$8+(((A160)+1)/2)*(Inputs!$J$8-Inputs!$I$8)))/Inputs!$K$8)^2))^2)))))/Inputs!$C$13)</f>
        <v>-1976.6314986031077</v>
      </c>
      <c r="AO160" s="9">
        <f>(-2*((1000*((((Inputs!$I$9+(((A160)+1)/2)*(Inputs!$J$9-Inputs!$I$9)))*Inputs!$C$11+((Inputs!$H$9+Inputs!$L$9*(((Inputs!$I$9+(((A160)+1)/2)*(Inputs!$J$9-Inputs!$I$9)))/Inputs!$K$9)^2))*((2*Inputs!$L$9*((Inputs!$I$9+(((A160)+1)/2)*(Inputs!$J$9-Inputs!$I$9)))/(Inputs!$K$9^2)*Inputs!$C$11)))/(SQRT(((Inputs!$I$9+(((A160)+1)/2)*(Inputs!$J$9-Inputs!$I$9)))^2+Inputs!$C$6^2+((Inputs!$H$9+Inputs!$L$9*(((Inputs!$I$9+(((A160)+1)/2)*(Inputs!$J$9-Inputs!$I$9)))/Inputs!$K$9)^2))^2)))))/Inputs!$C$13)</f>
        <v>-1971.3528519933029</v>
      </c>
    </row>
    <row r="161" spans="1:41">
      <c r="A161" s="9">
        <f>ROUND(-1+159*2/240,3)</f>
        <v>0.32500000000000001</v>
      </c>
      <c r="B161" s="9">
        <f>IF(OR(Inputs!$F$6=TRUE,Inputs!$F$6="TRUE",Inputs!$F$6=1),(Inputs!$H$6+Inputs!$L$6*(((Inputs!$I$6+(((A161)+1)/2)*(Inputs!$J$6-Inputs!$I$6)))/Inputs!$K$6)^2),NA())</f>
        <v>400.42250000000001</v>
      </c>
      <c r="C161" s="9">
        <f>IF(OR(Inputs!$F$7=TRUE,Inputs!$F$7="TRUE",Inputs!$F$7=1),(Inputs!$H$7+Inputs!$L$7*(((Inputs!$I$7+(((A161)+1)/2)*(Inputs!$J$7-Inputs!$I$7)))/Inputs!$K$7)^2),NA())</f>
        <v>73.553124999999994</v>
      </c>
      <c r="D161" s="9">
        <f>IF(OR(Inputs!$F$8=TRUE,Inputs!$F$8="TRUE",Inputs!$F$8=1),(Inputs!$H$8+Inputs!$L$8*(((Inputs!$I$8+(((A161)+1)/2)*(Inputs!$J$8-Inputs!$I$8)))/Inputs!$K$8)^2),NA())</f>
        <v>136.92812500000002</v>
      </c>
      <c r="E161" s="9">
        <f>IF(OR(Inputs!$F$9=TRUE,Inputs!$F$9="TRUE",Inputs!$F$9=1),(Inputs!$H$9+Inputs!$L$9*(((Inputs!$I$9+(((A161)+1)/2)*(Inputs!$J$9-Inputs!$I$9)))/Inputs!$K$9)^2),NA())</f>
        <v>127.98437500000001</v>
      </c>
      <c r="F161" s="10"/>
      <c r="G161" s="9">
        <f t="shared" si="12"/>
        <v>0.32500000000000001</v>
      </c>
      <c r="H161" s="9">
        <f>IF(OR(Inputs!$F$6=TRUE,Inputs!$F$6="TRUE",Inputs!$F$6=1),(((SQRT(((Inputs!$I$6+(((A161)+1)/2)*(Inputs!$J$6-Inputs!$I$6)))^2+Inputs!$C$6^2+((Inputs!$H$6+Inputs!$L$6*(((Inputs!$I$6+(((A161)+1)/2)*(Inputs!$J$6-Inputs!$I$6)))/Inputs!$K$6)^2))^2))-((Inputs!$H$6+Inputs!$L$6*(((Inputs!$I$6+(((A161)+1)/2)*(Inputs!$J$6-Inputs!$I$6)))/Inputs!$K$6)^2)))*1000/Inputs!$C$12),NA())</f>
        <v>704.08727753711707</v>
      </c>
      <c r="I161" s="9">
        <f>IF(OR(Inputs!$F$7=TRUE,Inputs!$F$7="TRUE",Inputs!$F$7=1),(((SQRT(((Inputs!$I$7+(((A161)+1)/2)*(Inputs!$J$7-Inputs!$I$7)))^2+Inputs!$C$6^2+((Inputs!$H$7+Inputs!$L$7*(((Inputs!$I$7+(((A161)+1)/2)*(Inputs!$J$7-Inputs!$I$7)))/Inputs!$K$7)^2))^2))-((Inputs!$H$7+Inputs!$L$7*(((Inputs!$I$7+(((A161)+1)/2)*(Inputs!$J$7-Inputs!$I$7)))/Inputs!$K$7)^2)))*1000/Inputs!$C$12),NA())</f>
        <v>43758.50503075387</v>
      </c>
      <c r="J161" s="9">
        <f>IF(OR(Inputs!$F$8=TRUE,Inputs!$F$8="TRUE",Inputs!$F$8=1),(((SQRT(((Inputs!$I$8+(((A161)+1)/2)*(Inputs!$J$8-Inputs!$I$8)))^2+Inputs!$C$6^2+((Inputs!$H$8+Inputs!$L$8*(((Inputs!$I$8+(((A161)+1)/2)*(Inputs!$J$8-Inputs!$I$8)))/Inputs!$K$8)^2))^2))-((Inputs!$H$8+Inputs!$L$8*(((Inputs!$I$8+(((A161)+1)/2)*(Inputs!$J$8-Inputs!$I$8)))/Inputs!$K$8)^2)))*1000/Inputs!$C$12),NA())</f>
        <v>88756.151478620013</v>
      </c>
      <c r="K161" s="9">
        <f>IF(OR(Inputs!$F$9=TRUE,Inputs!$F$9="TRUE",Inputs!$F$9=1),(((SQRT(((Inputs!$I$9+(((A161)+1)/2)*(Inputs!$J$9-Inputs!$I$9)))^2+Inputs!$C$6^2+((Inputs!$H$9+Inputs!$L$9*(((Inputs!$I$9+(((A161)+1)/2)*(Inputs!$J$9-Inputs!$I$9)))/Inputs!$K$9)^2))^2))-((Inputs!$H$9+Inputs!$L$9*(((Inputs!$I$9+(((A161)+1)/2)*(Inputs!$J$9-Inputs!$I$9)))/Inputs!$K$9)^2)))*1000/Inputs!$C$12),NA())</f>
        <v>91508.433659950737</v>
      </c>
      <c r="L161" s="10"/>
      <c r="M161" s="9">
        <f t="shared" si="13"/>
        <v>0.32500000000000001</v>
      </c>
      <c r="N161" s="9">
        <f>IF(OR(Inputs!$F$6=TRUE,Inputs!$F$6="TRUE",Inputs!$F$6=1),(-2*((1000*((((Inputs!$I$6+(((A161)+1)/2)*(Inputs!$J$6-Inputs!$I$6)))*Inputs!$C$11+((Inputs!$H$6+Inputs!$L$6*(((Inputs!$I$6+(((A161)+1)/2)*(Inputs!$J$6-Inputs!$I$6)))/Inputs!$K$6)^2))*((2*Inputs!$L$6*((Inputs!$I$6+(((A161)+1)/2)*(Inputs!$J$6-Inputs!$I$6)))/(Inputs!$K$6^2)*Inputs!$C$11)))/(SQRT(((Inputs!$I$6+(((A161)+1)/2)*(Inputs!$J$6-Inputs!$I$6)))^2+Inputs!$C$6^2+((Inputs!$H$6+Inputs!$L$6*(((Inputs!$I$6+(((A161)+1)/2)*(Inputs!$J$6-Inputs!$I$6)))/Inputs!$K$6)^2))^2)))))/Inputs!$C$13),NA())</f>
        <v>-146.79159233513667</v>
      </c>
      <c r="O161" s="9">
        <f>IF(OR(Inputs!$F$7=TRUE,Inputs!$F$7="TRUE",Inputs!$F$7=1),(-2*((1000*((((Inputs!$I$7+(((A161)+1)/2)*(Inputs!$J$7-Inputs!$I$7)))*Inputs!$C$11+((Inputs!$H$7+Inputs!$L$7*(((Inputs!$I$7+(((A161)+1)/2)*(Inputs!$J$7-Inputs!$I$7)))/Inputs!$K$7)^2))*((2*Inputs!$L$7*((Inputs!$I$7+(((A161)+1)/2)*(Inputs!$J$7-Inputs!$I$7)))/(Inputs!$K$7^2)*Inputs!$C$11)))/(SQRT(((Inputs!$I$7+(((A161)+1)/2)*(Inputs!$J$7-Inputs!$I$7)))^2+Inputs!$C$6^2+((Inputs!$H$7+Inputs!$L$7*(((Inputs!$I$7+(((A161)+1)/2)*(Inputs!$J$7-Inputs!$I$7)))/Inputs!$K$7)^2))^2)))))/Inputs!$C$13),NA())</f>
        <v>-1834.3629711257395</v>
      </c>
      <c r="P161" s="9">
        <f>IF(OR(Inputs!$F$8=TRUE,Inputs!$F$8="TRUE",Inputs!$F$8=1),(-2*((1000*((((Inputs!$I$8+(((A161)+1)/2)*(Inputs!$J$8-Inputs!$I$8)))*Inputs!$C$11+((Inputs!$H$8+Inputs!$L$8*(((Inputs!$I$8+(((A161)+1)/2)*(Inputs!$J$8-Inputs!$I$8)))/Inputs!$K$8)^2))*((2*Inputs!$L$8*((Inputs!$I$8+(((A161)+1)/2)*(Inputs!$J$8-Inputs!$I$8)))/(Inputs!$K$8^2)*Inputs!$C$11)))/(SQRT(((Inputs!$I$8+(((A161)+1)/2)*(Inputs!$J$8-Inputs!$I$8)))^2+Inputs!$C$6^2+((Inputs!$H$8+Inputs!$L$8*(((Inputs!$I$8+(((A161)+1)/2)*(Inputs!$J$8-Inputs!$I$8)))/Inputs!$K$8)^2))^2)))))/Inputs!$C$13),NA())</f>
        <v>-1993.0426635149645</v>
      </c>
      <c r="Q161" s="9">
        <f>IF(OR(Inputs!$F$9=TRUE,Inputs!$F$9="TRUE",Inputs!$F$9=1),(-2*((1000*((((Inputs!$I$9+(((A161)+1)/2)*(Inputs!$J$9-Inputs!$I$9)))*Inputs!$C$11+((Inputs!$H$9+Inputs!$L$9*(((Inputs!$I$9+(((A161)+1)/2)*(Inputs!$J$9-Inputs!$I$9)))/Inputs!$K$9)^2))*((2*Inputs!$L$9*((Inputs!$I$9+(((A161)+1)/2)*(Inputs!$J$9-Inputs!$I$9)))/(Inputs!$K$9^2)*Inputs!$C$11)))/(SQRT(((Inputs!$I$9+(((A161)+1)/2)*(Inputs!$J$9-Inputs!$I$9)))^2+Inputs!$C$6^2+((Inputs!$H$9+Inputs!$L$9*(((Inputs!$I$9+(((A161)+1)/2)*(Inputs!$J$9-Inputs!$I$9)))/Inputs!$K$9)^2))^2)))))/Inputs!$C$13),NA())</f>
        <v>-1987.9032353516245</v>
      </c>
      <c r="R161" s="10"/>
      <c r="S161" s="9">
        <f t="shared" si="14"/>
        <v>0.32500000000000001</v>
      </c>
      <c r="T161" s="9">
        <f>(Inputs!$I$6+(((A161)+1)/2)*(Inputs!$J$6-Inputs!$I$6))</f>
        <v>19.5</v>
      </c>
      <c r="U161" s="9">
        <f>(Inputs!$I$7+(((A161)+1)/2)*(Inputs!$J$7-Inputs!$I$7))</f>
        <v>130</v>
      </c>
      <c r="V161" s="9">
        <f>(Inputs!$I$8+(((A161)+1)/2)*(Inputs!$J$8-Inputs!$I$8))</f>
        <v>260</v>
      </c>
      <c r="W161" s="9">
        <f>(Inputs!$I$9+(((A161)+1)/2)*(Inputs!$J$9-Inputs!$I$9))</f>
        <v>260</v>
      </c>
      <c r="X161" s="10"/>
      <c r="Y161" s="9">
        <f t="shared" si="15"/>
        <v>0.32500000000000001</v>
      </c>
      <c r="Z161" s="9">
        <f>(Inputs!$H$6+Inputs!$L$6*(((Inputs!$I$6+(((A161)+1)/2)*(Inputs!$J$6-Inputs!$I$6)))/Inputs!$K$6)^2)</f>
        <v>400.42250000000001</v>
      </c>
      <c r="AA161" s="9">
        <f>(Inputs!$H$7+Inputs!$L$7*(((Inputs!$I$7+(((A161)+1)/2)*(Inputs!$J$7-Inputs!$I$7)))/Inputs!$K$7)^2)</f>
        <v>73.553124999999994</v>
      </c>
      <c r="AB161" s="9">
        <f>(Inputs!$H$8+Inputs!$L$8*(((Inputs!$I$8+(((A161)+1)/2)*(Inputs!$J$8-Inputs!$I$8)))/Inputs!$K$8)^2)</f>
        <v>136.92812500000002</v>
      </c>
      <c r="AC161" s="9">
        <f>(Inputs!$H$9+Inputs!$L$9*(((Inputs!$I$9+(((A161)+1)/2)*(Inputs!$J$9-Inputs!$I$9)))/Inputs!$K$9)^2)</f>
        <v>127.98437500000001</v>
      </c>
      <c r="AD161" s="10"/>
      <c r="AE161" s="9">
        <f t="shared" si="16"/>
        <v>0.32500000000000001</v>
      </c>
      <c r="AF161" s="9">
        <f>(((SQRT(((Inputs!$I$6+(((A161)+1)/2)*(Inputs!$J$6-Inputs!$I$6)))^2+Inputs!$C$6^2+((Inputs!$H$6+Inputs!$L$6*(((Inputs!$I$6+(((A161)+1)/2)*(Inputs!$J$6-Inputs!$I$6)))/Inputs!$K$6)^2))^2))-((Inputs!$H$6+Inputs!$L$6*(((Inputs!$I$6+(((A161)+1)/2)*(Inputs!$J$6-Inputs!$I$6)))/Inputs!$K$6)^2)))*1000/Inputs!$C$12)</f>
        <v>704.08727753711707</v>
      </c>
      <c r="AG161" s="9">
        <f>(((SQRT(((Inputs!$I$7+(((A161)+1)/2)*(Inputs!$J$7-Inputs!$I$7)))^2+Inputs!$C$6^2+((Inputs!$H$7+Inputs!$L$7*(((Inputs!$I$7+(((A161)+1)/2)*(Inputs!$J$7-Inputs!$I$7)))/Inputs!$K$7)^2))^2))-((Inputs!$H$7+Inputs!$L$7*(((Inputs!$I$7+(((A161)+1)/2)*(Inputs!$J$7-Inputs!$I$7)))/Inputs!$K$7)^2)))*1000/Inputs!$C$12)</f>
        <v>43758.50503075387</v>
      </c>
      <c r="AH161" s="9">
        <f>(((SQRT(((Inputs!$I$8+(((A161)+1)/2)*(Inputs!$J$8-Inputs!$I$8)))^2+Inputs!$C$6^2+((Inputs!$H$8+Inputs!$L$8*(((Inputs!$I$8+(((A161)+1)/2)*(Inputs!$J$8-Inputs!$I$8)))/Inputs!$K$8)^2))^2))-((Inputs!$H$8+Inputs!$L$8*(((Inputs!$I$8+(((A161)+1)/2)*(Inputs!$J$8-Inputs!$I$8)))/Inputs!$K$8)^2)))*1000/Inputs!$C$12)</f>
        <v>88756.151478620013</v>
      </c>
      <c r="AI161" s="9">
        <f>(((SQRT(((Inputs!$I$9+(((A161)+1)/2)*(Inputs!$J$9-Inputs!$I$9)))^2+Inputs!$C$6^2+((Inputs!$H$9+Inputs!$L$9*(((Inputs!$I$9+(((A161)+1)/2)*(Inputs!$J$9-Inputs!$I$9)))/Inputs!$K$9)^2))^2))-((Inputs!$H$9+Inputs!$L$9*(((Inputs!$I$9+(((A161)+1)/2)*(Inputs!$J$9-Inputs!$I$9)))/Inputs!$K$9)^2)))*1000/Inputs!$C$12)</f>
        <v>91508.433659950737</v>
      </c>
      <c r="AJ161" s="10"/>
      <c r="AK161" s="9">
        <f t="shared" si="17"/>
        <v>0.32500000000000001</v>
      </c>
      <c r="AL161" s="9">
        <f>(-2*((1000*((((Inputs!$I$6+(((A161)+1)/2)*(Inputs!$J$6-Inputs!$I$6)))*Inputs!$C$11+((Inputs!$H$6+Inputs!$L$6*(((Inputs!$I$6+(((A161)+1)/2)*(Inputs!$J$6-Inputs!$I$6)))/Inputs!$K$6)^2))*((2*Inputs!$L$6*((Inputs!$I$6+(((A161)+1)/2)*(Inputs!$J$6-Inputs!$I$6)))/(Inputs!$K$6^2)*Inputs!$C$11)))/(SQRT(((Inputs!$I$6+(((A161)+1)/2)*(Inputs!$J$6-Inputs!$I$6)))^2+Inputs!$C$6^2+((Inputs!$H$6+Inputs!$L$6*(((Inputs!$I$6+(((A161)+1)/2)*(Inputs!$J$6-Inputs!$I$6)))/Inputs!$K$6)^2))^2)))))/Inputs!$C$13)</f>
        <v>-146.79159233513667</v>
      </c>
      <c r="AM161" s="9">
        <f>(-2*((1000*((((Inputs!$I$7+(((A161)+1)/2)*(Inputs!$J$7-Inputs!$I$7)))*Inputs!$C$11+((Inputs!$H$7+Inputs!$L$7*(((Inputs!$I$7+(((A161)+1)/2)*(Inputs!$J$7-Inputs!$I$7)))/Inputs!$K$7)^2))*((2*Inputs!$L$7*((Inputs!$I$7+(((A161)+1)/2)*(Inputs!$J$7-Inputs!$I$7)))/(Inputs!$K$7^2)*Inputs!$C$11)))/(SQRT(((Inputs!$I$7+(((A161)+1)/2)*(Inputs!$J$7-Inputs!$I$7)))^2+Inputs!$C$6^2+((Inputs!$H$7+Inputs!$L$7*(((Inputs!$I$7+(((A161)+1)/2)*(Inputs!$J$7-Inputs!$I$7)))/Inputs!$K$7)^2))^2)))))/Inputs!$C$13)</f>
        <v>-1834.3629711257395</v>
      </c>
      <c r="AN161" s="9">
        <f>(-2*((1000*((((Inputs!$I$8+(((A161)+1)/2)*(Inputs!$J$8-Inputs!$I$8)))*Inputs!$C$11+((Inputs!$H$8+Inputs!$L$8*(((Inputs!$I$8+(((A161)+1)/2)*(Inputs!$J$8-Inputs!$I$8)))/Inputs!$K$8)^2))*((2*Inputs!$L$8*((Inputs!$I$8+(((A161)+1)/2)*(Inputs!$J$8-Inputs!$I$8)))/(Inputs!$K$8^2)*Inputs!$C$11)))/(SQRT(((Inputs!$I$8+(((A161)+1)/2)*(Inputs!$J$8-Inputs!$I$8)))^2+Inputs!$C$6^2+((Inputs!$H$8+Inputs!$L$8*(((Inputs!$I$8+(((A161)+1)/2)*(Inputs!$J$8-Inputs!$I$8)))/Inputs!$K$8)^2))^2)))))/Inputs!$C$13)</f>
        <v>-1993.0426635149645</v>
      </c>
      <c r="AO161" s="9">
        <f>(-2*((1000*((((Inputs!$I$9+(((A161)+1)/2)*(Inputs!$J$9-Inputs!$I$9)))*Inputs!$C$11+((Inputs!$H$9+Inputs!$L$9*(((Inputs!$I$9+(((A161)+1)/2)*(Inputs!$J$9-Inputs!$I$9)))/Inputs!$K$9)^2))*((2*Inputs!$L$9*((Inputs!$I$9+(((A161)+1)/2)*(Inputs!$J$9-Inputs!$I$9)))/(Inputs!$K$9^2)*Inputs!$C$11)))/(SQRT(((Inputs!$I$9+(((A161)+1)/2)*(Inputs!$J$9-Inputs!$I$9)))^2+Inputs!$C$6^2+((Inputs!$H$9+Inputs!$L$9*(((Inputs!$I$9+(((A161)+1)/2)*(Inputs!$J$9-Inputs!$I$9)))/Inputs!$K$9)^2))^2)))))/Inputs!$C$13)</f>
        <v>-1987.9032353516245</v>
      </c>
    </row>
    <row r="162" spans="1:41">
      <c r="A162" s="9">
        <f>ROUND(-1+160*2/240,3)</f>
        <v>0.33300000000000002</v>
      </c>
      <c r="B162" s="9">
        <f>IF(OR(Inputs!$F$6=TRUE,Inputs!$F$6="TRUE",Inputs!$F$6=1),(Inputs!$H$6+Inputs!$L$6*(((Inputs!$I$6+(((A162)+1)/2)*(Inputs!$J$6-Inputs!$I$6)))/Inputs!$K$6)^2),NA())</f>
        <v>400.443556</v>
      </c>
      <c r="C162" s="9">
        <f>IF(OR(Inputs!$F$7=TRUE,Inputs!$F$7="TRUE",Inputs!$F$7=1),(Inputs!$H$7+Inputs!$L$7*(((Inputs!$I$7+(((A162)+1)/2)*(Inputs!$J$7-Inputs!$I$7)))/Inputs!$K$7)^2),NA())</f>
        <v>75.474484999999959</v>
      </c>
      <c r="D162" s="9">
        <f>IF(OR(Inputs!$F$8=TRUE,Inputs!$F$8="TRUE",Inputs!$F$8=1),(Inputs!$H$8+Inputs!$L$8*(((Inputs!$I$8+(((A162)+1)/2)*(Inputs!$J$8-Inputs!$I$8)))/Inputs!$K$8)^2),NA())</f>
        <v>142.0078849999999</v>
      </c>
      <c r="E162" s="9">
        <f>IF(OR(Inputs!$F$9=TRUE,Inputs!$F$9="TRUE",Inputs!$F$9=1),(Inputs!$H$9+Inputs!$L$9*(((Inputs!$I$9+(((A162)+1)/2)*(Inputs!$J$9-Inputs!$I$9)))/Inputs!$K$9)^2),NA())</f>
        <v>133.1167749999999</v>
      </c>
      <c r="F162" s="10"/>
      <c r="G162" s="9">
        <f t="shared" si="12"/>
        <v>0.33300000000000002</v>
      </c>
      <c r="H162" s="9">
        <f>IF(OR(Inputs!$F$6=TRUE,Inputs!$F$6="TRUE",Inputs!$F$6=1),(((SQRT(((Inputs!$I$6+(((A162)+1)/2)*(Inputs!$J$6-Inputs!$I$6)))^2+Inputs!$C$6^2+((Inputs!$H$6+Inputs!$L$6*(((Inputs!$I$6+(((A162)+1)/2)*(Inputs!$J$6-Inputs!$I$6)))/Inputs!$K$6)^2))^2))-((Inputs!$H$6+Inputs!$L$6*(((Inputs!$I$6+(((A162)+1)/2)*(Inputs!$J$6-Inputs!$I$6)))/Inputs!$K$6)^2)))*1000/Inputs!$C$12),NA())</f>
        <v>717.30163468477042</v>
      </c>
      <c r="I162" s="9">
        <f>IF(OR(Inputs!$F$7=TRUE,Inputs!$F$7="TRUE",Inputs!$F$7=1),(((SQRT(((Inputs!$I$7+(((A162)+1)/2)*(Inputs!$J$7-Inputs!$I$7)))^2+Inputs!$C$6^2+((Inputs!$H$7+Inputs!$L$7*(((Inputs!$I$7+(((A162)+1)/2)*(Inputs!$J$7-Inputs!$I$7)))/Inputs!$K$7)^2))^2))-((Inputs!$H$7+Inputs!$L$7*(((Inputs!$I$7+(((A162)+1)/2)*(Inputs!$J$7-Inputs!$I$7)))/Inputs!$K$7)^2)))*1000/Inputs!$C$12),NA())</f>
        <v>44747.249028231476</v>
      </c>
      <c r="J162" s="9">
        <f>IF(OR(Inputs!$F$8=TRUE,Inputs!$F$8="TRUE",Inputs!$F$8=1),(((SQRT(((Inputs!$I$8+(((A162)+1)/2)*(Inputs!$J$8-Inputs!$I$8)))^2+Inputs!$C$6^2+((Inputs!$H$8+Inputs!$L$8*(((Inputs!$I$8+(((A162)+1)/2)*(Inputs!$J$8-Inputs!$I$8)))/Inputs!$K$8)^2))^2))-((Inputs!$H$8+Inputs!$L$8*(((Inputs!$I$8+(((A162)+1)/2)*(Inputs!$J$8-Inputs!$I$8)))/Inputs!$K$8)^2)))*1000/Inputs!$C$12),NA())</f>
        <v>90399.761380133976</v>
      </c>
      <c r="K162" s="9">
        <f>IF(OR(Inputs!$F$9=TRUE,Inputs!$F$9="TRUE",Inputs!$F$9=1),(((SQRT(((Inputs!$I$9+(((A162)+1)/2)*(Inputs!$J$9-Inputs!$I$9)))^2+Inputs!$C$6^2+((Inputs!$H$9+Inputs!$L$9*(((Inputs!$I$9+(((A162)+1)/2)*(Inputs!$J$9-Inputs!$I$9)))/Inputs!$K$9)^2))^2))-((Inputs!$H$9+Inputs!$L$9*(((Inputs!$I$9+(((A162)+1)/2)*(Inputs!$J$9-Inputs!$I$9)))/Inputs!$K$9)^2)))*1000/Inputs!$C$12),NA())</f>
        <v>93111.10365792978</v>
      </c>
      <c r="L162" s="10"/>
      <c r="M162" s="9">
        <f t="shared" si="13"/>
        <v>0.33300000000000002</v>
      </c>
      <c r="N162" s="9">
        <f>IF(OR(Inputs!$F$6=TRUE,Inputs!$F$6="TRUE",Inputs!$F$6=1),(-2*((1000*((((Inputs!$I$6+(((A162)+1)/2)*(Inputs!$J$6-Inputs!$I$6)))*Inputs!$C$11+((Inputs!$H$6+Inputs!$L$6*(((Inputs!$I$6+(((A162)+1)/2)*(Inputs!$J$6-Inputs!$I$6)))/Inputs!$K$6)^2))*((2*Inputs!$L$6*((Inputs!$I$6+(((A162)+1)/2)*(Inputs!$J$6-Inputs!$I$6)))/(Inputs!$K$6^2)*Inputs!$C$11)))/(SQRT(((Inputs!$I$6+(((A162)+1)/2)*(Inputs!$J$6-Inputs!$I$6)))^2+Inputs!$C$6^2+((Inputs!$H$6+Inputs!$L$6*(((Inputs!$I$6+(((A162)+1)/2)*(Inputs!$J$6-Inputs!$I$6)))/Inputs!$K$6)^2))^2)))))/Inputs!$C$13),NA())</f>
        <v>-150.39195744163493</v>
      </c>
      <c r="O162" s="9">
        <f>IF(OR(Inputs!$F$7=TRUE,Inputs!$F$7="TRUE",Inputs!$F$7=1),(-2*((1000*((((Inputs!$I$7+(((A162)+1)/2)*(Inputs!$J$7-Inputs!$I$7)))*Inputs!$C$11+((Inputs!$H$7+Inputs!$L$7*(((Inputs!$I$7+(((A162)+1)/2)*(Inputs!$J$7-Inputs!$I$7)))/Inputs!$K$7)^2))*((2*Inputs!$L$7*((Inputs!$I$7+(((A162)+1)/2)*(Inputs!$J$7-Inputs!$I$7)))/(Inputs!$K$7^2)*Inputs!$C$11)))/(SQRT(((Inputs!$I$7+(((A162)+1)/2)*(Inputs!$J$7-Inputs!$I$7)))^2+Inputs!$C$6^2+((Inputs!$H$7+Inputs!$L$7*(((Inputs!$I$7+(((A162)+1)/2)*(Inputs!$J$7-Inputs!$I$7)))/Inputs!$K$7)^2))^2)))))/Inputs!$C$13),NA())</f>
        <v>-1846.9565233298549</v>
      </c>
      <c r="P162" s="9">
        <f>IF(OR(Inputs!$F$8=TRUE,Inputs!$F$8="TRUE",Inputs!$F$8=1),(-2*((1000*((((Inputs!$I$8+(((A162)+1)/2)*(Inputs!$J$8-Inputs!$I$8)))*Inputs!$C$11+((Inputs!$H$8+Inputs!$L$8*(((Inputs!$I$8+(((A162)+1)/2)*(Inputs!$J$8-Inputs!$I$8)))/Inputs!$K$8)^2))*((2*Inputs!$L$8*((Inputs!$I$8+(((A162)+1)/2)*(Inputs!$J$8-Inputs!$I$8)))/(Inputs!$K$8^2)*Inputs!$C$11)))/(SQRT(((Inputs!$I$8+(((A162)+1)/2)*(Inputs!$J$8-Inputs!$I$8)))^2+Inputs!$C$6^2+((Inputs!$H$8+Inputs!$L$8*(((Inputs!$I$8+(((A162)+1)/2)*(Inputs!$J$8-Inputs!$I$8)))/Inputs!$K$8)^2))^2)))))/Inputs!$C$13),NA())</f>
        <v>-2009.6896208171506</v>
      </c>
      <c r="Q162" s="9">
        <f>IF(OR(Inputs!$F$9=TRUE,Inputs!$F$9="TRUE",Inputs!$F$9=1),(-2*((1000*((((Inputs!$I$9+(((A162)+1)/2)*(Inputs!$J$9-Inputs!$I$9)))*Inputs!$C$11+((Inputs!$H$9+Inputs!$L$9*(((Inputs!$I$9+(((A162)+1)/2)*(Inputs!$J$9-Inputs!$I$9)))/Inputs!$K$9)^2))*((2*Inputs!$L$9*((Inputs!$I$9+(((A162)+1)/2)*(Inputs!$J$9-Inputs!$I$9)))/(Inputs!$K$9^2)*Inputs!$C$11)))/(SQRT(((Inputs!$I$9+(((A162)+1)/2)*(Inputs!$J$9-Inputs!$I$9)))^2+Inputs!$C$6^2+((Inputs!$H$9+Inputs!$L$9*(((Inputs!$I$9+(((A162)+1)/2)*(Inputs!$J$9-Inputs!$I$9)))/Inputs!$K$9)^2))^2)))))/Inputs!$C$13),NA())</f>
        <v>-2004.7169324333361</v>
      </c>
      <c r="R162" s="10"/>
      <c r="S162" s="9">
        <f t="shared" si="14"/>
        <v>0.33300000000000002</v>
      </c>
      <c r="T162" s="9">
        <f>(Inputs!$I$6+(((A162)+1)/2)*(Inputs!$J$6-Inputs!$I$6))</f>
        <v>19.980000000000004</v>
      </c>
      <c r="U162" s="9">
        <f>(Inputs!$I$7+(((A162)+1)/2)*(Inputs!$J$7-Inputs!$I$7))</f>
        <v>133.19999999999993</v>
      </c>
      <c r="V162" s="9">
        <f>(Inputs!$I$8+(((A162)+1)/2)*(Inputs!$J$8-Inputs!$I$8))</f>
        <v>266.39999999999986</v>
      </c>
      <c r="W162" s="9">
        <f>(Inputs!$I$9+(((A162)+1)/2)*(Inputs!$J$9-Inputs!$I$9))</f>
        <v>266.39999999999986</v>
      </c>
      <c r="X162" s="10"/>
      <c r="Y162" s="9">
        <f t="shared" si="15"/>
        <v>0.33300000000000002</v>
      </c>
      <c r="Z162" s="9">
        <f>(Inputs!$H$6+Inputs!$L$6*(((Inputs!$I$6+(((A162)+1)/2)*(Inputs!$J$6-Inputs!$I$6)))/Inputs!$K$6)^2)</f>
        <v>400.443556</v>
      </c>
      <c r="AA162" s="9">
        <f>(Inputs!$H$7+Inputs!$L$7*(((Inputs!$I$7+(((A162)+1)/2)*(Inputs!$J$7-Inputs!$I$7)))/Inputs!$K$7)^2)</f>
        <v>75.474484999999959</v>
      </c>
      <c r="AB162" s="9">
        <f>(Inputs!$H$8+Inputs!$L$8*(((Inputs!$I$8+(((A162)+1)/2)*(Inputs!$J$8-Inputs!$I$8)))/Inputs!$K$8)^2)</f>
        <v>142.0078849999999</v>
      </c>
      <c r="AC162" s="9">
        <f>(Inputs!$H$9+Inputs!$L$9*(((Inputs!$I$9+(((A162)+1)/2)*(Inputs!$J$9-Inputs!$I$9)))/Inputs!$K$9)^2)</f>
        <v>133.1167749999999</v>
      </c>
      <c r="AD162" s="10"/>
      <c r="AE162" s="9">
        <f t="shared" si="16"/>
        <v>0.33300000000000002</v>
      </c>
      <c r="AF162" s="9">
        <f>(((SQRT(((Inputs!$I$6+(((A162)+1)/2)*(Inputs!$J$6-Inputs!$I$6)))^2+Inputs!$C$6^2+((Inputs!$H$6+Inputs!$L$6*(((Inputs!$I$6+(((A162)+1)/2)*(Inputs!$J$6-Inputs!$I$6)))/Inputs!$K$6)^2))^2))-((Inputs!$H$6+Inputs!$L$6*(((Inputs!$I$6+(((A162)+1)/2)*(Inputs!$J$6-Inputs!$I$6)))/Inputs!$K$6)^2)))*1000/Inputs!$C$12)</f>
        <v>717.30163468477042</v>
      </c>
      <c r="AG162" s="9">
        <f>(((SQRT(((Inputs!$I$7+(((A162)+1)/2)*(Inputs!$J$7-Inputs!$I$7)))^2+Inputs!$C$6^2+((Inputs!$H$7+Inputs!$L$7*(((Inputs!$I$7+(((A162)+1)/2)*(Inputs!$J$7-Inputs!$I$7)))/Inputs!$K$7)^2))^2))-((Inputs!$H$7+Inputs!$L$7*(((Inputs!$I$7+(((A162)+1)/2)*(Inputs!$J$7-Inputs!$I$7)))/Inputs!$K$7)^2)))*1000/Inputs!$C$12)</f>
        <v>44747.249028231476</v>
      </c>
      <c r="AH162" s="9">
        <f>(((SQRT(((Inputs!$I$8+(((A162)+1)/2)*(Inputs!$J$8-Inputs!$I$8)))^2+Inputs!$C$6^2+((Inputs!$H$8+Inputs!$L$8*(((Inputs!$I$8+(((A162)+1)/2)*(Inputs!$J$8-Inputs!$I$8)))/Inputs!$K$8)^2))^2))-((Inputs!$H$8+Inputs!$L$8*(((Inputs!$I$8+(((A162)+1)/2)*(Inputs!$J$8-Inputs!$I$8)))/Inputs!$K$8)^2)))*1000/Inputs!$C$12)</f>
        <v>90399.761380133976</v>
      </c>
      <c r="AI162" s="9">
        <f>(((SQRT(((Inputs!$I$9+(((A162)+1)/2)*(Inputs!$J$9-Inputs!$I$9)))^2+Inputs!$C$6^2+((Inputs!$H$9+Inputs!$L$9*(((Inputs!$I$9+(((A162)+1)/2)*(Inputs!$J$9-Inputs!$I$9)))/Inputs!$K$9)^2))^2))-((Inputs!$H$9+Inputs!$L$9*(((Inputs!$I$9+(((A162)+1)/2)*(Inputs!$J$9-Inputs!$I$9)))/Inputs!$K$9)^2)))*1000/Inputs!$C$12)</f>
        <v>93111.10365792978</v>
      </c>
      <c r="AJ162" s="10"/>
      <c r="AK162" s="9">
        <f t="shared" si="17"/>
        <v>0.33300000000000002</v>
      </c>
      <c r="AL162" s="9">
        <f>(-2*((1000*((((Inputs!$I$6+(((A162)+1)/2)*(Inputs!$J$6-Inputs!$I$6)))*Inputs!$C$11+((Inputs!$H$6+Inputs!$L$6*(((Inputs!$I$6+(((A162)+1)/2)*(Inputs!$J$6-Inputs!$I$6)))/Inputs!$K$6)^2))*((2*Inputs!$L$6*((Inputs!$I$6+(((A162)+1)/2)*(Inputs!$J$6-Inputs!$I$6)))/(Inputs!$K$6^2)*Inputs!$C$11)))/(SQRT(((Inputs!$I$6+(((A162)+1)/2)*(Inputs!$J$6-Inputs!$I$6)))^2+Inputs!$C$6^2+((Inputs!$H$6+Inputs!$L$6*(((Inputs!$I$6+(((A162)+1)/2)*(Inputs!$J$6-Inputs!$I$6)))/Inputs!$K$6)^2))^2)))))/Inputs!$C$13)</f>
        <v>-150.39195744163493</v>
      </c>
      <c r="AM162" s="9">
        <f>(-2*((1000*((((Inputs!$I$7+(((A162)+1)/2)*(Inputs!$J$7-Inputs!$I$7)))*Inputs!$C$11+((Inputs!$H$7+Inputs!$L$7*(((Inputs!$I$7+(((A162)+1)/2)*(Inputs!$J$7-Inputs!$I$7)))/Inputs!$K$7)^2))*((2*Inputs!$L$7*((Inputs!$I$7+(((A162)+1)/2)*(Inputs!$J$7-Inputs!$I$7)))/(Inputs!$K$7^2)*Inputs!$C$11)))/(SQRT(((Inputs!$I$7+(((A162)+1)/2)*(Inputs!$J$7-Inputs!$I$7)))^2+Inputs!$C$6^2+((Inputs!$H$7+Inputs!$L$7*(((Inputs!$I$7+(((A162)+1)/2)*(Inputs!$J$7-Inputs!$I$7)))/Inputs!$K$7)^2))^2)))))/Inputs!$C$13)</f>
        <v>-1846.9565233298549</v>
      </c>
      <c r="AN162" s="9">
        <f>(-2*((1000*((((Inputs!$I$8+(((A162)+1)/2)*(Inputs!$J$8-Inputs!$I$8)))*Inputs!$C$11+((Inputs!$H$8+Inputs!$L$8*(((Inputs!$I$8+(((A162)+1)/2)*(Inputs!$J$8-Inputs!$I$8)))/Inputs!$K$8)^2))*((2*Inputs!$L$8*((Inputs!$I$8+(((A162)+1)/2)*(Inputs!$J$8-Inputs!$I$8)))/(Inputs!$K$8^2)*Inputs!$C$11)))/(SQRT(((Inputs!$I$8+(((A162)+1)/2)*(Inputs!$J$8-Inputs!$I$8)))^2+Inputs!$C$6^2+((Inputs!$H$8+Inputs!$L$8*(((Inputs!$I$8+(((A162)+1)/2)*(Inputs!$J$8-Inputs!$I$8)))/Inputs!$K$8)^2))^2)))))/Inputs!$C$13)</f>
        <v>-2009.6896208171506</v>
      </c>
      <c r="AO162" s="9">
        <f>(-2*((1000*((((Inputs!$I$9+(((A162)+1)/2)*(Inputs!$J$9-Inputs!$I$9)))*Inputs!$C$11+((Inputs!$H$9+Inputs!$L$9*(((Inputs!$I$9+(((A162)+1)/2)*(Inputs!$J$9-Inputs!$I$9)))/Inputs!$K$9)^2))*((2*Inputs!$L$9*((Inputs!$I$9+(((A162)+1)/2)*(Inputs!$J$9-Inputs!$I$9)))/(Inputs!$K$9^2)*Inputs!$C$11)))/(SQRT(((Inputs!$I$9+(((A162)+1)/2)*(Inputs!$J$9-Inputs!$I$9)))^2+Inputs!$C$6^2+((Inputs!$H$9+Inputs!$L$9*(((Inputs!$I$9+(((A162)+1)/2)*(Inputs!$J$9-Inputs!$I$9)))/Inputs!$K$9)^2))^2)))))/Inputs!$C$13)</f>
        <v>-2004.7169324333361</v>
      </c>
    </row>
    <row r="163" spans="1:41">
      <c r="A163" s="9">
        <f>ROUND(-1+161*2/240,3)</f>
        <v>0.34200000000000003</v>
      </c>
      <c r="B163" s="9">
        <f>IF(OR(Inputs!$F$6=TRUE,Inputs!$F$6="TRUE",Inputs!$F$6=1),(Inputs!$H$6+Inputs!$L$6*(((Inputs!$I$6+(((A163)+1)/2)*(Inputs!$J$6-Inputs!$I$6)))/Inputs!$K$6)^2),NA())</f>
        <v>400.46785599999998</v>
      </c>
      <c r="C163" s="9">
        <f>IF(OR(Inputs!$F$7=TRUE,Inputs!$F$7="TRUE",Inputs!$F$7=1),(Inputs!$H$7+Inputs!$L$7*(((Inputs!$I$7+(((A163)+1)/2)*(Inputs!$J$7-Inputs!$I$7)))/Inputs!$K$7)^2),NA())</f>
        <v>77.691860000000048</v>
      </c>
      <c r="D163" s="9">
        <f>IF(OR(Inputs!$F$8=TRUE,Inputs!$F$8="TRUE",Inputs!$F$8=1),(Inputs!$H$8+Inputs!$L$8*(((Inputs!$I$8+(((A163)+1)/2)*(Inputs!$J$8-Inputs!$I$8)))/Inputs!$K$8)^2),NA())</f>
        <v>147.87026000000014</v>
      </c>
      <c r="E163" s="9">
        <f>IF(OR(Inputs!$F$9=TRUE,Inputs!$F$9="TRUE",Inputs!$F$9=1),(Inputs!$H$9+Inputs!$L$9*(((Inputs!$I$9+(((A163)+1)/2)*(Inputs!$J$9-Inputs!$I$9)))/Inputs!$K$9)^2),NA())</f>
        <v>139.03990000000013</v>
      </c>
      <c r="F163" s="10"/>
      <c r="G163" s="9">
        <f t="shared" si="12"/>
        <v>0.34200000000000003</v>
      </c>
      <c r="H163" s="9">
        <f>IF(OR(Inputs!$F$6=TRUE,Inputs!$F$6="TRUE",Inputs!$F$6=1),(((SQRT(((Inputs!$I$6+(((A163)+1)/2)*(Inputs!$J$6-Inputs!$I$6)))^2+Inputs!$C$6^2+((Inputs!$H$6+Inputs!$L$6*(((Inputs!$I$6+(((A163)+1)/2)*(Inputs!$J$6-Inputs!$I$6)))/Inputs!$K$6)^2))^2))-((Inputs!$H$6+Inputs!$L$6*(((Inputs!$I$6+(((A163)+1)/2)*(Inputs!$J$6-Inputs!$I$6)))/Inputs!$K$6)^2)))*1000/Inputs!$C$12),NA())</f>
        <v>732.54918319297133</v>
      </c>
      <c r="I163" s="9">
        <f>IF(OR(Inputs!$F$7=TRUE,Inputs!$F$7="TRUE",Inputs!$F$7=1),(((SQRT(((Inputs!$I$7+(((A163)+1)/2)*(Inputs!$J$7-Inputs!$I$7)))^2+Inputs!$C$6^2+((Inputs!$H$7+Inputs!$L$7*(((Inputs!$I$7+(((A163)+1)/2)*(Inputs!$J$7-Inputs!$I$7)))/Inputs!$K$7)^2))^2))-((Inputs!$H$7+Inputs!$L$7*(((Inputs!$I$7+(((A163)+1)/2)*(Inputs!$J$7-Inputs!$I$7)))/Inputs!$K$7)^2)))*1000/Inputs!$C$12),NA())</f>
        <v>45845.10974889846</v>
      </c>
      <c r="J163" s="9">
        <f>IF(OR(Inputs!$F$8=TRUE,Inputs!$F$8="TRUE",Inputs!$F$8=1),(((SQRT(((Inputs!$I$8+(((A163)+1)/2)*(Inputs!$J$8-Inputs!$I$8)))^2+Inputs!$C$6^2+((Inputs!$H$8+Inputs!$L$8*(((Inputs!$I$8+(((A163)+1)/2)*(Inputs!$J$8-Inputs!$I$8)))/Inputs!$K$8)^2))^2))-((Inputs!$H$8+Inputs!$L$8*(((Inputs!$I$8+(((A163)+1)/2)*(Inputs!$J$8-Inputs!$I$8)))/Inputs!$K$8)^2)))*1000/Inputs!$C$12),NA())</f>
        <v>92210.936617389671</v>
      </c>
      <c r="K163" s="9">
        <f>IF(OR(Inputs!$F$9=TRUE,Inputs!$F$9="TRUE",Inputs!$F$9=1),(((SQRT(((Inputs!$I$9+(((A163)+1)/2)*(Inputs!$J$9-Inputs!$I$9)))^2+Inputs!$C$6^2+((Inputs!$H$9+Inputs!$L$9*(((Inputs!$I$9+(((A163)+1)/2)*(Inputs!$J$9-Inputs!$I$9)))/Inputs!$K$9)^2))^2))-((Inputs!$H$9+Inputs!$L$9*(((Inputs!$I$9+(((A163)+1)/2)*(Inputs!$J$9-Inputs!$I$9)))/Inputs!$K$9)^2)))*1000/Inputs!$C$12),NA())</f>
        <v>94875.847088928291</v>
      </c>
      <c r="L163" s="10"/>
      <c r="M163" s="9">
        <f t="shared" si="13"/>
        <v>0.34200000000000003</v>
      </c>
      <c r="N163" s="9">
        <f>IF(OR(Inputs!$F$6=TRUE,Inputs!$F$6="TRUE",Inputs!$F$6=1),(-2*((1000*((((Inputs!$I$6+(((A163)+1)/2)*(Inputs!$J$6-Inputs!$I$6)))*Inputs!$C$11+((Inputs!$H$6+Inputs!$L$6*(((Inputs!$I$6+(((A163)+1)/2)*(Inputs!$J$6-Inputs!$I$6)))/Inputs!$K$6)^2))*((2*Inputs!$L$6*((Inputs!$I$6+(((A163)+1)/2)*(Inputs!$J$6-Inputs!$I$6)))/(Inputs!$K$6^2)*Inputs!$C$11)))/(SQRT(((Inputs!$I$6+(((A163)+1)/2)*(Inputs!$J$6-Inputs!$I$6)))^2+Inputs!$C$6^2+((Inputs!$H$6+Inputs!$L$6*(((Inputs!$I$6+(((A163)+1)/2)*(Inputs!$J$6-Inputs!$I$6)))/Inputs!$K$6)^2))^2)))))/Inputs!$C$13),NA())</f>
        <v>-154.44124194508157</v>
      </c>
      <c r="O163" s="9">
        <f>IF(OR(Inputs!$F$7=TRUE,Inputs!$F$7="TRUE",Inputs!$F$7=1),(-2*((1000*((((Inputs!$I$7+(((A163)+1)/2)*(Inputs!$J$7-Inputs!$I$7)))*Inputs!$C$11+((Inputs!$H$7+Inputs!$L$7*(((Inputs!$I$7+(((A163)+1)/2)*(Inputs!$J$7-Inputs!$I$7)))/Inputs!$K$7)^2))*((2*Inputs!$L$7*((Inputs!$I$7+(((A163)+1)/2)*(Inputs!$J$7-Inputs!$I$7)))/(Inputs!$K$7^2)*Inputs!$C$11)))/(SQRT(((Inputs!$I$7+(((A163)+1)/2)*(Inputs!$J$7-Inputs!$I$7)))^2+Inputs!$C$6^2+((Inputs!$H$7+Inputs!$L$7*(((Inputs!$I$7+(((A163)+1)/2)*(Inputs!$J$7-Inputs!$I$7)))/Inputs!$K$7)^2))^2)))))/Inputs!$C$13),NA())</f>
        <v>-1861.1007805766465</v>
      </c>
      <c r="P163" s="9">
        <f>IF(OR(Inputs!$F$8=TRUE,Inputs!$F$8="TRUE",Inputs!$F$8=1),(-2*((1000*((((Inputs!$I$8+(((A163)+1)/2)*(Inputs!$J$8-Inputs!$I$8)))*Inputs!$C$11+((Inputs!$H$8+Inputs!$L$8*(((Inputs!$I$8+(((A163)+1)/2)*(Inputs!$J$8-Inputs!$I$8)))/Inputs!$K$8)^2))*((2*Inputs!$L$8*((Inputs!$I$8+(((A163)+1)/2)*(Inputs!$J$8-Inputs!$I$8)))/(Inputs!$K$8^2)*Inputs!$C$11)))/(SQRT(((Inputs!$I$8+(((A163)+1)/2)*(Inputs!$J$8-Inputs!$I$8)))^2+Inputs!$C$6^2+((Inputs!$H$8+Inputs!$L$8*(((Inputs!$I$8+(((A163)+1)/2)*(Inputs!$J$8-Inputs!$I$8)))/Inputs!$K$8)^2))^2)))))/Inputs!$C$13),NA())</f>
        <v>-2028.7015028674673</v>
      </c>
      <c r="Q163" s="9">
        <f>IF(OR(Inputs!$F$9=TRUE,Inputs!$F$9="TRUE",Inputs!$F$9=1),(-2*((1000*((((Inputs!$I$9+(((A163)+1)/2)*(Inputs!$J$9-Inputs!$I$9)))*Inputs!$C$11+((Inputs!$H$9+Inputs!$L$9*(((Inputs!$I$9+(((A163)+1)/2)*(Inputs!$J$9-Inputs!$I$9)))/Inputs!$K$9)^2))*((2*Inputs!$L$9*((Inputs!$I$9+(((A163)+1)/2)*(Inputs!$J$9-Inputs!$I$9)))/(Inputs!$K$9^2)*Inputs!$C$11)))/(SQRT(((Inputs!$I$9+(((A163)+1)/2)*(Inputs!$J$9-Inputs!$I$9)))^2+Inputs!$C$6^2+((Inputs!$H$9+Inputs!$L$9*(((Inputs!$I$9+(((A163)+1)/2)*(Inputs!$J$9-Inputs!$I$9)))/Inputs!$K$9)^2))^2)))))/Inputs!$C$13),NA())</f>
        <v>-2023.9465742317029</v>
      </c>
      <c r="R163" s="10"/>
      <c r="S163" s="9">
        <f t="shared" si="14"/>
        <v>0.34200000000000003</v>
      </c>
      <c r="T163" s="9">
        <f>(Inputs!$I$6+(((A163)+1)/2)*(Inputs!$J$6-Inputs!$I$6))</f>
        <v>20.52000000000001</v>
      </c>
      <c r="U163" s="9">
        <f>(Inputs!$I$7+(((A163)+1)/2)*(Inputs!$J$7-Inputs!$I$7))</f>
        <v>136.80000000000007</v>
      </c>
      <c r="V163" s="9">
        <f>(Inputs!$I$8+(((A163)+1)/2)*(Inputs!$J$8-Inputs!$I$8))</f>
        <v>273.60000000000014</v>
      </c>
      <c r="W163" s="9">
        <f>(Inputs!$I$9+(((A163)+1)/2)*(Inputs!$J$9-Inputs!$I$9))</f>
        <v>273.60000000000014</v>
      </c>
      <c r="X163" s="10"/>
      <c r="Y163" s="9">
        <f t="shared" si="15"/>
        <v>0.34200000000000003</v>
      </c>
      <c r="Z163" s="9">
        <f>(Inputs!$H$6+Inputs!$L$6*(((Inputs!$I$6+(((A163)+1)/2)*(Inputs!$J$6-Inputs!$I$6)))/Inputs!$K$6)^2)</f>
        <v>400.46785599999998</v>
      </c>
      <c r="AA163" s="9">
        <f>(Inputs!$H$7+Inputs!$L$7*(((Inputs!$I$7+(((A163)+1)/2)*(Inputs!$J$7-Inputs!$I$7)))/Inputs!$K$7)^2)</f>
        <v>77.691860000000048</v>
      </c>
      <c r="AB163" s="9">
        <f>(Inputs!$H$8+Inputs!$L$8*(((Inputs!$I$8+(((A163)+1)/2)*(Inputs!$J$8-Inputs!$I$8)))/Inputs!$K$8)^2)</f>
        <v>147.87026000000014</v>
      </c>
      <c r="AC163" s="9">
        <f>(Inputs!$H$9+Inputs!$L$9*(((Inputs!$I$9+(((A163)+1)/2)*(Inputs!$J$9-Inputs!$I$9)))/Inputs!$K$9)^2)</f>
        <v>139.03990000000013</v>
      </c>
      <c r="AD163" s="10"/>
      <c r="AE163" s="9">
        <f t="shared" si="16"/>
        <v>0.34200000000000003</v>
      </c>
      <c r="AF163" s="9">
        <f>(((SQRT(((Inputs!$I$6+(((A163)+1)/2)*(Inputs!$J$6-Inputs!$I$6)))^2+Inputs!$C$6^2+((Inputs!$H$6+Inputs!$L$6*(((Inputs!$I$6+(((A163)+1)/2)*(Inputs!$J$6-Inputs!$I$6)))/Inputs!$K$6)^2))^2))-((Inputs!$H$6+Inputs!$L$6*(((Inputs!$I$6+(((A163)+1)/2)*(Inputs!$J$6-Inputs!$I$6)))/Inputs!$K$6)^2)))*1000/Inputs!$C$12)</f>
        <v>732.54918319297133</v>
      </c>
      <c r="AG163" s="9">
        <f>(((SQRT(((Inputs!$I$7+(((A163)+1)/2)*(Inputs!$J$7-Inputs!$I$7)))^2+Inputs!$C$6^2+((Inputs!$H$7+Inputs!$L$7*(((Inputs!$I$7+(((A163)+1)/2)*(Inputs!$J$7-Inputs!$I$7)))/Inputs!$K$7)^2))^2))-((Inputs!$H$7+Inputs!$L$7*(((Inputs!$I$7+(((A163)+1)/2)*(Inputs!$J$7-Inputs!$I$7)))/Inputs!$K$7)^2)))*1000/Inputs!$C$12)</f>
        <v>45845.10974889846</v>
      </c>
      <c r="AH163" s="9">
        <f>(((SQRT(((Inputs!$I$8+(((A163)+1)/2)*(Inputs!$J$8-Inputs!$I$8)))^2+Inputs!$C$6^2+((Inputs!$H$8+Inputs!$L$8*(((Inputs!$I$8+(((A163)+1)/2)*(Inputs!$J$8-Inputs!$I$8)))/Inputs!$K$8)^2))^2))-((Inputs!$H$8+Inputs!$L$8*(((Inputs!$I$8+(((A163)+1)/2)*(Inputs!$J$8-Inputs!$I$8)))/Inputs!$K$8)^2)))*1000/Inputs!$C$12)</f>
        <v>92210.936617389671</v>
      </c>
      <c r="AI163" s="9">
        <f>(((SQRT(((Inputs!$I$9+(((A163)+1)/2)*(Inputs!$J$9-Inputs!$I$9)))^2+Inputs!$C$6^2+((Inputs!$H$9+Inputs!$L$9*(((Inputs!$I$9+(((A163)+1)/2)*(Inputs!$J$9-Inputs!$I$9)))/Inputs!$K$9)^2))^2))-((Inputs!$H$9+Inputs!$L$9*(((Inputs!$I$9+(((A163)+1)/2)*(Inputs!$J$9-Inputs!$I$9)))/Inputs!$K$9)^2)))*1000/Inputs!$C$12)</f>
        <v>94875.847088928291</v>
      </c>
      <c r="AJ163" s="10"/>
      <c r="AK163" s="9">
        <f t="shared" si="17"/>
        <v>0.34200000000000003</v>
      </c>
      <c r="AL163" s="9">
        <f>(-2*((1000*((((Inputs!$I$6+(((A163)+1)/2)*(Inputs!$J$6-Inputs!$I$6)))*Inputs!$C$11+((Inputs!$H$6+Inputs!$L$6*(((Inputs!$I$6+(((A163)+1)/2)*(Inputs!$J$6-Inputs!$I$6)))/Inputs!$K$6)^2))*((2*Inputs!$L$6*((Inputs!$I$6+(((A163)+1)/2)*(Inputs!$J$6-Inputs!$I$6)))/(Inputs!$K$6^2)*Inputs!$C$11)))/(SQRT(((Inputs!$I$6+(((A163)+1)/2)*(Inputs!$J$6-Inputs!$I$6)))^2+Inputs!$C$6^2+((Inputs!$H$6+Inputs!$L$6*(((Inputs!$I$6+(((A163)+1)/2)*(Inputs!$J$6-Inputs!$I$6)))/Inputs!$K$6)^2))^2)))))/Inputs!$C$13)</f>
        <v>-154.44124194508157</v>
      </c>
      <c r="AM163" s="9">
        <f>(-2*((1000*((((Inputs!$I$7+(((A163)+1)/2)*(Inputs!$J$7-Inputs!$I$7)))*Inputs!$C$11+((Inputs!$H$7+Inputs!$L$7*(((Inputs!$I$7+(((A163)+1)/2)*(Inputs!$J$7-Inputs!$I$7)))/Inputs!$K$7)^2))*((2*Inputs!$L$7*((Inputs!$I$7+(((A163)+1)/2)*(Inputs!$J$7-Inputs!$I$7)))/(Inputs!$K$7^2)*Inputs!$C$11)))/(SQRT(((Inputs!$I$7+(((A163)+1)/2)*(Inputs!$J$7-Inputs!$I$7)))^2+Inputs!$C$6^2+((Inputs!$H$7+Inputs!$L$7*(((Inputs!$I$7+(((A163)+1)/2)*(Inputs!$J$7-Inputs!$I$7)))/Inputs!$K$7)^2))^2)))))/Inputs!$C$13)</f>
        <v>-1861.1007805766465</v>
      </c>
      <c r="AN163" s="9">
        <f>(-2*((1000*((((Inputs!$I$8+(((A163)+1)/2)*(Inputs!$J$8-Inputs!$I$8)))*Inputs!$C$11+((Inputs!$H$8+Inputs!$L$8*(((Inputs!$I$8+(((A163)+1)/2)*(Inputs!$J$8-Inputs!$I$8)))/Inputs!$K$8)^2))*((2*Inputs!$L$8*((Inputs!$I$8+(((A163)+1)/2)*(Inputs!$J$8-Inputs!$I$8)))/(Inputs!$K$8^2)*Inputs!$C$11)))/(SQRT(((Inputs!$I$8+(((A163)+1)/2)*(Inputs!$J$8-Inputs!$I$8)))^2+Inputs!$C$6^2+((Inputs!$H$8+Inputs!$L$8*(((Inputs!$I$8+(((A163)+1)/2)*(Inputs!$J$8-Inputs!$I$8)))/Inputs!$K$8)^2))^2)))))/Inputs!$C$13)</f>
        <v>-2028.7015028674673</v>
      </c>
      <c r="AO163" s="9">
        <f>(-2*((1000*((((Inputs!$I$9+(((A163)+1)/2)*(Inputs!$J$9-Inputs!$I$9)))*Inputs!$C$11+((Inputs!$H$9+Inputs!$L$9*(((Inputs!$I$9+(((A163)+1)/2)*(Inputs!$J$9-Inputs!$I$9)))/Inputs!$K$9)^2))*((2*Inputs!$L$9*((Inputs!$I$9+(((A163)+1)/2)*(Inputs!$J$9-Inputs!$I$9)))/(Inputs!$K$9^2)*Inputs!$C$11)))/(SQRT(((Inputs!$I$9+(((A163)+1)/2)*(Inputs!$J$9-Inputs!$I$9)))^2+Inputs!$C$6^2+((Inputs!$H$9+Inputs!$L$9*(((Inputs!$I$9+(((A163)+1)/2)*(Inputs!$J$9-Inputs!$I$9)))/Inputs!$K$9)^2))^2)))))/Inputs!$C$13)</f>
        <v>-2023.9465742317029</v>
      </c>
    </row>
    <row r="164" spans="1:41">
      <c r="A164" s="9">
        <f>ROUND(-1+162*2/240,3)</f>
        <v>0.35</v>
      </c>
      <c r="B164" s="9">
        <f>IF(OR(Inputs!$F$6=TRUE,Inputs!$F$6="TRUE",Inputs!$F$6=1),(Inputs!$H$6+Inputs!$L$6*(((Inputs!$I$6+(((A164)+1)/2)*(Inputs!$J$6-Inputs!$I$6)))/Inputs!$K$6)^2),NA())</f>
        <v>400.49</v>
      </c>
      <c r="C164" s="9">
        <f>IF(OR(Inputs!$F$7=TRUE,Inputs!$F$7="TRUE",Inputs!$F$7=1),(Inputs!$H$7+Inputs!$L$7*(((Inputs!$I$7+(((A164)+1)/2)*(Inputs!$J$7-Inputs!$I$7)))/Inputs!$K$7)^2),NA())</f>
        <v>79.712499999999991</v>
      </c>
      <c r="D164" s="9">
        <f>IF(OR(Inputs!$F$8=TRUE,Inputs!$F$8="TRUE",Inputs!$F$8=1),(Inputs!$H$8+Inputs!$L$8*(((Inputs!$I$8+(((A164)+1)/2)*(Inputs!$J$8-Inputs!$I$8)))/Inputs!$K$8)^2),NA())</f>
        <v>153.21249999999998</v>
      </c>
      <c r="E164" s="9">
        <f>IF(OR(Inputs!$F$9=TRUE,Inputs!$F$9="TRUE",Inputs!$F$9=1),(Inputs!$H$9+Inputs!$L$9*(((Inputs!$I$9+(((A164)+1)/2)*(Inputs!$J$9-Inputs!$I$9)))/Inputs!$K$9)^2),NA())</f>
        <v>144.4375</v>
      </c>
      <c r="F164" s="10"/>
      <c r="G164" s="9">
        <f t="shared" si="12"/>
        <v>0.35</v>
      </c>
      <c r="H164" s="9">
        <f>IF(OR(Inputs!$F$6=TRUE,Inputs!$F$6="TRUE",Inputs!$F$6=1),(((SQRT(((Inputs!$I$6+(((A164)+1)/2)*(Inputs!$J$6-Inputs!$I$6)))^2+Inputs!$C$6^2+((Inputs!$H$6+Inputs!$L$6*(((Inputs!$I$6+(((A164)+1)/2)*(Inputs!$J$6-Inputs!$I$6)))/Inputs!$K$6)^2))^2))-((Inputs!$H$6+Inputs!$L$6*(((Inputs!$I$6+(((A164)+1)/2)*(Inputs!$J$6-Inputs!$I$6)))/Inputs!$K$6)^2)))*1000/Inputs!$C$12),NA())</f>
        <v>746.44140104912105</v>
      </c>
      <c r="I164" s="9">
        <f>IF(OR(Inputs!$F$7=TRUE,Inputs!$F$7="TRUE",Inputs!$F$7=1),(((SQRT(((Inputs!$I$7+(((A164)+1)/2)*(Inputs!$J$7-Inputs!$I$7)))^2+Inputs!$C$6^2+((Inputs!$H$7+Inputs!$L$7*(((Inputs!$I$7+(((A164)+1)/2)*(Inputs!$J$7-Inputs!$I$7)))/Inputs!$K$7)^2))^2))-((Inputs!$H$7+Inputs!$L$7*(((Inputs!$I$7+(((A164)+1)/2)*(Inputs!$J$7-Inputs!$I$7)))/Inputs!$K$7)^2)))*1000/Inputs!$C$12),NA())</f>
        <v>46808.104190849153</v>
      </c>
      <c r="J164" s="9">
        <f>IF(OR(Inputs!$F$8=TRUE,Inputs!$F$8="TRUE",Inputs!$F$8=1),(((SQRT(((Inputs!$I$8+(((A164)+1)/2)*(Inputs!$J$8-Inputs!$I$8)))^2+Inputs!$C$6^2+((Inputs!$H$8+Inputs!$L$8*(((Inputs!$I$8+(((A164)+1)/2)*(Inputs!$J$8-Inputs!$I$8)))/Inputs!$K$8)^2))^2))-((Inputs!$H$8+Inputs!$L$8*(((Inputs!$I$8+(((A164)+1)/2)*(Inputs!$J$8-Inputs!$I$8)))/Inputs!$K$8)^2)))*1000/Inputs!$C$12),NA())</f>
        <v>93787.786346283683</v>
      </c>
      <c r="K164" s="9">
        <f>IF(OR(Inputs!$F$9=TRUE,Inputs!$F$9="TRUE",Inputs!$F$9=1),(((SQRT(((Inputs!$I$9+(((A164)+1)/2)*(Inputs!$J$9-Inputs!$I$9)))^2+Inputs!$C$6^2+((Inputs!$H$9+Inputs!$L$9*(((Inputs!$I$9+(((A164)+1)/2)*(Inputs!$J$9-Inputs!$I$9)))/Inputs!$K$9)^2))^2))-((Inputs!$H$9+Inputs!$L$9*(((Inputs!$I$9+(((A164)+1)/2)*(Inputs!$J$9-Inputs!$I$9)))/Inputs!$K$9)^2)))*1000/Inputs!$C$12),NA())</f>
        <v>96411.151481708919</v>
      </c>
      <c r="L164" s="10"/>
      <c r="M164" s="9">
        <f t="shared" si="13"/>
        <v>0.35</v>
      </c>
      <c r="N164" s="9">
        <f>IF(OR(Inputs!$F$6=TRUE,Inputs!$F$6="TRUE",Inputs!$F$6=1),(-2*((1000*((((Inputs!$I$6+(((A164)+1)/2)*(Inputs!$J$6-Inputs!$I$6)))*Inputs!$C$11+((Inputs!$H$6+Inputs!$L$6*(((Inputs!$I$6+(((A164)+1)/2)*(Inputs!$J$6-Inputs!$I$6)))/Inputs!$K$6)^2))*((2*Inputs!$L$6*((Inputs!$I$6+(((A164)+1)/2)*(Inputs!$J$6-Inputs!$I$6)))/(Inputs!$K$6^2)*Inputs!$C$11)))/(SQRT(((Inputs!$I$6+(((A164)+1)/2)*(Inputs!$J$6-Inputs!$I$6)))^2+Inputs!$C$6^2+((Inputs!$H$6+Inputs!$L$6*(((Inputs!$I$6+(((A164)+1)/2)*(Inputs!$J$6-Inputs!$I$6)))/Inputs!$K$6)^2))^2)))))/Inputs!$C$13),NA())</f>
        <v>-158.03958042535132</v>
      </c>
      <c r="O164" s="9">
        <f>IF(OR(Inputs!$F$7=TRUE,Inputs!$F$7="TRUE",Inputs!$F$7=1),(-2*((1000*((((Inputs!$I$7+(((A164)+1)/2)*(Inputs!$J$7-Inputs!$I$7)))*Inputs!$C$11+((Inputs!$H$7+Inputs!$L$7*(((Inputs!$I$7+(((A164)+1)/2)*(Inputs!$J$7-Inputs!$I$7)))/Inputs!$K$7)^2))*((2*Inputs!$L$7*((Inputs!$I$7+(((A164)+1)/2)*(Inputs!$J$7-Inputs!$I$7)))/(Inputs!$K$7^2)*Inputs!$C$11)))/(SQRT(((Inputs!$I$7+(((A164)+1)/2)*(Inputs!$J$7-Inputs!$I$7)))^2+Inputs!$C$6^2+((Inputs!$H$7+Inputs!$L$7*(((Inputs!$I$7+(((A164)+1)/2)*(Inputs!$J$7-Inputs!$I$7)))/Inputs!$K$7)^2))^2)))))/Inputs!$C$13),NA())</f>
        <v>-1873.6701281591352</v>
      </c>
      <c r="P164" s="9">
        <f>IF(OR(Inputs!$F$8=TRUE,Inputs!$F$8="TRUE",Inputs!$F$8=1),(-2*((1000*((((Inputs!$I$8+(((A164)+1)/2)*(Inputs!$J$8-Inputs!$I$8)))*Inputs!$C$11+((Inputs!$H$8+Inputs!$L$8*(((Inputs!$I$8+(((A164)+1)/2)*(Inputs!$J$8-Inputs!$I$8)))/Inputs!$K$8)^2))*((2*Inputs!$L$8*((Inputs!$I$8+(((A164)+1)/2)*(Inputs!$J$8-Inputs!$I$8)))/(Inputs!$K$8^2)*Inputs!$C$11)))/(SQRT(((Inputs!$I$8+(((A164)+1)/2)*(Inputs!$J$8-Inputs!$I$8)))^2+Inputs!$C$6^2+((Inputs!$H$8+Inputs!$L$8*(((Inputs!$I$8+(((A164)+1)/2)*(Inputs!$J$8-Inputs!$I$8)))/Inputs!$K$8)^2))^2)))))/Inputs!$C$13),NA())</f>
        <v>-2045.8545989481845</v>
      </c>
      <c r="Q164" s="9">
        <f>IF(OR(Inputs!$F$9=TRUE,Inputs!$F$9="TRUE",Inputs!$F$9=1),(-2*((1000*((((Inputs!$I$9+(((A164)+1)/2)*(Inputs!$J$9-Inputs!$I$9)))*Inputs!$C$11+((Inputs!$H$9+Inputs!$L$9*(((Inputs!$I$9+(((A164)+1)/2)*(Inputs!$J$9-Inputs!$I$9)))/Inputs!$K$9)^2))*((2*Inputs!$L$9*((Inputs!$I$9+(((A164)+1)/2)*(Inputs!$J$9-Inputs!$I$9)))/(Inputs!$K$9^2)*Inputs!$C$11)))/(SQRT(((Inputs!$I$9+(((A164)+1)/2)*(Inputs!$J$9-Inputs!$I$9)))^2+Inputs!$C$6^2+((Inputs!$H$9+Inputs!$L$9*(((Inputs!$I$9+(((A164)+1)/2)*(Inputs!$J$9-Inputs!$I$9)))/Inputs!$K$9)^2))^2)))))/Inputs!$C$13),NA())</f>
        <v>-2041.3178772242259</v>
      </c>
      <c r="R164" s="10"/>
      <c r="S164" s="9">
        <f t="shared" si="14"/>
        <v>0.35</v>
      </c>
      <c r="T164" s="9">
        <f>(Inputs!$I$6+(((A164)+1)/2)*(Inputs!$J$6-Inputs!$I$6))</f>
        <v>21</v>
      </c>
      <c r="U164" s="9">
        <f>(Inputs!$I$7+(((A164)+1)/2)*(Inputs!$J$7-Inputs!$I$7))</f>
        <v>140</v>
      </c>
      <c r="V164" s="9">
        <f>(Inputs!$I$8+(((A164)+1)/2)*(Inputs!$J$8-Inputs!$I$8))</f>
        <v>280</v>
      </c>
      <c r="W164" s="9">
        <f>(Inputs!$I$9+(((A164)+1)/2)*(Inputs!$J$9-Inputs!$I$9))</f>
        <v>280</v>
      </c>
      <c r="X164" s="10"/>
      <c r="Y164" s="9">
        <f t="shared" si="15"/>
        <v>0.35</v>
      </c>
      <c r="Z164" s="9">
        <f>(Inputs!$H$6+Inputs!$L$6*(((Inputs!$I$6+(((A164)+1)/2)*(Inputs!$J$6-Inputs!$I$6)))/Inputs!$K$6)^2)</f>
        <v>400.49</v>
      </c>
      <c r="AA164" s="9">
        <f>(Inputs!$H$7+Inputs!$L$7*(((Inputs!$I$7+(((A164)+1)/2)*(Inputs!$J$7-Inputs!$I$7)))/Inputs!$K$7)^2)</f>
        <v>79.712499999999991</v>
      </c>
      <c r="AB164" s="9">
        <f>(Inputs!$H$8+Inputs!$L$8*(((Inputs!$I$8+(((A164)+1)/2)*(Inputs!$J$8-Inputs!$I$8)))/Inputs!$K$8)^2)</f>
        <v>153.21249999999998</v>
      </c>
      <c r="AC164" s="9">
        <f>(Inputs!$H$9+Inputs!$L$9*(((Inputs!$I$9+(((A164)+1)/2)*(Inputs!$J$9-Inputs!$I$9)))/Inputs!$K$9)^2)</f>
        <v>144.4375</v>
      </c>
      <c r="AD164" s="10"/>
      <c r="AE164" s="9">
        <f t="shared" si="16"/>
        <v>0.35</v>
      </c>
      <c r="AF164" s="9">
        <f>(((SQRT(((Inputs!$I$6+(((A164)+1)/2)*(Inputs!$J$6-Inputs!$I$6)))^2+Inputs!$C$6^2+((Inputs!$H$6+Inputs!$L$6*(((Inputs!$I$6+(((A164)+1)/2)*(Inputs!$J$6-Inputs!$I$6)))/Inputs!$K$6)^2))^2))-((Inputs!$H$6+Inputs!$L$6*(((Inputs!$I$6+(((A164)+1)/2)*(Inputs!$J$6-Inputs!$I$6)))/Inputs!$K$6)^2)))*1000/Inputs!$C$12)</f>
        <v>746.44140104912105</v>
      </c>
      <c r="AG164" s="9">
        <f>(((SQRT(((Inputs!$I$7+(((A164)+1)/2)*(Inputs!$J$7-Inputs!$I$7)))^2+Inputs!$C$6^2+((Inputs!$H$7+Inputs!$L$7*(((Inputs!$I$7+(((A164)+1)/2)*(Inputs!$J$7-Inputs!$I$7)))/Inputs!$K$7)^2))^2))-((Inputs!$H$7+Inputs!$L$7*(((Inputs!$I$7+(((A164)+1)/2)*(Inputs!$J$7-Inputs!$I$7)))/Inputs!$K$7)^2)))*1000/Inputs!$C$12)</f>
        <v>46808.104190849153</v>
      </c>
      <c r="AH164" s="9">
        <f>(((SQRT(((Inputs!$I$8+(((A164)+1)/2)*(Inputs!$J$8-Inputs!$I$8)))^2+Inputs!$C$6^2+((Inputs!$H$8+Inputs!$L$8*(((Inputs!$I$8+(((A164)+1)/2)*(Inputs!$J$8-Inputs!$I$8)))/Inputs!$K$8)^2))^2))-((Inputs!$H$8+Inputs!$L$8*(((Inputs!$I$8+(((A164)+1)/2)*(Inputs!$J$8-Inputs!$I$8)))/Inputs!$K$8)^2)))*1000/Inputs!$C$12)</f>
        <v>93787.786346283683</v>
      </c>
      <c r="AI164" s="9">
        <f>(((SQRT(((Inputs!$I$9+(((A164)+1)/2)*(Inputs!$J$9-Inputs!$I$9)))^2+Inputs!$C$6^2+((Inputs!$H$9+Inputs!$L$9*(((Inputs!$I$9+(((A164)+1)/2)*(Inputs!$J$9-Inputs!$I$9)))/Inputs!$K$9)^2))^2))-((Inputs!$H$9+Inputs!$L$9*(((Inputs!$I$9+(((A164)+1)/2)*(Inputs!$J$9-Inputs!$I$9)))/Inputs!$K$9)^2)))*1000/Inputs!$C$12)</f>
        <v>96411.151481708919</v>
      </c>
      <c r="AJ164" s="10"/>
      <c r="AK164" s="9">
        <f t="shared" si="17"/>
        <v>0.35</v>
      </c>
      <c r="AL164" s="9">
        <f>(-2*((1000*((((Inputs!$I$6+(((A164)+1)/2)*(Inputs!$J$6-Inputs!$I$6)))*Inputs!$C$11+((Inputs!$H$6+Inputs!$L$6*(((Inputs!$I$6+(((A164)+1)/2)*(Inputs!$J$6-Inputs!$I$6)))/Inputs!$K$6)^2))*((2*Inputs!$L$6*((Inputs!$I$6+(((A164)+1)/2)*(Inputs!$J$6-Inputs!$I$6)))/(Inputs!$K$6^2)*Inputs!$C$11)))/(SQRT(((Inputs!$I$6+(((A164)+1)/2)*(Inputs!$J$6-Inputs!$I$6)))^2+Inputs!$C$6^2+((Inputs!$H$6+Inputs!$L$6*(((Inputs!$I$6+(((A164)+1)/2)*(Inputs!$J$6-Inputs!$I$6)))/Inputs!$K$6)^2))^2)))))/Inputs!$C$13)</f>
        <v>-158.03958042535132</v>
      </c>
      <c r="AM164" s="9">
        <f>(-2*((1000*((((Inputs!$I$7+(((A164)+1)/2)*(Inputs!$J$7-Inputs!$I$7)))*Inputs!$C$11+((Inputs!$H$7+Inputs!$L$7*(((Inputs!$I$7+(((A164)+1)/2)*(Inputs!$J$7-Inputs!$I$7)))/Inputs!$K$7)^2))*((2*Inputs!$L$7*((Inputs!$I$7+(((A164)+1)/2)*(Inputs!$J$7-Inputs!$I$7)))/(Inputs!$K$7^2)*Inputs!$C$11)))/(SQRT(((Inputs!$I$7+(((A164)+1)/2)*(Inputs!$J$7-Inputs!$I$7)))^2+Inputs!$C$6^2+((Inputs!$H$7+Inputs!$L$7*(((Inputs!$I$7+(((A164)+1)/2)*(Inputs!$J$7-Inputs!$I$7)))/Inputs!$K$7)^2))^2)))))/Inputs!$C$13)</f>
        <v>-1873.6701281591352</v>
      </c>
      <c r="AN164" s="9">
        <f>(-2*((1000*((((Inputs!$I$8+(((A164)+1)/2)*(Inputs!$J$8-Inputs!$I$8)))*Inputs!$C$11+((Inputs!$H$8+Inputs!$L$8*(((Inputs!$I$8+(((A164)+1)/2)*(Inputs!$J$8-Inputs!$I$8)))/Inputs!$K$8)^2))*((2*Inputs!$L$8*((Inputs!$I$8+(((A164)+1)/2)*(Inputs!$J$8-Inputs!$I$8)))/(Inputs!$K$8^2)*Inputs!$C$11)))/(SQRT(((Inputs!$I$8+(((A164)+1)/2)*(Inputs!$J$8-Inputs!$I$8)))^2+Inputs!$C$6^2+((Inputs!$H$8+Inputs!$L$8*(((Inputs!$I$8+(((A164)+1)/2)*(Inputs!$J$8-Inputs!$I$8)))/Inputs!$K$8)^2))^2)))))/Inputs!$C$13)</f>
        <v>-2045.8545989481845</v>
      </c>
      <c r="AO164" s="9">
        <f>(-2*((1000*((((Inputs!$I$9+(((A164)+1)/2)*(Inputs!$J$9-Inputs!$I$9)))*Inputs!$C$11+((Inputs!$H$9+Inputs!$L$9*(((Inputs!$I$9+(((A164)+1)/2)*(Inputs!$J$9-Inputs!$I$9)))/Inputs!$K$9)^2))*((2*Inputs!$L$9*((Inputs!$I$9+(((A164)+1)/2)*(Inputs!$J$9-Inputs!$I$9)))/(Inputs!$K$9^2)*Inputs!$C$11)))/(SQRT(((Inputs!$I$9+(((A164)+1)/2)*(Inputs!$J$9-Inputs!$I$9)))^2+Inputs!$C$6^2+((Inputs!$H$9+Inputs!$L$9*(((Inputs!$I$9+(((A164)+1)/2)*(Inputs!$J$9-Inputs!$I$9)))/Inputs!$K$9)^2))^2)))))/Inputs!$C$13)</f>
        <v>-2041.3178772242259</v>
      </c>
    </row>
    <row r="165" spans="1:41">
      <c r="A165" s="9">
        <f>ROUND(-1+163*2/240,3)</f>
        <v>0.35799999999999998</v>
      </c>
      <c r="B165" s="9">
        <f>IF(OR(Inputs!$F$6=TRUE,Inputs!$F$6="TRUE",Inputs!$F$6=1),(Inputs!$H$6+Inputs!$L$6*(((Inputs!$I$6+(((A165)+1)/2)*(Inputs!$J$6-Inputs!$I$6)))/Inputs!$K$6)^2),NA())</f>
        <v>400.51265599999999</v>
      </c>
      <c r="C165" s="9">
        <f>IF(OR(Inputs!$F$7=TRUE,Inputs!$F$7="TRUE",Inputs!$F$7=1),(Inputs!$H$7+Inputs!$L$7*(((Inputs!$I$7+(((A165)+1)/2)*(Inputs!$J$7-Inputs!$I$7)))/Inputs!$K$7)^2),NA())</f>
        <v>81.779860000000014</v>
      </c>
      <c r="D165" s="9">
        <f>IF(OR(Inputs!$F$8=TRUE,Inputs!$F$8="TRUE",Inputs!$F$8=1),(Inputs!$H$8+Inputs!$L$8*(((Inputs!$I$8+(((A165)+1)/2)*(Inputs!$J$8-Inputs!$I$8)))/Inputs!$K$8)^2),NA())</f>
        <v>158.67826000000005</v>
      </c>
      <c r="E165" s="9">
        <f>IF(OR(Inputs!$F$9=TRUE,Inputs!$F$9="TRUE",Inputs!$F$9=1),(Inputs!$H$9+Inputs!$L$9*(((Inputs!$I$9+(((A165)+1)/2)*(Inputs!$J$9-Inputs!$I$9)))/Inputs!$K$9)^2),NA())</f>
        <v>149.95990000000006</v>
      </c>
      <c r="F165" s="10"/>
      <c r="G165" s="9">
        <f t="shared" si="12"/>
        <v>0.35799999999999998</v>
      </c>
      <c r="H165" s="9">
        <f>IF(OR(Inputs!$F$6=TRUE,Inputs!$F$6="TRUE",Inputs!$F$6=1),(((SQRT(((Inputs!$I$6+(((A165)+1)/2)*(Inputs!$J$6-Inputs!$I$6)))^2+Inputs!$C$6^2+((Inputs!$H$6+Inputs!$L$6*(((Inputs!$I$6+(((A165)+1)/2)*(Inputs!$J$6-Inputs!$I$6)))/Inputs!$K$6)^2))^2))-((Inputs!$H$6+Inputs!$L$6*(((Inputs!$I$6+(((A165)+1)/2)*(Inputs!$J$6-Inputs!$I$6)))/Inputs!$K$6)^2)))*1000/Inputs!$C$12),NA())</f>
        <v>760.65235703630265</v>
      </c>
      <c r="I165" s="9">
        <f>IF(OR(Inputs!$F$7=TRUE,Inputs!$F$7="TRUE",Inputs!$F$7=1),(((SQRT(((Inputs!$I$7+(((A165)+1)/2)*(Inputs!$J$7-Inputs!$I$7)))^2+Inputs!$C$6^2+((Inputs!$H$7+Inputs!$L$7*(((Inputs!$I$7+(((A165)+1)/2)*(Inputs!$J$7-Inputs!$I$7)))/Inputs!$K$7)^2))^2))-((Inputs!$H$7+Inputs!$L$7*(((Inputs!$I$7+(((A165)+1)/2)*(Inputs!$J$7-Inputs!$I$7)))/Inputs!$K$7)^2)))*1000/Inputs!$C$12),NA())</f>
        <v>47758.97953846959</v>
      </c>
      <c r="J165" s="9">
        <f>IF(OR(Inputs!$F$8=TRUE,Inputs!$F$8="TRUE",Inputs!$F$8=1),(((SQRT(((Inputs!$I$8+(((A165)+1)/2)*(Inputs!$J$8-Inputs!$I$8)))^2+Inputs!$C$6^2+((Inputs!$H$8+Inputs!$L$8*(((Inputs!$I$8+(((A165)+1)/2)*(Inputs!$J$8-Inputs!$I$8)))/Inputs!$K$8)^2))^2))-((Inputs!$H$8+Inputs!$L$8*(((Inputs!$I$8+(((A165)+1)/2)*(Inputs!$J$8-Inputs!$I$8)))/Inputs!$K$8)^2)))*1000/Inputs!$C$12),NA())</f>
        <v>95334.057785524841</v>
      </c>
      <c r="K165" s="9">
        <f>IF(OR(Inputs!$F$9=TRUE,Inputs!$F$9="TRUE",Inputs!$F$9=1),(((SQRT(((Inputs!$I$9+(((A165)+1)/2)*(Inputs!$J$9-Inputs!$I$9)))^2+Inputs!$C$6^2+((Inputs!$H$9+Inputs!$L$9*(((Inputs!$I$9+(((A165)+1)/2)*(Inputs!$J$9-Inputs!$I$9)))/Inputs!$K$9)^2))^2))-((Inputs!$H$9+Inputs!$L$9*(((Inputs!$I$9+(((A165)+1)/2)*(Inputs!$J$9-Inputs!$I$9)))/Inputs!$K$9)^2)))*1000/Inputs!$C$12),NA())</f>
        <v>97915.673124643115</v>
      </c>
      <c r="L165" s="10"/>
      <c r="M165" s="9">
        <f t="shared" si="13"/>
        <v>0.35799999999999998</v>
      </c>
      <c r="N165" s="9">
        <f>IF(OR(Inputs!$F$6=TRUE,Inputs!$F$6="TRUE",Inputs!$F$6=1),(-2*((1000*((((Inputs!$I$6+(((A165)+1)/2)*(Inputs!$J$6-Inputs!$I$6)))*Inputs!$C$11+((Inputs!$H$6+Inputs!$L$6*(((Inputs!$I$6+(((A165)+1)/2)*(Inputs!$J$6-Inputs!$I$6)))/Inputs!$K$6)^2))*((2*Inputs!$L$6*((Inputs!$I$6+(((A165)+1)/2)*(Inputs!$J$6-Inputs!$I$6)))/(Inputs!$K$6^2)*Inputs!$C$11)))/(SQRT(((Inputs!$I$6+(((A165)+1)/2)*(Inputs!$J$6-Inputs!$I$6)))^2+Inputs!$C$6^2+((Inputs!$H$6+Inputs!$L$6*(((Inputs!$I$6+(((A165)+1)/2)*(Inputs!$J$6-Inputs!$I$6)))/Inputs!$K$6)^2))^2)))))/Inputs!$C$13),NA())</f>
        <v>-161.63693076626635</v>
      </c>
      <c r="O165" s="9">
        <f>IF(OR(Inputs!$F$7=TRUE,Inputs!$F$7="TRUE",Inputs!$F$7=1),(-2*((1000*((((Inputs!$I$7+(((A165)+1)/2)*(Inputs!$J$7-Inputs!$I$7)))*Inputs!$C$11+((Inputs!$H$7+Inputs!$L$7*(((Inputs!$I$7+(((A165)+1)/2)*(Inputs!$J$7-Inputs!$I$7)))/Inputs!$K$7)^2))*((2*Inputs!$L$7*((Inputs!$I$7+(((A165)+1)/2)*(Inputs!$J$7-Inputs!$I$7)))/(Inputs!$K$7^2)*Inputs!$C$11)))/(SQRT(((Inputs!$I$7+(((A165)+1)/2)*(Inputs!$J$7-Inputs!$I$7)))^2+Inputs!$C$6^2+((Inputs!$H$7+Inputs!$L$7*(((Inputs!$I$7+(((A165)+1)/2)*(Inputs!$J$7-Inputs!$I$7)))/Inputs!$K$7)^2))^2)))))/Inputs!$C$13),NA())</f>
        <v>-1886.2509937577895</v>
      </c>
      <c r="P165" s="9">
        <f>IF(OR(Inputs!$F$8=TRUE,Inputs!$F$8="TRUE",Inputs!$F$8=1),(-2*((1000*((((Inputs!$I$8+(((A165)+1)/2)*(Inputs!$J$8-Inputs!$I$8)))*Inputs!$C$11+((Inputs!$H$8+Inputs!$L$8*(((Inputs!$I$8+(((A165)+1)/2)*(Inputs!$J$8-Inputs!$I$8)))/Inputs!$K$8)^2))*((2*Inputs!$L$8*((Inputs!$I$8+(((A165)+1)/2)*(Inputs!$J$8-Inputs!$I$8)))/(Inputs!$K$8^2)*Inputs!$C$11)))/(SQRT(((Inputs!$I$8+(((A165)+1)/2)*(Inputs!$J$8-Inputs!$I$8)))^2+Inputs!$C$6^2+((Inputs!$H$8+Inputs!$L$8*(((Inputs!$I$8+(((A165)+1)/2)*(Inputs!$J$8-Inputs!$I$8)))/Inputs!$K$8)^2))^2)))))/Inputs!$C$13),NA())</f>
        <v>-2063.2468431362463</v>
      </c>
      <c r="Q165" s="9">
        <f>IF(OR(Inputs!$F$9=TRUE,Inputs!$F$9="TRUE",Inputs!$F$9=1),(-2*((1000*((((Inputs!$I$9+(((A165)+1)/2)*(Inputs!$J$9-Inputs!$I$9)))*Inputs!$C$11+((Inputs!$H$9+Inputs!$L$9*(((Inputs!$I$9+(((A165)+1)/2)*(Inputs!$J$9-Inputs!$I$9)))/Inputs!$K$9)^2))*((2*Inputs!$L$9*((Inputs!$I$9+(((A165)+1)/2)*(Inputs!$J$9-Inputs!$I$9)))/(Inputs!$K$9^2)*Inputs!$C$11)))/(SQRT(((Inputs!$I$9+(((A165)+1)/2)*(Inputs!$J$9-Inputs!$I$9)))^2+Inputs!$C$6^2+((Inputs!$H$9+Inputs!$L$9*(((Inputs!$I$9+(((A165)+1)/2)*(Inputs!$J$9-Inputs!$I$9)))/Inputs!$K$9)^2))^2)))))/Inputs!$C$13),NA())</f>
        <v>-2058.9496621574731</v>
      </c>
      <c r="R165" s="10"/>
      <c r="S165" s="9">
        <f t="shared" si="14"/>
        <v>0.35799999999999998</v>
      </c>
      <c r="T165" s="9">
        <f>(Inputs!$I$6+(((A165)+1)/2)*(Inputs!$J$6-Inputs!$I$6))</f>
        <v>21.480000000000004</v>
      </c>
      <c r="U165" s="9">
        <f>(Inputs!$I$7+(((A165)+1)/2)*(Inputs!$J$7-Inputs!$I$7))</f>
        <v>143.20000000000005</v>
      </c>
      <c r="V165" s="9">
        <f>(Inputs!$I$8+(((A165)+1)/2)*(Inputs!$J$8-Inputs!$I$8))</f>
        <v>286.40000000000009</v>
      </c>
      <c r="W165" s="9">
        <f>(Inputs!$I$9+(((A165)+1)/2)*(Inputs!$J$9-Inputs!$I$9))</f>
        <v>286.40000000000009</v>
      </c>
      <c r="X165" s="10"/>
      <c r="Y165" s="9">
        <f t="shared" si="15"/>
        <v>0.35799999999999998</v>
      </c>
      <c r="Z165" s="9">
        <f>(Inputs!$H$6+Inputs!$L$6*(((Inputs!$I$6+(((A165)+1)/2)*(Inputs!$J$6-Inputs!$I$6)))/Inputs!$K$6)^2)</f>
        <v>400.51265599999999</v>
      </c>
      <c r="AA165" s="9">
        <f>(Inputs!$H$7+Inputs!$L$7*(((Inputs!$I$7+(((A165)+1)/2)*(Inputs!$J$7-Inputs!$I$7)))/Inputs!$K$7)^2)</f>
        <v>81.779860000000014</v>
      </c>
      <c r="AB165" s="9">
        <f>(Inputs!$H$8+Inputs!$L$8*(((Inputs!$I$8+(((A165)+1)/2)*(Inputs!$J$8-Inputs!$I$8)))/Inputs!$K$8)^2)</f>
        <v>158.67826000000005</v>
      </c>
      <c r="AC165" s="9">
        <f>(Inputs!$H$9+Inputs!$L$9*(((Inputs!$I$9+(((A165)+1)/2)*(Inputs!$J$9-Inputs!$I$9)))/Inputs!$K$9)^2)</f>
        <v>149.95990000000006</v>
      </c>
      <c r="AD165" s="10"/>
      <c r="AE165" s="9">
        <f t="shared" si="16"/>
        <v>0.35799999999999998</v>
      </c>
      <c r="AF165" s="9">
        <f>(((SQRT(((Inputs!$I$6+(((A165)+1)/2)*(Inputs!$J$6-Inputs!$I$6)))^2+Inputs!$C$6^2+((Inputs!$H$6+Inputs!$L$6*(((Inputs!$I$6+(((A165)+1)/2)*(Inputs!$J$6-Inputs!$I$6)))/Inputs!$K$6)^2))^2))-((Inputs!$H$6+Inputs!$L$6*(((Inputs!$I$6+(((A165)+1)/2)*(Inputs!$J$6-Inputs!$I$6)))/Inputs!$K$6)^2)))*1000/Inputs!$C$12)</f>
        <v>760.65235703630265</v>
      </c>
      <c r="AG165" s="9">
        <f>(((SQRT(((Inputs!$I$7+(((A165)+1)/2)*(Inputs!$J$7-Inputs!$I$7)))^2+Inputs!$C$6^2+((Inputs!$H$7+Inputs!$L$7*(((Inputs!$I$7+(((A165)+1)/2)*(Inputs!$J$7-Inputs!$I$7)))/Inputs!$K$7)^2))^2))-((Inputs!$H$7+Inputs!$L$7*(((Inputs!$I$7+(((A165)+1)/2)*(Inputs!$J$7-Inputs!$I$7)))/Inputs!$K$7)^2)))*1000/Inputs!$C$12)</f>
        <v>47758.97953846959</v>
      </c>
      <c r="AH165" s="9">
        <f>(((SQRT(((Inputs!$I$8+(((A165)+1)/2)*(Inputs!$J$8-Inputs!$I$8)))^2+Inputs!$C$6^2+((Inputs!$H$8+Inputs!$L$8*(((Inputs!$I$8+(((A165)+1)/2)*(Inputs!$J$8-Inputs!$I$8)))/Inputs!$K$8)^2))^2))-((Inputs!$H$8+Inputs!$L$8*(((Inputs!$I$8+(((A165)+1)/2)*(Inputs!$J$8-Inputs!$I$8)))/Inputs!$K$8)^2)))*1000/Inputs!$C$12)</f>
        <v>95334.057785524841</v>
      </c>
      <c r="AI165" s="9">
        <f>(((SQRT(((Inputs!$I$9+(((A165)+1)/2)*(Inputs!$J$9-Inputs!$I$9)))^2+Inputs!$C$6^2+((Inputs!$H$9+Inputs!$L$9*(((Inputs!$I$9+(((A165)+1)/2)*(Inputs!$J$9-Inputs!$I$9)))/Inputs!$K$9)^2))^2))-((Inputs!$H$9+Inputs!$L$9*(((Inputs!$I$9+(((A165)+1)/2)*(Inputs!$J$9-Inputs!$I$9)))/Inputs!$K$9)^2)))*1000/Inputs!$C$12)</f>
        <v>97915.673124643115</v>
      </c>
      <c r="AJ165" s="10"/>
      <c r="AK165" s="9">
        <f t="shared" si="17"/>
        <v>0.35799999999999998</v>
      </c>
      <c r="AL165" s="9">
        <f>(-2*((1000*((((Inputs!$I$6+(((A165)+1)/2)*(Inputs!$J$6-Inputs!$I$6)))*Inputs!$C$11+((Inputs!$H$6+Inputs!$L$6*(((Inputs!$I$6+(((A165)+1)/2)*(Inputs!$J$6-Inputs!$I$6)))/Inputs!$K$6)^2))*((2*Inputs!$L$6*((Inputs!$I$6+(((A165)+1)/2)*(Inputs!$J$6-Inputs!$I$6)))/(Inputs!$K$6^2)*Inputs!$C$11)))/(SQRT(((Inputs!$I$6+(((A165)+1)/2)*(Inputs!$J$6-Inputs!$I$6)))^2+Inputs!$C$6^2+((Inputs!$H$6+Inputs!$L$6*(((Inputs!$I$6+(((A165)+1)/2)*(Inputs!$J$6-Inputs!$I$6)))/Inputs!$K$6)^2))^2)))))/Inputs!$C$13)</f>
        <v>-161.63693076626635</v>
      </c>
      <c r="AM165" s="9">
        <f>(-2*((1000*((((Inputs!$I$7+(((A165)+1)/2)*(Inputs!$J$7-Inputs!$I$7)))*Inputs!$C$11+((Inputs!$H$7+Inputs!$L$7*(((Inputs!$I$7+(((A165)+1)/2)*(Inputs!$J$7-Inputs!$I$7)))/Inputs!$K$7)^2))*((2*Inputs!$L$7*((Inputs!$I$7+(((A165)+1)/2)*(Inputs!$J$7-Inputs!$I$7)))/(Inputs!$K$7^2)*Inputs!$C$11)))/(SQRT(((Inputs!$I$7+(((A165)+1)/2)*(Inputs!$J$7-Inputs!$I$7)))^2+Inputs!$C$6^2+((Inputs!$H$7+Inputs!$L$7*(((Inputs!$I$7+(((A165)+1)/2)*(Inputs!$J$7-Inputs!$I$7)))/Inputs!$K$7)^2))^2)))))/Inputs!$C$13)</f>
        <v>-1886.2509937577895</v>
      </c>
      <c r="AN165" s="9">
        <f>(-2*((1000*((((Inputs!$I$8+(((A165)+1)/2)*(Inputs!$J$8-Inputs!$I$8)))*Inputs!$C$11+((Inputs!$H$8+Inputs!$L$8*(((Inputs!$I$8+(((A165)+1)/2)*(Inputs!$J$8-Inputs!$I$8)))/Inputs!$K$8)^2))*((2*Inputs!$L$8*((Inputs!$I$8+(((A165)+1)/2)*(Inputs!$J$8-Inputs!$I$8)))/(Inputs!$K$8^2)*Inputs!$C$11)))/(SQRT(((Inputs!$I$8+(((A165)+1)/2)*(Inputs!$J$8-Inputs!$I$8)))^2+Inputs!$C$6^2+((Inputs!$H$8+Inputs!$L$8*(((Inputs!$I$8+(((A165)+1)/2)*(Inputs!$J$8-Inputs!$I$8)))/Inputs!$K$8)^2))^2)))))/Inputs!$C$13)</f>
        <v>-2063.2468431362463</v>
      </c>
      <c r="AO165" s="9">
        <f>(-2*((1000*((((Inputs!$I$9+(((A165)+1)/2)*(Inputs!$J$9-Inputs!$I$9)))*Inputs!$C$11+((Inputs!$H$9+Inputs!$L$9*(((Inputs!$I$9+(((A165)+1)/2)*(Inputs!$J$9-Inputs!$I$9)))/Inputs!$K$9)^2))*((2*Inputs!$L$9*((Inputs!$I$9+(((A165)+1)/2)*(Inputs!$J$9-Inputs!$I$9)))/(Inputs!$K$9^2)*Inputs!$C$11)))/(SQRT(((Inputs!$I$9+(((A165)+1)/2)*(Inputs!$J$9-Inputs!$I$9)))^2+Inputs!$C$6^2+((Inputs!$H$9+Inputs!$L$9*(((Inputs!$I$9+(((A165)+1)/2)*(Inputs!$J$9-Inputs!$I$9)))/Inputs!$K$9)^2))^2)))))/Inputs!$C$13)</f>
        <v>-2058.9496621574731</v>
      </c>
    </row>
    <row r="166" spans="1:41">
      <c r="A166" s="9">
        <f>ROUND(-1+164*2/240,3)</f>
        <v>0.36699999999999999</v>
      </c>
      <c r="B166" s="9">
        <f>IF(OR(Inputs!$F$6=TRUE,Inputs!$F$6="TRUE",Inputs!$F$6=1),(Inputs!$H$6+Inputs!$L$6*(((Inputs!$I$6+(((A166)+1)/2)*(Inputs!$J$6-Inputs!$I$6)))/Inputs!$K$6)^2),NA())</f>
        <v>400.53875599999998</v>
      </c>
      <c r="C166" s="9">
        <f>IF(OR(Inputs!$F$7=TRUE,Inputs!$F$7="TRUE",Inputs!$F$7=1),(Inputs!$H$7+Inputs!$L$7*(((Inputs!$I$7+(((A166)+1)/2)*(Inputs!$J$7-Inputs!$I$7)))/Inputs!$K$7)^2),NA())</f>
        <v>84.161484999999971</v>
      </c>
      <c r="D166" s="9">
        <f>IF(OR(Inputs!$F$8=TRUE,Inputs!$F$8="TRUE",Inputs!$F$8=1),(Inputs!$H$8+Inputs!$L$8*(((Inputs!$I$8+(((A166)+1)/2)*(Inputs!$J$8-Inputs!$I$8)))/Inputs!$K$8)^2),NA())</f>
        <v>164.97488499999992</v>
      </c>
      <c r="E166" s="9">
        <f>IF(OR(Inputs!$F$9=TRUE,Inputs!$F$9="TRUE",Inputs!$F$9=1),(Inputs!$H$9+Inputs!$L$9*(((Inputs!$I$9+(((A166)+1)/2)*(Inputs!$J$9-Inputs!$I$9)))/Inputs!$K$9)^2),NA())</f>
        <v>156.32177499999992</v>
      </c>
      <c r="F166" s="10"/>
      <c r="G166" s="9">
        <f t="shared" si="12"/>
        <v>0.36699999999999999</v>
      </c>
      <c r="H166" s="9">
        <f>IF(OR(Inputs!$F$6=TRUE,Inputs!$F$6="TRUE",Inputs!$F$6=1),(((SQRT(((Inputs!$I$6+(((A166)+1)/2)*(Inputs!$J$6-Inputs!$I$6)))^2+Inputs!$C$6^2+((Inputs!$H$6+Inputs!$L$6*(((Inputs!$I$6+(((A166)+1)/2)*(Inputs!$J$6-Inputs!$I$6)))/Inputs!$K$6)^2))^2))-((Inputs!$H$6+Inputs!$L$6*(((Inputs!$I$6+(((A166)+1)/2)*(Inputs!$J$6-Inputs!$I$6)))/Inputs!$K$6)^2)))*1000/Inputs!$C$12),NA())</f>
        <v>777.02046438054845</v>
      </c>
      <c r="I166" s="9">
        <f>IF(OR(Inputs!$F$7=TRUE,Inputs!$F$7="TRUE",Inputs!$F$7=1),(((SQRT(((Inputs!$I$7+(((A166)+1)/2)*(Inputs!$J$7-Inputs!$I$7)))^2+Inputs!$C$6^2+((Inputs!$H$7+Inputs!$L$7*(((Inputs!$I$7+(((A166)+1)/2)*(Inputs!$J$7-Inputs!$I$7)))/Inputs!$K$7)^2))^2))-((Inputs!$H$7+Inputs!$L$7*(((Inputs!$I$7+(((A166)+1)/2)*(Inputs!$J$7-Inputs!$I$7)))/Inputs!$K$7)^2)))*1000/Inputs!$C$12),NA())</f>
        <v>48814.253730546276</v>
      </c>
      <c r="J166" s="9">
        <f>IF(OR(Inputs!$F$8=TRUE,Inputs!$F$8="TRUE",Inputs!$F$8=1),(((SQRT(((Inputs!$I$8+(((A166)+1)/2)*(Inputs!$J$8-Inputs!$I$8)))^2+Inputs!$C$6^2+((Inputs!$H$8+Inputs!$L$8*(((Inputs!$I$8+(((A166)+1)/2)*(Inputs!$J$8-Inputs!$I$8)))/Inputs!$K$8)^2))^2))-((Inputs!$H$8+Inputs!$L$8*(((Inputs!$I$8+(((A166)+1)/2)*(Inputs!$J$8-Inputs!$I$8)))/Inputs!$K$8)^2)))*1000/Inputs!$C$12),NA())</f>
        <v>97037.731571114055</v>
      </c>
      <c r="K166" s="9">
        <f>IF(OR(Inputs!$F$9=TRUE,Inputs!$F$9="TRUE",Inputs!$F$9=1),(((SQRT(((Inputs!$I$9+(((A166)+1)/2)*(Inputs!$J$9-Inputs!$I$9)))^2+Inputs!$C$6^2+((Inputs!$H$9+Inputs!$L$9*(((Inputs!$I$9+(((A166)+1)/2)*(Inputs!$J$9-Inputs!$I$9)))/Inputs!$K$9)^2))^2))-((Inputs!$H$9+Inputs!$L$9*(((Inputs!$I$9+(((A166)+1)/2)*(Inputs!$J$9-Inputs!$I$9)))/Inputs!$K$9)^2)))*1000/Inputs!$C$12),NA())</f>
        <v>99572.191247935727</v>
      </c>
      <c r="L166" s="10"/>
      <c r="M166" s="9">
        <f t="shared" si="13"/>
        <v>0.36699999999999999</v>
      </c>
      <c r="N166" s="9">
        <f>IF(OR(Inputs!$F$6=TRUE,Inputs!$F$6="TRUE",Inputs!$F$6=1),(-2*((1000*((((Inputs!$I$6+(((A166)+1)/2)*(Inputs!$J$6-Inputs!$I$6)))*Inputs!$C$11+((Inputs!$H$6+Inputs!$L$6*(((Inputs!$I$6+(((A166)+1)/2)*(Inputs!$J$6-Inputs!$I$6)))/Inputs!$K$6)^2))*((2*Inputs!$L$6*((Inputs!$I$6+(((A166)+1)/2)*(Inputs!$J$6-Inputs!$I$6)))/(Inputs!$K$6^2)*Inputs!$C$11)))/(SQRT(((Inputs!$I$6+(((A166)+1)/2)*(Inputs!$J$6-Inputs!$I$6)))^2+Inputs!$C$6^2+((Inputs!$H$6+Inputs!$L$6*(((Inputs!$I$6+(((A166)+1)/2)*(Inputs!$J$6-Inputs!$I$6)))/Inputs!$K$6)^2))^2)))))/Inputs!$C$13),NA())</f>
        <v>-165.68274139458043</v>
      </c>
      <c r="O166" s="9">
        <f>IF(OR(Inputs!$F$7=TRUE,Inputs!$F$7="TRUE",Inputs!$F$7=1),(-2*((1000*((((Inputs!$I$7+(((A166)+1)/2)*(Inputs!$J$7-Inputs!$I$7)))*Inputs!$C$11+((Inputs!$H$7+Inputs!$L$7*(((Inputs!$I$7+(((A166)+1)/2)*(Inputs!$J$7-Inputs!$I$7)))/Inputs!$K$7)^2))*((2*Inputs!$L$7*((Inputs!$I$7+(((A166)+1)/2)*(Inputs!$J$7-Inputs!$I$7)))/(Inputs!$K$7^2)*Inputs!$C$11)))/(SQRT(((Inputs!$I$7+(((A166)+1)/2)*(Inputs!$J$7-Inputs!$I$7)))^2+Inputs!$C$6^2+((Inputs!$H$7+Inputs!$L$7*(((Inputs!$I$7+(((A166)+1)/2)*(Inputs!$J$7-Inputs!$I$7)))/Inputs!$K$7)^2))^2)))))/Inputs!$C$13),NA())</f>
        <v>-1900.4337082558345</v>
      </c>
      <c r="P166" s="9">
        <f>IF(OR(Inputs!$F$8=TRUE,Inputs!$F$8="TRUE",Inputs!$F$8=1),(-2*((1000*((((Inputs!$I$8+(((A166)+1)/2)*(Inputs!$J$8-Inputs!$I$8)))*Inputs!$C$11+((Inputs!$H$8+Inputs!$L$8*(((Inputs!$I$8+(((A166)+1)/2)*(Inputs!$J$8-Inputs!$I$8)))/Inputs!$K$8)^2))*((2*Inputs!$L$8*((Inputs!$I$8+(((A166)+1)/2)*(Inputs!$J$8-Inputs!$I$8)))/(Inputs!$K$8^2)*Inputs!$C$11)))/(SQRT(((Inputs!$I$8+(((A166)+1)/2)*(Inputs!$J$8-Inputs!$I$8)))^2+Inputs!$C$6^2+((Inputs!$H$8+Inputs!$L$8*(((Inputs!$I$8+(((A166)+1)/2)*(Inputs!$J$8-Inputs!$I$8)))/Inputs!$K$8)^2))^2)))))/Inputs!$C$13),NA())</f>
        <v>-2083.098777246079</v>
      </c>
      <c r="Q166" s="9">
        <f>IF(OR(Inputs!$F$9=TRUE,Inputs!$F$9="TRUE",Inputs!$F$9=1),(-2*((1000*((((Inputs!$I$9+(((A166)+1)/2)*(Inputs!$J$9-Inputs!$I$9)))*Inputs!$C$11+((Inputs!$H$9+Inputs!$L$9*(((Inputs!$I$9+(((A166)+1)/2)*(Inputs!$J$9-Inputs!$I$9)))/Inputs!$K$9)^2))*((2*Inputs!$L$9*((Inputs!$I$9+(((A166)+1)/2)*(Inputs!$J$9-Inputs!$I$9)))/(Inputs!$K$9^2)*Inputs!$C$11)))/(SQRT(((Inputs!$I$9+(((A166)+1)/2)*(Inputs!$J$9-Inputs!$I$9)))^2+Inputs!$C$6^2+((Inputs!$H$9+Inputs!$L$9*(((Inputs!$I$9+(((A166)+1)/2)*(Inputs!$J$9-Inputs!$I$9)))/Inputs!$K$9)^2))^2)))))/Inputs!$C$13),NA())</f>
        <v>-2079.0945674856639</v>
      </c>
      <c r="R166" s="10"/>
      <c r="S166" s="9">
        <f t="shared" si="14"/>
        <v>0.36699999999999999</v>
      </c>
      <c r="T166" s="9">
        <f>(Inputs!$I$6+(((A166)+1)/2)*(Inputs!$J$6-Inputs!$I$6))</f>
        <v>22.019999999999996</v>
      </c>
      <c r="U166" s="9">
        <f>(Inputs!$I$7+(((A166)+1)/2)*(Inputs!$J$7-Inputs!$I$7))</f>
        <v>146.79999999999995</v>
      </c>
      <c r="V166" s="9">
        <f>(Inputs!$I$8+(((A166)+1)/2)*(Inputs!$J$8-Inputs!$I$8))</f>
        <v>293.59999999999991</v>
      </c>
      <c r="W166" s="9">
        <f>(Inputs!$I$9+(((A166)+1)/2)*(Inputs!$J$9-Inputs!$I$9))</f>
        <v>293.59999999999991</v>
      </c>
      <c r="X166" s="10"/>
      <c r="Y166" s="9">
        <f t="shared" si="15"/>
        <v>0.36699999999999999</v>
      </c>
      <c r="Z166" s="9">
        <f>(Inputs!$H$6+Inputs!$L$6*(((Inputs!$I$6+(((A166)+1)/2)*(Inputs!$J$6-Inputs!$I$6)))/Inputs!$K$6)^2)</f>
        <v>400.53875599999998</v>
      </c>
      <c r="AA166" s="9">
        <f>(Inputs!$H$7+Inputs!$L$7*(((Inputs!$I$7+(((A166)+1)/2)*(Inputs!$J$7-Inputs!$I$7)))/Inputs!$K$7)^2)</f>
        <v>84.161484999999971</v>
      </c>
      <c r="AB166" s="9">
        <f>(Inputs!$H$8+Inputs!$L$8*(((Inputs!$I$8+(((A166)+1)/2)*(Inputs!$J$8-Inputs!$I$8)))/Inputs!$K$8)^2)</f>
        <v>164.97488499999992</v>
      </c>
      <c r="AC166" s="9">
        <f>(Inputs!$H$9+Inputs!$L$9*(((Inputs!$I$9+(((A166)+1)/2)*(Inputs!$J$9-Inputs!$I$9)))/Inputs!$K$9)^2)</f>
        <v>156.32177499999992</v>
      </c>
      <c r="AD166" s="10"/>
      <c r="AE166" s="9">
        <f t="shared" si="16"/>
        <v>0.36699999999999999</v>
      </c>
      <c r="AF166" s="9">
        <f>(((SQRT(((Inputs!$I$6+(((A166)+1)/2)*(Inputs!$J$6-Inputs!$I$6)))^2+Inputs!$C$6^2+((Inputs!$H$6+Inputs!$L$6*(((Inputs!$I$6+(((A166)+1)/2)*(Inputs!$J$6-Inputs!$I$6)))/Inputs!$K$6)^2))^2))-((Inputs!$H$6+Inputs!$L$6*(((Inputs!$I$6+(((A166)+1)/2)*(Inputs!$J$6-Inputs!$I$6)))/Inputs!$K$6)^2)))*1000/Inputs!$C$12)</f>
        <v>777.02046438054845</v>
      </c>
      <c r="AG166" s="9">
        <f>(((SQRT(((Inputs!$I$7+(((A166)+1)/2)*(Inputs!$J$7-Inputs!$I$7)))^2+Inputs!$C$6^2+((Inputs!$H$7+Inputs!$L$7*(((Inputs!$I$7+(((A166)+1)/2)*(Inputs!$J$7-Inputs!$I$7)))/Inputs!$K$7)^2))^2))-((Inputs!$H$7+Inputs!$L$7*(((Inputs!$I$7+(((A166)+1)/2)*(Inputs!$J$7-Inputs!$I$7)))/Inputs!$K$7)^2)))*1000/Inputs!$C$12)</f>
        <v>48814.253730546276</v>
      </c>
      <c r="AH166" s="9">
        <f>(((SQRT(((Inputs!$I$8+(((A166)+1)/2)*(Inputs!$J$8-Inputs!$I$8)))^2+Inputs!$C$6^2+((Inputs!$H$8+Inputs!$L$8*(((Inputs!$I$8+(((A166)+1)/2)*(Inputs!$J$8-Inputs!$I$8)))/Inputs!$K$8)^2))^2))-((Inputs!$H$8+Inputs!$L$8*(((Inputs!$I$8+(((A166)+1)/2)*(Inputs!$J$8-Inputs!$I$8)))/Inputs!$K$8)^2)))*1000/Inputs!$C$12)</f>
        <v>97037.731571114055</v>
      </c>
      <c r="AI166" s="9">
        <f>(((SQRT(((Inputs!$I$9+(((A166)+1)/2)*(Inputs!$J$9-Inputs!$I$9)))^2+Inputs!$C$6^2+((Inputs!$H$9+Inputs!$L$9*(((Inputs!$I$9+(((A166)+1)/2)*(Inputs!$J$9-Inputs!$I$9)))/Inputs!$K$9)^2))^2))-((Inputs!$H$9+Inputs!$L$9*(((Inputs!$I$9+(((A166)+1)/2)*(Inputs!$J$9-Inputs!$I$9)))/Inputs!$K$9)^2)))*1000/Inputs!$C$12)</f>
        <v>99572.191247935727</v>
      </c>
      <c r="AJ166" s="10"/>
      <c r="AK166" s="9">
        <f t="shared" si="17"/>
        <v>0.36699999999999999</v>
      </c>
      <c r="AL166" s="9">
        <f>(-2*((1000*((((Inputs!$I$6+(((A166)+1)/2)*(Inputs!$J$6-Inputs!$I$6)))*Inputs!$C$11+((Inputs!$H$6+Inputs!$L$6*(((Inputs!$I$6+(((A166)+1)/2)*(Inputs!$J$6-Inputs!$I$6)))/Inputs!$K$6)^2))*((2*Inputs!$L$6*((Inputs!$I$6+(((A166)+1)/2)*(Inputs!$J$6-Inputs!$I$6)))/(Inputs!$K$6^2)*Inputs!$C$11)))/(SQRT(((Inputs!$I$6+(((A166)+1)/2)*(Inputs!$J$6-Inputs!$I$6)))^2+Inputs!$C$6^2+((Inputs!$H$6+Inputs!$L$6*(((Inputs!$I$6+(((A166)+1)/2)*(Inputs!$J$6-Inputs!$I$6)))/Inputs!$K$6)^2))^2)))))/Inputs!$C$13)</f>
        <v>-165.68274139458043</v>
      </c>
      <c r="AM166" s="9">
        <f>(-2*((1000*((((Inputs!$I$7+(((A166)+1)/2)*(Inputs!$J$7-Inputs!$I$7)))*Inputs!$C$11+((Inputs!$H$7+Inputs!$L$7*(((Inputs!$I$7+(((A166)+1)/2)*(Inputs!$J$7-Inputs!$I$7)))/Inputs!$K$7)^2))*((2*Inputs!$L$7*((Inputs!$I$7+(((A166)+1)/2)*(Inputs!$J$7-Inputs!$I$7)))/(Inputs!$K$7^2)*Inputs!$C$11)))/(SQRT(((Inputs!$I$7+(((A166)+1)/2)*(Inputs!$J$7-Inputs!$I$7)))^2+Inputs!$C$6^2+((Inputs!$H$7+Inputs!$L$7*(((Inputs!$I$7+(((A166)+1)/2)*(Inputs!$J$7-Inputs!$I$7)))/Inputs!$K$7)^2))^2)))))/Inputs!$C$13)</f>
        <v>-1900.4337082558345</v>
      </c>
      <c r="AN166" s="9">
        <f>(-2*((1000*((((Inputs!$I$8+(((A166)+1)/2)*(Inputs!$J$8-Inputs!$I$8)))*Inputs!$C$11+((Inputs!$H$8+Inputs!$L$8*(((Inputs!$I$8+(((A166)+1)/2)*(Inputs!$J$8-Inputs!$I$8)))/Inputs!$K$8)^2))*((2*Inputs!$L$8*((Inputs!$I$8+(((A166)+1)/2)*(Inputs!$J$8-Inputs!$I$8)))/(Inputs!$K$8^2)*Inputs!$C$11)))/(SQRT(((Inputs!$I$8+(((A166)+1)/2)*(Inputs!$J$8-Inputs!$I$8)))^2+Inputs!$C$6^2+((Inputs!$H$8+Inputs!$L$8*(((Inputs!$I$8+(((A166)+1)/2)*(Inputs!$J$8-Inputs!$I$8)))/Inputs!$K$8)^2))^2)))))/Inputs!$C$13)</f>
        <v>-2083.098777246079</v>
      </c>
      <c r="AO166" s="9">
        <f>(-2*((1000*((((Inputs!$I$9+(((A166)+1)/2)*(Inputs!$J$9-Inputs!$I$9)))*Inputs!$C$11+((Inputs!$H$9+Inputs!$L$9*(((Inputs!$I$9+(((A166)+1)/2)*(Inputs!$J$9-Inputs!$I$9)))/Inputs!$K$9)^2))*((2*Inputs!$L$9*((Inputs!$I$9+(((A166)+1)/2)*(Inputs!$J$9-Inputs!$I$9)))/(Inputs!$K$9^2)*Inputs!$C$11)))/(SQRT(((Inputs!$I$9+(((A166)+1)/2)*(Inputs!$J$9-Inputs!$I$9)))^2+Inputs!$C$6^2+((Inputs!$H$9+Inputs!$L$9*(((Inputs!$I$9+(((A166)+1)/2)*(Inputs!$J$9-Inputs!$I$9)))/Inputs!$K$9)^2))^2)))))/Inputs!$C$13)</f>
        <v>-2079.0945674856639</v>
      </c>
    </row>
    <row r="167" spans="1:41">
      <c r="A167" s="9">
        <f>ROUND(-1+165*2/240,3)</f>
        <v>0.375</v>
      </c>
      <c r="B167" s="9">
        <f>IF(OR(Inputs!$F$6=TRUE,Inputs!$F$6="TRUE",Inputs!$F$6=1),(Inputs!$H$6+Inputs!$L$6*(((Inputs!$I$6+(((A167)+1)/2)*(Inputs!$J$6-Inputs!$I$6)))/Inputs!$K$6)^2),NA())</f>
        <v>400.5625</v>
      </c>
      <c r="C167" s="9">
        <f>IF(OR(Inputs!$F$7=TRUE,Inputs!$F$7="TRUE",Inputs!$F$7=1),(Inputs!$H$7+Inputs!$L$7*(((Inputs!$I$7+(((A167)+1)/2)*(Inputs!$J$7-Inputs!$I$7)))/Inputs!$K$7)^2),NA())</f>
        <v>86.328125</v>
      </c>
      <c r="D167" s="9">
        <f>IF(OR(Inputs!$F$8=TRUE,Inputs!$F$8="TRUE",Inputs!$F$8=1),(Inputs!$H$8+Inputs!$L$8*(((Inputs!$I$8+(((A167)+1)/2)*(Inputs!$J$8-Inputs!$I$8)))/Inputs!$K$8)^2),NA())</f>
        <v>170.703125</v>
      </c>
      <c r="E167" s="9">
        <f>IF(OR(Inputs!$F$9=TRUE,Inputs!$F$9="TRUE",Inputs!$F$9=1),(Inputs!$H$9+Inputs!$L$9*(((Inputs!$I$9+(((A167)+1)/2)*(Inputs!$J$9-Inputs!$I$9)))/Inputs!$K$9)^2),NA())</f>
        <v>162.109375</v>
      </c>
      <c r="F167" s="10"/>
      <c r="G167" s="9">
        <f t="shared" si="12"/>
        <v>0.375</v>
      </c>
      <c r="H167" s="9">
        <f>IF(OR(Inputs!$F$6=TRUE,Inputs!$F$6="TRUE",Inputs!$F$6=1),(((SQRT(((Inputs!$I$6+(((A167)+1)/2)*(Inputs!$J$6-Inputs!$I$6)))^2+Inputs!$C$6^2+((Inputs!$H$6+Inputs!$L$6*(((Inputs!$I$6+(((A167)+1)/2)*(Inputs!$J$6-Inputs!$I$6)))/Inputs!$K$6)^2))^2))-((Inputs!$H$6+Inputs!$L$6*(((Inputs!$I$6+(((A167)+1)/2)*(Inputs!$J$6-Inputs!$I$6)))/Inputs!$K$6)^2)))*1000/Inputs!$C$12),NA())</f>
        <v>791.90817516879872</v>
      </c>
      <c r="I167" s="9">
        <f>IF(OR(Inputs!$F$7=TRUE,Inputs!$F$7="TRUE",Inputs!$F$7=1),(((SQRT(((Inputs!$I$7+(((A167)+1)/2)*(Inputs!$J$7-Inputs!$I$7)))^2+Inputs!$C$6^2+((Inputs!$H$7+Inputs!$L$7*(((Inputs!$I$7+(((A167)+1)/2)*(Inputs!$J$7-Inputs!$I$7)))/Inputs!$K$7)^2))^2))-((Inputs!$H$7+Inputs!$L$7*(((Inputs!$I$7+(((A167)+1)/2)*(Inputs!$J$7-Inputs!$I$7)))/Inputs!$K$7)^2)))*1000/Inputs!$C$12),NA())</f>
        <v>49739.459098557942</v>
      </c>
      <c r="J167" s="9">
        <f>IF(OR(Inputs!$F$8=TRUE,Inputs!$F$8="TRUE",Inputs!$F$8=1),(((SQRT(((Inputs!$I$8+(((A167)+1)/2)*(Inputs!$J$8-Inputs!$I$8)))^2+Inputs!$C$6^2+((Inputs!$H$8+Inputs!$L$8*(((Inputs!$I$8+(((A167)+1)/2)*(Inputs!$J$8-Inputs!$I$8)))/Inputs!$K$8)^2))^2))-((Inputs!$H$8+Inputs!$L$8*(((Inputs!$I$8+(((A167)+1)/2)*(Inputs!$J$8-Inputs!$I$8)))/Inputs!$K$8)^2)))*1000/Inputs!$C$12),NA())</f>
        <v>98520.80718816015</v>
      </c>
      <c r="K167" s="9">
        <f>IF(OR(Inputs!$F$9=TRUE,Inputs!$F$9="TRUE",Inputs!$F$9=1),(((SQRT(((Inputs!$I$9+(((A167)+1)/2)*(Inputs!$J$9-Inputs!$I$9)))^2+Inputs!$C$6^2+((Inputs!$H$9+Inputs!$L$9*(((Inputs!$I$9+(((A167)+1)/2)*(Inputs!$J$9-Inputs!$I$9)))/Inputs!$K$9)^2))^2))-((Inputs!$H$9+Inputs!$L$9*(((Inputs!$I$9+(((A167)+1)/2)*(Inputs!$J$9-Inputs!$I$9)))/Inputs!$K$9)^2)))*1000/Inputs!$C$12),NA())</f>
        <v>101013.23130719473</v>
      </c>
      <c r="L167" s="10"/>
      <c r="M167" s="9">
        <f t="shared" si="13"/>
        <v>0.375</v>
      </c>
      <c r="N167" s="9">
        <f>IF(OR(Inputs!$F$6=TRUE,Inputs!$F$6="TRUE",Inputs!$F$6=1),(-2*((1000*((((Inputs!$I$6+(((A167)+1)/2)*(Inputs!$J$6-Inputs!$I$6)))*Inputs!$C$11+((Inputs!$H$6+Inputs!$L$6*(((Inputs!$I$6+(((A167)+1)/2)*(Inputs!$J$6-Inputs!$I$6)))/Inputs!$K$6)^2))*((2*Inputs!$L$6*((Inputs!$I$6+(((A167)+1)/2)*(Inputs!$J$6-Inputs!$I$6)))/(Inputs!$K$6^2)*Inputs!$C$11)))/(SQRT(((Inputs!$I$6+(((A167)+1)/2)*(Inputs!$J$6-Inputs!$I$6)))^2+Inputs!$C$6^2+((Inputs!$H$6+Inputs!$L$6*(((Inputs!$I$6+(((A167)+1)/2)*(Inputs!$J$6-Inputs!$I$6)))/Inputs!$K$6)^2))^2)))))/Inputs!$C$13),NA())</f>
        <v>-169.27791899911475</v>
      </c>
      <c r="O167" s="9">
        <f>IF(OR(Inputs!$F$7=TRUE,Inputs!$F$7="TRUE",Inputs!$F$7=1),(-2*((1000*((((Inputs!$I$7+(((A167)+1)/2)*(Inputs!$J$7-Inputs!$I$7)))*Inputs!$C$11+((Inputs!$H$7+Inputs!$L$7*(((Inputs!$I$7+(((A167)+1)/2)*(Inputs!$J$7-Inputs!$I$7)))/Inputs!$K$7)^2))*((2*Inputs!$L$7*((Inputs!$I$7+(((A167)+1)/2)*(Inputs!$J$7-Inputs!$I$7)))/(Inputs!$K$7^2)*Inputs!$C$11)))/(SQRT(((Inputs!$I$7+(((A167)+1)/2)*(Inputs!$J$7-Inputs!$I$7)))^2+Inputs!$C$6^2+((Inputs!$H$7+Inputs!$L$7*(((Inputs!$I$7+(((A167)+1)/2)*(Inputs!$J$7-Inputs!$I$7)))/Inputs!$K$7)^2))^2)))))/Inputs!$C$13),NA())</f>
        <v>-1913.0787581584004</v>
      </c>
      <c r="P167" s="9">
        <f>IF(OR(Inputs!$F$8=TRUE,Inputs!$F$8="TRUE",Inputs!$F$8=1),(-2*((1000*((((Inputs!$I$8+(((A167)+1)/2)*(Inputs!$J$8-Inputs!$I$8)))*Inputs!$C$11+((Inputs!$H$8+Inputs!$L$8*(((Inputs!$I$8+(((A167)+1)/2)*(Inputs!$J$8-Inputs!$I$8)))/Inputs!$K$8)^2))*((2*Inputs!$L$8*((Inputs!$I$8+(((A167)+1)/2)*(Inputs!$J$8-Inputs!$I$8)))/(Inputs!$K$8^2)*Inputs!$C$11)))/(SQRT(((Inputs!$I$8+(((A167)+1)/2)*(Inputs!$J$8-Inputs!$I$8)))^2+Inputs!$C$6^2+((Inputs!$H$8+Inputs!$L$8*(((Inputs!$I$8+(((A167)+1)/2)*(Inputs!$J$8-Inputs!$I$8)))/Inputs!$K$8)^2))^2)))))/Inputs!$C$13),NA())</f>
        <v>-2100.9981607959662</v>
      </c>
      <c r="Q167" s="9">
        <f>IF(OR(Inputs!$F$9=TRUE,Inputs!$F$9="TRUE",Inputs!$F$9=1),(-2*((1000*((((Inputs!$I$9+(((A167)+1)/2)*(Inputs!$J$9-Inputs!$I$9)))*Inputs!$C$11+((Inputs!$H$9+Inputs!$L$9*(((Inputs!$I$9+(((A167)+1)/2)*(Inputs!$J$9-Inputs!$I$9)))/Inputs!$K$9)^2))*((2*Inputs!$L$9*((Inputs!$I$9+(((A167)+1)/2)*(Inputs!$J$9-Inputs!$I$9)))/(Inputs!$K$9^2)*Inputs!$C$11)))/(SQRT(((Inputs!$I$9+(((A167)+1)/2)*(Inputs!$J$9-Inputs!$I$9)))^2+Inputs!$C$6^2+((Inputs!$H$9+Inputs!$L$9*(((Inputs!$I$9+(((A167)+1)/2)*(Inputs!$J$9-Inputs!$I$9)))/Inputs!$K$9)^2))^2)))))/Inputs!$C$13),NA())</f>
        <v>-2097.2736181760724</v>
      </c>
      <c r="R167" s="10"/>
      <c r="S167" s="9">
        <f t="shared" si="14"/>
        <v>0.375</v>
      </c>
      <c r="T167" s="9">
        <f>(Inputs!$I$6+(((A167)+1)/2)*(Inputs!$J$6-Inputs!$I$6))</f>
        <v>22.5</v>
      </c>
      <c r="U167" s="9">
        <f>(Inputs!$I$7+(((A167)+1)/2)*(Inputs!$J$7-Inputs!$I$7))</f>
        <v>150</v>
      </c>
      <c r="V167" s="9">
        <f>(Inputs!$I$8+(((A167)+1)/2)*(Inputs!$J$8-Inputs!$I$8))</f>
        <v>300</v>
      </c>
      <c r="W167" s="9">
        <f>(Inputs!$I$9+(((A167)+1)/2)*(Inputs!$J$9-Inputs!$I$9))</f>
        <v>300</v>
      </c>
      <c r="X167" s="10"/>
      <c r="Y167" s="9">
        <f t="shared" si="15"/>
        <v>0.375</v>
      </c>
      <c r="Z167" s="9">
        <f>(Inputs!$H$6+Inputs!$L$6*(((Inputs!$I$6+(((A167)+1)/2)*(Inputs!$J$6-Inputs!$I$6)))/Inputs!$K$6)^2)</f>
        <v>400.5625</v>
      </c>
      <c r="AA167" s="9">
        <f>(Inputs!$H$7+Inputs!$L$7*(((Inputs!$I$7+(((A167)+1)/2)*(Inputs!$J$7-Inputs!$I$7)))/Inputs!$K$7)^2)</f>
        <v>86.328125</v>
      </c>
      <c r="AB167" s="9">
        <f>(Inputs!$H$8+Inputs!$L$8*(((Inputs!$I$8+(((A167)+1)/2)*(Inputs!$J$8-Inputs!$I$8)))/Inputs!$K$8)^2)</f>
        <v>170.703125</v>
      </c>
      <c r="AC167" s="9">
        <f>(Inputs!$H$9+Inputs!$L$9*(((Inputs!$I$9+(((A167)+1)/2)*(Inputs!$J$9-Inputs!$I$9)))/Inputs!$K$9)^2)</f>
        <v>162.109375</v>
      </c>
      <c r="AD167" s="10"/>
      <c r="AE167" s="9">
        <f t="shared" si="16"/>
        <v>0.375</v>
      </c>
      <c r="AF167" s="9">
        <f>(((SQRT(((Inputs!$I$6+(((A167)+1)/2)*(Inputs!$J$6-Inputs!$I$6)))^2+Inputs!$C$6^2+((Inputs!$H$6+Inputs!$L$6*(((Inputs!$I$6+(((A167)+1)/2)*(Inputs!$J$6-Inputs!$I$6)))/Inputs!$K$6)^2))^2))-((Inputs!$H$6+Inputs!$L$6*(((Inputs!$I$6+(((A167)+1)/2)*(Inputs!$J$6-Inputs!$I$6)))/Inputs!$K$6)^2)))*1000/Inputs!$C$12)</f>
        <v>791.90817516879872</v>
      </c>
      <c r="AG167" s="9">
        <f>(((SQRT(((Inputs!$I$7+(((A167)+1)/2)*(Inputs!$J$7-Inputs!$I$7)))^2+Inputs!$C$6^2+((Inputs!$H$7+Inputs!$L$7*(((Inputs!$I$7+(((A167)+1)/2)*(Inputs!$J$7-Inputs!$I$7)))/Inputs!$K$7)^2))^2))-((Inputs!$H$7+Inputs!$L$7*(((Inputs!$I$7+(((A167)+1)/2)*(Inputs!$J$7-Inputs!$I$7)))/Inputs!$K$7)^2)))*1000/Inputs!$C$12)</f>
        <v>49739.459098557942</v>
      </c>
      <c r="AH167" s="9">
        <f>(((SQRT(((Inputs!$I$8+(((A167)+1)/2)*(Inputs!$J$8-Inputs!$I$8)))^2+Inputs!$C$6^2+((Inputs!$H$8+Inputs!$L$8*(((Inputs!$I$8+(((A167)+1)/2)*(Inputs!$J$8-Inputs!$I$8)))/Inputs!$K$8)^2))^2))-((Inputs!$H$8+Inputs!$L$8*(((Inputs!$I$8+(((A167)+1)/2)*(Inputs!$J$8-Inputs!$I$8)))/Inputs!$K$8)^2)))*1000/Inputs!$C$12)</f>
        <v>98520.80718816015</v>
      </c>
      <c r="AI167" s="9">
        <f>(((SQRT(((Inputs!$I$9+(((A167)+1)/2)*(Inputs!$J$9-Inputs!$I$9)))^2+Inputs!$C$6^2+((Inputs!$H$9+Inputs!$L$9*(((Inputs!$I$9+(((A167)+1)/2)*(Inputs!$J$9-Inputs!$I$9)))/Inputs!$K$9)^2))^2))-((Inputs!$H$9+Inputs!$L$9*(((Inputs!$I$9+(((A167)+1)/2)*(Inputs!$J$9-Inputs!$I$9)))/Inputs!$K$9)^2)))*1000/Inputs!$C$12)</f>
        <v>101013.23130719473</v>
      </c>
      <c r="AJ167" s="10"/>
      <c r="AK167" s="9">
        <f t="shared" si="17"/>
        <v>0.375</v>
      </c>
      <c r="AL167" s="9">
        <f>(-2*((1000*((((Inputs!$I$6+(((A167)+1)/2)*(Inputs!$J$6-Inputs!$I$6)))*Inputs!$C$11+((Inputs!$H$6+Inputs!$L$6*(((Inputs!$I$6+(((A167)+1)/2)*(Inputs!$J$6-Inputs!$I$6)))/Inputs!$K$6)^2))*((2*Inputs!$L$6*((Inputs!$I$6+(((A167)+1)/2)*(Inputs!$J$6-Inputs!$I$6)))/(Inputs!$K$6^2)*Inputs!$C$11)))/(SQRT(((Inputs!$I$6+(((A167)+1)/2)*(Inputs!$J$6-Inputs!$I$6)))^2+Inputs!$C$6^2+((Inputs!$H$6+Inputs!$L$6*(((Inputs!$I$6+(((A167)+1)/2)*(Inputs!$J$6-Inputs!$I$6)))/Inputs!$K$6)^2))^2)))))/Inputs!$C$13)</f>
        <v>-169.27791899911475</v>
      </c>
      <c r="AM167" s="9">
        <f>(-2*((1000*((((Inputs!$I$7+(((A167)+1)/2)*(Inputs!$J$7-Inputs!$I$7)))*Inputs!$C$11+((Inputs!$H$7+Inputs!$L$7*(((Inputs!$I$7+(((A167)+1)/2)*(Inputs!$J$7-Inputs!$I$7)))/Inputs!$K$7)^2))*((2*Inputs!$L$7*((Inputs!$I$7+(((A167)+1)/2)*(Inputs!$J$7-Inputs!$I$7)))/(Inputs!$K$7^2)*Inputs!$C$11)))/(SQRT(((Inputs!$I$7+(((A167)+1)/2)*(Inputs!$J$7-Inputs!$I$7)))^2+Inputs!$C$6^2+((Inputs!$H$7+Inputs!$L$7*(((Inputs!$I$7+(((A167)+1)/2)*(Inputs!$J$7-Inputs!$I$7)))/Inputs!$K$7)^2))^2)))))/Inputs!$C$13)</f>
        <v>-1913.0787581584004</v>
      </c>
      <c r="AN167" s="9">
        <f>(-2*((1000*((((Inputs!$I$8+(((A167)+1)/2)*(Inputs!$J$8-Inputs!$I$8)))*Inputs!$C$11+((Inputs!$H$8+Inputs!$L$8*(((Inputs!$I$8+(((A167)+1)/2)*(Inputs!$J$8-Inputs!$I$8)))/Inputs!$K$8)^2))*((2*Inputs!$L$8*((Inputs!$I$8+(((A167)+1)/2)*(Inputs!$J$8-Inputs!$I$8)))/(Inputs!$K$8^2)*Inputs!$C$11)))/(SQRT(((Inputs!$I$8+(((A167)+1)/2)*(Inputs!$J$8-Inputs!$I$8)))^2+Inputs!$C$6^2+((Inputs!$H$8+Inputs!$L$8*(((Inputs!$I$8+(((A167)+1)/2)*(Inputs!$J$8-Inputs!$I$8)))/Inputs!$K$8)^2))^2)))))/Inputs!$C$13)</f>
        <v>-2100.9981607959662</v>
      </c>
      <c r="AO167" s="9">
        <f>(-2*((1000*((((Inputs!$I$9+(((A167)+1)/2)*(Inputs!$J$9-Inputs!$I$9)))*Inputs!$C$11+((Inputs!$H$9+Inputs!$L$9*(((Inputs!$I$9+(((A167)+1)/2)*(Inputs!$J$9-Inputs!$I$9)))/Inputs!$K$9)^2))*((2*Inputs!$L$9*((Inputs!$I$9+(((A167)+1)/2)*(Inputs!$J$9-Inputs!$I$9)))/(Inputs!$K$9^2)*Inputs!$C$11)))/(SQRT(((Inputs!$I$9+(((A167)+1)/2)*(Inputs!$J$9-Inputs!$I$9)))^2+Inputs!$C$6^2+((Inputs!$H$9+Inputs!$L$9*(((Inputs!$I$9+(((A167)+1)/2)*(Inputs!$J$9-Inputs!$I$9)))/Inputs!$K$9)^2))^2)))))/Inputs!$C$13)</f>
        <v>-2097.2736181760724</v>
      </c>
    </row>
    <row r="168" spans="1:41">
      <c r="A168" s="9">
        <f>ROUND(-1+166*2/240,3)</f>
        <v>0.38300000000000001</v>
      </c>
      <c r="B168" s="9">
        <f>IF(OR(Inputs!$F$6=TRUE,Inputs!$F$6="TRUE",Inputs!$F$6=1),(Inputs!$H$6+Inputs!$L$6*(((Inputs!$I$6+(((A168)+1)/2)*(Inputs!$J$6-Inputs!$I$6)))/Inputs!$K$6)^2),NA())</f>
        <v>400.58675599999998</v>
      </c>
      <c r="C168" s="9">
        <f>IF(OR(Inputs!$F$7=TRUE,Inputs!$F$7="TRUE",Inputs!$F$7=1),(Inputs!$H$7+Inputs!$L$7*(((Inputs!$I$7+(((A168)+1)/2)*(Inputs!$J$7-Inputs!$I$7)))/Inputs!$K$7)^2),NA())</f>
        <v>88.541485000000037</v>
      </c>
      <c r="D168" s="9">
        <f>IF(OR(Inputs!$F$8=TRUE,Inputs!$F$8="TRUE",Inputs!$F$8=1),(Inputs!$H$8+Inputs!$L$8*(((Inputs!$I$8+(((A168)+1)/2)*(Inputs!$J$8-Inputs!$I$8)))/Inputs!$K$8)^2),NA())</f>
        <v>176.5548850000001</v>
      </c>
      <c r="E168" s="9">
        <f>IF(OR(Inputs!$F$9=TRUE,Inputs!$F$9="TRUE",Inputs!$F$9=1),(Inputs!$H$9+Inputs!$L$9*(((Inputs!$I$9+(((A168)+1)/2)*(Inputs!$J$9-Inputs!$I$9)))/Inputs!$K$9)^2),NA())</f>
        <v>168.0217750000001</v>
      </c>
      <c r="F168" s="10"/>
      <c r="G168" s="9">
        <f t="shared" si="12"/>
        <v>0.38300000000000001</v>
      </c>
      <c r="H168" s="9">
        <f>IF(OR(Inputs!$F$6=TRUE,Inputs!$F$6="TRUE",Inputs!$F$6=1),(((SQRT(((Inputs!$I$6+(((A168)+1)/2)*(Inputs!$J$6-Inputs!$I$6)))^2+Inputs!$C$6^2+((Inputs!$H$6+Inputs!$L$6*(((Inputs!$I$6+(((A168)+1)/2)*(Inputs!$J$6-Inputs!$I$6)))/Inputs!$K$6)^2))^2))-((Inputs!$H$6+Inputs!$L$6*(((Inputs!$I$6+(((A168)+1)/2)*(Inputs!$J$6-Inputs!$I$6)))/Inputs!$K$6)^2)))*1000/Inputs!$C$12),NA())</f>
        <v>807.11408557674713</v>
      </c>
      <c r="I168" s="9">
        <f>IF(OR(Inputs!$F$7=TRUE,Inputs!$F$7="TRUE",Inputs!$F$7=1),(((SQRT(((Inputs!$I$7+(((A168)+1)/2)*(Inputs!$J$7-Inputs!$I$7)))^2+Inputs!$C$6^2+((Inputs!$H$7+Inputs!$L$7*(((Inputs!$I$7+(((A168)+1)/2)*(Inputs!$J$7-Inputs!$I$7)))/Inputs!$K$7)^2))^2))-((Inputs!$H$7+Inputs!$L$7*(((Inputs!$I$7+(((A168)+1)/2)*(Inputs!$J$7-Inputs!$I$7)))/Inputs!$K$7)^2)))*1000/Inputs!$C$12),NA())</f>
        <v>50652.650252996893</v>
      </c>
      <c r="J168" s="9">
        <f>IF(OR(Inputs!$F$8=TRUE,Inputs!$F$8="TRUE",Inputs!$F$8=1),(((SQRT(((Inputs!$I$8+(((A168)+1)/2)*(Inputs!$J$8-Inputs!$I$8)))^2+Inputs!$C$6^2+((Inputs!$H$8+Inputs!$L$8*(((Inputs!$I$8+(((A168)+1)/2)*(Inputs!$J$8-Inputs!$I$8)))/Inputs!$K$8)^2))^2))-((Inputs!$H$8+Inputs!$L$8*(((Inputs!$I$8+(((A168)+1)/2)*(Inputs!$J$8-Inputs!$I$8)))/Inputs!$K$8)^2)))*1000/Inputs!$C$12),NA())</f>
        <v>99974.979671689245</v>
      </c>
      <c r="K168" s="9">
        <f>IF(OR(Inputs!$F$9=TRUE,Inputs!$F$9="TRUE",Inputs!$F$9=1),(((SQRT(((Inputs!$I$9+(((A168)+1)/2)*(Inputs!$J$9-Inputs!$I$9)))^2+Inputs!$C$6^2+((Inputs!$H$9+Inputs!$L$9*(((Inputs!$I$9+(((A168)+1)/2)*(Inputs!$J$9-Inputs!$I$9)))/Inputs!$K$9)^2))^2))-((Inputs!$H$9+Inputs!$L$9*(((Inputs!$I$9+(((A168)+1)/2)*(Inputs!$J$9-Inputs!$I$9)))/Inputs!$K$9)^2)))*1000/Inputs!$C$12),NA())</f>
        <v>102425.29661853187</v>
      </c>
      <c r="L168" s="10"/>
      <c r="M168" s="9">
        <f t="shared" si="13"/>
        <v>0.38300000000000001</v>
      </c>
      <c r="N168" s="9">
        <f>IF(OR(Inputs!$F$6=TRUE,Inputs!$F$6="TRUE",Inputs!$F$6=1),(-2*((1000*((((Inputs!$I$6+(((A168)+1)/2)*(Inputs!$J$6-Inputs!$I$6)))*Inputs!$C$11+((Inputs!$H$6+Inputs!$L$6*(((Inputs!$I$6+(((A168)+1)/2)*(Inputs!$J$6-Inputs!$I$6)))/Inputs!$K$6)^2))*((2*Inputs!$L$6*((Inputs!$I$6+(((A168)+1)/2)*(Inputs!$J$6-Inputs!$I$6)))/(Inputs!$K$6^2)*Inputs!$C$11)))/(SQRT(((Inputs!$I$6+(((A168)+1)/2)*(Inputs!$J$6-Inputs!$I$6)))^2+Inputs!$C$6^2+((Inputs!$H$6+Inputs!$L$6*(((Inputs!$I$6+(((A168)+1)/2)*(Inputs!$J$6-Inputs!$I$6)))/Inputs!$K$6)^2))^2)))))/Inputs!$C$13),NA())</f>
        <v>-172.87203990240704</v>
      </c>
      <c r="O168" s="9">
        <f>IF(OR(Inputs!$F$7=TRUE,Inputs!$F$7="TRUE",Inputs!$F$7=1),(-2*((1000*((((Inputs!$I$7+(((A168)+1)/2)*(Inputs!$J$7-Inputs!$I$7)))*Inputs!$C$11+((Inputs!$H$7+Inputs!$L$7*(((Inputs!$I$7+(((A168)+1)/2)*(Inputs!$J$7-Inputs!$I$7)))/Inputs!$K$7)^2))*((2*Inputs!$L$7*((Inputs!$I$7+(((A168)+1)/2)*(Inputs!$J$7-Inputs!$I$7)))/(Inputs!$K$7^2)*Inputs!$C$11)))/(SQRT(((Inputs!$I$7+(((A168)+1)/2)*(Inputs!$J$7-Inputs!$I$7)))^2+Inputs!$C$6^2+((Inputs!$H$7+Inputs!$L$7*(((Inputs!$I$7+(((A168)+1)/2)*(Inputs!$J$7-Inputs!$I$7)))/Inputs!$K$7)^2))^2)))))/Inputs!$C$13),NA())</f>
        <v>-1925.7699383436873</v>
      </c>
      <c r="P168" s="9">
        <f>IF(OR(Inputs!$F$8=TRUE,Inputs!$F$8="TRUE",Inputs!$F$8=1),(-2*((1000*((((Inputs!$I$8+(((A168)+1)/2)*(Inputs!$J$8-Inputs!$I$8)))*Inputs!$C$11+((Inputs!$H$8+Inputs!$L$8*(((Inputs!$I$8+(((A168)+1)/2)*(Inputs!$J$8-Inputs!$I$8)))/Inputs!$K$8)^2))*((2*Inputs!$L$8*((Inputs!$I$8+(((A168)+1)/2)*(Inputs!$J$8-Inputs!$I$8)))/(Inputs!$K$8^2)*Inputs!$C$11)))/(SQRT(((Inputs!$I$8+(((A168)+1)/2)*(Inputs!$J$8-Inputs!$I$8)))^2+Inputs!$C$6^2+((Inputs!$H$8+Inputs!$L$8*(((Inputs!$I$8+(((A168)+1)/2)*(Inputs!$J$8-Inputs!$I$8)))/Inputs!$K$8)^2))^2)))))/Inputs!$C$13),NA())</f>
        <v>-2119.1347823728947</v>
      </c>
      <c r="Q168" s="9">
        <f>IF(OR(Inputs!$F$9=TRUE,Inputs!$F$9="TRUE",Inputs!$F$9=1),(-2*((1000*((((Inputs!$I$9+(((A168)+1)/2)*(Inputs!$J$9-Inputs!$I$9)))*Inputs!$C$11+((Inputs!$H$9+Inputs!$L$9*(((Inputs!$I$9+(((A168)+1)/2)*(Inputs!$J$9-Inputs!$I$9)))/Inputs!$K$9)^2))*((2*Inputs!$L$9*((Inputs!$I$9+(((A168)+1)/2)*(Inputs!$J$9-Inputs!$I$9)))/(Inputs!$K$9^2)*Inputs!$C$11)))/(SQRT(((Inputs!$I$9+(((A168)+1)/2)*(Inputs!$J$9-Inputs!$I$9)))^2+Inputs!$C$6^2+((Inputs!$H$9+Inputs!$L$9*(((Inputs!$I$9+(((A168)+1)/2)*(Inputs!$J$9-Inputs!$I$9)))/Inputs!$K$9)^2))^2)))))/Inputs!$C$13),NA())</f>
        <v>-2115.7066217347519</v>
      </c>
      <c r="R168" s="10"/>
      <c r="S168" s="9">
        <f t="shared" si="14"/>
        <v>0.38300000000000001</v>
      </c>
      <c r="T168" s="9">
        <f>(Inputs!$I$6+(((A168)+1)/2)*(Inputs!$J$6-Inputs!$I$6))</f>
        <v>22.980000000000004</v>
      </c>
      <c r="U168" s="9">
        <f>(Inputs!$I$7+(((A168)+1)/2)*(Inputs!$J$7-Inputs!$I$7))</f>
        <v>153.20000000000005</v>
      </c>
      <c r="V168" s="9">
        <f>(Inputs!$I$8+(((A168)+1)/2)*(Inputs!$J$8-Inputs!$I$8))</f>
        <v>306.40000000000009</v>
      </c>
      <c r="W168" s="9">
        <f>(Inputs!$I$9+(((A168)+1)/2)*(Inputs!$J$9-Inputs!$I$9))</f>
        <v>306.40000000000009</v>
      </c>
      <c r="X168" s="10"/>
      <c r="Y168" s="9">
        <f t="shared" si="15"/>
        <v>0.38300000000000001</v>
      </c>
      <c r="Z168" s="9">
        <f>(Inputs!$H$6+Inputs!$L$6*(((Inputs!$I$6+(((A168)+1)/2)*(Inputs!$J$6-Inputs!$I$6)))/Inputs!$K$6)^2)</f>
        <v>400.58675599999998</v>
      </c>
      <c r="AA168" s="9">
        <f>(Inputs!$H$7+Inputs!$L$7*(((Inputs!$I$7+(((A168)+1)/2)*(Inputs!$J$7-Inputs!$I$7)))/Inputs!$K$7)^2)</f>
        <v>88.541485000000037</v>
      </c>
      <c r="AB168" s="9">
        <f>(Inputs!$H$8+Inputs!$L$8*(((Inputs!$I$8+(((A168)+1)/2)*(Inputs!$J$8-Inputs!$I$8)))/Inputs!$K$8)^2)</f>
        <v>176.5548850000001</v>
      </c>
      <c r="AC168" s="9">
        <f>(Inputs!$H$9+Inputs!$L$9*(((Inputs!$I$9+(((A168)+1)/2)*(Inputs!$J$9-Inputs!$I$9)))/Inputs!$K$9)^2)</f>
        <v>168.0217750000001</v>
      </c>
      <c r="AD168" s="10"/>
      <c r="AE168" s="9">
        <f t="shared" si="16"/>
        <v>0.38300000000000001</v>
      </c>
      <c r="AF168" s="9">
        <f>(((SQRT(((Inputs!$I$6+(((A168)+1)/2)*(Inputs!$J$6-Inputs!$I$6)))^2+Inputs!$C$6^2+((Inputs!$H$6+Inputs!$L$6*(((Inputs!$I$6+(((A168)+1)/2)*(Inputs!$J$6-Inputs!$I$6)))/Inputs!$K$6)^2))^2))-((Inputs!$H$6+Inputs!$L$6*(((Inputs!$I$6+(((A168)+1)/2)*(Inputs!$J$6-Inputs!$I$6)))/Inputs!$K$6)^2)))*1000/Inputs!$C$12)</f>
        <v>807.11408557674713</v>
      </c>
      <c r="AG168" s="9">
        <f>(((SQRT(((Inputs!$I$7+(((A168)+1)/2)*(Inputs!$J$7-Inputs!$I$7)))^2+Inputs!$C$6^2+((Inputs!$H$7+Inputs!$L$7*(((Inputs!$I$7+(((A168)+1)/2)*(Inputs!$J$7-Inputs!$I$7)))/Inputs!$K$7)^2))^2))-((Inputs!$H$7+Inputs!$L$7*(((Inputs!$I$7+(((A168)+1)/2)*(Inputs!$J$7-Inputs!$I$7)))/Inputs!$K$7)^2)))*1000/Inputs!$C$12)</f>
        <v>50652.650252996893</v>
      </c>
      <c r="AH168" s="9">
        <f>(((SQRT(((Inputs!$I$8+(((A168)+1)/2)*(Inputs!$J$8-Inputs!$I$8)))^2+Inputs!$C$6^2+((Inputs!$H$8+Inputs!$L$8*(((Inputs!$I$8+(((A168)+1)/2)*(Inputs!$J$8-Inputs!$I$8)))/Inputs!$K$8)^2))^2))-((Inputs!$H$8+Inputs!$L$8*(((Inputs!$I$8+(((A168)+1)/2)*(Inputs!$J$8-Inputs!$I$8)))/Inputs!$K$8)^2)))*1000/Inputs!$C$12)</f>
        <v>99974.979671689245</v>
      </c>
      <c r="AI168" s="9">
        <f>(((SQRT(((Inputs!$I$9+(((A168)+1)/2)*(Inputs!$J$9-Inputs!$I$9)))^2+Inputs!$C$6^2+((Inputs!$H$9+Inputs!$L$9*(((Inputs!$I$9+(((A168)+1)/2)*(Inputs!$J$9-Inputs!$I$9)))/Inputs!$K$9)^2))^2))-((Inputs!$H$9+Inputs!$L$9*(((Inputs!$I$9+(((A168)+1)/2)*(Inputs!$J$9-Inputs!$I$9)))/Inputs!$K$9)^2)))*1000/Inputs!$C$12)</f>
        <v>102425.29661853187</v>
      </c>
      <c r="AJ168" s="10"/>
      <c r="AK168" s="9">
        <f t="shared" si="17"/>
        <v>0.38300000000000001</v>
      </c>
      <c r="AL168" s="9">
        <f>(-2*((1000*((((Inputs!$I$6+(((A168)+1)/2)*(Inputs!$J$6-Inputs!$I$6)))*Inputs!$C$11+((Inputs!$H$6+Inputs!$L$6*(((Inputs!$I$6+(((A168)+1)/2)*(Inputs!$J$6-Inputs!$I$6)))/Inputs!$K$6)^2))*((2*Inputs!$L$6*((Inputs!$I$6+(((A168)+1)/2)*(Inputs!$J$6-Inputs!$I$6)))/(Inputs!$K$6^2)*Inputs!$C$11)))/(SQRT(((Inputs!$I$6+(((A168)+1)/2)*(Inputs!$J$6-Inputs!$I$6)))^2+Inputs!$C$6^2+((Inputs!$H$6+Inputs!$L$6*(((Inputs!$I$6+(((A168)+1)/2)*(Inputs!$J$6-Inputs!$I$6)))/Inputs!$K$6)^2))^2)))))/Inputs!$C$13)</f>
        <v>-172.87203990240704</v>
      </c>
      <c r="AM168" s="9">
        <f>(-2*((1000*((((Inputs!$I$7+(((A168)+1)/2)*(Inputs!$J$7-Inputs!$I$7)))*Inputs!$C$11+((Inputs!$H$7+Inputs!$L$7*(((Inputs!$I$7+(((A168)+1)/2)*(Inputs!$J$7-Inputs!$I$7)))/Inputs!$K$7)^2))*((2*Inputs!$L$7*((Inputs!$I$7+(((A168)+1)/2)*(Inputs!$J$7-Inputs!$I$7)))/(Inputs!$K$7^2)*Inputs!$C$11)))/(SQRT(((Inputs!$I$7+(((A168)+1)/2)*(Inputs!$J$7-Inputs!$I$7)))^2+Inputs!$C$6^2+((Inputs!$H$7+Inputs!$L$7*(((Inputs!$I$7+(((A168)+1)/2)*(Inputs!$J$7-Inputs!$I$7)))/Inputs!$K$7)^2))^2)))))/Inputs!$C$13)</f>
        <v>-1925.7699383436873</v>
      </c>
      <c r="AN168" s="9">
        <f>(-2*((1000*((((Inputs!$I$8+(((A168)+1)/2)*(Inputs!$J$8-Inputs!$I$8)))*Inputs!$C$11+((Inputs!$H$8+Inputs!$L$8*(((Inputs!$I$8+(((A168)+1)/2)*(Inputs!$J$8-Inputs!$I$8)))/Inputs!$K$8)^2))*((2*Inputs!$L$8*((Inputs!$I$8+(((A168)+1)/2)*(Inputs!$J$8-Inputs!$I$8)))/(Inputs!$K$8^2)*Inputs!$C$11)))/(SQRT(((Inputs!$I$8+(((A168)+1)/2)*(Inputs!$J$8-Inputs!$I$8)))^2+Inputs!$C$6^2+((Inputs!$H$8+Inputs!$L$8*(((Inputs!$I$8+(((A168)+1)/2)*(Inputs!$J$8-Inputs!$I$8)))/Inputs!$K$8)^2))^2)))))/Inputs!$C$13)</f>
        <v>-2119.1347823728947</v>
      </c>
      <c r="AO168" s="9">
        <f>(-2*((1000*((((Inputs!$I$9+(((A168)+1)/2)*(Inputs!$J$9-Inputs!$I$9)))*Inputs!$C$11+((Inputs!$H$9+Inputs!$L$9*(((Inputs!$I$9+(((A168)+1)/2)*(Inputs!$J$9-Inputs!$I$9)))/Inputs!$K$9)^2))*((2*Inputs!$L$9*((Inputs!$I$9+(((A168)+1)/2)*(Inputs!$J$9-Inputs!$I$9)))/(Inputs!$K$9^2)*Inputs!$C$11)))/(SQRT(((Inputs!$I$9+(((A168)+1)/2)*(Inputs!$J$9-Inputs!$I$9)))^2+Inputs!$C$6^2+((Inputs!$H$9+Inputs!$L$9*(((Inputs!$I$9+(((A168)+1)/2)*(Inputs!$J$9-Inputs!$I$9)))/Inputs!$K$9)^2))^2)))))/Inputs!$C$13)</f>
        <v>-2115.7066217347519</v>
      </c>
    </row>
    <row r="169" spans="1:41">
      <c r="A169" s="9">
        <f>ROUND(-1+167*2/240,3)</f>
        <v>0.39200000000000002</v>
      </c>
      <c r="B169" s="9">
        <f>IF(OR(Inputs!$F$6=TRUE,Inputs!$F$6="TRUE",Inputs!$F$6=1),(Inputs!$H$6+Inputs!$L$6*(((Inputs!$I$6+(((A169)+1)/2)*(Inputs!$J$6-Inputs!$I$6)))/Inputs!$K$6)^2),NA())</f>
        <v>400.61465600000002</v>
      </c>
      <c r="C169" s="9">
        <f>IF(OR(Inputs!$F$7=TRUE,Inputs!$F$7="TRUE",Inputs!$F$7=1),(Inputs!$H$7+Inputs!$L$7*(((Inputs!$I$7+(((A169)+1)/2)*(Inputs!$J$7-Inputs!$I$7)))/Inputs!$K$7)^2),NA())</f>
        <v>91.087359999999961</v>
      </c>
      <c r="D169" s="9">
        <f>IF(OR(Inputs!$F$8=TRUE,Inputs!$F$8="TRUE",Inputs!$F$8=1),(Inputs!$H$8+Inputs!$L$8*(((Inputs!$I$8+(((A169)+1)/2)*(Inputs!$J$8-Inputs!$I$8)))/Inputs!$K$8)^2),NA())</f>
        <v>183.28575999999993</v>
      </c>
      <c r="E169" s="9">
        <f>IF(OR(Inputs!$F$9=TRUE,Inputs!$F$9="TRUE",Inputs!$F$9=1),(Inputs!$H$9+Inputs!$L$9*(((Inputs!$I$9+(((A169)+1)/2)*(Inputs!$J$9-Inputs!$I$9)))/Inputs!$K$9)^2),NA())</f>
        <v>174.8223999999999</v>
      </c>
      <c r="F169" s="10"/>
      <c r="G169" s="9">
        <f t="shared" si="12"/>
        <v>0.39200000000000002</v>
      </c>
      <c r="H169" s="9">
        <f>IF(OR(Inputs!$F$6=TRUE,Inputs!$F$6="TRUE",Inputs!$F$6=1),(((SQRT(((Inputs!$I$6+(((A169)+1)/2)*(Inputs!$J$6-Inputs!$I$6)))^2+Inputs!$C$6^2+((Inputs!$H$6+Inputs!$L$6*(((Inputs!$I$6+(((A169)+1)/2)*(Inputs!$J$6-Inputs!$I$6)))/Inputs!$K$6)^2))^2))-((Inputs!$H$6+Inputs!$L$6*(((Inputs!$I$6+(((A169)+1)/2)*(Inputs!$J$6-Inputs!$I$6)))/Inputs!$K$6)^2)))*1000/Inputs!$C$12),NA())</f>
        <v>824.60085858154378</v>
      </c>
      <c r="I169" s="9">
        <f>IF(OR(Inputs!$F$7=TRUE,Inputs!$F$7="TRUE",Inputs!$F$7=1),(((SQRT(((Inputs!$I$7+(((A169)+1)/2)*(Inputs!$J$7-Inputs!$I$7)))^2+Inputs!$C$6^2+((Inputs!$H$7+Inputs!$L$7*(((Inputs!$I$7+(((A169)+1)/2)*(Inputs!$J$7-Inputs!$I$7)))/Inputs!$K$7)^2))^2))-((Inputs!$H$7+Inputs!$L$7*(((Inputs!$I$7+(((A169)+1)/2)*(Inputs!$J$7-Inputs!$I$7)))/Inputs!$K$7)^2)))*1000/Inputs!$C$12),NA())</f>
        <v>51665.700644274562</v>
      </c>
      <c r="J169" s="9">
        <f>IF(OR(Inputs!$F$8=TRUE,Inputs!$F$8="TRUE",Inputs!$F$8=1),(((SQRT(((Inputs!$I$8+(((A169)+1)/2)*(Inputs!$J$8-Inputs!$I$8)))^2+Inputs!$C$6^2+((Inputs!$H$8+Inputs!$L$8*(((Inputs!$I$8+(((A169)+1)/2)*(Inputs!$J$8-Inputs!$I$8)))/Inputs!$K$8)^2))^2))-((Inputs!$H$8+Inputs!$L$8*(((Inputs!$I$8+(((A169)+1)/2)*(Inputs!$J$8-Inputs!$I$8)))/Inputs!$K$8)^2)))*1000/Inputs!$C$12),NA())</f>
        <v>101577.03721981257</v>
      </c>
      <c r="K169" s="9">
        <f>IF(OR(Inputs!$F$9=TRUE,Inputs!$F$9="TRUE",Inputs!$F$9=1),(((SQRT(((Inputs!$I$9+(((A169)+1)/2)*(Inputs!$J$9-Inputs!$I$9)))^2+Inputs!$C$6^2+((Inputs!$H$9+Inputs!$L$9*(((Inputs!$I$9+(((A169)+1)/2)*(Inputs!$J$9-Inputs!$I$9)))/Inputs!$K$9)^2))^2))-((Inputs!$H$9+Inputs!$L$9*(((Inputs!$I$9+(((A169)+1)/2)*(Inputs!$J$9-Inputs!$I$9)))/Inputs!$K$9)^2)))*1000/Inputs!$C$12),NA())</f>
        <v>103979.94291242858</v>
      </c>
      <c r="L169" s="10"/>
      <c r="M169" s="9">
        <f t="shared" si="13"/>
        <v>0.39200000000000002</v>
      </c>
      <c r="N169" s="9">
        <f>IF(OR(Inputs!$F$6=TRUE,Inputs!$F$6="TRUE",Inputs!$F$6=1),(-2*((1000*((((Inputs!$I$6+(((A169)+1)/2)*(Inputs!$J$6-Inputs!$I$6)))*Inputs!$C$11+((Inputs!$H$6+Inputs!$L$6*(((Inputs!$I$6+(((A169)+1)/2)*(Inputs!$J$6-Inputs!$I$6)))/Inputs!$K$6)^2))*((2*Inputs!$L$6*((Inputs!$I$6+(((A169)+1)/2)*(Inputs!$J$6-Inputs!$I$6)))/(Inputs!$K$6^2)*Inputs!$C$11)))/(SQRT(((Inputs!$I$6+(((A169)+1)/2)*(Inputs!$J$6-Inputs!$I$6)))^2+Inputs!$C$6^2+((Inputs!$H$6+Inputs!$L$6*(((Inputs!$I$6+(((A169)+1)/2)*(Inputs!$J$6-Inputs!$I$6)))/Inputs!$K$6)^2))^2)))))/Inputs!$C$13),NA())</f>
        <v>-176.9141356212007</v>
      </c>
      <c r="O169" s="9">
        <f>IF(OR(Inputs!$F$7=TRUE,Inputs!$F$7="TRUE",Inputs!$F$7=1),(-2*((1000*((((Inputs!$I$7+(((A169)+1)/2)*(Inputs!$J$7-Inputs!$I$7)))*Inputs!$C$11+((Inputs!$H$7+Inputs!$L$7*(((Inputs!$I$7+(((A169)+1)/2)*(Inputs!$J$7-Inputs!$I$7)))/Inputs!$K$7)^2))*((2*Inputs!$L$7*((Inputs!$I$7+(((A169)+1)/2)*(Inputs!$J$7-Inputs!$I$7)))/(Inputs!$K$7^2)*Inputs!$C$11)))/(SQRT(((Inputs!$I$7+(((A169)+1)/2)*(Inputs!$J$7-Inputs!$I$7)))^2+Inputs!$C$6^2+((Inputs!$H$7+Inputs!$L$7*(((Inputs!$I$7+(((A169)+1)/2)*(Inputs!$J$7-Inputs!$I$7)))/Inputs!$K$7)^2))^2)))))/Inputs!$C$13),NA())</f>
        <v>-1940.1134095817451</v>
      </c>
      <c r="P169" s="9">
        <f>IF(OR(Inputs!$F$8=TRUE,Inputs!$F$8="TRUE",Inputs!$F$8=1),(-2*((1000*((((Inputs!$I$8+(((A169)+1)/2)*(Inputs!$J$8-Inputs!$I$8)))*Inputs!$C$11+((Inputs!$H$8+Inputs!$L$8*(((Inputs!$I$8+(((A169)+1)/2)*(Inputs!$J$8-Inputs!$I$8)))/Inputs!$K$8)^2))*((2*Inputs!$L$8*((Inputs!$I$8+(((A169)+1)/2)*(Inputs!$J$8-Inputs!$I$8)))/(Inputs!$K$8^2)*Inputs!$C$11)))/(SQRT(((Inputs!$I$8+(((A169)+1)/2)*(Inputs!$J$8-Inputs!$I$8)))^2+Inputs!$C$6^2+((Inputs!$H$8+Inputs!$L$8*(((Inputs!$I$8+(((A169)+1)/2)*(Inputs!$J$8-Inputs!$I$8)))/Inputs!$K$8)^2))^2)))))/Inputs!$C$13),NA())</f>
        <v>-2139.8203002338664</v>
      </c>
      <c r="Q169" s="9">
        <f>IF(OR(Inputs!$F$9=TRUE,Inputs!$F$9="TRUE",Inputs!$F$9=1),(-2*((1000*((((Inputs!$I$9+(((A169)+1)/2)*(Inputs!$J$9-Inputs!$I$9)))*Inputs!$C$11+((Inputs!$H$9+Inputs!$L$9*(((Inputs!$I$9+(((A169)+1)/2)*(Inputs!$J$9-Inputs!$I$9)))/Inputs!$K$9)^2))*((2*Inputs!$L$9*((Inputs!$I$9+(((A169)+1)/2)*(Inputs!$J$9-Inputs!$I$9)))/(Inputs!$K$9^2)*Inputs!$C$11)))/(SQRT(((Inputs!$I$9+(((A169)+1)/2)*(Inputs!$J$9-Inputs!$I$9)))^2+Inputs!$C$6^2+((Inputs!$H$9+Inputs!$L$9*(((Inputs!$I$9+(((A169)+1)/2)*(Inputs!$J$9-Inputs!$I$9)))/Inputs!$K$9)^2))^2)))))/Inputs!$C$13),NA())</f>
        <v>-2136.7440188602095</v>
      </c>
      <c r="R169" s="10"/>
      <c r="S169" s="9">
        <f t="shared" si="14"/>
        <v>0.39200000000000002</v>
      </c>
      <c r="T169" s="9">
        <f>(Inputs!$I$6+(((A169)+1)/2)*(Inputs!$J$6-Inputs!$I$6))</f>
        <v>23.519999999999996</v>
      </c>
      <c r="U169" s="9">
        <f>(Inputs!$I$7+(((A169)+1)/2)*(Inputs!$J$7-Inputs!$I$7))</f>
        <v>156.79999999999995</v>
      </c>
      <c r="V169" s="9">
        <f>(Inputs!$I$8+(((A169)+1)/2)*(Inputs!$J$8-Inputs!$I$8))</f>
        <v>313.59999999999991</v>
      </c>
      <c r="W169" s="9">
        <f>(Inputs!$I$9+(((A169)+1)/2)*(Inputs!$J$9-Inputs!$I$9))</f>
        <v>313.59999999999991</v>
      </c>
      <c r="X169" s="10"/>
      <c r="Y169" s="9">
        <f t="shared" si="15"/>
        <v>0.39200000000000002</v>
      </c>
      <c r="Z169" s="9">
        <f>(Inputs!$H$6+Inputs!$L$6*(((Inputs!$I$6+(((A169)+1)/2)*(Inputs!$J$6-Inputs!$I$6)))/Inputs!$K$6)^2)</f>
        <v>400.61465600000002</v>
      </c>
      <c r="AA169" s="9">
        <f>(Inputs!$H$7+Inputs!$L$7*(((Inputs!$I$7+(((A169)+1)/2)*(Inputs!$J$7-Inputs!$I$7)))/Inputs!$K$7)^2)</f>
        <v>91.087359999999961</v>
      </c>
      <c r="AB169" s="9">
        <f>(Inputs!$H$8+Inputs!$L$8*(((Inputs!$I$8+(((A169)+1)/2)*(Inputs!$J$8-Inputs!$I$8)))/Inputs!$K$8)^2)</f>
        <v>183.28575999999993</v>
      </c>
      <c r="AC169" s="9">
        <f>(Inputs!$H$9+Inputs!$L$9*(((Inputs!$I$9+(((A169)+1)/2)*(Inputs!$J$9-Inputs!$I$9)))/Inputs!$K$9)^2)</f>
        <v>174.8223999999999</v>
      </c>
      <c r="AD169" s="10"/>
      <c r="AE169" s="9">
        <f t="shared" si="16"/>
        <v>0.39200000000000002</v>
      </c>
      <c r="AF169" s="9">
        <f>(((SQRT(((Inputs!$I$6+(((A169)+1)/2)*(Inputs!$J$6-Inputs!$I$6)))^2+Inputs!$C$6^2+((Inputs!$H$6+Inputs!$L$6*(((Inputs!$I$6+(((A169)+1)/2)*(Inputs!$J$6-Inputs!$I$6)))/Inputs!$K$6)^2))^2))-((Inputs!$H$6+Inputs!$L$6*(((Inputs!$I$6+(((A169)+1)/2)*(Inputs!$J$6-Inputs!$I$6)))/Inputs!$K$6)^2)))*1000/Inputs!$C$12)</f>
        <v>824.60085858154378</v>
      </c>
      <c r="AG169" s="9">
        <f>(((SQRT(((Inputs!$I$7+(((A169)+1)/2)*(Inputs!$J$7-Inputs!$I$7)))^2+Inputs!$C$6^2+((Inputs!$H$7+Inputs!$L$7*(((Inputs!$I$7+(((A169)+1)/2)*(Inputs!$J$7-Inputs!$I$7)))/Inputs!$K$7)^2))^2))-((Inputs!$H$7+Inputs!$L$7*(((Inputs!$I$7+(((A169)+1)/2)*(Inputs!$J$7-Inputs!$I$7)))/Inputs!$K$7)^2)))*1000/Inputs!$C$12)</f>
        <v>51665.700644274562</v>
      </c>
      <c r="AH169" s="9">
        <f>(((SQRT(((Inputs!$I$8+(((A169)+1)/2)*(Inputs!$J$8-Inputs!$I$8)))^2+Inputs!$C$6^2+((Inputs!$H$8+Inputs!$L$8*(((Inputs!$I$8+(((A169)+1)/2)*(Inputs!$J$8-Inputs!$I$8)))/Inputs!$K$8)^2))^2))-((Inputs!$H$8+Inputs!$L$8*(((Inputs!$I$8+(((A169)+1)/2)*(Inputs!$J$8-Inputs!$I$8)))/Inputs!$K$8)^2)))*1000/Inputs!$C$12)</f>
        <v>101577.03721981257</v>
      </c>
      <c r="AI169" s="9">
        <f>(((SQRT(((Inputs!$I$9+(((A169)+1)/2)*(Inputs!$J$9-Inputs!$I$9)))^2+Inputs!$C$6^2+((Inputs!$H$9+Inputs!$L$9*(((Inputs!$I$9+(((A169)+1)/2)*(Inputs!$J$9-Inputs!$I$9)))/Inputs!$K$9)^2))^2))-((Inputs!$H$9+Inputs!$L$9*(((Inputs!$I$9+(((A169)+1)/2)*(Inputs!$J$9-Inputs!$I$9)))/Inputs!$K$9)^2)))*1000/Inputs!$C$12)</f>
        <v>103979.94291242858</v>
      </c>
      <c r="AJ169" s="10"/>
      <c r="AK169" s="9">
        <f t="shared" si="17"/>
        <v>0.39200000000000002</v>
      </c>
      <c r="AL169" s="9">
        <f>(-2*((1000*((((Inputs!$I$6+(((A169)+1)/2)*(Inputs!$J$6-Inputs!$I$6)))*Inputs!$C$11+((Inputs!$H$6+Inputs!$L$6*(((Inputs!$I$6+(((A169)+1)/2)*(Inputs!$J$6-Inputs!$I$6)))/Inputs!$K$6)^2))*((2*Inputs!$L$6*((Inputs!$I$6+(((A169)+1)/2)*(Inputs!$J$6-Inputs!$I$6)))/(Inputs!$K$6^2)*Inputs!$C$11)))/(SQRT(((Inputs!$I$6+(((A169)+1)/2)*(Inputs!$J$6-Inputs!$I$6)))^2+Inputs!$C$6^2+((Inputs!$H$6+Inputs!$L$6*(((Inputs!$I$6+(((A169)+1)/2)*(Inputs!$J$6-Inputs!$I$6)))/Inputs!$K$6)^2))^2)))))/Inputs!$C$13)</f>
        <v>-176.9141356212007</v>
      </c>
      <c r="AM169" s="9">
        <f>(-2*((1000*((((Inputs!$I$7+(((A169)+1)/2)*(Inputs!$J$7-Inputs!$I$7)))*Inputs!$C$11+((Inputs!$H$7+Inputs!$L$7*(((Inputs!$I$7+(((A169)+1)/2)*(Inputs!$J$7-Inputs!$I$7)))/Inputs!$K$7)^2))*((2*Inputs!$L$7*((Inputs!$I$7+(((A169)+1)/2)*(Inputs!$J$7-Inputs!$I$7)))/(Inputs!$K$7^2)*Inputs!$C$11)))/(SQRT(((Inputs!$I$7+(((A169)+1)/2)*(Inputs!$J$7-Inputs!$I$7)))^2+Inputs!$C$6^2+((Inputs!$H$7+Inputs!$L$7*(((Inputs!$I$7+(((A169)+1)/2)*(Inputs!$J$7-Inputs!$I$7)))/Inputs!$K$7)^2))^2)))))/Inputs!$C$13)</f>
        <v>-1940.1134095817451</v>
      </c>
      <c r="AN169" s="9">
        <f>(-2*((1000*((((Inputs!$I$8+(((A169)+1)/2)*(Inputs!$J$8-Inputs!$I$8)))*Inputs!$C$11+((Inputs!$H$8+Inputs!$L$8*(((Inputs!$I$8+(((A169)+1)/2)*(Inputs!$J$8-Inputs!$I$8)))/Inputs!$K$8)^2))*((2*Inputs!$L$8*((Inputs!$I$8+(((A169)+1)/2)*(Inputs!$J$8-Inputs!$I$8)))/(Inputs!$K$8^2)*Inputs!$C$11)))/(SQRT(((Inputs!$I$8+(((A169)+1)/2)*(Inputs!$J$8-Inputs!$I$8)))^2+Inputs!$C$6^2+((Inputs!$H$8+Inputs!$L$8*(((Inputs!$I$8+(((A169)+1)/2)*(Inputs!$J$8-Inputs!$I$8)))/Inputs!$K$8)^2))^2)))))/Inputs!$C$13)</f>
        <v>-2139.8203002338664</v>
      </c>
      <c r="AO169" s="9">
        <f>(-2*((1000*((((Inputs!$I$9+(((A169)+1)/2)*(Inputs!$J$9-Inputs!$I$9)))*Inputs!$C$11+((Inputs!$H$9+Inputs!$L$9*(((Inputs!$I$9+(((A169)+1)/2)*(Inputs!$J$9-Inputs!$I$9)))/Inputs!$K$9)^2))*((2*Inputs!$L$9*((Inputs!$I$9+(((A169)+1)/2)*(Inputs!$J$9-Inputs!$I$9)))/(Inputs!$K$9^2)*Inputs!$C$11)))/(SQRT(((Inputs!$I$9+(((A169)+1)/2)*(Inputs!$J$9-Inputs!$I$9)))^2+Inputs!$C$6^2+((Inputs!$H$9+Inputs!$L$9*(((Inputs!$I$9+(((A169)+1)/2)*(Inputs!$J$9-Inputs!$I$9)))/Inputs!$K$9)^2))^2)))))/Inputs!$C$13)</f>
        <v>-2136.7440188602095</v>
      </c>
    </row>
    <row r="170" spans="1:41">
      <c r="A170" s="9">
        <f>ROUND(-1+168*2/240,3)</f>
        <v>0.4</v>
      </c>
      <c r="B170" s="9">
        <f>IF(OR(Inputs!$F$6=TRUE,Inputs!$F$6="TRUE",Inputs!$F$6=1),(Inputs!$H$6+Inputs!$L$6*(((Inputs!$I$6+(((A170)+1)/2)*(Inputs!$J$6-Inputs!$I$6)))/Inputs!$K$6)^2),NA())</f>
        <v>400.64</v>
      </c>
      <c r="C170" s="9">
        <f>IF(OR(Inputs!$F$7=TRUE,Inputs!$F$7="TRUE",Inputs!$F$7=1),(Inputs!$H$7+Inputs!$L$7*(((Inputs!$I$7+(((A170)+1)/2)*(Inputs!$J$7-Inputs!$I$7)))/Inputs!$K$7)^2),NA())</f>
        <v>93.4</v>
      </c>
      <c r="D170" s="9">
        <f>IF(OR(Inputs!$F$8=TRUE,Inputs!$F$8="TRUE",Inputs!$F$8=1),(Inputs!$H$8+Inputs!$L$8*(((Inputs!$I$8+(((A170)+1)/2)*(Inputs!$J$8-Inputs!$I$8)))/Inputs!$K$8)^2),NA())</f>
        <v>189.40000000000003</v>
      </c>
      <c r="E170" s="9">
        <f>IF(OR(Inputs!$F$9=TRUE,Inputs!$F$9="TRUE",Inputs!$F$9=1),(Inputs!$H$9+Inputs!$L$9*(((Inputs!$I$9+(((A170)+1)/2)*(Inputs!$J$9-Inputs!$I$9)))/Inputs!$K$9)^2),NA())</f>
        <v>181.00000000000003</v>
      </c>
      <c r="F170" s="10"/>
      <c r="G170" s="9">
        <f t="shared" si="12"/>
        <v>0.4</v>
      </c>
      <c r="H170" s="9">
        <f>IF(OR(Inputs!$F$6=TRUE,Inputs!$F$6="TRUE",Inputs!$F$6=1),(((SQRT(((Inputs!$I$6+(((A170)+1)/2)*(Inputs!$J$6-Inputs!$I$6)))^2+Inputs!$C$6^2+((Inputs!$H$6+Inputs!$L$6*(((Inputs!$I$6+(((A170)+1)/2)*(Inputs!$J$6-Inputs!$I$6)))/Inputs!$K$6)^2))^2))-((Inputs!$H$6+Inputs!$L$6*(((Inputs!$I$6+(((A170)+1)/2)*(Inputs!$J$6-Inputs!$I$6)))/Inputs!$K$6)^2)))*1000/Inputs!$C$12),NA())</f>
        <v>840.48234114978698</v>
      </c>
      <c r="I170" s="9">
        <f>IF(OR(Inputs!$F$7=TRUE,Inputs!$F$7="TRUE",Inputs!$F$7=1),(((SQRT(((Inputs!$I$7+(((A170)+1)/2)*(Inputs!$J$7-Inputs!$I$7)))^2+Inputs!$C$6^2+((Inputs!$H$7+Inputs!$L$7*(((Inputs!$I$7+(((A170)+1)/2)*(Inputs!$J$7-Inputs!$I$7)))/Inputs!$K$7)^2))^2))-((Inputs!$H$7+Inputs!$L$7*(((Inputs!$I$7+(((A170)+1)/2)*(Inputs!$J$7-Inputs!$I$7)))/Inputs!$K$7)^2)))*1000/Inputs!$C$12),NA())</f>
        <v>52553.561575799453</v>
      </c>
      <c r="J170" s="9">
        <f>IF(OR(Inputs!$F$8=TRUE,Inputs!$F$8="TRUE",Inputs!$F$8=1),(((SQRT(((Inputs!$I$8+(((A170)+1)/2)*(Inputs!$J$8-Inputs!$I$8)))^2+Inputs!$C$6^2+((Inputs!$H$8+Inputs!$L$8*(((Inputs!$I$8+(((A170)+1)/2)*(Inputs!$J$8-Inputs!$I$8)))/Inputs!$K$8)^2))^2))-((Inputs!$H$8+Inputs!$L$8*(((Inputs!$I$8+(((A170)+1)/2)*(Inputs!$J$8-Inputs!$I$8)))/Inputs!$K$8)^2)))*1000/Inputs!$C$12),NA())</f>
        <v>102971.5512723862</v>
      </c>
      <c r="K170" s="9">
        <f>IF(OR(Inputs!$F$9=TRUE,Inputs!$F$9="TRUE",Inputs!$F$9=1),(((SQRT(((Inputs!$I$9+(((A170)+1)/2)*(Inputs!$J$9-Inputs!$I$9)))^2+Inputs!$C$6^2+((Inputs!$H$9+Inputs!$L$9*(((Inputs!$I$9+(((A170)+1)/2)*(Inputs!$J$9-Inputs!$I$9)))/Inputs!$K$9)^2))^2))-((Inputs!$H$9+Inputs!$L$9*(((Inputs!$I$9+(((A170)+1)/2)*(Inputs!$J$9-Inputs!$I$9)))/Inputs!$K$9)^2)))*1000/Inputs!$C$12),NA())</f>
        <v>105332.31436897411</v>
      </c>
      <c r="L170" s="10"/>
      <c r="M170" s="9">
        <f t="shared" si="13"/>
        <v>0.4</v>
      </c>
      <c r="N170" s="9">
        <f>IF(OR(Inputs!$F$6=TRUE,Inputs!$F$6="TRUE",Inputs!$F$6=1),(-2*((1000*((((Inputs!$I$6+(((A170)+1)/2)*(Inputs!$J$6-Inputs!$I$6)))*Inputs!$C$11+((Inputs!$H$6+Inputs!$L$6*(((Inputs!$I$6+(((A170)+1)/2)*(Inputs!$J$6-Inputs!$I$6)))/Inputs!$K$6)^2))*((2*Inputs!$L$6*((Inputs!$I$6+(((A170)+1)/2)*(Inputs!$J$6-Inputs!$I$6)))/(Inputs!$K$6^2)*Inputs!$C$11)))/(SQRT(((Inputs!$I$6+(((A170)+1)/2)*(Inputs!$J$6-Inputs!$I$6)))^2+Inputs!$C$6^2+((Inputs!$H$6+Inputs!$L$6*(((Inputs!$I$6+(((A170)+1)/2)*(Inputs!$J$6-Inputs!$I$6)))/Inputs!$K$6)^2))^2)))))/Inputs!$C$13),NA())</f>
        <v>-180.50593852560044</v>
      </c>
      <c r="O170" s="9">
        <f>IF(OR(Inputs!$F$7=TRUE,Inputs!$F$7="TRUE",Inputs!$F$7=1),(-2*((1000*((((Inputs!$I$7+(((A170)+1)/2)*(Inputs!$J$7-Inputs!$I$7)))*Inputs!$C$11+((Inputs!$H$7+Inputs!$L$7*(((Inputs!$I$7+(((A170)+1)/2)*(Inputs!$J$7-Inputs!$I$7)))/Inputs!$K$7)^2))*((2*Inputs!$L$7*((Inputs!$I$7+(((A170)+1)/2)*(Inputs!$J$7-Inputs!$I$7)))/(Inputs!$K$7^2)*Inputs!$C$11)))/(SQRT(((Inputs!$I$7+(((A170)+1)/2)*(Inputs!$J$7-Inputs!$I$7)))^2+Inputs!$C$6^2+((Inputs!$H$7+Inputs!$L$7*(((Inputs!$I$7+(((A170)+1)/2)*(Inputs!$J$7-Inputs!$I$7)))/Inputs!$K$7)^2))^2)))))/Inputs!$C$13),NA())</f>
        <v>-1952.9302028686984</v>
      </c>
      <c r="P170" s="9">
        <f>IF(OR(Inputs!$F$8=TRUE,Inputs!$F$8="TRUE",Inputs!$F$8=1),(-2*((1000*((((Inputs!$I$8+(((A170)+1)/2)*(Inputs!$J$8-Inputs!$I$8)))*Inputs!$C$11+((Inputs!$H$8+Inputs!$L$8*(((Inputs!$I$8+(((A170)+1)/2)*(Inputs!$J$8-Inputs!$I$8)))/Inputs!$K$8)^2))*((2*Inputs!$L$8*((Inputs!$I$8+(((A170)+1)/2)*(Inputs!$J$8-Inputs!$I$8)))/(Inputs!$K$8^2)*Inputs!$C$11)))/(SQRT(((Inputs!$I$8+(((A170)+1)/2)*(Inputs!$J$8-Inputs!$I$8)))^2+Inputs!$C$6^2+((Inputs!$H$8+Inputs!$L$8*(((Inputs!$I$8+(((A170)+1)/2)*(Inputs!$J$8-Inputs!$I$8)))/Inputs!$K$8)^2))^2)))))/Inputs!$C$13),NA())</f>
        <v>-2158.456032310346</v>
      </c>
      <c r="Q170" s="9">
        <f>IF(OR(Inputs!$F$9=TRUE,Inputs!$F$9="TRUE",Inputs!$F$9=1),(-2*((1000*((((Inputs!$I$9+(((A170)+1)/2)*(Inputs!$J$9-Inputs!$I$9)))*Inputs!$C$11+((Inputs!$H$9+Inputs!$L$9*(((Inputs!$I$9+(((A170)+1)/2)*(Inputs!$J$9-Inputs!$I$9)))/Inputs!$K$9)^2))*((2*Inputs!$L$9*((Inputs!$I$9+(((A170)+1)/2)*(Inputs!$J$9-Inputs!$I$9)))/(Inputs!$K$9^2)*Inputs!$C$11)))/(SQRT(((Inputs!$I$9+(((A170)+1)/2)*(Inputs!$J$9-Inputs!$I$9)))^2+Inputs!$C$6^2+((Inputs!$H$9+Inputs!$L$9*(((Inputs!$I$9+(((A170)+1)/2)*(Inputs!$J$9-Inputs!$I$9)))/Inputs!$K$9)^2))^2)))))/Inputs!$C$13),NA())</f>
        <v>-2155.7076833473716</v>
      </c>
      <c r="R170" s="10"/>
      <c r="S170" s="9">
        <f t="shared" si="14"/>
        <v>0.4</v>
      </c>
      <c r="T170" s="9">
        <f>(Inputs!$I$6+(((A170)+1)/2)*(Inputs!$J$6-Inputs!$I$6))</f>
        <v>24</v>
      </c>
      <c r="U170" s="9">
        <f>(Inputs!$I$7+(((A170)+1)/2)*(Inputs!$J$7-Inputs!$I$7))</f>
        <v>160</v>
      </c>
      <c r="V170" s="9">
        <f>(Inputs!$I$8+(((A170)+1)/2)*(Inputs!$J$8-Inputs!$I$8))</f>
        <v>320</v>
      </c>
      <c r="W170" s="9">
        <f>(Inputs!$I$9+(((A170)+1)/2)*(Inputs!$J$9-Inputs!$I$9))</f>
        <v>320</v>
      </c>
      <c r="X170" s="10"/>
      <c r="Y170" s="9">
        <f t="shared" si="15"/>
        <v>0.4</v>
      </c>
      <c r="Z170" s="9">
        <f>(Inputs!$H$6+Inputs!$L$6*(((Inputs!$I$6+(((A170)+1)/2)*(Inputs!$J$6-Inputs!$I$6)))/Inputs!$K$6)^2)</f>
        <v>400.64</v>
      </c>
      <c r="AA170" s="9">
        <f>(Inputs!$H$7+Inputs!$L$7*(((Inputs!$I$7+(((A170)+1)/2)*(Inputs!$J$7-Inputs!$I$7)))/Inputs!$K$7)^2)</f>
        <v>93.4</v>
      </c>
      <c r="AB170" s="9">
        <f>(Inputs!$H$8+Inputs!$L$8*(((Inputs!$I$8+(((A170)+1)/2)*(Inputs!$J$8-Inputs!$I$8)))/Inputs!$K$8)^2)</f>
        <v>189.40000000000003</v>
      </c>
      <c r="AC170" s="9">
        <f>(Inputs!$H$9+Inputs!$L$9*(((Inputs!$I$9+(((A170)+1)/2)*(Inputs!$J$9-Inputs!$I$9)))/Inputs!$K$9)^2)</f>
        <v>181.00000000000003</v>
      </c>
      <c r="AD170" s="10"/>
      <c r="AE170" s="9">
        <f t="shared" si="16"/>
        <v>0.4</v>
      </c>
      <c r="AF170" s="9">
        <f>(((SQRT(((Inputs!$I$6+(((A170)+1)/2)*(Inputs!$J$6-Inputs!$I$6)))^2+Inputs!$C$6^2+((Inputs!$H$6+Inputs!$L$6*(((Inputs!$I$6+(((A170)+1)/2)*(Inputs!$J$6-Inputs!$I$6)))/Inputs!$K$6)^2))^2))-((Inputs!$H$6+Inputs!$L$6*(((Inputs!$I$6+(((A170)+1)/2)*(Inputs!$J$6-Inputs!$I$6)))/Inputs!$K$6)^2)))*1000/Inputs!$C$12)</f>
        <v>840.48234114978698</v>
      </c>
      <c r="AG170" s="9">
        <f>(((SQRT(((Inputs!$I$7+(((A170)+1)/2)*(Inputs!$J$7-Inputs!$I$7)))^2+Inputs!$C$6^2+((Inputs!$H$7+Inputs!$L$7*(((Inputs!$I$7+(((A170)+1)/2)*(Inputs!$J$7-Inputs!$I$7)))/Inputs!$K$7)^2))^2))-((Inputs!$H$7+Inputs!$L$7*(((Inputs!$I$7+(((A170)+1)/2)*(Inputs!$J$7-Inputs!$I$7)))/Inputs!$K$7)^2)))*1000/Inputs!$C$12)</f>
        <v>52553.561575799453</v>
      </c>
      <c r="AH170" s="9">
        <f>(((SQRT(((Inputs!$I$8+(((A170)+1)/2)*(Inputs!$J$8-Inputs!$I$8)))^2+Inputs!$C$6^2+((Inputs!$H$8+Inputs!$L$8*(((Inputs!$I$8+(((A170)+1)/2)*(Inputs!$J$8-Inputs!$I$8)))/Inputs!$K$8)^2))^2))-((Inputs!$H$8+Inputs!$L$8*(((Inputs!$I$8+(((A170)+1)/2)*(Inputs!$J$8-Inputs!$I$8)))/Inputs!$K$8)^2)))*1000/Inputs!$C$12)</f>
        <v>102971.5512723862</v>
      </c>
      <c r="AI170" s="9">
        <f>(((SQRT(((Inputs!$I$9+(((A170)+1)/2)*(Inputs!$J$9-Inputs!$I$9)))^2+Inputs!$C$6^2+((Inputs!$H$9+Inputs!$L$9*(((Inputs!$I$9+(((A170)+1)/2)*(Inputs!$J$9-Inputs!$I$9)))/Inputs!$K$9)^2))^2))-((Inputs!$H$9+Inputs!$L$9*(((Inputs!$I$9+(((A170)+1)/2)*(Inputs!$J$9-Inputs!$I$9)))/Inputs!$K$9)^2)))*1000/Inputs!$C$12)</f>
        <v>105332.31436897411</v>
      </c>
      <c r="AJ170" s="10"/>
      <c r="AK170" s="9">
        <f t="shared" si="17"/>
        <v>0.4</v>
      </c>
      <c r="AL170" s="9">
        <f>(-2*((1000*((((Inputs!$I$6+(((A170)+1)/2)*(Inputs!$J$6-Inputs!$I$6)))*Inputs!$C$11+((Inputs!$H$6+Inputs!$L$6*(((Inputs!$I$6+(((A170)+1)/2)*(Inputs!$J$6-Inputs!$I$6)))/Inputs!$K$6)^2))*((2*Inputs!$L$6*((Inputs!$I$6+(((A170)+1)/2)*(Inputs!$J$6-Inputs!$I$6)))/(Inputs!$K$6^2)*Inputs!$C$11)))/(SQRT(((Inputs!$I$6+(((A170)+1)/2)*(Inputs!$J$6-Inputs!$I$6)))^2+Inputs!$C$6^2+((Inputs!$H$6+Inputs!$L$6*(((Inputs!$I$6+(((A170)+1)/2)*(Inputs!$J$6-Inputs!$I$6)))/Inputs!$K$6)^2))^2)))))/Inputs!$C$13)</f>
        <v>-180.50593852560044</v>
      </c>
      <c r="AM170" s="9">
        <f>(-2*((1000*((((Inputs!$I$7+(((A170)+1)/2)*(Inputs!$J$7-Inputs!$I$7)))*Inputs!$C$11+((Inputs!$H$7+Inputs!$L$7*(((Inputs!$I$7+(((A170)+1)/2)*(Inputs!$J$7-Inputs!$I$7)))/Inputs!$K$7)^2))*((2*Inputs!$L$7*((Inputs!$I$7+(((A170)+1)/2)*(Inputs!$J$7-Inputs!$I$7)))/(Inputs!$K$7^2)*Inputs!$C$11)))/(SQRT(((Inputs!$I$7+(((A170)+1)/2)*(Inputs!$J$7-Inputs!$I$7)))^2+Inputs!$C$6^2+((Inputs!$H$7+Inputs!$L$7*(((Inputs!$I$7+(((A170)+1)/2)*(Inputs!$J$7-Inputs!$I$7)))/Inputs!$K$7)^2))^2)))))/Inputs!$C$13)</f>
        <v>-1952.9302028686984</v>
      </c>
      <c r="AN170" s="9">
        <f>(-2*((1000*((((Inputs!$I$8+(((A170)+1)/2)*(Inputs!$J$8-Inputs!$I$8)))*Inputs!$C$11+((Inputs!$H$8+Inputs!$L$8*(((Inputs!$I$8+(((A170)+1)/2)*(Inputs!$J$8-Inputs!$I$8)))/Inputs!$K$8)^2))*((2*Inputs!$L$8*((Inputs!$I$8+(((A170)+1)/2)*(Inputs!$J$8-Inputs!$I$8)))/(Inputs!$K$8^2)*Inputs!$C$11)))/(SQRT(((Inputs!$I$8+(((A170)+1)/2)*(Inputs!$J$8-Inputs!$I$8)))^2+Inputs!$C$6^2+((Inputs!$H$8+Inputs!$L$8*(((Inputs!$I$8+(((A170)+1)/2)*(Inputs!$J$8-Inputs!$I$8)))/Inputs!$K$8)^2))^2)))))/Inputs!$C$13)</f>
        <v>-2158.456032310346</v>
      </c>
      <c r="AO170" s="9">
        <f>(-2*((1000*((((Inputs!$I$9+(((A170)+1)/2)*(Inputs!$J$9-Inputs!$I$9)))*Inputs!$C$11+((Inputs!$H$9+Inputs!$L$9*(((Inputs!$I$9+(((A170)+1)/2)*(Inputs!$J$9-Inputs!$I$9)))/Inputs!$K$9)^2))*((2*Inputs!$L$9*((Inputs!$I$9+(((A170)+1)/2)*(Inputs!$J$9-Inputs!$I$9)))/(Inputs!$K$9^2)*Inputs!$C$11)))/(SQRT(((Inputs!$I$9+(((A170)+1)/2)*(Inputs!$J$9-Inputs!$I$9)))^2+Inputs!$C$6^2+((Inputs!$H$9+Inputs!$L$9*(((Inputs!$I$9+(((A170)+1)/2)*(Inputs!$J$9-Inputs!$I$9)))/Inputs!$K$9)^2))^2)))))/Inputs!$C$13)</f>
        <v>-2155.7076833473716</v>
      </c>
    </row>
    <row r="171" spans="1:41">
      <c r="A171" s="9">
        <f>ROUND(-1+169*2/240,3)</f>
        <v>0.40799999999999997</v>
      </c>
      <c r="B171" s="9">
        <f>IF(OR(Inputs!$F$6=TRUE,Inputs!$F$6="TRUE",Inputs!$F$6=1),(Inputs!$H$6+Inputs!$L$6*(((Inputs!$I$6+(((A171)+1)/2)*(Inputs!$J$6-Inputs!$I$6)))/Inputs!$K$6)^2),NA())</f>
        <v>400.66585600000002</v>
      </c>
      <c r="C171" s="9">
        <f>IF(OR(Inputs!$F$7=TRUE,Inputs!$F$7="TRUE",Inputs!$F$7=1),(Inputs!$H$7+Inputs!$L$7*(((Inputs!$I$7+(((A171)+1)/2)*(Inputs!$J$7-Inputs!$I$7)))/Inputs!$K$7)^2),NA())</f>
        <v>95.75935999999993</v>
      </c>
      <c r="D171" s="9">
        <f>IF(OR(Inputs!$F$8=TRUE,Inputs!$F$8="TRUE",Inputs!$F$8=1),(Inputs!$H$8+Inputs!$L$8*(((Inputs!$I$8+(((A171)+1)/2)*(Inputs!$J$8-Inputs!$I$8)))/Inputs!$K$8)^2),NA())</f>
        <v>195.63775999999984</v>
      </c>
      <c r="E171" s="9">
        <f>IF(OR(Inputs!$F$9=TRUE,Inputs!$F$9="TRUE",Inputs!$F$9=1),(Inputs!$H$9+Inputs!$L$9*(((Inputs!$I$9+(((A171)+1)/2)*(Inputs!$J$9-Inputs!$I$9)))/Inputs!$K$9)^2),NA())</f>
        <v>187.30239999999984</v>
      </c>
      <c r="F171" s="10"/>
      <c r="G171" s="9">
        <f t="shared" si="12"/>
        <v>0.40799999999999997</v>
      </c>
      <c r="H171" s="9">
        <f>IF(OR(Inputs!$F$6=TRUE,Inputs!$F$6="TRUE",Inputs!$F$6=1),(((SQRT(((Inputs!$I$6+(((A171)+1)/2)*(Inputs!$J$6-Inputs!$I$6)))^2+Inputs!$C$6^2+((Inputs!$H$6+Inputs!$L$6*(((Inputs!$I$6+(((A171)+1)/2)*(Inputs!$J$6-Inputs!$I$6)))/Inputs!$K$6)^2))^2))-((Inputs!$H$6+Inputs!$L$6*(((Inputs!$I$6+(((A171)+1)/2)*(Inputs!$J$6-Inputs!$I$6)))/Inputs!$K$6)^2)))*1000/Inputs!$C$12),NA())</f>
        <v>856.68144882314596</v>
      </c>
      <c r="I171" s="9">
        <f>IF(OR(Inputs!$F$7=TRUE,Inputs!$F$7="TRUE",Inputs!$F$7=1),(((SQRT(((Inputs!$I$7+(((A171)+1)/2)*(Inputs!$J$7-Inputs!$I$7)))^2+Inputs!$C$6^2+((Inputs!$H$7+Inputs!$L$7*(((Inputs!$I$7+(((A171)+1)/2)*(Inputs!$J$7-Inputs!$I$7)))/Inputs!$K$7)^2))^2))-((Inputs!$H$7+Inputs!$L$7*(((Inputs!$I$7+(((A171)+1)/2)*(Inputs!$J$7-Inputs!$I$7)))/Inputs!$K$7)^2)))*1000/Inputs!$C$12),NA())</f>
        <v>53429.615024316394</v>
      </c>
      <c r="J171" s="9">
        <f>IF(OR(Inputs!$F$8=TRUE,Inputs!$F$8="TRUE",Inputs!$F$8=1),(((SQRT(((Inputs!$I$8+(((A171)+1)/2)*(Inputs!$J$8-Inputs!$I$8)))^2+Inputs!$C$6^2+((Inputs!$H$8+Inputs!$L$8*(((Inputs!$I$8+(((A171)+1)/2)*(Inputs!$J$8-Inputs!$I$8)))/Inputs!$K$8)^2))^2))-((Inputs!$H$8+Inputs!$L$8*(((Inputs!$I$8+(((A171)+1)/2)*(Inputs!$J$8-Inputs!$I$8)))/Inputs!$K$8)^2)))*1000/Inputs!$C$12),NA())</f>
        <v>104338.81108969088</v>
      </c>
      <c r="K171" s="9">
        <f>IF(OR(Inputs!$F$9=TRUE,Inputs!$F$9="TRUE",Inputs!$F$9=1),(((SQRT(((Inputs!$I$9+(((A171)+1)/2)*(Inputs!$J$9-Inputs!$I$9)))^2+Inputs!$C$6^2+((Inputs!$H$9+Inputs!$L$9*(((Inputs!$I$9+(((A171)+1)/2)*(Inputs!$J$9-Inputs!$I$9)))/Inputs!$K$9)^2))^2))-((Inputs!$H$9+Inputs!$L$9*(((Inputs!$I$9+(((A171)+1)/2)*(Inputs!$J$9-Inputs!$I$9)))/Inputs!$K$9)^2)))*1000/Inputs!$C$12),NA())</f>
        <v>106657.46440895561</v>
      </c>
      <c r="L171" s="10"/>
      <c r="M171" s="9">
        <f t="shared" si="13"/>
        <v>0.40799999999999997</v>
      </c>
      <c r="N171" s="9">
        <f>IF(OR(Inputs!$F$6=TRUE,Inputs!$F$6="TRUE",Inputs!$F$6=1),(-2*((1000*((((Inputs!$I$6+(((A171)+1)/2)*(Inputs!$J$6-Inputs!$I$6)))*Inputs!$C$11+((Inputs!$H$6+Inputs!$L$6*(((Inputs!$I$6+(((A171)+1)/2)*(Inputs!$J$6-Inputs!$I$6)))/Inputs!$K$6)^2))*((2*Inputs!$L$6*((Inputs!$I$6+(((A171)+1)/2)*(Inputs!$J$6-Inputs!$I$6)))/(Inputs!$K$6^2)*Inputs!$C$11)))/(SQRT(((Inputs!$I$6+(((A171)+1)/2)*(Inputs!$J$6-Inputs!$I$6)))^2+Inputs!$C$6^2+((Inputs!$H$6+Inputs!$L$6*(((Inputs!$I$6+(((A171)+1)/2)*(Inputs!$J$6-Inputs!$I$6)))/Inputs!$K$6)^2))^2)))))/Inputs!$C$13),NA())</f>
        <v>-184.09661657862608</v>
      </c>
      <c r="O171" s="9">
        <f>IF(OR(Inputs!$F$7=TRUE,Inputs!$F$7="TRUE",Inputs!$F$7=1),(-2*((1000*((((Inputs!$I$7+(((A171)+1)/2)*(Inputs!$J$7-Inputs!$I$7)))*Inputs!$C$11+((Inputs!$H$7+Inputs!$L$7*(((Inputs!$I$7+(((A171)+1)/2)*(Inputs!$J$7-Inputs!$I$7)))/Inputs!$K$7)^2))*((2*Inputs!$L$7*((Inputs!$I$7+(((A171)+1)/2)*(Inputs!$J$7-Inputs!$I$7)))/(Inputs!$K$7^2)*Inputs!$C$11)))/(SQRT(((Inputs!$I$7+(((A171)+1)/2)*(Inputs!$J$7-Inputs!$I$7)))^2+Inputs!$C$6^2+((Inputs!$H$7+Inputs!$L$7*(((Inputs!$I$7+(((A171)+1)/2)*(Inputs!$J$7-Inputs!$I$7)))/Inputs!$K$7)^2))^2)))))/Inputs!$C$13),NA())</f>
        <v>-1965.8171483253632</v>
      </c>
      <c r="P171" s="9">
        <f>IF(OR(Inputs!$F$8=TRUE,Inputs!$F$8="TRUE",Inputs!$F$8=1),(-2*((1000*((((Inputs!$I$8+(((A171)+1)/2)*(Inputs!$J$8-Inputs!$I$8)))*Inputs!$C$11+((Inputs!$H$8+Inputs!$L$8*(((Inputs!$I$8+(((A171)+1)/2)*(Inputs!$J$8-Inputs!$I$8)))/Inputs!$K$8)^2))*((2*Inputs!$L$8*((Inputs!$I$8+(((A171)+1)/2)*(Inputs!$J$8-Inputs!$I$8)))/(Inputs!$K$8^2)*Inputs!$C$11)))/(SQRT(((Inputs!$I$8+(((A171)+1)/2)*(Inputs!$J$8-Inputs!$I$8)))^2+Inputs!$C$6^2+((Inputs!$H$8+Inputs!$L$8*(((Inputs!$I$8+(((A171)+1)/2)*(Inputs!$J$8-Inputs!$I$8)))/Inputs!$K$8)^2))^2)))))/Inputs!$C$13),NA())</f>
        <v>-2177.3236793960591</v>
      </c>
      <c r="Q171" s="9">
        <f>IF(OR(Inputs!$F$9=TRUE,Inputs!$F$9="TRUE",Inputs!$F$9=1),(-2*((1000*((((Inputs!$I$9+(((A171)+1)/2)*(Inputs!$J$9-Inputs!$I$9)))*Inputs!$C$11+((Inputs!$H$9+Inputs!$L$9*(((Inputs!$I$9+(((A171)+1)/2)*(Inputs!$J$9-Inputs!$I$9)))/Inputs!$K$9)^2))*((2*Inputs!$L$9*((Inputs!$I$9+(((A171)+1)/2)*(Inputs!$J$9-Inputs!$I$9)))/(Inputs!$K$9^2)*Inputs!$C$11)))/(SQRT(((Inputs!$I$9+(((A171)+1)/2)*(Inputs!$J$9-Inputs!$I$9)))^2+Inputs!$C$6^2+((Inputs!$H$9+Inputs!$L$9*(((Inputs!$I$9+(((A171)+1)/2)*(Inputs!$J$9-Inputs!$I$9)))/Inputs!$K$9)^2))^2)))))/Inputs!$C$13),NA())</f>
        <v>-2174.9164407933772</v>
      </c>
      <c r="R171" s="10"/>
      <c r="S171" s="9">
        <f t="shared" si="14"/>
        <v>0.40799999999999997</v>
      </c>
      <c r="T171" s="9">
        <f>(Inputs!$I$6+(((A171)+1)/2)*(Inputs!$J$6-Inputs!$I$6))</f>
        <v>24.47999999999999</v>
      </c>
      <c r="U171" s="9">
        <f>(Inputs!$I$7+(((A171)+1)/2)*(Inputs!$J$7-Inputs!$I$7))</f>
        <v>163.19999999999993</v>
      </c>
      <c r="V171" s="9">
        <f>(Inputs!$I$8+(((A171)+1)/2)*(Inputs!$J$8-Inputs!$I$8))</f>
        <v>326.39999999999986</v>
      </c>
      <c r="W171" s="9">
        <f>(Inputs!$I$9+(((A171)+1)/2)*(Inputs!$J$9-Inputs!$I$9))</f>
        <v>326.39999999999986</v>
      </c>
      <c r="X171" s="10"/>
      <c r="Y171" s="9">
        <f t="shared" si="15"/>
        <v>0.40799999999999997</v>
      </c>
      <c r="Z171" s="9">
        <f>(Inputs!$H$6+Inputs!$L$6*(((Inputs!$I$6+(((A171)+1)/2)*(Inputs!$J$6-Inputs!$I$6)))/Inputs!$K$6)^2)</f>
        <v>400.66585600000002</v>
      </c>
      <c r="AA171" s="9">
        <f>(Inputs!$H$7+Inputs!$L$7*(((Inputs!$I$7+(((A171)+1)/2)*(Inputs!$J$7-Inputs!$I$7)))/Inputs!$K$7)^2)</f>
        <v>95.75935999999993</v>
      </c>
      <c r="AB171" s="9">
        <f>(Inputs!$H$8+Inputs!$L$8*(((Inputs!$I$8+(((A171)+1)/2)*(Inputs!$J$8-Inputs!$I$8)))/Inputs!$K$8)^2)</f>
        <v>195.63775999999984</v>
      </c>
      <c r="AC171" s="9">
        <f>(Inputs!$H$9+Inputs!$L$9*(((Inputs!$I$9+(((A171)+1)/2)*(Inputs!$J$9-Inputs!$I$9)))/Inputs!$K$9)^2)</f>
        <v>187.30239999999984</v>
      </c>
      <c r="AD171" s="10"/>
      <c r="AE171" s="9">
        <f t="shared" si="16"/>
        <v>0.40799999999999997</v>
      </c>
      <c r="AF171" s="9">
        <f>(((SQRT(((Inputs!$I$6+(((A171)+1)/2)*(Inputs!$J$6-Inputs!$I$6)))^2+Inputs!$C$6^2+((Inputs!$H$6+Inputs!$L$6*(((Inputs!$I$6+(((A171)+1)/2)*(Inputs!$J$6-Inputs!$I$6)))/Inputs!$K$6)^2))^2))-((Inputs!$H$6+Inputs!$L$6*(((Inputs!$I$6+(((A171)+1)/2)*(Inputs!$J$6-Inputs!$I$6)))/Inputs!$K$6)^2)))*1000/Inputs!$C$12)</f>
        <v>856.68144882314596</v>
      </c>
      <c r="AG171" s="9">
        <f>(((SQRT(((Inputs!$I$7+(((A171)+1)/2)*(Inputs!$J$7-Inputs!$I$7)))^2+Inputs!$C$6^2+((Inputs!$H$7+Inputs!$L$7*(((Inputs!$I$7+(((A171)+1)/2)*(Inputs!$J$7-Inputs!$I$7)))/Inputs!$K$7)^2))^2))-((Inputs!$H$7+Inputs!$L$7*(((Inputs!$I$7+(((A171)+1)/2)*(Inputs!$J$7-Inputs!$I$7)))/Inputs!$K$7)^2)))*1000/Inputs!$C$12)</f>
        <v>53429.615024316394</v>
      </c>
      <c r="AH171" s="9">
        <f>(((SQRT(((Inputs!$I$8+(((A171)+1)/2)*(Inputs!$J$8-Inputs!$I$8)))^2+Inputs!$C$6^2+((Inputs!$H$8+Inputs!$L$8*(((Inputs!$I$8+(((A171)+1)/2)*(Inputs!$J$8-Inputs!$I$8)))/Inputs!$K$8)^2))^2))-((Inputs!$H$8+Inputs!$L$8*(((Inputs!$I$8+(((A171)+1)/2)*(Inputs!$J$8-Inputs!$I$8)))/Inputs!$K$8)^2)))*1000/Inputs!$C$12)</f>
        <v>104338.81108969088</v>
      </c>
      <c r="AI171" s="9">
        <f>(((SQRT(((Inputs!$I$9+(((A171)+1)/2)*(Inputs!$J$9-Inputs!$I$9)))^2+Inputs!$C$6^2+((Inputs!$H$9+Inputs!$L$9*(((Inputs!$I$9+(((A171)+1)/2)*(Inputs!$J$9-Inputs!$I$9)))/Inputs!$K$9)^2))^2))-((Inputs!$H$9+Inputs!$L$9*(((Inputs!$I$9+(((A171)+1)/2)*(Inputs!$J$9-Inputs!$I$9)))/Inputs!$K$9)^2)))*1000/Inputs!$C$12)</f>
        <v>106657.46440895561</v>
      </c>
      <c r="AJ171" s="10"/>
      <c r="AK171" s="9">
        <f t="shared" si="17"/>
        <v>0.40799999999999997</v>
      </c>
      <c r="AL171" s="9">
        <f>(-2*((1000*((((Inputs!$I$6+(((A171)+1)/2)*(Inputs!$J$6-Inputs!$I$6)))*Inputs!$C$11+((Inputs!$H$6+Inputs!$L$6*(((Inputs!$I$6+(((A171)+1)/2)*(Inputs!$J$6-Inputs!$I$6)))/Inputs!$K$6)^2))*((2*Inputs!$L$6*((Inputs!$I$6+(((A171)+1)/2)*(Inputs!$J$6-Inputs!$I$6)))/(Inputs!$K$6^2)*Inputs!$C$11)))/(SQRT(((Inputs!$I$6+(((A171)+1)/2)*(Inputs!$J$6-Inputs!$I$6)))^2+Inputs!$C$6^2+((Inputs!$H$6+Inputs!$L$6*(((Inputs!$I$6+(((A171)+1)/2)*(Inputs!$J$6-Inputs!$I$6)))/Inputs!$K$6)^2))^2)))))/Inputs!$C$13)</f>
        <v>-184.09661657862608</v>
      </c>
      <c r="AM171" s="9">
        <f>(-2*((1000*((((Inputs!$I$7+(((A171)+1)/2)*(Inputs!$J$7-Inputs!$I$7)))*Inputs!$C$11+((Inputs!$H$7+Inputs!$L$7*(((Inputs!$I$7+(((A171)+1)/2)*(Inputs!$J$7-Inputs!$I$7)))/Inputs!$K$7)^2))*((2*Inputs!$L$7*((Inputs!$I$7+(((A171)+1)/2)*(Inputs!$J$7-Inputs!$I$7)))/(Inputs!$K$7^2)*Inputs!$C$11)))/(SQRT(((Inputs!$I$7+(((A171)+1)/2)*(Inputs!$J$7-Inputs!$I$7)))^2+Inputs!$C$6^2+((Inputs!$H$7+Inputs!$L$7*(((Inputs!$I$7+(((A171)+1)/2)*(Inputs!$J$7-Inputs!$I$7)))/Inputs!$K$7)^2))^2)))))/Inputs!$C$13)</f>
        <v>-1965.8171483253632</v>
      </c>
      <c r="AN171" s="9">
        <f>(-2*((1000*((((Inputs!$I$8+(((A171)+1)/2)*(Inputs!$J$8-Inputs!$I$8)))*Inputs!$C$11+((Inputs!$H$8+Inputs!$L$8*(((Inputs!$I$8+(((A171)+1)/2)*(Inputs!$J$8-Inputs!$I$8)))/Inputs!$K$8)^2))*((2*Inputs!$L$8*((Inputs!$I$8+(((A171)+1)/2)*(Inputs!$J$8-Inputs!$I$8)))/(Inputs!$K$8^2)*Inputs!$C$11)))/(SQRT(((Inputs!$I$8+(((A171)+1)/2)*(Inputs!$J$8-Inputs!$I$8)))^2+Inputs!$C$6^2+((Inputs!$H$8+Inputs!$L$8*(((Inputs!$I$8+(((A171)+1)/2)*(Inputs!$J$8-Inputs!$I$8)))/Inputs!$K$8)^2))^2)))))/Inputs!$C$13)</f>
        <v>-2177.3236793960591</v>
      </c>
      <c r="AO171" s="9">
        <f>(-2*((1000*((((Inputs!$I$9+(((A171)+1)/2)*(Inputs!$J$9-Inputs!$I$9)))*Inputs!$C$11+((Inputs!$H$9+Inputs!$L$9*(((Inputs!$I$9+(((A171)+1)/2)*(Inputs!$J$9-Inputs!$I$9)))/Inputs!$K$9)^2))*((2*Inputs!$L$9*((Inputs!$I$9+(((A171)+1)/2)*(Inputs!$J$9-Inputs!$I$9)))/(Inputs!$K$9^2)*Inputs!$C$11)))/(SQRT(((Inputs!$I$9+(((A171)+1)/2)*(Inputs!$J$9-Inputs!$I$9)))^2+Inputs!$C$6^2+((Inputs!$H$9+Inputs!$L$9*(((Inputs!$I$9+(((A171)+1)/2)*(Inputs!$J$9-Inputs!$I$9)))/Inputs!$K$9)^2))^2)))))/Inputs!$C$13)</f>
        <v>-2174.9164407933772</v>
      </c>
    </row>
    <row r="172" spans="1:41">
      <c r="A172" s="9">
        <f>ROUND(-1+170*2/240,3)</f>
        <v>0.41699999999999998</v>
      </c>
      <c r="B172" s="9">
        <f>IF(OR(Inputs!$F$6=TRUE,Inputs!$F$6="TRUE",Inputs!$F$6=1),(Inputs!$H$6+Inputs!$L$6*(((Inputs!$I$6+(((A172)+1)/2)*(Inputs!$J$6-Inputs!$I$6)))/Inputs!$K$6)^2),NA())</f>
        <v>400.69555600000001</v>
      </c>
      <c r="C172" s="9">
        <f>IF(OR(Inputs!$F$7=TRUE,Inputs!$F$7="TRUE",Inputs!$F$7=1),(Inputs!$H$7+Inputs!$L$7*(((Inputs!$I$7+(((A172)+1)/2)*(Inputs!$J$7-Inputs!$I$7)))/Inputs!$K$7)^2),NA())</f>
        <v>98.469485000000049</v>
      </c>
      <c r="D172" s="9">
        <f>IF(OR(Inputs!$F$8=TRUE,Inputs!$F$8="TRUE",Inputs!$F$8=1),(Inputs!$H$8+Inputs!$L$8*(((Inputs!$I$8+(((A172)+1)/2)*(Inputs!$J$8-Inputs!$I$8)))/Inputs!$K$8)^2),NA())</f>
        <v>202.80288500000012</v>
      </c>
      <c r="E172" s="9">
        <f>IF(OR(Inputs!$F$9=TRUE,Inputs!$F$9="TRUE",Inputs!$F$9=1),(Inputs!$H$9+Inputs!$L$9*(((Inputs!$I$9+(((A172)+1)/2)*(Inputs!$J$9-Inputs!$I$9)))/Inputs!$K$9)^2),NA())</f>
        <v>194.54177500000011</v>
      </c>
      <c r="F172" s="10"/>
      <c r="G172" s="9">
        <f t="shared" si="12"/>
        <v>0.41699999999999998</v>
      </c>
      <c r="H172" s="9">
        <f>IF(OR(Inputs!$F$6=TRUE,Inputs!$F$6="TRUE",Inputs!$F$6=1),(((SQRT(((Inputs!$I$6+(((A172)+1)/2)*(Inputs!$J$6-Inputs!$I$6)))^2+Inputs!$C$6^2+((Inputs!$H$6+Inputs!$L$6*(((Inputs!$I$6+(((A172)+1)/2)*(Inputs!$J$6-Inputs!$I$6)))/Inputs!$K$6)^2))^2))-((Inputs!$H$6+Inputs!$L$6*(((Inputs!$I$6+(((A172)+1)/2)*(Inputs!$J$6-Inputs!$I$6)))/Inputs!$K$6)^2)))*1000/Inputs!$C$12),NA())</f>
        <v>875.28486774094029</v>
      </c>
      <c r="I172" s="9">
        <f>IF(OR(Inputs!$F$7=TRUE,Inputs!$F$7="TRUE",Inputs!$F$7=1),(((SQRT(((Inputs!$I$7+(((A172)+1)/2)*(Inputs!$J$7-Inputs!$I$7)))^2+Inputs!$C$6^2+((Inputs!$H$7+Inputs!$L$7*(((Inputs!$I$7+(((A172)+1)/2)*(Inputs!$J$7-Inputs!$I$7)))/Inputs!$K$7)^2))^2))-((Inputs!$H$7+Inputs!$L$7*(((Inputs!$I$7+(((A172)+1)/2)*(Inputs!$J$7-Inputs!$I$7)))/Inputs!$K$7)^2)))*1000/Inputs!$C$12),NA())</f>
        <v>54401.164187782524</v>
      </c>
      <c r="J172" s="9">
        <f>IF(OR(Inputs!$F$8=TRUE,Inputs!$F$8="TRUE",Inputs!$F$8=1),(((SQRT(((Inputs!$I$8+(((A172)+1)/2)*(Inputs!$J$8-Inputs!$I$8)))^2+Inputs!$C$6^2+((Inputs!$H$8+Inputs!$L$8*(((Inputs!$I$8+(((A172)+1)/2)*(Inputs!$J$8-Inputs!$I$8)))/Inputs!$K$8)^2))^2))-((Inputs!$H$8+Inputs!$L$8*(((Inputs!$I$8+(((A172)+1)/2)*(Inputs!$J$8-Inputs!$I$8)))/Inputs!$K$8)^2)))*1000/Inputs!$C$12),NA())</f>
        <v>105845.04670903461</v>
      </c>
      <c r="K172" s="9">
        <f>IF(OR(Inputs!$F$9=TRUE,Inputs!$F$9="TRUE",Inputs!$F$9=1),(((SQRT(((Inputs!$I$9+(((A172)+1)/2)*(Inputs!$J$9-Inputs!$I$9)))^2+Inputs!$C$6^2+((Inputs!$H$9+Inputs!$L$9*(((Inputs!$I$9+(((A172)+1)/2)*(Inputs!$J$9-Inputs!$I$9)))/Inputs!$K$9)^2))^2))-((Inputs!$H$9+Inputs!$L$9*(((Inputs!$I$9+(((A172)+1)/2)*(Inputs!$J$9-Inputs!$I$9)))/Inputs!$K$9)^2)))*1000/Inputs!$C$12),NA())</f>
        <v>108116.40119071392</v>
      </c>
      <c r="L172" s="10"/>
      <c r="M172" s="9">
        <f t="shared" si="13"/>
        <v>0.41699999999999998</v>
      </c>
      <c r="N172" s="9">
        <f>IF(OR(Inputs!$F$6=TRUE,Inputs!$F$6="TRUE",Inputs!$F$6=1),(-2*((1000*((((Inputs!$I$6+(((A172)+1)/2)*(Inputs!$J$6-Inputs!$I$6)))*Inputs!$C$11+((Inputs!$H$6+Inputs!$L$6*(((Inputs!$I$6+(((A172)+1)/2)*(Inputs!$J$6-Inputs!$I$6)))/Inputs!$K$6)^2))*((2*Inputs!$L$6*((Inputs!$I$6+(((A172)+1)/2)*(Inputs!$J$6-Inputs!$I$6)))/(Inputs!$K$6^2)*Inputs!$C$11)))/(SQRT(((Inputs!$I$6+(((A172)+1)/2)*(Inputs!$J$6-Inputs!$I$6)))^2+Inputs!$C$6^2+((Inputs!$H$6+Inputs!$L$6*(((Inputs!$I$6+(((A172)+1)/2)*(Inputs!$J$6-Inputs!$I$6)))/Inputs!$K$6)^2))^2)))))/Inputs!$C$13),NA())</f>
        <v>-188.13475780104017</v>
      </c>
      <c r="O172" s="9">
        <f>IF(OR(Inputs!$F$7=TRUE,Inputs!$F$7="TRUE",Inputs!$F$7=1),(-2*((1000*((((Inputs!$I$7+(((A172)+1)/2)*(Inputs!$J$7-Inputs!$I$7)))*Inputs!$C$11+((Inputs!$H$7+Inputs!$L$7*(((Inputs!$I$7+(((A172)+1)/2)*(Inputs!$J$7-Inputs!$I$7)))/Inputs!$K$7)^2))*((2*Inputs!$L$7*((Inputs!$I$7+(((A172)+1)/2)*(Inputs!$J$7-Inputs!$I$7)))/(Inputs!$K$7^2)*Inputs!$C$11)))/(SQRT(((Inputs!$I$7+(((A172)+1)/2)*(Inputs!$J$7-Inputs!$I$7)))^2+Inputs!$C$6^2+((Inputs!$H$7+Inputs!$L$7*(((Inputs!$I$7+(((A172)+1)/2)*(Inputs!$J$7-Inputs!$I$7)))/Inputs!$K$7)^2))^2)))))/Inputs!$C$13),NA())</f>
        <v>-1980.4062412026428</v>
      </c>
      <c r="P172" s="9">
        <f>IF(OR(Inputs!$F$8=TRUE,Inputs!$F$8="TRUE",Inputs!$F$8=1),(-2*((1000*((((Inputs!$I$8+(((A172)+1)/2)*(Inputs!$J$8-Inputs!$I$8)))*Inputs!$C$11+((Inputs!$H$8+Inputs!$L$8*(((Inputs!$I$8+(((A172)+1)/2)*(Inputs!$J$8-Inputs!$I$8)))/Inputs!$K$8)^2))*((2*Inputs!$L$8*((Inputs!$I$8+(((A172)+1)/2)*(Inputs!$J$8-Inputs!$I$8)))/(Inputs!$K$8^2)*Inputs!$C$11)))/(SQRT(((Inputs!$I$8+(((A172)+1)/2)*(Inputs!$J$8-Inputs!$I$8)))^2+Inputs!$C$6^2+((Inputs!$H$8+Inputs!$L$8*(((Inputs!$I$8+(((A172)+1)/2)*(Inputs!$J$8-Inputs!$I$8)))/Inputs!$K$8)^2))^2)))))/Inputs!$C$13),NA())</f>
        <v>-2198.8242284039911</v>
      </c>
      <c r="Q172" s="9">
        <f>IF(OR(Inputs!$F$9=TRUE,Inputs!$F$9="TRUE",Inputs!$F$9=1),(-2*((1000*((((Inputs!$I$9+(((A172)+1)/2)*(Inputs!$J$9-Inputs!$I$9)))*Inputs!$C$11+((Inputs!$H$9+Inputs!$L$9*(((Inputs!$I$9+(((A172)+1)/2)*(Inputs!$J$9-Inputs!$I$9)))/Inputs!$K$9)^2))*((2*Inputs!$L$9*((Inputs!$I$9+(((A172)+1)/2)*(Inputs!$J$9-Inputs!$I$9)))/(Inputs!$K$9^2)*Inputs!$C$11)))/(SQRT(((Inputs!$I$9+(((A172)+1)/2)*(Inputs!$J$9-Inputs!$I$9)))^2+Inputs!$C$6^2+((Inputs!$H$9+Inputs!$L$9*(((Inputs!$I$9+(((A172)+1)/2)*(Inputs!$J$9-Inputs!$I$9)))/Inputs!$K$9)^2))^2)))))/Inputs!$C$13),NA())</f>
        <v>-2196.8153010067972</v>
      </c>
      <c r="R172" s="10"/>
      <c r="S172" s="9">
        <f t="shared" si="14"/>
        <v>0.41699999999999998</v>
      </c>
      <c r="T172" s="9">
        <f>(Inputs!$I$6+(((A172)+1)/2)*(Inputs!$J$6-Inputs!$I$6))</f>
        <v>25.019999999999996</v>
      </c>
      <c r="U172" s="9">
        <f>(Inputs!$I$7+(((A172)+1)/2)*(Inputs!$J$7-Inputs!$I$7))</f>
        <v>166.80000000000007</v>
      </c>
      <c r="V172" s="9">
        <f>(Inputs!$I$8+(((A172)+1)/2)*(Inputs!$J$8-Inputs!$I$8))</f>
        <v>333.60000000000014</v>
      </c>
      <c r="W172" s="9">
        <f>(Inputs!$I$9+(((A172)+1)/2)*(Inputs!$J$9-Inputs!$I$9))</f>
        <v>333.60000000000014</v>
      </c>
      <c r="X172" s="10"/>
      <c r="Y172" s="9">
        <f t="shared" si="15"/>
        <v>0.41699999999999998</v>
      </c>
      <c r="Z172" s="9">
        <f>(Inputs!$H$6+Inputs!$L$6*(((Inputs!$I$6+(((A172)+1)/2)*(Inputs!$J$6-Inputs!$I$6)))/Inputs!$K$6)^2)</f>
        <v>400.69555600000001</v>
      </c>
      <c r="AA172" s="9">
        <f>(Inputs!$H$7+Inputs!$L$7*(((Inputs!$I$7+(((A172)+1)/2)*(Inputs!$J$7-Inputs!$I$7)))/Inputs!$K$7)^2)</f>
        <v>98.469485000000049</v>
      </c>
      <c r="AB172" s="9">
        <f>(Inputs!$H$8+Inputs!$L$8*(((Inputs!$I$8+(((A172)+1)/2)*(Inputs!$J$8-Inputs!$I$8)))/Inputs!$K$8)^2)</f>
        <v>202.80288500000012</v>
      </c>
      <c r="AC172" s="9">
        <f>(Inputs!$H$9+Inputs!$L$9*(((Inputs!$I$9+(((A172)+1)/2)*(Inputs!$J$9-Inputs!$I$9)))/Inputs!$K$9)^2)</f>
        <v>194.54177500000011</v>
      </c>
      <c r="AD172" s="10"/>
      <c r="AE172" s="9">
        <f t="shared" si="16"/>
        <v>0.41699999999999998</v>
      </c>
      <c r="AF172" s="9">
        <f>(((SQRT(((Inputs!$I$6+(((A172)+1)/2)*(Inputs!$J$6-Inputs!$I$6)))^2+Inputs!$C$6^2+((Inputs!$H$6+Inputs!$L$6*(((Inputs!$I$6+(((A172)+1)/2)*(Inputs!$J$6-Inputs!$I$6)))/Inputs!$K$6)^2))^2))-((Inputs!$H$6+Inputs!$L$6*(((Inputs!$I$6+(((A172)+1)/2)*(Inputs!$J$6-Inputs!$I$6)))/Inputs!$K$6)^2)))*1000/Inputs!$C$12)</f>
        <v>875.28486774094029</v>
      </c>
      <c r="AG172" s="9">
        <f>(((SQRT(((Inputs!$I$7+(((A172)+1)/2)*(Inputs!$J$7-Inputs!$I$7)))^2+Inputs!$C$6^2+((Inputs!$H$7+Inputs!$L$7*(((Inputs!$I$7+(((A172)+1)/2)*(Inputs!$J$7-Inputs!$I$7)))/Inputs!$K$7)^2))^2))-((Inputs!$H$7+Inputs!$L$7*(((Inputs!$I$7+(((A172)+1)/2)*(Inputs!$J$7-Inputs!$I$7)))/Inputs!$K$7)^2)))*1000/Inputs!$C$12)</f>
        <v>54401.164187782524</v>
      </c>
      <c r="AH172" s="9">
        <f>(((SQRT(((Inputs!$I$8+(((A172)+1)/2)*(Inputs!$J$8-Inputs!$I$8)))^2+Inputs!$C$6^2+((Inputs!$H$8+Inputs!$L$8*(((Inputs!$I$8+(((A172)+1)/2)*(Inputs!$J$8-Inputs!$I$8)))/Inputs!$K$8)^2))^2))-((Inputs!$H$8+Inputs!$L$8*(((Inputs!$I$8+(((A172)+1)/2)*(Inputs!$J$8-Inputs!$I$8)))/Inputs!$K$8)^2)))*1000/Inputs!$C$12)</f>
        <v>105845.04670903461</v>
      </c>
      <c r="AI172" s="9">
        <f>(((SQRT(((Inputs!$I$9+(((A172)+1)/2)*(Inputs!$J$9-Inputs!$I$9)))^2+Inputs!$C$6^2+((Inputs!$H$9+Inputs!$L$9*(((Inputs!$I$9+(((A172)+1)/2)*(Inputs!$J$9-Inputs!$I$9)))/Inputs!$K$9)^2))^2))-((Inputs!$H$9+Inputs!$L$9*(((Inputs!$I$9+(((A172)+1)/2)*(Inputs!$J$9-Inputs!$I$9)))/Inputs!$K$9)^2)))*1000/Inputs!$C$12)</f>
        <v>108116.40119071392</v>
      </c>
      <c r="AJ172" s="10"/>
      <c r="AK172" s="9">
        <f t="shared" si="17"/>
        <v>0.41699999999999998</v>
      </c>
      <c r="AL172" s="9">
        <f>(-2*((1000*((((Inputs!$I$6+(((A172)+1)/2)*(Inputs!$J$6-Inputs!$I$6)))*Inputs!$C$11+((Inputs!$H$6+Inputs!$L$6*(((Inputs!$I$6+(((A172)+1)/2)*(Inputs!$J$6-Inputs!$I$6)))/Inputs!$K$6)^2))*((2*Inputs!$L$6*((Inputs!$I$6+(((A172)+1)/2)*(Inputs!$J$6-Inputs!$I$6)))/(Inputs!$K$6^2)*Inputs!$C$11)))/(SQRT(((Inputs!$I$6+(((A172)+1)/2)*(Inputs!$J$6-Inputs!$I$6)))^2+Inputs!$C$6^2+((Inputs!$H$6+Inputs!$L$6*(((Inputs!$I$6+(((A172)+1)/2)*(Inputs!$J$6-Inputs!$I$6)))/Inputs!$K$6)^2))^2)))))/Inputs!$C$13)</f>
        <v>-188.13475780104017</v>
      </c>
      <c r="AM172" s="9">
        <f>(-2*((1000*((((Inputs!$I$7+(((A172)+1)/2)*(Inputs!$J$7-Inputs!$I$7)))*Inputs!$C$11+((Inputs!$H$7+Inputs!$L$7*(((Inputs!$I$7+(((A172)+1)/2)*(Inputs!$J$7-Inputs!$I$7)))/Inputs!$K$7)^2))*((2*Inputs!$L$7*((Inputs!$I$7+(((A172)+1)/2)*(Inputs!$J$7-Inputs!$I$7)))/(Inputs!$K$7^2)*Inputs!$C$11)))/(SQRT(((Inputs!$I$7+(((A172)+1)/2)*(Inputs!$J$7-Inputs!$I$7)))^2+Inputs!$C$6^2+((Inputs!$H$7+Inputs!$L$7*(((Inputs!$I$7+(((A172)+1)/2)*(Inputs!$J$7-Inputs!$I$7)))/Inputs!$K$7)^2))^2)))))/Inputs!$C$13)</f>
        <v>-1980.4062412026428</v>
      </c>
      <c r="AN172" s="9">
        <f>(-2*((1000*((((Inputs!$I$8+(((A172)+1)/2)*(Inputs!$J$8-Inputs!$I$8)))*Inputs!$C$11+((Inputs!$H$8+Inputs!$L$8*(((Inputs!$I$8+(((A172)+1)/2)*(Inputs!$J$8-Inputs!$I$8)))/Inputs!$K$8)^2))*((2*Inputs!$L$8*((Inputs!$I$8+(((A172)+1)/2)*(Inputs!$J$8-Inputs!$I$8)))/(Inputs!$K$8^2)*Inputs!$C$11)))/(SQRT(((Inputs!$I$8+(((A172)+1)/2)*(Inputs!$J$8-Inputs!$I$8)))^2+Inputs!$C$6^2+((Inputs!$H$8+Inputs!$L$8*(((Inputs!$I$8+(((A172)+1)/2)*(Inputs!$J$8-Inputs!$I$8)))/Inputs!$K$8)^2))^2)))))/Inputs!$C$13)</f>
        <v>-2198.8242284039911</v>
      </c>
      <c r="AO172" s="9">
        <f>(-2*((1000*((((Inputs!$I$9+(((A172)+1)/2)*(Inputs!$J$9-Inputs!$I$9)))*Inputs!$C$11+((Inputs!$H$9+Inputs!$L$9*(((Inputs!$I$9+(((A172)+1)/2)*(Inputs!$J$9-Inputs!$I$9)))/Inputs!$K$9)^2))*((2*Inputs!$L$9*((Inputs!$I$9+(((A172)+1)/2)*(Inputs!$J$9-Inputs!$I$9)))/(Inputs!$K$9^2)*Inputs!$C$11)))/(SQRT(((Inputs!$I$9+(((A172)+1)/2)*(Inputs!$J$9-Inputs!$I$9)))^2+Inputs!$C$6^2+((Inputs!$H$9+Inputs!$L$9*(((Inputs!$I$9+(((A172)+1)/2)*(Inputs!$J$9-Inputs!$I$9)))/Inputs!$K$9)^2))^2)))))/Inputs!$C$13)</f>
        <v>-2196.8153010067972</v>
      </c>
    </row>
    <row r="173" spans="1:41">
      <c r="A173" s="9">
        <f>ROUND(-1+171*2/240,3)</f>
        <v>0.42499999999999999</v>
      </c>
      <c r="B173" s="9">
        <f>IF(OR(Inputs!$F$6=TRUE,Inputs!$F$6="TRUE",Inputs!$F$6=1),(Inputs!$H$6+Inputs!$L$6*(((Inputs!$I$6+(((A173)+1)/2)*(Inputs!$J$6-Inputs!$I$6)))/Inputs!$K$6)^2),NA())</f>
        <v>400.72250000000003</v>
      </c>
      <c r="C173" s="9">
        <f>IF(OR(Inputs!$F$7=TRUE,Inputs!$F$7="TRUE",Inputs!$F$7=1),(Inputs!$H$7+Inputs!$L$7*(((Inputs!$I$7+(((A173)+1)/2)*(Inputs!$J$7-Inputs!$I$7)))/Inputs!$K$7)^2),NA())</f>
        <v>100.92812499999999</v>
      </c>
      <c r="D173" s="9">
        <f>IF(OR(Inputs!$F$8=TRUE,Inputs!$F$8="TRUE",Inputs!$F$8=1),(Inputs!$H$8+Inputs!$L$8*(((Inputs!$I$8+(((A173)+1)/2)*(Inputs!$J$8-Inputs!$I$8)))/Inputs!$K$8)^2),NA())</f>
        <v>209.30312499999999</v>
      </c>
      <c r="E173" s="9">
        <f>IF(OR(Inputs!$F$9=TRUE,Inputs!$F$9="TRUE",Inputs!$F$9=1),(Inputs!$H$9+Inputs!$L$9*(((Inputs!$I$9+(((A173)+1)/2)*(Inputs!$J$9-Inputs!$I$9)))/Inputs!$K$9)^2),NA())</f>
        <v>201.10937499999997</v>
      </c>
      <c r="F173" s="10"/>
      <c r="G173" s="9">
        <f t="shared" si="12"/>
        <v>0.42499999999999999</v>
      </c>
      <c r="H173" s="9">
        <f>IF(OR(Inputs!$F$6=TRUE,Inputs!$F$6="TRUE",Inputs!$F$6=1),(((SQRT(((Inputs!$I$6+(((A173)+1)/2)*(Inputs!$J$6-Inputs!$I$6)))^2+Inputs!$C$6^2+((Inputs!$H$6+Inputs!$L$6*(((Inputs!$I$6+(((A173)+1)/2)*(Inputs!$J$6-Inputs!$I$6)))/Inputs!$K$6)^2))^2))-((Inputs!$H$6+Inputs!$L$6*(((Inputs!$I$6+(((A173)+1)/2)*(Inputs!$J$6-Inputs!$I$6)))/Inputs!$K$6)^2)))*1000/Inputs!$C$12),NA())</f>
        <v>892.1582886614168</v>
      </c>
      <c r="I173" s="9">
        <f>IF(OR(Inputs!$F$7=TRUE,Inputs!$F$7="TRUE",Inputs!$F$7=1),(((SQRT(((Inputs!$I$7+(((A173)+1)/2)*(Inputs!$J$7-Inputs!$I$7)))^2+Inputs!$C$6^2+((Inputs!$H$7+Inputs!$L$7*(((Inputs!$I$7+(((A173)+1)/2)*(Inputs!$J$7-Inputs!$I$7)))/Inputs!$K$7)^2))^2))-((Inputs!$H$7+Inputs!$L$7*(((Inputs!$I$7+(((A173)+1)/2)*(Inputs!$J$7-Inputs!$I$7)))/Inputs!$K$7)^2)))*1000/Inputs!$C$12),NA())</f>
        <v>55252.407697642921</v>
      </c>
      <c r="J173" s="9">
        <f>IF(OR(Inputs!$F$8=TRUE,Inputs!$F$8="TRUE",Inputs!$F$8=1),(((SQRT(((Inputs!$I$8+(((A173)+1)/2)*(Inputs!$J$8-Inputs!$I$8)))^2+Inputs!$C$6^2+((Inputs!$H$8+Inputs!$L$8*(((Inputs!$I$8+(((A173)+1)/2)*(Inputs!$J$8-Inputs!$I$8)))/Inputs!$K$8)^2))^2))-((Inputs!$H$8+Inputs!$L$8*(((Inputs!$I$8+(((A173)+1)/2)*(Inputs!$J$8-Inputs!$I$8)))/Inputs!$K$8)^2)))*1000/Inputs!$C$12),NA())</f>
        <v>107156.10706048388</v>
      </c>
      <c r="K173" s="9">
        <f>IF(OR(Inputs!$F$9=TRUE,Inputs!$F$9="TRUE",Inputs!$F$9=1),(((SQRT(((Inputs!$I$9+(((A173)+1)/2)*(Inputs!$J$9-Inputs!$I$9)))^2+Inputs!$C$6^2+((Inputs!$H$9+Inputs!$L$9*(((Inputs!$I$9+(((A173)+1)/2)*(Inputs!$J$9-Inputs!$I$9)))/Inputs!$K$9)^2))^2))-((Inputs!$H$9+Inputs!$L$9*(((Inputs!$I$9+(((A173)+1)/2)*(Inputs!$J$9-Inputs!$I$9)))/Inputs!$K$9)^2)))*1000/Inputs!$C$12),NA())</f>
        <v>109385.51363748086</v>
      </c>
      <c r="L173" s="10"/>
      <c r="M173" s="9">
        <f t="shared" si="13"/>
        <v>0.42499999999999999</v>
      </c>
      <c r="N173" s="9">
        <f>IF(OR(Inputs!$F$6=TRUE,Inputs!$F$6="TRUE",Inputs!$F$6=1),(-2*((1000*((((Inputs!$I$6+(((A173)+1)/2)*(Inputs!$J$6-Inputs!$I$6)))*Inputs!$C$11+((Inputs!$H$6+Inputs!$L$6*(((Inputs!$I$6+(((A173)+1)/2)*(Inputs!$J$6-Inputs!$I$6)))/Inputs!$K$6)^2))*((2*Inputs!$L$6*((Inputs!$I$6+(((A173)+1)/2)*(Inputs!$J$6-Inputs!$I$6)))/(Inputs!$K$6^2)*Inputs!$C$11)))/(SQRT(((Inputs!$I$6+(((A173)+1)/2)*(Inputs!$J$6-Inputs!$I$6)))^2+Inputs!$C$6^2+((Inputs!$H$6+Inputs!$L$6*(((Inputs!$I$6+(((A173)+1)/2)*(Inputs!$J$6-Inputs!$I$6)))/Inputs!$K$6)^2))^2)))))/Inputs!$C$13),NA())</f>
        <v>-191.72297349476912</v>
      </c>
      <c r="O173" s="9">
        <f>IF(OR(Inputs!$F$7=TRUE,Inputs!$F$7="TRUE",Inputs!$F$7=1),(-2*((1000*((((Inputs!$I$7+(((A173)+1)/2)*(Inputs!$J$7-Inputs!$I$7)))*Inputs!$C$11+((Inputs!$H$7+Inputs!$L$7*(((Inputs!$I$7+(((A173)+1)/2)*(Inputs!$J$7-Inputs!$I$7)))/Inputs!$K$7)^2))*((2*Inputs!$L$7*((Inputs!$I$7+(((A173)+1)/2)*(Inputs!$J$7-Inputs!$I$7)))/(Inputs!$K$7^2)*Inputs!$C$11)))/(SQRT(((Inputs!$I$7+(((A173)+1)/2)*(Inputs!$J$7-Inputs!$I$7)))^2+Inputs!$C$6^2+((Inputs!$H$7+Inputs!$L$7*(((Inputs!$I$7+(((A173)+1)/2)*(Inputs!$J$7-Inputs!$I$7)))/Inputs!$K$7)^2))^2)))))/Inputs!$C$13),NA())</f>
        <v>-1993.4612845780164</v>
      </c>
      <c r="P173" s="9">
        <f>IF(OR(Inputs!$F$8=TRUE,Inputs!$F$8="TRUE",Inputs!$F$8=1),(-2*((1000*((((Inputs!$I$8+(((A173)+1)/2)*(Inputs!$J$8-Inputs!$I$8)))*Inputs!$C$11+((Inputs!$H$8+Inputs!$L$8*(((Inputs!$I$8+(((A173)+1)/2)*(Inputs!$J$8-Inputs!$I$8)))/Inputs!$K$8)^2))*((2*Inputs!$L$8*((Inputs!$I$8+(((A173)+1)/2)*(Inputs!$J$8-Inputs!$I$8)))/(Inputs!$K$8^2)*Inputs!$C$11)))/(SQRT(((Inputs!$I$8+(((A173)+1)/2)*(Inputs!$J$8-Inputs!$I$8)))^2+Inputs!$C$6^2+((Inputs!$H$8+Inputs!$L$8*(((Inputs!$I$8+(((A173)+1)/2)*(Inputs!$J$8-Inputs!$I$8)))/Inputs!$K$8)^2))^2)))))/Inputs!$C$13),NA())</f>
        <v>-2218.1771028324902</v>
      </c>
      <c r="Q173" s="9">
        <f>IF(OR(Inputs!$F$9=TRUE,Inputs!$F$9="TRUE",Inputs!$F$9=1),(-2*((1000*((((Inputs!$I$9+(((A173)+1)/2)*(Inputs!$J$9-Inputs!$I$9)))*Inputs!$C$11+((Inputs!$H$9+Inputs!$L$9*(((Inputs!$I$9+(((A173)+1)/2)*(Inputs!$J$9-Inputs!$I$9)))/Inputs!$K$9)^2))*((2*Inputs!$L$9*((Inputs!$I$9+(((A173)+1)/2)*(Inputs!$J$9-Inputs!$I$9)))/(Inputs!$K$9^2)*Inputs!$C$11)))/(SQRT(((Inputs!$I$9+(((A173)+1)/2)*(Inputs!$J$9-Inputs!$I$9)))^2+Inputs!$C$6^2+((Inputs!$H$9+Inputs!$L$9*(((Inputs!$I$9+(((A173)+1)/2)*(Inputs!$J$9-Inputs!$I$9)))/Inputs!$K$9)^2))^2)))))/Inputs!$C$13),NA())</f>
        <v>-2216.5341963163119</v>
      </c>
      <c r="R173" s="10"/>
      <c r="S173" s="9">
        <f t="shared" si="14"/>
        <v>0.42499999999999999</v>
      </c>
      <c r="T173" s="9">
        <f>(Inputs!$I$6+(((A173)+1)/2)*(Inputs!$J$6-Inputs!$I$6))</f>
        <v>25.5</v>
      </c>
      <c r="U173" s="9">
        <f>(Inputs!$I$7+(((A173)+1)/2)*(Inputs!$J$7-Inputs!$I$7))</f>
        <v>170</v>
      </c>
      <c r="V173" s="9">
        <f>(Inputs!$I$8+(((A173)+1)/2)*(Inputs!$J$8-Inputs!$I$8))</f>
        <v>340</v>
      </c>
      <c r="W173" s="9">
        <f>(Inputs!$I$9+(((A173)+1)/2)*(Inputs!$J$9-Inputs!$I$9))</f>
        <v>340</v>
      </c>
      <c r="X173" s="10"/>
      <c r="Y173" s="9">
        <f t="shared" si="15"/>
        <v>0.42499999999999999</v>
      </c>
      <c r="Z173" s="9">
        <f>(Inputs!$H$6+Inputs!$L$6*(((Inputs!$I$6+(((A173)+1)/2)*(Inputs!$J$6-Inputs!$I$6)))/Inputs!$K$6)^2)</f>
        <v>400.72250000000003</v>
      </c>
      <c r="AA173" s="9">
        <f>(Inputs!$H$7+Inputs!$L$7*(((Inputs!$I$7+(((A173)+1)/2)*(Inputs!$J$7-Inputs!$I$7)))/Inputs!$K$7)^2)</f>
        <v>100.92812499999999</v>
      </c>
      <c r="AB173" s="9">
        <f>(Inputs!$H$8+Inputs!$L$8*(((Inputs!$I$8+(((A173)+1)/2)*(Inputs!$J$8-Inputs!$I$8)))/Inputs!$K$8)^2)</f>
        <v>209.30312499999999</v>
      </c>
      <c r="AC173" s="9">
        <f>(Inputs!$H$9+Inputs!$L$9*(((Inputs!$I$9+(((A173)+1)/2)*(Inputs!$J$9-Inputs!$I$9)))/Inputs!$K$9)^2)</f>
        <v>201.10937499999997</v>
      </c>
      <c r="AD173" s="10"/>
      <c r="AE173" s="9">
        <f t="shared" si="16"/>
        <v>0.42499999999999999</v>
      </c>
      <c r="AF173" s="9">
        <f>(((SQRT(((Inputs!$I$6+(((A173)+1)/2)*(Inputs!$J$6-Inputs!$I$6)))^2+Inputs!$C$6^2+((Inputs!$H$6+Inputs!$L$6*(((Inputs!$I$6+(((A173)+1)/2)*(Inputs!$J$6-Inputs!$I$6)))/Inputs!$K$6)^2))^2))-((Inputs!$H$6+Inputs!$L$6*(((Inputs!$I$6+(((A173)+1)/2)*(Inputs!$J$6-Inputs!$I$6)))/Inputs!$K$6)^2)))*1000/Inputs!$C$12)</f>
        <v>892.1582886614168</v>
      </c>
      <c r="AG173" s="9">
        <f>(((SQRT(((Inputs!$I$7+(((A173)+1)/2)*(Inputs!$J$7-Inputs!$I$7)))^2+Inputs!$C$6^2+((Inputs!$H$7+Inputs!$L$7*(((Inputs!$I$7+(((A173)+1)/2)*(Inputs!$J$7-Inputs!$I$7)))/Inputs!$K$7)^2))^2))-((Inputs!$H$7+Inputs!$L$7*(((Inputs!$I$7+(((A173)+1)/2)*(Inputs!$J$7-Inputs!$I$7)))/Inputs!$K$7)^2)))*1000/Inputs!$C$12)</f>
        <v>55252.407697642921</v>
      </c>
      <c r="AH173" s="9">
        <f>(((SQRT(((Inputs!$I$8+(((A173)+1)/2)*(Inputs!$J$8-Inputs!$I$8)))^2+Inputs!$C$6^2+((Inputs!$H$8+Inputs!$L$8*(((Inputs!$I$8+(((A173)+1)/2)*(Inputs!$J$8-Inputs!$I$8)))/Inputs!$K$8)^2))^2))-((Inputs!$H$8+Inputs!$L$8*(((Inputs!$I$8+(((A173)+1)/2)*(Inputs!$J$8-Inputs!$I$8)))/Inputs!$K$8)^2)))*1000/Inputs!$C$12)</f>
        <v>107156.10706048388</v>
      </c>
      <c r="AI173" s="9">
        <f>(((SQRT(((Inputs!$I$9+(((A173)+1)/2)*(Inputs!$J$9-Inputs!$I$9)))^2+Inputs!$C$6^2+((Inputs!$H$9+Inputs!$L$9*(((Inputs!$I$9+(((A173)+1)/2)*(Inputs!$J$9-Inputs!$I$9)))/Inputs!$K$9)^2))^2))-((Inputs!$H$9+Inputs!$L$9*(((Inputs!$I$9+(((A173)+1)/2)*(Inputs!$J$9-Inputs!$I$9)))/Inputs!$K$9)^2)))*1000/Inputs!$C$12)</f>
        <v>109385.51363748086</v>
      </c>
      <c r="AJ173" s="10"/>
      <c r="AK173" s="9">
        <f t="shared" si="17"/>
        <v>0.42499999999999999</v>
      </c>
      <c r="AL173" s="9">
        <f>(-2*((1000*((((Inputs!$I$6+(((A173)+1)/2)*(Inputs!$J$6-Inputs!$I$6)))*Inputs!$C$11+((Inputs!$H$6+Inputs!$L$6*(((Inputs!$I$6+(((A173)+1)/2)*(Inputs!$J$6-Inputs!$I$6)))/Inputs!$K$6)^2))*((2*Inputs!$L$6*((Inputs!$I$6+(((A173)+1)/2)*(Inputs!$J$6-Inputs!$I$6)))/(Inputs!$K$6^2)*Inputs!$C$11)))/(SQRT(((Inputs!$I$6+(((A173)+1)/2)*(Inputs!$J$6-Inputs!$I$6)))^2+Inputs!$C$6^2+((Inputs!$H$6+Inputs!$L$6*(((Inputs!$I$6+(((A173)+1)/2)*(Inputs!$J$6-Inputs!$I$6)))/Inputs!$K$6)^2))^2)))))/Inputs!$C$13)</f>
        <v>-191.72297349476912</v>
      </c>
      <c r="AM173" s="9">
        <f>(-2*((1000*((((Inputs!$I$7+(((A173)+1)/2)*(Inputs!$J$7-Inputs!$I$7)))*Inputs!$C$11+((Inputs!$H$7+Inputs!$L$7*(((Inputs!$I$7+(((A173)+1)/2)*(Inputs!$J$7-Inputs!$I$7)))/Inputs!$K$7)^2))*((2*Inputs!$L$7*((Inputs!$I$7+(((A173)+1)/2)*(Inputs!$J$7-Inputs!$I$7)))/(Inputs!$K$7^2)*Inputs!$C$11)))/(SQRT(((Inputs!$I$7+(((A173)+1)/2)*(Inputs!$J$7-Inputs!$I$7)))^2+Inputs!$C$6^2+((Inputs!$H$7+Inputs!$L$7*(((Inputs!$I$7+(((A173)+1)/2)*(Inputs!$J$7-Inputs!$I$7)))/Inputs!$K$7)^2))^2)))))/Inputs!$C$13)</f>
        <v>-1993.4612845780164</v>
      </c>
      <c r="AN173" s="9">
        <f>(-2*((1000*((((Inputs!$I$8+(((A173)+1)/2)*(Inputs!$J$8-Inputs!$I$8)))*Inputs!$C$11+((Inputs!$H$8+Inputs!$L$8*(((Inputs!$I$8+(((A173)+1)/2)*(Inputs!$J$8-Inputs!$I$8)))/Inputs!$K$8)^2))*((2*Inputs!$L$8*((Inputs!$I$8+(((A173)+1)/2)*(Inputs!$J$8-Inputs!$I$8)))/(Inputs!$K$8^2)*Inputs!$C$11)))/(SQRT(((Inputs!$I$8+(((A173)+1)/2)*(Inputs!$J$8-Inputs!$I$8)))^2+Inputs!$C$6^2+((Inputs!$H$8+Inputs!$L$8*(((Inputs!$I$8+(((A173)+1)/2)*(Inputs!$J$8-Inputs!$I$8)))/Inputs!$K$8)^2))^2)))))/Inputs!$C$13)</f>
        <v>-2218.1771028324902</v>
      </c>
      <c r="AO173" s="9">
        <f>(-2*((1000*((((Inputs!$I$9+(((A173)+1)/2)*(Inputs!$J$9-Inputs!$I$9)))*Inputs!$C$11+((Inputs!$H$9+Inputs!$L$9*(((Inputs!$I$9+(((A173)+1)/2)*(Inputs!$J$9-Inputs!$I$9)))/Inputs!$K$9)^2))*((2*Inputs!$L$9*((Inputs!$I$9+(((A173)+1)/2)*(Inputs!$J$9-Inputs!$I$9)))/(Inputs!$K$9^2)*Inputs!$C$11)))/(SQRT(((Inputs!$I$9+(((A173)+1)/2)*(Inputs!$J$9-Inputs!$I$9)))^2+Inputs!$C$6^2+((Inputs!$H$9+Inputs!$L$9*(((Inputs!$I$9+(((A173)+1)/2)*(Inputs!$J$9-Inputs!$I$9)))/Inputs!$K$9)^2))^2)))))/Inputs!$C$13)</f>
        <v>-2216.5341963163119</v>
      </c>
    </row>
    <row r="174" spans="1:41">
      <c r="A174" s="9">
        <f>ROUND(-1+172*2/240,3)</f>
        <v>0.433</v>
      </c>
      <c r="B174" s="9">
        <f>IF(OR(Inputs!$F$6=TRUE,Inputs!$F$6="TRUE",Inputs!$F$6=1),(Inputs!$H$6+Inputs!$L$6*(((Inputs!$I$6+(((A174)+1)/2)*(Inputs!$J$6-Inputs!$I$6)))/Inputs!$K$6)^2),NA())</f>
        <v>400.749956</v>
      </c>
      <c r="C174" s="9">
        <f>IF(OR(Inputs!$F$7=TRUE,Inputs!$F$7="TRUE",Inputs!$F$7=1),(Inputs!$H$7+Inputs!$L$7*(((Inputs!$I$7+(((A174)+1)/2)*(Inputs!$J$7-Inputs!$I$7)))/Inputs!$K$7)^2),NA())</f>
        <v>103.43348500000003</v>
      </c>
      <c r="D174" s="9">
        <f>IF(OR(Inputs!$F$8=TRUE,Inputs!$F$8="TRUE",Inputs!$F$8=1),(Inputs!$H$8+Inputs!$L$8*(((Inputs!$I$8+(((A174)+1)/2)*(Inputs!$J$8-Inputs!$I$8)))/Inputs!$K$8)^2),NA())</f>
        <v>215.92688500000008</v>
      </c>
      <c r="E174" s="9">
        <f>IF(OR(Inputs!$F$9=TRUE,Inputs!$F$9="TRUE",Inputs!$F$9=1),(Inputs!$H$9+Inputs!$L$9*(((Inputs!$I$9+(((A174)+1)/2)*(Inputs!$J$9-Inputs!$I$9)))/Inputs!$K$9)^2),NA())</f>
        <v>207.80177500000011</v>
      </c>
      <c r="F174" s="10"/>
      <c r="G174" s="9">
        <f t="shared" si="12"/>
        <v>0.433</v>
      </c>
      <c r="H174" s="9">
        <f>IF(OR(Inputs!$F$6=TRUE,Inputs!$F$6="TRUE",Inputs!$F$6=1),(((SQRT(((Inputs!$I$6+(((A174)+1)/2)*(Inputs!$J$6-Inputs!$I$6)))^2+Inputs!$C$6^2+((Inputs!$H$6+Inputs!$L$6*(((Inputs!$I$6+(((A174)+1)/2)*(Inputs!$J$6-Inputs!$I$6)))/Inputs!$K$6)^2))^2))-((Inputs!$H$6+Inputs!$L$6*(((Inputs!$I$6+(((A174)+1)/2)*(Inputs!$J$6-Inputs!$I$6)))/Inputs!$K$6)^2)))*1000/Inputs!$C$12),NA())</f>
        <v>909.34872439278388</v>
      </c>
      <c r="I174" s="9">
        <f>IF(OR(Inputs!$F$7=TRUE,Inputs!$F$7="TRUE",Inputs!$F$7=1),(((SQRT(((Inputs!$I$7+(((A174)+1)/2)*(Inputs!$J$7-Inputs!$I$7)))^2+Inputs!$C$6^2+((Inputs!$H$7+Inputs!$L$7*(((Inputs!$I$7+(((A174)+1)/2)*(Inputs!$J$7-Inputs!$I$7)))/Inputs!$K$7)^2))^2))-((Inputs!$H$7+Inputs!$L$7*(((Inputs!$I$7+(((A174)+1)/2)*(Inputs!$J$7-Inputs!$I$7)))/Inputs!$K$7)^2)))*1000/Inputs!$C$12),NA())</f>
        <v>56092.120890423146</v>
      </c>
      <c r="J174" s="9">
        <f>IF(OR(Inputs!$F$8=TRUE,Inputs!$F$8="TRUE",Inputs!$F$8=1),(((SQRT(((Inputs!$I$8+(((A174)+1)/2)*(Inputs!$J$8-Inputs!$I$8)))^2+Inputs!$C$6^2+((Inputs!$H$8+Inputs!$L$8*(((Inputs!$I$8+(((A174)+1)/2)*(Inputs!$J$8-Inputs!$I$8)))/Inputs!$K$8)^2))^2))-((Inputs!$H$8+Inputs!$L$8*(((Inputs!$I$8+(((A174)+1)/2)*(Inputs!$J$8-Inputs!$I$8)))/Inputs!$K$8)^2)))*1000/Inputs!$C$12),NA())</f>
        <v>108441.51637761807</v>
      </c>
      <c r="K174" s="9">
        <f>IF(OR(Inputs!$F$9=TRUE,Inputs!$F$9="TRUE",Inputs!$F$9=1),(((SQRT(((Inputs!$I$9+(((A174)+1)/2)*(Inputs!$J$9-Inputs!$I$9)))^2+Inputs!$C$6^2+((Inputs!$H$9+Inputs!$L$9*(((Inputs!$I$9+(((A174)+1)/2)*(Inputs!$J$9-Inputs!$I$9)))/Inputs!$K$9)^2))^2))-((Inputs!$H$9+Inputs!$L$9*(((Inputs!$I$9+(((A174)+1)/2)*(Inputs!$J$9-Inputs!$I$9)))/Inputs!$K$9)^2)))*1000/Inputs!$C$12),NA())</f>
        <v>110629.09031207753</v>
      </c>
      <c r="L174" s="10"/>
      <c r="M174" s="9">
        <f t="shared" si="13"/>
        <v>0.433</v>
      </c>
      <c r="N174" s="9">
        <f>IF(OR(Inputs!$F$6=TRUE,Inputs!$F$6="TRUE",Inputs!$F$6=1),(-2*((1000*((((Inputs!$I$6+(((A174)+1)/2)*(Inputs!$J$6-Inputs!$I$6)))*Inputs!$C$11+((Inputs!$H$6+Inputs!$L$6*(((Inputs!$I$6+(((A174)+1)/2)*(Inputs!$J$6-Inputs!$I$6)))/Inputs!$K$6)^2))*((2*Inputs!$L$6*((Inputs!$I$6+(((A174)+1)/2)*(Inputs!$J$6-Inputs!$I$6)))/(Inputs!$K$6^2)*Inputs!$C$11)))/(SQRT(((Inputs!$I$6+(((A174)+1)/2)*(Inputs!$J$6-Inputs!$I$6)))^2+Inputs!$C$6^2+((Inputs!$H$6+Inputs!$L$6*(((Inputs!$I$6+(((A174)+1)/2)*(Inputs!$J$6-Inputs!$I$6)))/Inputs!$K$6)^2))^2)))))/Inputs!$C$13),NA())</f>
        <v>-195.30999662419933</v>
      </c>
      <c r="O174" s="9">
        <f>IF(OR(Inputs!$F$7=TRUE,Inputs!$F$7="TRUE",Inputs!$F$7=1),(-2*((1000*((((Inputs!$I$7+(((A174)+1)/2)*(Inputs!$J$7-Inputs!$I$7)))*Inputs!$C$11+((Inputs!$H$7+Inputs!$L$7*(((Inputs!$I$7+(((A174)+1)/2)*(Inputs!$J$7-Inputs!$I$7)))/Inputs!$K$7)^2))*((2*Inputs!$L$7*((Inputs!$I$7+(((A174)+1)/2)*(Inputs!$J$7-Inputs!$I$7)))/(Inputs!$K$7^2)*Inputs!$C$11)))/(SQRT(((Inputs!$I$7+(((A174)+1)/2)*(Inputs!$J$7-Inputs!$I$7)))^2+Inputs!$C$6^2+((Inputs!$H$7+Inputs!$L$7*(((Inputs!$I$7+(((A174)+1)/2)*(Inputs!$J$7-Inputs!$I$7)))/Inputs!$K$7)^2))^2)))))/Inputs!$C$13),NA())</f>
        <v>-2006.602998303267</v>
      </c>
      <c r="P174" s="9">
        <f>IF(OR(Inputs!$F$8=TRUE,Inputs!$F$8="TRUE",Inputs!$F$8=1),(-2*((1000*((((Inputs!$I$8+(((A174)+1)/2)*(Inputs!$J$8-Inputs!$I$8)))*Inputs!$C$11+((Inputs!$H$8+Inputs!$L$8*(((Inputs!$I$8+(((A174)+1)/2)*(Inputs!$J$8-Inputs!$I$8)))/Inputs!$K$8)^2))*((2*Inputs!$L$8*((Inputs!$I$8+(((A174)+1)/2)*(Inputs!$J$8-Inputs!$I$8)))/(Inputs!$K$8^2)*Inputs!$C$11)))/(SQRT(((Inputs!$I$8+(((A174)+1)/2)*(Inputs!$J$8-Inputs!$I$8)))^2+Inputs!$C$6^2+((Inputs!$H$8+Inputs!$L$8*(((Inputs!$I$8+(((A174)+1)/2)*(Inputs!$J$8-Inputs!$I$8)))/Inputs!$K$8)^2))^2)))))/Inputs!$C$13),NA())</f>
        <v>-2237.7543631315721</v>
      </c>
      <c r="Q174" s="9">
        <f>IF(OR(Inputs!$F$9=TRUE,Inputs!$F$9="TRUE",Inputs!$F$9=1),(-2*((1000*((((Inputs!$I$9+(((A174)+1)/2)*(Inputs!$J$9-Inputs!$I$9)))*Inputs!$C$11+((Inputs!$H$9+Inputs!$L$9*(((Inputs!$I$9+(((A174)+1)/2)*(Inputs!$J$9-Inputs!$I$9)))/Inputs!$K$9)^2))*((2*Inputs!$L$9*((Inputs!$I$9+(((A174)+1)/2)*(Inputs!$J$9-Inputs!$I$9)))/(Inputs!$K$9^2)*Inputs!$C$11)))/(SQRT(((Inputs!$I$9+(((A174)+1)/2)*(Inputs!$J$9-Inputs!$I$9)))^2+Inputs!$C$6^2+((Inputs!$H$9+Inputs!$L$9*(((Inputs!$I$9+(((A174)+1)/2)*(Inputs!$J$9-Inputs!$I$9)))/Inputs!$K$9)^2))^2)))))/Inputs!$C$13),NA())</f>
        <v>-2236.4878879575322</v>
      </c>
      <c r="R174" s="10"/>
      <c r="S174" s="9">
        <f t="shared" si="14"/>
        <v>0.433</v>
      </c>
      <c r="T174" s="9">
        <f>(Inputs!$I$6+(((A174)+1)/2)*(Inputs!$J$6-Inputs!$I$6))</f>
        <v>25.980000000000004</v>
      </c>
      <c r="U174" s="9">
        <f>(Inputs!$I$7+(((A174)+1)/2)*(Inputs!$J$7-Inputs!$I$7))</f>
        <v>173.20000000000005</v>
      </c>
      <c r="V174" s="9">
        <f>(Inputs!$I$8+(((A174)+1)/2)*(Inputs!$J$8-Inputs!$I$8))</f>
        <v>346.40000000000009</v>
      </c>
      <c r="W174" s="9">
        <f>(Inputs!$I$9+(((A174)+1)/2)*(Inputs!$J$9-Inputs!$I$9))</f>
        <v>346.40000000000009</v>
      </c>
      <c r="X174" s="10"/>
      <c r="Y174" s="9">
        <f t="shared" si="15"/>
        <v>0.433</v>
      </c>
      <c r="Z174" s="9">
        <f>(Inputs!$H$6+Inputs!$L$6*(((Inputs!$I$6+(((A174)+1)/2)*(Inputs!$J$6-Inputs!$I$6)))/Inputs!$K$6)^2)</f>
        <v>400.749956</v>
      </c>
      <c r="AA174" s="9">
        <f>(Inputs!$H$7+Inputs!$L$7*(((Inputs!$I$7+(((A174)+1)/2)*(Inputs!$J$7-Inputs!$I$7)))/Inputs!$K$7)^2)</f>
        <v>103.43348500000003</v>
      </c>
      <c r="AB174" s="9">
        <f>(Inputs!$H$8+Inputs!$L$8*(((Inputs!$I$8+(((A174)+1)/2)*(Inputs!$J$8-Inputs!$I$8)))/Inputs!$K$8)^2)</f>
        <v>215.92688500000008</v>
      </c>
      <c r="AC174" s="9">
        <f>(Inputs!$H$9+Inputs!$L$9*(((Inputs!$I$9+(((A174)+1)/2)*(Inputs!$J$9-Inputs!$I$9)))/Inputs!$K$9)^2)</f>
        <v>207.80177500000011</v>
      </c>
      <c r="AD174" s="10"/>
      <c r="AE174" s="9">
        <f t="shared" si="16"/>
        <v>0.433</v>
      </c>
      <c r="AF174" s="9">
        <f>(((SQRT(((Inputs!$I$6+(((A174)+1)/2)*(Inputs!$J$6-Inputs!$I$6)))^2+Inputs!$C$6^2+((Inputs!$H$6+Inputs!$L$6*(((Inputs!$I$6+(((A174)+1)/2)*(Inputs!$J$6-Inputs!$I$6)))/Inputs!$K$6)^2))^2))-((Inputs!$H$6+Inputs!$L$6*(((Inputs!$I$6+(((A174)+1)/2)*(Inputs!$J$6-Inputs!$I$6)))/Inputs!$K$6)^2)))*1000/Inputs!$C$12)</f>
        <v>909.34872439278388</v>
      </c>
      <c r="AG174" s="9">
        <f>(((SQRT(((Inputs!$I$7+(((A174)+1)/2)*(Inputs!$J$7-Inputs!$I$7)))^2+Inputs!$C$6^2+((Inputs!$H$7+Inputs!$L$7*(((Inputs!$I$7+(((A174)+1)/2)*(Inputs!$J$7-Inputs!$I$7)))/Inputs!$K$7)^2))^2))-((Inputs!$H$7+Inputs!$L$7*(((Inputs!$I$7+(((A174)+1)/2)*(Inputs!$J$7-Inputs!$I$7)))/Inputs!$K$7)^2)))*1000/Inputs!$C$12)</f>
        <v>56092.120890423146</v>
      </c>
      <c r="AH174" s="9">
        <f>(((SQRT(((Inputs!$I$8+(((A174)+1)/2)*(Inputs!$J$8-Inputs!$I$8)))^2+Inputs!$C$6^2+((Inputs!$H$8+Inputs!$L$8*(((Inputs!$I$8+(((A174)+1)/2)*(Inputs!$J$8-Inputs!$I$8)))/Inputs!$K$8)^2))^2))-((Inputs!$H$8+Inputs!$L$8*(((Inputs!$I$8+(((A174)+1)/2)*(Inputs!$J$8-Inputs!$I$8)))/Inputs!$K$8)^2)))*1000/Inputs!$C$12)</f>
        <v>108441.51637761807</v>
      </c>
      <c r="AI174" s="9">
        <f>(((SQRT(((Inputs!$I$9+(((A174)+1)/2)*(Inputs!$J$9-Inputs!$I$9)))^2+Inputs!$C$6^2+((Inputs!$H$9+Inputs!$L$9*(((Inputs!$I$9+(((A174)+1)/2)*(Inputs!$J$9-Inputs!$I$9)))/Inputs!$K$9)^2))^2))-((Inputs!$H$9+Inputs!$L$9*(((Inputs!$I$9+(((A174)+1)/2)*(Inputs!$J$9-Inputs!$I$9)))/Inputs!$K$9)^2)))*1000/Inputs!$C$12)</f>
        <v>110629.09031207753</v>
      </c>
      <c r="AJ174" s="10"/>
      <c r="AK174" s="9">
        <f t="shared" si="17"/>
        <v>0.433</v>
      </c>
      <c r="AL174" s="9">
        <f>(-2*((1000*((((Inputs!$I$6+(((A174)+1)/2)*(Inputs!$J$6-Inputs!$I$6)))*Inputs!$C$11+((Inputs!$H$6+Inputs!$L$6*(((Inputs!$I$6+(((A174)+1)/2)*(Inputs!$J$6-Inputs!$I$6)))/Inputs!$K$6)^2))*((2*Inputs!$L$6*((Inputs!$I$6+(((A174)+1)/2)*(Inputs!$J$6-Inputs!$I$6)))/(Inputs!$K$6^2)*Inputs!$C$11)))/(SQRT(((Inputs!$I$6+(((A174)+1)/2)*(Inputs!$J$6-Inputs!$I$6)))^2+Inputs!$C$6^2+((Inputs!$H$6+Inputs!$L$6*(((Inputs!$I$6+(((A174)+1)/2)*(Inputs!$J$6-Inputs!$I$6)))/Inputs!$K$6)^2))^2)))))/Inputs!$C$13)</f>
        <v>-195.30999662419933</v>
      </c>
      <c r="AM174" s="9">
        <f>(-2*((1000*((((Inputs!$I$7+(((A174)+1)/2)*(Inputs!$J$7-Inputs!$I$7)))*Inputs!$C$11+((Inputs!$H$7+Inputs!$L$7*(((Inputs!$I$7+(((A174)+1)/2)*(Inputs!$J$7-Inputs!$I$7)))/Inputs!$K$7)^2))*((2*Inputs!$L$7*((Inputs!$I$7+(((A174)+1)/2)*(Inputs!$J$7-Inputs!$I$7)))/(Inputs!$K$7^2)*Inputs!$C$11)))/(SQRT(((Inputs!$I$7+(((A174)+1)/2)*(Inputs!$J$7-Inputs!$I$7)))^2+Inputs!$C$6^2+((Inputs!$H$7+Inputs!$L$7*(((Inputs!$I$7+(((A174)+1)/2)*(Inputs!$J$7-Inputs!$I$7)))/Inputs!$K$7)^2))^2)))))/Inputs!$C$13)</f>
        <v>-2006.602998303267</v>
      </c>
      <c r="AN174" s="9">
        <f>(-2*((1000*((((Inputs!$I$8+(((A174)+1)/2)*(Inputs!$J$8-Inputs!$I$8)))*Inputs!$C$11+((Inputs!$H$8+Inputs!$L$8*(((Inputs!$I$8+(((A174)+1)/2)*(Inputs!$J$8-Inputs!$I$8)))/Inputs!$K$8)^2))*((2*Inputs!$L$8*((Inputs!$I$8+(((A174)+1)/2)*(Inputs!$J$8-Inputs!$I$8)))/(Inputs!$K$8^2)*Inputs!$C$11)))/(SQRT(((Inputs!$I$8+(((A174)+1)/2)*(Inputs!$J$8-Inputs!$I$8)))^2+Inputs!$C$6^2+((Inputs!$H$8+Inputs!$L$8*(((Inputs!$I$8+(((A174)+1)/2)*(Inputs!$J$8-Inputs!$I$8)))/Inputs!$K$8)^2))^2)))))/Inputs!$C$13)</f>
        <v>-2237.7543631315721</v>
      </c>
      <c r="AO174" s="9">
        <f>(-2*((1000*((((Inputs!$I$9+(((A174)+1)/2)*(Inputs!$J$9-Inputs!$I$9)))*Inputs!$C$11+((Inputs!$H$9+Inputs!$L$9*(((Inputs!$I$9+(((A174)+1)/2)*(Inputs!$J$9-Inputs!$I$9)))/Inputs!$K$9)^2))*((2*Inputs!$L$9*((Inputs!$I$9+(((A174)+1)/2)*(Inputs!$J$9-Inputs!$I$9)))/(Inputs!$K$9^2)*Inputs!$C$11)))/(SQRT(((Inputs!$I$9+(((A174)+1)/2)*(Inputs!$J$9-Inputs!$I$9)))^2+Inputs!$C$6^2+((Inputs!$H$9+Inputs!$L$9*(((Inputs!$I$9+(((A174)+1)/2)*(Inputs!$J$9-Inputs!$I$9)))/Inputs!$K$9)^2))^2)))))/Inputs!$C$13)</f>
        <v>-2236.4878879575322</v>
      </c>
    </row>
    <row r="175" spans="1:41">
      <c r="A175" s="9">
        <f>ROUND(-1+173*2/240,3)</f>
        <v>0.442</v>
      </c>
      <c r="B175" s="9">
        <f>IF(OR(Inputs!$F$6=TRUE,Inputs!$F$6="TRUE",Inputs!$F$6=1),(Inputs!$H$6+Inputs!$L$6*(((Inputs!$I$6+(((A175)+1)/2)*(Inputs!$J$6-Inputs!$I$6)))/Inputs!$K$6)^2),NA())</f>
        <v>400.78145599999999</v>
      </c>
      <c r="C175" s="9">
        <f>IF(OR(Inputs!$F$7=TRUE,Inputs!$F$7="TRUE",Inputs!$F$7=1),(Inputs!$H$7+Inputs!$L$7*(((Inputs!$I$7+(((A175)+1)/2)*(Inputs!$J$7-Inputs!$I$7)))/Inputs!$K$7)^2),NA())</f>
        <v>106.30785999999996</v>
      </c>
      <c r="D175" s="9">
        <f>IF(OR(Inputs!$F$8=TRUE,Inputs!$F$8="TRUE",Inputs!$F$8=1),(Inputs!$H$8+Inputs!$L$8*(((Inputs!$I$8+(((A175)+1)/2)*(Inputs!$J$8-Inputs!$I$8)))/Inputs!$K$8)^2),NA())</f>
        <v>223.52625999999989</v>
      </c>
      <c r="E175" s="9">
        <f>IF(OR(Inputs!$F$9=TRUE,Inputs!$F$9="TRUE",Inputs!$F$9=1),(Inputs!$H$9+Inputs!$L$9*(((Inputs!$I$9+(((A175)+1)/2)*(Inputs!$J$9-Inputs!$I$9)))/Inputs!$K$9)^2),NA())</f>
        <v>215.4798999999999</v>
      </c>
      <c r="F175" s="10"/>
      <c r="G175" s="9">
        <f t="shared" si="12"/>
        <v>0.442</v>
      </c>
      <c r="H175" s="9">
        <f>IF(OR(Inputs!$F$6=TRUE,Inputs!$F$6="TRUE",Inputs!$F$6=1),(((SQRT(((Inputs!$I$6+(((A175)+1)/2)*(Inputs!$J$6-Inputs!$I$6)))^2+Inputs!$C$6^2+((Inputs!$H$6+Inputs!$L$6*(((Inputs!$I$6+(((A175)+1)/2)*(Inputs!$J$6-Inputs!$I$6)))/Inputs!$K$6)^2))^2))-((Inputs!$H$6+Inputs!$L$6*(((Inputs!$I$6+(((A175)+1)/2)*(Inputs!$J$6-Inputs!$I$6)))/Inputs!$K$6)^2)))*1000/Inputs!$C$12),NA())</f>
        <v>929.0666436899993</v>
      </c>
      <c r="I175" s="9">
        <f>IF(OR(Inputs!$F$7=TRUE,Inputs!$F$7="TRUE",Inputs!$F$7=1),(((SQRT(((Inputs!$I$7+(((A175)+1)/2)*(Inputs!$J$7-Inputs!$I$7)))^2+Inputs!$C$6^2+((Inputs!$H$7+Inputs!$L$7*(((Inputs!$I$7+(((A175)+1)/2)*(Inputs!$J$7-Inputs!$I$7)))/Inputs!$K$7)^2))^2))-((Inputs!$H$7+Inputs!$L$7*(((Inputs!$I$7+(((A175)+1)/2)*(Inputs!$J$7-Inputs!$I$7)))/Inputs!$K$7)^2)))*1000/Inputs!$C$12),NA())</f>
        <v>57023.1402275906</v>
      </c>
      <c r="J175" s="9">
        <f>IF(OR(Inputs!$F$8=TRUE,Inputs!$F$8="TRUE",Inputs!$F$8=1),(((SQRT(((Inputs!$I$8+(((A175)+1)/2)*(Inputs!$J$8-Inputs!$I$8)))^2+Inputs!$C$6^2+((Inputs!$H$8+Inputs!$L$8*(((Inputs!$I$8+(((A175)+1)/2)*(Inputs!$J$8-Inputs!$I$8)))/Inputs!$K$8)^2))^2))-((Inputs!$H$8+Inputs!$L$8*(((Inputs!$I$8+(((A175)+1)/2)*(Inputs!$J$8-Inputs!$I$8)))/Inputs!$K$8)^2)))*1000/Inputs!$C$12),NA())</f>
        <v>109857.56465410536</v>
      </c>
      <c r="K175" s="9">
        <f>IF(OR(Inputs!$F$9=TRUE,Inputs!$F$9="TRUE",Inputs!$F$9=1),(((SQRT(((Inputs!$I$9+(((A175)+1)/2)*(Inputs!$J$9-Inputs!$I$9)))^2+Inputs!$C$6^2+((Inputs!$H$9+Inputs!$L$9*(((Inputs!$I$9+(((A175)+1)/2)*(Inputs!$J$9-Inputs!$I$9)))/Inputs!$K$9)^2))^2))-((Inputs!$H$9+Inputs!$L$9*(((Inputs!$I$9+(((A175)+1)/2)*(Inputs!$J$9-Inputs!$I$9)))/Inputs!$K$9)^2)))*1000/Inputs!$C$12),NA())</f>
        <v>111998.2426293427</v>
      </c>
      <c r="L175" s="10"/>
      <c r="M175" s="9">
        <f t="shared" si="13"/>
        <v>0.442</v>
      </c>
      <c r="N175" s="9">
        <f>IF(OR(Inputs!$F$6=TRUE,Inputs!$F$6="TRUE",Inputs!$F$6=1),(-2*((1000*((((Inputs!$I$6+(((A175)+1)/2)*(Inputs!$J$6-Inputs!$I$6)))*Inputs!$C$11+((Inputs!$H$6+Inputs!$L$6*(((Inputs!$I$6+(((A175)+1)/2)*(Inputs!$J$6-Inputs!$I$6)))/Inputs!$K$6)^2))*((2*Inputs!$L$6*((Inputs!$I$6+(((A175)+1)/2)*(Inputs!$J$6-Inputs!$I$6)))/(Inputs!$K$6^2)*Inputs!$C$11)))/(SQRT(((Inputs!$I$6+(((A175)+1)/2)*(Inputs!$J$6-Inputs!$I$6)))^2+Inputs!$C$6^2+((Inputs!$H$6+Inputs!$L$6*(((Inputs!$I$6+(((A175)+1)/2)*(Inputs!$J$6-Inputs!$I$6)))/Inputs!$K$6)^2))^2)))))/Inputs!$C$13),NA())</f>
        <v>-199.34394530037937</v>
      </c>
      <c r="O175" s="9">
        <f>IF(OR(Inputs!$F$7=TRUE,Inputs!$F$7="TRUE",Inputs!$F$7=1),(-2*((1000*((((Inputs!$I$7+(((A175)+1)/2)*(Inputs!$J$7-Inputs!$I$7)))*Inputs!$C$11+((Inputs!$H$7+Inputs!$L$7*(((Inputs!$I$7+(((A175)+1)/2)*(Inputs!$J$7-Inputs!$I$7)))/Inputs!$K$7)^2))*((2*Inputs!$L$7*((Inputs!$I$7+(((A175)+1)/2)*(Inputs!$J$7-Inputs!$I$7)))/(Inputs!$K$7^2)*Inputs!$C$11)))/(SQRT(((Inputs!$I$7+(((A175)+1)/2)*(Inputs!$J$7-Inputs!$I$7)))^2+Inputs!$C$6^2+((Inputs!$H$7+Inputs!$L$7*(((Inputs!$I$7+(((A175)+1)/2)*(Inputs!$J$7-Inputs!$I$7)))/Inputs!$K$7)^2))^2)))))/Inputs!$C$13),NA())</f>
        <v>-2021.4960668395622</v>
      </c>
      <c r="P175" s="9">
        <f>IF(OR(Inputs!$F$8=TRUE,Inputs!$F$8="TRUE",Inputs!$F$8=1),(-2*((1000*((((Inputs!$I$8+(((A175)+1)/2)*(Inputs!$J$8-Inputs!$I$8)))*Inputs!$C$11+((Inputs!$H$8+Inputs!$L$8*(((Inputs!$I$8+(((A175)+1)/2)*(Inputs!$J$8-Inputs!$I$8)))/Inputs!$K$8)^2))*((2*Inputs!$L$8*((Inputs!$I$8+(((A175)+1)/2)*(Inputs!$J$8-Inputs!$I$8)))/(Inputs!$K$8^2)*Inputs!$C$11)))/(SQRT(((Inputs!$I$8+(((A175)+1)/2)*(Inputs!$J$8-Inputs!$I$8)))^2+Inputs!$C$6^2+((Inputs!$H$8+Inputs!$L$8*(((Inputs!$I$8+(((A175)+1)/2)*(Inputs!$J$8-Inputs!$I$8)))/Inputs!$K$8)^2))^2)))))/Inputs!$C$13),NA())</f>
        <v>-2260.0435819836785</v>
      </c>
      <c r="Q175" s="9">
        <f>IF(OR(Inputs!$F$9=TRUE,Inputs!$F$9="TRUE",Inputs!$F$9=1),(-2*((1000*((((Inputs!$I$9+(((A175)+1)/2)*(Inputs!$J$9-Inputs!$I$9)))*Inputs!$C$11+((Inputs!$H$9+Inputs!$L$9*(((Inputs!$I$9+(((A175)+1)/2)*(Inputs!$J$9-Inputs!$I$9)))/Inputs!$K$9)^2))*((2*Inputs!$L$9*((Inputs!$I$9+(((A175)+1)/2)*(Inputs!$J$9-Inputs!$I$9)))/(Inputs!$K$9^2)*Inputs!$C$11)))/(SQRT(((Inputs!$I$9+(((A175)+1)/2)*(Inputs!$J$9-Inputs!$I$9)))^2+Inputs!$C$6^2+((Inputs!$H$9+Inputs!$L$9*(((Inputs!$I$9+(((A175)+1)/2)*(Inputs!$J$9-Inputs!$I$9)))/Inputs!$K$9)^2))^2)))))/Inputs!$C$13),NA())</f>
        <v>-2259.2120929206963</v>
      </c>
      <c r="R175" s="10"/>
      <c r="S175" s="9">
        <f t="shared" si="14"/>
        <v>0.442</v>
      </c>
      <c r="T175" s="9">
        <f>(Inputs!$I$6+(((A175)+1)/2)*(Inputs!$J$6-Inputs!$I$6))</f>
        <v>26.519999999999996</v>
      </c>
      <c r="U175" s="9">
        <f>(Inputs!$I$7+(((A175)+1)/2)*(Inputs!$J$7-Inputs!$I$7))</f>
        <v>176.79999999999995</v>
      </c>
      <c r="V175" s="9">
        <f>(Inputs!$I$8+(((A175)+1)/2)*(Inputs!$J$8-Inputs!$I$8))</f>
        <v>353.59999999999991</v>
      </c>
      <c r="W175" s="9">
        <f>(Inputs!$I$9+(((A175)+1)/2)*(Inputs!$J$9-Inputs!$I$9))</f>
        <v>353.59999999999991</v>
      </c>
      <c r="X175" s="10"/>
      <c r="Y175" s="9">
        <f t="shared" si="15"/>
        <v>0.442</v>
      </c>
      <c r="Z175" s="9">
        <f>(Inputs!$H$6+Inputs!$L$6*(((Inputs!$I$6+(((A175)+1)/2)*(Inputs!$J$6-Inputs!$I$6)))/Inputs!$K$6)^2)</f>
        <v>400.78145599999999</v>
      </c>
      <c r="AA175" s="9">
        <f>(Inputs!$H$7+Inputs!$L$7*(((Inputs!$I$7+(((A175)+1)/2)*(Inputs!$J$7-Inputs!$I$7)))/Inputs!$K$7)^2)</f>
        <v>106.30785999999996</v>
      </c>
      <c r="AB175" s="9">
        <f>(Inputs!$H$8+Inputs!$L$8*(((Inputs!$I$8+(((A175)+1)/2)*(Inputs!$J$8-Inputs!$I$8)))/Inputs!$K$8)^2)</f>
        <v>223.52625999999989</v>
      </c>
      <c r="AC175" s="9">
        <f>(Inputs!$H$9+Inputs!$L$9*(((Inputs!$I$9+(((A175)+1)/2)*(Inputs!$J$9-Inputs!$I$9)))/Inputs!$K$9)^2)</f>
        <v>215.4798999999999</v>
      </c>
      <c r="AD175" s="10"/>
      <c r="AE175" s="9">
        <f t="shared" si="16"/>
        <v>0.442</v>
      </c>
      <c r="AF175" s="9">
        <f>(((SQRT(((Inputs!$I$6+(((A175)+1)/2)*(Inputs!$J$6-Inputs!$I$6)))^2+Inputs!$C$6^2+((Inputs!$H$6+Inputs!$L$6*(((Inputs!$I$6+(((A175)+1)/2)*(Inputs!$J$6-Inputs!$I$6)))/Inputs!$K$6)^2))^2))-((Inputs!$H$6+Inputs!$L$6*(((Inputs!$I$6+(((A175)+1)/2)*(Inputs!$J$6-Inputs!$I$6)))/Inputs!$K$6)^2)))*1000/Inputs!$C$12)</f>
        <v>929.0666436899993</v>
      </c>
      <c r="AG175" s="9">
        <f>(((SQRT(((Inputs!$I$7+(((A175)+1)/2)*(Inputs!$J$7-Inputs!$I$7)))^2+Inputs!$C$6^2+((Inputs!$H$7+Inputs!$L$7*(((Inputs!$I$7+(((A175)+1)/2)*(Inputs!$J$7-Inputs!$I$7)))/Inputs!$K$7)^2))^2))-((Inputs!$H$7+Inputs!$L$7*(((Inputs!$I$7+(((A175)+1)/2)*(Inputs!$J$7-Inputs!$I$7)))/Inputs!$K$7)^2)))*1000/Inputs!$C$12)</f>
        <v>57023.1402275906</v>
      </c>
      <c r="AH175" s="9">
        <f>(((SQRT(((Inputs!$I$8+(((A175)+1)/2)*(Inputs!$J$8-Inputs!$I$8)))^2+Inputs!$C$6^2+((Inputs!$H$8+Inputs!$L$8*(((Inputs!$I$8+(((A175)+1)/2)*(Inputs!$J$8-Inputs!$I$8)))/Inputs!$K$8)^2))^2))-((Inputs!$H$8+Inputs!$L$8*(((Inputs!$I$8+(((A175)+1)/2)*(Inputs!$J$8-Inputs!$I$8)))/Inputs!$K$8)^2)))*1000/Inputs!$C$12)</f>
        <v>109857.56465410536</v>
      </c>
      <c r="AI175" s="9">
        <f>(((SQRT(((Inputs!$I$9+(((A175)+1)/2)*(Inputs!$J$9-Inputs!$I$9)))^2+Inputs!$C$6^2+((Inputs!$H$9+Inputs!$L$9*(((Inputs!$I$9+(((A175)+1)/2)*(Inputs!$J$9-Inputs!$I$9)))/Inputs!$K$9)^2))^2))-((Inputs!$H$9+Inputs!$L$9*(((Inputs!$I$9+(((A175)+1)/2)*(Inputs!$J$9-Inputs!$I$9)))/Inputs!$K$9)^2)))*1000/Inputs!$C$12)</f>
        <v>111998.2426293427</v>
      </c>
      <c r="AJ175" s="10"/>
      <c r="AK175" s="9">
        <f t="shared" si="17"/>
        <v>0.442</v>
      </c>
      <c r="AL175" s="9">
        <f>(-2*((1000*((((Inputs!$I$6+(((A175)+1)/2)*(Inputs!$J$6-Inputs!$I$6)))*Inputs!$C$11+((Inputs!$H$6+Inputs!$L$6*(((Inputs!$I$6+(((A175)+1)/2)*(Inputs!$J$6-Inputs!$I$6)))/Inputs!$K$6)^2))*((2*Inputs!$L$6*((Inputs!$I$6+(((A175)+1)/2)*(Inputs!$J$6-Inputs!$I$6)))/(Inputs!$K$6^2)*Inputs!$C$11)))/(SQRT(((Inputs!$I$6+(((A175)+1)/2)*(Inputs!$J$6-Inputs!$I$6)))^2+Inputs!$C$6^2+((Inputs!$H$6+Inputs!$L$6*(((Inputs!$I$6+(((A175)+1)/2)*(Inputs!$J$6-Inputs!$I$6)))/Inputs!$K$6)^2))^2)))))/Inputs!$C$13)</f>
        <v>-199.34394530037937</v>
      </c>
      <c r="AM175" s="9">
        <f>(-2*((1000*((((Inputs!$I$7+(((A175)+1)/2)*(Inputs!$J$7-Inputs!$I$7)))*Inputs!$C$11+((Inputs!$H$7+Inputs!$L$7*(((Inputs!$I$7+(((A175)+1)/2)*(Inputs!$J$7-Inputs!$I$7)))/Inputs!$K$7)^2))*((2*Inputs!$L$7*((Inputs!$I$7+(((A175)+1)/2)*(Inputs!$J$7-Inputs!$I$7)))/(Inputs!$K$7^2)*Inputs!$C$11)))/(SQRT(((Inputs!$I$7+(((A175)+1)/2)*(Inputs!$J$7-Inputs!$I$7)))^2+Inputs!$C$6^2+((Inputs!$H$7+Inputs!$L$7*(((Inputs!$I$7+(((A175)+1)/2)*(Inputs!$J$7-Inputs!$I$7)))/Inputs!$K$7)^2))^2)))))/Inputs!$C$13)</f>
        <v>-2021.4960668395622</v>
      </c>
      <c r="AN175" s="9">
        <f>(-2*((1000*((((Inputs!$I$8+(((A175)+1)/2)*(Inputs!$J$8-Inputs!$I$8)))*Inputs!$C$11+((Inputs!$H$8+Inputs!$L$8*(((Inputs!$I$8+(((A175)+1)/2)*(Inputs!$J$8-Inputs!$I$8)))/Inputs!$K$8)^2))*((2*Inputs!$L$8*((Inputs!$I$8+(((A175)+1)/2)*(Inputs!$J$8-Inputs!$I$8)))/(Inputs!$K$8^2)*Inputs!$C$11)))/(SQRT(((Inputs!$I$8+(((A175)+1)/2)*(Inputs!$J$8-Inputs!$I$8)))^2+Inputs!$C$6^2+((Inputs!$H$8+Inputs!$L$8*(((Inputs!$I$8+(((A175)+1)/2)*(Inputs!$J$8-Inputs!$I$8)))/Inputs!$K$8)^2))^2)))))/Inputs!$C$13)</f>
        <v>-2260.0435819836785</v>
      </c>
      <c r="AO175" s="9">
        <f>(-2*((1000*((((Inputs!$I$9+(((A175)+1)/2)*(Inputs!$J$9-Inputs!$I$9)))*Inputs!$C$11+((Inputs!$H$9+Inputs!$L$9*(((Inputs!$I$9+(((A175)+1)/2)*(Inputs!$J$9-Inputs!$I$9)))/Inputs!$K$9)^2))*((2*Inputs!$L$9*((Inputs!$I$9+(((A175)+1)/2)*(Inputs!$J$9-Inputs!$I$9)))/(Inputs!$K$9^2)*Inputs!$C$11)))/(SQRT(((Inputs!$I$9+(((A175)+1)/2)*(Inputs!$J$9-Inputs!$I$9)))^2+Inputs!$C$6^2+((Inputs!$H$9+Inputs!$L$9*(((Inputs!$I$9+(((A175)+1)/2)*(Inputs!$J$9-Inputs!$I$9)))/Inputs!$K$9)^2))^2)))))/Inputs!$C$13)</f>
        <v>-2259.2120929206963</v>
      </c>
    </row>
    <row r="176" spans="1:41">
      <c r="A176" s="9">
        <f>ROUND(-1+174*2/240,3)</f>
        <v>0.45</v>
      </c>
      <c r="B176" s="9">
        <f>IF(OR(Inputs!$F$6=TRUE,Inputs!$F$6="TRUE",Inputs!$F$6=1),(Inputs!$H$6+Inputs!$L$6*(((Inputs!$I$6+(((A176)+1)/2)*(Inputs!$J$6-Inputs!$I$6)))/Inputs!$K$6)^2),NA())</f>
        <v>400.81</v>
      </c>
      <c r="C176" s="9">
        <f>IF(OR(Inputs!$F$7=TRUE,Inputs!$F$7="TRUE",Inputs!$F$7=1),(Inputs!$H$7+Inputs!$L$7*(((Inputs!$I$7+(((A176)+1)/2)*(Inputs!$J$7-Inputs!$I$7)))/Inputs!$K$7)^2),NA())</f>
        <v>108.91250000000001</v>
      </c>
      <c r="D176" s="9">
        <f>IF(OR(Inputs!$F$8=TRUE,Inputs!$F$8="TRUE",Inputs!$F$8=1),(Inputs!$H$8+Inputs!$L$8*(((Inputs!$I$8+(((A176)+1)/2)*(Inputs!$J$8-Inputs!$I$8)))/Inputs!$K$8)^2),NA())</f>
        <v>230.41250000000002</v>
      </c>
      <c r="E176" s="9">
        <f>IF(OR(Inputs!$F$9=TRUE,Inputs!$F$9="TRUE",Inputs!$F$9=1),(Inputs!$H$9+Inputs!$L$9*(((Inputs!$I$9+(((A176)+1)/2)*(Inputs!$J$9-Inputs!$I$9)))/Inputs!$K$9)^2),NA())</f>
        <v>222.4375</v>
      </c>
      <c r="F176" s="10"/>
      <c r="G176" s="9">
        <f t="shared" si="12"/>
        <v>0.45</v>
      </c>
      <c r="H176" s="9">
        <f>IF(OR(Inputs!$F$6=TRUE,Inputs!$F$6="TRUE",Inputs!$F$6=1),(((SQRT(((Inputs!$I$6+(((A176)+1)/2)*(Inputs!$J$6-Inputs!$I$6)))^2+Inputs!$C$6^2+((Inputs!$H$6+Inputs!$L$6*(((Inputs!$I$6+(((A176)+1)/2)*(Inputs!$J$6-Inputs!$I$6)))/Inputs!$K$6)^2))^2))-((Inputs!$H$6+Inputs!$L$6*(((Inputs!$I$6+(((A176)+1)/2)*(Inputs!$J$6-Inputs!$I$6)))/Inputs!$K$6)^2)))*1000/Inputs!$C$12),NA())</f>
        <v>946.93005797213948</v>
      </c>
      <c r="I176" s="9">
        <f>IF(OR(Inputs!$F$7=TRUE,Inputs!$F$7="TRUE",Inputs!$F$7=1),(((SQRT(((Inputs!$I$7+(((A176)+1)/2)*(Inputs!$J$7-Inputs!$I$7)))^2+Inputs!$C$6^2+((Inputs!$H$7+Inputs!$L$7*(((Inputs!$I$7+(((A176)+1)/2)*(Inputs!$J$7-Inputs!$I$7)))/Inputs!$K$7)^2))^2))-((Inputs!$H$7+Inputs!$L$7*(((Inputs!$I$7+(((A176)+1)/2)*(Inputs!$J$7-Inputs!$I$7)))/Inputs!$K$7)^2)))*1000/Inputs!$C$12),NA())</f>
        <v>57838.687896862953</v>
      </c>
      <c r="J176" s="9">
        <f>IF(OR(Inputs!$F$8=TRUE,Inputs!$F$8="TRUE",Inputs!$F$8=1),(((SQRT(((Inputs!$I$8+(((A176)+1)/2)*(Inputs!$J$8-Inputs!$I$8)))^2+Inputs!$C$6^2+((Inputs!$H$8+Inputs!$L$8*(((Inputs!$I$8+(((A176)+1)/2)*(Inputs!$J$8-Inputs!$I$8)))/Inputs!$K$8)^2))^2))-((Inputs!$H$8+Inputs!$L$8*(((Inputs!$I$8+(((A176)+1)/2)*(Inputs!$J$8-Inputs!$I$8)))/Inputs!$K$8)^2)))*1000/Inputs!$C$12),NA())</f>
        <v>111090.12179244011</v>
      </c>
      <c r="K176" s="9">
        <f>IF(OR(Inputs!$F$9=TRUE,Inputs!$F$9="TRUE",Inputs!$F$9=1),(((SQRT(((Inputs!$I$9+(((A176)+1)/2)*(Inputs!$J$9-Inputs!$I$9)))^2+Inputs!$C$6^2+((Inputs!$H$9+Inputs!$L$9*(((Inputs!$I$9+(((A176)+1)/2)*(Inputs!$J$9-Inputs!$I$9)))/Inputs!$K$9)^2))^2))-((Inputs!$H$9+Inputs!$L$9*(((Inputs!$I$9+(((A176)+1)/2)*(Inputs!$J$9-Inputs!$I$9)))/Inputs!$K$9)^2)))*1000/Inputs!$C$12),NA())</f>
        <v>113189.2848231855</v>
      </c>
      <c r="L176" s="10"/>
      <c r="M176" s="9">
        <f t="shared" si="13"/>
        <v>0.45</v>
      </c>
      <c r="N176" s="9">
        <f>IF(OR(Inputs!$F$6=TRUE,Inputs!$F$6="TRUE",Inputs!$F$6=1),(-2*((1000*((((Inputs!$I$6+(((A176)+1)/2)*(Inputs!$J$6-Inputs!$I$6)))*Inputs!$C$11+((Inputs!$H$6+Inputs!$L$6*(((Inputs!$I$6+(((A176)+1)/2)*(Inputs!$J$6-Inputs!$I$6)))/Inputs!$K$6)^2))*((2*Inputs!$L$6*((Inputs!$I$6+(((A176)+1)/2)*(Inputs!$J$6-Inputs!$I$6)))/(Inputs!$K$6^2)*Inputs!$C$11)))/(SQRT(((Inputs!$I$6+(((A176)+1)/2)*(Inputs!$J$6-Inputs!$I$6)))^2+Inputs!$C$6^2+((Inputs!$H$6+Inputs!$L$6*(((Inputs!$I$6+(((A176)+1)/2)*(Inputs!$J$6-Inputs!$I$6)))/Inputs!$K$6)^2))^2)))))/Inputs!$C$13),NA())</f>
        <v>-202.92836266590729</v>
      </c>
      <c r="O176" s="9">
        <f>IF(OR(Inputs!$F$7=TRUE,Inputs!$F$7="TRUE",Inputs!$F$7=1),(-2*((1000*((((Inputs!$I$7+(((A176)+1)/2)*(Inputs!$J$7-Inputs!$I$7)))*Inputs!$C$11+((Inputs!$H$7+Inputs!$L$7*(((Inputs!$I$7+(((A176)+1)/2)*(Inputs!$J$7-Inputs!$I$7)))/Inputs!$K$7)^2))*((2*Inputs!$L$7*((Inputs!$I$7+(((A176)+1)/2)*(Inputs!$J$7-Inputs!$I$7)))/(Inputs!$K$7^2)*Inputs!$C$11)))/(SQRT(((Inputs!$I$7+(((A176)+1)/2)*(Inputs!$J$7-Inputs!$I$7)))^2+Inputs!$C$6^2+((Inputs!$H$7+Inputs!$L$7*(((Inputs!$I$7+(((A176)+1)/2)*(Inputs!$J$7-Inputs!$I$7)))/Inputs!$K$7)^2))^2)))))/Inputs!$C$13),NA())</f>
        <v>-2034.8348400697937</v>
      </c>
      <c r="P176" s="9">
        <f>IF(OR(Inputs!$F$8=TRUE,Inputs!$F$8="TRUE",Inputs!$F$8=1),(-2*((1000*((((Inputs!$I$8+(((A176)+1)/2)*(Inputs!$J$8-Inputs!$I$8)))*Inputs!$C$11+((Inputs!$H$8+Inputs!$L$8*(((Inputs!$I$8+(((A176)+1)/2)*(Inputs!$J$8-Inputs!$I$8)))/Inputs!$K$8)^2))*((2*Inputs!$L$8*((Inputs!$I$8+(((A176)+1)/2)*(Inputs!$J$8-Inputs!$I$8)))/(Inputs!$K$8^2)*Inputs!$C$11)))/(SQRT(((Inputs!$I$8+(((A176)+1)/2)*(Inputs!$J$8-Inputs!$I$8)))^2+Inputs!$C$6^2+((Inputs!$H$8+Inputs!$L$8*(((Inputs!$I$8+(((A176)+1)/2)*(Inputs!$J$8-Inputs!$I$8)))/Inputs!$K$8)^2))^2)))))/Inputs!$C$13),NA())</f>
        <v>-2280.0884315301291</v>
      </c>
      <c r="Q176" s="9">
        <f>IF(OR(Inputs!$F$9=TRUE,Inputs!$F$9="TRUE",Inputs!$F$9=1),(-2*((1000*((((Inputs!$I$9+(((A176)+1)/2)*(Inputs!$J$9-Inputs!$I$9)))*Inputs!$C$11+((Inputs!$H$9+Inputs!$L$9*(((Inputs!$I$9+(((A176)+1)/2)*(Inputs!$J$9-Inputs!$I$9)))/Inputs!$K$9)^2))*((2*Inputs!$L$9*((Inputs!$I$9+(((A176)+1)/2)*(Inputs!$J$9-Inputs!$I$9)))/(Inputs!$K$9^2)*Inputs!$C$11)))/(SQRT(((Inputs!$I$9+(((A176)+1)/2)*(Inputs!$J$9-Inputs!$I$9)))^2+Inputs!$C$6^2+((Inputs!$H$9+Inputs!$L$9*(((Inputs!$I$9+(((A176)+1)/2)*(Inputs!$J$9-Inputs!$I$9)))/Inputs!$K$9)^2))^2)))))/Inputs!$C$13),NA())</f>
        <v>-2279.6530407623495</v>
      </c>
      <c r="R176" s="10"/>
      <c r="S176" s="9">
        <f t="shared" si="14"/>
        <v>0.45</v>
      </c>
      <c r="T176" s="9">
        <f>(Inputs!$I$6+(((A176)+1)/2)*(Inputs!$J$6-Inputs!$I$6))</f>
        <v>27</v>
      </c>
      <c r="U176" s="9">
        <f>(Inputs!$I$7+(((A176)+1)/2)*(Inputs!$J$7-Inputs!$I$7))</f>
        <v>180</v>
      </c>
      <c r="V176" s="9">
        <f>(Inputs!$I$8+(((A176)+1)/2)*(Inputs!$J$8-Inputs!$I$8))</f>
        <v>360</v>
      </c>
      <c r="W176" s="9">
        <f>(Inputs!$I$9+(((A176)+1)/2)*(Inputs!$J$9-Inputs!$I$9))</f>
        <v>360</v>
      </c>
      <c r="X176" s="10"/>
      <c r="Y176" s="9">
        <f t="shared" si="15"/>
        <v>0.45</v>
      </c>
      <c r="Z176" s="9">
        <f>(Inputs!$H$6+Inputs!$L$6*(((Inputs!$I$6+(((A176)+1)/2)*(Inputs!$J$6-Inputs!$I$6)))/Inputs!$K$6)^2)</f>
        <v>400.81</v>
      </c>
      <c r="AA176" s="9">
        <f>(Inputs!$H$7+Inputs!$L$7*(((Inputs!$I$7+(((A176)+1)/2)*(Inputs!$J$7-Inputs!$I$7)))/Inputs!$K$7)^2)</f>
        <v>108.91250000000001</v>
      </c>
      <c r="AB176" s="9">
        <f>(Inputs!$H$8+Inputs!$L$8*(((Inputs!$I$8+(((A176)+1)/2)*(Inputs!$J$8-Inputs!$I$8)))/Inputs!$K$8)^2)</f>
        <v>230.41250000000002</v>
      </c>
      <c r="AC176" s="9">
        <f>(Inputs!$H$9+Inputs!$L$9*(((Inputs!$I$9+(((A176)+1)/2)*(Inputs!$J$9-Inputs!$I$9)))/Inputs!$K$9)^2)</f>
        <v>222.4375</v>
      </c>
      <c r="AD176" s="10"/>
      <c r="AE176" s="9">
        <f t="shared" si="16"/>
        <v>0.45</v>
      </c>
      <c r="AF176" s="9">
        <f>(((SQRT(((Inputs!$I$6+(((A176)+1)/2)*(Inputs!$J$6-Inputs!$I$6)))^2+Inputs!$C$6^2+((Inputs!$H$6+Inputs!$L$6*(((Inputs!$I$6+(((A176)+1)/2)*(Inputs!$J$6-Inputs!$I$6)))/Inputs!$K$6)^2))^2))-((Inputs!$H$6+Inputs!$L$6*(((Inputs!$I$6+(((A176)+1)/2)*(Inputs!$J$6-Inputs!$I$6)))/Inputs!$K$6)^2)))*1000/Inputs!$C$12)</f>
        <v>946.93005797213948</v>
      </c>
      <c r="AG176" s="9">
        <f>(((SQRT(((Inputs!$I$7+(((A176)+1)/2)*(Inputs!$J$7-Inputs!$I$7)))^2+Inputs!$C$6^2+((Inputs!$H$7+Inputs!$L$7*(((Inputs!$I$7+(((A176)+1)/2)*(Inputs!$J$7-Inputs!$I$7)))/Inputs!$K$7)^2))^2))-((Inputs!$H$7+Inputs!$L$7*(((Inputs!$I$7+(((A176)+1)/2)*(Inputs!$J$7-Inputs!$I$7)))/Inputs!$K$7)^2)))*1000/Inputs!$C$12)</f>
        <v>57838.687896862953</v>
      </c>
      <c r="AH176" s="9">
        <f>(((SQRT(((Inputs!$I$8+(((A176)+1)/2)*(Inputs!$J$8-Inputs!$I$8)))^2+Inputs!$C$6^2+((Inputs!$H$8+Inputs!$L$8*(((Inputs!$I$8+(((A176)+1)/2)*(Inputs!$J$8-Inputs!$I$8)))/Inputs!$K$8)^2))^2))-((Inputs!$H$8+Inputs!$L$8*(((Inputs!$I$8+(((A176)+1)/2)*(Inputs!$J$8-Inputs!$I$8)))/Inputs!$K$8)^2)))*1000/Inputs!$C$12)</f>
        <v>111090.12179244011</v>
      </c>
      <c r="AI176" s="9">
        <f>(((SQRT(((Inputs!$I$9+(((A176)+1)/2)*(Inputs!$J$9-Inputs!$I$9)))^2+Inputs!$C$6^2+((Inputs!$H$9+Inputs!$L$9*(((Inputs!$I$9+(((A176)+1)/2)*(Inputs!$J$9-Inputs!$I$9)))/Inputs!$K$9)^2))^2))-((Inputs!$H$9+Inputs!$L$9*(((Inputs!$I$9+(((A176)+1)/2)*(Inputs!$J$9-Inputs!$I$9)))/Inputs!$K$9)^2)))*1000/Inputs!$C$12)</f>
        <v>113189.2848231855</v>
      </c>
      <c r="AJ176" s="10"/>
      <c r="AK176" s="9">
        <f t="shared" si="17"/>
        <v>0.45</v>
      </c>
      <c r="AL176" s="9">
        <f>(-2*((1000*((((Inputs!$I$6+(((A176)+1)/2)*(Inputs!$J$6-Inputs!$I$6)))*Inputs!$C$11+((Inputs!$H$6+Inputs!$L$6*(((Inputs!$I$6+(((A176)+1)/2)*(Inputs!$J$6-Inputs!$I$6)))/Inputs!$K$6)^2))*((2*Inputs!$L$6*((Inputs!$I$6+(((A176)+1)/2)*(Inputs!$J$6-Inputs!$I$6)))/(Inputs!$K$6^2)*Inputs!$C$11)))/(SQRT(((Inputs!$I$6+(((A176)+1)/2)*(Inputs!$J$6-Inputs!$I$6)))^2+Inputs!$C$6^2+((Inputs!$H$6+Inputs!$L$6*(((Inputs!$I$6+(((A176)+1)/2)*(Inputs!$J$6-Inputs!$I$6)))/Inputs!$K$6)^2))^2)))))/Inputs!$C$13)</f>
        <v>-202.92836266590729</v>
      </c>
      <c r="AM176" s="9">
        <f>(-2*((1000*((((Inputs!$I$7+(((A176)+1)/2)*(Inputs!$J$7-Inputs!$I$7)))*Inputs!$C$11+((Inputs!$H$7+Inputs!$L$7*(((Inputs!$I$7+(((A176)+1)/2)*(Inputs!$J$7-Inputs!$I$7)))/Inputs!$K$7)^2))*((2*Inputs!$L$7*((Inputs!$I$7+(((A176)+1)/2)*(Inputs!$J$7-Inputs!$I$7)))/(Inputs!$K$7^2)*Inputs!$C$11)))/(SQRT(((Inputs!$I$7+(((A176)+1)/2)*(Inputs!$J$7-Inputs!$I$7)))^2+Inputs!$C$6^2+((Inputs!$H$7+Inputs!$L$7*(((Inputs!$I$7+(((A176)+1)/2)*(Inputs!$J$7-Inputs!$I$7)))/Inputs!$K$7)^2))^2)))))/Inputs!$C$13)</f>
        <v>-2034.8348400697937</v>
      </c>
      <c r="AN176" s="9">
        <f>(-2*((1000*((((Inputs!$I$8+(((A176)+1)/2)*(Inputs!$J$8-Inputs!$I$8)))*Inputs!$C$11+((Inputs!$H$8+Inputs!$L$8*(((Inputs!$I$8+(((A176)+1)/2)*(Inputs!$J$8-Inputs!$I$8)))/Inputs!$K$8)^2))*((2*Inputs!$L$8*((Inputs!$I$8+(((A176)+1)/2)*(Inputs!$J$8-Inputs!$I$8)))/(Inputs!$K$8^2)*Inputs!$C$11)))/(SQRT(((Inputs!$I$8+(((A176)+1)/2)*(Inputs!$J$8-Inputs!$I$8)))^2+Inputs!$C$6^2+((Inputs!$H$8+Inputs!$L$8*(((Inputs!$I$8+(((A176)+1)/2)*(Inputs!$J$8-Inputs!$I$8)))/Inputs!$K$8)^2))^2)))))/Inputs!$C$13)</f>
        <v>-2280.0884315301291</v>
      </c>
      <c r="AO176" s="9">
        <f>(-2*((1000*((((Inputs!$I$9+(((A176)+1)/2)*(Inputs!$J$9-Inputs!$I$9)))*Inputs!$C$11+((Inputs!$H$9+Inputs!$L$9*(((Inputs!$I$9+(((A176)+1)/2)*(Inputs!$J$9-Inputs!$I$9)))/Inputs!$K$9)^2))*((2*Inputs!$L$9*((Inputs!$I$9+(((A176)+1)/2)*(Inputs!$J$9-Inputs!$I$9)))/(Inputs!$K$9^2)*Inputs!$C$11)))/(SQRT(((Inputs!$I$9+(((A176)+1)/2)*(Inputs!$J$9-Inputs!$I$9)))^2+Inputs!$C$6^2+((Inputs!$H$9+Inputs!$L$9*(((Inputs!$I$9+(((A176)+1)/2)*(Inputs!$J$9-Inputs!$I$9)))/Inputs!$K$9)^2))^2)))))/Inputs!$C$13)</f>
        <v>-2279.6530407623495</v>
      </c>
    </row>
    <row r="177" spans="1:41">
      <c r="A177" s="9">
        <f>ROUND(-1+175*2/240,3)</f>
        <v>0.45800000000000002</v>
      </c>
      <c r="B177" s="9">
        <f>IF(OR(Inputs!$F$6=TRUE,Inputs!$F$6="TRUE",Inputs!$F$6=1),(Inputs!$H$6+Inputs!$L$6*(((Inputs!$I$6+(((A177)+1)/2)*(Inputs!$J$6-Inputs!$I$6)))/Inputs!$K$6)^2),NA())</f>
        <v>400.83905600000003</v>
      </c>
      <c r="C177" s="9">
        <f>IF(OR(Inputs!$F$7=TRUE,Inputs!$F$7="TRUE",Inputs!$F$7=1),(Inputs!$H$7+Inputs!$L$7*(((Inputs!$I$7+(((A177)+1)/2)*(Inputs!$J$7-Inputs!$I$7)))/Inputs!$K$7)^2),NA())</f>
        <v>111.56385999999995</v>
      </c>
      <c r="D177" s="9">
        <f>IF(OR(Inputs!$F$8=TRUE,Inputs!$F$8="TRUE",Inputs!$F$8=1),(Inputs!$H$8+Inputs!$L$8*(((Inputs!$I$8+(((A177)+1)/2)*(Inputs!$J$8-Inputs!$I$8)))/Inputs!$K$8)^2),NA())</f>
        <v>237.42225999999988</v>
      </c>
      <c r="E177" s="9">
        <f>IF(OR(Inputs!$F$9=TRUE,Inputs!$F$9="TRUE",Inputs!$F$9=1),(Inputs!$H$9+Inputs!$L$9*(((Inputs!$I$9+(((A177)+1)/2)*(Inputs!$J$9-Inputs!$I$9)))/Inputs!$K$9)^2),NA())</f>
        <v>229.51989999999986</v>
      </c>
      <c r="F177" s="10"/>
      <c r="G177" s="9">
        <f t="shared" si="12"/>
        <v>0.45800000000000002</v>
      </c>
      <c r="H177" s="9">
        <f>IF(OR(Inputs!$F$6=TRUE,Inputs!$F$6="TRUE",Inputs!$F$6=1),(((SQRT(((Inputs!$I$6+(((A177)+1)/2)*(Inputs!$J$6-Inputs!$I$6)))^2+Inputs!$C$6^2+((Inputs!$H$6+Inputs!$L$6*(((Inputs!$I$6+(((A177)+1)/2)*(Inputs!$J$6-Inputs!$I$6)))/Inputs!$K$6)^2))^2))-((Inputs!$H$6+Inputs!$L$6*(((Inputs!$I$6+(((A177)+1)/2)*(Inputs!$J$6-Inputs!$I$6)))/Inputs!$K$6)^2)))*1000/Inputs!$C$12),NA())</f>
        <v>965.10984122816035</v>
      </c>
      <c r="I177" s="9">
        <f>IF(OR(Inputs!$F$7=TRUE,Inputs!$F$7="TRUE",Inputs!$F$7=1),(((SQRT(((Inputs!$I$7+(((A177)+1)/2)*(Inputs!$J$7-Inputs!$I$7)))^2+Inputs!$C$6^2+((Inputs!$H$7+Inputs!$L$7*(((Inputs!$I$7+(((A177)+1)/2)*(Inputs!$J$7-Inputs!$I$7)))/Inputs!$K$7)^2))^2))-((Inputs!$H$7+Inputs!$L$7*(((Inputs!$I$7+(((A177)+1)/2)*(Inputs!$J$7-Inputs!$I$7)))/Inputs!$K$7)^2)))*1000/Inputs!$C$12),NA())</f>
        <v>58643.030432177111</v>
      </c>
      <c r="J177" s="9">
        <f>IF(OR(Inputs!$F$8=TRUE,Inputs!$F$8="TRUE",Inputs!$F$8=1),(((SQRT(((Inputs!$I$8+(((A177)+1)/2)*(Inputs!$J$8-Inputs!$I$8)))^2+Inputs!$C$6^2+((Inputs!$H$8+Inputs!$L$8*(((Inputs!$I$8+(((A177)+1)/2)*(Inputs!$J$8-Inputs!$I$8)))/Inputs!$K$8)^2))^2))-((Inputs!$H$8+Inputs!$L$8*(((Inputs!$I$8+(((A177)+1)/2)*(Inputs!$J$8-Inputs!$I$8)))/Inputs!$K$8)^2)))*1000/Inputs!$C$12),NA())</f>
        <v>112298.57293303522</v>
      </c>
      <c r="K177" s="9">
        <f>IF(OR(Inputs!$F$9=TRUE,Inputs!$F$9="TRUE",Inputs!$F$9=1),(((SQRT(((Inputs!$I$9+(((A177)+1)/2)*(Inputs!$J$9-Inputs!$I$9)))^2+Inputs!$C$6^2+((Inputs!$H$9+Inputs!$L$9*(((Inputs!$I$9+(((A177)+1)/2)*(Inputs!$J$9-Inputs!$I$9)))/Inputs!$K$9)^2))^2))-((Inputs!$H$9+Inputs!$L$9*(((Inputs!$I$9+(((A177)+1)/2)*(Inputs!$J$9-Inputs!$I$9)))/Inputs!$K$9)^2)))*1000/Inputs!$C$12),NA())</f>
        <v>114356.40136514754</v>
      </c>
      <c r="L177" s="10"/>
      <c r="M177" s="9">
        <f t="shared" si="13"/>
        <v>0.45800000000000002</v>
      </c>
      <c r="N177" s="9">
        <f>IF(OR(Inputs!$F$6=TRUE,Inputs!$F$6="TRUE",Inputs!$F$6=1),(-2*((1000*((((Inputs!$I$6+(((A177)+1)/2)*(Inputs!$J$6-Inputs!$I$6)))*Inputs!$C$11+((Inputs!$H$6+Inputs!$L$6*(((Inputs!$I$6+(((A177)+1)/2)*(Inputs!$J$6-Inputs!$I$6)))/Inputs!$K$6)^2))*((2*Inputs!$L$6*((Inputs!$I$6+(((A177)+1)/2)*(Inputs!$J$6-Inputs!$I$6)))/(Inputs!$K$6^2)*Inputs!$C$11)))/(SQRT(((Inputs!$I$6+(((A177)+1)/2)*(Inputs!$J$6-Inputs!$I$6)))^2+Inputs!$C$6^2+((Inputs!$H$6+Inputs!$L$6*(((Inputs!$I$6+(((A177)+1)/2)*(Inputs!$J$6-Inputs!$I$6)))/Inputs!$K$6)^2))^2)))))/Inputs!$C$13),NA())</f>
        <v>-206.51152021649514</v>
      </c>
      <c r="O177" s="9">
        <f>IF(OR(Inputs!$F$7=TRUE,Inputs!$F$7="TRUE",Inputs!$F$7=1),(-2*((1000*((((Inputs!$I$7+(((A177)+1)/2)*(Inputs!$J$7-Inputs!$I$7)))*Inputs!$C$11+((Inputs!$H$7+Inputs!$L$7*(((Inputs!$I$7+(((A177)+1)/2)*(Inputs!$J$7-Inputs!$I$7)))/Inputs!$K$7)^2))*((2*Inputs!$L$7*((Inputs!$I$7+(((A177)+1)/2)*(Inputs!$J$7-Inputs!$I$7)))/(Inputs!$K$7^2)*Inputs!$C$11)))/(SQRT(((Inputs!$I$7+(((A177)+1)/2)*(Inputs!$J$7-Inputs!$I$7)))^2+Inputs!$C$6^2+((Inputs!$H$7+Inputs!$L$7*(((Inputs!$I$7+(((A177)+1)/2)*(Inputs!$J$7-Inputs!$I$7)))/Inputs!$K$7)^2))^2)))))/Inputs!$C$13),NA())</f>
        <v>-2048.2714058368679</v>
      </c>
      <c r="P177" s="9">
        <f>IF(OR(Inputs!$F$8=TRUE,Inputs!$F$8="TRUE",Inputs!$F$8=1),(-2*((1000*((((Inputs!$I$8+(((A177)+1)/2)*(Inputs!$J$8-Inputs!$I$8)))*Inputs!$C$11+((Inputs!$H$8+Inputs!$L$8*(((Inputs!$I$8+(((A177)+1)/2)*(Inputs!$J$8-Inputs!$I$8)))/Inputs!$K$8)^2))*((2*Inputs!$L$8*((Inputs!$I$8+(((A177)+1)/2)*(Inputs!$J$8-Inputs!$I$8)))/(Inputs!$K$8^2)*Inputs!$C$11)))/(SQRT(((Inputs!$I$8+(((A177)+1)/2)*(Inputs!$J$8-Inputs!$I$8)))^2+Inputs!$C$6^2+((Inputs!$H$8+Inputs!$L$8*(((Inputs!$I$8+(((A177)+1)/2)*(Inputs!$J$8-Inputs!$I$8)))/Inputs!$K$8)^2))^2)))))/Inputs!$C$13),NA())</f>
        <v>-2300.3487414504534</v>
      </c>
      <c r="Q177" s="9">
        <f>IF(OR(Inputs!$F$9=TRUE,Inputs!$F$9="TRUE",Inputs!$F$9=1),(-2*((1000*((((Inputs!$I$9+(((A177)+1)/2)*(Inputs!$J$9-Inputs!$I$9)))*Inputs!$C$11+((Inputs!$H$9+Inputs!$L$9*(((Inputs!$I$9+(((A177)+1)/2)*(Inputs!$J$9-Inputs!$I$9)))/Inputs!$K$9)^2))*((2*Inputs!$L$9*((Inputs!$I$9+(((A177)+1)/2)*(Inputs!$J$9-Inputs!$I$9)))/(Inputs!$K$9^2)*Inputs!$C$11)))/(SQRT(((Inputs!$I$9+(((A177)+1)/2)*(Inputs!$J$9-Inputs!$I$9)))^2+Inputs!$C$6^2+((Inputs!$H$9+Inputs!$L$9*(((Inputs!$I$9+(((A177)+1)/2)*(Inputs!$J$9-Inputs!$I$9)))/Inputs!$K$9)^2))^2)))))/Inputs!$C$13),NA())</f>
        <v>-2300.3176549447867</v>
      </c>
      <c r="R177" s="10"/>
      <c r="S177" s="9">
        <f t="shared" si="14"/>
        <v>0.45800000000000002</v>
      </c>
      <c r="T177" s="9">
        <f>(Inputs!$I$6+(((A177)+1)/2)*(Inputs!$J$6-Inputs!$I$6))</f>
        <v>27.480000000000004</v>
      </c>
      <c r="U177" s="9">
        <f>(Inputs!$I$7+(((A177)+1)/2)*(Inputs!$J$7-Inputs!$I$7))</f>
        <v>183.19999999999993</v>
      </c>
      <c r="V177" s="9">
        <f>(Inputs!$I$8+(((A177)+1)/2)*(Inputs!$J$8-Inputs!$I$8))</f>
        <v>366.39999999999986</v>
      </c>
      <c r="W177" s="9">
        <f>(Inputs!$I$9+(((A177)+1)/2)*(Inputs!$J$9-Inputs!$I$9))</f>
        <v>366.39999999999986</v>
      </c>
      <c r="X177" s="10"/>
      <c r="Y177" s="9">
        <f t="shared" si="15"/>
        <v>0.45800000000000002</v>
      </c>
      <c r="Z177" s="9">
        <f>(Inputs!$H$6+Inputs!$L$6*(((Inputs!$I$6+(((A177)+1)/2)*(Inputs!$J$6-Inputs!$I$6)))/Inputs!$K$6)^2)</f>
        <v>400.83905600000003</v>
      </c>
      <c r="AA177" s="9">
        <f>(Inputs!$H$7+Inputs!$L$7*(((Inputs!$I$7+(((A177)+1)/2)*(Inputs!$J$7-Inputs!$I$7)))/Inputs!$K$7)^2)</f>
        <v>111.56385999999995</v>
      </c>
      <c r="AB177" s="9">
        <f>(Inputs!$H$8+Inputs!$L$8*(((Inputs!$I$8+(((A177)+1)/2)*(Inputs!$J$8-Inputs!$I$8)))/Inputs!$K$8)^2)</f>
        <v>237.42225999999988</v>
      </c>
      <c r="AC177" s="9">
        <f>(Inputs!$H$9+Inputs!$L$9*(((Inputs!$I$9+(((A177)+1)/2)*(Inputs!$J$9-Inputs!$I$9)))/Inputs!$K$9)^2)</f>
        <v>229.51989999999986</v>
      </c>
      <c r="AD177" s="10"/>
      <c r="AE177" s="9">
        <f t="shared" si="16"/>
        <v>0.45800000000000002</v>
      </c>
      <c r="AF177" s="9">
        <f>(((SQRT(((Inputs!$I$6+(((A177)+1)/2)*(Inputs!$J$6-Inputs!$I$6)))^2+Inputs!$C$6^2+((Inputs!$H$6+Inputs!$L$6*(((Inputs!$I$6+(((A177)+1)/2)*(Inputs!$J$6-Inputs!$I$6)))/Inputs!$K$6)^2))^2))-((Inputs!$H$6+Inputs!$L$6*(((Inputs!$I$6+(((A177)+1)/2)*(Inputs!$J$6-Inputs!$I$6)))/Inputs!$K$6)^2)))*1000/Inputs!$C$12)</f>
        <v>965.10984122816035</v>
      </c>
      <c r="AG177" s="9">
        <f>(((SQRT(((Inputs!$I$7+(((A177)+1)/2)*(Inputs!$J$7-Inputs!$I$7)))^2+Inputs!$C$6^2+((Inputs!$H$7+Inputs!$L$7*(((Inputs!$I$7+(((A177)+1)/2)*(Inputs!$J$7-Inputs!$I$7)))/Inputs!$K$7)^2))^2))-((Inputs!$H$7+Inputs!$L$7*(((Inputs!$I$7+(((A177)+1)/2)*(Inputs!$J$7-Inputs!$I$7)))/Inputs!$K$7)^2)))*1000/Inputs!$C$12)</f>
        <v>58643.030432177111</v>
      </c>
      <c r="AH177" s="9">
        <f>(((SQRT(((Inputs!$I$8+(((A177)+1)/2)*(Inputs!$J$8-Inputs!$I$8)))^2+Inputs!$C$6^2+((Inputs!$H$8+Inputs!$L$8*(((Inputs!$I$8+(((A177)+1)/2)*(Inputs!$J$8-Inputs!$I$8)))/Inputs!$K$8)^2))^2))-((Inputs!$H$8+Inputs!$L$8*(((Inputs!$I$8+(((A177)+1)/2)*(Inputs!$J$8-Inputs!$I$8)))/Inputs!$K$8)^2)))*1000/Inputs!$C$12)</f>
        <v>112298.57293303522</v>
      </c>
      <c r="AI177" s="9">
        <f>(((SQRT(((Inputs!$I$9+(((A177)+1)/2)*(Inputs!$J$9-Inputs!$I$9)))^2+Inputs!$C$6^2+((Inputs!$H$9+Inputs!$L$9*(((Inputs!$I$9+(((A177)+1)/2)*(Inputs!$J$9-Inputs!$I$9)))/Inputs!$K$9)^2))^2))-((Inputs!$H$9+Inputs!$L$9*(((Inputs!$I$9+(((A177)+1)/2)*(Inputs!$J$9-Inputs!$I$9)))/Inputs!$K$9)^2)))*1000/Inputs!$C$12)</f>
        <v>114356.40136514754</v>
      </c>
      <c r="AJ177" s="10"/>
      <c r="AK177" s="9">
        <f t="shared" si="17"/>
        <v>0.45800000000000002</v>
      </c>
      <c r="AL177" s="9">
        <f>(-2*((1000*((((Inputs!$I$6+(((A177)+1)/2)*(Inputs!$J$6-Inputs!$I$6)))*Inputs!$C$11+((Inputs!$H$6+Inputs!$L$6*(((Inputs!$I$6+(((A177)+1)/2)*(Inputs!$J$6-Inputs!$I$6)))/Inputs!$K$6)^2))*((2*Inputs!$L$6*((Inputs!$I$6+(((A177)+1)/2)*(Inputs!$J$6-Inputs!$I$6)))/(Inputs!$K$6^2)*Inputs!$C$11)))/(SQRT(((Inputs!$I$6+(((A177)+1)/2)*(Inputs!$J$6-Inputs!$I$6)))^2+Inputs!$C$6^2+((Inputs!$H$6+Inputs!$L$6*(((Inputs!$I$6+(((A177)+1)/2)*(Inputs!$J$6-Inputs!$I$6)))/Inputs!$K$6)^2))^2)))))/Inputs!$C$13)</f>
        <v>-206.51152021649514</v>
      </c>
      <c r="AM177" s="9">
        <f>(-2*((1000*((((Inputs!$I$7+(((A177)+1)/2)*(Inputs!$J$7-Inputs!$I$7)))*Inputs!$C$11+((Inputs!$H$7+Inputs!$L$7*(((Inputs!$I$7+(((A177)+1)/2)*(Inputs!$J$7-Inputs!$I$7)))/Inputs!$K$7)^2))*((2*Inputs!$L$7*((Inputs!$I$7+(((A177)+1)/2)*(Inputs!$J$7-Inputs!$I$7)))/(Inputs!$K$7^2)*Inputs!$C$11)))/(SQRT(((Inputs!$I$7+(((A177)+1)/2)*(Inputs!$J$7-Inputs!$I$7)))^2+Inputs!$C$6^2+((Inputs!$H$7+Inputs!$L$7*(((Inputs!$I$7+(((A177)+1)/2)*(Inputs!$J$7-Inputs!$I$7)))/Inputs!$K$7)^2))^2)))))/Inputs!$C$13)</f>
        <v>-2048.2714058368679</v>
      </c>
      <c r="AN177" s="9">
        <f>(-2*((1000*((((Inputs!$I$8+(((A177)+1)/2)*(Inputs!$J$8-Inputs!$I$8)))*Inputs!$C$11+((Inputs!$H$8+Inputs!$L$8*(((Inputs!$I$8+(((A177)+1)/2)*(Inputs!$J$8-Inputs!$I$8)))/Inputs!$K$8)^2))*((2*Inputs!$L$8*((Inputs!$I$8+(((A177)+1)/2)*(Inputs!$J$8-Inputs!$I$8)))/(Inputs!$K$8^2)*Inputs!$C$11)))/(SQRT(((Inputs!$I$8+(((A177)+1)/2)*(Inputs!$J$8-Inputs!$I$8)))^2+Inputs!$C$6^2+((Inputs!$H$8+Inputs!$L$8*(((Inputs!$I$8+(((A177)+1)/2)*(Inputs!$J$8-Inputs!$I$8)))/Inputs!$K$8)^2))^2)))))/Inputs!$C$13)</f>
        <v>-2300.3487414504534</v>
      </c>
      <c r="AO177" s="9">
        <f>(-2*((1000*((((Inputs!$I$9+(((A177)+1)/2)*(Inputs!$J$9-Inputs!$I$9)))*Inputs!$C$11+((Inputs!$H$9+Inputs!$L$9*(((Inputs!$I$9+(((A177)+1)/2)*(Inputs!$J$9-Inputs!$I$9)))/Inputs!$K$9)^2))*((2*Inputs!$L$9*((Inputs!$I$9+(((A177)+1)/2)*(Inputs!$J$9-Inputs!$I$9)))/(Inputs!$K$9^2)*Inputs!$C$11)))/(SQRT(((Inputs!$I$9+(((A177)+1)/2)*(Inputs!$J$9-Inputs!$I$9)))^2+Inputs!$C$6^2+((Inputs!$H$9+Inputs!$L$9*(((Inputs!$I$9+(((A177)+1)/2)*(Inputs!$J$9-Inputs!$I$9)))/Inputs!$K$9)^2))^2)))))/Inputs!$C$13)</f>
        <v>-2300.3176549447867</v>
      </c>
    </row>
    <row r="178" spans="1:41">
      <c r="A178" s="9">
        <f>ROUND(-1+176*2/240,3)</f>
        <v>0.46700000000000003</v>
      </c>
      <c r="B178" s="9">
        <f>IF(OR(Inputs!$F$6=TRUE,Inputs!$F$6="TRUE",Inputs!$F$6=1),(Inputs!$H$6+Inputs!$L$6*(((Inputs!$I$6+(((A178)+1)/2)*(Inputs!$J$6-Inputs!$I$6)))/Inputs!$K$6)^2),NA())</f>
        <v>400.87235600000002</v>
      </c>
      <c r="C178" s="9">
        <f>IF(OR(Inputs!$F$7=TRUE,Inputs!$F$7="TRUE",Inputs!$F$7=1),(Inputs!$H$7+Inputs!$L$7*(((Inputs!$I$7+(((A178)+1)/2)*(Inputs!$J$7-Inputs!$I$7)))/Inputs!$K$7)^2),NA())</f>
        <v>114.60248500000006</v>
      </c>
      <c r="D178" s="9">
        <f>IF(OR(Inputs!$F$8=TRUE,Inputs!$F$8="TRUE",Inputs!$F$8=1),(Inputs!$H$8+Inputs!$L$8*(((Inputs!$I$8+(((A178)+1)/2)*(Inputs!$J$8-Inputs!$I$8)))/Inputs!$K$8)^2),NA())</f>
        <v>245.45588500000017</v>
      </c>
      <c r="E178" s="9">
        <f>IF(OR(Inputs!$F$9=TRUE,Inputs!$F$9="TRUE",Inputs!$F$9=1),(Inputs!$H$9+Inputs!$L$9*(((Inputs!$I$9+(((A178)+1)/2)*(Inputs!$J$9-Inputs!$I$9)))/Inputs!$K$9)^2),NA())</f>
        <v>237.63677500000017</v>
      </c>
      <c r="F178" s="10"/>
      <c r="G178" s="9">
        <f t="shared" si="12"/>
        <v>0.46700000000000003</v>
      </c>
      <c r="H178" s="9">
        <f>IF(OR(Inputs!$F$6=TRUE,Inputs!$F$6="TRUE",Inputs!$F$6=1),(((SQRT(((Inputs!$I$6+(((A178)+1)/2)*(Inputs!$J$6-Inputs!$I$6)))^2+Inputs!$C$6^2+((Inputs!$H$6+Inputs!$L$6*(((Inputs!$I$6+(((A178)+1)/2)*(Inputs!$J$6-Inputs!$I$6)))/Inputs!$K$6)^2))^2))-((Inputs!$H$6+Inputs!$L$6*(((Inputs!$I$6+(((A178)+1)/2)*(Inputs!$J$6-Inputs!$I$6)))/Inputs!$K$6)^2)))*1000/Inputs!$C$12),NA())</f>
        <v>985.93999041798509</v>
      </c>
      <c r="I178" s="9">
        <f>IF(OR(Inputs!$F$7=TRUE,Inputs!$F$7="TRUE",Inputs!$F$7=1),(((SQRT(((Inputs!$I$7+(((A178)+1)/2)*(Inputs!$J$7-Inputs!$I$7)))^2+Inputs!$C$6^2+((Inputs!$H$7+Inputs!$L$7*(((Inputs!$I$7+(((A178)+1)/2)*(Inputs!$J$7-Inputs!$I$7)))/Inputs!$K$7)^2))^2))-((Inputs!$H$7+Inputs!$L$7*(((Inputs!$I$7+(((A178)+1)/2)*(Inputs!$J$7-Inputs!$I$7)))/Inputs!$K$7)^2)))*1000/Inputs!$C$12),NA())</f>
        <v>59534.660985340139</v>
      </c>
      <c r="J178" s="9">
        <f>IF(OR(Inputs!$F$8=TRUE,Inputs!$F$8="TRUE",Inputs!$F$8=1),(((SQRT(((Inputs!$I$8+(((A178)+1)/2)*(Inputs!$J$8-Inputs!$I$8)))^2+Inputs!$C$6^2+((Inputs!$H$8+Inputs!$L$8*(((Inputs!$I$8+(((A178)+1)/2)*(Inputs!$J$8-Inputs!$I$8)))/Inputs!$K$8)^2))^2))-((Inputs!$H$8+Inputs!$L$8*(((Inputs!$I$8+(((A178)+1)/2)*(Inputs!$J$8-Inputs!$I$8)))/Inputs!$K$8)^2)))*1000/Inputs!$C$12),NA())</f>
        <v>113629.8646023719</v>
      </c>
      <c r="K178" s="9">
        <f>IF(OR(Inputs!$F$9=TRUE,Inputs!$F$9="TRUE",Inputs!$F$9=1),(((SQRT(((Inputs!$I$9+(((A178)+1)/2)*(Inputs!$J$9-Inputs!$I$9)))^2+Inputs!$C$6^2+((Inputs!$H$9+Inputs!$L$9*(((Inputs!$I$9+(((A178)+1)/2)*(Inputs!$J$9-Inputs!$I$9)))/Inputs!$K$9)^2))^2))-((Inputs!$H$9+Inputs!$L$9*(((Inputs!$I$9+(((A178)+1)/2)*(Inputs!$J$9-Inputs!$I$9)))/Inputs!$K$9)^2)))*1000/Inputs!$C$12),NA())</f>
        <v>115641.4292248636</v>
      </c>
      <c r="L178" s="10"/>
      <c r="M178" s="9">
        <f t="shared" si="13"/>
        <v>0.46700000000000003</v>
      </c>
      <c r="N178" s="9">
        <f>IF(OR(Inputs!$F$6=TRUE,Inputs!$F$6="TRUE",Inputs!$F$6=1),(-2*((1000*((((Inputs!$I$6+(((A178)+1)/2)*(Inputs!$J$6-Inputs!$I$6)))*Inputs!$C$11+((Inputs!$H$6+Inputs!$L$6*(((Inputs!$I$6+(((A178)+1)/2)*(Inputs!$J$6-Inputs!$I$6)))/Inputs!$K$6)^2))*((2*Inputs!$L$6*((Inputs!$I$6+(((A178)+1)/2)*(Inputs!$J$6-Inputs!$I$6)))/(Inputs!$K$6^2)*Inputs!$C$11)))/(SQRT(((Inputs!$I$6+(((A178)+1)/2)*(Inputs!$J$6-Inputs!$I$6)))^2+Inputs!$C$6^2+((Inputs!$H$6+Inputs!$L$6*(((Inputs!$I$6+(((A178)+1)/2)*(Inputs!$J$6-Inputs!$I$6)))/Inputs!$K$6)^2))^2)))))/Inputs!$C$13),NA())</f>
        <v>-210.5410399217489</v>
      </c>
      <c r="O178" s="9">
        <f>IF(OR(Inputs!$F$7=TRUE,Inputs!$F$7="TRUE",Inputs!$F$7=1),(-2*((1000*((((Inputs!$I$7+(((A178)+1)/2)*(Inputs!$J$7-Inputs!$I$7)))*Inputs!$C$11+((Inputs!$H$7+Inputs!$L$7*(((Inputs!$I$7+(((A178)+1)/2)*(Inputs!$J$7-Inputs!$I$7)))/Inputs!$K$7)^2))*((2*Inputs!$L$7*((Inputs!$I$7+(((A178)+1)/2)*(Inputs!$J$7-Inputs!$I$7)))/(Inputs!$K$7^2)*Inputs!$C$11)))/(SQRT(((Inputs!$I$7+(((A178)+1)/2)*(Inputs!$J$7-Inputs!$I$7)))^2+Inputs!$C$6^2+((Inputs!$H$7+Inputs!$L$7*(((Inputs!$I$7+(((A178)+1)/2)*(Inputs!$J$7-Inputs!$I$7)))/Inputs!$K$7)^2))^2)))))/Inputs!$C$13),NA())</f>
        <v>-2063.5077480007144</v>
      </c>
      <c r="P178" s="9">
        <f>IF(OR(Inputs!$F$8=TRUE,Inputs!$F$8="TRUE",Inputs!$F$8=1),(-2*((1000*((((Inputs!$I$8+(((A178)+1)/2)*(Inputs!$J$8-Inputs!$I$8)))*Inputs!$C$11+((Inputs!$H$8+Inputs!$L$8*(((Inputs!$I$8+(((A178)+1)/2)*(Inputs!$J$8-Inputs!$I$8)))/Inputs!$K$8)^2))*((2*Inputs!$L$8*((Inputs!$I$8+(((A178)+1)/2)*(Inputs!$J$8-Inputs!$I$8)))/(Inputs!$K$8^2)*Inputs!$C$11)))/(SQRT(((Inputs!$I$8+(((A178)+1)/2)*(Inputs!$J$8-Inputs!$I$8)))^2+Inputs!$C$6^2+((Inputs!$H$8+Inputs!$L$8*(((Inputs!$I$8+(((A178)+1)/2)*(Inputs!$J$8-Inputs!$I$8)))/Inputs!$K$8)^2))^2)))))/Inputs!$C$13),NA())</f>
        <v>-2323.3953260818271</v>
      </c>
      <c r="Q178" s="9">
        <f>IF(OR(Inputs!$F$9=TRUE,Inputs!$F$9="TRUE",Inputs!$F$9=1),(-2*((1000*((((Inputs!$I$9+(((A178)+1)/2)*(Inputs!$J$9-Inputs!$I$9)))*Inputs!$C$11+((Inputs!$H$9+Inputs!$L$9*(((Inputs!$I$9+(((A178)+1)/2)*(Inputs!$J$9-Inputs!$I$9)))/Inputs!$K$9)^2))*((2*Inputs!$L$9*((Inputs!$I$9+(((A178)+1)/2)*(Inputs!$J$9-Inputs!$I$9)))/(Inputs!$K$9^2)*Inputs!$C$11)))/(SQRT(((Inputs!$I$9+(((A178)+1)/2)*(Inputs!$J$9-Inputs!$I$9)))^2+Inputs!$C$6^2+((Inputs!$H$9+Inputs!$L$9*(((Inputs!$I$9+(((A178)+1)/2)*(Inputs!$J$9-Inputs!$I$9)))/Inputs!$K$9)^2))^2)))))/Inputs!$C$13),NA())</f>
        <v>-2323.8281317080564</v>
      </c>
      <c r="R178" s="10"/>
      <c r="S178" s="9">
        <f t="shared" si="14"/>
        <v>0.46700000000000003</v>
      </c>
      <c r="T178" s="9">
        <f>(Inputs!$I$6+(((A178)+1)/2)*(Inputs!$J$6-Inputs!$I$6))</f>
        <v>28.02000000000001</v>
      </c>
      <c r="U178" s="9">
        <f>(Inputs!$I$7+(((A178)+1)/2)*(Inputs!$J$7-Inputs!$I$7))</f>
        <v>186.80000000000007</v>
      </c>
      <c r="V178" s="9">
        <f>(Inputs!$I$8+(((A178)+1)/2)*(Inputs!$J$8-Inputs!$I$8))</f>
        <v>373.60000000000014</v>
      </c>
      <c r="W178" s="9">
        <f>(Inputs!$I$9+(((A178)+1)/2)*(Inputs!$J$9-Inputs!$I$9))</f>
        <v>373.60000000000014</v>
      </c>
      <c r="X178" s="10"/>
      <c r="Y178" s="9">
        <f t="shared" si="15"/>
        <v>0.46700000000000003</v>
      </c>
      <c r="Z178" s="9">
        <f>(Inputs!$H$6+Inputs!$L$6*(((Inputs!$I$6+(((A178)+1)/2)*(Inputs!$J$6-Inputs!$I$6)))/Inputs!$K$6)^2)</f>
        <v>400.87235600000002</v>
      </c>
      <c r="AA178" s="9">
        <f>(Inputs!$H$7+Inputs!$L$7*(((Inputs!$I$7+(((A178)+1)/2)*(Inputs!$J$7-Inputs!$I$7)))/Inputs!$K$7)^2)</f>
        <v>114.60248500000006</v>
      </c>
      <c r="AB178" s="9">
        <f>(Inputs!$H$8+Inputs!$L$8*(((Inputs!$I$8+(((A178)+1)/2)*(Inputs!$J$8-Inputs!$I$8)))/Inputs!$K$8)^2)</f>
        <v>245.45588500000017</v>
      </c>
      <c r="AC178" s="9">
        <f>(Inputs!$H$9+Inputs!$L$9*(((Inputs!$I$9+(((A178)+1)/2)*(Inputs!$J$9-Inputs!$I$9)))/Inputs!$K$9)^2)</f>
        <v>237.63677500000017</v>
      </c>
      <c r="AD178" s="10"/>
      <c r="AE178" s="9">
        <f t="shared" si="16"/>
        <v>0.46700000000000003</v>
      </c>
      <c r="AF178" s="9">
        <f>(((SQRT(((Inputs!$I$6+(((A178)+1)/2)*(Inputs!$J$6-Inputs!$I$6)))^2+Inputs!$C$6^2+((Inputs!$H$6+Inputs!$L$6*(((Inputs!$I$6+(((A178)+1)/2)*(Inputs!$J$6-Inputs!$I$6)))/Inputs!$K$6)^2))^2))-((Inputs!$H$6+Inputs!$L$6*(((Inputs!$I$6+(((A178)+1)/2)*(Inputs!$J$6-Inputs!$I$6)))/Inputs!$K$6)^2)))*1000/Inputs!$C$12)</f>
        <v>985.93999041798509</v>
      </c>
      <c r="AG178" s="9">
        <f>(((SQRT(((Inputs!$I$7+(((A178)+1)/2)*(Inputs!$J$7-Inputs!$I$7)))^2+Inputs!$C$6^2+((Inputs!$H$7+Inputs!$L$7*(((Inputs!$I$7+(((A178)+1)/2)*(Inputs!$J$7-Inputs!$I$7)))/Inputs!$K$7)^2))^2))-((Inputs!$H$7+Inputs!$L$7*(((Inputs!$I$7+(((A178)+1)/2)*(Inputs!$J$7-Inputs!$I$7)))/Inputs!$K$7)^2)))*1000/Inputs!$C$12)</f>
        <v>59534.660985340139</v>
      </c>
      <c r="AH178" s="9">
        <f>(((SQRT(((Inputs!$I$8+(((A178)+1)/2)*(Inputs!$J$8-Inputs!$I$8)))^2+Inputs!$C$6^2+((Inputs!$H$8+Inputs!$L$8*(((Inputs!$I$8+(((A178)+1)/2)*(Inputs!$J$8-Inputs!$I$8)))/Inputs!$K$8)^2))^2))-((Inputs!$H$8+Inputs!$L$8*(((Inputs!$I$8+(((A178)+1)/2)*(Inputs!$J$8-Inputs!$I$8)))/Inputs!$K$8)^2)))*1000/Inputs!$C$12)</f>
        <v>113629.8646023719</v>
      </c>
      <c r="AI178" s="9">
        <f>(((SQRT(((Inputs!$I$9+(((A178)+1)/2)*(Inputs!$J$9-Inputs!$I$9)))^2+Inputs!$C$6^2+((Inputs!$H$9+Inputs!$L$9*(((Inputs!$I$9+(((A178)+1)/2)*(Inputs!$J$9-Inputs!$I$9)))/Inputs!$K$9)^2))^2))-((Inputs!$H$9+Inputs!$L$9*(((Inputs!$I$9+(((A178)+1)/2)*(Inputs!$J$9-Inputs!$I$9)))/Inputs!$K$9)^2)))*1000/Inputs!$C$12)</f>
        <v>115641.4292248636</v>
      </c>
      <c r="AJ178" s="10"/>
      <c r="AK178" s="9">
        <f t="shared" si="17"/>
        <v>0.46700000000000003</v>
      </c>
      <c r="AL178" s="9">
        <f>(-2*((1000*((((Inputs!$I$6+(((A178)+1)/2)*(Inputs!$J$6-Inputs!$I$6)))*Inputs!$C$11+((Inputs!$H$6+Inputs!$L$6*(((Inputs!$I$6+(((A178)+1)/2)*(Inputs!$J$6-Inputs!$I$6)))/Inputs!$K$6)^2))*((2*Inputs!$L$6*((Inputs!$I$6+(((A178)+1)/2)*(Inputs!$J$6-Inputs!$I$6)))/(Inputs!$K$6^2)*Inputs!$C$11)))/(SQRT(((Inputs!$I$6+(((A178)+1)/2)*(Inputs!$J$6-Inputs!$I$6)))^2+Inputs!$C$6^2+((Inputs!$H$6+Inputs!$L$6*(((Inputs!$I$6+(((A178)+1)/2)*(Inputs!$J$6-Inputs!$I$6)))/Inputs!$K$6)^2))^2)))))/Inputs!$C$13)</f>
        <v>-210.5410399217489</v>
      </c>
      <c r="AM178" s="9">
        <f>(-2*((1000*((((Inputs!$I$7+(((A178)+1)/2)*(Inputs!$J$7-Inputs!$I$7)))*Inputs!$C$11+((Inputs!$H$7+Inputs!$L$7*(((Inputs!$I$7+(((A178)+1)/2)*(Inputs!$J$7-Inputs!$I$7)))/Inputs!$K$7)^2))*((2*Inputs!$L$7*((Inputs!$I$7+(((A178)+1)/2)*(Inputs!$J$7-Inputs!$I$7)))/(Inputs!$K$7^2)*Inputs!$C$11)))/(SQRT(((Inputs!$I$7+(((A178)+1)/2)*(Inputs!$J$7-Inputs!$I$7)))^2+Inputs!$C$6^2+((Inputs!$H$7+Inputs!$L$7*(((Inputs!$I$7+(((A178)+1)/2)*(Inputs!$J$7-Inputs!$I$7)))/Inputs!$K$7)^2))^2)))))/Inputs!$C$13)</f>
        <v>-2063.5077480007144</v>
      </c>
      <c r="AN178" s="9">
        <f>(-2*((1000*((((Inputs!$I$8+(((A178)+1)/2)*(Inputs!$J$8-Inputs!$I$8)))*Inputs!$C$11+((Inputs!$H$8+Inputs!$L$8*(((Inputs!$I$8+(((A178)+1)/2)*(Inputs!$J$8-Inputs!$I$8)))/Inputs!$K$8)^2))*((2*Inputs!$L$8*((Inputs!$I$8+(((A178)+1)/2)*(Inputs!$J$8-Inputs!$I$8)))/(Inputs!$K$8^2)*Inputs!$C$11)))/(SQRT(((Inputs!$I$8+(((A178)+1)/2)*(Inputs!$J$8-Inputs!$I$8)))^2+Inputs!$C$6^2+((Inputs!$H$8+Inputs!$L$8*(((Inputs!$I$8+(((A178)+1)/2)*(Inputs!$J$8-Inputs!$I$8)))/Inputs!$K$8)^2))^2)))))/Inputs!$C$13)</f>
        <v>-2323.3953260818271</v>
      </c>
      <c r="AO178" s="9">
        <f>(-2*((1000*((((Inputs!$I$9+(((A178)+1)/2)*(Inputs!$J$9-Inputs!$I$9)))*Inputs!$C$11+((Inputs!$H$9+Inputs!$L$9*(((Inputs!$I$9+(((A178)+1)/2)*(Inputs!$J$9-Inputs!$I$9)))/Inputs!$K$9)^2))*((2*Inputs!$L$9*((Inputs!$I$9+(((A178)+1)/2)*(Inputs!$J$9-Inputs!$I$9)))/(Inputs!$K$9^2)*Inputs!$C$11)))/(SQRT(((Inputs!$I$9+(((A178)+1)/2)*(Inputs!$J$9-Inputs!$I$9)))^2+Inputs!$C$6^2+((Inputs!$H$9+Inputs!$L$9*(((Inputs!$I$9+(((A178)+1)/2)*(Inputs!$J$9-Inputs!$I$9)))/Inputs!$K$9)^2))^2)))))/Inputs!$C$13)</f>
        <v>-2323.8281317080564</v>
      </c>
    </row>
    <row r="179" spans="1:41">
      <c r="A179" s="9">
        <f>ROUND(-1+177*2/240,3)</f>
        <v>0.47499999999999998</v>
      </c>
      <c r="B179" s="9">
        <f>IF(OR(Inputs!$F$6=TRUE,Inputs!$F$6="TRUE",Inputs!$F$6=1),(Inputs!$H$6+Inputs!$L$6*(((Inputs!$I$6+(((A179)+1)/2)*(Inputs!$J$6-Inputs!$I$6)))/Inputs!$K$6)^2),NA())</f>
        <v>400.90249999999997</v>
      </c>
      <c r="C179" s="9">
        <f>IF(OR(Inputs!$F$7=TRUE,Inputs!$F$7="TRUE",Inputs!$F$7=1),(Inputs!$H$7+Inputs!$L$7*(((Inputs!$I$7+(((A179)+1)/2)*(Inputs!$J$7-Inputs!$I$7)))/Inputs!$K$7)^2),NA())</f>
        <v>117.35312499999999</v>
      </c>
      <c r="D179" s="9">
        <f>IF(OR(Inputs!$F$8=TRUE,Inputs!$F$8="TRUE",Inputs!$F$8=1),(Inputs!$H$8+Inputs!$L$8*(((Inputs!$I$8+(((A179)+1)/2)*(Inputs!$J$8-Inputs!$I$8)))/Inputs!$K$8)^2),NA())</f>
        <v>252.72812500000001</v>
      </c>
      <c r="E179" s="9">
        <f>IF(OR(Inputs!$F$9=TRUE,Inputs!$F$9="TRUE",Inputs!$F$9=1),(Inputs!$H$9+Inputs!$L$9*(((Inputs!$I$9+(((A179)+1)/2)*(Inputs!$J$9-Inputs!$I$9)))/Inputs!$K$9)^2),NA())</f>
        <v>244.984375</v>
      </c>
      <c r="F179" s="10"/>
      <c r="G179" s="9">
        <f t="shared" si="12"/>
        <v>0.47499999999999998</v>
      </c>
      <c r="H179" s="9">
        <f>IF(OR(Inputs!$F$6=TRUE,Inputs!$F$6="TRUE",Inputs!$F$6=1),(((SQRT(((Inputs!$I$6+(((A179)+1)/2)*(Inputs!$J$6-Inputs!$I$6)))^2+Inputs!$C$6^2+((Inputs!$H$6+Inputs!$L$6*(((Inputs!$I$6+(((A179)+1)/2)*(Inputs!$J$6-Inputs!$I$6)))/Inputs!$K$6)^2))^2))-((Inputs!$H$6+Inputs!$L$6*(((Inputs!$I$6+(((A179)+1)/2)*(Inputs!$J$6-Inputs!$I$6)))/Inputs!$K$6)^2)))*1000/Inputs!$C$12),NA())</f>
        <v>1004.7913422626065</v>
      </c>
      <c r="I179" s="9">
        <f>IF(OR(Inputs!$F$7=TRUE,Inputs!$F$7="TRUE",Inputs!$F$7=1),(((SQRT(((Inputs!$I$7+(((A179)+1)/2)*(Inputs!$J$7-Inputs!$I$7)))^2+Inputs!$C$6^2+((Inputs!$H$7+Inputs!$L$7*(((Inputs!$I$7+(((A179)+1)/2)*(Inputs!$J$7-Inputs!$I$7)))/Inputs!$K$7)^2))^2))-((Inputs!$H$7+Inputs!$L$7*(((Inputs!$I$7+(((A179)+1)/2)*(Inputs!$J$7-Inputs!$I$7)))/Inputs!$K$7)^2)))*1000/Inputs!$C$12),NA())</f>
        <v>60315.566013439195</v>
      </c>
      <c r="J179" s="9">
        <f>IF(OR(Inputs!$F$8=TRUE,Inputs!$F$8="TRUE",Inputs!$F$8=1),(((SQRT(((Inputs!$I$8+(((A179)+1)/2)*(Inputs!$J$8-Inputs!$I$8)))^2+Inputs!$C$6^2+((Inputs!$H$8+Inputs!$L$8*(((Inputs!$I$8+(((A179)+1)/2)*(Inputs!$J$8-Inputs!$I$8)))/Inputs!$K$8)^2))^2))-((Inputs!$H$8+Inputs!$L$8*(((Inputs!$I$8+(((A179)+1)/2)*(Inputs!$J$8-Inputs!$I$8)))/Inputs!$K$8)^2)))*1000/Inputs!$C$12),NA())</f>
        <v>114788.67812487425</v>
      </c>
      <c r="K179" s="9">
        <f>IF(OR(Inputs!$F$9=TRUE,Inputs!$F$9="TRUE",Inputs!$F$9=1),(((SQRT(((Inputs!$I$9+(((A179)+1)/2)*(Inputs!$J$9-Inputs!$I$9)))^2+Inputs!$C$6^2+((Inputs!$H$9+Inputs!$L$9*(((Inputs!$I$9+(((A179)+1)/2)*(Inputs!$J$9-Inputs!$I$9)))/Inputs!$K$9)^2))^2))-((Inputs!$H$9+Inputs!$L$9*(((Inputs!$I$9+(((A179)+1)/2)*(Inputs!$J$9-Inputs!$I$9)))/Inputs!$K$9)^2)))*1000/Inputs!$C$12),NA())</f>
        <v>116759.34865806319</v>
      </c>
      <c r="L179" s="10"/>
      <c r="M179" s="9">
        <f t="shared" si="13"/>
        <v>0.47499999999999998</v>
      </c>
      <c r="N179" s="9">
        <f>IF(OR(Inputs!$F$6=TRUE,Inputs!$F$6="TRUE",Inputs!$F$6=1),(-2*((1000*((((Inputs!$I$6+(((A179)+1)/2)*(Inputs!$J$6-Inputs!$I$6)))*Inputs!$C$11+((Inputs!$H$6+Inputs!$L$6*(((Inputs!$I$6+(((A179)+1)/2)*(Inputs!$J$6-Inputs!$I$6)))/Inputs!$K$6)^2))*((2*Inputs!$L$6*((Inputs!$I$6+(((A179)+1)/2)*(Inputs!$J$6-Inputs!$I$6)))/(Inputs!$K$6^2)*Inputs!$C$11)))/(SQRT(((Inputs!$I$6+(((A179)+1)/2)*(Inputs!$J$6-Inputs!$I$6)))^2+Inputs!$C$6^2+((Inputs!$H$6+Inputs!$L$6*(((Inputs!$I$6+(((A179)+1)/2)*(Inputs!$J$6-Inputs!$I$6)))/Inputs!$K$6)^2))^2)))))/Inputs!$C$13),NA())</f>
        <v>-214.12144931249978</v>
      </c>
      <c r="O179" s="9">
        <f>IF(OR(Inputs!$F$7=TRUE,Inputs!$F$7="TRUE",Inputs!$F$7=1),(-2*((1000*((((Inputs!$I$7+(((A179)+1)/2)*(Inputs!$J$7-Inputs!$I$7)))*Inputs!$C$11+((Inputs!$H$7+Inputs!$L$7*(((Inputs!$I$7+(((A179)+1)/2)*(Inputs!$J$7-Inputs!$I$7)))/Inputs!$K$7)^2))*((2*Inputs!$L$7*((Inputs!$I$7+(((A179)+1)/2)*(Inputs!$J$7-Inputs!$I$7)))/(Inputs!$K$7^2)*Inputs!$C$11)))/(SQRT(((Inputs!$I$7+(((A179)+1)/2)*(Inputs!$J$7-Inputs!$I$7)))^2+Inputs!$C$6^2+((Inputs!$H$7+Inputs!$L$7*(((Inputs!$I$7+(((A179)+1)/2)*(Inputs!$J$7-Inputs!$I$7)))/Inputs!$K$7)^2))^2)))))/Inputs!$C$13),NA())</f>
        <v>-2077.1605468760226</v>
      </c>
      <c r="P179" s="9">
        <f>IF(OR(Inputs!$F$8=TRUE,Inputs!$F$8="TRUE",Inputs!$F$8=1),(-2*((1000*((((Inputs!$I$8+(((A179)+1)/2)*(Inputs!$J$8-Inputs!$I$8)))*Inputs!$C$11+((Inputs!$H$8+Inputs!$L$8*(((Inputs!$I$8+(((A179)+1)/2)*(Inputs!$J$8-Inputs!$I$8)))/Inputs!$K$8)^2))*((2*Inputs!$L$8*((Inputs!$I$8+(((A179)+1)/2)*(Inputs!$J$8-Inputs!$I$8)))/(Inputs!$K$8^2)*Inputs!$C$11)))/(SQRT(((Inputs!$I$8+(((A179)+1)/2)*(Inputs!$J$8-Inputs!$I$8)))^2+Inputs!$C$6^2+((Inputs!$H$8+Inputs!$L$8*(((Inputs!$I$8+(((A179)+1)/2)*(Inputs!$J$8-Inputs!$I$8)))/Inputs!$K$8)^2))^2)))))/Inputs!$C$13),NA())</f>
        <v>-2344.1032588773473</v>
      </c>
      <c r="Q179" s="9">
        <f>IF(OR(Inputs!$F$9=TRUE,Inputs!$F$9="TRUE",Inputs!$F$9=1),(-2*((1000*((((Inputs!$I$9+(((A179)+1)/2)*(Inputs!$J$9-Inputs!$I$9)))*Inputs!$C$11+((Inputs!$H$9+Inputs!$L$9*(((Inputs!$I$9+(((A179)+1)/2)*(Inputs!$J$9-Inputs!$I$9)))/Inputs!$K$9)^2))*((2*Inputs!$L$9*((Inputs!$I$9+(((A179)+1)/2)*(Inputs!$J$9-Inputs!$I$9)))/(Inputs!$K$9^2)*Inputs!$C$11)))/(SQRT(((Inputs!$I$9+(((A179)+1)/2)*(Inputs!$J$9-Inputs!$I$9)))^2+Inputs!$C$6^2+((Inputs!$H$9+Inputs!$L$9*(((Inputs!$I$9+(((A179)+1)/2)*(Inputs!$J$9-Inputs!$I$9)))/Inputs!$K$9)^2))^2)))))/Inputs!$C$13),NA())</f>
        <v>-2344.9558277083142</v>
      </c>
      <c r="R179" s="10"/>
      <c r="S179" s="9">
        <f t="shared" si="14"/>
        <v>0.47499999999999998</v>
      </c>
      <c r="T179" s="9">
        <f>(Inputs!$I$6+(((A179)+1)/2)*(Inputs!$J$6-Inputs!$I$6))</f>
        <v>28.5</v>
      </c>
      <c r="U179" s="9">
        <f>(Inputs!$I$7+(((A179)+1)/2)*(Inputs!$J$7-Inputs!$I$7))</f>
        <v>190</v>
      </c>
      <c r="V179" s="9">
        <f>(Inputs!$I$8+(((A179)+1)/2)*(Inputs!$J$8-Inputs!$I$8))</f>
        <v>380</v>
      </c>
      <c r="W179" s="9">
        <f>(Inputs!$I$9+(((A179)+1)/2)*(Inputs!$J$9-Inputs!$I$9))</f>
        <v>380</v>
      </c>
      <c r="X179" s="10"/>
      <c r="Y179" s="9">
        <f t="shared" si="15"/>
        <v>0.47499999999999998</v>
      </c>
      <c r="Z179" s="9">
        <f>(Inputs!$H$6+Inputs!$L$6*(((Inputs!$I$6+(((A179)+1)/2)*(Inputs!$J$6-Inputs!$I$6)))/Inputs!$K$6)^2)</f>
        <v>400.90249999999997</v>
      </c>
      <c r="AA179" s="9">
        <f>(Inputs!$H$7+Inputs!$L$7*(((Inputs!$I$7+(((A179)+1)/2)*(Inputs!$J$7-Inputs!$I$7)))/Inputs!$K$7)^2)</f>
        <v>117.35312499999999</v>
      </c>
      <c r="AB179" s="9">
        <f>(Inputs!$H$8+Inputs!$L$8*(((Inputs!$I$8+(((A179)+1)/2)*(Inputs!$J$8-Inputs!$I$8)))/Inputs!$K$8)^2)</f>
        <v>252.72812500000001</v>
      </c>
      <c r="AC179" s="9">
        <f>(Inputs!$H$9+Inputs!$L$9*(((Inputs!$I$9+(((A179)+1)/2)*(Inputs!$J$9-Inputs!$I$9)))/Inputs!$K$9)^2)</f>
        <v>244.984375</v>
      </c>
      <c r="AD179" s="10"/>
      <c r="AE179" s="9">
        <f t="shared" si="16"/>
        <v>0.47499999999999998</v>
      </c>
      <c r="AF179" s="9">
        <f>(((SQRT(((Inputs!$I$6+(((A179)+1)/2)*(Inputs!$J$6-Inputs!$I$6)))^2+Inputs!$C$6^2+((Inputs!$H$6+Inputs!$L$6*(((Inputs!$I$6+(((A179)+1)/2)*(Inputs!$J$6-Inputs!$I$6)))/Inputs!$K$6)^2))^2))-((Inputs!$H$6+Inputs!$L$6*(((Inputs!$I$6+(((A179)+1)/2)*(Inputs!$J$6-Inputs!$I$6)))/Inputs!$K$6)^2)))*1000/Inputs!$C$12)</f>
        <v>1004.7913422626065</v>
      </c>
      <c r="AG179" s="9">
        <f>(((SQRT(((Inputs!$I$7+(((A179)+1)/2)*(Inputs!$J$7-Inputs!$I$7)))^2+Inputs!$C$6^2+((Inputs!$H$7+Inputs!$L$7*(((Inputs!$I$7+(((A179)+1)/2)*(Inputs!$J$7-Inputs!$I$7)))/Inputs!$K$7)^2))^2))-((Inputs!$H$7+Inputs!$L$7*(((Inputs!$I$7+(((A179)+1)/2)*(Inputs!$J$7-Inputs!$I$7)))/Inputs!$K$7)^2)))*1000/Inputs!$C$12)</f>
        <v>60315.566013439195</v>
      </c>
      <c r="AH179" s="9">
        <f>(((SQRT(((Inputs!$I$8+(((A179)+1)/2)*(Inputs!$J$8-Inputs!$I$8)))^2+Inputs!$C$6^2+((Inputs!$H$8+Inputs!$L$8*(((Inputs!$I$8+(((A179)+1)/2)*(Inputs!$J$8-Inputs!$I$8)))/Inputs!$K$8)^2))^2))-((Inputs!$H$8+Inputs!$L$8*(((Inputs!$I$8+(((A179)+1)/2)*(Inputs!$J$8-Inputs!$I$8)))/Inputs!$K$8)^2)))*1000/Inputs!$C$12)</f>
        <v>114788.67812487425</v>
      </c>
      <c r="AI179" s="9">
        <f>(((SQRT(((Inputs!$I$9+(((A179)+1)/2)*(Inputs!$J$9-Inputs!$I$9)))^2+Inputs!$C$6^2+((Inputs!$H$9+Inputs!$L$9*(((Inputs!$I$9+(((A179)+1)/2)*(Inputs!$J$9-Inputs!$I$9)))/Inputs!$K$9)^2))^2))-((Inputs!$H$9+Inputs!$L$9*(((Inputs!$I$9+(((A179)+1)/2)*(Inputs!$J$9-Inputs!$I$9)))/Inputs!$K$9)^2)))*1000/Inputs!$C$12)</f>
        <v>116759.34865806319</v>
      </c>
      <c r="AJ179" s="10"/>
      <c r="AK179" s="9">
        <f t="shared" si="17"/>
        <v>0.47499999999999998</v>
      </c>
      <c r="AL179" s="9">
        <f>(-2*((1000*((((Inputs!$I$6+(((A179)+1)/2)*(Inputs!$J$6-Inputs!$I$6)))*Inputs!$C$11+((Inputs!$H$6+Inputs!$L$6*(((Inputs!$I$6+(((A179)+1)/2)*(Inputs!$J$6-Inputs!$I$6)))/Inputs!$K$6)^2))*((2*Inputs!$L$6*((Inputs!$I$6+(((A179)+1)/2)*(Inputs!$J$6-Inputs!$I$6)))/(Inputs!$K$6^2)*Inputs!$C$11)))/(SQRT(((Inputs!$I$6+(((A179)+1)/2)*(Inputs!$J$6-Inputs!$I$6)))^2+Inputs!$C$6^2+((Inputs!$H$6+Inputs!$L$6*(((Inputs!$I$6+(((A179)+1)/2)*(Inputs!$J$6-Inputs!$I$6)))/Inputs!$K$6)^2))^2)))))/Inputs!$C$13)</f>
        <v>-214.12144931249978</v>
      </c>
      <c r="AM179" s="9">
        <f>(-2*((1000*((((Inputs!$I$7+(((A179)+1)/2)*(Inputs!$J$7-Inputs!$I$7)))*Inputs!$C$11+((Inputs!$H$7+Inputs!$L$7*(((Inputs!$I$7+(((A179)+1)/2)*(Inputs!$J$7-Inputs!$I$7)))/Inputs!$K$7)^2))*((2*Inputs!$L$7*((Inputs!$I$7+(((A179)+1)/2)*(Inputs!$J$7-Inputs!$I$7)))/(Inputs!$K$7^2)*Inputs!$C$11)))/(SQRT(((Inputs!$I$7+(((A179)+1)/2)*(Inputs!$J$7-Inputs!$I$7)))^2+Inputs!$C$6^2+((Inputs!$H$7+Inputs!$L$7*(((Inputs!$I$7+(((A179)+1)/2)*(Inputs!$J$7-Inputs!$I$7)))/Inputs!$K$7)^2))^2)))))/Inputs!$C$13)</f>
        <v>-2077.1605468760226</v>
      </c>
      <c r="AN179" s="9">
        <f>(-2*((1000*((((Inputs!$I$8+(((A179)+1)/2)*(Inputs!$J$8-Inputs!$I$8)))*Inputs!$C$11+((Inputs!$H$8+Inputs!$L$8*(((Inputs!$I$8+(((A179)+1)/2)*(Inputs!$J$8-Inputs!$I$8)))/Inputs!$K$8)^2))*((2*Inputs!$L$8*((Inputs!$I$8+(((A179)+1)/2)*(Inputs!$J$8-Inputs!$I$8)))/(Inputs!$K$8^2)*Inputs!$C$11)))/(SQRT(((Inputs!$I$8+(((A179)+1)/2)*(Inputs!$J$8-Inputs!$I$8)))^2+Inputs!$C$6^2+((Inputs!$H$8+Inputs!$L$8*(((Inputs!$I$8+(((A179)+1)/2)*(Inputs!$J$8-Inputs!$I$8)))/Inputs!$K$8)^2))^2)))))/Inputs!$C$13)</f>
        <v>-2344.1032588773473</v>
      </c>
      <c r="AO179" s="9">
        <f>(-2*((1000*((((Inputs!$I$9+(((A179)+1)/2)*(Inputs!$J$9-Inputs!$I$9)))*Inputs!$C$11+((Inputs!$H$9+Inputs!$L$9*(((Inputs!$I$9+(((A179)+1)/2)*(Inputs!$J$9-Inputs!$I$9)))/Inputs!$K$9)^2))*((2*Inputs!$L$9*((Inputs!$I$9+(((A179)+1)/2)*(Inputs!$J$9-Inputs!$I$9)))/(Inputs!$K$9^2)*Inputs!$C$11)))/(SQRT(((Inputs!$I$9+(((A179)+1)/2)*(Inputs!$J$9-Inputs!$I$9)))^2+Inputs!$C$6^2+((Inputs!$H$9+Inputs!$L$9*(((Inputs!$I$9+(((A179)+1)/2)*(Inputs!$J$9-Inputs!$I$9)))/Inputs!$K$9)^2))^2)))))/Inputs!$C$13)</f>
        <v>-2344.9558277083142</v>
      </c>
    </row>
    <row r="180" spans="1:41">
      <c r="A180" s="9">
        <f>ROUND(-1+178*2/240,3)</f>
        <v>0.48299999999999998</v>
      </c>
      <c r="B180" s="9">
        <f>IF(OR(Inputs!$F$6=TRUE,Inputs!$F$6="TRUE",Inputs!$F$6=1),(Inputs!$H$6+Inputs!$L$6*(((Inputs!$I$6+(((A180)+1)/2)*(Inputs!$J$6-Inputs!$I$6)))/Inputs!$K$6)^2),NA())</f>
        <v>400.933156</v>
      </c>
      <c r="C180" s="9">
        <f>IF(OR(Inputs!$F$7=TRUE,Inputs!$F$7="TRUE",Inputs!$F$7=1),(Inputs!$H$7+Inputs!$L$7*(((Inputs!$I$7+(((A180)+1)/2)*(Inputs!$J$7-Inputs!$I$7)))/Inputs!$K$7)^2),NA())</f>
        <v>120.15048500000003</v>
      </c>
      <c r="D180" s="9">
        <f>IF(OR(Inputs!$F$8=TRUE,Inputs!$F$8="TRUE",Inputs!$F$8=1),(Inputs!$H$8+Inputs!$L$8*(((Inputs!$I$8+(((A180)+1)/2)*(Inputs!$J$8-Inputs!$I$8)))/Inputs!$K$8)^2),NA())</f>
        <v>260.12388500000009</v>
      </c>
      <c r="E180" s="9">
        <f>IF(OR(Inputs!$F$9=TRUE,Inputs!$F$9="TRUE",Inputs!$F$9=1),(Inputs!$H$9+Inputs!$L$9*(((Inputs!$I$9+(((A180)+1)/2)*(Inputs!$J$9-Inputs!$I$9)))/Inputs!$K$9)^2),NA())</f>
        <v>252.45677500000008</v>
      </c>
      <c r="F180" s="10"/>
      <c r="G180" s="9">
        <f t="shared" si="12"/>
        <v>0.48299999999999998</v>
      </c>
      <c r="H180" s="9">
        <f>IF(OR(Inputs!$F$6=TRUE,Inputs!$F$6="TRUE",Inputs!$F$6=1),(((SQRT(((Inputs!$I$6+(((A180)+1)/2)*(Inputs!$J$6-Inputs!$I$6)))^2+Inputs!$C$6^2+((Inputs!$H$6+Inputs!$L$6*(((Inputs!$I$6+(((A180)+1)/2)*(Inputs!$J$6-Inputs!$I$6)))/Inputs!$K$6)^2))^2))-((Inputs!$H$6+Inputs!$L$6*(((Inputs!$I$6+(((A180)+1)/2)*(Inputs!$J$6-Inputs!$I$6)))/Inputs!$K$6)^2)))*1000/Inputs!$C$12),NA())</f>
        <v>1023.9583819513614</v>
      </c>
      <c r="I180" s="9">
        <f>IF(OR(Inputs!$F$7=TRUE,Inputs!$F$7="TRUE",Inputs!$F$7=1),(((SQRT(((Inputs!$I$7+(((A180)+1)/2)*(Inputs!$J$7-Inputs!$I$7)))^2+Inputs!$C$6^2+((Inputs!$H$7+Inputs!$L$7*(((Inputs!$I$7+(((A180)+1)/2)*(Inputs!$J$7-Inputs!$I$7)))/Inputs!$K$7)^2))^2))-((Inputs!$H$7+Inputs!$L$7*(((Inputs!$I$7+(((A180)+1)/2)*(Inputs!$J$7-Inputs!$I$7)))/Inputs!$K$7)^2)))*1000/Inputs!$C$12),NA())</f>
        <v>61085.622886338453</v>
      </c>
      <c r="J180" s="9">
        <f>IF(OR(Inputs!$F$8=TRUE,Inputs!$F$8="TRUE",Inputs!$F$8=1),(((SQRT(((Inputs!$I$8+(((A180)+1)/2)*(Inputs!$J$8-Inputs!$I$8)))^2+Inputs!$C$6^2+((Inputs!$H$8+Inputs!$L$8*(((Inputs!$I$8+(((A180)+1)/2)*(Inputs!$J$8-Inputs!$I$8)))/Inputs!$K$8)^2))^2))-((Inputs!$H$8+Inputs!$L$8*(((Inputs!$I$8+(((A180)+1)/2)*(Inputs!$J$8-Inputs!$I$8)))/Inputs!$K$8)^2)))*1000/Inputs!$C$12),NA())</f>
        <v>115924.86478987199</v>
      </c>
      <c r="K180" s="9">
        <f>IF(OR(Inputs!$F$9=TRUE,Inputs!$F$9="TRUE",Inputs!$F$9=1),(((SQRT(((Inputs!$I$9+(((A180)+1)/2)*(Inputs!$J$9-Inputs!$I$9)))^2+Inputs!$C$6^2+((Inputs!$H$9+Inputs!$L$9*(((Inputs!$I$9+(((A180)+1)/2)*(Inputs!$J$9-Inputs!$I$9)))/Inputs!$K$9)^2))^2))-((Inputs!$H$9+Inputs!$L$9*(((Inputs!$I$9+(((A180)+1)/2)*(Inputs!$J$9-Inputs!$I$9)))/Inputs!$K$9)^2)))*1000/Inputs!$C$12),NA())</f>
        <v>117854.8727356195</v>
      </c>
      <c r="L180" s="10"/>
      <c r="M180" s="9">
        <f t="shared" si="13"/>
        <v>0.48299999999999998</v>
      </c>
      <c r="N180" s="9">
        <f>IF(OR(Inputs!$F$6=TRUE,Inputs!$F$6="TRUE",Inputs!$F$6=1),(-2*((1000*((((Inputs!$I$6+(((A180)+1)/2)*(Inputs!$J$6-Inputs!$I$6)))*Inputs!$C$11+((Inputs!$H$6+Inputs!$L$6*(((Inputs!$I$6+(((A180)+1)/2)*(Inputs!$J$6-Inputs!$I$6)))/Inputs!$K$6)^2))*((2*Inputs!$L$6*((Inputs!$I$6+(((A180)+1)/2)*(Inputs!$J$6-Inputs!$I$6)))/(Inputs!$K$6^2)*Inputs!$C$11)))/(SQRT(((Inputs!$I$6+(((A180)+1)/2)*(Inputs!$J$6-Inputs!$I$6)))^2+Inputs!$C$6^2+((Inputs!$H$6+Inputs!$L$6*(((Inputs!$I$6+(((A180)+1)/2)*(Inputs!$J$6-Inputs!$I$6)))/Inputs!$K$6)^2))^2)))))/Inputs!$C$13),NA())</f>
        <v>-217.70053212463367</v>
      </c>
      <c r="O180" s="9">
        <f>IF(OR(Inputs!$F$7=TRUE,Inputs!$F$7="TRUE",Inputs!$F$7=1),(-2*((1000*((((Inputs!$I$7+(((A180)+1)/2)*(Inputs!$J$7-Inputs!$I$7)))*Inputs!$C$11+((Inputs!$H$7+Inputs!$L$7*(((Inputs!$I$7+(((A180)+1)/2)*(Inputs!$J$7-Inputs!$I$7)))/Inputs!$K$7)^2))*((2*Inputs!$L$7*((Inputs!$I$7+(((A180)+1)/2)*(Inputs!$J$7-Inputs!$I$7)))/(Inputs!$K$7^2)*Inputs!$C$11)))/(SQRT(((Inputs!$I$7+(((A180)+1)/2)*(Inputs!$J$7-Inputs!$I$7)))^2+Inputs!$C$6^2+((Inputs!$H$7+Inputs!$L$7*(((Inputs!$I$7+(((A180)+1)/2)*(Inputs!$J$7-Inputs!$I$7)))/Inputs!$K$7)^2))^2)))))/Inputs!$C$13),NA())</f>
        <v>-2090.9183303715336</v>
      </c>
      <c r="P180" s="9">
        <f>IF(OR(Inputs!$F$8=TRUE,Inputs!$F$8="TRUE",Inputs!$F$8=1),(-2*((1000*((((Inputs!$I$8+(((A180)+1)/2)*(Inputs!$J$8-Inputs!$I$8)))*Inputs!$C$11+((Inputs!$H$8+Inputs!$L$8*(((Inputs!$I$8+(((A180)+1)/2)*(Inputs!$J$8-Inputs!$I$8)))/Inputs!$K$8)^2))*((2*Inputs!$L$8*((Inputs!$I$8+(((A180)+1)/2)*(Inputs!$J$8-Inputs!$I$8)))/(Inputs!$K$8^2)*Inputs!$C$11)))/(SQRT(((Inputs!$I$8+(((A180)+1)/2)*(Inputs!$J$8-Inputs!$I$8)))^2+Inputs!$C$6^2+((Inputs!$H$8+Inputs!$L$8*(((Inputs!$I$8+(((A180)+1)/2)*(Inputs!$J$8-Inputs!$I$8)))/Inputs!$K$8)^2))^2)))))/Inputs!$C$13),NA())</f>
        <v>-2365.0168872230561</v>
      </c>
      <c r="Q180" s="9">
        <f>IF(OR(Inputs!$F$9=TRUE,Inputs!$F$9="TRUE",Inputs!$F$9=1),(-2*((1000*((((Inputs!$I$9+(((A180)+1)/2)*(Inputs!$J$9-Inputs!$I$9)))*Inputs!$C$11+((Inputs!$H$9+Inputs!$L$9*(((Inputs!$I$9+(((A180)+1)/2)*(Inputs!$J$9-Inputs!$I$9)))/Inputs!$K$9)^2))*((2*Inputs!$L$9*((Inputs!$I$9+(((A180)+1)/2)*(Inputs!$J$9-Inputs!$I$9)))/(Inputs!$K$9^2)*Inputs!$C$11)))/(SQRT(((Inputs!$I$9+(((A180)+1)/2)*(Inputs!$J$9-Inputs!$I$9)))^2+Inputs!$C$6^2+((Inputs!$H$9+Inputs!$L$9*(((Inputs!$I$9+(((A180)+1)/2)*(Inputs!$J$9-Inputs!$I$9)))/Inputs!$K$9)^2))^2)))))/Inputs!$C$13),NA())</f>
        <v>-2366.2956439243558</v>
      </c>
      <c r="R180" s="10"/>
      <c r="S180" s="9">
        <f t="shared" si="14"/>
        <v>0.48299999999999998</v>
      </c>
      <c r="T180" s="9">
        <f>(Inputs!$I$6+(((A180)+1)/2)*(Inputs!$J$6-Inputs!$I$6))</f>
        <v>28.980000000000004</v>
      </c>
      <c r="U180" s="9">
        <f>(Inputs!$I$7+(((A180)+1)/2)*(Inputs!$J$7-Inputs!$I$7))</f>
        <v>193.20000000000005</v>
      </c>
      <c r="V180" s="9">
        <f>(Inputs!$I$8+(((A180)+1)/2)*(Inputs!$J$8-Inputs!$I$8))</f>
        <v>386.40000000000009</v>
      </c>
      <c r="W180" s="9">
        <f>(Inputs!$I$9+(((A180)+1)/2)*(Inputs!$J$9-Inputs!$I$9))</f>
        <v>386.40000000000009</v>
      </c>
      <c r="X180" s="10"/>
      <c r="Y180" s="9">
        <f t="shared" si="15"/>
        <v>0.48299999999999998</v>
      </c>
      <c r="Z180" s="9">
        <f>(Inputs!$H$6+Inputs!$L$6*(((Inputs!$I$6+(((A180)+1)/2)*(Inputs!$J$6-Inputs!$I$6)))/Inputs!$K$6)^2)</f>
        <v>400.933156</v>
      </c>
      <c r="AA180" s="9">
        <f>(Inputs!$H$7+Inputs!$L$7*(((Inputs!$I$7+(((A180)+1)/2)*(Inputs!$J$7-Inputs!$I$7)))/Inputs!$K$7)^2)</f>
        <v>120.15048500000003</v>
      </c>
      <c r="AB180" s="9">
        <f>(Inputs!$H$8+Inputs!$L$8*(((Inputs!$I$8+(((A180)+1)/2)*(Inputs!$J$8-Inputs!$I$8)))/Inputs!$K$8)^2)</f>
        <v>260.12388500000009</v>
      </c>
      <c r="AC180" s="9">
        <f>(Inputs!$H$9+Inputs!$L$9*(((Inputs!$I$9+(((A180)+1)/2)*(Inputs!$J$9-Inputs!$I$9)))/Inputs!$K$9)^2)</f>
        <v>252.45677500000008</v>
      </c>
      <c r="AD180" s="10"/>
      <c r="AE180" s="9">
        <f t="shared" si="16"/>
        <v>0.48299999999999998</v>
      </c>
      <c r="AF180" s="9">
        <f>(((SQRT(((Inputs!$I$6+(((A180)+1)/2)*(Inputs!$J$6-Inputs!$I$6)))^2+Inputs!$C$6^2+((Inputs!$H$6+Inputs!$L$6*(((Inputs!$I$6+(((A180)+1)/2)*(Inputs!$J$6-Inputs!$I$6)))/Inputs!$K$6)^2))^2))-((Inputs!$H$6+Inputs!$L$6*(((Inputs!$I$6+(((A180)+1)/2)*(Inputs!$J$6-Inputs!$I$6)))/Inputs!$K$6)^2)))*1000/Inputs!$C$12)</f>
        <v>1023.9583819513614</v>
      </c>
      <c r="AG180" s="9">
        <f>(((SQRT(((Inputs!$I$7+(((A180)+1)/2)*(Inputs!$J$7-Inputs!$I$7)))^2+Inputs!$C$6^2+((Inputs!$H$7+Inputs!$L$7*(((Inputs!$I$7+(((A180)+1)/2)*(Inputs!$J$7-Inputs!$I$7)))/Inputs!$K$7)^2))^2))-((Inputs!$H$7+Inputs!$L$7*(((Inputs!$I$7+(((A180)+1)/2)*(Inputs!$J$7-Inputs!$I$7)))/Inputs!$K$7)^2)))*1000/Inputs!$C$12)</f>
        <v>61085.622886338453</v>
      </c>
      <c r="AH180" s="9">
        <f>(((SQRT(((Inputs!$I$8+(((A180)+1)/2)*(Inputs!$J$8-Inputs!$I$8)))^2+Inputs!$C$6^2+((Inputs!$H$8+Inputs!$L$8*(((Inputs!$I$8+(((A180)+1)/2)*(Inputs!$J$8-Inputs!$I$8)))/Inputs!$K$8)^2))^2))-((Inputs!$H$8+Inputs!$L$8*(((Inputs!$I$8+(((A180)+1)/2)*(Inputs!$J$8-Inputs!$I$8)))/Inputs!$K$8)^2)))*1000/Inputs!$C$12)</f>
        <v>115924.86478987199</v>
      </c>
      <c r="AI180" s="9">
        <f>(((SQRT(((Inputs!$I$9+(((A180)+1)/2)*(Inputs!$J$9-Inputs!$I$9)))^2+Inputs!$C$6^2+((Inputs!$H$9+Inputs!$L$9*(((Inputs!$I$9+(((A180)+1)/2)*(Inputs!$J$9-Inputs!$I$9)))/Inputs!$K$9)^2))^2))-((Inputs!$H$9+Inputs!$L$9*(((Inputs!$I$9+(((A180)+1)/2)*(Inputs!$J$9-Inputs!$I$9)))/Inputs!$K$9)^2)))*1000/Inputs!$C$12)</f>
        <v>117854.8727356195</v>
      </c>
      <c r="AJ180" s="10"/>
      <c r="AK180" s="9">
        <f t="shared" si="17"/>
        <v>0.48299999999999998</v>
      </c>
      <c r="AL180" s="9">
        <f>(-2*((1000*((((Inputs!$I$6+(((A180)+1)/2)*(Inputs!$J$6-Inputs!$I$6)))*Inputs!$C$11+((Inputs!$H$6+Inputs!$L$6*(((Inputs!$I$6+(((A180)+1)/2)*(Inputs!$J$6-Inputs!$I$6)))/Inputs!$K$6)^2))*((2*Inputs!$L$6*((Inputs!$I$6+(((A180)+1)/2)*(Inputs!$J$6-Inputs!$I$6)))/(Inputs!$K$6^2)*Inputs!$C$11)))/(SQRT(((Inputs!$I$6+(((A180)+1)/2)*(Inputs!$J$6-Inputs!$I$6)))^2+Inputs!$C$6^2+((Inputs!$H$6+Inputs!$L$6*(((Inputs!$I$6+(((A180)+1)/2)*(Inputs!$J$6-Inputs!$I$6)))/Inputs!$K$6)^2))^2)))))/Inputs!$C$13)</f>
        <v>-217.70053212463367</v>
      </c>
      <c r="AM180" s="9">
        <f>(-2*((1000*((((Inputs!$I$7+(((A180)+1)/2)*(Inputs!$J$7-Inputs!$I$7)))*Inputs!$C$11+((Inputs!$H$7+Inputs!$L$7*(((Inputs!$I$7+(((A180)+1)/2)*(Inputs!$J$7-Inputs!$I$7)))/Inputs!$K$7)^2))*((2*Inputs!$L$7*((Inputs!$I$7+(((A180)+1)/2)*(Inputs!$J$7-Inputs!$I$7)))/(Inputs!$K$7^2)*Inputs!$C$11)))/(SQRT(((Inputs!$I$7+(((A180)+1)/2)*(Inputs!$J$7-Inputs!$I$7)))^2+Inputs!$C$6^2+((Inputs!$H$7+Inputs!$L$7*(((Inputs!$I$7+(((A180)+1)/2)*(Inputs!$J$7-Inputs!$I$7)))/Inputs!$K$7)^2))^2)))))/Inputs!$C$13)</f>
        <v>-2090.9183303715336</v>
      </c>
      <c r="AN180" s="9">
        <f>(-2*((1000*((((Inputs!$I$8+(((A180)+1)/2)*(Inputs!$J$8-Inputs!$I$8)))*Inputs!$C$11+((Inputs!$H$8+Inputs!$L$8*(((Inputs!$I$8+(((A180)+1)/2)*(Inputs!$J$8-Inputs!$I$8)))/Inputs!$K$8)^2))*((2*Inputs!$L$8*((Inputs!$I$8+(((A180)+1)/2)*(Inputs!$J$8-Inputs!$I$8)))/(Inputs!$K$8^2)*Inputs!$C$11)))/(SQRT(((Inputs!$I$8+(((A180)+1)/2)*(Inputs!$J$8-Inputs!$I$8)))^2+Inputs!$C$6^2+((Inputs!$H$8+Inputs!$L$8*(((Inputs!$I$8+(((A180)+1)/2)*(Inputs!$J$8-Inputs!$I$8)))/Inputs!$K$8)^2))^2)))))/Inputs!$C$13)</f>
        <v>-2365.0168872230561</v>
      </c>
      <c r="AO180" s="9">
        <f>(-2*((1000*((((Inputs!$I$9+(((A180)+1)/2)*(Inputs!$J$9-Inputs!$I$9)))*Inputs!$C$11+((Inputs!$H$9+Inputs!$L$9*(((Inputs!$I$9+(((A180)+1)/2)*(Inputs!$J$9-Inputs!$I$9)))/Inputs!$K$9)^2))*((2*Inputs!$L$9*((Inputs!$I$9+(((A180)+1)/2)*(Inputs!$J$9-Inputs!$I$9)))/(Inputs!$K$9^2)*Inputs!$C$11)))/(SQRT(((Inputs!$I$9+(((A180)+1)/2)*(Inputs!$J$9-Inputs!$I$9)))^2+Inputs!$C$6^2+((Inputs!$H$9+Inputs!$L$9*(((Inputs!$I$9+(((A180)+1)/2)*(Inputs!$J$9-Inputs!$I$9)))/Inputs!$K$9)^2))^2)))))/Inputs!$C$13)</f>
        <v>-2366.2956439243558</v>
      </c>
    </row>
    <row r="181" spans="1:41">
      <c r="A181" s="9">
        <f>ROUND(-1+179*2/240,3)</f>
        <v>0.49199999999999999</v>
      </c>
      <c r="B181" s="9">
        <f>IF(OR(Inputs!$F$6=TRUE,Inputs!$F$6="TRUE",Inputs!$F$6=1),(Inputs!$H$6+Inputs!$L$6*(((Inputs!$I$6+(((A181)+1)/2)*(Inputs!$J$6-Inputs!$I$6)))/Inputs!$K$6)^2),NA())</f>
        <v>400.968256</v>
      </c>
      <c r="C181" s="9">
        <f>IF(OR(Inputs!$F$7=TRUE,Inputs!$F$7="TRUE",Inputs!$F$7=1),(Inputs!$H$7+Inputs!$L$7*(((Inputs!$I$7+(((A181)+1)/2)*(Inputs!$J$7-Inputs!$I$7)))/Inputs!$K$7)^2),NA())</f>
        <v>123.35335999999997</v>
      </c>
      <c r="D181" s="9">
        <f>IF(OR(Inputs!$F$8=TRUE,Inputs!$F$8="TRUE",Inputs!$F$8=1),(Inputs!$H$8+Inputs!$L$8*(((Inputs!$I$8+(((A181)+1)/2)*(Inputs!$J$8-Inputs!$I$8)))/Inputs!$K$8)^2),NA())</f>
        <v>268.59175999999991</v>
      </c>
      <c r="E181" s="9">
        <f>IF(OR(Inputs!$F$9=TRUE,Inputs!$F$9="TRUE",Inputs!$F$9=1),(Inputs!$H$9+Inputs!$L$9*(((Inputs!$I$9+(((A181)+1)/2)*(Inputs!$J$9-Inputs!$I$9)))/Inputs!$K$9)^2),NA())</f>
        <v>261.0123999999999</v>
      </c>
      <c r="F181" s="10"/>
      <c r="G181" s="9">
        <f t="shared" si="12"/>
        <v>0.49199999999999999</v>
      </c>
      <c r="H181" s="9">
        <f>IF(OR(Inputs!$F$6=TRUE,Inputs!$F$6="TRUE",Inputs!$F$6=1),(((SQRT(((Inputs!$I$6+(((A181)+1)/2)*(Inputs!$J$6-Inputs!$I$6)))^2+Inputs!$C$6^2+((Inputs!$H$6+Inputs!$L$6*(((Inputs!$I$6+(((A181)+1)/2)*(Inputs!$J$6-Inputs!$I$6)))/Inputs!$K$6)^2))^2))-((Inputs!$H$6+Inputs!$L$6*(((Inputs!$I$6+(((A181)+1)/2)*(Inputs!$J$6-Inputs!$I$6)))/Inputs!$K$6)^2)))*1000/Inputs!$C$12),NA())</f>
        <v>1045.8983664725858</v>
      </c>
      <c r="I181" s="9">
        <f>IF(OR(Inputs!$F$7=TRUE,Inputs!$F$7="TRUE",Inputs!$F$7=1),(((SQRT(((Inputs!$I$7+(((A181)+1)/2)*(Inputs!$J$7-Inputs!$I$7)))^2+Inputs!$C$6^2+((Inputs!$H$7+Inputs!$L$7*(((Inputs!$I$7+(((A181)+1)/2)*(Inputs!$J$7-Inputs!$I$7)))/Inputs!$K$7)^2))^2))-((Inputs!$H$7+Inputs!$L$7*(((Inputs!$I$7+(((A181)+1)/2)*(Inputs!$J$7-Inputs!$I$7)))/Inputs!$K$7)^2)))*1000/Inputs!$C$12),NA())</f>
        <v>61939.118062168098</v>
      </c>
      <c r="J181" s="9">
        <f>IF(OR(Inputs!$F$8=TRUE,Inputs!$F$8="TRUE",Inputs!$F$8=1),(((SQRT(((Inputs!$I$8+(((A181)+1)/2)*(Inputs!$J$8-Inputs!$I$8)))^2+Inputs!$C$6^2+((Inputs!$H$8+Inputs!$L$8*(((Inputs!$I$8+(((A181)+1)/2)*(Inputs!$J$8-Inputs!$I$8)))/Inputs!$K$8)^2))^2))-((Inputs!$H$8+Inputs!$L$8*(((Inputs!$I$8+(((A181)+1)/2)*(Inputs!$J$8-Inputs!$I$8)))/Inputs!$K$8)^2)))*1000/Inputs!$C$12),NA())</f>
        <v>117176.59936188682</v>
      </c>
      <c r="K181" s="9">
        <f>IF(OR(Inputs!$F$9=TRUE,Inputs!$F$9="TRUE",Inputs!$F$9=1),(((SQRT(((Inputs!$I$9+(((A181)+1)/2)*(Inputs!$J$9-Inputs!$I$9)))^2+Inputs!$C$6^2+((Inputs!$H$9+Inputs!$L$9*(((Inputs!$I$9+(((A181)+1)/2)*(Inputs!$J$9-Inputs!$I$9)))/Inputs!$K$9)^2))^2))-((Inputs!$H$9+Inputs!$L$9*(((Inputs!$I$9+(((A181)+1)/2)*(Inputs!$J$9-Inputs!$I$9)))/Inputs!$K$9)^2)))*1000/Inputs!$C$12),NA())</f>
        <v>119061.15584428063</v>
      </c>
      <c r="L181" s="10"/>
      <c r="M181" s="9">
        <f t="shared" si="13"/>
        <v>0.49199999999999999</v>
      </c>
      <c r="N181" s="9">
        <f>IF(OR(Inputs!$F$6=TRUE,Inputs!$F$6="TRUE",Inputs!$F$6=1),(-2*((1000*((((Inputs!$I$6+(((A181)+1)/2)*(Inputs!$J$6-Inputs!$I$6)))*Inputs!$C$11+((Inputs!$H$6+Inputs!$L$6*(((Inputs!$I$6+(((A181)+1)/2)*(Inputs!$J$6-Inputs!$I$6)))/Inputs!$K$6)^2))*((2*Inputs!$L$6*((Inputs!$I$6+(((A181)+1)/2)*(Inputs!$J$6-Inputs!$I$6)))/(Inputs!$K$6^2)*Inputs!$C$11)))/(SQRT(((Inputs!$I$6+(((A181)+1)/2)*(Inputs!$J$6-Inputs!$I$6)))^2+Inputs!$C$6^2+((Inputs!$H$6+Inputs!$L$6*(((Inputs!$I$6+(((A181)+1)/2)*(Inputs!$J$6-Inputs!$I$6)))/Inputs!$K$6)^2))^2)))))/Inputs!$C$13),NA())</f>
        <v>-221.72538814619693</v>
      </c>
      <c r="O181" s="9">
        <f>IF(OR(Inputs!$F$7=TRUE,Inputs!$F$7="TRUE",Inputs!$F$7=1),(-2*((1000*((((Inputs!$I$7+(((A181)+1)/2)*(Inputs!$J$7-Inputs!$I$7)))*Inputs!$C$11+((Inputs!$H$7+Inputs!$L$7*(((Inputs!$I$7+(((A181)+1)/2)*(Inputs!$J$7-Inputs!$I$7)))/Inputs!$K$7)^2))*((2*Inputs!$L$7*((Inputs!$I$7+(((A181)+1)/2)*(Inputs!$J$7-Inputs!$I$7)))/(Inputs!$K$7^2)*Inputs!$C$11)))/(SQRT(((Inputs!$I$7+(((A181)+1)/2)*(Inputs!$J$7-Inputs!$I$7)))^2+Inputs!$C$6^2+((Inputs!$H$7+Inputs!$L$7*(((Inputs!$I$7+(((A181)+1)/2)*(Inputs!$J$7-Inputs!$I$7)))/Inputs!$K$7)^2))^2)))))/Inputs!$C$13),NA())</f>
        <v>-2106.5233700403096</v>
      </c>
      <c r="P181" s="9">
        <f>IF(OR(Inputs!$F$8=TRUE,Inputs!$F$8="TRUE",Inputs!$F$8=1),(-2*((1000*((((Inputs!$I$8+(((A181)+1)/2)*(Inputs!$J$8-Inputs!$I$8)))*Inputs!$C$11+((Inputs!$H$8+Inputs!$L$8*(((Inputs!$I$8+(((A181)+1)/2)*(Inputs!$J$8-Inputs!$I$8)))/Inputs!$K$8)^2))*((2*Inputs!$L$8*((Inputs!$I$8+(((A181)+1)/2)*(Inputs!$J$8-Inputs!$I$8)))/(Inputs!$K$8^2)*Inputs!$C$11)))/(SQRT(((Inputs!$I$8+(((A181)+1)/2)*(Inputs!$J$8-Inputs!$I$8)))^2+Inputs!$C$6^2+((Inputs!$H$8+Inputs!$L$8*(((Inputs!$I$8+(((A181)+1)/2)*(Inputs!$J$8-Inputs!$I$8)))/Inputs!$K$8)^2))^2)))))/Inputs!$C$13),NA())</f>
        <v>-2388.7865606005753</v>
      </c>
      <c r="Q181" s="9">
        <f>IF(OR(Inputs!$F$9=TRUE,Inputs!$F$9="TRUE",Inputs!$F$9=1),(-2*((1000*((((Inputs!$I$9+(((A181)+1)/2)*(Inputs!$J$9-Inputs!$I$9)))*Inputs!$C$11+((Inputs!$H$9+Inputs!$L$9*(((Inputs!$I$9+(((A181)+1)/2)*(Inputs!$J$9-Inputs!$I$9)))/Inputs!$K$9)^2))*((2*Inputs!$L$9*((Inputs!$I$9+(((A181)+1)/2)*(Inputs!$J$9-Inputs!$I$9)))/(Inputs!$K$9^2)*Inputs!$C$11)))/(SQRT(((Inputs!$I$9+(((A181)+1)/2)*(Inputs!$J$9-Inputs!$I$9)))^2+Inputs!$C$6^2+((Inputs!$H$9+Inputs!$L$9*(((Inputs!$I$9+(((A181)+1)/2)*(Inputs!$J$9-Inputs!$I$9)))/Inputs!$K$9)^2))^2)))))/Inputs!$C$13),NA())</f>
        <v>-2390.5518400502724</v>
      </c>
      <c r="R181" s="10"/>
      <c r="S181" s="9">
        <f t="shared" si="14"/>
        <v>0.49199999999999999</v>
      </c>
      <c r="T181" s="9">
        <f>(Inputs!$I$6+(((A181)+1)/2)*(Inputs!$J$6-Inputs!$I$6))</f>
        <v>29.519999999999996</v>
      </c>
      <c r="U181" s="9">
        <f>(Inputs!$I$7+(((A181)+1)/2)*(Inputs!$J$7-Inputs!$I$7))</f>
        <v>196.79999999999995</v>
      </c>
      <c r="V181" s="9">
        <f>(Inputs!$I$8+(((A181)+1)/2)*(Inputs!$J$8-Inputs!$I$8))</f>
        <v>393.59999999999991</v>
      </c>
      <c r="W181" s="9">
        <f>(Inputs!$I$9+(((A181)+1)/2)*(Inputs!$J$9-Inputs!$I$9))</f>
        <v>393.59999999999991</v>
      </c>
      <c r="X181" s="10"/>
      <c r="Y181" s="9">
        <f t="shared" si="15"/>
        <v>0.49199999999999999</v>
      </c>
      <c r="Z181" s="9">
        <f>(Inputs!$H$6+Inputs!$L$6*(((Inputs!$I$6+(((A181)+1)/2)*(Inputs!$J$6-Inputs!$I$6)))/Inputs!$K$6)^2)</f>
        <v>400.968256</v>
      </c>
      <c r="AA181" s="9">
        <f>(Inputs!$H$7+Inputs!$L$7*(((Inputs!$I$7+(((A181)+1)/2)*(Inputs!$J$7-Inputs!$I$7)))/Inputs!$K$7)^2)</f>
        <v>123.35335999999997</v>
      </c>
      <c r="AB181" s="9">
        <f>(Inputs!$H$8+Inputs!$L$8*(((Inputs!$I$8+(((A181)+1)/2)*(Inputs!$J$8-Inputs!$I$8)))/Inputs!$K$8)^2)</f>
        <v>268.59175999999991</v>
      </c>
      <c r="AC181" s="9">
        <f>(Inputs!$H$9+Inputs!$L$9*(((Inputs!$I$9+(((A181)+1)/2)*(Inputs!$J$9-Inputs!$I$9)))/Inputs!$K$9)^2)</f>
        <v>261.0123999999999</v>
      </c>
      <c r="AD181" s="10"/>
      <c r="AE181" s="9">
        <f t="shared" si="16"/>
        <v>0.49199999999999999</v>
      </c>
      <c r="AF181" s="9">
        <f>(((SQRT(((Inputs!$I$6+(((A181)+1)/2)*(Inputs!$J$6-Inputs!$I$6)))^2+Inputs!$C$6^2+((Inputs!$H$6+Inputs!$L$6*(((Inputs!$I$6+(((A181)+1)/2)*(Inputs!$J$6-Inputs!$I$6)))/Inputs!$K$6)^2))^2))-((Inputs!$H$6+Inputs!$L$6*(((Inputs!$I$6+(((A181)+1)/2)*(Inputs!$J$6-Inputs!$I$6)))/Inputs!$K$6)^2)))*1000/Inputs!$C$12)</f>
        <v>1045.8983664725858</v>
      </c>
      <c r="AG181" s="9">
        <f>(((SQRT(((Inputs!$I$7+(((A181)+1)/2)*(Inputs!$J$7-Inputs!$I$7)))^2+Inputs!$C$6^2+((Inputs!$H$7+Inputs!$L$7*(((Inputs!$I$7+(((A181)+1)/2)*(Inputs!$J$7-Inputs!$I$7)))/Inputs!$K$7)^2))^2))-((Inputs!$H$7+Inputs!$L$7*(((Inputs!$I$7+(((A181)+1)/2)*(Inputs!$J$7-Inputs!$I$7)))/Inputs!$K$7)^2)))*1000/Inputs!$C$12)</f>
        <v>61939.118062168098</v>
      </c>
      <c r="AH181" s="9">
        <f>(((SQRT(((Inputs!$I$8+(((A181)+1)/2)*(Inputs!$J$8-Inputs!$I$8)))^2+Inputs!$C$6^2+((Inputs!$H$8+Inputs!$L$8*(((Inputs!$I$8+(((A181)+1)/2)*(Inputs!$J$8-Inputs!$I$8)))/Inputs!$K$8)^2))^2))-((Inputs!$H$8+Inputs!$L$8*(((Inputs!$I$8+(((A181)+1)/2)*(Inputs!$J$8-Inputs!$I$8)))/Inputs!$K$8)^2)))*1000/Inputs!$C$12)</f>
        <v>117176.59936188682</v>
      </c>
      <c r="AI181" s="9">
        <f>(((SQRT(((Inputs!$I$9+(((A181)+1)/2)*(Inputs!$J$9-Inputs!$I$9)))^2+Inputs!$C$6^2+((Inputs!$H$9+Inputs!$L$9*(((Inputs!$I$9+(((A181)+1)/2)*(Inputs!$J$9-Inputs!$I$9)))/Inputs!$K$9)^2))^2))-((Inputs!$H$9+Inputs!$L$9*(((Inputs!$I$9+(((A181)+1)/2)*(Inputs!$J$9-Inputs!$I$9)))/Inputs!$K$9)^2)))*1000/Inputs!$C$12)</f>
        <v>119061.15584428063</v>
      </c>
      <c r="AJ181" s="10"/>
      <c r="AK181" s="9">
        <f t="shared" si="17"/>
        <v>0.49199999999999999</v>
      </c>
      <c r="AL181" s="9">
        <f>(-2*((1000*((((Inputs!$I$6+(((A181)+1)/2)*(Inputs!$J$6-Inputs!$I$6)))*Inputs!$C$11+((Inputs!$H$6+Inputs!$L$6*(((Inputs!$I$6+(((A181)+1)/2)*(Inputs!$J$6-Inputs!$I$6)))/Inputs!$K$6)^2))*((2*Inputs!$L$6*((Inputs!$I$6+(((A181)+1)/2)*(Inputs!$J$6-Inputs!$I$6)))/(Inputs!$K$6^2)*Inputs!$C$11)))/(SQRT(((Inputs!$I$6+(((A181)+1)/2)*(Inputs!$J$6-Inputs!$I$6)))^2+Inputs!$C$6^2+((Inputs!$H$6+Inputs!$L$6*(((Inputs!$I$6+(((A181)+1)/2)*(Inputs!$J$6-Inputs!$I$6)))/Inputs!$K$6)^2))^2)))))/Inputs!$C$13)</f>
        <v>-221.72538814619693</v>
      </c>
      <c r="AM181" s="9">
        <f>(-2*((1000*((((Inputs!$I$7+(((A181)+1)/2)*(Inputs!$J$7-Inputs!$I$7)))*Inputs!$C$11+((Inputs!$H$7+Inputs!$L$7*(((Inputs!$I$7+(((A181)+1)/2)*(Inputs!$J$7-Inputs!$I$7)))/Inputs!$K$7)^2))*((2*Inputs!$L$7*((Inputs!$I$7+(((A181)+1)/2)*(Inputs!$J$7-Inputs!$I$7)))/(Inputs!$K$7^2)*Inputs!$C$11)))/(SQRT(((Inputs!$I$7+(((A181)+1)/2)*(Inputs!$J$7-Inputs!$I$7)))^2+Inputs!$C$6^2+((Inputs!$H$7+Inputs!$L$7*(((Inputs!$I$7+(((A181)+1)/2)*(Inputs!$J$7-Inputs!$I$7)))/Inputs!$K$7)^2))^2)))))/Inputs!$C$13)</f>
        <v>-2106.5233700403096</v>
      </c>
      <c r="AN181" s="9">
        <f>(-2*((1000*((((Inputs!$I$8+(((A181)+1)/2)*(Inputs!$J$8-Inputs!$I$8)))*Inputs!$C$11+((Inputs!$H$8+Inputs!$L$8*(((Inputs!$I$8+(((A181)+1)/2)*(Inputs!$J$8-Inputs!$I$8)))/Inputs!$K$8)^2))*((2*Inputs!$L$8*((Inputs!$I$8+(((A181)+1)/2)*(Inputs!$J$8-Inputs!$I$8)))/(Inputs!$K$8^2)*Inputs!$C$11)))/(SQRT(((Inputs!$I$8+(((A181)+1)/2)*(Inputs!$J$8-Inputs!$I$8)))^2+Inputs!$C$6^2+((Inputs!$H$8+Inputs!$L$8*(((Inputs!$I$8+(((A181)+1)/2)*(Inputs!$J$8-Inputs!$I$8)))/Inputs!$K$8)^2))^2)))))/Inputs!$C$13)</f>
        <v>-2388.7865606005753</v>
      </c>
      <c r="AO181" s="9">
        <f>(-2*((1000*((((Inputs!$I$9+(((A181)+1)/2)*(Inputs!$J$9-Inputs!$I$9)))*Inputs!$C$11+((Inputs!$H$9+Inputs!$L$9*(((Inputs!$I$9+(((A181)+1)/2)*(Inputs!$J$9-Inputs!$I$9)))/Inputs!$K$9)^2))*((2*Inputs!$L$9*((Inputs!$I$9+(((A181)+1)/2)*(Inputs!$J$9-Inputs!$I$9)))/(Inputs!$K$9^2)*Inputs!$C$11)))/(SQRT(((Inputs!$I$9+(((A181)+1)/2)*(Inputs!$J$9-Inputs!$I$9)))^2+Inputs!$C$6^2+((Inputs!$H$9+Inputs!$L$9*(((Inputs!$I$9+(((A181)+1)/2)*(Inputs!$J$9-Inputs!$I$9)))/Inputs!$K$9)^2))^2)))))/Inputs!$C$13)</f>
        <v>-2390.5518400502724</v>
      </c>
    </row>
    <row r="182" spans="1:41">
      <c r="A182" s="9">
        <f>ROUND(-1+180*2/240,3)</f>
        <v>0.5</v>
      </c>
      <c r="B182" s="9">
        <f>IF(OR(Inputs!$F$6=TRUE,Inputs!$F$6="TRUE",Inputs!$F$6=1),(Inputs!$H$6+Inputs!$L$6*(((Inputs!$I$6+(((A182)+1)/2)*(Inputs!$J$6-Inputs!$I$6)))/Inputs!$K$6)^2),NA())</f>
        <v>401</v>
      </c>
      <c r="C182" s="9">
        <f>IF(OR(Inputs!$F$7=TRUE,Inputs!$F$7="TRUE",Inputs!$F$7=1),(Inputs!$H$7+Inputs!$L$7*(((Inputs!$I$7+(((A182)+1)/2)*(Inputs!$J$7-Inputs!$I$7)))/Inputs!$K$7)^2),NA())</f>
        <v>126.25</v>
      </c>
      <c r="D182" s="9">
        <f>IF(OR(Inputs!$F$8=TRUE,Inputs!$F$8="TRUE",Inputs!$F$8=1),(Inputs!$H$8+Inputs!$L$8*(((Inputs!$I$8+(((A182)+1)/2)*(Inputs!$J$8-Inputs!$I$8)))/Inputs!$K$8)^2),NA())</f>
        <v>276.25</v>
      </c>
      <c r="E182" s="9">
        <f>IF(OR(Inputs!$F$9=TRUE,Inputs!$F$9="TRUE",Inputs!$F$9=1),(Inputs!$H$9+Inputs!$L$9*(((Inputs!$I$9+(((A182)+1)/2)*(Inputs!$J$9-Inputs!$I$9)))/Inputs!$K$9)^2),NA())</f>
        <v>268.75</v>
      </c>
      <c r="F182" s="10"/>
      <c r="G182" s="9">
        <f t="shared" si="12"/>
        <v>0.5</v>
      </c>
      <c r="H182" s="9">
        <f>IF(OR(Inputs!$F$6=TRUE,Inputs!$F$6="TRUE",Inputs!$F$6=1),(((SQRT(((Inputs!$I$6+(((A182)+1)/2)*(Inputs!$J$6-Inputs!$I$6)))^2+Inputs!$C$6^2+((Inputs!$H$6+Inputs!$L$6*(((Inputs!$I$6+(((A182)+1)/2)*(Inputs!$J$6-Inputs!$I$6)))/Inputs!$K$6)^2))^2))-((Inputs!$H$6+Inputs!$L$6*(((Inputs!$I$6+(((A182)+1)/2)*(Inputs!$J$6-Inputs!$I$6)))/Inputs!$K$6)^2)))*1000/Inputs!$C$12),NA())</f>
        <v>1065.7354900670628</v>
      </c>
      <c r="I182" s="9">
        <f>IF(OR(Inputs!$F$7=TRUE,Inputs!$F$7="TRUE",Inputs!$F$7=1),(((SQRT(((Inputs!$I$7+(((A182)+1)/2)*(Inputs!$J$7-Inputs!$I$7)))^2+Inputs!$C$6^2+((Inputs!$H$7+Inputs!$L$7*(((Inputs!$I$7+(((A182)+1)/2)*(Inputs!$J$7-Inputs!$I$7)))/Inputs!$K$7)^2))^2))-((Inputs!$H$7+Inputs!$L$7*(((Inputs!$I$7+(((A182)+1)/2)*(Inputs!$J$7-Inputs!$I$7)))/Inputs!$K$7)^2)))*1000/Inputs!$C$12),NA())</f>
        <v>62686.519542073103</v>
      </c>
      <c r="J182" s="9">
        <f>IF(OR(Inputs!$F$8=TRUE,Inputs!$F$8="TRUE",Inputs!$F$8=1),(((SQRT(((Inputs!$I$8+(((A182)+1)/2)*(Inputs!$J$8-Inputs!$I$8)))^2+Inputs!$C$6^2+((Inputs!$H$8+Inputs!$L$8*(((Inputs!$I$8+(((A182)+1)/2)*(Inputs!$J$8-Inputs!$I$8)))/Inputs!$K$8)^2))^2))-((Inputs!$H$8+Inputs!$L$8*(((Inputs!$I$8+(((A182)+1)/2)*(Inputs!$J$8-Inputs!$I$8)))/Inputs!$K$8)^2)))*1000/Inputs!$C$12),NA())</f>
        <v>118266.21757916138</v>
      </c>
      <c r="K182" s="9">
        <f>IF(OR(Inputs!$F$9=TRUE,Inputs!$F$9="TRUE",Inputs!$F$9=1),(((SQRT(((Inputs!$I$9+(((A182)+1)/2)*(Inputs!$J$9-Inputs!$I$9)))^2+Inputs!$C$6^2+((Inputs!$H$9+Inputs!$L$9*(((Inputs!$I$9+(((A182)+1)/2)*(Inputs!$J$9-Inputs!$I$9)))/Inputs!$K$9)^2))^2))-((Inputs!$H$9+Inputs!$L$9*(((Inputs!$I$9+(((A182)+1)/2)*(Inputs!$J$9-Inputs!$I$9)))/Inputs!$K$9)^2)))*1000/Inputs!$C$12),NA())</f>
        <v>120110.64813142721</v>
      </c>
      <c r="L182" s="10"/>
      <c r="M182" s="9">
        <f t="shared" si="13"/>
        <v>0.5</v>
      </c>
      <c r="N182" s="9">
        <f>IF(OR(Inputs!$F$6=TRUE,Inputs!$F$6="TRUE",Inputs!$F$6=1),(-2*((1000*((((Inputs!$I$6+(((A182)+1)/2)*(Inputs!$J$6-Inputs!$I$6)))*Inputs!$C$11+((Inputs!$H$6+Inputs!$L$6*(((Inputs!$I$6+(((A182)+1)/2)*(Inputs!$J$6-Inputs!$I$6)))/Inputs!$K$6)^2))*((2*Inputs!$L$6*((Inputs!$I$6+(((A182)+1)/2)*(Inputs!$J$6-Inputs!$I$6)))/(Inputs!$K$6^2)*Inputs!$C$11)))/(SQRT(((Inputs!$I$6+(((A182)+1)/2)*(Inputs!$J$6-Inputs!$I$6)))^2+Inputs!$C$6^2+((Inputs!$H$6+Inputs!$L$6*(((Inputs!$I$6+(((A182)+1)/2)*(Inputs!$J$6-Inputs!$I$6)))/Inputs!$K$6)^2))^2)))))/Inputs!$C$13),NA())</f>
        <v>-225.30158146324069</v>
      </c>
      <c r="O182" s="9">
        <f>IF(OR(Inputs!$F$7=TRUE,Inputs!$F$7="TRUE",Inputs!$F$7=1),(-2*((1000*((((Inputs!$I$7+(((A182)+1)/2)*(Inputs!$J$7-Inputs!$I$7)))*Inputs!$C$11+((Inputs!$H$7+Inputs!$L$7*(((Inputs!$I$7+(((A182)+1)/2)*(Inputs!$J$7-Inputs!$I$7)))/Inputs!$K$7)^2))*((2*Inputs!$L$7*((Inputs!$I$7+(((A182)+1)/2)*(Inputs!$J$7-Inputs!$I$7)))/(Inputs!$K$7^2)*Inputs!$C$11)))/(SQRT(((Inputs!$I$7+(((A182)+1)/2)*(Inputs!$J$7-Inputs!$I$7)))^2+Inputs!$C$6^2+((Inputs!$H$7+Inputs!$L$7*(((Inputs!$I$7+(((A182)+1)/2)*(Inputs!$J$7-Inputs!$I$7)))/Inputs!$K$7)^2))^2)))))/Inputs!$C$13),NA())</f>
        <v>-2120.5093925695264</v>
      </c>
      <c r="P182" s="9">
        <f>IF(OR(Inputs!$F$8=TRUE,Inputs!$F$8="TRUE",Inputs!$F$8=1),(-2*((1000*((((Inputs!$I$8+(((A182)+1)/2)*(Inputs!$J$8-Inputs!$I$8)))*Inputs!$C$11+((Inputs!$H$8+Inputs!$L$8*(((Inputs!$I$8+(((A182)+1)/2)*(Inputs!$J$8-Inputs!$I$8)))/Inputs!$K$8)^2))*((2*Inputs!$L$8*((Inputs!$I$8+(((A182)+1)/2)*(Inputs!$J$8-Inputs!$I$8)))/(Inputs!$K$8^2)*Inputs!$C$11)))/(SQRT(((Inputs!$I$8+(((A182)+1)/2)*(Inputs!$J$8-Inputs!$I$8)))^2+Inputs!$C$6^2+((Inputs!$H$8+Inputs!$L$8*(((Inputs!$I$8+(((A182)+1)/2)*(Inputs!$J$8-Inputs!$I$8)))/Inputs!$K$8)^2))^2)))))/Inputs!$C$13),NA())</f>
        <v>-2410.1265086277999</v>
      </c>
      <c r="Q182" s="9">
        <f>IF(OR(Inputs!$F$9=TRUE,Inputs!$F$9="TRUE",Inputs!$F$9=1),(-2*((1000*((((Inputs!$I$9+(((A182)+1)/2)*(Inputs!$J$9-Inputs!$I$9)))*Inputs!$C$11+((Inputs!$H$9+Inputs!$L$9*(((Inputs!$I$9+(((A182)+1)/2)*(Inputs!$J$9-Inputs!$I$9)))/Inputs!$K$9)^2))*((2*Inputs!$L$9*((Inputs!$I$9+(((A182)+1)/2)*(Inputs!$J$9-Inputs!$I$9)))/(Inputs!$K$9^2)*Inputs!$C$11)))/(SQRT(((Inputs!$I$9+(((A182)+1)/2)*(Inputs!$J$9-Inputs!$I$9)))^2+Inputs!$C$6^2+((Inputs!$H$9+Inputs!$L$9*(((Inputs!$I$9+(((A182)+1)/2)*(Inputs!$J$9-Inputs!$I$9)))/Inputs!$K$9)^2))^2)))))/Inputs!$C$13),NA())</f>
        <v>-2412.3300150114787</v>
      </c>
      <c r="R182" s="10"/>
      <c r="S182" s="9">
        <f t="shared" si="14"/>
        <v>0.5</v>
      </c>
      <c r="T182" s="9">
        <f>(Inputs!$I$6+(((A182)+1)/2)*(Inputs!$J$6-Inputs!$I$6))</f>
        <v>30</v>
      </c>
      <c r="U182" s="9">
        <f>(Inputs!$I$7+(((A182)+1)/2)*(Inputs!$J$7-Inputs!$I$7))</f>
        <v>200</v>
      </c>
      <c r="V182" s="9">
        <f>(Inputs!$I$8+(((A182)+1)/2)*(Inputs!$J$8-Inputs!$I$8))</f>
        <v>400</v>
      </c>
      <c r="W182" s="9">
        <f>(Inputs!$I$9+(((A182)+1)/2)*(Inputs!$J$9-Inputs!$I$9))</f>
        <v>400</v>
      </c>
      <c r="X182" s="10"/>
      <c r="Y182" s="9">
        <f t="shared" si="15"/>
        <v>0.5</v>
      </c>
      <c r="Z182" s="9">
        <f>(Inputs!$H$6+Inputs!$L$6*(((Inputs!$I$6+(((A182)+1)/2)*(Inputs!$J$6-Inputs!$I$6)))/Inputs!$K$6)^2)</f>
        <v>401</v>
      </c>
      <c r="AA182" s="9">
        <f>(Inputs!$H$7+Inputs!$L$7*(((Inputs!$I$7+(((A182)+1)/2)*(Inputs!$J$7-Inputs!$I$7)))/Inputs!$K$7)^2)</f>
        <v>126.25</v>
      </c>
      <c r="AB182" s="9">
        <f>(Inputs!$H$8+Inputs!$L$8*(((Inputs!$I$8+(((A182)+1)/2)*(Inputs!$J$8-Inputs!$I$8)))/Inputs!$K$8)^2)</f>
        <v>276.25</v>
      </c>
      <c r="AC182" s="9">
        <f>(Inputs!$H$9+Inputs!$L$9*(((Inputs!$I$9+(((A182)+1)/2)*(Inputs!$J$9-Inputs!$I$9)))/Inputs!$K$9)^2)</f>
        <v>268.75</v>
      </c>
      <c r="AD182" s="10"/>
      <c r="AE182" s="9">
        <f t="shared" si="16"/>
        <v>0.5</v>
      </c>
      <c r="AF182" s="9">
        <f>(((SQRT(((Inputs!$I$6+(((A182)+1)/2)*(Inputs!$J$6-Inputs!$I$6)))^2+Inputs!$C$6^2+((Inputs!$H$6+Inputs!$L$6*(((Inputs!$I$6+(((A182)+1)/2)*(Inputs!$J$6-Inputs!$I$6)))/Inputs!$K$6)^2))^2))-((Inputs!$H$6+Inputs!$L$6*(((Inputs!$I$6+(((A182)+1)/2)*(Inputs!$J$6-Inputs!$I$6)))/Inputs!$K$6)^2)))*1000/Inputs!$C$12)</f>
        <v>1065.7354900670628</v>
      </c>
      <c r="AG182" s="9">
        <f>(((SQRT(((Inputs!$I$7+(((A182)+1)/2)*(Inputs!$J$7-Inputs!$I$7)))^2+Inputs!$C$6^2+((Inputs!$H$7+Inputs!$L$7*(((Inputs!$I$7+(((A182)+1)/2)*(Inputs!$J$7-Inputs!$I$7)))/Inputs!$K$7)^2))^2))-((Inputs!$H$7+Inputs!$L$7*(((Inputs!$I$7+(((A182)+1)/2)*(Inputs!$J$7-Inputs!$I$7)))/Inputs!$K$7)^2)))*1000/Inputs!$C$12)</f>
        <v>62686.519542073103</v>
      </c>
      <c r="AH182" s="9">
        <f>(((SQRT(((Inputs!$I$8+(((A182)+1)/2)*(Inputs!$J$8-Inputs!$I$8)))^2+Inputs!$C$6^2+((Inputs!$H$8+Inputs!$L$8*(((Inputs!$I$8+(((A182)+1)/2)*(Inputs!$J$8-Inputs!$I$8)))/Inputs!$K$8)^2))^2))-((Inputs!$H$8+Inputs!$L$8*(((Inputs!$I$8+(((A182)+1)/2)*(Inputs!$J$8-Inputs!$I$8)))/Inputs!$K$8)^2)))*1000/Inputs!$C$12)</f>
        <v>118266.21757916138</v>
      </c>
      <c r="AI182" s="9">
        <f>(((SQRT(((Inputs!$I$9+(((A182)+1)/2)*(Inputs!$J$9-Inputs!$I$9)))^2+Inputs!$C$6^2+((Inputs!$H$9+Inputs!$L$9*(((Inputs!$I$9+(((A182)+1)/2)*(Inputs!$J$9-Inputs!$I$9)))/Inputs!$K$9)^2))^2))-((Inputs!$H$9+Inputs!$L$9*(((Inputs!$I$9+(((A182)+1)/2)*(Inputs!$J$9-Inputs!$I$9)))/Inputs!$K$9)^2)))*1000/Inputs!$C$12)</f>
        <v>120110.64813142721</v>
      </c>
      <c r="AJ182" s="10"/>
      <c r="AK182" s="9">
        <f t="shared" si="17"/>
        <v>0.5</v>
      </c>
      <c r="AL182" s="9">
        <f>(-2*((1000*((((Inputs!$I$6+(((A182)+1)/2)*(Inputs!$J$6-Inputs!$I$6)))*Inputs!$C$11+((Inputs!$H$6+Inputs!$L$6*(((Inputs!$I$6+(((A182)+1)/2)*(Inputs!$J$6-Inputs!$I$6)))/Inputs!$K$6)^2))*((2*Inputs!$L$6*((Inputs!$I$6+(((A182)+1)/2)*(Inputs!$J$6-Inputs!$I$6)))/(Inputs!$K$6^2)*Inputs!$C$11)))/(SQRT(((Inputs!$I$6+(((A182)+1)/2)*(Inputs!$J$6-Inputs!$I$6)))^2+Inputs!$C$6^2+((Inputs!$H$6+Inputs!$L$6*(((Inputs!$I$6+(((A182)+1)/2)*(Inputs!$J$6-Inputs!$I$6)))/Inputs!$K$6)^2))^2)))))/Inputs!$C$13)</f>
        <v>-225.30158146324069</v>
      </c>
      <c r="AM182" s="9">
        <f>(-2*((1000*((((Inputs!$I$7+(((A182)+1)/2)*(Inputs!$J$7-Inputs!$I$7)))*Inputs!$C$11+((Inputs!$H$7+Inputs!$L$7*(((Inputs!$I$7+(((A182)+1)/2)*(Inputs!$J$7-Inputs!$I$7)))/Inputs!$K$7)^2))*((2*Inputs!$L$7*((Inputs!$I$7+(((A182)+1)/2)*(Inputs!$J$7-Inputs!$I$7)))/(Inputs!$K$7^2)*Inputs!$C$11)))/(SQRT(((Inputs!$I$7+(((A182)+1)/2)*(Inputs!$J$7-Inputs!$I$7)))^2+Inputs!$C$6^2+((Inputs!$H$7+Inputs!$L$7*(((Inputs!$I$7+(((A182)+1)/2)*(Inputs!$J$7-Inputs!$I$7)))/Inputs!$K$7)^2))^2)))))/Inputs!$C$13)</f>
        <v>-2120.5093925695264</v>
      </c>
      <c r="AN182" s="9">
        <f>(-2*((1000*((((Inputs!$I$8+(((A182)+1)/2)*(Inputs!$J$8-Inputs!$I$8)))*Inputs!$C$11+((Inputs!$H$8+Inputs!$L$8*(((Inputs!$I$8+(((A182)+1)/2)*(Inputs!$J$8-Inputs!$I$8)))/Inputs!$K$8)^2))*((2*Inputs!$L$8*((Inputs!$I$8+(((A182)+1)/2)*(Inputs!$J$8-Inputs!$I$8)))/(Inputs!$K$8^2)*Inputs!$C$11)))/(SQRT(((Inputs!$I$8+(((A182)+1)/2)*(Inputs!$J$8-Inputs!$I$8)))^2+Inputs!$C$6^2+((Inputs!$H$8+Inputs!$L$8*(((Inputs!$I$8+(((A182)+1)/2)*(Inputs!$J$8-Inputs!$I$8)))/Inputs!$K$8)^2))^2)))))/Inputs!$C$13)</f>
        <v>-2410.1265086277999</v>
      </c>
      <c r="AO182" s="9">
        <f>(-2*((1000*((((Inputs!$I$9+(((A182)+1)/2)*(Inputs!$J$9-Inputs!$I$9)))*Inputs!$C$11+((Inputs!$H$9+Inputs!$L$9*(((Inputs!$I$9+(((A182)+1)/2)*(Inputs!$J$9-Inputs!$I$9)))/Inputs!$K$9)^2))*((2*Inputs!$L$9*((Inputs!$I$9+(((A182)+1)/2)*(Inputs!$J$9-Inputs!$I$9)))/(Inputs!$K$9^2)*Inputs!$C$11)))/(SQRT(((Inputs!$I$9+(((A182)+1)/2)*(Inputs!$J$9-Inputs!$I$9)))^2+Inputs!$C$6^2+((Inputs!$H$9+Inputs!$L$9*(((Inputs!$I$9+(((A182)+1)/2)*(Inputs!$J$9-Inputs!$I$9)))/Inputs!$K$9)^2))^2)))))/Inputs!$C$13)</f>
        <v>-2412.3300150114787</v>
      </c>
    </row>
    <row r="183" spans="1:41">
      <c r="A183" s="9">
        <f>ROUND(-1+181*2/240,3)</f>
        <v>0.50800000000000001</v>
      </c>
      <c r="B183" s="9">
        <f>IF(OR(Inputs!$F$6=TRUE,Inputs!$F$6="TRUE",Inputs!$F$6=1),(Inputs!$H$6+Inputs!$L$6*(((Inputs!$I$6+(((A183)+1)/2)*(Inputs!$J$6-Inputs!$I$6)))/Inputs!$K$6)^2),NA())</f>
        <v>401.03225600000002</v>
      </c>
      <c r="C183" s="9">
        <f>IF(OR(Inputs!$F$7=TRUE,Inputs!$F$7="TRUE",Inputs!$F$7=1),(Inputs!$H$7+Inputs!$L$7*(((Inputs!$I$7+(((A183)+1)/2)*(Inputs!$J$7-Inputs!$I$7)))/Inputs!$K$7)^2),NA())</f>
        <v>129.19336000000004</v>
      </c>
      <c r="D183" s="9">
        <f>IF(OR(Inputs!$F$8=TRUE,Inputs!$F$8="TRUE",Inputs!$F$8=1),(Inputs!$H$8+Inputs!$L$8*(((Inputs!$I$8+(((A183)+1)/2)*(Inputs!$J$8-Inputs!$I$8)))/Inputs!$K$8)^2),NA())</f>
        <v>284.03176000000013</v>
      </c>
      <c r="E183" s="9">
        <f>IF(OR(Inputs!$F$9=TRUE,Inputs!$F$9="TRUE",Inputs!$F$9=1),(Inputs!$H$9+Inputs!$L$9*(((Inputs!$I$9+(((A183)+1)/2)*(Inputs!$J$9-Inputs!$I$9)))/Inputs!$K$9)^2),NA())</f>
        <v>276.61240000000009</v>
      </c>
      <c r="F183" s="10"/>
      <c r="G183" s="9">
        <f t="shared" si="12"/>
        <v>0.50800000000000001</v>
      </c>
      <c r="H183" s="9">
        <f>IF(OR(Inputs!$F$6=TRUE,Inputs!$F$6="TRUE",Inputs!$F$6=1),(((SQRT(((Inputs!$I$6+(((A183)+1)/2)*(Inputs!$J$6-Inputs!$I$6)))^2+Inputs!$C$6^2+((Inputs!$H$6+Inputs!$L$6*(((Inputs!$I$6+(((A183)+1)/2)*(Inputs!$J$6-Inputs!$I$6)))/Inputs!$K$6)^2))^2))-((Inputs!$H$6+Inputs!$L$6*(((Inputs!$I$6+(((A183)+1)/2)*(Inputs!$J$6-Inputs!$I$6)))/Inputs!$K$6)^2)))*1000/Inputs!$C$12),NA())</f>
        <v>1085.8875853460092</v>
      </c>
      <c r="I183" s="9">
        <f>IF(OR(Inputs!$F$7=TRUE,Inputs!$F$7="TRUE",Inputs!$F$7=1),(((SQRT(((Inputs!$I$7+(((A183)+1)/2)*(Inputs!$J$7-Inputs!$I$7)))^2+Inputs!$C$6^2+((Inputs!$H$7+Inputs!$L$7*(((Inputs!$I$7+(((A183)+1)/2)*(Inputs!$J$7-Inputs!$I$7)))/Inputs!$K$7)^2))^2))-((Inputs!$H$7+Inputs!$L$7*(((Inputs!$I$7+(((A183)+1)/2)*(Inputs!$J$7-Inputs!$I$7)))/Inputs!$K$7)^2)))*1000/Inputs!$C$12),NA())</f>
        <v>63423.449765041165</v>
      </c>
      <c r="J183" s="9">
        <f>IF(OR(Inputs!$F$8=TRUE,Inputs!$F$8="TRUE",Inputs!$F$8=1),(((SQRT(((Inputs!$I$8+(((A183)+1)/2)*(Inputs!$J$8-Inputs!$I$8)))^2+Inputs!$C$6^2+((Inputs!$H$8+Inputs!$L$8*(((Inputs!$I$8+(((A183)+1)/2)*(Inputs!$J$8-Inputs!$I$8)))/Inputs!$K$8)^2))^2))-((Inputs!$H$8+Inputs!$L$8*(((Inputs!$I$8+(((A183)+1)/2)*(Inputs!$J$8-Inputs!$I$8)))/Inputs!$K$8)^2)))*1000/Inputs!$C$12),NA())</f>
        <v>119334.61773979013</v>
      </c>
      <c r="K183" s="9">
        <f>IF(OR(Inputs!$F$9=TRUE,Inputs!$F$9="TRUE",Inputs!$F$9=1),(((SQRT(((Inputs!$I$9+(((A183)+1)/2)*(Inputs!$J$9-Inputs!$I$9)))^2+Inputs!$C$6^2+((Inputs!$H$9+Inputs!$L$9*(((Inputs!$I$9+(((A183)+1)/2)*(Inputs!$J$9-Inputs!$I$9)))/Inputs!$K$9)^2))^2))-((Inputs!$H$9+Inputs!$L$9*(((Inputs!$I$9+(((A183)+1)/2)*(Inputs!$J$9-Inputs!$I$9)))/Inputs!$K$9)^2)))*1000/Inputs!$C$12),NA())</f>
        <v>121139.19370297402</v>
      </c>
      <c r="L183" s="10"/>
      <c r="M183" s="9">
        <f t="shared" si="13"/>
        <v>0.50800000000000001</v>
      </c>
      <c r="N183" s="9">
        <f>IF(OR(Inputs!$F$6=TRUE,Inputs!$F$6="TRUE",Inputs!$F$6=1),(-2*((1000*((((Inputs!$I$6+(((A183)+1)/2)*(Inputs!$J$6-Inputs!$I$6)))*Inputs!$C$11+((Inputs!$H$6+Inputs!$L$6*(((Inputs!$I$6+(((A183)+1)/2)*(Inputs!$J$6-Inputs!$I$6)))/Inputs!$K$6)^2))*((2*Inputs!$L$6*((Inputs!$I$6+(((A183)+1)/2)*(Inputs!$J$6-Inputs!$I$6)))/(Inputs!$K$6^2)*Inputs!$C$11)))/(SQRT(((Inputs!$I$6+(((A183)+1)/2)*(Inputs!$J$6-Inputs!$I$6)))^2+Inputs!$C$6^2+((Inputs!$H$6+Inputs!$L$6*(((Inputs!$I$6+(((A183)+1)/2)*(Inputs!$J$6-Inputs!$I$6)))/Inputs!$K$6)^2))^2)))))/Inputs!$C$13),NA())</f>
        <v>-228.87638194922107</v>
      </c>
      <c r="O183" s="9">
        <f>IF(OR(Inputs!$F$7=TRUE,Inputs!$F$7="TRUE",Inputs!$F$7=1),(-2*((1000*((((Inputs!$I$7+(((A183)+1)/2)*(Inputs!$J$7-Inputs!$I$7)))*Inputs!$C$11+((Inputs!$H$7+Inputs!$L$7*(((Inputs!$I$7+(((A183)+1)/2)*(Inputs!$J$7-Inputs!$I$7)))/Inputs!$K$7)^2))*((2*Inputs!$L$7*((Inputs!$I$7+(((A183)+1)/2)*(Inputs!$J$7-Inputs!$I$7)))/(Inputs!$K$7^2)*Inputs!$C$11)))/(SQRT(((Inputs!$I$7+(((A183)+1)/2)*(Inputs!$J$7-Inputs!$I$7)))^2+Inputs!$C$6^2+((Inputs!$H$7+Inputs!$L$7*(((Inputs!$I$7+(((A183)+1)/2)*(Inputs!$J$7-Inputs!$I$7)))/Inputs!$K$7)^2))^2)))))/Inputs!$C$13),NA())</f>
        <v>-2134.6046990845198</v>
      </c>
      <c r="P183" s="9">
        <f>IF(OR(Inputs!$F$8=TRUE,Inputs!$F$8="TRUE",Inputs!$F$8=1),(-2*((1000*((((Inputs!$I$8+(((A183)+1)/2)*(Inputs!$J$8-Inputs!$I$8)))*Inputs!$C$11+((Inputs!$H$8+Inputs!$L$8*(((Inputs!$I$8+(((A183)+1)/2)*(Inputs!$J$8-Inputs!$I$8)))/Inputs!$K$8)^2))*((2*Inputs!$L$8*((Inputs!$I$8+(((A183)+1)/2)*(Inputs!$J$8-Inputs!$I$8)))/(Inputs!$K$8^2)*Inputs!$C$11)))/(SQRT(((Inputs!$I$8+(((A183)+1)/2)*(Inputs!$J$8-Inputs!$I$8)))^2+Inputs!$C$6^2+((Inputs!$H$8+Inputs!$L$8*(((Inputs!$I$8+(((A183)+1)/2)*(Inputs!$J$8-Inputs!$I$8)))/Inputs!$K$8)^2))^2)))))/Inputs!$C$13),NA())</f>
        <v>-2431.6619388298827</v>
      </c>
      <c r="Q183" s="9">
        <f>IF(OR(Inputs!$F$9=TRUE,Inputs!$F$9="TRUE",Inputs!$F$9=1),(-2*((1000*((((Inputs!$I$9+(((A183)+1)/2)*(Inputs!$J$9-Inputs!$I$9)))*Inputs!$C$11+((Inputs!$H$9+Inputs!$L$9*(((Inputs!$I$9+(((A183)+1)/2)*(Inputs!$J$9-Inputs!$I$9)))/Inputs!$K$9)^2))*((2*Inputs!$L$9*((Inputs!$I$9+(((A183)+1)/2)*(Inputs!$J$9-Inputs!$I$9)))/(Inputs!$K$9^2)*Inputs!$C$11)))/(SQRT(((Inputs!$I$9+(((A183)+1)/2)*(Inputs!$J$9-Inputs!$I$9)))^2+Inputs!$C$6^2+((Inputs!$H$9+Inputs!$L$9*(((Inputs!$I$9+(((A183)+1)/2)*(Inputs!$J$9-Inputs!$I$9)))/Inputs!$K$9)^2))^2)))))/Inputs!$C$13),NA())</f>
        <v>-2434.3086415714488</v>
      </c>
      <c r="R183" s="10"/>
      <c r="S183" s="9">
        <f t="shared" si="14"/>
        <v>0.50800000000000001</v>
      </c>
      <c r="T183" s="9">
        <f>(Inputs!$I$6+(((A183)+1)/2)*(Inputs!$J$6-Inputs!$I$6))</f>
        <v>30.480000000000004</v>
      </c>
      <c r="U183" s="9">
        <f>(Inputs!$I$7+(((A183)+1)/2)*(Inputs!$J$7-Inputs!$I$7))</f>
        <v>203.20000000000005</v>
      </c>
      <c r="V183" s="9">
        <f>(Inputs!$I$8+(((A183)+1)/2)*(Inputs!$J$8-Inputs!$I$8))</f>
        <v>406.40000000000009</v>
      </c>
      <c r="W183" s="9">
        <f>(Inputs!$I$9+(((A183)+1)/2)*(Inputs!$J$9-Inputs!$I$9))</f>
        <v>406.40000000000009</v>
      </c>
      <c r="X183" s="10"/>
      <c r="Y183" s="9">
        <f t="shared" si="15"/>
        <v>0.50800000000000001</v>
      </c>
      <c r="Z183" s="9">
        <f>(Inputs!$H$6+Inputs!$L$6*(((Inputs!$I$6+(((A183)+1)/2)*(Inputs!$J$6-Inputs!$I$6)))/Inputs!$K$6)^2)</f>
        <v>401.03225600000002</v>
      </c>
      <c r="AA183" s="9">
        <f>(Inputs!$H$7+Inputs!$L$7*(((Inputs!$I$7+(((A183)+1)/2)*(Inputs!$J$7-Inputs!$I$7)))/Inputs!$K$7)^2)</f>
        <v>129.19336000000004</v>
      </c>
      <c r="AB183" s="9">
        <f>(Inputs!$H$8+Inputs!$L$8*(((Inputs!$I$8+(((A183)+1)/2)*(Inputs!$J$8-Inputs!$I$8)))/Inputs!$K$8)^2)</f>
        <v>284.03176000000013</v>
      </c>
      <c r="AC183" s="9">
        <f>(Inputs!$H$9+Inputs!$L$9*(((Inputs!$I$9+(((A183)+1)/2)*(Inputs!$J$9-Inputs!$I$9)))/Inputs!$K$9)^2)</f>
        <v>276.61240000000009</v>
      </c>
      <c r="AD183" s="10"/>
      <c r="AE183" s="9">
        <f t="shared" si="16"/>
        <v>0.50800000000000001</v>
      </c>
      <c r="AF183" s="9">
        <f>(((SQRT(((Inputs!$I$6+(((A183)+1)/2)*(Inputs!$J$6-Inputs!$I$6)))^2+Inputs!$C$6^2+((Inputs!$H$6+Inputs!$L$6*(((Inputs!$I$6+(((A183)+1)/2)*(Inputs!$J$6-Inputs!$I$6)))/Inputs!$K$6)^2))^2))-((Inputs!$H$6+Inputs!$L$6*(((Inputs!$I$6+(((A183)+1)/2)*(Inputs!$J$6-Inputs!$I$6)))/Inputs!$K$6)^2)))*1000/Inputs!$C$12)</f>
        <v>1085.8875853460092</v>
      </c>
      <c r="AG183" s="9">
        <f>(((SQRT(((Inputs!$I$7+(((A183)+1)/2)*(Inputs!$J$7-Inputs!$I$7)))^2+Inputs!$C$6^2+((Inputs!$H$7+Inputs!$L$7*(((Inputs!$I$7+(((A183)+1)/2)*(Inputs!$J$7-Inputs!$I$7)))/Inputs!$K$7)^2))^2))-((Inputs!$H$7+Inputs!$L$7*(((Inputs!$I$7+(((A183)+1)/2)*(Inputs!$J$7-Inputs!$I$7)))/Inputs!$K$7)^2)))*1000/Inputs!$C$12)</f>
        <v>63423.449765041165</v>
      </c>
      <c r="AH183" s="9">
        <f>(((SQRT(((Inputs!$I$8+(((A183)+1)/2)*(Inputs!$J$8-Inputs!$I$8)))^2+Inputs!$C$6^2+((Inputs!$H$8+Inputs!$L$8*(((Inputs!$I$8+(((A183)+1)/2)*(Inputs!$J$8-Inputs!$I$8)))/Inputs!$K$8)^2))^2))-((Inputs!$H$8+Inputs!$L$8*(((Inputs!$I$8+(((A183)+1)/2)*(Inputs!$J$8-Inputs!$I$8)))/Inputs!$K$8)^2)))*1000/Inputs!$C$12)</f>
        <v>119334.61773979013</v>
      </c>
      <c r="AI183" s="9">
        <f>(((SQRT(((Inputs!$I$9+(((A183)+1)/2)*(Inputs!$J$9-Inputs!$I$9)))^2+Inputs!$C$6^2+((Inputs!$H$9+Inputs!$L$9*(((Inputs!$I$9+(((A183)+1)/2)*(Inputs!$J$9-Inputs!$I$9)))/Inputs!$K$9)^2))^2))-((Inputs!$H$9+Inputs!$L$9*(((Inputs!$I$9+(((A183)+1)/2)*(Inputs!$J$9-Inputs!$I$9)))/Inputs!$K$9)^2)))*1000/Inputs!$C$12)</f>
        <v>121139.19370297402</v>
      </c>
      <c r="AJ183" s="10"/>
      <c r="AK183" s="9">
        <f t="shared" si="17"/>
        <v>0.50800000000000001</v>
      </c>
      <c r="AL183" s="9">
        <f>(-2*((1000*((((Inputs!$I$6+(((A183)+1)/2)*(Inputs!$J$6-Inputs!$I$6)))*Inputs!$C$11+((Inputs!$H$6+Inputs!$L$6*(((Inputs!$I$6+(((A183)+1)/2)*(Inputs!$J$6-Inputs!$I$6)))/Inputs!$K$6)^2))*((2*Inputs!$L$6*((Inputs!$I$6+(((A183)+1)/2)*(Inputs!$J$6-Inputs!$I$6)))/(Inputs!$K$6^2)*Inputs!$C$11)))/(SQRT(((Inputs!$I$6+(((A183)+1)/2)*(Inputs!$J$6-Inputs!$I$6)))^2+Inputs!$C$6^2+((Inputs!$H$6+Inputs!$L$6*(((Inputs!$I$6+(((A183)+1)/2)*(Inputs!$J$6-Inputs!$I$6)))/Inputs!$K$6)^2))^2)))))/Inputs!$C$13)</f>
        <v>-228.87638194922107</v>
      </c>
      <c r="AM183" s="9">
        <f>(-2*((1000*((((Inputs!$I$7+(((A183)+1)/2)*(Inputs!$J$7-Inputs!$I$7)))*Inputs!$C$11+((Inputs!$H$7+Inputs!$L$7*(((Inputs!$I$7+(((A183)+1)/2)*(Inputs!$J$7-Inputs!$I$7)))/Inputs!$K$7)^2))*((2*Inputs!$L$7*((Inputs!$I$7+(((A183)+1)/2)*(Inputs!$J$7-Inputs!$I$7)))/(Inputs!$K$7^2)*Inputs!$C$11)))/(SQRT(((Inputs!$I$7+(((A183)+1)/2)*(Inputs!$J$7-Inputs!$I$7)))^2+Inputs!$C$6^2+((Inputs!$H$7+Inputs!$L$7*(((Inputs!$I$7+(((A183)+1)/2)*(Inputs!$J$7-Inputs!$I$7)))/Inputs!$K$7)^2))^2)))))/Inputs!$C$13)</f>
        <v>-2134.6046990845198</v>
      </c>
      <c r="AN183" s="9">
        <f>(-2*((1000*((((Inputs!$I$8+(((A183)+1)/2)*(Inputs!$J$8-Inputs!$I$8)))*Inputs!$C$11+((Inputs!$H$8+Inputs!$L$8*(((Inputs!$I$8+(((A183)+1)/2)*(Inputs!$J$8-Inputs!$I$8)))/Inputs!$K$8)^2))*((2*Inputs!$L$8*((Inputs!$I$8+(((A183)+1)/2)*(Inputs!$J$8-Inputs!$I$8)))/(Inputs!$K$8^2)*Inputs!$C$11)))/(SQRT(((Inputs!$I$8+(((A183)+1)/2)*(Inputs!$J$8-Inputs!$I$8)))^2+Inputs!$C$6^2+((Inputs!$H$8+Inputs!$L$8*(((Inputs!$I$8+(((A183)+1)/2)*(Inputs!$J$8-Inputs!$I$8)))/Inputs!$K$8)^2))^2)))))/Inputs!$C$13)</f>
        <v>-2431.6619388298827</v>
      </c>
      <c r="AO183" s="9">
        <f>(-2*((1000*((((Inputs!$I$9+(((A183)+1)/2)*(Inputs!$J$9-Inputs!$I$9)))*Inputs!$C$11+((Inputs!$H$9+Inputs!$L$9*(((Inputs!$I$9+(((A183)+1)/2)*(Inputs!$J$9-Inputs!$I$9)))/Inputs!$K$9)^2))*((2*Inputs!$L$9*((Inputs!$I$9+(((A183)+1)/2)*(Inputs!$J$9-Inputs!$I$9)))/(Inputs!$K$9^2)*Inputs!$C$11)))/(SQRT(((Inputs!$I$9+(((A183)+1)/2)*(Inputs!$J$9-Inputs!$I$9)))^2+Inputs!$C$6^2+((Inputs!$H$9+Inputs!$L$9*(((Inputs!$I$9+(((A183)+1)/2)*(Inputs!$J$9-Inputs!$I$9)))/Inputs!$K$9)^2))^2)))))/Inputs!$C$13)</f>
        <v>-2434.3086415714488</v>
      </c>
    </row>
    <row r="184" spans="1:41">
      <c r="A184" s="9">
        <f>ROUND(-1+182*2/240,3)</f>
        <v>0.51700000000000002</v>
      </c>
      <c r="B184" s="9">
        <f>IF(OR(Inputs!$F$6=TRUE,Inputs!$F$6="TRUE",Inputs!$F$6=1),(Inputs!$H$6+Inputs!$L$6*(((Inputs!$I$6+(((A184)+1)/2)*(Inputs!$J$6-Inputs!$I$6)))/Inputs!$K$6)^2),NA())</f>
        <v>401.06915600000002</v>
      </c>
      <c r="C184" s="9">
        <f>IF(OR(Inputs!$F$7=TRUE,Inputs!$F$7="TRUE",Inputs!$F$7=1),(Inputs!$H$7+Inputs!$L$7*(((Inputs!$I$7+(((A184)+1)/2)*(Inputs!$J$7-Inputs!$I$7)))/Inputs!$K$7)^2),NA())</f>
        <v>132.56048499999997</v>
      </c>
      <c r="D184" s="9">
        <f>IF(OR(Inputs!$F$8=TRUE,Inputs!$F$8="TRUE",Inputs!$F$8=1),(Inputs!$H$8+Inputs!$L$8*(((Inputs!$I$8+(((A184)+1)/2)*(Inputs!$J$8-Inputs!$I$8)))/Inputs!$K$8)^2),NA())</f>
        <v>292.93388499999992</v>
      </c>
      <c r="E184" s="9">
        <f>IF(OR(Inputs!$F$9=TRUE,Inputs!$F$9="TRUE",Inputs!$F$9=1),(Inputs!$H$9+Inputs!$L$9*(((Inputs!$I$9+(((A184)+1)/2)*(Inputs!$J$9-Inputs!$I$9)))/Inputs!$K$9)^2),NA())</f>
        <v>285.60677499999991</v>
      </c>
      <c r="F184" s="10"/>
      <c r="G184" s="9">
        <f t="shared" si="12"/>
        <v>0.51700000000000002</v>
      </c>
      <c r="H184" s="9">
        <f>IF(OR(Inputs!$F$6=TRUE,Inputs!$F$6="TRUE",Inputs!$F$6=1),(((SQRT(((Inputs!$I$6+(((A184)+1)/2)*(Inputs!$J$6-Inputs!$I$6)))^2+Inputs!$C$6^2+((Inputs!$H$6+Inputs!$L$6*(((Inputs!$I$6+(((A184)+1)/2)*(Inputs!$J$6-Inputs!$I$6)))/Inputs!$K$6)^2))^2))-((Inputs!$H$6+Inputs!$L$6*(((Inputs!$I$6+(((A184)+1)/2)*(Inputs!$J$6-Inputs!$I$6)))/Inputs!$K$6)^2)))*1000/Inputs!$C$12),NA())</f>
        <v>1108.934887487211</v>
      </c>
      <c r="I184" s="9">
        <f>IF(OR(Inputs!$F$7=TRUE,Inputs!$F$7="TRUE",Inputs!$F$7=1),(((SQRT(((Inputs!$I$7+(((A184)+1)/2)*(Inputs!$J$7-Inputs!$I$7)))^2+Inputs!$C$6^2+((Inputs!$H$7+Inputs!$L$7*(((Inputs!$I$7+(((A184)+1)/2)*(Inputs!$J$7-Inputs!$I$7)))/Inputs!$K$7)^2))^2))-((Inputs!$H$7+Inputs!$L$7*(((Inputs!$I$7+(((A184)+1)/2)*(Inputs!$J$7-Inputs!$I$7)))/Inputs!$K$7)^2)))*1000/Inputs!$C$12),NA())</f>
        <v>64240.133415782133</v>
      </c>
      <c r="J184" s="9">
        <f>IF(OR(Inputs!$F$8=TRUE,Inputs!$F$8="TRUE",Inputs!$F$8=1),(((SQRT(((Inputs!$I$8+(((A184)+1)/2)*(Inputs!$J$8-Inputs!$I$8)))^2+Inputs!$C$6^2+((Inputs!$H$8+Inputs!$L$8*(((Inputs!$I$8+(((A184)+1)/2)*(Inputs!$J$8-Inputs!$I$8)))/Inputs!$K$8)^2))^2))-((Inputs!$H$8+Inputs!$L$8*(((Inputs!$I$8+(((A184)+1)/2)*(Inputs!$J$8-Inputs!$I$8)))/Inputs!$K$8)^2)))*1000/Inputs!$C$12),NA())</f>
        <v>120511.74774932802</v>
      </c>
      <c r="K184" s="9">
        <f>IF(OR(Inputs!$F$9=TRUE,Inputs!$F$9="TRUE",Inputs!$F$9=1),(((SQRT(((Inputs!$I$9+(((A184)+1)/2)*(Inputs!$J$9-Inputs!$I$9)))^2+Inputs!$C$6^2+((Inputs!$H$9+Inputs!$L$9*(((Inputs!$I$9+(((A184)+1)/2)*(Inputs!$J$9-Inputs!$I$9)))/Inputs!$K$9)^2))^2))-((Inputs!$H$9+Inputs!$L$9*(((Inputs!$I$9+(((A184)+1)/2)*(Inputs!$J$9-Inputs!$I$9)))/Inputs!$K$9)^2)))*1000/Inputs!$C$12),NA())</f>
        <v>122271.82492897961</v>
      </c>
      <c r="L184" s="10"/>
      <c r="M184" s="9">
        <f t="shared" si="13"/>
        <v>0.51700000000000002</v>
      </c>
      <c r="N184" s="9">
        <f>IF(OR(Inputs!$F$6=TRUE,Inputs!$F$6="TRUE",Inputs!$F$6=1),(-2*((1000*((((Inputs!$I$6+(((A184)+1)/2)*(Inputs!$J$6-Inputs!$I$6)))*Inputs!$C$11+((Inputs!$H$6+Inputs!$L$6*(((Inputs!$I$6+(((A184)+1)/2)*(Inputs!$J$6-Inputs!$I$6)))/Inputs!$K$6)^2))*((2*Inputs!$L$6*((Inputs!$I$6+(((A184)+1)/2)*(Inputs!$J$6-Inputs!$I$6)))/(Inputs!$K$6^2)*Inputs!$C$11)))/(SQRT(((Inputs!$I$6+(((A184)+1)/2)*(Inputs!$J$6-Inputs!$I$6)))^2+Inputs!$C$6^2+((Inputs!$H$6+Inputs!$L$6*(((Inputs!$I$6+(((A184)+1)/2)*(Inputs!$J$6-Inputs!$I$6)))/Inputs!$K$6)^2))^2)))))/Inputs!$C$13),NA())</f>
        <v>-232.896341371566</v>
      </c>
      <c r="O184" s="9">
        <f>IF(OR(Inputs!$F$7=TRUE,Inputs!$F$7="TRUE",Inputs!$F$7=1),(-2*((1000*((((Inputs!$I$7+(((A184)+1)/2)*(Inputs!$J$7-Inputs!$I$7)))*Inputs!$C$11+((Inputs!$H$7+Inputs!$L$7*(((Inputs!$I$7+(((A184)+1)/2)*(Inputs!$J$7-Inputs!$I$7)))/Inputs!$K$7)^2))*((2*Inputs!$L$7*((Inputs!$I$7+(((A184)+1)/2)*(Inputs!$J$7-Inputs!$I$7)))/(Inputs!$K$7^2)*Inputs!$C$11)))/(SQRT(((Inputs!$I$7+(((A184)+1)/2)*(Inputs!$J$7-Inputs!$I$7)))^2+Inputs!$C$6^2+((Inputs!$H$7+Inputs!$L$7*(((Inputs!$I$7+(((A184)+1)/2)*(Inputs!$J$7-Inputs!$I$7)))/Inputs!$K$7)^2))^2)))))/Inputs!$C$13),NA())</f>
        <v>-2150.5936514378695</v>
      </c>
      <c r="P184" s="9">
        <f>IF(OR(Inputs!$F$8=TRUE,Inputs!$F$8="TRUE",Inputs!$F$8=1),(-2*((1000*((((Inputs!$I$8+(((A184)+1)/2)*(Inputs!$J$8-Inputs!$I$8)))*Inputs!$C$11+((Inputs!$H$8+Inputs!$L$8*(((Inputs!$I$8+(((A184)+1)/2)*(Inputs!$J$8-Inputs!$I$8)))/Inputs!$K$8)^2))*((2*Inputs!$L$8*((Inputs!$I$8+(((A184)+1)/2)*(Inputs!$J$8-Inputs!$I$8)))/(Inputs!$K$8^2)*Inputs!$C$11)))/(SQRT(((Inputs!$I$8+(((A184)+1)/2)*(Inputs!$J$8-Inputs!$I$8)))^2+Inputs!$C$6^2+((Inputs!$H$8+Inputs!$L$8*(((Inputs!$I$8+(((A184)+1)/2)*(Inputs!$J$8-Inputs!$I$8)))/Inputs!$K$8)^2))^2)))))/Inputs!$C$13),NA())</f>
        <v>-2456.1188318875147</v>
      </c>
      <c r="Q184" s="9">
        <f>IF(OR(Inputs!$F$9=TRUE,Inputs!$F$9="TRUE",Inputs!$F$9=1),(-2*((1000*((((Inputs!$I$9+(((A184)+1)/2)*(Inputs!$J$9-Inputs!$I$9)))*Inputs!$C$11+((Inputs!$H$9+Inputs!$L$9*(((Inputs!$I$9+(((A184)+1)/2)*(Inputs!$J$9-Inputs!$I$9)))/Inputs!$K$9)^2))*((2*Inputs!$L$9*((Inputs!$I$9+(((A184)+1)/2)*(Inputs!$J$9-Inputs!$I$9)))/(Inputs!$K$9^2)*Inputs!$C$11)))/(SQRT(((Inputs!$I$9+(((A184)+1)/2)*(Inputs!$J$9-Inputs!$I$9)))^2+Inputs!$C$6^2+((Inputs!$H$9+Inputs!$L$9*(((Inputs!$I$9+(((A184)+1)/2)*(Inputs!$J$9-Inputs!$I$9)))/Inputs!$K$9)^2))^2)))))/Inputs!$C$13),NA())</f>
        <v>-2459.2695626206046</v>
      </c>
      <c r="R184" s="10"/>
      <c r="S184" s="9">
        <f t="shared" si="14"/>
        <v>0.51700000000000002</v>
      </c>
      <c r="T184" s="9">
        <f>(Inputs!$I$6+(((A184)+1)/2)*(Inputs!$J$6-Inputs!$I$6))</f>
        <v>31.019999999999996</v>
      </c>
      <c r="U184" s="9">
        <f>(Inputs!$I$7+(((A184)+1)/2)*(Inputs!$J$7-Inputs!$I$7))</f>
        <v>206.79999999999995</v>
      </c>
      <c r="V184" s="9">
        <f>(Inputs!$I$8+(((A184)+1)/2)*(Inputs!$J$8-Inputs!$I$8))</f>
        <v>413.59999999999991</v>
      </c>
      <c r="W184" s="9">
        <f>(Inputs!$I$9+(((A184)+1)/2)*(Inputs!$J$9-Inputs!$I$9))</f>
        <v>413.59999999999991</v>
      </c>
      <c r="X184" s="10"/>
      <c r="Y184" s="9">
        <f t="shared" si="15"/>
        <v>0.51700000000000002</v>
      </c>
      <c r="Z184" s="9">
        <f>(Inputs!$H$6+Inputs!$L$6*(((Inputs!$I$6+(((A184)+1)/2)*(Inputs!$J$6-Inputs!$I$6)))/Inputs!$K$6)^2)</f>
        <v>401.06915600000002</v>
      </c>
      <c r="AA184" s="9">
        <f>(Inputs!$H$7+Inputs!$L$7*(((Inputs!$I$7+(((A184)+1)/2)*(Inputs!$J$7-Inputs!$I$7)))/Inputs!$K$7)^2)</f>
        <v>132.56048499999997</v>
      </c>
      <c r="AB184" s="9">
        <f>(Inputs!$H$8+Inputs!$L$8*(((Inputs!$I$8+(((A184)+1)/2)*(Inputs!$J$8-Inputs!$I$8)))/Inputs!$K$8)^2)</f>
        <v>292.93388499999992</v>
      </c>
      <c r="AC184" s="9">
        <f>(Inputs!$H$9+Inputs!$L$9*(((Inputs!$I$9+(((A184)+1)/2)*(Inputs!$J$9-Inputs!$I$9)))/Inputs!$K$9)^2)</f>
        <v>285.60677499999991</v>
      </c>
      <c r="AD184" s="10"/>
      <c r="AE184" s="9">
        <f t="shared" si="16"/>
        <v>0.51700000000000002</v>
      </c>
      <c r="AF184" s="9">
        <f>(((SQRT(((Inputs!$I$6+(((A184)+1)/2)*(Inputs!$J$6-Inputs!$I$6)))^2+Inputs!$C$6^2+((Inputs!$H$6+Inputs!$L$6*(((Inputs!$I$6+(((A184)+1)/2)*(Inputs!$J$6-Inputs!$I$6)))/Inputs!$K$6)^2))^2))-((Inputs!$H$6+Inputs!$L$6*(((Inputs!$I$6+(((A184)+1)/2)*(Inputs!$J$6-Inputs!$I$6)))/Inputs!$K$6)^2)))*1000/Inputs!$C$12)</f>
        <v>1108.934887487211</v>
      </c>
      <c r="AG184" s="9">
        <f>(((SQRT(((Inputs!$I$7+(((A184)+1)/2)*(Inputs!$J$7-Inputs!$I$7)))^2+Inputs!$C$6^2+((Inputs!$H$7+Inputs!$L$7*(((Inputs!$I$7+(((A184)+1)/2)*(Inputs!$J$7-Inputs!$I$7)))/Inputs!$K$7)^2))^2))-((Inputs!$H$7+Inputs!$L$7*(((Inputs!$I$7+(((A184)+1)/2)*(Inputs!$J$7-Inputs!$I$7)))/Inputs!$K$7)^2)))*1000/Inputs!$C$12)</f>
        <v>64240.133415782133</v>
      </c>
      <c r="AH184" s="9">
        <f>(((SQRT(((Inputs!$I$8+(((A184)+1)/2)*(Inputs!$J$8-Inputs!$I$8)))^2+Inputs!$C$6^2+((Inputs!$H$8+Inputs!$L$8*(((Inputs!$I$8+(((A184)+1)/2)*(Inputs!$J$8-Inputs!$I$8)))/Inputs!$K$8)^2))^2))-((Inputs!$H$8+Inputs!$L$8*(((Inputs!$I$8+(((A184)+1)/2)*(Inputs!$J$8-Inputs!$I$8)))/Inputs!$K$8)^2)))*1000/Inputs!$C$12)</f>
        <v>120511.74774932802</v>
      </c>
      <c r="AI184" s="9">
        <f>(((SQRT(((Inputs!$I$9+(((A184)+1)/2)*(Inputs!$J$9-Inputs!$I$9)))^2+Inputs!$C$6^2+((Inputs!$H$9+Inputs!$L$9*(((Inputs!$I$9+(((A184)+1)/2)*(Inputs!$J$9-Inputs!$I$9)))/Inputs!$K$9)^2))^2))-((Inputs!$H$9+Inputs!$L$9*(((Inputs!$I$9+(((A184)+1)/2)*(Inputs!$J$9-Inputs!$I$9)))/Inputs!$K$9)^2)))*1000/Inputs!$C$12)</f>
        <v>122271.82492897961</v>
      </c>
      <c r="AJ184" s="10"/>
      <c r="AK184" s="9">
        <f t="shared" si="17"/>
        <v>0.51700000000000002</v>
      </c>
      <c r="AL184" s="9">
        <f>(-2*((1000*((((Inputs!$I$6+(((A184)+1)/2)*(Inputs!$J$6-Inputs!$I$6)))*Inputs!$C$11+((Inputs!$H$6+Inputs!$L$6*(((Inputs!$I$6+(((A184)+1)/2)*(Inputs!$J$6-Inputs!$I$6)))/Inputs!$K$6)^2))*((2*Inputs!$L$6*((Inputs!$I$6+(((A184)+1)/2)*(Inputs!$J$6-Inputs!$I$6)))/(Inputs!$K$6^2)*Inputs!$C$11)))/(SQRT(((Inputs!$I$6+(((A184)+1)/2)*(Inputs!$J$6-Inputs!$I$6)))^2+Inputs!$C$6^2+((Inputs!$H$6+Inputs!$L$6*(((Inputs!$I$6+(((A184)+1)/2)*(Inputs!$J$6-Inputs!$I$6)))/Inputs!$K$6)^2))^2)))))/Inputs!$C$13)</f>
        <v>-232.896341371566</v>
      </c>
      <c r="AM184" s="9">
        <f>(-2*((1000*((((Inputs!$I$7+(((A184)+1)/2)*(Inputs!$J$7-Inputs!$I$7)))*Inputs!$C$11+((Inputs!$H$7+Inputs!$L$7*(((Inputs!$I$7+(((A184)+1)/2)*(Inputs!$J$7-Inputs!$I$7)))/Inputs!$K$7)^2))*((2*Inputs!$L$7*((Inputs!$I$7+(((A184)+1)/2)*(Inputs!$J$7-Inputs!$I$7)))/(Inputs!$K$7^2)*Inputs!$C$11)))/(SQRT(((Inputs!$I$7+(((A184)+1)/2)*(Inputs!$J$7-Inputs!$I$7)))^2+Inputs!$C$6^2+((Inputs!$H$7+Inputs!$L$7*(((Inputs!$I$7+(((A184)+1)/2)*(Inputs!$J$7-Inputs!$I$7)))/Inputs!$K$7)^2))^2)))))/Inputs!$C$13)</f>
        <v>-2150.5936514378695</v>
      </c>
      <c r="AN184" s="9">
        <f>(-2*((1000*((((Inputs!$I$8+(((A184)+1)/2)*(Inputs!$J$8-Inputs!$I$8)))*Inputs!$C$11+((Inputs!$H$8+Inputs!$L$8*(((Inputs!$I$8+(((A184)+1)/2)*(Inputs!$J$8-Inputs!$I$8)))/Inputs!$K$8)^2))*((2*Inputs!$L$8*((Inputs!$I$8+(((A184)+1)/2)*(Inputs!$J$8-Inputs!$I$8)))/(Inputs!$K$8^2)*Inputs!$C$11)))/(SQRT(((Inputs!$I$8+(((A184)+1)/2)*(Inputs!$J$8-Inputs!$I$8)))^2+Inputs!$C$6^2+((Inputs!$H$8+Inputs!$L$8*(((Inputs!$I$8+(((A184)+1)/2)*(Inputs!$J$8-Inputs!$I$8)))/Inputs!$K$8)^2))^2)))))/Inputs!$C$13)</f>
        <v>-2456.1188318875147</v>
      </c>
      <c r="AO184" s="9">
        <f>(-2*((1000*((((Inputs!$I$9+(((A184)+1)/2)*(Inputs!$J$9-Inputs!$I$9)))*Inputs!$C$11+((Inputs!$H$9+Inputs!$L$9*(((Inputs!$I$9+(((A184)+1)/2)*(Inputs!$J$9-Inputs!$I$9)))/Inputs!$K$9)^2))*((2*Inputs!$L$9*((Inputs!$I$9+(((A184)+1)/2)*(Inputs!$J$9-Inputs!$I$9)))/(Inputs!$K$9^2)*Inputs!$C$11)))/(SQRT(((Inputs!$I$9+(((A184)+1)/2)*(Inputs!$J$9-Inputs!$I$9)))^2+Inputs!$C$6^2+((Inputs!$H$9+Inputs!$L$9*(((Inputs!$I$9+(((A184)+1)/2)*(Inputs!$J$9-Inputs!$I$9)))/Inputs!$K$9)^2))^2)))))/Inputs!$C$13)</f>
        <v>-2459.2695626206046</v>
      </c>
    </row>
    <row r="185" spans="1:41">
      <c r="A185" s="9">
        <f>ROUND(-1+183*2/240,3)</f>
        <v>0.52500000000000002</v>
      </c>
      <c r="B185" s="9">
        <f>IF(OR(Inputs!$F$6=TRUE,Inputs!$F$6="TRUE",Inputs!$F$6=1),(Inputs!$H$6+Inputs!$L$6*(((Inputs!$I$6+(((A185)+1)/2)*(Inputs!$J$6-Inputs!$I$6)))/Inputs!$K$6)^2),NA())</f>
        <v>401.10250000000002</v>
      </c>
      <c r="C185" s="9">
        <f>IF(OR(Inputs!$F$7=TRUE,Inputs!$F$7="TRUE",Inputs!$F$7=1),(Inputs!$H$7+Inputs!$L$7*(((Inputs!$I$7+(((A185)+1)/2)*(Inputs!$J$7-Inputs!$I$7)))/Inputs!$K$7)^2),NA())</f>
        <v>135.60312500000001</v>
      </c>
      <c r="D185" s="9">
        <f>IF(OR(Inputs!$F$8=TRUE,Inputs!$F$8="TRUE",Inputs!$F$8=1),(Inputs!$H$8+Inputs!$L$8*(((Inputs!$I$8+(((A185)+1)/2)*(Inputs!$J$8-Inputs!$I$8)))/Inputs!$K$8)^2),NA())</f>
        <v>300.97812500000003</v>
      </c>
      <c r="E185" s="9">
        <f>IF(OR(Inputs!$F$9=TRUE,Inputs!$F$9="TRUE",Inputs!$F$9=1),(Inputs!$H$9+Inputs!$L$9*(((Inputs!$I$9+(((A185)+1)/2)*(Inputs!$J$9-Inputs!$I$9)))/Inputs!$K$9)^2),NA())</f>
        <v>293.734375</v>
      </c>
      <c r="F185" s="10"/>
      <c r="G185" s="9">
        <f t="shared" si="12"/>
        <v>0.52500000000000002</v>
      </c>
      <c r="H185" s="9">
        <f>IF(OR(Inputs!$F$6=TRUE,Inputs!$F$6="TRUE",Inputs!$F$6=1),(((SQRT(((Inputs!$I$6+(((A185)+1)/2)*(Inputs!$J$6-Inputs!$I$6)))^2+Inputs!$C$6^2+((Inputs!$H$6+Inputs!$L$6*(((Inputs!$I$6+(((A185)+1)/2)*(Inputs!$J$6-Inputs!$I$6)))/Inputs!$K$6)^2))^2))-((Inputs!$H$6+Inputs!$L$6*(((Inputs!$I$6+(((A185)+1)/2)*(Inputs!$J$6-Inputs!$I$6)))/Inputs!$K$6)^2)))*1000/Inputs!$C$12),NA())</f>
        <v>1129.7555078402418</v>
      </c>
      <c r="I185" s="9">
        <f>IF(OR(Inputs!$F$7=TRUE,Inputs!$F$7="TRUE",Inputs!$F$7=1),(((SQRT(((Inputs!$I$7+(((A185)+1)/2)*(Inputs!$J$7-Inputs!$I$7)))^2+Inputs!$C$6^2+((Inputs!$H$7+Inputs!$L$7*(((Inputs!$I$7+(((A185)+1)/2)*(Inputs!$J$7-Inputs!$I$7)))/Inputs!$K$7)^2))^2))-((Inputs!$H$7+Inputs!$L$7*(((Inputs!$I$7+(((A185)+1)/2)*(Inputs!$J$7-Inputs!$I$7)))/Inputs!$K$7)^2)))*1000/Inputs!$C$12),NA())</f>
        <v>64955.222752360576</v>
      </c>
      <c r="J185" s="9">
        <f>IF(OR(Inputs!$F$8=TRUE,Inputs!$F$8="TRUE",Inputs!$F$8=1),(((SQRT(((Inputs!$I$8+(((A185)+1)/2)*(Inputs!$J$8-Inputs!$I$8)))^2+Inputs!$C$6^2+((Inputs!$H$8+Inputs!$L$8*(((Inputs!$I$8+(((A185)+1)/2)*(Inputs!$J$8-Inputs!$I$8)))/Inputs!$K$8)^2))^2))-((Inputs!$H$8+Inputs!$L$8*(((Inputs!$I$8+(((A185)+1)/2)*(Inputs!$J$8-Inputs!$I$8)))/Inputs!$K$8)^2)))*1000/Inputs!$C$12),NA())</f>
        <v>121536.49645425682</v>
      </c>
      <c r="K185" s="9">
        <f>IF(OR(Inputs!$F$9=TRUE,Inputs!$F$9="TRUE",Inputs!$F$9=1),(((SQRT(((Inputs!$I$9+(((A185)+1)/2)*(Inputs!$J$9-Inputs!$I$9)))^2+Inputs!$C$6^2+((Inputs!$H$9+Inputs!$L$9*(((Inputs!$I$9+(((A185)+1)/2)*(Inputs!$J$9-Inputs!$I$9)))/Inputs!$K$9)^2))^2))-((Inputs!$H$9+Inputs!$L$9*(((Inputs!$I$9+(((A185)+1)/2)*(Inputs!$J$9-Inputs!$I$9)))/Inputs!$K$9)^2)))*1000/Inputs!$C$12),NA())</f>
        <v>123257.33007584426</v>
      </c>
      <c r="L185" s="10"/>
      <c r="M185" s="9">
        <f t="shared" si="13"/>
        <v>0.52500000000000002</v>
      </c>
      <c r="N185" s="9">
        <f>IF(OR(Inputs!$F$6=TRUE,Inputs!$F$6="TRUE",Inputs!$F$6=1),(-2*((1000*((((Inputs!$I$6+(((A185)+1)/2)*(Inputs!$J$6-Inputs!$I$6)))*Inputs!$C$11+((Inputs!$H$6+Inputs!$L$6*(((Inputs!$I$6+(((A185)+1)/2)*(Inputs!$J$6-Inputs!$I$6)))/Inputs!$K$6)^2))*((2*Inputs!$L$6*((Inputs!$I$6+(((A185)+1)/2)*(Inputs!$J$6-Inputs!$I$6)))/(Inputs!$K$6^2)*Inputs!$C$11)))/(SQRT(((Inputs!$I$6+(((A185)+1)/2)*(Inputs!$J$6-Inputs!$I$6)))^2+Inputs!$C$6^2+((Inputs!$H$6+Inputs!$L$6*(((Inputs!$I$6+(((A185)+1)/2)*(Inputs!$J$6-Inputs!$I$6)))/Inputs!$K$6)^2))^2)))))/Inputs!$C$13),NA())</f>
        <v>-236.46811213899355</v>
      </c>
      <c r="O185" s="9">
        <f>IF(OR(Inputs!$F$7=TRUE,Inputs!$F$7="TRUE",Inputs!$F$7=1),(-2*((1000*((((Inputs!$I$7+(((A185)+1)/2)*(Inputs!$J$7-Inputs!$I$7)))*Inputs!$C$11+((Inputs!$H$7+Inputs!$L$7*(((Inputs!$I$7+(((A185)+1)/2)*(Inputs!$J$7-Inputs!$I$7)))/Inputs!$K$7)^2))*((2*Inputs!$L$7*((Inputs!$I$7+(((A185)+1)/2)*(Inputs!$J$7-Inputs!$I$7)))/(Inputs!$K$7^2)*Inputs!$C$11)))/(SQRT(((Inputs!$I$7+(((A185)+1)/2)*(Inputs!$J$7-Inputs!$I$7)))^2+Inputs!$C$6^2+((Inputs!$H$7+Inputs!$L$7*(((Inputs!$I$7+(((A185)+1)/2)*(Inputs!$J$7-Inputs!$I$7)))/Inputs!$K$7)^2))^2)))))/Inputs!$C$13),NA())</f>
        <v>-2164.9239047033993</v>
      </c>
      <c r="P185" s="9">
        <f>IF(OR(Inputs!$F$8=TRUE,Inputs!$F$8="TRUE",Inputs!$F$8=1),(-2*((1000*((((Inputs!$I$8+(((A185)+1)/2)*(Inputs!$J$8-Inputs!$I$8)))*Inputs!$C$11+((Inputs!$H$8+Inputs!$L$8*(((Inputs!$I$8+(((A185)+1)/2)*(Inputs!$J$8-Inputs!$I$8)))/Inputs!$K$8)^2))*((2*Inputs!$L$8*((Inputs!$I$8+(((A185)+1)/2)*(Inputs!$J$8-Inputs!$I$8)))/(Inputs!$K$8^2)*Inputs!$C$11)))/(SQRT(((Inputs!$I$8+(((A185)+1)/2)*(Inputs!$J$8-Inputs!$I$8)))^2+Inputs!$C$6^2+((Inputs!$H$8+Inputs!$L$8*(((Inputs!$I$8+(((A185)+1)/2)*(Inputs!$J$8-Inputs!$I$8)))/Inputs!$K$8)^2))^2)))))/Inputs!$C$13),NA())</f>
        <v>-2478.058642518175</v>
      </c>
      <c r="Q185" s="9">
        <f>IF(OR(Inputs!$F$9=TRUE,Inputs!$F$9="TRUE",Inputs!$F$9=1),(-2*((1000*((((Inputs!$I$9+(((A185)+1)/2)*(Inputs!$J$9-Inputs!$I$9)))*Inputs!$C$11+((Inputs!$H$9+Inputs!$L$9*(((Inputs!$I$9+(((A185)+1)/2)*(Inputs!$J$9-Inputs!$I$9)))/Inputs!$K$9)^2))*((2*Inputs!$L$9*((Inputs!$I$9+(((A185)+1)/2)*(Inputs!$J$9-Inputs!$I$9)))/(Inputs!$K$9^2)*Inputs!$C$11)))/(SQRT(((Inputs!$I$9+(((A185)+1)/2)*(Inputs!$J$9-Inputs!$I$9)))^2+Inputs!$C$6^2+((Inputs!$H$9+Inputs!$L$9*(((Inputs!$I$9+(((A185)+1)/2)*(Inputs!$J$9-Inputs!$I$9)))/Inputs!$K$9)^2))^2)))))/Inputs!$C$13),NA())</f>
        <v>-2481.661802856815</v>
      </c>
      <c r="R185" s="10"/>
      <c r="S185" s="9">
        <f t="shared" si="14"/>
        <v>0.52500000000000002</v>
      </c>
      <c r="T185" s="9">
        <f>(Inputs!$I$6+(((A185)+1)/2)*(Inputs!$J$6-Inputs!$I$6))</f>
        <v>31.5</v>
      </c>
      <c r="U185" s="9">
        <f>(Inputs!$I$7+(((A185)+1)/2)*(Inputs!$J$7-Inputs!$I$7))</f>
        <v>210</v>
      </c>
      <c r="V185" s="9">
        <f>(Inputs!$I$8+(((A185)+1)/2)*(Inputs!$J$8-Inputs!$I$8))</f>
        <v>420</v>
      </c>
      <c r="W185" s="9">
        <f>(Inputs!$I$9+(((A185)+1)/2)*(Inputs!$J$9-Inputs!$I$9))</f>
        <v>420</v>
      </c>
      <c r="X185" s="10"/>
      <c r="Y185" s="9">
        <f t="shared" si="15"/>
        <v>0.52500000000000002</v>
      </c>
      <c r="Z185" s="9">
        <f>(Inputs!$H$6+Inputs!$L$6*(((Inputs!$I$6+(((A185)+1)/2)*(Inputs!$J$6-Inputs!$I$6)))/Inputs!$K$6)^2)</f>
        <v>401.10250000000002</v>
      </c>
      <c r="AA185" s="9">
        <f>(Inputs!$H$7+Inputs!$L$7*(((Inputs!$I$7+(((A185)+1)/2)*(Inputs!$J$7-Inputs!$I$7)))/Inputs!$K$7)^2)</f>
        <v>135.60312500000001</v>
      </c>
      <c r="AB185" s="9">
        <f>(Inputs!$H$8+Inputs!$L$8*(((Inputs!$I$8+(((A185)+1)/2)*(Inputs!$J$8-Inputs!$I$8)))/Inputs!$K$8)^2)</f>
        <v>300.97812500000003</v>
      </c>
      <c r="AC185" s="9">
        <f>(Inputs!$H$9+Inputs!$L$9*(((Inputs!$I$9+(((A185)+1)/2)*(Inputs!$J$9-Inputs!$I$9)))/Inputs!$K$9)^2)</f>
        <v>293.734375</v>
      </c>
      <c r="AD185" s="10"/>
      <c r="AE185" s="9">
        <f t="shared" si="16"/>
        <v>0.52500000000000002</v>
      </c>
      <c r="AF185" s="9">
        <f>(((SQRT(((Inputs!$I$6+(((A185)+1)/2)*(Inputs!$J$6-Inputs!$I$6)))^2+Inputs!$C$6^2+((Inputs!$H$6+Inputs!$L$6*(((Inputs!$I$6+(((A185)+1)/2)*(Inputs!$J$6-Inputs!$I$6)))/Inputs!$K$6)^2))^2))-((Inputs!$H$6+Inputs!$L$6*(((Inputs!$I$6+(((A185)+1)/2)*(Inputs!$J$6-Inputs!$I$6)))/Inputs!$K$6)^2)))*1000/Inputs!$C$12)</f>
        <v>1129.7555078402418</v>
      </c>
      <c r="AG185" s="9">
        <f>(((SQRT(((Inputs!$I$7+(((A185)+1)/2)*(Inputs!$J$7-Inputs!$I$7)))^2+Inputs!$C$6^2+((Inputs!$H$7+Inputs!$L$7*(((Inputs!$I$7+(((A185)+1)/2)*(Inputs!$J$7-Inputs!$I$7)))/Inputs!$K$7)^2))^2))-((Inputs!$H$7+Inputs!$L$7*(((Inputs!$I$7+(((A185)+1)/2)*(Inputs!$J$7-Inputs!$I$7)))/Inputs!$K$7)^2)))*1000/Inputs!$C$12)</f>
        <v>64955.222752360576</v>
      </c>
      <c r="AH185" s="9">
        <f>(((SQRT(((Inputs!$I$8+(((A185)+1)/2)*(Inputs!$J$8-Inputs!$I$8)))^2+Inputs!$C$6^2+((Inputs!$H$8+Inputs!$L$8*(((Inputs!$I$8+(((A185)+1)/2)*(Inputs!$J$8-Inputs!$I$8)))/Inputs!$K$8)^2))^2))-((Inputs!$H$8+Inputs!$L$8*(((Inputs!$I$8+(((A185)+1)/2)*(Inputs!$J$8-Inputs!$I$8)))/Inputs!$K$8)^2)))*1000/Inputs!$C$12)</f>
        <v>121536.49645425682</v>
      </c>
      <c r="AI185" s="9">
        <f>(((SQRT(((Inputs!$I$9+(((A185)+1)/2)*(Inputs!$J$9-Inputs!$I$9)))^2+Inputs!$C$6^2+((Inputs!$H$9+Inputs!$L$9*(((Inputs!$I$9+(((A185)+1)/2)*(Inputs!$J$9-Inputs!$I$9)))/Inputs!$K$9)^2))^2))-((Inputs!$H$9+Inputs!$L$9*(((Inputs!$I$9+(((A185)+1)/2)*(Inputs!$J$9-Inputs!$I$9)))/Inputs!$K$9)^2)))*1000/Inputs!$C$12)</f>
        <v>123257.33007584426</v>
      </c>
      <c r="AJ185" s="10"/>
      <c r="AK185" s="9">
        <f t="shared" si="17"/>
        <v>0.52500000000000002</v>
      </c>
      <c r="AL185" s="9">
        <f>(-2*((1000*((((Inputs!$I$6+(((A185)+1)/2)*(Inputs!$J$6-Inputs!$I$6)))*Inputs!$C$11+((Inputs!$H$6+Inputs!$L$6*(((Inputs!$I$6+(((A185)+1)/2)*(Inputs!$J$6-Inputs!$I$6)))/Inputs!$K$6)^2))*((2*Inputs!$L$6*((Inputs!$I$6+(((A185)+1)/2)*(Inputs!$J$6-Inputs!$I$6)))/(Inputs!$K$6^2)*Inputs!$C$11)))/(SQRT(((Inputs!$I$6+(((A185)+1)/2)*(Inputs!$J$6-Inputs!$I$6)))^2+Inputs!$C$6^2+((Inputs!$H$6+Inputs!$L$6*(((Inputs!$I$6+(((A185)+1)/2)*(Inputs!$J$6-Inputs!$I$6)))/Inputs!$K$6)^2))^2)))))/Inputs!$C$13)</f>
        <v>-236.46811213899355</v>
      </c>
      <c r="AM185" s="9">
        <f>(-2*((1000*((((Inputs!$I$7+(((A185)+1)/2)*(Inputs!$J$7-Inputs!$I$7)))*Inputs!$C$11+((Inputs!$H$7+Inputs!$L$7*(((Inputs!$I$7+(((A185)+1)/2)*(Inputs!$J$7-Inputs!$I$7)))/Inputs!$K$7)^2))*((2*Inputs!$L$7*((Inputs!$I$7+(((A185)+1)/2)*(Inputs!$J$7-Inputs!$I$7)))/(Inputs!$K$7^2)*Inputs!$C$11)))/(SQRT(((Inputs!$I$7+(((A185)+1)/2)*(Inputs!$J$7-Inputs!$I$7)))^2+Inputs!$C$6^2+((Inputs!$H$7+Inputs!$L$7*(((Inputs!$I$7+(((A185)+1)/2)*(Inputs!$J$7-Inputs!$I$7)))/Inputs!$K$7)^2))^2)))))/Inputs!$C$13)</f>
        <v>-2164.9239047033993</v>
      </c>
      <c r="AN185" s="9">
        <f>(-2*((1000*((((Inputs!$I$8+(((A185)+1)/2)*(Inputs!$J$8-Inputs!$I$8)))*Inputs!$C$11+((Inputs!$H$8+Inputs!$L$8*(((Inputs!$I$8+(((A185)+1)/2)*(Inputs!$J$8-Inputs!$I$8)))/Inputs!$K$8)^2))*((2*Inputs!$L$8*((Inputs!$I$8+(((A185)+1)/2)*(Inputs!$J$8-Inputs!$I$8)))/(Inputs!$K$8^2)*Inputs!$C$11)))/(SQRT(((Inputs!$I$8+(((A185)+1)/2)*(Inputs!$J$8-Inputs!$I$8)))^2+Inputs!$C$6^2+((Inputs!$H$8+Inputs!$L$8*(((Inputs!$I$8+(((A185)+1)/2)*(Inputs!$J$8-Inputs!$I$8)))/Inputs!$K$8)^2))^2)))))/Inputs!$C$13)</f>
        <v>-2478.058642518175</v>
      </c>
      <c r="AO185" s="9">
        <f>(-2*((1000*((((Inputs!$I$9+(((A185)+1)/2)*(Inputs!$J$9-Inputs!$I$9)))*Inputs!$C$11+((Inputs!$H$9+Inputs!$L$9*(((Inputs!$I$9+(((A185)+1)/2)*(Inputs!$J$9-Inputs!$I$9)))/Inputs!$K$9)^2))*((2*Inputs!$L$9*((Inputs!$I$9+(((A185)+1)/2)*(Inputs!$J$9-Inputs!$I$9)))/(Inputs!$K$9^2)*Inputs!$C$11)))/(SQRT(((Inputs!$I$9+(((A185)+1)/2)*(Inputs!$J$9-Inputs!$I$9)))^2+Inputs!$C$6^2+((Inputs!$H$9+Inputs!$L$9*(((Inputs!$I$9+(((A185)+1)/2)*(Inputs!$J$9-Inputs!$I$9)))/Inputs!$K$9)^2))^2)))))/Inputs!$C$13)</f>
        <v>-2481.661802856815</v>
      </c>
    </row>
    <row r="186" spans="1:41">
      <c r="A186" s="9">
        <f>ROUND(-1+184*2/240,3)</f>
        <v>0.53300000000000003</v>
      </c>
      <c r="B186" s="9">
        <f>IF(OR(Inputs!$F$6=TRUE,Inputs!$F$6="TRUE",Inputs!$F$6=1),(Inputs!$H$6+Inputs!$L$6*(((Inputs!$I$6+(((A186)+1)/2)*(Inputs!$J$6-Inputs!$I$6)))/Inputs!$K$6)^2),NA())</f>
        <v>401.13635599999998</v>
      </c>
      <c r="C186" s="9">
        <f>IF(OR(Inputs!$F$7=TRUE,Inputs!$F$7="TRUE",Inputs!$F$7=1),(Inputs!$H$7+Inputs!$L$7*(((Inputs!$I$7+(((A186)+1)/2)*(Inputs!$J$7-Inputs!$I$7)))/Inputs!$K$7)^2),NA())</f>
        <v>138.69248499999992</v>
      </c>
      <c r="D186" s="9">
        <f>IF(OR(Inputs!$F$8=TRUE,Inputs!$F$8="TRUE",Inputs!$F$8=1),(Inputs!$H$8+Inputs!$L$8*(((Inputs!$I$8+(((A186)+1)/2)*(Inputs!$J$8-Inputs!$I$8)))/Inputs!$K$8)^2),NA())</f>
        <v>309.14588499999979</v>
      </c>
      <c r="E186" s="9">
        <f>IF(OR(Inputs!$F$9=TRUE,Inputs!$F$9="TRUE",Inputs!$F$9=1),(Inputs!$H$9+Inputs!$L$9*(((Inputs!$I$9+(((A186)+1)/2)*(Inputs!$J$9-Inputs!$I$9)))/Inputs!$K$9)^2),NA())</f>
        <v>301.9867749999998</v>
      </c>
      <c r="F186" s="10"/>
      <c r="G186" s="9">
        <f t="shared" si="12"/>
        <v>0.53300000000000003</v>
      </c>
      <c r="H186" s="9">
        <f>IF(OR(Inputs!$F$6=TRUE,Inputs!$F$6="TRUE",Inputs!$F$6=1),(((SQRT(((Inputs!$I$6+(((A186)+1)/2)*(Inputs!$J$6-Inputs!$I$6)))^2+Inputs!$C$6^2+((Inputs!$H$6+Inputs!$L$6*(((Inputs!$I$6+(((A186)+1)/2)*(Inputs!$J$6-Inputs!$I$6)))/Inputs!$K$6)^2))^2))-((Inputs!$H$6+Inputs!$L$6*(((Inputs!$I$6+(((A186)+1)/2)*(Inputs!$J$6-Inputs!$I$6)))/Inputs!$K$6)^2)))*1000/Inputs!$C$12),NA())</f>
        <v>1150.8903489637885</v>
      </c>
      <c r="I186" s="9">
        <f>IF(OR(Inputs!$F$7=TRUE,Inputs!$F$7="TRUE",Inputs!$F$7=1),(((SQRT(((Inputs!$I$7+(((A186)+1)/2)*(Inputs!$J$7-Inputs!$I$7)))^2+Inputs!$C$6^2+((Inputs!$H$7+Inputs!$L$7*(((Inputs!$I$7+(((A186)+1)/2)*(Inputs!$J$7-Inputs!$I$7)))/Inputs!$K$7)^2))^2))-((Inputs!$H$7+Inputs!$L$7*(((Inputs!$I$7+(((A186)+1)/2)*(Inputs!$J$7-Inputs!$I$7)))/Inputs!$K$7)^2)))*1000/Inputs!$C$12),NA())</f>
        <v>65660.228872902924</v>
      </c>
      <c r="J186" s="9">
        <f>IF(OR(Inputs!$F$8=TRUE,Inputs!$F$8="TRUE",Inputs!$F$8=1),(((SQRT(((Inputs!$I$8+(((A186)+1)/2)*(Inputs!$J$8-Inputs!$I$8)))^2+Inputs!$C$6^2+((Inputs!$H$8+Inputs!$L$8*(((Inputs!$I$8+(((A186)+1)/2)*(Inputs!$J$8-Inputs!$I$8)))/Inputs!$K$8)^2))^2))-((Inputs!$H$8+Inputs!$L$8*(((Inputs!$I$8+(((A186)+1)/2)*(Inputs!$J$8-Inputs!$I$8)))/Inputs!$K$8)^2)))*1000/Inputs!$C$12),NA())</f>
        <v>122541.36344463678</v>
      </c>
      <c r="K186" s="9">
        <f>IF(OR(Inputs!$F$9=TRUE,Inputs!$F$9="TRUE",Inputs!$F$9=1),(((SQRT(((Inputs!$I$9+(((A186)+1)/2)*(Inputs!$J$9-Inputs!$I$9)))^2+Inputs!$C$6^2+((Inputs!$H$9+Inputs!$L$9*(((Inputs!$I$9+(((A186)+1)/2)*(Inputs!$J$9-Inputs!$I$9)))/Inputs!$K$9)^2))^2))-((Inputs!$H$9+Inputs!$L$9*(((Inputs!$I$9+(((A186)+1)/2)*(Inputs!$J$9-Inputs!$I$9)))/Inputs!$K$9)^2)))*1000/Inputs!$C$12),NA())</f>
        <v>124223.25540506939</v>
      </c>
      <c r="L186" s="10"/>
      <c r="M186" s="9">
        <f t="shared" si="13"/>
        <v>0.53300000000000003</v>
      </c>
      <c r="N186" s="9">
        <f>IF(OR(Inputs!$F$6=TRUE,Inputs!$F$6="TRUE",Inputs!$F$6=1),(-2*((1000*((((Inputs!$I$6+(((A186)+1)/2)*(Inputs!$J$6-Inputs!$I$6)))*Inputs!$C$11+((Inputs!$H$6+Inputs!$L$6*(((Inputs!$I$6+(((A186)+1)/2)*(Inputs!$J$6-Inputs!$I$6)))/Inputs!$K$6)^2))*((2*Inputs!$L$6*((Inputs!$I$6+(((A186)+1)/2)*(Inputs!$J$6-Inputs!$I$6)))/(Inputs!$K$6^2)*Inputs!$C$11)))/(SQRT(((Inputs!$I$6+(((A186)+1)/2)*(Inputs!$J$6-Inputs!$I$6)))^2+Inputs!$C$6^2+((Inputs!$H$6+Inputs!$L$6*(((Inputs!$I$6+(((A186)+1)/2)*(Inputs!$J$6-Inputs!$I$6)))/Inputs!$K$6)^2))^2)))))/Inputs!$C$13),NA())</f>
        <v>-240.03842435797432</v>
      </c>
      <c r="O186" s="9">
        <f>IF(OR(Inputs!$F$7=TRUE,Inputs!$F$7="TRUE",Inputs!$F$7=1),(-2*((1000*((((Inputs!$I$7+(((A186)+1)/2)*(Inputs!$J$7-Inputs!$I$7)))*Inputs!$C$11+((Inputs!$H$7+Inputs!$L$7*(((Inputs!$I$7+(((A186)+1)/2)*(Inputs!$J$7-Inputs!$I$7)))/Inputs!$K$7)^2))*((2*Inputs!$L$7*((Inputs!$I$7+(((A186)+1)/2)*(Inputs!$J$7-Inputs!$I$7)))/(Inputs!$K$7^2)*Inputs!$C$11)))/(SQRT(((Inputs!$I$7+(((A186)+1)/2)*(Inputs!$J$7-Inputs!$I$7)))^2+Inputs!$C$6^2+((Inputs!$H$7+Inputs!$L$7*(((Inputs!$I$7+(((A186)+1)/2)*(Inputs!$J$7-Inputs!$I$7)))/Inputs!$K$7)^2))^2)))))/Inputs!$C$13),NA())</f>
        <v>-2179.3655948359747</v>
      </c>
      <c r="P186" s="9">
        <f>IF(OR(Inputs!$F$8=TRUE,Inputs!$F$8="TRUE",Inputs!$F$8=1),(-2*((1000*((((Inputs!$I$8+(((A186)+1)/2)*(Inputs!$J$8-Inputs!$I$8)))*Inputs!$C$11+((Inputs!$H$8+Inputs!$L$8*(((Inputs!$I$8+(((A186)+1)/2)*(Inputs!$J$8-Inputs!$I$8)))/Inputs!$K$8)^2))*((2*Inputs!$L$8*((Inputs!$I$8+(((A186)+1)/2)*(Inputs!$J$8-Inputs!$I$8)))/(Inputs!$K$8^2)*Inputs!$C$11)))/(SQRT(((Inputs!$I$8+(((A186)+1)/2)*(Inputs!$J$8-Inputs!$I$8)))^2+Inputs!$C$6^2+((Inputs!$H$8+Inputs!$L$8*(((Inputs!$I$8+(((A186)+1)/2)*(Inputs!$J$8-Inputs!$I$8)))/Inputs!$K$8)^2))^2)))))/Inputs!$C$13),NA())</f>
        <v>-2500.1835513916053</v>
      </c>
      <c r="Q186" s="9">
        <f>IF(OR(Inputs!$F$9=TRUE,Inputs!$F$9="TRUE",Inputs!$F$9=1),(-2*((1000*((((Inputs!$I$9+(((A186)+1)/2)*(Inputs!$J$9-Inputs!$I$9)))*Inputs!$C$11+((Inputs!$H$9+Inputs!$L$9*(((Inputs!$I$9+(((A186)+1)/2)*(Inputs!$J$9-Inputs!$I$9)))/Inputs!$K$9)^2))*((2*Inputs!$L$9*((Inputs!$I$9+(((A186)+1)/2)*(Inputs!$J$9-Inputs!$I$9)))/(Inputs!$K$9^2)*Inputs!$C$11)))/(SQRT(((Inputs!$I$9+(((A186)+1)/2)*(Inputs!$J$9-Inputs!$I$9)))^2+Inputs!$C$6^2+((Inputs!$H$9+Inputs!$L$9*(((Inputs!$I$9+(((A186)+1)/2)*(Inputs!$J$9-Inputs!$I$9)))/Inputs!$K$9)^2))^2)))))/Inputs!$C$13),NA())</f>
        <v>-2504.2429123467873</v>
      </c>
      <c r="R186" s="10"/>
      <c r="S186" s="9">
        <f t="shared" si="14"/>
        <v>0.53300000000000003</v>
      </c>
      <c r="T186" s="9">
        <f>(Inputs!$I$6+(((A186)+1)/2)*(Inputs!$J$6-Inputs!$I$6))</f>
        <v>31.97999999999999</v>
      </c>
      <c r="U186" s="9">
        <f>(Inputs!$I$7+(((A186)+1)/2)*(Inputs!$J$7-Inputs!$I$7))</f>
        <v>213.19999999999993</v>
      </c>
      <c r="V186" s="9">
        <f>(Inputs!$I$8+(((A186)+1)/2)*(Inputs!$J$8-Inputs!$I$8))</f>
        <v>426.39999999999986</v>
      </c>
      <c r="W186" s="9">
        <f>(Inputs!$I$9+(((A186)+1)/2)*(Inputs!$J$9-Inputs!$I$9))</f>
        <v>426.39999999999986</v>
      </c>
      <c r="X186" s="10"/>
      <c r="Y186" s="9">
        <f t="shared" si="15"/>
        <v>0.53300000000000003</v>
      </c>
      <c r="Z186" s="9">
        <f>(Inputs!$H$6+Inputs!$L$6*(((Inputs!$I$6+(((A186)+1)/2)*(Inputs!$J$6-Inputs!$I$6)))/Inputs!$K$6)^2)</f>
        <v>401.13635599999998</v>
      </c>
      <c r="AA186" s="9">
        <f>(Inputs!$H$7+Inputs!$L$7*(((Inputs!$I$7+(((A186)+1)/2)*(Inputs!$J$7-Inputs!$I$7)))/Inputs!$K$7)^2)</f>
        <v>138.69248499999992</v>
      </c>
      <c r="AB186" s="9">
        <f>(Inputs!$H$8+Inputs!$L$8*(((Inputs!$I$8+(((A186)+1)/2)*(Inputs!$J$8-Inputs!$I$8)))/Inputs!$K$8)^2)</f>
        <v>309.14588499999979</v>
      </c>
      <c r="AC186" s="9">
        <f>(Inputs!$H$9+Inputs!$L$9*(((Inputs!$I$9+(((A186)+1)/2)*(Inputs!$J$9-Inputs!$I$9)))/Inputs!$K$9)^2)</f>
        <v>301.9867749999998</v>
      </c>
      <c r="AD186" s="10"/>
      <c r="AE186" s="9">
        <f t="shared" si="16"/>
        <v>0.53300000000000003</v>
      </c>
      <c r="AF186" s="9">
        <f>(((SQRT(((Inputs!$I$6+(((A186)+1)/2)*(Inputs!$J$6-Inputs!$I$6)))^2+Inputs!$C$6^2+((Inputs!$H$6+Inputs!$L$6*(((Inputs!$I$6+(((A186)+1)/2)*(Inputs!$J$6-Inputs!$I$6)))/Inputs!$K$6)^2))^2))-((Inputs!$H$6+Inputs!$L$6*(((Inputs!$I$6+(((A186)+1)/2)*(Inputs!$J$6-Inputs!$I$6)))/Inputs!$K$6)^2)))*1000/Inputs!$C$12)</f>
        <v>1150.8903489637885</v>
      </c>
      <c r="AG186" s="9">
        <f>(((SQRT(((Inputs!$I$7+(((A186)+1)/2)*(Inputs!$J$7-Inputs!$I$7)))^2+Inputs!$C$6^2+((Inputs!$H$7+Inputs!$L$7*(((Inputs!$I$7+(((A186)+1)/2)*(Inputs!$J$7-Inputs!$I$7)))/Inputs!$K$7)^2))^2))-((Inputs!$H$7+Inputs!$L$7*(((Inputs!$I$7+(((A186)+1)/2)*(Inputs!$J$7-Inputs!$I$7)))/Inputs!$K$7)^2)))*1000/Inputs!$C$12)</f>
        <v>65660.228872902924</v>
      </c>
      <c r="AH186" s="9">
        <f>(((SQRT(((Inputs!$I$8+(((A186)+1)/2)*(Inputs!$J$8-Inputs!$I$8)))^2+Inputs!$C$6^2+((Inputs!$H$8+Inputs!$L$8*(((Inputs!$I$8+(((A186)+1)/2)*(Inputs!$J$8-Inputs!$I$8)))/Inputs!$K$8)^2))^2))-((Inputs!$H$8+Inputs!$L$8*(((Inputs!$I$8+(((A186)+1)/2)*(Inputs!$J$8-Inputs!$I$8)))/Inputs!$K$8)^2)))*1000/Inputs!$C$12)</f>
        <v>122541.36344463678</v>
      </c>
      <c r="AI186" s="9">
        <f>(((SQRT(((Inputs!$I$9+(((A186)+1)/2)*(Inputs!$J$9-Inputs!$I$9)))^2+Inputs!$C$6^2+((Inputs!$H$9+Inputs!$L$9*(((Inputs!$I$9+(((A186)+1)/2)*(Inputs!$J$9-Inputs!$I$9)))/Inputs!$K$9)^2))^2))-((Inputs!$H$9+Inputs!$L$9*(((Inputs!$I$9+(((A186)+1)/2)*(Inputs!$J$9-Inputs!$I$9)))/Inputs!$K$9)^2)))*1000/Inputs!$C$12)</f>
        <v>124223.25540506939</v>
      </c>
      <c r="AJ186" s="10"/>
      <c r="AK186" s="9">
        <f t="shared" si="17"/>
        <v>0.53300000000000003</v>
      </c>
      <c r="AL186" s="9">
        <f>(-2*((1000*((((Inputs!$I$6+(((A186)+1)/2)*(Inputs!$J$6-Inputs!$I$6)))*Inputs!$C$11+((Inputs!$H$6+Inputs!$L$6*(((Inputs!$I$6+(((A186)+1)/2)*(Inputs!$J$6-Inputs!$I$6)))/Inputs!$K$6)^2))*((2*Inputs!$L$6*((Inputs!$I$6+(((A186)+1)/2)*(Inputs!$J$6-Inputs!$I$6)))/(Inputs!$K$6^2)*Inputs!$C$11)))/(SQRT(((Inputs!$I$6+(((A186)+1)/2)*(Inputs!$J$6-Inputs!$I$6)))^2+Inputs!$C$6^2+((Inputs!$H$6+Inputs!$L$6*(((Inputs!$I$6+(((A186)+1)/2)*(Inputs!$J$6-Inputs!$I$6)))/Inputs!$K$6)^2))^2)))))/Inputs!$C$13)</f>
        <v>-240.03842435797432</v>
      </c>
      <c r="AM186" s="9">
        <f>(-2*((1000*((((Inputs!$I$7+(((A186)+1)/2)*(Inputs!$J$7-Inputs!$I$7)))*Inputs!$C$11+((Inputs!$H$7+Inputs!$L$7*(((Inputs!$I$7+(((A186)+1)/2)*(Inputs!$J$7-Inputs!$I$7)))/Inputs!$K$7)^2))*((2*Inputs!$L$7*((Inputs!$I$7+(((A186)+1)/2)*(Inputs!$J$7-Inputs!$I$7)))/(Inputs!$K$7^2)*Inputs!$C$11)))/(SQRT(((Inputs!$I$7+(((A186)+1)/2)*(Inputs!$J$7-Inputs!$I$7)))^2+Inputs!$C$6^2+((Inputs!$H$7+Inputs!$L$7*(((Inputs!$I$7+(((A186)+1)/2)*(Inputs!$J$7-Inputs!$I$7)))/Inputs!$K$7)^2))^2)))))/Inputs!$C$13)</f>
        <v>-2179.3655948359747</v>
      </c>
      <c r="AN186" s="9">
        <f>(-2*((1000*((((Inputs!$I$8+(((A186)+1)/2)*(Inputs!$J$8-Inputs!$I$8)))*Inputs!$C$11+((Inputs!$H$8+Inputs!$L$8*(((Inputs!$I$8+(((A186)+1)/2)*(Inputs!$J$8-Inputs!$I$8)))/Inputs!$K$8)^2))*((2*Inputs!$L$8*((Inputs!$I$8+(((A186)+1)/2)*(Inputs!$J$8-Inputs!$I$8)))/(Inputs!$K$8^2)*Inputs!$C$11)))/(SQRT(((Inputs!$I$8+(((A186)+1)/2)*(Inputs!$J$8-Inputs!$I$8)))^2+Inputs!$C$6^2+((Inputs!$H$8+Inputs!$L$8*(((Inputs!$I$8+(((A186)+1)/2)*(Inputs!$J$8-Inputs!$I$8)))/Inputs!$K$8)^2))^2)))))/Inputs!$C$13)</f>
        <v>-2500.1835513916053</v>
      </c>
      <c r="AO186" s="9">
        <f>(-2*((1000*((((Inputs!$I$9+(((A186)+1)/2)*(Inputs!$J$9-Inputs!$I$9)))*Inputs!$C$11+((Inputs!$H$9+Inputs!$L$9*(((Inputs!$I$9+(((A186)+1)/2)*(Inputs!$J$9-Inputs!$I$9)))/Inputs!$K$9)^2))*((2*Inputs!$L$9*((Inputs!$I$9+(((A186)+1)/2)*(Inputs!$J$9-Inputs!$I$9)))/(Inputs!$K$9^2)*Inputs!$C$11)))/(SQRT(((Inputs!$I$9+(((A186)+1)/2)*(Inputs!$J$9-Inputs!$I$9)))^2+Inputs!$C$6^2+((Inputs!$H$9+Inputs!$L$9*(((Inputs!$I$9+(((A186)+1)/2)*(Inputs!$J$9-Inputs!$I$9)))/Inputs!$K$9)^2))^2)))))/Inputs!$C$13)</f>
        <v>-2504.2429123467873</v>
      </c>
    </row>
    <row r="187" spans="1:41">
      <c r="A187" s="9">
        <f>ROUND(-1+185*2/240,3)</f>
        <v>0.54200000000000004</v>
      </c>
      <c r="B187" s="9">
        <f>IF(OR(Inputs!$F$6=TRUE,Inputs!$F$6="TRUE",Inputs!$F$6=1),(Inputs!$H$6+Inputs!$L$6*(((Inputs!$I$6+(((A187)+1)/2)*(Inputs!$J$6-Inputs!$I$6)))/Inputs!$K$6)^2),NA())</f>
        <v>401.17505599999998</v>
      </c>
      <c r="C187" s="9">
        <f>IF(OR(Inputs!$F$7=TRUE,Inputs!$F$7="TRUE",Inputs!$F$7=1),(Inputs!$H$7+Inputs!$L$7*(((Inputs!$I$7+(((A187)+1)/2)*(Inputs!$J$7-Inputs!$I$7)))/Inputs!$K$7)^2),NA())</f>
        <v>142.22386000000006</v>
      </c>
      <c r="D187" s="9">
        <f>IF(OR(Inputs!$F$8=TRUE,Inputs!$F$8="TRUE",Inputs!$F$8=1),(Inputs!$H$8+Inputs!$L$8*(((Inputs!$I$8+(((A187)+1)/2)*(Inputs!$J$8-Inputs!$I$8)))/Inputs!$K$8)^2),NA())</f>
        <v>318.48226000000011</v>
      </c>
      <c r="E187" s="9">
        <f>IF(OR(Inputs!$F$9=TRUE,Inputs!$F$9="TRUE",Inputs!$F$9=1),(Inputs!$H$9+Inputs!$L$9*(((Inputs!$I$9+(((A187)+1)/2)*(Inputs!$J$9-Inputs!$I$9)))/Inputs!$K$9)^2),NA())</f>
        <v>311.41990000000015</v>
      </c>
      <c r="F187" s="10"/>
      <c r="G187" s="9">
        <f t="shared" si="12"/>
        <v>0.54200000000000004</v>
      </c>
      <c r="H187" s="9">
        <f>IF(OR(Inputs!$F$6=TRUE,Inputs!$F$6="TRUE",Inputs!$F$6=1),(((SQRT(((Inputs!$I$6+(((A187)+1)/2)*(Inputs!$J$6-Inputs!$I$6)))^2+Inputs!$C$6^2+((Inputs!$H$6+Inputs!$L$6*(((Inputs!$I$6+(((A187)+1)/2)*(Inputs!$J$6-Inputs!$I$6)))/Inputs!$K$6)^2))^2))-((Inputs!$H$6+Inputs!$L$6*(((Inputs!$I$6+(((A187)+1)/2)*(Inputs!$J$6-Inputs!$I$6)))/Inputs!$K$6)^2)))*1000/Inputs!$C$12),NA())</f>
        <v>1175.0423288320967</v>
      </c>
      <c r="I187" s="9">
        <f>IF(OR(Inputs!$F$7=TRUE,Inputs!$F$7="TRUE",Inputs!$F$7=1),(((SQRT(((Inputs!$I$7+(((A187)+1)/2)*(Inputs!$J$7-Inputs!$I$7)))^2+Inputs!$C$6^2+((Inputs!$H$7+Inputs!$L$7*(((Inputs!$I$7+(((A187)+1)/2)*(Inputs!$J$7-Inputs!$I$7)))/Inputs!$K$7)^2))^2))-((Inputs!$H$7+Inputs!$L$7*(((Inputs!$I$7+(((A187)+1)/2)*(Inputs!$J$7-Inputs!$I$7)))/Inputs!$K$7)^2)))*1000/Inputs!$C$12),NA())</f>
        <v>66441.464325862529</v>
      </c>
      <c r="J187" s="9">
        <f>IF(OR(Inputs!$F$8=TRUE,Inputs!$F$8="TRUE",Inputs!$F$8=1),(((SQRT(((Inputs!$I$8+(((A187)+1)/2)*(Inputs!$J$8-Inputs!$I$8)))^2+Inputs!$C$6^2+((Inputs!$H$8+Inputs!$L$8*(((Inputs!$I$8+(((A187)+1)/2)*(Inputs!$J$8-Inputs!$I$8)))/Inputs!$K$8)^2))^2))-((Inputs!$H$8+Inputs!$L$8*(((Inputs!$I$8+(((A187)+1)/2)*(Inputs!$J$8-Inputs!$I$8)))/Inputs!$K$8)^2)))*1000/Inputs!$C$12),NA())</f>
        <v>123648.58691170765</v>
      </c>
      <c r="K187" s="9">
        <f>IF(OR(Inputs!$F$9=TRUE,Inputs!$F$9="TRUE",Inputs!$F$9=1),(((SQRT(((Inputs!$I$9+(((A187)+1)/2)*(Inputs!$J$9-Inputs!$I$9)))^2+Inputs!$C$6^2+((Inputs!$H$9+Inputs!$L$9*(((Inputs!$I$9+(((A187)+1)/2)*(Inputs!$J$9-Inputs!$I$9)))/Inputs!$K$9)^2))^2))-((Inputs!$H$9+Inputs!$L$9*(((Inputs!$I$9+(((A187)+1)/2)*(Inputs!$J$9-Inputs!$I$9)))/Inputs!$K$9)^2)))*1000/Inputs!$C$12),NA())</f>
        <v>125287.04040938606</v>
      </c>
      <c r="L187" s="10"/>
      <c r="M187" s="9">
        <f t="shared" si="13"/>
        <v>0.54200000000000004</v>
      </c>
      <c r="N187" s="9">
        <f>IF(OR(Inputs!$F$6=TRUE,Inputs!$F$6="TRUE",Inputs!$F$6=1),(-2*((1000*((((Inputs!$I$6+(((A187)+1)/2)*(Inputs!$J$6-Inputs!$I$6)))*Inputs!$C$11+((Inputs!$H$6+Inputs!$L$6*(((Inputs!$I$6+(((A187)+1)/2)*(Inputs!$J$6-Inputs!$I$6)))/Inputs!$K$6)^2))*((2*Inputs!$L$6*((Inputs!$I$6+(((A187)+1)/2)*(Inputs!$J$6-Inputs!$I$6)))/(Inputs!$K$6^2)*Inputs!$C$11)))/(SQRT(((Inputs!$I$6+(((A187)+1)/2)*(Inputs!$J$6-Inputs!$I$6)))^2+Inputs!$C$6^2+((Inputs!$H$6+Inputs!$L$6*(((Inputs!$I$6+(((A187)+1)/2)*(Inputs!$J$6-Inputs!$I$6)))/Inputs!$K$6)^2))^2)))))/Inputs!$C$13),NA())</f>
        <v>-244.05325614659296</v>
      </c>
      <c r="O187" s="9">
        <f>IF(OR(Inputs!$F$7=TRUE,Inputs!$F$7="TRUE",Inputs!$F$7=1),(-2*((1000*((((Inputs!$I$7+(((A187)+1)/2)*(Inputs!$J$7-Inputs!$I$7)))*Inputs!$C$11+((Inputs!$H$7+Inputs!$L$7*(((Inputs!$I$7+(((A187)+1)/2)*(Inputs!$J$7-Inputs!$I$7)))/Inputs!$K$7)^2))*((2*Inputs!$L$7*((Inputs!$I$7+(((A187)+1)/2)*(Inputs!$J$7-Inputs!$I$7)))/(Inputs!$K$7^2)*Inputs!$C$11)))/(SQRT(((Inputs!$I$7+(((A187)+1)/2)*(Inputs!$J$7-Inputs!$I$7)))^2+Inputs!$C$6^2+((Inputs!$H$7+Inputs!$L$7*(((Inputs!$I$7+(((A187)+1)/2)*(Inputs!$J$7-Inputs!$I$7)))/Inputs!$K$7)^2))^2)))))/Inputs!$C$13),NA())</f>
        <v>-2195.7461018528452</v>
      </c>
      <c r="P187" s="9">
        <f>IF(OR(Inputs!$F$8=TRUE,Inputs!$F$8="TRUE",Inputs!$F$8=1),(-2*((1000*((((Inputs!$I$8+(((A187)+1)/2)*(Inputs!$J$8-Inputs!$I$8)))*Inputs!$C$11+((Inputs!$H$8+Inputs!$L$8*(((Inputs!$I$8+(((A187)+1)/2)*(Inputs!$J$8-Inputs!$I$8)))/Inputs!$K$8)^2))*((2*Inputs!$L$8*((Inputs!$I$8+(((A187)+1)/2)*(Inputs!$J$8-Inputs!$I$8)))/(Inputs!$K$8^2)*Inputs!$C$11)))/(SQRT(((Inputs!$I$8+(((A187)+1)/2)*(Inputs!$J$8-Inputs!$I$8)))^2+Inputs!$C$6^2+((Inputs!$H$8+Inputs!$L$8*(((Inputs!$I$8+(((A187)+1)/2)*(Inputs!$J$8-Inputs!$I$8)))/Inputs!$K$8)^2))^2)))))/Inputs!$C$13),NA())</f>
        <v>-2525.2911849018228</v>
      </c>
      <c r="Q187" s="9">
        <f>IF(OR(Inputs!$F$9=TRUE,Inputs!$F$9="TRUE",Inputs!$F$9=1),(-2*((1000*((((Inputs!$I$9+(((A187)+1)/2)*(Inputs!$J$9-Inputs!$I$9)))*Inputs!$C$11+((Inputs!$H$9+Inputs!$L$9*(((Inputs!$I$9+(((A187)+1)/2)*(Inputs!$J$9-Inputs!$I$9)))/Inputs!$K$9)^2))*((2*Inputs!$L$9*((Inputs!$I$9+(((A187)+1)/2)*(Inputs!$J$9-Inputs!$I$9)))/(Inputs!$K$9^2)*Inputs!$C$11)))/(SQRT(((Inputs!$I$9+(((A187)+1)/2)*(Inputs!$J$9-Inputs!$I$9)))^2+Inputs!$C$6^2+((Inputs!$H$9+Inputs!$L$9*(((Inputs!$I$9+(((A187)+1)/2)*(Inputs!$J$9-Inputs!$I$9)))/Inputs!$K$9)^2))^2)))))/Inputs!$C$13),NA())</f>
        <v>-2529.8678591214994</v>
      </c>
      <c r="R187" s="10"/>
      <c r="S187" s="9">
        <f t="shared" si="14"/>
        <v>0.54200000000000004</v>
      </c>
      <c r="T187" s="9">
        <f>(Inputs!$I$6+(((A187)+1)/2)*(Inputs!$J$6-Inputs!$I$6))</f>
        <v>32.519999999999996</v>
      </c>
      <c r="U187" s="9">
        <f>(Inputs!$I$7+(((A187)+1)/2)*(Inputs!$J$7-Inputs!$I$7))</f>
        <v>216.80000000000007</v>
      </c>
      <c r="V187" s="9">
        <f>(Inputs!$I$8+(((A187)+1)/2)*(Inputs!$J$8-Inputs!$I$8))</f>
        <v>433.60000000000014</v>
      </c>
      <c r="W187" s="9">
        <f>(Inputs!$I$9+(((A187)+1)/2)*(Inputs!$J$9-Inputs!$I$9))</f>
        <v>433.60000000000014</v>
      </c>
      <c r="X187" s="10"/>
      <c r="Y187" s="9">
        <f t="shared" si="15"/>
        <v>0.54200000000000004</v>
      </c>
      <c r="Z187" s="9">
        <f>(Inputs!$H$6+Inputs!$L$6*(((Inputs!$I$6+(((A187)+1)/2)*(Inputs!$J$6-Inputs!$I$6)))/Inputs!$K$6)^2)</f>
        <v>401.17505599999998</v>
      </c>
      <c r="AA187" s="9">
        <f>(Inputs!$H$7+Inputs!$L$7*(((Inputs!$I$7+(((A187)+1)/2)*(Inputs!$J$7-Inputs!$I$7)))/Inputs!$K$7)^2)</f>
        <v>142.22386000000006</v>
      </c>
      <c r="AB187" s="9">
        <f>(Inputs!$H$8+Inputs!$L$8*(((Inputs!$I$8+(((A187)+1)/2)*(Inputs!$J$8-Inputs!$I$8)))/Inputs!$K$8)^2)</f>
        <v>318.48226000000011</v>
      </c>
      <c r="AC187" s="9">
        <f>(Inputs!$H$9+Inputs!$L$9*(((Inputs!$I$9+(((A187)+1)/2)*(Inputs!$J$9-Inputs!$I$9)))/Inputs!$K$9)^2)</f>
        <v>311.41990000000015</v>
      </c>
      <c r="AD187" s="10"/>
      <c r="AE187" s="9">
        <f t="shared" si="16"/>
        <v>0.54200000000000004</v>
      </c>
      <c r="AF187" s="9">
        <f>(((SQRT(((Inputs!$I$6+(((A187)+1)/2)*(Inputs!$J$6-Inputs!$I$6)))^2+Inputs!$C$6^2+((Inputs!$H$6+Inputs!$L$6*(((Inputs!$I$6+(((A187)+1)/2)*(Inputs!$J$6-Inputs!$I$6)))/Inputs!$K$6)^2))^2))-((Inputs!$H$6+Inputs!$L$6*(((Inputs!$I$6+(((A187)+1)/2)*(Inputs!$J$6-Inputs!$I$6)))/Inputs!$K$6)^2)))*1000/Inputs!$C$12)</f>
        <v>1175.0423288320967</v>
      </c>
      <c r="AG187" s="9">
        <f>(((SQRT(((Inputs!$I$7+(((A187)+1)/2)*(Inputs!$J$7-Inputs!$I$7)))^2+Inputs!$C$6^2+((Inputs!$H$7+Inputs!$L$7*(((Inputs!$I$7+(((A187)+1)/2)*(Inputs!$J$7-Inputs!$I$7)))/Inputs!$K$7)^2))^2))-((Inputs!$H$7+Inputs!$L$7*(((Inputs!$I$7+(((A187)+1)/2)*(Inputs!$J$7-Inputs!$I$7)))/Inputs!$K$7)^2)))*1000/Inputs!$C$12)</f>
        <v>66441.464325862529</v>
      </c>
      <c r="AH187" s="9">
        <f>(((SQRT(((Inputs!$I$8+(((A187)+1)/2)*(Inputs!$J$8-Inputs!$I$8)))^2+Inputs!$C$6^2+((Inputs!$H$8+Inputs!$L$8*(((Inputs!$I$8+(((A187)+1)/2)*(Inputs!$J$8-Inputs!$I$8)))/Inputs!$K$8)^2))^2))-((Inputs!$H$8+Inputs!$L$8*(((Inputs!$I$8+(((A187)+1)/2)*(Inputs!$J$8-Inputs!$I$8)))/Inputs!$K$8)^2)))*1000/Inputs!$C$12)</f>
        <v>123648.58691170765</v>
      </c>
      <c r="AI187" s="9">
        <f>(((SQRT(((Inputs!$I$9+(((A187)+1)/2)*(Inputs!$J$9-Inputs!$I$9)))^2+Inputs!$C$6^2+((Inputs!$H$9+Inputs!$L$9*(((Inputs!$I$9+(((A187)+1)/2)*(Inputs!$J$9-Inputs!$I$9)))/Inputs!$K$9)^2))^2))-((Inputs!$H$9+Inputs!$L$9*(((Inputs!$I$9+(((A187)+1)/2)*(Inputs!$J$9-Inputs!$I$9)))/Inputs!$K$9)^2)))*1000/Inputs!$C$12)</f>
        <v>125287.04040938606</v>
      </c>
      <c r="AJ187" s="10"/>
      <c r="AK187" s="9">
        <f t="shared" si="17"/>
        <v>0.54200000000000004</v>
      </c>
      <c r="AL187" s="9">
        <f>(-2*((1000*((((Inputs!$I$6+(((A187)+1)/2)*(Inputs!$J$6-Inputs!$I$6)))*Inputs!$C$11+((Inputs!$H$6+Inputs!$L$6*(((Inputs!$I$6+(((A187)+1)/2)*(Inputs!$J$6-Inputs!$I$6)))/Inputs!$K$6)^2))*((2*Inputs!$L$6*((Inputs!$I$6+(((A187)+1)/2)*(Inputs!$J$6-Inputs!$I$6)))/(Inputs!$K$6^2)*Inputs!$C$11)))/(SQRT(((Inputs!$I$6+(((A187)+1)/2)*(Inputs!$J$6-Inputs!$I$6)))^2+Inputs!$C$6^2+((Inputs!$H$6+Inputs!$L$6*(((Inputs!$I$6+(((A187)+1)/2)*(Inputs!$J$6-Inputs!$I$6)))/Inputs!$K$6)^2))^2)))))/Inputs!$C$13)</f>
        <v>-244.05325614659296</v>
      </c>
      <c r="AM187" s="9">
        <f>(-2*((1000*((((Inputs!$I$7+(((A187)+1)/2)*(Inputs!$J$7-Inputs!$I$7)))*Inputs!$C$11+((Inputs!$H$7+Inputs!$L$7*(((Inputs!$I$7+(((A187)+1)/2)*(Inputs!$J$7-Inputs!$I$7)))/Inputs!$K$7)^2))*((2*Inputs!$L$7*((Inputs!$I$7+(((A187)+1)/2)*(Inputs!$J$7-Inputs!$I$7)))/(Inputs!$K$7^2)*Inputs!$C$11)))/(SQRT(((Inputs!$I$7+(((A187)+1)/2)*(Inputs!$J$7-Inputs!$I$7)))^2+Inputs!$C$6^2+((Inputs!$H$7+Inputs!$L$7*(((Inputs!$I$7+(((A187)+1)/2)*(Inputs!$J$7-Inputs!$I$7)))/Inputs!$K$7)^2))^2)))))/Inputs!$C$13)</f>
        <v>-2195.7461018528452</v>
      </c>
      <c r="AN187" s="9">
        <f>(-2*((1000*((((Inputs!$I$8+(((A187)+1)/2)*(Inputs!$J$8-Inputs!$I$8)))*Inputs!$C$11+((Inputs!$H$8+Inputs!$L$8*(((Inputs!$I$8+(((A187)+1)/2)*(Inputs!$J$8-Inputs!$I$8)))/Inputs!$K$8)^2))*((2*Inputs!$L$8*((Inputs!$I$8+(((A187)+1)/2)*(Inputs!$J$8-Inputs!$I$8)))/(Inputs!$K$8^2)*Inputs!$C$11)))/(SQRT(((Inputs!$I$8+(((A187)+1)/2)*(Inputs!$J$8-Inputs!$I$8)))^2+Inputs!$C$6^2+((Inputs!$H$8+Inputs!$L$8*(((Inputs!$I$8+(((A187)+1)/2)*(Inputs!$J$8-Inputs!$I$8)))/Inputs!$K$8)^2))^2)))))/Inputs!$C$13)</f>
        <v>-2525.2911849018228</v>
      </c>
      <c r="AO187" s="9">
        <f>(-2*((1000*((((Inputs!$I$9+(((A187)+1)/2)*(Inputs!$J$9-Inputs!$I$9)))*Inputs!$C$11+((Inputs!$H$9+Inputs!$L$9*(((Inputs!$I$9+(((A187)+1)/2)*(Inputs!$J$9-Inputs!$I$9)))/Inputs!$K$9)^2))*((2*Inputs!$L$9*((Inputs!$I$9+(((A187)+1)/2)*(Inputs!$J$9-Inputs!$I$9)))/(Inputs!$K$9^2)*Inputs!$C$11)))/(SQRT(((Inputs!$I$9+(((A187)+1)/2)*(Inputs!$J$9-Inputs!$I$9)))^2+Inputs!$C$6^2+((Inputs!$H$9+Inputs!$L$9*(((Inputs!$I$9+(((A187)+1)/2)*(Inputs!$J$9-Inputs!$I$9)))/Inputs!$K$9)^2))^2)))))/Inputs!$C$13)</f>
        <v>-2529.8678591214994</v>
      </c>
    </row>
    <row r="188" spans="1:41">
      <c r="A188" s="9">
        <f>ROUND(-1+186*2/240,3)</f>
        <v>0.55000000000000004</v>
      </c>
      <c r="B188" s="9">
        <f>IF(OR(Inputs!$F$6=TRUE,Inputs!$F$6="TRUE",Inputs!$F$6=1),(Inputs!$H$6+Inputs!$L$6*(((Inputs!$I$6+(((A188)+1)/2)*(Inputs!$J$6-Inputs!$I$6)))/Inputs!$K$6)^2),NA())</f>
        <v>401.21</v>
      </c>
      <c r="C188" s="9">
        <f>IF(OR(Inputs!$F$7=TRUE,Inputs!$F$7="TRUE",Inputs!$F$7=1),(Inputs!$H$7+Inputs!$L$7*(((Inputs!$I$7+(((A188)+1)/2)*(Inputs!$J$7-Inputs!$I$7)))/Inputs!$K$7)^2),NA())</f>
        <v>145.41250000000002</v>
      </c>
      <c r="D188" s="9">
        <f>IF(OR(Inputs!$F$8=TRUE,Inputs!$F$8="TRUE",Inputs!$F$8=1),(Inputs!$H$8+Inputs!$L$8*(((Inputs!$I$8+(((A188)+1)/2)*(Inputs!$J$8-Inputs!$I$8)))/Inputs!$K$8)^2),NA())</f>
        <v>326.91250000000002</v>
      </c>
      <c r="E188" s="9">
        <f>IF(OR(Inputs!$F$9=TRUE,Inputs!$F$9="TRUE",Inputs!$F$9=1),(Inputs!$H$9+Inputs!$L$9*(((Inputs!$I$9+(((A188)+1)/2)*(Inputs!$J$9-Inputs!$I$9)))/Inputs!$K$9)^2),NA())</f>
        <v>319.93750000000006</v>
      </c>
      <c r="F188" s="10"/>
      <c r="G188" s="9">
        <f t="shared" si="12"/>
        <v>0.55000000000000004</v>
      </c>
      <c r="H188" s="9">
        <f>IF(OR(Inputs!$F$6=TRUE,Inputs!$F$6="TRUE",Inputs!$F$6=1),(((SQRT(((Inputs!$I$6+(((A188)+1)/2)*(Inputs!$J$6-Inputs!$I$6)))^2+Inputs!$C$6^2+((Inputs!$H$6+Inputs!$L$6*(((Inputs!$I$6+(((A188)+1)/2)*(Inputs!$J$6-Inputs!$I$6)))/Inputs!$K$6)^2))^2))-((Inputs!$H$6+Inputs!$L$6*(((Inputs!$I$6+(((A188)+1)/2)*(Inputs!$J$6-Inputs!$I$6)))/Inputs!$K$6)^2)))*1000/Inputs!$C$12),NA())</f>
        <v>1196.8440626483268</v>
      </c>
      <c r="I188" s="9">
        <f>IF(OR(Inputs!$F$7=TRUE,Inputs!$F$7="TRUE",Inputs!$F$7=1),(((SQRT(((Inputs!$I$7+(((A188)+1)/2)*(Inputs!$J$7-Inputs!$I$7)))^2+Inputs!$C$6^2+((Inputs!$H$7+Inputs!$L$7*(((Inputs!$I$7+(((A188)+1)/2)*(Inputs!$J$7-Inputs!$I$7)))/Inputs!$K$7)^2))^2))-((Inputs!$H$7+Inputs!$L$7*(((Inputs!$I$7+(((A188)+1)/2)*(Inputs!$J$7-Inputs!$I$7)))/Inputs!$K$7)^2)))*1000/Inputs!$C$12),NA())</f>
        <v>67125.460358978904</v>
      </c>
      <c r="J188" s="9">
        <f>IF(OR(Inputs!$F$8=TRUE,Inputs!$F$8="TRUE",Inputs!$F$8=1),(((SQRT(((Inputs!$I$8+(((A188)+1)/2)*(Inputs!$J$8-Inputs!$I$8)))^2+Inputs!$C$6^2+((Inputs!$H$8+Inputs!$L$8*(((Inputs!$I$8+(((A188)+1)/2)*(Inputs!$J$8-Inputs!$I$8)))/Inputs!$K$8)^2))^2))-((Inputs!$H$8+Inputs!$L$8*(((Inputs!$I$8+(((A188)+1)/2)*(Inputs!$J$8-Inputs!$I$8)))/Inputs!$K$8)^2)))*1000/Inputs!$C$12),NA())</f>
        <v>124612.56464894464</v>
      </c>
      <c r="K188" s="9">
        <f>IF(OR(Inputs!$F$9=TRUE,Inputs!$F$9="TRUE",Inputs!$F$9=1),(((SQRT(((Inputs!$I$9+(((A188)+1)/2)*(Inputs!$J$9-Inputs!$I$9)))^2+Inputs!$C$6^2+((Inputs!$H$9+Inputs!$L$9*(((Inputs!$I$9+(((A188)+1)/2)*(Inputs!$J$9-Inputs!$I$9)))/Inputs!$K$9)^2))^2))-((Inputs!$H$9+Inputs!$L$9*(((Inputs!$I$9+(((A188)+1)/2)*(Inputs!$J$9-Inputs!$I$9)))/Inputs!$K$9)^2)))*1000/Inputs!$C$12),NA())</f>
        <v>126212.74396407322</v>
      </c>
      <c r="L188" s="10"/>
      <c r="M188" s="9">
        <f t="shared" si="13"/>
        <v>0.55000000000000004</v>
      </c>
      <c r="N188" s="9">
        <f>IF(OR(Inputs!$F$6=TRUE,Inputs!$F$6="TRUE",Inputs!$F$6=1),(-2*((1000*((((Inputs!$I$6+(((A188)+1)/2)*(Inputs!$J$6-Inputs!$I$6)))*Inputs!$C$11+((Inputs!$H$6+Inputs!$L$6*(((Inputs!$I$6+(((A188)+1)/2)*(Inputs!$J$6-Inputs!$I$6)))/Inputs!$K$6)^2))*((2*Inputs!$L$6*((Inputs!$I$6+(((A188)+1)/2)*(Inputs!$J$6-Inputs!$I$6)))/(Inputs!$K$6^2)*Inputs!$C$11)))/(SQRT(((Inputs!$I$6+(((A188)+1)/2)*(Inputs!$J$6-Inputs!$I$6)))^2+Inputs!$C$6^2+((Inputs!$H$6+Inputs!$L$6*(((Inputs!$I$6+(((A188)+1)/2)*(Inputs!$J$6-Inputs!$I$6)))/Inputs!$K$6)^2))^2)))))/Inputs!$C$13),NA())</f>
        <v>-247.62039958551682</v>
      </c>
      <c r="O188" s="9">
        <f>IF(OR(Inputs!$F$7=TRUE,Inputs!$F$7="TRUE",Inputs!$F$7=1),(-2*((1000*((((Inputs!$I$7+(((A188)+1)/2)*(Inputs!$J$7-Inputs!$I$7)))*Inputs!$C$11+((Inputs!$H$7+Inputs!$L$7*(((Inputs!$I$7+(((A188)+1)/2)*(Inputs!$J$7-Inputs!$I$7)))/Inputs!$K$7)^2))*((2*Inputs!$L$7*((Inputs!$I$7+(((A188)+1)/2)*(Inputs!$J$7-Inputs!$I$7)))/(Inputs!$K$7^2)*Inputs!$C$11)))/(SQRT(((Inputs!$I$7+(((A188)+1)/2)*(Inputs!$J$7-Inputs!$I$7)))^2+Inputs!$C$6^2+((Inputs!$H$7+Inputs!$L$7*(((Inputs!$I$7+(((A188)+1)/2)*(Inputs!$J$7-Inputs!$I$7)))/Inputs!$K$7)^2))^2)))))/Inputs!$C$13),NA())</f>
        <v>-2210.4255032793171</v>
      </c>
      <c r="P188" s="9">
        <f>IF(OR(Inputs!$F$8=TRUE,Inputs!$F$8="TRUE",Inputs!$F$8=1),(-2*((1000*((((Inputs!$I$8+(((A188)+1)/2)*(Inputs!$J$8-Inputs!$I$8)))*Inputs!$C$11+((Inputs!$H$8+Inputs!$L$8*(((Inputs!$I$8+(((A188)+1)/2)*(Inputs!$J$8-Inputs!$I$8)))/Inputs!$K$8)^2))*((2*Inputs!$L$8*((Inputs!$I$8+(((A188)+1)/2)*(Inputs!$J$8-Inputs!$I$8)))/(Inputs!$K$8^2)*Inputs!$C$11)))/(SQRT(((Inputs!$I$8+(((A188)+1)/2)*(Inputs!$J$8-Inputs!$I$8)))^2+Inputs!$C$6^2+((Inputs!$H$8+Inputs!$L$8*(((Inputs!$I$8+(((A188)+1)/2)*(Inputs!$J$8-Inputs!$I$8)))/Inputs!$K$8)^2))^2)))))/Inputs!$C$13),NA())</f>
        <v>-2547.7983996686662</v>
      </c>
      <c r="Q188" s="9">
        <f>IF(OR(Inputs!$F$9=TRUE,Inputs!$F$9="TRUE",Inputs!$F$9=1),(-2*((1000*((((Inputs!$I$9+(((A188)+1)/2)*(Inputs!$J$9-Inputs!$I$9)))*Inputs!$C$11+((Inputs!$H$9+Inputs!$L$9*(((Inputs!$I$9+(((A188)+1)/2)*(Inputs!$J$9-Inputs!$I$9)))/Inputs!$K$9)^2))*((2*Inputs!$L$9*((Inputs!$I$9+(((A188)+1)/2)*(Inputs!$J$9-Inputs!$I$9)))/(Inputs!$K$9^2)*Inputs!$C$11)))/(SQRT(((Inputs!$I$9+(((A188)+1)/2)*(Inputs!$J$9-Inputs!$I$9)))^2+Inputs!$C$6^2+((Inputs!$H$9+Inputs!$L$9*(((Inputs!$I$9+(((A188)+1)/2)*(Inputs!$J$9-Inputs!$I$9)))/Inputs!$K$9)^2))^2)))))/Inputs!$C$13),NA())</f>
        <v>-2552.8381903725294</v>
      </c>
      <c r="R188" s="10"/>
      <c r="S188" s="9">
        <f t="shared" si="14"/>
        <v>0.55000000000000004</v>
      </c>
      <c r="T188" s="9">
        <f>(Inputs!$I$6+(((A188)+1)/2)*(Inputs!$J$6-Inputs!$I$6))</f>
        <v>33</v>
      </c>
      <c r="U188" s="9">
        <f>(Inputs!$I$7+(((A188)+1)/2)*(Inputs!$J$7-Inputs!$I$7))</f>
        <v>220</v>
      </c>
      <c r="V188" s="9">
        <f>(Inputs!$I$8+(((A188)+1)/2)*(Inputs!$J$8-Inputs!$I$8))</f>
        <v>440</v>
      </c>
      <c r="W188" s="9">
        <f>(Inputs!$I$9+(((A188)+1)/2)*(Inputs!$J$9-Inputs!$I$9))</f>
        <v>440</v>
      </c>
      <c r="X188" s="10"/>
      <c r="Y188" s="9">
        <f t="shared" si="15"/>
        <v>0.55000000000000004</v>
      </c>
      <c r="Z188" s="9">
        <f>(Inputs!$H$6+Inputs!$L$6*(((Inputs!$I$6+(((A188)+1)/2)*(Inputs!$J$6-Inputs!$I$6)))/Inputs!$K$6)^2)</f>
        <v>401.21</v>
      </c>
      <c r="AA188" s="9">
        <f>(Inputs!$H$7+Inputs!$L$7*(((Inputs!$I$7+(((A188)+1)/2)*(Inputs!$J$7-Inputs!$I$7)))/Inputs!$K$7)^2)</f>
        <v>145.41250000000002</v>
      </c>
      <c r="AB188" s="9">
        <f>(Inputs!$H$8+Inputs!$L$8*(((Inputs!$I$8+(((A188)+1)/2)*(Inputs!$J$8-Inputs!$I$8)))/Inputs!$K$8)^2)</f>
        <v>326.91250000000002</v>
      </c>
      <c r="AC188" s="9">
        <f>(Inputs!$H$9+Inputs!$L$9*(((Inputs!$I$9+(((A188)+1)/2)*(Inputs!$J$9-Inputs!$I$9)))/Inputs!$K$9)^2)</f>
        <v>319.93750000000006</v>
      </c>
      <c r="AD188" s="10"/>
      <c r="AE188" s="9">
        <f t="shared" si="16"/>
        <v>0.55000000000000004</v>
      </c>
      <c r="AF188" s="9">
        <f>(((SQRT(((Inputs!$I$6+(((A188)+1)/2)*(Inputs!$J$6-Inputs!$I$6)))^2+Inputs!$C$6^2+((Inputs!$H$6+Inputs!$L$6*(((Inputs!$I$6+(((A188)+1)/2)*(Inputs!$J$6-Inputs!$I$6)))/Inputs!$K$6)^2))^2))-((Inputs!$H$6+Inputs!$L$6*(((Inputs!$I$6+(((A188)+1)/2)*(Inputs!$J$6-Inputs!$I$6)))/Inputs!$K$6)^2)))*1000/Inputs!$C$12)</f>
        <v>1196.8440626483268</v>
      </c>
      <c r="AG188" s="9">
        <f>(((SQRT(((Inputs!$I$7+(((A188)+1)/2)*(Inputs!$J$7-Inputs!$I$7)))^2+Inputs!$C$6^2+((Inputs!$H$7+Inputs!$L$7*(((Inputs!$I$7+(((A188)+1)/2)*(Inputs!$J$7-Inputs!$I$7)))/Inputs!$K$7)^2))^2))-((Inputs!$H$7+Inputs!$L$7*(((Inputs!$I$7+(((A188)+1)/2)*(Inputs!$J$7-Inputs!$I$7)))/Inputs!$K$7)^2)))*1000/Inputs!$C$12)</f>
        <v>67125.460358978904</v>
      </c>
      <c r="AH188" s="9">
        <f>(((SQRT(((Inputs!$I$8+(((A188)+1)/2)*(Inputs!$J$8-Inputs!$I$8)))^2+Inputs!$C$6^2+((Inputs!$H$8+Inputs!$L$8*(((Inputs!$I$8+(((A188)+1)/2)*(Inputs!$J$8-Inputs!$I$8)))/Inputs!$K$8)^2))^2))-((Inputs!$H$8+Inputs!$L$8*(((Inputs!$I$8+(((A188)+1)/2)*(Inputs!$J$8-Inputs!$I$8)))/Inputs!$K$8)^2)))*1000/Inputs!$C$12)</f>
        <v>124612.56464894464</v>
      </c>
      <c r="AI188" s="9">
        <f>(((SQRT(((Inputs!$I$9+(((A188)+1)/2)*(Inputs!$J$9-Inputs!$I$9)))^2+Inputs!$C$6^2+((Inputs!$H$9+Inputs!$L$9*(((Inputs!$I$9+(((A188)+1)/2)*(Inputs!$J$9-Inputs!$I$9)))/Inputs!$K$9)^2))^2))-((Inputs!$H$9+Inputs!$L$9*(((Inputs!$I$9+(((A188)+1)/2)*(Inputs!$J$9-Inputs!$I$9)))/Inputs!$K$9)^2)))*1000/Inputs!$C$12)</f>
        <v>126212.74396407322</v>
      </c>
      <c r="AJ188" s="10"/>
      <c r="AK188" s="9">
        <f t="shared" si="17"/>
        <v>0.55000000000000004</v>
      </c>
      <c r="AL188" s="9">
        <f>(-2*((1000*((((Inputs!$I$6+(((A188)+1)/2)*(Inputs!$J$6-Inputs!$I$6)))*Inputs!$C$11+((Inputs!$H$6+Inputs!$L$6*(((Inputs!$I$6+(((A188)+1)/2)*(Inputs!$J$6-Inputs!$I$6)))/Inputs!$K$6)^2))*((2*Inputs!$L$6*((Inputs!$I$6+(((A188)+1)/2)*(Inputs!$J$6-Inputs!$I$6)))/(Inputs!$K$6^2)*Inputs!$C$11)))/(SQRT(((Inputs!$I$6+(((A188)+1)/2)*(Inputs!$J$6-Inputs!$I$6)))^2+Inputs!$C$6^2+((Inputs!$H$6+Inputs!$L$6*(((Inputs!$I$6+(((A188)+1)/2)*(Inputs!$J$6-Inputs!$I$6)))/Inputs!$K$6)^2))^2)))))/Inputs!$C$13)</f>
        <v>-247.62039958551682</v>
      </c>
      <c r="AM188" s="9">
        <f>(-2*((1000*((((Inputs!$I$7+(((A188)+1)/2)*(Inputs!$J$7-Inputs!$I$7)))*Inputs!$C$11+((Inputs!$H$7+Inputs!$L$7*(((Inputs!$I$7+(((A188)+1)/2)*(Inputs!$J$7-Inputs!$I$7)))/Inputs!$K$7)^2))*((2*Inputs!$L$7*((Inputs!$I$7+(((A188)+1)/2)*(Inputs!$J$7-Inputs!$I$7)))/(Inputs!$K$7^2)*Inputs!$C$11)))/(SQRT(((Inputs!$I$7+(((A188)+1)/2)*(Inputs!$J$7-Inputs!$I$7)))^2+Inputs!$C$6^2+((Inputs!$H$7+Inputs!$L$7*(((Inputs!$I$7+(((A188)+1)/2)*(Inputs!$J$7-Inputs!$I$7)))/Inputs!$K$7)^2))^2)))))/Inputs!$C$13)</f>
        <v>-2210.4255032793171</v>
      </c>
      <c r="AN188" s="9">
        <f>(-2*((1000*((((Inputs!$I$8+(((A188)+1)/2)*(Inputs!$J$8-Inputs!$I$8)))*Inputs!$C$11+((Inputs!$H$8+Inputs!$L$8*(((Inputs!$I$8+(((A188)+1)/2)*(Inputs!$J$8-Inputs!$I$8)))/Inputs!$K$8)^2))*((2*Inputs!$L$8*((Inputs!$I$8+(((A188)+1)/2)*(Inputs!$J$8-Inputs!$I$8)))/(Inputs!$K$8^2)*Inputs!$C$11)))/(SQRT(((Inputs!$I$8+(((A188)+1)/2)*(Inputs!$J$8-Inputs!$I$8)))^2+Inputs!$C$6^2+((Inputs!$H$8+Inputs!$L$8*(((Inputs!$I$8+(((A188)+1)/2)*(Inputs!$J$8-Inputs!$I$8)))/Inputs!$K$8)^2))^2)))))/Inputs!$C$13)</f>
        <v>-2547.7983996686662</v>
      </c>
      <c r="AO188" s="9">
        <f>(-2*((1000*((((Inputs!$I$9+(((A188)+1)/2)*(Inputs!$J$9-Inputs!$I$9)))*Inputs!$C$11+((Inputs!$H$9+Inputs!$L$9*(((Inputs!$I$9+(((A188)+1)/2)*(Inputs!$J$9-Inputs!$I$9)))/Inputs!$K$9)^2))*((2*Inputs!$L$9*((Inputs!$I$9+(((A188)+1)/2)*(Inputs!$J$9-Inputs!$I$9)))/(Inputs!$K$9^2)*Inputs!$C$11)))/(SQRT(((Inputs!$I$9+(((A188)+1)/2)*(Inputs!$J$9-Inputs!$I$9)))^2+Inputs!$C$6^2+((Inputs!$H$9+Inputs!$L$9*(((Inputs!$I$9+(((A188)+1)/2)*(Inputs!$J$9-Inputs!$I$9)))/Inputs!$K$9)^2))^2)))))/Inputs!$C$13)</f>
        <v>-2552.8381903725294</v>
      </c>
    </row>
    <row r="189" spans="1:41">
      <c r="A189" s="9">
        <f>ROUND(-1+187*2/240,3)</f>
        <v>0.55800000000000005</v>
      </c>
      <c r="B189" s="9">
        <f>IF(OR(Inputs!$F$6=TRUE,Inputs!$F$6="TRUE",Inputs!$F$6=1),(Inputs!$H$6+Inputs!$L$6*(((Inputs!$I$6+(((A189)+1)/2)*(Inputs!$J$6-Inputs!$I$6)))/Inputs!$K$6)^2),NA())</f>
        <v>401.24545599999999</v>
      </c>
      <c r="C189" s="9">
        <f>IF(OR(Inputs!$F$7=TRUE,Inputs!$F$7="TRUE",Inputs!$F$7=1),(Inputs!$H$7+Inputs!$L$7*(((Inputs!$I$7+(((A189)+1)/2)*(Inputs!$J$7-Inputs!$I$7)))/Inputs!$K$7)^2),NA())</f>
        <v>148.64786000000007</v>
      </c>
      <c r="D189" s="9">
        <f>IF(OR(Inputs!$F$8=TRUE,Inputs!$F$8="TRUE",Inputs!$F$8=1),(Inputs!$H$8+Inputs!$L$8*(((Inputs!$I$8+(((A189)+1)/2)*(Inputs!$J$8-Inputs!$I$8)))/Inputs!$K$8)^2),NA())</f>
        <v>335.4662600000002</v>
      </c>
      <c r="E189" s="9">
        <f>IF(OR(Inputs!$F$9=TRUE,Inputs!$F$9="TRUE",Inputs!$F$9=1),(Inputs!$H$9+Inputs!$L$9*(((Inputs!$I$9+(((A189)+1)/2)*(Inputs!$J$9-Inputs!$I$9)))/Inputs!$K$9)^2),NA())</f>
        <v>328.57990000000018</v>
      </c>
      <c r="F189" s="10"/>
      <c r="G189" s="9">
        <f t="shared" si="12"/>
        <v>0.55800000000000005</v>
      </c>
      <c r="H189" s="9">
        <f>IF(OR(Inputs!$F$6=TRUE,Inputs!$F$6="TRUE",Inputs!$F$6=1),(((SQRT(((Inputs!$I$6+(((A189)+1)/2)*(Inputs!$J$6-Inputs!$I$6)))^2+Inputs!$C$6^2+((Inputs!$H$6+Inputs!$L$6*(((Inputs!$I$6+(((A189)+1)/2)*(Inputs!$J$6-Inputs!$I$6)))/Inputs!$K$6)^2))^2))-((Inputs!$H$6+Inputs!$L$6*(((Inputs!$I$6+(((A189)+1)/2)*(Inputs!$J$6-Inputs!$I$6)))/Inputs!$K$6)^2)))*1000/Inputs!$C$12),NA())</f>
        <v>1218.9592318547825</v>
      </c>
      <c r="I189" s="9">
        <f>IF(OR(Inputs!$F$7=TRUE,Inputs!$F$7="TRUE",Inputs!$F$7=1),(((SQRT(((Inputs!$I$7+(((A189)+1)/2)*(Inputs!$J$7-Inputs!$I$7)))^2+Inputs!$C$6^2+((Inputs!$H$7+Inputs!$L$7*(((Inputs!$I$7+(((A189)+1)/2)*(Inputs!$J$7-Inputs!$I$7)))/Inputs!$K$7)^2))^2))-((Inputs!$H$7+Inputs!$L$7*(((Inputs!$I$7+(((A189)+1)/2)*(Inputs!$J$7-Inputs!$I$7)))/Inputs!$K$7)^2)))*1000/Inputs!$C$12),NA())</f>
        <v>67799.765828496631</v>
      </c>
      <c r="J189" s="9">
        <f>IF(OR(Inputs!$F$8=TRUE,Inputs!$F$8="TRUE",Inputs!$F$8=1),(((SQRT(((Inputs!$I$8+(((A189)+1)/2)*(Inputs!$J$8-Inputs!$I$8)))^2+Inputs!$C$6^2+((Inputs!$H$8+Inputs!$L$8*(((Inputs!$I$8+(((A189)+1)/2)*(Inputs!$J$8-Inputs!$I$8)))/Inputs!$K$8)^2))^2))-((Inputs!$H$8+Inputs!$L$8*(((Inputs!$I$8+(((A189)+1)/2)*(Inputs!$J$8-Inputs!$I$8)))/Inputs!$K$8)^2)))*1000/Inputs!$C$12),NA())</f>
        <v>125557.92409558372</v>
      </c>
      <c r="K189" s="9">
        <f>IF(OR(Inputs!$F$9=TRUE,Inputs!$F$9="TRUE",Inputs!$F$9=1),(((SQRT(((Inputs!$I$9+(((A189)+1)/2)*(Inputs!$J$9-Inputs!$I$9)))^2+Inputs!$C$6^2+((Inputs!$H$9+Inputs!$L$9*(((Inputs!$I$9+(((A189)+1)/2)*(Inputs!$J$9-Inputs!$I$9)))/Inputs!$K$9)^2))^2))-((Inputs!$H$9+Inputs!$L$9*(((Inputs!$I$9+(((A189)+1)/2)*(Inputs!$J$9-Inputs!$I$9)))/Inputs!$K$9)^2)))*1000/Inputs!$C$12),NA())</f>
        <v>127120.1540145812</v>
      </c>
      <c r="L189" s="10"/>
      <c r="M189" s="9">
        <f t="shared" si="13"/>
        <v>0.55800000000000005</v>
      </c>
      <c r="N189" s="9">
        <f>IF(OR(Inputs!$F$6=TRUE,Inputs!$F$6="TRUE",Inputs!$F$6=1),(-2*((1000*((((Inputs!$I$6+(((A189)+1)/2)*(Inputs!$J$6-Inputs!$I$6)))*Inputs!$C$11+((Inputs!$H$6+Inputs!$L$6*(((Inputs!$I$6+(((A189)+1)/2)*(Inputs!$J$6-Inputs!$I$6)))/Inputs!$K$6)^2))*((2*Inputs!$L$6*((Inputs!$I$6+(((A189)+1)/2)*(Inputs!$J$6-Inputs!$I$6)))/(Inputs!$K$6^2)*Inputs!$C$11)))/(SQRT(((Inputs!$I$6+(((A189)+1)/2)*(Inputs!$J$6-Inputs!$I$6)))^2+Inputs!$C$6^2+((Inputs!$H$6+Inputs!$L$6*(((Inputs!$I$6+(((A189)+1)/2)*(Inputs!$J$6-Inputs!$I$6)))/Inputs!$K$6)^2))^2)))))/Inputs!$C$13),NA())</f>
        <v>-251.18601931705444</v>
      </c>
      <c r="O189" s="9">
        <f>IF(OR(Inputs!$F$7=TRUE,Inputs!$F$7="TRUE",Inputs!$F$7=1),(-2*((1000*((((Inputs!$I$7+(((A189)+1)/2)*(Inputs!$J$7-Inputs!$I$7)))*Inputs!$C$11+((Inputs!$H$7+Inputs!$L$7*(((Inputs!$I$7+(((A189)+1)/2)*(Inputs!$J$7-Inputs!$I$7)))/Inputs!$K$7)^2))*((2*Inputs!$L$7*((Inputs!$I$7+(((A189)+1)/2)*(Inputs!$J$7-Inputs!$I$7)))/(Inputs!$K$7^2)*Inputs!$C$11)))/(SQRT(((Inputs!$I$7+(((A189)+1)/2)*(Inputs!$J$7-Inputs!$I$7)))^2+Inputs!$C$6^2+((Inputs!$H$7+Inputs!$L$7*(((Inputs!$I$7+(((A189)+1)/2)*(Inputs!$J$7-Inputs!$I$7)))/Inputs!$K$7)^2))^2)))))/Inputs!$C$13),NA())</f>
        <v>-2225.2168930042126</v>
      </c>
      <c r="P189" s="9">
        <f>IF(OR(Inputs!$F$8=TRUE,Inputs!$F$8="TRUE",Inputs!$F$8=1),(-2*((1000*((((Inputs!$I$8+(((A189)+1)/2)*(Inputs!$J$8-Inputs!$I$8)))*Inputs!$C$11+((Inputs!$H$8+Inputs!$L$8*(((Inputs!$I$8+(((A189)+1)/2)*(Inputs!$J$8-Inputs!$I$8)))/Inputs!$K$8)^2))*((2*Inputs!$L$8*((Inputs!$I$8+(((A189)+1)/2)*(Inputs!$J$8-Inputs!$I$8)))/(Inputs!$K$8^2)*Inputs!$C$11)))/(SQRT(((Inputs!$I$8+(((A189)+1)/2)*(Inputs!$J$8-Inputs!$I$8)))^2+Inputs!$C$6^2+((Inputs!$H$8+Inputs!$L$8*(((Inputs!$I$8+(((A189)+1)/2)*(Inputs!$J$8-Inputs!$I$8)))/Inputs!$K$8)^2))^2)))))/Inputs!$C$13),NA())</f>
        <v>-2570.4803574964631</v>
      </c>
      <c r="Q189" s="9">
        <f>IF(OR(Inputs!$F$9=TRUE,Inputs!$F$9="TRUE",Inputs!$F$9=1),(-2*((1000*((((Inputs!$I$9+(((A189)+1)/2)*(Inputs!$J$9-Inputs!$I$9)))*Inputs!$C$11+((Inputs!$H$9+Inputs!$L$9*(((Inputs!$I$9+(((A189)+1)/2)*(Inputs!$J$9-Inputs!$I$9)))/Inputs!$K$9)^2))*((2*Inputs!$L$9*((Inputs!$I$9+(((A189)+1)/2)*(Inputs!$J$9-Inputs!$I$9)))/(Inputs!$K$9^2)*Inputs!$C$11)))/(SQRT(((Inputs!$I$9+(((A189)+1)/2)*(Inputs!$J$9-Inputs!$I$9)))^2+Inputs!$C$6^2+((Inputs!$H$9+Inputs!$L$9*(((Inputs!$I$9+(((A189)+1)/2)*(Inputs!$J$9-Inputs!$I$9)))/Inputs!$K$9)^2))^2)))))/Inputs!$C$13),NA())</f>
        <v>-2575.9860434940888</v>
      </c>
      <c r="R189" s="10"/>
      <c r="S189" s="9">
        <f t="shared" si="14"/>
        <v>0.55800000000000005</v>
      </c>
      <c r="T189" s="9">
        <f>(Inputs!$I$6+(((A189)+1)/2)*(Inputs!$J$6-Inputs!$I$6))</f>
        <v>33.480000000000004</v>
      </c>
      <c r="U189" s="9">
        <f>(Inputs!$I$7+(((A189)+1)/2)*(Inputs!$J$7-Inputs!$I$7))</f>
        <v>223.20000000000005</v>
      </c>
      <c r="V189" s="9">
        <f>(Inputs!$I$8+(((A189)+1)/2)*(Inputs!$J$8-Inputs!$I$8))</f>
        <v>446.40000000000009</v>
      </c>
      <c r="W189" s="9">
        <f>(Inputs!$I$9+(((A189)+1)/2)*(Inputs!$J$9-Inputs!$I$9))</f>
        <v>446.40000000000009</v>
      </c>
      <c r="X189" s="10"/>
      <c r="Y189" s="9">
        <f t="shared" si="15"/>
        <v>0.55800000000000005</v>
      </c>
      <c r="Z189" s="9">
        <f>(Inputs!$H$6+Inputs!$L$6*(((Inputs!$I$6+(((A189)+1)/2)*(Inputs!$J$6-Inputs!$I$6)))/Inputs!$K$6)^2)</f>
        <v>401.24545599999999</v>
      </c>
      <c r="AA189" s="9">
        <f>(Inputs!$H$7+Inputs!$L$7*(((Inputs!$I$7+(((A189)+1)/2)*(Inputs!$J$7-Inputs!$I$7)))/Inputs!$K$7)^2)</f>
        <v>148.64786000000007</v>
      </c>
      <c r="AB189" s="9">
        <f>(Inputs!$H$8+Inputs!$L$8*(((Inputs!$I$8+(((A189)+1)/2)*(Inputs!$J$8-Inputs!$I$8)))/Inputs!$K$8)^2)</f>
        <v>335.4662600000002</v>
      </c>
      <c r="AC189" s="9">
        <f>(Inputs!$H$9+Inputs!$L$9*(((Inputs!$I$9+(((A189)+1)/2)*(Inputs!$J$9-Inputs!$I$9)))/Inputs!$K$9)^2)</f>
        <v>328.57990000000018</v>
      </c>
      <c r="AD189" s="10"/>
      <c r="AE189" s="9">
        <f t="shared" si="16"/>
        <v>0.55800000000000005</v>
      </c>
      <c r="AF189" s="9">
        <f>(((SQRT(((Inputs!$I$6+(((A189)+1)/2)*(Inputs!$J$6-Inputs!$I$6)))^2+Inputs!$C$6^2+((Inputs!$H$6+Inputs!$L$6*(((Inputs!$I$6+(((A189)+1)/2)*(Inputs!$J$6-Inputs!$I$6)))/Inputs!$K$6)^2))^2))-((Inputs!$H$6+Inputs!$L$6*(((Inputs!$I$6+(((A189)+1)/2)*(Inputs!$J$6-Inputs!$I$6)))/Inputs!$K$6)^2)))*1000/Inputs!$C$12)</f>
        <v>1218.9592318547825</v>
      </c>
      <c r="AG189" s="9">
        <f>(((SQRT(((Inputs!$I$7+(((A189)+1)/2)*(Inputs!$J$7-Inputs!$I$7)))^2+Inputs!$C$6^2+((Inputs!$H$7+Inputs!$L$7*(((Inputs!$I$7+(((A189)+1)/2)*(Inputs!$J$7-Inputs!$I$7)))/Inputs!$K$7)^2))^2))-((Inputs!$H$7+Inputs!$L$7*(((Inputs!$I$7+(((A189)+1)/2)*(Inputs!$J$7-Inputs!$I$7)))/Inputs!$K$7)^2)))*1000/Inputs!$C$12)</f>
        <v>67799.765828496631</v>
      </c>
      <c r="AH189" s="9">
        <f>(((SQRT(((Inputs!$I$8+(((A189)+1)/2)*(Inputs!$J$8-Inputs!$I$8)))^2+Inputs!$C$6^2+((Inputs!$H$8+Inputs!$L$8*(((Inputs!$I$8+(((A189)+1)/2)*(Inputs!$J$8-Inputs!$I$8)))/Inputs!$K$8)^2))^2))-((Inputs!$H$8+Inputs!$L$8*(((Inputs!$I$8+(((A189)+1)/2)*(Inputs!$J$8-Inputs!$I$8)))/Inputs!$K$8)^2)))*1000/Inputs!$C$12)</f>
        <v>125557.92409558372</v>
      </c>
      <c r="AI189" s="9">
        <f>(((SQRT(((Inputs!$I$9+(((A189)+1)/2)*(Inputs!$J$9-Inputs!$I$9)))^2+Inputs!$C$6^2+((Inputs!$H$9+Inputs!$L$9*(((Inputs!$I$9+(((A189)+1)/2)*(Inputs!$J$9-Inputs!$I$9)))/Inputs!$K$9)^2))^2))-((Inputs!$H$9+Inputs!$L$9*(((Inputs!$I$9+(((A189)+1)/2)*(Inputs!$J$9-Inputs!$I$9)))/Inputs!$K$9)^2)))*1000/Inputs!$C$12)</f>
        <v>127120.1540145812</v>
      </c>
      <c r="AJ189" s="10"/>
      <c r="AK189" s="9">
        <f t="shared" si="17"/>
        <v>0.55800000000000005</v>
      </c>
      <c r="AL189" s="9">
        <f>(-2*((1000*((((Inputs!$I$6+(((A189)+1)/2)*(Inputs!$J$6-Inputs!$I$6)))*Inputs!$C$11+((Inputs!$H$6+Inputs!$L$6*(((Inputs!$I$6+(((A189)+1)/2)*(Inputs!$J$6-Inputs!$I$6)))/Inputs!$K$6)^2))*((2*Inputs!$L$6*((Inputs!$I$6+(((A189)+1)/2)*(Inputs!$J$6-Inputs!$I$6)))/(Inputs!$K$6^2)*Inputs!$C$11)))/(SQRT(((Inputs!$I$6+(((A189)+1)/2)*(Inputs!$J$6-Inputs!$I$6)))^2+Inputs!$C$6^2+((Inputs!$H$6+Inputs!$L$6*(((Inputs!$I$6+(((A189)+1)/2)*(Inputs!$J$6-Inputs!$I$6)))/Inputs!$K$6)^2))^2)))))/Inputs!$C$13)</f>
        <v>-251.18601931705444</v>
      </c>
      <c r="AM189" s="9">
        <f>(-2*((1000*((((Inputs!$I$7+(((A189)+1)/2)*(Inputs!$J$7-Inputs!$I$7)))*Inputs!$C$11+((Inputs!$H$7+Inputs!$L$7*(((Inputs!$I$7+(((A189)+1)/2)*(Inputs!$J$7-Inputs!$I$7)))/Inputs!$K$7)^2))*((2*Inputs!$L$7*((Inputs!$I$7+(((A189)+1)/2)*(Inputs!$J$7-Inputs!$I$7)))/(Inputs!$K$7^2)*Inputs!$C$11)))/(SQRT(((Inputs!$I$7+(((A189)+1)/2)*(Inputs!$J$7-Inputs!$I$7)))^2+Inputs!$C$6^2+((Inputs!$H$7+Inputs!$L$7*(((Inputs!$I$7+(((A189)+1)/2)*(Inputs!$J$7-Inputs!$I$7)))/Inputs!$K$7)^2))^2)))))/Inputs!$C$13)</f>
        <v>-2225.2168930042126</v>
      </c>
      <c r="AN189" s="9">
        <f>(-2*((1000*((((Inputs!$I$8+(((A189)+1)/2)*(Inputs!$J$8-Inputs!$I$8)))*Inputs!$C$11+((Inputs!$H$8+Inputs!$L$8*(((Inputs!$I$8+(((A189)+1)/2)*(Inputs!$J$8-Inputs!$I$8)))/Inputs!$K$8)^2))*((2*Inputs!$L$8*((Inputs!$I$8+(((A189)+1)/2)*(Inputs!$J$8-Inputs!$I$8)))/(Inputs!$K$8^2)*Inputs!$C$11)))/(SQRT(((Inputs!$I$8+(((A189)+1)/2)*(Inputs!$J$8-Inputs!$I$8)))^2+Inputs!$C$6^2+((Inputs!$H$8+Inputs!$L$8*(((Inputs!$I$8+(((A189)+1)/2)*(Inputs!$J$8-Inputs!$I$8)))/Inputs!$K$8)^2))^2)))))/Inputs!$C$13)</f>
        <v>-2570.4803574964631</v>
      </c>
      <c r="AO189" s="9">
        <f>(-2*((1000*((((Inputs!$I$9+(((A189)+1)/2)*(Inputs!$J$9-Inputs!$I$9)))*Inputs!$C$11+((Inputs!$H$9+Inputs!$L$9*(((Inputs!$I$9+(((A189)+1)/2)*(Inputs!$J$9-Inputs!$I$9)))/Inputs!$K$9)^2))*((2*Inputs!$L$9*((Inputs!$I$9+(((A189)+1)/2)*(Inputs!$J$9-Inputs!$I$9)))/(Inputs!$K$9^2)*Inputs!$C$11)))/(SQRT(((Inputs!$I$9+(((A189)+1)/2)*(Inputs!$J$9-Inputs!$I$9)))^2+Inputs!$C$6^2+((Inputs!$H$9+Inputs!$L$9*(((Inputs!$I$9+(((A189)+1)/2)*(Inputs!$J$9-Inputs!$I$9)))/Inputs!$K$9)^2))^2)))))/Inputs!$C$13)</f>
        <v>-2575.9860434940888</v>
      </c>
    </row>
    <row r="190" spans="1:41">
      <c r="A190" s="9">
        <f>ROUND(-1+188*2/240,3)</f>
        <v>0.56699999999999995</v>
      </c>
      <c r="B190" s="9">
        <f>IF(OR(Inputs!$F$6=TRUE,Inputs!$F$6="TRUE",Inputs!$F$6=1),(Inputs!$H$6+Inputs!$L$6*(((Inputs!$I$6+(((A190)+1)/2)*(Inputs!$J$6-Inputs!$I$6)))/Inputs!$K$6)^2),NA())</f>
        <v>401.285956</v>
      </c>
      <c r="C190" s="9">
        <f>IF(OR(Inputs!$F$7=TRUE,Inputs!$F$7="TRUE",Inputs!$F$7=1),(Inputs!$H$7+Inputs!$L$7*(((Inputs!$I$7+(((A190)+1)/2)*(Inputs!$J$7-Inputs!$I$7)))/Inputs!$K$7)^2),NA())</f>
        <v>152.34348499999993</v>
      </c>
      <c r="D190" s="9">
        <f>IF(OR(Inputs!$F$8=TRUE,Inputs!$F$8="TRUE",Inputs!$F$8=1),(Inputs!$H$8+Inputs!$L$8*(((Inputs!$I$8+(((A190)+1)/2)*(Inputs!$J$8-Inputs!$I$8)))/Inputs!$K$8)^2),NA())</f>
        <v>345.2368849999998</v>
      </c>
      <c r="E190" s="9">
        <f>IF(OR(Inputs!$F$9=TRUE,Inputs!$F$9="TRUE",Inputs!$F$9=1),(Inputs!$H$9+Inputs!$L$9*(((Inputs!$I$9+(((A190)+1)/2)*(Inputs!$J$9-Inputs!$I$9)))/Inputs!$K$9)^2),NA())</f>
        <v>338.45177499999983</v>
      </c>
      <c r="F190" s="10"/>
      <c r="G190" s="9">
        <f t="shared" si="12"/>
        <v>0.56699999999999995</v>
      </c>
      <c r="H190" s="9">
        <f>IF(OR(Inputs!$F$6=TRUE,Inputs!$F$6="TRUE",Inputs!$F$6=1),(((SQRT(((Inputs!$I$6+(((A190)+1)/2)*(Inputs!$J$6-Inputs!$I$6)))^2+Inputs!$C$6^2+((Inputs!$H$6+Inputs!$L$6*(((Inputs!$I$6+(((A190)+1)/2)*(Inputs!$J$6-Inputs!$I$6)))/Inputs!$K$6)^2))^2))-((Inputs!$H$6+Inputs!$L$6*(((Inputs!$I$6+(((A190)+1)/2)*(Inputs!$J$6-Inputs!$I$6)))/Inputs!$K$6)^2)))*1000/Inputs!$C$12),NA())</f>
        <v>1244.2131283881388</v>
      </c>
      <c r="I190" s="9">
        <f>IF(OR(Inputs!$F$7=TRUE,Inputs!$F$7="TRUE",Inputs!$F$7=1),(((SQRT(((Inputs!$I$7+(((A190)+1)/2)*(Inputs!$J$7-Inputs!$I$7)))^2+Inputs!$C$6^2+((Inputs!$H$7+Inputs!$L$7*(((Inputs!$I$7+(((A190)+1)/2)*(Inputs!$J$7-Inputs!$I$7)))/Inputs!$K$7)^2))^2))-((Inputs!$H$7+Inputs!$L$7*(((Inputs!$I$7+(((A190)+1)/2)*(Inputs!$J$7-Inputs!$I$7)))/Inputs!$K$7)^2)))*1000/Inputs!$C$12),NA())</f>
        <v>68546.93284544679</v>
      </c>
      <c r="J190" s="9">
        <f>IF(OR(Inputs!$F$8=TRUE,Inputs!$F$8="TRUE",Inputs!$F$8=1),(((SQRT(((Inputs!$I$8+(((A190)+1)/2)*(Inputs!$J$8-Inputs!$I$8)))^2+Inputs!$C$6^2+((Inputs!$H$8+Inputs!$L$8*(((Inputs!$I$8+(((A190)+1)/2)*(Inputs!$J$8-Inputs!$I$8)))/Inputs!$K$8)^2))^2))-((Inputs!$H$8+Inputs!$L$8*(((Inputs!$I$8+(((A190)+1)/2)*(Inputs!$J$8-Inputs!$I$8)))/Inputs!$K$8)^2)))*1000/Inputs!$C$12),NA())</f>
        <v>126599.68284747354</v>
      </c>
      <c r="K190" s="9">
        <f>IF(OR(Inputs!$F$9=TRUE,Inputs!$F$9="TRUE",Inputs!$F$9=1),(((SQRT(((Inputs!$I$9+(((A190)+1)/2)*(Inputs!$J$9-Inputs!$I$9)))^2+Inputs!$C$6^2+((Inputs!$H$9+Inputs!$L$9*(((Inputs!$I$9+(((A190)+1)/2)*(Inputs!$J$9-Inputs!$I$9)))/Inputs!$K$9)^2))^2))-((Inputs!$H$9+Inputs!$L$9*(((Inputs!$I$9+(((A190)+1)/2)*(Inputs!$J$9-Inputs!$I$9)))/Inputs!$K$9)^2)))*1000/Inputs!$C$12),NA())</f>
        <v>128119.61527199973</v>
      </c>
      <c r="L190" s="10"/>
      <c r="M190" s="9">
        <f t="shared" si="13"/>
        <v>0.56699999999999995</v>
      </c>
      <c r="N190" s="9">
        <f>IF(OR(Inputs!$F$6=TRUE,Inputs!$F$6="TRUE",Inputs!$F$6=1),(-2*((1000*((((Inputs!$I$6+(((A190)+1)/2)*(Inputs!$J$6-Inputs!$I$6)))*Inputs!$C$11+((Inputs!$H$6+Inputs!$L$6*(((Inputs!$I$6+(((A190)+1)/2)*(Inputs!$J$6-Inputs!$I$6)))/Inputs!$K$6)^2))*((2*Inputs!$L$6*((Inputs!$I$6+(((A190)+1)/2)*(Inputs!$J$6-Inputs!$I$6)))/(Inputs!$K$6^2)*Inputs!$C$11)))/(SQRT(((Inputs!$I$6+(((A190)+1)/2)*(Inputs!$J$6-Inputs!$I$6)))^2+Inputs!$C$6^2+((Inputs!$H$6+Inputs!$L$6*(((Inputs!$I$6+(((A190)+1)/2)*(Inputs!$J$6-Inputs!$I$6)))/Inputs!$K$6)^2))^2)))))/Inputs!$C$13),NA())</f>
        <v>-255.19549440065356</v>
      </c>
      <c r="O190" s="9">
        <f>IF(OR(Inputs!$F$7=TRUE,Inputs!$F$7="TRUE",Inputs!$F$7=1),(-2*((1000*((((Inputs!$I$7+(((A190)+1)/2)*(Inputs!$J$7-Inputs!$I$7)))*Inputs!$C$11+((Inputs!$H$7+Inputs!$L$7*(((Inputs!$I$7+(((A190)+1)/2)*(Inputs!$J$7-Inputs!$I$7)))/Inputs!$K$7)^2))*((2*Inputs!$L$7*((Inputs!$I$7+(((A190)+1)/2)*(Inputs!$J$7-Inputs!$I$7)))/(Inputs!$K$7^2)*Inputs!$C$11)))/(SQRT(((Inputs!$I$7+(((A190)+1)/2)*(Inputs!$J$7-Inputs!$I$7)))^2+Inputs!$C$6^2+((Inputs!$H$7+Inputs!$L$7*(((Inputs!$I$7+(((A190)+1)/2)*(Inputs!$J$7-Inputs!$I$7)))/Inputs!$K$7)^2))^2)))))/Inputs!$C$13),NA())</f>
        <v>-2241.9909476096295</v>
      </c>
      <c r="P190" s="9">
        <f>IF(OR(Inputs!$F$8=TRUE,Inputs!$F$8="TRUE",Inputs!$F$8=1),(-2*((1000*((((Inputs!$I$8+(((A190)+1)/2)*(Inputs!$J$8-Inputs!$I$8)))*Inputs!$C$11+((Inputs!$H$8+Inputs!$L$8*(((Inputs!$I$8+(((A190)+1)/2)*(Inputs!$J$8-Inputs!$I$8)))/Inputs!$K$8)^2))*((2*Inputs!$L$8*((Inputs!$I$8+(((A190)+1)/2)*(Inputs!$J$8-Inputs!$I$8)))/(Inputs!$K$8^2)*Inputs!$C$11)))/(SQRT(((Inputs!$I$8+(((A190)+1)/2)*(Inputs!$J$8-Inputs!$I$8)))^2+Inputs!$C$6^2+((Inputs!$H$8+Inputs!$L$8*(((Inputs!$I$8+(((A190)+1)/2)*(Inputs!$J$8-Inputs!$I$8)))/Inputs!$K$8)^2))^2)))))/Inputs!$C$13),NA())</f>
        <v>-2596.2023457503551</v>
      </c>
      <c r="Q190" s="9">
        <f>IF(OR(Inputs!$F$9=TRUE,Inputs!$F$9="TRUE",Inputs!$F$9=1),(-2*((1000*((((Inputs!$I$9+(((A190)+1)/2)*(Inputs!$J$9-Inputs!$I$9)))*Inputs!$C$11+((Inputs!$H$9+Inputs!$L$9*(((Inputs!$I$9+(((A190)+1)/2)*(Inputs!$J$9-Inputs!$I$9)))/Inputs!$K$9)^2))*((2*Inputs!$L$9*((Inputs!$I$9+(((A190)+1)/2)*(Inputs!$J$9-Inputs!$I$9)))/(Inputs!$K$9^2)*Inputs!$C$11)))/(SQRT(((Inputs!$I$9+(((A190)+1)/2)*(Inputs!$J$9-Inputs!$I$9)))^2+Inputs!$C$6^2+((Inputs!$H$9+Inputs!$L$9*(((Inputs!$I$9+(((A190)+1)/2)*(Inputs!$J$9-Inputs!$I$9)))/Inputs!$K$9)^2))^2)))))/Inputs!$C$13),NA())</f>
        <v>-2602.2351369734879</v>
      </c>
      <c r="R190" s="10"/>
      <c r="S190" s="9">
        <f t="shared" si="14"/>
        <v>0.56699999999999995</v>
      </c>
      <c r="T190" s="9">
        <f>(Inputs!$I$6+(((A190)+1)/2)*(Inputs!$J$6-Inputs!$I$6))</f>
        <v>34.019999999999996</v>
      </c>
      <c r="U190" s="9">
        <f>(Inputs!$I$7+(((A190)+1)/2)*(Inputs!$J$7-Inputs!$I$7))</f>
        <v>226.79999999999995</v>
      </c>
      <c r="V190" s="9">
        <f>(Inputs!$I$8+(((A190)+1)/2)*(Inputs!$J$8-Inputs!$I$8))</f>
        <v>453.59999999999991</v>
      </c>
      <c r="W190" s="9">
        <f>(Inputs!$I$9+(((A190)+1)/2)*(Inputs!$J$9-Inputs!$I$9))</f>
        <v>453.59999999999991</v>
      </c>
      <c r="X190" s="10"/>
      <c r="Y190" s="9">
        <f t="shared" si="15"/>
        <v>0.56699999999999995</v>
      </c>
      <c r="Z190" s="9">
        <f>(Inputs!$H$6+Inputs!$L$6*(((Inputs!$I$6+(((A190)+1)/2)*(Inputs!$J$6-Inputs!$I$6)))/Inputs!$K$6)^2)</f>
        <v>401.285956</v>
      </c>
      <c r="AA190" s="9">
        <f>(Inputs!$H$7+Inputs!$L$7*(((Inputs!$I$7+(((A190)+1)/2)*(Inputs!$J$7-Inputs!$I$7)))/Inputs!$K$7)^2)</f>
        <v>152.34348499999993</v>
      </c>
      <c r="AB190" s="9">
        <f>(Inputs!$H$8+Inputs!$L$8*(((Inputs!$I$8+(((A190)+1)/2)*(Inputs!$J$8-Inputs!$I$8)))/Inputs!$K$8)^2)</f>
        <v>345.2368849999998</v>
      </c>
      <c r="AC190" s="9">
        <f>(Inputs!$H$9+Inputs!$L$9*(((Inputs!$I$9+(((A190)+1)/2)*(Inputs!$J$9-Inputs!$I$9)))/Inputs!$K$9)^2)</f>
        <v>338.45177499999983</v>
      </c>
      <c r="AD190" s="10"/>
      <c r="AE190" s="9">
        <f t="shared" si="16"/>
        <v>0.56699999999999995</v>
      </c>
      <c r="AF190" s="9">
        <f>(((SQRT(((Inputs!$I$6+(((A190)+1)/2)*(Inputs!$J$6-Inputs!$I$6)))^2+Inputs!$C$6^2+((Inputs!$H$6+Inputs!$L$6*(((Inputs!$I$6+(((A190)+1)/2)*(Inputs!$J$6-Inputs!$I$6)))/Inputs!$K$6)^2))^2))-((Inputs!$H$6+Inputs!$L$6*(((Inputs!$I$6+(((A190)+1)/2)*(Inputs!$J$6-Inputs!$I$6)))/Inputs!$K$6)^2)))*1000/Inputs!$C$12)</f>
        <v>1244.2131283881388</v>
      </c>
      <c r="AG190" s="9">
        <f>(((SQRT(((Inputs!$I$7+(((A190)+1)/2)*(Inputs!$J$7-Inputs!$I$7)))^2+Inputs!$C$6^2+((Inputs!$H$7+Inputs!$L$7*(((Inputs!$I$7+(((A190)+1)/2)*(Inputs!$J$7-Inputs!$I$7)))/Inputs!$K$7)^2))^2))-((Inputs!$H$7+Inputs!$L$7*(((Inputs!$I$7+(((A190)+1)/2)*(Inputs!$J$7-Inputs!$I$7)))/Inputs!$K$7)^2)))*1000/Inputs!$C$12)</f>
        <v>68546.93284544679</v>
      </c>
      <c r="AH190" s="9">
        <f>(((SQRT(((Inputs!$I$8+(((A190)+1)/2)*(Inputs!$J$8-Inputs!$I$8)))^2+Inputs!$C$6^2+((Inputs!$H$8+Inputs!$L$8*(((Inputs!$I$8+(((A190)+1)/2)*(Inputs!$J$8-Inputs!$I$8)))/Inputs!$K$8)^2))^2))-((Inputs!$H$8+Inputs!$L$8*(((Inputs!$I$8+(((A190)+1)/2)*(Inputs!$J$8-Inputs!$I$8)))/Inputs!$K$8)^2)))*1000/Inputs!$C$12)</f>
        <v>126599.68284747354</v>
      </c>
      <c r="AI190" s="9">
        <f>(((SQRT(((Inputs!$I$9+(((A190)+1)/2)*(Inputs!$J$9-Inputs!$I$9)))^2+Inputs!$C$6^2+((Inputs!$H$9+Inputs!$L$9*(((Inputs!$I$9+(((A190)+1)/2)*(Inputs!$J$9-Inputs!$I$9)))/Inputs!$K$9)^2))^2))-((Inputs!$H$9+Inputs!$L$9*(((Inputs!$I$9+(((A190)+1)/2)*(Inputs!$J$9-Inputs!$I$9)))/Inputs!$K$9)^2)))*1000/Inputs!$C$12)</f>
        <v>128119.61527199973</v>
      </c>
      <c r="AJ190" s="10"/>
      <c r="AK190" s="9">
        <f t="shared" si="17"/>
        <v>0.56699999999999995</v>
      </c>
      <c r="AL190" s="9">
        <f>(-2*((1000*((((Inputs!$I$6+(((A190)+1)/2)*(Inputs!$J$6-Inputs!$I$6)))*Inputs!$C$11+((Inputs!$H$6+Inputs!$L$6*(((Inputs!$I$6+(((A190)+1)/2)*(Inputs!$J$6-Inputs!$I$6)))/Inputs!$K$6)^2))*((2*Inputs!$L$6*((Inputs!$I$6+(((A190)+1)/2)*(Inputs!$J$6-Inputs!$I$6)))/(Inputs!$K$6^2)*Inputs!$C$11)))/(SQRT(((Inputs!$I$6+(((A190)+1)/2)*(Inputs!$J$6-Inputs!$I$6)))^2+Inputs!$C$6^2+((Inputs!$H$6+Inputs!$L$6*(((Inputs!$I$6+(((A190)+1)/2)*(Inputs!$J$6-Inputs!$I$6)))/Inputs!$K$6)^2))^2)))))/Inputs!$C$13)</f>
        <v>-255.19549440065356</v>
      </c>
      <c r="AM190" s="9">
        <f>(-2*((1000*((((Inputs!$I$7+(((A190)+1)/2)*(Inputs!$J$7-Inputs!$I$7)))*Inputs!$C$11+((Inputs!$H$7+Inputs!$L$7*(((Inputs!$I$7+(((A190)+1)/2)*(Inputs!$J$7-Inputs!$I$7)))/Inputs!$K$7)^2))*((2*Inputs!$L$7*((Inputs!$I$7+(((A190)+1)/2)*(Inputs!$J$7-Inputs!$I$7)))/(Inputs!$K$7^2)*Inputs!$C$11)))/(SQRT(((Inputs!$I$7+(((A190)+1)/2)*(Inputs!$J$7-Inputs!$I$7)))^2+Inputs!$C$6^2+((Inputs!$H$7+Inputs!$L$7*(((Inputs!$I$7+(((A190)+1)/2)*(Inputs!$J$7-Inputs!$I$7)))/Inputs!$K$7)^2))^2)))))/Inputs!$C$13)</f>
        <v>-2241.9909476096295</v>
      </c>
      <c r="AN190" s="9">
        <f>(-2*((1000*((((Inputs!$I$8+(((A190)+1)/2)*(Inputs!$J$8-Inputs!$I$8)))*Inputs!$C$11+((Inputs!$H$8+Inputs!$L$8*(((Inputs!$I$8+(((A190)+1)/2)*(Inputs!$J$8-Inputs!$I$8)))/Inputs!$K$8)^2))*((2*Inputs!$L$8*((Inputs!$I$8+(((A190)+1)/2)*(Inputs!$J$8-Inputs!$I$8)))/(Inputs!$K$8^2)*Inputs!$C$11)))/(SQRT(((Inputs!$I$8+(((A190)+1)/2)*(Inputs!$J$8-Inputs!$I$8)))^2+Inputs!$C$6^2+((Inputs!$H$8+Inputs!$L$8*(((Inputs!$I$8+(((A190)+1)/2)*(Inputs!$J$8-Inputs!$I$8)))/Inputs!$K$8)^2))^2)))))/Inputs!$C$13)</f>
        <v>-2596.2023457503551</v>
      </c>
      <c r="AO190" s="9">
        <f>(-2*((1000*((((Inputs!$I$9+(((A190)+1)/2)*(Inputs!$J$9-Inputs!$I$9)))*Inputs!$C$11+((Inputs!$H$9+Inputs!$L$9*(((Inputs!$I$9+(((A190)+1)/2)*(Inputs!$J$9-Inputs!$I$9)))/Inputs!$K$9)^2))*((2*Inputs!$L$9*((Inputs!$I$9+(((A190)+1)/2)*(Inputs!$J$9-Inputs!$I$9)))/(Inputs!$K$9^2)*Inputs!$C$11)))/(SQRT(((Inputs!$I$9+(((A190)+1)/2)*(Inputs!$J$9-Inputs!$I$9)))^2+Inputs!$C$6^2+((Inputs!$H$9+Inputs!$L$9*(((Inputs!$I$9+(((A190)+1)/2)*(Inputs!$J$9-Inputs!$I$9)))/Inputs!$K$9)^2))^2)))))/Inputs!$C$13)</f>
        <v>-2602.2351369734879</v>
      </c>
    </row>
    <row r="191" spans="1:41">
      <c r="A191" s="9">
        <f>ROUND(-1+189*2/240,3)</f>
        <v>0.57499999999999996</v>
      </c>
      <c r="B191" s="9">
        <f>IF(OR(Inputs!$F$6=TRUE,Inputs!$F$6="TRUE",Inputs!$F$6=1),(Inputs!$H$6+Inputs!$L$6*(((Inputs!$I$6+(((A191)+1)/2)*(Inputs!$J$6-Inputs!$I$6)))/Inputs!$K$6)^2),NA())</f>
        <v>401.32249999999999</v>
      </c>
      <c r="C191" s="9">
        <f>IF(OR(Inputs!$F$7=TRUE,Inputs!$F$7="TRUE",Inputs!$F$7=1),(Inputs!$H$7+Inputs!$L$7*(((Inputs!$I$7+(((A191)+1)/2)*(Inputs!$J$7-Inputs!$I$7)))/Inputs!$K$7)^2),NA())</f>
        <v>155.67812499999997</v>
      </c>
      <c r="D191" s="9">
        <f>IF(OR(Inputs!$F$8=TRUE,Inputs!$F$8="TRUE",Inputs!$F$8=1),(Inputs!$H$8+Inputs!$L$8*(((Inputs!$I$8+(((A191)+1)/2)*(Inputs!$J$8-Inputs!$I$8)))/Inputs!$K$8)^2),NA())</f>
        <v>354.05312499999997</v>
      </c>
      <c r="E191" s="9">
        <f>IF(OR(Inputs!$F$9=TRUE,Inputs!$F$9="TRUE",Inputs!$F$9=1),(Inputs!$H$9+Inputs!$L$9*(((Inputs!$I$9+(((A191)+1)/2)*(Inputs!$J$9-Inputs!$I$9)))/Inputs!$K$9)^2),NA())</f>
        <v>347.35937499999994</v>
      </c>
      <c r="F191" s="10"/>
      <c r="G191" s="9">
        <f t="shared" si="12"/>
        <v>0.57499999999999996</v>
      </c>
      <c r="H191" s="9">
        <f>IF(OR(Inputs!$F$6=TRUE,Inputs!$F$6="TRUE",Inputs!$F$6=1),(((SQRT(((Inputs!$I$6+(((A191)+1)/2)*(Inputs!$J$6-Inputs!$I$6)))^2+Inputs!$C$6^2+((Inputs!$H$6+Inputs!$L$6*(((Inputs!$I$6+(((A191)+1)/2)*(Inputs!$J$6-Inputs!$I$6)))/Inputs!$K$6)^2))^2))-((Inputs!$H$6+Inputs!$L$6*(((Inputs!$I$6+(((A191)+1)/2)*(Inputs!$J$6-Inputs!$I$6)))/Inputs!$K$6)^2)))*1000/Inputs!$C$12),NA())</f>
        <v>1266.9934849810077</v>
      </c>
      <c r="I191" s="9">
        <f>IF(OR(Inputs!$F$7=TRUE,Inputs!$F$7="TRUE",Inputs!$F$7=1),(((SQRT(((Inputs!$I$7+(((A191)+1)/2)*(Inputs!$J$7-Inputs!$I$7)))^2+Inputs!$C$6^2+((Inputs!$H$7+Inputs!$L$7*(((Inputs!$I$7+(((A191)+1)/2)*(Inputs!$J$7-Inputs!$I$7)))/Inputs!$K$7)^2))^2))-((Inputs!$H$7+Inputs!$L$7*(((Inputs!$I$7+(((A191)+1)/2)*(Inputs!$J$7-Inputs!$I$7)))/Inputs!$K$7)^2)))*1000/Inputs!$C$12),NA())</f>
        <v>69201.063310590456</v>
      </c>
      <c r="J191" s="9">
        <f>IF(OR(Inputs!$F$8=TRUE,Inputs!$F$8="TRUE",Inputs!$F$8=1),(((SQRT(((Inputs!$I$8+(((A191)+1)/2)*(Inputs!$J$8-Inputs!$I$8)))^2+Inputs!$C$6^2+((Inputs!$H$8+Inputs!$L$8*(((Inputs!$I$8+(((A191)+1)/2)*(Inputs!$J$8-Inputs!$I$8)))/Inputs!$K$8)^2))^2))-((Inputs!$H$8+Inputs!$L$8*(((Inputs!$I$8+(((A191)+1)/2)*(Inputs!$J$8-Inputs!$I$8)))/Inputs!$K$8)^2)))*1000/Inputs!$C$12),NA())</f>
        <v>127506.7608358611</v>
      </c>
      <c r="K191" s="9">
        <f>IF(OR(Inputs!$F$9=TRUE,Inputs!$F$9="TRUE",Inputs!$F$9=1),(((SQRT(((Inputs!$I$9+(((A191)+1)/2)*(Inputs!$J$9-Inputs!$I$9)))^2+Inputs!$C$6^2+((Inputs!$H$9+Inputs!$L$9*(((Inputs!$I$9+(((A191)+1)/2)*(Inputs!$J$9-Inputs!$I$9)))/Inputs!$K$9)^2))^2))-((Inputs!$H$9+Inputs!$L$9*(((Inputs!$I$9+(((A191)+1)/2)*(Inputs!$J$9-Inputs!$I$9)))/Inputs!$K$9)^2)))*1000/Inputs!$C$12),NA())</f>
        <v>128989.45295217878</v>
      </c>
      <c r="L191" s="10"/>
      <c r="M191" s="9">
        <f t="shared" si="13"/>
        <v>0.57499999999999996</v>
      </c>
      <c r="N191" s="9">
        <f>IF(OR(Inputs!$F$6=TRUE,Inputs!$F$6="TRUE",Inputs!$F$6=1),(-2*((1000*((((Inputs!$I$6+(((A191)+1)/2)*(Inputs!$J$6-Inputs!$I$6)))*Inputs!$C$11+((Inputs!$H$6+Inputs!$L$6*(((Inputs!$I$6+(((A191)+1)/2)*(Inputs!$J$6-Inputs!$I$6)))/Inputs!$K$6)^2))*((2*Inputs!$L$6*((Inputs!$I$6+(((A191)+1)/2)*(Inputs!$J$6-Inputs!$I$6)))/(Inputs!$K$6^2)*Inputs!$C$11)))/(SQRT(((Inputs!$I$6+(((A191)+1)/2)*(Inputs!$J$6-Inputs!$I$6)))^2+Inputs!$C$6^2+((Inputs!$H$6+Inputs!$L$6*(((Inputs!$I$6+(((A191)+1)/2)*(Inputs!$J$6-Inputs!$I$6)))/Inputs!$K$6)^2))^2)))))/Inputs!$C$13),NA())</f>
        <v>-258.75780750177796</v>
      </c>
      <c r="O191" s="9">
        <f>IF(OR(Inputs!$F$7=TRUE,Inputs!$F$7="TRUE",Inputs!$F$7=1),(-2*((1000*((((Inputs!$I$7+(((A191)+1)/2)*(Inputs!$J$7-Inputs!$I$7)))*Inputs!$C$11+((Inputs!$H$7+Inputs!$L$7*(((Inputs!$I$7+(((A191)+1)/2)*(Inputs!$J$7-Inputs!$I$7)))/Inputs!$K$7)^2))*((2*Inputs!$L$7*((Inputs!$I$7+(((A191)+1)/2)*(Inputs!$J$7-Inputs!$I$7)))/(Inputs!$K$7^2)*Inputs!$C$11)))/(SQRT(((Inputs!$I$7+(((A191)+1)/2)*(Inputs!$J$7-Inputs!$I$7)))^2+Inputs!$C$6^2+((Inputs!$H$7+Inputs!$L$7*(((Inputs!$I$7+(((A191)+1)/2)*(Inputs!$J$7-Inputs!$I$7)))/Inputs!$K$7)^2))^2)))))/Inputs!$C$13),NA())</f>
        <v>-2257.0198666762908</v>
      </c>
      <c r="P191" s="9">
        <f>IF(OR(Inputs!$F$8=TRUE,Inputs!$F$8="TRUE",Inputs!$F$8=1),(-2*((1000*((((Inputs!$I$8+(((A191)+1)/2)*(Inputs!$J$8-Inputs!$I$8)))*Inputs!$C$11+((Inputs!$H$8+Inputs!$L$8*(((Inputs!$I$8+(((A191)+1)/2)*(Inputs!$J$8-Inputs!$I$8)))/Inputs!$K$8)^2))*((2*Inputs!$L$8*((Inputs!$I$8+(((A191)+1)/2)*(Inputs!$J$8-Inputs!$I$8)))/(Inputs!$K$8^2)*Inputs!$C$11)))/(SQRT(((Inputs!$I$8+(((A191)+1)/2)*(Inputs!$J$8-Inputs!$I$8)))^2+Inputs!$C$6^2+((Inputs!$H$8+Inputs!$L$8*(((Inputs!$I$8+(((A191)+1)/2)*(Inputs!$J$8-Inputs!$I$8)))/Inputs!$K$8)^2))^2)))))/Inputs!$C$13),NA())</f>
        <v>-2619.244759126148</v>
      </c>
      <c r="Q191" s="9">
        <f>IF(OR(Inputs!$F$9=TRUE,Inputs!$F$9="TRUE",Inputs!$F$9=1),(-2*((1000*((((Inputs!$I$9+(((A191)+1)/2)*(Inputs!$J$9-Inputs!$I$9)))*Inputs!$C$11+((Inputs!$H$9+Inputs!$L$9*(((Inputs!$I$9+(((A191)+1)/2)*(Inputs!$J$9-Inputs!$I$9)))/Inputs!$K$9)^2))*((2*Inputs!$L$9*((Inputs!$I$9+(((A191)+1)/2)*(Inputs!$J$9-Inputs!$I$9)))/(Inputs!$K$9^2)*Inputs!$C$11)))/(SQRT(((Inputs!$I$9+(((A191)+1)/2)*(Inputs!$J$9-Inputs!$I$9)))^2+Inputs!$C$6^2+((Inputs!$H$9+Inputs!$L$9*(((Inputs!$I$9+(((A191)+1)/2)*(Inputs!$J$9-Inputs!$I$9)))/Inputs!$K$9)^2))^2)))))/Inputs!$C$13),NA())</f>
        <v>-2625.7484395685001</v>
      </c>
      <c r="R191" s="10"/>
      <c r="S191" s="9">
        <f t="shared" si="14"/>
        <v>0.57499999999999996</v>
      </c>
      <c r="T191" s="9">
        <f>(Inputs!$I$6+(((A191)+1)/2)*(Inputs!$J$6-Inputs!$I$6))</f>
        <v>34.5</v>
      </c>
      <c r="U191" s="9">
        <f>(Inputs!$I$7+(((A191)+1)/2)*(Inputs!$J$7-Inputs!$I$7))</f>
        <v>230</v>
      </c>
      <c r="V191" s="9">
        <f>(Inputs!$I$8+(((A191)+1)/2)*(Inputs!$J$8-Inputs!$I$8))</f>
        <v>460</v>
      </c>
      <c r="W191" s="9">
        <f>(Inputs!$I$9+(((A191)+1)/2)*(Inputs!$J$9-Inputs!$I$9))</f>
        <v>460</v>
      </c>
      <c r="X191" s="10"/>
      <c r="Y191" s="9">
        <f t="shared" si="15"/>
        <v>0.57499999999999996</v>
      </c>
      <c r="Z191" s="9">
        <f>(Inputs!$H$6+Inputs!$L$6*(((Inputs!$I$6+(((A191)+1)/2)*(Inputs!$J$6-Inputs!$I$6)))/Inputs!$K$6)^2)</f>
        <v>401.32249999999999</v>
      </c>
      <c r="AA191" s="9">
        <f>(Inputs!$H$7+Inputs!$L$7*(((Inputs!$I$7+(((A191)+1)/2)*(Inputs!$J$7-Inputs!$I$7)))/Inputs!$K$7)^2)</f>
        <v>155.67812499999997</v>
      </c>
      <c r="AB191" s="9">
        <f>(Inputs!$H$8+Inputs!$L$8*(((Inputs!$I$8+(((A191)+1)/2)*(Inputs!$J$8-Inputs!$I$8)))/Inputs!$K$8)^2)</f>
        <v>354.05312499999997</v>
      </c>
      <c r="AC191" s="9">
        <f>(Inputs!$H$9+Inputs!$L$9*(((Inputs!$I$9+(((A191)+1)/2)*(Inputs!$J$9-Inputs!$I$9)))/Inputs!$K$9)^2)</f>
        <v>347.35937499999994</v>
      </c>
      <c r="AD191" s="10"/>
      <c r="AE191" s="9">
        <f t="shared" si="16"/>
        <v>0.57499999999999996</v>
      </c>
      <c r="AF191" s="9">
        <f>(((SQRT(((Inputs!$I$6+(((A191)+1)/2)*(Inputs!$J$6-Inputs!$I$6)))^2+Inputs!$C$6^2+((Inputs!$H$6+Inputs!$L$6*(((Inputs!$I$6+(((A191)+1)/2)*(Inputs!$J$6-Inputs!$I$6)))/Inputs!$K$6)^2))^2))-((Inputs!$H$6+Inputs!$L$6*(((Inputs!$I$6+(((A191)+1)/2)*(Inputs!$J$6-Inputs!$I$6)))/Inputs!$K$6)^2)))*1000/Inputs!$C$12)</f>
        <v>1266.9934849810077</v>
      </c>
      <c r="AG191" s="9">
        <f>(((SQRT(((Inputs!$I$7+(((A191)+1)/2)*(Inputs!$J$7-Inputs!$I$7)))^2+Inputs!$C$6^2+((Inputs!$H$7+Inputs!$L$7*(((Inputs!$I$7+(((A191)+1)/2)*(Inputs!$J$7-Inputs!$I$7)))/Inputs!$K$7)^2))^2))-((Inputs!$H$7+Inputs!$L$7*(((Inputs!$I$7+(((A191)+1)/2)*(Inputs!$J$7-Inputs!$I$7)))/Inputs!$K$7)^2)))*1000/Inputs!$C$12)</f>
        <v>69201.063310590456</v>
      </c>
      <c r="AH191" s="9">
        <f>(((SQRT(((Inputs!$I$8+(((A191)+1)/2)*(Inputs!$J$8-Inputs!$I$8)))^2+Inputs!$C$6^2+((Inputs!$H$8+Inputs!$L$8*(((Inputs!$I$8+(((A191)+1)/2)*(Inputs!$J$8-Inputs!$I$8)))/Inputs!$K$8)^2))^2))-((Inputs!$H$8+Inputs!$L$8*(((Inputs!$I$8+(((A191)+1)/2)*(Inputs!$J$8-Inputs!$I$8)))/Inputs!$K$8)^2)))*1000/Inputs!$C$12)</f>
        <v>127506.7608358611</v>
      </c>
      <c r="AI191" s="9">
        <f>(((SQRT(((Inputs!$I$9+(((A191)+1)/2)*(Inputs!$J$9-Inputs!$I$9)))^2+Inputs!$C$6^2+((Inputs!$H$9+Inputs!$L$9*(((Inputs!$I$9+(((A191)+1)/2)*(Inputs!$J$9-Inputs!$I$9)))/Inputs!$K$9)^2))^2))-((Inputs!$H$9+Inputs!$L$9*(((Inputs!$I$9+(((A191)+1)/2)*(Inputs!$J$9-Inputs!$I$9)))/Inputs!$K$9)^2)))*1000/Inputs!$C$12)</f>
        <v>128989.45295217878</v>
      </c>
      <c r="AJ191" s="10"/>
      <c r="AK191" s="9">
        <f t="shared" si="17"/>
        <v>0.57499999999999996</v>
      </c>
      <c r="AL191" s="9">
        <f>(-2*((1000*((((Inputs!$I$6+(((A191)+1)/2)*(Inputs!$J$6-Inputs!$I$6)))*Inputs!$C$11+((Inputs!$H$6+Inputs!$L$6*(((Inputs!$I$6+(((A191)+1)/2)*(Inputs!$J$6-Inputs!$I$6)))/Inputs!$K$6)^2))*((2*Inputs!$L$6*((Inputs!$I$6+(((A191)+1)/2)*(Inputs!$J$6-Inputs!$I$6)))/(Inputs!$K$6^2)*Inputs!$C$11)))/(SQRT(((Inputs!$I$6+(((A191)+1)/2)*(Inputs!$J$6-Inputs!$I$6)))^2+Inputs!$C$6^2+((Inputs!$H$6+Inputs!$L$6*(((Inputs!$I$6+(((A191)+1)/2)*(Inputs!$J$6-Inputs!$I$6)))/Inputs!$K$6)^2))^2)))))/Inputs!$C$13)</f>
        <v>-258.75780750177796</v>
      </c>
      <c r="AM191" s="9">
        <f>(-2*((1000*((((Inputs!$I$7+(((A191)+1)/2)*(Inputs!$J$7-Inputs!$I$7)))*Inputs!$C$11+((Inputs!$H$7+Inputs!$L$7*(((Inputs!$I$7+(((A191)+1)/2)*(Inputs!$J$7-Inputs!$I$7)))/Inputs!$K$7)^2))*((2*Inputs!$L$7*((Inputs!$I$7+(((A191)+1)/2)*(Inputs!$J$7-Inputs!$I$7)))/(Inputs!$K$7^2)*Inputs!$C$11)))/(SQRT(((Inputs!$I$7+(((A191)+1)/2)*(Inputs!$J$7-Inputs!$I$7)))^2+Inputs!$C$6^2+((Inputs!$H$7+Inputs!$L$7*(((Inputs!$I$7+(((A191)+1)/2)*(Inputs!$J$7-Inputs!$I$7)))/Inputs!$K$7)^2))^2)))))/Inputs!$C$13)</f>
        <v>-2257.0198666762908</v>
      </c>
      <c r="AN191" s="9">
        <f>(-2*((1000*((((Inputs!$I$8+(((A191)+1)/2)*(Inputs!$J$8-Inputs!$I$8)))*Inputs!$C$11+((Inputs!$H$8+Inputs!$L$8*(((Inputs!$I$8+(((A191)+1)/2)*(Inputs!$J$8-Inputs!$I$8)))/Inputs!$K$8)^2))*((2*Inputs!$L$8*((Inputs!$I$8+(((A191)+1)/2)*(Inputs!$J$8-Inputs!$I$8)))/(Inputs!$K$8^2)*Inputs!$C$11)))/(SQRT(((Inputs!$I$8+(((A191)+1)/2)*(Inputs!$J$8-Inputs!$I$8)))^2+Inputs!$C$6^2+((Inputs!$H$8+Inputs!$L$8*(((Inputs!$I$8+(((A191)+1)/2)*(Inputs!$J$8-Inputs!$I$8)))/Inputs!$K$8)^2))^2)))))/Inputs!$C$13)</f>
        <v>-2619.244759126148</v>
      </c>
      <c r="AO191" s="9">
        <f>(-2*((1000*((((Inputs!$I$9+(((A191)+1)/2)*(Inputs!$J$9-Inputs!$I$9)))*Inputs!$C$11+((Inputs!$H$9+Inputs!$L$9*(((Inputs!$I$9+(((A191)+1)/2)*(Inputs!$J$9-Inputs!$I$9)))/Inputs!$K$9)^2))*((2*Inputs!$L$9*((Inputs!$I$9+(((A191)+1)/2)*(Inputs!$J$9-Inputs!$I$9)))/(Inputs!$K$9^2)*Inputs!$C$11)))/(SQRT(((Inputs!$I$9+(((A191)+1)/2)*(Inputs!$J$9-Inputs!$I$9)))^2+Inputs!$C$6^2+((Inputs!$H$9+Inputs!$L$9*(((Inputs!$I$9+(((A191)+1)/2)*(Inputs!$J$9-Inputs!$I$9)))/Inputs!$K$9)^2))^2)))))/Inputs!$C$13)</f>
        <v>-2625.7484395685001</v>
      </c>
    </row>
    <row r="192" spans="1:41">
      <c r="A192" s="9">
        <f>ROUND(-1+190*2/240,3)</f>
        <v>0.58299999999999996</v>
      </c>
      <c r="B192" s="9">
        <f>IF(OR(Inputs!$F$6=TRUE,Inputs!$F$6="TRUE",Inputs!$F$6=1),(Inputs!$H$6+Inputs!$L$6*(((Inputs!$I$6+(((A192)+1)/2)*(Inputs!$J$6-Inputs!$I$6)))/Inputs!$K$6)^2),NA())</f>
        <v>401.359556</v>
      </c>
      <c r="C192" s="9">
        <f>IF(OR(Inputs!$F$7=TRUE,Inputs!$F$7="TRUE",Inputs!$F$7=1),(Inputs!$H$7+Inputs!$L$7*(((Inputs!$I$7+(((A192)+1)/2)*(Inputs!$J$7-Inputs!$I$7)))/Inputs!$K$7)^2),NA())</f>
        <v>159.05948499999994</v>
      </c>
      <c r="D192" s="9">
        <f>IF(OR(Inputs!$F$8=TRUE,Inputs!$F$8="TRUE",Inputs!$F$8=1),(Inputs!$H$8+Inputs!$L$8*(((Inputs!$I$8+(((A192)+1)/2)*(Inputs!$J$8-Inputs!$I$8)))/Inputs!$K$8)^2),NA())</f>
        <v>362.99288499999983</v>
      </c>
      <c r="E192" s="9">
        <f>IF(OR(Inputs!$F$9=TRUE,Inputs!$F$9="TRUE",Inputs!$F$9=1),(Inputs!$H$9+Inputs!$L$9*(((Inputs!$I$9+(((A192)+1)/2)*(Inputs!$J$9-Inputs!$I$9)))/Inputs!$K$9)^2),NA())</f>
        <v>356.39177499999983</v>
      </c>
      <c r="F192" s="10"/>
      <c r="G192" s="9">
        <f t="shared" si="12"/>
        <v>0.58299999999999996</v>
      </c>
      <c r="H192" s="9">
        <f>IF(OR(Inputs!$F$6=TRUE,Inputs!$F$6="TRUE",Inputs!$F$6=1),(((SQRT(((Inputs!$I$6+(((A192)+1)/2)*(Inputs!$J$6-Inputs!$I$6)))^2+Inputs!$C$6^2+((Inputs!$H$6+Inputs!$L$6*(((Inputs!$I$6+(((A192)+1)/2)*(Inputs!$J$6-Inputs!$I$6)))/Inputs!$K$6)^2))^2))-((Inputs!$H$6+Inputs!$L$6*(((Inputs!$I$6+(((A192)+1)/2)*(Inputs!$J$6-Inputs!$I$6)))/Inputs!$K$6)^2)))*1000/Inputs!$C$12),NA())</f>
        <v>1290.0864574175641</v>
      </c>
      <c r="I192" s="9">
        <f>IF(OR(Inputs!$F$7=TRUE,Inputs!$F$7="TRUE",Inputs!$F$7=1),(((SQRT(((Inputs!$I$7+(((A192)+1)/2)*(Inputs!$J$7-Inputs!$I$7)))^2+Inputs!$C$6^2+((Inputs!$H$7+Inputs!$L$7*(((Inputs!$I$7+(((A192)+1)/2)*(Inputs!$J$7-Inputs!$I$7)))/Inputs!$K$7)^2))^2))-((Inputs!$H$7+Inputs!$L$7*(((Inputs!$I$7+(((A192)+1)/2)*(Inputs!$J$7-Inputs!$I$7)))/Inputs!$K$7)^2)))*1000/Inputs!$C$12),NA())</f>
        <v>69845.895596417453</v>
      </c>
      <c r="J192" s="9">
        <f>IF(OR(Inputs!$F$8=TRUE,Inputs!$F$8="TRUE",Inputs!$F$8=1),(((SQRT(((Inputs!$I$8+(((A192)+1)/2)*(Inputs!$J$8-Inputs!$I$8)))^2+Inputs!$C$6^2+((Inputs!$H$8+Inputs!$L$8*(((Inputs!$I$8+(((A192)+1)/2)*(Inputs!$J$8-Inputs!$I$8)))/Inputs!$K$8)^2))^2))-((Inputs!$H$8+Inputs!$L$8*(((Inputs!$I$8+(((A192)+1)/2)*(Inputs!$J$8-Inputs!$I$8)))/Inputs!$K$8)^2)))*1000/Inputs!$C$12),NA())</f>
        <v>128396.4117714109</v>
      </c>
      <c r="K192" s="9">
        <f>IF(OR(Inputs!$F$9=TRUE,Inputs!$F$9="TRUE",Inputs!$F$9=1),(((SQRT(((Inputs!$I$9+(((A192)+1)/2)*(Inputs!$J$9-Inputs!$I$9)))^2+Inputs!$C$6^2+((Inputs!$H$9+Inputs!$L$9*(((Inputs!$I$9+(((A192)+1)/2)*(Inputs!$J$9-Inputs!$I$9)))/Inputs!$K$9)^2))^2))-((Inputs!$H$9+Inputs!$L$9*(((Inputs!$I$9+(((A192)+1)/2)*(Inputs!$J$9-Inputs!$I$9)))/Inputs!$K$9)^2)))*1000/Inputs!$C$12),NA())</f>
        <v>129842.20489784688</v>
      </c>
      <c r="L192" s="10"/>
      <c r="M192" s="9">
        <f t="shared" si="13"/>
        <v>0.58299999999999996</v>
      </c>
      <c r="N192" s="9">
        <f>IF(OR(Inputs!$F$6=TRUE,Inputs!$F$6="TRUE",Inputs!$F$6=1),(-2*((1000*((((Inputs!$I$6+(((A192)+1)/2)*(Inputs!$J$6-Inputs!$I$6)))*Inputs!$C$11+((Inputs!$H$6+Inputs!$L$6*(((Inputs!$I$6+(((A192)+1)/2)*(Inputs!$J$6-Inputs!$I$6)))/Inputs!$K$6)^2))*((2*Inputs!$L$6*((Inputs!$I$6+(((A192)+1)/2)*(Inputs!$J$6-Inputs!$I$6)))/(Inputs!$K$6^2)*Inputs!$C$11)))/(SQRT(((Inputs!$I$6+(((A192)+1)/2)*(Inputs!$J$6-Inputs!$I$6)))^2+Inputs!$C$6^2+((Inputs!$H$6+Inputs!$L$6*(((Inputs!$I$6+(((A192)+1)/2)*(Inputs!$J$6-Inputs!$I$6)))/Inputs!$K$6)^2))^2)))))/Inputs!$C$13),NA())</f>
        <v>-262.31853231793167</v>
      </c>
      <c r="O192" s="9">
        <f>IF(OR(Inputs!$F$7=TRUE,Inputs!$F$7="TRUE",Inputs!$F$7=1),(-2*((1000*((((Inputs!$I$7+(((A192)+1)/2)*(Inputs!$J$7-Inputs!$I$7)))*Inputs!$C$11+((Inputs!$H$7+Inputs!$L$7*(((Inputs!$I$7+(((A192)+1)/2)*(Inputs!$J$7-Inputs!$I$7)))/Inputs!$K$7)^2))*((2*Inputs!$L$7*((Inputs!$I$7+(((A192)+1)/2)*(Inputs!$J$7-Inputs!$I$7)))/(Inputs!$K$7^2)*Inputs!$C$11)))/(SQRT(((Inputs!$I$7+(((A192)+1)/2)*(Inputs!$J$7-Inputs!$I$7)))^2+Inputs!$C$6^2+((Inputs!$H$7+Inputs!$L$7*(((Inputs!$I$7+(((A192)+1)/2)*(Inputs!$J$7-Inputs!$I$7)))/Inputs!$K$7)^2))^2)))))/Inputs!$C$13),NA())</f>
        <v>-2272.1601277438945</v>
      </c>
      <c r="P192" s="9">
        <f>IF(OR(Inputs!$F$8=TRUE,Inputs!$F$8="TRUE",Inputs!$F$8=1),(-2*((1000*((((Inputs!$I$8+(((A192)+1)/2)*(Inputs!$J$8-Inputs!$I$8)))*Inputs!$C$11+((Inputs!$H$8+Inputs!$L$8*(((Inputs!$I$8+(((A192)+1)/2)*(Inputs!$J$8-Inputs!$I$8)))/Inputs!$K$8)^2))*((2*Inputs!$L$8*((Inputs!$I$8+(((A192)+1)/2)*(Inputs!$J$8-Inputs!$I$8)))/(Inputs!$K$8^2)*Inputs!$C$11)))/(SQRT(((Inputs!$I$8+(((A192)+1)/2)*(Inputs!$J$8-Inputs!$I$8)))^2+Inputs!$C$6^2+((Inputs!$H$8+Inputs!$L$8*(((Inputs!$I$8+(((A192)+1)/2)*(Inputs!$J$8-Inputs!$I$8)))/Inputs!$K$8)^2))^2)))))/Inputs!$C$13),NA())</f>
        <v>-2642.4517321444064</v>
      </c>
      <c r="Q192" s="9">
        <f>IF(OR(Inputs!$F$9=TRUE,Inputs!$F$9="TRUE",Inputs!$F$9=1),(-2*((1000*((((Inputs!$I$9+(((A192)+1)/2)*(Inputs!$J$9-Inputs!$I$9)))*Inputs!$C$11+((Inputs!$H$9+Inputs!$L$9*(((Inputs!$I$9+(((A192)+1)/2)*(Inputs!$J$9-Inputs!$I$9)))/Inputs!$K$9)^2))*((2*Inputs!$L$9*((Inputs!$I$9+(((A192)+1)/2)*(Inputs!$J$9-Inputs!$I$9)))/(Inputs!$K$9^2)*Inputs!$C$11)))/(SQRT(((Inputs!$I$9+(((A192)+1)/2)*(Inputs!$J$9-Inputs!$I$9)))^2+Inputs!$C$6^2+((Inputs!$H$9+Inputs!$L$9*(((Inputs!$I$9+(((A192)+1)/2)*(Inputs!$J$9-Inputs!$I$9)))/Inputs!$K$9)^2))^2)))))/Inputs!$C$13),NA())</f>
        <v>-2649.4282566743777</v>
      </c>
      <c r="R192" s="10"/>
      <c r="S192" s="9">
        <f t="shared" si="14"/>
        <v>0.58299999999999996</v>
      </c>
      <c r="T192" s="9">
        <f>(Inputs!$I$6+(((A192)+1)/2)*(Inputs!$J$6-Inputs!$I$6))</f>
        <v>34.980000000000004</v>
      </c>
      <c r="U192" s="9">
        <f>(Inputs!$I$7+(((A192)+1)/2)*(Inputs!$J$7-Inputs!$I$7))</f>
        <v>233.19999999999993</v>
      </c>
      <c r="V192" s="9">
        <f>(Inputs!$I$8+(((A192)+1)/2)*(Inputs!$J$8-Inputs!$I$8))</f>
        <v>466.39999999999986</v>
      </c>
      <c r="W192" s="9">
        <f>(Inputs!$I$9+(((A192)+1)/2)*(Inputs!$J$9-Inputs!$I$9))</f>
        <v>466.39999999999986</v>
      </c>
      <c r="X192" s="10"/>
      <c r="Y192" s="9">
        <f t="shared" si="15"/>
        <v>0.58299999999999996</v>
      </c>
      <c r="Z192" s="9">
        <f>(Inputs!$H$6+Inputs!$L$6*(((Inputs!$I$6+(((A192)+1)/2)*(Inputs!$J$6-Inputs!$I$6)))/Inputs!$K$6)^2)</f>
        <v>401.359556</v>
      </c>
      <c r="AA192" s="9">
        <f>(Inputs!$H$7+Inputs!$L$7*(((Inputs!$I$7+(((A192)+1)/2)*(Inputs!$J$7-Inputs!$I$7)))/Inputs!$K$7)^2)</f>
        <v>159.05948499999994</v>
      </c>
      <c r="AB192" s="9">
        <f>(Inputs!$H$8+Inputs!$L$8*(((Inputs!$I$8+(((A192)+1)/2)*(Inputs!$J$8-Inputs!$I$8)))/Inputs!$K$8)^2)</f>
        <v>362.99288499999983</v>
      </c>
      <c r="AC192" s="9">
        <f>(Inputs!$H$9+Inputs!$L$9*(((Inputs!$I$9+(((A192)+1)/2)*(Inputs!$J$9-Inputs!$I$9)))/Inputs!$K$9)^2)</f>
        <v>356.39177499999983</v>
      </c>
      <c r="AD192" s="10"/>
      <c r="AE192" s="9">
        <f t="shared" si="16"/>
        <v>0.58299999999999996</v>
      </c>
      <c r="AF192" s="9">
        <f>(((SQRT(((Inputs!$I$6+(((A192)+1)/2)*(Inputs!$J$6-Inputs!$I$6)))^2+Inputs!$C$6^2+((Inputs!$H$6+Inputs!$L$6*(((Inputs!$I$6+(((A192)+1)/2)*(Inputs!$J$6-Inputs!$I$6)))/Inputs!$K$6)^2))^2))-((Inputs!$H$6+Inputs!$L$6*(((Inputs!$I$6+(((A192)+1)/2)*(Inputs!$J$6-Inputs!$I$6)))/Inputs!$K$6)^2)))*1000/Inputs!$C$12)</f>
        <v>1290.0864574175641</v>
      </c>
      <c r="AG192" s="9">
        <f>(((SQRT(((Inputs!$I$7+(((A192)+1)/2)*(Inputs!$J$7-Inputs!$I$7)))^2+Inputs!$C$6^2+((Inputs!$H$7+Inputs!$L$7*(((Inputs!$I$7+(((A192)+1)/2)*(Inputs!$J$7-Inputs!$I$7)))/Inputs!$K$7)^2))^2))-((Inputs!$H$7+Inputs!$L$7*(((Inputs!$I$7+(((A192)+1)/2)*(Inputs!$J$7-Inputs!$I$7)))/Inputs!$K$7)^2)))*1000/Inputs!$C$12)</f>
        <v>69845.895596417453</v>
      </c>
      <c r="AH192" s="9">
        <f>(((SQRT(((Inputs!$I$8+(((A192)+1)/2)*(Inputs!$J$8-Inputs!$I$8)))^2+Inputs!$C$6^2+((Inputs!$H$8+Inputs!$L$8*(((Inputs!$I$8+(((A192)+1)/2)*(Inputs!$J$8-Inputs!$I$8)))/Inputs!$K$8)^2))^2))-((Inputs!$H$8+Inputs!$L$8*(((Inputs!$I$8+(((A192)+1)/2)*(Inputs!$J$8-Inputs!$I$8)))/Inputs!$K$8)^2)))*1000/Inputs!$C$12)</f>
        <v>128396.4117714109</v>
      </c>
      <c r="AI192" s="9">
        <f>(((SQRT(((Inputs!$I$9+(((A192)+1)/2)*(Inputs!$J$9-Inputs!$I$9)))^2+Inputs!$C$6^2+((Inputs!$H$9+Inputs!$L$9*(((Inputs!$I$9+(((A192)+1)/2)*(Inputs!$J$9-Inputs!$I$9)))/Inputs!$K$9)^2))^2))-((Inputs!$H$9+Inputs!$L$9*(((Inputs!$I$9+(((A192)+1)/2)*(Inputs!$J$9-Inputs!$I$9)))/Inputs!$K$9)^2)))*1000/Inputs!$C$12)</f>
        <v>129842.20489784688</v>
      </c>
      <c r="AJ192" s="10"/>
      <c r="AK192" s="9">
        <f t="shared" si="17"/>
        <v>0.58299999999999996</v>
      </c>
      <c r="AL192" s="9">
        <f>(-2*((1000*((((Inputs!$I$6+(((A192)+1)/2)*(Inputs!$J$6-Inputs!$I$6)))*Inputs!$C$11+((Inputs!$H$6+Inputs!$L$6*(((Inputs!$I$6+(((A192)+1)/2)*(Inputs!$J$6-Inputs!$I$6)))/Inputs!$K$6)^2))*((2*Inputs!$L$6*((Inputs!$I$6+(((A192)+1)/2)*(Inputs!$J$6-Inputs!$I$6)))/(Inputs!$K$6^2)*Inputs!$C$11)))/(SQRT(((Inputs!$I$6+(((A192)+1)/2)*(Inputs!$J$6-Inputs!$I$6)))^2+Inputs!$C$6^2+((Inputs!$H$6+Inputs!$L$6*(((Inputs!$I$6+(((A192)+1)/2)*(Inputs!$J$6-Inputs!$I$6)))/Inputs!$K$6)^2))^2)))))/Inputs!$C$13)</f>
        <v>-262.31853231793167</v>
      </c>
      <c r="AM192" s="9">
        <f>(-2*((1000*((((Inputs!$I$7+(((A192)+1)/2)*(Inputs!$J$7-Inputs!$I$7)))*Inputs!$C$11+((Inputs!$H$7+Inputs!$L$7*(((Inputs!$I$7+(((A192)+1)/2)*(Inputs!$J$7-Inputs!$I$7)))/Inputs!$K$7)^2))*((2*Inputs!$L$7*((Inputs!$I$7+(((A192)+1)/2)*(Inputs!$J$7-Inputs!$I$7)))/(Inputs!$K$7^2)*Inputs!$C$11)))/(SQRT(((Inputs!$I$7+(((A192)+1)/2)*(Inputs!$J$7-Inputs!$I$7)))^2+Inputs!$C$6^2+((Inputs!$H$7+Inputs!$L$7*(((Inputs!$I$7+(((A192)+1)/2)*(Inputs!$J$7-Inputs!$I$7)))/Inputs!$K$7)^2))^2)))))/Inputs!$C$13)</f>
        <v>-2272.1601277438945</v>
      </c>
      <c r="AN192" s="9">
        <f>(-2*((1000*((((Inputs!$I$8+(((A192)+1)/2)*(Inputs!$J$8-Inputs!$I$8)))*Inputs!$C$11+((Inputs!$H$8+Inputs!$L$8*(((Inputs!$I$8+(((A192)+1)/2)*(Inputs!$J$8-Inputs!$I$8)))/Inputs!$K$8)^2))*((2*Inputs!$L$8*((Inputs!$I$8+(((A192)+1)/2)*(Inputs!$J$8-Inputs!$I$8)))/(Inputs!$K$8^2)*Inputs!$C$11)))/(SQRT(((Inputs!$I$8+(((A192)+1)/2)*(Inputs!$J$8-Inputs!$I$8)))^2+Inputs!$C$6^2+((Inputs!$H$8+Inputs!$L$8*(((Inputs!$I$8+(((A192)+1)/2)*(Inputs!$J$8-Inputs!$I$8)))/Inputs!$K$8)^2))^2)))))/Inputs!$C$13)</f>
        <v>-2642.4517321444064</v>
      </c>
      <c r="AO192" s="9">
        <f>(-2*((1000*((((Inputs!$I$9+(((A192)+1)/2)*(Inputs!$J$9-Inputs!$I$9)))*Inputs!$C$11+((Inputs!$H$9+Inputs!$L$9*(((Inputs!$I$9+(((A192)+1)/2)*(Inputs!$J$9-Inputs!$I$9)))/Inputs!$K$9)^2))*((2*Inputs!$L$9*((Inputs!$I$9+(((A192)+1)/2)*(Inputs!$J$9-Inputs!$I$9)))/(Inputs!$K$9^2)*Inputs!$C$11)))/(SQRT(((Inputs!$I$9+(((A192)+1)/2)*(Inputs!$J$9-Inputs!$I$9)))^2+Inputs!$C$6^2+((Inputs!$H$9+Inputs!$L$9*(((Inputs!$I$9+(((A192)+1)/2)*(Inputs!$J$9-Inputs!$I$9)))/Inputs!$K$9)^2))^2)))))/Inputs!$C$13)</f>
        <v>-2649.4282566743777</v>
      </c>
    </row>
    <row r="193" spans="1:41">
      <c r="A193" s="9">
        <f>ROUND(-1+191*2/240,3)</f>
        <v>0.59199999999999997</v>
      </c>
      <c r="B193" s="9">
        <f>IF(OR(Inputs!$F$6=TRUE,Inputs!$F$6="TRUE",Inputs!$F$6=1),(Inputs!$H$6+Inputs!$L$6*(((Inputs!$I$6+(((A193)+1)/2)*(Inputs!$J$6-Inputs!$I$6)))/Inputs!$K$6)^2),NA())</f>
        <v>401.40185600000001</v>
      </c>
      <c r="C193" s="9">
        <f>IF(OR(Inputs!$F$7=TRUE,Inputs!$F$7="TRUE",Inputs!$F$7=1),(Inputs!$H$7+Inputs!$L$7*(((Inputs!$I$7+(((A193)+1)/2)*(Inputs!$J$7-Inputs!$I$7)))/Inputs!$K$7)^2),NA())</f>
        <v>162.9193600000001</v>
      </c>
      <c r="D193" s="9">
        <f>IF(OR(Inputs!$F$8=TRUE,Inputs!$F$8="TRUE",Inputs!$F$8=1),(Inputs!$H$8+Inputs!$L$8*(((Inputs!$I$8+(((A193)+1)/2)*(Inputs!$J$8-Inputs!$I$8)))/Inputs!$K$8)^2),NA())</f>
        <v>373.19776000000019</v>
      </c>
      <c r="E193" s="9">
        <f>IF(OR(Inputs!$F$9=TRUE,Inputs!$F$9="TRUE",Inputs!$F$9=1),(Inputs!$H$9+Inputs!$L$9*(((Inputs!$I$9+(((A193)+1)/2)*(Inputs!$J$9-Inputs!$I$9)))/Inputs!$K$9)^2),NA())</f>
        <v>366.70240000000024</v>
      </c>
      <c r="F193" s="10"/>
      <c r="G193" s="9">
        <f t="shared" si="12"/>
        <v>0.59199999999999997</v>
      </c>
      <c r="H193" s="9">
        <f>IF(OR(Inputs!$F$6=TRUE,Inputs!$F$6="TRUE",Inputs!$F$6=1),(((SQRT(((Inputs!$I$6+(((A193)+1)/2)*(Inputs!$J$6-Inputs!$I$6)))^2+Inputs!$C$6^2+((Inputs!$H$6+Inputs!$L$6*(((Inputs!$I$6+(((A193)+1)/2)*(Inputs!$J$6-Inputs!$I$6)))/Inputs!$K$6)^2))^2))-((Inputs!$H$6+Inputs!$L$6*(((Inputs!$I$6+(((A193)+1)/2)*(Inputs!$J$6-Inputs!$I$6)))/Inputs!$K$6)^2)))*1000/Inputs!$C$12),NA())</f>
        <v>1316.439389440221</v>
      </c>
      <c r="I193" s="9">
        <f>IF(OR(Inputs!$F$7=TRUE,Inputs!$F$7="TRUE",Inputs!$F$7=1),(((SQRT(((Inputs!$I$7+(((A193)+1)/2)*(Inputs!$J$7-Inputs!$I$7)))^2+Inputs!$C$6^2+((Inputs!$H$7+Inputs!$L$7*(((Inputs!$I$7+(((A193)+1)/2)*(Inputs!$J$7-Inputs!$I$7)))/Inputs!$K$7)^2))^2))-((Inputs!$H$7+Inputs!$L$7*(((Inputs!$I$7+(((A193)+1)/2)*(Inputs!$J$7-Inputs!$I$7)))/Inputs!$K$7)^2)))*1000/Inputs!$C$12),NA())</f>
        <v>70560.373161991447</v>
      </c>
      <c r="J193" s="9">
        <f>IF(OR(Inputs!$F$8=TRUE,Inputs!$F$8="TRUE",Inputs!$F$8=1),(((SQRT(((Inputs!$I$8+(((A193)+1)/2)*(Inputs!$J$8-Inputs!$I$8)))^2+Inputs!$C$6^2+((Inputs!$H$8+Inputs!$L$8*(((Inputs!$I$8+(((A193)+1)/2)*(Inputs!$J$8-Inputs!$I$8)))/Inputs!$K$8)^2))^2))-((Inputs!$H$8+Inputs!$L$8*(((Inputs!$I$8+(((A193)+1)/2)*(Inputs!$J$8-Inputs!$I$8)))/Inputs!$K$8)^2)))*1000/Inputs!$C$12),NA())</f>
        <v>129376.89397045772</v>
      </c>
      <c r="K193" s="9">
        <f>IF(OR(Inputs!$F$9=TRUE,Inputs!$F$9="TRUE",Inputs!$F$9=1),(((SQRT(((Inputs!$I$9+(((A193)+1)/2)*(Inputs!$J$9-Inputs!$I$9)))^2+Inputs!$C$6^2+((Inputs!$H$9+Inputs!$L$9*(((Inputs!$I$9+(((A193)+1)/2)*(Inputs!$J$9-Inputs!$I$9)))/Inputs!$K$9)^2))^2))-((Inputs!$H$9+Inputs!$L$9*(((Inputs!$I$9+(((A193)+1)/2)*(Inputs!$J$9-Inputs!$I$9)))/Inputs!$K$9)^2)))*1000/Inputs!$C$12),NA())</f>
        <v>130781.58883580852</v>
      </c>
      <c r="L193" s="10"/>
      <c r="M193" s="9">
        <f t="shared" si="13"/>
        <v>0.59199999999999997</v>
      </c>
      <c r="N193" s="9">
        <f>IF(OR(Inputs!$F$6=TRUE,Inputs!$F$6="TRUE",Inputs!$F$6=1),(-2*((1000*((((Inputs!$I$6+(((A193)+1)/2)*(Inputs!$J$6-Inputs!$I$6)))*Inputs!$C$11+((Inputs!$H$6+Inputs!$L$6*(((Inputs!$I$6+(((A193)+1)/2)*(Inputs!$J$6-Inputs!$I$6)))/Inputs!$K$6)^2))*((2*Inputs!$L$6*((Inputs!$I$6+(((A193)+1)/2)*(Inputs!$J$6-Inputs!$I$6)))/(Inputs!$K$6^2)*Inputs!$C$11)))/(SQRT(((Inputs!$I$6+(((A193)+1)/2)*(Inputs!$J$6-Inputs!$I$6)))^2+Inputs!$C$6^2+((Inputs!$H$6+Inputs!$L$6*(((Inputs!$I$6+(((A193)+1)/2)*(Inputs!$J$6-Inputs!$I$6)))/Inputs!$K$6)^2))^2)))))/Inputs!$C$13),NA())</f>
        <v>-266.3224236689793</v>
      </c>
      <c r="O193" s="9">
        <f>IF(OR(Inputs!$F$7=TRUE,Inputs!$F$7="TRUE",Inputs!$F$7=1),(-2*((1000*((((Inputs!$I$7+(((A193)+1)/2)*(Inputs!$J$7-Inputs!$I$7)))*Inputs!$C$11+((Inputs!$H$7+Inputs!$L$7*(((Inputs!$I$7+(((A193)+1)/2)*(Inputs!$J$7-Inputs!$I$7)))/Inputs!$K$7)^2))*((2*Inputs!$L$7*((Inputs!$I$7+(((A193)+1)/2)*(Inputs!$J$7-Inputs!$I$7)))/(Inputs!$K$7^2)*Inputs!$C$11)))/(SQRT(((Inputs!$I$7+(((A193)+1)/2)*(Inputs!$J$7-Inputs!$I$7)))^2+Inputs!$C$6^2+((Inputs!$H$7+Inputs!$L$7*(((Inputs!$I$7+(((A193)+1)/2)*(Inputs!$J$7-Inputs!$I$7)))/Inputs!$K$7)^2))^2)))))/Inputs!$C$13),NA())</f>
        <v>-2289.3254985631088</v>
      </c>
      <c r="P193" s="9">
        <f>IF(OR(Inputs!$F$8=TRUE,Inputs!$F$8="TRUE",Inputs!$F$8=1),(-2*((1000*((((Inputs!$I$8+(((A193)+1)/2)*(Inputs!$J$8-Inputs!$I$8)))*Inputs!$C$11+((Inputs!$H$8+Inputs!$L$8*(((Inputs!$I$8+(((A193)+1)/2)*(Inputs!$J$8-Inputs!$I$8)))/Inputs!$K$8)^2))*((2*Inputs!$L$8*((Inputs!$I$8+(((A193)+1)/2)*(Inputs!$J$8-Inputs!$I$8)))/(Inputs!$K$8^2)*Inputs!$C$11)))/(SQRT(((Inputs!$I$8+(((A193)+1)/2)*(Inputs!$J$8-Inputs!$I$8)))^2+Inputs!$C$6^2+((Inputs!$H$8+Inputs!$L$8*(((Inputs!$I$8+(((A193)+1)/2)*(Inputs!$J$8-Inputs!$I$8)))/Inputs!$K$8)^2))^2)))))/Inputs!$C$13),NA())</f>
        <v>-2668.7522877585684</v>
      </c>
      <c r="Q193" s="9">
        <f>IF(OR(Inputs!$F$9=TRUE,Inputs!$F$9="TRUE",Inputs!$F$9=1),(-2*((1000*((((Inputs!$I$9+(((A193)+1)/2)*(Inputs!$J$9-Inputs!$I$9)))*Inputs!$C$11+((Inputs!$H$9+Inputs!$L$9*(((Inputs!$I$9+(((A193)+1)/2)*(Inputs!$J$9-Inputs!$I$9)))/Inputs!$K$9)^2))*((2*Inputs!$L$9*((Inputs!$I$9+(((A193)+1)/2)*(Inputs!$J$9-Inputs!$I$9)))/(Inputs!$K$9^2)*Inputs!$C$11)))/(SQRT(((Inputs!$I$9+(((A193)+1)/2)*(Inputs!$J$9-Inputs!$I$9)))^2+Inputs!$C$6^2+((Inputs!$H$9+Inputs!$L$9*(((Inputs!$I$9+(((A193)+1)/2)*(Inputs!$J$9-Inputs!$I$9)))/Inputs!$K$9)^2))^2)))))/Inputs!$C$13),NA())</f>
        <v>-2676.2628088819929</v>
      </c>
      <c r="R193" s="10"/>
      <c r="S193" s="9">
        <f t="shared" si="14"/>
        <v>0.59199999999999997</v>
      </c>
      <c r="T193" s="9">
        <f>(Inputs!$I$6+(((A193)+1)/2)*(Inputs!$J$6-Inputs!$I$6))</f>
        <v>35.52000000000001</v>
      </c>
      <c r="U193" s="9">
        <f>(Inputs!$I$7+(((A193)+1)/2)*(Inputs!$J$7-Inputs!$I$7))</f>
        <v>236.80000000000007</v>
      </c>
      <c r="V193" s="9">
        <f>(Inputs!$I$8+(((A193)+1)/2)*(Inputs!$J$8-Inputs!$I$8))</f>
        <v>473.60000000000014</v>
      </c>
      <c r="W193" s="9">
        <f>(Inputs!$I$9+(((A193)+1)/2)*(Inputs!$J$9-Inputs!$I$9))</f>
        <v>473.60000000000014</v>
      </c>
      <c r="X193" s="10"/>
      <c r="Y193" s="9">
        <f t="shared" si="15"/>
        <v>0.59199999999999997</v>
      </c>
      <c r="Z193" s="9">
        <f>(Inputs!$H$6+Inputs!$L$6*(((Inputs!$I$6+(((A193)+1)/2)*(Inputs!$J$6-Inputs!$I$6)))/Inputs!$K$6)^2)</f>
        <v>401.40185600000001</v>
      </c>
      <c r="AA193" s="9">
        <f>(Inputs!$H$7+Inputs!$L$7*(((Inputs!$I$7+(((A193)+1)/2)*(Inputs!$J$7-Inputs!$I$7)))/Inputs!$K$7)^2)</f>
        <v>162.9193600000001</v>
      </c>
      <c r="AB193" s="9">
        <f>(Inputs!$H$8+Inputs!$L$8*(((Inputs!$I$8+(((A193)+1)/2)*(Inputs!$J$8-Inputs!$I$8)))/Inputs!$K$8)^2)</f>
        <v>373.19776000000019</v>
      </c>
      <c r="AC193" s="9">
        <f>(Inputs!$H$9+Inputs!$L$9*(((Inputs!$I$9+(((A193)+1)/2)*(Inputs!$J$9-Inputs!$I$9)))/Inputs!$K$9)^2)</f>
        <v>366.70240000000024</v>
      </c>
      <c r="AD193" s="10"/>
      <c r="AE193" s="9">
        <f t="shared" si="16"/>
        <v>0.59199999999999997</v>
      </c>
      <c r="AF193" s="9">
        <f>(((SQRT(((Inputs!$I$6+(((A193)+1)/2)*(Inputs!$J$6-Inputs!$I$6)))^2+Inputs!$C$6^2+((Inputs!$H$6+Inputs!$L$6*(((Inputs!$I$6+(((A193)+1)/2)*(Inputs!$J$6-Inputs!$I$6)))/Inputs!$K$6)^2))^2))-((Inputs!$H$6+Inputs!$L$6*(((Inputs!$I$6+(((A193)+1)/2)*(Inputs!$J$6-Inputs!$I$6)))/Inputs!$K$6)^2)))*1000/Inputs!$C$12)</f>
        <v>1316.439389440221</v>
      </c>
      <c r="AG193" s="9">
        <f>(((SQRT(((Inputs!$I$7+(((A193)+1)/2)*(Inputs!$J$7-Inputs!$I$7)))^2+Inputs!$C$6^2+((Inputs!$H$7+Inputs!$L$7*(((Inputs!$I$7+(((A193)+1)/2)*(Inputs!$J$7-Inputs!$I$7)))/Inputs!$K$7)^2))^2))-((Inputs!$H$7+Inputs!$L$7*(((Inputs!$I$7+(((A193)+1)/2)*(Inputs!$J$7-Inputs!$I$7)))/Inputs!$K$7)^2)))*1000/Inputs!$C$12)</f>
        <v>70560.373161991447</v>
      </c>
      <c r="AH193" s="9">
        <f>(((SQRT(((Inputs!$I$8+(((A193)+1)/2)*(Inputs!$J$8-Inputs!$I$8)))^2+Inputs!$C$6^2+((Inputs!$H$8+Inputs!$L$8*(((Inputs!$I$8+(((A193)+1)/2)*(Inputs!$J$8-Inputs!$I$8)))/Inputs!$K$8)^2))^2))-((Inputs!$H$8+Inputs!$L$8*(((Inputs!$I$8+(((A193)+1)/2)*(Inputs!$J$8-Inputs!$I$8)))/Inputs!$K$8)^2)))*1000/Inputs!$C$12)</f>
        <v>129376.89397045772</v>
      </c>
      <c r="AI193" s="9">
        <f>(((SQRT(((Inputs!$I$9+(((A193)+1)/2)*(Inputs!$J$9-Inputs!$I$9)))^2+Inputs!$C$6^2+((Inputs!$H$9+Inputs!$L$9*(((Inputs!$I$9+(((A193)+1)/2)*(Inputs!$J$9-Inputs!$I$9)))/Inputs!$K$9)^2))^2))-((Inputs!$H$9+Inputs!$L$9*(((Inputs!$I$9+(((A193)+1)/2)*(Inputs!$J$9-Inputs!$I$9)))/Inputs!$K$9)^2)))*1000/Inputs!$C$12)</f>
        <v>130781.58883580852</v>
      </c>
      <c r="AJ193" s="10"/>
      <c r="AK193" s="9">
        <f t="shared" si="17"/>
        <v>0.59199999999999997</v>
      </c>
      <c r="AL193" s="9">
        <f>(-2*((1000*((((Inputs!$I$6+(((A193)+1)/2)*(Inputs!$J$6-Inputs!$I$6)))*Inputs!$C$11+((Inputs!$H$6+Inputs!$L$6*(((Inputs!$I$6+(((A193)+1)/2)*(Inputs!$J$6-Inputs!$I$6)))/Inputs!$K$6)^2))*((2*Inputs!$L$6*((Inputs!$I$6+(((A193)+1)/2)*(Inputs!$J$6-Inputs!$I$6)))/(Inputs!$K$6^2)*Inputs!$C$11)))/(SQRT(((Inputs!$I$6+(((A193)+1)/2)*(Inputs!$J$6-Inputs!$I$6)))^2+Inputs!$C$6^2+((Inputs!$H$6+Inputs!$L$6*(((Inputs!$I$6+(((A193)+1)/2)*(Inputs!$J$6-Inputs!$I$6)))/Inputs!$K$6)^2))^2)))))/Inputs!$C$13)</f>
        <v>-266.3224236689793</v>
      </c>
      <c r="AM193" s="9">
        <f>(-2*((1000*((((Inputs!$I$7+(((A193)+1)/2)*(Inputs!$J$7-Inputs!$I$7)))*Inputs!$C$11+((Inputs!$H$7+Inputs!$L$7*(((Inputs!$I$7+(((A193)+1)/2)*(Inputs!$J$7-Inputs!$I$7)))/Inputs!$K$7)^2))*((2*Inputs!$L$7*((Inputs!$I$7+(((A193)+1)/2)*(Inputs!$J$7-Inputs!$I$7)))/(Inputs!$K$7^2)*Inputs!$C$11)))/(SQRT(((Inputs!$I$7+(((A193)+1)/2)*(Inputs!$J$7-Inputs!$I$7)))^2+Inputs!$C$6^2+((Inputs!$H$7+Inputs!$L$7*(((Inputs!$I$7+(((A193)+1)/2)*(Inputs!$J$7-Inputs!$I$7)))/Inputs!$K$7)^2))^2)))))/Inputs!$C$13)</f>
        <v>-2289.3254985631088</v>
      </c>
      <c r="AN193" s="9">
        <f>(-2*((1000*((((Inputs!$I$8+(((A193)+1)/2)*(Inputs!$J$8-Inputs!$I$8)))*Inputs!$C$11+((Inputs!$H$8+Inputs!$L$8*(((Inputs!$I$8+(((A193)+1)/2)*(Inputs!$J$8-Inputs!$I$8)))/Inputs!$K$8)^2))*((2*Inputs!$L$8*((Inputs!$I$8+(((A193)+1)/2)*(Inputs!$J$8-Inputs!$I$8)))/(Inputs!$K$8^2)*Inputs!$C$11)))/(SQRT(((Inputs!$I$8+(((A193)+1)/2)*(Inputs!$J$8-Inputs!$I$8)))^2+Inputs!$C$6^2+((Inputs!$H$8+Inputs!$L$8*(((Inputs!$I$8+(((A193)+1)/2)*(Inputs!$J$8-Inputs!$I$8)))/Inputs!$K$8)^2))^2)))))/Inputs!$C$13)</f>
        <v>-2668.7522877585684</v>
      </c>
      <c r="AO193" s="9">
        <f>(-2*((1000*((((Inputs!$I$9+(((A193)+1)/2)*(Inputs!$J$9-Inputs!$I$9)))*Inputs!$C$11+((Inputs!$H$9+Inputs!$L$9*(((Inputs!$I$9+(((A193)+1)/2)*(Inputs!$J$9-Inputs!$I$9)))/Inputs!$K$9)^2))*((2*Inputs!$L$9*((Inputs!$I$9+(((A193)+1)/2)*(Inputs!$J$9-Inputs!$I$9)))/(Inputs!$K$9^2)*Inputs!$C$11)))/(SQRT(((Inputs!$I$9+(((A193)+1)/2)*(Inputs!$J$9-Inputs!$I$9)))^2+Inputs!$C$6^2+((Inputs!$H$9+Inputs!$L$9*(((Inputs!$I$9+(((A193)+1)/2)*(Inputs!$J$9-Inputs!$I$9)))/Inputs!$K$9)^2))^2)))))/Inputs!$C$13)</f>
        <v>-2676.2628088819929</v>
      </c>
    </row>
    <row r="194" spans="1:41">
      <c r="A194" s="9">
        <f>ROUND(-1+192*2/240,3)</f>
        <v>0.6</v>
      </c>
      <c r="B194" s="9">
        <f>IF(OR(Inputs!$F$6=TRUE,Inputs!$F$6="TRUE",Inputs!$F$6=1),(Inputs!$H$6+Inputs!$L$6*(((Inputs!$I$6+(((A194)+1)/2)*(Inputs!$J$6-Inputs!$I$6)))/Inputs!$K$6)^2),NA())</f>
        <v>401.44</v>
      </c>
      <c r="C194" s="9">
        <f>IF(OR(Inputs!$F$7=TRUE,Inputs!$F$7="TRUE",Inputs!$F$7=1),(Inputs!$H$7+Inputs!$L$7*(((Inputs!$I$7+(((A194)+1)/2)*(Inputs!$J$7-Inputs!$I$7)))/Inputs!$K$7)^2),NA())</f>
        <v>166.4</v>
      </c>
      <c r="D194" s="9">
        <f>IF(OR(Inputs!$F$8=TRUE,Inputs!$F$8="TRUE",Inputs!$F$8=1),(Inputs!$H$8+Inputs!$L$8*(((Inputs!$I$8+(((A194)+1)/2)*(Inputs!$J$8-Inputs!$I$8)))/Inputs!$K$8)^2),NA())</f>
        <v>382.4</v>
      </c>
      <c r="E194" s="9">
        <f>IF(OR(Inputs!$F$9=TRUE,Inputs!$F$9="TRUE",Inputs!$F$9=1),(Inputs!$H$9+Inputs!$L$9*(((Inputs!$I$9+(((A194)+1)/2)*(Inputs!$J$9-Inputs!$I$9)))/Inputs!$K$9)^2),NA())</f>
        <v>376</v>
      </c>
      <c r="F194" s="10"/>
      <c r="G194" s="9">
        <f t="shared" ref="G194:G242" si="18">A194</f>
        <v>0.6</v>
      </c>
      <c r="H194" s="9">
        <f>IF(OR(Inputs!$F$6=TRUE,Inputs!$F$6="TRUE",Inputs!$F$6=1),(((SQRT(((Inputs!$I$6+(((A194)+1)/2)*(Inputs!$J$6-Inputs!$I$6)))^2+Inputs!$C$6^2+((Inputs!$H$6+Inputs!$L$6*(((Inputs!$I$6+(((A194)+1)/2)*(Inputs!$J$6-Inputs!$I$6)))/Inputs!$K$6)^2))^2))-((Inputs!$H$6+Inputs!$L$6*(((Inputs!$I$6+(((A194)+1)/2)*(Inputs!$J$6-Inputs!$I$6)))/Inputs!$K$6)^2)))*1000/Inputs!$C$12),NA())</f>
        <v>1340.1957716827169</v>
      </c>
      <c r="I194" s="9">
        <f>IF(OR(Inputs!$F$7=TRUE,Inputs!$F$7="TRUE",Inputs!$F$7=1),(((SQRT(((Inputs!$I$7+(((A194)+1)/2)*(Inputs!$J$7-Inputs!$I$7)))^2+Inputs!$C$6^2+((Inputs!$H$7+Inputs!$L$7*(((Inputs!$I$7+(((A194)+1)/2)*(Inputs!$J$7-Inputs!$I$7)))/Inputs!$K$7)^2))^2))-((Inputs!$H$7+Inputs!$L$7*(((Inputs!$I$7+(((A194)+1)/2)*(Inputs!$J$7-Inputs!$I$7)))/Inputs!$K$7)^2)))*1000/Inputs!$C$12),NA())</f>
        <v>71185.860831581143</v>
      </c>
      <c r="J194" s="9">
        <f>IF(OR(Inputs!$F$8=TRUE,Inputs!$F$8="TRUE",Inputs!$F$8=1),(((SQRT(((Inputs!$I$8+(((A194)+1)/2)*(Inputs!$J$8-Inputs!$I$8)))^2+Inputs!$C$6^2+((Inputs!$H$8+Inputs!$L$8*(((Inputs!$I$8+(((A194)+1)/2)*(Inputs!$J$8-Inputs!$I$8)))/Inputs!$K$8)^2))^2))-((Inputs!$H$8+Inputs!$L$8*(((Inputs!$I$8+(((A194)+1)/2)*(Inputs!$J$8-Inputs!$I$8)))/Inputs!$K$8)^2)))*1000/Inputs!$C$12),NA())</f>
        <v>130230.71936360429</v>
      </c>
      <c r="K194" s="9">
        <f>IF(OR(Inputs!$F$9=TRUE,Inputs!$F$9="TRUE",Inputs!$F$9=1),(((SQRT(((Inputs!$I$9+(((A194)+1)/2)*(Inputs!$J$9-Inputs!$I$9)))^2+Inputs!$C$6^2+((Inputs!$H$9+Inputs!$L$9*(((Inputs!$I$9+(((A194)+1)/2)*(Inputs!$J$9-Inputs!$I$9)))/Inputs!$K$9)^2))^2))-((Inputs!$H$9+Inputs!$L$9*(((Inputs!$I$9+(((A194)+1)/2)*(Inputs!$J$9-Inputs!$I$9)))/Inputs!$K$9)^2)))*1000/Inputs!$C$12),NA())</f>
        <v>131599.25361632076</v>
      </c>
      <c r="L194" s="10"/>
      <c r="M194" s="9">
        <f t="shared" ref="M194:M242" si="19">A194</f>
        <v>0.6</v>
      </c>
      <c r="N194" s="9">
        <f>IF(OR(Inputs!$F$6=TRUE,Inputs!$F$6="TRUE",Inputs!$F$6=1),(-2*((1000*((((Inputs!$I$6+(((A194)+1)/2)*(Inputs!$J$6-Inputs!$I$6)))*Inputs!$C$11+((Inputs!$H$6+Inputs!$L$6*(((Inputs!$I$6+(((A194)+1)/2)*(Inputs!$J$6-Inputs!$I$6)))/Inputs!$K$6)^2))*((2*Inputs!$L$6*((Inputs!$I$6+(((A194)+1)/2)*(Inputs!$J$6-Inputs!$I$6)))/(Inputs!$K$6^2)*Inputs!$C$11)))/(SQRT(((Inputs!$I$6+(((A194)+1)/2)*(Inputs!$J$6-Inputs!$I$6)))^2+Inputs!$C$6^2+((Inputs!$H$6+Inputs!$L$6*(((Inputs!$I$6+(((A194)+1)/2)*(Inputs!$J$6-Inputs!$I$6)))/Inputs!$K$6)^2))^2)))))/Inputs!$C$13),NA())</f>
        <v>-269.87970526368542</v>
      </c>
      <c r="O194" s="9">
        <f>IF(OR(Inputs!$F$7=TRUE,Inputs!$F$7="TRUE",Inputs!$F$7=1),(-2*((1000*((((Inputs!$I$7+(((A194)+1)/2)*(Inputs!$J$7-Inputs!$I$7)))*Inputs!$C$11+((Inputs!$H$7+Inputs!$L$7*(((Inputs!$I$7+(((A194)+1)/2)*(Inputs!$J$7-Inputs!$I$7)))/Inputs!$K$7)^2))*((2*Inputs!$L$7*((Inputs!$I$7+(((A194)+1)/2)*(Inputs!$J$7-Inputs!$I$7)))/(Inputs!$K$7^2)*Inputs!$C$11)))/(SQRT(((Inputs!$I$7+(((A194)+1)/2)*(Inputs!$J$7-Inputs!$I$7)))^2+Inputs!$C$6^2+((Inputs!$H$7+Inputs!$L$7*(((Inputs!$I$7+(((A194)+1)/2)*(Inputs!$J$7-Inputs!$I$7)))/Inputs!$K$7)^2))^2)))))/Inputs!$C$13),NA())</f>
        <v>-2304.7009035619312</v>
      </c>
      <c r="P194" s="9">
        <f>IF(OR(Inputs!$F$8=TRUE,Inputs!$F$8="TRUE",Inputs!$F$8=1),(-2*((1000*((((Inputs!$I$8+(((A194)+1)/2)*(Inputs!$J$8-Inputs!$I$8)))*Inputs!$C$11+((Inputs!$H$8+Inputs!$L$8*(((Inputs!$I$8+(((A194)+1)/2)*(Inputs!$J$8-Inputs!$I$8)))/Inputs!$K$8)^2))*((2*Inputs!$L$8*((Inputs!$I$8+(((A194)+1)/2)*(Inputs!$J$8-Inputs!$I$8)))/(Inputs!$K$8^2)*Inputs!$C$11)))/(SQRT(((Inputs!$I$8+(((A194)+1)/2)*(Inputs!$J$8-Inputs!$I$8)))^2+Inputs!$C$6^2+((Inputs!$H$8+Inputs!$L$8*(((Inputs!$I$8+(((A194)+1)/2)*(Inputs!$J$8-Inputs!$I$8)))/Inputs!$K$8)^2))^2)))))/Inputs!$C$13),NA())</f>
        <v>-2692.2983474369348</v>
      </c>
      <c r="Q194" s="9">
        <f>IF(OR(Inputs!$F$9=TRUE,Inputs!$F$9="TRUE",Inputs!$F$9=1),(-2*((1000*((((Inputs!$I$9+(((A194)+1)/2)*(Inputs!$J$9-Inputs!$I$9)))*Inputs!$C$11+((Inputs!$H$9+Inputs!$L$9*(((Inputs!$I$9+(((A194)+1)/2)*(Inputs!$J$9-Inputs!$I$9)))/Inputs!$K$9)^2))*((2*Inputs!$L$9*((Inputs!$I$9+(((A194)+1)/2)*(Inputs!$J$9-Inputs!$I$9)))/(Inputs!$K$9^2)*Inputs!$C$11)))/(SQRT(((Inputs!$I$9+(((A194)+1)/2)*(Inputs!$J$9-Inputs!$I$9)))^2+Inputs!$C$6^2+((Inputs!$H$9+Inputs!$L$9*(((Inputs!$I$9+(((A194)+1)/2)*(Inputs!$J$9-Inputs!$I$9)))/Inputs!$K$9)^2))^2)))))/Inputs!$C$13),NA())</f>
        <v>-2700.2851094944162</v>
      </c>
      <c r="R194" s="10"/>
      <c r="S194" s="9">
        <f t="shared" ref="S194:S242" si="20">A194</f>
        <v>0.6</v>
      </c>
      <c r="T194" s="9">
        <f>(Inputs!$I$6+(((A194)+1)/2)*(Inputs!$J$6-Inputs!$I$6))</f>
        <v>36</v>
      </c>
      <c r="U194" s="9">
        <f>(Inputs!$I$7+(((A194)+1)/2)*(Inputs!$J$7-Inputs!$I$7))</f>
        <v>240</v>
      </c>
      <c r="V194" s="9">
        <f>(Inputs!$I$8+(((A194)+1)/2)*(Inputs!$J$8-Inputs!$I$8))</f>
        <v>480</v>
      </c>
      <c r="W194" s="9">
        <f>(Inputs!$I$9+(((A194)+1)/2)*(Inputs!$J$9-Inputs!$I$9))</f>
        <v>480</v>
      </c>
      <c r="X194" s="10"/>
      <c r="Y194" s="9">
        <f t="shared" ref="Y194:Y242" si="21">A194</f>
        <v>0.6</v>
      </c>
      <c r="Z194" s="9">
        <f>(Inputs!$H$6+Inputs!$L$6*(((Inputs!$I$6+(((A194)+1)/2)*(Inputs!$J$6-Inputs!$I$6)))/Inputs!$K$6)^2)</f>
        <v>401.44</v>
      </c>
      <c r="AA194" s="9">
        <f>(Inputs!$H$7+Inputs!$L$7*(((Inputs!$I$7+(((A194)+1)/2)*(Inputs!$J$7-Inputs!$I$7)))/Inputs!$K$7)^2)</f>
        <v>166.4</v>
      </c>
      <c r="AB194" s="9">
        <f>(Inputs!$H$8+Inputs!$L$8*(((Inputs!$I$8+(((A194)+1)/2)*(Inputs!$J$8-Inputs!$I$8)))/Inputs!$K$8)^2)</f>
        <v>382.4</v>
      </c>
      <c r="AC194" s="9">
        <f>(Inputs!$H$9+Inputs!$L$9*(((Inputs!$I$9+(((A194)+1)/2)*(Inputs!$J$9-Inputs!$I$9)))/Inputs!$K$9)^2)</f>
        <v>376</v>
      </c>
      <c r="AD194" s="10"/>
      <c r="AE194" s="9">
        <f t="shared" ref="AE194:AE242" si="22">A194</f>
        <v>0.6</v>
      </c>
      <c r="AF194" s="9">
        <f>(((SQRT(((Inputs!$I$6+(((A194)+1)/2)*(Inputs!$J$6-Inputs!$I$6)))^2+Inputs!$C$6^2+((Inputs!$H$6+Inputs!$L$6*(((Inputs!$I$6+(((A194)+1)/2)*(Inputs!$J$6-Inputs!$I$6)))/Inputs!$K$6)^2))^2))-((Inputs!$H$6+Inputs!$L$6*(((Inputs!$I$6+(((A194)+1)/2)*(Inputs!$J$6-Inputs!$I$6)))/Inputs!$K$6)^2)))*1000/Inputs!$C$12)</f>
        <v>1340.1957716827169</v>
      </c>
      <c r="AG194" s="9">
        <f>(((SQRT(((Inputs!$I$7+(((A194)+1)/2)*(Inputs!$J$7-Inputs!$I$7)))^2+Inputs!$C$6^2+((Inputs!$H$7+Inputs!$L$7*(((Inputs!$I$7+(((A194)+1)/2)*(Inputs!$J$7-Inputs!$I$7)))/Inputs!$K$7)^2))^2))-((Inputs!$H$7+Inputs!$L$7*(((Inputs!$I$7+(((A194)+1)/2)*(Inputs!$J$7-Inputs!$I$7)))/Inputs!$K$7)^2)))*1000/Inputs!$C$12)</f>
        <v>71185.860831581143</v>
      </c>
      <c r="AH194" s="9">
        <f>(((SQRT(((Inputs!$I$8+(((A194)+1)/2)*(Inputs!$J$8-Inputs!$I$8)))^2+Inputs!$C$6^2+((Inputs!$H$8+Inputs!$L$8*(((Inputs!$I$8+(((A194)+1)/2)*(Inputs!$J$8-Inputs!$I$8)))/Inputs!$K$8)^2))^2))-((Inputs!$H$8+Inputs!$L$8*(((Inputs!$I$8+(((A194)+1)/2)*(Inputs!$J$8-Inputs!$I$8)))/Inputs!$K$8)^2)))*1000/Inputs!$C$12)</f>
        <v>130230.71936360429</v>
      </c>
      <c r="AI194" s="9">
        <f>(((SQRT(((Inputs!$I$9+(((A194)+1)/2)*(Inputs!$J$9-Inputs!$I$9)))^2+Inputs!$C$6^2+((Inputs!$H$9+Inputs!$L$9*(((Inputs!$I$9+(((A194)+1)/2)*(Inputs!$J$9-Inputs!$I$9)))/Inputs!$K$9)^2))^2))-((Inputs!$H$9+Inputs!$L$9*(((Inputs!$I$9+(((A194)+1)/2)*(Inputs!$J$9-Inputs!$I$9)))/Inputs!$K$9)^2)))*1000/Inputs!$C$12)</f>
        <v>131599.25361632076</v>
      </c>
      <c r="AJ194" s="10"/>
      <c r="AK194" s="9">
        <f t="shared" ref="AK194:AK242" si="23">A194</f>
        <v>0.6</v>
      </c>
      <c r="AL194" s="9">
        <f>(-2*((1000*((((Inputs!$I$6+(((A194)+1)/2)*(Inputs!$J$6-Inputs!$I$6)))*Inputs!$C$11+((Inputs!$H$6+Inputs!$L$6*(((Inputs!$I$6+(((A194)+1)/2)*(Inputs!$J$6-Inputs!$I$6)))/Inputs!$K$6)^2))*((2*Inputs!$L$6*((Inputs!$I$6+(((A194)+1)/2)*(Inputs!$J$6-Inputs!$I$6)))/(Inputs!$K$6^2)*Inputs!$C$11)))/(SQRT(((Inputs!$I$6+(((A194)+1)/2)*(Inputs!$J$6-Inputs!$I$6)))^2+Inputs!$C$6^2+((Inputs!$H$6+Inputs!$L$6*(((Inputs!$I$6+(((A194)+1)/2)*(Inputs!$J$6-Inputs!$I$6)))/Inputs!$K$6)^2))^2)))))/Inputs!$C$13)</f>
        <v>-269.87970526368542</v>
      </c>
      <c r="AM194" s="9">
        <f>(-2*((1000*((((Inputs!$I$7+(((A194)+1)/2)*(Inputs!$J$7-Inputs!$I$7)))*Inputs!$C$11+((Inputs!$H$7+Inputs!$L$7*(((Inputs!$I$7+(((A194)+1)/2)*(Inputs!$J$7-Inputs!$I$7)))/Inputs!$K$7)^2))*((2*Inputs!$L$7*((Inputs!$I$7+(((A194)+1)/2)*(Inputs!$J$7-Inputs!$I$7)))/(Inputs!$K$7^2)*Inputs!$C$11)))/(SQRT(((Inputs!$I$7+(((A194)+1)/2)*(Inputs!$J$7-Inputs!$I$7)))^2+Inputs!$C$6^2+((Inputs!$H$7+Inputs!$L$7*(((Inputs!$I$7+(((A194)+1)/2)*(Inputs!$J$7-Inputs!$I$7)))/Inputs!$K$7)^2))^2)))))/Inputs!$C$13)</f>
        <v>-2304.7009035619312</v>
      </c>
      <c r="AN194" s="9">
        <f>(-2*((1000*((((Inputs!$I$8+(((A194)+1)/2)*(Inputs!$J$8-Inputs!$I$8)))*Inputs!$C$11+((Inputs!$H$8+Inputs!$L$8*(((Inputs!$I$8+(((A194)+1)/2)*(Inputs!$J$8-Inputs!$I$8)))/Inputs!$K$8)^2))*((2*Inputs!$L$8*((Inputs!$I$8+(((A194)+1)/2)*(Inputs!$J$8-Inputs!$I$8)))/(Inputs!$K$8^2)*Inputs!$C$11)))/(SQRT(((Inputs!$I$8+(((A194)+1)/2)*(Inputs!$J$8-Inputs!$I$8)))^2+Inputs!$C$6^2+((Inputs!$H$8+Inputs!$L$8*(((Inputs!$I$8+(((A194)+1)/2)*(Inputs!$J$8-Inputs!$I$8)))/Inputs!$K$8)^2))^2)))))/Inputs!$C$13)</f>
        <v>-2692.2983474369348</v>
      </c>
      <c r="AO194" s="9">
        <f>(-2*((1000*((((Inputs!$I$9+(((A194)+1)/2)*(Inputs!$J$9-Inputs!$I$9)))*Inputs!$C$11+((Inputs!$H$9+Inputs!$L$9*(((Inputs!$I$9+(((A194)+1)/2)*(Inputs!$J$9-Inputs!$I$9)))/Inputs!$K$9)^2))*((2*Inputs!$L$9*((Inputs!$I$9+(((A194)+1)/2)*(Inputs!$J$9-Inputs!$I$9)))/(Inputs!$K$9^2)*Inputs!$C$11)))/(SQRT(((Inputs!$I$9+(((A194)+1)/2)*(Inputs!$J$9-Inputs!$I$9)))^2+Inputs!$C$6^2+((Inputs!$H$9+Inputs!$L$9*(((Inputs!$I$9+(((A194)+1)/2)*(Inputs!$J$9-Inputs!$I$9)))/Inputs!$K$9)^2))^2)))))/Inputs!$C$13)</f>
        <v>-2700.2851094944162</v>
      </c>
    </row>
    <row r="195" spans="1:41">
      <c r="A195" s="9">
        <f>ROUND(-1+193*2/240,3)</f>
        <v>0.60799999999999998</v>
      </c>
      <c r="B195" s="9">
        <f>IF(OR(Inputs!$F$6=TRUE,Inputs!$F$6="TRUE",Inputs!$F$6=1),(Inputs!$H$6+Inputs!$L$6*(((Inputs!$I$6+(((A195)+1)/2)*(Inputs!$J$6-Inputs!$I$6)))/Inputs!$K$6)^2),NA())</f>
        <v>401.478656</v>
      </c>
      <c r="C195" s="9">
        <f>IF(OR(Inputs!$F$7=TRUE,Inputs!$F$7="TRUE",Inputs!$F$7=1),(Inputs!$H$7+Inputs!$L$7*(((Inputs!$I$7+(((A195)+1)/2)*(Inputs!$J$7-Inputs!$I$7)))/Inputs!$K$7)^2),NA())</f>
        <v>169.92736000000005</v>
      </c>
      <c r="D195" s="9">
        <f>IF(OR(Inputs!$F$8=TRUE,Inputs!$F$8="TRUE",Inputs!$F$8=1),(Inputs!$H$8+Inputs!$L$8*(((Inputs!$I$8+(((A195)+1)/2)*(Inputs!$J$8-Inputs!$I$8)))/Inputs!$K$8)^2),NA())</f>
        <v>391.72576000000009</v>
      </c>
      <c r="E195" s="9">
        <f>IF(OR(Inputs!$F$9=TRUE,Inputs!$F$9="TRUE",Inputs!$F$9=1),(Inputs!$H$9+Inputs!$L$9*(((Inputs!$I$9+(((A195)+1)/2)*(Inputs!$J$9-Inputs!$I$9)))/Inputs!$K$9)^2),NA())</f>
        <v>385.4224000000001</v>
      </c>
      <c r="F195" s="10"/>
      <c r="G195" s="9">
        <f t="shared" si="18"/>
        <v>0.60799999999999998</v>
      </c>
      <c r="H195" s="9">
        <f>IF(OR(Inputs!$F$6=TRUE,Inputs!$F$6="TRUE",Inputs!$F$6=1),(((SQRT(((Inputs!$I$6+(((A195)+1)/2)*(Inputs!$J$6-Inputs!$I$6)))^2+Inputs!$C$6^2+((Inputs!$H$6+Inputs!$L$6*(((Inputs!$I$6+(((A195)+1)/2)*(Inputs!$J$6-Inputs!$I$6)))/Inputs!$K$6)^2))^2))-((Inputs!$H$6+Inputs!$L$6*(((Inputs!$I$6+(((A195)+1)/2)*(Inputs!$J$6-Inputs!$I$6)))/Inputs!$K$6)^2)))*1000/Inputs!$C$12),NA())</f>
        <v>1364.2639163684019</v>
      </c>
      <c r="I195" s="9">
        <f>IF(OR(Inputs!$F$7=TRUE,Inputs!$F$7="TRUE",Inputs!$F$7=1),(((SQRT(((Inputs!$I$7+(((A195)+1)/2)*(Inputs!$J$7-Inputs!$I$7)))^2+Inputs!$C$6^2+((Inputs!$H$7+Inputs!$L$7*(((Inputs!$I$7+(((A195)+1)/2)*(Inputs!$J$7-Inputs!$I$7)))/Inputs!$K$7)^2))^2))-((Inputs!$H$7+Inputs!$L$7*(((Inputs!$I$7+(((A195)+1)/2)*(Inputs!$J$7-Inputs!$I$7)))/Inputs!$K$7)^2)))*1000/Inputs!$C$12),NA())</f>
        <v>71802.43878914848</v>
      </c>
      <c r="J195" s="9">
        <f>IF(OR(Inputs!$F$8=TRUE,Inputs!$F$8="TRUE",Inputs!$F$8=1),(((SQRT(((Inputs!$I$8+(((A195)+1)/2)*(Inputs!$J$8-Inputs!$I$8)))^2+Inputs!$C$6^2+((Inputs!$H$8+Inputs!$L$8*(((Inputs!$I$8+(((A195)+1)/2)*(Inputs!$J$8-Inputs!$I$8)))/Inputs!$K$8)^2))^2))-((Inputs!$H$8+Inputs!$L$8*(((Inputs!$I$8+(((A195)+1)/2)*(Inputs!$J$8-Inputs!$I$8)))/Inputs!$K$8)^2)))*1000/Inputs!$C$12),NA())</f>
        <v>131068.23833996318</v>
      </c>
      <c r="K195" s="9">
        <f>IF(OR(Inputs!$F$9=TRUE,Inputs!$F$9="TRUE",Inputs!$F$9=1),(((SQRT(((Inputs!$I$9+(((A195)+1)/2)*(Inputs!$J$9-Inputs!$I$9)))^2+Inputs!$C$6^2+((Inputs!$H$9+Inputs!$L$9*(((Inputs!$I$9+(((A195)+1)/2)*(Inputs!$J$9-Inputs!$I$9)))/Inputs!$K$9)^2))^2))-((Inputs!$H$9+Inputs!$L$9*(((Inputs!$I$9+(((A195)+1)/2)*(Inputs!$J$9-Inputs!$I$9)))/Inputs!$K$9)^2)))*1000/Inputs!$C$12),NA())</f>
        <v>132400.9645476228</v>
      </c>
      <c r="L195" s="10"/>
      <c r="M195" s="9">
        <f t="shared" si="19"/>
        <v>0.60799999999999998</v>
      </c>
      <c r="N195" s="9">
        <f>IF(OR(Inputs!$F$6=TRUE,Inputs!$F$6="TRUE",Inputs!$F$6=1),(-2*((1000*((((Inputs!$I$6+(((A195)+1)/2)*(Inputs!$J$6-Inputs!$I$6)))*Inputs!$C$11+((Inputs!$H$6+Inputs!$L$6*(((Inputs!$I$6+(((A195)+1)/2)*(Inputs!$J$6-Inputs!$I$6)))/Inputs!$K$6)^2))*((2*Inputs!$L$6*((Inputs!$I$6+(((A195)+1)/2)*(Inputs!$J$6-Inputs!$I$6)))/(Inputs!$K$6^2)*Inputs!$C$11)))/(SQRT(((Inputs!$I$6+(((A195)+1)/2)*(Inputs!$J$6-Inputs!$I$6)))^2+Inputs!$C$6^2+((Inputs!$H$6+Inputs!$L$6*(((Inputs!$I$6+(((A195)+1)/2)*(Inputs!$J$6-Inputs!$I$6)))/Inputs!$K$6)^2))^2)))))/Inputs!$C$13),NA())</f>
        <v>-273.43533459961702</v>
      </c>
      <c r="O195" s="9">
        <f>IF(OR(Inputs!$F$7=TRUE,Inputs!$F$7="TRUE",Inputs!$F$7=1),(-2*((1000*((((Inputs!$I$7+(((A195)+1)/2)*(Inputs!$J$7-Inputs!$I$7)))*Inputs!$C$11+((Inputs!$H$7+Inputs!$L$7*(((Inputs!$I$7+(((A195)+1)/2)*(Inputs!$J$7-Inputs!$I$7)))/Inputs!$K$7)^2))*((2*Inputs!$L$7*((Inputs!$I$7+(((A195)+1)/2)*(Inputs!$J$7-Inputs!$I$7)))/(Inputs!$K$7^2)*Inputs!$C$11)))/(SQRT(((Inputs!$I$7+(((A195)+1)/2)*(Inputs!$J$7-Inputs!$I$7)))^2+Inputs!$C$6^2+((Inputs!$H$7+Inputs!$L$7*(((Inputs!$I$7+(((A195)+1)/2)*(Inputs!$J$7-Inputs!$I$7)))/Inputs!$K$7)^2))^2)))))/Inputs!$C$13),NA())</f>
        <v>-2320.1861094445112</v>
      </c>
      <c r="P195" s="9">
        <f>IF(OR(Inputs!$F$8=TRUE,Inputs!$F$8="TRUE",Inputs!$F$8=1),(-2*((1000*((((Inputs!$I$8+(((A195)+1)/2)*(Inputs!$J$8-Inputs!$I$8)))*Inputs!$C$11+((Inputs!$H$8+Inputs!$L$8*(((Inputs!$I$8+(((A195)+1)/2)*(Inputs!$J$8-Inputs!$I$8)))/Inputs!$K$8)^2))*((2*Inputs!$L$8*((Inputs!$I$8+(((A195)+1)/2)*(Inputs!$J$8-Inputs!$I$8)))/(Inputs!$K$8^2)*Inputs!$C$11)))/(SQRT(((Inputs!$I$8+(((A195)+1)/2)*(Inputs!$J$8-Inputs!$I$8)))^2+Inputs!$C$6^2+((Inputs!$H$8+Inputs!$L$8*(((Inputs!$I$8+(((A195)+1)/2)*(Inputs!$J$8-Inputs!$I$8)))/Inputs!$K$8)^2))^2)))))/Inputs!$C$13),NA())</f>
        <v>-2715.9990569675015</v>
      </c>
      <c r="Q195" s="9">
        <f>IF(OR(Inputs!$F$9=TRUE,Inputs!$F$9="TRUE",Inputs!$F$9=1),(-2*((1000*((((Inputs!$I$9+(((A195)+1)/2)*(Inputs!$J$9-Inputs!$I$9)))*Inputs!$C$11+((Inputs!$H$9+Inputs!$L$9*(((Inputs!$I$9+(((A195)+1)/2)*(Inputs!$J$9-Inputs!$I$9)))/Inputs!$K$9)^2))*((2*Inputs!$L$9*((Inputs!$I$9+(((A195)+1)/2)*(Inputs!$J$9-Inputs!$I$9)))/(Inputs!$K$9^2)*Inputs!$C$11)))/(SQRT(((Inputs!$I$9+(((A195)+1)/2)*(Inputs!$J$9-Inputs!$I$9)))^2+Inputs!$C$6^2+((Inputs!$H$9+Inputs!$L$9*(((Inputs!$I$9+(((A195)+1)/2)*(Inputs!$J$9-Inputs!$I$9)))/Inputs!$K$9)^2))^2)))))/Inputs!$C$13),NA())</f>
        <v>-2724.4633299916436</v>
      </c>
      <c r="R195" s="10"/>
      <c r="S195" s="9">
        <f t="shared" si="20"/>
        <v>0.60799999999999998</v>
      </c>
      <c r="T195" s="9">
        <f>(Inputs!$I$6+(((A195)+1)/2)*(Inputs!$J$6-Inputs!$I$6))</f>
        <v>36.480000000000004</v>
      </c>
      <c r="U195" s="9">
        <f>(Inputs!$I$7+(((A195)+1)/2)*(Inputs!$J$7-Inputs!$I$7))</f>
        <v>243.20000000000005</v>
      </c>
      <c r="V195" s="9">
        <f>(Inputs!$I$8+(((A195)+1)/2)*(Inputs!$J$8-Inputs!$I$8))</f>
        <v>486.40000000000009</v>
      </c>
      <c r="W195" s="9">
        <f>(Inputs!$I$9+(((A195)+1)/2)*(Inputs!$J$9-Inputs!$I$9))</f>
        <v>486.40000000000009</v>
      </c>
      <c r="X195" s="10"/>
      <c r="Y195" s="9">
        <f t="shared" si="21"/>
        <v>0.60799999999999998</v>
      </c>
      <c r="Z195" s="9">
        <f>(Inputs!$H$6+Inputs!$L$6*(((Inputs!$I$6+(((A195)+1)/2)*(Inputs!$J$6-Inputs!$I$6)))/Inputs!$K$6)^2)</f>
        <v>401.478656</v>
      </c>
      <c r="AA195" s="9">
        <f>(Inputs!$H$7+Inputs!$L$7*(((Inputs!$I$7+(((A195)+1)/2)*(Inputs!$J$7-Inputs!$I$7)))/Inputs!$K$7)^2)</f>
        <v>169.92736000000005</v>
      </c>
      <c r="AB195" s="9">
        <f>(Inputs!$H$8+Inputs!$L$8*(((Inputs!$I$8+(((A195)+1)/2)*(Inputs!$J$8-Inputs!$I$8)))/Inputs!$K$8)^2)</f>
        <v>391.72576000000009</v>
      </c>
      <c r="AC195" s="9">
        <f>(Inputs!$H$9+Inputs!$L$9*(((Inputs!$I$9+(((A195)+1)/2)*(Inputs!$J$9-Inputs!$I$9)))/Inputs!$K$9)^2)</f>
        <v>385.4224000000001</v>
      </c>
      <c r="AD195" s="10"/>
      <c r="AE195" s="9">
        <f t="shared" si="22"/>
        <v>0.60799999999999998</v>
      </c>
      <c r="AF195" s="9">
        <f>(((SQRT(((Inputs!$I$6+(((A195)+1)/2)*(Inputs!$J$6-Inputs!$I$6)))^2+Inputs!$C$6^2+((Inputs!$H$6+Inputs!$L$6*(((Inputs!$I$6+(((A195)+1)/2)*(Inputs!$J$6-Inputs!$I$6)))/Inputs!$K$6)^2))^2))-((Inputs!$H$6+Inputs!$L$6*(((Inputs!$I$6+(((A195)+1)/2)*(Inputs!$J$6-Inputs!$I$6)))/Inputs!$K$6)^2)))*1000/Inputs!$C$12)</f>
        <v>1364.2639163684019</v>
      </c>
      <c r="AG195" s="9">
        <f>(((SQRT(((Inputs!$I$7+(((A195)+1)/2)*(Inputs!$J$7-Inputs!$I$7)))^2+Inputs!$C$6^2+((Inputs!$H$7+Inputs!$L$7*(((Inputs!$I$7+(((A195)+1)/2)*(Inputs!$J$7-Inputs!$I$7)))/Inputs!$K$7)^2))^2))-((Inputs!$H$7+Inputs!$L$7*(((Inputs!$I$7+(((A195)+1)/2)*(Inputs!$J$7-Inputs!$I$7)))/Inputs!$K$7)^2)))*1000/Inputs!$C$12)</f>
        <v>71802.43878914848</v>
      </c>
      <c r="AH195" s="9">
        <f>(((SQRT(((Inputs!$I$8+(((A195)+1)/2)*(Inputs!$J$8-Inputs!$I$8)))^2+Inputs!$C$6^2+((Inputs!$H$8+Inputs!$L$8*(((Inputs!$I$8+(((A195)+1)/2)*(Inputs!$J$8-Inputs!$I$8)))/Inputs!$K$8)^2))^2))-((Inputs!$H$8+Inputs!$L$8*(((Inputs!$I$8+(((A195)+1)/2)*(Inputs!$J$8-Inputs!$I$8)))/Inputs!$K$8)^2)))*1000/Inputs!$C$12)</f>
        <v>131068.23833996318</v>
      </c>
      <c r="AI195" s="9">
        <f>(((SQRT(((Inputs!$I$9+(((A195)+1)/2)*(Inputs!$J$9-Inputs!$I$9)))^2+Inputs!$C$6^2+((Inputs!$H$9+Inputs!$L$9*(((Inputs!$I$9+(((A195)+1)/2)*(Inputs!$J$9-Inputs!$I$9)))/Inputs!$K$9)^2))^2))-((Inputs!$H$9+Inputs!$L$9*(((Inputs!$I$9+(((A195)+1)/2)*(Inputs!$J$9-Inputs!$I$9)))/Inputs!$K$9)^2)))*1000/Inputs!$C$12)</f>
        <v>132400.9645476228</v>
      </c>
      <c r="AJ195" s="10"/>
      <c r="AK195" s="9">
        <f t="shared" si="23"/>
        <v>0.60799999999999998</v>
      </c>
      <c r="AL195" s="9">
        <f>(-2*((1000*((((Inputs!$I$6+(((A195)+1)/2)*(Inputs!$J$6-Inputs!$I$6)))*Inputs!$C$11+((Inputs!$H$6+Inputs!$L$6*(((Inputs!$I$6+(((A195)+1)/2)*(Inputs!$J$6-Inputs!$I$6)))/Inputs!$K$6)^2))*((2*Inputs!$L$6*((Inputs!$I$6+(((A195)+1)/2)*(Inputs!$J$6-Inputs!$I$6)))/(Inputs!$K$6^2)*Inputs!$C$11)))/(SQRT(((Inputs!$I$6+(((A195)+1)/2)*(Inputs!$J$6-Inputs!$I$6)))^2+Inputs!$C$6^2+((Inputs!$H$6+Inputs!$L$6*(((Inputs!$I$6+(((A195)+1)/2)*(Inputs!$J$6-Inputs!$I$6)))/Inputs!$K$6)^2))^2)))))/Inputs!$C$13)</f>
        <v>-273.43533459961702</v>
      </c>
      <c r="AM195" s="9">
        <f>(-2*((1000*((((Inputs!$I$7+(((A195)+1)/2)*(Inputs!$J$7-Inputs!$I$7)))*Inputs!$C$11+((Inputs!$H$7+Inputs!$L$7*(((Inputs!$I$7+(((A195)+1)/2)*(Inputs!$J$7-Inputs!$I$7)))/Inputs!$K$7)^2))*((2*Inputs!$L$7*((Inputs!$I$7+(((A195)+1)/2)*(Inputs!$J$7-Inputs!$I$7)))/(Inputs!$K$7^2)*Inputs!$C$11)))/(SQRT(((Inputs!$I$7+(((A195)+1)/2)*(Inputs!$J$7-Inputs!$I$7)))^2+Inputs!$C$6^2+((Inputs!$H$7+Inputs!$L$7*(((Inputs!$I$7+(((A195)+1)/2)*(Inputs!$J$7-Inputs!$I$7)))/Inputs!$K$7)^2))^2)))))/Inputs!$C$13)</f>
        <v>-2320.1861094445112</v>
      </c>
      <c r="AN195" s="9">
        <f>(-2*((1000*((((Inputs!$I$8+(((A195)+1)/2)*(Inputs!$J$8-Inputs!$I$8)))*Inputs!$C$11+((Inputs!$H$8+Inputs!$L$8*(((Inputs!$I$8+(((A195)+1)/2)*(Inputs!$J$8-Inputs!$I$8)))/Inputs!$K$8)^2))*((2*Inputs!$L$8*((Inputs!$I$8+(((A195)+1)/2)*(Inputs!$J$8-Inputs!$I$8)))/(Inputs!$K$8^2)*Inputs!$C$11)))/(SQRT(((Inputs!$I$8+(((A195)+1)/2)*(Inputs!$J$8-Inputs!$I$8)))^2+Inputs!$C$6^2+((Inputs!$H$8+Inputs!$L$8*(((Inputs!$I$8+(((A195)+1)/2)*(Inputs!$J$8-Inputs!$I$8)))/Inputs!$K$8)^2))^2)))))/Inputs!$C$13)</f>
        <v>-2715.9990569675015</v>
      </c>
      <c r="AO195" s="9">
        <f>(-2*((1000*((((Inputs!$I$9+(((A195)+1)/2)*(Inputs!$J$9-Inputs!$I$9)))*Inputs!$C$11+((Inputs!$H$9+Inputs!$L$9*(((Inputs!$I$9+(((A195)+1)/2)*(Inputs!$J$9-Inputs!$I$9)))/Inputs!$K$9)^2))*((2*Inputs!$L$9*((Inputs!$I$9+(((A195)+1)/2)*(Inputs!$J$9-Inputs!$I$9)))/(Inputs!$K$9^2)*Inputs!$C$11)))/(SQRT(((Inputs!$I$9+(((A195)+1)/2)*(Inputs!$J$9-Inputs!$I$9)))^2+Inputs!$C$6^2+((Inputs!$H$9+Inputs!$L$9*(((Inputs!$I$9+(((A195)+1)/2)*(Inputs!$J$9-Inputs!$I$9)))/Inputs!$K$9)^2))^2)))))/Inputs!$C$13)</f>
        <v>-2724.4633299916436</v>
      </c>
    </row>
    <row r="196" spans="1:41">
      <c r="A196" s="9">
        <f>ROUND(-1+194*2/240,3)</f>
        <v>0.61699999999999999</v>
      </c>
      <c r="B196" s="9">
        <f>IF(OR(Inputs!$F$6=TRUE,Inputs!$F$6="TRUE",Inputs!$F$6=1),(Inputs!$H$6+Inputs!$L$6*(((Inputs!$I$6+(((A196)+1)/2)*(Inputs!$J$6-Inputs!$I$6)))/Inputs!$K$6)^2),NA())</f>
        <v>401.52275600000002</v>
      </c>
      <c r="C196" s="9">
        <f>IF(OR(Inputs!$F$7=TRUE,Inputs!$F$7="TRUE",Inputs!$F$7=1),(Inputs!$H$7+Inputs!$L$7*(((Inputs!$I$7+(((A196)+1)/2)*(Inputs!$J$7-Inputs!$I$7)))/Inputs!$K$7)^2),NA())</f>
        <v>173.95148499999993</v>
      </c>
      <c r="D196" s="9">
        <f>IF(OR(Inputs!$F$8=TRUE,Inputs!$F$8="TRUE",Inputs!$F$8=1),(Inputs!$H$8+Inputs!$L$8*(((Inputs!$I$8+(((A196)+1)/2)*(Inputs!$J$8-Inputs!$I$8)))/Inputs!$K$8)^2),NA())</f>
        <v>402.36488499999984</v>
      </c>
      <c r="E196" s="9">
        <f>IF(OR(Inputs!$F$9=TRUE,Inputs!$F$9="TRUE",Inputs!$F$9=1),(Inputs!$H$9+Inputs!$L$9*(((Inputs!$I$9+(((A196)+1)/2)*(Inputs!$J$9-Inputs!$I$9)))/Inputs!$K$9)^2),NA())</f>
        <v>396.17177499999985</v>
      </c>
      <c r="F196" s="10"/>
      <c r="G196" s="9">
        <f t="shared" si="18"/>
        <v>0.61699999999999999</v>
      </c>
      <c r="H196" s="9">
        <f>IF(OR(Inputs!$F$6=TRUE,Inputs!$F$6="TRUE",Inputs!$F$6=1),(((SQRT(((Inputs!$I$6+(((A196)+1)/2)*(Inputs!$J$6-Inputs!$I$6)))^2+Inputs!$C$6^2+((Inputs!$H$6+Inputs!$L$6*(((Inputs!$I$6+(((A196)+1)/2)*(Inputs!$J$6-Inputs!$I$6)))/Inputs!$K$6)^2))^2))-((Inputs!$H$6+Inputs!$L$6*(((Inputs!$I$6+(((A196)+1)/2)*(Inputs!$J$6-Inputs!$I$6)))/Inputs!$K$6)^2)))*1000/Inputs!$C$12),NA())</f>
        <v>1391.7128836880649</v>
      </c>
      <c r="I196" s="9">
        <f>IF(OR(Inputs!$F$7=TRUE,Inputs!$F$7="TRUE",Inputs!$F$7=1),(((SQRT(((Inputs!$I$7+(((A196)+1)/2)*(Inputs!$J$7-Inputs!$I$7)))^2+Inputs!$C$6^2+((Inputs!$H$7+Inputs!$L$7*(((Inputs!$I$7+(((A196)+1)/2)*(Inputs!$J$7-Inputs!$I$7)))/Inputs!$K$7)^2))^2))-((Inputs!$H$7+Inputs!$L$7*(((Inputs!$I$7+(((A196)+1)/2)*(Inputs!$J$7-Inputs!$I$7)))/Inputs!$K$7)^2)))*1000/Inputs!$C$12),NA())</f>
        <v>72485.592242333718</v>
      </c>
      <c r="J196" s="9">
        <f>IF(OR(Inputs!$F$8=TRUE,Inputs!$F$8="TRUE",Inputs!$F$8=1),(((SQRT(((Inputs!$I$8+(((A196)+1)/2)*(Inputs!$J$8-Inputs!$I$8)))^2+Inputs!$C$6^2+((Inputs!$H$8+Inputs!$L$8*(((Inputs!$I$8+(((A196)+1)/2)*(Inputs!$J$8-Inputs!$I$8)))/Inputs!$K$8)^2))^2))-((Inputs!$H$8+Inputs!$L$8*(((Inputs!$I$8+(((A196)+1)/2)*(Inputs!$J$8-Inputs!$I$8)))/Inputs!$K$8)^2)))*1000/Inputs!$C$12),NA())</f>
        <v>131991.38402040573</v>
      </c>
      <c r="K196" s="9">
        <f>IF(OR(Inputs!$F$9=TRUE,Inputs!$F$9="TRUE",Inputs!$F$9=1),(((SQRT(((Inputs!$I$9+(((A196)+1)/2)*(Inputs!$J$9-Inputs!$I$9)))^2+Inputs!$C$6^2+((Inputs!$H$9+Inputs!$L$9*(((Inputs!$I$9+(((A196)+1)/2)*(Inputs!$J$9-Inputs!$I$9)))/Inputs!$K$9)^2))^2))-((Inputs!$H$9+Inputs!$L$9*(((Inputs!$I$9+(((A196)+1)/2)*(Inputs!$J$9-Inputs!$I$9)))/Inputs!$K$9)^2)))*1000/Inputs!$C$12),NA())</f>
        <v>133284.25086916698</v>
      </c>
      <c r="L196" s="10"/>
      <c r="M196" s="9">
        <f t="shared" si="19"/>
        <v>0.61699999999999999</v>
      </c>
      <c r="N196" s="9">
        <f>IF(OR(Inputs!$F$6=TRUE,Inputs!$F$6="TRUE",Inputs!$F$6=1),(-2*((1000*((((Inputs!$I$6+(((A196)+1)/2)*(Inputs!$J$6-Inputs!$I$6)))*Inputs!$C$11+((Inputs!$H$6+Inputs!$L$6*(((Inputs!$I$6+(((A196)+1)/2)*(Inputs!$J$6-Inputs!$I$6)))/Inputs!$K$6)^2))*((2*Inputs!$L$6*((Inputs!$I$6+(((A196)+1)/2)*(Inputs!$J$6-Inputs!$I$6)))/(Inputs!$K$6^2)*Inputs!$C$11)))/(SQRT(((Inputs!$I$6+(((A196)+1)/2)*(Inputs!$J$6-Inputs!$I$6)))^2+Inputs!$C$6^2+((Inputs!$H$6+Inputs!$L$6*(((Inputs!$I$6+(((A196)+1)/2)*(Inputs!$J$6-Inputs!$I$6)))/Inputs!$K$6)^2))^2)))))/Inputs!$C$13),NA())</f>
        <v>-277.43341731317827</v>
      </c>
      <c r="O196" s="9">
        <f>IF(OR(Inputs!$F$7=TRUE,Inputs!$F$7="TRUE",Inputs!$F$7=1),(-2*((1000*((((Inputs!$I$7+(((A196)+1)/2)*(Inputs!$J$7-Inputs!$I$7)))*Inputs!$C$11+((Inputs!$H$7+Inputs!$L$7*(((Inputs!$I$7+(((A196)+1)/2)*(Inputs!$J$7-Inputs!$I$7)))/Inputs!$K$7)^2))*((2*Inputs!$L$7*((Inputs!$I$7+(((A196)+1)/2)*(Inputs!$J$7-Inputs!$I$7)))/(Inputs!$K$7^2)*Inputs!$C$11)))/(SQRT(((Inputs!$I$7+(((A196)+1)/2)*(Inputs!$J$7-Inputs!$I$7)))^2+Inputs!$C$6^2+((Inputs!$H$7+Inputs!$L$7*(((Inputs!$I$7+(((A196)+1)/2)*(Inputs!$J$7-Inputs!$I$7)))/Inputs!$K$7)^2))^2)))))/Inputs!$C$13),NA())</f>
        <v>-2337.7374094442707</v>
      </c>
      <c r="P196" s="9">
        <f>IF(OR(Inputs!$F$8=TRUE,Inputs!$F$8="TRUE",Inputs!$F$8=1),(-2*((1000*((((Inputs!$I$8+(((A196)+1)/2)*(Inputs!$J$8-Inputs!$I$8)))*Inputs!$C$11+((Inputs!$H$8+Inputs!$L$8*(((Inputs!$I$8+(((A196)+1)/2)*(Inputs!$J$8-Inputs!$I$8)))/Inputs!$K$8)^2))*((2*Inputs!$L$8*((Inputs!$I$8+(((A196)+1)/2)*(Inputs!$J$8-Inputs!$I$8)))/(Inputs!$K$8^2)*Inputs!$C$11)))/(SQRT(((Inputs!$I$8+(((A196)+1)/2)*(Inputs!$J$8-Inputs!$I$8)))^2+Inputs!$C$6^2+((Inputs!$H$8+Inputs!$L$8*(((Inputs!$I$8+(((A196)+1)/2)*(Inputs!$J$8-Inputs!$I$8)))/Inputs!$K$8)^2))^2)))))/Inputs!$C$13),NA())</f>
        <v>-2742.8433504150089</v>
      </c>
      <c r="Q196" s="9">
        <f>IF(OR(Inputs!$F$9=TRUE,Inputs!$F$9="TRUE",Inputs!$F$9=1),(-2*((1000*((((Inputs!$I$9+(((A196)+1)/2)*(Inputs!$J$9-Inputs!$I$9)))*Inputs!$C$11+((Inputs!$H$9+Inputs!$L$9*(((Inputs!$I$9+(((A196)+1)/2)*(Inputs!$J$9-Inputs!$I$9)))/Inputs!$K$9)^2))*((2*Inputs!$L$9*((Inputs!$I$9+(((A196)+1)/2)*(Inputs!$J$9-Inputs!$I$9)))/(Inputs!$K$9^2)*Inputs!$C$11)))/(SQRT(((Inputs!$I$9+(((A196)+1)/2)*(Inputs!$J$9-Inputs!$I$9)))^2+Inputs!$C$6^2+((Inputs!$H$9+Inputs!$L$9*(((Inputs!$I$9+(((A196)+1)/2)*(Inputs!$J$9-Inputs!$I$9)))/Inputs!$K$9)^2))^2)))))/Inputs!$C$13),NA())</f>
        <v>-2751.8461006871566</v>
      </c>
      <c r="R196" s="10"/>
      <c r="S196" s="9">
        <f t="shared" si="20"/>
        <v>0.61699999999999999</v>
      </c>
      <c r="T196" s="9">
        <f>(Inputs!$I$6+(((A196)+1)/2)*(Inputs!$J$6-Inputs!$I$6))</f>
        <v>37.019999999999996</v>
      </c>
      <c r="U196" s="9">
        <f>(Inputs!$I$7+(((A196)+1)/2)*(Inputs!$J$7-Inputs!$I$7))</f>
        <v>246.79999999999995</v>
      </c>
      <c r="V196" s="9">
        <f>(Inputs!$I$8+(((A196)+1)/2)*(Inputs!$J$8-Inputs!$I$8))</f>
        <v>493.59999999999991</v>
      </c>
      <c r="W196" s="9">
        <f>(Inputs!$I$9+(((A196)+1)/2)*(Inputs!$J$9-Inputs!$I$9))</f>
        <v>493.59999999999991</v>
      </c>
      <c r="X196" s="10"/>
      <c r="Y196" s="9">
        <f t="shared" si="21"/>
        <v>0.61699999999999999</v>
      </c>
      <c r="Z196" s="9">
        <f>(Inputs!$H$6+Inputs!$L$6*(((Inputs!$I$6+(((A196)+1)/2)*(Inputs!$J$6-Inputs!$I$6)))/Inputs!$K$6)^2)</f>
        <v>401.52275600000002</v>
      </c>
      <c r="AA196" s="9">
        <f>(Inputs!$H$7+Inputs!$L$7*(((Inputs!$I$7+(((A196)+1)/2)*(Inputs!$J$7-Inputs!$I$7)))/Inputs!$K$7)^2)</f>
        <v>173.95148499999993</v>
      </c>
      <c r="AB196" s="9">
        <f>(Inputs!$H$8+Inputs!$L$8*(((Inputs!$I$8+(((A196)+1)/2)*(Inputs!$J$8-Inputs!$I$8)))/Inputs!$K$8)^2)</f>
        <v>402.36488499999984</v>
      </c>
      <c r="AC196" s="9">
        <f>(Inputs!$H$9+Inputs!$L$9*(((Inputs!$I$9+(((A196)+1)/2)*(Inputs!$J$9-Inputs!$I$9)))/Inputs!$K$9)^2)</f>
        <v>396.17177499999985</v>
      </c>
      <c r="AD196" s="10"/>
      <c r="AE196" s="9">
        <f t="shared" si="22"/>
        <v>0.61699999999999999</v>
      </c>
      <c r="AF196" s="9">
        <f>(((SQRT(((Inputs!$I$6+(((A196)+1)/2)*(Inputs!$J$6-Inputs!$I$6)))^2+Inputs!$C$6^2+((Inputs!$H$6+Inputs!$L$6*(((Inputs!$I$6+(((A196)+1)/2)*(Inputs!$J$6-Inputs!$I$6)))/Inputs!$K$6)^2))^2))-((Inputs!$H$6+Inputs!$L$6*(((Inputs!$I$6+(((A196)+1)/2)*(Inputs!$J$6-Inputs!$I$6)))/Inputs!$K$6)^2)))*1000/Inputs!$C$12)</f>
        <v>1391.7128836880649</v>
      </c>
      <c r="AG196" s="9">
        <f>(((SQRT(((Inputs!$I$7+(((A196)+1)/2)*(Inputs!$J$7-Inputs!$I$7)))^2+Inputs!$C$6^2+((Inputs!$H$7+Inputs!$L$7*(((Inputs!$I$7+(((A196)+1)/2)*(Inputs!$J$7-Inputs!$I$7)))/Inputs!$K$7)^2))^2))-((Inputs!$H$7+Inputs!$L$7*(((Inputs!$I$7+(((A196)+1)/2)*(Inputs!$J$7-Inputs!$I$7)))/Inputs!$K$7)^2)))*1000/Inputs!$C$12)</f>
        <v>72485.592242333718</v>
      </c>
      <c r="AH196" s="9">
        <f>(((SQRT(((Inputs!$I$8+(((A196)+1)/2)*(Inputs!$J$8-Inputs!$I$8)))^2+Inputs!$C$6^2+((Inputs!$H$8+Inputs!$L$8*(((Inputs!$I$8+(((A196)+1)/2)*(Inputs!$J$8-Inputs!$I$8)))/Inputs!$K$8)^2))^2))-((Inputs!$H$8+Inputs!$L$8*(((Inputs!$I$8+(((A196)+1)/2)*(Inputs!$J$8-Inputs!$I$8)))/Inputs!$K$8)^2)))*1000/Inputs!$C$12)</f>
        <v>131991.38402040573</v>
      </c>
      <c r="AI196" s="9">
        <f>(((SQRT(((Inputs!$I$9+(((A196)+1)/2)*(Inputs!$J$9-Inputs!$I$9)))^2+Inputs!$C$6^2+((Inputs!$H$9+Inputs!$L$9*(((Inputs!$I$9+(((A196)+1)/2)*(Inputs!$J$9-Inputs!$I$9)))/Inputs!$K$9)^2))^2))-((Inputs!$H$9+Inputs!$L$9*(((Inputs!$I$9+(((A196)+1)/2)*(Inputs!$J$9-Inputs!$I$9)))/Inputs!$K$9)^2)))*1000/Inputs!$C$12)</f>
        <v>133284.25086916698</v>
      </c>
      <c r="AJ196" s="10"/>
      <c r="AK196" s="9">
        <f t="shared" si="23"/>
        <v>0.61699999999999999</v>
      </c>
      <c r="AL196" s="9">
        <f>(-2*((1000*((((Inputs!$I$6+(((A196)+1)/2)*(Inputs!$J$6-Inputs!$I$6)))*Inputs!$C$11+((Inputs!$H$6+Inputs!$L$6*(((Inputs!$I$6+(((A196)+1)/2)*(Inputs!$J$6-Inputs!$I$6)))/Inputs!$K$6)^2))*((2*Inputs!$L$6*((Inputs!$I$6+(((A196)+1)/2)*(Inputs!$J$6-Inputs!$I$6)))/(Inputs!$K$6^2)*Inputs!$C$11)))/(SQRT(((Inputs!$I$6+(((A196)+1)/2)*(Inputs!$J$6-Inputs!$I$6)))^2+Inputs!$C$6^2+((Inputs!$H$6+Inputs!$L$6*(((Inputs!$I$6+(((A196)+1)/2)*(Inputs!$J$6-Inputs!$I$6)))/Inputs!$K$6)^2))^2)))))/Inputs!$C$13)</f>
        <v>-277.43341731317827</v>
      </c>
      <c r="AM196" s="9">
        <f>(-2*((1000*((((Inputs!$I$7+(((A196)+1)/2)*(Inputs!$J$7-Inputs!$I$7)))*Inputs!$C$11+((Inputs!$H$7+Inputs!$L$7*(((Inputs!$I$7+(((A196)+1)/2)*(Inputs!$J$7-Inputs!$I$7)))/Inputs!$K$7)^2))*((2*Inputs!$L$7*((Inputs!$I$7+(((A196)+1)/2)*(Inputs!$J$7-Inputs!$I$7)))/(Inputs!$K$7^2)*Inputs!$C$11)))/(SQRT(((Inputs!$I$7+(((A196)+1)/2)*(Inputs!$J$7-Inputs!$I$7)))^2+Inputs!$C$6^2+((Inputs!$H$7+Inputs!$L$7*(((Inputs!$I$7+(((A196)+1)/2)*(Inputs!$J$7-Inputs!$I$7)))/Inputs!$K$7)^2))^2)))))/Inputs!$C$13)</f>
        <v>-2337.7374094442707</v>
      </c>
      <c r="AN196" s="9">
        <f>(-2*((1000*((((Inputs!$I$8+(((A196)+1)/2)*(Inputs!$J$8-Inputs!$I$8)))*Inputs!$C$11+((Inputs!$H$8+Inputs!$L$8*(((Inputs!$I$8+(((A196)+1)/2)*(Inputs!$J$8-Inputs!$I$8)))/Inputs!$K$8)^2))*((2*Inputs!$L$8*((Inputs!$I$8+(((A196)+1)/2)*(Inputs!$J$8-Inputs!$I$8)))/(Inputs!$K$8^2)*Inputs!$C$11)))/(SQRT(((Inputs!$I$8+(((A196)+1)/2)*(Inputs!$J$8-Inputs!$I$8)))^2+Inputs!$C$6^2+((Inputs!$H$8+Inputs!$L$8*(((Inputs!$I$8+(((A196)+1)/2)*(Inputs!$J$8-Inputs!$I$8)))/Inputs!$K$8)^2))^2)))))/Inputs!$C$13)</f>
        <v>-2742.8433504150089</v>
      </c>
      <c r="AO196" s="9">
        <f>(-2*((1000*((((Inputs!$I$9+(((A196)+1)/2)*(Inputs!$J$9-Inputs!$I$9)))*Inputs!$C$11+((Inputs!$H$9+Inputs!$L$9*(((Inputs!$I$9+(((A196)+1)/2)*(Inputs!$J$9-Inputs!$I$9)))/Inputs!$K$9)^2))*((2*Inputs!$L$9*((Inputs!$I$9+(((A196)+1)/2)*(Inputs!$J$9-Inputs!$I$9)))/(Inputs!$K$9^2)*Inputs!$C$11)))/(SQRT(((Inputs!$I$9+(((A196)+1)/2)*(Inputs!$J$9-Inputs!$I$9)))^2+Inputs!$C$6^2+((Inputs!$H$9+Inputs!$L$9*(((Inputs!$I$9+(((A196)+1)/2)*(Inputs!$J$9-Inputs!$I$9)))/Inputs!$K$9)^2))^2)))))/Inputs!$C$13)</f>
        <v>-2751.8461006871566</v>
      </c>
    </row>
    <row r="197" spans="1:41">
      <c r="A197" s="9">
        <f>ROUND(-1+195*2/240,3)</f>
        <v>0.625</v>
      </c>
      <c r="B197" s="9">
        <f>IF(OR(Inputs!$F$6=TRUE,Inputs!$F$6="TRUE",Inputs!$F$6=1),(Inputs!$H$6+Inputs!$L$6*(((Inputs!$I$6+(((A197)+1)/2)*(Inputs!$J$6-Inputs!$I$6)))/Inputs!$K$6)^2),NA())</f>
        <v>401.5625</v>
      </c>
      <c r="C197" s="9">
        <f>IF(OR(Inputs!$F$7=TRUE,Inputs!$F$7="TRUE",Inputs!$F$7=1),(Inputs!$H$7+Inputs!$L$7*(((Inputs!$I$7+(((A197)+1)/2)*(Inputs!$J$7-Inputs!$I$7)))/Inputs!$K$7)^2),NA())</f>
        <v>177.578125</v>
      </c>
      <c r="D197" s="9">
        <f>IF(OR(Inputs!$F$8=TRUE,Inputs!$F$8="TRUE",Inputs!$F$8=1),(Inputs!$H$8+Inputs!$L$8*(((Inputs!$I$8+(((A197)+1)/2)*(Inputs!$J$8-Inputs!$I$8)))/Inputs!$K$8)^2),NA())</f>
        <v>411.953125</v>
      </c>
      <c r="E197" s="9">
        <f>IF(OR(Inputs!$F$9=TRUE,Inputs!$F$9="TRUE",Inputs!$F$9=1),(Inputs!$H$9+Inputs!$L$9*(((Inputs!$I$9+(((A197)+1)/2)*(Inputs!$J$9-Inputs!$I$9)))/Inputs!$K$9)^2),NA())</f>
        <v>405.859375</v>
      </c>
      <c r="F197" s="10"/>
      <c r="G197" s="9">
        <f t="shared" si="18"/>
        <v>0.625</v>
      </c>
      <c r="H197" s="9">
        <f>IF(OR(Inputs!$F$6=TRUE,Inputs!$F$6="TRUE",Inputs!$F$6=1),(((SQRT(((Inputs!$I$6+(((A197)+1)/2)*(Inputs!$J$6-Inputs!$I$6)))^2+Inputs!$C$6^2+((Inputs!$H$6+Inputs!$L$6*(((Inputs!$I$6+(((A197)+1)/2)*(Inputs!$J$6-Inputs!$I$6)))/Inputs!$K$6)^2))^2))-((Inputs!$H$6+Inputs!$L$6*(((Inputs!$I$6+(((A197)+1)/2)*(Inputs!$J$6-Inputs!$I$6)))/Inputs!$K$6)^2)))*1000/Inputs!$C$12),NA())</f>
        <v>1416.4425890006503</v>
      </c>
      <c r="I197" s="9">
        <f>IF(OR(Inputs!$F$7=TRUE,Inputs!$F$7="TRUE",Inputs!$F$7=1),(((SQRT(((Inputs!$I$7+(((A197)+1)/2)*(Inputs!$J$7-Inputs!$I$7)))^2+Inputs!$C$6^2+((Inputs!$H$7+Inputs!$L$7*(((Inputs!$I$7+(((A197)+1)/2)*(Inputs!$J$7-Inputs!$I$7)))/Inputs!$K$7)^2))^2))-((Inputs!$H$7+Inputs!$L$7*(((Inputs!$I$7+(((A197)+1)/2)*(Inputs!$J$7-Inputs!$I$7)))/Inputs!$K$7)^2)))*1000/Inputs!$C$12),NA())</f>
        <v>73083.644569650074</v>
      </c>
      <c r="J197" s="9">
        <f>IF(OR(Inputs!$F$8=TRUE,Inputs!$F$8="TRUE",Inputs!$F$8=1),(((SQRT(((Inputs!$I$8+(((A197)+1)/2)*(Inputs!$J$8-Inputs!$I$8)))^2+Inputs!$C$6^2+((Inputs!$H$8+Inputs!$L$8*(((Inputs!$I$8+(((A197)+1)/2)*(Inputs!$J$8-Inputs!$I$8)))/Inputs!$K$8)^2))^2))-((Inputs!$H$8+Inputs!$L$8*(((Inputs!$I$8+(((A197)+1)/2)*(Inputs!$J$8-Inputs!$I$8)))/Inputs!$K$8)^2)))*1000/Inputs!$C$12),NA())</f>
        <v>132795.38554872278</v>
      </c>
      <c r="K197" s="9">
        <f>IF(OR(Inputs!$F$9=TRUE,Inputs!$F$9="TRUE",Inputs!$F$9=1),(((SQRT(((Inputs!$I$9+(((A197)+1)/2)*(Inputs!$J$9-Inputs!$I$9)))^2+Inputs!$C$6^2+((Inputs!$H$9+Inputs!$L$9*(((Inputs!$I$9+(((A197)+1)/2)*(Inputs!$J$9-Inputs!$I$9)))/Inputs!$K$9)^2))^2))-((Inputs!$H$9+Inputs!$L$9*(((Inputs!$I$9+(((A197)+1)/2)*(Inputs!$J$9-Inputs!$I$9)))/Inputs!$K$9)^2)))*1000/Inputs!$C$12),NA())</f>
        <v>134053.20178007596</v>
      </c>
      <c r="L197" s="10"/>
      <c r="M197" s="9">
        <f t="shared" si="19"/>
        <v>0.625</v>
      </c>
      <c r="N197" s="9">
        <f>IF(OR(Inputs!$F$6=TRUE,Inputs!$F$6="TRUE",Inputs!$F$6=1),(-2*((1000*((((Inputs!$I$6+(((A197)+1)/2)*(Inputs!$J$6-Inputs!$I$6)))*Inputs!$C$11+((Inputs!$H$6+Inputs!$L$6*(((Inputs!$I$6+(((A197)+1)/2)*(Inputs!$J$6-Inputs!$I$6)))/Inputs!$K$6)^2))*((2*Inputs!$L$6*((Inputs!$I$6+(((A197)+1)/2)*(Inputs!$J$6-Inputs!$I$6)))/(Inputs!$K$6^2)*Inputs!$C$11)))/(SQRT(((Inputs!$I$6+(((A197)+1)/2)*(Inputs!$J$6-Inputs!$I$6)))^2+Inputs!$C$6^2+((Inputs!$H$6+Inputs!$L$6*(((Inputs!$I$6+(((A197)+1)/2)*(Inputs!$J$6-Inputs!$I$6)))/Inputs!$K$6)^2))^2)))))/Inputs!$C$13),NA())</f>
        <v>-280.98546814307451</v>
      </c>
      <c r="O197" s="9">
        <f>IF(OR(Inputs!$F$7=TRUE,Inputs!$F$7="TRUE",Inputs!$F$7=1),(-2*((1000*((((Inputs!$I$7+(((A197)+1)/2)*(Inputs!$J$7-Inputs!$I$7)))*Inputs!$C$11+((Inputs!$H$7+Inputs!$L$7*(((Inputs!$I$7+(((A197)+1)/2)*(Inputs!$J$7-Inputs!$I$7)))/Inputs!$K$7)^2))*((2*Inputs!$L$7*((Inputs!$I$7+(((A197)+1)/2)*(Inputs!$J$7-Inputs!$I$7)))/(Inputs!$K$7^2)*Inputs!$C$11)))/(SQRT(((Inputs!$I$7+(((A197)+1)/2)*(Inputs!$J$7-Inputs!$I$7)))^2+Inputs!$C$6^2+((Inputs!$H$7+Inputs!$L$7*(((Inputs!$I$7+(((A197)+1)/2)*(Inputs!$J$7-Inputs!$I$7)))/Inputs!$K$7)^2))^2)))))/Inputs!$C$13),NA())</f>
        <v>-2353.4537311364411</v>
      </c>
      <c r="P197" s="9">
        <f>IF(OR(Inputs!$F$8=TRUE,Inputs!$F$8="TRUE",Inputs!$F$8=1),(-2*((1000*((((Inputs!$I$8+(((A197)+1)/2)*(Inputs!$J$8-Inputs!$I$8)))*Inputs!$C$11+((Inputs!$H$8+Inputs!$L$8*(((Inputs!$I$8+(((A197)+1)/2)*(Inputs!$J$8-Inputs!$I$8)))/Inputs!$K$8)^2))*((2*Inputs!$L$8*((Inputs!$I$8+(((A197)+1)/2)*(Inputs!$J$8-Inputs!$I$8)))/(Inputs!$K$8^2)*Inputs!$C$11)))/(SQRT(((Inputs!$I$8+(((A197)+1)/2)*(Inputs!$J$8-Inputs!$I$8)))^2+Inputs!$C$6^2+((Inputs!$H$8+Inputs!$L$8*(((Inputs!$I$8+(((A197)+1)/2)*(Inputs!$J$8-Inputs!$I$8)))/Inputs!$K$8)^2))^2)))))/Inputs!$C$13),NA())</f>
        <v>-2766.8624410563048</v>
      </c>
      <c r="Q197" s="9">
        <f>IF(OR(Inputs!$F$9=TRUE,Inputs!$F$9="TRUE",Inputs!$F$9=1),(-2*((1000*((((Inputs!$I$9+(((A197)+1)/2)*(Inputs!$J$9-Inputs!$I$9)))*Inputs!$C$11+((Inputs!$H$9+Inputs!$L$9*(((Inputs!$I$9+(((A197)+1)/2)*(Inputs!$J$9-Inputs!$I$9)))/Inputs!$K$9)^2))*((2*Inputs!$L$9*((Inputs!$I$9+(((A197)+1)/2)*(Inputs!$J$9-Inputs!$I$9)))/(Inputs!$K$9^2)*Inputs!$C$11)))/(SQRT(((Inputs!$I$9+(((A197)+1)/2)*(Inputs!$J$9-Inputs!$I$9)))^2+Inputs!$C$6^2+((Inputs!$H$9+Inputs!$L$9*(((Inputs!$I$9+(((A197)+1)/2)*(Inputs!$J$9-Inputs!$I$9)))/Inputs!$K$9)^2))^2)))))/Inputs!$C$13),NA())</f>
        <v>-2776.3447720855688</v>
      </c>
      <c r="R197" s="10"/>
      <c r="S197" s="9">
        <f t="shared" si="20"/>
        <v>0.625</v>
      </c>
      <c r="T197" s="9">
        <f>(Inputs!$I$6+(((A197)+1)/2)*(Inputs!$J$6-Inputs!$I$6))</f>
        <v>37.5</v>
      </c>
      <c r="U197" s="9">
        <f>(Inputs!$I$7+(((A197)+1)/2)*(Inputs!$J$7-Inputs!$I$7))</f>
        <v>250</v>
      </c>
      <c r="V197" s="9">
        <f>(Inputs!$I$8+(((A197)+1)/2)*(Inputs!$J$8-Inputs!$I$8))</f>
        <v>500</v>
      </c>
      <c r="W197" s="9">
        <f>(Inputs!$I$9+(((A197)+1)/2)*(Inputs!$J$9-Inputs!$I$9))</f>
        <v>500</v>
      </c>
      <c r="X197" s="10"/>
      <c r="Y197" s="9">
        <f t="shared" si="21"/>
        <v>0.625</v>
      </c>
      <c r="Z197" s="9">
        <f>(Inputs!$H$6+Inputs!$L$6*(((Inputs!$I$6+(((A197)+1)/2)*(Inputs!$J$6-Inputs!$I$6)))/Inputs!$K$6)^2)</f>
        <v>401.5625</v>
      </c>
      <c r="AA197" s="9">
        <f>(Inputs!$H$7+Inputs!$L$7*(((Inputs!$I$7+(((A197)+1)/2)*(Inputs!$J$7-Inputs!$I$7)))/Inputs!$K$7)^2)</f>
        <v>177.578125</v>
      </c>
      <c r="AB197" s="9">
        <f>(Inputs!$H$8+Inputs!$L$8*(((Inputs!$I$8+(((A197)+1)/2)*(Inputs!$J$8-Inputs!$I$8)))/Inputs!$K$8)^2)</f>
        <v>411.953125</v>
      </c>
      <c r="AC197" s="9">
        <f>(Inputs!$H$9+Inputs!$L$9*(((Inputs!$I$9+(((A197)+1)/2)*(Inputs!$J$9-Inputs!$I$9)))/Inputs!$K$9)^2)</f>
        <v>405.859375</v>
      </c>
      <c r="AD197" s="10"/>
      <c r="AE197" s="9">
        <f t="shared" si="22"/>
        <v>0.625</v>
      </c>
      <c r="AF197" s="9">
        <f>(((SQRT(((Inputs!$I$6+(((A197)+1)/2)*(Inputs!$J$6-Inputs!$I$6)))^2+Inputs!$C$6^2+((Inputs!$H$6+Inputs!$L$6*(((Inputs!$I$6+(((A197)+1)/2)*(Inputs!$J$6-Inputs!$I$6)))/Inputs!$K$6)^2))^2))-((Inputs!$H$6+Inputs!$L$6*(((Inputs!$I$6+(((A197)+1)/2)*(Inputs!$J$6-Inputs!$I$6)))/Inputs!$K$6)^2)))*1000/Inputs!$C$12)</f>
        <v>1416.4425890006503</v>
      </c>
      <c r="AG197" s="9">
        <f>(((SQRT(((Inputs!$I$7+(((A197)+1)/2)*(Inputs!$J$7-Inputs!$I$7)))^2+Inputs!$C$6^2+((Inputs!$H$7+Inputs!$L$7*(((Inputs!$I$7+(((A197)+1)/2)*(Inputs!$J$7-Inputs!$I$7)))/Inputs!$K$7)^2))^2))-((Inputs!$H$7+Inputs!$L$7*(((Inputs!$I$7+(((A197)+1)/2)*(Inputs!$J$7-Inputs!$I$7)))/Inputs!$K$7)^2)))*1000/Inputs!$C$12)</f>
        <v>73083.644569650074</v>
      </c>
      <c r="AH197" s="9">
        <f>(((SQRT(((Inputs!$I$8+(((A197)+1)/2)*(Inputs!$J$8-Inputs!$I$8)))^2+Inputs!$C$6^2+((Inputs!$H$8+Inputs!$L$8*(((Inputs!$I$8+(((A197)+1)/2)*(Inputs!$J$8-Inputs!$I$8)))/Inputs!$K$8)^2))^2))-((Inputs!$H$8+Inputs!$L$8*(((Inputs!$I$8+(((A197)+1)/2)*(Inputs!$J$8-Inputs!$I$8)))/Inputs!$K$8)^2)))*1000/Inputs!$C$12)</f>
        <v>132795.38554872278</v>
      </c>
      <c r="AI197" s="9">
        <f>(((SQRT(((Inputs!$I$9+(((A197)+1)/2)*(Inputs!$J$9-Inputs!$I$9)))^2+Inputs!$C$6^2+((Inputs!$H$9+Inputs!$L$9*(((Inputs!$I$9+(((A197)+1)/2)*(Inputs!$J$9-Inputs!$I$9)))/Inputs!$K$9)^2))^2))-((Inputs!$H$9+Inputs!$L$9*(((Inputs!$I$9+(((A197)+1)/2)*(Inputs!$J$9-Inputs!$I$9)))/Inputs!$K$9)^2)))*1000/Inputs!$C$12)</f>
        <v>134053.20178007596</v>
      </c>
      <c r="AJ197" s="10"/>
      <c r="AK197" s="9">
        <f t="shared" si="23"/>
        <v>0.625</v>
      </c>
      <c r="AL197" s="9">
        <f>(-2*((1000*((((Inputs!$I$6+(((A197)+1)/2)*(Inputs!$J$6-Inputs!$I$6)))*Inputs!$C$11+((Inputs!$H$6+Inputs!$L$6*(((Inputs!$I$6+(((A197)+1)/2)*(Inputs!$J$6-Inputs!$I$6)))/Inputs!$K$6)^2))*((2*Inputs!$L$6*((Inputs!$I$6+(((A197)+1)/2)*(Inputs!$J$6-Inputs!$I$6)))/(Inputs!$K$6^2)*Inputs!$C$11)))/(SQRT(((Inputs!$I$6+(((A197)+1)/2)*(Inputs!$J$6-Inputs!$I$6)))^2+Inputs!$C$6^2+((Inputs!$H$6+Inputs!$L$6*(((Inputs!$I$6+(((A197)+1)/2)*(Inputs!$J$6-Inputs!$I$6)))/Inputs!$K$6)^2))^2)))))/Inputs!$C$13)</f>
        <v>-280.98546814307451</v>
      </c>
      <c r="AM197" s="9">
        <f>(-2*((1000*((((Inputs!$I$7+(((A197)+1)/2)*(Inputs!$J$7-Inputs!$I$7)))*Inputs!$C$11+((Inputs!$H$7+Inputs!$L$7*(((Inputs!$I$7+(((A197)+1)/2)*(Inputs!$J$7-Inputs!$I$7)))/Inputs!$K$7)^2))*((2*Inputs!$L$7*((Inputs!$I$7+(((A197)+1)/2)*(Inputs!$J$7-Inputs!$I$7)))/(Inputs!$K$7^2)*Inputs!$C$11)))/(SQRT(((Inputs!$I$7+(((A197)+1)/2)*(Inputs!$J$7-Inputs!$I$7)))^2+Inputs!$C$6^2+((Inputs!$H$7+Inputs!$L$7*(((Inputs!$I$7+(((A197)+1)/2)*(Inputs!$J$7-Inputs!$I$7)))/Inputs!$K$7)^2))^2)))))/Inputs!$C$13)</f>
        <v>-2353.4537311364411</v>
      </c>
      <c r="AN197" s="9">
        <f>(-2*((1000*((((Inputs!$I$8+(((A197)+1)/2)*(Inputs!$J$8-Inputs!$I$8)))*Inputs!$C$11+((Inputs!$H$8+Inputs!$L$8*(((Inputs!$I$8+(((A197)+1)/2)*(Inputs!$J$8-Inputs!$I$8)))/Inputs!$K$8)^2))*((2*Inputs!$L$8*((Inputs!$I$8+(((A197)+1)/2)*(Inputs!$J$8-Inputs!$I$8)))/(Inputs!$K$8^2)*Inputs!$C$11)))/(SQRT(((Inputs!$I$8+(((A197)+1)/2)*(Inputs!$J$8-Inputs!$I$8)))^2+Inputs!$C$6^2+((Inputs!$H$8+Inputs!$L$8*(((Inputs!$I$8+(((A197)+1)/2)*(Inputs!$J$8-Inputs!$I$8)))/Inputs!$K$8)^2))^2)))))/Inputs!$C$13)</f>
        <v>-2766.8624410563048</v>
      </c>
      <c r="AO197" s="9">
        <f>(-2*((1000*((((Inputs!$I$9+(((A197)+1)/2)*(Inputs!$J$9-Inputs!$I$9)))*Inputs!$C$11+((Inputs!$H$9+Inputs!$L$9*(((Inputs!$I$9+(((A197)+1)/2)*(Inputs!$J$9-Inputs!$I$9)))/Inputs!$K$9)^2))*((2*Inputs!$L$9*((Inputs!$I$9+(((A197)+1)/2)*(Inputs!$J$9-Inputs!$I$9)))/(Inputs!$K$9^2)*Inputs!$C$11)))/(SQRT(((Inputs!$I$9+(((A197)+1)/2)*(Inputs!$J$9-Inputs!$I$9)))^2+Inputs!$C$6^2+((Inputs!$H$9+Inputs!$L$9*(((Inputs!$I$9+(((A197)+1)/2)*(Inputs!$J$9-Inputs!$I$9)))/Inputs!$K$9)^2))^2)))))/Inputs!$C$13)</f>
        <v>-2776.3447720855688</v>
      </c>
    </row>
    <row r="198" spans="1:41">
      <c r="A198" s="9">
        <f>ROUND(-1+196*2/240,3)</f>
        <v>0.63300000000000001</v>
      </c>
      <c r="B198" s="9">
        <f>IF(OR(Inputs!$F$6=TRUE,Inputs!$F$6="TRUE",Inputs!$F$6=1),(Inputs!$H$6+Inputs!$L$6*(((Inputs!$I$6+(((A198)+1)/2)*(Inputs!$J$6-Inputs!$I$6)))/Inputs!$K$6)^2),NA())</f>
        <v>401.602756</v>
      </c>
      <c r="C198" s="9">
        <f>IF(OR(Inputs!$F$7=TRUE,Inputs!$F$7="TRUE",Inputs!$F$7=1),(Inputs!$H$7+Inputs!$L$7*(((Inputs!$I$7+(((A198)+1)/2)*(Inputs!$J$7-Inputs!$I$7)))/Inputs!$K$7)^2),NA())</f>
        <v>181.25148500000006</v>
      </c>
      <c r="D198" s="9">
        <f>IF(OR(Inputs!$F$8=TRUE,Inputs!$F$8="TRUE",Inputs!$F$8=1),(Inputs!$H$8+Inputs!$L$8*(((Inputs!$I$8+(((A198)+1)/2)*(Inputs!$J$8-Inputs!$I$8)))/Inputs!$K$8)^2),NA())</f>
        <v>421.66488500000014</v>
      </c>
      <c r="E198" s="9">
        <f>IF(OR(Inputs!$F$9=TRUE,Inputs!$F$9="TRUE",Inputs!$F$9=1),(Inputs!$H$9+Inputs!$L$9*(((Inputs!$I$9+(((A198)+1)/2)*(Inputs!$J$9-Inputs!$I$9)))/Inputs!$K$9)^2),NA())</f>
        <v>415.67177500000014</v>
      </c>
      <c r="F198" s="10"/>
      <c r="G198" s="9">
        <f t="shared" si="18"/>
        <v>0.63300000000000001</v>
      </c>
      <c r="H198" s="9">
        <f>IF(OR(Inputs!$F$6=TRUE,Inputs!$F$6="TRUE",Inputs!$F$6=1),(((SQRT(((Inputs!$I$6+(((A198)+1)/2)*(Inputs!$J$6-Inputs!$I$6)))^2+Inputs!$C$6^2+((Inputs!$H$6+Inputs!$L$6*(((Inputs!$I$6+(((A198)+1)/2)*(Inputs!$J$6-Inputs!$I$6)))/Inputs!$K$6)^2))^2))-((Inputs!$H$6+Inputs!$L$6*(((Inputs!$I$6+(((A198)+1)/2)*(Inputs!$J$6-Inputs!$I$6)))/Inputs!$K$6)^2)))*1000/Inputs!$C$12),NA())</f>
        <v>1441.4831698256544</v>
      </c>
      <c r="I198" s="9">
        <f>IF(OR(Inputs!$F$7=TRUE,Inputs!$F$7="TRUE",Inputs!$F$7=1),(((SQRT(((Inputs!$I$7+(((A198)+1)/2)*(Inputs!$J$7-Inputs!$I$7)))^2+Inputs!$C$6^2+((Inputs!$H$7+Inputs!$L$7*(((Inputs!$I$7+(((A198)+1)/2)*(Inputs!$J$7-Inputs!$I$7)))/Inputs!$K$7)^2))^2))-((Inputs!$H$7+Inputs!$L$7*(((Inputs!$I$7+(((A198)+1)/2)*(Inputs!$J$7-Inputs!$I$7)))/Inputs!$K$7)^2)))*1000/Inputs!$C$12),NA())</f>
        <v>73673.169015115855</v>
      </c>
      <c r="J198" s="9">
        <f>IF(OR(Inputs!$F$8=TRUE,Inputs!$F$8="TRUE",Inputs!$F$8=1),(((SQRT(((Inputs!$I$8+(((A198)+1)/2)*(Inputs!$J$8-Inputs!$I$8)))^2+Inputs!$C$6^2+((Inputs!$H$8+Inputs!$L$8*(((Inputs!$I$8+(((A198)+1)/2)*(Inputs!$J$8-Inputs!$I$8)))/Inputs!$K$8)^2))^2))-((Inputs!$H$8+Inputs!$L$8*(((Inputs!$I$8+(((A198)+1)/2)*(Inputs!$J$8-Inputs!$I$8)))/Inputs!$K$8)^2)))*1000/Inputs!$C$12),NA())</f>
        <v>133584.13288178097</v>
      </c>
      <c r="K198" s="9">
        <f>IF(OR(Inputs!$F$9=TRUE,Inputs!$F$9="TRUE",Inputs!$F$9=1),(((SQRT(((Inputs!$I$9+(((A198)+1)/2)*(Inputs!$J$9-Inputs!$I$9)))^2+Inputs!$C$6^2+((Inputs!$H$9+Inputs!$L$9*(((Inputs!$I$9+(((A198)+1)/2)*(Inputs!$J$9-Inputs!$I$9)))/Inputs!$K$9)^2))^2))-((Inputs!$H$9+Inputs!$L$9*(((Inputs!$I$9+(((A198)+1)/2)*(Inputs!$J$9-Inputs!$I$9)))/Inputs!$K$9)^2)))*1000/Inputs!$C$12),NA())</f>
        <v>134807.25792322456</v>
      </c>
      <c r="L198" s="10"/>
      <c r="M198" s="9">
        <f t="shared" si="19"/>
        <v>0.63300000000000001</v>
      </c>
      <c r="N198" s="9">
        <f>IF(OR(Inputs!$F$6=TRUE,Inputs!$F$6="TRUE",Inputs!$F$6=1),(-2*((1000*((((Inputs!$I$6+(((A198)+1)/2)*(Inputs!$J$6-Inputs!$I$6)))*Inputs!$C$11+((Inputs!$H$6+Inputs!$L$6*(((Inputs!$I$6+(((A198)+1)/2)*(Inputs!$J$6-Inputs!$I$6)))/Inputs!$K$6)^2))*((2*Inputs!$L$6*((Inputs!$I$6+(((A198)+1)/2)*(Inputs!$J$6-Inputs!$I$6)))/(Inputs!$K$6^2)*Inputs!$C$11)))/(SQRT(((Inputs!$I$6+(((A198)+1)/2)*(Inputs!$J$6-Inputs!$I$6)))^2+Inputs!$C$6^2+((Inputs!$H$6+Inputs!$L$6*(((Inputs!$I$6+(((A198)+1)/2)*(Inputs!$J$6-Inputs!$I$6)))/Inputs!$K$6)^2))^2)))))/Inputs!$C$13),NA())</f>
        <v>-284.53580336609599</v>
      </c>
      <c r="O198" s="9">
        <f>IF(OR(Inputs!$F$7=TRUE,Inputs!$F$7="TRUE",Inputs!$F$7=1),(-2*((1000*((((Inputs!$I$7+(((A198)+1)/2)*(Inputs!$J$7-Inputs!$I$7)))*Inputs!$C$11+((Inputs!$H$7+Inputs!$L$7*(((Inputs!$I$7+(((A198)+1)/2)*(Inputs!$J$7-Inputs!$I$7)))/Inputs!$K$7)^2))*((2*Inputs!$L$7*((Inputs!$I$7+(((A198)+1)/2)*(Inputs!$J$7-Inputs!$I$7)))/(Inputs!$K$7^2)*Inputs!$C$11)))/(SQRT(((Inputs!$I$7+(((A198)+1)/2)*(Inputs!$J$7-Inputs!$I$7)))^2+Inputs!$C$6^2+((Inputs!$H$7+Inputs!$L$7*(((Inputs!$I$7+(((A198)+1)/2)*(Inputs!$J$7-Inputs!$I$7)))/Inputs!$K$7)^2))^2)))))/Inputs!$C$13),NA())</f>
        <v>-2369.2776476820554</v>
      </c>
      <c r="P198" s="9">
        <f>IF(OR(Inputs!$F$8=TRUE,Inputs!$F$8="TRUE",Inputs!$F$8=1),(-2*((1000*((((Inputs!$I$8+(((A198)+1)/2)*(Inputs!$J$8-Inputs!$I$8)))*Inputs!$C$11+((Inputs!$H$8+Inputs!$L$8*(((Inputs!$I$8+(((A198)+1)/2)*(Inputs!$J$8-Inputs!$I$8)))/Inputs!$K$8)^2))*((2*Inputs!$L$8*((Inputs!$I$8+(((A198)+1)/2)*(Inputs!$J$8-Inputs!$I$8)))/(Inputs!$K$8^2)*Inputs!$C$11)))/(SQRT(((Inputs!$I$8+(((A198)+1)/2)*(Inputs!$J$8-Inputs!$I$8)))^2+Inputs!$C$6^2+((Inputs!$H$8+Inputs!$L$8*(((Inputs!$I$8+(((A198)+1)/2)*(Inputs!$J$8-Inputs!$I$8)))/Inputs!$K$8)^2))^2)))))/Inputs!$C$13),NA())</f>
        <v>-2791.0266166424972</v>
      </c>
      <c r="Q198" s="9">
        <f>IF(OR(Inputs!$F$9=TRUE,Inputs!$F$9="TRUE",Inputs!$F$9=1),(-2*((1000*((((Inputs!$I$9+(((A198)+1)/2)*(Inputs!$J$9-Inputs!$I$9)))*Inputs!$C$11+((Inputs!$H$9+Inputs!$L$9*(((Inputs!$I$9+(((A198)+1)/2)*(Inputs!$J$9-Inputs!$I$9)))/Inputs!$K$9)^2))*((2*Inputs!$L$9*((Inputs!$I$9+(((A198)+1)/2)*(Inputs!$J$9-Inputs!$I$9)))/(Inputs!$K$9^2)*Inputs!$C$11)))/(SQRT(((Inputs!$I$9+(((A198)+1)/2)*(Inputs!$J$9-Inputs!$I$9)))^2+Inputs!$C$6^2+((Inputs!$H$9+Inputs!$L$9*(((Inputs!$I$9+(((A198)+1)/2)*(Inputs!$J$9-Inputs!$I$9)))/Inputs!$K$9)^2))^2)))))/Inputs!$C$13),NA())</f>
        <v>-2800.9892298170935</v>
      </c>
      <c r="R198" s="10"/>
      <c r="S198" s="9">
        <f t="shared" si="20"/>
        <v>0.63300000000000001</v>
      </c>
      <c r="T198" s="9">
        <f>(Inputs!$I$6+(((A198)+1)/2)*(Inputs!$J$6-Inputs!$I$6))</f>
        <v>37.980000000000004</v>
      </c>
      <c r="U198" s="9">
        <f>(Inputs!$I$7+(((A198)+1)/2)*(Inputs!$J$7-Inputs!$I$7))</f>
        <v>253.20000000000005</v>
      </c>
      <c r="V198" s="9">
        <f>(Inputs!$I$8+(((A198)+1)/2)*(Inputs!$J$8-Inputs!$I$8))</f>
        <v>506.40000000000009</v>
      </c>
      <c r="W198" s="9">
        <f>(Inputs!$I$9+(((A198)+1)/2)*(Inputs!$J$9-Inputs!$I$9))</f>
        <v>506.40000000000009</v>
      </c>
      <c r="X198" s="10"/>
      <c r="Y198" s="9">
        <f t="shared" si="21"/>
        <v>0.63300000000000001</v>
      </c>
      <c r="Z198" s="9">
        <f>(Inputs!$H$6+Inputs!$L$6*(((Inputs!$I$6+(((A198)+1)/2)*(Inputs!$J$6-Inputs!$I$6)))/Inputs!$K$6)^2)</f>
        <v>401.602756</v>
      </c>
      <c r="AA198" s="9">
        <f>(Inputs!$H$7+Inputs!$L$7*(((Inputs!$I$7+(((A198)+1)/2)*(Inputs!$J$7-Inputs!$I$7)))/Inputs!$K$7)^2)</f>
        <v>181.25148500000006</v>
      </c>
      <c r="AB198" s="9">
        <f>(Inputs!$H$8+Inputs!$L$8*(((Inputs!$I$8+(((A198)+1)/2)*(Inputs!$J$8-Inputs!$I$8)))/Inputs!$K$8)^2)</f>
        <v>421.66488500000014</v>
      </c>
      <c r="AC198" s="9">
        <f>(Inputs!$H$9+Inputs!$L$9*(((Inputs!$I$9+(((A198)+1)/2)*(Inputs!$J$9-Inputs!$I$9)))/Inputs!$K$9)^2)</f>
        <v>415.67177500000014</v>
      </c>
      <c r="AD198" s="10"/>
      <c r="AE198" s="9">
        <f t="shared" si="22"/>
        <v>0.63300000000000001</v>
      </c>
      <c r="AF198" s="9">
        <f>(((SQRT(((Inputs!$I$6+(((A198)+1)/2)*(Inputs!$J$6-Inputs!$I$6)))^2+Inputs!$C$6^2+((Inputs!$H$6+Inputs!$L$6*(((Inputs!$I$6+(((A198)+1)/2)*(Inputs!$J$6-Inputs!$I$6)))/Inputs!$K$6)^2))^2))-((Inputs!$H$6+Inputs!$L$6*(((Inputs!$I$6+(((A198)+1)/2)*(Inputs!$J$6-Inputs!$I$6)))/Inputs!$K$6)^2)))*1000/Inputs!$C$12)</f>
        <v>1441.4831698256544</v>
      </c>
      <c r="AG198" s="9">
        <f>(((SQRT(((Inputs!$I$7+(((A198)+1)/2)*(Inputs!$J$7-Inputs!$I$7)))^2+Inputs!$C$6^2+((Inputs!$H$7+Inputs!$L$7*(((Inputs!$I$7+(((A198)+1)/2)*(Inputs!$J$7-Inputs!$I$7)))/Inputs!$K$7)^2))^2))-((Inputs!$H$7+Inputs!$L$7*(((Inputs!$I$7+(((A198)+1)/2)*(Inputs!$J$7-Inputs!$I$7)))/Inputs!$K$7)^2)))*1000/Inputs!$C$12)</f>
        <v>73673.169015115855</v>
      </c>
      <c r="AH198" s="9">
        <f>(((SQRT(((Inputs!$I$8+(((A198)+1)/2)*(Inputs!$J$8-Inputs!$I$8)))^2+Inputs!$C$6^2+((Inputs!$H$8+Inputs!$L$8*(((Inputs!$I$8+(((A198)+1)/2)*(Inputs!$J$8-Inputs!$I$8)))/Inputs!$K$8)^2))^2))-((Inputs!$H$8+Inputs!$L$8*(((Inputs!$I$8+(((A198)+1)/2)*(Inputs!$J$8-Inputs!$I$8)))/Inputs!$K$8)^2)))*1000/Inputs!$C$12)</f>
        <v>133584.13288178097</v>
      </c>
      <c r="AI198" s="9">
        <f>(((SQRT(((Inputs!$I$9+(((A198)+1)/2)*(Inputs!$J$9-Inputs!$I$9)))^2+Inputs!$C$6^2+((Inputs!$H$9+Inputs!$L$9*(((Inputs!$I$9+(((A198)+1)/2)*(Inputs!$J$9-Inputs!$I$9)))/Inputs!$K$9)^2))^2))-((Inputs!$H$9+Inputs!$L$9*(((Inputs!$I$9+(((A198)+1)/2)*(Inputs!$J$9-Inputs!$I$9)))/Inputs!$K$9)^2)))*1000/Inputs!$C$12)</f>
        <v>134807.25792322456</v>
      </c>
      <c r="AJ198" s="10"/>
      <c r="AK198" s="9">
        <f t="shared" si="23"/>
        <v>0.63300000000000001</v>
      </c>
      <c r="AL198" s="9">
        <f>(-2*((1000*((((Inputs!$I$6+(((A198)+1)/2)*(Inputs!$J$6-Inputs!$I$6)))*Inputs!$C$11+((Inputs!$H$6+Inputs!$L$6*(((Inputs!$I$6+(((A198)+1)/2)*(Inputs!$J$6-Inputs!$I$6)))/Inputs!$K$6)^2))*((2*Inputs!$L$6*((Inputs!$I$6+(((A198)+1)/2)*(Inputs!$J$6-Inputs!$I$6)))/(Inputs!$K$6^2)*Inputs!$C$11)))/(SQRT(((Inputs!$I$6+(((A198)+1)/2)*(Inputs!$J$6-Inputs!$I$6)))^2+Inputs!$C$6^2+((Inputs!$H$6+Inputs!$L$6*(((Inputs!$I$6+(((A198)+1)/2)*(Inputs!$J$6-Inputs!$I$6)))/Inputs!$K$6)^2))^2)))))/Inputs!$C$13)</f>
        <v>-284.53580336609599</v>
      </c>
      <c r="AM198" s="9">
        <f>(-2*((1000*((((Inputs!$I$7+(((A198)+1)/2)*(Inputs!$J$7-Inputs!$I$7)))*Inputs!$C$11+((Inputs!$H$7+Inputs!$L$7*(((Inputs!$I$7+(((A198)+1)/2)*(Inputs!$J$7-Inputs!$I$7)))/Inputs!$K$7)^2))*((2*Inputs!$L$7*((Inputs!$I$7+(((A198)+1)/2)*(Inputs!$J$7-Inputs!$I$7)))/(Inputs!$K$7^2)*Inputs!$C$11)))/(SQRT(((Inputs!$I$7+(((A198)+1)/2)*(Inputs!$J$7-Inputs!$I$7)))^2+Inputs!$C$6^2+((Inputs!$H$7+Inputs!$L$7*(((Inputs!$I$7+(((A198)+1)/2)*(Inputs!$J$7-Inputs!$I$7)))/Inputs!$K$7)^2))^2)))))/Inputs!$C$13)</f>
        <v>-2369.2776476820554</v>
      </c>
      <c r="AN198" s="9">
        <f>(-2*((1000*((((Inputs!$I$8+(((A198)+1)/2)*(Inputs!$J$8-Inputs!$I$8)))*Inputs!$C$11+((Inputs!$H$8+Inputs!$L$8*(((Inputs!$I$8+(((A198)+1)/2)*(Inputs!$J$8-Inputs!$I$8)))/Inputs!$K$8)^2))*((2*Inputs!$L$8*((Inputs!$I$8+(((A198)+1)/2)*(Inputs!$J$8-Inputs!$I$8)))/(Inputs!$K$8^2)*Inputs!$C$11)))/(SQRT(((Inputs!$I$8+(((A198)+1)/2)*(Inputs!$J$8-Inputs!$I$8)))^2+Inputs!$C$6^2+((Inputs!$H$8+Inputs!$L$8*(((Inputs!$I$8+(((A198)+1)/2)*(Inputs!$J$8-Inputs!$I$8)))/Inputs!$K$8)^2))^2)))))/Inputs!$C$13)</f>
        <v>-2791.0266166424972</v>
      </c>
      <c r="AO198" s="9">
        <f>(-2*((1000*((((Inputs!$I$9+(((A198)+1)/2)*(Inputs!$J$9-Inputs!$I$9)))*Inputs!$C$11+((Inputs!$H$9+Inputs!$L$9*(((Inputs!$I$9+(((A198)+1)/2)*(Inputs!$J$9-Inputs!$I$9)))/Inputs!$K$9)^2))*((2*Inputs!$L$9*((Inputs!$I$9+(((A198)+1)/2)*(Inputs!$J$9-Inputs!$I$9)))/(Inputs!$K$9^2)*Inputs!$C$11)))/(SQRT(((Inputs!$I$9+(((A198)+1)/2)*(Inputs!$J$9-Inputs!$I$9)))^2+Inputs!$C$6^2+((Inputs!$H$9+Inputs!$L$9*(((Inputs!$I$9+(((A198)+1)/2)*(Inputs!$J$9-Inputs!$I$9)))/Inputs!$K$9)^2))^2)))))/Inputs!$C$13)</f>
        <v>-2800.9892298170935</v>
      </c>
    </row>
    <row r="199" spans="1:41">
      <c r="A199" s="9">
        <f>ROUND(-1+197*2/240,3)</f>
        <v>0.64200000000000002</v>
      </c>
      <c r="B199" s="9">
        <f>IF(OR(Inputs!$F$6=TRUE,Inputs!$F$6="TRUE",Inputs!$F$6=1),(Inputs!$H$6+Inputs!$L$6*(((Inputs!$I$6+(((A199)+1)/2)*(Inputs!$J$6-Inputs!$I$6)))/Inputs!$K$6)^2),NA())</f>
        <v>401.64865600000002</v>
      </c>
      <c r="C199" s="9">
        <f>IF(OR(Inputs!$F$7=TRUE,Inputs!$F$7="TRUE",Inputs!$F$7=1),(Inputs!$H$7+Inputs!$L$7*(((Inputs!$I$7+(((A199)+1)/2)*(Inputs!$J$7-Inputs!$I$7)))/Inputs!$K$7)^2),NA())</f>
        <v>185.43985999999995</v>
      </c>
      <c r="D199" s="9">
        <f>IF(OR(Inputs!$F$8=TRUE,Inputs!$F$8="TRUE",Inputs!$F$8=1),(Inputs!$H$8+Inputs!$L$8*(((Inputs!$I$8+(((A199)+1)/2)*(Inputs!$J$8-Inputs!$I$8)))/Inputs!$K$8)^2),NA())</f>
        <v>432.73825999999985</v>
      </c>
      <c r="E199" s="9">
        <f>IF(OR(Inputs!$F$9=TRUE,Inputs!$F$9="TRUE",Inputs!$F$9=1),(Inputs!$H$9+Inputs!$L$9*(((Inputs!$I$9+(((A199)+1)/2)*(Inputs!$J$9-Inputs!$I$9)))/Inputs!$K$9)^2),NA())</f>
        <v>426.85989999999987</v>
      </c>
      <c r="F199" s="10"/>
      <c r="G199" s="9">
        <f t="shared" si="18"/>
        <v>0.64200000000000002</v>
      </c>
      <c r="H199" s="9">
        <f>IF(OR(Inputs!$F$6=TRUE,Inputs!$F$6="TRUE",Inputs!$F$6=1),(((SQRT(((Inputs!$I$6+(((A199)+1)/2)*(Inputs!$J$6-Inputs!$I$6)))^2+Inputs!$C$6^2+((Inputs!$H$6+Inputs!$L$6*(((Inputs!$I$6+(((A199)+1)/2)*(Inputs!$J$6-Inputs!$I$6)))/Inputs!$K$6)^2))^2))-((Inputs!$H$6+Inputs!$L$6*(((Inputs!$I$6+(((A199)+1)/2)*(Inputs!$J$6-Inputs!$I$6)))/Inputs!$K$6)^2)))*1000/Inputs!$C$12),NA())</f>
        <v>1470.0250543717877</v>
      </c>
      <c r="I199" s="9">
        <f>IF(OR(Inputs!$F$7=TRUE,Inputs!$F$7="TRUE",Inputs!$F$7=1),(((SQRT(((Inputs!$I$7+(((A199)+1)/2)*(Inputs!$J$7-Inputs!$I$7)))^2+Inputs!$C$6^2+((Inputs!$H$7+Inputs!$L$7*(((Inputs!$I$7+(((A199)+1)/2)*(Inputs!$J$7-Inputs!$I$7)))/Inputs!$K$7)^2))^2))-((Inputs!$H$7+Inputs!$L$7*(((Inputs!$I$7+(((A199)+1)/2)*(Inputs!$J$7-Inputs!$I$7)))/Inputs!$K$7)^2)))*1000/Inputs!$C$12),NA())</f>
        <v>74326.340456672449</v>
      </c>
      <c r="J199" s="9">
        <f>IF(OR(Inputs!$F$8=TRUE,Inputs!$F$8="TRUE",Inputs!$F$8=1),(((SQRT(((Inputs!$I$8+(((A199)+1)/2)*(Inputs!$J$8-Inputs!$I$8)))^2+Inputs!$C$6^2+((Inputs!$H$8+Inputs!$L$8*(((Inputs!$I$8+(((A199)+1)/2)*(Inputs!$J$8-Inputs!$I$8)))/Inputs!$K$8)^2))^2))-((Inputs!$H$8+Inputs!$L$8*(((Inputs!$I$8+(((A199)+1)/2)*(Inputs!$J$8-Inputs!$I$8)))/Inputs!$K$8)^2)))*1000/Inputs!$C$12),NA())</f>
        <v>134453.64161391763</v>
      </c>
      <c r="K199" s="9">
        <f>IF(OR(Inputs!$F$9=TRUE,Inputs!$F$9="TRUE",Inputs!$F$9=1),(((SQRT(((Inputs!$I$9+(((A199)+1)/2)*(Inputs!$J$9-Inputs!$I$9)))^2+Inputs!$C$6^2+((Inputs!$H$9+Inputs!$L$9*(((Inputs!$I$9+(((A199)+1)/2)*(Inputs!$J$9-Inputs!$I$9)))/Inputs!$K$9)^2))^2))-((Inputs!$H$9+Inputs!$L$9*(((Inputs!$I$9+(((A199)+1)/2)*(Inputs!$J$9-Inputs!$I$9)))/Inputs!$K$9)^2)))*1000/Inputs!$C$12),NA())</f>
        <v>135638.17041677615</v>
      </c>
      <c r="L199" s="10"/>
      <c r="M199" s="9">
        <f t="shared" si="19"/>
        <v>0.64200000000000002</v>
      </c>
      <c r="N199" s="9">
        <f>IF(OR(Inputs!$F$6=TRUE,Inputs!$F$6="TRUE",Inputs!$F$6=1),(-2*((1000*((((Inputs!$I$6+(((A199)+1)/2)*(Inputs!$J$6-Inputs!$I$6)))*Inputs!$C$11+((Inputs!$H$6+Inputs!$L$6*(((Inputs!$I$6+(((A199)+1)/2)*(Inputs!$J$6-Inputs!$I$6)))/Inputs!$K$6)^2))*((2*Inputs!$L$6*((Inputs!$I$6+(((A199)+1)/2)*(Inputs!$J$6-Inputs!$I$6)))/(Inputs!$K$6^2)*Inputs!$C$11)))/(SQRT(((Inputs!$I$6+(((A199)+1)/2)*(Inputs!$J$6-Inputs!$I$6)))^2+Inputs!$C$6^2+((Inputs!$H$6+Inputs!$L$6*(((Inputs!$I$6+(((A199)+1)/2)*(Inputs!$J$6-Inputs!$I$6)))/Inputs!$K$6)^2))^2)))))/Inputs!$C$13),NA())</f>
        <v>-288.52785473690625</v>
      </c>
      <c r="O199" s="9">
        <f>IF(OR(Inputs!$F$7=TRUE,Inputs!$F$7="TRUE",Inputs!$F$7=1),(-2*((1000*((((Inputs!$I$7+(((A199)+1)/2)*(Inputs!$J$7-Inputs!$I$7)))*Inputs!$C$11+((Inputs!$H$7+Inputs!$L$7*(((Inputs!$I$7+(((A199)+1)/2)*(Inputs!$J$7-Inputs!$I$7)))/Inputs!$K$7)^2))*((2*Inputs!$L$7*((Inputs!$I$7+(((A199)+1)/2)*(Inputs!$J$7-Inputs!$I$7)))/(Inputs!$K$7^2)*Inputs!$C$11)))/(SQRT(((Inputs!$I$7+(((A199)+1)/2)*(Inputs!$J$7-Inputs!$I$7)))^2+Inputs!$C$6^2+((Inputs!$H$7+Inputs!$L$7*(((Inputs!$I$7+(((A199)+1)/2)*(Inputs!$J$7-Inputs!$I$7)))/Inputs!$K$7)^2))^2)))))/Inputs!$C$13),NA())</f>
        <v>-2387.2071450340836</v>
      </c>
      <c r="P199" s="9">
        <f>IF(OR(Inputs!$F$8=TRUE,Inputs!$F$8="TRUE",Inputs!$F$8=1),(-2*((1000*((((Inputs!$I$8+(((A199)+1)/2)*(Inputs!$J$8-Inputs!$I$8)))*Inputs!$C$11+((Inputs!$H$8+Inputs!$L$8*(((Inputs!$I$8+(((A199)+1)/2)*(Inputs!$J$8-Inputs!$I$8)))/Inputs!$K$8)^2))*((2*Inputs!$L$8*((Inputs!$I$8+(((A199)+1)/2)*(Inputs!$J$8-Inputs!$I$8)))/(Inputs!$K$8^2)*Inputs!$C$11)))/(SQRT(((Inputs!$I$8+(((A199)+1)/2)*(Inputs!$J$8-Inputs!$I$8)))^2+Inputs!$C$6^2+((Inputs!$H$8+Inputs!$L$8*(((Inputs!$I$8+(((A199)+1)/2)*(Inputs!$J$8-Inputs!$I$8)))/Inputs!$K$8)^2))^2)))))/Inputs!$C$13),NA())</f>
        <v>-2818.3810277687039</v>
      </c>
      <c r="Q199" s="9">
        <f>IF(OR(Inputs!$F$9=TRUE,Inputs!$F$9="TRUE",Inputs!$F$9=1),(-2*((1000*((((Inputs!$I$9+(((A199)+1)/2)*(Inputs!$J$9-Inputs!$I$9)))*Inputs!$C$11+((Inputs!$H$9+Inputs!$L$9*(((Inputs!$I$9+(((A199)+1)/2)*(Inputs!$J$9-Inputs!$I$9)))/Inputs!$K$9)^2))*((2*Inputs!$L$9*((Inputs!$I$9+(((A199)+1)/2)*(Inputs!$J$9-Inputs!$I$9)))/(Inputs!$K$9^2)*Inputs!$C$11)))/(SQRT(((Inputs!$I$9+(((A199)+1)/2)*(Inputs!$J$9-Inputs!$I$9)))^2+Inputs!$C$6^2+((Inputs!$H$9+Inputs!$L$9*(((Inputs!$I$9+(((A199)+1)/2)*(Inputs!$J$9-Inputs!$I$9)))/Inputs!$K$9)^2))^2)))))/Inputs!$C$13),NA())</f>
        <v>-2828.8845972260715</v>
      </c>
      <c r="R199" s="10"/>
      <c r="S199" s="9">
        <f t="shared" si="20"/>
        <v>0.64200000000000002</v>
      </c>
      <c r="T199" s="9">
        <f>(Inputs!$I$6+(((A199)+1)/2)*(Inputs!$J$6-Inputs!$I$6))</f>
        <v>38.519999999999996</v>
      </c>
      <c r="U199" s="9">
        <f>(Inputs!$I$7+(((A199)+1)/2)*(Inputs!$J$7-Inputs!$I$7))</f>
        <v>256.79999999999995</v>
      </c>
      <c r="V199" s="9">
        <f>(Inputs!$I$8+(((A199)+1)/2)*(Inputs!$J$8-Inputs!$I$8))</f>
        <v>513.59999999999991</v>
      </c>
      <c r="W199" s="9">
        <f>(Inputs!$I$9+(((A199)+1)/2)*(Inputs!$J$9-Inputs!$I$9))</f>
        <v>513.59999999999991</v>
      </c>
      <c r="X199" s="10"/>
      <c r="Y199" s="9">
        <f t="shared" si="21"/>
        <v>0.64200000000000002</v>
      </c>
      <c r="Z199" s="9">
        <f>(Inputs!$H$6+Inputs!$L$6*(((Inputs!$I$6+(((A199)+1)/2)*(Inputs!$J$6-Inputs!$I$6)))/Inputs!$K$6)^2)</f>
        <v>401.64865600000002</v>
      </c>
      <c r="AA199" s="9">
        <f>(Inputs!$H$7+Inputs!$L$7*(((Inputs!$I$7+(((A199)+1)/2)*(Inputs!$J$7-Inputs!$I$7)))/Inputs!$K$7)^2)</f>
        <v>185.43985999999995</v>
      </c>
      <c r="AB199" s="9">
        <f>(Inputs!$H$8+Inputs!$L$8*(((Inputs!$I$8+(((A199)+1)/2)*(Inputs!$J$8-Inputs!$I$8)))/Inputs!$K$8)^2)</f>
        <v>432.73825999999985</v>
      </c>
      <c r="AC199" s="9">
        <f>(Inputs!$H$9+Inputs!$L$9*(((Inputs!$I$9+(((A199)+1)/2)*(Inputs!$J$9-Inputs!$I$9)))/Inputs!$K$9)^2)</f>
        <v>426.85989999999987</v>
      </c>
      <c r="AD199" s="10"/>
      <c r="AE199" s="9">
        <f t="shared" si="22"/>
        <v>0.64200000000000002</v>
      </c>
      <c r="AF199" s="9">
        <f>(((SQRT(((Inputs!$I$6+(((A199)+1)/2)*(Inputs!$J$6-Inputs!$I$6)))^2+Inputs!$C$6^2+((Inputs!$H$6+Inputs!$L$6*(((Inputs!$I$6+(((A199)+1)/2)*(Inputs!$J$6-Inputs!$I$6)))/Inputs!$K$6)^2))^2))-((Inputs!$H$6+Inputs!$L$6*(((Inputs!$I$6+(((A199)+1)/2)*(Inputs!$J$6-Inputs!$I$6)))/Inputs!$K$6)^2)))*1000/Inputs!$C$12)</f>
        <v>1470.0250543717877</v>
      </c>
      <c r="AG199" s="9">
        <f>(((SQRT(((Inputs!$I$7+(((A199)+1)/2)*(Inputs!$J$7-Inputs!$I$7)))^2+Inputs!$C$6^2+((Inputs!$H$7+Inputs!$L$7*(((Inputs!$I$7+(((A199)+1)/2)*(Inputs!$J$7-Inputs!$I$7)))/Inputs!$K$7)^2))^2))-((Inputs!$H$7+Inputs!$L$7*(((Inputs!$I$7+(((A199)+1)/2)*(Inputs!$J$7-Inputs!$I$7)))/Inputs!$K$7)^2)))*1000/Inputs!$C$12)</f>
        <v>74326.340456672449</v>
      </c>
      <c r="AH199" s="9">
        <f>(((SQRT(((Inputs!$I$8+(((A199)+1)/2)*(Inputs!$J$8-Inputs!$I$8)))^2+Inputs!$C$6^2+((Inputs!$H$8+Inputs!$L$8*(((Inputs!$I$8+(((A199)+1)/2)*(Inputs!$J$8-Inputs!$I$8)))/Inputs!$K$8)^2))^2))-((Inputs!$H$8+Inputs!$L$8*(((Inputs!$I$8+(((A199)+1)/2)*(Inputs!$J$8-Inputs!$I$8)))/Inputs!$K$8)^2)))*1000/Inputs!$C$12)</f>
        <v>134453.64161391763</v>
      </c>
      <c r="AI199" s="9">
        <f>(((SQRT(((Inputs!$I$9+(((A199)+1)/2)*(Inputs!$J$9-Inputs!$I$9)))^2+Inputs!$C$6^2+((Inputs!$H$9+Inputs!$L$9*(((Inputs!$I$9+(((A199)+1)/2)*(Inputs!$J$9-Inputs!$I$9)))/Inputs!$K$9)^2))^2))-((Inputs!$H$9+Inputs!$L$9*(((Inputs!$I$9+(((A199)+1)/2)*(Inputs!$J$9-Inputs!$I$9)))/Inputs!$K$9)^2)))*1000/Inputs!$C$12)</f>
        <v>135638.17041677615</v>
      </c>
      <c r="AJ199" s="10"/>
      <c r="AK199" s="9">
        <f t="shared" si="23"/>
        <v>0.64200000000000002</v>
      </c>
      <c r="AL199" s="9">
        <f>(-2*((1000*((((Inputs!$I$6+(((A199)+1)/2)*(Inputs!$J$6-Inputs!$I$6)))*Inputs!$C$11+((Inputs!$H$6+Inputs!$L$6*(((Inputs!$I$6+(((A199)+1)/2)*(Inputs!$J$6-Inputs!$I$6)))/Inputs!$K$6)^2))*((2*Inputs!$L$6*((Inputs!$I$6+(((A199)+1)/2)*(Inputs!$J$6-Inputs!$I$6)))/(Inputs!$K$6^2)*Inputs!$C$11)))/(SQRT(((Inputs!$I$6+(((A199)+1)/2)*(Inputs!$J$6-Inputs!$I$6)))^2+Inputs!$C$6^2+((Inputs!$H$6+Inputs!$L$6*(((Inputs!$I$6+(((A199)+1)/2)*(Inputs!$J$6-Inputs!$I$6)))/Inputs!$K$6)^2))^2)))))/Inputs!$C$13)</f>
        <v>-288.52785473690625</v>
      </c>
      <c r="AM199" s="9">
        <f>(-2*((1000*((((Inputs!$I$7+(((A199)+1)/2)*(Inputs!$J$7-Inputs!$I$7)))*Inputs!$C$11+((Inputs!$H$7+Inputs!$L$7*(((Inputs!$I$7+(((A199)+1)/2)*(Inputs!$J$7-Inputs!$I$7)))/Inputs!$K$7)^2))*((2*Inputs!$L$7*((Inputs!$I$7+(((A199)+1)/2)*(Inputs!$J$7-Inputs!$I$7)))/(Inputs!$K$7^2)*Inputs!$C$11)))/(SQRT(((Inputs!$I$7+(((A199)+1)/2)*(Inputs!$J$7-Inputs!$I$7)))^2+Inputs!$C$6^2+((Inputs!$H$7+Inputs!$L$7*(((Inputs!$I$7+(((A199)+1)/2)*(Inputs!$J$7-Inputs!$I$7)))/Inputs!$K$7)^2))^2)))))/Inputs!$C$13)</f>
        <v>-2387.2071450340836</v>
      </c>
      <c r="AN199" s="9">
        <f>(-2*((1000*((((Inputs!$I$8+(((A199)+1)/2)*(Inputs!$J$8-Inputs!$I$8)))*Inputs!$C$11+((Inputs!$H$8+Inputs!$L$8*(((Inputs!$I$8+(((A199)+1)/2)*(Inputs!$J$8-Inputs!$I$8)))/Inputs!$K$8)^2))*((2*Inputs!$L$8*((Inputs!$I$8+(((A199)+1)/2)*(Inputs!$J$8-Inputs!$I$8)))/(Inputs!$K$8^2)*Inputs!$C$11)))/(SQRT(((Inputs!$I$8+(((A199)+1)/2)*(Inputs!$J$8-Inputs!$I$8)))^2+Inputs!$C$6^2+((Inputs!$H$8+Inputs!$L$8*(((Inputs!$I$8+(((A199)+1)/2)*(Inputs!$J$8-Inputs!$I$8)))/Inputs!$K$8)^2))^2)))))/Inputs!$C$13)</f>
        <v>-2818.3810277687039</v>
      </c>
      <c r="AO199" s="9">
        <f>(-2*((1000*((((Inputs!$I$9+(((A199)+1)/2)*(Inputs!$J$9-Inputs!$I$9)))*Inputs!$C$11+((Inputs!$H$9+Inputs!$L$9*(((Inputs!$I$9+(((A199)+1)/2)*(Inputs!$J$9-Inputs!$I$9)))/Inputs!$K$9)^2))*((2*Inputs!$L$9*((Inputs!$I$9+(((A199)+1)/2)*(Inputs!$J$9-Inputs!$I$9)))/(Inputs!$K$9^2)*Inputs!$C$11)))/(SQRT(((Inputs!$I$9+(((A199)+1)/2)*(Inputs!$J$9-Inputs!$I$9)))^2+Inputs!$C$6^2+((Inputs!$H$9+Inputs!$L$9*(((Inputs!$I$9+(((A199)+1)/2)*(Inputs!$J$9-Inputs!$I$9)))/Inputs!$K$9)^2))^2)))))/Inputs!$C$13)</f>
        <v>-2828.8845972260715</v>
      </c>
    </row>
    <row r="200" spans="1:41">
      <c r="A200" s="9">
        <f>ROUND(-1+198*2/240,3)</f>
        <v>0.65</v>
      </c>
      <c r="B200" s="9">
        <f>IF(OR(Inputs!$F$6=TRUE,Inputs!$F$6="TRUE",Inputs!$F$6=1),(Inputs!$H$6+Inputs!$L$6*(((Inputs!$I$6+(((A200)+1)/2)*(Inputs!$J$6-Inputs!$I$6)))/Inputs!$K$6)^2),NA())</f>
        <v>401.69</v>
      </c>
      <c r="C200" s="9">
        <f>IF(OR(Inputs!$F$7=TRUE,Inputs!$F$7="TRUE",Inputs!$F$7=1),(Inputs!$H$7+Inputs!$L$7*(((Inputs!$I$7+(((A200)+1)/2)*(Inputs!$J$7-Inputs!$I$7)))/Inputs!$K$7)^2),NA())</f>
        <v>189.21250000000001</v>
      </c>
      <c r="D200" s="9">
        <f>IF(OR(Inputs!$F$8=TRUE,Inputs!$F$8="TRUE",Inputs!$F$8=1),(Inputs!$H$8+Inputs!$L$8*(((Inputs!$I$8+(((A200)+1)/2)*(Inputs!$J$8-Inputs!$I$8)))/Inputs!$K$8)^2),NA())</f>
        <v>442.71250000000003</v>
      </c>
      <c r="E200" s="9">
        <f>IF(OR(Inputs!$F$9=TRUE,Inputs!$F$9="TRUE",Inputs!$F$9=1),(Inputs!$H$9+Inputs!$L$9*(((Inputs!$I$9+(((A200)+1)/2)*(Inputs!$J$9-Inputs!$I$9)))/Inputs!$K$9)^2),NA())</f>
        <v>436.93750000000006</v>
      </c>
      <c r="F200" s="10"/>
      <c r="G200" s="9">
        <f t="shared" si="18"/>
        <v>0.65</v>
      </c>
      <c r="H200" s="9">
        <f>IF(OR(Inputs!$F$6=TRUE,Inputs!$F$6="TRUE",Inputs!$F$6=1),(((SQRT(((Inputs!$I$6+(((A200)+1)/2)*(Inputs!$J$6-Inputs!$I$6)))^2+Inputs!$C$6^2+((Inputs!$H$6+Inputs!$L$6*(((Inputs!$I$6+(((A200)+1)/2)*(Inputs!$J$6-Inputs!$I$6)))/Inputs!$K$6)^2))^2))-((Inputs!$H$6+Inputs!$L$6*(((Inputs!$I$6+(((A200)+1)/2)*(Inputs!$J$6-Inputs!$I$6)))/Inputs!$K$6)^2)))*1000/Inputs!$C$12),NA())</f>
        <v>1495.7252757464753</v>
      </c>
      <c r="I200" s="9">
        <f>IF(OR(Inputs!$F$7=TRUE,Inputs!$F$7="TRUE",Inputs!$F$7=1),(((SQRT(((Inputs!$I$7+(((A200)+1)/2)*(Inputs!$J$7-Inputs!$I$7)))^2+Inputs!$C$6^2+((Inputs!$H$7+Inputs!$L$7*(((Inputs!$I$7+(((A200)+1)/2)*(Inputs!$J$7-Inputs!$I$7)))/Inputs!$K$7)^2))^2))-((Inputs!$H$7+Inputs!$L$7*(((Inputs!$I$7+(((A200)+1)/2)*(Inputs!$J$7-Inputs!$I$7)))/Inputs!$K$7)^2)))*1000/Inputs!$C$12),NA())</f>
        <v>74898.141872028515</v>
      </c>
      <c r="J200" s="9">
        <f>IF(OR(Inputs!$F$8=TRUE,Inputs!$F$8="TRUE",Inputs!$F$8=1),(((SQRT(((Inputs!$I$8+(((A200)+1)/2)*(Inputs!$J$8-Inputs!$I$8)))^2+Inputs!$C$6^2+((Inputs!$H$8+Inputs!$L$8*(((Inputs!$I$8+(((A200)+1)/2)*(Inputs!$J$8-Inputs!$I$8)))/Inputs!$K$8)^2))^2))-((Inputs!$H$8+Inputs!$L$8*(((Inputs!$I$8+(((A200)+1)/2)*(Inputs!$J$8-Inputs!$I$8)))/Inputs!$K$8)^2)))*1000/Inputs!$C$12),NA())</f>
        <v>135211.03689900014</v>
      </c>
      <c r="K200" s="9">
        <f>IF(OR(Inputs!$F$9=TRUE,Inputs!$F$9="TRUE",Inputs!$F$9=1),(((SQRT(((Inputs!$I$9+(((A200)+1)/2)*(Inputs!$J$9-Inputs!$I$9)))^2+Inputs!$C$6^2+((Inputs!$H$9+Inputs!$L$9*(((Inputs!$I$9+(((A200)+1)/2)*(Inputs!$J$9-Inputs!$I$9)))/Inputs!$K$9)^2))^2))-((Inputs!$H$9+Inputs!$L$9*(((Inputs!$I$9+(((A200)+1)/2)*(Inputs!$J$9-Inputs!$I$9)))/Inputs!$K$9)^2)))*1000/Inputs!$C$12),NA())</f>
        <v>136361.64248877275</v>
      </c>
      <c r="L200" s="10"/>
      <c r="M200" s="9">
        <f t="shared" si="19"/>
        <v>0.65</v>
      </c>
      <c r="N200" s="9">
        <f>IF(OR(Inputs!$F$6=TRUE,Inputs!$F$6="TRUE",Inputs!$F$6=1),(-2*((1000*((((Inputs!$I$6+(((A200)+1)/2)*(Inputs!$J$6-Inputs!$I$6)))*Inputs!$C$11+((Inputs!$H$6+Inputs!$L$6*(((Inputs!$I$6+(((A200)+1)/2)*(Inputs!$J$6-Inputs!$I$6)))/Inputs!$K$6)^2))*((2*Inputs!$L$6*((Inputs!$I$6+(((A200)+1)/2)*(Inputs!$J$6-Inputs!$I$6)))/(Inputs!$K$6^2)*Inputs!$C$11)))/(SQRT(((Inputs!$I$6+(((A200)+1)/2)*(Inputs!$J$6-Inputs!$I$6)))^2+Inputs!$C$6^2+((Inputs!$H$6+Inputs!$L$6*(((Inputs!$I$6+(((A200)+1)/2)*(Inputs!$J$6-Inputs!$I$6)))/Inputs!$K$6)^2))^2)))))/Inputs!$C$13),NA())</f>
        <v>-292.07447752179121</v>
      </c>
      <c r="O200" s="9">
        <f>IF(OR(Inputs!$F$7=TRUE,Inputs!$F$7="TRUE",Inputs!$F$7=1),(-2*((1000*((((Inputs!$I$7+(((A200)+1)/2)*(Inputs!$J$7-Inputs!$I$7)))*Inputs!$C$11+((Inputs!$H$7+Inputs!$L$7*(((Inputs!$I$7+(((A200)+1)/2)*(Inputs!$J$7-Inputs!$I$7)))/Inputs!$K$7)^2))*((2*Inputs!$L$7*((Inputs!$I$7+(((A200)+1)/2)*(Inputs!$J$7-Inputs!$I$7)))/(Inputs!$K$7^2)*Inputs!$C$11)))/(SQRT(((Inputs!$I$7+(((A200)+1)/2)*(Inputs!$J$7-Inputs!$I$7)))^2+Inputs!$C$6^2+((Inputs!$H$7+Inputs!$L$7*(((Inputs!$I$7+(((A200)+1)/2)*(Inputs!$J$7-Inputs!$I$7)))/Inputs!$K$7)^2))^2)))))/Inputs!$C$13),NA())</f>
        <v>-2403.2569343586488</v>
      </c>
      <c r="P200" s="9">
        <f>IF(OR(Inputs!$F$8=TRUE,Inputs!$F$8="TRUE",Inputs!$F$8=1),(-2*((1000*((((Inputs!$I$8+(((A200)+1)/2)*(Inputs!$J$8-Inputs!$I$8)))*Inputs!$C$11+((Inputs!$H$8+Inputs!$L$8*(((Inputs!$I$8+(((A200)+1)/2)*(Inputs!$J$8-Inputs!$I$8)))/Inputs!$K$8)^2))*((2*Inputs!$L$8*((Inputs!$I$8+(((A200)+1)/2)*(Inputs!$J$8-Inputs!$I$8)))/(Inputs!$K$8^2)*Inputs!$C$11)))/(SQRT(((Inputs!$I$8+(((A200)+1)/2)*(Inputs!$J$8-Inputs!$I$8)))^2+Inputs!$C$6^2+((Inputs!$H$8+Inputs!$L$8*(((Inputs!$I$8+(((A200)+1)/2)*(Inputs!$J$8-Inputs!$I$8)))/Inputs!$K$8)^2))^2)))))/Inputs!$C$13),NA())</f>
        <v>-2842.8436676586489</v>
      </c>
      <c r="Q200" s="9">
        <f>IF(OR(Inputs!$F$9=TRUE,Inputs!$F$9="TRUE",Inputs!$F$9=1),(-2*((1000*((((Inputs!$I$9+(((A200)+1)/2)*(Inputs!$J$9-Inputs!$I$9)))*Inputs!$C$11+((Inputs!$H$9+Inputs!$L$9*(((Inputs!$I$9+(((A200)+1)/2)*(Inputs!$J$9-Inputs!$I$9)))/Inputs!$K$9)^2))*((2*Inputs!$L$9*((Inputs!$I$9+(((A200)+1)/2)*(Inputs!$J$9-Inputs!$I$9)))/(Inputs!$K$9^2)*Inputs!$C$11)))/(SQRT(((Inputs!$I$9+(((A200)+1)/2)*(Inputs!$J$9-Inputs!$I$9)))^2+Inputs!$C$6^2+((Inputs!$H$9+Inputs!$L$9*(((Inputs!$I$9+(((A200)+1)/2)*(Inputs!$J$9-Inputs!$I$9)))/Inputs!$K$9)^2))^2)))))/Inputs!$C$13),NA())</f>
        <v>-2853.82848846453</v>
      </c>
      <c r="R200" s="10"/>
      <c r="S200" s="9">
        <f t="shared" si="20"/>
        <v>0.65</v>
      </c>
      <c r="T200" s="9">
        <f>(Inputs!$I$6+(((A200)+1)/2)*(Inputs!$J$6-Inputs!$I$6))</f>
        <v>39</v>
      </c>
      <c r="U200" s="9">
        <f>(Inputs!$I$7+(((A200)+1)/2)*(Inputs!$J$7-Inputs!$I$7))</f>
        <v>260</v>
      </c>
      <c r="V200" s="9">
        <f>(Inputs!$I$8+(((A200)+1)/2)*(Inputs!$J$8-Inputs!$I$8))</f>
        <v>520</v>
      </c>
      <c r="W200" s="9">
        <f>(Inputs!$I$9+(((A200)+1)/2)*(Inputs!$J$9-Inputs!$I$9))</f>
        <v>520</v>
      </c>
      <c r="X200" s="10"/>
      <c r="Y200" s="9">
        <f t="shared" si="21"/>
        <v>0.65</v>
      </c>
      <c r="Z200" s="9">
        <f>(Inputs!$H$6+Inputs!$L$6*(((Inputs!$I$6+(((A200)+1)/2)*(Inputs!$J$6-Inputs!$I$6)))/Inputs!$K$6)^2)</f>
        <v>401.69</v>
      </c>
      <c r="AA200" s="9">
        <f>(Inputs!$H$7+Inputs!$L$7*(((Inputs!$I$7+(((A200)+1)/2)*(Inputs!$J$7-Inputs!$I$7)))/Inputs!$K$7)^2)</f>
        <v>189.21250000000001</v>
      </c>
      <c r="AB200" s="9">
        <f>(Inputs!$H$8+Inputs!$L$8*(((Inputs!$I$8+(((A200)+1)/2)*(Inputs!$J$8-Inputs!$I$8)))/Inputs!$K$8)^2)</f>
        <v>442.71250000000003</v>
      </c>
      <c r="AC200" s="9">
        <f>(Inputs!$H$9+Inputs!$L$9*(((Inputs!$I$9+(((A200)+1)/2)*(Inputs!$J$9-Inputs!$I$9)))/Inputs!$K$9)^2)</f>
        <v>436.93750000000006</v>
      </c>
      <c r="AD200" s="10"/>
      <c r="AE200" s="9">
        <f t="shared" si="22"/>
        <v>0.65</v>
      </c>
      <c r="AF200" s="9">
        <f>(((SQRT(((Inputs!$I$6+(((A200)+1)/2)*(Inputs!$J$6-Inputs!$I$6)))^2+Inputs!$C$6^2+((Inputs!$H$6+Inputs!$L$6*(((Inputs!$I$6+(((A200)+1)/2)*(Inputs!$J$6-Inputs!$I$6)))/Inputs!$K$6)^2))^2))-((Inputs!$H$6+Inputs!$L$6*(((Inputs!$I$6+(((A200)+1)/2)*(Inputs!$J$6-Inputs!$I$6)))/Inputs!$K$6)^2)))*1000/Inputs!$C$12)</f>
        <v>1495.7252757464753</v>
      </c>
      <c r="AG200" s="9">
        <f>(((SQRT(((Inputs!$I$7+(((A200)+1)/2)*(Inputs!$J$7-Inputs!$I$7)))^2+Inputs!$C$6^2+((Inputs!$H$7+Inputs!$L$7*(((Inputs!$I$7+(((A200)+1)/2)*(Inputs!$J$7-Inputs!$I$7)))/Inputs!$K$7)^2))^2))-((Inputs!$H$7+Inputs!$L$7*(((Inputs!$I$7+(((A200)+1)/2)*(Inputs!$J$7-Inputs!$I$7)))/Inputs!$K$7)^2)))*1000/Inputs!$C$12)</f>
        <v>74898.141872028515</v>
      </c>
      <c r="AH200" s="9">
        <f>(((SQRT(((Inputs!$I$8+(((A200)+1)/2)*(Inputs!$J$8-Inputs!$I$8)))^2+Inputs!$C$6^2+((Inputs!$H$8+Inputs!$L$8*(((Inputs!$I$8+(((A200)+1)/2)*(Inputs!$J$8-Inputs!$I$8)))/Inputs!$K$8)^2))^2))-((Inputs!$H$8+Inputs!$L$8*(((Inputs!$I$8+(((A200)+1)/2)*(Inputs!$J$8-Inputs!$I$8)))/Inputs!$K$8)^2)))*1000/Inputs!$C$12)</f>
        <v>135211.03689900014</v>
      </c>
      <c r="AI200" s="9">
        <f>(((SQRT(((Inputs!$I$9+(((A200)+1)/2)*(Inputs!$J$9-Inputs!$I$9)))^2+Inputs!$C$6^2+((Inputs!$H$9+Inputs!$L$9*(((Inputs!$I$9+(((A200)+1)/2)*(Inputs!$J$9-Inputs!$I$9)))/Inputs!$K$9)^2))^2))-((Inputs!$H$9+Inputs!$L$9*(((Inputs!$I$9+(((A200)+1)/2)*(Inputs!$J$9-Inputs!$I$9)))/Inputs!$K$9)^2)))*1000/Inputs!$C$12)</f>
        <v>136361.64248877275</v>
      </c>
      <c r="AJ200" s="10"/>
      <c r="AK200" s="9">
        <f t="shared" si="23"/>
        <v>0.65</v>
      </c>
      <c r="AL200" s="9">
        <f>(-2*((1000*((((Inputs!$I$6+(((A200)+1)/2)*(Inputs!$J$6-Inputs!$I$6)))*Inputs!$C$11+((Inputs!$H$6+Inputs!$L$6*(((Inputs!$I$6+(((A200)+1)/2)*(Inputs!$J$6-Inputs!$I$6)))/Inputs!$K$6)^2))*((2*Inputs!$L$6*((Inputs!$I$6+(((A200)+1)/2)*(Inputs!$J$6-Inputs!$I$6)))/(Inputs!$K$6^2)*Inputs!$C$11)))/(SQRT(((Inputs!$I$6+(((A200)+1)/2)*(Inputs!$J$6-Inputs!$I$6)))^2+Inputs!$C$6^2+((Inputs!$H$6+Inputs!$L$6*(((Inputs!$I$6+(((A200)+1)/2)*(Inputs!$J$6-Inputs!$I$6)))/Inputs!$K$6)^2))^2)))))/Inputs!$C$13)</f>
        <v>-292.07447752179121</v>
      </c>
      <c r="AM200" s="9">
        <f>(-2*((1000*((((Inputs!$I$7+(((A200)+1)/2)*(Inputs!$J$7-Inputs!$I$7)))*Inputs!$C$11+((Inputs!$H$7+Inputs!$L$7*(((Inputs!$I$7+(((A200)+1)/2)*(Inputs!$J$7-Inputs!$I$7)))/Inputs!$K$7)^2))*((2*Inputs!$L$7*((Inputs!$I$7+(((A200)+1)/2)*(Inputs!$J$7-Inputs!$I$7)))/(Inputs!$K$7^2)*Inputs!$C$11)))/(SQRT(((Inputs!$I$7+(((A200)+1)/2)*(Inputs!$J$7-Inputs!$I$7)))^2+Inputs!$C$6^2+((Inputs!$H$7+Inputs!$L$7*(((Inputs!$I$7+(((A200)+1)/2)*(Inputs!$J$7-Inputs!$I$7)))/Inputs!$K$7)^2))^2)))))/Inputs!$C$13)</f>
        <v>-2403.2569343586488</v>
      </c>
      <c r="AN200" s="9">
        <f>(-2*((1000*((((Inputs!$I$8+(((A200)+1)/2)*(Inputs!$J$8-Inputs!$I$8)))*Inputs!$C$11+((Inputs!$H$8+Inputs!$L$8*(((Inputs!$I$8+(((A200)+1)/2)*(Inputs!$J$8-Inputs!$I$8)))/Inputs!$K$8)^2))*((2*Inputs!$L$8*((Inputs!$I$8+(((A200)+1)/2)*(Inputs!$J$8-Inputs!$I$8)))/(Inputs!$K$8^2)*Inputs!$C$11)))/(SQRT(((Inputs!$I$8+(((A200)+1)/2)*(Inputs!$J$8-Inputs!$I$8)))^2+Inputs!$C$6^2+((Inputs!$H$8+Inputs!$L$8*(((Inputs!$I$8+(((A200)+1)/2)*(Inputs!$J$8-Inputs!$I$8)))/Inputs!$K$8)^2))^2)))))/Inputs!$C$13)</f>
        <v>-2842.8436676586489</v>
      </c>
      <c r="AO200" s="9">
        <f>(-2*((1000*((((Inputs!$I$9+(((A200)+1)/2)*(Inputs!$J$9-Inputs!$I$9)))*Inputs!$C$11+((Inputs!$H$9+Inputs!$L$9*(((Inputs!$I$9+(((A200)+1)/2)*(Inputs!$J$9-Inputs!$I$9)))/Inputs!$K$9)^2))*((2*Inputs!$L$9*((Inputs!$I$9+(((A200)+1)/2)*(Inputs!$J$9-Inputs!$I$9)))/(Inputs!$K$9^2)*Inputs!$C$11)))/(SQRT(((Inputs!$I$9+(((A200)+1)/2)*(Inputs!$J$9-Inputs!$I$9)))^2+Inputs!$C$6^2+((Inputs!$H$9+Inputs!$L$9*(((Inputs!$I$9+(((A200)+1)/2)*(Inputs!$J$9-Inputs!$I$9)))/Inputs!$K$9)^2))^2)))))/Inputs!$C$13)</f>
        <v>-2853.82848846453</v>
      </c>
    </row>
    <row r="201" spans="1:41">
      <c r="A201" s="9">
        <f>ROUND(-1+199*2/240,3)</f>
        <v>0.65800000000000003</v>
      </c>
      <c r="B201" s="9">
        <f>IF(OR(Inputs!$F$6=TRUE,Inputs!$F$6="TRUE",Inputs!$F$6=1),(Inputs!$H$6+Inputs!$L$6*(((Inputs!$I$6+(((A201)+1)/2)*(Inputs!$J$6-Inputs!$I$6)))/Inputs!$K$6)^2),NA())</f>
        <v>401.73185599999999</v>
      </c>
      <c r="C201" s="9">
        <f>IF(OR(Inputs!$F$7=TRUE,Inputs!$F$7="TRUE",Inputs!$F$7=1),(Inputs!$H$7+Inputs!$L$7*(((Inputs!$I$7+(((A201)+1)/2)*(Inputs!$J$7-Inputs!$I$7)))/Inputs!$K$7)^2),NA())</f>
        <v>193.03185999999991</v>
      </c>
      <c r="D201" s="9">
        <f>IF(OR(Inputs!$F$8=TRUE,Inputs!$F$8="TRUE",Inputs!$F$8=1),(Inputs!$H$8+Inputs!$L$8*(((Inputs!$I$8+(((A201)+1)/2)*(Inputs!$J$8-Inputs!$I$8)))/Inputs!$K$8)^2),NA())</f>
        <v>452.81025999999974</v>
      </c>
      <c r="E201" s="9">
        <f>IF(OR(Inputs!$F$9=TRUE,Inputs!$F$9="TRUE",Inputs!$F$9=1),(Inputs!$H$9+Inputs!$L$9*(((Inputs!$I$9+(((A201)+1)/2)*(Inputs!$J$9-Inputs!$I$9)))/Inputs!$K$9)^2),NA())</f>
        <v>447.13989999999973</v>
      </c>
      <c r="F201" s="10"/>
      <c r="G201" s="9">
        <f t="shared" si="18"/>
        <v>0.65800000000000003</v>
      </c>
      <c r="H201" s="9">
        <f>IF(OR(Inputs!$F$6=TRUE,Inputs!$F$6="TRUE",Inputs!$F$6=1),(((SQRT(((Inputs!$I$6+(((A201)+1)/2)*(Inputs!$J$6-Inputs!$I$6)))^2+Inputs!$C$6^2+((Inputs!$H$6+Inputs!$L$6*(((Inputs!$I$6+(((A201)+1)/2)*(Inputs!$J$6-Inputs!$I$6)))/Inputs!$K$6)^2))^2))-((Inputs!$H$6+Inputs!$L$6*(((Inputs!$I$6+(((A201)+1)/2)*(Inputs!$J$6-Inputs!$I$6)))/Inputs!$K$6)^2)))*1000/Inputs!$C$12),NA())</f>
        <v>1521.7354525077872</v>
      </c>
      <c r="I201" s="9">
        <f>IF(OR(Inputs!$F$7=TRUE,Inputs!$F$7="TRUE",Inputs!$F$7=1),(((SQRT(((Inputs!$I$7+(((A201)+1)/2)*(Inputs!$J$7-Inputs!$I$7)))^2+Inputs!$C$6^2+((Inputs!$H$7+Inputs!$L$7*(((Inputs!$I$7+(((A201)+1)/2)*(Inputs!$J$7-Inputs!$I$7)))/Inputs!$K$7)^2))^2))-((Inputs!$H$7+Inputs!$L$7*(((Inputs!$I$7+(((A201)+1)/2)*(Inputs!$J$7-Inputs!$I$7)))/Inputs!$K$7)^2)))*1000/Inputs!$C$12),NA())</f>
        <v>75461.788586835086</v>
      </c>
      <c r="J201" s="9">
        <f>IF(OR(Inputs!$F$8=TRUE,Inputs!$F$8="TRUE",Inputs!$F$8=1),(((SQRT(((Inputs!$I$8+(((A201)+1)/2)*(Inputs!$J$8-Inputs!$I$8)))^2+Inputs!$C$6^2+((Inputs!$H$8+Inputs!$L$8*(((Inputs!$I$8+(((A201)+1)/2)*(Inputs!$J$8-Inputs!$I$8)))/Inputs!$K$8)^2))^2))-((Inputs!$H$8+Inputs!$L$8*(((Inputs!$I$8+(((A201)+1)/2)*(Inputs!$J$8-Inputs!$I$8)))/Inputs!$K$8)^2)))*1000/Inputs!$C$12),NA())</f>
        <v>135954.16439863585</v>
      </c>
      <c r="K201" s="9">
        <f>IF(OR(Inputs!$F$9=TRUE,Inputs!$F$9="TRUE",Inputs!$F$9=1),(((SQRT(((Inputs!$I$9+(((A201)+1)/2)*(Inputs!$J$9-Inputs!$I$9)))^2+Inputs!$C$6^2+((Inputs!$H$9+Inputs!$L$9*(((Inputs!$I$9+(((A201)+1)/2)*(Inputs!$J$9-Inputs!$I$9)))/Inputs!$K$9)^2))^2))-((Inputs!$H$9+Inputs!$L$9*(((Inputs!$I$9+(((A201)+1)/2)*(Inputs!$J$9-Inputs!$I$9)))/Inputs!$K$9)^2)))*1000/Inputs!$C$12),NA())</f>
        <v>137071.20942254559</v>
      </c>
      <c r="L201" s="10"/>
      <c r="M201" s="9">
        <f t="shared" si="19"/>
        <v>0.65800000000000003</v>
      </c>
      <c r="N201" s="9">
        <f>IF(OR(Inputs!$F$6=TRUE,Inputs!$F$6="TRUE",Inputs!$F$6=1),(-2*((1000*((((Inputs!$I$6+(((A201)+1)/2)*(Inputs!$J$6-Inputs!$I$6)))*Inputs!$C$11+((Inputs!$H$6+Inputs!$L$6*(((Inputs!$I$6+(((A201)+1)/2)*(Inputs!$J$6-Inputs!$I$6)))/Inputs!$K$6)^2))*((2*Inputs!$L$6*((Inputs!$I$6+(((A201)+1)/2)*(Inputs!$J$6-Inputs!$I$6)))/(Inputs!$K$6^2)*Inputs!$C$11)))/(SQRT(((Inputs!$I$6+(((A201)+1)/2)*(Inputs!$J$6-Inputs!$I$6)))^2+Inputs!$C$6^2+((Inputs!$H$6+Inputs!$L$6*(((Inputs!$I$6+(((A201)+1)/2)*(Inputs!$J$6-Inputs!$I$6)))/Inputs!$K$6)^2))^2)))))/Inputs!$C$13),NA())</f>
        <v>-295.61932199881073</v>
      </c>
      <c r="O201" s="9">
        <f>IF(OR(Inputs!$F$7=TRUE,Inputs!$F$7="TRUE",Inputs!$F$7=1),(-2*((1000*((((Inputs!$I$7+(((A201)+1)/2)*(Inputs!$J$7-Inputs!$I$7)))*Inputs!$C$11+((Inputs!$H$7+Inputs!$L$7*(((Inputs!$I$7+(((A201)+1)/2)*(Inputs!$J$7-Inputs!$I$7)))/Inputs!$K$7)^2))*((2*Inputs!$L$7*((Inputs!$I$7+(((A201)+1)/2)*(Inputs!$J$7-Inputs!$I$7)))/(Inputs!$K$7^2)*Inputs!$C$11)))/(SQRT(((Inputs!$I$7+(((A201)+1)/2)*(Inputs!$J$7-Inputs!$I$7)))^2+Inputs!$C$6^2+((Inputs!$H$7+Inputs!$L$7*(((Inputs!$I$7+(((A201)+1)/2)*(Inputs!$J$7-Inputs!$I$7)))/Inputs!$K$7)^2))^2)))))/Inputs!$C$13),NA())</f>
        <v>-2419.4116238719453</v>
      </c>
      <c r="P201" s="9">
        <f>IF(OR(Inputs!$F$8=TRUE,Inputs!$F$8="TRUE",Inputs!$F$8=1),(-2*((1000*((((Inputs!$I$8+(((A201)+1)/2)*(Inputs!$J$8-Inputs!$I$8)))*Inputs!$C$11+((Inputs!$H$8+Inputs!$L$8*(((Inputs!$I$8+(((A201)+1)/2)*(Inputs!$J$8-Inputs!$I$8)))/Inputs!$K$8)^2))*((2*Inputs!$L$8*((Inputs!$I$8+(((A201)+1)/2)*(Inputs!$J$8-Inputs!$I$8)))/(Inputs!$K$8^2)*Inputs!$C$11)))/(SQRT(((Inputs!$I$8+(((A201)+1)/2)*(Inputs!$J$8-Inputs!$I$8)))^2+Inputs!$C$6^2+((Inputs!$H$8+Inputs!$L$8*(((Inputs!$I$8+(((A201)+1)/2)*(Inputs!$J$8-Inputs!$I$8)))/Inputs!$K$8)^2))^2)))))/Inputs!$C$13),NA())</f>
        <v>-2867.4422206456557</v>
      </c>
      <c r="Q201" s="9">
        <f>IF(OR(Inputs!$F$9=TRUE,Inputs!$F$9="TRUE",Inputs!$F$9=1),(-2*((1000*((((Inputs!$I$9+(((A201)+1)/2)*(Inputs!$J$9-Inputs!$I$9)))*Inputs!$C$11+((Inputs!$H$9+Inputs!$L$9*(((Inputs!$I$9+(((A201)+1)/2)*(Inputs!$J$9-Inputs!$I$9)))/Inputs!$K$9)^2))*((2*Inputs!$L$9*((Inputs!$I$9+(((A201)+1)/2)*(Inputs!$J$9-Inputs!$I$9)))/(Inputs!$K$9^2)*Inputs!$C$11)))/(SQRT(((Inputs!$I$9+(((A201)+1)/2)*(Inputs!$J$9-Inputs!$I$9)))^2+Inputs!$C$6^2+((Inputs!$H$9+Inputs!$L$9*(((Inputs!$I$9+(((A201)+1)/2)*(Inputs!$J$9-Inputs!$I$9)))/Inputs!$K$9)^2))^2)))))/Inputs!$C$13),NA())</f>
        <v>-2878.9085233499354</v>
      </c>
      <c r="R201" s="10"/>
      <c r="S201" s="9">
        <f t="shared" si="20"/>
        <v>0.65800000000000003</v>
      </c>
      <c r="T201" s="9">
        <f>(Inputs!$I$6+(((A201)+1)/2)*(Inputs!$J$6-Inputs!$I$6))</f>
        <v>39.47999999999999</v>
      </c>
      <c r="U201" s="9">
        <f>(Inputs!$I$7+(((A201)+1)/2)*(Inputs!$J$7-Inputs!$I$7))</f>
        <v>263.19999999999993</v>
      </c>
      <c r="V201" s="9">
        <f>(Inputs!$I$8+(((A201)+1)/2)*(Inputs!$J$8-Inputs!$I$8))</f>
        <v>526.39999999999986</v>
      </c>
      <c r="W201" s="9">
        <f>(Inputs!$I$9+(((A201)+1)/2)*(Inputs!$J$9-Inputs!$I$9))</f>
        <v>526.39999999999986</v>
      </c>
      <c r="X201" s="10"/>
      <c r="Y201" s="9">
        <f t="shared" si="21"/>
        <v>0.65800000000000003</v>
      </c>
      <c r="Z201" s="9">
        <f>(Inputs!$H$6+Inputs!$L$6*(((Inputs!$I$6+(((A201)+1)/2)*(Inputs!$J$6-Inputs!$I$6)))/Inputs!$K$6)^2)</f>
        <v>401.73185599999999</v>
      </c>
      <c r="AA201" s="9">
        <f>(Inputs!$H$7+Inputs!$L$7*(((Inputs!$I$7+(((A201)+1)/2)*(Inputs!$J$7-Inputs!$I$7)))/Inputs!$K$7)^2)</f>
        <v>193.03185999999991</v>
      </c>
      <c r="AB201" s="9">
        <f>(Inputs!$H$8+Inputs!$L$8*(((Inputs!$I$8+(((A201)+1)/2)*(Inputs!$J$8-Inputs!$I$8)))/Inputs!$K$8)^2)</f>
        <v>452.81025999999974</v>
      </c>
      <c r="AC201" s="9">
        <f>(Inputs!$H$9+Inputs!$L$9*(((Inputs!$I$9+(((A201)+1)/2)*(Inputs!$J$9-Inputs!$I$9)))/Inputs!$K$9)^2)</f>
        <v>447.13989999999973</v>
      </c>
      <c r="AD201" s="10"/>
      <c r="AE201" s="9">
        <f t="shared" si="22"/>
        <v>0.65800000000000003</v>
      </c>
      <c r="AF201" s="9">
        <f>(((SQRT(((Inputs!$I$6+(((A201)+1)/2)*(Inputs!$J$6-Inputs!$I$6)))^2+Inputs!$C$6^2+((Inputs!$H$6+Inputs!$L$6*(((Inputs!$I$6+(((A201)+1)/2)*(Inputs!$J$6-Inputs!$I$6)))/Inputs!$K$6)^2))^2))-((Inputs!$H$6+Inputs!$L$6*(((Inputs!$I$6+(((A201)+1)/2)*(Inputs!$J$6-Inputs!$I$6)))/Inputs!$K$6)^2)))*1000/Inputs!$C$12)</f>
        <v>1521.7354525077872</v>
      </c>
      <c r="AG201" s="9">
        <f>(((SQRT(((Inputs!$I$7+(((A201)+1)/2)*(Inputs!$J$7-Inputs!$I$7)))^2+Inputs!$C$6^2+((Inputs!$H$7+Inputs!$L$7*(((Inputs!$I$7+(((A201)+1)/2)*(Inputs!$J$7-Inputs!$I$7)))/Inputs!$K$7)^2))^2))-((Inputs!$H$7+Inputs!$L$7*(((Inputs!$I$7+(((A201)+1)/2)*(Inputs!$J$7-Inputs!$I$7)))/Inputs!$K$7)^2)))*1000/Inputs!$C$12)</f>
        <v>75461.788586835086</v>
      </c>
      <c r="AH201" s="9">
        <f>(((SQRT(((Inputs!$I$8+(((A201)+1)/2)*(Inputs!$J$8-Inputs!$I$8)))^2+Inputs!$C$6^2+((Inputs!$H$8+Inputs!$L$8*(((Inputs!$I$8+(((A201)+1)/2)*(Inputs!$J$8-Inputs!$I$8)))/Inputs!$K$8)^2))^2))-((Inputs!$H$8+Inputs!$L$8*(((Inputs!$I$8+(((A201)+1)/2)*(Inputs!$J$8-Inputs!$I$8)))/Inputs!$K$8)^2)))*1000/Inputs!$C$12)</f>
        <v>135954.16439863585</v>
      </c>
      <c r="AI201" s="9">
        <f>(((SQRT(((Inputs!$I$9+(((A201)+1)/2)*(Inputs!$J$9-Inputs!$I$9)))^2+Inputs!$C$6^2+((Inputs!$H$9+Inputs!$L$9*(((Inputs!$I$9+(((A201)+1)/2)*(Inputs!$J$9-Inputs!$I$9)))/Inputs!$K$9)^2))^2))-((Inputs!$H$9+Inputs!$L$9*(((Inputs!$I$9+(((A201)+1)/2)*(Inputs!$J$9-Inputs!$I$9)))/Inputs!$K$9)^2)))*1000/Inputs!$C$12)</f>
        <v>137071.20942254559</v>
      </c>
      <c r="AJ201" s="10"/>
      <c r="AK201" s="9">
        <f t="shared" si="23"/>
        <v>0.65800000000000003</v>
      </c>
      <c r="AL201" s="9">
        <f>(-2*((1000*((((Inputs!$I$6+(((A201)+1)/2)*(Inputs!$J$6-Inputs!$I$6)))*Inputs!$C$11+((Inputs!$H$6+Inputs!$L$6*(((Inputs!$I$6+(((A201)+1)/2)*(Inputs!$J$6-Inputs!$I$6)))/Inputs!$K$6)^2))*((2*Inputs!$L$6*((Inputs!$I$6+(((A201)+1)/2)*(Inputs!$J$6-Inputs!$I$6)))/(Inputs!$K$6^2)*Inputs!$C$11)))/(SQRT(((Inputs!$I$6+(((A201)+1)/2)*(Inputs!$J$6-Inputs!$I$6)))^2+Inputs!$C$6^2+((Inputs!$H$6+Inputs!$L$6*(((Inputs!$I$6+(((A201)+1)/2)*(Inputs!$J$6-Inputs!$I$6)))/Inputs!$K$6)^2))^2)))))/Inputs!$C$13)</f>
        <v>-295.61932199881073</v>
      </c>
      <c r="AM201" s="9">
        <f>(-2*((1000*((((Inputs!$I$7+(((A201)+1)/2)*(Inputs!$J$7-Inputs!$I$7)))*Inputs!$C$11+((Inputs!$H$7+Inputs!$L$7*(((Inputs!$I$7+(((A201)+1)/2)*(Inputs!$J$7-Inputs!$I$7)))/Inputs!$K$7)^2))*((2*Inputs!$L$7*((Inputs!$I$7+(((A201)+1)/2)*(Inputs!$J$7-Inputs!$I$7)))/(Inputs!$K$7^2)*Inputs!$C$11)))/(SQRT(((Inputs!$I$7+(((A201)+1)/2)*(Inputs!$J$7-Inputs!$I$7)))^2+Inputs!$C$6^2+((Inputs!$H$7+Inputs!$L$7*(((Inputs!$I$7+(((A201)+1)/2)*(Inputs!$J$7-Inputs!$I$7)))/Inputs!$K$7)^2))^2)))))/Inputs!$C$13)</f>
        <v>-2419.4116238719453</v>
      </c>
      <c r="AN201" s="9">
        <f>(-2*((1000*((((Inputs!$I$8+(((A201)+1)/2)*(Inputs!$J$8-Inputs!$I$8)))*Inputs!$C$11+((Inputs!$H$8+Inputs!$L$8*(((Inputs!$I$8+(((A201)+1)/2)*(Inputs!$J$8-Inputs!$I$8)))/Inputs!$K$8)^2))*((2*Inputs!$L$8*((Inputs!$I$8+(((A201)+1)/2)*(Inputs!$J$8-Inputs!$I$8)))/(Inputs!$K$8^2)*Inputs!$C$11)))/(SQRT(((Inputs!$I$8+(((A201)+1)/2)*(Inputs!$J$8-Inputs!$I$8)))^2+Inputs!$C$6^2+((Inputs!$H$8+Inputs!$L$8*(((Inputs!$I$8+(((A201)+1)/2)*(Inputs!$J$8-Inputs!$I$8)))/Inputs!$K$8)^2))^2)))))/Inputs!$C$13)</f>
        <v>-2867.4422206456557</v>
      </c>
      <c r="AO201" s="9">
        <f>(-2*((1000*((((Inputs!$I$9+(((A201)+1)/2)*(Inputs!$J$9-Inputs!$I$9)))*Inputs!$C$11+((Inputs!$H$9+Inputs!$L$9*(((Inputs!$I$9+(((A201)+1)/2)*(Inputs!$J$9-Inputs!$I$9)))/Inputs!$K$9)^2))*((2*Inputs!$L$9*((Inputs!$I$9+(((A201)+1)/2)*(Inputs!$J$9-Inputs!$I$9)))/(Inputs!$K$9^2)*Inputs!$C$11)))/(SQRT(((Inputs!$I$9+(((A201)+1)/2)*(Inputs!$J$9-Inputs!$I$9)))^2+Inputs!$C$6^2+((Inputs!$H$9+Inputs!$L$9*(((Inputs!$I$9+(((A201)+1)/2)*(Inputs!$J$9-Inputs!$I$9)))/Inputs!$K$9)^2))^2)))))/Inputs!$C$13)</f>
        <v>-2878.9085233499354</v>
      </c>
    </row>
    <row r="202" spans="1:41">
      <c r="A202" s="9">
        <f>ROUND(-1+200*2/240,3)</f>
        <v>0.66700000000000004</v>
      </c>
      <c r="B202" s="9">
        <f>IF(OR(Inputs!$F$6=TRUE,Inputs!$F$6="TRUE",Inputs!$F$6=1),(Inputs!$H$6+Inputs!$L$6*(((Inputs!$I$6+(((A202)+1)/2)*(Inputs!$J$6-Inputs!$I$6)))/Inputs!$K$6)^2),NA())</f>
        <v>401.77955600000001</v>
      </c>
      <c r="C202" s="9">
        <f>IF(OR(Inputs!$F$7=TRUE,Inputs!$F$7="TRUE",Inputs!$F$7=1),(Inputs!$H$7+Inputs!$L$7*(((Inputs!$I$7+(((A202)+1)/2)*(Inputs!$J$7-Inputs!$I$7)))/Inputs!$K$7)^2),NA())</f>
        <v>197.38448500000007</v>
      </c>
      <c r="D202" s="9">
        <f>IF(OR(Inputs!$F$8=TRUE,Inputs!$F$8="TRUE",Inputs!$F$8=1),(Inputs!$H$8+Inputs!$L$8*(((Inputs!$I$8+(((A202)+1)/2)*(Inputs!$J$8-Inputs!$I$8)))/Inputs!$K$8)^2),NA())</f>
        <v>464.31788500000022</v>
      </c>
      <c r="E202" s="9">
        <f>IF(OR(Inputs!$F$9=TRUE,Inputs!$F$9="TRUE",Inputs!$F$9=1),(Inputs!$H$9+Inputs!$L$9*(((Inputs!$I$9+(((A202)+1)/2)*(Inputs!$J$9-Inputs!$I$9)))/Inputs!$K$9)^2),NA())</f>
        <v>458.76677500000022</v>
      </c>
      <c r="F202" s="10"/>
      <c r="G202" s="9">
        <f t="shared" si="18"/>
        <v>0.66700000000000004</v>
      </c>
      <c r="H202" s="9">
        <f>IF(OR(Inputs!$F$6=TRUE,Inputs!$F$6="TRUE",Inputs!$F$6=1),(((SQRT(((Inputs!$I$6+(((A202)+1)/2)*(Inputs!$J$6-Inputs!$I$6)))^2+Inputs!$C$6^2+((Inputs!$H$6+Inputs!$L$6*(((Inputs!$I$6+(((A202)+1)/2)*(Inputs!$J$6-Inputs!$I$6)))/Inputs!$K$6)^2))^2))-((Inputs!$H$6+Inputs!$L$6*(((Inputs!$I$6+(((A202)+1)/2)*(Inputs!$J$6-Inputs!$I$6)))/Inputs!$K$6)^2)))*1000/Inputs!$C$12),NA())</f>
        <v>1551.3670195100287</v>
      </c>
      <c r="I202" s="9">
        <f>IF(OR(Inputs!$F$7=TRUE,Inputs!$F$7="TRUE",Inputs!$F$7=1),(((SQRT(((Inputs!$I$7+(((A202)+1)/2)*(Inputs!$J$7-Inputs!$I$7)))^2+Inputs!$C$6^2+((Inputs!$H$7+Inputs!$L$7*(((Inputs!$I$7+(((A202)+1)/2)*(Inputs!$J$7-Inputs!$I$7)))/Inputs!$K$7)^2))^2))-((Inputs!$H$7+Inputs!$L$7*(((Inputs!$I$7+(((A202)+1)/2)*(Inputs!$J$7-Inputs!$I$7)))/Inputs!$K$7)^2)))*1000/Inputs!$C$12),NA())</f>
        <v>76086.289784834909</v>
      </c>
      <c r="J202" s="9">
        <f>IF(OR(Inputs!$F$8=TRUE,Inputs!$F$8="TRUE",Inputs!$F$8=1),(((SQRT(((Inputs!$I$8+(((A202)+1)/2)*(Inputs!$J$8-Inputs!$I$8)))^2+Inputs!$C$6^2+((Inputs!$H$8+Inputs!$L$8*(((Inputs!$I$8+(((A202)+1)/2)*(Inputs!$J$8-Inputs!$I$8)))/Inputs!$K$8)^2))^2))-((Inputs!$H$8+Inputs!$L$8*(((Inputs!$I$8+(((A202)+1)/2)*(Inputs!$J$8-Inputs!$I$8)))/Inputs!$K$8)^2)))*1000/Inputs!$C$12),NA())</f>
        <v>136773.50442022434</v>
      </c>
      <c r="K202" s="9">
        <f>IF(OR(Inputs!$F$9=TRUE,Inputs!$F$9="TRUE",Inputs!$F$9=1),(((SQRT(((Inputs!$I$9+(((A202)+1)/2)*(Inputs!$J$9-Inputs!$I$9)))^2+Inputs!$C$6^2+((Inputs!$H$9+Inputs!$L$9*(((Inputs!$I$9+(((A202)+1)/2)*(Inputs!$J$9-Inputs!$I$9)))/Inputs!$K$9)^2))^2))-((Inputs!$H$9+Inputs!$L$9*(((Inputs!$I$9+(((A202)+1)/2)*(Inputs!$J$9-Inputs!$I$9)))/Inputs!$K$9)^2)))*1000/Inputs!$C$12),NA())</f>
        <v>137853.22773067435</v>
      </c>
      <c r="L202" s="10"/>
      <c r="M202" s="9">
        <f t="shared" si="19"/>
        <v>0.66700000000000004</v>
      </c>
      <c r="N202" s="9">
        <f>IF(OR(Inputs!$F$6=TRUE,Inputs!$F$6="TRUE",Inputs!$F$6=1),(-2*((1000*((((Inputs!$I$6+(((A202)+1)/2)*(Inputs!$J$6-Inputs!$I$6)))*Inputs!$C$11+((Inputs!$H$6+Inputs!$L$6*(((Inputs!$I$6+(((A202)+1)/2)*(Inputs!$J$6-Inputs!$I$6)))/Inputs!$K$6)^2))*((2*Inputs!$L$6*((Inputs!$I$6+(((A202)+1)/2)*(Inputs!$J$6-Inputs!$I$6)))/(Inputs!$K$6^2)*Inputs!$C$11)))/(SQRT(((Inputs!$I$6+(((A202)+1)/2)*(Inputs!$J$6-Inputs!$I$6)))^2+Inputs!$C$6^2+((Inputs!$H$6+Inputs!$L$6*(((Inputs!$I$6+(((A202)+1)/2)*(Inputs!$J$6-Inputs!$I$6)))/Inputs!$K$6)^2))^2)))))/Inputs!$C$13),NA())</f>
        <v>-299.60512159652797</v>
      </c>
      <c r="O202" s="9">
        <f>IF(OR(Inputs!$F$7=TRUE,Inputs!$F$7="TRUE",Inputs!$F$7=1),(-2*((1000*((((Inputs!$I$7+(((A202)+1)/2)*(Inputs!$J$7-Inputs!$I$7)))*Inputs!$C$11+((Inputs!$H$7+Inputs!$L$7*(((Inputs!$I$7+(((A202)+1)/2)*(Inputs!$J$7-Inputs!$I$7)))/Inputs!$K$7)^2))*((2*Inputs!$L$7*((Inputs!$I$7+(((A202)+1)/2)*(Inputs!$J$7-Inputs!$I$7)))/(Inputs!$K$7^2)*Inputs!$C$11)))/(SQRT(((Inputs!$I$7+(((A202)+1)/2)*(Inputs!$J$7-Inputs!$I$7)))^2+Inputs!$C$6^2+((Inputs!$H$7+Inputs!$L$7*(((Inputs!$I$7+(((A202)+1)/2)*(Inputs!$J$7-Inputs!$I$7)))/Inputs!$K$7)^2))^2)))))/Inputs!$C$13),NA())</f>
        <v>-2437.7098635199632</v>
      </c>
      <c r="P202" s="9">
        <f>IF(OR(Inputs!$F$8=TRUE,Inputs!$F$8="TRUE",Inputs!$F$8=1),(-2*((1000*((((Inputs!$I$8+(((A202)+1)/2)*(Inputs!$J$8-Inputs!$I$8)))*Inputs!$C$11+((Inputs!$H$8+Inputs!$L$8*(((Inputs!$I$8+(((A202)+1)/2)*(Inputs!$J$8-Inputs!$I$8)))/Inputs!$K$8)^2))*((2*Inputs!$L$8*((Inputs!$I$8+(((A202)+1)/2)*(Inputs!$J$8-Inputs!$I$8)))/(Inputs!$K$8^2)*Inputs!$C$11)))/(SQRT(((Inputs!$I$8+(((A202)+1)/2)*(Inputs!$J$8-Inputs!$I$8)))^2+Inputs!$C$6^2+((Inputs!$H$8+Inputs!$L$8*(((Inputs!$I$8+(((A202)+1)/2)*(Inputs!$J$8-Inputs!$I$8)))/Inputs!$K$8)^2))^2)))))/Inputs!$C$13),NA())</f>
        <v>-2895.2745087802164</v>
      </c>
      <c r="Q202" s="9">
        <f>IF(OR(Inputs!$F$9=TRUE,Inputs!$F$9="TRUE",Inputs!$F$9=1),(-2*((1000*((((Inputs!$I$9+(((A202)+1)/2)*(Inputs!$J$9-Inputs!$I$9)))*Inputs!$C$11+((Inputs!$H$9+Inputs!$L$9*(((Inputs!$I$9+(((A202)+1)/2)*(Inputs!$J$9-Inputs!$I$9)))/Inputs!$K$9)^2))*((2*Inputs!$L$9*((Inputs!$I$9+(((A202)+1)/2)*(Inputs!$J$9-Inputs!$I$9)))/(Inputs!$K$9^2)*Inputs!$C$11)))/(SQRT(((Inputs!$I$9+(((A202)+1)/2)*(Inputs!$J$9-Inputs!$I$9)))^2+Inputs!$C$6^2+((Inputs!$H$9+Inputs!$L$9*(((Inputs!$I$9+(((A202)+1)/2)*(Inputs!$J$9-Inputs!$I$9)))/Inputs!$K$9)^2))^2)))))/Inputs!$C$13),NA())</f>
        <v>-2907.2825894839652</v>
      </c>
      <c r="R202" s="10"/>
      <c r="S202" s="9">
        <f t="shared" si="20"/>
        <v>0.66700000000000004</v>
      </c>
      <c r="T202" s="9">
        <f>(Inputs!$I$6+(((A202)+1)/2)*(Inputs!$J$6-Inputs!$I$6))</f>
        <v>40.019999999999996</v>
      </c>
      <c r="U202" s="9">
        <f>(Inputs!$I$7+(((A202)+1)/2)*(Inputs!$J$7-Inputs!$I$7))</f>
        <v>266.80000000000007</v>
      </c>
      <c r="V202" s="9">
        <f>(Inputs!$I$8+(((A202)+1)/2)*(Inputs!$J$8-Inputs!$I$8))</f>
        <v>533.60000000000014</v>
      </c>
      <c r="W202" s="9">
        <f>(Inputs!$I$9+(((A202)+1)/2)*(Inputs!$J$9-Inputs!$I$9))</f>
        <v>533.60000000000014</v>
      </c>
      <c r="X202" s="10"/>
      <c r="Y202" s="9">
        <f t="shared" si="21"/>
        <v>0.66700000000000004</v>
      </c>
      <c r="Z202" s="9">
        <f>(Inputs!$H$6+Inputs!$L$6*(((Inputs!$I$6+(((A202)+1)/2)*(Inputs!$J$6-Inputs!$I$6)))/Inputs!$K$6)^2)</f>
        <v>401.77955600000001</v>
      </c>
      <c r="AA202" s="9">
        <f>(Inputs!$H$7+Inputs!$L$7*(((Inputs!$I$7+(((A202)+1)/2)*(Inputs!$J$7-Inputs!$I$7)))/Inputs!$K$7)^2)</f>
        <v>197.38448500000007</v>
      </c>
      <c r="AB202" s="9">
        <f>(Inputs!$H$8+Inputs!$L$8*(((Inputs!$I$8+(((A202)+1)/2)*(Inputs!$J$8-Inputs!$I$8)))/Inputs!$K$8)^2)</f>
        <v>464.31788500000022</v>
      </c>
      <c r="AC202" s="9">
        <f>(Inputs!$H$9+Inputs!$L$9*(((Inputs!$I$9+(((A202)+1)/2)*(Inputs!$J$9-Inputs!$I$9)))/Inputs!$K$9)^2)</f>
        <v>458.76677500000022</v>
      </c>
      <c r="AD202" s="10"/>
      <c r="AE202" s="9">
        <f t="shared" si="22"/>
        <v>0.66700000000000004</v>
      </c>
      <c r="AF202" s="9">
        <f>(((SQRT(((Inputs!$I$6+(((A202)+1)/2)*(Inputs!$J$6-Inputs!$I$6)))^2+Inputs!$C$6^2+((Inputs!$H$6+Inputs!$L$6*(((Inputs!$I$6+(((A202)+1)/2)*(Inputs!$J$6-Inputs!$I$6)))/Inputs!$K$6)^2))^2))-((Inputs!$H$6+Inputs!$L$6*(((Inputs!$I$6+(((A202)+1)/2)*(Inputs!$J$6-Inputs!$I$6)))/Inputs!$K$6)^2)))*1000/Inputs!$C$12)</f>
        <v>1551.3670195100287</v>
      </c>
      <c r="AG202" s="9">
        <f>(((SQRT(((Inputs!$I$7+(((A202)+1)/2)*(Inputs!$J$7-Inputs!$I$7)))^2+Inputs!$C$6^2+((Inputs!$H$7+Inputs!$L$7*(((Inputs!$I$7+(((A202)+1)/2)*(Inputs!$J$7-Inputs!$I$7)))/Inputs!$K$7)^2))^2))-((Inputs!$H$7+Inputs!$L$7*(((Inputs!$I$7+(((A202)+1)/2)*(Inputs!$J$7-Inputs!$I$7)))/Inputs!$K$7)^2)))*1000/Inputs!$C$12)</f>
        <v>76086.289784834909</v>
      </c>
      <c r="AH202" s="9">
        <f>(((SQRT(((Inputs!$I$8+(((A202)+1)/2)*(Inputs!$J$8-Inputs!$I$8)))^2+Inputs!$C$6^2+((Inputs!$H$8+Inputs!$L$8*(((Inputs!$I$8+(((A202)+1)/2)*(Inputs!$J$8-Inputs!$I$8)))/Inputs!$K$8)^2))^2))-((Inputs!$H$8+Inputs!$L$8*(((Inputs!$I$8+(((A202)+1)/2)*(Inputs!$J$8-Inputs!$I$8)))/Inputs!$K$8)^2)))*1000/Inputs!$C$12)</f>
        <v>136773.50442022434</v>
      </c>
      <c r="AI202" s="9">
        <f>(((SQRT(((Inputs!$I$9+(((A202)+1)/2)*(Inputs!$J$9-Inputs!$I$9)))^2+Inputs!$C$6^2+((Inputs!$H$9+Inputs!$L$9*(((Inputs!$I$9+(((A202)+1)/2)*(Inputs!$J$9-Inputs!$I$9)))/Inputs!$K$9)^2))^2))-((Inputs!$H$9+Inputs!$L$9*(((Inputs!$I$9+(((A202)+1)/2)*(Inputs!$J$9-Inputs!$I$9)))/Inputs!$K$9)^2)))*1000/Inputs!$C$12)</f>
        <v>137853.22773067435</v>
      </c>
      <c r="AJ202" s="10"/>
      <c r="AK202" s="9">
        <f t="shared" si="23"/>
        <v>0.66700000000000004</v>
      </c>
      <c r="AL202" s="9">
        <f>(-2*((1000*((((Inputs!$I$6+(((A202)+1)/2)*(Inputs!$J$6-Inputs!$I$6)))*Inputs!$C$11+((Inputs!$H$6+Inputs!$L$6*(((Inputs!$I$6+(((A202)+1)/2)*(Inputs!$J$6-Inputs!$I$6)))/Inputs!$K$6)^2))*((2*Inputs!$L$6*((Inputs!$I$6+(((A202)+1)/2)*(Inputs!$J$6-Inputs!$I$6)))/(Inputs!$K$6^2)*Inputs!$C$11)))/(SQRT(((Inputs!$I$6+(((A202)+1)/2)*(Inputs!$J$6-Inputs!$I$6)))^2+Inputs!$C$6^2+((Inputs!$H$6+Inputs!$L$6*(((Inputs!$I$6+(((A202)+1)/2)*(Inputs!$J$6-Inputs!$I$6)))/Inputs!$K$6)^2))^2)))))/Inputs!$C$13)</f>
        <v>-299.60512159652797</v>
      </c>
      <c r="AM202" s="9">
        <f>(-2*((1000*((((Inputs!$I$7+(((A202)+1)/2)*(Inputs!$J$7-Inputs!$I$7)))*Inputs!$C$11+((Inputs!$H$7+Inputs!$L$7*(((Inputs!$I$7+(((A202)+1)/2)*(Inputs!$J$7-Inputs!$I$7)))/Inputs!$K$7)^2))*((2*Inputs!$L$7*((Inputs!$I$7+(((A202)+1)/2)*(Inputs!$J$7-Inputs!$I$7)))/(Inputs!$K$7^2)*Inputs!$C$11)))/(SQRT(((Inputs!$I$7+(((A202)+1)/2)*(Inputs!$J$7-Inputs!$I$7)))^2+Inputs!$C$6^2+((Inputs!$H$7+Inputs!$L$7*(((Inputs!$I$7+(((A202)+1)/2)*(Inputs!$J$7-Inputs!$I$7)))/Inputs!$K$7)^2))^2)))))/Inputs!$C$13)</f>
        <v>-2437.7098635199632</v>
      </c>
      <c r="AN202" s="9">
        <f>(-2*((1000*((((Inputs!$I$8+(((A202)+1)/2)*(Inputs!$J$8-Inputs!$I$8)))*Inputs!$C$11+((Inputs!$H$8+Inputs!$L$8*(((Inputs!$I$8+(((A202)+1)/2)*(Inputs!$J$8-Inputs!$I$8)))/Inputs!$K$8)^2))*((2*Inputs!$L$8*((Inputs!$I$8+(((A202)+1)/2)*(Inputs!$J$8-Inputs!$I$8)))/(Inputs!$K$8^2)*Inputs!$C$11)))/(SQRT(((Inputs!$I$8+(((A202)+1)/2)*(Inputs!$J$8-Inputs!$I$8)))^2+Inputs!$C$6^2+((Inputs!$H$8+Inputs!$L$8*(((Inputs!$I$8+(((A202)+1)/2)*(Inputs!$J$8-Inputs!$I$8)))/Inputs!$K$8)^2))^2)))))/Inputs!$C$13)</f>
        <v>-2895.2745087802164</v>
      </c>
      <c r="AO202" s="9">
        <f>(-2*((1000*((((Inputs!$I$9+(((A202)+1)/2)*(Inputs!$J$9-Inputs!$I$9)))*Inputs!$C$11+((Inputs!$H$9+Inputs!$L$9*(((Inputs!$I$9+(((A202)+1)/2)*(Inputs!$J$9-Inputs!$I$9)))/Inputs!$K$9)^2))*((2*Inputs!$L$9*((Inputs!$I$9+(((A202)+1)/2)*(Inputs!$J$9-Inputs!$I$9)))/(Inputs!$K$9^2)*Inputs!$C$11)))/(SQRT(((Inputs!$I$9+(((A202)+1)/2)*(Inputs!$J$9-Inputs!$I$9)))^2+Inputs!$C$6^2+((Inputs!$H$9+Inputs!$L$9*(((Inputs!$I$9+(((A202)+1)/2)*(Inputs!$J$9-Inputs!$I$9)))/Inputs!$K$9)^2))^2)))))/Inputs!$C$13)</f>
        <v>-2907.2825894839652</v>
      </c>
    </row>
    <row r="203" spans="1:41">
      <c r="A203" s="9">
        <f>ROUND(-1+201*2/240,3)</f>
        <v>0.67500000000000004</v>
      </c>
      <c r="B203" s="9">
        <f>IF(OR(Inputs!$F$6=TRUE,Inputs!$F$6="TRUE",Inputs!$F$6=1),(Inputs!$H$6+Inputs!$L$6*(((Inputs!$I$6+(((A203)+1)/2)*(Inputs!$J$6-Inputs!$I$6)))/Inputs!$K$6)^2),NA())</f>
        <v>401.82249999999999</v>
      </c>
      <c r="C203" s="9">
        <f>IF(OR(Inputs!$F$7=TRUE,Inputs!$F$7="TRUE",Inputs!$F$7=1),(Inputs!$H$7+Inputs!$L$7*(((Inputs!$I$7+(((A203)+1)/2)*(Inputs!$J$7-Inputs!$I$7)))/Inputs!$K$7)^2),NA())</f>
        <v>201.30312500000002</v>
      </c>
      <c r="D203" s="9">
        <f>IF(OR(Inputs!$F$8=TRUE,Inputs!$F$8="TRUE",Inputs!$F$8=1),(Inputs!$H$8+Inputs!$L$8*(((Inputs!$I$8+(((A203)+1)/2)*(Inputs!$J$8-Inputs!$I$8)))/Inputs!$K$8)^2),NA())</f>
        <v>474.67812500000008</v>
      </c>
      <c r="E203" s="9">
        <f>IF(OR(Inputs!$F$9=TRUE,Inputs!$F$9="TRUE",Inputs!$F$9=1),(Inputs!$H$9+Inputs!$L$9*(((Inputs!$I$9+(((A203)+1)/2)*(Inputs!$J$9-Inputs!$I$9)))/Inputs!$K$9)^2),NA())</f>
        <v>469.23437500000006</v>
      </c>
      <c r="F203" s="10"/>
      <c r="G203" s="9">
        <f t="shared" si="18"/>
        <v>0.67500000000000004</v>
      </c>
      <c r="H203" s="9">
        <f>IF(OR(Inputs!$F$6=TRUE,Inputs!$F$6="TRUE",Inputs!$F$6=1),(((SQRT(((Inputs!$I$6+(((A203)+1)/2)*(Inputs!$J$6-Inputs!$I$6)))^2+Inputs!$C$6^2+((Inputs!$H$6+Inputs!$L$6*(((Inputs!$I$6+(((A203)+1)/2)*(Inputs!$J$6-Inputs!$I$6)))/Inputs!$K$6)^2))^2))-((Inputs!$H$6+Inputs!$L$6*(((Inputs!$I$6+(((A203)+1)/2)*(Inputs!$J$6-Inputs!$I$6)))/Inputs!$K$6)^2)))*1000/Inputs!$C$12),NA())</f>
        <v>1578.0348465697127</v>
      </c>
      <c r="I203" s="9">
        <f>IF(OR(Inputs!$F$7=TRUE,Inputs!$F$7="TRUE",Inputs!$F$7=1),(((SQRT(((Inputs!$I$7+(((A203)+1)/2)*(Inputs!$J$7-Inputs!$I$7)))^2+Inputs!$C$6^2+((Inputs!$H$7+Inputs!$L$7*(((Inputs!$I$7+(((A203)+1)/2)*(Inputs!$J$7-Inputs!$I$7)))/Inputs!$K$7)^2))^2))-((Inputs!$H$7+Inputs!$L$7*(((Inputs!$I$7+(((A203)+1)/2)*(Inputs!$J$7-Inputs!$I$7)))/Inputs!$K$7)^2)))*1000/Inputs!$C$12),NA())</f>
        <v>76632.996021156898</v>
      </c>
      <c r="J203" s="9">
        <f>IF(OR(Inputs!$F$8=TRUE,Inputs!$F$8="TRUE",Inputs!$F$8=1),(((SQRT(((Inputs!$I$8+(((A203)+1)/2)*(Inputs!$J$8-Inputs!$I$8)))^2+Inputs!$C$6^2+((Inputs!$H$8+Inputs!$L$8*(((Inputs!$I$8+(((A203)+1)/2)*(Inputs!$J$8-Inputs!$I$8)))/Inputs!$K$8)^2))^2))-((Inputs!$H$8+Inputs!$L$8*(((Inputs!$I$8+(((A203)+1)/2)*(Inputs!$J$8-Inputs!$I$8)))/Inputs!$K$8)^2)))*1000/Inputs!$C$12),NA())</f>
        <v>137487.30842840724</v>
      </c>
      <c r="K203" s="9">
        <f>IF(OR(Inputs!$F$9=TRUE,Inputs!$F$9="TRUE",Inputs!$F$9=1),(((SQRT(((Inputs!$I$9+(((A203)+1)/2)*(Inputs!$J$9-Inputs!$I$9)))^2+Inputs!$C$6^2+((Inputs!$H$9+Inputs!$L$9*(((Inputs!$I$9+(((A203)+1)/2)*(Inputs!$J$9-Inputs!$I$9)))/Inputs!$K$9)^2))^2))-((Inputs!$H$9+Inputs!$L$9*(((Inputs!$I$9+(((A203)+1)/2)*(Inputs!$J$9-Inputs!$I$9)))/Inputs!$K$9)^2)))*1000/Inputs!$C$12),NA())</f>
        <v>138534.24266012842</v>
      </c>
      <c r="L203" s="10"/>
      <c r="M203" s="9">
        <f t="shared" si="19"/>
        <v>0.67500000000000004</v>
      </c>
      <c r="N203" s="9">
        <f>IF(OR(Inputs!$F$6=TRUE,Inputs!$F$6="TRUE",Inputs!$F$6=1),(-2*((1000*((((Inputs!$I$6+(((A203)+1)/2)*(Inputs!$J$6-Inputs!$I$6)))*Inputs!$C$11+((Inputs!$H$6+Inputs!$L$6*(((Inputs!$I$6+(((A203)+1)/2)*(Inputs!$J$6-Inputs!$I$6)))/Inputs!$K$6)^2))*((2*Inputs!$L$6*((Inputs!$I$6+(((A203)+1)/2)*(Inputs!$J$6-Inputs!$I$6)))/(Inputs!$K$6^2)*Inputs!$C$11)))/(SQRT(((Inputs!$I$6+(((A203)+1)/2)*(Inputs!$J$6-Inputs!$I$6)))^2+Inputs!$C$6^2+((Inputs!$H$6+Inputs!$L$6*(((Inputs!$I$6+(((A203)+1)/2)*(Inputs!$J$6-Inputs!$I$6)))/Inputs!$K$6)^2))^2)))))/Inputs!$C$13),NA())</f>
        <v>-303.14612110072255</v>
      </c>
      <c r="O203" s="9">
        <f>IF(OR(Inputs!$F$7=TRUE,Inputs!$F$7="TRUE",Inputs!$F$7=1),(-2*((1000*((((Inputs!$I$7+(((A203)+1)/2)*(Inputs!$J$7-Inputs!$I$7)))*Inputs!$C$11+((Inputs!$H$7+Inputs!$L$7*(((Inputs!$I$7+(((A203)+1)/2)*(Inputs!$J$7-Inputs!$I$7)))/Inputs!$K$7)^2))*((2*Inputs!$L$7*((Inputs!$I$7+(((A203)+1)/2)*(Inputs!$J$7-Inputs!$I$7)))/(Inputs!$K$7^2)*Inputs!$C$11)))/(SQRT(((Inputs!$I$7+(((A203)+1)/2)*(Inputs!$J$7-Inputs!$I$7)))^2+Inputs!$C$6^2+((Inputs!$H$7+Inputs!$L$7*(((Inputs!$I$7+(((A203)+1)/2)*(Inputs!$J$7-Inputs!$I$7)))/Inputs!$K$7)^2))^2)))))/Inputs!$C$13),NA())</f>
        <v>-2454.084297346958</v>
      </c>
      <c r="P203" s="9">
        <f>IF(OR(Inputs!$F$8=TRUE,Inputs!$F$8="TRUE",Inputs!$F$8=1),(-2*((1000*((((Inputs!$I$8+(((A203)+1)/2)*(Inputs!$J$8-Inputs!$I$8)))*Inputs!$C$11+((Inputs!$H$8+Inputs!$L$8*(((Inputs!$I$8+(((A203)+1)/2)*(Inputs!$J$8-Inputs!$I$8)))/Inputs!$K$8)^2))*((2*Inputs!$L$8*((Inputs!$I$8+(((A203)+1)/2)*(Inputs!$J$8-Inputs!$I$8)))/(Inputs!$K$8^2)*Inputs!$C$11)))/(SQRT(((Inputs!$I$8+(((A203)+1)/2)*(Inputs!$J$8-Inputs!$I$8)))^2+Inputs!$C$6^2+((Inputs!$H$8+Inputs!$L$8*(((Inputs!$I$8+(((A203)+1)/2)*(Inputs!$J$8-Inputs!$I$8)))/Inputs!$K$8)^2))^2)))))/Inputs!$C$13),NA())</f>
        <v>-2920.1524806174339</v>
      </c>
      <c r="Q203" s="9">
        <f>IF(OR(Inputs!$F$9=TRUE,Inputs!$F$9="TRUE",Inputs!$F$9=1),(-2*((1000*((((Inputs!$I$9+(((A203)+1)/2)*(Inputs!$J$9-Inputs!$I$9)))*Inputs!$C$11+((Inputs!$H$9+Inputs!$L$9*(((Inputs!$I$9+(((A203)+1)/2)*(Inputs!$J$9-Inputs!$I$9)))/Inputs!$K$9)^2))*((2*Inputs!$L$9*((Inputs!$I$9+(((A203)+1)/2)*(Inputs!$J$9-Inputs!$I$9)))/(Inputs!$K$9^2)*Inputs!$C$11)))/(SQRT(((Inputs!$I$9+(((A203)+1)/2)*(Inputs!$J$9-Inputs!$I$9)))^2+Inputs!$C$6^2+((Inputs!$H$9+Inputs!$L$9*(((Inputs!$I$9+(((A203)+1)/2)*(Inputs!$J$9-Inputs!$I$9)))/Inputs!$K$9)^2))^2)))))/Inputs!$C$13),NA())</f>
        <v>-2932.642103033661</v>
      </c>
      <c r="R203" s="10"/>
      <c r="S203" s="9">
        <f t="shared" si="20"/>
        <v>0.67500000000000004</v>
      </c>
      <c r="T203" s="9">
        <f>(Inputs!$I$6+(((A203)+1)/2)*(Inputs!$J$6-Inputs!$I$6))</f>
        <v>40.5</v>
      </c>
      <c r="U203" s="9">
        <f>(Inputs!$I$7+(((A203)+1)/2)*(Inputs!$J$7-Inputs!$I$7))</f>
        <v>270</v>
      </c>
      <c r="V203" s="9">
        <f>(Inputs!$I$8+(((A203)+1)/2)*(Inputs!$J$8-Inputs!$I$8))</f>
        <v>540</v>
      </c>
      <c r="W203" s="9">
        <f>(Inputs!$I$9+(((A203)+1)/2)*(Inputs!$J$9-Inputs!$I$9))</f>
        <v>540</v>
      </c>
      <c r="X203" s="10"/>
      <c r="Y203" s="9">
        <f t="shared" si="21"/>
        <v>0.67500000000000004</v>
      </c>
      <c r="Z203" s="9">
        <f>(Inputs!$H$6+Inputs!$L$6*(((Inputs!$I$6+(((A203)+1)/2)*(Inputs!$J$6-Inputs!$I$6)))/Inputs!$K$6)^2)</f>
        <v>401.82249999999999</v>
      </c>
      <c r="AA203" s="9">
        <f>(Inputs!$H$7+Inputs!$L$7*(((Inputs!$I$7+(((A203)+1)/2)*(Inputs!$J$7-Inputs!$I$7)))/Inputs!$K$7)^2)</f>
        <v>201.30312500000002</v>
      </c>
      <c r="AB203" s="9">
        <f>(Inputs!$H$8+Inputs!$L$8*(((Inputs!$I$8+(((A203)+1)/2)*(Inputs!$J$8-Inputs!$I$8)))/Inputs!$K$8)^2)</f>
        <v>474.67812500000008</v>
      </c>
      <c r="AC203" s="9">
        <f>(Inputs!$H$9+Inputs!$L$9*(((Inputs!$I$9+(((A203)+1)/2)*(Inputs!$J$9-Inputs!$I$9)))/Inputs!$K$9)^2)</f>
        <v>469.23437500000006</v>
      </c>
      <c r="AD203" s="10"/>
      <c r="AE203" s="9">
        <f t="shared" si="22"/>
        <v>0.67500000000000004</v>
      </c>
      <c r="AF203" s="9">
        <f>(((SQRT(((Inputs!$I$6+(((A203)+1)/2)*(Inputs!$J$6-Inputs!$I$6)))^2+Inputs!$C$6^2+((Inputs!$H$6+Inputs!$L$6*(((Inputs!$I$6+(((A203)+1)/2)*(Inputs!$J$6-Inputs!$I$6)))/Inputs!$K$6)^2))^2))-((Inputs!$H$6+Inputs!$L$6*(((Inputs!$I$6+(((A203)+1)/2)*(Inputs!$J$6-Inputs!$I$6)))/Inputs!$K$6)^2)))*1000/Inputs!$C$12)</f>
        <v>1578.0348465697127</v>
      </c>
      <c r="AG203" s="9">
        <f>(((SQRT(((Inputs!$I$7+(((A203)+1)/2)*(Inputs!$J$7-Inputs!$I$7)))^2+Inputs!$C$6^2+((Inputs!$H$7+Inputs!$L$7*(((Inputs!$I$7+(((A203)+1)/2)*(Inputs!$J$7-Inputs!$I$7)))/Inputs!$K$7)^2))^2))-((Inputs!$H$7+Inputs!$L$7*(((Inputs!$I$7+(((A203)+1)/2)*(Inputs!$J$7-Inputs!$I$7)))/Inputs!$K$7)^2)))*1000/Inputs!$C$12)</f>
        <v>76632.996021156898</v>
      </c>
      <c r="AH203" s="9">
        <f>(((SQRT(((Inputs!$I$8+(((A203)+1)/2)*(Inputs!$J$8-Inputs!$I$8)))^2+Inputs!$C$6^2+((Inputs!$H$8+Inputs!$L$8*(((Inputs!$I$8+(((A203)+1)/2)*(Inputs!$J$8-Inputs!$I$8)))/Inputs!$K$8)^2))^2))-((Inputs!$H$8+Inputs!$L$8*(((Inputs!$I$8+(((A203)+1)/2)*(Inputs!$J$8-Inputs!$I$8)))/Inputs!$K$8)^2)))*1000/Inputs!$C$12)</f>
        <v>137487.30842840724</v>
      </c>
      <c r="AI203" s="9">
        <f>(((SQRT(((Inputs!$I$9+(((A203)+1)/2)*(Inputs!$J$9-Inputs!$I$9)))^2+Inputs!$C$6^2+((Inputs!$H$9+Inputs!$L$9*(((Inputs!$I$9+(((A203)+1)/2)*(Inputs!$J$9-Inputs!$I$9)))/Inputs!$K$9)^2))^2))-((Inputs!$H$9+Inputs!$L$9*(((Inputs!$I$9+(((A203)+1)/2)*(Inputs!$J$9-Inputs!$I$9)))/Inputs!$K$9)^2)))*1000/Inputs!$C$12)</f>
        <v>138534.24266012842</v>
      </c>
      <c r="AJ203" s="10"/>
      <c r="AK203" s="9">
        <f t="shared" si="23"/>
        <v>0.67500000000000004</v>
      </c>
      <c r="AL203" s="9">
        <f>(-2*((1000*((((Inputs!$I$6+(((A203)+1)/2)*(Inputs!$J$6-Inputs!$I$6)))*Inputs!$C$11+((Inputs!$H$6+Inputs!$L$6*(((Inputs!$I$6+(((A203)+1)/2)*(Inputs!$J$6-Inputs!$I$6)))/Inputs!$K$6)^2))*((2*Inputs!$L$6*((Inputs!$I$6+(((A203)+1)/2)*(Inputs!$J$6-Inputs!$I$6)))/(Inputs!$K$6^2)*Inputs!$C$11)))/(SQRT(((Inputs!$I$6+(((A203)+1)/2)*(Inputs!$J$6-Inputs!$I$6)))^2+Inputs!$C$6^2+((Inputs!$H$6+Inputs!$L$6*(((Inputs!$I$6+(((A203)+1)/2)*(Inputs!$J$6-Inputs!$I$6)))/Inputs!$K$6)^2))^2)))))/Inputs!$C$13)</f>
        <v>-303.14612110072255</v>
      </c>
      <c r="AM203" s="9">
        <f>(-2*((1000*((((Inputs!$I$7+(((A203)+1)/2)*(Inputs!$J$7-Inputs!$I$7)))*Inputs!$C$11+((Inputs!$H$7+Inputs!$L$7*(((Inputs!$I$7+(((A203)+1)/2)*(Inputs!$J$7-Inputs!$I$7)))/Inputs!$K$7)^2))*((2*Inputs!$L$7*((Inputs!$I$7+(((A203)+1)/2)*(Inputs!$J$7-Inputs!$I$7)))/(Inputs!$K$7^2)*Inputs!$C$11)))/(SQRT(((Inputs!$I$7+(((A203)+1)/2)*(Inputs!$J$7-Inputs!$I$7)))^2+Inputs!$C$6^2+((Inputs!$H$7+Inputs!$L$7*(((Inputs!$I$7+(((A203)+1)/2)*(Inputs!$J$7-Inputs!$I$7)))/Inputs!$K$7)^2))^2)))))/Inputs!$C$13)</f>
        <v>-2454.084297346958</v>
      </c>
      <c r="AN203" s="9">
        <f>(-2*((1000*((((Inputs!$I$8+(((A203)+1)/2)*(Inputs!$J$8-Inputs!$I$8)))*Inputs!$C$11+((Inputs!$H$8+Inputs!$L$8*(((Inputs!$I$8+(((A203)+1)/2)*(Inputs!$J$8-Inputs!$I$8)))/Inputs!$K$8)^2))*((2*Inputs!$L$8*((Inputs!$I$8+(((A203)+1)/2)*(Inputs!$J$8-Inputs!$I$8)))/(Inputs!$K$8^2)*Inputs!$C$11)))/(SQRT(((Inputs!$I$8+(((A203)+1)/2)*(Inputs!$J$8-Inputs!$I$8)))^2+Inputs!$C$6^2+((Inputs!$H$8+Inputs!$L$8*(((Inputs!$I$8+(((A203)+1)/2)*(Inputs!$J$8-Inputs!$I$8)))/Inputs!$K$8)^2))^2)))))/Inputs!$C$13)</f>
        <v>-2920.1524806174339</v>
      </c>
      <c r="AO203" s="9">
        <f>(-2*((1000*((((Inputs!$I$9+(((A203)+1)/2)*(Inputs!$J$9-Inputs!$I$9)))*Inputs!$C$11+((Inputs!$H$9+Inputs!$L$9*(((Inputs!$I$9+(((A203)+1)/2)*(Inputs!$J$9-Inputs!$I$9)))/Inputs!$K$9)^2))*((2*Inputs!$L$9*((Inputs!$I$9+(((A203)+1)/2)*(Inputs!$J$9-Inputs!$I$9)))/(Inputs!$K$9^2)*Inputs!$C$11)))/(SQRT(((Inputs!$I$9+(((A203)+1)/2)*(Inputs!$J$9-Inputs!$I$9)))^2+Inputs!$C$6^2+((Inputs!$H$9+Inputs!$L$9*(((Inputs!$I$9+(((A203)+1)/2)*(Inputs!$J$9-Inputs!$I$9)))/Inputs!$K$9)^2))^2)))))/Inputs!$C$13)</f>
        <v>-2932.642103033661</v>
      </c>
    </row>
    <row r="204" spans="1:41">
      <c r="A204" s="9">
        <f>ROUND(-1+202*2/240,3)</f>
        <v>0.68300000000000005</v>
      </c>
      <c r="B204" s="9">
        <f>IF(OR(Inputs!$F$6=TRUE,Inputs!$F$6="TRUE",Inputs!$F$6=1),(Inputs!$H$6+Inputs!$L$6*(((Inputs!$I$6+(((A204)+1)/2)*(Inputs!$J$6-Inputs!$I$6)))/Inputs!$K$6)^2),NA())</f>
        <v>401.86595599999998</v>
      </c>
      <c r="C204" s="9">
        <f>IF(OR(Inputs!$F$7=TRUE,Inputs!$F$7="TRUE",Inputs!$F$7=1),(Inputs!$H$7+Inputs!$L$7*(((Inputs!$I$7+(((A204)+1)/2)*(Inputs!$J$7-Inputs!$I$7)))/Inputs!$K$7)^2),NA())</f>
        <v>205.26848500000008</v>
      </c>
      <c r="D204" s="9">
        <f>IF(OR(Inputs!$F$8=TRUE,Inputs!$F$8="TRUE",Inputs!$F$8=1),(Inputs!$H$8+Inputs!$L$8*(((Inputs!$I$8+(((A204)+1)/2)*(Inputs!$J$8-Inputs!$I$8)))/Inputs!$K$8)^2),NA())</f>
        <v>485.16188500000021</v>
      </c>
      <c r="E204" s="9">
        <f>IF(OR(Inputs!$F$9=TRUE,Inputs!$F$9="TRUE",Inputs!$F$9=1),(Inputs!$H$9+Inputs!$L$9*(((Inputs!$I$9+(((A204)+1)/2)*(Inputs!$J$9-Inputs!$I$9)))/Inputs!$K$9)^2),NA())</f>
        <v>479.82677500000023</v>
      </c>
      <c r="F204" s="10"/>
      <c r="G204" s="9">
        <f t="shared" si="18"/>
        <v>0.68300000000000005</v>
      </c>
      <c r="H204" s="9">
        <f>IF(OR(Inputs!$F$6=TRUE,Inputs!$F$6="TRUE",Inputs!$F$6=1),(((SQRT(((Inputs!$I$6+(((A204)+1)/2)*(Inputs!$J$6-Inputs!$I$6)))^2+Inputs!$C$6^2+((Inputs!$H$6+Inputs!$L$6*(((Inputs!$I$6+(((A204)+1)/2)*(Inputs!$J$6-Inputs!$I$6)))/Inputs!$K$6)^2))^2))-((Inputs!$H$6+Inputs!$L$6*(((Inputs!$I$6+(((A204)+1)/2)*(Inputs!$J$6-Inputs!$I$6)))/Inputs!$K$6)^2)))*1000/Inputs!$C$12),NA())</f>
        <v>1605.0116760415644</v>
      </c>
      <c r="I204" s="9">
        <f>IF(OR(Inputs!$F$7=TRUE,Inputs!$F$7="TRUE",Inputs!$F$7=1),(((SQRT(((Inputs!$I$7+(((A204)+1)/2)*(Inputs!$J$7-Inputs!$I$7)))^2+Inputs!$C$6^2+((Inputs!$H$7+Inputs!$L$7*(((Inputs!$I$7+(((A204)+1)/2)*(Inputs!$J$7-Inputs!$I$7)))/Inputs!$K$7)^2))^2))-((Inputs!$H$7+Inputs!$L$7*(((Inputs!$I$7+(((A204)+1)/2)*(Inputs!$J$7-Inputs!$I$7)))/Inputs!$K$7)^2)))*1000/Inputs!$C$12),NA())</f>
        <v>77171.91062309152</v>
      </c>
      <c r="J204" s="9">
        <f>IF(OR(Inputs!$F$8=TRUE,Inputs!$F$8="TRUE",Inputs!$F$8=1),(((SQRT(((Inputs!$I$8+(((A204)+1)/2)*(Inputs!$J$8-Inputs!$I$8)))^2+Inputs!$C$6^2+((Inputs!$H$8+Inputs!$L$8*(((Inputs!$I$8+(((A204)+1)/2)*(Inputs!$J$8-Inputs!$I$8)))/Inputs!$K$8)^2))^2))-((Inputs!$H$8+Inputs!$L$8*(((Inputs!$I$8+(((A204)+1)/2)*(Inputs!$J$8-Inputs!$I$8)))/Inputs!$K$8)^2)))*1000/Inputs!$C$12),NA())</f>
        <v>138187.76812593368</v>
      </c>
      <c r="K204" s="9">
        <f>IF(OR(Inputs!$F$9=TRUE,Inputs!$F$9="TRUE",Inputs!$F$9=1),(((SQRT(((Inputs!$I$9+(((A204)+1)/2)*(Inputs!$J$9-Inputs!$I$9)))^2+Inputs!$C$6^2+((Inputs!$H$9+Inputs!$L$9*(((Inputs!$I$9+(((A204)+1)/2)*(Inputs!$J$9-Inputs!$I$9)))/Inputs!$K$9)^2))^2))-((Inputs!$H$9+Inputs!$L$9*(((Inputs!$I$9+(((A204)+1)/2)*(Inputs!$J$9-Inputs!$I$9)))/Inputs!$K$9)^2)))*1000/Inputs!$C$12),NA())</f>
        <v>139202.27613807251</v>
      </c>
      <c r="L204" s="10"/>
      <c r="M204" s="9">
        <f t="shared" si="19"/>
        <v>0.68300000000000005</v>
      </c>
      <c r="N204" s="9">
        <f>IF(OR(Inputs!$F$6=TRUE,Inputs!$F$6="TRUE",Inputs!$F$6=1),(-2*((1000*((((Inputs!$I$6+(((A204)+1)/2)*(Inputs!$J$6-Inputs!$I$6)))*Inputs!$C$11+((Inputs!$H$6+Inputs!$L$6*(((Inputs!$I$6+(((A204)+1)/2)*(Inputs!$J$6-Inputs!$I$6)))/Inputs!$K$6)^2))*((2*Inputs!$L$6*((Inputs!$I$6+(((A204)+1)/2)*(Inputs!$J$6-Inputs!$I$6)))/(Inputs!$K$6^2)*Inputs!$C$11)))/(SQRT(((Inputs!$I$6+(((A204)+1)/2)*(Inputs!$J$6-Inputs!$I$6)))^2+Inputs!$C$6^2+((Inputs!$H$6+Inputs!$L$6*(((Inputs!$I$6+(((A204)+1)/2)*(Inputs!$J$6-Inputs!$I$6)))/Inputs!$K$6)^2))^2)))))/Inputs!$C$13),NA())</f>
        <v>-306.68528026404471</v>
      </c>
      <c r="O204" s="9">
        <f>IF(OR(Inputs!$F$7=TRUE,Inputs!$F$7="TRUE",Inputs!$F$7=1),(-2*((1000*((((Inputs!$I$7+(((A204)+1)/2)*(Inputs!$J$7-Inputs!$I$7)))*Inputs!$C$11+((Inputs!$H$7+Inputs!$L$7*(((Inputs!$I$7+(((A204)+1)/2)*(Inputs!$J$7-Inputs!$I$7)))/Inputs!$K$7)^2))*((2*Inputs!$L$7*((Inputs!$I$7+(((A204)+1)/2)*(Inputs!$J$7-Inputs!$I$7)))/(Inputs!$K$7^2)*Inputs!$C$11)))/(SQRT(((Inputs!$I$7+(((A204)+1)/2)*(Inputs!$J$7-Inputs!$I$7)))^2+Inputs!$C$6^2+((Inputs!$H$7+Inputs!$L$7*(((Inputs!$I$7+(((A204)+1)/2)*(Inputs!$J$7-Inputs!$I$7)))/Inputs!$K$7)^2))^2)))))/Inputs!$C$13),NA())</f>
        <v>-2470.5605844041247</v>
      </c>
      <c r="P204" s="9">
        <f>IF(OR(Inputs!$F$8=TRUE,Inputs!$F$8="TRUE",Inputs!$F$8=1),(-2*((1000*((((Inputs!$I$8+(((A204)+1)/2)*(Inputs!$J$8-Inputs!$I$8)))*Inputs!$C$11+((Inputs!$H$8+Inputs!$L$8*(((Inputs!$I$8+(((A204)+1)/2)*(Inputs!$J$8-Inputs!$I$8)))/Inputs!$K$8)^2))*((2*Inputs!$L$8*((Inputs!$I$8+(((A204)+1)/2)*(Inputs!$J$8-Inputs!$I$8)))/(Inputs!$K$8^2)*Inputs!$C$11)))/(SQRT(((Inputs!$I$8+(((A204)+1)/2)*(Inputs!$J$8-Inputs!$I$8)))^2+Inputs!$C$6^2+((Inputs!$H$8+Inputs!$L$8*(((Inputs!$I$8+(((A204)+1)/2)*(Inputs!$J$8-Inputs!$I$8)))/Inputs!$K$8)^2))^2)))))/Inputs!$C$13),NA())</f>
        <v>-2945.1576173798694</v>
      </c>
      <c r="Q204" s="9">
        <f>IF(OR(Inputs!$F$9=TRUE,Inputs!$F$9="TRUE",Inputs!$F$9=1),(-2*((1000*((((Inputs!$I$9+(((A204)+1)/2)*(Inputs!$J$9-Inputs!$I$9)))*Inputs!$C$11+((Inputs!$H$9+Inputs!$L$9*(((Inputs!$I$9+(((A204)+1)/2)*(Inputs!$J$9-Inputs!$I$9)))/Inputs!$K$9)^2))*((2*Inputs!$L$9*((Inputs!$I$9+(((A204)+1)/2)*(Inputs!$J$9-Inputs!$I$9)))/(Inputs!$K$9^2)*Inputs!$C$11)))/(SQRT(((Inputs!$I$9+(((A204)+1)/2)*(Inputs!$J$9-Inputs!$I$9)))^2+Inputs!$C$6^2+((Inputs!$H$9+Inputs!$L$9*(((Inputs!$I$9+(((A204)+1)/2)*(Inputs!$J$9-Inputs!$I$9)))/Inputs!$K$9)^2))^2)))))/Inputs!$C$13),NA())</f>
        <v>-2958.1286240052505</v>
      </c>
      <c r="R204" s="10"/>
      <c r="S204" s="9">
        <f t="shared" si="20"/>
        <v>0.68300000000000005</v>
      </c>
      <c r="T204" s="9">
        <f>(Inputs!$I$6+(((A204)+1)/2)*(Inputs!$J$6-Inputs!$I$6))</f>
        <v>40.980000000000004</v>
      </c>
      <c r="U204" s="9">
        <f>(Inputs!$I$7+(((A204)+1)/2)*(Inputs!$J$7-Inputs!$I$7))</f>
        <v>273.20000000000005</v>
      </c>
      <c r="V204" s="9">
        <f>(Inputs!$I$8+(((A204)+1)/2)*(Inputs!$J$8-Inputs!$I$8))</f>
        <v>546.40000000000009</v>
      </c>
      <c r="W204" s="9">
        <f>(Inputs!$I$9+(((A204)+1)/2)*(Inputs!$J$9-Inputs!$I$9))</f>
        <v>546.40000000000009</v>
      </c>
      <c r="X204" s="10"/>
      <c r="Y204" s="9">
        <f t="shared" si="21"/>
        <v>0.68300000000000005</v>
      </c>
      <c r="Z204" s="9">
        <f>(Inputs!$H$6+Inputs!$L$6*(((Inputs!$I$6+(((A204)+1)/2)*(Inputs!$J$6-Inputs!$I$6)))/Inputs!$K$6)^2)</f>
        <v>401.86595599999998</v>
      </c>
      <c r="AA204" s="9">
        <f>(Inputs!$H$7+Inputs!$L$7*(((Inputs!$I$7+(((A204)+1)/2)*(Inputs!$J$7-Inputs!$I$7)))/Inputs!$K$7)^2)</f>
        <v>205.26848500000008</v>
      </c>
      <c r="AB204" s="9">
        <f>(Inputs!$H$8+Inputs!$L$8*(((Inputs!$I$8+(((A204)+1)/2)*(Inputs!$J$8-Inputs!$I$8)))/Inputs!$K$8)^2)</f>
        <v>485.16188500000021</v>
      </c>
      <c r="AC204" s="9">
        <f>(Inputs!$H$9+Inputs!$L$9*(((Inputs!$I$9+(((A204)+1)/2)*(Inputs!$J$9-Inputs!$I$9)))/Inputs!$K$9)^2)</f>
        <v>479.82677500000023</v>
      </c>
      <c r="AD204" s="10"/>
      <c r="AE204" s="9">
        <f t="shared" si="22"/>
        <v>0.68300000000000005</v>
      </c>
      <c r="AF204" s="9">
        <f>(((SQRT(((Inputs!$I$6+(((A204)+1)/2)*(Inputs!$J$6-Inputs!$I$6)))^2+Inputs!$C$6^2+((Inputs!$H$6+Inputs!$L$6*(((Inputs!$I$6+(((A204)+1)/2)*(Inputs!$J$6-Inputs!$I$6)))/Inputs!$K$6)^2))^2))-((Inputs!$H$6+Inputs!$L$6*(((Inputs!$I$6+(((A204)+1)/2)*(Inputs!$J$6-Inputs!$I$6)))/Inputs!$K$6)^2)))*1000/Inputs!$C$12)</f>
        <v>1605.0116760415644</v>
      </c>
      <c r="AG204" s="9">
        <f>(((SQRT(((Inputs!$I$7+(((A204)+1)/2)*(Inputs!$J$7-Inputs!$I$7)))^2+Inputs!$C$6^2+((Inputs!$H$7+Inputs!$L$7*(((Inputs!$I$7+(((A204)+1)/2)*(Inputs!$J$7-Inputs!$I$7)))/Inputs!$K$7)^2))^2))-((Inputs!$H$7+Inputs!$L$7*(((Inputs!$I$7+(((A204)+1)/2)*(Inputs!$J$7-Inputs!$I$7)))/Inputs!$K$7)^2)))*1000/Inputs!$C$12)</f>
        <v>77171.91062309152</v>
      </c>
      <c r="AH204" s="9">
        <f>(((SQRT(((Inputs!$I$8+(((A204)+1)/2)*(Inputs!$J$8-Inputs!$I$8)))^2+Inputs!$C$6^2+((Inputs!$H$8+Inputs!$L$8*(((Inputs!$I$8+(((A204)+1)/2)*(Inputs!$J$8-Inputs!$I$8)))/Inputs!$K$8)^2))^2))-((Inputs!$H$8+Inputs!$L$8*(((Inputs!$I$8+(((A204)+1)/2)*(Inputs!$J$8-Inputs!$I$8)))/Inputs!$K$8)^2)))*1000/Inputs!$C$12)</f>
        <v>138187.76812593368</v>
      </c>
      <c r="AI204" s="9">
        <f>(((SQRT(((Inputs!$I$9+(((A204)+1)/2)*(Inputs!$J$9-Inputs!$I$9)))^2+Inputs!$C$6^2+((Inputs!$H$9+Inputs!$L$9*(((Inputs!$I$9+(((A204)+1)/2)*(Inputs!$J$9-Inputs!$I$9)))/Inputs!$K$9)^2))^2))-((Inputs!$H$9+Inputs!$L$9*(((Inputs!$I$9+(((A204)+1)/2)*(Inputs!$J$9-Inputs!$I$9)))/Inputs!$K$9)^2)))*1000/Inputs!$C$12)</f>
        <v>139202.27613807251</v>
      </c>
      <c r="AJ204" s="10"/>
      <c r="AK204" s="9">
        <f t="shared" si="23"/>
        <v>0.68300000000000005</v>
      </c>
      <c r="AL204" s="9">
        <f>(-2*((1000*((((Inputs!$I$6+(((A204)+1)/2)*(Inputs!$J$6-Inputs!$I$6)))*Inputs!$C$11+((Inputs!$H$6+Inputs!$L$6*(((Inputs!$I$6+(((A204)+1)/2)*(Inputs!$J$6-Inputs!$I$6)))/Inputs!$K$6)^2))*((2*Inputs!$L$6*((Inputs!$I$6+(((A204)+1)/2)*(Inputs!$J$6-Inputs!$I$6)))/(Inputs!$K$6^2)*Inputs!$C$11)))/(SQRT(((Inputs!$I$6+(((A204)+1)/2)*(Inputs!$J$6-Inputs!$I$6)))^2+Inputs!$C$6^2+((Inputs!$H$6+Inputs!$L$6*(((Inputs!$I$6+(((A204)+1)/2)*(Inputs!$J$6-Inputs!$I$6)))/Inputs!$K$6)^2))^2)))))/Inputs!$C$13)</f>
        <v>-306.68528026404471</v>
      </c>
      <c r="AM204" s="9">
        <f>(-2*((1000*((((Inputs!$I$7+(((A204)+1)/2)*(Inputs!$J$7-Inputs!$I$7)))*Inputs!$C$11+((Inputs!$H$7+Inputs!$L$7*(((Inputs!$I$7+(((A204)+1)/2)*(Inputs!$J$7-Inputs!$I$7)))/Inputs!$K$7)^2))*((2*Inputs!$L$7*((Inputs!$I$7+(((A204)+1)/2)*(Inputs!$J$7-Inputs!$I$7)))/(Inputs!$K$7^2)*Inputs!$C$11)))/(SQRT(((Inputs!$I$7+(((A204)+1)/2)*(Inputs!$J$7-Inputs!$I$7)))^2+Inputs!$C$6^2+((Inputs!$H$7+Inputs!$L$7*(((Inputs!$I$7+(((A204)+1)/2)*(Inputs!$J$7-Inputs!$I$7)))/Inputs!$K$7)^2))^2)))))/Inputs!$C$13)</f>
        <v>-2470.5605844041247</v>
      </c>
      <c r="AN204" s="9">
        <f>(-2*((1000*((((Inputs!$I$8+(((A204)+1)/2)*(Inputs!$J$8-Inputs!$I$8)))*Inputs!$C$11+((Inputs!$H$8+Inputs!$L$8*(((Inputs!$I$8+(((A204)+1)/2)*(Inputs!$J$8-Inputs!$I$8)))/Inputs!$K$8)^2))*((2*Inputs!$L$8*((Inputs!$I$8+(((A204)+1)/2)*(Inputs!$J$8-Inputs!$I$8)))/(Inputs!$K$8^2)*Inputs!$C$11)))/(SQRT(((Inputs!$I$8+(((A204)+1)/2)*(Inputs!$J$8-Inputs!$I$8)))^2+Inputs!$C$6^2+((Inputs!$H$8+Inputs!$L$8*(((Inputs!$I$8+(((A204)+1)/2)*(Inputs!$J$8-Inputs!$I$8)))/Inputs!$K$8)^2))^2)))))/Inputs!$C$13)</f>
        <v>-2945.1576173798694</v>
      </c>
      <c r="AO204" s="9">
        <f>(-2*((1000*((((Inputs!$I$9+(((A204)+1)/2)*(Inputs!$J$9-Inputs!$I$9)))*Inputs!$C$11+((Inputs!$H$9+Inputs!$L$9*(((Inputs!$I$9+(((A204)+1)/2)*(Inputs!$J$9-Inputs!$I$9)))/Inputs!$K$9)^2))*((2*Inputs!$L$9*((Inputs!$I$9+(((A204)+1)/2)*(Inputs!$J$9-Inputs!$I$9)))/(Inputs!$K$9^2)*Inputs!$C$11)))/(SQRT(((Inputs!$I$9+(((A204)+1)/2)*(Inputs!$J$9-Inputs!$I$9)))^2+Inputs!$C$6^2+((Inputs!$H$9+Inputs!$L$9*(((Inputs!$I$9+(((A204)+1)/2)*(Inputs!$J$9-Inputs!$I$9)))/Inputs!$K$9)^2))^2)))))/Inputs!$C$13)</f>
        <v>-2958.1286240052505</v>
      </c>
    </row>
    <row r="205" spans="1:41">
      <c r="A205" s="9">
        <f>ROUND(-1+203*2/240,3)</f>
        <v>0.69199999999999995</v>
      </c>
      <c r="B205" s="9">
        <f>IF(OR(Inputs!$F$6=TRUE,Inputs!$F$6="TRUE",Inputs!$F$6=1),(Inputs!$H$6+Inputs!$L$6*(((Inputs!$I$6+(((A205)+1)/2)*(Inputs!$J$6-Inputs!$I$6)))/Inputs!$K$6)^2),NA())</f>
        <v>401.91545600000001</v>
      </c>
      <c r="C205" s="9">
        <f>IF(OR(Inputs!$F$7=TRUE,Inputs!$F$7="TRUE",Inputs!$F$7=1),(Inputs!$H$7+Inputs!$L$7*(((Inputs!$I$7+(((A205)+1)/2)*(Inputs!$J$7-Inputs!$I$7)))/Inputs!$K$7)^2),NA())</f>
        <v>209.78535999999991</v>
      </c>
      <c r="D205" s="9">
        <f>IF(OR(Inputs!$F$8=TRUE,Inputs!$F$8="TRUE",Inputs!$F$8=1),(Inputs!$H$8+Inputs!$L$8*(((Inputs!$I$8+(((A205)+1)/2)*(Inputs!$J$8-Inputs!$I$8)))/Inputs!$K$8)^2),NA())</f>
        <v>497.1037599999998</v>
      </c>
      <c r="E205" s="9">
        <f>IF(OR(Inputs!$F$9=TRUE,Inputs!$F$9="TRUE",Inputs!$F$9=1),(Inputs!$H$9+Inputs!$L$9*(((Inputs!$I$9+(((A205)+1)/2)*(Inputs!$J$9-Inputs!$I$9)))/Inputs!$K$9)^2),NA())</f>
        <v>491.89239999999978</v>
      </c>
      <c r="F205" s="10"/>
      <c r="G205" s="9">
        <f t="shared" si="18"/>
        <v>0.69199999999999995</v>
      </c>
      <c r="H205" s="9">
        <f>IF(OR(Inputs!$F$6=TRUE,Inputs!$F$6="TRUE",Inputs!$F$6=1),(((SQRT(((Inputs!$I$6+(((A205)+1)/2)*(Inputs!$J$6-Inputs!$I$6)))^2+Inputs!$C$6^2+((Inputs!$H$6+Inputs!$L$6*(((Inputs!$I$6+(((A205)+1)/2)*(Inputs!$J$6-Inputs!$I$6)))/Inputs!$K$6)^2))^2))-((Inputs!$H$6+Inputs!$L$6*(((Inputs!$I$6+(((A205)+1)/2)*(Inputs!$J$6-Inputs!$I$6)))/Inputs!$K$6)^2)))*1000/Inputs!$C$12),NA())</f>
        <v>1635.7295752474204</v>
      </c>
      <c r="I205" s="9">
        <f>IF(OR(Inputs!$F$7=TRUE,Inputs!$F$7="TRUE",Inputs!$F$7=1),(((SQRT(((Inputs!$I$7+(((A205)+1)/2)*(Inputs!$J$7-Inputs!$I$7)))^2+Inputs!$C$6^2+((Inputs!$H$7+Inputs!$L$7*(((Inputs!$I$7+(((A205)+1)/2)*(Inputs!$J$7-Inputs!$I$7)))/Inputs!$K$7)^2))^2))-((Inputs!$H$7+Inputs!$L$7*(((Inputs!$I$7+(((A205)+1)/2)*(Inputs!$J$7-Inputs!$I$7)))/Inputs!$K$7)^2)))*1000/Inputs!$C$12),NA())</f>
        <v>77769.017841641049</v>
      </c>
      <c r="J205" s="9">
        <f>IF(OR(Inputs!$F$8=TRUE,Inputs!$F$8="TRUE",Inputs!$F$8=1),(((SQRT(((Inputs!$I$8+(((A205)+1)/2)*(Inputs!$J$8-Inputs!$I$8)))^2+Inputs!$C$6^2+((Inputs!$H$8+Inputs!$L$8*(((Inputs!$I$8+(((A205)+1)/2)*(Inputs!$J$8-Inputs!$I$8)))/Inputs!$K$8)^2))^2))-((Inputs!$H$8+Inputs!$L$8*(((Inputs!$I$8+(((A205)+1)/2)*(Inputs!$J$8-Inputs!$I$8)))/Inputs!$K$8)^2)))*1000/Inputs!$C$12),NA())</f>
        <v>138960.18644100227</v>
      </c>
      <c r="K205" s="9">
        <f>IF(OR(Inputs!$F$9=TRUE,Inputs!$F$9="TRUE",Inputs!$F$9=1),(((SQRT(((Inputs!$I$9+(((A205)+1)/2)*(Inputs!$J$9-Inputs!$I$9)))^2+Inputs!$C$6^2+((Inputs!$H$9+Inputs!$L$9*(((Inputs!$I$9+(((A205)+1)/2)*(Inputs!$J$9-Inputs!$I$9)))/Inputs!$K$9)^2))^2))-((Inputs!$H$9+Inputs!$L$9*(((Inputs!$I$9+(((A205)+1)/2)*(Inputs!$J$9-Inputs!$I$9)))/Inputs!$K$9)^2)))*1000/Inputs!$C$12),NA())</f>
        <v>139938.64808234564</v>
      </c>
      <c r="L205" s="10"/>
      <c r="M205" s="9">
        <f t="shared" si="19"/>
        <v>0.69199999999999995</v>
      </c>
      <c r="N205" s="9">
        <f>IF(OR(Inputs!$F$6=TRUE,Inputs!$F$6="TRUE",Inputs!$F$6=1),(-2*((1000*((((Inputs!$I$6+(((A205)+1)/2)*(Inputs!$J$6-Inputs!$I$6)))*Inputs!$C$11+((Inputs!$H$6+Inputs!$L$6*(((Inputs!$I$6+(((A205)+1)/2)*(Inputs!$J$6-Inputs!$I$6)))/Inputs!$K$6)^2))*((2*Inputs!$L$6*((Inputs!$I$6+(((A205)+1)/2)*(Inputs!$J$6-Inputs!$I$6)))/(Inputs!$K$6^2)*Inputs!$C$11)))/(SQRT(((Inputs!$I$6+(((A205)+1)/2)*(Inputs!$J$6-Inputs!$I$6)))^2+Inputs!$C$6^2+((Inputs!$H$6+Inputs!$L$6*(((Inputs!$I$6+(((A205)+1)/2)*(Inputs!$J$6-Inputs!$I$6)))/Inputs!$K$6)^2))^2)))))/Inputs!$C$13),NA())</f>
        <v>-310.66461000663219</v>
      </c>
      <c r="O205" s="9">
        <f>IF(OR(Inputs!$F$7=TRUE,Inputs!$F$7="TRUE",Inputs!$F$7=1),(-2*((1000*((((Inputs!$I$7+(((A205)+1)/2)*(Inputs!$J$7-Inputs!$I$7)))*Inputs!$C$11+((Inputs!$H$7+Inputs!$L$7*(((Inputs!$I$7+(((A205)+1)/2)*(Inputs!$J$7-Inputs!$I$7)))/Inputs!$K$7)^2))*((2*Inputs!$L$7*((Inputs!$I$7+(((A205)+1)/2)*(Inputs!$J$7-Inputs!$I$7)))/(Inputs!$K$7^2)*Inputs!$C$11)))/(SQRT(((Inputs!$I$7+(((A205)+1)/2)*(Inputs!$J$7-Inputs!$I$7)))^2+Inputs!$C$6^2+((Inputs!$H$7+Inputs!$L$7*(((Inputs!$I$7+(((A205)+1)/2)*(Inputs!$J$7-Inputs!$I$7)))/Inputs!$K$7)^2))^2)))))/Inputs!$C$13),NA())</f>
        <v>-2489.2168687029039</v>
      </c>
      <c r="P205" s="9">
        <f>IF(OR(Inputs!$F$8=TRUE,Inputs!$F$8="TRUE",Inputs!$F$8=1),(-2*((1000*((((Inputs!$I$8+(((A205)+1)/2)*(Inputs!$J$8-Inputs!$I$8)))*Inputs!$C$11+((Inputs!$H$8+Inputs!$L$8*(((Inputs!$I$8+(((A205)+1)/2)*(Inputs!$J$8-Inputs!$I$8)))/Inputs!$K$8)^2))*((2*Inputs!$L$8*((Inputs!$I$8+(((A205)+1)/2)*(Inputs!$J$8-Inputs!$I$8)))/(Inputs!$K$8^2)*Inputs!$C$11)))/(SQRT(((Inputs!$I$8+(((A205)+1)/2)*(Inputs!$J$8-Inputs!$I$8)))^2+Inputs!$C$6^2+((Inputs!$H$8+Inputs!$L$8*(((Inputs!$I$8+(((A205)+1)/2)*(Inputs!$J$8-Inputs!$I$8)))/Inputs!$K$8)^2))^2)))))/Inputs!$C$13),NA())</f>
        <v>-2973.4370295288759</v>
      </c>
      <c r="Q205" s="9">
        <f>IF(OR(Inputs!$F$9=TRUE,Inputs!$F$9="TRUE",Inputs!$F$9=1),(-2*((1000*((((Inputs!$I$9+(((A205)+1)/2)*(Inputs!$J$9-Inputs!$I$9)))*Inputs!$C$11+((Inputs!$H$9+Inputs!$L$9*(((Inputs!$I$9+(((A205)+1)/2)*(Inputs!$J$9-Inputs!$I$9)))/Inputs!$K$9)^2))*((2*Inputs!$L$9*((Inputs!$I$9+(((A205)+1)/2)*(Inputs!$J$9-Inputs!$I$9)))/(Inputs!$K$9^2)*Inputs!$C$11)))/(SQRT(((Inputs!$I$9+(((A205)+1)/2)*(Inputs!$J$9-Inputs!$I$9)))^2+Inputs!$C$6^2+((Inputs!$H$9+Inputs!$L$9*(((Inputs!$I$9+(((A205)+1)/2)*(Inputs!$J$9-Inputs!$I$9)))/Inputs!$K$9)^2))^2)))))/Inputs!$C$13),NA())</f>
        <v>-2986.9492699383391</v>
      </c>
      <c r="R205" s="10"/>
      <c r="S205" s="9">
        <f t="shared" si="20"/>
        <v>0.69199999999999995</v>
      </c>
      <c r="T205" s="9">
        <f>(Inputs!$I$6+(((A205)+1)/2)*(Inputs!$J$6-Inputs!$I$6))</f>
        <v>41.519999999999996</v>
      </c>
      <c r="U205" s="9">
        <f>(Inputs!$I$7+(((A205)+1)/2)*(Inputs!$J$7-Inputs!$I$7))</f>
        <v>276.79999999999995</v>
      </c>
      <c r="V205" s="9">
        <f>(Inputs!$I$8+(((A205)+1)/2)*(Inputs!$J$8-Inputs!$I$8))</f>
        <v>553.59999999999991</v>
      </c>
      <c r="W205" s="9">
        <f>(Inputs!$I$9+(((A205)+1)/2)*(Inputs!$J$9-Inputs!$I$9))</f>
        <v>553.59999999999991</v>
      </c>
      <c r="X205" s="10"/>
      <c r="Y205" s="9">
        <f t="shared" si="21"/>
        <v>0.69199999999999995</v>
      </c>
      <c r="Z205" s="9">
        <f>(Inputs!$H$6+Inputs!$L$6*(((Inputs!$I$6+(((A205)+1)/2)*(Inputs!$J$6-Inputs!$I$6)))/Inputs!$K$6)^2)</f>
        <v>401.91545600000001</v>
      </c>
      <c r="AA205" s="9">
        <f>(Inputs!$H$7+Inputs!$L$7*(((Inputs!$I$7+(((A205)+1)/2)*(Inputs!$J$7-Inputs!$I$7)))/Inputs!$K$7)^2)</f>
        <v>209.78535999999991</v>
      </c>
      <c r="AB205" s="9">
        <f>(Inputs!$H$8+Inputs!$L$8*(((Inputs!$I$8+(((A205)+1)/2)*(Inputs!$J$8-Inputs!$I$8)))/Inputs!$K$8)^2)</f>
        <v>497.1037599999998</v>
      </c>
      <c r="AC205" s="9">
        <f>(Inputs!$H$9+Inputs!$L$9*(((Inputs!$I$9+(((A205)+1)/2)*(Inputs!$J$9-Inputs!$I$9)))/Inputs!$K$9)^2)</f>
        <v>491.89239999999978</v>
      </c>
      <c r="AD205" s="10"/>
      <c r="AE205" s="9">
        <f t="shared" si="22"/>
        <v>0.69199999999999995</v>
      </c>
      <c r="AF205" s="9">
        <f>(((SQRT(((Inputs!$I$6+(((A205)+1)/2)*(Inputs!$J$6-Inputs!$I$6)))^2+Inputs!$C$6^2+((Inputs!$H$6+Inputs!$L$6*(((Inputs!$I$6+(((A205)+1)/2)*(Inputs!$J$6-Inputs!$I$6)))/Inputs!$K$6)^2))^2))-((Inputs!$H$6+Inputs!$L$6*(((Inputs!$I$6+(((A205)+1)/2)*(Inputs!$J$6-Inputs!$I$6)))/Inputs!$K$6)^2)))*1000/Inputs!$C$12)</f>
        <v>1635.7295752474204</v>
      </c>
      <c r="AG205" s="9">
        <f>(((SQRT(((Inputs!$I$7+(((A205)+1)/2)*(Inputs!$J$7-Inputs!$I$7)))^2+Inputs!$C$6^2+((Inputs!$H$7+Inputs!$L$7*(((Inputs!$I$7+(((A205)+1)/2)*(Inputs!$J$7-Inputs!$I$7)))/Inputs!$K$7)^2))^2))-((Inputs!$H$7+Inputs!$L$7*(((Inputs!$I$7+(((A205)+1)/2)*(Inputs!$J$7-Inputs!$I$7)))/Inputs!$K$7)^2)))*1000/Inputs!$C$12)</f>
        <v>77769.017841641049</v>
      </c>
      <c r="AH205" s="9">
        <f>(((SQRT(((Inputs!$I$8+(((A205)+1)/2)*(Inputs!$J$8-Inputs!$I$8)))^2+Inputs!$C$6^2+((Inputs!$H$8+Inputs!$L$8*(((Inputs!$I$8+(((A205)+1)/2)*(Inputs!$J$8-Inputs!$I$8)))/Inputs!$K$8)^2))^2))-((Inputs!$H$8+Inputs!$L$8*(((Inputs!$I$8+(((A205)+1)/2)*(Inputs!$J$8-Inputs!$I$8)))/Inputs!$K$8)^2)))*1000/Inputs!$C$12)</f>
        <v>138960.18644100227</v>
      </c>
      <c r="AI205" s="9">
        <f>(((SQRT(((Inputs!$I$9+(((A205)+1)/2)*(Inputs!$J$9-Inputs!$I$9)))^2+Inputs!$C$6^2+((Inputs!$H$9+Inputs!$L$9*(((Inputs!$I$9+(((A205)+1)/2)*(Inputs!$J$9-Inputs!$I$9)))/Inputs!$K$9)^2))^2))-((Inputs!$H$9+Inputs!$L$9*(((Inputs!$I$9+(((A205)+1)/2)*(Inputs!$J$9-Inputs!$I$9)))/Inputs!$K$9)^2)))*1000/Inputs!$C$12)</f>
        <v>139938.64808234564</v>
      </c>
      <c r="AJ205" s="10"/>
      <c r="AK205" s="9">
        <f t="shared" si="23"/>
        <v>0.69199999999999995</v>
      </c>
      <c r="AL205" s="9">
        <f>(-2*((1000*((((Inputs!$I$6+(((A205)+1)/2)*(Inputs!$J$6-Inputs!$I$6)))*Inputs!$C$11+((Inputs!$H$6+Inputs!$L$6*(((Inputs!$I$6+(((A205)+1)/2)*(Inputs!$J$6-Inputs!$I$6)))/Inputs!$K$6)^2))*((2*Inputs!$L$6*((Inputs!$I$6+(((A205)+1)/2)*(Inputs!$J$6-Inputs!$I$6)))/(Inputs!$K$6^2)*Inputs!$C$11)))/(SQRT(((Inputs!$I$6+(((A205)+1)/2)*(Inputs!$J$6-Inputs!$I$6)))^2+Inputs!$C$6^2+((Inputs!$H$6+Inputs!$L$6*(((Inputs!$I$6+(((A205)+1)/2)*(Inputs!$J$6-Inputs!$I$6)))/Inputs!$K$6)^2))^2)))))/Inputs!$C$13)</f>
        <v>-310.66461000663219</v>
      </c>
      <c r="AM205" s="9">
        <f>(-2*((1000*((((Inputs!$I$7+(((A205)+1)/2)*(Inputs!$J$7-Inputs!$I$7)))*Inputs!$C$11+((Inputs!$H$7+Inputs!$L$7*(((Inputs!$I$7+(((A205)+1)/2)*(Inputs!$J$7-Inputs!$I$7)))/Inputs!$K$7)^2))*((2*Inputs!$L$7*((Inputs!$I$7+(((A205)+1)/2)*(Inputs!$J$7-Inputs!$I$7)))/(Inputs!$K$7^2)*Inputs!$C$11)))/(SQRT(((Inputs!$I$7+(((A205)+1)/2)*(Inputs!$J$7-Inputs!$I$7)))^2+Inputs!$C$6^2+((Inputs!$H$7+Inputs!$L$7*(((Inputs!$I$7+(((A205)+1)/2)*(Inputs!$J$7-Inputs!$I$7)))/Inputs!$K$7)^2))^2)))))/Inputs!$C$13)</f>
        <v>-2489.2168687029039</v>
      </c>
      <c r="AN205" s="9">
        <f>(-2*((1000*((((Inputs!$I$8+(((A205)+1)/2)*(Inputs!$J$8-Inputs!$I$8)))*Inputs!$C$11+((Inputs!$H$8+Inputs!$L$8*(((Inputs!$I$8+(((A205)+1)/2)*(Inputs!$J$8-Inputs!$I$8)))/Inputs!$K$8)^2))*((2*Inputs!$L$8*((Inputs!$I$8+(((A205)+1)/2)*(Inputs!$J$8-Inputs!$I$8)))/(Inputs!$K$8^2)*Inputs!$C$11)))/(SQRT(((Inputs!$I$8+(((A205)+1)/2)*(Inputs!$J$8-Inputs!$I$8)))^2+Inputs!$C$6^2+((Inputs!$H$8+Inputs!$L$8*(((Inputs!$I$8+(((A205)+1)/2)*(Inputs!$J$8-Inputs!$I$8)))/Inputs!$K$8)^2))^2)))))/Inputs!$C$13)</f>
        <v>-2973.4370295288759</v>
      </c>
      <c r="AO205" s="9">
        <f>(-2*((1000*((((Inputs!$I$9+(((A205)+1)/2)*(Inputs!$J$9-Inputs!$I$9)))*Inputs!$C$11+((Inputs!$H$9+Inputs!$L$9*(((Inputs!$I$9+(((A205)+1)/2)*(Inputs!$J$9-Inputs!$I$9)))/Inputs!$K$9)^2))*((2*Inputs!$L$9*((Inputs!$I$9+(((A205)+1)/2)*(Inputs!$J$9-Inputs!$I$9)))/(Inputs!$K$9^2)*Inputs!$C$11)))/(SQRT(((Inputs!$I$9+(((A205)+1)/2)*(Inputs!$J$9-Inputs!$I$9)))^2+Inputs!$C$6^2+((Inputs!$H$9+Inputs!$L$9*(((Inputs!$I$9+(((A205)+1)/2)*(Inputs!$J$9-Inputs!$I$9)))/Inputs!$K$9)^2))^2)))))/Inputs!$C$13)</f>
        <v>-2986.9492699383391</v>
      </c>
    </row>
    <row r="206" spans="1:41">
      <c r="A206" s="9">
        <f>ROUND(-1+204*2/240,3)</f>
        <v>0.7</v>
      </c>
      <c r="B206" s="9">
        <f>IF(OR(Inputs!$F$6=TRUE,Inputs!$F$6="TRUE",Inputs!$F$6=1),(Inputs!$H$6+Inputs!$L$6*(((Inputs!$I$6+(((A206)+1)/2)*(Inputs!$J$6-Inputs!$I$6)))/Inputs!$K$6)^2),NA())</f>
        <v>401.96</v>
      </c>
      <c r="C206" s="9">
        <f>IF(OR(Inputs!$F$7=TRUE,Inputs!$F$7="TRUE",Inputs!$F$7=1),(Inputs!$H$7+Inputs!$L$7*(((Inputs!$I$7+(((A206)+1)/2)*(Inputs!$J$7-Inputs!$I$7)))/Inputs!$K$7)^2),NA())</f>
        <v>213.84999999999997</v>
      </c>
      <c r="D206" s="9">
        <f>IF(OR(Inputs!$F$8=TRUE,Inputs!$F$8="TRUE",Inputs!$F$8=1),(Inputs!$H$8+Inputs!$L$8*(((Inputs!$I$8+(((A206)+1)/2)*(Inputs!$J$8-Inputs!$I$8)))/Inputs!$K$8)^2),NA())</f>
        <v>507.84999999999997</v>
      </c>
      <c r="E206" s="9">
        <f>IF(OR(Inputs!$F$9=TRUE,Inputs!$F$9="TRUE",Inputs!$F$9=1),(Inputs!$H$9+Inputs!$L$9*(((Inputs!$I$9+(((A206)+1)/2)*(Inputs!$J$9-Inputs!$I$9)))/Inputs!$K$9)^2),NA())</f>
        <v>502.74999999999994</v>
      </c>
      <c r="F206" s="10"/>
      <c r="G206" s="9">
        <f t="shared" si="18"/>
        <v>0.7</v>
      </c>
      <c r="H206" s="9">
        <f>IF(OR(Inputs!$F$6=TRUE,Inputs!$F$6="TRUE",Inputs!$F$6=1),(((SQRT(((Inputs!$I$6+(((A206)+1)/2)*(Inputs!$J$6-Inputs!$I$6)))^2+Inputs!$C$6^2+((Inputs!$H$6+Inputs!$L$6*(((Inputs!$I$6+(((A206)+1)/2)*(Inputs!$J$6-Inputs!$I$6)))/Inputs!$K$6)^2))^2))-((Inputs!$H$6+Inputs!$L$6*(((Inputs!$I$6+(((A206)+1)/2)*(Inputs!$J$6-Inputs!$I$6)))/Inputs!$K$6)^2)))*1000/Inputs!$C$12),NA())</f>
        <v>1663.3619953398884</v>
      </c>
      <c r="I206" s="9">
        <f>IF(OR(Inputs!$F$7=TRUE,Inputs!$F$7="TRUE",Inputs!$F$7=1),(((SQRT(((Inputs!$I$7+(((A206)+1)/2)*(Inputs!$J$7-Inputs!$I$7)))^2+Inputs!$C$6^2+((Inputs!$H$7+Inputs!$L$7*(((Inputs!$I$7+(((A206)+1)/2)*(Inputs!$J$7-Inputs!$I$7)))/Inputs!$K$7)^2))^2))-((Inputs!$H$7+Inputs!$L$7*(((Inputs!$I$7+(((A206)+1)/2)*(Inputs!$J$7-Inputs!$I$7)))/Inputs!$K$7)^2)))*1000/Inputs!$C$12),NA())</f>
        <v>78291.751826932392</v>
      </c>
      <c r="J206" s="9">
        <f>IF(OR(Inputs!$F$8=TRUE,Inputs!$F$8="TRUE",Inputs!$F$8=1),(((SQRT(((Inputs!$I$8+(((A206)+1)/2)*(Inputs!$J$8-Inputs!$I$8)))^2+Inputs!$C$6^2+((Inputs!$H$8+Inputs!$L$8*(((Inputs!$I$8+(((A206)+1)/2)*(Inputs!$J$8-Inputs!$I$8)))/Inputs!$K$8)^2))^2))-((Inputs!$H$8+Inputs!$L$8*(((Inputs!$I$8+(((A206)+1)/2)*(Inputs!$J$8-Inputs!$I$8)))/Inputs!$K$8)^2)))*1000/Inputs!$C$12),NA())</f>
        <v>139633.22067116378</v>
      </c>
      <c r="K206" s="9">
        <f>IF(OR(Inputs!$F$9=TRUE,Inputs!$F$9="TRUE",Inputs!$F$9=1),(((SQRT(((Inputs!$I$9+(((A206)+1)/2)*(Inputs!$J$9-Inputs!$I$9)))^2+Inputs!$C$6^2+((Inputs!$H$9+Inputs!$L$9*(((Inputs!$I$9+(((A206)+1)/2)*(Inputs!$J$9-Inputs!$I$9)))/Inputs!$K$9)^2))^2))-((Inputs!$H$9+Inputs!$L$9*(((Inputs!$I$9+(((A206)+1)/2)*(Inputs!$J$9-Inputs!$I$9)))/Inputs!$K$9)^2)))*1000/Inputs!$C$12),NA())</f>
        <v>140580.02528903959</v>
      </c>
      <c r="L206" s="10"/>
      <c r="M206" s="9">
        <f t="shared" si="19"/>
        <v>0.7</v>
      </c>
      <c r="N206" s="9">
        <f>IF(OR(Inputs!$F$6=TRUE,Inputs!$F$6="TRUE",Inputs!$F$6=1),(-2*((1000*((((Inputs!$I$6+(((A206)+1)/2)*(Inputs!$J$6-Inputs!$I$6)))*Inputs!$C$11+((Inputs!$H$6+Inputs!$L$6*(((Inputs!$I$6+(((A206)+1)/2)*(Inputs!$J$6-Inputs!$I$6)))/Inputs!$K$6)^2))*((2*Inputs!$L$6*((Inputs!$I$6+(((A206)+1)/2)*(Inputs!$J$6-Inputs!$I$6)))/(Inputs!$K$6^2)*Inputs!$C$11)))/(SQRT(((Inputs!$I$6+(((A206)+1)/2)*(Inputs!$J$6-Inputs!$I$6)))^2+Inputs!$C$6^2+((Inputs!$H$6+Inputs!$L$6*(((Inputs!$I$6+(((A206)+1)/2)*(Inputs!$J$6-Inputs!$I$6)))/Inputs!$K$6)^2))^2)))))/Inputs!$C$13),NA())</f>
        <v>-314.1997931036334</v>
      </c>
      <c r="O206" s="9">
        <f>IF(OR(Inputs!$F$7=TRUE,Inputs!$F$7="TRUE",Inputs!$F$7=1),(-2*((1000*((((Inputs!$I$7+(((A206)+1)/2)*(Inputs!$J$7-Inputs!$I$7)))*Inputs!$C$11+((Inputs!$H$7+Inputs!$L$7*(((Inputs!$I$7+(((A206)+1)/2)*(Inputs!$J$7-Inputs!$I$7)))/Inputs!$K$7)^2))*((2*Inputs!$L$7*((Inputs!$I$7+(((A206)+1)/2)*(Inputs!$J$7-Inputs!$I$7)))/(Inputs!$K$7^2)*Inputs!$C$11)))/(SQRT(((Inputs!$I$7+(((A206)+1)/2)*(Inputs!$J$7-Inputs!$I$7)))^2+Inputs!$C$6^2+((Inputs!$H$7+Inputs!$L$7*(((Inputs!$I$7+(((A206)+1)/2)*(Inputs!$J$7-Inputs!$I$7)))/Inputs!$K$7)^2))^2)))))/Inputs!$C$13),NA())</f>
        <v>-2505.9061419457312</v>
      </c>
      <c r="P206" s="9">
        <f>IF(OR(Inputs!$F$8=TRUE,Inputs!$F$8="TRUE",Inputs!$F$8=1),(-2*((1000*((((Inputs!$I$8+(((A206)+1)/2)*(Inputs!$J$8-Inputs!$I$8)))*Inputs!$C$11+((Inputs!$H$8+Inputs!$L$8*(((Inputs!$I$8+(((A206)+1)/2)*(Inputs!$J$8-Inputs!$I$8)))/Inputs!$K$8)^2))*((2*Inputs!$L$8*((Inputs!$I$8+(((A206)+1)/2)*(Inputs!$J$8-Inputs!$I$8)))/(Inputs!$K$8^2)*Inputs!$C$11)))/(SQRT(((Inputs!$I$8+(((A206)+1)/2)*(Inputs!$J$8-Inputs!$I$8)))^2+Inputs!$C$6^2+((Inputs!$H$8+Inputs!$L$8*(((Inputs!$I$8+(((A206)+1)/2)*(Inputs!$J$8-Inputs!$I$8)))/Inputs!$K$8)^2))^2)))))/Inputs!$C$13),NA())</f>
        <v>-2998.7034609975431</v>
      </c>
      <c r="Q206" s="9">
        <f>IF(OR(Inputs!$F$9=TRUE,Inputs!$F$9="TRUE",Inputs!$F$9=1),(-2*((1000*((((Inputs!$I$9+(((A206)+1)/2)*(Inputs!$J$9-Inputs!$I$9)))*Inputs!$C$11+((Inputs!$H$9+Inputs!$L$9*(((Inputs!$I$9+(((A206)+1)/2)*(Inputs!$J$9-Inputs!$I$9)))/Inputs!$K$9)^2))*((2*Inputs!$L$9*((Inputs!$I$9+(((A206)+1)/2)*(Inputs!$J$9-Inputs!$I$9)))/(Inputs!$K$9^2)*Inputs!$C$11)))/(SQRT(((Inputs!$I$9+(((A206)+1)/2)*(Inputs!$J$9-Inputs!$I$9)))^2+Inputs!$C$6^2+((Inputs!$H$9+Inputs!$L$9*(((Inputs!$I$9+(((A206)+1)/2)*(Inputs!$J$9-Inputs!$I$9)))/Inputs!$K$9)^2))^2)))))/Inputs!$C$13),NA())</f>
        <v>-3012.6963981960357</v>
      </c>
      <c r="R206" s="10"/>
      <c r="S206" s="9">
        <f t="shared" si="20"/>
        <v>0.7</v>
      </c>
      <c r="T206" s="9">
        <f>(Inputs!$I$6+(((A206)+1)/2)*(Inputs!$J$6-Inputs!$I$6))</f>
        <v>42</v>
      </c>
      <c r="U206" s="9">
        <f>(Inputs!$I$7+(((A206)+1)/2)*(Inputs!$J$7-Inputs!$I$7))</f>
        <v>280</v>
      </c>
      <c r="V206" s="9">
        <f>(Inputs!$I$8+(((A206)+1)/2)*(Inputs!$J$8-Inputs!$I$8))</f>
        <v>560</v>
      </c>
      <c r="W206" s="9">
        <f>(Inputs!$I$9+(((A206)+1)/2)*(Inputs!$J$9-Inputs!$I$9))</f>
        <v>560</v>
      </c>
      <c r="X206" s="10"/>
      <c r="Y206" s="9">
        <f t="shared" si="21"/>
        <v>0.7</v>
      </c>
      <c r="Z206" s="9">
        <f>(Inputs!$H$6+Inputs!$L$6*(((Inputs!$I$6+(((A206)+1)/2)*(Inputs!$J$6-Inputs!$I$6)))/Inputs!$K$6)^2)</f>
        <v>401.96</v>
      </c>
      <c r="AA206" s="9">
        <f>(Inputs!$H$7+Inputs!$L$7*(((Inputs!$I$7+(((A206)+1)/2)*(Inputs!$J$7-Inputs!$I$7)))/Inputs!$K$7)^2)</f>
        <v>213.84999999999997</v>
      </c>
      <c r="AB206" s="9">
        <f>(Inputs!$H$8+Inputs!$L$8*(((Inputs!$I$8+(((A206)+1)/2)*(Inputs!$J$8-Inputs!$I$8)))/Inputs!$K$8)^2)</f>
        <v>507.84999999999997</v>
      </c>
      <c r="AC206" s="9">
        <f>(Inputs!$H$9+Inputs!$L$9*(((Inputs!$I$9+(((A206)+1)/2)*(Inputs!$J$9-Inputs!$I$9)))/Inputs!$K$9)^2)</f>
        <v>502.74999999999994</v>
      </c>
      <c r="AD206" s="10"/>
      <c r="AE206" s="9">
        <f t="shared" si="22"/>
        <v>0.7</v>
      </c>
      <c r="AF206" s="9">
        <f>(((SQRT(((Inputs!$I$6+(((A206)+1)/2)*(Inputs!$J$6-Inputs!$I$6)))^2+Inputs!$C$6^2+((Inputs!$H$6+Inputs!$L$6*(((Inputs!$I$6+(((A206)+1)/2)*(Inputs!$J$6-Inputs!$I$6)))/Inputs!$K$6)^2))^2))-((Inputs!$H$6+Inputs!$L$6*(((Inputs!$I$6+(((A206)+1)/2)*(Inputs!$J$6-Inputs!$I$6)))/Inputs!$K$6)^2)))*1000/Inputs!$C$12)</f>
        <v>1663.3619953398884</v>
      </c>
      <c r="AG206" s="9">
        <f>(((SQRT(((Inputs!$I$7+(((A206)+1)/2)*(Inputs!$J$7-Inputs!$I$7)))^2+Inputs!$C$6^2+((Inputs!$H$7+Inputs!$L$7*(((Inputs!$I$7+(((A206)+1)/2)*(Inputs!$J$7-Inputs!$I$7)))/Inputs!$K$7)^2))^2))-((Inputs!$H$7+Inputs!$L$7*(((Inputs!$I$7+(((A206)+1)/2)*(Inputs!$J$7-Inputs!$I$7)))/Inputs!$K$7)^2)))*1000/Inputs!$C$12)</f>
        <v>78291.751826932392</v>
      </c>
      <c r="AH206" s="9">
        <f>(((SQRT(((Inputs!$I$8+(((A206)+1)/2)*(Inputs!$J$8-Inputs!$I$8)))^2+Inputs!$C$6^2+((Inputs!$H$8+Inputs!$L$8*(((Inputs!$I$8+(((A206)+1)/2)*(Inputs!$J$8-Inputs!$I$8)))/Inputs!$K$8)^2))^2))-((Inputs!$H$8+Inputs!$L$8*(((Inputs!$I$8+(((A206)+1)/2)*(Inputs!$J$8-Inputs!$I$8)))/Inputs!$K$8)^2)))*1000/Inputs!$C$12)</f>
        <v>139633.22067116378</v>
      </c>
      <c r="AI206" s="9">
        <f>(((SQRT(((Inputs!$I$9+(((A206)+1)/2)*(Inputs!$J$9-Inputs!$I$9)))^2+Inputs!$C$6^2+((Inputs!$H$9+Inputs!$L$9*(((Inputs!$I$9+(((A206)+1)/2)*(Inputs!$J$9-Inputs!$I$9)))/Inputs!$K$9)^2))^2))-((Inputs!$H$9+Inputs!$L$9*(((Inputs!$I$9+(((A206)+1)/2)*(Inputs!$J$9-Inputs!$I$9)))/Inputs!$K$9)^2)))*1000/Inputs!$C$12)</f>
        <v>140580.02528903959</v>
      </c>
      <c r="AJ206" s="10"/>
      <c r="AK206" s="9">
        <f t="shared" si="23"/>
        <v>0.7</v>
      </c>
      <c r="AL206" s="9">
        <f>(-2*((1000*((((Inputs!$I$6+(((A206)+1)/2)*(Inputs!$J$6-Inputs!$I$6)))*Inputs!$C$11+((Inputs!$H$6+Inputs!$L$6*(((Inputs!$I$6+(((A206)+1)/2)*(Inputs!$J$6-Inputs!$I$6)))/Inputs!$K$6)^2))*((2*Inputs!$L$6*((Inputs!$I$6+(((A206)+1)/2)*(Inputs!$J$6-Inputs!$I$6)))/(Inputs!$K$6^2)*Inputs!$C$11)))/(SQRT(((Inputs!$I$6+(((A206)+1)/2)*(Inputs!$J$6-Inputs!$I$6)))^2+Inputs!$C$6^2+((Inputs!$H$6+Inputs!$L$6*(((Inputs!$I$6+(((A206)+1)/2)*(Inputs!$J$6-Inputs!$I$6)))/Inputs!$K$6)^2))^2)))))/Inputs!$C$13)</f>
        <v>-314.1997931036334</v>
      </c>
      <c r="AM206" s="9">
        <f>(-2*((1000*((((Inputs!$I$7+(((A206)+1)/2)*(Inputs!$J$7-Inputs!$I$7)))*Inputs!$C$11+((Inputs!$H$7+Inputs!$L$7*(((Inputs!$I$7+(((A206)+1)/2)*(Inputs!$J$7-Inputs!$I$7)))/Inputs!$K$7)^2))*((2*Inputs!$L$7*((Inputs!$I$7+(((A206)+1)/2)*(Inputs!$J$7-Inputs!$I$7)))/(Inputs!$K$7^2)*Inputs!$C$11)))/(SQRT(((Inputs!$I$7+(((A206)+1)/2)*(Inputs!$J$7-Inputs!$I$7)))^2+Inputs!$C$6^2+((Inputs!$H$7+Inputs!$L$7*(((Inputs!$I$7+(((A206)+1)/2)*(Inputs!$J$7-Inputs!$I$7)))/Inputs!$K$7)^2))^2)))))/Inputs!$C$13)</f>
        <v>-2505.9061419457312</v>
      </c>
      <c r="AN206" s="9">
        <f>(-2*((1000*((((Inputs!$I$8+(((A206)+1)/2)*(Inputs!$J$8-Inputs!$I$8)))*Inputs!$C$11+((Inputs!$H$8+Inputs!$L$8*(((Inputs!$I$8+(((A206)+1)/2)*(Inputs!$J$8-Inputs!$I$8)))/Inputs!$K$8)^2))*((2*Inputs!$L$8*((Inputs!$I$8+(((A206)+1)/2)*(Inputs!$J$8-Inputs!$I$8)))/(Inputs!$K$8^2)*Inputs!$C$11)))/(SQRT(((Inputs!$I$8+(((A206)+1)/2)*(Inputs!$J$8-Inputs!$I$8)))^2+Inputs!$C$6^2+((Inputs!$H$8+Inputs!$L$8*(((Inputs!$I$8+(((A206)+1)/2)*(Inputs!$J$8-Inputs!$I$8)))/Inputs!$K$8)^2))^2)))))/Inputs!$C$13)</f>
        <v>-2998.7034609975431</v>
      </c>
      <c r="AO206" s="9">
        <f>(-2*((1000*((((Inputs!$I$9+(((A206)+1)/2)*(Inputs!$J$9-Inputs!$I$9)))*Inputs!$C$11+((Inputs!$H$9+Inputs!$L$9*(((Inputs!$I$9+(((A206)+1)/2)*(Inputs!$J$9-Inputs!$I$9)))/Inputs!$K$9)^2))*((2*Inputs!$L$9*((Inputs!$I$9+(((A206)+1)/2)*(Inputs!$J$9-Inputs!$I$9)))/(Inputs!$K$9^2)*Inputs!$C$11)))/(SQRT(((Inputs!$I$9+(((A206)+1)/2)*(Inputs!$J$9-Inputs!$I$9)))^2+Inputs!$C$6^2+((Inputs!$H$9+Inputs!$L$9*(((Inputs!$I$9+(((A206)+1)/2)*(Inputs!$J$9-Inputs!$I$9)))/Inputs!$K$9)^2))^2)))))/Inputs!$C$13)</f>
        <v>-3012.6963981960357</v>
      </c>
    </row>
    <row r="207" spans="1:41">
      <c r="A207" s="9">
        <f>ROUND(-1+205*2/240,3)</f>
        <v>0.70799999999999996</v>
      </c>
      <c r="B207" s="9">
        <f>IF(OR(Inputs!$F$6=TRUE,Inputs!$F$6="TRUE",Inputs!$F$6=1),(Inputs!$H$6+Inputs!$L$6*(((Inputs!$I$6+(((A207)+1)/2)*(Inputs!$J$6-Inputs!$I$6)))/Inputs!$K$6)^2),NA())</f>
        <v>402.00505600000002</v>
      </c>
      <c r="C207" s="9">
        <f>IF(OR(Inputs!$F$7=TRUE,Inputs!$F$7="TRUE",Inputs!$F$7=1),(Inputs!$H$7+Inputs!$L$7*(((Inputs!$I$7+(((A207)+1)/2)*(Inputs!$J$7-Inputs!$I$7)))/Inputs!$K$7)^2),NA())</f>
        <v>217.96135999999993</v>
      </c>
      <c r="D207" s="9">
        <f>IF(OR(Inputs!$F$8=TRUE,Inputs!$F$8="TRUE",Inputs!$F$8=1),(Inputs!$H$8+Inputs!$L$8*(((Inputs!$I$8+(((A207)+1)/2)*(Inputs!$J$8-Inputs!$I$8)))/Inputs!$K$8)^2),NA())</f>
        <v>518.71975999999984</v>
      </c>
      <c r="E207" s="9">
        <f>IF(OR(Inputs!$F$9=TRUE,Inputs!$F$9="TRUE",Inputs!$F$9=1),(Inputs!$H$9+Inputs!$L$9*(((Inputs!$I$9+(((A207)+1)/2)*(Inputs!$J$9-Inputs!$I$9)))/Inputs!$K$9)^2),NA())</f>
        <v>513.73239999999987</v>
      </c>
      <c r="F207" s="10"/>
      <c r="G207" s="9">
        <f t="shared" si="18"/>
        <v>0.70799999999999996</v>
      </c>
      <c r="H207" s="9">
        <f>IF(OR(Inputs!$F$6=TRUE,Inputs!$F$6="TRUE",Inputs!$F$6=1),(((SQRT(((Inputs!$I$6+(((A207)+1)/2)*(Inputs!$J$6-Inputs!$I$6)))^2+Inputs!$C$6^2+((Inputs!$H$6+Inputs!$L$6*(((Inputs!$I$6+(((A207)+1)/2)*(Inputs!$J$6-Inputs!$I$6)))/Inputs!$K$6)^2))^2))-((Inputs!$H$6+Inputs!$L$6*(((Inputs!$I$6+(((A207)+1)/2)*(Inputs!$J$6-Inputs!$I$6)))/Inputs!$K$6)^2)))*1000/Inputs!$C$12),NA())</f>
        <v>1691.3024323785614</v>
      </c>
      <c r="I207" s="9">
        <f>IF(OR(Inputs!$F$7=TRUE,Inputs!$F$7="TRUE",Inputs!$F$7=1),(((SQRT(((Inputs!$I$7+(((A207)+1)/2)*(Inputs!$J$7-Inputs!$I$7)))^2+Inputs!$C$6^2+((Inputs!$H$7+Inputs!$L$7*(((Inputs!$I$7+(((A207)+1)/2)*(Inputs!$J$7-Inputs!$I$7)))/Inputs!$K$7)^2))^2))-((Inputs!$H$7+Inputs!$L$7*(((Inputs!$I$7+(((A207)+1)/2)*(Inputs!$J$7-Inputs!$I$7)))/Inputs!$K$7)^2)))*1000/Inputs!$C$12),NA())</f>
        <v>78807.046085989758</v>
      </c>
      <c r="J207" s="9">
        <f>IF(OR(Inputs!$F$8=TRUE,Inputs!$F$8="TRUE",Inputs!$F$8=1),(((SQRT(((Inputs!$I$8+(((A207)+1)/2)*(Inputs!$J$8-Inputs!$I$8)))^2+Inputs!$C$6^2+((Inputs!$H$8+Inputs!$L$8*(((Inputs!$I$8+(((A207)+1)/2)*(Inputs!$J$8-Inputs!$I$8)))/Inputs!$K$8)^2))^2))-((Inputs!$H$8+Inputs!$L$8*(((Inputs!$I$8+(((A207)+1)/2)*(Inputs!$J$8-Inputs!$I$8)))/Inputs!$K$8)^2)))*1000/Inputs!$C$12),NA())</f>
        <v>140293.77417289224</v>
      </c>
      <c r="K207" s="9">
        <f>IF(OR(Inputs!$F$9=TRUE,Inputs!$F$9="TRUE",Inputs!$F$9=1),(((SQRT(((Inputs!$I$9+(((A207)+1)/2)*(Inputs!$J$9-Inputs!$I$9)))^2+Inputs!$C$6^2+((Inputs!$H$9+Inputs!$L$9*(((Inputs!$I$9+(((A207)+1)/2)*(Inputs!$J$9-Inputs!$I$9)))/Inputs!$K$9)^2))^2))-((Inputs!$H$9+Inputs!$L$9*(((Inputs!$I$9+(((A207)+1)/2)*(Inputs!$J$9-Inputs!$I$9)))/Inputs!$K$9)^2)))*1000/Inputs!$C$12),NA())</f>
        <v>141209.28236686115</v>
      </c>
      <c r="L207" s="10"/>
      <c r="M207" s="9">
        <f t="shared" si="19"/>
        <v>0.70799999999999996</v>
      </c>
      <c r="N207" s="9">
        <f>IF(OR(Inputs!$F$6=TRUE,Inputs!$F$6="TRUE",Inputs!$F$6=1),(-2*((1000*((((Inputs!$I$6+(((A207)+1)/2)*(Inputs!$J$6-Inputs!$I$6)))*Inputs!$C$11+((Inputs!$H$6+Inputs!$L$6*(((Inputs!$I$6+(((A207)+1)/2)*(Inputs!$J$6-Inputs!$I$6)))/Inputs!$K$6)^2))*((2*Inputs!$L$6*((Inputs!$I$6+(((A207)+1)/2)*(Inputs!$J$6-Inputs!$I$6)))/(Inputs!$K$6^2)*Inputs!$C$11)))/(SQRT(((Inputs!$I$6+(((A207)+1)/2)*(Inputs!$J$6-Inputs!$I$6)))^2+Inputs!$C$6^2+((Inputs!$H$6+Inputs!$L$6*(((Inputs!$I$6+(((A207)+1)/2)*(Inputs!$J$6-Inputs!$I$6)))/Inputs!$K$6)^2))^2)))))/Inputs!$C$13),NA())</f>
        <v>-317.73307451506651</v>
      </c>
      <c r="O207" s="9">
        <f>IF(OR(Inputs!$F$7=TRUE,Inputs!$F$7="TRUE",Inputs!$F$7=1),(-2*((1000*((((Inputs!$I$7+(((A207)+1)/2)*(Inputs!$J$7-Inputs!$I$7)))*Inputs!$C$11+((Inputs!$H$7+Inputs!$L$7*(((Inputs!$I$7+(((A207)+1)/2)*(Inputs!$J$7-Inputs!$I$7)))/Inputs!$K$7)^2))*((2*Inputs!$L$7*((Inputs!$I$7+(((A207)+1)/2)*(Inputs!$J$7-Inputs!$I$7)))/(Inputs!$K$7^2)*Inputs!$C$11)))/(SQRT(((Inputs!$I$7+(((A207)+1)/2)*(Inputs!$J$7-Inputs!$I$7)))^2+Inputs!$C$6^2+((Inputs!$H$7+Inputs!$L$7*(((Inputs!$I$7+(((A207)+1)/2)*(Inputs!$J$7-Inputs!$I$7)))/Inputs!$K$7)^2))^2)))))/Inputs!$C$13),NA())</f>
        <v>-2522.693975374485</v>
      </c>
      <c r="P207" s="9">
        <f>IF(OR(Inputs!$F$8=TRUE,Inputs!$F$8="TRUE",Inputs!$F$8=1),(-2*((1000*((((Inputs!$I$8+(((A207)+1)/2)*(Inputs!$J$8-Inputs!$I$8)))*Inputs!$C$11+((Inputs!$H$8+Inputs!$L$8*(((Inputs!$I$8+(((A207)+1)/2)*(Inputs!$J$8-Inputs!$I$8)))/Inputs!$K$8)^2))*((2*Inputs!$L$8*((Inputs!$I$8+(((A207)+1)/2)*(Inputs!$J$8-Inputs!$I$8)))/(Inputs!$K$8^2)*Inputs!$C$11)))/(SQRT(((Inputs!$I$8+(((A207)+1)/2)*(Inputs!$J$8-Inputs!$I$8)))^2+Inputs!$C$6^2+((Inputs!$H$8+Inputs!$L$8*(((Inputs!$I$8+(((A207)+1)/2)*(Inputs!$J$8-Inputs!$I$8)))/Inputs!$K$8)^2))^2)))))/Inputs!$C$13),NA())</f>
        <v>-3024.0887500848648</v>
      </c>
      <c r="Q207" s="9">
        <f>IF(OR(Inputs!$F$9=TRUE,Inputs!$F$9="TRUE",Inputs!$F$9=1),(-2*((1000*((((Inputs!$I$9+(((A207)+1)/2)*(Inputs!$J$9-Inputs!$I$9)))*Inputs!$C$11+((Inputs!$H$9+Inputs!$L$9*(((Inputs!$I$9+(((A207)+1)/2)*(Inputs!$J$9-Inputs!$I$9)))/Inputs!$K$9)^2))*((2*Inputs!$L$9*((Inputs!$I$9+(((A207)+1)/2)*(Inputs!$J$9-Inputs!$I$9)))/(Inputs!$K$9^2)*Inputs!$C$11)))/(SQRT(((Inputs!$I$9+(((A207)+1)/2)*(Inputs!$J$9-Inputs!$I$9)))^2+Inputs!$C$6^2+((Inputs!$H$9+Inputs!$L$9*(((Inputs!$I$9+(((A207)+1)/2)*(Inputs!$J$9-Inputs!$I$9)))/Inputs!$K$9)^2))^2)))))/Inputs!$C$13),NA())</f>
        <v>-3038.5619088403914</v>
      </c>
      <c r="R207" s="10"/>
      <c r="S207" s="9">
        <f t="shared" si="20"/>
        <v>0.70799999999999996</v>
      </c>
      <c r="T207" s="9">
        <f>(Inputs!$I$6+(((A207)+1)/2)*(Inputs!$J$6-Inputs!$I$6))</f>
        <v>42.480000000000004</v>
      </c>
      <c r="U207" s="9">
        <f>(Inputs!$I$7+(((A207)+1)/2)*(Inputs!$J$7-Inputs!$I$7))</f>
        <v>283.19999999999993</v>
      </c>
      <c r="V207" s="9">
        <f>(Inputs!$I$8+(((A207)+1)/2)*(Inputs!$J$8-Inputs!$I$8))</f>
        <v>566.39999999999986</v>
      </c>
      <c r="W207" s="9">
        <f>(Inputs!$I$9+(((A207)+1)/2)*(Inputs!$J$9-Inputs!$I$9))</f>
        <v>566.39999999999986</v>
      </c>
      <c r="X207" s="10"/>
      <c r="Y207" s="9">
        <f t="shared" si="21"/>
        <v>0.70799999999999996</v>
      </c>
      <c r="Z207" s="9">
        <f>(Inputs!$H$6+Inputs!$L$6*(((Inputs!$I$6+(((A207)+1)/2)*(Inputs!$J$6-Inputs!$I$6)))/Inputs!$K$6)^2)</f>
        <v>402.00505600000002</v>
      </c>
      <c r="AA207" s="9">
        <f>(Inputs!$H$7+Inputs!$L$7*(((Inputs!$I$7+(((A207)+1)/2)*(Inputs!$J$7-Inputs!$I$7)))/Inputs!$K$7)^2)</f>
        <v>217.96135999999993</v>
      </c>
      <c r="AB207" s="9">
        <f>(Inputs!$H$8+Inputs!$L$8*(((Inputs!$I$8+(((A207)+1)/2)*(Inputs!$J$8-Inputs!$I$8)))/Inputs!$K$8)^2)</f>
        <v>518.71975999999984</v>
      </c>
      <c r="AC207" s="9">
        <f>(Inputs!$H$9+Inputs!$L$9*(((Inputs!$I$9+(((A207)+1)/2)*(Inputs!$J$9-Inputs!$I$9)))/Inputs!$K$9)^2)</f>
        <v>513.73239999999987</v>
      </c>
      <c r="AD207" s="10"/>
      <c r="AE207" s="9">
        <f t="shared" si="22"/>
        <v>0.70799999999999996</v>
      </c>
      <c r="AF207" s="9">
        <f>(((SQRT(((Inputs!$I$6+(((A207)+1)/2)*(Inputs!$J$6-Inputs!$I$6)))^2+Inputs!$C$6^2+((Inputs!$H$6+Inputs!$L$6*(((Inputs!$I$6+(((A207)+1)/2)*(Inputs!$J$6-Inputs!$I$6)))/Inputs!$K$6)^2))^2))-((Inputs!$H$6+Inputs!$L$6*(((Inputs!$I$6+(((A207)+1)/2)*(Inputs!$J$6-Inputs!$I$6)))/Inputs!$K$6)^2)))*1000/Inputs!$C$12)</f>
        <v>1691.3024323785614</v>
      </c>
      <c r="AG207" s="9">
        <f>(((SQRT(((Inputs!$I$7+(((A207)+1)/2)*(Inputs!$J$7-Inputs!$I$7)))^2+Inputs!$C$6^2+((Inputs!$H$7+Inputs!$L$7*(((Inputs!$I$7+(((A207)+1)/2)*(Inputs!$J$7-Inputs!$I$7)))/Inputs!$K$7)^2))^2))-((Inputs!$H$7+Inputs!$L$7*(((Inputs!$I$7+(((A207)+1)/2)*(Inputs!$J$7-Inputs!$I$7)))/Inputs!$K$7)^2)))*1000/Inputs!$C$12)</f>
        <v>78807.046085989758</v>
      </c>
      <c r="AH207" s="9">
        <f>(((SQRT(((Inputs!$I$8+(((A207)+1)/2)*(Inputs!$J$8-Inputs!$I$8)))^2+Inputs!$C$6^2+((Inputs!$H$8+Inputs!$L$8*(((Inputs!$I$8+(((A207)+1)/2)*(Inputs!$J$8-Inputs!$I$8)))/Inputs!$K$8)^2))^2))-((Inputs!$H$8+Inputs!$L$8*(((Inputs!$I$8+(((A207)+1)/2)*(Inputs!$J$8-Inputs!$I$8)))/Inputs!$K$8)^2)))*1000/Inputs!$C$12)</f>
        <v>140293.77417289224</v>
      </c>
      <c r="AI207" s="9">
        <f>(((SQRT(((Inputs!$I$9+(((A207)+1)/2)*(Inputs!$J$9-Inputs!$I$9)))^2+Inputs!$C$6^2+((Inputs!$H$9+Inputs!$L$9*(((Inputs!$I$9+(((A207)+1)/2)*(Inputs!$J$9-Inputs!$I$9)))/Inputs!$K$9)^2))^2))-((Inputs!$H$9+Inputs!$L$9*(((Inputs!$I$9+(((A207)+1)/2)*(Inputs!$J$9-Inputs!$I$9)))/Inputs!$K$9)^2)))*1000/Inputs!$C$12)</f>
        <v>141209.28236686115</v>
      </c>
      <c r="AJ207" s="10"/>
      <c r="AK207" s="9">
        <f t="shared" si="23"/>
        <v>0.70799999999999996</v>
      </c>
      <c r="AL207" s="9">
        <f>(-2*((1000*((((Inputs!$I$6+(((A207)+1)/2)*(Inputs!$J$6-Inputs!$I$6)))*Inputs!$C$11+((Inputs!$H$6+Inputs!$L$6*(((Inputs!$I$6+(((A207)+1)/2)*(Inputs!$J$6-Inputs!$I$6)))/Inputs!$K$6)^2))*((2*Inputs!$L$6*((Inputs!$I$6+(((A207)+1)/2)*(Inputs!$J$6-Inputs!$I$6)))/(Inputs!$K$6^2)*Inputs!$C$11)))/(SQRT(((Inputs!$I$6+(((A207)+1)/2)*(Inputs!$J$6-Inputs!$I$6)))^2+Inputs!$C$6^2+((Inputs!$H$6+Inputs!$L$6*(((Inputs!$I$6+(((A207)+1)/2)*(Inputs!$J$6-Inputs!$I$6)))/Inputs!$K$6)^2))^2)))))/Inputs!$C$13)</f>
        <v>-317.73307451506651</v>
      </c>
      <c r="AM207" s="9">
        <f>(-2*((1000*((((Inputs!$I$7+(((A207)+1)/2)*(Inputs!$J$7-Inputs!$I$7)))*Inputs!$C$11+((Inputs!$H$7+Inputs!$L$7*(((Inputs!$I$7+(((A207)+1)/2)*(Inputs!$J$7-Inputs!$I$7)))/Inputs!$K$7)^2))*((2*Inputs!$L$7*((Inputs!$I$7+(((A207)+1)/2)*(Inputs!$J$7-Inputs!$I$7)))/(Inputs!$K$7^2)*Inputs!$C$11)))/(SQRT(((Inputs!$I$7+(((A207)+1)/2)*(Inputs!$J$7-Inputs!$I$7)))^2+Inputs!$C$6^2+((Inputs!$H$7+Inputs!$L$7*(((Inputs!$I$7+(((A207)+1)/2)*(Inputs!$J$7-Inputs!$I$7)))/Inputs!$K$7)^2))^2)))))/Inputs!$C$13)</f>
        <v>-2522.693975374485</v>
      </c>
      <c r="AN207" s="9">
        <f>(-2*((1000*((((Inputs!$I$8+(((A207)+1)/2)*(Inputs!$J$8-Inputs!$I$8)))*Inputs!$C$11+((Inputs!$H$8+Inputs!$L$8*(((Inputs!$I$8+(((A207)+1)/2)*(Inputs!$J$8-Inputs!$I$8)))/Inputs!$K$8)^2))*((2*Inputs!$L$8*((Inputs!$I$8+(((A207)+1)/2)*(Inputs!$J$8-Inputs!$I$8)))/(Inputs!$K$8^2)*Inputs!$C$11)))/(SQRT(((Inputs!$I$8+(((A207)+1)/2)*(Inputs!$J$8-Inputs!$I$8)))^2+Inputs!$C$6^2+((Inputs!$H$8+Inputs!$L$8*(((Inputs!$I$8+(((A207)+1)/2)*(Inputs!$J$8-Inputs!$I$8)))/Inputs!$K$8)^2))^2)))))/Inputs!$C$13)</f>
        <v>-3024.0887500848648</v>
      </c>
      <c r="AO207" s="9">
        <f>(-2*((1000*((((Inputs!$I$9+(((A207)+1)/2)*(Inputs!$J$9-Inputs!$I$9)))*Inputs!$C$11+((Inputs!$H$9+Inputs!$L$9*(((Inputs!$I$9+(((A207)+1)/2)*(Inputs!$J$9-Inputs!$I$9)))/Inputs!$K$9)^2))*((2*Inputs!$L$9*((Inputs!$I$9+(((A207)+1)/2)*(Inputs!$J$9-Inputs!$I$9)))/(Inputs!$K$9^2)*Inputs!$C$11)))/(SQRT(((Inputs!$I$9+(((A207)+1)/2)*(Inputs!$J$9-Inputs!$I$9)))^2+Inputs!$C$6^2+((Inputs!$H$9+Inputs!$L$9*(((Inputs!$I$9+(((A207)+1)/2)*(Inputs!$J$9-Inputs!$I$9)))/Inputs!$K$9)^2))^2)))))/Inputs!$C$13)</f>
        <v>-3038.5619088403914</v>
      </c>
    </row>
    <row r="208" spans="1:41">
      <c r="A208" s="9">
        <f>ROUND(-1+206*2/240,3)</f>
        <v>0.71699999999999997</v>
      </c>
      <c r="B208" s="9">
        <f>IF(OR(Inputs!$F$6=TRUE,Inputs!$F$6="TRUE",Inputs!$F$6=1),(Inputs!$H$6+Inputs!$L$6*(((Inputs!$I$6+(((A208)+1)/2)*(Inputs!$J$6-Inputs!$I$6)))/Inputs!$K$6)^2),NA())</f>
        <v>402.05635599999999</v>
      </c>
      <c r="C208" s="9">
        <f>IF(OR(Inputs!$F$7=TRUE,Inputs!$F$7="TRUE",Inputs!$F$7=1),(Inputs!$H$7+Inputs!$L$7*(((Inputs!$I$7+(((A208)+1)/2)*(Inputs!$J$7-Inputs!$I$7)))/Inputs!$K$7)^2),NA())</f>
        <v>222.64248500000008</v>
      </c>
      <c r="D208" s="9">
        <f>IF(OR(Inputs!$F$8=TRUE,Inputs!$F$8="TRUE",Inputs!$F$8=1),(Inputs!$H$8+Inputs!$L$8*(((Inputs!$I$8+(((A208)+1)/2)*(Inputs!$J$8-Inputs!$I$8)))/Inputs!$K$8)^2),NA())</f>
        <v>531.09588500000018</v>
      </c>
      <c r="E208" s="9">
        <f>IF(OR(Inputs!$F$9=TRUE,Inputs!$F$9="TRUE",Inputs!$F$9=1),(Inputs!$H$9+Inputs!$L$9*(((Inputs!$I$9+(((A208)+1)/2)*(Inputs!$J$9-Inputs!$I$9)))/Inputs!$K$9)^2),NA())</f>
        <v>526.23677500000031</v>
      </c>
      <c r="F208" s="10"/>
      <c r="G208" s="9">
        <f t="shared" si="18"/>
        <v>0.71699999999999997</v>
      </c>
      <c r="H208" s="9">
        <f>IF(OR(Inputs!$F$6=TRUE,Inputs!$F$6="TRUE",Inputs!$F$6=1),(((SQRT(((Inputs!$I$6+(((A208)+1)/2)*(Inputs!$J$6-Inputs!$I$6)))^2+Inputs!$C$6^2+((Inputs!$H$6+Inputs!$L$6*(((Inputs!$I$6+(((A208)+1)/2)*(Inputs!$J$6-Inputs!$I$6)))/Inputs!$K$6)^2))^2))-((Inputs!$H$6+Inputs!$L$6*(((Inputs!$I$6+(((A208)+1)/2)*(Inputs!$J$6-Inputs!$I$6)))/Inputs!$K$6)^2)))*1000/Inputs!$C$12),NA())</f>
        <v>1723.1031993090069</v>
      </c>
      <c r="I208" s="9">
        <f>IF(OR(Inputs!$F$7=TRUE,Inputs!$F$7="TRUE",Inputs!$F$7=1),(((SQRT(((Inputs!$I$7+(((A208)+1)/2)*(Inputs!$J$7-Inputs!$I$7)))^2+Inputs!$C$6^2+((Inputs!$H$7+Inputs!$L$7*(((Inputs!$I$7+(((A208)+1)/2)*(Inputs!$J$7-Inputs!$I$7)))/Inputs!$K$7)^2))^2))-((Inputs!$H$7+Inputs!$L$7*(((Inputs!$I$7+(((A208)+1)/2)*(Inputs!$J$7-Inputs!$I$7)))/Inputs!$K$7)^2)))*1000/Inputs!$C$12),NA())</f>
        <v>79377.996406417602</v>
      </c>
      <c r="J208" s="9">
        <f>IF(OR(Inputs!$F$8=TRUE,Inputs!$F$8="TRUE",Inputs!$F$8=1),(((SQRT(((Inputs!$I$8+(((A208)+1)/2)*(Inputs!$J$8-Inputs!$I$8)))^2+Inputs!$C$6^2+((Inputs!$H$8+Inputs!$L$8*(((Inputs!$I$8+(((A208)+1)/2)*(Inputs!$J$8-Inputs!$I$8)))/Inputs!$K$8)^2))^2))-((Inputs!$H$8+Inputs!$L$8*(((Inputs!$I$8+(((A208)+1)/2)*(Inputs!$J$8-Inputs!$I$8)))/Inputs!$K$8)^2)))*1000/Inputs!$C$12),NA())</f>
        <v>141022.30723672023</v>
      </c>
      <c r="K208" s="9">
        <f>IF(OR(Inputs!$F$9=TRUE,Inputs!$F$9="TRUE",Inputs!$F$9=1),(((SQRT(((Inputs!$I$9+(((A208)+1)/2)*(Inputs!$J$9-Inputs!$I$9)))^2+Inputs!$C$6^2+((Inputs!$H$9+Inputs!$L$9*(((Inputs!$I$9+(((A208)+1)/2)*(Inputs!$J$9-Inputs!$I$9)))/Inputs!$K$9)^2))^2))-((Inputs!$H$9+Inputs!$L$9*(((Inputs!$I$9+(((A208)+1)/2)*(Inputs!$J$9-Inputs!$I$9)))/Inputs!$K$9)^2)))*1000/Inputs!$C$12),NA())</f>
        <v>141903.03652036257</v>
      </c>
      <c r="L208" s="10"/>
      <c r="M208" s="9">
        <f t="shared" si="19"/>
        <v>0.71699999999999997</v>
      </c>
      <c r="N208" s="9">
        <f>IF(OR(Inputs!$F$6=TRUE,Inputs!$F$6="TRUE",Inputs!$F$6=1),(-2*((1000*((((Inputs!$I$6+(((A208)+1)/2)*(Inputs!$J$6-Inputs!$I$6)))*Inputs!$C$11+((Inputs!$H$6+Inputs!$L$6*(((Inputs!$I$6+(((A208)+1)/2)*(Inputs!$J$6-Inputs!$I$6)))/Inputs!$K$6)^2))*((2*Inputs!$L$6*((Inputs!$I$6+(((A208)+1)/2)*(Inputs!$J$6-Inputs!$I$6)))/(Inputs!$K$6^2)*Inputs!$C$11)))/(SQRT(((Inputs!$I$6+(((A208)+1)/2)*(Inputs!$J$6-Inputs!$I$6)))^2+Inputs!$C$6^2+((Inputs!$H$6+Inputs!$L$6*(((Inputs!$I$6+(((A208)+1)/2)*(Inputs!$J$6-Inputs!$I$6)))/Inputs!$K$6)^2))^2)))))/Inputs!$C$13),NA())</f>
        <v>-321.70571874025728</v>
      </c>
      <c r="O208" s="9">
        <f>IF(OR(Inputs!$F$7=TRUE,Inputs!$F$7="TRUE",Inputs!$F$7=1),(-2*((1000*((((Inputs!$I$7+(((A208)+1)/2)*(Inputs!$J$7-Inputs!$I$7)))*Inputs!$C$11+((Inputs!$H$7+Inputs!$L$7*(((Inputs!$I$7+(((A208)+1)/2)*(Inputs!$J$7-Inputs!$I$7)))/Inputs!$K$7)^2))*((2*Inputs!$L$7*((Inputs!$I$7+(((A208)+1)/2)*(Inputs!$J$7-Inputs!$I$7)))/(Inputs!$K$7^2)*Inputs!$C$11)))/(SQRT(((Inputs!$I$7+(((A208)+1)/2)*(Inputs!$J$7-Inputs!$I$7)))^2+Inputs!$C$6^2+((Inputs!$H$7+Inputs!$L$7*(((Inputs!$I$7+(((A208)+1)/2)*(Inputs!$J$7-Inputs!$I$7)))/Inputs!$K$7)^2))^2)))))/Inputs!$C$13),NA())</f>
        <v>-2541.6967384343857</v>
      </c>
      <c r="P208" s="9">
        <f>IF(OR(Inputs!$F$8=TRUE,Inputs!$F$8="TRUE",Inputs!$F$8=1),(-2*((1000*((((Inputs!$I$8+(((A208)+1)/2)*(Inputs!$J$8-Inputs!$I$8)))*Inputs!$C$11+((Inputs!$H$8+Inputs!$L$8*(((Inputs!$I$8+(((A208)+1)/2)*(Inputs!$J$8-Inputs!$I$8)))/Inputs!$K$8)^2))*((2*Inputs!$L$8*((Inputs!$I$8+(((A208)+1)/2)*(Inputs!$J$8-Inputs!$I$8)))/(Inputs!$K$8^2)*Inputs!$C$11)))/(SQRT(((Inputs!$I$8+(((A208)+1)/2)*(Inputs!$J$8-Inputs!$I$8)))^2+Inputs!$C$6^2+((Inputs!$H$8+Inputs!$L$8*(((Inputs!$I$8+(((A208)+1)/2)*(Inputs!$J$8-Inputs!$I$8)))/Inputs!$K$8)^2))^2)))))/Inputs!$C$13),NA())</f>
        <v>-3052.7860817865867</v>
      </c>
      <c r="Q208" s="9">
        <f>IF(OR(Inputs!$F$9=TRUE,Inputs!$F$9="TRUE",Inputs!$F$9=1),(-2*((1000*((((Inputs!$I$9+(((A208)+1)/2)*(Inputs!$J$9-Inputs!$I$9)))*Inputs!$C$11+((Inputs!$H$9+Inputs!$L$9*(((Inputs!$I$9+(((A208)+1)/2)*(Inputs!$J$9-Inputs!$I$9)))/Inputs!$K$9)^2))*((2*Inputs!$L$9*((Inputs!$I$9+(((A208)+1)/2)*(Inputs!$J$9-Inputs!$I$9)))/(Inputs!$K$9^2)*Inputs!$C$11)))/(SQRT(((Inputs!$I$9+(((A208)+1)/2)*(Inputs!$J$9-Inputs!$I$9)))^2+Inputs!$C$6^2+((Inputs!$H$9+Inputs!$L$9*(((Inputs!$I$9+(((A208)+1)/2)*(Inputs!$J$9-Inputs!$I$9)))/Inputs!$K$9)^2))^2)))))/Inputs!$C$13),NA())</f>
        <v>-3067.7988116821703</v>
      </c>
      <c r="R208" s="10"/>
      <c r="S208" s="9">
        <f t="shared" si="20"/>
        <v>0.71699999999999997</v>
      </c>
      <c r="T208" s="9">
        <f>(Inputs!$I$6+(((A208)+1)/2)*(Inputs!$J$6-Inputs!$I$6))</f>
        <v>43.02000000000001</v>
      </c>
      <c r="U208" s="9">
        <f>(Inputs!$I$7+(((A208)+1)/2)*(Inputs!$J$7-Inputs!$I$7))</f>
        <v>286.80000000000007</v>
      </c>
      <c r="V208" s="9">
        <f>(Inputs!$I$8+(((A208)+1)/2)*(Inputs!$J$8-Inputs!$I$8))</f>
        <v>573.60000000000014</v>
      </c>
      <c r="W208" s="9">
        <f>(Inputs!$I$9+(((A208)+1)/2)*(Inputs!$J$9-Inputs!$I$9))</f>
        <v>573.60000000000014</v>
      </c>
      <c r="X208" s="10"/>
      <c r="Y208" s="9">
        <f t="shared" si="21"/>
        <v>0.71699999999999997</v>
      </c>
      <c r="Z208" s="9">
        <f>(Inputs!$H$6+Inputs!$L$6*(((Inputs!$I$6+(((A208)+1)/2)*(Inputs!$J$6-Inputs!$I$6)))/Inputs!$K$6)^2)</f>
        <v>402.05635599999999</v>
      </c>
      <c r="AA208" s="9">
        <f>(Inputs!$H$7+Inputs!$L$7*(((Inputs!$I$7+(((A208)+1)/2)*(Inputs!$J$7-Inputs!$I$7)))/Inputs!$K$7)^2)</f>
        <v>222.64248500000008</v>
      </c>
      <c r="AB208" s="9">
        <f>(Inputs!$H$8+Inputs!$L$8*(((Inputs!$I$8+(((A208)+1)/2)*(Inputs!$J$8-Inputs!$I$8)))/Inputs!$K$8)^2)</f>
        <v>531.09588500000018</v>
      </c>
      <c r="AC208" s="9">
        <f>(Inputs!$H$9+Inputs!$L$9*(((Inputs!$I$9+(((A208)+1)/2)*(Inputs!$J$9-Inputs!$I$9)))/Inputs!$K$9)^2)</f>
        <v>526.23677500000031</v>
      </c>
      <c r="AD208" s="10"/>
      <c r="AE208" s="9">
        <f t="shared" si="22"/>
        <v>0.71699999999999997</v>
      </c>
      <c r="AF208" s="9">
        <f>(((SQRT(((Inputs!$I$6+(((A208)+1)/2)*(Inputs!$J$6-Inputs!$I$6)))^2+Inputs!$C$6^2+((Inputs!$H$6+Inputs!$L$6*(((Inputs!$I$6+(((A208)+1)/2)*(Inputs!$J$6-Inputs!$I$6)))/Inputs!$K$6)^2))^2))-((Inputs!$H$6+Inputs!$L$6*(((Inputs!$I$6+(((A208)+1)/2)*(Inputs!$J$6-Inputs!$I$6)))/Inputs!$K$6)^2)))*1000/Inputs!$C$12)</f>
        <v>1723.1031993090069</v>
      </c>
      <c r="AG208" s="9">
        <f>(((SQRT(((Inputs!$I$7+(((A208)+1)/2)*(Inputs!$J$7-Inputs!$I$7)))^2+Inputs!$C$6^2+((Inputs!$H$7+Inputs!$L$7*(((Inputs!$I$7+(((A208)+1)/2)*(Inputs!$J$7-Inputs!$I$7)))/Inputs!$K$7)^2))^2))-((Inputs!$H$7+Inputs!$L$7*(((Inputs!$I$7+(((A208)+1)/2)*(Inputs!$J$7-Inputs!$I$7)))/Inputs!$K$7)^2)))*1000/Inputs!$C$12)</f>
        <v>79377.996406417602</v>
      </c>
      <c r="AH208" s="9">
        <f>(((SQRT(((Inputs!$I$8+(((A208)+1)/2)*(Inputs!$J$8-Inputs!$I$8)))^2+Inputs!$C$6^2+((Inputs!$H$8+Inputs!$L$8*(((Inputs!$I$8+(((A208)+1)/2)*(Inputs!$J$8-Inputs!$I$8)))/Inputs!$K$8)^2))^2))-((Inputs!$H$8+Inputs!$L$8*(((Inputs!$I$8+(((A208)+1)/2)*(Inputs!$J$8-Inputs!$I$8)))/Inputs!$K$8)^2)))*1000/Inputs!$C$12)</f>
        <v>141022.30723672023</v>
      </c>
      <c r="AI208" s="9">
        <f>(((SQRT(((Inputs!$I$9+(((A208)+1)/2)*(Inputs!$J$9-Inputs!$I$9)))^2+Inputs!$C$6^2+((Inputs!$H$9+Inputs!$L$9*(((Inputs!$I$9+(((A208)+1)/2)*(Inputs!$J$9-Inputs!$I$9)))/Inputs!$K$9)^2))^2))-((Inputs!$H$9+Inputs!$L$9*(((Inputs!$I$9+(((A208)+1)/2)*(Inputs!$J$9-Inputs!$I$9)))/Inputs!$K$9)^2)))*1000/Inputs!$C$12)</f>
        <v>141903.03652036257</v>
      </c>
      <c r="AJ208" s="10"/>
      <c r="AK208" s="9">
        <f t="shared" si="23"/>
        <v>0.71699999999999997</v>
      </c>
      <c r="AL208" s="9">
        <f>(-2*((1000*((((Inputs!$I$6+(((A208)+1)/2)*(Inputs!$J$6-Inputs!$I$6)))*Inputs!$C$11+((Inputs!$H$6+Inputs!$L$6*(((Inputs!$I$6+(((A208)+1)/2)*(Inputs!$J$6-Inputs!$I$6)))/Inputs!$K$6)^2))*((2*Inputs!$L$6*((Inputs!$I$6+(((A208)+1)/2)*(Inputs!$J$6-Inputs!$I$6)))/(Inputs!$K$6^2)*Inputs!$C$11)))/(SQRT(((Inputs!$I$6+(((A208)+1)/2)*(Inputs!$J$6-Inputs!$I$6)))^2+Inputs!$C$6^2+((Inputs!$H$6+Inputs!$L$6*(((Inputs!$I$6+(((A208)+1)/2)*(Inputs!$J$6-Inputs!$I$6)))/Inputs!$K$6)^2))^2)))))/Inputs!$C$13)</f>
        <v>-321.70571874025728</v>
      </c>
      <c r="AM208" s="9">
        <f>(-2*((1000*((((Inputs!$I$7+(((A208)+1)/2)*(Inputs!$J$7-Inputs!$I$7)))*Inputs!$C$11+((Inputs!$H$7+Inputs!$L$7*(((Inputs!$I$7+(((A208)+1)/2)*(Inputs!$J$7-Inputs!$I$7)))/Inputs!$K$7)^2))*((2*Inputs!$L$7*((Inputs!$I$7+(((A208)+1)/2)*(Inputs!$J$7-Inputs!$I$7)))/(Inputs!$K$7^2)*Inputs!$C$11)))/(SQRT(((Inputs!$I$7+(((A208)+1)/2)*(Inputs!$J$7-Inputs!$I$7)))^2+Inputs!$C$6^2+((Inputs!$H$7+Inputs!$L$7*(((Inputs!$I$7+(((A208)+1)/2)*(Inputs!$J$7-Inputs!$I$7)))/Inputs!$K$7)^2))^2)))))/Inputs!$C$13)</f>
        <v>-2541.6967384343857</v>
      </c>
      <c r="AN208" s="9">
        <f>(-2*((1000*((((Inputs!$I$8+(((A208)+1)/2)*(Inputs!$J$8-Inputs!$I$8)))*Inputs!$C$11+((Inputs!$H$8+Inputs!$L$8*(((Inputs!$I$8+(((A208)+1)/2)*(Inputs!$J$8-Inputs!$I$8)))/Inputs!$K$8)^2))*((2*Inputs!$L$8*((Inputs!$I$8+(((A208)+1)/2)*(Inputs!$J$8-Inputs!$I$8)))/(Inputs!$K$8^2)*Inputs!$C$11)))/(SQRT(((Inputs!$I$8+(((A208)+1)/2)*(Inputs!$J$8-Inputs!$I$8)))^2+Inputs!$C$6^2+((Inputs!$H$8+Inputs!$L$8*(((Inputs!$I$8+(((A208)+1)/2)*(Inputs!$J$8-Inputs!$I$8)))/Inputs!$K$8)^2))^2)))))/Inputs!$C$13)</f>
        <v>-3052.7860817865867</v>
      </c>
      <c r="AO208" s="9">
        <f>(-2*((1000*((((Inputs!$I$9+(((A208)+1)/2)*(Inputs!$J$9-Inputs!$I$9)))*Inputs!$C$11+((Inputs!$H$9+Inputs!$L$9*(((Inputs!$I$9+(((A208)+1)/2)*(Inputs!$J$9-Inputs!$I$9)))/Inputs!$K$9)^2))*((2*Inputs!$L$9*((Inputs!$I$9+(((A208)+1)/2)*(Inputs!$J$9-Inputs!$I$9)))/(Inputs!$K$9^2)*Inputs!$C$11)))/(SQRT(((Inputs!$I$9+(((A208)+1)/2)*(Inputs!$J$9-Inputs!$I$9)))^2+Inputs!$C$6^2+((Inputs!$H$9+Inputs!$L$9*(((Inputs!$I$9+(((A208)+1)/2)*(Inputs!$J$9-Inputs!$I$9)))/Inputs!$K$9)^2))^2)))))/Inputs!$C$13)</f>
        <v>-3067.7988116821703</v>
      </c>
    </row>
    <row r="209" spans="1:41">
      <c r="A209" s="9">
        <f>ROUND(-1+207*2/240,3)</f>
        <v>0.72499999999999998</v>
      </c>
      <c r="B209" s="9">
        <f>IF(OR(Inputs!$F$6=TRUE,Inputs!$F$6="TRUE",Inputs!$F$6=1),(Inputs!$H$6+Inputs!$L$6*(((Inputs!$I$6+(((A209)+1)/2)*(Inputs!$J$6-Inputs!$I$6)))/Inputs!$K$6)^2),NA())</f>
        <v>402.10250000000002</v>
      </c>
      <c r="C209" s="9">
        <f>IF(OR(Inputs!$F$7=TRUE,Inputs!$F$7="TRUE",Inputs!$F$7=1),(Inputs!$H$7+Inputs!$L$7*(((Inputs!$I$7+(((A209)+1)/2)*(Inputs!$J$7-Inputs!$I$7)))/Inputs!$K$7)^2),NA())</f>
        <v>226.85312500000001</v>
      </c>
      <c r="D209" s="9">
        <f>IF(OR(Inputs!$F$8=TRUE,Inputs!$F$8="TRUE",Inputs!$F$8=1),(Inputs!$H$8+Inputs!$L$8*(((Inputs!$I$8+(((A209)+1)/2)*(Inputs!$J$8-Inputs!$I$8)))/Inputs!$K$8)^2),NA())</f>
        <v>542.22812500000009</v>
      </c>
      <c r="E209" s="9">
        <f>IF(OR(Inputs!$F$9=TRUE,Inputs!$F$9="TRUE",Inputs!$F$9=1),(Inputs!$H$9+Inputs!$L$9*(((Inputs!$I$9+(((A209)+1)/2)*(Inputs!$J$9-Inputs!$I$9)))/Inputs!$K$9)^2),NA())</f>
        <v>537.484375</v>
      </c>
      <c r="F209" s="10"/>
      <c r="G209" s="9">
        <f t="shared" si="18"/>
        <v>0.72499999999999998</v>
      </c>
      <c r="H209" s="9">
        <f>IF(OR(Inputs!$F$6=TRUE,Inputs!$F$6="TRUE",Inputs!$F$6=1),(((SQRT(((Inputs!$I$6+(((A209)+1)/2)*(Inputs!$J$6-Inputs!$I$6)))^2+Inputs!$C$6^2+((Inputs!$H$6+Inputs!$L$6*(((Inputs!$I$6+(((A209)+1)/2)*(Inputs!$J$6-Inputs!$I$6)))/Inputs!$K$6)^2))^2))-((Inputs!$H$6+Inputs!$L$6*(((Inputs!$I$6+(((A209)+1)/2)*(Inputs!$J$6-Inputs!$I$6)))/Inputs!$K$6)^2)))*1000/Inputs!$C$12),NA())</f>
        <v>1751.6970986344204</v>
      </c>
      <c r="I209" s="9">
        <f>IF(OR(Inputs!$F$7=TRUE,Inputs!$F$7="TRUE",Inputs!$F$7=1),(((SQRT(((Inputs!$I$7+(((A209)+1)/2)*(Inputs!$J$7-Inputs!$I$7)))^2+Inputs!$C$6^2+((Inputs!$H$7+Inputs!$L$7*(((Inputs!$I$7+(((A209)+1)/2)*(Inputs!$J$7-Inputs!$I$7)))/Inputs!$K$7)^2))^2))-((Inputs!$H$7+Inputs!$L$7*(((Inputs!$I$7+(((A209)+1)/2)*(Inputs!$J$7-Inputs!$I$7)))/Inputs!$K$7)^2)))*1000/Inputs!$C$12),NA())</f>
        <v>79877.845375069359</v>
      </c>
      <c r="J209" s="9">
        <f>IF(OR(Inputs!$F$8=TRUE,Inputs!$F$8="TRUE",Inputs!$F$8=1),(((SQRT(((Inputs!$I$8+(((A209)+1)/2)*(Inputs!$J$8-Inputs!$I$8)))^2+Inputs!$C$6^2+((Inputs!$H$8+Inputs!$L$8*(((Inputs!$I$8+(((A209)+1)/2)*(Inputs!$J$8-Inputs!$I$8)))/Inputs!$K$8)^2))^2))-((Inputs!$H$8+Inputs!$L$8*(((Inputs!$I$8+(((A209)+1)/2)*(Inputs!$J$8-Inputs!$I$8)))/Inputs!$K$8)^2)))*1000/Inputs!$C$12),NA())</f>
        <v>141657.20933300967</v>
      </c>
      <c r="K209" s="9">
        <f>IF(OR(Inputs!$F$9=TRUE,Inputs!$F$9="TRUE",Inputs!$F$9=1),(((SQRT(((Inputs!$I$9+(((A209)+1)/2)*(Inputs!$J$9-Inputs!$I$9)))^2+Inputs!$C$6^2+((Inputs!$H$9+Inputs!$L$9*(((Inputs!$I$9+(((A209)+1)/2)*(Inputs!$J$9-Inputs!$I$9)))/Inputs!$K$9)^2))^2))-((Inputs!$H$9+Inputs!$L$9*(((Inputs!$I$9+(((A209)+1)/2)*(Inputs!$J$9-Inputs!$I$9)))/Inputs!$K$9)^2)))*1000/Inputs!$C$12),NA())</f>
        <v>142507.40434762553</v>
      </c>
      <c r="L209" s="10"/>
      <c r="M209" s="9">
        <f t="shared" si="19"/>
        <v>0.72499999999999998</v>
      </c>
      <c r="N209" s="9">
        <f>IF(OR(Inputs!$F$6=TRUE,Inputs!$F$6="TRUE",Inputs!$F$6=1),(-2*((1000*((((Inputs!$I$6+(((A209)+1)/2)*(Inputs!$J$6-Inputs!$I$6)))*Inputs!$C$11+((Inputs!$H$6+Inputs!$L$6*(((Inputs!$I$6+(((A209)+1)/2)*(Inputs!$J$6-Inputs!$I$6)))/Inputs!$K$6)^2))*((2*Inputs!$L$6*((Inputs!$I$6+(((A209)+1)/2)*(Inputs!$J$6-Inputs!$I$6)))/(Inputs!$K$6^2)*Inputs!$C$11)))/(SQRT(((Inputs!$I$6+(((A209)+1)/2)*(Inputs!$J$6-Inputs!$I$6)))^2+Inputs!$C$6^2+((Inputs!$H$6+Inputs!$L$6*(((Inputs!$I$6+(((A209)+1)/2)*(Inputs!$J$6-Inputs!$I$6)))/Inputs!$K$6)^2))^2)))))/Inputs!$C$13),NA())</f>
        <v>-325.23489447567232</v>
      </c>
      <c r="O209" s="9">
        <f>IF(OR(Inputs!$F$7=TRUE,Inputs!$F$7="TRUE",Inputs!$F$7=1),(-2*((1000*((((Inputs!$I$7+(((A209)+1)/2)*(Inputs!$J$7-Inputs!$I$7)))*Inputs!$C$11+((Inputs!$H$7+Inputs!$L$7*(((Inputs!$I$7+(((A209)+1)/2)*(Inputs!$J$7-Inputs!$I$7)))/Inputs!$K$7)^2))*((2*Inputs!$L$7*((Inputs!$I$7+(((A209)+1)/2)*(Inputs!$J$7-Inputs!$I$7)))/(Inputs!$K$7^2)*Inputs!$C$11)))/(SQRT(((Inputs!$I$7+(((A209)+1)/2)*(Inputs!$J$7-Inputs!$I$7)))^2+Inputs!$C$6^2+((Inputs!$H$7+Inputs!$L$7*(((Inputs!$I$7+(((A209)+1)/2)*(Inputs!$J$7-Inputs!$I$7)))/Inputs!$K$7)^2))^2)))))/Inputs!$C$13),NA())</f>
        <v>-2558.6903700820367</v>
      </c>
      <c r="P209" s="9">
        <f>IF(OR(Inputs!$F$8=TRUE,Inputs!$F$8="TRUE",Inputs!$F$8=1),(-2*((1000*((((Inputs!$I$8+(((A209)+1)/2)*(Inputs!$J$8-Inputs!$I$8)))*Inputs!$C$11+((Inputs!$H$8+Inputs!$L$8*(((Inputs!$I$8+(((A209)+1)/2)*(Inputs!$J$8-Inputs!$I$8)))/Inputs!$K$8)^2))*((2*Inputs!$L$8*((Inputs!$I$8+(((A209)+1)/2)*(Inputs!$J$8-Inputs!$I$8)))/(Inputs!$K$8^2)*Inputs!$C$11)))/(SQRT(((Inputs!$I$8+(((A209)+1)/2)*(Inputs!$J$8-Inputs!$I$8)))^2+Inputs!$C$6^2+((Inputs!$H$8+Inputs!$L$8*(((Inputs!$I$8+(((A209)+1)/2)*(Inputs!$J$8-Inputs!$I$8)))/Inputs!$K$8)^2))^2)))))/Inputs!$C$13),NA())</f>
        <v>-3078.4154877124552</v>
      </c>
      <c r="Q209" s="9">
        <f>IF(OR(Inputs!$F$9=TRUE,Inputs!$F$9="TRUE",Inputs!$F$9=1),(-2*((1000*((((Inputs!$I$9+(((A209)+1)/2)*(Inputs!$J$9-Inputs!$I$9)))*Inputs!$C$11+((Inputs!$H$9+Inputs!$L$9*(((Inputs!$I$9+(((A209)+1)/2)*(Inputs!$J$9-Inputs!$I$9)))/Inputs!$K$9)^2))*((2*Inputs!$L$9*((Inputs!$I$9+(((A209)+1)/2)*(Inputs!$J$9-Inputs!$I$9)))/(Inputs!$K$9^2)*Inputs!$C$11)))/(SQRT(((Inputs!$I$9+(((A209)+1)/2)*(Inputs!$J$9-Inputs!$I$9)))^2+Inputs!$C$6^2+((Inputs!$H$9+Inputs!$L$9*(((Inputs!$I$9+(((A209)+1)/2)*(Inputs!$J$9-Inputs!$I$9)))/Inputs!$K$9)^2))^2)))))/Inputs!$C$13),NA())</f>
        <v>-3093.9071424175872</v>
      </c>
      <c r="R209" s="10"/>
      <c r="S209" s="9">
        <f t="shared" si="20"/>
        <v>0.72499999999999998</v>
      </c>
      <c r="T209" s="9">
        <f>(Inputs!$I$6+(((A209)+1)/2)*(Inputs!$J$6-Inputs!$I$6))</f>
        <v>43.5</v>
      </c>
      <c r="U209" s="9">
        <f>(Inputs!$I$7+(((A209)+1)/2)*(Inputs!$J$7-Inputs!$I$7))</f>
        <v>290</v>
      </c>
      <c r="V209" s="9">
        <f>(Inputs!$I$8+(((A209)+1)/2)*(Inputs!$J$8-Inputs!$I$8))</f>
        <v>580</v>
      </c>
      <c r="W209" s="9">
        <f>(Inputs!$I$9+(((A209)+1)/2)*(Inputs!$J$9-Inputs!$I$9))</f>
        <v>580</v>
      </c>
      <c r="X209" s="10"/>
      <c r="Y209" s="9">
        <f t="shared" si="21"/>
        <v>0.72499999999999998</v>
      </c>
      <c r="Z209" s="9">
        <f>(Inputs!$H$6+Inputs!$L$6*(((Inputs!$I$6+(((A209)+1)/2)*(Inputs!$J$6-Inputs!$I$6)))/Inputs!$K$6)^2)</f>
        <v>402.10250000000002</v>
      </c>
      <c r="AA209" s="9">
        <f>(Inputs!$H$7+Inputs!$L$7*(((Inputs!$I$7+(((A209)+1)/2)*(Inputs!$J$7-Inputs!$I$7)))/Inputs!$K$7)^2)</f>
        <v>226.85312500000001</v>
      </c>
      <c r="AB209" s="9">
        <f>(Inputs!$H$8+Inputs!$L$8*(((Inputs!$I$8+(((A209)+1)/2)*(Inputs!$J$8-Inputs!$I$8)))/Inputs!$K$8)^2)</f>
        <v>542.22812500000009</v>
      </c>
      <c r="AC209" s="9">
        <f>(Inputs!$H$9+Inputs!$L$9*(((Inputs!$I$9+(((A209)+1)/2)*(Inputs!$J$9-Inputs!$I$9)))/Inputs!$K$9)^2)</f>
        <v>537.484375</v>
      </c>
      <c r="AD209" s="10"/>
      <c r="AE209" s="9">
        <f t="shared" si="22"/>
        <v>0.72499999999999998</v>
      </c>
      <c r="AF209" s="9">
        <f>(((SQRT(((Inputs!$I$6+(((A209)+1)/2)*(Inputs!$J$6-Inputs!$I$6)))^2+Inputs!$C$6^2+((Inputs!$H$6+Inputs!$L$6*(((Inputs!$I$6+(((A209)+1)/2)*(Inputs!$J$6-Inputs!$I$6)))/Inputs!$K$6)^2))^2))-((Inputs!$H$6+Inputs!$L$6*(((Inputs!$I$6+(((A209)+1)/2)*(Inputs!$J$6-Inputs!$I$6)))/Inputs!$K$6)^2)))*1000/Inputs!$C$12)</f>
        <v>1751.6970986344204</v>
      </c>
      <c r="AG209" s="9">
        <f>(((SQRT(((Inputs!$I$7+(((A209)+1)/2)*(Inputs!$J$7-Inputs!$I$7)))^2+Inputs!$C$6^2+((Inputs!$H$7+Inputs!$L$7*(((Inputs!$I$7+(((A209)+1)/2)*(Inputs!$J$7-Inputs!$I$7)))/Inputs!$K$7)^2))^2))-((Inputs!$H$7+Inputs!$L$7*(((Inputs!$I$7+(((A209)+1)/2)*(Inputs!$J$7-Inputs!$I$7)))/Inputs!$K$7)^2)))*1000/Inputs!$C$12)</f>
        <v>79877.845375069359</v>
      </c>
      <c r="AH209" s="9">
        <f>(((SQRT(((Inputs!$I$8+(((A209)+1)/2)*(Inputs!$J$8-Inputs!$I$8)))^2+Inputs!$C$6^2+((Inputs!$H$8+Inputs!$L$8*(((Inputs!$I$8+(((A209)+1)/2)*(Inputs!$J$8-Inputs!$I$8)))/Inputs!$K$8)^2))^2))-((Inputs!$H$8+Inputs!$L$8*(((Inputs!$I$8+(((A209)+1)/2)*(Inputs!$J$8-Inputs!$I$8)))/Inputs!$K$8)^2)))*1000/Inputs!$C$12)</f>
        <v>141657.20933300967</v>
      </c>
      <c r="AI209" s="9">
        <f>(((SQRT(((Inputs!$I$9+(((A209)+1)/2)*(Inputs!$J$9-Inputs!$I$9)))^2+Inputs!$C$6^2+((Inputs!$H$9+Inputs!$L$9*(((Inputs!$I$9+(((A209)+1)/2)*(Inputs!$J$9-Inputs!$I$9)))/Inputs!$K$9)^2))^2))-((Inputs!$H$9+Inputs!$L$9*(((Inputs!$I$9+(((A209)+1)/2)*(Inputs!$J$9-Inputs!$I$9)))/Inputs!$K$9)^2)))*1000/Inputs!$C$12)</f>
        <v>142507.40434762553</v>
      </c>
      <c r="AJ209" s="10"/>
      <c r="AK209" s="9">
        <f t="shared" si="23"/>
        <v>0.72499999999999998</v>
      </c>
      <c r="AL209" s="9">
        <f>(-2*((1000*((((Inputs!$I$6+(((A209)+1)/2)*(Inputs!$J$6-Inputs!$I$6)))*Inputs!$C$11+((Inputs!$H$6+Inputs!$L$6*(((Inputs!$I$6+(((A209)+1)/2)*(Inputs!$J$6-Inputs!$I$6)))/Inputs!$K$6)^2))*((2*Inputs!$L$6*((Inputs!$I$6+(((A209)+1)/2)*(Inputs!$J$6-Inputs!$I$6)))/(Inputs!$K$6^2)*Inputs!$C$11)))/(SQRT(((Inputs!$I$6+(((A209)+1)/2)*(Inputs!$J$6-Inputs!$I$6)))^2+Inputs!$C$6^2+((Inputs!$H$6+Inputs!$L$6*(((Inputs!$I$6+(((A209)+1)/2)*(Inputs!$J$6-Inputs!$I$6)))/Inputs!$K$6)^2))^2)))))/Inputs!$C$13)</f>
        <v>-325.23489447567232</v>
      </c>
      <c r="AM209" s="9">
        <f>(-2*((1000*((((Inputs!$I$7+(((A209)+1)/2)*(Inputs!$J$7-Inputs!$I$7)))*Inputs!$C$11+((Inputs!$H$7+Inputs!$L$7*(((Inputs!$I$7+(((A209)+1)/2)*(Inputs!$J$7-Inputs!$I$7)))/Inputs!$K$7)^2))*((2*Inputs!$L$7*((Inputs!$I$7+(((A209)+1)/2)*(Inputs!$J$7-Inputs!$I$7)))/(Inputs!$K$7^2)*Inputs!$C$11)))/(SQRT(((Inputs!$I$7+(((A209)+1)/2)*(Inputs!$J$7-Inputs!$I$7)))^2+Inputs!$C$6^2+((Inputs!$H$7+Inputs!$L$7*(((Inputs!$I$7+(((A209)+1)/2)*(Inputs!$J$7-Inputs!$I$7)))/Inputs!$K$7)^2))^2)))))/Inputs!$C$13)</f>
        <v>-2558.6903700820367</v>
      </c>
      <c r="AN209" s="9">
        <f>(-2*((1000*((((Inputs!$I$8+(((A209)+1)/2)*(Inputs!$J$8-Inputs!$I$8)))*Inputs!$C$11+((Inputs!$H$8+Inputs!$L$8*(((Inputs!$I$8+(((A209)+1)/2)*(Inputs!$J$8-Inputs!$I$8)))/Inputs!$K$8)^2))*((2*Inputs!$L$8*((Inputs!$I$8+(((A209)+1)/2)*(Inputs!$J$8-Inputs!$I$8)))/(Inputs!$K$8^2)*Inputs!$C$11)))/(SQRT(((Inputs!$I$8+(((A209)+1)/2)*(Inputs!$J$8-Inputs!$I$8)))^2+Inputs!$C$6^2+((Inputs!$H$8+Inputs!$L$8*(((Inputs!$I$8+(((A209)+1)/2)*(Inputs!$J$8-Inputs!$I$8)))/Inputs!$K$8)^2))^2)))))/Inputs!$C$13)</f>
        <v>-3078.4154877124552</v>
      </c>
      <c r="AO209" s="9">
        <f>(-2*((1000*((((Inputs!$I$9+(((A209)+1)/2)*(Inputs!$J$9-Inputs!$I$9)))*Inputs!$C$11+((Inputs!$H$9+Inputs!$L$9*(((Inputs!$I$9+(((A209)+1)/2)*(Inputs!$J$9-Inputs!$I$9)))/Inputs!$K$9)^2))*((2*Inputs!$L$9*((Inputs!$I$9+(((A209)+1)/2)*(Inputs!$J$9-Inputs!$I$9)))/(Inputs!$K$9^2)*Inputs!$C$11)))/(SQRT(((Inputs!$I$9+(((A209)+1)/2)*(Inputs!$J$9-Inputs!$I$9)))^2+Inputs!$C$6^2+((Inputs!$H$9+Inputs!$L$9*(((Inputs!$I$9+(((A209)+1)/2)*(Inputs!$J$9-Inputs!$I$9)))/Inputs!$K$9)^2))^2)))))/Inputs!$C$13)</f>
        <v>-3093.9071424175872</v>
      </c>
    </row>
    <row r="210" spans="1:41">
      <c r="A210" s="9">
        <f>ROUND(-1+208*2/240,3)</f>
        <v>0.73299999999999998</v>
      </c>
      <c r="B210" s="9">
        <f>IF(OR(Inputs!$F$6=TRUE,Inputs!$F$6="TRUE",Inputs!$F$6=1),(Inputs!$H$6+Inputs!$L$6*(((Inputs!$I$6+(((A210)+1)/2)*(Inputs!$J$6-Inputs!$I$6)))/Inputs!$K$6)^2),NA())</f>
        <v>402.149156</v>
      </c>
      <c r="C210" s="9">
        <f>IF(OR(Inputs!$F$7=TRUE,Inputs!$F$7="TRUE",Inputs!$F$7=1),(Inputs!$H$7+Inputs!$L$7*(((Inputs!$I$7+(((A210)+1)/2)*(Inputs!$J$7-Inputs!$I$7)))/Inputs!$K$7)^2),NA())</f>
        <v>231.11048500000004</v>
      </c>
      <c r="D210" s="9">
        <f>IF(OR(Inputs!$F$8=TRUE,Inputs!$F$8="TRUE",Inputs!$F$8=1),(Inputs!$H$8+Inputs!$L$8*(((Inputs!$I$8+(((A210)+1)/2)*(Inputs!$J$8-Inputs!$I$8)))/Inputs!$K$8)^2),NA())</f>
        <v>553.4838850000001</v>
      </c>
      <c r="E210" s="9">
        <f>IF(OR(Inputs!$F$9=TRUE,Inputs!$F$9="TRUE",Inputs!$F$9=1),(Inputs!$H$9+Inputs!$L$9*(((Inputs!$I$9+(((A210)+1)/2)*(Inputs!$J$9-Inputs!$I$9)))/Inputs!$K$9)^2),NA())</f>
        <v>548.85677500000008</v>
      </c>
      <c r="F210" s="10"/>
      <c r="G210" s="9">
        <f t="shared" si="18"/>
        <v>0.73299999999999998</v>
      </c>
      <c r="H210" s="9">
        <f>IF(OR(Inputs!$F$6=TRUE,Inputs!$F$6="TRUE",Inputs!$F$6=1),(((SQRT(((Inputs!$I$6+(((A210)+1)/2)*(Inputs!$J$6-Inputs!$I$6)))^2+Inputs!$C$6^2+((Inputs!$H$6+Inputs!$L$6*(((Inputs!$I$6+(((A210)+1)/2)*(Inputs!$J$6-Inputs!$I$6)))/Inputs!$K$6)^2))^2))-((Inputs!$H$6+Inputs!$L$6*(((Inputs!$I$6+(((A210)+1)/2)*(Inputs!$J$6-Inputs!$I$6)))/Inputs!$K$6)^2)))*1000/Inputs!$C$12),NA())</f>
        <v>1780.5979973162634</v>
      </c>
      <c r="I210" s="9">
        <f>IF(OR(Inputs!$F$7=TRUE,Inputs!$F$7="TRUE",Inputs!$F$7=1),(((SQRT(((Inputs!$I$7+(((A210)+1)/2)*(Inputs!$J$7-Inputs!$I$7)))^2+Inputs!$C$6^2+((Inputs!$H$7+Inputs!$L$7*(((Inputs!$I$7+(((A210)+1)/2)*(Inputs!$J$7-Inputs!$I$7)))/Inputs!$K$7)^2))^2))-((Inputs!$H$7+Inputs!$L$7*(((Inputs!$I$7+(((A210)+1)/2)*(Inputs!$J$7-Inputs!$I$7)))/Inputs!$K$7)^2)))*1000/Inputs!$C$12),NA())</f>
        <v>80370.594655507666</v>
      </c>
      <c r="J210" s="9">
        <f>IF(OR(Inputs!$F$8=TRUE,Inputs!$F$8="TRUE",Inputs!$F$8=1),(((SQRT(((Inputs!$I$8+(((A210)+1)/2)*(Inputs!$J$8-Inputs!$I$8)))^2+Inputs!$C$6^2+((Inputs!$H$8+Inputs!$L$8*(((Inputs!$I$8+(((A210)+1)/2)*(Inputs!$J$8-Inputs!$I$8)))/Inputs!$K$8)^2))^2))-((Inputs!$H$8+Inputs!$L$8*(((Inputs!$I$8+(((A210)+1)/2)*(Inputs!$J$8-Inputs!$I$8)))/Inputs!$K$8)^2)))*1000/Inputs!$C$12),NA())</f>
        <v>142280.43751600158</v>
      </c>
      <c r="K210" s="9">
        <f>IF(OR(Inputs!$F$9=TRUE,Inputs!$F$9="TRUE",Inputs!$F$9=1),(((SQRT(((Inputs!$I$9+(((A210)+1)/2)*(Inputs!$J$9-Inputs!$I$9)))^2+Inputs!$C$6^2+((Inputs!$H$9+Inputs!$L$9*(((Inputs!$I$9+(((A210)+1)/2)*(Inputs!$J$9-Inputs!$I$9)))/Inputs!$K$9)^2))^2))-((Inputs!$H$9+Inputs!$L$9*(((Inputs!$I$9+(((A210)+1)/2)*(Inputs!$J$9-Inputs!$I$9)))/Inputs!$K$9)^2)))*1000/Inputs!$C$12),NA())</f>
        <v>143100.45458612774</v>
      </c>
      <c r="L210" s="10"/>
      <c r="M210" s="9">
        <f t="shared" si="19"/>
        <v>0.73299999999999998</v>
      </c>
      <c r="N210" s="9">
        <f>IF(OR(Inputs!$F$6=TRUE,Inputs!$F$6="TRUE",Inputs!$F$6=1),(-2*((1000*((((Inputs!$I$6+(((A210)+1)/2)*(Inputs!$J$6-Inputs!$I$6)))*Inputs!$C$11+((Inputs!$H$6+Inputs!$L$6*(((Inputs!$I$6+(((A210)+1)/2)*(Inputs!$J$6-Inputs!$I$6)))/Inputs!$K$6)^2))*((2*Inputs!$L$6*((Inputs!$I$6+(((A210)+1)/2)*(Inputs!$J$6-Inputs!$I$6)))/(Inputs!$K$6^2)*Inputs!$C$11)))/(SQRT(((Inputs!$I$6+(((A210)+1)/2)*(Inputs!$J$6-Inputs!$I$6)))^2+Inputs!$C$6^2+((Inputs!$H$6+Inputs!$L$6*(((Inputs!$I$6+(((A210)+1)/2)*(Inputs!$J$6-Inputs!$I$6)))/Inputs!$K$6)^2))^2)))))/Inputs!$C$13),NA())</f>
        <v>-328.7621078889045</v>
      </c>
      <c r="O210" s="9">
        <f>IF(OR(Inputs!$F$7=TRUE,Inputs!$F$7="TRUE",Inputs!$F$7=1),(-2*((1000*((((Inputs!$I$7+(((A210)+1)/2)*(Inputs!$J$7-Inputs!$I$7)))*Inputs!$C$11+((Inputs!$H$7+Inputs!$L$7*(((Inputs!$I$7+(((A210)+1)/2)*(Inputs!$J$7-Inputs!$I$7)))/Inputs!$K$7)^2))*((2*Inputs!$L$7*((Inputs!$I$7+(((A210)+1)/2)*(Inputs!$J$7-Inputs!$I$7)))/(Inputs!$K$7^2)*Inputs!$C$11)))/(SQRT(((Inputs!$I$7+(((A210)+1)/2)*(Inputs!$J$7-Inputs!$I$7)))^2+Inputs!$C$6^2+((Inputs!$H$7+Inputs!$L$7*(((Inputs!$I$7+(((A210)+1)/2)*(Inputs!$J$7-Inputs!$I$7)))/Inputs!$K$7)^2))^2)))))/Inputs!$C$13),NA())</f>
        <v>-2575.779105979339</v>
      </c>
      <c r="P210" s="9">
        <f>IF(OR(Inputs!$F$8=TRUE,Inputs!$F$8="TRUE",Inputs!$F$8=1),(-2*((1000*((((Inputs!$I$8+(((A210)+1)/2)*(Inputs!$J$8-Inputs!$I$8)))*Inputs!$C$11+((Inputs!$H$8+Inputs!$L$8*(((Inputs!$I$8+(((A210)+1)/2)*(Inputs!$J$8-Inputs!$I$8)))/Inputs!$K$8)^2))*((2*Inputs!$L$8*((Inputs!$I$8+(((A210)+1)/2)*(Inputs!$J$8-Inputs!$I$8)))/(Inputs!$K$8^2)*Inputs!$C$11)))/(SQRT(((Inputs!$I$8+(((A210)+1)/2)*(Inputs!$J$8-Inputs!$I$8)))^2+Inputs!$C$6^2+((Inputs!$H$8+Inputs!$L$8*(((Inputs!$I$8+(((A210)+1)/2)*(Inputs!$J$8-Inputs!$I$8)))/Inputs!$K$8)^2))^2)))))/Inputs!$C$13),NA())</f>
        <v>-3104.1558917312541</v>
      </c>
      <c r="Q210" s="9">
        <f>IF(OR(Inputs!$F$9=TRUE,Inputs!$F$9="TRUE",Inputs!$F$9=1),(-2*((1000*((((Inputs!$I$9+(((A210)+1)/2)*(Inputs!$J$9-Inputs!$I$9)))*Inputs!$C$11+((Inputs!$H$9+Inputs!$L$9*(((Inputs!$I$9+(((A210)+1)/2)*(Inputs!$J$9-Inputs!$I$9)))/Inputs!$K$9)^2))*((2*Inputs!$L$9*((Inputs!$I$9+(((A210)+1)/2)*(Inputs!$J$9-Inputs!$I$9)))/(Inputs!$K$9^2)*Inputs!$C$11)))/(SQRT(((Inputs!$I$9+(((A210)+1)/2)*(Inputs!$J$9-Inputs!$I$9)))^2+Inputs!$C$6^2+((Inputs!$H$9+Inputs!$L$9*(((Inputs!$I$9+(((A210)+1)/2)*(Inputs!$J$9-Inputs!$I$9)))/Inputs!$K$9)^2))^2)))))/Inputs!$C$13),NA())</f>
        <v>-3120.1257381445789</v>
      </c>
      <c r="R210" s="10"/>
      <c r="S210" s="9">
        <f t="shared" si="20"/>
        <v>0.73299999999999998</v>
      </c>
      <c r="T210" s="9">
        <f>(Inputs!$I$6+(((A210)+1)/2)*(Inputs!$J$6-Inputs!$I$6))</f>
        <v>43.980000000000004</v>
      </c>
      <c r="U210" s="9">
        <f>(Inputs!$I$7+(((A210)+1)/2)*(Inputs!$J$7-Inputs!$I$7))</f>
        <v>293.20000000000005</v>
      </c>
      <c r="V210" s="9">
        <f>(Inputs!$I$8+(((A210)+1)/2)*(Inputs!$J$8-Inputs!$I$8))</f>
        <v>586.40000000000009</v>
      </c>
      <c r="W210" s="9">
        <f>(Inputs!$I$9+(((A210)+1)/2)*(Inputs!$J$9-Inputs!$I$9))</f>
        <v>586.40000000000009</v>
      </c>
      <c r="X210" s="10"/>
      <c r="Y210" s="9">
        <f t="shared" si="21"/>
        <v>0.73299999999999998</v>
      </c>
      <c r="Z210" s="9">
        <f>(Inputs!$H$6+Inputs!$L$6*(((Inputs!$I$6+(((A210)+1)/2)*(Inputs!$J$6-Inputs!$I$6)))/Inputs!$K$6)^2)</f>
        <v>402.149156</v>
      </c>
      <c r="AA210" s="9">
        <f>(Inputs!$H$7+Inputs!$L$7*(((Inputs!$I$7+(((A210)+1)/2)*(Inputs!$J$7-Inputs!$I$7)))/Inputs!$K$7)^2)</f>
        <v>231.11048500000004</v>
      </c>
      <c r="AB210" s="9">
        <f>(Inputs!$H$8+Inputs!$L$8*(((Inputs!$I$8+(((A210)+1)/2)*(Inputs!$J$8-Inputs!$I$8)))/Inputs!$K$8)^2)</f>
        <v>553.4838850000001</v>
      </c>
      <c r="AC210" s="9">
        <f>(Inputs!$H$9+Inputs!$L$9*(((Inputs!$I$9+(((A210)+1)/2)*(Inputs!$J$9-Inputs!$I$9)))/Inputs!$K$9)^2)</f>
        <v>548.85677500000008</v>
      </c>
      <c r="AD210" s="10"/>
      <c r="AE210" s="9">
        <f t="shared" si="22"/>
        <v>0.73299999999999998</v>
      </c>
      <c r="AF210" s="9">
        <f>(((SQRT(((Inputs!$I$6+(((A210)+1)/2)*(Inputs!$J$6-Inputs!$I$6)))^2+Inputs!$C$6^2+((Inputs!$H$6+Inputs!$L$6*(((Inputs!$I$6+(((A210)+1)/2)*(Inputs!$J$6-Inputs!$I$6)))/Inputs!$K$6)^2))^2))-((Inputs!$H$6+Inputs!$L$6*(((Inputs!$I$6+(((A210)+1)/2)*(Inputs!$J$6-Inputs!$I$6)))/Inputs!$K$6)^2)))*1000/Inputs!$C$12)</f>
        <v>1780.5979973162634</v>
      </c>
      <c r="AG210" s="9">
        <f>(((SQRT(((Inputs!$I$7+(((A210)+1)/2)*(Inputs!$J$7-Inputs!$I$7)))^2+Inputs!$C$6^2+((Inputs!$H$7+Inputs!$L$7*(((Inputs!$I$7+(((A210)+1)/2)*(Inputs!$J$7-Inputs!$I$7)))/Inputs!$K$7)^2))^2))-((Inputs!$H$7+Inputs!$L$7*(((Inputs!$I$7+(((A210)+1)/2)*(Inputs!$J$7-Inputs!$I$7)))/Inputs!$K$7)^2)))*1000/Inputs!$C$12)</f>
        <v>80370.594655507666</v>
      </c>
      <c r="AH210" s="9">
        <f>(((SQRT(((Inputs!$I$8+(((A210)+1)/2)*(Inputs!$J$8-Inputs!$I$8)))^2+Inputs!$C$6^2+((Inputs!$H$8+Inputs!$L$8*(((Inputs!$I$8+(((A210)+1)/2)*(Inputs!$J$8-Inputs!$I$8)))/Inputs!$K$8)^2))^2))-((Inputs!$H$8+Inputs!$L$8*(((Inputs!$I$8+(((A210)+1)/2)*(Inputs!$J$8-Inputs!$I$8)))/Inputs!$K$8)^2)))*1000/Inputs!$C$12)</f>
        <v>142280.43751600158</v>
      </c>
      <c r="AI210" s="9">
        <f>(((SQRT(((Inputs!$I$9+(((A210)+1)/2)*(Inputs!$J$9-Inputs!$I$9)))^2+Inputs!$C$6^2+((Inputs!$H$9+Inputs!$L$9*(((Inputs!$I$9+(((A210)+1)/2)*(Inputs!$J$9-Inputs!$I$9)))/Inputs!$K$9)^2))^2))-((Inputs!$H$9+Inputs!$L$9*(((Inputs!$I$9+(((A210)+1)/2)*(Inputs!$J$9-Inputs!$I$9)))/Inputs!$K$9)^2)))*1000/Inputs!$C$12)</f>
        <v>143100.45458612774</v>
      </c>
      <c r="AJ210" s="10"/>
      <c r="AK210" s="9">
        <f t="shared" si="23"/>
        <v>0.73299999999999998</v>
      </c>
      <c r="AL210" s="9">
        <f>(-2*((1000*((((Inputs!$I$6+(((A210)+1)/2)*(Inputs!$J$6-Inputs!$I$6)))*Inputs!$C$11+((Inputs!$H$6+Inputs!$L$6*(((Inputs!$I$6+(((A210)+1)/2)*(Inputs!$J$6-Inputs!$I$6)))/Inputs!$K$6)^2))*((2*Inputs!$L$6*((Inputs!$I$6+(((A210)+1)/2)*(Inputs!$J$6-Inputs!$I$6)))/(Inputs!$K$6^2)*Inputs!$C$11)))/(SQRT(((Inputs!$I$6+(((A210)+1)/2)*(Inputs!$J$6-Inputs!$I$6)))^2+Inputs!$C$6^2+((Inputs!$H$6+Inputs!$L$6*(((Inputs!$I$6+(((A210)+1)/2)*(Inputs!$J$6-Inputs!$I$6)))/Inputs!$K$6)^2))^2)))))/Inputs!$C$13)</f>
        <v>-328.7621078889045</v>
      </c>
      <c r="AM210" s="9">
        <f>(-2*((1000*((((Inputs!$I$7+(((A210)+1)/2)*(Inputs!$J$7-Inputs!$I$7)))*Inputs!$C$11+((Inputs!$H$7+Inputs!$L$7*(((Inputs!$I$7+(((A210)+1)/2)*(Inputs!$J$7-Inputs!$I$7)))/Inputs!$K$7)^2))*((2*Inputs!$L$7*((Inputs!$I$7+(((A210)+1)/2)*(Inputs!$J$7-Inputs!$I$7)))/(Inputs!$K$7^2)*Inputs!$C$11)))/(SQRT(((Inputs!$I$7+(((A210)+1)/2)*(Inputs!$J$7-Inputs!$I$7)))^2+Inputs!$C$6^2+((Inputs!$H$7+Inputs!$L$7*(((Inputs!$I$7+(((A210)+1)/2)*(Inputs!$J$7-Inputs!$I$7)))/Inputs!$K$7)^2))^2)))))/Inputs!$C$13)</f>
        <v>-2575.779105979339</v>
      </c>
      <c r="AN210" s="9">
        <f>(-2*((1000*((((Inputs!$I$8+(((A210)+1)/2)*(Inputs!$J$8-Inputs!$I$8)))*Inputs!$C$11+((Inputs!$H$8+Inputs!$L$8*(((Inputs!$I$8+(((A210)+1)/2)*(Inputs!$J$8-Inputs!$I$8)))/Inputs!$K$8)^2))*((2*Inputs!$L$8*((Inputs!$I$8+(((A210)+1)/2)*(Inputs!$J$8-Inputs!$I$8)))/(Inputs!$K$8^2)*Inputs!$C$11)))/(SQRT(((Inputs!$I$8+(((A210)+1)/2)*(Inputs!$J$8-Inputs!$I$8)))^2+Inputs!$C$6^2+((Inputs!$H$8+Inputs!$L$8*(((Inputs!$I$8+(((A210)+1)/2)*(Inputs!$J$8-Inputs!$I$8)))/Inputs!$K$8)^2))^2)))))/Inputs!$C$13)</f>
        <v>-3104.1558917312541</v>
      </c>
      <c r="AO210" s="9">
        <f>(-2*((1000*((((Inputs!$I$9+(((A210)+1)/2)*(Inputs!$J$9-Inputs!$I$9)))*Inputs!$C$11+((Inputs!$H$9+Inputs!$L$9*(((Inputs!$I$9+(((A210)+1)/2)*(Inputs!$J$9-Inputs!$I$9)))/Inputs!$K$9)^2))*((2*Inputs!$L$9*((Inputs!$I$9+(((A210)+1)/2)*(Inputs!$J$9-Inputs!$I$9)))/(Inputs!$K$9^2)*Inputs!$C$11)))/(SQRT(((Inputs!$I$9+(((A210)+1)/2)*(Inputs!$J$9-Inputs!$I$9)))^2+Inputs!$C$6^2+((Inputs!$H$9+Inputs!$L$9*(((Inputs!$I$9+(((A210)+1)/2)*(Inputs!$J$9-Inputs!$I$9)))/Inputs!$K$9)^2))^2)))))/Inputs!$C$13)</f>
        <v>-3120.1257381445789</v>
      </c>
    </row>
    <row r="211" spans="1:41">
      <c r="A211" s="9">
        <f>ROUND(-1+209*2/240,3)</f>
        <v>0.74199999999999999</v>
      </c>
      <c r="B211" s="9">
        <f>IF(OR(Inputs!$F$6=TRUE,Inputs!$F$6="TRUE",Inputs!$F$6=1),(Inputs!$H$6+Inputs!$L$6*(((Inputs!$I$6+(((A211)+1)/2)*(Inputs!$J$6-Inputs!$I$6)))/Inputs!$K$6)^2),NA())</f>
        <v>402.20225599999998</v>
      </c>
      <c r="C211" s="9">
        <f>IF(OR(Inputs!$F$7=TRUE,Inputs!$F$7="TRUE",Inputs!$F$7=1),(Inputs!$H$7+Inputs!$L$7*(((Inputs!$I$7+(((A211)+1)/2)*(Inputs!$J$7-Inputs!$I$7)))/Inputs!$K$7)^2),NA())</f>
        <v>235.95585999999994</v>
      </c>
      <c r="D211" s="9">
        <f>IF(OR(Inputs!$F$8=TRUE,Inputs!$F$8="TRUE",Inputs!$F$8=1),(Inputs!$H$8+Inputs!$L$8*(((Inputs!$I$8+(((A211)+1)/2)*(Inputs!$J$8-Inputs!$I$8)))/Inputs!$K$8)^2),NA())</f>
        <v>566.29425999999978</v>
      </c>
      <c r="E211" s="9">
        <f>IF(OR(Inputs!$F$9=TRUE,Inputs!$F$9="TRUE",Inputs!$F$9=1),(Inputs!$H$9+Inputs!$L$9*(((Inputs!$I$9+(((A211)+1)/2)*(Inputs!$J$9-Inputs!$I$9)))/Inputs!$K$9)^2),NA())</f>
        <v>561.79989999999987</v>
      </c>
      <c r="F211" s="10"/>
      <c r="G211" s="9">
        <f t="shared" si="18"/>
        <v>0.74199999999999999</v>
      </c>
      <c r="H211" s="9">
        <f>IF(OR(Inputs!$F$6=TRUE,Inputs!$F$6="TRUE",Inputs!$F$6=1),(((SQRT(((Inputs!$I$6+(((A211)+1)/2)*(Inputs!$J$6-Inputs!$I$6)))^2+Inputs!$C$6^2+((Inputs!$H$6+Inputs!$L$6*(((Inputs!$I$6+(((A211)+1)/2)*(Inputs!$J$6-Inputs!$I$6)))/Inputs!$K$6)^2))^2))-((Inputs!$H$6+Inputs!$L$6*(((Inputs!$I$6+(((A211)+1)/2)*(Inputs!$J$6-Inputs!$I$6)))/Inputs!$K$6)^2)))*1000/Inputs!$C$12),NA())</f>
        <v>1813.4780545586109</v>
      </c>
      <c r="I211" s="9">
        <f>IF(OR(Inputs!$F$7=TRUE,Inputs!$F$7="TRUE",Inputs!$F$7=1),(((SQRT(((Inputs!$I$7+(((A211)+1)/2)*(Inputs!$J$7-Inputs!$I$7)))^2+Inputs!$C$6^2+((Inputs!$H$7+Inputs!$L$7*(((Inputs!$I$7+(((A211)+1)/2)*(Inputs!$J$7-Inputs!$I$7)))/Inputs!$K$7)^2))^2))-((Inputs!$H$7+Inputs!$L$7*(((Inputs!$I$7+(((A211)+1)/2)*(Inputs!$J$7-Inputs!$I$7)))/Inputs!$K$7)^2)))*1000/Inputs!$C$12),NA())</f>
        <v>80916.583463216273</v>
      </c>
      <c r="J211" s="9">
        <f>IF(OR(Inputs!$F$8=TRUE,Inputs!$F$8="TRUE",Inputs!$F$8=1),(((SQRT(((Inputs!$I$8+(((A211)+1)/2)*(Inputs!$J$8-Inputs!$I$8)))^2+Inputs!$C$6^2+((Inputs!$H$8+Inputs!$L$8*(((Inputs!$I$8+(((A211)+1)/2)*(Inputs!$J$8-Inputs!$I$8)))/Inputs!$K$8)^2))^2))-((Inputs!$H$8+Inputs!$L$8*(((Inputs!$I$8+(((A211)+1)/2)*(Inputs!$J$8-Inputs!$I$8)))/Inputs!$K$8)^2)))*1000/Inputs!$C$12),NA())</f>
        <v>142967.92221460855</v>
      </c>
      <c r="K211" s="9">
        <f>IF(OR(Inputs!$F$9=TRUE,Inputs!$F$9="TRUE",Inputs!$F$9=1),(((SQRT(((Inputs!$I$9+(((A211)+1)/2)*(Inputs!$J$9-Inputs!$I$9)))^2+Inputs!$C$6^2+((Inputs!$H$9+Inputs!$L$9*(((Inputs!$I$9+(((A211)+1)/2)*(Inputs!$J$9-Inputs!$I$9)))/Inputs!$K$9)^2))^2))-((Inputs!$H$9+Inputs!$L$9*(((Inputs!$I$9+(((A211)+1)/2)*(Inputs!$J$9-Inputs!$I$9)))/Inputs!$K$9)^2)))*1000/Inputs!$C$12),NA())</f>
        <v>143754.41285800817</v>
      </c>
      <c r="L211" s="10"/>
      <c r="M211" s="9">
        <f t="shared" si="19"/>
        <v>0.74199999999999999</v>
      </c>
      <c r="N211" s="9">
        <f>IF(OR(Inputs!$F$6=TRUE,Inputs!$F$6="TRUE",Inputs!$F$6=1),(-2*((1000*((((Inputs!$I$6+(((A211)+1)/2)*(Inputs!$J$6-Inputs!$I$6)))*Inputs!$C$11+((Inputs!$H$6+Inputs!$L$6*(((Inputs!$I$6+(((A211)+1)/2)*(Inputs!$J$6-Inputs!$I$6)))/Inputs!$K$6)^2))*((2*Inputs!$L$6*((Inputs!$I$6+(((A211)+1)/2)*(Inputs!$J$6-Inputs!$I$6)))/(Inputs!$K$6^2)*Inputs!$C$11)))/(SQRT(((Inputs!$I$6+(((A211)+1)/2)*(Inputs!$J$6-Inputs!$I$6)))^2+Inputs!$C$6^2+((Inputs!$H$6+Inputs!$L$6*(((Inputs!$I$6+(((A211)+1)/2)*(Inputs!$J$6-Inputs!$I$6)))/Inputs!$K$6)^2))^2)))))/Inputs!$C$13),NA())</f>
        <v>-332.72785342369991</v>
      </c>
      <c r="O211" s="9">
        <f>IF(OR(Inputs!$F$7=TRUE,Inputs!$F$7="TRUE",Inputs!$F$7=1),(-2*((1000*((((Inputs!$I$7+(((A211)+1)/2)*(Inputs!$J$7-Inputs!$I$7)))*Inputs!$C$11+((Inputs!$H$7+Inputs!$L$7*(((Inputs!$I$7+(((A211)+1)/2)*(Inputs!$J$7-Inputs!$I$7)))/Inputs!$K$7)^2))*((2*Inputs!$L$7*((Inputs!$I$7+(((A211)+1)/2)*(Inputs!$J$7-Inputs!$I$7)))/(Inputs!$K$7^2)*Inputs!$C$11)))/(SQRT(((Inputs!$I$7+(((A211)+1)/2)*(Inputs!$J$7-Inputs!$I$7)))^2+Inputs!$C$6^2+((Inputs!$H$7+Inputs!$L$7*(((Inputs!$I$7+(((A211)+1)/2)*(Inputs!$J$7-Inputs!$I$7)))/Inputs!$K$7)^2))^2)))))/Inputs!$C$13),NA())</f>
        <v>-2595.1162068477756</v>
      </c>
      <c r="P211" s="9">
        <f>IF(OR(Inputs!$F$8=TRUE,Inputs!$F$8="TRUE",Inputs!$F$8=1),(-2*((1000*((((Inputs!$I$8+(((A211)+1)/2)*(Inputs!$J$8-Inputs!$I$8)))*Inputs!$C$11+((Inputs!$H$8+Inputs!$L$8*(((Inputs!$I$8+(((A211)+1)/2)*(Inputs!$J$8-Inputs!$I$8)))/Inputs!$K$8)^2))*((2*Inputs!$L$8*((Inputs!$I$8+(((A211)+1)/2)*(Inputs!$J$8-Inputs!$I$8)))/(Inputs!$K$8^2)*Inputs!$C$11)))/(SQRT(((Inputs!$I$8+(((A211)+1)/2)*(Inputs!$J$8-Inputs!$I$8)))^2+Inputs!$C$6^2+((Inputs!$H$8+Inputs!$L$8*(((Inputs!$I$8+(((A211)+1)/2)*(Inputs!$J$8-Inputs!$I$8)))/Inputs!$K$8)^2))^2)))))/Inputs!$C$13),NA())</f>
        <v>-3133.2435116977767</v>
      </c>
      <c r="Q211" s="9">
        <f>IF(OR(Inputs!$F$9=TRUE,Inputs!$F$9="TRUE",Inputs!$F$9=1),(-2*((1000*((((Inputs!$I$9+(((A211)+1)/2)*(Inputs!$J$9-Inputs!$I$9)))*Inputs!$C$11+((Inputs!$H$9+Inputs!$L$9*(((Inputs!$I$9+(((A211)+1)/2)*(Inputs!$J$9-Inputs!$I$9)))/Inputs!$K$9)^2))*((2*Inputs!$L$9*((Inputs!$I$9+(((A211)+1)/2)*(Inputs!$J$9-Inputs!$I$9)))/(Inputs!$K$9^2)*Inputs!$C$11)))/(SQRT(((Inputs!$I$9+(((A211)+1)/2)*(Inputs!$J$9-Inputs!$I$9)))^2+Inputs!$C$6^2+((Inputs!$H$9+Inputs!$L$9*(((Inputs!$I$9+(((A211)+1)/2)*(Inputs!$J$9-Inputs!$I$9)))/Inputs!$K$9)^2))^2)))))/Inputs!$C$13),NA())</f>
        <v>-3149.75035883583</v>
      </c>
      <c r="R211" s="10"/>
      <c r="S211" s="9">
        <f t="shared" si="20"/>
        <v>0.74199999999999999</v>
      </c>
      <c r="T211" s="9">
        <f>(Inputs!$I$6+(((A211)+1)/2)*(Inputs!$J$6-Inputs!$I$6))</f>
        <v>44.519999999999996</v>
      </c>
      <c r="U211" s="9">
        <f>(Inputs!$I$7+(((A211)+1)/2)*(Inputs!$J$7-Inputs!$I$7))</f>
        <v>296.79999999999995</v>
      </c>
      <c r="V211" s="9">
        <f>(Inputs!$I$8+(((A211)+1)/2)*(Inputs!$J$8-Inputs!$I$8))</f>
        <v>593.59999999999991</v>
      </c>
      <c r="W211" s="9">
        <f>(Inputs!$I$9+(((A211)+1)/2)*(Inputs!$J$9-Inputs!$I$9))</f>
        <v>593.59999999999991</v>
      </c>
      <c r="X211" s="10"/>
      <c r="Y211" s="9">
        <f t="shared" si="21"/>
        <v>0.74199999999999999</v>
      </c>
      <c r="Z211" s="9">
        <f>(Inputs!$H$6+Inputs!$L$6*(((Inputs!$I$6+(((A211)+1)/2)*(Inputs!$J$6-Inputs!$I$6)))/Inputs!$K$6)^2)</f>
        <v>402.20225599999998</v>
      </c>
      <c r="AA211" s="9">
        <f>(Inputs!$H$7+Inputs!$L$7*(((Inputs!$I$7+(((A211)+1)/2)*(Inputs!$J$7-Inputs!$I$7)))/Inputs!$K$7)^2)</f>
        <v>235.95585999999994</v>
      </c>
      <c r="AB211" s="9">
        <f>(Inputs!$H$8+Inputs!$L$8*(((Inputs!$I$8+(((A211)+1)/2)*(Inputs!$J$8-Inputs!$I$8)))/Inputs!$K$8)^2)</f>
        <v>566.29425999999978</v>
      </c>
      <c r="AC211" s="9">
        <f>(Inputs!$H$9+Inputs!$L$9*(((Inputs!$I$9+(((A211)+1)/2)*(Inputs!$J$9-Inputs!$I$9)))/Inputs!$K$9)^2)</f>
        <v>561.79989999999987</v>
      </c>
      <c r="AD211" s="10"/>
      <c r="AE211" s="9">
        <f t="shared" si="22"/>
        <v>0.74199999999999999</v>
      </c>
      <c r="AF211" s="9">
        <f>(((SQRT(((Inputs!$I$6+(((A211)+1)/2)*(Inputs!$J$6-Inputs!$I$6)))^2+Inputs!$C$6^2+((Inputs!$H$6+Inputs!$L$6*(((Inputs!$I$6+(((A211)+1)/2)*(Inputs!$J$6-Inputs!$I$6)))/Inputs!$K$6)^2))^2))-((Inputs!$H$6+Inputs!$L$6*(((Inputs!$I$6+(((A211)+1)/2)*(Inputs!$J$6-Inputs!$I$6)))/Inputs!$K$6)^2)))*1000/Inputs!$C$12)</f>
        <v>1813.4780545586109</v>
      </c>
      <c r="AG211" s="9">
        <f>(((SQRT(((Inputs!$I$7+(((A211)+1)/2)*(Inputs!$J$7-Inputs!$I$7)))^2+Inputs!$C$6^2+((Inputs!$H$7+Inputs!$L$7*(((Inputs!$I$7+(((A211)+1)/2)*(Inputs!$J$7-Inputs!$I$7)))/Inputs!$K$7)^2))^2))-((Inputs!$H$7+Inputs!$L$7*(((Inputs!$I$7+(((A211)+1)/2)*(Inputs!$J$7-Inputs!$I$7)))/Inputs!$K$7)^2)))*1000/Inputs!$C$12)</f>
        <v>80916.583463216273</v>
      </c>
      <c r="AH211" s="9">
        <f>(((SQRT(((Inputs!$I$8+(((A211)+1)/2)*(Inputs!$J$8-Inputs!$I$8)))^2+Inputs!$C$6^2+((Inputs!$H$8+Inputs!$L$8*(((Inputs!$I$8+(((A211)+1)/2)*(Inputs!$J$8-Inputs!$I$8)))/Inputs!$K$8)^2))^2))-((Inputs!$H$8+Inputs!$L$8*(((Inputs!$I$8+(((A211)+1)/2)*(Inputs!$J$8-Inputs!$I$8)))/Inputs!$K$8)^2)))*1000/Inputs!$C$12)</f>
        <v>142967.92221460855</v>
      </c>
      <c r="AI211" s="9">
        <f>(((SQRT(((Inputs!$I$9+(((A211)+1)/2)*(Inputs!$J$9-Inputs!$I$9)))^2+Inputs!$C$6^2+((Inputs!$H$9+Inputs!$L$9*(((Inputs!$I$9+(((A211)+1)/2)*(Inputs!$J$9-Inputs!$I$9)))/Inputs!$K$9)^2))^2))-((Inputs!$H$9+Inputs!$L$9*(((Inputs!$I$9+(((A211)+1)/2)*(Inputs!$J$9-Inputs!$I$9)))/Inputs!$K$9)^2)))*1000/Inputs!$C$12)</f>
        <v>143754.41285800817</v>
      </c>
      <c r="AJ211" s="10"/>
      <c r="AK211" s="9">
        <f t="shared" si="23"/>
        <v>0.74199999999999999</v>
      </c>
      <c r="AL211" s="9">
        <f>(-2*((1000*((((Inputs!$I$6+(((A211)+1)/2)*(Inputs!$J$6-Inputs!$I$6)))*Inputs!$C$11+((Inputs!$H$6+Inputs!$L$6*(((Inputs!$I$6+(((A211)+1)/2)*(Inputs!$J$6-Inputs!$I$6)))/Inputs!$K$6)^2))*((2*Inputs!$L$6*((Inputs!$I$6+(((A211)+1)/2)*(Inputs!$J$6-Inputs!$I$6)))/(Inputs!$K$6^2)*Inputs!$C$11)))/(SQRT(((Inputs!$I$6+(((A211)+1)/2)*(Inputs!$J$6-Inputs!$I$6)))^2+Inputs!$C$6^2+((Inputs!$H$6+Inputs!$L$6*(((Inputs!$I$6+(((A211)+1)/2)*(Inputs!$J$6-Inputs!$I$6)))/Inputs!$K$6)^2))^2)))))/Inputs!$C$13)</f>
        <v>-332.72785342369991</v>
      </c>
      <c r="AM211" s="9">
        <f>(-2*((1000*((((Inputs!$I$7+(((A211)+1)/2)*(Inputs!$J$7-Inputs!$I$7)))*Inputs!$C$11+((Inputs!$H$7+Inputs!$L$7*(((Inputs!$I$7+(((A211)+1)/2)*(Inputs!$J$7-Inputs!$I$7)))/Inputs!$K$7)^2))*((2*Inputs!$L$7*((Inputs!$I$7+(((A211)+1)/2)*(Inputs!$J$7-Inputs!$I$7)))/(Inputs!$K$7^2)*Inputs!$C$11)))/(SQRT(((Inputs!$I$7+(((A211)+1)/2)*(Inputs!$J$7-Inputs!$I$7)))^2+Inputs!$C$6^2+((Inputs!$H$7+Inputs!$L$7*(((Inputs!$I$7+(((A211)+1)/2)*(Inputs!$J$7-Inputs!$I$7)))/Inputs!$K$7)^2))^2)))))/Inputs!$C$13)</f>
        <v>-2595.1162068477756</v>
      </c>
      <c r="AN211" s="9">
        <f>(-2*((1000*((((Inputs!$I$8+(((A211)+1)/2)*(Inputs!$J$8-Inputs!$I$8)))*Inputs!$C$11+((Inputs!$H$8+Inputs!$L$8*(((Inputs!$I$8+(((A211)+1)/2)*(Inputs!$J$8-Inputs!$I$8)))/Inputs!$K$8)^2))*((2*Inputs!$L$8*((Inputs!$I$8+(((A211)+1)/2)*(Inputs!$J$8-Inputs!$I$8)))/(Inputs!$K$8^2)*Inputs!$C$11)))/(SQRT(((Inputs!$I$8+(((A211)+1)/2)*(Inputs!$J$8-Inputs!$I$8)))^2+Inputs!$C$6^2+((Inputs!$H$8+Inputs!$L$8*(((Inputs!$I$8+(((A211)+1)/2)*(Inputs!$J$8-Inputs!$I$8)))/Inputs!$K$8)^2))^2)))))/Inputs!$C$13)</f>
        <v>-3133.2435116977767</v>
      </c>
      <c r="AO211" s="9">
        <f>(-2*((1000*((((Inputs!$I$9+(((A211)+1)/2)*(Inputs!$J$9-Inputs!$I$9)))*Inputs!$C$11+((Inputs!$H$9+Inputs!$L$9*(((Inputs!$I$9+(((A211)+1)/2)*(Inputs!$J$9-Inputs!$I$9)))/Inputs!$K$9)^2))*((2*Inputs!$L$9*((Inputs!$I$9+(((A211)+1)/2)*(Inputs!$J$9-Inputs!$I$9)))/(Inputs!$K$9^2)*Inputs!$C$11)))/(SQRT(((Inputs!$I$9+(((A211)+1)/2)*(Inputs!$J$9-Inputs!$I$9)))^2+Inputs!$C$6^2+((Inputs!$H$9+Inputs!$L$9*(((Inputs!$I$9+(((A211)+1)/2)*(Inputs!$J$9-Inputs!$I$9)))/Inputs!$K$9)^2))^2)))))/Inputs!$C$13)</f>
        <v>-3149.75035883583</v>
      </c>
    </row>
    <row r="212" spans="1:41">
      <c r="A212" s="9">
        <f>ROUND(-1+210*2/240,3)</f>
        <v>0.75</v>
      </c>
      <c r="B212" s="9">
        <f>IF(OR(Inputs!$F$6=TRUE,Inputs!$F$6="TRUE",Inputs!$F$6=1),(Inputs!$H$6+Inputs!$L$6*(((Inputs!$I$6+(((A212)+1)/2)*(Inputs!$J$6-Inputs!$I$6)))/Inputs!$K$6)^2),NA())</f>
        <v>402.25</v>
      </c>
      <c r="C212" s="9">
        <f>IF(OR(Inputs!$F$7=TRUE,Inputs!$F$7="TRUE",Inputs!$F$7=1),(Inputs!$H$7+Inputs!$L$7*(((Inputs!$I$7+(((A212)+1)/2)*(Inputs!$J$7-Inputs!$I$7)))/Inputs!$K$7)^2),NA())</f>
        <v>240.3125</v>
      </c>
      <c r="D212" s="9">
        <f>IF(OR(Inputs!$F$8=TRUE,Inputs!$F$8="TRUE",Inputs!$F$8=1),(Inputs!$H$8+Inputs!$L$8*(((Inputs!$I$8+(((A212)+1)/2)*(Inputs!$J$8-Inputs!$I$8)))/Inputs!$K$8)^2),NA())</f>
        <v>577.8125</v>
      </c>
      <c r="E212" s="9">
        <f>IF(OR(Inputs!$F$9=TRUE,Inputs!$F$9="TRUE",Inputs!$F$9=1),(Inputs!$H$9+Inputs!$L$9*(((Inputs!$I$9+(((A212)+1)/2)*(Inputs!$J$9-Inputs!$I$9)))/Inputs!$K$9)^2),NA())</f>
        <v>573.4375</v>
      </c>
      <c r="F212" s="10"/>
      <c r="G212" s="9">
        <f t="shared" si="18"/>
        <v>0.75</v>
      </c>
      <c r="H212" s="9">
        <f>IF(OR(Inputs!$F$6=TRUE,Inputs!$F$6="TRUE",Inputs!$F$6=1),(((SQRT(((Inputs!$I$6+(((A212)+1)/2)*(Inputs!$J$6-Inputs!$I$6)))^2+Inputs!$C$6^2+((Inputs!$H$6+Inputs!$L$6*(((Inputs!$I$6+(((A212)+1)/2)*(Inputs!$J$6-Inputs!$I$6)))/Inputs!$K$6)^2))^2))-((Inputs!$H$6+Inputs!$L$6*(((Inputs!$I$6+(((A212)+1)/2)*(Inputs!$J$6-Inputs!$I$6)))/Inputs!$K$6)^2)))*1000/Inputs!$C$12),NA())</f>
        <v>1843.0302193297173</v>
      </c>
      <c r="I212" s="9">
        <f>IF(OR(Inputs!$F$7=TRUE,Inputs!$F$7="TRUE",Inputs!$F$7=1),(((SQRT(((Inputs!$I$7+(((A212)+1)/2)*(Inputs!$J$7-Inputs!$I$7)))^2+Inputs!$C$6^2+((Inputs!$H$7+Inputs!$L$7*(((Inputs!$I$7+(((A212)+1)/2)*(Inputs!$J$7-Inputs!$I$7)))/Inputs!$K$7)^2))^2))-((Inputs!$H$7+Inputs!$L$7*(((Inputs!$I$7+(((A212)+1)/2)*(Inputs!$J$7-Inputs!$I$7)))/Inputs!$K$7)^2)))*1000/Inputs!$C$12),NA())</f>
        <v>81394.597021001231</v>
      </c>
      <c r="J212" s="9">
        <f>IF(OR(Inputs!$F$8=TRUE,Inputs!$F$8="TRUE",Inputs!$F$8=1),(((SQRT(((Inputs!$I$8+(((A212)+1)/2)*(Inputs!$J$8-Inputs!$I$8)))^2+Inputs!$C$6^2+((Inputs!$H$8+Inputs!$L$8*(((Inputs!$I$8+(((A212)+1)/2)*(Inputs!$J$8-Inputs!$I$8)))/Inputs!$K$8)^2))^2))-((Inputs!$H$8+Inputs!$L$8*(((Inputs!$I$8+(((A212)+1)/2)*(Inputs!$J$8-Inputs!$I$8)))/Inputs!$K$8)^2)))*1000/Inputs!$C$12),NA())</f>
        <v>143567.15576745349</v>
      </c>
      <c r="K212" s="9">
        <f>IF(OR(Inputs!$F$9=TRUE,Inputs!$F$9="TRUE",Inputs!$F$9=1),(((SQRT(((Inputs!$I$9+(((A212)+1)/2)*(Inputs!$J$9-Inputs!$I$9)))^2+Inputs!$C$6^2+((Inputs!$H$9+Inputs!$L$9*(((Inputs!$I$9+(((A212)+1)/2)*(Inputs!$J$9-Inputs!$I$9)))/Inputs!$K$9)^2))^2))-((Inputs!$H$9+Inputs!$L$9*(((Inputs!$I$9+(((A212)+1)/2)*(Inputs!$J$9-Inputs!$I$9)))/Inputs!$K$9)^2)))*1000/Inputs!$C$12),NA())</f>
        <v>144324.21972439942</v>
      </c>
      <c r="L212" s="10"/>
      <c r="M212" s="9">
        <f t="shared" si="19"/>
        <v>0.75</v>
      </c>
      <c r="N212" s="9">
        <f>IF(OR(Inputs!$F$6=TRUE,Inputs!$F$6="TRUE",Inputs!$F$6=1),(-2*((1000*((((Inputs!$I$6+(((A212)+1)/2)*(Inputs!$J$6-Inputs!$I$6)))*Inputs!$C$11+((Inputs!$H$6+Inputs!$L$6*(((Inputs!$I$6+(((A212)+1)/2)*(Inputs!$J$6-Inputs!$I$6)))/Inputs!$K$6)^2))*((2*Inputs!$L$6*((Inputs!$I$6+(((A212)+1)/2)*(Inputs!$J$6-Inputs!$I$6)))/(Inputs!$K$6^2)*Inputs!$C$11)))/(SQRT(((Inputs!$I$6+(((A212)+1)/2)*(Inputs!$J$6-Inputs!$I$6)))^2+Inputs!$C$6^2+((Inputs!$H$6+Inputs!$L$6*(((Inputs!$I$6+(((A212)+1)/2)*(Inputs!$J$6-Inputs!$I$6)))/Inputs!$K$6)^2))^2)))))/Inputs!$C$13),NA())</f>
        <v>-336.25083307642097</v>
      </c>
      <c r="O212" s="9">
        <f>IF(OR(Inputs!$F$7=TRUE,Inputs!$F$7="TRUE",Inputs!$F$7=1),(-2*((1000*((((Inputs!$I$7+(((A212)+1)/2)*(Inputs!$J$7-Inputs!$I$7)))*Inputs!$C$11+((Inputs!$H$7+Inputs!$L$7*(((Inputs!$I$7+(((A212)+1)/2)*(Inputs!$J$7-Inputs!$I$7)))/Inputs!$K$7)^2))*((2*Inputs!$L$7*((Inputs!$I$7+(((A212)+1)/2)*(Inputs!$J$7-Inputs!$I$7)))/(Inputs!$K$7^2)*Inputs!$C$11)))/(SQRT(((Inputs!$I$7+(((A212)+1)/2)*(Inputs!$J$7-Inputs!$I$7)))^2+Inputs!$C$6^2+((Inputs!$H$7+Inputs!$L$7*(((Inputs!$I$7+(((A212)+1)/2)*(Inputs!$J$7-Inputs!$I$7)))/Inputs!$K$7)^2))^2)))))/Inputs!$C$13),NA())</f>
        <v>-2612.4032800055647</v>
      </c>
      <c r="P212" s="9">
        <f>IF(OR(Inputs!$F$8=TRUE,Inputs!$F$8="TRUE",Inputs!$F$8=1),(-2*((1000*((((Inputs!$I$8+(((A212)+1)/2)*(Inputs!$J$8-Inputs!$I$8)))*Inputs!$C$11+((Inputs!$H$8+Inputs!$L$8*(((Inputs!$I$8+(((A212)+1)/2)*(Inputs!$J$8-Inputs!$I$8)))/Inputs!$K$8)^2))*((2*Inputs!$L$8*((Inputs!$I$8+(((A212)+1)/2)*(Inputs!$J$8-Inputs!$I$8)))/(Inputs!$K$8^2)*Inputs!$C$11)))/(SQRT(((Inputs!$I$8+(((A212)+1)/2)*(Inputs!$J$8-Inputs!$I$8)))^2+Inputs!$C$6^2+((Inputs!$H$8+Inputs!$L$8*(((Inputs!$I$8+(((A212)+1)/2)*(Inputs!$J$8-Inputs!$I$8)))/Inputs!$K$8)^2))^2)))))/Inputs!$C$13),NA())</f>
        <v>-3159.2118068361656</v>
      </c>
      <c r="Q212" s="9">
        <f>IF(OR(Inputs!$F$9=TRUE,Inputs!$F$9="TRUE",Inputs!$F$9=1),(-2*((1000*((((Inputs!$I$9+(((A212)+1)/2)*(Inputs!$J$9-Inputs!$I$9)))*Inputs!$C$11+((Inputs!$H$9+Inputs!$L$9*(((Inputs!$I$9+(((A212)+1)/2)*(Inputs!$J$9-Inputs!$I$9)))/Inputs!$K$9)^2))*((2*Inputs!$L$9*((Inputs!$I$9+(((A212)+1)/2)*(Inputs!$J$9-Inputs!$I$9)))/(Inputs!$K$9^2)*Inputs!$C$11)))/(SQRT(((Inputs!$I$9+(((A212)+1)/2)*(Inputs!$J$9-Inputs!$I$9)))^2+Inputs!$C$6^2+((Inputs!$H$9+Inputs!$L$9*(((Inputs!$I$9+(((A212)+1)/2)*(Inputs!$J$9-Inputs!$I$9)))/Inputs!$K$9)^2))^2)))))/Inputs!$C$13),NA())</f>
        <v>-3176.1950570460153</v>
      </c>
      <c r="R212" s="10"/>
      <c r="S212" s="9">
        <f t="shared" si="20"/>
        <v>0.75</v>
      </c>
      <c r="T212" s="9">
        <f>(Inputs!$I$6+(((A212)+1)/2)*(Inputs!$J$6-Inputs!$I$6))</f>
        <v>45</v>
      </c>
      <c r="U212" s="9">
        <f>(Inputs!$I$7+(((A212)+1)/2)*(Inputs!$J$7-Inputs!$I$7))</f>
        <v>300</v>
      </c>
      <c r="V212" s="9">
        <f>(Inputs!$I$8+(((A212)+1)/2)*(Inputs!$J$8-Inputs!$I$8))</f>
        <v>600</v>
      </c>
      <c r="W212" s="9">
        <f>(Inputs!$I$9+(((A212)+1)/2)*(Inputs!$J$9-Inputs!$I$9))</f>
        <v>600</v>
      </c>
      <c r="X212" s="10"/>
      <c r="Y212" s="9">
        <f t="shared" si="21"/>
        <v>0.75</v>
      </c>
      <c r="Z212" s="9">
        <f>(Inputs!$H$6+Inputs!$L$6*(((Inputs!$I$6+(((A212)+1)/2)*(Inputs!$J$6-Inputs!$I$6)))/Inputs!$K$6)^2)</f>
        <v>402.25</v>
      </c>
      <c r="AA212" s="9">
        <f>(Inputs!$H$7+Inputs!$L$7*(((Inputs!$I$7+(((A212)+1)/2)*(Inputs!$J$7-Inputs!$I$7)))/Inputs!$K$7)^2)</f>
        <v>240.3125</v>
      </c>
      <c r="AB212" s="9">
        <f>(Inputs!$H$8+Inputs!$L$8*(((Inputs!$I$8+(((A212)+1)/2)*(Inputs!$J$8-Inputs!$I$8)))/Inputs!$K$8)^2)</f>
        <v>577.8125</v>
      </c>
      <c r="AC212" s="9">
        <f>(Inputs!$H$9+Inputs!$L$9*(((Inputs!$I$9+(((A212)+1)/2)*(Inputs!$J$9-Inputs!$I$9)))/Inputs!$K$9)^2)</f>
        <v>573.4375</v>
      </c>
      <c r="AD212" s="10"/>
      <c r="AE212" s="9">
        <f t="shared" si="22"/>
        <v>0.75</v>
      </c>
      <c r="AF212" s="9">
        <f>(((SQRT(((Inputs!$I$6+(((A212)+1)/2)*(Inputs!$J$6-Inputs!$I$6)))^2+Inputs!$C$6^2+((Inputs!$H$6+Inputs!$L$6*(((Inputs!$I$6+(((A212)+1)/2)*(Inputs!$J$6-Inputs!$I$6)))/Inputs!$K$6)^2))^2))-((Inputs!$H$6+Inputs!$L$6*(((Inputs!$I$6+(((A212)+1)/2)*(Inputs!$J$6-Inputs!$I$6)))/Inputs!$K$6)^2)))*1000/Inputs!$C$12)</f>
        <v>1843.0302193297173</v>
      </c>
      <c r="AG212" s="9">
        <f>(((SQRT(((Inputs!$I$7+(((A212)+1)/2)*(Inputs!$J$7-Inputs!$I$7)))^2+Inputs!$C$6^2+((Inputs!$H$7+Inputs!$L$7*(((Inputs!$I$7+(((A212)+1)/2)*(Inputs!$J$7-Inputs!$I$7)))/Inputs!$K$7)^2))^2))-((Inputs!$H$7+Inputs!$L$7*(((Inputs!$I$7+(((A212)+1)/2)*(Inputs!$J$7-Inputs!$I$7)))/Inputs!$K$7)^2)))*1000/Inputs!$C$12)</f>
        <v>81394.597021001231</v>
      </c>
      <c r="AH212" s="9">
        <f>(((SQRT(((Inputs!$I$8+(((A212)+1)/2)*(Inputs!$J$8-Inputs!$I$8)))^2+Inputs!$C$6^2+((Inputs!$H$8+Inputs!$L$8*(((Inputs!$I$8+(((A212)+1)/2)*(Inputs!$J$8-Inputs!$I$8)))/Inputs!$K$8)^2))^2))-((Inputs!$H$8+Inputs!$L$8*(((Inputs!$I$8+(((A212)+1)/2)*(Inputs!$J$8-Inputs!$I$8)))/Inputs!$K$8)^2)))*1000/Inputs!$C$12)</f>
        <v>143567.15576745349</v>
      </c>
      <c r="AI212" s="9">
        <f>(((SQRT(((Inputs!$I$9+(((A212)+1)/2)*(Inputs!$J$9-Inputs!$I$9)))^2+Inputs!$C$6^2+((Inputs!$H$9+Inputs!$L$9*(((Inputs!$I$9+(((A212)+1)/2)*(Inputs!$J$9-Inputs!$I$9)))/Inputs!$K$9)^2))^2))-((Inputs!$H$9+Inputs!$L$9*(((Inputs!$I$9+(((A212)+1)/2)*(Inputs!$J$9-Inputs!$I$9)))/Inputs!$K$9)^2)))*1000/Inputs!$C$12)</f>
        <v>144324.21972439942</v>
      </c>
      <c r="AJ212" s="10"/>
      <c r="AK212" s="9">
        <f t="shared" si="23"/>
        <v>0.75</v>
      </c>
      <c r="AL212" s="9">
        <f>(-2*((1000*((((Inputs!$I$6+(((A212)+1)/2)*(Inputs!$J$6-Inputs!$I$6)))*Inputs!$C$11+((Inputs!$H$6+Inputs!$L$6*(((Inputs!$I$6+(((A212)+1)/2)*(Inputs!$J$6-Inputs!$I$6)))/Inputs!$K$6)^2))*((2*Inputs!$L$6*((Inputs!$I$6+(((A212)+1)/2)*(Inputs!$J$6-Inputs!$I$6)))/(Inputs!$K$6^2)*Inputs!$C$11)))/(SQRT(((Inputs!$I$6+(((A212)+1)/2)*(Inputs!$J$6-Inputs!$I$6)))^2+Inputs!$C$6^2+((Inputs!$H$6+Inputs!$L$6*(((Inputs!$I$6+(((A212)+1)/2)*(Inputs!$J$6-Inputs!$I$6)))/Inputs!$K$6)^2))^2)))))/Inputs!$C$13)</f>
        <v>-336.25083307642097</v>
      </c>
      <c r="AM212" s="9">
        <f>(-2*((1000*((((Inputs!$I$7+(((A212)+1)/2)*(Inputs!$J$7-Inputs!$I$7)))*Inputs!$C$11+((Inputs!$H$7+Inputs!$L$7*(((Inputs!$I$7+(((A212)+1)/2)*(Inputs!$J$7-Inputs!$I$7)))/Inputs!$K$7)^2))*((2*Inputs!$L$7*((Inputs!$I$7+(((A212)+1)/2)*(Inputs!$J$7-Inputs!$I$7)))/(Inputs!$K$7^2)*Inputs!$C$11)))/(SQRT(((Inputs!$I$7+(((A212)+1)/2)*(Inputs!$J$7-Inputs!$I$7)))^2+Inputs!$C$6^2+((Inputs!$H$7+Inputs!$L$7*(((Inputs!$I$7+(((A212)+1)/2)*(Inputs!$J$7-Inputs!$I$7)))/Inputs!$K$7)^2))^2)))))/Inputs!$C$13)</f>
        <v>-2612.4032800055647</v>
      </c>
      <c r="AN212" s="9">
        <f>(-2*((1000*((((Inputs!$I$8+(((A212)+1)/2)*(Inputs!$J$8-Inputs!$I$8)))*Inputs!$C$11+((Inputs!$H$8+Inputs!$L$8*(((Inputs!$I$8+(((A212)+1)/2)*(Inputs!$J$8-Inputs!$I$8)))/Inputs!$K$8)^2))*((2*Inputs!$L$8*((Inputs!$I$8+(((A212)+1)/2)*(Inputs!$J$8-Inputs!$I$8)))/(Inputs!$K$8^2)*Inputs!$C$11)))/(SQRT(((Inputs!$I$8+(((A212)+1)/2)*(Inputs!$J$8-Inputs!$I$8)))^2+Inputs!$C$6^2+((Inputs!$H$8+Inputs!$L$8*(((Inputs!$I$8+(((A212)+1)/2)*(Inputs!$J$8-Inputs!$I$8)))/Inputs!$K$8)^2))^2)))))/Inputs!$C$13)</f>
        <v>-3159.2118068361656</v>
      </c>
      <c r="AO212" s="9">
        <f>(-2*((1000*((((Inputs!$I$9+(((A212)+1)/2)*(Inputs!$J$9-Inputs!$I$9)))*Inputs!$C$11+((Inputs!$H$9+Inputs!$L$9*(((Inputs!$I$9+(((A212)+1)/2)*(Inputs!$J$9-Inputs!$I$9)))/Inputs!$K$9)^2))*((2*Inputs!$L$9*((Inputs!$I$9+(((A212)+1)/2)*(Inputs!$J$9-Inputs!$I$9)))/(Inputs!$K$9^2)*Inputs!$C$11)))/(SQRT(((Inputs!$I$9+(((A212)+1)/2)*(Inputs!$J$9-Inputs!$I$9)))^2+Inputs!$C$6^2+((Inputs!$H$9+Inputs!$L$9*(((Inputs!$I$9+(((A212)+1)/2)*(Inputs!$J$9-Inputs!$I$9)))/Inputs!$K$9)^2))^2)))))/Inputs!$C$13)</f>
        <v>-3176.1950570460153</v>
      </c>
    </row>
    <row r="213" spans="1:41">
      <c r="A213" s="9">
        <f>ROUND(-1+211*2/240,3)</f>
        <v>0.75800000000000001</v>
      </c>
      <c r="B213" s="9">
        <f>IF(OR(Inputs!$F$6=TRUE,Inputs!$F$6="TRUE",Inputs!$F$6=1),(Inputs!$H$6+Inputs!$L$6*(((Inputs!$I$6+(((A213)+1)/2)*(Inputs!$J$6-Inputs!$I$6)))/Inputs!$K$6)^2),NA())</f>
        <v>402.29825599999998</v>
      </c>
      <c r="C213" s="9">
        <f>IF(OR(Inputs!$F$7=TRUE,Inputs!$F$7="TRUE",Inputs!$F$7=1),(Inputs!$H$7+Inputs!$L$7*(((Inputs!$I$7+(((A213)+1)/2)*(Inputs!$J$7-Inputs!$I$7)))/Inputs!$K$7)^2),NA())</f>
        <v>244.71586000000008</v>
      </c>
      <c r="D213" s="9">
        <f>IF(OR(Inputs!$F$8=TRUE,Inputs!$F$8="TRUE",Inputs!$F$8=1),(Inputs!$H$8+Inputs!$L$8*(((Inputs!$I$8+(((A213)+1)/2)*(Inputs!$J$8-Inputs!$I$8)))/Inputs!$K$8)^2),NA())</f>
        <v>589.4542600000002</v>
      </c>
      <c r="E213" s="9">
        <f>IF(OR(Inputs!$F$9=TRUE,Inputs!$F$9="TRUE",Inputs!$F$9=1),(Inputs!$H$9+Inputs!$L$9*(((Inputs!$I$9+(((A213)+1)/2)*(Inputs!$J$9-Inputs!$I$9)))/Inputs!$K$9)^2),NA())</f>
        <v>585.19990000000018</v>
      </c>
      <c r="F213" s="10"/>
      <c r="G213" s="9">
        <f t="shared" si="18"/>
        <v>0.75800000000000001</v>
      </c>
      <c r="H213" s="9">
        <f>IF(OR(Inputs!$F$6=TRUE,Inputs!$F$6="TRUE",Inputs!$F$6=1),(((SQRT(((Inputs!$I$6+(((A213)+1)/2)*(Inputs!$J$6-Inputs!$I$6)))^2+Inputs!$C$6^2+((Inputs!$H$6+Inputs!$L$6*(((Inputs!$I$6+(((A213)+1)/2)*(Inputs!$J$6-Inputs!$I$6)))/Inputs!$K$6)^2))^2))-((Inputs!$H$6+Inputs!$L$6*(((Inputs!$I$6+(((A213)+1)/2)*(Inputs!$J$6-Inputs!$I$6)))/Inputs!$K$6)^2)))*1000/Inputs!$C$12),NA())</f>
        <v>1872.8883341218011</v>
      </c>
      <c r="I213" s="9">
        <f>IF(OR(Inputs!$F$7=TRUE,Inputs!$F$7="TRUE",Inputs!$F$7=1),(((SQRT(((Inputs!$I$7+(((A213)+1)/2)*(Inputs!$J$7-Inputs!$I$7)))^2+Inputs!$C$6^2+((Inputs!$H$7+Inputs!$L$7*(((Inputs!$I$7+(((A213)+1)/2)*(Inputs!$J$7-Inputs!$I$7)))/Inputs!$K$7)^2))^2))-((Inputs!$H$7+Inputs!$L$7*(((Inputs!$I$7+(((A213)+1)/2)*(Inputs!$J$7-Inputs!$I$7)))/Inputs!$K$7)^2)))*1000/Inputs!$C$12),NA())</f>
        <v>81865.838605921104</v>
      </c>
      <c r="J213" s="9">
        <f>IF(OR(Inputs!$F$8=TRUE,Inputs!$F$8="TRUE",Inputs!$F$8=1),(((SQRT(((Inputs!$I$8+(((A213)+1)/2)*(Inputs!$J$8-Inputs!$I$8)))^2+Inputs!$C$6^2+((Inputs!$H$8+Inputs!$L$8*(((Inputs!$I$8+(((A213)+1)/2)*(Inputs!$J$8-Inputs!$I$8)))/Inputs!$K$8)^2))^2))-((Inputs!$H$8+Inputs!$L$8*(((Inputs!$I$8+(((A213)+1)/2)*(Inputs!$J$8-Inputs!$I$8)))/Inputs!$K$8)^2)))*1000/Inputs!$C$12),NA())</f>
        <v>144155.46860033617</v>
      </c>
      <c r="K213" s="9">
        <f>IF(OR(Inputs!$F$9=TRUE,Inputs!$F$9="TRUE",Inputs!$F$9=1),(((SQRT(((Inputs!$I$9+(((A213)+1)/2)*(Inputs!$J$9-Inputs!$I$9)))^2+Inputs!$C$6^2+((Inputs!$H$9+Inputs!$L$9*(((Inputs!$I$9+(((A213)+1)/2)*(Inputs!$J$9-Inputs!$I$9)))/Inputs!$K$9)^2))^2))-((Inputs!$H$9+Inputs!$L$9*(((Inputs!$I$9+(((A213)+1)/2)*(Inputs!$J$9-Inputs!$I$9)))/Inputs!$K$9)^2)))*1000/Inputs!$C$12),NA())</f>
        <v>144883.45629326784</v>
      </c>
      <c r="L213" s="10"/>
      <c r="M213" s="9">
        <f t="shared" si="19"/>
        <v>0.75800000000000001</v>
      </c>
      <c r="N213" s="9">
        <f>IF(OR(Inputs!$F$6=TRUE,Inputs!$F$6="TRUE",Inputs!$F$6=1),(-2*((1000*((((Inputs!$I$6+(((A213)+1)/2)*(Inputs!$J$6-Inputs!$I$6)))*Inputs!$C$11+((Inputs!$H$6+Inputs!$L$6*(((Inputs!$I$6+(((A213)+1)/2)*(Inputs!$J$6-Inputs!$I$6)))/Inputs!$K$6)^2))*((2*Inputs!$L$6*((Inputs!$I$6+(((A213)+1)/2)*(Inputs!$J$6-Inputs!$I$6)))/(Inputs!$K$6^2)*Inputs!$C$11)))/(SQRT(((Inputs!$I$6+(((A213)+1)/2)*(Inputs!$J$6-Inputs!$I$6)))^2+Inputs!$C$6^2+((Inputs!$H$6+Inputs!$L$6*(((Inputs!$I$6+(((A213)+1)/2)*(Inputs!$J$6-Inputs!$I$6)))/Inputs!$K$6)^2))^2)))))/Inputs!$C$13),NA())</f>
        <v>-339.77179049762293</v>
      </c>
      <c r="O213" s="9">
        <f>IF(OR(Inputs!$F$7=TRUE,Inputs!$F$7="TRUE",Inputs!$F$7=1),(-2*((1000*((((Inputs!$I$7+(((A213)+1)/2)*(Inputs!$J$7-Inputs!$I$7)))*Inputs!$C$11+((Inputs!$H$7+Inputs!$L$7*(((Inputs!$I$7+(((A213)+1)/2)*(Inputs!$J$7-Inputs!$I$7)))/Inputs!$K$7)^2))*((2*Inputs!$L$7*((Inputs!$I$7+(((A213)+1)/2)*(Inputs!$J$7-Inputs!$I$7)))/(Inputs!$K$7^2)*Inputs!$C$11)))/(SQRT(((Inputs!$I$7+(((A213)+1)/2)*(Inputs!$J$7-Inputs!$I$7)))^2+Inputs!$C$6^2+((Inputs!$H$7+Inputs!$L$7*(((Inputs!$I$7+(((A213)+1)/2)*(Inputs!$J$7-Inputs!$I$7)))/Inputs!$K$7)^2))^2)))))/Inputs!$C$13),NA())</f>
        <v>-2629.7819039981832</v>
      </c>
      <c r="P213" s="9">
        <f>IF(OR(Inputs!$F$8=TRUE,Inputs!$F$8="TRUE",Inputs!$F$8=1),(-2*((1000*((((Inputs!$I$8+(((A213)+1)/2)*(Inputs!$J$8-Inputs!$I$8)))*Inputs!$C$11+((Inputs!$H$8+Inputs!$L$8*(((Inputs!$I$8+(((A213)+1)/2)*(Inputs!$J$8-Inputs!$I$8)))/Inputs!$K$8)^2))*((2*Inputs!$L$8*((Inputs!$I$8+(((A213)+1)/2)*(Inputs!$J$8-Inputs!$I$8)))/(Inputs!$K$8^2)*Inputs!$C$11)))/(SQRT(((Inputs!$I$8+(((A213)+1)/2)*(Inputs!$J$8-Inputs!$I$8)))^2+Inputs!$C$6^2+((Inputs!$H$8+Inputs!$L$8*(((Inputs!$I$8+(((A213)+1)/2)*(Inputs!$J$8-Inputs!$I$8)))/Inputs!$K$8)^2))^2)))))/Inputs!$C$13),NA())</f>
        <v>-3185.2836874072432</v>
      </c>
      <c r="Q213" s="9">
        <f>IF(OR(Inputs!$F$9=TRUE,Inputs!$F$9="TRUE",Inputs!$F$9=1),(-2*((1000*((((Inputs!$I$9+(((A213)+1)/2)*(Inputs!$J$9-Inputs!$I$9)))*Inputs!$C$11+((Inputs!$H$9+Inputs!$L$9*(((Inputs!$I$9+(((A213)+1)/2)*(Inputs!$J$9-Inputs!$I$9)))/Inputs!$K$9)^2))*((2*Inputs!$L$9*((Inputs!$I$9+(((A213)+1)/2)*(Inputs!$J$9-Inputs!$I$9)))/(Inputs!$K$9^2)*Inputs!$C$11)))/(SQRT(((Inputs!$I$9+(((A213)+1)/2)*(Inputs!$J$9-Inputs!$I$9)))^2+Inputs!$C$6^2+((Inputs!$H$9+Inputs!$L$9*(((Inputs!$I$9+(((A213)+1)/2)*(Inputs!$J$9-Inputs!$I$9)))/Inputs!$K$9)^2))^2)))))/Inputs!$C$13),NA())</f>
        <v>-3202.7424007029217</v>
      </c>
      <c r="R213" s="10"/>
      <c r="S213" s="9">
        <f t="shared" si="20"/>
        <v>0.75800000000000001</v>
      </c>
      <c r="T213" s="9">
        <f>(Inputs!$I$6+(((A213)+1)/2)*(Inputs!$J$6-Inputs!$I$6))</f>
        <v>45.480000000000004</v>
      </c>
      <c r="U213" s="9">
        <f>(Inputs!$I$7+(((A213)+1)/2)*(Inputs!$J$7-Inputs!$I$7))</f>
        <v>303.20000000000005</v>
      </c>
      <c r="V213" s="9">
        <f>(Inputs!$I$8+(((A213)+1)/2)*(Inputs!$J$8-Inputs!$I$8))</f>
        <v>606.40000000000009</v>
      </c>
      <c r="W213" s="9">
        <f>(Inputs!$I$9+(((A213)+1)/2)*(Inputs!$J$9-Inputs!$I$9))</f>
        <v>606.40000000000009</v>
      </c>
      <c r="X213" s="10"/>
      <c r="Y213" s="9">
        <f t="shared" si="21"/>
        <v>0.75800000000000001</v>
      </c>
      <c r="Z213" s="9">
        <f>(Inputs!$H$6+Inputs!$L$6*(((Inputs!$I$6+(((A213)+1)/2)*(Inputs!$J$6-Inputs!$I$6)))/Inputs!$K$6)^2)</f>
        <v>402.29825599999998</v>
      </c>
      <c r="AA213" s="9">
        <f>(Inputs!$H$7+Inputs!$L$7*(((Inputs!$I$7+(((A213)+1)/2)*(Inputs!$J$7-Inputs!$I$7)))/Inputs!$K$7)^2)</f>
        <v>244.71586000000008</v>
      </c>
      <c r="AB213" s="9">
        <f>(Inputs!$H$8+Inputs!$L$8*(((Inputs!$I$8+(((A213)+1)/2)*(Inputs!$J$8-Inputs!$I$8)))/Inputs!$K$8)^2)</f>
        <v>589.4542600000002</v>
      </c>
      <c r="AC213" s="9">
        <f>(Inputs!$H$9+Inputs!$L$9*(((Inputs!$I$9+(((A213)+1)/2)*(Inputs!$J$9-Inputs!$I$9)))/Inputs!$K$9)^2)</f>
        <v>585.19990000000018</v>
      </c>
      <c r="AD213" s="10"/>
      <c r="AE213" s="9">
        <f t="shared" si="22"/>
        <v>0.75800000000000001</v>
      </c>
      <c r="AF213" s="9">
        <f>(((SQRT(((Inputs!$I$6+(((A213)+1)/2)*(Inputs!$J$6-Inputs!$I$6)))^2+Inputs!$C$6^2+((Inputs!$H$6+Inputs!$L$6*(((Inputs!$I$6+(((A213)+1)/2)*(Inputs!$J$6-Inputs!$I$6)))/Inputs!$K$6)^2))^2))-((Inputs!$H$6+Inputs!$L$6*(((Inputs!$I$6+(((A213)+1)/2)*(Inputs!$J$6-Inputs!$I$6)))/Inputs!$K$6)^2)))*1000/Inputs!$C$12)</f>
        <v>1872.8883341218011</v>
      </c>
      <c r="AG213" s="9">
        <f>(((SQRT(((Inputs!$I$7+(((A213)+1)/2)*(Inputs!$J$7-Inputs!$I$7)))^2+Inputs!$C$6^2+((Inputs!$H$7+Inputs!$L$7*(((Inputs!$I$7+(((A213)+1)/2)*(Inputs!$J$7-Inputs!$I$7)))/Inputs!$K$7)^2))^2))-((Inputs!$H$7+Inputs!$L$7*(((Inputs!$I$7+(((A213)+1)/2)*(Inputs!$J$7-Inputs!$I$7)))/Inputs!$K$7)^2)))*1000/Inputs!$C$12)</f>
        <v>81865.838605921104</v>
      </c>
      <c r="AH213" s="9">
        <f>(((SQRT(((Inputs!$I$8+(((A213)+1)/2)*(Inputs!$J$8-Inputs!$I$8)))^2+Inputs!$C$6^2+((Inputs!$H$8+Inputs!$L$8*(((Inputs!$I$8+(((A213)+1)/2)*(Inputs!$J$8-Inputs!$I$8)))/Inputs!$K$8)^2))^2))-((Inputs!$H$8+Inputs!$L$8*(((Inputs!$I$8+(((A213)+1)/2)*(Inputs!$J$8-Inputs!$I$8)))/Inputs!$K$8)^2)))*1000/Inputs!$C$12)</f>
        <v>144155.46860033617</v>
      </c>
      <c r="AI213" s="9">
        <f>(((SQRT(((Inputs!$I$9+(((A213)+1)/2)*(Inputs!$J$9-Inputs!$I$9)))^2+Inputs!$C$6^2+((Inputs!$H$9+Inputs!$L$9*(((Inputs!$I$9+(((A213)+1)/2)*(Inputs!$J$9-Inputs!$I$9)))/Inputs!$K$9)^2))^2))-((Inputs!$H$9+Inputs!$L$9*(((Inputs!$I$9+(((A213)+1)/2)*(Inputs!$J$9-Inputs!$I$9)))/Inputs!$K$9)^2)))*1000/Inputs!$C$12)</f>
        <v>144883.45629326784</v>
      </c>
      <c r="AJ213" s="10"/>
      <c r="AK213" s="9">
        <f t="shared" si="23"/>
        <v>0.75800000000000001</v>
      </c>
      <c r="AL213" s="9">
        <f>(-2*((1000*((((Inputs!$I$6+(((A213)+1)/2)*(Inputs!$J$6-Inputs!$I$6)))*Inputs!$C$11+((Inputs!$H$6+Inputs!$L$6*(((Inputs!$I$6+(((A213)+1)/2)*(Inputs!$J$6-Inputs!$I$6)))/Inputs!$K$6)^2))*((2*Inputs!$L$6*((Inputs!$I$6+(((A213)+1)/2)*(Inputs!$J$6-Inputs!$I$6)))/(Inputs!$K$6^2)*Inputs!$C$11)))/(SQRT(((Inputs!$I$6+(((A213)+1)/2)*(Inputs!$J$6-Inputs!$I$6)))^2+Inputs!$C$6^2+((Inputs!$H$6+Inputs!$L$6*(((Inputs!$I$6+(((A213)+1)/2)*(Inputs!$J$6-Inputs!$I$6)))/Inputs!$K$6)^2))^2)))))/Inputs!$C$13)</f>
        <v>-339.77179049762293</v>
      </c>
      <c r="AM213" s="9">
        <f>(-2*((1000*((((Inputs!$I$7+(((A213)+1)/2)*(Inputs!$J$7-Inputs!$I$7)))*Inputs!$C$11+((Inputs!$H$7+Inputs!$L$7*(((Inputs!$I$7+(((A213)+1)/2)*(Inputs!$J$7-Inputs!$I$7)))/Inputs!$K$7)^2))*((2*Inputs!$L$7*((Inputs!$I$7+(((A213)+1)/2)*(Inputs!$J$7-Inputs!$I$7)))/(Inputs!$K$7^2)*Inputs!$C$11)))/(SQRT(((Inputs!$I$7+(((A213)+1)/2)*(Inputs!$J$7-Inputs!$I$7)))^2+Inputs!$C$6^2+((Inputs!$H$7+Inputs!$L$7*(((Inputs!$I$7+(((A213)+1)/2)*(Inputs!$J$7-Inputs!$I$7)))/Inputs!$K$7)^2))^2)))))/Inputs!$C$13)</f>
        <v>-2629.7819039981832</v>
      </c>
      <c r="AN213" s="9">
        <f>(-2*((1000*((((Inputs!$I$8+(((A213)+1)/2)*(Inputs!$J$8-Inputs!$I$8)))*Inputs!$C$11+((Inputs!$H$8+Inputs!$L$8*(((Inputs!$I$8+(((A213)+1)/2)*(Inputs!$J$8-Inputs!$I$8)))/Inputs!$K$8)^2))*((2*Inputs!$L$8*((Inputs!$I$8+(((A213)+1)/2)*(Inputs!$J$8-Inputs!$I$8)))/(Inputs!$K$8^2)*Inputs!$C$11)))/(SQRT(((Inputs!$I$8+(((A213)+1)/2)*(Inputs!$J$8-Inputs!$I$8)))^2+Inputs!$C$6^2+((Inputs!$H$8+Inputs!$L$8*(((Inputs!$I$8+(((A213)+1)/2)*(Inputs!$J$8-Inputs!$I$8)))/Inputs!$K$8)^2))^2)))))/Inputs!$C$13)</f>
        <v>-3185.2836874072432</v>
      </c>
      <c r="AO213" s="9">
        <f>(-2*((1000*((((Inputs!$I$9+(((A213)+1)/2)*(Inputs!$J$9-Inputs!$I$9)))*Inputs!$C$11+((Inputs!$H$9+Inputs!$L$9*(((Inputs!$I$9+(((A213)+1)/2)*(Inputs!$J$9-Inputs!$I$9)))/Inputs!$K$9)^2))*((2*Inputs!$L$9*((Inputs!$I$9+(((A213)+1)/2)*(Inputs!$J$9-Inputs!$I$9)))/(Inputs!$K$9^2)*Inputs!$C$11)))/(SQRT(((Inputs!$I$9+(((A213)+1)/2)*(Inputs!$J$9-Inputs!$I$9)))^2+Inputs!$C$6^2+((Inputs!$H$9+Inputs!$L$9*(((Inputs!$I$9+(((A213)+1)/2)*(Inputs!$J$9-Inputs!$I$9)))/Inputs!$K$9)^2))^2)))))/Inputs!$C$13)</f>
        <v>-3202.7424007029217</v>
      </c>
    </row>
    <row r="214" spans="1:41">
      <c r="A214" s="9">
        <f>ROUND(-1+212*2/240,3)</f>
        <v>0.76700000000000002</v>
      </c>
      <c r="B214" s="9">
        <f>IF(OR(Inputs!$F$6=TRUE,Inputs!$F$6="TRUE",Inputs!$F$6=1),(Inputs!$H$6+Inputs!$L$6*(((Inputs!$I$6+(((A214)+1)/2)*(Inputs!$J$6-Inputs!$I$6)))/Inputs!$K$6)^2),NA())</f>
        <v>402.35315600000001</v>
      </c>
      <c r="C214" s="9">
        <f>IF(OR(Inputs!$F$7=TRUE,Inputs!$F$7="TRUE",Inputs!$F$7=1),(Inputs!$H$7+Inputs!$L$7*(((Inputs!$I$7+(((A214)+1)/2)*(Inputs!$J$7-Inputs!$I$7)))/Inputs!$K$7)^2),NA())</f>
        <v>249.72548499999994</v>
      </c>
      <c r="D214" s="9">
        <f>IF(OR(Inputs!$F$8=TRUE,Inputs!$F$8="TRUE",Inputs!$F$8=1),(Inputs!$H$8+Inputs!$L$8*(((Inputs!$I$8+(((A214)+1)/2)*(Inputs!$J$8-Inputs!$I$8)))/Inputs!$K$8)^2),NA())</f>
        <v>602.69888499999979</v>
      </c>
      <c r="E214" s="9">
        <f>IF(OR(Inputs!$F$9=TRUE,Inputs!$F$9="TRUE",Inputs!$F$9=1),(Inputs!$H$9+Inputs!$L$9*(((Inputs!$I$9+(((A214)+1)/2)*(Inputs!$J$9-Inputs!$I$9)))/Inputs!$K$9)^2),NA())</f>
        <v>598.58177499999988</v>
      </c>
      <c r="F214" s="10"/>
      <c r="G214" s="9">
        <f t="shared" si="18"/>
        <v>0.76700000000000002</v>
      </c>
      <c r="H214" s="9">
        <f>IF(OR(Inputs!$F$6=TRUE,Inputs!$F$6="TRUE",Inputs!$F$6=1),(((SQRT(((Inputs!$I$6+(((A214)+1)/2)*(Inputs!$J$6-Inputs!$I$6)))^2+Inputs!$C$6^2+((Inputs!$H$6+Inputs!$L$6*(((Inputs!$I$6+(((A214)+1)/2)*(Inputs!$J$6-Inputs!$I$6)))/Inputs!$K$6)^2))^2))-((Inputs!$H$6+Inputs!$L$6*(((Inputs!$I$6+(((A214)+1)/2)*(Inputs!$J$6-Inputs!$I$6)))/Inputs!$K$6)^2)))*1000/Inputs!$C$12),NA())</f>
        <v>1906.8439926586877</v>
      </c>
      <c r="I214" s="9">
        <f>IF(OR(Inputs!$F$7=TRUE,Inputs!$F$7="TRUE",Inputs!$F$7=1),(((SQRT(((Inputs!$I$7+(((A214)+1)/2)*(Inputs!$J$7-Inputs!$I$7)))^2+Inputs!$C$6^2+((Inputs!$H$7+Inputs!$L$7*(((Inputs!$I$7+(((A214)+1)/2)*(Inputs!$J$7-Inputs!$I$7)))/Inputs!$K$7)^2))^2))-((Inputs!$H$7+Inputs!$L$7*(((Inputs!$I$7+(((A214)+1)/2)*(Inputs!$J$7-Inputs!$I$7)))/Inputs!$K$7)^2)))*1000/Inputs!$C$12),NA())</f>
        <v>82388.017991982473</v>
      </c>
      <c r="J214" s="9">
        <f>IF(OR(Inputs!$F$8=TRUE,Inputs!$F$8="TRUE",Inputs!$F$8=1),(((SQRT(((Inputs!$I$8+(((A214)+1)/2)*(Inputs!$J$8-Inputs!$I$8)))^2+Inputs!$C$6^2+((Inputs!$H$8+Inputs!$L$8*(((Inputs!$I$8+(((A214)+1)/2)*(Inputs!$J$8-Inputs!$I$8)))/Inputs!$K$8)^2))^2))-((Inputs!$H$8+Inputs!$L$8*(((Inputs!$I$8+(((A214)+1)/2)*(Inputs!$J$8-Inputs!$I$8)))/Inputs!$K$8)^2)))*1000/Inputs!$C$12),NA())</f>
        <v>144804.55330166384</v>
      </c>
      <c r="K214" s="9">
        <f>IF(OR(Inputs!$F$9=TRUE,Inputs!$F$9="TRUE",Inputs!$F$9=1),(((SQRT(((Inputs!$I$9+(((A214)+1)/2)*(Inputs!$J$9-Inputs!$I$9)))^2+Inputs!$C$6^2+((Inputs!$H$9+Inputs!$L$9*(((Inputs!$I$9+(((A214)+1)/2)*(Inputs!$J$9-Inputs!$I$9)))/Inputs!$K$9)^2))^2))-((Inputs!$H$9+Inputs!$L$9*(((Inputs!$I$9+(((A214)+1)/2)*(Inputs!$J$9-Inputs!$I$9)))/Inputs!$K$9)^2)))*1000/Inputs!$C$12),NA())</f>
        <v>145500.24634663132</v>
      </c>
      <c r="L214" s="10"/>
      <c r="M214" s="9">
        <f t="shared" si="19"/>
        <v>0.76700000000000002</v>
      </c>
      <c r="N214" s="9">
        <f>IF(OR(Inputs!$F$6=TRUE,Inputs!$F$6="TRUE",Inputs!$F$6=1),(-2*((1000*((((Inputs!$I$6+(((A214)+1)/2)*(Inputs!$J$6-Inputs!$I$6)))*Inputs!$C$11+((Inputs!$H$6+Inputs!$L$6*(((Inputs!$I$6+(((A214)+1)/2)*(Inputs!$J$6-Inputs!$I$6)))/Inputs!$K$6)^2))*((2*Inputs!$L$6*((Inputs!$I$6+(((A214)+1)/2)*(Inputs!$J$6-Inputs!$I$6)))/(Inputs!$K$6^2)*Inputs!$C$11)))/(SQRT(((Inputs!$I$6+(((A214)+1)/2)*(Inputs!$J$6-Inputs!$I$6)))^2+Inputs!$C$6^2+((Inputs!$H$6+Inputs!$L$6*(((Inputs!$I$6+(((A214)+1)/2)*(Inputs!$J$6-Inputs!$I$6)))/Inputs!$K$6)^2))^2)))))/Inputs!$C$13),NA())</f>
        <v>-343.73042672578492</v>
      </c>
      <c r="O214" s="9">
        <f>IF(OR(Inputs!$F$7=TRUE,Inputs!$F$7="TRUE",Inputs!$F$7=1),(-2*((1000*((((Inputs!$I$7+(((A214)+1)/2)*(Inputs!$J$7-Inputs!$I$7)))*Inputs!$C$11+((Inputs!$H$7+Inputs!$L$7*(((Inputs!$I$7+(((A214)+1)/2)*(Inputs!$J$7-Inputs!$I$7)))/Inputs!$K$7)^2))*((2*Inputs!$L$7*((Inputs!$I$7+(((A214)+1)/2)*(Inputs!$J$7-Inputs!$I$7)))/(Inputs!$K$7^2)*Inputs!$C$11)))/(SQRT(((Inputs!$I$7+(((A214)+1)/2)*(Inputs!$J$7-Inputs!$I$7)))^2+Inputs!$C$6^2+((Inputs!$H$7+Inputs!$L$7*(((Inputs!$I$7+(((A214)+1)/2)*(Inputs!$J$7-Inputs!$I$7)))/Inputs!$K$7)^2))^2)))))/Inputs!$C$13),NA())</f>
        <v>-2649.4408571533554</v>
      </c>
      <c r="P214" s="9">
        <f>IF(OR(Inputs!$F$8=TRUE,Inputs!$F$8="TRUE",Inputs!$F$8=1),(-2*((1000*((((Inputs!$I$8+(((A214)+1)/2)*(Inputs!$J$8-Inputs!$I$8)))*Inputs!$C$11+((Inputs!$H$8+Inputs!$L$8*(((Inputs!$I$8+(((A214)+1)/2)*(Inputs!$J$8-Inputs!$I$8)))/Inputs!$K$8)^2))*((2*Inputs!$L$8*((Inputs!$I$8+(((A214)+1)/2)*(Inputs!$J$8-Inputs!$I$8)))/(Inputs!$K$8^2)*Inputs!$C$11)))/(SQRT(((Inputs!$I$8+(((A214)+1)/2)*(Inputs!$J$8-Inputs!$I$8)))^2+Inputs!$C$6^2+((Inputs!$H$8+Inputs!$L$8*(((Inputs!$I$8+(((A214)+1)/2)*(Inputs!$J$8-Inputs!$I$8)))/Inputs!$K$8)^2))^2)))))/Inputs!$C$13),NA())</f>
        <v>-3214.7355345645374</v>
      </c>
      <c r="Q214" s="9">
        <f>IF(OR(Inputs!$F$9=TRUE,Inputs!$F$9="TRUE",Inputs!$F$9=1),(-2*((1000*((((Inputs!$I$9+(((A214)+1)/2)*(Inputs!$J$9-Inputs!$I$9)))*Inputs!$C$11+((Inputs!$H$9+Inputs!$L$9*(((Inputs!$I$9+(((A214)+1)/2)*(Inputs!$J$9-Inputs!$I$9)))/Inputs!$K$9)^2))*((2*Inputs!$L$9*((Inputs!$I$9+(((A214)+1)/2)*(Inputs!$J$9-Inputs!$I$9)))/(Inputs!$K$9^2)*Inputs!$C$11)))/(SQRT(((Inputs!$I$9+(((A214)+1)/2)*(Inputs!$J$9-Inputs!$I$9)))^2+Inputs!$C$6^2+((Inputs!$H$9+Inputs!$L$9*(((Inputs!$I$9+(((A214)+1)/2)*(Inputs!$J$9-Inputs!$I$9)))/Inputs!$K$9)^2))^2)))))/Inputs!$C$13),NA())</f>
        <v>-3232.7279498161888</v>
      </c>
      <c r="R214" s="10"/>
      <c r="S214" s="9">
        <f t="shared" si="20"/>
        <v>0.76700000000000002</v>
      </c>
      <c r="T214" s="9">
        <f>(Inputs!$I$6+(((A214)+1)/2)*(Inputs!$J$6-Inputs!$I$6))</f>
        <v>46.019999999999996</v>
      </c>
      <c r="U214" s="9">
        <f>(Inputs!$I$7+(((A214)+1)/2)*(Inputs!$J$7-Inputs!$I$7))</f>
        <v>306.79999999999995</v>
      </c>
      <c r="V214" s="9">
        <f>(Inputs!$I$8+(((A214)+1)/2)*(Inputs!$J$8-Inputs!$I$8))</f>
        <v>613.59999999999991</v>
      </c>
      <c r="W214" s="9">
        <f>(Inputs!$I$9+(((A214)+1)/2)*(Inputs!$J$9-Inputs!$I$9))</f>
        <v>613.59999999999991</v>
      </c>
      <c r="X214" s="10"/>
      <c r="Y214" s="9">
        <f t="shared" si="21"/>
        <v>0.76700000000000002</v>
      </c>
      <c r="Z214" s="9">
        <f>(Inputs!$H$6+Inputs!$L$6*(((Inputs!$I$6+(((A214)+1)/2)*(Inputs!$J$6-Inputs!$I$6)))/Inputs!$K$6)^2)</f>
        <v>402.35315600000001</v>
      </c>
      <c r="AA214" s="9">
        <f>(Inputs!$H$7+Inputs!$L$7*(((Inputs!$I$7+(((A214)+1)/2)*(Inputs!$J$7-Inputs!$I$7)))/Inputs!$K$7)^2)</f>
        <v>249.72548499999994</v>
      </c>
      <c r="AB214" s="9">
        <f>(Inputs!$H$8+Inputs!$L$8*(((Inputs!$I$8+(((A214)+1)/2)*(Inputs!$J$8-Inputs!$I$8)))/Inputs!$K$8)^2)</f>
        <v>602.69888499999979</v>
      </c>
      <c r="AC214" s="9">
        <f>(Inputs!$H$9+Inputs!$L$9*(((Inputs!$I$9+(((A214)+1)/2)*(Inputs!$J$9-Inputs!$I$9)))/Inputs!$K$9)^2)</f>
        <v>598.58177499999988</v>
      </c>
      <c r="AD214" s="10"/>
      <c r="AE214" s="9">
        <f t="shared" si="22"/>
        <v>0.76700000000000002</v>
      </c>
      <c r="AF214" s="9">
        <f>(((SQRT(((Inputs!$I$6+(((A214)+1)/2)*(Inputs!$J$6-Inputs!$I$6)))^2+Inputs!$C$6^2+((Inputs!$H$6+Inputs!$L$6*(((Inputs!$I$6+(((A214)+1)/2)*(Inputs!$J$6-Inputs!$I$6)))/Inputs!$K$6)^2))^2))-((Inputs!$H$6+Inputs!$L$6*(((Inputs!$I$6+(((A214)+1)/2)*(Inputs!$J$6-Inputs!$I$6)))/Inputs!$K$6)^2)))*1000/Inputs!$C$12)</f>
        <v>1906.8439926586877</v>
      </c>
      <c r="AG214" s="9">
        <f>(((SQRT(((Inputs!$I$7+(((A214)+1)/2)*(Inputs!$J$7-Inputs!$I$7)))^2+Inputs!$C$6^2+((Inputs!$H$7+Inputs!$L$7*(((Inputs!$I$7+(((A214)+1)/2)*(Inputs!$J$7-Inputs!$I$7)))/Inputs!$K$7)^2))^2))-((Inputs!$H$7+Inputs!$L$7*(((Inputs!$I$7+(((A214)+1)/2)*(Inputs!$J$7-Inputs!$I$7)))/Inputs!$K$7)^2)))*1000/Inputs!$C$12)</f>
        <v>82388.017991982473</v>
      </c>
      <c r="AH214" s="9">
        <f>(((SQRT(((Inputs!$I$8+(((A214)+1)/2)*(Inputs!$J$8-Inputs!$I$8)))^2+Inputs!$C$6^2+((Inputs!$H$8+Inputs!$L$8*(((Inputs!$I$8+(((A214)+1)/2)*(Inputs!$J$8-Inputs!$I$8)))/Inputs!$K$8)^2))^2))-((Inputs!$H$8+Inputs!$L$8*(((Inputs!$I$8+(((A214)+1)/2)*(Inputs!$J$8-Inputs!$I$8)))/Inputs!$K$8)^2)))*1000/Inputs!$C$12)</f>
        <v>144804.55330166384</v>
      </c>
      <c r="AI214" s="9">
        <f>(((SQRT(((Inputs!$I$9+(((A214)+1)/2)*(Inputs!$J$9-Inputs!$I$9)))^2+Inputs!$C$6^2+((Inputs!$H$9+Inputs!$L$9*(((Inputs!$I$9+(((A214)+1)/2)*(Inputs!$J$9-Inputs!$I$9)))/Inputs!$K$9)^2))^2))-((Inputs!$H$9+Inputs!$L$9*(((Inputs!$I$9+(((A214)+1)/2)*(Inputs!$J$9-Inputs!$I$9)))/Inputs!$K$9)^2)))*1000/Inputs!$C$12)</f>
        <v>145500.24634663132</v>
      </c>
      <c r="AJ214" s="10"/>
      <c r="AK214" s="9">
        <f t="shared" si="23"/>
        <v>0.76700000000000002</v>
      </c>
      <c r="AL214" s="9">
        <f>(-2*((1000*((((Inputs!$I$6+(((A214)+1)/2)*(Inputs!$J$6-Inputs!$I$6)))*Inputs!$C$11+((Inputs!$H$6+Inputs!$L$6*(((Inputs!$I$6+(((A214)+1)/2)*(Inputs!$J$6-Inputs!$I$6)))/Inputs!$K$6)^2))*((2*Inputs!$L$6*((Inputs!$I$6+(((A214)+1)/2)*(Inputs!$J$6-Inputs!$I$6)))/(Inputs!$K$6^2)*Inputs!$C$11)))/(SQRT(((Inputs!$I$6+(((A214)+1)/2)*(Inputs!$J$6-Inputs!$I$6)))^2+Inputs!$C$6^2+((Inputs!$H$6+Inputs!$L$6*(((Inputs!$I$6+(((A214)+1)/2)*(Inputs!$J$6-Inputs!$I$6)))/Inputs!$K$6)^2))^2)))))/Inputs!$C$13)</f>
        <v>-343.73042672578492</v>
      </c>
      <c r="AM214" s="9">
        <f>(-2*((1000*((((Inputs!$I$7+(((A214)+1)/2)*(Inputs!$J$7-Inputs!$I$7)))*Inputs!$C$11+((Inputs!$H$7+Inputs!$L$7*(((Inputs!$I$7+(((A214)+1)/2)*(Inputs!$J$7-Inputs!$I$7)))/Inputs!$K$7)^2))*((2*Inputs!$L$7*((Inputs!$I$7+(((A214)+1)/2)*(Inputs!$J$7-Inputs!$I$7)))/(Inputs!$K$7^2)*Inputs!$C$11)))/(SQRT(((Inputs!$I$7+(((A214)+1)/2)*(Inputs!$J$7-Inputs!$I$7)))^2+Inputs!$C$6^2+((Inputs!$H$7+Inputs!$L$7*(((Inputs!$I$7+(((A214)+1)/2)*(Inputs!$J$7-Inputs!$I$7)))/Inputs!$K$7)^2))^2)))))/Inputs!$C$13)</f>
        <v>-2649.4408571533554</v>
      </c>
      <c r="AN214" s="9">
        <f>(-2*((1000*((((Inputs!$I$8+(((A214)+1)/2)*(Inputs!$J$8-Inputs!$I$8)))*Inputs!$C$11+((Inputs!$H$8+Inputs!$L$8*(((Inputs!$I$8+(((A214)+1)/2)*(Inputs!$J$8-Inputs!$I$8)))/Inputs!$K$8)^2))*((2*Inputs!$L$8*((Inputs!$I$8+(((A214)+1)/2)*(Inputs!$J$8-Inputs!$I$8)))/(Inputs!$K$8^2)*Inputs!$C$11)))/(SQRT(((Inputs!$I$8+(((A214)+1)/2)*(Inputs!$J$8-Inputs!$I$8)))^2+Inputs!$C$6^2+((Inputs!$H$8+Inputs!$L$8*(((Inputs!$I$8+(((A214)+1)/2)*(Inputs!$J$8-Inputs!$I$8)))/Inputs!$K$8)^2))^2)))))/Inputs!$C$13)</f>
        <v>-3214.7355345645374</v>
      </c>
      <c r="AO214" s="9">
        <f>(-2*((1000*((((Inputs!$I$9+(((A214)+1)/2)*(Inputs!$J$9-Inputs!$I$9)))*Inputs!$C$11+((Inputs!$H$9+Inputs!$L$9*(((Inputs!$I$9+(((A214)+1)/2)*(Inputs!$J$9-Inputs!$I$9)))/Inputs!$K$9)^2))*((2*Inputs!$L$9*((Inputs!$I$9+(((A214)+1)/2)*(Inputs!$J$9-Inputs!$I$9)))/(Inputs!$K$9^2)*Inputs!$C$11)))/(SQRT(((Inputs!$I$9+(((A214)+1)/2)*(Inputs!$J$9-Inputs!$I$9)))^2+Inputs!$C$6^2+((Inputs!$H$9+Inputs!$L$9*(((Inputs!$I$9+(((A214)+1)/2)*(Inputs!$J$9-Inputs!$I$9)))/Inputs!$K$9)^2))^2)))))/Inputs!$C$13)</f>
        <v>-3232.7279498161888</v>
      </c>
    </row>
    <row r="215" spans="1:41">
      <c r="A215" s="9">
        <f>ROUND(-1+213*2/240,3)</f>
        <v>0.77500000000000002</v>
      </c>
      <c r="B215" s="9">
        <f>IF(OR(Inputs!$F$6=TRUE,Inputs!$F$6="TRUE",Inputs!$F$6=1),(Inputs!$H$6+Inputs!$L$6*(((Inputs!$I$6+(((A215)+1)/2)*(Inputs!$J$6-Inputs!$I$6)))/Inputs!$K$6)^2),NA())</f>
        <v>402.40249999999997</v>
      </c>
      <c r="C215" s="9">
        <f>IF(OR(Inputs!$F$7=TRUE,Inputs!$F$7="TRUE",Inputs!$F$7=1),(Inputs!$H$7+Inputs!$L$7*(((Inputs!$I$7+(((A215)+1)/2)*(Inputs!$J$7-Inputs!$I$7)))/Inputs!$K$7)^2),NA())</f>
        <v>254.22812500000003</v>
      </c>
      <c r="D215" s="9">
        <f>IF(OR(Inputs!$F$8=TRUE,Inputs!$F$8="TRUE",Inputs!$F$8=1),(Inputs!$H$8+Inputs!$L$8*(((Inputs!$I$8+(((A215)+1)/2)*(Inputs!$J$8-Inputs!$I$8)))/Inputs!$K$8)^2),NA())</f>
        <v>614.60312500000009</v>
      </c>
      <c r="E215" s="9">
        <f>IF(OR(Inputs!$F$9=TRUE,Inputs!$F$9="TRUE",Inputs!$F$9=1),(Inputs!$H$9+Inputs!$L$9*(((Inputs!$I$9+(((A215)+1)/2)*(Inputs!$J$9-Inputs!$I$9)))/Inputs!$K$9)^2),NA())</f>
        <v>610.60937500000011</v>
      </c>
      <c r="F215" s="10"/>
      <c r="G215" s="9">
        <f t="shared" si="18"/>
        <v>0.77500000000000002</v>
      </c>
      <c r="H215" s="9">
        <f>IF(OR(Inputs!$F$6=TRUE,Inputs!$F$6="TRUE",Inputs!$F$6=1),(((SQRT(((Inputs!$I$6+(((A215)+1)/2)*(Inputs!$J$6-Inputs!$I$6)))^2+Inputs!$C$6^2+((Inputs!$H$6+Inputs!$L$6*(((Inputs!$I$6+(((A215)+1)/2)*(Inputs!$J$6-Inputs!$I$6)))/Inputs!$K$6)^2))^2))-((Inputs!$H$6+Inputs!$L$6*(((Inputs!$I$6+(((A215)+1)/2)*(Inputs!$J$6-Inputs!$I$6)))/Inputs!$K$6)^2)))*1000/Inputs!$C$12),NA())</f>
        <v>1937.3511102927434</v>
      </c>
      <c r="I215" s="9">
        <f>IF(OR(Inputs!$F$7=TRUE,Inputs!$F$7="TRUE",Inputs!$F$7=1),(((SQRT(((Inputs!$I$7+(((A215)+1)/2)*(Inputs!$J$7-Inputs!$I$7)))^2+Inputs!$C$6^2+((Inputs!$H$7+Inputs!$L$7*(((Inputs!$I$7+(((A215)+1)/2)*(Inputs!$J$7-Inputs!$I$7)))/Inputs!$K$7)^2))^2))-((Inputs!$H$7+Inputs!$L$7*(((Inputs!$I$7+(((A215)+1)/2)*(Inputs!$J$7-Inputs!$I$7)))/Inputs!$K$7)^2)))*1000/Inputs!$C$12),NA())</f>
        <v>82845.206930347253</v>
      </c>
      <c r="J215" s="9">
        <f>IF(OR(Inputs!$F$8=TRUE,Inputs!$F$8="TRUE",Inputs!$F$8=1),(((SQRT(((Inputs!$I$8+(((A215)+1)/2)*(Inputs!$J$8-Inputs!$I$8)))^2+Inputs!$C$6^2+((Inputs!$H$8+Inputs!$L$8*(((Inputs!$I$8+(((A215)+1)/2)*(Inputs!$J$8-Inputs!$I$8)))/Inputs!$K$8)^2))^2))-((Inputs!$H$8+Inputs!$L$8*(((Inputs!$I$8+(((A215)+1)/2)*(Inputs!$J$8-Inputs!$I$8)))/Inputs!$K$8)^2)))*1000/Inputs!$C$12),NA())</f>
        <v>145370.41765653883</v>
      </c>
      <c r="K215" s="9">
        <f>IF(OR(Inputs!$F$9=TRUE,Inputs!$F$9="TRUE",Inputs!$F$9=1),(((SQRT(((Inputs!$I$9+(((A215)+1)/2)*(Inputs!$J$9-Inputs!$I$9)))^2+Inputs!$C$6^2+((Inputs!$H$9+Inputs!$L$9*(((Inputs!$I$9+(((A215)+1)/2)*(Inputs!$J$9-Inputs!$I$9)))/Inputs!$K$9)^2))^2))-((Inputs!$H$9+Inputs!$L$9*(((Inputs!$I$9+(((A215)+1)/2)*(Inputs!$J$9-Inputs!$I$9)))/Inputs!$K$9)^2)))*1000/Inputs!$C$12),NA())</f>
        <v>146037.77170499746</v>
      </c>
      <c r="L215" s="10"/>
      <c r="M215" s="9">
        <f t="shared" si="19"/>
        <v>0.77500000000000002</v>
      </c>
      <c r="N215" s="9">
        <f>IF(OR(Inputs!$F$6=TRUE,Inputs!$F$6="TRUE",Inputs!$F$6=1),(-2*((1000*((((Inputs!$I$6+(((A215)+1)/2)*(Inputs!$J$6-Inputs!$I$6)))*Inputs!$C$11+((Inputs!$H$6+Inputs!$L$6*(((Inputs!$I$6+(((A215)+1)/2)*(Inputs!$J$6-Inputs!$I$6)))/Inputs!$K$6)^2))*((2*Inputs!$L$6*((Inputs!$I$6+(((A215)+1)/2)*(Inputs!$J$6-Inputs!$I$6)))/(Inputs!$K$6^2)*Inputs!$C$11)))/(SQRT(((Inputs!$I$6+(((A215)+1)/2)*(Inputs!$J$6-Inputs!$I$6)))^2+Inputs!$C$6^2+((Inputs!$H$6+Inputs!$L$6*(((Inputs!$I$6+(((A215)+1)/2)*(Inputs!$J$6-Inputs!$I$6)))/Inputs!$K$6)^2))^2)))))/Inputs!$C$13),NA())</f>
        <v>-347.24702386736624</v>
      </c>
      <c r="O215" s="9">
        <f>IF(OR(Inputs!$F$7=TRUE,Inputs!$F$7="TRUE",Inputs!$F$7=1),(-2*((1000*((((Inputs!$I$7+(((A215)+1)/2)*(Inputs!$J$7-Inputs!$I$7)))*Inputs!$C$11+((Inputs!$H$7+Inputs!$L$7*(((Inputs!$I$7+(((A215)+1)/2)*(Inputs!$J$7-Inputs!$I$7)))/Inputs!$K$7)^2))*((2*Inputs!$L$7*((Inputs!$I$7+(((A215)+1)/2)*(Inputs!$J$7-Inputs!$I$7)))/(Inputs!$K$7^2)*Inputs!$C$11)))/(SQRT(((Inputs!$I$7+(((A215)+1)/2)*(Inputs!$J$7-Inputs!$I$7)))^2+Inputs!$C$6^2+((Inputs!$H$7+Inputs!$L$7*(((Inputs!$I$7+(((A215)+1)/2)*(Inputs!$J$7-Inputs!$I$7)))/Inputs!$K$7)^2))^2)))))/Inputs!$C$13),NA())</f>
        <v>-2667.010207924935</v>
      </c>
      <c r="P215" s="9">
        <f>IF(OR(Inputs!$F$8=TRUE,Inputs!$F$8="TRUE",Inputs!$F$8=1),(-2*((1000*((((Inputs!$I$8+(((A215)+1)/2)*(Inputs!$J$8-Inputs!$I$8)))*Inputs!$C$11+((Inputs!$H$8+Inputs!$L$8*(((Inputs!$I$8+(((A215)+1)/2)*(Inputs!$J$8-Inputs!$I$8)))/Inputs!$K$8)^2))*((2*Inputs!$L$8*((Inputs!$I$8+(((A215)+1)/2)*(Inputs!$J$8-Inputs!$I$8)))/(Inputs!$K$8^2)*Inputs!$C$11)))/(SQRT(((Inputs!$I$8+(((A215)+1)/2)*(Inputs!$J$8-Inputs!$I$8)))^2+Inputs!$C$6^2+((Inputs!$H$8+Inputs!$L$8*(((Inputs!$I$8+(((A215)+1)/2)*(Inputs!$J$8-Inputs!$I$8)))/Inputs!$K$8)^2))^2)))))/Inputs!$C$13),NA())</f>
        <v>-3241.0200240574936</v>
      </c>
      <c r="Q215" s="9">
        <f>IF(OR(Inputs!$F$9=TRUE,Inputs!$F$9="TRUE",Inputs!$F$9=1),(-2*((1000*((((Inputs!$I$9+(((A215)+1)/2)*(Inputs!$J$9-Inputs!$I$9)))*Inputs!$C$11+((Inputs!$H$9+Inputs!$L$9*(((Inputs!$I$9+(((A215)+1)/2)*(Inputs!$J$9-Inputs!$I$9)))/Inputs!$K$9)^2))*((2*Inputs!$L$9*((Inputs!$I$9+(((A215)+1)/2)*(Inputs!$J$9-Inputs!$I$9)))/(Inputs!$K$9^2)*Inputs!$C$11)))/(SQRT(((Inputs!$I$9+(((A215)+1)/2)*(Inputs!$J$9-Inputs!$I$9)))^2+Inputs!$C$6^2+((Inputs!$H$9+Inputs!$L$9*(((Inputs!$I$9+(((A215)+1)/2)*(Inputs!$J$9-Inputs!$I$9)))/Inputs!$K$9)^2))^2)))))/Inputs!$C$13),NA())</f>
        <v>-3259.4857218843458</v>
      </c>
      <c r="R215" s="10"/>
      <c r="S215" s="9">
        <f t="shared" si="20"/>
        <v>0.77500000000000002</v>
      </c>
      <c r="T215" s="9">
        <f>(Inputs!$I$6+(((A215)+1)/2)*(Inputs!$J$6-Inputs!$I$6))</f>
        <v>46.5</v>
      </c>
      <c r="U215" s="9">
        <f>(Inputs!$I$7+(((A215)+1)/2)*(Inputs!$J$7-Inputs!$I$7))</f>
        <v>310</v>
      </c>
      <c r="V215" s="9">
        <f>(Inputs!$I$8+(((A215)+1)/2)*(Inputs!$J$8-Inputs!$I$8))</f>
        <v>620</v>
      </c>
      <c r="W215" s="9">
        <f>(Inputs!$I$9+(((A215)+1)/2)*(Inputs!$J$9-Inputs!$I$9))</f>
        <v>620</v>
      </c>
      <c r="X215" s="10"/>
      <c r="Y215" s="9">
        <f t="shared" si="21"/>
        <v>0.77500000000000002</v>
      </c>
      <c r="Z215" s="9">
        <f>(Inputs!$H$6+Inputs!$L$6*(((Inputs!$I$6+(((A215)+1)/2)*(Inputs!$J$6-Inputs!$I$6)))/Inputs!$K$6)^2)</f>
        <v>402.40249999999997</v>
      </c>
      <c r="AA215" s="9">
        <f>(Inputs!$H$7+Inputs!$L$7*(((Inputs!$I$7+(((A215)+1)/2)*(Inputs!$J$7-Inputs!$I$7)))/Inputs!$K$7)^2)</f>
        <v>254.22812500000003</v>
      </c>
      <c r="AB215" s="9">
        <f>(Inputs!$H$8+Inputs!$L$8*(((Inputs!$I$8+(((A215)+1)/2)*(Inputs!$J$8-Inputs!$I$8)))/Inputs!$K$8)^2)</f>
        <v>614.60312500000009</v>
      </c>
      <c r="AC215" s="9">
        <f>(Inputs!$H$9+Inputs!$L$9*(((Inputs!$I$9+(((A215)+1)/2)*(Inputs!$J$9-Inputs!$I$9)))/Inputs!$K$9)^2)</f>
        <v>610.60937500000011</v>
      </c>
      <c r="AD215" s="10"/>
      <c r="AE215" s="9">
        <f t="shared" si="22"/>
        <v>0.77500000000000002</v>
      </c>
      <c r="AF215" s="9">
        <f>(((SQRT(((Inputs!$I$6+(((A215)+1)/2)*(Inputs!$J$6-Inputs!$I$6)))^2+Inputs!$C$6^2+((Inputs!$H$6+Inputs!$L$6*(((Inputs!$I$6+(((A215)+1)/2)*(Inputs!$J$6-Inputs!$I$6)))/Inputs!$K$6)^2))^2))-((Inputs!$H$6+Inputs!$L$6*(((Inputs!$I$6+(((A215)+1)/2)*(Inputs!$J$6-Inputs!$I$6)))/Inputs!$K$6)^2)))*1000/Inputs!$C$12)</f>
        <v>1937.3511102927434</v>
      </c>
      <c r="AG215" s="9">
        <f>(((SQRT(((Inputs!$I$7+(((A215)+1)/2)*(Inputs!$J$7-Inputs!$I$7)))^2+Inputs!$C$6^2+((Inputs!$H$7+Inputs!$L$7*(((Inputs!$I$7+(((A215)+1)/2)*(Inputs!$J$7-Inputs!$I$7)))/Inputs!$K$7)^2))^2))-((Inputs!$H$7+Inputs!$L$7*(((Inputs!$I$7+(((A215)+1)/2)*(Inputs!$J$7-Inputs!$I$7)))/Inputs!$K$7)^2)))*1000/Inputs!$C$12)</f>
        <v>82845.206930347253</v>
      </c>
      <c r="AH215" s="9">
        <f>(((SQRT(((Inputs!$I$8+(((A215)+1)/2)*(Inputs!$J$8-Inputs!$I$8)))^2+Inputs!$C$6^2+((Inputs!$H$8+Inputs!$L$8*(((Inputs!$I$8+(((A215)+1)/2)*(Inputs!$J$8-Inputs!$I$8)))/Inputs!$K$8)^2))^2))-((Inputs!$H$8+Inputs!$L$8*(((Inputs!$I$8+(((A215)+1)/2)*(Inputs!$J$8-Inputs!$I$8)))/Inputs!$K$8)^2)))*1000/Inputs!$C$12)</f>
        <v>145370.41765653883</v>
      </c>
      <c r="AI215" s="9">
        <f>(((SQRT(((Inputs!$I$9+(((A215)+1)/2)*(Inputs!$J$9-Inputs!$I$9)))^2+Inputs!$C$6^2+((Inputs!$H$9+Inputs!$L$9*(((Inputs!$I$9+(((A215)+1)/2)*(Inputs!$J$9-Inputs!$I$9)))/Inputs!$K$9)^2))^2))-((Inputs!$H$9+Inputs!$L$9*(((Inputs!$I$9+(((A215)+1)/2)*(Inputs!$J$9-Inputs!$I$9)))/Inputs!$K$9)^2)))*1000/Inputs!$C$12)</f>
        <v>146037.77170499746</v>
      </c>
      <c r="AJ215" s="10"/>
      <c r="AK215" s="9">
        <f t="shared" si="23"/>
        <v>0.77500000000000002</v>
      </c>
      <c r="AL215" s="9">
        <f>(-2*((1000*((((Inputs!$I$6+(((A215)+1)/2)*(Inputs!$J$6-Inputs!$I$6)))*Inputs!$C$11+((Inputs!$H$6+Inputs!$L$6*(((Inputs!$I$6+(((A215)+1)/2)*(Inputs!$J$6-Inputs!$I$6)))/Inputs!$K$6)^2))*((2*Inputs!$L$6*((Inputs!$I$6+(((A215)+1)/2)*(Inputs!$J$6-Inputs!$I$6)))/(Inputs!$K$6^2)*Inputs!$C$11)))/(SQRT(((Inputs!$I$6+(((A215)+1)/2)*(Inputs!$J$6-Inputs!$I$6)))^2+Inputs!$C$6^2+((Inputs!$H$6+Inputs!$L$6*(((Inputs!$I$6+(((A215)+1)/2)*(Inputs!$J$6-Inputs!$I$6)))/Inputs!$K$6)^2))^2)))))/Inputs!$C$13)</f>
        <v>-347.24702386736624</v>
      </c>
      <c r="AM215" s="9">
        <f>(-2*((1000*((((Inputs!$I$7+(((A215)+1)/2)*(Inputs!$J$7-Inputs!$I$7)))*Inputs!$C$11+((Inputs!$H$7+Inputs!$L$7*(((Inputs!$I$7+(((A215)+1)/2)*(Inputs!$J$7-Inputs!$I$7)))/Inputs!$K$7)^2))*((2*Inputs!$L$7*((Inputs!$I$7+(((A215)+1)/2)*(Inputs!$J$7-Inputs!$I$7)))/(Inputs!$K$7^2)*Inputs!$C$11)))/(SQRT(((Inputs!$I$7+(((A215)+1)/2)*(Inputs!$J$7-Inputs!$I$7)))^2+Inputs!$C$6^2+((Inputs!$H$7+Inputs!$L$7*(((Inputs!$I$7+(((A215)+1)/2)*(Inputs!$J$7-Inputs!$I$7)))/Inputs!$K$7)^2))^2)))))/Inputs!$C$13)</f>
        <v>-2667.010207924935</v>
      </c>
      <c r="AN215" s="9">
        <f>(-2*((1000*((((Inputs!$I$8+(((A215)+1)/2)*(Inputs!$J$8-Inputs!$I$8)))*Inputs!$C$11+((Inputs!$H$8+Inputs!$L$8*(((Inputs!$I$8+(((A215)+1)/2)*(Inputs!$J$8-Inputs!$I$8)))/Inputs!$K$8)^2))*((2*Inputs!$L$8*((Inputs!$I$8+(((A215)+1)/2)*(Inputs!$J$8-Inputs!$I$8)))/(Inputs!$K$8^2)*Inputs!$C$11)))/(SQRT(((Inputs!$I$8+(((A215)+1)/2)*(Inputs!$J$8-Inputs!$I$8)))^2+Inputs!$C$6^2+((Inputs!$H$8+Inputs!$L$8*(((Inputs!$I$8+(((A215)+1)/2)*(Inputs!$J$8-Inputs!$I$8)))/Inputs!$K$8)^2))^2)))))/Inputs!$C$13)</f>
        <v>-3241.0200240574936</v>
      </c>
      <c r="AO215" s="9">
        <f>(-2*((1000*((((Inputs!$I$9+(((A215)+1)/2)*(Inputs!$J$9-Inputs!$I$9)))*Inputs!$C$11+((Inputs!$H$9+Inputs!$L$9*(((Inputs!$I$9+(((A215)+1)/2)*(Inputs!$J$9-Inputs!$I$9)))/Inputs!$K$9)^2))*((2*Inputs!$L$9*((Inputs!$I$9+(((A215)+1)/2)*(Inputs!$J$9-Inputs!$I$9)))/(Inputs!$K$9^2)*Inputs!$C$11)))/(SQRT(((Inputs!$I$9+(((A215)+1)/2)*(Inputs!$J$9-Inputs!$I$9)))^2+Inputs!$C$6^2+((Inputs!$H$9+Inputs!$L$9*(((Inputs!$I$9+(((A215)+1)/2)*(Inputs!$J$9-Inputs!$I$9)))/Inputs!$K$9)^2))^2)))))/Inputs!$C$13)</f>
        <v>-3259.4857218843458</v>
      </c>
    </row>
    <row r="216" spans="1:41">
      <c r="A216" s="9">
        <f>ROUND(-1+214*2/240,3)</f>
        <v>0.78300000000000003</v>
      </c>
      <c r="B216" s="9">
        <f>IF(OR(Inputs!$F$6=TRUE,Inputs!$F$6="TRUE",Inputs!$F$6=1),(Inputs!$H$6+Inputs!$L$6*(((Inputs!$I$6+(((A216)+1)/2)*(Inputs!$J$6-Inputs!$I$6)))/Inputs!$K$6)^2),NA())</f>
        <v>402.45235600000001</v>
      </c>
      <c r="C216" s="9">
        <f>IF(OR(Inputs!$F$7=TRUE,Inputs!$F$7="TRUE",Inputs!$F$7=1),(Inputs!$H$7+Inputs!$L$7*(((Inputs!$I$7+(((A216)+1)/2)*(Inputs!$J$7-Inputs!$I$7)))/Inputs!$K$7)^2),NA())</f>
        <v>258.77748499999984</v>
      </c>
      <c r="D216" s="9">
        <f>IF(OR(Inputs!$F$8=TRUE,Inputs!$F$8="TRUE",Inputs!$F$8=1),(Inputs!$H$8+Inputs!$L$8*(((Inputs!$I$8+(((A216)+1)/2)*(Inputs!$J$8-Inputs!$I$8)))/Inputs!$K$8)^2),NA())</f>
        <v>626.63088499999969</v>
      </c>
      <c r="E216" s="9">
        <f>IF(OR(Inputs!$F$9=TRUE,Inputs!$F$9="TRUE",Inputs!$F$9=1),(Inputs!$H$9+Inputs!$L$9*(((Inputs!$I$9+(((A216)+1)/2)*(Inputs!$J$9-Inputs!$I$9)))/Inputs!$K$9)^2),NA())</f>
        <v>622.76177499999972</v>
      </c>
      <c r="F216" s="10"/>
      <c r="G216" s="9">
        <f t="shared" si="18"/>
        <v>0.78300000000000003</v>
      </c>
      <c r="H216" s="9">
        <f>IF(OR(Inputs!$F$6=TRUE,Inputs!$F$6="TRUE",Inputs!$F$6=1),(((SQRT(((Inputs!$I$6+(((A216)+1)/2)*(Inputs!$J$6-Inputs!$I$6)))^2+Inputs!$C$6^2+((Inputs!$H$6+Inputs!$L$6*(((Inputs!$I$6+(((A216)+1)/2)*(Inputs!$J$6-Inputs!$I$6)))/Inputs!$K$6)^2))^2))-((Inputs!$H$6+Inputs!$L$6*(((Inputs!$I$6+(((A216)+1)/2)*(Inputs!$J$6-Inputs!$I$6)))/Inputs!$K$6)^2)))*1000/Inputs!$C$12),NA())</f>
        <v>1968.1630972545884</v>
      </c>
      <c r="I216" s="9">
        <f>IF(OR(Inputs!$F$7=TRUE,Inputs!$F$7="TRUE",Inputs!$F$7=1),(((SQRT(((Inputs!$I$7+(((A216)+1)/2)*(Inputs!$J$7-Inputs!$I$7)))^2+Inputs!$C$6^2+((Inputs!$H$7+Inputs!$L$7*(((Inputs!$I$7+(((A216)+1)/2)*(Inputs!$J$7-Inputs!$I$7)))/Inputs!$K$7)^2))^2))-((Inputs!$H$7+Inputs!$L$7*(((Inputs!$I$7+(((A216)+1)/2)*(Inputs!$J$7-Inputs!$I$7)))/Inputs!$K$7)^2)))*1000/Inputs!$C$12),NA())</f>
        <v>83295.939040311539</v>
      </c>
      <c r="J216" s="9">
        <f>IF(OR(Inputs!$F$8=TRUE,Inputs!$F$8="TRUE",Inputs!$F$8=1),(((SQRT(((Inputs!$I$8+(((A216)+1)/2)*(Inputs!$J$8-Inputs!$I$8)))^2+Inputs!$C$6^2+((Inputs!$H$8+Inputs!$L$8*(((Inputs!$I$8+(((A216)+1)/2)*(Inputs!$J$8-Inputs!$I$8)))/Inputs!$K$8)^2))^2))-((Inputs!$H$8+Inputs!$L$8*(((Inputs!$I$8+(((A216)+1)/2)*(Inputs!$J$8-Inputs!$I$8)))/Inputs!$K$8)^2)))*1000/Inputs!$C$12),NA())</f>
        <v>145926.06398008059</v>
      </c>
      <c r="K216" s="9">
        <f>IF(OR(Inputs!$F$9=TRUE,Inputs!$F$9="TRUE",Inputs!$F$9=1),(((SQRT(((Inputs!$I$9+(((A216)+1)/2)*(Inputs!$J$9-Inputs!$I$9)))^2+Inputs!$C$6^2+((Inputs!$H$9+Inputs!$L$9*(((Inputs!$I$9+(((A216)+1)/2)*(Inputs!$J$9-Inputs!$I$9)))/Inputs!$K$9)^2))^2))-((Inputs!$H$9+Inputs!$L$9*(((Inputs!$I$9+(((A216)+1)/2)*(Inputs!$J$9-Inputs!$I$9)))/Inputs!$K$9)^2)))*1000/Inputs!$C$12),NA())</f>
        <v>146565.42225603634</v>
      </c>
      <c r="L216" s="10"/>
      <c r="M216" s="9">
        <f t="shared" si="19"/>
        <v>0.78300000000000003</v>
      </c>
      <c r="N216" s="9">
        <f>IF(OR(Inputs!$F$6=TRUE,Inputs!$F$6="TRUE",Inputs!$F$6=1),(-2*((1000*((((Inputs!$I$6+(((A216)+1)/2)*(Inputs!$J$6-Inputs!$I$6)))*Inputs!$C$11+((Inputs!$H$6+Inputs!$L$6*(((Inputs!$I$6+(((A216)+1)/2)*(Inputs!$J$6-Inputs!$I$6)))/Inputs!$K$6)^2))*((2*Inputs!$L$6*((Inputs!$I$6+(((A216)+1)/2)*(Inputs!$J$6-Inputs!$I$6)))/(Inputs!$K$6^2)*Inputs!$C$11)))/(SQRT(((Inputs!$I$6+(((A216)+1)/2)*(Inputs!$J$6-Inputs!$I$6)))^2+Inputs!$C$6^2+((Inputs!$H$6+Inputs!$L$6*(((Inputs!$I$6+(((A216)+1)/2)*(Inputs!$J$6-Inputs!$I$6)))/Inputs!$K$6)^2))^2)))))/Inputs!$C$13),NA())</f>
        <v>-350.76153961398614</v>
      </c>
      <c r="O216" s="9">
        <f>IF(OR(Inputs!$F$7=TRUE,Inputs!$F$7="TRUE",Inputs!$F$7=1),(-2*((1000*((((Inputs!$I$7+(((A216)+1)/2)*(Inputs!$J$7-Inputs!$I$7)))*Inputs!$C$11+((Inputs!$H$7+Inputs!$L$7*(((Inputs!$I$7+(((A216)+1)/2)*(Inputs!$J$7-Inputs!$I$7)))/Inputs!$K$7)^2))*((2*Inputs!$L$7*((Inputs!$I$7+(((A216)+1)/2)*(Inputs!$J$7-Inputs!$I$7)))/(Inputs!$K$7^2)*Inputs!$C$11)))/(SQRT(((Inputs!$I$7+(((A216)+1)/2)*(Inputs!$J$7-Inputs!$I$7)))^2+Inputs!$C$6^2+((Inputs!$H$7+Inputs!$L$7*(((Inputs!$I$7+(((A216)+1)/2)*(Inputs!$J$7-Inputs!$I$7)))/Inputs!$K$7)^2))^2)))))/Inputs!$C$13),NA())</f>
        <v>-2684.667510169711</v>
      </c>
      <c r="P216" s="9">
        <f>IF(OR(Inputs!$F$8=TRUE,Inputs!$F$8="TRUE",Inputs!$F$8=1),(-2*((1000*((((Inputs!$I$8+(((A216)+1)/2)*(Inputs!$J$8-Inputs!$I$8)))*Inputs!$C$11+((Inputs!$H$8+Inputs!$L$8*(((Inputs!$I$8+(((A216)+1)/2)*(Inputs!$J$8-Inputs!$I$8)))/Inputs!$K$8)^2))*((2*Inputs!$L$8*((Inputs!$I$8+(((A216)+1)/2)*(Inputs!$J$8-Inputs!$I$8)))/(Inputs!$K$8^2)*Inputs!$C$11)))/(SQRT(((Inputs!$I$8+(((A216)+1)/2)*(Inputs!$J$8-Inputs!$I$8)))^2+Inputs!$C$6^2+((Inputs!$H$8+Inputs!$L$8*(((Inputs!$I$8+(((A216)+1)/2)*(Inputs!$J$8-Inputs!$I$8)))/Inputs!$K$8)^2))^2)))))/Inputs!$C$13),NA())</f>
        <v>-3267.4011263563643</v>
      </c>
      <c r="Q216" s="9">
        <f>IF(OR(Inputs!$F$9=TRUE,Inputs!$F$9="TRUE",Inputs!$F$9=1),(-2*((1000*((((Inputs!$I$9+(((A216)+1)/2)*(Inputs!$J$9-Inputs!$I$9)))*Inputs!$C$11+((Inputs!$H$9+Inputs!$L$9*(((Inputs!$I$9+(((A216)+1)/2)*(Inputs!$J$9-Inputs!$I$9)))/Inputs!$K$9)^2))*((2*Inputs!$L$9*((Inputs!$I$9+(((A216)+1)/2)*(Inputs!$J$9-Inputs!$I$9)))/(Inputs!$K$9^2)*Inputs!$C$11)))/(SQRT(((Inputs!$I$9+(((A216)+1)/2)*(Inputs!$J$9-Inputs!$I$9)))^2+Inputs!$C$6^2+((Inputs!$H$9+Inputs!$L$9*(((Inputs!$I$9+(((A216)+1)/2)*(Inputs!$J$9-Inputs!$I$9)))/Inputs!$K$9)^2))^2)))))/Inputs!$C$13),NA())</f>
        <v>-3286.339003292419</v>
      </c>
      <c r="R216" s="10"/>
      <c r="S216" s="9">
        <f t="shared" si="20"/>
        <v>0.78300000000000003</v>
      </c>
      <c r="T216" s="9">
        <f>(Inputs!$I$6+(((A216)+1)/2)*(Inputs!$J$6-Inputs!$I$6))</f>
        <v>46.97999999999999</v>
      </c>
      <c r="U216" s="9">
        <f>(Inputs!$I$7+(((A216)+1)/2)*(Inputs!$J$7-Inputs!$I$7))</f>
        <v>313.19999999999993</v>
      </c>
      <c r="V216" s="9">
        <f>(Inputs!$I$8+(((A216)+1)/2)*(Inputs!$J$8-Inputs!$I$8))</f>
        <v>626.39999999999986</v>
      </c>
      <c r="W216" s="9">
        <f>(Inputs!$I$9+(((A216)+1)/2)*(Inputs!$J$9-Inputs!$I$9))</f>
        <v>626.39999999999986</v>
      </c>
      <c r="X216" s="10"/>
      <c r="Y216" s="9">
        <f t="shared" si="21"/>
        <v>0.78300000000000003</v>
      </c>
      <c r="Z216" s="9">
        <f>(Inputs!$H$6+Inputs!$L$6*(((Inputs!$I$6+(((A216)+1)/2)*(Inputs!$J$6-Inputs!$I$6)))/Inputs!$K$6)^2)</f>
        <v>402.45235600000001</v>
      </c>
      <c r="AA216" s="9">
        <f>(Inputs!$H$7+Inputs!$L$7*(((Inputs!$I$7+(((A216)+1)/2)*(Inputs!$J$7-Inputs!$I$7)))/Inputs!$K$7)^2)</f>
        <v>258.77748499999984</v>
      </c>
      <c r="AB216" s="9">
        <f>(Inputs!$H$8+Inputs!$L$8*(((Inputs!$I$8+(((A216)+1)/2)*(Inputs!$J$8-Inputs!$I$8)))/Inputs!$K$8)^2)</f>
        <v>626.63088499999969</v>
      </c>
      <c r="AC216" s="9">
        <f>(Inputs!$H$9+Inputs!$L$9*(((Inputs!$I$9+(((A216)+1)/2)*(Inputs!$J$9-Inputs!$I$9)))/Inputs!$K$9)^2)</f>
        <v>622.76177499999972</v>
      </c>
      <c r="AD216" s="10"/>
      <c r="AE216" s="9">
        <f t="shared" si="22"/>
        <v>0.78300000000000003</v>
      </c>
      <c r="AF216" s="9">
        <f>(((SQRT(((Inputs!$I$6+(((A216)+1)/2)*(Inputs!$J$6-Inputs!$I$6)))^2+Inputs!$C$6^2+((Inputs!$H$6+Inputs!$L$6*(((Inputs!$I$6+(((A216)+1)/2)*(Inputs!$J$6-Inputs!$I$6)))/Inputs!$K$6)^2))^2))-((Inputs!$H$6+Inputs!$L$6*(((Inputs!$I$6+(((A216)+1)/2)*(Inputs!$J$6-Inputs!$I$6)))/Inputs!$K$6)^2)))*1000/Inputs!$C$12)</f>
        <v>1968.1630972545884</v>
      </c>
      <c r="AG216" s="9">
        <f>(((SQRT(((Inputs!$I$7+(((A216)+1)/2)*(Inputs!$J$7-Inputs!$I$7)))^2+Inputs!$C$6^2+((Inputs!$H$7+Inputs!$L$7*(((Inputs!$I$7+(((A216)+1)/2)*(Inputs!$J$7-Inputs!$I$7)))/Inputs!$K$7)^2))^2))-((Inputs!$H$7+Inputs!$L$7*(((Inputs!$I$7+(((A216)+1)/2)*(Inputs!$J$7-Inputs!$I$7)))/Inputs!$K$7)^2)))*1000/Inputs!$C$12)</f>
        <v>83295.939040311539</v>
      </c>
      <c r="AH216" s="9">
        <f>(((SQRT(((Inputs!$I$8+(((A216)+1)/2)*(Inputs!$J$8-Inputs!$I$8)))^2+Inputs!$C$6^2+((Inputs!$H$8+Inputs!$L$8*(((Inputs!$I$8+(((A216)+1)/2)*(Inputs!$J$8-Inputs!$I$8)))/Inputs!$K$8)^2))^2))-((Inputs!$H$8+Inputs!$L$8*(((Inputs!$I$8+(((A216)+1)/2)*(Inputs!$J$8-Inputs!$I$8)))/Inputs!$K$8)^2)))*1000/Inputs!$C$12)</f>
        <v>145926.06398008059</v>
      </c>
      <c r="AI216" s="9">
        <f>(((SQRT(((Inputs!$I$9+(((A216)+1)/2)*(Inputs!$J$9-Inputs!$I$9)))^2+Inputs!$C$6^2+((Inputs!$H$9+Inputs!$L$9*(((Inputs!$I$9+(((A216)+1)/2)*(Inputs!$J$9-Inputs!$I$9)))/Inputs!$K$9)^2))^2))-((Inputs!$H$9+Inputs!$L$9*(((Inputs!$I$9+(((A216)+1)/2)*(Inputs!$J$9-Inputs!$I$9)))/Inputs!$K$9)^2)))*1000/Inputs!$C$12)</f>
        <v>146565.42225603634</v>
      </c>
      <c r="AJ216" s="10"/>
      <c r="AK216" s="9">
        <f t="shared" si="23"/>
        <v>0.78300000000000003</v>
      </c>
      <c r="AL216" s="9">
        <f>(-2*((1000*((((Inputs!$I$6+(((A216)+1)/2)*(Inputs!$J$6-Inputs!$I$6)))*Inputs!$C$11+((Inputs!$H$6+Inputs!$L$6*(((Inputs!$I$6+(((A216)+1)/2)*(Inputs!$J$6-Inputs!$I$6)))/Inputs!$K$6)^2))*((2*Inputs!$L$6*((Inputs!$I$6+(((A216)+1)/2)*(Inputs!$J$6-Inputs!$I$6)))/(Inputs!$K$6^2)*Inputs!$C$11)))/(SQRT(((Inputs!$I$6+(((A216)+1)/2)*(Inputs!$J$6-Inputs!$I$6)))^2+Inputs!$C$6^2+((Inputs!$H$6+Inputs!$L$6*(((Inputs!$I$6+(((A216)+1)/2)*(Inputs!$J$6-Inputs!$I$6)))/Inputs!$K$6)^2))^2)))))/Inputs!$C$13)</f>
        <v>-350.76153961398614</v>
      </c>
      <c r="AM216" s="9">
        <f>(-2*((1000*((((Inputs!$I$7+(((A216)+1)/2)*(Inputs!$J$7-Inputs!$I$7)))*Inputs!$C$11+((Inputs!$H$7+Inputs!$L$7*(((Inputs!$I$7+(((A216)+1)/2)*(Inputs!$J$7-Inputs!$I$7)))/Inputs!$K$7)^2))*((2*Inputs!$L$7*((Inputs!$I$7+(((A216)+1)/2)*(Inputs!$J$7-Inputs!$I$7)))/(Inputs!$K$7^2)*Inputs!$C$11)))/(SQRT(((Inputs!$I$7+(((A216)+1)/2)*(Inputs!$J$7-Inputs!$I$7)))^2+Inputs!$C$6^2+((Inputs!$H$7+Inputs!$L$7*(((Inputs!$I$7+(((A216)+1)/2)*(Inputs!$J$7-Inputs!$I$7)))/Inputs!$K$7)^2))^2)))))/Inputs!$C$13)</f>
        <v>-2684.667510169711</v>
      </c>
      <c r="AN216" s="9">
        <f>(-2*((1000*((((Inputs!$I$8+(((A216)+1)/2)*(Inputs!$J$8-Inputs!$I$8)))*Inputs!$C$11+((Inputs!$H$8+Inputs!$L$8*(((Inputs!$I$8+(((A216)+1)/2)*(Inputs!$J$8-Inputs!$I$8)))/Inputs!$K$8)^2))*((2*Inputs!$L$8*((Inputs!$I$8+(((A216)+1)/2)*(Inputs!$J$8-Inputs!$I$8)))/(Inputs!$K$8^2)*Inputs!$C$11)))/(SQRT(((Inputs!$I$8+(((A216)+1)/2)*(Inputs!$J$8-Inputs!$I$8)))^2+Inputs!$C$6^2+((Inputs!$H$8+Inputs!$L$8*(((Inputs!$I$8+(((A216)+1)/2)*(Inputs!$J$8-Inputs!$I$8)))/Inputs!$K$8)^2))^2)))))/Inputs!$C$13)</f>
        <v>-3267.4011263563643</v>
      </c>
      <c r="AO216" s="9">
        <f>(-2*((1000*((((Inputs!$I$9+(((A216)+1)/2)*(Inputs!$J$9-Inputs!$I$9)))*Inputs!$C$11+((Inputs!$H$9+Inputs!$L$9*(((Inputs!$I$9+(((A216)+1)/2)*(Inputs!$J$9-Inputs!$I$9)))/Inputs!$K$9)^2))*((2*Inputs!$L$9*((Inputs!$I$9+(((A216)+1)/2)*(Inputs!$J$9-Inputs!$I$9)))/(Inputs!$K$9^2)*Inputs!$C$11)))/(SQRT(((Inputs!$I$9+(((A216)+1)/2)*(Inputs!$J$9-Inputs!$I$9)))^2+Inputs!$C$6^2+((Inputs!$H$9+Inputs!$L$9*(((Inputs!$I$9+(((A216)+1)/2)*(Inputs!$J$9-Inputs!$I$9)))/Inputs!$K$9)^2))^2)))))/Inputs!$C$13)</f>
        <v>-3286.339003292419</v>
      </c>
    </row>
    <row r="217" spans="1:41">
      <c r="A217" s="9">
        <f>ROUND(-1+215*2/240,3)</f>
        <v>0.79200000000000004</v>
      </c>
      <c r="B217" s="9">
        <f>IF(OR(Inputs!$F$6=TRUE,Inputs!$F$6="TRUE",Inputs!$F$6=1),(Inputs!$H$6+Inputs!$L$6*(((Inputs!$I$6+(((A217)+1)/2)*(Inputs!$J$6-Inputs!$I$6)))/Inputs!$K$6)^2),NA())</f>
        <v>402.50905599999999</v>
      </c>
      <c r="C217" s="9">
        <f>IF(OR(Inputs!$F$7=TRUE,Inputs!$F$7="TRUE",Inputs!$F$7=1),(Inputs!$H$7+Inputs!$L$7*(((Inputs!$I$7+(((A217)+1)/2)*(Inputs!$J$7-Inputs!$I$7)))/Inputs!$K$7)^2),NA())</f>
        <v>263.95136000000014</v>
      </c>
      <c r="D217" s="9">
        <f>IF(OR(Inputs!$F$8=TRUE,Inputs!$F$8="TRUE",Inputs!$F$8=1),(Inputs!$H$8+Inputs!$L$8*(((Inputs!$I$8+(((A217)+1)/2)*(Inputs!$J$8-Inputs!$I$8)))/Inputs!$K$8)^2),NA())</f>
        <v>640.30976000000021</v>
      </c>
      <c r="E217" s="9">
        <f>IF(OR(Inputs!$F$9=TRUE,Inputs!$F$9="TRUE",Inputs!$F$9=1),(Inputs!$H$9+Inputs!$L$9*(((Inputs!$I$9+(((A217)+1)/2)*(Inputs!$J$9-Inputs!$I$9)))/Inputs!$K$9)^2),NA())</f>
        <v>636.58240000000023</v>
      </c>
      <c r="F217" s="10"/>
      <c r="G217" s="9">
        <f t="shared" si="18"/>
        <v>0.79200000000000004</v>
      </c>
      <c r="H217" s="9">
        <f>IF(OR(Inputs!$F$6=TRUE,Inputs!$F$6="TRUE",Inputs!$F$6=1),(((SQRT(((Inputs!$I$6+(((A217)+1)/2)*(Inputs!$J$6-Inputs!$I$6)))^2+Inputs!$C$6^2+((Inputs!$H$6+Inputs!$L$6*(((Inputs!$I$6+(((A217)+1)/2)*(Inputs!$J$6-Inputs!$I$6)))/Inputs!$K$6)^2))^2))-((Inputs!$H$6+Inputs!$L$6*(((Inputs!$I$6+(((A217)+1)/2)*(Inputs!$J$6-Inputs!$I$6)))/Inputs!$K$6)^2)))*1000/Inputs!$C$12),NA())</f>
        <v>2003.1905578278656</v>
      </c>
      <c r="I217" s="9">
        <f>IF(OR(Inputs!$F$7=TRUE,Inputs!$F$7="TRUE",Inputs!$F$7=1),(((SQRT(((Inputs!$I$7+(((A217)+1)/2)*(Inputs!$J$7-Inputs!$I$7)))^2+Inputs!$C$6^2+((Inputs!$H$7+Inputs!$L$7*(((Inputs!$I$7+(((A217)+1)/2)*(Inputs!$J$7-Inputs!$I$7)))/Inputs!$K$7)^2))^2))-((Inputs!$H$7+Inputs!$L$7*(((Inputs!$I$7+(((A217)+1)/2)*(Inputs!$J$7-Inputs!$I$7)))/Inputs!$K$7)^2)))*1000/Inputs!$C$12),NA())</f>
        <v>83795.416923004086</v>
      </c>
      <c r="J217" s="9">
        <f>IF(OR(Inputs!$F$8=TRUE,Inputs!$F$8="TRUE",Inputs!$F$8=1),(((SQRT(((Inputs!$I$8+(((A217)+1)/2)*(Inputs!$J$8-Inputs!$I$8)))^2+Inputs!$C$6^2+((Inputs!$H$8+Inputs!$L$8*(((Inputs!$I$8+(((A217)+1)/2)*(Inputs!$J$8-Inputs!$I$8)))/Inputs!$K$8)^2))^2))-((Inputs!$H$8+Inputs!$L$8*(((Inputs!$I$8+(((A217)+1)/2)*(Inputs!$J$8-Inputs!$I$8)))/Inputs!$K$8)^2)))*1000/Inputs!$C$12),NA())</f>
        <v>146539.21948766877</v>
      </c>
      <c r="K217" s="9">
        <f>IF(OR(Inputs!$F$9=TRUE,Inputs!$F$9="TRUE",Inputs!$F$9=1),(((SQRT(((Inputs!$I$9+(((A217)+1)/2)*(Inputs!$J$9-Inputs!$I$9)))^2+Inputs!$C$6^2+((Inputs!$H$9+Inputs!$L$9*(((Inputs!$I$9+(((A217)+1)/2)*(Inputs!$J$9-Inputs!$I$9)))/Inputs!$K$9)^2))^2))-((Inputs!$H$9+Inputs!$L$9*(((Inputs!$I$9+(((A217)+1)/2)*(Inputs!$J$9-Inputs!$I$9)))/Inputs!$K$9)^2)))*1000/Inputs!$C$12),NA())</f>
        <v>147147.48962548067</v>
      </c>
      <c r="L217" s="10"/>
      <c r="M217" s="9">
        <f t="shared" si="19"/>
        <v>0.79200000000000004</v>
      </c>
      <c r="N217" s="9">
        <f>IF(OR(Inputs!$F$6=TRUE,Inputs!$F$6="TRUE",Inputs!$F$6=1),(-2*((1000*((((Inputs!$I$6+(((A217)+1)/2)*(Inputs!$J$6-Inputs!$I$6)))*Inputs!$C$11+((Inputs!$H$6+Inputs!$L$6*(((Inputs!$I$6+(((A217)+1)/2)*(Inputs!$J$6-Inputs!$I$6)))/Inputs!$K$6)^2))*((2*Inputs!$L$6*((Inputs!$I$6+(((A217)+1)/2)*(Inputs!$J$6-Inputs!$I$6)))/(Inputs!$K$6^2)*Inputs!$C$11)))/(SQRT(((Inputs!$I$6+(((A217)+1)/2)*(Inputs!$J$6-Inputs!$I$6)))^2+Inputs!$C$6^2+((Inputs!$H$6+Inputs!$L$6*(((Inputs!$I$6+(((A217)+1)/2)*(Inputs!$J$6-Inputs!$I$6)))/Inputs!$K$6)^2))^2)))))/Inputs!$C$13),NA())</f>
        <v>-354.71285854147993</v>
      </c>
      <c r="O217" s="9">
        <f>IF(OR(Inputs!$F$7=TRUE,Inputs!$F$7="TRUE",Inputs!$F$7=1),(-2*((1000*((((Inputs!$I$7+(((A217)+1)/2)*(Inputs!$J$7-Inputs!$I$7)))*Inputs!$C$11+((Inputs!$H$7+Inputs!$L$7*(((Inputs!$I$7+(((A217)+1)/2)*(Inputs!$J$7-Inputs!$I$7)))/Inputs!$K$7)^2))*((2*Inputs!$L$7*((Inputs!$I$7+(((A217)+1)/2)*(Inputs!$J$7-Inputs!$I$7)))/(Inputs!$K$7^2)*Inputs!$C$11)))/(SQRT(((Inputs!$I$7+(((A217)+1)/2)*(Inputs!$J$7-Inputs!$I$7)))^2+Inputs!$C$6^2+((Inputs!$H$7+Inputs!$L$7*(((Inputs!$I$7+(((A217)+1)/2)*(Inputs!$J$7-Inputs!$I$7)))/Inputs!$K$7)^2))^2)))))/Inputs!$C$13),NA())</f>
        <v>-2704.635667082543</v>
      </c>
      <c r="P217" s="9">
        <f>IF(OR(Inputs!$F$8=TRUE,Inputs!$F$8="TRUE",Inputs!$F$8=1),(-2*((1000*((((Inputs!$I$8+(((A217)+1)/2)*(Inputs!$J$8-Inputs!$I$8)))*Inputs!$C$11+((Inputs!$H$8+Inputs!$L$8*(((Inputs!$I$8+(((A217)+1)/2)*(Inputs!$J$8-Inputs!$I$8)))/Inputs!$K$8)^2))*((2*Inputs!$L$8*((Inputs!$I$8+(((A217)+1)/2)*(Inputs!$J$8-Inputs!$I$8)))/(Inputs!$K$8^2)*Inputs!$C$11)))/(SQRT(((Inputs!$I$8+(((A217)+1)/2)*(Inputs!$J$8-Inputs!$I$8)))^2+Inputs!$C$6^2+((Inputs!$H$8+Inputs!$L$8*(((Inputs!$I$8+(((A217)+1)/2)*(Inputs!$J$8-Inputs!$I$8)))/Inputs!$K$8)^2))^2)))))/Inputs!$C$13),NA())</f>
        <v>-3297.1926860294298</v>
      </c>
      <c r="Q217" s="9">
        <f>IF(OR(Inputs!$F$9=TRUE,Inputs!$F$9="TRUE",Inputs!$F$9=1),(-2*((1000*((((Inputs!$I$9+(((A217)+1)/2)*(Inputs!$J$9-Inputs!$I$9)))*Inputs!$C$11+((Inputs!$H$9+Inputs!$L$9*(((Inputs!$I$9+(((A217)+1)/2)*(Inputs!$J$9-Inputs!$I$9)))/Inputs!$K$9)^2))*((2*Inputs!$L$9*((Inputs!$I$9+(((A217)+1)/2)*(Inputs!$J$9-Inputs!$I$9)))/(Inputs!$K$9^2)*Inputs!$C$11)))/(SQRT(((Inputs!$I$9+(((A217)+1)/2)*(Inputs!$J$9-Inputs!$I$9)))^2+Inputs!$C$6^2+((Inputs!$H$9+Inputs!$L$9*(((Inputs!$I$9+(((A217)+1)/2)*(Inputs!$J$9-Inputs!$I$9)))/Inputs!$K$9)^2))^2)))))/Inputs!$C$13),NA())</f>
        <v>-3316.6603905382922</v>
      </c>
      <c r="R217" s="10"/>
      <c r="S217" s="9">
        <f t="shared" si="20"/>
        <v>0.79200000000000004</v>
      </c>
      <c r="T217" s="9">
        <f>(Inputs!$I$6+(((A217)+1)/2)*(Inputs!$J$6-Inputs!$I$6))</f>
        <v>47.519999999999996</v>
      </c>
      <c r="U217" s="9">
        <f>(Inputs!$I$7+(((A217)+1)/2)*(Inputs!$J$7-Inputs!$I$7))</f>
        <v>316.80000000000007</v>
      </c>
      <c r="V217" s="9">
        <f>(Inputs!$I$8+(((A217)+1)/2)*(Inputs!$J$8-Inputs!$I$8))</f>
        <v>633.60000000000014</v>
      </c>
      <c r="W217" s="9">
        <f>(Inputs!$I$9+(((A217)+1)/2)*(Inputs!$J$9-Inputs!$I$9))</f>
        <v>633.60000000000014</v>
      </c>
      <c r="X217" s="10"/>
      <c r="Y217" s="9">
        <f t="shared" si="21"/>
        <v>0.79200000000000004</v>
      </c>
      <c r="Z217" s="9">
        <f>(Inputs!$H$6+Inputs!$L$6*(((Inputs!$I$6+(((A217)+1)/2)*(Inputs!$J$6-Inputs!$I$6)))/Inputs!$K$6)^2)</f>
        <v>402.50905599999999</v>
      </c>
      <c r="AA217" s="9">
        <f>(Inputs!$H$7+Inputs!$L$7*(((Inputs!$I$7+(((A217)+1)/2)*(Inputs!$J$7-Inputs!$I$7)))/Inputs!$K$7)^2)</f>
        <v>263.95136000000014</v>
      </c>
      <c r="AB217" s="9">
        <f>(Inputs!$H$8+Inputs!$L$8*(((Inputs!$I$8+(((A217)+1)/2)*(Inputs!$J$8-Inputs!$I$8)))/Inputs!$K$8)^2)</f>
        <v>640.30976000000021</v>
      </c>
      <c r="AC217" s="9">
        <f>(Inputs!$H$9+Inputs!$L$9*(((Inputs!$I$9+(((A217)+1)/2)*(Inputs!$J$9-Inputs!$I$9)))/Inputs!$K$9)^2)</f>
        <v>636.58240000000023</v>
      </c>
      <c r="AD217" s="10"/>
      <c r="AE217" s="9">
        <f t="shared" si="22"/>
        <v>0.79200000000000004</v>
      </c>
      <c r="AF217" s="9">
        <f>(((SQRT(((Inputs!$I$6+(((A217)+1)/2)*(Inputs!$J$6-Inputs!$I$6)))^2+Inputs!$C$6^2+((Inputs!$H$6+Inputs!$L$6*(((Inputs!$I$6+(((A217)+1)/2)*(Inputs!$J$6-Inputs!$I$6)))/Inputs!$K$6)^2))^2))-((Inputs!$H$6+Inputs!$L$6*(((Inputs!$I$6+(((A217)+1)/2)*(Inputs!$J$6-Inputs!$I$6)))/Inputs!$K$6)^2)))*1000/Inputs!$C$12)</f>
        <v>2003.1905578278656</v>
      </c>
      <c r="AG217" s="9">
        <f>(((SQRT(((Inputs!$I$7+(((A217)+1)/2)*(Inputs!$J$7-Inputs!$I$7)))^2+Inputs!$C$6^2+((Inputs!$H$7+Inputs!$L$7*(((Inputs!$I$7+(((A217)+1)/2)*(Inputs!$J$7-Inputs!$I$7)))/Inputs!$K$7)^2))^2))-((Inputs!$H$7+Inputs!$L$7*(((Inputs!$I$7+(((A217)+1)/2)*(Inputs!$J$7-Inputs!$I$7)))/Inputs!$K$7)^2)))*1000/Inputs!$C$12)</f>
        <v>83795.416923004086</v>
      </c>
      <c r="AH217" s="9">
        <f>(((SQRT(((Inputs!$I$8+(((A217)+1)/2)*(Inputs!$J$8-Inputs!$I$8)))^2+Inputs!$C$6^2+((Inputs!$H$8+Inputs!$L$8*(((Inputs!$I$8+(((A217)+1)/2)*(Inputs!$J$8-Inputs!$I$8)))/Inputs!$K$8)^2))^2))-((Inputs!$H$8+Inputs!$L$8*(((Inputs!$I$8+(((A217)+1)/2)*(Inputs!$J$8-Inputs!$I$8)))/Inputs!$K$8)^2)))*1000/Inputs!$C$12)</f>
        <v>146539.21948766877</v>
      </c>
      <c r="AI217" s="9">
        <f>(((SQRT(((Inputs!$I$9+(((A217)+1)/2)*(Inputs!$J$9-Inputs!$I$9)))^2+Inputs!$C$6^2+((Inputs!$H$9+Inputs!$L$9*(((Inputs!$I$9+(((A217)+1)/2)*(Inputs!$J$9-Inputs!$I$9)))/Inputs!$K$9)^2))^2))-((Inputs!$H$9+Inputs!$L$9*(((Inputs!$I$9+(((A217)+1)/2)*(Inputs!$J$9-Inputs!$I$9)))/Inputs!$K$9)^2)))*1000/Inputs!$C$12)</f>
        <v>147147.48962548067</v>
      </c>
      <c r="AJ217" s="10"/>
      <c r="AK217" s="9">
        <f t="shared" si="23"/>
        <v>0.79200000000000004</v>
      </c>
      <c r="AL217" s="9">
        <f>(-2*((1000*((((Inputs!$I$6+(((A217)+1)/2)*(Inputs!$J$6-Inputs!$I$6)))*Inputs!$C$11+((Inputs!$H$6+Inputs!$L$6*(((Inputs!$I$6+(((A217)+1)/2)*(Inputs!$J$6-Inputs!$I$6)))/Inputs!$K$6)^2))*((2*Inputs!$L$6*((Inputs!$I$6+(((A217)+1)/2)*(Inputs!$J$6-Inputs!$I$6)))/(Inputs!$K$6^2)*Inputs!$C$11)))/(SQRT(((Inputs!$I$6+(((A217)+1)/2)*(Inputs!$J$6-Inputs!$I$6)))^2+Inputs!$C$6^2+((Inputs!$H$6+Inputs!$L$6*(((Inputs!$I$6+(((A217)+1)/2)*(Inputs!$J$6-Inputs!$I$6)))/Inputs!$K$6)^2))^2)))))/Inputs!$C$13)</f>
        <v>-354.71285854147993</v>
      </c>
      <c r="AM217" s="9">
        <f>(-2*((1000*((((Inputs!$I$7+(((A217)+1)/2)*(Inputs!$J$7-Inputs!$I$7)))*Inputs!$C$11+((Inputs!$H$7+Inputs!$L$7*(((Inputs!$I$7+(((A217)+1)/2)*(Inputs!$J$7-Inputs!$I$7)))/Inputs!$K$7)^2))*((2*Inputs!$L$7*((Inputs!$I$7+(((A217)+1)/2)*(Inputs!$J$7-Inputs!$I$7)))/(Inputs!$K$7^2)*Inputs!$C$11)))/(SQRT(((Inputs!$I$7+(((A217)+1)/2)*(Inputs!$J$7-Inputs!$I$7)))^2+Inputs!$C$6^2+((Inputs!$H$7+Inputs!$L$7*(((Inputs!$I$7+(((A217)+1)/2)*(Inputs!$J$7-Inputs!$I$7)))/Inputs!$K$7)^2))^2)))))/Inputs!$C$13)</f>
        <v>-2704.635667082543</v>
      </c>
      <c r="AN217" s="9">
        <f>(-2*((1000*((((Inputs!$I$8+(((A217)+1)/2)*(Inputs!$J$8-Inputs!$I$8)))*Inputs!$C$11+((Inputs!$H$8+Inputs!$L$8*(((Inputs!$I$8+(((A217)+1)/2)*(Inputs!$J$8-Inputs!$I$8)))/Inputs!$K$8)^2))*((2*Inputs!$L$8*((Inputs!$I$8+(((A217)+1)/2)*(Inputs!$J$8-Inputs!$I$8)))/(Inputs!$K$8^2)*Inputs!$C$11)))/(SQRT(((Inputs!$I$8+(((A217)+1)/2)*(Inputs!$J$8-Inputs!$I$8)))^2+Inputs!$C$6^2+((Inputs!$H$8+Inputs!$L$8*(((Inputs!$I$8+(((A217)+1)/2)*(Inputs!$J$8-Inputs!$I$8)))/Inputs!$K$8)^2))^2)))))/Inputs!$C$13)</f>
        <v>-3297.1926860294298</v>
      </c>
      <c r="AO217" s="9">
        <f>(-2*((1000*((((Inputs!$I$9+(((A217)+1)/2)*(Inputs!$J$9-Inputs!$I$9)))*Inputs!$C$11+((Inputs!$H$9+Inputs!$L$9*(((Inputs!$I$9+(((A217)+1)/2)*(Inputs!$J$9-Inputs!$I$9)))/Inputs!$K$9)^2))*((2*Inputs!$L$9*((Inputs!$I$9+(((A217)+1)/2)*(Inputs!$J$9-Inputs!$I$9)))/(Inputs!$K$9^2)*Inputs!$C$11)))/(SQRT(((Inputs!$I$9+(((A217)+1)/2)*(Inputs!$J$9-Inputs!$I$9)))^2+Inputs!$C$6^2+((Inputs!$H$9+Inputs!$L$9*(((Inputs!$I$9+(((A217)+1)/2)*(Inputs!$J$9-Inputs!$I$9)))/Inputs!$K$9)^2))^2)))))/Inputs!$C$13)</f>
        <v>-3316.6603905382922</v>
      </c>
    </row>
    <row r="218" spans="1:41">
      <c r="A218" s="9">
        <f>ROUND(-1+216*2/240,3)</f>
        <v>0.8</v>
      </c>
      <c r="B218" s="9">
        <f>IF(OR(Inputs!$F$6=TRUE,Inputs!$F$6="TRUE",Inputs!$F$6=1),(Inputs!$H$6+Inputs!$L$6*(((Inputs!$I$6+(((A218)+1)/2)*(Inputs!$J$6-Inputs!$I$6)))/Inputs!$K$6)^2),NA())</f>
        <v>402.56</v>
      </c>
      <c r="C218" s="9">
        <f>IF(OR(Inputs!$F$7=TRUE,Inputs!$F$7="TRUE",Inputs!$F$7=1),(Inputs!$H$7+Inputs!$L$7*(((Inputs!$I$7+(((A218)+1)/2)*(Inputs!$J$7-Inputs!$I$7)))/Inputs!$K$7)^2),NA())</f>
        <v>268.60000000000002</v>
      </c>
      <c r="D218" s="9">
        <f>IF(OR(Inputs!$F$8=TRUE,Inputs!$F$8="TRUE",Inputs!$F$8=1),(Inputs!$H$8+Inputs!$L$8*(((Inputs!$I$8+(((A218)+1)/2)*(Inputs!$J$8-Inputs!$I$8)))/Inputs!$K$8)^2),NA())</f>
        <v>652.60000000000014</v>
      </c>
      <c r="E218" s="9">
        <f>IF(OR(Inputs!$F$9=TRUE,Inputs!$F$9="TRUE",Inputs!$F$9=1),(Inputs!$H$9+Inputs!$L$9*(((Inputs!$I$9+(((A218)+1)/2)*(Inputs!$J$9-Inputs!$I$9)))/Inputs!$K$9)^2),NA())</f>
        <v>649.00000000000011</v>
      </c>
      <c r="F218" s="10"/>
      <c r="G218" s="9">
        <f t="shared" si="18"/>
        <v>0.8</v>
      </c>
      <c r="H218" s="9">
        <f>IF(OR(Inputs!$F$6=TRUE,Inputs!$F$6="TRUE",Inputs!$F$6=1),(((SQRT(((Inputs!$I$6+(((A218)+1)/2)*(Inputs!$J$6-Inputs!$I$6)))^2+Inputs!$C$6^2+((Inputs!$H$6+Inputs!$L$6*(((Inputs!$I$6+(((A218)+1)/2)*(Inputs!$J$6-Inputs!$I$6)))/Inputs!$K$6)^2))^2))-((Inputs!$H$6+Inputs!$L$6*(((Inputs!$I$6+(((A218)+1)/2)*(Inputs!$J$6-Inputs!$I$6)))/Inputs!$K$6)^2)))*1000/Inputs!$C$12),NA())</f>
        <v>2034.6492181694086</v>
      </c>
      <c r="I218" s="9">
        <f>IF(OR(Inputs!$F$7=TRUE,Inputs!$F$7="TRUE",Inputs!$F$7=1),(((SQRT(((Inputs!$I$7+(((A218)+1)/2)*(Inputs!$J$7-Inputs!$I$7)))^2+Inputs!$C$6^2+((Inputs!$H$7+Inputs!$L$7*(((Inputs!$I$7+(((A218)+1)/2)*(Inputs!$J$7-Inputs!$I$7)))/Inputs!$K$7)^2))^2))-((Inputs!$H$7+Inputs!$L$7*(((Inputs!$I$7+(((A218)+1)/2)*(Inputs!$J$7-Inputs!$I$7)))/Inputs!$K$7)^2)))*1000/Inputs!$C$12),NA())</f>
        <v>84232.752623422784</v>
      </c>
      <c r="J218" s="9">
        <f>IF(OR(Inputs!$F$8=TRUE,Inputs!$F$8="TRUE",Inputs!$F$8=1),(((SQRT(((Inputs!$I$8+(((A218)+1)/2)*(Inputs!$J$8-Inputs!$I$8)))^2+Inputs!$C$6^2+((Inputs!$H$8+Inputs!$L$8*(((Inputs!$I$8+(((A218)+1)/2)*(Inputs!$J$8-Inputs!$I$8)))/Inputs!$K$8)^2))^2))-((Inputs!$H$8+Inputs!$L$8*(((Inputs!$I$8+(((A218)+1)/2)*(Inputs!$J$8-Inputs!$I$8)))/Inputs!$K$8)^2)))*1000/Inputs!$C$12),NA())</f>
        <v>147073.85942499142</v>
      </c>
      <c r="K218" s="9">
        <f>IF(OR(Inputs!$F$9=TRUE,Inputs!$F$9="TRUE",Inputs!$F$9=1),(((SQRT(((Inputs!$I$9+(((A218)+1)/2)*(Inputs!$J$9-Inputs!$I$9)))^2+Inputs!$C$6^2+((Inputs!$H$9+Inputs!$L$9*(((Inputs!$I$9+(((A218)+1)/2)*(Inputs!$J$9-Inputs!$I$9)))/Inputs!$K$9)^2))^2))-((Inputs!$H$9+Inputs!$L$9*(((Inputs!$I$9+(((A218)+1)/2)*(Inputs!$J$9-Inputs!$I$9)))/Inputs!$K$9)^2)))*1000/Inputs!$C$12),NA())</f>
        <v>147654.85462220901</v>
      </c>
      <c r="L218" s="10"/>
      <c r="M218" s="9">
        <f t="shared" si="19"/>
        <v>0.8</v>
      </c>
      <c r="N218" s="9">
        <f>IF(OR(Inputs!$F$6=TRUE,Inputs!$F$6="TRUE",Inputs!$F$6=1),(-2*((1000*((((Inputs!$I$6+(((A218)+1)/2)*(Inputs!$J$6-Inputs!$I$6)))*Inputs!$C$11+((Inputs!$H$6+Inputs!$L$6*(((Inputs!$I$6+(((A218)+1)/2)*(Inputs!$J$6-Inputs!$I$6)))/Inputs!$K$6)^2))*((2*Inputs!$L$6*((Inputs!$I$6+(((A218)+1)/2)*(Inputs!$J$6-Inputs!$I$6)))/(Inputs!$K$6^2)*Inputs!$C$11)))/(SQRT(((Inputs!$I$6+(((A218)+1)/2)*(Inputs!$J$6-Inputs!$I$6)))^2+Inputs!$C$6^2+((Inputs!$H$6+Inputs!$L$6*(((Inputs!$I$6+(((A218)+1)/2)*(Inputs!$J$6-Inputs!$I$6)))/Inputs!$K$6)^2))^2)))))/Inputs!$C$13),NA())</f>
        <v>-358.22288909368319</v>
      </c>
      <c r="O218" s="9">
        <f>IF(OR(Inputs!$F$7=TRUE,Inputs!$F$7="TRUE",Inputs!$F$7=1),(-2*((1000*((((Inputs!$I$7+(((A218)+1)/2)*(Inputs!$J$7-Inputs!$I$7)))*Inputs!$C$11+((Inputs!$H$7+Inputs!$L$7*(((Inputs!$I$7+(((A218)+1)/2)*(Inputs!$J$7-Inputs!$I$7)))/Inputs!$K$7)^2))*((2*Inputs!$L$7*((Inputs!$I$7+(((A218)+1)/2)*(Inputs!$J$7-Inputs!$I$7)))/(Inputs!$K$7^2)*Inputs!$C$11)))/(SQRT(((Inputs!$I$7+(((A218)+1)/2)*(Inputs!$J$7-Inputs!$I$7)))^2+Inputs!$C$6^2+((Inputs!$H$7+Inputs!$L$7*(((Inputs!$I$7+(((A218)+1)/2)*(Inputs!$J$7-Inputs!$I$7)))/Inputs!$K$7)^2))^2)))))/Inputs!$C$13),NA())</f>
        <v>-2722.4760333842505</v>
      </c>
      <c r="P218" s="9">
        <f>IF(OR(Inputs!$F$8=TRUE,Inputs!$F$8="TRUE",Inputs!$F$8=1),(-2*((1000*((((Inputs!$I$8+(((A218)+1)/2)*(Inputs!$J$8-Inputs!$I$8)))*Inputs!$C$11+((Inputs!$H$8+Inputs!$L$8*(((Inputs!$I$8+(((A218)+1)/2)*(Inputs!$J$8-Inputs!$I$8)))/Inputs!$K$8)^2))*((2*Inputs!$L$8*((Inputs!$I$8+(((A218)+1)/2)*(Inputs!$J$8-Inputs!$I$8)))/(Inputs!$K$8^2)*Inputs!$C$11)))/(SQRT(((Inputs!$I$8+(((A218)+1)/2)*(Inputs!$J$8-Inputs!$I$8)))^2+Inputs!$C$6^2+((Inputs!$H$8+Inputs!$L$8*(((Inputs!$I$8+(((A218)+1)/2)*(Inputs!$J$8-Inputs!$I$8)))/Inputs!$K$8)^2))^2)))))/Inputs!$C$13),NA())</f>
        <v>-3323.7720390621243</v>
      </c>
      <c r="Q218" s="9">
        <f>IF(OR(Inputs!$F$9=TRUE,Inputs!$F$9="TRUE",Inputs!$F$9=1),(-2*((1000*((((Inputs!$I$9+(((A218)+1)/2)*(Inputs!$J$9-Inputs!$I$9)))*Inputs!$C$11+((Inputs!$H$9+Inputs!$L$9*(((Inputs!$I$9+(((A218)+1)/2)*(Inputs!$J$9-Inputs!$I$9)))/Inputs!$K$9)^2))*((2*Inputs!$L$9*((Inputs!$I$9+(((A218)+1)/2)*(Inputs!$J$9-Inputs!$I$9)))/(Inputs!$K$9^2)*Inputs!$C$11)))/(SQRT(((Inputs!$I$9+(((A218)+1)/2)*(Inputs!$J$9-Inputs!$I$9)))^2+Inputs!$C$6^2+((Inputs!$H$9+Inputs!$L$9*(((Inputs!$I$9+(((A218)+1)/2)*(Inputs!$J$9-Inputs!$I$9)))/Inputs!$K$9)^2))^2)))))/Inputs!$C$13),NA())</f>
        <v>-3343.7094353866705</v>
      </c>
      <c r="R218" s="10"/>
      <c r="S218" s="9">
        <f t="shared" si="20"/>
        <v>0.8</v>
      </c>
      <c r="T218" s="9">
        <f>(Inputs!$I$6+(((A218)+1)/2)*(Inputs!$J$6-Inputs!$I$6))</f>
        <v>48</v>
      </c>
      <c r="U218" s="9">
        <f>(Inputs!$I$7+(((A218)+1)/2)*(Inputs!$J$7-Inputs!$I$7))</f>
        <v>320</v>
      </c>
      <c r="V218" s="9">
        <f>(Inputs!$I$8+(((A218)+1)/2)*(Inputs!$J$8-Inputs!$I$8))</f>
        <v>640</v>
      </c>
      <c r="W218" s="9">
        <f>(Inputs!$I$9+(((A218)+1)/2)*(Inputs!$J$9-Inputs!$I$9))</f>
        <v>640</v>
      </c>
      <c r="X218" s="10"/>
      <c r="Y218" s="9">
        <f t="shared" si="21"/>
        <v>0.8</v>
      </c>
      <c r="Z218" s="9">
        <f>(Inputs!$H$6+Inputs!$L$6*(((Inputs!$I$6+(((A218)+1)/2)*(Inputs!$J$6-Inputs!$I$6)))/Inputs!$K$6)^2)</f>
        <v>402.56</v>
      </c>
      <c r="AA218" s="9">
        <f>(Inputs!$H$7+Inputs!$L$7*(((Inputs!$I$7+(((A218)+1)/2)*(Inputs!$J$7-Inputs!$I$7)))/Inputs!$K$7)^2)</f>
        <v>268.60000000000002</v>
      </c>
      <c r="AB218" s="9">
        <f>(Inputs!$H$8+Inputs!$L$8*(((Inputs!$I$8+(((A218)+1)/2)*(Inputs!$J$8-Inputs!$I$8)))/Inputs!$K$8)^2)</f>
        <v>652.60000000000014</v>
      </c>
      <c r="AC218" s="9">
        <f>(Inputs!$H$9+Inputs!$L$9*(((Inputs!$I$9+(((A218)+1)/2)*(Inputs!$J$9-Inputs!$I$9)))/Inputs!$K$9)^2)</f>
        <v>649.00000000000011</v>
      </c>
      <c r="AD218" s="10"/>
      <c r="AE218" s="9">
        <f t="shared" si="22"/>
        <v>0.8</v>
      </c>
      <c r="AF218" s="9">
        <f>(((SQRT(((Inputs!$I$6+(((A218)+1)/2)*(Inputs!$J$6-Inputs!$I$6)))^2+Inputs!$C$6^2+((Inputs!$H$6+Inputs!$L$6*(((Inputs!$I$6+(((A218)+1)/2)*(Inputs!$J$6-Inputs!$I$6)))/Inputs!$K$6)^2))^2))-((Inputs!$H$6+Inputs!$L$6*(((Inputs!$I$6+(((A218)+1)/2)*(Inputs!$J$6-Inputs!$I$6)))/Inputs!$K$6)^2)))*1000/Inputs!$C$12)</f>
        <v>2034.6492181694086</v>
      </c>
      <c r="AG218" s="9">
        <f>(((SQRT(((Inputs!$I$7+(((A218)+1)/2)*(Inputs!$J$7-Inputs!$I$7)))^2+Inputs!$C$6^2+((Inputs!$H$7+Inputs!$L$7*(((Inputs!$I$7+(((A218)+1)/2)*(Inputs!$J$7-Inputs!$I$7)))/Inputs!$K$7)^2))^2))-((Inputs!$H$7+Inputs!$L$7*(((Inputs!$I$7+(((A218)+1)/2)*(Inputs!$J$7-Inputs!$I$7)))/Inputs!$K$7)^2)))*1000/Inputs!$C$12)</f>
        <v>84232.752623422784</v>
      </c>
      <c r="AH218" s="9">
        <f>(((SQRT(((Inputs!$I$8+(((A218)+1)/2)*(Inputs!$J$8-Inputs!$I$8)))^2+Inputs!$C$6^2+((Inputs!$H$8+Inputs!$L$8*(((Inputs!$I$8+(((A218)+1)/2)*(Inputs!$J$8-Inputs!$I$8)))/Inputs!$K$8)^2))^2))-((Inputs!$H$8+Inputs!$L$8*(((Inputs!$I$8+(((A218)+1)/2)*(Inputs!$J$8-Inputs!$I$8)))/Inputs!$K$8)^2)))*1000/Inputs!$C$12)</f>
        <v>147073.85942499142</v>
      </c>
      <c r="AI218" s="9">
        <f>(((SQRT(((Inputs!$I$9+(((A218)+1)/2)*(Inputs!$J$9-Inputs!$I$9)))^2+Inputs!$C$6^2+((Inputs!$H$9+Inputs!$L$9*(((Inputs!$I$9+(((A218)+1)/2)*(Inputs!$J$9-Inputs!$I$9)))/Inputs!$K$9)^2))^2))-((Inputs!$H$9+Inputs!$L$9*(((Inputs!$I$9+(((A218)+1)/2)*(Inputs!$J$9-Inputs!$I$9)))/Inputs!$K$9)^2)))*1000/Inputs!$C$12)</f>
        <v>147654.85462220901</v>
      </c>
      <c r="AJ218" s="10"/>
      <c r="AK218" s="9">
        <f t="shared" si="23"/>
        <v>0.8</v>
      </c>
      <c r="AL218" s="9">
        <f>(-2*((1000*((((Inputs!$I$6+(((A218)+1)/2)*(Inputs!$J$6-Inputs!$I$6)))*Inputs!$C$11+((Inputs!$H$6+Inputs!$L$6*(((Inputs!$I$6+(((A218)+1)/2)*(Inputs!$J$6-Inputs!$I$6)))/Inputs!$K$6)^2))*((2*Inputs!$L$6*((Inputs!$I$6+(((A218)+1)/2)*(Inputs!$J$6-Inputs!$I$6)))/(Inputs!$K$6^2)*Inputs!$C$11)))/(SQRT(((Inputs!$I$6+(((A218)+1)/2)*(Inputs!$J$6-Inputs!$I$6)))^2+Inputs!$C$6^2+((Inputs!$H$6+Inputs!$L$6*(((Inputs!$I$6+(((A218)+1)/2)*(Inputs!$J$6-Inputs!$I$6)))/Inputs!$K$6)^2))^2)))))/Inputs!$C$13)</f>
        <v>-358.22288909368319</v>
      </c>
      <c r="AM218" s="9">
        <f>(-2*((1000*((((Inputs!$I$7+(((A218)+1)/2)*(Inputs!$J$7-Inputs!$I$7)))*Inputs!$C$11+((Inputs!$H$7+Inputs!$L$7*(((Inputs!$I$7+(((A218)+1)/2)*(Inputs!$J$7-Inputs!$I$7)))/Inputs!$K$7)^2))*((2*Inputs!$L$7*((Inputs!$I$7+(((A218)+1)/2)*(Inputs!$J$7-Inputs!$I$7)))/(Inputs!$K$7^2)*Inputs!$C$11)))/(SQRT(((Inputs!$I$7+(((A218)+1)/2)*(Inputs!$J$7-Inputs!$I$7)))^2+Inputs!$C$6^2+((Inputs!$H$7+Inputs!$L$7*(((Inputs!$I$7+(((A218)+1)/2)*(Inputs!$J$7-Inputs!$I$7)))/Inputs!$K$7)^2))^2)))))/Inputs!$C$13)</f>
        <v>-2722.4760333842505</v>
      </c>
      <c r="AN218" s="9">
        <f>(-2*((1000*((((Inputs!$I$8+(((A218)+1)/2)*(Inputs!$J$8-Inputs!$I$8)))*Inputs!$C$11+((Inputs!$H$8+Inputs!$L$8*(((Inputs!$I$8+(((A218)+1)/2)*(Inputs!$J$8-Inputs!$I$8)))/Inputs!$K$8)^2))*((2*Inputs!$L$8*((Inputs!$I$8+(((A218)+1)/2)*(Inputs!$J$8-Inputs!$I$8)))/(Inputs!$K$8^2)*Inputs!$C$11)))/(SQRT(((Inputs!$I$8+(((A218)+1)/2)*(Inputs!$J$8-Inputs!$I$8)))^2+Inputs!$C$6^2+((Inputs!$H$8+Inputs!$L$8*(((Inputs!$I$8+(((A218)+1)/2)*(Inputs!$J$8-Inputs!$I$8)))/Inputs!$K$8)^2))^2)))))/Inputs!$C$13)</f>
        <v>-3323.7720390621243</v>
      </c>
      <c r="AO218" s="9">
        <f>(-2*((1000*((((Inputs!$I$9+(((A218)+1)/2)*(Inputs!$J$9-Inputs!$I$9)))*Inputs!$C$11+((Inputs!$H$9+Inputs!$L$9*(((Inputs!$I$9+(((A218)+1)/2)*(Inputs!$J$9-Inputs!$I$9)))/Inputs!$K$9)^2))*((2*Inputs!$L$9*((Inputs!$I$9+(((A218)+1)/2)*(Inputs!$J$9-Inputs!$I$9)))/(Inputs!$K$9^2)*Inputs!$C$11)))/(SQRT(((Inputs!$I$9+(((A218)+1)/2)*(Inputs!$J$9-Inputs!$I$9)))^2+Inputs!$C$6^2+((Inputs!$H$9+Inputs!$L$9*(((Inputs!$I$9+(((A218)+1)/2)*(Inputs!$J$9-Inputs!$I$9)))/Inputs!$K$9)^2))^2)))))/Inputs!$C$13)</f>
        <v>-3343.7094353866705</v>
      </c>
    </row>
    <row r="219" spans="1:41">
      <c r="A219" s="9">
        <f>ROUND(-1+217*2/240,3)</f>
        <v>0.80800000000000005</v>
      </c>
      <c r="B219" s="9">
        <f>IF(OR(Inputs!$F$6=TRUE,Inputs!$F$6="TRUE",Inputs!$F$6=1),(Inputs!$H$6+Inputs!$L$6*(((Inputs!$I$6+(((A219)+1)/2)*(Inputs!$J$6-Inputs!$I$6)))/Inputs!$K$6)^2),NA())</f>
        <v>402.61145599999998</v>
      </c>
      <c r="C219" s="9">
        <f>IF(OR(Inputs!$F$7=TRUE,Inputs!$F$7="TRUE",Inputs!$F$7=1),(Inputs!$H$7+Inputs!$L$7*(((Inputs!$I$7+(((A219)+1)/2)*(Inputs!$J$7-Inputs!$I$7)))/Inputs!$K$7)^2),NA())</f>
        <v>273.29536000000007</v>
      </c>
      <c r="D219" s="9">
        <f>IF(OR(Inputs!$F$8=TRUE,Inputs!$F$8="TRUE",Inputs!$F$8=1),(Inputs!$H$8+Inputs!$L$8*(((Inputs!$I$8+(((A219)+1)/2)*(Inputs!$J$8-Inputs!$I$8)))/Inputs!$K$8)^2),NA())</f>
        <v>665.01376000000016</v>
      </c>
      <c r="E219" s="9">
        <f>IF(OR(Inputs!$F$9=TRUE,Inputs!$F$9="TRUE",Inputs!$F$9=1),(Inputs!$H$9+Inputs!$L$9*(((Inputs!$I$9+(((A219)+1)/2)*(Inputs!$J$9-Inputs!$I$9)))/Inputs!$K$9)^2),NA())</f>
        <v>661.54240000000027</v>
      </c>
      <c r="F219" s="10"/>
      <c r="G219" s="9">
        <f t="shared" si="18"/>
        <v>0.80800000000000005</v>
      </c>
      <c r="H219" s="9">
        <f>IF(OR(Inputs!$F$6=TRUE,Inputs!$F$6="TRUE",Inputs!$F$6=1),(((SQRT(((Inputs!$I$6+(((A219)+1)/2)*(Inputs!$J$6-Inputs!$I$6)))^2+Inputs!$C$6^2+((Inputs!$H$6+Inputs!$L$6*(((Inputs!$I$6+(((A219)+1)/2)*(Inputs!$J$6-Inputs!$I$6)))/Inputs!$K$6)^2))^2))-((Inputs!$H$6+Inputs!$L$6*(((Inputs!$I$6+(((A219)+1)/2)*(Inputs!$J$6-Inputs!$I$6)))/Inputs!$K$6)^2)))*1000/Inputs!$C$12),NA())</f>
        <v>2066.411636185434</v>
      </c>
      <c r="I219" s="9">
        <f>IF(OR(Inputs!$F$7=TRUE,Inputs!$F$7="TRUE",Inputs!$F$7=1),(((SQRT(((Inputs!$I$7+(((A219)+1)/2)*(Inputs!$J$7-Inputs!$I$7)))^2+Inputs!$C$6^2+((Inputs!$H$7+Inputs!$L$7*(((Inputs!$I$7+(((A219)+1)/2)*(Inputs!$J$7-Inputs!$I$7)))/Inputs!$K$7)^2))^2))-((Inputs!$H$7+Inputs!$L$7*(((Inputs!$I$7+(((A219)+1)/2)*(Inputs!$J$7-Inputs!$I$7)))/Inputs!$K$7)^2)))*1000/Inputs!$C$12),NA())</f>
        <v>84663.933981793351</v>
      </c>
      <c r="J219" s="9">
        <f>IF(OR(Inputs!$F$8=TRUE,Inputs!$F$8="TRUE",Inputs!$F$8=1),(((SQRT(((Inputs!$I$8+(((A219)+1)/2)*(Inputs!$J$8-Inputs!$I$8)))^2+Inputs!$C$6^2+((Inputs!$H$8+Inputs!$L$8*(((Inputs!$I$8+(((A219)+1)/2)*(Inputs!$J$8-Inputs!$I$8)))/Inputs!$K$8)^2))^2))-((Inputs!$H$8+Inputs!$L$8*(((Inputs!$I$8+(((A219)+1)/2)*(Inputs!$J$8-Inputs!$I$8)))/Inputs!$K$8)^2)))*1000/Inputs!$C$12),NA())</f>
        <v>147598.93656776901</v>
      </c>
      <c r="K219" s="9">
        <f>IF(OR(Inputs!$F$9=TRUE,Inputs!$F$9="TRUE",Inputs!$F$9=1),(((SQRT(((Inputs!$I$9+(((A219)+1)/2)*(Inputs!$J$9-Inputs!$I$9)))^2+Inputs!$C$6^2+((Inputs!$H$9+Inputs!$L$9*(((Inputs!$I$9+(((A219)+1)/2)*(Inputs!$J$9-Inputs!$I$9)))/Inputs!$K$9)^2))^2))-((Inputs!$H$9+Inputs!$L$9*(((Inputs!$I$9+(((A219)+1)/2)*(Inputs!$J$9-Inputs!$I$9)))/Inputs!$K$9)^2)))*1000/Inputs!$C$12),NA())</f>
        <v>148152.99183501268</v>
      </c>
      <c r="L219" s="10"/>
      <c r="M219" s="9">
        <f t="shared" si="19"/>
        <v>0.80800000000000005</v>
      </c>
      <c r="N219" s="9">
        <f>IF(OR(Inputs!$F$6=TRUE,Inputs!$F$6="TRUE",Inputs!$F$6=1),(-2*((1000*((((Inputs!$I$6+(((A219)+1)/2)*(Inputs!$J$6-Inputs!$I$6)))*Inputs!$C$11+((Inputs!$H$6+Inputs!$L$6*(((Inputs!$I$6+(((A219)+1)/2)*(Inputs!$J$6-Inputs!$I$6)))/Inputs!$K$6)^2))*((2*Inputs!$L$6*((Inputs!$I$6+(((A219)+1)/2)*(Inputs!$J$6-Inputs!$I$6)))/(Inputs!$K$6^2)*Inputs!$C$11)))/(SQRT(((Inputs!$I$6+(((A219)+1)/2)*(Inputs!$J$6-Inputs!$I$6)))^2+Inputs!$C$6^2+((Inputs!$H$6+Inputs!$L$6*(((Inputs!$I$6+(((A219)+1)/2)*(Inputs!$J$6-Inputs!$I$6)))/Inputs!$K$6)^2))^2)))))/Inputs!$C$13),NA())</f>
        <v>-361.73077985139912</v>
      </c>
      <c r="O219" s="9">
        <f>IF(OR(Inputs!$F$7=TRUE,Inputs!$F$7="TRUE",Inputs!$F$7=1),(-2*((1000*((((Inputs!$I$7+(((A219)+1)/2)*(Inputs!$J$7-Inputs!$I$7)))*Inputs!$C$11+((Inputs!$H$7+Inputs!$L$7*(((Inputs!$I$7+(((A219)+1)/2)*(Inputs!$J$7-Inputs!$I$7)))/Inputs!$K$7)^2))*((2*Inputs!$L$7*((Inputs!$I$7+(((A219)+1)/2)*(Inputs!$J$7-Inputs!$I$7)))/(Inputs!$K$7^2)*Inputs!$C$11)))/(SQRT(((Inputs!$I$7+(((A219)+1)/2)*(Inputs!$J$7-Inputs!$I$7)))^2+Inputs!$C$6^2+((Inputs!$H$7+Inputs!$L$7*(((Inputs!$I$7+(((A219)+1)/2)*(Inputs!$J$7-Inputs!$I$7)))/Inputs!$K$7)^2))^2)))))/Inputs!$C$13),NA())</f>
        <v>-2740.400746440379</v>
      </c>
      <c r="P219" s="9">
        <f>IF(OR(Inputs!$F$8=TRUE,Inputs!$F$8="TRUE",Inputs!$F$8=1),(-2*((1000*((((Inputs!$I$8+(((A219)+1)/2)*(Inputs!$J$8-Inputs!$I$8)))*Inputs!$C$11+((Inputs!$H$8+Inputs!$L$8*(((Inputs!$I$8+(((A219)+1)/2)*(Inputs!$J$8-Inputs!$I$8)))/Inputs!$K$8)^2))*((2*Inputs!$L$8*((Inputs!$I$8+(((A219)+1)/2)*(Inputs!$J$8-Inputs!$I$8)))/(Inputs!$K$8^2)*Inputs!$C$11)))/(SQRT(((Inputs!$I$8+(((A219)+1)/2)*(Inputs!$J$8-Inputs!$I$8)))^2+Inputs!$C$6^2+((Inputs!$H$8+Inputs!$L$8*(((Inputs!$I$8+(((A219)+1)/2)*(Inputs!$J$8-Inputs!$I$8)))/Inputs!$K$8)^2))^2)))))/Inputs!$C$13),NA())</f>
        <v>-3350.4414610708473</v>
      </c>
      <c r="Q219" s="9">
        <f>IF(OR(Inputs!$F$9=TRUE,Inputs!$F$9="TRUE",Inputs!$F$9=1),(-2*((1000*((((Inputs!$I$9+(((A219)+1)/2)*(Inputs!$J$9-Inputs!$I$9)))*Inputs!$C$11+((Inputs!$H$9+Inputs!$L$9*(((Inputs!$I$9+(((A219)+1)/2)*(Inputs!$J$9-Inputs!$I$9)))/Inputs!$K$9)^2))*((2*Inputs!$L$9*((Inputs!$I$9+(((A219)+1)/2)*(Inputs!$J$9-Inputs!$I$9)))/(Inputs!$K$9^2)*Inputs!$C$11)))/(SQRT(((Inputs!$I$9+(((A219)+1)/2)*(Inputs!$J$9-Inputs!$I$9)))^2+Inputs!$C$6^2+((Inputs!$H$9+Inputs!$L$9*(((Inputs!$I$9+(((A219)+1)/2)*(Inputs!$J$9-Inputs!$I$9)))/Inputs!$K$9)^2))^2)))))/Inputs!$C$13),NA())</f>
        <v>-3370.847319161865</v>
      </c>
      <c r="R219" s="10"/>
      <c r="S219" s="9">
        <f t="shared" si="20"/>
        <v>0.80800000000000005</v>
      </c>
      <c r="T219" s="9">
        <f>(Inputs!$I$6+(((A219)+1)/2)*(Inputs!$J$6-Inputs!$I$6))</f>
        <v>48.480000000000004</v>
      </c>
      <c r="U219" s="9">
        <f>(Inputs!$I$7+(((A219)+1)/2)*(Inputs!$J$7-Inputs!$I$7))</f>
        <v>323.20000000000005</v>
      </c>
      <c r="V219" s="9">
        <f>(Inputs!$I$8+(((A219)+1)/2)*(Inputs!$J$8-Inputs!$I$8))</f>
        <v>646.40000000000009</v>
      </c>
      <c r="W219" s="9">
        <f>(Inputs!$I$9+(((A219)+1)/2)*(Inputs!$J$9-Inputs!$I$9))</f>
        <v>646.40000000000009</v>
      </c>
      <c r="X219" s="10"/>
      <c r="Y219" s="9">
        <f t="shared" si="21"/>
        <v>0.80800000000000005</v>
      </c>
      <c r="Z219" s="9">
        <f>(Inputs!$H$6+Inputs!$L$6*(((Inputs!$I$6+(((A219)+1)/2)*(Inputs!$J$6-Inputs!$I$6)))/Inputs!$K$6)^2)</f>
        <v>402.61145599999998</v>
      </c>
      <c r="AA219" s="9">
        <f>(Inputs!$H$7+Inputs!$L$7*(((Inputs!$I$7+(((A219)+1)/2)*(Inputs!$J$7-Inputs!$I$7)))/Inputs!$K$7)^2)</f>
        <v>273.29536000000007</v>
      </c>
      <c r="AB219" s="9">
        <f>(Inputs!$H$8+Inputs!$L$8*(((Inputs!$I$8+(((A219)+1)/2)*(Inputs!$J$8-Inputs!$I$8)))/Inputs!$K$8)^2)</f>
        <v>665.01376000000016</v>
      </c>
      <c r="AC219" s="9">
        <f>(Inputs!$H$9+Inputs!$L$9*(((Inputs!$I$9+(((A219)+1)/2)*(Inputs!$J$9-Inputs!$I$9)))/Inputs!$K$9)^2)</f>
        <v>661.54240000000027</v>
      </c>
      <c r="AD219" s="10"/>
      <c r="AE219" s="9">
        <f t="shared" si="22"/>
        <v>0.80800000000000005</v>
      </c>
      <c r="AF219" s="9">
        <f>(((SQRT(((Inputs!$I$6+(((A219)+1)/2)*(Inputs!$J$6-Inputs!$I$6)))^2+Inputs!$C$6^2+((Inputs!$H$6+Inputs!$L$6*(((Inputs!$I$6+(((A219)+1)/2)*(Inputs!$J$6-Inputs!$I$6)))/Inputs!$K$6)^2))^2))-((Inputs!$H$6+Inputs!$L$6*(((Inputs!$I$6+(((A219)+1)/2)*(Inputs!$J$6-Inputs!$I$6)))/Inputs!$K$6)^2)))*1000/Inputs!$C$12)</f>
        <v>2066.411636185434</v>
      </c>
      <c r="AG219" s="9">
        <f>(((SQRT(((Inputs!$I$7+(((A219)+1)/2)*(Inputs!$J$7-Inputs!$I$7)))^2+Inputs!$C$6^2+((Inputs!$H$7+Inputs!$L$7*(((Inputs!$I$7+(((A219)+1)/2)*(Inputs!$J$7-Inputs!$I$7)))/Inputs!$K$7)^2))^2))-((Inputs!$H$7+Inputs!$L$7*(((Inputs!$I$7+(((A219)+1)/2)*(Inputs!$J$7-Inputs!$I$7)))/Inputs!$K$7)^2)))*1000/Inputs!$C$12)</f>
        <v>84663.933981793351</v>
      </c>
      <c r="AH219" s="9">
        <f>(((SQRT(((Inputs!$I$8+(((A219)+1)/2)*(Inputs!$J$8-Inputs!$I$8)))^2+Inputs!$C$6^2+((Inputs!$H$8+Inputs!$L$8*(((Inputs!$I$8+(((A219)+1)/2)*(Inputs!$J$8-Inputs!$I$8)))/Inputs!$K$8)^2))^2))-((Inputs!$H$8+Inputs!$L$8*(((Inputs!$I$8+(((A219)+1)/2)*(Inputs!$J$8-Inputs!$I$8)))/Inputs!$K$8)^2)))*1000/Inputs!$C$12)</f>
        <v>147598.93656776901</v>
      </c>
      <c r="AI219" s="9">
        <f>(((SQRT(((Inputs!$I$9+(((A219)+1)/2)*(Inputs!$J$9-Inputs!$I$9)))^2+Inputs!$C$6^2+((Inputs!$H$9+Inputs!$L$9*(((Inputs!$I$9+(((A219)+1)/2)*(Inputs!$J$9-Inputs!$I$9)))/Inputs!$K$9)^2))^2))-((Inputs!$H$9+Inputs!$L$9*(((Inputs!$I$9+(((A219)+1)/2)*(Inputs!$J$9-Inputs!$I$9)))/Inputs!$K$9)^2)))*1000/Inputs!$C$12)</f>
        <v>148152.99183501268</v>
      </c>
      <c r="AJ219" s="10"/>
      <c r="AK219" s="9">
        <f t="shared" si="23"/>
        <v>0.80800000000000005</v>
      </c>
      <c r="AL219" s="9">
        <f>(-2*((1000*((((Inputs!$I$6+(((A219)+1)/2)*(Inputs!$J$6-Inputs!$I$6)))*Inputs!$C$11+((Inputs!$H$6+Inputs!$L$6*(((Inputs!$I$6+(((A219)+1)/2)*(Inputs!$J$6-Inputs!$I$6)))/Inputs!$K$6)^2))*((2*Inputs!$L$6*((Inputs!$I$6+(((A219)+1)/2)*(Inputs!$J$6-Inputs!$I$6)))/(Inputs!$K$6^2)*Inputs!$C$11)))/(SQRT(((Inputs!$I$6+(((A219)+1)/2)*(Inputs!$J$6-Inputs!$I$6)))^2+Inputs!$C$6^2+((Inputs!$H$6+Inputs!$L$6*(((Inputs!$I$6+(((A219)+1)/2)*(Inputs!$J$6-Inputs!$I$6)))/Inputs!$K$6)^2))^2)))))/Inputs!$C$13)</f>
        <v>-361.73077985139912</v>
      </c>
      <c r="AM219" s="9">
        <f>(-2*((1000*((((Inputs!$I$7+(((A219)+1)/2)*(Inputs!$J$7-Inputs!$I$7)))*Inputs!$C$11+((Inputs!$H$7+Inputs!$L$7*(((Inputs!$I$7+(((A219)+1)/2)*(Inputs!$J$7-Inputs!$I$7)))/Inputs!$K$7)^2))*((2*Inputs!$L$7*((Inputs!$I$7+(((A219)+1)/2)*(Inputs!$J$7-Inputs!$I$7)))/(Inputs!$K$7^2)*Inputs!$C$11)))/(SQRT(((Inputs!$I$7+(((A219)+1)/2)*(Inputs!$J$7-Inputs!$I$7)))^2+Inputs!$C$6^2+((Inputs!$H$7+Inputs!$L$7*(((Inputs!$I$7+(((A219)+1)/2)*(Inputs!$J$7-Inputs!$I$7)))/Inputs!$K$7)^2))^2)))))/Inputs!$C$13)</f>
        <v>-2740.400746440379</v>
      </c>
      <c r="AN219" s="9">
        <f>(-2*((1000*((((Inputs!$I$8+(((A219)+1)/2)*(Inputs!$J$8-Inputs!$I$8)))*Inputs!$C$11+((Inputs!$H$8+Inputs!$L$8*(((Inputs!$I$8+(((A219)+1)/2)*(Inputs!$J$8-Inputs!$I$8)))/Inputs!$K$8)^2))*((2*Inputs!$L$8*((Inputs!$I$8+(((A219)+1)/2)*(Inputs!$J$8-Inputs!$I$8)))/(Inputs!$K$8^2)*Inputs!$C$11)))/(SQRT(((Inputs!$I$8+(((A219)+1)/2)*(Inputs!$J$8-Inputs!$I$8)))^2+Inputs!$C$6^2+((Inputs!$H$8+Inputs!$L$8*(((Inputs!$I$8+(((A219)+1)/2)*(Inputs!$J$8-Inputs!$I$8)))/Inputs!$K$8)^2))^2)))))/Inputs!$C$13)</f>
        <v>-3350.4414610708473</v>
      </c>
      <c r="AO219" s="9">
        <f>(-2*((1000*((((Inputs!$I$9+(((A219)+1)/2)*(Inputs!$J$9-Inputs!$I$9)))*Inputs!$C$11+((Inputs!$H$9+Inputs!$L$9*(((Inputs!$I$9+(((A219)+1)/2)*(Inputs!$J$9-Inputs!$I$9)))/Inputs!$K$9)^2))*((2*Inputs!$L$9*((Inputs!$I$9+(((A219)+1)/2)*(Inputs!$J$9-Inputs!$I$9)))/(Inputs!$K$9^2)*Inputs!$C$11)))/(SQRT(((Inputs!$I$9+(((A219)+1)/2)*(Inputs!$J$9-Inputs!$I$9)))^2+Inputs!$C$6^2+((Inputs!$H$9+Inputs!$L$9*(((Inputs!$I$9+(((A219)+1)/2)*(Inputs!$J$9-Inputs!$I$9)))/Inputs!$K$9)^2))^2)))))/Inputs!$C$13)</f>
        <v>-3370.847319161865</v>
      </c>
    </row>
    <row r="220" spans="1:41">
      <c r="A220" s="9">
        <f>ROUND(-1+218*2/240,3)</f>
        <v>0.81699999999999995</v>
      </c>
      <c r="B220" s="9">
        <f>IF(OR(Inputs!$F$6=TRUE,Inputs!$F$6="TRUE",Inputs!$F$6=1),(Inputs!$H$6+Inputs!$L$6*(((Inputs!$I$6+(((A220)+1)/2)*(Inputs!$J$6-Inputs!$I$6)))/Inputs!$K$6)^2),NA())</f>
        <v>402.66995600000001</v>
      </c>
      <c r="C220" s="9">
        <f>IF(OR(Inputs!$F$7=TRUE,Inputs!$F$7="TRUE",Inputs!$F$7=1),(Inputs!$H$7+Inputs!$L$7*(((Inputs!$I$7+(((A220)+1)/2)*(Inputs!$J$7-Inputs!$I$7)))/Inputs!$K$7)^2),NA())</f>
        <v>278.63348499999995</v>
      </c>
      <c r="D220" s="9">
        <f>IF(OR(Inputs!$F$8=TRUE,Inputs!$F$8="TRUE",Inputs!$F$8=1),(Inputs!$H$8+Inputs!$L$8*(((Inputs!$I$8+(((A220)+1)/2)*(Inputs!$J$8-Inputs!$I$8)))/Inputs!$K$8)^2),NA())</f>
        <v>679.12688499999979</v>
      </c>
      <c r="E220" s="9">
        <f>IF(OR(Inputs!$F$9=TRUE,Inputs!$F$9="TRUE",Inputs!$F$9=1),(Inputs!$H$9+Inputs!$L$9*(((Inputs!$I$9+(((A220)+1)/2)*(Inputs!$J$9-Inputs!$I$9)))/Inputs!$K$9)^2),NA())</f>
        <v>675.80177499999979</v>
      </c>
      <c r="F220" s="10"/>
      <c r="G220" s="9">
        <f t="shared" si="18"/>
        <v>0.81699999999999995</v>
      </c>
      <c r="H220" s="9">
        <f>IF(OR(Inputs!$F$6=TRUE,Inputs!$F$6="TRUE",Inputs!$F$6=1),(((SQRT(((Inputs!$I$6+(((A220)+1)/2)*(Inputs!$J$6-Inputs!$I$6)))^2+Inputs!$C$6^2+((Inputs!$H$6+Inputs!$L$6*(((Inputs!$I$6+(((A220)+1)/2)*(Inputs!$J$6-Inputs!$I$6)))/Inputs!$K$6)^2))^2))-((Inputs!$H$6+Inputs!$L$6*(((Inputs!$I$6+(((A220)+1)/2)*(Inputs!$J$6-Inputs!$I$6)))/Inputs!$K$6)^2)))*1000/Inputs!$C$12),NA())</f>
        <v>2102.5069906940053</v>
      </c>
      <c r="I220" s="9">
        <f>IF(OR(Inputs!$F$7=TRUE,Inputs!$F$7="TRUE",Inputs!$F$7=1),(((SQRT(((Inputs!$I$7+(((A220)+1)/2)*(Inputs!$J$7-Inputs!$I$7)))^2+Inputs!$C$6^2+((Inputs!$H$7+Inputs!$L$7*(((Inputs!$I$7+(((A220)+1)/2)*(Inputs!$J$7-Inputs!$I$7)))/Inputs!$K$7)^2))^2))-((Inputs!$H$7+Inputs!$L$7*(((Inputs!$I$7+(((A220)+1)/2)*(Inputs!$J$7-Inputs!$I$7)))/Inputs!$K$7)^2)))*1000/Inputs!$C$12),NA())</f>
        <v>85141.7737953123</v>
      </c>
      <c r="J220" s="9">
        <f>IF(OR(Inputs!$F$8=TRUE,Inputs!$F$8="TRUE",Inputs!$F$8=1),(((SQRT(((Inputs!$I$8+(((A220)+1)/2)*(Inputs!$J$8-Inputs!$I$8)))^2+Inputs!$C$6^2+((Inputs!$H$8+Inputs!$L$8*(((Inputs!$I$8+(((A220)+1)/2)*(Inputs!$J$8-Inputs!$I$8)))/Inputs!$K$8)^2))^2))-((Inputs!$H$8+Inputs!$L$8*(((Inputs!$I$8+(((A220)+1)/2)*(Inputs!$J$8-Inputs!$I$8)))/Inputs!$K$8)^2)))*1000/Inputs!$C$12),NA())</f>
        <v>148178.4668499066</v>
      </c>
      <c r="K220" s="9">
        <f>IF(OR(Inputs!$F$9=TRUE,Inputs!$F$9="TRUE",Inputs!$F$9=1),(((SQRT(((Inputs!$I$9+(((A220)+1)/2)*(Inputs!$J$9-Inputs!$I$9)))^2+Inputs!$C$6^2+((Inputs!$H$9+Inputs!$L$9*(((Inputs!$I$9+(((A220)+1)/2)*(Inputs!$J$9-Inputs!$I$9)))/Inputs!$K$9)^2))^2))-((Inputs!$H$9+Inputs!$L$9*(((Inputs!$I$9+(((A220)+1)/2)*(Inputs!$J$9-Inputs!$I$9)))/Inputs!$K$9)^2)))*1000/Inputs!$C$12),NA())</f>
        <v>148702.61164595411</v>
      </c>
      <c r="L220" s="10"/>
      <c r="M220" s="9">
        <f t="shared" si="19"/>
        <v>0.81699999999999995</v>
      </c>
      <c r="N220" s="9">
        <f>IF(OR(Inputs!$F$6=TRUE,Inputs!$F$6="TRUE",Inputs!$F$6=1),(-2*((1000*((((Inputs!$I$6+(((A220)+1)/2)*(Inputs!$J$6-Inputs!$I$6)))*Inputs!$C$11+((Inputs!$H$6+Inputs!$L$6*(((Inputs!$I$6+(((A220)+1)/2)*(Inputs!$J$6-Inputs!$I$6)))/Inputs!$K$6)^2))*((2*Inputs!$L$6*((Inputs!$I$6+(((A220)+1)/2)*(Inputs!$J$6-Inputs!$I$6)))/(Inputs!$K$6^2)*Inputs!$C$11)))/(SQRT(((Inputs!$I$6+(((A220)+1)/2)*(Inputs!$J$6-Inputs!$I$6)))^2+Inputs!$C$6^2+((Inputs!$H$6+Inputs!$L$6*(((Inputs!$I$6+(((A220)+1)/2)*(Inputs!$J$6-Inputs!$I$6)))/Inputs!$K$6)^2))^2)))))/Inputs!$C$13),NA())</f>
        <v>-365.67457616975088</v>
      </c>
      <c r="O220" s="9">
        <f>IF(OR(Inputs!$F$7=TRUE,Inputs!$F$7="TRUE",Inputs!$F$7=1),(-2*((1000*((((Inputs!$I$7+(((A220)+1)/2)*(Inputs!$J$7-Inputs!$I$7)))*Inputs!$C$11+((Inputs!$H$7+Inputs!$L$7*(((Inputs!$I$7+(((A220)+1)/2)*(Inputs!$J$7-Inputs!$I$7)))/Inputs!$K$7)^2))*((2*Inputs!$L$7*((Inputs!$I$7+(((A220)+1)/2)*(Inputs!$J$7-Inputs!$I$7)))/(Inputs!$K$7^2)*Inputs!$C$11)))/(SQRT(((Inputs!$I$7+(((A220)+1)/2)*(Inputs!$J$7-Inputs!$I$7)))^2+Inputs!$C$6^2+((Inputs!$H$7+Inputs!$L$7*(((Inputs!$I$7+(((A220)+1)/2)*(Inputs!$J$7-Inputs!$I$7)))/Inputs!$K$7)^2))^2)))))/Inputs!$C$13),NA())</f>
        <v>-2760.6654385746915</v>
      </c>
      <c r="P220" s="9">
        <f>IF(OR(Inputs!$F$8=TRUE,Inputs!$F$8="TRUE",Inputs!$F$8=1),(-2*((1000*((((Inputs!$I$8+(((A220)+1)/2)*(Inputs!$J$8-Inputs!$I$8)))*Inputs!$C$11+((Inputs!$H$8+Inputs!$L$8*(((Inputs!$I$8+(((A220)+1)/2)*(Inputs!$J$8-Inputs!$I$8)))/Inputs!$K$8)^2))*((2*Inputs!$L$8*((Inputs!$I$8+(((A220)+1)/2)*(Inputs!$J$8-Inputs!$I$8)))/(Inputs!$K$8^2)*Inputs!$C$11)))/(SQRT(((Inputs!$I$8+(((A220)+1)/2)*(Inputs!$J$8-Inputs!$I$8)))^2+Inputs!$C$6^2+((Inputs!$H$8+Inputs!$L$8*(((Inputs!$I$8+(((A220)+1)/2)*(Inputs!$J$8-Inputs!$I$8)))/Inputs!$K$8)^2))^2)))))/Inputs!$C$13),NA())</f>
        <v>-3380.5497256420495</v>
      </c>
      <c r="Q220" s="9">
        <f>IF(OR(Inputs!$F$9=TRUE,Inputs!$F$9="TRUE",Inputs!$F$9=1),(-2*((1000*((((Inputs!$I$9+(((A220)+1)/2)*(Inputs!$J$9-Inputs!$I$9)))*Inputs!$C$11+((Inputs!$H$9+Inputs!$L$9*(((Inputs!$I$9+(((A220)+1)/2)*(Inputs!$J$9-Inputs!$I$9)))/Inputs!$K$9)^2))*((2*Inputs!$L$9*((Inputs!$I$9+(((A220)+1)/2)*(Inputs!$J$9-Inputs!$I$9)))/(Inputs!$K$9^2)*Inputs!$C$11)))/(SQRT(((Inputs!$I$9+(((A220)+1)/2)*(Inputs!$J$9-Inputs!$I$9)))^2+Inputs!$C$6^2+((Inputs!$H$9+Inputs!$L$9*(((Inputs!$I$9+(((A220)+1)/2)*(Inputs!$J$9-Inputs!$I$9)))/Inputs!$K$9)^2))^2)))))/Inputs!$C$13),NA())</f>
        <v>-3401.4810911454879</v>
      </c>
      <c r="R220" s="10"/>
      <c r="S220" s="9">
        <f t="shared" si="20"/>
        <v>0.81699999999999995</v>
      </c>
      <c r="T220" s="9">
        <f>(Inputs!$I$6+(((A220)+1)/2)*(Inputs!$J$6-Inputs!$I$6))</f>
        <v>49.019999999999996</v>
      </c>
      <c r="U220" s="9">
        <f>(Inputs!$I$7+(((A220)+1)/2)*(Inputs!$J$7-Inputs!$I$7))</f>
        <v>326.79999999999995</v>
      </c>
      <c r="V220" s="9">
        <f>(Inputs!$I$8+(((A220)+1)/2)*(Inputs!$J$8-Inputs!$I$8))</f>
        <v>653.59999999999991</v>
      </c>
      <c r="W220" s="9">
        <f>(Inputs!$I$9+(((A220)+1)/2)*(Inputs!$J$9-Inputs!$I$9))</f>
        <v>653.59999999999991</v>
      </c>
      <c r="X220" s="10"/>
      <c r="Y220" s="9">
        <f t="shared" si="21"/>
        <v>0.81699999999999995</v>
      </c>
      <c r="Z220" s="9">
        <f>(Inputs!$H$6+Inputs!$L$6*(((Inputs!$I$6+(((A220)+1)/2)*(Inputs!$J$6-Inputs!$I$6)))/Inputs!$K$6)^2)</f>
        <v>402.66995600000001</v>
      </c>
      <c r="AA220" s="9">
        <f>(Inputs!$H$7+Inputs!$L$7*(((Inputs!$I$7+(((A220)+1)/2)*(Inputs!$J$7-Inputs!$I$7)))/Inputs!$K$7)^2)</f>
        <v>278.63348499999995</v>
      </c>
      <c r="AB220" s="9">
        <f>(Inputs!$H$8+Inputs!$L$8*(((Inputs!$I$8+(((A220)+1)/2)*(Inputs!$J$8-Inputs!$I$8)))/Inputs!$K$8)^2)</f>
        <v>679.12688499999979</v>
      </c>
      <c r="AC220" s="9">
        <f>(Inputs!$H$9+Inputs!$L$9*(((Inputs!$I$9+(((A220)+1)/2)*(Inputs!$J$9-Inputs!$I$9)))/Inputs!$K$9)^2)</f>
        <v>675.80177499999979</v>
      </c>
      <c r="AD220" s="10"/>
      <c r="AE220" s="9">
        <f t="shared" si="22"/>
        <v>0.81699999999999995</v>
      </c>
      <c r="AF220" s="9">
        <f>(((SQRT(((Inputs!$I$6+(((A220)+1)/2)*(Inputs!$J$6-Inputs!$I$6)))^2+Inputs!$C$6^2+((Inputs!$H$6+Inputs!$L$6*(((Inputs!$I$6+(((A220)+1)/2)*(Inputs!$J$6-Inputs!$I$6)))/Inputs!$K$6)^2))^2))-((Inputs!$H$6+Inputs!$L$6*(((Inputs!$I$6+(((A220)+1)/2)*(Inputs!$J$6-Inputs!$I$6)))/Inputs!$K$6)^2)))*1000/Inputs!$C$12)</f>
        <v>2102.5069906940053</v>
      </c>
      <c r="AG220" s="9">
        <f>(((SQRT(((Inputs!$I$7+(((A220)+1)/2)*(Inputs!$J$7-Inputs!$I$7)))^2+Inputs!$C$6^2+((Inputs!$H$7+Inputs!$L$7*(((Inputs!$I$7+(((A220)+1)/2)*(Inputs!$J$7-Inputs!$I$7)))/Inputs!$K$7)^2))^2))-((Inputs!$H$7+Inputs!$L$7*(((Inputs!$I$7+(((A220)+1)/2)*(Inputs!$J$7-Inputs!$I$7)))/Inputs!$K$7)^2)))*1000/Inputs!$C$12)</f>
        <v>85141.7737953123</v>
      </c>
      <c r="AH220" s="9">
        <f>(((SQRT(((Inputs!$I$8+(((A220)+1)/2)*(Inputs!$J$8-Inputs!$I$8)))^2+Inputs!$C$6^2+((Inputs!$H$8+Inputs!$L$8*(((Inputs!$I$8+(((A220)+1)/2)*(Inputs!$J$8-Inputs!$I$8)))/Inputs!$K$8)^2))^2))-((Inputs!$H$8+Inputs!$L$8*(((Inputs!$I$8+(((A220)+1)/2)*(Inputs!$J$8-Inputs!$I$8)))/Inputs!$K$8)^2)))*1000/Inputs!$C$12)</f>
        <v>148178.4668499066</v>
      </c>
      <c r="AI220" s="9">
        <f>(((SQRT(((Inputs!$I$9+(((A220)+1)/2)*(Inputs!$J$9-Inputs!$I$9)))^2+Inputs!$C$6^2+((Inputs!$H$9+Inputs!$L$9*(((Inputs!$I$9+(((A220)+1)/2)*(Inputs!$J$9-Inputs!$I$9)))/Inputs!$K$9)^2))^2))-((Inputs!$H$9+Inputs!$L$9*(((Inputs!$I$9+(((A220)+1)/2)*(Inputs!$J$9-Inputs!$I$9)))/Inputs!$K$9)^2)))*1000/Inputs!$C$12)</f>
        <v>148702.61164595411</v>
      </c>
      <c r="AJ220" s="10"/>
      <c r="AK220" s="9">
        <f t="shared" si="23"/>
        <v>0.81699999999999995</v>
      </c>
      <c r="AL220" s="9">
        <f>(-2*((1000*((((Inputs!$I$6+(((A220)+1)/2)*(Inputs!$J$6-Inputs!$I$6)))*Inputs!$C$11+((Inputs!$H$6+Inputs!$L$6*(((Inputs!$I$6+(((A220)+1)/2)*(Inputs!$J$6-Inputs!$I$6)))/Inputs!$K$6)^2))*((2*Inputs!$L$6*((Inputs!$I$6+(((A220)+1)/2)*(Inputs!$J$6-Inputs!$I$6)))/(Inputs!$K$6^2)*Inputs!$C$11)))/(SQRT(((Inputs!$I$6+(((A220)+1)/2)*(Inputs!$J$6-Inputs!$I$6)))^2+Inputs!$C$6^2+((Inputs!$H$6+Inputs!$L$6*(((Inputs!$I$6+(((A220)+1)/2)*(Inputs!$J$6-Inputs!$I$6)))/Inputs!$K$6)^2))^2)))))/Inputs!$C$13)</f>
        <v>-365.67457616975088</v>
      </c>
      <c r="AM220" s="9">
        <f>(-2*((1000*((((Inputs!$I$7+(((A220)+1)/2)*(Inputs!$J$7-Inputs!$I$7)))*Inputs!$C$11+((Inputs!$H$7+Inputs!$L$7*(((Inputs!$I$7+(((A220)+1)/2)*(Inputs!$J$7-Inputs!$I$7)))/Inputs!$K$7)^2))*((2*Inputs!$L$7*((Inputs!$I$7+(((A220)+1)/2)*(Inputs!$J$7-Inputs!$I$7)))/(Inputs!$K$7^2)*Inputs!$C$11)))/(SQRT(((Inputs!$I$7+(((A220)+1)/2)*(Inputs!$J$7-Inputs!$I$7)))^2+Inputs!$C$6^2+((Inputs!$H$7+Inputs!$L$7*(((Inputs!$I$7+(((A220)+1)/2)*(Inputs!$J$7-Inputs!$I$7)))/Inputs!$K$7)^2))^2)))))/Inputs!$C$13)</f>
        <v>-2760.6654385746915</v>
      </c>
      <c r="AN220" s="9">
        <f>(-2*((1000*((((Inputs!$I$8+(((A220)+1)/2)*(Inputs!$J$8-Inputs!$I$8)))*Inputs!$C$11+((Inputs!$H$8+Inputs!$L$8*(((Inputs!$I$8+(((A220)+1)/2)*(Inputs!$J$8-Inputs!$I$8)))/Inputs!$K$8)^2))*((2*Inputs!$L$8*((Inputs!$I$8+(((A220)+1)/2)*(Inputs!$J$8-Inputs!$I$8)))/(Inputs!$K$8^2)*Inputs!$C$11)))/(SQRT(((Inputs!$I$8+(((A220)+1)/2)*(Inputs!$J$8-Inputs!$I$8)))^2+Inputs!$C$6^2+((Inputs!$H$8+Inputs!$L$8*(((Inputs!$I$8+(((A220)+1)/2)*(Inputs!$J$8-Inputs!$I$8)))/Inputs!$K$8)^2))^2)))))/Inputs!$C$13)</f>
        <v>-3380.5497256420495</v>
      </c>
      <c r="AO220" s="9">
        <f>(-2*((1000*((((Inputs!$I$9+(((A220)+1)/2)*(Inputs!$J$9-Inputs!$I$9)))*Inputs!$C$11+((Inputs!$H$9+Inputs!$L$9*(((Inputs!$I$9+(((A220)+1)/2)*(Inputs!$J$9-Inputs!$I$9)))/Inputs!$K$9)^2))*((2*Inputs!$L$9*((Inputs!$I$9+(((A220)+1)/2)*(Inputs!$J$9-Inputs!$I$9)))/(Inputs!$K$9^2)*Inputs!$C$11)))/(SQRT(((Inputs!$I$9+(((A220)+1)/2)*(Inputs!$J$9-Inputs!$I$9)))^2+Inputs!$C$6^2+((Inputs!$H$9+Inputs!$L$9*(((Inputs!$I$9+(((A220)+1)/2)*(Inputs!$J$9-Inputs!$I$9)))/Inputs!$K$9)^2))^2)))))/Inputs!$C$13)</f>
        <v>-3401.4810911454879</v>
      </c>
    </row>
    <row r="221" spans="1:41">
      <c r="A221" s="9">
        <f>ROUND(-1+219*2/240,3)</f>
        <v>0.82499999999999996</v>
      </c>
      <c r="B221" s="9">
        <f>IF(OR(Inputs!$F$6=TRUE,Inputs!$F$6="TRUE",Inputs!$F$6=1),(Inputs!$H$6+Inputs!$L$6*(((Inputs!$I$6+(((A221)+1)/2)*(Inputs!$J$6-Inputs!$I$6)))/Inputs!$K$6)^2),NA())</f>
        <v>402.72250000000003</v>
      </c>
      <c r="C221" s="9">
        <f>IF(OR(Inputs!$F$7=TRUE,Inputs!$F$7="TRUE",Inputs!$F$7=1),(Inputs!$H$7+Inputs!$L$7*(((Inputs!$I$7+(((A221)+1)/2)*(Inputs!$J$7-Inputs!$I$7)))/Inputs!$K$7)^2),NA())</f>
        <v>283.42812499999997</v>
      </c>
      <c r="D221" s="9">
        <f>IF(OR(Inputs!$F$8=TRUE,Inputs!$F$8="TRUE",Inputs!$F$8=1),(Inputs!$H$8+Inputs!$L$8*(((Inputs!$I$8+(((A221)+1)/2)*(Inputs!$J$8-Inputs!$I$8)))/Inputs!$K$8)^2),NA())</f>
        <v>691.80312499999991</v>
      </c>
      <c r="E221" s="9">
        <f>IF(OR(Inputs!$F$9=TRUE,Inputs!$F$9="TRUE",Inputs!$F$9=1),(Inputs!$H$9+Inputs!$L$9*(((Inputs!$I$9+(((A221)+1)/2)*(Inputs!$J$9-Inputs!$I$9)))/Inputs!$K$9)^2),NA())</f>
        <v>688.60937499999989</v>
      </c>
      <c r="F221" s="10"/>
      <c r="G221" s="9">
        <f t="shared" si="18"/>
        <v>0.82499999999999996</v>
      </c>
      <c r="H221" s="9">
        <f>IF(OR(Inputs!$F$6=TRUE,Inputs!$F$6="TRUE",Inputs!$F$6=1),(((SQRT(((Inputs!$I$6+(((A221)+1)/2)*(Inputs!$J$6-Inputs!$I$6)))^2+Inputs!$C$6^2+((Inputs!$H$6+Inputs!$L$6*(((Inputs!$I$6+(((A221)+1)/2)*(Inputs!$J$6-Inputs!$I$6)))/Inputs!$K$6)^2))^2))-((Inputs!$H$6+Inputs!$L$6*(((Inputs!$I$6+(((A221)+1)/2)*(Inputs!$J$6-Inputs!$I$6)))/Inputs!$K$6)^2)))*1000/Inputs!$C$12),NA())</f>
        <v>2134.9136872674544</v>
      </c>
      <c r="I221" s="9">
        <f>IF(OR(Inputs!$F$7=TRUE,Inputs!$F$7="TRUE",Inputs!$F$7=1),(((SQRT(((Inputs!$I$7+(((A221)+1)/2)*(Inputs!$J$7-Inputs!$I$7)))^2+Inputs!$C$6^2+((Inputs!$H$7+Inputs!$L$7*(((Inputs!$I$7+(((A221)+1)/2)*(Inputs!$J$7-Inputs!$I$7)))/Inputs!$K$7)^2))^2))-((Inputs!$H$7+Inputs!$L$7*(((Inputs!$I$7+(((A221)+1)/2)*(Inputs!$J$7-Inputs!$I$7)))/Inputs!$K$7)^2)))*1000/Inputs!$C$12),NA())</f>
        <v>85560.188098421859</v>
      </c>
      <c r="J221" s="9">
        <f>IF(OR(Inputs!$F$8=TRUE,Inputs!$F$8="TRUE",Inputs!$F$8=1),(((SQRT(((Inputs!$I$8+(((A221)+1)/2)*(Inputs!$J$8-Inputs!$I$8)))^2+Inputs!$C$6^2+((Inputs!$H$8+Inputs!$L$8*(((Inputs!$I$8+(((A221)+1)/2)*(Inputs!$J$8-Inputs!$I$8)))/Inputs!$K$8)^2))^2))-((Inputs!$H$8+Inputs!$L$8*(((Inputs!$I$8+(((A221)+1)/2)*(Inputs!$J$8-Inputs!$I$8)))/Inputs!$K$8)^2)))*1000/Inputs!$C$12),NA())</f>
        <v>148683.88203403619</v>
      </c>
      <c r="K221" s="9">
        <f>IF(OR(Inputs!$F$9=TRUE,Inputs!$F$9="TRUE",Inputs!$F$9=1),(((SQRT(((Inputs!$I$9+(((A221)+1)/2)*(Inputs!$J$9-Inputs!$I$9)))^2+Inputs!$C$6^2+((Inputs!$H$9+Inputs!$L$9*(((Inputs!$I$9+(((A221)+1)/2)*(Inputs!$J$9-Inputs!$I$9)))/Inputs!$K$9)^2))^2))-((Inputs!$H$9+Inputs!$L$9*(((Inputs!$I$9+(((A221)+1)/2)*(Inputs!$J$9-Inputs!$I$9)))/Inputs!$K$9)^2)))*1000/Inputs!$C$12),NA())</f>
        <v>149181.78940271804</v>
      </c>
      <c r="L221" s="10"/>
      <c r="M221" s="9">
        <f t="shared" si="19"/>
        <v>0.82499999999999996</v>
      </c>
      <c r="N221" s="9">
        <f>IF(OR(Inputs!$F$6=TRUE,Inputs!$F$6="TRUE",Inputs!$F$6=1),(-2*((1000*((((Inputs!$I$6+(((A221)+1)/2)*(Inputs!$J$6-Inputs!$I$6)))*Inputs!$C$11+((Inputs!$H$6+Inputs!$L$6*(((Inputs!$I$6+(((A221)+1)/2)*(Inputs!$J$6-Inputs!$I$6)))/Inputs!$K$6)^2))*((2*Inputs!$L$6*((Inputs!$I$6+(((A221)+1)/2)*(Inputs!$J$6-Inputs!$I$6)))/(Inputs!$K$6^2)*Inputs!$C$11)))/(SQRT(((Inputs!$I$6+(((A221)+1)/2)*(Inputs!$J$6-Inputs!$I$6)))^2+Inputs!$C$6^2+((Inputs!$H$6+Inputs!$L$6*(((Inputs!$I$6+(((A221)+1)/2)*(Inputs!$J$6-Inputs!$I$6)))/Inputs!$K$6)^2))^2)))))/Inputs!$C$13),NA())</f>
        <v>-369.17785846022554</v>
      </c>
      <c r="O221" s="9">
        <f>IF(OR(Inputs!$F$7=TRUE,Inputs!$F$7="TRUE",Inputs!$F$7=1),(-2*((1000*((((Inputs!$I$7+(((A221)+1)/2)*(Inputs!$J$7-Inputs!$I$7)))*Inputs!$C$11+((Inputs!$H$7+Inputs!$L$7*(((Inputs!$I$7+(((A221)+1)/2)*(Inputs!$J$7-Inputs!$I$7)))/Inputs!$K$7)^2))*((2*Inputs!$L$7*((Inputs!$I$7+(((A221)+1)/2)*(Inputs!$J$7-Inputs!$I$7)))/(Inputs!$K$7^2)*Inputs!$C$11)))/(SQRT(((Inputs!$I$7+(((A221)+1)/2)*(Inputs!$J$7-Inputs!$I$7)))^2+Inputs!$C$6^2+((Inputs!$H$7+Inputs!$L$7*(((Inputs!$I$7+(((A221)+1)/2)*(Inputs!$J$7-Inputs!$I$7)))/Inputs!$K$7)^2))^2)))))/Inputs!$C$13),NA())</f>
        <v>-2778.765577278079</v>
      </c>
      <c r="P221" s="9">
        <f>IF(OR(Inputs!$F$8=TRUE,Inputs!$F$8="TRUE",Inputs!$F$8=1),(-2*((1000*((((Inputs!$I$8+(((A221)+1)/2)*(Inputs!$J$8-Inputs!$I$8)))*Inputs!$C$11+((Inputs!$H$8+Inputs!$L$8*(((Inputs!$I$8+(((A221)+1)/2)*(Inputs!$J$8-Inputs!$I$8)))/Inputs!$K$8)^2))*((2*Inputs!$L$8*((Inputs!$I$8+(((A221)+1)/2)*(Inputs!$J$8-Inputs!$I$8)))/(Inputs!$K$8^2)*Inputs!$C$11)))/(SQRT(((Inputs!$I$8+(((A221)+1)/2)*(Inputs!$J$8-Inputs!$I$8)))^2+Inputs!$C$6^2+((Inputs!$H$8+Inputs!$L$8*(((Inputs!$I$8+(((A221)+1)/2)*(Inputs!$J$8-Inputs!$I$8)))/Inputs!$K$8)^2))^2)))))/Inputs!$C$13),NA())</f>
        <v>-3407.4039366744537</v>
      </c>
      <c r="Q221" s="9">
        <f>IF(OR(Inputs!$F$9=TRUE,Inputs!$F$9="TRUE",Inputs!$F$9=1),(-2*((1000*((((Inputs!$I$9+(((A221)+1)/2)*(Inputs!$J$9-Inputs!$I$9)))*Inputs!$C$11+((Inputs!$H$9+Inputs!$L$9*(((Inputs!$I$9+(((A221)+1)/2)*(Inputs!$J$9-Inputs!$I$9)))/Inputs!$K$9)^2))*((2*Inputs!$L$9*((Inputs!$I$9+(((A221)+1)/2)*(Inputs!$J$9-Inputs!$I$9)))/(Inputs!$K$9^2)*Inputs!$C$11)))/(SQRT(((Inputs!$I$9+(((A221)+1)/2)*(Inputs!$J$9-Inputs!$I$9)))^2+Inputs!$C$6^2+((Inputs!$H$9+Inputs!$L$9*(((Inputs!$I$9+(((A221)+1)/2)*(Inputs!$J$9-Inputs!$I$9)))/Inputs!$K$9)^2))^2)))))/Inputs!$C$13),NA())</f>
        <v>-3428.8010421235908</v>
      </c>
      <c r="R221" s="10"/>
      <c r="S221" s="9">
        <f t="shared" si="20"/>
        <v>0.82499999999999996</v>
      </c>
      <c r="T221" s="9">
        <f>(Inputs!$I$6+(((A221)+1)/2)*(Inputs!$J$6-Inputs!$I$6))</f>
        <v>49.5</v>
      </c>
      <c r="U221" s="9">
        <f>(Inputs!$I$7+(((A221)+1)/2)*(Inputs!$J$7-Inputs!$I$7))</f>
        <v>330</v>
      </c>
      <c r="V221" s="9">
        <f>(Inputs!$I$8+(((A221)+1)/2)*(Inputs!$J$8-Inputs!$I$8))</f>
        <v>660</v>
      </c>
      <c r="W221" s="9">
        <f>(Inputs!$I$9+(((A221)+1)/2)*(Inputs!$J$9-Inputs!$I$9))</f>
        <v>660</v>
      </c>
      <c r="X221" s="10"/>
      <c r="Y221" s="9">
        <f t="shared" si="21"/>
        <v>0.82499999999999996</v>
      </c>
      <c r="Z221" s="9">
        <f>(Inputs!$H$6+Inputs!$L$6*(((Inputs!$I$6+(((A221)+1)/2)*(Inputs!$J$6-Inputs!$I$6)))/Inputs!$K$6)^2)</f>
        <v>402.72250000000003</v>
      </c>
      <c r="AA221" s="9">
        <f>(Inputs!$H$7+Inputs!$L$7*(((Inputs!$I$7+(((A221)+1)/2)*(Inputs!$J$7-Inputs!$I$7)))/Inputs!$K$7)^2)</f>
        <v>283.42812499999997</v>
      </c>
      <c r="AB221" s="9">
        <f>(Inputs!$H$8+Inputs!$L$8*(((Inputs!$I$8+(((A221)+1)/2)*(Inputs!$J$8-Inputs!$I$8)))/Inputs!$K$8)^2)</f>
        <v>691.80312499999991</v>
      </c>
      <c r="AC221" s="9">
        <f>(Inputs!$H$9+Inputs!$L$9*(((Inputs!$I$9+(((A221)+1)/2)*(Inputs!$J$9-Inputs!$I$9)))/Inputs!$K$9)^2)</f>
        <v>688.60937499999989</v>
      </c>
      <c r="AD221" s="10"/>
      <c r="AE221" s="9">
        <f t="shared" si="22"/>
        <v>0.82499999999999996</v>
      </c>
      <c r="AF221" s="9">
        <f>(((SQRT(((Inputs!$I$6+(((A221)+1)/2)*(Inputs!$J$6-Inputs!$I$6)))^2+Inputs!$C$6^2+((Inputs!$H$6+Inputs!$L$6*(((Inputs!$I$6+(((A221)+1)/2)*(Inputs!$J$6-Inputs!$I$6)))/Inputs!$K$6)^2))^2))-((Inputs!$H$6+Inputs!$L$6*(((Inputs!$I$6+(((A221)+1)/2)*(Inputs!$J$6-Inputs!$I$6)))/Inputs!$K$6)^2)))*1000/Inputs!$C$12)</f>
        <v>2134.9136872674544</v>
      </c>
      <c r="AG221" s="9">
        <f>(((SQRT(((Inputs!$I$7+(((A221)+1)/2)*(Inputs!$J$7-Inputs!$I$7)))^2+Inputs!$C$6^2+((Inputs!$H$7+Inputs!$L$7*(((Inputs!$I$7+(((A221)+1)/2)*(Inputs!$J$7-Inputs!$I$7)))/Inputs!$K$7)^2))^2))-((Inputs!$H$7+Inputs!$L$7*(((Inputs!$I$7+(((A221)+1)/2)*(Inputs!$J$7-Inputs!$I$7)))/Inputs!$K$7)^2)))*1000/Inputs!$C$12)</f>
        <v>85560.188098421859</v>
      </c>
      <c r="AH221" s="9">
        <f>(((SQRT(((Inputs!$I$8+(((A221)+1)/2)*(Inputs!$J$8-Inputs!$I$8)))^2+Inputs!$C$6^2+((Inputs!$H$8+Inputs!$L$8*(((Inputs!$I$8+(((A221)+1)/2)*(Inputs!$J$8-Inputs!$I$8)))/Inputs!$K$8)^2))^2))-((Inputs!$H$8+Inputs!$L$8*(((Inputs!$I$8+(((A221)+1)/2)*(Inputs!$J$8-Inputs!$I$8)))/Inputs!$K$8)^2)))*1000/Inputs!$C$12)</f>
        <v>148683.88203403619</v>
      </c>
      <c r="AI221" s="9">
        <f>(((SQRT(((Inputs!$I$9+(((A221)+1)/2)*(Inputs!$J$9-Inputs!$I$9)))^2+Inputs!$C$6^2+((Inputs!$H$9+Inputs!$L$9*(((Inputs!$I$9+(((A221)+1)/2)*(Inputs!$J$9-Inputs!$I$9)))/Inputs!$K$9)^2))^2))-((Inputs!$H$9+Inputs!$L$9*(((Inputs!$I$9+(((A221)+1)/2)*(Inputs!$J$9-Inputs!$I$9)))/Inputs!$K$9)^2)))*1000/Inputs!$C$12)</f>
        <v>149181.78940271804</v>
      </c>
      <c r="AJ221" s="10"/>
      <c r="AK221" s="9">
        <f t="shared" si="23"/>
        <v>0.82499999999999996</v>
      </c>
      <c r="AL221" s="9">
        <f>(-2*((1000*((((Inputs!$I$6+(((A221)+1)/2)*(Inputs!$J$6-Inputs!$I$6)))*Inputs!$C$11+((Inputs!$H$6+Inputs!$L$6*(((Inputs!$I$6+(((A221)+1)/2)*(Inputs!$J$6-Inputs!$I$6)))/Inputs!$K$6)^2))*((2*Inputs!$L$6*((Inputs!$I$6+(((A221)+1)/2)*(Inputs!$J$6-Inputs!$I$6)))/(Inputs!$K$6^2)*Inputs!$C$11)))/(SQRT(((Inputs!$I$6+(((A221)+1)/2)*(Inputs!$J$6-Inputs!$I$6)))^2+Inputs!$C$6^2+((Inputs!$H$6+Inputs!$L$6*(((Inputs!$I$6+(((A221)+1)/2)*(Inputs!$J$6-Inputs!$I$6)))/Inputs!$K$6)^2))^2)))))/Inputs!$C$13)</f>
        <v>-369.17785846022554</v>
      </c>
      <c r="AM221" s="9">
        <f>(-2*((1000*((((Inputs!$I$7+(((A221)+1)/2)*(Inputs!$J$7-Inputs!$I$7)))*Inputs!$C$11+((Inputs!$H$7+Inputs!$L$7*(((Inputs!$I$7+(((A221)+1)/2)*(Inputs!$J$7-Inputs!$I$7)))/Inputs!$K$7)^2))*((2*Inputs!$L$7*((Inputs!$I$7+(((A221)+1)/2)*(Inputs!$J$7-Inputs!$I$7)))/(Inputs!$K$7^2)*Inputs!$C$11)))/(SQRT(((Inputs!$I$7+(((A221)+1)/2)*(Inputs!$J$7-Inputs!$I$7)))^2+Inputs!$C$6^2+((Inputs!$H$7+Inputs!$L$7*(((Inputs!$I$7+(((A221)+1)/2)*(Inputs!$J$7-Inputs!$I$7)))/Inputs!$K$7)^2))^2)))))/Inputs!$C$13)</f>
        <v>-2778.765577278079</v>
      </c>
      <c r="AN221" s="9">
        <f>(-2*((1000*((((Inputs!$I$8+(((A221)+1)/2)*(Inputs!$J$8-Inputs!$I$8)))*Inputs!$C$11+((Inputs!$H$8+Inputs!$L$8*(((Inputs!$I$8+(((A221)+1)/2)*(Inputs!$J$8-Inputs!$I$8)))/Inputs!$K$8)^2))*((2*Inputs!$L$8*((Inputs!$I$8+(((A221)+1)/2)*(Inputs!$J$8-Inputs!$I$8)))/(Inputs!$K$8^2)*Inputs!$C$11)))/(SQRT(((Inputs!$I$8+(((A221)+1)/2)*(Inputs!$J$8-Inputs!$I$8)))^2+Inputs!$C$6^2+((Inputs!$H$8+Inputs!$L$8*(((Inputs!$I$8+(((A221)+1)/2)*(Inputs!$J$8-Inputs!$I$8)))/Inputs!$K$8)^2))^2)))))/Inputs!$C$13)</f>
        <v>-3407.4039366744537</v>
      </c>
      <c r="AO221" s="9">
        <f>(-2*((1000*((((Inputs!$I$9+(((A221)+1)/2)*(Inputs!$J$9-Inputs!$I$9)))*Inputs!$C$11+((Inputs!$H$9+Inputs!$L$9*(((Inputs!$I$9+(((A221)+1)/2)*(Inputs!$J$9-Inputs!$I$9)))/Inputs!$K$9)^2))*((2*Inputs!$L$9*((Inputs!$I$9+(((A221)+1)/2)*(Inputs!$J$9-Inputs!$I$9)))/(Inputs!$K$9^2)*Inputs!$C$11)))/(SQRT(((Inputs!$I$9+(((A221)+1)/2)*(Inputs!$J$9-Inputs!$I$9)))^2+Inputs!$C$6^2+((Inputs!$H$9+Inputs!$L$9*(((Inputs!$I$9+(((A221)+1)/2)*(Inputs!$J$9-Inputs!$I$9)))/Inputs!$K$9)^2))^2)))))/Inputs!$C$13)</f>
        <v>-3428.8010421235908</v>
      </c>
    </row>
    <row r="222" spans="1:41">
      <c r="A222" s="9">
        <f>ROUND(-1+220*2/240,3)</f>
        <v>0.83299999999999996</v>
      </c>
      <c r="B222" s="9">
        <f>IF(OR(Inputs!$F$6=TRUE,Inputs!$F$6="TRUE",Inputs!$F$6=1),(Inputs!$H$6+Inputs!$L$6*(((Inputs!$I$6+(((A222)+1)/2)*(Inputs!$J$6-Inputs!$I$6)))/Inputs!$K$6)^2),NA())</f>
        <v>402.77555599999999</v>
      </c>
      <c r="C222" s="9">
        <f>IF(OR(Inputs!$F$7=TRUE,Inputs!$F$7="TRUE",Inputs!$F$7=1),(Inputs!$H$7+Inputs!$L$7*(((Inputs!$I$7+(((A222)+1)/2)*(Inputs!$J$7-Inputs!$I$7)))/Inputs!$K$7)^2),NA())</f>
        <v>288.26948499999992</v>
      </c>
      <c r="D222" s="9">
        <f>IF(OR(Inputs!$F$8=TRUE,Inputs!$F$8="TRUE",Inputs!$F$8=1),(Inputs!$H$8+Inputs!$L$8*(((Inputs!$I$8+(((A222)+1)/2)*(Inputs!$J$8-Inputs!$I$8)))/Inputs!$K$8)^2),NA())</f>
        <v>704.60288499999979</v>
      </c>
      <c r="E222" s="9">
        <f>IF(OR(Inputs!$F$9=TRUE,Inputs!$F$9="TRUE",Inputs!$F$9=1),(Inputs!$H$9+Inputs!$L$9*(((Inputs!$I$9+(((A222)+1)/2)*(Inputs!$J$9-Inputs!$I$9)))/Inputs!$K$9)^2),NA())</f>
        <v>701.5417749999998</v>
      </c>
      <c r="F222" s="10"/>
      <c r="G222" s="9">
        <f t="shared" si="18"/>
        <v>0.83299999999999996</v>
      </c>
      <c r="H222" s="9">
        <f>IF(OR(Inputs!$F$6=TRUE,Inputs!$F$6="TRUE",Inputs!$F$6=1),(((SQRT(((Inputs!$I$6+(((A222)+1)/2)*(Inputs!$J$6-Inputs!$I$6)))^2+Inputs!$C$6^2+((Inputs!$H$6+Inputs!$L$6*(((Inputs!$I$6+(((A222)+1)/2)*(Inputs!$J$6-Inputs!$I$6)))/Inputs!$K$6)^2))^2))-((Inputs!$H$6+Inputs!$L$6*(((Inputs!$I$6+(((A222)+1)/2)*(Inputs!$J$6-Inputs!$I$6)))/Inputs!$K$6)^2)))*1000/Inputs!$C$12),NA())</f>
        <v>2167.6229993089323</v>
      </c>
      <c r="I222" s="9">
        <f>IF(OR(Inputs!$F$7=TRUE,Inputs!$F$7="TRUE",Inputs!$F$7=1),(((SQRT(((Inputs!$I$7+(((A222)+1)/2)*(Inputs!$J$7-Inputs!$I$7)))^2+Inputs!$C$6^2+((Inputs!$H$7+Inputs!$L$7*(((Inputs!$I$7+(((A222)+1)/2)*(Inputs!$J$7-Inputs!$I$7)))/Inputs!$K$7)^2))^2))-((Inputs!$H$7+Inputs!$L$7*(((Inputs!$I$7+(((A222)+1)/2)*(Inputs!$J$7-Inputs!$I$7)))/Inputs!$K$7)^2)))*1000/Inputs!$C$12),NA())</f>
        <v>85972.737927170267</v>
      </c>
      <c r="J222" s="9">
        <f>IF(OR(Inputs!$F$8=TRUE,Inputs!$F$8="TRUE",Inputs!$F$8=1),(((SQRT(((Inputs!$I$8+(((A222)+1)/2)*(Inputs!$J$8-Inputs!$I$8)))^2+Inputs!$C$6^2+((Inputs!$H$8+Inputs!$L$8*(((Inputs!$I$8+(((A222)+1)/2)*(Inputs!$J$8-Inputs!$I$8)))/Inputs!$K$8)^2))^2))-((Inputs!$H$8+Inputs!$L$8*(((Inputs!$I$8+(((A222)+1)/2)*(Inputs!$J$8-Inputs!$I$8)))/Inputs!$K$8)^2)))*1000/Inputs!$C$12),NA())</f>
        <v>149180.34517064891</v>
      </c>
      <c r="K222" s="9">
        <f>IF(OR(Inputs!$F$9=TRUE,Inputs!$F$9="TRUE",Inputs!$F$9=1),(((SQRT(((Inputs!$I$9+(((A222)+1)/2)*(Inputs!$J$9-Inputs!$I$9)))^2+Inputs!$C$6^2+((Inputs!$H$9+Inputs!$L$9*(((Inputs!$I$9+(((A222)+1)/2)*(Inputs!$J$9-Inputs!$I$9)))/Inputs!$K$9)^2))^2))-((Inputs!$H$9+Inputs!$L$9*(((Inputs!$I$9+(((A222)+1)/2)*(Inputs!$J$9-Inputs!$I$9)))/Inputs!$K$9)^2)))*1000/Inputs!$C$12),NA())</f>
        <v>149652.34113318572</v>
      </c>
      <c r="L222" s="10"/>
      <c r="M222" s="9">
        <f t="shared" si="19"/>
        <v>0.83299999999999996</v>
      </c>
      <c r="N222" s="9">
        <f>IF(OR(Inputs!$F$6=TRUE,Inputs!$F$6="TRUE",Inputs!$F$6=1),(-2*((1000*((((Inputs!$I$6+(((A222)+1)/2)*(Inputs!$J$6-Inputs!$I$6)))*Inputs!$C$11+((Inputs!$H$6+Inputs!$L$6*(((Inputs!$I$6+(((A222)+1)/2)*(Inputs!$J$6-Inputs!$I$6)))/Inputs!$K$6)^2))*((2*Inputs!$L$6*((Inputs!$I$6+(((A222)+1)/2)*(Inputs!$J$6-Inputs!$I$6)))/(Inputs!$K$6^2)*Inputs!$C$11)))/(SQRT(((Inputs!$I$6+(((A222)+1)/2)*(Inputs!$J$6-Inputs!$I$6)))^2+Inputs!$C$6^2+((Inputs!$H$6+Inputs!$L$6*(((Inputs!$I$6+(((A222)+1)/2)*(Inputs!$J$6-Inputs!$I$6)))/Inputs!$K$6)^2))^2)))))/Inputs!$C$13),NA())</f>
        <v>-372.67894333802207</v>
      </c>
      <c r="O222" s="9">
        <f>IF(OR(Inputs!$F$7=TRUE,Inputs!$F$7="TRUE",Inputs!$F$7=1),(-2*((1000*((((Inputs!$I$7+(((A222)+1)/2)*(Inputs!$J$7-Inputs!$I$7)))*Inputs!$C$11+((Inputs!$H$7+Inputs!$L$7*(((Inputs!$I$7+(((A222)+1)/2)*(Inputs!$J$7-Inputs!$I$7)))/Inputs!$K$7)^2))*((2*Inputs!$L$7*((Inputs!$I$7+(((A222)+1)/2)*(Inputs!$J$7-Inputs!$I$7)))/(Inputs!$K$7^2)*Inputs!$C$11)))/(SQRT(((Inputs!$I$7+(((A222)+1)/2)*(Inputs!$J$7-Inputs!$I$7)))^2+Inputs!$C$6^2+((Inputs!$H$7+Inputs!$L$7*(((Inputs!$I$7+(((A222)+1)/2)*(Inputs!$J$7-Inputs!$I$7)))/Inputs!$K$7)^2))^2)))))/Inputs!$C$13),NA())</f>
        <v>-2796.9464845511202</v>
      </c>
      <c r="P222" s="9">
        <f>IF(OR(Inputs!$F$8=TRUE,Inputs!$F$8="TRUE",Inputs!$F$8=1),(-2*((1000*((((Inputs!$I$8+(((A222)+1)/2)*(Inputs!$J$8-Inputs!$I$8)))*Inputs!$C$11+((Inputs!$H$8+Inputs!$L$8*(((Inputs!$I$8+(((A222)+1)/2)*(Inputs!$J$8-Inputs!$I$8)))/Inputs!$K$8)^2))*((2*Inputs!$L$8*((Inputs!$I$8+(((A222)+1)/2)*(Inputs!$J$8-Inputs!$I$8)))/(Inputs!$K$8^2)*Inputs!$C$11)))/(SQRT(((Inputs!$I$8+(((A222)+1)/2)*(Inputs!$J$8-Inputs!$I$8)))^2+Inputs!$C$6^2+((Inputs!$H$8+Inputs!$L$8*(((Inputs!$I$8+(((A222)+1)/2)*(Inputs!$J$8-Inputs!$I$8)))/Inputs!$K$8)^2))^2)))))/Inputs!$C$13),NA())</f>
        <v>-3434.3420872089273</v>
      </c>
      <c r="Q222" s="9">
        <f>IF(OR(Inputs!$F$9=TRUE,Inputs!$F$9="TRUE",Inputs!$F$9=1),(-2*((1000*((((Inputs!$I$9+(((A222)+1)/2)*(Inputs!$J$9-Inputs!$I$9)))*Inputs!$C$11+((Inputs!$H$9+Inputs!$L$9*(((Inputs!$I$9+(((A222)+1)/2)*(Inputs!$J$9-Inputs!$I$9)))/Inputs!$K$9)^2))*((2*Inputs!$L$9*((Inputs!$I$9+(((A222)+1)/2)*(Inputs!$J$9-Inputs!$I$9)))/(Inputs!$K$9^2)*Inputs!$C$11)))/(SQRT(((Inputs!$I$9+(((A222)+1)/2)*(Inputs!$J$9-Inputs!$I$9)))^2+Inputs!$C$6^2+((Inputs!$H$9+Inputs!$L$9*(((Inputs!$I$9+(((A222)+1)/2)*(Inputs!$J$9-Inputs!$I$9)))/Inputs!$K$9)^2))^2)))))/Inputs!$C$13),NA())</f>
        <v>-3456.2036072622191</v>
      </c>
      <c r="R222" s="10"/>
      <c r="S222" s="9">
        <f t="shared" si="20"/>
        <v>0.83299999999999996</v>
      </c>
      <c r="T222" s="9">
        <f>(Inputs!$I$6+(((A222)+1)/2)*(Inputs!$J$6-Inputs!$I$6))</f>
        <v>49.980000000000004</v>
      </c>
      <c r="U222" s="9">
        <f>(Inputs!$I$7+(((A222)+1)/2)*(Inputs!$J$7-Inputs!$I$7))</f>
        <v>333.19999999999993</v>
      </c>
      <c r="V222" s="9">
        <f>(Inputs!$I$8+(((A222)+1)/2)*(Inputs!$J$8-Inputs!$I$8))</f>
        <v>666.39999999999986</v>
      </c>
      <c r="W222" s="9">
        <f>(Inputs!$I$9+(((A222)+1)/2)*(Inputs!$J$9-Inputs!$I$9))</f>
        <v>666.39999999999986</v>
      </c>
      <c r="X222" s="10"/>
      <c r="Y222" s="9">
        <f t="shared" si="21"/>
        <v>0.83299999999999996</v>
      </c>
      <c r="Z222" s="9">
        <f>(Inputs!$H$6+Inputs!$L$6*(((Inputs!$I$6+(((A222)+1)/2)*(Inputs!$J$6-Inputs!$I$6)))/Inputs!$K$6)^2)</f>
        <v>402.77555599999999</v>
      </c>
      <c r="AA222" s="9">
        <f>(Inputs!$H$7+Inputs!$L$7*(((Inputs!$I$7+(((A222)+1)/2)*(Inputs!$J$7-Inputs!$I$7)))/Inputs!$K$7)^2)</f>
        <v>288.26948499999992</v>
      </c>
      <c r="AB222" s="9">
        <f>(Inputs!$H$8+Inputs!$L$8*(((Inputs!$I$8+(((A222)+1)/2)*(Inputs!$J$8-Inputs!$I$8)))/Inputs!$K$8)^2)</f>
        <v>704.60288499999979</v>
      </c>
      <c r="AC222" s="9">
        <f>(Inputs!$H$9+Inputs!$L$9*(((Inputs!$I$9+(((A222)+1)/2)*(Inputs!$J$9-Inputs!$I$9)))/Inputs!$K$9)^2)</f>
        <v>701.5417749999998</v>
      </c>
      <c r="AD222" s="10"/>
      <c r="AE222" s="9">
        <f t="shared" si="22"/>
        <v>0.83299999999999996</v>
      </c>
      <c r="AF222" s="9">
        <f>(((SQRT(((Inputs!$I$6+(((A222)+1)/2)*(Inputs!$J$6-Inputs!$I$6)))^2+Inputs!$C$6^2+((Inputs!$H$6+Inputs!$L$6*(((Inputs!$I$6+(((A222)+1)/2)*(Inputs!$J$6-Inputs!$I$6)))/Inputs!$K$6)^2))^2))-((Inputs!$H$6+Inputs!$L$6*(((Inputs!$I$6+(((A222)+1)/2)*(Inputs!$J$6-Inputs!$I$6)))/Inputs!$K$6)^2)))*1000/Inputs!$C$12)</f>
        <v>2167.6229993089323</v>
      </c>
      <c r="AG222" s="9">
        <f>(((SQRT(((Inputs!$I$7+(((A222)+1)/2)*(Inputs!$J$7-Inputs!$I$7)))^2+Inputs!$C$6^2+((Inputs!$H$7+Inputs!$L$7*(((Inputs!$I$7+(((A222)+1)/2)*(Inputs!$J$7-Inputs!$I$7)))/Inputs!$K$7)^2))^2))-((Inputs!$H$7+Inputs!$L$7*(((Inputs!$I$7+(((A222)+1)/2)*(Inputs!$J$7-Inputs!$I$7)))/Inputs!$K$7)^2)))*1000/Inputs!$C$12)</f>
        <v>85972.737927170267</v>
      </c>
      <c r="AH222" s="9">
        <f>(((SQRT(((Inputs!$I$8+(((A222)+1)/2)*(Inputs!$J$8-Inputs!$I$8)))^2+Inputs!$C$6^2+((Inputs!$H$8+Inputs!$L$8*(((Inputs!$I$8+(((A222)+1)/2)*(Inputs!$J$8-Inputs!$I$8)))/Inputs!$K$8)^2))^2))-((Inputs!$H$8+Inputs!$L$8*(((Inputs!$I$8+(((A222)+1)/2)*(Inputs!$J$8-Inputs!$I$8)))/Inputs!$K$8)^2)))*1000/Inputs!$C$12)</f>
        <v>149180.34517064891</v>
      </c>
      <c r="AI222" s="9">
        <f>(((SQRT(((Inputs!$I$9+(((A222)+1)/2)*(Inputs!$J$9-Inputs!$I$9)))^2+Inputs!$C$6^2+((Inputs!$H$9+Inputs!$L$9*(((Inputs!$I$9+(((A222)+1)/2)*(Inputs!$J$9-Inputs!$I$9)))/Inputs!$K$9)^2))^2))-((Inputs!$H$9+Inputs!$L$9*(((Inputs!$I$9+(((A222)+1)/2)*(Inputs!$J$9-Inputs!$I$9)))/Inputs!$K$9)^2)))*1000/Inputs!$C$12)</f>
        <v>149652.34113318572</v>
      </c>
      <c r="AJ222" s="10"/>
      <c r="AK222" s="9">
        <f t="shared" si="23"/>
        <v>0.83299999999999996</v>
      </c>
      <c r="AL222" s="9">
        <f>(-2*((1000*((((Inputs!$I$6+(((A222)+1)/2)*(Inputs!$J$6-Inputs!$I$6)))*Inputs!$C$11+((Inputs!$H$6+Inputs!$L$6*(((Inputs!$I$6+(((A222)+1)/2)*(Inputs!$J$6-Inputs!$I$6)))/Inputs!$K$6)^2))*((2*Inputs!$L$6*((Inputs!$I$6+(((A222)+1)/2)*(Inputs!$J$6-Inputs!$I$6)))/(Inputs!$K$6^2)*Inputs!$C$11)))/(SQRT(((Inputs!$I$6+(((A222)+1)/2)*(Inputs!$J$6-Inputs!$I$6)))^2+Inputs!$C$6^2+((Inputs!$H$6+Inputs!$L$6*(((Inputs!$I$6+(((A222)+1)/2)*(Inputs!$J$6-Inputs!$I$6)))/Inputs!$K$6)^2))^2)))))/Inputs!$C$13)</f>
        <v>-372.67894333802207</v>
      </c>
      <c r="AM222" s="9">
        <f>(-2*((1000*((((Inputs!$I$7+(((A222)+1)/2)*(Inputs!$J$7-Inputs!$I$7)))*Inputs!$C$11+((Inputs!$H$7+Inputs!$L$7*(((Inputs!$I$7+(((A222)+1)/2)*(Inputs!$J$7-Inputs!$I$7)))/Inputs!$K$7)^2))*((2*Inputs!$L$7*((Inputs!$I$7+(((A222)+1)/2)*(Inputs!$J$7-Inputs!$I$7)))/(Inputs!$K$7^2)*Inputs!$C$11)))/(SQRT(((Inputs!$I$7+(((A222)+1)/2)*(Inputs!$J$7-Inputs!$I$7)))^2+Inputs!$C$6^2+((Inputs!$H$7+Inputs!$L$7*(((Inputs!$I$7+(((A222)+1)/2)*(Inputs!$J$7-Inputs!$I$7)))/Inputs!$K$7)^2))^2)))))/Inputs!$C$13)</f>
        <v>-2796.9464845511202</v>
      </c>
      <c r="AN222" s="9">
        <f>(-2*((1000*((((Inputs!$I$8+(((A222)+1)/2)*(Inputs!$J$8-Inputs!$I$8)))*Inputs!$C$11+((Inputs!$H$8+Inputs!$L$8*(((Inputs!$I$8+(((A222)+1)/2)*(Inputs!$J$8-Inputs!$I$8)))/Inputs!$K$8)^2))*((2*Inputs!$L$8*((Inputs!$I$8+(((A222)+1)/2)*(Inputs!$J$8-Inputs!$I$8)))/(Inputs!$K$8^2)*Inputs!$C$11)))/(SQRT(((Inputs!$I$8+(((A222)+1)/2)*(Inputs!$J$8-Inputs!$I$8)))^2+Inputs!$C$6^2+((Inputs!$H$8+Inputs!$L$8*(((Inputs!$I$8+(((A222)+1)/2)*(Inputs!$J$8-Inputs!$I$8)))/Inputs!$K$8)^2))^2)))))/Inputs!$C$13)</f>
        <v>-3434.3420872089273</v>
      </c>
      <c r="AO222" s="9">
        <f>(-2*((1000*((((Inputs!$I$9+(((A222)+1)/2)*(Inputs!$J$9-Inputs!$I$9)))*Inputs!$C$11+((Inputs!$H$9+Inputs!$L$9*(((Inputs!$I$9+(((A222)+1)/2)*(Inputs!$J$9-Inputs!$I$9)))/Inputs!$K$9)^2))*((2*Inputs!$L$9*((Inputs!$I$9+(((A222)+1)/2)*(Inputs!$J$9-Inputs!$I$9)))/(Inputs!$K$9^2)*Inputs!$C$11)))/(SQRT(((Inputs!$I$9+(((A222)+1)/2)*(Inputs!$J$9-Inputs!$I$9)))^2+Inputs!$C$6^2+((Inputs!$H$9+Inputs!$L$9*(((Inputs!$I$9+(((A222)+1)/2)*(Inputs!$J$9-Inputs!$I$9)))/Inputs!$K$9)^2))^2)))))/Inputs!$C$13)</f>
        <v>-3456.2036072622191</v>
      </c>
    </row>
    <row r="223" spans="1:41">
      <c r="A223" s="9">
        <f>ROUND(-1+221*2/240,3)</f>
        <v>0.84199999999999997</v>
      </c>
      <c r="B223" s="9">
        <f>IF(OR(Inputs!$F$6=TRUE,Inputs!$F$6="TRUE",Inputs!$F$6=1),(Inputs!$H$6+Inputs!$L$6*(((Inputs!$I$6+(((A223)+1)/2)*(Inputs!$J$6-Inputs!$I$6)))/Inputs!$K$6)^2),NA())</f>
        <v>402.83585599999998</v>
      </c>
      <c r="C223" s="9">
        <f>IF(OR(Inputs!$F$7=TRUE,Inputs!$F$7="TRUE",Inputs!$F$7=1),(Inputs!$H$7+Inputs!$L$7*(((Inputs!$I$7+(((A223)+1)/2)*(Inputs!$J$7-Inputs!$I$7)))/Inputs!$K$7)^2),NA())</f>
        <v>293.77186000000012</v>
      </c>
      <c r="D223" s="9">
        <f>IF(OR(Inputs!$F$8=TRUE,Inputs!$F$8="TRUE",Inputs!$F$8=1),(Inputs!$H$8+Inputs!$L$8*(((Inputs!$I$8+(((A223)+1)/2)*(Inputs!$J$8-Inputs!$I$8)))/Inputs!$K$8)^2),NA())</f>
        <v>719.15026000000034</v>
      </c>
      <c r="E223" s="9">
        <f>IF(OR(Inputs!$F$9=TRUE,Inputs!$F$9="TRUE",Inputs!$F$9=1),(Inputs!$H$9+Inputs!$L$9*(((Inputs!$I$9+(((A223)+1)/2)*(Inputs!$J$9-Inputs!$I$9)))/Inputs!$K$9)^2),NA())</f>
        <v>716.23990000000038</v>
      </c>
      <c r="F223" s="10"/>
      <c r="G223" s="9">
        <f t="shared" si="18"/>
        <v>0.84199999999999997</v>
      </c>
      <c r="H223" s="9">
        <f>IF(OR(Inputs!$F$6=TRUE,Inputs!$F$6="TRUE",Inputs!$F$6=1),(((SQRT(((Inputs!$I$6+(((A223)+1)/2)*(Inputs!$J$6-Inputs!$I$6)))^2+Inputs!$C$6^2+((Inputs!$H$6+Inputs!$L$6*(((Inputs!$I$6+(((A223)+1)/2)*(Inputs!$J$6-Inputs!$I$6)))/Inputs!$K$6)^2))^2))-((Inputs!$H$6+Inputs!$L$6*(((Inputs!$I$6+(((A223)+1)/2)*(Inputs!$J$6-Inputs!$I$6)))/Inputs!$K$6)^2)))*1000/Inputs!$C$12),NA())</f>
        <v>2204.7822322393863</v>
      </c>
      <c r="I223" s="9">
        <f>IF(OR(Inputs!$F$7=TRUE,Inputs!$F$7="TRUE",Inputs!$F$7=1),(((SQRT(((Inputs!$I$7+(((A223)+1)/2)*(Inputs!$J$7-Inputs!$I$7)))^2+Inputs!$C$6^2+((Inputs!$H$7+Inputs!$L$7*(((Inputs!$I$7+(((A223)+1)/2)*(Inputs!$J$7-Inputs!$I$7)))/Inputs!$K$7)^2))^2))-((Inputs!$H$7+Inputs!$L$7*(((Inputs!$I$7+(((A223)+1)/2)*(Inputs!$J$7-Inputs!$I$7)))/Inputs!$K$7)^2)))*1000/Inputs!$C$12),NA())</f>
        <v>86429.958756615073</v>
      </c>
      <c r="J223" s="9">
        <f>IF(OR(Inputs!$F$8=TRUE,Inputs!$F$8="TRUE",Inputs!$F$8=1),(((SQRT(((Inputs!$I$8+(((A223)+1)/2)*(Inputs!$J$8-Inputs!$I$8)))^2+Inputs!$C$6^2+((Inputs!$H$8+Inputs!$L$8*(((Inputs!$I$8+(((A223)+1)/2)*(Inputs!$J$8-Inputs!$I$8)))/Inputs!$K$8)^2))^2))-((Inputs!$H$8+Inputs!$L$8*(((Inputs!$I$8+(((A223)+1)/2)*(Inputs!$J$8-Inputs!$I$8)))/Inputs!$K$8)^2)))*1000/Inputs!$C$12),NA())</f>
        <v>149728.39777137816</v>
      </c>
      <c r="K223" s="9">
        <f>IF(OR(Inputs!$F$9=TRUE,Inputs!$F$9="TRUE",Inputs!$F$9=1),(((SQRT(((Inputs!$I$9+(((A223)+1)/2)*(Inputs!$J$9-Inputs!$I$9)))^2+Inputs!$C$6^2+((Inputs!$H$9+Inputs!$L$9*(((Inputs!$I$9+(((A223)+1)/2)*(Inputs!$J$9-Inputs!$I$9)))/Inputs!$K$9)^2))^2))-((Inputs!$H$9+Inputs!$L$9*(((Inputs!$I$9+(((A223)+1)/2)*(Inputs!$J$9-Inputs!$I$9)))/Inputs!$K$9)^2)))*1000/Inputs!$C$12),NA())</f>
        <v>150171.62935366906</v>
      </c>
      <c r="L223" s="10"/>
      <c r="M223" s="9">
        <f t="shared" si="19"/>
        <v>0.84199999999999997</v>
      </c>
      <c r="N223" s="9">
        <f>IF(OR(Inputs!$F$6=TRUE,Inputs!$F$6="TRUE",Inputs!$F$6=1),(-2*((1000*((((Inputs!$I$6+(((A223)+1)/2)*(Inputs!$J$6-Inputs!$I$6)))*Inputs!$C$11+((Inputs!$H$6+Inputs!$L$6*(((Inputs!$I$6+(((A223)+1)/2)*(Inputs!$J$6-Inputs!$I$6)))/Inputs!$K$6)^2))*((2*Inputs!$L$6*((Inputs!$I$6+(((A223)+1)/2)*(Inputs!$J$6-Inputs!$I$6)))/(Inputs!$K$6^2)*Inputs!$C$11)))/(SQRT(((Inputs!$I$6+(((A223)+1)/2)*(Inputs!$J$6-Inputs!$I$6)))^2+Inputs!$C$6^2+((Inputs!$H$6+Inputs!$L$6*(((Inputs!$I$6+(((A223)+1)/2)*(Inputs!$J$6-Inputs!$I$6)))/Inputs!$K$6)^2))^2)))))/Inputs!$C$13),NA())</f>
        <v>-376.61501448555725</v>
      </c>
      <c r="O223" s="9">
        <f>IF(OR(Inputs!$F$7=TRUE,Inputs!$F$7="TRUE",Inputs!$F$7=1),(-2*((1000*((((Inputs!$I$7+(((A223)+1)/2)*(Inputs!$J$7-Inputs!$I$7)))*Inputs!$C$11+((Inputs!$H$7+Inputs!$L$7*(((Inputs!$I$7+(((A223)+1)/2)*(Inputs!$J$7-Inputs!$I$7)))/Inputs!$K$7)^2))*((2*Inputs!$L$7*((Inputs!$I$7+(((A223)+1)/2)*(Inputs!$J$7-Inputs!$I$7)))/(Inputs!$K$7^2)*Inputs!$C$11)))/(SQRT(((Inputs!$I$7+(((A223)+1)/2)*(Inputs!$J$7-Inputs!$I$7)))^2+Inputs!$C$6^2+((Inputs!$H$7+Inputs!$L$7*(((Inputs!$I$7+(((A223)+1)/2)*(Inputs!$J$7-Inputs!$I$7)))/Inputs!$K$7)^2))^2)))))/Inputs!$C$13),NA())</f>
        <v>-2817.4951357143937</v>
      </c>
      <c r="P223" s="9">
        <f>IF(OR(Inputs!$F$8=TRUE,Inputs!$F$8="TRUE",Inputs!$F$8=1),(-2*((1000*((((Inputs!$I$8+(((A223)+1)/2)*(Inputs!$J$8-Inputs!$I$8)))*Inputs!$C$11+((Inputs!$H$8+Inputs!$L$8*(((Inputs!$I$8+(((A223)+1)/2)*(Inputs!$J$8-Inputs!$I$8)))/Inputs!$K$8)^2))*((2*Inputs!$L$8*((Inputs!$I$8+(((A223)+1)/2)*(Inputs!$J$8-Inputs!$I$8)))/(Inputs!$K$8^2)*Inputs!$C$11)))/(SQRT(((Inputs!$I$8+(((A223)+1)/2)*(Inputs!$J$8-Inputs!$I$8)))^2+Inputs!$C$6^2+((Inputs!$H$8+Inputs!$L$8*(((Inputs!$I$8+(((A223)+1)/2)*(Inputs!$J$8-Inputs!$I$8)))/Inputs!$K$8)^2))^2)))))/Inputs!$C$13),NA())</f>
        <v>-3464.7455054778302</v>
      </c>
      <c r="Q223" s="9">
        <f>IF(OR(Inputs!$F$9=TRUE,Inputs!$F$9="TRUE",Inputs!$F$9=1),(-2*((1000*((((Inputs!$I$9+(((A223)+1)/2)*(Inputs!$J$9-Inputs!$I$9)))*Inputs!$C$11+((Inputs!$H$9+Inputs!$L$9*(((Inputs!$I$9+(((A223)+1)/2)*(Inputs!$J$9-Inputs!$I$9)))/Inputs!$K$9)^2))*((2*Inputs!$L$9*((Inputs!$I$9+(((A223)+1)/2)*(Inputs!$J$9-Inputs!$I$9)))/(Inputs!$K$9^2)*Inputs!$C$11)))/(SQRT(((Inputs!$I$9+(((A223)+1)/2)*(Inputs!$J$9-Inputs!$I$9)))^2+Inputs!$C$6^2+((Inputs!$H$9+Inputs!$L$9*(((Inputs!$I$9+(((A223)+1)/2)*(Inputs!$J$9-Inputs!$I$9)))/Inputs!$K$9)^2))^2)))))/Inputs!$C$13),NA())</f>
        <v>-3487.127877116659</v>
      </c>
      <c r="R223" s="10"/>
      <c r="S223" s="9">
        <f t="shared" si="20"/>
        <v>0.84199999999999997</v>
      </c>
      <c r="T223" s="9">
        <f>(Inputs!$I$6+(((A223)+1)/2)*(Inputs!$J$6-Inputs!$I$6))</f>
        <v>50.52000000000001</v>
      </c>
      <c r="U223" s="9">
        <f>(Inputs!$I$7+(((A223)+1)/2)*(Inputs!$J$7-Inputs!$I$7))</f>
        <v>336.80000000000007</v>
      </c>
      <c r="V223" s="9">
        <f>(Inputs!$I$8+(((A223)+1)/2)*(Inputs!$J$8-Inputs!$I$8))</f>
        <v>673.60000000000014</v>
      </c>
      <c r="W223" s="9">
        <f>(Inputs!$I$9+(((A223)+1)/2)*(Inputs!$J$9-Inputs!$I$9))</f>
        <v>673.60000000000014</v>
      </c>
      <c r="X223" s="10"/>
      <c r="Y223" s="9">
        <f t="shared" si="21"/>
        <v>0.84199999999999997</v>
      </c>
      <c r="Z223" s="9">
        <f>(Inputs!$H$6+Inputs!$L$6*(((Inputs!$I$6+(((A223)+1)/2)*(Inputs!$J$6-Inputs!$I$6)))/Inputs!$K$6)^2)</f>
        <v>402.83585599999998</v>
      </c>
      <c r="AA223" s="9">
        <f>(Inputs!$H$7+Inputs!$L$7*(((Inputs!$I$7+(((A223)+1)/2)*(Inputs!$J$7-Inputs!$I$7)))/Inputs!$K$7)^2)</f>
        <v>293.77186000000012</v>
      </c>
      <c r="AB223" s="9">
        <f>(Inputs!$H$8+Inputs!$L$8*(((Inputs!$I$8+(((A223)+1)/2)*(Inputs!$J$8-Inputs!$I$8)))/Inputs!$K$8)^2)</f>
        <v>719.15026000000034</v>
      </c>
      <c r="AC223" s="9">
        <f>(Inputs!$H$9+Inputs!$L$9*(((Inputs!$I$9+(((A223)+1)/2)*(Inputs!$J$9-Inputs!$I$9)))/Inputs!$K$9)^2)</f>
        <v>716.23990000000038</v>
      </c>
      <c r="AD223" s="10"/>
      <c r="AE223" s="9">
        <f t="shared" si="22"/>
        <v>0.84199999999999997</v>
      </c>
      <c r="AF223" s="9">
        <f>(((SQRT(((Inputs!$I$6+(((A223)+1)/2)*(Inputs!$J$6-Inputs!$I$6)))^2+Inputs!$C$6^2+((Inputs!$H$6+Inputs!$L$6*(((Inputs!$I$6+(((A223)+1)/2)*(Inputs!$J$6-Inputs!$I$6)))/Inputs!$K$6)^2))^2))-((Inputs!$H$6+Inputs!$L$6*(((Inputs!$I$6+(((A223)+1)/2)*(Inputs!$J$6-Inputs!$I$6)))/Inputs!$K$6)^2)))*1000/Inputs!$C$12)</f>
        <v>2204.7822322393863</v>
      </c>
      <c r="AG223" s="9">
        <f>(((SQRT(((Inputs!$I$7+(((A223)+1)/2)*(Inputs!$J$7-Inputs!$I$7)))^2+Inputs!$C$6^2+((Inputs!$H$7+Inputs!$L$7*(((Inputs!$I$7+(((A223)+1)/2)*(Inputs!$J$7-Inputs!$I$7)))/Inputs!$K$7)^2))^2))-((Inputs!$H$7+Inputs!$L$7*(((Inputs!$I$7+(((A223)+1)/2)*(Inputs!$J$7-Inputs!$I$7)))/Inputs!$K$7)^2)))*1000/Inputs!$C$12)</f>
        <v>86429.958756615073</v>
      </c>
      <c r="AH223" s="9">
        <f>(((SQRT(((Inputs!$I$8+(((A223)+1)/2)*(Inputs!$J$8-Inputs!$I$8)))^2+Inputs!$C$6^2+((Inputs!$H$8+Inputs!$L$8*(((Inputs!$I$8+(((A223)+1)/2)*(Inputs!$J$8-Inputs!$I$8)))/Inputs!$K$8)^2))^2))-((Inputs!$H$8+Inputs!$L$8*(((Inputs!$I$8+(((A223)+1)/2)*(Inputs!$J$8-Inputs!$I$8)))/Inputs!$K$8)^2)))*1000/Inputs!$C$12)</f>
        <v>149728.39777137816</v>
      </c>
      <c r="AI223" s="9">
        <f>(((SQRT(((Inputs!$I$9+(((A223)+1)/2)*(Inputs!$J$9-Inputs!$I$9)))^2+Inputs!$C$6^2+((Inputs!$H$9+Inputs!$L$9*(((Inputs!$I$9+(((A223)+1)/2)*(Inputs!$J$9-Inputs!$I$9)))/Inputs!$K$9)^2))^2))-((Inputs!$H$9+Inputs!$L$9*(((Inputs!$I$9+(((A223)+1)/2)*(Inputs!$J$9-Inputs!$I$9)))/Inputs!$K$9)^2)))*1000/Inputs!$C$12)</f>
        <v>150171.62935366906</v>
      </c>
      <c r="AJ223" s="10"/>
      <c r="AK223" s="9">
        <f t="shared" si="23"/>
        <v>0.84199999999999997</v>
      </c>
      <c r="AL223" s="9">
        <f>(-2*((1000*((((Inputs!$I$6+(((A223)+1)/2)*(Inputs!$J$6-Inputs!$I$6)))*Inputs!$C$11+((Inputs!$H$6+Inputs!$L$6*(((Inputs!$I$6+(((A223)+1)/2)*(Inputs!$J$6-Inputs!$I$6)))/Inputs!$K$6)^2))*((2*Inputs!$L$6*((Inputs!$I$6+(((A223)+1)/2)*(Inputs!$J$6-Inputs!$I$6)))/(Inputs!$K$6^2)*Inputs!$C$11)))/(SQRT(((Inputs!$I$6+(((A223)+1)/2)*(Inputs!$J$6-Inputs!$I$6)))^2+Inputs!$C$6^2+((Inputs!$H$6+Inputs!$L$6*(((Inputs!$I$6+(((A223)+1)/2)*(Inputs!$J$6-Inputs!$I$6)))/Inputs!$K$6)^2))^2)))))/Inputs!$C$13)</f>
        <v>-376.61501448555725</v>
      </c>
      <c r="AM223" s="9">
        <f>(-2*((1000*((((Inputs!$I$7+(((A223)+1)/2)*(Inputs!$J$7-Inputs!$I$7)))*Inputs!$C$11+((Inputs!$H$7+Inputs!$L$7*(((Inputs!$I$7+(((A223)+1)/2)*(Inputs!$J$7-Inputs!$I$7)))/Inputs!$K$7)^2))*((2*Inputs!$L$7*((Inputs!$I$7+(((A223)+1)/2)*(Inputs!$J$7-Inputs!$I$7)))/(Inputs!$K$7^2)*Inputs!$C$11)))/(SQRT(((Inputs!$I$7+(((A223)+1)/2)*(Inputs!$J$7-Inputs!$I$7)))^2+Inputs!$C$6^2+((Inputs!$H$7+Inputs!$L$7*(((Inputs!$I$7+(((A223)+1)/2)*(Inputs!$J$7-Inputs!$I$7)))/Inputs!$K$7)^2))^2)))))/Inputs!$C$13)</f>
        <v>-2817.4951357143937</v>
      </c>
      <c r="AN223" s="9">
        <f>(-2*((1000*((((Inputs!$I$8+(((A223)+1)/2)*(Inputs!$J$8-Inputs!$I$8)))*Inputs!$C$11+((Inputs!$H$8+Inputs!$L$8*(((Inputs!$I$8+(((A223)+1)/2)*(Inputs!$J$8-Inputs!$I$8)))/Inputs!$K$8)^2))*((2*Inputs!$L$8*((Inputs!$I$8+(((A223)+1)/2)*(Inputs!$J$8-Inputs!$I$8)))/(Inputs!$K$8^2)*Inputs!$C$11)))/(SQRT(((Inputs!$I$8+(((A223)+1)/2)*(Inputs!$J$8-Inputs!$I$8)))^2+Inputs!$C$6^2+((Inputs!$H$8+Inputs!$L$8*(((Inputs!$I$8+(((A223)+1)/2)*(Inputs!$J$8-Inputs!$I$8)))/Inputs!$K$8)^2))^2)))))/Inputs!$C$13)</f>
        <v>-3464.7455054778302</v>
      </c>
      <c r="AO223" s="9">
        <f>(-2*((1000*((((Inputs!$I$9+(((A223)+1)/2)*(Inputs!$J$9-Inputs!$I$9)))*Inputs!$C$11+((Inputs!$H$9+Inputs!$L$9*(((Inputs!$I$9+(((A223)+1)/2)*(Inputs!$J$9-Inputs!$I$9)))/Inputs!$K$9)^2))*((2*Inputs!$L$9*((Inputs!$I$9+(((A223)+1)/2)*(Inputs!$J$9-Inputs!$I$9)))/(Inputs!$K$9^2)*Inputs!$C$11)))/(SQRT(((Inputs!$I$9+(((A223)+1)/2)*(Inputs!$J$9-Inputs!$I$9)))^2+Inputs!$C$6^2+((Inputs!$H$9+Inputs!$L$9*(((Inputs!$I$9+(((A223)+1)/2)*(Inputs!$J$9-Inputs!$I$9)))/Inputs!$K$9)^2))^2)))))/Inputs!$C$13)</f>
        <v>-3487.127877116659</v>
      </c>
    </row>
    <row r="224" spans="1:41">
      <c r="A224" s="9">
        <f>ROUND(-1+222*2/240,3)</f>
        <v>0.85</v>
      </c>
      <c r="B224" s="9">
        <f>IF(OR(Inputs!$F$6=TRUE,Inputs!$F$6="TRUE",Inputs!$F$6=1),(Inputs!$H$6+Inputs!$L$6*(((Inputs!$I$6+(((A224)+1)/2)*(Inputs!$J$6-Inputs!$I$6)))/Inputs!$K$6)^2),NA())</f>
        <v>402.89</v>
      </c>
      <c r="C224" s="9">
        <f>IF(OR(Inputs!$F$7=TRUE,Inputs!$F$7="TRUE",Inputs!$F$7=1),(Inputs!$H$7+Inputs!$L$7*(((Inputs!$I$7+(((A224)+1)/2)*(Inputs!$J$7-Inputs!$I$7)))/Inputs!$K$7)^2),NA())</f>
        <v>298.71249999999998</v>
      </c>
      <c r="D224" s="9">
        <f>IF(OR(Inputs!$F$8=TRUE,Inputs!$F$8="TRUE",Inputs!$F$8=1),(Inputs!$H$8+Inputs!$L$8*(((Inputs!$I$8+(((A224)+1)/2)*(Inputs!$J$8-Inputs!$I$8)))/Inputs!$K$8)^2),NA())</f>
        <v>732.21249999999998</v>
      </c>
      <c r="E224" s="9">
        <f>IF(OR(Inputs!$F$9=TRUE,Inputs!$F$9="TRUE",Inputs!$F$9=1),(Inputs!$H$9+Inputs!$L$9*(((Inputs!$I$9+(((A224)+1)/2)*(Inputs!$J$9-Inputs!$I$9)))/Inputs!$K$9)^2),NA())</f>
        <v>729.43749999999989</v>
      </c>
      <c r="F224" s="10"/>
      <c r="G224" s="9">
        <f t="shared" si="18"/>
        <v>0.85</v>
      </c>
      <c r="H224" s="9">
        <f>IF(OR(Inputs!$F$6=TRUE,Inputs!$F$6="TRUE",Inputs!$F$6=1),(((SQRT(((Inputs!$I$6+(((A224)+1)/2)*(Inputs!$J$6-Inputs!$I$6)))^2+Inputs!$C$6^2+((Inputs!$H$6+Inputs!$L$6*(((Inputs!$I$6+(((A224)+1)/2)*(Inputs!$J$6-Inputs!$I$6)))/Inputs!$K$6)^2))^2))-((Inputs!$H$6+Inputs!$L$6*(((Inputs!$I$6+(((A224)+1)/2)*(Inputs!$J$6-Inputs!$I$6)))/Inputs!$K$6)^2)))*1000/Inputs!$C$12),NA())</f>
        <v>2238.133363530445</v>
      </c>
      <c r="I224" s="9">
        <f>IF(OR(Inputs!$F$7=TRUE,Inputs!$F$7="TRUE",Inputs!$F$7=1),(((SQRT(((Inputs!$I$7+(((A224)+1)/2)*(Inputs!$J$7-Inputs!$I$7)))^2+Inputs!$C$6^2+((Inputs!$H$7+Inputs!$L$7*(((Inputs!$I$7+(((A224)+1)/2)*(Inputs!$J$7-Inputs!$I$7)))/Inputs!$K$7)^2))^2))-((Inputs!$H$7+Inputs!$L$7*(((Inputs!$I$7+(((A224)+1)/2)*(Inputs!$J$7-Inputs!$I$7)))/Inputs!$K$7)^2)))*1000/Inputs!$C$12),NA())</f>
        <v>86830.344196706923</v>
      </c>
      <c r="J224" s="9">
        <f>IF(OR(Inputs!$F$8=TRUE,Inputs!$F$8="TRUE",Inputs!$F$8=1),(((SQRT(((Inputs!$I$8+(((A224)+1)/2)*(Inputs!$J$8-Inputs!$I$8)))^2+Inputs!$C$6^2+((Inputs!$H$8+Inputs!$L$8*(((Inputs!$I$8+(((A224)+1)/2)*(Inputs!$J$8-Inputs!$I$8)))/Inputs!$K$8)^2))^2))-((Inputs!$H$8+Inputs!$L$8*(((Inputs!$I$8+(((A224)+1)/2)*(Inputs!$J$8-Inputs!$I$8)))/Inputs!$K$8)^2)))*1000/Inputs!$C$12),NA())</f>
        <v>150206.45189413539</v>
      </c>
      <c r="K224" s="9">
        <f>IF(OR(Inputs!$F$9=TRUE,Inputs!$F$9="TRUE",Inputs!$F$9=1),(((SQRT(((Inputs!$I$9+(((A224)+1)/2)*(Inputs!$J$9-Inputs!$I$9)))^2+Inputs!$C$6^2+((Inputs!$H$9+Inputs!$L$9*(((Inputs!$I$9+(((A224)+1)/2)*(Inputs!$J$9-Inputs!$I$9)))/Inputs!$K$9)^2))^2))-((Inputs!$H$9+Inputs!$L$9*(((Inputs!$I$9+(((A224)+1)/2)*(Inputs!$J$9-Inputs!$I$9)))/Inputs!$K$9)^2)))*1000/Inputs!$C$12),NA())</f>
        <v>150624.45481747933</v>
      </c>
      <c r="L224" s="10"/>
      <c r="M224" s="9">
        <f t="shared" si="19"/>
        <v>0.85</v>
      </c>
      <c r="N224" s="9">
        <f>IF(OR(Inputs!$F$6=TRUE,Inputs!$F$6="TRUE",Inputs!$F$6=1),(-2*((1000*((((Inputs!$I$6+(((A224)+1)/2)*(Inputs!$J$6-Inputs!$I$6)))*Inputs!$C$11+((Inputs!$H$6+Inputs!$L$6*(((Inputs!$I$6+(((A224)+1)/2)*(Inputs!$J$6-Inputs!$I$6)))/Inputs!$K$6)^2))*((2*Inputs!$L$6*((Inputs!$I$6+(((A224)+1)/2)*(Inputs!$J$6-Inputs!$I$6)))/(Inputs!$K$6^2)*Inputs!$C$11)))/(SQRT(((Inputs!$I$6+(((A224)+1)/2)*(Inputs!$J$6-Inputs!$I$6)))^2+Inputs!$C$6^2+((Inputs!$H$6+Inputs!$L$6*(((Inputs!$I$6+(((A224)+1)/2)*(Inputs!$J$6-Inputs!$I$6)))/Inputs!$K$6)^2))^2)))))/Inputs!$C$13),NA())</f>
        <v>-380.1113693016265</v>
      </c>
      <c r="O224" s="9">
        <f>IF(OR(Inputs!$F$7=TRUE,Inputs!$F$7="TRUE",Inputs!$F$7=1),(-2*((1000*((((Inputs!$I$7+(((A224)+1)/2)*(Inputs!$J$7-Inputs!$I$7)))*Inputs!$C$11+((Inputs!$H$7+Inputs!$L$7*(((Inputs!$I$7+(((A224)+1)/2)*(Inputs!$J$7-Inputs!$I$7)))/Inputs!$K$7)^2))*((2*Inputs!$L$7*((Inputs!$I$7+(((A224)+1)/2)*(Inputs!$J$7-Inputs!$I$7)))/(Inputs!$K$7^2)*Inputs!$C$11)))/(SQRT(((Inputs!$I$7+(((A224)+1)/2)*(Inputs!$J$7-Inputs!$I$7)))^2+Inputs!$C$6^2+((Inputs!$H$7+Inputs!$L$7*(((Inputs!$I$7+(((A224)+1)/2)*(Inputs!$J$7-Inputs!$I$7)))/Inputs!$K$7)^2))^2)))))/Inputs!$C$13),NA())</f>
        <v>-2835.8439145487414</v>
      </c>
      <c r="P224" s="9">
        <f>IF(OR(Inputs!$F$8=TRUE,Inputs!$F$8="TRUE",Inputs!$F$8=1),(-2*((1000*((((Inputs!$I$8+(((A224)+1)/2)*(Inputs!$J$8-Inputs!$I$8)))*Inputs!$C$11+((Inputs!$H$8+Inputs!$L$8*(((Inputs!$I$8+(((A224)+1)/2)*(Inputs!$J$8-Inputs!$I$8)))/Inputs!$K$8)^2))*((2*Inputs!$L$8*((Inputs!$I$8+(((A224)+1)/2)*(Inputs!$J$8-Inputs!$I$8)))/(Inputs!$K$8^2)*Inputs!$C$11)))/(SQRT(((Inputs!$I$8+(((A224)+1)/2)*(Inputs!$J$8-Inputs!$I$8)))^2+Inputs!$C$6^2+((Inputs!$H$8+Inputs!$L$8*(((Inputs!$I$8+(((A224)+1)/2)*(Inputs!$J$8-Inputs!$I$8)))/Inputs!$K$8)^2))^2)))))/Inputs!$C$13),NA())</f>
        <v>-3491.8558465277974</v>
      </c>
      <c r="Q224" s="9">
        <f>IF(OR(Inputs!$F$9=TRUE,Inputs!$F$9="TRUE",Inputs!$F$9=1),(-2*((1000*((((Inputs!$I$9+(((A224)+1)/2)*(Inputs!$J$9-Inputs!$I$9)))*Inputs!$C$11+((Inputs!$H$9+Inputs!$L$9*(((Inputs!$I$9+(((A224)+1)/2)*(Inputs!$J$9-Inputs!$I$9)))/Inputs!$K$9)^2))*((2*Inputs!$L$9*((Inputs!$I$9+(((A224)+1)/2)*(Inputs!$J$9-Inputs!$I$9)))/(Inputs!$K$9^2)*Inputs!$C$11)))/(SQRT(((Inputs!$I$9+(((A224)+1)/2)*(Inputs!$J$9-Inputs!$I$9)))^2+Inputs!$C$6^2+((Inputs!$H$9+Inputs!$L$9*(((Inputs!$I$9+(((A224)+1)/2)*(Inputs!$J$9-Inputs!$I$9)))/Inputs!$K$9)^2))^2)))))/Inputs!$C$13),NA())</f>
        <v>-3514.6997376092377</v>
      </c>
      <c r="R224" s="10"/>
      <c r="S224" s="9">
        <f t="shared" si="20"/>
        <v>0.85</v>
      </c>
      <c r="T224" s="9">
        <f>(Inputs!$I$6+(((A224)+1)/2)*(Inputs!$J$6-Inputs!$I$6))</f>
        <v>51</v>
      </c>
      <c r="U224" s="9">
        <f>(Inputs!$I$7+(((A224)+1)/2)*(Inputs!$J$7-Inputs!$I$7))</f>
        <v>340</v>
      </c>
      <c r="V224" s="9">
        <f>(Inputs!$I$8+(((A224)+1)/2)*(Inputs!$J$8-Inputs!$I$8))</f>
        <v>680</v>
      </c>
      <c r="W224" s="9">
        <f>(Inputs!$I$9+(((A224)+1)/2)*(Inputs!$J$9-Inputs!$I$9))</f>
        <v>680</v>
      </c>
      <c r="X224" s="10"/>
      <c r="Y224" s="9">
        <f t="shared" si="21"/>
        <v>0.85</v>
      </c>
      <c r="Z224" s="9">
        <f>(Inputs!$H$6+Inputs!$L$6*(((Inputs!$I$6+(((A224)+1)/2)*(Inputs!$J$6-Inputs!$I$6)))/Inputs!$K$6)^2)</f>
        <v>402.89</v>
      </c>
      <c r="AA224" s="9">
        <f>(Inputs!$H$7+Inputs!$L$7*(((Inputs!$I$7+(((A224)+1)/2)*(Inputs!$J$7-Inputs!$I$7)))/Inputs!$K$7)^2)</f>
        <v>298.71249999999998</v>
      </c>
      <c r="AB224" s="9">
        <f>(Inputs!$H$8+Inputs!$L$8*(((Inputs!$I$8+(((A224)+1)/2)*(Inputs!$J$8-Inputs!$I$8)))/Inputs!$K$8)^2)</f>
        <v>732.21249999999998</v>
      </c>
      <c r="AC224" s="9">
        <f>(Inputs!$H$9+Inputs!$L$9*(((Inputs!$I$9+(((A224)+1)/2)*(Inputs!$J$9-Inputs!$I$9)))/Inputs!$K$9)^2)</f>
        <v>729.43749999999989</v>
      </c>
      <c r="AD224" s="10"/>
      <c r="AE224" s="9">
        <f t="shared" si="22"/>
        <v>0.85</v>
      </c>
      <c r="AF224" s="9">
        <f>(((SQRT(((Inputs!$I$6+(((A224)+1)/2)*(Inputs!$J$6-Inputs!$I$6)))^2+Inputs!$C$6^2+((Inputs!$H$6+Inputs!$L$6*(((Inputs!$I$6+(((A224)+1)/2)*(Inputs!$J$6-Inputs!$I$6)))/Inputs!$K$6)^2))^2))-((Inputs!$H$6+Inputs!$L$6*(((Inputs!$I$6+(((A224)+1)/2)*(Inputs!$J$6-Inputs!$I$6)))/Inputs!$K$6)^2)))*1000/Inputs!$C$12)</f>
        <v>2238.133363530445</v>
      </c>
      <c r="AG224" s="9">
        <f>(((SQRT(((Inputs!$I$7+(((A224)+1)/2)*(Inputs!$J$7-Inputs!$I$7)))^2+Inputs!$C$6^2+((Inputs!$H$7+Inputs!$L$7*(((Inputs!$I$7+(((A224)+1)/2)*(Inputs!$J$7-Inputs!$I$7)))/Inputs!$K$7)^2))^2))-((Inputs!$H$7+Inputs!$L$7*(((Inputs!$I$7+(((A224)+1)/2)*(Inputs!$J$7-Inputs!$I$7)))/Inputs!$K$7)^2)))*1000/Inputs!$C$12)</f>
        <v>86830.344196706923</v>
      </c>
      <c r="AH224" s="9">
        <f>(((SQRT(((Inputs!$I$8+(((A224)+1)/2)*(Inputs!$J$8-Inputs!$I$8)))^2+Inputs!$C$6^2+((Inputs!$H$8+Inputs!$L$8*(((Inputs!$I$8+(((A224)+1)/2)*(Inputs!$J$8-Inputs!$I$8)))/Inputs!$K$8)^2))^2))-((Inputs!$H$8+Inputs!$L$8*(((Inputs!$I$8+(((A224)+1)/2)*(Inputs!$J$8-Inputs!$I$8)))/Inputs!$K$8)^2)))*1000/Inputs!$C$12)</f>
        <v>150206.45189413539</v>
      </c>
      <c r="AI224" s="9">
        <f>(((SQRT(((Inputs!$I$9+(((A224)+1)/2)*(Inputs!$J$9-Inputs!$I$9)))^2+Inputs!$C$6^2+((Inputs!$H$9+Inputs!$L$9*(((Inputs!$I$9+(((A224)+1)/2)*(Inputs!$J$9-Inputs!$I$9)))/Inputs!$K$9)^2))^2))-((Inputs!$H$9+Inputs!$L$9*(((Inputs!$I$9+(((A224)+1)/2)*(Inputs!$J$9-Inputs!$I$9)))/Inputs!$K$9)^2)))*1000/Inputs!$C$12)</f>
        <v>150624.45481747933</v>
      </c>
      <c r="AJ224" s="10"/>
      <c r="AK224" s="9">
        <f t="shared" si="23"/>
        <v>0.85</v>
      </c>
      <c r="AL224" s="9">
        <f>(-2*((1000*((((Inputs!$I$6+(((A224)+1)/2)*(Inputs!$J$6-Inputs!$I$6)))*Inputs!$C$11+((Inputs!$H$6+Inputs!$L$6*(((Inputs!$I$6+(((A224)+1)/2)*(Inputs!$J$6-Inputs!$I$6)))/Inputs!$K$6)^2))*((2*Inputs!$L$6*((Inputs!$I$6+(((A224)+1)/2)*(Inputs!$J$6-Inputs!$I$6)))/(Inputs!$K$6^2)*Inputs!$C$11)))/(SQRT(((Inputs!$I$6+(((A224)+1)/2)*(Inputs!$J$6-Inputs!$I$6)))^2+Inputs!$C$6^2+((Inputs!$H$6+Inputs!$L$6*(((Inputs!$I$6+(((A224)+1)/2)*(Inputs!$J$6-Inputs!$I$6)))/Inputs!$K$6)^2))^2)))))/Inputs!$C$13)</f>
        <v>-380.1113693016265</v>
      </c>
      <c r="AM224" s="9">
        <f>(-2*((1000*((((Inputs!$I$7+(((A224)+1)/2)*(Inputs!$J$7-Inputs!$I$7)))*Inputs!$C$11+((Inputs!$H$7+Inputs!$L$7*(((Inputs!$I$7+(((A224)+1)/2)*(Inputs!$J$7-Inputs!$I$7)))/Inputs!$K$7)^2))*((2*Inputs!$L$7*((Inputs!$I$7+(((A224)+1)/2)*(Inputs!$J$7-Inputs!$I$7)))/(Inputs!$K$7^2)*Inputs!$C$11)))/(SQRT(((Inputs!$I$7+(((A224)+1)/2)*(Inputs!$J$7-Inputs!$I$7)))^2+Inputs!$C$6^2+((Inputs!$H$7+Inputs!$L$7*(((Inputs!$I$7+(((A224)+1)/2)*(Inputs!$J$7-Inputs!$I$7)))/Inputs!$K$7)^2))^2)))))/Inputs!$C$13)</f>
        <v>-2835.8439145487414</v>
      </c>
      <c r="AN224" s="9">
        <f>(-2*((1000*((((Inputs!$I$8+(((A224)+1)/2)*(Inputs!$J$8-Inputs!$I$8)))*Inputs!$C$11+((Inputs!$H$8+Inputs!$L$8*(((Inputs!$I$8+(((A224)+1)/2)*(Inputs!$J$8-Inputs!$I$8)))/Inputs!$K$8)^2))*((2*Inputs!$L$8*((Inputs!$I$8+(((A224)+1)/2)*(Inputs!$J$8-Inputs!$I$8)))/(Inputs!$K$8^2)*Inputs!$C$11)))/(SQRT(((Inputs!$I$8+(((A224)+1)/2)*(Inputs!$J$8-Inputs!$I$8)))^2+Inputs!$C$6^2+((Inputs!$H$8+Inputs!$L$8*(((Inputs!$I$8+(((A224)+1)/2)*(Inputs!$J$8-Inputs!$I$8)))/Inputs!$K$8)^2))^2)))))/Inputs!$C$13)</f>
        <v>-3491.8558465277974</v>
      </c>
      <c r="AO224" s="9">
        <f>(-2*((1000*((((Inputs!$I$9+(((A224)+1)/2)*(Inputs!$J$9-Inputs!$I$9)))*Inputs!$C$11+((Inputs!$H$9+Inputs!$L$9*(((Inputs!$I$9+(((A224)+1)/2)*(Inputs!$J$9-Inputs!$I$9)))/Inputs!$K$9)^2))*((2*Inputs!$L$9*((Inputs!$I$9+(((A224)+1)/2)*(Inputs!$J$9-Inputs!$I$9)))/(Inputs!$K$9^2)*Inputs!$C$11)))/(SQRT(((Inputs!$I$9+(((A224)+1)/2)*(Inputs!$J$9-Inputs!$I$9)))^2+Inputs!$C$6^2+((Inputs!$H$9+Inputs!$L$9*(((Inputs!$I$9+(((A224)+1)/2)*(Inputs!$J$9-Inputs!$I$9)))/Inputs!$K$9)^2))^2)))))/Inputs!$C$13)</f>
        <v>-3514.6997376092377</v>
      </c>
    </row>
    <row r="225" spans="1:41">
      <c r="A225" s="9">
        <f>ROUND(-1+223*2/240,3)</f>
        <v>0.85799999999999998</v>
      </c>
      <c r="B225" s="9">
        <f>IF(OR(Inputs!$F$6=TRUE,Inputs!$F$6="TRUE",Inputs!$F$6=1),(Inputs!$H$6+Inputs!$L$6*(((Inputs!$I$6+(((A225)+1)/2)*(Inputs!$J$6-Inputs!$I$6)))/Inputs!$K$6)^2),NA())</f>
        <v>402.94465600000001</v>
      </c>
      <c r="C225" s="9">
        <f>IF(OR(Inputs!$F$7=TRUE,Inputs!$F$7="TRUE",Inputs!$F$7=1),(Inputs!$H$7+Inputs!$L$7*(((Inputs!$I$7+(((A225)+1)/2)*(Inputs!$J$7-Inputs!$I$7)))/Inputs!$K$7)^2),NA())</f>
        <v>303.69986000000006</v>
      </c>
      <c r="D225" s="9">
        <f>IF(OR(Inputs!$F$8=TRUE,Inputs!$F$8="TRUE",Inputs!$F$8=1),(Inputs!$H$8+Inputs!$L$8*(((Inputs!$I$8+(((A225)+1)/2)*(Inputs!$J$8-Inputs!$I$8)))/Inputs!$K$8)^2),NA())</f>
        <v>745.39826000000016</v>
      </c>
      <c r="E225" s="9">
        <f>IF(OR(Inputs!$F$9=TRUE,Inputs!$F$9="TRUE",Inputs!$F$9=1),(Inputs!$H$9+Inputs!$L$9*(((Inputs!$I$9+(((A225)+1)/2)*(Inputs!$J$9-Inputs!$I$9)))/Inputs!$K$9)^2),NA())</f>
        <v>742.75990000000013</v>
      </c>
      <c r="F225" s="10"/>
      <c r="G225" s="9">
        <f t="shared" si="18"/>
        <v>0.85799999999999998</v>
      </c>
      <c r="H225" s="9">
        <f>IF(OR(Inputs!$F$6=TRUE,Inputs!$F$6="TRUE",Inputs!$F$6=1),(((SQRT(((Inputs!$I$6+(((A225)+1)/2)*(Inputs!$J$6-Inputs!$I$6)))^2+Inputs!$C$6^2+((Inputs!$H$6+Inputs!$L$6*(((Inputs!$I$6+(((A225)+1)/2)*(Inputs!$J$6-Inputs!$I$6)))/Inputs!$K$6)^2))^2))-((Inputs!$H$6+Inputs!$L$6*(((Inputs!$I$6+(((A225)+1)/2)*(Inputs!$J$6-Inputs!$I$6)))/Inputs!$K$6)^2)))*1000/Inputs!$C$12),NA())</f>
        <v>2271.7859379457841</v>
      </c>
      <c r="I225" s="9">
        <f>IF(OR(Inputs!$F$7=TRUE,Inputs!$F$7="TRUE",Inputs!$F$7=1),(((SQRT(((Inputs!$I$7+(((A225)+1)/2)*(Inputs!$J$7-Inputs!$I$7)))^2+Inputs!$C$6^2+((Inputs!$H$7+Inputs!$L$7*(((Inputs!$I$7+(((A225)+1)/2)*(Inputs!$J$7-Inputs!$I$7)))/Inputs!$K$7)^2))^2))-((Inputs!$H$7+Inputs!$L$7*(((Inputs!$I$7+(((A225)+1)/2)*(Inputs!$J$7-Inputs!$I$7)))/Inputs!$K$7)^2)))*1000/Inputs!$C$12),NA())</f>
        <v>87225.142550208111</v>
      </c>
      <c r="J225" s="9">
        <f>IF(OR(Inputs!$F$8=TRUE,Inputs!$F$8="TRUE",Inputs!$F$8=1),(((SQRT(((Inputs!$I$8+(((A225)+1)/2)*(Inputs!$J$8-Inputs!$I$8)))^2+Inputs!$C$6^2+((Inputs!$H$8+Inputs!$L$8*(((Inputs!$I$8+(((A225)+1)/2)*(Inputs!$J$8-Inputs!$I$8)))/Inputs!$K$8)^2))^2))-((Inputs!$H$8+Inputs!$L$8*(((Inputs!$I$8+(((A225)+1)/2)*(Inputs!$J$8-Inputs!$I$8)))/Inputs!$K$8)^2)))*1000/Inputs!$C$12),NA())</f>
        <v>150676.12307891701</v>
      </c>
      <c r="K225" s="9">
        <f>IF(OR(Inputs!$F$9=TRUE,Inputs!$F$9="TRUE",Inputs!$F$9=1),(((SQRT(((Inputs!$I$9+(((A225)+1)/2)*(Inputs!$J$9-Inputs!$I$9)))^2+Inputs!$C$6^2+((Inputs!$H$9+Inputs!$L$9*(((Inputs!$I$9+(((A225)+1)/2)*(Inputs!$J$9-Inputs!$I$9)))/Inputs!$K$9)^2))^2))-((Inputs!$H$9+Inputs!$L$9*(((Inputs!$I$9+(((A225)+1)/2)*(Inputs!$J$9-Inputs!$I$9)))/Inputs!$K$9)^2)))*1000/Inputs!$C$12),NA())</f>
        <v>151069.21380145609</v>
      </c>
      <c r="L225" s="10"/>
      <c r="M225" s="9">
        <f t="shared" si="19"/>
        <v>0.85799999999999998</v>
      </c>
      <c r="N225" s="9">
        <f>IF(OR(Inputs!$F$6=TRUE,Inputs!$F$6="TRUE",Inputs!$F$6=1),(-2*((1000*((((Inputs!$I$6+(((A225)+1)/2)*(Inputs!$J$6-Inputs!$I$6)))*Inputs!$C$11+((Inputs!$H$6+Inputs!$L$6*(((Inputs!$I$6+(((A225)+1)/2)*(Inputs!$J$6-Inputs!$I$6)))/Inputs!$K$6)^2))*((2*Inputs!$L$6*((Inputs!$I$6+(((A225)+1)/2)*(Inputs!$J$6-Inputs!$I$6)))/(Inputs!$K$6^2)*Inputs!$C$11)))/(SQRT(((Inputs!$I$6+(((A225)+1)/2)*(Inputs!$J$6-Inputs!$I$6)))^2+Inputs!$C$6^2+((Inputs!$H$6+Inputs!$L$6*(((Inputs!$I$6+(((A225)+1)/2)*(Inputs!$J$6-Inputs!$I$6)))/Inputs!$K$6)^2))^2)))))/Inputs!$C$13),NA())</f>
        <v>-383.60546988496935</v>
      </c>
      <c r="O225" s="9">
        <f>IF(OR(Inputs!$F$7=TRUE,Inputs!$F$7="TRUE",Inputs!$F$7=1),(-2*((1000*((((Inputs!$I$7+(((A225)+1)/2)*(Inputs!$J$7-Inputs!$I$7)))*Inputs!$C$11+((Inputs!$H$7+Inputs!$L$7*(((Inputs!$I$7+(((A225)+1)/2)*(Inputs!$J$7-Inputs!$I$7)))/Inputs!$K$7)^2))*((2*Inputs!$L$7*((Inputs!$I$7+(((A225)+1)/2)*(Inputs!$J$7-Inputs!$I$7)))/(Inputs!$K$7^2)*Inputs!$C$11)))/(SQRT(((Inputs!$I$7+(((A225)+1)/2)*(Inputs!$J$7-Inputs!$I$7)))^2+Inputs!$C$6^2+((Inputs!$H$7+Inputs!$L$7*(((Inputs!$I$7+(((A225)+1)/2)*(Inputs!$J$7-Inputs!$I$7)))/Inputs!$K$7)^2))^2)))))/Inputs!$C$13),NA())</f>
        <v>-2854.2699352269628</v>
      </c>
      <c r="P225" s="9">
        <f>IF(OR(Inputs!$F$8=TRUE,Inputs!$F$8="TRUE",Inputs!$F$8=1),(-2*((1000*((((Inputs!$I$8+(((A225)+1)/2)*(Inputs!$J$8-Inputs!$I$8)))*Inputs!$C$11+((Inputs!$H$8+Inputs!$L$8*(((Inputs!$I$8+(((A225)+1)/2)*(Inputs!$J$8-Inputs!$I$8)))/Inputs!$K$8)^2))*((2*Inputs!$L$8*((Inputs!$I$8+(((A225)+1)/2)*(Inputs!$J$8-Inputs!$I$8)))/(Inputs!$K$8^2)*Inputs!$C$11)))/(SQRT(((Inputs!$I$8+(((A225)+1)/2)*(Inputs!$J$8-Inputs!$I$8)))^2+Inputs!$C$6^2+((Inputs!$H$8+Inputs!$L$8*(((Inputs!$I$8+(((A225)+1)/2)*(Inputs!$J$8-Inputs!$I$8)))/Inputs!$K$8)^2))^2)))))/Inputs!$C$13),NA())</f>
        <v>-3519.0443952708401</v>
      </c>
      <c r="Q225" s="9">
        <f>IF(OR(Inputs!$F$9=TRUE,Inputs!$F$9="TRUE",Inputs!$F$9=1),(-2*((1000*((((Inputs!$I$9+(((A225)+1)/2)*(Inputs!$J$9-Inputs!$I$9)))*Inputs!$C$11+((Inputs!$H$9+Inputs!$L$9*(((Inputs!$I$9+(((A225)+1)/2)*(Inputs!$J$9-Inputs!$I$9)))/Inputs!$K$9)^2))*((2*Inputs!$L$9*((Inputs!$I$9+(((A225)+1)/2)*(Inputs!$J$9-Inputs!$I$9)))/(Inputs!$K$9^2)*Inputs!$C$11)))/(SQRT(((Inputs!$I$9+(((A225)+1)/2)*(Inputs!$J$9-Inputs!$I$9)))^2+Inputs!$C$6^2+((Inputs!$H$9+Inputs!$L$9*(((Inputs!$I$9+(((A225)+1)/2)*(Inputs!$J$9-Inputs!$I$9)))/Inputs!$K$9)^2))^2)))))/Inputs!$C$13),NA())</f>
        <v>-3542.348411613445</v>
      </c>
      <c r="R225" s="10"/>
      <c r="S225" s="9">
        <f t="shared" si="20"/>
        <v>0.85799999999999998</v>
      </c>
      <c r="T225" s="9">
        <f>(Inputs!$I$6+(((A225)+1)/2)*(Inputs!$J$6-Inputs!$I$6))</f>
        <v>51.480000000000004</v>
      </c>
      <c r="U225" s="9">
        <f>(Inputs!$I$7+(((A225)+1)/2)*(Inputs!$J$7-Inputs!$I$7))</f>
        <v>343.20000000000005</v>
      </c>
      <c r="V225" s="9">
        <f>(Inputs!$I$8+(((A225)+1)/2)*(Inputs!$J$8-Inputs!$I$8))</f>
        <v>686.40000000000009</v>
      </c>
      <c r="W225" s="9">
        <f>(Inputs!$I$9+(((A225)+1)/2)*(Inputs!$J$9-Inputs!$I$9))</f>
        <v>686.40000000000009</v>
      </c>
      <c r="X225" s="10"/>
      <c r="Y225" s="9">
        <f t="shared" si="21"/>
        <v>0.85799999999999998</v>
      </c>
      <c r="Z225" s="9">
        <f>(Inputs!$H$6+Inputs!$L$6*(((Inputs!$I$6+(((A225)+1)/2)*(Inputs!$J$6-Inputs!$I$6)))/Inputs!$K$6)^2)</f>
        <v>402.94465600000001</v>
      </c>
      <c r="AA225" s="9">
        <f>(Inputs!$H$7+Inputs!$L$7*(((Inputs!$I$7+(((A225)+1)/2)*(Inputs!$J$7-Inputs!$I$7)))/Inputs!$K$7)^2)</f>
        <v>303.69986000000006</v>
      </c>
      <c r="AB225" s="9">
        <f>(Inputs!$H$8+Inputs!$L$8*(((Inputs!$I$8+(((A225)+1)/2)*(Inputs!$J$8-Inputs!$I$8)))/Inputs!$K$8)^2)</f>
        <v>745.39826000000016</v>
      </c>
      <c r="AC225" s="9">
        <f>(Inputs!$H$9+Inputs!$L$9*(((Inputs!$I$9+(((A225)+1)/2)*(Inputs!$J$9-Inputs!$I$9)))/Inputs!$K$9)^2)</f>
        <v>742.75990000000013</v>
      </c>
      <c r="AD225" s="10"/>
      <c r="AE225" s="9">
        <f t="shared" si="22"/>
        <v>0.85799999999999998</v>
      </c>
      <c r="AF225" s="9">
        <f>(((SQRT(((Inputs!$I$6+(((A225)+1)/2)*(Inputs!$J$6-Inputs!$I$6)))^2+Inputs!$C$6^2+((Inputs!$H$6+Inputs!$L$6*(((Inputs!$I$6+(((A225)+1)/2)*(Inputs!$J$6-Inputs!$I$6)))/Inputs!$K$6)^2))^2))-((Inputs!$H$6+Inputs!$L$6*(((Inputs!$I$6+(((A225)+1)/2)*(Inputs!$J$6-Inputs!$I$6)))/Inputs!$K$6)^2)))*1000/Inputs!$C$12)</f>
        <v>2271.7859379457841</v>
      </c>
      <c r="AG225" s="9">
        <f>(((SQRT(((Inputs!$I$7+(((A225)+1)/2)*(Inputs!$J$7-Inputs!$I$7)))^2+Inputs!$C$6^2+((Inputs!$H$7+Inputs!$L$7*(((Inputs!$I$7+(((A225)+1)/2)*(Inputs!$J$7-Inputs!$I$7)))/Inputs!$K$7)^2))^2))-((Inputs!$H$7+Inputs!$L$7*(((Inputs!$I$7+(((A225)+1)/2)*(Inputs!$J$7-Inputs!$I$7)))/Inputs!$K$7)^2)))*1000/Inputs!$C$12)</f>
        <v>87225.142550208111</v>
      </c>
      <c r="AH225" s="9">
        <f>(((SQRT(((Inputs!$I$8+(((A225)+1)/2)*(Inputs!$J$8-Inputs!$I$8)))^2+Inputs!$C$6^2+((Inputs!$H$8+Inputs!$L$8*(((Inputs!$I$8+(((A225)+1)/2)*(Inputs!$J$8-Inputs!$I$8)))/Inputs!$K$8)^2))^2))-((Inputs!$H$8+Inputs!$L$8*(((Inputs!$I$8+(((A225)+1)/2)*(Inputs!$J$8-Inputs!$I$8)))/Inputs!$K$8)^2)))*1000/Inputs!$C$12)</f>
        <v>150676.12307891701</v>
      </c>
      <c r="AI225" s="9">
        <f>(((SQRT(((Inputs!$I$9+(((A225)+1)/2)*(Inputs!$J$9-Inputs!$I$9)))^2+Inputs!$C$6^2+((Inputs!$H$9+Inputs!$L$9*(((Inputs!$I$9+(((A225)+1)/2)*(Inputs!$J$9-Inputs!$I$9)))/Inputs!$K$9)^2))^2))-((Inputs!$H$9+Inputs!$L$9*(((Inputs!$I$9+(((A225)+1)/2)*(Inputs!$J$9-Inputs!$I$9)))/Inputs!$K$9)^2)))*1000/Inputs!$C$12)</f>
        <v>151069.21380145609</v>
      </c>
      <c r="AJ225" s="10"/>
      <c r="AK225" s="9">
        <f t="shared" si="23"/>
        <v>0.85799999999999998</v>
      </c>
      <c r="AL225" s="9">
        <f>(-2*((1000*((((Inputs!$I$6+(((A225)+1)/2)*(Inputs!$J$6-Inputs!$I$6)))*Inputs!$C$11+((Inputs!$H$6+Inputs!$L$6*(((Inputs!$I$6+(((A225)+1)/2)*(Inputs!$J$6-Inputs!$I$6)))/Inputs!$K$6)^2))*((2*Inputs!$L$6*((Inputs!$I$6+(((A225)+1)/2)*(Inputs!$J$6-Inputs!$I$6)))/(Inputs!$K$6^2)*Inputs!$C$11)))/(SQRT(((Inputs!$I$6+(((A225)+1)/2)*(Inputs!$J$6-Inputs!$I$6)))^2+Inputs!$C$6^2+((Inputs!$H$6+Inputs!$L$6*(((Inputs!$I$6+(((A225)+1)/2)*(Inputs!$J$6-Inputs!$I$6)))/Inputs!$K$6)^2))^2)))))/Inputs!$C$13)</f>
        <v>-383.60546988496935</v>
      </c>
      <c r="AM225" s="9">
        <f>(-2*((1000*((((Inputs!$I$7+(((A225)+1)/2)*(Inputs!$J$7-Inputs!$I$7)))*Inputs!$C$11+((Inputs!$H$7+Inputs!$L$7*(((Inputs!$I$7+(((A225)+1)/2)*(Inputs!$J$7-Inputs!$I$7)))/Inputs!$K$7)^2))*((2*Inputs!$L$7*((Inputs!$I$7+(((A225)+1)/2)*(Inputs!$J$7-Inputs!$I$7)))/(Inputs!$K$7^2)*Inputs!$C$11)))/(SQRT(((Inputs!$I$7+(((A225)+1)/2)*(Inputs!$J$7-Inputs!$I$7)))^2+Inputs!$C$6^2+((Inputs!$H$7+Inputs!$L$7*(((Inputs!$I$7+(((A225)+1)/2)*(Inputs!$J$7-Inputs!$I$7)))/Inputs!$K$7)^2))^2)))))/Inputs!$C$13)</f>
        <v>-2854.2699352269628</v>
      </c>
      <c r="AN225" s="9">
        <f>(-2*((1000*((((Inputs!$I$8+(((A225)+1)/2)*(Inputs!$J$8-Inputs!$I$8)))*Inputs!$C$11+((Inputs!$H$8+Inputs!$L$8*(((Inputs!$I$8+(((A225)+1)/2)*(Inputs!$J$8-Inputs!$I$8)))/Inputs!$K$8)^2))*((2*Inputs!$L$8*((Inputs!$I$8+(((A225)+1)/2)*(Inputs!$J$8-Inputs!$I$8)))/(Inputs!$K$8^2)*Inputs!$C$11)))/(SQRT(((Inputs!$I$8+(((A225)+1)/2)*(Inputs!$J$8-Inputs!$I$8)))^2+Inputs!$C$6^2+((Inputs!$H$8+Inputs!$L$8*(((Inputs!$I$8+(((A225)+1)/2)*(Inputs!$J$8-Inputs!$I$8)))/Inputs!$K$8)^2))^2)))))/Inputs!$C$13)</f>
        <v>-3519.0443952708401</v>
      </c>
      <c r="AO225" s="9">
        <f>(-2*((1000*((((Inputs!$I$9+(((A225)+1)/2)*(Inputs!$J$9-Inputs!$I$9)))*Inputs!$C$11+((Inputs!$H$9+Inputs!$L$9*(((Inputs!$I$9+(((A225)+1)/2)*(Inputs!$J$9-Inputs!$I$9)))/Inputs!$K$9)^2))*((2*Inputs!$L$9*((Inputs!$I$9+(((A225)+1)/2)*(Inputs!$J$9-Inputs!$I$9)))/(Inputs!$K$9^2)*Inputs!$C$11)))/(SQRT(((Inputs!$I$9+(((A225)+1)/2)*(Inputs!$J$9-Inputs!$I$9)))^2+Inputs!$C$6^2+((Inputs!$H$9+Inputs!$L$9*(((Inputs!$I$9+(((A225)+1)/2)*(Inputs!$J$9-Inputs!$I$9)))/Inputs!$K$9)^2))^2)))))/Inputs!$C$13)</f>
        <v>-3542.348411613445</v>
      </c>
    </row>
    <row r="226" spans="1:41">
      <c r="A226" s="9">
        <f>ROUND(-1+224*2/240,3)</f>
        <v>0.86699999999999999</v>
      </c>
      <c r="B226" s="9">
        <f>IF(OR(Inputs!$F$6=TRUE,Inputs!$F$6="TRUE",Inputs!$F$6=1),(Inputs!$H$6+Inputs!$L$6*(((Inputs!$I$6+(((A226)+1)/2)*(Inputs!$J$6-Inputs!$I$6)))/Inputs!$K$6)^2),NA())</f>
        <v>403.006756</v>
      </c>
      <c r="C226" s="9">
        <f>IF(OR(Inputs!$F$7=TRUE,Inputs!$F$7="TRUE",Inputs!$F$7=1),(Inputs!$H$7+Inputs!$L$7*(((Inputs!$I$7+(((A226)+1)/2)*(Inputs!$J$7-Inputs!$I$7)))/Inputs!$K$7)^2),NA())</f>
        <v>309.36648499999995</v>
      </c>
      <c r="D226" s="9">
        <f>IF(OR(Inputs!$F$8=TRUE,Inputs!$F$8="TRUE",Inputs!$F$8=1),(Inputs!$H$8+Inputs!$L$8*(((Inputs!$I$8+(((A226)+1)/2)*(Inputs!$J$8-Inputs!$I$8)))/Inputs!$K$8)^2),NA())</f>
        <v>760.37988499999983</v>
      </c>
      <c r="E226" s="9">
        <f>IF(OR(Inputs!$F$9=TRUE,Inputs!$F$9="TRUE",Inputs!$F$9=1),(Inputs!$H$9+Inputs!$L$9*(((Inputs!$I$9+(((A226)+1)/2)*(Inputs!$J$9-Inputs!$I$9)))/Inputs!$K$9)^2),NA())</f>
        <v>757.89677499999982</v>
      </c>
      <c r="F226" s="10"/>
      <c r="G226" s="9">
        <f t="shared" si="18"/>
        <v>0.86699999999999999</v>
      </c>
      <c r="H226" s="9">
        <f>IF(OR(Inputs!$F$6=TRUE,Inputs!$F$6="TRUE",Inputs!$F$6=1),(((SQRT(((Inputs!$I$6+(((A226)+1)/2)*(Inputs!$J$6-Inputs!$I$6)))^2+Inputs!$C$6^2+((Inputs!$H$6+Inputs!$L$6*(((Inputs!$I$6+(((A226)+1)/2)*(Inputs!$J$6-Inputs!$I$6)))/Inputs!$K$6)^2))^2))-((Inputs!$H$6+Inputs!$L$6*(((Inputs!$I$6+(((A226)+1)/2)*(Inputs!$J$6-Inputs!$I$6)))/Inputs!$K$6)^2)))*1000/Inputs!$C$12),NA())</f>
        <v>2310.0049278348683</v>
      </c>
      <c r="I226" s="9">
        <f>IF(OR(Inputs!$F$7=TRUE,Inputs!$F$7="TRUE",Inputs!$F$7=1),(((SQRT(((Inputs!$I$7+(((A226)+1)/2)*(Inputs!$J$7-Inputs!$I$7)))^2+Inputs!$C$6^2+((Inputs!$H$7+Inputs!$L$7*(((Inputs!$I$7+(((A226)+1)/2)*(Inputs!$J$7-Inputs!$I$7)))/Inputs!$K$7)^2))^2))-((Inputs!$H$7+Inputs!$L$7*(((Inputs!$I$7+(((A226)+1)/2)*(Inputs!$J$7-Inputs!$I$7)))/Inputs!$K$7)^2)))*1000/Inputs!$C$12),NA())</f>
        <v>87662.719616403629</v>
      </c>
      <c r="J226" s="9">
        <f>IF(OR(Inputs!$F$8=TRUE,Inputs!$F$8="TRUE",Inputs!$F$8=1),(((SQRT(((Inputs!$I$8+(((A226)+1)/2)*(Inputs!$J$8-Inputs!$I$8)))^2+Inputs!$C$6^2+((Inputs!$H$8+Inputs!$L$8*(((Inputs!$I$8+(((A226)+1)/2)*(Inputs!$J$8-Inputs!$I$8)))/Inputs!$K$8)^2))^2))-((Inputs!$H$8+Inputs!$L$8*(((Inputs!$I$8+(((A226)+1)/2)*(Inputs!$J$8-Inputs!$I$8)))/Inputs!$K$8)^2)))*1000/Inputs!$C$12),NA())</f>
        <v>151194.69914380202</v>
      </c>
      <c r="K226" s="9">
        <f>IF(OR(Inputs!$F$9=TRUE,Inputs!$F$9="TRUE",Inputs!$F$9=1),(((SQRT(((Inputs!$I$9+(((A226)+1)/2)*(Inputs!$J$9-Inputs!$I$9)))^2+Inputs!$C$6^2+((Inputs!$H$9+Inputs!$L$9*(((Inputs!$I$9+(((A226)+1)/2)*(Inputs!$J$9-Inputs!$I$9)))/Inputs!$K$9)^2))^2))-((Inputs!$H$9+Inputs!$L$9*(((Inputs!$I$9+(((A226)+1)/2)*(Inputs!$J$9-Inputs!$I$9)))/Inputs!$K$9)^2)))*1000/Inputs!$C$12),NA())</f>
        <v>151560.13797993338</v>
      </c>
      <c r="L226" s="10"/>
      <c r="M226" s="9">
        <f t="shared" si="19"/>
        <v>0.86699999999999999</v>
      </c>
      <c r="N226" s="9">
        <f>IF(OR(Inputs!$F$6=TRUE,Inputs!$F$6="TRUE",Inputs!$F$6=1),(-2*((1000*((((Inputs!$I$6+(((A226)+1)/2)*(Inputs!$J$6-Inputs!$I$6)))*Inputs!$C$11+((Inputs!$H$6+Inputs!$L$6*(((Inputs!$I$6+(((A226)+1)/2)*(Inputs!$J$6-Inputs!$I$6)))/Inputs!$K$6)^2))*((2*Inputs!$L$6*((Inputs!$I$6+(((A226)+1)/2)*(Inputs!$J$6-Inputs!$I$6)))/(Inputs!$K$6^2)*Inputs!$C$11)))/(SQRT(((Inputs!$I$6+(((A226)+1)/2)*(Inputs!$J$6-Inputs!$I$6)))^2+Inputs!$C$6^2+((Inputs!$H$6+Inputs!$L$6*(((Inputs!$I$6+(((A226)+1)/2)*(Inputs!$J$6-Inputs!$I$6)))/Inputs!$K$6)^2))^2)))))/Inputs!$C$13),NA())</f>
        <v>-387.53361610589673</v>
      </c>
      <c r="O226" s="9">
        <f>IF(OR(Inputs!$F$7=TRUE,Inputs!$F$7="TRUE",Inputs!$F$7=1),(-2*((1000*((((Inputs!$I$7+(((A226)+1)/2)*(Inputs!$J$7-Inputs!$I$7)))*Inputs!$C$11+((Inputs!$H$7+Inputs!$L$7*(((Inputs!$I$7+(((A226)+1)/2)*(Inputs!$J$7-Inputs!$I$7)))/Inputs!$K$7)^2))*((2*Inputs!$L$7*((Inputs!$I$7+(((A226)+1)/2)*(Inputs!$J$7-Inputs!$I$7)))/(Inputs!$K$7^2)*Inputs!$C$11)))/(SQRT(((Inputs!$I$7+(((A226)+1)/2)*(Inputs!$J$7-Inputs!$I$7)))^2+Inputs!$C$6^2+((Inputs!$H$7+Inputs!$L$7*(((Inputs!$I$7+(((A226)+1)/2)*(Inputs!$J$7-Inputs!$I$7)))/Inputs!$K$7)^2))^2)))))/Inputs!$C$13),NA())</f>
        <v>-2875.0901493794727</v>
      </c>
      <c r="P226" s="9">
        <f>IF(OR(Inputs!$F$8=TRUE,Inputs!$F$8="TRUE",Inputs!$F$8=1),(-2*((1000*((((Inputs!$I$8+(((A226)+1)/2)*(Inputs!$J$8-Inputs!$I$8)))*Inputs!$C$11+((Inputs!$H$8+Inputs!$L$8*(((Inputs!$I$8+(((A226)+1)/2)*(Inputs!$J$8-Inputs!$I$8)))/Inputs!$K$8)^2))*((2*Inputs!$L$8*((Inputs!$I$8+(((A226)+1)/2)*(Inputs!$J$8-Inputs!$I$8)))/(Inputs!$K$8^2)*Inputs!$C$11)))/(SQRT(((Inputs!$I$8+(((A226)+1)/2)*(Inputs!$J$8-Inputs!$I$8)))^2+Inputs!$C$6^2+((Inputs!$H$8+Inputs!$L$8*(((Inputs!$I$8+(((A226)+1)/2)*(Inputs!$J$8-Inputs!$I$8)))/Inputs!$K$8)^2))^2)))))/Inputs!$C$13),NA())</f>
        <v>-3549.722813877338</v>
      </c>
      <c r="Q226" s="9">
        <f>IF(OR(Inputs!$F$9=TRUE,Inputs!$F$9="TRUE",Inputs!$F$9=1),(-2*((1000*((((Inputs!$I$9+(((A226)+1)/2)*(Inputs!$J$9-Inputs!$I$9)))*Inputs!$C$11+((Inputs!$H$9+Inputs!$L$9*(((Inputs!$I$9+(((A226)+1)/2)*(Inputs!$J$9-Inputs!$I$9)))/Inputs!$K$9)^2))*((2*Inputs!$L$9*((Inputs!$I$9+(((A226)+1)/2)*(Inputs!$J$9-Inputs!$I$9)))/(Inputs!$K$9^2)*Inputs!$C$11)))/(SQRT(((Inputs!$I$9+(((A226)+1)/2)*(Inputs!$J$9-Inputs!$I$9)))^2+Inputs!$C$6^2+((Inputs!$H$9+Inputs!$L$9*(((Inputs!$I$9+(((A226)+1)/2)*(Inputs!$J$9-Inputs!$I$9)))/Inputs!$K$9)^2))^2)))))/Inputs!$C$13),NA())</f>
        <v>-3573.5427833980189</v>
      </c>
      <c r="R226" s="10"/>
      <c r="S226" s="9">
        <f t="shared" si="20"/>
        <v>0.86699999999999999</v>
      </c>
      <c r="T226" s="9">
        <f>(Inputs!$I$6+(((A226)+1)/2)*(Inputs!$J$6-Inputs!$I$6))</f>
        <v>52.019999999999996</v>
      </c>
      <c r="U226" s="9">
        <f>(Inputs!$I$7+(((A226)+1)/2)*(Inputs!$J$7-Inputs!$I$7))</f>
        <v>346.79999999999995</v>
      </c>
      <c r="V226" s="9">
        <f>(Inputs!$I$8+(((A226)+1)/2)*(Inputs!$J$8-Inputs!$I$8))</f>
        <v>693.59999999999991</v>
      </c>
      <c r="W226" s="9">
        <f>(Inputs!$I$9+(((A226)+1)/2)*(Inputs!$J$9-Inputs!$I$9))</f>
        <v>693.59999999999991</v>
      </c>
      <c r="X226" s="10"/>
      <c r="Y226" s="9">
        <f t="shared" si="21"/>
        <v>0.86699999999999999</v>
      </c>
      <c r="Z226" s="9">
        <f>(Inputs!$H$6+Inputs!$L$6*(((Inputs!$I$6+(((A226)+1)/2)*(Inputs!$J$6-Inputs!$I$6)))/Inputs!$K$6)^2)</f>
        <v>403.006756</v>
      </c>
      <c r="AA226" s="9">
        <f>(Inputs!$H$7+Inputs!$L$7*(((Inputs!$I$7+(((A226)+1)/2)*(Inputs!$J$7-Inputs!$I$7)))/Inputs!$K$7)^2)</f>
        <v>309.36648499999995</v>
      </c>
      <c r="AB226" s="9">
        <f>(Inputs!$H$8+Inputs!$L$8*(((Inputs!$I$8+(((A226)+1)/2)*(Inputs!$J$8-Inputs!$I$8)))/Inputs!$K$8)^2)</f>
        <v>760.37988499999983</v>
      </c>
      <c r="AC226" s="9">
        <f>(Inputs!$H$9+Inputs!$L$9*(((Inputs!$I$9+(((A226)+1)/2)*(Inputs!$J$9-Inputs!$I$9)))/Inputs!$K$9)^2)</f>
        <v>757.89677499999982</v>
      </c>
      <c r="AD226" s="10"/>
      <c r="AE226" s="9">
        <f t="shared" si="22"/>
        <v>0.86699999999999999</v>
      </c>
      <c r="AF226" s="9">
        <f>(((SQRT(((Inputs!$I$6+(((A226)+1)/2)*(Inputs!$J$6-Inputs!$I$6)))^2+Inputs!$C$6^2+((Inputs!$H$6+Inputs!$L$6*(((Inputs!$I$6+(((A226)+1)/2)*(Inputs!$J$6-Inputs!$I$6)))/Inputs!$K$6)^2))^2))-((Inputs!$H$6+Inputs!$L$6*(((Inputs!$I$6+(((A226)+1)/2)*(Inputs!$J$6-Inputs!$I$6)))/Inputs!$K$6)^2)))*1000/Inputs!$C$12)</f>
        <v>2310.0049278348683</v>
      </c>
      <c r="AG226" s="9">
        <f>(((SQRT(((Inputs!$I$7+(((A226)+1)/2)*(Inputs!$J$7-Inputs!$I$7)))^2+Inputs!$C$6^2+((Inputs!$H$7+Inputs!$L$7*(((Inputs!$I$7+(((A226)+1)/2)*(Inputs!$J$7-Inputs!$I$7)))/Inputs!$K$7)^2))^2))-((Inputs!$H$7+Inputs!$L$7*(((Inputs!$I$7+(((A226)+1)/2)*(Inputs!$J$7-Inputs!$I$7)))/Inputs!$K$7)^2)))*1000/Inputs!$C$12)</f>
        <v>87662.719616403629</v>
      </c>
      <c r="AH226" s="9">
        <f>(((SQRT(((Inputs!$I$8+(((A226)+1)/2)*(Inputs!$J$8-Inputs!$I$8)))^2+Inputs!$C$6^2+((Inputs!$H$8+Inputs!$L$8*(((Inputs!$I$8+(((A226)+1)/2)*(Inputs!$J$8-Inputs!$I$8)))/Inputs!$K$8)^2))^2))-((Inputs!$H$8+Inputs!$L$8*(((Inputs!$I$8+(((A226)+1)/2)*(Inputs!$J$8-Inputs!$I$8)))/Inputs!$K$8)^2)))*1000/Inputs!$C$12)</f>
        <v>151194.69914380202</v>
      </c>
      <c r="AI226" s="9">
        <f>(((SQRT(((Inputs!$I$9+(((A226)+1)/2)*(Inputs!$J$9-Inputs!$I$9)))^2+Inputs!$C$6^2+((Inputs!$H$9+Inputs!$L$9*(((Inputs!$I$9+(((A226)+1)/2)*(Inputs!$J$9-Inputs!$I$9)))/Inputs!$K$9)^2))^2))-((Inputs!$H$9+Inputs!$L$9*(((Inputs!$I$9+(((A226)+1)/2)*(Inputs!$J$9-Inputs!$I$9)))/Inputs!$K$9)^2)))*1000/Inputs!$C$12)</f>
        <v>151560.13797993338</v>
      </c>
      <c r="AJ226" s="10"/>
      <c r="AK226" s="9">
        <f t="shared" si="23"/>
        <v>0.86699999999999999</v>
      </c>
      <c r="AL226" s="9">
        <f>(-2*((1000*((((Inputs!$I$6+(((A226)+1)/2)*(Inputs!$J$6-Inputs!$I$6)))*Inputs!$C$11+((Inputs!$H$6+Inputs!$L$6*(((Inputs!$I$6+(((A226)+1)/2)*(Inputs!$J$6-Inputs!$I$6)))/Inputs!$K$6)^2))*((2*Inputs!$L$6*((Inputs!$I$6+(((A226)+1)/2)*(Inputs!$J$6-Inputs!$I$6)))/(Inputs!$K$6^2)*Inputs!$C$11)))/(SQRT(((Inputs!$I$6+(((A226)+1)/2)*(Inputs!$J$6-Inputs!$I$6)))^2+Inputs!$C$6^2+((Inputs!$H$6+Inputs!$L$6*(((Inputs!$I$6+(((A226)+1)/2)*(Inputs!$J$6-Inputs!$I$6)))/Inputs!$K$6)^2))^2)))))/Inputs!$C$13)</f>
        <v>-387.53361610589673</v>
      </c>
      <c r="AM226" s="9">
        <f>(-2*((1000*((((Inputs!$I$7+(((A226)+1)/2)*(Inputs!$J$7-Inputs!$I$7)))*Inputs!$C$11+((Inputs!$H$7+Inputs!$L$7*(((Inputs!$I$7+(((A226)+1)/2)*(Inputs!$J$7-Inputs!$I$7)))/Inputs!$K$7)^2))*((2*Inputs!$L$7*((Inputs!$I$7+(((A226)+1)/2)*(Inputs!$J$7-Inputs!$I$7)))/(Inputs!$K$7^2)*Inputs!$C$11)))/(SQRT(((Inputs!$I$7+(((A226)+1)/2)*(Inputs!$J$7-Inputs!$I$7)))^2+Inputs!$C$6^2+((Inputs!$H$7+Inputs!$L$7*(((Inputs!$I$7+(((A226)+1)/2)*(Inputs!$J$7-Inputs!$I$7)))/Inputs!$K$7)^2))^2)))))/Inputs!$C$13)</f>
        <v>-2875.0901493794727</v>
      </c>
      <c r="AN226" s="9">
        <f>(-2*((1000*((((Inputs!$I$8+(((A226)+1)/2)*(Inputs!$J$8-Inputs!$I$8)))*Inputs!$C$11+((Inputs!$H$8+Inputs!$L$8*(((Inputs!$I$8+(((A226)+1)/2)*(Inputs!$J$8-Inputs!$I$8)))/Inputs!$K$8)^2))*((2*Inputs!$L$8*((Inputs!$I$8+(((A226)+1)/2)*(Inputs!$J$8-Inputs!$I$8)))/(Inputs!$K$8^2)*Inputs!$C$11)))/(SQRT(((Inputs!$I$8+(((A226)+1)/2)*(Inputs!$J$8-Inputs!$I$8)))^2+Inputs!$C$6^2+((Inputs!$H$8+Inputs!$L$8*(((Inputs!$I$8+(((A226)+1)/2)*(Inputs!$J$8-Inputs!$I$8)))/Inputs!$K$8)^2))^2)))))/Inputs!$C$13)</f>
        <v>-3549.722813877338</v>
      </c>
      <c r="AO226" s="9">
        <f>(-2*((1000*((((Inputs!$I$9+(((A226)+1)/2)*(Inputs!$J$9-Inputs!$I$9)))*Inputs!$C$11+((Inputs!$H$9+Inputs!$L$9*(((Inputs!$I$9+(((A226)+1)/2)*(Inputs!$J$9-Inputs!$I$9)))/Inputs!$K$9)^2))*((2*Inputs!$L$9*((Inputs!$I$9+(((A226)+1)/2)*(Inputs!$J$9-Inputs!$I$9)))/(Inputs!$K$9^2)*Inputs!$C$11)))/(SQRT(((Inputs!$I$9+(((A226)+1)/2)*(Inputs!$J$9-Inputs!$I$9)))^2+Inputs!$C$6^2+((Inputs!$H$9+Inputs!$L$9*(((Inputs!$I$9+(((A226)+1)/2)*(Inputs!$J$9-Inputs!$I$9)))/Inputs!$K$9)^2))^2)))))/Inputs!$C$13)</f>
        <v>-3573.5427833980189</v>
      </c>
    </row>
    <row r="227" spans="1:41">
      <c r="A227" s="9">
        <f>ROUND(-1+225*2/240,3)</f>
        <v>0.875</v>
      </c>
      <c r="B227" s="9">
        <f>IF(OR(Inputs!$F$6=TRUE,Inputs!$F$6="TRUE",Inputs!$F$6=1),(Inputs!$H$6+Inputs!$L$6*(((Inputs!$I$6+(((A227)+1)/2)*(Inputs!$J$6-Inputs!$I$6)))/Inputs!$K$6)^2),NA())</f>
        <v>403.0625</v>
      </c>
      <c r="C227" s="9">
        <f>IF(OR(Inputs!$F$7=TRUE,Inputs!$F$7="TRUE",Inputs!$F$7=1),(Inputs!$H$7+Inputs!$L$7*(((Inputs!$I$7+(((A227)+1)/2)*(Inputs!$J$7-Inputs!$I$7)))/Inputs!$K$7)^2),NA())</f>
        <v>314.453125</v>
      </c>
      <c r="D227" s="9">
        <f>IF(OR(Inputs!$F$8=TRUE,Inputs!$F$8="TRUE",Inputs!$F$8=1),(Inputs!$H$8+Inputs!$L$8*(((Inputs!$I$8+(((A227)+1)/2)*(Inputs!$J$8-Inputs!$I$8)))/Inputs!$K$8)^2),NA())</f>
        <v>773.828125</v>
      </c>
      <c r="E227" s="9">
        <f>IF(OR(Inputs!$F$9=TRUE,Inputs!$F$9="TRUE",Inputs!$F$9=1),(Inputs!$H$9+Inputs!$L$9*(((Inputs!$I$9+(((A227)+1)/2)*(Inputs!$J$9-Inputs!$I$9)))/Inputs!$K$9)^2),NA())</f>
        <v>771.484375</v>
      </c>
      <c r="F227" s="10"/>
      <c r="G227" s="9">
        <f t="shared" si="18"/>
        <v>0.875</v>
      </c>
      <c r="H227" s="9">
        <f>IF(OR(Inputs!$F$6=TRUE,Inputs!$F$6="TRUE",Inputs!$F$6=1),(((SQRT(((Inputs!$I$6+(((A227)+1)/2)*(Inputs!$J$6-Inputs!$I$6)))^2+Inputs!$C$6^2+((Inputs!$H$6+Inputs!$L$6*(((Inputs!$I$6+(((A227)+1)/2)*(Inputs!$J$6-Inputs!$I$6)))/Inputs!$K$6)^2))^2))-((Inputs!$H$6+Inputs!$L$6*(((Inputs!$I$6+(((A227)+1)/2)*(Inputs!$J$6-Inputs!$I$6)))/Inputs!$K$6)^2)))*1000/Inputs!$C$12),NA())</f>
        <v>2344.2967985996152</v>
      </c>
      <c r="I227" s="9">
        <f>IF(OR(Inputs!$F$7=TRUE,Inputs!$F$7="TRUE",Inputs!$F$7=1),(((SQRT(((Inputs!$I$7+(((A227)+1)/2)*(Inputs!$J$7-Inputs!$I$7)))^2+Inputs!$C$6^2+((Inputs!$H$7+Inputs!$L$7*(((Inputs!$I$7+(((A227)+1)/2)*(Inputs!$J$7-Inputs!$I$7)))/Inputs!$K$7)^2))^2))-((Inputs!$H$7+Inputs!$L$7*(((Inputs!$I$7+(((A227)+1)/2)*(Inputs!$J$7-Inputs!$I$7)))/Inputs!$K$7)^2)))*1000/Inputs!$C$12),NA())</f>
        <v>88045.929941761235</v>
      </c>
      <c r="J227" s="9">
        <f>IF(OR(Inputs!$F$8=TRUE,Inputs!$F$8="TRUE",Inputs!$F$8=1),(((SQRT(((Inputs!$I$8+(((A227)+1)/2)*(Inputs!$J$8-Inputs!$I$8)))^2+Inputs!$C$6^2+((Inputs!$H$8+Inputs!$L$8*(((Inputs!$I$8+(((A227)+1)/2)*(Inputs!$J$8-Inputs!$I$8)))/Inputs!$K$8)^2))^2))-((Inputs!$H$8+Inputs!$L$8*(((Inputs!$I$8+(((A227)+1)/2)*(Inputs!$J$8-Inputs!$I$8)))/Inputs!$K$8)^2)))*1000/Inputs!$C$12),NA())</f>
        <v>151647.1287097446</v>
      </c>
      <c r="K227" s="9">
        <f>IF(OR(Inputs!$F$9=TRUE,Inputs!$F$9="TRUE",Inputs!$F$9=1),(((SQRT(((Inputs!$I$9+(((A227)+1)/2)*(Inputs!$J$9-Inputs!$I$9)))^2+Inputs!$C$6^2+((Inputs!$H$9+Inputs!$L$9*(((Inputs!$I$9+(((A227)+1)/2)*(Inputs!$J$9-Inputs!$I$9)))/Inputs!$K$9)^2))^2))-((Inputs!$H$9+Inputs!$L$9*(((Inputs!$I$9+(((A227)+1)/2)*(Inputs!$J$9-Inputs!$I$9)))/Inputs!$K$9)^2)))*1000/Inputs!$C$12),NA())</f>
        <v>151988.31730604862</v>
      </c>
      <c r="L227" s="10"/>
      <c r="M227" s="9">
        <f t="shared" si="19"/>
        <v>0.875</v>
      </c>
      <c r="N227" s="9">
        <f>IF(OR(Inputs!$F$6=TRUE,Inputs!$F$6="TRUE",Inputs!$F$6=1),(-2*((1000*((((Inputs!$I$6+(((A227)+1)/2)*(Inputs!$J$6-Inputs!$I$6)))*Inputs!$C$11+((Inputs!$H$6+Inputs!$L$6*(((Inputs!$I$6+(((A227)+1)/2)*(Inputs!$J$6-Inputs!$I$6)))/Inputs!$K$6)^2))*((2*Inputs!$L$6*((Inputs!$I$6+(((A227)+1)/2)*(Inputs!$J$6-Inputs!$I$6)))/(Inputs!$K$6^2)*Inputs!$C$11)))/(SQRT(((Inputs!$I$6+(((A227)+1)/2)*(Inputs!$J$6-Inputs!$I$6)))^2+Inputs!$C$6^2+((Inputs!$H$6+Inputs!$L$6*(((Inputs!$I$6+(((A227)+1)/2)*(Inputs!$J$6-Inputs!$I$6)))/Inputs!$K$6)^2))^2)))))/Inputs!$C$13),NA())</f>
        <v>-391.02286674642266</v>
      </c>
      <c r="O227" s="9">
        <f>IF(OR(Inputs!$F$7=TRUE,Inputs!$F$7="TRUE",Inputs!$F$7=1),(-2*((1000*((((Inputs!$I$7+(((A227)+1)/2)*(Inputs!$J$7-Inputs!$I$7)))*Inputs!$C$11+((Inputs!$H$7+Inputs!$L$7*(((Inputs!$I$7+(((A227)+1)/2)*(Inputs!$J$7-Inputs!$I$7)))/Inputs!$K$7)^2))*((2*Inputs!$L$7*((Inputs!$I$7+(((A227)+1)/2)*(Inputs!$J$7-Inputs!$I$7)))/(Inputs!$K$7^2)*Inputs!$C$11)))/(SQRT(((Inputs!$I$7+(((A227)+1)/2)*(Inputs!$J$7-Inputs!$I$7)))^2+Inputs!$C$6^2+((Inputs!$H$7+Inputs!$L$7*(((Inputs!$I$7+(((A227)+1)/2)*(Inputs!$J$7-Inputs!$I$7)))/Inputs!$K$7)^2))^2)))))/Inputs!$C$13),NA())</f>
        <v>-2893.6766185784404</v>
      </c>
      <c r="P227" s="9">
        <f>IF(OR(Inputs!$F$8=TRUE,Inputs!$F$8="TRUE",Inputs!$F$8=1),(-2*((1000*((((Inputs!$I$8+(((A227)+1)/2)*(Inputs!$J$8-Inputs!$I$8)))*Inputs!$C$11+((Inputs!$H$8+Inputs!$L$8*(((Inputs!$I$8+(((A227)+1)/2)*(Inputs!$J$8-Inputs!$I$8)))/Inputs!$K$8)^2))*((2*Inputs!$L$8*((Inputs!$I$8+(((A227)+1)/2)*(Inputs!$J$8-Inputs!$I$8)))/(Inputs!$K$8^2)*Inputs!$C$11)))/(SQRT(((Inputs!$I$8+(((A227)+1)/2)*(Inputs!$J$8-Inputs!$I$8)))^2+Inputs!$C$6^2+((Inputs!$H$8+Inputs!$L$8*(((Inputs!$I$8+(((A227)+1)/2)*(Inputs!$J$8-Inputs!$I$8)))/Inputs!$K$8)^2))^2)))))/Inputs!$C$13),NA())</f>
        <v>-3577.0717806189364</v>
      </c>
      <c r="Q227" s="9">
        <f>IF(OR(Inputs!$F$9=TRUE,Inputs!$F$9="TRUE",Inputs!$F$9=1),(-2*((1000*((((Inputs!$I$9+(((A227)+1)/2)*(Inputs!$J$9-Inputs!$I$9)))*Inputs!$C$11+((Inputs!$H$9+Inputs!$L$9*(((Inputs!$I$9+(((A227)+1)/2)*(Inputs!$J$9-Inputs!$I$9)))/Inputs!$K$9)^2))*((2*Inputs!$L$9*((Inputs!$I$9+(((A227)+1)/2)*(Inputs!$J$9-Inputs!$I$9)))/(Inputs!$K$9^2)*Inputs!$C$11)))/(SQRT(((Inputs!$I$9+(((A227)+1)/2)*(Inputs!$J$9-Inputs!$I$9)))^2+Inputs!$C$6^2+((Inputs!$H$9+Inputs!$L$9*(((Inputs!$I$9+(((A227)+1)/2)*(Inputs!$J$9-Inputs!$I$9)))/Inputs!$K$9)^2))^2)))))/Inputs!$C$13),NA())</f>
        <v>-3601.3488585264108</v>
      </c>
      <c r="R227" s="10"/>
      <c r="S227" s="9">
        <f t="shared" si="20"/>
        <v>0.875</v>
      </c>
      <c r="T227" s="9">
        <f>(Inputs!$I$6+(((A227)+1)/2)*(Inputs!$J$6-Inputs!$I$6))</f>
        <v>52.5</v>
      </c>
      <c r="U227" s="9">
        <f>(Inputs!$I$7+(((A227)+1)/2)*(Inputs!$J$7-Inputs!$I$7))</f>
        <v>350</v>
      </c>
      <c r="V227" s="9">
        <f>(Inputs!$I$8+(((A227)+1)/2)*(Inputs!$J$8-Inputs!$I$8))</f>
        <v>700</v>
      </c>
      <c r="W227" s="9">
        <f>(Inputs!$I$9+(((A227)+1)/2)*(Inputs!$J$9-Inputs!$I$9))</f>
        <v>700</v>
      </c>
      <c r="X227" s="10"/>
      <c r="Y227" s="9">
        <f t="shared" si="21"/>
        <v>0.875</v>
      </c>
      <c r="Z227" s="9">
        <f>(Inputs!$H$6+Inputs!$L$6*(((Inputs!$I$6+(((A227)+1)/2)*(Inputs!$J$6-Inputs!$I$6)))/Inputs!$K$6)^2)</f>
        <v>403.0625</v>
      </c>
      <c r="AA227" s="9">
        <f>(Inputs!$H$7+Inputs!$L$7*(((Inputs!$I$7+(((A227)+1)/2)*(Inputs!$J$7-Inputs!$I$7)))/Inputs!$K$7)^2)</f>
        <v>314.453125</v>
      </c>
      <c r="AB227" s="9">
        <f>(Inputs!$H$8+Inputs!$L$8*(((Inputs!$I$8+(((A227)+1)/2)*(Inputs!$J$8-Inputs!$I$8)))/Inputs!$K$8)^2)</f>
        <v>773.828125</v>
      </c>
      <c r="AC227" s="9">
        <f>(Inputs!$H$9+Inputs!$L$9*(((Inputs!$I$9+(((A227)+1)/2)*(Inputs!$J$9-Inputs!$I$9)))/Inputs!$K$9)^2)</f>
        <v>771.484375</v>
      </c>
      <c r="AD227" s="10"/>
      <c r="AE227" s="9">
        <f t="shared" si="22"/>
        <v>0.875</v>
      </c>
      <c r="AF227" s="9">
        <f>(((SQRT(((Inputs!$I$6+(((A227)+1)/2)*(Inputs!$J$6-Inputs!$I$6)))^2+Inputs!$C$6^2+((Inputs!$H$6+Inputs!$L$6*(((Inputs!$I$6+(((A227)+1)/2)*(Inputs!$J$6-Inputs!$I$6)))/Inputs!$K$6)^2))^2))-((Inputs!$H$6+Inputs!$L$6*(((Inputs!$I$6+(((A227)+1)/2)*(Inputs!$J$6-Inputs!$I$6)))/Inputs!$K$6)^2)))*1000/Inputs!$C$12)</f>
        <v>2344.2967985996152</v>
      </c>
      <c r="AG227" s="9">
        <f>(((SQRT(((Inputs!$I$7+(((A227)+1)/2)*(Inputs!$J$7-Inputs!$I$7)))^2+Inputs!$C$6^2+((Inputs!$H$7+Inputs!$L$7*(((Inputs!$I$7+(((A227)+1)/2)*(Inputs!$J$7-Inputs!$I$7)))/Inputs!$K$7)^2))^2))-((Inputs!$H$7+Inputs!$L$7*(((Inputs!$I$7+(((A227)+1)/2)*(Inputs!$J$7-Inputs!$I$7)))/Inputs!$K$7)^2)))*1000/Inputs!$C$12)</f>
        <v>88045.929941761235</v>
      </c>
      <c r="AH227" s="9">
        <f>(((SQRT(((Inputs!$I$8+(((A227)+1)/2)*(Inputs!$J$8-Inputs!$I$8)))^2+Inputs!$C$6^2+((Inputs!$H$8+Inputs!$L$8*(((Inputs!$I$8+(((A227)+1)/2)*(Inputs!$J$8-Inputs!$I$8)))/Inputs!$K$8)^2))^2))-((Inputs!$H$8+Inputs!$L$8*(((Inputs!$I$8+(((A227)+1)/2)*(Inputs!$J$8-Inputs!$I$8)))/Inputs!$K$8)^2)))*1000/Inputs!$C$12)</f>
        <v>151647.1287097446</v>
      </c>
      <c r="AI227" s="9">
        <f>(((SQRT(((Inputs!$I$9+(((A227)+1)/2)*(Inputs!$J$9-Inputs!$I$9)))^2+Inputs!$C$6^2+((Inputs!$H$9+Inputs!$L$9*(((Inputs!$I$9+(((A227)+1)/2)*(Inputs!$J$9-Inputs!$I$9)))/Inputs!$K$9)^2))^2))-((Inputs!$H$9+Inputs!$L$9*(((Inputs!$I$9+(((A227)+1)/2)*(Inputs!$J$9-Inputs!$I$9)))/Inputs!$K$9)^2)))*1000/Inputs!$C$12)</f>
        <v>151988.31730604862</v>
      </c>
      <c r="AJ227" s="10"/>
      <c r="AK227" s="9">
        <f t="shared" si="23"/>
        <v>0.875</v>
      </c>
      <c r="AL227" s="9">
        <f>(-2*((1000*((((Inputs!$I$6+(((A227)+1)/2)*(Inputs!$J$6-Inputs!$I$6)))*Inputs!$C$11+((Inputs!$H$6+Inputs!$L$6*(((Inputs!$I$6+(((A227)+1)/2)*(Inputs!$J$6-Inputs!$I$6)))/Inputs!$K$6)^2))*((2*Inputs!$L$6*((Inputs!$I$6+(((A227)+1)/2)*(Inputs!$J$6-Inputs!$I$6)))/(Inputs!$K$6^2)*Inputs!$C$11)))/(SQRT(((Inputs!$I$6+(((A227)+1)/2)*(Inputs!$J$6-Inputs!$I$6)))^2+Inputs!$C$6^2+((Inputs!$H$6+Inputs!$L$6*(((Inputs!$I$6+(((A227)+1)/2)*(Inputs!$J$6-Inputs!$I$6)))/Inputs!$K$6)^2))^2)))))/Inputs!$C$13)</f>
        <v>-391.02286674642266</v>
      </c>
      <c r="AM227" s="9">
        <f>(-2*((1000*((((Inputs!$I$7+(((A227)+1)/2)*(Inputs!$J$7-Inputs!$I$7)))*Inputs!$C$11+((Inputs!$H$7+Inputs!$L$7*(((Inputs!$I$7+(((A227)+1)/2)*(Inputs!$J$7-Inputs!$I$7)))/Inputs!$K$7)^2))*((2*Inputs!$L$7*((Inputs!$I$7+(((A227)+1)/2)*(Inputs!$J$7-Inputs!$I$7)))/(Inputs!$K$7^2)*Inputs!$C$11)))/(SQRT(((Inputs!$I$7+(((A227)+1)/2)*(Inputs!$J$7-Inputs!$I$7)))^2+Inputs!$C$6^2+((Inputs!$H$7+Inputs!$L$7*(((Inputs!$I$7+(((A227)+1)/2)*(Inputs!$J$7-Inputs!$I$7)))/Inputs!$K$7)^2))^2)))))/Inputs!$C$13)</f>
        <v>-2893.6766185784404</v>
      </c>
      <c r="AN227" s="9">
        <f>(-2*((1000*((((Inputs!$I$8+(((A227)+1)/2)*(Inputs!$J$8-Inputs!$I$8)))*Inputs!$C$11+((Inputs!$H$8+Inputs!$L$8*(((Inputs!$I$8+(((A227)+1)/2)*(Inputs!$J$8-Inputs!$I$8)))/Inputs!$K$8)^2))*((2*Inputs!$L$8*((Inputs!$I$8+(((A227)+1)/2)*(Inputs!$J$8-Inputs!$I$8)))/(Inputs!$K$8^2)*Inputs!$C$11)))/(SQRT(((Inputs!$I$8+(((A227)+1)/2)*(Inputs!$J$8-Inputs!$I$8)))^2+Inputs!$C$6^2+((Inputs!$H$8+Inputs!$L$8*(((Inputs!$I$8+(((A227)+1)/2)*(Inputs!$J$8-Inputs!$I$8)))/Inputs!$K$8)^2))^2)))))/Inputs!$C$13)</f>
        <v>-3577.0717806189364</v>
      </c>
      <c r="AO227" s="9">
        <f>(-2*((1000*((((Inputs!$I$9+(((A227)+1)/2)*(Inputs!$J$9-Inputs!$I$9)))*Inputs!$C$11+((Inputs!$H$9+Inputs!$L$9*(((Inputs!$I$9+(((A227)+1)/2)*(Inputs!$J$9-Inputs!$I$9)))/Inputs!$K$9)^2))*((2*Inputs!$L$9*((Inputs!$I$9+(((A227)+1)/2)*(Inputs!$J$9-Inputs!$I$9)))/(Inputs!$K$9^2)*Inputs!$C$11)))/(SQRT(((Inputs!$I$9+(((A227)+1)/2)*(Inputs!$J$9-Inputs!$I$9)))^2+Inputs!$C$6^2+((Inputs!$H$9+Inputs!$L$9*(((Inputs!$I$9+(((A227)+1)/2)*(Inputs!$J$9-Inputs!$I$9)))/Inputs!$K$9)^2))^2)))))/Inputs!$C$13)</f>
        <v>-3601.3488585264108</v>
      </c>
    </row>
    <row r="228" spans="1:41">
      <c r="A228" s="9">
        <f>ROUND(-1+226*2/240,3)</f>
        <v>0.88300000000000001</v>
      </c>
      <c r="B228" s="9">
        <f>IF(OR(Inputs!$F$6=TRUE,Inputs!$F$6="TRUE",Inputs!$F$6=1),(Inputs!$H$6+Inputs!$L$6*(((Inputs!$I$6+(((A228)+1)/2)*(Inputs!$J$6-Inputs!$I$6)))/Inputs!$K$6)^2),NA())</f>
        <v>403.11875600000002</v>
      </c>
      <c r="C228" s="9">
        <f>IF(OR(Inputs!$F$7=TRUE,Inputs!$F$7="TRUE",Inputs!$F$7=1),(Inputs!$H$7+Inputs!$L$7*(((Inputs!$I$7+(((A228)+1)/2)*(Inputs!$J$7-Inputs!$I$7)))/Inputs!$K$7)^2),NA())</f>
        <v>319.5864850000001</v>
      </c>
      <c r="D228" s="9">
        <f>IF(OR(Inputs!$F$8=TRUE,Inputs!$F$8="TRUE",Inputs!$F$8=1),(Inputs!$H$8+Inputs!$L$8*(((Inputs!$I$8+(((A228)+1)/2)*(Inputs!$J$8-Inputs!$I$8)))/Inputs!$K$8)^2),NA())</f>
        <v>787.39988500000015</v>
      </c>
      <c r="E228" s="9">
        <f>IF(OR(Inputs!$F$9=TRUE,Inputs!$F$9="TRUE",Inputs!$F$9=1),(Inputs!$H$9+Inputs!$L$9*(((Inputs!$I$9+(((A228)+1)/2)*(Inputs!$J$9-Inputs!$I$9)))/Inputs!$K$9)^2),NA())</f>
        <v>785.19677500000023</v>
      </c>
      <c r="F228" s="10"/>
      <c r="G228" s="9">
        <f t="shared" si="18"/>
        <v>0.88300000000000001</v>
      </c>
      <c r="H228" s="9">
        <f>IF(OR(Inputs!$F$6=TRUE,Inputs!$F$6="TRUE",Inputs!$F$6=1),(((SQRT(((Inputs!$I$6+(((A228)+1)/2)*(Inputs!$J$6-Inputs!$I$6)))^2+Inputs!$C$6^2+((Inputs!$H$6+Inputs!$L$6*(((Inputs!$I$6+(((A228)+1)/2)*(Inputs!$J$6-Inputs!$I$6)))/Inputs!$K$6)^2))^2))-((Inputs!$H$6+Inputs!$L$6*(((Inputs!$I$6+(((A228)+1)/2)*(Inputs!$J$6-Inputs!$I$6)))/Inputs!$K$6)^2)))*1000/Inputs!$C$12),NA())</f>
        <v>2378.8889104324562</v>
      </c>
      <c r="I228" s="9">
        <f>IF(OR(Inputs!$F$7=TRUE,Inputs!$F$7="TRUE",Inputs!$F$7=1),(((SQRT(((Inputs!$I$7+(((A228)+1)/2)*(Inputs!$J$7-Inputs!$I$7)))^2+Inputs!$C$6^2+((Inputs!$H$7+Inputs!$L$7*(((Inputs!$I$7+(((A228)+1)/2)*(Inputs!$J$7-Inputs!$I$7)))/Inputs!$K$7)^2))^2))-((Inputs!$H$7+Inputs!$L$7*(((Inputs!$I$7+(((A228)+1)/2)*(Inputs!$J$7-Inputs!$I$7)))/Inputs!$K$7)^2)))*1000/Inputs!$C$12),NA())</f>
        <v>88423.818304443354</v>
      </c>
      <c r="J228" s="9">
        <f>IF(OR(Inputs!$F$8=TRUE,Inputs!$F$8="TRUE",Inputs!$F$8=1),(((SQRT(((Inputs!$I$8+(((A228)+1)/2)*(Inputs!$J$8-Inputs!$I$8)))^2+Inputs!$C$6^2+((Inputs!$H$8+Inputs!$L$8*(((Inputs!$I$8+(((A228)+1)/2)*(Inputs!$J$8-Inputs!$I$8)))/Inputs!$K$8)^2))^2))-((Inputs!$H$8+Inputs!$L$8*(((Inputs!$I$8+(((A228)+1)/2)*(Inputs!$J$8-Inputs!$I$8)))/Inputs!$K$8)^2)))*1000/Inputs!$C$12),NA())</f>
        <v>152091.70553919495</v>
      </c>
      <c r="K228" s="9">
        <f>IF(OR(Inputs!$F$9=TRUE,Inputs!$F$9="TRUE",Inputs!$F$9=1),(((SQRT(((Inputs!$I$9+(((A228)+1)/2)*(Inputs!$J$9-Inputs!$I$9)))^2+Inputs!$C$6^2+((Inputs!$H$9+Inputs!$L$9*(((Inputs!$I$9+(((A228)+1)/2)*(Inputs!$J$9-Inputs!$I$9)))/Inputs!$K$9)^2))^2))-((Inputs!$H$9+Inputs!$L$9*(((Inputs!$I$9+(((A228)+1)/2)*(Inputs!$J$9-Inputs!$I$9)))/Inputs!$K$9)^2)))*1000/Inputs!$C$12),NA())</f>
        <v>152408.95038778541</v>
      </c>
      <c r="L228" s="10"/>
      <c r="M228" s="9">
        <f t="shared" si="19"/>
        <v>0.88300000000000001</v>
      </c>
      <c r="N228" s="9">
        <f>IF(OR(Inputs!$F$6=TRUE,Inputs!$F$6="TRUE",Inputs!$F$6=1),(-2*((1000*((((Inputs!$I$6+(((A228)+1)/2)*(Inputs!$J$6-Inputs!$I$6)))*Inputs!$C$11+((Inputs!$H$6+Inputs!$L$6*(((Inputs!$I$6+(((A228)+1)/2)*(Inputs!$J$6-Inputs!$I$6)))/Inputs!$K$6)^2))*((2*Inputs!$L$6*((Inputs!$I$6+(((A228)+1)/2)*(Inputs!$J$6-Inputs!$I$6)))/(Inputs!$K$6^2)*Inputs!$C$11)))/(SQRT(((Inputs!$I$6+(((A228)+1)/2)*(Inputs!$J$6-Inputs!$I$6)))^2+Inputs!$C$6^2+((Inputs!$H$6+Inputs!$L$6*(((Inputs!$I$6+(((A228)+1)/2)*(Inputs!$J$6-Inputs!$I$6)))/Inputs!$K$6)^2))^2)))))/Inputs!$C$13),NA())</f>
        <v>-394.50980714850186</v>
      </c>
      <c r="O228" s="9">
        <f>IF(OR(Inputs!$F$7=TRUE,Inputs!$F$7="TRUE",Inputs!$F$7=1),(-2*((1000*((((Inputs!$I$7+(((A228)+1)/2)*(Inputs!$J$7-Inputs!$I$7)))*Inputs!$C$11+((Inputs!$H$7+Inputs!$L$7*(((Inputs!$I$7+(((A228)+1)/2)*(Inputs!$J$7-Inputs!$I$7)))/Inputs!$K$7)^2))*((2*Inputs!$L$7*((Inputs!$I$7+(((A228)+1)/2)*(Inputs!$J$7-Inputs!$I$7)))/(Inputs!$K$7^2)*Inputs!$C$11)))/(SQRT(((Inputs!$I$7+(((A228)+1)/2)*(Inputs!$J$7-Inputs!$I$7)))^2+Inputs!$C$6^2+((Inputs!$H$7+Inputs!$L$7*(((Inputs!$I$7+(((A228)+1)/2)*(Inputs!$J$7-Inputs!$I$7)))/Inputs!$K$7)^2))^2)))))/Inputs!$C$13),NA())</f>
        <v>-2912.3368736657699</v>
      </c>
      <c r="P228" s="9">
        <f>IF(OR(Inputs!$F$8=TRUE,Inputs!$F$8="TRUE",Inputs!$F$8=1),(-2*((1000*((((Inputs!$I$8+(((A228)+1)/2)*(Inputs!$J$8-Inputs!$I$8)))*Inputs!$C$11+((Inputs!$H$8+Inputs!$L$8*(((Inputs!$I$8+(((A228)+1)/2)*(Inputs!$J$8-Inputs!$I$8)))/Inputs!$K$8)^2))*((2*Inputs!$L$8*((Inputs!$I$8+(((A228)+1)/2)*(Inputs!$J$8-Inputs!$I$8)))/(Inputs!$K$8^2)*Inputs!$C$11)))/(SQRT(((Inputs!$I$8+(((A228)+1)/2)*(Inputs!$J$8-Inputs!$I$8)))^2+Inputs!$C$6^2+((Inputs!$H$8+Inputs!$L$8*(((Inputs!$I$8+(((A228)+1)/2)*(Inputs!$J$8-Inputs!$I$8)))/Inputs!$K$8)^2))^2)))))/Inputs!$C$13),NA())</f>
        <v>-3604.4936027267563</v>
      </c>
      <c r="Q228" s="9">
        <f>IF(OR(Inputs!$F$9=TRUE,Inputs!$F$9="TRUE",Inputs!$F$9=1),(-2*((1000*((((Inputs!$I$9+(((A228)+1)/2)*(Inputs!$J$9-Inputs!$I$9)))*Inputs!$C$11+((Inputs!$H$9+Inputs!$L$9*(((Inputs!$I$9+(((A228)+1)/2)*(Inputs!$J$9-Inputs!$I$9)))/Inputs!$K$9)^2))*((2*Inputs!$L$9*((Inputs!$I$9+(((A228)+1)/2)*(Inputs!$J$9-Inputs!$I$9)))/(Inputs!$K$9^2)*Inputs!$C$11)))/(SQRT(((Inputs!$I$9+(((A228)+1)/2)*(Inputs!$J$9-Inputs!$I$9)))^2+Inputs!$C$6^2+((Inputs!$H$9+Inputs!$L$9*(((Inputs!$I$9+(((A228)+1)/2)*(Inputs!$J$9-Inputs!$I$9)))/Inputs!$K$9)^2))^2)))))/Inputs!$C$13),NA())</f>
        <v>-3629.2263482727567</v>
      </c>
      <c r="R228" s="10"/>
      <c r="S228" s="9">
        <f t="shared" si="20"/>
        <v>0.88300000000000001</v>
      </c>
      <c r="T228" s="9">
        <f>(Inputs!$I$6+(((A228)+1)/2)*(Inputs!$J$6-Inputs!$I$6))</f>
        <v>52.980000000000004</v>
      </c>
      <c r="U228" s="9">
        <f>(Inputs!$I$7+(((A228)+1)/2)*(Inputs!$J$7-Inputs!$I$7))</f>
        <v>353.20000000000005</v>
      </c>
      <c r="V228" s="9">
        <f>(Inputs!$I$8+(((A228)+1)/2)*(Inputs!$J$8-Inputs!$I$8))</f>
        <v>706.40000000000009</v>
      </c>
      <c r="W228" s="9">
        <f>(Inputs!$I$9+(((A228)+1)/2)*(Inputs!$J$9-Inputs!$I$9))</f>
        <v>706.40000000000009</v>
      </c>
      <c r="X228" s="10"/>
      <c r="Y228" s="9">
        <f t="shared" si="21"/>
        <v>0.88300000000000001</v>
      </c>
      <c r="Z228" s="9">
        <f>(Inputs!$H$6+Inputs!$L$6*(((Inputs!$I$6+(((A228)+1)/2)*(Inputs!$J$6-Inputs!$I$6)))/Inputs!$K$6)^2)</f>
        <v>403.11875600000002</v>
      </c>
      <c r="AA228" s="9">
        <f>(Inputs!$H$7+Inputs!$L$7*(((Inputs!$I$7+(((A228)+1)/2)*(Inputs!$J$7-Inputs!$I$7)))/Inputs!$K$7)^2)</f>
        <v>319.5864850000001</v>
      </c>
      <c r="AB228" s="9">
        <f>(Inputs!$H$8+Inputs!$L$8*(((Inputs!$I$8+(((A228)+1)/2)*(Inputs!$J$8-Inputs!$I$8)))/Inputs!$K$8)^2)</f>
        <v>787.39988500000015</v>
      </c>
      <c r="AC228" s="9">
        <f>(Inputs!$H$9+Inputs!$L$9*(((Inputs!$I$9+(((A228)+1)/2)*(Inputs!$J$9-Inputs!$I$9)))/Inputs!$K$9)^2)</f>
        <v>785.19677500000023</v>
      </c>
      <c r="AD228" s="10"/>
      <c r="AE228" s="9">
        <f t="shared" si="22"/>
        <v>0.88300000000000001</v>
      </c>
      <c r="AF228" s="9">
        <f>(((SQRT(((Inputs!$I$6+(((A228)+1)/2)*(Inputs!$J$6-Inputs!$I$6)))^2+Inputs!$C$6^2+((Inputs!$H$6+Inputs!$L$6*(((Inputs!$I$6+(((A228)+1)/2)*(Inputs!$J$6-Inputs!$I$6)))/Inputs!$K$6)^2))^2))-((Inputs!$H$6+Inputs!$L$6*(((Inputs!$I$6+(((A228)+1)/2)*(Inputs!$J$6-Inputs!$I$6)))/Inputs!$K$6)^2)))*1000/Inputs!$C$12)</f>
        <v>2378.8889104324562</v>
      </c>
      <c r="AG228" s="9">
        <f>(((SQRT(((Inputs!$I$7+(((A228)+1)/2)*(Inputs!$J$7-Inputs!$I$7)))^2+Inputs!$C$6^2+((Inputs!$H$7+Inputs!$L$7*(((Inputs!$I$7+(((A228)+1)/2)*(Inputs!$J$7-Inputs!$I$7)))/Inputs!$K$7)^2))^2))-((Inputs!$H$7+Inputs!$L$7*(((Inputs!$I$7+(((A228)+1)/2)*(Inputs!$J$7-Inputs!$I$7)))/Inputs!$K$7)^2)))*1000/Inputs!$C$12)</f>
        <v>88423.818304443354</v>
      </c>
      <c r="AH228" s="9">
        <f>(((SQRT(((Inputs!$I$8+(((A228)+1)/2)*(Inputs!$J$8-Inputs!$I$8)))^2+Inputs!$C$6^2+((Inputs!$H$8+Inputs!$L$8*(((Inputs!$I$8+(((A228)+1)/2)*(Inputs!$J$8-Inputs!$I$8)))/Inputs!$K$8)^2))^2))-((Inputs!$H$8+Inputs!$L$8*(((Inputs!$I$8+(((A228)+1)/2)*(Inputs!$J$8-Inputs!$I$8)))/Inputs!$K$8)^2)))*1000/Inputs!$C$12)</f>
        <v>152091.70553919495</v>
      </c>
      <c r="AI228" s="9">
        <f>(((SQRT(((Inputs!$I$9+(((A228)+1)/2)*(Inputs!$J$9-Inputs!$I$9)))^2+Inputs!$C$6^2+((Inputs!$H$9+Inputs!$L$9*(((Inputs!$I$9+(((A228)+1)/2)*(Inputs!$J$9-Inputs!$I$9)))/Inputs!$K$9)^2))^2))-((Inputs!$H$9+Inputs!$L$9*(((Inputs!$I$9+(((A228)+1)/2)*(Inputs!$J$9-Inputs!$I$9)))/Inputs!$K$9)^2)))*1000/Inputs!$C$12)</f>
        <v>152408.95038778541</v>
      </c>
      <c r="AJ228" s="10"/>
      <c r="AK228" s="9">
        <f t="shared" si="23"/>
        <v>0.88300000000000001</v>
      </c>
      <c r="AL228" s="9">
        <f>(-2*((1000*((((Inputs!$I$6+(((A228)+1)/2)*(Inputs!$J$6-Inputs!$I$6)))*Inputs!$C$11+((Inputs!$H$6+Inputs!$L$6*(((Inputs!$I$6+(((A228)+1)/2)*(Inputs!$J$6-Inputs!$I$6)))/Inputs!$K$6)^2))*((2*Inputs!$L$6*((Inputs!$I$6+(((A228)+1)/2)*(Inputs!$J$6-Inputs!$I$6)))/(Inputs!$K$6^2)*Inputs!$C$11)))/(SQRT(((Inputs!$I$6+(((A228)+1)/2)*(Inputs!$J$6-Inputs!$I$6)))^2+Inputs!$C$6^2+((Inputs!$H$6+Inputs!$L$6*(((Inputs!$I$6+(((A228)+1)/2)*(Inputs!$J$6-Inputs!$I$6)))/Inputs!$K$6)^2))^2)))))/Inputs!$C$13)</f>
        <v>-394.50980714850186</v>
      </c>
      <c r="AM228" s="9">
        <f>(-2*((1000*((((Inputs!$I$7+(((A228)+1)/2)*(Inputs!$J$7-Inputs!$I$7)))*Inputs!$C$11+((Inputs!$H$7+Inputs!$L$7*(((Inputs!$I$7+(((A228)+1)/2)*(Inputs!$J$7-Inputs!$I$7)))/Inputs!$K$7)^2))*((2*Inputs!$L$7*((Inputs!$I$7+(((A228)+1)/2)*(Inputs!$J$7-Inputs!$I$7)))/(Inputs!$K$7^2)*Inputs!$C$11)))/(SQRT(((Inputs!$I$7+(((A228)+1)/2)*(Inputs!$J$7-Inputs!$I$7)))^2+Inputs!$C$6^2+((Inputs!$H$7+Inputs!$L$7*(((Inputs!$I$7+(((A228)+1)/2)*(Inputs!$J$7-Inputs!$I$7)))/Inputs!$K$7)^2))^2)))))/Inputs!$C$13)</f>
        <v>-2912.3368736657699</v>
      </c>
      <c r="AN228" s="9">
        <f>(-2*((1000*((((Inputs!$I$8+(((A228)+1)/2)*(Inputs!$J$8-Inputs!$I$8)))*Inputs!$C$11+((Inputs!$H$8+Inputs!$L$8*(((Inputs!$I$8+(((A228)+1)/2)*(Inputs!$J$8-Inputs!$I$8)))/Inputs!$K$8)^2))*((2*Inputs!$L$8*((Inputs!$I$8+(((A228)+1)/2)*(Inputs!$J$8-Inputs!$I$8)))/(Inputs!$K$8^2)*Inputs!$C$11)))/(SQRT(((Inputs!$I$8+(((A228)+1)/2)*(Inputs!$J$8-Inputs!$I$8)))^2+Inputs!$C$6^2+((Inputs!$H$8+Inputs!$L$8*(((Inputs!$I$8+(((A228)+1)/2)*(Inputs!$J$8-Inputs!$I$8)))/Inputs!$K$8)^2))^2)))))/Inputs!$C$13)</f>
        <v>-3604.4936027267563</v>
      </c>
      <c r="AO228" s="9">
        <f>(-2*((1000*((((Inputs!$I$9+(((A228)+1)/2)*(Inputs!$J$9-Inputs!$I$9)))*Inputs!$C$11+((Inputs!$H$9+Inputs!$L$9*(((Inputs!$I$9+(((A228)+1)/2)*(Inputs!$J$9-Inputs!$I$9)))/Inputs!$K$9)^2))*((2*Inputs!$L$9*((Inputs!$I$9+(((A228)+1)/2)*(Inputs!$J$9-Inputs!$I$9)))/(Inputs!$K$9^2)*Inputs!$C$11)))/(SQRT(((Inputs!$I$9+(((A228)+1)/2)*(Inputs!$J$9-Inputs!$I$9)))^2+Inputs!$C$6^2+((Inputs!$H$9+Inputs!$L$9*(((Inputs!$I$9+(((A228)+1)/2)*(Inputs!$J$9-Inputs!$I$9)))/Inputs!$K$9)^2))^2)))))/Inputs!$C$13)</f>
        <v>-3629.2263482727567</v>
      </c>
    </row>
    <row r="229" spans="1:41">
      <c r="A229" s="9">
        <f>ROUND(-1+227*2/240,3)</f>
        <v>0.89200000000000002</v>
      </c>
      <c r="B229" s="9">
        <f>IF(OR(Inputs!$F$6=TRUE,Inputs!$F$6="TRUE",Inputs!$F$6=1),(Inputs!$H$6+Inputs!$L$6*(((Inputs!$I$6+(((A229)+1)/2)*(Inputs!$J$6-Inputs!$I$6)))/Inputs!$K$6)^2),NA())</f>
        <v>403.18265600000001</v>
      </c>
      <c r="C229" s="9">
        <f>IF(OR(Inputs!$F$7=TRUE,Inputs!$F$7="TRUE",Inputs!$F$7=1),(Inputs!$H$7+Inputs!$L$7*(((Inputs!$I$7+(((A229)+1)/2)*(Inputs!$J$7-Inputs!$I$7)))/Inputs!$K$7)^2),NA())</f>
        <v>325.41735999999992</v>
      </c>
      <c r="D229" s="9">
        <f>IF(OR(Inputs!$F$8=TRUE,Inputs!$F$8="TRUE",Inputs!$F$8=1),(Inputs!$H$8+Inputs!$L$8*(((Inputs!$I$8+(((A229)+1)/2)*(Inputs!$J$8-Inputs!$I$8)))/Inputs!$K$8)^2),NA())</f>
        <v>802.81575999999984</v>
      </c>
      <c r="E229" s="9">
        <f>IF(OR(Inputs!$F$9=TRUE,Inputs!$F$9="TRUE",Inputs!$F$9=1),(Inputs!$H$9+Inputs!$L$9*(((Inputs!$I$9+(((A229)+1)/2)*(Inputs!$J$9-Inputs!$I$9)))/Inputs!$K$9)^2),NA())</f>
        <v>800.77239999999983</v>
      </c>
      <c r="F229" s="10"/>
      <c r="G229" s="9">
        <f t="shared" si="18"/>
        <v>0.89200000000000002</v>
      </c>
      <c r="H229" s="9">
        <f>IF(OR(Inputs!$F$6=TRUE,Inputs!$F$6="TRUE",Inputs!$F$6=1),(((SQRT(((Inputs!$I$6+(((A229)+1)/2)*(Inputs!$J$6-Inputs!$I$6)))^2+Inputs!$C$6^2+((Inputs!$H$6+Inputs!$L$6*(((Inputs!$I$6+(((A229)+1)/2)*(Inputs!$J$6-Inputs!$I$6)))/Inputs!$K$6)^2))^2))-((Inputs!$H$6+Inputs!$L$6*(((Inputs!$I$6+(((A229)+1)/2)*(Inputs!$J$6-Inputs!$I$6)))/Inputs!$K$6)^2)))*1000/Inputs!$C$12),NA())</f>
        <v>2418.1634313598552</v>
      </c>
      <c r="I229" s="9">
        <f>IF(OR(Inputs!$F$7=TRUE,Inputs!$F$7="TRUE",Inputs!$F$7=1),(((SQRT(((Inputs!$I$7+(((A229)+1)/2)*(Inputs!$J$7-Inputs!$I$7)))^2+Inputs!$C$6^2+((Inputs!$H$7+Inputs!$L$7*(((Inputs!$I$7+(((A229)+1)/2)*(Inputs!$J$7-Inputs!$I$7)))/Inputs!$K$7)^2))^2))-((Inputs!$H$7+Inputs!$L$7*(((Inputs!$I$7+(((A229)+1)/2)*(Inputs!$J$7-Inputs!$I$7)))/Inputs!$K$7)^2)))*1000/Inputs!$C$12),NA())</f>
        <v>88842.68372113182</v>
      </c>
      <c r="J229" s="9">
        <f>IF(OR(Inputs!$F$8=TRUE,Inputs!$F$8="TRUE",Inputs!$F$8=1),(((SQRT(((Inputs!$I$8+(((A229)+1)/2)*(Inputs!$J$8-Inputs!$I$8)))^2+Inputs!$C$6^2+((Inputs!$H$8+Inputs!$L$8*(((Inputs!$I$8+(((A229)+1)/2)*(Inputs!$J$8-Inputs!$I$8)))/Inputs!$K$8)^2))^2))-((Inputs!$H$8+Inputs!$L$8*(((Inputs!$I$8+(((A229)+1)/2)*(Inputs!$J$8-Inputs!$I$8)))/Inputs!$K$8)^2)))*1000/Inputs!$C$12),NA())</f>
        <v>152582.66940985864</v>
      </c>
      <c r="K229" s="9">
        <f>IF(OR(Inputs!$F$9=TRUE,Inputs!$F$9="TRUE",Inputs!$F$9=1),(((SQRT(((Inputs!$I$9+(((A229)+1)/2)*(Inputs!$J$9-Inputs!$I$9)))^2+Inputs!$C$6^2+((Inputs!$H$9+Inputs!$L$9*(((Inputs!$I$9+(((A229)+1)/2)*(Inputs!$J$9-Inputs!$I$9)))/Inputs!$K$9)^2))^2))-((Inputs!$H$9+Inputs!$L$9*(((Inputs!$I$9+(((A229)+1)/2)*(Inputs!$J$9-Inputs!$I$9)))/Inputs!$K$9)^2)))*1000/Inputs!$C$12),NA())</f>
        <v>152873.3398484537</v>
      </c>
      <c r="L229" s="10"/>
      <c r="M229" s="9">
        <f t="shared" si="19"/>
        <v>0.89200000000000002</v>
      </c>
      <c r="N229" s="9">
        <f>IF(OR(Inputs!$F$6=TRUE,Inputs!$F$6="TRUE",Inputs!$F$6=1),(-2*((1000*((((Inputs!$I$6+(((A229)+1)/2)*(Inputs!$J$6-Inputs!$I$6)))*Inputs!$C$11+((Inputs!$H$6+Inputs!$L$6*(((Inputs!$I$6+(((A229)+1)/2)*(Inputs!$J$6-Inputs!$I$6)))/Inputs!$K$6)^2))*((2*Inputs!$L$6*((Inputs!$I$6+(((A229)+1)/2)*(Inputs!$J$6-Inputs!$I$6)))/(Inputs!$K$6^2)*Inputs!$C$11)))/(SQRT(((Inputs!$I$6+(((A229)+1)/2)*(Inputs!$J$6-Inputs!$I$6)))^2+Inputs!$C$6^2+((Inputs!$H$6+Inputs!$L$6*(((Inputs!$I$6+(((A229)+1)/2)*(Inputs!$J$6-Inputs!$I$6)))/Inputs!$K$6)^2))^2)))))/Inputs!$C$13),NA())</f>
        <v>-398.42983154981999</v>
      </c>
      <c r="O229" s="9">
        <f>IF(OR(Inputs!$F$7=TRUE,Inputs!$F$7="TRUE",Inputs!$F$7=1),(-2*((1000*((((Inputs!$I$7+(((A229)+1)/2)*(Inputs!$J$7-Inputs!$I$7)))*Inputs!$C$11+((Inputs!$H$7+Inputs!$L$7*(((Inputs!$I$7+(((A229)+1)/2)*(Inputs!$J$7-Inputs!$I$7)))/Inputs!$K$7)^2))*((2*Inputs!$L$7*((Inputs!$I$7+(((A229)+1)/2)*(Inputs!$J$7-Inputs!$I$7)))/(Inputs!$K$7^2)*Inputs!$C$11)))/(SQRT(((Inputs!$I$7+(((A229)+1)/2)*(Inputs!$J$7-Inputs!$I$7)))^2+Inputs!$C$6^2+((Inputs!$H$7+Inputs!$L$7*(((Inputs!$I$7+(((A229)+1)/2)*(Inputs!$J$7-Inputs!$I$7)))/Inputs!$K$7)^2))^2)))))/Inputs!$C$13),NA())</f>
        <v>-2933.4165029557362</v>
      </c>
      <c r="P229" s="9">
        <f>IF(OR(Inputs!$F$8=TRUE,Inputs!$F$8="TRUE",Inputs!$F$8=1),(-2*((1000*((((Inputs!$I$8+(((A229)+1)/2)*(Inputs!$J$8-Inputs!$I$8)))*Inputs!$C$11+((Inputs!$H$8+Inputs!$L$8*(((Inputs!$I$8+(((A229)+1)/2)*(Inputs!$J$8-Inputs!$I$8)))/Inputs!$K$8)^2))*((2*Inputs!$L$8*((Inputs!$I$8+(((A229)+1)/2)*(Inputs!$J$8-Inputs!$I$8)))/(Inputs!$K$8^2)*Inputs!$C$11)))/(SQRT(((Inputs!$I$8+(((A229)+1)/2)*(Inputs!$J$8-Inputs!$I$8)))^2+Inputs!$C$6^2+((Inputs!$H$8+Inputs!$L$8*(((Inputs!$I$8+(((A229)+1)/2)*(Inputs!$J$8-Inputs!$I$8)))/Inputs!$K$8)^2))^2)))))/Inputs!$C$13),NA())</f>
        <v>-3635.4282023081128</v>
      </c>
      <c r="Q229" s="9">
        <f>IF(OR(Inputs!$F$9=TRUE,Inputs!$F$9="TRUE",Inputs!$F$9=1),(-2*((1000*((((Inputs!$I$9+(((A229)+1)/2)*(Inputs!$J$9-Inputs!$I$9)))*Inputs!$C$11+((Inputs!$H$9+Inputs!$L$9*(((Inputs!$I$9+(((A229)+1)/2)*(Inputs!$J$9-Inputs!$I$9)))/Inputs!$K$9)^2))*((2*Inputs!$L$9*((Inputs!$I$9+(((A229)+1)/2)*(Inputs!$J$9-Inputs!$I$9)))/(Inputs!$K$9^2)*Inputs!$C$11)))/(SQRT(((Inputs!$I$9+(((A229)+1)/2)*(Inputs!$J$9-Inputs!$I$9)))^2+Inputs!$C$6^2+((Inputs!$H$9+Inputs!$L$9*(((Inputs!$I$9+(((A229)+1)/2)*(Inputs!$J$9-Inputs!$I$9)))/Inputs!$K$9)^2))^2)))))/Inputs!$C$13),NA())</f>
        <v>-3660.671838425008</v>
      </c>
      <c r="R229" s="10"/>
      <c r="S229" s="9">
        <f t="shared" si="20"/>
        <v>0.89200000000000002</v>
      </c>
      <c r="T229" s="9">
        <f>(Inputs!$I$6+(((A229)+1)/2)*(Inputs!$J$6-Inputs!$I$6))</f>
        <v>53.519999999999996</v>
      </c>
      <c r="U229" s="9">
        <f>(Inputs!$I$7+(((A229)+1)/2)*(Inputs!$J$7-Inputs!$I$7))</f>
        <v>356.79999999999995</v>
      </c>
      <c r="V229" s="9">
        <f>(Inputs!$I$8+(((A229)+1)/2)*(Inputs!$J$8-Inputs!$I$8))</f>
        <v>713.59999999999991</v>
      </c>
      <c r="W229" s="9">
        <f>(Inputs!$I$9+(((A229)+1)/2)*(Inputs!$J$9-Inputs!$I$9))</f>
        <v>713.59999999999991</v>
      </c>
      <c r="X229" s="10"/>
      <c r="Y229" s="9">
        <f t="shared" si="21"/>
        <v>0.89200000000000002</v>
      </c>
      <c r="Z229" s="9">
        <f>(Inputs!$H$6+Inputs!$L$6*(((Inputs!$I$6+(((A229)+1)/2)*(Inputs!$J$6-Inputs!$I$6)))/Inputs!$K$6)^2)</f>
        <v>403.18265600000001</v>
      </c>
      <c r="AA229" s="9">
        <f>(Inputs!$H$7+Inputs!$L$7*(((Inputs!$I$7+(((A229)+1)/2)*(Inputs!$J$7-Inputs!$I$7)))/Inputs!$K$7)^2)</f>
        <v>325.41735999999992</v>
      </c>
      <c r="AB229" s="9">
        <f>(Inputs!$H$8+Inputs!$L$8*(((Inputs!$I$8+(((A229)+1)/2)*(Inputs!$J$8-Inputs!$I$8)))/Inputs!$K$8)^2)</f>
        <v>802.81575999999984</v>
      </c>
      <c r="AC229" s="9">
        <f>(Inputs!$H$9+Inputs!$L$9*(((Inputs!$I$9+(((A229)+1)/2)*(Inputs!$J$9-Inputs!$I$9)))/Inputs!$K$9)^2)</f>
        <v>800.77239999999983</v>
      </c>
      <c r="AD229" s="10"/>
      <c r="AE229" s="9">
        <f t="shared" si="22"/>
        <v>0.89200000000000002</v>
      </c>
      <c r="AF229" s="9">
        <f>(((SQRT(((Inputs!$I$6+(((A229)+1)/2)*(Inputs!$J$6-Inputs!$I$6)))^2+Inputs!$C$6^2+((Inputs!$H$6+Inputs!$L$6*(((Inputs!$I$6+(((A229)+1)/2)*(Inputs!$J$6-Inputs!$I$6)))/Inputs!$K$6)^2))^2))-((Inputs!$H$6+Inputs!$L$6*(((Inputs!$I$6+(((A229)+1)/2)*(Inputs!$J$6-Inputs!$I$6)))/Inputs!$K$6)^2)))*1000/Inputs!$C$12)</f>
        <v>2418.1634313598552</v>
      </c>
      <c r="AG229" s="9">
        <f>(((SQRT(((Inputs!$I$7+(((A229)+1)/2)*(Inputs!$J$7-Inputs!$I$7)))^2+Inputs!$C$6^2+((Inputs!$H$7+Inputs!$L$7*(((Inputs!$I$7+(((A229)+1)/2)*(Inputs!$J$7-Inputs!$I$7)))/Inputs!$K$7)^2))^2))-((Inputs!$H$7+Inputs!$L$7*(((Inputs!$I$7+(((A229)+1)/2)*(Inputs!$J$7-Inputs!$I$7)))/Inputs!$K$7)^2)))*1000/Inputs!$C$12)</f>
        <v>88842.68372113182</v>
      </c>
      <c r="AH229" s="9">
        <f>(((SQRT(((Inputs!$I$8+(((A229)+1)/2)*(Inputs!$J$8-Inputs!$I$8)))^2+Inputs!$C$6^2+((Inputs!$H$8+Inputs!$L$8*(((Inputs!$I$8+(((A229)+1)/2)*(Inputs!$J$8-Inputs!$I$8)))/Inputs!$K$8)^2))^2))-((Inputs!$H$8+Inputs!$L$8*(((Inputs!$I$8+(((A229)+1)/2)*(Inputs!$J$8-Inputs!$I$8)))/Inputs!$K$8)^2)))*1000/Inputs!$C$12)</f>
        <v>152582.66940985864</v>
      </c>
      <c r="AI229" s="9">
        <f>(((SQRT(((Inputs!$I$9+(((A229)+1)/2)*(Inputs!$J$9-Inputs!$I$9)))^2+Inputs!$C$6^2+((Inputs!$H$9+Inputs!$L$9*(((Inputs!$I$9+(((A229)+1)/2)*(Inputs!$J$9-Inputs!$I$9)))/Inputs!$K$9)^2))^2))-((Inputs!$H$9+Inputs!$L$9*(((Inputs!$I$9+(((A229)+1)/2)*(Inputs!$J$9-Inputs!$I$9)))/Inputs!$K$9)^2)))*1000/Inputs!$C$12)</f>
        <v>152873.3398484537</v>
      </c>
      <c r="AJ229" s="10"/>
      <c r="AK229" s="9">
        <f t="shared" si="23"/>
        <v>0.89200000000000002</v>
      </c>
      <c r="AL229" s="9">
        <f>(-2*((1000*((((Inputs!$I$6+(((A229)+1)/2)*(Inputs!$J$6-Inputs!$I$6)))*Inputs!$C$11+((Inputs!$H$6+Inputs!$L$6*(((Inputs!$I$6+(((A229)+1)/2)*(Inputs!$J$6-Inputs!$I$6)))/Inputs!$K$6)^2))*((2*Inputs!$L$6*((Inputs!$I$6+(((A229)+1)/2)*(Inputs!$J$6-Inputs!$I$6)))/(Inputs!$K$6^2)*Inputs!$C$11)))/(SQRT(((Inputs!$I$6+(((A229)+1)/2)*(Inputs!$J$6-Inputs!$I$6)))^2+Inputs!$C$6^2+((Inputs!$H$6+Inputs!$L$6*(((Inputs!$I$6+(((A229)+1)/2)*(Inputs!$J$6-Inputs!$I$6)))/Inputs!$K$6)^2))^2)))))/Inputs!$C$13)</f>
        <v>-398.42983154981999</v>
      </c>
      <c r="AM229" s="9">
        <f>(-2*((1000*((((Inputs!$I$7+(((A229)+1)/2)*(Inputs!$J$7-Inputs!$I$7)))*Inputs!$C$11+((Inputs!$H$7+Inputs!$L$7*(((Inputs!$I$7+(((A229)+1)/2)*(Inputs!$J$7-Inputs!$I$7)))/Inputs!$K$7)^2))*((2*Inputs!$L$7*((Inputs!$I$7+(((A229)+1)/2)*(Inputs!$J$7-Inputs!$I$7)))/(Inputs!$K$7^2)*Inputs!$C$11)))/(SQRT(((Inputs!$I$7+(((A229)+1)/2)*(Inputs!$J$7-Inputs!$I$7)))^2+Inputs!$C$6^2+((Inputs!$H$7+Inputs!$L$7*(((Inputs!$I$7+(((A229)+1)/2)*(Inputs!$J$7-Inputs!$I$7)))/Inputs!$K$7)^2))^2)))))/Inputs!$C$13)</f>
        <v>-2933.4165029557362</v>
      </c>
      <c r="AN229" s="9">
        <f>(-2*((1000*((((Inputs!$I$8+(((A229)+1)/2)*(Inputs!$J$8-Inputs!$I$8)))*Inputs!$C$11+((Inputs!$H$8+Inputs!$L$8*(((Inputs!$I$8+(((A229)+1)/2)*(Inputs!$J$8-Inputs!$I$8)))/Inputs!$K$8)^2))*((2*Inputs!$L$8*((Inputs!$I$8+(((A229)+1)/2)*(Inputs!$J$8-Inputs!$I$8)))/(Inputs!$K$8^2)*Inputs!$C$11)))/(SQRT(((Inputs!$I$8+(((A229)+1)/2)*(Inputs!$J$8-Inputs!$I$8)))^2+Inputs!$C$6^2+((Inputs!$H$8+Inputs!$L$8*(((Inputs!$I$8+(((A229)+1)/2)*(Inputs!$J$8-Inputs!$I$8)))/Inputs!$K$8)^2))^2)))))/Inputs!$C$13)</f>
        <v>-3635.4282023081128</v>
      </c>
      <c r="AO229" s="9">
        <f>(-2*((1000*((((Inputs!$I$9+(((A229)+1)/2)*(Inputs!$J$9-Inputs!$I$9)))*Inputs!$C$11+((Inputs!$H$9+Inputs!$L$9*(((Inputs!$I$9+(((A229)+1)/2)*(Inputs!$J$9-Inputs!$I$9)))/Inputs!$K$9)^2))*((2*Inputs!$L$9*((Inputs!$I$9+(((A229)+1)/2)*(Inputs!$J$9-Inputs!$I$9)))/(Inputs!$K$9^2)*Inputs!$C$11)))/(SQRT(((Inputs!$I$9+(((A229)+1)/2)*(Inputs!$J$9-Inputs!$I$9)))^2+Inputs!$C$6^2+((Inputs!$H$9+Inputs!$L$9*(((Inputs!$I$9+(((A229)+1)/2)*(Inputs!$J$9-Inputs!$I$9)))/Inputs!$K$9)^2))^2)))))/Inputs!$C$13)</f>
        <v>-3660.671838425008</v>
      </c>
    </row>
    <row r="230" spans="1:41">
      <c r="A230" s="9">
        <f>ROUND(-1+228*2/240,3)</f>
        <v>0.9</v>
      </c>
      <c r="B230" s="9">
        <f>IF(OR(Inputs!$F$6=TRUE,Inputs!$F$6="TRUE",Inputs!$F$6=1),(Inputs!$H$6+Inputs!$L$6*(((Inputs!$I$6+(((A230)+1)/2)*(Inputs!$J$6-Inputs!$I$6)))/Inputs!$K$6)^2),NA())</f>
        <v>403.24</v>
      </c>
      <c r="C230" s="9">
        <f>IF(OR(Inputs!$F$7=TRUE,Inputs!$F$7="TRUE",Inputs!$F$7=1),(Inputs!$H$7+Inputs!$L$7*(((Inputs!$I$7+(((A230)+1)/2)*(Inputs!$J$7-Inputs!$I$7)))/Inputs!$K$7)^2),NA())</f>
        <v>330.65000000000003</v>
      </c>
      <c r="D230" s="9">
        <f>IF(OR(Inputs!$F$8=TRUE,Inputs!$F$8="TRUE",Inputs!$F$8=1),(Inputs!$H$8+Inputs!$L$8*(((Inputs!$I$8+(((A230)+1)/2)*(Inputs!$J$8-Inputs!$I$8)))/Inputs!$K$8)^2),NA())</f>
        <v>816.65000000000009</v>
      </c>
      <c r="E230" s="9">
        <f>IF(OR(Inputs!$F$9=TRUE,Inputs!$F$9="TRUE",Inputs!$F$9=1),(Inputs!$H$9+Inputs!$L$9*(((Inputs!$I$9+(((A230)+1)/2)*(Inputs!$J$9-Inputs!$I$9)))/Inputs!$K$9)^2),NA())</f>
        <v>814.75</v>
      </c>
      <c r="F230" s="10"/>
      <c r="G230" s="9">
        <f t="shared" si="18"/>
        <v>0.9</v>
      </c>
      <c r="H230" s="9">
        <f>IF(OR(Inputs!$F$6=TRUE,Inputs!$F$6="TRUE",Inputs!$F$6=1),(((SQRT(((Inputs!$I$6+(((A230)+1)/2)*(Inputs!$J$6-Inputs!$I$6)))^2+Inputs!$C$6^2+((Inputs!$H$6+Inputs!$L$6*(((Inputs!$I$6+(((A230)+1)/2)*(Inputs!$J$6-Inputs!$I$6)))/Inputs!$K$6)^2))^2))-((Inputs!$H$6+Inputs!$L$6*(((Inputs!$I$6+(((A230)+1)/2)*(Inputs!$J$6-Inputs!$I$6)))/Inputs!$K$6)^2)))*1000/Inputs!$C$12),NA())</f>
        <v>2453.3922539609484</v>
      </c>
      <c r="I230" s="9">
        <f>IF(OR(Inputs!$F$7=TRUE,Inputs!$F$7="TRUE",Inputs!$F$7=1),(((SQRT(((Inputs!$I$7+(((A230)+1)/2)*(Inputs!$J$7-Inputs!$I$7)))^2+Inputs!$C$6^2+((Inputs!$H$7+Inputs!$L$7*(((Inputs!$I$7+(((A230)+1)/2)*(Inputs!$J$7-Inputs!$I$7)))/Inputs!$K$7)^2))^2))-((Inputs!$H$7+Inputs!$L$7*(((Inputs!$I$7+(((A230)+1)/2)*(Inputs!$J$7-Inputs!$I$7)))/Inputs!$K$7)^2)))*1000/Inputs!$C$12),NA())</f>
        <v>89209.534636218814</v>
      </c>
      <c r="J230" s="9">
        <f>IF(OR(Inputs!$F$8=TRUE,Inputs!$F$8="TRUE",Inputs!$F$8=1),(((SQRT(((Inputs!$I$8+(((A230)+1)/2)*(Inputs!$J$8-Inputs!$I$8)))^2+Inputs!$C$6^2+((Inputs!$H$8+Inputs!$L$8*(((Inputs!$I$8+(((A230)+1)/2)*(Inputs!$J$8-Inputs!$I$8)))/Inputs!$K$8)^2))^2))-((Inputs!$H$8+Inputs!$L$8*(((Inputs!$I$8+(((A230)+1)/2)*(Inputs!$J$8-Inputs!$I$8)))/Inputs!$K$8)^2)))*1000/Inputs!$C$12),NA())</f>
        <v>153011.09212788116</v>
      </c>
      <c r="K230" s="9">
        <f>IF(OR(Inputs!$F$9=TRUE,Inputs!$F$9="TRUE",Inputs!$F$9=1),(((SQRT(((Inputs!$I$9+(((A230)+1)/2)*(Inputs!$J$9-Inputs!$I$9)))^2+Inputs!$C$6^2+((Inputs!$H$9+Inputs!$L$9*(((Inputs!$I$9+(((A230)+1)/2)*(Inputs!$J$9-Inputs!$I$9)))/Inputs!$K$9)^2))^2))-((Inputs!$H$9+Inputs!$L$9*(((Inputs!$I$9+(((A230)+1)/2)*(Inputs!$J$9-Inputs!$I$9)))/Inputs!$K$9)^2)))*1000/Inputs!$C$12),NA())</f>
        <v>153278.45929556628</v>
      </c>
      <c r="L230" s="10"/>
      <c r="M230" s="9">
        <f t="shared" si="19"/>
        <v>0.9</v>
      </c>
      <c r="N230" s="9">
        <f>IF(OR(Inputs!$F$6=TRUE,Inputs!$F$6="TRUE",Inputs!$F$6=1),(-2*((1000*((((Inputs!$I$6+(((A230)+1)/2)*(Inputs!$J$6-Inputs!$I$6)))*Inputs!$C$11+((Inputs!$H$6+Inputs!$L$6*(((Inputs!$I$6+(((A230)+1)/2)*(Inputs!$J$6-Inputs!$I$6)))/Inputs!$K$6)^2))*((2*Inputs!$L$6*((Inputs!$I$6+(((A230)+1)/2)*(Inputs!$J$6-Inputs!$I$6)))/(Inputs!$K$6^2)*Inputs!$C$11)))/(SQRT(((Inputs!$I$6+(((A230)+1)/2)*(Inputs!$J$6-Inputs!$I$6)))^2+Inputs!$C$6^2+((Inputs!$H$6+Inputs!$L$6*(((Inputs!$I$6+(((A230)+1)/2)*(Inputs!$J$6-Inputs!$I$6)))/Inputs!$K$6)^2))^2)))))/Inputs!$C$13),NA())</f>
        <v>-401.91180387511957</v>
      </c>
      <c r="O230" s="9">
        <f>IF(OR(Inputs!$F$7=TRUE,Inputs!$F$7="TRUE",Inputs!$F$7=1),(-2*((1000*((((Inputs!$I$7+(((A230)+1)/2)*(Inputs!$J$7-Inputs!$I$7)))*Inputs!$C$11+((Inputs!$H$7+Inputs!$L$7*(((Inputs!$I$7+(((A230)+1)/2)*(Inputs!$J$7-Inputs!$I$7)))/Inputs!$K$7)^2))*((2*Inputs!$L$7*((Inputs!$I$7+(((A230)+1)/2)*(Inputs!$J$7-Inputs!$I$7)))/(Inputs!$K$7^2)*Inputs!$C$11)))/(SQRT(((Inputs!$I$7+(((A230)+1)/2)*(Inputs!$J$7-Inputs!$I$7)))^2+Inputs!$C$6^2+((Inputs!$H$7+Inputs!$L$7*(((Inputs!$I$7+(((A230)+1)/2)*(Inputs!$J$7-Inputs!$I$7)))/Inputs!$K$7)^2))^2)))))/Inputs!$C$13),NA())</f>
        <v>-2952.2299505528299</v>
      </c>
      <c r="P230" s="9">
        <f>IF(OR(Inputs!$F$8=TRUE,Inputs!$F$8="TRUE",Inputs!$F$8=1),(-2*((1000*((((Inputs!$I$8+(((A230)+1)/2)*(Inputs!$J$8-Inputs!$I$8)))*Inputs!$C$11+((Inputs!$H$8+Inputs!$L$8*(((Inputs!$I$8+(((A230)+1)/2)*(Inputs!$J$8-Inputs!$I$8)))/Inputs!$K$8)^2))*((2*Inputs!$L$8*((Inputs!$I$8+(((A230)+1)/2)*(Inputs!$J$8-Inputs!$I$8)))/(Inputs!$K$8^2)*Inputs!$C$11)))/(SQRT(((Inputs!$I$8+(((A230)+1)/2)*(Inputs!$J$8-Inputs!$I$8)))^2+Inputs!$C$6^2+((Inputs!$H$8+Inputs!$L$8*(((Inputs!$I$8+(((A230)+1)/2)*(Inputs!$J$8-Inputs!$I$8)))/Inputs!$K$8)^2))^2)))))/Inputs!$C$13),NA())</f>
        <v>-3662.9994561787107</v>
      </c>
      <c r="Q230" s="9">
        <f>IF(OR(Inputs!$F$9=TRUE,Inputs!$F$9="TRUE",Inputs!$F$9=1),(-2*((1000*((((Inputs!$I$9+(((A230)+1)/2)*(Inputs!$J$9-Inputs!$I$9)))*Inputs!$C$11+((Inputs!$H$9+Inputs!$L$9*(((Inputs!$I$9+(((A230)+1)/2)*(Inputs!$J$9-Inputs!$I$9)))/Inputs!$K$9)^2))*((2*Inputs!$L$9*((Inputs!$I$9+(((A230)+1)/2)*(Inputs!$J$9-Inputs!$I$9)))/(Inputs!$K$9^2)*Inputs!$C$11)))/(SQRT(((Inputs!$I$9+(((A230)+1)/2)*(Inputs!$J$9-Inputs!$I$9)))^2+Inputs!$C$6^2+((Inputs!$H$9+Inputs!$L$9*(((Inputs!$I$9+(((A230)+1)/2)*(Inputs!$J$9-Inputs!$I$9)))/Inputs!$K$9)^2))^2)))))/Inputs!$C$13),NA())</f>
        <v>-3688.6956647181805</v>
      </c>
      <c r="R230" s="10"/>
      <c r="S230" s="9">
        <f t="shared" si="20"/>
        <v>0.9</v>
      </c>
      <c r="T230" s="9">
        <f>(Inputs!$I$6+(((A230)+1)/2)*(Inputs!$J$6-Inputs!$I$6))</f>
        <v>54</v>
      </c>
      <c r="U230" s="9">
        <f>(Inputs!$I$7+(((A230)+1)/2)*(Inputs!$J$7-Inputs!$I$7))</f>
        <v>360</v>
      </c>
      <c r="V230" s="9">
        <f>(Inputs!$I$8+(((A230)+1)/2)*(Inputs!$J$8-Inputs!$I$8))</f>
        <v>720</v>
      </c>
      <c r="W230" s="9">
        <f>(Inputs!$I$9+(((A230)+1)/2)*(Inputs!$J$9-Inputs!$I$9))</f>
        <v>720</v>
      </c>
      <c r="X230" s="10"/>
      <c r="Y230" s="9">
        <f t="shared" si="21"/>
        <v>0.9</v>
      </c>
      <c r="Z230" s="9">
        <f>(Inputs!$H$6+Inputs!$L$6*(((Inputs!$I$6+(((A230)+1)/2)*(Inputs!$J$6-Inputs!$I$6)))/Inputs!$K$6)^2)</f>
        <v>403.24</v>
      </c>
      <c r="AA230" s="9">
        <f>(Inputs!$H$7+Inputs!$L$7*(((Inputs!$I$7+(((A230)+1)/2)*(Inputs!$J$7-Inputs!$I$7)))/Inputs!$K$7)^2)</f>
        <v>330.65000000000003</v>
      </c>
      <c r="AB230" s="9">
        <f>(Inputs!$H$8+Inputs!$L$8*(((Inputs!$I$8+(((A230)+1)/2)*(Inputs!$J$8-Inputs!$I$8)))/Inputs!$K$8)^2)</f>
        <v>816.65000000000009</v>
      </c>
      <c r="AC230" s="9">
        <f>(Inputs!$H$9+Inputs!$L$9*(((Inputs!$I$9+(((A230)+1)/2)*(Inputs!$J$9-Inputs!$I$9)))/Inputs!$K$9)^2)</f>
        <v>814.75</v>
      </c>
      <c r="AD230" s="10"/>
      <c r="AE230" s="9">
        <f t="shared" si="22"/>
        <v>0.9</v>
      </c>
      <c r="AF230" s="9">
        <f>(((SQRT(((Inputs!$I$6+(((A230)+1)/2)*(Inputs!$J$6-Inputs!$I$6)))^2+Inputs!$C$6^2+((Inputs!$H$6+Inputs!$L$6*(((Inputs!$I$6+(((A230)+1)/2)*(Inputs!$J$6-Inputs!$I$6)))/Inputs!$K$6)^2))^2))-((Inputs!$H$6+Inputs!$L$6*(((Inputs!$I$6+(((A230)+1)/2)*(Inputs!$J$6-Inputs!$I$6)))/Inputs!$K$6)^2)))*1000/Inputs!$C$12)</f>
        <v>2453.3922539609484</v>
      </c>
      <c r="AG230" s="9">
        <f>(((SQRT(((Inputs!$I$7+(((A230)+1)/2)*(Inputs!$J$7-Inputs!$I$7)))^2+Inputs!$C$6^2+((Inputs!$H$7+Inputs!$L$7*(((Inputs!$I$7+(((A230)+1)/2)*(Inputs!$J$7-Inputs!$I$7)))/Inputs!$K$7)^2))^2))-((Inputs!$H$7+Inputs!$L$7*(((Inputs!$I$7+(((A230)+1)/2)*(Inputs!$J$7-Inputs!$I$7)))/Inputs!$K$7)^2)))*1000/Inputs!$C$12)</f>
        <v>89209.534636218814</v>
      </c>
      <c r="AH230" s="9">
        <f>(((SQRT(((Inputs!$I$8+(((A230)+1)/2)*(Inputs!$J$8-Inputs!$I$8)))^2+Inputs!$C$6^2+((Inputs!$H$8+Inputs!$L$8*(((Inputs!$I$8+(((A230)+1)/2)*(Inputs!$J$8-Inputs!$I$8)))/Inputs!$K$8)^2))^2))-((Inputs!$H$8+Inputs!$L$8*(((Inputs!$I$8+(((A230)+1)/2)*(Inputs!$J$8-Inputs!$I$8)))/Inputs!$K$8)^2)))*1000/Inputs!$C$12)</f>
        <v>153011.09212788116</v>
      </c>
      <c r="AI230" s="9">
        <f>(((SQRT(((Inputs!$I$9+(((A230)+1)/2)*(Inputs!$J$9-Inputs!$I$9)))^2+Inputs!$C$6^2+((Inputs!$H$9+Inputs!$L$9*(((Inputs!$I$9+(((A230)+1)/2)*(Inputs!$J$9-Inputs!$I$9)))/Inputs!$K$9)^2))^2))-((Inputs!$H$9+Inputs!$L$9*(((Inputs!$I$9+(((A230)+1)/2)*(Inputs!$J$9-Inputs!$I$9)))/Inputs!$K$9)^2)))*1000/Inputs!$C$12)</f>
        <v>153278.45929556628</v>
      </c>
      <c r="AJ230" s="10"/>
      <c r="AK230" s="9">
        <f t="shared" si="23"/>
        <v>0.9</v>
      </c>
      <c r="AL230" s="9">
        <f>(-2*((1000*((((Inputs!$I$6+(((A230)+1)/2)*(Inputs!$J$6-Inputs!$I$6)))*Inputs!$C$11+((Inputs!$H$6+Inputs!$L$6*(((Inputs!$I$6+(((A230)+1)/2)*(Inputs!$J$6-Inputs!$I$6)))/Inputs!$K$6)^2))*((2*Inputs!$L$6*((Inputs!$I$6+(((A230)+1)/2)*(Inputs!$J$6-Inputs!$I$6)))/(Inputs!$K$6^2)*Inputs!$C$11)))/(SQRT(((Inputs!$I$6+(((A230)+1)/2)*(Inputs!$J$6-Inputs!$I$6)))^2+Inputs!$C$6^2+((Inputs!$H$6+Inputs!$L$6*(((Inputs!$I$6+(((A230)+1)/2)*(Inputs!$J$6-Inputs!$I$6)))/Inputs!$K$6)^2))^2)))))/Inputs!$C$13)</f>
        <v>-401.91180387511957</v>
      </c>
      <c r="AM230" s="9">
        <f>(-2*((1000*((((Inputs!$I$7+(((A230)+1)/2)*(Inputs!$J$7-Inputs!$I$7)))*Inputs!$C$11+((Inputs!$H$7+Inputs!$L$7*(((Inputs!$I$7+(((A230)+1)/2)*(Inputs!$J$7-Inputs!$I$7)))/Inputs!$K$7)^2))*((2*Inputs!$L$7*((Inputs!$I$7+(((A230)+1)/2)*(Inputs!$J$7-Inputs!$I$7)))/(Inputs!$K$7^2)*Inputs!$C$11)))/(SQRT(((Inputs!$I$7+(((A230)+1)/2)*(Inputs!$J$7-Inputs!$I$7)))^2+Inputs!$C$6^2+((Inputs!$H$7+Inputs!$L$7*(((Inputs!$I$7+(((A230)+1)/2)*(Inputs!$J$7-Inputs!$I$7)))/Inputs!$K$7)^2))^2)))))/Inputs!$C$13)</f>
        <v>-2952.2299505528299</v>
      </c>
      <c r="AN230" s="9">
        <f>(-2*((1000*((((Inputs!$I$8+(((A230)+1)/2)*(Inputs!$J$8-Inputs!$I$8)))*Inputs!$C$11+((Inputs!$H$8+Inputs!$L$8*(((Inputs!$I$8+(((A230)+1)/2)*(Inputs!$J$8-Inputs!$I$8)))/Inputs!$K$8)^2))*((2*Inputs!$L$8*((Inputs!$I$8+(((A230)+1)/2)*(Inputs!$J$8-Inputs!$I$8)))/(Inputs!$K$8^2)*Inputs!$C$11)))/(SQRT(((Inputs!$I$8+(((A230)+1)/2)*(Inputs!$J$8-Inputs!$I$8)))^2+Inputs!$C$6^2+((Inputs!$H$8+Inputs!$L$8*(((Inputs!$I$8+(((A230)+1)/2)*(Inputs!$J$8-Inputs!$I$8)))/Inputs!$K$8)^2))^2)))))/Inputs!$C$13)</f>
        <v>-3662.9994561787107</v>
      </c>
      <c r="AO230" s="9">
        <f>(-2*((1000*((((Inputs!$I$9+(((A230)+1)/2)*(Inputs!$J$9-Inputs!$I$9)))*Inputs!$C$11+((Inputs!$H$9+Inputs!$L$9*(((Inputs!$I$9+(((A230)+1)/2)*(Inputs!$J$9-Inputs!$I$9)))/Inputs!$K$9)^2))*((2*Inputs!$L$9*((Inputs!$I$9+(((A230)+1)/2)*(Inputs!$J$9-Inputs!$I$9)))/(Inputs!$K$9^2)*Inputs!$C$11)))/(SQRT(((Inputs!$I$9+(((A230)+1)/2)*(Inputs!$J$9-Inputs!$I$9)))^2+Inputs!$C$6^2+((Inputs!$H$9+Inputs!$L$9*(((Inputs!$I$9+(((A230)+1)/2)*(Inputs!$J$9-Inputs!$I$9)))/Inputs!$K$9)^2))^2)))))/Inputs!$C$13)</f>
        <v>-3688.6956647181805</v>
      </c>
    </row>
    <row r="231" spans="1:41">
      <c r="A231" s="9">
        <f>ROUND(-1+229*2/240,3)</f>
        <v>0.90800000000000003</v>
      </c>
      <c r="B231" s="9">
        <f>IF(OR(Inputs!$F$6=TRUE,Inputs!$F$6="TRUE",Inputs!$F$6=1),(Inputs!$H$6+Inputs!$L$6*(((Inputs!$I$6+(((A231)+1)/2)*(Inputs!$J$6-Inputs!$I$6)))/Inputs!$K$6)^2),NA())</f>
        <v>403.29785600000002</v>
      </c>
      <c r="C231" s="9">
        <f>IF(OR(Inputs!$F$7=TRUE,Inputs!$F$7="TRUE",Inputs!$F$7=1),(Inputs!$H$7+Inputs!$L$7*(((Inputs!$I$7+(((A231)+1)/2)*(Inputs!$J$7-Inputs!$I$7)))/Inputs!$K$7)^2),NA())</f>
        <v>335.92935999999986</v>
      </c>
      <c r="D231" s="9">
        <f>IF(OR(Inputs!$F$8=TRUE,Inputs!$F$8="TRUE",Inputs!$F$8=1),(Inputs!$H$8+Inputs!$L$8*(((Inputs!$I$8+(((A231)+1)/2)*(Inputs!$J$8-Inputs!$I$8)))/Inputs!$K$8)^2),NA())</f>
        <v>830.60775999999964</v>
      </c>
      <c r="E231" s="9">
        <f>IF(OR(Inputs!$F$9=TRUE,Inputs!$F$9="TRUE",Inputs!$F$9=1),(Inputs!$H$9+Inputs!$L$9*(((Inputs!$I$9+(((A231)+1)/2)*(Inputs!$J$9-Inputs!$I$9)))/Inputs!$K$9)^2),NA())</f>
        <v>828.85239999999965</v>
      </c>
      <c r="F231" s="10"/>
      <c r="G231" s="9">
        <f t="shared" si="18"/>
        <v>0.90800000000000003</v>
      </c>
      <c r="H231" s="9">
        <f>IF(OR(Inputs!$F$6=TRUE,Inputs!$F$6="TRUE",Inputs!$F$6=1),(((SQRT(((Inputs!$I$6+(((A231)+1)/2)*(Inputs!$J$6-Inputs!$I$6)))^2+Inputs!$C$6^2+((Inputs!$H$6+Inputs!$L$6*(((Inputs!$I$6+(((A231)+1)/2)*(Inputs!$J$6-Inputs!$I$6)))/Inputs!$K$6)^2))^2))-((Inputs!$H$6+Inputs!$L$6*(((Inputs!$I$6+(((A231)+1)/2)*(Inputs!$J$6-Inputs!$I$6)))/Inputs!$K$6)^2)))*1000/Inputs!$C$12),NA())</f>
        <v>2488.9200862943194</v>
      </c>
      <c r="I231" s="9">
        <f>IF(OR(Inputs!$F$7=TRUE,Inputs!$F$7="TRUE",Inputs!$F$7=1),(((SQRT(((Inputs!$I$7+(((A231)+1)/2)*(Inputs!$J$7-Inputs!$I$7)))^2+Inputs!$C$6^2+((Inputs!$H$7+Inputs!$L$7*(((Inputs!$I$7+(((A231)+1)/2)*(Inputs!$J$7-Inputs!$I$7)))/Inputs!$K$7)^2))^2))-((Inputs!$H$7+Inputs!$L$7*(((Inputs!$I$7+(((A231)+1)/2)*(Inputs!$J$7-Inputs!$I$7)))/Inputs!$K$7)^2)))*1000/Inputs!$C$12),NA())</f>
        <v>89571.316724298144</v>
      </c>
      <c r="J231" s="9">
        <f>IF(OR(Inputs!$F$8=TRUE,Inputs!$F$8="TRUE",Inputs!$F$8=1),(((SQRT(((Inputs!$I$8+(((A231)+1)/2)*(Inputs!$J$8-Inputs!$I$8)))^2+Inputs!$C$6^2+((Inputs!$H$8+Inputs!$L$8*(((Inputs!$I$8+(((A231)+1)/2)*(Inputs!$J$8-Inputs!$I$8)))/Inputs!$K$8)^2))^2))-((Inputs!$H$8+Inputs!$L$8*(((Inputs!$I$8+(((A231)+1)/2)*(Inputs!$J$8-Inputs!$I$8)))/Inputs!$K$8)^2)))*1000/Inputs!$C$12),NA())</f>
        <v>153432.1560011362</v>
      </c>
      <c r="K231" s="9">
        <f>IF(OR(Inputs!$F$9=TRUE,Inputs!$F$9="TRUE",Inputs!$F$9=1),(((SQRT(((Inputs!$I$9+(((A231)+1)/2)*(Inputs!$J$9-Inputs!$I$9)))^2+Inputs!$C$6^2+((Inputs!$H$9+Inputs!$L$9*(((Inputs!$I$9+(((A231)+1)/2)*(Inputs!$J$9-Inputs!$I$9)))/Inputs!$K$9)^2))^2))-((Inputs!$H$9+Inputs!$L$9*(((Inputs!$I$9+(((A231)+1)/2)*(Inputs!$J$9-Inputs!$I$9)))/Inputs!$K$9)^2)))*1000/Inputs!$C$12),NA())</f>
        <v>153676.51616447463</v>
      </c>
      <c r="L231" s="10"/>
      <c r="M231" s="9">
        <f t="shared" si="19"/>
        <v>0.90800000000000003</v>
      </c>
      <c r="N231" s="9">
        <f>IF(OR(Inputs!$F$6=TRUE,Inputs!$F$6="TRUE",Inputs!$F$6=1),(-2*((1000*((((Inputs!$I$6+(((A231)+1)/2)*(Inputs!$J$6-Inputs!$I$6)))*Inputs!$C$11+((Inputs!$H$6+Inputs!$L$6*(((Inputs!$I$6+(((A231)+1)/2)*(Inputs!$J$6-Inputs!$I$6)))/Inputs!$K$6)^2))*((2*Inputs!$L$6*((Inputs!$I$6+(((A231)+1)/2)*(Inputs!$J$6-Inputs!$I$6)))/(Inputs!$K$6^2)*Inputs!$C$11)))/(SQRT(((Inputs!$I$6+(((A231)+1)/2)*(Inputs!$J$6-Inputs!$I$6)))^2+Inputs!$C$6^2+((Inputs!$H$6+Inputs!$L$6*(((Inputs!$I$6+(((A231)+1)/2)*(Inputs!$J$6-Inputs!$I$6)))/Inputs!$K$6)^2))^2)))))/Inputs!$C$13),NA())</f>
        <v>-405.39141078613955</v>
      </c>
      <c r="O231" s="9">
        <f>IF(OR(Inputs!$F$7=TRUE,Inputs!$F$7="TRUE",Inputs!$F$7=1),(-2*((1000*((((Inputs!$I$7+(((A231)+1)/2)*(Inputs!$J$7-Inputs!$I$7)))*Inputs!$C$11+((Inputs!$H$7+Inputs!$L$7*(((Inputs!$I$7+(((A231)+1)/2)*(Inputs!$J$7-Inputs!$I$7)))/Inputs!$K$7)^2))*((2*Inputs!$L$7*((Inputs!$I$7+(((A231)+1)/2)*(Inputs!$J$7-Inputs!$I$7)))/(Inputs!$K$7^2)*Inputs!$C$11)))/(SQRT(((Inputs!$I$7+(((A231)+1)/2)*(Inputs!$J$7-Inputs!$I$7)))^2+Inputs!$C$6^2+((Inputs!$H$7+Inputs!$L$7*(((Inputs!$I$7+(((A231)+1)/2)*(Inputs!$J$7-Inputs!$I$7)))/Inputs!$K$7)^2))^2)))))/Inputs!$C$13),NA())</f>
        <v>-2971.1138136177751</v>
      </c>
      <c r="P231" s="9">
        <f>IF(OR(Inputs!$F$8=TRUE,Inputs!$F$8="TRUE",Inputs!$F$8=1),(-2*((1000*((((Inputs!$I$8+(((A231)+1)/2)*(Inputs!$J$8-Inputs!$I$8)))*Inputs!$C$11+((Inputs!$H$8+Inputs!$L$8*(((Inputs!$I$8+(((A231)+1)/2)*(Inputs!$J$8-Inputs!$I$8)))/Inputs!$K$8)^2))*((2*Inputs!$L$8*((Inputs!$I$8+(((A231)+1)/2)*(Inputs!$J$8-Inputs!$I$8)))/(Inputs!$K$8^2)*Inputs!$C$11)))/(SQRT(((Inputs!$I$8+(((A231)+1)/2)*(Inputs!$J$8-Inputs!$I$8)))^2+Inputs!$C$6^2+((Inputs!$H$8+Inputs!$L$8*(((Inputs!$I$8+(((A231)+1)/2)*(Inputs!$J$8-Inputs!$I$8)))/Inputs!$K$8)^2))^2)))))/Inputs!$C$13),NA())</f>
        <v>-3690.6385734963014</v>
      </c>
      <c r="Q231" s="9">
        <f>IF(OR(Inputs!$F$9=TRUE,Inputs!$F$9="TRUE",Inputs!$F$9=1),(-2*((1000*((((Inputs!$I$9+(((A231)+1)/2)*(Inputs!$J$9-Inputs!$I$9)))*Inputs!$C$11+((Inputs!$H$9+Inputs!$L$9*(((Inputs!$I$9+(((A231)+1)/2)*(Inputs!$J$9-Inputs!$I$9)))/Inputs!$K$9)^2))*((2*Inputs!$L$9*((Inputs!$I$9+(((A231)+1)/2)*(Inputs!$J$9-Inputs!$I$9)))/(Inputs!$K$9^2)*Inputs!$C$11)))/(SQRT(((Inputs!$I$9+(((A231)+1)/2)*(Inputs!$J$9-Inputs!$I$9)))^2+Inputs!$C$6^2+((Inputs!$H$9+Inputs!$L$9*(((Inputs!$I$9+(((A231)+1)/2)*(Inputs!$J$9-Inputs!$I$9)))/Inputs!$K$9)^2))^2)))))/Inputs!$C$13),NA())</f>
        <v>-3716.785885806768</v>
      </c>
      <c r="R231" s="10"/>
      <c r="S231" s="9">
        <f t="shared" si="20"/>
        <v>0.90800000000000003</v>
      </c>
      <c r="T231" s="9">
        <f>(Inputs!$I$6+(((A231)+1)/2)*(Inputs!$J$6-Inputs!$I$6))</f>
        <v>54.47999999999999</v>
      </c>
      <c r="U231" s="9">
        <f>(Inputs!$I$7+(((A231)+1)/2)*(Inputs!$J$7-Inputs!$I$7))</f>
        <v>363.19999999999993</v>
      </c>
      <c r="V231" s="9">
        <f>(Inputs!$I$8+(((A231)+1)/2)*(Inputs!$J$8-Inputs!$I$8))</f>
        <v>726.39999999999986</v>
      </c>
      <c r="W231" s="9">
        <f>(Inputs!$I$9+(((A231)+1)/2)*(Inputs!$J$9-Inputs!$I$9))</f>
        <v>726.39999999999986</v>
      </c>
      <c r="X231" s="10"/>
      <c r="Y231" s="9">
        <f t="shared" si="21"/>
        <v>0.90800000000000003</v>
      </c>
      <c r="Z231" s="9">
        <f>(Inputs!$H$6+Inputs!$L$6*(((Inputs!$I$6+(((A231)+1)/2)*(Inputs!$J$6-Inputs!$I$6)))/Inputs!$K$6)^2)</f>
        <v>403.29785600000002</v>
      </c>
      <c r="AA231" s="9">
        <f>(Inputs!$H$7+Inputs!$L$7*(((Inputs!$I$7+(((A231)+1)/2)*(Inputs!$J$7-Inputs!$I$7)))/Inputs!$K$7)^2)</f>
        <v>335.92935999999986</v>
      </c>
      <c r="AB231" s="9">
        <f>(Inputs!$H$8+Inputs!$L$8*(((Inputs!$I$8+(((A231)+1)/2)*(Inputs!$J$8-Inputs!$I$8)))/Inputs!$K$8)^2)</f>
        <v>830.60775999999964</v>
      </c>
      <c r="AC231" s="9">
        <f>(Inputs!$H$9+Inputs!$L$9*(((Inputs!$I$9+(((A231)+1)/2)*(Inputs!$J$9-Inputs!$I$9)))/Inputs!$K$9)^2)</f>
        <v>828.85239999999965</v>
      </c>
      <c r="AD231" s="10"/>
      <c r="AE231" s="9">
        <f t="shared" si="22"/>
        <v>0.90800000000000003</v>
      </c>
      <c r="AF231" s="9">
        <f>(((SQRT(((Inputs!$I$6+(((A231)+1)/2)*(Inputs!$J$6-Inputs!$I$6)))^2+Inputs!$C$6^2+((Inputs!$H$6+Inputs!$L$6*(((Inputs!$I$6+(((A231)+1)/2)*(Inputs!$J$6-Inputs!$I$6)))/Inputs!$K$6)^2))^2))-((Inputs!$H$6+Inputs!$L$6*(((Inputs!$I$6+(((A231)+1)/2)*(Inputs!$J$6-Inputs!$I$6)))/Inputs!$K$6)^2)))*1000/Inputs!$C$12)</f>
        <v>2488.9200862943194</v>
      </c>
      <c r="AG231" s="9">
        <f>(((SQRT(((Inputs!$I$7+(((A231)+1)/2)*(Inputs!$J$7-Inputs!$I$7)))^2+Inputs!$C$6^2+((Inputs!$H$7+Inputs!$L$7*(((Inputs!$I$7+(((A231)+1)/2)*(Inputs!$J$7-Inputs!$I$7)))/Inputs!$K$7)^2))^2))-((Inputs!$H$7+Inputs!$L$7*(((Inputs!$I$7+(((A231)+1)/2)*(Inputs!$J$7-Inputs!$I$7)))/Inputs!$K$7)^2)))*1000/Inputs!$C$12)</f>
        <v>89571.316724298144</v>
      </c>
      <c r="AH231" s="9">
        <f>(((SQRT(((Inputs!$I$8+(((A231)+1)/2)*(Inputs!$J$8-Inputs!$I$8)))^2+Inputs!$C$6^2+((Inputs!$H$8+Inputs!$L$8*(((Inputs!$I$8+(((A231)+1)/2)*(Inputs!$J$8-Inputs!$I$8)))/Inputs!$K$8)^2))^2))-((Inputs!$H$8+Inputs!$L$8*(((Inputs!$I$8+(((A231)+1)/2)*(Inputs!$J$8-Inputs!$I$8)))/Inputs!$K$8)^2)))*1000/Inputs!$C$12)</f>
        <v>153432.1560011362</v>
      </c>
      <c r="AI231" s="9">
        <f>(((SQRT(((Inputs!$I$9+(((A231)+1)/2)*(Inputs!$J$9-Inputs!$I$9)))^2+Inputs!$C$6^2+((Inputs!$H$9+Inputs!$L$9*(((Inputs!$I$9+(((A231)+1)/2)*(Inputs!$J$9-Inputs!$I$9)))/Inputs!$K$9)^2))^2))-((Inputs!$H$9+Inputs!$L$9*(((Inputs!$I$9+(((A231)+1)/2)*(Inputs!$J$9-Inputs!$I$9)))/Inputs!$K$9)^2)))*1000/Inputs!$C$12)</f>
        <v>153676.51616447463</v>
      </c>
      <c r="AJ231" s="10"/>
      <c r="AK231" s="9">
        <f t="shared" si="23"/>
        <v>0.90800000000000003</v>
      </c>
      <c r="AL231" s="9">
        <f>(-2*((1000*((((Inputs!$I$6+(((A231)+1)/2)*(Inputs!$J$6-Inputs!$I$6)))*Inputs!$C$11+((Inputs!$H$6+Inputs!$L$6*(((Inputs!$I$6+(((A231)+1)/2)*(Inputs!$J$6-Inputs!$I$6)))/Inputs!$K$6)^2))*((2*Inputs!$L$6*((Inputs!$I$6+(((A231)+1)/2)*(Inputs!$J$6-Inputs!$I$6)))/(Inputs!$K$6^2)*Inputs!$C$11)))/(SQRT(((Inputs!$I$6+(((A231)+1)/2)*(Inputs!$J$6-Inputs!$I$6)))^2+Inputs!$C$6^2+((Inputs!$H$6+Inputs!$L$6*(((Inputs!$I$6+(((A231)+1)/2)*(Inputs!$J$6-Inputs!$I$6)))/Inputs!$K$6)^2))^2)))))/Inputs!$C$13)</f>
        <v>-405.39141078613955</v>
      </c>
      <c r="AM231" s="9">
        <f>(-2*((1000*((((Inputs!$I$7+(((A231)+1)/2)*(Inputs!$J$7-Inputs!$I$7)))*Inputs!$C$11+((Inputs!$H$7+Inputs!$L$7*(((Inputs!$I$7+(((A231)+1)/2)*(Inputs!$J$7-Inputs!$I$7)))/Inputs!$K$7)^2))*((2*Inputs!$L$7*((Inputs!$I$7+(((A231)+1)/2)*(Inputs!$J$7-Inputs!$I$7)))/(Inputs!$K$7^2)*Inputs!$C$11)))/(SQRT(((Inputs!$I$7+(((A231)+1)/2)*(Inputs!$J$7-Inputs!$I$7)))^2+Inputs!$C$6^2+((Inputs!$H$7+Inputs!$L$7*(((Inputs!$I$7+(((A231)+1)/2)*(Inputs!$J$7-Inputs!$I$7)))/Inputs!$K$7)^2))^2)))))/Inputs!$C$13)</f>
        <v>-2971.1138136177751</v>
      </c>
      <c r="AN231" s="9">
        <f>(-2*((1000*((((Inputs!$I$8+(((A231)+1)/2)*(Inputs!$J$8-Inputs!$I$8)))*Inputs!$C$11+((Inputs!$H$8+Inputs!$L$8*(((Inputs!$I$8+(((A231)+1)/2)*(Inputs!$J$8-Inputs!$I$8)))/Inputs!$K$8)^2))*((2*Inputs!$L$8*((Inputs!$I$8+(((A231)+1)/2)*(Inputs!$J$8-Inputs!$I$8)))/(Inputs!$K$8^2)*Inputs!$C$11)))/(SQRT(((Inputs!$I$8+(((A231)+1)/2)*(Inputs!$J$8-Inputs!$I$8)))^2+Inputs!$C$6^2+((Inputs!$H$8+Inputs!$L$8*(((Inputs!$I$8+(((A231)+1)/2)*(Inputs!$J$8-Inputs!$I$8)))/Inputs!$K$8)^2))^2)))))/Inputs!$C$13)</f>
        <v>-3690.6385734963014</v>
      </c>
      <c r="AO231" s="9">
        <f>(-2*((1000*((((Inputs!$I$9+(((A231)+1)/2)*(Inputs!$J$9-Inputs!$I$9)))*Inputs!$C$11+((Inputs!$H$9+Inputs!$L$9*(((Inputs!$I$9+(((A231)+1)/2)*(Inputs!$J$9-Inputs!$I$9)))/Inputs!$K$9)^2))*((2*Inputs!$L$9*((Inputs!$I$9+(((A231)+1)/2)*(Inputs!$J$9-Inputs!$I$9)))/(Inputs!$K$9^2)*Inputs!$C$11)))/(SQRT(((Inputs!$I$9+(((A231)+1)/2)*(Inputs!$J$9-Inputs!$I$9)))^2+Inputs!$C$6^2+((Inputs!$H$9+Inputs!$L$9*(((Inputs!$I$9+(((A231)+1)/2)*(Inputs!$J$9-Inputs!$I$9)))/Inputs!$K$9)^2))^2)))))/Inputs!$C$13)</f>
        <v>-3716.785885806768</v>
      </c>
    </row>
    <row r="232" spans="1:41">
      <c r="A232" s="9">
        <f>ROUND(-1+230*2/240,3)</f>
        <v>0.91700000000000004</v>
      </c>
      <c r="B232" s="9">
        <f>IF(OR(Inputs!$F$6=TRUE,Inputs!$F$6="TRUE",Inputs!$F$6=1),(Inputs!$H$6+Inputs!$L$6*(((Inputs!$I$6+(((A232)+1)/2)*(Inputs!$J$6-Inputs!$I$6)))/Inputs!$K$6)^2),NA())</f>
        <v>403.36355600000002</v>
      </c>
      <c r="C232" s="9">
        <f>IF(OR(Inputs!$F$7=TRUE,Inputs!$F$7="TRUE",Inputs!$F$7=1),(Inputs!$H$7+Inputs!$L$7*(((Inputs!$I$7+(((A232)+1)/2)*(Inputs!$J$7-Inputs!$I$7)))/Inputs!$K$7)^2),NA())</f>
        <v>341.92448500000006</v>
      </c>
      <c r="D232" s="9">
        <f>IF(OR(Inputs!$F$8=TRUE,Inputs!$F$8="TRUE",Inputs!$F$8=1),(Inputs!$H$8+Inputs!$L$8*(((Inputs!$I$8+(((A232)+1)/2)*(Inputs!$J$8-Inputs!$I$8)))/Inputs!$K$8)^2),NA())</f>
        <v>846.45788500000026</v>
      </c>
      <c r="E232" s="9">
        <f>IF(OR(Inputs!$F$9=TRUE,Inputs!$F$9="TRUE",Inputs!$F$9=1),(Inputs!$H$9+Inputs!$L$9*(((Inputs!$I$9+(((A232)+1)/2)*(Inputs!$J$9-Inputs!$I$9)))/Inputs!$K$9)^2),NA())</f>
        <v>844.86677500000019</v>
      </c>
      <c r="F232" s="10"/>
      <c r="G232" s="9">
        <f t="shared" si="18"/>
        <v>0.91700000000000004</v>
      </c>
      <c r="H232" s="9">
        <f>IF(OR(Inputs!$F$6=TRUE,Inputs!$F$6="TRUE",Inputs!$F$6=1),(((SQRT(((Inputs!$I$6+(((A232)+1)/2)*(Inputs!$J$6-Inputs!$I$6)))^2+Inputs!$C$6^2+((Inputs!$H$6+Inputs!$L$6*(((Inputs!$I$6+(((A232)+1)/2)*(Inputs!$J$6-Inputs!$I$6)))/Inputs!$K$6)^2))^2))-((Inputs!$H$6+Inputs!$L$6*(((Inputs!$I$6+(((A232)+1)/2)*(Inputs!$J$6-Inputs!$I$6)))/Inputs!$K$6)^2)))*1000/Inputs!$C$12),NA())</f>
        <v>2529.2458094050999</v>
      </c>
      <c r="I232" s="9">
        <f>IF(OR(Inputs!$F$7=TRUE,Inputs!$F$7="TRUE",Inputs!$F$7=1),(((SQRT(((Inputs!$I$7+(((A232)+1)/2)*(Inputs!$J$7-Inputs!$I$7)))^2+Inputs!$C$6^2+((Inputs!$H$7+Inputs!$L$7*(((Inputs!$I$7+(((A232)+1)/2)*(Inputs!$J$7-Inputs!$I$7)))/Inputs!$K$7)^2))^2))-((Inputs!$H$7+Inputs!$L$7*(((Inputs!$I$7+(((A232)+1)/2)*(Inputs!$J$7-Inputs!$I$7)))/Inputs!$K$7)^2)))*1000/Inputs!$C$12),NA())</f>
        <v>89972.36046512764</v>
      </c>
      <c r="J232" s="9">
        <f>IF(OR(Inputs!$F$8=TRUE,Inputs!$F$8="TRUE",Inputs!$F$8=1),(((SQRT(((Inputs!$I$8+(((A232)+1)/2)*(Inputs!$J$8-Inputs!$I$8)))^2+Inputs!$C$6^2+((Inputs!$H$8+Inputs!$L$8*(((Inputs!$I$8+(((A232)+1)/2)*(Inputs!$J$8-Inputs!$I$8)))/Inputs!$K$8)^2))^2))-((Inputs!$H$8+Inputs!$L$8*(((Inputs!$I$8+(((A232)+1)/2)*(Inputs!$J$8-Inputs!$I$8)))/Inputs!$K$8)^2)))*1000/Inputs!$C$12),NA())</f>
        <v>153897.2443492974</v>
      </c>
      <c r="K232" s="9">
        <f>IF(OR(Inputs!$F$9=TRUE,Inputs!$F$9="TRUE",Inputs!$F$9=1),(((SQRT(((Inputs!$I$9+(((A232)+1)/2)*(Inputs!$J$9-Inputs!$I$9)))^2+Inputs!$C$6^2+((Inputs!$H$9+Inputs!$L$9*(((Inputs!$I$9+(((A232)+1)/2)*(Inputs!$J$9-Inputs!$I$9)))/Inputs!$K$9)^2))^2))-((Inputs!$H$9+Inputs!$L$9*(((Inputs!$I$9+(((A232)+1)/2)*(Inputs!$J$9-Inputs!$I$9)))/Inputs!$K$9)^2)))*1000/Inputs!$C$12),NA())</f>
        <v>154116.07164605684</v>
      </c>
      <c r="L232" s="10"/>
      <c r="M232" s="9">
        <f t="shared" si="19"/>
        <v>0.91700000000000004</v>
      </c>
      <c r="N232" s="9">
        <f>IF(OR(Inputs!$F$6=TRUE,Inputs!$F$6="TRUE",Inputs!$F$6=1),(-2*((1000*((((Inputs!$I$6+(((A232)+1)/2)*(Inputs!$J$6-Inputs!$I$6)))*Inputs!$C$11+((Inputs!$H$6+Inputs!$L$6*(((Inputs!$I$6+(((A232)+1)/2)*(Inputs!$J$6-Inputs!$I$6)))/Inputs!$K$6)^2))*((2*Inputs!$L$6*((Inputs!$I$6+(((A232)+1)/2)*(Inputs!$J$6-Inputs!$I$6)))/(Inputs!$K$6^2)*Inputs!$C$11)))/(SQRT(((Inputs!$I$6+(((A232)+1)/2)*(Inputs!$J$6-Inputs!$I$6)))^2+Inputs!$C$6^2+((Inputs!$H$6+Inputs!$L$6*(((Inputs!$I$6+(((A232)+1)/2)*(Inputs!$J$6-Inputs!$I$6)))/Inputs!$K$6)^2))^2)))))/Inputs!$C$13),NA())</f>
        <v>-409.3031193923336</v>
      </c>
      <c r="O232" s="9">
        <f>IF(OR(Inputs!$F$7=TRUE,Inputs!$F$7="TRUE",Inputs!$F$7=1),(-2*((1000*((((Inputs!$I$7+(((A232)+1)/2)*(Inputs!$J$7-Inputs!$I$7)))*Inputs!$C$11+((Inputs!$H$7+Inputs!$L$7*(((Inputs!$I$7+(((A232)+1)/2)*(Inputs!$J$7-Inputs!$I$7)))/Inputs!$K$7)^2))*((2*Inputs!$L$7*((Inputs!$I$7+(((A232)+1)/2)*(Inputs!$J$7-Inputs!$I$7)))/(Inputs!$K$7^2)*Inputs!$C$11)))/(SQRT(((Inputs!$I$7+(((A232)+1)/2)*(Inputs!$J$7-Inputs!$I$7)))^2+Inputs!$C$6^2+((Inputs!$H$7+Inputs!$L$7*(((Inputs!$I$7+(((A232)+1)/2)*(Inputs!$J$7-Inputs!$I$7)))/Inputs!$K$7)^2))^2)))))/Inputs!$C$13),NA())</f>
        <v>-2992.4410104032991</v>
      </c>
      <c r="P232" s="9">
        <f>IF(OR(Inputs!$F$8=TRUE,Inputs!$F$8="TRUE",Inputs!$F$8=1),(-2*((1000*((((Inputs!$I$8+(((A232)+1)/2)*(Inputs!$J$8-Inputs!$I$8)))*Inputs!$C$11+((Inputs!$H$8+Inputs!$L$8*(((Inputs!$I$8+(((A232)+1)/2)*(Inputs!$J$8-Inputs!$I$8)))/Inputs!$K$8)^2))*((2*Inputs!$L$8*((Inputs!$I$8+(((A232)+1)/2)*(Inputs!$J$8-Inputs!$I$8)))/(Inputs!$K$8^2)*Inputs!$C$11)))/(SQRT(((Inputs!$I$8+(((A232)+1)/2)*(Inputs!$J$8-Inputs!$I$8)))^2+Inputs!$C$6^2+((Inputs!$H$8+Inputs!$L$8*(((Inputs!$I$8+(((A232)+1)/2)*(Inputs!$J$8-Inputs!$I$8)))/Inputs!$K$8)^2))^2)))))/Inputs!$C$13),NA())</f>
        <v>-3721.8118016920234</v>
      </c>
      <c r="Q232" s="9">
        <f>IF(OR(Inputs!$F$9=TRUE,Inputs!$F$9="TRUE",Inputs!$F$9=1),(-2*((1000*((((Inputs!$I$9+(((A232)+1)/2)*(Inputs!$J$9-Inputs!$I$9)))*Inputs!$C$11+((Inputs!$H$9+Inputs!$L$9*(((Inputs!$I$9+(((A232)+1)/2)*(Inputs!$J$9-Inputs!$I$9)))/Inputs!$K$9)^2))*((2*Inputs!$L$9*((Inputs!$I$9+(((A232)+1)/2)*(Inputs!$J$9-Inputs!$I$9)))/(Inputs!$K$9^2)*Inputs!$C$11)))/(SQRT(((Inputs!$I$9+(((A232)+1)/2)*(Inputs!$J$9-Inputs!$I$9)))^2+Inputs!$C$6^2+((Inputs!$H$9+Inputs!$L$9*(((Inputs!$I$9+(((A232)+1)/2)*(Inputs!$J$9-Inputs!$I$9)))/Inputs!$K$9)^2))^2)))))/Inputs!$C$13),NA())</f>
        <v>-3748.4648434472997</v>
      </c>
      <c r="R232" s="10"/>
      <c r="S232" s="9">
        <f t="shared" si="20"/>
        <v>0.91700000000000004</v>
      </c>
      <c r="T232" s="9">
        <f>(Inputs!$I$6+(((A232)+1)/2)*(Inputs!$J$6-Inputs!$I$6))</f>
        <v>55.019999999999996</v>
      </c>
      <c r="U232" s="9">
        <f>(Inputs!$I$7+(((A232)+1)/2)*(Inputs!$J$7-Inputs!$I$7))</f>
        <v>366.80000000000007</v>
      </c>
      <c r="V232" s="9">
        <f>(Inputs!$I$8+(((A232)+1)/2)*(Inputs!$J$8-Inputs!$I$8))</f>
        <v>733.60000000000014</v>
      </c>
      <c r="W232" s="9">
        <f>(Inputs!$I$9+(((A232)+1)/2)*(Inputs!$J$9-Inputs!$I$9))</f>
        <v>733.60000000000014</v>
      </c>
      <c r="X232" s="10"/>
      <c r="Y232" s="9">
        <f t="shared" si="21"/>
        <v>0.91700000000000004</v>
      </c>
      <c r="Z232" s="9">
        <f>(Inputs!$H$6+Inputs!$L$6*(((Inputs!$I$6+(((A232)+1)/2)*(Inputs!$J$6-Inputs!$I$6)))/Inputs!$K$6)^2)</f>
        <v>403.36355600000002</v>
      </c>
      <c r="AA232" s="9">
        <f>(Inputs!$H$7+Inputs!$L$7*(((Inputs!$I$7+(((A232)+1)/2)*(Inputs!$J$7-Inputs!$I$7)))/Inputs!$K$7)^2)</f>
        <v>341.92448500000006</v>
      </c>
      <c r="AB232" s="9">
        <f>(Inputs!$H$8+Inputs!$L$8*(((Inputs!$I$8+(((A232)+1)/2)*(Inputs!$J$8-Inputs!$I$8)))/Inputs!$K$8)^2)</f>
        <v>846.45788500000026</v>
      </c>
      <c r="AC232" s="9">
        <f>(Inputs!$H$9+Inputs!$L$9*(((Inputs!$I$9+(((A232)+1)/2)*(Inputs!$J$9-Inputs!$I$9)))/Inputs!$K$9)^2)</f>
        <v>844.86677500000019</v>
      </c>
      <c r="AD232" s="10"/>
      <c r="AE232" s="9">
        <f t="shared" si="22"/>
        <v>0.91700000000000004</v>
      </c>
      <c r="AF232" s="9">
        <f>(((SQRT(((Inputs!$I$6+(((A232)+1)/2)*(Inputs!$J$6-Inputs!$I$6)))^2+Inputs!$C$6^2+((Inputs!$H$6+Inputs!$L$6*(((Inputs!$I$6+(((A232)+1)/2)*(Inputs!$J$6-Inputs!$I$6)))/Inputs!$K$6)^2))^2))-((Inputs!$H$6+Inputs!$L$6*(((Inputs!$I$6+(((A232)+1)/2)*(Inputs!$J$6-Inputs!$I$6)))/Inputs!$K$6)^2)))*1000/Inputs!$C$12)</f>
        <v>2529.2458094050999</v>
      </c>
      <c r="AG232" s="9">
        <f>(((SQRT(((Inputs!$I$7+(((A232)+1)/2)*(Inputs!$J$7-Inputs!$I$7)))^2+Inputs!$C$6^2+((Inputs!$H$7+Inputs!$L$7*(((Inputs!$I$7+(((A232)+1)/2)*(Inputs!$J$7-Inputs!$I$7)))/Inputs!$K$7)^2))^2))-((Inputs!$H$7+Inputs!$L$7*(((Inputs!$I$7+(((A232)+1)/2)*(Inputs!$J$7-Inputs!$I$7)))/Inputs!$K$7)^2)))*1000/Inputs!$C$12)</f>
        <v>89972.36046512764</v>
      </c>
      <c r="AH232" s="9">
        <f>(((SQRT(((Inputs!$I$8+(((A232)+1)/2)*(Inputs!$J$8-Inputs!$I$8)))^2+Inputs!$C$6^2+((Inputs!$H$8+Inputs!$L$8*(((Inputs!$I$8+(((A232)+1)/2)*(Inputs!$J$8-Inputs!$I$8)))/Inputs!$K$8)^2))^2))-((Inputs!$H$8+Inputs!$L$8*(((Inputs!$I$8+(((A232)+1)/2)*(Inputs!$J$8-Inputs!$I$8)))/Inputs!$K$8)^2)))*1000/Inputs!$C$12)</f>
        <v>153897.2443492974</v>
      </c>
      <c r="AI232" s="9">
        <f>(((SQRT(((Inputs!$I$9+(((A232)+1)/2)*(Inputs!$J$9-Inputs!$I$9)))^2+Inputs!$C$6^2+((Inputs!$H$9+Inputs!$L$9*(((Inputs!$I$9+(((A232)+1)/2)*(Inputs!$J$9-Inputs!$I$9)))/Inputs!$K$9)^2))^2))-((Inputs!$H$9+Inputs!$L$9*(((Inputs!$I$9+(((A232)+1)/2)*(Inputs!$J$9-Inputs!$I$9)))/Inputs!$K$9)^2)))*1000/Inputs!$C$12)</f>
        <v>154116.07164605684</v>
      </c>
      <c r="AJ232" s="10"/>
      <c r="AK232" s="9">
        <f t="shared" si="23"/>
        <v>0.91700000000000004</v>
      </c>
      <c r="AL232" s="9">
        <f>(-2*((1000*((((Inputs!$I$6+(((A232)+1)/2)*(Inputs!$J$6-Inputs!$I$6)))*Inputs!$C$11+((Inputs!$H$6+Inputs!$L$6*(((Inputs!$I$6+(((A232)+1)/2)*(Inputs!$J$6-Inputs!$I$6)))/Inputs!$K$6)^2))*((2*Inputs!$L$6*((Inputs!$I$6+(((A232)+1)/2)*(Inputs!$J$6-Inputs!$I$6)))/(Inputs!$K$6^2)*Inputs!$C$11)))/(SQRT(((Inputs!$I$6+(((A232)+1)/2)*(Inputs!$J$6-Inputs!$I$6)))^2+Inputs!$C$6^2+((Inputs!$H$6+Inputs!$L$6*(((Inputs!$I$6+(((A232)+1)/2)*(Inputs!$J$6-Inputs!$I$6)))/Inputs!$K$6)^2))^2)))))/Inputs!$C$13)</f>
        <v>-409.3031193923336</v>
      </c>
      <c r="AM232" s="9">
        <f>(-2*((1000*((((Inputs!$I$7+(((A232)+1)/2)*(Inputs!$J$7-Inputs!$I$7)))*Inputs!$C$11+((Inputs!$H$7+Inputs!$L$7*(((Inputs!$I$7+(((A232)+1)/2)*(Inputs!$J$7-Inputs!$I$7)))/Inputs!$K$7)^2))*((2*Inputs!$L$7*((Inputs!$I$7+(((A232)+1)/2)*(Inputs!$J$7-Inputs!$I$7)))/(Inputs!$K$7^2)*Inputs!$C$11)))/(SQRT(((Inputs!$I$7+(((A232)+1)/2)*(Inputs!$J$7-Inputs!$I$7)))^2+Inputs!$C$6^2+((Inputs!$H$7+Inputs!$L$7*(((Inputs!$I$7+(((A232)+1)/2)*(Inputs!$J$7-Inputs!$I$7)))/Inputs!$K$7)^2))^2)))))/Inputs!$C$13)</f>
        <v>-2992.4410104032991</v>
      </c>
      <c r="AN232" s="9">
        <f>(-2*((1000*((((Inputs!$I$8+(((A232)+1)/2)*(Inputs!$J$8-Inputs!$I$8)))*Inputs!$C$11+((Inputs!$H$8+Inputs!$L$8*(((Inputs!$I$8+(((A232)+1)/2)*(Inputs!$J$8-Inputs!$I$8)))/Inputs!$K$8)^2))*((2*Inputs!$L$8*((Inputs!$I$8+(((A232)+1)/2)*(Inputs!$J$8-Inputs!$I$8)))/(Inputs!$K$8^2)*Inputs!$C$11)))/(SQRT(((Inputs!$I$8+(((A232)+1)/2)*(Inputs!$J$8-Inputs!$I$8)))^2+Inputs!$C$6^2+((Inputs!$H$8+Inputs!$L$8*(((Inputs!$I$8+(((A232)+1)/2)*(Inputs!$J$8-Inputs!$I$8)))/Inputs!$K$8)^2))^2)))))/Inputs!$C$13)</f>
        <v>-3721.8118016920234</v>
      </c>
      <c r="AO232" s="9">
        <f>(-2*((1000*((((Inputs!$I$9+(((A232)+1)/2)*(Inputs!$J$9-Inputs!$I$9)))*Inputs!$C$11+((Inputs!$H$9+Inputs!$L$9*(((Inputs!$I$9+(((A232)+1)/2)*(Inputs!$J$9-Inputs!$I$9)))/Inputs!$K$9)^2))*((2*Inputs!$L$9*((Inputs!$I$9+(((A232)+1)/2)*(Inputs!$J$9-Inputs!$I$9)))/(Inputs!$K$9^2)*Inputs!$C$11)))/(SQRT(((Inputs!$I$9+(((A232)+1)/2)*(Inputs!$J$9-Inputs!$I$9)))^2+Inputs!$C$6^2+((Inputs!$H$9+Inputs!$L$9*(((Inputs!$I$9+(((A232)+1)/2)*(Inputs!$J$9-Inputs!$I$9)))/Inputs!$K$9)^2))^2)))))/Inputs!$C$13)</f>
        <v>-3748.4648434472997</v>
      </c>
    </row>
    <row r="233" spans="1:41">
      <c r="A233" s="9">
        <f>ROUND(-1+231*2/240,3)</f>
        <v>0.92500000000000004</v>
      </c>
      <c r="B233" s="9">
        <f>IF(OR(Inputs!$F$6=TRUE,Inputs!$F$6="TRUE",Inputs!$F$6=1),(Inputs!$H$6+Inputs!$L$6*(((Inputs!$I$6+(((A233)+1)/2)*(Inputs!$J$6-Inputs!$I$6)))/Inputs!$K$6)^2),NA())</f>
        <v>403.42250000000001</v>
      </c>
      <c r="C233" s="9">
        <f>IF(OR(Inputs!$F$7=TRUE,Inputs!$F$7="TRUE",Inputs!$F$7=1),(Inputs!$H$7+Inputs!$L$7*(((Inputs!$I$7+(((A233)+1)/2)*(Inputs!$J$7-Inputs!$I$7)))/Inputs!$K$7)^2),NA())</f>
        <v>347.30312500000002</v>
      </c>
      <c r="D233" s="9">
        <f>IF(OR(Inputs!$F$8=TRUE,Inputs!$F$8="TRUE",Inputs!$F$8=1),(Inputs!$H$8+Inputs!$L$8*(((Inputs!$I$8+(((A233)+1)/2)*(Inputs!$J$8-Inputs!$I$8)))/Inputs!$K$8)^2),NA())</f>
        <v>860.67812500000002</v>
      </c>
      <c r="E233" s="9">
        <f>IF(OR(Inputs!$F$9=TRUE,Inputs!$F$9="TRUE",Inputs!$F$9=1),(Inputs!$H$9+Inputs!$L$9*(((Inputs!$I$9+(((A233)+1)/2)*(Inputs!$J$9-Inputs!$I$9)))/Inputs!$K$9)^2),NA())</f>
        <v>859.23437500000011</v>
      </c>
      <c r="F233" s="10"/>
      <c r="G233" s="9">
        <f t="shared" si="18"/>
        <v>0.92500000000000004</v>
      </c>
      <c r="H233" s="9">
        <f>IF(OR(Inputs!$F$6=TRUE,Inputs!$F$6="TRUE",Inputs!$F$6=1),(((SQRT(((Inputs!$I$6+(((A233)+1)/2)*(Inputs!$J$6-Inputs!$I$6)))^2+Inputs!$C$6^2+((Inputs!$H$6+Inputs!$L$6*(((Inputs!$I$6+(((A233)+1)/2)*(Inputs!$J$6-Inputs!$I$6)))/Inputs!$K$6)^2))^2))-((Inputs!$H$6+Inputs!$L$6*(((Inputs!$I$6+(((A233)+1)/2)*(Inputs!$J$6-Inputs!$I$6)))/Inputs!$K$6)^2)))*1000/Inputs!$C$12),NA())</f>
        <v>2565.4077051733684</v>
      </c>
      <c r="I233" s="9">
        <f>IF(OR(Inputs!$F$7=TRUE,Inputs!$F$7="TRUE",Inputs!$F$7=1),(((SQRT(((Inputs!$I$7+(((A233)+1)/2)*(Inputs!$J$7-Inputs!$I$7)))^2+Inputs!$C$6^2+((Inputs!$H$7+Inputs!$L$7*(((Inputs!$I$7+(((A233)+1)/2)*(Inputs!$J$7-Inputs!$I$7)))/Inputs!$K$7)^2))^2))-((Inputs!$H$7+Inputs!$L$7*(((Inputs!$I$7+(((A233)+1)/2)*(Inputs!$J$7-Inputs!$I$7)))/Inputs!$K$7)^2)))*1000/Inputs!$C$12),NA())</f>
        <v>90323.63054284628</v>
      </c>
      <c r="J233" s="9">
        <f>IF(OR(Inputs!$F$8=TRUE,Inputs!$F$8="TRUE",Inputs!$F$8=1),(((SQRT(((Inputs!$I$8+(((A233)+1)/2)*(Inputs!$J$8-Inputs!$I$8)))^2+Inputs!$C$6^2+((Inputs!$H$8+Inputs!$L$8*(((Inputs!$I$8+(((A233)+1)/2)*(Inputs!$J$8-Inputs!$I$8)))/Inputs!$K$8)^2))^2))-((Inputs!$H$8+Inputs!$L$8*(((Inputs!$I$8+(((A233)+1)/2)*(Inputs!$J$8-Inputs!$I$8)))/Inputs!$K$8)^2)))*1000/Inputs!$C$12),NA())</f>
        <v>154303.16710885518</v>
      </c>
      <c r="K233" s="9">
        <f>IF(OR(Inputs!$F$9=TRUE,Inputs!$F$9="TRUE",Inputs!$F$9=1),(((SQRT(((Inputs!$I$9+(((A233)+1)/2)*(Inputs!$J$9-Inputs!$I$9)))^2+Inputs!$C$6^2+((Inputs!$H$9+Inputs!$L$9*(((Inputs!$I$9+(((A233)+1)/2)*(Inputs!$J$9-Inputs!$I$9)))/Inputs!$K$9)^2))^2))-((Inputs!$H$9+Inputs!$L$9*(((Inputs!$I$9+(((A233)+1)/2)*(Inputs!$J$9-Inputs!$I$9)))/Inputs!$K$9)^2)))*1000/Inputs!$C$12),NA())</f>
        <v>154499.60597487274</v>
      </c>
      <c r="L233" s="10"/>
      <c r="M233" s="9">
        <f t="shared" si="19"/>
        <v>0.92500000000000004</v>
      </c>
      <c r="N233" s="9">
        <f>IF(OR(Inputs!$F$6=TRUE,Inputs!$F$6="TRUE",Inputs!$F$6=1),(-2*((1000*((((Inputs!$I$6+(((A233)+1)/2)*(Inputs!$J$6-Inputs!$I$6)))*Inputs!$C$11+((Inputs!$H$6+Inputs!$L$6*(((Inputs!$I$6+(((A233)+1)/2)*(Inputs!$J$6-Inputs!$I$6)))/Inputs!$K$6)^2))*((2*Inputs!$L$6*((Inputs!$I$6+(((A233)+1)/2)*(Inputs!$J$6-Inputs!$I$6)))/(Inputs!$K$6^2)*Inputs!$C$11)))/(SQRT(((Inputs!$I$6+(((A233)+1)/2)*(Inputs!$J$6-Inputs!$I$6)))^2+Inputs!$C$6^2+((Inputs!$H$6+Inputs!$L$6*(((Inputs!$I$6+(((A233)+1)/2)*(Inputs!$J$6-Inputs!$I$6)))/Inputs!$K$6)^2))^2)))))/Inputs!$C$13),NA())</f>
        <v>-412.77764187212813</v>
      </c>
      <c r="O233" s="9">
        <f>IF(OR(Inputs!$F$7=TRUE,Inputs!$F$7="TRUE",Inputs!$F$7=1),(-2*((1000*((((Inputs!$I$7+(((A233)+1)/2)*(Inputs!$J$7-Inputs!$I$7)))*Inputs!$C$11+((Inputs!$H$7+Inputs!$L$7*(((Inputs!$I$7+(((A233)+1)/2)*(Inputs!$J$7-Inputs!$I$7)))/Inputs!$K$7)^2))*((2*Inputs!$L$7*((Inputs!$I$7+(((A233)+1)/2)*(Inputs!$J$7-Inputs!$I$7)))/(Inputs!$K$7^2)*Inputs!$C$11)))/(SQRT(((Inputs!$I$7+(((A233)+1)/2)*(Inputs!$J$7-Inputs!$I$7)))^2+Inputs!$C$6^2+((Inputs!$H$7+Inputs!$L$7*(((Inputs!$I$7+(((A233)+1)/2)*(Inputs!$J$7-Inputs!$I$7)))/Inputs!$K$7)^2))^2)))))/Inputs!$C$13),NA())</f>
        <v>-3011.4710042668985</v>
      </c>
      <c r="P233" s="9">
        <f>IF(OR(Inputs!$F$8=TRUE,Inputs!$F$8="TRUE",Inputs!$F$8=1),(-2*((1000*((((Inputs!$I$8+(((A233)+1)/2)*(Inputs!$J$8-Inputs!$I$8)))*Inputs!$C$11+((Inputs!$H$8+Inputs!$L$8*(((Inputs!$I$8+(((A233)+1)/2)*(Inputs!$J$8-Inputs!$I$8)))/Inputs!$K$8)^2))*((2*Inputs!$L$8*((Inputs!$I$8+(((A233)+1)/2)*(Inputs!$J$8-Inputs!$I$8)))/(Inputs!$K$8^2)*Inputs!$C$11)))/(SQRT(((Inputs!$I$8+(((A233)+1)/2)*(Inputs!$J$8-Inputs!$I$8)))^2+Inputs!$C$6^2+((Inputs!$H$8+Inputs!$L$8*(((Inputs!$I$8+(((A233)+1)/2)*(Inputs!$J$8-Inputs!$I$8)))/Inputs!$K$8)^2))^2)))))/Inputs!$C$13),NA())</f>
        <v>-3749.5901097413494</v>
      </c>
      <c r="Q233" s="9">
        <f>IF(OR(Inputs!$F$9=TRUE,Inputs!$F$9="TRUE",Inputs!$F$9=1),(-2*((1000*((((Inputs!$I$9+(((A233)+1)/2)*(Inputs!$J$9-Inputs!$I$9)))*Inputs!$C$11+((Inputs!$H$9+Inputs!$L$9*(((Inputs!$I$9+(((A233)+1)/2)*(Inputs!$J$9-Inputs!$I$9)))/Inputs!$K$9)^2))*((2*Inputs!$L$9*((Inputs!$I$9+(((A233)+1)/2)*(Inputs!$J$9-Inputs!$I$9)))/(Inputs!$K$9^2)*Inputs!$C$11)))/(SQRT(((Inputs!$I$9+(((A233)+1)/2)*(Inputs!$J$9-Inputs!$I$9)))^2+Inputs!$C$6^2+((Inputs!$H$9+Inputs!$L$9*(((Inputs!$I$9+(((A233)+1)/2)*(Inputs!$J$9-Inputs!$I$9)))/Inputs!$K$9)^2))^2)))))/Inputs!$C$13),NA())</f>
        <v>-3776.691117952807</v>
      </c>
      <c r="R233" s="10"/>
      <c r="S233" s="9">
        <f t="shared" si="20"/>
        <v>0.92500000000000004</v>
      </c>
      <c r="T233" s="9">
        <f>(Inputs!$I$6+(((A233)+1)/2)*(Inputs!$J$6-Inputs!$I$6))</f>
        <v>55.5</v>
      </c>
      <c r="U233" s="9">
        <f>(Inputs!$I$7+(((A233)+1)/2)*(Inputs!$J$7-Inputs!$I$7))</f>
        <v>370</v>
      </c>
      <c r="V233" s="9">
        <f>(Inputs!$I$8+(((A233)+1)/2)*(Inputs!$J$8-Inputs!$I$8))</f>
        <v>740</v>
      </c>
      <c r="W233" s="9">
        <f>(Inputs!$I$9+(((A233)+1)/2)*(Inputs!$J$9-Inputs!$I$9))</f>
        <v>740</v>
      </c>
      <c r="X233" s="10"/>
      <c r="Y233" s="9">
        <f t="shared" si="21"/>
        <v>0.92500000000000004</v>
      </c>
      <c r="Z233" s="9">
        <f>(Inputs!$H$6+Inputs!$L$6*(((Inputs!$I$6+(((A233)+1)/2)*(Inputs!$J$6-Inputs!$I$6)))/Inputs!$K$6)^2)</f>
        <v>403.42250000000001</v>
      </c>
      <c r="AA233" s="9">
        <f>(Inputs!$H$7+Inputs!$L$7*(((Inputs!$I$7+(((A233)+1)/2)*(Inputs!$J$7-Inputs!$I$7)))/Inputs!$K$7)^2)</f>
        <v>347.30312500000002</v>
      </c>
      <c r="AB233" s="9">
        <f>(Inputs!$H$8+Inputs!$L$8*(((Inputs!$I$8+(((A233)+1)/2)*(Inputs!$J$8-Inputs!$I$8)))/Inputs!$K$8)^2)</f>
        <v>860.67812500000002</v>
      </c>
      <c r="AC233" s="9">
        <f>(Inputs!$H$9+Inputs!$L$9*(((Inputs!$I$9+(((A233)+1)/2)*(Inputs!$J$9-Inputs!$I$9)))/Inputs!$K$9)^2)</f>
        <v>859.23437500000011</v>
      </c>
      <c r="AD233" s="10"/>
      <c r="AE233" s="9">
        <f t="shared" si="22"/>
        <v>0.92500000000000004</v>
      </c>
      <c r="AF233" s="9">
        <f>(((SQRT(((Inputs!$I$6+(((A233)+1)/2)*(Inputs!$J$6-Inputs!$I$6)))^2+Inputs!$C$6^2+((Inputs!$H$6+Inputs!$L$6*(((Inputs!$I$6+(((A233)+1)/2)*(Inputs!$J$6-Inputs!$I$6)))/Inputs!$K$6)^2))^2))-((Inputs!$H$6+Inputs!$L$6*(((Inputs!$I$6+(((A233)+1)/2)*(Inputs!$J$6-Inputs!$I$6)))/Inputs!$K$6)^2)))*1000/Inputs!$C$12)</f>
        <v>2565.4077051733684</v>
      </c>
      <c r="AG233" s="9">
        <f>(((SQRT(((Inputs!$I$7+(((A233)+1)/2)*(Inputs!$J$7-Inputs!$I$7)))^2+Inputs!$C$6^2+((Inputs!$H$7+Inputs!$L$7*(((Inputs!$I$7+(((A233)+1)/2)*(Inputs!$J$7-Inputs!$I$7)))/Inputs!$K$7)^2))^2))-((Inputs!$H$7+Inputs!$L$7*(((Inputs!$I$7+(((A233)+1)/2)*(Inputs!$J$7-Inputs!$I$7)))/Inputs!$K$7)^2)))*1000/Inputs!$C$12)</f>
        <v>90323.63054284628</v>
      </c>
      <c r="AH233" s="9">
        <f>(((SQRT(((Inputs!$I$8+(((A233)+1)/2)*(Inputs!$J$8-Inputs!$I$8)))^2+Inputs!$C$6^2+((Inputs!$H$8+Inputs!$L$8*(((Inputs!$I$8+(((A233)+1)/2)*(Inputs!$J$8-Inputs!$I$8)))/Inputs!$K$8)^2))^2))-((Inputs!$H$8+Inputs!$L$8*(((Inputs!$I$8+(((A233)+1)/2)*(Inputs!$J$8-Inputs!$I$8)))/Inputs!$K$8)^2)))*1000/Inputs!$C$12)</f>
        <v>154303.16710885518</v>
      </c>
      <c r="AI233" s="9">
        <f>(((SQRT(((Inputs!$I$9+(((A233)+1)/2)*(Inputs!$J$9-Inputs!$I$9)))^2+Inputs!$C$6^2+((Inputs!$H$9+Inputs!$L$9*(((Inputs!$I$9+(((A233)+1)/2)*(Inputs!$J$9-Inputs!$I$9)))/Inputs!$K$9)^2))^2))-((Inputs!$H$9+Inputs!$L$9*(((Inputs!$I$9+(((A233)+1)/2)*(Inputs!$J$9-Inputs!$I$9)))/Inputs!$K$9)^2)))*1000/Inputs!$C$12)</f>
        <v>154499.60597487274</v>
      </c>
      <c r="AJ233" s="10"/>
      <c r="AK233" s="9">
        <f t="shared" si="23"/>
        <v>0.92500000000000004</v>
      </c>
      <c r="AL233" s="9">
        <f>(-2*((1000*((((Inputs!$I$6+(((A233)+1)/2)*(Inputs!$J$6-Inputs!$I$6)))*Inputs!$C$11+((Inputs!$H$6+Inputs!$L$6*(((Inputs!$I$6+(((A233)+1)/2)*(Inputs!$J$6-Inputs!$I$6)))/Inputs!$K$6)^2))*((2*Inputs!$L$6*((Inputs!$I$6+(((A233)+1)/2)*(Inputs!$J$6-Inputs!$I$6)))/(Inputs!$K$6^2)*Inputs!$C$11)))/(SQRT(((Inputs!$I$6+(((A233)+1)/2)*(Inputs!$J$6-Inputs!$I$6)))^2+Inputs!$C$6^2+((Inputs!$H$6+Inputs!$L$6*(((Inputs!$I$6+(((A233)+1)/2)*(Inputs!$J$6-Inputs!$I$6)))/Inputs!$K$6)^2))^2)))))/Inputs!$C$13)</f>
        <v>-412.77764187212813</v>
      </c>
      <c r="AM233" s="9">
        <f>(-2*((1000*((((Inputs!$I$7+(((A233)+1)/2)*(Inputs!$J$7-Inputs!$I$7)))*Inputs!$C$11+((Inputs!$H$7+Inputs!$L$7*(((Inputs!$I$7+(((A233)+1)/2)*(Inputs!$J$7-Inputs!$I$7)))/Inputs!$K$7)^2))*((2*Inputs!$L$7*((Inputs!$I$7+(((A233)+1)/2)*(Inputs!$J$7-Inputs!$I$7)))/(Inputs!$K$7^2)*Inputs!$C$11)))/(SQRT(((Inputs!$I$7+(((A233)+1)/2)*(Inputs!$J$7-Inputs!$I$7)))^2+Inputs!$C$6^2+((Inputs!$H$7+Inputs!$L$7*(((Inputs!$I$7+(((A233)+1)/2)*(Inputs!$J$7-Inputs!$I$7)))/Inputs!$K$7)^2))^2)))))/Inputs!$C$13)</f>
        <v>-3011.4710042668985</v>
      </c>
      <c r="AN233" s="9">
        <f>(-2*((1000*((((Inputs!$I$8+(((A233)+1)/2)*(Inputs!$J$8-Inputs!$I$8)))*Inputs!$C$11+((Inputs!$H$8+Inputs!$L$8*(((Inputs!$I$8+(((A233)+1)/2)*(Inputs!$J$8-Inputs!$I$8)))/Inputs!$K$8)^2))*((2*Inputs!$L$8*((Inputs!$I$8+(((A233)+1)/2)*(Inputs!$J$8-Inputs!$I$8)))/(Inputs!$K$8^2)*Inputs!$C$11)))/(SQRT(((Inputs!$I$8+(((A233)+1)/2)*(Inputs!$J$8-Inputs!$I$8)))^2+Inputs!$C$6^2+((Inputs!$H$8+Inputs!$L$8*(((Inputs!$I$8+(((A233)+1)/2)*(Inputs!$J$8-Inputs!$I$8)))/Inputs!$K$8)^2))^2)))))/Inputs!$C$13)</f>
        <v>-3749.5901097413494</v>
      </c>
      <c r="AO233" s="9">
        <f>(-2*((1000*((((Inputs!$I$9+(((A233)+1)/2)*(Inputs!$J$9-Inputs!$I$9)))*Inputs!$C$11+((Inputs!$H$9+Inputs!$L$9*(((Inputs!$I$9+(((A233)+1)/2)*(Inputs!$J$9-Inputs!$I$9)))/Inputs!$K$9)^2))*((2*Inputs!$L$9*((Inputs!$I$9+(((A233)+1)/2)*(Inputs!$J$9-Inputs!$I$9)))/(Inputs!$K$9^2)*Inputs!$C$11)))/(SQRT(((Inputs!$I$9+(((A233)+1)/2)*(Inputs!$J$9-Inputs!$I$9)))^2+Inputs!$C$6^2+((Inputs!$H$9+Inputs!$L$9*(((Inputs!$I$9+(((A233)+1)/2)*(Inputs!$J$9-Inputs!$I$9)))/Inputs!$K$9)^2))^2)))))/Inputs!$C$13)</f>
        <v>-3776.691117952807</v>
      </c>
    </row>
    <row r="234" spans="1:41">
      <c r="A234" s="9">
        <f>ROUND(-1+232*2/240,3)</f>
        <v>0.93300000000000005</v>
      </c>
      <c r="B234" s="9">
        <f>IF(OR(Inputs!$F$6=TRUE,Inputs!$F$6="TRUE",Inputs!$F$6=1),(Inputs!$H$6+Inputs!$L$6*(((Inputs!$I$6+(((A234)+1)/2)*(Inputs!$J$6-Inputs!$I$6)))/Inputs!$K$6)^2),NA())</f>
        <v>403.48195600000003</v>
      </c>
      <c r="C234" s="9">
        <f>IF(OR(Inputs!$F$7=TRUE,Inputs!$F$7="TRUE",Inputs!$F$7=1),(Inputs!$H$7+Inputs!$L$7*(((Inputs!$I$7+(((A234)+1)/2)*(Inputs!$J$7-Inputs!$I$7)))/Inputs!$K$7)^2),NA())</f>
        <v>352.72848500000009</v>
      </c>
      <c r="D234" s="9">
        <f>IF(OR(Inputs!$F$8=TRUE,Inputs!$F$8="TRUE",Inputs!$F$8=1),(Inputs!$H$8+Inputs!$L$8*(((Inputs!$I$8+(((A234)+1)/2)*(Inputs!$J$8-Inputs!$I$8)))/Inputs!$K$8)^2),NA())</f>
        <v>875.02188500000022</v>
      </c>
      <c r="E234" s="9">
        <f>IF(OR(Inputs!$F$9=TRUE,Inputs!$F$9="TRUE",Inputs!$F$9=1),(Inputs!$H$9+Inputs!$L$9*(((Inputs!$I$9+(((A234)+1)/2)*(Inputs!$J$9-Inputs!$I$9)))/Inputs!$K$9)^2),NA())</f>
        <v>873.72677500000032</v>
      </c>
      <c r="F234" s="10"/>
      <c r="G234" s="9">
        <f t="shared" si="18"/>
        <v>0.93300000000000005</v>
      </c>
      <c r="H234" s="9">
        <f>IF(OR(Inputs!$F$6=TRUE,Inputs!$F$6="TRUE",Inputs!$F$6=1),(((SQRT(((Inputs!$I$6+(((A234)+1)/2)*(Inputs!$J$6-Inputs!$I$6)))^2+Inputs!$C$6^2+((Inputs!$H$6+Inputs!$L$6*(((Inputs!$I$6+(((A234)+1)/2)*(Inputs!$J$6-Inputs!$I$6)))/Inputs!$K$6)^2))^2))-((Inputs!$H$6+Inputs!$L$6*(((Inputs!$I$6+(((A234)+1)/2)*(Inputs!$J$6-Inputs!$I$6)))/Inputs!$K$6)^2)))*1000/Inputs!$C$12),NA())</f>
        <v>2601.8673504997391</v>
      </c>
      <c r="I234" s="9">
        <f>IF(OR(Inputs!$F$7=TRUE,Inputs!$F$7="TRUE",Inputs!$F$7=1),(((SQRT(((Inputs!$I$7+(((A234)+1)/2)*(Inputs!$J$7-Inputs!$I$7)))^2+Inputs!$C$6^2+((Inputs!$H$7+Inputs!$L$7*(((Inputs!$I$7+(((A234)+1)/2)*(Inputs!$J$7-Inputs!$I$7)))/Inputs!$K$7)^2))^2))-((Inputs!$H$7+Inputs!$L$7*(((Inputs!$I$7+(((A234)+1)/2)*(Inputs!$J$7-Inputs!$I$7)))/Inputs!$K$7)^2)))*1000/Inputs!$C$12),NA())</f>
        <v>90670.073261717189</v>
      </c>
      <c r="J234" s="9">
        <f>IF(OR(Inputs!$F$8=TRUE,Inputs!$F$8="TRUE",Inputs!$F$8=1),(((SQRT(((Inputs!$I$8+(((A234)+1)/2)*(Inputs!$J$8-Inputs!$I$8)))^2+Inputs!$C$6^2+((Inputs!$H$8+Inputs!$L$8*(((Inputs!$I$8+(((A234)+1)/2)*(Inputs!$J$8-Inputs!$I$8)))/Inputs!$K$8)^2))^2))-((Inputs!$H$8+Inputs!$L$8*(((Inputs!$I$8+(((A234)+1)/2)*(Inputs!$J$8-Inputs!$I$8)))/Inputs!$K$8)^2)))*1000/Inputs!$C$12),NA())</f>
        <v>154702.19106824315</v>
      </c>
      <c r="K234" s="9">
        <f>IF(OR(Inputs!$F$9=TRUE,Inputs!$F$9="TRUE",Inputs!$F$9=1),(((SQRT(((Inputs!$I$9+(((A234)+1)/2)*(Inputs!$J$9-Inputs!$I$9)))^2+Inputs!$C$6^2+((Inputs!$H$9+Inputs!$L$9*(((Inputs!$I$9+(((A234)+1)/2)*(Inputs!$J$9-Inputs!$I$9)))/Inputs!$K$9)^2))^2))-((Inputs!$H$9+Inputs!$L$9*(((Inputs!$I$9+(((A234)+1)/2)*(Inputs!$J$9-Inputs!$I$9)))/Inputs!$K$9)^2)))*1000/Inputs!$C$12),NA())</f>
        <v>154876.52740486668</v>
      </c>
      <c r="L234" s="10"/>
      <c r="M234" s="9">
        <f t="shared" si="19"/>
        <v>0.93300000000000005</v>
      </c>
      <c r="N234" s="9">
        <f>IF(OR(Inputs!$F$6=TRUE,Inputs!$F$6="TRUE",Inputs!$F$6=1),(-2*((1000*((((Inputs!$I$6+(((A234)+1)/2)*(Inputs!$J$6-Inputs!$I$6)))*Inputs!$C$11+((Inputs!$H$6+Inputs!$L$6*(((Inputs!$I$6+(((A234)+1)/2)*(Inputs!$J$6-Inputs!$I$6)))/Inputs!$K$6)^2))*((2*Inputs!$L$6*((Inputs!$I$6+(((A234)+1)/2)*(Inputs!$J$6-Inputs!$I$6)))/(Inputs!$K$6^2)*Inputs!$C$11)))/(SQRT(((Inputs!$I$6+(((A234)+1)/2)*(Inputs!$J$6-Inputs!$I$6)))^2+Inputs!$C$6^2+((Inputs!$H$6+Inputs!$L$6*(((Inputs!$I$6+(((A234)+1)/2)*(Inputs!$J$6-Inputs!$I$6)))/Inputs!$K$6)^2))^2)))))/Inputs!$C$13),NA())</f>
        <v>-416.24974460662236</v>
      </c>
      <c r="O234" s="9">
        <f>IF(OR(Inputs!$F$7=TRUE,Inputs!$F$7="TRUE",Inputs!$F$7=1),(-2*((1000*((((Inputs!$I$7+(((A234)+1)/2)*(Inputs!$J$7-Inputs!$I$7)))*Inputs!$C$11+((Inputs!$H$7+Inputs!$L$7*(((Inputs!$I$7+(((A234)+1)/2)*(Inputs!$J$7-Inputs!$I$7)))/Inputs!$K$7)^2))*((2*Inputs!$L$7*((Inputs!$I$7+(((A234)+1)/2)*(Inputs!$J$7-Inputs!$I$7)))/(Inputs!$K$7^2)*Inputs!$C$11)))/(SQRT(((Inputs!$I$7+(((A234)+1)/2)*(Inputs!$J$7-Inputs!$I$7)))^2+Inputs!$C$6^2+((Inputs!$H$7+Inputs!$L$7*(((Inputs!$I$7+(((A234)+1)/2)*(Inputs!$J$7-Inputs!$I$7)))/Inputs!$K$7)^2))^2)))))/Inputs!$C$13),NA())</f>
        <v>-3030.5681397812464</v>
      </c>
      <c r="P234" s="9">
        <f>IF(OR(Inputs!$F$8=TRUE,Inputs!$F$8="TRUE",Inputs!$F$8=1),(-2*((1000*((((Inputs!$I$8+(((A234)+1)/2)*(Inputs!$J$8-Inputs!$I$8)))*Inputs!$C$11+((Inputs!$H$8+Inputs!$L$8*(((Inputs!$I$8+(((A234)+1)/2)*(Inputs!$J$8-Inputs!$I$8)))/Inputs!$K$8)^2))*((2*Inputs!$L$8*((Inputs!$I$8+(((A234)+1)/2)*(Inputs!$J$8-Inputs!$I$8)))/(Inputs!$K$8^2)*Inputs!$C$11)))/(SQRT(((Inputs!$I$8+(((A234)+1)/2)*(Inputs!$J$8-Inputs!$I$8)))^2+Inputs!$C$6^2+((Inputs!$H$8+Inputs!$L$8*(((Inputs!$I$8+(((A234)+1)/2)*(Inputs!$J$8-Inputs!$I$8)))/Inputs!$K$8)^2))^2)))))/Inputs!$C$13),NA())</f>
        <v>-3777.4316302319507</v>
      </c>
      <c r="Q234" s="9">
        <f>IF(OR(Inputs!$F$9=TRUE,Inputs!$F$9="TRUE",Inputs!$F$9=1),(-2*((1000*((((Inputs!$I$9+(((A234)+1)/2)*(Inputs!$J$9-Inputs!$I$9)))*Inputs!$C$11+((Inputs!$H$9+Inputs!$L$9*(((Inputs!$I$9+(((A234)+1)/2)*(Inputs!$J$9-Inputs!$I$9)))/Inputs!$K$9)^2))*((2*Inputs!$L$9*((Inputs!$I$9+(((A234)+1)/2)*(Inputs!$J$9-Inputs!$I$9)))/(Inputs!$K$9^2)*Inputs!$C$11)))/(SQRT(((Inputs!$I$9+(((A234)+1)/2)*(Inputs!$J$9-Inputs!$I$9)))^2+Inputs!$C$6^2+((Inputs!$H$9+Inputs!$L$9*(((Inputs!$I$9+(((A234)+1)/2)*(Inputs!$J$9-Inputs!$I$9)))/Inputs!$K$9)^2))^2)))))/Inputs!$C$13),NA())</f>
        <v>-3804.9791238934072</v>
      </c>
      <c r="R234" s="10"/>
      <c r="S234" s="9">
        <f t="shared" si="20"/>
        <v>0.93300000000000005</v>
      </c>
      <c r="T234" s="9">
        <f>(Inputs!$I$6+(((A234)+1)/2)*(Inputs!$J$6-Inputs!$I$6))</f>
        <v>55.980000000000004</v>
      </c>
      <c r="U234" s="9">
        <f>(Inputs!$I$7+(((A234)+1)/2)*(Inputs!$J$7-Inputs!$I$7))</f>
        <v>373.20000000000005</v>
      </c>
      <c r="V234" s="9">
        <f>(Inputs!$I$8+(((A234)+1)/2)*(Inputs!$J$8-Inputs!$I$8))</f>
        <v>746.40000000000009</v>
      </c>
      <c r="W234" s="9">
        <f>(Inputs!$I$9+(((A234)+1)/2)*(Inputs!$J$9-Inputs!$I$9))</f>
        <v>746.40000000000009</v>
      </c>
      <c r="X234" s="10"/>
      <c r="Y234" s="9">
        <f t="shared" si="21"/>
        <v>0.93300000000000005</v>
      </c>
      <c r="Z234" s="9">
        <f>(Inputs!$H$6+Inputs!$L$6*(((Inputs!$I$6+(((A234)+1)/2)*(Inputs!$J$6-Inputs!$I$6)))/Inputs!$K$6)^2)</f>
        <v>403.48195600000003</v>
      </c>
      <c r="AA234" s="9">
        <f>(Inputs!$H$7+Inputs!$L$7*(((Inputs!$I$7+(((A234)+1)/2)*(Inputs!$J$7-Inputs!$I$7)))/Inputs!$K$7)^2)</f>
        <v>352.72848500000009</v>
      </c>
      <c r="AB234" s="9">
        <f>(Inputs!$H$8+Inputs!$L$8*(((Inputs!$I$8+(((A234)+1)/2)*(Inputs!$J$8-Inputs!$I$8)))/Inputs!$K$8)^2)</f>
        <v>875.02188500000022</v>
      </c>
      <c r="AC234" s="9">
        <f>(Inputs!$H$9+Inputs!$L$9*(((Inputs!$I$9+(((A234)+1)/2)*(Inputs!$J$9-Inputs!$I$9)))/Inputs!$K$9)^2)</f>
        <v>873.72677500000032</v>
      </c>
      <c r="AD234" s="10"/>
      <c r="AE234" s="9">
        <f t="shared" si="22"/>
        <v>0.93300000000000005</v>
      </c>
      <c r="AF234" s="9">
        <f>(((SQRT(((Inputs!$I$6+(((A234)+1)/2)*(Inputs!$J$6-Inputs!$I$6)))^2+Inputs!$C$6^2+((Inputs!$H$6+Inputs!$L$6*(((Inputs!$I$6+(((A234)+1)/2)*(Inputs!$J$6-Inputs!$I$6)))/Inputs!$K$6)^2))^2))-((Inputs!$H$6+Inputs!$L$6*(((Inputs!$I$6+(((A234)+1)/2)*(Inputs!$J$6-Inputs!$I$6)))/Inputs!$K$6)^2)))*1000/Inputs!$C$12)</f>
        <v>2601.8673504997391</v>
      </c>
      <c r="AG234" s="9">
        <f>(((SQRT(((Inputs!$I$7+(((A234)+1)/2)*(Inputs!$J$7-Inputs!$I$7)))^2+Inputs!$C$6^2+((Inputs!$H$7+Inputs!$L$7*(((Inputs!$I$7+(((A234)+1)/2)*(Inputs!$J$7-Inputs!$I$7)))/Inputs!$K$7)^2))^2))-((Inputs!$H$7+Inputs!$L$7*(((Inputs!$I$7+(((A234)+1)/2)*(Inputs!$J$7-Inputs!$I$7)))/Inputs!$K$7)^2)))*1000/Inputs!$C$12)</f>
        <v>90670.073261717189</v>
      </c>
      <c r="AH234" s="9">
        <f>(((SQRT(((Inputs!$I$8+(((A234)+1)/2)*(Inputs!$J$8-Inputs!$I$8)))^2+Inputs!$C$6^2+((Inputs!$H$8+Inputs!$L$8*(((Inputs!$I$8+(((A234)+1)/2)*(Inputs!$J$8-Inputs!$I$8)))/Inputs!$K$8)^2))^2))-((Inputs!$H$8+Inputs!$L$8*(((Inputs!$I$8+(((A234)+1)/2)*(Inputs!$J$8-Inputs!$I$8)))/Inputs!$K$8)^2)))*1000/Inputs!$C$12)</f>
        <v>154702.19106824315</v>
      </c>
      <c r="AI234" s="9">
        <f>(((SQRT(((Inputs!$I$9+(((A234)+1)/2)*(Inputs!$J$9-Inputs!$I$9)))^2+Inputs!$C$6^2+((Inputs!$H$9+Inputs!$L$9*(((Inputs!$I$9+(((A234)+1)/2)*(Inputs!$J$9-Inputs!$I$9)))/Inputs!$K$9)^2))^2))-((Inputs!$H$9+Inputs!$L$9*(((Inputs!$I$9+(((A234)+1)/2)*(Inputs!$J$9-Inputs!$I$9)))/Inputs!$K$9)^2)))*1000/Inputs!$C$12)</f>
        <v>154876.52740486668</v>
      </c>
      <c r="AJ234" s="10"/>
      <c r="AK234" s="9">
        <f t="shared" si="23"/>
        <v>0.93300000000000005</v>
      </c>
      <c r="AL234" s="9">
        <f>(-2*((1000*((((Inputs!$I$6+(((A234)+1)/2)*(Inputs!$J$6-Inputs!$I$6)))*Inputs!$C$11+((Inputs!$H$6+Inputs!$L$6*(((Inputs!$I$6+(((A234)+1)/2)*(Inputs!$J$6-Inputs!$I$6)))/Inputs!$K$6)^2))*((2*Inputs!$L$6*((Inputs!$I$6+(((A234)+1)/2)*(Inputs!$J$6-Inputs!$I$6)))/(Inputs!$K$6^2)*Inputs!$C$11)))/(SQRT(((Inputs!$I$6+(((A234)+1)/2)*(Inputs!$J$6-Inputs!$I$6)))^2+Inputs!$C$6^2+((Inputs!$H$6+Inputs!$L$6*(((Inputs!$I$6+(((A234)+1)/2)*(Inputs!$J$6-Inputs!$I$6)))/Inputs!$K$6)^2))^2)))))/Inputs!$C$13)</f>
        <v>-416.24974460662236</v>
      </c>
      <c r="AM234" s="9">
        <f>(-2*((1000*((((Inputs!$I$7+(((A234)+1)/2)*(Inputs!$J$7-Inputs!$I$7)))*Inputs!$C$11+((Inputs!$H$7+Inputs!$L$7*(((Inputs!$I$7+(((A234)+1)/2)*(Inputs!$J$7-Inputs!$I$7)))/Inputs!$K$7)^2))*((2*Inputs!$L$7*((Inputs!$I$7+(((A234)+1)/2)*(Inputs!$J$7-Inputs!$I$7)))/(Inputs!$K$7^2)*Inputs!$C$11)))/(SQRT(((Inputs!$I$7+(((A234)+1)/2)*(Inputs!$J$7-Inputs!$I$7)))^2+Inputs!$C$6^2+((Inputs!$H$7+Inputs!$L$7*(((Inputs!$I$7+(((A234)+1)/2)*(Inputs!$J$7-Inputs!$I$7)))/Inputs!$K$7)^2))^2)))))/Inputs!$C$13)</f>
        <v>-3030.5681397812464</v>
      </c>
      <c r="AN234" s="9">
        <f>(-2*((1000*((((Inputs!$I$8+(((A234)+1)/2)*(Inputs!$J$8-Inputs!$I$8)))*Inputs!$C$11+((Inputs!$H$8+Inputs!$L$8*(((Inputs!$I$8+(((A234)+1)/2)*(Inputs!$J$8-Inputs!$I$8)))/Inputs!$K$8)^2))*((2*Inputs!$L$8*((Inputs!$I$8+(((A234)+1)/2)*(Inputs!$J$8-Inputs!$I$8)))/(Inputs!$K$8^2)*Inputs!$C$11)))/(SQRT(((Inputs!$I$8+(((A234)+1)/2)*(Inputs!$J$8-Inputs!$I$8)))^2+Inputs!$C$6^2+((Inputs!$H$8+Inputs!$L$8*(((Inputs!$I$8+(((A234)+1)/2)*(Inputs!$J$8-Inputs!$I$8)))/Inputs!$K$8)^2))^2)))))/Inputs!$C$13)</f>
        <v>-3777.4316302319507</v>
      </c>
      <c r="AO234" s="9">
        <f>(-2*((1000*((((Inputs!$I$9+(((A234)+1)/2)*(Inputs!$J$9-Inputs!$I$9)))*Inputs!$C$11+((Inputs!$H$9+Inputs!$L$9*(((Inputs!$I$9+(((A234)+1)/2)*(Inputs!$J$9-Inputs!$I$9)))/Inputs!$K$9)^2))*((2*Inputs!$L$9*((Inputs!$I$9+(((A234)+1)/2)*(Inputs!$J$9-Inputs!$I$9)))/(Inputs!$K$9^2)*Inputs!$C$11)))/(SQRT(((Inputs!$I$9+(((A234)+1)/2)*(Inputs!$J$9-Inputs!$I$9)))^2+Inputs!$C$6^2+((Inputs!$H$9+Inputs!$L$9*(((Inputs!$I$9+(((A234)+1)/2)*(Inputs!$J$9-Inputs!$I$9)))/Inputs!$K$9)^2))^2)))))/Inputs!$C$13)</f>
        <v>-3804.9791238934072</v>
      </c>
    </row>
    <row r="235" spans="1:41">
      <c r="A235" s="9">
        <f>ROUND(-1+233*2/240,3)</f>
        <v>0.94199999999999995</v>
      </c>
      <c r="B235" s="9">
        <f>IF(OR(Inputs!$F$6=TRUE,Inputs!$F$6="TRUE",Inputs!$F$6=1),(Inputs!$H$6+Inputs!$L$6*(((Inputs!$I$6+(((A235)+1)/2)*(Inputs!$J$6-Inputs!$I$6)))/Inputs!$K$6)^2),NA())</f>
        <v>403.54945600000002</v>
      </c>
      <c r="C235" s="9">
        <f>IF(OR(Inputs!$F$7=TRUE,Inputs!$F$7="TRUE",Inputs!$F$7=1),(Inputs!$H$7+Inputs!$L$7*(((Inputs!$I$7+(((A235)+1)/2)*(Inputs!$J$7-Inputs!$I$7)))/Inputs!$K$7)^2),NA())</f>
        <v>358.88785999999988</v>
      </c>
      <c r="D235" s="9">
        <f>IF(OR(Inputs!$F$8=TRUE,Inputs!$F$8="TRUE",Inputs!$F$8=1),(Inputs!$H$8+Inputs!$L$8*(((Inputs!$I$8+(((A235)+1)/2)*(Inputs!$J$8-Inputs!$I$8)))/Inputs!$K$8)^2),NA())</f>
        <v>891.30625999999972</v>
      </c>
      <c r="E235" s="9">
        <f>IF(OR(Inputs!$F$9=TRUE,Inputs!$F$9="TRUE",Inputs!$F$9=1),(Inputs!$H$9+Inputs!$L$9*(((Inputs!$I$9+(((A235)+1)/2)*(Inputs!$J$9-Inputs!$I$9)))/Inputs!$K$9)^2),NA())</f>
        <v>890.17989999999975</v>
      </c>
      <c r="F235" s="10"/>
      <c r="G235" s="9">
        <f t="shared" si="18"/>
        <v>0.94199999999999995</v>
      </c>
      <c r="H235" s="9">
        <f>IF(OR(Inputs!$F$6=TRUE,Inputs!$F$6="TRUE",Inputs!$F$6=1),(((SQRT(((Inputs!$I$6+(((A235)+1)/2)*(Inputs!$J$6-Inputs!$I$6)))^2+Inputs!$C$6^2+((Inputs!$H$6+Inputs!$L$6*(((Inputs!$I$6+(((A235)+1)/2)*(Inputs!$J$6-Inputs!$I$6)))/Inputs!$K$6)^2))^2))-((Inputs!$H$6+Inputs!$L$6*(((Inputs!$I$6+(((A235)+1)/2)*(Inputs!$J$6-Inputs!$I$6)))/Inputs!$K$6)^2)))*1000/Inputs!$C$12),NA())</f>
        <v>2643.2398455545776</v>
      </c>
      <c r="I235" s="9">
        <f>IF(OR(Inputs!$F$7=TRUE,Inputs!$F$7="TRUE",Inputs!$F$7=1),(((SQRT(((Inputs!$I$7+(((A235)+1)/2)*(Inputs!$J$7-Inputs!$I$7)))^2+Inputs!$C$6^2+((Inputs!$H$7+Inputs!$L$7*(((Inputs!$I$7+(((A235)+1)/2)*(Inputs!$J$7-Inputs!$I$7)))/Inputs!$K$7)^2))^2))-((Inputs!$H$7+Inputs!$L$7*(((Inputs!$I$7+(((A235)+1)/2)*(Inputs!$J$7-Inputs!$I$7)))/Inputs!$K$7)^2)))*1000/Inputs!$C$12),NA())</f>
        <v>91054.144286255498</v>
      </c>
      <c r="J235" s="9">
        <f>IF(OR(Inputs!$F$8=TRUE,Inputs!$F$8="TRUE",Inputs!$F$8=1),(((SQRT(((Inputs!$I$8+(((A235)+1)/2)*(Inputs!$J$8-Inputs!$I$8)))^2+Inputs!$C$6^2+((Inputs!$H$8+Inputs!$L$8*(((Inputs!$I$8+(((A235)+1)/2)*(Inputs!$J$8-Inputs!$I$8)))/Inputs!$K$8)^2))^2))-((Inputs!$H$8+Inputs!$L$8*(((Inputs!$I$8+(((A235)+1)/2)*(Inputs!$J$8-Inputs!$I$8)))/Inputs!$K$8)^2)))*1000/Inputs!$C$12),NA())</f>
        <v>155143.02155319718</v>
      </c>
      <c r="K235" s="9">
        <f>IF(OR(Inputs!$F$9=TRUE,Inputs!$F$9="TRUE",Inputs!$F$9=1),(((SQRT(((Inputs!$I$9+(((A235)+1)/2)*(Inputs!$J$9-Inputs!$I$9)))^2+Inputs!$C$6^2+((Inputs!$H$9+Inputs!$L$9*(((Inputs!$I$9+(((A235)+1)/2)*(Inputs!$J$9-Inputs!$I$9)))/Inputs!$K$9)^2))^2))-((Inputs!$H$9+Inputs!$L$9*(((Inputs!$I$9+(((A235)+1)/2)*(Inputs!$J$9-Inputs!$I$9)))/Inputs!$K$9)^2)))*1000/Inputs!$C$12),NA())</f>
        <v>155292.83013990428</v>
      </c>
      <c r="L235" s="10"/>
      <c r="M235" s="9">
        <f t="shared" si="19"/>
        <v>0.94199999999999995</v>
      </c>
      <c r="N235" s="9">
        <f>IF(OR(Inputs!$F$6=TRUE,Inputs!$F$6="TRUE",Inputs!$F$6=1),(-2*((1000*((((Inputs!$I$6+(((A235)+1)/2)*(Inputs!$J$6-Inputs!$I$6)))*Inputs!$C$11+((Inputs!$H$6+Inputs!$L$6*(((Inputs!$I$6+(((A235)+1)/2)*(Inputs!$J$6-Inputs!$I$6)))/Inputs!$K$6)^2))*((2*Inputs!$L$6*((Inputs!$I$6+(((A235)+1)/2)*(Inputs!$J$6-Inputs!$I$6)))/(Inputs!$K$6^2)*Inputs!$C$11)))/(SQRT(((Inputs!$I$6+(((A235)+1)/2)*(Inputs!$J$6-Inputs!$I$6)))^2+Inputs!$C$6^2+((Inputs!$H$6+Inputs!$L$6*(((Inputs!$I$6+(((A235)+1)/2)*(Inputs!$J$6-Inputs!$I$6)))/Inputs!$K$6)^2))^2)))))/Inputs!$C$13),NA())</f>
        <v>-420.15294641213188</v>
      </c>
      <c r="O235" s="9">
        <f>IF(OR(Inputs!$F$7=TRUE,Inputs!$F$7="TRUE",Inputs!$F$7=1),(-2*((1000*((((Inputs!$I$7+(((A235)+1)/2)*(Inputs!$J$7-Inputs!$I$7)))*Inputs!$C$11+((Inputs!$H$7+Inputs!$L$7*(((Inputs!$I$7+(((A235)+1)/2)*(Inputs!$J$7-Inputs!$I$7)))/Inputs!$K$7)^2))*((2*Inputs!$L$7*((Inputs!$I$7+(((A235)+1)/2)*(Inputs!$J$7-Inputs!$I$7)))/(Inputs!$K$7^2)*Inputs!$C$11)))/(SQRT(((Inputs!$I$7+(((A235)+1)/2)*(Inputs!$J$7-Inputs!$I$7)))^2+Inputs!$C$6^2+((Inputs!$H$7+Inputs!$L$7*(((Inputs!$I$7+(((A235)+1)/2)*(Inputs!$J$7-Inputs!$I$7)))/Inputs!$K$7)^2))^2)))))/Inputs!$C$13),NA())</f>
        <v>-3052.1313956349022</v>
      </c>
      <c r="P235" s="9">
        <f>IF(OR(Inputs!$F$8=TRUE,Inputs!$F$8="TRUE",Inputs!$F$8=1),(-2*((1000*((((Inputs!$I$8+(((A235)+1)/2)*(Inputs!$J$8-Inputs!$I$8)))*Inputs!$C$11+((Inputs!$H$8+Inputs!$L$8*(((Inputs!$I$8+(((A235)+1)/2)*(Inputs!$J$8-Inputs!$I$8)))/Inputs!$K$8)^2))*((2*Inputs!$L$8*((Inputs!$I$8+(((A235)+1)/2)*(Inputs!$J$8-Inputs!$I$8)))/(Inputs!$K$8^2)*Inputs!$C$11)))/(SQRT(((Inputs!$I$8+(((A235)+1)/2)*(Inputs!$J$8-Inputs!$I$8)))^2+Inputs!$C$6^2+((Inputs!$H$8+Inputs!$L$8*(((Inputs!$I$8+(((A235)+1)/2)*(Inputs!$J$8-Inputs!$I$8)))/Inputs!$K$8)^2))^2)))))/Inputs!$C$13),NA())</f>
        <v>-3808.8271331994392</v>
      </c>
      <c r="Q235" s="9">
        <f>IF(OR(Inputs!$F$9=TRUE,Inputs!$F$9="TRUE",Inputs!$F$9=1),(-2*((1000*((((Inputs!$I$9+(((A235)+1)/2)*(Inputs!$J$9-Inputs!$I$9)))*Inputs!$C$11+((Inputs!$H$9+Inputs!$L$9*(((Inputs!$I$9+(((A235)+1)/2)*(Inputs!$J$9-Inputs!$I$9)))/Inputs!$K$9)^2))*((2*Inputs!$L$9*((Inputs!$I$9+(((A235)+1)/2)*(Inputs!$J$9-Inputs!$I$9)))/(Inputs!$K$9^2)*Inputs!$C$11)))/(SQRT(((Inputs!$I$9+(((A235)+1)/2)*(Inputs!$J$9-Inputs!$I$9)))^2+Inputs!$C$6^2+((Inputs!$H$9+Inputs!$L$9*(((Inputs!$I$9+(((A235)+1)/2)*(Inputs!$J$9-Inputs!$I$9)))/Inputs!$K$9)^2))^2)))))/Inputs!$C$13),NA())</f>
        <v>-3836.8751513823991</v>
      </c>
      <c r="R235" s="10"/>
      <c r="S235" s="9">
        <f t="shared" si="20"/>
        <v>0.94199999999999995</v>
      </c>
      <c r="T235" s="9">
        <f>(Inputs!$I$6+(((A235)+1)/2)*(Inputs!$J$6-Inputs!$I$6))</f>
        <v>56.519999999999996</v>
      </c>
      <c r="U235" s="9">
        <f>(Inputs!$I$7+(((A235)+1)/2)*(Inputs!$J$7-Inputs!$I$7))</f>
        <v>376.79999999999995</v>
      </c>
      <c r="V235" s="9">
        <f>(Inputs!$I$8+(((A235)+1)/2)*(Inputs!$J$8-Inputs!$I$8))</f>
        <v>753.59999999999991</v>
      </c>
      <c r="W235" s="9">
        <f>(Inputs!$I$9+(((A235)+1)/2)*(Inputs!$J$9-Inputs!$I$9))</f>
        <v>753.59999999999991</v>
      </c>
      <c r="X235" s="10"/>
      <c r="Y235" s="9">
        <f t="shared" si="21"/>
        <v>0.94199999999999995</v>
      </c>
      <c r="Z235" s="9">
        <f>(Inputs!$H$6+Inputs!$L$6*(((Inputs!$I$6+(((A235)+1)/2)*(Inputs!$J$6-Inputs!$I$6)))/Inputs!$K$6)^2)</f>
        <v>403.54945600000002</v>
      </c>
      <c r="AA235" s="9">
        <f>(Inputs!$H$7+Inputs!$L$7*(((Inputs!$I$7+(((A235)+1)/2)*(Inputs!$J$7-Inputs!$I$7)))/Inputs!$K$7)^2)</f>
        <v>358.88785999999988</v>
      </c>
      <c r="AB235" s="9">
        <f>(Inputs!$H$8+Inputs!$L$8*(((Inputs!$I$8+(((A235)+1)/2)*(Inputs!$J$8-Inputs!$I$8)))/Inputs!$K$8)^2)</f>
        <v>891.30625999999972</v>
      </c>
      <c r="AC235" s="9">
        <f>(Inputs!$H$9+Inputs!$L$9*(((Inputs!$I$9+(((A235)+1)/2)*(Inputs!$J$9-Inputs!$I$9)))/Inputs!$K$9)^2)</f>
        <v>890.17989999999975</v>
      </c>
      <c r="AD235" s="10"/>
      <c r="AE235" s="9">
        <f t="shared" si="22"/>
        <v>0.94199999999999995</v>
      </c>
      <c r="AF235" s="9">
        <f>(((SQRT(((Inputs!$I$6+(((A235)+1)/2)*(Inputs!$J$6-Inputs!$I$6)))^2+Inputs!$C$6^2+((Inputs!$H$6+Inputs!$L$6*(((Inputs!$I$6+(((A235)+1)/2)*(Inputs!$J$6-Inputs!$I$6)))/Inputs!$K$6)^2))^2))-((Inputs!$H$6+Inputs!$L$6*(((Inputs!$I$6+(((A235)+1)/2)*(Inputs!$J$6-Inputs!$I$6)))/Inputs!$K$6)^2)))*1000/Inputs!$C$12)</f>
        <v>2643.2398455545776</v>
      </c>
      <c r="AG235" s="9">
        <f>(((SQRT(((Inputs!$I$7+(((A235)+1)/2)*(Inputs!$J$7-Inputs!$I$7)))^2+Inputs!$C$6^2+((Inputs!$H$7+Inputs!$L$7*(((Inputs!$I$7+(((A235)+1)/2)*(Inputs!$J$7-Inputs!$I$7)))/Inputs!$K$7)^2))^2))-((Inputs!$H$7+Inputs!$L$7*(((Inputs!$I$7+(((A235)+1)/2)*(Inputs!$J$7-Inputs!$I$7)))/Inputs!$K$7)^2)))*1000/Inputs!$C$12)</f>
        <v>91054.144286255498</v>
      </c>
      <c r="AH235" s="9">
        <f>(((SQRT(((Inputs!$I$8+(((A235)+1)/2)*(Inputs!$J$8-Inputs!$I$8)))^2+Inputs!$C$6^2+((Inputs!$H$8+Inputs!$L$8*(((Inputs!$I$8+(((A235)+1)/2)*(Inputs!$J$8-Inputs!$I$8)))/Inputs!$K$8)^2))^2))-((Inputs!$H$8+Inputs!$L$8*(((Inputs!$I$8+(((A235)+1)/2)*(Inputs!$J$8-Inputs!$I$8)))/Inputs!$K$8)^2)))*1000/Inputs!$C$12)</f>
        <v>155143.02155319718</v>
      </c>
      <c r="AI235" s="9">
        <f>(((SQRT(((Inputs!$I$9+(((A235)+1)/2)*(Inputs!$J$9-Inputs!$I$9)))^2+Inputs!$C$6^2+((Inputs!$H$9+Inputs!$L$9*(((Inputs!$I$9+(((A235)+1)/2)*(Inputs!$J$9-Inputs!$I$9)))/Inputs!$K$9)^2))^2))-((Inputs!$H$9+Inputs!$L$9*(((Inputs!$I$9+(((A235)+1)/2)*(Inputs!$J$9-Inputs!$I$9)))/Inputs!$K$9)^2)))*1000/Inputs!$C$12)</f>
        <v>155292.83013990428</v>
      </c>
      <c r="AJ235" s="10"/>
      <c r="AK235" s="9">
        <f t="shared" si="23"/>
        <v>0.94199999999999995</v>
      </c>
      <c r="AL235" s="9">
        <f>(-2*((1000*((((Inputs!$I$6+(((A235)+1)/2)*(Inputs!$J$6-Inputs!$I$6)))*Inputs!$C$11+((Inputs!$H$6+Inputs!$L$6*(((Inputs!$I$6+(((A235)+1)/2)*(Inputs!$J$6-Inputs!$I$6)))/Inputs!$K$6)^2))*((2*Inputs!$L$6*((Inputs!$I$6+(((A235)+1)/2)*(Inputs!$J$6-Inputs!$I$6)))/(Inputs!$K$6^2)*Inputs!$C$11)))/(SQRT(((Inputs!$I$6+(((A235)+1)/2)*(Inputs!$J$6-Inputs!$I$6)))^2+Inputs!$C$6^2+((Inputs!$H$6+Inputs!$L$6*(((Inputs!$I$6+(((A235)+1)/2)*(Inputs!$J$6-Inputs!$I$6)))/Inputs!$K$6)^2))^2)))))/Inputs!$C$13)</f>
        <v>-420.15294641213188</v>
      </c>
      <c r="AM235" s="9">
        <f>(-2*((1000*((((Inputs!$I$7+(((A235)+1)/2)*(Inputs!$J$7-Inputs!$I$7)))*Inputs!$C$11+((Inputs!$H$7+Inputs!$L$7*(((Inputs!$I$7+(((A235)+1)/2)*(Inputs!$J$7-Inputs!$I$7)))/Inputs!$K$7)^2))*((2*Inputs!$L$7*((Inputs!$I$7+(((A235)+1)/2)*(Inputs!$J$7-Inputs!$I$7)))/(Inputs!$K$7^2)*Inputs!$C$11)))/(SQRT(((Inputs!$I$7+(((A235)+1)/2)*(Inputs!$J$7-Inputs!$I$7)))^2+Inputs!$C$6^2+((Inputs!$H$7+Inputs!$L$7*(((Inputs!$I$7+(((A235)+1)/2)*(Inputs!$J$7-Inputs!$I$7)))/Inputs!$K$7)^2))^2)))))/Inputs!$C$13)</f>
        <v>-3052.1313956349022</v>
      </c>
      <c r="AN235" s="9">
        <f>(-2*((1000*((((Inputs!$I$8+(((A235)+1)/2)*(Inputs!$J$8-Inputs!$I$8)))*Inputs!$C$11+((Inputs!$H$8+Inputs!$L$8*(((Inputs!$I$8+(((A235)+1)/2)*(Inputs!$J$8-Inputs!$I$8)))/Inputs!$K$8)^2))*((2*Inputs!$L$8*((Inputs!$I$8+(((A235)+1)/2)*(Inputs!$J$8-Inputs!$I$8)))/(Inputs!$K$8^2)*Inputs!$C$11)))/(SQRT(((Inputs!$I$8+(((A235)+1)/2)*(Inputs!$J$8-Inputs!$I$8)))^2+Inputs!$C$6^2+((Inputs!$H$8+Inputs!$L$8*(((Inputs!$I$8+(((A235)+1)/2)*(Inputs!$J$8-Inputs!$I$8)))/Inputs!$K$8)^2))^2)))))/Inputs!$C$13)</f>
        <v>-3808.8271331994392</v>
      </c>
      <c r="AO235" s="9">
        <f>(-2*((1000*((((Inputs!$I$9+(((A235)+1)/2)*(Inputs!$J$9-Inputs!$I$9)))*Inputs!$C$11+((Inputs!$H$9+Inputs!$L$9*(((Inputs!$I$9+(((A235)+1)/2)*(Inputs!$J$9-Inputs!$I$9)))/Inputs!$K$9)^2))*((2*Inputs!$L$9*((Inputs!$I$9+(((A235)+1)/2)*(Inputs!$J$9-Inputs!$I$9)))/(Inputs!$K$9^2)*Inputs!$C$11)))/(SQRT(((Inputs!$I$9+(((A235)+1)/2)*(Inputs!$J$9-Inputs!$I$9)))^2+Inputs!$C$6^2+((Inputs!$H$9+Inputs!$L$9*(((Inputs!$I$9+(((A235)+1)/2)*(Inputs!$J$9-Inputs!$I$9)))/Inputs!$K$9)^2))^2)))))/Inputs!$C$13)</f>
        <v>-3836.8751513823991</v>
      </c>
    </row>
    <row r="236" spans="1:41">
      <c r="A236" s="9">
        <f>ROUND(-1+234*2/240,3)</f>
        <v>0.95</v>
      </c>
      <c r="B236" s="9">
        <f>IF(OR(Inputs!$F$6=TRUE,Inputs!$F$6="TRUE",Inputs!$F$6=1),(Inputs!$H$6+Inputs!$L$6*(((Inputs!$I$6+(((A236)+1)/2)*(Inputs!$J$6-Inputs!$I$6)))/Inputs!$K$6)^2),NA())</f>
        <v>403.61</v>
      </c>
      <c r="C236" s="9">
        <f>IF(OR(Inputs!$F$7=TRUE,Inputs!$F$7="TRUE",Inputs!$F$7=1),(Inputs!$H$7+Inputs!$L$7*(((Inputs!$I$7+(((A236)+1)/2)*(Inputs!$J$7-Inputs!$I$7)))/Inputs!$K$7)^2),NA())</f>
        <v>364.41249999999997</v>
      </c>
      <c r="D236" s="9">
        <f>IF(OR(Inputs!$F$8=TRUE,Inputs!$F$8="TRUE",Inputs!$F$8=1),(Inputs!$H$8+Inputs!$L$8*(((Inputs!$I$8+(((A236)+1)/2)*(Inputs!$J$8-Inputs!$I$8)))/Inputs!$K$8)^2),NA())</f>
        <v>905.91250000000002</v>
      </c>
      <c r="E236" s="9">
        <f>IF(OR(Inputs!$F$9=TRUE,Inputs!$F$9="TRUE",Inputs!$F$9=1),(Inputs!$H$9+Inputs!$L$9*(((Inputs!$I$9+(((A236)+1)/2)*(Inputs!$J$9-Inputs!$I$9)))/Inputs!$K$9)^2),NA())</f>
        <v>904.9375</v>
      </c>
      <c r="F236" s="10"/>
      <c r="G236" s="9">
        <f t="shared" si="18"/>
        <v>0.95</v>
      </c>
      <c r="H236" s="9">
        <f>IF(OR(Inputs!$F$6=TRUE,Inputs!$F$6="TRUE",Inputs!$F$6=1),(((SQRT(((Inputs!$I$6+(((A236)+1)/2)*(Inputs!$J$6-Inputs!$I$6)))^2+Inputs!$C$6^2+((Inputs!$H$6+Inputs!$L$6*(((Inputs!$I$6+(((A236)+1)/2)*(Inputs!$J$6-Inputs!$I$6)))/Inputs!$K$6)^2))^2))-((Inputs!$H$6+Inputs!$L$6*(((Inputs!$I$6+(((A236)+1)/2)*(Inputs!$J$6-Inputs!$I$6)))/Inputs!$K$6)^2)))*1000/Inputs!$C$12),NA())</f>
        <v>2680.3308461757451</v>
      </c>
      <c r="I236" s="9">
        <f>IF(OR(Inputs!$F$7=TRUE,Inputs!$F$7="TRUE",Inputs!$F$7=1),(((SQRT(((Inputs!$I$7+(((A236)+1)/2)*(Inputs!$J$7-Inputs!$I$7)))^2+Inputs!$C$6^2+((Inputs!$H$7+Inputs!$L$7*(((Inputs!$I$7+(((A236)+1)/2)*(Inputs!$J$7-Inputs!$I$7)))/Inputs!$K$7)^2))^2))-((Inputs!$H$7+Inputs!$L$7*(((Inputs!$I$7+(((A236)+1)/2)*(Inputs!$J$7-Inputs!$I$7)))/Inputs!$K$7)^2)))*1000/Inputs!$C$12),NA())</f>
        <v>91390.576008209857</v>
      </c>
      <c r="J236" s="9">
        <f>IF(OR(Inputs!$F$8=TRUE,Inputs!$F$8="TRUE",Inputs!$F$8=1),(((SQRT(((Inputs!$I$8+(((A236)+1)/2)*(Inputs!$J$8-Inputs!$I$8)))^2+Inputs!$C$6^2+((Inputs!$H$8+Inputs!$L$8*(((Inputs!$I$8+(((A236)+1)/2)*(Inputs!$J$8-Inputs!$I$8)))/Inputs!$K$8)^2))^2))-((Inputs!$H$8+Inputs!$L$8*(((Inputs!$I$8+(((A236)+1)/2)*(Inputs!$J$8-Inputs!$I$8)))/Inputs!$K$8)^2)))*1000/Inputs!$C$12),NA())</f>
        <v>155527.84797426665</v>
      </c>
      <c r="K236" s="9">
        <f>IF(OR(Inputs!$F$9=TRUE,Inputs!$F$9="TRUE",Inputs!$F$9=1),(((SQRT(((Inputs!$I$9+(((A236)+1)/2)*(Inputs!$J$9-Inputs!$I$9)))^2+Inputs!$C$6^2+((Inputs!$H$9+Inputs!$L$9*(((Inputs!$I$9+(((A236)+1)/2)*(Inputs!$J$9-Inputs!$I$9)))/Inputs!$K$9)^2))^2))-((Inputs!$H$9+Inputs!$L$9*(((Inputs!$I$9+(((A236)+1)/2)*(Inputs!$J$9-Inputs!$I$9)))/Inputs!$K$9)^2)))*1000/Inputs!$C$12),NA())</f>
        <v>155656.15051535444</v>
      </c>
      <c r="L236" s="10"/>
      <c r="M236" s="9">
        <f t="shared" si="19"/>
        <v>0.95</v>
      </c>
      <c r="N236" s="9">
        <f>IF(OR(Inputs!$F$6=TRUE,Inputs!$F$6="TRUE",Inputs!$F$6=1),(-2*((1000*((((Inputs!$I$6+(((A236)+1)/2)*(Inputs!$J$6-Inputs!$I$6)))*Inputs!$C$11+((Inputs!$H$6+Inputs!$L$6*(((Inputs!$I$6+(((A236)+1)/2)*(Inputs!$J$6-Inputs!$I$6)))/Inputs!$K$6)^2))*((2*Inputs!$L$6*((Inputs!$I$6+(((A236)+1)/2)*(Inputs!$J$6-Inputs!$I$6)))/(Inputs!$K$6^2)*Inputs!$C$11)))/(SQRT(((Inputs!$I$6+(((A236)+1)/2)*(Inputs!$J$6-Inputs!$I$6)))^2+Inputs!$C$6^2+((Inputs!$H$6+Inputs!$L$6*(((Inputs!$I$6+(((A236)+1)/2)*(Inputs!$J$6-Inputs!$I$6)))/Inputs!$K$6)^2))^2)))))/Inputs!$C$13),NA())</f>
        <v>-423.61985017150721</v>
      </c>
      <c r="O236" s="9">
        <f>IF(OR(Inputs!$F$7=TRUE,Inputs!$F$7="TRUE",Inputs!$F$7=1),(-2*((1000*((((Inputs!$I$7+(((A236)+1)/2)*(Inputs!$J$7-Inputs!$I$7)))*Inputs!$C$11+((Inputs!$H$7+Inputs!$L$7*(((Inputs!$I$7+(((A236)+1)/2)*(Inputs!$J$7-Inputs!$I$7)))/Inputs!$K$7)^2))*((2*Inputs!$L$7*((Inputs!$I$7+(((A236)+1)/2)*(Inputs!$J$7-Inputs!$I$7)))/(Inputs!$K$7^2)*Inputs!$C$11)))/(SQRT(((Inputs!$I$7+(((A236)+1)/2)*(Inputs!$J$7-Inputs!$I$7)))^2+Inputs!$C$6^2+((Inputs!$H$7+Inputs!$L$7*(((Inputs!$I$7+(((A236)+1)/2)*(Inputs!$J$7-Inputs!$I$7)))/Inputs!$K$7)^2))^2)))))/Inputs!$C$13),NA())</f>
        <v>-3071.3678147126902</v>
      </c>
      <c r="P236" s="9">
        <f>IF(OR(Inputs!$F$8=TRUE,Inputs!$F$8="TRUE",Inputs!$F$8=1),(-2*((1000*((((Inputs!$I$8+(((A236)+1)/2)*(Inputs!$J$8-Inputs!$I$8)))*Inputs!$C$11+((Inputs!$H$8+Inputs!$L$8*(((Inputs!$I$8+(((A236)+1)/2)*(Inputs!$J$8-Inputs!$I$8)))/Inputs!$K$8)^2))*((2*Inputs!$L$8*((Inputs!$I$8+(((A236)+1)/2)*(Inputs!$J$8-Inputs!$I$8)))/(Inputs!$K$8^2)*Inputs!$C$11)))/(SQRT(((Inputs!$I$8+(((A236)+1)/2)*(Inputs!$J$8-Inputs!$I$8)))^2+Inputs!$C$6^2+((Inputs!$H$8+Inputs!$L$8*(((Inputs!$I$8+(((A236)+1)/2)*(Inputs!$J$8-Inputs!$I$8)))/Inputs!$K$8)^2))^2)))))/Inputs!$C$13),NA())</f>
        <v>-3836.7983070402515</v>
      </c>
      <c r="Q236" s="9">
        <f>IF(OR(Inputs!$F$9=TRUE,Inputs!$F$9="TRUE",Inputs!$F$9=1),(-2*((1000*((((Inputs!$I$9+(((A236)+1)/2)*(Inputs!$J$9-Inputs!$I$9)))*Inputs!$C$11+((Inputs!$H$9+Inputs!$L$9*(((Inputs!$I$9+(((A236)+1)/2)*(Inputs!$J$9-Inputs!$I$9)))/Inputs!$K$9)^2))*((2*Inputs!$L$9*((Inputs!$I$9+(((A236)+1)/2)*(Inputs!$J$9-Inputs!$I$9)))/(Inputs!$K$9^2)*Inputs!$C$11)))/(SQRT(((Inputs!$I$9+(((A236)+1)/2)*(Inputs!$J$9-Inputs!$I$9)))^2+Inputs!$C$6^2+((Inputs!$H$9+Inputs!$L$9*(((Inputs!$I$9+(((A236)+1)/2)*(Inputs!$J$9-Inputs!$I$9)))/Inputs!$K$9)^2))^2)))))/Inputs!$C$13),NA())</f>
        <v>-3865.2896613548774</v>
      </c>
      <c r="R236" s="10"/>
      <c r="S236" s="9">
        <f t="shared" si="20"/>
        <v>0.95</v>
      </c>
      <c r="T236" s="9">
        <f>(Inputs!$I$6+(((A236)+1)/2)*(Inputs!$J$6-Inputs!$I$6))</f>
        <v>57</v>
      </c>
      <c r="U236" s="9">
        <f>(Inputs!$I$7+(((A236)+1)/2)*(Inputs!$J$7-Inputs!$I$7))</f>
        <v>380</v>
      </c>
      <c r="V236" s="9">
        <f>(Inputs!$I$8+(((A236)+1)/2)*(Inputs!$J$8-Inputs!$I$8))</f>
        <v>760</v>
      </c>
      <c r="W236" s="9">
        <f>(Inputs!$I$9+(((A236)+1)/2)*(Inputs!$J$9-Inputs!$I$9))</f>
        <v>760</v>
      </c>
      <c r="X236" s="10"/>
      <c r="Y236" s="9">
        <f t="shared" si="21"/>
        <v>0.95</v>
      </c>
      <c r="Z236" s="9">
        <f>(Inputs!$H$6+Inputs!$L$6*(((Inputs!$I$6+(((A236)+1)/2)*(Inputs!$J$6-Inputs!$I$6)))/Inputs!$K$6)^2)</f>
        <v>403.61</v>
      </c>
      <c r="AA236" s="9">
        <f>(Inputs!$H$7+Inputs!$L$7*(((Inputs!$I$7+(((A236)+1)/2)*(Inputs!$J$7-Inputs!$I$7)))/Inputs!$K$7)^2)</f>
        <v>364.41249999999997</v>
      </c>
      <c r="AB236" s="9">
        <f>(Inputs!$H$8+Inputs!$L$8*(((Inputs!$I$8+(((A236)+1)/2)*(Inputs!$J$8-Inputs!$I$8)))/Inputs!$K$8)^2)</f>
        <v>905.91250000000002</v>
      </c>
      <c r="AC236" s="9">
        <f>(Inputs!$H$9+Inputs!$L$9*(((Inputs!$I$9+(((A236)+1)/2)*(Inputs!$J$9-Inputs!$I$9)))/Inputs!$K$9)^2)</f>
        <v>904.9375</v>
      </c>
      <c r="AD236" s="10"/>
      <c r="AE236" s="9">
        <f t="shared" si="22"/>
        <v>0.95</v>
      </c>
      <c r="AF236" s="9">
        <f>(((SQRT(((Inputs!$I$6+(((A236)+1)/2)*(Inputs!$J$6-Inputs!$I$6)))^2+Inputs!$C$6^2+((Inputs!$H$6+Inputs!$L$6*(((Inputs!$I$6+(((A236)+1)/2)*(Inputs!$J$6-Inputs!$I$6)))/Inputs!$K$6)^2))^2))-((Inputs!$H$6+Inputs!$L$6*(((Inputs!$I$6+(((A236)+1)/2)*(Inputs!$J$6-Inputs!$I$6)))/Inputs!$K$6)^2)))*1000/Inputs!$C$12)</f>
        <v>2680.3308461757451</v>
      </c>
      <c r="AG236" s="9">
        <f>(((SQRT(((Inputs!$I$7+(((A236)+1)/2)*(Inputs!$J$7-Inputs!$I$7)))^2+Inputs!$C$6^2+((Inputs!$H$7+Inputs!$L$7*(((Inputs!$I$7+(((A236)+1)/2)*(Inputs!$J$7-Inputs!$I$7)))/Inputs!$K$7)^2))^2))-((Inputs!$H$7+Inputs!$L$7*(((Inputs!$I$7+(((A236)+1)/2)*(Inputs!$J$7-Inputs!$I$7)))/Inputs!$K$7)^2)))*1000/Inputs!$C$12)</f>
        <v>91390.576008209857</v>
      </c>
      <c r="AH236" s="9">
        <f>(((SQRT(((Inputs!$I$8+(((A236)+1)/2)*(Inputs!$J$8-Inputs!$I$8)))^2+Inputs!$C$6^2+((Inputs!$H$8+Inputs!$L$8*(((Inputs!$I$8+(((A236)+1)/2)*(Inputs!$J$8-Inputs!$I$8)))/Inputs!$K$8)^2))^2))-((Inputs!$H$8+Inputs!$L$8*(((Inputs!$I$8+(((A236)+1)/2)*(Inputs!$J$8-Inputs!$I$8)))/Inputs!$K$8)^2)))*1000/Inputs!$C$12)</f>
        <v>155527.84797426665</v>
      </c>
      <c r="AI236" s="9">
        <f>(((SQRT(((Inputs!$I$9+(((A236)+1)/2)*(Inputs!$J$9-Inputs!$I$9)))^2+Inputs!$C$6^2+((Inputs!$H$9+Inputs!$L$9*(((Inputs!$I$9+(((A236)+1)/2)*(Inputs!$J$9-Inputs!$I$9)))/Inputs!$K$9)^2))^2))-((Inputs!$H$9+Inputs!$L$9*(((Inputs!$I$9+(((A236)+1)/2)*(Inputs!$J$9-Inputs!$I$9)))/Inputs!$K$9)^2)))*1000/Inputs!$C$12)</f>
        <v>155656.15051535444</v>
      </c>
      <c r="AJ236" s="10"/>
      <c r="AK236" s="9">
        <f t="shared" si="23"/>
        <v>0.95</v>
      </c>
      <c r="AL236" s="9">
        <f>(-2*((1000*((((Inputs!$I$6+(((A236)+1)/2)*(Inputs!$J$6-Inputs!$I$6)))*Inputs!$C$11+((Inputs!$H$6+Inputs!$L$6*(((Inputs!$I$6+(((A236)+1)/2)*(Inputs!$J$6-Inputs!$I$6)))/Inputs!$K$6)^2))*((2*Inputs!$L$6*((Inputs!$I$6+(((A236)+1)/2)*(Inputs!$J$6-Inputs!$I$6)))/(Inputs!$K$6^2)*Inputs!$C$11)))/(SQRT(((Inputs!$I$6+(((A236)+1)/2)*(Inputs!$J$6-Inputs!$I$6)))^2+Inputs!$C$6^2+((Inputs!$H$6+Inputs!$L$6*(((Inputs!$I$6+(((A236)+1)/2)*(Inputs!$J$6-Inputs!$I$6)))/Inputs!$K$6)^2))^2)))))/Inputs!$C$13)</f>
        <v>-423.61985017150721</v>
      </c>
      <c r="AM236" s="9">
        <f>(-2*((1000*((((Inputs!$I$7+(((A236)+1)/2)*(Inputs!$J$7-Inputs!$I$7)))*Inputs!$C$11+((Inputs!$H$7+Inputs!$L$7*(((Inputs!$I$7+(((A236)+1)/2)*(Inputs!$J$7-Inputs!$I$7)))/Inputs!$K$7)^2))*((2*Inputs!$L$7*((Inputs!$I$7+(((A236)+1)/2)*(Inputs!$J$7-Inputs!$I$7)))/(Inputs!$K$7^2)*Inputs!$C$11)))/(SQRT(((Inputs!$I$7+(((A236)+1)/2)*(Inputs!$J$7-Inputs!$I$7)))^2+Inputs!$C$6^2+((Inputs!$H$7+Inputs!$L$7*(((Inputs!$I$7+(((A236)+1)/2)*(Inputs!$J$7-Inputs!$I$7)))/Inputs!$K$7)^2))^2)))))/Inputs!$C$13)</f>
        <v>-3071.3678147126902</v>
      </c>
      <c r="AN236" s="9">
        <f>(-2*((1000*((((Inputs!$I$8+(((A236)+1)/2)*(Inputs!$J$8-Inputs!$I$8)))*Inputs!$C$11+((Inputs!$H$8+Inputs!$L$8*(((Inputs!$I$8+(((A236)+1)/2)*(Inputs!$J$8-Inputs!$I$8)))/Inputs!$K$8)^2))*((2*Inputs!$L$8*((Inputs!$I$8+(((A236)+1)/2)*(Inputs!$J$8-Inputs!$I$8)))/(Inputs!$K$8^2)*Inputs!$C$11)))/(SQRT(((Inputs!$I$8+(((A236)+1)/2)*(Inputs!$J$8-Inputs!$I$8)))^2+Inputs!$C$6^2+((Inputs!$H$8+Inputs!$L$8*(((Inputs!$I$8+(((A236)+1)/2)*(Inputs!$J$8-Inputs!$I$8)))/Inputs!$K$8)^2))^2)))))/Inputs!$C$13)</f>
        <v>-3836.7983070402515</v>
      </c>
      <c r="AO236" s="9">
        <f>(-2*((1000*((((Inputs!$I$9+(((A236)+1)/2)*(Inputs!$J$9-Inputs!$I$9)))*Inputs!$C$11+((Inputs!$H$9+Inputs!$L$9*(((Inputs!$I$9+(((A236)+1)/2)*(Inputs!$J$9-Inputs!$I$9)))/Inputs!$K$9)^2))*((2*Inputs!$L$9*((Inputs!$I$9+(((A236)+1)/2)*(Inputs!$J$9-Inputs!$I$9)))/(Inputs!$K$9^2)*Inputs!$C$11)))/(SQRT(((Inputs!$I$9+(((A236)+1)/2)*(Inputs!$J$9-Inputs!$I$9)))^2+Inputs!$C$6^2+((Inputs!$H$9+Inputs!$L$9*(((Inputs!$I$9+(((A236)+1)/2)*(Inputs!$J$9-Inputs!$I$9)))/Inputs!$K$9)^2))^2)))))/Inputs!$C$13)</f>
        <v>-3865.2896613548774</v>
      </c>
    </row>
    <row r="237" spans="1:41">
      <c r="A237" s="9">
        <f>ROUND(-1+235*2/240,3)</f>
        <v>0.95799999999999996</v>
      </c>
      <c r="B237" s="9">
        <f>IF(OR(Inputs!$F$6=TRUE,Inputs!$F$6="TRUE",Inputs!$F$6=1),(Inputs!$H$6+Inputs!$L$6*(((Inputs!$I$6+(((A237)+1)/2)*(Inputs!$J$6-Inputs!$I$6)))/Inputs!$K$6)^2),NA())</f>
        <v>403.67105600000002</v>
      </c>
      <c r="C237" s="9">
        <f>IF(OR(Inputs!$F$7=TRUE,Inputs!$F$7="TRUE",Inputs!$F$7=1),(Inputs!$H$7+Inputs!$L$7*(((Inputs!$I$7+(((A237)+1)/2)*(Inputs!$J$7-Inputs!$I$7)))/Inputs!$K$7)^2),NA())</f>
        <v>369.98385999999988</v>
      </c>
      <c r="D237" s="9">
        <f>IF(OR(Inputs!$F$8=TRUE,Inputs!$F$8="TRUE",Inputs!$F$8=1),(Inputs!$H$8+Inputs!$L$8*(((Inputs!$I$8+(((A237)+1)/2)*(Inputs!$J$8-Inputs!$I$8)))/Inputs!$K$8)^2),NA())</f>
        <v>920.64225999999974</v>
      </c>
      <c r="E237" s="9">
        <f>IF(OR(Inputs!$F$9=TRUE,Inputs!$F$9="TRUE",Inputs!$F$9=1),(Inputs!$H$9+Inputs!$L$9*(((Inputs!$I$9+(((A237)+1)/2)*(Inputs!$J$9-Inputs!$I$9)))/Inputs!$K$9)^2),NA())</f>
        <v>919.81989999999973</v>
      </c>
      <c r="F237" s="10"/>
      <c r="G237" s="9">
        <f t="shared" si="18"/>
        <v>0.95799999999999996</v>
      </c>
      <c r="H237" s="9">
        <f>IF(OR(Inputs!$F$6=TRUE,Inputs!$F$6="TRUE",Inputs!$F$6=1),(((SQRT(((Inputs!$I$6+(((A237)+1)/2)*(Inputs!$J$6-Inputs!$I$6)))^2+Inputs!$C$6^2+((Inputs!$H$6+Inputs!$L$6*(((Inputs!$I$6+(((A237)+1)/2)*(Inputs!$J$6-Inputs!$I$6)))/Inputs!$K$6)^2))^2))-((Inputs!$H$6+Inputs!$L$6*(((Inputs!$I$6+(((A237)+1)/2)*(Inputs!$J$6-Inputs!$I$6)))/Inputs!$K$6)^2)))*1000/Inputs!$C$12),NA())</f>
        <v>2717.7183077910331</v>
      </c>
      <c r="I237" s="9">
        <f>IF(OR(Inputs!$F$7=TRUE,Inputs!$F$7="TRUE",Inputs!$F$7=1),(((SQRT(((Inputs!$I$7+(((A237)+1)/2)*(Inputs!$J$7-Inputs!$I$7)))^2+Inputs!$C$6^2+((Inputs!$H$7+Inputs!$L$7*(((Inputs!$I$7+(((A237)+1)/2)*(Inputs!$J$7-Inputs!$I$7)))/Inputs!$K$7)^2))^2))-((Inputs!$H$7+Inputs!$L$7*(((Inputs!$I$7+(((A237)+1)/2)*(Inputs!$J$7-Inputs!$I$7)))/Inputs!$K$7)^2)))*1000/Inputs!$C$12),NA())</f>
        <v>91722.410526102656</v>
      </c>
      <c r="J237" s="9">
        <f>IF(OR(Inputs!$F$8=TRUE,Inputs!$F$8="TRUE",Inputs!$F$8=1),(((SQRT(((Inputs!$I$8+(((A237)+1)/2)*(Inputs!$J$8-Inputs!$I$8)))^2+Inputs!$C$6^2+((Inputs!$H$8+Inputs!$L$8*(((Inputs!$I$8+(((A237)+1)/2)*(Inputs!$J$8-Inputs!$I$8)))/Inputs!$K$8)^2))^2))-((Inputs!$H$8+Inputs!$L$8*(((Inputs!$I$8+(((A237)+1)/2)*(Inputs!$J$8-Inputs!$I$8)))/Inputs!$K$8)^2)))*1000/Inputs!$C$12),NA())</f>
        <v>155906.20411800177</v>
      </c>
      <c r="K237" s="9">
        <f>IF(OR(Inputs!$F$9=TRUE,Inputs!$F$9="TRUE",Inputs!$F$9=1),(((SQRT(((Inputs!$I$9+(((A237)+1)/2)*(Inputs!$J$9-Inputs!$I$9)))^2+Inputs!$C$6^2+((Inputs!$H$9+Inputs!$L$9*(((Inputs!$I$9+(((A237)+1)/2)*(Inputs!$J$9-Inputs!$I$9)))/Inputs!$K$9)^2))^2))-((Inputs!$H$9+Inputs!$L$9*(((Inputs!$I$9+(((A237)+1)/2)*(Inputs!$J$9-Inputs!$I$9)))/Inputs!$K$9)^2)))*1000/Inputs!$C$12),NA())</f>
        <v>156013.27610946962</v>
      </c>
      <c r="L237" s="10"/>
      <c r="M237" s="9">
        <f t="shared" si="19"/>
        <v>0.95799999999999996</v>
      </c>
      <c r="N237" s="9">
        <f>IF(OR(Inputs!$F$6=TRUE,Inputs!$F$6="TRUE",Inputs!$F$6=1),(-2*((1000*((((Inputs!$I$6+(((A237)+1)/2)*(Inputs!$J$6-Inputs!$I$6)))*Inputs!$C$11+((Inputs!$H$6+Inputs!$L$6*(((Inputs!$I$6+(((A237)+1)/2)*(Inputs!$J$6-Inputs!$I$6)))/Inputs!$K$6)^2))*((2*Inputs!$L$6*((Inputs!$I$6+(((A237)+1)/2)*(Inputs!$J$6-Inputs!$I$6)))/(Inputs!$K$6^2)*Inputs!$C$11)))/(SQRT(((Inputs!$I$6+(((A237)+1)/2)*(Inputs!$J$6-Inputs!$I$6)))^2+Inputs!$C$6^2+((Inputs!$H$6+Inputs!$L$6*(((Inputs!$I$6+(((A237)+1)/2)*(Inputs!$J$6-Inputs!$I$6)))/Inputs!$K$6)^2))^2)))))/Inputs!$C$13),NA())</f>
        <v>-427.08428071365734</v>
      </c>
      <c r="O237" s="9">
        <f>IF(OR(Inputs!$F$7=TRUE,Inputs!$F$7="TRUE",Inputs!$F$7=1),(-2*((1000*((((Inputs!$I$7+(((A237)+1)/2)*(Inputs!$J$7-Inputs!$I$7)))*Inputs!$C$11+((Inputs!$H$7+Inputs!$L$7*(((Inputs!$I$7+(((A237)+1)/2)*(Inputs!$J$7-Inputs!$I$7)))/Inputs!$K$7)^2))*((2*Inputs!$L$7*((Inputs!$I$7+(((A237)+1)/2)*(Inputs!$J$7-Inputs!$I$7)))/(Inputs!$K$7^2)*Inputs!$C$11)))/(SQRT(((Inputs!$I$7+(((A237)+1)/2)*(Inputs!$J$7-Inputs!$I$7)))^2+Inputs!$C$6^2+((Inputs!$H$7+Inputs!$L$7*(((Inputs!$I$7+(((A237)+1)/2)*(Inputs!$J$7-Inputs!$I$7)))/Inputs!$K$7)^2))^2)))))/Inputs!$C$13),NA())</f>
        <v>-3090.6682062831487</v>
      </c>
      <c r="P237" s="9">
        <f>IF(OR(Inputs!$F$8=TRUE,Inputs!$F$8="TRUE",Inputs!$F$8=1),(-2*((1000*((((Inputs!$I$8+(((A237)+1)/2)*(Inputs!$J$8-Inputs!$I$8)))*Inputs!$C$11+((Inputs!$H$8+Inputs!$L$8*(((Inputs!$I$8+(((A237)+1)/2)*(Inputs!$J$8-Inputs!$I$8)))/Inputs!$K$8)^2))*((2*Inputs!$L$8*((Inputs!$I$8+(((A237)+1)/2)*(Inputs!$J$8-Inputs!$I$8)))/(Inputs!$K$8^2)*Inputs!$C$11)))/(SQRT(((Inputs!$I$8+(((A237)+1)/2)*(Inputs!$J$8-Inputs!$I$8)))^2+Inputs!$C$6^2+((Inputs!$H$8+Inputs!$L$8*(((Inputs!$I$8+(((A237)+1)/2)*(Inputs!$J$8-Inputs!$I$8)))/Inputs!$K$8)^2))^2)))))/Inputs!$C$13),NA())</f>
        <v>-3864.8283636843676</v>
      </c>
      <c r="Q237" s="9">
        <f>IF(OR(Inputs!$F$9=TRUE,Inputs!$F$9="TRUE",Inputs!$F$9=1),(-2*((1000*((((Inputs!$I$9+(((A237)+1)/2)*(Inputs!$J$9-Inputs!$I$9)))*Inputs!$C$11+((Inputs!$H$9+Inputs!$L$9*(((Inputs!$I$9+(((A237)+1)/2)*(Inputs!$J$9-Inputs!$I$9)))/Inputs!$K$9)^2))*((2*Inputs!$L$9*((Inputs!$I$9+(((A237)+1)/2)*(Inputs!$J$9-Inputs!$I$9)))/(Inputs!$K$9^2)*Inputs!$C$11)))/(SQRT(((Inputs!$I$9+(((A237)+1)/2)*(Inputs!$J$9-Inputs!$I$9)))^2+Inputs!$C$6^2+((Inputs!$H$9+Inputs!$L$9*(((Inputs!$I$9+(((A237)+1)/2)*(Inputs!$J$9-Inputs!$I$9)))/Inputs!$K$9)^2))^2)))))/Inputs!$C$13),NA())</f>
        <v>-3893.7615736346006</v>
      </c>
      <c r="R237" s="10"/>
      <c r="S237" s="9">
        <f t="shared" si="20"/>
        <v>0.95799999999999996</v>
      </c>
      <c r="T237" s="9">
        <f>(Inputs!$I$6+(((A237)+1)/2)*(Inputs!$J$6-Inputs!$I$6))</f>
        <v>57.480000000000004</v>
      </c>
      <c r="U237" s="9">
        <f>(Inputs!$I$7+(((A237)+1)/2)*(Inputs!$J$7-Inputs!$I$7))</f>
        <v>383.19999999999993</v>
      </c>
      <c r="V237" s="9">
        <f>(Inputs!$I$8+(((A237)+1)/2)*(Inputs!$J$8-Inputs!$I$8))</f>
        <v>766.39999999999986</v>
      </c>
      <c r="W237" s="9">
        <f>(Inputs!$I$9+(((A237)+1)/2)*(Inputs!$J$9-Inputs!$I$9))</f>
        <v>766.39999999999986</v>
      </c>
      <c r="X237" s="10"/>
      <c r="Y237" s="9">
        <f t="shared" si="21"/>
        <v>0.95799999999999996</v>
      </c>
      <c r="Z237" s="9">
        <f>(Inputs!$H$6+Inputs!$L$6*(((Inputs!$I$6+(((A237)+1)/2)*(Inputs!$J$6-Inputs!$I$6)))/Inputs!$K$6)^2)</f>
        <v>403.67105600000002</v>
      </c>
      <c r="AA237" s="9">
        <f>(Inputs!$H$7+Inputs!$L$7*(((Inputs!$I$7+(((A237)+1)/2)*(Inputs!$J$7-Inputs!$I$7)))/Inputs!$K$7)^2)</f>
        <v>369.98385999999988</v>
      </c>
      <c r="AB237" s="9">
        <f>(Inputs!$H$8+Inputs!$L$8*(((Inputs!$I$8+(((A237)+1)/2)*(Inputs!$J$8-Inputs!$I$8)))/Inputs!$K$8)^2)</f>
        <v>920.64225999999974</v>
      </c>
      <c r="AC237" s="9">
        <f>(Inputs!$H$9+Inputs!$L$9*(((Inputs!$I$9+(((A237)+1)/2)*(Inputs!$J$9-Inputs!$I$9)))/Inputs!$K$9)^2)</f>
        <v>919.81989999999973</v>
      </c>
      <c r="AD237" s="10"/>
      <c r="AE237" s="9">
        <f t="shared" si="22"/>
        <v>0.95799999999999996</v>
      </c>
      <c r="AF237" s="9">
        <f>(((SQRT(((Inputs!$I$6+(((A237)+1)/2)*(Inputs!$J$6-Inputs!$I$6)))^2+Inputs!$C$6^2+((Inputs!$H$6+Inputs!$L$6*(((Inputs!$I$6+(((A237)+1)/2)*(Inputs!$J$6-Inputs!$I$6)))/Inputs!$K$6)^2))^2))-((Inputs!$H$6+Inputs!$L$6*(((Inputs!$I$6+(((A237)+1)/2)*(Inputs!$J$6-Inputs!$I$6)))/Inputs!$K$6)^2)))*1000/Inputs!$C$12)</f>
        <v>2717.7183077910331</v>
      </c>
      <c r="AG237" s="9">
        <f>(((SQRT(((Inputs!$I$7+(((A237)+1)/2)*(Inputs!$J$7-Inputs!$I$7)))^2+Inputs!$C$6^2+((Inputs!$H$7+Inputs!$L$7*(((Inputs!$I$7+(((A237)+1)/2)*(Inputs!$J$7-Inputs!$I$7)))/Inputs!$K$7)^2))^2))-((Inputs!$H$7+Inputs!$L$7*(((Inputs!$I$7+(((A237)+1)/2)*(Inputs!$J$7-Inputs!$I$7)))/Inputs!$K$7)^2)))*1000/Inputs!$C$12)</f>
        <v>91722.410526102656</v>
      </c>
      <c r="AH237" s="9">
        <f>(((SQRT(((Inputs!$I$8+(((A237)+1)/2)*(Inputs!$J$8-Inputs!$I$8)))^2+Inputs!$C$6^2+((Inputs!$H$8+Inputs!$L$8*(((Inputs!$I$8+(((A237)+1)/2)*(Inputs!$J$8-Inputs!$I$8)))/Inputs!$K$8)^2))^2))-((Inputs!$H$8+Inputs!$L$8*(((Inputs!$I$8+(((A237)+1)/2)*(Inputs!$J$8-Inputs!$I$8)))/Inputs!$K$8)^2)))*1000/Inputs!$C$12)</f>
        <v>155906.20411800177</v>
      </c>
      <c r="AI237" s="9">
        <f>(((SQRT(((Inputs!$I$9+(((A237)+1)/2)*(Inputs!$J$9-Inputs!$I$9)))^2+Inputs!$C$6^2+((Inputs!$H$9+Inputs!$L$9*(((Inputs!$I$9+(((A237)+1)/2)*(Inputs!$J$9-Inputs!$I$9)))/Inputs!$K$9)^2))^2))-((Inputs!$H$9+Inputs!$L$9*(((Inputs!$I$9+(((A237)+1)/2)*(Inputs!$J$9-Inputs!$I$9)))/Inputs!$K$9)^2)))*1000/Inputs!$C$12)</f>
        <v>156013.27610946962</v>
      </c>
      <c r="AJ237" s="10"/>
      <c r="AK237" s="9">
        <f t="shared" si="23"/>
        <v>0.95799999999999996</v>
      </c>
      <c r="AL237" s="9">
        <f>(-2*((1000*((((Inputs!$I$6+(((A237)+1)/2)*(Inputs!$J$6-Inputs!$I$6)))*Inputs!$C$11+((Inputs!$H$6+Inputs!$L$6*(((Inputs!$I$6+(((A237)+1)/2)*(Inputs!$J$6-Inputs!$I$6)))/Inputs!$K$6)^2))*((2*Inputs!$L$6*((Inputs!$I$6+(((A237)+1)/2)*(Inputs!$J$6-Inputs!$I$6)))/(Inputs!$K$6^2)*Inputs!$C$11)))/(SQRT(((Inputs!$I$6+(((A237)+1)/2)*(Inputs!$J$6-Inputs!$I$6)))^2+Inputs!$C$6^2+((Inputs!$H$6+Inputs!$L$6*(((Inputs!$I$6+(((A237)+1)/2)*(Inputs!$J$6-Inputs!$I$6)))/Inputs!$K$6)^2))^2)))))/Inputs!$C$13)</f>
        <v>-427.08428071365734</v>
      </c>
      <c r="AM237" s="9">
        <f>(-2*((1000*((((Inputs!$I$7+(((A237)+1)/2)*(Inputs!$J$7-Inputs!$I$7)))*Inputs!$C$11+((Inputs!$H$7+Inputs!$L$7*(((Inputs!$I$7+(((A237)+1)/2)*(Inputs!$J$7-Inputs!$I$7)))/Inputs!$K$7)^2))*((2*Inputs!$L$7*((Inputs!$I$7+(((A237)+1)/2)*(Inputs!$J$7-Inputs!$I$7)))/(Inputs!$K$7^2)*Inputs!$C$11)))/(SQRT(((Inputs!$I$7+(((A237)+1)/2)*(Inputs!$J$7-Inputs!$I$7)))^2+Inputs!$C$6^2+((Inputs!$H$7+Inputs!$L$7*(((Inputs!$I$7+(((A237)+1)/2)*(Inputs!$J$7-Inputs!$I$7)))/Inputs!$K$7)^2))^2)))))/Inputs!$C$13)</f>
        <v>-3090.6682062831487</v>
      </c>
      <c r="AN237" s="9">
        <f>(-2*((1000*((((Inputs!$I$8+(((A237)+1)/2)*(Inputs!$J$8-Inputs!$I$8)))*Inputs!$C$11+((Inputs!$H$8+Inputs!$L$8*(((Inputs!$I$8+(((A237)+1)/2)*(Inputs!$J$8-Inputs!$I$8)))/Inputs!$K$8)^2))*((2*Inputs!$L$8*((Inputs!$I$8+(((A237)+1)/2)*(Inputs!$J$8-Inputs!$I$8)))/(Inputs!$K$8^2)*Inputs!$C$11)))/(SQRT(((Inputs!$I$8+(((A237)+1)/2)*(Inputs!$J$8-Inputs!$I$8)))^2+Inputs!$C$6^2+((Inputs!$H$8+Inputs!$L$8*(((Inputs!$I$8+(((A237)+1)/2)*(Inputs!$J$8-Inputs!$I$8)))/Inputs!$K$8)^2))^2)))))/Inputs!$C$13)</f>
        <v>-3864.8283636843676</v>
      </c>
      <c r="AO237" s="9">
        <f>(-2*((1000*((((Inputs!$I$9+(((A237)+1)/2)*(Inputs!$J$9-Inputs!$I$9)))*Inputs!$C$11+((Inputs!$H$9+Inputs!$L$9*(((Inputs!$I$9+(((A237)+1)/2)*(Inputs!$J$9-Inputs!$I$9)))/Inputs!$K$9)^2))*((2*Inputs!$L$9*((Inputs!$I$9+(((A237)+1)/2)*(Inputs!$J$9-Inputs!$I$9)))/(Inputs!$K$9^2)*Inputs!$C$11)))/(SQRT(((Inputs!$I$9+(((A237)+1)/2)*(Inputs!$J$9-Inputs!$I$9)))^2+Inputs!$C$6^2+((Inputs!$H$9+Inputs!$L$9*(((Inputs!$I$9+(((A237)+1)/2)*(Inputs!$J$9-Inputs!$I$9)))/Inputs!$K$9)^2))^2)))))/Inputs!$C$13)</f>
        <v>-3893.7615736346006</v>
      </c>
    </row>
    <row r="238" spans="1:41">
      <c r="A238" s="9">
        <f>ROUND(-1+236*2/240,3)</f>
        <v>0.96699999999999997</v>
      </c>
      <c r="B238" s="9">
        <f>IF(OR(Inputs!$F$6=TRUE,Inputs!$F$6="TRUE",Inputs!$F$6=1),(Inputs!$H$6+Inputs!$L$6*(((Inputs!$I$6+(((A238)+1)/2)*(Inputs!$J$6-Inputs!$I$6)))/Inputs!$K$6)^2),NA())</f>
        <v>403.74035600000002</v>
      </c>
      <c r="C238" s="9">
        <f>IF(OR(Inputs!$F$7=TRUE,Inputs!$F$7="TRUE",Inputs!$F$7=1),(Inputs!$H$7+Inputs!$L$7*(((Inputs!$I$7+(((A238)+1)/2)*(Inputs!$J$7-Inputs!$I$7)))/Inputs!$K$7)^2),NA())</f>
        <v>376.30748500000016</v>
      </c>
      <c r="D238" s="9">
        <f>IF(OR(Inputs!$F$8=TRUE,Inputs!$F$8="TRUE",Inputs!$F$8=1),(Inputs!$H$8+Inputs!$L$8*(((Inputs!$I$8+(((A238)+1)/2)*(Inputs!$J$8-Inputs!$I$8)))/Inputs!$K$8)^2),NA())</f>
        <v>937.36088500000039</v>
      </c>
      <c r="E238" s="9">
        <f>IF(OR(Inputs!$F$9=TRUE,Inputs!$F$9="TRUE",Inputs!$F$9=1),(Inputs!$H$9+Inputs!$L$9*(((Inputs!$I$9+(((A238)+1)/2)*(Inputs!$J$9-Inputs!$I$9)))/Inputs!$K$9)^2),NA())</f>
        <v>936.71177500000033</v>
      </c>
      <c r="F238" s="10"/>
      <c r="G238" s="9">
        <f t="shared" si="18"/>
        <v>0.96699999999999997</v>
      </c>
      <c r="H238" s="9">
        <f>IF(OR(Inputs!$F$6=TRUE,Inputs!$F$6="TRUE",Inputs!$F$6=1),(((SQRT(((Inputs!$I$6+(((A238)+1)/2)*(Inputs!$J$6-Inputs!$I$6)))^2+Inputs!$C$6^2+((Inputs!$H$6+Inputs!$L$6*(((Inputs!$I$6+(((A238)+1)/2)*(Inputs!$J$6-Inputs!$I$6)))/Inputs!$K$6)^2))^2))-((Inputs!$H$6+Inputs!$L$6*(((Inputs!$I$6+(((A238)+1)/2)*(Inputs!$J$6-Inputs!$I$6)))/Inputs!$K$6)^2)))*1000/Inputs!$C$12),NA())</f>
        <v>2760.1330447441346</v>
      </c>
      <c r="I238" s="9">
        <f>IF(OR(Inputs!$F$7=TRUE,Inputs!$F$7="TRUE",Inputs!$F$7=1),(((SQRT(((Inputs!$I$7+(((A238)+1)/2)*(Inputs!$J$7-Inputs!$I$7)))^2+Inputs!$C$6^2+((Inputs!$H$7+Inputs!$L$7*(((Inputs!$I$7+(((A238)+1)/2)*(Inputs!$J$7-Inputs!$I$7)))/Inputs!$K$7)^2))^2))-((Inputs!$H$7+Inputs!$L$7*(((Inputs!$I$7+(((A238)+1)/2)*(Inputs!$J$7-Inputs!$I$7)))/Inputs!$K$7)^2)))*1000/Inputs!$C$12),NA())</f>
        <v>92090.318023548054</v>
      </c>
      <c r="J238" s="9">
        <f>IF(OR(Inputs!$F$8=TRUE,Inputs!$F$8="TRUE",Inputs!$F$8=1),(((SQRT(((Inputs!$I$8+(((A238)+1)/2)*(Inputs!$J$8-Inputs!$I$8)))^2+Inputs!$C$6^2+((Inputs!$H$8+Inputs!$L$8*(((Inputs!$I$8+(((A238)+1)/2)*(Inputs!$J$8-Inputs!$I$8)))/Inputs!$K$8)^2))^2))-((Inputs!$H$8+Inputs!$L$8*(((Inputs!$I$8+(((A238)+1)/2)*(Inputs!$J$8-Inputs!$I$8)))/Inputs!$K$8)^2)))*1000/Inputs!$C$12),NA())</f>
        <v>156324.28356182837</v>
      </c>
      <c r="K238" s="9">
        <f>IF(OR(Inputs!$F$9=TRUE,Inputs!$F$9="TRUE",Inputs!$F$9=1),(((SQRT(((Inputs!$I$9+(((A238)+1)/2)*(Inputs!$J$9-Inputs!$I$9)))^2+Inputs!$C$6^2+((Inputs!$H$9+Inputs!$L$9*(((Inputs!$I$9+(((A238)+1)/2)*(Inputs!$J$9-Inputs!$I$9)))/Inputs!$K$9)^2))^2))-((Inputs!$H$9+Inputs!$L$9*(((Inputs!$I$9+(((A238)+1)/2)*(Inputs!$J$9-Inputs!$I$9)))/Inputs!$K$9)^2)))*1000/Inputs!$C$12),NA())</f>
        <v>156407.79634982636</v>
      </c>
      <c r="L238" s="10"/>
      <c r="M238" s="9">
        <f t="shared" si="19"/>
        <v>0.96699999999999997</v>
      </c>
      <c r="N238" s="9">
        <f>IF(OR(Inputs!$F$6=TRUE,Inputs!$F$6="TRUE",Inputs!$F$6=1),(-2*((1000*((((Inputs!$I$6+(((A238)+1)/2)*(Inputs!$J$6-Inputs!$I$6)))*Inputs!$C$11+((Inputs!$H$6+Inputs!$L$6*(((Inputs!$I$6+(((A238)+1)/2)*(Inputs!$J$6-Inputs!$I$6)))/Inputs!$K$6)^2))*((2*Inputs!$L$6*((Inputs!$I$6+(((A238)+1)/2)*(Inputs!$J$6-Inputs!$I$6)))/(Inputs!$K$6^2)*Inputs!$C$11)))/(SQRT(((Inputs!$I$6+(((A238)+1)/2)*(Inputs!$J$6-Inputs!$I$6)))^2+Inputs!$C$6^2+((Inputs!$H$6+Inputs!$L$6*(((Inputs!$I$6+(((A238)+1)/2)*(Inputs!$J$6-Inputs!$I$6)))/Inputs!$K$6)^2))^2)))))/Inputs!$C$13),NA())</f>
        <v>-430.97878773309503</v>
      </c>
      <c r="O238" s="9">
        <f>IF(OR(Inputs!$F$7=TRUE,Inputs!$F$7="TRUE",Inputs!$F$7=1),(-2*((1000*((((Inputs!$I$7+(((A238)+1)/2)*(Inputs!$J$7-Inputs!$I$7)))*Inputs!$C$11+((Inputs!$H$7+Inputs!$L$7*(((Inputs!$I$7+(((A238)+1)/2)*(Inputs!$J$7-Inputs!$I$7)))/Inputs!$K$7)^2))*((2*Inputs!$L$7*((Inputs!$I$7+(((A238)+1)/2)*(Inputs!$J$7-Inputs!$I$7)))/(Inputs!$K$7^2)*Inputs!$C$11)))/(SQRT(((Inputs!$I$7+(((A238)+1)/2)*(Inputs!$J$7-Inputs!$I$7)))^2+Inputs!$C$6^2+((Inputs!$H$7+Inputs!$L$7*(((Inputs!$I$7+(((A238)+1)/2)*(Inputs!$J$7-Inputs!$I$7)))/Inputs!$K$7)^2))^2)))))/Inputs!$C$13),NA())</f>
        <v>-3112.456380387337</v>
      </c>
      <c r="P238" s="9">
        <f>IF(OR(Inputs!$F$8=TRUE,Inputs!$F$8="TRUE",Inputs!$F$8=1),(-2*((1000*((((Inputs!$I$8+(((A238)+1)/2)*(Inputs!$J$8-Inputs!$I$8)))*Inputs!$C$11+((Inputs!$H$8+Inputs!$L$8*(((Inputs!$I$8+(((A238)+1)/2)*(Inputs!$J$8-Inputs!$I$8)))/Inputs!$K$8)^2))*((2*Inputs!$L$8*((Inputs!$I$8+(((A238)+1)/2)*(Inputs!$J$8-Inputs!$I$8)))/(Inputs!$K$8^2)*Inputs!$C$11)))/(SQRT(((Inputs!$I$8+(((A238)+1)/2)*(Inputs!$J$8-Inputs!$I$8)))^2+Inputs!$C$6^2+((Inputs!$H$8+Inputs!$L$8*(((Inputs!$I$8+(((A238)+1)/2)*(Inputs!$J$8-Inputs!$I$8)))/Inputs!$K$8)^2))^2)))))/Inputs!$C$13),NA())</f>
        <v>-3896.4309174215573</v>
      </c>
      <c r="Q238" s="9">
        <f>IF(OR(Inputs!$F$9=TRUE,Inputs!$F$9="TRUE",Inputs!$F$9=1),(-2*((1000*((((Inputs!$I$9+(((A238)+1)/2)*(Inputs!$J$9-Inputs!$I$9)))*Inputs!$C$11+((Inputs!$H$9+Inputs!$L$9*(((Inputs!$I$9+(((A238)+1)/2)*(Inputs!$J$9-Inputs!$I$9)))/Inputs!$K$9)^2))*((2*Inputs!$L$9*((Inputs!$I$9+(((A238)+1)/2)*(Inputs!$J$9-Inputs!$I$9)))/(Inputs!$K$9^2)*Inputs!$C$11)))/(SQRT(((Inputs!$I$9+(((A238)+1)/2)*(Inputs!$J$9-Inputs!$I$9)))^2+Inputs!$C$6^2+((Inputs!$H$9+Inputs!$L$9*(((Inputs!$I$9+(((A238)+1)/2)*(Inputs!$J$9-Inputs!$I$9)))/Inputs!$K$9)^2))^2)))))/Inputs!$C$13),NA())</f>
        <v>-3925.859448451175</v>
      </c>
      <c r="R238" s="10"/>
      <c r="S238" s="9">
        <f t="shared" si="20"/>
        <v>0.96699999999999997</v>
      </c>
      <c r="T238" s="9">
        <f>(Inputs!$I$6+(((A238)+1)/2)*(Inputs!$J$6-Inputs!$I$6))</f>
        <v>58.02000000000001</v>
      </c>
      <c r="U238" s="9">
        <f>(Inputs!$I$7+(((A238)+1)/2)*(Inputs!$J$7-Inputs!$I$7))</f>
        <v>386.80000000000007</v>
      </c>
      <c r="V238" s="9">
        <f>(Inputs!$I$8+(((A238)+1)/2)*(Inputs!$J$8-Inputs!$I$8))</f>
        <v>773.60000000000014</v>
      </c>
      <c r="W238" s="9">
        <f>(Inputs!$I$9+(((A238)+1)/2)*(Inputs!$J$9-Inputs!$I$9))</f>
        <v>773.60000000000014</v>
      </c>
      <c r="X238" s="10"/>
      <c r="Y238" s="9">
        <f t="shared" si="21"/>
        <v>0.96699999999999997</v>
      </c>
      <c r="Z238" s="9">
        <f>(Inputs!$H$6+Inputs!$L$6*(((Inputs!$I$6+(((A238)+1)/2)*(Inputs!$J$6-Inputs!$I$6)))/Inputs!$K$6)^2)</f>
        <v>403.74035600000002</v>
      </c>
      <c r="AA238" s="9">
        <f>(Inputs!$H$7+Inputs!$L$7*(((Inputs!$I$7+(((A238)+1)/2)*(Inputs!$J$7-Inputs!$I$7)))/Inputs!$K$7)^2)</f>
        <v>376.30748500000016</v>
      </c>
      <c r="AB238" s="9">
        <f>(Inputs!$H$8+Inputs!$L$8*(((Inputs!$I$8+(((A238)+1)/2)*(Inputs!$J$8-Inputs!$I$8)))/Inputs!$K$8)^2)</f>
        <v>937.36088500000039</v>
      </c>
      <c r="AC238" s="9">
        <f>(Inputs!$H$9+Inputs!$L$9*(((Inputs!$I$9+(((A238)+1)/2)*(Inputs!$J$9-Inputs!$I$9)))/Inputs!$K$9)^2)</f>
        <v>936.71177500000033</v>
      </c>
      <c r="AD238" s="10"/>
      <c r="AE238" s="9">
        <f t="shared" si="22"/>
        <v>0.96699999999999997</v>
      </c>
      <c r="AF238" s="9">
        <f>(((SQRT(((Inputs!$I$6+(((A238)+1)/2)*(Inputs!$J$6-Inputs!$I$6)))^2+Inputs!$C$6^2+((Inputs!$H$6+Inputs!$L$6*(((Inputs!$I$6+(((A238)+1)/2)*(Inputs!$J$6-Inputs!$I$6)))/Inputs!$K$6)^2))^2))-((Inputs!$H$6+Inputs!$L$6*(((Inputs!$I$6+(((A238)+1)/2)*(Inputs!$J$6-Inputs!$I$6)))/Inputs!$K$6)^2)))*1000/Inputs!$C$12)</f>
        <v>2760.1330447441346</v>
      </c>
      <c r="AG238" s="9">
        <f>(((SQRT(((Inputs!$I$7+(((A238)+1)/2)*(Inputs!$J$7-Inputs!$I$7)))^2+Inputs!$C$6^2+((Inputs!$H$7+Inputs!$L$7*(((Inputs!$I$7+(((A238)+1)/2)*(Inputs!$J$7-Inputs!$I$7)))/Inputs!$K$7)^2))^2))-((Inputs!$H$7+Inputs!$L$7*(((Inputs!$I$7+(((A238)+1)/2)*(Inputs!$J$7-Inputs!$I$7)))/Inputs!$K$7)^2)))*1000/Inputs!$C$12)</f>
        <v>92090.318023548054</v>
      </c>
      <c r="AH238" s="9">
        <f>(((SQRT(((Inputs!$I$8+(((A238)+1)/2)*(Inputs!$J$8-Inputs!$I$8)))^2+Inputs!$C$6^2+((Inputs!$H$8+Inputs!$L$8*(((Inputs!$I$8+(((A238)+1)/2)*(Inputs!$J$8-Inputs!$I$8)))/Inputs!$K$8)^2))^2))-((Inputs!$H$8+Inputs!$L$8*(((Inputs!$I$8+(((A238)+1)/2)*(Inputs!$J$8-Inputs!$I$8)))/Inputs!$K$8)^2)))*1000/Inputs!$C$12)</f>
        <v>156324.28356182837</v>
      </c>
      <c r="AI238" s="9">
        <f>(((SQRT(((Inputs!$I$9+(((A238)+1)/2)*(Inputs!$J$9-Inputs!$I$9)))^2+Inputs!$C$6^2+((Inputs!$H$9+Inputs!$L$9*(((Inputs!$I$9+(((A238)+1)/2)*(Inputs!$J$9-Inputs!$I$9)))/Inputs!$K$9)^2))^2))-((Inputs!$H$9+Inputs!$L$9*(((Inputs!$I$9+(((A238)+1)/2)*(Inputs!$J$9-Inputs!$I$9)))/Inputs!$K$9)^2)))*1000/Inputs!$C$12)</f>
        <v>156407.79634982636</v>
      </c>
      <c r="AJ238" s="10"/>
      <c r="AK238" s="9">
        <f t="shared" si="23"/>
        <v>0.96699999999999997</v>
      </c>
      <c r="AL238" s="9">
        <f>(-2*((1000*((((Inputs!$I$6+(((A238)+1)/2)*(Inputs!$J$6-Inputs!$I$6)))*Inputs!$C$11+((Inputs!$H$6+Inputs!$L$6*(((Inputs!$I$6+(((A238)+1)/2)*(Inputs!$J$6-Inputs!$I$6)))/Inputs!$K$6)^2))*((2*Inputs!$L$6*((Inputs!$I$6+(((A238)+1)/2)*(Inputs!$J$6-Inputs!$I$6)))/(Inputs!$K$6^2)*Inputs!$C$11)))/(SQRT(((Inputs!$I$6+(((A238)+1)/2)*(Inputs!$J$6-Inputs!$I$6)))^2+Inputs!$C$6^2+((Inputs!$H$6+Inputs!$L$6*(((Inputs!$I$6+(((A238)+1)/2)*(Inputs!$J$6-Inputs!$I$6)))/Inputs!$K$6)^2))^2)))))/Inputs!$C$13)</f>
        <v>-430.97878773309503</v>
      </c>
      <c r="AM238" s="9">
        <f>(-2*((1000*((((Inputs!$I$7+(((A238)+1)/2)*(Inputs!$J$7-Inputs!$I$7)))*Inputs!$C$11+((Inputs!$H$7+Inputs!$L$7*(((Inputs!$I$7+(((A238)+1)/2)*(Inputs!$J$7-Inputs!$I$7)))/Inputs!$K$7)^2))*((2*Inputs!$L$7*((Inputs!$I$7+(((A238)+1)/2)*(Inputs!$J$7-Inputs!$I$7)))/(Inputs!$K$7^2)*Inputs!$C$11)))/(SQRT(((Inputs!$I$7+(((A238)+1)/2)*(Inputs!$J$7-Inputs!$I$7)))^2+Inputs!$C$6^2+((Inputs!$H$7+Inputs!$L$7*(((Inputs!$I$7+(((A238)+1)/2)*(Inputs!$J$7-Inputs!$I$7)))/Inputs!$K$7)^2))^2)))))/Inputs!$C$13)</f>
        <v>-3112.456380387337</v>
      </c>
      <c r="AN238" s="9">
        <f>(-2*((1000*((((Inputs!$I$8+(((A238)+1)/2)*(Inputs!$J$8-Inputs!$I$8)))*Inputs!$C$11+((Inputs!$H$8+Inputs!$L$8*(((Inputs!$I$8+(((A238)+1)/2)*(Inputs!$J$8-Inputs!$I$8)))/Inputs!$K$8)^2))*((2*Inputs!$L$8*((Inputs!$I$8+(((A238)+1)/2)*(Inputs!$J$8-Inputs!$I$8)))/(Inputs!$K$8^2)*Inputs!$C$11)))/(SQRT(((Inputs!$I$8+(((A238)+1)/2)*(Inputs!$J$8-Inputs!$I$8)))^2+Inputs!$C$6^2+((Inputs!$H$8+Inputs!$L$8*(((Inputs!$I$8+(((A238)+1)/2)*(Inputs!$J$8-Inputs!$I$8)))/Inputs!$K$8)^2))^2)))))/Inputs!$C$13)</f>
        <v>-3896.4309174215573</v>
      </c>
      <c r="AO238" s="9">
        <f>(-2*((1000*((((Inputs!$I$9+(((A238)+1)/2)*(Inputs!$J$9-Inputs!$I$9)))*Inputs!$C$11+((Inputs!$H$9+Inputs!$L$9*(((Inputs!$I$9+(((A238)+1)/2)*(Inputs!$J$9-Inputs!$I$9)))/Inputs!$K$9)^2))*((2*Inputs!$L$9*((Inputs!$I$9+(((A238)+1)/2)*(Inputs!$J$9-Inputs!$I$9)))/(Inputs!$K$9^2)*Inputs!$C$11)))/(SQRT(((Inputs!$I$9+(((A238)+1)/2)*(Inputs!$J$9-Inputs!$I$9)))^2+Inputs!$C$6^2+((Inputs!$H$9+Inputs!$L$9*(((Inputs!$I$9+(((A238)+1)/2)*(Inputs!$J$9-Inputs!$I$9)))/Inputs!$K$9)^2))^2)))))/Inputs!$C$13)</f>
        <v>-3925.859448451175</v>
      </c>
    </row>
    <row r="239" spans="1:41">
      <c r="A239" s="9">
        <f>ROUND(-1+237*2/240,3)</f>
        <v>0.97499999999999998</v>
      </c>
      <c r="B239" s="9">
        <f>IF(OR(Inputs!$F$6=TRUE,Inputs!$F$6="TRUE",Inputs!$F$6=1),(Inputs!$H$6+Inputs!$L$6*(((Inputs!$I$6+(((A239)+1)/2)*(Inputs!$J$6-Inputs!$I$6)))/Inputs!$K$6)^2),NA())</f>
        <v>403.80250000000001</v>
      </c>
      <c r="C239" s="9">
        <f>IF(OR(Inputs!$F$7=TRUE,Inputs!$F$7="TRUE",Inputs!$F$7=1),(Inputs!$H$7+Inputs!$L$7*(((Inputs!$I$7+(((A239)+1)/2)*(Inputs!$J$7-Inputs!$I$7)))/Inputs!$K$7)^2),NA())</f>
        <v>381.97812499999998</v>
      </c>
      <c r="D239" s="9">
        <f>IF(OR(Inputs!$F$8=TRUE,Inputs!$F$8="TRUE",Inputs!$F$8=1),(Inputs!$H$8+Inputs!$L$8*(((Inputs!$I$8+(((A239)+1)/2)*(Inputs!$J$8-Inputs!$I$8)))/Inputs!$K$8)^2),NA())</f>
        <v>952.35312499999998</v>
      </c>
      <c r="E239" s="9">
        <f>IF(OR(Inputs!$F$9=TRUE,Inputs!$F$9="TRUE",Inputs!$F$9=1),(Inputs!$H$9+Inputs!$L$9*(((Inputs!$I$9+(((A239)+1)/2)*(Inputs!$J$9-Inputs!$I$9)))/Inputs!$K$9)^2),NA())</f>
        <v>951.859375</v>
      </c>
      <c r="F239" s="10"/>
      <c r="G239" s="9">
        <f t="shared" si="18"/>
        <v>0.97499999999999998</v>
      </c>
      <c r="H239" s="9">
        <f>IF(OR(Inputs!$F$6=TRUE,Inputs!$F$6="TRUE",Inputs!$F$6=1),(((SQRT(((Inputs!$I$6+(((A239)+1)/2)*(Inputs!$J$6-Inputs!$I$6)))^2+Inputs!$C$6^2+((Inputs!$H$6+Inputs!$L$6*(((Inputs!$I$6+(((A239)+1)/2)*(Inputs!$J$6-Inputs!$I$6)))/Inputs!$K$6)^2))^2))-((Inputs!$H$6+Inputs!$L$6*(((Inputs!$I$6+(((A239)+1)/2)*(Inputs!$J$6-Inputs!$I$6)))/Inputs!$K$6)^2)))*1000/Inputs!$C$12),NA())</f>
        <v>2798.1490936689197</v>
      </c>
      <c r="I239" s="9">
        <f>IF(OR(Inputs!$F$7=TRUE,Inputs!$F$7="TRUE",Inputs!$F$7=1),(((SQRT(((Inputs!$I$7+(((A239)+1)/2)*(Inputs!$J$7-Inputs!$I$7)))^2+Inputs!$C$6^2+((Inputs!$H$7+Inputs!$L$7*(((Inputs!$I$7+(((A239)+1)/2)*(Inputs!$J$7-Inputs!$I$7)))/Inputs!$K$7)^2))^2))-((Inputs!$H$7+Inputs!$L$7*(((Inputs!$I$7+(((A239)+1)/2)*(Inputs!$J$7-Inputs!$I$7)))/Inputs!$K$7)^2)))*1000/Inputs!$C$12),NA())</f>
        <v>92412.618914041755</v>
      </c>
      <c r="J239" s="9">
        <f>IF(OR(Inputs!$F$8=TRUE,Inputs!$F$8="TRUE",Inputs!$F$8=1),(((SQRT(((Inputs!$I$8+(((A239)+1)/2)*(Inputs!$J$8-Inputs!$I$8)))^2+Inputs!$C$6^2+((Inputs!$H$8+Inputs!$L$8*(((Inputs!$I$8+(((A239)+1)/2)*(Inputs!$J$8-Inputs!$I$8)))/Inputs!$K$8)^2))^2))-((Inputs!$H$8+Inputs!$L$8*(((Inputs!$I$8+(((A239)+1)/2)*(Inputs!$J$8-Inputs!$I$8)))/Inputs!$K$8)^2)))*1000/Inputs!$C$12),NA())</f>
        <v>156689.32111616264</v>
      </c>
      <c r="K239" s="9">
        <f>IF(OR(Inputs!$F$9=TRUE,Inputs!$F$9="TRUE",Inputs!$F$9=1),(((SQRT(((Inputs!$I$9+(((A239)+1)/2)*(Inputs!$J$9-Inputs!$I$9)))^2+Inputs!$C$6^2+((Inputs!$H$9+Inputs!$L$9*(((Inputs!$I$9+(((A239)+1)/2)*(Inputs!$J$9-Inputs!$I$9)))/Inputs!$K$9)^2))^2))-((Inputs!$H$9+Inputs!$L$9*(((Inputs!$I$9+(((A239)+1)/2)*(Inputs!$J$9-Inputs!$I$9)))/Inputs!$K$9)^2)))*1000/Inputs!$C$12),NA())</f>
        <v>156752.17775414829</v>
      </c>
      <c r="L239" s="10"/>
      <c r="M239" s="9">
        <f t="shared" si="19"/>
        <v>0.97499999999999998</v>
      </c>
      <c r="N239" s="9">
        <f>IF(OR(Inputs!$F$6=TRUE,Inputs!$F$6="TRUE",Inputs!$F$6=1),(-2*((1000*((((Inputs!$I$6+(((A239)+1)/2)*(Inputs!$J$6-Inputs!$I$6)))*Inputs!$C$11+((Inputs!$H$6+Inputs!$L$6*(((Inputs!$I$6+(((A239)+1)/2)*(Inputs!$J$6-Inputs!$I$6)))/Inputs!$K$6)^2))*((2*Inputs!$L$6*((Inputs!$I$6+(((A239)+1)/2)*(Inputs!$J$6-Inputs!$I$6)))/(Inputs!$K$6^2)*Inputs!$C$11)))/(SQRT(((Inputs!$I$6+(((A239)+1)/2)*(Inputs!$J$6-Inputs!$I$6)))^2+Inputs!$C$6^2+((Inputs!$H$6+Inputs!$L$6*(((Inputs!$I$6+(((A239)+1)/2)*(Inputs!$J$6-Inputs!$I$6)))/Inputs!$K$6)^2))^2)))))/Inputs!$C$13),NA())</f>
        <v>-434.43790659645504</v>
      </c>
      <c r="O239" s="9">
        <f>IF(OR(Inputs!$F$7=TRUE,Inputs!$F$7="TRUE",Inputs!$F$7=1),(-2*((1000*((((Inputs!$I$7+(((A239)+1)/2)*(Inputs!$J$7-Inputs!$I$7)))*Inputs!$C$11+((Inputs!$H$7+Inputs!$L$7*(((Inputs!$I$7+(((A239)+1)/2)*(Inputs!$J$7-Inputs!$I$7)))/Inputs!$K$7)^2))*((2*Inputs!$L$7*((Inputs!$I$7+(((A239)+1)/2)*(Inputs!$J$7-Inputs!$I$7)))/(Inputs!$K$7^2)*Inputs!$C$11)))/(SQRT(((Inputs!$I$7+(((A239)+1)/2)*(Inputs!$J$7-Inputs!$I$7)))^2+Inputs!$C$6^2+((Inputs!$H$7+Inputs!$L$7*(((Inputs!$I$7+(((A239)+1)/2)*(Inputs!$J$7-Inputs!$I$7)))/Inputs!$K$7)^2))^2)))))/Inputs!$C$13),NA())</f>
        <v>-3131.8894371511028</v>
      </c>
      <c r="P239" s="9">
        <f>IF(OR(Inputs!$F$8=TRUE,Inputs!$F$8="TRUE",Inputs!$F$8=1),(-2*((1000*((((Inputs!$I$8+(((A239)+1)/2)*(Inputs!$J$8-Inputs!$I$8)))*Inputs!$C$11+((Inputs!$H$8+Inputs!$L$8*(((Inputs!$I$8+(((A239)+1)/2)*(Inputs!$J$8-Inputs!$I$8)))/Inputs!$K$8)^2))*((2*Inputs!$L$8*((Inputs!$I$8+(((A239)+1)/2)*(Inputs!$J$8-Inputs!$I$8)))/(Inputs!$K$8^2)*Inputs!$C$11)))/(SQRT(((Inputs!$I$8+(((A239)+1)/2)*(Inputs!$J$8-Inputs!$I$8)))^2+Inputs!$C$6^2+((Inputs!$H$8+Inputs!$L$8*(((Inputs!$I$8+(((A239)+1)/2)*(Inputs!$J$8-Inputs!$I$8)))/Inputs!$K$8)^2))^2)))))/Inputs!$C$13),NA())</f>
        <v>-3924.5817523375981</v>
      </c>
      <c r="Q239" s="9">
        <f>IF(OR(Inputs!$F$9=TRUE,Inputs!$F$9="TRUE",Inputs!$F$9=1),(-2*((1000*((((Inputs!$I$9+(((A239)+1)/2)*(Inputs!$J$9-Inputs!$I$9)))*Inputs!$C$11+((Inputs!$H$9+Inputs!$L$9*(((Inputs!$I$9+(((A239)+1)/2)*(Inputs!$J$9-Inputs!$I$9)))/Inputs!$K$9)^2))*((2*Inputs!$L$9*((Inputs!$I$9+(((A239)+1)/2)*(Inputs!$J$9-Inputs!$I$9)))/(Inputs!$K$9^2)*Inputs!$C$11)))/(SQRT(((Inputs!$I$9+(((A239)+1)/2)*(Inputs!$J$9-Inputs!$I$9)))^2+Inputs!$C$6^2+((Inputs!$H$9+Inputs!$L$9*(((Inputs!$I$9+(((A239)+1)/2)*(Inputs!$J$9-Inputs!$I$9)))/Inputs!$K$9)^2))^2)))))/Inputs!$C$13),NA())</f>
        <v>-3954.4490024840757</v>
      </c>
      <c r="R239" s="10"/>
      <c r="S239" s="9">
        <f t="shared" si="20"/>
        <v>0.97499999999999998</v>
      </c>
      <c r="T239" s="9">
        <f>(Inputs!$I$6+(((A239)+1)/2)*(Inputs!$J$6-Inputs!$I$6))</f>
        <v>58.5</v>
      </c>
      <c r="U239" s="9">
        <f>(Inputs!$I$7+(((A239)+1)/2)*(Inputs!$J$7-Inputs!$I$7))</f>
        <v>390</v>
      </c>
      <c r="V239" s="9">
        <f>(Inputs!$I$8+(((A239)+1)/2)*(Inputs!$J$8-Inputs!$I$8))</f>
        <v>780</v>
      </c>
      <c r="W239" s="9">
        <f>(Inputs!$I$9+(((A239)+1)/2)*(Inputs!$J$9-Inputs!$I$9))</f>
        <v>780</v>
      </c>
      <c r="X239" s="10"/>
      <c r="Y239" s="9">
        <f t="shared" si="21"/>
        <v>0.97499999999999998</v>
      </c>
      <c r="Z239" s="9">
        <f>(Inputs!$H$6+Inputs!$L$6*(((Inputs!$I$6+(((A239)+1)/2)*(Inputs!$J$6-Inputs!$I$6)))/Inputs!$K$6)^2)</f>
        <v>403.80250000000001</v>
      </c>
      <c r="AA239" s="9">
        <f>(Inputs!$H$7+Inputs!$L$7*(((Inputs!$I$7+(((A239)+1)/2)*(Inputs!$J$7-Inputs!$I$7)))/Inputs!$K$7)^2)</f>
        <v>381.97812499999998</v>
      </c>
      <c r="AB239" s="9">
        <f>(Inputs!$H$8+Inputs!$L$8*(((Inputs!$I$8+(((A239)+1)/2)*(Inputs!$J$8-Inputs!$I$8)))/Inputs!$K$8)^2)</f>
        <v>952.35312499999998</v>
      </c>
      <c r="AC239" s="9">
        <f>(Inputs!$H$9+Inputs!$L$9*(((Inputs!$I$9+(((A239)+1)/2)*(Inputs!$J$9-Inputs!$I$9)))/Inputs!$K$9)^2)</f>
        <v>951.859375</v>
      </c>
      <c r="AD239" s="10"/>
      <c r="AE239" s="9">
        <f t="shared" si="22"/>
        <v>0.97499999999999998</v>
      </c>
      <c r="AF239" s="9">
        <f>(((SQRT(((Inputs!$I$6+(((A239)+1)/2)*(Inputs!$J$6-Inputs!$I$6)))^2+Inputs!$C$6^2+((Inputs!$H$6+Inputs!$L$6*(((Inputs!$I$6+(((A239)+1)/2)*(Inputs!$J$6-Inputs!$I$6)))/Inputs!$K$6)^2))^2))-((Inputs!$H$6+Inputs!$L$6*(((Inputs!$I$6+(((A239)+1)/2)*(Inputs!$J$6-Inputs!$I$6)))/Inputs!$K$6)^2)))*1000/Inputs!$C$12)</f>
        <v>2798.1490936689197</v>
      </c>
      <c r="AG239" s="9">
        <f>(((SQRT(((Inputs!$I$7+(((A239)+1)/2)*(Inputs!$J$7-Inputs!$I$7)))^2+Inputs!$C$6^2+((Inputs!$H$7+Inputs!$L$7*(((Inputs!$I$7+(((A239)+1)/2)*(Inputs!$J$7-Inputs!$I$7)))/Inputs!$K$7)^2))^2))-((Inputs!$H$7+Inputs!$L$7*(((Inputs!$I$7+(((A239)+1)/2)*(Inputs!$J$7-Inputs!$I$7)))/Inputs!$K$7)^2)))*1000/Inputs!$C$12)</f>
        <v>92412.618914041755</v>
      </c>
      <c r="AH239" s="9">
        <f>(((SQRT(((Inputs!$I$8+(((A239)+1)/2)*(Inputs!$J$8-Inputs!$I$8)))^2+Inputs!$C$6^2+((Inputs!$H$8+Inputs!$L$8*(((Inputs!$I$8+(((A239)+1)/2)*(Inputs!$J$8-Inputs!$I$8)))/Inputs!$K$8)^2))^2))-((Inputs!$H$8+Inputs!$L$8*(((Inputs!$I$8+(((A239)+1)/2)*(Inputs!$J$8-Inputs!$I$8)))/Inputs!$K$8)^2)))*1000/Inputs!$C$12)</f>
        <v>156689.32111616264</v>
      </c>
      <c r="AI239" s="9">
        <f>(((SQRT(((Inputs!$I$9+(((A239)+1)/2)*(Inputs!$J$9-Inputs!$I$9)))^2+Inputs!$C$6^2+((Inputs!$H$9+Inputs!$L$9*(((Inputs!$I$9+(((A239)+1)/2)*(Inputs!$J$9-Inputs!$I$9)))/Inputs!$K$9)^2))^2))-((Inputs!$H$9+Inputs!$L$9*(((Inputs!$I$9+(((A239)+1)/2)*(Inputs!$J$9-Inputs!$I$9)))/Inputs!$K$9)^2)))*1000/Inputs!$C$12)</f>
        <v>156752.17775414829</v>
      </c>
      <c r="AJ239" s="10"/>
      <c r="AK239" s="9">
        <f t="shared" si="23"/>
        <v>0.97499999999999998</v>
      </c>
      <c r="AL239" s="9">
        <f>(-2*((1000*((((Inputs!$I$6+(((A239)+1)/2)*(Inputs!$J$6-Inputs!$I$6)))*Inputs!$C$11+((Inputs!$H$6+Inputs!$L$6*(((Inputs!$I$6+(((A239)+1)/2)*(Inputs!$J$6-Inputs!$I$6)))/Inputs!$K$6)^2))*((2*Inputs!$L$6*((Inputs!$I$6+(((A239)+1)/2)*(Inputs!$J$6-Inputs!$I$6)))/(Inputs!$K$6^2)*Inputs!$C$11)))/(SQRT(((Inputs!$I$6+(((A239)+1)/2)*(Inputs!$J$6-Inputs!$I$6)))^2+Inputs!$C$6^2+((Inputs!$H$6+Inputs!$L$6*(((Inputs!$I$6+(((A239)+1)/2)*(Inputs!$J$6-Inputs!$I$6)))/Inputs!$K$6)^2))^2)))))/Inputs!$C$13)</f>
        <v>-434.43790659645504</v>
      </c>
      <c r="AM239" s="9">
        <f>(-2*((1000*((((Inputs!$I$7+(((A239)+1)/2)*(Inputs!$J$7-Inputs!$I$7)))*Inputs!$C$11+((Inputs!$H$7+Inputs!$L$7*(((Inputs!$I$7+(((A239)+1)/2)*(Inputs!$J$7-Inputs!$I$7)))/Inputs!$K$7)^2))*((2*Inputs!$L$7*((Inputs!$I$7+(((A239)+1)/2)*(Inputs!$J$7-Inputs!$I$7)))/(Inputs!$K$7^2)*Inputs!$C$11)))/(SQRT(((Inputs!$I$7+(((A239)+1)/2)*(Inputs!$J$7-Inputs!$I$7)))^2+Inputs!$C$6^2+((Inputs!$H$7+Inputs!$L$7*(((Inputs!$I$7+(((A239)+1)/2)*(Inputs!$J$7-Inputs!$I$7)))/Inputs!$K$7)^2))^2)))))/Inputs!$C$13)</f>
        <v>-3131.8894371511028</v>
      </c>
      <c r="AN239" s="9">
        <f>(-2*((1000*((((Inputs!$I$8+(((A239)+1)/2)*(Inputs!$J$8-Inputs!$I$8)))*Inputs!$C$11+((Inputs!$H$8+Inputs!$L$8*(((Inputs!$I$8+(((A239)+1)/2)*(Inputs!$J$8-Inputs!$I$8)))/Inputs!$K$8)^2))*((2*Inputs!$L$8*((Inputs!$I$8+(((A239)+1)/2)*(Inputs!$J$8-Inputs!$I$8)))/(Inputs!$K$8^2)*Inputs!$C$11)))/(SQRT(((Inputs!$I$8+(((A239)+1)/2)*(Inputs!$J$8-Inputs!$I$8)))^2+Inputs!$C$6^2+((Inputs!$H$8+Inputs!$L$8*(((Inputs!$I$8+(((A239)+1)/2)*(Inputs!$J$8-Inputs!$I$8)))/Inputs!$K$8)^2))^2)))))/Inputs!$C$13)</f>
        <v>-3924.5817523375981</v>
      </c>
      <c r="AO239" s="9">
        <f>(-2*((1000*((((Inputs!$I$9+(((A239)+1)/2)*(Inputs!$J$9-Inputs!$I$9)))*Inputs!$C$11+((Inputs!$H$9+Inputs!$L$9*(((Inputs!$I$9+(((A239)+1)/2)*(Inputs!$J$9-Inputs!$I$9)))/Inputs!$K$9)^2))*((2*Inputs!$L$9*((Inputs!$I$9+(((A239)+1)/2)*(Inputs!$J$9-Inputs!$I$9)))/(Inputs!$K$9^2)*Inputs!$C$11)))/(SQRT(((Inputs!$I$9+(((A239)+1)/2)*(Inputs!$J$9-Inputs!$I$9)))^2+Inputs!$C$6^2+((Inputs!$H$9+Inputs!$L$9*(((Inputs!$I$9+(((A239)+1)/2)*(Inputs!$J$9-Inputs!$I$9)))/Inputs!$K$9)^2))^2)))))/Inputs!$C$13)</f>
        <v>-3954.4490024840757</v>
      </c>
    </row>
    <row r="240" spans="1:41">
      <c r="A240" s="9">
        <f>ROUND(-1+238*2/240,3)</f>
        <v>0.98299999999999998</v>
      </c>
      <c r="B240" s="9">
        <f>IF(OR(Inputs!$F$6=TRUE,Inputs!$F$6="TRUE",Inputs!$F$6=1),(Inputs!$H$6+Inputs!$L$6*(((Inputs!$I$6+(((A240)+1)/2)*(Inputs!$J$6-Inputs!$I$6)))/Inputs!$K$6)^2),NA())</f>
        <v>403.86515600000001</v>
      </c>
      <c r="C240" s="9">
        <f>IF(OR(Inputs!$F$7=TRUE,Inputs!$F$7="TRUE",Inputs!$F$7=1),(Inputs!$H$7+Inputs!$L$7*(((Inputs!$I$7+(((A240)+1)/2)*(Inputs!$J$7-Inputs!$I$7)))/Inputs!$K$7)^2),NA())</f>
        <v>387.69548500000008</v>
      </c>
      <c r="D240" s="9">
        <f>IF(OR(Inputs!$F$8=TRUE,Inputs!$F$8="TRUE",Inputs!$F$8=1),(Inputs!$H$8+Inputs!$L$8*(((Inputs!$I$8+(((A240)+1)/2)*(Inputs!$J$8-Inputs!$I$8)))/Inputs!$K$8)^2),NA())</f>
        <v>967.46888500000011</v>
      </c>
      <c r="E240" s="9">
        <f>IF(OR(Inputs!$F$9=TRUE,Inputs!$F$9="TRUE",Inputs!$F$9=1),(Inputs!$H$9+Inputs!$L$9*(((Inputs!$I$9+(((A240)+1)/2)*(Inputs!$J$9-Inputs!$I$9)))/Inputs!$K$9)^2),NA())</f>
        <v>967.13177500000018</v>
      </c>
      <c r="F240" s="10"/>
      <c r="G240" s="9">
        <f t="shared" si="18"/>
        <v>0.98299999999999998</v>
      </c>
      <c r="H240" s="9">
        <f>IF(OR(Inputs!$F$6=TRUE,Inputs!$F$6="TRUE",Inputs!$F$6=1),(((SQRT(((Inputs!$I$6+(((A240)+1)/2)*(Inputs!$J$6-Inputs!$I$6)))^2+Inputs!$C$6^2+((Inputs!$H$6+Inputs!$L$6*(((Inputs!$I$6+(((A240)+1)/2)*(Inputs!$J$6-Inputs!$I$6)))/Inputs!$K$6)^2))^2))-((Inputs!$H$6+Inputs!$L$6*(((Inputs!$I$6+(((A240)+1)/2)*(Inputs!$J$6-Inputs!$I$6)))/Inputs!$K$6)^2)))*1000/Inputs!$C$12),NA())</f>
        <v>2836.4602870901558</v>
      </c>
      <c r="I240" s="9">
        <f>IF(OR(Inputs!$F$7=TRUE,Inputs!$F$7="TRUE",Inputs!$F$7=1),(((SQRT(((Inputs!$I$7+(((A240)+1)/2)*(Inputs!$J$7-Inputs!$I$7)))^2+Inputs!$C$6^2+((Inputs!$H$7+Inputs!$L$7*(((Inputs!$I$7+(((A240)+1)/2)*(Inputs!$J$7-Inputs!$I$7)))/Inputs!$K$7)^2))^2))-((Inputs!$H$7+Inputs!$L$7*(((Inputs!$I$7+(((A240)+1)/2)*(Inputs!$J$7-Inputs!$I$7)))/Inputs!$K$7)^2)))*1000/Inputs!$C$12),NA())</f>
        <v>92730.541819843202</v>
      </c>
      <c r="J240" s="9">
        <f>IF(OR(Inputs!$F$8=TRUE,Inputs!$F$8="TRUE",Inputs!$F$8=1),(((SQRT(((Inputs!$I$8+(((A240)+1)/2)*(Inputs!$J$8-Inputs!$I$8)))^2+Inputs!$C$6^2+((Inputs!$H$8+Inputs!$L$8*(((Inputs!$I$8+(((A240)+1)/2)*(Inputs!$J$8-Inputs!$I$8)))/Inputs!$K$8)^2))^2))-((Inputs!$H$8+Inputs!$L$8*(((Inputs!$I$8+(((A240)+1)/2)*(Inputs!$J$8-Inputs!$I$8)))/Inputs!$K$8)^2)))*1000/Inputs!$C$12),NA())</f>
        <v>157048.28758301042</v>
      </c>
      <c r="K240" s="9">
        <f>IF(OR(Inputs!$F$9=TRUE,Inputs!$F$9="TRUE",Inputs!$F$9=1),(((SQRT(((Inputs!$I$9+(((A240)+1)/2)*(Inputs!$J$9-Inputs!$I$9)))^2+Inputs!$C$6^2+((Inputs!$H$9+Inputs!$L$9*(((Inputs!$I$9+(((A240)+1)/2)*(Inputs!$J$9-Inputs!$I$9)))/Inputs!$K$9)^2))^2))-((Inputs!$H$9+Inputs!$L$9*(((Inputs!$I$9+(((A240)+1)/2)*(Inputs!$J$9-Inputs!$I$9)))/Inputs!$K$9)^2)))*1000/Inputs!$C$12),NA())</f>
        <v>157090.75320353307</v>
      </c>
      <c r="L240" s="10"/>
      <c r="M240" s="9">
        <f t="shared" si="19"/>
        <v>0.98299999999999998</v>
      </c>
      <c r="N240" s="9">
        <f>IF(OR(Inputs!$F$6=TRUE,Inputs!$F$6="TRUE",Inputs!$F$6=1),(-2*((1000*((((Inputs!$I$6+(((A240)+1)/2)*(Inputs!$J$6-Inputs!$I$6)))*Inputs!$C$11+((Inputs!$H$6+Inputs!$L$6*(((Inputs!$I$6+(((A240)+1)/2)*(Inputs!$J$6-Inputs!$I$6)))/Inputs!$K$6)^2))*((2*Inputs!$L$6*((Inputs!$I$6+(((A240)+1)/2)*(Inputs!$J$6-Inputs!$I$6)))/(Inputs!$K$6^2)*Inputs!$C$11)))/(SQRT(((Inputs!$I$6+(((A240)+1)/2)*(Inputs!$J$6-Inputs!$I$6)))^2+Inputs!$C$6^2+((Inputs!$H$6+Inputs!$L$6*(((Inputs!$I$6+(((A240)+1)/2)*(Inputs!$J$6-Inputs!$I$6)))/Inputs!$K$6)^2))^2)))))/Inputs!$C$13),NA())</f>
        <v>-437.89449964340099</v>
      </c>
      <c r="O240" s="9">
        <f>IF(OR(Inputs!$F$7=TRUE,Inputs!$F$7="TRUE",Inputs!$F$7=1),(-2*((1000*((((Inputs!$I$7+(((A240)+1)/2)*(Inputs!$J$7-Inputs!$I$7)))*Inputs!$C$11+((Inputs!$H$7+Inputs!$L$7*(((Inputs!$I$7+(((A240)+1)/2)*(Inputs!$J$7-Inputs!$I$7)))/Inputs!$K$7)^2))*((2*Inputs!$L$7*((Inputs!$I$7+(((A240)+1)/2)*(Inputs!$J$7-Inputs!$I$7)))/(Inputs!$K$7^2)*Inputs!$C$11)))/(SQRT(((Inputs!$I$7+(((A240)+1)/2)*(Inputs!$J$7-Inputs!$I$7)))^2+Inputs!$C$6^2+((Inputs!$H$7+Inputs!$L$7*(((Inputs!$I$7+(((A240)+1)/2)*(Inputs!$J$7-Inputs!$I$7)))/Inputs!$K$7)^2))^2)))))/Inputs!$C$13),NA())</f>
        <v>-3151.3834075053483</v>
      </c>
      <c r="P240" s="9">
        <f>IF(OR(Inputs!$F$8=TRUE,Inputs!$F$8="TRUE",Inputs!$F$8=1),(-2*((1000*((((Inputs!$I$8+(((A240)+1)/2)*(Inputs!$J$8-Inputs!$I$8)))*Inputs!$C$11+((Inputs!$H$8+Inputs!$L$8*(((Inputs!$I$8+(((A240)+1)/2)*(Inputs!$J$8-Inputs!$I$8)))/Inputs!$K$8)^2))*((2*Inputs!$L$8*((Inputs!$I$8+(((A240)+1)/2)*(Inputs!$J$8-Inputs!$I$8)))/(Inputs!$K$8^2)*Inputs!$C$11)))/(SQRT(((Inputs!$I$8+(((A240)+1)/2)*(Inputs!$J$8-Inputs!$I$8)))^2+Inputs!$C$6^2+((Inputs!$H$8+Inputs!$L$8*(((Inputs!$I$8+(((A240)+1)/2)*(Inputs!$J$8-Inputs!$I$8)))/Inputs!$K$8)^2))^2)))))/Inputs!$C$13),NA())</f>
        <v>-3952.7874424724578</v>
      </c>
      <c r="Q240" s="9">
        <f>IF(OR(Inputs!$F$9=TRUE,Inputs!$F$9="TRUE",Inputs!$F$9=1),(-2*((1000*((((Inputs!$I$9+(((A240)+1)/2)*(Inputs!$J$9-Inputs!$I$9)))*Inputs!$C$11+((Inputs!$H$9+Inputs!$L$9*(((Inputs!$I$9+(((A240)+1)/2)*(Inputs!$J$9-Inputs!$I$9)))/Inputs!$K$9)^2))*((2*Inputs!$L$9*((Inputs!$I$9+(((A240)+1)/2)*(Inputs!$J$9-Inputs!$I$9)))/(Inputs!$K$9^2)*Inputs!$C$11)))/(SQRT(((Inputs!$I$9+(((A240)+1)/2)*(Inputs!$J$9-Inputs!$I$9)))^2+Inputs!$C$6^2+((Inputs!$H$9+Inputs!$L$9*(((Inputs!$I$9+(((A240)+1)/2)*(Inputs!$J$9-Inputs!$I$9)))/Inputs!$K$9)^2))^2)))))/Inputs!$C$13),NA())</f>
        <v>-3983.091942306341</v>
      </c>
      <c r="R240" s="10"/>
      <c r="S240" s="9">
        <f t="shared" si="20"/>
        <v>0.98299999999999998</v>
      </c>
      <c r="T240" s="9">
        <f>(Inputs!$I$6+(((A240)+1)/2)*(Inputs!$J$6-Inputs!$I$6))</f>
        <v>58.980000000000004</v>
      </c>
      <c r="U240" s="9">
        <f>(Inputs!$I$7+(((A240)+1)/2)*(Inputs!$J$7-Inputs!$I$7))</f>
        <v>393.20000000000005</v>
      </c>
      <c r="V240" s="9">
        <f>(Inputs!$I$8+(((A240)+1)/2)*(Inputs!$J$8-Inputs!$I$8))</f>
        <v>786.40000000000009</v>
      </c>
      <c r="W240" s="9">
        <f>(Inputs!$I$9+(((A240)+1)/2)*(Inputs!$J$9-Inputs!$I$9))</f>
        <v>786.40000000000009</v>
      </c>
      <c r="X240" s="10"/>
      <c r="Y240" s="9">
        <f t="shared" si="21"/>
        <v>0.98299999999999998</v>
      </c>
      <c r="Z240" s="9">
        <f>(Inputs!$H$6+Inputs!$L$6*(((Inputs!$I$6+(((A240)+1)/2)*(Inputs!$J$6-Inputs!$I$6)))/Inputs!$K$6)^2)</f>
        <v>403.86515600000001</v>
      </c>
      <c r="AA240" s="9">
        <f>(Inputs!$H$7+Inputs!$L$7*(((Inputs!$I$7+(((A240)+1)/2)*(Inputs!$J$7-Inputs!$I$7)))/Inputs!$K$7)^2)</f>
        <v>387.69548500000008</v>
      </c>
      <c r="AB240" s="9">
        <f>(Inputs!$H$8+Inputs!$L$8*(((Inputs!$I$8+(((A240)+1)/2)*(Inputs!$J$8-Inputs!$I$8)))/Inputs!$K$8)^2)</f>
        <v>967.46888500000011</v>
      </c>
      <c r="AC240" s="9">
        <f>(Inputs!$H$9+Inputs!$L$9*(((Inputs!$I$9+(((A240)+1)/2)*(Inputs!$J$9-Inputs!$I$9)))/Inputs!$K$9)^2)</f>
        <v>967.13177500000018</v>
      </c>
      <c r="AD240" s="10"/>
      <c r="AE240" s="9">
        <f t="shared" si="22"/>
        <v>0.98299999999999998</v>
      </c>
      <c r="AF240" s="9">
        <f>(((SQRT(((Inputs!$I$6+(((A240)+1)/2)*(Inputs!$J$6-Inputs!$I$6)))^2+Inputs!$C$6^2+((Inputs!$H$6+Inputs!$L$6*(((Inputs!$I$6+(((A240)+1)/2)*(Inputs!$J$6-Inputs!$I$6)))/Inputs!$K$6)^2))^2))-((Inputs!$H$6+Inputs!$L$6*(((Inputs!$I$6+(((A240)+1)/2)*(Inputs!$J$6-Inputs!$I$6)))/Inputs!$K$6)^2)))*1000/Inputs!$C$12)</f>
        <v>2836.4602870901558</v>
      </c>
      <c r="AG240" s="9">
        <f>(((SQRT(((Inputs!$I$7+(((A240)+1)/2)*(Inputs!$J$7-Inputs!$I$7)))^2+Inputs!$C$6^2+((Inputs!$H$7+Inputs!$L$7*(((Inputs!$I$7+(((A240)+1)/2)*(Inputs!$J$7-Inputs!$I$7)))/Inputs!$K$7)^2))^2))-((Inputs!$H$7+Inputs!$L$7*(((Inputs!$I$7+(((A240)+1)/2)*(Inputs!$J$7-Inputs!$I$7)))/Inputs!$K$7)^2)))*1000/Inputs!$C$12)</f>
        <v>92730.541819843202</v>
      </c>
      <c r="AH240" s="9">
        <f>(((SQRT(((Inputs!$I$8+(((A240)+1)/2)*(Inputs!$J$8-Inputs!$I$8)))^2+Inputs!$C$6^2+((Inputs!$H$8+Inputs!$L$8*(((Inputs!$I$8+(((A240)+1)/2)*(Inputs!$J$8-Inputs!$I$8)))/Inputs!$K$8)^2))^2))-((Inputs!$H$8+Inputs!$L$8*(((Inputs!$I$8+(((A240)+1)/2)*(Inputs!$J$8-Inputs!$I$8)))/Inputs!$K$8)^2)))*1000/Inputs!$C$12)</f>
        <v>157048.28758301042</v>
      </c>
      <c r="AI240" s="9">
        <f>(((SQRT(((Inputs!$I$9+(((A240)+1)/2)*(Inputs!$J$9-Inputs!$I$9)))^2+Inputs!$C$6^2+((Inputs!$H$9+Inputs!$L$9*(((Inputs!$I$9+(((A240)+1)/2)*(Inputs!$J$9-Inputs!$I$9)))/Inputs!$K$9)^2))^2))-((Inputs!$H$9+Inputs!$L$9*(((Inputs!$I$9+(((A240)+1)/2)*(Inputs!$J$9-Inputs!$I$9)))/Inputs!$K$9)^2)))*1000/Inputs!$C$12)</f>
        <v>157090.75320353307</v>
      </c>
      <c r="AJ240" s="10"/>
      <c r="AK240" s="9">
        <f t="shared" si="23"/>
        <v>0.98299999999999998</v>
      </c>
      <c r="AL240" s="9">
        <f>(-2*((1000*((((Inputs!$I$6+(((A240)+1)/2)*(Inputs!$J$6-Inputs!$I$6)))*Inputs!$C$11+((Inputs!$H$6+Inputs!$L$6*(((Inputs!$I$6+(((A240)+1)/2)*(Inputs!$J$6-Inputs!$I$6)))/Inputs!$K$6)^2))*((2*Inputs!$L$6*((Inputs!$I$6+(((A240)+1)/2)*(Inputs!$J$6-Inputs!$I$6)))/(Inputs!$K$6^2)*Inputs!$C$11)))/(SQRT(((Inputs!$I$6+(((A240)+1)/2)*(Inputs!$J$6-Inputs!$I$6)))^2+Inputs!$C$6^2+((Inputs!$H$6+Inputs!$L$6*(((Inputs!$I$6+(((A240)+1)/2)*(Inputs!$J$6-Inputs!$I$6)))/Inputs!$K$6)^2))^2)))))/Inputs!$C$13)</f>
        <v>-437.89449964340099</v>
      </c>
      <c r="AM240" s="9">
        <f>(-2*((1000*((((Inputs!$I$7+(((A240)+1)/2)*(Inputs!$J$7-Inputs!$I$7)))*Inputs!$C$11+((Inputs!$H$7+Inputs!$L$7*(((Inputs!$I$7+(((A240)+1)/2)*(Inputs!$J$7-Inputs!$I$7)))/Inputs!$K$7)^2))*((2*Inputs!$L$7*((Inputs!$I$7+(((A240)+1)/2)*(Inputs!$J$7-Inputs!$I$7)))/(Inputs!$K$7^2)*Inputs!$C$11)))/(SQRT(((Inputs!$I$7+(((A240)+1)/2)*(Inputs!$J$7-Inputs!$I$7)))^2+Inputs!$C$6^2+((Inputs!$H$7+Inputs!$L$7*(((Inputs!$I$7+(((A240)+1)/2)*(Inputs!$J$7-Inputs!$I$7)))/Inputs!$K$7)^2))^2)))))/Inputs!$C$13)</f>
        <v>-3151.3834075053483</v>
      </c>
      <c r="AN240" s="9">
        <f>(-2*((1000*((((Inputs!$I$8+(((A240)+1)/2)*(Inputs!$J$8-Inputs!$I$8)))*Inputs!$C$11+((Inputs!$H$8+Inputs!$L$8*(((Inputs!$I$8+(((A240)+1)/2)*(Inputs!$J$8-Inputs!$I$8)))/Inputs!$K$8)^2))*((2*Inputs!$L$8*((Inputs!$I$8+(((A240)+1)/2)*(Inputs!$J$8-Inputs!$I$8)))/(Inputs!$K$8^2)*Inputs!$C$11)))/(SQRT(((Inputs!$I$8+(((A240)+1)/2)*(Inputs!$J$8-Inputs!$I$8)))^2+Inputs!$C$6^2+((Inputs!$H$8+Inputs!$L$8*(((Inputs!$I$8+(((A240)+1)/2)*(Inputs!$J$8-Inputs!$I$8)))/Inputs!$K$8)^2))^2)))))/Inputs!$C$13)</f>
        <v>-3952.7874424724578</v>
      </c>
      <c r="AO240" s="9">
        <f>(-2*((1000*((((Inputs!$I$9+(((A240)+1)/2)*(Inputs!$J$9-Inputs!$I$9)))*Inputs!$C$11+((Inputs!$H$9+Inputs!$L$9*(((Inputs!$I$9+(((A240)+1)/2)*(Inputs!$J$9-Inputs!$I$9)))/Inputs!$K$9)^2))*((2*Inputs!$L$9*((Inputs!$I$9+(((A240)+1)/2)*(Inputs!$J$9-Inputs!$I$9)))/(Inputs!$K$9^2)*Inputs!$C$11)))/(SQRT(((Inputs!$I$9+(((A240)+1)/2)*(Inputs!$J$9-Inputs!$I$9)))^2+Inputs!$C$6^2+((Inputs!$H$9+Inputs!$L$9*(((Inputs!$I$9+(((A240)+1)/2)*(Inputs!$J$9-Inputs!$I$9)))/Inputs!$K$9)^2))^2)))))/Inputs!$C$13)</f>
        <v>-3983.091942306341</v>
      </c>
    </row>
    <row r="241" spans="1:41">
      <c r="A241" s="9">
        <f>ROUND(-1+239*2/240,3)</f>
        <v>0.99199999999999999</v>
      </c>
      <c r="B241" s="9">
        <f>IF(OR(Inputs!$F$6=TRUE,Inputs!$F$6="TRUE",Inputs!$F$6=1),(Inputs!$H$6+Inputs!$L$6*(((Inputs!$I$6+(((A241)+1)/2)*(Inputs!$J$6-Inputs!$I$6)))/Inputs!$K$6)^2),NA())</f>
        <v>403.93625600000001</v>
      </c>
      <c r="C241" s="9">
        <f>IF(OR(Inputs!$F$7=TRUE,Inputs!$F$7="TRUE",Inputs!$F$7=1),(Inputs!$H$7+Inputs!$L$7*(((Inputs!$I$7+(((A241)+1)/2)*(Inputs!$J$7-Inputs!$I$7)))/Inputs!$K$7)^2),NA())</f>
        <v>394.18335999999988</v>
      </c>
      <c r="D241" s="9">
        <f>IF(OR(Inputs!$F$8=TRUE,Inputs!$F$8="TRUE",Inputs!$F$8=1),(Inputs!$H$8+Inputs!$L$8*(((Inputs!$I$8+(((A241)+1)/2)*(Inputs!$J$8-Inputs!$I$8)))/Inputs!$K$8)^2),NA())</f>
        <v>984.62175999999977</v>
      </c>
      <c r="E241" s="9">
        <f>IF(OR(Inputs!$F$9=TRUE,Inputs!$F$9="TRUE",Inputs!$F$9=1),(Inputs!$H$9+Inputs!$L$9*(((Inputs!$I$9+(((A241)+1)/2)*(Inputs!$J$9-Inputs!$I$9)))/Inputs!$K$9)^2),NA())</f>
        <v>984.46239999999977</v>
      </c>
      <c r="F241" s="10"/>
      <c r="G241" s="9">
        <f t="shared" si="18"/>
        <v>0.99199999999999999</v>
      </c>
      <c r="H241" s="9">
        <f>IF(OR(Inputs!$F$6=TRUE,Inputs!$F$6="TRUE",Inputs!$F$6=1),(((SQRT(((Inputs!$I$6+(((A241)+1)/2)*(Inputs!$J$6-Inputs!$I$6)))^2+Inputs!$C$6^2+((Inputs!$H$6+Inputs!$L$6*(((Inputs!$I$6+(((A241)+1)/2)*(Inputs!$J$6-Inputs!$I$6)))/Inputs!$K$6)^2))^2))-((Inputs!$H$6+Inputs!$L$6*(((Inputs!$I$6+(((A241)+1)/2)*(Inputs!$J$6-Inputs!$I$6)))/Inputs!$K$6)^2)))*1000/Inputs!$C$12),NA())</f>
        <v>2879.9126376923959</v>
      </c>
      <c r="I241" s="9">
        <f>IF(OR(Inputs!$F$7=TRUE,Inputs!$F$7="TRUE",Inputs!$F$7=1),(((SQRT(((Inputs!$I$7+(((A241)+1)/2)*(Inputs!$J$7-Inputs!$I$7)))^2+Inputs!$C$6^2+((Inputs!$H$7+Inputs!$L$7*(((Inputs!$I$7+(((A241)+1)/2)*(Inputs!$J$7-Inputs!$I$7)))/Inputs!$K$7)^2))^2))-((Inputs!$H$7+Inputs!$L$7*(((Inputs!$I$7+(((A241)+1)/2)*(Inputs!$J$7-Inputs!$I$7)))/Inputs!$K$7)^2)))*1000/Inputs!$C$12),NA())</f>
        <v>93083.056536724122</v>
      </c>
      <c r="J241" s="9">
        <f>IF(OR(Inputs!$F$8=TRUE,Inputs!$F$8="TRUE",Inputs!$F$8=1),(((SQRT(((Inputs!$I$8+(((A241)+1)/2)*(Inputs!$J$8-Inputs!$I$8)))^2+Inputs!$C$6^2+((Inputs!$H$8+Inputs!$L$8*(((Inputs!$I$8+(((A241)+1)/2)*(Inputs!$J$8-Inputs!$I$8)))/Inputs!$K$8)^2))^2))-((Inputs!$H$8+Inputs!$L$8*(((Inputs!$I$8+(((A241)+1)/2)*(Inputs!$J$8-Inputs!$I$8)))/Inputs!$K$8)^2)))*1000/Inputs!$C$12),NA())</f>
        <v>157445.01966581421</v>
      </c>
      <c r="K241" s="9">
        <f>IF(OR(Inputs!$F$9=TRUE,Inputs!$F$9="TRUE",Inputs!$F$9=1),(((SQRT(((Inputs!$I$9+(((A241)+1)/2)*(Inputs!$J$9-Inputs!$I$9)))^2+Inputs!$C$6^2+((Inputs!$H$9+Inputs!$L$9*(((Inputs!$I$9+(((A241)+1)/2)*(Inputs!$J$9-Inputs!$I$9)))/Inputs!$K$9)^2))^2))-((Inputs!$H$9+Inputs!$L$9*(((Inputs!$I$9+(((A241)+1)/2)*(Inputs!$J$9-Inputs!$I$9)))/Inputs!$K$9)^2)))*1000/Inputs!$C$12),NA())</f>
        <v>157464.85820436524</v>
      </c>
      <c r="L241" s="10"/>
      <c r="M241" s="9">
        <f t="shared" si="19"/>
        <v>0.99199999999999999</v>
      </c>
      <c r="N241" s="9">
        <f>IF(OR(Inputs!$F$6=TRUE,Inputs!$F$6="TRUE",Inputs!$F$6=1),(-2*((1000*((((Inputs!$I$6+(((A241)+1)/2)*(Inputs!$J$6-Inputs!$I$6)))*Inputs!$C$11+((Inputs!$H$6+Inputs!$L$6*(((Inputs!$I$6+(((A241)+1)/2)*(Inputs!$J$6-Inputs!$I$6)))/Inputs!$K$6)^2))*((2*Inputs!$L$6*((Inputs!$I$6+(((A241)+1)/2)*(Inputs!$J$6-Inputs!$I$6)))/(Inputs!$K$6^2)*Inputs!$C$11)))/(SQRT(((Inputs!$I$6+(((A241)+1)/2)*(Inputs!$J$6-Inputs!$I$6)))^2+Inputs!$C$6^2+((Inputs!$H$6+Inputs!$L$6*(((Inputs!$I$6+(((A241)+1)/2)*(Inputs!$J$6-Inputs!$I$6)))/Inputs!$K$6)^2))^2)))))/Inputs!$C$13),NA())</f>
        <v>-441.78012695950201</v>
      </c>
      <c r="O241" s="9">
        <f>IF(OR(Inputs!$F$7=TRUE,Inputs!$F$7="TRUE",Inputs!$F$7=1),(-2*((1000*((((Inputs!$I$7+(((A241)+1)/2)*(Inputs!$J$7-Inputs!$I$7)))*Inputs!$C$11+((Inputs!$H$7+Inputs!$L$7*(((Inputs!$I$7+(((A241)+1)/2)*(Inputs!$J$7-Inputs!$I$7)))/Inputs!$K$7)^2))*((2*Inputs!$L$7*((Inputs!$I$7+(((A241)+1)/2)*(Inputs!$J$7-Inputs!$I$7)))/(Inputs!$K$7^2)*Inputs!$C$11)))/(SQRT(((Inputs!$I$7+(((A241)+1)/2)*(Inputs!$J$7-Inputs!$I$7)))^2+Inputs!$C$6^2+((Inputs!$H$7+Inputs!$L$7*(((Inputs!$I$7+(((A241)+1)/2)*(Inputs!$J$7-Inputs!$I$7)))/Inputs!$K$7)^2))^2)))))/Inputs!$C$13),NA())</f>
        <v>-3173.3857463897571</v>
      </c>
      <c r="P241" s="9">
        <f>IF(OR(Inputs!$F$8=TRUE,Inputs!$F$8="TRUE",Inputs!$F$8=1),(-2*((1000*((((Inputs!$I$8+(((A241)+1)/2)*(Inputs!$J$8-Inputs!$I$8)))*Inputs!$C$11+((Inputs!$H$8+Inputs!$L$8*(((Inputs!$I$8+(((A241)+1)/2)*(Inputs!$J$8-Inputs!$I$8)))/Inputs!$K$8)^2))*((2*Inputs!$L$8*((Inputs!$I$8+(((A241)+1)/2)*(Inputs!$J$8-Inputs!$I$8)))/(Inputs!$K$8^2)*Inputs!$C$11)))/(SQRT(((Inputs!$I$8+(((A241)+1)/2)*(Inputs!$J$8-Inputs!$I$8)))^2+Inputs!$C$6^2+((Inputs!$H$8+Inputs!$L$8*(((Inputs!$I$8+(((A241)+1)/2)*(Inputs!$J$8-Inputs!$I$8)))/Inputs!$K$8)^2))^2)))))/Inputs!$C$13),NA())</f>
        <v>-3984.5828849449704</v>
      </c>
      <c r="Q241" s="9">
        <f>IF(OR(Inputs!$F$9=TRUE,Inputs!$F$9="TRUE",Inputs!$F$9=1),(-2*((1000*((((Inputs!$I$9+(((A241)+1)/2)*(Inputs!$J$9-Inputs!$I$9)))*Inputs!$C$11+((Inputs!$H$9+Inputs!$L$9*(((Inputs!$I$9+(((A241)+1)/2)*(Inputs!$J$9-Inputs!$I$9)))/Inputs!$K$9)^2))*((2*Inputs!$L$9*((Inputs!$I$9+(((A241)+1)/2)*(Inputs!$J$9-Inputs!$I$9)))/(Inputs!$K$9^2)*Inputs!$C$11)))/(SQRT(((Inputs!$I$9+(((A241)+1)/2)*(Inputs!$J$9-Inputs!$I$9)))^2+Inputs!$C$6^2+((Inputs!$H$9+Inputs!$L$9*(((Inputs!$I$9+(((A241)+1)/2)*(Inputs!$J$9-Inputs!$I$9)))/Inputs!$K$9)^2))^2)))))/Inputs!$C$13),NA())</f>
        <v>-4015.377541054278</v>
      </c>
      <c r="R241" s="10"/>
      <c r="S241" s="9">
        <f t="shared" si="20"/>
        <v>0.99199999999999999</v>
      </c>
      <c r="T241" s="9">
        <f>(Inputs!$I$6+(((A241)+1)/2)*(Inputs!$J$6-Inputs!$I$6))</f>
        <v>59.519999999999996</v>
      </c>
      <c r="U241" s="9">
        <f>(Inputs!$I$7+(((A241)+1)/2)*(Inputs!$J$7-Inputs!$I$7))</f>
        <v>396.79999999999995</v>
      </c>
      <c r="V241" s="9">
        <f>(Inputs!$I$8+(((A241)+1)/2)*(Inputs!$J$8-Inputs!$I$8))</f>
        <v>793.59999999999991</v>
      </c>
      <c r="W241" s="9">
        <f>(Inputs!$I$9+(((A241)+1)/2)*(Inputs!$J$9-Inputs!$I$9))</f>
        <v>793.59999999999991</v>
      </c>
      <c r="X241" s="10"/>
      <c r="Y241" s="9">
        <f t="shared" si="21"/>
        <v>0.99199999999999999</v>
      </c>
      <c r="Z241" s="9">
        <f>(Inputs!$H$6+Inputs!$L$6*(((Inputs!$I$6+(((A241)+1)/2)*(Inputs!$J$6-Inputs!$I$6)))/Inputs!$K$6)^2)</f>
        <v>403.93625600000001</v>
      </c>
      <c r="AA241" s="9">
        <f>(Inputs!$H$7+Inputs!$L$7*(((Inputs!$I$7+(((A241)+1)/2)*(Inputs!$J$7-Inputs!$I$7)))/Inputs!$K$7)^2)</f>
        <v>394.18335999999988</v>
      </c>
      <c r="AB241" s="9">
        <f>(Inputs!$H$8+Inputs!$L$8*(((Inputs!$I$8+(((A241)+1)/2)*(Inputs!$J$8-Inputs!$I$8)))/Inputs!$K$8)^2)</f>
        <v>984.62175999999977</v>
      </c>
      <c r="AC241" s="9">
        <f>(Inputs!$H$9+Inputs!$L$9*(((Inputs!$I$9+(((A241)+1)/2)*(Inputs!$J$9-Inputs!$I$9)))/Inputs!$K$9)^2)</f>
        <v>984.46239999999977</v>
      </c>
      <c r="AD241" s="10"/>
      <c r="AE241" s="9">
        <f t="shared" si="22"/>
        <v>0.99199999999999999</v>
      </c>
      <c r="AF241" s="9">
        <f>(((SQRT(((Inputs!$I$6+(((A241)+1)/2)*(Inputs!$J$6-Inputs!$I$6)))^2+Inputs!$C$6^2+((Inputs!$H$6+Inputs!$L$6*(((Inputs!$I$6+(((A241)+1)/2)*(Inputs!$J$6-Inputs!$I$6)))/Inputs!$K$6)^2))^2))-((Inputs!$H$6+Inputs!$L$6*(((Inputs!$I$6+(((A241)+1)/2)*(Inputs!$J$6-Inputs!$I$6)))/Inputs!$K$6)^2)))*1000/Inputs!$C$12)</f>
        <v>2879.9126376923959</v>
      </c>
      <c r="AG241" s="9">
        <f>(((SQRT(((Inputs!$I$7+(((A241)+1)/2)*(Inputs!$J$7-Inputs!$I$7)))^2+Inputs!$C$6^2+((Inputs!$H$7+Inputs!$L$7*(((Inputs!$I$7+(((A241)+1)/2)*(Inputs!$J$7-Inputs!$I$7)))/Inputs!$K$7)^2))^2))-((Inputs!$H$7+Inputs!$L$7*(((Inputs!$I$7+(((A241)+1)/2)*(Inputs!$J$7-Inputs!$I$7)))/Inputs!$K$7)^2)))*1000/Inputs!$C$12)</f>
        <v>93083.056536724122</v>
      </c>
      <c r="AH241" s="9">
        <f>(((SQRT(((Inputs!$I$8+(((A241)+1)/2)*(Inputs!$J$8-Inputs!$I$8)))^2+Inputs!$C$6^2+((Inputs!$H$8+Inputs!$L$8*(((Inputs!$I$8+(((A241)+1)/2)*(Inputs!$J$8-Inputs!$I$8)))/Inputs!$K$8)^2))^2))-((Inputs!$H$8+Inputs!$L$8*(((Inputs!$I$8+(((A241)+1)/2)*(Inputs!$J$8-Inputs!$I$8)))/Inputs!$K$8)^2)))*1000/Inputs!$C$12)</f>
        <v>157445.01966581421</v>
      </c>
      <c r="AI241" s="9">
        <f>(((SQRT(((Inputs!$I$9+(((A241)+1)/2)*(Inputs!$J$9-Inputs!$I$9)))^2+Inputs!$C$6^2+((Inputs!$H$9+Inputs!$L$9*(((Inputs!$I$9+(((A241)+1)/2)*(Inputs!$J$9-Inputs!$I$9)))/Inputs!$K$9)^2))^2))-((Inputs!$H$9+Inputs!$L$9*(((Inputs!$I$9+(((A241)+1)/2)*(Inputs!$J$9-Inputs!$I$9)))/Inputs!$K$9)^2)))*1000/Inputs!$C$12)</f>
        <v>157464.85820436524</v>
      </c>
      <c r="AJ241" s="10"/>
      <c r="AK241" s="9">
        <f t="shared" si="23"/>
        <v>0.99199999999999999</v>
      </c>
      <c r="AL241" s="9">
        <f>(-2*((1000*((((Inputs!$I$6+(((A241)+1)/2)*(Inputs!$J$6-Inputs!$I$6)))*Inputs!$C$11+((Inputs!$H$6+Inputs!$L$6*(((Inputs!$I$6+(((A241)+1)/2)*(Inputs!$J$6-Inputs!$I$6)))/Inputs!$K$6)^2))*((2*Inputs!$L$6*((Inputs!$I$6+(((A241)+1)/2)*(Inputs!$J$6-Inputs!$I$6)))/(Inputs!$K$6^2)*Inputs!$C$11)))/(SQRT(((Inputs!$I$6+(((A241)+1)/2)*(Inputs!$J$6-Inputs!$I$6)))^2+Inputs!$C$6^2+((Inputs!$H$6+Inputs!$L$6*(((Inputs!$I$6+(((A241)+1)/2)*(Inputs!$J$6-Inputs!$I$6)))/Inputs!$K$6)^2))^2)))))/Inputs!$C$13)</f>
        <v>-441.78012695950201</v>
      </c>
      <c r="AM241" s="9">
        <f>(-2*((1000*((((Inputs!$I$7+(((A241)+1)/2)*(Inputs!$J$7-Inputs!$I$7)))*Inputs!$C$11+((Inputs!$H$7+Inputs!$L$7*(((Inputs!$I$7+(((A241)+1)/2)*(Inputs!$J$7-Inputs!$I$7)))/Inputs!$K$7)^2))*((2*Inputs!$L$7*((Inputs!$I$7+(((A241)+1)/2)*(Inputs!$J$7-Inputs!$I$7)))/(Inputs!$K$7^2)*Inputs!$C$11)))/(SQRT(((Inputs!$I$7+(((A241)+1)/2)*(Inputs!$J$7-Inputs!$I$7)))^2+Inputs!$C$6^2+((Inputs!$H$7+Inputs!$L$7*(((Inputs!$I$7+(((A241)+1)/2)*(Inputs!$J$7-Inputs!$I$7)))/Inputs!$K$7)^2))^2)))))/Inputs!$C$13)</f>
        <v>-3173.3857463897571</v>
      </c>
      <c r="AN241" s="9">
        <f>(-2*((1000*((((Inputs!$I$8+(((A241)+1)/2)*(Inputs!$J$8-Inputs!$I$8)))*Inputs!$C$11+((Inputs!$H$8+Inputs!$L$8*(((Inputs!$I$8+(((A241)+1)/2)*(Inputs!$J$8-Inputs!$I$8)))/Inputs!$K$8)^2))*((2*Inputs!$L$8*((Inputs!$I$8+(((A241)+1)/2)*(Inputs!$J$8-Inputs!$I$8)))/(Inputs!$K$8^2)*Inputs!$C$11)))/(SQRT(((Inputs!$I$8+(((A241)+1)/2)*(Inputs!$J$8-Inputs!$I$8)))^2+Inputs!$C$6^2+((Inputs!$H$8+Inputs!$L$8*(((Inputs!$I$8+(((A241)+1)/2)*(Inputs!$J$8-Inputs!$I$8)))/Inputs!$K$8)^2))^2)))))/Inputs!$C$13)</f>
        <v>-3984.5828849449704</v>
      </c>
      <c r="AO241" s="9">
        <f>(-2*((1000*((((Inputs!$I$9+(((A241)+1)/2)*(Inputs!$J$9-Inputs!$I$9)))*Inputs!$C$11+((Inputs!$H$9+Inputs!$L$9*(((Inputs!$I$9+(((A241)+1)/2)*(Inputs!$J$9-Inputs!$I$9)))/Inputs!$K$9)^2))*((2*Inputs!$L$9*((Inputs!$I$9+(((A241)+1)/2)*(Inputs!$J$9-Inputs!$I$9)))/(Inputs!$K$9^2)*Inputs!$C$11)))/(SQRT(((Inputs!$I$9+(((A241)+1)/2)*(Inputs!$J$9-Inputs!$I$9)))^2+Inputs!$C$6^2+((Inputs!$H$9+Inputs!$L$9*(((Inputs!$I$9+(((A241)+1)/2)*(Inputs!$J$9-Inputs!$I$9)))/Inputs!$K$9)^2))^2)))))/Inputs!$C$13)</f>
        <v>-4015.377541054278</v>
      </c>
    </row>
    <row r="242" spans="1:41">
      <c r="A242" s="9">
        <f>ROUND(-1+240*2/240,3)</f>
        <v>1</v>
      </c>
      <c r="B242" s="9">
        <f>IF(OR(Inputs!$F$6=TRUE,Inputs!$F$6="TRUE",Inputs!$F$6=1),(Inputs!$H$6+Inputs!$L$6*(((Inputs!$I$6+(((A242)+1)/2)*(Inputs!$J$6-Inputs!$I$6)))/Inputs!$K$6)^2),NA())</f>
        <v>404</v>
      </c>
      <c r="C242" s="9">
        <f>IF(OR(Inputs!$F$7=TRUE,Inputs!$F$7="TRUE",Inputs!$F$7=1),(Inputs!$H$7+Inputs!$L$7*(((Inputs!$I$7+(((A242)+1)/2)*(Inputs!$J$7-Inputs!$I$7)))/Inputs!$K$7)^2),NA())</f>
        <v>400</v>
      </c>
      <c r="D242" s="9">
        <f>IF(OR(Inputs!$F$8=TRUE,Inputs!$F$8="TRUE",Inputs!$F$8=1),(Inputs!$H$8+Inputs!$L$8*(((Inputs!$I$8+(((A242)+1)/2)*(Inputs!$J$8-Inputs!$I$8)))/Inputs!$K$8)^2),NA())</f>
        <v>1000</v>
      </c>
      <c r="E242" s="9">
        <f>IF(OR(Inputs!$F$9=TRUE,Inputs!$F$9="TRUE",Inputs!$F$9=1),(Inputs!$H$9+Inputs!$L$9*(((Inputs!$I$9+(((A242)+1)/2)*(Inputs!$J$9-Inputs!$I$9)))/Inputs!$K$9)^2),NA())</f>
        <v>1000</v>
      </c>
      <c r="F242" s="10"/>
      <c r="G242" s="9">
        <f t="shared" si="18"/>
        <v>1</v>
      </c>
      <c r="H242" s="9">
        <f>IF(OR(Inputs!$F$6=TRUE,Inputs!$F$6="TRUE",Inputs!$F$6=1),(((SQRT(((Inputs!$I$6+(((A242)+1)/2)*(Inputs!$J$6-Inputs!$I$6)))^2+Inputs!$C$6^2+((Inputs!$H$6+Inputs!$L$6*(((Inputs!$I$6+(((A242)+1)/2)*(Inputs!$J$6-Inputs!$I$6)))/Inputs!$K$6)^2))^2))-((Inputs!$H$6+Inputs!$L$6*(((Inputs!$I$6+(((A242)+1)/2)*(Inputs!$J$6-Inputs!$I$6)))/Inputs!$K$6)^2)))*1000/Inputs!$C$12),NA())</f>
        <v>2918.8495915692838</v>
      </c>
      <c r="I242" s="9">
        <f>IF(OR(Inputs!$F$7=TRUE,Inputs!$F$7="TRUE",Inputs!$F$7=1),(((SQRT(((Inputs!$I$7+(((A242)+1)/2)*(Inputs!$J$7-Inputs!$I$7)))^2+Inputs!$C$6^2+((Inputs!$H$7+Inputs!$L$7*(((Inputs!$I$7+(((A242)+1)/2)*(Inputs!$J$7-Inputs!$I$7)))/Inputs!$K$7)^2))^2))-((Inputs!$H$7+Inputs!$L$7*(((Inputs!$I$7+(((A242)+1)/2)*(Inputs!$J$7-Inputs!$I$7)))/Inputs!$K$7)^2)))*1000/Inputs!$C$12),NA())</f>
        <v>93391.900362531596</v>
      </c>
      <c r="J242" s="9">
        <f>IF(OR(Inputs!$F$8=TRUE,Inputs!$F$8="TRUE",Inputs!$F$8=1),(((SQRT(((Inputs!$I$8+(((A242)+1)/2)*(Inputs!$J$8-Inputs!$I$8)))^2+Inputs!$C$6^2+((Inputs!$H$8+Inputs!$L$8*(((Inputs!$I$8+(((A242)+1)/2)*(Inputs!$J$8-Inputs!$I$8)))/Inputs!$K$8)^2))^2))-((Inputs!$H$8+Inputs!$L$8*(((Inputs!$I$8+(((A242)+1)/2)*(Inputs!$J$8-Inputs!$I$8)))/Inputs!$K$8)^2)))*1000/Inputs!$C$12),NA())</f>
        <v>157791.48637356728</v>
      </c>
      <c r="K242" s="9">
        <f>IF(OR(Inputs!$F$9=TRUE,Inputs!$F$9="TRUE",Inputs!$F$9=1),(((SQRT(((Inputs!$I$9+(((A242)+1)/2)*(Inputs!$J$9-Inputs!$I$9)))^2+Inputs!$C$6^2+((Inputs!$H$9+Inputs!$L$9*(((Inputs!$I$9+(((A242)+1)/2)*(Inputs!$J$9-Inputs!$I$9)))/Inputs!$K$9)^2))^2))-((Inputs!$H$9+Inputs!$L$9*(((Inputs!$I$9+(((A242)+1)/2)*(Inputs!$J$9-Inputs!$I$9)))/Inputs!$K$9)^2)))*1000/Inputs!$C$12),NA())</f>
        <v>157791.48637356728</v>
      </c>
      <c r="L242" s="10"/>
      <c r="M242" s="9">
        <f t="shared" si="19"/>
        <v>1</v>
      </c>
      <c r="N242" s="9">
        <f>IF(OR(Inputs!$F$6=TRUE,Inputs!$F$6="TRUE",Inputs!$F$6=1),(-2*((1000*((((Inputs!$I$6+(((A242)+1)/2)*(Inputs!$J$6-Inputs!$I$6)))*Inputs!$C$11+((Inputs!$H$6+Inputs!$L$6*(((Inputs!$I$6+(((A242)+1)/2)*(Inputs!$J$6-Inputs!$I$6)))/Inputs!$K$6)^2))*((2*Inputs!$L$6*((Inputs!$I$6+(((A242)+1)/2)*(Inputs!$J$6-Inputs!$I$6)))/(Inputs!$K$6^2)*Inputs!$C$11)))/(SQRT(((Inputs!$I$6+(((A242)+1)/2)*(Inputs!$J$6-Inputs!$I$6)))^2+Inputs!$C$6^2+((Inputs!$H$6+Inputs!$L$6*(((Inputs!$I$6+(((A242)+1)/2)*(Inputs!$J$6-Inputs!$I$6)))/Inputs!$K$6)^2))^2)))))/Inputs!$C$13),NA())</f>
        <v>-445.23129749250427</v>
      </c>
      <c r="O242" s="9">
        <f>IF(OR(Inputs!$F$7=TRUE,Inputs!$F$7="TRUE",Inputs!$F$7=1),(-2*((1000*((((Inputs!$I$7+(((A242)+1)/2)*(Inputs!$J$7-Inputs!$I$7)))*Inputs!$C$11+((Inputs!$H$7+Inputs!$L$7*(((Inputs!$I$7+(((A242)+1)/2)*(Inputs!$J$7-Inputs!$I$7)))/Inputs!$K$7)^2))*((2*Inputs!$L$7*((Inputs!$I$7+(((A242)+1)/2)*(Inputs!$J$7-Inputs!$I$7)))/(Inputs!$K$7^2)*Inputs!$C$11)))/(SQRT(((Inputs!$I$7+(((A242)+1)/2)*(Inputs!$J$7-Inputs!$I$7)))^2+Inputs!$C$6^2+((Inputs!$H$7+Inputs!$L$7*(((Inputs!$I$7+(((A242)+1)/2)*(Inputs!$J$7-Inputs!$I$7)))/Inputs!$K$7)^2))^2)))))/Inputs!$C$13),NA())</f>
        <v>-3193.0060020981323</v>
      </c>
      <c r="P242" s="9">
        <f>IF(OR(Inputs!$F$8=TRUE,Inputs!$F$8="TRUE",Inputs!$F$8=1),(-2*((1000*((((Inputs!$I$8+(((A242)+1)/2)*(Inputs!$J$8-Inputs!$I$8)))*Inputs!$C$11+((Inputs!$H$8+Inputs!$L$8*(((Inputs!$I$8+(((A242)+1)/2)*(Inputs!$J$8-Inputs!$I$8)))/Inputs!$K$8)^2))*((2*Inputs!$L$8*((Inputs!$I$8+(((A242)+1)/2)*(Inputs!$J$8-Inputs!$I$8)))/(Inputs!$K$8^2)*Inputs!$C$11)))/(SQRT(((Inputs!$I$8+(((A242)+1)/2)*(Inputs!$J$8-Inputs!$I$8)))^2+Inputs!$C$6^2+((Inputs!$H$8+Inputs!$L$8*(((Inputs!$I$8+(((A242)+1)/2)*(Inputs!$J$8-Inputs!$I$8)))/Inputs!$K$8)^2))^2)))))/Inputs!$C$13),NA())</f>
        <v>-4012.9010999643679</v>
      </c>
      <c r="Q242" s="9">
        <f>IF(OR(Inputs!$F$9=TRUE,Inputs!$F$9="TRUE",Inputs!$F$9=1),(-2*((1000*((((Inputs!$I$9+(((A242)+1)/2)*(Inputs!$J$9-Inputs!$I$9)))*Inputs!$C$11+((Inputs!$H$9+Inputs!$L$9*(((Inputs!$I$9+(((A242)+1)/2)*(Inputs!$J$9-Inputs!$I$9)))/Inputs!$K$9)^2))*((2*Inputs!$L$9*((Inputs!$I$9+(((A242)+1)/2)*(Inputs!$J$9-Inputs!$I$9)))/(Inputs!$K$9^2)*Inputs!$C$11)))/(SQRT(((Inputs!$I$9+(((A242)+1)/2)*(Inputs!$J$9-Inputs!$I$9)))^2+Inputs!$C$6^2+((Inputs!$H$9+Inputs!$L$9*(((Inputs!$I$9+(((A242)+1)/2)*(Inputs!$J$9-Inputs!$I$9)))/Inputs!$K$9)^2))^2)))))/Inputs!$C$13),NA())</f>
        <v>-4044.1299022987214</v>
      </c>
      <c r="R242" s="10"/>
      <c r="S242" s="9">
        <f t="shared" si="20"/>
        <v>1</v>
      </c>
      <c r="T242" s="9">
        <f>(Inputs!$I$6+(((A242)+1)/2)*(Inputs!$J$6-Inputs!$I$6))</f>
        <v>60</v>
      </c>
      <c r="U242" s="9">
        <f>(Inputs!$I$7+(((A242)+1)/2)*(Inputs!$J$7-Inputs!$I$7))</f>
        <v>400</v>
      </c>
      <c r="V242" s="9">
        <f>(Inputs!$I$8+(((A242)+1)/2)*(Inputs!$J$8-Inputs!$I$8))</f>
        <v>800</v>
      </c>
      <c r="W242" s="9">
        <f>(Inputs!$I$9+(((A242)+1)/2)*(Inputs!$J$9-Inputs!$I$9))</f>
        <v>800</v>
      </c>
      <c r="X242" s="10"/>
      <c r="Y242" s="9">
        <f t="shared" si="21"/>
        <v>1</v>
      </c>
      <c r="Z242" s="9">
        <f>(Inputs!$H$6+Inputs!$L$6*(((Inputs!$I$6+(((A242)+1)/2)*(Inputs!$J$6-Inputs!$I$6)))/Inputs!$K$6)^2)</f>
        <v>404</v>
      </c>
      <c r="AA242" s="9">
        <f>(Inputs!$H$7+Inputs!$L$7*(((Inputs!$I$7+(((A242)+1)/2)*(Inputs!$J$7-Inputs!$I$7)))/Inputs!$K$7)^2)</f>
        <v>400</v>
      </c>
      <c r="AB242" s="9">
        <f>(Inputs!$H$8+Inputs!$L$8*(((Inputs!$I$8+(((A242)+1)/2)*(Inputs!$J$8-Inputs!$I$8)))/Inputs!$K$8)^2)</f>
        <v>1000</v>
      </c>
      <c r="AC242" s="9">
        <f>(Inputs!$H$9+Inputs!$L$9*(((Inputs!$I$9+(((A242)+1)/2)*(Inputs!$J$9-Inputs!$I$9)))/Inputs!$K$9)^2)</f>
        <v>1000</v>
      </c>
      <c r="AD242" s="10"/>
      <c r="AE242" s="9">
        <f t="shared" si="22"/>
        <v>1</v>
      </c>
      <c r="AF242" s="9">
        <f>(((SQRT(((Inputs!$I$6+(((A242)+1)/2)*(Inputs!$J$6-Inputs!$I$6)))^2+Inputs!$C$6^2+((Inputs!$H$6+Inputs!$L$6*(((Inputs!$I$6+(((A242)+1)/2)*(Inputs!$J$6-Inputs!$I$6)))/Inputs!$K$6)^2))^2))-((Inputs!$H$6+Inputs!$L$6*(((Inputs!$I$6+(((A242)+1)/2)*(Inputs!$J$6-Inputs!$I$6)))/Inputs!$K$6)^2)))*1000/Inputs!$C$12)</f>
        <v>2918.8495915692838</v>
      </c>
      <c r="AG242" s="9">
        <f>(((SQRT(((Inputs!$I$7+(((A242)+1)/2)*(Inputs!$J$7-Inputs!$I$7)))^2+Inputs!$C$6^2+((Inputs!$H$7+Inputs!$L$7*(((Inputs!$I$7+(((A242)+1)/2)*(Inputs!$J$7-Inputs!$I$7)))/Inputs!$K$7)^2))^2))-((Inputs!$H$7+Inputs!$L$7*(((Inputs!$I$7+(((A242)+1)/2)*(Inputs!$J$7-Inputs!$I$7)))/Inputs!$K$7)^2)))*1000/Inputs!$C$12)</f>
        <v>93391.900362531596</v>
      </c>
      <c r="AH242" s="9">
        <f>(((SQRT(((Inputs!$I$8+(((A242)+1)/2)*(Inputs!$J$8-Inputs!$I$8)))^2+Inputs!$C$6^2+((Inputs!$H$8+Inputs!$L$8*(((Inputs!$I$8+(((A242)+1)/2)*(Inputs!$J$8-Inputs!$I$8)))/Inputs!$K$8)^2))^2))-((Inputs!$H$8+Inputs!$L$8*(((Inputs!$I$8+(((A242)+1)/2)*(Inputs!$J$8-Inputs!$I$8)))/Inputs!$K$8)^2)))*1000/Inputs!$C$12)</f>
        <v>157791.48637356728</v>
      </c>
      <c r="AI242" s="9">
        <f>(((SQRT(((Inputs!$I$9+(((A242)+1)/2)*(Inputs!$J$9-Inputs!$I$9)))^2+Inputs!$C$6^2+((Inputs!$H$9+Inputs!$L$9*(((Inputs!$I$9+(((A242)+1)/2)*(Inputs!$J$9-Inputs!$I$9)))/Inputs!$K$9)^2))^2))-((Inputs!$H$9+Inputs!$L$9*(((Inputs!$I$9+(((A242)+1)/2)*(Inputs!$J$9-Inputs!$I$9)))/Inputs!$K$9)^2)))*1000/Inputs!$C$12)</f>
        <v>157791.48637356728</v>
      </c>
      <c r="AJ242" s="10"/>
      <c r="AK242" s="9">
        <f t="shared" si="23"/>
        <v>1</v>
      </c>
      <c r="AL242" s="9">
        <f>(-2*((1000*((((Inputs!$I$6+(((A242)+1)/2)*(Inputs!$J$6-Inputs!$I$6)))*Inputs!$C$11+((Inputs!$H$6+Inputs!$L$6*(((Inputs!$I$6+(((A242)+1)/2)*(Inputs!$J$6-Inputs!$I$6)))/Inputs!$K$6)^2))*((2*Inputs!$L$6*((Inputs!$I$6+(((A242)+1)/2)*(Inputs!$J$6-Inputs!$I$6)))/(Inputs!$K$6^2)*Inputs!$C$11)))/(SQRT(((Inputs!$I$6+(((A242)+1)/2)*(Inputs!$J$6-Inputs!$I$6)))^2+Inputs!$C$6^2+((Inputs!$H$6+Inputs!$L$6*(((Inputs!$I$6+(((A242)+1)/2)*(Inputs!$J$6-Inputs!$I$6)))/Inputs!$K$6)^2))^2)))))/Inputs!$C$13)</f>
        <v>-445.23129749250427</v>
      </c>
      <c r="AM242" s="9">
        <f>(-2*((1000*((((Inputs!$I$7+(((A242)+1)/2)*(Inputs!$J$7-Inputs!$I$7)))*Inputs!$C$11+((Inputs!$H$7+Inputs!$L$7*(((Inputs!$I$7+(((A242)+1)/2)*(Inputs!$J$7-Inputs!$I$7)))/Inputs!$K$7)^2))*((2*Inputs!$L$7*((Inputs!$I$7+(((A242)+1)/2)*(Inputs!$J$7-Inputs!$I$7)))/(Inputs!$K$7^2)*Inputs!$C$11)))/(SQRT(((Inputs!$I$7+(((A242)+1)/2)*(Inputs!$J$7-Inputs!$I$7)))^2+Inputs!$C$6^2+((Inputs!$H$7+Inputs!$L$7*(((Inputs!$I$7+(((A242)+1)/2)*(Inputs!$J$7-Inputs!$I$7)))/Inputs!$K$7)^2))^2)))))/Inputs!$C$13)</f>
        <v>-3193.0060020981323</v>
      </c>
      <c r="AN242" s="9">
        <f>(-2*((1000*((((Inputs!$I$8+(((A242)+1)/2)*(Inputs!$J$8-Inputs!$I$8)))*Inputs!$C$11+((Inputs!$H$8+Inputs!$L$8*(((Inputs!$I$8+(((A242)+1)/2)*(Inputs!$J$8-Inputs!$I$8)))/Inputs!$K$8)^2))*((2*Inputs!$L$8*((Inputs!$I$8+(((A242)+1)/2)*(Inputs!$J$8-Inputs!$I$8)))/(Inputs!$K$8^2)*Inputs!$C$11)))/(SQRT(((Inputs!$I$8+(((A242)+1)/2)*(Inputs!$J$8-Inputs!$I$8)))^2+Inputs!$C$6^2+((Inputs!$H$8+Inputs!$L$8*(((Inputs!$I$8+(((A242)+1)/2)*(Inputs!$J$8-Inputs!$I$8)))/Inputs!$K$8)^2))^2)))))/Inputs!$C$13)</f>
        <v>-4012.9010999643679</v>
      </c>
      <c r="AO242" s="9">
        <f>(-2*((1000*((((Inputs!$I$9+(((A242)+1)/2)*(Inputs!$J$9-Inputs!$I$9)))*Inputs!$C$11+((Inputs!$H$9+Inputs!$L$9*(((Inputs!$I$9+(((A242)+1)/2)*(Inputs!$J$9-Inputs!$I$9)))/Inputs!$K$9)^2))*((2*Inputs!$L$9*((Inputs!$I$9+(((A242)+1)/2)*(Inputs!$J$9-Inputs!$I$9)))/(Inputs!$K$9^2)*Inputs!$C$11)))/(SQRT(((Inputs!$I$9+(((A242)+1)/2)*(Inputs!$J$9-Inputs!$I$9)))^2+Inputs!$C$6^2+((Inputs!$H$9+Inputs!$L$9*(((Inputs!$I$9+(((A242)+1)/2)*(Inputs!$J$9-Inputs!$I$9)))/Inputs!$K$9)^2))^2)))))/Inputs!$C$13)</f>
        <v>-4044.1299022987214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
  <sheetViews>
    <sheetView showGridLines="0" workbookViewId="0"/>
  </sheetViews>
  <sheetFormatPr defaultRowHeight="13.8"/>
  <cols>
    <col min="1" max="1" width="12" customWidth="1"/>
    <col min="2" max="2" width="18" customWidth="1"/>
    <col min="3" max="4" width="22" customWidth="1"/>
    <col min="5" max="5" width="20" customWidth="1"/>
    <col min="6" max="6" width="30" customWidth="1"/>
  </cols>
  <sheetData>
    <row r="1" spans="1:6" ht="21">
      <c r="A1" s="13" t="s">
        <v>303</v>
      </c>
      <c r="B1" s="13"/>
      <c r="C1" s="13"/>
      <c r="D1" s="13"/>
      <c r="E1" s="13"/>
      <c r="F1" s="13"/>
    </row>
    <row r="3" spans="1:6">
      <c r="A3" s="2" t="s">
        <v>36</v>
      </c>
      <c r="B3" s="2" t="s">
        <v>37</v>
      </c>
      <c r="C3" s="2" t="s">
        <v>38</v>
      </c>
      <c r="D3" s="2" t="s">
        <v>39</v>
      </c>
      <c r="E3" s="2" t="s">
        <v>40</v>
      </c>
      <c r="F3" s="2" t="s">
        <v>304</v>
      </c>
    </row>
    <row r="4" spans="1:6">
      <c r="A4" s="9">
        <f>Inputs!$C$18</f>
        <v>50</v>
      </c>
      <c r="B4" s="9">
        <f>1000/A4</f>
        <v>20</v>
      </c>
      <c r="C4" s="9">
        <f>Inputs!$C$11*1000/A4</f>
        <v>80</v>
      </c>
      <c r="D4" s="9">
        <f>Inputs!$C$21/(2*A4)/1000</f>
        <v>2997.9245799999999</v>
      </c>
      <c r="E4" s="9">
        <f>A4*(2*Inputs!$C$5*1000/Inputs!$C$21)</f>
        <v>0.13342563807926083</v>
      </c>
      <c r="F4" s="1" t="str">
        <f>IF(A4&gt;=Dashboard!$B$16,"OK for modeled topo VHF Doppler","Below simple Doppler floor")</f>
        <v>Below simple Doppler floor</v>
      </c>
    </row>
    <row r="5" spans="1:6">
      <c r="A5" s="9">
        <f>Inputs!$C$19</f>
        <v>500</v>
      </c>
      <c r="B5" s="9">
        <f>1000/A5</f>
        <v>2</v>
      </c>
      <c r="C5" s="9">
        <f>Inputs!$C$11*1000/A5</f>
        <v>8</v>
      </c>
      <c r="D5" s="9">
        <f>Inputs!$C$21/(2*A5)/1000</f>
        <v>299.79245800000001</v>
      </c>
      <c r="E5" s="9">
        <f>A5*(2*Inputs!$C$5*1000/Inputs!$C$21)</f>
        <v>1.3342563807926082</v>
      </c>
      <c r="F5" s="1" t="str">
        <f>IF(A5&gt;=Dashboard!$B$16,"OK for modeled topo VHF Doppler","Below simple Doppler floor")</f>
        <v>Below simple Doppler floor</v>
      </c>
    </row>
    <row r="6" spans="1:6">
      <c r="A6" s="9">
        <f>Inputs!$C$20</f>
        <v>3000</v>
      </c>
      <c r="B6" s="9">
        <f>1000/A6</f>
        <v>0.33333333333333331</v>
      </c>
      <c r="C6" s="9">
        <f>Inputs!$C$11*1000/A6</f>
        <v>1.3333333333333333</v>
      </c>
      <c r="D6" s="9">
        <f>Inputs!$C$21/(2*A6)/1000</f>
        <v>49.965409666666666</v>
      </c>
      <c r="E6" s="9">
        <f>A6*(2*Inputs!$C$5*1000/Inputs!$C$21)</f>
        <v>8.0055382847556498</v>
      </c>
      <c r="F6" s="1" t="str">
        <f>IF(A6&gt;=Dashboard!$B$16,"OK for modeled topo VHF Doppler","Below simple Doppler floor")</f>
        <v>OK for modeled topo VHF Doppler</v>
      </c>
    </row>
  </sheetData>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1"/>
  <sheetViews>
    <sheetView showGridLines="0" workbookViewId="0"/>
  </sheetViews>
  <sheetFormatPr defaultRowHeight="13.8"/>
  <cols>
    <col min="1" max="1" width="45" customWidth="1"/>
    <col min="2" max="2" width="55" customWidth="1"/>
    <col min="3" max="3" width="36" customWidth="1"/>
    <col min="4" max="4" width="24" customWidth="1"/>
  </cols>
  <sheetData>
    <row r="1" spans="1:4" ht="21">
      <c r="A1" s="13" t="s">
        <v>305</v>
      </c>
      <c r="B1" s="13"/>
      <c r="C1" s="13"/>
      <c r="D1" s="13"/>
    </row>
    <row r="3" spans="1:4">
      <c r="A3" s="2" t="s">
        <v>306</v>
      </c>
      <c r="B3" s="2" t="s">
        <v>307</v>
      </c>
      <c r="C3" s="2" t="s">
        <v>308</v>
      </c>
      <c r="D3" s="2" t="s">
        <v>309</v>
      </c>
    </row>
    <row r="4" spans="1:4">
      <c r="A4" s="1" t="s">
        <v>310</v>
      </c>
      <c r="B4" s="1" t="s">
        <v>311</v>
      </c>
      <c r="C4" s="1" t="s">
        <v>312</v>
      </c>
      <c r="D4" s="1" t="s">
        <v>313</v>
      </c>
    </row>
    <row r="5" spans="1:4" ht="27.6">
      <c r="A5" s="1" t="s">
        <v>314</v>
      </c>
      <c r="B5" s="1" t="s">
        <v>315</v>
      </c>
      <c r="C5" s="1" t="s">
        <v>316</v>
      </c>
      <c r="D5" s="1" t="s">
        <v>317</v>
      </c>
    </row>
    <row r="6" spans="1:4" ht="27.6">
      <c r="A6" s="1" t="s">
        <v>318</v>
      </c>
      <c r="B6" s="1" t="s">
        <v>319</v>
      </c>
      <c r="C6" s="1" t="s">
        <v>320</v>
      </c>
      <c r="D6" s="1" t="s">
        <v>321</v>
      </c>
    </row>
    <row r="7" spans="1:4">
      <c r="A7" s="1" t="s">
        <v>322</v>
      </c>
      <c r="B7" s="1" t="s">
        <v>323</v>
      </c>
      <c r="C7" s="1" t="s">
        <v>324</v>
      </c>
      <c r="D7" s="1" t="s">
        <v>325</v>
      </c>
    </row>
    <row r="8" spans="1:4">
      <c r="A8" s="1" t="s">
        <v>326</v>
      </c>
      <c r="B8" s="1" t="s">
        <v>327</v>
      </c>
      <c r="C8" s="1" t="s">
        <v>328</v>
      </c>
      <c r="D8" s="1" t="s">
        <v>329</v>
      </c>
    </row>
    <row r="9" spans="1:4">
      <c r="A9" s="1" t="s">
        <v>330</v>
      </c>
      <c r="B9" s="1" t="s">
        <v>331</v>
      </c>
      <c r="C9" s="1" t="s">
        <v>332</v>
      </c>
      <c r="D9" s="1" t="s">
        <v>333</v>
      </c>
    </row>
    <row r="10" spans="1:4">
      <c r="A10" s="1" t="s">
        <v>334</v>
      </c>
      <c r="B10" s="1" t="s">
        <v>335</v>
      </c>
      <c r="C10" s="1" t="s">
        <v>336</v>
      </c>
      <c r="D10" s="1" t="s">
        <v>337</v>
      </c>
    </row>
    <row r="11" spans="1:4">
      <c r="A11" s="1" t="s">
        <v>338</v>
      </c>
      <c r="B11" s="1" t="s">
        <v>339</v>
      </c>
      <c r="C11" s="1" t="s">
        <v>340</v>
      </c>
      <c r="D11" s="1" t="s">
        <v>341</v>
      </c>
    </row>
    <row r="12" spans="1:4">
      <c r="A12" s="1" t="s">
        <v>342</v>
      </c>
      <c r="B12" s="1" t="s">
        <v>343</v>
      </c>
      <c r="C12" s="1" t="s">
        <v>324</v>
      </c>
      <c r="D12" s="1" t="s">
        <v>344</v>
      </c>
    </row>
    <row r="13" spans="1:4">
      <c r="A13" s="1" t="s">
        <v>345</v>
      </c>
      <c r="B13" s="1" t="s">
        <v>346</v>
      </c>
      <c r="C13" s="1" t="s">
        <v>347</v>
      </c>
      <c r="D13" s="1" t="s">
        <v>348</v>
      </c>
    </row>
    <row r="14" spans="1:4">
      <c r="A14" s="1" t="s">
        <v>349</v>
      </c>
      <c r="B14" s="1" t="s">
        <v>350</v>
      </c>
      <c r="C14" s="1" t="s">
        <v>351</v>
      </c>
      <c r="D14" s="1" t="s">
        <v>352</v>
      </c>
    </row>
    <row r="15" spans="1:4">
      <c r="A15" s="1" t="s">
        <v>353</v>
      </c>
      <c r="B15" s="1" t="s">
        <v>354</v>
      </c>
      <c r="C15" s="1" t="s">
        <v>355</v>
      </c>
      <c r="D15" s="1" t="s">
        <v>356</v>
      </c>
    </row>
    <row r="16" spans="1:4">
      <c r="A16" s="1" t="s">
        <v>357</v>
      </c>
      <c r="B16" s="1" t="s">
        <v>358</v>
      </c>
      <c r="C16" s="1" t="s">
        <v>359</v>
      </c>
      <c r="D16" s="1" t="s">
        <v>360</v>
      </c>
    </row>
    <row r="17" spans="1:4">
      <c r="A17" s="1" t="s">
        <v>361</v>
      </c>
      <c r="B17" s="1" t="s">
        <v>362</v>
      </c>
      <c r="C17" s="1" t="s">
        <v>363</v>
      </c>
      <c r="D17" s="1" t="s">
        <v>364</v>
      </c>
    </row>
    <row r="18" spans="1:4">
      <c r="A18" s="1" t="s">
        <v>365</v>
      </c>
      <c r="B18" s="1" t="s">
        <v>366</v>
      </c>
      <c r="C18" s="1" t="s">
        <v>367</v>
      </c>
      <c r="D18" s="1" t="s">
        <v>368</v>
      </c>
    </row>
    <row r="19" spans="1:4">
      <c r="A19" s="1" t="s">
        <v>369</v>
      </c>
      <c r="B19" s="1" t="s">
        <v>370</v>
      </c>
      <c r="C19" s="1" t="s">
        <v>368</v>
      </c>
      <c r="D19" s="1" t="s">
        <v>371</v>
      </c>
    </row>
    <row r="20" spans="1:4" ht="27.6">
      <c r="A20" s="1" t="s">
        <v>372</v>
      </c>
      <c r="B20" s="1" t="s">
        <v>373</v>
      </c>
      <c r="C20" s="1" t="s">
        <v>374</v>
      </c>
      <c r="D20" s="1" t="s">
        <v>375</v>
      </c>
    </row>
    <row r="21" spans="1:4" ht="27.6">
      <c r="A21" s="1" t="s">
        <v>376</v>
      </c>
      <c r="B21" s="1" t="s">
        <v>377</v>
      </c>
      <c r="C21" s="1" t="s">
        <v>378</v>
      </c>
      <c r="D21" s="1" t="s">
        <v>379</v>
      </c>
    </row>
    <row r="22" spans="1:4" ht="27.6">
      <c r="A22" s="1" t="s">
        <v>380</v>
      </c>
      <c r="B22" s="1" t="s">
        <v>381</v>
      </c>
      <c r="C22" s="1" t="s">
        <v>382</v>
      </c>
      <c r="D22" s="1" t="s">
        <v>383</v>
      </c>
    </row>
    <row r="23" spans="1:4">
      <c r="A23" s="1" t="s">
        <v>384</v>
      </c>
      <c r="B23" s="1" t="s">
        <v>385</v>
      </c>
      <c r="C23" s="1" t="s">
        <v>386</v>
      </c>
      <c r="D23" s="1" t="s">
        <v>387</v>
      </c>
    </row>
    <row r="24" spans="1:4">
      <c r="A24" s="1" t="s">
        <v>388</v>
      </c>
      <c r="B24" s="1" t="s">
        <v>389</v>
      </c>
      <c r="C24" s="1" t="s">
        <v>390</v>
      </c>
      <c r="D24" s="1" t="s">
        <v>391</v>
      </c>
    </row>
    <row r="25" spans="1:4">
      <c r="A25" s="1" t="s">
        <v>392</v>
      </c>
      <c r="B25" s="1" t="s">
        <v>393</v>
      </c>
      <c r="C25" s="1" t="s">
        <v>394</v>
      </c>
      <c r="D25" s="1" t="s">
        <v>395</v>
      </c>
    </row>
    <row r="26" spans="1:4">
      <c r="A26" s="1" t="s">
        <v>396</v>
      </c>
      <c r="B26" s="1" t="s">
        <v>397</v>
      </c>
      <c r="C26" s="1" t="s">
        <v>398</v>
      </c>
      <c r="D26" s="1" t="s">
        <v>399</v>
      </c>
    </row>
    <row r="27" spans="1:4">
      <c r="A27" s="1" t="s">
        <v>400</v>
      </c>
      <c r="B27" s="1" t="s">
        <v>401</v>
      </c>
      <c r="C27" s="1" t="s">
        <v>402</v>
      </c>
      <c r="D27" s="1" t="s">
        <v>403</v>
      </c>
    </row>
    <row r="28" spans="1:4">
      <c r="A28" s="1" t="s">
        <v>404</v>
      </c>
      <c r="B28" s="1" t="s">
        <v>405</v>
      </c>
      <c r="C28" s="1" t="s">
        <v>406</v>
      </c>
      <c r="D28" s="1" t="s">
        <v>407</v>
      </c>
    </row>
    <row r="29" spans="1:4" ht="27.6">
      <c r="A29" s="1" t="s">
        <v>408</v>
      </c>
      <c r="B29" s="1" t="s">
        <v>409</v>
      </c>
      <c r="C29" s="1" t="s">
        <v>410</v>
      </c>
      <c r="D29" s="1" t="s">
        <v>411</v>
      </c>
    </row>
    <row r="30" spans="1:4" ht="27.6">
      <c r="A30" s="1" t="s">
        <v>412</v>
      </c>
      <c r="B30" s="1" t="s">
        <v>413</v>
      </c>
      <c r="C30" s="1" t="s">
        <v>414</v>
      </c>
      <c r="D30" s="1" t="s">
        <v>415</v>
      </c>
    </row>
    <row r="31" spans="1:4" ht="27.6">
      <c r="A31" s="1" t="s">
        <v>416</v>
      </c>
      <c r="B31" s="1" t="s">
        <v>417</v>
      </c>
      <c r="C31" s="1" t="s">
        <v>418</v>
      </c>
      <c r="D31" s="1" t="s">
        <v>419</v>
      </c>
    </row>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showGridLines="0" workbookViewId="0"/>
  </sheetViews>
  <sheetFormatPr defaultRowHeight="13.8"/>
  <cols>
    <col min="1" max="1" width="24" customWidth="1"/>
    <col min="2" max="2" width="74" customWidth="1"/>
    <col min="3" max="3" width="44" customWidth="1"/>
    <col min="4" max="4" width="40" customWidth="1"/>
    <col min="5" max="5" width="48" customWidth="1"/>
  </cols>
  <sheetData>
    <row r="1" spans="1:5" ht="21">
      <c r="A1" s="13" t="s">
        <v>420</v>
      </c>
      <c r="B1" s="13"/>
      <c r="C1" s="13"/>
      <c r="D1" s="13"/>
      <c r="E1" s="13"/>
    </row>
    <row r="2" spans="1:5" ht="14.4">
      <c r="A2" s="14" t="s">
        <v>421</v>
      </c>
      <c r="B2" s="14"/>
      <c r="C2" s="14"/>
      <c r="D2" s="14"/>
      <c r="E2" s="14"/>
    </row>
    <row r="4" spans="1:5">
      <c r="A4" s="2" t="s">
        <v>422</v>
      </c>
      <c r="B4" s="2" t="s">
        <v>306</v>
      </c>
      <c r="C4" s="2" t="s">
        <v>423</v>
      </c>
      <c r="D4" s="2" t="s">
        <v>424</v>
      </c>
      <c r="E4" s="2" t="s">
        <v>425</v>
      </c>
    </row>
    <row r="5" spans="1:5">
      <c r="A5" s="1" t="s">
        <v>426</v>
      </c>
      <c r="B5" s="12" t="s">
        <v>427</v>
      </c>
      <c r="C5" s="1" t="s">
        <v>428</v>
      </c>
      <c r="D5" s="1" t="s">
        <v>429</v>
      </c>
      <c r="E5" s="1" t="s">
        <v>430</v>
      </c>
    </row>
    <row r="6" spans="1:5" ht="41.4">
      <c r="A6" s="1" t="s">
        <v>431</v>
      </c>
      <c r="B6" s="12" t="s">
        <v>432</v>
      </c>
      <c r="C6" s="1" t="s">
        <v>433</v>
      </c>
      <c r="D6" s="1" t="s">
        <v>374</v>
      </c>
      <c r="E6" s="1" t="s">
        <v>434</v>
      </c>
    </row>
    <row r="7" spans="1:5" ht="41.4">
      <c r="A7" s="1" t="s">
        <v>435</v>
      </c>
      <c r="B7" s="12" t="s">
        <v>436</v>
      </c>
      <c r="C7" s="1" t="s">
        <v>437</v>
      </c>
      <c r="D7" s="1" t="s">
        <v>378</v>
      </c>
      <c r="E7" s="1" t="s">
        <v>438</v>
      </c>
    </row>
    <row r="8" spans="1:5" ht="27.6">
      <c r="A8" s="1" t="s">
        <v>439</v>
      </c>
      <c r="B8" s="12" t="s">
        <v>440</v>
      </c>
      <c r="C8" s="1" t="s">
        <v>441</v>
      </c>
      <c r="D8" s="1" t="s">
        <v>442</v>
      </c>
      <c r="E8" s="1" t="s">
        <v>443</v>
      </c>
    </row>
    <row r="9" spans="1:5" ht="27.6">
      <c r="A9" s="1" t="s">
        <v>444</v>
      </c>
      <c r="B9" s="12" t="s">
        <v>445</v>
      </c>
      <c r="C9" s="1" t="s">
        <v>446</v>
      </c>
      <c r="D9" s="1" t="s">
        <v>447</v>
      </c>
      <c r="E9" s="1" t="s">
        <v>448</v>
      </c>
    </row>
    <row r="10" spans="1:5" ht="27.6">
      <c r="A10" s="1" t="s">
        <v>449</v>
      </c>
      <c r="B10" s="12" t="s">
        <v>450</v>
      </c>
      <c r="C10" s="1" t="s">
        <v>451</v>
      </c>
      <c r="D10" s="1" t="s">
        <v>452</v>
      </c>
      <c r="E10" s="1" t="s">
        <v>453</v>
      </c>
    </row>
    <row r="11" spans="1:5" ht="27.6">
      <c r="A11" s="1" t="s">
        <v>454</v>
      </c>
      <c r="B11" s="12" t="s">
        <v>455</v>
      </c>
      <c r="C11" s="1" t="s">
        <v>456</v>
      </c>
      <c r="D11" s="1" t="s">
        <v>457</v>
      </c>
      <c r="E11" s="1" t="s">
        <v>458</v>
      </c>
    </row>
    <row r="12" spans="1:5" ht="27.6">
      <c r="A12" s="1" t="s">
        <v>459</v>
      </c>
      <c r="B12" s="12" t="s">
        <v>460</v>
      </c>
      <c r="C12" s="1" t="s">
        <v>461</v>
      </c>
      <c r="D12" s="1" t="s">
        <v>462</v>
      </c>
      <c r="E12" s="1" t="s">
        <v>463</v>
      </c>
    </row>
    <row r="13" spans="1:5" ht="27.6">
      <c r="A13" s="1" t="s">
        <v>464</v>
      </c>
      <c r="B13" s="12" t="s">
        <v>465</v>
      </c>
      <c r="C13" s="1" t="s">
        <v>466</v>
      </c>
      <c r="D13" s="1" t="s">
        <v>467</v>
      </c>
      <c r="E13" s="1" t="s">
        <v>468</v>
      </c>
    </row>
    <row r="14" spans="1:5">
      <c r="A14" s="1" t="s">
        <v>469</v>
      </c>
      <c r="B14" s="12" t="s">
        <v>470</v>
      </c>
      <c r="C14" s="1" t="s">
        <v>471</v>
      </c>
      <c r="D14" s="1" t="s">
        <v>472</v>
      </c>
      <c r="E14" s="1" t="s">
        <v>473</v>
      </c>
    </row>
    <row r="15" spans="1:5">
      <c r="A15" s="1" t="s">
        <v>474</v>
      </c>
      <c r="B15" s="12" t="s">
        <v>475</v>
      </c>
      <c r="C15" s="1" t="s">
        <v>476</v>
      </c>
      <c r="D15" s="1" t="s">
        <v>477</v>
      </c>
      <c r="E15" s="1" t="s">
        <v>478</v>
      </c>
    </row>
    <row r="16" spans="1:5" ht="27.6">
      <c r="A16" s="1" t="s">
        <v>479</v>
      </c>
      <c r="B16" s="12" t="s">
        <v>480</v>
      </c>
      <c r="C16" s="1" t="s">
        <v>481</v>
      </c>
      <c r="D16" s="1" t="s">
        <v>482</v>
      </c>
      <c r="E16" s="1" t="s">
        <v>483</v>
      </c>
    </row>
    <row r="17" spans="1:5" ht="27.6">
      <c r="A17" s="1" t="s">
        <v>484</v>
      </c>
      <c r="B17" s="12" t="s">
        <v>485</v>
      </c>
      <c r="C17" s="1" t="s">
        <v>486</v>
      </c>
      <c r="D17" s="1" t="s">
        <v>487</v>
      </c>
      <c r="E17" s="1" t="s">
        <v>488</v>
      </c>
    </row>
    <row r="18" spans="1:5" ht="27.6">
      <c r="A18" s="1" t="s">
        <v>489</v>
      </c>
      <c r="B18" s="12" t="s">
        <v>490</v>
      </c>
      <c r="C18" s="1" t="s">
        <v>491</v>
      </c>
      <c r="D18" s="1" t="s">
        <v>492</v>
      </c>
      <c r="E18" s="1" t="s">
        <v>493</v>
      </c>
    </row>
    <row r="19" spans="1:5" ht="27.6">
      <c r="A19" s="1" t="s">
        <v>494</v>
      </c>
      <c r="B19" s="12" t="s">
        <v>495</v>
      </c>
      <c r="C19" s="1" t="s">
        <v>496</v>
      </c>
      <c r="D19" s="1" t="s">
        <v>414</v>
      </c>
      <c r="E19" s="1" t="s">
        <v>497</v>
      </c>
    </row>
  </sheetData>
  <mergeCells count="2">
    <mergeCell ref="A1:E1"/>
    <mergeCell ref="A2:E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9"/>
  <sheetViews>
    <sheetView showGridLines="0" workbookViewId="0"/>
  </sheetViews>
  <sheetFormatPr defaultRowHeight="13.8"/>
  <cols>
    <col min="1" max="1" width="34" customWidth="1"/>
    <col min="2" max="2" width="28" customWidth="1"/>
    <col min="3" max="3" width="56" customWidth="1"/>
  </cols>
  <sheetData>
    <row r="1" spans="1:3" ht="21">
      <c r="A1" s="13" t="s">
        <v>498</v>
      </c>
      <c r="B1" s="13"/>
      <c r="C1" s="13"/>
    </row>
    <row r="3" spans="1:3">
      <c r="A3" s="2" t="s">
        <v>499</v>
      </c>
      <c r="B3" s="2" t="s">
        <v>41</v>
      </c>
      <c r="C3" s="2" t="s">
        <v>306</v>
      </c>
    </row>
    <row r="4" spans="1:3">
      <c r="A4" s="1" t="s">
        <v>500</v>
      </c>
      <c r="B4" s="1" t="str">
        <f>IF(Inputs!C7&lt;Inputs!C8,"OK","Fix x_min/x_max")</f>
        <v>OK</v>
      </c>
      <c r="C4" s="1" t="s">
        <v>501</v>
      </c>
    </row>
    <row r="5" spans="1:3">
      <c r="A5" s="1" t="s">
        <v>502</v>
      </c>
      <c r="B5" s="1" t="str">
        <f>IF(Inputs!C5&gt;0,"OK","Fix z0")</f>
        <v>OK</v>
      </c>
      <c r="C5" s="1" t="s">
        <v>503</v>
      </c>
    </row>
    <row r="6" spans="1:3">
      <c r="A6" s="1" t="s">
        <v>504</v>
      </c>
      <c r="B6" s="1" t="str">
        <f>IF(Inputs!C10&gt;0,"OK","Fix x_edge")</f>
        <v>OK</v>
      </c>
      <c r="C6" s="1" t="s">
        <v>505</v>
      </c>
    </row>
    <row r="7" spans="1:3">
      <c r="A7" s="1" t="s">
        <v>506</v>
      </c>
      <c r="B7" s="1" t="str">
        <f>IF(Inputs!C12&gt;0,"OK","Fix n")</f>
        <v>OK</v>
      </c>
      <c r="C7" s="1" t="s">
        <v>507</v>
      </c>
    </row>
    <row r="8" spans="1:3">
      <c r="A8" s="1" t="s">
        <v>508</v>
      </c>
      <c r="B8" s="1" t="str">
        <f>IF(AND(Inputs!C13&gt;0,Inputs!C14&gt;0),"OK","Fix wavelengths")</f>
        <v>OK</v>
      </c>
      <c r="C8" s="1" t="s">
        <v>509</v>
      </c>
    </row>
    <row r="9" spans="1:3">
      <c r="A9" s="1" t="s">
        <v>510</v>
      </c>
      <c r="B9" s="1" t="str">
        <f>IF(Inputs!C15&gt;0,"OK","Fix baseline")</f>
        <v>OK</v>
      </c>
      <c r="C9" s="1" t="s">
        <v>511</v>
      </c>
    </row>
    <row r="10" spans="1:3">
      <c r="A10" s="1" t="s">
        <v>512</v>
      </c>
      <c r="B10" s="1" t="str">
        <f>IF(OR(Inputs!C27=TRUE,Inputs!C27=FALSE,Inputs!C27="TRUE",Inputs!C27="FALSE",Inputs!C27=1,Inputs!C27=0),"OK","Fix topography toggle")</f>
        <v>OK</v>
      </c>
      <c r="C10" s="1" t="s">
        <v>513</v>
      </c>
    </row>
    <row r="11" spans="1:3">
      <c r="A11" s="1" t="s">
        <v>514</v>
      </c>
      <c r="B11" s="1" t="str">
        <f>IF(AND(Inputs!C31&gt;0,Inputs!C32&gt;0,Inputs!C36&gt;0,Inputs!C39&gt;0,Inputs!C40&gt;0,Inputs!C44&gt;0,Inputs!C45&gt;0),"OK","Fix topography width")</f>
        <v>OK</v>
      </c>
      <c r="C11" s="1" t="s">
        <v>515</v>
      </c>
    </row>
    <row r="12" spans="1:3">
      <c r="A12" s="1" t="s">
        <v>516</v>
      </c>
      <c r="B12" s="1" t="str">
        <f>IF(Inputs!C46&gt;=0,"OK","Fix terrain uncertainty")</f>
        <v>OK</v>
      </c>
      <c r="C12" s="1" t="s">
        <v>517</v>
      </c>
    </row>
    <row r="13" spans="1:3">
      <c r="A13" s="1" t="s">
        <v>518</v>
      </c>
      <c r="B13" s="1" t="str">
        <f>IF(AND(Inputs!C49&gt;0,Inputs!C50&gt;0),"OK","Fix seeded terrain scale")</f>
        <v>OK</v>
      </c>
      <c r="C13" s="1" t="s">
        <v>519</v>
      </c>
    </row>
    <row r="14" spans="1:3">
      <c r="A14" s="1" t="s">
        <v>520</v>
      </c>
      <c r="B14" s="1" t="str">
        <f>IF(Inputs!C48&gt;=0,"OK","Fix seeded amplitude")</f>
        <v>OK</v>
      </c>
      <c r="C14" s="1" t="s">
        <v>521</v>
      </c>
    </row>
    <row r="15" spans="1:3">
      <c r="A15" s="1" t="s">
        <v>522</v>
      </c>
      <c r="B15" s="1" t="str">
        <f>IF(Inputs!C51&gt;=0,"OK","Fix DEM scale")</f>
        <v>OK</v>
      </c>
      <c r="C15" s="1" t="s">
        <v>523</v>
      </c>
    </row>
    <row r="16" spans="1:3">
      <c r="A16" s="1" t="s">
        <v>524</v>
      </c>
      <c r="B16" s="1" t="str">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OK</v>
      </c>
      <c r="C16" s="1" t="s">
        <v>525</v>
      </c>
    </row>
    <row r="17" spans="1:3">
      <c r="A17" s="1" t="s">
        <v>526</v>
      </c>
      <c r="B17" s="1" t="str">
        <f>IF(AND(Inputs!I6&lt;Inputs!J6,Inputs!K6&gt;0,Inputs!I7&lt;Inputs!J7,Inputs!K7&gt;0,Inputs!I8&lt;Inputs!J8,Inputs!K8&gt;0,Inputs!I9&lt;Inputs!J9,Inputs!K9&gt;0),"OK","Fix scenario length")</f>
        <v>OK</v>
      </c>
      <c r="C17" s="1" t="s">
        <v>527</v>
      </c>
    </row>
    <row r="18" spans="1:3">
      <c r="A18" s="1" t="s">
        <v>528</v>
      </c>
      <c r="B18" s="1" t="str">
        <f>IF(Inputs!C20&gt;=Dashboard!B16,"OK","High PRF below simple floor")</f>
        <v>OK</v>
      </c>
      <c r="C18" s="1" t="s">
        <v>529</v>
      </c>
    </row>
    <row r="19" spans="1:3">
      <c r="A19" s="1" t="s">
        <v>530</v>
      </c>
      <c r="B19" s="1" t="str">
        <f>IF(COUNTA(Model_Data!A2:A242)=241,"OK","Missing rows")</f>
        <v>OK</v>
      </c>
      <c r="C19" s="1" t="s">
        <v>531</v>
      </c>
    </row>
  </sheetData>
  <mergeCells count="1">
    <mergeCell ref="A1:C1"/>
  </mergeCells>
  <conditionalFormatting sqref="B4:B19">
    <cfRule type="containsText" dxfId="1" priority="1" operator="containsText" text="OK"/>
    <cfRule type="notContainsText" dxfId="0" priority="2" operator="notContains" text="OK"/>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Inputs</vt:lpstr>
      <vt:lpstr>Model_Data</vt:lpstr>
      <vt:lpstr>Chart_Data</vt:lpstr>
      <vt:lpstr>Scenario_Data</vt:lpstr>
      <vt:lpstr>PRF_Results</vt:lpstr>
      <vt:lpstr>Formula_Guide</vt:lpstr>
      <vt:lpstr>Topography_Formulas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Tyler Lee</cp:lastModifiedBy>
  <dcterms:modified xsi:type="dcterms:W3CDTF">2026-06-08T00:02:30Z</dcterms:modified>
</cp:coreProperties>
</file>