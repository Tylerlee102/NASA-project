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c0c4a0b30e4f47" /></Relationships>
</file>

<file path=xl/workbook.xml><?xml version="1.0" encoding="utf-8"?>
<x:workbook xmlns:x="http://schemas.openxmlformats.org/spreadsheetml/2006/main">
  <x:sheets>
    <x:sheet xmlns:r="http://schemas.openxmlformats.org/officeDocument/2006/relationships" name="Dashboard" sheetId="1" r:id="R81243c494d4d4ce6"/>
    <x:sheet xmlns:r="http://schemas.openxmlformats.org/officeDocument/2006/relationships" name="Inputs" sheetId="2" r:id="R8a9cb4a5cbda444e"/>
    <x:sheet xmlns:r="http://schemas.openxmlformats.org/officeDocument/2006/relationships" name="Model_Data" sheetId="3" r:id="R41398a4a9fd44eb9"/>
    <x:sheet xmlns:r="http://schemas.openxmlformats.org/officeDocument/2006/relationships" name="Chart_Data" sheetId="4" r:id="R0e3db35c0f784f8f"/>
    <x:sheet xmlns:r="http://schemas.openxmlformats.org/officeDocument/2006/relationships" name="Scenario_Data" sheetId="5" r:id="R8686108699134bec"/>
    <x:sheet xmlns:r="http://schemas.openxmlformats.org/officeDocument/2006/relationships" name="PRF_Results" sheetId="6" r:id="R559a6be279324d79"/>
    <x:sheet xmlns:r="http://schemas.openxmlformats.org/officeDocument/2006/relationships" name="Formula_Guide" sheetId="7" r:id="R8e80b018521b4a8d"/>
    <x:sheet xmlns:r="http://schemas.openxmlformats.org/officeDocument/2006/relationships" name="Topography_Formulas" sheetId="8" r:id="R3e7ac103362741e2"/>
    <x:sheet xmlns:r="http://schemas.openxmlformats.org/officeDocument/2006/relationships" name="Checks" sheetId="9" r:id="Rec109165487245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7bb70fb2ef4edf" /><Relationship Type="http://schemas.openxmlformats.org/officeDocument/2006/relationships/theme" Target="/xl/theme/theme1.xml" Id="R576f546d773c4fbc" /><Relationship Type="http://schemas.openxmlformats.org/officeDocument/2006/relationships/sharedStrings" Target="/xl/sharedStrings.xml" Id="Rd9811c8e3e4a47c7" /><Relationship Type="http://schemas.openxmlformats.org/officeDocument/2006/relationships/worksheet" Target="/xl/worksheets/sheet1.xml" Id="R81243c494d4d4ce6" /><Relationship Type="http://schemas.openxmlformats.org/officeDocument/2006/relationships/worksheet" Target="/xl/worksheets/sheet2.xml" Id="R8a9cb4a5cbda444e" /><Relationship Type="http://schemas.openxmlformats.org/officeDocument/2006/relationships/worksheet" Target="/xl/worksheets/sheet3.xml" Id="R41398a4a9fd44eb9" /><Relationship Type="http://schemas.openxmlformats.org/officeDocument/2006/relationships/worksheet" Target="/xl/worksheets/sheet4.xml" Id="R0e3db35c0f784f8f" /><Relationship Type="http://schemas.openxmlformats.org/officeDocument/2006/relationships/worksheet" Target="/xl/worksheets/sheet5.xml" Id="R8686108699134bec" /><Relationship Type="http://schemas.openxmlformats.org/officeDocument/2006/relationships/worksheet" Target="/xl/worksheets/sheet6.xml" Id="R559a6be279324d79" /><Relationship Type="http://schemas.openxmlformats.org/officeDocument/2006/relationships/worksheet" Target="/xl/worksheets/sheet7.xml" Id="R8e80b018521b4a8d" /><Relationship Type="http://schemas.openxmlformats.org/officeDocument/2006/relationships/worksheet" Target="/xl/worksheets/sheet8.xml" Id="R3e7ac103362741e2" /><Relationship Type="http://schemas.openxmlformats.org/officeDocument/2006/relationships/worksheet" Target="/xl/worksheets/sheet9.xml" Id="Rec1091654872459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2a6f0ccc9754527" /><Relationship Type="http://schemas.openxmlformats.org/officeDocument/2006/relationships/chart" Target="/xl/drawings/charts/chart2.xml" Id="Recca07d0fe254bb1" /><Relationship Type="http://schemas.openxmlformats.org/officeDocument/2006/relationships/chart" Target="/xl/drawings/charts/chart3.xml" Id="R5a80a39775454cd9" /><Relationship Type="http://schemas.openxmlformats.org/officeDocument/2006/relationships/chart" Target="/xl/drawings/charts/chart4.xml" Id="R2455d344f39843cd" /><Relationship Type="http://schemas.openxmlformats.org/officeDocument/2006/relationships/chart" Target="/xl/drawings/charts/chart5.xml" Id="Rfb719571a8534b94" /><Relationship Type="http://schemas.openxmlformats.org/officeDocument/2006/relationships/chart" Target="/xl/drawings/charts/chart6.xml" Id="Rb7b1d9dc52294693" /><Relationship Type="http://schemas.openxmlformats.org/officeDocument/2006/relationships/chart" Target="/xl/drawings/charts/chart7.xml" Id="R32a338b7a9814bbc"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Combined Satellite Apparent Readings</a:t>
            </a:r>
          </a:p>
        </c:rich>
      </c:tx>
      <c:overlay val="0"/>
    </c:title>
    <c:autoTitleDeleted val="0"/>
    <c:plotArea>
      <c:layout/>
      <c:lineChart>
        <c:grouping val="standard"/>
        <c:ser>
          <c:idx val="0"/>
          <c:order val="0"/>
          <c:tx>
            <c:v>Nadir reference reading (m)</c:v>
          </c:tx>
          <c:cat>
            <c:strRef>
              <c:f>'Chart_Data'!$A$2:$A$242</c:f>
              <c:strCache>
                <c:ptCount val="0"/>
              </c:strCache>
            </c:strRef>
          </c:cat>
          <c:val>
            <c:numRef>
              <c:f>'Chart_Data'!$B$2:$B$242</c:f>
              <c:numCache>
                <c:formatCode>0.000</c:formatCode>
                <c:ptCount val="0"/>
              </c:numCache>
            </c:numRef>
          </c:val>
          <c:smooth val="0"/>
          <c:spPr>
            <a:ln w="9000"/>
          </c:spPr>
        </c:ser>
        <c:ser>
          <c:idx val="1"/>
          <c:order val="1"/>
          <c:tx>
            <c:v>Constant-altitude off-nadir reading (m)</c:v>
          </c:tx>
          <c:cat>
            <c:strRef>
              <c:f>'Chart_Data'!$A$2:$A$242</c:f>
              <c:strCache>
                <c:ptCount val="0"/>
              </c:strCache>
            </c:strRef>
          </c:cat>
          <c:val>
            <c:numRef>
              <c:f>'Chart_Data'!$C$2:$C$242</c:f>
              <c:numCache>
                <c:formatCode>0.000</c:formatCode>
                <c:ptCount val="0"/>
              </c:numCache>
            </c:numRef>
          </c:val>
          <c:smooth val="0"/>
          <c:spPr>
            <a:ln w="9000"/>
          </c:spPr>
        </c:ser>
        <c:ser>
          <c:idx val="2"/>
          <c:order val="2"/>
          <c:tx>
            <c:v>Parabolic off-nadir reading (m)</c:v>
          </c:tx>
          <c:cat>
            <c:strRef>
              <c:f>'Chart_Data'!$A$2:$A$242</c:f>
              <c:strCache>
                <c:ptCount val="0"/>
              </c:strCache>
            </c:strRef>
          </c:cat>
          <c:val>
            <c:numRef>
              <c:f>'Chart_Data'!$D$2:$D$242</c:f>
              <c:numCache>
                <c:formatCode>0.000</c:formatCode>
                <c:ptCount val="0"/>
              </c:numCache>
            </c:numRef>
          </c:val>
          <c:smooth val="0"/>
          <c:spPr>
            <a:ln w="9000"/>
          </c:spPr>
        </c:ser>
        <c:ser>
          <c:idx val="3"/>
          <c:order val="3"/>
          <c:tx>
            <c:v>Parabolic with planet surface reading (m)</c:v>
          </c:tx>
          <c:cat>
            <c:strRef>
              <c:f>'Chart_Data'!$A$2:$A$242</c:f>
              <c:strCache>
                <c:ptCount val="0"/>
              </c:strCache>
            </c:strRef>
          </c:cat>
          <c:val>
            <c:numRef>
              <c:f>'Chart_Data'!$E$2:$E$242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Seeded Europa Topography: Off-Nadir vs Nadir</a:t>
            </a:r>
          </a:p>
        </c:rich>
      </c:tx>
      <c:overlay val="0"/>
    </c:title>
    <c:autoTitleDeleted val="0"/>
    <c:plotArea>
      <c:layout/>
      <c:lineChart>
        <c:grouping val="standard"/>
        <c:ser>
          <c:idx val="0"/>
          <c:order val="0"/>
          <c:tx>
            <c:v>Off-nadir target topography height (m)</c:v>
          </c:tx>
          <c:cat>
            <c:strRef>
              <c:f>'Chart_Data'!$G$2:$G$242</c:f>
              <c:strCache>
                <c:ptCount val="0"/>
              </c:strCache>
            </c:strRef>
          </c:cat>
          <c:val>
            <c:numRef>
              <c:f>'Chart_Data'!$H$2:$H$242</c:f>
              <c:numCache>
                <c:formatCode>0.000</c:formatCode>
                <c:ptCount val="0"/>
              </c:numCache>
            </c:numRef>
          </c:val>
          <c:smooth val="0"/>
          <c:spPr>
            <a:ln w="9000"/>
          </c:spPr>
        </c:ser>
        <c:ser>
          <c:idx val="1"/>
          <c:order val="1"/>
          <c:tx>
            <c:v>Nadir topography height (m)</c:v>
          </c:tx>
          <c:cat>
            <c:strRef>
              <c:f>'Chart_Data'!$G$2:$G$242</c:f>
              <c:strCache>
                <c:ptCount val="0"/>
              </c:strCache>
            </c:strRef>
          </c:cat>
          <c:val>
            <c:numRef>
              <c:f>'Chart_Data'!$I$2:$I$242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Off-Nadir Surface vs Nadir Surface vs Satellite Reading</a:t>
            </a:r>
          </a:p>
        </c:rich>
      </c:tx>
      <c:overlay val="0"/>
    </c:title>
    <c:autoTitleDeleted val="0"/>
    <c:plotArea>
      <c:layout/>
      <c:lineChart>
        <c:grouping val="standard"/>
        <c:ser>
          <c:idx val="0"/>
          <c:order val="0"/>
          <c:tx>
            <c:v>Off-nadir target surface height (m)</c:v>
          </c:tx>
          <c:cat>
            <c:strRef>
              <c:f>'Chart_Data'!$K$2:$K$242</c:f>
              <c:strCache>
                <c:ptCount val="0"/>
              </c:strCache>
            </c:strRef>
          </c:cat>
          <c:val>
            <c:numRef>
              <c:f>'Chart_Data'!$L$2:$L$242</c:f>
              <c:numCache>
                <c:formatCode>0.000</c:formatCode>
                <c:ptCount val="0"/>
              </c:numCache>
            </c:numRef>
          </c:val>
          <c:smooth val="0"/>
          <c:spPr>
            <a:ln w="9000"/>
          </c:spPr>
        </c:ser>
        <c:ser>
          <c:idx val="1"/>
          <c:order val="1"/>
          <c:tx>
            <c:v>Nadir surface height (m)</c:v>
          </c:tx>
          <c:cat>
            <c:strRef>
              <c:f>'Chart_Data'!$K$2:$K$242</c:f>
              <c:strCache>
                <c:ptCount val="0"/>
              </c:strCache>
            </c:strRef>
          </c:cat>
          <c:val>
            <c:numRef>
              <c:f>'Chart_Data'!$M$2:$M$242</c:f>
              <c:numCache>
                <c:formatCode>0.000</c:formatCode>
                <c:ptCount val="0"/>
              </c:numCache>
            </c:numRef>
          </c:val>
          <c:smooth val="0"/>
          <c:spPr>
            <a:ln w="9000"/>
          </c:spPr>
        </c:ser>
        <c:ser>
          <c:idx val="2"/>
          <c:order val="2"/>
          <c:tx>
            <c:v>Off-nadir satellite apparent surface reading (height-equivalent m)</c:v>
          </c:tx>
          <c:cat>
            <c:strRef>
              <c:f>'Chart_Data'!$K$2:$K$242</c:f>
              <c:strCache>
                <c:ptCount val="0"/>
              </c:strCache>
            </c:strRef>
          </c:cat>
          <c:val>
            <c:numRef>
              <c:f>'Chart_Data'!$N$2:$N$242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 apparent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'Chart_Data'!$P$2:$P$242</c:f>
              <c:strCache>
                <c:ptCount val="0"/>
              </c:strCache>
            </c:strRef>
          </c:cat>
          <c:val>
            <c:numRef>
              <c:f>'Chart_Data'!$Q$2:$Q$242</c:f>
              <c:numCache>
                <c:formatCode>0.000</c:formatCode>
                <c:ptCount val="0"/>
              </c:numCache>
            </c:numRef>
          </c:val>
          <c:smooth val="0"/>
          <c:spPr>
            <a:ln w="9000"/>
          </c:spPr>
        </c:ser>
        <c:ser>
          <c:idx val="1"/>
          <c:order val="1"/>
          <c:tx>
            <c:v>Topography-adjusted VHF Doppler (Hz)</c:v>
          </c:tx>
          <c:cat>
            <c:strRef>
              <c:f>'Chart_Data'!$P$2:$P$242</c:f>
              <c:strCache>
                <c:ptCount val="0"/>
              </c:strCache>
            </c:strRef>
          </c:cat>
          <c:val>
            <c:numRef>
              <c:f>'Chart_Data'!$R$2:$R$242</c:f>
              <c:numCache>
                <c:formatCode>0.000</c:formatCode>
                <c:ptCount val="0"/>
              </c:numCache>
            </c:numRef>
          </c:val>
          <c:smooth val="0"/>
          <c:spPr>
            <a:ln w="9000"/>
          </c:spPr>
        </c:ser>
        <c:ser>
          <c:idx val="2"/>
          <c:order val="2"/>
          <c:tx>
            <c:v>Flat HF Doppler (Hz)</c:v>
          </c:tx>
          <c:cat>
            <c:strRef>
              <c:f>'Chart_Data'!$P$2:$P$242</c:f>
              <c:strCache>
                <c:ptCount val="0"/>
              </c:strCache>
            </c:strRef>
          </c:cat>
          <c:val>
            <c:numRef>
              <c:f>'Chart_Data'!$S$2:$S$242</c:f>
              <c:numCache>
                <c:formatCode>0.000</c:formatCode>
                <c:ptCount val="0"/>
              </c:numCache>
            </c:numRef>
          </c:val>
          <c:smooth val="0"/>
          <c:spPr>
            <a:ln w="9000"/>
          </c:spPr>
        </c:ser>
        <c:ser>
          <c:idx val="3"/>
          <c:order val="3"/>
          <c:tx>
            <c:v>Topography-adjusted HF Doppler (Hz)</c:v>
          </c:tx>
          <c:cat>
            <c:strRef>
              <c:f>'Chart_Data'!$P$2:$P$242</c:f>
              <c:strCache>
                <c:ptCount val="0"/>
              </c:strCache>
            </c:strRef>
          </c:cat>
          <c:val>
            <c:numRef>
              <c:f>'Chart_Data'!$T$2:$T$242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Motion Only: Constant vs Parabolic Reading</a:t>
            </a:r>
          </a:p>
        </c:rich>
      </c:tx>
      <c:overlay val="0"/>
    </c:title>
    <c:autoTitleDeleted val="0"/>
    <c:plotArea>
      <c:layout/>
      <c:lineChart>
        <c:grouping val="standard"/>
        <c:ser>
          <c:idx val="0"/>
          <c:order val="0"/>
          <c:tx>
            <c:v>Nadir reference reading (m)</c:v>
          </c:tx>
          <c:cat>
            <c:strRef>
              <c:f>'Chart_Data'!$Y$2:$Y$242</c:f>
              <c:strCache>
                <c:ptCount val="0"/>
              </c:strCache>
            </c:strRef>
          </c:cat>
          <c:val>
            <c:numRef>
              <c:f>'Chart_Data'!$Z$2:$Z$242</c:f>
              <c:numCache>
                <c:formatCode>0.000</c:formatCode>
                <c:ptCount val="0"/>
              </c:numCache>
            </c:numRef>
          </c:val>
          <c:smooth val="0"/>
          <c:spPr>
            <a:ln w="9000"/>
          </c:spPr>
        </c:ser>
        <c:ser>
          <c:idx val="1"/>
          <c:order val="1"/>
          <c:tx>
            <c:v>Constant-altitude off-nadir reading (m)</c:v>
          </c:tx>
          <c:cat>
            <c:strRef>
              <c:f>'Chart_Data'!$Y$2:$Y$242</c:f>
              <c:strCache>
                <c:ptCount val="0"/>
              </c:strCache>
            </c:strRef>
          </c:cat>
          <c:val>
            <c:numRef>
              <c:f>'Chart_Data'!$AA$2:$AA$242</c:f>
              <c:numCache>
                <c:formatCode>0.000</c:formatCode>
                <c:ptCount val="0"/>
              </c:numCache>
            </c:numRef>
          </c:val>
          <c:smooth val="0"/>
          <c:spPr>
            <a:ln w="9000"/>
          </c:spPr>
        </c:ser>
        <c:ser>
          <c:idx val="2"/>
          <c:order val="2"/>
          <c:tx>
            <c:v>Parabolic off-nadir reading (m)</c:v>
          </c:tx>
          <c:cat>
            <c:strRef>
              <c:f>'Chart_Data'!$Y$2:$Y$242</c:f>
              <c:strCache>
                <c:ptCount val="0"/>
              </c:strCache>
            </c:strRef>
          </c:cat>
          <c:val>
            <c:numRef>
              <c:f>'Chart_Data'!$AB$2:$AB$242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a6f0ccc9754527"/>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ca07d0fe254bb1"/>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80a39775454cd9"/>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55d344f39843cd"/>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719571a8534b94"/>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b1d9dc52294693"/>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a338b7a9814bbc"/>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bc383e519d41bd" /></Relationships>
</file>

<file path=xl/worksheets/_rels/sheet3.xml.rels>&#65279;<?xml version="1.0" encoding="utf-8"?><Relationships xmlns="http://schemas.openxmlformats.org/package/2006/relationships"><Relationship Type="http://schemas.openxmlformats.org/officeDocument/2006/relationships/table" Target="/xl/tables/table1.xml" Id="Rf2f3844a12cf4c84"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c1bc383e519d41bd"/>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f2f3844a12cf4c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30" hidden="0" customWidth="1"/>
    <x:col min="9" max="9" width="30" hidden="0" customWidth="1"/>
    <x:col min="10" max="10" width="4"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Nadir reference reading (m)</x:v>
      </x:c>
      <x:c r="C1" s="14" t="str">
        <x:v>Constant-altitude off-nadir reading (m)</x:v>
      </x:c>
      <x:c r="D1" s="14" t="str">
        <x:v>Parabolic off-nadir reading (m)</x:v>
      </x:c>
      <x:c r="E1" s="14" t="str">
        <x:v>Parabolic with planet surface reading (m)</x:v>
      </x:c>
      <x:c r="G1" s="14" t="str">
        <x:v>x (km)</x:v>
      </x:c>
      <x:c r="H1" s="14" t="str">
        <x:v>Off-nadir target topography height (m)</x:v>
      </x:c>
      <x:c r="I1" s="14" t="str">
        <x:v>Nadir topography height (m)</x:v>
      </x:c>
      <x:c r="K1" s="14" t="str">
        <x:v>x (km)</x:v>
      </x:c>
      <x:c r="L1" s="14" t="str">
        <x:v>Off-nadir target surface height (m)</x:v>
      </x:c>
      <x:c r="M1" s="14" t="str">
        <x:v>Nadir surface height (m)</x:v>
      </x:c>
      <x:c r="N1" s="14" t="str">
        <x:v>Off-nadir satellite apparent surface reading (height-equivalent m)</x:v>
      </x:c>
      <x:c r="P1" s="14" t="str">
        <x:v>x (km)</x:v>
      </x:c>
      <x:c r="Q1" s="14" t="str">
        <x:v>Flat VHF Doppler (Hz)</x:v>
      </x:c>
      <x:c r="R1" s="14" t="str">
        <x:v>Topography-adjusted VHF Doppler (Hz)</x:v>
      </x:c>
      <x:c r="S1" s="14" t="str">
        <x:v>Flat HF Doppler (Hz)</x:v>
      </x:c>
      <x:c r="T1" s="14" t="str">
        <x:v>Topography-adjusted HF Doppler (Hz)</x:v>
      </x:c>
      <x:c r="V1" s="14" t="str">
        <x:v>x (km)</x:v>
      </x:c>
      <x:c r="W1" s="14" t="str">
        <x:v>Altitude rise above z0 (km)</x:v>
      </x:c>
      <x:c r="Y1" s="14" t="str">
        <x:v>x (km)</x:v>
      </x:c>
      <x:c r="Z1" s="14" t="str">
        <x:v>Nadir reference reading (m)</x:v>
      </x:c>
      <x:c r="AA1" s="14" t="str">
        <x:v>Constant-altitude off-nadir reading (m)</x:v>
      </x:c>
      <x:c r="AB1" s="14" t="str">
        <x:v>Parabolic off-nadir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Model_Data!Y2</x:f>
        <x:v>119.42638570504096</x:v>
      </x:c>
      <x:c r="I2" s="48" t="n">
        <x:f>Model_Data!X2</x:f>
        <x:v>2.7642790376402013</x:v>
      </x:c>
      <x:c r="J2" s="49"/>
      <x:c r="K2" s="48" t="n">
        <x:f>Model_Data!A2</x:f>
        <x:v>-60</x:v>
      </x:c>
      <x:c r="L2" s="48" t="n">
        <x:f>Model_Data!Y2</x:f>
        <x:v>119.42638570504096</x:v>
      </x:c>
      <x:c r="M2" s="48" t="n">
        <x:f>Model_Data!X2</x:f>
        <x:v>2.7642790376402013</x:v>
      </x:c>
      <x:c r="N2" s="48" t="n">
        <x:f>-(Model_Data!AC2-Model_Data!F2)</x:f>
        <x:v>64.19470325299062</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Model_Data!Y3</x:f>
        <x:v>110.69606493723512</x:v>
      </x:c>
      <x:c r="I3" s="48" t="n">
        <x:f>Model_Data!X3</x:f>
        <x:v>19.645117006397193</x:v>
      </x:c>
      <x:c r="J3" s="49"/>
      <x:c r="K3" s="48" t="n">
        <x:f>Model_Data!A3</x:f>
        <x:v>-59.5</x:v>
      </x:c>
      <x:c r="L3" s="48" t="n">
        <x:f>Model_Data!Y3</x:f>
        <x:v>110.69606493723512</x:v>
      </x:c>
      <x:c r="M3" s="48" t="n">
        <x:f>Model_Data!X3</x:f>
        <x:v>19.645117006397193</x:v>
      </x:c>
      <x:c r="N3" s="48" t="n">
        <x:f>-(Model_Data!AC3-Model_Data!F3)</x:f>
        <x:v>49.92176019519184</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Model_Data!Y4</x:f>
        <x:v>112.99219424849355</x:v>
      </x:c>
      <x:c r="I4" s="48" t="n">
        <x:f>Model_Data!X4</x:f>
        <x:v>7.970448353767724</x:v>
      </x:c>
      <x:c r="J4" s="49"/>
      <x:c r="K4" s="48" t="n">
        <x:f>Model_Data!A4</x:f>
        <x:v>-59</x:v>
      </x:c>
      <x:c r="L4" s="48" t="n">
        <x:f>Model_Data!Y4</x:f>
        <x:v>112.99219424849355</x:v>
      </x:c>
      <x:c r="M4" s="48" t="n">
        <x:f>Model_Data!X4</x:f>
        <x:v>7.970448353767724</x:v>
      </x:c>
      <x:c r="N4" s="48" t="n">
        <x:f>-(Model_Data!AC4-Model_Data!F4)</x:f>
        <x:v>57.7621601986566</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Model_Data!Y5</x:f>
        <x:v>134.3858310571132</x:v>
      </x:c>
      <x:c r="I5" s="48" t="n">
        <x:f>Model_Data!X5</x:f>
        <x:v>21.747313566550197</x:v>
      </x:c>
      <x:c r="J5" s="49"/>
      <x:c r="K5" s="48" t="n">
        <x:f>Model_Data!A5</x:f>
        <x:v>-58.5</x:v>
      </x:c>
      <x:c r="L5" s="48" t="n">
        <x:f>Model_Data!Y5</x:f>
        <x:v>134.3858310571132</x:v>
      </x:c>
      <x:c r="M5" s="48" t="n">
        <x:f>Model_Data!X5</x:f>
        <x:v>21.747313566550197</x:v>
      </x:c>
      <x:c r="N5" s="48" t="n">
        <x:f>-(Model_Data!AC5-Model_Data!F5)</x:f>
        <x:v>61.8268830957536</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Model_Data!Y6</x:f>
        <x:v>120.06952906780961</x:v>
      </x:c>
      <x:c r="I6" s="48" t="n">
        <x:f>Model_Data!X6</x:f>
        <x:v>31.86691354901535</x:v>
      </x:c>
      <x:c r="J6" s="49"/>
      <x:c r="K6" s="48" t="n">
        <x:f>Model_Data!A6</x:f>
        <x:v>-58</x:v>
      </x:c>
      <x:c r="L6" s="48" t="n">
        <x:f>Model_Data!Y6</x:f>
        <x:v>120.06952906780961</x:v>
      </x:c>
      <x:c r="M6" s="48" t="n">
        <x:f>Model_Data!X6</x:f>
        <x:v>31.86691354901535</x:v>
      </x:c>
      <x:c r="N6" s="48" t="n">
        <x:f>-(Model_Data!AC6-Model_Data!F6)</x:f>
        <x:v>48.271677512333554</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Model_Data!Y7</x:f>
        <x:v>138.90151425445745</x:v>
      </x:c>
      <x:c r="I7" s="48" t="n">
        <x:f>Model_Data!X7</x:f>
        <x:v>34.58634748797326</x:v>
      </x:c>
      <x:c r="J7" s="49"/>
      <x:c r="K7" s="48" t="n">
        <x:f>Model_Data!A7</x:f>
        <x:v>-57.5</x:v>
      </x:c>
      <x:c r="L7" s="48" t="n">
        <x:f>Model_Data!Y7</x:f>
        <x:v>138.90151425445745</x:v>
      </x:c>
      <x:c r="M7" s="48" t="n">
        <x:f>Model_Data!X7</x:f>
        <x:v>34.58634748797326</x:v>
      </x:c>
      <x:c r="N7" s="48" t="n">
        <x:f>-(Model_Data!AC7-Model_Data!F7)</x:f>
        <x:v>57.143430724996506</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Model_Data!Y8</x:f>
        <x:v>137.46604725484156</x:v>
      </x:c>
      <x:c r="I8" s="48" t="n">
        <x:f>Model_Data!X8</x:f>
        <x:v>55.44088303799376</x:v>
      </x:c>
      <x:c r="J8" s="49"/>
      <x:c r="K8" s="48" t="n">
        <x:f>Model_Data!A8</x:f>
        <x:v>-57</x:v>
      </x:c>
      <x:c r="L8" s="48" t="n">
        <x:f>Model_Data!Y8</x:f>
        <x:v>137.46604725484156</x:v>
      </x:c>
      <x:c r="M8" s="48" t="n">
        <x:f>Model_Data!X8</x:f>
        <x:v>55.44088303799376</x:v>
      </x:c>
      <x:c r="N8" s="48" t="n">
        <x:f>-(Model_Data!AC8-Model_Data!F8)</x:f>
        <x:v>44.65632801003039</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Model_Data!Y9</x:f>
        <x:v>141.4558244940569</x:v>
      </x:c>
      <x:c r="I9" s="48" t="n">
        <x:f>Model_Data!X9</x:f>
        <x:v>57.32564727891993</x:v>
      </x:c>
      <x:c r="J9" s="49"/>
      <x:c r="K9" s="48" t="n">
        <x:f>Model_Data!A9</x:f>
        <x:v>-56.5</x:v>
      </x:c>
      <x:c r="L9" s="48" t="n">
        <x:f>Model_Data!Y9</x:f>
        <x:v>141.4558244940569</x:v>
      </x:c>
      <x:c r="M9" s="48" t="n">
        <x:f>Model_Data!X9</x:f>
        <x:v>57.32564727891993</x:v>
      </x:c>
      <x:c r="N9" s="48" t="n">
        <x:f>-(Model_Data!AC9-Model_Data!F9)</x:f>
        <x:v>45.818240120530845</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Model_Data!Y10</x:f>
        <x:v>167.1152389347629</x:v>
      </x:c>
      <x:c r="I10" s="48" t="n">
        <x:f>Model_Data!X10</x:f>
        <x:v>61.55956835196879</x:v>
      </x:c>
      <x:c r="J10" s="49"/>
      <x:c r="K10" s="48" t="n">
        <x:f>Model_Data!A10</x:f>
        <x:v>-56</x:v>
      </x:c>
      <x:c r="L10" s="48" t="n">
        <x:f>Model_Data!Y10</x:f>
        <x:v>167.1152389347629</x:v>
      </x:c>
      <x:c r="M10" s="48" t="n">
        <x:f>Model_Data!X10</x:f>
        <x:v>61.55956835196879</x:v>
      </x:c>
      <x:c r="N10" s="48" t="n">
        <x:f>-(Model_Data!AC10-Model_Data!F10)</x:f>
        <x:v>57.61691490471276</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Model_Data!Y11</x:f>
        <x:v>160.57943103446084</x:v>
      </x:c>
      <x:c r="I11" s="48" t="n">
        <x:f>Model_Data!X11</x:f>
        <x:v>38.49658216595124</x:v>
      </x:c>
      <x:c r="J11" s="49"/>
      <x:c r="K11" s="48" t="n">
        <x:f>Model_Data!A11</x:f>
        <x:v>-55.5</x:v>
      </x:c>
      <x:c r="L11" s="48" t="n">
        <x:f>Model_Data!Y11</x:f>
        <x:v>160.57943103446084</x:v>
      </x:c>
      <x:c r="M11" s="48" t="n">
        <x:f>Model_Data!X11</x:f>
        <x:v>38.49658216595124</x:v>
      </x:c>
      <x:c r="N11" s="48" t="n">
        <x:f>-(Model_Data!AC11-Model_Data!F11)</x:f>
        <x:v>66.99086868903169</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Model_Data!Y12</x:f>
        <x:v>176.10976359434375</x:v>
      </x:c>
      <x:c r="I12" s="48" t="n">
        <x:f>Model_Data!X12</x:f>
        <x:v>46.51195593176057</x:v>
      </x:c>
      <x:c r="J12" s="49"/>
      <x:c r="K12" s="48" t="n">
        <x:f>Model_Data!A12</x:f>
        <x:v>-55</x:v>
      </x:c>
      <x:c r="L12" s="48" t="n">
        <x:f>Model_Data!Y12</x:f>
        <x:v>176.10976359434375</x:v>
      </x:c>
      <x:c r="M12" s="48" t="n">
        <x:f>Model_Data!X12</x:f>
        <x:v>46.51195593176057</x:v>
      </x:c>
      <x:c r="N12" s="48" t="n">
        <x:f>-(Model_Data!AC12-Model_Data!F12)</x:f>
        <x:v>71.08360291526287</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Model_Data!Y13</x:f>
        <x:v>194.40953580817023</x:v>
      </x:c>
      <x:c r="I13" s="48" t="n">
        <x:f>Model_Data!X13</x:f>
        <x:v>49.77469341509185</x:v>
      </x:c>
      <x:c r="J13" s="49"/>
      <x:c r="K13" s="48" t="n">
        <x:f>Model_Data!A13</x:f>
        <x:v>-54.5</x:v>
      </x:c>
      <x:c r="L13" s="48" t="n">
        <x:f>Model_Data!Y13</x:f>
        <x:v>194.40953580817023</x:v>
      </x:c>
      <x:c r="M13" s="48" t="n">
        <x:f>Model_Data!X13</x:f>
        <x:v>49.77469341509185</x:v>
      </x:c>
      <x:c r="N13" s="48" t="n">
        <x:f>-(Model_Data!AC13-Model_Data!F13)</x:f>
        <x:v>79.37969888328598</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Model_Data!Y14</x:f>
        <x:v>196.39629745562698</x:v>
      </x:c>
      <x:c r="I14" s="48" t="n">
        <x:f>Model_Data!X14</x:f>
        <x:v>37.91568406723211</x:v>
      </x:c>
      <x:c r="J14" s="49"/>
      <x:c r="K14" s="48" t="n">
        <x:f>Model_Data!A14</x:f>
        <x:v>-54</x:v>
      </x:c>
      <x:c r="L14" s="48" t="n">
        <x:f>Model_Data!Y14</x:f>
        <x:v>196.39629745562698</x:v>
      </x:c>
      <x:c r="M14" s="48" t="n">
        <x:f>Model_Data!X14</x:f>
        <x:v>37.91568406723211</x:v>
      </x:c>
      <x:c r="N14" s="48" t="n">
        <x:f>-(Model_Data!AC14-Model_Data!F14)</x:f>
        <x:v>87.16666608356081</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Model_Data!Y15</x:f>
        <x:v>215.04504497494062</x:v>
      </x:c>
      <x:c r="I15" s="48" t="n">
        <x:f>Model_Data!X15</x:f>
        <x:v>49.305692333608725</x:v>
      </x:c>
      <x:c r="J15" s="49"/>
      <x:c r="K15" s="48" t="n">
        <x:f>Model_Data!A15</x:f>
        <x:v>-53.5</x:v>
      </x:c>
      <x:c r="L15" s="48" t="n">
        <x:f>Model_Data!Y15</x:f>
        <x:v>215.04504497494062</x:v>
      </x:c>
      <x:c r="M15" s="48" t="n">
        <x:f>Model_Data!X15</x:f>
        <x:v>49.305692333608725</x:v>
      </x:c>
      <x:c r="N15" s="48" t="n">
        <x:f>-(Model_Data!AC15-Model_Data!F15)</x:f>
        <x:v>91.09719964312671</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Model_Data!Y16</x:f>
        <x:v>220.27863667842527</x:v>
      </x:c>
      <x:c r="I16" s="48" t="n">
        <x:f>Model_Data!X16</x:f>
        <x:v>54.9618266833629</x:v>
      </x:c>
      <x:c r="J16" s="49"/>
      <x:c r="K16" s="48" t="n">
        <x:f>Model_Data!A16</x:f>
        <x:v>-53</x:v>
      </x:c>
      <x:c r="L16" s="48" t="n">
        <x:f>Model_Data!Y16</x:f>
        <x:v>220.27863667842527</x:v>
      </x:c>
      <x:c r="M16" s="48" t="n">
        <x:f>Model_Data!X16</x:f>
        <x:v>54.9618266833629</x:v>
      </x:c>
      <x:c r="N16" s="48" t="n">
        <x:f>-(Model_Data!AC16-Model_Data!F16)</x:f>
        <x:v>90.84123105226809</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Model_Data!Y17</x:f>
        <x:v>228.48571186718385</x:v>
      </x:c>
      <x:c r="I17" s="48" t="n">
        <x:f>Model_Data!X17</x:f>
        <x:v>41.913539426844665</x:v>
      </x:c>
      <x:c r="J17" s="49"/>
      <x:c r="K17" s="48" t="n">
        <x:f>Model_Data!A17</x:f>
        <x:v>-52.5</x:v>
      </x:c>
      <x:c r="L17" s="48" t="n">
        <x:f>Model_Data!Y17</x:f>
        <x:v>228.48571186718385</x:v>
      </x:c>
      <x:c r="M17" s="48" t="n">
        <x:f>Model_Data!X17</x:f>
        <x:v>41.913539426844665</x:v>
      </x:c>
      <x:c r="N17" s="48" t="n">
        <x:f>-(Model_Data!AC17-Model_Data!F17)</x:f>
        <x:v>102.73799142630241</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Model_Data!Y18</x:f>
        <x:v>241.24392327938918</x:v>
      </x:c>
      <x:c r="I18" s="48" t="n">
        <x:f>Model_Data!X18</x:f>
        <x:v>44.0092440465048</x:v>
      </x:c>
      <x:c r="J18" s="49"/>
      <x:c r="K18" s="48" t="n">
        <x:f>Model_Data!A18</x:f>
        <x:v>-52</x:v>
      </x:c>
      <x:c r="L18" s="48" t="n">
        <x:f>Model_Data!Y18</x:f>
        <x:v>241.24392327938918</x:v>
      </x:c>
      <x:c r="M18" s="48" t="n">
        <x:f>Model_Data!X18</x:f>
        <x:v>44.0092440465048</x:v>
      </x:c>
      <x:c r="N18" s="48" t="n">
        <x:f>-(Model_Data!AC18-Model_Data!F18)</x:f>
        <x:v>108.64489062568919</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Model_Data!Y19</x:f>
        <x:v>261.3961473371179</x:v>
      </x:c>
      <x:c r="I19" s="48" t="n">
        <x:f>Model_Data!X19</x:f>
        <x:v>32.491619283106324</x:v>
      </x:c>
      <x:c r="J19" s="49"/>
      <x:c r="K19" s="48" t="n">
        <x:f>Model_Data!A19</x:f>
        <x:v>-51.5</x:v>
      </x:c>
      <x:c r="L19" s="48" t="n">
        <x:f>Model_Data!Y19</x:f>
        <x:v>261.3961473371179</x:v>
      </x:c>
      <x:c r="M19" s="48" t="n">
        <x:f>Model_Data!X19</x:f>
        <x:v>32.491619283106324</x:v>
      </x:c>
      <x:c r="N19" s="48" t="n">
        <x:f>-(Model_Data!AC19-Model_Data!F19)</x:f>
        <x:v>126.2915535621969</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Model_Data!Y20</x:f>
        <x:v>251.96732827517536</x:v>
      </x:c>
      <x:c r="I20" s="48" t="n">
        <x:f>Model_Data!X20</x:f>
        <x:v>39.10881658677256</x:v>
      </x:c>
      <x:c r="J20" s="49"/>
      <x:c r="K20" s="48" t="n">
        <x:f>Model_Data!A20</x:f>
        <x:v>-51</x:v>
      </x:c>
      <x:c r="L20" s="48" t="n">
        <x:f>Model_Data!Y20</x:f>
        <x:v>251.96732827517536</x:v>
      </x:c>
      <x:c r="M20" s="48" t="n">
        <x:f>Model_Data!X20</x:f>
        <x:v>39.10881658677256</x:v>
      </x:c>
      <x:c r="N20" s="48" t="n">
        <x:f>-(Model_Data!AC20-Model_Data!F20)</x:f>
        <x:v>117.39387399603129</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Model_Data!Y21</x:f>
        <x:v>249.7278681272967</x:v>
      </x:c>
      <x:c r="I21" s="48" t="n">
        <x:f>Model_Data!X21</x:f>
        <x:v>47.99583170220943</x:v>
      </x:c>
      <x:c r="J21" s="49"/>
      <x:c r="K21" s="48" t="n">
        <x:f>Model_Data!A21</x:f>
        <x:v>-50.5</x:v>
      </x:c>
      <x:c r="L21" s="48" t="n">
        <x:f>Model_Data!Y21</x:f>
        <x:v>249.7278681272967</x:v>
      </x:c>
      <x:c r="M21" s="48" t="n">
        <x:f>Model_Data!X21</x:f>
        <x:v>47.99583170220943</x:v>
      </x:c>
      <x:c r="N21" s="48" t="n">
        <x:f>-(Model_Data!AC21-Model_Data!F21)</x:f>
        <x:v>111.19561245453951</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Model_Data!Y22</x:f>
        <x:v>273.71504099052385</x:v>
      </x:c>
      <x:c r="I22" s="48" t="n">
        <x:f>Model_Data!X22</x:f>
        <x:v>29.034419664389077</x:v>
      </x:c>
      <x:c r="J22" s="49"/>
      <x:c r="K22" s="48" t="n">
        <x:f>Model_Data!A22</x:f>
        <x:v>-50</x:v>
      </x:c>
      <x:c r="L22" s="48" t="n">
        <x:f>Model_Data!Y22</x:f>
        <x:v>273.71504099052385</x:v>
      </x:c>
      <x:c r="M22" s="48" t="n">
        <x:f>Model_Data!X22</x:f>
        <x:v>29.034419664389077</x:v>
      </x:c>
      <x:c r="N22" s="48" t="n">
        <x:f>-(Model_Data!AC22-Model_Data!F22)</x:f>
        <x:v>135.15458231839648</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Model_Data!Y23</x:f>
        <x:v>258.91748425644914</x:v>
      </x:c>
      <x:c r="I23" s="48" t="n">
        <x:f>Model_Data!X23</x:f>
        <x:v>51.90461728837901</x:v>
      </x:c>
      <x:c r="J23" s="49"/>
      <x:c r="K23" s="48" t="n">
        <x:f>Model_Data!A23</x:f>
        <x:v>-49.5</x:v>
      </x:c>
      <x:c r="L23" s="48" t="n">
        <x:f>Model_Data!Y23</x:f>
        <x:v>258.91748425644914</x:v>
      </x:c>
      <x:c r="M23" s="48" t="n">
        <x:f>Model_Data!X23</x:f>
        <x:v>51.90461728837901</x:v>
      </x:c>
      <x:c r="N23" s="48" t="n">
        <x:f>-(Model_Data!AC23-Model_Data!F23)</x:f>
        <x:v>114.15139418362878</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Model_Data!Y24</x:f>
        <x:v>268.7927966209557</x:v>
      </x:c>
      <x:c r="I24" s="48" t="n">
        <x:f>Model_Data!X24</x:f>
        <x:v>39.64300304421553</x:v>
      </x:c>
      <x:c r="J24" s="49"/>
      <x:c r="K24" s="48" t="n">
        <x:f>Model_Data!A24</x:f>
        <x:v>-49</x:v>
      </x:c>
      <x:c r="L24" s="48" t="n">
        <x:f>Model_Data!Y24</x:f>
        <x:v>268.7927966209557</x:v>
      </x:c>
      <x:c r="M24" s="48" t="n">
        <x:f>Model_Data!X24</x:f>
        <x:v>39.64300304421553</x:v>
      </x:c>
      <x:c r="N24" s="48" t="n">
        <x:f>-(Model_Data!AC24-Model_Data!F24)</x:f>
        <x:v>126.54056091746043</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Model_Data!Y25</x:f>
        <x:v>265.4824606971943</x:v>
      </x:c>
      <x:c r="I25" s="48" t="n">
        <x:f>Model_Data!X25</x:f>
        <x:v>40.329360187280464</x:v>
      </x:c>
      <x:c r="J25" s="49"/>
      <x:c r="K25" s="48" t="n">
        <x:f>Model_Data!A25</x:f>
        <x:v>-48.5</x:v>
      </x:c>
      <x:c r="L25" s="48" t="n">
        <x:f>Model_Data!Y25</x:f>
        <x:v>265.4824606971943</x:v>
      </x:c>
      <x:c r="M25" s="48" t="n">
        <x:f>Model_Data!X25</x:f>
        <x:v>40.329360187280464</x:v>
      </x:c>
      <x:c r="N25" s="48" t="n">
        <x:f>-(Model_Data!AC25-Model_Data!F25)</x:f>
        <x:v>124.35620843066545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Model_Data!Y26</x:f>
        <x:v>253.6370227527636</x:v>
      </x:c>
      <x:c r="I26" s="48" t="n">
        <x:f>Model_Data!X26</x:f>
        <x:v>55.67705400563339</x:v>
      </x:c>
      <x:c r="J26" s="49"/>
      <x:c r="K26" s="48" t="n">
        <x:f>Model_Data!A26</x:f>
        <x:v>-48</x:v>
      </x:c>
      <x:c r="L26" s="48" t="n">
        <x:f>Model_Data!Y26</x:f>
        <x:v>253.6370227527636</x:v>
      </x:c>
      <x:c r="M26" s="48" t="n">
        <x:f>Model_Data!X26</x:f>
        <x:v>55.67705400563339</x:v>
      </x:c>
      <x:c r="N26" s="48" t="n">
        <x:f>-(Model_Data!AC26-Model_Data!F26)</x:f>
        <x:v>109.20656622344677</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Model_Data!Y27</x:f>
        <x:v>262.7548434853875</x:v>
      </x:c>
      <x:c r="I27" s="48" t="n">
        <x:f>Model_Data!X27</x:f>
        <x:v>53.974959185609514</x:v>
      </x:c>
      <x:c r="J27" s="49"/>
      <x:c r="K27" s="48" t="n">
        <x:f>Model_Data!A27</x:f>
        <x:v>-47.5</x:v>
      </x:c>
      <x:c r="L27" s="48" t="n">
        <x:f>Model_Data!Y27</x:f>
        <x:v>262.7548434853875</x:v>
      </x:c>
      <x:c r="M27" s="48" t="n">
        <x:f>Model_Data!X27</x:f>
        <x:v>53.974959185609514</x:v>
      </x:c>
      <x:c r="N27" s="48" t="n">
        <x:f>-(Model_Data!AC27-Model_Data!F27)</x:f>
        <x:v>115.2459303175342</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Model_Data!Y28</x:f>
        <x:v>253.91481019774176</x:v>
      </x:c>
      <x:c r="I28" s="48" t="n">
        <x:f>Model_Data!X28</x:f>
        <x:v>61.213442747759345</x:v>
      </x:c>
      <x:c r="J28" s="49"/>
      <x:c r="K28" s="48" t="n">
        <x:f>Model_Data!A28</x:f>
        <x:v>-47</x:v>
      </x:c>
      <x:c r="L28" s="48" t="n">
        <x:f>Model_Data!Y28</x:f>
        <x:v>253.91481019774176</x:v>
      </x:c>
      <x:c r="M28" s="48" t="n">
        <x:f>Model_Data!X28</x:f>
        <x:v>61.213442747759345</x:v>
      </x:c>
      <x:c r="N28" s="48" t="n">
        <x:f>-(Model_Data!AC28-Model_Data!F28)</x:f>
        <x:v>106.3134749240121</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Model_Data!Y29</x:f>
        <x:v>253.748238320312</x:v>
      </x:c>
      <x:c r="I29" s="48" t="n">
        <x:f>Model_Data!X29</x:f>
        <x:v>57.529820703344</x:v>
      </x:c>
      <x:c r="J29" s="49"/>
      <x:c r="K29" s="48" t="n">
        <x:f>Model_Data!A29</x:f>
        <x:v>-46.5</x:v>
      </x:c>
      <x:c r="L29" s="48" t="n">
        <x:f>Model_Data!Y29</x:f>
        <x:v>253.748238320312</x:v>
      </x:c>
      <x:c r="M29" s="48" t="n">
        <x:f>Model_Data!X29</x:f>
        <x:v>57.529820703344</x:v>
      </x:c>
      <x:c r="N29" s="48" t="n">
        <x:f>-(Model_Data!AC29-Model_Data!F29)</x:f>
        <x:v>108.32183405956994</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Model_Data!Y30</x:f>
        <x:v>237.40469511010875</x:v>
      </x:c>
      <x:c r="I30" s="48" t="n">
        <x:f>Model_Data!X30</x:f>
        <x:v>49.53962065283257</x:v>
      </x:c>
      <x:c r="J30" s="49"/>
      <x:c r="K30" s="48" t="n">
        <x:f>Model_Data!A30</x:f>
        <x:v>-46</x:v>
      </x:c>
      <x:c r="L30" s="48" t="n">
        <x:f>Model_Data!Y30</x:f>
        <x:v>237.40469511010875</x:v>
      </x:c>
      <x:c r="M30" s="48" t="n">
        <x:f>Model_Data!X30</x:f>
        <x:v>49.53962065283257</x:v>
      </x:c>
      <x:c r="N30" s="48" t="n">
        <x:f>-(Model_Data!AC30-Model_Data!F30)</x:f>
        <x:v>103.78115783448811</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Model_Data!Y31</x:f>
        <x:v>230.03534200748854</x:v>
      </x:c>
      <x:c r="I31" s="48" t="n">
        <x:f>Model_Data!X31</x:f>
        <x:v>36.8829185081177</x:v>
      </x:c>
      <x:c r="J31" s="49"/>
      <x:c r="K31" s="48" t="n">
        <x:f>Model_Data!A31</x:f>
        <x:v>-45.5</x:v>
      </x:c>
      <x:c r="L31" s="48" t="n">
        <x:f>Model_Data!Y31</x:f>
        <x:v>230.03534200748854</x:v>
      </x:c>
      <x:c r="M31" s="48" t="n">
        <x:f>Model_Data!X31</x:f>
        <x:v>36.8829185081177</x:v>
      </x:c>
      <x:c r="N31" s="48" t="n">
        <x:f>-(Model_Data!AC31-Model_Data!F31)</x:f>
        <x:v>106.83401079162513</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Model_Data!Y32</x:f>
        <x:v>208.8220272535724</x:v>
      </x:c>
      <x:c r="I32" s="48" t="n">
        <x:f>Model_Data!X32</x:f>
        <x:v>46.59917835352822</x:v>
      </x:c>
      <x:c r="J32" s="49"/>
      <x:c r="K32" s="48" t="n">
        <x:f>Model_Data!A32</x:f>
        <x:v>-45</x:v>
      </x:c>
      <x:c r="L32" s="48" t="n">
        <x:f>Model_Data!Y32</x:f>
        <x:v>208.8220272535724</x:v>
      </x:c>
      <x:c r="M32" s="48" t="n">
        <x:f>Model_Data!X32</x:f>
        <x:v>46.59917835352822</x:v>
      </x:c>
      <x:c r="N32" s="48" t="n">
        <x:f>-(Model_Data!AC32-Model_Data!F32)</x:f>
        <x:v>89.63764431399886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Model_Data!Y33</x:f>
        <x:v>201.66422960156285</x:v>
      </x:c>
      <x:c r="I33" s="48" t="n">
        <x:f>Model_Data!X33</x:f>
        <x:v>27.91531821493412</x:v>
      </x:c>
      <x:c r="J33" s="49"/>
      <x:c r="K33" s="48" t="n">
        <x:f>Model_Data!A33</x:f>
        <x:v>-44.5</x:v>
      </x:c>
      <x:c r="L33" s="48" t="n">
        <x:f>Model_Data!Y33</x:f>
        <x:v>201.66422960156285</x:v>
      </x:c>
      <x:c r="M33" s="48" t="n">
        <x:f>Model_Data!X33</x:f>
        <x:v>27.91531821493412</x:v>
      </x:c>
      <x:c r="N33" s="48" t="n">
        <x:f>-(Model_Data!AC33-Model_Data!F33)</x:f>
        <x:v>96.18818433743672</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Model_Data!Y34</x:f>
        <x:v>200.11672258234324</x:v>
      </x:c>
      <x:c r="I34" s="48" t="n">
        <x:f>Model_Data!X34</x:f>
        <x:v>18.82539201019003</x:v>
      </x:c>
      <x:c r="J34" s="49"/>
      <x:c r="K34" s="48" t="n">
        <x:f>Model_Data!A34</x:f>
        <x:v>-44</x:v>
      </x:c>
      <x:c r="L34" s="48" t="n">
        <x:f>Model_Data!Y34</x:f>
        <x:v>200.11672258234324</x:v>
      </x:c>
      <x:c r="M34" s="48" t="n">
        <x:f>Model_Data!X34</x:f>
        <x:v>18.82539201019003</x:v>
      </x:c>
      <x:c r="N34" s="48" t="n">
        <x:f>-(Model_Data!AC34-Model_Data!F34)</x:f>
        <x:v>100.45982557596244</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Model_Data!Y35</x:f>
        <x:v>210.8483953416035</x:v>
      </x:c>
      <x:c r="I35" s="48" t="n">
        <x:f>Model_Data!X35</x:f>
        <x:v>22.55480739682735</x:v>
      </x:c>
      <x:c r="J35" s="49"/>
      <x:c r="K35" s="48" t="n">
        <x:f>Model_Data!A35</x:f>
        <x:v>-43.5</x:v>
      </x:c>
      <x:c r="L35" s="48" t="n">
        <x:f>Model_Data!Y35</x:f>
        <x:v>210.8483953416035</x:v>
      </x:c>
      <x:c r="M35" s="48" t="n">
        <x:f>Model_Data!X35</x:f>
        <x:v>22.55480739682735</x:v>
      </x:c>
      <x:c r="N35" s="48" t="n">
        <x:f>-(Model_Data!AC35-Model_Data!F35)</x:f>
        <x:v>104.34353425082872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Model_Data!Y36</x:f>
        <x:v>180.5581841932563</x:v>
      </x:c>
      <x:c r="I36" s="48" t="n">
        <x:f>Model_Data!X36</x:f>
        <x:v>3.69479063881065</x:v>
      </x:c>
      <x:c r="J36" s="49"/>
      <x:c r="K36" s="48" t="n">
        <x:f>Model_Data!A36</x:f>
        <x:v>-43</x:v>
      </x:c>
      <x:c r="L36" s="48" t="n">
        <x:f>Model_Data!Y36</x:f>
        <x:v>180.5581841932563</x:v>
      </x:c>
      <x:c r="M36" s="48" t="n">
        <x:f>Model_Data!X36</x:f>
        <x:v>3.69479063881065</x:v>
      </x:c>
      <x:c r="N36" s="48" t="n">
        <x:f>-(Model_Data!AC36-Model_Data!F36)</x:f>
        <x:v>98.1496156105336</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Model_Data!Y37</x:f>
        <x:v>181.7291755177202</x:v>
      </x:c>
      <x:c r="I37" s="48" t="n">
        <x:f>Model_Data!X37</x:f>
        <x:v>9.477549494288523</x:v>
      </x:c>
      <x:c r="J37" s="49"/>
      <x:c r="K37" s="48" t="n">
        <x:f>Model_Data!A37</x:f>
        <x:v>-42.5</x:v>
      </x:c>
      <x:c r="L37" s="48" t="n">
        <x:f>Model_Data!Y37</x:f>
        <x:v>181.7291755177202</x:v>
      </x:c>
      <x:c r="M37" s="48" t="n">
        <x:f>Model_Data!X37</x:f>
        <x:v>9.477549494288523</x:v>
      </x:c>
      <x:c r="N37" s="48" t="n">
        <x:f>-(Model_Data!AC37-Model_Data!F37)</x:f>
        <x:v>95.57145086144624</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Model_Data!Y38</x:f>
        <x:v>170.62817299697477</x:v>
      </x:c>
      <x:c r="I38" s="48" t="n">
        <x:f>Model_Data!X38</x:f>
        <x:v>-8.691303525994272</x:v>
      </x:c>
      <x:c r="J38" s="49"/>
      <x:c r="K38" s="48" t="n">
        <x:f>Model_Data!A38</x:f>
        <x:v>-42</x:v>
      </x:c>
      <x:c r="L38" s="48" t="n">
        <x:f>Model_Data!Y38</x:f>
        <x:v>170.62817299697477</x:v>
      </x:c>
      <x:c r="M38" s="48" t="n">
        <x:f>Model_Data!X38</x:f>
        <x:v>-8.691303525994272</x:v>
      </x:c>
      <x:c r="N38" s="48" t="n">
        <x:f>-(Model_Data!AC38-Model_Data!F38)</x:f>
        <x:v>99.63454395521421</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Model_Data!Y39</x:f>
        <x:v>171.38557913735212</x:v>
      </x:c>
      <x:c r="I39" s="48" t="n">
        <x:f>Model_Data!X39</x:f>
        <x:v>-15.792555414769886</x:v>
      </x:c>
      <x:c r="J39" s="49"/>
      <x:c r="K39" s="48" t="n">
        <x:f>Model_Data!A39</x:f>
        <x:v>-41.5</x:v>
      </x:c>
      <x:c r="L39" s="48" t="n">
        <x:f>Model_Data!Y39</x:f>
        <x:v>171.38557913735212</x:v>
      </x:c>
      <x:c r="M39" s="48" t="n">
        <x:f>Model_Data!X39</x:f>
        <x:v>-15.792555414769886</x:v>
      </x:c>
      <x:c r="N39" s="48" t="n">
        <x:f>-(Model_Data!AC39-Model_Data!F39)</x:f>
        <x:v>104.06358959985755</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Model_Data!Y40</x:f>
        <x:v>176.66624192778235</x:v>
      </x:c>
      <x:c r="I40" s="48" t="n">
        <x:f>Model_Data!X40</x:f>
        <x:v>-17.886266996681616</x:v>
      </x:c>
      <x:c r="J40" s="49"/>
      <x:c r="K40" s="48" t="n">
        <x:f>Model_Data!A40</x:f>
        <x:v>-41</x:v>
      </x:c>
      <x:c r="L40" s="48" t="n">
        <x:f>Model_Data!Y40</x:f>
        <x:v>176.66624192778235</x:v>
      </x:c>
      <x:c r="M40" s="48" t="n">
        <x:f>Model_Data!X40</x:f>
        <x:v>-17.886266996681616</x:v>
      </x:c>
      <x:c r="N40" s="48" t="n">
        <x:f>-(Model_Data!AC40-Model_Data!F40)</x:f>
        <x:v>108.19216558577114</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Model_Data!Y41</x:f>
        <x:v>191.24651788731785</x:v>
      </x:c>
      <x:c r="I41" s="48" t="n">
        <x:f>Model_Data!X41</x:f>
        <x:v>-15.042977474303433</x:v>
      </x:c>
      <x:c r="J41" s="49"/>
      <x:c r="K41" s="48" t="n">
        <x:f>Model_Data!A41</x:f>
        <x:v>-40.5</x:v>
      </x:c>
      <x:c r="L41" s="48" t="n">
        <x:f>Model_Data!Y41</x:f>
        <x:v>191.24651788731785</x:v>
      </x:c>
      <x:c r="M41" s="48" t="n">
        <x:f>Model_Data!X41</x:f>
        <x:v>-15.042977474303433</x:v>
      </x:c>
      <x:c r="N41" s="48" t="n">
        <x:f>-(Model_Data!AC41-Model_Data!F41)</x:f>
        <x:v>114.71528548976016</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Model_Data!Y42</x:f>
        <x:v>197.66557297497732</x:v>
      </x:c>
      <x:c r="I42" s="48" t="n">
        <x:f>Model_Data!X42</x:f>
        <x:v>-31.231711064274894</x:v>
      </x:c>
      <x:c r="J42" s="49"/>
      <x:c r="K42" s="48" t="n">
        <x:f>Model_Data!A42</x:f>
        <x:v>-40</x:v>
      </x:c>
      <x:c r="L42" s="48" t="n">
        <x:f>Model_Data!Y42</x:f>
        <x:v>197.66557297497732</x:v>
      </x:c>
      <x:c r="M42" s="48" t="n">
        <x:f>Model_Data!X42</x:f>
        <x:v>-31.231711064274894</x:v>
      </x:c>
      <x:c r="N42" s="48" t="n">
        <x:f>-(Model_Data!AC42-Model_Data!F42)</x:f>
        <x:v>127.39790300622258</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Model_Data!Y43</x:f>
        <x:v>200.98178735327417</x:v>
      </x:c>
      <x:c r="I43" s="48" t="n">
        <x:f>Model_Data!X43</x:f>
        <x:v>-33.241151326098546</x:v>
      </x:c>
      <x:c r="J43" s="49"/>
      <x:c r="K43" s="48" t="n">
        <x:f>Model_Data!A43</x:f>
        <x:v>-39.5</x:v>
      </x:c>
      <x:c r="L43" s="48" t="n">
        <x:f>Model_Data!Y43</x:f>
        <x:v>200.98178735327417</x:v>
      </x:c>
      <x:c r="M43" s="48" t="n">
        <x:f>Model_Data!X43</x:f>
        <x:v>-33.241151326098546</x:v>
      </x:c>
      <x:c r="N43" s="48" t="n">
        <x:f>-(Model_Data!AC43-Model_Data!F43)</x:f>
        <x:v>130.39103202321735</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Model_Data!Y44</x:f>
        <x:v>184.54420924136062</x:v>
      </x:c>
      <x:c r="I44" s="48" t="n">
        <x:f>Model_Data!X44</x:f>
        <x:v>-32.02020136507765</x:v>
      </x:c>
      <x:c r="J44" s="49"/>
      <x:c r="K44" s="48" t="n">
        <x:f>Model_Data!A44</x:f>
        <x:v>-39</x:v>
      </x:c>
      <x:c r="L44" s="48" t="n">
        <x:f>Model_Data!Y44</x:f>
        <x:v>184.54420924136062</x:v>
      </x:c>
      <x:c r="M44" s="48" t="n">
        <x:f>Model_Data!X44</x:f>
        <x:v>-32.02020136507765</x:v>
      </x:c>
      <x:c r="N44" s="48" t="n">
        <x:f>-(Model_Data!AC44-Model_Data!F44)</x:f>
        <x:v>120.58757443386389</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Model_Data!Y45</x:f>
        <x:v>211.63430992610967</x:v>
      </x:c>
      <x:c r="I45" s="48" t="n">
        <x:f>Model_Data!X45</x:f>
        <x:v>-34.295384147954024</x:v>
      </x:c>
      <x:c r="J45" s="49"/>
      <x:c r="K45" s="48" t="n">
        <x:f>Model_Data!A45</x:f>
        <x:v>-38.5</x:v>
      </x:c>
      <x:c r="L45" s="48" t="n">
        <x:f>Model_Data!Y45</x:f>
        <x:v>211.63430992610967</x:v>
      </x:c>
      <x:c r="M45" s="48" t="n">
        <x:f>Model_Data!X45</x:f>
        <x:v>-34.295384147954024</x:v>
      </x:c>
      <x:c r="N45" s="48" t="n">
        <x:f>-(Model_Data!AC45-Model_Data!F45)</x:f>
        <x:v>136.94848574872935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Model_Data!Y46</x:f>
        <x:v>202.93658014849487</x:v>
      </x:c>
      <x:c r="I46" s="48" t="n">
        <x:f>Model_Data!X46</x:f>
        <x:v>-21.15737906152213</x:v>
      </x:c>
      <x:c r="J46" s="49"/>
      <x:c r="K46" s="48" t="n">
        <x:f>Model_Data!A46</x:f>
        <x:v>-38</x:v>
      </x:c>
      <x:c r="L46" s="48" t="n">
        <x:f>Model_Data!Y46</x:f>
        <x:v>202.93658014849487</x:v>
      </x:c>
      <x:c r="M46" s="48" t="n">
        <x:f>Model_Data!X46</x:f>
        <x:v>-21.15737906152213</x:v>
      </x:c>
      <x:c r="N46" s="48" t="n">
        <x:f>-(Model_Data!AC46-Model_Data!F46)</x:f>
        <x:v>124.75185589717148</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Model_Data!Y47</x:f>
        <x:v>239.1871485288169</x:v>
      </x:c>
      <x:c r="I47" s="48" t="n">
        <x:f>Model_Data!X47</x:f>
        <x:v>-18.69341167436205</x:v>
      </x:c>
      <x:c r="J47" s="49"/>
      <x:c r="K47" s="48" t="n">
        <x:f>Model_Data!A47</x:f>
        <x:v>-37.5</x:v>
      </x:c>
      <x:c r="L47" s="48" t="n">
        <x:f>Model_Data!Y47</x:f>
        <x:v>239.1871485288169</x:v>
      </x:c>
      <x:c r="M47" s="48" t="n">
        <x:f>Model_Data!X47</x:f>
        <x:v>-18.69341167436205</x:v>
      </x:c>
      <x:c r="N47" s="48" t="n">
        <x:f>-(Model_Data!AC47-Model_Data!F47)</x:f>
        <x:v>143.55279448352576</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Model_Data!Y48</x:f>
        <x:v>236.18872035541293</x:v>
      </x:c>
      <x:c r="I48" s="48" t="n">
        <x:f>Model_Data!X48</x:f>
        <x:v>-25.83766278531854</x:v>
      </x:c>
      <x:c r="J48" s="49"/>
      <x:c r="K48" s="48" t="n">
        <x:f>Model_Data!A48</x:f>
        <x:v>-37</x:v>
      </x:c>
      <x:c r="L48" s="48" t="n">
        <x:f>Model_Data!Y48</x:f>
        <x:v>236.18872035541293</x:v>
      </x:c>
      <x:c r="M48" s="48" t="n">
        <x:f>Model_Data!X48</x:f>
        <x:v>-25.83766278531854</x:v>
      </x:c>
      <x:c r="N48" s="48" t="n">
        <x:f>-(Model_Data!AC48-Model_Data!F48)</x:f>
        <x:v>145.92202253156802</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Model_Data!Y49</x:f>
        <x:v>264.8535608975177</x:v>
      </x:c>
      <x:c r="I49" s="48" t="n">
        <x:f>Model_Data!X49</x:f>
        <x:v>-21.548035323184823</x:v>
      </x:c>
      <x:c r="J49" s="49"/>
      <x:c r="K49" s="48" t="n">
        <x:f>Model_Data!A49</x:f>
        <x:v>-36.5</x:v>
      </x:c>
      <x:c r="L49" s="48" t="n">
        <x:f>Model_Data!Y49</x:f>
        <x:v>264.8535608975177</x:v>
      </x:c>
      <x:c r="M49" s="48" t="n">
        <x:f>Model_Data!X49</x:f>
        <x:v>-21.548035323184823</x:v>
      </x:c>
      <x:c r="N49" s="48" t="n">
        <x:f>-(Model_Data!AC49-Model_Data!F49)</x:f>
        <x:v>159.48607985194485</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Model_Data!Y50</x:f>
        <x:v>273.24610443212225</x:v>
      </x:c>
      <x:c r="I50" s="48" t="n">
        <x:f>Model_Data!X50</x:f>
        <x:v>-2.286662206392558</x:v>
      </x:c>
      <x:c r="J50" s="49"/>
      <x:c r="K50" s="48" t="n">
        <x:f>Model_Data!A50</x:f>
        <x:v>-36</x:v>
      </x:c>
      <x:c r="L50" s="48" t="n">
        <x:f>Model_Data!Y50</x:f>
        <x:v>273.24610443212225</x:v>
      </x:c>
      <x:c r="M50" s="48" t="n">
        <x:f>Model_Data!X50</x:f>
        <x:v>-2.286662206392558</x:v>
      </x:c>
      <x:c r="N50" s="48" t="n">
        <x:f>-(Model_Data!AC50-Model_Data!F50)</x:f>
        <x:v>153.36167562517517</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Model_Data!Y51</x:f>
        <x:v>284.9525044867838</x:v>
      </x:c>
      <x:c r="I51" s="48" t="n">
        <x:f>Model_Data!X51</x:f>
        <x:v>-0.6339718611461809</x:v>
      </x:c>
      <x:c r="J51" s="49"/>
      <x:c r="K51" s="48" t="n">
        <x:f>Model_Data!A51</x:f>
        <x:v>-35.5</x:v>
      </x:c>
      <x:c r="L51" s="48" t="n">
        <x:f>Model_Data!Y51</x:f>
        <x:v>284.9525044867838</x:v>
      </x:c>
      <x:c r="M51" s="48" t="n">
        <x:f>Model_Data!X51</x:f>
        <x:v>-0.6339718611461809</x:v>
      </x:c>
      <x:c r="N51" s="48" t="n">
        <x:f>-(Model_Data!AC51-Model_Data!F51)</x:f>
        <x:v>158.97571438916248</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Model_Data!Y52</x:f>
        <x:v>280.71344003946786</x:v>
      </x:c>
      <x:c r="I52" s="48" t="n">
        <x:f>Model_Data!X52</x:f>
        <x:v>-9.708529731781153</x:v>
      </x:c>
      <x:c r="J52" s="49"/>
      <x:c r="K52" s="48" t="n">
        <x:f>Model_Data!A52</x:f>
        <x:v>-35</x:v>
      </x:c>
      <x:c r="L52" s="48" t="n">
        <x:f>Model_Data!Y52</x:f>
        <x:v>280.71344003946786</x:v>
      </x:c>
      <x:c r="M52" s="48" t="n">
        <x:f>Model_Data!X52</x:f>
        <x:v>-9.708529731781153</x:v>
      </x:c>
      <x:c r="N52" s="48" t="n">
        <x:f>-(Model_Data!AC52-Model_Data!F52)</x:f>
        <x:v>161.7406264295987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Model_Data!Y53</x:f>
        <x:v>316.314878049505</x:v>
      </x:c>
      <x:c r="I53" s="48" t="n">
        <x:f>Model_Data!X53</x:f>
        <x:v>-9.85965082687293</x:v>
      </x:c>
      <x:c r="J53" s="49"/>
      <x:c r="K53" s="48" t="n">
        <x:f>Model_Data!A53</x:f>
        <x:v>-34.5</x:v>
      </x:c>
      <x:c r="L53" s="48" t="n">
        <x:f>Model_Data!Y53</x:f>
        <x:v>316.314878049505</x:v>
      </x:c>
      <x:c r="M53" s="48" t="n">
        <x:f>Model_Data!X53</x:f>
        <x:v>-9.85965082687293</x:v>
      </x:c>
      <x:c r="N53" s="48" t="n">
        <x:f>-(Model_Data!AC53-Model_Data!F53)</x:f>
        <x:v>181.67586225065747</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Model_Data!Y54</x:f>
        <x:v>319.4152549266823</x:v>
      </x:c>
      <x:c r="I54" s="48" t="n">
        <x:f>Model_Data!X54</x:f>
        <x:v>0.233219012771956</x:v>
      </x:c>
      <x:c r="J54" s="49"/>
      <x:c r="K54" s="48" t="n">
        <x:f>Model_Data!A54</x:f>
        <x:v>-34</x:v>
      </x:c>
      <x:c r="L54" s="48" t="n">
        <x:f>Model_Data!Y54</x:f>
        <x:v>319.4152549266823</x:v>
      </x:c>
      <x:c r="M54" s="48" t="n">
        <x:f>Model_Data!X54</x:f>
        <x:v>0.233219012771956</x:v>
      </x:c>
      <x:c r="N54" s="48" t="n">
        <x:f>-(Model_Data!AC54-Model_Data!F54)</x:f>
        <x:v>177.7614714119013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Model_Data!Y55</x:f>
        <x:v>328.4448057508986</x:v>
      </x:c>
      <x:c r="I55" s="48" t="n">
        <x:f>Model_Data!X55</x:f>
        <x:v>8.500195567439437</x:v>
      </x:c>
      <x:c r="J55" s="49"/>
      <x:c r="K55" s="48" t="n">
        <x:f>Model_Data!A55</x:f>
        <x:v>-33.5</x:v>
      </x:c>
      <x:c r="L55" s="48" t="n">
        <x:f>Model_Data!Y55</x:f>
        <x:v>328.4448057508986</x:v>
      </x:c>
      <x:c r="M55" s="48" t="n">
        <x:f>Model_Data!X55</x:f>
        <x:v>8.500195567439437</x:v>
      </x:c>
      <x:c r="N55" s="48" t="n">
        <x:f>-(Model_Data!AC55-Model_Data!F55)</x:f>
        <x:v>178.17567950965872</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Model_Data!Y56</x:f>
        <x:v>342.0571204684842</x:v>
      </x:c>
      <x:c r="I56" s="48" t="n">
        <x:f>Model_Data!X56</x:f>
        <x:v>12.884972617306985</x:v>
      </x:c>
      <x:c r="J56" s="49"/>
      <x:c r="K56" s="48" t="n">
        <x:f>Model_Data!A56</x:f>
        <x:v>-33</x:v>
      </x:c>
      <x:c r="L56" s="48" t="n">
        <x:f>Model_Data!Y56</x:f>
        <x:v>342.0571204684842</x:v>
      </x:c>
      <x:c r="M56" s="48" t="n">
        <x:f>Model_Data!X56</x:f>
        <x:v>12.884972617306985</x:v>
      </x:c>
      <x:c r="N56" s="48" t="n">
        <x:f>-(Model_Data!AC56-Model_Data!F56)</x:f>
        <x:v>183.32519375102447</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Model_Data!Y57</x:f>
        <x:v>350.9183412247295</x:v>
      </x:c>
      <x:c r="I57" s="48" t="n">
        <x:f>Model_Data!X57</x:f>
        <x:v>14.196906765365963</x:v>
      </x:c>
      <x:c r="J57" s="49"/>
      <x:c r="K57" s="48" t="n">
        <x:f>Model_Data!A57</x:f>
        <x:v>-32.5</x:v>
      </x:c>
      <x:c r="L57" s="48" t="n">
        <x:f>Model_Data!Y57</x:f>
        <x:v>350.9183412247295</x:v>
      </x:c>
      <x:c r="M57" s="48" t="n">
        <x:f>Model_Data!X57</x:f>
        <x:v>14.196906765365963</x:v>
      </x:c>
      <x:c r="N57" s="48" t="n">
        <x:f>-(Model_Data!AC57-Model_Data!F57)</x:f>
        <x:v>187.55570924608014</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Model_Data!Y58</x:f>
        <x:v>340.91681406553505</x:v>
      </x:c>
      <x:c r="I58" s="48" t="n">
        <x:f>Model_Data!X58</x:f>
        <x:v>5.730826646134426</x:v>
      </x:c>
      <x:c r="J58" s="49"/>
      <x:c r="K58" s="48" t="n">
        <x:f>Model_Data!A58</x:f>
        <x:v>-32</x:v>
      </x:c>
      <x:c r="L58" s="48" t="n">
        <x:f>Model_Data!Y58</x:f>
        <x:v>340.91681406553505</x:v>
      </x:c>
      <x:c r="M58" s="48" t="n">
        <x:f>Model_Data!X58</x:f>
        <x:v>5.730826646134426</x:v>
      </x:c>
      <x:c r="N58" s="48" t="n">
        <x:f>-(Model_Data!AC58-Model_Data!F58)</x:f>
        <x:v>186.7687118257552</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Model_Data!Y59</x:f>
        <x:v>355.15219987006986</x:v>
      </x:c>
      <x:c r="I59" s="48" t="n">
        <x:f>Model_Data!X59</x:f>
        <x:v>9.295817115602365</x:v>
      </x:c>
      <x:c r="J59" s="49"/>
      <x:c r="K59" s="48" t="n">
        <x:f>Model_Data!A59</x:f>
        <x:v>-31.5</x:v>
      </x:c>
      <x:c r="L59" s="48" t="n">
        <x:f>Model_Data!Y59</x:f>
        <x:v>355.15219987006986</x:v>
      </x:c>
      <x:c r="M59" s="48" t="n">
        <x:f>Model_Data!X59</x:f>
        <x:v>9.295817115602365</x:v>
      </x:c>
      <x:c r="N59" s="48" t="n">
        <x:f>-(Model_Data!AC59-Model_Data!F59)</x:f>
        <x:v>192.7293995516386</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Model_Data!Y60</x:f>
        <x:v>353.2610093246909</x:v>
      </x:c>
      <x:c r="I60" s="48" t="n">
        <x:f>Model_Data!X60</x:f>
        <x:v>-13.189582675327635</x:v>
      </x:c>
      <x:c r="J60" s="49"/>
      <x:c r="K60" s="48" t="n">
        <x:f>Model_Data!A60</x:f>
        <x:v>-31</x:v>
      </x:c>
      <x:c r="L60" s="48" t="n">
        <x:f>Model_Data!Y60</x:f>
        <x:v>353.2610093246909</x:v>
      </x:c>
      <x:c r="M60" s="48" t="n">
        <x:f>Model_Data!X60</x:f>
        <x:v>-13.189582675327635</x:v>
      </x:c>
      <x:c r="N60" s="48" t="n">
        <x:f>-(Model_Data!AC60-Model_Data!F60)</x:f>
        <x:v>204.33730074451182</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Model_Data!Y61</x:f>
        <x:v>338.6571544092517</x:v>
      </x:c>
      <x:c r="I61" s="48" t="n">
        <x:f>Model_Data!X61</x:f>
        <x:v>-7.467318037700602</x:v>
      </x:c>
      <x:c r="J61" s="49"/>
      <x:c r="K61" s="48" t="n">
        <x:f>Model_Data!A61</x:f>
        <x:v>-30.5</x:v>
      </x:c>
      <x:c r="L61" s="48" t="n">
        <x:f>Model_Data!Y61</x:f>
        <x:v>338.6571544092517</x:v>
      </x:c>
      <x:c r="M61" s="48" t="n">
        <x:f>Model_Data!X61</x:f>
        <x:v>-7.467318037700602</x:v>
      </x:c>
      <x:c r="N61" s="48" t="n">
        <x:f>-(Model_Data!AC61-Model_Data!F61)</x:f>
        <x:v>193.00966682707758</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Model_Data!Y62</x:f>
        <x:v>336.97644838088075</x:v>
      </x:c>
      <x:c r="I62" s="48" t="n">
        <x:f>Model_Data!X62</x:f>
        <x:v>-17.51801383367469</x:v>
      </x:c>
      <x:c r="J62" s="49"/>
      <x:c r="K62" s="48" t="n">
        <x:f>Model_Data!A62</x:f>
        <x:v>-30</x:v>
      </x:c>
      <x:c r="L62" s="48" t="n">
        <x:f>Model_Data!Y62</x:f>
        <x:v>336.97644838088075</x:v>
      </x:c>
      <x:c r="M62" s="48" t="n">
        <x:f>Model_Data!X62</x:f>
        <x:v>-17.51801383367469</x:v>
      </x:c>
      <x:c r="N62" s="48" t="n">
        <x:f>-(Model_Data!AC62-Model_Data!F62)</x:f>
        <x:v>197.74656793292638</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Model_Data!Y63</x:f>
        <x:v>326.24732503276135</x:v>
      </x:c>
      <x:c r="I63" s="48" t="n">
        <x:f>Model_Data!X63</x:f>
        <x:v>-36.167878297776255</x:v>
      </x:c>
      <x:c r="J63" s="49"/>
      <x:c r="K63" s="48" t="n">
        <x:f>Model_Data!A63</x:f>
        <x:v>-29.5</x:v>
      </x:c>
      <x:c r="L63" s="48" t="n">
        <x:f>Model_Data!Y63</x:f>
        <x:v>326.24732503276135</x:v>
      </x:c>
      <x:c r="M63" s="48" t="n">
        <x:f>Model_Data!X63</x:f>
        <x:v>-36.167878297776255</x:v>
      </x:c>
      <x:c r="N63" s="48" t="n">
        <x:f>-(Model_Data!AC63-Model_Data!F63)</x:f>
        <x:v>202.2674716434285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Model_Data!Y64</x:f>
        <x:v>331.8773601232655</x:v>
      </x:c>
      <x:c r="I64" s="48" t="n">
        <x:f>Model_Data!X64</x:f>
        <x:v>-22.86382175599607</x:v>
      </x:c>
      <x:c r="J64" s="49"/>
      <x:c r="K64" s="48" t="n">
        <x:f>Model_Data!A64</x:f>
        <x:v>-29</x:v>
      </x:c>
      <x:c r="L64" s="48" t="n">
        <x:f>Model_Data!Y64</x:f>
        <x:v>331.8773601232655</x:v>
      </x:c>
      <x:c r="M64" s="48" t="n">
        <x:f>Model_Data!X64</x:f>
        <x:v>-22.86382175599607</x:v>
      </x:c>
      <x:c r="N64" s="48" t="n">
        <x:f>-(Model_Data!AC64-Model_Data!F64)</x:f>
        <x:v>197.95935432245165</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Model_Data!Y65</x:f>
        <x:v>310.24247262167495</x:v>
      </x:c>
      <x:c r="I65" s="48" t="n">
        <x:f>Model_Data!X65</x:f>
        <x:v>-29.731374520275047</x:v>
      </x:c>
      <x:c r="J65" s="49"/>
      <x:c r="K65" s="48" t="n">
        <x:f>Model_Data!A65</x:f>
        <x:v>-28.5</x:v>
      </x:c>
      <x:c r="L65" s="48" t="n">
        <x:f>Model_Data!Y65</x:f>
        <x:v>310.24247262167495</x:v>
      </x:c>
      <x:c r="M65" s="48" t="n">
        <x:f>Model_Data!X65</x:f>
        <x:v>-29.731374520275047</x:v>
      </x:c>
      <x:c r="N65" s="48" t="n">
        <x:f>-(Model_Data!AC65-Model_Data!F65)</x:f>
        <x:v>189.7741914234848</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Model_Data!Y66</x:f>
        <x:v>313.2831784265769</x:v>
      </x:c>
      <x:c r="I66" s="48" t="n">
        <x:f>Model_Data!X66</x:f>
        <x:v>-53.01751827704016</x:v>
      </x:c>
      <x:c r="J66" s="49"/>
      <x:c r="K66" s="48" t="n">
        <x:f>Model_Data!A66</x:f>
        <x:v>-28</x:v>
      </x:c>
      <x:c r="L66" s="48" t="n">
        <x:f>Model_Data!Y66</x:f>
        <x:v>313.2831784265769</x:v>
      </x:c>
      <x:c r="M66" s="48" t="n">
        <x:f>Model_Data!X66</x:f>
        <x:v>-53.01751827704016</x:v>
      </x:c>
      <x:c r="N66" s="48" t="n">
        <x:f>-(Model_Data!AC66-Model_Data!F66)</x:f>
        <x:v>204.57649266437147</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Model_Data!Y67</x:f>
        <x:v>296.8437612590685</x:v>
      </x:c>
      <x:c r="I67" s="48" t="n">
        <x:f>Model_Data!X67</x:f>
        <x:v>-63.02108594889231</x:v>
      </x:c>
      <x:c r="J67" s="49"/>
      <x:c r="K67" s="48" t="n">
        <x:f>Model_Data!A67</x:f>
        <x:v>-27.5</x:v>
      </x:c>
      <x:c r="L67" s="48" t="n">
        <x:f>Model_Data!Y67</x:f>
        <x:v>296.8437612590685</x:v>
      </x:c>
      <x:c r="M67" s="48" t="n">
        <x:f>Model_Data!X67</x:f>
        <x:v>-63.02108594889231</x:v>
      </x:c>
      <x:c r="N67" s="48" t="n">
        <x:f>-(Model_Data!AC67-Model_Data!F67)</x:f>
        <x:v>201.0466901777355</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Model_Data!Y68</x:f>
        <x:v>289.34226854097847</x:v>
      </x:c>
      <x:c r="I68" s="48" t="n">
        <x:f>Model_Data!X68</x:f>
        <x:v>-69.67153928411518</x:v>
      </x:c>
      <x:c r="J68" s="49"/>
      <x:c r="K68" s="48" t="n">
        <x:f>Model_Data!A68</x:f>
        <x:v>-27</x:v>
      </x:c>
      <x:c r="L68" s="48" t="n">
        <x:f>Model_Data!Y68</x:f>
        <x:v>289.34226854097847</x:v>
      </x:c>
      <x:c r="M68" s="48" t="n">
        <x:f>Model_Data!X68</x:f>
        <x:v>-69.67153928411518</x:v>
      </x:c>
      <x:c r="N68" s="48" t="n">
        <x:f>-(Model_Data!AC68-Model_Data!F68)</x:f>
        <x:v>200.6183547220818</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Model_Data!Y69</x:f>
        <x:v>290.55977847508683</x:v>
      </x:c>
      <x:c r="I69" s="48" t="n">
        <x:f>Model_Data!X69</x:f>
        <x:v>-78.11942002863731</x:v>
      </x:c>
      <x:c r="J69" s="49"/>
      <x:c r="K69" s="48" t="n">
        <x:f>Model_Data!A69</x:f>
        <x:v>-26.5</x:v>
      </x:c>
      <x:c r="L69" s="48" t="n">
        <x:f>Model_Data!Y69</x:f>
        <x:v>290.55977847508683</x:v>
      </x:c>
      <x:c r="M69" s="48" t="n">
        <x:f>Model_Data!X69</x:f>
        <x:v>-78.11942002863731</x:v>
      </x:c>
      <x:c r="N69" s="48" t="n">
        <x:f>-(Model_Data!AC69-Model_Data!F69)</x:f>
        <x:v>206.06486880826992</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Model_Data!Y70</x:f>
        <x:v>271.74352983421755</x:v>
      </x:c>
      <x:c r="I70" s="48" t="n">
        <x:f>Model_Data!X70</x:f>
        <x:v>-82.17349441978894</x:v>
      </x:c>
      <x:c r="J70" s="49"/>
      <x:c r="K70" s="48" t="n">
        <x:f>Model_Data!A70</x:f>
        <x:v>-26</x:v>
      </x:c>
      <x:c r="L70" s="48" t="n">
        <x:f>Model_Data!Y70</x:f>
        <x:v>271.74352983421755</x:v>
      </x:c>
      <x:c r="M70" s="48" t="n">
        <x:f>Model_Data!X70</x:f>
        <x:v>-82.17349441978894</x:v>
      </x:c>
      <x:c r="N70" s="48" t="n">
        <x:f>-(Model_Data!AC70-Model_Data!F70)</x:f>
        <x:v>197.8594146891694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Model_Data!Y71</x:f>
        <x:v>271.72277085410076</x:v>
      </x:c>
      <x:c r="I71" s="48" t="n">
        <x:f>Model_Data!X71</x:f>
        <x:v>-104.31813701930129</x:v>
      </x:c>
      <x:c r="J71" s="49"/>
      <x:c r="K71" s="48" t="n">
        <x:f>Model_Data!A71</x:f>
        <x:v>-25.5</x:v>
      </x:c>
      <x:c r="L71" s="48" t="n">
        <x:f>Model_Data!Y71</x:f>
        <x:v>271.72277085410076</x:v>
      </x:c>
      <x:c r="M71" s="48" t="n">
        <x:f>Model_Data!X71</x:f>
        <x:v>-104.31813701930129</x:v>
      </x:c>
      <x:c r="N71" s="48" t="n">
        <x:f>-(Model_Data!AC71-Model_Data!F71)</x:f>
        <x:v>210.3076007155173</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Model_Data!Y72</x:f>
        <x:v>260.2713841318971</x:v>
      </x:c>
      <x:c r="I72" s="48" t="n">
        <x:f>Model_Data!X72</x:f>
        <x:v>-97.55297588358108</x:v>
      </x:c>
      <x:c r="J72" s="49"/>
      <x:c r="K72" s="48" t="n">
        <x:f>Model_Data!A72</x:f>
        <x:v>-25</x:v>
      </x:c>
      <x:c r="L72" s="48" t="n">
        <x:f>Model_Data!Y72</x:f>
        <x:v>260.2713841318971</x:v>
      </x:c>
      <x:c r="M72" s="48" t="n">
        <x:f>Model_Data!X72</x:f>
        <x:v>-97.55297588358108</x:v>
      </x:c>
      <x:c r="N72" s="48" t="n">
        <x:f>-(Model_Data!AC72-Model_Data!F72)</x:f>
        <x:v>200.13152395223563</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Model_Data!Y73</x:f>
        <x:v>276.49363528949897</x:v>
      </x:c>
      <x:c r="I73" s="48" t="n">
        <x:f>Model_Data!X73</x:f>
        <x:v>-113.61582851930044</x:v>
      </x:c>
      <x:c r="J73" s="49"/>
      <x:c r="K73" s="48" t="n">
        <x:f>Model_Data!A73</x:f>
        <x:v>-24.5</x:v>
      </x:c>
      <x:c r="L73" s="48" t="n">
        <x:f>Model_Data!Y73</x:f>
        <x:v>276.49363528949897</x:v>
      </x:c>
      <x:c r="M73" s="48" t="n">
        <x:f>Model_Data!X73</x:f>
        <x:v>-113.61582851930044</x:v>
      </x:c>
      <x:c r="N73" s="48" t="n">
        <x:f>-(Model_Data!AC73-Model_Data!F73)</x:f>
        <x:v>218.23206665992325</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Model_Data!Y74</x:f>
        <x:v>268.5791759815676</x:v>
      </x:c>
      <x:c r="I74" s="48" t="n">
        <x:f>Model_Data!X74</x:f>
        <x:v>-111.48853690711687</x:v>
      </x:c>
      <x:c r="J74" s="49"/>
      <x:c r="K74" s="48" t="n">
        <x:f>Model_Data!A74</x:f>
        <x:v>-24</x:v>
      </x:c>
      <x:c r="L74" s="48" t="n">
        <x:f>Model_Data!Y74</x:f>
        <x:v>268.5791759815676</x:v>
      </x:c>
      <x:c r="M74" s="48" t="n">
        <x:f>Model_Data!X74</x:f>
        <x:v>-111.48853690711687</x:v>
      </x:c>
      <x:c r="N74" s="48" t="n">
        <x:f>-(Model_Data!AC74-Model_Data!F74)</x:f>
        <x:v>212.63496616571683</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Model_Data!Y75</x:f>
        <x:v>273.93459884711217</x:v>
      </x:c>
      <x:c r="I75" s="48" t="n">
        <x:f>Model_Data!X75</x:f>
        <x:v>-125.65162794647964</x:v>
      </x:c>
      <x:c r="J75" s="49"/>
      <x:c r="K75" s="48" t="n">
        <x:f>Model_Data!A75</x:f>
        <x:v>-23.5</x:v>
      </x:c>
      <x:c r="L75" s="48" t="n">
        <x:f>Model_Data!Y75</x:f>
        <x:v>273.93459884711217</x:v>
      </x:c>
      <x:c r="M75" s="48" t="n">
        <x:f>Model_Data!X75</x:f>
        <x:v>-125.65162794647964</x:v>
      </x:c>
      <x:c r="N75" s="48" t="n">
        <x:f>-(Model_Data!AC75-Model_Data!F75)</x:f>
        <x:v>223.60040798977718</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Model_Data!Y76</x:f>
        <x:v>279.55588840773</x:v>
      </x:c>
      <x:c r="I76" s="48" t="n">
        <x:f>Model_Data!X76</x:f>
        <x:v>-132.5457898426781</x:v>
      </x:c>
      <x:c r="J76" s="49"/>
      <x:c r="K76" s="48" t="n">
        <x:f>Model_Data!A76</x:f>
        <x:v>-23</x:v>
      </x:c>
      <x:c r="L76" s="48" t="n">
        <x:f>Model_Data!Y76</x:f>
        <x:v>279.55588840773</x:v>
      </x:c>
      <x:c r="M76" s="48" t="n">
        <x:f>Model_Data!X76</x:f>
        <x:v>-132.5457898426781</x:v>
      </x:c>
      <x:c r="N76" s="48" t="n">
        <x:f>-(Model_Data!AC76-Model_Data!F76)</x:f>
        <x:v>230.6310208699565</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Model_Data!Y77</x:f>
        <x:v>286.69936407981004</x:v>
      </x:c>
      <x:c r="I77" s="48" t="n">
        <x:f>Model_Data!X77</x:f>
        <x:v>-138.29494668428998</x:v>
      </x:c>
      <x:c r="J77" s="49"/>
      <x:c r="K77" s="48" t="n">
        <x:f>Model_Data!A77</x:f>
        <x:v>-22.5</x:v>
      </x:c>
      <x:c r="L77" s="48" t="n">
        <x:f>Model_Data!Y77</x:f>
        <x:v>286.69936407981004</x:v>
      </x:c>
      <x:c r="M77" s="48" t="n">
        <x:f>Model_Data!X77</x:f>
        <x:v>-138.29494668428998</x:v>
      </x:c>
      <x:c r="N77" s="48" t="n">
        <x:f>-(Model_Data!AC77-Model_Data!F77)</x:f>
        <x:v>237.86912614590733</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Model_Data!Y78</x:f>
        <x:v>316.60820817766927</x:v>
      </x:c>
      <x:c r="I78" s="48" t="n">
        <x:f>Model_Data!X78</x:f>
        <x:v>-144.0992283446906</x:v>
      </x:c>
      <x:c r="J78" s="49"/>
      <x:c r="K78" s="48" t="n">
        <x:f>Model_Data!A78</x:f>
        <x:v>-22</x:v>
      </x:c>
      <x:c r="L78" s="48" t="n">
        <x:f>Model_Data!Y78</x:f>
        <x:v>316.60820817766927</x:v>
      </x:c>
      <x:c r="M78" s="48" t="n">
        <x:f>Model_Data!X78</x:f>
        <x:v>-144.0992283446906</x:v>
      </x:c>
      <x:c r="N78" s="48" t="n">
        <x:f>-(Model_Data!AC78-Model_Data!F78)</x:f>
        <x:v>257.8587395088001</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Model_Data!Y79</x:f>
        <x:v>332.44947759769417</x:v>
      </x:c>
      <x:c r="I79" s="48" t="n">
        <x:f>Model_Data!X79</x:f>
        <x:v>-156.9345481530768</x:v>
      </x:c>
      <x:c r="J79" s="49"/>
      <x:c r="K79" s="48" t="n">
        <x:f>Model_Data!A79</x:f>
        <x:v>-21.5</x:v>
      </x:c>
      <x:c r="L79" s="48" t="n">
        <x:f>Model_Data!Y79</x:f>
        <x:v>332.44947759769417</x:v>
      </x:c>
      <x:c r="M79" s="48" t="n">
        <x:f>Model_Data!X79</x:f>
        <x:v>-156.9345481530768</x:v>
      </x:c>
      <x:c r="N79" s="48" t="n">
        <x:f>-(Model_Data!AC79-Model_Data!F79)</x:f>
        <x:v>273.9405008292239</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Model_Data!Y80</x:f>
        <x:v>317.91812880175183</x:v>
      </x:c>
      <x:c r="I80" s="48" t="n">
        <x:f>Model_Data!X80</x:f>
        <x:v>-142.37794992196604</x:v>
      </x:c>
      <x:c r="J80" s="49"/>
      <x:c r="K80" s="48" t="n">
        <x:f>Model_Data!A80</x:f>
        <x:v>-21</x:v>
      </x:c>
      <x:c r="L80" s="48" t="n">
        <x:f>Model_Data!Y80</x:f>
        <x:v>317.91812880175183</x:v>
      </x:c>
      <x:c r="M80" s="48" t="n">
        <x:f>Model_Data!X80</x:f>
        <x:v>-142.37794992196604</x:v>
      </x:c>
      <x:c r="N80" s="48" t="n">
        <x:f>-(Model_Data!AC80-Model_Data!F80)</x:f>
        <x:v>257.6608433475633</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Model_Data!Y81</x:f>
        <x:v>343.37986587370784</x:v>
      </x:c>
      <x:c r="I81" s="48" t="n">
        <x:f>Model_Data!X81</x:f>
        <x:v>-140.5508651158499</x:v>
      </x:c>
      <x:c r="J81" s="49"/>
      <x:c r="K81" s="48" t="n">
        <x:f>Model_Data!A81</x:f>
        <x:v>-20.5</x:v>
      </x:c>
      <x:c r="L81" s="48" t="n">
        <x:f>Model_Data!Y81</x:f>
        <x:v>343.37986587370784</x:v>
      </x:c>
      <x:c r="M81" s="48" t="n">
        <x:f>Model_Data!X81</x:f>
        <x:v>-140.5508651158499</x:v>
      </x:c>
      <x:c r="N81" s="48" t="n">
        <x:f>-(Model_Data!AC81-Model_Data!F81)</x:f>
        <x:v>270.88339789509325</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Model_Data!Y82</x:f>
        <x:v>338.15830709992554</x:v>
      </x:c>
      <x:c r="I82" s="48" t="n">
        <x:f>Model_Data!X82</x:f>
        <x:v>-146.32822187126578</x:v>
      </x:c>
      <x:c r="J82" s="49"/>
      <x:c r="K82" s="48" t="n">
        <x:f>Model_Data!A82</x:f>
        <x:v>-20</x:v>
      </x:c>
      <x:c r="L82" s="48" t="n">
        <x:f>Model_Data!Y82</x:f>
        <x:v>338.15830709992554</x:v>
      </x:c>
      <x:c r="M82" s="48" t="n">
        <x:f>Model_Data!X82</x:f>
        <x:v>-146.32822187126578</x:v>
      </x:c>
      <x:c r="N82" s="48" t="n">
        <x:f>-(Model_Data!AC82-Model_Data!F82)</x:f>
        <x:v>271.22933257737327</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Model_Data!Y83</x:f>
        <x:v>363.81454233496186</x:v>
      </x:c>
      <x:c r="I83" s="48" t="n">
        <x:f>Model_Data!X83</x:f>
        <x:v>-140.0483381286437</x:v>
      </x:c>
      <x:c r="J83" s="49"/>
      <x:c r="K83" s="48" t="n">
        <x:f>Model_Data!A83</x:f>
        <x:v>-19.5</x:v>
      </x:c>
      <x:c r="L83" s="48" t="n">
        <x:f>Model_Data!Y83</x:f>
        <x:v>363.81454233496186</x:v>
      </x:c>
      <x:c r="M83" s="48" t="n">
        <x:f>Model_Data!X83</x:f>
        <x:v>-140.0483381286437</x:v>
      </x:c>
      <x:c r="N83" s="48" t="n">
        <x:f>-(Model_Data!AC83-Model_Data!F83)</x:f>
        <x:v>282.06205300930094</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Model_Data!Y84</x:f>
        <x:v>371.18641988344854</x:v>
      </x:c>
      <x:c r="I84" s="48" t="n">
        <x:f>Model_Data!X84</x:f>
        <x:v>-144.88352309984418</x:v>
      </x:c>
      <x:c r="J84" s="49"/>
      <x:c r="K84" s="48" t="n">
        <x:f>Model_Data!A84</x:f>
        <x:v>-19</x:v>
      </x:c>
      <x:c r="L84" s="48" t="n">
        <x:f>Model_Data!Y84</x:f>
        <x:v>371.18641988344854</x:v>
      </x:c>
      <x:c r="M84" s="48" t="n">
        <x:f>Model_Data!X84</x:f>
        <x:v>-144.88352309984418</x:v>
      </x:c>
      <x:c r="N84" s="48" t="n">
        <x:f>-(Model_Data!AC84-Model_Data!F84)</x:f>
        <x:v>288.91901307253033</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Model_Data!Y85</x:f>
        <x:v>365.6884368087795</x:v>
      </x:c>
      <x:c r="I85" s="48" t="n">
        <x:f>Model_Data!X85</x:f>
        <x:v>-136.66366560462208</x:v>
      </x:c>
      <x:c r="J85" s="49"/>
      <x:c r="K85" s="48" t="n">
        <x:f>Model_Data!A85</x:f>
        <x:v>-18.5</x:v>
      </x:c>
      <x:c r="L85" s="48" t="n">
        <x:f>Model_Data!Y85</x:f>
        <x:v>365.6884368087795</x:v>
      </x:c>
      <x:c r="M85" s="48" t="n">
        <x:f>Model_Data!X85</x:f>
        <x:v>-136.66366560462208</x:v>
      </x:c>
      <x:c r="N85" s="48" t="n">
        <x:f>-(Model_Data!AC85-Model_Data!F85)</x:f>
        <x:v>281.246006276244</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Model_Data!Y86</x:f>
        <x:v>392.0220541536099</x:v>
      </x:c>
      <x:c r="I86" s="48" t="n">
        <x:f>Model_Data!X86</x:f>
        <x:v>-149.12259877495586</x:v>
      </x:c>
      <x:c r="J86" s="49"/>
      <x:c r="K86" s="48" t="n">
        <x:f>Model_Data!A86</x:f>
        <x:v>-18</x:v>
      </x:c>
      <x:c r="L86" s="48" t="n">
        <x:f>Model_Data!Y86</x:f>
        <x:v>392.0220541536099</x:v>
      </x:c>
      <x:c r="M86" s="48" t="n">
        <x:f>Model_Data!X86</x:f>
        <x:v>-149.12259877495586</x:v>
      </x:c>
      <x:c r="N86" s="48" t="n">
        <x:f>-(Model_Data!AC86-Model_Data!F86)</x:f>
        <x:v>302.98886990822893</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Model_Data!Y87</x:f>
        <x:v>397.07097057156574</x:v>
      </x:c>
      <x:c r="I87" s="48" t="n">
        <x:f>Model_Data!X87</x:f>
        <x:v>-139.0731304771746</x:v>
      </x:c>
      <x:c r="J87" s="49"/>
      <x:c r="K87" s="48" t="n">
        <x:f>Model_Data!A87</x:f>
        <x:v>-17.5</x:v>
      </x:c>
      <x:c r="L87" s="48" t="n">
        <x:f>Model_Data!Y87</x:f>
        <x:v>397.07097057156574</x:v>
      </x:c>
      <x:c r="M87" s="48" t="n">
        <x:f>Model_Data!X87</x:f>
        <x:v>-139.0731304771746</x:v>
      </x:c>
      <x:c r="N87" s="48" t="n">
        <x:f>-(Model_Data!AC87-Model_Data!F87)</x:f>
        <x:v>300.1855968595522</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Model_Data!Y88</x:f>
        <x:v>381.37310246850825</x:v>
      </x:c>
      <x:c r="I88" s="48" t="n">
        <x:f>Model_Data!X88</x:f>
        <x:v>-125.70874899839603</x:v>
      </x:c>
      <x:c r="J88" s="49"/>
      <x:c r="K88" s="48" t="n">
        <x:f>Model_Data!A88</x:f>
        <x:v>-17</x:v>
      </x:c>
      <x:c r="L88" s="48" t="n">
        <x:f>Model_Data!Y88</x:f>
        <x:v>381.37310246850825</x:v>
      </x:c>
      <x:c r="M88" s="48" t="n">
        <x:f>Model_Data!X88</x:f>
        <x:v>-125.70874899839603</x:v>
      </x:c>
      <x:c r="N88" s="48" t="n">
        <x:f>-(Model_Data!AC88-Model_Data!F88)</x:f>
        <x:v>283.9167760640429</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Model_Data!Y89</x:f>
        <x:v>387.1431058674635</x:v>
      </x:c>
      <x:c r="I89" s="48" t="n">
        <x:f>Model_Data!X89</x:f>
        <x:v>-123.86861357235706</x:v>
      </x:c>
      <x:c r="J89" s="49"/>
      <x:c r="K89" s="48" t="n">
        <x:f>Model_Data!A89</x:f>
        <x:v>-16.5</x:v>
      </x:c>
      <x:c r="L89" s="48" t="n">
        <x:f>Model_Data!Y89</x:f>
        <x:v>387.1431058674635</x:v>
      </x:c>
      <x:c r="M89" s="48" t="n">
        <x:f>Model_Data!X89</x:f>
        <x:v>-123.86861357235706</x:v>
      </x:c>
      <x:c r="N89" s="48" t="n">
        <x:f>-(Model_Data!AC89-Model_Data!F89)</x:f>
        <x:v>286.12773202209144</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Model_Data!Y90</x:f>
        <x:v>413.2956148642764</x:v>
      </x:c>
      <x:c r="I90" s="48" t="n">
        <x:f>Model_Data!X90</x:f>
        <x:v>-97.48037396441562</x:v>
      </x:c>
      <x:c r="J90" s="49"/>
      <x:c r="K90" s="48" t="n">
        <x:f>Model_Data!A90</x:f>
        <x:v>-16</x:v>
      </x:c>
      <x:c r="L90" s="48" t="n">
        <x:f>Model_Data!Y90</x:f>
        <x:v>413.2956148642764</x:v>
      </x:c>
      <x:c r="M90" s="48" t="n">
        <x:f>Model_Data!X90</x:f>
        <x:v>-97.48037396441562</x:v>
      </x:c>
      <x:c r="N90" s="48" t="n">
        <x:f>-(Model_Data!AC90-Model_Data!F90)</x:f>
        <x:v>285.9489035067897</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Model_Data!Y91</x:f>
        <x:v>405.1793484681727</x:v>
      </x:c>
      <x:c r="I91" s="48" t="n">
        <x:f>Model_Data!X91</x:f>
        <x:v>-109.31712972071381</x:v>
      </x:c>
      <x:c r="J91" s="49"/>
      <x:c r="K91" s="48" t="n">
        <x:f>Model_Data!A91</x:f>
        <x:v>-15.5</x:v>
      </x:c>
      <x:c r="L91" s="48" t="n">
        <x:f>Model_Data!Y91</x:f>
        <x:v>405.1793484681727</x:v>
      </x:c>
      <x:c r="M91" s="48" t="n">
        <x:f>Model_Data!X91</x:f>
        <x:v>-109.31712972071381</x:v>
      </x:c>
      <x:c r="N91" s="48" t="n">
        <x:f>-(Model_Data!AC91-Model_Data!F91)</x:f>
        <x:v>288.07624427461275</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Model_Data!Y92</x:f>
        <x:v>416.63024006091615</x:v>
      </x:c>
      <x:c r="I92" s="48" t="n">
        <x:f>Model_Data!X92</x:f>
        <x:v>-90.49530902944495</x:v>
      </x:c>
      <x:c r="J92" s="49"/>
      <x:c r="K92" s="48" t="n">
        <x:f>Model_Data!A92</x:f>
        <x:v>-15</x:v>
      </x:c>
      <x:c r="L92" s="48" t="n">
        <x:f>Model_Data!Y92</x:f>
        <x:v>416.63024006091615</x:v>
      </x:c>
      <x:c r="M92" s="48" t="n">
        <x:f>Model_Data!X92</x:f>
        <x:v>-90.49530902944495</x:v>
      </x:c>
      <x:c r="N92" s="48" t="n">
        <x:f>-(Model_Data!AC92-Model_Data!F92)</x:f>
        <x:v>283.92529699951075</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Model_Data!Y93</x:f>
        <x:v>425.31373753688456</x:v>
      </x:c>
      <x:c r="I93" s="48" t="n">
        <x:f>Model_Data!X93</x:f>
        <x:v>-86.65248482679937</x:v>
      </x:c>
      <x:c r="J93" s="49"/>
      <x:c r="K93" s="48" t="n">
        <x:f>Model_Data!A93</x:f>
        <x:v>-14.5</x:v>
      </x:c>
      <x:c r="L93" s="48" t="n">
        <x:f>Model_Data!Y93</x:f>
        <x:v>425.31373753688456</x:v>
      </x:c>
      <x:c r="M93" s="48" t="n">
        <x:f>Model_Data!X93</x:f>
        <x:v>-86.65248482679937</x:v>
      </x:c>
      <x:c r="N93" s="48" t="n">
        <x:f>-(Model_Data!AC93-Model_Data!F93)</x:f>
        <x:v>286.641557588488</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Model_Data!Y94</x:f>
        <x:v>420.9575928892744</x:v>
      </x:c>
      <x:c r="I94" s="48" t="n">
        <x:f>Model_Data!X94</x:f>
        <x:v>-84.36597258140502</x:v>
      </x:c>
      <x:c r="J94" s="49"/>
      <x:c r="K94" s="48" t="n">
        <x:f>Model_Data!A94</x:f>
        <x:v>-14</x:v>
      </x:c>
      <x:c r="L94" s="48" t="n">
        <x:f>Model_Data!Y94</x:f>
        <x:v>420.9575928892744</x:v>
      </x:c>
      <x:c r="M94" s="48" t="n">
        <x:f>Model_Data!X94</x:f>
        <x:v>-84.36597258140502</x:v>
      </x:c>
      <x:c r="N94" s="48" t="n">
        <x:f>-(Model_Data!AC94-Model_Data!F94)</x:f>
        <x:v>282.93618721939066</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Model_Data!Y95</x:f>
        <x:v>418.7700178970381</x:v>
      </x:c>
      <x:c r="I95" s="48" t="n">
        <x:f>Model_Data!X95</x:f>
        <x:v>-61.03205493353448</x:v>
      </x:c>
      <x:c r="J95" s="49"/>
      <x:c r="K95" s="48" t="n">
        <x:f>Model_Data!A95</x:f>
        <x:v>-13.5</x:v>
      </x:c>
      <x:c r="L95" s="48" t="n">
        <x:f>Model_Data!Y95</x:f>
        <x:v>418.7700178970381</x:v>
      </x:c>
      <x:c r="M95" s="48" t="n">
        <x:f>Model_Data!X95</x:f>
        <x:v>-61.03205493353448</x:v>
      </x:c>
      <x:c r="N95" s="48" t="n">
        <x:f>-(Model_Data!AC95-Model_Data!F95)</x:f>
        <x:v>268.6189884175253</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Model_Data!Y96</x:f>
        <x:v>432.8844458249992</x:v>
      </x:c>
      <x:c r="I96" s="48" t="n">
        <x:f>Model_Data!X96</x:f>
        <x:v>-64.09243482429542</x:v>
      </x:c>
      <x:c r="J96" s="49"/>
      <x:c r="K96" s="48" t="n">
        <x:f>Model_Data!A96</x:f>
        <x:v>-13</x:v>
      </x:c>
      <x:c r="L96" s="48" t="n">
        <x:f>Model_Data!Y96</x:f>
        <x:v>432.8844458249992</x:v>
      </x:c>
      <x:c r="M96" s="48" t="n">
        <x:f>Model_Data!X96</x:f>
        <x:v>-64.09243482429542</x:v>
      </x:c>
      <x:c r="N96" s="48" t="n">
        <x:f>-(Model_Data!AC96-Model_Data!F96)</x:f>
        <x:v>278.2519875156237</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Model_Data!Y97</x:f>
        <x:v>448.8683161255995</x:v>
      </x:c>
      <x:c r="I97" s="48" t="n">
        <x:f>Model_Data!X97</x:f>
        <x:v>-70.18392228131138</x:v>
      </x:c>
      <x:c r="J97" s="49"/>
      <x:c r="K97" s="48" t="n">
        <x:f>Model_Data!A97</x:f>
        <x:v>-12.5</x:v>
      </x:c>
      <x:c r="L97" s="48" t="n">
        <x:f>Model_Data!Y97</x:f>
        <x:v>448.8683161255995</x:v>
      </x:c>
      <x:c r="M97" s="48" t="n">
        <x:f>Model_Data!X97</x:f>
        <x:v>-70.18392228131138</x:v>
      </x:c>
      <x:c r="N97" s="48" t="n">
        <x:f>-(Model_Data!AC97-Model_Data!F97)</x:f>
        <x:v>290.63448398781685</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Model_Data!Y98</x:f>
        <x:v>437.9918993099811</x:v>
      </x:c>
      <x:c r="I98" s="48" t="n">
        <x:f>Model_Data!X98</x:f>
        <x:v>-47.55794552962975</x:v>
      </x:c>
      <x:c r="J98" s="49"/>
      <x:c r="K98" s="48" t="n">
        <x:f>Model_Data!A98</x:f>
        <x:v>-12</x:v>
      </x:c>
      <x:c r="L98" s="48" t="n">
        <x:f>Model_Data!Y98</x:f>
        <x:v>437.9918993099811</x:v>
      </x:c>
      <x:c r="M98" s="48" t="n">
        <x:f>Model_Data!X98</x:f>
        <x:v>-47.55794552962975</x:v>
      </x:c>
      <x:c r="N98" s="48" t="n">
        <x:f>-(Model_Data!AC98-Model_Data!F98)</x:f>
        <x:v>271.85108881117566</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Model_Data!Y99</x:f>
        <x:v>458.910891472728</x:v>
      </x:c>
      <x:c r="I99" s="48" t="n">
        <x:f>Model_Data!X99</x:f>
        <x:v>-48.06780811544866</x:v>
      </x:c>
      <x:c r="J99" s="49"/>
      <x:c r="K99" s="48" t="n">
        <x:f>Model_Data!A99</x:f>
        <x:v>-11.5</x:v>
      </x:c>
      <x:c r="L99" s="48" t="n">
        <x:f>Model_Data!Y99</x:f>
        <x:v>458.910891472728</x:v>
      </x:c>
      <x:c r="M99" s="48" t="n">
        <x:f>Model_Data!X99</x:f>
        <x:v>-48.06780811544866</x:v>
      </x:c>
      <x:c r="N99" s="48" t="n">
        <x:f>-(Model_Data!AC99-Model_Data!F99)</x:f>
        <x:v>283.8600893739204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Model_Data!Y100</x:f>
        <x:v>462.5412492822977</x:v>
      </x:c>
      <x:c r="I100" s="48" t="n">
        <x:f>Model_Data!X100</x:f>
        <x:v>-43.28983557333215</x:v>
      </x:c>
      <x:c r="J100" s="49"/>
      <x:c r="K100" s="48" t="n">
        <x:f>Model_Data!A100</x:f>
        <x:v>-11</x:v>
      </x:c>
      <x:c r="L100" s="48" t="n">
        <x:f>Model_Data!Y100</x:f>
        <x:v>462.5412492822977</x:v>
      </x:c>
      <x:c r="M100" s="48" t="n">
        <x:f>Model_Data!X100</x:f>
        <x:v>-43.28983557333215</x:v>
      </x:c>
      <x:c r="N100" s="48" t="n">
        <x:f>-(Model_Data!AC100-Model_Data!F100)</x:f>
        <x:v>283.22202367399285</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Model_Data!Y101</x:f>
        <x:v>470.10163194835394</x:v>
      </x:c>
      <x:c r="I101" s="48" t="n">
        <x:f>Model_Data!X101</x:f>
        <x:v>-52.09631463655199</x:v>
      </x:c>
      <x:c r="J101" s="49"/>
      <x:c r="K101" s="48" t="n">
        <x:f>Model_Data!A101</x:f>
        <x:v>-10.5</x:v>
      </x:c>
      <x:c r="L101" s="48" t="n">
        <x:f>Model_Data!Y101</x:f>
        <x:v>470.10163194835394</x:v>
      </x:c>
      <x:c r="M101" s="48" t="n">
        <x:f>Model_Data!X101</x:f>
        <x:v>-52.09631463655199</x:v>
      </x:c>
      <x:c r="N101" s="48" t="n">
        <x:f>-(Model_Data!AC101-Model_Data!F101)</x:f>
        <x:v>292.4151510046805</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Model_Data!Y102</x:f>
        <x:v>471.5144848829251</x:v>
      </x:c>
      <x:c r="I102" s="48" t="n">
        <x:f>Model_Data!X102</x:f>
        <x:v>-49.423131521111884</x:v>
      </x:c>
      <x:c r="J102" s="49"/>
      <x:c r="K102" s="48" t="n">
        <x:f>Model_Data!A102</x:f>
        <x:v>-10</x:v>
      </x:c>
      <x:c r="L102" s="48" t="n">
        <x:f>Model_Data!Y102</x:f>
        <x:v>471.5144848829251</x:v>
      </x:c>
      <x:c r="M102" s="48" t="n">
        <x:f>Model_Data!X102</x:f>
        <x:v>-49.423131521111884</x:v>
      </x:c>
      <x:c r="N102" s="48" t="n">
        <x:f>-(Model_Data!AC102-Model_Data!F102)</x:f>
        <x:v>291.7174788638533</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Model_Data!Y103</x:f>
        <x:v>470.5815738170562</x:v>
      </x:c>
      <x:c r="I103" s="48" t="n">
        <x:f>Model_Data!X103</x:f>
        <x:v>-32.277557975083496</x:v>
      </x:c>
      <x:c r="J103" s="49"/>
      <x:c r="K103" s="48" t="n">
        <x:f>Model_Data!A103</x:f>
        <x:v>-9.5</x:v>
      </x:c>
      <x:c r="L103" s="48" t="n">
        <x:f>Model_Data!Y103</x:f>
        <x:v>470.5815738170562</x:v>
      </x:c>
      <x:c r="M103" s="48" t="n">
        <x:f>Model_Data!X103</x:f>
        <x:v>-32.277557975083496</x:v>
      </x:c>
      <x:c r="N103" s="48" t="n">
        <x:f>-(Model_Data!AC103-Model_Data!F103)</x:f>
        <x:v>281.5754786370925</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Model_Data!Y104</x:f>
        <x:v>480.618285675218</x:v>
      </x:c>
      <x:c r="I104" s="48" t="n">
        <x:f>Model_Data!X104</x:f>
        <x:v>-47.4214748383975</x:v>
      </x:c>
      <x:c r="J104" s="49"/>
      <x:c r="K104" s="48" t="n">
        <x:f>Model_Data!A104</x:f>
        <x:v>-9</x:v>
      </x:c>
      <x:c r="L104" s="48" t="n">
        <x:f>Model_Data!Y104</x:f>
        <x:v>480.618285675218</x:v>
      </x:c>
      <x:c r="M104" s="48" t="n">
        <x:f>Model_Data!X104</x:f>
        <x:v>-47.4214748383975</x:v>
      </x:c>
      <x:c r="N104" s="48" t="n">
        <x:f>-(Model_Data!AC104-Model_Data!F104)</x:f>
        <x:v>295.7142412601263</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Model_Data!Y105</x:f>
        <x:v>460.6206107904381</x:v>
      </x:c>
      <x:c r="I105" s="48" t="n">
        <x:f>Model_Data!X105</x:f>
        <x:v>-61.84832289166857</x:v>
      </x:c>
      <x:c r="J105" s="49"/>
      <x:c r="K105" s="48" t="n">
        <x:f>Model_Data!A105</x:f>
        <x:v>-8.5</x:v>
      </x:c>
      <x:c r="L105" s="48" t="n">
        <x:f>Model_Data!Y105</x:f>
        <x:v>460.6206107904381</x:v>
      </x:c>
      <x:c r="M105" s="48" t="n">
        <x:f>Model_Data!X105</x:f>
        <x:v>-61.84832289166857</x:v>
      </x:c>
      <x:c r="N105" s="48" t="n">
        <x:f>-(Model_Data!AC105-Model_Data!F105)</x:f>
        <x:v>292.63466381330977</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Model_Data!Y106</x:f>
        <x:v>475.6659223963138</x:v>
      </x:c>
      <x:c r="I106" s="48" t="n">
        <x:f>Model_Data!X106</x:f>
        <x:v>-39.34099577037003</x:v>
      </x:c>
      <x:c r="J106" s="49"/>
      <x:c r="K106" s="48" t="n">
        <x:f>Model_Data!A106</x:f>
        <x:v>-8</x:v>
      </x:c>
      <x:c r="L106" s="48" t="n">
        <x:f>Model_Data!Y106</x:f>
        <x:v>475.6659223963138</x:v>
      </x:c>
      <x:c r="M106" s="48" t="n">
        <x:f>Model_Data!X106</x:f>
        <x:v>-39.34099577037003</x:v>
      </x:c>
      <x:c r="N106" s="48" t="n">
        <x:f>-(Model_Data!AC106-Model_Data!F106)</x:f>
        <x:v>288.4242738359577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Model_Data!Y107</x:f>
        <x:v>470.2640951439132</x:v>
      </x:c>
      <x:c r="I107" s="48" t="n">
        <x:f>Model_Data!X107</x:f>
        <x:v>-43.22381145165265</x:v>
      </x:c>
      <x:c r="J107" s="49"/>
      <x:c r="K107" s="48" t="n">
        <x:f>Model_Data!A107</x:f>
        <x:v>-7.5</x:v>
      </x:c>
      <x:c r="L107" s="48" t="n">
        <x:f>Model_Data!Y107</x:f>
        <x:v>470.2640951439132</x:v>
      </x:c>
      <x:c r="M107" s="48" t="n">
        <x:f>Model_Data!X107</x:f>
        <x:v>-43.22381145165265</x:v>
      </x:c>
      <x:c r="N107" s="48" t="n">
        <x:f>-(Model_Data!AC107-Model_Data!F107)</x:f>
        <x:v>287.5911922472732</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Model_Data!Y108</x:f>
        <x:v>442.95708145426426</x:v>
      </x:c>
      <x:c r="I108" s="48" t="n">
        <x:f>Model_Data!X108</x:f>
        <x:v>-48.04634011268098</x:v>
      </x:c>
      <x:c r="J108" s="49"/>
      <x:c r="K108" s="48" t="n">
        <x:f>Model_Data!A108</x:f>
        <x:v>-7</x:v>
      </x:c>
      <x:c r="L108" s="48" t="n">
        <x:f>Model_Data!Y108</x:f>
        <x:v>442.95708145426426</x:v>
      </x:c>
      <x:c r="M108" s="48" t="n">
        <x:f>Model_Data!X108</x:f>
        <x:v>-48.04634011268098</x:v>
      </x:c>
      <x:c r="N108" s="48" t="n">
        <x:f>-(Model_Data!AC108-Model_Data!F108)</x:f>
        <x:v>275.0197279474672</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Model_Data!Y109</x:f>
        <x:v>455.8100478474453</x:v>
      </x:c>
      <x:c r="I109" s="48" t="n">
        <x:f>Model_Data!X109</x:f>
        <x:v>-59.466303655605586</x:v>
      </x:c>
      <x:c r="J109" s="49"/>
      <x:c r="K109" s="48" t="n">
        <x:f>Model_Data!A109</x:f>
        <x:v>-6.5</x:v>
      </x:c>
      <x:c r="L109" s="48" t="n">
        <x:f>Model_Data!Y109</x:f>
        <x:v>455.8100478474453</x:v>
      </x:c>
      <x:c r="M109" s="48" t="n">
        <x:f>Model_Data!X109</x:f>
        <x:v>-59.466303655605586</x:v>
      </x:c>
      <x:c r="N109" s="48" t="n">
        <x:f>-(Model_Data!AC109-Model_Data!F109)</x:f>
        <x:v>288.6406879180581</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Model_Data!Y110</x:f>
        <x:v>447.7534427220802</x:v>
      </x:c>
      <x:c r="I110" s="48" t="n">
        <x:f>Model_Data!X110</x:f>
        <x:v>-61.0986453608147</x:v>
      </x:c>
      <x:c r="J110" s="49"/>
      <x:c r="K110" s="48" t="n">
        <x:f>Model_Data!A110</x:f>
        <x:v>-6</x:v>
      </x:c>
      <x:c r="L110" s="48" t="n">
        <x:f>Model_Data!Y110</x:f>
        <x:v>447.7534427220802</x:v>
      </x:c>
      <x:c r="M110" s="48" t="n">
        <x:f>Model_Data!X110</x:f>
        <x:v>-61.0986453608147</x:v>
      </x:c>
      <x:c r="N110" s="48" t="n">
        <x:f>-(Model_Data!AC110-Model_Data!F110)</x:f>
        <x:v>285.054104262907</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Model_Data!Y111</x:f>
        <x:v>437.23203216912464</x:v>
      </x:c>
      <x:c r="I111" s="48" t="n">
        <x:f>Model_Data!X111</x:f>
        <x:v>-63.59054434613801</x:v>
      </x:c>
      <x:c r="J111" s="49"/>
      <x:c r="K111" s="48" t="n">
        <x:f>Model_Data!A111</x:f>
        <x:v>-5.5</x:v>
      </x:c>
      <x:c r="L111" s="48" t="n">
        <x:f>Model_Data!Y111</x:f>
        <x:v>437.23203216912464</x:v>
      </x:c>
      <x:c r="M111" s="48" t="n">
        <x:f>Model_Data!X111</x:f>
        <x:v>-63.59054434613801</x:v>
      </x:c>
      <x:c r="N111" s="48" t="n">
        <x:f>-(Model_Data!AC111-Model_Data!F111)</x:f>
        <x:v>280.56928380678573</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Model_Data!Y112</x:f>
        <x:v>426.4950993655156</x:v>
      </x:c>
      <x:c r="I112" s="48" t="n">
        <x:f>Model_Data!X112</x:f>
        <x:v>-73.64560445817172</x:v>
      </x:c>
      <x:c r="J112" s="49"/>
      <x:c r="K112" s="48" t="n">
        <x:f>Model_Data!A112</x:f>
        <x:v>-5</x:v>
      </x:c>
      <x:c r="L112" s="48" t="n">
        <x:f>Model_Data!Y112</x:f>
        <x:v>426.4950993655156</x:v>
      </x:c>
      <x:c r="M112" s="48" t="n">
        <x:f>Model_Data!X112</x:f>
        <x:v>-73.64560445817172</x:v>
      </x:c>
      <x:c r="N112" s="48" t="n">
        <x:f>-(Model_Data!AC112-Model_Data!F112)</x:f>
        <x:v>280.2118193268127</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Model_Data!Y113</x:f>
        <x:v>423.30568039510905</x:v>
      </x:c>
      <x:c r="I113" s="48" t="n">
        <x:f>Model_Data!X113</x:f>
        <x:v>-73.08935088189128</x:v>
      </x:c>
      <x:c r="J113" s="49"/>
      <x:c r="K113" s="48" t="n">
        <x:f>Model_Data!A113</x:f>
        <x:v>-4.5</x:v>
      </x:c>
      <x:c r="L113" s="48" t="n">
        <x:f>Model_Data!Y113</x:f>
        <x:v>423.30568039510905</x:v>
      </x:c>
      <x:c r="M113" s="48" t="n">
        <x:f>Model_Data!X113</x:f>
        <x:v>-73.08935088189128</x:v>
      </x:c>
      <x:c r="N113" s="48" t="n">
        <x:f>-(Model_Data!AC113-Model_Data!F113)</x:f>
        <x:v>278.1187650534801</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Model_Data!Y114</x:f>
        <x:v>426.0147467563934</x:v>
      </x:c>
      <x:c r="I114" s="48" t="n">
        <x:f>Model_Data!X114</x:f>
        <x:v>-74.23673097551541</x:v>
      </x:c>
      <x:c r="J114" s="49"/>
      <x:c r="K114" s="48" t="n">
        <x:f>Model_Data!A114</x:f>
        <x:v>-4</x:v>
      </x:c>
      <x:c r="L114" s="48" t="n">
        <x:f>Model_Data!Y114</x:f>
        <x:v>426.0147467563934</x:v>
      </x:c>
      <x:c r="M114" s="48" t="n">
        <x:f>Model_Data!X114</x:f>
        <x:v>-74.23673097551541</x:v>
      </x:c>
      <x:c r="N114" s="48" t="n">
        <x:f>-(Model_Data!AC114-Model_Data!F114)</x:f>
        <x:v>280.2854439570564</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Model_Data!Y115</x:f>
        <x:v>404.9650488225026</x:v>
      </x:c>
      <x:c r="I115" s="48" t="n">
        <x:f>Model_Data!X115</x:f>
        <x:v>-78.64906809360804</x:v>
      </x:c>
      <x:c r="J115" s="49"/>
      <x:c r="K115" s="48" t="n">
        <x:f>Model_Data!A115</x:f>
        <x:v>-3.5</x:v>
      </x:c>
      <x:c r="L115" s="48" t="n">
        <x:f>Model_Data!Y115</x:f>
        <x:v>404.9650488225026</x:v>
      </x:c>
      <x:c r="M115" s="48" t="n">
        <x:f>Model_Data!X115</x:f>
        <x:v>-78.64906809360804</x:v>
      </x:c>
      <x:c r="N115" s="48" t="n">
        <x:f>-(Model_Data!AC115-Model_Data!F115)</x:f>
        <x:v>270.98011090428184</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Model_Data!Y116</x:f>
        <x:v>420.14741895617453</x:v>
      </x:c>
      <x:c r="I116" s="48" t="n">
        <x:f>Model_Data!X116</x:f>
        <x:v>-67.68197739460362</x:v>
      </x:c>
      <x:c r="J116" s="49"/>
      <x:c r="K116" s="48" t="n">
        <x:f>Model_Data!A116</x:f>
        <x:v>-3</x:v>
      </x:c>
      <x:c r="L116" s="48" t="n">
        <x:f>Model_Data!Y116</x:f>
        <x:v>420.14741895617453</x:v>
      </x:c>
      <x:c r="M116" s="48" t="n">
        <x:f>Model_Data!X116</x:f>
        <x:v>-67.68197739460362</x:v>
      </x:c>
      <x:c r="N116" s="48" t="n">
        <x:f>-(Model_Data!AC116-Model_Data!F116)</x:f>
        <x:v>273.32522886354127</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Model_Data!Y117</x:f>
        <x:v>420.97624209793275</x:v>
      </x:c>
      <x:c r="I117" s="48" t="n">
        <x:f>Model_Data!X117</x:f>
        <x:v>-49.83449295863612</x:v>
      </x:c>
      <x:c r="J117" s="49"/>
      <x:c r="K117" s="48" t="n">
        <x:f>Model_Data!A117</x:f>
        <x:v>-2.5</x:v>
      </x:c>
      <x:c r="L117" s="48" t="n">
        <x:f>Model_Data!Y117</x:f>
        <x:v>420.97624209793275</x:v>
      </x:c>
      <x:c r="M117" s="48" t="n">
        <x:f>Model_Data!X117</x:f>
        <x:v>-49.83449295863612</x:v>
      </x:c>
      <x:c r="N117" s="48" t="n">
        <x:f>-(Model_Data!AC117-Model_Data!F117)</x:f>
        <x:v>263.7659090264593</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Model_Data!Y118</x:f>
        <x:v>435.98300826713626</x:v>
      </x:c>
      <x:c r="I118" s="48" t="n">
        <x:f>Model_Data!X118</x:f>
        <x:v>-59.60727995622125</x:v>
      </x:c>
      <x:c r="J118" s="49"/>
      <x:c r="K118" s="48" t="n">
        <x:f>Model_Data!A118</x:f>
        <x:v>-2</x:v>
      </x:c>
      <x:c r="L118" s="48" t="n">
        <x:f>Model_Data!Y118</x:f>
        <x:v>435.98300826713626</x:v>
      </x:c>
      <x:c r="M118" s="48" t="n">
        <x:f>Model_Data!X118</x:f>
        <x:v>-59.60727995622125</x:v>
      </x:c>
      <x:c r="N118" s="48" t="n">
        <x:f>-(Model_Data!AC118-Model_Data!F118)</x:f>
        <x:v>277.66348915837</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Model_Data!Y119</x:f>
        <x:v>431.10580672292525</x:v>
      </x:c>
      <x:c r="I119" s="48" t="n">
        <x:f>Model_Data!X119</x:f>
        <x:v>-34.15455011761312</x:v>
      </x:c>
      <x:c r="J119" s="49"/>
      <x:c r="K119" s="48" t="n">
        <x:f>Model_Data!A119</x:f>
        <x:v>-1.5</x:v>
      </x:c>
      <x:c r="L119" s="48" t="n">
        <x:f>Model_Data!Y119</x:f>
        <x:v>431.10580672292525</x:v>
      </x:c>
      <x:c r="M119" s="48" t="n">
        <x:f>Model_Data!X119</x:f>
        <x:v>-34.15455011761312</x:v>
      </x:c>
      <x:c r="N119" s="48" t="n">
        <x:f>-(Model_Data!AC119-Model_Data!F119)</x:f>
        <x:v>260.6347630949373</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Model_Data!Y120</x:f>
        <x:v>440.9944102420088</x:v>
      </x:c>
      <x:c r="I120" s="48" t="n">
        <x:f>Model_Data!X120</x:f>
        <x:v>-38.26579288799343</x:v>
      </x:c>
      <x:c r="J120" s="49"/>
      <x:c r="K120" s="48" t="n">
        <x:f>Model_Data!A120</x:f>
        <x:v>-1</x:v>
      </x:c>
      <x:c r="L120" s="48" t="n">
        <x:f>Model_Data!Y120</x:f>
        <x:v>440.9944102420088</x:v>
      </x:c>
      <x:c r="M120" s="48" t="n">
        <x:f>Model_Data!X120</x:f>
        <x:v>-38.26579288799343</x:v>
      </x:c>
      <x:c r="N120" s="48" t="n">
        <x:f>-(Model_Data!AC120-Model_Data!F120)</x:f>
        <x:v>268.4841956809724</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Model_Data!Y121</x:f>
        <x:v>474.23278667183286</x:v>
      </x:c>
      <x:c r="I121" s="48" t="n">
        <x:f>Model_Data!X121</x:f>
        <x:v>-15.949828195457984</x:v>
      </x:c>
      <x:c r="J121" s="49"/>
      <x:c r="K121" s="48" t="n">
        <x:f>Model_Data!A121</x:f>
        <x:v>-0.5</x:v>
      </x:c>
      <x:c r="L121" s="48" t="n">
        <x:f>Model_Data!Y121</x:f>
        <x:v>474.23278667183286</x:v>
      </x:c>
      <x:c r="M121" s="48" t="n">
        <x:f>Model_Data!X121</x:f>
        <x:v>-15.949828195457984</x:v>
      </x:c>
      <x:c r="N121" s="48" t="n">
        <x:f>-(Model_Data!AC121-Model_Data!F121)</x:f>
        <x:v>274.5637745718614</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Model_Data!Y122</x:f>
        <x:v>480.44802858922253</x:v>
      </x:c>
      <x:c r="I122" s="48" t="n">
        <x:f>Model_Data!X122</x:f>
        <x:v>-4.948127387128106</x:v>
      </x:c>
      <x:c r="J122" s="49"/>
      <x:c r="K122" s="48" t="n">
        <x:f>Model_Data!A122</x:f>
        <x:v>0</x:v>
      </x:c>
      <x:c r="L122" s="48" t="n">
        <x:f>Model_Data!Y122</x:f>
        <x:v>480.44802858922253</x:v>
      </x:c>
      <x:c r="M122" s="48" t="n">
        <x:f>Model_Data!X122</x:f>
        <x:v>-4.948127387128106</x:v>
      </x:c>
      <x:c r="N122" s="48" t="n">
        <x:f>-(Model_Data!AC122-Model_Data!F122)</x:f>
        <x:v>271.86432673645646</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Model_Data!Y123</x:f>
        <x:v>482.7451811280071</x:v>
      </x:c>
      <x:c r="I123" s="48" t="n">
        <x:f>Model_Data!X123</x:f>
        <x:v>2.259569132321303</x:v>
      </x:c>
      <x:c r="J123" s="49"/>
      <x:c r="K123" s="48" t="n">
        <x:f>Model_Data!A123</x:f>
        <x:v>0.5</x:v>
      </x:c>
      <x:c r="L123" s="48" t="n">
        <x:f>Model_Data!Y123</x:f>
        <x:v>482.7451811280071</x:v>
      </x:c>
      <x:c r="M123" s="48" t="n">
        <x:f>Model_Data!X123</x:f>
        <x:v>2.259569132321303</x:v>
      </x:c>
      <x:c r="N123" s="48" t="n">
        <x:f>-(Model_Data!AC123-Model_Data!F123)</x:f>
        <x:v>269.1012886684343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Model_Data!Y124</x:f>
        <x:v>497.58165314697214</x:v>
      </x:c>
      <x:c r="I124" s="48" t="n">
        <x:f>Model_Data!X124</x:f>
        <x:v>43.07644622126787</x:v>
      </x:c>
      <x:c r="J124" s="49"/>
      <x:c r="K124" s="48" t="n">
        <x:f>Model_Data!A124</x:f>
        <x:v>1</x:v>
      </x:c>
      <x:c r="L124" s="48" t="n">
        <x:f>Model_Data!Y124</x:f>
        <x:v>497.58165314697214</x:v>
      </x:c>
      <x:c r="M124" s="48" t="n">
        <x:f>Model_Data!X124</x:f>
        <x:v>43.07644622126787</x:v>
      </x:c>
      <x:c r="N124" s="48" t="n">
        <x:f>-(Model_Data!AC124-Model_Data!F124)</x:f>
        <x:v>254.4788527732602</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Model_Data!Y125</x:f>
        <x:v>516.864115303311</x:v>
      </x:c>
      <x:c r="I125" s="48" t="n">
        <x:f>Model_Data!X125</x:f>
        <x:v>46.8149548284789</x:v>
      </x:c>
      <x:c r="J125" s="49"/>
      <x:c r="K125" s="48" t="n">
        <x:f>Model_Data!A125</x:f>
        <x:v>1.5</x:v>
      </x:c>
      <x:c r="L125" s="48" t="n">
        <x:f>Model_Data!Y125</x:f>
        <x:v>516.864115303311</x:v>
      </x:c>
      <x:c r="M125" s="48" t="n">
        <x:f>Model_Data!X125</x:f>
        <x:v>46.8149548284789</x:v>
      </x:c>
      <x:c r="N125" s="48" t="n">
        <x:f>-(Model_Data!AC125-Model_Data!F125)</x:f>
        <x:v>263.1762211405103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Model_Data!Y126</x:f>
        <x:v>534.5064840723982</x:v>
      </x:c>
      <x:c r="I126" s="48" t="n">
        <x:f>Model_Data!X126</x:f>
        <x:v>65.55817790320465</x:v>
      </x:c>
      <x:c r="J126" s="49"/>
      <x:c r="K126" s="48" t="n">
        <x:f>Model_Data!A126</x:f>
        <x:v>2</x:v>
      </x:c>
      <x:c r="L126" s="48" t="n">
        <x:f>Model_Data!Y126</x:f>
        <x:v>534.5064840723982</x:v>
      </x:c>
      <x:c r="M126" s="48" t="n">
        <x:f>Model_Data!X126</x:f>
        <x:v>65.55817790320465</x:v>
      </x:c>
      <x:c r="N126" s="48" t="n">
        <x:f>-(Model_Data!AC126-Model_Data!F126)</x:f>
        <x:v>262.5245575606751</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Model_Data!Y127</x:f>
        <x:v>549.7308148691991</x:v>
      </x:c>
      <x:c r="I127" s="48" t="n">
        <x:f>Model_Data!X127</x:f>
        <x:v>70.90088362648228</x:v>
      </x:c>
      <x:c r="J127" s="49"/>
      <x:c r="K127" s="48" t="n">
        <x:f>Model_Data!A127</x:f>
        <x:v>2.5</x:v>
      </x:c>
      <x:c r="L127" s="48" t="n">
        <x:f>Model_Data!Y127</x:f>
        <x:v>549.7308148691991</x:v>
      </x:c>
      <x:c r="M127" s="48" t="n">
        <x:f>Model_Data!X127</x:f>
        <x:v>70.90088362648228</x:v>
      </x:c>
      <x:c r="N127" s="48" t="n">
        <x:f>-(Model_Data!AC127-Model_Data!F127)</x:f>
        <x:v>268.0461212479218</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Model_Data!Y128</x:f>
        <x:v>536.8431041026216</x:v>
      </x:c>
      <x:c r="I128" s="48" t="n">
        <x:f>Model_Data!X128</x:f>
        <x:v>82.12086586426281</x:v>
      </x:c>
      <x:c r="J128" s="49"/>
      <x:c r="K128" s="48" t="n">
        <x:f>Model_Data!A128</x:f>
        <x:v>3</x:v>
      </x:c>
      <x:c r="L128" s="48" t="n">
        <x:f>Model_Data!Y128</x:f>
        <x:v>536.8431041026216</x:v>
      </x:c>
      <x:c r="M128" s="48" t="n">
        <x:f>Model_Data!X128</x:f>
        <x:v>82.12086586426281</x:v>
      </x:c>
      <x:c r="N128" s="48" t="n">
        <x:f>-(Model_Data!AC128-Model_Data!F128)</x:f>
        <x:v>254.52094078003978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Model_Data!Y129</x:f>
        <x:v>562.919019674553</x:v>
      </x:c>
      <x:c r="I129" s="48" t="n">
        <x:f>Model_Data!X129</x:f>
        <x:v>98.61636326587373</x:v>
      </x:c>
      <x:c r="J129" s="49"/>
      <x:c r="K129" s="48" t="n">
        <x:f>Model_Data!A129</x:f>
        <x:v>3.5</x:v>
      </x:c>
      <x:c r="L129" s="48" t="n">
        <x:f>Model_Data!Y129</x:f>
        <x:v>562.919019674553</x:v>
      </x:c>
      <x:c r="M129" s="48" t="n">
        <x:f>Model_Data!X129</x:f>
        <x:v>98.61636326587373</x:v>
      </x:c>
      <x:c r="N129" s="48" t="n">
        <x:f>-(Model_Data!AC129-Model_Data!F129)</x:f>
        <x:v>259.8524012045808</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Model_Data!Y130</x:f>
        <x:v>561.6697690573507</x:v>
      </x:c>
      <x:c r="I130" s="48" t="n">
        <x:f>Model_Data!X130</x:f>
        <x:v>96.36311355528144</x:v>
      </x:c>
      <x:c r="J130" s="49"/>
      <x:c r="K130" s="48" t="n">
        <x:f>Model_Data!A130</x:f>
        <x:v>4</x:v>
      </x:c>
      <x:c r="L130" s="48" t="n">
        <x:f>Model_Data!Y130</x:f>
        <x:v>561.6697690573507</x:v>
      </x:c>
      <x:c r="M130" s="48" t="n">
        <x:f>Model_Data!X130</x:f>
        <x:v>96.36311355528144</x:v>
      </x:c>
      <x:c r="N130" s="48" t="n">
        <x:f>-(Model_Data!AC130-Model_Data!F130)</x:f>
        <x:v>260.41286337057034</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Model_Data!Y131</x:f>
        <x:v>568.6436382247327</x:v>
      </x:c>
      <x:c r="I131" s="48" t="n">
        <x:f>Model_Data!X131</x:f>
        <x:v>82.51998590748882</x:v>
      </x:c>
      <x:c r="J131" s="49"/>
      <x:c r="K131" s="48" t="n">
        <x:f>Model_Data!A131</x:f>
        <x:v>4.5</x:v>
      </x:c>
      <x:c r="L131" s="48" t="n">
        <x:f>Model_Data!Y131</x:f>
        <x:v>568.6436382247327</x:v>
      </x:c>
      <x:c r="M131" s="48" t="n">
        <x:f>Model_Data!X131</x:f>
        <x:v>82.51998590748882</x:v>
      </x:c>
      <x:c r="N131" s="48" t="n">
        <x:f>-(Model_Data!AC131-Model_Data!F131)</x:f>
        <x:v>272.08879016013674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Model_Data!Y132</x:f>
        <x:v>548.8146920903409</x:v>
      </x:c>
      <x:c r="I132" s="48" t="n">
        <x:f>Model_Data!X132</x:f>
        <x:v>98.94976350623145</x:v>
      </x:c>
      <x:c r="J132" s="49"/>
      <x:c r="K132" s="48" t="n">
        <x:f>Model_Data!A132</x:f>
        <x:v>5</x:v>
      </x:c>
      <x:c r="L132" s="48" t="n">
        <x:f>Model_Data!Y132</x:f>
        <x:v>548.8146920903409</x:v>
      </x:c>
      <x:c r="M132" s="48" t="n">
        <x:f>Model_Data!X132</x:f>
        <x:v>98.94976350623145</x:v>
      </x:c>
      <x:c r="N132" s="48" t="n">
        <x:f>-(Model_Data!AC132-Model_Data!F132)</x:f>
        <x:v>251.7469810615292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Model_Data!Y133</x:f>
        <x:v>539.5212853164131</x:v>
      </x:c>
      <x:c r="I133" s="48" t="n">
        <x:f>Model_Data!X133</x:f>
        <x:v>97.11441747768895</x:v>
      </x:c>
      <x:c r="J133" s="49"/>
      <x:c r="K133" s="48" t="n">
        <x:f>Model_Data!A133</x:f>
        <x:v>5.5</x:v>
      </x:c>
      <x:c r="L133" s="48" t="n">
        <x:f>Model_Data!Y133</x:f>
        <x:v>539.5212853164131</x:v>
      </x:c>
      <x:c r="M133" s="48" t="n">
        <x:f>Model_Data!X133</x:f>
        <x:v>97.11441747768895</x:v>
      </x:c>
      <x:c r="N133" s="48" t="n">
        <x:f>-(Model_Data!AC133-Model_Data!F133)</x:f>
        <x:v>247.56600144146074</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Model_Data!Y134</x:f>
        <x:v>533.6920620973987</x:v>
      </x:c>
      <x:c r="I134" s="48" t="n">
        <x:f>Model_Data!X134</x:f>
        <x:v>70.34255347941284</x:v>
      </x:c>
      <x:c r="J134" s="49"/>
      <x:c r="K134" s="48" t="n">
        <x:f>Model_Data!A134</x:f>
        <x:v>6</x:v>
      </x:c>
      <x:c r="L134" s="48" t="n">
        <x:f>Model_Data!Y134</x:f>
        <x:v>533.6920620973987</x:v>
      </x:c>
      <x:c r="M134" s="48" t="n">
        <x:f>Model_Data!X134</x:f>
        <x:v>70.34255347941284</x:v>
      </x:c>
      <x:c r="N134" s="48" t="n">
        <x:f>-(Model_Data!AC134-Model_Data!F134)</x:f>
        <x:v>259.3336752074094</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Model_Data!Y135</x:f>
        <x:v>524.4263848132822</x:v>
      </x:c>
      <x:c r="I135" s="48" t="n">
        <x:f>Model_Data!X135</x:f>
        <x:v>77.64795080795966</x:v>
      </x:c>
      <x:c r="J135" s="49"/>
      <x:c r="K135" s="48" t="n">
        <x:f>Model_Data!A135</x:f>
        <x:v>6.5</x:v>
      </x:c>
      <x:c r="L135" s="48" t="n">
        <x:f>Model_Data!Y135</x:f>
        <x:v>524.4263848132822</x:v>
      </x:c>
      <x:c r="M135" s="48" t="n">
        <x:f>Model_Data!X135</x:f>
        <x:v>77.64795080795966</x:v>
      </x:c>
      <x:c r="N135" s="48" t="n">
        <x:f>-(Model_Data!AC135-Model_Data!F135)</x:f>
        <x:v>250.0320337633554</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Model_Data!Y136</x:f>
        <x:v>534.4078318791427</x:v>
      </x:c>
      <x:c r="I136" s="48" t="n">
        <x:f>Model_Data!X136</x:f>
        <x:v>66.91550989906084</x:v>
      </x:c>
      <x:c r="J136" s="49"/>
      <x:c r="K136" s="48" t="n">
        <x:f>Model_Data!A136</x:f>
        <x:v>7</x:v>
      </x:c>
      <x:c r="L136" s="48" t="n">
        <x:f>Model_Data!Y136</x:f>
        <x:v>534.4078318791427</x:v>
      </x:c>
      <x:c r="M136" s="48" t="n">
        <x:f>Model_Data!X136</x:f>
        <x:v>66.91550989906084</x:v>
      </x:c>
      <x:c r="N136" s="48" t="n">
        <x:f>-(Model_Data!AC136-Model_Data!F136)</x:f>
        <x:v>261.64071527087606</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Model_Data!Y137</x:f>
        <x:v>503.48380224840304</x:v>
      </x:c>
      <x:c r="I137" s="48" t="n">
        <x:f>Model_Data!X137</x:f>
        <x:v>56.202037436945574</x:v>
      </x:c>
      <x:c r="J137" s="49"/>
      <x:c r="K137" s="48" t="n">
        <x:f>Model_Data!A137</x:f>
        <x:v>7.5</x:v>
      </x:c>
      <x:c r="L137" s="48" t="n">
        <x:f>Model_Data!Y137</x:f>
        <x:v>503.48380224840304</x:v>
      </x:c>
      <x:c r="M137" s="48" t="n">
        <x:f>Model_Data!X137</x:f>
        <x:v>56.202037436945574</x:v>
      </x:c>
      <x:c r="N137" s="48" t="n">
        <x:f>-(Model_Data!AC137-Model_Data!F137)</x:f>
        <x:v>250.33412396198042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Model_Data!Y138</x:f>
        <x:v>497.2264534493298</x:v>
      </x:c>
      <x:c r="I138" s="48" t="n">
        <x:f>Model_Data!X138</x:f>
        <x:v>45.99320506201067</x:v>
      </x:c>
      <x:c r="J138" s="49"/>
      <x:c r="K138" s="48" t="n">
        <x:f>Model_Data!A138</x:f>
        <x:v>8</x:v>
      </x:c>
      <x:c r="L138" s="48" t="n">
        <x:f>Model_Data!Y138</x:f>
        <x:v>497.2264534493298</x:v>
      </x:c>
      <x:c r="M138" s="48" t="n">
        <x:f>Model_Data!X138</x:f>
        <x:v>45.99320506201067</x:v>
      </x:c>
      <x:c r="N138" s="48" t="n">
        <x:f>-(Model_Data!AC138-Model_Data!F138)</x:f>
        <x:v>252.55527699595171</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Model_Data!Y139</x:f>
        <x:v>479.6019721372586</x:v>
      </x:c>
      <x:c r="I139" s="48" t="n">
        <x:f>Model_Data!X139</x:f>
        <x:v>35.42120810065494</x:v>
      </x:c>
      <x:c r="J139" s="49"/>
      <x:c r="K139" s="48" t="n">
        <x:f>Model_Data!A139</x:f>
        <x:v>8.5</x:v>
      </x:c>
      <x:c r="L139" s="48" t="n">
        <x:f>Model_Data!Y139</x:f>
        <x:v>479.6019721372586</x:v>
      </x:c>
      <x:c r="M139" s="48" t="n">
        <x:f>Model_Data!X139</x:f>
        <x:v>35.42120810065494</x:v>
      </x:c>
      <x:c r="N139" s="48" t="n">
        <x:f>-(Model_Data!AC139-Model_Data!F139)</x:f>
        <x:v>248.6159420334452</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Model_Data!Y140</x:f>
        <x:v>481.22587957439987</x:v>
      </x:c>
      <x:c r="I140" s="48" t="n">
        <x:f>Model_Data!X140</x:f>
        <x:v>29.628149721243545</x:v>
      </x:c>
      <x:c r="J140" s="49"/>
      <x:c r="K140" s="48" t="n">
        <x:f>Model_Data!A140</x:f>
        <x:v>9</x:v>
      </x:c>
      <x:c r="L140" s="48" t="n">
        <x:f>Model_Data!Y140</x:f>
        <x:v>481.22587957439987</x:v>
      </x:c>
      <x:c r="M140" s="48" t="n">
        <x:f>Model_Data!X140</x:f>
        <x:v>29.628149721243545</x:v>
      </x:c>
      <x:c r="N140" s="48" t="n">
        <x:f>-(Model_Data!AC140-Model_Data!F140)</x:f>
        <x:v>252.76809385377288</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Model_Data!Y141</x:f>
        <x:v>478.27937371872196</x:v>
      </x:c>
      <x:c r="I141" s="48" t="n">
        <x:f>Model_Data!X141</x:f>
        <x:v>5.649927018638348</x:v>
      </x:c>
      <x:c r="J141" s="49"/>
      <x:c r="K141" s="48" t="n">
        <x:f>Model_Data!A141</x:f>
        <x:v>9.5</x:v>
      </x:c>
      <x:c r="L141" s="48" t="n">
        <x:f>Model_Data!Y141</x:f>
        <x:v>478.27937371872196</x:v>
      </x:c>
      <x:c r="M141" s="48" t="n">
        <x:f>Model_Data!X141</x:f>
        <x:v>5.649927018638348</x:v>
      </x:c>
      <x:c r="N141" s="48" t="n">
        <x:f>-(Model_Data!AC141-Model_Data!F141)</x:f>
        <x:v>264.57728407416363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Model_Data!Y142</x:f>
        <x:v>454.2022007690729</x:v>
      </x:c>
      <x:c r="I142" s="48" t="n">
        <x:f>Model_Data!X142</x:f>
        <x:v>-8.569441618173819</x:v>
      </x:c>
      <x:c r="J142" s="49"/>
      <x:c r="K142" s="48" t="n">
        <x:f>Model_Data!A142</x:f>
        <x:v>10</x:v>
      </x:c>
      <x:c r="L142" s="48" t="n">
        <x:f>Model_Data!Y142</x:f>
        <x:v>454.2022007690729</x:v>
      </x:c>
      <x:c r="M142" s="48" t="n">
        <x:f>Model_Data!X142</x:f>
        <x:v>-8.569441618173819</x:v>
      </x:c>
      <x:c r="N142" s="48" t="n">
        <x:f>-(Model_Data!AC142-Model_Data!F142)</x:f>
        <x:v>259.07466860115653</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Model_Data!Y143</x:f>
        <x:v>437.9381023255588</x:v>
      </x:c>
      <x:c r="I143" s="48" t="n">
        <x:f>Model_Data!X143</x:f>
        <x:v>4.936290407774814</x:v>
      </x:c>
      <x:c r="J143" s="49"/>
      <x:c r="K143" s="48" t="n">
        <x:f>Model_Data!A143</x:f>
        <x:v>10.5</x:v>
      </x:c>
      <x:c r="L143" s="48" t="n">
        <x:f>Model_Data!Y143</x:f>
        <x:v>437.9381023255588</x:v>
      </x:c>
      <x:c r="M143" s="48" t="n">
        <x:f>Model_Data!X143</x:f>
        <x:v>4.936290407774814</x:v>
      </x:c>
      <x:c r="N143" s="48" t="n">
        <x:f>-(Model_Data!AC143-Model_Data!F143)</x:f>
        <x:v>242.3703381878292</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Model_Data!Y144</x:f>
        <x:v>444.9386077034983</x:v>
      </x:c>
      <x:c r="I144" s="48" t="n">
        <x:f>Model_Data!X144</x:f>
        <x:v>1.9403678384373038</x:v>
      </x:c>
      <x:c r="J144" s="49"/>
      <x:c r="K144" s="48" t="n">
        <x:f>Model_Data!A144</x:f>
        <x:v>11</x:v>
      </x:c>
      <x:c r="L144" s="48" t="n">
        <x:f>Model_Data!Y144</x:f>
        <x:v>444.9386077034983</x:v>
      </x:c>
      <x:c r="M144" s="48" t="n">
        <x:f>Model_Data!X144</x:f>
        <x:v>1.9403678384373038</x:v>
      </x:c>
      <x:c r="N144" s="48" t="n">
        <x:f>-(Model_Data!AC144-Model_Data!F144)</x:f>
        <x:v>247.95897067264463</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Model_Data!Y145</x:f>
        <x:v>434.44467895572086</x:v>
      </x:c>
      <x:c r="I145" s="48" t="n">
        <x:f>Model_Data!X145</x:f>
        <x:v>4.044824683821267</x:v>
      </x:c>
      <x:c r="J145" s="49"/>
      <x:c r="K145" s="48" t="n">
        <x:f>Model_Data!A145</x:f>
        <x:v>11.5</x:v>
      </x:c>
      <x:c r="L145" s="48" t="n">
        <x:f>Model_Data!Y145</x:f>
        <x:v>434.44467895572086</x:v>
      </x:c>
      <x:c r="M145" s="48" t="n">
        <x:f>Model_Data!X145</x:f>
        <x:v>4.044824683821267</x:v>
      </x:c>
      <x:c r="N145" s="48" t="n">
        <x:f>-(Model_Data!AC145-Model_Data!F145)</x:f>
        <x:v>240.88947085546897</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Model_Data!Y146</x:f>
        <x:v>422.8387186345762</x:v>
      </x:c>
      <x:c r="I146" s="48" t="n">
        <x:f>Model_Data!X146</x:f>
        <x:v>7.0738918061296845</x:v>
      </x:c>
      <x:c r="J146" s="49"/>
      <x:c r="K146" s="48" t="n">
        <x:f>Model_Data!A146</x:f>
        <x:v>12</x:v>
      </x:c>
      <x:c r="L146" s="48" t="n">
        <x:f>Model_Data!Y146</x:f>
        <x:v>422.8387186345762</x:v>
      </x:c>
      <x:c r="M146" s="48" t="n">
        <x:f>Model_Data!X146</x:f>
        <x:v>7.0738918061296845</x:v>
      </x:c>
      <x:c r="N146" s="48" t="n">
        <x:f>-(Model_Data!AC146-Model_Data!F146)</x:f>
        <x:v>232.67822194043862</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Model_Data!Y147</x:f>
        <x:v>434.12423495839124</x:v>
      </x:c>
      <x:c r="I147" s="48" t="n">
        <x:f>Model_Data!X147</x:f>
        <x:v>-5.687454175445142</x:v>
      </x:c>
      <x:c r="J147" s="49"/>
      <x:c r="K147" s="48" t="n">
        <x:f>Model_Data!A147</x:f>
        <x:v>12.5</x:v>
      </x:c>
      <x:c r="L147" s="48" t="n">
        <x:f>Model_Data!Y147</x:f>
        <x:v>434.12423495839124</x:v>
      </x:c>
      <x:c r="M147" s="48" t="n">
        <x:f>Model_Data!X147</x:f>
        <x:v>-5.687454175445142</x:v>
      </x:c>
      <x:c r="N147" s="48" t="n">
        <x:f>-(Model_Data!AC147-Model_Data!F147)</x:f>
        <x:v>246.14914857143378</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Model_Data!Y148</x:f>
        <x:v>428.8351991704085</x:v>
      </x:c>
      <x:c r="I148" s="48" t="n">
        <x:f>Model_Data!X148</x:f>
        <x:v>-3.618490966575764</x:v>
      </x:c>
      <x:c r="J148" s="49"/>
      <x:c r="K148" s="48" t="n">
        <x:f>Model_Data!A148</x:f>
        <x:v>13</x:v>
      </x:c>
      <x:c r="L148" s="48" t="n">
        <x:f>Model_Data!Y148</x:f>
        <x:v>428.8351991704085</x:v>
      </x:c>
      <x:c r="M148" s="48" t="n">
        <x:f>Model_Data!X148</x:f>
        <x:v>-3.618490966575764</x:v>
      </x:c>
      <x:c r="N148" s="48" t="n">
        <x:f>-(Model_Data!AC148-Model_Data!F148)</x:f>
        <x:v>242.01188598779606</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Model_Data!Y149</x:f>
        <x:v>408.84619240872695</x:v>
      </x:c>
      <x:c r="I149" s="48" t="n">
        <x:f>Model_Data!X149</x:f>
        <x:v>0.04576132524433074</x:v>
      </x:c>
      <x:c r="J149" s="49"/>
      <x:c r="K149" s="48" t="n">
        <x:f>Model_Data!A149</x:f>
        <x:v>13.5</x:v>
      </x:c>
      <x:c r="L149" s="48" t="n">
        <x:f>Model_Data!Y149</x:f>
        <x:v>408.84619240872695</x:v>
      </x:c>
      <x:c r="M149" s="48" t="n">
        <x:f>Model_Data!X149</x:f>
        <x:v>0.04576132524433074</x:v>
      </x:c>
      <x:c r="N149" s="48" t="n">
        <x:f>-(Model_Data!AC149-Model_Data!F149)</x:f>
        <x:v>228.7525517332599</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Model_Data!Y150</x:f>
        <x:v>412.55100068044544</x:v>
      </x:c>
      <x:c r="I150" s="48" t="n">
        <x:f>Model_Data!X150</x:f>
        <x:v>17.14805919414721</x:v>
      </x:c>
      <x:c r="J150" s="49"/>
      <x:c r="K150" s="48" t="n">
        <x:f>Model_Data!A150</x:f>
        <x:v>14</x:v>
      </x:c>
      <x:c r="L150" s="48" t="n">
        <x:f>Model_Data!Y150</x:f>
        <x:v>412.55100068044544</x:v>
      </x:c>
      <x:c r="M150" s="48" t="n">
        <x:f>Model_Data!X150</x:f>
        <x:v>17.14805919414721</x:v>
      </x:c>
      <x:c r="N150" s="48" t="n">
        <x:f>-(Model_Data!AC150-Model_Data!F150)</x:f>
        <x:v>221.202087901242</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Model_Data!Y151</x:f>
        <x:v>415.5675277705944</x:v>
      </x:c>
      <x:c r="I151" s="48" t="n">
        <x:f>Model_Data!X151</x:f>
        <x:v>27.325427950737776</x:v>
      </x:c>
      <x:c r="J151" s="49"/>
      <x:c r="K151" s="48" t="n">
        <x:f>Model_Data!A151</x:f>
        <x:v>14.5</x:v>
      </x:c>
      <x:c r="L151" s="48" t="n">
        <x:f>Model_Data!Y151</x:f>
        <x:v>415.5675277705944</x:v>
      </x:c>
      <x:c r="M151" s="48" t="n">
        <x:f>Model_Data!X151</x:f>
        <x:v>27.325427950737776</x:v>
      </x:c>
      <x:c r="N151" s="48" t="n">
        <x:f>-(Model_Data!AC151-Model_Data!F151)</x:f>
        <x:v>217.1561018941295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Model_Data!Y152</x:f>
        <x:v>399.34593170493116</x:v>
      </x:c>
      <x:c r="I152" s="48" t="n">
        <x:f>Model_Data!X152</x:f>
        <x:v>45.362905639140564</x:v>
      </x:c>
      <x:c r="J152" s="49"/>
      <x:c r="K152" s="48" t="n">
        <x:f>Model_Data!A152</x:f>
        <x:v>15</x:v>
      </x:c>
      <x:c r="L152" s="48" t="n">
        <x:f>Model_Data!Y152</x:f>
        <x:v>399.34593170493116</x:v>
      </x:c>
      <x:c r="M152" s="48" t="n">
        <x:f>Model_Data!X152</x:f>
        <x:v>45.362905639140564</x:v>
      </x:c>
      <x:c r="N152" s="48" t="n">
        <x:f>-(Model_Data!AC152-Model_Data!F152)</x:f>
        <x:v>197.93073116895016</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Model_Data!Y153</x:f>
        <x:v>395.616361037493</x:v>
      </x:c>
      <x:c r="I153" s="48" t="n">
        <x:f>Model_Data!X153</x:f>
        <x:v>49.090179641950456</x:v>
      </x:c>
      <x:c r="J153" s="49"/>
      <x:c r="K153" s="48" t="n">
        <x:f>Model_Data!A153</x:f>
        <x:v>15.5</x:v>
      </x:c>
      <x:c r="L153" s="48" t="n">
        <x:f>Model_Data!Y153</x:f>
        <x:v>395.616361037493</x:v>
      </x:c>
      <x:c r="M153" s="48" t="n">
        <x:f>Model_Data!X153</x:f>
        <x:v>49.090179641950456</x:v>
      </x:c>
      <x:c r="N153" s="48" t="n">
        <x:f>-(Model_Data!AC153-Model_Data!F153)</x:f>
        <x:v>193.73374786404042</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Model_Data!Y154</x:f>
        <x:v>400.30891755789503</x:v>
      </x:c>
      <x:c r="I154" s="48" t="n">
        <x:f>Model_Data!X154</x:f>
        <x:v>69.7201880441823</x:v>
      </x:c>
      <x:c r="J154" s="49"/>
      <x:c r="K154" s="48" t="n">
        <x:f>Model_Data!A154</x:f>
        <x:v>16</x:v>
      </x:c>
      <x:c r="L154" s="48" t="n">
        <x:f>Model_Data!Y154</x:f>
        <x:v>400.30891755789503</x:v>
      </x:c>
      <x:c r="M154" s="48" t="n">
        <x:f>Model_Data!X154</x:f>
        <x:v>69.7201880441823</x:v>
      </x:c>
      <x:c r="N154" s="48" t="n">
        <x:f>-(Model_Data!AC154-Model_Data!F154)</x:f>
        <x:v>184.75168235847275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Model_Data!Y155</x:f>
        <x:v>406.20178346502695</x:v>
      </x:c>
      <x:c r="I155" s="48" t="n">
        <x:f>Model_Data!X155</x:f>
        <x:v>71.50919840907298</x:v>
      </x:c>
      <x:c r="J155" s="49"/>
      <x:c r="K155" s="48" t="n">
        <x:f>Model_Data!A155</x:f>
        <x:v>16.5</x:v>
      </x:c>
      <x:c r="L155" s="48" t="n">
        <x:f>Model_Data!Y155</x:f>
        <x:v>406.20178346502695</x:v>
      </x:c>
      <x:c r="M155" s="48" t="n">
        <x:f>Model_Data!X155</x:f>
        <x:v>71.50919840907298</x:v>
      </x:c>
      <x:c r="N155" s="48" t="n">
        <x:f>-(Model_Data!AC155-Model_Data!F155)</x:f>
        <x:v>187.02485397189832</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Model_Data!Y156</x:f>
        <x:v>402.8973585501548</x:v>
      </x:c>
      <x:c r="I156" s="48" t="n">
        <x:f>Model_Data!X156</x:f>
        <x:v>58.586187093984584</x:v>
      </x:c>
      <x:c r="J156" s="49"/>
      <x:c r="K156" s="48" t="n">
        <x:f>Model_Data!A156</x:f>
        <x:v>17</x:v>
      </x:c>
      <x:c r="L156" s="48" t="n">
        <x:f>Model_Data!Y156</x:f>
        <x:v>402.8973585501548</x:v>
      </x:c>
      <x:c r="M156" s="48" t="n">
        <x:f>Model_Data!X156</x:f>
        <x:v>58.586187093984584</x:v>
      </x:c>
      <x:c r="N156" s="48" t="n">
        <x:f>-(Model_Data!AC156-Model_Data!F156)</x:f>
        <x:v>192.41830048328256</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Model_Data!Y157</x:f>
        <x:v>412.59673853506814</x:v>
      </x:c>
      <x:c r="I157" s="48" t="n">
        <x:f>Model_Data!X157</x:f>
        <x:v>65.71226511619231</x:v>
      </x:c>
      <x:c r="J157" s="49"/>
      <x:c r="K157" s="48" t="n">
        <x:f>Model_Data!A157</x:f>
        <x:v>17.5</x:v>
      </x:c>
      <x:c r="L157" s="48" t="n">
        <x:f>Model_Data!Y157</x:f>
        <x:v>412.59673853506814</x:v>
      </x:c>
      <x:c r="M157" s="48" t="n">
        <x:f>Model_Data!X157</x:f>
        <x:v>65.71226511619231</x:v>
      </x:c>
      <x:c r="N157" s="48" t="n">
        <x:f>-(Model_Data!AC157-Model_Data!F157)</x:f>
        <x:v>193.8200806344621</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Model_Data!Y158</x:f>
        <x:v>417.3671248555401</x:v>
      </x:c>
      <x:c r="I158" s="48" t="n">
        <x:f>Model_Data!X158</x:f>
        <x:v>70.50298613715029</x:v>
      </x:c>
      <x:c r="J158" s="49"/>
      <x:c r="K158" s="48" t="n">
        <x:f>Model_Data!A158</x:f>
        <x:v>18</x:v>
      </x:c>
      <x:c r="L158" s="48" t="n">
        <x:f>Model_Data!Y158</x:f>
        <x:v>417.3671248555401</x:v>
      </x:c>
      <x:c r="M158" s="48" t="n">
        <x:f>Model_Data!X158</x:f>
        <x:v>70.50298613715029</x:v>
      </x:c>
      <x:c r="N158" s="48" t="n">
        <x:f>-(Model_Data!AC158-Model_Data!F158)</x:f>
        <x:v>193.77617770287077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Model_Data!Y159</x:f>
        <x:v>414.03078360208366</x:v>
      </x:c>
      <x:c r="I159" s="48" t="n">
        <x:f>Model_Data!X159</x:f>
        <x:v>84.15381309689964</x:v>
      </x:c>
      <x:c r="J159" s="49"/>
      <x:c r="K159" s="48" t="n">
        <x:f>Model_Data!A159</x:f>
        <x:v>18.5</x:v>
      </x:c>
      <x:c r="L159" s="48" t="n">
        <x:f>Model_Data!Y159</x:f>
        <x:v>414.03078360208366</x:v>
      </x:c>
      <x:c r="M159" s="48" t="n">
        <x:f>Model_Data!X159</x:f>
        <x:v>84.15381309689964</x:v>
      </x:c>
      <x:c r="N159" s="48" t="n">
        <x:f>-(Model_Data!AC159-Model_Data!F159)</x:f>
        <x:v>184.22093739900447</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Model_Data!Y160</x:f>
        <x:v>429.33926339108206</x:v>
      </x:c>
      <x:c r="I160" s="48" t="n">
        <x:f>Model_Data!X160</x:f>
        <x:v>87.79516149602648</x:v>
      </x:c>
      <x:c r="J160" s="49"/>
      <x:c r="K160" s="48" t="n">
        <x:f>Model_Data!A160</x:f>
        <x:v>19</x:v>
      </x:c>
      <x:c r="L160" s="48" t="n">
        <x:f>Model_Data!Y160</x:f>
        <x:v>429.33926339108206</x:v>
      </x:c>
      <x:c r="M160" s="48" t="n">
        <x:f>Model_Data!X160</x:f>
        <x:v>87.79516149602648</x:v>
      </x:c>
      <x:c r="N160" s="48" t="n">
        <x:f>-(Model_Data!AC160-Model_Data!F160)</x:f>
        <x:v>190.71271082140447</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Model_Data!Y161</x:f>
        <x:v>436.66425250955575</x:v>
      </x:c>
      <x:c r="I161" s="48" t="n">
        <x:f>Model_Data!X161</x:f>
        <x:v>80.08578782325549</x:v>
      </x:c>
      <x:c r="J161" s="49"/>
      <x:c r="K161" s="48" t="n">
        <x:f>Model_Data!A161</x:f>
        <x:v>19.5</x:v>
      </x:c>
      <x:c r="L161" s="48" t="n">
        <x:f>Model_Data!Y161</x:f>
        <x:v>436.66425250955575</x:v>
      </x:c>
      <x:c r="M161" s="48" t="n">
        <x:f>Model_Data!X161</x:f>
        <x:v>80.08578782325549</x:v>
      </x:c>
      <x:c r="N161" s="48" t="n">
        <x:f>-(Model_Data!AC161-Model_Data!F161)</x:f>
        <x:v>199.11614403459737</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Model_Data!Y162</x:f>
        <x:v>439.0113020882822</x:v>
      </x:c>
      <x:c r="I162" s="48" t="n">
        <x:f>Model_Data!X162</x:f>
        <x:v>74.33166863889775</x:v>
      </x:c>
      <x:c r="J162" s="49"/>
      <x:c r="K162" s="48" t="n">
        <x:f>Model_Data!A162</x:f>
        <x:v>20</x:v>
      </x:c>
      <x:c r="L162" s="48" t="n">
        <x:f>Model_Data!Y162</x:f>
        <x:v>439.0113020882822</x:v>
      </x:c>
      <x:c r="M162" s="48" t="n">
        <x:f>Model_Data!X162</x:f>
        <x:v>74.33166863889775</x:v>
      </x:c>
      <x:c r="N162" s="48" t="n">
        <x:f>-(Model_Data!AC162-Model_Data!F162)</x:f>
        <x:v>203.63722179884974</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Model_Data!Y163</x:f>
        <x:v>441.7637232897853</x:v>
      </x:c>
      <x:c r="I163" s="48" t="n">
        <x:f>Model_Data!X163</x:f>
        <x:v>77.08298836787891</x:v>
      </x:c>
      <x:c r="J163" s="49"/>
      <x:c r="K163" s="48" t="n">
        <x:f>Model_Data!A163</x:f>
        <x:v>20.5</x:v>
      </x:c>
      <x:c r="L163" s="48" t="n">
        <x:f>Model_Data!Y163</x:f>
        <x:v>441.7637232897853</x:v>
      </x:c>
      <x:c r="M163" s="48" t="n">
        <x:f>Model_Data!X163</x:f>
        <x:v>77.08298836787891</x:v>
      </x:c>
      <x:c r="N163" s="48" t="n">
        <x:f>-(Model_Data!AC163-Model_Data!F163)</x:f>
        <x:v>203.6056872104441</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Model_Data!Y164</x:f>
        <x:v>441.2537143317768</x:v>
      </x:c>
      <x:c r="I164" s="48" t="n">
        <x:f>Model_Data!X164</x:f>
        <x:v>84.6060805836893</x:v>
      </x:c>
      <x:c r="J164" s="49"/>
      <x:c r="K164" s="48" t="n">
        <x:f>Model_Data!A164</x:f>
        <x:v>21</x:v>
      </x:c>
      <x:c r="L164" s="48" t="n">
        <x:f>Model_Data!Y164</x:f>
        <x:v>441.2537143317768</x:v>
      </x:c>
      <x:c r="M164" s="48" t="n">
        <x:f>Model_Data!X164</x:f>
        <x:v>84.6060805836893</x:v>
      </x:c>
      <x:c r="N164" s="48" t="n">
        <x:f>-(Model_Data!AC164-Model_Data!F164)</x:f>
        <x:v>199.06923818957262</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Model_Data!Y165</x:f>
        <x:v>444.1394266764314</x:v>
      </x:c>
      <x:c r="I165" s="48" t="n">
        <x:f>Model_Data!X165</x:f>
        <x:v>83.65167434978589</x:v>
      </x:c>
      <x:c r="J165" s="49"/>
      <x:c r="K165" s="48" t="n">
        <x:f>Model_Data!A165</x:f>
        <x:v>21.5</x:v>
      </x:c>
      <x:c r="L165" s="48" t="n">
        <x:f>Model_Data!Y165</x:f>
        <x:v>444.1394266764314</x:v>
      </x:c>
      <x:c r="M165" s="48" t="n">
        <x:f>Model_Data!X165</x:f>
        <x:v>83.65167434978589</x:v>
      </x:c>
      <x:c r="N165" s="48" t="n">
        <x:f>-(Model_Data!AC165-Model_Data!F165)</x:f>
        <x:v>201.19243492609246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Model_Data!Y166</x:f>
        <x:v>447.7794532624074</x:v>
      </x:c>
      <x:c r="I166" s="48" t="n">
        <x:f>Model_Data!X166</x:f>
        <x:v>73.36589826371042</x:v>
      </x:c>
      <x:c r="J166" s="49"/>
      <x:c r="K166" s="48" t="n">
        <x:f>Model_Data!A166</x:f>
        <x:v>22</x:v>
      </x:c>
      <x:c r="L166" s="48" t="n">
        <x:f>Model_Data!Y166</x:f>
        <x:v>447.7794532624074</x:v>
      </x:c>
      <x:c r="M166" s="48" t="n">
        <x:f>Model_Data!X166</x:f>
        <x:v>73.36589826371042</x:v>
      </x:c>
      <x:c r="N166" s="48" t="n">
        <x:f>-(Model_Data!AC166-Model_Data!F166)</x:f>
        <x:v>208.97851056097318</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Model_Data!Y167</x:f>
        <x:v>442.50927153418206</x:v>
      </x:c>
      <x:c r="I167" s="48" t="n">
        <x:f>Model_Data!X167</x:f>
        <x:v>73.86322008676284</x:v>
      </x:c>
      <x:c r="J167" s="49"/>
      <x:c r="K167" s="48" t="n">
        <x:f>Model_Data!A167</x:f>
        <x:v>22.5</x:v>
      </x:c>
      <x:c r="L167" s="48" t="n">
        <x:f>Model_Data!Y167</x:f>
        <x:v>442.50927153418206</x:v>
      </x:c>
      <x:c r="M167" s="48" t="n">
        <x:f>Model_Data!X167</x:f>
        <x:v>73.86322008676284</x:v>
      </x:c>
      <x:c r="N167" s="48" t="n">
        <x:f>-(Model_Data!AC167-Model_Data!F167)</x:f>
        <x:v>205.7276521658847</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Model_Data!Y168</x:f>
        <x:v>438.1289491107309</x:v>
      </x:c>
      <x:c r="I168" s="48" t="n">
        <x:f>Model_Data!X168</x:f>
        <x:v>61.781548358505674</x:v>
      </x:c>
      <x:c r="J168" s="49"/>
      <x:c r="K168" s="48" t="n">
        <x:f>Model_Data!A168</x:f>
        <x:v>23</x:v>
      </x:c>
      <x:c r="L168" s="48" t="n">
        <x:f>Model_Data!Y168</x:f>
        <x:v>438.1289491107309</x:v>
      </x:c>
      <x:c r="M168" s="48" t="n">
        <x:f>Model_Data!X168</x:f>
        <x:v>61.781548358505674</x:v>
      </x:c>
      <x:c r="N168" s="48" t="n">
        <x:f>-(Model_Data!AC168-Model_Data!F168)</x:f>
        <x:v>210.04079367888437</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Model_Data!Y169</x:f>
        <x:v>431.2131008039683</x:v>
      </x:c>
      <x:c r="I169" s="48" t="n">
        <x:f>Model_Data!X169</x:f>
        <x:v>70.98866885242666</x:v>
      </x:c>
      <x:c r="J169" s="49"/>
      <x:c r="K169" s="48" t="n">
        <x:f>Model_Data!A169</x:f>
        <x:v>23.5</x:v>
      </x:c>
      <x:c r="L169" s="48" t="n">
        <x:f>Model_Data!Y169</x:f>
        <x:v>431.2131008039683</x:v>
      </x:c>
      <x:c r="M169" s="48" t="n">
        <x:f>Model_Data!X169</x:f>
        <x:v>70.98866885242666</x:v>
      </x:c>
      <x:c r="N169" s="48" t="n">
        <x:f>-(Model_Data!AC169-Model_Data!F169)</x:f>
        <x:v>200.97766673656258</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Model_Data!Y170</x:f>
        <x:v>441.2625072507224</x:v>
      </x:c>
      <x:c r="I170" s="48" t="n">
        <x:f>Model_Data!X170</x:f>
        <x:v>75.46815017037277</x:v>
      </x:c>
      <x:c r="J170" s="49"/>
      <x:c r="K170" s="48" t="n">
        <x:f>Model_Data!A170</x:f>
        <x:v>24</x:v>
      </x:c>
      <x:c r="L170" s="48" t="n">
        <x:f>Model_Data!Y170</x:f>
        <x:v>441.2625072507224</x:v>
      </x:c>
      <x:c r="M170" s="48" t="n">
        <x:f>Model_Data!X170</x:f>
        <x:v>75.46815017037277</x:v>
      </x:c>
      <x:c r="N170" s="48" t="n">
        <x:f>-(Model_Data!AC170-Model_Data!F170)</x:f>
        <x:v>204.0458066109718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Model_Data!Y171</x:f>
        <x:v>415.4369773442437</x:v>
      </x:c>
      <x:c r="I171" s="48" t="n">
        <x:f>Model_Data!X171</x:f>
        <x:v>80.2881627342364</x:v>
      </x:c>
      <x:c r="J171" s="49"/>
      <x:c r="K171" s="48" t="n">
        <x:f>Model_Data!A171</x:f>
        <x:v>24.5</x:v>
      </x:c>
      <x:c r="L171" s="48" t="n">
        <x:f>Model_Data!Y171</x:f>
        <x:v>415.4369773442437</x:v>
      </x:c>
      <x:c r="M171" s="48" t="n">
        <x:f>Model_Data!X171</x:f>
        <x:v>80.2881627342364</x:v>
      </x:c>
      <x:c r="N171" s="48" t="n">
        <x:f>-(Model_Data!AC171-Model_Data!F171)</x:f>
        <x:v>186.88719493082624</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Model_Data!Y172</x:f>
        <x:v>418.8320748478676</x:v>
      </x:c>
      <x:c r="I172" s="48" t="n">
        <x:f>Model_Data!X172</x:f>
        <x:v>61.498548518191555</x:v>
      </x:c>
      <x:c r="J172" s="49"/>
      <x:c r="K172" s="48" t="n">
        <x:f>Model_Data!A172</x:f>
        <x:v>25</x:v>
      </x:c>
      <x:c r="L172" s="48" t="n">
        <x:f>Model_Data!Y172</x:f>
        <x:v>418.8320748478676</x:v>
      </x:c>
      <x:c r="M172" s="48" t="n">
        <x:f>Model_Data!X172</x:f>
        <x:v>61.498548518191555</x:v>
      </x:c>
      <x:c r="N172" s="48" t="n">
        <x:f>-(Model_Data!AC172-Model_Data!F172)</x:f>
        <x:v>199.31094044887038</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Model_Data!Y173</x:f>
        <x:v>390.15691093629596</x:v>
      </x:c>
      <x:c r="I173" s="48" t="n">
        <x:f>Model_Data!X173</x:f>
        <x:v>67.90188044896082</x:v>
      </x:c>
      <x:c r="J173" s="49"/>
      <x:c r="K173" s="48" t="n">
        <x:f>Model_Data!A173</x:f>
        <x:v>25.5</x:v>
      </x:c>
      <x:c r="L173" s="48" t="n">
        <x:f>Model_Data!Y173</x:f>
        <x:v>390.15691093629596</x:v>
      </x:c>
      <x:c r="M173" s="48" t="n">
        <x:f>Model_Data!X173</x:f>
        <x:v>67.90188044896082</x:v>
      </x:c>
      <x:c r="N173" s="48" t="n">
        <x:f>-(Model_Data!AC173-Model_Data!F173)</x:f>
        <x:v>179.6757616888732</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Model_Data!Y174</x:f>
        <x:v>387.3749410180904</x:v>
      </x:c>
      <x:c r="I174" s="48" t="n">
        <x:f>Model_Data!X174</x:f>
        <x:v>65.03267186217182</x:v>
      </x:c>
      <x:c r="J174" s="49"/>
      <x:c r="K174" s="48" t="n">
        <x:f>Model_Data!A174</x:f>
        <x:v>26</x:v>
      </x:c>
      <x:c r="L174" s="48" t="n">
        <x:f>Model_Data!Y174</x:f>
        <x:v>387.3749410180904</x:v>
      </x:c>
      <x:c r="M174" s="48" t="n">
        <x:f>Model_Data!X174</x:f>
        <x:v>65.03267186217182</x:v>
      </x:c>
      <x:c r="N174" s="48" t="n">
        <x:f>-(Model_Data!AC174-Model_Data!F174)</x:f>
        <x:v>179.70748156306502</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Model_Data!Y175</x:f>
        <x:v>383.48713922986474</x:v>
      </x:c>
      <x:c r="I175" s="48" t="n">
        <x:f>Model_Data!X175</x:f>
        <x:v>69.51659821200863</x:v>
      </x:c>
      <x:c r="J175" s="49"/>
      <x:c r="K175" s="48" t="n">
        <x:f>Model_Data!A175</x:f>
        <x:v>26.5</x:v>
      </x:c>
      <x:c r="L175" s="48" t="n">
        <x:f>Model_Data!Y175</x:f>
        <x:v>383.48713922986474</x:v>
      </x:c>
      <x:c r="M175" s="48" t="n">
        <x:f>Model_Data!X175</x:f>
        <x:v>69.51659821200863</x:v>
      </x:c>
      <x:c r="N175" s="48" t="n">
        <x:f>-(Model_Data!AC175-Model_Data!F175)</x:f>
        <x:v>174.99088662403983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Model_Data!Y176</x:f>
        <x:v>346.2287328646241</x:v>
      </x:c>
      <x:c r="I176" s="48" t="n">
        <x:f>Model_Data!X176</x:f>
        <x:v>64.45446968061479</x:v>
      </x:c>
      <x:c r="J176" s="49"/>
      <x:c r="K176" s="48" t="n">
        <x:f>Model_Data!A176</x:f>
        <x:v>27</x:v>
      </x:c>
      <x:c r="L176" s="48" t="n">
        <x:f>Model_Data!Y176</x:f>
        <x:v>346.2287328646241</x:v>
      </x:c>
      <x:c r="M176" s="48" t="n">
        <x:f>Model_Data!X176</x:f>
        <x:v>64.45446968061479</x:v>
      </x:c>
      <x:c r="N176" s="48" t="n">
        <x:f>-(Model_Data!AC176-Model_Data!F176)</x:f>
        <x:v>157.0138595502358</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Model_Data!Y177</x:f>
        <x:v>337.0351401860322</x:v>
      </x:c>
      <x:c r="I177" s="48" t="n">
        <x:f>Model_Data!X177</x:f>
        <x:v>45.78588130375909</x:v>
      </x:c>
      <x:c r="J177" s="49"/>
      <x:c r="K177" s="48" t="n">
        <x:f>Model_Data!A177</x:f>
        <x:v>27.5</x:v>
      </x:c>
      <x:c r="L177" s="48" t="n">
        <x:f>Model_Data!Y177</x:f>
        <x:v>337.0351401860322</x:v>
      </x:c>
      <x:c r="M177" s="48" t="n">
        <x:f>Model_Data!X177</x:f>
        <x:v>45.78588130375909</x:v>
      </x:c>
      <x:c r="N177" s="48" t="n">
        <x:f>-(Model_Data!AC177-Model_Data!F177)</x:f>
        <x:v>162.34621754149384</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Model_Data!Y178</x:f>
        <x:v>312.18369818898617</x:v>
      </x:c>
      <x:c r="I178" s="48" t="n">
        <x:f>Model_Data!X178</x:f>
        <x:v>58.94439177372493</x:v>
      </x:c>
      <x:c r="J178" s="49"/>
      <x:c r="K178" s="48" t="n">
        <x:f>Model_Data!A178</x:f>
        <x:v>28</x:v>
      </x:c>
      <x:c r="L178" s="48" t="n">
        <x:f>Model_Data!Y178</x:f>
        <x:v>312.18369818898617</x:v>
      </x:c>
      <x:c r="M178" s="48" t="n">
        <x:f>Model_Data!X178</x:f>
        <x:v>58.94439177372493</x:v>
      </x:c>
      <x:c r="N178" s="48" t="n">
        <x:f>-(Model_Data!AC178-Model_Data!F178)</x:f>
        <x:v>141.06310895559545</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Model_Data!Y179</x:f>
        <x:v>310.4659866511931</x:v>
      </x:c>
      <x:c r="I179" s="48" t="n">
        <x:f>Model_Data!X179</x:f>
        <x:v>53.72705851492565</x:v>
      </x:c>
      <x:c r="J179" s="49"/>
      <x:c r="K179" s="48" t="n">
        <x:f>Model_Data!A179</x:f>
        <x:v>28.5</x:v>
      </x:c>
      <x:c r="L179" s="48" t="n">
        <x:f>Model_Data!Y179</x:f>
        <x:v>310.4659866511931</x:v>
      </x:c>
      <x:c r="M179" s="48" t="n">
        <x:f>Model_Data!X179</x:f>
        <x:v>53.72705851492565</x:v>
      </x:c>
      <x:c r="N179" s="48" t="n">
        <x:f>-(Model_Data!AC179-Model_Data!F179)</x:f>
        <x:v>143.0121196523769</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Model_Data!Y180</x:f>
        <x:v>283.98171018669603</x:v>
      </x:c>
      <x:c r="I180" s="48" t="n">
        <x:f>Model_Data!X180</x:f>
        <x:v>29.362157595592716</x:v>
      </x:c>
      <x:c r="J180" s="49"/>
      <x:c r="K180" s="48" t="n">
        <x:f>Model_Data!A180</x:f>
        <x:v>29</x:v>
      </x:c>
      <x:c r="L180" s="48" t="n">
        <x:f>Model_Data!Y180</x:f>
        <x:v>283.98171018669603</x:v>
      </x:c>
      <x:c r="M180" s="48" t="n">
        <x:f>Model_Data!X180</x:f>
        <x:v>29.362157595592716</x:v>
      </x:c>
      <x:c r="N180" s="48" t="n">
        <x:f>-(Model_Data!AC180-Model_Data!F180)</x:f>
        <x:v>141.90382225045937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Model_Data!Y181</x:f>
        <x:v>263.5246591496981</x:v>
      </x:c>
      <x:c r="I181" s="48" t="n">
        <x:f>Model_Data!X181</x:f>
        <x:v>20.4458299890095</x:v>
      </x:c>
      <x:c r="J181" s="49"/>
      <x:c r="K181" s="48" t="n">
        <x:f>Model_Data!A181</x:f>
        <x:v>29.5</x:v>
      </x:c>
      <x:c r="L181" s="48" t="n">
        <x:f>Model_Data!Y181</x:f>
        <x:v>263.5246591496981</x:v>
      </x:c>
      <x:c r="M181" s="48" t="n">
        <x:f>Model_Data!X181</x:f>
        <x:v>20.4458299890095</x:v>
      </x:c>
      <x:c r="N181" s="48" t="n">
        <x:f>-(Model_Data!AC181-Model_Data!F181)</x:f>
        <x:v>135.48169541026164</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Model_Data!Y182</x:f>
        <x:v>258.3810354027646</x:v>
      </x:c>
      <x:c r="I182" s="48" t="n">
        <x:f>Model_Data!X182</x:f>
        <x:v>11.879118514207924</x:v>
      </x:c>
      <x:c r="J182" s="49"/>
      <x:c r="K182" s="48" t="n">
        <x:f>Model_Data!A182</x:f>
        <x:v>30</x:v>
      </x:c>
      <x:c r="L182" s="48" t="n">
        <x:f>Model_Data!Y182</x:f>
        <x:v>258.3810354027646</x:v>
      </x:c>
      <x:c r="M182" s="48" t="n">
        <x:f>Model_Data!X182</x:f>
        <x:v>11.879118514207924</x:v>
      </x:c>
      <x:c r="N182" s="48" t="n">
        <x:f>-(Model_Data!AC182-Model_Data!F182)</x:f>
        <x:v>137.4051185230087</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Model_Data!Y183</x:f>
        <x:v>239.98613946224492</x:v>
      </x:c>
      <x:c r="I183" s="48" t="n">
        <x:f>Model_Data!X183</x:f>
        <x:v>4.284803604386864</x:v>
      </x:c>
      <x:c r="J183" s="49"/>
      <x:c r="K183" s="48" t="n">
        <x:f>Model_Data!A183</x:f>
        <x:v>30.5</x:v>
      </x:c>
      <x:c r="L183" s="48" t="n">
        <x:f>Model_Data!Y183</x:f>
        <x:v>239.98613946224492</x:v>
      </x:c>
      <x:c r="M183" s="48" t="n">
        <x:f>Model_Data!X183</x:f>
        <x:v>4.284803604386864</x:v>
      </x:c>
      <x:c r="N183" s="48" t="n">
        <x:f>-(Model_Data!AC183-Model_Data!F183)</x:f>
        <x:v>131.39466928116485</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Model_Data!Y184</x:f>
        <x:v>239.58052305996605</x:v>
      </x:c>
      <x:c r="I184" s="48" t="n">
        <x:f>Model_Data!X184</x:f>
        <x:v>18.692329061381155</x:v>
      </x:c>
      <x:c r="J184" s="49"/>
      <x:c r="K184" s="48" t="n">
        <x:f>Model_Data!A184</x:f>
        <x:v>31</x:v>
      </x:c>
      <x:c r="L184" s="48" t="n">
        <x:f>Model_Data!Y184</x:f>
        <x:v>239.58052305996605</x:v>
      </x:c>
      <x:c r="M184" s="48" t="n">
        <x:f>Model_Data!X184</x:f>
        <x:v>18.692329061381155</x:v>
      </x:c>
      <x:c r="N184" s="48" t="n">
        <x:f>-(Model_Data!AC184-Model_Data!F184)</x:f>
        <x:v>123.05455222547835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Model_Data!Y185</x:f>
        <x:v>216.56157473369862</x:v>
      </x:c>
      <x:c r="I185" s="48" t="n">
        <x:f>Model_Data!X185</x:f>
        <x:v>18.579807279306877</x:v>
      </x:c>
      <x:c r="J185" s="49"/>
      <x:c r="K185" s="48" t="n">
        <x:f>Model_Data!A185</x:f>
        <x:v>31.5</x:v>
      </x:c>
      <x:c r="L185" s="48" t="n">
        <x:f>Model_Data!Y185</x:f>
        <x:v>216.56157473369862</x:v>
      </x:c>
      <x:c r="M185" s="48" t="n">
        <x:f>Model_Data!X185</x:f>
        <x:v>18.579807279306877</x:v>
      </x:c>
      <x:c r="N185" s="48" t="n">
        <x:f>-(Model_Data!AC185-Model_Data!F185)</x:f>
        <x:v>110.26751691341747</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Model_Data!Y186</x:f>
        <x:v>222.43770342182788</x:v>
      </x:c>
      <x:c r="I186" s="48" t="n">
        <x:f>Model_Data!X186</x:f>
        <x:v>-1.3588316603362678</x:v>
      </x:c>
      <x:c r="J186" s="49"/>
      <x:c r="K186" s="48" t="n">
        <x:f>Model_Data!A186</x:f>
        <x:v>32</x:v>
      </x:c>
      <x:c r="L186" s="48" t="n">
        <x:f>Model_Data!Y186</x:f>
        <x:v>222.43770342182788</x:v>
      </x:c>
      <x:c r="M186" s="48" t="n">
        <x:f>Model_Data!X186</x:f>
        <x:v>-1.3588316603362678</x:v>
      </x:c>
      <x:c r="N186" s="48" t="n">
        <x:f>-(Model_Data!AC186-Model_Data!F186)</x:f>
        <x:v>124.72517162935219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Model_Data!Y187</x:f>
        <x:v>227.97180197677312</x:v>
      </x:c>
      <x:c r="I187" s="48" t="n">
        <x:f>Model_Data!X187</x:f>
        <x:v>5.846843018322446</x:v>
      </x:c>
      <x:c r="J187" s="49"/>
      <x:c r="K187" s="48" t="n">
        <x:f>Model_Data!A187</x:f>
        <x:v>32.5</x:v>
      </x:c>
      <x:c r="L187" s="48" t="n">
        <x:f>Model_Data!Y187</x:f>
        <x:v>227.97180197677312</x:v>
      </x:c>
      <x:c r="M187" s="48" t="n">
        <x:f>Model_Data!X187</x:f>
        <x:v>5.846843018322446</x:v>
      </x:c>
      <x:c r="N187" s="48" t="n">
        <x:f>-(Model_Data!AC187-Model_Data!F187)</x:f>
        <x:v>123.74133280492288</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Model_Data!Y188</x:f>
        <x:v>226.0841822180117</x:v>
      </x:c>
      <x:c r="I188" s="48" t="n">
        <x:f>Model_Data!X188</x:f>
        <x:v>-3.610290991247414</x:v>
      </x:c>
      <x:c r="J188" s="49"/>
      <x:c r="K188" s="48" t="n">
        <x:f>Model_Data!A188</x:f>
        <x:v>33</x:v>
      </x:c>
      <x:c r="L188" s="48" t="n">
        <x:f>Model_Data!Y188</x:f>
        <x:v>226.0841822180117</x:v>
      </x:c>
      <x:c r="M188" s="48" t="n">
        <x:f>Model_Data!X188</x:f>
        <x:v>-3.610290991247414</x:v>
      </x:c>
      <x:c r="N188" s="48" t="n">
        <x:f>-(Model_Data!AC188-Model_Data!F188)</x:f>
        <x:v>127.98264574303062</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Model_Data!Y189</x:f>
        <x:v>226.23942491253771</x:v>
      </x:c>
      <x:c r="I189" s="48" t="n">
        <x:f>Model_Data!X189</x:f>
        <x:v>2.8193818928466783</x:v>
      </x:c>
      <x:c r="J189" s="49"/>
      <x:c r="K189" s="48" t="n">
        <x:f>Model_Data!A189</x:f>
        <x:v>33.5</x:v>
      </x:c>
      <x:c r="L189" s="48" t="n">
        <x:f>Model_Data!Y189</x:f>
        <x:v>226.23942491253771</x:v>
      </x:c>
      <x:c r="M189" s="48" t="n">
        <x:f>Model_Data!X189</x:f>
        <x:v>2.8193818928466783</x:v>
      </x:c>
      <x:c r="N189" s="48" t="n">
        <x:f>-(Model_Data!AC189-Model_Data!F189)</x:f>
        <x:v>124.43674726518589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Model_Data!Y190</x:f>
        <x:v>243.2704274883201</x:v>
      </x:c>
      <x:c r="I190" s="48" t="n">
        <x:f>Model_Data!X190</x:f>
        <x:v>9.90157819415245</x:v>
      </x:c>
      <x:c r="J190" s="49"/>
      <x:c r="K190" s="48" t="n">
        <x:f>Model_Data!A190</x:f>
        <x:v>34</x:v>
      </x:c>
      <x:c r="L190" s="48" t="n">
        <x:f>Model_Data!Y190</x:f>
        <x:v>243.2704274883201</x:v>
      </x:c>
      <x:c r="M190" s="48" t="n">
        <x:f>Model_Data!X190</x:f>
        <x:v>9.90157819415245</x:v>
      </x:c>
      <x:c r="N190" s="48" t="n">
        <x:f>-(Model_Data!AC190-Model_Data!F190)</x:f>
        <x:v>129.92256004683168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Model_Data!Y191</x:f>
        <x:v>248.8414359782273</x:v>
      </x:c>
      <x:c r="I191" s="48" t="n">
        <x:f>Model_Data!X191</x:f>
        <x:v>22.306190725387925</x:v>
      </x:c>
      <x:c r="J191" s="49"/>
      <x:c r="K191" s="48" t="n">
        <x:f>Model_Data!A191</x:f>
        <x:v>34.5</x:v>
      </x:c>
      <x:c r="L191" s="48" t="n">
        <x:f>Model_Data!Y191</x:f>
        <x:v>248.8414359782273</x:v>
      </x:c>
      <x:c r="M191" s="48" t="n">
        <x:f>Model_Data!X191</x:f>
        <x:v>22.306190725387925</x:v>
      </x:c>
      <x:c r="N191" s="48" t="n">
        <x:f>-(Model_Data!AC191-Model_Data!F191)</x:f>
        <x:v>126.03346786445309</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Model_Data!Y192</x:f>
        <x:v>242.00890812042311</x:v>
      </x:c>
      <x:c r="I192" s="48" t="n">
        <x:f>Model_Data!X192</x:f>
        <x:v>28.92396994213728</x:v>
      </x:c>
      <x:c r="J192" s="49"/>
      <x:c r="K192" s="48" t="n">
        <x:f>Model_Data!A192</x:f>
        <x:v>35</x:v>
      </x:c>
      <x:c r="L192" s="48" t="n">
        <x:f>Model_Data!Y192</x:f>
        <x:v>242.00890812042311</x:v>
      </x:c>
      <x:c r="M192" s="48" t="n">
        <x:f>Model_Data!X192</x:f>
        <x:v>28.92396994213728</x:v>
      </x:c>
      <x:c r="N192" s="48" t="n">
        <x:f>-(Model_Data!AC192-Model_Data!F192)</x:f>
        <x:v>118.48845524221588</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Model_Data!Y193</x:f>
        <x:v>242.63788270086079</x:v>
      </x:c>
      <x:c r="I193" s="48" t="n">
        <x:f>Model_Data!X193</x:f>
        <x:v>32.227616256478356</x:v>
      </x:c>
      <x:c r="J193" s="49"/>
      <x:c r="K193" s="48" t="n">
        <x:f>Model_Data!A193</x:f>
        <x:v>35.5</x:v>
      </x:c>
      <x:c r="L193" s="48" t="n">
        <x:f>Model_Data!Y193</x:f>
        <x:v>242.63788270086079</x:v>
      </x:c>
      <x:c r="M193" s="48" t="n">
        <x:f>Model_Data!X193</x:f>
        <x:v>32.227616256478356</x:v>
      </x:c>
      <x:c r="N193" s="48" t="n">
        <x:f>-(Model_Data!AC193-Model_Data!F193)</x:f>
        <x:v>116.9597342301372</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Model_Data!Y194</x:f>
        <x:v>251.8480330414438</x:v>
      </x:c>
      <x:c r="I194" s="48" t="n">
        <x:f>Model_Data!X194</x:f>
        <x:v>45.422536466318</x:v>
      </x:c>
      <x:c r="J194" s="49"/>
      <x:c r="K194" s="48" t="n">
        <x:f>Model_Data!A194</x:f>
        <x:v>36</x:v>
      </x:c>
      <x:c r="L194" s="48" t="n">
        <x:f>Model_Data!Y194</x:f>
        <x:v>251.8480330414438</x:v>
      </x:c>
      <x:c r="M194" s="48" t="n">
        <x:f>Model_Data!X194</x:f>
        <x:v>45.422536466318</x:v>
      </x:c>
      <x:c r="N194" s="48" t="n">
        <x:f>-(Model_Data!AC194-Model_Data!F194)</x:f>
        <x:v>114.64957801281162</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Model_Data!Y195</x:f>
        <x:v>274.3131350022337</x:v>
      </x:c>
      <x:c r="I195" s="48" t="n">
        <x:f>Model_Data!X195</x:f>
        <x:v>44.98219479967033</x:v>
      </x:c>
      <x:c r="J195" s="49"/>
      <x:c r="K195" s="48" t="n">
        <x:f>Model_Data!A195</x:f>
        <x:v>36.5</x:v>
      </x:c>
      <x:c r="L195" s="48" t="n">
        <x:f>Model_Data!Y195</x:f>
        <x:v>274.3131350022337</x:v>
      </x:c>
      <x:c r="M195" s="48" t="n">
        <x:f>Model_Data!X195</x:f>
        <x:v>44.98219479967033</x:v>
      </x:c>
      <x:c r="N195" s="48" t="n">
        <x:f>-(Model_Data!AC195-Model_Data!F195)</x:f>
        <x:v>127.37338763855314</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Model_Data!Y196</x:f>
        <x:v>277.26991348245565</x:v>
      </x:c>
      <x:c r="I196" s="48" t="n">
        <x:f>Model_Data!X196</x:f>
        <x:v>58.36098804305038</x:v>
      </x:c>
      <x:c r="J196" s="49"/>
      <x:c r="K196" s="48" t="n">
        <x:f>Model_Data!A196</x:f>
        <x:v>37</x:v>
      </x:c>
      <x:c r="L196" s="48" t="n">
        <x:f>Model_Data!Y196</x:f>
        <x:v>277.26991348245565</x:v>
      </x:c>
      <x:c r="M196" s="48" t="n">
        <x:f>Model_Data!X196</x:f>
        <x:v>58.36098804305038</x:v>
      </x:c>
      <x:c r="N196" s="48" t="n">
        <x:f>-(Model_Data!AC196-Model_Data!F196)</x:f>
        <x:v>121.47528128630915</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Model_Data!Y197</x:f>
        <x:v>280.6842863692354</x:v>
      </x:c>
      <x:c r="I197" s="48" t="n">
        <x:f>Model_Data!X197</x:f>
        <x:v>56.08108474403666</x:v>
      </x:c>
      <x:c r="J197" s="49"/>
      <x:c r="K197" s="48" t="n">
        <x:f>Model_Data!A197</x:f>
        <x:v>37.5</x:v>
      </x:c>
      <x:c r="L197" s="48" t="n">
        <x:f>Model_Data!Y197</x:f>
        <x:v>280.6842863692354</x:v>
      </x:c>
      <x:c r="M197" s="48" t="n">
        <x:f>Model_Data!X197</x:f>
        <x:v>56.08108474403666</x:v>
      </x:c>
      <x:c r="N197" s="48" t="n">
        <x:f>-(Model_Data!AC197-Model_Data!F197)</x:f>
        <x:v>124.6277997997338</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Model_Data!Y198</x:f>
        <x:v>282.3717678695042</x:v>
      </x:c>
      <x:c r="I198" s="48" t="n">
        <x:f>Model_Data!X198</x:f>
        <x:v>74.89136844725374</x:v>
      </x:c>
      <x:c r="J198" s="49"/>
      <x:c r="K198" s="48" t="n">
        <x:f>Model_Data!A198</x:f>
        <x:v>38</x:v>
      </x:c>
      <x:c r="L198" s="48" t="n">
        <x:f>Model_Data!Y198</x:f>
        <x:v>282.3717678695042</x:v>
      </x:c>
      <x:c r="M198" s="48" t="n">
        <x:f>Model_Data!X198</x:f>
        <x:v>74.89136844725374</x:v>
      </x:c>
      <x:c r="N198" s="48" t="n">
        <x:f>-(Model_Data!AC198-Model_Data!F198)</x:f>
        <x:v>114.97043618266775</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Model_Data!Y199</x:f>
        <x:v>311.18191933727104</x:v>
      </x:c>
      <x:c r="I199" s="48" t="n">
        <x:f>Model_Data!X199</x:f>
        <x:v>81.22943665181958</x:v>
      </x:c>
      <x:c r="J199" s="49"/>
      <x:c r="K199" s="48" t="n">
        <x:f>Model_Data!A199</x:f>
        <x:v>38.5</x:v>
      </x:c>
      <x:c r="L199" s="48" t="n">
        <x:f>Model_Data!Y199</x:f>
        <x:v>311.18191933727104</x:v>
      </x:c>
      <x:c r="M199" s="48" t="n">
        <x:f>Model_Data!X199</x:f>
        <x:v>81.22943665181958</x:v>
      </x:c>
      <x:c r="N199" s="48" t="n">
        <x:f>-(Model_Data!AC199-Model_Data!F199)</x:f>
        <x:v>127.40092728189211</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Model_Data!Y200</x:f>
        <x:v>302.8435496777789</x:v>
      </x:c>
      <x:c r="I200" s="48" t="n">
        <x:f>Model_Data!X200</x:f>
        <x:v>82.75771702731363</x:v>
      </x:c>
      <x:c r="J200" s="49"/>
      <x:c r="K200" s="48" t="n">
        <x:f>Model_Data!A200</x:f>
        <x:v>39</x:v>
      </x:c>
      <x:c r="L200" s="48" t="n">
        <x:f>Model_Data!Y200</x:f>
        <x:v>302.8435496777789</x:v>
      </x:c>
      <x:c r="M200" s="48" t="n">
        <x:f>Model_Data!X200</x:f>
        <x:v>82.75771702731363</x:v>
      </x:c>
      <x:c r="N200" s="48" t="n">
        <x:f>-(Model_Data!AC200-Model_Data!F200)</x:f>
        <x:v>121.87446346530032</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Model_Data!Y201</x:f>
        <x:v>298.92940490783735</x:v>
      </x:c>
      <x:c r="I201" s="48" t="n">
        <x:f>Model_Data!X201</x:f>
        <x:v>76.31271490051972</x:v>
      </x:c>
      <x:c r="J201" s="49"/>
      <x:c r="K201" s="48" t="n">
        <x:f>Model_Data!A201</x:f>
        <x:v>39.5</x:v>
      </x:c>
      <x:c r="L201" s="48" t="n">
        <x:f>Model_Data!Y201</x:f>
        <x:v>298.92940490783735</x:v>
      </x:c>
      <x:c r="M201" s="48" t="n">
        <x:f>Model_Data!X201</x:f>
        <x:v>76.31271490051972</x:v>
      </x:c>
      <x:c r="N201" s="48" t="n">
        <x:f>-(Model_Data!AC201-Model_Data!F201)</x:f>
        <x:v>123.28791603804711</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Model_Data!Y202</x:f>
        <x:v>304.82117281231683</x:v>
      </x:c>
      <x:c r="I202" s="48" t="n">
        <x:f>Model_Data!X202</x:f>
        <x:v>66.26609020115302</x:v>
      </x:c>
      <x:c r="J202" s="49"/>
      <x:c r="K202" s="48" t="n">
        <x:f>Model_Data!A202</x:f>
        <x:v>40</x:v>
      </x:c>
      <x:c r="L202" s="48" t="n">
        <x:f>Model_Data!Y202</x:f>
        <x:v>304.82117281231683</x:v>
      </x:c>
      <x:c r="M202" s="48" t="n">
        <x:f>Model_Data!X202</x:f>
        <x:v>66.26609020115302</x:v>
      </x:c>
      <x:c r="N202" s="48" t="n">
        <x:f>-(Model_Data!AC202-Model_Data!F202)</x:f>
        <x:v>132.17474724523277</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Model_Data!Y203</x:f>
        <x:v>300.6975060152245</x:v>
      </x:c>
      <x:c r="I203" s="48" t="n">
        <x:f>Model_Data!X203</x:f>
        <x:v>60.152205166209214</x:v>
      </x:c>
      <x:c r="J203" s="49"/>
      <x:c r="K203" s="48" t="n">
        <x:f>Model_Data!A203</x:f>
        <x:v>40.5</x:v>
      </x:c>
      <x:c r="L203" s="48" t="n">
        <x:f>Model_Data!Y203</x:f>
        <x:v>300.6975060152245</x:v>
      </x:c>
      <x:c r="M203" s="48" t="n">
        <x:f>Model_Data!X203</x:f>
        <x:v>60.152205166209214</x:v>
      </x:c>
      <x:c r="N203" s="48" t="n">
        <x:f>-(Model_Data!AC203-Model_Data!F203)</x:f>
        <x:v>133.28562703201328</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Model_Data!Y204</x:f>
        <x:v>276.55710773836364</x:v>
      </x:c>
      <x:c r="I204" s="48" t="n">
        <x:f>Model_Data!X204</x:f>
        <x:v>52.60933898915909</x:v>
      </x:c>
      <x:c r="J204" s="49"/>
      <x:c r="K204" s="48" t="n">
        <x:f>Model_Data!A204</x:f>
        <x:v>41</x:v>
      </x:c>
      <x:c r="L204" s="48" t="n">
        <x:f>Model_Data!Y204</x:f>
        <x:v>276.55710773836364</x:v>
      </x:c>
      <x:c r="M204" s="48" t="n">
        <x:f>Model_Data!X204</x:f>
        <x:v>52.60933898915909</x:v>
      </x:c>
      <x:c r="N204" s="48" t="n">
        <x:f>-(Model_Data!AC204-Model_Data!F204)</x:f>
        <x:v>124.08001207155507</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Model_Data!Y205</x:f>
        <x:v>269.21554101681534</x:v>
      </x:c>
      <x:c r="I205" s="48" t="n">
        <x:f>Model_Data!X205</x:f>
        <x:v>58.38095189793533</x:v>
      </x:c>
      <x:c r="J205" s="49"/>
      <x:c r="K205" s="48" t="n">
        <x:f>Model_Data!A205</x:f>
        <x:v>41.5</x:v>
      </x:c>
      <x:c r="L205" s="48" t="n">
        <x:f>Model_Data!Y205</x:f>
        <x:v>269.21554101681534</x:v>
      </x:c>
      <x:c r="M205" s="48" t="n">
        <x:f>Model_Data!X205</x:f>
        <x:v>58.38095189793533</x:v>
      </x:c>
      <x:c r="N205" s="48" t="n">
        <x:f>-(Model_Data!AC205-Model_Data!F205)</x:f>
        <x:v>116.72960746176318</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Model_Data!Y206</x:f>
        <x:v>271.1262021129023</x:v>
      </x:c>
      <x:c r="I206" s="48" t="n">
        <x:f>Model_Data!X206</x:f>
        <x:v>34.52124211278962</x:v>
      </x:c>
      <x:c r="J206" s="49"/>
      <x:c r="K206" s="48" t="n">
        <x:f>Model_Data!A206</x:f>
        <x:v>42</x:v>
      </x:c>
      <x:c r="L206" s="48" t="n">
        <x:f>Model_Data!Y206</x:f>
        <x:v>271.1262021129023</x:v>
      </x:c>
      <x:c r="M206" s="48" t="n">
        <x:f>Model_Data!X206</x:f>
        <x:v>34.52124211278962</x:v>
      </x:c>
      <x:c r="N206" s="48" t="n">
        <x:f>-(Model_Data!AC206-Model_Data!F206)</x:f>
        <x:v>131.16511225335626</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Model_Data!Y207</x:f>
        <x:v>259.7768551367322</x:v>
      </x:c>
      <x:c r="I207" s="48" t="n">
        <x:f>Model_Data!X207</x:f>
        <x:v>40.25127636090155</x:v>
      </x:c>
      <x:c r="J207" s="49"/>
      <x:c r="K207" s="48" t="n">
        <x:f>Model_Data!A207</x:f>
        <x:v>42.5</x:v>
      </x:c>
      <x:c r="L207" s="48" t="n">
        <x:f>Model_Data!Y207</x:f>
        <x:v>259.7768551367322</x:v>
      </x:c>
      <x:c r="M207" s="48" t="n">
        <x:f>Model_Data!X207</x:f>
        <x:v>40.25127636090155</x:v>
      </x:c>
      <x:c r="N207" s="48" t="n">
        <x:f>-(Model_Data!AC207-Model_Data!F207)</x:f>
        <x:v>121.61453190357429</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Model_Data!Y208</x:f>
        <x:v>247.2629698422237</x:v>
      </x:c>
      <x:c r="I208" s="48" t="n">
        <x:f>Model_Data!X208</x:f>
        <x:v>33.32797910139238</x:v>
      </x:c>
      <x:c r="J208" s="49"/>
      <x:c r="K208" s="48" t="n">
        <x:f>Model_Data!A208</x:f>
        <x:v>43</x:v>
      </x:c>
      <x:c r="L208" s="48" t="n">
        <x:f>Model_Data!Y208</x:f>
        <x:v>247.2629698422237</x:v>
      </x:c>
      <x:c r="M208" s="48" t="n">
        <x:f>Model_Data!X208</x:f>
        <x:v>33.32797910139238</x:v>
      </x:c>
      <x:c r="N208" s="48" t="n">
        <x:f>-(Model_Data!AC208-Model_Data!F208)</x:f>
        <x:v>118.52838587094266</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Model_Data!Y209</x:f>
        <x:v>225.35528260314678</x:v>
      </x:c>
      <x:c r="I209" s="48" t="n">
        <x:f>Model_Data!X209</x:f>
        <x:v>20.522948331606614</x:v>
      </x:c>
      <x:c r="J209" s="49"/>
      <x:c r="K209" s="48" t="n">
        <x:f>Model_Data!A209</x:f>
        <x:v>43.5</x:v>
      </x:c>
      <x:c r="L209" s="48" t="n">
        <x:f>Model_Data!Y209</x:f>
        <x:v>225.35528260314678</x:v>
      </x:c>
      <x:c r="M209" s="48" t="n">
        <x:f>Model_Data!X209</x:f>
        <x:v>20.522948331606614</x:v>
      </x:c>
      <x:c r="N209" s="48" t="n">
        <x:f>-(Model_Data!AC209-Model_Data!F209)</x:f>
        <x:v>113.53587720805717</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Model_Data!Y210</x:f>
        <x:v>208.84015984832814</x:v>
      </x:c>
      <x:c r="I210" s="48" t="n">
        <x:f>Model_Data!X210</x:f>
        <x:v>7.051899638170276</x:v>
      </x:c>
      <x:c r="J210" s="49"/>
      <x:c r="K210" s="48" t="n">
        <x:f>Model_Data!A210</x:f>
        <x:v>44</x:v>
      </x:c>
      <x:c r="L210" s="48" t="n">
        <x:f>Model_Data!Y210</x:f>
        <x:v>208.84015984832814</x:v>
      </x:c>
      <x:c r="M210" s="48" t="n">
        <x:f>Model_Data!X210</x:f>
        <x:v>7.051899638170276</x:v>
      </x:c>
      <x:c r="N210" s="48" t="n">
        <x:f>-(Model_Data!AC210-Model_Data!F210)</x:f>
        <x:v>111.91436437669063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Model_Data!Y211</x:f>
        <x:v>178.96296340227542</x:v>
      </x:c>
      <x:c r="I211" s="48" t="n">
        <x:f>Model_Data!X211</x:f>
        <x:v>-3.283716108943903</x:v>
      </x:c>
      <x:c r="J211" s="49"/>
      <x:c r="K211" s="48" t="n">
        <x:f>Model_Data!A211</x:f>
        <x:v>44.5</x:v>
      </x:c>
      <x:c r="L211" s="48" t="n">
        <x:f>Model_Data!Y211</x:f>
        <x:v>178.96296340227542</x:v>
      </x:c>
      <x:c r="M211" s="48" t="n">
        <x:f>Model_Data!X211</x:f>
        <x:v>-3.283716108943903</x:v>
      </x:c>
      <x:c r="N211" s="48" t="n">
        <x:f>-(Model_Data!AC211-Model_Data!F211)</x:f>
        <x:v>101.12253157466421</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Model_Data!Y212</x:f>
        <x:v>165.26573251393552</x:v>
      </x:c>
      <x:c r="I212" s="48" t="n">
        <x:f>Model_Data!X212</x:f>
        <x:v>-4.746207968267804</x:v>
      </x:c>
      <x:c r="J212" s="49"/>
      <x:c r="K212" s="48" t="n">
        <x:f>Model_Data!A212</x:f>
        <x:v>45</x:v>
      </x:c>
      <x:c r="L212" s="48" t="n">
        <x:f>Model_Data!Y212</x:f>
        <x:v>165.26573251393552</x:v>
      </x:c>
      <x:c r="M212" s="48" t="n">
        <x:f>Model_Data!X212</x:f>
        <x:v>-4.746207968267804</x:v>
      </x:c>
      <x:c r="N212" s="48" t="n">
        <x:f>-(Model_Data!AC212-Model_Data!F212)</x:f>
        <x:v>94.32628337496408</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Model_Data!Y213</x:f>
        <x:v>168.78187987738474</x:v>
      </x:c>
      <x:c r="I213" s="48" t="n">
        <x:f>Model_Data!X213</x:f>
        <x:v>-4.954776418919145</x:v>
      </x:c>
      <x:c r="J213" s="49"/>
      <x:c r="K213" s="48" t="n">
        <x:f>Model_Data!A213</x:f>
        <x:v>45.5</x:v>
      </x:c>
      <x:c r="L213" s="48" t="n">
        <x:f>Model_Data!Y213</x:f>
        <x:v>168.78187987738474</x:v>
      </x:c>
      <x:c r="M213" s="48" t="n">
        <x:f>Model_Data!X213</x:f>
        <x:v>-4.954776418919145</x:v>
      </x:c>
      <x:c r="N213" s="48" t="n">
        <x:f>-(Model_Data!AC213-Model_Data!F213)</x:f>
        <x:v>96.3734323839958</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Model_Data!Y214</x:f>
        <x:v>147.2236511039814</x:v>
      </x:c>
      <x:c r="I214" s="48" t="n">
        <x:f>Model_Data!X214</x:f>
        <x:v>-0.04819256513620118</x:v>
      </x:c>
      <x:c r="J214" s="49"/>
      <x:c r="K214" s="48" t="n">
        <x:f>Model_Data!A214</x:f>
        <x:v>46</x:v>
      </x:c>
      <x:c r="L214" s="48" t="n">
        <x:f>Model_Data!Y214</x:f>
        <x:v>147.2236511039814</x:v>
      </x:c>
      <x:c r="M214" s="48" t="n">
        <x:f>Model_Data!X214</x:f>
        <x:v>-0.04819256513620118</x:v>
      </x:c>
      <x:c r="N214" s="48" t="n">
        <x:f>-(Model_Data!AC214-Model_Data!F214)</x:f>
        <x:v>81.64515698704099</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Model_Data!Y215</x:f>
        <x:v>125.26409736726505</x:v>
      </x:c>
      <x:c r="I215" s="48" t="n">
        <x:f>Model_Data!X215</x:f>
        <x:v>-12.32376640540756</x:v>
      </x:c>
      <x:c r="J215" s="49"/>
      <x:c r="K215" s="48" t="n">
        <x:f>Model_Data!A215</x:f>
        <x:v>46.5</x:v>
      </x:c>
      <x:c r="L215" s="48" t="n">
        <x:f>Model_Data!Y215</x:f>
        <x:v>125.26409736726505</x:v>
      </x:c>
      <x:c r="M215" s="48" t="n">
        <x:f>Model_Data!X215</x:f>
        <x:v>-12.32376640540756</x:v>
      </x:c>
      <x:c r="N215" s="48" t="n">
        <x:f>-(Model_Data!AC215-Model_Data!F215)</x:f>
        <x:v>76.3523724883903</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Model_Data!Y216</x:f>
        <x:v>119.07484471636309</x:v>
      </x:c>
      <x:c r="I216" s="48" t="n">
        <x:f>Model_Data!X216</x:f>
        <x:v>5.624733438492097</x:v>
      </x:c>
      <x:c r="J216" s="49"/>
      <x:c r="K216" s="48" t="n">
        <x:f>Model_Data!A216</x:f>
        <x:v>47</x:v>
      </x:c>
      <x:c r="L216" s="48" t="n">
        <x:f>Model_Data!Y216</x:f>
        <x:v>119.07484471636309</x:v>
      </x:c>
      <x:c r="M216" s="48" t="n">
        <x:f>Model_Data!X216</x:f>
        <x:v>5.624733438492097</x:v>
      </x:c>
      <x:c r="N216" s="48" t="n">
        <x:f>-(Model_Data!AC216-Model_Data!F216)</x:f>
        <x:v>62.823861026245595</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Model_Data!Y217</x:f>
        <x:v>107.75271022723112</x:v>
      </x:c>
      <x:c r="I217" s="48" t="n">
        <x:f>Model_Data!X217</x:f>
        <x:v>4.725819493947935</x:v>
      </x:c>
      <x:c r="J217" s="49"/>
      <x:c r="K217" s="48" t="n">
        <x:f>Model_Data!A217</x:f>
        <x:v>47.5</x:v>
      </x:c>
      <x:c r="L217" s="48" t="n">
        <x:f>Model_Data!Y217</x:f>
        <x:v>107.75271022723112</x:v>
      </x:c>
      <x:c r="M217" s="48" t="n">
        <x:f>Model_Data!X217</x:f>
        <x:v>4.725819493947935</x:v>
      </x:c>
      <x:c r="N217" s="48" t="n">
        <x:f>-(Model_Data!AC217-Model_Data!F217)</x:f>
        <x:v>57.04149508174896</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Model_Data!Y218</x:f>
        <x:v>124.99715373468393</x:v>
      </x:c>
      <x:c r="I218" s="48" t="n">
        <x:f>Model_Data!X218</x:f>
        <x:v>-9.076914728959792</x:v>
      </x:c>
      <x:c r="J218" s="49"/>
      <x:c r="K218" s="48" t="n">
        <x:f>Model_Data!A218</x:f>
        <x:v>48</x:v>
      </x:c>
      <x:c r="L218" s="48" t="n">
        <x:f>Model_Data!Y218</x:f>
        <x:v>124.99715373468393</x:v>
      </x:c>
      <x:c r="M218" s="48" t="n">
        <x:f>Model_Data!X218</x:f>
        <x:v>-9.076914728959792</x:v>
      </x:c>
      <x:c r="N218" s="48" t="n">
        <x:f>-(Model_Data!AC218-Model_Data!F218)</x:f>
        <x:v>74.33378256952847</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Model_Data!Y219</x:f>
        <x:v>114.2648488799635</x:v>
      </x:c>
      <x:c r="I219" s="48" t="n">
        <x:f>Model_Data!X219</x:f>
        <x:v>-2.0408727900443155</x:v>
      </x:c>
      <x:c r="J219" s="49"/>
      <x:c r="K219" s="48" t="n">
        <x:f>Model_Data!A219</x:f>
        <x:v>48.5</x:v>
      </x:c>
      <x:c r="L219" s="48" t="n">
        <x:f>Model_Data!Y219</x:f>
        <x:v>114.2648488799635</x:v>
      </x:c>
      <x:c r="M219" s="48" t="n">
        <x:f>Model_Data!X219</x:f>
        <x:v>-2.0408727900443155</x:v>
      </x:c>
      <x:c r="N219" s="48" t="n">
        <x:f>-(Model_Data!AC219-Model_Data!F219)</x:f>
        <x:v>64.42202056719452</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Model_Data!Y220</x:f>
        <x:v>109.54402369059221</x:v>
      </x:c>
      <x:c r="I220" s="48" t="n">
        <x:f>Model_Data!X220</x:f>
        <x:v>10.43102720072224</x:v>
      </x:c>
      <x:c r="J220" s="49"/>
      <x:c r="K220" s="48" t="n">
        <x:f>Model_Data!A220</x:f>
        <x:v>49</x:v>
      </x:c>
      <x:c r="L220" s="48" t="n">
        <x:f>Model_Data!Y220</x:f>
        <x:v>109.54402369059221</x:v>
      </x:c>
      <x:c r="M220" s="48" t="n">
        <x:f>Model_Data!X220</x:f>
        <x:v>10.43102720072224</x:v>
      </x:c>
      <x:c r="N220" s="48" t="n">
        <x:f>-(Model_Data!AC220-Model_Data!F220)</x:f>
        <x:v>54.787140637885386</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Model_Data!Y221</x:f>
        <x:v>115.81874031490976</x:v>
      </x:c>
      <x:c r="I221" s="48" t="n">
        <x:f>Model_Data!X221</x:f>
        <x:v>-2.2699304094542576</x:v>
      </x:c>
      <x:c r="J221" s="49"/>
      <x:c r="K221" s="48" t="n">
        <x:f>Model_Data!A221</x:f>
        <x:v>49.5</x:v>
      </x:c>
      <x:c r="L221" s="48" t="n">
        <x:f>Model_Data!Y221</x:f>
        <x:v>115.81874031490976</x:v>
      </x:c>
      <x:c r="M221" s="48" t="n">
        <x:f>Model_Data!X221</x:f>
        <x:v>-2.2699304094542576</x:v>
      </x:c>
      <x:c r="N221" s="48" t="n">
        <x:f>-(Model_Data!AC221-Model_Data!F221)</x:f>
        <x:v>65.38145713558788</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Model_Data!Y222</x:f>
        <x:v>115.23525161719914</x:v>
      </x:c>
      <x:c r="I222" s="48" t="n">
        <x:f>Model_Data!X222</x:f>
        <x:v>8.17258837755962</x:v>
      </x:c>
      <x:c r="J222" s="49"/>
      <x:c r="K222" s="48" t="n">
        <x:f>Model_Data!A222</x:f>
        <x:v>50</x:v>
      </x:c>
      <x:c r="L222" s="48" t="n">
        <x:f>Model_Data!Y222</x:f>
        <x:v>115.23525161719914</x:v>
      </x:c>
      <x:c r="M222" s="48" t="n">
        <x:f>Model_Data!X222</x:f>
        <x:v>8.17258837755962</x:v>
      </x:c>
      <x:c r="N222" s="48" t="n">
        <x:f>-(Model_Data!AC222-Model_Data!F222)</x:f>
        <x:v>59.1769165163787</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Model_Data!Y223</x:f>
        <x:v>136.98620076238512</x:v>
      </x:c>
      <x:c r="I223" s="48" t="n">
        <x:f>Model_Data!X223</x:f>
        <x:v>7.175411887622014</x:v>
      </x:c>
      <x:c r="J223" s="49"/>
      <x:c r="K223" s="48" t="n">
        <x:f>Model_Data!A223</x:f>
        <x:v>50.5</x:v>
      </x:c>
      <x:c r="L223" s="48" t="n">
        <x:f>Model_Data!Y223</x:f>
        <x:v>136.98620076238512</x:v>
      </x:c>
      <x:c r="M223" s="48" t="n">
        <x:f>Model_Data!X223</x:f>
        <x:v>7.175411887622014</x:v>
      </x:c>
      <x:c r="N223" s="48" t="n">
        <x:f>-(Model_Data!AC223-Model_Data!F223)</x:f>
        <x:v>71.75550140930318</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Model_Data!Y224</x:f>
        <x:v>137.08289632779307</x:v>
      </x:c>
      <x:c r="I224" s="48" t="n">
        <x:f>Model_Data!X224</x:f>
        <x:v>11.525237738664625</x:v>
      </x:c>
      <x:c r="J224" s="49"/>
      <x:c r="K224" s="48" t="n">
        <x:f>Model_Data!A224</x:f>
        <x:v>51</x:v>
      </x:c>
      <x:c r="L224" s="48" t="n">
        <x:f>Model_Data!Y224</x:f>
        <x:v>137.08289632779307</x:v>
      </x:c>
      <x:c r="M224" s="48" t="n">
        <x:f>Model_Data!X224</x:f>
        <x:v>11.525237738664625</x:v>
      </x:c>
      <x:c r="N224" s="48" t="n">
        <x:f>-(Model_Data!AC224-Model_Data!F224)</x:f>
        <x:v>69.34711298433058</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Model_Data!Y225</x:f>
        <x:v>159.61831316527434</x:v>
      </x:c>
      <x:c r="I225" s="48" t="n">
        <x:f>Model_Data!X225</x:f>
        <x:v>-4.550946531934956</x:v>
      </x:c>
      <x:c r="J225" s="49"/>
      <x:c r="K225" s="48" t="n">
        <x:f>Model_Data!A225</x:f>
        <x:v>51.5</x:v>
      </x:c>
      <x:c r="L225" s="48" t="n">
        <x:f>Model_Data!Y225</x:f>
        <x:v>159.61831316527434</x:v>
      </x:c>
      <x:c r="M225" s="48" t="n">
        <x:f>Model_Data!X225</x:f>
        <x:v>-4.550946531934956</x:v>
      </x:c>
      <x:c r="N225" s="48" t="n">
        <x:f>-(Model_Data!AC225-Model_Data!F225)</x:f>
        <x:v>90.8218367699651</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Model_Data!Y226</x:f>
        <x:v>166.9931224443313</x:v>
      </x:c>
      <x:c r="I226" s="48" t="n">
        <x:f>Model_Data!X226</x:f>
        <x:v>-7.85094902162108</x:v>
      </x:c>
      <x:c r="J226" s="49"/>
      <x:c r="K226" s="48" t="n">
        <x:f>Model_Data!A226</x:f>
        <x:v>52</x:v>
      </x:c>
      <x:c r="L226" s="48" t="n">
        <x:f>Model_Data!Y226</x:f>
        <x:v>166.9931224443313</x:v>
      </x:c>
      <x:c r="M226" s="48" t="n">
        <x:f>Model_Data!X226</x:f>
        <x:v>-7.85094902162108</x:v>
      </x:c>
      <x:c r="N226" s="48" t="n">
        <x:f>-(Model_Data!AC226-Model_Data!F226)</x:f>
        <x:v>96.73132036525885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Model_Data!Y227</x:f>
        <x:v>164.06842387185546</x:v>
      </x:c>
      <x:c r="I227" s="48" t="n">
        <x:f>Model_Data!X227</x:f>
        <x:v>6.588346931916092</x:v>
      </x:c>
      <x:c r="J227" s="49"/>
      <x:c r="K227" s="48" t="n">
        <x:f>Model_Data!A227</x:f>
        <x:v>52.5</x:v>
      </x:c>
      <x:c r="L227" s="48" t="n">
        <x:f>Model_Data!Y227</x:f>
        <x:v>164.06842387185546</x:v>
      </x:c>
      <x:c r="M227" s="48" t="n">
        <x:f>Model_Data!X227</x:f>
        <x:v>6.588346931916092</x:v>
      </x:c>
      <x:c r="N227" s="48" t="n">
        <x:f>-(Model_Data!AC227-Model_Data!F227)</x:f>
        <x:v>86.98015820382261</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Model_Data!Y228</x:f>
        <x:v>183.5232809151917</x:v>
      </x:c>
      <x:c r="I228" s="48" t="n">
        <x:f>Model_Data!X228</x:f>
        <x:v>4.508396540761183</x:v>
      </x:c>
      <x:c r="J228" s="49"/>
      <x:c r="K228" s="48" t="n">
        <x:f>Model_Data!A228</x:f>
        <x:v>53</x:v>
      </x:c>
      <x:c r="L228" s="48" t="n">
        <x:f>Model_Data!Y228</x:f>
        <x:v>183.5232809151917</x:v>
      </x:c>
      <x:c r="M228" s="48" t="n">
        <x:f>Model_Data!X228</x:f>
        <x:v>4.508396540761183</x:v>
      </x:c>
      <x:c r="N228" s="48" t="n">
        <x:f>-(Model_Data!AC228-Model_Data!F228)</x:f>
        <x:v>98.87621660822606</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Model_Data!Y229</x:f>
        <x:v>181.04186719105834</x:v>
      </x:c>
      <x:c r="I229" s="48" t="n">
        <x:f>Model_Data!X229</x:f>
        <x:v>-0.1280560890739677</x:v>
      </x:c>
      <x:c r="J229" s="49"/>
      <x:c r="K229" s="48" t="n">
        <x:f>Model_Data!A229</x:f>
        <x:v>53.5</x:v>
      </x:c>
      <x:c r="L229" s="48" t="n">
        <x:f>Model_Data!Y229</x:f>
        <x:v>181.04186719105834</x:v>
      </x:c>
      <x:c r="M229" s="48" t="n">
        <x:f>Model_Data!X229</x:f>
        <x:v>-0.1280560890739677</x:v>
      </x:c>
      <x:c r="N229" s="48" t="n">
        <x:f>-(Model_Data!AC229-Model_Data!F229)</x:f>
        <x:v>100.0847815694051</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Model_Data!Y230</x:f>
        <x:v>181.54184215615243</x:v>
      </x:c>
      <x:c r="I230" s="48" t="n">
        <x:f>Model_Data!X230</x:f>
        <x:v>-7.852837825142384</x:v>
      </x:c>
      <x:c r="J230" s="49"/>
      <x:c r="K230" s="48" t="n">
        <x:f>Model_Data!A230</x:f>
        <x:v>54</x:v>
      </x:c>
      <x:c r="L230" s="48" t="n">
        <x:f>Model_Data!Y230</x:f>
        <x:v>181.54184215615243</x:v>
      </x:c>
      <x:c r="M230" s="48" t="n">
        <x:f>Model_Data!X230</x:f>
        <x:v>-7.852837825142384</x:v>
      </x:c>
      <x:c r="N230" s="48" t="n">
        <x:f>-(Model_Data!AC230-Model_Data!F230)</x:f>
        <x:v>104.67542142696357</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Model_Data!Y231</x:f>
        <x:v>176.67952286630316</x:v>
      </x:c>
      <x:c r="I231" s="48" t="n">
        <x:f>Model_Data!X231</x:f>
        <x:v>-10.88592803052483</x:v>
      </x:c>
      <x:c r="J231" s="49"/>
      <x:c r="K231" s="48" t="n">
        <x:f>Model_Data!A231</x:f>
        <x:v>54.5</x:v>
      </x:c>
      <x:c r="L231" s="48" t="n">
        <x:f>Model_Data!Y231</x:f>
        <x:v>176.67952286630316</x:v>
      </x:c>
      <x:c r="M231" s="48" t="n">
        <x:f>Model_Data!X231</x:f>
        <x:v>-10.88592803052483</x:v>
      </x:c>
      <x:c r="N231" s="48" t="n">
        <x:f>-(Model_Data!AC231-Model_Data!F231)</x:f>
        <x:v>103.66916601380262</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Model_Data!Y232</x:f>
        <x:v>188.50605986389118</x:v>
      </x:c>
      <x:c r="I232" s="48" t="n">
        <x:f>Model_Data!X232</x:f>
        <x:v>-2.7391578251359494</x:v>
      </x:c>
      <x:c r="J232" s="49"/>
      <x:c r="K232" s="48" t="n">
        <x:f>Model_Data!A232</x:f>
        <x:v>55</x:v>
      </x:c>
      <x:c r="L232" s="48" t="n">
        <x:f>Model_Data!Y232</x:f>
        <x:v>188.50605986389118</x:v>
      </x:c>
      <x:c r="M232" s="48" t="n">
        <x:f>Model_Data!X232</x:f>
        <x:v>-2.7391578251359494</x:v>
      </x:c>
      <x:c r="N232" s="48" t="n">
        <x:f>-(Model_Data!AC232-Model_Data!F232)</x:f>
        <x:v>105.59556133537217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Model_Data!Y233</x:f>
        <x:v>182.5522692746181</x:v>
      </x:c>
      <x:c r="I233" s="48" t="n">
        <x:f>Model_Data!X233</x:f>
        <x:v>-6.538094280084824</x:v>
      </x:c>
      <x:c r="J233" s="49"/>
      <x:c r="K233" s="48" t="n">
        <x:f>Model_Data!A233</x:f>
        <x:v>55.5</x:v>
      </x:c>
      <x:c r="L233" s="48" t="n">
        <x:f>Model_Data!Y233</x:f>
        <x:v>182.5522692746181</x:v>
      </x:c>
      <x:c r="M233" s="48" t="n">
        <x:f>Model_Data!X233</x:f>
        <x:v>-6.538094280084824</x:v>
      </x:c>
      <x:c r="N233" s="48" t="n">
        <x:f>-(Model_Data!AC233-Model_Data!F233)</x:f>
        <x:v>104.41719175841172</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Model_Data!Y234</x:f>
        <x:v>186.90390563143987</x:v>
      </x:c>
      <x:c r="I234" s="48" t="n">
        <x:f>Model_Data!X234</x:f>
        <x:v>-4.357290177669684</x:v>
      </x:c>
      <x:c r="J234" s="49"/>
      <x:c r="K234" s="48" t="n">
        <x:f>Model_Data!A234</x:f>
        <x:v>56</x:v>
      </x:c>
      <x:c r="L234" s="48" t="n">
        <x:f>Model_Data!Y234</x:f>
        <x:v>186.90390563143987</x:v>
      </x:c>
      <x:c r="M234" s="48" t="n">
        <x:f>Model_Data!X234</x:f>
        <x:v>-4.357290177669684</x:v>
      </x:c>
      <x:c r="N234" s="48" t="n">
        <x:f>-(Model_Data!AC234-Model_Data!F234)</x:f>
        <x:v>105.566585305623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Model_Data!Y235</x:f>
        <x:v>190.07062484954076</x:v>
      </x:c>
      <x:c r="I235" s="48" t="n">
        <x:f>Model_Data!X235</x:f>
        <x:v>21.715435034758002</x:v>
      </x:c>
      <x:c r="J235" s="49"/>
      <x:c r="K235" s="48" t="n">
        <x:f>Model_Data!A235</x:f>
        <x:v>56.5</x:v>
      </x:c>
      <x:c r="L235" s="48" t="n">
        <x:f>Model_Data!Y235</x:f>
        <x:v>190.07062484954076</x:v>
      </x:c>
      <x:c r="M235" s="48" t="n">
        <x:f>Model_Data!X235</x:f>
        <x:v>21.715435034758002</x:v>
      </x:c>
      <x:c r="N235" s="48" t="n">
        <x:f>-(Model_Data!AC235-Model_Data!F235)</x:f>
        <x:v>92.63851337051028</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Model_Data!Y236</x:f>
        <x:v>200.68454527158707</x:v>
      </x:c>
      <x:c r="I236" s="48" t="n">
        <x:f>Model_Data!X236</x:f>
        <x:v>18.4135707545088</x:v>
      </x:c>
      <x:c r="J236" s="49"/>
      <x:c r="K236" s="48" t="n">
        <x:f>Model_Data!A236</x:f>
        <x:v>57</x:v>
      </x:c>
      <x:c r="L236" s="48" t="n">
        <x:f>Model_Data!Y236</x:f>
        <x:v>200.68454527158707</x:v>
      </x:c>
      <x:c r="M236" s="48" t="n">
        <x:f>Model_Data!X236</x:f>
        <x:v>18.4135707545088</x:v>
      </x:c>
      <x:c r="N236" s="48" t="n">
        <x:f>-(Model_Data!AC236-Model_Data!F236)</x:f>
        <x:v>100.31844186210901</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Model_Data!Y237</x:f>
        <x:v>178.2777126906697</x:v>
      </x:c>
      <x:c r="I237" s="48" t="n">
        <x:f>Model_Data!X237</x:f>
        <x:v>25.968776223167485</x:v>
      </x:c>
      <x:c r="J237" s="49"/>
      <x:c r="K237" s="48" t="n">
        <x:f>Model_Data!A237</x:f>
        <x:v>57.5</x:v>
      </x:c>
      <x:c r="L237" s="48" t="n">
        <x:f>Model_Data!Y237</x:f>
        <x:v>178.2777126906697</x:v>
      </x:c>
      <x:c r="M237" s="48" t="n">
        <x:f>Model_Data!X237</x:f>
        <x:v>25.968776223167485</x:v>
      </x:c>
      <x:c r="N237" s="48" t="n">
        <x:f>-(Model_Data!AC237-Model_Data!F237)</x:f>
        <x:v>83.6919903513699</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Model_Data!Y238</x:f>
        <x:v>194.52778179385766</x:v>
      </x:c>
      <x:c r="I238" s="48" t="n">
        <x:f>Model_Data!X238</x:f>
        <x:v>30.070182113253747</x:v>
      </x:c>
      <x:c r="J238" s="49"/>
      <x:c r="K238" s="48" t="n">
        <x:f>Model_Data!A238</x:f>
        <x:v>58</x:v>
      </x:c>
      <x:c r="L238" s="48" t="n">
        <x:f>Model_Data!Y238</x:f>
        <x:v>194.52778179385766</x:v>
      </x:c>
      <x:c r="M238" s="48" t="n">
        <x:f>Model_Data!X238</x:f>
        <x:v>30.070182113253747</x:v>
      </x:c>
      <x:c r="N238" s="48" t="n">
        <x:f>-(Model_Data!AC238-Model_Data!F238)</x:f>
        <x:v>90.31720208736351</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Model_Data!Y239</x:f>
        <x:v>188.33221875951745</x:v>
      </x:c>
      <x:c r="I239" s="48" t="n">
        <x:f>Model_Data!X239</x:f>
        <x:v>28.425297518081656</x:v>
      </x:c>
      <x:c r="J239" s="49"/>
      <x:c r="K239" s="48" t="n">
        <x:f>Model_Data!A239</x:f>
        <x:v>58.5</x:v>
      </x:c>
      <x:c r="L239" s="48" t="n">
        <x:f>Model_Data!Y239</x:f>
        <x:v>188.33221875951745</x:v>
      </x:c>
      <x:c r="M239" s="48" t="n">
        <x:f>Model_Data!X239</x:f>
        <x:v>28.425297518081656</x:v>
      </x:c>
      <x:c r="N239" s="48" t="n">
        <x:f>-(Model_Data!AC239-Model_Data!F239)</x:f>
        <x:v>87.79855068428196</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Model_Data!Y240</x:f>
        <x:v>193.74067782731254</x:v>
      </x:c>
      <x:c r="I240" s="48" t="n">
        <x:f>Model_Data!X240</x:f>
        <x:v>25.687015205000044</x:v>
      </x:c>
      <x:c r="J240" s="49"/>
      <x:c r="K240" s="48" t="n">
        <x:f>Model_Data!A240</x:f>
        <x:v>59</x:v>
      </x:c>
      <x:c r="L240" s="48" t="n">
        <x:f>Model_Data!Y240</x:f>
        <x:v>193.74067782731254</x:v>
      </x:c>
      <x:c r="M240" s="48" t="n">
        <x:f>Model_Data!X240</x:f>
        <x:v>25.687015205000044</x:v>
      </x:c>
      <x:c r="N240" s="48" t="n">
        <x:f>-(Model_Data!AC240-Model_Data!F240)</x:f>
        <x:v>92.2876271848886</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Model_Data!Y241</x:f>
        <x:v>168.97901642333537</x:v>
      </x:c>
      <x:c r="I241" s="48" t="n">
        <x:f>Model_Data!X241</x:f>
        <x:v>45.681577079364786</x:v>
      </x:c>
      <x:c r="J241" s="49"/>
      <x:c r="K241" s="48" t="n">
        <x:f>Model_Data!A241</x:f>
        <x:v>59.5</x:v>
      </x:c>
      <x:c r="L241" s="48" t="n">
        <x:f>Model_Data!Y241</x:f>
        <x:v>168.97901642333537</x:v>
      </x:c>
      <x:c r="M241" s="48" t="n">
        <x:f>Model_Data!X241</x:f>
        <x:v>45.681577079364786</x:v>
      </x:c>
      <x:c r="N241" s="48" t="n">
        <x:f>-(Model_Data!AC241-Model_Data!F241)</x:f>
        <x:v>67.38964999418204</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Model_Data!Y242</x:f>
        <x:v>179.34901119414707</x:v>
      </x:c>
      <x:c r="I242" s="48" t="n">
        <x:f>Model_Data!X242</x:f>
        <x:v>31.89413090916895</x:v>
      </x:c>
      <x:c r="J242" s="49"/>
      <x:c r="K242" s="48" t="n">
        <x:f>Model_Data!A242</x:f>
        <x:v>60</x:v>
      </x:c>
      <x:c r="L242" s="48" t="n">
        <x:f>Model_Data!Y242</x:f>
        <x:v>179.34901119414707</x:v>
      </x:c>
      <x:c r="M242" s="48" t="n">
        <x:f>Model_Data!X242</x:f>
        <x:v>31.89413090916895</x:v>
      </x:c>
      <x:c r="N242" s="48" t="n">
        <x:f>-(Model_Data!AC242-Model_Data!F242)</x:f>
        <x:v>80.81845896912591</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apparent_surface_shift = -(d_app_topo - d_app_flat)</x:v>
      </x:c>
      <x:c r="B31" s="11" t="str">
        <x:v>The radar-apparent shift caused by that surface signal. Positive means the echo appears shallower.</x:v>
      </x:c>
      <x:c r="C31" s="11" t="str">
        <x:v>d_app_topo, d_app_flat</x:v>
      </x:c>
      <x:c r="D31" s="11" t="str">
        <x:v>radar-apparent shift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sheetData>
  <x:mergeCells>
    <x:mergeCell ref="A1:C1"/>
  </x:mergeCells>
  <x:conditionalFormatting sqref="B4:B20">
    <x:cfRule type="containsText" dxfId="0" priority="1" operator="containsText" text="OK"/>
    <x:cfRule type="notContainsText" dxfId="1" priority="2" text="OK"/>
  </x:conditionalFormatting>
  <x:pageMargins left="0.7" right="0.7" top="0.75" bottom="0.75" header="0.3" footer="0.3"/>
</x:worksheet>
</file>